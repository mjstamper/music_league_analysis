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ecks" sheetId="2" state="visible" r:id="rId4"/>
    <sheet name="All Song Rankings" sheetId="3" state="visible" r:id="rId5"/>
    <sheet name="Votes" sheetId="4" state="visible" r:id="rId6"/>
    <sheet name="Rounds" sheetId="5" state="visible" r:id="rId7"/>
    <sheet name="Participants" sheetId="6" state="visible" r:id="rId8"/>
    <sheet name="Music League Analytics" sheetId="7" state="visible" r:id="rId9"/>
    <sheet name="Repeated Songs" sheetId="8" state="visible" r:id="rId10"/>
    <sheet name="Lists" sheetId="9" state="visible" r:id="rId11"/>
    <sheet name="Retired Artist" sheetId="10" state="visible" r:id="rId12"/>
    <sheet name="Retired Songs" sheetId="11" state="visible" r:id="rId13"/>
    <sheet name="Aliases" sheetId="12" state="visible" r:id="rId14"/>
    <sheet name="Change Log"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<sst xmlns="http://schemas.openxmlformats.org/spreadsheetml/2006/main" count="17443" uniqueCount="2839">
  <si>
    <t xml:space="preserve">Music League Song Tracker</t>
  </si>
  <si>
    <t xml:space="preserve">Rebuilt tracker: one Votes table, Spotify URIs as the join key, formula-driven checks and analytics. Your original file is unchanged.</t>
  </si>
  <si>
    <t xml:space="preserve">Tabs</t>
  </si>
  <si>
    <t xml:space="preserve">Checks</t>
  </si>
  <si>
    <t xml:space="preserve">Live validation. Should read ALL PASS. Forfeits and zero-vote songs appear as INFO.</t>
  </si>
  <si>
    <t xml:space="preserve">All Song Rankings</t>
  </si>
  <si>
    <t xml:space="preserve">One row per submission (table tbl_music). A:G, I and L:M are inputs; gray columns are formulas. Place is per league and round.</t>
  </si>
  <si>
    <t xml:space="preserve">Votes</t>
  </si>
  <si>
    <t xml:space="preserve">One row per non-zero vote (table tbl_votes). Inputs: League #, Round #, Voter, Spotify URI, Points. Gray columns look up the song.</t>
  </si>
  <si>
    <t xml:space="preserve">Rounds</t>
  </si>
  <si>
    <t xml:space="preserve">One row per round: names, descriptions, point budget, songs per person, max votes per song. Budget, songs per person, and max votes per song are typed inputs.</t>
  </si>
  <si>
    <t xml:space="preserve">Participants</t>
  </si>
  <si>
    <t xml:space="preserve">Names as used in the workbook, plus export usernames for matching future imports.</t>
  </si>
  <si>
    <t xml:space="preserve">Music League Analytics</t>
  </si>
  <si>
    <t xml:space="preserve">League and genre summaries. Formulas only.</t>
  </si>
  <si>
    <t xml:space="preserve">Repeated Songs</t>
  </si>
  <si>
    <t xml:space="preserve">Songs submitted more than once. Formulas only.</t>
  </si>
  <si>
    <t xml:space="preserve">Lists</t>
  </si>
  <si>
    <t xml:space="preserve">Allowed genres (drives the dropdown) and the Genre-to-Major-Genre mapping used for the recap.</t>
  </si>
  <si>
    <t xml:space="preserve">Retired Artist / Retired Songs / Aliases</t>
  </si>
  <si>
    <t xml:space="preserve">Copied unchanged from the original.</t>
  </si>
  <si>
    <t xml:space="preserve">Change Log</t>
  </si>
  <si>
    <t xml:space="preserve">Every repair and structural change, with before/after.</t>
  </si>
  <si>
    <t xml:space="preserve">Adding a league</t>
  </si>
  <si>
    <t xml:space="preserve">1. Rounds: add one row per round. League must match the text you will use in All Song Rankings column I exactly.</t>
  </si>
  <si>
    <t xml:space="preserve">2. All Song Rankings: paste submissions under the last row (Song, Artist, Genre, Submitter, Round as 'N - Name', League, Spotify URI from the export's submissions file). Leave Points and # of Voters blank until the round is scored. Copy the gray formula cells down from the row above.</t>
  </si>
  <si>
    <t xml:space="preserve">3. Votes: paste votes from the export (League #, Round #, Voter first name, Spotify URI, Points). Include only rows with Points above 0 and not the submitter's own song. Copy the gray formula cells down.</t>
  </si>
  <si>
    <t xml:space="preserve">4. Participants: add anyone new (first name, plus export username).</t>
  </si>
  <si>
    <t xml:space="preserve">5. Checks: confirm ALL PASS. Use paste-values for text containing numbers; never fill down on titles or artists (this is what corrupted names like 'Eiffel 65' before).</t>
  </si>
  <si>
    <t xml:space="preserve">Conventions and limits</t>
  </si>
  <si>
    <t xml:space="preserve">Gray cells are formulas. Don't type over them.</t>
  </si>
  <si>
    <t xml:space="preserve">Forfeited = the submitter cast no votes in that round and the official points are zero. This held for all 40 such songs in Leagues 1 to 7.</t>
  </si>
  <si>
    <t xml:space="preserve">Points and # of Voters in All Song Rankings are typed from the Music League results. Raw Points are computed from Votes; Status flags any disagreement.</t>
  </si>
  <si>
    <t xml:space="preserve">Repeat Count flags a song submitted more than once: same Spotify URI, or same Song + Artist text (which also covers rows with no URI yet). COUNTIF treats * and ? in titles as wildcards.</t>
  </si>
  <si>
    <t xml:space="preserve">Checks and Analytics use fixed ranges (rankings to row 5000, votes to row 20000, participants to row 200). Extend them if the workbook outgrows that.</t>
  </si>
  <si>
    <t xml:space="preserve">Data sources: Votes come from the Music League exports for Leagues 1 to 7, plus 6 ballot rows for League 2 round 7 kept from your original tab. Spotify URIs come from the exports. Points were typed in your original file.</t>
  </si>
  <si>
    <t xml:space="preserve">Workbook checks</t>
  </si>
  <si>
    <t xml:space="preserve">Live formulas. Expected-zero checks should read PASS. INFO rows are counts to be aware of, not errors.</t>
  </si>
  <si>
    <t xml:space="preserve">Overall</t>
  </si>
  <si>
    <t xml:space="preserve">Check</t>
  </si>
  <si>
    <t xml:space="preserve">Value</t>
  </si>
  <si>
    <t xml:space="preserve">Expected</t>
  </si>
  <si>
    <t xml:space="preserve">Result</t>
  </si>
  <si>
    <t xml:space="preserve">Vote rows</t>
  </si>
  <si>
    <t xml:space="preserve">INFO</t>
  </si>
  <si>
    <t xml:space="preserve">Vote rows not found in rankings (Spotify URI + league + round)</t>
  </si>
  <si>
    <t xml:space="preserve">Self-votes</t>
  </si>
  <si>
    <t xml:space="preserve">Duplicate vote rows</t>
  </si>
  <si>
    <t xml:space="preserve">Songs where typed Points / # of Voters disagree with the votes (Mismatch)</t>
  </si>
  <si>
    <t xml:space="preserve">Scored songs with no Spotify URI</t>
  </si>
  <si>
    <t xml:space="preserve">Rows whose League is missing from the Rounds tab</t>
  </si>
  <si>
    <t xml:space="preserve">Scored songs with no Place</t>
  </si>
  <si>
    <t xml:space="preserve">Genres not on the Lists tab</t>
  </si>
  <si>
    <t xml:space="preserve">Genre labels with no Major Genre mapping</t>
  </si>
  <si>
    <t xml:space="preserve">Submitters not on the Participants tab</t>
  </si>
  <si>
    <t xml:space="preserve">Voters not on the Participants tab</t>
  </si>
  <si>
    <t xml:space="preserve">Total vote points minus raw points matched to songs</t>
  </si>
  <si>
    <t xml:space="preserve">Forfeited songs (submitter did not vote; official points zeroed)</t>
  </si>
  <si>
    <t xml:space="preserve">Zero-vote songs (no votes recorded)</t>
  </si>
  <si>
    <t xml:space="preserve">Unscored songs (league in progress)</t>
  </si>
  <si>
    <t xml:space="preserve">Official points lost to forfeits (raw minus official, scored songs)</t>
  </si>
  <si>
    <t xml:space="preserve">Song</t>
  </si>
  <si>
    <t xml:space="preserve">Artist</t>
  </si>
  <si>
    <t xml:space="preserve">Genre</t>
  </si>
  <si>
    <t xml:space="preserve">Submitter</t>
  </si>
  <si>
    <t xml:space="preserve">Round</t>
  </si>
  <si>
    <t xml:space="preserve">Points</t>
  </si>
  <si>
    <t xml:space="preserve"># of Voters</t>
  </si>
  <si>
    <t xml:space="preserve">Place</t>
  </si>
  <si>
    <t xml:space="preserve">League</t>
  </si>
  <si>
    <t xml:space="preserve">League #</t>
  </si>
  <si>
    <t xml:space="preserve">Round #</t>
  </si>
  <si>
    <t xml:space="preserve">Spotify URI</t>
  </si>
  <si>
    <t xml:space="preserve">Subgenre</t>
  </si>
  <si>
    <t xml:space="preserve">Place #</t>
  </si>
  <si>
    <t xml:space="preserve">Raw Points</t>
  </si>
  <si>
    <t xml:space="preserve">Raw Voters</t>
  </si>
  <si>
    <t xml:space="preserve">Status</t>
  </si>
  <si>
    <t xml:space="preserve">Repeat Count</t>
  </si>
  <si>
    <t xml:space="preserve">Repeat Seq</t>
  </si>
  <si>
    <t xml:space="preserve">Key</t>
  </si>
  <si>
    <t xml:space="preserve">Major Genre</t>
  </si>
  <si>
    <t xml:space="preserve">Love Me to Heaven</t>
  </si>
  <si>
    <t xml:space="preserve">Jonas Brothers</t>
  </si>
  <si>
    <t xml:space="preserve">Pop</t>
  </si>
  <si>
    <t xml:space="preserve">Kelsey</t>
  </si>
  <si>
    <t xml:space="preserve">1 - A Song you'd recommend any day</t>
  </si>
  <si>
    <t xml:space="preserve">Org Mgmt COE (1st League)</t>
  </si>
  <si>
    <t xml:space="preserve">spotify:track:7usqgT1ajVAJ3s0wXePtRr</t>
  </si>
  <si>
    <t xml:space="preserve">Shut Up and Dance</t>
  </si>
  <si>
    <t xml:space="preserve">WALK THE MOON</t>
  </si>
  <si>
    <t xml:space="preserve">Rock</t>
  </si>
  <si>
    <t xml:space="preserve">Nicole</t>
  </si>
  <si>
    <t xml:space="preserve">spotify:track:4kbj5MwxO1bq9wjT5g9HaA</t>
  </si>
  <si>
    <t xml:space="preserve">Fantasy</t>
  </si>
  <si>
    <t xml:space="preserve">Mariah Carey</t>
  </si>
  <si>
    <t xml:space="preserve">R&amp;B/Soul</t>
  </si>
  <si>
    <t xml:space="preserve">Stephanie</t>
  </si>
  <si>
    <t xml:space="preserve">spotify:track:6xkryXuiZU360Lngd4sx13</t>
  </si>
  <si>
    <t xml:space="preserve">Lonely Heart</t>
  </si>
  <si>
    <t xml:space="preserve">5 Seconds of Summer</t>
  </si>
  <si>
    <t xml:space="preserve">Merita</t>
  </si>
  <si>
    <t xml:space="preserve">spotify:track:1MAXdOA4Dtz6eJMz0nEq2H</t>
  </si>
  <si>
    <t xml:space="preserve">Euclid</t>
  </si>
  <si>
    <t xml:space="preserve">Sleep Token</t>
  </si>
  <si>
    <t xml:space="preserve">Metal</t>
  </si>
  <si>
    <t xml:space="preserve">Kristen</t>
  </si>
  <si>
    <t xml:space="preserve">spotify:track:3hZIvVYZWsuFpdWdXQFgKx</t>
  </si>
  <si>
    <t xml:space="preserve">By My Side</t>
  </si>
  <si>
    <t xml:space="preserve">Connor Price</t>
  </si>
  <si>
    <t xml:space="preserve">Hip-Hop/Rap</t>
  </si>
  <si>
    <t xml:space="preserve">Collin</t>
  </si>
  <si>
    <t xml:space="preserve">spotify:track:5FtOZv6MB6IWL2DneVYvoe</t>
  </si>
  <si>
    <t xml:space="preserve">Tous les mêmes</t>
  </si>
  <si>
    <t xml:space="preserve">Stromae</t>
  </si>
  <si>
    <t xml:space="preserve">Electronic/Pop</t>
  </si>
  <si>
    <t xml:space="preserve">Matt</t>
  </si>
  <si>
    <t xml:space="preserve">spotify:track:1GC1MIaRMW3kfVK9VyD5Ii</t>
  </si>
  <si>
    <t xml:space="preserve">Granite</t>
  </si>
  <si>
    <t xml:space="preserve">Leah</t>
  </si>
  <si>
    <t xml:space="preserve">spotify:track:4mxiv6HQfhqgIuN5iOONQd</t>
  </si>
  <si>
    <t xml:space="preserve">Unwritten</t>
  </si>
  <si>
    <t xml:space="preserve">Natasha Bedingfield</t>
  </si>
  <si>
    <t xml:space="preserve">Olivia</t>
  </si>
  <si>
    <t xml:space="preserve">spotify:track:3U5JVgI2x4rDyHGObzJfNf</t>
  </si>
  <si>
    <t xml:space="preserve">Moon River</t>
  </si>
  <si>
    <t xml:space="preserve">Audrey Hepburn</t>
  </si>
  <si>
    <t xml:space="preserve">Jazz/Vocal</t>
  </si>
  <si>
    <t xml:space="preserve">Logan</t>
  </si>
  <si>
    <t xml:space="preserve">spotify:track:1XwAKjAZ1xDZOcuyZoqce4</t>
  </si>
  <si>
    <t xml:space="preserve">At the Beginning</t>
  </si>
  <si>
    <t xml:space="preserve">Hollywood Sound Stars</t>
  </si>
  <si>
    <t xml:space="preserve">Soundtrack/Musical</t>
  </si>
  <si>
    <t xml:space="preserve">Maryann</t>
  </si>
  <si>
    <t xml:space="preserve">spotify:track:5Qn0AlYJHOKogfbE36or9V</t>
  </si>
  <si>
    <t xml:space="preserve">The Ballad of the Witches' Road</t>
  </si>
  <si>
    <t xml:space="preserve">Kathryn Hahn</t>
  </si>
  <si>
    <t xml:space="preserve">2 - Halloween-ish Songs</t>
  </si>
  <si>
    <t xml:space="preserve">spotify:track:59h6Uw3m5ClwHnEcKXh8hg</t>
  </si>
  <si>
    <t xml:space="preserve">Miss Murder</t>
  </si>
  <si>
    <t xml:space="preserve">AFI</t>
  </si>
  <si>
    <t xml:space="preserve">spotify:track:0Ti2dlF2xLjXblvdU5fCxM</t>
  </si>
  <si>
    <t xml:space="preserve">Witch Doctor</t>
  </si>
  <si>
    <t xml:space="preserve">Chris Classic</t>
  </si>
  <si>
    <t xml:space="preserve">spotify:track:27K0tchvM5KszaSJEX7fj5</t>
  </si>
  <si>
    <t xml:space="preserve">Spooky, Scary Skeletons</t>
  </si>
  <si>
    <t xml:space="preserve">Andrew Gold</t>
  </si>
  <si>
    <t xml:space="preserve">spotify:track:23V08GxMeaZNSf8Gy6KF6t</t>
  </si>
  <si>
    <t xml:space="preserve">Beauty And A Freak</t>
  </si>
  <si>
    <t xml:space="preserve">John Michael Howell</t>
  </si>
  <si>
    <t xml:space="preserve">spotify:track:2XsYy0zVhmSxf9qnonc5Lr</t>
  </si>
  <si>
    <t xml:space="preserve">vampire</t>
  </si>
  <si>
    <t xml:space="preserve">Olivia Rodrigo</t>
  </si>
  <si>
    <t xml:space="preserve">Pop/Rock</t>
  </si>
  <si>
    <t xml:space="preserve">spotify:track:5VJETUjJ7y46bAz4min5IB</t>
  </si>
  <si>
    <t xml:space="preserve">Time Warp</t>
  </si>
  <si>
    <t xml:space="preserve">Little Nell, Patricia Quinn, Richard O'Brien, The Rocky Horror Picture Show</t>
  </si>
  <si>
    <t xml:space="preserve">spotify:track:4WFeJTXNHIS2wURtwlAkhu</t>
  </si>
  <si>
    <t xml:space="preserve">The Dead Dance</t>
  </si>
  <si>
    <t xml:space="preserve">Lady Gaga</t>
  </si>
  <si>
    <t xml:space="preserve">spotify:track:3NFs3XUduzBfvc5Bx1gmzh</t>
  </si>
  <si>
    <t xml:space="preserve">Dragula</t>
  </si>
  <si>
    <t xml:space="preserve">Rob Zombie</t>
  </si>
  <si>
    <t xml:space="preserve">spotify:track:6Nm8h73ycDG2saCnZV8poF</t>
  </si>
  <si>
    <t xml:space="preserve">The Addams Family</t>
  </si>
  <si>
    <t xml:space="preserve">spotify:track:6TZTu1F0gnp8mtzvYZao41</t>
  </si>
  <si>
    <t xml:space="preserve">You Make Me Feel Like It's Halloween</t>
  </si>
  <si>
    <t xml:space="preserve">Muse</t>
  </si>
  <si>
    <t xml:space="preserve">spotify:track:4k0hvjglHbcZI203QI4pF7</t>
  </si>
  <si>
    <t xml:space="preserve">Against The Tide</t>
  </si>
  <si>
    <t xml:space="preserve">Sail North</t>
  </si>
  <si>
    <t xml:space="preserve">Country</t>
  </si>
  <si>
    <t xml:space="preserve">3 - Please Rise - You are now in charge of a country! What is the national anthem?</t>
  </si>
  <si>
    <t xml:space="preserve">spotify:track:1vuWlF2OWLtBqPNz0aoatB</t>
  </si>
  <si>
    <t xml:space="preserve">Don't Stop Me Now</t>
  </si>
  <si>
    <t xml:space="preserve">Queen</t>
  </si>
  <si>
    <t xml:space="preserve">spotify:track:62PDM93qqC4xSfQMV48MRF</t>
  </si>
  <si>
    <t xml:space="preserve">Never Gonna Give You Up</t>
  </si>
  <si>
    <t xml:space="preserve">Rick Astley</t>
  </si>
  <si>
    <t xml:space="preserve">spotify:track:4PTG3Z6ehGkBFwjybzWkR8</t>
  </si>
  <si>
    <t xml:space="preserve">Celebrate!</t>
  </si>
  <si>
    <t xml:space="preserve">spotify:track:3qXOcbRVwKySRfN0k6BDrf</t>
  </si>
  <si>
    <t xml:space="preserve">We Rock</t>
  </si>
  <si>
    <t xml:space="preserve">Cast of Camp Rock</t>
  </si>
  <si>
    <t xml:space="preserve">spotify:track:7r6ubHsaieaig4kORmmsDy</t>
  </si>
  <si>
    <t xml:space="preserve">Uptown Funk</t>
  </si>
  <si>
    <t xml:space="preserve">Mark Ronson</t>
  </si>
  <si>
    <t xml:space="preserve">spotify:track:32OlwWuMpZ6b0aN2RZOeMS</t>
  </si>
  <si>
    <t xml:space="preserve">Greatest Love of All</t>
  </si>
  <si>
    <t xml:space="preserve">Whitney Houston</t>
  </si>
  <si>
    <t xml:space="preserve">spotify:track:6yJxCltgtmGxIgKOS6ndnu</t>
  </si>
  <si>
    <t xml:space="preserve">Seasons of Love</t>
  </si>
  <si>
    <t xml:space="preserve">Anthony Rapp</t>
  </si>
  <si>
    <t xml:space="preserve">spotify:track:0LiRTCcc2q3A50Eh9k5bSi</t>
  </si>
  <si>
    <t xml:space="preserve">Red Solo Cup</t>
  </si>
  <si>
    <t xml:space="preserve">Toby Keith</t>
  </si>
  <si>
    <t xml:space="preserve">spotify:track:1c4Pc7mwRZrCLxkRZbGs6l</t>
  </si>
  <si>
    <t xml:space="preserve">Happy Nation</t>
  </si>
  <si>
    <t xml:space="preserve">Ace of Base</t>
  </si>
  <si>
    <t xml:space="preserve">spotify:track:0pmU9rDYZnJ53wVNrBOxsV</t>
  </si>
  <si>
    <t xml:space="preserve">Bibia Be Ye Ye</t>
  </si>
  <si>
    <t xml:space="preserve">Ed Sheeran</t>
  </si>
  <si>
    <t xml:space="preserve">4 - Deep Cut Song from a Popular Artist</t>
  </si>
  <si>
    <t xml:space="preserve">spotify:track:6SznMYPQJHzr3IwsAHLId2</t>
  </si>
  <si>
    <t xml:space="preserve">Eyes Wide Open</t>
  </si>
  <si>
    <t xml:space="preserve">Sabrina Carpenter</t>
  </si>
  <si>
    <t xml:space="preserve">spotify:track:4pbrp5dxpqjfaf4GiS6YuO</t>
  </si>
  <si>
    <t xml:space="preserve">Fireproof</t>
  </si>
  <si>
    <t xml:space="preserve">One Direction</t>
  </si>
  <si>
    <t xml:space="preserve">spotify:track:34aYkYrY3sXhEU9O4VQgtB</t>
  </si>
  <si>
    <t xml:space="preserve">Winter Things</t>
  </si>
  <si>
    <t xml:space="preserve">Ariana Grande</t>
  </si>
  <si>
    <t xml:space="preserve">spotify:track:1jhljxXlHw8K9rezXKrnow</t>
  </si>
  <si>
    <t xml:space="preserve">Rescue Me</t>
  </si>
  <si>
    <t xml:space="preserve">OneRepublic</t>
  </si>
  <si>
    <t xml:space="preserve">spotify:track:0mjAU3yKR1QnXnHtjGJqTM</t>
  </si>
  <si>
    <t xml:space="preserve">She's a Rainbow</t>
  </si>
  <si>
    <t xml:space="preserve">The Rolling Stones</t>
  </si>
  <si>
    <t xml:space="preserve">spotify:track:6KOtheMY0KN4s9TrQHr9It</t>
  </si>
  <si>
    <t xml:space="preserve">Bad Day</t>
  </si>
  <si>
    <t xml:space="preserve">Daniel Powter</t>
  </si>
  <si>
    <t xml:space="preserve">spotify:track:0mUyMawtxj1CJ76kn9gIZK</t>
  </si>
  <si>
    <t xml:space="preserve">Til Kingdom Come</t>
  </si>
  <si>
    <t xml:space="preserve">Coldplay</t>
  </si>
  <si>
    <t xml:space="preserve">spotify:track:1wQXj5bgxyZQ2XmE2X9s6n</t>
  </si>
  <si>
    <t xml:space="preserve">Runaway</t>
  </si>
  <si>
    <t xml:space="preserve">P!nk</t>
  </si>
  <si>
    <t xml:space="preserve">spotify:track:5Jzs8DYFtxTMWFcDh4dK3j</t>
  </si>
  <si>
    <t xml:space="preserve">Save You a Seat</t>
  </si>
  <si>
    <t xml:space="preserve">Alex Warren</t>
  </si>
  <si>
    <t xml:space="preserve">5 - Songs that "cut deep" (A Good Cry Song)</t>
  </si>
  <si>
    <t xml:space="preserve">spotify:track:6pkRK6iZC2Yhhd172tC9Id</t>
  </si>
  <si>
    <t xml:space="preserve">How Do I Say Goodbye</t>
  </si>
  <si>
    <t xml:space="preserve">Dean Lewis</t>
  </si>
  <si>
    <t xml:space="preserve">spotify:track:5hnGrTBaEsdukpDF6aZg8a</t>
  </si>
  <si>
    <t xml:space="preserve">When She Loved Me</t>
  </si>
  <si>
    <t xml:space="preserve">Sarah McLachlan</t>
  </si>
  <si>
    <t xml:space="preserve">spotify:track:780W6YW5HFANQLR77Owern</t>
  </si>
  <si>
    <t xml:space="preserve">Orpheus</t>
  </si>
  <si>
    <t xml:space="preserve">mgk</t>
  </si>
  <si>
    <t xml:space="preserve">spotify:track:0a19Y5a4mXE75w2N6EV7y2</t>
  </si>
  <si>
    <t xml:space="preserve">Theodosia Reprise</t>
  </si>
  <si>
    <t xml:space="preserve">Sara Bareilles</t>
  </si>
  <si>
    <t xml:space="preserve">spotify:track:6aWWF20lTBd9KgNc9IRIM2</t>
  </si>
  <si>
    <t xml:space="preserve">Gethsemane</t>
  </si>
  <si>
    <t xml:space="preserve">spotify:track:29JLgNBcOky7QB68OrvYxO</t>
  </si>
  <si>
    <t xml:space="preserve">The Night We Met</t>
  </si>
  <si>
    <t xml:space="preserve">Lord Huron</t>
  </si>
  <si>
    <t xml:space="preserve">Folk/Americana</t>
  </si>
  <si>
    <t xml:space="preserve">spotify:track:5yJaXWIErrrsjQ3J0eR5aK</t>
  </si>
  <si>
    <t xml:space="preserve">WILDFLOWER</t>
  </si>
  <si>
    <t xml:space="preserve">Billie Eilish</t>
  </si>
  <si>
    <t xml:space="preserve">spotify:track:3QaPy1KgI7nu9FJEQUgn6h</t>
  </si>
  <si>
    <t xml:space="preserve">F64</t>
  </si>
  <si>
    <t xml:space="preserve">spotify:track:5DFi6D7SrYHRIgZbY5MqqE</t>
  </si>
  <si>
    <t xml:space="preserve">Believe</t>
  </si>
  <si>
    <t xml:space="preserve">Cher</t>
  </si>
  <si>
    <t xml:space="preserve">spotify:track:2goLsvvODILDzeeiT4dAoR</t>
  </si>
  <si>
    <t xml:space="preserve">Stan</t>
  </si>
  <si>
    <t xml:space="preserve">Eminem</t>
  </si>
  <si>
    <t xml:space="preserve">6 - Songs that tell a Story</t>
  </si>
  <si>
    <t xml:space="preserve">spotify:track:3UmaczJpikHgJFyBTAJVoz</t>
  </si>
  <si>
    <t xml:space="preserve">You Don't Mess Around with Jim</t>
  </si>
  <si>
    <t xml:space="preserve">Jim Croce</t>
  </si>
  <si>
    <t xml:space="preserve">spotify:track:6ZBeRXjadHvBk9VYSnoO0R</t>
  </si>
  <si>
    <t xml:space="preserve">Nancy Mulligan</t>
  </si>
  <si>
    <t xml:space="preserve">spotify:track:35QZaWQRkmnAVqBF1TLCxQ</t>
  </si>
  <si>
    <t xml:space="preserve">I Hung My Head</t>
  </si>
  <si>
    <t xml:space="preserve">Johnny Cash</t>
  </si>
  <si>
    <t xml:space="preserve">spotify:track:3iBemYZi4lw53UYDlxqMlw</t>
  </si>
  <si>
    <t xml:space="preserve">The Downeaster 'Alexa'</t>
  </si>
  <si>
    <t xml:space="preserve">Billy Joel</t>
  </si>
  <si>
    <t xml:space="preserve">spotify:track:39cFQHfY6tsdMRmSbFse3X</t>
  </si>
  <si>
    <t xml:space="preserve">Goodbye Earl</t>
  </si>
  <si>
    <t xml:space="preserve">The Chicks</t>
  </si>
  <si>
    <t xml:space="preserve">spotify:track:7rqaqQurHzR5xHAhdm1gmM</t>
  </si>
  <si>
    <t xml:space="preserve">Travelin' Soldier</t>
  </si>
  <si>
    <t xml:space="preserve">Cody Johnson</t>
  </si>
  <si>
    <t xml:space="preserve">spotify:track:4ThbwJaIWVxXZ1qJaHQBCz</t>
  </si>
  <si>
    <t xml:space="preserve">The Architect</t>
  </si>
  <si>
    <t xml:space="preserve">Kacey Musgraves</t>
  </si>
  <si>
    <t xml:space="preserve">spotify:track:78SjYKRXdivtTDHBzaehnm</t>
  </si>
  <si>
    <t xml:space="preserve">Moral of the Story</t>
  </si>
  <si>
    <t xml:space="preserve">Ashe</t>
  </si>
  <si>
    <t xml:space="preserve">spotify:track:69HzZ3ti9DLwb0GdWCGYSo</t>
  </si>
  <si>
    <t xml:space="preserve">Milarrochy Bay</t>
  </si>
  <si>
    <t xml:space="preserve">Nathan Evans</t>
  </si>
  <si>
    <t xml:space="preserve">spotify:track:4DMUZgAnTiUxK3VOFJ2HI0</t>
  </si>
  <si>
    <t xml:space="preserve">drivers license</t>
  </si>
  <si>
    <t xml:space="preserve">Anya</t>
  </si>
  <si>
    <t xml:space="preserve">spotify:track:5wANPM4fQCJwkGd4rN57mH</t>
  </si>
  <si>
    <t xml:space="preserve">Dancing on Glass</t>
  </si>
  <si>
    <t xml:space="preserve">St. Lucia</t>
  </si>
  <si>
    <t xml:space="preserve">Electronic/Dance</t>
  </si>
  <si>
    <t xml:space="preserve">7 - Artist nobody knows but you?</t>
  </si>
  <si>
    <t xml:space="preserve">spotify:track:0aersVHlGGXcHeRvHtuaSt</t>
  </si>
  <si>
    <t xml:space="preserve">Perfect Strangers</t>
  </si>
  <si>
    <t xml:space="preserve">Jonas Blue</t>
  </si>
  <si>
    <t xml:space="preserve">spotify:track:3hDFOFjGIFwlSmCO6b39M4</t>
  </si>
  <si>
    <t xml:space="preserve">September Song</t>
  </si>
  <si>
    <t xml:space="preserve">JP Cooper</t>
  </si>
  <si>
    <t xml:space="preserve">spotify:track:0zbzrhfVS9S2TszW3wLQZ7</t>
  </si>
  <si>
    <t xml:space="preserve">WOKE UP</t>
  </si>
  <si>
    <t xml:space="preserve">XG</t>
  </si>
  <si>
    <t xml:space="preserve">K-Pop</t>
  </si>
  <si>
    <t xml:space="preserve">spotify:track:4keuUM29CtIWgsPRzRhXoW</t>
  </si>
  <si>
    <t xml:space="preserve">So Beautiful</t>
  </si>
  <si>
    <t xml:space="preserve">DPR IAN</t>
  </si>
  <si>
    <t xml:space="preserve">spotify:track:6syar8JKCt3R9ZBl11zmgI</t>
  </si>
  <si>
    <t xml:space="preserve">if i never</t>
  </si>
  <si>
    <t xml:space="preserve">Jessica Baio</t>
  </si>
  <si>
    <t xml:space="preserve">spotify:track:72bcYTJEHG7tNIdhmUYGht</t>
  </si>
  <si>
    <t xml:space="preserve">TGTBT</t>
  </si>
  <si>
    <t xml:space="preserve">Lily Mae Harrington</t>
  </si>
  <si>
    <t xml:space="preserve">spotify:track:5CYdANFs8Gz4ho3tN61Bjz</t>
  </si>
  <si>
    <t xml:space="preserve">Memories We'll Never Make</t>
  </si>
  <si>
    <t xml:space="preserve">Michael Minelli</t>
  </si>
  <si>
    <t xml:space="preserve">spotify:track:4ddEGm8Wj9ArZ9Pk21mxdK</t>
  </si>
  <si>
    <t xml:space="preserve">Wasted &amp; Ready</t>
  </si>
  <si>
    <t xml:space="preserve">Ben Kweller</t>
  </si>
  <si>
    <t xml:space="preserve">spotify:track:0m4Am92jGJ03JbiOkJ0ta8</t>
  </si>
  <si>
    <t xml:space="preserve">Bright Bulbs &amp; Sharp Tools</t>
  </si>
  <si>
    <t xml:space="preserve">Fair To Midland</t>
  </si>
  <si>
    <t xml:space="preserve">spotify:track:3ECwNI9Pi4G4b8EypUwLNJ</t>
  </si>
  <si>
    <t xml:space="preserve">Portions for Foxes</t>
  </si>
  <si>
    <t xml:space="preserve">Rilo Kiley</t>
  </si>
  <si>
    <t xml:space="preserve">spotify:track:4yY8JqTOQyi7K4O1QcQtBG</t>
  </si>
  <si>
    <t xml:space="preserve">APT.</t>
  </si>
  <si>
    <t xml:space="preserve">ROSÉ</t>
  </si>
  <si>
    <t xml:space="preserve">8 - Best Earworm</t>
  </si>
  <si>
    <t xml:space="preserve">spotify:track:5vNRhkKd0yEAg8suGBpjeY</t>
  </si>
  <si>
    <t xml:space="preserve">STAY</t>
  </si>
  <si>
    <t xml:space="preserve">The Kid LAROI</t>
  </si>
  <si>
    <t xml:space="preserve">spotify:track:5HCyWlXZPP0y6Gqq8TgA20</t>
  </si>
  <si>
    <t xml:space="preserve">Golden</t>
  </si>
  <si>
    <t xml:space="preserve">HUNTR/X</t>
  </si>
  <si>
    <t xml:space="preserve">spotify:track:1CPZ5BxNNd0n0nF4Orb9JS</t>
  </si>
  <si>
    <t xml:space="preserve">Soda Pop</t>
  </si>
  <si>
    <t xml:space="preserve">Saja Boys</t>
  </si>
  <si>
    <t xml:space="preserve">spotify:track:02sy7FAs8dkDNYsHp4Ul3f</t>
  </si>
  <si>
    <t xml:space="preserve">Axel F</t>
  </si>
  <si>
    <t xml:space="preserve">Crazy Frog</t>
  </si>
  <si>
    <t xml:space="preserve">spotify:track:0Bo5fjMtTfCD8vHGebivqc</t>
  </si>
  <si>
    <t xml:space="preserve">Nothing Can Stop Us Now</t>
  </si>
  <si>
    <t xml:space="preserve">Mickey &amp; Minnie</t>
  </si>
  <si>
    <t xml:space="preserve">spotify:track:6manK5YRppWQriHBUsr3nK</t>
  </si>
  <si>
    <t xml:space="preserve">Shiny Teeth</t>
  </si>
  <si>
    <t xml:space="preserve">Nickelodeon</t>
  </si>
  <si>
    <t xml:space="preserve">spotify:track:6B5PBsK6Kg2VUXwiPdU92p</t>
  </si>
  <si>
    <t xml:space="preserve">WHERE IS MY HUSBAND!</t>
  </si>
  <si>
    <t xml:space="preserve">RAYE</t>
  </si>
  <si>
    <t xml:space="preserve">spotify:track:55lijDD6OAjLFFUHU9tcDm</t>
  </si>
  <si>
    <t xml:space="preserve">It's A Small World</t>
  </si>
  <si>
    <t xml:space="preserve">The Disneyland Children's Chorus</t>
  </si>
  <si>
    <t xml:space="preserve">spotify:track:6hVrlsXwBWVp5Lrc8FV4iB</t>
  </si>
  <si>
    <t xml:space="preserve">Hazel Eyes</t>
  </si>
  <si>
    <t xml:space="preserve">Sabrina Jordan</t>
  </si>
  <si>
    <t xml:space="preserve">spotify:track:4DvlcoeyHGPzlkSKZlVGSt</t>
  </si>
  <si>
    <t xml:space="preserve">Порнозвезда</t>
  </si>
  <si>
    <t xml:space="preserve">PHARAOH</t>
  </si>
  <si>
    <t xml:space="preserve">spotify:track:6XJPX1JLcJhyhPyvuuST2f</t>
  </si>
  <si>
    <t xml:space="preserve">Mi Gente - Steve Aoki Remix</t>
  </si>
  <si>
    <t xml:space="preserve">J Balvin</t>
  </si>
  <si>
    <t xml:space="preserve">Latin</t>
  </si>
  <si>
    <t xml:space="preserve">1 - Workout Song</t>
  </si>
  <si>
    <t xml:space="preserve">Org Mgmt: The Sequel (2nd League)</t>
  </si>
  <si>
    <t xml:space="preserve">spotify:track:6tK77Y61ZxGga7uCbMaEI1</t>
  </si>
  <si>
    <t xml:space="preserve">High Hopes</t>
  </si>
  <si>
    <t xml:space="preserve">Panic! At The Disco</t>
  </si>
  <si>
    <t xml:space="preserve">spotify:track:1rqqCSm0Qe4I9rUvWncaom</t>
  </si>
  <si>
    <t xml:space="preserve">Centuries</t>
  </si>
  <si>
    <t xml:space="preserve">Fall Out Boy</t>
  </si>
  <si>
    <t xml:space="preserve">spotify:track:04aAxqtGp5pv12UXAg4pkq</t>
  </si>
  <si>
    <t xml:space="preserve">On The Floor</t>
  </si>
  <si>
    <t xml:space="preserve">Jennifer Lopez</t>
  </si>
  <si>
    <t xml:space="preserve">Aubrey</t>
  </si>
  <si>
    <t xml:space="preserve">spotify:track:20zQZVyUNPbq8kZACdgYrh</t>
  </si>
  <si>
    <t xml:space="preserve">Till I Collapse</t>
  </si>
  <si>
    <t xml:space="preserve">Shayne</t>
  </si>
  <si>
    <t xml:space="preserve">spotify:track:4xkOaSrkexMciUUogZKVTS</t>
  </si>
  <si>
    <t xml:space="preserve">Your Love Is My Drug</t>
  </si>
  <si>
    <t xml:space="preserve">Kesha</t>
  </si>
  <si>
    <t xml:space="preserve">Grace</t>
  </si>
  <si>
    <t xml:space="preserve">spotify:track:6vc2Jq2vaGu8z326kSrw92</t>
  </si>
  <si>
    <t xml:space="preserve">Misery Business</t>
  </si>
  <si>
    <t xml:space="preserve">Paramore</t>
  </si>
  <si>
    <t xml:space="preserve">spotify:track:6SpLc7EXZIPpy0sVko0aoU</t>
  </si>
  <si>
    <t xml:space="preserve">What's Up Danger</t>
  </si>
  <si>
    <t xml:space="preserve">Blackway</t>
  </si>
  <si>
    <t xml:space="preserve">spotify:track:5zsHmE2gO3RefVsPyw2e3T</t>
  </si>
  <si>
    <t xml:space="preserve">Animals</t>
  </si>
  <si>
    <t xml:space="preserve">Martin Garrix</t>
  </si>
  <si>
    <t xml:space="preserve">spotify:track:0A9mHc7oYUoCECqByV8cQR</t>
  </si>
  <si>
    <t xml:space="preserve">Untouched</t>
  </si>
  <si>
    <t xml:space="preserve">The Veronicas</t>
  </si>
  <si>
    <t xml:space="preserve">Makenzie</t>
  </si>
  <si>
    <t xml:space="preserve">spotify:track:0KlahhzNb98zyN83Vwae0l</t>
  </si>
  <si>
    <t xml:space="preserve">#thatPOWER</t>
  </si>
  <si>
    <t xml:space="preserve">will.i.am</t>
  </si>
  <si>
    <t xml:space="preserve">spotify:track:37qlkp5VImuuYcXZI6aiam</t>
  </si>
  <si>
    <t xml:space="preserve">Closer</t>
  </si>
  <si>
    <t xml:space="preserve">Nine Inch Nails</t>
  </si>
  <si>
    <t xml:space="preserve">spotify:track:5mc6EyF1OIEOhAkD0Gg9Lc</t>
  </si>
  <si>
    <t xml:space="preserve">Around the World / Harder, Better, Faster, Stronger</t>
  </si>
  <si>
    <t xml:space="preserve">Daft Punk</t>
  </si>
  <si>
    <t xml:space="preserve">spotify:track:5RByQFt9Mlo8hDYJ921tCv</t>
  </si>
  <si>
    <t xml:space="preserve">B.O.B. - Bombs Over Baghdad</t>
  </si>
  <si>
    <t xml:space="preserve">Outkast</t>
  </si>
  <si>
    <t xml:space="preserve">spotify:track:3WibbMr6canxRJXhNtAvLU</t>
  </si>
  <si>
    <t xml:space="preserve">Christmas in Killarney</t>
  </si>
  <si>
    <t xml:space="preserve">The Irish Rovers</t>
  </si>
  <si>
    <t xml:space="preserve">2 - Hidden Holiday Gems</t>
  </si>
  <si>
    <t xml:space="preserve">spotify:track:4XKj7iRK8QstOH4sG67YJf</t>
  </si>
  <si>
    <t xml:space="preserve">The 12 Days of Christmas</t>
  </si>
  <si>
    <t xml:space="preserve">Straight No Chaser</t>
  </si>
  <si>
    <t xml:space="preserve">A Cappella</t>
  </si>
  <si>
    <t xml:space="preserve">spotify:track:5f5wlkRHWhYxOdp1hOUsTb</t>
  </si>
  <si>
    <t xml:space="preserve">Maybe Just Go Outside(baby it's cold outside)</t>
  </si>
  <si>
    <t xml:space="preserve">Your Dead</t>
  </si>
  <si>
    <t xml:space="preserve">spotify:track:0onPWnKnRdmOnEQm4ZUTKG</t>
  </si>
  <si>
    <t xml:space="preserve">Warmer In The Winter</t>
  </si>
  <si>
    <t xml:space="preserve">Lindsey Stirling</t>
  </si>
  <si>
    <t xml:space="preserve">Classical Crossover</t>
  </si>
  <si>
    <t xml:space="preserve">spotify:track:1ssFg8Xr5A8O2U6JkKjZRz</t>
  </si>
  <si>
    <t xml:space="preserve">Greatest Time Of Year</t>
  </si>
  <si>
    <t xml:space="preserve">Aly &amp; AJ</t>
  </si>
  <si>
    <t xml:space="preserve">spotify:track:7yrqJUfnjteV1FLe9dXcVa</t>
  </si>
  <si>
    <t xml:space="preserve">Dominick the Donkey (The Italian Christmas Donkey)</t>
  </si>
  <si>
    <t xml:space="preserve">Lou Monte</t>
  </si>
  <si>
    <t xml:space="preserve">Traditional Pop</t>
  </si>
  <si>
    <t xml:space="preserve">spotify:track:6W332S9Wbc6TOBlChnemKD</t>
  </si>
  <si>
    <t xml:space="preserve">Drummer Boy</t>
  </si>
  <si>
    <t xml:space="preserve">Justin Bieber</t>
  </si>
  <si>
    <t xml:space="preserve">spotify:track:0Pd4lsvSDPkcNCxbcz0UeV</t>
  </si>
  <si>
    <t xml:space="preserve">That's Christmas to Me</t>
  </si>
  <si>
    <t xml:space="preserve">Pentatonix</t>
  </si>
  <si>
    <t xml:space="preserve">spotify:track:2U9kDk5mlHYunC7PvbZ8KX</t>
  </si>
  <si>
    <t xml:space="preserve">Mistletoe</t>
  </si>
  <si>
    <t xml:space="preserve">spotify:track:7xapw9Oy21WpfEcib2ErSA</t>
  </si>
  <si>
    <t xml:space="preserve">Cold December Night</t>
  </si>
  <si>
    <t xml:space="preserve">Michael Bublé</t>
  </si>
  <si>
    <t xml:space="preserve">spotify:track:0h2dcuCb1emDJa6UfghZWq</t>
  </si>
  <si>
    <t xml:space="preserve">Short Red Silk Lingerie</t>
  </si>
  <si>
    <t xml:space="preserve">Sabrina Claudio</t>
  </si>
  <si>
    <t xml:space="preserve">spotify:track:0984kdcFfmBkZv8M9x4wcb</t>
  </si>
  <si>
    <t xml:space="preserve">Better Days</t>
  </si>
  <si>
    <t xml:space="preserve">The Goo Goo Dolls</t>
  </si>
  <si>
    <t xml:space="preserve">spotify:track:2hiB8QxWic092OablwpoVC</t>
  </si>
  <si>
    <t xml:space="preserve">God Rest Ye Merry Gentlemen / We Three Kings</t>
  </si>
  <si>
    <t xml:space="preserve">Barenaked Ladies</t>
  </si>
  <si>
    <t xml:space="preserve">spotify:track:6eou298JmAGYShrwYuLxJ2</t>
  </si>
  <si>
    <t xml:space="preserve">You Make It Feel Like Christmas</t>
  </si>
  <si>
    <t xml:space="preserve">Gwen Stefani</t>
  </si>
  <si>
    <t xml:space="preserve">spotify:track:2OQ6a4CfUeYskpTTgyawyJ</t>
  </si>
  <si>
    <t xml:space="preserve">Welcome to the Black Parade</t>
  </si>
  <si>
    <t xml:space="preserve">My Chemical Romance</t>
  </si>
  <si>
    <t xml:space="preserve">3 - Mystery (I'm Happy, Why Do You Ask?)</t>
  </si>
  <si>
    <t xml:space="preserve">spotify:track:5wQnmLuC1W7ATsArWACrgW</t>
  </si>
  <si>
    <t xml:space="preserve">30,000 Feet</t>
  </si>
  <si>
    <t xml:space="preserve">Ben Rector</t>
  </si>
  <si>
    <t xml:space="preserve">spotify:track:0KF5nzdiqZlxVK68MPITst</t>
  </si>
  <si>
    <t xml:space="preserve">Non, je ne regrette rien</t>
  </si>
  <si>
    <t xml:space="preserve">Edith Piaf</t>
  </si>
  <si>
    <t xml:space="preserve">spotify:track:3dkIE8P7hvl3tHl9KSb6dA</t>
  </si>
  <si>
    <t xml:space="preserve">Godspeed</t>
  </si>
  <si>
    <t xml:space="preserve">Frank Ocean</t>
  </si>
  <si>
    <t xml:space="preserve">spotify:track:34xTFwjPQ1dC6uJmleno7x</t>
  </si>
  <si>
    <t xml:space="preserve">We Intertwined</t>
  </si>
  <si>
    <t xml:space="preserve">The Hush Sound</t>
  </si>
  <si>
    <t xml:space="preserve">spotify:track:2OSvnWYcpDv08GLmLDih1w</t>
  </si>
  <si>
    <t xml:space="preserve">Opalite</t>
  </si>
  <si>
    <t xml:space="preserve">Taylor Swift</t>
  </si>
  <si>
    <t xml:space="preserve">spotify:track:3yWuTOYDztXjZxdE2cIRUa</t>
  </si>
  <si>
    <t xml:space="preserve">Ocean Drive</t>
  </si>
  <si>
    <t xml:space="preserve">Duke Dumont</t>
  </si>
  <si>
    <t xml:space="preserve">spotify:track:0b6wdul3A5sQNpIOv03OxP</t>
  </si>
  <si>
    <t xml:space="preserve">City of Angels</t>
  </si>
  <si>
    <t xml:space="preserve">Em Beihold</t>
  </si>
  <si>
    <t xml:space="preserve">spotify:track:3u2e0jBFHbDT9yPA6vMK1v</t>
  </si>
  <si>
    <t xml:space="preserve">I WANNA BE YOUR SLAVE</t>
  </si>
  <si>
    <t xml:space="preserve">Måneskin</t>
  </si>
  <si>
    <t xml:space="preserve">spotify:track:4pt5fDVTg5GhEvEtlz9dKk</t>
  </si>
  <si>
    <t xml:space="preserve">Dizzy On the Comedown</t>
  </si>
  <si>
    <t xml:space="preserve">Turnover</t>
  </si>
  <si>
    <t xml:space="preserve">Scott</t>
  </si>
  <si>
    <t xml:space="preserve">spotify:track:3vkj94FiLgUz3ysZcmIXPx</t>
  </si>
  <si>
    <t xml:space="preserve">Nashville</t>
  </si>
  <si>
    <t xml:space="preserve">Carter Vail</t>
  </si>
  <si>
    <t xml:space="preserve">spotify:track:7h4OYLCsuULrjIFSYNfVdh</t>
  </si>
  <si>
    <t xml:space="preserve">Time Bomb</t>
  </si>
  <si>
    <t xml:space="preserve">Iration</t>
  </si>
  <si>
    <t xml:space="preserve">Reggae</t>
  </si>
  <si>
    <t xml:space="preserve">spotify:track:0KtKac3tvjeGjg6FXcUy7X</t>
  </si>
  <si>
    <t xml:space="preserve">Run It Up</t>
  </si>
  <si>
    <t xml:space="preserve">Hanumankind</t>
  </si>
  <si>
    <t xml:space="preserve">spotify:track:3sZQ8L4aptFDJXBqdVdvO8</t>
  </si>
  <si>
    <t xml:space="preserve">Vielleicht Vielleicht</t>
  </si>
  <si>
    <t xml:space="preserve">MilleniumKid, JBS, HOLY PRIEST, elMefti</t>
  </si>
  <si>
    <t xml:space="preserve">spotify:track:2nWw7VrUn8Ijo45K6WIIna</t>
  </si>
  <si>
    <t xml:space="preserve">As Alive As You Need Me To Be</t>
  </si>
  <si>
    <t xml:space="preserve">4 - Songs from Another World</t>
  </si>
  <si>
    <t xml:space="preserve">spotify:track:1xsEHo7mtGZLEG94vFX11z</t>
  </si>
  <si>
    <t xml:space="preserve">Robot Rock</t>
  </si>
  <si>
    <t xml:space="preserve">spotify:track:4zu9wo2FXoBSsKjO6tRB3R</t>
  </si>
  <si>
    <t xml:space="preserve">2815 A.D.</t>
  </si>
  <si>
    <t xml:space="preserve">Thomas Newman</t>
  </si>
  <si>
    <t xml:space="preserve">Classical/Score</t>
  </si>
  <si>
    <t xml:space="preserve">spotify:track:3UjaW5GLMlggBYYrjJhFis</t>
  </si>
  <si>
    <t xml:space="preserve">Blue (Da Ba Dee) - Gabry Ponte Video Edit</t>
  </si>
  <si>
    <t xml:space="preserve">Eiffel 65</t>
  </si>
  <si>
    <t xml:space="preserve">spotify:track:7lMIJ4EFWRVoAIPDpeGyM3</t>
  </si>
  <si>
    <t xml:space="preserve">Midnight</t>
  </si>
  <si>
    <t xml:space="preserve">spotify:track:4GKk1uNzpxIptBuaY97Dkj</t>
  </si>
  <si>
    <t xml:space="preserve">Moon Car</t>
  </si>
  <si>
    <t xml:space="preserve">Big Dopes</t>
  </si>
  <si>
    <t xml:space="preserve">spotify:track:19zHZS1ZVXUVFuOGWbIJ0A</t>
  </si>
  <si>
    <t xml:space="preserve">Porcelain</t>
  </si>
  <si>
    <t xml:space="preserve">Moby</t>
  </si>
  <si>
    <t xml:space="preserve">spotify:track:19vUJwIaPAgDJyGZMBI9MG</t>
  </si>
  <si>
    <t xml:space="preserve">E.T.</t>
  </si>
  <si>
    <t xml:space="preserve">Katy Perry</t>
  </si>
  <si>
    <t xml:space="preserve">spotify:track:4z8ssgZfs5TzKiO8HaGWXO</t>
  </si>
  <si>
    <t xml:space="preserve">Hide and Seek</t>
  </si>
  <si>
    <t xml:space="preserve">Imogen Heap</t>
  </si>
  <si>
    <t xml:space="preserve">spotify:track:2tej1KSqNuxwywIpY1rDRc</t>
  </si>
  <si>
    <t xml:space="preserve">Oblivian</t>
  </si>
  <si>
    <t xml:space="preserve">Grimes</t>
  </si>
  <si>
    <t xml:space="preserve">spotify:track:3LGsgpx4TfxhXbr07OFKqs</t>
  </si>
  <si>
    <t xml:space="preserve">Alone</t>
  </si>
  <si>
    <t xml:space="preserve">Alan Walker</t>
  </si>
  <si>
    <t xml:space="preserve">spotify:track:3LlmKSHR3Rs0Y3KHQLAYDk</t>
  </si>
  <si>
    <t xml:space="preserve">Cornfield Chase</t>
  </si>
  <si>
    <t xml:space="preserve">Hans Zimmer</t>
  </si>
  <si>
    <t xml:space="preserve">spotify:track:6pWgRkpqVfxnj3WuIcJ7WP</t>
  </si>
  <si>
    <t xml:space="preserve">Rocket Man (I Think It's Going To Be a Long, Long Time)</t>
  </si>
  <si>
    <t xml:space="preserve">Elton John</t>
  </si>
  <si>
    <t xml:space="preserve">spotify:track:3gdewACMIVMEWVbyb8O9sY</t>
  </si>
  <si>
    <t xml:space="preserve">Turn the Lights Off (feat. Jon) - Radio Edit</t>
  </si>
  <si>
    <t xml:space="preserve">Kato</t>
  </si>
  <si>
    <t xml:space="preserve">spotify:track:7apywiCuMzvSZIa0SKeH99</t>
  </si>
  <si>
    <t xml:space="preserve">I Will Always Love You</t>
  </si>
  <si>
    <t xml:space="preserve">5 - The cover was better than the original</t>
  </si>
  <si>
    <t xml:space="preserve">spotify:track:4eHbdreAnSOrDDsFfc4Fpm</t>
  </si>
  <si>
    <t xml:space="preserve">I Love Rock 'N Roll</t>
  </si>
  <si>
    <t xml:space="preserve">Joan Jett &amp; the Blackhearts</t>
  </si>
  <si>
    <t xml:space="preserve">spotify:track:2Cdvbe2G4hZsnhNMKyGrie</t>
  </si>
  <si>
    <t xml:space="preserve">Istanbul (Not Constantinople)</t>
  </si>
  <si>
    <t xml:space="preserve">They Might Be Giants</t>
  </si>
  <si>
    <t xml:space="preserve">Alternative/Comedy</t>
  </si>
  <si>
    <t xml:space="preserve">spotify:track:63vL5oxWrlvaJ0ayNaQnbX</t>
  </si>
  <si>
    <t xml:space="preserve">With A Little Help From My Friends</t>
  </si>
  <si>
    <t xml:space="preserve">Joe Cocker</t>
  </si>
  <si>
    <t xml:space="preserve">spotify:track:0YZ3J8xzGwLOg4yEgST1YK</t>
  </si>
  <si>
    <t xml:space="preserve">The Sound of Silence</t>
  </si>
  <si>
    <t xml:space="preserve">Disturbed</t>
  </si>
  <si>
    <t xml:space="preserve">spotify:track:1Cj2vqUwlJVG27gJrun92y</t>
  </si>
  <si>
    <t xml:space="preserve">Over My Head (Cable Car)</t>
  </si>
  <si>
    <t xml:space="preserve">A Day to Remember</t>
  </si>
  <si>
    <t xml:space="preserve">spotify:track:6qXdC5KUAii87YnD9MOGG9</t>
  </si>
  <si>
    <t xml:space="preserve">Valerie - BBC Radio 1 Live Lounge</t>
  </si>
  <si>
    <t xml:space="preserve">Amy Winehouse</t>
  </si>
  <si>
    <t xml:space="preserve">spotify:track:5it9RIRXDwiLpJKdce6Z7e</t>
  </si>
  <si>
    <t xml:space="preserve">Into the Unknown - Panic! At The Disco Version</t>
  </si>
  <si>
    <t xml:space="preserve">spotify:track:421eObjg0DTm2qajJl5OJm</t>
  </si>
  <si>
    <t xml:space="preserve">Word Up!</t>
  </si>
  <si>
    <t xml:space="preserve">Korn</t>
  </si>
  <si>
    <t xml:space="preserve">spotify:track:73U1KkjdT0sMgGaKn3P6Z4</t>
  </si>
  <si>
    <t xml:space="preserve">Valerie (feat. Amy Winehouse) - Version Revisited</t>
  </si>
  <si>
    <t xml:space="preserve">Mark Ronson, Amy Winehouse</t>
  </si>
  <si>
    <t xml:space="preserve">spotify:track:6kopmMZiyLmw7h66uXcXR7</t>
  </si>
  <si>
    <t xml:space="preserve">Red Red Wine</t>
  </si>
  <si>
    <t xml:space="preserve">UB40</t>
  </si>
  <si>
    <t xml:space="preserve">spotify:track:4uOKFydzAejjSFqYbv1XPt</t>
  </si>
  <si>
    <t xml:space="preserve">Dancing On My Own</t>
  </si>
  <si>
    <t xml:space="preserve">Calum Scott</t>
  </si>
  <si>
    <t xml:space="preserve">spotify:track:2BOqDYLOJBiMOXShCV1neZ</t>
  </si>
  <si>
    <t xml:space="preserve">Everytime We Touch</t>
  </si>
  <si>
    <t xml:space="preserve">Cascada</t>
  </si>
  <si>
    <t xml:space="preserve">6 - Forgotten Gems</t>
  </si>
  <si>
    <t xml:space="preserve">spotify:track:5YJtMNWKe55yr49cyJgxva</t>
  </si>
  <si>
    <t xml:space="preserve">Sugar, We're Goin Down</t>
  </si>
  <si>
    <t xml:space="preserve">spotify:track:2TfSHkHiFO4gRztVIkggkE</t>
  </si>
  <si>
    <t xml:space="preserve">I Believe in a Thing Called Love</t>
  </si>
  <si>
    <t xml:space="preserve">The Darkness</t>
  </si>
  <si>
    <t xml:space="preserve">spotify:track:756CJtQRFSxEx9jV4P9hpA</t>
  </si>
  <si>
    <t xml:space="preserve">I Love You Always Forever</t>
  </si>
  <si>
    <t xml:space="preserve">Donna Lewis</t>
  </si>
  <si>
    <t xml:space="preserve">spotify:track:1PEqh7awkpuepLBSq8ZwqD</t>
  </si>
  <si>
    <t xml:space="preserve">Shake It</t>
  </si>
  <si>
    <t xml:space="preserve">Metro Station</t>
  </si>
  <si>
    <t xml:space="preserve">spotify:track:5619Ojc6t9evEEs3B7Drhe</t>
  </si>
  <si>
    <t xml:space="preserve">Butterfly</t>
  </si>
  <si>
    <t xml:space="preserve">Crazy Town</t>
  </si>
  <si>
    <t xml:space="preserve">spotify:track:4BggEwLhGfrbrl7JBhC8EC</t>
  </si>
  <si>
    <t xml:space="preserve">Somebody That I Used To Know</t>
  </si>
  <si>
    <t xml:space="preserve">Gotye, Kimbra</t>
  </si>
  <si>
    <t xml:space="preserve">spotify:track:4wCmqSrbyCgxEXROQE6vtV</t>
  </si>
  <si>
    <t xml:space="preserve">Crazy</t>
  </si>
  <si>
    <t xml:space="preserve">Gnarls Barkley, CeeLo Green, Danger Mouse</t>
  </si>
  <si>
    <t xml:space="preserve">spotify:track:6o1l9I0faXJN2iqulHrdCQ</t>
  </si>
  <si>
    <t xml:space="preserve">Send My Love (To Your New Lover)</t>
  </si>
  <si>
    <t xml:space="preserve">Adele</t>
  </si>
  <si>
    <t xml:space="preserve">spotify:track:0t7fVeEJxO2Xi4H2K5Svc9</t>
  </si>
  <si>
    <t xml:space="preserve">Chains</t>
  </si>
  <si>
    <t xml:space="preserve">Nick Jonas</t>
  </si>
  <si>
    <t xml:space="preserve">spotify:track:5Eg4TsPcqNbIjd8ADMZosg</t>
  </si>
  <si>
    <t xml:space="preserve">Pompeii</t>
  </si>
  <si>
    <t xml:space="preserve">Bastille</t>
  </si>
  <si>
    <t xml:space="preserve">spotify:track:3gbBpTdY8lnQwqxNCcf795</t>
  </si>
  <si>
    <t xml:space="preserve">Walk This Way (feat. Aerosmith)</t>
  </si>
  <si>
    <t xml:space="preserve">Run-D.M.C., Aerosmith</t>
  </si>
  <si>
    <t xml:space="preserve">7 - Unexpected Collabs</t>
  </si>
  <si>
    <t xml:space="preserve">spotify:track:6qUEOWqOzu1rLPUPQ1ECpx</t>
  </si>
  <si>
    <t xml:space="preserve">My Only Angel</t>
  </si>
  <si>
    <t xml:space="preserve">Aerosmith</t>
  </si>
  <si>
    <t xml:space="preserve">spotify:track:0A7f6oQxCkzzRMA3oaTqaU</t>
  </si>
  <si>
    <t xml:space="preserve">Pour Me A Drink (Feat. Blake Shelton)</t>
  </si>
  <si>
    <t xml:space="preserve">Post Malone</t>
  </si>
  <si>
    <t xml:space="preserve">spotify:track:5ZLL6wYXeqg0k35ZkDRfhZ</t>
  </si>
  <si>
    <t xml:space="preserve">Bad Blood (feat. Kendrick Lamar) (Taylor's Version)</t>
  </si>
  <si>
    <t xml:space="preserve">spotify:track:6qAcApH8obo8eqatCKUHd9</t>
  </si>
  <si>
    <t xml:space="preserve">LEVII'S JEANS</t>
  </si>
  <si>
    <t xml:space="preserve">Beyoncé</t>
  </si>
  <si>
    <t xml:space="preserve">spotify:track:2UDARQiksl207HcSduDpov</t>
  </si>
  <si>
    <t xml:space="preserve">BLOW (with Chris Stapleton &amp; Bruno Mars)</t>
  </si>
  <si>
    <t xml:space="preserve">spotify:track:7hvO2qCwJVZxiyoA7c9i5d</t>
  </si>
  <si>
    <t xml:space="preserve">Over And Over</t>
  </si>
  <si>
    <t xml:space="preserve">Nelly</t>
  </si>
  <si>
    <t xml:space="preserve">spotify:track:2b8QQqf8Vwb7bfz22ja8Fk</t>
  </si>
  <si>
    <t xml:space="preserve">All The Way (feat. Bailey Zimmerman)</t>
  </si>
  <si>
    <t xml:space="preserve">BigXthaPlug</t>
  </si>
  <si>
    <t xml:space="preserve">spotify:track:73kIKvg65QWieOKXIwyLJP</t>
  </si>
  <si>
    <t xml:space="preserve">Up to the Roof (feat. Tracy Bonham)</t>
  </si>
  <si>
    <t xml:space="preserve">Blue Man Group</t>
  </si>
  <si>
    <t xml:space="preserve">Experimental Rock</t>
  </si>
  <si>
    <t xml:space="preserve">spotify:track:7nhF3XTCM2CUMCYPu8v6uw</t>
  </si>
  <si>
    <t xml:space="preserve">cliché - Jonas Brothers remix</t>
  </si>
  <si>
    <t xml:space="preserve">Colleen</t>
  </si>
  <si>
    <t xml:space="preserve">spotify:track:3sqySB5Pxon72vDIdduez4</t>
  </si>
  <si>
    <t xml:space="preserve">FourFiveSeconds</t>
  </si>
  <si>
    <t xml:space="preserve">Rihanna</t>
  </si>
  <si>
    <t xml:space="preserve">spotify:track:78TTtXnFQPzwqlbtbwqN0y</t>
  </si>
  <si>
    <t xml:space="preserve">The Kiss Of Venus (Dominic Fike)</t>
  </si>
  <si>
    <t xml:space="preserve">Paul McCartney</t>
  </si>
  <si>
    <t xml:space="preserve">spotify:track:3gCYle76USfbHa7VDTDg5V</t>
  </si>
  <si>
    <t xml:space="preserve">The Wanderer</t>
  </si>
  <si>
    <t xml:space="preserve">U2</t>
  </si>
  <si>
    <t xml:space="preserve">spotify:track:4163s5AIcfezLq6kpncyvB</t>
  </si>
  <si>
    <t xml:space="preserve">you should see me in a crown</t>
  </si>
  <si>
    <t xml:space="preserve">8 - Villain Theme Song</t>
  </si>
  <si>
    <t xml:space="preserve">spotify:track:3XF5xLJHOQQRbWya6hBp7d</t>
  </si>
  <si>
    <t xml:space="preserve">Insane</t>
  </si>
  <si>
    <t xml:space="preserve">Black Gryph0n</t>
  </si>
  <si>
    <t xml:space="preserve">spotify:track:5flerg6aEao2VayZezVlgu</t>
  </si>
  <si>
    <t xml:space="preserve">PARAMOUR (feat. AURORA)</t>
  </si>
  <si>
    <t xml:space="preserve">Sub Urban</t>
  </si>
  <si>
    <t xml:space="preserve">spotify:track:3PIla3hOLQxw5l6GW2jdZu</t>
  </si>
  <si>
    <t xml:space="preserve">Maneater</t>
  </si>
  <si>
    <t xml:space="preserve">Nelly Furtado</t>
  </si>
  <si>
    <t xml:space="preserve">spotify:track:4wH4dJgrsxONID6KS2tDQM</t>
  </si>
  <si>
    <t xml:space="preserve">Seven Nation Army</t>
  </si>
  <si>
    <t xml:space="preserve">The White Stripes</t>
  </si>
  <si>
    <t xml:space="preserve">spotify:track:3dPQuX8Gs42Y7b454ybpMR</t>
  </si>
  <si>
    <t xml:space="preserve">Shatter Me Featuring Lzzy Hale</t>
  </si>
  <si>
    <t xml:space="preserve">spotify:track:2K7j4xrQENCi5r3Hii4cVe</t>
  </si>
  <si>
    <t xml:space="preserve">Bad Guy</t>
  </si>
  <si>
    <t xml:space="preserve">Falling In Reverse</t>
  </si>
  <si>
    <t xml:space="preserve">spotify:track:7uAWPqXthO4pO2Exc8V90t</t>
  </si>
  <si>
    <t xml:space="preserve">Livin' in the Sunlight, Lovin' in the Moon Light</t>
  </si>
  <si>
    <t xml:space="preserve">Tiny Tim</t>
  </si>
  <si>
    <t xml:space="preserve">Novelty</t>
  </si>
  <si>
    <t xml:space="preserve">spotify:track:1PmXm1881bonBI1AlG5uaH</t>
  </si>
  <si>
    <t xml:space="preserve">Mount Everest</t>
  </si>
  <si>
    <t xml:space="preserve">Labrinth</t>
  </si>
  <si>
    <t xml:space="preserve">spotify:track:1ZdhOMWyFR8Iv9eylMGYg2</t>
  </si>
  <si>
    <t xml:space="preserve">The Future Soon</t>
  </si>
  <si>
    <t xml:space="preserve">Jonathan Coulton</t>
  </si>
  <si>
    <t xml:space="preserve">spotify:track:2chEZfdAqJvlw9dM3hAU6p</t>
  </si>
  <si>
    <t xml:space="preserve">Killing Strangers</t>
  </si>
  <si>
    <t xml:space="preserve">Marilyn Manson</t>
  </si>
  <si>
    <t xml:space="preserve">spotify:track:2naBVHNHinneXOYmczG7xE</t>
  </si>
  <si>
    <t xml:space="preserve">Bow Down</t>
  </si>
  <si>
    <t xml:space="preserve">I Prevail</t>
  </si>
  <si>
    <t xml:space="preserve">spotify:track:5qD3Qv8Wu3r5uRD0DahcZy</t>
  </si>
  <si>
    <t xml:space="preserve">Happen To Me (feat. Jonas Brothers)</t>
  </si>
  <si>
    <t xml:space="preserve">Russell Dickerson, Jonas Brothers</t>
  </si>
  <si>
    <t xml:space="preserve">1 - 2025 Song</t>
  </si>
  <si>
    <t xml:space="preserve">Music League: tHReequel (3rd League)</t>
  </si>
  <si>
    <t xml:space="preserve">spotify:track:6XxFrC6s8An9ZZ52uAN4AV</t>
  </si>
  <si>
    <t xml:space="preserve">Man I Need</t>
  </si>
  <si>
    <t xml:space="preserve">Olivia Dean</t>
  </si>
  <si>
    <t xml:space="preserve">spotify:track:1qbmS6ep2hbBRaEZFpn7BX</t>
  </si>
  <si>
    <t xml:space="preserve">Ordinary</t>
  </si>
  <si>
    <t xml:space="preserve">spotify:track:6qqrTXSdwiJaq8SO0X2lSe</t>
  </si>
  <si>
    <t xml:space="preserve">Sapphire</t>
  </si>
  <si>
    <t xml:space="preserve">spotify:track:4Q0qVhFQa7j6jRKzo3HDmP</t>
  </si>
  <si>
    <t xml:space="preserve">waste away</t>
  </si>
  <si>
    <t xml:space="preserve">saturdays at your place</t>
  </si>
  <si>
    <t xml:space="preserve">spotify:track:7qscY7sKAaGZynXbDyeMH3</t>
  </si>
  <si>
    <t xml:space="preserve">Caramel</t>
  </si>
  <si>
    <t xml:space="preserve">spotify:track:1QrbZhFYlViXd60g130vw1</t>
  </si>
  <si>
    <t xml:space="preserve">Sally, When The Wine Runs Out</t>
  </si>
  <si>
    <t xml:space="preserve">ROLE MODEL</t>
  </si>
  <si>
    <t xml:space="preserve">spotify:track:2J051fjLklkoPbzOoTAACZ</t>
  </si>
  <si>
    <t xml:space="preserve">Nice To Each Other</t>
  </si>
  <si>
    <t xml:space="preserve">Lisa</t>
  </si>
  <si>
    <t xml:space="preserve">spotify:track:7gKxCvTDWwV9wBhdeBbr3l</t>
  </si>
  <si>
    <t xml:space="preserve">Gabriela</t>
  </si>
  <si>
    <t xml:space="preserve">KATSEYE</t>
  </si>
  <si>
    <t xml:space="preserve">spotify:track:1xOqGUkyxGQRdCvGpvWKmL</t>
  </si>
  <si>
    <t xml:space="preserve">The Weather</t>
  </si>
  <si>
    <t xml:space="preserve">All Time Low</t>
  </si>
  <si>
    <t xml:space="preserve">spotify:track:6LElFVShkmWQRVNBfj9Zsw</t>
  </si>
  <si>
    <t xml:space="preserve">DtMF</t>
  </si>
  <si>
    <t xml:space="preserve">Bad Bunny</t>
  </si>
  <si>
    <t xml:space="preserve">spotify:track:3sK8wGT43QFpWrvNQsrQya</t>
  </si>
  <si>
    <t xml:space="preserve">Politix</t>
  </si>
  <si>
    <t xml:space="preserve">Balu Brigada</t>
  </si>
  <si>
    <t xml:space="preserve">Alternative Pop</t>
  </si>
  <si>
    <t xml:space="preserve">Christine</t>
  </si>
  <si>
    <t xml:space="preserve">spotify:track:2rSp12ZJ679lU7dalojvVZ</t>
  </si>
  <si>
    <t xml:space="preserve">Egg</t>
  </si>
  <si>
    <t xml:space="preserve">Djo</t>
  </si>
  <si>
    <t xml:space="preserve">spotify:track:4JaOwgYNvkOARAwSHibV5B</t>
  </si>
  <si>
    <t xml:space="preserve">Favorite Country Song</t>
  </si>
  <si>
    <t xml:space="preserve">HARDY</t>
  </si>
  <si>
    <t xml:space="preserve">spotify:track:1ARmO8RudHPmloapraihD3</t>
  </si>
  <si>
    <t xml:space="preserve">a thousand years</t>
  </si>
  <si>
    <t xml:space="preserve">Christina Perri</t>
  </si>
  <si>
    <t xml:space="preserve">2 - Love</t>
  </si>
  <si>
    <t xml:space="preserve">spotify:track:6lanRgr6wXibZr8KgzXxBl</t>
  </si>
  <si>
    <t xml:space="preserve">Thinking out Loud</t>
  </si>
  <si>
    <t xml:space="preserve">spotify:track:34gCuhDGsG4bRPIf9bb02f</t>
  </si>
  <si>
    <t xml:space="preserve">Wonderful Tonight</t>
  </si>
  <si>
    <t xml:space="preserve">Eric Clapton</t>
  </si>
  <si>
    <t xml:space="preserve">spotify:track:6zC0mpGYwbNTpk9SKwh08f</t>
  </si>
  <si>
    <t xml:space="preserve">Dreams</t>
  </si>
  <si>
    <t xml:space="preserve">The Cranberries</t>
  </si>
  <si>
    <t xml:space="preserve">spotify:track:4JGKZS7h4Qa16gOU3oNETV</t>
  </si>
  <si>
    <t xml:space="preserve">Because You Loved Me (Theme from "Up Close and Personal")</t>
  </si>
  <si>
    <t xml:space="preserve">Céline Dion</t>
  </si>
  <si>
    <t xml:space="preserve">spotify:track:28UMiBhn383n9S7GL4tsxD</t>
  </si>
  <si>
    <t xml:space="preserve">No Matter Where You Are</t>
  </si>
  <si>
    <t xml:space="preserve">Us The Duo</t>
  </si>
  <si>
    <t xml:space="preserve">spotify:track:2XW4AAjfBQTzp7Oe1tU702</t>
  </si>
  <si>
    <t xml:space="preserve">Question</t>
  </si>
  <si>
    <t xml:space="preserve">Old 97's</t>
  </si>
  <si>
    <t xml:space="preserve">spotify:track:2m5ItG3IIMsaGYJjZOvUoE</t>
  </si>
  <si>
    <t xml:space="preserve">Color</t>
  </si>
  <si>
    <t xml:space="preserve">Todrick Hall, Jay Armstrong Johnson</t>
  </si>
  <si>
    <t xml:space="preserve">spotify:track:1oSGSJdYt0Om26M5V6XR5Q</t>
  </si>
  <si>
    <t xml:space="preserve">Hang With Me</t>
  </si>
  <si>
    <t xml:space="preserve">Robyn</t>
  </si>
  <si>
    <t xml:space="preserve">spotify:track:6rW8q1p2GCjGMRAlnxBeo7</t>
  </si>
  <si>
    <t xml:space="preserve">Breathe For Me</t>
  </si>
  <si>
    <t xml:space="preserve">UNSECRET, Lonas</t>
  </si>
  <si>
    <t xml:space="preserve">spotify:track:40UoxIJtdEt0pGVy8TK0Fb</t>
  </si>
  <si>
    <t xml:space="preserve">Lovebug</t>
  </si>
  <si>
    <t xml:space="preserve">spotify:track:5ILmJ41lSsul2zSmJnqvAy</t>
  </si>
  <si>
    <t xml:space="preserve">Who I Am</t>
  </si>
  <si>
    <t xml:space="preserve">Wade Bowen</t>
  </si>
  <si>
    <t xml:space="preserve">spotify:track:5XlN58Ay3R3cE7P7c9XjaC</t>
  </si>
  <si>
    <t xml:space="preserve">You and Tequila (feat. Grace Potter)</t>
  </si>
  <si>
    <t xml:space="preserve">Kenny Chesney, Grace Potter</t>
  </si>
  <si>
    <t xml:space="preserve">spotify:track:1t2hJFgJyUPD2crOafMUEk</t>
  </si>
  <si>
    <t xml:space="preserve">Your Deep Rest</t>
  </si>
  <si>
    <t xml:space="preserve">The Hotelier</t>
  </si>
  <si>
    <t xml:space="preserve">spotify:track:21ACVHZc3K9lK0zleucFaJ</t>
  </si>
  <si>
    <t xml:space="preserve">Part of Me</t>
  </si>
  <si>
    <t xml:space="preserve">Noah Kahan</t>
  </si>
  <si>
    <t xml:space="preserve">3 - Break-up</t>
  </si>
  <si>
    <t xml:space="preserve">spotify:track:1o5WgxPWvoVgo20DQItKOE</t>
  </si>
  <si>
    <t xml:space="preserve">Amnesia</t>
  </si>
  <si>
    <t xml:space="preserve">spotify:track:1JCCdiru7fhstOIF4N7WJC</t>
  </si>
  <si>
    <t xml:space="preserve">Gives You Hell</t>
  </si>
  <si>
    <t xml:space="preserve">The All-American Rejects</t>
  </si>
  <si>
    <t xml:space="preserve">spotify:track:6ihL9TjfRjadfEePzXXyVF</t>
  </si>
  <si>
    <t xml:space="preserve">The Winner Takes It All</t>
  </si>
  <si>
    <t xml:space="preserve">ABBA</t>
  </si>
  <si>
    <t xml:space="preserve">spotify:track:3oEkrIfXfSh9zGnE7eBzSV</t>
  </si>
  <si>
    <t xml:space="preserve">hot girl bummer</t>
  </si>
  <si>
    <t xml:space="preserve">blackbear</t>
  </si>
  <si>
    <t xml:space="preserve">spotify:track:6jRq8gaZhMUyy5RclRPcAf</t>
  </si>
  <si>
    <t xml:space="preserve">abcdefu (angrier)</t>
  </si>
  <si>
    <t xml:space="preserve">GAYLE</t>
  </si>
  <si>
    <t xml:space="preserve">spotify:track:1EQFOouqdKYdpbNoOHRVO2</t>
  </si>
  <si>
    <t xml:space="preserve">Half A Man</t>
  </si>
  <si>
    <t xml:space="preserve">spotify:track:1ugQtcwmKOXvKAYzhjncmv</t>
  </si>
  <si>
    <t xml:space="preserve">Karma</t>
  </si>
  <si>
    <t xml:space="preserve">MOD SUN</t>
  </si>
  <si>
    <t xml:space="preserve">spotify:track:7vXtuHrqgzQi58ihUO7L2d</t>
  </si>
  <si>
    <t xml:space="preserve">Glimpse of Us</t>
  </si>
  <si>
    <t xml:space="preserve">Joji</t>
  </si>
  <si>
    <t xml:space="preserve">spotify:track:3aBGKDiAAvH2H7HLOyQ4US</t>
  </si>
  <si>
    <t xml:space="preserve">Poison &amp; Wine</t>
  </si>
  <si>
    <t xml:space="preserve">The Civil Wars</t>
  </si>
  <si>
    <t xml:space="preserve">spotify:track:4BFudy2Zbryi9a1KFad66B</t>
  </si>
  <si>
    <t xml:space="preserve">thank u, next</t>
  </si>
  <si>
    <t xml:space="preserve">spotify:track:3e9HZxeyfWwjeyPAMmWSSQ</t>
  </si>
  <si>
    <t xml:space="preserve">Your Love Is a Lie</t>
  </si>
  <si>
    <t xml:space="preserve">Simple Plan</t>
  </si>
  <si>
    <t xml:space="preserve">spotify:track:5veTPYnAviWwQ73hMVTwb5</t>
  </si>
  <si>
    <t xml:space="preserve">IDGAF</t>
  </si>
  <si>
    <t xml:space="preserve">Dua Lipa</t>
  </si>
  <si>
    <t xml:space="preserve">spotify:track:76cy1WJvNGJTj78UqeA5zr</t>
  </si>
  <si>
    <t xml:space="preserve">Stick Season</t>
  </si>
  <si>
    <t xml:space="preserve">4 - Local</t>
  </si>
  <si>
    <t xml:space="preserve">spotify:track:0mflMxspEfB0VbI1kyLiAv</t>
  </si>
  <si>
    <t xml:space="preserve">Northern Attitude (with Hozier)</t>
  </si>
  <si>
    <t xml:space="preserve">Noah Kahan, Hozier</t>
  </si>
  <si>
    <t xml:space="preserve">spotify:track:4oEf84vBYVftf6KmZexhVo</t>
  </si>
  <si>
    <t xml:space="preserve">Feeling Good</t>
  </si>
  <si>
    <t xml:space="preserve">Nina Simone</t>
  </si>
  <si>
    <t xml:space="preserve">spotify:track:6Rqn2GFlmvmV4w9Ala0I1e</t>
  </si>
  <si>
    <t xml:space="preserve">Thani Lokah Murakkaari (From "Lokah - Chapter 1: Chandra")</t>
  </si>
  <si>
    <t xml:space="preserve">Jakes Bejoy, Jyoti Nooran, Reble, Mu.Ri</t>
  </si>
  <si>
    <t xml:space="preserve">Indian Film Music</t>
  </si>
  <si>
    <t xml:space="preserve">spotify:track:7gX2JJVKndYEVApM5GRtqZ</t>
  </si>
  <si>
    <t xml:space="preserve">Doin' Time</t>
  </si>
  <si>
    <t xml:space="preserve">Sublime</t>
  </si>
  <si>
    <t xml:space="preserve">spotify:track:4eamJr2k9YDH8j58RSTmSc</t>
  </si>
  <si>
    <t xml:space="preserve">Barefoot Blue Jean Night</t>
  </si>
  <si>
    <t xml:space="preserve">Jake Owen</t>
  </si>
  <si>
    <t xml:space="preserve">spotify:track:3ts6xK5GzfMAAriT9AIBmP</t>
  </si>
  <si>
    <t xml:space="preserve">Fighter</t>
  </si>
  <si>
    <t xml:space="preserve">Christina Aguilera</t>
  </si>
  <si>
    <t xml:space="preserve">spotify:track:7nXq1vaZiz7PdbfojpPjW5</t>
  </si>
  <si>
    <t xml:space="preserve">Simple Man</t>
  </si>
  <si>
    <t xml:space="preserve">Shinedown</t>
  </si>
  <si>
    <t xml:space="preserve">spotify:track:7gmfoXsjwQYn6HeHUYRpY2</t>
  </si>
  <si>
    <t xml:space="preserve">Shattered (Turn The Car Around)</t>
  </si>
  <si>
    <t xml:space="preserve">O.A.R.</t>
  </si>
  <si>
    <t xml:space="preserve">spotify:track:6jlqDfX8TQNxcaAz5oxYJA</t>
  </si>
  <si>
    <t xml:space="preserve">New York State of Mind</t>
  </si>
  <si>
    <t xml:space="preserve">spotify:track:6yjKlmm7vOszkXEUku1EM1</t>
  </si>
  <si>
    <t xml:space="preserve">Torn to Pieces</t>
  </si>
  <si>
    <t xml:space="preserve">Pop Evil</t>
  </si>
  <si>
    <t xml:space="preserve">spotify:track:3gLvDdJVhHLWWkgzTbYeJB</t>
  </si>
  <si>
    <t xml:space="preserve">Stronger</t>
  </si>
  <si>
    <t xml:space="preserve">Kanye West</t>
  </si>
  <si>
    <t xml:space="preserve">spotify:track:0j2T0R9dR9qdJYsB7ciXhf</t>
  </si>
  <si>
    <t xml:space="preserve">Sober</t>
  </si>
  <si>
    <t xml:space="preserve">Gavin Adcock</t>
  </si>
  <si>
    <t xml:space="preserve">spotify:track:0jLT7x0Q0MTtTNPGLwy8AK</t>
  </si>
  <si>
    <t xml:space="preserve">Send Me On My Way</t>
  </si>
  <si>
    <t xml:space="preserve">Rusted Root</t>
  </si>
  <si>
    <t xml:space="preserve">spotify:track:6XK6Zw6JkFsHXzAcMWNiIr</t>
  </si>
  <si>
    <t xml:space="preserve">Stressed Out</t>
  </si>
  <si>
    <t xml:space="preserve">Twenty One Pilots</t>
  </si>
  <si>
    <t xml:space="preserve">spotify:track:3CRDbSIZ4r5MsZ0YwxuEkn</t>
  </si>
  <si>
    <t xml:space="preserve">Zombie Lady</t>
  </si>
  <si>
    <t xml:space="preserve">Damiano David</t>
  </si>
  <si>
    <t xml:space="preserve">5 - Gone solo</t>
  </si>
  <si>
    <t xml:space="preserve">spotify:track:5hYP7TDRmkJPrgYdIy500S</t>
  </si>
  <si>
    <t xml:space="preserve">In The Air Tonight - 2015 Remastered</t>
  </si>
  <si>
    <t xml:space="preserve">Phil Collins</t>
  </si>
  <si>
    <t xml:space="preserve">spotify:track:18AXbzPzBS8Y3AkgSxzJPb</t>
  </si>
  <si>
    <t xml:space="preserve">Falling</t>
  </si>
  <si>
    <t xml:space="preserve">Harry Styles</t>
  </si>
  <si>
    <t xml:space="preserve">spotify:track:1ZMiCix7XSAbfAJlEZWMCp</t>
  </si>
  <si>
    <t xml:space="preserve">Someday</t>
  </si>
  <si>
    <t xml:space="preserve">Rob Thomas</t>
  </si>
  <si>
    <t xml:space="preserve">spotify:track:7uPQU7uKvsZZ7T9XnpBpFg</t>
  </si>
  <si>
    <t xml:space="preserve">This Town</t>
  </si>
  <si>
    <t xml:space="preserve">Niall Horan</t>
  </si>
  <si>
    <t xml:space="preserve">spotify:track:0qvzXomUDJVaUboy2wMfiS</t>
  </si>
  <si>
    <t xml:space="preserve">Beautiful Soul</t>
  </si>
  <si>
    <t xml:space="preserve">Jesse McCartney</t>
  </si>
  <si>
    <t xml:space="preserve">spotify:track:1HwpWwa6bnqqRhK8agG4RS</t>
  </si>
  <si>
    <t xml:space="preserve">Thriller</t>
  </si>
  <si>
    <t xml:space="preserve">Michael Jackson</t>
  </si>
  <si>
    <t xml:space="preserve">spotify:track:2LlQb7Uoj1kKyGhlkBf9aC</t>
  </si>
  <si>
    <t xml:space="preserve">Messy (From F1 The Movie)</t>
  </si>
  <si>
    <t xml:space="preserve">ROSĖ, F1 The Album</t>
  </si>
  <si>
    <t xml:space="preserve">spotify:track:6Wobsw9uZ0D0xkfOjxXSq9</t>
  </si>
  <si>
    <t xml:space="preserve">Is Anybody Out There</t>
  </si>
  <si>
    <t xml:space="preserve">Joey McIntyre</t>
  </si>
  <si>
    <t xml:space="preserve">spotify:track:3HCIjTIRedmAYgFGEi8IAL</t>
  </si>
  <si>
    <t xml:space="preserve">Maybe I'm Amazed - Remastered 2011</t>
  </si>
  <si>
    <t xml:space="preserve">spotify:track:1Qa0Y05al633fG8f9Peytc</t>
  </si>
  <si>
    <t xml:space="preserve">Glamorous</t>
  </si>
  <si>
    <t xml:space="preserve">Fergie, Ludacris</t>
  </si>
  <si>
    <t xml:space="preserve">spotify:track:4KTtYhxFtFL7mBwnjkKfLm</t>
  </si>
  <si>
    <t xml:space="preserve">TEXAS HOLD 'EM</t>
  </si>
  <si>
    <t xml:space="preserve">spotify:track:0Z7nGFVCLfixWctgePsRk9</t>
  </si>
  <si>
    <t xml:space="preserve">Candy</t>
  </si>
  <si>
    <t xml:space="preserve">Robbie Williams</t>
  </si>
  <si>
    <t xml:space="preserve">spotify:track:5NlFXQ0si6U87gXs6hq81B</t>
  </si>
  <si>
    <t xml:space="preserve">I Don't Wanna Stop</t>
  </si>
  <si>
    <t xml:space="preserve">Ozzy Osbourne</t>
  </si>
  <si>
    <t xml:space="preserve">spotify:track:5axOkQnmQmwtjr4bv1Xt7i</t>
  </si>
  <si>
    <t xml:space="preserve">Two Worlds</t>
  </si>
  <si>
    <t xml:space="preserve">6 - Disney Opener</t>
  </si>
  <si>
    <t xml:space="preserve">spotify:track:3icOFPIciIN8FQSyVlpYSF</t>
  </si>
  <si>
    <t xml:space="preserve">Zoo</t>
  </si>
  <si>
    <t xml:space="preserve">Disney, Shakira</t>
  </si>
  <si>
    <t xml:space="preserve">spotify:track:3vJIaiTIHxHhYafTSPNiH4</t>
  </si>
  <si>
    <t xml:space="preserve">I2I</t>
  </si>
  <si>
    <t xml:space="preserve">Tevin Campbell, Rosie Gaines</t>
  </si>
  <si>
    <t xml:space="preserve">spotify:track:7lPxGs556PD8H3bUd9LzHp</t>
  </si>
  <si>
    <t xml:space="preserve">Circle of Life</t>
  </si>
  <si>
    <t xml:space="preserve">Carmen Twillie, Lebo M.</t>
  </si>
  <si>
    <t xml:space="preserve">spotify:track:0HU5JnVaKNTWf6GykV9Zn8</t>
  </si>
  <si>
    <t xml:space="preserve">Arabian Nights</t>
  </si>
  <si>
    <t xml:space="preserve">Bruce Adler, Disney</t>
  </si>
  <si>
    <t xml:space="preserve">spotify:track:0CKmN3Wwk8W4zjU0pqq2cv</t>
  </si>
  <si>
    <t xml:space="preserve">Ain't No Mountain High Enough</t>
  </si>
  <si>
    <t xml:space="preserve">Marvin Gaye, Tammi Terrell</t>
  </si>
  <si>
    <t xml:space="preserve">spotify:track:0Z5rLOv4Mqc4hKZ1dPjODv</t>
  </si>
  <si>
    <t xml:space="preserve">The Gospel Truth I / Main Titles - Hercules</t>
  </si>
  <si>
    <t xml:space="preserve">Cheryl Freeman, LaChanze, Vaneese Thomas, Lillias White, Roz Ryan, Disney</t>
  </si>
  <si>
    <t xml:space="preserve">spotify:track:6uW03WHG3qv2FzxPIW6SUP</t>
  </si>
  <si>
    <t xml:space="preserve">Start of Something New</t>
  </si>
  <si>
    <t xml:space="preserve">Troy, Gabriella, Disney</t>
  </si>
  <si>
    <t xml:space="preserve">spotify:track:4LwrgltRSrddxeyhIPSoqa</t>
  </si>
  <si>
    <t xml:space="preserve">Belle</t>
  </si>
  <si>
    <t xml:space="preserve">Richard White, Paige O'Hara, Chorus - Beauty And the Beast, Disney</t>
  </si>
  <si>
    <t xml:space="preserve">spotify:track:0Q4a3PdGEME9w8Jgqa0Gf3</t>
  </si>
  <si>
    <t xml:space="preserve">The Bells of Notre Dame</t>
  </si>
  <si>
    <t xml:space="preserve">David Ogden Stiers, Tony Jay, Paul Kandel, Chorus - The Hunchback Of Notre Dame</t>
  </si>
  <si>
    <t xml:space="preserve">spotify:track:47Wo2LeGbzdZTdEFNRZXV0</t>
  </si>
  <si>
    <t xml:space="preserve">Good to Be Bad</t>
  </si>
  <si>
    <t xml:space="preserve">Dove Cameron, Sofia Carson, Booboo Stewart, Carmeon Boyce, Jadah Marie, Anna Catchart, Disney</t>
  </si>
  <si>
    <t xml:space="preserve">spotify:track:1RIYF8NDIIWBvJe4vhQr6y</t>
  </si>
  <si>
    <t xml:space="preserve">Fortuosity - From "The Happiest Millionaire"</t>
  </si>
  <si>
    <t xml:space="preserve">Tommy Steele</t>
  </si>
  <si>
    <t xml:space="preserve">spotify:track:2hwh9Ezfef2NoBjiKyN8Sa</t>
  </si>
  <si>
    <t xml:space="preserve">What Time Is It</t>
  </si>
  <si>
    <t xml:space="preserve">Zac Efron, Vanessa Hudgens, Lucas Grabeel, Corbin Bleu, Ashley Tisdale, Monique Coleman, Disney</t>
  </si>
  <si>
    <t xml:space="preserve">spotify:track:6NqfslFfCCOyBQ0Xw8kN8E</t>
  </si>
  <si>
    <t xml:space="preserve">spotify:track:5vKkaZHPzuqQheytfKuXzp</t>
  </si>
  <si>
    <t xml:space="preserve">Frozen Heart - From "Frozen"/Soundtrack Version</t>
  </si>
  <si>
    <t xml:space="preserve">Cast - Frozen</t>
  </si>
  <si>
    <t xml:space="preserve">spotify:track:3xDVJcvcKedshWlT3qGSHk</t>
  </si>
  <si>
    <t xml:space="preserve">My Way - 2008 Remastered</t>
  </si>
  <si>
    <t xml:space="preserve">Frank Sinatra</t>
  </si>
  <si>
    <t xml:space="preserve">7 - Rare Genre for You</t>
  </si>
  <si>
    <t xml:space="preserve">spotify:track:2YkIDPL5lGhRhomCq4S2RO</t>
  </si>
  <si>
    <t xml:space="preserve">Everything's Magic</t>
  </si>
  <si>
    <t xml:space="preserve">Angels &amp; Airwaves</t>
  </si>
  <si>
    <t xml:space="preserve">spotify:track:3I7IGPFe0DoNXZI9JDYa5P</t>
  </si>
  <si>
    <t xml:space="preserve">Sunday Best</t>
  </si>
  <si>
    <t xml:space="preserve">Surfaces</t>
  </si>
  <si>
    <t xml:space="preserve">spotify:track:1qYKWcEOrh2tM8PlgIm8K1</t>
  </si>
  <si>
    <t xml:space="preserve">Hard Place - Single Version</t>
  </si>
  <si>
    <t xml:space="preserve">H.E.R.</t>
  </si>
  <si>
    <t xml:space="preserve">spotify:track:1sMJJQEvUXyxILW5sv3A2P</t>
  </si>
  <si>
    <t xml:space="preserve">Home</t>
  </si>
  <si>
    <t xml:space="preserve">Edward Sharpe &amp; The Magnetic Zeros</t>
  </si>
  <si>
    <t xml:space="preserve">spotify:track:2XJi8jbLnDBZ60gTPpdbrg</t>
  </si>
  <si>
    <t xml:space="preserve">Chicken Fried</t>
  </si>
  <si>
    <t xml:space="preserve">Zac Brown Band</t>
  </si>
  <si>
    <t xml:space="preserve">spotify:track:0LQtEJt7x0s6knb6RKdRYc</t>
  </si>
  <si>
    <t xml:space="preserve">Kick Drum Heart</t>
  </si>
  <si>
    <t xml:space="preserve">The Avett Brothers</t>
  </si>
  <si>
    <t xml:space="preserve">spotify:track:0KKist1jJYO17nOqtO1sb2</t>
  </si>
  <si>
    <t xml:space="preserve">Gone Gone Gone</t>
  </si>
  <si>
    <t xml:space="preserve">David Guetta, Teddy Swims, Tones And I</t>
  </si>
  <si>
    <t xml:space="preserve">spotify:track:3Dy4xsff7c0fRaTJpA54yd</t>
  </si>
  <si>
    <t xml:space="preserve">Lose Yourself</t>
  </si>
  <si>
    <t xml:space="preserve">spotify:track:5Z01UMMf7V1o0MzF86s6WJ</t>
  </si>
  <si>
    <t xml:space="preserve">Marshmello</t>
  </si>
  <si>
    <t xml:space="preserve">spotify:track:3MEYFivt6bilQ9q9mFWZ4g</t>
  </si>
  <si>
    <t xml:space="preserve">Deciduous - Live</t>
  </si>
  <si>
    <t xml:space="preserve">Viet Cuong, 2023 FMEA All-State 11/12 Symphonic Band, Emily Threinen</t>
  </si>
  <si>
    <t xml:space="preserve">spotify:track:0FdK0iPOcDDgxVr3qJBAke</t>
  </si>
  <si>
    <t xml:space="preserve">Taking Water</t>
  </si>
  <si>
    <t xml:space="preserve">Billy Strings</t>
  </si>
  <si>
    <t xml:space="preserve">spotify:track:6CFWS3OAIybkmUQHOZt33S</t>
  </si>
  <si>
    <t xml:space="preserve">Ticks</t>
  </si>
  <si>
    <t xml:space="preserve">Brad Paisley</t>
  </si>
  <si>
    <t xml:space="preserve">spotify:track:736KP0gdltJQWPKk0wVL7l</t>
  </si>
  <si>
    <t xml:space="preserve">Bridges</t>
  </si>
  <si>
    <t xml:space="preserve">Rise Against</t>
  </si>
  <si>
    <t xml:space="preserve">spotify:track:4NY0rkhWqRGCEnnJdYvZO1</t>
  </si>
  <si>
    <t xml:space="preserve">Only</t>
  </si>
  <si>
    <t xml:space="preserve">NF, Sasha Alex Sloan</t>
  </si>
  <si>
    <t xml:space="preserve">spotify:track:5lehoWkVPujeOAwb8BO0uK</t>
  </si>
  <si>
    <t xml:space="preserve">Interlude</t>
  </si>
  <si>
    <t xml:space="preserve">Kelsea Ballerini</t>
  </si>
  <si>
    <t xml:space="preserve">8 - Shorties</t>
  </si>
  <si>
    <t xml:space="preserve">spotify:track:0nkOSp2DLhgrElR8lPPteZ</t>
  </si>
  <si>
    <t xml:space="preserve">Little Deuce Coupe - Remastered 2001</t>
  </si>
  <si>
    <t xml:space="preserve">The Beach Boys</t>
  </si>
  <si>
    <t xml:space="preserve">spotify:track:75WMOzv7195ziyx0qEw1yE</t>
  </si>
  <si>
    <t xml:space="preserve">Wings</t>
  </si>
  <si>
    <t xml:space="preserve">spotify:track:7DVcgqaCDXtwZIjRTPb8bm</t>
  </si>
  <si>
    <t xml:space="preserve">Great Balls of Fire</t>
  </si>
  <si>
    <t xml:space="preserve">Jerry Lee Lewis</t>
  </si>
  <si>
    <t xml:space="preserve">spotify:track:64VP3skE86iTvdOlbzuIcO</t>
  </si>
  <si>
    <t xml:space="preserve">He's a Pirate</t>
  </si>
  <si>
    <t xml:space="preserve">Klaus Badelt</t>
  </si>
  <si>
    <t xml:space="preserve">spotify:track:08QaHlMPWuO5PUxjl61bXn</t>
  </si>
  <si>
    <t xml:space="preserve">The Story of Tonight</t>
  </si>
  <si>
    <t xml:space="preserve">Lin-Manuel Miranda, Okieriete Onaodowan, Daveed Diggs, Original Broadway Cast of Hamilton</t>
  </si>
  <si>
    <t xml:space="preserve">spotify:track:0NJWhm3hUwIZSy5s0TGJ8q</t>
  </si>
  <si>
    <t xml:space="preserve">The 59th Street Bridge Song (Feelin' Groovy)</t>
  </si>
  <si>
    <t xml:space="preserve">Simon &amp; Garfunkel</t>
  </si>
  <si>
    <t xml:space="preserve">spotify:track:0dzbfio3qTYG9uk40SJNcr</t>
  </si>
  <si>
    <t xml:space="preserve">Flowers In Your Hair</t>
  </si>
  <si>
    <t xml:space="preserve">The Lumineers</t>
  </si>
  <si>
    <t xml:space="preserve">spotify:track:5PbdVk09VHHcvGa0pX86RP</t>
  </si>
  <si>
    <t xml:space="preserve">Walls Could Talk</t>
  </si>
  <si>
    <t xml:space="preserve">Halsey</t>
  </si>
  <si>
    <t xml:space="preserve">spotify:track:1Ao5nOuAUm42ob1UVvOkgW</t>
  </si>
  <si>
    <t xml:space="preserve">Lust</t>
  </si>
  <si>
    <t xml:space="preserve">Marino, Alexandria</t>
  </si>
  <si>
    <t xml:space="preserve">spotify:track:2Tf3o75XkU0IS06tYgEuvn</t>
  </si>
  <si>
    <t xml:space="preserve">Acoustic #3</t>
  </si>
  <si>
    <t xml:space="preserve">spotify:track:1RC9slv335IfLce5vt9KTW</t>
  </si>
  <si>
    <t xml:space="preserve">(Let Me Be Your) Teddy Bear</t>
  </si>
  <si>
    <t xml:space="preserve">Elvis Presley</t>
  </si>
  <si>
    <t xml:space="preserve">spotify:track:57j9wUmiHxii7VpbAdSkPQ</t>
  </si>
  <si>
    <t xml:space="preserve">Hello There</t>
  </si>
  <si>
    <t xml:space="preserve">Cheap Trick</t>
  </si>
  <si>
    <t xml:space="preserve">spotify:track:0P1jQfRErBjgOSTbVKtCW7</t>
  </si>
  <si>
    <t xml:space="preserve">Caviar</t>
  </si>
  <si>
    <t xml:space="preserve">JayDon</t>
  </si>
  <si>
    <t xml:space="preserve">1 - Repeat</t>
  </si>
  <si>
    <t xml:space="preserve">Episode IV: A New Playlist (4th League)</t>
  </si>
  <si>
    <t xml:space="preserve">spotify:track:1RKq0J03X61Mxsm4fXFTTe</t>
  </si>
  <si>
    <t xml:space="preserve">Teeth</t>
  </si>
  <si>
    <t xml:space="preserve">spotify:track:3NxWJWftvkstyxvb1pZlFo</t>
  </si>
  <si>
    <t xml:space="preserve">FEVER DREAM</t>
  </si>
  <si>
    <t xml:space="preserve">spotify:track:7ogpGbKc4Io6NCU6ydxXwZ</t>
  </si>
  <si>
    <t xml:space="preserve">Losing Myself</t>
  </si>
  <si>
    <t xml:space="preserve">State Champs</t>
  </si>
  <si>
    <t xml:space="preserve">spotify:track:74k5aYbmsRJqvuYY5p7in9</t>
  </si>
  <si>
    <t xml:space="preserve">Waterloo</t>
  </si>
  <si>
    <t xml:space="preserve">spotify:track:3Dy4REq8O09IlgiwuHQ3sk</t>
  </si>
  <si>
    <t xml:space="preserve">Higher (feat. Alex Newell)</t>
  </si>
  <si>
    <t xml:space="preserve">VINCINT, Alex Newell, Princess Precious</t>
  </si>
  <si>
    <t xml:space="preserve">spotify:track:3x0oc9CVW5RwLx4EHW6JZk</t>
  </si>
  <si>
    <t xml:space="preserve">Stateside + Zara Larsson</t>
  </si>
  <si>
    <t xml:space="preserve">PinkPantheress, Zara Larsson</t>
  </si>
  <si>
    <t xml:space="preserve">spotify:track:1DwscornXpj8fmOmYVlqZt</t>
  </si>
  <si>
    <t xml:space="preserve">Holy Water</t>
  </si>
  <si>
    <t xml:space="preserve">Marshmello, Jelly Roll</t>
  </si>
  <si>
    <t xml:space="preserve">spotify:track:5Xnkr4b6swk6BA5IinCIlU</t>
  </si>
  <si>
    <t xml:space="preserve">The One I Love</t>
  </si>
  <si>
    <t xml:space="preserve">David Gray</t>
  </si>
  <si>
    <t xml:space="preserve">spotify:track:0hOYPh5Y8huTrLKxvQyxAh</t>
  </si>
  <si>
    <t xml:space="preserve">My Moon My Man</t>
  </si>
  <si>
    <t xml:space="preserve">Feist</t>
  </si>
  <si>
    <t xml:space="preserve">spotify:track:5FFQbvn7055P1DvgJDdCBP</t>
  </si>
  <si>
    <t xml:space="preserve">Take Aim</t>
  </si>
  <si>
    <t xml:space="preserve">spotify:track:5SWDoIEpuAWJMuGYeVe3gI</t>
  </si>
  <si>
    <t xml:space="preserve">All In Now</t>
  </si>
  <si>
    <t xml:space="preserve">Dogstar</t>
  </si>
  <si>
    <t xml:space="preserve">spotify:track:7t6a7n23SZQ5A5OuXYu3uO</t>
  </si>
  <si>
    <t xml:space="preserve">Come prima</t>
  </si>
  <si>
    <t xml:space="preserve">Tony Dallara</t>
  </si>
  <si>
    <t xml:space="preserve">spotify:track:3OWFR95HjLDQKbzHl6oqjq</t>
  </si>
  <si>
    <t xml:space="preserve">Sunday (feat. Snoop Dogg)</t>
  </si>
  <si>
    <t xml:space="preserve">Ben Rector, Snoop Dogg</t>
  </si>
  <si>
    <t xml:space="preserve">spotify:track:4ztgjcOsR0HGsm1vkzh0Ky</t>
  </si>
  <si>
    <t xml:space="preserve">The King of Wishful Thinking</t>
  </si>
  <si>
    <t xml:space="preserve">Go West</t>
  </si>
  <si>
    <t xml:space="preserve">2 - Grocery Store Core</t>
  </si>
  <si>
    <t xml:space="preserve">spotify:track:0gXTCSzaCOzNoRb9FeE62N</t>
  </si>
  <si>
    <t xml:space="preserve">Kiss Me</t>
  </si>
  <si>
    <t xml:space="preserve">Sixpence None The Richer</t>
  </si>
  <si>
    <t xml:space="preserve">spotify:track:754kgU5rWscRTfvlsuEwFp</t>
  </si>
  <si>
    <t xml:space="preserve">Closing Time</t>
  </si>
  <si>
    <t xml:space="preserve">Semisonic</t>
  </si>
  <si>
    <t xml:space="preserve">spotify:track:087OBLtoeS3Q6j0k6tMNAI</t>
  </si>
  <si>
    <t xml:space="preserve">Two Princes</t>
  </si>
  <si>
    <t xml:space="preserve">Spin Doctors</t>
  </si>
  <si>
    <t xml:space="preserve">spotify:track:0cuq829zRNq4AEdmDJA4aw</t>
  </si>
  <si>
    <t xml:space="preserve">I Want It That Way</t>
  </si>
  <si>
    <t xml:space="preserve">Backstreet Boys</t>
  </si>
  <si>
    <t xml:space="preserve">spotify:track:47BBI51FKFwOMlIiX6m8ya</t>
  </si>
  <si>
    <t xml:space="preserve">Fly</t>
  </si>
  <si>
    <t xml:space="preserve">Sugar Ray</t>
  </si>
  <si>
    <t xml:space="preserve">spotify:track:3uPfVXcjnpOjyzI3jb3js4</t>
  </si>
  <si>
    <t xml:space="preserve">3AM</t>
  </si>
  <si>
    <t xml:space="preserve">Matchbox Twenty</t>
  </si>
  <si>
    <t xml:space="preserve">spotify:track:5vYA1mW9g2Coh1HUFUSmlb</t>
  </si>
  <si>
    <t xml:space="preserve">Love Song</t>
  </si>
  <si>
    <t xml:space="preserve">spotify:track:4E6cwWJWZw2zWf7VFbH7wf</t>
  </si>
  <si>
    <t xml:space="preserve">What Makes You Beautiful</t>
  </si>
  <si>
    <t xml:space="preserve">spotify:track:4cluDES4hQEUhmXj6TXkSo</t>
  </si>
  <si>
    <t xml:space="preserve">Land of Confusion</t>
  </si>
  <si>
    <t xml:space="preserve">Genesis</t>
  </si>
  <si>
    <t xml:space="preserve">spotify:track:37T5HmPt4Qi9JHpcy7j1uU</t>
  </si>
  <si>
    <t xml:space="preserve">Man! I Feel Like A Woman!</t>
  </si>
  <si>
    <t xml:space="preserve">Shania Twain</t>
  </si>
  <si>
    <t xml:space="preserve">spotify:track:6sxptembJVty4sNtcPMAVz</t>
  </si>
  <si>
    <t xml:space="preserve">The Middle</t>
  </si>
  <si>
    <t xml:space="preserve">Zedd, Maren Morris, Grey</t>
  </si>
  <si>
    <t xml:space="preserve">spotify:track:09IStsImFySgyp0pIQdqAc</t>
  </si>
  <si>
    <t xml:space="preserve">Seal</t>
  </si>
  <si>
    <t xml:space="preserve">spotify:track:10tdqQKFhddpkjzxllTVRj</t>
  </si>
  <si>
    <t xml:space="preserve">Peaches</t>
  </si>
  <si>
    <t xml:space="preserve">Jack Black</t>
  </si>
  <si>
    <t xml:space="preserve">spotify:track:4w9soAM7IrmYDhSXLp14p6</t>
  </si>
  <si>
    <t xml:space="preserve">Cell Block Tango</t>
  </si>
  <si>
    <t xml:space="preserve">Michael Berresse, Bebe Neuwirth, Ensemble - Broadway Cast of Chicago The Musical (1997)</t>
  </si>
  <si>
    <t xml:space="preserve">3 - Musical Showstopper</t>
  </si>
  <si>
    <t xml:space="preserve">spotify:track:7nCwN0SjXZmEsp1KJrsELD</t>
  </si>
  <si>
    <t xml:space="preserve">The Greatest Show</t>
  </si>
  <si>
    <t xml:space="preserve">Hugh Jackman, Keala Settle, Zac Efron, Zendaya, The Greatest Showman Ensemble</t>
  </si>
  <si>
    <t xml:space="preserve">spotify:track:4ylWMuGbMXNDgDd8lErEle</t>
  </si>
  <si>
    <t xml:space="preserve">Past is Catching Up to Me</t>
  </si>
  <si>
    <t xml:space="preserve">Jeremy Jordan, Original Broadway Cast of The Great Gatsby - A New Musical</t>
  </si>
  <si>
    <t xml:space="preserve">spotify:track:7l6hD7JPcp4MTqcqpRPpsx</t>
  </si>
  <si>
    <t xml:space="preserve">Wait for It</t>
  </si>
  <si>
    <t xml:space="preserve">Leslie Odom Jr., Original Broadway Cast of Hamilton</t>
  </si>
  <si>
    <t xml:space="preserve">spotify:track:7EqpEBPOohgk7NnKvBGFWo</t>
  </si>
  <si>
    <t xml:space="preserve">The Phantom of the Opera</t>
  </si>
  <si>
    <t xml:space="preserve">Andrew Lloyd Webber, Michael Crawford, Phantom Of The Opera Original London Cast, Sarah Brightman</t>
  </si>
  <si>
    <t xml:space="preserve">spotify:track:3EBPGmqpZTMfOPQtUxfCXj</t>
  </si>
  <si>
    <t xml:space="preserve">And I Am Telling You I'm Not Going - Original Broadway</t>
  </si>
  <si>
    <t xml:space="preserve">Jennifer Holliday</t>
  </si>
  <si>
    <t xml:space="preserve">spotify:track:3ZPpFEandljtmTnz8D4trH</t>
  </si>
  <si>
    <t xml:space="preserve">Elephant Love Medley</t>
  </si>
  <si>
    <t xml:space="preserve">Aaron Tveit, Karen Olivo, Original Broadway Cast of Moulin Rouge! The Musical</t>
  </si>
  <si>
    <t xml:space="preserve">spotify:track:5JRgVMONxTRjC1g1d0XsvX</t>
  </si>
  <si>
    <t xml:space="preserve">I'm Here</t>
  </si>
  <si>
    <t xml:space="preserve">Cynthia Erivo</t>
  </si>
  <si>
    <t xml:space="preserve">spotify:track:1w2k1OOCSy3ez40D3TQs7L</t>
  </si>
  <si>
    <t xml:space="preserve">Let It Go - From "Frozen"/Soundtrack Version</t>
  </si>
  <si>
    <t xml:space="preserve">Idina Menzel</t>
  </si>
  <si>
    <t xml:space="preserve">spotify:track:0qcr5FMsEO85NAQjrlDRKo</t>
  </si>
  <si>
    <t xml:space="preserve">You Can't Stop The Beat</t>
  </si>
  <si>
    <t xml:space="preserve">Elijah Kelley, John Travolta, Queen Latifah, Nikki Blonsky, Zac Efron, Amanda Bynes, Motion Picture Cast of Hairspray</t>
  </si>
  <si>
    <t xml:space="preserve">spotify:track:7goE6wDBvkZoeWrFm0EdCg</t>
  </si>
  <si>
    <t xml:space="preserve">Diva's Lament (What Ever Happened To My Part?)</t>
  </si>
  <si>
    <t xml:space="preserve">Sara Ramirez, Todd Ellison</t>
  </si>
  <si>
    <t xml:space="preserve">spotify:track:0PEkZhThiOCTPk1NxnjjJe</t>
  </si>
  <si>
    <t xml:space="preserve">Road to Hell</t>
  </si>
  <si>
    <t xml:space="preserve">André De Shields, Hadestown Original Broadway Company, Anaïs Mitchell</t>
  </si>
  <si>
    <t xml:space="preserve">spotify:track:5S6O5UYDS2dxVTY7JSF9xy</t>
  </si>
  <si>
    <t xml:space="preserve">What Is This Feeling?</t>
  </si>
  <si>
    <t xml:space="preserve">Ariana Grande, Cynthia Erivo</t>
  </si>
  <si>
    <t xml:space="preserve">spotify:track:7eGuPhpdS8sBjPJNuAShUX</t>
  </si>
  <si>
    <t xml:space="preserve">A Million Dreams</t>
  </si>
  <si>
    <t xml:space="preserve">Ziv Zaifman, Hugh Jackman, Michelle Williams</t>
  </si>
  <si>
    <t xml:space="preserve">spotify:track:0RoA7ObU6phWpqhlC9zH4Z</t>
  </si>
  <si>
    <t xml:space="preserve">I'm Gonna Be (500 Miles)</t>
  </si>
  <si>
    <t xml:space="preserve">The Proclaimers</t>
  </si>
  <si>
    <t xml:space="preserve">4 - Road Trip Anthem</t>
  </si>
  <si>
    <t xml:space="preserve">spotify:track:67iAlVNDDdddxqSD2EZhFs</t>
  </si>
  <si>
    <t xml:space="preserve">Wild Heart</t>
  </si>
  <si>
    <t xml:space="preserve">The Vamps</t>
  </si>
  <si>
    <t xml:space="preserve">spotify:track:2FTcOYcsSglWsS1zThQRh9</t>
  </si>
  <si>
    <t xml:space="preserve">Go Your Own Way</t>
  </si>
  <si>
    <t xml:space="preserve">Fleetwood Mac</t>
  </si>
  <si>
    <t xml:space="preserve">spotify:track:15rjQH7nTcTomKwfVMd4xl</t>
  </si>
  <si>
    <t xml:space="preserve">Take A Chance On Me</t>
  </si>
  <si>
    <t xml:space="preserve">spotify:track:5BckPAYcKEJuYs1eV1BHHe</t>
  </si>
  <si>
    <t xml:space="preserve">Holiday Road - National Lampoon's Vacation</t>
  </si>
  <si>
    <t xml:space="preserve">Lindsey Buckingham</t>
  </si>
  <si>
    <t xml:space="preserve">spotify:track:38i0QcGQ9hu8PMk4QObUTj</t>
  </si>
  <si>
    <t xml:space="preserve">Take Me Home, Country Roads - Original Version</t>
  </si>
  <si>
    <t xml:space="preserve">John Denver</t>
  </si>
  <si>
    <t xml:space="preserve">spotify:track:1YYhDizHx7PnDhAhko6cDS</t>
  </si>
  <si>
    <t xml:space="preserve">Come On Eileen</t>
  </si>
  <si>
    <t xml:space="preserve">Dexys Midnight Runners</t>
  </si>
  <si>
    <t xml:space="preserve">spotify:track:3MrWxJaD2AT0W9DjWF64Vm</t>
  </si>
  <si>
    <t xml:space="preserve">Nothing's Gonna Stop Us Now</t>
  </si>
  <si>
    <t xml:space="preserve">Starship</t>
  </si>
  <si>
    <t xml:space="preserve">spotify:track:3X7uFMzJrEE0sxn62qd8Ch</t>
  </si>
  <si>
    <t xml:space="preserve">A Thousand Miles</t>
  </si>
  <si>
    <t xml:space="preserve">Vanessa Carlton</t>
  </si>
  <si>
    <t xml:space="preserve">spotify:track:4w1lzcaoZ1IC2K5TwjalRP</t>
  </si>
  <si>
    <t xml:space="preserve">Mr. Brightside</t>
  </si>
  <si>
    <t xml:space="preserve">The Killers</t>
  </si>
  <si>
    <t xml:space="preserve">spotify:track:003vvx7Niy0yvhvHt4a68B</t>
  </si>
  <si>
    <t xml:space="preserve">Still Fly</t>
  </si>
  <si>
    <t xml:space="preserve">Big Tymers</t>
  </si>
  <si>
    <t xml:space="preserve">spotify:track:563vSy3HB5NHxel1VGQCW6</t>
  </si>
  <si>
    <t xml:space="preserve">Runnin' Down A Dream</t>
  </si>
  <si>
    <t xml:space="preserve">Tom Petty</t>
  </si>
  <si>
    <t xml:space="preserve">spotify:track:4AiMaeCXwsldpwvA5wu5gM</t>
  </si>
  <si>
    <t xml:space="preserve">Party In The U.S.A.</t>
  </si>
  <si>
    <t xml:space="preserve">Miley Cyrus</t>
  </si>
  <si>
    <t xml:space="preserve">spotify:track:5Q0Nhxo0l2bP3pNjpGJwV1</t>
  </si>
  <si>
    <t xml:space="preserve">The Boys Of Summer - Remastered 2024</t>
  </si>
  <si>
    <t xml:space="preserve">Don Henley</t>
  </si>
  <si>
    <t xml:space="preserve">spotify:track:4Q3ERWBrb4lhDvAPyANjY5</t>
  </si>
  <si>
    <t xml:space="preserve">I Want To Hold Your Hand</t>
  </si>
  <si>
    <t xml:space="preserve">The Beatles</t>
  </si>
  <si>
    <t xml:space="preserve">5 - Birthday</t>
  </si>
  <si>
    <t xml:space="preserve">spotify:track:5J3Mf6dyqeGy67yuQ7ql9B</t>
  </si>
  <si>
    <t xml:space="preserve">Suspicious Minds</t>
  </si>
  <si>
    <t xml:space="preserve">spotify:track:6KDG8vvFerlCU63IXdw1zb</t>
  </si>
  <si>
    <t xml:space="preserve">That Thing You Do!</t>
  </si>
  <si>
    <t xml:space="preserve">The Wonders</t>
  </si>
  <si>
    <t xml:space="preserve">spotify:track:4O6ZaZrRCFfiZZKjnrXqlk</t>
  </si>
  <si>
    <t xml:space="preserve">Ghostbusters</t>
  </si>
  <si>
    <t xml:space="preserve">Ray Parker Jr.</t>
  </si>
  <si>
    <t xml:space="preserve">spotify:track:3m0y8qLoznUYi73SUBP8GI</t>
  </si>
  <si>
    <t xml:space="preserve">This Is Halloween</t>
  </si>
  <si>
    <t xml:space="preserve">The Citizens of Halloween</t>
  </si>
  <si>
    <t xml:space="preserve">spotify:track:3mhsDyQpX2L8sJMdWUHOi3</t>
  </si>
  <si>
    <t xml:space="preserve">London Calling - Remastered</t>
  </si>
  <si>
    <t xml:space="preserve">The Clash</t>
  </si>
  <si>
    <t xml:space="preserve">spotify:track:5jzma6gCzYtKB1DbEwFZKH</t>
  </si>
  <si>
    <t xml:space="preserve">Hero (feat. Josey Scott)</t>
  </si>
  <si>
    <t xml:space="preserve">Chad Kroeger, Josey Scott</t>
  </si>
  <si>
    <t xml:space="preserve">spotify:track:779ooI3rBd0CLqCiiJmtVo</t>
  </si>
  <si>
    <t xml:space="preserve">Hero</t>
  </si>
  <si>
    <t xml:space="preserve">spotify:track:5mgCMlxQW7fmHbrdJuowbB</t>
  </si>
  <si>
    <t xml:space="preserve">Say It Ain't So - The Kitchen Tape Demo - August 1, 1992</t>
  </si>
  <si>
    <t xml:space="preserve">Weezer</t>
  </si>
  <si>
    <t xml:space="preserve">spotify:track:0OslHiqg2d7lIcb4mzFkyA</t>
  </si>
  <si>
    <t xml:space="preserve">Word Up</t>
  </si>
  <si>
    <t xml:space="preserve">Cameo</t>
  </si>
  <si>
    <t xml:space="preserve">spotify:track:7LoGfKBAaOl0nxhodJ1240</t>
  </si>
  <si>
    <t xml:space="preserve">Fall On Me</t>
  </si>
  <si>
    <t xml:space="preserve">R.E.M.</t>
  </si>
  <si>
    <t xml:space="preserve">spotify:track:181ERlg2wowFuRobnrMZJ2</t>
  </si>
  <si>
    <t xml:space="preserve">spotify:track:6TSM5vkz0WzyZsNAKKYDcw</t>
  </si>
  <si>
    <t xml:space="preserve">(Everything I Do) I Do It For You</t>
  </si>
  <si>
    <t xml:space="preserve">Bryan Adams</t>
  </si>
  <si>
    <t xml:space="preserve">spotify:track:5HQ6AUDMbMuwktvcNPuV1y</t>
  </si>
  <si>
    <t xml:space="preserve">Learning To Fly</t>
  </si>
  <si>
    <t xml:space="preserve">spotify:track:17S4XrLvF5jlGvGCJHgF51</t>
  </si>
  <si>
    <t xml:space="preserve">Buy U a Drank (Shawty Snappin') (feat. Yung Joc)</t>
  </si>
  <si>
    <t xml:space="preserve">T-Pain, Yung Joc</t>
  </si>
  <si>
    <t xml:space="preserve">6 - Guilty Pleasure</t>
  </si>
  <si>
    <t xml:space="preserve">spotify:track:2aIdVb8v9KTpEZnftkz2mD</t>
  </si>
  <si>
    <t xml:space="preserve">Enrique Iglesias</t>
  </si>
  <si>
    <t xml:space="preserve">spotify:track:24Gxm7Eh7tO83E26LG0CsY</t>
  </si>
  <si>
    <t xml:space="preserve">My Sacrifice</t>
  </si>
  <si>
    <t xml:space="preserve">Creed</t>
  </si>
  <si>
    <t xml:space="preserve">spotify:track:2VSbEXqs6NbNiZSTcHlIDR</t>
  </si>
  <si>
    <t xml:space="preserve">Scotty Doesn't Know</t>
  </si>
  <si>
    <t xml:space="preserve">Lustra</t>
  </si>
  <si>
    <t xml:space="preserve">spotify:track:1LkoYGxmYpO6QSEvY5C0Zl</t>
  </si>
  <si>
    <t xml:space="preserve">How You Remind Me</t>
  </si>
  <si>
    <t xml:space="preserve">Nickelback</t>
  </si>
  <si>
    <t xml:space="preserve">spotify:track:0gmbgwZ8iqyMPmXefof8Yf</t>
  </si>
  <si>
    <t xml:space="preserve">It Wasn't Me</t>
  </si>
  <si>
    <t xml:space="preserve">Shaggy, Rik Rok</t>
  </si>
  <si>
    <t xml:space="preserve">spotify:track:3WkibOpDF7cQ5xntM1epyf</t>
  </si>
  <si>
    <t xml:space="preserve">Cups (Pitch Perfect's "When I'm Gone") - Pop Version</t>
  </si>
  <si>
    <t xml:space="preserve">Anna Kendrick</t>
  </si>
  <si>
    <t xml:space="preserve">spotify:track:6mH3qVIeOsnQIAho5eWwhH</t>
  </si>
  <si>
    <t xml:space="preserve">Never Say Never</t>
  </si>
  <si>
    <t xml:space="preserve">Justin Bieber, Jaden</t>
  </si>
  <si>
    <t xml:space="preserve">spotify:track:5GYbkDveRD2I8M5ZJ14hWn</t>
  </si>
  <si>
    <t xml:space="preserve">Stars Are Blind</t>
  </si>
  <si>
    <t xml:space="preserve">Paris Hilton</t>
  </si>
  <si>
    <t xml:space="preserve">spotify:track:71V89tJj9CboDyzncO6ZN2</t>
  </si>
  <si>
    <t xml:space="preserve">The Bad Touch</t>
  </si>
  <si>
    <t xml:space="preserve">Bloodhound Gang</t>
  </si>
  <si>
    <t xml:space="preserve">spotify:track:5EYdTPdJD74r9EVZBztqGG</t>
  </si>
  <si>
    <t xml:space="preserve">Blue Strips</t>
  </si>
  <si>
    <t xml:space="preserve">Jessie Murph</t>
  </si>
  <si>
    <t xml:space="preserve">spotify:track:7u7IqryLFAygWFz6bsEB7y</t>
  </si>
  <si>
    <t xml:space="preserve">Good Vibrations</t>
  </si>
  <si>
    <t xml:space="preserve">Marky Mark And The Funky Bunch, Loleatta Holloway</t>
  </si>
  <si>
    <t xml:space="preserve">spotify:track:5hWdgGVcfTeLPAiHM6EZG9</t>
  </si>
  <si>
    <t xml:space="preserve">Keep Your Hands to Yourself</t>
  </si>
  <si>
    <t xml:space="preserve">The Georgia Satellites</t>
  </si>
  <si>
    <t xml:space="preserve">spotify:track:5tORtBzHUAnNrIw5Ql3kHZ</t>
  </si>
  <si>
    <t xml:space="preserve">The Way That I Fiddle</t>
  </si>
  <si>
    <t xml:space="preserve">Clejan</t>
  </si>
  <si>
    <t xml:space="preserve">Hip-Hop/Classical Crossover</t>
  </si>
  <si>
    <t xml:space="preserve">7 - UnPOPular</t>
  </si>
  <si>
    <t xml:space="preserve">spotify:track:0oHG32IK45iVgoiVcnYNBx</t>
  </si>
  <si>
    <t xml:space="preserve">The Funeral</t>
  </si>
  <si>
    <t xml:space="preserve">YUNGBLUD</t>
  </si>
  <si>
    <t xml:space="preserve">spotify:track:3t4zZ2SxXgQRIhc5N6a6oZ</t>
  </si>
  <si>
    <t xml:space="preserve">Sandstorm</t>
  </si>
  <si>
    <t xml:space="preserve">Darude</t>
  </si>
  <si>
    <t xml:space="preserve">spotify:track:6Sy9BUbgFse0n0LPA5lwy5</t>
  </si>
  <si>
    <t xml:space="preserve">Heart's Content</t>
  </si>
  <si>
    <t xml:space="preserve">Brandi Carlile</t>
  </si>
  <si>
    <t xml:space="preserve">spotify:track:0pegFWSUOTiG0sLVEfxtvA</t>
  </si>
  <si>
    <t xml:space="preserve">The Crane Wife 3</t>
  </si>
  <si>
    <t xml:space="preserve">The Decemberists</t>
  </si>
  <si>
    <t xml:space="preserve">spotify:track:0IwXp8V7wgFCIthRh2z8Ot</t>
  </si>
  <si>
    <t xml:space="preserve">Choosin' Texas</t>
  </si>
  <si>
    <t xml:space="preserve">Ella Langley</t>
  </si>
  <si>
    <t xml:space="preserve">spotify:track:65DbTqJKhbwqYbZ1Okr0rc</t>
  </si>
  <si>
    <t xml:space="preserve">ALL GAS (feat. Mitchell Tenpenny)</t>
  </si>
  <si>
    <t xml:space="preserve">Bilmuri</t>
  </si>
  <si>
    <t xml:space="preserve">spotify:track:4L4PGyC3YQ5kSNKugK1gLc</t>
  </si>
  <si>
    <t xml:space="preserve">King Kunta</t>
  </si>
  <si>
    <t xml:space="preserve">Kendrick Lamar</t>
  </si>
  <si>
    <t xml:space="preserve">spotify:track:0N3W5peJUQtI4eyR6GJT5O</t>
  </si>
  <si>
    <t xml:space="preserve">Searchlight</t>
  </si>
  <si>
    <t xml:space="preserve">spotify:track:20fm2tV8FUuonX96Db1bGo</t>
  </si>
  <si>
    <t xml:space="preserve">THINK ABOUT ME</t>
  </si>
  <si>
    <t xml:space="preserve">jxdn</t>
  </si>
  <si>
    <t xml:space="preserve">spotify:track:6HNtT20hmFvswMN53jIRv1</t>
  </si>
  <si>
    <t xml:space="preserve">Tadow</t>
  </si>
  <si>
    <t xml:space="preserve">Masego</t>
  </si>
  <si>
    <t xml:space="preserve">spotify:track:6FMMd1fixOMmhplCevpjL7</t>
  </si>
  <si>
    <t xml:space="preserve">Language</t>
  </si>
  <si>
    <t xml:space="preserve">Tori Kelly</t>
  </si>
  <si>
    <t xml:space="preserve">Christian/Gospel</t>
  </si>
  <si>
    <t xml:space="preserve">spotify:track:1afewsMym3BFlFDTDiuMyt</t>
  </si>
  <si>
    <t xml:space="preserve">Even in Arcadia</t>
  </si>
  <si>
    <t xml:space="preserve">spotify:track:4IixOTCzviJgIigKleiVbo</t>
  </si>
  <si>
    <t xml:space="preserve">Rock 'n' Roll Lifestyle</t>
  </si>
  <si>
    <t xml:space="preserve">CAKE</t>
  </si>
  <si>
    <t xml:space="preserve">spotify:track:4tRkMAL93DFmaMDUHOHuBH</t>
  </si>
  <si>
    <t xml:space="preserve">Bohemian Rhapsody - Remastered</t>
  </si>
  <si>
    <t xml:space="preserve">8 - Game Changer</t>
  </si>
  <si>
    <t xml:space="preserve">spotify:track:6vLaKD0HUJ5UtIADG61Fa9</t>
  </si>
  <si>
    <t xml:space="preserve">Billie Jean</t>
  </si>
  <si>
    <t xml:space="preserve">spotify:track:7J1uxwnxfQLu4APicE5Rnj</t>
  </si>
  <si>
    <t xml:space="preserve">Rapper's Delight</t>
  </si>
  <si>
    <t xml:space="preserve">The Sugarhill Gang</t>
  </si>
  <si>
    <t xml:space="preserve">spotify:track:7sZDbHZiuHEzS00vzCuhqS</t>
  </si>
  <si>
    <t xml:space="preserve">One Love</t>
  </si>
  <si>
    <t xml:space="preserve">Bob Marley &amp; The Wailers</t>
  </si>
  <si>
    <t xml:space="preserve">spotify:track:2V2by56rK60UxMHPtG02OJ</t>
  </si>
  <si>
    <t xml:space="preserve">Smells Like Teen Spirit</t>
  </si>
  <si>
    <t xml:space="preserve">Nirvana</t>
  </si>
  <si>
    <t xml:space="preserve">spotify:track:5ghIJDpPoe3CfHMGu71E6T</t>
  </si>
  <si>
    <t xml:space="preserve">…Baby One More Time</t>
  </si>
  <si>
    <t xml:space="preserve">Britney Spears</t>
  </si>
  <si>
    <t xml:space="preserve">spotify:track:3MjUtNVVq3C8Fn0MP3zhXa</t>
  </si>
  <si>
    <t xml:space="preserve">Paranoid</t>
  </si>
  <si>
    <t xml:space="preserve">Black Sabbath</t>
  </si>
  <si>
    <t xml:space="preserve">spotify:track:4MSqgoFS7e8LpsxeeMMVMu</t>
  </si>
  <si>
    <t xml:space="preserve">Basket Case</t>
  </si>
  <si>
    <t xml:space="preserve">Green Day</t>
  </si>
  <si>
    <t xml:space="preserve">spotify:track:6L89mwZXSOwYl76YXfX13s</t>
  </si>
  <si>
    <t xml:space="preserve">Gangnam Style</t>
  </si>
  <si>
    <t xml:space="preserve">PSY</t>
  </si>
  <si>
    <t xml:space="preserve">spotify:track:03UrZgTINDqvnUMbbIMhql</t>
  </si>
  <si>
    <t xml:space="preserve">In The Mood</t>
  </si>
  <si>
    <t xml:space="preserve">Glenn Miller</t>
  </si>
  <si>
    <t xml:space="preserve">spotify:track:5sj197xVLlMuwxgSCXYEkU</t>
  </si>
  <si>
    <t xml:space="preserve">Like a Prayer</t>
  </si>
  <si>
    <t xml:space="preserve">Madonna</t>
  </si>
  <si>
    <t xml:space="preserve">spotify:track:2v7ywbUzCgcVohHaKUcacV</t>
  </si>
  <si>
    <t xml:space="preserve">Supermarket Flowers</t>
  </si>
  <si>
    <t xml:space="preserve">1 - Tearjerkers (Part 2)</t>
  </si>
  <si>
    <t xml:space="preserve">Episode V: The Playlist Strikes Back (5th League)</t>
  </si>
  <si>
    <t xml:space="preserve">spotify:track:4VuS959DSpr82t3qBqCrWG</t>
  </si>
  <si>
    <t xml:space="preserve">Something In The Heavens</t>
  </si>
  <si>
    <t xml:space="preserve">Lewis Capaldi</t>
  </si>
  <si>
    <t xml:space="preserve">spotify:track:4MHORmGs8oN7AASfGmApcM</t>
  </si>
  <si>
    <t xml:space="preserve">something to remember</t>
  </si>
  <si>
    <t xml:space="preserve">Matt Hansen</t>
  </si>
  <si>
    <t xml:space="preserve">spotify:track:6eI8B3QW20P68MCYMb4Etd</t>
  </si>
  <si>
    <t xml:space="preserve">Five More Minutes</t>
  </si>
  <si>
    <t xml:space="preserve">Scotty McCreery</t>
  </si>
  <si>
    <t xml:space="preserve">spotify:track:3qTmB5HxP9ilJaiM6B1yuk</t>
  </si>
  <si>
    <t xml:space="preserve">Concrete Angel</t>
  </si>
  <si>
    <t xml:space="preserve">Martina McBride</t>
  </si>
  <si>
    <t xml:space="preserve">spotify:track:2LLcI3oU4CedCQDV5tJ1SK</t>
  </si>
  <si>
    <t xml:space="preserve">Stay Gold</t>
  </si>
  <si>
    <t xml:space="preserve">Sky Lakota-Lynch, Brody Grant, Original Broadway Cast of The Outsiders - A New Musical</t>
  </si>
  <si>
    <t xml:space="preserve">spotify:track:6QMYeuubL00KcXBXxS5Zhn</t>
  </si>
  <si>
    <t xml:space="preserve">A Drop in the Ocean</t>
  </si>
  <si>
    <t xml:space="preserve">Ron Pope</t>
  </si>
  <si>
    <t xml:space="preserve">spotify:track:5JDcQAztvZTIkrWoZihgvC</t>
  </si>
  <si>
    <t xml:space="preserve">Last Kiss</t>
  </si>
  <si>
    <t xml:space="preserve">Pearl Jam</t>
  </si>
  <si>
    <t xml:space="preserve">spotify:track:0QnONzv3TvHAWk294h6DaQ</t>
  </si>
  <si>
    <t xml:space="preserve">See You Again (feat. Charlie Puth)</t>
  </si>
  <si>
    <t xml:space="preserve">Wiz Khalifa, Charlie Puth</t>
  </si>
  <si>
    <t xml:space="preserve">spotify:track:6IcrwGdIvRsrImOnoYfG9Z</t>
  </si>
  <si>
    <t xml:space="preserve">Strange</t>
  </si>
  <si>
    <t xml:space="preserve">Celeste</t>
  </si>
  <si>
    <t xml:space="preserve">spotify:track:7sq2z9oX2S0CvgTqCZ0ko4</t>
  </si>
  <si>
    <t xml:space="preserve">This Woman's Work - 2018 Remaster</t>
  </si>
  <si>
    <t xml:space="preserve">Kate Bush</t>
  </si>
  <si>
    <t xml:space="preserve">spotify:track:7ijKen7rccf56qOMGkS22e</t>
  </si>
  <si>
    <t xml:space="preserve">Samson</t>
  </si>
  <si>
    <t xml:space="preserve">Regina Spektor</t>
  </si>
  <si>
    <t xml:space="preserve">spotify:track:2JAUBPBVkimRLc5BGhAkfJ</t>
  </si>
  <si>
    <t xml:space="preserve">Delicate</t>
  </si>
  <si>
    <t xml:space="preserve">Damien Rice</t>
  </si>
  <si>
    <t xml:space="preserve">spotify:track:5mb6SzBnxv1ywFSH9V3uxd</t>
  </si>
  <si>
    <t xml:space="preserve">Untitled (How Could This Happen to Me?)</t>
  </si>
  <si>
    <t xml:space="preserve">Natasha</t>
  </si>
  <si>
    <t xml:space="preserve">spotify:track:3eRLKD1Lgc2OrYGxRxX62s</t>
  </si>
  <si>
    <t xml:space="preserve">Housebroken</t>
  </si>
  <si>
    <t xml:space="preserve">spotify:track:58R1SG4RgVE5eHApvNvFae</t>
  </si>
  <si>
    <t xml:space="preserve">Baby Mine</t>
  </si>
  <si>
    <t xml:space="preserve">Alison Krauss</t>
  </si>
  <si>
    <t xml:space="preserve">spotify:track:7GJ8aXAGdfjo2OAh6XreB6</t>
  </si>
  <si>
    <t xml:space="preserve">Skyfall</t>
  </si>
  <si>
    <t xml:space="preserve">2 - Lights, Camera, Music</t>
  </si>
  <si>
    <t xml:space="preserve">spotify:track:6VObnIkLVruX4UVyxWhlqm</t>
  </si>
  <si>
    <t xml:space="preserve">Danger Zone - From "Top Gun" Original Soundtrack</t>
  </si>
  <si>
    <t xml:space="preserve">Kenny Loggins</t>
  </si>
  <si>
    <t xml:space="preserve">spotify:track:3hMHG6lx9QHVcfYSUr5PoM</t>
  </si>
  <si>
    <t xml:space="preserve">Accidentally in Love</t>
  </si>
  <si>
    <t xml:space="preserve">Counting Crows</t>
  </si>
  <si>
    <t xml:space="preserve">spotify:track:4ccM2xBxicGigjLqt6A0YY</t>
  </si>
  <si>
    <t xml:space="preserve">Here I Am</t>
  </si>
  <si>
    <t xml:space="preserve">spotify:track:2pGH58HmgqdOcZTTO9Po7t</t>
  </si>
  <si>
    <t xml:space="preserve">Don't You (Forget About Me)</t>
  </si>
  <si>
    <t xml:space="preserve">Simple Minds</t>
  </si>
  <si>
    <t xml:space="preserve">spotify:track:6yEAAIEHu4GcUFptg5W9kI</t>
  </si>
  <si>
    <t xml:space="preserve">Sunflower - Spider-Man: Into the Spider-Verse</t>
  </si>
  <si>
    <t xml:space="preserve">Post Malone, Swae Lee</t>
  </si>
  <si>
    <t xml:space="preserve">spotify:track:3KkXRkHbMCARz0aVfEt68P</t>
  </si>
  <si>
    <t xml:space="preserve">Gangsta's Paradise</t>
  </si>
  <si>
    <t xml:space="preserve">Coolio, L.V.</t>
  </si>
  <si>
    <t xml:space="preserve">spotify:track:1DIXPcTDzTj8ZMHt3PDt8p</t>
  </si>
  <si>
    <t xml:space="preserve">Hold My Hand</t>
  </si>
  <si>
    <t xml:space="preserve">spotify:track:1c2hJSwcCfoPEw1su83Sw0</t>
  </si>
  <si>
    <t xml:space="preserve">Eye of the Tiger</t>
  </si>
  <si>
    <t xml:space="preserve">Survivor</t>
  </si>
  <si>
    <t xml:space="preserve">spotify:track:2KH16WveTQWT6KOG9Rg6e2</t>
  </si>
  <si>
    <t xml:space="preserve">When Your Mind's Made Up</t>
  </si>
  <si>
    <t xml:space="preserve">Glen Hansard, Markéta Irglová</t>
  </si>
  <si>
    <t xml:space="preserve">spotify:track:1aAfiBF8ftfkONfzc0GTWz</t>
  </si>
  <si>
    <t xml:space="preserve">I Ain't Worried</t>
  </si>
  <si>
    <t xml:space="preserve">spotify:track:4h9wh7iOZ0GGn8QVp4RAOB</t>
  </si>
  <si>
    <t xml:space="preserve">Can't Take My Eyes off You</t>
  </si>
  <si>
    <t xml:space="preserve">Frankie Valli</t>
  </si>
  <si>
    <t xml:space="preserve">spotify:track:6ft9PAgNOjmZ2kFVP7LGqb</t>
  </si>
  <si>
    <t xml:space="preserve">Elevate (feat. Denzel Curry, YBN Cordae, SwaVay, Trevor Rich)</t>
  </si>
  <si>
    <t xml:space="preserve">DJ Khalil, Denzel Curry, Cordae, SWAVAY, Trevor Rich</t>
  </si>
  <si>
    <t xml:space="preserve">spotify:track:6kiauSlWtddVQx4JwJx51p</t>
  </si>
  <si>
    <t xml:space="preserve">Miracles Happen</t>
  </si>
  <si>
    <t xml:space="preserve">Myra</t>
  </si>
  <si>
    <t xml:space="preserve">spotify:track:77mnUPdjFBDZuBnSLgOEgb</t>
  </si>
  <si>
    <t xml:space="preserve">Mystery of Love</t>
  </si>
  <si>
    <t xml:space="preserve">Sufjan Stevens</t>
  </si>
  <si>
    <t xml:space="preserve">spotify:track:0MNNKSUU9OOQ8DSGWduw79</t>
  </si>
  <si>
    <t xml:space="preserve">Chocolate</t>
  </si>
  <si>
    <t xml:space="preserve">The 1975</t>
  </si>
  <si>
    <t xml:space="preserve">3 - Hungry for Some Jams</t>
  </si>
  <si>
    <t xml:space="preserve">spotify:track:44Ljlpy44mHvLJxcYUvTK0</t>
  </si>
  <si>
    <t xml:space="preserve">Cake By The Ocean</t>
  </si>
  <si>
    <t xml:space="preserve">DNCE</t>
  </si>
  <si>
    <t xml:space="preserve">spotify:track:76hfruVvmfQbw0eYn1nmeC</t>
  </si>
  <si>
    <t xml:space="preserve">Raspberry Beret</t>
  </si>
  <si>
    <t xml:space="preserve">Prince</t>
  </si>
  <si>
    <t xml:space="preserve">spotify:track:2I1W3hcSsPIsEJfD69pHrW</t>
  </si>
  <si>
    <t xml:space="preserve">Watermelon Sugar</t>
  </si>
  <si>
    <t xml:space="preserve">spotify:track:6UelLqGlWMcVH1E5c4H7lY</t>
  </si>
  <si>
    <t xml:space="preserve">Espresso</t>
  </si>
  <si>
    <t xml:space="preserve">spotify:track:1vLqigPHwiFnXsfrLMehV1</t>
  </si>
  <si>
    <t xml:space="preserve">Tequila</t>
  </si>
  <si>
    <t xml:space="preserve">The Champs</t>
  </si>
  <si>
    <t xml:space="preserve">spotify:track:5gJKsGij5oGt5H5RSFYXPa</t>
  </si>
  <si>
    <t xml:space="preserve">I Can't Help Myself (Sugar Pie, Honey Bunch)</t>
  </si>
  <si>
    <t xml:space="preserve">Four Tops</t>
  </si>
  <si>
    <t xml:space="preserve">spotify:track:6b6IMqP565TbtFFZg9iFf3</t>
  </si>
  <si>
    <t xml:space="preserve">American Pie</t>
  </si>
  <si>
    <t xml:space="preserve">Don McLean</t>
  </si>
  <si>
    <t xml:space="preserve">spotify:track:1fDsrQ23eTAVFElUMaf38X</t>
  </si>
  <si>
    <t xml:space="preserve">Peaches (feat. Daniel Caesar &amp; Giveon)</t>
  </si>
  <si>
    <t xml:space="preserve">spotify:track:4iJyoBOLtHqaGxP12qzhQI</t>
  </si>
  <si>
    <t xml:space="preserve">Strawberries &amp; Cigarettes</t>
  </si>
  <si>
    <t xml:space="preserve">Troye Sivan</t>
  </si>
  <si>
    <t xml:space="preserve">spotify:track:3afkJSKX0EAMsJXTZnDXXJ</t>
  </si>
  <si>
    <t xml:space="preserve">Cheeseburger in Paradise</t>
  </si>
  <si>
    <t xml:space="preserve">Jimmy Buffett</t>
  </si>
  <si>
    <t xml:space="preserve">spotify:track:6VeZ970uI0Yi6sjBgyFBrp</t>
  </si>
  <si>
    <t xml:space="preserve">Waffle House</t>
  </si>
  <si>
    <t xml:space="preserve">spotify:track:4inPxqHrj9VmjLx5JCDCV4</t>
  </si>
  <si>
    <t xml:space="preserve">Apple</t>
  </si>
  <si>
    <t xml:space="preserve">Charli xcx</t>
  </si>
  <si>
    <t xml:space="preserve">spotify:track:19RybK6XDbAVpcdxSbZL1o</t>
  </si>
  <si>
    <t xml:space="preserve">The Presidents Of The United States of America</t>
  </si>
  <si>
    <t xml:space="preserve">spotify:track:750wm5pwuAQfnSLX8mxa5f</t>
  </si>
  <si>
    <t xml:space="preserve">Better</t>
  </si>
  <si>
    <t xml:space="preserve">Khalid</t>
  </si>
  <si>
    <t xml:space="preserve">4 - Winding Down</t>
  </si>
  <si>
    <t xml:space="preserve">spotify:track:6zeeWid2sgw4lap2jV61PZ</t>
  </si>
  <si>
    <t xml:space="preserve">Three Little Birds</t>
  </si>
  <si>
    <t xml:space="preserve">spotify:track:7vggqxNKwd6xdRoYS0pQtM</t>
  </si>
  <si>
    <t xml:space="preserve">Take It Easy - 2013 Remaster</t>
  </si>
  <si>
    <t xml:space="preserve">Eagles</t>
  </si>
  <si>
    <t xml:space="preserve">spotify:track:4yugZvBYaoREkJKtbG08Qr</t>
  </si>
  <si>
    <t xml:space="preserve">Hikoki Gumo / The Wind Rises</t>
  </si>
  <si>
    <t xml:space="preserve">Makiko Hirohashi</t>
  </si>
  <si>
    <t xml:space="preserve">spotify:track:3hMDAZqFsZYjYJO4hN3UTK</t>
  </si>
  <si>
    <t xml:space="preserve">SNAP</t>
  </si>
  <si>
    <t xml:space="preserve">Rosa Linn</t>
  </si>
  <si>
    <t xml:space="preserve">spotify:track:5hx7w26Zi3zafMgvMTUqF6</t>
  </si>
  <si>
    <t xml:space="preserve">Into the Mystic</t>
  </si>
  <si>
    <t xml:space="preserve">Van Morrison</t>
  </si>
  <si>
    <t xml:space="preserve">spotify:track:1285TFFkLTTis9UL9IGZRi</t>
  </si>
  <si>
    <t xml:space="preserve">Rainbow</t>
  </si>
  <si>
    <t xml:space="preserve">spotify:track:79qxwHypONUt3AFq0WPpT9</t>
  </si>
  <si>
    <t xml:space="preserve">Someone To You</t>
  </si>
  <si>
    <t xml:space="preserve">BANNERS</t>
  </si>
  <si>
    <t xml:space="preserve">spotify:track:14BH4qO7pgCmIe6mgLKOK3</t>
  </si>
  <si>
    <t xml:space="preserve">Matilda</t>
  </si>
  <si>
    <t xml:space="preserve">spotify:track:6uvh0In7u1Xn4HgxOfAn8O</t>
  </si>
  <si>
    <t xml:space="preserve">Hurricane</t>
  </si>
  <si>
    <t xml:space="preserve">Thirty Seconds To Mars</t>
  </si>
  <si>
    <t xml:space="preserve">spotify:track:7jSyWNuHjjwJXr1SQCCAhB</t>
  </si>
  <si>
    <t xml:space="preserve">By Your Grace</t>
  </si>
  <si>
    <t xml:space="preserve">spotify:track:0IlYvLvA257FhOau31pOK8</t>
  </si>
  <si>
    <t xml:space="preserve">Hold On</t>
  </si>
  <si>
    <t xml:space="preserve">spotify:track:0LAe8mOyLxUAN5pgqovhpN</t>
  </si>
  <si>
    <t xml:space="preserve">Sun Lips</t>
  </si>
  <si>
    <t xml:space="preserve">Black Moth Super Rainbow</t>
  </si>
  <si>
    <t xml:space="preserve">Psychedelic Electronic</t>
  </si>
  <si>
    <t xml:space="preserve">spotify:track:18IZ6KyB100072lPV6pNNM</t>
  </si>
  <si>
    <t xml:space="preserve">RICH MAN</t>
  </si>
  <si>
    <t xml:space="preserve">Forrest Frank</t>
  </si>
  <si>
    <t xml:space="preserve">spotify:track:1F7G5N2Qy1VYAc2lZEd8Om</t>
  </si>
  <si>
    <t xml:space="preserve">The Monster</t>
  </si>
  <si>
    <t xml:space="preserve">5 - Duets</t>
  </si>
  <si>
    <t xml:space="preserve">spotify:track:48RrDBpOSSl1aLVCalGl5C</t>
  </si>
  <si>
    <t xml:space="preserve">I'm a Mess (with YUNGBLUD)</t>
  </si>
  <si>
    <t xml:space="preserve">Avril Lavigne</t>
  </si>
  <si>
    <t xml:space="preserve">spotify:track:1yvArCvZLTHiawRdWKSAWj</t>
  </si>
  <si>
    <t xml:space="preserve">Hips Don't Lie (feat. Wyclef Jean)</t>
  </si>
  <si>
    <t xml:space="preserve">Shakira</t>
  </si>
  <si>
    <t xml:space="preserve">spotify:track:3d0WouFnFmr0K3kjeza3fF</t>
  </si>
  <si>
    <t xml:space="preserve">Monster (Shawn Mendes &amp; Justin Bieber)</t>
  </si>
  <si>
    <t xml:space="preserve">Shawn Mendes</t>
  </si>
  <si>
    <t xml:space="preserve">spotify:track:2Z8yfpFX0ZMavHkcIeHiO1</t>
  </si>
  <si>
    <t xml:space="preserve">I Don't Wanna Live Forever (Fifty Shades Darker)</t>
  </si>
  <si>
    <t xml:space="preserve">ZAYN</t>
  </si>
  <si>
    <t xml:space="preserve">spotify:track:55n9yjI6qqXh5F2mYvUc2y</t>
  </si>
  <si>
    <t xml:space="preserve">I Had Some Help (Feat. Morgan Wallen)</t>
  </si>
  <si>
    <t xml:space="preserve">spotify:track:5IZXB5IKAD2qlvTPJYDCFB</t>
  </si>
  <si>
    <t xml:space="preserve">Shallow</t>
  </si>
  <si>
    <t xml:space="preserve">spotify:track:2VxeLyX666F8uXCJ0dZF8B</t>
  </si>
  <si>
    <t xml:space="preserve">Crazier Things (with Noah Kahan)</t>
  </si>
  <si>
    <t xml:space="preserve">Chelsea Cutler</t>
  </si>
  <si>
    <t xml:space="preserve">spotify:track:3K7vPyMCcecKRotnu08MMP</t>
  </si>
  <si>
    <t xml:space="preserve">Nobody Wants to Be Lonely (with Christina Aguilera)</t>
  </si>
  <si>
    <t xml:space="preserve">Ricky Martin</t>
  </si>
  <si>
    <t xml:space="preserve">spotify:track:1OmykUh7sjL6x7U0oFZPov</t>
  </si>
  <si>
    <t xml:space="preserve">Beauty and the Beast - Duet</t>
  </si>
  <si>
    <t xml:space="preserve">Peabo Bryson</t>
  </si>
  <si>
    <t xml:space="preserve">spotify:track:1lb36bFPzVYUBER5QatHAY</t>
  </si>
  <si>
    <t xml:space="preserve">No More Tears (Enough Is Enough) (feat. Donna Summer)</t>
  </si>
  <si>
    <t xml:space="preserve">Barbra Streisand</t>
  </si>
  <si>
    <t xml:space="preserve">spotify:track:1wSPm3y4Lk6ABkVxCmwkZx</t>
  </si>
  <si>
    <t xml:space="preserve">ONE BEER (feat. Lauren Alaina &amp; Devin Dawson)</t>
  </si>
  <si>
    <t xml:space="preserve">spotify:track:1G7lSPzVlGydbpeQOY2gNu</t>
  </si>
  <si>
    <t xml:space="preserve">The Prince of Egypt (When You Believe)</t>
  </si>
  <si>
    <t xml:space="preserve">spotify:track:2eGxZNPQVTWjXSKazFQOMg</t>
  </si>
  <si>
    <t xml:space="preserve">The Chainsmokers, Halsey</t>
  </si>
  <si>
    <t xml:space="preserve">6 - Thanks, I Love It</t>
  </si>
  <si>
    <t xml:space="preserve">spotify:track:7BKLCZ1jbUBVqRi2FVlTVw</t>
  </si>
  <si>
    <t xml:space="preserve">spotify:track:7tFiyTwD0nx5a1eklYtX2J</t>
  </si>
  <si>
    <t xml:space="preserve">Night at the Opera</t>
  </si>
  <si>
    <t xml:space="preserve">Emei</t>
  </si>
  <si>
    <t xml:space="preserve">spotify:track:4ikhbKiw9pKYkWitSR7M7u</t>
  </si>
  <si>
    <t xml:space="preserve">Pink Pony Club</t>
  </si>
  <si>
    <t xml:space="preserve">Chappell Roan</t>
  </si>
  <si>
    <t xml:space="preserve">spotify:track:1k2pQc5i348DCHwbn5KTdc</t>
  </si>
  <si>
    <t xml:space="preserve">As It Was</t>
  </si>
  <si>
    <t xml:space="preserve">spotify:track:4Dvkj6JhhA12EX05fT7y2e</t>
  </si>
  <si>
    <t xml:space="preserve">She Will Be Loved</t>
  </si>
  <si>
    <t xml:space="preserve">Maroon 5</t>
  </si>
  <si>
    <t xml:space="preserve">spotify:track:7sapKrjDij2fpDVj0GxP66</t>
  </si>
  <si>
    <t xml:space="preserve">I Can't Love You Anymore</t>
  </si>
  <si>
    <t xml:space="preserve">Ella Langley, Morgan Wallen</t>
  </si>
  <si>
    <t xml:space="preserve">spotify:track:5aVBxVa0kz9uzv0F4gwdEn</t>
  </si>
  <si>
    <t xml:space="preserve">Viva La Vida</t>
  </si>
  <si>
    <t xml:space="preserve">spotify:track:1mea3bSkSGXuIRvnydlB5b</t>
  </si>
  <si>
    <t xml:space="preserve">Mmm Mmm Mmm Mmm</t>
  </si>
  <si>
    <t xml:space="preserve">Crash Test Dummies</t>
  </si>
  <si>
    <t xml:space="preserve">spotify:track:76nvqWPFucUra1xCkN1tnD</t>
  </si>
  <si>
    <t xml:space="preserve">Scoop</t>
  </si>
  <si>
    <t xml:space="preserve">Connor Price, Nc D</t>
  </si>
  <si>
    <t xml:space="preserve">spotify:track:3EDclKlSXDJsujVfM8bvL3</t>
  </si>
  <si>
    <t xml:space="preserve">Happy - From "Despicable Me 2"</t>
  </si>
  <si>
    <t xml:space="preserve">Pharrell Williams</t>
  </si>
  <si>
    <t xml:space="preserve">spotify:track:60nZcImufyMA1MKQY3dcCH</t>
  </si>
  <si>
    <t xml:space="preserve">Ants Marching</t>
  </si>
  <si>
    <t xml:space="preserve">Dave Matthews Band</t>
  </si>
  <si>
    <t xml:space="preserve">spotify:track:2FfZg072w8RoxlMOR7M4CT</t>
  </si>
  <si>
    <t xml:space="preserve">Dance Monkey</t>
  </si>
  <si>
    <t xml:space="preserve">Tones And I</t>
  </si>
  <si>
    <t xml:space="preserve">spotify:track:2XU0oxnq2qxCpomAAuJY8K</t>
  </si>
  <si>
    <t xml:space="preserve">Sweet Caroline</t>
  </si>
  <si>
    <t xml:space="preserve">Neil Diamond</t>
  </si>
  <si>
    <t xml:space="preserve">spotify:track:62AuGbAkt8Ox2IrFFb8GKV</t>
  </si>
  <si>
    <t xml:space="preserve">C'est la vie</t>
  </si>
  <si>
    <t xml:space="preserve">Khaled</t>
  </si>
  <si>
    <t xml:space="preserve">7 - Worldwide</t>
  </si>
  <si>
    <t xml:space="preserve">spotify:track:6KGHsN5QI0qunsADx3e51i</t>
  </si>
  <si>
    <t xml:space="preserve">Pepas</t>
  </si>
  <si>
    <t xml:space="preserve">Farruko</t>
  </si>
  <si>
    <t xml:space="preserve">spotify:track:5fwSHlTEWpluwOM0Sxnh5k</t>
  </si>
  <si>
    <t xml:space="preserve">99 Luftballons</t>
  </si>
  <si>
    <t xml:space="preserve">Nena</t>
  </si>
  <si>
    <t xml:space="preserve">spotify:track:2IJftBfq7pJ43tfnOR0RB3</t>
  </si>
  <si>
    <t xml:space="preserve">Magia (feat. Sebastián Yatra)</t>
  </si>
  <si>
    <t xml:space="preserve">Andrés Cepeda</t>
  </si>
  <si>
    <t xml:space="preserve">spotify:track:6xAhkN7uE1qdhPa8jZwhTb</t>
  </si>
  <si>
    <t xml:space="preserve">Time To Say Goodbye</t>
  </si>
  <si>
    <t xml:space="preserve">Sarah Brightman</t>
  </si>
  <si>
    <t xml:space="preserve">spotify:track:3VAICuY2ax2yCLT7EhNeZE</t>
  </si>
  <si>
    <t xml:space="preserve">Tití Me Preguntó</t>
  </si>
  <si>
    <t xml:space="preserve">spotify:track:1IHWl5LamUGEuP4ozKQSXZ</t>
  </si>
  <si>
    <t xml:space="preserve">Vivir Mi Vida</t>
  </si>
  <si>
    <t xml:space="preserve">Marc Anthony</t>
  </si>
  <si>
    <t xml:space="preserve">spotify:track:3QHMxEOAGD51PDlbFPHLyJ</t>
  </si>
  <si>
    <t xml:space="preserve">Shinunoga E-Wa</t>
  </si>
  <si>
    <t xml:space="preserve">Fujii Kaze</t>
  </si>
  <si>
    <t xml:space="preserve">spotify:track:0o9zmvc5f3EFApU52PPIyW</t>
  </si>
  <si>
    <t xml:space="preserve">Despacito</t>
  </si>
  <si>
    <t xml:space="preserve">Luis Fonsi</t>
  </si>
  <si>
    <t xml:space="preserve">spotify:track:6habFhsOp2NvshLv26DqMb</t>
  </si>
  <si>
    <t xml:space="preserve">La Perla</t>
  </si>
  <si>
    <t xml:space="preserve">ROSALÍA</t>
  </si>
  <si>
    <t xml:space="preserve">spotify:track:4oVO4fGNRRvEn0CRuFO4qv</t>
  </si>
  <si>
    <t xml:space="preserve">Tu Vuo' Fa L'Americano</t>
  </si>
  <si>
    <t xml:space="preserve">Renato Carosone</t>
  </si>
  <si>
    <t xml:space="preserve">spotify:track:20lTi7rRz9AjwSoL04ckPg</t>
  </si>
  <si>
    <t xml:space="preserve">Der Kommissar</t>
  </si>
  <si>
    <t xml:space="preserve">Falco</t>
  </si>
  <si>
    <t xml:space="preserve">spotify:track:3TBRJsLCcwroEkA3tD4u2N</t>
  </si>
  <si>
    <t xml:space="preserve">Si Antes Te Hubiera Conocido</t>
  </si>
  <si>
    <t xml:space="preserve">KAROL G</t>
  </si>
  <si>
    <t xml:space="preserve">spotify:track:73scB4Q4fcOmnsBVZPmk32</t>
  </si>
  <si>
    <t xml:space="preserve">Como La Flor</t>
  </si>
  <si>
    <t xml:space="preserve">Selena</t>
  </si>
  <si>
    <t xml:space="preserve">spotify:track:5ubqSAc9LxUS2CsMHcA4kF</t>
  </si>
  <si>
    <t xml:space="preserve">Y Yo Sigo Aqui - Spanglish</t>
  </si>
  <si>
    <t xml:space="preserve">Paulina Rubio</t>
  </si>
  <si>
    <t xml:space="preserve">spotify:track:2Ma2f8jV8VKMJoAcnCvZ8h</t>
  </si>
  <si>
    <t xml:space="preserve">My Heart Will Go On</t>
  </si>
  <si>
    <t xml:space="preserve">8 - Setlist</t>
  </si>
  <si>
    <t xml:space="preserve">spotify:track:6e7N7cQ8MuPtu3FweRQYJz</t>
  </si>
  <si>
    <t xml:space="preserve">(You Drive Me) Crazy</t>
  </si>
  <si>
    <t xml:space="preserve">spotify:track:1DSJNBNhGZCigg9ll5VeZv</t>
  </si>
  <si>
    <t xml:space="preserve">Ghost</t>
  </si>
  <si>
    <t xml:space="preserve">Demi Lovato</t>
  </si>
  <si>
    <t xml:space="preserve">spotify:track:3XeyI07raWwr8wbnaJeaVl</t>
  </si>
  <si>
    <t xml:space="preserve">Here Without You</t>
  </si>
  <si>
    <t xml:space="preserve">3 Doors Down</t>
  </si>
  <si>
    <t xml:space="preserve">spotify:track:3NLrRZoMF0Lx6zTlYqeIo4</t>
  </si>
  <si>
    <t xml:space="preserve">Oops!...I Did It Again</t>
  </si>
  <si>
    <t xml:space="preserve">spotify:track:6naxalmIoLFWR0siv8dnQQ</t>
  </si>
  <si>
    <t xml:space="preserve">Kokomo</t>
  </si>
  <si>
    <t xml:space="preserve">spotify:track:2STQAr3BRiAeeveJ07gZh7</t>
  </si>
  <si>
    <t xml:space="preserve">Tearin' up My Heart - Radio Edit</t>
  </si>
  <si>
    <t xml:space="preserve">*NSYNC</t>
  </si>
  <si>
    <t xml:space="preserve">spotify:track:594M0rqYMOo8BhMGEdoi5C</t>
  </si>
  <si>
    <t xml:space="preserve">I Want You Back - Radio Edit</t>
  </si>
  <si>
    <t xml:space="preserve">spotify:track:5YTMRAT4yKgFrepF8Hi3mY</t>
  </si>
  <si>
    <t xml:space="preserve">Livin' la Vida Loca</t>
  </si>
  <si>
    <t xml:space="preserve">spotify:track:0Ph6L4l8dYUuXFmb71Ajnd</t>
  </si>
  <si>
    <t xml:space="preserve">Sucker</t>
  </si>
  <si>
    <t xml:space="preserve">spotify:track:22vgEDb5hykfaTwLuskFGD</t>
  </si>
  <si>
    <t xml:space="preserve">IDK You Yet</t>
  </si>
  <si>
    <t xml:space="preserve">Alexander 23</t>
  </si>
  <si>
    <t xml:space="preserve">spotify:track:11WbNwwAdoxfwpZxSHIP7J</t>
  </si>
  <si>
    <t xml:space="preserve">All Too Well (10 Minute Version) (Taylor's Version) (From The Vault)</t>
  </si>
  <si>
    <t xml:space="preserve">spotify:track:5enxwA8aAbwZbf5qCHORXi</t>
  </si>
  <si>
    <t xml:space="preserve">Born to Love You</t>
  </si>
  <si>
    <t xml:space="preserve">LANCO</t>
  </si>
  <si>
    <t xml:space="preserve">spotify:track:77a5Eu7lC3tG0Sukt2O91U</t>
  </si>
  <si>
    <t xml:space="preserve">Born to Run</t>
  </si>
  <si>
    <t xml:space="preserve">Bruce Springsteen</t>
  </si>
  <si>
    <t xml:space="preserve">spotify:track:6hTcuIQa0sxrrByu9wTD7s</t>
  </si>
  <si>
    <t xml:space="preserve">You Got It (The Right Stuff)</t>
  </si>
  <si>
    <t xml:space="preserve">New Kids On The Block</t>
  </si>
  <si>
    <t xml:space="preserve">spotify:track:4buDeg67vos7KP1yHrS9wl</t>
  </si>
  <si>
    <t xml:space="preserve">Heartbreaker</t>
  </si>
  <si>
    <t xml:space="preserve">Pat Benatar</t>
  </si>
  <si>
    <t xml:space="preserve">spotify:track:22ML0MuFKfw16WejbxsLOy</t>
  </si>
  <si>
    <t xml:space="preserve">If It Means A Lot To You</t>
  </si>
  <si>
    <t xml:space="preserve">spotify:track:3rEwGRmPVVudVjqdgv0tRR</t>
  </si>
  <si>
    <t xml:space="preserve">It Would Be You</t>
  </si>
  <si>
    <t xml:space="preserve">spotify:track:0roPf0bwAsBDZv1bR15m15</t>
  </si>
  <si>
    <t xml:space="preserve">Shake It Up</t>
  </si>
  <si>
    <t xml:space="preserve">The Cars</t>
  </si>
  <si>
    <t xml:space="preserve">spotify:track:5OWokvF4QOqMDQ8ByQsm6V</t>
  </si>
  <si>
    <t xml:space="preserve">Babylon</t>
  </si>
  <si>
    <t xml:space="preserve">spotify:track:6PUYqQtGWVAovZrLC9BIqt</t>
  </si>
  <si>
    <t xml:space="preserve">Love Story</t>
  </si>
  <si>
    <t xml:space="preserve">spotify:track:1vrd6UOGamcKNGnSHJQlSt</t>
  </si>
  <si>
    <t xml:space="preserve">Walk This Way</t>
  </si>
  <si>
    <t xml:space="preserve">spotify:track:4JfuiOWlWCkjP6OKurHjSn</t>
  </si>
  <si>
    <t xml:space="preserve">Beautiful Day</t>
  </si>
  <si>
    <t xml:space="preserve">spotify:track:1VuBmEauSZywQVtqbxNqka</t>
  </si>
  <si>
    <t xml:space="preserve">Weak</t>
  </si>
  <si>
    <t xml:space="preserve">AJR</t>
  </si>
  <si>
    <t xml:space="preserve">spotify:track:2sVcBaVtBPM9vIFk1Jnbw8</t>
  </si>
  <si>
    <t xml:space="preserve">Worth Your Wild</t>
  </si>
  <si>
    <t xml:space="preserve">Russell Dickerson</t>
  </si>
  <si>
    <t xml:space="preserve">spotify:track:67bIPJptdsuPeyOPv8z1lL</t>
  </si>
  <si>
    <t xml:space="preserve">Teenage Dream</t>
  </si>
  <si>
    <t xml:space="preserve">spotify:track:5jzKL4BDMClWqRguW5qZvh</t>
  </si>
  <si>
    <t xml:space="preserve">CAN'T STOP THE FEELING! (from DreamWorks Animation's "TROLLS")</t>
  </si>
  <si>
    <t xml:space="preserve">Justin Timberlake</t>
  </si>
  <si>
    <t xml:space="preserve">spotify:track:1WkMMavIMc4JZ8cfMmxHkI</t>
  </si>
  <si>
    <t xml:space="preserve">She Thinks My Tractor's Sexy</t>
  </si>
  <si>
    <t xml:space="preserve">Kenny Chesney</t>
  </si>
  <si>
    <t xml:space="preserve">spotify:track:3QV7NYkrmV0Q0IHdFJw9hO</t>
  </si>
  <si>
    <t xml:space="preserve">Superstition - Single Version</t>
  </si>
  <si>
    <t xml:space="preserve">Stevie Wonder</t>
  </si>
  <si>
    <t xml:space="preserve">1 - At the Start</t>
  </si>
  <si>
    <t xml:space="preserve">Episode VI: Return of the Playlist (6th League)</t>
  </si>
  <si>
    <t xml:space="preserve">spotify:track:1h2xVEoJORqrg71HocgqXd</t>
  </si>
  <si>
    <t xml:space="preserve">Not The 1975</t>
  </si>
  <si>
    <t xml:space="preserve">Knox</t>
  </si>
  <si>
    <t xml:space="preserve">spotify:track:2U0Zowgw2tgJXu5K56i4Q4</t>
  </si>
  <si>
    <t xml:space="preserve">Cherry Pie</t>
  </si>
  <si>
    <t xml:space="preserve">Warrant</t>
  </si>
  <si>
    <t xml:space="preserve">spotify:track:7LygtNjQ65PSdzVjUnHXQb</t>
  </si>
  <si>
    <t xml:space="preserve">California Dreamin'</t>
  </si>
  <si>
    <t xml:space="preserve">The Mamas &amp; The Papas</t>
  </si>
  <si>
    <t xml:space="preserve">spotify:track:1ZEOIhSn6BKErV59bIgn76</t>
  </si>
  <si>
    <t xml:space="preserve">Last Man Standing</t>
  </si>
  <si>
    <t xml:space="preserve">Livingston</t>
  </si>
  <si>
    <t xml:space="preserve">spotify:track:6o0kogmiHd9sfWZkXrPpZC</t>
  </si>
  <si>
    <t xml:space="preserve">Lovesong</t>
  </si>
  <si>
    <t xml:space="preserve">The Cure</t>
  </si>
  <si>
    <t xml:space="preserve">spotify:track:7K71priwuwcWwbgfHVQJdq</t>
  </si>
  <si>
    <t xml:space="preserve">Jimmy Eat World</t>
  </si>
  <si>
    <t xml:space="preserve">spotify:track:6GG73Jik4jUlQCkKg9JuGO</t>
  </si>
  <si>
    <t xml:space="preserve">Love You For A Long Time</t>
  </si>
  <si>
    <t xml:space="preserve">Maggie Rogers</t>
  </si>
  <si>
    <t xml:space="preserve">spotify:track:6QTPacyXkZWG9FMwq6L1hJ</t>
  </si>
  <si>
    <t xml:space="preserve">Ava Max</t>
  </si>
  <si>
    <t xml:space="preserve">spotify:track:726TaMebVtCacv69K8yuRu</t>
  </si>
  <si>
    <t xml:space="preserve">Kings &amp; Queens</t>
  </si>
  <si>
    <t xml:space="preserve">spotify:track:7a53HqqArd4b9NF4XAmlbI</t>
  </si>
  <si>
    <t xml:space="preserve">Anti-Hero</t>
  </si>
  <si>
    <t xml:space="preserve">spotify:track:0V3wPSX9ygBnCm8psDIegu</t>
  </si>
  <si>
    <t xml:space="preserve">Karma Chameleon</t>
  </si>
  <si>
    <t xml:space="preserve">Culture Club</t>
  </si>
  <si>
    <t xml:space="preserve">spotify:track:48O0GrGJWml3DzHhC5sJ7a</t>
  </si>
  <si>
    <t xml:space="preserve">Middle Finger (feat. Mac Miller)</t>
  </si>
  <si>
    <t xml:space="preserve">Cobra Starship</t>
  </si>
  <si>
    <t xml:space="preserve">spotify:track:2vjmUmO71XEDuitvK4sxRM</t>
  </si>
  <si>
    <t xml:space="preserve">See You At Your Funeral</t>
  </si>
  <si>
    <t xml:space="preserve">PUP</t>
  </si>
  <si>
    <t xml:space="preserve">spotify:track:511ZEJJELVd9gYpS9u63us</t>
  </si>
  <si>
    <t xml:space="preserve">Me, Myself &amp; I</t>
  </si>
  <si>
    <t xml:space="preserve">G-Eazy</t>
  </si>
  <si>
    <t xml:space="preserve">spotify:track:40YcuQysJ0KlGQTeGUosTC</t>
  </si>
  <si>
    <t xml:space="preserve">December, 1963 (Oh What a Night!)</t>
  </si>
  <si>
    <t xml:space="preserve">The Four Seasons</t>
  </si>
  <si>
    <t xml:space="preserve">2 - Back in My Day</t>
  </si>
  <si>
    <t xml:space="preserve">spotify:track:7ePFDzrnLt3Ynqgy2UFWri</t>
  </si>
  <si>
    <t xml:space="preserve">Build Me Up Buttercup - Mono</t>
  </si>
  <si>
    <t xml:space="preserve">The Foundations</t>
  </si>
  <si>
    <t xml:space="preserve">spotify:track:1tfZtA15BfJHQTUy3dqTKC</t>
  </si>
  <si>
    <t xml:space="preserve">Have You Ever Seen The Rain</t>
  </si>
  <si>
    <t xml:space="preserve">Creedence Clearwater Revival</t>
  </si>
  <si>
    <t xml:space="preserve">spotify:track:5DnT9a5IM3eMjKgXTWVJvi</t>
  </si>
  <si>
    <t xml:space="preserve">What A Wonderful World</t>
  </si>
  <si>
    <t xml:space="preserve">Louis Armstrong</t>
  </si>
  <si>
    <t xml:space="preserve">spotify:track:29U7stRjqHU6rMiS8BfaI9</t>
  </si>
  <si>
    <t xml:space="preserve">Piano Man</t>
  </si>
  <si>
    <t xml:space="preserve">spotify:track:70C4NyhjD5OZUMzvWZ3njJ</t>
  </si>
  <si>
    <t xml:space="preserve">Joy to the World</t>
  </si>
  <si>
    <t xml:space="preserve">Three Dog Night</t>
  </si>
  <si>
    <t xml:space="preserve">spotify:track:3GDTQRm6F358LdF53fqWGU</t>
  </si>
  <si>
    <t xml:space="preserve">Keep on Loving You</t>
  </si>
  <si>
    <t xml:space="preserve">REO Speedwagon</t>
  </si>
  <si>
    <t xml:space="preserve">spotify:track:4rcHWl68ai6KvpXlc8vbnE</t>
  </si>
  <si>
    <t xml:space="preserve">Snoopy Vs. The Red Baron</t>
  </si>
  <si>
    <t xml:space="preserve">The Royal Guardsmen</t>
  </si>
  <si>
    <t xml:space="preserve">spotify:track:6qF3qHvzEmh7bkdBatxQuS</t>
  </si>
  <si>
    <t xml:space="preserve">The Logical Song</t>
  </si>
  <si>
    <t xml:space="preserve">Supertramp</t>
  </si>
  <si>
    <t xml:space="preserve">spotify:track:2IOeOJyiuzwF8BRAK9jJyj</t>
  </si>
  <si>
    <t xml:space="preserve">Baby, Baby</t>
  </si>
  <si>
    <t xml:space="preserve">Amy Grant</t>
  </si>
  <si>
    <t xml:space="preserve">spotify:track:3IDsegNBHC4pjGCOMTQYlU</t>
  </si>
  <si>
    <t xml:space="preserve">Olathumbathu</t>
  </si>
  <si>
    <t xml:space="preserve">S. Janaki</t>
  </si>
  <si>
    <t xml:space="preserve">spotify:track:5SkK1VGwHEnt02r5rbMTZC</t>
  </si>
  <si>
    <t xml:space="preserve">And Your Bird Can Sing - Remastered 2009</t>
  </si>
  <si>
    <t xml:space="preserve">spotify:track:4KRgqwb4kvBuTz1utbYxfb</t>
  </si>
  <si>
    <t xml:space="preserve">A Little Bit Country-A Little Bit Rock 'N Roll</t>
  </si>
  <si>
    <t xml:space="preserve">Donny &amp; Marie Osmond</t>
  </si>
  <si>
    <t xml:space="preserve">spotify:track:2BFzx5rPRiNCfuWfQulO92</t>
  </si>
  <si>
    <t xml:space="preserve">Lucky Star</t>
  </si>
  <si>
    <t xml:space="preserve">spotify:track:2hWI9GNr3kBrxZ7Mphho4Q</t>
  </si>
  <si>
    <t xml:space="preserve">Cosmos</t>
  </si>
  <si>
    <t xml:space="preserve">standards</t>
  </si>
  <si>
    <t xml:space="preserve">3 - Epic</t>
  </si>
  <si>
    <t xml:space="preserve">spotify:track:3KmFdgv6niTJHVuo3MB2H0</t>
  </si>
  <si>
    <t xml:space="preserve">Roundtable Rival</t>
  </si>
  <si>
    <t xml:space="preserve">spotify:track:7fLOFRCRe1c4kyoLJkNW1w</t>
  </si>
  <si>
    <t xml:space="preserve">Adventurer</t>
  </si>
  <si>
    <t xml:space="preserve">The Gothard Sisters</t>
  </si>
  <si>
    <t xml:space="preserve">spotify:track:1yfQcZvnS3KBesBOlBfMKn</t>
  </si>
  <si>
    <t xml:space="preserve">BATTLE WITHOUT HONOR OR HUMANITY</t>
  </si>
  <si>
    <t xml:space="preserve">HOTEI</t>
  </si>
  <si>
    <t xml:space="preserve">spotify:track:0PH3OkM1QnIyb44VhFVbca</t>
  </si>
  <si>
    <t xml:space="preserve">Main Title</t>
  </si>
  <si>
    <t xml:space="preserve">Ramin Djawadi</t>
  </si>
  <si>
    <t xml:space="preserve">spotify:track:2q6fxAvSpqXR4jx9Ne7RGz</t>
  </si>
  <si>
    <t xml:space="preserve">Agape</t>
  </si>
  <si>
    <t xml:space="preserve">Nicholas Britell</t>
  </si>
  <si>
    <t xml:space="preserve">spotify:track:2IvnDjlgH8yy70Nz99UdcJ</t>
  </si>
  <si>
    <t xml:space="preserve">YYZ</t>
  </si>
  <si>
    <t xml:space="preserve">Rush</t>
  </si>
  <si>
    <t xml:space="preserve">spotify:track:3lpDrxUkr0tIe1kmJvdK7d</t>
  </si>
  <si>
    <t xml:space="preserve">Symphony No. 7 in A Major, Op. 92: II. Allegretto</t>
  </si>
  <si>
    <t xml:space="preserve">Ludwig van Beethoven</t>
  </si>
  <si>
    <t xml:space="preserve">spotify:track:4zpAd3OLeEfMI9V6WykeTd</t>
  </si>
  <si>
    <t xml:space="preserve">Time</t>
  </si>
  <si>
    <t xml:space="preserve">spotify:track:6ZFbXIJkuI1dVNWvzJzown</t>
  </si>
  <si>
    <t xml:space="preserve">Promentory</t>
  </si>
  <si>
    <t xml:space="preserve">Trevor Jones</t>
  </si>
  <si>
    <t xml:space="preserve">spotify:track:0l4seNH8AyE2kvjxFfpWi1</t>
  </si>
  <si>
    <t xml:space="preserve">Bella's Lullaby (From "Twilight") [Arr. For Piano by M. Rzeminski]</t>
  </si>
  <si>
    <t xml:space="preserve">Maksym Rzemiński</t>
  </si>
  <si>
    <t xml:space="preserve">spotify:track:7rj2PZ9Ls7z7qEnyqsy71l</t>
  </si>
  <si>
    <t xml:space="preserve">Orion (Remastered)</t>
  </si>
  <si>
    <t xml:space="preserve">Metallica</t>
  </si>
  <si>
    <t xml:space="preserve">spotify:track:4xyWJM4kscTROV2RESdwpd</t>
  </si>
  <si>
    <t xml:space="preserve">Hall of the Mountain King</t>
  </si>
  <si>
    <t xml:space="preserve">Apocalyptica</t>
  </si>
  <si>
    <t xml:space="preserve">spotify:track:3hpFMfExUUBn7pJvuLMMwQ</t>
  </si>
  <si>
    <t xml:space="preserve">Les jours tristes - Instrumental</t>
  </si>
  <si>
    <t xml:space="preserve">Yann Tiersen</t>
  </si>
  <si>
    <t xml:space="preserve">spotify:track:26usmxPwvxV8Gd7sAbR323</t>
  </si>
  <si>
    <t xml:space="preserve">Connor Main Theme - Connor - (From "Detroit:Become Human" Soundtrack)</t>
  </si>
  <si>
    <t xml:space="preserve">Nima Fakhrara</t>
  </si>
  <si>
    <t xml:space="preserve">spotify:track:1oYqTiYgy3fSqAuMYCxxye</t>
  </si>
  <si>
    <t xml:space="preserve">Low (feat. T-Pain)</t>
  </si>
  <si>
    <t xml:space="preserve">Flo Rida</t>
  </si>
  <si>
    <t xml:space="preserve">4 - Dance, Dance, Dance</t>
  </si>
  <si>
    <t xml:space="preserve">spotify:track:0CAfXk7DXMnon4gLudAp7J</t>
  </si>
  <si>
    <t xml:space="preserve">Dance The Night - From Barbie The Album</t>
  </si>
  <si>
    <t xml:space="preserve">spotify:track:1vYXt7VSjH9JIM5oRRo7vA</t>
  </si>
  <si>
    <t xml:space="preserve">Gasolina</t>
  </si>
  <si>
    <t xml:space="preserve">Daddy Yankee</t>
  </si>
  <si>
    <t xml:space="preserve">spotify:track:5YoITs1m0q8UOQ4AW7N5ga</t>
  </si>
  <si>
    <t xml:space="preserve">Came Here for Love</t>
  </si>
  <si>
    <t xml:space="preserve">Sigala</t>
  </si>
  <si>
    <t xml:space="preserve">spotify:track:3kGfazcbVvVkuZunzlLgTD</t>
  </si>
  <si>
    <t xml:space="preserve">Footloose - From "Footloose" Soundtrack</t>
  </si>
  <si>
    <t xml:space="preserve">spotify:track:2vz1CsL5WBsbpBcwgboTAw</t>
  </si>
  <si>
    <t xml:space="preserve">Fireball (feat. John Ryan)</t>
  </si>
  <si>
    <t xml:space="preserve">Pitbull</t>
  </si>
  <si>
    <t xml:space="preserve">spotify:track:4Y7XAxTANhu3lmnLAzhWJW</t>
  </si>
  <si>
    <t xml:space="preserve">Sunroof</t>
  </si>
  <si>
    <t xml:space="preserve">Nicky Youre</t>
  </si>
  <si>
    <t xml:space="preserve">spotify:track:5YqEzk3C5c3UZ1D5fJUlXA</t>
  </si>
  <si>
    <t xml:space="preserve">I Just Might</t>
  </si>
  <si>
    <t xml:space="preserve">Bruno Mars</t>
  </si>
  <si>
    <t xml:space="preserve">spotify:track:6f68Ac5tt5BQOpwr0BV9oN</t>
  </si>
  <si>
    <t xml:space="preserve">Wobble</t>
  </si>
  <si>
    <t xml:space="preserve">V.I.C.</t>
  </si>
  <si>
    <t xml:space="preserve">spotify:track:6JLcz9UGiVxAmEZXlCucn5</t>
  </si>
  <si>
    <t xml:space="preserve">Beauty And A Beat</t>
  </si>
  <si>
    <t xml:space="preserve">Justin Bieber, Nicki Minaj</t>
  </si>
  <si>
    <t xml:space="preserve">Josh</t>
  </si>
  <si>
    <t xml:space="preserve">spotify:track:190jyVPHYjAqEaOGmMzdyk</t>
  </si>
  <si>
    <t xml:space="preserve">Nails, Hair, Hips, Heels (Remix)</t>
  </si>
  <si>
    <t xml:space="preserve">Todrick Hall</t>
  </si>
  <si>
    <t xml:space="preserve">spotify:track:5PeaqO7m6S1TC3hwbmk9j5</t>
  </si>
  <si>
    <t xml:space="preserve">Party Your Body</t>
  </si>
  <si>
    <t xml:space="preserve">Stevie B</t>
  </si>
  <si>
    <t xml:space="preserve">spotify:track:2rZMR4TBSUIpFCCnKsl7uO</t>
  </si>
  <si>
    <t xml:space="preserve">Bad Decision</t>
  </si>
  <si>
    <t xml:space="preserve">Chromeo</t>
  </si>
  <si>
    <t xml:space="preserve">spotify:track:0PIQF15Jp7HwouZPLqPj8b</t>
  </si>
  <si>
    <t xml:space="preserve">I Wanna Dance with Somebody (Who Loves Me)</t>
  </si>
  <si>
    <t xml:space="preserve">spotify:track:2tUBqZG2AbRi7Q0BIrVrEj</t>
  </si>
  <si>
    <t xml:space="preserve">September</t>
  </si>
  <si>
    <t xml:space="preserve">Earth, Wind &amp; Fire</t>
  </si>
  <si>
    <t xml:space="preserve">5 - Wedding Guest Request</t>
  </si>
  <si>
    <t xml:space="preserve">spotify:track:2grjqo0Frpf2okIBiifQKs</t>
  </si>
  <si>
    <t xml:space="preserve">I Gotta Feeling</t>
  </si>
  <si>
    <t xml:space="preserve">Black Eyed Peas</t>
  </si>
  <si>
    <t xml:space="preserve">spotify:track:2H1047e0oMSj10dgp7p2VG</t>
  </si>
  <si>
    <t xml:space="preserve">Single Ladies (Put a Ring on It)</t>
  </si>
  <si>
    <t xml:space="preserve">spotify:track:5R9a4t5t5O0IsznsrKPVro</t>
  </si>
  <si>
    <t xml:space="preserve">Get Low</t>
  </si>
  <si>
    <t xml:space="preserve">Lil Jon &amp; The East Side Boyz, Ying Yang Twins</t>
  </si>
  <si>
    <t xml:space="preserve">spotify:track:0r2Bul2NuCViraT2zX1l5j</t>
  </si>
  <si>
    <t xml:space="preserve">You Make My Dreams (Come True)</t>
  </si>
  <si>
    <t xml:space="preserve">Daryl Hall &amp; John Oates</t>
  </si>
  <si>
    <t xml:space="preserve">spotify:track:4o6BgsqLIBViaGVbx5rbRk</t>
  </si>
  <si>
    <t xml:space="preserve">Boogie Wonderland (with The Emotions)</t>
  </si>
  <si>
    <t xml:space="preserve">Earth, Wind &amp; Fire, The Emotions</t>
  </si>
  <si>
    <t xml:space="preserve">spotify:track:6ztstiyZL6FXzh4aG46ZPD</t>
  </si>
  <si>
    <t xml:space="preserve">Cha Cha Slide - Original Live Platinum Band Mix</t>
  </si>
  <si>
    <t xml:space="preserve">DJ Casper</t>
  </si>
  <si>
    <t xml:space="preserve">spotify:track:0RC2B9uIITHA0wtDFfQk3K</t>
  </si>
  <si>
    <t xml:space="preserve">Hotel Room Service</t>
  </si>
  <si>
    <t xml:space="preserve">spotify:track:6Rb0ptOEjBjPPQUlQtQGbL</t>
  </si>
  <si>
    <t xml:space="preserve">Jump In the Line</t>
  </si>
  <si>
    <t xml:space="preserve">Harry Belafonte</t>
  </si>
  <si>
    <t xml:space="preserve">spotify:track:3w6m1sTs8qXiuITB0sziwY</t>
  </si>
  <si>
    <t xml:space="preserve">Rasputin - Single Version</t>
  </si>
  <si>
    <t xml:space="preserve">Boney M.</t>
  </si>
  <si>
    <t xml:space="preserve">Disco</t>
  </si>
  <si>
    <t xml:space="preserve">spotify:track:67hbP9PFQZrb4XZc3TzB0s</t>
  </si>
  <si>
    <t xml:space="preserve">Levels - Original Version</t>
  </si>
  <si>
    <t xml:space="preserve">Avicii</t>
  </si>
  <si>
    <t xml:space="preserve">spotify:track:6Xe9wT5xeZETPwtaP2ynUz</t>
  </si>
  <si>
    <t xml:space="preserve">Spin You Around (1/24)</t>
  </si>
  <si>
    <t xml:space="preserve">Morgan Wallen</t>
  </si>
  <si>
    <t xml:space="preserve">spotify:track:47Xj8eIAp7hYOOqArmkqZE</t>
  </si>
  <si>
    <t xml:space="preserve">Grow Up</t>
  </si>
  <si>
    <t xml:space="preserve">Late Night Thoughts</t>
  </si>
  <si>
    <t xml:space="preserve">6 - Personal Theme</t>
  </si>
  <si>
    <t xml:space="preserve">spotify:track:3Qt3A2x143Eo3PeZb0rRfH</t>
  </si>
  <si>
    <t xml:space="preserve">Rollin' Right Along</t>
  </si>
  <si>
    <t xml:space="preserve">spotify:track:0gDIsF458XtmsL67aYqSj7</t>
  </si>
  <si>
    <t xml:space="preserve">These Are The Days</t>
  </si>
  <si>
    <t xml:space="preserve">Mark Ambor</t>
  </si>
  <si>
    <t xml:space="preserve">spotify:track:2QVRjz1nWhN8FCAHgnrTE4</t>
  </si>
  <si>
    <t xml:space="preserve">Why Worry</t>
  </si>
  <si>
    <t xml:space="preserve">Set It Off</t>
  </si>
  <si>
    <t xml:space="preserve">spotify:track:39ShyO1yBCiEoEXHX9ie0F</t>
  </si>
  <si>
    <t xml:space="preserve">You Get What You Give</t>
  </si>
  <si>
    <t xml:space="preserve">New Radicals</t>
  </si>
  <si>
    <t xml:space="preserve">spotify:track:1Cwsd5xI8CajJz795oy4XF</t>
  </si>
  <si>
    <t xml:space="preserve">Thankful</t>
  </si>
  <si>
    <t xml:space="preserve">spotify:track:5eVNpfTi4H5h12p3LGFyWD</t>
  </si>
  <si>
    <t xml:space="preserve">All My Life</t>
  </si>
  <si>
    <t xml:space="preserve">Falling In Reverse, Jelly Roll</t>
  </si>
  <si>
    <t xml:space="preserve">spotify:track:19CCQeIOxxUDcpFw539zd7</t>
  </si>
  <si>
    <t xml:space="preserve">Head Over Heels</t>
  </si>
  <si>
    <t xml:space="preserve">The Go-Go's</t>
  </si>
  <si>
    <t xml:space="preserve">spotify:track:1p46bniF6fC9kT1v5yjJOI</t>
  </si>
  <si>
    <t xml:space="preserve">Call Me Mother</t>
  </si>
  <si>
    <t xml:space="preserve">RuPaul</t>
  </si>
  <si>
    <t xml:space="preserve">spotify:track:0SENYBHXBj0TI1ZygWwxee</t>
  </si>
  <si>
    <t xml:space="preserve">Sheep Go To Heaven</t>
  </si>
  <si>
    <t xml:space="preserve">spotify:track:4G8Eu3EDQZYhHPfJMFCv8V</t>
  </si>
  <si>
    <t xml:space="preserve">Perfect Day</t>
  </si>
  <si>
    <t xml:space="preserve">Hoku</t>
  </si>
  <si>
    <t xml:space="preserve">spotify:track:4pMyfWdA0eo3JY5RqMotbw</t>
  </si>
  <si>
    <t xml:space="preserve">Smile</t>
  </si>
  <si>
    <t xml:space="preserve">spotify:track:3DXdjHnePKnh6oXw2ZgGSl</t>
  </si>
  <si>
    <t xml:space="preserve">21</t>
  </si>
  <si>
    <t xml:space="preserve">Lola</t>
  </si>
  <si>
    <t xml:space="preserve">7 - New Me</t>
  </si>
  <si>
    <t xml:space="preserve">spotify:track:5JnUeseqxjW49AuvB2WXjR</t>
  </si>
  <si>
    <t xml:space="preserve">Come Fly With Me</t>
  </si>
  <si>
    <t xml:space="preserve">spotify:track:1GcPhT7osBb4LEJnQ0tmfj</t>
  </si>
  <si>
    <t xml:space="preserve">Where I Belong (feat. We The Kings)</t>
  </si>
  <si>
    <t xml:space="preserve">Simple Plan, State Champs, We The Kings</t>
  </si>
  <si>
    <t xml:space="preserve">spotify:track:6XbmIuDxm4gWpVYoGg5DQX</t>
  </si>
  <si>
    <t xml:space="preserve">Flowers</t>
  </si>
  <si>
    <t xml:space="preserve">Samantha Ebert, Seph Schlueter</t>
  </si>
  <si>
    <t xml:space="preserve">spotify:track:0KIv0Lho9vsPCj8Sac21IV</t>
  </si>
  <si>
    <t xml:space="preserve">Til You Can't</t>
  </si>
  <si>
    <t xml:space="preserve">spotify:track:4k3lPl8YTKuY8c1HelVnm3</t>
  </si>
  <si>
    <t xml:space="preserve">The Planets, Op. 32: I. Mars, the Bringer of War</t>
  </si>
  <si>
    <t xml:space="preserve">Gustav Holst, Berliner Philharmoniker, Herbert von Karajan</t>
  </si>
  <si>
    <t xml:space="preserve">spotify:track:1C3RIRKQZhSk5d2iioIhkg</t>
  </si>
  <si>
    <t xml:space="preserve">Turn The Page - Live</t>
  </si>
  <si>
    <t xml:space="preserve">Bob Seger</t>
  </si>
  <si>
    <t xml:space="preserve">spotify:track:3P2XAL8UpPBM3nfvuEjHHE</t>
  </si>
  <si>
    <t xml:space="preserve">I Found You</t>
  </si>
  <si>
    <t xml:space="preserve">Cash Cash, Andy Grammer</t>
  </si>
  <si>
    <t xml:space="preserve">spotify:track:3wYOGJYD31sLRmBgCvWxa4</t>
  </si>
  <si>
    <t xml:space="preserve">Fragile</t>
  </si>
  <si>
    <t xml:space="preserve">Sting</t>
  </si>
  <si>
    <t xml:space="preserve">spotify:track:5oE6INocVL9viDow5y8QNM</t>
  </si>
  <si>
    <t xml:space="preserve">California Love - Original Version</t>
  </si>
  <si>
    <t xml:space="preserve">2Pac, Roger, Dr. Dre</t>
  </si>
  <si>
    <t xml:space="preserve">spotify:track:3ia3dJETSOllPsv3LJkE35</t>
  </si>
  <si>
    <t xml:space="preserve">People Live Here</t>
  </si>
  <si>
    <t xml:space="preserve">spotify:track:3YsbKbo8m5Uv5zAG2hqOrN</t>
  </si>
  <si>
    <t xml:space="preserve">Theme From Jurassic Park</t>
  </si>
  <si>
    <t xml:space="preserve">John Williams</t>
  </si>
  <si>
    <t xml:space="preserve">spotify:track:2TZbQZXOuR8osP2AK8yYMN</t>
  </si>
  <si>
    <t xml:space="preserve">Belief</t>
  </si>
  <si>
    <t xml:space="preserve">Ben Fankhauser</t>
  </si>
  <si>
    <t xml:space="preserve">spotify:track:1As0DIn3aDCaAspzPQ2s6b</t>
  </si>
  <si>
    <t xml:space="preserve">Gravity</t>
  </si>
  <si>
    <t xml:space="preserve">Papa Roach</t>
  </si>
  <si>
    <t xml:space="preserve">spotify:track:1SmoikQyzvAi35I5X4LHMY</t>
  </si>
  <si>
    <t xml:space="preserve">Next Thing You Know</t>
  </si>
  <si>
    <t xml:space="preserve">Jordan Davis</t>
  </si>
  <si>
    <t xml:space="preserve">spotify:track:2lNTHWu2I5Tcz9ukWsV5Jj</t>
  </si>
  <si>
    <t xml:space="preserve">I Love You And Buddha Too</t>
  </si>
  <si>
    <t xml:space="preserve">Mason Jennings</t>
  </si>
  <si>
    <t xml:space="preserve">spotify:track:0XJGoeexYvCDo2h6wY7qlR</t>
  </si>
  <si>
    <t xml:space="preserve">Get Ready For This</t>
  </si>
  <si>
    <t xml:space="preserve">2 Unlimited</t>
  </si>
  <si>
    <t xml:space="preserve">8 - Walk Out Song</t>
  </si>
  <si>
    <t xml:space="preserve">spotify:track:45Q5IYHJbBdmvlcnwVpXw5</t>
  </si>
  <si>
    <t xml:space="preserve">GO</t>
  </si>
  <si>
    <t xml:space="preserve">BLACKPINK</t>
  </si>
  <si>
    <t xml:space="preserve">spotify:track:3FZPp9lBUvhsxFxKJi3VkB</t>
  </si>
  <si>
    <t xml:space="preserve">Welcome To The Jungle</t>
  </si>
  <si>
    <t xml:space="preserve">Guns N' Roses</t>
  </si>
  <si>
    <t xml:space="preserve">spotify:track:0G21yYKMZoHa30cYVi1iA8</t>
  </si>
  <si>
    <t xml:space="preserve">Narco</t>
  </si>
  <si>
    <t xml:space="preserve">Blasterjaxx, Timmy Trumpet</t>
  </si>
  <si>
    <t xml:space="preserve">spotify:track:4TuNI3WEMyLQAKRMJmcQdA</t>
  </si>
  <si>
    <t xml:space="preserve">Space Jam</t>
  </si>
  <si>
    <t xml:space="preserve">Quad City DJ's</t>
  </si>
  <si>
    <t xml:space="preserve">spotify:track:683hRieVmYdAhVA1DkjSAk</t>
  </si>
  <si>
    <t xml:space="preserve">Dancing Queen</t>
  </si>
  <si>
    <t xml:space="preserve">spotify:track:0GjEhVFGZW8afUYGChu3Rr</t>
  </si>
  <si>
    <t xml:space="preserve">GIRLS</t>
  </si>
  <si>
    <t xml:space="preserve">spotify:track:7z3PblAN3dH1JMewiRydkZ</t>
  </si>
  <si>
    <t xml:space="preserve">TiK ToK</t>
  </si>
  <si>
    <t xml:space="preserve">spotify:track:0HPD5WQqrq7wPWR7P7Dw1i</t>
  </si>
  <si>
    <t xml:space="preserve">Are You Gonna Go My Way</t>
  </si>
  <si>
    <t xml:space="preserve">Lenny Kravitz</t>
  </si>
  <si>
    <t xml:space="preserve">spotify:track:45Ia1U4KtIjAPPU7Wv1Sea</t>
  </si>
  <si>
    <t xml:space="preserve">Do Ya Wanna Taste It</t>
  </si>
  <si>
    <t xml:space="preserve">Wig Wam</t>
  </si>
  <si>
    <t xml:space="preserve">spotify:track:5XW4BwCrfYpci5zMbJxs4N</t>
  </si>
  <si>
    <t xml:space="preserve">POWER</t>
  </si>
  <si>
    <t xml:space="preserve">spotify:track:2gZUPNdnz5Y45eiGxpHGSc</t>
  </si>
  <si>
    <t xml:space="preserve">Throne</t>
  </si>
  <si>
    <t xml:space="preserve">Bring Me The Horizon</t>
  </si>
  <si>
    <t xml:space="preserve">spotify:track:0M3adYbGtyRHACP86dey1H</t>
  </si>
  <si>
    <t xml:space="preserve">Jump Around</t>
  </si>
  <si>
    <t xml:space="preserve">House Of Pain</t>
  </si>
  <si>
    <t xml:space="preserve">spotify:track:6JymsaWDHk2Yj4e0yNBIFH</t>
  </si>
  <si>
    <t xml:space="preserve">Cold Hearted</t>
  </si>
  <si>
    <t xml:space="preserve">Paula Abdul</t>
  </si>
  <si>
    <t xml:space="preserve">spotify:track:6jrp8qBMJO6vhAeYVAsdk9</t>
  </si>
  <si>
    <t xml:space="preserve">Heartbeat Song</t>
  </si>
  <si>
    <t xml:space="preserve">Kelly Clarkson</t>
  </si>
  <si>
    <t xml:space="preserve">spotify:track:7FC9Lng8iXU081lbigu8m8</t>
  </si>
  <si>
    <t xml:space="preserve">Just the Way You Are</t>
  </si>
  <si>
    <t xml:space="preserve">1 - Beginner's Luck</t>
  </si>
  <si>
    <t xml:space="preserve">Lucky Number 7 (7th League)</t>
  </si>
  <si>
    <t xml:space="preserve">spotify:track:7BqBn9nzAq8spo5e7cZ0dJ</t>
  </si>
  <si>
    <t xml:space="preserve">Just Dance</t>
  </si>
  <si>
    <t xml:space="preserve">Lady Gaga, Colby O'Donis</t>
  </si>
  <si>
    <t xml:space="preserve">Lucia</t>
  </si>
  <si>
    <t xml:space="preserve">spotify:track:2x7MyWybabEz6Y6wvHuwGE</t>
  </si>
  <si>
    <t xml:space="preserve">One Thing</t>
  </si>
  <si>
    <t xml:space="preserve">spotify:track:5G2c6FsfTzgYUzageCmfXY</t>
  </si>
  <si>
    <t xml:space="preserve">Swing, Swing</t>
  </si>
  <si>
    <t xml:space="preserve">spotify:track:003FTlCpBTM4eSqYSWPv4H</t>
  </si>
  <si>
    <t xml:space="preserve">Papercut</t>
  </si>
  <si>
    <t xml:space="preserve">Linkin Park</t>
  </si>
  <si>
    <t xml:space="preserve">spotify:track:1Vej0qeQ3ioKwpI6FUbRv1</t>
  </si>
  <si>
    <t xml:space="preserve">Here With Me</t>
  </si>
  <si>
    <t xml:space="preserve">Dido</t>
  </si>
  <si>
    <t xml:space="preserve">spotify:track:4xFxK0FXmNlUDRgCaIQCVn</t>
  </si>
  <si>
    <t xml:space="preserve">I Want You Back</t>
  </si>
  <si>
    <t xml:space="preserve">The Jackson 5</t>
  </si>
  <si>
    <t xml:space="preserve">spotify:track:75EVUbTF5l9VuMHs6AuFgp</t>
  </si>
  <si>
    <t xml:space="preserve">Nine in the Afternoon - Single Mix</t>
  </si>
  <si>
    <t xml:space="preserve">spotify:track:1S30kHvkkdMkcuCTGSgS41</t>
  </si>
  <si>
    <t xml:space="preserve">Runnin' with the Devil - 2015 Remaster</t>
  </si>
  <si>
    <t xml:space="preserve">Van Halen</t>
  </si>
  <si>
    <t xml:space="preserve">spotify:track:3KhF2YiNpJvGpfiCW45R6D</t>
  </si>
  <si>
    <t xml:space="preserve">Break Up In A Small Town</t>
  </si>
  <si>
    <t xml:space="preserve">Sam Hunt</t>
  </si>
  <si>
    <t xml:space="preserve">spotify:track:7aftSOGSOpSoIlVAQVBb71</t>
  </si>
  <si>
    <t xml:space="preserve">Snow Angel</t>
  </si>
  <si>
    <t xml:space="preserve">Reneé Rapp</t>
  </si>
  <si>
    <t xml:space="preserve">spotify:track:6skUuqrKMQIjjo75hWGAvQ</t>
  </si>
  <si>
    <t xml:space="preserve">spotify:track:5ZULALImTm80tzUbYQYM9d</t>
  </si>
  <si>
    <t xml:space="preserve">More Than a Feeling</t>
  </si>
  <si>
    <t xml:space="preserve">Boston</t>
  </si>
  <si>
    <t xml:space="preserve">spotify:track:1QEEqeFIZktqIpPI4jSVSF</t>
  </si>
  <si>
    <t xml:space="preserve">About A Girl</t>
  </si>
  <si>
    <t xml:space="preserve">spotify:track:2SHTKB8YYlawTGIuJ2b2ok</t>
  </si>
  <si>
    <t xml:space="preserve">Ain't No Sunshine</t>
  </si>
  <si>
    <t xml:space="preserve">Sara</t>
  </si>
  <si>
    <t xml:space="preserve">spotify:track:5ou2nZT8UQJn1nuiUxAyjs</t>
  </si>
  <si>
    <t xml:space="preserve">Power Over Me</t>
  </si>
  <si>
    <t xml:space="preserve">Dermot Kennedy</t>
  </si>
  <si>
    <t xml:space="preserve">2 - Sensory Overload</t>
  </si>
  <si>
    <t xml:space="preserve">spotify:track:4tViDtaHuSLnh7HVJTrKhs</t>
  </si>
  <si>
    <t xml:space="preserve">Kingdom of Fear</t>
  </si>
  <si>
    <t xml:space="preserve">Cameron Whitcomb</t>
  </si>
  <si>
    <t xml:space="preserve">spotify:track:4Es6f0zquGHCrv9Hespx9W</t>
  </si>
  <si>
    <t xml:space="preserve">Dreams - 2004 Remaster</t>
  </si>
  <si>
    <t xml:space="preserve">spotify:track:0ofHAoxe9vBkTCp2UQIavz</t>
  </si>
  <si>
    <t xml:space="preserve">A Little Waltz for Misha</t>
  </si>
  <si>
    <t xml:space="preserve">The Hot Club Of San Francisco</t>
  </si>
  <si>
    <t xml:space="preserve">spotify:track:7jSJJgyrVrZ5TLzr0U64Al</t>
  </si>
  <si>
    <t xml:space="preserve">I'm Good (Blue)</t>
  </si>
  <si>
    <t xml:space="preserve">David Guetta, Bebe Rexha</t>
  </si>
  <si>
    <t xml:space="preserve">spotify:track:4uUG5RXrOk84mYEfFvj3cK</t>
  </si>
  <si>
    <t xml:space="preserve">Nightswimming</t>
  </si>
  <si>
    <t xml:space="preserve">spotify:track:6G0NzOx2jEPFsSmhr9N8Ys</t>
  </si>
  <si>
    <t xml:space="preserve">Be Our Guest</t>
  </si>
  <si>
    <t xml:space="preserve">Angela Lansbury, Jerry Orbach, Chorus - Beauty And The Beast, Disney</t>
  </si>
  <si>
    <t xml:space="preserve">spotify:track:6btdYzQ8eZFBrOlUKVHuz0</t>
  </si>
  <si>
    <t xml:space="preserve">Love Myself</t>
  </si>
  <si>
    <t xml:space="preserve">Hailee Steinfeld</t>
  </si>
  <si>
    <t xml:space="preserve">spotify:track:36phXHOKx8rO7CMp2vNX4x</t>
  </si>
  <si>
    <t xml:space="preserve">I Feel the Earth Move</t>
  </si>
  <si>
    <t xml:space="preserve">Carole King</t>
  </si>
  <si>
    <t xml:space="preserve">spotify:track:1BWsOxeMx83OrKGCV4gxly</t>
  </si>
  <si>
    <t xml:space="preserve">Lavender</t>
  </si>
  <si>
    <t xml:space="preserve">Marillion</t>
  </si>
  <si>
    <t xml:space="preserve">spotify:track:0fFotmAiRwLfpogfYs48PQ</t>
  </si>
  <si>
    <t xml:space="preserve">Trampoline (with ZAYN)</t>
  </si>
  <si>
    <t xml:space="preserve">SHAED, ZAYN</t>
  </si>
  <si>
    <t xml:space="preserve">spotify:track:2Lz3GftPbs91tdeWDaZzzc</t>
  </si>
  <si>
    <t xml:space="preserve">Desert Rose</t>
  </si>
  <si>
    <t xml:space="preserve">Sting, Cheb Mami</t>
  </si>
  <si>
    <t xml:space="preserve">spotify:track:4WhyHQ2BXi2VU1iaFbF6jv</t>
  </si>
  <si>
    <t xml:space="preserve">The Load-Out - Remastered</t>
  </si>
  <si>
    <t xml:space="preserve">Jackson Browne</t>
  </si>
  <si>
    <t xml:space="preserve">spotify:track:75Cc2encvSkQ5OnDgAfJaV</t>
  </si>
  <si>
    <t xml:space="preserve">Crooked Muse</t>
  </si>
  <si>
    <t xml:space="preserve">Beats Antique, Lady Lynx</t>
  </si>
  <si>
    <t xml:space="preserve">spotify:track:6izQEQZGKd0d6ZjaFvKrRH</t>
  </si>
  <si>
    <t xml:space="preserve">Pure</t>
  </si>
  <si>
    <t xml:space="preserve">SIENNA SPIRO</t>
  </si>
  <si>
    <t xml:space="preserve">spotify:track:31IKMjvv6Oskp4hjGVeYsT</t>
  </si>
  <si>
    <t xml:space="preserve">Sparks</t>
  </si>
  <si>
    <t xml:space="preserve">spotify:track:7D0RhFcb3CrfPuTJ0obrod</t>
  </si>
  <si>
    <t xml:space="preserve">Take on Me</t>
  </si>
  <si>
    <t xml:space="preserve">a-ha</t>
  </si>
  <si>
    <t xml:space="preserve">3 - High Roller</t>
  </si>
  <si>
    <t xml:space="preserve">spotify:track:2WfaOiMkCvy7F5fcp2zZ8L</t>
  </si>
  <si>
    <t xml:space="preserve">Sherry</t>
  </si>
  <si>
    <t xml:space="preserve">Frankie Valli &amp; The Four Seasons</t>
  </si>
  <si>
    <t xml:space="preserve">spotify:track:0NpvdCO506uO58D4AbKzki</t>
  </si>
  <si>
    <t xml:space="preserve">BOY</t>
  </si>
  <si>
    <t xml:space="preserve">Charlie Puth</t>
  </si>
  <si>
    <t xml:space="preserve">spotify:track:7aSvPfoqiM0zwPqupLGaHd</t>
  </si>
  <si>
    <t xml:space="preserve">I Don't Feel Like Dancin'</t>
  </si>
  <si>
    <t xml:space="preserve">Scissor Sisters</t>
  </si>
  <si>
    <t xml:space="preserve">spotify:track:13pyGLYmBjYgvOMIEivX2K</t>
  </si>
  <si>
    <t xml:space="preserve">Kiss</t>
  </si>
  <si>
    <t xml:space="preserve">spotify:track:5uBOaCN5vDdk9JqsefjQSh</t>
  </si>
  <si>
    <t xml:space="preserve">High</t>
  </si>
  <si>
    <t xml:space="preserve">Stephen Sanchez</t>
  </si>
  <si>
    <t xml:space="preserve">spotify:track:5hlPrSCx9BvnQ3rCTkblMZ</t>
  </si>
  <si>
    <t xml:space="preserve">Teenage Dirtbag</t>
  </si>
  <si>
    <t xml:space="preserve">Wheatus</t>
  </si>
  <si>
    <t xml:space="preserve">spotify:track:25FTMokYEbEWHEdss5JLZS</t>
  </si>
  <si>
    <t xml:space="preserve">Want to Want Me</t>
  </si>
  <si>
    <t xml:space="preserve">Jason Derulo</t>
  </si>
  <si>
    <t xml:space="preserve">spotify:track:7oGZAicScQt96OAW4AruYy</t>
  </si>
  <si>
    <t xml:space="preserve">Your Love</t>
  </si>
  <si>
    <t xml:space="preserve">The Outfield</t>
  </si>
  <si>
    <t xml:space="preserve">spotify:track:5dRQUolXAVX3BbCiIxmSsf</t>
  </si>
  <si>
    <t xml:space="preserve">Black Dog - Remaster</t>
  </si>
  <si>
    <t xml:space="preserve">Led Zeppelin</t>
  </si>
  <si>
    <t xml:space="preserve">spotify:track:3qT4bUD1MaWpGrTwcvguhb</t>
  </si>
  <si>
    <t xml:space="preserve">Emotions</t>
  </si>
  <si>
    <t xml:space="preserve">spotify:track:0cELvuwJW1acISUHYB6suj</t>
  </si>
  <si>
    <t xml:space="preserve">Dangerous Woman</t>
  </si>
  <si>
    <t xml:space="preserve">spotify:track:6RUhbFEhrvGISaQ8u2j2JN</t>
  </si>
  <si>
    <t xml:space="preserve">One Way Trigger</t>
  </si>
  <si>
    <t xml:space="preserve">The Strokes</t>
  </si>
  <si>
    <t xml:space="preserve">spotify:track:5GKVcvTgnFYtfh25qKQtRg</t>
  </si>
  <si>
    <t xml:space="preserve">Chandelier</t>
  </si>
  <si>
    <t xml:space="preserve">Sia</t>
  </si>
  <si>
    <t xml:space="preserve">spotify:track:2s1sdSqGcKxpPr5lCl7jAV</t>
  </si>
  <si>
    <t xml:space="preserve">Just My Imagination (Running Away With Me)</t>
  </si>
  <si>
    <t xml:space="preserve">The Temptations</t>
  </si>
  <si>
    <t xml:space="preserve">spotify:track:39Bd345OWEhRNyfayhp9gv</t>
  </si>
  <si>
    <t xml:space="preserve">All The Pretty Girls</t>
  </si>
  <si>
    <t xml:space="preserve">fun.</t>
  </si>
  <si>
    <t xml:space="preserve">4 - Hidden Jackpot</t>
  </si>
  <si>
    <t xml:space="preserve">spotify:track:2cHGWytemKJuckq2oLnAbZ</t>
  </si>
  <si>
    <t xml:space="preserve">Disloyal Order Of Water Buffaloes</t>
  </si>
  <si>
    <t xml:space="preserve">spotify:track:4qg2rXtE20scfPhGvG5tqq</t>
  </si>
  <si>
    <t xml:space="preserve">Fool's Gold</t>
  </si>
  <si>
    <t xml:space="preserve">spotify:track:0L5gFNrzHyh4OhMwEz6DGS</t>
  </si>
  <si>
    <t xml:space="preserve">Sleeping Angel (From Fast Times at Ridgemont High)</t>
  </si>
  <si>
    <t xml:space="preserve">Stevie Nicks</t>
  </si>
  <si>
    <t xml:space="preserve">spotify:track:35I5lX6yE00YSu7PEgES54</t>
  </si>
  <si>
    <t xml:space="preserve">Legendary Lovers</t>
  </si>
  <si>
    <t xml:space="preserve">spotify:track:5Uc37Y6FijZcM538PqqkWd</t>
  </si>
  <si>
    <t xml:space="preserve">Yellow Ledbetter</t>
  </si>
  <si>
    <t xml:space="preserve">spotify:track:3bE5slaVEfaDreqARl6k4M</t>
  </si>
  <si>
    <t xml:space="preserve">YA YA</t>
  </si>
  <si>
    <t xml:space="preserve">spotify:track:0K9tfzrxJyCQIf7oAlPwaK</t>
  </si>
  <si>
    <t xml:space="preserve">Not Strong Enough</t>
  </si>
  <si>
    <t xml:space="preserve">boygenius, Julien Baker, Phoebe Bridgers, Lucy Dacus</t>
  </si>
  <si>
    <t xml:space="preserve">spotify:track:09DR0sHnQUhHOiSNttc1mv</t>
  </si>
  <si>
    <t xml:space="preserve">Poison</t>
  </si>
  <si>
    <t xml:space="preserve">spotify:track:0yGlYMCTNE1aKRd5YAXEdg</t>
  </si>
  <si>
    <t xml:space="preserve">Steal My Love</t>
  </si>
  <si>
    <t xml:space="preserve">Dan + Shay</t>
  </si>
  <si>
    <t xml:space="preserve">spotify:track:0vzSAyinyA619ZbrOaAi04</t>
  </si>
  <si>
    <t xml:space="preserve">Perm</t>
  </si>
  <si>
    <t xml:space="preserve">spotify:track:1I6pKIyaBp4OebTGLJpCCC</t>
  </si>
  <si>
    <t xml:space="preserve">spotify:track:4VAngYbLewVFpcLR9FpYfR</t>
  </si>
  <si>
    <t xml:space="preserve">Fire Coming out of the Monkey's Head</t>
  </si>
  <si>
    <t xml:space="preserve">Gorillaz</t>
  </si>
  <si>
    <t xml:space="preserve">spotify:track:1S9tfxdFr4TqoqA14gnKj3</t>
  </si>
  <si>
    <t xml:space="preserve">mars</t>
  </si>
  <si>
    <t xml:space="preserve">spotify:track:6C6aknFp2XtjIq7xuvyfuY</t>
  </si>
  <si>
    <t xml:space="preserve">Creature</t>
  </si>
  <si>
    <t xml:space="preserve">Jelly Roll, Tech N9ne, Krizz Kaliko</t>
  </si>
  <si>
    <t xml:space="preserve">spotify:track:5yqKUU2DUyilP2TvOrjEzT</t>
  </si>
  <si>
    <t xml:space="preserve">Everybody Wants To Rule The World</t>
  </si>
  <si>
    <t xml:space="preserve">Tears for Fears</t>
  </si>
  <si>
    <t xml:space="preserve">5 - Back Room Time Machine</t>
  </si>
  <si>
    <t xml:space="preserve">spotify:track:4RvWPyQ5RL0ao9LPZeSouE</t>
  </si>
  <si>
    <t xml:space="preserve">Girls Just Want to Have Fun</t>
  </si>
  <si>
    <t xml:space="preserve">Cyndi Lauper</t>
  </si>
  <si>
    <t xml:space="preserve">spotify:track:4y1LsJpmMti1PfRQV9AWWe</t>
  </si>
  <si>
    <t xml:space="preserve">Hungry Like the Wolf - 2009 Remaster</t>
  </si>
  <si>
    <t xml:space="preserve">Duran Duran</t>
  </si>
  <si>
    <t xml:space="preserve">spotify:track:39lSeqnyjZJejRuaREfyLL</t>
  </si>
  <si>
    <t xml:space="preserve">Faith - Remastered</t>
  </si>
  <si>
    <t xml:space="preserve">George Michael</t>
  </si>
  <si>
    <t xml:space="preserve">spotify:track:0HEmnAUT8PHznIAAmVXqFJ</t>
  </si>
  <si>
    <t xml:space="preserve">You Spin Me Round (Like a Record)</t>
  </si>
  <si>
    <t xml:space="preserve">Dead or Alive</t>
  </si>
  <si>
    <t xml:space="preserve">spotify:track:1ChulFMnwxoD74Me8eX2TU</t>
  </si>
  <si>
    <t xml:space="preserve">Dancing with Myself</t>
  </si>
  <si>
    <t xml:space="preserve">Billy Idol</t>
  </si>
  <si>
    <t xml:space="preserve">spotify:track:3rQfYDjgpRy5LFlClpPQW9</t>
  </si>
  <si>
    <t xml:space="preserve">Don't Change</t>
  </si>
  <si>
    <t xml:space="preserve">INXS</t>
  </si>
  <si>
    <t xml:space="preserve">spotify:track:6ck0CGe9BN9gW5oMmzbhs9</t>
  </si>
  <si>
    <t xml:space="preserve">Generation X</t>
  </si>
  <si>
    <t xml:space="preserve">spotify:track:1lEhKudlkpBsh6S7JyvvHs</t>
  </si>
  <si>
    <t xml:space="preserve">Endless Summer Nights</t>
  </si>
  <si>
    <t xml:space="preserve">Richard Marx</t>
  </si>
  <si>
    <t xml:space="preserve">spotify:track:2iXH35MhsqO5Ry8a7iptpJ</t>
  </si>
  <si>
    <t xml:space="preserve">Baby Beluga</t>
  </si>
  <si>
    <t xml:space="preserve">Raffi</t>
  </si>
  <si>
    <t xml:space="preserve">Children's Music</t>
  </si>
  <si>
    <t xml:space="preserve">spotify:track:7zQFM7bHcyMh4QQFdBkjrE</t>
  </si>
  <si>
    <t xml:space="preserve">In A Big Country - Radio Edit</t>
  </si>
  <si>
    <t xml:space="preserve">Big Country</t>
  </si>
  <si>
    <t xml:space="preserve">spotify:track:2eKuTki5i6iuxgzDHyqD6Q</t>
  </si>
  <si>
    <t xml:space="preserve">Cupid's Chokehold / Breakfast in America</t>
  </si>
  <si>
    <t xml:space="preserve">Gym Class Heroes</t>
  </si>
  <si>
    <t xml:space="preserve">6 - Stacked Deck</t>
  </si>
  <si>
    <t xml:space="preserve">spotify:track:2Lhdl74nwwVGOE2Gv35QuK</t>
  </si>
  <si>
    <t xml:space="preserve">SOS</t>
  </si>
  <si>
    <t xml:space="preserve">spotify:track:30cSNer6TV8x2utjULVeQ5</t>
  </si>
  <si>
    <t xml:space="preserve">First Class</t>
  </si>
  <si>
    <t xml:space="preserve">Jack Harlow</t>
  </si>
  <si>
    <t xml:space="preserve">spotify:track:0wHFktze2PHC5jDt3B17DC</t>
  </si>
  <si>
    <t xml:space="preserve">Fallin' (Adrenaline)</t>
  </si>
  <si>
    <t xml:space="preserve">Why Don't We</t>
  </si>
  <si>
    <t xml:space="preserve">spotify:track:5GhJIMWAw0uMLgkdbt6uMz</t>
  </si>
  <si>
    <t xml:space="preserve">Paper Planes</t>
  </si>
  <si>
    <t xml:space="preserve">M.I.A.</t>
  </si>
  <si>
    <t xml:space="preserve">spotify:track:1ixbwbeBi5ufN4noUKmW5a</t>
  </si>
  <si>
    <t xml:space="preserve">A Bar Song (Tipsy)</t>
  </si>
  <si>
    <t xml:space="preserve">Shaboozey</t>
  </si>
  <si>
    <t xml:space="preserve">spotify:track:2FQrifJ1N335Ljm3TjTVVf</t>
  </si>
  <si>
    <t xml:space="preserve">Hollaback Girl</t>
  </si>
  <si>
    <t xml:space="preserve">spotify:track:0LzrhCZFXW94Y8nwtTuRlw</t>
  </si>
  <si>
    <t xml:space="preserve">Old Town Road</t>
  </si>
  <si>
    <t xml:space="preserve">Lil Nas X</t>
  </si>
  <si>
    <t xml:space="preserve">spotify:track:0F7FA14euOIX8KcbEturGH</t>
  </si>
  <si>
    <t xml:space="preserve">Whatcha Say</t>
  </si>
  <si>
    <t xml:space="preserve">spotify:track:67T6l4q3zVjC5nZZPXByU8</t>
  </si>
  <si>
    <t xml:space="preserve">Bootylicious</t>
  </si>
  <si>
    <t xml:space="preserve">Destiny's Child</t>
  </si>
  <si>
    <t xml:space="preserve">spotify:track:09mkdGhqb5ySKVsnkx9hy2</t>
  </si>
  <si>
    <t xml:space="preserve">Gold Digger</t>
  </si>
  <si>
    <t xml:space="preserve">spotify:track:1PS1QMdUqOal0ai3Gt7sDQ</t>
  </si>
  <si>
    <t xml:space="preserve">Livin' It Up</t>
  </si>
  <si>
    <t xml:space="preserve">Ja Rule</t>
  </si>
  <si>
    <t xml:space="preserve">spotify:track:4ToZV7r72wSbVrljaLSp13</t>
  </si>
  <si>
    <t xml:space="preserve">Muy Tranquilo</t>
  </si>
  <si>
    <t xml:space="preserve">Gramatik</t>
  </si>
  <si>
    <t xml:space="preserve">spotify:track:3aCkU7zRK9YtA9KyoTIqnb</t>
  </si>
  <si>
    <t xml:space="preserve">Saturn</t>
  </si>
  <si>
    <t xml:space="preserve">SZA</t>
  </si>
  <si>
    <t xml:space="preserve">7 - Cosmic Casino</t>
  </si>
  <si>
    <t xml:space="preserve">spotify:track:1bjeWoagtHmUKputLVyDxQ</t>
  </si>
  <si>
    <t xml:space="preserve">Starman - 2012 Remaster</t>
  </si>
  <si>
    <t xml:space="preserve">David Bowie</t>
  </si>
  <si>
    <t xml:space="preserve">spotify:track:0pQskrTITgmCMyr85tb9qq</t>
  </si>
  <si>
    <t xml:space="preserve">Supermassive Black Hole</t>
  </si>
  <si>
    <t xml:space="preserve">spotify:track:3lPr8ghNDBLc2uZovNyLs9</t>
  </si>
  <si>
    <t xml:space="preserve">Stargazing</t>
  </si>
  <si>
    <t xml:space="preserve">Myles Smith</t>
  </si>
  <si>
    <t xml:space="preserve">spotify:track:3Vr3zh0r7ALn8VLqCiRR10</t>
  </si>
  <si>
    <t xml:space="preserve">Major Tom (Coming Home)</t>
  </si>
  <si>
    <t xml:space="preserve">Peter Schilling</t>
  </si>
  <si>
    <t xml:space="preserve">spotify:track:709ffFK4o4MtG1NKoLvOma</t>
  </si>
  <si>
    <t xml:space="preserve">Fly Me To The Moon - 2008 Remaster</t>
  </si>
  <si>
    <t xml:space="preserve">spotify:track:7FXj7Qg3YorUxdrzvrcY25</t>
  </si>
  <si>
    <t xml:space="preserve">Working Class Heroes (Work)</t>
  </si>
  <si>
    <t xml:space="preserve">CeeLo Green</t>
  </si>
  <si>
    <t xml:space="preserve">spotify:track:0jqC18IqSdsGpGlQ8Dsx9M</t>
  </si>
  <si>
    <t xml:space="preserve">Rocket Man (I Think It's Going To Be A Long, Long Time)</t>
  </si>
  <si>
    <t xml:space="preserve">Ladies and gentlemen we are floating in space</t>
  </si>
  <si>
    <t xml:space="preserve">Spiritualized</t>
  </si>
  <si>
    <t xml:space="preserve">spotify:track:0fOjUafaAhJV16oRBgCtz7</t>
  </si>
  <si>
    <t xml:space="preserve">Star Love</t>
  </si>
  <si>
    <t xml:space="preserve">Cheryl Lynn</t>
  </si>
  <si>
    <t xml:space="preserve">spotify:track:3Qf3MFEgl1laKe49NAXYKq</t>
  </si>
  <si>
    <t xml:space="preserve">39</t>
  </si>
  <si>
    <t xml:space="preserve">spotify:track:6e8HCstOUFx9sac4fnqPKx</t>
  </si>
  <si>
    <t xml:space="preserve">Star Trek: The Next Generation Main Title</t>
  </si>
  <si>
    <t xml:space="preserve">Jerry Goldsmith, Ron Jones</t>
  </si>
  <si>
    <t xml:space="preserve">spotify:track:6C6UppMmnhp4DY4oyG823S</t>
  </si>
  <si>
    <t xml:space="preserve">Champagne Supernova</t>
  </si>
  <si>
    <t xml:space="preserve">Oasis</t>
  </si>
  <si>
    <t xml:space="preserve">spotify:track:6EMynpZ10GVcwVqiLZj6Ye</t>
  </si>
  <si>
    <t xml:space="preserve">The Moon Song</t>
  </si>
  <si>
    <t xml:space="preserve">beabadoobee</t>
  </si>
  <si>
    <t xml:space="preserve">spotify:track:3s9eWdn8IymCPvVLcKpjww</t>
  </si>
  <si>
    <t xml:space="preserve">Lost in Time and Space</t>
  </si>
  <si>
    <t xml:space="preserve">spotify:track:6BqmgqzgKNxPszu1I6gOpn</t>
  </si>
  <si>
    <t xml:space="preserve">Rocky Road to Dublin</t>
  </si>
  <si>
    <t xml:space="preserve">Jack O'Connell, Brian Dunphy, Darren Holden, Sinners Movie</t>
  </si>
  <si>
    <t xml:space="preserve">8 - After Hours</t>
  </si>
  <si>
    <t xml:space="preserve">spotify:track:1esmJ8t2PRbYt2yMx2aSEW</t>
  </si>
  <si>
    <t xml:space="preserve">Somebody's Watching Me</t>
  </si>
  <si>
    <t xml:space="preserve">Rockwell</t>
  </si>
  <si>
    <t xml:space="preserve">spotify:track:7jwQlYGpOml9ETGre1HqGA</t>
  </si>
  <si>
    <t xml:space="preserve">Sweet Dreams (Are Made Of This)</t>
  </si>
  <si>
    <t xml:space="preserve">spotify:track:3D0bXrSv7O73vOaGOG8J9c</t>
  </si>
  <si>
    <t xml:space="preserve">Haunted</t>
  </si>
  <si>
    <t xml:space="preserve">Evanescence</t>
  </si>
  <si>
    <t xml:space="preserve">spotify:track:6Z77oDcn6iI1MHFCBPjl24</t>
  </si>
  <si>
    <t xml:space="preserve">Heads Will Roll</t>
  </si>
  <si>
    <t xml:space="preserve">Yeah Yeah Yeahs</t>
  </si>
  <si>
    <t xml:space="preserve">spotify:track:18oWEPapjNt32E6sCM6VLb</t>
  </si>
  <si>
    <t xml:space="preserve">Dracula</t>
  </si>
  <si>
    <t xml:space="preserve">Tame Impala</t>
  </si>
  <si>
    <t xml:space="preserve">spotify:track:709ZIqPHyFOpx2QdjmeWAM</t>
  </si>
  <si>
    <t xml:space="preserve">Killer Klowns</t>
  </si>
  <si>
    <t xml:space="preserve">The Dickies</t>
  </si>
  <si>
    <t xml:space="preserve">spotify:track:1dUPABHPVfHnvdLnKwYbgz</t>
  </si>
  <si>
    <t xml:space="preserve">The Rocky Horror Show Original Cast</t>
  </si>
  <si>
    <t xml:space="preserve">spotify:track:1esIh49tNEGrXEHorSTHZ1</t>
  </si>
  <si>
    <t xml:space="preserve">Dead Man's Party</t>
  </si>
  <si>
    <t xml:space="preserve">Oingo Boingo</t>
  </si>
  <si>
    <t xml:space="preserve">spotify:track:2h47SG8bNphmicAll4H9RV</t>
  </si>
  <si>
    <t xml:space="preserve">Animal</t>
  </si>
  <si>
    <t xml:space="preserve">Badflower</t>
  </si>
  <si>
    <t xml:space="preserve">spotify:track:0CBM2iiBZmfKntDeQYboqU</t>
  </si>
  <si>
    <t xml:space="preserve">Disturbia</t>
  </si>
  <si>
    <t xml:space="preserve">spotify:track:2VOomzT6VavJOGBeySqaMc</t>
  </si>
  <si>
    <t xml:space="preserve">Nun painting</t>
  </si>
  <si>
    <t xml:space="preserve">joseph bishara</t>
  </si>
  <si>
    <t xml:space="preserve">spotify:track:0xWs8OMHsWdqSvfDxhkmiw</t>
  </si>
  <si>
    <t xml:space="preserve">Tip Toe Thru' the Tulips with Me</t>
  </si>
  <si>
    <t xml:space="preserve">spotify:track:1Vchex0xowRj9k59RLvRfo</t>
  </si>
  <si>
    <t xml:space="preserve">Crawling in the Dark</t>
  </si>
  <si>
    <t xml:space="preserve">Hoobastank</t>
  </si>
  <si>
    <t xml:space="preserve">spotify:track:1PJRDeZSoZk7gtisdTYfLi</t>
  </si>
  <si>
    <t xml:space="preserve">This Is America</t>
  </si>
  <si>
    <t xml:space="preserve">Childish Gambino</t>
  </si>
  <si>
    <t xml:space="preserve">1 - First Impressions</t>
  </si>
  <si>
    <t xml:space="preserve">The Soundtrack of Us (8th League)</t>
  </si>
  <si>
    <t xml:space="preserve">Ms. Jackson</t>
  </si>
  <si>
    <t xml:space="preserve">Dear Maria, Count Me In</t>
  </si>
  <si>
    <t xml:space="preserve">You Give Love A Bad Name</t>
  </si>
  <si>
    <t xml:space="preserve">Bon Jovi</t>
  </si>
  <si>
    <t xml:space="preserve">Fuel</t>
  </si>
  <si>
    <t xml:space="preserve">Royals</t>
  </si>
  <si>
    <t xml:space="preserve">Lorde</t>
  </si>
  <si>
    <t xml:space="preserve">7563</t>
  </si>
  <si>
    <t xml:space="preserve">Florence Road</t>
  </si>
  <si>
    <t xml:space="preserve">We R Who We R</t>
  </si>
  <si>
    <t xml:space="preserve">Nothing Compares 2 U</t>
  </si>
  <si>
    <t xml:space="preserve">Sinead O'Connor</t>
  </si>
  <si>
    <t xml:space="preserve">Hypotheticals</t>
  </si>
  <si>
    <t xml:space="preserve">Lake Street Dive</t>
  </si>
  <si>
    <t xml:space="preserve">Don't Stop Believin' (2022 Remaster)</t>
  </si>
  <si>
    <t xml:space="preserve">Journey</t>
  </si>
  <si>
    <t xml:space="preserve">WOM</t>
  </si>
  <si>
    <t xml:space="preserve">Definitely Maybe</t>
  </si>
  <si>
    <t xml:space="preserve">Out Of Sight</t>
  </si>
  <si>
    <t xml:space="preserve">Midland</t>
  </si>
  <si>
    <t xml:space="preserve">I Will Survive</t>
  </si>
  <si>
    <t xml:space="preserve">Gloria Gaynor</t>
  </si>
  <si>
    <t xml:space="preserve">Back in Black</t>
  </si>
  <si>
    <t xml:space="preserve">AC/DC</t>
  </si>
  <si>
    <t xml:space="preserve">2 - Wait…That's Not the Lyric?</t>
  </si>
  <si>
    <t xml:space="preserve">Dance/Dance</t>
  </si>
  <si>
    <t xml:space="preserve">Drift Away</t>
  </si>
  <si>
    <t xml:space="preserve">Uncle Kracker</t>
  </si>
  <si>
    <t xml:space="preserve">Blinding Lights</t>
  </si>
  <si>
    <t xml:space="preserve">The Weeknd</t>
  </si>
  <si>
    <t xml:space="preserve">Torn</t>
  </si>
  <si>
    <t xml:space="preserve">Natalie Imbruglia</t>
  </si>
  <si>
    <t xml:space="preserve">Bad Moon Rising</t>
  </si>
  <si>
    <t xml:space="preserve">Tubthumping</t>
  </si>
  <si>
    <t xml:space="preserve">Chumbawumba</t>
  </si>
  <si>
    <t xml:space="preserve">Africa</t>
  </si>
  <si>
    <t xml:space="preserve">TOTO</t>
  </si>
  <si>
    <t xml:space="preserve">It's Gonna Be Me</t>
  </si>
  <si>
    <t xml:space="preserve">Tiny Dancer</t>
  </si>
  <si>
    <t xml:space="preserve">Losing My Religion</t>
  </si>
  <si>
    <t xml:space="preserve">What's My Age Again?</t>
  </si>
  <si>
    <t xml:space="preserve">blink-182</t>
  </si>
  <si>
    <t xml:space="preserve">Escape (The Pina Colada Song)</t>
  </si>
  <si>
    <t xml:space="preserve">Rupert Holmes</t>
  </si>
  <si>
    <t xml:space="preserve">Blinded By The Light</t>
  </si>
  <si>
    <t xml:space="preserve">Manfred Mann's Earth Band</t>
  </si>
  <si>
    <t xml:space="preserve">Voter</t>
  </si>
  <si>
    <t xml:space="preserve">Match Row</t>
  </si>
  <si>
    <t xml:space="preserve">Vote Key</t>
  </si>
  <si>
    <t xml:space="preserve">Round Name</t>
  </si>
  <si>
    <t xml:space="preserve">Description</t>
  </si>
  <si>
    <t xml:space="preserve">Point Budget</t>
  </si>
  <si>
    <t xml:space="preserve">Songs per Person</t>
  </si>
  <si>
    <t xml:space="preserve">Submissions</t>
  </si>
  <si>
    <t xml:space="preserve">Forfeited Songs</t>
  </si>
  <si>
    <t xml:space="preserve">Voters</t>
  </si>
  <si>
    <t xml:space="preserve">Playlist URL</t>
  </si>
  <si>
    <t xml:space="preserve">Max Votes per Song</t>
  </si>
  <si>
    <t xml:space="preserve">A Song you'd recommend any day</t>
  </si>
  <si>
    <t xml:space="preserve">https://open.spotify.com/playlist/3kPMtXos73C2xQmMQvPGPx</t>
  </si>
  <si>
    <t xml:space="preserve">Halloween-ish Songs</t>
  </si>
  <si>
    <t xml:space="preserve">https://open.spotify.com/playlist/3JaCvioVBW6DIpEJz4Tagl</t>
  </si>
  <si>
    <t xml:space="preserve">Please Rise - You are now in charge of a country! What is the national anthem?</t>
  </si>
  <si>
    <t xml:space="preserve">https://open.spotify.com/playlist/42E7CG7xy9VKDUjJ42KfjN</t>
  </si>
  <si>
    <t xml:space="preserve">Deep Cut Song from a Popular Artist</t>
  </si>
  <si>
    <t xml:space="preserve">https://open.spotify.com/playlist/5rIguViPV6R2Bkr1Wc4Sb0</t>
  </si>
  <si>
    <t xml:space="preserve">Songs that "cut deep" (A Good Cry Song)</t>
  </si>
  <si>
    <t xml:space="preserve">💙😭🤧🎶</t>
  </si>
  <si>
    <t xml:space="preserve">https://open.spotify.com/playlist/6bRXBYvMGqY1O4idh3i9z9</t>
  </si>
  <si>
    <t xml:space="preserve">Songs that tell a Story</t>
  </si>
  <si>
    <t xml:space="preserve">Pick a track with a clear narrative. Lyrics must drive the story.</t>
  </si>
  <si>
    <t xml:space="preserve">https://open.spotify.com/playlist/2MfyMRzfTv6Jf0Stip2gJO</t>
  </si>
  <si>
    <t xml:space="preserve">Artist nobody knows but you?</t>
  </si>
  <si>
    <t xml:space="preserve">Pick an artist you genuinely think others in the league might not know or have never listened to. Vote for songs that truly surprised you, felt fresh, or made you want to dig into the artist’s catalog.</t>
  </si>
  <si>
    <t xml:space="preserve">https://open.spotify.com/playlist/3bt6V6J6tV0WhTC4rpNPRZ</t>
  </si>
  <si>
    <t xml:space="preserve">Best Earworm</t>
  </si>
  <si>
    <t xml:space="preserve">Pick a song that is irresistably catchy - something that sticks in your head after one listen.</t>
  </si>
  <si>
    <t xml:space="preserve">https://open.spotify.com/playlist/3gC9IZWwG01NmFHanuBQu6</t>
  </si>
  <si>
    <t xml:space="preserve">Workout Song</t>
  </si>
  <si>
    <t xml:space="preserve">Songs that make you feel unstoppable. High energy, hype tracks, or anything you’d put on while sprinting, lifting, or surviving a treadmill incline from hell.</t>
  </si>
  <si>
    <t xml:space="preserve">https://open.spotify.com/playlist/2jsEQvgykIMJMMTioBu19b</t>
  </si>
  <si>
    <t xml:space="preserve">Hidden Holiday Gems</t>
  </si>
  <si>
    <t xml:space="preserve">Celebrate the season with festive tracks that aren’t the usual overplayed hits. Underrated, lesser-known, or offbeat holiday songs only.</t>
  </si>
  <si>
    <t xml:space="preserve">https://open.spotify.com/playlist/3KZSy1W3Sfv0ib5pjH3yyx</t>
  </si>
  <si>
    <t xml:space="preserve">Mystery (I'm Happy, Why Do You Ask?)</t>
  </si>
  <si>
    <t xml:space="preserve">Submit whatever you want—no explanation, no category. Everyone only finds out the theme after the songs are revealed.</t>
  </si>
  <si>
    <t xml:space="preserve">https://open.spotify.com/playlist/6ETKItmgRQ4XBn4kbDL5T9</t>
  </si>
  <si>
    <t xml:space="preserve">Songs from Another World</t>
  </si>
  <si>
    <t xml:space="preserve">Tracks that feel alien, ethereal, futuristic, other-dimensional, or just… not from Earth.</t>
  </si>
  <si>
    <t xml:space="preserve">https://open.spotify.com/playlist/6LfdnlE8afPryUOLEqDdeR</t>
  </si>
  <si>
    <t xml:space="preserve">The cover was better than the original</t>
  </si>
  <si>
    <t xml:space="preserve">Submit a cover version that you genuinely believe surpasses the original.
Include the original artist in your submission comments.</t>
  </si>
  <si>
    <t xml:space="preserve">https://open.spotify.com/playlist/0fzGyTVOAGM9KVCTg4uJsh</t>
  </si>
  <si>
    <t xml:space="preserve">Forgotten Gems</t>
  </si>
  <si>
    <t xml:space="preserve">Bring back a song that was once popular but has faded from mainstream memory. It has to be atleast 10 years old.</t>
  </si>
  <si>
    <t xml:space="preserve">https://open.spotify.com/playlist/5LMkIkt4COJNCmCbtiLzRc</t>
  </si>
  <si>
    <t xml:space="preserve">Unexpected Collabs</t>
  </si>
  <si>
    <t xml:space="preserve">Choose a song featuring artists from different genres or surprising pairings. It should feel like an unlikely combo.</t>
  </si>
  <si>
    <t xml:space="preserve">https://open.spotify.com/playlist/1qs2e5iWuF5wDWBoFkDPCg</t>
  </si>
  <si>
    <t xml:space="preserve">Villain Theme Song</t>
  </si>
  <si>
    <t xml:space="preserve">If you turned evil tomorrow, what song would play when you enter the room? 
Don't use songs that is already themed for a villain!</t>
  </si>
  <si>
    <t xml:space="preserve">https://open.spotify.com/playlist/1e1D6sYkiSYEY5KOGVKXds</t>
  </si>
  <si>
    <t xml:space="preserve">2025 Song</t>
  </si>
  <si>
    <t xml:space="preserve">Released in 2025</t>
  </si>
  <si>
    <t xml:space="preserve">https://open.spotify.com/playlist/1XpbjBvqEN6c2bpk2ICbqD</t>
  </si>
  <si>
    <t xml:space="preserve">Love</t>
  </si>
  <si>
    <t xml:space="preserve">Any form of love. It should hit YOUR heart. </t>
  </si>
  <si>
    <t xml:space="preserve">https://open.spotify.com/playlist/3yWe0lGO3XoRtJ42XmmlYj</t>
  </si>
  <si>
    <t xml:space="preserve">Break-up</t>
  </si>
  <si>
    <t xml:space="preserve">Songs to get you through heartbreak</t>
  </si>
  <si>
    <t xml:space="preserve">https://open.spotify.com/playlist/3aIKc5P7f0VsNAU2hOermf</t>
  </si>
  <si>
    <t xml:space="preserve">Local</t>
  </si>
  <si>
    <t xml:space="preserve">By an artist from your home city, county, or state. Represent your roots. </t>
  </si>
  <si>
    <t xml:space="preserve">https://open.spotify.com/playlist/46MQzAeCQAsyNUBn3DDaSI</t>
  </si>
  <si>
    <t xml:space="preserve">Gone solo</t>
  </si>
  <si>
    <t xml:space="preserve">Songs by a solo artist who previously became famous as a member of a band</t>
  </si>
  <si>
    <t xml:space="preserve">https://open.spotify.com/playlist/4Vkst8IBhIorzeViW4vx2c</t>
  </si>
  <si>
    <t xml:space="preserve">Disney Opener</t>
  </si>
  <si>
    <t xml:space="preserve">First track in a Disney movie. Can be the first on the soundtrack or the first that plays in the movie (they don’t always align). Try to pick some abstract ones that you love!</t>
  </si>
  <si>
    <t xml:space="preserve">https://open.spotify.com/playlist/1kmteEXrARUHRV16gYSl8k</t>
  </si>
  <si>
    <t xml:space="preserve">Rare Genre for You</t>
  </si>
  <si>
    <t xml:space="preserve">Favorite song from a genre you wouldn’t typically explore. Think unexpected. For example, if there’s one pop song you love but you never listen to any other pop, submit that song. </t>
  </si>
  <si>
    <t xml:space="preserve">https://open.spotify.com/playlist/142qoVHwWpyTR9duWBEfk4</t>
  </si>
  <si>
    <t xml:space="preserve">Shorties</t>
  </si>
  <si>
    <t xml:space="preserve">Must be a track under 2 minutes. Tiny track. Big character. </t>
  </si>
  <si>
    <t xml:space="preserve">https://open.spotify.com/playlist/4KmJytjSkmDtcKH480lWsW</t>
  </si>
  <si>
    <t xml:space="preserve">Repeat</t>
  </si>
  <si>
    <t xml:space="preserve">Song you can’t get enough of right now. What’s in your zeitgeist?</t>
  </si>
  <si>
    <t xml:space="preserve">https://open.spotify.com/playlist/6m0VxDr9E2sGkdARN5hpqQ</t>
  </si>
  <si>
    <t xml:space="preserve">Grocery Store Core</t>
  </si>
  <si>
    <t xml:space="preserve">Grocery store playlists slap. What are you jamming to in aisle 7?</t>
  </si>
  <si>
    <t xml:space="preserve">https://open.spotify.com/playlist/266efv4AoTN7JTFGEjonBx</t>
  </si>
  <si>
    <t xml:space="preserve">Musical Showstopper</t>
  </si>
  <si>
    <t xml:space="preserve">Big, dramatic number from a musical - either stage or screen. </t>
  </si>
  <si>
    <t xml:space="preserve">https://open.spotify.com/playlist/2lk7mwZ7KujXmx8QUbsBc3</t>
  </si>
  <si>
    <t xml:space="preserve">Road Trip Anthem</t>
  </si>
  <si>
    <t xml:space="preserve">Song perfect for driving with the windows down.</t>
  </si>
  <si>
    <t xml:space="preserve">https://open.spotify.com/playlist/2QgEIKFkzV96a3hdTpY2l5</t>
  </si>
  <si>
    <t xml:space="preserve">Birthday</t>
  </si>
  <si>
    <t xml:space="preserve">Song released during your birth month &amp; year. </t>
  </si>
  <si>
    <t xml:space="preserve">https://open.spotify.com/playlist/5aIaU7uucsKk8TFYfT5Rgo</t>
  </si>
  <si>
    <t xml:space="preserve">Guilty Pleasure</t>
  </si>
  <si>
    <t xml:space="preserve">Song you love but maybe wouldn’t brag about. </t>
  </si>
  <si>
    <t xml:space="preserve">https://open.spotify.com/playlist/6Nis6cajOO45cu31m9LS53</t>
  </si>
  <si>
    <t xml:space="preserve">UnPOPular</t>
  </si>
  <si>
    <t xml:space="preserve">Any song is acceptable - just can’t be from the Pop genre. </t>
  </si>
  <si>
    <t xml:space="preserve">https://open.spotify.com/playlist/1BNi1fqA8VVFxqOxqz7PeG</t>
  </si>
  <si>
    <t xml:space="preserve">Game Changer</t>
  </si>
  <si>
    <t xml:space="preserve">Song that influenced music overall or shaped a genre. 5 votes this round. All must go to a single submission. </t>
  </si>
  <si>
    <t xml:space="preserve">https://open.spotify.com/playlist/4wecL5TKu7eZZU67lYqc4w</t>
  </si>
  <si>
    <t xml:space="preserve">Tearjerkers (Part 2)</t>
  </si>
  <si>
    <t xml:space="preserve">Song that makes you cry</t>
  </si>
  <si>
    <t xml:space="preserve">https://open.spotify.com/playlist/4LmouJdjdpraWRgaAYLW0r</t>
  </si>
  <si>
    <t xml:space="preserve">Lights, Camera, Music</t>
  </si>
  <si>
    <t xml:space="preserve">Song from your favorite non-musical movie soundtrack. 
The song should include lyrics - we aren’t looking for instrumentals. 
Enter the movie title in the comments! </t>
  </si>
  <si>
    <t xml:space="preserve">https://open.spotify.com/playlist/3MVfmAeurfv4puCzlxhM1X</t>
  </si>
  <si>
    <t xml:space="preserve">Hungry for Some Jams</t>
  </si>
  <si>
    <t xml:space="preserve">Song that references food or drink in the title</t>
  </si>
  <si>
    <t xml:space="preserve">https://open.spotify.com/playlist/7xyL1D1NIJjLdTkDYlnGIe</t>
  </si>
  <si>
    <t xml:space="preserve">Winding Down</t>
  </si>
  <si>
    <t xml:space="preserve">Song that brings you back to center when you’re stressed</t>
  </si>
  <si>
    <t xml:space="preserve">https://open.spotify.com/playlist/59Q1MchooeziWR8zf0RmfZ</t>
  </si>
  <si>
    <t xml:space="preserve">Duets</t>
  </si>
  <si>
    <t xml:space="preserve">Song with 2 solo artists giving us their best duet. 
No songs by an established duo!</t>
  </si>
  <si>
    <t xml:space="preserve">https://open.spotify.com/playlist/3XJtCCyAfR2sr6vLcYNDWH</t>
  </si>
  <si>
    <t xml:space="preserve">Thanks, I Love It</t>
  </si>
  <si>
    <t xml:space="preserve">Song that you don’t like, but you think will make the others say “Thanks, I love it!”</t>
  </si>
  <si>
    <t xml:space="preserve">https://open.spotify.com/playlist/0mE8EZbf21R6cKOrhvU2l9</t>
  </si>
  <si>
    <t xml:space="preserve">Worldwide</t>
  </si>
  <si>
    <t xml:space="preserve">Song you love in a language you don’t speak</t>
  </si>
  <si>
    <t xml:space="preserve">https://open.spotify.com/playlist/0deobWOAAGUWNpfrmvlNfT</t>
  </si>
  <si>
    <t xml:space="preserve">Setlist</t>
  </si>
  <si>
    <t xml:space="preserve">Double submission round! 
1. Song from the first concert you attended
2. Song from the best concert you attended
If you haven’t been to a concert, then whom would you like to see? What song would you want to hear? 
Enter details about your experiences in the comments!</t>
  </si>
  <si>
    <t xml:space="preserve">https://open.spotify.com/playlist/63TFRs09nZkFwehNgFuJld</t>
  </si>
  <si>
    <t xml:space="preserve">At the Start</t>
  </si>
  <si>
    <t xml:space="preserve">Song with a title that starts with the first letter of your name</t>
  </si>
  <si>
    <t xml:space="preserve">https://open.spotify.com/playlist/0VKkBziaLl9WrejcWZKiHb</t>
  </si>
  <si>
    <t xml:space="preserve">Back in My Day</t>
  </si>
  <si>
    <t xml:space="preserve">Song that your family introduced to you when growing up</t>
  </si>
  <si>
    <t xml:space="preserve">https://open.spotify.com/playlist/2jtj81YdE7Oim50JJMN8iY</t>
  </si>
  <si>
    <t xml:space="preserve">Epic</t>
  </si>
  <si>
    <t xml:space="preserve">Song with instrumentals as the star. Must have no lyrics!</t>
  </si>
  <si>
    <t xml:space="preserve">https://open.spotify.com/playlist/5qgbVSM4KN5uB91pMD8q1p</t>
  </si>
  <si>
    <t xml:space="preserve">Dance, Dance, Dance</t>
  </si>
  <si>
    <t xml:space="preserve">Song that sparks you to get up and dance</t>
  </si>
  <si>
    <t xml:space="preserve">https://open.spotify.com/playlist/0FhEiVoMi1qaTKoXwjQssg</t>
  </si>
  <si>
    <t xml:space="preserve">Wedding Guest Request</t>
  </si>
  <si>
    <t xml:space="preserve">Song that you would ask the DJ to play at any wedding you attend</t>
  </si>
  <si>
    <t xml:space="preserve">https://open.spotify.com/playlist/1mTrSTwO1JPju3zM3h0cHQ</t>
  </si>
  <si>
    <t xml:space="preserve">Personal Theme</t>
  </si>
  <si>
    <t xml:space="preserve">Song that plays in the montage of a day in your life</t>
  </si>
  <si>
    <t xml:space="preserve">https://open.spotify.com/playlist/5vPntuS3rMmmo7zLE8ct9e</t>
  </si>
  <si>
    <t xml:space="preserve">New Me</t>
  </si>
  <si>
    <t xml:space="preserve">Song that changed your life</t>
  </si>
  <si>
    <t xml:space="preserve">https://open.spotify.com/playlist/0kDJI0MlEueOdVs29I9wQE</t>
  </si>
  <si>
    <t xml:space="preserve">Walk Out Song</t>
  </si>
  <si>
    <t xml:space="preserve">Song that gets you pumped and ready to go</t>
  </si>
  <si>
    <t xml:space="preserve">https://open.spotify.com/playlist/0kFFHWhXmLy3agJ29gUcn1</t>
  </si>
  <si>
    <t xml:space="preserve">Beginner's Luck</t>
  </si>
  <si>
    <t xml:space="preserve">Everybody starts somewhere. 
Song from an artist’s debut album - celebrate where their story began.</t>
  </si>
  <si>
    <t xml:space="preserve">https://open.spotify.com/playlist/4c9nWsDHqN2bO107X9lJJB</t>
  </si>
  <si>
    <t xml:space="preserve">Sensory Overload</t>
  </si>
  <si>
    <t xml:space="preserve">Embrace your imagination.
Song that you describe using your senses - colors, tastes, textures, smells, and feelings.</t>
  </si>
  <si>
    <t xml:space="preserve">https://open.spotify.com/playlist/41isL8mC9iYtZcO4qKImez</t>
  </si>
  <si>
    <t xml:space="preserve">High Roller</t>
  </si>
  <si>
    <t xml:space="preserve">Bet big on the high notes.
Song featuring an unforgettable falsetto solo.</t>
  </si>
  <si>
    <t xml:space="preserve">https://open.spotify.com/playlist/3LXME1seVz8Kk0jiBrV51p</t>
  </si>
  <si>
    <t xml:space="preserve">Hidden Jackpot</t>
  </si>
  <si>
    <t xml:space="preserve">Skip the obvious hits. 
Song by a familiar artist that is a deep cut worthy of a big payout.</t>
  </si>
  <si>
    <t xml:space="preserve">https://open.spotify.com/playlist/2uh94mC2gNDlpqHXkmSYYY</t>
  </si>
  <si>
    <t xml:space="preserve">Back Room Time Machine</t>
  </si>
  <si>
    <t xml:space="preserve">Neon lights, synths, and catchy hooks. 
Song from the magic of the 1980s.</t>
  </si>
  <si>
    <t xml:space="preserve">https://open.spotify.com/playlist/0Lw78EgwLeP3WjLIEKHInI</t>
  </si>
  <si>
    <t xml:space="preserve">Stacked Deck</t>
  </si>
  <si>
    <t xml:space="preserve">Sampled to perfection. 
Song built around a sample that was flipped into something brilliant. </t>
  </si>
  <si>
    <t xml:space="preserve">https://open.spotify.com/playlist/0QMf4HlNoMj0baiRGCqZ9s</t>
  </si>
  <si>
    <t xml:space="preserve">Cosmic Casino</t>
  </si>
  <si>
    <t xml:space="preserve">Out of this world. 
Song inspired by humanity’s fascination with space exploration or the great unknown. </t>
  </si>
  <si>
    <t xml:space="preserve">https://open.spotify.com/playlist/2UsxBi1EiqLjpyg2NkTN18</t>
  </si>
  <si>
    <t xml:space="preserve">After Hours</t>
  </si>
  <si>
    <t xml:space="preserve">Celebrate the witching hour for Halloween.
Song that is spooky, eerie, supernatural, or delightfully creepy.</t>
  </si>
  <si>
    <t xml:space="preserve">https://open.spotify.com/playlist/196ySUUS9kdjN2ir3fgiQw</t>
  </si>
  <si>
    <t xml:space="preserve">First Impressions</t>
  </si>
  <si>
    <t xml:space="preserve">Wait…That's Not the Lyric?</t>
  </si>
  <si>
    <t xml:space="preserve">Name</t>
  </si>
  <si>
    <t xml:space="preserve">Export Username</t>
  </si>
  <si>
    <t xml:space="preserve">Leagues Submitted In</t>
  </si>
  <si>
    <t xml:space="preserve">Votes Cast</t>
  </si>
  <si>
    <t xml:space="preserve">Official Points Received</t>
  </si>
  <si>
    <t xml:space="preserve">Raw Points Received</t>
  </si>
  <si>
    <t xml:space="preserve">Anya Pall</t>
  </si>
  <si>
    <t xml:space="preserve">Aubrey Colón</t>
  </si>
  <si>
    <t xml:space="preserve">Christine16</t>
  </si>
  <si>
    <t xml:space="preserve">dratrim</t>
  </si>
  <si>
    <t xml:space="preserve">josh</t>
  </si>
  <si>
    <t xml:space="preserve">Kelsey Speicher</t>
  </si>
  <si>
    <t xml:space="preserve">benkristenr</t>
  </si>
  <si>
    <t xml:space="preserve">Mak.Daddy</t>
  </si>
  <si>
    <t xml:space="preserve">Maryann Michael</t>
  </si>
  <si>
    <t xml:space="preserve">m_stamper</t>
  </si>
  <si>
    <t xml:space="preserve">Natasha Alexis Turner</t>
  </si>
  <si>
    <t xml:space="preserve">Liv</t>
  </si>
  <si>
    <t xml:space="preserve">skeezel14</t>
  </si>
  <si>
    <t xml:space="preserve">Shayne Ellison</t>
  </si>
  <si>
    <t xml:space="preserve">Stephanie Lynn</t>
  </si>
  <si>
    <t xml:space="preserve">Formula-driven; updates automatically (replaces the old pivot tables, which had gone stale).</t>
  </si>
  <si>
    <t xml:space="preserve">Total submissions</t>
  </si>
  <si>
    <t xml:space="preserve">Scored submissions</t>
  </si>
  <si>
    <t xml:space="preserve">Unique tracks (by Spotify URI)</t>
  </si>
  <si>
    <t xml:space="preserve">Unique artists</t>
  </si>
  <si>
    <t xml:space="preserve">Leagues</t>
  </si>
  <si>
    <t xml:space="preserve">By league</t>
  </si>
  <si>
    <t xml:space="preserve">Songs</t>
  </si>
  <si>
    <t xml:space="preserve">Scored Songs</t>
  </si>
  <si>
    <t xml:space="preserve">Total Official Points</t>
  </si>
  <si>
    <t xml:space="preserve">Avg Points per Scored Song</t>
  </si>
  <si>
    <t xml:space="preserve">Submitters</t>
  </si>
  <si>
    <t xml:space="preserve">By genre (Genre column)</t>
  </si>
  <si>
    <t xml:space="preserve">Share of Songs</t>
  </si>
  <si>
    <t xml:space="preserve">Off-list genres</t>
  </si>
  <si>
    <t xml:space="preserve">Times Submitted</t>
  </si>
  <si>
    <t xml:space="preserve">Notes</t>
  </si>
  <si>
    <t xml:space="preserve">Formula-driven from All Song Rankings (Repeat Count &gt; 1). Lists up to 200 rows, in sheet order.</t>
  </si>
  <si>
    <t xml:space="preserve">A repeat = same Spotify URI (same recording) OR same Song + Artist text. Text matching also covers rows with no URI yet (e.g. League 8).</t>
  </si>
  <si>
    <t xml:space="preserve">About this list</t>
  </si>
  <si>
    <t xml:space="preserve">Genre Label</t>
  </si>
  <si>
    <t xml:space="preserve">Controlled genre list. The Genre column in All Song Rankings is validated against it (a warning, not a block).</t>
  </si>
  <si>
    <t xml:space="preserve">Contains the 14 core labels plus 8 labels used 2+ times. Add a label here to allow it.</t>
  </si>
  <si>
    <t xml:space="preserve">Columns E:F map every Genre label to a Major Genre (16 majors: the 14 core genres, Christian/Gospel, Other). PROPOSED mapping for the year-one recap; edit column F if you disagree.</t>
  </si>
  <si>
    <t xml:space="preserve">Other</t>
  </si>
  <si>
    <t xml:space="preserve">ArtistKey</t>
  </si>
  <si>
    <t xml:space="preserve">RetiredFlag</t>
  </si>
  <si>
    <t xml:space="preserve">RetiredDate</t>
  </si>
  <si>
    <t xml:space="preserve">5secondsofsummer</t>
  </si>
  <si>
    <t xml:space="preserve">Yes</t>
  </si>
  <si>
    <t xml:space="preserve">abba</t>
  </si>
  <si>
    <t xml:space="preserve">beyonce</t>
  </si>
  <si>
    <t xml:space="preserve">britneyspears</t>
  </si>
  <si>
    <t xml:space="preserve">coldplay</t>
  </si>
  <si>
    <t xml:space="preserve">edsheeran</t>
  </si>
  <si>
    <t xml:space="preserve">eminem</t>
  </si>
  <si>
    <t xml:space="preserve">harrystyles</t>
  </si>
  <si>
    <t xml:space="preserve">jonasbrothers</t>
  </si>
  <si>
    <t xml:space="preserve">justinbieber</t>
  </si>
  <si>
    <t xml:space="preserve">katyperry</t>
  </si>
  <si>
    <t xml:space="preserve">ladygaga</t>
  </si>
  <si>
    <t xml:space="preserve">mariahcarey</t>
  </si>
  <si>
    <t xml:space="preserve">michaeljackson</t>
  </si>
  <si>
    <t xml:space="preserve">oliviarodrigo</t>
  </si>
  <si>
    <t xml:space="preserve">sleeptoken</t>
  </si>
  <si>
    <t xml:space="preserve">taylorswift</t>
  </si>
  <si>
    <t xml:space="preserve">whitneyhouston</t>
  </si>
  <si>
    <t xml:space="preserve">SongKey</t>
  </si>
  <si>
    <t xml:space="preserve">ArtistRetired</t>
  </si>
  <si>
    <t xml:space="preserve">Bohemian Rhapsody</t>
  </si>
  <si>
    <t xml:space="preserve">bohemianrhapsody</t>
  </si>
  <si>
    <t xml:space="preserve">No</t>
  </si>
  <si>
    <t xml:space="preserve">caramel</t>
  </si>
  <si>
    <t xml:space="preserve">Artist also retired</t>
  </si>
  <si>
    <t xml:space="preserve">chickenfried</t>
  </si>
  <si>
    <t xml:space="preserve">driverslicense</t>
  </si>
  <si>
    <t xml:space="preserve">fantasy</t>
  </si>
  <si>
    <t xml:space="preserve">golden</t>
  </si>
  <si>
    <t xml:space="preserve">iwillalwaysloveyou</t>
  </si>
  <si>
    <t xml:space="preserve">miserybusiness</t>
  </si>
  <si>
    <t xml:space="preserve">Somebody That I Used to Know</t>
  </si>
  <si>
    <t xml:space="preserve">somebodythatiusedtoknow</t>
  </si>
  <si>
    <t xml:space="preserve">uptownfunk</t>
  </si>
  <si>
    <t xml:space="preserve">walkthisway</t>
  </si>
  <si>
    <t xml:space="preserve">Includes Run-D.M.C. version</t>
  </si>
  <si>
    <t xml:space="preserve">onthefloor</t>
  </si>
  <si>
    <t xml:space="preserve">raspberryberet</t>
  </si>
  <si>
    <t xml:space="preserve">iwantitthatway</t>
  </si>
  <si>
    <t xml:space="preserve">shutupanddance</t>
  </si>
  <si>
    <t xml:space="preserve">billiejean</t>
  </si>
  <si>
    <t xml:space="preserve">threelittlebirds</t>
  </si>
  <si>
    <t xml:space="preserve">mrbrightside</t>
  </si>
  <si>
    <t xml:space="preserve">rocketman</t>
  </si>
  <si>
    <t xml:space="preserve">The Rocky Horror Show</t>
  </si>
  <si>
    <t xml:space="preserve">timewarp</t>
  </si>
  <si>
    <t xml:space="preserve">babyonemoretime</t>
  </si>
  <si>
    <t xml:space="preserve">dancemonkey</t>
  </si>
  <si>
    <t xml:space="preserve">Alias</t>
  </si>
  <si>
    <t xml:space="preserve">CanonicalArtist</t>
  </si>
  <si>
    <t xml:space="preserve">TS</t>
  </si>
  <si>
    <t xml:space="preserve">Taylor</t>
  </si>
  <si>
    <t xml:space="preserve">5SOS</t>
  </si>
  <si>
    <t xml:space="preserve">JB</t>
  </si>
  <si>
    <t xml:space="preserve">SleepToken</t>
  </si>
  <si>
    <t xml:space="preserve">Whitney</t>
  </si>
  <si>
    <t xml:space="preserve">Gaga</t>
  </si>
  <si>
    <t xml:space="preserve">Britney</t>
  </si>
  <si>
    <t xml:space="preserve">Michael</t>
  </si>
  <si>
    <t xml:space="preserve">MJ</t>
  </si>
  <si>
    <t xml:space="preserve">Area</t>
  </si>
  <si>
    <t xml:space="preserve">Item</t>
  </si>
  <si>
    <t xml:space="preserve">Before</t>
  </si>
  <si>
    <t xml:space="preserve">After</t>
  </si>
  <si>
    <t xml:space="preserve">Why</t>
  </si>
  <si>
    <t xml:space="preserve">Votes: repaired</t>
  </si>
  <si>
    <t xml:space="preserve">Kristen gave 2 point(s)</t>
  </si>
  <si>
    <t xml:space="preserve">Time Warp / Little Nell</t>
  </si>
  <si>
    <t xml:space="preserve">Time Warp / Little Nell, Patricia Quinn, Richard O'Brien, The Rocky Horror Picture Show</t>
  </si>
  <si>
    <t xml:space="preserve">Artist/title text differed from the rankings tab (accent or abbreviated artist list)</t>
  </si>
  <si>
    <t xml:space="preserve">Logan gave 2 point(s)</t>
  </si>
  <si>
    <t xml:space="preserve">Collin gave 1 point(s)</t>
  </si>
  <si>
    <t xml:space="preserve">Matt gave 1 point(s)</t>
  </si>
  <si>
    <t xml:space="preserve">Kelsey gave 1 point(s)</t>
  </si>
  <si>
    <t xml:space="preserve">Stephanie gave 1 point(s)</t>
  </si>
  <si>
    <t xml:space="preserve">Merita gave 1 point(s)</t>
  </si>
  <si>
    <t xml:space="preserve">Olivia gave 1 point(s)</t>
  </si>
  <si>
    <t xml:space="preserve">F65 / Ed Sheeran</t>
  </si>
  <si>
    <t xml:space="preserve">F64 / Ed Sheeran</t>
  </si>
  <si>
    <t xml:space="preserve">Excel autofill incremented a number in the title/artist</t>
  </si>
  <si>
    <t xml:space="preserve">Nicole gave 1 point(s)</t>
  </si>
  <si>
    <t xml:space="preserve">F66 / Ed Sheeran</t>
  </si>
  <si>
    <t xml:space="preserve">F67 / Ed Sheeran</t>
  </si>
  <si>
    <t xml:space="preserve">Merita gave 2 point(s)</t>
  </si>
  <si>
    <t xml:space="preserve">2816 A.D. / Thomas Newman</t>
  </si>
  <si>
    <t xml:space="preserve">2815 A.D. / Thomas Newman</t>
  </si>
  <si>
    <t xml:space="preserve">Maryann gave 1 point(s)</t>
  </si>
  <si>
    <t xml:space="preserve">2817 A.D. / Thomas Newman</t>
  </si>
  <si>
    <t xml:space="preserve">2818 A.D. / Thomas Newman</t>
  </si>
  <si>
    <t xml:space="preserve">2819 A.D. / Thomas Newman</t>
  </si>
  <si>
    <t xml:space="preserve">Logan gave 1 point(s)</t>
  </si>
  <si>
    <t xml:space="preserve">2820 A.D. / Thomas Newman</t>
  </si>
  <si>
    <t xml:space="preserve">Leah gave 1 point(s)</t>
  </si>
  <si>
    <t xml:space="preserve">2821 A.D. / Thomas Newman</t>
  </si>
  <si>
    <t xml:space="preserve">Shayne gave 2 point(s)</t>
  </si>
  <si>
    <t xml:space="preserve">Blue (Da Ba Dee) - Gabry Ponte Video Edit / Eiffel 66</t>
  </si>
  <si>
    <t xml:space="preserve">Blue (Da Ba Dee) - Gabry Ponte Video Edit / Eiffel 65</t>
  </si>
  <si>
    <t xml:space="preserve">Blue (Da Ba Dee) - Gabry Ponte Video Edit / Eiffel 67</t>
  </si>
  <si>
    <t xml:space="preserve">Kristen gave 1 point(s)</t>
  </si>
  <si>
    <t xml:space="preserve">Blue (Da Ba Dee) - Gabry Ponte Video Edit / Eiffel 68</t>
  </si>
  <si>
    <t xml:space="preserve">Blue (Da Ba Dee) - Gabry Ponte Video Edit / Eiffel 69</t>
  </si>
  <si>
    <t xml:space="preserve">Blue (Da Ba Dee) - Gabry Ponte Video Edit / Eiffel 70</t>
  </si>
  <si>
    <t xml:space="preserve">Grace gave 3 point(s)</t>
  </si>
  <si>
    <t xml:space="preserve">Red Red Wine / UB41</t>
  </si>
  <si>
    <t xml:space="preserve">Red Red Wine / UB40</t>
  </si>
  <si>
    <t xml:space="preserve">Kelsey gave 2 point(s)</t>
  </si>
  <si>
    <t xml:space="preserve">Red Red Wine / UB42</t>
  </si>
  <si>
    <t xml:space="preserve">Red Red Wine / UB43</t>
  </si>
  <si>
    <t xml:space="preserve">Red Red Wine / UB44</t>
  </si>
  <si>
    <t xml:space="preserve">Red Red Wine / UB45</t>
  </si>
  <si>
    <t xml:space="preserve">Red Red Wine / UB46</t>
  </si>
  <si>
    <t xml:space="preserve">Stephanie gave 3 point(s)</t>
  </si>
  <si>
    <t xml:space="preserve">Walk This Way (feat. Aerosmith) / Run-D.M.C.</t>
  </si>
  <si>
    <t xml:space="preserve">Walk This Way (feat. Aerosmith) / Run-D.M.C., Aerosmith</t>
  </si>
  <si>
    <t xml:space="preserve">Makenzie gave 2 point(s)</t>
  </si>
  <si>
    <t xml:space="preserve">Matt gave 2 point(s)</t>
  </si>
  <si>
    <t xml:space="preserve">Lisa gave 2 point(s)</t>
  </si>
  <si>
    <t xml:space="preserve">Amnesia / 6 Seconds of Summer</t>
  </si>
  <si>
    <t xml:space="preserve">Amnesia / 5 Seconds of Summer</t>
  </si>
  <si>
    <t xml:space="preserve">Amnesia / 7 Seconds of Summer</t>
  </si>
  <si>
    <t xml:space="preserve">Aubrey gave 1 point(s)</t>
  </si>
  <si>
    <t xml:space="preserve">Amnesia / 8 Seconds of Summer</t>
  </si>
  <si>
    <t xml:space="preserve">Amnesia / 9 Seconds of Summer</t>
  </si>
  <si>
    <t xml:space="preserve">Amnesia / 10 Seconds of Summer</t>
  </si>
  <si>
    <t xml:space="preserve">Amnesia / 11 Seconds of Summer</t>
  </si>
  <si>
    <t xml:space="preserve">Amnesia / 12 Seconds of Summer</t>
  </si>
  <si>
    <t xml:space="preserve">Christine gave 1 point(s)</t>
  </si>
  <si>
    <t xml:space="preserve">Amnesia / 13 Seconds of Summer</t>
  </si>
  <si>
    <t xml:space="preserve">Amnesia / 14 Seconds of Summer</t>
  </si>
  <si>
    <t xml:space="preserve">Amnesia / 15 Seconds of Summer</t>
  </si>
  <si>
    <t xml:space="preserve">Little Deuce Coupe - Remastered 2002 / The Beach Boys</t>
  </si>
  <si>
    <t xml:space="preserve">Little Deuce Coupe - Remastered 2001 / The Beach Boys</t>
  </si>
  <si>
    <t xml:space="preserve">Christine gave 2 point(s)</t>
  </si>
  <si>
    <t xml:space="preserve">Little Deuce Coupe - Remastered 2003 / The Beach Boys</t>
  </si>
  <si>
    <t xml:space="preserve">Nicole gave 2 point(s)</t>
  </si>
  <si>
    <t xml:space="preserve">Little Deuce Coupe - Remastered 2004 / The Beach Boys</t>
  </si>
  <si>
    <t xml:space="preserve">Grace gave 2 point(s)</t>
  </si>
  <si>
    <t xml:space="preserve">Little Deuce Coupe - Remastered 2005 / The Beach Boys</t>
  </si>
  <si>
    <t xml:space="preserve">Little Deuce Coupe - Remastered 2006 / The Beach Boys</t>
  </si>
  <si>
    <t xml:space="preserve">Little Deuce Coupe - Remastered 2007 / The Beach Boys</t>
  </si>
  <si>
    <t xml:space="preserve">Little Deuce Coupe - Remastered 2008 / The Beach Boys</t>
  </si>
  <si>
    <t xml:space="preserve">Stephanie gave 4 point(s)</t>
  </si>
  <si>
    <t xml:space="preserve">My Heart Will Go On / Celine Dion</t>
  </si>
  <si>
    <t xml:space="preserve">My Heart Will Go On / Céline Dion</t>
  </si>
  <si>
    <t xml:space="preserve">Colleen gave 1 point(s)</t>
  </si>
  <si>
    <t xml:space="preserve">Votes: corrected</t>
  </si>
  <si>
    <t xml:space="preserve">Logan -&gt; Aubrey's song</t>
  </si>
  <si>
    <t xml:space="preserve">1 point(s)</t>
  </si>
  <si>
    <t xml:space="preserve">2 point(s)</t>
  </si>
  <si>
    <t xml:space="preserve">Export and official points (6) agree; the old tab was one point short.</t>
  </si>
  <si>
    <t xml:space="preserve">Christine -&gt; Nicole's song</t>
  </si>
  <si>
    <t xml:space="preserve">0 point(s)</t>
  </si>
  <si>
    <t xml:space="preserve">Lisa's and Nicole's ballots were entered on each other's songs (the old tab showed Nicole voting for her own song). The export agrees with the official points.</t>
  </si>
  <si>
    <t xml:space="preserve">Kelsey -&gt; Nicole's song</t>
  </si>
  <si>
    <t xml:space="preserve">Kristen -&gt; Lisa's song</t>
  </si>
  <si>
    <t xml:space="preserve">Leah -&gt; Lisa's song</t>
  </si>
  <si>
    <t xml:space="preserve">Makenzie -&gt; Lisa's song</t>
  </si>
  <si>
    <t xml:space="preserve">Matt -&gt; Nicole's song</t>
  </si>
  <si>
    <t xml:space="preserve">Merita -&gt; Lisa's song</t>
  </si>
  <si>
    <t xml:space="preserve">Nicole -&gt; Nicole's song</t>
  </si>
  <si>
    <t xml:space="preserve">Leah -&gt; Aubrey's song</t>
  </si>
  <si>
    <t xml:space="preserve">Export shows 2 points; the old tab had 1. Official points are zeroed for this song (forfeit), so it can't be cross-checked.</t>
  </si>
  <si>
    <t xml:space="preserve">Christine -&gt; Lisa's song</t>
  </si>
  <si>
    <t xml:space="preserve">Kelsey -&gt; Lisa's song</t>
  </si>
  <si>
    <t xml:space="preserve">Kristen -&gt; Nicole's song</t>
  </si>
  <si>
    <t xml:space="preserve">Leah -&gt; Nicole's song</t>
  </si>
  <si>
    <t xml:space="preserve">Makenzie -&gt; Nicole's song</t>
  </si>
  <si>
    <t xml:space="preserve">Matt -&gt; Lisa's song</t>
  </si>
  <si>
    <t xml:space="preserve">Merita -&gt; Nicole's song</t>
  </si>
  <si>
    <t xml:space="preserve">Nicole -&gt; Lisa's song</t>
  </si>
  <si>
    <t xml:space="preserve">Votes: kept from old tab</t>
  </si>
  <si>
    <t xml:space="preserve">Leah's ballot (2 point(s))</t>
  </si>
  <si>
    <t xml:space="preserve">In old League 2 tab</t>
  </si>
  <si>
    <t xml:space="preserve">In Votes tab</t>
  </si>
  <si>
    <t xml:space="preserve">Missing from the platform export, but the official points include Leah's votes. Kept from your original tab.</t>
  </si>
  <si>
    <t xml:space="preserve">Leah's ballot (1 point(s))</t>
  </si>
  <si>
    <t xml:space="preserve">Rankings: artist spelling</t>
  </si>
  <si>
    <t xml:space="preserve">A Day To Remember</t>
  </si>
  <si>
    <t xml:space="preserve">Same artist was spelled two ways, which splits counts. Standardised to the artist's own styling.</t>
  </si>
  <si>
    <t xml:space="preserve">MGK</t>
  </si>
  <si>
    <t xml:space="preserve">Rankings: # of Voters</t>
  </si>
  <si>
    <t xml:space="preserve">Points reconcile only with Leah's ballot included, which makes 1 more voter than was typed. Revert if the site shows the old number.</t>
  </si>
  <si>
    <t xml:space="preserve">Structure: removed</t>
  </si>
  <si>
    <t xml:space="preserve">League 1-7 Votes tabs (7)</t>
  </si>
  <si>
    <t xml:space="preserve">7 tabs</t>
  </si>
  <si>
    <t xml:space="preserve">1 Votes tab</t>
  </si>
  <si>
    <t xml:space="preserve">Replaced by one Votes table keyed by League # + Round # + Spotify URI.</t>
  </si>
  <si>
    <t xml:space="preserve">Old Music League Analytics pivots</t>
  </si>
  <si>
    <t xml:space="preserve">2 stale pivots</t>
  </si>
  <si>
    <t xml:space="preserve">Formula-driven tab</t>
  </si>
  <si>
    <t xml:space="preserve">Pivot cache held 786 of 816 rows and no Genre field.</t>
  </si>
  <si>
    <t xml:space="preserve">Structure: replaced</t>
  </si>
  <si>
    <t xml:space="preserve">Repeated Songs tab</t>
  </si>
  <si>
    <t xml:space="preserve">Static paste (46 rows)</t>
  </si>
  <si>
    <t xml:space="preserve">Formula-driven</t>
  </si>
  <si>
    <t xml:space="preserve">Old tab missed Gabriela, Head Over Heels, Sugar We're Goin Down and You Make My Dreams Come True. It also listed a few near-matches (different recordings or title spellings) that exact matching does not flag.</t>
  </si>
  <si>
    <t xml:space="preserve">Structure: added</t>
  </si>
  <si>
    <t xml:space="preserve">Rounds, Participants, Lists, Checks, README, Change Log</t>
  </si>
  <si>
    <t xml:space="preserve">-</t>
  </si>
  <si>
    <t xml:space="preserve">New tabs</t>
  </si>
  <si>
    <t xml:space="preserve">Options 2 to 4 of the proposed update.</t>
  </si>
  <si>
    <t xml:space="preserve">Structure: added columns</t>
  </si>
  <si>
    <t xml:space="preserve">All Song Rankings: League #, Round #, Spotify URI, Subgenre, Place #, Raw Points, Raw Voters, Status, Repeat Count, Repeat Seq, Key</t>
  </si>
  <si>
    <t xml:space="preserve">Columns A:I</t>
  </si>
  <si>
    <t xml:space="preserve">Columns A:T</t>
  </si>
  <si>
    <t xml:space="preserve">Columns A:I are unchanged in meaning; Place is now league-aware and works without LET.</t>
  </si>
  <si>
    <t xml:space="preserve">Open item</t>
  </si>
  <si>
    <t xml:space="preserve">Export has a 9th round ('Your Villain Theme Song') with one submission</t>
  </si>
  <si>
    <t xml:space="preserve">In export</t>
  </si>
  <si>
    <t xml:space="preserve">Not in workbook</t>
  </si>
  <si>
    <t xml:space="preserve">The workbook numbers League 2 as 8 rounds. That submission (The Future Soon, Shayne) is not included.</t>
  </si>
  <si>
    <t xml:space="preserve">Lists: Genre Label to Major Genre mapping (tblMajorGenres); All Song Rankings: Major Genre column</t>
  </si>
  <si>
    <t xml:space="preserve">15 non-core labels mapped</t>
  </si>
  <si>
    <t xml:space="preserve">PROPOSED defaults for the year-one recap (e.g. Pop/Rock to Pop, Disco to Electronic/Dance). Edit Lists column F to change.</t>
  </si>
  <si>
    <t xml:space="preserve">Rounds: Max Votes per Song (blank)</t>
  </si>
  <si>
    <t xml:space="preserve">Input column</t>
  </si>
  <si>
    <t xml:space="preserve">Needed to normalize scores for the recap. Fill in from each league's settings; blank is treated as 1.</t>
  </si>
  <si>
    <t xml:space="preserve">League 8: Spotify URI, Submitter blank</t>
  </si>
  <si>
    <t xml:space="preserve">Fill in once the rounds are revealed and exported.</t>
  </si>
  <si>
    <t xml:space="preserve">Joy to the World (Three Dog Night)</t>
  </si>
  <si>
    <t xml:space="preserve">Workbook title</t>
  </si>
  <si>
    <t xml:space="preserve">Spotify title: Jeremiah Was a Bullfrog</t>
  </si>
  <si>
    <t xml:space="preserve">Spotify lists that track under a different title. Left as typed.</t>
  </si>
  <si>
    <t xml:space="preserve">7 genres not on the Lists tab</t>
  </si>
  <si>
    <t xml:space="preserve">Genre column</t>
  </si>
  <si>
    <t xml:space="preserve">Unchanged (highlighted)</t>
  </si>
  <si>
    <t xml:space="preserve">One-off labels such as Electronic/Pop. Review and map to the list if you want.</t>
  </si>
  <si>
    <t xml:space="preserve">Copied unchanged</t>
  </si>
  <si>
    <t xml:space="preserve">Not enforced by any formula. Stray conditional formats on Retired Songs were dropped.</t>
  </si>
  <si>
    <t xml:space="preserve">Zero-point votes</t>
  </si>
  <si>
    <t xml:space="preserve">In exports</t>
  </si>
  <si>
    <t xml:space="preserve">Not stored</t>
  </si>
  <si>
    <t xml:space="preserve">Same as the old tabs. A voter's participation is inferred from their other votes in the round.</t>
  </si>
</sst>
</file>

<file path=xl/styles.xml><?xml version="1.0" encoding="utf-8"?>
<styleSheet xmlns="http://schemas.openxmlformats.org/spreadsheetml/2006/main">
  <numFmts count="5">
    <numFmt numFmtId="164" formatCode="General"/>
    <numFmt numFmtId="165" formatCode="General"/>
    <numFmt numFmtId="166" formatCode="0.00"/>
    <numFmt numFmtId="167" formatCode="0.0%"/>
    <numFmt numFmtId="168" formatCode="d\-mmm"/>
  </numFmts>
  <fonts count="8">
    <font>
      <sz val="11"/>
      <color theme="1"/>
      <name val="Calibri"/>
      <family val="2"/>
      <charset val="1"/>
    </font>
    <font>
      <sz val="10"/>
      <name val="Arial"/>
      <family val="0"/>
    </font>
    <font>
      <sz val="10"/>
      <name val="Arial"/>
      <family val="0"/>
    </font>
    <font>
      <sz val="10"/>
      <name val="Arial"/>
      <family val="0"/>
    </font>
    <font>
      <b val="true"/>
      <sz val="14"/>
      <name val="Aptos Narrow"/>
      <family val="0"/>
      <charset val="1"/>
    </font>
    <font>
      <sz val="11"/>
      <color rgb="FF595959"/>
      <name val="Aptos Narrow"/>
      <family val="0"/>
      <charset val="1"/>
    </font>
    <font>
      <b val="true"/>
      <sz val="11"/>
      <name val="Aptos Narrow"/>
      <family val="0"/>
      <charset val="1"/>
    </font>
    <font>
      <sz val="11"/>
      <name val="Aptos Narrow"/>
      <family val="0"/>
      <charset val="1"/>
    </font>
  </fonts>
  <fills count="3">
    <fill>
      <patternFill patternType="none"/>
    </fill>
    <fill>
      <patternFill patternType="gray125"/>
    </fill>
    <fill>
      <patternFill patternType="solid">
        <fgColor rgb="FFF2F2F2"/>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F8CBAD"/>
        </patternFill>
      </fill>
    </dxf>
    <dxf>
      <fill>
        <patternFill>
          <bgColor rgb="FFFFEB9C"/>
        </patternFill>
      </fill>
    </dxf>
    <dxf>
      <fill>
        <patternFill patternType="solid">
          <fgColor rgb="FFFFC7CE"/>
          <bgColor rgb="FF000000"/>
        </patternFill>
      </fill>
    </dxf>
    <dxf>
      <fill>
        <patternFill patternType="solid">
          <bgColor rgb="FF000000"/>
        </patternFill>
      </fill>
    </dxf>
    <dxf>
      <fill>
        <patternFill patternType="solid">
          <fgColor rgb="FF9C0006"/>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2F2F2"/>
          <bgColor rgb="FF000000"/>
        </patternFill>
      </fill>
    </dxf>
    <dxf>
      <fill>
        <patternFill patternType="solid">
          <fgColor rgb="FF000000"/>
          <bgColor rgb="FF000000"/>
        </patternFill>
      </fill>
    </dxf>
    <dxf>
      <fill>
        <patternFill patternType="solid">
          <fgColor rgb="FFD9D9D9"/>
          <bgColor rgb="FF000000"/>
        </patternFill>
      </fill>
    </dxf>
    <dxf>
      <font>
        <color rgb="FF9C0006"/>
      </font>
      <fill>
        <patternFill>
          <bgColor rgb="FFFFC7CE"/>
        </patternFill>
      </fill>
    </dxf>
    <dxf>
      <font>
        <color rgb="FF9C5700"/>
      </font>
      <fill>
        <patternFill>
          <bgColor rgb="FFFFEB9C"/>
        </patternFill>
      </fill>
    </dxf>
    <dxf>
      <fill>
        <patternFill>
          <bgColor rgb="FFD9D9D9"/>
        </patternFill>
      </fill>
    </dxf>
  </dxfs>
  <colors>
    <indexedColors>
      <rgbColor rgb="FF000000"/>
      <rgbColor rgb="FFF2F2F2"/>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tbl_changelog" displayName="tbl_changelog" ref="A1:G107" headerRowCount="1" totalsRowCount="0" totalsRowShown="0">
  <autoFilter ref="A1:G107"/>
  <tableColumns count="7">
    <tableColumn id="1" name="Area"/>
    <tableColumn id="2" name="League"/>
    <tableColumn id="3" name="Round"/>
    <tableColumn id="4" name="Item"/>
    <tableColumn id="5" name="Before"/>
    <tableColumn id="6" name="After"/>
    <tableColumn id="7" name="Why"/>
  </tableColumns>
</table>
</file>

<file path=xl/tables/table2.xml><?xml version="1.0" encoding="utf-8"?>
<table xmlns="http://schemas.openxmlformats.org/spreadsheetml/2006/main" id="2" name="tbl_music" displayName="tbl_music" ref="A1:U817" headerRowCount="1" totalsRowCount="0" totalsRowShown="0">
  <autoFilter ref="A1:U817"/>
  <tableColumns count="21">
    <tableColumn id="1" name="Song"/>
    <tableColumn id="2" name="Artist"/>
    <tableColumn id="3" name="Genre"/>
    <tableColumn id="4" name="Submitter"/>
    <tableColumn id="5" name="Round"/>
    <tableColumn id="6" name="Points"/>
    <tableColumn id="7" name="# of Voters"/>
    <tableColumn id="8" name="Place"/>
    <tableColumn id="9" name="League"/>
    <tableColumn id="10" name="League #"/>
    <tableColumn id="11" name="Round #"/>
    <tableColumn id="12" name="Spotify URI"/>
    <tableColumn id="13" name="Subgenre"/>
    <tableColumn id="14" name="Place #"/>
    <tableColumn id="15" name="Raw Points"/>
    <tableColumn id="16" name="Raw Voters"/>
    <tableColumn id="17" name="Status"/>
    <tableColumn id="18" name="Repeat Count"/>
    <tableColumn id="19" name="Repeat Seq"/>
    <tableColumn id="20" name="Key"/>
    <tableColumn id="21" name="Major Genre"/>
  </tableColumns>
</table>
</file>

<file path=xl/tables/table3.xml><?xml version="1.0" encoding="utf-8"?>
<table xmlns="http://schemas.openxmlformats.org/spreadsheetml/2006/main" id="3" name="tbl_participants" displayName="tbl_participants" ref="A1:G25" headerRowCount="1" totalsRowCount="0" totalsRowShown="0">
  <autoFilter ref="A1:G25"/>
  <tableColumns count="7">
    <tableColumn id="1" name="Name"/>
    <tableColumn id="2" name="Export Username"/>
    <tableColumn id="3" name="Leagues Submitted In"/>
    <tableColumn id="4" name="Submissions"/>
    <tableColumn id="5" name="Votes Cast"/>
    <tableColumn id="6" name="Official Points Received"/>
    <tableColumn id="7" name="Raw Points Received"/>
  </tableColumns>
</table>
</file>

<file path=xl/tables/table4.xml><?xml version="1.0" encoding="utf-8"?>
<table xmlns="http://schemas.openxmlformats.org/spreadsheetml/2006/main" id="4" name="tbl_rounds" displayName="tbl_rounds" ref="A1:M59" headerRowCount="1" totalsRowCount="0" totalsRowShown="0">
  <autoFilter ref="A1:M59"/>
  <tableColumns count="13">
    <tableColumn id="1" name="League #"/>
    <tableColumn id="2" name="League"/>
    <tableColumn id="3" name="Round #"/>
    <tableColumn id="4" name="Round Name"/>
    <tableColumn id="5" name="Description"/>
    <tableColumn id="6" name="Point Budget"/>
    <tableColumn id="7" name="Songs per Person"/>
    <tableColumn id="8" name="Submissions"/>
    <tableColumn id="9" name="Forfeited Songs"/>
    <tableColumn id="10" name="Voters"/>
    <tableColumn id="11" name="Status"/>
    <tableColumn id="12" name="Playlist URL"/>
    <tableColumn id="13" name="Max Votes per Song"/>
  </tableColumns>
</table>
</file>

<file path=xl/tables/table5.xml><?xml version="1.0" encoding="utf-8"?>
<table xmlns="http://schemas.openxmlformats.org/spreadsheetml/2006/main" id="5" name="tbl_votes" displayName="tbl_votes" ref="A1:K5289" headerRowCount="1" totalsRowCount="0" totalsRowShown="0">
  <autoFilter ref="A1:K5289"/>
  <tableColumns count="11">
    <tableColumn id="1" name="League #"/>
    <tableColumn id="2" name="Round #"/>
    <tableColumn id="3" name="Voter"/>
    <tableColumn id="4" name="Spotify URI"/>
    <tableColumn id="5" name="Points"/>
    <tableColumn id="6" name="Match Row"/>
    <tableColumn id="7" name="Song"/>
    <tableColumn id="8" name="Artist"/>
    <tableColumn id="9" name="Submitter"/>
    <tableColumn id="10" name="Check"/>
    <tableColumn id="11" name="Vote Key"/>
  </tableColumns>
</table>
</file>

<file path=xl/tables/table6.xml><?xml version="1.0" encoding="utf-8"?>
<table xmlns="http://schemas.openxmlformats.org/spreadsheetml/2006/main" id="6" name="tblAliases" displayName="tblAliases" ref="A1:B11" headerRowCount="1" totalsRowCount="0" totalsRowShown="0">
  <autoFilter ref="A1:B11"/>
  <tableColumns count="2">
    <tableColumn id="1" name="Alias"/>
    <tableColumn id="2" name="CanonicalArtist"/>
  </tableColumns>
</table>
</file>

<file path=xl/tables/table7.xml><?xml version="1.0" encoding="utf-8"?>
<table xmlns="http://schemas.openxmlformats.org/spreadsheetml/2006/main" id="7" name="tblGenres" displayName="tblGenres" ref="A1:A23" headerRowCount="1" totalsRowCount="0" totalsRowShown="0">
  <autoFilter ref="A1:A23"/>
  <tableColumns count="1">
    <tableColumn id="1" name="Genre"/>
  </tableColumns>
</table>
</file>

<file path=xl/tables/table8.xml><?xml version="1.0" encoding="utf-8"?>
<table xmlns="http://schemas.openxmlformats.org/spreadsheetml/2006/main" id="8" name="tblMajorGenres" displayName="tblMajorGenres" ref="E1:F30" headerRowCount="1" totalsRowCount="0" totalsRowShown="0">
  <autoFilter ref="E1:F30"/>
  <tableColumns count="2">
    <tableColumn id="1" name="Genre Label"/>
    <tableColumn id="2" name="Major Genre"/>
  </tableColumns>
</table>
</file>

<file path=xl/tables/table9.xml><?xml version="1.0" encoding="utf-8"?>
<table xmlns="http://schemas.openxmlformats.org/spreadsheetml/2006/main" id="9" name="tblRetiredArtists" displayName="tblRetiredArtists" ref="A1:D19" headerRowCount="1" totalsRowCount="0" totalsRowShown="0">
  <autoFilter ref="A1:D19"/>
  <tableColumns count="4">
    <tableColumn id="1" name="Artist"/>
    <tableColumn id="2" name="ArtistKey"/>
    <tableColumn id="3" name="RetiredFlag"/>
    <tableColumn id="4" name="RetiredDate"/>
  </tableColumns>
</table>
</file>

<file path=xl/tables/table10.xml><?xml version="1.0" encoding="utf-8"?>
<table xmlns="http://schemas.openxmlformats.org/spreadsheetml/2006/main" id="10" name="tblRetiredSongs" displayName="tblRetiredSongs" ref="A1:F23" headerRowCount="1" totalsRowCount="0" totalsRowShown="0">
  <autoFilter ref="A1:F23"/>
  <tableColumns count="6">
    <tableColumn id="1" name="Song"/>
    <tableColumn id="2" name="Artist"/>
    <tableColumn id="3" name="SongKey"/>
    <tableColumn id="4" name="ArtistRetired"/>
    <tableColumn id="5" name="RetiredDate"/>
    <tableColumn id="6"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10.xml"/>
</Relationships>
</file>

<file path=xl/worksheets/_rels/sheet12.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3" t="s">
        <v>3</v>
      </c>
      <c r="B5" s="4" t="s">
        <v>4</v>
      </c>
    </row>
    <row r="6" customFormat="false" ht="28.35" hidden="false" customHeight="false" outlineLevel="0" collapsed="false">
      <c r="A6" s="3" t="s">
        <v>5</v>
      </c>
      <c r="B6" s="4" t="s">
        <v>6</v>
      </c>
    </row>
    <row r="7" customFormat="false" ht="28.35" hidden="false" customHeight="false" outlineLevel="0" collapsed="false">
      <c r="A7" s="3" t="s">
        <v>7</v>
      </c>
      <c r="B7" s="4" t="s">
        <v>8</v>
      </c>
    </row>
    <row r="8" customFormat="false" ht="28.35" hidden="false" customHeight="false" outlineLevel="0" collapsed="false">
      <c r="A8" s="3" t="s">
        <v>9</v>
      </c>
      <c r="B8" s="4" t="s">
        <v>10</v>
      </c>
    </row>
    <row r="9" customFormat="false" ht="15" hidden="false" customHeight="false" outlineLevel="0" collapsed="false">
      <c r="A9" s="3" t="s">
        <v>11</v>
      </c>
      <c r="B9" s="4" t="s">
        <v>12</v>
      </c>
    </row>
    <row r="10" customFormat="false" ht="15" hidden="false" customHeight="false" outlineLevel="0" collapsed="false">
      <c r="A10" s="3" t="s">
        <v>13</v>
      </c>
      <c r="B10" s="4" t="s">
        <v>14</v>
      </c>
    </row>
    <row r="11" customFormat="false" ht="15" hidden="false" customHeight="false" outlineLevel="0" collapsed="false">
      <c r="A11" s="3" t="s">
        <v>15</v>
      </c>
      <c r="B11" s="4" t="s">
        <v>16</v>
      </c>
    </row>
    <row r="12" customFormat="false" ht="15" hidden="false" customHeight="false" outlineLevel="0" collapsed="false">
      <c r="A12" s="3" t="s">
        <v>17</v>
      </c>
      <c r="B12" s="4" t="s">
        <v>18</v>
      </c>
    </row>
    <row r="13" customFormat="false" ht="15" hidden="false" customHeight="false" outlineLevel="0" collapsed="false">
      <c r="A13" s="3" t="s">
        <v>19</v>
      </c>
      <c r="B13" s="4" t="s">
        <v>20</v>
      </c>
    </row>
    <row r="14" customFormat="false" ht="15" hidden="false" customHeight="false" outlineLevel="0" collapsed="false">
      <c r="A14" s="3" t="s">
        <v>21</v>
      </c>
      <c r="B14" s="4" t="s">
        <v>22</v>
      </c>
    </row>
    <row r="16" customFormat="false" ht="15" hidden="false" customHeight="false" outlineLevel="0" collapsed="false">
      <c r="A16" s="3" t="s">
        <v>23</v>
      </c>
    </row>
    <row r="17" customFormat="false" ht="28.35" hidden="false" customHeight="false" outlineLevel="0" collapsed="false">
      <c r="A17" s="5"/>
      <c r="B17" s="4" t="s">
        <v>24</v>
      </c>
    </row>
    <row r="18" customFormat="false" ht="41.75" hidden="false" customHeight="false" outlineLevel="0" collapsed="false">
      <c r="A18" s="5"/>
      <c r="B18" s="4" t="s">
        <v>25</v>
      </c>
    </row>
    <row r="19" customFormat="false" ht="41.75" hidden="false" customHeight="false" outlineLevel="0" collapsed="false">
      <c r="A19" s="5"/>
      <c r="B19" s="4" t="s">
        <v>26</v>
      </c>
    </row>
    <row r="20" customFormat="false" ht="15" hidden="false" customHeight="false" outlineLevel="0" collapsed="false">
      <c r="A20" s="5"/>
      <c r="B20" s="4" t="s">
        <v>27</v>
      </c>
    </row>
    <row r="21" customFormat="false" ht="28.35" hidden="false" customHeight="false" outlineLevel="0" collapsed="false">
      <c r="A21" s="5"/>
      <c r="B21" s="4" t="s">
        <v>28</v>
      </c>
    </row>
    <row r="23" customFormat="false" ht="15" hidden="false" customHeight="false" outlineLevel="0" collapsed="false">
      <c r="A23" s="3" t="s">
        <v>29</v>
      </c>
    </row>
    <row r="24" customFormat="false" ht="15" hidden="false" customHeight="false" outlineLevel="0" collapsed="false">
      <c r="B24" s="4" t="s">
        <v>30</v>
      </c>
    </row>
    <row r="25" customFormat="false" ht="28.35" hidden="false" customHeight="false" outlineLevel="0" collapsed="false">
      <c r="B25" s="4" t="s">
        <v>31</v>
      </c>
    </row>
    <row r="26" customFormat="false" ht="28.35" hidden="false" customHeight="false" outlineLevel="0" collapsed="false">
      <c r="B26" s="4" t="s">
        <v>32</v>
      </c>
    </row>
    <row r="27" customFormat="false" ht="28.35" hidden="false" customHeight="false" outlineLevel="0" collapsed="false">
      <c r="B27" s="4" t="s">
        <v>33</v>
      </c>
    </row>
    <row r="28" customFormat="false" ht="28.35" hidden="false" customHeight="false" outlineLevel="0" collapsed="false">
      <c r="B28" s="4" t="s">
        <v>34</v>
      </c>
    </row>
    <row r="29" customFormat="false" ht="41.75" hidden="false" customHeight="false" outlineLevel="0" collapsed="false">
      <c r="B29"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2" min="2" style="0" width="16"/>
    <col collapsed="false" customWidth="true" hidden="false" outlineLevel="0" max="4" min="3" style="0" width="10"/>
  </cols>
  <sheetData>
    <row r="1" customFormat="false" ht="17.35" hidden="false" customHeight="false" outlineLevel="0" collapsed="false">
      <c r="A1" s="1" t="s">
        <v>36</v>
      </c>
    </row>
    <row r="2" customFormat="false" ht="15" hidden="false" customHeight="false" outlineLevel="0" collapsed="false">
      <c r="A2" s="2" t="s">
        <v>37</v>
      </c>
    </row>
    <row r="3" customFormat="false" ht="15" hidden="false" customHeight="false" outlineLevel="0" collapsed="false">
      <c r="A3" s="3" t="s">
        <v>38</v>
      </c>
      <c r="B3" s="3" t="str">
        <f aca="false">IF(COUNTIF(D6:D22,"FAIL")=0,IF(COUNTIF(D6:D22,"REVIEW")=0,"ALL PASS","PASS, with items to review"),"FAIL: see below")</f>
        <v>PASS, with items to review</v>
      </c>
    </row>
    <row r="5" customFormat="false" ht="15" hidden="false" customHeight="false" outlineLevel="0" collapsed="false">
      <c r="A5" s="3" t="s">
        <v>39</v>
      </c>
      <c r="B5" s="3" t="s">
        <v>40</v>
      </c>
      <c r="C5" s="3" t="s">
        <v>41</v>
      </c>
      <c r="D5" s="3" t="s">
        <v>42</v>
      </c>
    </row>
    <row r="6" customFormat="false" ht="15" hidden="false" customHeight="false" outlineLevel="0" collapsed="false">
      <c r="A6" s="5" t="s">
        <v>43</v>
      </c>
      <c r="B6" s="6" t="n">
        <f aca="false">COUNTA(Votes!$A:$A)-1</f>
        <v>5288</v>
      </c>
      <c r="D6" s="2" t="s">
        <v>44</v>
      </c>
    </row>
    <row r="7" customFormat="false" ht="15" hidden="false" customHeight="false" outlineLevel="0" collapsed="false">
      <c r="A7" s="5" t="s">
        <v>45</v>
      </c>
      <c r="B7" s="6" t="n">
        <f aca="false">COUNTIF(Votes!$J:$J,"NOT FOUND")</f>
        <v>0</v>
      </c>
      <c r="C7" s="5" t="n">
        <v>0</v>
      </c>
      <c r="D7" s="3" t="str">
        <f aca="false">IF(B7=C7,"PASS","FAIL")</f>
        <v>PASS</v>
      </c>
    </row>
    <row r="8" customFormat="false" ht="15" hidden="false" customHeight="false" outlineLevel="0" collapsed="false">
      <c r="A8" s="5" t="s">
        <v>46</v>
      </c>
      <c r="B8" s="6" t="n">
        <f aca="false">COUNTIF(Votes!$J:$J,"SELF-VOTE")</f>
        <v>0</v>
      </c>
      <c r="C8" s="5" t="n">
        <v>0</v>
      </c>
      <c r="D8" s="3" t="str">
        <f aca="false">IF(B8=C8,"PASS","FAIL")</f>
        <v>PASS</v>
      </c>
    </row>
    <row r="9" customFormat="false" ht="15" hidden="false" customHeight="false" outlineLevel="0" collapsed="false">
      <c r="A9" s="5" t="s">
        <v>47</v>
      </c>
      <c r="B9" s="6" t="n">
        <f aca="false">COUNTIF(Votes!$J:$J,"DUPLICATE")</f>
        <v>0</v>
      </c>
      <c r="C9" s="5" t="n">
        <v>0</v>
      </c>
      <c r="D9" s="3" t="str">
        <f aca="false">IF(B9=C9,"PASS","FAIL")</f>
        <v>PASS</v>
      </c>
    </row>
    <row r="10" customFormat="false" ht="15" hidden="false" customHeight="false" outlineLevel="0" collapsed="false">
      <c r="A10" s="5" t="s">
        <v>48</v>
      </c>
      <c r="B10" s="6" t="n">
        <f aca="false">COUNTIF('All Song Rankings'!$Q:$Q,"Mismatch")</f>
        <v>0</v>
      </c>
      <c r="C10" s="5" t="n">
        <v>0</v>
      </c>
      <c r="D10" s="3" t="str">
        <f aca="false">IF(B10=C10,"PASS","FAIL")</f>
        <v>PASS</v>
      </c>
    </row>
    <row r="11" customFormat="false" ht="15" hidden="false" customHeight="false" outlineLevel="0" collapsed="false">
      <c r="A11" s="5" t="s">
        <v>49</v>
      </c>
      <c r="B11" s="6" t="n">
        <f aca="false">COUNTIF('All Song Rankings'!$Q:$Q,"No URI")</f>
        <v>0</v>
      </c>
      <c r="C11" s="5" t="n">
        <v>0</v>
      </c>
      <c r="D11" s="3" t="str">
        <f aca="false">IF(B11=C11,"PASS","FAIL")</f>
        <v>PASS</v>
      </c>
    </row>
    <row r="12" customFormat="false" ht="15" hidden="false" customHeight="false" outlineLevel="0" collapsed="false">
      <c r="A12" s="5" t="s">
        <v>50</v>
      </c>
      <c r="B12" s="6" t="n">
        <f aca="false">COUNTIF('All Song Rankings'!$J:$J,"ADD LEAGUE TO ROUNDS")</f>
        <v>0</v>
      </c>
      <c r="C12" s="5" t="n">
        <v>0</v>
      </c>
      <c r="D12" s="3" t="str">
        <f aca="false">IF(B12=C12,"PASS","FAIL")</f>
        <v>PASS</v>
      </c>
    </row>
    <row r="13" customFormat="false" ht="15" hidden="false" customHeight="false" outlineLevel="0" collapsed="false">
      <c r="A13" s="5" t="s">
        <v>51</v>
      </c>
      <c r="B13" s="6" t="n">
        <f aca="false">COUNTIFS('All Song Rankings'!$F:$F,"&gt;=0",'All Song Rankings'!$N:$N,"")</f>
        <v>0</v>
      </c>
      <c r="C13" s="5" t="n">
        <v>0</v>
      </c>
      <c r="D13" s="3" t="str">
        <f aca="false">IF(B13=C13,"PASS","FAIL")</f>
        <v>PASS</v>
      </c>
    </row>
    <row r="14" customFormat="false" ht="15" hidden="false" customHeight="false" outlineLevel="0" collapsed="false">
      <c r="A14" s="5" t="s">
        <v>52</v>
      </c>
      <c r="B14" s="6" t="n">
        <f aca="false">SUMPRODUCT(--('All Song Rankings'!$C$2:$C$5000&lt;&gt;""),--(COUNTIF(Lists!$A:$A,'All Song Rankings'!$C$2:$C$5000)=0))</f>
        <v>7</v>
      </c>
      <c r="C14" s="5" t="n">
        <v>0</v>
      </c>
      <c r="D14" s="3" t="str">
        <f aca="false">IF(B14=C14,"PASS","REVIEW")</f>
        <v>REVIEW</v>
      </c>
    </row>
    <row r="15" customFormat="false" ht="15" hidden="false" customHeight="false" outlineLevel="0" collapsed="false">
      <c r="A15" s="5" t="s">
        <v>53</v>
      </c>
      <c r="B15" s="6" t="n">
        <f aca="false">COUNTIF('All Song Rankings'!$U:$U,"Unmapped")</f>
        <v>0</v>
      </c>
      <c r="C15" s="5" t="n">
        <v>0</v>
      </c>
      <c r="D15" s="3" t="str">
        <f aca="false">IF(B15=C15,"PASS","FAIL")</f>
        <v>PASS</v>
      </c>
    </row>
    <row r="16" customFormat="false" ht="15" hidden="false" customHeight="false" outlineLevel="0" collapsed="false">
      <c r="A16" s="5" t="s">
        <v>54</v>
      </c>
      <c r="B16" s="6" t="n">
        <f aca="false">SUMPRODUCT(--('All Song Rankings'!$D$2:$D$5000&lt;&gt;""),--(COUNTIF(Participants!$A:$A,'All Song Rankings'!$D$2:$D$5000)=0))</f>
        <v>0</v>
      </c>
      <c r="C16" s="5" t="n">
        <v>0</v>
      </c>
      <c r="D16" s="3" t="str">
        <f aca="false">IF(B16=C16,"PASS","FAIL")</f>
        <v>PASS</v>
      </c>
    </row>
    <row r="17" customFormat="false" ht="15" hidden="false" customHeight="false" outlineLevel="0" collapsed="false">
      <c r="A17" s="5" t="s">
        <v>55</v>
      </c>
      <c r="B17" s="6" t="n">
        <f aca="false">SUMPRODUCT(--(Votes!$C$2:$C$20000&lt;&gt;""),--(COUNTIF(Participants!$A:$A,Votes!$C$2:$C$20000)=0))</f>
        <v>0</v>
      </c>
      <c r="C17" s="5" t="n">
        <v>0</v>
      </c>
      <c r="D17" s="3" t="str">
        <f aca="false">IF(B17=C17,"PASS","FAIL")</f>
        <v>PASS</v>
      </c>
    </row>
    <row r="18" customFormat="false" ht="15" hidden="false" customHeight="false" outlineLevel="0" collapsed="false">
      <c r="A18" s="5" t="s">
        <v>56</v>
      </c>
      <c r="B18" s="6" t="n">
        <f aca="false">SUM(Votes!$E:$E)-SUM('All Song Rankings'!$O:$O)</f>
        <v>0</v>
      </c>
      <c r="C18" s="5" t="n">
        <v>0</v>
      </c>
      <c r="D18" s="3" t="str">
        <f aca="false">IF(B18=C18,"PASS","FAIL")</f>
        <v>PASS</v>
      </c>
    </row>
    <row r="19" customFormat="false" ht="15" hidden="false" customHeight="false" outlineLevel="0" collapsed="false">
      <c r="A19" s="5" t="s">
        <v>57</v>
      </c>
      <c r="B19" s="6" t="n">
        <f aca="false">COUNTIF('All Song Rankings'!$Q:$Q,"Forfeited")</f>
        <v>40</v>
      </c>
      <c r="D19" s="2" t="s">
        <v>44</v>
      </c>
    </row>
    <row r="20" customFormat="false" ht="15" hidden="false" customHeight="false" outlineLevel="0" collapsed="false">
      <c r="A20" s="5" t="s">
        <v>58</v>
      </c>
      <c r="B20" s="6" t="n">
        <f aca="false">COUNTIF('All Song Rankings'!$Q:$Q,"Zero-vote")</f>
        <v>8</v>
      </c>
      <c r="D20" s="2" t="s">
        <v>44</v>
      </c>
    </row>
    <row r="21" customFormat="false" ht="15" hidden="false" customHeight="false" outlineLevel="0" collapsed="false">
      <c r="A21" s="5" t="s">
        <v>59</v>
      </c>
      <c r="B21" s="6" t="n">
        <f aca="false">COUNTIF('All Song Rankings'!$Q:$Q,"Unscored")</f>
        <v>30</v>
      </c>
      <c r="D21" s="2" t="s">
        <v>44</v>
      </c>
    </row>
    <row r="22" customFormat="false" ht="15" hidden="false" customHeight="false" outlineLevel="0" collapsed="false">
      <c r="A22" s="5" t="s">
        <v>60</v>
      </c>
      <c r="B22" s="6" t="n">
        <f aca="false">SUM('All Song Rankings'!$O:$O)-SUMIFS('All Song Rankings'!$F:$F,'All Song Rankings'!$L:$L,"&lt;&gt;")</f>
        <v>332</v>
      </c>
      <c r="D22" s="2" t="s">
        <v>44</v>
      </c>
    </row>
  </sheetData>
  <conditionalFormatting sqref="D6:D22">
    <cfRule type="expression" priority="2" aboveAverage="0" equalAverage="0" bottom="0" percent="0" rank="0" text="" dxfId="0">
      <formula>D6="FAIL"</formula>
    </cfRule>
    <cfRule type="expression" priority="3" aboveAverage="0" equalAverage="0" bottom="0" percent="0" rank="0" text="" dxfId="1">
      <formula>D6="REVIEW"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8"/>
    <col collapsed="false" customWidth="true" hidden="false" outlineLevel="0" max="3" min="3" style="0" width="22"/>
    <col collapsed="false" customWidth="true" hidden="false" outlineLevel="0" max="4" min="4" style="0" width="13"/>
    <col collapsed="false" customWidth="true" hidden="false" outlineLevel="0" max="5" min="5" style="0" width="40"/>
    <col collapsed="false" customWidth="true" hidden="false" outlineLevel="0" max="6" min="6" style="0" width="8"/>
    <col collapsed="false" customWidth="true" hidden="false" outlineLevel="0" max="7" min="7" style="0" width="11"/>
    <col collapsed="false" customWidth="true" hidden="false" outlineLevel="0" max="8" min="8" style="0" width="8"/>
    <col collapsed="false" customWidth="true" hidden="false" outlineLevel="0" max="9" min="9" style="0" width="38"/>
    <col collapsed="false" customWidth="true" hidden="false" outlineLevel="0" max="11" min="10" style="0" width="9"/>
    <col collapsed="false" customWidth="true" hidden="false" outlineLevel="0" max="12" min="12" style="0" width="40"/>
    <col collapsed="false" customWidth="true" hidden="false" outlineLevel="0" max="13" min="13" style="0" width="16"/>
    <col collapsed="false" customWidth="true" hidden="false" outlineLevel="0" max="14" min="14" style="0" width="9"/>
    <col collapsed="false" customWidth="true" hidden="false" outlineLevel="0" max="16" min="15" style="0" width="11"/>
    <col collapsed="false" customWidth="true" hidden="false" outlineLevel="0" max="17" min="17" style="0" width="12"/>
    <col collapsed="false" customWidth="true" hidden="false" outlineLevel="0" max="18" min="18" style="0" width="13"/>
    <col collapsed="false" customWidth="true" hidden="false" outlineLevel="0" max="19" min="19" style="0" width="12"/>
    <col collapsed="false" customWidth="true" hidden="false" outlineLevel="0" max="20" min="20" style="0" width="22"/>
    <col collapsed="false" customWidth="true" hidden="false" outlineLevel="0" max="21" min="21" style="0" width="20"/>
  </cols>
  <sheetData>
    <row r="1" customFormat="false" ht="15" hidden="false" customHeight="false" outlineLevel="0" collapsed="false">
      <c r="A1" s="3" t="s">
        <v>61</v>
      </c>
      <c r="B1" s="3" t="s">
        <v>62</v>
      </c>
      <c r="C1" s="3" t="s">
        <v>63</v>
      </c>
      <c r="D1" s="3" t="s">
        <v>64</v>
      </c>
      <c r="E1" s="3" t="s">
        <v>65</v>
      </c>
      <c r="F1" s="3" t="s">
        <v>66</v>
      </c>
      <c r="G1" s="3" t="s">
        <v>67</v>
      </c>
      <c r="H1" s="3" t="s">
        <v>68</v>
      </c>
      <c r="I1" s="3" t="s">
        <v>69</v>
      </c>
      <c r="J1" s="3" t="s">
        <v>70</v>
      </c>
      <c r="K1" s="3" t="s">
        <v>71</v>
      </c>
      <c r="L1" s="3" t="s">
        <v>72</v>
      </c>
      <c r="M1" s="3" t="s">
        <v>73</v>
      </c>
      <c r="N1" s="3" t="s">
        <v>74</v>
      </c>
      <c r="O1" s="3" t="s">
        <v>75</v>
      </c>
      <c r="P1" s="3" t="s">
        <v>76</v>
      </c>
      <c r="Q1" s="3" t="s">
        <v>77</v>
      </c>
      <c r="R1" s="3" t="s">
        <v>78</v>
      </c>
      <c r="S1" s="3" t="s">
        <v>79</v>
      </c>
      <c r="T1" s="3" t="s">
        <v>80</v>
      </c>
      <c r="U1" s="3" t="s">
        <v>81</v>
      </c>
    </row>
    <row r="2" customFormat="false" ht="15" hidden="false" customHeight="false" outlineLevel="0" collapsed="false">
      <c r="A2" s="5" t="s">
        <v>82</v>
      </c>
      <c r="B2" s="5" t="s">
        <v>83</v>
      </c>
      <c r="C2" s="5" t="s">
        <v>84</v>
      </c>
      <c r="D2" s="5" t="s">
        <v>85</v>
      </c>
      <c r="E2" s="5" t="s">
        <v>86</v>
      </c>
      <c r="F2" s="5" t="n">
        <v>16</v>
      </c>
      <c r="G2" s="5" t="n">
        <v>10</v>
      </c>
      <c r="H2" s="6" t="str">
        <f aca="false">IF(N2="","",N2&amp;IF(AND(MOD(N2,100)&gt;=11,MOD(N2,100)&lt;=13),"th",CHOOSE(MIN(5,MOD(N2,10)+1),"th","st","nd","rd","th")))</f>
        <v>1st</v>
      </c>
      <c r="I2" s="5" t="s">
        <v>87</v>
      </c>
      <c r="J2" s="6" t="n">
        <f aca="false">IFERROR(INDEX(Rounds!$A:$A,MATCH(I2,Rounds!$B:$B,0)),"ADD LEAGUE TO ROUNDS")</f>
        <v>1</v>
      </c>
      <c r="K2" s="6" t="n">
        <f aca="false">IFERROR(VALUE(LEFT(E2,FIND(" - ",E2)-1)),"")</f>
        <v>1</v>
      </c>
      <c r="L2" s="5" t="s">
        <v>88</v>
      </c>
      <c r="N2" s="6" t="n">
        <f aca="false">IF(F2="","",1+COUNTIFS($J:$J,J2,$K:$K,K2,$F:$F,"&gt;"&amp;F2)+COUNTIFS($J:$J,J2,$K:$K,K2,$F:$F,F2,$G:$G,"&gt;"&amp;G2))</f>
        <v>1</v>
      </c>
      <c r="O2" s="6" t="n">
        <f aca="false">IF(L2="","",SUMIFS(Votes!$E:$E,Votes!$A:$A,J2,Votes!$B:$B,K2,Votes!$D:$D,L2))</f>
        <v>16</v>
      </c>
      <c r="P2" s="6" t="n">
        <f aca="false">IF(L2="","",COUNTIFS(Votes!$A:$A,J2,Votes!$B:$B,K2,Votes!$D:$D,L2))</f>
        <v>10</v>
      </c>
      <c r="Q2" s="7" t="str">
        <f aca="false">IF(F2="","Unscored",IF(O2="","No URI",IF(AND(F2=0,O2=0),"Zero-vote",IF(AND(F2=O2,G2=P2),"OK",IF(AND(F2=0,O2&gt;0,COUNTIFS(Votes!$A:$A,J2,Votes!$B:$B,K2,Votes!$C:$C,D2)=0),"Forfeited","Mismatch")))))</f>
        <v>OK</v>
      </c>
      <c r="R2" s="6" t="n">
        <f aca="false">MAX(IF(L2&lt;&gt;"",COUNTIF($L:$L,L2),0),COUNTIFS($A:$A,A2,$B:$B,B2))</f>
        <v>1</v>
      </c>
      <c r="S2" s="6" t="str">
        <f aca="false">IF(R2&gt;1,COUNTIF($R$2:R2,"&gt;1"),"")</f>
        <v/>
      </c>
      <c r="T2" s="6" t="str">
        <f aca="false">IF(L2="","",J2&amp;"|"&amp;K2&amp;"|"&amp;L2)</f>
        <v>1|1|spotify:track:7usqgT1ajVAJ3s0wXePtRr</v>
      </c>
      <c r="U2" s="6" t="str">
        <f aca="false">IF(C2="","",IFERROR(INDEX(Lists!$F:$F,MATCH(C2,Lists!$E:$E,0)),"Unmapped"))</f>
        <v>Pop</v>
      </c>
    </row>
    <row r="3" customFormat="false" ht="15" hidden="false" customHeight="false" outlineLevel="0" collapsed="false">
      <c r="A3" s="5" t="s">
        <v>89</v>
      </c>
      <c r="B3" s="5" t="s">
        <v>90</v>
      </c>
      <c r="C3" s="5" t="s">
        <v>91</v>
      </c>
      <c r="D3" s="5" t="s">
        <v>92</v>
      </c>
      <c r="E3" s="5" t="s">
        <v>86</v>
      </c>
      <c r="F3" s="5" t="n">
        <v>16</v>
      </c>
      <c r="G3" s="5" t="n">
        <v>9</v>
      </c>
      <c r="H3" s="6" t="str">
        <f aca="false">IF(N3="","",N3&amp;IF(AND(MOD(N3,100)&gt;=11,MOD(N3,100)&lt;=13),"th",CHOOSE(MIN(5,MOD(N3,10)+1),"th","st","nd","rd","th")))</f>
        <v>2nd</v>
      </c>
      <c r="I3" s="5" t="s">
        <v>87</v>
      </c>
      <c r="J3" s="6" t="n">
        <f aca="false">IFERROR(INDEX(Rounds!$A:$A,MATCH(I3,Rounds!$B:$B,0)),"ADD LEAGUE TO ROUNDS")</f>
        <v>1</v>
      </c>
      <c r="K3" s="6" t="n">
        <f aca="false">IFERROR(VALUE(LEFT(E3,FIND(" - ",E3)-1)),"")</f>
        <v>1</v>
      </c>
      <c r="L3" s="5" t="s">
        <v>93</v>
      </c>
      <c r="N3" s="6" t="n">
        <f aca="false">IF(F3="","",1+COUNTIFS($J:$J,J3,$K:$K,K3,$F:$F,"&gt;"&amp;F3)+COUNTIFS($J:$J,J3,$K:$K,K3,$F:$F,F3,$G:$G,"&gt;"&amp;G3))</f>
        <v>2</v>
      </c>
      <c r="O3" s="6" t="n">
        <f aca="false">IF(L3="","",SUMIFS(Votes!$E:$E,Votes!$A:$A,J3,Votes!$B:$B,K3,Votes!$D:$D,L3))</f>
        <v>16</v>
      </c>
      <c r="P3" s="6" t="n">
        <f aca="false">IF(L3="","",COUNTIFS(Votes!$A:$A,J3,Votes!$B:$B,K3,Votes!$D:$D,L3))</f>
        <v>9</v>
      </c>
      <c r="Q3" s="7" t="str">
        <f aca="false">IF(F3="","Unscored",IF(O3="","No URI",IF(AND(F3=0,O3=0),"Zero-vote",IF(AND(F3=O3,G3=P3),"OK",IF(AND(F3=0,O3&gt;0,COUNTIFS(Votes!$A:$A,J3,Votes!$B:$B,K3,Votes!$C:$C,D3)=0),"Forfeited","Mismatch")))))</f>
        <v>OK</v>
      </c>
      <c r="R3" s="6" t="n">
        <f aca="false">MAX(IF(L3&lt;&gt;"",COUNTIF($L:$L,L3),0),COUNTIFS($A:$A,A3,$B:$B,B3))</f>
        <v>2</v>
      </c>
      <c r="S3" s="6" t="n">
        <f aca="false">IF(R3&gt;1,COUNTIF($R$2:R3,"&gt;1"),"")</f>
        <v>1</v>
      </c>
      <c r="T3" s="6" t="str">
        <f aca="false">IF(L3="","",J3&amp;"|"&amp;K3&amp;"|"&amp;L3)</f>
        <v>1|1|spotify:track:4kbj5MwxO1bq9wjT5g9HaA</v>
      </c>
      <c r="U3" s="6" t="str">
        <f aca="false">IF(C3="","",IFERROR(INDEX(Lists!$F:$F,MATCH(C3,Lists!$E:$E,0)),"Unmapped"))</f>
        <v>Rock</v>
      </c>
    </row>
    <row r="4" customFormat="false" ht="15" hidden="false" customHeight="false" outlineLevel="0" collapsed="false">
      <c r="A4" s="5" t="s">
        <v>94</v>
      </c>
      <c r="B4" s="5" t="s">
        <v>95</v>
      </c>
      <c r="C4" s="5" t="s">
        <v>96</v>
      </c>
      <c r="D4" s="5" t="s">
        <v>97</v>
      </c>
      <c r="E4" s="5" t="s">
        <v>86</v>
      </c>
      <c r="F4" s="5" t="n">
        <v>12</v>
      </c>
      <c r="G4" s="5" t="n">
        <v>7</v>
      </c>
      <c r="H4" s="6" t="str">
        <f aca="false">IF(N4="","",N4&amp;IF(AND(MOD(N4,100)&gt;=11,MOD(N4,100)&lt;=13),"th",CHOOSE(MIN(5,MOD(N4,10)+1),"th","st","nd","rd","th")))</f>
        <v>3rd</v>
      </c>
      <c r="I4" s="5" t="s">
        <v>87</v>
      </c>
      <c r="J4" s="6" t="n">
        <f aca="false">IFERROR(INDEX(Rounds!$A:$A,MATCH(I4,Rounds!$B:$B,0)),"ADD LEAGUE TO ROUNDS")</f>
        <v>1</v>
      </c>
      <c r="K4" s="6" t="n">
        <f aca="false">IFERROR(VALUE(LEFT(E4,FIND(" - ",E4)-1)),"")</f>
        <v>1</v>
      </c>
      <c r="L4" s="5" t="s">
        <v>98</v>
      </c>
      <c r="N4" s="6" t="n">
        <f aca="false">IF(F4="","",1+COUNTIFS($J:$J,J4,$K:$K,K4,$F:$F,"&gt;"&amp;F4)+COUNTIFS($J:$J,J4,$K:$K,K4,$F:$F,F4,$G:$G,"&gt;"&amp;G4))</f>
        <v>3</v>
      </c>
      <c r="O4" s="6" t="n">
        <f aca="false">IF(L4="","",SUMIFS(Votes!$E:$E,Votes!$A:$A,J4,Votes!$B:$B,K4,Votes!$D:$D,L4))</f>
        <v>12</v>
      </c>
      <c r="P4" s="6" t="n">
        <f aca="false">IF(L4="","",COUNTIFS(Votes!$A:$A,J4,Votes!$B:$B,K4,Votes!$D:$D,L4))</f>
        <v>7</v>
      </c>
      <c r="Q4" s="7" t="str">
        <f aca="false">IF(F4="","Unscored",IF(O4="","No URI",IF(AND(F4=0,O4=0),"Zero-vote",IF(AND(F4=O4,G4=P4),"OK",IF(AND(F4=0,O4&gt;0,COUNTIFS(Votes!$A:$A,J4,Votes!$B:$B,K4,Votes!$C:$C,D4)=0),"Forfeited","Mismatch")))))</f>
        <v>OK</v>
      </c>
      <c r="R4" s="6" t="n">
        <f aca="false">MAX(IF(L4&lt;&gt;"",COUNTIF($L:$L,L4),0),COUNTIFS($A:$A,A4,$B:$B,B4))</f>
        <v>2</v>
      </c>
      <c r="S4" s="6" t="n">
        <f aca="false">IF(R4&gt;1,COUNTIF($R$2:R4,"&gt;1"),"")</f>
        <v>2</v>
      </c>
      <c r="T4" s="6" t="str">
        <f aca="false">IF(L4="","",J4&amp;"|"&amp;K4&amp;"|"&amp;L4)</f>
        <v>1|1|spotify:track:6xkryXuiZU360Lngd4sx13</v>
      </c>
      <c r="U4" s="6" t="str">
        <f aca="false">IF(C4="","",IFERROR(INDEX(Lists!$F:$F,MATCH(C4,Lists!$E:$E,0)),"Unmapped"))</f>
        <v>R&amp;B/Soul</v>
      </c>
    </row>
    <row r="5" customFormat="false" ht="15" hidden="false" customHeight="false" outlineLevel="0" collapsed="false">
      <c r="A5" s="5" t="s">
        <v>99</v>
      </c>
      <c r="B5" s="5" t="s">
        <v>100</v>
      </c>
      <c r="C5" s="5" t="s">
        <v>91</v>
      </c>
      <c r="D5" s="5" t="s">
        <v>101</v>
      </c>
      <c r="E5" s="5" t="s">
        <v>86</v>
      </c>
      <c r="F5" s="5" t="n">
        <v>12</v>
      </c>
      <c r="G5" s="5" t="n">
        <v>7</v>
      </c>
      <c r="H5" s="6" t="str">
        <f aca="false">IF(N5="","",N5&amp;IF(AND(MOD(N5,100)&gt;=11,MOD(N5,100)&lt;=13),"th",CHOOSE(MIN(5,MOD(N5,10)+1),"th","st","nd","rd","th")))</f>
        <v>3rd</v>
      </c>
      <c r="I5" s="5" t="s">
        <v>87</v>
      </c>
      <c r="J5" s="6" t="n">
        <f aca="false">IFERROR(INDEX(Rounds!$A:$A,MATCH(I5,Rounds!$B:$B,0)),"ADD LEAGUE TO ROUNDS")</f>
        <v>1</v>
      </c>
      <c r="K5" s="6" t="n">
        <f aca="false">IFERROR(VALUE(LEFT(E5,FIND(" - ",E5)-1)),"")</f>
        <v>1</v>
      </c>
      <c r="L5" s="5" t="s">
        <v>102</v>
      </c>
      <c r="N5" s="6" t="n">
        <f aca="false">IF(F5="","",1+COUNTIFS($J:$J,J5,$K:$K,K5,$F:$F,"&gt;"&amp;F5)+COUNTIFS($J:$J,J5,$K:$K,K5,$F:$F,F5,$G:$G,"&gt;"&amp;G5))</f>
        <v>3</v>
      </c>
      <c r="O5" s="6" t="n">
        <f aca="false">IF(L5="","",SUMIFS(Votes!$E:$E,Votes!$A:$A,J5,Votes!$B:$B,K5,Votes!$D:$D,L5))</f>
        <v>12</v>
      </c>
      <c r="P5" s="6" t="n">
        <f aca="false">IF(L5="","",COUNTIFS(Votes!$A:$A,J5,Votes!$B:$B,K5,Votes!$D:$D,L5))</f>
        <v>7</v>
      </c>
      <c r="Q5" s="7" t="str">
        <f aca="false">IF(F5="","Unscored",IF(O5="","No URI",IF(AND(F5=0,O5=0),"Zero-vote",IF(AND(F5=O5,G5=P5),"OK",IF(AND(F5=0,O5&gt;0,COUNTIFS(Votes!$A:$A,J5,Votes!$B:$B,K5,Votes!$C:$C,D5)=0),"Forfeited","Mismatch")))))</f>
        <v>OK</v>
      </c>
      <c r="R5" s="6" t="n">
        <f aca="false">MAX(IF(L5&lt;&gt;"",COUNTIF($L:$L,L5),0),COUNTIFS($A:$A,A5,$B:$B,B5))</f>
        <v>1</v>
      </c>
      <c r="S5" s="6" t="str">
        <f aca="false">IF(R5&gt;1,COUNTIF($R$2:R5,"&gt;1"),"")</f>
        <v/>
      </c>
      <c r="T5" s="6" t="str">
        <f aca="false">IF(L5="","",J5&amp;"|"&amp;K5&amp;"|"&amp;L5)</f>
        <v>1|1|spotify:track:1MAXdOA4Dtz6eJMz0nEq2H</v>
      </c>
      <c r="U5" s="6" t="str">
        <f aca="false">IF(C5="","",IFERROR(INDEX(Lists!$F:$F,MATCH(C5,Lists!$E:$E,0)),"Unmapped"))</f>
        <v>Rock</v>
      </c>
    </row>
    <row r="6" customFormat="false" ht="15" hidden="false" customHeight="false" outlineLevel="0" collapsed="false">
      <c r="A6" s="5" t="s">
        <v>103</v>
      </c>
      <c r="B6" s="5" t="s">
        <v>104</v>
      </c>
      <c r="C6" s="5" t="s">
        <v>105</v>
      </c>
      <c r="D6" s="5" t="s">
        <v>106</v>
      </c>
      <c r="E6" s="5" t="s">
        <v>86</v>
      </c>
      <c r="F6" s="5" t="n">
        <v>11</v>
      </c>
      <c r="G6" s="5" t="n">
        <v>6</v>
      </c>
      <c r="H6" s="6" t="str">
        <f aca="false">IF(N6="","",N6&amp;IF(AND(MOD(N6,100)&gt;=11,MOD(N6,100)&lt;=13),"th",CHOOSE(MIN(5,MOD(N6,10)+1),"th","st","nd","rd","th")))</f>
        <v>5th</v>
      </c>
      <c r="I6" s="5" t="s">
        <v>87</v>
      </c>
      <c r="J6" s="6" t="n">
        <f aca="false">IFERROR(INDEX(Rounds!$A:$A,MATCH(I6,Rounds!$B:$B,0)),"ADD LEAGUE TO ROUNDS")</f>
        <v>1</v>
      </c>
      <c r="K6" s="6" t="n">
        <f aca="false">IFERROR(VALUE(LEFT(E6,FIND(" - ",E6)-1)),"")</f>
        <v>1</v>
      </c>
      <c r="L6" s="5" t="s">
        <v>107</v>
      </c>
      <c r="N6" s="6" t="n">
        <f aca="false">IF(F6="","",1+COUNTIFS($J:$J,J6,$K:$K,K6,$F:$F,"&gt;"&amp;F6)+COUNTIFS($J:$J,J6,$K:$K,K6,$F:$F,F6,$G:$G,"&gt;"&amp;G6))</f>
        <v>5</v>
      </c>
      <c r="O6" s="6" t="n">
        <f aca="false">IF(L6="","",SUMIFS(Votes!$E:$E,Votes!$A:$A,J6,Votes!$B:$B,K6,Votes!$D:$D,L6))</f>
        <v>11</v>
      </c>
      <c r="P6" s="6" t="n">
        <f aca="false">IF(L6="","",COUNTIFS(Votes!$A:$A,J6,Votes!$B:$B,K6,Votes!$D:$D,L6))</f>
        <v>6</v>
      </c>
      <c r="Q6" s="7" t="str">
        <f aca="false">IF(F6="","Unscored",IF(O6="","No URI",IF(AND(F6=0,O6=0),"Zero-vote",IF(AND(F6=O6,G6=P6),"OK",IF(AND(F6=0,O6&gt;0,COUNTIFS(Votes!$A:$A,J6,Votes!$B:$B,K6,Votes!$C:$C,D6)=0),"Forfeited","Mismatch")))))</f>
        <v>OK</v>
      </c>
      <c r="R6" s="6" t="n">
        <f aca="false">MAX(IF(L6&lt;&gt;"",COUNTIF($L:$L,L6),0),COUNTIFS($A:$A,A6,$B:$B,B6))</f>
        <v>1</v>
      </c>
      <c r="S6" s="6" t="str">
        <f aca="false">IF(R6&gt;1,COUNTIF($R$2:R6,"&gt;1"),"")</f>
        <v/>
      </c>
      <c r="T6" s="6" t="str">
        <f aca="false">IF(L6="","",J6&amp;"|"&amp;K6&amp;"|"&amp;L6)</f>
        <v>1|1|spotify:track:3hZIvVYZWsuFpdWdXQFgKx</v>
      </c>
      <c r="U6" s="6" t="str">
        <f aca="false">IF(C6="","",IFERROR(INDEX(Lists!$F:$F,MATCH(C6,Lists!$E:$E,0)),"Unmapped"))</f>
        <v>Metal</v>
      </c>
    </row>
    <row r="7" customFormat="false" ht="15" hidden="false" customHeight="false" outlineLevel="0" collapsed="false">
      <c r="A7" s="5" t="s">
        <v>108</v>
      </c>
      <c r="B7" s="5" t="s">
        <v>109</v>
      </c>
      <c r="C7" s="5" t="s">
        <v>110</v>
      </c>
      <c r="D7" s="5" t="s">
        <v>111</v>
      </c>
      <c r="E7" s="5" t="s">
        <v>86</v>
      </c>
      <c r="F7" s="5" t="n">
        <v>10</v>
      </c>
      <c r="G7" s="5" t="n">
        <v>8</v>
      </c>
      <c r="H7" s="6" t="str">
        <f aca="false">IF(N7="","",N7&amp;IF(AND(MOD(N7,100)&gt;=11,MOD(N7,100)&lt;=13),"th",CHOOSE(MIN(5,MOD(N7,10)+1),"th","st","nd","rd","th")))</f>
        <v>6th</v>
      </c>
      <c r="I7" s="5" t="s">
        <v>87</v>
      </c>
      <c r="J7" s="6" t="n">
        <f aca="false">IFERROR(INDEX(Rounds!$A:$A,MATCH(I7,Rounds!$B:$B,0)),"ADD LEAGUE TO ROUNDS")</f>
        <v>1</v>
      </c>
      <c r="K7" s="6" t="n">
        <f aca="false">IFERROR(VALUE(LEFT(E7,FIND(" - ",E7)-1)),"")</f>
        <v>1</v>
      </c>
      <c r="L7" s="5" t="s">
        <v>112</v>
      </c>
      <c r="N7" s="6" t="n">
        <f aca="false">IF(F7="","",1+COUNTIFS($J:$J,J7,$K:$K,K7,$F:$F,"&gt;"&amp;F7)+COUNTIFS($J:$J,J7,$K:$K,K7,$F:$F,F7,$G:$G,"&gt;"&amp;G7))</f>
        <v>6</v>
      </c>
      <c r="O7" s="6" t="n">
        <f aca="false">IF(L7="","",SUMIFS(Votes!$E:$E,Votes!$A:$A,J7,Votes!$B:$B,K7,Votes!$D:$D,L7))</f>
        <v>10</v>
      </c>
      <c r="P7" s="6" t="n">
        <f aca="false">IF(L7="","",COUNTIFS(Votes!$A:$A,J7,Votes!$B:$B,K7,Votes!$D:$D,L7))</f>
        <v>8</v>
      </c>
      <c r="Q7" s="7" t="str">
        <f aca="false">IF(F7="","Unscored",IF(O7="","No URI",IF(AND(F7=0,O7=0),"Zero-vote",IF(AND(F7=O7,G7=P7),"OK",IF(AND(F7=0,O7&gt;0,COUNTIFS(Votes!$A:$A,J7,Votes!$B:$B,K7,Votes!$C:$C,D7)=0),"Forfeited","Mismatch")))))</f>
        <v>OK</v>
      </c>
      <c r="R7" s="6" t="n">
        <f aca="false">MAX(IF(L7&lt;&gt;"",COUNTIF($L:$L,L7),0),COUNTIFS($A:$A,A7,$B:$B,B7))</f>
        <v>1</v>
      </c>
      <c r="S7" s="6" t="str">
        <f aca="false">IF(R7&gt;1,COUNTIF($R$2:R7,"&gt;1"),"")</f>
        <v/>
      </c>
      <c r="T7" s="6" t="str">
        <f aca="false">IF(L7="","",J7&amp;"|"&amp;K7&amp;"|"&amp;L7)</f>
        <v>1|1|spotify:track:5FtOZv6MB6IWL2DneVYvoe</v>
      </c>
      <c r="U7" s="6" t="str">
        <f aca="false">IF(C7="","",IFERROR(INDEX(Lists!$F:$F,MATCH(C7,Lists!$E:$E,0)),"Unmapped"))</f>
        <v>Hip-Hop/Rap</v>
      </c>
    </row>
    <row r="8" customFormat="false" ht="15" hidden="false" customHeight="false" outlineLevel="0" collapsed="false">
      <c r="A8" s="5" t="s">
        <v>113</v>
      </c>
      <c r="B8" s="5" t="s">
        <v>114</v>
      </c>
      <c r="C8" s="5" t="s">
        <v>115</v>
      </c>
      <c r="D8" s="5" t="s">
        <v>116</v>
      </c>
      <c r="E8" s="5" t="s">
        <v>86</v>
      </c>
      <c r="F8" s="5" t="n">
        <v>9</v>
      </c>
      <c r="G8" s="5" t="n">
        <v>6</v>
      </c>
      <c r="H8" s="6" t="str">
        <f aca="false">IF(N8="","",N8&amp;IF(AND(MOD(N8,100)&gt;=11,MOD(N8,100)&lt;=13),"th",CHOOSE(MIN(5,MOD(N8,10)+1),"th","st","nd","rd","th")))</f>
        <v>7th</v>
      </c>
      <c r="I8" s="5" t="s">
        <v>87</v>
      </c>
      <c r="J8" s="6" t="n">
        <f aca="false">IFERROR(INDEX(Rounds!$A:$A,MATCH(I8,Rounds!$B:$B,0)),"ADD LEAGUE TO ROUNDS")</f>
        <v>1</v>
      </c>
      <c r="K8" s="6" t="n">
        <f aca="false">IFERROR(VALUE(LEFT(E8,FIND(" - ",E8)-1)),"")</f>
        <v>1</v>
      </c>
      <c r="L8" s="5" t="s">
        <v>117</v>
      </c>
      <c r="N8" s="6" t="n">
        <f aca="false">IF(F8="","",1+COUNTIFS($J:$J,J8,$K:$K,K8,$F:$F,"&gt;"&amp;F8)+COUNTIFS($J:$J,J8,$K:$K,K8,$F:$F,F8,$G:$G,"&gt;"&amp;G8))</f>
        <v>7</v>
      </c>
      <c r="O8" s="6" t="n">
        <f aca="false">IF(L8="","",SUMIFS(Votes!$E:$E,Votes!$A:$A,J8,Votes!$B:$B,K8,Votes!$D:$D,L8))</f>
        <v>9</v>
      </c>
      <c r="P8" s="6" t="n">
        <f aca="false">IF(L8="","",COUNTIFS(Votes!$A:$A,J8,Votes!$B:$B,K8,Votes!$D:$D,L8))</f>
        <v>6</v>
      </c>
      <c r="Q8" s="7" t="str">
        <f aca="false">IF(F8="","Unscored",IF(O8="","No URI",IF(AND(F8=0,O8=0),"Zero-vote",IF(AND(F8=O8,G8=P8),"OK",IF(AND(F8=0,O8&gt;0,COUNTIFS(Votes!$A:$A,J8,Votes!$B:$B,K8,Votes!$C:$C,D8)=0),"Forfeited","Mismatch")))))</f>
        <v>OK</v>
      </c>
      <c r="R8" s="6" t="n">
        <f aca="false">MAX(IF(L8&lt;&gt;"",COUNTIF($L:$L,L8),0),COUNTIFS($A:$A,A8,$B:$B,B8))</f>
        <v>1</v>
      </c>
      <c r="S8" s="6" t="str">
        <f aca="false">IF(R8&gt;1,COUNTIF($R$2:R8,"&gt;1"),"")</f>
        <v/>
      </c>
      <c r="T8" s="6" t="str">
        <f aca="false">IF(L8="","",J8&amp;"|"&amp;K8&amp;"|"&amp;L8)</f>
        <v>1|1|spotify:track:1GC1MIaRMW3kfVK9VyD5Ii</v>
      </c>
      <c r="U8" s="6" t="str">
        <f aca="false">IF(C8="","",IFERROR(INDEX(Lists!$F:$F,MATCH(C8,Lists!$E:$E,0)),"Unmapped"))</f>
        <v>Electronic/Dance</v>
      </c>
    </row>
    <row r="9" customFormat="false" ht="15" hidden="false" customHeight="false" outlineLevel="0" collapsed="false">
      <c r="A9" s="5" t="s">
        <v>118</v>
      </c>
      <c r="B9" s="5" t="s">
        <v>104</v>
      </c>
      <c r="C9" s="5" t="s">
        <v>105</v>
      </c>
      <c r="D9" s="5" t="s">
        <v>119</v>
      </c>
      <c r="E9" s="5" t="s">
        <v>86</v>
      </c>
      <c r="F9" s="5" t="n">
        <v>8</v>
      </c>
      <c r="G9" s="5" t="n">
        <v>5</v>
      </c>
      <c r="H9" s="6" t="str">
        <f aca="false">IF(N9="","",N9&amp;IF(AND(MOD(N9,100)&gt;=11,MOD(N9,100)&lt;=13),"th",CHOOSE(MIN(5,MOD(N9,10)+1),"th","st","nd","rd","th")))</f>
        <v>8th</v>
      </c>
      <c r="I9" s="5" t="s">
        <v>87</v>
      </c>
      <c r="J9" s="6" t="n">
        <f aca="false">IFERROR(INDEX(Rounds!$A:$A,MATCH(I9,Rounds!$B:$B,0)),"ADD LEAGUE TO ROUNDS")</f>
        <v>1</v>
      </c>
      <c r="K9" s="6" t="n">
        <f aca="false">IFERROR(VALUE(LEFT(E9,FIND(" - ",E9)-1)),"")</f>
        <v>1</v>
      </c>
      <c r="L9" s="5" t="s">
        <v>120</v>
      </c>
      <c r="N9" s="6" t="n">
        <f aca="false">IF(F9="","",1+COUNTIFS($J:$J,J9,$K:$K,K9,$F:$F,"&gt;"&amp;F9)+COUNTIFS($J:$J,J9,$K:$K,K9,$F:$F,F9,$G:$G,"&gt;"&amp;G9))</f>
        <v>8</v>
      </c>
      <c r="O9" s="6" t="n">
        <f aca="false">IF(L9="","",SUMIFS(Votes!$E:$E,Votes!$A:$A,J9,Votes!$B:$B,K9,Votes!$D:$D,L9))</f>
        <v>8</v>
      </c>
      <c r="P9" s="6" t="n">
        <f aca="false">IF(L9="","",COUNTIFS(Votes!$A:$A,J9,Votes!$B:$B,K9,Votes!$D:$D,L9))</f>
        <v>5</v>
      </c>
      <c r="Q9" s="7" t="str">
        <f aca="false">IF(F9="","Unscored",IF(O9="","No URI",IF(AND(F9=0,O9=0),"Zero-vote",IF(AND(F9=O9,G9=P9),"OK",IF(AND(F9=0,O9&gt;0,COUNTIFS(Votes!$A:$A,J9,Votes!$B:$B,K9,Votes!$C:$C,D9)=0),"Forfeited","Mismatch")))))</f>
        <v>OK</v>
      </c>
      <c r="R9" s="6" t="n">
        <f aca="false">MAX(IF(L9&lt;&gt;"",COUNTIF($L:$L,L9),0),COUNTIFS($A:$A,A9,$B:$B,B9))</f>
        <v>1</v>
      </c>
      <c r="S9" s="6" t="str">
        <f aca="false">IF(R9&gt;1,COUNTIF($R$2:R9,"&gt;1"),"")</f>
        <v/>
      </c>
      <c r="T9" s="6" t="str">
        <f aca="false">IF(L9="","",J9&amp;"|"&amp;K9&amp;"|"&amp;L9)</f>
        <v>1|1|spotify:track:4mxiv6HQfhqgIuN5iOONQd</v>
      </c>
      <c r="U9" s="6" t="str">
        <f aca="false">IF(C9="","",IFERROR(INDEX(Lists!$F:$F,MATCH(C9,Lists!$E:$E,0)),"Unmapped"))</f>
        <v>Metal</v>
      </c>
    </row>
    <row r="10" customFormat="false" ht="15" hidden="false" customHeight="false" outlineLevel="0" collapsed="false">
      <c r="A10" s="5" t="s">
        <v>121</v>
      </c>
      <c r="B10" s="5" t="s">
        <v>122</v>
      </c>
      <c r="C10" s="5" t="s">
        <v>84</v>
      </c>
      <c r="D10" s="5" t="s">
        <v>123</v>
      </c>
      <c r="E10" s="5" t="s">
        <v>86</v>
      </c>
      <c r="F10" s="5" t="n">
        <v>8</v>
      </c>
      <c r="G10" s="5" t="n">
        <v>5</v>
      </c>
      <c r="H10" s="6" t="str">
        <f aca="false">IF(N10="","",N10&amp;IF(AND(MOD(N10,100)&gt;=11,MOD(N10,100)&lt;=13),"th",CHOOSE(MIN(5,MOD(N10,10)+1),"th","st","nd","rd","th")))</f>
        <v>8th</v>
      </c>
      <c r="I10" s="5" t="s">
        <v>87</v>
      </c>
      <c r="J10" s="6" t="n">
        <f aca="false">IFERROR(INDEX(Rounds!$A:$A,MATCH(I10,Rounds!$B:$B,0)),"ADD LEAGUE TO ROUNDS")</f>
        <v>1</v>
      </c>
      <c r="K10" s="6" t="n">
        <f aca="false">IFERROR(VALUE(LEFT(E10,FIND(" - ",E10)-1)),"")</f>
        <v>1</v>
      </c>
      <c r="L10" s="5" t="s">
        <v>124</v>
      </c>
      <c r="N10" s="6" t="n">
        <f aca="false">IF(F10="","",1+COUNTIFS($J:$J,J10,$K:$K,K10,$F:$F,"&gt;"&amp;F10)+COUNTIFS($J:$J,J10,$K:$K,K10,$F:$F,F10,$G:$G,"&gt;"&amp;G10))</f>
        <v>8</v>
      </c>
      <c r="O10" s="6" t="n">
        <f aca="false">IF(L10="","",SUMIFS(Votes!$E:$E,Votes!$A:$A,J10,Votes!$B:$B,K10,Votes!$D:$D,L10))</f>
        <v>8</v>
      </c>
      <c r="P10" s="6" t="n">
        <f aca="false">IF(L10="","",COUNTIFS(Votes!$A:$A,J10,Votes!$B:$B,K10,Votes!$D:$D,L10))</f>
        <v>5</v>
      </c>
      <c r="Q10" s="7" t="str">
        <f aca="false">IF(F10="","Unscored",IF(O10="","No URI",IF(AND(F10=0,O10=0),"Zero-vote",IF(AND(F10=O10,G10=P10),"OK",IF(AND(F10=0,O10&gt;0,COUNTIFS(Votes!$A:$A,J10,Votes!$B:$B,K10,Votes!$C:$C,D10)=0),"Forfeited","Mismatch")))))</f>
        <v>OK</v>
      </c>
      <c r="R10" s="6" t="n">
        <f aca="false">MAX(IF(L10&lt;&gt;"",COUNTIF($L:$L,L10),0),COUNTIFS($A:$A,A10,$B:$B,B10))</f>
        <v>1</v>
      </c>
      <c r="S10" s="6" t="str">
        <f aca="false">IF(R10&gt;1,COUNTIF($R$2:R10,"&gt;1"),"")</f>
        <v/>
      </c>
      <c r="T10" s="6" t="str">
        <f aca="false">IF(L10="","",J10&amp;"|"&amp;K10&amp;"|"&amp;L10)</f>
        <v>1|1|spotify:track:3U5JVgI2x4rDyHGObzJfNf</v>
      </c>
      <c r="U10" s="6" t="str">
        <f aca="false">IF(C10="","",IFERROR(INDEX(Lists!$F:$F,MATCH(C10,Lists!$E:$E,0)),"Unmapped"))</f>
        <v>Pop</v>
      </c>
    </row>
    <row r="11" customFormat="false" ht="15" hidden="false" customHeight="false" outlineLevel="0" collapsed="false">
      <c r="A11" s="5" t="s">
        <v>125</v>
      </c>
      <c r="B11" s="5" t="s">
        <v>126</v>
      </c>
      <c r="C11" s="5" t="s">
        <v>127</v>
      </c>
      <c r="D11" s="5" t="s">
        <v>128</v>
      </c>
      <c r="E11" s="5" t="s">
        <v>86</v>
      </c>
      <c r="F11" s="5" t="n">
        <v>4</v>
      </c>
      <c r="G11" s="5" t="n">
        <v>4</v>
      </c>
      <c r="H11" s="6" t="str">
        <f aca="false">IF(N11="","",N11&amp;IF(AND(MOD(N11,100)&gt;=11,MOD(N11,100)&lt;=13),"th",CHOOSE(MIN(5,MOD(N11,10)+1),"th","st","nd","rd","th")))</f>
        <v>10th</v>
      </c>
      <c r="I11" s="5" t="s">
        <v>87</v>
      </c>
      <c r="J11" s="6" t="n">
        <f aca="false">IFERROR(INDEX(Rounds!$A:$A,MATCH(I11,Rounds!$B:$B,0)),"ADD LEAGUE TO ROUNDS")</f>
        <v>1</v>
      </c>
      <c r="K11" s="6" t="n">
        <f aca="false">IFERROR(VALUE(LEFT(E11,FIND(" - ",E11)-1)),"")</f>
        <v>1</v>
      </c>
      <c r="L11" s="5" t="s">
        <v>129</v>
      </c>
      <c r="N11" s="6" t="n">
        <f aca="false">IF(F11="","",1+COUNTIFS($J:$J,J11,$K:$K,K11,$F:$F,"&gt;"&amp;F11)+COUNTIFS($J:$J,J11,$K:$K,K11,$F:$F,F11,$G:$G,"&gt;"&amp;G11))</f>
        <v>10</v>
      </c>
      <c r="O11" s="6" t="n">
        <f aca="false">IF(L11="","",SUMIFS(Votes!$E:$E,Votes!$A:$A,J11,Votes!$B:$B,K11,Votes!$D:$D,L11))</f>
        <v>4</v>
      </c>
      <c r="P11" s="6" t="n">
        <f aca="false">IF(L11="","",COUNTIFS(Votes!$A:$A,J11,Votes!$B:$B,K11,Votes!$D:$D,L11))</f>
        <v>4</v>
      </c>
      <c r="Q11" s="7" t="str">
        <f aca="false">IF(F11="","Unscored",IF(O11="","No URI",IF(AND(F11=0,O11=0),"Zero-vote",IF(AND(F11=O11,G11=P11),"OK",IF(AND(F11=0,O11&gt;0,COUNTIFS(Votes!$A:$A,J11,Votes!$B:$B,K11,Votes!$C:$C,D11)=0),"Forfeited","Mismatch")))))</f>
        <v>OK</v>
      </c>
      <c r="R11" s="6" t="n">
        <f aca="false">MAX(IF(L11&lt;&gt;"",COUNTIF($L:$L,L11),0),COUNTIFS($A:$A,A11,$B:$B,B11))</f>
        <v>1</v>
      </c>
      <c r="S11" s="6" t="str">
        <f aca="false">IF(R11&gt;1,COUNTIF($R$2:R11,"&gt;1"),"")</f>
        <v/>
      </c>
      <c r="T11" s="6" t="str">
        <f aca="false">IF(L11="","",J11&amp;"|"&amp;K11&amp;"|"&amp;L11)</f>
        <v>1|1|spotify:track:1XwAKjAZ1xDZOcuyZoqce4</v>
      </c>
      <c r="U11" s="6" t="str">
        <f aca="false">IF(C11="","",IFERROR(INDEX(Lists!$F:$F,MATCH(C11,Lists!$E:$E,0)),"Unmapped"))</f>
        <v>Jazz/Vocal</v>
      </c>
    </row>
    <row r="12" customFormat="false" ht="15" hidden="false" customHeight="false" outlineLevel="0" collapsed="false">
      <c r="A12" s="5" t="s">
        <v>130</v>
      </c>
      <c r="B12" s="5" t="s">
        <v>131</v>
      </c>
      <c r="C12" s="5" t="s">
        <v>132</v>
      </c>
      <c r="D12" s="5" t="s">
        <v>133</v>
      </c>
      <c r="E12" s="5" t="s">
        <v>86</v>
      </c>
      <c r="F12" s="5" t="n">
        <v>4</v>
      </c>
      <c r="G12" s="5" t="n">
        <v>3</v>
      </c>
      <c r="H12" s="6" t="str">
        <f aca="false">IF(N12="","",N12&amp;IF(AND(MOD(N12,100)&gt;=11,MOD(N12,100)&lt;=13),"th",CHOOSE(MIN(5,MOD(N12,10)+1),"th","st","nd","rd","th")))</f>
        <v>11th</v>
      </c>
      <c r="I12" s="5" t="s">
        <v>87</v>
      </c>
      <c r="J12" s="6" t="n">
        <f aca="false">IFERROR(INDEX(Rounds!$A:$A,MATCH(I12,Rounds!$B:$B,0)),"ADD LEAGUE TO ROUNDS")</f>
        <v>1</v>
      </c>
      <c r="K12" s="6" t="n">
        <f aca="false">IFERROR(VALUE(LEFT(E12,FIND(" - ",E12)-1)),"")</f>
        <v>1</v>
      </c>
      <c r="L12" s="5" t="s">
        <v>134</v>
      </c>
      <c r="N12" s="6" t="n">
        <f aca="false">IF(F12="","",1+COUNTIFS($J:$J,J12,$K:$K,K12,$F:$F,"&gt;"&amp;F12)+COUNTIFS($J:$J,J12,$K:$K,K12,$F:$F,F12,$G:$G,"&gt;"&amp;G12))</f>
        <v>11</v>
      </c>
      <c r="O12" s="6" t="n">
        <f aca="false">IF(L12="","",SUMIFS(Votes!$E:$E,Votes!$A:$A,J12,Votes!$B:$B,K12,Votes!$D:$D,L12))</f>
        <v>4</v>
      </c>
      <c r="P12" s="6" t="n">
        <f aca="false">IF(L12="","",COUNTIFS(Votes!$A:$A,J12,Votes!$B:$B,K12,Votes!$D:$D,L12))</f>
        <v>3</v>
      </c>
      <c r="Q12" s="7" t="str">
        <f aca="false">IF(F12="","Unscored",IF(O12="","No URI",IF(AND(F12=0,O12=0),"Zero-vote",IF(AND(F12=O12,G12=P12),"OK",IF(AND(F12=0,O12&gt;0,COUNTIFS(Votes!$A:$A,J12,Votes!$B:$B,K12,Votes!$C:$C,D12)=0),"Forfeited","Mismatch")))))</f>
        <v>OK</v>
      </c>
      <c r="R12" s="6" t="n">
        <f aca="false">MAX(IF(L12&lt;&gt;"",COUNTIF($L:$L,L12),0),COUNTIFS($A:$A,A12,$B:$B,B12))</f>
        <v>1</v>
      </c>
      <c r="S12" s="6" t="str">
        <f aca="false">IF(R12&gt;1,COUNTIF($R$2:R12,"&gt;1"),"")</f>
        <v/>
      </c>
      <c r="T12" s="6" t="str">
        <f aca="false">IF(L12="","",J12&amp;"|"&amp;K12&amp;"|"&amp;L12)</f>
        <v>1|1|spotify:track:5Qn0AlYJHOKogfbE36or9V</v>
      </c>
      <c r="U12" s="6" t="str">
        <f aca="false">IF(C12="","",IFERROR(INDEX(Lists!$F:$F,MATCH(C12,Lists!$E:$E,0)),"Unmapped"))</f>
        <v>Soundtrack/Musical</v>
      </c>
    </row>
    <row r="13" customFormat="false" ht="15" hidden="false" customHeight="false" outlineLevel="0" collapsed="false">
      <c r="A13" s="5" t="s">
        <v>135</v>
      </c>
      <c r="B13" s="5" t="s">
        <v>136</v>
      </c>
      <c r="C13" s="5" t="s">
        <v>132</v>
      </c>
      <c r="D13" s="5" t="s">
        <v>101</v>
      </c>
      <c r="E13" s="5" t="s">
        <v>137</v>
      </c>
      <c r="F13" s="5" t="n">
        <v>16</v>
      </c>
      <c r="G13" s="5" t="n">
        <v>7</v>
      </c>
      <c r="H13" s="6" t="str">
        <f aca="false">IF(N13="","",N13&amp;IF(AND(MOD(N13,100)&gt;=11,MOD(N13,100)&lt;=13),"th",CHOOSE(MIN(5,MOD(N13,10)+1),"th","st","nd","rd","th")))</f>
        <v>1st</v>
      </c>
      <c r="I13" s="5" t="s">
        <v>87</v>
      </c>
      <c r="J13" s="6" t="n">
        <f aca="false">IFERROR(INDEX(Rounds!$A:$A,MATCH(I13,Rounds!$B:$B,0)),"ADD LEAGUE TO ROUNDS")</f>
        <v>1</v>
      </c>
      <c r="K13" s="6" t="n">
        <f aca="false">IFERROR(VALUE(LEFT(E13,FIND(" - ",E13)-1)),"")</f>
        <v>2</v>
      </c>
      <c r="L13" s="5" t="s">
        <v>138</v>
      </c>
      <c r="N13" s="6" t="n">
        <f aca="false">IF(F13="","",1+COUNTIFS($J:$J,J13,$K:$K,K13,$F:$F,"&gt;"&amp;F13)+COUNTIFS($J:$J,J13,$K:$K,K13,$F:$F,F13,$G:$G,"&gt;"&amp;G13))</f>
        <v>1</v>
      </c>
      <c r="O13" s="6" t="n">
        <f aca="false">IF(L13="","",SUMIFS(Votes!$E:$E,Votes!$A:$A,J13,Votes!$B:$B,K13,Votes!$D:$D,L13))</f>
        <v>16</v>
      </c>
      <c r="P13" s="6" t="n">
        <f aca="false">IF(L13="","",COUNTIFS(Votes!$A:$A,J13,Votes!$B:$B,K13,Votes!$D:$D,L13))</f>
        <v>7</v>
      </c>
      <c r="Q13" s="7" t="str">
        <f aca="false">IF(F13="","Unscored",IF(O13="","No URI",IF(AND(F13=0,O13=0),"Zero-vote",IF(AND(F13=O13,G13=P13),"OK",IF(AND(F13=0,O13&gt;0,COUNTIFS(Votes!$A:$A,J13,Votes!$B:$B,K13,Votes!$C:$C,D13)=0),"Forfeited","Mismatch")))))</f>
        <v>OK</v>
      </c>
      <c r="R13" s="6" t="n">
        <f aca="false">MAX(IF(L13&lt;&gt;"",COUNTIF($L:$L,L13),0),COUNTIFS($A:$A,A13,$B:$B,B13))</f>
        <v>1</v>
      </c>
      <c r="S13" s="6" t="str">
        <f aca="false">IF(R13&gt;1,COUNTIF($R$2:R13,"&gt;1"),"")</f>
        <v/>
      </c>
      <c r="T13" s="6" t="str">
        <f aca="false">IF(L13="","",J13&amp;"|"&amp;K13&amp;"|"&amp;L13)</f>
        <v>1|2|spotify:track:59h6Uw3m5ClwHnEcKXh8hg</v>
      </c>
      <c r="U13" s="6" t="str">
        <f aca="false">IF(C13="","",IFERROR(INDEX(Lists!$F:$F,MATCH(C13,Lists!$E:$E,0)),"Unmapped"))</f>
        <v>Soundtrack/Musical</v>
      </c>
    </row>
    <row r="14" customFormat="false" ht="15" hidden="false" customHeight="false" outlineLevel="0" collapsed="false">
      <c r="A14" s="5" t="s">
        <v>139</v>
      </c>
      <c r="B14" s="5" t="s">
        <v>140</v>
      </c>
      <c r="C14" s="5" t="s">
        <v>91</v>
      </c>
      <c r="D14" s="5" t="s">
        <v>128</v>
      </c>
      <c r="E14" s="5" t="s">
        <v>137</v>
      </c>
      <c r="F14" s="5" t="n">
        <v>13</v>
      </c>
      <c r="G14" s="5" t="n">
        <v>8</v>
      </c>
      <c r="H14" s="6" t="str">
        <f aca="false">IF(N14="","",N14&amp;IF(AND(MOD(N14,100)&gt;=11,MOD(N14,100)&lt;=13),"th",CHOOSE(MIN(5,MOD(N14,10)+1),"th","st","nd","rd","th")))</f>
        <v>2nd</v>
      </c>
      <c r="I14" s="5" t="s">
        <v>87</v>
      </c>
      <c r="J14" s="6" t="n">
        <f aca="false">IFERROR(INDEX(Rounds!$A:$A,MATCH(I14,Rounds!$B:$B,0)),"ADD LEAGUE TO ROUNDS")</f>
        <v>1</v>
      </c>
      <c r="K14" s="6" t="n">
        <f aca="false">IFERROR(VALUE(LEFT(E14,FIND(" - ",E14)-1)),"")</f>
        <v>2</v>
      </c>
      <c r="L14" s="5" t="s">
        <v>141</v>
      </c>
      <c r="N14" s="6" t="n">
        <f aca="false">IF(F14="","",1+COUNTIFS($J:$J,J14,$K:$K,K14,$F:$F,"&gt;"&amp;F14)+COUNTIFS($J:$J,J14,$K:$K,K14,$F:$F,F14,$G:$G,"&gt;"&amp;G14))</f>
        <v>2</v>
      </c>
      <c r="O14" s="6" t="n">
        <f aca="false">IF(L14="","",SUMIFS(Votes!$E:$E,Votes!$A:$A,J14,Votes!$B:$B,K14,Votes!$D:$D,L14))</f>
        <v>13</v>
      </c>
      <c r="P14" s="6" t="n">
        <f aca="false">IF(L14="","",COUNTIFS(Votes!$A:$A,J14,Votes!$B:$B,K14,Votes!$D:$D,L14))</f>
        <v>8</v>
      </c>
      <c r="Q14" s="7" t="str">
        <f aca="false">IF(F14="","Unscored",IF(O14="","No URI",IF(AND(F14=0,O14=0),"Zero-vote",IF(AND(F14=O14,G14=P14),"OK",IF(AND(F14=0,O14&gt;0,COUNTIFS(Votes!$A:$A,J14,Votes!$B:$B,K14,Votes!$C:$C,D14)=0),"Forfeited","Mismatch")))))</f>
        <v>OK</v>
      </c>
      <c r="R14" s="6" t="n">
        <f aca="false">MAX(IF(L14&lt;&gt;"",COUNTIF($L:$L,L14),0),COUNTIFS($A:$A,A14,$B:$B,B14))</f>
        <v>1</v>
      </c>
      <c r="S14" s="6" t="str">
        <f aca="false">IF(R14&gt;1,COUNTIF($R$2:R14,"&gt;1"),"")</f>
        <v/>
      </c>
      <c r="T14" s="6" t="str">
        <f aca="false">IF(L14="","",J14&amp;"|"&amp;K14&amp;"|"&amp;L14)</f>
        <v>1|2|spotify:track:0Ti2dlF2xLjXblvdU5fCxM</v>
      </c>
      <c r="U14" s="6" t="str">
        <f aca="false">IF(C14="","",IFERROR(INDEX(Lists!$F:$F,MATCH(C14,Lists!$E:$E,0)),"Unmapped"))</f>
        <v>Rock</v>
      </c>
    </row>
    <row r="15" customFormat="false" ht="15" hidden="false" customHeight="false" outlineLevel="0" collapsed="false">
      <c r="A15" s="5" t="s">
        <v>142</v>
      </c>
      <c r="B15" s="5" t="s">
        <v>143</v>
      </c>
      <c r="C15" s="5" t="s">
        <v>110</v>
      </c>
      <c r="D15" s="5" t="s">
        <v>133</v>
      </c>
      <c r="E15" s="5" t="s">
        <v>137</v>
      </c>
      <c r="F15" s="5" t="n">
        <v>12</v>
      </c>
      <c r="G15" s="5" t="n">
        <v>8</v>
      </c>
      <c r="H15" s="6" t="str">
        <f aca="false">IF(N15="","",N15&amp;IF(AND(MOD(N15,100)&gt;=11,MOD(N15,100)&lt;=13),"th",CHOOSE(MIN(5,MOD(N15,10)+1),"th","st","nd","rd","th")))</f>
        <v>3rd</v>
      </c>
      <c r="I15" s="5" t="s">
        <v>87</v>
      </c>
      <c r="J15" s="6" t="n">
        <f aca="false">IFERROR(INDEX(Rounds!$A:$A,MATCH(I15,Rounds!$B:$B,0)),"ADD LEAGUE TO ROUNDS")</f>
        <v>1</v>
      </c>
      <c r="K15" s="6" t="n">
        <f aca="false">IFERROR(VALUE(LEFT(E15,FIND(" - ",E15)-1)),"")</f>
        <v>2</v>
      </c>
      <c r="L15" s="5" t="s">
        <v>144</v>
      </c>
      <c r="N15" s="6" t="n">
        <f aca="false">IF(F15="","",1+COUNTIFS($J:$J,J15,$K:$K,K15,$F:$F,"&gt;"&amp;F15)+COUNTIFS($J:$J,J15,$K:$K,K15,$F:$F,F15,$G:$G,"&gt;"&amp;G15))</f>
        <v>3</v>
      </c>
      <c r="O15" s="6" t="n">
        <f aca="false">IF(L15="","",SUMIFS(Votes!$E:$E,Votes!$A:$A,J15,Votes!$B:$B,K15,Votes!$D:$D,L15))</f>
        <v>12</v>
      </c>
      <c r="P15" s="6" t="n">
        <f aca="false">IF(L15="","",COUNTIFS(Votes!$A:$A,J15,Votes!$B:$B,K15,Votes!$D:$D,L15))</f>
        <v>8</v>
      </c>
      <c r="Q15" s="7" t="str">
        <f aca="false">IF(F15="","Unscored",IF(O15="","No URI",IF(AND(F15=0,O15=0),"Zero-vote",IF(AND(F15=O15,G15=P15),"OK",IF(AND(F15=0,O15&gt;0,COUNTIFS(Votes!$A:$A,J15,Votes!$B:$B,K15,Votes!$C:$C,D15)=0),"Forfeited","Mismatch")))))</f>
        <v>OK</v>
      </c>
      <c r="R15" s="6" t="n">
        <f aca="false">MAX(IF(L15&lt;&gt;"",COUNTIF($L:$L,L15),0),COUNTIFS($A:$A,A15,$B:$B,B15))</f>
        <v>1</v>
      </c>
      <c r="S15" s="6" t="str">
        <f aca="false">IF(R15&gt;1,COUNTIF($R$2:R15,"&gt;1"),"")</f>
        <v/>
      </c>
      <c r="T15" s="6" t="str">
        <f aca="false">IF(L15="","",J15&amp;"|"&amp;K15&amp;"|"&amp;L15)</f>
        <v>1|2|spotify:track:27K0tchvM5KszaSJEX7fj5</v>
      </c>
      <c r="U15" s="6" t="str">
        <f aca="false">IF(C15="","",IFERROR(INDEX(Lists!$F:$F,MATCH(C15,Lists!$E:$E,0)),"Unmapped"))</f>
        <v>Hip-Hop/Rap</v>
      </c>
    </row>
    <row r="16" customFormat="false" ht="15" hidden="false" customHeight="false" outlineLevel="0" collapsed="false">
      <c r="A16" s="5" t="s">
        <v>145</v>
      </c>
      <c r="B16" s="5" t="s">
        <v>146</v>
      </c>
      <c r="C16" s="5" t="s">
        <v>84</v>
      </c>
      <c r="D16" s="5" t="s">
        <v>92</v>
      </c>
      <c r="E16" s="5" t="s">
        <v>137</v>
      </c>
      <c r="F16" s="5" t="n">
        <v>12</v>
      </c>
      <c r="G16" s="5" t="n">
        <v>7</v>
      </c>
      <c r="H16" s="6" t="str">
        <f aca="false">IF(N16="","",N16&amp;IF(AND(MOD(N16,100)&gt;=11,MOD(N16,100)&lt;=13),"th",CHOOSE(MIN(5,MOD(N16,10)+1),"th","st","nd","rd","th")))</f>
        <v>4th</v>
      </c>
      <c r="I16" s="5" t="s">
        <v>87</v>
      </c>
      <c r="J16" s="6" t="n">
        <f aca="false">IFERROR(INDEX(Rounds!$A:$A,MATCH(I16,Rounds!$B:$B,0)),"ADD LEAGUE TO ROUNDS")</f>
        <v>1</v>
      </c>
      <c r="K16" s="6" t="n">
        <f aca="false">IFERROR(VALUE(LEFT(E16,FIND(" - ",E16)-1)),"")</f>
        <v>2</v>
      </c>
      <c r="L16" s="5" t="s">
        <v>147</v>
      </c>
      <c r="N16" s="6" t="n">
        <f aca="false">IF(F16="","",1+COUNTIFS($J:$J,J16,$K:$K,K16,$F:$F,"&gt;"&amp;F16)+COUNTIFS($J:$J,J16,$K:$K,K16,$F:$F,F16,$G:$G,"&gt;"&amp;G16))</f>
        <v>4</v>
      </c>
      <c r="O16" s="6" t="n">
        <f aca="false">IF(L16="","",SUMIFS(Votes!$E:$E,Votes!$A:$A,J16,Votes!$B:$B,K16,Votes!$D:$D,L16))</f>
        <v>12</v>
      </c>
      <c r="P16" s="6" t="n">
        <f aca="false">IF(L16="","",COUNTIFS(Votes!$A:$A,J16,Votes!$B:$B,K16,Votes!$D:$D,L16))</f>
        <v>7</v>
      </c>
      <c r="Q16" s="7" t="str">
        <f aca="false">IF(F16="","Unscored",IF(O16="","No URI",IF(AND(F16=0,O16=0),"Zero-vote",IF(AND(F16=O16,G16=P16),"OK",IF(AND(F16=0,O16&gt;0,COUNTIFS(Votes!$A:$A,J16,Votes!$B:$B,K16,Votes!$C:$C,D16)=0),"Forfeited","Mismatch")))))</f>
        <v>OK</v>
      </c>
      <c r="R16" s="6" t="n">
        <f aca="false">MAX(IF(L16&lt;&gt;"",COUNTIF($L:$L,L16),0),COUNTIFS($A:$A,A16,$B:$B,B16))</f>
        <v>1</v>
      </c>
      <c r="S16" s="6" t="str">
        <f aca="false">IF(R16&gt;1,COUNTIF($R$2:R16,"&gt;1"),"")</f>
        <v/>
      </c>
      <c r="T16" s="6" t="str">
        <f aca="false">IF(L16="","",J16&amp;"|"&amp;K16&amp;"|"&amp;L16)</f>
        <v>1|2|spotify:track:23V08GxMeaZNSf8Gy6KF6t</v>
      </c>
      <c r="U16" s="6" t="str">
        <f aca="false">IF(C16="","",IFERROR(INDEX(Lists!$F:$F,MATCH(C16,Lists!$E:$E,0)),"Unmapped"))</f>
        <v>Pop</v>
      </c>
    </row>
    <row r="17" customFormat="false" ht="15" hidden="false" customHeight="false" outlineLevel="0" collapsed="false">
      <c r="A17" s="5" t="s">
        <v>148</v>
      </c>
      <c r="B17" s="5" t="s">
        <v>149</v>
      </c>
      <c r="C17" s="5" t="s">
        <v>84</v>
      </c>
      <c r="D17" s="5" t="s">
        <v>111</v>
      </c>
      <c r="E17" s="5" t="s">
        <v>137</v>
      </c>
      <c r="F17" s="5" t="n">
        <v>11</v>
      </c>
      <c r="G17" s="5" t="n">
        <v>7</v>
      </c>
      <c r="H17" s="6" t="str">
        <f aca="false">IF(N17="","",N17&amp;IF(AND(MOD(N17,100)&gt;=11,MOD(N17,100)&lt;=13),"th",CHOOSE(MIN(5,MOD(N17,10)+1),"th","st","nd","rd","th")))</f>
        <v>5th</v>
      </c>
      <c r="I17" s="5" t="s">
        <v>87</v>
      </c>
      <c r="J17" s="6" t="n">
        <f aca="false">IFERROR(INDEX(Rounds!$A:$A,MATCH(I17,Rounds!$B:$B,0)),"ADD LEAGUE TO ROUNDS")</f>
        <v>1</v>
      </c>
      <c r="K17" s="6" t="n">
        <f aca="false">IFERROR(VALUE(LEFT(E17,FIND(" - ",E17)-1)),"")</f>
        <v>2</v>
      </c>
      <c r="L17" s="5" t="s">
        <v>150</v>
      </c>
      <c r="N17" s="6" t="n">
        <f aca="false">IF(F17="","",1+COUNTIFS($J:$J,J17,$K:$K,K17,$F:$F,"&gt;"&amp;F17)+COUNTIFS($J:$J,J17,$K:$K,K17,$F:$F,F17,$G:$G,"&gt;"&amp;G17))</f>
        <v>5</v>
      </c>
      <c r="O17" s="6" t="n">
        <f aca="false">IF(L17="","",SUMIFS(Votes!$E:$E,Votes!$A:$A,J17,Votes!$B:$B,K17,Votes!$D:$D,L17))</f>
        <v>11</v>
      </c>
      <c r="P17" s="6" t="n">
        <f aca="false">IF(L17="","",COUNTIFS(Votes!$A:$A,J17,Votes!$B:$B,K17,Votes!$D:$D,L17))</f>
        <v>7</v>
      </c>
      <c r="Q17" s="7" t="str">
        <f aca="false">IF(F17="","Unscored",IF(O17="","No URI",IF(AND(F17=0,O17=0),"Zero-vote",IF(AND(F17=O17,G17=P17),"OK",IF(AND(F17=0,O17&gt;0,COUNTIFS(Votes!$A:$A,J17,Votes!$B:$B,K17,Votes!$C:$C,D17)=0),"Forfeited","Mismatch")))))</f>
        <v>OK</v>
      </c>
      <c r="R17" s="6" t="n">
        <f aca="false">MAX(IF(L17&lt;&gt;"",COUNTIF($L:$L,L17),0),COUNTIFS($A:$A,A17,$B:$B,B17))</f>
        <v>1</v>
      </c>
      <c r="S17" s="6" t="str">
        <f aca="false">IF(R17&gt;1,COUNTIF($R$2:R17,"&gt;1"),"")</f>
        <v/>
      </c>
      <c r="T17" s="6" t="str">
        <f aca="false">IF(L17="","",J17&amp;"|"&amp;K17&amp;"|"&amp;L17)</f>
        <v>1|2|spotify:track:2XsYy0zVhmSxf9qnonc5Lr</v>
      </c>
      <c r="U17" s="6" t="str">
        <f aca="false">IF(C17="","",IFERROR(INDEX(Lists!$F:$F,MATCH(C17,Lists!$E:$E,0)),"Unmapped"))</f>
        <v>Pop</v>
      </c>
    </row>
    <row r="18" customFormat="false" ht="15" hidden="false" customHeight="false" outlineLevel="0" collapsed="false">
      <c r="A18" s="5" t="s">
        <v>151</v>
      </c>
      <c r="B18" s="5" t="s">
        <v>152</v>
      </c>
      <c r="C18" s="5" t="s">
        <v>153</v>
      </c>
      <c r="D18" s="5" t="s">
        <v>116</v>
      </c>
      <c r="E18" s="5" t="s">
        <v>137</v>
      </c>
      <c r="F18" s="5" t="n">
        <v>10</v>
      </c>
      <c r="G18" s="5" t="n">
        <v>7</v>
      </c>
      <c r="H18" s="6" t="str">
        <f aca="false">IF(N18="","",N18&amp;IF(AND(MOD(N18,100)&gt;=11,MOD(N18,100)&lt;=13),"th",CHOOSE(MIN(5,MOD(N18,10)+1),"th","st","nd","rd","th")))</f>
        <v>6th</v>
      </c>
      <c r="I18" s="5" t="s">
        <v>87</v>
      </c>
      <c r="J18" s="6" t="n">
        <f aca="false">IFERROR(INDEX(Rounds!$A:$A,MATCH(I18,Rounds!$B:$B,0)),"ADD LEAGUE TO ROUNDS")</f>
        <v>1</v>
      </c>
      <c r="K18" s="6" t="n">
        <f aca="false">IFERROR(VALUE(LEFT(E18,FIND(" - ",E18)-1)),"")</f>
        <v>2</v>
      </c>
      <c r="L18" s="5" t="s">
        <v>154</v>
      </c>
      <c r="N18" s="6" t="n">
        <f aca="false">IF(F18="","",1+COUNTIFS($J:$J,J18,$K:$K,K18,$F:$F,"&gt;"&amp;F18)+COUNTIFS($J:$J,J18,$K:$K,K18,$F:$F,F18,$G:$G,"&gt;"&amp;G18))</f>
        <v>6</v>
      </c>
      <c r="O18" s="6" t="n">
        <f aca="false">IF(L18="","",SUMIFS(Votes!$E:$E,Votes!$A:$A,J18,Votes!$B:$B,K18,Votes!$D:$D,L18))</f>
        <v>10</v>
      </c>
      <c r="P18" s="6" t="n">
        <f aca="false">IF(L18="","",COUNTIFS(Votes!$A:$A,J18,Votes!$B:$B,K18,Votes!$D:$D,L18))</f>
        <v>7</v>
      </c>
      <c r="Q18" s="7" t="str">
        <f aca="false">IF(F18="","Unscored",IF(O18="","No URI",IF(AND(F18=0,O18=0),"Zero-vote",IF(AND(F18=O18,G18=P18),"OK",IF(AND(F18=0,O18&gt;0,COUNTIFS(Votes!$A:$A,J18,Votes!$B:$B,K18,Votes!$C:$C,D18)=0),"Forfeited","Mismatch")))))</f>
        <v>OK</v>
      </c>
      <c r="R18" s="6" t="n">
        <f aca="false">MAX(IF(L18&lt;&gt;"",COUNTIF($L:$L,L18),0),COUNTIFS($A:$A,A18,$B:$B,B18))</f>
        <v>1</v>
      </c>
      <c r="S18" s="6" t="str">
        <f aca="false">IF(R18&gt;1,COUNTIF($R$2:R18,"&gt;1"),"")</f>
        <v/>
      </c>
      <c r="T18" s="6" t="str">
        <f aca="false">IF(L18="","",J18&amp;"|"&amp;K18&amp;"|"&amp;L18)</f>
        <v>1|2|spotify:track:5VJETUjJ7y46bAz4min5IB</v>
      </c>
      <c r="U18" s="6" t="str">
        <f aca="false">IF(C18="","",IFERROR(INDEX(Lists!$F:$F,MATCH(C18,Lists!$E:$E,0)),"Unmapped"))</f>
        <v>Pop</v>
      </c>
    </row>
    <row r="19" customFormat="false" ht="15" hidden="false" customHeight="false" outlineLevel="0" collapsed="false">
      <c r="A19" s="5" t="s">
        <v>155</v>
      </c>
      <c r="B19" s="5" t="s">
        <v>156</v>
      </c>
      <c r="C19" s="5" t="s">
        <v>132</v>
      </c>
      <c r="D19" s="5" t="s">
        <v>119</v>
      </c>
      <c r="E19" s="5" t="s">
        <v>137</v>
      </c>
      <c r="F19" s="5" t="n">
        <v>9</v>
      </c>
      <c r="G19" s="5" t="n">
        <v>7</v>
      </c>
      <c r="H19" s="6" t="str">
        <f aca="false">IF(N19="","",N19&amp;IF(AND(MOD(N19,100)&gt;=11,MOD(N19,100)&lt;=13),"th",CHOOSE(MIN(5,MOD(N19,10)+1),"th","st","nd","rd","th")))</f>
        <v>7th</v>
      </c>
      <c r="I19" s="5" t="s">
        <v>87</v>
      </c>
      <c r="J19" s="6" t="n">
        <f aca="false">IFERROR(INDEX(Rounds!$A:$A,MATCH(I19,Rounds!$B:$B,0)),"ADD LEAGUE TO ROUNDS")</f>
        <v>1</v>
      </c>
      <c r="K19" s="6" t="n">
        <f aca="false">IFERROR(VALUE(LEFT(E19,FIND(" - ",E19)-1)),"")</f>
        <v>2</v>
      </c>
      <c r="L19" s="5" t="s">
        <v>157</v>
      </c>
      <c r="N19" s="6" t="n">
        <f aca="false">IF(F19="","",1+COUNTIFS($J:$J,J19,$K:$K,K19,$F:$F,"&gt;"&amp;F19)+COUNTIFS($J:$J,J19,$K:$K,K19,$F:$F,F19,$G:$G,"&gt;"&amp;G19))</f>
        <v>7</v>
      </c>
      <c r="O19" s="6" t="n">
        <f aca="false">IF(L19="","",SUMIFS(Votes!$E:$E,Votes!$A:$A,J19,Votes!$B:$B,K19,Votes!$D:$D,L19))</f>
        <v>9</v>
      </c>
      <c r="P19" s="6" t="n">
        <f aca="false">IF(L19="","",COUNTIFS(Votes!$A:$A,J19,Votes!$B:$B,K19,Votes!$D:$D,L19))</f>
        <v>7</v>
      </c>
      <c r="Q19" s="7" t="str">
        <f aca="false">IF(F19="","Unscored",IF(O19="","No URI",IF(AND(F19=0,O19=0),"Zero-vote",IF(AND(F19=O19,G19=P19),"OK",IF(AND(F19=0,O19&gt;0,COUNTIFS(Votes!$A:$A,J19,Votes!$B:$B,K19,Votes!$C:$C,D19)=0),"Forfeited","Mismatch")))))</f>
        <v>OK</v>
      </c>
      <c r="R19" s="6" t="n">
        <f aca="false">MAX(IF(L19&lt;&gt;"",COUNTIF($L:$L,L19),0),COUNTIFS($A:$A,A19,$B:$B,B19))</f>
        <v>1</v>
      </c>
      <c r="S19" s="6" t="str">
        <f aca="false">IF(R19&gt;1,COUNTIF($R$2:R19,"&gt;1"),"")</f>
        <v/>
      </c>
      <c r="T19" s="6" t="str">
        <f aca="false">IF(L19="","",J19&amp;"|"&amp;K19&amp;"|"&amp;L19)</f>
        <v>1|2|spotify:track:4WFeJTXNHIS2wURtwlAkhu</v>
      </c>
      <c r="U19" s="6" t="str">
        <f aca="false">IF(C19="","",IFERROR(INDEX(Lists!$F:$F,MATCH(C19,Lists!$E:$E,0)),"Unmapped"))</f>
        <v>Soundtrack/Musical</v>
      </c>
    </row>
    <row r="20" customFormat="false" ht="15" hidden="false" customHeight="false" outlineLevel="0" collapsed="false">
      <c r="A20" s="5" t="s">
        <v>158</v>
      </c>
      <c r="B20" s="5" t="s">
        <v>159</v>
      </c>
      <c r="C20" s="5" t="s">
        <v>84</v>
      </c>
      <c r="D20" s="5" t="s">
        <v>85</v>
      </c>
      <c r="E20" s="5" t="s">
        <v>137</v>
      </c>
      <c r="F20" s="5" t="n">
        <v>8</v>
      </c>
      <c r="G20" s="5" t="n">
        <v>7</v>
      </c>
      <c r="H20" s="6" t="str">
        <f aca="false">IF(N20="","",N20&amp;IF(AND(MOD(N20,100)&gt;=11,MOD(N20,100)&lt;=13),"th",CHOOSE(MIN(5,MOD(N20,10)+1),"th","st","nd","rd","th")))</f>
        <v>8th</v>
      </c>
      <c r="I20" s="5" t="s">
        <v>87</v>
      </c>
      <c r="J20" s="6" t="n">
        <f aca="false">IFERROR(INDEX(Rounds!$A:$A,MATCH(I20,Rounds!$B:$B,0)),"ADD LEAGUE TO ROUNDS")</f>
        <v>1</v>
      </c>
      <c r="K20" s="6" t="n">
        <f aca="false">IFERROR(VALUE(LEFT(E20,FIND(" - ",E20)-1)),"")</f>
        <v>2</v>
      </c>
      <c r="L20" s="5" t="s">
        <v>160</v>
      </c>
      <c r="N20" s="6" t="n">
        <f aca="false">IF(F20="","",1+COUNTIFS($J:$J,J20,$K:$K,K20,$F:$F,"&gt;"&amp;F20)+COUNTIFS($J:$J,J20,$K:$K,K20,$F:$F,F20,$G:$G,"&gt;"&amp;G20))</f>
        <v>8</v>
      </c>
      <c r="O20" s="6" t="n">
        <f aca="false">IF(L20="","",SUMIFS(Votes!$E:$E,Votes!$A:$A,J20,Votes!$B:$B,K20,Votes!$D:$D,L20))</f>
        <v>8</v>
      </c>
      <c r="P20" s="6" t="n">
        <f aca="false">IF(L20="","",COUNTIFS(Votes!$A:$A,J20,Votes!$B:$B,K20,Votes!$D:$D,L20))</f>
        <v>7</v>
      </c>
      <c r="Q20" s="7" t="str">
        <f aca="false">IF(F20="","Unscored",IF(O20="","No URI",IF(AND(F20=0,O20=0),"Zero-vote",IF(AND(F20=O20,G20=P20),"OK",IF(AND(F20=0,O20&gt;0,COUNTIFS(Votes!$A:$A,J20,Votes!$B:$B,K20,Votes!$C:$C,D20)=0),"Forfeited","Mismatch")))))</f>
        <v>OK</v>
      </c>
      <c r="R20" s="6" t="n">
        <f aca="false">MAX(IF(L20&lt;&gt;"",COUNTIF($L:$L,L20),0),COUNTIFS($A:$A,A20,$B:$B,B20))</f>
        <v>1</v>
      </c>
      <c r="S20" s="6" t="str">
        <f aca="false">IF(R20&gt;1,COUNTIF($R$2:R20,"&gt;1"),"")</f>
        <v/>
      </c>
      <c r="T20" s="6" t="str">
        <f aca="false">IF(L20="","",J20&amp;"|"&amp;K20&amp;"|"&amp;L20)</f>
        <v>1|2|spotify:track:3NFs3XUduzBfvc5Bx1gmzh</v>
      </c>
      <c r="U20" s="6" t="str">
        <f aca="false">IF(C20="","",IFERROR(INDEX(Lists!$F:$F,MATCH(C20,Lists!$E:$E,0)),"Unmapped"))</f>
        <v>Pop</v>
      </c>
    </row>
    <row r="21" customFormat="false" ht="15" hidden="false" customHeight="false" outlineLevel="0" collapsed="false">
      <c r="A21" s="5" t="s">
        <v>161</v>
      </c>
      <c r="B21" s="5" t="s">
        <v>162</v>
      </c>
      <c r="C21" s="5" t="s">
        <v>105</v>
      </c>
      <c r="D21" s="5" t="s">
        <v>97</v>
      </c>
      <c r="E21" s="5" t="s">
        <v>137</v>
      </c>
      <c r="F21" s="5" t="n">
        <v>8</v>
      </c>
      <c r="G21" s="5" t="n">
        <v>5</v>
      </c>
      <c r="H21" s="6" t="str">
        <f aca="false">IF(N21="","",N21&amp;IF(AND(MOD(N21,100)&gt;=11,MOD(N21,100)&lt;=13),"th",CHOOSE(MIN(5,MOD(N21,10)+1),"th","st","nd","rd","th")))</f>
        <v>9th</v>
      </c>
      <c r="I21" s="5" t="s">
        <v>87</v>
      </c>
      <c r="J21" s="6" t="n">
        <f aca="false">IFERROR(INDEX(Rounds!$A:$A,MATCH(I21,Rounds!$B:$B,0)),"ADD LEAGUE TO ROUNDS")</f>
        <v>1</v>
      </c>
      <c r="K21" s="6" t="n">
        <f aca="false">IFERROR(VALUE(LEFT(E21,FIND(" - ",E21)-1)),"")</f>
        <v>2</v>
      </c>
      <c r="L21" s="5" t="s">
        <v>163</v>
      </c>
      <c r="N21" s="6" t="n">
        <f aca="false">IF(F21="","",1+COUNTIFS($J:$J,J21,$K:$K,K21,$F:$F,"&gt;"&amp;F21)+COUNTIFS($J:$J,J21,$K:$K,K21,$F:$F,F21,$G:$G,"&gt;"&amp;G21))</f>
        <v>9</v>
      </c>
      <c r="O21" s="6" t="n">
        <f aca="false">IF(L21="","",SUMIFS(Votes!$E:$E,Votes!$A:$A,J21,Votes!$B:$B,K21,Votes!$D:$D,L21))</f>
        <v>8</v>
      </c>
      <c r="P21" s="6" t="n">
        <f aca="false">IF(L21="","",COUNTIFS(Votes!$A:$A,J21,Votes!$B:$B,K21,Votes!$D:$D,L21))</f>
        <v>5</v>
      </c>
      <c r="Q21" s="7" t="str">
        <f aca="false">IF(F21="","Unscored",IF(O21="","No URI",IF(AND(F21=0,O21=0),"Zero-vote",IF(AND(F21=O21,G21=P21),"OK",IF(AND(F21=0,O21&gt;0,COUNTIFS(Votes!$A:$A,J21,Votes!$B:$B,K21,Votes!$C:$C,D21)=0),"Forfeited","Mismatch")))))</f>
        <v>OK</v>
      </c>
      <c r="R21" s="6" t="n">
        <f aca="false">MAX(IF(L21&lt;&gt;"",COUNTIF($L:$L,L21),0),COUNTIFS($A:$A,A21,$B:$B,B21))</f>
        <v>1</v>
      </c>
      <c r="S21" s="6" t="str">
        <f aca="false">IF(R21&gt;1,COUNTIF($R$2:R21,"&gt;1"),"")</f>
        <v/>
      </c>
      <c r="T21" s="6" t="str">
        <f aca="false">IF(L21="","",J21&amp;"|"&amp;K21&amp;"|"&amp;L21)</f>
        <v>1|2|spotify:track:6Nm8h73ycDG2saCnZV8poF</v>
      </c>
      <c r="U21" s="6" t="str">
        <f aca="false">IF(C21="","",IFERROR(INDEX(Lists!$F:$F,MATCH(C21,Lists!$E:$E,0)),"Unmapped"))</f>
        <v>Metal</v>
      </c>
    </row>
    <row r="22" customFormat="false" ht="15" hidden="false" customHeight="false" outlineLevel="0" collapsed="false">
      <c r="A22" s="5" t="s">
        <v>164</v>
      </c>
      <c r="B22" s="5" t="s">
        <v>146</v>
      </c>
      <c r="C22" s="5" t="s">
        <v>84</v>
      </c>
      <c r="D22" s="5" t="s">
        <v>123</v>
      </c>
      <c r="E22" s="5" t="s">
        <v>137</v>
      </c>
      <c r="F22" s="5" t="n">
        <v>6</v>
      </c>
      <c r="G22" s="5" t="n">
        <v>4</v>
      </c>
      <c r="H22" s="6" t="str">
        <f aca="false">IF(N22="","",N22&amp;IF(AND(MOD(N22,100)&gt;=11,MOD(N22,100)&lt;=13),"th",CHOOSE(MIN(5,MOD(N22,10)+1),"th","st","nd","rd","th")))</f>
        <v>10th</v>
      </c>
      <c r="I22" s="5" t="s">
        <v>87</v>
      </c>
      <c r="J22" s="6" t="n">
        <f aca="false">IFERROR(INDEX(Rounds!$A:$A,MATCH(I22,Rounds!$B:$B,0)),"ADD LEAGUE TO ROUNDS")</f>
        <v>1</v>
      </c>
      <c r="K22" s="6" t="n">
        <f aca="false">IFERROR(VALUE(LEFT(E22,FIND(" - ",E22)-1)),"")</f>
        <v>2</v>
      </c>
      <c r="L22" s="5" t="s">
        <v>165</v>
      </c>
      <c r="N22" s="6" t="n">
        <f aca="false">IF(F22="","",1+COUNTIFS($J:$J,J22,$K:$K,K22,$F:$F,"&gt;"&amp;F22)+COUNTIFS($J:$J,J22,$K:$K,K22,$F:$F,F22,$G:$G,"&gt;"&amp;G22))</f>
        <v>10</v>
      </c>
      <c r="O22" s="6" t="n">
        <f aca="false">IF(L22="","",SUMIFS(Votes!$E:$E,Votes!$A:$A,J22,Votes!$B:$B,K22,Votes!$D:$D,L22))</f>
        <v>6</v>
      </c>
      <c r="P22" s="6" t="n">
        <f aca="false">IF(L22="","",COUNTIFS(Votes!$A:$A,J22,Votes!$B:$B,K22,Votes!$D:$D,L22))</f>
        <v>4</v>
      </c>
      <c r="Q22" s="7" t="str">
        <f aca="false">IF(F22="","Unscored",IF(O22="","No URI",IF(AND(F22=0,O22=0),"Zero-vote",IF(AND(F22=O22,G22=P22),"OK",IF(AND(F22=0,O22&gt;0,COUNTIFS(Votes!$A:$A,J22,Votes!$B:$B,K22,Votes!$C:$C,D22)=0),"Forfeited","Mismatch")))))</f>
        <v>OK</v>
      </c>
      <c r="R22" s="6" t="n">
        <f aca="false">MAX(IF(L22&lt;&gt;"",COUNTIF($L:$L,L22),0),COUNTIFS($A:$A,A22,$B:$B,B22))</f>
        <v>1</v>
      </c>
      <c r="S22" s="6" t="str">
        <f aca="false">IF(R22&gt;1,COUNTIF($R$2:R22,"&gt;1"),"")</f>
        <v/>
      </c>
      <c r="T22" s="6" t="str">
        <f aca="false">IF(L22="","",J22&amp;"|"&amp;K22&amp;"|"&amp;L22)</f>
        <v>1|2|spotify:track:6TZTu1F0gnp8mtzvYZao41</v>
      </c>
      <c r="U22" s="6" t="str">
        <f aca="false">IF(C22="","",IFERROR(INDEX(Lists!$F:$F,MATCH(C22,Lists!$E:$E,0)),"Unmapped"))</f>
        <v>Pop</v>
      </c>
    </row>
    <row r="23" customFormat="false" ht="15" hidden="false" customHeight="false" outlineLevel="0" collapsed="false">
      <c r="A23" s="5" t="s">
        <v>166</v>
      </c>
      <c r="B23" s="5" t="s">
        <v>167</v>
      </c>
      <c r="C23" s="5" t="s">
        <v>91</v>
      </c>
      <c r="D23" s="5" t="s">
        <v>106</v>
      </c>
      <c r="E23" s="5" t="s">
        <v>137</v>
      </c>
      <c r="F23" s="5" t="n">
        <v>5</v>
      </c>
      <c r="G23" s="5" t="n">
        <v>4</v>
      </c>
      <c r="H23" s="6" t="str">
        <f aca="false">IF(N23="","",N23&amp;IF(AND(MOD(N23,100)&gt;=11,MOD(N23,100)&lt;=13),"th",CHOOSE(MIN(5,MOD(N23,10)+1),"th","st","nd","rd","th")))</f>
        <v>11th</v>
      </c>
      <c r="I23" s="5" t="s">
        <v>87</v>
      </c>
      <c r="J23" s="6" t="n">
        <f aca="false">IFERROR(INDEX(Rounds!$A:$A,MATCH(I23,Rounds!$B:$B,0)),"ADD LEAGUE TO ROUNDS")</f>
        <v>1</v>
      </c>
      <c r="K23" s="6" t="n">
        <f aca="false">IFERROR(VALUE(LEFT(E23,FIND(" - ",E23)-1)),"")</f>
        <v>2</v>
      </c>
      <c r="L23" s="5" t="s">
        <v>168</v>
      </c>
      <c r="N23" s="6" t="n">
        <f aca="false">IF(F23="","",1+COUNTIFS($J:$J,J23,$K:$K,K23,$F:$F,"&gt;"&amp;F23)+COUNTIFS($J:$J,J23,$K:$K,K23,$F:$F,F23,$G:$G,"&gt;"&amp;G23))</f>
        <v>11</v>
      </c>
      <c r="O23" s="6" t="n">
        <f aca="false">IF(L23="","",SUMIFS(Votes!$E:$E,Votes!$A:$A,J23,Votes!$B:$B,K23,Votes!$D:$D,L23))</f>
        <v>5</v>
      </c>
      <c r="P23" s="6" t="n">
        <f aca="false">IF(L23="","",COUNTIFS(Votes!$A:$A,J23,Votes!$B:$B,K23,Votes!$D:$D,L23))</f>
        <v>4</v>
      </c>
      <c r="Q23" s="7" t="str">
        <f aca="false">IF(F23="","Unscored",IF(O23="","No URI",IF(AND(F23=0,O23=0),"Zero-vote",IF(AND(F23=O23,G23=P23),"OK",IF(AND(F23=0,O23&gt;0,COUNTIFS(Votes!$A:$A,J23,Votes!$B:$B,K23,Votes!$C:$C,D23)=0),"Forfeited","Mismatch")))))</f>
        <v>OK</v>
      </c>
      <c r="R23" s="6" t="n">
        <f aca="false">MAX(IF(L23&lt;&gt;"",COUNTIF($L:$L,L23),0),COUNTIFS($A:$A,A23,$B:$B,B23))</f>
        <v>1</v>
      </c>
      <c r="S23" s="6" t="str">
        <f aca="false">IF(R23&gt;1,COUNTIF($R$2:R23,"&gt;1"),"")</f>
        <v/>
      </c>
      <c r="T23" s="6" t="str">
        <f aca="false">IF(L23="","",J23&amp;"|"&amp;K23&amp;"|"&amp;L23)</f>
        <v>1|2|spotify:track:4k0hvjglHbcZI203QI4pF7</v>
      </c>
      <c r="U23" s="6" t="str">
        <f aca="false">IF(C23="","",IFERROR(INDEX(Lists!$F:$F,MATCH(C23,Lists!$E:$E,0)),"Unmapped"))</f>
        <v>Rock</v>
      </c>
    </row>
    <row r="24" customFormat="false" ht="15" hidden="false" customHeight="false" outlineLevel="0" collapsed="false">
      <c r="A24" s="5" t="s">
        <v>169</v>
      </c>
      <c r="B24" s="5" t="s">
        <v>170</v>
      </c>
      <c r="C24" s="5" t="s">
        <v>171</v>
      </c>
      <c r="D24" s="5" t="s">
        <v>111</v>
      </c>
      <c r="E24" s="5" t="s">
        <v>172</v>
      </c>
      <c r="F24" s="5" t="n">
        <v>18</v>
      </c>
      <c r="G24" s="5" t="n">
        <v>8</v>
      </c>
      <c r="H24" s="6" t="str">
        <f aca="false">IF(N24="","",N24&amp;IF(AND(MOD(N24,100)&gt;=11,MOD(N24,100)&lt;=13),"th",CHOOSE(MIN(5,MOD(N24,10)+1),"th","st","nd","rd","th")))</f>
        <v>1st</v>
      </c>
      <c r="I24" s="5" t="s">
        <v>87</v>
      </c>
      <c r="J24" s="6" t="n">
        <f aca="false">IFERROR(INDEX(Rounds!$A:$A,MATCH(I24,Rounds!$B:$B,0)),"ADD LEAGUE TO ROUNDS")</f>
        <v>1</v>
      </c>
      <c r="K24" s="6" t="n">
        <f aca="false">IFERROR(VALUE(LEFT(E24,FIND(" - ",E24)-1)),"")</f>
        <v>3</v>
      </c>
      <c r="L24" s="5" t="s">
        <v>173</v>
      </c>
      <c r="N24" s="6" t="n">
        <f aca="false">IF(F24="","",1+COUNTIFS($J:$J,J24,$K:$K,K24,$F:$F,"&gt;"&amp;F24)+COUNTIFS($J:$J,J24,$K:$K,K24,$F:$F,F24,$G:$G,"&gt;"&amp;G24))</f>
        <v>1</v>
      </c>
      <c r="O24" s="6" t="n">
        <f aca="false">IF(L24="","",SUMIFS(Votes!$E:$E,Votes!$A:$A,J24,Votes!$B:$B,K24,Votes!$D:$D,L24))</f>
        <v>18</v>
      </c>
      <c r="P24" s="6" t="n">
        <f aca="false">IF(L24="","",COUNTIFS(Votes!$A:$A,J24,Votes!$B:$B,K24,Votes!$D:$D,L24))</f>
        <v>8</v>
      </c>
      <c r="Q24" s="7" t="str">
        <f aca="false">IF(F24="","Unscored",IF(O24="","No URI",IF(AND(F24=0,O24=0),"Zero-vote",IF(AND(F24=O24,G24=P24),"OK",IF(AND(F24=0,O24&gt;0,COUNTIFS(Votes!$A:$A,J24,Votes!$B:$B,K24,Votes!$C:$C,D24)=0),"Forfeited","Mismatch")))))</f>
        <v>OK</v>
      </c>
      <c r="R24" s="6" t="n">
        <f aca="false">MAX(IF(L24&lt;&gt;"",COUNTIF($L:$L,L24),0),COUNTIFS($A:$A,A24,$B:$B,B24))</f>
        <v>1</v>
      </c>
      <c r="S24" s="6" t="str">
        <f aca="false">IF(R24&gt;1,COUNTIF($R$2:R24,"&gt;1"),"")</f>
        <v/>
      </c>
      <c r="T24" s="6" t="str">
        <f aca="false">IF(L24="","",J24&amp;"|"&amp;K24&amp;"|"&amp;L24)</f>
        <v>1|3|spotify:track:1vuWlF2OWLtBqPNz0aoatB</v>
      </c>
      <c r="U24" s="6" t="str">
        <f aca="false">IF(C24="","",IFERROR(INDEX(Lists!$F:$F,MATCH(C24,Lists!$E:$E,0)),"Unmapped"))</f>
        <v>Country</v>
      </c>
    </row>
    <row r="25" customFormat="false" ht="15" hidden="false" customHeight="false" outlineLevel="0" collapsed="false">
      <c r="A25" s="5" t="s">
        <v>174</v>
      </c>
      <c r="B25" s="5" t="s">
        <v>175</v>
      </c>
      <c r="C25" s="5" t="s">
        <v>91</v>
      </c>
      <c r="D25" s="5" t="s">
        <v>85</v>
      </c>
      <c r="E25" s="5" t="s">
        <v>172</v>
      </c>
      <c r="F25" s="5" t="n">
        <v>16</v>
      </c>
      <c r="G25" s="5" t="n">
        <v>8</v>
      </c>
      <c r="H25" s="6" t="str">
        <f aca="false">IF(N25="","",N25&amp;IF(AND(MOD(N25,100)&gt;=11,MOD(N25,100)&lt;=13),"th",CHOOSE(MIN(5,MOD(N25,10)+1),"th","st","nd","rd","th")))</f>
        <v>2nd</v>
      </c>
      <c r="I25" s="5" t="s">
        <v>87</v>
      </c>
      <c r="J25" s="6" t="n">
        <f aca="false">IFERROR(INDEX(Rounds!$A:$A,MATCH(I25,Rounds!$B:$B,0)),"ADD LEAGUE TO ROUNDS")</f>
        <v>1</v>
      </c>
      <c r="K25" s="6" t="n">
        <f aca="false">IFERROR(VALUE(LEFT(E25,FIND(" - ",E25)-1)),"")</f>
        <v>3</v>
      </c>
      <c r="L25" s="5" t="s">
        <v>176</v>
      </c>
      <c r="N25" s="6" t="n">
        <f aca="false">IF(F25="","",1+COUNTIFS($J:$J,J25,$K:$K,K25,$F:$F,"&gt;"&amp;F25)+COUNTIFS($J:$J,J25,$K:$K,K25,$F:$F,F25,$G:$G,"&gt;"&amp;G25))</f>
        <v>2</v>
      </c>
      <c r="O25" s="6" t="n">
        <f aca="false">IF(L25="","",SUMIFS(Votes!$E:$E,Votes!$A:$A,J25,Votes!$B:$B,K25,Votes!$D:$D,L25))</f>
        <v>16</v>
      </c>
      <c r="P25" s="6" t="n">
        <f aca="false">IF(L25="","",COUNTIFS(Votes!$A:$A,J25,Votes!$B:$B,K25,Votes!$D:$D,L25))</f>
        <v>8</v>
      </c>
      <c r="Q25" s="7" t="str">
        <f aca="false">IF(F25="","Unscored",IF(O25="","No URI",IF(AND(F25=0,O25=0),"Zero-vote",IF(AND(F25=O25,G25=P25),"OK",IF(AND(F25=0,O25&gt;0,COUNTIFS(Votes!$A:$A,J25,Votes!$B:$B,K25,Votes!$C:$C,D25)=0),"Forfeited","Mismatch")))))</f>
        <v>OK</v>
      </c>
      <c r="R25" s="6" t="n">
        <f aca="false">MAX(IF(L25&lt;&gt;"",COUNTIF($L:$L,L25),0),COUNTIFS($A:$A,A25,$B:$B,B25))</f>
        <v>1</v>
      </c>
      <c r="S25" s="6" t="str">
        <f aca="false">IF(R25&gt;1,COUNTIF($R$2:R25,"&gt;1"),"")</f>
        <v/>
      </c>
      <c r="T25" s="6" t="str">
        <f aca="false">IF(L25="","",J25&amp;"|"&amp;K25&amp;"|"&amp;L25)</f>
        <v>1|3|spotify:track:62PDM93qqC4xSfQMV48MRF</v>
      </c>
      <c r="U25" s="6" t="str">
        <f aca="false">IF(C25="","",IFERROR(INDEX(Lists!$F:$F,MATCH(C25,Lists!$E:$E,0)),"Unmapped"))</f>
        <v>Rock</v>
      </c>
    </row>
    <row r="26" customFormat="false" ht="15" hidden="false" customHeight="false" outlineLevel="0" collapsed="false">
      <c r="A26" s="5" t="s">
        <v>177</v>
      </c>
      <c r="B26" s="5" t="s">
        <v>178</v>
      </c>
      <c r="C26" s="5" t="s">
        <v>84</v>
      </c>
      <c r="D26" s="5" t="s">
        <v>116</v>
      </c>
      <c r="E26" s="5" t="s">
        <v>172</v>
      </c>
      <c r="F26" s="5" t="n">
        <v>14</v>
      </c>
      <c r="G26" s="5" t="n">
        <v>7</v>
      </c>
      <c r="H26" s="6" t="str">
        <f aca="false">IF(N26="","",N26&amp;IF(AND(MOD(N26,100)&gt;=11,MOD(N26,100)&lt;=13),"th",CHOOSE(MIN(5,MOD(N26,10)+1),"th","st","nd","rd","th")))</f>
        <v>3rd</v>
      </c>
      <c r="I26" s="5" t="s">
        <v>87</v>
      </c>
      <c r="J26" s="6" t="n">
        <f aca="false">IFERROR(INDEX(Rounds!$A:$A,MATCH(I26,Rounds!$B:$B,0)),"ADD LEAGUE TO ROUNDS")</f>
        <v>1</v>
      </c>
      <c r="K26" s="6" t="n">
        <f aca="false">IFERROR(VALUE(LEFT(E26,FIND(" - ",E26)-1)),"")</f>
        <v>3</v>
      </c>
      <c r="L26" s="5" t="s">
        <v>179</v>
      </c>
      <c r="N26" s="6" t="n">
        <f aca="false">IF(F26="","",1+COUNTIFS($J:$J,J26,$K:$K,K26,$F:$F,"&gt;"&amp;F26)+COUNTIFS($J:$J,J26,$K:$K,K26,$F:$F,F26,$G:$G,"&gt;"&amp;G26))</f>
        <v>3</v>
      </c>
      <c r="O26" s="6" t="n">
        <f aca="false">IF(L26="","",SUMIFS(Votes!$E:$E,Votes!$A:$A,J26,Votes!$B:$B,K26,Votes!$D:$D,L26))</f>
        <v>14</v>
      </c>
      <c r="P26" s="6" t="n">
        <f aca="false">IF(L26="","",COUNTIFS(Votes!$A:$A,J26,Votes!$B:$B,K26,Votes!$D:$D,L26))</f>
        <v>7</v>
      </c>
      <c r="Q26" s="7" t="str">
        <f aca="false">IF(F26="","Unscored",IF(O26="","No URI",IF(AND(F26=0,O26=0),"Zero-vote",IF(AND(F26=O26,G26=P26),"OK",IF(AND(F26=0,O26&gt;0,COUNTIFS(Votes!$A:$A,J26,Votes!$B:$B,K26,Votes!$C:$C,D26)=0),"Forfeited","Mismatch")))))</f>
        <v>OK</v>
      </c>
      <c r="R26" s="6" t="n">
        <f aca="false">MAX(IF(L26&lt;&gt;"",COUNTIF($L:$L,L26),0),COUNTIFS($A:$A,A26,$B:$B,B26))</f>
        <v>1</v>
      </c>
      <c r="S26" s="6" t="str">
        <f aca="false">IF(R26&gt;1,COUNTIF($R$2:R26,"&gt;1"),"")</f>
        <v/>
      </c>
      <c r="T26" s="6" t="str">
        <f aca="false">IF(L26="","",J26&amp;"|"&amp;K26&amp;"|"&amp;L26)</f>
        <v>1|3|spotify:track:4PTG3Z6ehGkBFwjybzWkR8</v>
      </c>
      <c r="U26" s="6" t="str">
        <f aca="false">IF(C26="","",IFERROR(INDEX(Lists!$F:$F,MATCH(C26,Lists!$E:$E,0)),"Unmapped"))</f>
        <v>Pop</v>
      </c>
    </row>
    <row r="27" customFormat="false" ht="15" hidden="false" customHeight="false" outlineLevel="0" collapsed="false">
      <c r="A27" s="5" t="s">
        <v>180</v>
      </c>
      <c r="B27" s="5" t="s">
        <v>83</v>
      </c>
      <c r="C27" s="5" t="s">
        <v>84</v>
      </c>
      <c r="D27" s="5" t="s">
        <v>123</v>
      </c>
      <c r="E27" s="5" t="s">
        <v>172</v>
      </c>
      <c r="F27" s="5" t="n">
        <v>12</v>
      </c>
      <c r="G27" s="5" t="n">
        <v>7</v>
      </c>
      <c r="H27" s="6" t="str">
        <f aca="false">IF(N27="","",N27&amp;IF(AND(MOD(N27,100)&gt;=11,MOD(N27,100)&lt;=13),"th",CHOOSE(MIN(5,MOD(N27,10)+1),"th","st","nd","rd","th")))</f>
        <v>4th</v>
      </c>
      <c r="I27" s="5" t="s">
        <v>87</v>
      </c>
      <c r="J27" s="6" t="n">
        <f aca="false">IFERROR(INDEX(Rounds!$A:$A,MATCH(I27,Rounds!$B:$B,0)),"ADD LEAGUE TO ROUNDS")</f>
        <v>1</v>
      </c>
      <c r="K27" s="6" t="n">
        <f aca="false">IFERROR(VALUE(LEFT(E27,FIND(" - ",E27)-1)),"")</f>
        <v>3</v>
      </c>
      <c r="L27" s="5" t="s">
        <v>181</v>
      </c>
      <c r="N27" s="6" t="n">
        <f aca="false">IF(F27="","",1+COUNTIFS($J:$J,J27,$K:$K,K27,$F:$F,"&gt;"&amp;F27)+COUNTIFS($J:$J,J27,$K:$K,K27,$F:$F,F27,$G:$G,"&gt;"&amp;G27))</f>
        <v>4</v>
      </c>
      <c r="O27" s="6" t="n">
        <f aca="false">IF(L27="","",SUMIFS(Votes!$E:$E,Votes!$A:$A,J27,Votes!$B:$B,K27,Votes!$D:$D,L27))</f>
        <v>12</v>
      </c>
      <c r="P27" s="6" t="n">
        <f aca="false">IF(L27="","",COUNTIFS(Votes!$A:$A,J27,Votes!$B:$B,K27,Votes!$D:$D,L27))</f>
        <v>7</v>
      </c>
      <c r="Q27" s="7" t="str">
        <f aca="false">IF(F27="","Unscored",IF(O27="","No URI",IF(AND(F27=0,O27=0),"Zero-vote",IF(AND(F27=O27,G27=P27),"OK",IF(AND(F27=0,O27&gt;0,COUNTIFS(Votes!$A:$A,J27,Votes!$B:$B,K27,Votes!$C:$C,D27)=0),"Forfeited","Mismatch")))))</f>
        <v>OK</v>
      </c>
      <c r="R27" s="6" t="n">
        <f aca="false">MAX(IF(L27&lt;&gt;"",COUNTIF($L:$L,L27),0),COUNTIFS($A:$A,A27,$B:$B,B27))</f>
        <v>1</v>
      </c>
      <c r="S27" s="6" t="str">
        <f aca="false">IF(R27&gt;1,COUNTIF($R$2:R27,"&gt;1"),"")</f>
        <v/>
      </c>
      <c r="T27" s="6" t="str">
        <f aca="false">IF(L27="","",J27&amp;"|"&amp;K27&amp;"|"&amp;L27)</f>
        <v>1|3|spotify:track:3qXOcbRVwKySRfN0k6BDrf</v>
      </c>
      <c r="U27" s="6" t="str">
        <f aca="false">IF(C27="","",IFERROR(INDEX(Lists!$F:$F,MATCH(C27,Lists!$E:$E,0)),"Unmapped"))</f>
        <v>Pop</v>
      </c>
    </row>
    <row r="28" customFormat="false" ht="15" hidden="false" customHeight="false" outlineLevel="0" collapsed="false">
      <c r="A28" s="5" t="s">
        <v>182</v>
      </c>
      <c r="B28" s="5" t="s">
        <v>183</v>
      </c>
      <c r="C28" s="5" t="s">
        <v>132</v>
      </c>
      <c r="D28" s="5" t="s">
        <v>92</v>
      </c>
      <c r="E28" s="5" t="s">
        <v>172</v>
      </c>
      <c r="F28" s="5" t="n">
        <v>11</v>
      </c>
      <c r="G28" s="5" t="n">
        <v>7</v>
      </c>
      <c r="H28" s="6" t="str">
        <f aca="false">IF(N28="","",N28&amp;IF(AND(MOD(N28,100)&gt;=11,MOD(N28,100)&lt;=13),"th",CHOOSE(MIN(5,MOD(N28,10)+1),"th","st","nd","rd","th")))</f>
        <v>5th</v>
      </c>
      <c r="I28" s="5" t="s">
        <v>87</v>
      </c>
      <c r="J28" s="6" t="n">
        <f aca="false">IFERROR(INDEX(Rounds!$A:$A,MATCH(I28,Rounds!$B:$B,0)),"ADD LEAGUE TO ROUNDS")</f>
        <v>1</v>
      </c>
      <c r="K28" s="6" t="n">
        <f aca="false">IFERROR(VALUE(LEFT(E28,FIND(" - ",E28)-1)),"")</f>
        <v>3</v>
      </c>
      <c r="L28" s="5" t="s">
        <v>184</v>
      </c>
      <c r="N28" s="6" t="n">
        <f aca="false">IF(F28="","",1+COUNTIFS($J:$J,J28,$K:$K,K28,$F:$F,"&gt;"&amp;F28)+COUNTIFS($J:$J,J28,$K:$K,K28,$F:$F,F28,$G:$G,"&gt;"&amp;G28))</f>
        <v>5</v>
      </c>
      <c r="O28" s="6" t="n">
        <f aca="false">IF(L28="","",SUMIFS(Votes!$E:$E,Votes!$A:$A,J28,Votes!$B:$B,K28,Votes!$D:$D,L28))</f>
        <v>11</v>
      </c>
      <c r="P28" s="6" t="n">
        <f aca="false">IF(L28="","",COUNTIFS(Votes!$A:$A,J28,Votes!$B:$B,K28,Votes!$D:$D,L28))</f>
        <v>7</v>
      </c>
      <c r="Q28" s="7" t="str">
        <f aca="false">IF(F28="","Unscored",IF(O28="","No URI",IF(AND(F28=0,O28=0),"Zero-vote",IF(AND(F28=O28,G28=P28),"OK",IF(AND(F28=0,O28&gt;0,COUNTIFS(Votes!$A:$A,J28,Votes!$B:$B,K28,Votes!$C:$C,D28)=0),"Forfeited","Mismatch")))))</f>
        <v>OK</v>
      </c>
      <c r="R28" s="6" t="n">
        <f aca="false">MAX(IF(L28&lt;&gt;"",COUNTIF($L:$L,L28),0),COUNTIFS($A:$A,A28,$B:$B,B28))</f>
        <v>1</v>
      </c>
      <c r="S28" s="6" t="str">
        <f aca="false">IF(R28&gt;1,COUNTIF($R$2:R28,"&gt;1"),"")</f>
        <v/>
      </c>
      <c r="T28" s="6" t="str">
        <f aca="false">IF(L28="","",J28&amp;"|"&amp;K28&amp;"|"&amp;L28)</f>
        <v>1|3|spotify:track:7r6ubHsaieaig4kORmmsDy</v>
      </c>
      <c r="U28" s="6" t="str">
        <f aca="false">IF(C28="","",IFERROR(INDEX(Lists!$F:$F,MATCH(C28,Lists!$E:$E,0)),"Unmapped"))</f>
        <v>Soundtrack/Musical</v>
      </c>
    </row>
    <row r="29" customFormat="false" ht="15" hidden="false" customHeight="false" outlineLevel="0" collapsed="false">
      <c r="A29" s="5" t="s">
        <v>185</v>
      </c>
      <c r="B29" s="5" t="s">
        <v>186</v>
      </c>
      <c r="C29" s="5" t="s">
        <v>96</v>
      </c>
      <c r="D29" s="5" t="s">
        <v>101</v>
      </c>
      <c r="E29" s="5" t="s">
        <v>172</v>
      </c>
      <c r="F29" s="5" t="n">
        <v>8</v>
      </c>
      <c r="G29" s="5" t="n">
        <v>6</v>
      </c>
      <c r="H29" s="6" t="str">
        <f aca="false">IF(N29="","",N29&amp;IF(AND(MOD(N29,100)&gt;=11,MOD(N29,100)&lt;=13),"th",CHOOSE(MIN(5,MOD(N29,10)+1),"th","st","nd","rd","th")))</f>
        <v>6th</v>
      </c>
      <c r="I29" s="5" t="s">
        <v>87</v>
      </c>
      <c r="J29" s="6" t="n">
        <f aca="false">IFERROR(INDEX(Rounds!$A:$A,MATCH(I29,Rounds!$B:$B,0)),"ADD LEAGUE TO ROUNDS")</f>
        <v>1</v>
      </c>
      <c r="K29" s="6" t="n">
        <f aca="false">IFERROR(VALUE(LEFT(E29,FIND(" - ",E29)-1)),"")</f>
        <v>3</v>
      </c>
      <c r="L29" s="5" t="s">
        <v>187</v>
      </c>
      <c r="N29" s="6" t="n">
        <f aca="false">IF(F29="","",1+COUNTIFS($J:$J,J29,$K:$K,K29,$F:$F,"&gt;"&amp;F29)+COUNTIFS($J:$J,J29,$K:$K,K29,$F:$F,F29,$G:$G,"&gt;"&amp;G29))</f>
        <v>6</v>
      </c>
      <c r="O29" s="6" t="n">
        <f aca="false">IF(L29="","",SUMIFS(Votes!$E:$E,Votes!$A:$A,J29,Votes!$B:$B,K29,Votes!$D:$D,L29))</f>
        <v>8</v>
      </c>
      <c r="P29" s="6" t="n">
        <f aca="false">IF(L29="","",COUNTIFS(Votes!$A:$A,J29,Votes!$B:$B,K29,Votes!$D:$D,L29))</f>
        <v>6</v>
      </c>
      <c r="Q29" s="7" t="str">
        <f aca="false">IF(F29="","Unscored",IF(O29="","No URI",IF(AND(F29=0,O29=0),"Zero-vote",IF(AND(F29=O29,G29=P29),"OK",IF(AND(F29=0,O29&gt;0,COUNTIFS(Votes!$A:$A,J29,Votes!$B:$B,K29,Votes!$C:$C,D29)=0),"Forfeited","Mismatch")))))</f>
        <v>OK</v>
      </c>
      <c r="R29" s="6" t="n">
        <f aca="false">MAX(IF(L29&lt;&gt;"",COUNTIF($L:$L,L29),0),COUNTIFS($A:$A,A29,$B:$B,B29))</f>
        <v>2</v>
      </c>
      <c r="S29" s="6" t="n">
        <f aca="false">IF(R29&gt;1,COUNTIF($R$2:R29,"&gt;1"),"")</f>
        <v>3</v>
      </c>
      <c r="T29" s="6" t="str">
        <f aca="false">IF(L29="","",J29&amp;"|"&amp;K29&amp;"|"&amp;L29)</f>
        <v>1|3|spotify:track:32OlwWuMpZ6b0aN2RZOeMS</v>
      </c>
      <c r="U29" s="6" t="str">
        <f aca="false">IF(C29="","",IFERROR(INDEX(Lists!$F:$F,MATCH(C29,Lists!$E:$E,0)),"Unmapped"))</f>
        <v>R&amp;B/Soul</v>
      </c>
    </row>
    <row r="30" customFormat="false" ht="15" hidden="false" customHeight="false" outlineLevel="0" collapsed="false">
      <c r="A30" s="5" t="s">
        <v>188</v>
      </c>
      <c r="B30" s="5" t="s">
        <v>189</v>
      </c>
      <c r="C30" s="5" t="s">
        <v>96</v>
      </c>
      <c r="D30" s="5" t="s">
        <v>128</v>
      </c>
      <c r="E30" s="5" t="s">
        <v>172</v>
      </c>
      <c r="F30" s="5" t="n">
        <v>7</v>
      </c>
      <c r="G30" s="5" t="n">
        <v>4</v>
      </c>
      <c r="H30" s="6" t="str">
        <f aca="false">IF(N30="","",N30&amp;IF(AND(MOD(N30,100)&gt;=11,MOD(N30,100)&lt;=13),"th",CHOOSE(MIN(5,MOD(N30,10)+1),"th","st","nd","rd","th")))</f>
        <v>7th</v>
      </c>
      <c r="I30" s="5" t="s">
        <v>87</v>
      </c>
      <c r="J30" s="6" t="n">
        <f aca="false">IFERROR(INDEX(Rounds!$A:$A,MATCH(I30,Rounds!$B:$B,0)),"ADD LEAGUE TO ROUNDS")</f>
        <v>1</v>
      </c>
      <c r="K30" s="6" t="n">
        <f aca="false">IFERROR(VALUE(LEFT(E30,FIND(" - ",E30)-1)),"")</f>
        <v>3</v>
      </c>
      <c r="L30" s="5" t="s">
        <v>190</v>
      </c>
      <c r="N30" s="6" t="n">
        <f aca="false">IF(F30="","",1+COUNTIFS($J:$J,J30,$K:$K,K30,$F:$F,"&gt;"&amp;F30)+COUNTIFS($J:$J,J30,$K:$K,K30,$F:$F,F30,$G:$G,"&gt;"&amp;G30))</f>
        <v>7</v>
      </c>
      <c r="O30" s="6" t="n">
        <f aca="false">IF(L30="","",SUMIFS(Votes!$E:$E,Votes!$A:$A,J30,Votes!$B:$B,K30,Votes!$D:$D,L30))</f>
        <v>7</v>
      </c>
      <c r="P30" s="6" t="n">
        <f aca="false">IF(L30="","",COUNTIFS(Votes!$A:$A,J30,Votes!$B:$B,K30,Votes!$D:$D,L30))</f>
        <v>4</v>
      </c>
      <c r="Q30" s="7" t="str">
        <f aca="false">IF(F30="","Unscored",IF(O30="","No URI",IF(AND(F30=0,O30=0),"Zero-vote",IF(AND(F30=O30,G30=P30),"OK",IF(AND(F30=0,O30&gt;0,COUNTIFS(Votes!$A:$A,J30,Votes!$B:$B,K30,Votes!$C:$C,D30)=0),"Forfeited","Mismatch")))))</f>
        <v>OK</v>
      </c>
      <c r="R30" s="6" t="n">
        <f aca="false">MAX(IF(L30&lt;&gt;"",COUNTIF($L:$L,L30),0),COUNTIFS($A:$A,A30,$B:$B,B30))</f>
        <v>1</v>
      </c>
      <c r="S30" s="6" t="str">
        <f aca="false">IF(R30&gt;1,COUNTIF($R$2:R30,"&gt;1"),"")</f>
        <v/>
      </c>
      <c r="T30" s="6" t="str">
        <f aca="false">IF(L30="","",J30&amp;"|"&amp;K30&amp;"|"&amp;L30)</f>
        <v>1|3|spotify:track:6yJxCltgtmGxIgKOS6ndnu</v>
      </c>
      <c r="U30" s="6" t="str">
        <f aca="false">IF(C30="","",IFERROR(INDEX(Lists!$F:$F,MATCH(C30,Lists!$E:$E,0)),"Unmapped"))</f>
        <v>R&amp;B/Soul</v>
      </c>
    </row>
    <row r="31" customFormat="false" ht="15" hidden="false" customHeight="false" outlineLevel="0" collapsed="false">
      <c r="A31" s="5" t="s">
        <v>191</v>
      </c>
      <c r="B31" s="5" t="s">
        <v>192</v>
      </c>
      <c r="C31" s="5" t="s">
        <v>132</v>
      </c>
      <c r="D31" s="5" t="s">
        <v>97</v>
      </c>
      <c r="E31" s="5" t="s">
        <v>172</v>
      </c>
      <c r="F31" s="5" t="n">
        <v>6</v>
      </c>
      <c r="G31" s="5" t="n">
        <v>5</v>
      </c>
      <c r="H31" s="6" t="str">
        <f aca="false">IF(N31="","",N31&amp;IF(AND(MOD(N31,100)&gt;=11,MOD(N31,100)&lt;=13),"th",CHOOSE(MIN(5,MOD(N31,10)+1),"th","st","nd","rd","th")))</f>
        <v>8th</v>
      </c>
      <c r="I31" s="5" t="s">
        <v>87</v>
      </c>
      <c r="J31" s="6" t="n">
        <f aca="false">IFERROR(INDEX(Rounds!$A:$A,MATCH(I31,Rounds!$B:$B,0)),"ADD LEAGUE TO ROUNDS")</f>
        <v>1</v>
      </c>
      <c r="K31" s="6" t="n">
        <f aca="false">IFERROR(VALUE(LEFT(E31,FIND(" - ",E31)-1)),"")</f>
        <v>3</v>
      </c>
      <c r="L31" s="5" t="s">
        <v>193</v>
      </c>
      <c r="N31" s="6" t="n">
        <f aca="false">IF(F31="","",1+COUNTIFS($J:$J,J31,$K:$K,K31,$F:$F,"&gt;"&amp;F31)+COUNTIFS($J:$J,J31,$K:$K,K31,$F:$F,F31,$G:$G,"&gt;"&amp;G31))</f>
        <v>8</v>
      </c>
      <c r="O31" s="6" t="n">
        <f aca="false">IF(L31="","",SUMIFS(Votes!$E:$E,Votes!$A:$A,J31,Votes!$B:$B,K31,Votes!$D:$D,L31))</f>
        <v>6</v>
      </c>
      <c r="P31" s="6" t="n">
        <f aca="false">IF(L31="","",COUNTIFS(Votes!$A:$A,J31,Votes!$B:$B,K31,Votes!$D:$D,L31))</f>
        <v>5</v>
      </c>
      <c r="Q31" s="7" t="str">
        <f aca="false">IF(F31="","Unscored",IF(O31="","No URI",IF(AND(F31=0,O31=0),"Zero-vote",IF(AND(F31=O31,G31=P31),"OK",IF(AND(F31=0,O31&gt;0,COUNTIFS(Votes!$A:$A,J31,Votes!$B:$B,K31,Votes!$C:$C,D31)=0),"Forfeited","Mismatch")))))</f>
        <v>OK</v>
      </c>
      <c r="R31" s="6" t="n">
        <f aca="false">MAX(IF(L31&lt;&gt;"",COUNTIF($L:$L,L31),0),COUNTIFS($A:$A,A31,$B:$B,B31))</f>
        <v>1</v>
      </c>
      <c r="S31" s="6" t="str">
        <f aca="false">IF(R31&gt;1,COUNTIF($R$2:R31,"&gt;1"),"")</f>
        <v/>
      </c>
      <c r="T31" s="6" t="str">
        <f aca="false">IF(L31="","",J31&amp;"|"&amp;K31&amp;"|"&amp;L31)</f>
        <v>1|3|spotify:track:0LiRTCcc2q3A50Eh9k5bSi</v>
      </c>
      <c r="U31" s="6" t="str">
        <f aca="false">IF(C31="","",IFERROR(INDEX(Lists!$F:$F,MATCH(C31,Lists!$E:$E,0)),"Unmapped"))</f>
        <v>Soundtrack/Musical</v>
      </c>
    </row>
    <row r="32" customFormat="false" ht="15" hidden="false" customHeight="false" outlineLevel="0" collapsed="false">
      <c r="A32" s="5" t="s">
        <v>194</v>
      </c>
      <c r="B32" s="5" t="s">
        <v>195</v>
      </c>
      <c r="C32" s="5" t="s">
        <v>171</v>
      </c>
      <c r="D32" s="5" t="s">
        <v>106</v>
      </c>
      <c r="E32" s="5" t="s">
        <v>172</v>
      </c>
      <c r="F32" s="5" t="n">
        <v>5</v>
      </c>
      <c r="G32" s="5" t="n">
        <v>4</v>
      </c>
      <c r="H32" s="6" t="str">
        <f aca="false">IF(N32="","",N32&amp;IF(AND(MOD(N32,100)&gt;=11,MOD(N32,100)&lt;=13),"th",CHOOSE(MIN(5,MOD(N32,10)+1),"th","st","nd","rd","th")))</f>
        <v>9th</v>
      </c>
      <c r="I32" s="5" t="s">
        <v>87</v>
      </c>
      <c r="J32" s="6" t="n">
        <f aca="false">IFERROR(INDEX(Rounds!$A:$A,MATCH(I32,Rounds!$B:$B,0)),"ADD LEAGUE TO ROUNDS")</f>
        <v>1</v>
      </c>
      <c r="K32" s="6" t="n">
        <f aca="false">IFERROR(VALUE(LEFT(E32,FIND(" - ",E32)-1)),"")</f>
        <v>3</v>
      </c>
      <c r="L32" s="5" t="s">
        <v>196</v>
      </c>
      <c r="N32" s="6" t="n">
        <f aca="false">IF(F32="","",1+COUNTIFS($J:$J,J32,$K:$K,K32,$F:$F,"&gt;"&amp;F32)+COUNTIFS($J:$J,J32,$K:$K,K32,$F:$F,F32,$G:$G,"&gt;"&amp;G32))</f>
        <v>9</v>
      </c>
      <c r="O32" s="6" t="n">
        <f aca="false">IF(L32="","",SUMIFS(Votes!$E:$E,Votes!$A:$A,J32,Votes!$B:$B,K32,Votes!$D:$D,L32))</f>
        <v>5</v>
      </c>
      <c r="P32" s="6" t="n">
        <f aca="false">IF(L32="","",COUNTIFS(Votes!$A:$A,J32,Votes!$B:$B,K32,Votes!$D:$D,L32))</f>
        <v>4</v>
      </c>
      <c r="Q32" s="7" t="str">
        <f aca="false">IF(F32="","Unscored",IF(O32="","No URI",IF(AND(F32=0,O32=0),"Zero-vote",IF(AND(F32=O32,G32=P32),"OK",IF(AND(F32=0,O32&gt;0,COUNTIFS(Votes!$A:$A,J32,Votes!$B:$B,K32,Votes!$C:$C,D32)=0),"Forfeited","Mismatch")))))</f>
        <v>OK</v>
      </c>
      <c r="R32" s="6" t="n">
        <f aca="false">MAX(IF(L32&lt;&gt;"",COUNTIF($L:$L,L32),0),COUNTIFS($A:$A,A32,$B:$B,B32))</f>
        <v>1</v>
      </c>
      <c r="S32" s="6" t="str">
        <f aca="false">IF(R32&gt;1,COUNTIF($R$2:R32,"&gt;1"),"")</f>
        <v/>
      </c>
      <c r="T32" s="6" t="str">
        <f aca="false">IF(L32="","",J32&amp;"|"&amp;K32&amp;"|"&amp;L32)</f>
        <v>1|3|spotify:track:1c4Pc7mwRZrCLxkRZbGs6l</v>
      </c>
      <c r="U32" s="6" t="str">
        <f aca="false">IF(C32="","",IFERROR(INDEX(Lists!$F:$F,MATCH(C32,Lists!$E:$E,0)),"Unmapped"))</f>
        <v>Country</v>
      </c>
    </row>
    <row r="33" customFormat="false" ht="15" hidden="false" customHeight="false" outlineLevel="0" collapsed="false">
      <c r="A33" s="5" t="s">
        <v>197</v>
      </c>
      <c r="B33" s="5" t="s">
        <v>198</v>
      </c>
      <c r="C33" s="5" t="s">
        <v>84</v>
      </c>
      <c r="D33" s="5" t="s">
        <v>119</v>
      </c>
      <c r="E33" s="5" t="s">
        <v>172</v>
      </c>
      <c r="F33" s="5" t="n">
        <v>3</v>
      </c>
      <c r="G33" s="5" t="n">
        <v>3</v>
      </c>
      <c r="H33" s="6" t="str">
        <f aca="false">IF(N33="","",N33&amp;IF(AND(MOD(N33,100)&gt;=11,MOD(N33,100)&lt;=13),"th",CHOOSE(MIN(5,MOD(N33,10)+1),"th","st","nd","rd","th")))</f>
        <v>10th</v>
      </c>
      <c r="I33" s="5" t="s">
        <v>87</v>
      </c>
      <c r="J33" s="6" t="n">
        <f aca="false">IFERROR(INDEX(Rounds!$A:$A,MATCH(I33,Rounds!$B:$B,0)),"ADD LEAGUE TO ROUNDS")</f>
        <v>1</v>
      </c>
      <c r="K33" s="6" t="n">
        <f aca="false">IFERROR(VALUE(LEFT(E33,FIND(" - ",E33)-1)),"")</f>
        <v>3</v>
      </c>
      <c r="L33" s="5" t="s">
        <v>199</v>
      </c>
      <c r="N33" s="6" t="n">
        <f aca="false">IF(F33="","",1+COUNTIFS($J:$J,J33,$K:$K,K33,$F:$F,"&gt;"&amp;F33)+COUNTIFS($J:$J,J33,$K:$K,K33,$F:$F,F33,$G:$G,"&gt;"&amp;G33))</f>
        <v>10</v>
      </c>
      <c r="O33" s="6" t="n">
        <f aca="false">IF(L33="","",SUMIFS(Votes!$E:$E,Votes!$A:$A,J33,Votes!$B:$B,K33,Votes!$D:$D,L33))</f>
        <v>3</v>
      </c>
      <c r="P33" s="6" t="n">
        <f aca="false">IF(L33="","",COUNTIFS(Votes!$A:$A,J33,Votes!$B:$B,K33,Votes!$D:$D,L33))</f>
        <v>3</v>
      </c>
      <c r="Q33" s="7" t="str">
        <f aca="false">IF(F33="","Unscored",IF(O33="","No URI",IF(AND(F33=0,O33=0),"Zero-vote",IF(AND(F33=O33,G33=P33),"OK",IF(AND(F33=0,O33&gt;0,COUNTIFS(Votes!$A:$A,J33,Votes!$B:$B,K33,Votes!$C:$C,D33)=0),"Forfeited","Mismatch")))))</f>
        <v>OK</v>
      </c>
      <c r="R33" s="6" t="n">
        <f aca="false">MAX(IF(L33&lt;&gt;"",COUNTIF($L:$L,L33),0),COUNTIFS($A:$A,A33,$B:$B,B33))</f>
        <v>1</v>
      </c>
      <c r="S33" s="6" t="str">
        <f aca="false">IF(R33&gt;1,COUNTIF($R$2:R33,"&gt;1"),"")</f>
        <v/>
      </c>
      <c r="T33" s="6" t="str">
        <f aca="false">IF(L33="","",J33&amp;"|"&amp;K33&amp;"|"&amp;L33)</f>
        <v>1|3|spotify:track:0pmU9rDYZnJ53wVNrBOxsV</v>
      </c>
      <c r="U33" s="6" t="str">
        <f aca="false">IF(C33="","",IFERROR(INDEX(Lists!$F:$F,MATCH(C33,Lists!$E:$E,0)),"Unmapped"))</f>
        <v>Pop</v>
      </c>
    </row>
    <row r="34" customFormat="false" ht="15" hidden="false" customHeight="false" outlineLevel="0" collapsed="false">
      <c r="A34" s="5" t="s">
        <v>200</v>
      </c>
      <c r="B34" s="5" t="s">
        <v>201</v>
      </c>
      <c r="C34" s="5" t="s">
        <v>84</v>
      </c>
      <c r="D34" s="5" t="s">
        <v>85</v>
      </c>
      <c r="E34" s="5" t="s">
        <v>202</v>
      </c>
      <c r="F34" s="5" t="n">
        <v>18</v>
      </c>
      <c r="G34" s="5" t="n">
        <v>8</v>
      </c>
      <c r="H34" s="6" t="str">
        <f aca="false">IF(N34="","",N34&amp;IF(AND(MOD(N34,100)&gt;=11,MOD(N34,100)&lt;=13),"th",CHOOSE(MIN(5,MOD(N34,10)+1),"th","st","nd","rd","th")))</f>
        <v>1st</v>
      </c>
      <c r="I34" s="5" t="s">
        <v>87</v>
      </c>
      <c r="J34" s="6" t="n">
        <f aca="false">IFERROR(INDEX(Rounds!$A:$A,MATCH(I34,Rounds!$B:$B,0)),"ADD LEAGUE TO ROUNDS")</f>
        <v>1</v>
      </c>
      <c r="K34" s="6" t="n">
        <f aca="false">IFERROR(VALUE(LEFT(E34,FIND(" - ",E34)-1)),"")</f>
        <v>4</v>
      </c>
      <c r="L34" s="5" t="s">
        <v>203</v>
      </c>
      <c r="N34" s="6" t="n">
        <f aca="false">IF(F34="","",1+COUNTIFS($J:$J,J34,$K:$K,K34,$F:$F,"&gt;"&amp;F34)+COUNTIFS($J:$J,J34,$K:$K,K34,$F:$F,F34,$G:$G,"&gt;"&amp;G34))</f>
        <v>1</v>
      </c>
      <c r="O34" s="6" t="n">
        <f aca="false">IF(L34="","",SUMIFS(Votes!$E:$E,Votes!$A:$A,J34,Votes!$B:$B,K34,Votes!$D:$D,L34))</f>
        <v>18</v>
      </c>
      <c r="P34" s="6" t="n">
        <f aca="false">IF(L34="","",COUNTIFS(Votes!$A:$A,J34,Votes!$B:$B,K34,Votes!$D:$D,L34))</f>
        <v>8</v>
      </c>
      <c r="Q34" s="7" t="str">
        <f aca="false">IF(F34="","Unscored",IF(O34="","No URI",IF(AND(F34=0,O34=0),"Zero-vote",IF(AND(F34=O34,G34=P34),"OK",IF(AND(F34=0,O34&gt;0,COUNTIFS(Votes!$A:$A,J34,Votes!$B:$B,K34,Votes!$C:$C,D34)=0),"Forfeited","Mismatch")))))</f>
        <v>OK</v>
      </c>
      <c r="R34" s="6" t="n">
        <f aca="false">MAX(IF(L34&lt;&gt;"",COUNTIF($L:$L,L34),0),COUNTIFS($A:$A,A34,$B:$B,B34))</f>
        <v>1</v>
      </c>
      <c r="S34" s="6" t="str">
        <f aca="false">IF(R34&gt;1,COUNTIF($R$2:R34,"&gt;1"),"")</f>
        <v/>
      </c>
      <c r="T34" s="6" t="str">
        <f aca="false">IF(L34="","",J34&amp;"|"&amp;K34&amp;"|"&amp;L34)</f>
        <v>1|4|spotify:track:6SznMYPQJHzr3IwsAHLId2</v>
      </c>
      <c r="U34" s="6" t="str">
        <f aca="false">IF(C34="","",IFERROR(INDEX(Lists!$F:$F,MATCH(C34,Lists!$E:$E,0)),"Unmapped"))</f>
        <v>Pop</v>
      </c>
    </row>
    <row r="35" customFormat="false" ht="15" hidden="false" customHeight="false" outlineLevel="0" collapsed="false">
      <c r="A35" s="5" t="s">
        <v>204</v>
      </c>
      <c r="B35" s="5" t="s">
        <v>205</v>
      </c>
      <c r="C35" s="5" t="s">
        <v>84</v>
      </c>
      <c r="D35" s="5" t="s">
        <v>92</v>
      </c>
      <c r="E35" s="5" t="s">
        <v>202</v>
      </c>
      <c r="F35" s="5" t="n">
        <v>17</v>
      </c>
      <c r="G35" s="5" t="n">
        <v>8</v>
      </c>
      <c r="H35" s="6" t="str">
        <f aca="false">IF(N35="","",N35&amp;IF(AND(MOD(N35,100)&gt;=11,MOD(N35,100)&lt;=13),"th",CHOOSE(MIN(5,MOD(N35,10)+1),"th","st","nd","rd","th")))</f>
        <v>2nd</v>
      </c>
      <c r="I35" s="5" t="s">
        <v>87</v>
      </c>
      <c r="J35" s="6" t="n">
        <f aca="false">IFERROR(INDEX(Rounds!$A:$A,MATCH(I35,Rounds!$B:$B,0)),"ADD LEAGUE TO ROUNDS")</f>
        <v>1</v>
      </c>
      <c r="K35" s="6" t="n">
        <f aca="false">IFERROR(VALUE(LEFT(E35,FIND(" - ",E35)-1)),"")</f>
        <v>4</v>
      </c>
      <c r="L35" s="5" t="s">
        <v>206</v>
      </c>
      <c r="N35" s="6" t="n">
        <f aca="false">IF(F35="","",1+COUNTIFS($J:$J,J35,$K:$K,K35,$F:$F,"&gt;"&amp;F35)+COUNTIFS($J:$J,J35,$K:$K,K35,$F:$F,F35,$G:$G,"&gt;"&amp;G35))</f>
        <v>2</v>
      </c>
      <c r="O35" s="6" t="n">
        <f aca="false">IF(L35="","",SUMIFS(Votes!$E:$E,Votes!$A:$A,J35,Votes!$B:$B,K35,Votes!$D:$D,L35))</f>
        <v>17</v>
      </c>
      <c r="P35" s="6" t="n">
        <f aca="false">IF(L35="","",COUNTIFS(Votes!$A:$A,J35,Votes!$B:$B,K35,Votes!$D:$D,L35))</f>
        <v>8</v>
      </c>
      <c r="Q35" s="7" t="str">
        <f aca="false">IF(F35="","Unscored",IF(O35="","No URI",IF(AND(F35=0,O35=0),"Zero-vote",IF(AND(F35=O35,G35=P35),"OK",IF(AND(F35=0,O35&gt;0,COUNTIFS(Votes!$A:$A,J35,Votes!$B:$B,K35,Votes!$C:$C,D35)=0),"Forfeited","Mismatch")))))</f>
        <v>OK</v>
      </c>
      <c r="R35" s="6" t="n">
        <f aca="false">MAX(IF(L35&lt;&gt;"",COUNTIF($L:$L,L35),0),COUNTIFS($A:$A,A35,$B:$B,B35))</f>
        <v>1</v>
      </c>
      <c r="S35" s="6" t="str">
        <f aca="false">IF(R35&gt;1,COUNTIF($R$2:R35,"&gt;1"),"")</f>
        <v/>
      </c>
      <c r="T35" s="6" t="str">
        <f aca="false">IF(L35="","",J35&amp;"|"&amp;K35&amp;"|"&amp;L35)</f>
        <v>1|4|spotify:track:4pbrp5dxpqjfaf4GiS6YuO</v>
      </c>
      <c r="U35" s="6" t="str">
        <f aca="false">IF(C35="","",IFERROR(INDEX(Lists!$F:$F,MATCH(C35,Lists!$E:$E,0)),"Unmapped"))</f>
        <v>Pop</v>
      </c>
    </row>
    <row r="36" customFormat="false" ht="15" hidden="false" customHeight="false" outlineLevel="0" collapsed="false">
      <c r="A36" s="5" t="s">
        <v>207</v>
      </c>
      <c r="B36" s="5" t="s">
        <v>208</v>
      </c>
      <c r="C36" s="5" t="s">
        <v>84</v>
      </c>
      <c r="D36" s="5" t="s">
        <v>97</v>
      </c>
      <c r="E36" s="5" t="s">
        <v>202</v>
      </c>
      <c r="F36" s="5" t="n">
        <v>13</v>
      </c>
      <c r="G36" s="5" t="n">
        <v>7</v>
      </c>
      <c r="H36" s="6" t="str">
        <f aca="false">IF(N36="","",N36&amp;IF(AND(MOD(N36,100)&gt;=11,MOD(N36,100)&lt;=13),"th",CHOOSE(MIN(5,MOD(N36,10)+1),"th","st","nd","rd","th")))</f>
        <v>3rd</v>
      </c>
      <c r="I36" s="5" t="s">
        <v>87</v>
      </c>
      <c r="J36" s="6" t="n">
        <f aca="false">IFERROR(INDEX(Rounds!$A:$A,MATCH(I36,Rounds!$B:$B,0)),"ADD LEAGUE TO ROUNDS")</f>
        <v>1</v>
      </c>
      <c r="K36" s="6" t="n">
        <f aca="false">IFERROR(VALUE(LEFT(E36,FIND(" - ",E36)-1)),"")</f>
        <v>4</v>
      </c>
      <c r="L36" s="5" t="s">
        <v>209</v>
      </c>
      <c r="N36" s="6" t="n">
        <f aca="false">IF(F36="","",1+COUNTIFS($J:$J,J36,$K:$K,K36,$F:$F,"&gt;"&amp;F36)+COUNTIFS($J:$J,J36,$K:$K,K36,$F:$F,F36,$G:$G,"&gt;"&amp;G36))</f>
        <v>3</v>
      </c>
      <c r="O36" s="6" t="n">
        <f aca="false">IF(L36="","",SUMIFS(Votes!$E:$E,Votes!$A:$A,J36,Votes!$B:$B,K36,Votes!$D:$D,L36))</f>
        <v>13</v>
      </c>
      <c r="P36" s="6" t="n">
        <f aca="false">IF(L36="","",COUNTIFS(Votes!$A:$A,J36,Votes!$B:$B,K36,Votes!$D:$D,L36))</f>
        <v>7</v>
      </c>
      <c r="Q36" s="7" t="str">
        <f aca="false">IF(F36="","Unscored",IF(O36="","No URI",IF(AND(F36=0,O36=0),"Zero-vote",IF(AND(F36=O36,G36=P36),"OK",IF(AND(F36=0,O36&gt;0,COUNTIFS(Votes!$A:$A,J36,Votes!$B:$B,K36,Votes!$C:$C,D36)=0),"Forfeited","Mismatch")))))</f>
        <v>OK</v>
      </c>
      <c r="R36" s="6" t="n">
        <f aca="false">MAX(IF(L36&lt;&gt;"",COUNTIF($L:$L,L36),0),COUNTIFS($A:$A,A36,$B:$B,B36))</f>
        <v>1</v>
      </c>
      <c r="S36" s="6" t="str">
        <f aca="false">IF(R36&gt;1,COUNTIF($R$2:R36,"&gt;1"),"")</f>
        <v/>
      </c>
      <c r="T36" s="6" t="str">
        <f aca="false">IF(L36="","",J36&amp;"|"&amp;K36&amp;"|"&amp;L36)</f>
        <v>1|4|spotify:track:34aYkYrY3sXhEU9O4VQgtB</v>
      </c>
      <c r="U36" s="6" t="str">
        <f aca="false">IF(C36="","",IFERROR(INDEX(Lists!$F:$F,MATCH(C36,Lists!$E:$E,0)),"Unmapped"))</f>
        <v>Pop</v>
      </c>
    </row>
    <row r="37" customFormat="false" ht="15" hidden="false" customHeight="false" outlineLevel="0" collapsed="false">
      <c r="A37" s="5" t="s">
        <v>210</v>
      </c>
      <c r="B37" s="5" t="s">
        <v>211</v>
      </c>
      <c r="C37" s="5" t="s">
        <v>84</v>
      </c>
      <c r="D37" s="5" t="s">
        <v>128</v>
      </c>
      <c r="E37" s="5" t="s">
        <v>202</v>
      </c>
      <c r="F37" s="5" t="n">
        <v>12</v>
      </c>
      <c r="G37" s="5" t="n">
        <v>7</v>
      </c>
      <c r="H37" s="6" t="str">
        <f aca="false">IF(N37="","",N37&amp;IF(AND(MOD(N37,100)&gt;=11,MOD(N37,100)&lt;=13),"th",CHOOSE(MIN(5,MOD(N37,10)+1),"th","st","nd","rd","th")))</f>
        <v>4th</v>
      </c>
      <c r="I37" s="5" t="s">
        <v>87</v>
      </c>
      <c r="J37" s="6" t="n">
        <f aca="false">IFERROR(INDEX(Rounds!$A:$A,MATCH(I37,Rounds!$B:$B,0)),"ADD LEAGUE TO ROUNDS")</f>
        <v>1</v>
      </c>
      <c r="K37" s="6" t="n">
        <f aca="false">IFERROR(VALUE(LEFT(E37,FIND(" - ",E37)-1)),"")</f>
        <v>4</v>
      </c>
      <c r="L37" s="5" t="s">
        <v>212</v>
      </c>
      <c r="N37" s="6" t="n">
        <f aca="false">IF(F37="","",1+COUNTIFS($J:$J,J37,$K:$K,K37,$F:$F,"&gt;"&amp;F37)+COUNTIFS($J:$J,J37,$K:$K,K37,$F:$F,F37,$G:$G,"&gt;"&amp;G37))</f>
        <v>4</v>
      </c>
      <c r="O37" s="6" t="n">
        <f aca="false">IF(L37="","",SUMIFS(Votes!$E:$E,Votes!$A:$A,J37,Votes!$B:$B,K37,Votes!$D:$D,L37))</f>
        <v>12</v>
      </c>
      <c r="P37" s="6" t="n">
        <f aca="false">IF(L37="","",COUNTIFS(Votes!$A:$A,J37,Votes!$B:$B,K37,Votes!$D:$D,L37))</f>
        <v>7</v>
      </c>
      <c r="Q37" s="7" t="str">
        <f aca="false">IF(F37="","Unscored",IF(O37="","No URI",IF(AND(F37=0,O37=0),"Zero-vote",IF(AND(F37=O37,G37=P37),"OK",IF(AND(F37=0,O37&gt;0,COUNTIFS(Votes!$A:$A,J37,Votes!$B:$B,K37,Votes!$C:$C,D37)=0),"Forfeited","Mismatch")))))</f>
        <v>OK</v>
      </c>
      <c r="R37" s="6" t="n">
        <f aca="false">MAX(IF(L37&lt;&gt;"",COUNTIF($L:$L,L37),0),COUNTIFS($A:$A,A37,$B:$B,B37))</f>
        <v>1</v>
      </c>
      <c r="S37" s="6" t="str">
        <f aca="false">IF(R37&gt;1,COUNTIF($R$2:R37,"&gt;1"),"")</f>
        <v/>
      </c>
      <c r="T37" s="6" t="str">
        <f aca="false">IF(L37="","",J37&amp;"|"&amp;K37&amp;"|"&amp;L37)</f>
        <v>1|4|spotify:track:1jhljxXlHw8K9rezXKrnow</v>
      </c>
      <c r="U37" s="6" t="str">
        <f aca="false">IF(C37="","",IFERROR(INDEX(Lists!$F:$F,MATCH(C37,Lists!$E:$E,0)),"Unmapped"))</f>
        <v>Pop</v>
      </c>
    </row>
    <row r="38" customFormat="false" ht="15" hidden="false" customHeight="false" outlineLevel="0" collapsed="false">
      <c r="A38" s="5" t="s">
        <v>213</v>
      </c>
      <c r="B38" s="5" t="s">
        <v>214</v>
      </c>
      <c r="C38" s="5" t="s">
        <v>91</v>
      </c>
      <c r="D38" s="5" t="s">
        <v>101</v>
      </c>
      <c r="E38" s="5" t="s">
        <v>202</v>
      </c>
      <c r="F38" s="5" t="n">
        <v>8</v>
      </c>
      <c r="G38" s="5" t="n">
        <v>6</v>
      </c>
      <c r="H38" s="6" t="str">
        <f aca="false">IF(N38="","",N38&amp;IF(AND(MOD(N38,100)&gt;=11,MOD(N38,100)&lt;=13),"th",CHOOSE(MIN(5,MOD(N38,10)+1),"th","st","nd","rd","th")))</f>
        <v>5th</v>
      </c>
      <c r="I38" s="5" t="s">
        <v>87</v>
      </c>
      <c r="J38" s="6" t="n">
        <f aca="false">IFERROR(INDEX(Rounds!$A:$A,MATCH(I38,Rounds!$B:$B,0)),"ADD LEAGUE TO ROUNDS")</f>
        <v>1</v>
      </c>
      <c r="K38" s="6" t="n">
        <f aca="false">IFERROR(VALUE(LEFT(E38,FIND(" - ",E38)-1)),"")</f>
        <v>4</v>
      </c>
      <c r="L38" s="5" t="s">
        <v>215</v>
      </c>
      <c r="N38" s="6" t="n">
        <f aca="false">IF(F38="","",1+COUNTIFS($J:$J,J38,$K:$K,K38,$F:$F,"&gt;"&amp;F38)+COUNTIFS($J:$J,J38,$K:$K,K38,$F:$F,F38,$G:$G,"&gt;"&amp;G38))</f>
        <v>5</v>
      </c>
      <c r="O38" s="6" t="n">
        <f aca="false">IF(L38="","",SUMIFS(Votes!$E:$E,Votes!$A:$A,J38,Votes!$B:$B,K38,Votes!$D:$D,L38))</f>
        <v>8</v>
      </c>
      <c r="P38" s="6" t="n">
        <f aca="false">IF(L38="","",COUNTIFS(Votes!$A:$A,J38,Votes!$B:$B,K38,Votes!$D:$D,L38))</f>
        <v>6</v>
      </c>
      <c r="Q38" s="7" t="str">
        <f aca="false">IF(F38="","Unscored",IF(O38="","No URI",IF(AND(F38=0,O38=0),"Zero-vote",IF(AND(F38=O38,G38=P38),"OK",IF(AND(F38=0,O38&gt;0,COUNTIFS(Votes!$A:$A,J38,Votes!$B:$B,K38,Votes!$C:$C,D38)=0),"Forfeited","Mismatch")))))</f>
        <v>OK</v>
      </c>
      <c r="R38" s="6" t="n">
        <f aca="false">MAX(IF(L38&lt;&gt;"",COUNTIF($L:$L,L38),0),COUNTIFS($A:$A,A38,$B:$B,B38))</f>
        <v>1</v>
      </c>
      <c r="S38" s="6" t="str">
        <f aca="false">IF(R38&gt;1,COUNTIF($R$2:R38,"&gt;1"),"")</f>
        <v/>
      </c>
      <c r="T38" s="6" t="str">
        <f aca="false">IF(L38="","",J38&amp;"|"&amp;K38&amp;"|"&amp;L38)</f>
        <v>1|4|spotify:track:0mjAU3yKR1QnXnHtjGJqTM</v>
      </c>
      <c r="U38" s="6" t="str">
        <f aca="false">IF(C38="","",IFERROR(INDEX(Lists!$F:$F,MATCH(C38,Lists!$E:$E,0)),"Unmapped"))</f>
        <v>Rock</v>
      </c>
    </row>
    <row r="39" customFormat="false" ht="15" hidden="false" customHeight="false" outlineLevel="0" collapsed="false">
      <c r="A39" s="5" t="s">
        <v>216</v>
      </c>
      <c r="B39" s="5" t="s">
        <v>217</v>
      </c>
      <c r="C39" s="5" t="s">
        <v>91</v>
      </c>
      <c r="D39" s="5" t="s">
        <v>116</v>
      </c>
      <c r="E39" s="5" t="s">
        <v>202</v>
      </c>
      <c r="F39" s="5" t="n">
        <v>7</v>
      </c>
      <c r="G39" s="5" t="n">
        <v>5</v>
      </c>
      <c r="H39" s="6" t="str">
        <f aca="false">IF(N39="","",N39&amp;IF(AND(MOD(N39,100)&gt;=11,MOD(N39,100)&lt;=13),"th",CHOOSE(MIN(5,MOD(N39,10)+1),"th","st","nd","rd","th")))</f>
        <v>6th</v>
      </c>
      <c r="I39" s="5" t="s">
        <v>87</v>
      </c>
      <c r="J39" s="6" t="n">
        <f aca="false">IFERROR(INDEX(Rounds!$A:$A,MATCH(I39,Rounds!$B:$B,0)),"ADD LEAGUE TO ROUNDS")</f>
        <v>1</v>
      </c>
      <c r="K39" s="6" t="n">
        <f aca="false">IFERROR(VALUE(LEFT(E39,FIND(" - ",E39)-1)),"")</f>
        <v>4</v>
      </c>
      <c r="L39" s="5" t="s">
        <v>218</v>
      </c>
      <c r="N39" s="6" t="n">
        <f aca="false">IF(F39="","",1+COUNTIFS($J:$J,J39,$K:$K,K39,$F:$F,"&gt;"&amp;F39)+COUNTIFS($J:$J,J39,$K:$K,K39,$F:$F,F39,$G:$G,"&gt;"&amp;G39))</f>
        <v>6</v>
      </c>
      <c r="O39" s="6" t="n">
        <f aca="false">IF(L39="","",SUMIFS(Votes!$E:$E,Votes!$A:$A,J39,Votes!$B:$B,K39,Votes!$D:$D,L39))</f>
        <v>7</v>
      </c>
      <c r="P39" s="6" t="n">
        <f aca="false">IF(L39="","",COUNTIFS(Votes!$A:$A,J39,Votes!$B:$B,K39,Votes!$D:$D,L39))</f>
        <v>5</v>
      </c>
      <c r="Q39" s="7" t="str">
        <f aca="false">IF(F39="","Unscored",IF(O39="","No URI",IF(AND(F39=0,O39=0),"Zero-vote",IF(AND(F39=O39,G39=P39),"OK",IF(AND(F39=0,O39&gt;0,COUNTIFS(Votes!$A:$A,J39,Votes!$B:$B,K39,Votes!$C:$C,D39)=0),"Forfeited","Mismatch")))))</f>
        <v>OK</v>
      </c>
      <c r="R39" s="6" t="n">
        <f aca="false">MAX(IF(L39&lt;&gt;"",COUNTIF($L:$L,L39),0),COUNTIFS($A:$A,A39,$B:$B,B39))</f>
        <v>1</v>
      </c>
      <c r="S39" s="6" t="str">
        <f aca="false">IF(R39&gt;1,COUNTIF($R$2:R39,"&gt;1"),"")</f>
        <v/>
      </c>
      <c r="T39" s="6" t="str">
        <f aca="false">IF(L39="","",J39&amp;"|"&amp;K39&amp;"|"&amp;L39)</f>
        <v>1|4|spotify:track:6KOtheMY0KN4s9TrQHr9It</v>
      </c>
      <c r="U39" s="6" t="str">
        <f aca="false">IF(C39="","",IFERROR(INDEX(Lists!$F:$F,MATCH(C39,Lists!$E:$E,0)),"Unmapped"))</f>
        <v>Rock</v>
      </c>
    </row>
    <row r="40" customFormat="false" ht="15" hidden="false" customHeight="false" outlineLevel="0" collapsed="false">
      <c r="A40" s="5" t="s">
        <v>219</v>
      </c>
      <c r="B40" s="5" t="s">
        <v>220</v>
      </c>
      <c r="C40" s="5" t="s">
        <v>84</v>
      </c>
      <c r="D40" s="5" t="s">
        <v>111</v>
      </c>
      <c r="E40" s="5" t="s">
        <v>202</v>
      </c>
      <c r="F40" s="5" t="n">
        <v>6</v>
      </c>
      <c r="G40" s="5" t="n">
        <v>5</v>
      </c>
      <c r="H40" s="6" t="str">
        <f aca="false">IF(N40="","",N40&amp;IF(AND(MOD(N40,100)&gt;=11,MOD(N40,100)&lt;=13),"th",CHOOSE(MIN(5,MOD(N40,10)+1),"th","st","nd","rd","th")))</f>
        <v>7th</v>
      </c>
      <c r="I40" s="5" t="s">
        <v>87</v>
      </c>
      <c r="J40" s="6" t="n">
        <f aca="false">IFERROR(INDEX(Rounds!$A:$A,MATCH(I40,Rounds!$B:$B,0)),"ADD LEAGUE TO ROUNDS")</f>
        <v>1</v>
      </c>
      <c r="K40" s="6" t="n">
        <f aca="false">IFERROR(VALUE(LEFT(E40,FIND(" - ",E40)-1)),"")</f>
        <v>4</v>
      </c>
      <c r="L40" s="5" t="s">
        <v>221</v>
      </c>
      <c r="N40" s="6" t="n">
        <f aca="false">IF(F40="","",1+COUNTIFS($J:$J,J40,$K:$K,K40,$F:$F,"&gt;"&amp;F40)+COUNTIFS($J:$J,J40,$K:$K,K40,$F:$F,F40,$G:$G,"&gt;"&amp;G40))</f>
        <v>7</v>
      </c>
      <c r="O40" s="6" t="n">
        <f aca="false">IF(L40="","",SUMIFS(Votes!$E:$E,Votes!$A:$A,J40,Votes!$B:$B,K40,Votes!$D:$D,L40))</f>
        <v>6</v>
      </c>
      <c r="P40" s="6" t="n">
        <f aca="false">IF(L40="","",COUNTIFS(Votes!$A:$A,J40,Votes!$B:$B,K40,Votes!$D:$D,L40))</f>
        <v>5</v>
      </c>
      <c r="Q40" s="7" t="str">
        <f aca="false">IF(F40="","Unscored",IF(O40="","No URI",IF(AND(F40=0,O40=0),"Zero-vote",IF(AND(F40=O40,G40=P40),"OK",IF(AND(F40=0,O40&gt;0,COUNTIFS(Votes!$A:$A,J40,Votes!$B:$B,K40,Votes!$C:$C,D40)=0),"Forfeited","Mismatch")))))</f>
        <v>OK</v>
      </c>
      <c r="R40" s="6" t="n">
        <f aca="false">MAX(IF(L40&lt;&gt;"",COUNTIF($L:$L,L40),0),COUNTIFS($A:$A,A40,$B:$B,B40))</f>
        <v>1</v>
      </c>
      <c r="S40" s="6" t="str">
        <f aca="false">IF(R40&gt;1,COUNTIF($R$2:R40,"&gt;1"),"")</f>
        <v/>
      </c>
      <c r="T40" s="6" t="str">
        <f aca="false">IF(L40="","",J40&amp;"|"&amp;K40&amp;"|"&amp;L40)</f>
        <v>1|4|spotify:track:0mUyMawtxj1CJ76kn9gIZK</v>
      </c>
      <c r="U40" s="6" t="str">
        <f aca="false">IF(C40="","",IFERROR(INDEX(Lists!$F:$F,MATCH(C40,Lists!$E:$E,0)),"Unmapped"))</f>
        <v>Pop</v>
      </c>
    </row>
    <row r="41" customFormat="false" ht="15" hidden="false" customHeight="false" outlineLevel="0" collapsed="false">
      <c r="A41" s="5" t="s">
        <v>222</v>
      </c>
      <c r="B41" s="5" t="s">
        <v>223</v>
      </c>
      <c r="C41" s="5" t="s">
        <v>91</v>
      </c>
      <c r="D41" s="5" t="s">
        <v>106</v>
      </c>
      <c r="E41" s="5" t="s">
        <v>202</v>
      </c>
      <c r="F41" s="5" t="n">
        <v>6</v>
      </c>
      <c r="G41" s="5" t="n">
        <v>5</v>
      </c>
      <c r="H41" s="6" t="str">
        <f aca="false">IF(N41="","",N41&amp;IF(AND(MOD(N41,100)&gt;=11,MOD(N41,100)&lt;=13),"th",CHOOSE(MIN(5,MOD(N41,10)+1),"th","st","nd","rd","th")))</f>
        <v>7th</v>
      </c>
      <c r="I41" s="5" t="s">
        <v>87</v>
      </c>
      <c r="J41" s="6" t="n">
        <f aca="false">IFERROR(INDEX(Rounds!$A:$A,MATCH(I41,Rounds!$B:$B,0)),"ADD LEAGUE TO ROUNDS")</f>
        <v>1</v>
      </c>
      <c r="K41" s="6" t="n">
        <f aca="false">IFERROR(VALUE(LEFT(E41,FIND(" - ",E41)-1)),"")</f>
        <v>4</v>
      </c>
      <c r="L41" s="5" t="s">
        <v>224</v>
      </c>
      <c r="N41" s="6" t="n">
        <f aca="false">IF(F41="","",1+COUNTIFS($J:$J,J41,$K:$K,K41,$F:$F,"&gt;"&amp;F41)+COUNTIFS($J:$J,J41,$K:$K,K41,$F:$F,F41,$G:$G,"&gt;"&amp;G41))</f>
        <v>7</v>
      </c>
      <c r="O41" s="6" t="n">
        <f aca="false">IF(L41="","",SUMIFS(Votes!$E:$E,Votes!$A:$A,J41,Votes!$B:$B,K41,Votes!$D:$D,L41))</f>
        <v>6</v>
      </c>
      <c r="P41" s="6" t="n">
        <f aca="false">IF(L41="","",COUNTIFS(Votes!$A:$A,J41,Votes!$B:$B,K41,Votes!$D:$D,L41))</f>
        <v>5</v>
      </c>
      <c r="Q41" s="7" t="str">
        <f aca="false">IF(F41="","Unscored",IF(O41="","No URI",IF(AND(F41=0,O41=0),"Zero-vote",IF(AND(F41=O41,G41=P41),"OK",IF(AND(F41=0,O41&gt;0,COUNTIFS(Votes!$A:$A,J41,Votes!$B:$B,K41,Votes!$C:$C,D41)=0),"Forfeited","Mismatch")))))</f>
        <v>OK</v>
      </c>
      <c r="R41" s="6" t="n">
        <f aca="false">MAX(IF(L41&lt;&gt;"",COUNTIF($L:$L,L41),0),COUNTIFS($A:$A,A41,$B:$B,B41))</f>
        <v>1</v>
      </c>
      <c r="S41" s="6" t="str">
        <f aca="false">IF(R41&gt;1,COUNTIF($R$2:R41,"&gt;1"),"")</f>
        <v/>
      </c>
      <c r="T41" s="6" t="str">
        <f aca="false">IF(L41="","",J41&amp;"|"&amp;K41&amp;"|"&amp;L41)</f>
        <v>1|4|spotify:track:1wQXj5bgxyZQ2XmE2X9s6n</v>
      </c>
      <c r="U41" s="6" t="str">
        <f aca="false">IF(C41="","",IFERROR(INDEX(Lists!$F:$F,MATCH(C41,Lists!$E:$E,0)),"Unmapped"))</f>
        <v>Rock</v>
      </c>
    </row>
    <row r="42" customFormat="false" ht="15" hidden="false" customHeight="false" outlineLevel="0" collapsed="false">
      <c r="A42" s="5" t="s">
        <v>225</v>
      </c>
      <c r="B42" s="5" t="s">
        <v>226</v>
      </c>
      <c r="C42" s="5" t="s">
        <v>91</v>
      </c>
      <c r="D42" s="5" t="s">
        <v>119</v>
      </c>
      <c r="E42" s="5" t="s">
        <v>202</v>
      </c>
      <c r="F42" s="5" t="n">
        <v>3</v>
      </c>
      <c r="G42" s="5" t="n">
        <v>3</v>
      </c>
      <c r="H42" s="6" t="str">
        <f aca="false">IF(N42="","",N42&amp;IF(AND(MOD(N42,100)&gt;=11,MOD(N42,100)&lt;=13),"th",CHOOSE(MIN(5,MOD(N42,10)+1),"th","st","nd","rd","th")))</f>
        <v>9th</v>
      </c>
      <c r="I42" s="5" t="s">
        <v>87</v>
      </c>
      <c r="J42" s="6" t="n">
        <f aca="false">IFERROR(INDEX(Rounds!$A:$A,MATCH(I42,Rounds!$B:$B,0)),"ADD LEAGUE TO ROUNDS")</f>
        <v>1</v>
      </c>
      <c r="K42" s="6" t="n">
        <f aca="false">IFERROR(VALUE(LEFT(E42,FIND(" - ",E42)-1)),"")</f>
        <v>4</v>
      </c>
      <c r="L42" s="5" t="s">
        <v>227</v>
      </c>
      <c r="N42" s="6" t="n">
        <f aca="false">IF(F42="","",1+COUNTIFS($J:$J,J42,$K:$K,K42,$F:$F,"&gt;"&amp;F42)+COUNTIFS($J:$J,J42,$K:$K,K42,$F:$F,F42,$G:$G,"&gt;"&amp;G42))</f>
        <v>9</v>
      </c>
      <c r="O42" s="6" t="n">
        <f aca="false">IF(L42="","",SUMIFS(Votes!$E:$E,Votes!$A:$A,J42,Votes!$B:$B,K42,Votes!$D:$D,L42))</f>
        <v>3</v>
      </c>
      <c r="P42" s="6" t="n">
        <f aca="false">IF(L42="","",COUNTIFS(Votes!$A:$A,J42,Votes!$B:$B,K42,Votes!$D:$D,L42))</f>
        <v>3</v>
      </c>
      <c r="Q42" s="7" t="str">
        <f aca="false">IF(F42="","Unscored",IF(O42="","No URI",IF(AND(F42=0,O42=0),"Zero-vote",IF(AND(F42=O42,G42=P42),"OK",IF(AND(F42=0,O42&gt;0,COUNTIFS(Votes!$A:$A,J42,Votes!$B:$B,K42,Votes!$C:$C,D42)=0),"Forfeited","Mismatch")))))</f>
        <v>OK</v>
      </c>
      <c r="R42" s="6" t="n">
        <f aca="false">MAX(IF(L42&lt;&gt;"",COUNTIF($L:$L,L42),0),COUNTIFS($A:$A,A42,$B:$B,B42))</f>
        <v>1</v>
      </c>
      <c r="S42" s="6" t="str">
        <f aca="false">IF(R42&gt;1,COUNTIF($R$2:R42,"&gt;1"),"")</f>
        <v/>
      </c>
      <c r="T42" s="6" t="str">
        <f aca="false">IF(L42="","",J42&amp;"|"&amp;K42&amp;"|"&amp;L42)</f>
        <v>1|4|spotify:track:5Jzs8DYFtxTMWFcDh4dK3j</v>
      </c>
      <c r="U42" s="6" t="str">
        <f aca="false">IF(C42="","",IFERROR(INDEX(Lists!$F:$F,MATCH(C42,Lists!$E:$E,0)),"Unmapped"))</f>
        <v>Rock</v>
      </c>
    </row>
    <row r="43" customFormat="false" ht="15" hidden="false" customHeight="false" outlineLevel="0" collapsed="false">
      <c r="A43" s="5" t="s">
        <v>228</v>
      </c>
      <c r="B43" s="5" t="s">
        <v>229</v>
      </c>
      <c r="C43" s="5" t="s">
        <v>84</v>
      </c>
      <c r="D43" s="5" t="s">
        <v>85</v>
      </c>
      <c r="E43" s="5" t="s">
        <v>230</v>
      </c>
      <c r="F43" s="5" t="n">
        <v>19</v>
      </c>
      <c r="G43" s="5" t="n">
        <v>8</v>
      </c>
      <c r="H43" s="6" t="str">
        <f aca="false">IF(N43="","",N43&amp;IF(AND(MOD(N43,100)&gt;=11,MOD(N43,100)&lt;=13),"th",CHOOSE(MIN(5,MOD(N43,10)+1),"th","st","nd","rd","th")))</f>
        <v>1st</v>
      </c>
      <c r="I43" s="5" t="s">
        <v>87</v>
      </c>
      <c r="J43" s="6" t="n">
        <f aca="false">IFERROR(INDEX(Rounds!$A:$A,MATCH(I43,Rounds!$B:$B,0)),"ADD LEAGUE TO ROUNDS")</f>
        <v>1</v>
      </c>
      <c r="K43" s="6" t="n">
        <f aca="false">IFERROR(VALUE(LEFT(E43,FIND(" - ",E43)-1)),"")</f>
        <v>5</v>
      </c>
      <c r="L43" s="5" t="s">
        <v>231</v>
      </c>
      <c r="N43" s="6" t="n">
        <f aca="false">IF(F43="","",1+COUNTIFS($J:$J,J43,$K:$K,K43,$F:$F,"&gt;"&amp;F43)+COUNTIFS($J:$J,J43,$K:$K,K43,$F:$F,F43,$G:$G,"&gt;"&amp;G43))</f>
        <v>1</v>
      </c>
      <c r="O43" s="6" t="n">
        <f aca="false">IF(L43="","",SUMIFS(Votes!$E:$E,Votes!$A:$A,J43,Votes!$B:$B,K43,Votes!$D:$D,L43))</f>
        <v>19</v>
      </c>
      <c r="P43" s="6" t="n">
        <f aca="false">IF(L43="","",COUNTIFS(Votes!$A:$A,J43,Votes!$B:$B,K43,Votes!$D:$D,L43))</f>
        <v>8</v>
      </c>
      <c r="Q43" s="7" t="str">
        <f aca="false">IF(F43="","Unscored",IF(O43="","No URI",IF(AND(F43=0,O43=0),"Zero-vote",IF(AND(F43=O43,G43=P43),"OK",IF(AND(F43=0,O43&gt;0,COUNTIFS(Votes!$A:$A,J43,Votes!$B:$B,K43,Votes!$C:$C,D43)=0),"Forfeited","Mismatch")))))</f>
        <v>OK</v>
      </c>
      <c r="R43" s="6" t="n">
        <f aca="false">MAX(IF(L43&lt;&gt;"",COUNTIF($L:$L,L43),0),COUNTIFS($A:$A,A43,$B:$B,B43))</f>
        <v>1</v>
      </c>
      <c r="S43" s="6" t="str">
        <f aca="false">IF(R43&gt;1,COUNTIF($R$2:R43,"&gt;1"),"")</f>
        <v/>
      </c>
      <c r="T43" s="6" t="str">
        <f aca="false">IF(L43="","",J43&amp;"|"&amp;K43&amp;"|"&amp;L43)</f>
        <v>1|5|spotify:track:6pkRK6iZC2Yhhd172tC9Id</v>
      </c>
      <c r="U43" s="6" t="str">
        <f aca="false">IF(C43="","",IFERROR(INDEX(Lists!$F:$F,MATCH(C43,Lists!$E:$E,0)),"Unmapped"))</f>
        <v>Pop</v>
      </c>
    </row>
    <row r="44" customFormat="false" ht="15" hidden="false" customHeight="false" outlineLevel="0" collapsed="false">
      <c r="A44" s="5" t="s">
        <v>232</v>
      </c>
      <c r="B44" s="5" t="s">
        <v>233</v>
      </c>
      <c r="C44" s="5" t="s">
        <v>84</v>
      </c>
      <c r="D44" s="5" t="s">
        <v>116</v>
      </c>
      <c r="E44" s="5" t="s">
        <v>230</v>
      </c>
      <c r="F44" s="5" t="n">
        <v>17</v>
      </c>
      <c r="G44" s="5" t="n">
        <v>9</v>
      </c>
      <c r="H44" s="6" t="str">
        <f aca="false">IF(N44="","",N44&amp;IF(AND(MOD(N44,100)&gt;=11,MOD(N44,100)&lt;=13),"th",CHOOSE(MIN(5,MOD(N44,10)+1),"th","st","nd","rd","th")))</f>
        <v>2nd</v>
      </c>
      <c r="I44" s="5" t="s">
        <v>87</v>
      </c>
      <c r="J44" s="6" t="n">
        <f aca="false">IFERROR(INDEX(Rounds!$A:$A,MATCH(I44,Rounds!$B:$B,0)),"ADD LEAGUE TO ROUNDS")</f>
        <v>1</v>
      </c>
      <c r="K44" s="6" t="n">
        <f aca="false">IFERROR(VALUE(LEFT(E44,FIND(" - ",E44)-1)),"")</f>
        <v>5</v>
      </c>
      <c r="L44" s="5" t="s">
        <v>234</v>
      </c>
      <c r="N44" s="6" t="n">
        <f aca="false">IF(F44="","",1+COUNTIFS($J:$J,J44,$K:$K,K44,$F:$F,"&gt;"&amp;F44)+COUNTIFS($J:$J,J44,$K:$K,K44,$F:$F,F44,$G:$G,"&gt;"&amp;G44))</f>
        <v>2</v>
      </c>
      <c r="O44" s="6" t="n">
        <f aca="false">IF(L44="","",SUMIFS(Votes!$E:$E,Votes!$A:$A,J44,Votes!$B:$B,K44,Votes!$D:$D,L44))</f>
        <v>17</v>
      </c>
      <c r="P44" s="6" t="n">
        <f aca="false">IF(L44="","",COUNTIFS(Votes!$A:$A,J44,Votes!$B:$B,K44,Votes!$D:$D,L44))</f>
        <v>9</v>
      </c>
      <c r="Q44" s="7" t="str">
        <f aca="false">IF(F44="","Unscored",IF(O44="","No URI",IF(AND(F44=0,O44=0),"Zero-vote",IF(AND(F44=O44,G44=P44),"OK",IF(AND(F44=0,O44&gt;0,COUNTIFS(Votes!$A:$A,J44,Votes!$B:$B,K44,Votes!$C:$C,D44)=0),"Forfeited","Mismatch")))))</f>
        <v>OK</v>
      </c>
      <c r="R44" s="6" t="n">
        <f aca="false">MAX(IF(L44&lt;&gt;"",COUNTIF($L:$L,L44),0),COUNTIFS($A:$A,A44,$B:$B,B44))</f>
        <v>1</v>
      </c>
      <c r="S44" s="6" t="str">
        <f aca="false">IF(R44&gt;1,COUNTIF($R$2:R44,"&gt;1"),"")</f>
        <v/>
      </c>
      <c r="T44" s="6" t="str">
        <f aca="false">IF(L44="","",J44&amp;"|"&amp;K44&amp;"|"&amp;L44)</f>
        <v>1|5|spotify:track:5hnGrTBaEsdukpDF6aZg8a</v>
      </c>
      <c r="U44" s="6" t="str">
        <f aca="false">IF(C44="","",IFERROR(INDEX(Lists!$F:$F,MATCH(C44,Lists!$E:$E,0)),"Unmapped"))</f>
        <v>Pop</v>
      </c>
    </row>
    <row r="45" customFormat="false" ht="15" hidden="false" customHeight="false" outlineLevel="0" collapsed="false">
      <c r="A45" s="5" t="s">
        <v>235</v>
      </c>
      <c r="B45" s="5" t="s">
        <v>236</v>
      </c>
      <c r="C45" s="5" t="s">
        <v>132</v>
      </c>
      <c r="D45" s="5" t="s">
        <v>97</v>
      </c>
      <c r="E45" s="5" t="s">
        <v>230</v>
      </c>
      <c r="F45" s="5" t="n">
        <v>16</v>
      </c>
      <c r="G45" s="5" t="n">
        <v>7</v>
      </c>
      <c r="H45" s="6" t="str">
        <f aca="false">IF(N45="","",N45&amp;IF(AND(MOD(N45,100)&gt;=11,MOD(N45,100)&lt;=13),"th",CHOOSE(MIN(5,MOD(N45,10)+1),"th","st","nd","rd","th")))</f>
        <v>3rd</v>
      </c>
      <c r="I45" s="5" t="s">
        <v>87</v>
      </c>
      <c r="J45" s="6" t="n">
        <f aca="false">IFERROR(INDEX(Rounds!$A:$A,MATCH(I45,Rounds!$B:$B,0)),"ADD LEAGUE TO ROUNDS")</f>
        <v>1</v>
      </c>
      <c r="K45" s="6" t="n">
        <f aca="false">IFERROR(VALUE(LEFT(E45,FIND(" - ",E45)-1)),"")</f>
        <v>5</v>
      </c>
      <c r="L45" s="5" t="s">
        <v>237</v>
      </c>
      <c r="N45" s="6" t="n">
        <f aca="false">IF(F45="","",1+COUNTIFS($J:$J,J45,$K:$K,K45,$F:$F,"&gt;"&amp;F45)+COUNTIFS($J:$J,J45,$K:$K,K45,$F:$F,F45,$G:$G,"&gt;"&amp;G45))</f>
        <v>3</v>
      </c>
      <c r="O45" s="6" t="n">
        <f aca="false">IF(L45="","",SUMIFS(Votes!$E:$E,Votes!$A:$A,J45,Votes!$B:$B,K45,Votes!$D:$D,L45))</f>
        <v>16</v>
      </c>
      <c r="P45" s="6" t="n">
        <f aca="false">IF(L45="","",COUNTIFS(Votes!$A:$A,J45,Votes!$B:$B,K45,Votes!$D:$D,L45))</f>
        <v>7</v>
      </c>
      <c r="Q45" s="7" t="str">
        <f aca="false">IF(F45="","Unscored",IF(O45="","No URI",IF(AND(F45=0,O45=0),"Zero-vote",IF(AND(F45=O45,G45=P45),"OK",IF(AND(F45=0,O45&gt;0,COUNTIFS(Votes!$A:$A,J45,Votes!$B:$B,K45,Votes!$C:$C,D45)=0),"Forfeited","Mismatch")))))</f>
        <v>OK</v>
      </c>
      <c r="R45" s="6" t="n">
        <f aca="false">MAX(IF(L45&lt;&gt;"",COUNTIF($L:$L,L45),0),COUNTIFS($A:$A,A45,$B:$B,B45))</f>
        <v>1</v>
      </c>
      <c r="S45" s="6" t="str">
        <f aca="false">IF(R45&gt;1,COUNTIF($R$2:R45,"&gt;1"),"")</f>
        <v/>
      </c>
      <c r="T45" s="6" t="str">
        <f aca="false">IF(L45="","",J45&amp;"|"&amp;K45&amp;"|"&amp;L45)</f>
        <v>1|5|spotify:track:780W6YW5HFANQLR77Owern</v>
      </c>
      <c r="U45" s="6" t="str">
        <f aca="false">IF(C45="","",IFERROR(INDEX(Lists!$F:$F,MATCH(C45,Lists!$E:$E,0)),"Unmapped"))</f>
        <v>Soundtrack/Musical</v>
      </c>
    </row>
    <row r="46" customFormat="false" ht="15" hidden="false" customHeight="false" outlineLevel="0" collapsed="false">
      <c r="A46" s="5" t="s">
        <v>238</v>
      </c>
      <c r="B46" s="5" t="s">
        <v>239</v>
      </c>
      <c r="C46" s="5" t="s">
        <v>91</v>
      </c>
      <c r="D46" s="5" t="s">
        <v>92</v>
      </c>
      <c r="E46" s="5" t="s">
        <v>230</v>
      </c>
      <c r="F46" s="5" t="n">
        <v>13</v>
      </c>
      <c r="G46" s="5" t="n">
        <v>7</v>
      </c>
      <c r="H46" s="6" t="str">
        <f aca="false">IF(N46="","",N46&amp;IF(AND(MOD(N46,100)&gt;=11,MOD(N46,100)&lt;=13),"th",CHOOSE(MIN(5,MOD(N46,10)+1),"th","st","nd","rd","th")))</f>
        <v>4th</v>
      </c>
      <c r="I46" s="5" t="s">
        <v>87</v>
      </c>
      <c r="J46" s="6" t="n">
        <f aca="false">IFERROR(INDEX(Rounds!$A:$A,MATCH(I46,Rounds!$B:$B,0)),"ADD LEAGUE TO ROUNDS")</f>
        <v>1</v>
      </c>
      <c r="K46" s="6" t="n">
        <f aca="false">IFERROR(VALUE(LEFT(E46,FIND(" - ",E46)-1)),"")</f>
        <v>5</v>
      </c>
      <c r="L46" s="5" t="s">
        <v>240</v>
      </c>
      <c r="N46" s="6" t="n">
        <f aca="false">IF(F46="","",1+COUNTIFS($J:$J,J46,$K:$K,K46,$F:$F,"&gt;"&amp;F46)+COUNTIFS($J:$J,J46,$K:$K,K46,$F:$F,F46,$G:$G,"&gt;"&amp;G46))</f>
        <v>4</v>
      </c>
      <c r="O46" s="6" t="n">
        <f aca="false">IF(L46="","",SUMIFS(Votes!$E:$E,Votes!$A:$A,J46,Votes!$B:$B,K46,Votes!$D:$D,L46))</f>
        <v>13</v>
      </c>
      <c r="P46" s="6" t="n">
        <f aca="false">IF(L46="","",COUNTIFS(Votes!$A:$A,J46,Votes!$B:$B,K46,Votes!$D:$D,L46))</f>
        <v>7</v>
      </c>
      <c r="Q46" s="7" t="str">
        <f aca="false">IF(F46="","Unscored",IF(O46="","No URI",IF(AND(F46=0,O46=0),"Zero-vote",IF(AND(F46=O46,G46=P46),"OK",IF(AND(F46=0,O46&gt;0,COUNTIFS(Votes!$A:$A,J46,Votes!$B:$B,K46,Votes!$C:$C,D46)=0),"Forfeited","Mismatch")))))</f>
        <v>OK</v>
      </c>
      <c r="R46" s="6" t="n">
        <f aca="false">MAX(IF(L46&lt;&gt;"",COUNTIF($L:$L,L46),0),COUNTIFS($A:$A,A46,$B:$B,B46))</f>
        <v>1</v>
      </c>
      <c r="S46" s="6" t="str">
        <f aca="false">IF(R46&gt;1,COUNTIF($R$2:R46,"&gt;1"),"")</f>
        <v/>
      </c>
      <c r="T46" s="6" t="str">
        <f aca="false">IF(L46="","",J46&amp;"|"&amp;K46&amp;"|"&amp;L46)</f>
        <v>1|5|spotify:track:0a19Y5a4mXE75w2N6EV7y2</v>
      </c>
      <c r="U46" s="6" t="str">
        <f aca="false">IF(C46="","",IFERROR(INDEX(Lists!$F:$F,MATCH(C46,Lists!$E:$E,0)),"Unmapped"))</f>
        <v>Rock</v>
      </c>
    </row>
    <row r="47" customFormat="false" ht="15" hidden="false" customHeight="false" outlineLevel="0" collapsed="false">
      <c r="A47" s="5" t="s">
        <v>241</v>
      </c>
      <c r="B47" s="5" t="s">
        <v>242</v>
      </c>
      <c r="C47" s="5" t="s">
        <v>132</v>
      </c>
      <c r="D47" s="5" t="s">
        <v>128</v>
      </c>
      <c r="E47" s="5" t="s">
        <v>230</v>
      </c>
      <c r="F47" s="5" t="n">
        <v>9</v>
      </c>
      <c r="G47" s="5" t="n">
        <v>6</v>
      </c>
      <c r="H47" s="6" t="str">
        <f aca="false">IF(N47="","",N47&amp;IF(AND(MOD(N47,100)&gt;=11,MOD(N47,100)&lt;=13),"th",CHOOSE(MIN(5,MOD(N47,10)+1),"th","st","nd","rd","th")))</f>
        <v>5th</v>
      </c>
      <c r="I47" s="5" t="s">
        <v>87</v>
      </c>
      <c r="J47" s="6" t="n">
        <f aca="false">IFERROR(INDEX(Rounds!$A:$A,MATCH(I47,Rounds!$B:$B,0)),"ADD LEAGUE TO ROUNDS")</f>
        <v>1</v>
      </c>
      <c r="K47" s="6" t="n">
        <f aca="false">IFERROR(VALUE(LEFT(E47,FIND(" - ",E47)-1)),"")</f>
        <v>5</v>
      </c>
      <c r="L47" s="5" t="s">
        <v>243</v>
      </c>
      <c r="N47" s="6" t="n">
        <f aca="false">IF(F47="","",1+COUNTIFS($J:$J,J47,$K:$K,K47,$F:$F,"&gt;"&amp;F47)+COUNTIFS($J:$J,J47,$K:$K,K47,$F:$F,F47,$G:$G,"&gt;"&amp;G47))</f>
        <v>5</v>
      </c>
      <c r="O47" s="6" t="n">
        <f aca="false">IF(L47="","",SUMIFS(Votes!$E:$E,Votes!$A:$A,J47,Votes!$B:$B,K47,Votes!$D:$D,L47))</f>
        <v>9</v>
      </c>
      <c r="P47" s="6" t="n">
        <f aca="false">IF(L47="","",COUNTIFS(Votes!$A:$A,J47,Votes!$B:$B,K47,Votes!$D:$D,L47))</f>
        <v>6</v>
      </c>
      <c r="Q47" s="7" t="str">
        <f aca="false">IF(F47="","Unscored",IF(O47="","No URI",IF(AND(F47=0,O47=0),"Zero-vote",IF(AND(F47=O47,G47=P47),"OK",IF(AND(F47=0,O47&gt;0,COUNTIFS(Votes!$A:$A,J47,Votes!$B:$B,K47,Votes!$C:$C,D47)=0),"Forfeited","Mismatch")))))</f>
        <v>OK</v>
      </c>
      <c r="R47" s="6" t="n">
        <f aca="false">MAX(IF(L47&lt;&gt;"",COUNTIF($L:$L,L47),0),COUNTIFS($A:$A,A47,$B:$B,B47))</f>
        <v>1</v>
      </c>
      <c r="S47" s="6" t="str">
        <f aca="false">IF(R47&gt;1,COUNTIF($R$2:R47,"&gt;1"),"")</f>
        <v/>
      </c>
      <c r="T47" s="6" t="str">
        <f aca="false">IF(L47="","",J47&amp;"|"&amp;K47&amp;"|"&amp;L47)</f>
        <v>1|5|spotify:track:6aWWF20lTBd9KgNc9IRIM2</v>
      </c>
      <c r="U47" s="6" t="str">
        <f aca="false">IF(C47="","",IFERROR(INDEX(Lists!$F:$F,MATCH(C47,Lists!$E:$E,0)),"Unmapped"))</f>
        <v>Soundtrack/Musical</v>
      </c>
    </row>
    <row r="48" customFormat="false" ht="15" hidden="false" customHeight="false" outlineLevel="0" collapsed="false">
      <c r="A48" s="5" t="s">
        <v>244</v>
      </c>
      <c r="B48" s="5" t="s">
        <v>104</v>
      </c>
      <c r="C48" s="5" t="s">
        <v>105</v>
      </c>
      <c r="D48" s="5" t="s">
        <v>106</v>
      </c>
      <c r="E48" s="5" t="s">
        <v>230</v>
      </c>
      <c r="F48" s="5" t="n">
        <v>8</v>
      </c>
      <c r="G48" s="5" t="n">
        <v>5</v>
      </c>
      <c r="H48" s="6" t="str">
        <f aca="false">IF(N48="","",N48&amp;IF(AND(MOD(N48,100)&gt;=11,MOD(N48,100)&lt;=13),"th",CHOOSE(MIN(5,MOD(N48,10)+1),"th","st","nd","rd","th")))</f>
        <v>6th</v>
      </c>
      <c r="I48" s="5" t="s">
        <v>87</v>
      </c>
      <c r="J48" s="6" t="n">
        <f aca="false">IFERROR(INDEX(Rounds!$A:$A,MATCH(I48,Rounds!$B:$B,0)),"ADD LEAGUE TO ROUNDS")</f>
        <v>1</v>
      </c>
      <c r="K48" s="6" t="n">
        <f aca="false">IFERROR(VALUE(LEFT(E48,FIND(" - ",E48)-1)),"")</f>
        <v>5</v>
      </c>
      <c r="L48" s="5" t="s">
        <v>245</v>
      </c>
      <c r="N48" s="6" t="n">
        <f aca="false">IF(F48="","",1+COUNTIFS($J:$J,J48,$K:$K,K48,$F:$F,"&gt;"&amp;F48)+COUNTIFS($J:$J,J48,$K:$K,K48,$F:$F,F48,$G:$G,"&gt;"&amp;G48))</f>
        <v>6</v>
      </c>
      <c r="O48" s="6" t="n">
        <f aca="false">IF(L48="","",SUMIFS(Votes!$E:$E,Votes!$A:$A,J48,Votes!$B:$B,K48,Votes!$D:$D,L48))</f>
        <v>8</v>
      </c>
      <c r="P48" s="6" t="n">
        <f aca="false">IF(L48="","",COUNTIFS(Votes!$A:$A,J48,Votes!$B:$B,K48,Votes!$D:$D,L48))</f>
        <v>5</v>
      </c>
      <c r="Q48" s="7" t="str">
        <f aca="false">IF(F48="","Unscored",IF(O48="","No URI",IF(AND(F48=0,O48=0),"Zero-vote",IF(AND(F48=O48,G48=P48),"OK",IF(AND(F48=0,O48&gt;0,COUNTIFS(Votes!$A:$A,J48,Votes!$B:$B,K48,Votes!$C:$C,D48)=0),"Forfeited","Mismatch")))))</f>
        <v>OK</v>
      </c>
      <c r="R48" s="6" t="n">
        <f aca="false">MAX(IF(L48&lt;&gt;"",COUNTIF($L:$L,L48),0),COUNTIFS($A:$A,A48,$B:$B,B48))</f>
        <v>1</v>
      </c>
      <c r="S48" s="6" t="str">
        <f aca="false">IF(R48&gt;1,COUNTIF($R$2:R48,"&gt;1"),"")</f>
        <v/>
      </c>
      <c r="T48" s="6" t="str">
        <f aca="false">IF(L48="","",J48&amp;"|"&amp;K48&amp;"|"&amp;L48)</f>
        <v>1|5|spotify:track:29JLgNBcOky7QB68OrvYxO</v>
      </c>
      <c r="U48" s="6" t="str">
        <f aca="false">IF(C48="","",IFERROR(INDEX(Lists!$F:$F,MATCH(C48,Lists!$E:$E,0)),"Unmapped"))</f>
        <v>Metal</v>
      </c>
    </row>
    <row r="49" customFormat="false" ht="15" hidden="false" customHeight="false" outlineLevel="0" collapsed="false">
      <c r="A49" s="5" t="s">
        <v>246</v>
      </c>
      <c r="B49" s="5" t="s">
        <v>247</v>
      </c>
      <c r="C49" s="5" t="s">
        <v>248</v>
      </c>
      <c r="D49" s="5" t="s">
        <v>101</v>
      </c>
      <c r="E49" s="5" t="s">
        <v>230</v>
      </c>
      <c r="F49" s="5" t="n">
        <v>7</v>
      </c>
      <c r="G49" s="5" t="n">
        <v>5</v>
      </c>
      <c r="H49" s="6" t="str">
        <f aca="false">IF(N49="","",N49&amp;IF(AND(MOD(N49,100)&gt;=11,MOD(N49,100)&lt;=13),"th",CHOOSE(MIN(5,MOD(N49,10)+1),"th","st","nd","rd","th")))</f>
        <v>7th</v>
      </c>
      <c r="I49" s="5" t="s">
        <v>87</v>
      </c>
      <c r="J49" s="6" t="n">
        <f aca="false">IFERROR(INDEX(Rounds!$A:$A,MATCH(I49,Rounds!$B:$B,0)),"ADD LEAGUE TO ROUNDS")</f>
        <v>1</v>
      </c>
      <c r="K49" s="6" t="n">
        <f aca="false">IFERROR(VALUE(LEFT(E49,FIND(" - ",E49)-1)),"")</f>
        <v>5</v>
      </c>
      <c r="L49" s="5" t="s">
        <v>249</v>
      </c>
      <c r="N49" s="6" t="n">
        <f aca="false">IF(F49="","",1+COUNTIFS($J:$J,J49,$K:$K,K49,$F:$F,"&gt;"&amp;F49)+COUNTIFS($J:$J,J49,$K:$K,K49,$F:$F,F49,$G:$G,"&gt;"&amp;G49))</f>
        <v>7</v>
      </c>
      <c r="O49" s="6" t="n">
        <f aca="false">IF(L49="","",SUMIFS(Votes!$E:$E,Votes!$A:$A,J49,Votes!$B:$B,K49,Votes!$D:$D,L49))</f>
        <v>7</v>
      </c>
      <c r="P49" s="6" t="n">
        <f aca="false">IF(L49="","",COUNTIFS(Votes!$A:$A,J49,Votes!$B:$B,K49,Votes!$D:$D,L49))</f>
        <v>5</v>
      </c>
      <c r="Q49" s="7" t="str">
        <f aca="false">IF(F49="","Unscored",IF(O49="","No URI",IF(AND(F49=0,O49=0),"Zero-vote",IF(AND(F49=O49,G49=P49),"OK",IF(AND(F49=0,O49&gt;0,COUNTIFS(Votes!$A:$A,J49,Votes!$B:$B,K49,Votes!$C:$C,D49)=0),"Forfeited","Mismatch")))))</f>
        <v>OK</v>
      </c>
      <c r="R49" s="6" t="n">
        <f aca="false">MAX(IF(L49&lt;&gt;"",COUNTIF($L:$L,L49),0),COUNTIFS($A:$A,A49,$B:$B,B49))</f>
        <v>1</v>
      </c>
      <c r="S49" s="6" t="str">
        <f aca="false">IF(R49&gt;1,COUNTIF($R$2:R49,"&gt;1"),"")</f>
        <v/>
      </c>
      <c r="T49" s="6" t="str">
        <f aca="false">IF(L49="","",J49&amp;"|"&amp;K49&amp;"|"&amp;L49)</f>
        <v>1|5|spotify:track:5yJaXWIErrrsjQ3J0eR5aK</v>
      </c>
      <c r="U49" s="6" t="str">
        <f aca="false">IF(C49="","",IFERROR(INDEX(Lists!$F:$F,MATCH(C49,Lists!$E:$E,0)),"Unmapped"))</f>
        <v>Folk/Americana</v>
      </c>
    </row>
    <row r="50" customFormat="false" ht="15" hidden="false" customHeight="false" outlineLevel="0" collapsed="false">
      <c r="A50" s="5" t="s">
        <v>250</v>
      </c>
      <c r="B50" s="5" t="s">
        <v>251</v>
      </c>
      <c r="C50" s="5" t="s">
        <v>84</v>
      </c>
      <c r="D50" s="5" t="s">
        <v>123</v>
      </c>
      <c r="E50" s="5" t="s">
        <v>230</v>
      </c>
      <c r="F50" s="5" t="n">
        <v>5</v>
      </c>
      <c r="G50" s="5" t="n">
        <v>5</v>
      </c>
      <c r="H50" s="6" t="str">
        <f aca="false">IF(N50="","",N50&amp;IF(AND(MOD(N50,100)&gt;=11,MOD(N50,100)&lt;=13),"th",CHOOSE(MIN(5,MOD(N50,10)+1),"th","st","nd","rd","th")))</f>
        <v>8th</v>
      </c>
      <c r="I50" s="5" t="s">
        <v>87</v>
      </c>
      <c r="J50" s="6" t="n">
        <f aca="false">IFERROR(INDEX(Rounds!$A:$A,MATCH(I50,Rounds!$B:$B,0)),"ADD LEAGUE TO ROUNDS")</f>
        <v>1</v>
      </c>
      <c r="K50" s="6" t="n">
        <f aca="false">IFERROR(VALUE(LEFT(E50,FIND(" - ",E50)-1)),"")</f>
        <v>5</v>
      </c>
      <c r="L50" s="5" t="s">
        <v>252</v>
      </c>
      <c r="N50" s="6" t="n">
        <f aca="false">IF(F50="","",1+COUNTIFS($J:$J,J50,$K:$K,K50,$F:$F,"&gt;"&amp;F50)+COUNTIFS($J:$J,J50,$K:$K,K50,$F:$F,F50,$G:$G,"&gt;"&amp;G50))</f>
        <v>8</v>
      </c>
      <c r="O50" s="6" t="n">
        <f aca="false">IF(L50="","",SUMIFS(Votes!$E:$E,Votes!$A:$A,J50,Votes!$B:$B,K50,Votes!$D:$D,L50))</f>
        <v>5</v>
      </c>
      <c r="P50" s="6" t="n">
        <f aca="false">IF(L50="","",COUNTIFS(Votes!$A:$A,J50,Votes!$B:$B,K50,Votes!$D:$D,L50))</f>
        <v>5</v>
      </c>
      <c r="Q50" s="7" t="str">
        <f aca="false">IF(F50="","Unscored",IF(O50="","No URI",IF(AND(F50=0,O50=0),"Zero-vote",IF(AND(F50=O50,G50=P50),"OK",IF(AND(F50=0,O50&gt;0,COUNTIFS(Votes!$A:$A,J50,Votes!$B:$B,K50,Votes!$C:$C,D50)=0),"Forfeited","Mismatch")))))</f>
        <v>OK</v>
      </c>
      <c r="R50" s="6" t="n">
        <f aca="false">MAX(IF(L50&lt;&gt;"",COUNTIF($L:$L,L50),0),COUNTIFS($A:$A,A50,$B:$B,B50))</f>
        <v>1</v>
      </c>
      <c r="S50" s="6" t="str">
        <f aca="false">IF(R50&gt;1,COUNTIF($R$2:R50,"&gt;1"),"")</f>
        <v/>
      </c>
      <c r="T50" s="6" t="str">
        <f aca="false">IF(L50="","",J50&amp;"|"&amp;K50&amp;"|"&amp;L50)</f>
        <v>1|5|spotify:track:3QaPy1KgI7nu9FJEQUgn6h</v>
      </c>
      <c r="U50" s="6" t="str">
        <f aca="false">IF(C50="","",IFERROR(INDEX(Lists!$F:$F,MATCH(C50,Lists!$E:$E,0)),"Unmapped"))</f>
        <v>Pop</v>
      </c>
    </row>
    <row r="51" customFormat="false" ht="15" hidden="false" customHeight="false" outlineLevel="0" collapsed="false">
      <c r="A51" s="5" t="s">
        <v>253</v>
      </c>
      <c r="B51" s="5" t="s">
        <v>201</v>
      </c>
      <c r="C51" s="5" t="s">
        <v>84</v>
      </c>
      <c r="D51" s="5" t="s">
        <v>119</v>
      </c>
      <c r="E51" s="5" t="s">
        <v>230</v>
      </c>
      <c r="F51" s="5" t="n">
        <v>4</v>
      </c>
      <c r="G51" s="5" t="n">
        <v>4</v>
      </c>
      <c r="H51" s="6" t="str">
        <f aca="false">IF(N51="","",N51&amp;IF(AND(MOD(N51,100)&gt;=11,MOD(N51,100)&lt;=13),"th",CHOOSE(MIN(5,MOD(N51,10)+1),"th","st","nd","rd","th")))</f>
        <v>9th</v>
      </c>
      <c r="I51" s="5" t="s">
        <v>87</v>
      </c>
      <c r="J51" s="6" t="n">
        <f aca="false">IFERROR(INDEX(Rounds!$A:$A,MATCH(I51,Rounds!$B:$B,0)),"ADD LEAGUE TO ROUNDS")</f>
        <v>1</v>
      </c>
      <c r="K51" s="6" t="n">
        <f aca="false">IFERROR(VALUE(LEFT(E51,FIND(" - ",E51)-1)),"")</f>
        <v>5</v>
      </c>
      <c r="L51" s="5" t="s">
        <v>254</v>
      </c>
      <c r="N51" s="6" t="n">
        <f aca="false">IF(F51="","",1+COUNTIFS($J:$J,J51,$K:$K,K51,$F:$F,"&gt;"&amp;F51)+COUNTIFS($J:$J,J51,$K:$K,K51,$F:$F,F51,$G:$G,"&gt;"&amp;G51))</f>
        <v>9</v>
      </c>
      <c r="O51" s="6" t="n">
        <f aca="false">IF(L51="","",SUMIFS(Votes!$E:$E,Votes!$A:$A,J51,Votes!$B:$B,K51,Votes!$D:$D,L51))</f>
        <v>4</v>
      </c>
      <c r="P51" s="6" t="n">
        <f aca="false">IF(L51="","",COUNTIFS(Votes!$A:$A,J51,Votes!$B:$B,K51,Votes!$D:$D,L51))</f>
        <v>4</v>
      </c>
      <c r="Q51" s="7" t="str">
        <f aca="false">IF(F51="","Unscored",IF(O51="","No URI",IF(AND(F51=0,O51=0),"Zero-vote",IF(AND(F51=O51,G51=P51),"OK",IF(AND(F51=0,O51&gt;0,COUNTIFS(Votes!$A:$A,J51,Votes!$B:$B,K51,Votes!$C:$C,D51)=0),"Forfeited","Mismatch")))))</f>
        <v>OK</v>
      </c>
      <c r="R51" s="6" t="n">
        <f aca="false">MAX(IF(L51&lt;&gt;"",COUNTIF($L:$L,L51),0),COUNTIFS($A:$A,A51,$B:$B,B51))</f>
        <v>1</v>
      </c>
      <c r="S51" s="6" t="str">
        <f aca="false">IF(R51&gt;1,COUNTIF($R$2:R51,"&gt;1"),"")</f>
        <v/>
      </c>
      <c r="T51" s="6" t="str">
        <f aca="false">IF(L51="","",J51&amp;"|"&amp;K51&amp;"|"&amp;L51)</f>
        <v>1|5|spotify:track:5DFi6D7SrYHRIgZbY5MqqE</v>
      </c>
      <c r="U51" s="6" t="str">
        <f aca="false">IF(C51="","",IFERROR(INDEX(Lists!$F:$F,MATCH(C51,Lists!$E:$E,0)),"Unmapped"))</f>
        <v>Pop</v>
      </c>
    </row>
    <row r="52" customFormat="false" ht="15" hidden="false" customHeight="false" outlineLevel="0" collapsed="false">
      <c r="A52" s="5" t="s">
        <v>255</v>
      </c>
      <c r="B52" s="5" t="s">
        <v>256</v>
      </c>
      <c r="C52" s="5" t="s">
        <v>84</v>
      </c>
      <c r="D52" s="5" t="s">
        <v>111</v>
      </c>
      <c r="E52" s="5" t="s">
        <v>230</v>
      </c>
      <c r="F52" s="5" t="n">
        <v>2</v>
      </c>
      <c r="G52" s="5" t="n">
        <v>1</v>
      </c>
      <c r="H52" s="6" t="str">
        <f aca="false">IF(N52="","",N52&amp;IF(AND(MOD(N52,100)&gt;=11,MOD(N52,100)&lt;=13),"th",CHOOSE(MIN(5,MOD(N52,10)+1),"th","st","nd","rd","th")))</f>
        <v>10th</v>
      </c>
      <c r="I52" s="5" t="s">
        <v>87</v>
      </c>
      <c r="J52" s="6" t="n">
        <f aca="false">IFERROR(INDEX(Rounds!$A:$A,MATCH(I52,Rounds!$B:$B,0)),"ADD LEAGUE TO ROUNDS")</f>
        <v>1</v>
      </c>
      <c r="K52" s="6" t="n">
        <f aca="false">IFERROR(VALUE(LEFT(E52,FIND(" - ",E52)-1)),"")</f>
        <v>5</v>
      </c>
      <c r="L52" s="5" t="s">
        <v>257</v>
      </c>
      <c r="N52" s="6" t="n">
        <f aca="false">IF(F52="","",1+COUNTIFS($J:$J,J52,$K:$K,K52,$F:$F,"&gt;"&amp;F52)+COUNTIFS($J:$J,J52,$K:$K,K52,$F:$F,F52,$G:$G,"&gt;"&amp;G52))</f>
        <v>10</v>
      </c>
      <c r="O52" s="6" t="n">
        <f aca="false">IF(L52="","",SUMIFS(Votes!$E:$E,Votes!$A:$A,J52,Votes!$B:$B,K52,Votes!$D:$D,L52))</f>
        <v>2</v>
      </c>
      <c r="P52" s="6" t="n">
        <f aca="false">IF(L52="","",COUNTIFS(Votes!$A:$A,J52,Votes!$B:$B,K52,Votes!$D:$D,L52))</f>
        <v>1</v>
      </c>
      <c r="Q52" s="7" t="str">
        <f aca="false">IF(F52="","Unscored",IF(O52="","No URI",IF(AND(F52=0,O52=0),"Zero-vote",IF(AND(F52=O52,G52=P52),"OK",IF(AND(F52=0,O52&gt;0,COUNTIFS(Votes!$A:$A,J52,Votes!$B:$B,K52,Votes!$C:$C,D52)=0),"Forfeited","Mismatch")))))</f>
        <v>OK</v>
      </c>
      <c r="R52" s="6" t="n">
        <f aca="false">MAX(IF(L52&lt;&gt;"",COUNTIF($L:$L,L52),0),COUNTIFS($A:$A,A52,$B:$B,B52))</f>
        <v>1</v>
      </c>
      <c r="S52" s="6" t="str">
        <f aca="false">IF(R52&gt;1,COUNTIF($R$2:R52,"&gt;1"),"")</f>
        <v/>
      </c>
      <c r="T52" s="6" t="str">
        <f aca="false">IF(L52="","",J52&amp;"|"&amp;K52&amp;"|"&amp;L52)</f>
        <v>1|5|spotify:track:2goLsvvODILDzeeiT4dAoR</v>
      </c>
      <c r="U52" s="6" t="str">
        <f aca="false">IF(C52="","",IFERROR(INDEX(Lists!$F:$F,MATCH(C52,Lists!$E:$E,0)),"Unmapped"))</f>
        <v>Pop</v>
      </c>
    </row>
    <row r="53" customFormat="false" ht="15" hidden="false" customHeight="false" outlineLevel="0" collapsed="false">
      <c r="A53" s="5" t="s">
        <v>258</v>
      </c>
      <c r="B53" s="5" t="s">
        <v>259</v>
      </c>
      <c r="C53" s="5" t="s">
        <v>110</v>
      </c>
      <c r="D53" s="5" t="s">
        <v>119</v>
      </c>
      <c r="E53" s="5" t="s">
        <v>260</v>
      </c>
      <c r="F53" s="5" t="n">
        <v>13</v>
      </c>
      <c r="G53" s="5" t="n">
        <v>8</v>
      </c>
      <c r="H53" s="6" t="str">
        <f aca="false">IF(N53="","",N53&amp;IF(AND(MOD(N53,100)&gt;=11,MOD(N53,100)&lt;=13),"th",CHOOSE(MIN(5,MOD(N53,10)+1),"th","st","nd","rd","th")))</f>
        <v>1st</v>
      </c>
      <c r="I53" s="5" t="s">
        <v>87</v>
      </c>
      <c r="J53" s="6" t="n">
        <f aca="false">IFERROR(INDEX(Rounds!$A:$A,MATCH(I53,Rounds!$B:$B,0)),"ADD LEAGUE TO ROUNDS")</f>
        <v>1</v>
      </c>
      <c r="K53" s="6" t="n">
        <f aca="false">IFERROR(VALUE(LEFT(E53,FIND(" - ",E53)-1)),"")</f>
        <v>6</v>
      </c>
      <c r="L53" s="5" t="s">
        <v>261</v>
      </c>
      <c r="N53" s="6" t="n">
        <f aca="false">IF(F53="","",1+COUNTIFS($J:$J,J53,$K:$K,K53,$F:$F,"&gt;"&amp;F53)+COUNTIFS($J:$J,J53,$K:$K,K53,$F:$F,F53,$G:$G,"&gt;"&amp;G53))</f>
        <v>1</v>
      </c>
      <c r="O53" s="6" t="n">
        <f aca="false">IF(L53="","",SUMIFS(Votes!$E:$E,Votes!$A:$A,J53,Votes!$B:$B,K53,Votes!$D:$D,L53))</f>
        <v>13</v>
      </c>
      <c r="P53" s="6" t="n">
        <f aca="false">IF(L53="","",COUNTIFS(Votes!$A:$A,J53,Votes!$B:$B,K53,Votes!$D:$D,L53))</f>
        <v>8</v>
      </c>
      <c r="Q53" s="7" t="str">
        <f aca="false">IF(F53="","Unscored",IF(O53="","No URI",IF(AND(F53=0,O53=0),"Zero-vote",IF(AND(F53=O53,G53=P53),"OK",IF(AND(F53=0,O53&gt;0,COUNTIFS(Votes!$A:$A,J53,Votes!$B:$B,K53,Votes!$C:$C,D53)=0),"Forfeited","Mismatch")))))</f>
        <v>OK</v>
      </c>
      <c r="R53" s="6" t="n">
        <f aca="false">MAX(IF(L53&lt;&gt;"",COUNTIF($L:$L,L53),0),COUNTIFS($A:$A,A53,$B:$B,B53))</f>
        <v>1</v>
      </c>
      <c r="S53" s="6" t="str">
        <f aca="false">IF(R53&gt;1,COUNTIF($R$2:R53,"&gt;1"),"")</f>
        <v/>
      </c>
      <c r="T53" s="6" t="str">
        <f aca="false">IF(L53="","",J53&amp;"|"&amp;K53&amp;"|"&amp;L53)</f>
        <v>1|6|spotify:track:3UmaczJpikHgJFyBTAJVoz</v>
      </c>
      <c r="U53" s="6" t="str">
        <f aca="false">IF(C53="","",IFERROR(INDEX(Lists!$F:$F,MATCH(C53,Lists!$E:$E,0)),"Unmapped"))</f>
        <v>Hip-Hop/Rap</v>
      </c>
    </row>
    <row r="54" customFormat="false" ht="15" hidden="false" customHeight="false" outlineLevel="0" collapsed="false">
      <c r="A54" s="5" t="s">
        <v>262</v>
      </c>
      <c r="B54" s="5" t="s">
        <v>263</v>
      </c>
      <c r="C54" s="5" t="s">
        <v>248</v>
      </c>
      <c r="D54" s="5" t="s">
        <v>97</v>
      </c>
      <c r="E54" s="5" t="s">
        <v>260</v>
      </c>
      <c r="F54" s="5" t="n">
        <v>12</v>
      </c>
      <c r="G54" s="5" t="n">
        <v>7</v>
      </c>
      <c r="H54" s="6" t="str">
        <f aca="false">IF(N54="","",N54&amp;IF(AND(MOD(N54,100)&gt;=11,MOD(N54,100)&lt;=13),"th",CHOOSE(MIN(5,MOD(N54,10)+1),"th","st","nd","rd","th")))</f>
        <v>2nd</v>
      </c>
      <c r="I54" s="5" t="s">
        <v>87</v>
      </c>
      <c r="J54" s="6" t="n">
        <f aca="false">IFERROR(INDEX(Rounds!$A:$A,MATCH(I54,Rounds!$B:$B,0)),"ADD LEAGUE TO ROUNDS")</f>
        <v>1</v>
      </c>
      <c r="K54" s="6" t="n">
        <f aca="false">IFERROR(VALUE(LEFT(E54,FIND(" - ",E54)-1)),"")</f>
        <v>6</v>
      </c>
      <c r="L54" s="5" t="s">
        <v>264</v>
      </c>
      <c r="N54" s="6" t="n">
        <f aca="false">IF(F54="","",1+COUNTIFS($J:$J,J54,$K:$K,K54,$F:$F,"&gt;"&amp;F54)+COUNTIFS($J:$J,J54,$K:$K,K54,$F:$F,F54,$G:$G,"&gt;"&amp;G54))</f>
        <v>2</v>
      </c>
      <c r="O54" s="6" t="n">
        <f aca="false">IF(L54="","",SUMIFS(Votes!$E:$E,Votes!$A:$A,J54,Votes!$B:$B,K54,Votes!$D:$D,L54))</f>
        <v>12</v>
      </c>
      <c r="P54" s="6" t="n">
        <f aca="false">IF(L54="","",COUNTIFS(Votes!$A:$A,J54,Votes!$B:$B,K54,Votes!$D:$D,L54))</f>
        <v>7</v>
      </c>
      <c r="Q54" s="7" t="str">
        <f aca="false">IF(F54="","Unscored",IF(O54="","No URI",IF(AND(F54=0,O54=0),"Zero-vote",IF(AND(F54=O54,G54=P54),"OK",IF(AND(F54=0,O54&gt;0,COUNTIFS(Votes!$A:$A,J54,Votes!$B:$B,K54,Votes!$C:$C,D54)=0),"Forfeited","Mismatch")))))</f>
        <v>OK</v>
      </c>
      <c r="R54" s="6" t="n">
        <f aca="false">MAX(IF(L54&lt;&gt;"",COUNTIF($L:$L,L54),0),COUNTIFS($A:$A,A54,$B:$B,B54))</f>
        <v>1</v>
      </c>
      <c r="S54" s="6" t="str">
        <f aca="false">IF(R54&gt;1,COUNTIF($R$2:R54,"&gt;1"),"")</f>
        <v/>
      </c>
      <c r="T54" s="6" t="str">
        <f aca="false">IF(L54="","",J54&amp;"|"&amp;K54&amp;"|"&amp;L54)</f>
        <v>1|6|spotify:track:6ZBeRXjadHvBk9VYSnoO0R</v>
      </c>
      <c r="U54" s="6" t="str">
        <f aca="false">IF(C54="","",IFERROR(INDEX(Lists!$F:$F,MATCH(C54,Lists!$E:$E,0)),"Unmapped"))</f>
        <v>Folk/Americana</v>
      </c>
    </row>
    <row r="55" customFormat="false" ht="15" hidden="false" customHeight="false" outlineLevel="0" collapsed="false">
      <c r="A55" s="5" t="s">
        <v>265</v>
      </c>
      <c r="B55" s="5" t="s">
        <v>201</v>
      </c>
      <c r="C55" s="5" t="s">
        <v>84</v>
      </c>
      <c r="D55" s="5" t="s">
        <v>92</v>
      </c>
      <c r="E55" s="5" t="s">
        <v>260</v>
      </c>
      <c r="F55" s="5" t="n">
        <v>11</v>
      </c>
      <c r="G55" s="5" t="n">
        <v>8</v>
      </c>
      <c r="H55" s="6" t="str">
        <f aca="false">IF(N55="","",N55&amp;IF(AND(MOD(N55,100)&gt;=11,MOD(N55,100)&lt;=13),"th",CHOOSE(MIN(5,MOD(N55,10)+1),"th","st","nd","rd","th")))</f>
        <v>3rd</v>
      </c>
      <c r="I55" s="5" t="s">
        <v>87</v>
      </c>
      <c r="J55" s="6" t="n">
        <f aca="false">IFERROR(INDEX(Rounds!$A:$A,MATCH(I55,Rounds!$B:$B,0)),"ADD LEAGUE TO ROUNDS")</f>
        <v>1</v>
      </c>
      <c r="K55" s="6" t="n">
        <f aca="false">IFERROR(VALUE(LEFT(E55,FIND(" - ",E55)-1)),"")</f>
        <v>6</v>
      </c>
      <c r="L55" s="5" t="s">
        <v>266</v>
      </c>
      <c r="N55" s="6" t="n">
        <f aca="false">IF(F55="","",1+COUNTIFS($J:$J,J55,$K:$K,K55,$F:$F,"&gt;"&amp;F55)+COUNTIFS($J:$J,J55,$K:$K,K55,$F:$F,F55,$G:$G,"&gt;"&amp;G55))</f>
        <v>3</v>
      </c>
      <c r="O55" s="6" t="n">
        <f aca="false">IF(L55="","",SUMIFS(Votes!$E:$E,Votes!$A:$A,J55,Votes!$B:$B,K55,Votes!$D:$D,L55))</f>
        <v>11</v>
      </c>
      <c r="P55" s="6" t="n">
        <f aca="false">IF(L55="","",COUNTIFS(Votes!$A:$A,J55,Votes!$B:$B,K55,Votes!$D:$D,L55))</f>
        <v>8</v>
      </c>
      <c r="Q55" s="7" t="str">
        <f aca="false">IF(F55="","Unscored",IF(O55="","No URI",IF(AND(F55=0,O55=0),"Zero-vote",IF(AND(F55=O55,G55=P55),"OK",IF(AND(F55=0,O55&gt;0,COUNTIFS(Votes!$A:$A,J55,Votes!$B:$B,K55,Votes!$C:$C,D55)=0),"Forfeited","Mismatch")))))</f>
        <v>OK</v>
      </c>
      <c r="R55" s="6" t="n">
        <f aca="false">MAX(IF(L55&lt;&gt;"",COUNTIF($L:$L,L55),0),COUNTIFS($A:$A,A55,$B:$B,B55))</f>
        <v>1</v>
      </c>
      <c r="S55" s="6" t="str">
        <f aca="false">IF(R55&gt;1,COUNTIF($R$2:R55,"&gt;1"),"")</f>
        <v/>
      </c>
      <c r="T55" s="6" t="str">
        <f aca="false">IF(L55="","",J55&amp;"|"&amp;K55&amp;"|"&amp;L55)</f>
        <v>1|6|spotify:track:35QZaWQRkmnAVqBF1TLCxQ</v>
      </c>
      <c r="U55" s="6" t="str">
        <f aca="false">IF(C55="","",IFERROR(INDEX(Lists!$F:$F,MATCH(C55,Lists!$E:$E,0)),"Unmapped"))</f>
        <v>Pop</v>
      </c>
    </row>
    <row r="56" customFormat="false" ht="15" hidden="false" customHeight="false" outlineLevel="0" collapsed="false">
      <c r="A56" s="5" t="s">
        <v>267</v>
      </c>
      <c r="B56" s="5" t="s">
        <v>268</v>
      </c>
      <c r="C56" s="5" t="s">
        <v>171</v>
      </c>
      <c r="D56" s="5" t="s">
        <v>116</v>
      </c>
      <c r="E56" s="5" t="s">
        <v>260</v>
      </c>
      <c r="F56" s="5" t="n">
        <v>11</v>
      </c>
      <c r="G56" s="5" t="n">
        <v>7</v>
      </c>
      <c r="H56" s="6" t="str">
        <f aca="false">IF(N56="","",N56&amp;IF(AND(MOD(N56,100)&gt;=11,MOD(N56,100)&lt;=13),"th",CHOOSE(MIN(5,MOD(N56,10)+1),"th","st","nd","rd","th")))</f>
        <v>4th</v>
      </c>
      <c r="I56" s="5" t="s">
        <v>87</v>
      </c>
      <c r="J56" s="6" t="n">
        <f aca="false">IFERROR(INDEX(Rounds!$A:$A,MATCH(I56,Rounds!$B:$B,0)),"ADD LEAGUE TO ROUNDS")</f>
        <v>1</v>
      </c>
      <c r="K56" s="6" t="n">
        <f aca="false">IFERROR(VALUE(LEFT(E56,FIND(" - ",E56)-1)),"")</f>
        <v>6</v>
      </c>
      <c r="L56" s="5" t="s">
        <v>269</v>
      </c>
      <c r="N56" s="6" t="n">
        <f aca="false">IF(F56="","",1+COUNTIFS($J:$J,J56,$K:$K,K56,$F:$F,"&gt;"&amp;F56)+COUNTIFS($J:$J,J56,$K:$K,K56,$F:$F,F56,$G:$G,"&gt;"&amp;G56))</f>
        <v>4</v>
      </c>
      <c r="O56" s="6" t="n">
        <f aca="false">IF(L56="","",SUMIFS(Votes!$E:$E,Votes!$A:$A,J56,Votes!$B:$B,K56,Votes!$D:$D,L56))</f>
        <v>11</v>
      </c>
      <c r="P56" s="6" t="n">
        <f aca="false">IF(L56="","",COUNTIFS(Votes!$A:$A,J56,Votes!$B:$B,K56,Votes!$D:$D,L56))</f>
        <v>7</v>
      </c>
      <c r="Q56" s="7" t="str">
        <f aca="false">IF(F56="","Unscored",IF(O56="","No URI",IF(AND(F56=0,O56=0),"Zero-vote",IF(AND(F56=O56,G56=P56),"OK",IF(AND(F56=0,O56&gt;0,COUNTIFS(Votes!$A:$A,J56,Votes!$B:$B,K56,Votes!$C:$C,D56)=0),"Forfeited","Mismatch")))))</f>
        <v>OK</v>
      </c>
      <c r="R56" s="6" t="n">
        <f aca="false">MAX(IF(L56&lt;&gt;"",COUNTIF($L:$L,L56),0),COUNTIFS($A:$A,A56,$B:$B,B56))</f>
        <v>1</v>
      </c>
      <c r="S56" s="6" t="str">
        <f aca="false">IF(R56&gt;1,COUNTIF($R$2:R56,"&gt;1"),"")</f>
        <v/>
      </c>
      <c r="T56" s="6" t="str">
        <f aca="false">IF(L56="","",J56&amp;"|"&amp;K56&amp;"|"&amp;L56)</f>
        <v>1|6|spotify:track:3iBemYZi4lw53UYDlxqMlw</v>
      </c>
      <c r="U56" s="6" t="str">
        <f aca="false">IF(C56="","",IFERROR(INDEX(Lists!$F:$F,MATCH(C56,Lists!$E:$E,0)),"Unmapped"))</f>
        <v>Country</v>
      </c>
    </row>
    <row r="57" customFormat="false" ht="15" hidden="false" customHeight="false" outlineLevel="0" collapsed="false">
      <c r="A57" s="5" t="s">
        <v>270</v>
      </c>
      <c r="B57" s="5" t="s">
        <v>271</v>
      </c>
      <c r="C57" s="5" t="s">
        <v>91</v>
      </c>
      <c r="D57" s="5" t="s">
        <v>106</v>
      </c>
      <c r="E57" s="5" t="s">
        <v>260</v>
      </c>
      <c r="F57" s="5" t="n">
        <v>11</v>
      </c>
      <c r="G57" s="5" t="n">
        <v>6</v>
      </c>
      <c r="H57" s="6" t="str">
        <f aca="false">IF(N57="","",N57&amp;IF(AND(MOD(N57,100)&gt;=11,MOD(N57,100)&lt;=13),"th",CHOOSE(MIN(5,MOD(N57,10)+1),"th","st","nd","rd","th")))</f>
        <v>5th</v>
      </c>
      <c r="I57" s="5" t="s">
        <v>87</v>
      </c>
      <c r="J57" s="6" t="n">
        <f aca="false">IFERROR(INDEX(Rounds!$A:$A,MATCH(I57,Rounds!$B:$B,0)),"ADD LEAGUE TO ROUNDS")</f>
        <v>1</v>
      </c>
      <c r="K57" s="6" t="n">
        <f aca="false">IFERROR(VALUE(LEFT(E57,FIND(" - ",E57)-1)),"")</f>
        <v>6</v>
      </c>
      <c r="L57" s="5" t="s">
        <v>272</v>
      </c>
      <c r="N57" s="6" t="n">
        <f aca="false">IF(F57="","",1+COUNTIFS($J:$J,J57,$K:$K,K57,$F:$F,"&gt;"&amp;F57)+COUNTIFS($J:$J,J57,$K:$K,K57,$F:$F,F57,$G:$G,"&gt;"&amp;G57))</f>
        <v>5</v>
      </c>
      <c r="O57" s="6" t="n">
        <f aca="false">IF(L57="","",SUMIFS(Votes!$E:$E,Votes!$A:$A,J57,Votes!$B:$B,K57,Votes!$D:$D,L57))</f>
        <v>11</v>
      </c>
      <c r="P57" s="6" t="n">
        <f aca="false">IF(L57="","",COUNTIFS(Votes!$A:$A,J57,Votes!$B:$B,K57,Votes!$D:$D,L57))</f>
        <v>6</v>
      </c>
      <c r="Q57" s="7" t="str">
        <f aca="false">IF(F57="","Unscored",IF(O57="","No URI",IF(AND(F57=0,O57=0),"Zero-vote",IF(AND(F57=O57,G57=P57),"OK",IF(AND(F57=0,O57&gt;0,COUNTIFS(Votes!$A:$A,J57,Votes!$B:$B,K57,Votes!$C:$C,D57)=0),"Forfeited","Mismatch")))))</f>
        <v>OK</v>
      </c>
      <c r="R57" s="6" t="n">
        <f aca="false">MAX(IF(L57&lt;&gt;"",COUNTIF($L:$L,L57),0),COUNTIFS($A:$A,A57,$B:$B,B57))</f>
        <v>1</v>
      </c>
      <c r="S57" s="6" t="str">
        <f aca="false">IF(R57&gt;1,COUNTIF($R$2:R57,"&gt;1"),"")</f>
        <v/>
      </c>
      <c r="T57" s="6" t="str">
        <f aca="false">IF(L57="","",J57&amp;"|"&amp;K57&amp;"|"&amp;L57)</f>
        <v>1|6|spotify:track:39cFQHfY6tsdMRmSbFse3X</v>
      </c>
      <c r="U57" s="6" t="str">
        <f aca="false">IF(C57="","",IFERROR(INDEX(Lists!$F:$F,MATCH(C57,Lists!$E:$E,0)),"Unmapped"))</f>
        <v>Rock</v>
      </c>
    </row>
    <row r="58" customFormat="false" ht="15" hidden="false" customHeight="false" outlineLevel="0" collapsed="false">
      <c r="A58" s="5" t="s">
        <v>273</v>
      </c>
      <c r="B58" s="5" t="s">
        <v>274</v>
      </c>
      <c r="C58" s="5" t="s">
        <v>171</v>
      </c>
      <c r="D58" s="5" t="s">
        <v>128</v>
      </c>
      <c r="E58" s="5" t="s">
        <v>260</v>
      </c>
      <c r="F58" s="5" t="n">
        <v>10</v>
      </c>
      <c r="G58" s="5" t="n">
        <v>8</v>
      </c>
      <c r="H58" s="6" t="str">
        <f aca="false">IF(N58="","",N58&amp;IF(AND(MOD(N58,100)&gt;=11,MOD(N58,100)&lt;=13),"th",CHOOSE(MIN(5,MOD(N58,10)+1),"th","st","nd","rd","th")))</f>
        <v>6th</v>
      </c>
      <c r="I58" s="5" t="s">
        <v>87</v>
      </c>
      <c r="J58" s="6" t="n">
        <f aca="false">IFERROR(INDEX(Rounds!$A:$A,MATCH(I58,Rounds!$B:$B,0)),"ADD LEAGUE TO ROUNDS")</f>
        <v>1</v>
      </c>
      <c r="K58" s="6" t="n">
        <f aca="false">IFERROR(VALUE(LEFT(E58,FIND(" - ",E58)-1)),"")</f>
        <v>6</v>
      </c>
      <c r="L58" s="5" t="s">
        <v>275</v>
      </c>
      <c r="N58" s="6" t="n">
        <f aca="false">IF(F58="","",1+COUNTIFS($J:$J,J58,$K:$K,K58,$F:$F,"&gt;"&amp;F58)+COUNTIFS($J:$J,J58,$K:$K,K58,$F:$F,F58,$G:$G,"&gt;"&amp;G58))</f>
        <v>6</v>
      </c>
      <c r="O58" s="6" t="n">
        <f aca="false">IF(L58="","",SUMIFS(Votes!$E:$E,Votes!$A:$A,J58,Votes!$B:$B,K58,Votes!$D:$D,L58))</f>
        <v>10</v>
      </c>
      <c r="P58" s="6" t="n">
        <f aca="false">IF(L58="","",COUNTIFS(Votes!$A:$A,J58,Votes!$B:$B,K58,Votes!$D:$D,L58))</f>
        <v>8</v>
      </c>
      <c r="Q58" s="7" t="str">
        <f aca="false">IF(F58="","Unscored",IF(O58="","No URI",IF(AND(F58=0,O58=0),"Zero-vote",IF(AND(F58=O58,G58=P58),"OK",IF(AND(F58=0,O58&gt;0,COUNTIFS(Votes!$A:$A,J58,Votes!$B:$B,K58,Votes!$C:$C,D58)=0),"Forfeited","Mismatch")))))</f>
        <v>OK</v>
      </c>
      <c r="R58" s="6" t="n">
        <f aca="false">MAX(IF(L58&lt;&gt;"",COUNTIF($L:$L,L58),0),COUNTIFS($A:$A,A58,$B:$B,B58))</f>
        <v>1</v>
      </c>
      <c r="S58" s="6" t="str">
        <f aca="false">IF(R58&gt;1,COUNTIF($R$2:R58,"&gt;1"),"")</f>
        <v/>
      </c>
      <c r="T58" s="6" t="str">
        <f aca="false">IF(L58="","",J58&amp;"|"&amp;K58&amp;"|"&amp;L58)</f>
        <v>1|6|spotify:track:7rqaqQurHzR5xHAhdm1gmM</v>
      </c>
      <c r="U58" s="6" t="str">
        <f aca="false">IF(C58="","",IFERROR(INDEX(Lists!$F:$F,MATCH(C58,Lists!$E:$E,0)),"Unmapped"))</f>
        <v>Country</v>
      </c>
    </row>
    <row r="59" customFormat="false" ht="15" hidden="false" customHeight="false" outlineLevel="0" collapsed="false">
      <c r="A59" s="5" t="s">
        <v>276</v>
      </c>
      <c r="B59" s="5" t="s">
        <v>277</v>
      </c>
      <c r="C59" s="5" t="s">
        <v>171</v>
      </c>
      <c r="D59" s="5" t="s">
        <v>123</v>
      </c>
      <c r="E59" s="5" t="s">
        <v>260</v>
      </c>
      <c r="F59" s="5" t="n">
        <v>7</v>
      </c>
      <c r="G59" s="5" t="n">
        <v>5</v>
      </c>
      <c r="H59" s="6" t="str">
        <f aca="false">IF(N59="","",N59&amp;IF(AND(MOD(N59,100)&gt;=11,MOD(N59,100)&lt;=13),"th",CHOOSE(MIN(5,MOD(N59,10)+1),"th","st","nd","rd","th")))</f>
        <v>7th</v>
      </c>
      <c r="I59" s="5" t="s">
        <v>87</v>
      </c>
      <c r="J59" s="6" t="n">
        <f aca="false">IFERROR(INDEX(Rounds!$A:$A,MATCH(I59,Rounds!$B:$B,0)),"ADD LEAGUE TO ROUNDS")</f>
        <v>1</v>
      </c>
      <c r="K59" s="6" t="n">
        <f aca="false">IFERROR(VALUE(LEFT(E59,FIND(" - ",E59)-1)),"")</f>
        <v>6</v>
      </c>
      <c r="L59" s="5" t="s">
        <v>278</v>
      </c>
      <c r="N59" s="6" t="n">
        <f aca="false">IF(F59="","",1+COUNTIFS($J:$J,J59,$K:$K,K59,$F:$F,"&gt;"&amp;F59)+COUNTIFS($J:$J,J59,$K:$K,K59,$F:$F,F59,$G:$G,"&gt;"&amp;G59))</f>
        <v>7</v>
      </c>
      <c r="O59" s="6" t="n">
        <f aca="false">IF(L59="","",SUMIFS(Votes!$E:$E,Votes!$A:$A,J59,Votes!$B:$B,K59,Votes!$D:$D,L59))</f>
        <v>7</v>
      </c>
      <c r="P59" s="6" t="n">
        <f aca="false">IF(L59="","",COUNTIFS(Votes!$A:$A,J59,Votes!$B:$B,K59,Votes!$D:$D,L59))</f>
        <v>5</v>
      </c>
      <c r="Q59" s="7" t="str">
        <f aca="false">IF(F59="","Unscored",IF(O59="","No URI",IF(AND(F59=0,O59=0),"Zero-vote",IF(AND(F59=O59,G59=P59),"OK",IF(AND(F59=0,O59&gt;0,COUNTIFS(Votes!$A:$A,J59,Votes!$B:$B,K59,Votes!$C:$C,D59)=0),"Forfeited","Mismatch")))))</f>
        <v>OK</v>
      </c>
      <c r="R59" s="6" t="n">
        <f aca="false">MAX(IF(L59&lt;&gt;"",COUNTIF($L:$L,L59),0),COUNTIFS($A:$A,A59,$B:$B,B59))</f>
        <v>1</v>
      </c>
      <c r="S59" s="6" t="str">
        <f aca="false">IF(R59&gt;1,COUNTIF($R$2:R59,"&gt;1"),"")</f>
        <v/>
      </c>
      <c r="T59" s="6" t="str">
        <f aca="false">IF(L59="","",J59&amp;"|"&amp;K59&amp;"|"&amp;L59)</f>
        <v>1|6|spotify:track:4ThbwJaIWVxXZ1qJaHQBCz</v>
      </c>
      <c r="U59" s="6" t="str">
        <f aca="false">IF(C59="","",IFERROR(INDEX(Lists!$F:$F,MATCH(C59,Lists!$E:$E,0)),"Unmapped"))</f>
        <v>Country</v>
      </c>
    </row>
    <row r="60" customFormat="false" ht="15" hidden="false" customHeight="false" outlineLevel="0" collapsed="false">
      <c r="A60" s="5" t="s">
        <v>279</v>
      </c>
      <c r="B60" s="5" t="s">
        <v>280</v>
      </c>
      <c r="C60" s="5" t="s">
        <v>171</v>
      </c>
      <c r="D60" s="5" t="s">
        <v>85</v>
      </c>
      <c r="E60" s="5" t="s">
        <v>260</v>
      </c>
      <c r="F60" s="5" t="n">
        <v>6</v>
      </c>
      <c r="G60" s="5" t="n">
        <v>6</v>
      </c>
      <c r="H60" s="6" t="str">
        <f aca="false">IF(N60="","",N60&amp;IF(AND(MOD(N60,100)&gt;=11,MOD(N60,100)&lt;=13),"th",CHOOSE(MIN(5,MOD(N60,10)+1),"th","st","nd","rd","th")))</f>
        <v>8th</v>
      </c>
      <c r="I60" s="5" t="s">
        <v>87</v>
      </c>
      <c r="J60" s="6" t="n">
        <f aca="false">IFERROR(INDEX(Rounds!$A:$A,MATCH(I60,Rounds!$B:$B,0)),"ADD LEAGUE TO ROUNDS")</f>
        <v>1</v>
      </c>
      <c r="K60" s="6" t="n">
        <f aca="false">IFERROR(VALUE(LEFT(E60,FIND(" - ",E60)-1)),"")</f>
        <v>6</v>
      </c>
      <c r="L60" s="5" t="s">
        <v>281</v>
      </c>
      <c r="N60" s="6" t="n">
        <f aca="false">IF(F60="","",1+COUNTIFS($J:$J,J60,$K:$K,K60,$F:$F,"&gt;"&amp;F60)+COUNTIFS($J:$J,J60,$K:$K,K60,$F:$F,F60,$G:$G,"&gt;"&amp;G60))</f>
        <v>8</v>
      </c>
      <c r="O60" s="6" t="n">
        <f aca="false">IF(L60="","",SUMIFS(Votes!$E:$E,Votes!$A:$A,J60,Votes!$B:$B,K60,Votes!$D:$D,L60))</f>
        <v>6</v>
      </c>
      <c r="P60" s="6" t="n">
        <f aca="false">IF(L60="","",COUNTIFS(Votes!$A:$A,J60,Votes!$B:$B,K60,Votes!$D:$D,L60))</f>
        <v>6</v>
      </c>
      <c r="Q60" s="7" t="str">
        <f aca="false">IF(F60="","Unscored",IF(O60="","No URI",IF(AND(F60=0,O60=0),"Zero-vote",IF(AND(F60=O60,G60=P60),"OK",IF(AND(F60=0,O60&gt;0,COUNTIFS(Votes!$A:$A,J60,Votes!$B:$B,K60,Votes!$C:$C,D60)=0),"Forfeited","Mismatch")))))</f>
        <v>OK</v>
      </c>
      <c r="R60" s="6" t="n">
        <f aca="false">MAX(IF(L60&lt;&gt;"",COUNTIF($L:$L,L60),0),COUNTIFS($A:$A,A60,$B:$B,B60))</f>
        <v>1</v>
      </c>
      <c r="S60" s="6" t="str">
        <f aca="false">IF(R60&gt;1,COUNTIF($R$2:R60,"&gt;1"),"")</f>
        <v/>
      </c>
      <c r="T60" s="6" t="str">
        <f aca="false">IF(L60="","",J60&amp;"|"&amp;K60&amp;"|"&amp;L60)</f>
        <v>1|6|spotify:track:78SjYKRXdivtTDHBzaehnm</v>
      </c>
      <c r="U60" s="6" t="str">
        <f aca="false">IF(C60="","",IFERROR(INDEX(Lists!$F:$F,MATCH(C60,Lists!$E:$E,0)),"Unmapped"))</f>
        <v>Country</v>
      </c>
    </row>
    <row r="61" customFormat="false" ht="15" hidden="false" customHeight="false" outlineLevel="0" collapsed="false">
      <c r="A61" s="5" t="s">
        <v>282</v>
      </c>
      <c r="B61" s="5" t="s">
        <v>283</v>
      </c>
      <c r="C61" s="5" t="s">
        <v>84</v>
      </c>
      <c r="D61" s="5" t="s">
        <v>101</v>
      </c>
      <c r="E61" s="5" t="s">
        <v>260</v>
      </c>
      <c r="F61" s="5" t="n">
        <v>6</v>
      </c>
      <c r="G61" s="5" t="n">
        <v>5</v>
      </c>
      <c r="H61" s="6" t="str">
        <f aca="false">IF(N61="","",N61&amp;IF(AND(MOD(N61,100)&gt;=11,MOD(N61,100)&lt;=13),"th",CHOOSE(MIN(5,MOD(N61,10)+1),"th","st","nd","rd","th")))</f>
        <v>9th</v>
      </c>
      <c r="I61" s="5" t="s">
        <v>87</v>
      </c>
      <c r="J61" s="6" t="n">
        <f aca="false">IFERROR(INDEX(Rounds!$A:$A,MATCH(I61,Rounds!$B:$B,0)),"ADD LEAGUE TO ROUNDS")</f>
        <v>1</v>
      </c>
      <c r="K61" s="6" t="n">
        <f aca="false">IFERROR(VALUE(LEFT(E61,FIND(" - ",E61)-1)),"")</f>
        <v>6</v>
      </c>
      <c r="L61" s="5" t="s">
        <v>284</v>
      </c>
      <c r="N61" s="6" t="n">
        <f aca="false">IF(F61="","",1+COUNTIFS($J:$J,J61,$K:$K,K61,$F:$F,"&gt;"&amp;F61)+COUNTIFS($J:$J,J61,$K:$K,K61,$F:$F,F61,$G:$G,"&gt;"&amp;G61))</f>
        <v>9</v>
      </c>
      <c r="O61" s="6" t="n">
        <f aca="false">IF(L61="","",SUMIFS(Votes!$E:$E,Votes!$A:$A,J61,Votes!$B:$B,K61,Votes!$D:$D,L61))</f>
        <v>6</v>
      </c>
      <c r="P61" s="6" t="n">
        <f aca="false">IF(L61="","",COUNTIFS(Votes!$A:$A,J61,Votes!$B:$B,K61,Votes!$D:$D,L61))</f>
        <v>5</v>
      </c>
      <c r="Q61" s="7" t="str">
        <f aca="false">IF(F61="","Unscored",IF(O61="","No URI",IF(AND(F61=0,O61=0),"Zero-vote",IF(AND(F61=O61,G61=P61),"OK",IF(AND(F61=0,O61&gt;0,COUNTIFS(Votes!$A:$A,J61,Votes!$B:$B,K61,Votes!$C:$C,D61)=0),"Forfeited","Mismatch")))))</f>
        <v>OK</v>
      </c>
      <c r="R61" s="6" t="n">
        <f aca="false">MAX(IF(L61&lt;&gt;"",COUNTIF($L:$L,L61),0),COUNTIFS($A:$A,A61,$B:$B,B61))</f>
        <v>1</v>
      </c>
      <c r="S61" s="6" t="str">
        <f aca="false">IF(R61&gt;1,COUNTIF($R$2:R61,"&gt;1"),"")</f>
        <v/>
      </c>
      <c r="T61" s="6" t="str">
        <f aca="false">IF(L61="","",J61&amp;"|"&amp;K61&amp;"|"&amp;L61)</f>
        <v>1|6|spotify:track:69HzZ3ti9DLwb0GdWCGYSo</v>
      </c>
      <c r="U61" s="6" t="str">
        <f aca="false">IF(C61="","",IFERROR(INDEX(Lists!$F:$F,MATCH(C61,Lists!$E:$E,0)),"Unmapped"))</f>
        <v>Pop</v>
      </c>
    </row>
    <row r="62" customFormat="false" ht="15" hidden="false" customHeight="false" outlineLevel="0" collapsed="false">
      <c r="A62" s="5" t="s">
        <v>285</v>
      </c>
      <c r="B62" s="5" t="s">
        <v>286</v>
      </c>
      <c r="C62" s="5" t="s">
        <v>171</v>
      </c>
      <c r="D62" s="5" t="s">
        <v>111</v>
      </c>
      <c r="E62" s="5" t="s">
        <v>260</v>
      </c>
      <c r="F62" s="5" t="n">
        <v>5</v>
      </c>
      <c r="G62" s="5" t="n">
        <v>5</v>
      </c>
      <c r="H62" s="6" t="str">
        <f aca="false">IF(N62="","",N62&amp;IF(AND(MOD(N62,100)&gt;=11,MOD(N62,100)&lt;=13),"th",CHOOSE(MIN(5,MOD(N62,10)+1),"th","st","nd","rd","th")))</f>
        <v>10th</v>
      </c>
      <c r="I62" s="5" t="s">
        <v>87</v>
      </c>
      <c r="J62" s="6" t="n">
        <f aca="false">IFERROR(INDEX(Rounds!$A:$A,MATCH(I62,Rounds!$B:$B,0)),"ADD LEAGUE TO ROUNDS")</f>
        <v>1</v>
      </c>
      <c r="K62" s="6" t="n">
        <f aca="false">IFERROR(VALUE(LEFT(E62,FIND(" - ",E62)-1)),"")</f>
        <v>6</v>
      </c>
      <c r="L62" s="5" t="s">
        <v>287</v>
      </c>
      <c r="N62" s="6" t="n">
        <f aca="false">IF(F62="","",1+COUNTIFS($J:$J,J62,$K:$K,K62,$F:$F,"&gt;"&amp;F62)+COUNTIFS($J:$J,J62,$K:$K,K62,$F:$F,F62,$G:$G,"&gt;"&amp;G62))</f>
        <v>10</v>
      </c>
      <c r="O62" s="6" t="n">
        <f aca="false">IF(L62="","",SUMIFS(Votes!$E:$E,Votes!$A:$A,J62,Votes!$B:$B,K62,Votes!$D:$D,L62))</f>
        <v>5</v>
      </c>
      <c r="P62" s="6" t="n">
        <f aca="false">IF(L62="","",COUNTIFS(Votes!$A:$A,J62,Votes!$B:$B,K62,Votes!$D:$D,L62))</f>
        <v>5</v>
      </c>
      <c r="Q62" s="7" t="str">
        <f aca="false">IF(F62="","Unscored",IF(O62="","No URI",IF(AND(F62=0,O62=0),"Zero-vote",IF(AND(F62=O62,G62=P62),"OK",IF(AND(F62=0,O62&gt;0,COUNTIFS(Votes!$A:$A,J62,Votes!$B:$B,K62,Votes!$C:$C,D62)=0),"Forfeited","Mismatch")))))</f>
        <v>OK</v>
      </c>
      <c r="R62" s="6" t="n">
        <f aca="false">MAX(IF(L62&lt;&gt;"",COUNTIF($L:$L,L62),0),COUNTIFS($A:$A,A62,$B:$B,B62))</f>
        <v>1</v>
      </c>
      <c r="S62" s="6" t="str">
        <f aca="false">IF(R62&gt;1,COUNTIF($R$2:R62,"&gt;1"),"")</f>
        <v/>
      </c>
      <c r="T62" s="6" t="str">
        <f aca="false">IF(L62="","",J62&amp;"|"&amp;K62&amp;"|"&amp;L62)</f>
        <v>1|6|spotify:track:4DMUZgAnTiUxK3VOFJ2HI0</v>
      </c>
      <c r="U62" s="6" t="str">
        <f aca="false">IF(C62="","",IFERROR(INDEX(Lists!$F:$F,MATCH(C62,Lists!$E:$E,0)),"Unmapped"))</f>
        <v>Country</v>
      </c>
    </row>
    <row r="63" customFormat="false" ht="15" hidden="false" customHeight="false" outlineLevel="0" collapsed="false">
      <c r="A63" s="5" t="s">
        <v>288</v>
      </c>
      <c r="B63" s="5" t="s">
        <v>152</v>
      </c>
      <c r="C63" s="5" t="s">
        <v>153</v>
      </c>
      <c r="D63" s="5" t="s">
        <v>289</v>
      </c>
      <c r="E63" s="5" t="s">
        <v>260</v>
      </c>
      <c r="F63" s="5" t="n">
        <v>0</v>
      </c>
      <c r="G63" s="5" t="n">
        <v>6</v>
      </c>
      <c r="H63" s="6" t="str">
        <f aca="false">IF(N63="","",N63&amp;IF(AND(MOD(N63,100)&gt;=11,MOD(N63,100)&lt;=13),"th",CHOOSE(MIN(5,MOD(N63,10)+1),"th","st","nd","rd","th")))</f>
        <v>11th</v>
      </c>
      <c r="I63" s="5" t="s">
        <v>87</v>
      </c>
      <c r="J63" s="6" t="n">
        <f aca="false">IFERROR(INDEX(Rounds!$A:$A,MATCH(I63,Rounds!$B:$B,0)),"ADD LEAGUE TO ROUNDS")</f>
        <v>1</v>
      </c>
      <c r="K63" s="6" t="n">
        <f aca="false">IFERROR(VALUE(LEFT(E63,FIND(" - ",E63)-1)),"")</f>
        <v>6</v>
      </c>
      <c r="L63" s="5" t="s">
        <v>290</v>
      </c>
      <c r="N63" s="6" t="n">
        <f aca="false">IF(F63="","",1+COUNTIFS($J:$J,J63,$K:$K,K63,$F:$F,"&gt;"&amp;F63)+COUNTIFS($J:$J,J63,$K:$K,K63,$F:$F,F63,$G:$G,"&gt;"&amp;G63))</f>
        <v>11</v>
      </c>
      <c r="O63" s="6" t="n">
        <f aca="false">IF(L63="","",SUMIFS(Votes!$E:$E,Votes!$A:$A,J63,Votes!$B:$B,K63,Votes!$D:$D,L63))</f>
        <v>8</v>
      </c>
      <c r="P63" s="6" t="n">
        <f aca="false">IF(L63="","",COUNTIFS(Votes!$A:$A,J63,Votes!$B:$B,K63,Votes!$D:$D,L63))</f>
        <v>6</v>
      </c>
      <c r="Q63" s="7" t="str">
        <f aca="false">IF(F63="","Unscored",IF(O63="","No URI",IF(AND(F63=0,O63=0),"Zero-vote",IF(AND(F63=O63,G63=P63),"OK",IF(AND(F63=0,O63&gt;0,COUNTIFS(Votes!$A:$A,J63,Votes!$B:$B,K63,Votes!$C:$C,D63)=0),"Forfeited","Mismatch")))))</f>
        <v>Forfeited</v>
      </c>
      <c r="R63" s="6" t="n">
        <f aca="false">MAX(IF(L63&lt;&gt;"",COUNTIF($L:$L,L63),0),COUNTIFS($A:$A,A63,$B:$B,B63))</f>
        <v>3</v>
      </c>
      <c r="S63" s="6" t="n">
        <f aca="false">IF(R63&gt;1,COUNTIF($R$2:R63,"&gt;1"),"")</f>
        <v>4</v>
      </c>
      <c r="T63" s="6" t="str">
        <f aca="false">IF(L63="","",J63&amp;"|"&amp;K63&amp;"|"&amp;L63)</f>
        <v>1|6|spotify:track:5wANPM4fQCJwkGd4rN57mH</v>
      </c>
      <c r="U63" s="6" t="str">
        <f aca="false">IF(C63="","",IFERROR(INDEX(Lists!$F:$F,MATCH(C63,Lists!$E:$E,0)),"Unmapped"))</f>
        <v>Pop</v>
      </c>
    </row>
    <row r="64" customFormat="false" ht="15" hidden="false" customHeight="false" outlineLevel="0" collapsed="false">
      <c r="A64" s="5" t="s">
        <v>291</v>
      </c>
      <c r="B64" s="5" t="s">
        <v>292</v>
      </c>
      <c r="C64" s="5" t="s">
        <v>293</v>
      </c>
      <c r="D64" s="5" t="s">
        <v>97</v>
      </c>
      <c r="E64" s="5" t="s">
        <v>294</v>
      </c>
      <c r="F64" s="5" t="n">
        <v>15</v>
      </c>
      <c r="G64" s="5" t="n">
        <v>8</v>
      </c>
      <c r="H64" s="6" t="str">
        <f aca="false">IF(N64="","",N64&amp;IF(AND(MOD(N64,100)&gt;=11,MOD(N64,100)&lt;=13),"th",CHOOSE(MIN(5,MOD(N64,10)+1),"th","st","nd","rd","th")))</f>
        <v>1st</v>
      </c>
      <c r="I64" s="5" t="s">
        <v>87</v>
      </c>
      <c r="J64" s="6" t="n">
        <f aca="false">IFERROR(INDEX(Rounds!$A:$A,MATCH(I64,Rounds!$B:$B,0)),"ADD LEAGUE TO ROUNDS")</f>
        <v>1</v>
      </c>
      <c r="K64" s="6" t="n">
        <f aca="false">IFERROR(VALUE(LEFT(E64,FIND(" - ",E64)-1)),"")</f>
        <v>7</v>
      </c>
      <c r="L64" s="5" t="s">
        <v>295</v>
      </c>
      <c r="N64" s="6" t="n">
        <f aca="false">IF(F64="","",1+COUNTIFS($J:$J,J64,$K:$K,K64,$F:$F,"&gt;"&amp;F64)+COUNTIFS($J:$J,J64,$K:$K,K64,$F:$F,F64,$G:$G,"&gt;"&amp;G64))</f>
        <v>1</v>
      </c>
      <c r="O64" s="6" t="n">
        <f aca="false">IF(L64="","",SUMIFS(Votes!$E:$E,Votes!$A:$A,J64,Votes!$B:$B,K64,Votes!$D:$D,L64))</f>
        <v>15</v>
      </c>
      <c r="P64" s="6" t="n">
        <f aca="false">IF(L64="","",COUNTIFS(Votes!$A:$A,J64,Votes!$B:$B,K64,Votes!$D:$D,L64))</f>
        <v>8</v>
      </c>
      <c r="Q64" s="7" t="str">
        <f aca="false">IF(F64="","Unscored",IF(O64="","No URI",IF(AND(F64=0,O64=0),"Zero-vote",IF(AND(F64=O64,G64=P64),"OK",IF(AND(F64=0,O64&gt;0,COUNTIFS(Votes!$A:$A,J64,Votes!$B:$B,K64,Votes!$C:$C,D64)=0),"Forfeited","Mismatch")))))</f>
        <v>OK</v>
      </c>
      <c r="R64" s="6" t="n">
        <f aca="false">MAX(IF(L64&lt;&gt;"",COUNTIF($L:$L,L64),0),COUNTIFS($A:$A,A64,$B:$B,B64))</f>
        <v>1</v>
      </c>
      <c r="S64" s="6" t="str">
        <f aca="false">IF(R64&gt;1,COUNTIF($R$2:R64,"&gt;1"),"")</f>
        <v/>
      </c>
      <c r="T64" s="6" t="str">
        <f aca="false">IF(L64="","",J64&amp;"|"&amp;K64&amp;"|"&amp;L64)</f>
        <v>1|7|spotify:track:0aersVHlGGXcHeRvHtuaSt</v>
      </c>
      <c r="U64" s="6" t="str">
        <f aca="false">IF(C64="","",IFERROR(INDEX(Lists!$F:$F,MATCH(C64,Lists!$E:$E,0)),"Unmapped"))</f>
        <v>Electronic/Dance</v>
      </c>
    </row>
    <row r="65" customFormat="false" ht="15" hidden="false" customHeight="false" outlineLevel="0" collapsed="false">
      <c r="A65" s="5" t="s">
        <v>296</v>
      </c>
      <c r="B65" s="5" t="s">
        <v>297</v>
      </c>
      <c r="C65" s="5" t="s">
        <v>293</v>
      </c>
      <c r="D65" s="5" t="s">
        <v>85</v>
      </c>
      <c r="E65" s="5" t="s">
        <v>294</v>
      </c>
      <c r="F65" s="5" t="n">
        <v>15</v>
      </c>
      <c r="G65" s="5" t="n">
        <v>8</v>
      </c>
      <c r="H65" s="6" t="str">
        <f aca="false">IF(N65="","",N65&amp;IF(AND(MOD(N65,100)&gt;=11,MOD(N65,100)&lt;=13),"th",CHOOSE(MIN(5,MOD(N65,10)+1),"th","st","nd","rd","th")))</f>
        <v>1st</v>
      </c>
      <c r="I65" s="5" t="s">
        <v>87</v>
      </c>
      <c r="J65" s="6" t="n">
        <f aca="false">IFERROR(INDEX(Rounds!$A:$A,MATCH(I65,Rounds!$B:$B,0)),"ADD LEAGUE TO ROUNDS")</f>
        <v>1</v>
      </c>
      <c r="K65" s="6" t="n">
        <f aca="false">IFERROR(VALUE(LEFT(E65,FIND(" - ",E65)-1)),"")</f>
        <v>7</v>
      </c>
      <c r="L65" s="5" t="s">
        <v>298</v>
      </c>
      <c r="N65" s="6" t="n">
        <f aca="false">IF(F65="","",1+COUNTIFS($J:$J,J65,$K:$K,K65,$F:$F,"&gt;"&amp;F65)+COUNTIFS($J:$J,J65,$K:$K,K65,$F:$F,F65,$G:$G,"&gt;"&amp;G65))</f>
        <v>1</v>
      </c>
      <c r="O65" s="6" t="n">
        <f aca="false">IF(L65="","",SUMIFS(Votes!$E:$E,Votes!$A:$A,J65,Votes!$B:$B,K65,Votes!$D:$D,L65))</f>
        <v>15</v>
      </c>
      <c r="P65" s="6" t="n">
        <f aca="false">IF(L65="","",COUNTIFS(Votes!$A:$A,J65,Votes!$B:$B,K65,Votes!$D:$D,L65))</f>
        <v>8</v>
      </c>
      <c r="Q65" s="7" t="str">
        <f aca="false">IF(F65="","Unscored",IF(O65="","No URI",IF(AND(F65=0,O65=0),"Zero-vote",IF(AND(F65=O65,G65=P65),"OK",IF(AND(F65=0,O65&gt;0,COUNTIFS(Votes!$A:$A,J65,Votes!$B:$B,K65,Votes!$C:$C,D65)=0),"Forfeited","Mismatch")))))</f>
        <v>OK</v>
      </c>
      <c r="R65" s="6" t="n">
        <f aca="false">MAX(IF(L65&lt;&gt;"",COUNTIF($L:$L,L65),0),COUNTIFS($A:$A,A65,$B:$B,B65))</f>
        <v>1</v>
      </c>
      <c r="S65" s="6" t="str">
        <f aca="false">IF(R65&gt;1,COUNTIF($R$2:R65,"&gt;1"),"")</f>
        <v/>
      </c>
      <c r="T65" s="6" t="str">
        <f aca="false">IF(L65="","",J65&amp;"|"&amp;K65&amp;"|"&amp;L65)</f>
        <v>1|7|spotify:track:3hDFOFjGIFwlSmCO6b39M4</v>
      </c>
      <c r="U65" s="6" t="str">
        <f aca="false">IF(C65="","",IFERROR(INDEX(Lists!$F:$F,MATCH(C65,Lists!$E:$E,0)),"Unmapped"))</f>
        <v>Electronic/Dance</v>
      </c>
    </row>
    <row r="66" customFormat="false" ht="15" hidden="false" customHeight="false" outlineLevel="0" collapsed="false">
      <c r="A66" s="5" t="s">
        <v>299</v>
      </c>
      <c r="B66" s="5" t="s">
        <v>300</v>
      </c>
      <c r="C66" s="5" t="s">
        <v>84</v>
      </c>
      <c r="D66" s="5" t="s">
        <v>128</v>
      </c>
      <c r="E66" s="5" t="s">
        <v>294</v>
      </c>
      <c r="F66" s="5" t="n">
        <v>15</v>
      </c>
      <c r="G66" s="5" t="n">
        <v>7</v>
      </c>
      <c r="H66" s="6" t="str">
        <f aca="false">IF(N66="","",N66&amp;IF(AND(MOD(N66,100)&gt;=11,MOD(N66,100)&lt;=13),"th",CHOOSE(MIN(5,MOD(N66,10)+1),"th","st","nd","rd","th")))</f>
        <v>3rd</v>
      </c>
      <c r="I66" s="5" t="s">
        <v>87</v>
      </c>
      <c r="J66" s="6" t="n">
        <f aca="false">IFERROR(INDEX(Rounds!$A:$A,MATCH(I66,Rounds!$B:$B,0)),"ADD LEAGUE TO ROUNDS")</f>
        <v>1</v>
      </c>
      <c r="K66" s="6" t="n">
        <f aca="false">IFERROR(VALUE(LEFT(E66,FIND(" - ",E66)-1)),"")</f>
        <v>7</v>
      </c>
      <c r="L66" s="5" t="s">
        <v>301</v>
      </c>
      <c r="N66" s="6" t="n">
        <f aca="false">IF(F66="","",1+COUNTIFS($J:$J,J66,$K:$K,K66,$F:$F,"&gt;"&amp;F66)+COUNTIFS($J:$J,J66,$K:$K,K66,$F:$F,F66,$G:$G,"&gt;"&amp;G66))</f>
        <v>3</v>
      </c>
      <c r="O66" s="6" t="n">
        <f aca="false">IF(L66="","",SUMIFS(Votes!$E:$E,Votes!$A:$A,J66,Votes!$B:$B,K66,Votes!$D:$D,L66))</f>
        <v>15</v>
      </c>
      <c r="P66" s="6" t="n">
        <f aca="false">IF(L66="","",COUNTIFS(Votes!$A:$A,J66,Votes!$B:$B,K66,Votes!$D:$D,L66))</f>
        <v>7</v>
      </c>
      <c r="Q66" s="7" t="str">
        <f aca="false">IF(F66="","Unscored",IF(O66="","No URI",IF(AND(F66=0,O66=0),"Zero-vote",IF(AND(F66=O66,G66=P66),"OK",IF(AND(F66=0,O66&gt;0,COUNTIFS(Votes!$A:$A,J66,Votes!$B:$B,K66,Votes!$C:$C,D66)=0),"Forfeited","Mismatch")))))</f>
        <v>OK</v>
      </c>
      <c r="R66" s="6" t="n">
        <f aca="false">MAX(IF(L66&lt;&gt;"",COUNTIF($L:$L,L66),0),COUNTIFS($A:$A,A66,$B:$B,B66))</f>
        <v>1</v>
      </c>
      <c r="S66" s="6" t="str">
        <f aca="false">IF(R66&gt;1,COUNTIF($R$2:R66,"&gt;1"),"")</f>
        <v/>
      </c>
      <c r="T66" s="6" t="str">
        <f aca="false">IF(L66="","",J66&amp;"|"&amp;K66&amp;"|"&amp;L66)</f>
        <v>1|7|spotify:track:0zbzrhfVS9S2TszW3wLQZ7</v>
      </c>
      <c r="U66" s="6" t="str">
        <f aca="false">IF(C66="","",IFERROR(INDEX(Lists!$F:$F,MATCH(C66,Lists!$E:$E,0)),"Unmapped"))</f>
        <v>Pop</v>
      </c>
    </row>
    <row r="67" customFormat="false" ht="15" hidden="false" customHeight="false" outlineLevel="0" collapsed="false">
      <c r="A67" s="5" t="s">
        <v>302</v>
      </c>
      <c r="B67" s="5" t="s">
        <v>303</v>
      </c>
      <c r="C67" s="5" t="s">
        <v>304</v>
      </c>
      <c r="D67" s="5" t="s">
        <v>133</v>
      </c>
      <c r="E67" s="5" t="s">
        <v>294</v>
      </c>
      <c r="F67" s="5" t="n">
        <v>11</v>
      </c>
      <c r="G67" s="5" t="n">
        <v>7</v>
      </c>
      <c r="H67" s="6" t="str">
        <f aca="false">IF(N67="","",N67&amp;IF(AND(MOD(N67,100)&gt;=11,MOD(N67,100)&lt;=13),"th",CHOOSE(MIN(5,MOD(N67,10)+1),"th","st","nd","rd","th")))</f>
        <v>4th</v>
      </c>
      <c r="I67" s="5" t="s">
        <v>87</v>
      </c>
      <c r="J67" s="6" t="n">
        <f aca="false">IFERROR(INDEX(Rounds!$A:$A,MATCH(I67,Rounds!$B:$B,0)),"ADD LEAGUE TO ROUNDS")</f>
        <v>1</v>
      </c>
      <c r="K67" s="6" t="n">
        <f aca="false">IFERROR(VALUE(LEFT(E67,FIND(" - ",E67)-1)),"")</f>
        <v>7</v>
      </c>
      <c r="L67" s="5" t="s">
        <v>305</v>
      </c>
      <c r="N67" s="6" t="n">
        <f aca="false">IF(F67="","",1+COUNTIFS($J:$J,J67,$K:$K,K67,$F:$F,"&gt;"&amp;F67)+COUNTIFS($J:$J,J67,$K:$K,K67,$F:$F,F67,$G:$G,"&gt;"&amp;G67))</f>
        <v>4</v>
      </c>
      <c r="O67" s="6" t="n">
        <f aca="false">IF(L67="","",SUMIFS(Votes!$E:$E,Votes!$A:$A,J67,Votes!$B:$B,K67,Votes!$D:$D,L67))</f>
        <v>11</v>
      </c>
      <c r="P67" s="6" t="n">
        <f aca="false">IF(L67="","",COUNTIFS(Votes!$A:$A,J67,Votes!$B:$B,K67,Votes!$D:$D,L67))</f>
        <v>7</v>
      </c>
      <c r="Q67" s="7" t="str">
        <f aca="false">IF(F67="","Unscored",IF(O67="","No URI",IF(AND(F67=0,O67=0),"Zero-vote",IF(AND(F67=O67,G67=P67),"OK",IF(AND(F67=0,O67&gt;0,COUNTIFS(Votes!$A:$A,J67,Votes!$B:$B,K67,Votes!$C:$C,D67)=0),"Forfeited","Mismatch")))))</f>
        <v>OK</v>
      </c>
      <c r="R67" s="6" t="n">
        <f aca="false">MAX(IF(L67&lt;&gt;"",COUNTIF($L:$L,L67),0),COUNTIFS($A:$A,A67,$B:$B,B67))</f>
        <v>1</v>
      </c>
      <c r="S67" s="6" t="str">
        <f aca="false">IF(R67&gt;1,COUNTIF($R$2:R67,"&gt;1"),"")</f>
        <v/>
      </c>
      <c r="T67" s="6" t="str">
        <f aca="false">IF(L67="","",J67&amp;"|"&amp;K67&amp;"|"&amp;L67)</f>
        <v>1|7|spotify:track:4keuUM29CtIWgsPRzRhXoW</v>
      </c>
      <c r="U67" s="6" t="str">
        <f aca="false">IF(C67="","",IFERROR(INDEX(Lists!$F:$F,MATCH(C67,Lists!$E:$E,0)),"Unmapped"))</f>
        <v>K-Pop</v>
      </c>
    </row>
    <row r="68" customFormat="false" ht="15" hidden="false" customHeight="false" outlineLevel="0" collapsed="false">
      <c r="A68" s="5" t="s">
        <v>306</v>
      </c>
      <c r="B68" s="5" t="s">
        <v>307</v>
      </c>
      <c r="C68" s="5" t="s">
        <v>84</v>
      </c>
      <c r="D68" s="5" t="s">
        <v>101</v>
      </c>
      <c r="E68" s="5" t="s">
        <v>294</v>
      </c>
      <c r="F68" s="5" t="n">
        <v>10</v>
      </c>
      <c r="G68" s="5" t="n">
        <v>7</v>
      </c>
      <c r="H68" s="6" t="str">
        <f aca="false">IF(N68="","",N68&amp;IF(AND(MOD(N68,100)&gt;=11,MOD(N68,100)&lt;=13),"th",CHOOSE(MIN(5,MOD(N68,10)+1),"th","st","nd","rd","th")))</f>
        <v>5th</v>
      </c>
      <c r="I68" s="5" t="s">
        <v>87</v>
      </c>
      <c r="J68" s="6" t="n">
        <f aca="false">IFERROR(INDEX(Rounds!$A:$A,MATCH(I68,Rounds!$B:$B,0)),"ADD LEAGUE TO ROUNDS")</f>
        <v>1</v>
      </c>
      <c r="K68" s="6" t="n">
        <f aca="false">IFERROR(VALUE(LEFT(E68,FIND(" - ",E68)-1)),"")</f>
        <v>7</v>
      </c>
      <c r="L68" s="5" t="s">
        <v>308</v>
      </c>
      <c r="N68" s="6" t="n">
        <f aca="false">IF(F68="","",1+COUNTIFS($J:$J,J68,$K:$K,K68,$F:$F,"&gt;"&amp;F68)+COUNTIFS($J:$J,J68,$K:$K,K68,$F:$F,F68,$G:$G,"&gt;"&amp;G68))</f>
        <v>5</v>
      </c>
      <c r="O68" s="6" t="n">
        <f aca="false">IF(L68="","",SUMIFS(Votes!$E:$E,Votes!$A:$A,J68,Votes!$B:$B,K68,Votes!$D:$D,L68))</f>
        <v>10</v>
      </c>
      <c r="P68" s="6" t="n">
        <f aca="false">IF(L68="","",COUNTIFS(Votes!$A:$A,J68,Votes!$B:$B,K68,Votes!$D:$D,L68))</f>
        <v>7</v>
      </c>
      <c r="Q68" s="7" t="str">
        <f aca="false">IF(F68="","Unscored",IF(O68="","No URI",IF(AND(F68=0,O68=0),"Zero-vote",IF(AND(F68=O68,G68=P68),"OK",IF(AND(F68=0,O68&gt;0,COUNTIFS(Votes!$A:$A,J68,Votes!$B:$B,K68,Votes!$C:$C,D68)=0),"Forfeited","Mismatch")))))</f>
        <v>OK</v>
      </c>
      <c r="R68" s="6" t="n">
        <f aca="false">MAX(IF(L68&lt;&gt;"",COUNTIF($L:$L,L68),0),COUNTIFS($A:$A,A68,$B:$B,B68))</f>
        <v>1</v>
      </c>
      <c r="S68" s="6" t="str">
        <f aca="false">IF(R68&gt;1,COUNTIF($R$2:R68,"&gt;1"),"")</f>
        <v/>
      </c>
      <c r="T68" s="6" t="str">
        <f aca="false">IF(L68="","",J68&amp;"|"&amp;K68&amp;"|"&amp;L68)</f>
        <v>1|7|spotify:track:6syar8JKCt3R9ZBl11zmgI</v>
      </c>
      <c r="U68" s="6" t="str">
        <f aca="false">IF(C68="","",IFERROR(INDEX(Lists!$F:$F,MATCH(C68,Lists!$E:$E,0)),"Unmapped"))</f>
        <v>Pop</v>
      </c>
    </row>
    <row r="69" customFormat="false" ht="15" hidden="false" customHeight="false" outlineLevel="0" collapsed="false">
      <c r="A69" s="5" t="s">
        <v>309</v>
      </c>
      <c r="B69" s="5" t="s">
        <v>310</v>
      </c>
      <c r="C69" s="5" t="s">
        <v>84</v>
      </c>
      <c r="D69" s="5" t="s">
        <v>123</v>
      </c>
      <c r="E69" s="5" t="s">
        <v>294</v>
      </c>
      <c r="F69" s="5" t="n">
        <v>10</v>
      </c>
      <c r="G69" s="5" t="n">
        <v>6</v>
      </c>
      <c r="H69" s="6" t="str">
        <f aca="false">IF(N69="","",N69&amp;IF(AND(MOD(N69,100)&gt;=11,MOD(N69,100)&lt;=13),"th",CHOOSE(MIN(5,MOD(N69,10)+1),"th","st","nd","rd","th")))</f>
        <v>6th</v>
      </c>
      <c r="I69" s="5" t="s">
        <v>87</v>
      </c>
      <c r="J69" s="6" t="n">
        <f aca="false">IFERROR(INDEX(Rounds!$A:$A,MATCH(I69,Rounds!$B:$B,0)),"ADD LEAGUE TO ROUNDS")</f>
        <v>1</v>
      </c>
      <c r="K69" s="6" t="n">
        <f aca="false">IFERROR(VALUE(LEFT(E69,FIND(" - ",E69)-1)),"")</f>
        <v>7</v>
      </c>
      <c r="L69" s="5" t="s">
        <v>311</v>
      </c>
      <c r="N69" s="6" t="n">
        <f aca="false">IF(F69="","",1+COUNTIFS($J:$J,J69,$K:$K,K69,$F:$F,"&gt;"&amp;F69)+COUNTIFS($J:$J,J69,$K:$K,K69,$F:$F,F69,$G:$G,"&gt;"&amp;G69))</f>
        <v>6</v>
      </c>
      <c r="O69" s="6" t="n">
        <f aca="false">IF(L69="","",SUMIFS(Votes!$E:$E,Votes!$A:$A,J69,Votes!$B:$B,K69,Votes!$D:$D,L69))</f>
        <v>10</v>
      </c>
      <c r="P69" s="6" t="n">
        <f aca="false">IF(L69="","",COUNTIFS(Votes!$A:$A,J69,Votes!$B:$B,K69,Votes!$D:$D,L69))</f>
        <v>6</v>
      </c>
      <c r="Q69" s="7" t="str">
        <f aca="false">IF(F69="","Unscored",IF(O69="","No URI",IF(AND(F69=0,O69=0),"Zero-vote",IF(AND(F69=O69,G69=P69),"OK",IF(AND(F69=0,O69&gt;0,COUNTIFS(Votes!$A:$A,J69,Votes!$B:$B,K69,Votes!$C:$C,D69)=0),"Forfeited","Mismatch")))))</f>
        <v>OK</v>
      </c>
      <c r="R69" s="6" t="n">
        <f aca="false">MAX(IF(L69&lt;&gt;"",COUNTIF($L:$L,L69),0),COUNTIFS($A:$A,A69,$B:$B,B69))</f>
        <v>1</v>
      </c>
      <c r="S69" s="6" t="str">
        <f aca="false">IF(R69&gt;1,COUNTIF($R$2:R69,"&gt;1"),"")</f>
        <v/>
      </c>
      <c r="T69" s="6" t="str">
        <f aca="false">IF(L69="","",J69&amp;"|"&amp;K69&amp;"|"&amp;L69)</f>
        <v>1|7|spotify:track:72bcYTJEHG7tNIdhmUYGht</v>
      </c>
      <c r="U69" s="6" t="str">
        <f aca="false">IF(C69="","",IFERROR(INDEX(Lists!$F:$F,MATCH(C69,Lists!$E:$E,0)),"Unmapped"))</f>
        <v>Pop</v>
      </c>
    </row>
    <row r="70" customFormat="false" ht="15" hidden="false" customHeight="false" outlineLevel="0" collapsed="false">
      <c r="A70" s="5" t="s">
        <v>312</v>
      </c>
      <c r="B70" s="5" t="s">
        <v>313</v>
      </c>
      <c r="C70" s="5" t="s">
        <v>84</v>
      </c>
      <c r="D70" s="5" t="s">
        <v>119</v>
      </c>
      <c r="E70" s="5" t="s">
        <v>294</v>
      </c>
      <c r="F70" s="5" t="n">
        <v>9</v>
      </c>
      <c r="G70" s="5" t="n">
        <v>6</v>
      </c>
      <c r="H70" s="6" t="str">
        <f aca="false">IF(N70="","",N70&amp;IF(AND(MOD(N70,100)&gt;=11,MOD(N70,100)&lt;=13),"th",CHOOSE(MIN(5,MOD(N70,10)+1),"th","st","nd","rd","th")))</f>
        <v>7th</v>
      </c>
      <c r="I70" s="5" t="s">
        <v>87</v>
      </c>
      <c r="J70" s="6" t="n">
        <f aca="false">IFERROR(INDEX(Rounds!$A:$A,MATCH(I70,Rounds!$B:$B,0)),"ADD LEAGUE TO ROUNDS")</f>
        <v>1</v>
      </c>
      <c r="K70" s="6" t="n">
        <f aca="false">IFERROR(VALUE(LEFT(E70,FIND(" - ",E70)-1)),"")</f>
        <v>7</v>
      </c>
      <c r="L70" s="5" t="s">
        <v>314</v>
      </c>
      <c r="N70" s="6" t="n">
        <f aca="false">IF(F70="","",1+COUNTIFS($J:$J,J70,$K:$K,K70,$F:$F,"&gt;"&amp;F70)+COUNTIFS($J:$J,J70,$K:$K,K70,$F:$F,F70,$G:$G,"&gt;"&amp;G70))</f>
        <v>7</v>
      </c>
      <c r="O70" s="6" t="n">
        <f aca="false">IF(L70="","",SUMIFS(Votes!$E:$E,Votes!$A:$A,J70,Votes!$B:$B,K70,Votes!$D:$D,L70))</f>
        <v>9</v>
      </c>
      <c r="P70" s="6" t="n">
        <f aca="false">IF(L70="","",COUNTIFS(Votes!$A:$A,J70,Votes!$B:$B,K70,Votes!$D:$D,L70))</f>
        <v>6</v>
      </c>
      <c r="Q70" s="7" t="str">
        <f aca="false">IF(F70="","Unscored",IF(O70="","No URI",IF(AND(F70=0,O70=0),"Zero-vote",IF(AND(F70=O70,G70=P70),"OK",IF(AND(F70=0,O70&gt;0,COUNTIFS(Votes!$A:$A,J70,Votes!$B:$B,K70,Votes!$C:$C,D70)=0),"Forfeited","Mismatch")))))</f>
        <v>OK</v>
      </c>
      <c r="R70" s="6" t="n">
        <f aca="false">MAX(IF(L70&lt;&gt;"",COUNTIF($L:$L,L70),0),COUNTIFS($A:$A,A70,$B:$B,B70))</f>
        <v>1</v>
      </c>
      <c r="S70" s="6" t="str">
        <f aca="false">IF(R70&gt;1,COUNTIF($R$2:R70,"&gt;1"),"")</f>
        <v/>
      </c>
      <c r="T70" s="6" t="str">
        <f aca="false">IF(L70="","",J70&amp;"|"&amp;K70&amp;"|"&amp;L70)</f>
        <v>1|7|spotify:track:5CYdANFs8Gz4ho3tN61Bjz</v>
      </c>
      <c r="U70" s="6" t="str">
        <f aca="false">IF(C70="","",IFERROR(INDEX(Lists!$F:$F,MATCH(C70,Lists!$E:$E,0)),"Unmapped"))</f>
        <v>Pop</v>
      </c>
    </row>
    <row r="71" customFormat="false" ht="15" hidden="false" customHeight="false" outlineLevel="0" collapsed="false">
      <c r="A71" s="5" t="s">
        <v>315</v>
      </c>
      <c r="B71" s="5" t="s">
        <v>316</v>
      </c>
      <c r="C71" s="5" t="s">
        <v>84</v>
      </c>
      <c r="D71" s="5" t="s">
        <v>111</v>
      </c>
      <c r="E71" s="5" t="s">
        <v>294</v>
      </c>
      <c r="F71" s="5" t="n">
        <v>8</v>
      </c>
      <c r="G71" s="5" t="n">
        <v>4</v>
      </c>
      <c r="H71" s="6" t="str">
        <f aca="false">IF(N71="","",N71&amp;IF(AND(MOD(N71,100)&gt;=11,MOD(N71,100)&lt;=13),"th",CHOOSE(MIN(5,MOD(N71,10)+1),"th","st","nd","rd","th")))</f>
        <v>8th</v>
      </c>
      <c r="I71" s="5" t="s">
        <v>87</v>
      </c>
      <c r="J71" s="6" t="n">
        <f aca="false">IFERROR(INDEX(Rounds!$A:$A,MATCH(I71,Rounds!$B:$B,0)),"ADD LEAGUE TO ROUNDS")</f>
        <v>1</v>
      </c>
      <c r="K71" s="6" t="n">
        <f aca="false">IFERROR(VALUE(LEFT(E71,FIND(" - ",E71)-1)),"")</f>
        <v>7</v>
      </c>
      <c r="L71" s="5" t="s">
        <v>317</v>
      </c>
      <c r="N71" s="6" t="n">
        <f aca="false">IF(F71="","",1+COUNTIFS($J:$J,J71,$K:$K,K71,$F:$F,"&gt;"&amp;F71)+COUNTIFS($J:$J,J71,$K:$K,K71,$F:$F,F71,$G:$G,"&gt;"&amp;G71))</f>
        <v>8</v>
      </c>
      <c r="O71" s="6" t="n">
        <f aca="false">IF(L71="","",SUMIFS(Votes!$E:$E,Votes!$A:$A,J71,Votes!$B:$B,K71,Votes!$D:$D,L71))</f>
        <v>8</v>
      </c>
      <c r="P71" s="6" t="n">
        <f aca="false">IF(L71="","",COUNTIFS(Votes!$A:$A,J71,Votes!$B:$B,K71,Votes!$D:$D,L71))</f>
        <v>4</v>
      </c>
      <c r="Q71" s="7" t="str">
        <f aca="false">IF(F71="","Unscored",IF(O71="","No URI",IF(AND(F71=0,O71=0),"Zero-vote",IF(AND(F71=O71,G71=P71),"OK",IF(AND(F71=0,O71&gt;0,COUNTIFS(Votes!$A:$A,J71,Votes!$B:$B,K71,Votes!$C:$C,D71)=0),"Forfeited","Mismatch")))))</f>
        <v>OK</v>
      </c>
      <c r="R71" s="6" t="n">
        <f aca="false">MAX(IF(L71&lt;&gt;"",COUNTIF($L:$L,L71),0),COUNTIFS($A:$A,A71,$B:$B,B71))</f>
        <v>1</v>
      </c>
      <c r="S71" s="6" t="str">
        <f aca="false">IF(R71&gt;1,COUNTIF($R$2:R71,"&gt;1"),"")</f>
        <v/>
      </c>
      <c r="T71" s="6" t="str">
        <f aca="false">IF(L71="","",J71&amp;"|"&amp;K71&amp;"|"&amp;L71)</f>
        <v>1|7|spotify:track:4ddEGm8Wj9ArZ9Pk21mxdK</v>
      </c>
      <c r="U71" s="6" t="str">
        <f aca="false">IF(C71="","",IFERROR(INDEX(Lists!$F:$F,MATCH(C71,Lists!$E:$E,0)),"Unmapped"))</f>
        <v>Pop</v>
      </c>
    </row>
    <row r="72" customFormat="false" ht="15" hidden="false" customHeight="false" outlineLevel="0" collapsed="false">
      <c r="A72" s="5" t="s">
        <v>318</v>
      </c>
      <c r="B72" s="5" t="s">
        <v>319</v>
      </c>
      <c r="C72" s="5" t="s">
        <v>248</v>
      </c>
      <c r="D72" s="5" t="s">
        <v>92</v>
      </c>
      <c r="E72" s="5" t="s">
        <v>294</v>
      </c>
      <c r="F72" s="5" t="n">
        <v>7</v>
      </c>
      <c r="G72" s="5" t="n">
        <v>4</v>
      </c>
      <c r="H72" s="6" t="str">
        <f aca="false">IF(N72="","",N72&amp;IF(AND(MOD(N72,100)&gt;=11,MOD(N72,100)&lt;=13),"th",CHOOSE(MIN(5,MOD(N72,10)+1),"th","st","nd","rd","th")))</f>
        <v>9th</v>
      </c>
      <c r="I72" s="5" t="s">
        <v>87</v>
      </c>
      <c r="J72" s="6" t="n">
        <f aca="false">IFERROR(INDEX(Rounds!$A:$A,MATCH(I72,Rounds!$B:$B,0)),"ADD LEAGUE TO ROUNDS")</f>
        <v>1</v>
      </c>
      <c r="K72" s="6" t="n">
        <f aca="false">IFERROR(VALUE(LEFT(E72,FIND(" - ",E72)-1)),"")</f>
        <v>7</v>
      </c>
      <c r="L72" s="5" t="s">
        <v>320</v>
      </c>
      <c r="N72" s="6" t="n">
        <f aca="false">IF(F72="","",1+COUNTIFS($J:$J,J72,$K:$K,K72,$F:$F,"&gt;"&amp;F72)+COUNTIFS($J:$J,J72,$K:$K,K72,$F:$F,F72,$G:$G,"&gt;"&amp;G72))</f>
        <v>9</v>
      </c>
      <c r="O72" s="6" t="n">
        <f aca="false">IF(L72="","",SUMIFS(Votes!$E:$E,Votes!$A:$A,J72,Votes!$B:$B,K72,Votes!$D:$D,L72))</f>
        <v>7</v>
      </c>
      <c r="P72" s="6" t="n">
        <f aca="false">IF(L72="","",COUNTIFS(Votes!$A:$A,J72,Votes!$B:$B,K72,Votes!$D:$D,L72))</f>
        <v>4</v>
      </c>
      <c r="Q72" s="7" t="str">
        <f aca="false">IF(F72="","Unscored",IF(O72="","No URI",IF(AND(F72=0,O72=0),"Zero-vote",IF(AND(F72=O72,G72=P72),"OK",IF(AND(F72=0,O72&gt;0,COUNTIFS(Votes!$A:$A,J72,Votes!$B:$B,K72,Votes!$C:$C,D72)=0),"Forfeited","Mismatch")))))</f>
        <v>OK</v>
      </c>
      <c r="R72" s="6" t="n">
        <f aca="false">MAX(IF(L72&lt;&gt;"",COUNTIF($L:$L,L72),0),COUNTIFS($A:$A,A72,$B:$B,B72))</f>
        <v>1</v>
      </c>
      <c r="S72" s="6" t="str">
        <f aca="false">IF(R72&gt;1,COUNTIF($R$2:R72,"&gt;1"),"")</f>
        <v/>
      </c>
      <c r="T72" s="6" t="str">
        <f aca="false">IF(L72="","",J72&amp;"|"&amp;K72&amp;"|"&amp;L72)</f>
        <v>1|7|spotify:track:0m4Am92jGJ03JbiOkJ0ta8</v>
      </c>
      <c r="U72" s="6" t="str">
        <f aca="false">IF(C72="","",IFERROR(INDEX(Lists!$F:$F,MATCH(C72,Lists!$E:$E,0)),"Unmapped"))</f>
        <v>Folk/Americana</v>
      </c>
    </row>
    <row r="73" customFormat="false" ht="15" hidden="false" customHeight="false" outlineLevel="0" collapsed="false">
      <c r="A73" s="5" t="s">
        <v>321</v>
      </c>
      <c r="B73" s="5" t="s">
        <v>322</v>
      </c>
      <c r="C73" s="5" t="s">
        <v>105</v>
      </c>
      <c r="D73" s="5" t="s">
        <v>106</v>
      </c>
      <c r="E73" s="5" t="s">
        <v>294</v>
      </c>
      <c r="F73" s="5" t="n">
        <v>6</v>
      </c>
      <c r="G73" s="5" t="n">
        <v>5</v>
      </c>
      <c r="H73" s="6" t="str">
        <f aca="false">IF(N73="","",N73&amp;IF(AND(MOD(N73,100)&gt;=11,MOD(N73,100)&lt;=13),"th",CHOOSE(MIN(5,MOD(N73,10)+1),"th","st","nd","rd","th")))</f>
        <v>10th</v>
      </c>
      <c r="I73" s="5" t="s">
        <v>87</v>
      </c>
      <c r="J73" s="6" t="n">
        <f aca="false">IFERROR(INDEX(Rounds!$A:$A,MATCH(I73,Rounds!$B:$B,0)),"ADD LEAGUE TO ROUNDS")</f>
        <v>1</v>
      </c>
      <c r="K73" s="6" t="n">
        <f aca="false">IFERROR(VALUE(LEFT(E73,FIND(" - ",E73)-1)),"")</f>
        <v>7</v>
      </c>
      <c r="L73" s="5" t="s">
        <v>323</v>
      </c>
      <c r="N73" s="6" t="n">
        <f aca="false">IF(F73="","",1+COUNTIFS($J:$J,J73,$K:$K,K73,$F:$F,"&gt;"&amp;F73)+COUNTIFS($J:$J,J73,$K:$K,K73,$F:$F,F73,$G:$G,"&gt;"&amp;G73))</f>
        <v>10</v>
      </c>
      <c r="O73" s="6" t="n">
        <f aca="false">IF(L73="","",SUMIFS(Votes!$E:$E,Votes!$A:$A,J73,Votes!$B:$B,K73,Votes!$D:$D,L73))</f>
        <v>6</v>
      </c>
      <c r="P73" s="6" t="n">
        <f aca="false">IF(L73="","",COUNTIFS(Votes!$A:$A,J73,Votes!$B:$B,K73,Votes!$D:$D,L73))</f>
        <v>5</v>
      </c>
      <c r="Q73" s="7" t="str">
        <f aca="false">IF(F73="","Unscored",IF(O73="","No URI",IF(AND(F73=0,O73=0),"Zero-vote",IF(AND(F73=O73,G73=P73),"OK",IF(AND(F73=0,O73&gt;0,COUNTIFS(Votes!$A:$A,J73,Votes!$B:$B,K73,Votes!$C:$C,D73)=0),"Forfeited","Mismatch")))))</f>
        <v>OK</v>
      </c>
      <c r="R73" s="6" t="n">
        <f aca="false">MAX(IF(L73&lt;&gt;"",COUNTIF($L:$L,L73),0),COUNTIFS($A:$A,A73,$B:$B,B73))</f>
        <v>1</v>
      </c>
      <c r="S73" s="6" t="str">
        <f aca="false">IF(R73&gt;1,COUNTIF($R$2:R73,"&gt;1"),"")</f>
        <v/>
      </c>
      <c r="T73" s="6" t="str">
        <f aca="false">IF(L73="","",J73&amp;"|"&amp;K73&amp;"|"&amp;L73)</f>
        <v>1|7|spotify:track:3ECwNI9Pi4G4b8EypUwLNJ</v>
      </c>
      <c r="U73" s="6" t="str">
        <f aca="false">IF(C73="","",IFERROR(INDEX(Lists!$F:$F,MATCH(C73,Lists!$E:$E,0)),"Unmapped"))</f>
        <v>Metal</v>
      </c>
    </row>
    <row r="74" customFormat="false" ht="15" hidden="false" customHeight="false" outlineLevel="0" collapsed="false">
      <c r="A74" s="5" t="s">
        <v>324</v>
      </c>
      <c r="B74" s="5" t="s">
        <v>325</v>
      </c>
      <c r="C74" s="5" t="s">
        <v>248</v>
      </c>
      <c r="D74" s="5" t="s">
        <v>116</v>
      </c>
      <c r="E74" s="5" t="s">
        <v>294</v>
      </c>
      <c r="F74" s="5" t="n">
        <v>4</v>
      </c>
      <c r="G74" s="5" t="n">
        <v>4</v>
      </c>
      <c r="H74" s="6" t="str">
        <f aca="false">IF(N74="","",N74&amp;IF(AND(MOD(N74,100)&gt;=11,MOD(N74,100)&lt;=13),"th",CHOOSE(MIN(5,MOD(N74,10)+1),"th","st","nd","rd","th")))</f>
        <v>11th</v>
      </c>
      <c r="I74" s="5" t="s">
        <v>87</v>
      </c>
      <c r="J74" s="6" t="n">
        <f aca="false">IFERROR(INDEX(Rounds!$A:$A,MATCH(I74,Rounds!$B:$B,0)),"ADD LEAGUE TO ROUNDS")</f>
        <v>1</v>
      </c>
      <c r="K74" s="6" t="n">
        <f aca="false">IFERROR(VALUE(LEFT(E74,FIND(" - ",E74)-1)),"")</f>
        <v>7</v>
      </c>
      <c r="L74" s="5" t="s">
        <v>326</v>
      </c>
      <c r="N74" s="6" t="n">
        <f aca="false">IF(F74="","",1+COUNTIFS($J:$J,J74,$K:$K,K74,$F:$F,"&gt;"&amp;F74)+COUNTIFS($J:$J,J74,$K:$K,K74,$F:$F,F74,$G:$G,"&gt;"&amp;G74))</f>
        <v>11</v>
      </c>
      <c r="O74" s="6" t="n">
        <f aca="false">IF(L74="","",SUMIFS(Votes!$E:$E,Votes!$A:$A,J74,Votes!$B:$B,K74,Votes!$D:$D,L74))</f>
        <v>4</v>
      </c>
      <c r="P74" s="6" t="n">
        <f aca="false">IF(L74="","",COUNTIFS(Votes!$A:$A,J74,Votes!$B:$B,K74,Votes!$D:$D,L74))</f>
        <v>4</v>
      </c>
      <c r="Q74" s="7" t="str">
        <f aca="false">IF(F74="","Unscored",IF(O74="","No URI",IF(AND(F74=0,O74=0),"Zero-vote",IF(AND(F74=O74,G74=P74),"OK",IF(AND(F74=0,O74&gt;0,COUNTIFS(Votes!$A:$A,J74,Votes!$B:$B,K74,Votes!$C:$C,D74)=0),"Forfeited","Mismatch")))))</f>
        <v>OK</v>
      </c>
      <c r="R74" s="6" t="n">
        <f aca="false">MAX(IF(L74&lt;&gt;"",COUNTIF($L:$L,L74),0),COUNTIFS($A:$A,A74,$B:$B,B74))</f>
        <v>1</v>
      </c>
      <c r="S74" s="6" t="str">
        <f aca="false">IF(R74&gt;1,COUNTIF($R$2:R74,"&gt;1"),"")</f>
        <v/>
      </c>
      <c r="T74" s="6" t="str">
        <f aca="false">IF(L74="","",J74&amp;"|"&amp;K74&amp;"|"&amp;L74)</f>
        <v>1|7|spotify:track:4yY8JqTOQyi7K4O1QcQtBG</v>
      </c>
      <c r="U74" s="6" t="str">
        <f aca="false">IF(C74="","",IFERROR(INDEX(Lists!$F:$F,MATCH(C74,Lists!$E:$E,0)),"Unmapped"))</f>
        <v>Folk/Americana</v>
      </c>
    </row>
    <row r="75" customFormat="false" ht="15" hidden="false" customHeight="false" outlineLevel="0" collapsed="false">
      <c r="A75" s="5" t="s">
        <v>327</v>
      </c>
      <c r="B75" s="5" t="s">
        <v>328</v>
      </c>
      <c r="C75" s="5" t="s">
        <v>304</v>
      </c>
      <c r="D75" s="5" t="s">
        <v>97</v>
      </c>
      <c r="E75" s="5" t="s">
        <v>329</v>
      </c>
      <c r="F75" s="5" t="n">
        <v>15</v>
      </c>
      <c r="G75" s="5" t="n">
        <v>10</v>
      </c>
      <c r="H75" s="6" t="str">
        <f aca="false">IF(N75="","",N75&amp;IF(AND(MOD(N75,100)&gt;=11,MOD(N75,100)&lt;=13),"th",CHOOSE(MIN(5,MOD(N75,10)+1),"th","st","nd","rd","th")))</f>
        <v>1st</v>
      </c>
      <c r="I75" s="5" t="s">
        <v>87</v>
      </c>
      <c r="J75" s="6" t="n">
        <f aca="false">IFERROR(INDEX(Rounds!$A:$A,MATCH(I75,Rounds!$B:$B,0)),"ADD LEAGUE TO ROUNDS")</f>
        <v>1</v>
      </c>
      <c r="K75" s="6" t="n">
        <f aca="false">IFERROR(VALUE(LEFT(E75,FIND(" - ",E75)-1)),"")</f>
        <v>8</v>
      </c>
      <c r="L75" s="5" t="s">
        <v>330</v>
      </c>
      <c r="N75" s="6" t="n">
        <f aca="false">IF(F75="","",1+COUNTIFS($J:$J,J75,$K:$K,K75,$F:$F,"&gt;"&amp;F75)+COUNTIFS($J:$J,J75,$K:$K,K75,$F:$F,F75,$G:$G,"&gt;"&amp;G75))</f>
        <v>1</v>
      </c>
      <c r="O75" s="6" t="n">
        <f aca="false">IF(L75="","",SUMIFS(Votes!$E:$E,Votes!$A:$A,J75,Votes!$B:$B,K75,Votes!$D:$D,L75))</f>
        <v>15</v>
      </c>
      <c r="P75" s="6" t="n">
        <f aca="false">IF(L75="","",COUNTIFS(Votes!$A:$A,J75,Votes!$B:$B,K75,Votes!$D:$D,L75))</f>
        <v>10</v>
      </c>
      <c r="Q75" s="7" t="str">
        <f aca="false">IF(F75="","Unscored",IF(O75="","No URI",IF(AND(F75=0,O75=0),"Zero-vote",IF(AND(F75=O75,G75=P75),"OK",IF(AND(F75=0,O75&gt;0,COUNTIFS(Votes!$A:$A,J75,Votes!$B:$B,K75,Votes!$C:$C,D75)=0),"Forfeited","Mismatch")))))</f>
        <v>OK</v>
      </c>
      <c r="R75" s="6" t="n">
        <f aca="false">MAX(IF(L75&lt;&gt;"",COUNTIF($L:$L,L75),0),COUNTIFS($A:$A,A75,$B:$B,B75))</f>
        <v>1</v>
      </c>
      <c r="S75" s="6" t="str">
        <f aca="false">IF(R75&gt;1,COUNTIF($R$2:R75,"&gt;1"),"")</f>
        <v/>
      </c>
      <c r="T75" s="6" t="str">
        <f aca="false">IF(L75="","",J75&amp;"|"&amp;K75&amp;"|"&amp;L75)</f>
        <v>1|8|spotify:track:5vNRhkKd0yEAg8suGBpjeY</v>
      </c>
      <c r="U75" s="6" t="str">
        <f aca="false">IF(C75="","",IFERROR(INDEX(Lists!$F:$F,MATCH(C75,Lists!$E:$E,0)),"Unmapped"))</f>
        <v>K-Pop</v>
      </c>
    </row>
    <row r="76" customFormat="false" ht="15" hidden="false" customHeight="false" outlineLevel="0" collapsed="false">
      <c r="A76" s="5" t="s">
        <v>331</v>
      </c>
      <c r="B76" s="5" t="s">
        <v>332</v>
      </c>
      <c r="C76" s="5" t="s">
        <v>84</v>
      </c>
      <c r="D76" s="5" t="s">
        <v>101</v>
      </c>
      <c r="E76" s="5" t="s">
        <v>329</v>
      </c>
      <c r="F76" s="5" t="n">
        <v>14</v>
      </c>
      <c r="G76" s="5" t="n">
        <v>9</v>
      </c>
      <c r="H76" s="6" t="str">
        <f aca="false">IF(N76="","",N76&amp;IF(AND(MOD(N76,100)&gt;=11,MOD(N76,100)&lt;=13),"th",CHOOSE(MIN(5,MOD(N76,10)+1),"th","st","nd","rd","th")))</f>
        <v>2nd</v>
      </c>
      <c r="I76" s="5" t="s">
        <v>87</v>
      </c>
      <c r="J76" s="6" t="n">
        <f aca="false">IFERROR(INDEX(Rounds!$A:$A,MATCH(I76,Rounds!$B:$B,0)),"ADD LEAGUE TO ROUNDS")</f>
        <v>1</v>
      </c>
      <c r="K76" s="6" t="n">
        <f aca="false">IFERROR(VALUE(LEFT(E76,FIND(" - ",E76)-1)),"")</f>
        <v>8</v>
      </c>
      <c r="L76" s="5" t="s">
        <v>333</v>
      </c>
      <c r="N76" s="6" t="n">
        <f aca="false">IF(F76="","",1+COUNTIFS($J:$J,J76,$K:$K,K76,$F:$F,"&gt;"&amp;F76)+COUNTIFS($J:$J,J76,$K:$K,K76,$F:$F,F76,$G:$G,"&gt;"&amp;G76))</f>
        <v>2</v>
      </c>
      <c r="O76" s="6" t="n">
        <f aca="false">IF(L76="","",SUMIFS(Votes!$E:$E,Votes!$A:$A,J76,Votes!$B:$B,K76,Votes!$D:$D,L76))</f>
        <v>14</v>
      </c>
      <c r="P76" s="6" t="n">
        <f aca="false">IF(L76="","",COUNTIFS(Votes!$A:$A,J76,Votes!$B:$B,K76,Votes!$D:$D,L76))</f>
        <v>9</v>
      </c>
      <c r="Q76" s="7" t="str">
        <f aca="false">IF(F76="","Unscored",IF(O76="","No URI",IF(AND(F76=0,O76=0),"Zero-vote",IF(AND(F76=O76,G76=P76),"OK",IF(AND(F76=0,O76&gt;0,COUNTIFS(Votes!$A:$A,J76,Votes!$B:$B,K76,Votes!$C:$C,D76)=0),"Forfeited","Mismatch")))))</f>
        <v>OK</v>
      </c>
      <c r="R76" s="6" t="n">
        <f aca="false">MAX(IF(L76&lt;&gt;"",COUNTIF($L:$L,L76),0),COUNTIFS($A:$A,A76,$B:$B,B76))</f>
        <v>1</v>
      </c>
      <c r="S76" s="6" t="str">
        <f aca="false">IF(R76&gt;1,COUNTIF($R$2:R76,"&gt;1"),"")</f>
        <v/>
      </c>
      <c r="T76" s="6" t="str">
        <f aca="false">IF(L76="","",J76&amp;"|"&amp;K76&amp;"|"&amp;L76)</f>
        <v>1|8|spotify:track:5HCyWlXZPP0y6Gqq8TgA20</v>
      </c>
      <c r="U76" s="6" t="str">
        <f aca="false">IF(C76="","",IFERROR(INDEX(Lists!$F:$F,MATCH(C76,Lists!$E:$E,0)),"Unmapped"))</f>
        <v>Pop</v>
      </c>
    </row>
    <row r="77" customFormat="false" ht="15" hidden="false" customHeight="false" outlineLevel="0" collapsed="false">
      <c r="A77" s="5" t="s">
        <v>334</v>
      </c>
      <c r="B77" s="5" t="s">
        <v>335</v>
      </c>
      <c r="C77" s="5" t="s">
        <v>132</v>
      </c>
      <c r="D77" s="5" t="s">
        <v>123</v>
      </c>
      <c r="E77" s="5" t="s">
        <v>329</v>
      </c>
      <c r="F77" s="5" t="n">
        <v>14</v>
      </c>
      <c r="G77" s="5" t="n">
        <v>8</v>
      </c>
      <c r="H77" s="6" t="str">
        <f aca="false">IF(N77="","",N77&amp;IF(AND(MOD(N77,100)&gt;=11,MOD(N77,100)&lt;=13),"th",CHOOSE(MIN(5,MOD(N77,10)+1),"th","st","nd","rd","th")))</f>
        <v>3rd</v>
      </c>
      <c r="I77" s="5" t="s">
        <v>87</v>
      </c>
      <c r="J77" s="6" t="n">
        <f aca="false">IFERROR(INDEX(Rounds!$A:$A,MATCH(I77,Rounds!$B:$B,0)),"ADD LEAGUE TO ROUNDS")</f>
        <v>1</v>
      </c>
      <c r="K77" s="6" t="n">
        <f aca="false">IFERROR(VALUE(LEFT(E77,FIND(" - ",E77)-1)),"")</f>
        <v>8</v>
      </c>
      <c r="L77" s="5" t="s">
        <v>336</v>
      </c>
      <c r="N77" s="6" t="n">
        <f aca="false">IF(F77="","",1+COUNTIFS($J:$J,J77,$K:$K,K77,$F:$F,"&gt;"&amp;F77)+COUNTIFS($J:$J,J77,$K:$K,K77,$F:$F,F77,$G:$G,"&gt;"&amp;G77))</f>
        <v>3</v>
      </c>
      <c r="O77" s="6" t="n">
        <f aca="false">IF(L77="","",SUMIFS(Votes!$E:$E,Votes!$A:$A,J77,Votes!$B:$B,K77,Votes!$D:$D,L77))</f>
        <v>14</v>
      </c>
      <c r="P77" s="6" t="n">
        <f aca="false">IF(L77="","",COUNTIFS(Votes!$A:$A,J77,Votes!$B:$B,K77,Votes!$D:$D,L77))</f>
        <v>8</v>
      </c>
      <c r="Q77" s="7" t="str">
        <f aca="false">IF(F77="","Unscored",IF(O77="","No URI",IF(AND(F77=0,O77=0),"Zero-vote",IF(AND(F77=O77,G77=P77),"OK",IF(AND(F77=0,O77&gt;0,COUNTIFS(Votes!$A:$A,J77,Votes!$B:$B,K77,Votes!$C:$C,D77)=0),"Forfeited","Mismatch")))))</f>
        <v>OK</v>
      </c>
      <c r="R77" s="6" t="n">
        <f aca="false">MAX(IF(L77&lt;&gt;"",COUNTIF($L:$L,L77),0),COUNTIFS($A:$A,A77,$B:$B,B77))</f>
        <v>2</v>
      </c>
      <c r="S77" s="6" t="n">
        <f aca="false">IF(R77&gt;1,COUNTIF($R$2:R77,"&gt;1"),"")</f>
        <v>5</v>
      </c>
      <c r="T77" s="6" t="str">
        <f aca="false">IF(L77="","",J77&amp;"|"&amp;K77&amp;"|"&amp;L77)</f>
        <v>1|8|spotify:track:1CPZ5BxNNd0n0nF4Orb9JS</v>
      </c>
      <c r="U77" s="6" t="str">
        <f aca="false">IF(C77="","",IFERROR(INDEX(Lists!$F:$F,MATCH(C77,Lists!$E:$E,0)),"Unmapped"))</f>
        <v>Soundtrack/Musical</v>
      </c>
    </row>
    <row r="78" customFormat="false" ht="15" hidden="false" customHeight="false" outlineLevel="0" collapsed="false">
      <c r="A78" s="5" t="s">
        <v>337</v>
      </c>
      <c r="B78" s="5" t="s">
        <v>338</v>
      </c>
      <c r="C78" s="5" t="s">
        <v>132</v>
      </c>
      <c r="D78" s="5" t="s">
        <v>116</v>
      </c>
      <c r="E78" s="5" t="s">
        <v>329</v>
      </c>
      <c r="F78" s="5" t="n">
        <v>13</v>
      </c>
      <c r="G78" s="5" t="n">
        <v>8</v>
      </c>
      <c r="H78" s="6" t="str">
        <f aca="false">IF(N78="","",N78&amp;IF(AND(MOD(N78,100)&gt;=11,MOD(N78,100)&lt;=13),"th",CHOOSE(MIN(5,MOD(N78,10)+1),"th","st","nd","rd","th")))</f>
        <v>4th</v>
      </c>
      <c r="I78" s="5" t="s">
        <v>87</v>
      </c>
      <c r="J78" s="6" t="n">
        <f aca="false">IFERROR(INDEX(Rounds!$A:$A,MATCH(I78,Rounds!$B:$B,0)),"ADD LEAGUE TO ROUNDS")</f>
        <v>1</v>
      </c>
      <c r="K78" s="6" t="n">
        <f aca="false">IFERROR(VALUE(LEFT(E78,FIND(" - ",E78)-1)),"")</f>
        <v>8</v>
      </c>
      <c r="L78" s="5" t="s">
        <v>339</v>
      </c>
      <c r="N78" s="6" t="n">
        <f aca="false">IF(F78="","",1+COUNTIFS($J:$J,J78,$K:$K,K78,$F:$F,"&gt;"&amp;F78)+COUNTIFS($J:$J,J78,$K:$K,K78,$F:$F,F78,$G:$G,"&gt;"&amp;G78))</f>
        <v>4</v>
      </c>
      <c r="O78" s="6" t="n">
        <f aca="false">IF(L78="","",SUMIFS(Votes!$E:$E,Votes!$A:$A,J78,Votes!$B:$B,K78,Votes!$D:$D,L78))</f>
        <v>13</v>
      </c>
      <c r="P78" s="6" t="n">
        <f aca="false">IF(L78="","",COUNTIFS(Votes!$A:$A,J78,Votes!$B:$B,K78,Votes!$D:$D,L78))</f>
        <v>8</v>
      </c>
      <c r="Q78" s="7" t="str">
        <f aca="false">IF(F78="","Unscored",IF(O78="","No URI",IF(AND(F78=0,O78=0),"Zero-vote",IF(AND(F78=O78,G78=P78),"OK",IF(AND(F78=0,O78&gt;0,COUNTIFS(Votes!$A:$A,J78,Votes!$B:$B,K78,Votes!$C:$C,D78)=0),"Forfeited","Mismatch")))))</f>
        <v>OK</v>
      </c>
      <c r="R78" s="6" t="n">
        <f aca="false">MAX(IF(L78&lt;&gt;"",COUNTIF($L:$L,L78),0),COUNTIFS($A:$A,A78,$B:$B,B78))</f>
        <v>1</v>
      </c>
      <c r="S78" s="6" t="str">
        <f aca="false">IF(R78&gt;1,COUNTIF($R$2:R78,"&gt;1"),"")</f>
        <v/>
      </c>
      <c r="T78" s="6" t="str">
        <f aca="false">IF(L78="","",J78&amp;"|"&amp;K78&amp;"|"&amp;L78)</f>
        <v>1|8|spotify:track:02sy7FAs8dkDNYsHp4Ul3f</v>
      </c>
      <c r="U78" s="6" t="str">
        <f aca="false">IF(C78="","",IFERROR(INDEX(Lists!$F:$F,MATCH(C78,Lists!$E:$E,0)),"Unmapped"))</f>
        <v>Soundtrack/Musical</v>
      </c>
    </row>
    <row r="79" customFormat="false" ht="15" hidden="false" customHeight="false" outlineLevel="0" collapsed="false">
      <c r="A79" s="5" t="s">
        <v>340</v>
      </c>
      <c r="B79" s="5" t="s">
        <v>341</v>
      </c>
      <c r="C79" s="5" t="s">
        <v>293</v>
      </c>
      <c r="D79" s="5" t="s">
        <v>133</v>
      </c>
      <c r="E79" s="5" t="s">
        <v>329</v>
      </c>
      <c r="F79" s="5" t="n">
        <v>11</v>
      </c>
      <c r="G79" s="5" t="n">
        <v>6</v>
      </c>
      <c r="H79" s="6" t="str">
        <f aca="false">IF(N79="","",N79&amp;IF(AND(MOD(N79,100)&gt;=11,MOD(N79,100)&lt;=13),"th",CHOOSE(MIN(5,MOD(N79,10)+1),"th","st","nd","rd","th")))</f>
        <v>5th</v>
      </c>
      <c r="I79" s="5" t="s">
        <v>87</v>
      </c>
      <c r="J79" s="6" t="n">
        <f aca="false">IFERROR(INDEX(Rounds!$A:$A,MATCH(I79,Rounds!$B:$B,0)),"ADD LEAGUE TO ROUNDS")</f>
        <v>1</v>
      </c>
      <c r="K79" s="6" t="n">
        <f aca="false">IFERROR(VALUE(LEFT(E79,FIND(" - ",E79)-1)),"")</f>
        <v>8</v>
      </c>
      <c r="L79" s="5" t="s">
        <v>342</v>
      </c>
      <c r="N79" s="6" t="n">
        <f aca="false">IF(F79="","",1+COUNTIFS($J:$J,J79,$K:$K,K79,$F:$F,"&gt;"&amp;F79)+COUNTIFS($J:$J,J79,$K:$K,K79,$F:$F,F79,$G:$G,"&gt;"&amp;G79))</f>
        <v>5</v>
      </c>
      <c r="O79" s="6" t="n">
        <f aca="false">IF(L79="","",SUMIFS(Votes!$E:$E,Votes!$A:$A,J79,Votes!$B:$B,K79,Votes!$D:$D,L79))</f>
        <v>11</v>
      </c>
      <c r="P79" s="6" t="n">
        <f aca="false">IF(L79="","",COUNTIFS(Votes!$A:$A,J79,Votes!$B:$B,K79,Votes!$D:$D,L79))</f>
        <v>6</v>
      </c>
      <c r="Q79" s="7" t="str">
        <f aca="false">IF(F79="","Unscored",IF(O79="","No URI",IF(AND(F79=0,O79=0),"Zero-vote",IF(AND(F79=O79,G79=P79),"OK",IF(AND(F79=0,O79&gt;0,COUNTIFS(Votes!$A:$A,J79,Votes!$B:$B,K79,Votes!$C:$C,D79)=0),"Forfeited","Mismatch")))))</f>
        <v>OK</v>
      </c>
      <c r="R79" s="6" t="n">
        <f aca="false">MAX(IF(L79&lt;&gt;"",COUNTIF($L:$L,L79),0),COUNTIFS($A:$A,A79,$B:$B,B79))</f>
        <v>1</v>
      </c>
      <c r="S79" s="6" t="str">
        <f aca="false">IF(R79&gt;1,COUNTIF($R$2:R79,"&gt;1"),"")</f>
        <v/>
      </c>
      <c r="T79" s="6" t="str">
        <f aca="false">IF(L79="","",J79&amp;"|"&amp;K79&amp;"|"&amp;L79)</f>
        <v>1|8|spotify:track:0Bo5fjMtTfCD8vHGebivqc</v>
      </c>
      <c r="U79" s="6" t="str">
        <f aca="false">IF(C79="","",IFERROR(INDEX(Lists!$F:$F,MATCH(C79,Lists!$E:$E,0)),"Unmapped"))</f>
        <v>Electronic/Dance</v>
      </c>
    </row>
    <row r="80" customFormat="false" ht="15" hidden="false" customHeight="false" outlineLevel="0" collapsed="false">
      <c r="A80" s="5" t="s">
        <v>343</v>
      </c>
      <c r="B80" s="5" t="s">
        <v>344</v>
      </c>
      <c r="C80" s="5" t="s">
        <v>132</v>
      </c>
      <c r="D80" s="5" t="s">
        <v>92</v>
      </c>
      <c r="E80" s="5" t="s">
        <v>329</v>
      </c>
      <c r="F80" s="5" t="n">
        <v>11</v>
      </c>
      <c r="G80" s="5" t="n">
        <v>6</v>
      </c>
      <c r="H80" s="6" t="str">
        <f aca="false">IF(N80="","",N80&amp;IF(AND(MOD(N80,100)&gt;=11,MOD(N80,100)&lt;=13),"th",CHOOSE(MIN(5,MOD(N80,10)+1),"th","st","nd","rd","th")))</f>
        <v>5th</v>
      </c>
      <c r="I80" s="5" t="s">
        <v>87</v>
      </c>
      <c r="J80" s="6" t="n">
        <f aca="false">IFERROR(INDEX(Rounds!$A:$A,MATCH(I80,Rounds!$B:$B,0)),"ADD LEAGUE TO ROUNDS")</f>
        <v>1</v>
      </c>
      <c r="K80" s="6" t="n">
        <f aca="false">IFERROR(VALUE(LEFT(E80,FIND(" - ",E80)-1)),"")</f>
        <v>8</v>
      </c>
      <c r="L80" s="5" t="s">
        <v>345</v>
      </c>
      <c r="N80" s="6" t="n">
        <f aca="false">IF(F80="","",1+COUNTIFS($J:$J,J80,$K:$K,K80,$F:$F,"&gt;"&amp;F80)+COUNTIFS($J:$J,J80,$K:$K,K80,$F:$F,F80,$G:$G,"&gt;"&amp;G80))</f>
        <v>5</v>
      </c>
      <c r="O80" s="6" t="n">
        <f aca="false">IF(L80="","",SUMIFS(Votes!$E:$E,Votes!$A:$A,J80,Votes!$B:$B,K80,Votes!$D:$D,L80))</f>
        <v>11</v>
      </c>
      <c r="P80" s="6" t="n">
        <f aca="false">IF(L80="","",COUNTIFS(Votes!$A:$A,J80,Votes!$B:$B,K80,Votes!$D:$D,L80))</f>
        <v>6</v>
      </c>
      <c r="Q80" s="7" t="str">
        <f aca="false">IF(F80="","Unscored",IF(O80="","No URI",IF(AND(F80=0,O80=0),"Zero-vote",IF(AND(F80=O80,G80=P80),"OK",IF(AND(F80=0,O80&gt;0,COUNTIFS(Votes!$A:$A,J80,Votes!$B:$B,K80,Votes!$C:$C,D80)=0),"Forfeited","Mismatch")))))</f>
        <v>OK</v>
      </c>
      <c r="R80" s="6" t="n">
        <f aca="false">MAX(IF(L80&lt;&gt;"",COUNTIF($L:$L,L80),0),COUNTIFS($A:$A,A80,$B:$B,B80))</f>
        <v>1</v>
      </c>
      <c r="S80" s="6" t="str">
        <f aca="false">IF(R80&gt;1,COUNTIF($R$2:R80,"&gt;1"),"")</f>
        <v/>
      </c>
      <c r="T80" s="6" t="str">
        <f aca="false">IF(L80="","",J80&amp;"|"&amp;K80&amp;"|"&amp;L80)</f>
        <v>1|8|spotify:track:6manK5YRppWQriHBUsr3nK</v>
      </c>
      <c r="U80" s="6" t="str">
        <f aca="false">IF(C80="","",IFERROR(INDEX(Lists!$F:$F,MATCH(C80,Lists!$E:$E,0)),"Unmapped"))</f>
        <v>Soundtrack/Musical</v>
      </c>
    </row>
    <row r="81" customFormat="false" ht="15" hidden="false" customHeight="false" outlineLevel="0" collapsed="false">
      <c r="A81" s="5" t="s">
        <v>346</v>
      </c>
      <c r="B81" s="5" t="s">
        <v>347</v>
      </c>
      <c r="C81" s="5" t="s">
        <v>132</v>
      </c>
      <c r="D81" s="5" t="s">
        <v>85</v>
      </c>
      <c r="E81" s="5" t="s">
        <v>329</v>
      </c>
      <c r="F81" s="5" t="n">
        <v>10</v>
      </c>
      <c r="G81" s="5" t="n">
        <v>6</v>
      </c>
      <c r="H81" s="6" t="str">
        <f aca="false">IF(N81="","",N81&amp;IF(AND(MOD(N81,100)&gt;=11,MOD(N81,100)&lt;=13),"th",CHOOSE(MIN(5,MOD(N81,10)+1),"th","st","nd","rd","th")))</f>
        <v>7th</v>
      </c>
      <c r="I81" s="5" t="s">
        <v>87</v>
      </c>
      <c r="J81" s="6" t="n">
        <f aca="false">IFERROR(INDEX(Rounds!$A:$A,MATCH(I81,Rounds!$B:$B,0)),"ADD LEAGUE TO ROUNDS")</f>
        <v>1</v>
      </c>
      <c r="K81" s="6" t="n">
        <f aca="false">IFERROR(VALUE(LEFT(E81,FIND(" - ",E81)-1)),"")</f>
        <v>8</v>
      </c>
      <c r="L81" s="5" t="s">
        <v>348</v>
      </c>
      <c r="N81" s="6" t="n">
        <f aca="false">IF(F81="","",1+COUNTIFS($J:$J,J81,$K:$K,K81,$F:$F,"&gt;"&amp;F81)+COUNTIFS($J:$J,J81,$K:$K,K81,$F:$F,F81,$G:$G,"&gt;"&amp;G81))</f>
        <v>7</v>
      </c>
      <c r="O81" s="6" t="n">
        <f aca="false">IF(L81="","",SUMIFS(Votes!$E:$E,Votes!$A:$A,J81,Votes!$B:$B,K81,Votes!$D:$D,L81))</f>
        <v>10</v>
      </c>
      <c r="P81" s="6" t="n">
        <f aca="false">IF(L81="","",COUNTIFS(Votes!$A:$A,J81,Votes!$B:$B,K81,Votes!$D:$D,L81))</f>
        <v>6</v>
      </c>
      <c r="Q81" s="7" t="str">
        <f aca="false">IF(F81="","Unscored",IF(O81="","No URI",IF(AND(F81=0,O81=0),"Zero-vote",IF(AND(F81=O81,G81=P81),"OK",IF(AND(F81=0,O81&gt;0,COUNTIFS(Votes!$A:$A,J81,Votes!$B:$B,K81,Votes!$C:$C,D81)=0),"Forfeited","Mismatch")))))</f>
        <v>OK</v>
      </c>
      <c r="R81" s="6" t="n">
        <f aca="false">MAX(IF(L81&lt;&gt;"",COUNTIF($L:$L,L81),0),COUNTIFS($A:$A,A81,$B:$B,B81))</f>
        <v>1</v>
      </c>
      <c r="S81" s="6" t="str">
        <f aca="false">IF(R81&gt;1,COUNTIF($R$2:R81,"&gt;1"),"")</f>
        <v/>
      </c>
      <c r="T81" s="6" t="str">
        <f aca="false">IF(L81="","",J81&amp;"|"&amp;K81&amp;"|"&amp;L81)</f>
        <v>1|8|spotify:track:6B5PBsK6Kg2VUXwiPdU92p</v>
      </c>
      <c r="U81" s="6" t="str">
        <f aca="false">IF(C81="","",IFERROR(INDEX(Lists!$F:$F,MATCH(C81,Lists!$E:$E,0)),"Unmapped"))</f>
        <v>Soundtrack/Musical</v>
      </c>
    </row>
    <row r="82" customFormat="false" ht="15" hidden="false" customHeight="false" outlineLevel="0" collapsed="false">
      <c r="A82" s="5" t="s">
        <v>349</v>
      </c>
      <c r="B82" s="5" t="s">
        <v>350</v>
      </c>
      <c r="C82" s="5" t="s">
        <v>96</v>
      </c>
      <c r="D82" s="5" t="s">
        <v>128</v>
      </c>
      <c r="E82" s="5" t="s">
        <v>329</v>
      </c>
      <c r="F82" s="5" t="n">
        <v>10</v>
      </c>
      <c r="G82" s="5" t="n">
        <v>6</v>
      </c>
      <c r="H82" s="6" t="str">
        <f aca="false">IF(N82="","",N82&amp;IF(AND(MOD(N82,100)&gt;=11,MOD(N82,100)&lt;=13),"th",CHOOSE(MIN(5,MOD(N82,10)+1),"th","st","nd","rd","th")))</f>
        <v>7th</v>
      </c>
      <c r="I82" s="5" t="s">
        <v>87</v>
      </c>
      <c r="J82" s="6" t="n">
        <f aca="false">IFERROR(INDEX(Rounds!$A:$A,MATCH(I82,Rounds!$B:$B,0)),"ADD LEAGUE TO ROUNDS")</f>
        <v>1</v>
      </c>
      <c r="K82" s="6" t="n">
        <f aca="false">IFERROR(VALUE(LEFT(E82,FIND(" - ",E82)-1)),"")</f>
        <v>8</v>
      </c>
      <c r="L82" s="5" t="s">
        <v>351</v>
      </c>
      <c r="N82" s="6" t="n">
        <f aca="false">IF(F82="","",1+COUNTIFS($J:$J,J82,$K:$K,K82,$F:$F,"&gt;"&amp;F82)+COUNTIFS($J:$J,J82,$K:$K,K82,$F:$F,F82,$G:$G,"&gt;"&amp;G82))</f>
        <v>7</v>
      </c>
      <c r="O82" s="6" t="n">
        <f aca="false">IF(L82="","",SUMIFS(Votes!$E:$E,Votes!$A:$A,J82,Votes!$B:$B,K82,Votes!$D:$D,L82))</f>
        <v>10</v>
      </c>
      <c r="P82" s="6" t="n">
        <f aca="false">IF(L82="","",COUNTIFS(Votes!$A:$A,J82,Votes!$B:$B,K82,Votes!$D:$D,L82))</f>
        <v>6</v>
      </c>
      <c r="Q82" s="7" t="str">
        <f aca="false">IF(F82="","Unscored",IF(O82="","No URI",IF(AND(F82=0,O82=0),"Zero-vote",IF(AND(F82=O82,G82=P82),"OK",IF(AND(F82=0,O82&gt;0,COUNTIFS(Votes!$A:$A,J82,Votes!$B:$B,K82,Votes!$C:$C,D82)=0),"Forfeited","Mismatch")))))</f>
        <v>OK</v>
      </c>
      <c r="R82" s="6" t="n">
        <f aca="false">MAX(IF(L82&lt;&gt;"",COUNTIF($L:$L,L82),0),COUNTIFS($A:$A,A82,$B:$B,B82))</f>
        <v>1</v>
      </c>
      <c r="S82" s="6" t="str">
        <f aca="false">IF(R82&gt;1,COUNTIF($R$2:R82,"&gt;1"),"")</f>
        <v/>
      </c>
      <c r="T82" s="6" t="str">
        <f aca="false">IF(L82="","",J82&amp;"|"&amp;K82&amp;"|"&amp;L82)</f>
        <v>1|8|spotify:track:55lijDD6OAjLFFUHU9tcDm</v>
      </c>
      <c r="U82" s="6" t="str">
        <f aca="false">IF(C82="","",IFERROR(INDEX(Lists!$F:$F,MATCH(C82,Lists!$E:$E,0)),"Unmapped"))</f>
        <v>R&amp;B/Soul</v>
      </c>
    </row>
    <row r="83" customFormat="false" ht="15" hidden="false" customHeight="false" outlineLevel="0" collapsed="false">
      <c r="A83" s="5" t="s">
        <v>352</v>
      </c>
      <c r="B83" s="5" t="s">
        <v>353</v>
      </c>
      <c r="C83" s="5" t="s">
        <v>132</v>
      </c>
      <c r="D83" s="5" t="s">
        <v>119</v>
      </c>
      <c r="E83" s="5" t="s">
        <v>329</v>
      </c>
      <c r="F83" s="5" t="n">
        <v>9</v>
      </c>
      <c r="G83" s="5" t="n">
        <v>7</v>
      </c>
      <c r="H83" s="6" t="str">
        <f aca="false">IF(N83="","",N83&amp;IF(AND(MOD(N83,100)&gt;=11,MOD(N83,100)&lt;=13),"th",CHOOSE(MIN(5,MOD(N83,10)+1),"th","st","nd","rd","th")))</f>
        <v>9th</v>
      </c>
      <c r="I83" s="5" t="s">
        <v>87</v>
      </c>
      <c r="J83" s="6" t="n">
        <f aca="false">IFERROR(INDEX(Rounds!$A:$A,MATCH(I83,Rounds!$B:$B,0)),"ADD LEAGUE TO ROUNDS")</f>
        <v>1</v>
      </c>
      <c r="K83" s="6" t="n">
        <f aca="false">IFERROR(VALUE(LEFT(E83,FIND(" - ",E83)-1)),"")</f>
        <v>8</v>
      </c>
      <c r="L83" s="5" t="s">
        <v>354</v>
      </c>
      <c r="N83" s="6" t="n">
        <f aca="false">IF(F83="","",1+COUNTIFS($J:$J,J83,$K:$K,K83,$F:$F,"&gt;"&amp;F83)+COUNTIFS($J:$J,J83,$K:$K,K83,$F:$F,F83,$G:$G,"&gt;"&amp;G83))</f>
        <v>9</v>
      </c>
      <c r="O83" s="6" t="n">
        <f aca="false">IF(L83="","",SUMIFS(Votes!$E:$E,Votes!$A:$A,J83,Votes!$B:$B,K83,Votes!$D:$D,L83))</f>
        <v>9</v>
      </c>
      <c r="P83" s="6" t="n">
        <f aca="false">IF(L83="","",COUNTIFS(Votes!$A:$A,J83,Votes!$B:$B,K83,Votes!$D:$D,L83))</f>
        <v>7</v>
      </c>
      <c r="Q83" s="7" t="str">
        <f aca="false">IF(F83="","Unscored",IF(O83="","No URI",IF(AND(F83=0,O83=0),"Zero-vote",IF(AND(F83=O83,G83=P83),"OK",IF(AND(F83=0,O83&gt;0,COUNTIFS(Votes!$A:$A,J83,Votes!$B:$B,K83,Votes!$C:$C,D83)=0),"Forfeited","Mismatch")))))</f>
        <v>OK</v>
      </c>
      <c r="R83" s="6" t="n">
        <f aca="false">MAX(IF(L83&lt;&gt;"",COUNTIF($L:$L,L83),0),COUNTIFS($A:$A,A83,$B:$B,B83))</f>
        <v>1</v>
      </c>
      <c r="S83" s="6" t="str">
        <f aca="false">IF(R83&gt;1,COUNTIF($R$2:R83,"&gt;1"),"")</f>
        <v/>
      </c>
      <c r="T83" s="6" t="str">
        <f aca="false">IF(L83="","",J83&amp;"|"&amp;K83&amp;"|"&amp;L83)</f>
        <v>1|8|spotify:track:6hVrlsXwBWVp5Lrc8FV4iB</v>
      </c>
      <c r="U83" s="6" t="str">
        <f aca="false">IF(C83="","",IFERROR(INDEX(Lists!$F:$F,MATCH(C83,Lists!$E:$E,0)),"Unmapped"))</f>
        <v>Soundtrack/Musical</v>
      </c>
    </row>
    <row r="84" customFormat="false" ht="15" hidden="false" customHeight="false" outlineLevel="0" collapsed="false">
      <c r="A84" s="5" t="s">
        <v>185</v>
      </c>
      <c r="B84" s="5" t="s">
        <v>186</v>
      </c>
      <c r="C84" s="5" t="s">
        <v>96</v>
      </c>
      <c r="D84" s="5" t="s">
        <v>106</v>
      </c>
      <c r="E84" s="5" t="s">
        <v>329</v>
      </c>
      <c r="F84" s="5" t="n">
        <v>5</v>
      </c>
      <c r="G84" s="5" t="n">
        <v>5</v>
      </c>
      <c r="H84" s="6" t="str">
        <f aca="false">IF(N84="","",N84&amp;IF(AND(MOD(N84,100)&gt;=11,MOD(N84,100)&lt;=13),"th",CHOOSE(MIN(5,MOD(N84,10)+1),"th","st","nd","rd","th")))</f>
        <v>10th</v>
      </c>
      <c r="I84" s="5" t="s">
        <v>87</v>
      </c>
      <c r="J84" s="6" t="n">
        <f aca="false">IFERROR(INDEX(Rounds!$A:$A,MATCH(I84,Rounds!$B:$B,0)),"ADD LEAGUE TO ROUNDS")</f>
        <v>1</v>
      </c>
      <c r="K84" s="6" t="n">
        <f aca="false">IFERROR(VALUE(LEFT(E84,FIND(" - ",E84)-1)),"")</f>
        <v>8</v>
      </c>
      <c r="L84" s="5" t="s">
        <v>187</v>
      </c>
      <c r="N84" s="6" t="n">
        <f aca="false">IF(F84="","",1+COUNTIFS($J:$J,J84,$K:$K,K84,$F:$F,"&gt;"&amp;F84)+COUNTIFS($J:$J,J84,$K:$K,K84,$F:$F,F84,$G:$G,"&gt;"&amp;G84))</f>
        <v>10</v>
      </c>
      <c r="O84" s="6" t="n">
        <f aca="false">IF(L84="","",SUMIFS(Votes!$E:$E,Votes!$A:$A,J84,Votes!$B:$B,K84,Votes!$D:$D,L84))</f>
        <v>5</v>
      </c>
      <c r="P84" s="6" t="n">
        <f aca="false">IF(L84="","",COUNTIFS(Votes!$A:$A,J84,Votes!$B:$B,K84,Votes!$D:$D,L84))</f>
        <v>5</v>
      </c>
      <c r="Q84" s="7" t="str">
        <f aca="false">IF(F84="","Unscored",IF(O84="","No URI",IF(AND(F84=0,O84=0),"Zero-vote",IF(AND(F84=O84,G84=P84),"OK",IF(AND(F84=0,O84&gt;0,COUNTIFS(Votes!$A:$A,J84,Votes!$B:$B,K84,Votes!$C:$C,D84)=0),"Forfeited","Mismatch")))))</f>
        <v>OK</v>
      </c>
      <c r="R84" s="6" t="n">
        <f aca="false">MAX(IF(L84&lt;&gt;"",COUNTIF($L:$L,L84),0),COUNTIFS($A:$A,A84,$B:$B,B84))</f>
        <v>2</v>
      </c>
      <c r="S84" s="6" t="n">
        <f aca="false">IF(R84&gt;1,COUNTIF($R$2:R84,"&gt;1"),"")</f>
        <v>6</v>
      </c>
      <c r="T84" s="6" t="str">
        <f aca="false">IF(L84="","",J84&amp;"|"&amp;K84&amp;"|"&amp;L84)</f>
        <v>1|8|spotify:track:32OlwWuMpZ6b0aN2RZOeMS</v>
      </c>
      <c r="U84" s="6" t="str">
        <f aca="false">IF(C84="","",IFERROR(INDEX(Lists!$F:$F,MATCH(C84,Lists!$E:$E,0)),"Unmapped"))</f>
        <v>R&amp;B/Soul</v>
      </c>
    </row>
    <row r="85" customFormat="false" ht="15" hidden="false" customHeight="false" outlineLevel="0" collapsed="false">
      <c r="A85" s="5" t="s">
        <v>355</v>
      </c>
      <c r="B85" s="5" t="s">
        <v>356</v>
      </c>
      <c r="C85" s="5" t="s">
        <v>84</v>
      </c>
      <c r="D85" s="5" t="s">
        <v>111</v>
      </c>
      <c r="E85" s="5" t="s">
        <v>329</v>
      </c>
      <c r="F85" s="5" t="n">
        <v>4</v>
      </c>
      <c r="G85" s="5" t="n">
        <v>3</v>
      </c>
      <c r="H85" s="6" t="str">
        <f aca="false">IF(N85="","",N85&amp;IF(AND(MOD(N85,100)&gt;=11,MOD(N85,100)&lt;=13),"th",CHOOSE(MIN(5,MOD(N85,10)+1),"th","st","nd","rd","th")))</f>
        <v>11th</v>
      </c>
      <c r="I85" s="5" t="s">
        <v>87</v>
      </c>
      <c r="J85" s="6" t="n">
        <f aca="false">IFERROR(INDEX(Rounds!$A:$A,MATCH(I85,Rounds!$B:$B,0)),"ADD LEAGUE TO ROUNDS")</f>
        <v>1</v>
      </c>
      <c r="K85" s="6" t="n">
        <f aca="false">IFERROR(VALUE(LEFT(E85,FIND(" - ",E85)-1)),"")</f>
        <v>8</v>
      </c>
      <c r="L85" s="5" t="s">
        <v>357</v>
      </c>
      <c r="N85" s="6" t="n">
        <f aca="false">IF(F85="","",1+COUNTIFS($J:$J,J85,$K:$K,K85,$F:$F,"&gt;"&amp;F85)+COUNTIFS($J:$J,J85,$K:$K,K85,$F:$F,F85,$G:$G,"&gt;"&amp;G85))</f>
        <v>11</v>
      </c>
      <c r="O85" s="6" t="n">
        <f aca="false">IF(L85="","",SUMIFS(Votes!$E:$E,Votes!$A:$A,J85,Votes!$B:$B,K85,Votes!$D:$D,L85))</f>
        <v>4</v>
      </c>
      <c r="P85" s="6" t="n">
        <f aca="false">IF(L85="","",COUNTIFS(Votes!$A:$A,J85,Votes!$B:$B,K85,Votes!$D:$D,L85))</f>
        <v>3</v>
      </c>
      <c r="Q85" s="7" t="str">
        <f aca="false">IF(F85="","Unscored",IF(O85="","No URI",IF(AND(F85=0,O85=0),"Zero-vote",IF(AND(F85=O85,G85=P85),"OK",IF(AND(F85=0,O85&gt;0,COUNTIFS(Votes!$A:$A,J85,Votes!$B:$B,K85,Votes!$C:$C,D85)=0),"Forfeited","Mismatch")))))</f>
        <v>OK</v>
      </c>
      <c r="R85" s="6" t="n">
        <f aca="false">MAX(IF(L85&lt;&gt;"",COUNTIF($L:$L,L85),0),COUNTIFS($A:$A,A85,$B:$B,B85))</f>
        <v>1</v>
      </c>
      <c r="S85" s="6" t="str">
        <f aca="false">IF(R85&gt;1,COUNTIF($R$2:R85,"&gt;1"),"")</f>
        <v/>
      </c>
      <c r="T85" s="6" t="str">
        <f aca="false">IF(L85="","",J85&amp;"|"&amp;K85&amp;"|"&amp;L85)</f>
        <v>1|8|spotify:track:4DvlcoeyHGPzlkSKZlVGSt</v>
      </c>
      <c r="U85" s="6" t="str">
        <f aca="false">IF(C85="","",IFERROR(INDEX(Lists!$F:$F,MATCH(C85,Lists!$E:$E,0)),"Unmapped"))</f>
        <v>Pop</v>
      </c>
    </row>
    <row r="86" customFormat="false" ht="15" hidden="false" customHeight="false" outlineLevel="0" collapsed="false">
      <c r="A86" s="5" t="s">
        <v>358</v>
      </c>
      <c r="B86" s="5" t="s">
        <v>359</v>
      </c>
      <c r="C86" s="5" t="s">
        <v>110</v>
      </c>
      <c r="D86" s="5" t="s">
        <v>289</v>
      </c>
      <c r="E86" s="5" t="s">
        <v>329</v>
      </c>
      <c r="F86" s="5" t="n">
        <v>4</v>
      </c>
      <c r="G86" s="5" t="n">
        <v>3</v>
      </c>
      <c r="H86" s="6" t="str">
        <f aca="false">IF(N86="","",N86&amp;IF(AND(MOD(N86,100)&gt;=11,MOD(N86,100)&lt;=13),"th",CHOOSE(MIN(5,MOD(N86,10)+1),"th","st","nd","rd","th")))</f>
        <v>11th</v>
      </c>
      <c r="I86" s="5" t="s">
        <v>87</v>
      </c>
      <c r="J86" s="6" t="n">
        <f aca="false">IFERROR(INDEX(Rounds!$A:$A,MATCH(I86,Rounds!$B:$B,0)),"ADD LEAGUE TO ROUNDS")</f>
        <v>1</v>
      </c>
      <c r="K86" s="6" t="n">
        <f aca="false">IFERROR(VALUE(LEFT(E86,FIND(" - ",E86)-1)),"")</f>
        <v>8</v>
      </c>
      <c r="L86" s="5" t="s">
        <v>360</v>
      </c>
      <c r="N86" s="6" t="n">
        <f aca="false">IF(F86="","",1+COUNTIFS($J:$J,J86,$K:$K,K86,$F:$F,"&gt;"&amp;F86)+COUNTIFS($J:$J,J86,$K:$K,K86,$F:$F,F86,$G:$G,"&gt;"&amp;G86))</f>
        <v>11</v>
      </c>
      <c r="O86" s="6" t="n">
        <f aca="false">IF(L86="","",SUMIFS(Votes!$E:$E,Votes!$A:$A,J86,Votes!$B:$B,K86,Votes!$D:$D,L86))</f>
        <v>4</v>
      </c>
      <c r="P86" s="6" t="n">
        <f aca="false">IF(L86="","",COUNTIFS(Votes!$A:$A,J86,Votes!$B:$B,K86,Votes!$D:$D,L86))</f>
        <v>3</v>
      </c>
      <c r="Q86" s="7" t="str">
        <f aca="false">IF(F86="","Unscored",IF(O86="","No URI",IF(AND(F86=0,O86=0),"Zero-vote",IF(AND(F86=O86,G86=P86),"OK",IF(AND(F86=0,O86&gt;0,COUNTIFS(Votes!$A:$A,J86,Votes!$B:$B,K86,Votes!$C:$C,D86)=0),"Forfeited","Mismatch")))))</f>
        <v>OK</v>
      </c>
      <c r="R86" s="6" t="n">
        <f aca="false">MAX(IF(L86&lt;&gt;"",COUNTIF($L:$L,L86),0),COUNTIFS($A:$A,A86,$B:$B,B86))</f>
        <v>1</v>
      </c>
      <c r="S86" s="6" t="str">
        <f aca="false">IF(R86&gt;1,COUNTIF($R$2:R86,"&gt;1"),"")</f>
        <v/>
      </c>
      <c r="T86" s="6" t="str">
        <f aca="false">IF(L86="","",J86&amp;"|"&amp;K86&amp;"|"&amp;L86)</f>
        <v>1|8|spotify:track:6XJPX1JLcJhyhPyvuuST2f</v>
      </c>
      <c r="U86" s="6" t="str">
        <f aca="false">IF(C86="","",IFERROR(INDEX(Lists!$F:$F,MATCH(C86,Lists!$E:$E,0)),"Unmapped"))</f>
        <v>Hip-Hop/Rap</v>
      </c>
    </row>
    <row r="87" customFormat="false" ht="15" hidden="false" customHeight="false" outlineLevel="0" collapsed="false">
      <c r="A87" s="5" t="s">
        <v>361</v>
      </c>
      <c r="B87" s="5" t="s">
        <v>362</v>
      </c>
      <c r="C87" s="5" t="s">
        <v>363</v>
      </c>
      <c r="D87" s="5" t="s">
        <v>128</v>
      </c>
      <c r="E87" s="5" t="s">
        <v>364</v>
      </c>
      <c r="F87" s="5" t="n">
        <v>20</v>
      </c>
      <c r="G87" s="5" t="n">
        <v>12</v>
      </c>
      <c r="H87" s="6" t="str">
        <f aca="false">IF(N87="","",N87&amp;IF(AND(MOD(N87,100)&gt;=11,MOD(N87,100)&lt;=13),"th",CHOOSE(MIN(5,MOD(N87,10)+1),"th","st","nd","rd","th")))</f>
        <v>1st</v>
      </c>
      <c r="I87" s="5" t="s">
        <v>365</v>
      </c>
      <c r="J87" s="6" t="n">
        <f aca="false">IFERROR(INDEX(Rounds!$A:$A,MATCH(I87,Rounds!$B:$B,0)),"ADD LEAGUE TO ROUNDS")</f>
        <v>2</v>
      </c>
      <c r="K87" s="6" t="n">
        <f aca="false">IFERROR(VALUE(LEFT(E87,FIND(" - ",E87)-1)),"")</f>
        <v>1</v>
      </c>
      <c r="L87" s="5" t="s">
        <v>366</v>
      </c>
      <c r="N87" s="6" t="n">
        <f aca="false">IF(F87="","",1+COUNTIFS($J:$J,J87,$K:$K,K87,$F:$F,"&gt;"&amp;F87)+COUNTIFS($J:$J,J87,$K:$K,K87,$F:$F,F87,$G:$G,"&gt;"&amp;G87))</f>
        <v>1</v>
      </c>
      <c r="O87" s="6" t="n">
        <f aca="false">IF(L87="","",SUMIFS(Votes!$E:$E,Votes!$A:$A,J87,Votes!$B:$B,K87,Votes!$D:$D,L87))</f>
        <v>20</v>
      </c>
      <c r="P87" s="6" t="n">
        <f aca="false">IF(L87="","",COUNTIFS(Votes!$A:$A,J87,Votes!$B:$B,K87,Votes!$D:$D,L87))</f>
        <v>12</v>
      </c>
      <c r="Q87" s="7" t="str">
        <f aca="false">IF(F87="","Unscored",IF(O87="","No URI",IF(AND(F87=0,O87=0),"Zero-vote",IF(AND(F87=O87,G87=P87),"OK",IF(AND(F87=0,O87&gt;0,COUNTIFS(Votes!$A:$A,J87,Votes!$B:$B,K87,Votes!$C:$C,D87)=0),"Forfeited","Mismatch")))))</f>
        <v>OK</v>
      </c>
      <c r="R87" s="6" t="n">
        <f aca="false">MAX(IF(L87&lt;&gt;"",COUNTIF($L:$L,L87),0),COUNTIFS($A:$A,A87,$B:$B,B87))</f>
        <v>1</v>
      </c>
      <c r="S87" s="6" t="str">
        <f aca="false">IF(R87&gt;1,COUNTIF($R$2:R87,"&gt;1"),"")</f>
        <v/>
      </c>
      <c r="T87" s="6" t="str">
        <f aca="false">IF(L87="","",J87&amp;"|"&amp;K87&amp;"|"&amp;L87)</f>
        <v>2|1|spotify:track:6tK77Y61ZxGga7uCbMaEI1</v>
      </c>
      <c r="U87" s="6" t="str">
        <f aca="false">IF(C87="","",IFERROR(INDEX(Lists!$F:$F,MATCH(C87,Lists!$E:$E,0)),"Unmapped"))</f>
        <v>Latin</v>
      </c>
    </row>
    <row r="88" customFormat="false" ht="15" hidden="false" customHeight="false" outlineLevel="0" collapsed="false">
      <c r="A88" s="5" t="s">
        <v>367</v>
      </c>
      <c r="B88" s="5" t="s">
        <v>368</v>
      </c>
      <c r="C88" s="5" t="s">
        <v>91</v>
      </c>
      <c r="D88" s="5" t="s">
        <v>92</v>
      </c>
      <c r="E88" s="5" t="s">
        <v>364</v>
      </c>
      <c r="F88" s="5" t="n">
        <v>14</v>
      </c>
      <c r="G88" s="5" t="n">
        <v>9</v>
      </c>
      <c r="H88" s="6" t="str">
        <f aca="false">IF(N88="","",N88&amp;IF(AND(MOD(N88,100)&gt;=11,MOD(N88,100)&lt;=13),"th",CHOOSE(MIN(5,MOD(N88,10)+1),"th","st","nd","rd","th")))</f>
        <v>2nd</v>
      </c>
      <c r="I88" s="5" t="s">
        <v>365</v>
      </c>
      <c r="J88" s="6" t="n">
        <f aca="false">IFERROR(INDEX(Rounds!$A:$A,MATCH(I88,Rounds!$B:$B,0)),"ADD LEAGUE TO ROUNDS")</f>
        <v>2</v>
      </c>
      <c r="K88" s="6" t="n">
        <f aca="false">IFERROR(VALUE(LEFT(E88,FIND(" - ",E88)-1)),"")</f>
        <v>1</v>
      </c>
      <c r="L88" s="5" t="s">
        <v>369</v>
      </c>
      <c r="N88" s="6" t="n">
        <f aca="false">IF(F88="","",1+COUNTIFS($J:$J,J88,$K:$K,K88,$F:$F,"&gt;"&amp;F88)+COUNTIFS($J:$J,J88,$K:$K,K88,$F:$F,F88,$G:$G,"&gt;"&amp;G88))</f>
        <v>2</v>
      </c>
      <c r="O88" s="6" t="n">
        <f aca="false">IF(L88="","",SUMIFS(Votes!$E:$E,Votes!$A:$A,J88,Votes!$B:$B,K88,Votes!$D:$D,L88))</f>
        <v>14</v>
      </c>
      <c r="P88" s="6" t="n">
        <f aca="false">IF(L88="","",COUNTIFS(Votes!$A:$A,J88,Votes!$B:$B,K88,Votes!$D:$D,L88))</f>
        <v>9</v>
      </c>
      <c r="Q88" s="7" t="str">
        <f aca="false">IF(F88="","Unscored",IF(O88="","No URI",IF(AND(F88=0,O88=0),"Zero-vote",IF(AND(F88=O88,G88=P88),"OK",IF(AND(F88=0,O88&gt;0,COUNTIFS(Votes!$A:$A,J88,Votes!$B:$B,K88,Votes!$C:$C,D88)=0),"Forfeited","Mismatch")))))</f>
        <v>OK</v>
      </c>
      <c r="R88" s="6" t="n">
        <f aca="false">MAX(IF(L88&lt;&gt;"",COUNTIF($L:$L,L88),0),COUNTIFS($A:$A,A88,$B:$B,B88))</f>
        <v>1</v>
      </c>
      <c r="S88" s="6" t="str">
        <f aca="false">IF(R88&gt;1,COUNTIF($R$2:R88,"&gt;1"),"")</f>
        <v/>
      </c>
      <c r="T88" s="6" t="str">
        <f aca="false">IF(L88="","",J88&amp;"|"&amp;K88&amp;"|"&amp;L88)</f>
        <v>2|1|spotify:track:1rqqCSm0Qe4I9rUvWncaom</v>
      </c>
      <c r="U88" s="6" t="str">
        <f aca="false">IF(C88="","",IFERROR(INDEX(Lists!$F:$F,MATCH(C88,Lists!$E:$E,0)),"Unmapped"))</f>
        <v>Rock</v>
      </c>
    </row>
    <row r="89" customFormat="false" ht="15" hidden="false" customHeight="false" outlineLevel="0" collapsed="false">
      <c r="A89" s="5" t="s">
        <v>370</v>
      </c>
      <c r="B89" s="5" t="s">
        <v>371</v>
      </c>
      <c r="C89" s="5" t="s">
        <v>91</v>
      </c>
      <c r="D89" s="5" t="s">
        <v>119</v>
      </c>
      <c r="E89" s="5" t="s">
        <v>364</v>
      </c>
      <c r="F89" s="5" t="n">
        <v>12</v>
      </c>
      <c r="G89" s="5" t="n">
        <v>9</v>
      </c>
      <c r="H89" s="6" t="str">
        <f aca="false">IF(N89="","",N89&amp;IF(AND(MOD(N89,100)&gt;=11,MOD(N89,100)&lt;=13),"th",CHOOSE(MIN(5,MOD(N89,10)+1),"th","st","nd","rd","th")))</f>
        <v>3rd</v>
      </c>
      <c r="I89" s="5" t="s">
        <v>365</v>
      </c>
      <c r="J89" s="6" t="n">
        <f aca="false">IFERROR(INDEX(Rounds!$A:$A,MATCH(I89,Rounds!$B:$B,0)),"ADD LEAGUE TO ROUNDS")</f>
        <v>2</v>
      </c>
      <c r="K89" s="6" t="n">
        <f aca="false">IFERROR(VALUE(LEFT(E89,FIND(" - ",E89)-1)),"")</f>
        <v>1</v>
      </c>
      <c r="L89" s="5" t="s">
        <v>372</v>
      </c>
      <c r="N89" s="6" t="n">
        <f aca="false">IF(F89="","",1+COUNTIFS($J:$J,J89,$K:$K,K89,$F:$F,"&gt;"&amp;F89)+COUNTIFS($J:$J,J89,$K:$K,K89,$F:$F,F89,$G:$G,"&gt;"&amp;G89))</f>
        <v>3</v>
      </c>
      <c r="O89" s="6" t="n">
        <f aca="false">IF(L89="","",SUMIFS(Votes!$E:$E,Votes!$A:$A,J89,Votes!$B:$B,K89,Votes!$D:$D,L89))</f>
        <v>12</v>
      </c>
      <c r="P89" s="6" t="n">
        <f aca="false">IF(L89="","",COUNTIFS(Votes!$A:$A,J89,Votes!$B:$B,K89,Votes!$D:$D,L89))</f>
        <v>9</v>
      </c>
      <c r="Q89" s="7" t="str">
        <f aca="false">IF(F89="","Unscored",IF(O89="","No URI",IF(AND(F89=0,O89=0),"Zero-vote",IF(AND(F89=O89,G89=P89),"OK",IF(AND(F89=0,O89&gt;0,COUNTIFS(Votes!$A:$A,J89,Votes!$B:$B,K89,Votes!$C:$C,D89)=0),"Forfeited","Mismatch")))))</f>
        <v>OK</v>
      </c>
      <c r="R89" s="6" t="n">
        <f aca="false">MAX(IF(L89&lt;&gt;"",COUNTIF($L:$L,L89),0),COUNTIFS($A:$A,A89,$B:$B,B89))</f>
        <v>1</v>
      </c>
      <c r="S89" s="6" t="str">
        <f aca="false">IF(R89&gt;1,COUNTIF($R$2:R89,"&gt;1"),"")</f>
        <v/>
      </c>
      <c r="T89" s="6" t="str">
        <f aca="false">IF(L89="","",J89&amp;"|"&amp;K89&amp;"|"&amp;L89)</f>
        <v>2|1|spotify:track:04aAxqtGp5pv12UXAg4pkq</v>
      </c>
      <c r="U89" s="6" t="str">
        <f aca="false">IF(C89="","",IFERROR(INDEX(Lists!$F:$F,MATCH(C89,Lists!$E:$E,0)),"Unmapped"))</f>
        <v>Rock</v>
      </c>
    </row>
    <row r="90" customFormat="false" ht="15" hidden="false" customHeight="false" outlineLevel="0" collapsed="false">
      <c r="A90" s="5" t="s">
        <v>373</v>
      </c>
      <c r="B90" s="5" t="s">
        <v>374</v>
      </c>
      <c r="C90" s="5" t="s">
        <v>363</v>
      </c>
      <c r="D90" s="5" t="s">
        <v>375</v>
      </c>
      <c r="E90" s="5" t="s">
        <v>364</v>
      </c>
      <c r="F90" s="5" t="n">
        <v>12</v>
      </c>
      <c r="G90" s="5" t="n">
        <v>9</v>
      </c>
      <c r="H90" s="6" t="str">
        <f aca="false">IF(N90="","",N90&amp;IF(AND(MOD(N90,100)&gt;=11,MOD(N90,100)&lt;=13),"th",CHOOSE(MIN(5,MOD(N90,10)+1),"th","st","nd","rd","th")))</f>
        <v>3rd</v>
      </c>
      <c r="I90" s="5" t="s">
        <v>365</v>
      </c>
      <c r="J90" s="6" t="n">
        <f aca="false">IFERROR(INDEX(Rounds!$A:$A,MATCH(I90,Rounds!$B:$B,0)),"ADD LEAGUE TO ROUNDS")</f>
        <v>2</v>
      </c>
      <c r="K90" s="6" t="n">
        <f aca="false">IFERROR(VALUE(LEFT(E90,FIND(" - ",E90)-1)),"")</f>
        <v>1</v>
      </c>
      <c r="L90" s="5" t="s">
        <v>376</v>
      </c>
      <c r="N90" s="6" t="n">
        <f aca="false">IF(F90="","",1+COUNTIFS($J:$J,J90,$K:$K,K90,$F:$F,"&gt;"&amp;F90)+COUNTIFS($J:$J,J90,$K:$K,K90,$F:$F,F90,$G:$G,"&gt;"&amp;G90))</f>
        <v>3</v>
      </c>
      <c r="O90" s="6" t="n">
        <f aca="false">IF(L90="","",SUMIFS(Votes!$E:$E,Votes!$A:$A,J90,Votes!$B:$B,K90,Votes!$D:$D,L90))</f>
        <v>12</v>
      </c>
      <c r="P90" s="6" t="n">
        <f aca="false">IF(L90="","",COUNTIFS(Votes!$A:$A,J90,Votes!$B:$B,K90,Votes!$D:$D,L90))</f>
        <v>9</v>
      </c>
      <c r="Q90" s="7" t="str">
        <f aca="false">IF(F90="","Unscored",IF(O90="","No URI",IF(AND(F90=0,O90=0),"Zero-vote",IF(AND(F90=O90,G90=P90),"OK",IF(AND(F90=0,O90&gt;0,COUNTIFS(Votes!$A:$A,J90,Votes!$B:$B,K90,Votes!$C:$C,D90)=0),"Forfeited","Mismatch")))))</f>
        <v>OK</v>
      </c>
      <c r="R90" s="6" t="n">
        <f aca="false">MAX(IF(L90&lt;&gt;"",COUNTIF($L:$L,L90),0),COUNTIFS($A:$A,A90,$B:$B,B90))</f>
        <v>2</v>
      </c>
      <c r="S90" s="6" t="n">
        <f aca="false">IF(R90&gt;1,COUNTIF($R$2:R90,"&gt;1"),"")</f>
        <v>7</v>
      </c>
      <c r="T90" s="6" t="str">
        <f aca="false">IF(L90="","",J90&amp;"|"&amp;K90&amp;"|"&amp;L90)</f>
        <v>2|1|spotify:track:20zQZVyUNPbq8kZACdgYrh</v>
      </c>
      <c r="U90" s="6" t="str">
        <f aca="false">IF(C90="","",IFERROR(INDEX(Lists!$F:$F,MATCH(C90,Lists!$E:$E,0)),"Unmapped"))</f>
        <v>Latin</v>
      </c>
    </row>
    <row r="91" customFormat="false" ht="15" hidden="false" customHeight="false" outlineLevel="0" collapsed="false">
      <c r="A91" s="5" t="s">
        <v>377</v>
      </c>
      <c r="B91" s="5" t="s">
        <v>259</v>
      </c>
      <c r="C91" s="5" t="s">
        <v>110</v>
      </c>
      <c r="D91" s="5" t="s">
        <v>378</v>
      </c>
      <c r="E91" s="5" t="s">
        <v>364</v>
      </c>
      <c r="F91" s="5" t="n">
        <v>11</v>
      </c>
      <c r="G91" s="5" t="n">
        <v>8</v>
      </c>
      <c r="H91" s="6" t="str">
        <f aca="false">IF(N91="","",N91&amp;IF(AND(MOD(N91,100)&gt;=11,MOD(N91,100)&lt;=13),"th",CHOOSE(MIN(5,MOD(N91,10)+1),"th","st","nd","rd","th")))</f>
        <v>5th</v>
      </c>
      <c r="I91" s="5" t="s">
        <v>365</v>
      </c>
      <c r="J91" s="6" t="n">
        <f aca="false">IFERROR(INDEX(Rounds!$A:$A,MATCH(I91,Rounds!$B:$B,0)),"ADD LEAGUE TO ROUNDS")</f>
        <v>2</v>
      </c>
      <c r="K91" s="6" t="n">
        <f aca="false">IFERROR(VALUE(LEFT(E91,FIND(" - ",E91)-1)),"")</f>
        <v>1</v>
      </c>
      <c r="L91" s="5" t="s">
        <v>379</v>
      </c>
      <c r="N91" s="6" t="n">
        <f aca="false">IF(F91="","",1+COUNTIFS($J:$J,J91,$K:$K,K91,$F:$F,"&gt;"&amp;F91)+COUNTIFS($J:$J,J91,$K:$K,K91,$F:$F,F91,$G:$G,"&gt;"&amp;G91))</f>
        <v>5</v>
      </c>
      <c r="O91" s="6" t="n">
        <f aca="false">IF(L91="","",SUMIFS(Votes!$E:$E,Votes!$A:$A,J91,Votes!$B:$B,K91,Votes!$D:$D,L91))</f>
        <v>11</v>
      </c>
      <c r="P91" s="6" t="n">
        <f aca="false">IF(L91="","",COUNTIFS(Votes!$A:$A,J91,Votes!$B:$B,K91,Votes!$D:$D,L91))</f>
        <v>8</v>
      </c>
      <c r="Q91" s="7" t="str">
        <f aca="false">IF(F91="","Unscored",IF(O91="","No URI",IF(AND(F91=0,O91=0),"Zero-vote",IF(AND(F91=O91,G91=P91),"OK",IF(AND(F91=0,O91&gt;0,COUNTIFS(Votes!$A:$A,J91,Votes!$B:$B,K91,Votes!$C:$C,D91)=0),"Forfeited","Mismatch")))))</f>
        <v>OK</v>
      </c>
      <c r="R91" s="6" t="n">
        <f aca="false">MAX(IF(L91&lt;&gt;"",COUNTIF($L:$L,L91),0),COUNTIFS($A:$A,A91,$B:$B,B91))</f>
        <v>1</v>
      </c>
      <c r="S91" s="6" t="str">
        <f aca="false">IF(R91&gt;1,COUNTIF($R$2:R91,"&gt;1"),"")</f>
        <v/>
      </c>
      <c r="T91" s="6" t="str">
        <f aca="false">IF(L91="","",J91&amp;"|"&amp;K91&amp;"|"&amp;L91)</f>
        <v>2|1|spotify:track:4xkOaSrkexMciUUogZKVTS</v>
      </c>
      <c r="U91" s="6" t="str">
        <f aca="false">IF(C91="","",IFERROR(INDEX(Lists!$F:$F,MATCH(C91,Lists!$E:$E,0)),"Unmapped"))</f>
        <v>Hip-Hop/Rap</v>
      </c>
    </row>
    <row r="92" customFormat="false" ht="15" hidden="false" customHeight="false" outlineLevel="0" collapsed="false">
      <c r="A92" s="5" t="s">
        <v>380</v>
      </c>
      <c r="B92" s="5" t="s">
        <v>381</v>
      </c>
      <c r="C92" s="5" t="s">
        <v>84</v>
      </c>
      <c r="D92" s="5" t="s">
        <v>382</v>
      </c>
      <c r="E92" s="5" t="s">
        <v>364</v>
      </c>
      <c r="F92" s="5" t="n">
        <v>11</v>
      </c>
      <c r="G92" s="5" t="n">
        <v>7</v>
      </c>
      <c r="H92" s="6" t="str">
        <f aca="false">IF(N92="","",N92&amp;IF(AND(MOD(N92,100)&gt;=11,MOD(N92,100)&lt;=13),"th",CHOOSE(MIN(5,MOD(N92,10)+1),"th","st","nd","rd","th")))</f>
        <v>6th</v>
      </c>
      <c r="I92" s="5" t="s">
        <v>365</v>
      </c>
      <c r="J92" s="6" t="n">
        <f aca="false">IFERROR(INDEX(Rounds!$A:$A,MATCH(I92,Rounds!$B:$B,0)),"ADD LEAGUE TO ROUNDS")</f>
        <v>2</v>
      </c>
      <c r="K92" s="6" t="n">
        <f aca="false">IFERROR(VALUE(LEFT(E92,FIND(" - ",E92)-1)),"")</f>
        <v>1</v>
      </c>
      <c r="L92" s="5" t="s">
        <v>383</v>
      </c>
      <c r="N92" s="6" t="n">
        <f aca="false">IF(F92="","",1+COUNTIFS($J:$J,J92,$K:$K,K92,$F:$F,"&gt;"&amp;F92)+COUNTIFS($J:$J,J92,$K:$K,K92,$F:$F,F92,$G:$G,"&gt;"&amp;G92))</f>
        <v>6</v>
      </c>
      <c r="O92" s="6" t="n">
        <f aca="false">IF(L92="","",SUMIFS(Votes!$E:$E,Votes!$A:$A,J92,Votes!$B:$B,K92,Votes!$D:$D,L92))</f>
        <v>11</v>
      </c>
      <c r="P92" s="6" t="n">
        <f aca="false">IF(L92="","",COUNTIFS(Votes!$A:$A,J92,Votes!$B:$B,K92,Votes!$D:$D,L92))</f>
        <v>7</v>
      </c>
      <c r="Q92" s="7" t="str">
        <f aca="false">IF(F92="","Unscored",IF(O92="","No URI",IF(AND(F92=0,O92=0),"Zero-vote",IF(AND(F92=O92,G92=P92),"OK",IF(AND(F92=0,O92&gt;0,COUNTIFS(Votes!$A:$A,J92,Votes!$B:$B,K92,Votes!$C:$C,D92)=0),"Forfeited","Mismatch")))))</f>
        <v>OK</v>
      </c>
      <c r="R92" s="6" t="n">
        <f aca="false">MAX(IF(L92&lt;&gt;"",COUNTIF($L:$L,L92),0),COUNTIFS($A:$A,A92,$B:$B,B92))</f>
        <v>1</v>
      </c>
      <c r="S92" s="6" t="str">
        <f aca="false">IF(R92&gt;1,COUNTIF($R$2:R92,"&gt;1"),"")</f>
        <v/>
      </c>
      <c r="T92" s="6" t="str">
        <f aca="false">IF(L92="","",J92&amp;"|"&amp;K92&amp;"|"&amp;L92)</f>
        <v>2|1|spotify:track:6vc2Jq2vaGu8z326kSrw92</v>
      </c>
      <c r="U92" s="6" t="str">
        <f aca="false">IF(C92="","",IFERROR(INDEX(Lists!$F:$F,MATCH(C92,Lists!$E:$E,0)),"Unmapped"))</f>
        <v>Pop</v>
      </c>
    </row>
    <row r="93" customFormat="false" ht="15" hidden="false" customHeight="false" outlineLevel="0" collapsed="false">
      <c r="A93" s="5" t="s">
        <v>384</v>
      </c>
      <c r="B93" s="5" t="s">
        <v>385</v>
      </c>
      <c r="C93" s="5" t="s">
        <v>91</v>
      </c>
      <c r="D93" s="5" t="s">
        <v>85</v>
      </c>
      <c r="E93" s="5" t="s">
        <v>364</v>
      </c>
      <c r="F93" s="5" t="n">
        <v>10</v>
      </c>
      <c r="G93" s="5" t="n">
        <v>6</v>
      </c>
      <c r="H93" s="6" t="str">
        <f aca="false">IF(N93="","",N93&amp;IF(AND(MOD(N93,100)&gt;=11,MOD(N93,100)&lt;=13),"th",CHOOSE(MIN(5,MOD(N93,10)+1),"th","st","nd","rd","th")))</f>
        <v>7th</v>
      </c>
      <c r="I93" s="5" t="s">
        <v>365</v>
      </c>
      <c r="J93" s="6" t="n">
        <f aca="false">IFERROR(INDEX(Rounds!$A:$A,MATCH(I93,Rounds!$B:$B,0)),"ADD LEAGUE TO ROUNDS")</f>
        <v>2</v>
      </c>
      <c r="K93" s="6" t="n">
        <f aca="false">IFERROR(VALUE(LEFT(E93,FIND(" - ",E93)-1)),"")</f>
        <v>1</v>
      </c>
      <c r="L93" s="5" t="s">
        <v>386</v>
      </c>
      <c r="N93" s="6" t="n">
        <f aca="false">IF(F93="","",1+COUNTIFS($J:$J,J93,$K:$K,K93,$F:$F,"&gt;"&amp;F93)+COUNTIFS($J:$J,J93,$K:$K,K93,$F:$F,F93,$G:$G,"&gt;"&amp;G93))</f>
        <v>7</v>
      </c>
      <c r="O93" s="6" t="n">
        <f aca="false">IF(L93="","",SUMIFS(Votes!$E:$E,Votes!$A:$A,J93,Votes!$B:$B,K93,Votes!$D:$D,L93))</f>
        <v>10</v>
      </c>
      <c r="P93" s="6" t="n">
        <f aca="false">IF(L93="","",COUNTIFS(Votes!$A:$A,J93,Votes!$B:$B,K93,Votes!$D:$D,L93))</f>
        <v>6</v>
      </c>
      <c r="Q93" s="7" t="str">
        <f aca="false">IF(F93="","Unscored",IF(O93="","No URI",IF(AND(F93=0,O93=0),"Zero-vote",IF(AND(F93=O93,G93=P93),"OK",IF(AND(F93=0,O93&gt;0,COUNTIFS(Votes!$A:$A,J93,Votes!$B:$B,K93,Votes!$C:$C,D93)=0),"Forfeited","Mismatch")))))</f>
        <v>OK</v>
      </c>
      <c r="R93" s="6" t="n">
        <f aca="false">MAX(IF(L93&lt;&gt;"",COUNTIF($L:$L,L93),0),COUNTIFS($A:$A,A93,$B:$B,B93))</f>
        <v>2</v>
      </c>
      <c r="S93" s="6" t="n">
        <f aca="false">IF(R93&gt;1,COUNTIF($R$2:R93,"&gt;1"),"")</f>
        <v>8</v>
      </c>
      <c r="T93" s="6" t="str">
        <f aca="false">IF(L93="","",J93&amp;"|"&amp;K93&amp;"|"&amp;L93)</f>
        <v>2|1|spotify:track:6SpLc7EXZIPpy0sVko0aoU</v>
      </c>
      <c r="U93" s="6" t="str">
        <f aca="false">IF(C93="","",IFERROR(INDEX(Lists!$F:$F,MATCH(C93,Lists!$E:$E,0)),"Unmapped"))</f>
        <v>Rock</v>
      </c>
    </row>
    <row r="94" customFormat="false" ht="15" hidden="false" customHeight="false" outlineLevel="0" collapsed="false">
      <c r="A94" s="5" t="s">
        <v>387</v>
      </c>
      <c r="B94" s="5" t="s">
        <v>388</v>
      </c>
      <c r="C94" s="5" t="s">
        <v>110</v>
      </c>
      <c r="D94" s="5" t="s">
        <v>106</v>
      </c>
      <c r="E94" s="5" t="s">
        <v>364</v>
      </c>
      <c r="F94" s="5" t="n">
        <v>9</v>
      </c>
      <c r="G94" s="5" t="n">
        <v>8</v>
      </c>
      <c r="H94" s="6" t="str">
        <f aca="false">IF(N94="","",N94&amp;IF(AND(MOD(N94,100)&gt;=11,MOD(N94,100)&lt;=13),"th",CHOOSE(MIN(5,MOD(N94,10)+1),"th","st","nd","rd","th")))</f>
        <v>8th</v>
      </c>
      <c r="I94" s="5" t="s">
        <v>365</v>
      </c>
      <c r="J94" s="6" t="n">
        <f aca="false">IFERROR(INDEX(Rounds!$A:$A,MATCH(I94,Rounds!$B:$B,0)),"ADD LEAGUE TO ROUNDS")</f>
        <v>2</v>
      </c>
      <c r="K94" s="6" t="n">
        <f aca="false">IFERROR(VALUE(LEFT(E94,FIND(" - ",E94)-1)),"")</f>
        <v>1</v>
      </c>
      <c r="L94" s="5" t="s">
        <v>389</v>
      </c>
      <c r="N94" s="6" t="n">
        <f aca="false">IF(F94="","",1+COUNTIFS($J:$J,J94,$K:$K,K94,$F:$F,"&gt;"&amp;F94)+COUNTIFS($J:$J,J94,$K:$K,K94,$F:$F,F94,$G:$G,"&gt;"&amp;G94))</f>
        <v>8</v>
      </c>
      <c r="O94" s="6" t="n">
        <f aca="false">IF(L94="","",SUMIFS(Votes!$E:$E,Votes!$A:$A,J94,Votes!$B:$B,K94,Votes!$D:$D,L94))</f>
        <v>9</v>
      </c>
      <c r="P94" s="6" t="n">
        <f aca="false">IF(L94="","",COUNTIFS(Votes!$A:$A,J94,Votes!$B:$B,K94,Votes!$D:$D,L94))</f>
        <v>8</v>
      </c>
      <c r="Q94" s="7" t="str">
        <f aca="false">IF(F94="","Unscored",IF(O94="","No URI",IF(AND(F94=0,O94=0),"Zero-vote",IF(AND(F94=O94,G94=P94),"OK",IF(AND(F94=0,O94&gt;0,COUNTIFS(Votes!$A:$A,J94,Votes!$B:$B,K94,Votes!$C:$C,D94)=0),"Forfeited","Mismatch")))))</f>
        <v>OK</v>
      </c>
      <c r="R94" s="6" t="n">
        <f aca="false">MAX(IF(L94&lt;&gt;"",COUNTIF($L:$L,L94),0),COUNTIFS($A:$A,A94,$B:$B,B94))</f>
        <v>1</v>
      </c>
      <c r="S94" s="6" t="str">
        <f aca="false">IF(R94&gt;1,COUNTIF($R$2:R94,"&gt;1"),"")</f>
        <v/>
      </c>
      <c r="T94" s="6" t="str">
        <f aca="false">IF(L94="","",J94&amp;"|"&amp;K94&amp;"|"&amp;L94)</f>
        <v>2|1|spotify:track:5zsHmE2gO3RefVsPyw2e3T</v>
      </c>
      <c r="U94" s="6" t="str">
        <f aca="false">IF(C94="","",IFERROR(INDEX(Lists!$F:$F,MATCH(C94,Lists!$E:$E,0)),"Unmapped"))</f>
        <v>Hip-Hop/Rap</v>
      </c>
    </row>
    <row r="95" customFormat="false" ht="15" hidden="false" customHeight="false" outlineLevel="0" collapsed="false">
      <c r="A95" s="5" t="s">
        <v>390</v>
      </c>
      <c r="B95" s="5" t="s">
        <v>391</v>
      </c>
      <c r="C95" s="5" t="s">
        <v>293</v>
      </c>
      <c r="D95" s="5" t="s">
        <v>101</v>
      </c>
      <c r="E95" s="5" t="s">
        <v>364</v>
      </c>
      <c r="F95" s="5" t="n">
        <v>9</v>
      </c>
      <c r="G95" s="5" t="n">
        <v>5</v>
      </c>
      <c r="H95" s="6" t="str">
        <f aca="false">IF(N95="","",N95&amp;IF(AND(MOD(N95,100)&gt;=11,MOD(N95,100)&lt;=13),"th",CHOOSE(MIN(5,MOD(N95,10)+1),"th","st","nd","rd","th")))</f>
        <v>9th</v>
      </c>
      <c r="I95" s="5" t="s">
        <v>365</v>
      </c>
      <c r="J95" s="6" t="n">
        <f aca="false">IFERROR(INDEX(Rounds!$A:$A,MATCH(I95,Rounds!$B:$B,0)),"ADD LEAGUE TO ROUNDS")</f>
        <v>2</v>
      </c>
      <c r="K95" s="6" t="n">
        <f aca="false">IFERROR(VALUE(LEFT(E95,FIND(" - ",E95)-1)),"")</f>
        <v>1</v>
      </c>
      <c r="L95" s="5" t="s">
        <v>392</v>
      </c>
      <c r="N95" s="6" t="n">
        <f aca="false">IF(F95="","",1+COUNTIFS($J:$J,J95,$K:$K,K95,$F:$F,"&gt;"&amp;F95)+COUNTIFS($J:$J,J95,$K:$K,K95,$F:$F,F95,$G:$G,"&gt;"&amp;G95))</f>
        <v>9</v>
      </c>
      <c r="O95" s="6" t="n">
        <f aca="false">IF(L95="","",SUMIFS(Votes!$E:$E,Votes!$A:$A,J95,Votes!$B:$B,K95,Votes!$D:$D,L95))</f>
        <v>9</v>
      </c>
      <c r="P95" s="6" t="n">
        <f aca="false">IF(L95="","",COUNTIFS(Votes!$A:$A,J95,Votes!$B:$B,K95,Votes!$D:$D,L95))</f>
        <v>5</v>
      </c>
      <c r="Q95" s="7" t="str">
        <f aca="false">IF(F95="","Unscored",IF(O95="","No URI",IF(AND(F95=0,O95=0),"Zero-vote",IF(AND(F95=O95,G95=P95),"OK",IF(AND(F95=0,O95&gt;0,COUNTIFS(Votes!$A:$A,J95,Votes!$B:$B,K95,Votes!$C:$C,D95)=0),"Forfeited","Mismatch")))))</f>
        <v>OK</v>
      </c>
      <c r="R95" s="6" t="n">
        <f aca="false">MAX(IF(L95&lt;&gt;"",COUNTIF($L:$L,L95),0),COUNTIFS($A:$A,A95,$B:$B,B95))</f>
        <v>1</v>
      </c>
      <c r="S95" s="6" t="str">
        <f aca="false">IF(R95&gt;1,COUNTIF($R$2:R95,"&gt;1"),"")</f>
        <v/>
      </c>
      <c r="T95" s="6" t="str">
        <f aca="false">IF(L95="","",J95&amp;"|"&amp;K95&amp;"|"&amp;L95)</f>
        <v>2|1|spotify:track:0A9mHc7oYUoCECqByV8cQR</v>
      </c>
      <c r="U95" s="6" t="str">
        <f aca="false">IF(C95="","",IFERROR(INDEX(Lists!$F:$F,MATCH(C95,Lists!$E:$E,0)),"Unmapped"))</f>
        <v>Electronic/Dance</v>
      </c>
    </row>
    <row r="96" customFormat="false" ht="15" hidden="false" customHeight="false" outlineLevel="0" collapsed="false">
      <c r="A96" s="5" t="s">
        <v>393</v>
      </c>
      <c r="B96" s="5" t="s">
        <v>394</v>
      </c>
      <c r="C96" s="5" t="s">
        <v>91</v>
      </c>
      <c r="D96" s="5" t="s">
        <v>395</v>
      </c>
      <c r="E96" s="5" t="s">
        <v>364</v>
      </c>
      <c r="F96" s="5" t="n">
        <v>9</v>
      </c>
      <c r="G96" s="5" t="n">
        <v>5</v>
      </c>
      <c r="H96" s="6" t="str">
        <f aca="false">IF(N96="","",N96&amp;IF(AND(MOD(N96,100)&gt;=11,MOD(N96,100)&lt;=13),"th",CHOOSE(MIN(5,MOD(N96,10)+1),"th","st","nd","rd","th")))</f>
        <v>9th</v>
      </c>
      <c r="I96" s="5" t="s">
        <v>365</v>
      </c>
      <c r="J96" s="6" t="n">
        <f aca="false">IFERROR(INDEX(Rounds!$A:$A,MATCH(I96,Rounds!$B:$B,0)),"ADD LEAGUE TO ROUNDS")</f>
        <v>2</v>
      </c>
      <c r="K96" s="6" t="n">
        <f aca="false">IFERROR(VALUE(LEFT(E96,FIND(" - ",E96)-1)),"")</f>
        <v>1</v>
      </c>
      <c r="L96" s="5" t="s">
        <v>396</v>
      </c>
      <c r="N96" s="6" t="n">
        <f aca="false">IF(F96="","",1+COUNTIFS($J:$J,J96,$K:$K,K96,$F:$F,"&gt;"&amp;F96)+COUNTIFS($J:$J,J96,$K:$K,K96,$F:$F,F96,$G:$G,"&gt;"&amp;G96))</f>
        <v>9</v>
      </c>
      <c r="O96" s="6" t="n">
        <f aca="false">IF(L96="","",SUMIFS(Votes!$E:$E,Votes!$A:$A,J96,Votes!$B:$B,K96,Votes!$D:$D,L96))</f>
        <v>9</v>
      </c>
      <c r="P96" s="6" t="n">
        <f aca="false">IF(L96="","",COUNTIFS(Votes!$A:$A,J96,Votes!$B:$B,K96,Votes!$D:$D,L96))</f>
        <v>5</v>
      </c>
      <c r="Q96" s="7" t="str">
        <f aca="false">IF(F96="","Unscored",IF(O96="","No URI",IF(AND(F96=0,O96=0),"Zero-vote",IF(AND(F96=O96,G96=P96),"OK",IF(AND(F96=0,O96&gt;0,COUNTIFS(Votes!$A:$A,J96,Votes!$B:$B,K96,Votes!$C:$C,D96)=0),"Forfeited","Mismatch")))))</f>
        <v>OK</v>
      </c>
      <c r="R96" s="6" t="n">
        <f aca="false">MAX(IF(L96&lt;&gt;"",COUNTIF($L:$L,L96),0),COUNTIFS($A:$A,A96,$B:$B,B96))</f>
        <v>1</v>
      </c>
      <c r="S96" s="6" t="str">
        <f aca="false">IF(R96&gt;1,COUNTIF($R$2:R96,"&gt;1"),"")</f>
        <v/>
      </c>
      <c r="T96" s="6" t="str">
        <f aca="false">IF(L96="","",J96&amp;"|"&amp;K96&amp;"|"&amp;L96)</f>
        <v>2|1|spotify:track:0KlahhzNb98zyN83Vwae0l</v>
      </c>
      <c r="U96" s="6" t="str">
        <f aca="false">IF(C96="","",IFERROR(INDEX(Lists!$F:$F,MATCH(C96,Lists!$E:$E,0)),"Unmapped"))</f>
        <v>Rock</v>
      </c>
    </row>
    <row r="97" customFormat="false" ht="15" hidden="false" customHeight="false" outlineLevel="0" collapsed="false">
      <c r="A97" s="5" t="s">
        <v>397</v>
      </c>
      <c r="B97" s="5" t="s">
        <v>398</v>
      </c>
      <c r="C97" s="5" t="s">
        <v>110</v>
      </c>
      <c r="D97" s="5" t="s">
        <v>133</v>
      </c>
      <c r="E97" s="5" t="s">
        <v>364</v>
      </c>
      <c r="F97" s="5" t="n">
        <v>8</v>
      </c>
      <c r="G97" s="5" t="n">
        <v>7</v>
      </c>
      <c r="H97" s="6" t="str">
        <f aca="false">IF(N97="","",N97&amp;IF(AND(MOD(N97,100)&gt;=11,MOD(N97,100)&lt;=13),"th",CHOOSE(MIN(5,MOD(N97,10)+1),"th","st","nd","rd","th")))</f>
        <v>11th</v>
      </c>
      <c r="I97" s="5" t="s">
        <v>365</v>
      </c>
      <c r="J97" s="6" t="n">
        <f aca="false">IFERROR(INDEX(Rounds!$A:$A,MATCH(I97,Rounds!$B:$B,0)),"ADD LEAGUE TO ROUNDS")</f>
        <v>2</v>
      </c>
      <c r="K97" s="6" t="n">
        <f aca="false">IFERROR(VALUE(LEFT(E97,FIND(" - ",E97)-1)),"")</f>
        <v>1</v>
      </c>
      <c r="L97" s="5" t="s">
        <v>399</v>
      </c>
      <c r="N97" s="6" t="n">
        <f aca="false">IF(F97="","",1+COUNTIFS($J:$J,J97,$K:$K,K97,$F:$F,"&gt;"&amp;F97)+COUNTIFS($J:$J,J97,$K:$K,K97,$F:$F,F97,$G:$G,"&gt;"&amp;G97))</f>
        <v>11</v>
      </c>
      <c r="O97" s="6" t="n">
        <f aca="false">IF(L97="","",SUMIFS(Votes!$E:$E,Votes!$A:$A,J97,Votes!$B:$B,K97,Votes!$D:$D,L97))</f>
        <v>8</v>
      </c>
      <c r="P97" s="6" t="n">
        <f aca="false">IF(L97="","",COUNTIFS(Votes!$A:$A,J97,Votes!$B:$B,K97,Votes!$D:$D,L97))</f>
        <v>7</v>
      </c>
      <c r="Q97" s="7" t="str">
        <f aca="false">IF(F97="","Unscored",IF(O97="","No URI",IF(AND(F97=0,O97=0),"Zero-vote",IF(AND(F97=O97,G97=P97),"OK",IF(AND(F97=0,O97&gt;0,COUNTIFS(Votes!$A:$A,J97,Votes!$B:$B,K97,Votes!$C:$C,D97)=0),"Forfeited","Mismatch")))))</f>
        <v>OK</v>
      </c>
      <c r="R97" s="6" t="n">
        <f aca="false">MAX(IF(L97&lt;&gt;"",COUNTIF($L:$L,L97),0),COUNTIFS($A:$A,A97,$B:$B,B97))</f>
        <v>1</v>
      </c>
      <c r="S97" s="6" t="str">
        <f aca="false">IF(R97&gt;1,COUNTIF($R$2:R97,"&gt;1"),"")</f>
        <v/>
      </c>
      <c r="T97" s="6" t="str">
        <f aca="false">IF(L97="","",J97&amp;"|"&amp;K97&amp;"|"&amp;L97)</f>
        <v>2|1|spotify:track:37qlkp5VImuuYcXZI6aiam</v>
      </c>
      <c r="U97" s="6" t="str">
        <f aca="false">IF(C97="","",IFERROR(INDEX(Lists!$F:$F,MATCH(C97,Lists!$E:$E,0)),"Unmapped"))</f>
        <v>Hip-Hop/Rap</v>
      </c>
    </row>
    <row r="98" customFormat="false" ht="15" hidden="false" customHeight="false" outlineLevel="0" collapsed="false">
      <c r="A98" s="5" t="s">
        <v>400</v>
      </c>
      <c r="B98" s="5" t="s">
        <v>401</v>
      </c>
      <c r="C98" s="5" t="s">
        <v>91</v>
      </c>
      <c r="D98" s="5" t="s">
        <v>289</v>
      </c>
      <c r="E98" s="5" t="s">
        <v>364</v>
      </c>
      <c r="F98" s="5" t="n">
        <v>7</v>
      </c>
      <c r="G98" s="5" t="n">
        <v>5</v>
      </c>
      <c r="H98" s="6" t="str">
        <f aca="false">IF(N98="","",N98&amp;IF(AND(MOD(N98,100)&gt;=11,MOD(N98,100)&lt;=13),"th",CHOOSE(MIN(5,MOD(N98,10)+1),"th","st","nd","rd","th")))</f>
        <v>12th</v>
      </c>
      <c r="I98" s="5" t="s">
        <v>365</v>
      </c>
      <c r="J98" s="6" t="n">
        <f aca="false">IFERROR(INDEX(Rounds!$A:$A,MATCH(I98,Rounds!$B:$B,0)),"ADD LEAGUE TO ROUNDS")</f>
        <v>2</v>
      </c>
      <c r="K98" s="6" t="n">
        <f aca="false">IFERROR(VALUE(LEFT(E98,FIND(" - ",E98)-1)),"")</f>
        <v>1</v>
      </c>
      <c r="L98" s="5" t="s">
        <v>402</v>
      </c>
      <c r="N98" s="6" t="n">
        <f aca="false">IF(F98="","",1+COUNTIFS($J:$J,J98,$K:$K,K98,$F:$F,"&gt;"&amp;F98)+COUNTIFS($J:$J,J98,$K:$K,K98,$F:$F,F98,$G:$G,"&gt;"&amp;G98))</f>
        <v>12</v>
      </c>
      <c r="O98" s="6" t="n">
        <f aca="false">IF(L98="","",SUMIFS(Votes!$E:$E,Votes!$A:$A,J98,Votes!$B:$B,K98,Votes!$D:$D,L98))</f>
        <v>7</v>
      </c>
      <c r="P98" s="6" t="n">
        <f aca="false">IF(L98="","",COUNTIFS(Votes!$A:$A,J98,Votes!$B:$B,K98,Votes!$D:$D,L98))</f>
        <v>5</v>
      </c>
      <c r="Q98" s="7" t="str">
        <f aca="false">IF(F98="","Unscored",IF(O98="","No URI",IF(AND(F98=0,O98=0),"Zero-vote",IF(AND(F98=O98,G98=P98),"OK",IF(AND(F98=0,O98&gt;0,COUNTIFS(Votes!$A:$A,J98,Votes!$B:$B,K98,Votes!$C:$C,D98)=0),"Forfeited","Mismatch")))))</f>
        <v>OK</v>
      </c>
      <c r="R98" s="6" t="n">
        <f aca="false">MAX(IF(L98&lt;&gt;"",COUNTIF($L:$L,L98),0),COUNTIFS($A:$A,A98,$B:$B,B98))</f>
        <v>1</v>
      </c>
      <c r="S98" s="6" t="str">
        <f aca="false">IF(R98&gt;1,COUNTIF($R$2:R98,"&gt;1"),"")</f>
        <v/>
      </c>
      <c r="T98" s="6" t="str">
        <f aca="false">IF(L98="","",J98&amp;"|"&amp;K98&amp;"|"&amp;L98)</f>
        <v>2|1|spotify:track:5mc6EyF1OIEOhAkD0Gg9Lc</v>
      </c>
      <c r="U98" s="6" t="str">
        <f aca="false">IF(C98="","",IFERROR(INDEX(Lists!$F:$F,MATCH(C98,Lists!$E:$E,0)),"Unmapped"))</f>
        <v>Rock</v>
      </c>
    </row>
    <row r="99" customFormat="false" ht="15" hidden="false" customHeight="false" outlineLevel="0" collapsed="false">
      <c r="A99" s="5" t="s">
        <v>403</v>
      </c>
      <c r="B99" s="5" t="s">
        <v>404</v>
      </c>
      <c r="C99" s="5" t="s">
        <v>293</v>
      </c>
      <c r="D99" s="5" t="s">
        <v>116</v>
      </c>
      <c r="E99" s="5" t="s">
        <v>364</v>
      </c>
      <c r="F99" s="5" t="n">
        <v>4</v>
      </c>
      <c r="G99" s="5" t="n">
        <v>3</v>
      </c>
      <c r="H99" s="6" t="str">
        <f aca="false">IF(N99="","",N99&amp;IF(AND(MOD(N99,100)&gt;=11,MOD(N99,100)&lt;=13),"th",CHOOSE(MIN(5,MOD(N99,10)+1),"th","st","nd","rd","th")))</f>
        <v>13th</v>
      </c>
      <c r="I99" s="5" t="s">
        <v>365</v>
      </c>
      <c r="J99" s="6" t="n">
        <f aca="false">IFERROR(INDEX(Rounds!$A:$A,MATCH(I99,Rounds!$B:$B,0)),"ADD LEAGUE TO ROUNDS")</f>
        <v>2</v>
      </c>
      <c r="K99" s="6" t="n">
        <f aca="false">IFERROR(VALUE(LEFT(E99,FIND(" - ",E99)-1)),"")</f>
        <v>1</v>
      </c>
      <c r="L99" s="5" t="s">
        <v>405</v>
      </c>
      <c r="N99" s="6" t="n">
        <f aca="false">IF(F99="","",1+COUNTIFS($J:$J,J99,$K:$K,K99,$F:$F,"&gt;"&amp;F99)+COUNTIFS($J:$J,J99,$K:$K,K99,$F:$F,F99,$G:$G,"&gt;"&amp;G99))</f>
        <v>13</v>
      </c>
      <c r="O99" s="6" t="n">
        <f aca="false">IF(L99="","",SUMIFS(Votes!$E:$E,Votes!$A:$A,J99,Votes!$B:$B,K99,Votes!$D:$D,L99))</f>
        <v>4</v>
      </c>
      <c r="P99" s="6" t="n">
        <f aca="false">IF(L99="","",COUNTIFS(Votes!$A:$A,J99,Votes!$B:$B,K99,Votes!$D:$D,L99))</f>
        <v>3</v>
      </c>
      <c r="Q99" s="7" t="str">
        <f aca="false">IF(F99="","Unscored",IF(O99="","No URI",IF(AND(F99=0,O99=0),"Zero-vote",IF(AND(F99=O99,G99=P99),"OK",IF(AND(F99=0,O99&gt;0,COUNTIFS(Votes!$A:$A,J99,Votes!$B:$B,K99,Votes!$C:$C,D99)=0),"Forfeited","Mismatch")))))</f>
        <v>OK</v>
      </c>
      <c r="R99" s="6" t="n">
        <f aca="false">MAX(IF(L99&lt;&gt;"",COUNTIF($L:$L,L99),0),COUNTIFS($A:$A,A99,$B:$B,B99))</f>
        <v>1</v>
      </c>
      <c r="S99" s="6" t="str">
        <f aca="false">IF(R99&gt;1,COUNTIF($R$2:R99,"&gt;1"),"")</f>
        <v/>
      </c>
      <c r="T99" s="6" t="str">
        <f aca="false">IF(L99="","",J99&amp;"|"&amp;K99&amp;"|"&amp;L99)</f>
        <v>2|1|spotify:track:5RByQFt9Mlo8hDYJ921tCv</v>
      </c>
      <c r="U99" s="6" t="str">
        <f aca="false">IF(C99="","",IFERROR(INDEX(Lists!$F:$F,MATCH(C99,Lists!$E:$E,0)),"Unmapped"))</f>
        <v>Electronic/Dance</v>
      </c>
    </row>
    <row r="100" customFormat="false" ht="15" hidden="false" customHeight="false" outlineLevel="0" collapsed="false">
      <c r="A100" s="5" t="s">
        <v>406</v>
      </c>
      <c r="B100" s="5" t="s">
        <v>407</v>
      </c>
      <c r="C100" s="5" t="s">
        <v>110</v>
      </c>
      <c r="D100" s="5" t="s">
        <v>97</v>
      </c>
      <c r="E100" s="5" t="s">
        <v>364</v>
      </c>
      <c r="F100" s="5" t="n">
        <v>4</v>
      </c>
      <c r="G100" s="5" t="n">
        <v>3</v>
      </c>
      <c r="H100" s="6" t="str">
        <f aca="false">IF(N100="","",N100&amp;IF(AND(MOD(N100,100)&gt;=11,MOD(N100,100)&lt;=13),"th",CHOOSE(MIN(5,MOD(N100,10)+1),"th","st","nd","rd","th")))</f>
        <v>13th</v>
      </c>
      <c r="I100" s="5" t="s">
        <v>365</v>
      </c>
      <c r="J100" s="6" t="n">
        <f aca="false">IFERROR(INDEX(Rounds!$A:$A,MATCH(I100,Rounds!$B:$B,0)),"ADD LEAGUE TO ROUNDS")</f>
        <v>2</v>
      </c>
      <c r="K100" s="6" t="n">
        <f aca="false">IFERROR(VALUE(LEFT(E100,FIND(" - ",E100)-1)),"")</f>
        <v>1</v>
      </c>
      <c r="L100" s="5" t="s">
        <v>408</v>
      </c>
      <c r="N100" s="6" t="n">
        <f aca="false">IF(F100="","",1+COUNTIFS($J:$J,J100,$K:$K,K100,$F:$F,"&gt;"&amp;F100)+COUNTIFS($J:$J,J100,$K:$K,K100,$F:$F,F100,$G:$G,"&gt;"&amp;G100))</f>
        <v>13</v>
      </c>
      <c r="O100" s="6" t="n">
        <f aca="false">IF(L100="","",SUMIFS(Votes!$E:$E,Votes!$A:$A,J100,Votes!$B:$B,K100,Votes!$D:$D,L100))</f>
        <v>4</v>
      </c>
      <c r="P100" s="6" t="n">
        <f aca="false">IF(L100="","",COUNTIFS(Votes!$A:$A,J100,Votes!$B:$B,K100,Votes!$D:$D,L100))</f>
        <v>3</v>
      </c>
      <c r="Q100" s="7" t="str">
        <f aca="false">IF(F100="","Unscored",IF(O100="","No URI",IF(AND(F100=0,O100=0),"Zero-vote",IF(AND(F100=O100,G100=P100),"OK",IF(AND(F100=0,O100&gt;0,COUNTIFS(Votes!$A:$A,J100,Votes!$B:$B,K100,Votes!$C:$C,D100)=0),"Forfeited","Mismatch")))))</f>
        <v>OK</v>
      </c>
      <c r="R100" s="6" t="n">
        <f aca="false">MAX(IF(L100&lt;&gt;"",COUNTIF($L:$L,L100),0),COUNTIFS($A:$A,A100,$B:$B,B100))</f>
        <v>1</v>
      </c>
      <c r="S100" s="6" t="str">
        <f aca="false">IF(R100&gt;1,COUNTIF($R$2:R100,"&gt;1"),"")</f>
        <v/>
      </c>
      <c r="T100" s="6" t="str">
        <f aca="false">IF(L100="","",J100&amp;"|"&amp;K100&amp;"|"&amp;L100)</f>
        <v>2|1|spotify:track:3WibbMr6canxRJXhNtAvLU</v>
      </c>
      <c r="U100" s="6" t="str">
        <f aca="false">IF(C100="","",IFERROR(INDEX(Lists!$F:$F,MATCH(C100,Lists!$E:$E,0)),"Unmapped"))</f>
        <v>Hip-Hop/Rap</v>
      </c>
    </row>
    <row r="101" customFormat="false" ht="15" hidden="false" customHeight="false" outlineLevel="0" collapsed="false">
      <c r="A101" s="5" t="s">
        <v>409</v>
      </c>
      <c r="B101" s="5" t="s">
        <v>410</v>
      </c>
      <c r="C101" s="5" t="s">
        <v>171</v>
      </c>
      <c r="D101" s="5" t="s">
        <v>128</v>
      </c>
      <c r="E101" s="5" t="s">
        <v>411</v>
      </c>
      <c r="F101" s="5" t="n">
        <v>16</v>
      </c>
      <c r="G101" s="5" t="n">
        <v>10</v>
      </c>
      <c r="H101" s="6" t="str">
        <f aca="false">IF(N101="","",N101&amp;IF(AND(MOD(N101,100)&gt;=11,MOD(N101,100)&lt;=13),"th",CHOOSE(MIN(5,MOD(N101,10)+1),"th","st","nd","rd","th")))</f>
        <v>1st</v>
      </c>
      <c r="I101" s="5" t="s">
        <v>365</v>
      </c>
      <c r="J101" s="6" t="n">
        <f aca="false">IFERROR(INDEX(Rounds!$A:$A,MATCH(I101,Rounds!$B:$B,0)),"ADD LEAGUE TO ROUNDS")</f>
        <v>2</v>
      </c>
      <c r="K101" s="6" t="n">
        <f aca="false">IFERROR(VALUE(LEFT(E101,FIND(" - ",E101)-1)),"")</f>
        <v>2</v>
      </c>
      <c r="L101" s="5" t="s">
        <v>412</v>
      </c>
      <c r="N101" s="6" t="n">
        <f aca="false">IF(F101="","",1+COUNTIFS($J:$J,J101,$K:$K,K101,$F:$F,"&gt;"&amp;F101)+COUNTIFS($J:$J,J101,$K:$K,K101,$F:$F,F101,$G:$G,"&gt;"&amp;G101))</f>
        <v>1</v>
      </c>
      <c r="O101" s="6" t="n">
        <f aca="false">IF(L101="","",SUMIFS(Votes!$E:$E,Votes!$A:$A,J101,Votes!$B:$B,K101,Votes!$D:$D,L101))</f>
        <v>16</v>
      </c>
      <c r="P101" s="6" t="n">
        <f aca="false">IF(L101="","",COUNTIFS(Votes!$A:$A,J101,Votes!$B:$B,K101,Votes!$D:$D,L101))</f>
        <v>10</v>
      </c>
      <c r="Q101" s="7" t="str">
        <f aca="false">IF(F101="","Unscored",IF(O101="","No URI",IF(AND(F101=0,O101=0),"Zero-vote",IF(AND(F101=O101,G101=P101),"OK",IF(AND(F101=0,O101&gt;0,COUNTIFS(Votes!$A:$A,J101,Votes!$B:$B,K101,Votes!$C:$C,D101)=0),"Forfeited","Mismatch")))))</f>
        <v>OK</v>
      </c>
      <c r="R101" s="6" t="n">
        <f aca="false">MAX(IF(L101&lt;&gt;"",COUNTIF($L:$L,L101),0),COUNTIFS($A:$A,A101,$B:$B,B101))</f>
        <v>1</v>
      </c>
      <c r="S101" s="6" t="str">
        <f aca="false">IF(R101&gt;1,COUNTIF($R$2:R101,"&gt;1"),"")</f>
        <v/>
      </c>
      <c r="T101" s="6" t="str">
        <f aca="false">IF(L101="","",J101&amp;"|"&amp;K101&amp;"|"&amp;L101)</f>
        <v>2|2|spotify:track:4XKj7iRK8QstOH4sG67YJf</v>
      </c>
      <c r="U101" s="6" t="str">
        <f aca="false">IF(C101="","",IFERROR(INDEX(Lists!$F:$F,MATCH(C101,Lists!$E:$E,0)),"Unmapped"))</f>
        <v>Country</v>
      </c>
    </row>
    <row r="102" customFormat="false" ht="15" hidden="false" customHeight="false" outlineLevel="0" collapsed="false">
      <c r="A102" s="5" t="s">
        <v>413</v>
      </c>
      <c r="B102" s="5" t="s">
        <v>414</v>
      </c>
      <c r="C102" s="5" t="s">
        <v>415</v>
      </c>
      <c r="D102" s="5" t="s">
        <v>116</v>
      </c>
      <c r="E102" s="5" t="s">
        <v>411</v>
      </c>
      <c r="F102" s="5" t="n">
        <v>16</v>
      </c>
      <c r="G102" s="5" t="n">
        <v>10</v>
      </c>
      <c r="H102" s="6" t="str">
        <f aca="false">IF(N102="","",N102&amp;IF(AND(MOD(N102,100)&gt;=11,MOD(N102,100)&lt;=13),"th",CHOOSE(MIN(5,MOD(N102,10)+1),"th","st","nd","rd","th")))</f>
        <v>1st</v>
      </c>
      <c r="I102" s="5" t="s">
        <v>365</v>
      </c>
      <c r="J102" s="6" t="n">
        <f aca="false">IFERROR(INDEX(Rounds!$A:$A,MATCH(I102,Rounds!$B:$B,0)),"ADD LEAGUE TO ROUNDS")</f>
        <v>2</v>
      </c>
      <c r="K102" s="6" t="n">
        <f aca="false">IFERROR(VALUE(LEFT(E102,FIND(" - ",E102)-1)),"")</f>
        <v>2</v>
      </c>
      <c r="L102" s="5" t="s">
        <v>416</v>
      </c>
      <c r="N102" s="6" t="n">
        <f aca="false">IF(F102="","",1+COUNTIFS($J:$J,J102,$K:$K,K102,$F:$F,"&gt;"&amp;F102)+COUNTIFS($J:$J,J102,$K:$K,K102,$F:$F,F102,$G:$G,"&gt;"&amp;G102))</f>
        <v>1</v>
      </c>
      <c r="O102" s="6" t="n">
        <f aca="false">IF(L102="","",SUMIFS(Votes!$E:$E,Votes!$A:$A,J102,Votes!$B:$B,K102,Votes!$D:$D,L102))</f>
        <v>16</v>
      </c>
      <c r="P102" s="6" t="n">
        <f aca="false">IF(L102="","",COUNTIFS(Votes!$A:$A,J102,Votes!$B:$B,K102,Votes!$D:$D,L102))</f>
        <v>10</v>
      </c>
      <c r="Q102" s="7" t="str">
        <f aca="false">IF(F102="","Unscored",IF(O102="","No URI",IF(AND(F102=0,O102=0),"Zero-vote",IF(AND(F102=O102,G102=P102),"OK",IF(AND(F102=0,O102&gt;0,COUNTIFS(Votes!$A:$A,J102,Votes!$B:$B,K102,Votes!$C:$C,D102)=0),"Forfeited","Mismatch")))))</f>
        <v>OK</v>
      </c>
      <c r="R102" s="6" t="n">
        <f aca="false">MAX(IF(L102&lt;&gt;"",COUNTIF($L:$L,L102),0),COUNTIFS($A:$A,A102,$B:$B,B102))</f>
        <v>1</v>
      </c>
      <c r="S102" s="6" t="str">
        <f aca="false">IF(R102&gt;1,COUNTIF($R$2:R102,"&gt;1"),"")</f>
        <v/>
      </c>
      <c r="T102" s="6" t="str">
        <f aca="false">IF(L102="","",J102&amp;"|"&amp;K102&amp;"|"&amp;L102)</f>
        <v>2|2|spotify:track:5f5wlkRHWhYxOdp1hOUsTb</v>
      </c>
      <c r="U102" s="6" t="str">
        <f aca="false">IF(C102="","",IFERROR(INDEX(Lists!$F:$F,MATCH(C102,Lists!$E:$E,0)),"Unmapped"))</f>
        <v>Pop</v>
      </c>
    </row>
    <row r="103" customFormat="false" ht="15" hidden="false" customHeight="false" outlineLevel="0" collapsed="false">
      <c r="A103" s="5" t="s">
        <v>417</v>
      </c>
      <c r="B103" s="5" t="s">
        <v>418</v>
      </c>
      <c r="C103" s="5" t="s">
        <v>91</v>
      </c>
      <c r="D103" s="5" t="s">
        <v>133</v>
      </c>
      <c r="E103" s="5" t="s">
        <v>411</v>
      </c>
      <c r="F103" s="5" t="n">
        <v>13</v>
      </c>
      <c r="G103" s="5" t="n">
        <v>9</v>
      </c>
      <c r="H103" s="6" t="str">
        <f aca="false">IF(N103="","",N103&amp;IF(AND(MOD(N103,100)&gt;=11,MOD(N103,100)&lt;=13),"th",CHOOSE(MIN(5,MOD(N103,10)+1),"th","st","nd","rd","th")))</f>
        <v>3rd</v>
      </c>
      <c r="I103" s="5" t="s">
        <v>365</v>
      </c>
      <c r="J103" s="6" t="n">
        <f aca="false">IFERROR(INDEX(Rounds!$A:$A,MATCH(I103,Rounds!$B:$B,0)),"ADD LEAGUE TO ROUNDS")</f>
        <v>2</v>
      </c>
      <c r="K103" s="6" t="n">
        <f aca="false">IFERROR(VALUE(LEFT(E103,FIND(" - ",E103)-1)),"")</f>
        <v>2</v>
      </c>
      <c r="L103" s="5" t="s">
        <v>419</v>
      </c>
      <c r="N103" s="6" t="n">
        <f aca="false">IF(F103="","",1+COUNTIFS($J:$J,J103,$K:$K,K103,$F:$F,"&gt;"&amp;F103)+COUNTIFS($J:$J,J103,$K:$K,K103,$F:$F,F103,$G:$G,"&gt;"&amp;G103))</f>
        <v>3</v>
      </c>
      <c r="O103" s="6" t="n">
        <f aca="false">IF(L103="","",SUMIFS(Votes!$E:$E,Votes!$A:$A,J103,Votes!$B:$B,K103,Votes!$D:$D,L103))</f>
        <v>13</v>
      </c>
      <c r="P103" s="6" t="n">
        <f aca="false">IF(L103="","",COUNTIFS(Votes!$A:$A,J103,Votes!$B:$B,K103,Votes!$D:$D,L103))</f>
        <v>9</v>
      </c>
      <c r="Q103" s="7" t="str">
        <f aca="false">IF(F103="","Unscored",IF(O103="","No URI",IF(AND(F103=0,O103=0),"Zero-vote",IF(AND(F103=O103,G103=P103),"OK",IF(AND(F103=0,O103&gt;0,COUNTIFS(Votes!$A:$A,J103,Votes!$B:$B,K103,Votes!$C:$C,D103)=0),"Forfeited","Mismatch")))))</f>
        <v>OK</v>
      </c>
      <c r="R103" s="6" t="n">
        <f aca="false">MAX(IF(L103&lt;&gt;"",COUNTIF($L:$L,L103),0),COUNTIFS($A:$A,A103,$B:$B,B103))</f>
        <v>1</v>
      </c>
      <c r="S103" s="6" t="str">
        <f aca="false">IF(R103&gt;1,COUNTIF($R$2:R103,"&gt;1"),"")</f>
        <v/>
      </c>
      <c r="T103" s="6" t="str">
        <f aca="false">IF(L103="","",J103&amp;"|"&amp;K103&amp;"|"&amp;L103)</f>
        <v>2|2|spotify:track:0onPWnKnRdmOnEQm4ZUTKG</v>
      </c>
      <c r="U103" s="6" t="str">
        <f aca="false">IF(C103="","",IFERROR(INDEX(Lists!$F:$F,MATCH(C103,Lists!$E:$E,0)),"Unmapped"))</f>
        <v>Rock</v>
      </c>
    </row>
    <row r="104" customFormat="false" ht="15" hidden="false" customHeight="false" outlineLevel="0" collapsed="false">
      <c r="A104" s="5" t="s">
        <v>420</v>
      </c>
      <c r="B104" s="5" t="s">
        <v>421</v>
      </c>
      <c r="C104" s="5" t="s">
        <v>422</v>
      </c>
      <c r="D104" s="5" t="s">
        <v>119</v>
      </c>
      <c r="E104" s="5" t="s">
        <v>411</v>
      </c>
      <c r="F104" s="5" t="n">
        <v>12</v>
      </c>
      <c r="G104" s="5" t="n">
        <v>9</v>
      </c>
      <c r="H104" s="6" t="str">
        <f aca="false">IF(N104="","",N104&amp;IF(AND(MOD(N104,100)&gt;=11,MOD(N104,100)&lt;=13),"th",CHOOSE(MIN(5,MOD(N104,10)+1),"th","st","nd","rd","th")))</f>
        <v>4th</v>
      </c>
      <c r="I104" s="5" t="s">
        <v>365</v>
      </c>
      <c r="J104" s="6" t="n">
        <f aca="false">IFERROR(INDEX(Rounds!$A:$A,MATCH(I104,Rounds!$B:$B,0)),"ADD LEAGUE TO ROUNDS")</f>
        <v>2</v>
      </c>
      <c r="K104" s="6" t="n">
        <f aca="false">IFERROR(VALUE(LEFT(E104,FIND(" - ",E104)-1)),"")</f>
        <v>2</v>
      </c>
      <c r="L104" s="5" t="s">
        <v>423</v>
      </c>
      <c r="N104" s="6" t="n">
        <f aca="false">IF(F104="","",1+COUNTIFS($J:$J,J104,$K:$K,K104,$F:$F,"&gt;"&amp;F104)+COUNTIFS($J:$J,J104,$K:$K,K104,$F:$F,F104,$G:$G,"&gt;"&amp;G104))</f>
        <v>4</v>
      </c>
      <c r="O104" s="6" t="n">
        <f aca="false">IF(L104="","",SUMIFS(Votes!$E:$E,Votes!$A:$A,J104,Votes!$B:$B,K104,Votes!$D:$D,L104))</f>
        <v>12</v>
      </c>
      <c r="P104" s="6" t="n">
        <f aca="false">IF(L104="","",COUNTIFS(Votes!$A:$A,J104,Votes!$B:$B,K104,Votes!$D:$D,L104))</f>
        <v>9</v>
      </c>
      <c r="Q104" s="7" t="str">
        <f aca="false">IF(F104="","Unscored",IF(O104="","No URI",IF(AND(F104=0,O104=0),"Zero-vote",IF(AND(F104=O104,G104=P104),"OK",IF(AND(F104=0,O104&gt;0,COUNTIFS(Votes!$A:$A,J104,Votes!$B:$B,K104,Votes!$C:$C,D104)=0),"Forfeited","Mismatch")))))</f>
        <v>OK</v>
      </c>
      <c r="R104" s="6" t="n">
        <f aca="false">MAX(IF(L104&lt;&gt;"",COUNTIF($L:$L,L104),0),COUNTIFS($A:$A,A104,$B:$B,B104))</f>
        <v>1</v>
      </c>
      <c r="S104" s="6" t="str">
        <f aca="false">IF(R104&gt;1,COUNTIF($R$2:R104,"&gt;1"),"")</f>
        <v/>
      </c>
      <c r="T104" s="6" t="str">
        <f aca="false">IF(L104="","",J104&amp;"|"&amp;K104&amp;"|"&amp;L104)</f>
        <v>2|2|spotify:track:1ssFg8Xr5A8O2U6JkKjZRz</v>
      </c>
      <c r="U104" s="6" t="str">
        <f aca="false">IF(C104="","",IFERROR(INDEX(Lists!$F:$F,MATCH(C104,Lists!$E:$E,0)),"Unmapped"))</f>
        <v>Classical/Score</v>
      </c>
    </row>
    <row r="105" customFormat="false" ht="15" hidden="false" customHeight="false" outlineLevel="0" collapsed="false">
      <c r="A105" s="5" t="s">
        <v>424</v>
      </c>
      <c r="B105" s="5" t="s">
        <v>425</v>
      </c>
      <c r="C105" s="5" t="s">
        <v>91</v>
      </c>
      <c r="D105" s="5" t="s">
        <v>85</v>
      </c>
      <c r="E105" s="5" t="s">
        <v>411</v>
      </c>
      <c r="F105" s="5" t="n">
        <v>11</v>
      </c>
      <c r="G105" s="5" t="n">
        <v>8</v>
      </c>
      <c r="H105" s="6" t="str">
        <f aca="false">IF(N105="","",N105&amp;IF(AND(MOD(N105,100)&gt;=11,MOD(N105,100)&lt;=13),"th",CHOOSE(MIN(5,MOD(N105,10)+1),"th","st","nd","rd","th")))</f>
        <v>5th</v>
      </c>
      <c r="I105" s="5" t="s">
        <v>365</v>
      </c>
      <c r="J105" s="6" t="n">
        <f aca="false">IFERROR(INDEX(Rounds!$A:$A,MATCH(I105,Rounds!$B:$B,0)),"ADD LEAGUE TO ROUNDS")</f>
        <v>2</v>
      </c>
      <c r="K105" s="6" t="n">
        <f aca="false">IFERROR(VALUE(LEFT(E105,FIND(" - ",E105)-1)),"")</f>
        <v>2</v>
      </c>
      <c r="L105" s="5" t="s">
        <v>426</v>
      </c>
      <c r="N105" s="6" t="n">
        <f aca="false">IF(F105="","",1+COUNTIFS($J:$J,J105,$K:$K,K105,$F:$F,"&gt;"&amp;F105)+COUNTIFS($J:$J,J105,$K:$K,K105,$F:$F,F105,$G:$G,"&gt;"&amp;G105))</f>
        <v>5</v>
      </c>
      <c r="O105" s="6" t="n">
        <f aca="false">IF(L105="","",SUMIFS(Votes!$E:$E,Votes!$A:$A,J105,Votes!$B:$B,K105,Votes!$D:$D,L105))</f>
        <v>11</v>
      </c>
      <c r="P105" s="6" t="n">
        <f aca="false">IF(L105="","",COUNTIFS(Votes!$A:$A,J105,Votes!$B:$B,K105,Votes!$D:$D,L105))</f>
        <v>8</v>
      </c>
      <c r="Q105" s="7" t="str">
        <f aca="false">IF(F105="","Unscored",IF(O105="","No URI",IF(AND(F105=0,O105=0),"Zero-vote",IF(AND(F105=O105,G105=P105),"OK",IF(AND(F105=0,O105&gt;0,COUNTIFS(Votes!$A:$A,J105,Votes!$B:$B,K105,Votes!$C:$C,D105)=0),"Forfeited","Mismatch")))))</f>
        <v>OK</v>
      </c>
      <c r="R105" s="6" t="n">
        <f aca="false">MAX(IF(L105&lt;&gt;"",COUNTIF($L:$L,L105),0),COUNTIFS($A:$A,A105,$B:$B,B105))</f>
        <v>1</v>
      </c>
      <c r="S105" s="6" t="str">
        <f aca="false">IF(R105&gt;1,COUNTIF($R$2:R105,"&gt;1"),"")</f>
        <v/>
      </c>
      <c r="T105" s="6" t="str">
        <f aca="false">IF(L105="","",J105&amp;"|"&amp;K105&amp;"|"&amp;L105)</f>
        <v>2|2|spotify:track:7yrqJUfnjteV1FLe9dXcVa</v>
      </c>
      <c r="U105" s="6" t="str">
        <f aca="false">IF(C105="","",IFERROR(INDEX(Lists!$F:$F,MATCH(C105,Lists!$E:$E,0)),"Unmapped"))</f>
        <v>Rock</v>
      </c>
    </row>
    <row r="106" customFormat="false" ht="15" hidden="false" customHeight="false" outlineLevel="0" collapsed="false">
      <c r="A106" s="5" t="s">
        <v>427</v>
      </c>
      <c r="B106" s="5" t="s">
        <v>428</v>
      </c>
      <c r="C106" s="5" t="s">
        <v>429</v>
      </c>
      <c r="D106" s="5" t="s">
        <v>378</v>
      </c>
      <c r="E106" s="5" t="s">
        <v>411</v>
      </c>
      <c r="F106" s="5" t="n">
        <v>10</v>
      </c>
      <c r="G106" s="5" t="n">
        <v>7</v>
      </c>
      <c r="H106" s="6" t="str">
        <f aca="false">IF(N106="","",N106&amp;IF(AND(MOD(N106,100)&gt;=11,MOD(N106,100)&lt;=13),"th",CHOOSE(MIN(5,MOD(N106,10)+1),"th","st","nd","rd","th")))</f>
        <v>6th</v>
      </c>
      <c r="I106" s="5" t="s">
        <v>365</v>
      </c>
      <c r="J106" s="6" t="n">
        <f aca="false">IFERROR(INDEX(Rounds!$A:$A,MATCH(I106,Rounds!$B:$B,0)),"ADD LEAGUE TO ROUNDS")</f>
        <v>2</v>
      </c>
      <c r="K106" s="6" t="n">
        <f aca="false">IFERROR(VALUE(LEFT(E106,FIND(" - ",E106)-1)),"")</f>
        <v>2</v>
      </c>
      <c r="L106" s="5" t="s">
        <v>430</v>
      </c>
      <c r="N106" s="6" t="n">
        <f aca="false">IF(F106="","",1+COUNTIFS($J:$J,J106,$K:$K,K106,$F:$F,"&gt;"&amp;F106)+COUNTIFS($J:$J,J106,$K:$K,K106,$F:$F,F106,$G:$G,"&gt;"&amp;G106))</f>
        <v>6</v>
      </c>
      <c r="O106" s="6" t="n">
        <f aca="false">IF(L106="","",SUMIFS(Votes!$E:$E,Votes!$A:$A,J106,Votes!$B:$B,K106,Votes!$D:$D,L106))</f>
        <v>10</v>
      </c>
      <c r="P106" s="6" t="n">
        <f aca="false">IF(L106="","",COUNTIFS(Votes!$A:$A,J106,Votes!$B:$B,K106,Votes!$D:$D,L106))</f>
        <v>7</v>
      </c>
      <c r="Q106" s="7" t="str">
        <f aca="false">IF(F106="","Unscored",IF(O106="","No URI",IF(AND(F106=0,O106=0),"Zero-vote",IF(AND(F106=O106,G106=P106),"OK",IF(AND(F106=0,O106&gt;0,COUNTIFS(Votes!$A:$A,J106,Votes!$B:$B,K106,Votes!$C:$C,D106)=0),"Forfeited","Mismatch")))))</f>
        <v>OK</v>
      </c>
      <c r="R106" s="6" t="n">
        <f aca="false">MAX(IF(L106&lt;&gt;"",COUNTIF($L:$L,L106),0),COUNTIFS($A:$A,A106,$B:$B,B106))</f>
        <v>1</v>
      </c>
      <c r="S106" s="6" t="str">
        <f aca="false">IF(R106&gt;1,COUNTIF($R$2:R106,"&gt;1"),"")</f>
        <v/>
      </c>
      <c r="T106" s="6" t="str">
        <f aca="false">IF(L106="","",J106&amp;"|"&amp;K106&amp;"|"&amp;L106)</f>
        <v>2|2|spotify:track:6W332S9Wbc6TOBlChnemKD</v>
      </c>
      <c r="U106" s="6" t="str">
        <f aca="false">IF(C106="","",IFERROR(INDEX(Lists!$F:$F,MATCH(C106,Lists!$E:$E,0)),"Unmapped"))</f>
        <v>Other</v>
      </c>
    </row>
    <row r="107" customFormat="false" ht="15" hidden="false" customHeight="false" outlineLevel="0" collapsed="false">
      <c r="A107" s="5" t="s">
        <v>431</v>
      </c>
      <c r="B107" s="5" t="s">
        <v>432</v>
      </c>
      <c r="C107" s="5" t="s">
        <v>84</v>
      </c>
      <c r="D107" s="5" t="s">
        <v>395</v>
      </c>
      <c r="E107" s="5" t="s">
        <v>411</v>
      </c>
      <c r="F107" s="5" t="n">
        <v>9</v>
      </c>
      <c r="G107" s="5" t="n">
        <v>6</v>
      </c>
      <c r="H107" s="6" t="str">
        <f aca="false">IF(N107="","",N107&amp;IF(AND(MOD(N107,100)&gt;=11,MOD(N107,100)&lt;=13),"th",CHOOSE(MIN(5,MOD(N107,10)+1),"th","st","nd","rd","th")))</f>
        <v>7th</v>
      </c>
      <c r="I107" s="5" t="s">
        <v>365</v>
      </c>
      <c r="J107" s="6" t="n">
        <f aca="false">IFERROR(INDEX(Rounds!$A:$A,MATCH(I107,Rounds!$B:$B,0)),"ADD LEAGUE TO ROUNDS")</f>
        <v>2</v>
      </c>
      <c r="K107" s="6" t="n">
        <f aca="false">IFERROR(VALUE(LEFT(E107,FIND(" - ",E107)-1)),"")</f>
        <v>2</v>
      </c>
      <c r="L107" s="5" t="s">
        <v>433</v>
      </c>
      <c r="N107" s="6" t="n">
        <f aca="false">IF(F107="","",1+COUNTIFS($J:$J,J107,$K:$K,K107,$F:$F,"&gt;"&amp;F107)+COUNTIFS($J:$J,J107,$K:$K,K107,$F:$F,F107,$G:$G,"&gt;"&amp;G107))</f>
        <v>7</v>
      </c>
      <c r="O107" s="6" t="n">
        <f aca="false">IF(L107="","",SUMIFS(Votes!$E:$E,Votes!$A:$A,J107,Votes!$B:$B,K107,Votes!$D:$D,L107))</f>
        <v>9</v>
      </c>
      <c r="P107" s="6" t="n">
        <f aca="false">IF(L107="","",COUNTIFS(Votes!$A:$A,J107,Votes!$B:$B,K107,Votes!$D:$D,L107))</f>
        <v>6</v>
      </c>
      <c r="Q107" s="7" t="str">
        <f aca="false">IF(F107="","Unscored",IF(O107="","No URI",IF(AND(F107=0,O107=0),"Zero-vote",IF(AND(F107=O107,G107=P107),"OK",IF(AND(F107=0,O107&gt;0,COUNTIFS(Votes!$A:$A,J107,Votes!$B:$B,K107,Votes!$C:$C,D107)=0),"Forfeited","Mismatch")))))</f>
        <v>OK</v>
      </c>
      <c r="R107" s="6" t="n">
        <f aca="false">MAX(IF(L107&lt;&gt;"",COUNTIF($L:$L,L107),0),COUNTIFS($A:$A,A107,$B:$B,B107))</f>
        <v>1</v>
      </c>
      <c r="S107" s="6" t="str">
        <f aca="false">IF(R107&gt;1,COUNTIF($R$2:R107,"&gt;1"),"")</f>
        <v/>
      </c>
      <c r="T107" s="6" t="str">
        <f aca="false">IF(L107="","",J107&amp;"|"&amp;K107&amp;"|"&amp;L107)</f>
        <v>2|2|spotify:track:0Pd4lsvSDPkcNCxbcz0UeV</v>
      </c>
      <c r="U107" s="6" t="str">
        <f aca="false">IF(C107="","",IFERROR(INDEX(Lists!$F:$F,MATCH(C107,Lists!$E:$E,0)),"Unmapped"))</f>
        <v>Pop</v>
      </c>
    </row>
    <row r="108" customFormat="false" ht="15" hidden="false" customHeight="false" outlineLevel="0" collapsed="false">
      <c r="A108" s="5" t="s">
        <v>434</v>
      </c>
      <c r="B108" s="5" t="s">
        <v>435</v>
      </c>
      <c r="C108" s="5" t="s">
        <v>415</v>
      </c>
      <c r="D108" s="5" t="s">
        <v>101</v>
      </c>
      <c r="E108" s="5" t="s">
        <v>411</v>
      </c>
      <c r="F108" s="5" t="n">
        <v>9</v>
      </c>
      <c r="G108" s="5" t="n">
        <v>6</v>
      </c>
      <c r="H108" s="6" t="str">
        <f aca="false">IF(N108="","",N108&amp;IF(AND(MOD(N108,100)&gt;=11,MOD(N108,100)&lt;=13),"th",CHOOSE(MIN(5,MOD(N108,10)+1),"th","st","nd","rd","th")))</f>
        <v>7th</v>
      </c>
      <c r="I108" s="5" t="s">
        <v>365</v>
      </c>
      <c r="J108" s="6" t="n">
        <f aca="false">IFERROR(INDEX(Rounds!$A:$A,MATCH(I108,Rounds!$B:$B,0)),"ADD LEAGUE TO ROUNDS")</f>
        <v>2</v>
      </c>
      <c r="K108" s="6" t="n">
        <f aca="false">IFERROR(VALUE(LEFT(E108,FIND(" - ",E108)-1)),"")</f>
        <v>2</v>
      </c>
      <c r="L108" s="5" t="s">
        <v>436</v>
      </c>
      <c r="N108" s="6" t="n">
        <f aca="false">IF(F108="","",1+COUNTIFS($J:$J,J108,$K:$K,K108,$F:$F,"&gt;"&amp;F108)+COUNTIFS($J:$J,J108,$K:$K,K108,$F:$F,F108,$G:$G,"&gt;"&amp;G108))</f>
        <v>7</v>
      </c>
      <c r="O108" s="6" t="n">
        <f aca="false">IF(L108="","",SUMIFS(Votes!$E:$E,Votes!$A:$A,J108,Votes!$B:$B,K108,Votes!$D:$D,L108))</f>
        <v>9</v>
      </c>
      <c r="P108" s="6" t="n">
        <f aca="false">IF(L108="","",COUNTIFS(Votes!$A:$A,J108,Votes!$B:$B,K108,Votes!$D:$D,L108))</f>
        <v>6</v>
      </c>
      <c r="Q108" s="7" t="str">
        <f aca="false">IF(F108="","Unscored",IF(O108="","No URI",IF(AND(F108=0,O108=0),"Zero-vote",IF(AND(F108=O108,G108=P108),"OK",IF(AND(F108=0,O108&gt;0,COUNTIFS(Votes!$A:$A,J108,Votes!$B:$B,K108,Votes!$C:$C,D108)=0),"Forfeited","Mismatch")))))</f>
        <v>OK</v>
      </c>
      <c r="R108" s="6" t="n">
        <f aca="false">MAX(IF(L108&lt;&gt;"",COUNTIF($L:$L,L108),0),COUNTIFS($A:$A,A108,$B:$B,B108))</f>
        <v>1</v>
      </c>
      <c r="S108" s="6" t="str">
        <f aca="false">IF(R108&gt;1,COUNTIF($R$2:R108,"&gt;1"),"")</f>
        <v/>
      </c>
      <c r="T108" s="6" t="str">
        <f aca="false">IF(L108="","",J108&amp;"|"&amp;K108&amp;"|"&amp;L108)</f>
        <v>2|2|spotify:track:2U9kDk5mlHYunC7PvbZ8KX</v>
      </c>
      <c r="U108" s="6" t="str">
        <f aca="false">IF(C108="","",IFERROR(INDEX(Lists!$F:$F,MATCH(C108,Lists!$E:$E,0)),"Unmapped"))</f>
        <v>Pop</v>
      </c>
    </row>
    <row r="109" customFormat="false" ht="15" hidden="false" customHeight="false" outlineLevel="0" collapsed="false">
      <c r="A109" s="5" t="s">
        <v>437</v>
      </c>
      <c r="B109" s="5" t="s">
        <v>432</v>
      </c>
      <c r="C109" s="5" t="s">
        <v>84</v>
      </c>
      <c r="D109" s="5" t="s">
        <v>92</v>
      </c>
      <c r="E109" s="5" t="s">
        <v>411</v>
      </c>
      <c r="F109" s="5" t="n">
        <v>9</v>
      </c>
      <c r="G109" s="5" t="n">
        <v>5</v>
      </c>
      <c r="H109" s="6" t="str">
        <f aca="false">IF(N109="","",N109&amp;IF(AND(MOD(N109,100)&gt;=11,MOD(N109,100)&lt;=13),"th",CHOOSE(MIN(5,MOD(N109,10)+1),"th","st","nd","rd","th")))</f>
        <v>9th</v>
      </c>
      <c r="I109" s="5" t="s">
        <v>365</v>
      </c>
      <c r="J109" s="6" t="n">
        <f aca="false">IFERROR(INDEX(Rounds!$A:$A,MATCH(I109,Rounds!$B:$B,0)),"ADD LEAGUE TO ROUNDS")</f>
        <v>2</v>
      </c>
      <c r="K109" s="6" t="n">
        <f aca="false">IFERROR(VALUE(LEFT(E109,FIND(" - ",E109)-1)),"")</f>
        <v>2</v>
      </c>
      <c r="L109" s="5" t="s">
        <v>438</v>
      </c>
      <c r="N109" s="6" t="n">
        <f aca="false">IF(F109="","",1+COUNTIFS($J:$J,J109,$K:$K,K109,$F:$F,"&gt;"&amp;F109)+COUNTIFS($J:$J,J109,$K:$K,K109,$F:$F,F109,$G:$G,"&gt;"&amp;G109))</f>
        <v>9</v>
      </c>
      <c r="O109" s="6" t="n">
        <f aca="false">IF(L109="","",SUMIFS(Votes!$E:$E,Votes!$A:$A,J109,Votes!$B:$B,K109,Votes!$D:$D,L109))</f>
        <v>9</v>
      </c>
      <c r="P109" s="6" t="n">
        <f aca="false">IF(L109="","",COUNTIFS(Votes!$A:$A,J109,Votes!$B:$B,K109,Votes!$D:$D,L109))</f>
        <v>5</v>
      </c>
      <c r="Q109" s="7" t="str">
        <f aca="false">IF(F109="","Unscored",IF(O109="","No URI",IF(AND(F109=0,O109=0),"Zero-vote",IF(AND(F109=O109,G109=P109),"OK",IF(AND(F109=0,O109&gt;0,COUNTIFS(Votes!$A:$A,J109,Votes!$B:$B,K109,Votes!$C:$C,D109)=0),"Forfeited","Mismatch")))))</f>
        <v>OK</v>
      </c>
      <c r="R109" s="6" t="n">
        <f aca="false">MAX(IF(L109&lt;&gt;"",COUNTIF($L:$L,L109),0),COUNTIFS($A:$A,A109,$B:$B,B109))</f>
        <v>1</v>
      </c>
      <c r="S109" s="6" t="str">
        <f aca="false">IF(R109&gt;1,COUNTIF($R$2:R109,"&gt;1"),"")</f>
        <v/>
      </c>
      <c r="T109" s="6" t="str">
        <f aca="false">IF(L109="","",J109&amp;"|"&amp;K109&amp;"|"&amp;L109)</f>
        <v>2|2|spotify:track:7xapw9Oy21WpfEcib2ErSA</v>
      </c>
      <c r="U109" s="6" t="str">
        <f aca="false">IF(C109="","",IFERROR(INDEX(Lists!$F:$F,MATCH(C109,Lists!$E:$E,0)),"Unmapped"))</f>
        <v>Pop</v>
      </c>
    </row>
    <row r="110" customFormat="false" ht="15" hidden="false" customHeight="false" outlineLevel="0" collapsed="false">
      <c r="A110" s="5" t="s">
        <v>439</v>
      </c>
      <c r="B110" s="5" t="s">
        <v>440</v>
      </c>
      <c r="C110" s="5" t="s">
        <v>127</v>
      </c>
      <c r="D110" s="5" t="s">
        <v>97</v>
      </c>
      <c r="E110" s="5" t="s">
        <v>411</v>
      </c>
      <c r="F110" s="5" t="n">
        <v>8</v>
      </c>
      <c r="G110" s="5" t="n">
        <v>6</v>
      </c>
      <c r="H110" s="6" t="str">
        <f aca="false">IF(N110="","",N110&amp;IF(AND(MOD(N110,100)&gt;=11,MOD(N110,100)&lt;=13),"th",CHOOSE(MIN(5,MOD(N110,10)+1),"th","st","nd","rd","th")))</f>
        <v>10th</v>
      </c>
      <c r="I110" s="5" t="s">
        <v>365</v>
      </c>
      <c r="J110" s="6" t="n">
        <f aca="false">IFERROR(INDEX(Rounds!$A:$A,MATCH(I110,Rounds!$B:$B,0)),"ADD LEAGUE TO ROUNDS")</f>
        <v>2</v>
      </c>
      <c r="K110" s="6" t="n">
        <f aca="false">IFERROR(VALUE(LEFT(E110,FIND(" - ",E110)-1)),"")</f>
        <v>2</v>
      </c>
      <c r="L110" s="5" t="s">
        <v>441</v>
      </c>
      <c r="N110" s="6" t="n">
        <f aca="false">IF(F110="","",1+COUNTIFS($J:$J,J110,$K:$K,K110,$F:$F,"&gt;"&amp;F110)+COUNTIFS($J:$J,J110,$K:$K,K110,$F:$F,F110,$G:$G,"&gt;"&amp;G110))</f>
        <v>10</v>
      </c>
      <c r="O110" s="6" t="n">
        <f aca="false">IF(L110="","",SUMIFS(Votes!$E:$E,Votes!$A:$A,J110,Votes!$B:$B,K110,Votes!$D:$D,L110))</f>
        <v>8</v>
      </c>
      <c r="P110" s="6" t="n">
        <f aca="false">IF(L110="","",COUNTIFS(Votes!$A:$A,J110,Votes!$B:$B,K110,Votes!$D:$D,L110))</f>
        <v>6</v>
      </c>
      <c r="Q110" s="7" t="str">
        <f aca="false">IF(F110="","Unscored",IF(O110="","No URI",IF(AND(F110=0,O110=0),"Zero-vote",IF(AND(F110=O110,G110=P110),"OK",IF(AND(F110=0,O110&gt;0,COUNTIFS(Votes!$A:$A,J110,Votes!$B:$B,K110,Votes!$C:$C,D110)=0),"Forfeited","Mismatch")))))</f>
        <v>OK</v>
      </c>
      <c r="R110" s="6" t="n">
        <f aca="false">MAX(IF(L110&lt;&gt;"",COUNTIF($L:$L,L110),0),COUNTIFS($A:$A,A110,$B:$B,B110))</f>
        <v>1</v>
      </c>
      <c r="S110" s="6" t="str">
        <f aca="false">IF(R110&gt;1,COUNTIF($R$2:R110,"&gt;1"),"")</f>
        <v/>
      </c>
      <c r="T110" s="6" t="str">
        <f aca="false">IF(L110="","",J110&amp;"|"&amp;K110&amp;"|"&amp;L110)</f>
        <v>2|2|spotify:track:0h2dcuCb1emDJa6UfghZWq</v>
      </c>
      <c r="U110" s="6" t="str">
        <f aca="false">IF(C110="","",IFERROR(INDEX(Lists!$F:$F,MATCH(C110,Lists!$E:$E,0)),"Unmapped"))</f>
        <v>Jazz/Vocal</v>
      </c>
    </row>
    <row r="111" customFormat="false" ht="15" hidden="false" customHeight="false" outlineLevel="0" collapsed="false">
      <c r="A111" s="5" t="s">
        <v>442</v>
      </c>
      <c r="B111" s="5" t="s">
        <v>443</v>
      </c>
      <c r="C111" s="5" t="s">
        <v>96</v>
      </c>
      <c r="D111" s="5" t="s">
        <v>289</v>
      </c>
      <c r="E111" s="5" t="s">
        <v>411</v>
      </c>
      <c r="F111" s="5" t="n">
        <v>7</v>
      </c>
      <c r="G111" s="5" t="n">
        <v>7</v>
      </c>
      <c r="H111" s="6" t="str">
        <f aca="false">IF(N111="","",N111&amp;IF(AND(MOD(N111,100)&gt;=11,MOD(N111,100)&lt;=13),"th",CHOOSE(MIN(5,MOD(N111,10)+1),"th","st","nd","rd","th")))</f>
        <v>11th</v>
      </c>
      <c r="I111" s="5" t="s">
        <v>365</v>
      </c>
      <c r="J111" s="6" t="n">
        <f aca="false">IFERROR(INDEX(Rounds!$A:$A,MATCH(I111,Rounds!$B:$B,0)),"ADD LEAGUE TO ROUNDS")</f>
        <v>2</v>
      </c>
      <c r="K111" s="6" t="n">
        <f aca="false">IFERROR(VALUE(LEFT(E111,FIND(" - ",E111)-1)),"")</f>
        <v>2</v>
      </c>
      <c r="L111" s="5" t="s">
        <v>444</v>
      </c>
      <c r="N111" s="6" t="n">
        <f aca="false">IF(F111="","",1+COUNTIFS($J:$J,J111,$K:$K,K111,$F:$F,"&gt;"&amp;F111)+COUNTIFS($J:$J,J111,$K:$K,K111,$F:$F,F111,$G:$G,"&gt;"&amp;G111))</f>
        <v>11</v>
      </c>
      <c r="O111" s="6" t="n">
        <f aca="false">IF(L111="","",SUMIFS(Votes!$E:$E,Votes!$A:$A,J111,Votes!$B:$B,K111,Votes!$D:$D,L111))</f>
        <v>7</v>
      </c>
      <c r="P111" s="6" t="n">
        <f aca="false">IF(L111="","",COUNTIFS(Votes!$A:$A,J111,Votes!$B:$B,K111,Votes!$D:$D,L111))</f>
        <v>7</v>
      </c>
      <c r="Q111" s="7" t="str">
        <f aca="false">IF(F111="","Unscored",IF(O111="","No URI",IF(AND(F111=0,O111=0),"Zero-vote",IF(AND(F111=O111,G111=P111),"OK",IF(AND(F111=0,O111&gt;0,COUNTIFS(Votes!$A:$A,J111,Votes!$B:$B,K111,Votes!$C:$C,D111)=0),"Forfeited","Mismatch")))))</f>
        <v>OK</v>
      </c>
      <c r="R111" s="6" t="n">
        <f aca="false">MAX(IF(L111&lt;&gt;"",COUNTIF($L:$L,L111),0),COUNTIFS($A:$A,A111,$B:$B,B111))</f>
        <v>1</v>
      </c>
      <c r="S111" s="6" t="str">
        <f aca="false">IF(R111&gt;1,COUNTIF($R$2:R111,"&gt;1"),"")</f>
        <v/>
      </c>
      <c r="T111" s="6" t="str">
        <f aca="false">IF(L111="","",J111&amp;"|"&amp;K111&amp;"|"&amp;L111)</f>
        <v>2|2|spotify:track:0984kdcFfmBkZv8M9x4wcb</v>
      </c>
      <c r="U111" s="6" t="str">
        <f aca="false">IF(C111="","",IFERROR(INDEX(Lists!$F:$F,MATCH(C111,Lists!$E:$E,0)),"Unmapped"))</f>
        <v>R&amp;B/Soul</v>
      </c>
    </row>
    <row r="112" customFormat="false" ht="15" hidden="false" customHeight="false" outlineLevel="0" collapsed="false">
      <c r="A112" s="5" t="s">
        <v>445</v>
      </c>
      <c r="B112" s="5" t="s">
        <v>446</v>
      </c>
      <c r="C112" s="5" t="s">
        <v>91</v>
      </c>
      <c r="D112" s="5" t="s">
        <v>106</v>
      </c>
      <c r="E112" s="5" t="s">
        <v>411</v>
      </c>
      <c r="F112" s="5" t="n">
        <v>7</v>
      </c>
      <c r="G112" s="5" t="n">
        <v>5</v>
      </c>
      <c r="H112" s="6" t="str">
        <f aca="false">IF(N112="","",N112&amp;IF(AND(MOD(N112,100)&gt;=11,MOD(N112,100)&lt;=13),"th",CHOOSE(MIN(5,MOD(N112,10)+1),"th","st","nd","rd","th")))</f>
        <v>12th</v>
      </c>
      <c r="I112" s="5" t="s">
        <v>365</v>
      </c>
      <c r="J112" s="6" t="n">
        <f aca="false">IFERROR(INDEX(Rounds!$A:$A,MATCH(I112,Rounds!$B:$B,0)),"ADD LEAGUE TO ROUNDS")</f>
        <v>2</v>
      </c>
      <c r="K112" s="6" t="n">
        <f aca="false">IFERROR(VALUE(LEFT(E112,FIND(" - ",E112)-1)),"")</f>
        <v>2</v>
      </c>
      <c r="L112" s="5" t="s">
        <v>447</v>
      </c>
      <c r="N112" s="6" t="n">
        <f aca="false">IF(F112="","",1+COUNTIFS($J:$J,J112,$K:$K,K112,$F:$F,"&gt;"&amp;F112)+COUNTIFS($J:$J,J112,$K:$K,K112,$F:$F,F112,$G:$G,"&gt;"&amp;G112))</f>
        <v>12</v>
      </c>
      <c r="O112" s="6" t="n">
        <f aca="false">IF(L112="","",SUMIFS(Votes!$E:$E,Votes!$A:$A,J112,Votes!$B:$B,K112,Votes!$D:$D,L112))</f>
        <v>7</v>
      </c>
      <c r="P112" s="6" t="n">
        <f aca="false">IF(L112="","",COUNTIFS(Votes!$A:$A,J112,Votes!$B:$B,K112,Votes!$D:$D,L112))</f>
        <v>5</v>
      </c>
      <c r="Q112" s="7" t="str">
        <f aca="false">IF(F112="","Unscored",IF(O112="","No URI",IF(AND(F112=0,O112=0),"Zero-vote",IF(AND(F112=O112,G112=P112),"OK",IF(AND(F112=0,O112&gt;0,COUNTIFS(Votes!$A:$A,J112,Votes!$B:$B,K112,Votes!$C:$C,D112)=0),"Forfeited","Mismatch")))))</f>
        <v>OK</v>
      </c>
      <c r="R112" s="6" t="n">
        <f aca="false">MAX(IF(L112&lt;&gt;"",COUNTIF($L:$L,L112),0),COUNTIFS($A:$A,A112,$B:$B,B112))</f>
        <v>1</v>
      </c>
      <c r="S112" s="6" t="str">
        <f aca="false">IF(R112&gt;1,COUNTIF($R$2:R112,"&gt;1"),"")</f>
        <v/>
      </c>
      <c r="T112" s="6" t="str">
        <f aca="false">IF(L112="","",J112&amp;"|"&amp;K112&amp;"|"&amp;L112)</f>
        <v>2|2|spotify:track:2hiB8QxWic092OablwpoVC</v>
      </c>
      <c r="U112" s="6" t="str">
        <f aca="false">IF(C112="","",IFERROR(INDEX(Lists!$F:$F,MATCH(C112,Lists!$E:$E,0)),"Unmapped"))</f>
        <v>Rock</v>
      </c>
    </row>
    <row r="113" customFormat="false" ht="15" hidden="false" customHeight="false" outlineLevel="0" collapsed="false">
      <c r="A113" s="5" t="s">
        <v>448</v>
      </c>
      <c r="B113" s="5" t="s">
        <v>449</v>
      </c>
      <c r="C113" s="5" t="s">
        <v>91</v>
      </c>
      <c r="D113" s="5" t="s">
        <v>382</v>
      </c>
      <c r="E113" s="5" t="s">
        <v>411</v>
      </c>
      <c r="F113" s="5" t="n">
        <v>7</v>
      </c>
      <c r="G113" s="5" t="n">
        <v>5</v>
      </c>
      <c r="H113" s="6" t="str">
        <f aca="false">IF(N113="","",N113&amp;IF(AND(MOD(N113,100)&gt;=11,MOD(N113,100)&lt;=13),"th",CHOOSE(MIN(5,MOD(N113,10)+1),"th","st","nd","rd","th")))</f>
        <v>12th</v>
      </c>
      <c r="I113" s="5" t="s">
        <v>365</v>
      </c>
      <c r="J113" s="6" t="n">
        <f aca="false">IFERROR(INDEX(Rounds!$A:$A,MATCH(I113,Rounds!$B:$B,0)),"ADD LEAGUE TO ROUNDS")</f>
        <v>2</v>
      </c>
      <c r="K113" s="6" t="n">
        <f aca="false">IFERROR(VALUE(LEFT(E113,FIND(" - ",E113)-1)),"")</f>
        <v>2</v>
      </c>
      <c r="L113" s="5" t="s">
        <v>450</v>
      </c>
      <c r="N113" s="6" t="n">
        <f aca="false">IF(F113="","",1+COUNTIFS($J:$J,J113,$K:$K,K113,$F:$F,"&gt;"&amp;F113)+COUNTIFS($J:$J,J113,$K:$K,K113,$F:$F,F113,$G:$G,"&gt;"&amp;G113))</f>
        <v>12</v>
      </c>
      <c r="O113" s="6" t="n">
        <f aca="false">IF(L113="","",SUMIFS(Votes!$E:$E,Votes!$A:$A,J113,Votes!$B:$B,K113,Votes!$D:$D,L113))</f>
        <v>7</v>
      </c>
      <c r="P113" s="6" t="n">
        <f aca="false">IF(L113="","",COUNTIFS(Votes!$A:$A,J113,Votes!$B:$B,K113,Votes!$D:$D,L113))</f>
        <v>5</v>
      </c>
      <c r="Q113" s="7" t="str">
        <f aca="false">IF(F113="","Unscored",IF(O113="","No URI",IF(AND(F113=0,O113=0),"Zero-vote",IF(AND(F113=O113,G113=P113),"OK",IF(AND(F113=0,O113&gt;0,COUNTIFS(Votes!$A:$A,J113,Votes!$B:$B,K113,Votes!$C:$C,D113)=0),"Forfeited","Mismatch")))))</f>
        <v>OK</v>
      </c>
      <c r="R113" s="6" t="n">
        <f aca="false">MAX(IF(L113&lt;&gt;"",COUNTIF($L:$L,L113),0),COUNTIFS($A:$A,A113,$B:$B,B113))</f>
        <v>1</v>
      </c>
      <c r="S113" s="6" t="str">
        <f aca="false">IF(R113&gt;1,COUNTIF($R$2:R113,"&gt;1"),"")</f>
        <v/>
      </c>
      <c r="T113" s="6" t="str">
        <f aca="false">IF(L113="","",J113&amp;"|"&amp;K113&amp;"|"&amp;L113)</f>
        <v>2|2|spotify:track:6eou298JmAGYShrwYuLxJ2</v>
      </c>
      <c r="U113" s="6" t="str">
        <f aca="false">IF(C113="","",IFERROR(INDEX(Lists!$F:$F,MATCH(C113,Lists!$E:$E,0)),"Unmapped"))</f>
        <v>Rock</v>
      </c>
    </row>
    <row r="114" customFormat="false" ht="15" hidden="false" customHeight="false" outlineLevel="0" collapsed="false">
      <c r="A114" s="5" t="s">
        <v>451</v>
      </c>
      <c r="B114" s="5" t="s">
        <v>452</v>
      </c>
      <c r="C114" s="5" t="s">
        <v>84</v>
      </c>
      <c r="D114" s="5" t="s">
        <v>375</v>
      </c>
      <c r="E114" s="5" t="s">
        <v>411</v>
      </c>
      <c r="F114" s="5" t="n">
        <v>6</v>
      </c>
      <c r="G114" s="5" t="n">
        <v>6</v>
      </c>
      <c r="H114" s="6" t="str">
        <f aca="false">IF(N114="","",N114&amp;IF(AND(MOD(N114,100)&gt;=11,MOD(N114,100)&lt;=13),"th",CHOOSE(MIN(5,MOD(N114,10)+1),"th","st","nd","rd","th")))</f>
        <v>14th</v>
      </c>
      <c r="I114" s="5" t="s">
        <v>365</v>
      </c>
      <c r="J114" s="6" t="n">
        <f aca="false">IFERROR(INDEX(Rounds!$A:$A,MATCH(I114,Rounds!$B:$B,0)),"ADD LEAGUE TO ROUNDS")</f>
        <v>2</v>
      </c>
      <c r="K114" s="6" t="n">
        <f aca="false">IFERROR(VALUE(LEFT(E114,FIND(" - ",E114)-1)),"")</f>
        <v>2</v>
      </c>
      <c r="L114" s="5" t="s">
        <v>453</v>
      </c>
      <c r="N114" s="6" t="n">
        <f aca="false">IF(F114="","",1+COUNTIFS($J:$J,J114,$K:$K,K114,$F:$F,"&gt;"&amp;F114)+COUNTIFS($J:$J,J114,$K:$K,K114,$F:$F,F114,$G:$G,"&gt;"&amp;G114))</f>
        <v>14</v>
      </c>
      <c r="O114" s="6" t="n">
        <f aca="false">IF(L114="","",SUMIFS(Votes!$E:$E,Votes!$A:$A,J114,Votes!$B:$B,K114,Votes!$D:$D,L114))</f>
        <v>6</v>
      </c>
      <c r="P114" s="6" t="n">
        <f aca="false">IF(L114="","",COUNTIFS(Votes!$A:$A,J114,Votes!$B:$B,K114,Votes!$D:$D,L114))</f>
        <v>6</v>
      </c>
      <c r="Q114" s="7" t="str">
        <f aca="false">IF(F114="","Unscored",IF(O114="","No URI",IF(AND(F114=0,O114=0),"Zero-vote",IF(AND(F114=O114,G114=P114),"OK",IF(AND(F114=0,O114&gt;0,COUNTIFS(Votes!$A:$A,J114,Votes!$B:$B,K114,Votes!$C:$C,D114)=0),"Forfeited","Mismatch")))))</f>
        <v>OK</v>
      </c>
      <c r="R114" s="6" t="n">
        <f aca="false">MAX(IF(L114&lt;&gt;"",COUNTIF($L:$L,L114),0),COUNTIFS($A:$A,A114,$B:$B,B114))</f>
        <v>1</v>
      </c>
      <c r="S114" s="6" t="str">
        <f aca="false">IF(R114&gt;1,COUNTIF($R$2:R114,"&gt;1"),"")</f>
        <v/>
      </c>
      <c r="T114" s="6" t="str">
        <f aca="false">IF(L114="","",J114&amp;"|"&amp;K114&amp;"|"&amp;L114)</f>
        <v>2|2|spotify:track:2OQ6a4CfUeYskpTTgyawyJ</v>
      </c>
      <c r="U114" s="6" t="str">
        <f aca="false">IF(C114="","",IFERROR(INDEX(Lists!$F:$F,MATCH(C114,Lists!$E:$E,0)),"Unmapped"))</f>
        <v>Pop</v>
      </c>
    </row>
    <row r="115" customFormat="false" ht="15" hidden="false" customHeight="false" outlineLevel="0" collapsed="false">
      <c r="A115" s="5" t="s">
        <v>454</v>
      </c>
      <c r="B115" s="5" t="s">
        <v>455</v>
      </c>
      <c r="C115" s="5" t="s">
        <v>91</v>
      </c>
      <c r="D115" s="5" t="s">
        <v>85</v>
      </c>
      <c r="E115" s="5" t="s">
        <v>456</v>
      </c>
      <c r="F115" s="5" t="n">
        <v>22</v>
      </c>
      <c r="G115" s="5" t="n">
        <v>13</v>
      </c>
      <c r="H115" s="6" t="str">
        <f aca="false">IF(N115="","",N115&amp;IF(AND(MOD(N115,100)&gt;=11,MOD(N115,100)&lt;=13),"th",CHOOSE(MIN(5,MOD(N115,10)+1),"th","st","nd","rd","th")))</f>
        <v>1st</v>
      </c>
      <c r="I115" s="5" t="s">
        <v>365</v>
      </c>
      <c r="J115" s="6" t="n">
        <f aca="false">IFERROR(INDEX(Rounds!$A:$A,MATCH(I115,Rounds!$B:$B,0)),"ADD LEAGUE TO ROUNDS")</f>
        <v>2</v>
      </c>
      <c r="K115" s="6" t="n">
        <f aca="false">IFERROR(VALUE(LEFT(E115,FIND(" - ",E115)-1)),"")</f>
        <v>3</v>
      </c>
      <c r="L115" s="5" t="s">
        <v>457</v>
      </c>
      <c r="N115" s="6" t="n">
        <f aca="false">IF(F115="","",1+COUNTIFS($J:$J,J115,$K:$K,K115,$F:$F,"&gt;"&amp;F115)+COUNTIFS($J:$J,J115,$K:$K,K115,$F:$F,F115,$G:$G,"&gt;"&amp;G115))</f>
        <v>1</v>
      </c>
      <c r="O115" s="6" t="n">
        <f aca="false">IF(L115="","",SUMIFS(Votes!$E:$E,Votes!$A:$A,J115,Votes!$B:$B,K115,Votes!$D:$D,L115))</f>
        <v>22</v>
      </c>
      <c r="P115" s="6" t="n">
        <f aca="false">IF(L115="","",COUNTIFS(Votes!$A:$A,J115,Votes!$B:$B,K115,Votes!$D:$D,L115))</f>
        <v>13</v>
      </c>
      <c r="Q115" s="7" t="str">
        <f aca="false">IF(F115="","Unscored",IF(O115="","No URI",IF(AND(F115=0,O115=0),"Zero-vote",IF(AND(F115=O115,G115=P115),"OK",IF(AND(F115=0,O115&gt;0,COUNTIFS(Votes!$A:$A,J115,Votes!$B:$B,K115,Votes!$C:$C,D115)=0),"Forfeited","Mismatch")))))</f>
        <v>OK</v>
      </c>
      <c r="R115" s="6" t="n">
        <f aca="false">MAX(IF(L115&lt;&gt;"",COUNTIF($L:$L,L115),0),COUNTIFS($A:$A,A115,$B:$B,B115))</f>
        <v>1</v>
      </c>
      <c r="S115" s="6" t="str">
        <f aca="false">IF(R115&gt;1,COUNTIF($R$2:R115,"&gt;1"),"")</f>
        <v/>
      </c>
      <c r="T115" s="6" t="str">
        <f aca="false">IF(L115="","",J115&amp;"|"&amp;K115&amp;"|"&amp;L115)</f>
        <v>2|3|spotify:track:5wQnmLuC1W7ATsArWACrgW</v>
      </c>
      <c r="U115" s="6" t="str">
        <f aca="false">IF(C115="","",IFERROR(INDEX(Lists!$F:$F,MATCH(C115,Lists!$E:$E,0)),"Unmapped"))</f>
        <v>Rock</v>
      </c>
    </row>
    <row r="116" customFormat="false" ht="15" hidden="false" customHeight="false" outlineLevel="0" collapsed="false">
      <c r="A116" s="5" t="s">
        <v>458</v>
      </c>
      <c r="B116" s="5" t="s">
        <v>459</v>
      </c>
      <c r="C116" s="5" t="s">
        <v>84</v>
      </c>
      <c r="D116" s="5" t="s">
        <v>106</v>
      </c>
      <c r="E116" s="5" t="s">
        <v>456</v>
      </c>
      <c r="F116" s="5" t="n">
        <v>15</v>
      </c>
      <c r="G116" s="5" t="n">
        <v>10</v>
      </c>
      <c r="H116" s="6" t="str">
        <f aca="false">IF(N116="","",N116&amp;IF(AND(MOD(N116,100)&gt;=11,MOD(N116,100)&lt;=13),"th",CHOOSE(MIN(5,MOD(N116,10)+1),"th","st","nd","rd","th")))</f>
        <v>2nd</v>
      </c>
      <c r="I116" s="5" t="s">
        <v>365</v>
      </c>
      <c r="J116" s="6" t="n">
        <f aca="false">IFERROR(INDEX(Rounds!$A:$A,MATCH(I116,Rounds!$B:$B,0)),"ADD LEAGUE TO ROUNDS")</f>
        <v>2</v>
      </c>
      <c r="K116" s="6" t="n">
        <f aca="false">IFERROR(VALUE(LEFT(E116,FIND(" - ",E116)-1)),"")</f>
        <v>3</v>
      </c>
      <c r="L116" s="5" t="s">
        <v>460</v>
      </c>
      <c r="N116" s="6" t="n">
        <f aca="false">IF(F116="","",1+COUNTIFS($J:$J,J116,$K:$K,K116,$F:$F,"&gt;"&amp;F116)+COUNTIFS($J:$J,J116,$K:$K,K116,$F:$F,F116,$G:$G,"&gt;"&amp;G116))</f>
        <v>2</v>
      </c>
      <c r="O116" s="6" t="n">
        <f aca="false">IF(L116="","",SUMIFS(Votes!$E:$E,Votes!$A:$A,J116,Votes!$B:$B,K116,Votes!$D:$D,L116))</f>
        <v>15</v>
      </c>
      <c r="P116" s="6" t="n">
        <f aca="false">IF(L116="","",COUNTIFS(Votes!$A:$A,J116,Votes!$B:$B,K116,Votes!$D:$D,L116))</f>
        <v>10</v>
      </c>
      <c r="Q116" s="7" t="str">
        <f aca="false">IF(F116="","Unscored",IF(O116="","No URI",IF(AND(F116=0,O116=0),"Zero-vote",IF(AND(F116=O116,G116=P116),"OK",IF(AND(F116=0,O116&gt;0,COUNTIFS(Votes!$A:$A,J116,Votes!$B:$B,K116,Votes!$C:$C,D116)=0),"Forfeited","Mismatch")))))</f>
        <v>OK</v>
      </c>
      <c r="R116" s="6" t="n">
        <f aca="false">MAX(IF(L116&lt;&gt;"",COUNTIF($L:$L,L116),0),COUNTIFS($A:$A,A116,$B:$B,B116))</f>
        <v>1</v>
      </c>
      <c r="S116" s="6" t="str">
        <f aca="false">IF(R116&gt;1,COUNTIF($R$2:R116,"&gt;1"),"")</f>
        <v/>
      </c>
      <c r="T116" s="6" t="str">
        <f aca="false">IF(L116="","",J116&amp;"|"&amp;K116&amp;"|"&amp;L116)</f>
        <v>2|3|spotify:track:0KF5nzdiqZlxVK68MPITst</v>
      </c>
      <c r="U116" s="6" t="str">
        <f aca="false">IF(C116="","",IFERROR(INDEX(Lists!$F:$F,MATCH(C116,Lists!$E:$E,0)),"Unmapped"))</f>
        <v>Pop</v>
      </c>
    </row>
    <row r="117" customFormat="false" ht="15" hidden="false" customHeight="false" outlineLevel="0" collapsed="false">
      <c r="A117" s="5" t="s">
        <v>461</v>
      </c>
      <c r="B117" s="5" t="s">
        <v>462</v>
      </c>
      <c r="C117" s="5" t="s">
        <v>127</v>
      </c>
      <c r="D117" s="5" t="s">
        <v>133</v>
      </c>
      <c r="E117" s="5" t="s">
        <v>456</v>
      </c>
      <c r="F117" s="5" t="n">
        <v>14</v>
      </c>
      <c r="G117" s="5" t="n">
        <v>9</v>
      </c>
      <c r="H117" s="6" t="str">
        <f aca="false">IF(N117="","",N117&amp;IF(AND(MOD(N117,100)&gt;=11,MOD(N117,100)&lt;=13),"th",CHOOSE(MIN(5,MOD(N117,10)+1),"th","st","nd","rd","th")))</f>
        <v>3rd</v>
      </c>
      <c r="I117" s="5" t="s">
        <v>365</v>
      </c>
      <c r="J117" s="6" t="n">
        <f aca="false">IFERROR(INDEX(Rounds!$A:$A,MATCH(I117,Rounds!$B:$B,0)),"ADD LEAGUE TO ROUNDS")</f>
        <v>2</v>
      </c>
      <c r="K117" s="6" t="n">
        <f aca="false">IFERROR(VALUE(LEFT(E117,FIND(" - ",E117)-1)),"")</f>
        <v>3</v>
      </c>
      <c r="L117" s="5" t="s">
        <v>463</v>
      </c>
      <c r="N117" s="6" t="n">
        <f aca="false">IF(F117="","",1+COUNTIFS($J:$J,J117,$K:$K,K117,$F:$F,"&gt;"&amp;F117)+COUNTIFS($J:$J,J117,$K:$K,K117,$F:$F,F117,$G:$G,"&gt;"&amp;G117))</f>
        <v>3</v>
      </c>
      <c r="O117" s="6" t="n">
        <f aca="false">IF(L117="","",SUMIFS(Votes!$E:$E,Votes!$A:$A,J117,Votes!$B:$B,K117,Votes!$D:$D,L117))</f>
        <v>14</v>
      </c>
      <c r="P117" s="6" t="n">
        <f aca="false">IF(L117="","",COUNTIFS(Votes!$A:$A,J117,Votes!$B:$B,K117,Votes!$D:$D,L117))</f>
        <v>9</v>
      </c>
      <c r="Q117" s="7" t="str">
        <f aca="false">IF(F117="","Unscored",IF(O117="","No URI",IF(AND(F117=0,O117=0),"Zero-vote",IF(AND(F117=O117,G117=P117),"OK",IF(AND(F117=0,O117&gt;0,COUNTIFS(Votes!$A:$A,J117,Votes!$B:$B,K117,Votes!$C:$C,D117)=0),"Forfeited","Mismatch")))))</f>
        <v>OK</v>
      </c>
      <c r="R117" s="6" t="n">
        <f aca="false">MAX(IF(L117&lt;&gt;"",COUNTIF($L:$L,L117),0),COUNTIFS($A:$A,A117,$B:$B,B117))</f>
        <v>1</v>
      </c>
      <c r="S117" s="6" t="str">
        <f aca="false">IF(R117&gt;1,COUNTIF($R$2:R117,"&gt;1"),"")</f>
        <v/>
      </c>
      <c r="T117" s="6" t="str">
        <f aca="false">IF(L117="","",J117&amp;"|"&amp;K117&amp;"|"&amp;L117)</f>
        <v>2|3|spotify:track:3dkIE8P7hvl3tHl9KSb6dA</v>
      </c>
      <c r="U117" s="6" t="str">
        <f aca="false">IF(C117="","",IFERROR(INDEX(Lists!$F:$F,MATCH(C117,Lists!$E:$E,0)),"Unmapped"))</f>
        <v>Jazz/Vocal</v>
      </c>
    </row>
    <row r="118" customFormat="false" ht="15" hidden="false" customHeight="false" outlineLevel="0" collapsed="false">
      <c r="A118" s="5" t="s">
        <v>464</v>
      </c>
      <c r="B118" s="5" t="s">
        <v>465</v>
      </c>
      <c r="C118" s="5" t="s">
        <v>96</v>
      </c>
      <c r="D118" s="5" t="s">
        <v>128</v>
      </c>
      <c r="E118" s="5" t="s">
        <v>456</v>
      </c>
      <c r="F118" s="5" t="n">
        <v>14</v>
      </c>
      <c r="G118" s="5" t="n">
        <v>8</v>
      </c>
      <c r="H118" s="6" t="str">
        <f aca="false">IF(N118="","",N118&amp;IF(AND(MOD(N118,100)&gt;=11,MOD(N118,100)&lt;=13),"th",CHOOSE(MIN(5,MOD(N118,10)+1),"th","st","nd","rd","th")))</f>
        <v>4th</v>
      </c>
      <c r="I118" s="5" t="s">
        <v>365</v>
      </c>
      <c r="J118" s="6" t="n">
        <f aca="false">IFERROR(INDEX(Rounds!$A:$A,MATCH(I118,Rounds!$B:$B,0)),"ADD LEAGUE TO ROUNDS")</f>
        <v>2</v>
      </c>
      <c r="K118" s="6" t="n">
        <f aca="false">IFERROR(VALUE(LEFT(E118,FIND(" - ",E118)-1)),"")</f>
        <v>3</v>
      </c>
      <c r="L118" s="5" t="s">
        <v>466</v>
      </c>
      <c r="N118" s="6" t="n">
        <f aca="false">IF(F118="","",1+COUNTIFS($J:$J,J118,$K:$K,K118,$F:$F,"&gt;"&amp;F118)+COUNTIFS($J:$J,J118,$K:$K,K118,$F:$F,F118,$G:$G,"&gt;"&amp;G118))</f>
        <v>4</v>
      </c>
      <c r="O118" s="6" t="n">
        <f aca="false">IF(L118="","",SUMIFS(Votes!$E:$E,Votes!$A:$A,J118,Votes!$B:$B,K118,Votes!$D:$D,L118))</f>
        <v>14</v>
      </c>
      <c r="P118" s="6" t="n">
        <f aca="false">IF(L118="","",COUNTIFS(Votes!$A:$A,J118,Votes!$B:$B,K118,Votes!$D:$D,L118))</f>
        <v>8</v>
      </c>
      <c r="Q118" s="7" t="str">
        <f aca="false">IF(F118="","Unscored",IF(O118="","No URI",IF(AND(F118=0,O118=0),"Zero-vote",IF(AND(F118=O118,G118=P118),"OK",IF(AND(F118=0,O118&gt;0,COUNTIFS(Votes!$A:$A,J118,Votes!$B:$B,K118,Votes!$C:$C,D118)=0),"Forfeited","Mismatch")))))</f>
        <v>OK</v>
      </c>
      <c r="R118" s="6" t="n">
        <f aca="false">MAX(IF(L118&lt;&gt;"",COUNTIF($L:$L,L118),0),COUNTIFS($A:$A,A118,$B:$B,B118))</f>
        <v>1</v>
      </c>
      <c r="S118" s="6" t="str">
        <f aca="false">IF(R118&gt;1,COUNTIF($R$2:R118,"&gt;1"),"")</f>
        <v/>
      </c>
      <c r="T118" s="6" t="str">
        <f aca="false">IF(L118="","",J118&amp;"|"&amp;K118&amp;"|"&amp;L118)</f>
        <v>2|3|spotify:track:34xTFwjPQ1dC6uJmleno7x</v>
      </c>
      <c r="U118" s="6" t="str">
        <f aca="false">IF(C118="","",IFERROR(INDEX(Lists!$F:$F,MATCH(C118,Lists!$E:$E,0)),"Unmapped"))</f>
        <v>R&amp;B/Soul</v>
      </c>
    </row>
    <row r="119" customFormat="false" ht="15" hidden="false" customHeight="false" outlineLevel="0" collapsed="false">
      <c r="A119" s="5" t="s">
        <v>467</v>
      </c>
      <c r="B119" s="5" t="s">
        <v>468</v>
      </c>
      <c r="C119" s="5" t="s">
        <v>91</v>
      </c>
      <c r="D119" s="5" t="s">
        <v>382</v>
      </c>
      <c r="E119" s="5" t="s">
        <v>456</v>
      </c>
      <c r="F119" s="5" t="n">
        <v>11</v>
      </c>
      <c r="G119" s="5" t="n">
        <v>9</v>
      </c>
      <c r="H119" s="6" t="str">
        <f aca="false">IF(N119="","",N119&amp;IF(AND(MOD(N119,100)&gt;=11,MOD(N119,100)&lt;=13),"th",CHOOSE(MIN(5,MOD(N119,10)+1),"th","st","nd","rd","th")))</f>
        <v>5th</v>
      </c>
      <c r="I119" s="5" t="s">
        <v>365</v>
      </c>
      <c r="J119" s="6" t="n">
        <f aca="false">IFERROR(INDEX(Rounds!$A:$A,MATCH(I119,Rounds!$B:$B,0)),"ADD LEAGUE TO ROUNDS")</f>
        <v>2</v>
      </c>
      <c r="K119" s="6" t="n">
        <f aca="false">IFERROR(VALUE(LEFT(E119,FIND(" - ",E119)-1)),"")</f>
        <v>3</v>
      </c>
      <c r="L119" s="5" t="s">
        <v>469</v>
      </c>
      <c r="N119" s="6" t="n">
        <f aca="false">IF(F119="","",1+COUNTIFS($J:$J,J119,$K:$K,K119,$F:$F,"&gt;"&amp;F119)+COUNTIFS($J:$J,J119,$K:$K,K119,$F:$F,F119,$G:$G,"&gt;"&amp;G119))</f>
        <v>5</v>
      </c>
      <c r="O119" s="6" t="n">
        <f aca="false">IF(L119="","",SUMIFS(Votes!$E:$E,Votes!$A:$A,J119,Votes!$B:$B,K119,Votes!$D:$D,L119))</f>
        <v>11</v>
      </c>
      <c r="P119" s="6" t="n">
        <f aca="false">IF(L119="","",COUNTIFS(Votes!$A:$A,J119,Votes!$B:$B,K119,Votes!$D:$D,L119))</f>
        <v>9</v>
      </c>
      <c r="Q119" s="7" t="str">
        <f aca="false">IF(F119="","Unscored",IF(O119="","No URI",IF(AND(F119=0,O119=0),"Zero-vote",IF(AND(F119=O119,G119=P119),"OK",IF(AND(F119=0,O119&gt;0,COUNTIFS(Votes!$A:$A,J119,Votes!$B:$B,K119,Votes!$C:$C,D119)=0),"Forfeited","Mismatch")))))</f>
        <v>OK</v>
      </c>
      <c r="R119" s="6" t="n">
        <f aca="false">MAX(IF(L119&lt;&gt;"",COUNTIF($L:$L,L119),0),COUNTIFS($A:$A,A119,$B:$B,B119))</f>
        <v>1</v>
      </c>
      <c r="S119" s="6" t="str">
        <f aca="false">IF(R119&gt;1,COUNTIF($R$2:R119,"&gt;1"),"")</f>
        <v/>
      </c>
      <c r="T119" s="6" t="str">
        <f aca="false">IF(L119="","",J119&amp;"|"&amp;K119&amp;"|"&amp;L119)</f>
        <v>2|3|spotify:track:2OSvnWYcpDv08GLmLDih1w</v>
      </c>
      <c r="U119" s="6" t="str">
        <f aca="false">IF(C119="","",IFERROR(INDEX(Lists!$F:$F,MATCH(C119,Lists!$E:$E,0)),"Unmapped"))</f>
        <v>Rock</v>
      </c>
    </row>
    <row r="120" customFormat="false" ht="15" hidden="false" customHeight="false" outlineLevel="0" collapsed="false">
      <c r="A120" s="5" t="s">
        <v>470</v>
      </c>
      <c r="B120" s="5" t="s">
        <v>471</v>
      </c>
      <c r="C120" s="5" t="s">
        <v>84</v>
      </c>
      <c r="D120" s="5" t="s">
        <v>92</v>
      </c>
      <c r="E120" s="5" t="s">
        <v>456</v>
      </c>
      <c r="F120" s="5" t="n">
        <v>11</v>
      </c>
      <c r="G120" s="5" t="n">
        <v>8</v>
      </c>
      <c r="H120" s="6" t="str">
        <f aca="false">IF(N120="","",N120&amp;IF(AND(MOD(N120,100)&gt;=11,MOD(N120,100)&lt;=13),"th",CHOOSE(MIN(5,MOD(N120,10)+1),"th","st","nd","rd","th")))</f>
        <v>6th</v>
      </c>
      <c r="I120" s="5" t="s">
        <v>365</v>
      </c>
      <c r="J120" s="6" t="n">
        <f aca="false">IFERROR(INDEX(Rounds!$A:$A,MATCH(I120,Rounds!$B:$B,0)),"ADD LEAGUE TO ROUNDS")</f>
        <v>2</v>
      </c>
      <c r="K120" s="6" t="n">
        <f aca="false">IFERROR(VALUE(LEFT(E120,FIND(" - ",E120)-1)),"")</f>
        <v>3</v>
      </c>
      <c r="L120" s="5" t="s">
        <v>472</v>
      </c>
      <c r="N120" s="6" t="n">
        <f aca="false">IF(F120="","",1+COUNTIFS($J:$J,J120,$K:$K,K120,$F:$F,"&gt;"&amp;F120)+COUNTIFS($J:$J,J120,$K:$K,K120,$F:$F,F120,$G:$G,"&gt;"&amp;G120))</f>
        <v>6</v>
      </c>
      <c r="O120" s="6" t="n">
        <f aca="false">IF(L120="","",SUMIFS(Votes!$E:$E,Votes!$A:$A,J120,Votes!$B:$B,K120,Votes!$D:$D,L120))</f>
        <v>11</v>
      </c>
      <c r="P120" s="6" t="n">
        <f aca="false">IF(L120="","",COUNTIFS(Votes!$A:$A,J120,Votes!$B:$B,K120,Votes!$D:$D,L120))</f>
        <v>8</v>
      </c>
      <c r="Q120" s="7" t="str">
        <f aca="false">IF(F120="","Unscored",IF(O120="","No URI",IF(AND(F120=0,O120=0),"Zero-vote",IF(AND(F120=O120,G120=P120),"OK",IF(AND(F120=0,O120&gt;0,COUNTIFS(Votes!$A:$A,J120,Votes!$B:$B,K120,Votes!$C:$C,D120)=0),"Forfeited","Mismatch")))))</f>
        <v>OK</v>
      </c>
      <c r="R120" s="6" t="n">
        <f aca="false">MAX(IF(L120&lt;&gt;"",COUNTIF($L:$L,L120),0),COUNTIFS($A:$A,A120,$B:$B,B120))</f>
        <v>1</v>
      </c>
      <c r="S120" s="6" t="str">
        <f aca="false">IF(R120&gt;1,COUNTIF($R$2:R120,"&gt;1"),"")</f>
        <v/>
      </c>
      <c r="T120" s="6" t="str">
        <f aca="false">IF(L120="","",J120&amp;"|"&amp;K120&amp;"|"&amp;L120)</f>
        <v>2|3|spotify:track:3yWuTOYDztXjZxdE2cIRUa</v>
      </c>
      <c r="U120" s="6" t="str">
        <f aca="false">IF(C120="","",IFERROR(INDEX(Lists!$F:$F,MATCH(C120,Lists!$E:$E,0)),"Unmapped"))</f>
        <v>Pop</v>
      </c>
    </row>
    <row r="121" customFormat="false" ht="15" hidden="false" customHeight="false" outlineLevel="0" collapsed="false">
      <c r="A121" s="5" t="s">
        <v>473</v>
      </c>
      <c r="B121" s="5" t="s">
        <v>474</v>
      </c>
      <c r="C121" s="5" t="s">
        <v>293</v>
      </c>
      <c r="D121" s="5" t="s">
        <v>97</v>
      </c>
      <c r="E121" s="5" t="s">
        <v>456</v>
      </c>
      <c r="F121" s="5" t="n">
        <v>10</v>
      </c>
      <c r="G121" s="5" t="n">
        <v>9</v>
      </c>
      <c r="H121" s="6" t="str">
        <f aca="false">IF(N121="","",N121&amp;IF(AND(MOD(N121,100)&gt;=11,MOD(N121,100)&lt;=13),"th",CHOOSE(MIN(5,MOD(N121,10)+1),"th","st","nd","rd","th")))</f>
        <v>7th</v>
      </c>
      <c r="I121" s="5" t="s">
        <v>365</v>
      </c>
      <c r="J121" s="6" t="n">
        <f aca="false">IFERROR(INDEX(Rounds!$A:$A,MATCH(I121,Rounds!$B:$B,0)),"ADD LEAGUE TO ROUNDS")</f>
        <v>2</v>
      </c>
      <c r="K121" s="6" t="n">
        <f aca="false">IFERROR(VALUE(LEFT(E121,FIND(" - ",E121)-1)),"")</f>
        <v>3</v>
      </c>
      <c r="L121" s="5" t="s">
        <v>475</v>
      </c>
      <c r="N121" s="6" t="n">
        <f aca="false">IF(F121="","",1+COUNTIFS($J:$J,J121,$K:$K,K121,$F:$F,"&gt;"&amp;F121)+COUNTIFS($J:$J,J121,$K:$K,K121,$F:$F,F121,$G:$G,"&gt;"&amp;G121))</f>
        <v>7</v>
      </c>
      <c r="O121" s="6" t="n">
        <f aca="false">IF(L121="","",SUMIFS(Votes!$E:$E,Votes!$A:$A,J121,Votes!$B:$B,K121,Votes!$D:$D,L121))</f>
        <v>10</v>
      </c>
      <c r="P121" s="6" t="n">
        <f aca="false">IF(L121="","",COUNTIFS(Votes!$A:$A,J121,Votes!$B:$B,K121,Votes!$D:$D,L121))</f>
        <v>9</v>
      </c>
      <c r="Q121" s="7" t="str">
        <f aca="false">IF(F121="","Unscored",IF(O121="","No URI",IF(AND(F121=0,O121=0),"Zero-vote",IF(AND(F121=O121,G121=P121),"OK",IF(AND(F121=0,O121&gt;0,COUNTIFS(Votes!$A:$A,J121,Votes!$B:$B,K121,Votes!$C:$C,D121)=0),"Forfeited","Mismatch")))))</f>
        <v>OK</v>
      </c>
      <c r="R121" s="6" t="n">
        <f aca="false">MAX(IF(L121&lt;&gt;"",COUNTIF($L:$L,L121),0),COUNTIFS($A:$A,A121,$B:$B,B121))</f>
        <v>1</v>
      </c>
      <c r="S121" s="6" t="str">
        <f aca="false">IF(R121&gt;1,COUNTIF($R$2:R121,"&gt;1"),"")</f>
        <v/>
      </c>
      <c r="T121" s="6" t="str">
        <f aca="false">IF(L121="","",J121&amp;"|"&amp;K121&amp;"|"&amp;L121)</f>
        <v>2|3|spotify:track:0b6wdul3A5sQNpIOv03OxP</v>
      </c>
      <c r="U121" s="6" t="str">
        <f aca="false">IF(C121="","",IFERROR(INDEX(Lists!$F:$F,MATCH(C121,Lists!$E:$E,0)),"Unmapped"))</f>
        <v>Electronic/Dance</v>
      </c>
    </row>
    <row r="122" customFormat="false" ht="15" hidden="false" customHeight="false" outlineLevel="0" collapsed="false">
      <c r="A122" s="5" t="s">
        <v>476</v>
      </c>
      <c r="B122" s="5" t="s">
        <v>477</v>
      </c>
      <c r="C122" s="5" t="s">
        <v>84</v>
      </c>
      <c r="D122" s="5" t="s">
        <v>116</v>
      </c>
      <c r="E122" s="5" t="s">
        <v>456</v>
      </c>
      <c r="F122" s="5" t="n">
        <v>9</v>
      </c>
      <c r="G122" s="5" t="n">
        <v>7</v>
      </c>
      <c r="H122" s="6" t="str">
        <f aca="false">IF(N122="","",N122&amp;IF(AND(MOD(N122,100)&gt;=11,MOD(N122,100)&lt;=13),"th",CHOOSE(MIN(5,MOD(N122,10)+1),"th","st","nd","rd","th")))</f>
        <v>8th</v>
      </c>
      <c r="I122" s="5" t="s">
        <v>365</v>
      </c>
      <c r="J122" s="6" t="n">
        <f aca="false">IFERROR(INDEX(Rounds!$A:$A,MATCH(I122,Rounds!$B:$B,0)),"ADD LEAGUE TO ROUNDS")</f>
        <v>2</v>
      </c>
      <c r="K122" s="6" t="n">
        <f aca="false">IFERROR(VALUE(LEFT(E122,FIND(" - ",E122)-1)),"")</f>
        <v>3</v>
      </c>
      <c r="L122" s="5" t="s">
        <v>478</v>
      </c>
      <c r="N122" s="6" t="n">
        <f aca="false">IF(F122="","",1+COUNTIFS($J:$J,J122,$K:$K,K122,$F:$F,"&gt;"&amp;F122)+COUNTIFS($J:$J,J122,$K:$K,K122,$F:$F,F122,$G:$G,"&gt;"&amp;G122))</f>
        <v>8</v>
      </c>
      <c r="O122" s="6" t="n">
        <f aca="false">IF(L122="","",SUMIFS(Votes!$E:$E,Votes!$A:$A,J122,Votes!$B:$B,K122,Votes!$D:$D,L122))</f>
        <v>9</v>
      </c>
      <c r="P122" s="6" t="n">
        <f aca="false">IF(L122="","",COUNTIFS(Votes!$A:$A,J122,Votes!$B:$B,K122,Votes!$D:$D,L122))</f>
        <v>7</v>
      </c>
      <c r="Q122" s="7" t="str">
        <f aca="false">IF(F122="","Unscored",IF(O122="","No URI",IF(AND(F122=0,O122=0),"Zero-vote",IF(AND(F122=O122,G122=P122),"OK",IF(AND(F122=0,O122&gt;0,COUNTIFS(Votes!$A:$A,J122,Votes!$B:$B,K122,Votes!$C:$C,D122)=0),"Forfeited","Mismatch")))))</f>
        <v>OK</v>
      </c>
      <c r="R122" s="6" t="n">
        <f aca="false">MAX(IF(L122&lt;&gt;"",COUNTIF($L:$L,L122),0),COUNTIFS($A:$A,A122,$B:$B,B122))</f>
        <v>1</v>
      </c>
      <c r="S122" s="6" t="str">
        <f aca="false">IF(R122&gt;1,COUNTIF($R$2:R122,"&gt;1"),"")</f>
        <v/>
      </c>
      <c r="T122" s="6" t="str">
        <f aca="false">IF(L122="","",J122&amp;"|"&amp;K122&amp;"|"&amp;L122)</f>
        <v>2|3|spotify:track:3u2e0jBFHbDT9yPA6vMK1v</v>
      </c>
      <c r="U122" s="6" t="str">
        <f aca="false">IF(C122="","",IFERROR(INDEX(Lists!$F:$F,MATCH(C122,Lists!$E:$E,0)),"Unmapped"))</f>
        <v>Pop</v>
      </c>
    </row>
    <row r="123" customFormat="false" ht="15" hidden="false" customHeight="false" outlineLevel="0" collapsed="false">
      <c r="A123" s="5" t="s">
        <v>479</v>
      </c>
      <c r="B123" s="5" t="s">
        <v>480</v>
      </c>
      <c r="C123" s="5" t="s">
        <v>91</v>
      </c>
      <c r="D123" s="5" t="s">
        <v>395</v>
      </c>
      <c r="E123" s="5" t="s">
        <v>456</v>
      </c>
      <c r="F123" s="5" t="n">
        <v>9</v>
      </c>
      <c r="G123" s="5" t="n">
        <v>5</v>
      </c>
      <c r="H123" s="6" t="str">
        <f aca="false">IF(N123="","",N123&amp;IF(AND(MOD(N123,100)&gt;=11,MOD(N123,100)&lt;=13),"th",CHOOSE(MIN(5,MOD(N123,10)+1),"th","st","nd","rd","th")))</f>
        <v>9th</v>
      </c>
      <c r="I123" s="5" t="s">
        <v>365</v>
      </c>
      <c r="J123" s="6" t="n">
        <f aca="false">IFERROR(INDEX(Rounds!$A:$A,MATCH(I123,Rounds!$B:$B,0)),"ADD LEAGUE TO ROUNDS")</f>
        <v>2</v>
      </c>
      <c r="K123" s="6" t="n">
        <f aca="false">IFERROR(VALUE(LEFT(E123,FIND(" - ",E123)-1)),"")</f>
        <v>3</v>
      </c>
      <c r="L123" s="5" t="s">
        <v>481</v>
      </c>
      <c r="N123" s="6" t="n">
        <f aca="false">IF(F123="","",1+COUNTIFS($J:$J,J123,$K:$K,K123,$F:$F,"&gt;"&amp;F123)+COUNTIFS($J:$J,J123,$K:$K,K123,$F:$F,F123,$G:$G,"&gt;"&amp;G123))</f>
        <v>9</v>
      </c>
      <c r="O123" s="6" t="n">
        <f aca="false">IF(L123="","",SUMIFS(Votes!$E:$E,Votes!$A:$A,J123,Votes!$B:$B,K123,Votes!$D:$D,L123))</f>
        <v>9</v>
      </c>
      <c r="P123" s="6" t="n">
        <f aca="false">IF(L123="","",COUNTIFS(Votes!$A:$A,J123,Votes!$B:$B,K123,Votes!$D:$D,L123))</f>
        <v>5</v>
      </c>
      <c r="Q123" s="7" t="str">
        <f aca="false">IF(F123="","Unscored",IF(O123="","No URI",IF(AND(F123=0,O123=0),"Zero-vote",IF(AND(F123=O123,G123=P123),"OK",IF(AND(F123=0,O123&gt;0,COUNTIFS(Votes!$A:$A,J123,Votes!$B:$B,K123,Votes!$C:$C,D123)=0),"Forfeited","Mismatch")))))</f>
        <v>OK</v>
      </c>
      <c r="R123" s="6" t="n">
        <f aca="false">MAX(IF(L123&lt;&gt;"",COUNTIF($L:$L,L123),0),COUNTIFS($A:$A,A123,$B:$B,B123))</f>
        <v>1</v>
      </c>
      <c r="S123" s="6" t="str">
        <f aca="false">IF(R123&gt;1,COUNTIF($R$2:R123,"&gt;1"),"")</f>
        <v/>
      </c>
      <c r="T123" s="6" t="str">
        <f aca="false">IF(L123="","",J123&amp;"|"&amp;K123&amp;"|"&amp;L123)</f>
        <v>2|3|spotify:track:4pt5fDVTg5GhEvEtlz9dKk</v>
      </c>
      <c r="U123" s="6" t="str">
        <f aca="false">IF(C123="","",IFERROR(INDEX(Lists!$F:$F,MATCH(C123,Lists!$E:$E,0)),"Unmapped"))</f>
        <v>Rock</v>
      </c>
    </row>
    <row r="124" customFormat="false" ht="15" hidden="false" customHeight="false" outlineLevel="0" collapsed="false">
      <c r="A124" s="5" t="s">
        <v>482</v>
      </c>
      <c r="B124" s="5" t="s">
        <v>483</v>
      </c>
      <c r="C124" s="5" t="s">
        <v>91</v>
      </c>
      <c r="D124" s="5" t="s">
        <v>484</v>
      </c>
      <c r="E124" s="5" t="s">
        <v>456</v>
      </c>
      <c r="F124" s="5" t="n">
        <v>8</v>
      </c>
      <c r="G124" s="5" t="n">
        <v>7</v>
      </c>
      <c r="H124" s="6" t="str">
        <f aca="false">IF(N124="","",N124&amp;IF(AND(MOD(N124,100)&gt;=11,MOD(N124,100)&lt;=13),"th",CHOOSE(MIN(5,MOD(N124,10)+1),"th","st","nd","rd","th")))</f>
        <v>10th</v>
      </c>
      <c r="I124" s="5" t="s">
        <v>365</v>
      </c>
      <c r="J124" s="6" t="n">
        <f aca="false">IFERROR(INDEX(Rounds!$A:$A,MATCH(I124,Rounds!$B:$B,0)),"ADD LEAGUE TO ROUNDS")</f>
        <v>2</v>
      </c>
      <c r="K124" s="6" t="n">
        <f aca="false">IFERROR(VALUE(LEFT(E124,FIND(" - ",E124)-1)),"")</f>
        <v>3</v>
      </c>
      <c r="L124" s="5" t="s">
        <v>485</v>
      </c>
      <c r="N124" s="6" t="n">
        <f aca="false">IF(F124="","",1+COUNTIFS($J:$J,J124,$K:$K,K124,$F:$F,"&gt;"&amp;F124)+COUNTIFS($J:$J,J124,$K:$K,K124,$F:$F,F124,$G:$G,"&gt;"&amp;G124))</f>
        <v>10</v>
      </c>
      <c r="O124" s="6" t="n">
        <f aca="false">IF(L124="","",SUMIFS(Votes!$E:$E,Votes!$A:$A,J124,Votes!$B:$B,K124,Votes!$D:$D,L124))</f>
        <v>8</v>
      </c>
      <c r="P124" s="6" t="n">
        <f aca="false">IF(L124="","",COUNTIFS(Votes!$A:$A,J124,Votes!$B:$B,K124,Votes!$D:$D,L124))</f>
        <v>7</v>
      </c>
      <c r="Q124" s="7" t="str">
        <f aca="false">IF(F124="","Unscored",IF(O124="","No URI",IF(AND(F124=0,O124=0),"Zero-vote",IF(AND(F124=O124,G124=P124),"OK",IF(AND(F124=0,O124&gt;0,COUNTIFS(Votes!$A:$A,J124,Votes!$B:$B,K124,Votes!$C:$C,D124)=0),"Forfeited","Mismatch")))))</f>
        <v>OK</v>
      </c>
      <c r="R124" s="6" t="n">
        <f aca="false">MAX(IF(L124&lt;&gt;"",COUNTIF($L:$L,L124),0),COUNTIFS($A:$A,A124,$B:$B,B124))</f>
        <v>1</v>
      </c>
      <c r="S124" s="6" t="str">
        <f aca="false">IF(R124&gt;1,COUNTIF($R$2:R124,"&gt;1"),"")</f>
        <v/>
      </c>
      <c r="T124" s="6" t="str">
        <f aca="false">IF(L124="","",J124&amp;"|"&amp;K124&amp;"|"&amp;L124)</f>
        <v>2|3|spotify:track:3vkj94FiLgUz3ysZcmIXPx</v>
      </c>
      <c r="U124" s="6" t="str">
        <f aca="false">IF(C124="","",IFERROR(INDEX(Lists!$F:$F,MATCH(C124,Lists!$E:$E,0)),"Unmapped"))</f>
        <v>Rock</v>
      </c>
    </row>
    <row r="125" customFormat="false" ht="15" hidden="false" customHeight="false" outlineLevel="0" collapsed="false">
      <c r="A125" s="5" t="s">
        <v>486</v>
      </c>
      <c r="B125" s="5" t="s">
        <v>487</v>
      </c>
      <c r="C125" s="5" t="s">
        <v>84</v>
      </c>
      <c r="D125" s="5" t="s">
        <v>378</v>
      </c>
      <c r="E125" s="5" t="s">
        <v>456</v>
      </c>
      <c r="F125" s="5" t="n">
        <v>8</v>
      </c>
      <c r="G125" s="5" t="n">
        <v>7</v>
      </c>
      <c r="H125" s="6" t="str">
        <f aca="false">IF(N125="","",N125&amp;IF(AND(MOD(N125,100)&gt;=11,MOD(N125,100)&lt;=13),"th",CHOOSE(MIN(5,MOD(N125,10)+1),"th","st","nd","rd","th")))</f>
        <v>10th</v>
      </c>
      <c r="I125" s="5" t="s">
        <v>365</v>
      </c>
      <c r="J125" s="6" t="n">
        <f aca="false">IFERROR(INDEX(Rounds!$A:$A,MATCH(I125,Rounds!$B:$B,0)),"ADD LEAGUE TO ROUNDS")</f>
        <v>2</v>
      </c>
      <c r="K125" s="6" t="n">
        <f aca="false">IFERROR(VALUE(LEFT(E125,FIND(" - ",E125)-1)),"")</f>
        <v>3</v>
      </c>
      <c r="L125" s="5" t="s">
        <v>488</v>
      </c>
      <c r="N125" s="6" t="n">
        <f aca="false">IF(F125="","",1+COUNTIFS($J:$J,J125,$K:$K,K125,$F:$F,"&gt;"&amp;F125)+COUNTIFS($J:$J,J125,$K:$K,K125,$F:$F,F125,$G:$G,"&gt;"&amp;G125))</f>
        <v>10</v>
      </c>
      <c r="O125" s="6" t="n">
        <f aca="false">IF(L125="","",SUMIFS(Votes!$E:$E,Votes!$A:$A,J125,Votes!$B:$B,K125,Votes!$D:$D,L125))</f>
        <v>8</v>
      </c>
      <c r="P125" s="6" t="n">
        <f aca="false">IF(L125="","",COUNTIFS(Votes!$A:$A,J125,Votes!$B:$B,K125,Votes!$D:$D,L125))</f>
        <v>7</v>
      </c>
      <c r="Q125" s="7" t="str">
        <f aca="false">IF(F125="","Unscored",IF(O125="","No URI",IF(AND(F125=0,O125=0),"Zero-vote",IF(AND(F125=O125,G125=P125),"OK",IF(AND(F125=0,O125&gt;0,COUNTIFS(Votes!$A:$A,J125,Votes!$B:$B,K125,Votes!$C:$C,D125)=0),"Forfeited","Mismatch")))))</f>
        <v>OK</v>
      </c>
      <c r="R125" s="6" t="n">
        <f aca="false">MAX(IF(L125&lt;&gt;"",COUNTIF($L:$L,L125),0),COUNTIFS($A:$A,A125,$B:$B,B125))</f>
        <v>1</v>
      </c>
      <c r="S125" s="6" t="str">
        <f aca="false">IF(R125&gt;1,COUNTIF($R$2:R125,"&gt;1"),"")</f>
        <v/>
      </c>
      <c r="T125" s="6" t="str">
        <f aca="false">IF(L125="","",J125&amp;"|"&amp;K125&amp;"|"&amp;L125)</f>
        <v>2|3|spotify:track:7h4OYLCsuULrjIFSYNfVdh</v>
      </c>
      <c r="U125" s="6" t="str">
        <f aca="false">IF(C125="","",IFERROR(INDEX(Lists!$F:$F,MATCH(C125,Lists!$E:$E,0)),"Unmapped"))</f>
        <v>Pop</v>
      </c>
    </row>
    <row r="126" customFormat="false" ht="15" hidden="false" customHeight="false" outlineLevel="0" collapsed="false">
      <c r="A126" s="5" t="s">
        <v>489</v>
      </c>
      <c r="B126" s="5" t="s">
        <v>490</v>
      </c>
      <c r="C126" s="5" t="s">
        <v>491</v>
      </c>
      <c r="D126" s="5" t="s">
        <v>119</v>
      </c>
      <c r="E126" s="5" t="s">
        <v>456</v>
      </c>
      <c r="F126" s="5" t="n">
        <v>7</v>
      </c>
      <c r="G126" s="5" t="n">
        <v>7</v>
      </c>
      <c r="H126" s="6" t="str">
        <f aca="false">IF(N126="","",N126&amp;IF(AND(MOD(N126,100)&gt;=11,MOD(N126,100)&lt;=13),"th",CHOOSE(MIN(5,MOD(N126,10)+1),"th","st","nd","rd","th")))</f>
        <v>12th</v>
      </c>
      <c r="I126" s="5" t="s">
        <v>365</v>
      </c>
      <c r="J126" s="6" t="n">
        <f aca="false">IFERROR(INDEX(Rounds!$A:$A,MATCH(I126,Rounds!$B:$B,0)),"ADD LEAGUE TO ROUNDS")</f>
        <v>2</v>
      </c>
      <c r="K126" s="6" t="n">
        <f aca="false">IFERROR(VALUE(LEFT(E126,FIND(" - ",E126)-1)),"")</f>
        <v>3</v>
      </c>
      <c r="L126" s="5" t="s">
        <v>492</v>
      </c>
      <c r="N126" s="6" t="n">
        <f aca="false">IF(F126="","",1+COUNTIFS($J:$J,J126,$K:$K,K126,$F:$F,"&gt;"&amp;F126)+COUNTIFS($J:$J,J126,$K:$K,K126,$F:$F,F126,$G:$G,"&gt;"&amp;G126))</f>
        <v>12</v>
      </c>
      <c r="O126" s="6" t="n">
        <f aca="false">IF(L126="","",SUMIFS(Votes!$E:$E,Votes!$A:$A,J126,Votes!$B:$B,K126,Votes!$D:$D,L126))</f>
        <v>7</v>
      </c>
      <c r="P126" s="6" t="n">
        <f aca="false">IF(L126="","",COUNTIFS(Votes!$A:$A,J126,Votes!$B:$B,K126,Votes!$D:$D,L126))</f>
        <v>7</v>
      </c>
      <c r="Q126" s="7" t="str">
        <f aca="false">IF(F126="","Unscored",IF(O126="","No URI",IF(AND(F126=0,O126=0),"Zero-vote",IF(AND(F126=O126,G126=P126),"OK",IF(AND(F126=0,O126&gt;0,COUNTIFS(Votes!$A:$A,J126,Votes!$B:$B,K126,Votes!$C:$C,D126)=0),"Forfeited","Mismatch")))))</f>
        <v>OK</v>
      </c>
      <c r="R126" s="6" t="n">
        <f aca="false">MAX(IF(L126&lt;&gt;"",COUNTIF($L:$L,L126),0),COUNTIFS($A:$A,A126,$B:$B,B126))</f>
        <v>1</v>
      </c>
      <c r="S126" s="6" t="str">
        <f aca="false">IF(R126&gt;1,COUNTIF($R$2:R126,"&gt;1"),"")</f>
        <v/>
      </c>
      <c r="T126" s="6" t="str">
        <f aca="false">IF(L126="","",J126&amp;"|"&amp;K126&amp;"|"&amp;L126)</f>
        <v>2|3|spotify:track:0KtKac3tvjeGjg6FXcUy7X</v>
      </c>
      <c r="U126" s="6" t="str">
        <f aca="false">IF(C126="","",IFERROR(INDEX(Lists!$F:$F,MATCH(C126,Lists!$E:$E,0)),"Unmapped"))</f>
        <v>Reggae</v>
      </c>
    </row>
    <row r="127" customFormat="false" ht="15" hidden="false" customHeight="false" outlineLevel="0" collapsed="false">
      <c r="A127" s="5" t="s">
        <v>493</v>
      </c>
      <c r="B127" s="5" t="s">
        <v>494</v>
      </c>
      <c r="C127" s="5" t="s">
        <v>110</v>
      </c>
      <c r="D127" s="5" t="s">
        <v>101</v>
      </c>
      <c r="E127" s="5" t="s">
        <v>456</v>
      </c>
      <c r="F127" s="5" t="n">
        <v>7</v>
      </c>
      <c r="G127" s="5" t="n">
        <v>5</v>
      </c>
      <c r="H127" s="6" t="str">
        <f aca="false">IF(N127="","",N127&amp;IF(AND(MOD(N127,100)&gt;=11,MOD(N127,100)&lt;=13),"th",CHOOSE(MIN(5,MOD(N127,10)+1),"th","st","nd","rd","th")))</f>
        <v>13th</v>
      </c>
      <c r="I127" s="5" t="s">
        <v>365</v>
      </c>
      <c r="J127" s="6" t="n">
        <f aca="false">IFERROR(INDEX(Rounds!$A:$A,MATCH(I127,Rounds!$B:$B,0)),"ADD LEAGUE TO ROUNDS")</f>
        <v>2</v>
      </c>
      <c r="K127" s="6" t="n">
        <f aca="false">IFERROR(VALUE(LEFT(E127,FIND(" - ",E127)-1)),"")</f>
        <v>3</v>
      </c>
      <c r="L127" s="5" t="s">
        <v>495</v>
      </c>
      <c r="N127" s="6" t="n">
        <f aca="false">IF(F127="","",1+COUNTIFS($J:$J,J127,$K:$K,K127,$F:$F,"&gt;"&amp;F127)+COUNTIFS($J:$J,J127,$K:$K,K127,$F:$F,F127,$G:$G,"&gt;"&amp;G127))</f>
        <v>13</v>
      </c>
      <c r="O127" s="6" t="n">
        <f aca="false">IF(L127="","",SUMIFS(Votes!$E:$E,Votes!$A:$A,J127,Votes!$B:$B,K127,Votes!$D:$D,L127))</f>
        <v>7</v>
      </c>
      <c r="P127" s="6" t="n">
        <f aca="false">IF(L127="","",COUNTIFS(Votes!$A:$A,J127,Votes!$B:$B,K127,Votes!$D:$D,L127))</f>
        <v>5</v>
      </c>
      <c r="Q127" s="7" t="str">
        <f aca="false">IF(F127="","Unscored",IF(O127="","No URI",IF(AND(F127=0,O127=0),"Zero-vote",IF(AND(F127=O127,G127=P127),"OK",IF(AND(F127=0,O127&gt;0,COUNTIFS(Votes!$A:$A,J127,Votes!$B:$B,K127,Votes!$C:$C,D127)=0),"Forfeited","Mismatch")))))</f>
        <v>OK</v>
      </c>
      <c r="R127" s="6" t="n">
        <f aca="false">MAX(IF(L127&lt;&gt;"",COUNTIF($L:$L,L127),0),COUNTIFS($A:$A,A127,$B:$B,B127))</f>
        <v>1</v>
      </c>
      <c r="S127" s="6" t="str">
        <f aca="false">IF(R127&gt;1,COUNTIF($R$2:R127,"&gt;1"),"")</f>
        <v/>
      </c>
      <c r="T127" s="6" t="str">
        <f aca="false">IF(L127="","",J127&amp;"|"&amp;K127&amp;"|"&amp;L127)</f>
        <v>2|3|spotify:track:3sZQ8L4aptFDJXBqdVdvO8</v>
      </c>
      <c r="U127" s="6" t="str">
        <f aca="false">IF(C127="","",IFERROR(INDEX(Lists!$F:$F,MATCH(C127,Lists!$E:$E,0)),"Unmapped"))</f>
        <v>Hip-Hop/Rap</v>
      </c>
    </row>
    <row r="128" customFormat="false" ht="15" hidden="false" customHeight="false" outlineLevel="0" collapsed="false">
      <c r="A128" s="5" t="s">
        <v>288</v>
      </c>
      <c r="B128" s="5" t="s">
        <v>152</v>
      </c>
      <c r="C128" s="5" t="s">
        <v>153</v>
      </c>
      <c r="D128" s="5" t="s">
        <v>375</v>
      </c>
      <c r="E128" s="5" t="s">
        <v>456</v>
      </c>
      <c r="F128" s="5" t="n">
        <v>3</v>
      </c>
      <c r="G128" s="5" t="n">
        <v>3</v>
      </c>
      <c r="H128" s="6" t="str">
        <f aca="false">IF(N128="","",N128&amp;IF(AND(MOD(N128,100)&gt;=11,MOD(N128,100)&lt;=13),"th",CHOOSE(MIN(5,MOD(N128,10)+1),"th","st","nd","rd","th")))</f>
        <v>14th</v>
      </c>
      <c r="I128" s="5" t="s">
        <v>365</v>
      </c>
      <c r="J128" s="6" t="n">
        <f aca="false">IFERROR(INDEX(Rounds!$A:$A,MATCH(I128,Rounds!$B:$B,0)),"ADD LEAGUE TO ROUNDS")</f>
        <v>2</v>
      </c>
      <c r="K128" s="6" t="n">
        <f aca="false">IFERROR(VALUE(LEFT(E128,FIND(" - ",E128)-1)),"")</f>
        <v>3</v>
      </c>
      <c r="L128" s="5" t="s">
        <v>290</v>
      </c>
      <c r="N128" s="6" t="n">
        <f aca="false">IF(F128="","",1+COUNTIFS($J:$J,J128,$K:$K,K128,$F:$F,"&gt;"&amp;F128)+COUNTIFS($J:$J,J128,$K:$K,K128,$F:$F,F128,$G:$G,"&gt;"&amp;G128))</f>
        <v>14</v>
      </c>
      <c r="O128" s="6" t="n">
        <f aca="false">IF(L128="","",SUMIFS(Votes!$E:$E,Votes!$A:$A,J128,Votes!$B:$B,K128,Votes!$D:$D,L128))</f>
        <v>3</v>
      </c>
      <c r="P128" s="6" t="n">
        <f aca="false">IF(L128="","",COUNTIFS(Votes!$A:$A,J128,Votes!$B:$B,K128,Votes!$D:$D,L128))</f>
        <v>3</v>
      </c>
      <c r="Q128" s="7" t="str">
        <f aca="false">IF(F128="","Unscored",IF(O128="","No URI",IF(AND(F128=0,O128=0),"Zero-vote",IF(AND(F128=O128,G128=P128),"OK",IF(AND(F128=0,O128&gt;0,COUNTIFS(Votes!$A:$A,J128,Votes!$B:$B,K128,Votes!$C:$C,D128)=0),"Forfeited","Mismatch")))))</f>
        <v>OK</v>
      </c>
      <c r="R128" s="6" t="n">
        <f aca="false">MAX(IF(L128&lt;&gt;"",COUNTIF($L:$L,L128),0),COUNTIFS($A:$A,A128,$B:$B,B128))</f>
        <v>3</v>
      </c>
      <c r="S128" s="6" t="n">
        <f aca="false">IF(R128&gt;1,COUNTIF($R$2:R128,"&gt;1"),"")</f>
        <v>9</v>
      </c>
      <c r="T128" s="6" t="str">
        <f aca="false">IF(L128="","",J128&amp;"|"&amp;K128&amp;"|"&amp;L128)</f>
        <v>2|3|spotify:track:5wANPM4fQCJwkGd4rN57mH</v>
      </c>
      <c r="U128" s="6" t="str">
        <f aca="false">IF(C128="","",IFERROR(INDEX(Lists!$F:$F,MATCH(C128,Lists!$E:$E,0)),"Unmapped"))</f>
        <v>Pop</v>
      </c>
    </row>
    <row r="129" customFormat="false" ht="15" hidden="false" customHeight="false" outlineLevel="0" collapsed="false">
      <c r="A129" s="5" t="s">
        <v>496</v>
      </c>
      <c r="B129" s="5" t="s">
        <v>497</v>
      </c>
      <c r="C129" s="5" t="s">
        <v>293</v>
      </c>
      <c r="D129" s="5" t="s">
        <v>289</v>
      </c>
      <c r="E129" s="5" t="s">
        <v>456</v>
      </c>
      <c r="F129" s="5" t="n">
        <v>2</v>
      </c>
      <c r="G129" s="5" t="n">
        <v>2</v>
      </c>
      <c r="H129" s="6" t="str">
        <f aca="false">IF(N129="","",N129&amp;IF(AND(MOD(N129,100)&gt;=11,MOD(N129,100)&lt;=13),"th",CHOOSE(MIN(5,MOD(N129,10)+1),"th","st","nd","rd","th")))</f>
        <v>15th</v>
      </c>
      <c r="I129" s="5" t="s">
        <v>365</v>
      </c>
      <c r="J129" s="6" t="n">
        <f aca="false">IFERROR(INDEX(Rounds!$A:$A,MATCH(I129,Rounds!$B:$B,0)),"ADD LEAGUE TO ROUNDS")</f>
        <v>2</v>
      </c>
      <c r="K129" s="6" t="n">
        <f aca="false">IFERROR(VALUE(LEFT(E129,FIND(" - ",E129)-1)),"")</f>
        <v>3</v>
      </c>
      <c r="L129" s="5" t="s">
        <v>498</v>
      </c>
      <c r="N129" s="6" t="n">
        <f aca="false">IF(F129="","",1+COUNTIFS($J:$J,J129,$K:$K,K129,$F:$F,"&gt;"&amp;F129)+COUNTIFS($J:$J,J129,$K:$K,K129,$F:$F,F129,$G:$G,"&gt;"&amp;G129))</f>
        <v>15</v>
      </c>
      <c r="O129" s="6" t="n">
        <f aca="false">IF(L129="","",SUMIFS(Votes!$E:$E,Votes!$A:$A,J129,Votes!$B:$B,K129,Votes!$D:$D,L129))</f>
        <v>2</v>
      </c>
      <c r="P129" s="6" t="n">
        <f aca="false">IF(L129="","",COUNTIFS(Votes!$A:$A,J129,Votes!$B:$B,K129,Votes!$D:$D,L129))</f>
        <v>2</v>
      </c>
      <c r="Q129" s="7" t="str">
        <f aca="false">IF(F129="","Unscored",IF(O129="","No URI",IF(AND(F129=0,O129=0),"Zero-vote",IF(AND(F129=O129,G129=P129),"OK",IF(AND(F129=0,O129&gt;0,COUNTIFS(Votes!$A:$A,J129,Votes!$B:$B,K129,Votes!$C:$C,D129)=0),"Forfeited","Mismatch")))))</f>
        <v>OK</v>
      </c>
      <c r="R129" s="6" t="n">
        <f aca="false">MAX(IF(L129&lt;&gt;"",COUNTIF($L:$L,L129),0),COUNTIFS($A:$A,A129,$B:$B,B129))</f>
        <v>1</v>
      </c>
      <c r="S129" s="6" t="str">
        <f aca="false">IF(R129&gt;1,COUNTIF($R$2:R129,"&gt;1"),"")</f>
        <v/>
      </c>
      <c r="T129" s="6" t="str">
        <f aca="false">IF(L129="","",J129&amp;"|"&amp;K129&amp;"|"&amp;L129)</f>
        <v>2|3|spotify:track:2nWw7VrUn8Ijo45K6WIIna</v>
      </c>
      <c r="U129" s="6" t="str">
        <f aca="false">IF(C129="","",IFERROR(INDEX(Lists!$F:$F,MATCH(C129,Lists!$E:$E,0)),"Unmapped"))</f>
        <v>Electronic/Dance</v>
      </c>
    </row>
    <row r="130" customFormat="false" ht="15" hidden="false" customHeight="false" outlineLevel="0" collapsed="false">
      <c r="A130" s="5" t="s">
        <v>499</v>
      </c>
      <c r="B130" s="5" t="s">
        <v>401</v>
      </c>
      <c r="C130" s="5" t="s">
        <v>91</v>
      </c>
      <c r="D130" s="5" t="s">
        <v>106</v>
      </c>
      <c r="E130" s="5" t="s">
        <v>500</v>
      </c>
      <c r="F130" s="5" t="n">
        <v>13</v>
      </c>
      <c r="G130" s="5" t="n">
        <v>7</v>
      </c>
      <c r="H130" s="6" t="str">
        <f aca="false">IF(N130="","",N130&amp;IF(AND(MOD(N130,100)&gt;=11,MOD(N130,100)&lt;=13),"th",CHOOSE(MIN(5,MOD(N130,10)+1),"th","st","nd","rd","th")))</f>
        <v>1st</v>
      </c>
      <c r="I130" s="5" t="s">
        <v>365</v>
      </c>
      <c r="J130" s="6" t="n">
        <f aca="false">IFERROR(INDEX(Rounds!$A:$A,MATCH(I130,Rounds!$B:$B,0)),"ADD LEAGUE TO ROUNDS")</f>
        <v>2</v>
      </c>
      <c r="K130" s="6" t="n">
        <f aca="false">IFERROR(VALUE(LEFT(E130,FIND(" - ",E130)-1)),"")</f>
        <v>4</v>
      </c>
      <c r="L130" s="5" t="s">
        <v>501</v>
      </c>
      <c r="N130" s="6" t="n">
        <f aca="false">IF(F130="","",1+COUNTIFS($J:$J,J130,$K:$K,K130,$F:$F,"&gt;"&amp;F130)+COUNTIFS($J:$J,J130,$K:$K,K130,$F:$F,F130,$G:$G,"&gt;"&amp;G130))</f>
        <v>1</v>
      </c>
      <c r="O130" s="6" t="n">
        <f aca="false">IF(L130="","",SUMIFS(Votes!$E:$E,Votes!$A:$A,J130,Votes!$B:$B,K130,Votes!$D:$D,L130))</f>
        <v>13</v>
      </c>
      <c r="P130" s="6" t="n">
        <f aca="false">IF(L130="","",COUNTIFS(Votes!$A:$A,J130,Votes!$B:$B,K130,Votes!$D:$D,L130))</f>
        <v>7</v>
      </c>
      <c r="Q130" s="7" t="str">
        <f aca="false">IF(F130="","Unscored",IF(O130="","No URI",IF(AND(F130=0,O130=0),"Zero-vote",IF(AND(F130=O130,G130=P130),"OK",IF(AND(F130=0,O130&gt;0,COUNTIFS(Votes!$A:$A,J130,Votes!$B:$B,K130,Votes!$C:$C,D130)=0),"Forfeited","Mismatch")))))</f>
        <v>OK</v>
      </c>
      <c r="R130" s="6" t="n">
        <f aca="false">MAX(IF(L130&lt;&gt;"",COUNTIF($L:$L,L130),0),COUNTIFS($A:$A,A130,$B:$B,B130))</f>
        <v>1</v>
      </c>
      <c r="S130" s="6" t="str">
        <f aca="false">IF(R130&gt;1,COUNTIF($R$2:R130,"&gt;1"),"")</f>
        <v/>
      </c>
      <c r="T130" s="6" t="str">
        <f aca="false">IF(L130="","",J130&amp;"|"&amp;K130&amp;"|"&amp;L130)</f>
        <v>2|4|spotify:track:1xsEHo7mtGZLEG94vFX11z</v>
      </c>
      <c r="U130" s="6" t="str">
        <f aca="false">IF(C130="","",IFERROR(INDEX(Lists!$F:$F,MATCH(C130,Lists!$E:$E,0)),"Unmapped"))</f>
        <v>Rock</v>
      </c>
    </row>
    <row r="131" customFormat="false" ht="15" hidden="false" customHeight="false" outlineLevel="0" collapsed="false">
      <c r="A131" s="5" t="s">
        <v>502</v>
      </c>
      <c r="B131" s="5" t="s">
        <v>404</v>
      </c>
      <c r="C131" s="5" t="s">
        <v>293</v>
      </c>
      <c r="D131" s="5" t="s">
        <v>484</v>
      </c>
      <c r="E131" s="5" t="s">
        <v>500</v>
      </c>
      <c r="F131" s="5" t="n">
        <v>12</v>
      </c>
      <c r="G131" s="5" t="n">
        <v>8</v>
      </c>
      <c r="H131" s="6" t="str">
        <f aca="false">IF(N131="","",N131&amp;IF(AND(MOD(N131,100)&gt;=11,MOD(N131,100)&lt;=13),"th",CHOOSE(MIN(5,MOD(N131,10)+1),"th","st","nd","rd","th")))</f>
        <v>2nd</v>
      </c>
      <c r="I131" s="5" t="s">
        <v>365</v>
      </c>
      <c r="J131" s="6" t="n">
        <f aca="false">IFERROR(INDEX(Rounds!$A:$A,MATCH(I131,Rounds!$B:$B,0)),"ADD LEAGUE TO ROUNDS")</f>
        <v>2</v>
      </c>
      <c r="K131" s="6" t="n">
        <f aca="false">IFERROR(VALUE(LEFT(E131,FIND(" - ",E131)-1)),"")</f>
        <v>4</v>
      </c>
      <c r="L131" s="5" t="s">
        <v>503</v>
      </c>
      <c r="N131" s="6" t="n">
        <f aca="false">IF(F131="","",1+COUNTIFS($J:$J,J131,$K:$K,K131,$F:$F,"&gt;"&amp;F131)+COUNTIFS($J:$J,J131,$K:$K,K131,$F:$F,F131,$G:$G,"&gt;"&amp;G131))</f>
        <v>2</v>
      </c>
      <c r="O131" s="6" t="n">
        <f aca="false">IF(L131="","",SUMIFS(Votes!$E:$E,Votes!$A:$A,J131,Votes!$B:$B,K131,Votes!$D:$D,L131))</f>
        <v>12</v>
      </c>
      <c r="P131" s="6" t="n">
        <f aca="false">IF(L131="","",COUNTIFS(Votes!$A:$A,J131,Votes!$B:$B,K131,Votes!$D:$D,L131))</f>
        <v>8</v>
      </c>
      <c r="Q131" s="7" t="str">
        <f aca="false">IF(F131="","Unscored",IF(O131="","No URI",IF(AND(F131=0,O131=0),"Zero-vote",IF(AND(F131=O131,G131=P131),"OK",IF(AND(F131=0,O131&gt;0,COUNTIFS(Votes!$A:$A,J131,Votes!$B:$B,K131,Votes!$C:$C,D131)=0),"Forfeited","Mismatch")))))</f>
        <v>OK</v>
      </c>
      <c r="R131" s="6" t="n">
        <f aca="false">MAX(IF(L131&lt;&gt;"",COUNTIF($L:$L,L131),0),COUNTIFS($A:$A,A131,$B:$B,B131))</f>
        <v>1</v>
      </c>
      <c r="S131" s="6" t="str">
        <f aca="false">IF(R131&gt;1,COUNTIF($R$2:R131,"&gt;1"),"")</f>
        <v/>
      </c>
      <c r="T131" s="6" t="str">
        <f aca="false">IF(L131="","",J131&amp;"|"&amp;K131&amp;"|"&amp;L131)</f>
        <v>2|4|spotify:track:4zu9wo2FXoBSsKjO6tRB3R</v>
      </c>
      <c r="U131" s="6" t="str">
        <f aca="false">IF(C131="","",IFERROR(INDEX(Lists!$F:$F,MATCH(C131,Lists!$E:$E,0)),"Unmapped"))</f>
        <v>Electronic/Dance</v>
      </c>
    </row>
    <row r="132" customFormat="false" ht="15" hidden="false" customHeight="false" outlineLevel="0" collapsed="false">
      <c r="A132" s="5" t="s">
        <v>504</v>
      </c>
      <c r="B132" s="5" t="s">
        <v>505</v>
      </c>
      <c r="C132" s="5" t="s">
        <v>506</v>
      </c>
      <c r="D132" s="5" t="s">
        <v>382</v>
      </c>
      <c r="E132" s="5" t="s">
        <v>500</v>
      </c>
      <c r="F132" s="5" t="n">
        <v>9</v>
      </c>
      <c r="G132" s="5" t="n">
        <v>7</v>
      </c>
      <c r="H132" s="6" t="str">
        <f aca="false">IF(N132="","",N132&amp;IF(AND(MOD(N132,100)&gt;=11,MOD(N132,100)&lt;=13),"th",CHOOSE(MIN(5,MOD(N132,10)+1),"th","st","nd","rd","th")))</f>
        <v>3rd</v>
      </c>
      <c r="I132" s="5" t="s">
        <v>365</v>
      </c>
      <c r="J132" s="6" t="n">
        <f aca="false">IFERROR(INDEX(Rounds!$A:$A,MATCH(I132,Rounds!$B:$B,0)),"ADD LEAGUE TO ROUNDS")</f>
        <v>2</v>
      </c>
      <c r="K132" s="6" t="n">
        <f aca="false">IFERROR(VALUE(LEFT(E132,FIND(" - ",E132)-1)),"")</f>
        <v>4</v>
      </c>
      <c r="L132" s="5" t="s">
        <v>507</v>
      </c>
      <c r="N132" s="6" t="n">
        <f aca="false">IF(F132="","",1+COUNTIFS($J:$J,J132,$K:$K,K132,$F:$F,"&gt;"&amp;F132)+COUNTIFS($J:$J,J132,$K:$K,K132,$F:$F,F132,$G:$G,"&gt;"&amp;G132))</f>
        <v>3</v>
      </c>
      <c r="O132" s="6" t="n">
        <f aca="false">IF(L132="","",SUMIFS(Votes!$E:$E,Votes!$A:$A,J132,Votes!$B:$B,K132,Votes!$D:$D,L132))</f>
        <v>9</v>
      </c>
      <c r="P132" s="6" t="n">
        <f aca="false">IF(L132="","",COUNTIFS(Votes!$A:$A,J132,Votes!$B:$B,K132,Votes!$D:$D,L132))</f>
        <v>7</v>
      </c>
      <c r="Q132" s="7" t="str">
        <f aca="false">IF(F132="","Unscored",IF(O132="","No URI",IF(AND(F132=0,O132=0),"Zero-vote",IF(AND(F132=O132,G132=P132),"OK",IF(AND(F132=0,O132&gt;0,COUNTIFS(Votes!$A:$A,J132,Votes!$B:$B,K132,Votes!$C:$C,D132)=0),"Forfeited","Mismatch")))))</f>
        <v>OK</v>
      </c>
      <c r="R132" s="6" t="n">
        <f aca="false">MAX(IF(L132&lt;&gt;"",COUNTIF($L:$L,L132),0),COUNTIFS($A:$A,A132,$B:$B,B132))</f>
        <v>1</v>
      </c>
      <c r="S132" s="6" t="str">
        <f aca="false">IF(R132&gt;1,COUNTIF($R$2:R132,"&gt;1"),"")</f>
        <v/>
      </c>
      <c r="T132" s="6" t="str">
        <f aca="false">IF(L132="","",J132&amp;"|"&amp;K132&amp;"|"&amp;L132)</f>
        <v>2|4|spotify:track:3UjaW5GLMlggBYYrjJhFis</v>
      </c>
      <c r="U132" s="6" t="str">
        <f aca="false">IF(C132="","",IFERROR(INDEX(Lists!$F:$F,MATCH(C132,Lists!$E:$E,0)),"Unmapped"))</f>
        <v>Classical/Score</v>
      </c>
    </row>
    <row r="133" customFormat="false" ht="15" hidden="false" customHeight="false" outlineLevel="0" collapsed="false">
      <c r="A133" s="5" t="s">
        <v>508</v>
      </c>
      <c r="B133" s="5" t="s">
        <v>509</v>
      </c>
      <c r="C133" s="5" t="s">
        <v>293</v>
      </c>
      <c r="D133" s="5" t="s">
        <v>85</v>
      </c>
      <c r="E133" s="5" t="s">
        <v>500</v>
      </c>
      <c r="F133" s="5" t="n">
        <v>9</v>
      </c>
      <c r="G133" s="5" t="n">
        <v>6</v>
      </c>
      <c r="H133" s="6" t="str">
        <f aca="false">IF(N133="","",N133&amp;IF(AND(MOD(N133,100)&gt;=11,MOD(N133,100)&lt;=13),"th",CHOOSE(MIN(5,MOD(N133,10)+1),"th","st","nd","rd","th")))</f>
        <v>4th</v>
      </c>
      <c r="I133" s="5" t="s">
        <v>365</v>
      </c>
      <c r="J133" s="6" t="n">
        <f aca="false">IFERROR(INDEX(Rounds!$A:$A,MATCH(I133,Rounds!$B:$B,0)),"ADD LEAGUE TO ROUNDS")</f>
        <v>2</v>
      </c>
      <c r="K133" s="6" t="n">
        <f aca="false">IFERROR(VALUE(LEFT(E133,FIND(" - ",E133)-1)),"")</f>
        <v>4</v>
      </c>
      <c r="L133" s="5" t="s">
        <v>510</v>
      </c>
      <c r="N133" s="6" t="n">
        <f aca="false">IF(F133="","",1+COUNTIFS($J:$J,J133,$K:$K,K133,$F:$F,"&gt;"&amp;F133)+COUNTIFS($J:$J,J133,$K:$K,K133,$F:$F,F133,$G:$G,"&gt;"&amp;G133))</f>
        <v>4</v>
      </c>
      <c r="O133" s="6" t="n">
        <f aca="false">IF(L133="","",SUMIFS(Votes!$E:$E,Votes!$A:$A,J133,Votes!$B:$B,K133,Votes!$D:$D,L133))</f>
        <v>9</v>
      </c>
      <c r="P133" s="6" t="n">
        <f aca="false">IF(L133="","",COUNTIFS(Votes!$A:$A,J133,Votes!$B:$B,K133,Votes!$D:$D,L133))</f>
        <v>6</v>
      </c>
      <c r="Q133" s="7" t="str">
        <f aca="false">IF(F133="","Unscored",IF(O133="","No URI",IF(AND(F133=0,O133=0),"Zero-vote",IF(AND(F133=O133,G133=P133),"OK",IF(AND(F133=0,O133&gt;0,COUNTIFS(Votes!$A:$A,J133,Votes!$B:$B,K133,Votes!$C:$C,D133)=0),"Forfeited","Mismatch")))))</f>
        <v>OK</v>
      </c>
      <c r="R133" s="6" t="n">
        <f aca="false">MAX(IF(L133&lt;&gt;"",COUNTIF($L:$L,L133),0),COUNTIFS($A:$A,A133,$B:$B,B133))</f>
        <v>1</v>
      </c>
      <c r="S133" s="6" t="str">
        <f aca="false">IF(R133&gt;1,COUNTIF($R$2:R133,"&gt;1"),"")</f>
        <v/>
      </c>
      <c r="T133" s="6" t="str">
        <f aca="false">IF(L133="","",J133&amp;"|"&amp;K133&amp;"|"&amp;L133)</f>
        <v>2|4|spotify:track:7lMIJ4EFWRVoAIPDpeGyM3</v>
      </c>
      <c r="U133" s="6" t="str">
        <f aca="false">IF(C133="","",IFERROR(INDEX(Lists!$F:$F,MATCH(C133,Lists!$E:$E,0)),"Unmapped"))</f>
        <v>Electronic/Dance</v>
      </c>
    </row>
    <row r="134" customFormat="false" ht="15" hidden="false" customHeight="false" outlineLevel="0" collapsed="false">
      <c r="A134" s="5" t="s">
        <v>511</v>
      </c>
      <c r="B134" s="5" t="s">
        <v>223</v>
      </c>
      <c r="C134" s="5" t="s">
        <v>91</v>
      </c>
      <c r="D134" s="5" t="s">
        <v>128</v>
      </c>
      <c r="E134" s="5" t="s">
        <v>500</v>
      </c>
      <c r="F134" s="5" t="n">
        <v>7</v>
      </c>
      <c r="G134" s="5" t="n">
        <v>6</v>
      </c>
      <c r="H134" s="6" t="str">
        <f aca="false">IF(N134="","",N134&amp;IF(AND(MOD(N134,100)&gt;=11,MOD(N134,100)&lt;=13),"th",CHOOSE(MIN(5,MOD(N134,10)+1),"th","st","nd","rd","th")))</f>
        <v>5th</v>
      </c>
      <c r="I134" s="5" t="s">
        <v>365</v>
      </c>
      <c r="J134" s="6" t="n">
        <f aca="false">IFERROR(INDEX(Rounds!$A:$A,MATCH(I134,Rounds!$B:$B,0)),"ADD LEAGUE TO ROUNDS")</f>
        <v>2</v>
      </c>
      <c r="K134" s="6" t="n">
        <f aca="false">IFERROR(VALUE(LEFT(E134,FIND(" - ",E134)-1)),"")</f>
        <v>4</v>
      </c>
      <c r="L134" s="5" t="s">
        <v>512</v>
      </c>
      <c r="N134" s="6" t="n">
        <f aca="false">IF(F134="","",1+COUNTIFS($J:$J,J134,$K:$K,K134,$F:$F,"&gt;"&amp;F134)+COUNTIFS($J:$J,J134,$K:$K,K134,$F:$F,F134,$G:$G,"&gt;"&amp;G134))</f>
        <v>5</v>
      </c>
      <c r="O134" s="6" t="n">
        <f aca="false">IF(L134="","",SUMIFS(Votes!$E:$E,Votes!$A:$A,J134,Votes!$B:$B,K134,Votes!$D:$D,L134))</f>
        <v>7</v>
      </c>
      <c r="P134" s="6" t="n">
        <f aca="false">IF(L134="","",COUNTIFS(Votes!$A:$A,J134,Votes!$B:$B,K134,Votes!$D:$D,L134))</f>
        <v>6</v>
      </c>
      <c r="Q134" s="7" t="str">
        <f aca="false">IF(F134="","Unscored",IF(O134="","No URI",IF(AND(F134=0,O134=0),"Zero-vote",IF(AND(F134=O134,G134=P134),"OK",IF(AND(F134=0,O134&gt;0,COUNTIFS(Votes!$A:$A,J134,Votes!$B:$B,K134,Votes!$C:$C,D134)=0),"Forfeited","Mismatch")))))</f>
        <v>OK</v>
      </c>
      <c r="R134" s="6" t="n">
        <f aca="false">MAX(IF(L134&lt;&gt;"",COUNTIF($L:$L,L134),0),COUNTIFS($A:$A,A134,$B:$B,B134))</f>
        <v>1</v>
      </c>
      <c r="S134" s="6" t="str">
        <f aca="false">IF(R134&gt;1,COUNTIF($R$2:R134,"&gt;1"),"")</f>
        <v/>
      </c>
      <c r="T134" s="6" t="str">
        <f aca="false">IF(L134="","",J134&amp;"|"&amp;K134&amp;"|"&amp;L134)</f>
        <v>2|4|spotify:track:4GKk1uNzpxIptBuaY97Dkj</v>
      </c>
      <c r="U134" s="6" t="str">
        <f aca="false">IF(C134="","",IFERROR(INDEX(Lists!$F:$F,MATCH(C134,Lists!$E:$E,0)),"Unmapped"))</f>
        <v>Rock</v>
      </c>
    </row>
    <row r="135" customFormat="false" ht="15" hidden="false" customHeight="false" outlineLevel="0" collapsed="false">
      <c r="A135" s="5" t="s">
        <v>513</v>
      </c>
      <c r="B135" s="5" t="s">
        <v>514</v>
      </c>
      <c r="C135" s="5" t="s">
        <v>110</v>
      </c>
      <c r="D135" s="5" t="s">
        <v>378</v>
      </c>
      <c r="E135" s="5" t="s">
        <v>500</v>
      </c>
      <c r="F135" s="5" t="n">
        <v>7</v>
      </c>
      <c r="G135" s="5" t="n">
        <v>4</v>
      </c>
      <c r="H135" s="6" t="str">
        <f aca="false">IF(N135="","",N135&amp;IF(AND(MOD(N135,100)&gt;=11,MOD(N135,100)&lt;=13),"th",CHOOSE(MIN(5,MOD(N135,10)+1),"th","st","nd","rd","th")))</f>
        <v>6th</v>
      </c>
      <c r="I135" s="5" t="s">
        <v>365</v>
      </c>
      <c r="J135" s="6" t="n">
        <f aca="false">IFERROR(INDEX(Rounds!$A:$A,MATCH(I135,Rounds!$B:$B,0)),"ADD LEAGUE TO ROUNDS")</f>
        <v>2</v>
      </c>
      <c r="K135" s="6" t="n">
        <f aca="false">IFERROR(VALUE(LEFT(E135,FIND(" - ",E135)-1)),"")</f>
        <v>4</v>
      </c>
      <c r="L135" s="5" t="s">
        <v>515</v>
      </c>
      <c r="N135" s="6" t="n">
        <f aca="false">IF(F135="","",1+COUNTIFS($J:$J,J135,$K:$K,K135,$F:$F,"&gt;"&amp;F135)+COUNTIFS($J:$J,J135,$K:$K,K135,$F:$F,F135,$G:$G,"&gt;"&amp;G135))</f>
        <v>6</v>
      </c>
      <c r="O135" s="6" t="n">
        <f aca="false">IF(L135="","",SUMIFS(Votes!$E:$E,Votes!$A:$A,J135,Votes!$B:$B,K135,Votes!$D:$D,L135))</f>
        <v>7</v>
      </c>
      <c r="P135" s="6" t="n">
        <f aca="false">IF(L135="","",COUNTIFS(Votes!$A:$A,J135,Votes!$B:$B,K135,Votes!$D:$D,L135))</f>
        <v>4</v>
      </c>
      <c r="Q135" s="7" t="str">
        <f aca="false">IF(F135="","Unscored",IF(O135="","No URI",IF(AND(F135=0,O135=0),"Zero-vote",IF(AND(F135=O135,G135=P135),"OK",IF(AND(F135=0,O135&gt;0,COUNTIFS(Votes!$A:$A,J135,Votes!$B:$B,K135,Votes!$C:$C,D135)=0),"Forfeited","Mismatch")))))</f>
        <v>OK</v>
      </c>
      <c r="R135" s="6" t="n">
        <f aca="false">MAX(IF(L135&lt;&gt;"",COUNTIF($L:$L,L135),0),COUNTIFS($A:$A,A135,$B:$B,B135))</f>
        <v>1</v>
      </c>
      <c r="S135" s="6" t="str">
        <f aca="false">IF(R135&gt;1,COUNTIF($R$2:R135,"&gt;1"),"")</f>
        <v/>
      </c>
      <c r="T135" s="6" t="str">
        <f aca="false">IF(L135="","",J135&amp;"|"&amp;K135&amp;"|"&amp;L135)</f>
        <v>2|4|spotify:track:19zHZS1ZVXUVFuOGWbIJ0A</v>
      </c>
      <c r="U135" s="6" t="str">
        <f aca="false">IF(C135="","",IFERROR(INDEX(Lists!$F:$F,MATCH(C135,Lists!$E:$E,0)),"Unmapped"))</f>
        <v>Hip-Hop/Rap</v>
      </c>
    </row>
    <row r="136" customFormat="false" ht="15" hidden="false" customHeight="false" outlineLevel="0" collapsed="false">
      <c r="A136" s="5" t="s">
        <v>516</v>
      </c>
      <c r="B136" s="5" t="s">
        <v>517</v>
      </c>
      <c r="C136" s="5" t="s">
        <v>293</v>
      </c>
      <c r="D136" s="5" t="s">
        <v>97</v>
      </c>
      <c r="E136" s="5" t="s">
        <v>500</v>
      </c>
      <c r="F136" s="5" t="n">
        <v>6</v>
      </c>
      <c r="G136" s="5" t="n">
        <v>6</v>
      </c>
      <c r="H136" s="6" t="str">
        <f aca="false">IF(N136="","",N136&amp;IF(AND(MOD(N136,100)&gt;=11,MOD(N136,100)&lt;=13),"th",CHOOSE(MIN(5,MOD(N136,10)+1),"th","st","nd","rd","th")))</f>
        <v>7th</v>
      </c>
      <c r="I136" s="5" t="s">
        <v>365</v>
      </c>
      <c r="J136" s="6" t="n">
        <f aca="false">IFERROR(INDEX(Rounds!$A:$A,MATCH(I136,Rounds!$B:$B,0)),"ADD LEAGUE TO ROUNDS")</f>
        <v>2</v>
      </c>
      <c r="K136" s="6" t="n">
        <f aca="false">IFERROR(VALUE(LEFT(E136,FIND(" - ",E136)-1)),"")</f>
        <v>4</v>
      </c>
      <c r="L136" s="5" t="s">
        <v>518</v>
      </c>
      <c r="N136" s="6" t="n">
        <f aca="false">IF(F136="","",1+COUNTIFS($J:$J,J136,$K:$K,K136,$F:$F,"&gt;"&amp;F136)+COUNTIFS($J:$J,J136,$K:$K,K136,$F:$F,F136,$G:$G,"&gt;"&amp;G136))</f>
        <v>7</v>
      </c>
      <c r="O136" s="6" t="n">
        <f aca="false">IF(L136="","",SUMIFS(Votes!$E:$E,Votes!$A:$A,J136,Votes!$B:$B,K136,Votes!$D:$D,L136))</f>
        <v>6</v>
      </c>
      <c r="P136" s="6" t="n">
        <f aca="false">IF(L136="","",COUNTIFS(Votes!$A:$A,J136,Votes!$B:$B,K136,Votes!$D:$D,L136))</f>
        <v>6</v>
      </c>
      <c r="Q136" s="7" t="str">
        <f aca="false">IF(F136="","Unscored",IF(O136="","No URI",IF(AND(F136=0,O136=0),"Zero-vote",IF(AND(F136=O136,G136=P136),"OK",IF(AND(F136=0,O136&gt;0,COUNTIFS(Votes!$A:$A,J136,Votes!$B:$B,K136,Votes!$C:$C,D136)=0),"Forfeited","Mismatch")))))</f>
        <v>OK</v>
      </c>
      <c r="R136" s="6" t="n">
        <f aca="false">MAX(IF(L136&lt;&gt;"",COUNTIF($L:$L,L136),0),COUNTIFS($A:$A,A136,$B:$B,B136))</f>
        <v>1</v>
      </c>
      <c r="S136" s="6" t="str">
        <f aca="false">IF(R136&gt;1,COUNTIF($R$2:R136,"&gt;1"),"")</f>
        <v/>
      </c>
      <c r="T136" s="6" t="str">
        <f aca="false">IF(L136="","",J136&amp;"|"&amp;K136&amp;"|"&amp;L136)</f>
        <v>2|4|spotify:track:19vUJwIaPAgDJyGZMBI9MG</v>
      </c>
      <c r="U136" s="6" t="str">
        <f aca="false">IF(C136="","",IFERROR(INDEX(Lists!$F:$F,MATCH(C136,Lists!$E:$E,0)),"Unmapped"))</f>
        <v>Electronic/Dance</v>
      </c>
    </row>
    <row r="137" customFormat="false" ht="15" hidden="false" customHeight="false" outlineLevel="0" collapsed="false">
      <c r="A137" s="5" t="s">
        <v>519</v>
      </c>
      <c r="B137" s="5" t="s">
        <v>520</v>
      </c>
      <c r="C137" s="5" t="s">
        <v>84</v>
      </c>
      <c r="D137" s="5" t="s">
        <v>133</v>
      </c>
      <c r="E137" s="5" t="s">
        <v>500</v>
      </c>
      <c r="F137" s="5" t="n">
        <v>6</v>
      </c>
      <c r="G137" s="5" t="n">
        <v>5</v>
      </c>
      <c r="H137" s="6" t="str">
        <f aca="false">IF(N137="","",N137&amp;IF(AND(MOD(N137,100)&gt;=11,MOD(N137,100)&lt;=13),"th",CHOOSE(MIN(5,MOD(N137,10)+1),"th","st","nd","rd","th")))</f>
        <v>8th</v>
      </c>
      <c r="I137" s="5" t="s">
        <v>365</v>
      </c>
      <c r="J137" s="6" t="n">
        <f aca="false">IFERROR(INDEX(Rounds!$A:$A,MATCH(I137,Rounds!$B:$B,0)),"ADD LEAGUE TO ROUNDS")</f>
        <v>2</v>
      </c>
      <c r="K137" s="6" t="n">
        <f aca="false">IFERROR(VALUE(LEFT(E137,FIND(" - ",E137)-1)),"")</f>
        <v>4</v>
      </c>
      <c r="L137" s="5" t="s">
        <v>521</v>
      </c>
      <c r="N137" s="6" t="n">
        <f aca="false">IF(F137="","",1+COUNTIFS($J:$J,J137,$K:$K,K137,$F:$F,"&gt;"&amp;F137)+COUNTIFS($J:$J,J137,$K:$K,K137,$F:$F,F137,$G:$G,"&gt;"&amp;G137))</f>
        <v>8</v>
      </c>
      <c r="O137" s="6" t="n">
        <f aca="false">IF(L137="","",SUMIFS(Votes!$E:$E,Votes!$A:$A,J137,Votes!$B:$B,K137,Votes!$D:$D,L137))</f>
        <v>6</v>
      </c>
      <c r="P137" s="6" t="n">
        <f aca="false">IF(L137="","",COUNTIFS(Votes!$A:$A,J137,Votes!$B:$B,K137,Votes!$D:$D,L137))</f>
        <v>5</v>
      </c>
      <c r="Q137" s="7" t="str">
        <f aca="false">IF(F137="","Unscored",IF(O137="","No URI",IF(AND(F137=0,O137=0),"Zero-vote",IF(AND(F137=O137,G137=P137),"OK",IF(AND(F137=0,O137&gt;0,COUNTIFS(Votes!$A:$A,J137,Votes!$B:$B,K137,Votes!$C:$C,D137)=0),"Forfeited","Mismatch")))))</f>
        <v>OK</v>
      </c>
      <c r="R137" s="6" t="n">
        <f aca="false">MAX(IF(L137&lt;&gt;"",COUNTIF($L:$L,L137),0),COUNTIFS($A:$A,A137,$B:$B,B137))</f>
        <v>1</v>
      </c>
      <c r="S137" s="6" t="str">
        <f aca="false">IF(R137&gt;1,COUNTIF($R$2:R137,"&gt;1"),"")</f>
        <v/>
      </c>
      <c r="T137" s="6" t="str">
        <f aca="false">IF(L137="","",J137&amp;"|"&amp;K137&amp;"|"&amp;L137)</f>
        <v>2|4|spotify:track:4z8ssgZfs5TzKiO8HaGWXO</v>
      </c>
      <c r="U137" s="6" t="str">
        <f aca="false">IF(C137="","",IFERROR(INDEX(Lists!$F:$F,MATCH(C137,Lists!$E:$E,0)),"Unmapped"))</f>
        <v>Pop</v>
      </c>
    </row>
    <row r="138" customFormat="false" ht="15" hidden="false" customHeight="false" outlineLevel="0" collapsed="false">
      <c r="A138" s="5" t="s">
        <v>522</v>
      </c>
      <c r="B138" s="5" t="s">
        <v>523</v>
      </c>
      <c r="C138" s="5" t="s">
        <v>84</v>
      </c>
      <c r="D138" s="5" t="s">
        <v>116</v>
      </c>
      <c r="E138" s="5" t="s">
        <v>500</v>
      </c>
      <c r="F138" s="5" t="n">
        <v>6</v>
      </c>
      <c r="G138" s="5" t="n">
        <v>5</v>
      </c>
      <c r="H138" s="6" t="str">
        <f aca="false">IF(N138="","",N138&amp;IF(AND(MOD(N138,100)&gt;=11,MOD(N138,100)&lt;=13),"th",CHOOSE(MIN(5,MOD(N138,10)+1),"th","st","nd","rd","th")))</f>
        <v>8th</v>
      </c>
      <c r="I138" s="5" t="s">
        <v>365</v>
      </c>
      <c r="J138" s="6" t="n">
        <f aca="false">IFERROR(INDEX(Rounds!$A:$A,MATCH(I138,Rounds!$B:$B,0)),"ADD LEAGUE TO ROUNDS")</f>
        <v>2</v>
      </c>
      <c r="K138" s="6" t="n">
        <f aca="false">IFERROR(VALUE(LEFT(E138,FIND(" - ",E138)-1)),"")</f>
        <v>4</v>
      </c>
      <c r="L138" s="5" t="s">
        <v>524</v>
      </c>
      <c r="N138" s="6" t="n">
        <f aca="false">IF(F138="","",1+COUNTIFS($J:$J,J138,$K:$K,K138,$F:$F,"&gt;"&amp;F138)+COUNTIFS($J:$J,J138,$K:$K,K138,$F:$F,F138,$G:$G,"&gt;"&amp;G138))</f>
        <v>8</v>
      </c>
      <c r="O138" s="6" t="n">
        <f aca="false">IF(L138="","",SUMIFS(Votes!$E:$E,Votes!$A:$A,J138,Votes!$B:$B,K138,Votes!$D:$D,L138))</f>
        <v>6</v>
      </c>
      <c r="P138" s="6" t="n">
        <f aca="false">IF(L138="","",COUNTIFS(Votes!$A:$A,J138,Votes!$B:$B,K138,Votes!$D:$D,L138))</f>
        <v>5</v>
      </c>
      <c r="Q138" s="7" t="str">
        <f aca="false">IF(F138="","Unscored",IF(O138="","No URI",IF(AND(F138=0,O138=0),"Zero-vote",IF(AND(F138=O138,G138=P138),"OK",IF(AND(F138=0,O138&gt;0,COUNTIFS(Votes!$A:$A,J138,Votes!$B:$B,K138,Votes!$C:$C,D138)=0),"Forfeited","Mismatch")))))</f>
        <v>OK</v>
      </c>
      <c r="R138" s="6" t="n">
        <f aca="false">MAX(IF(L138&lt;&gt;"",COUNTIF($L:$L,L138),0),COUNTIFS($A:$A,A138,$B:$B,B138))</f>
        <v>1</v>
      </c>
      <c r="S138" s="6" t="str">
        <f aca="false">IF(R138&gt;1,COUNTIF($R$2:R138,"&gt;1"),"")</f>
        <v/>
      </c>
      <c r="T138" s="6" t="str">
        <f aca="false">IF(L138="","",J138&amp;"|"&amp;K138&amp;"|"&amp;L138)</f>
        <v>2|4|spotify:track:2tej1KSqNuxwywIpY1rDRc</v>
      </c>
      <c r="U138" s="6" t="str">
        <f aca="false">IF(C138="","",IFERROR(INDEX(Lists!$F:$F,MATCH(C138,Lists!$E:$E,0)),"Unmapped"))</f>
        <v>Pop</v>
      </c>
    </row>
    <row r="139" customFormat="false" ht="15" hidden="false" customHeight="false" outlineLevel="0" collapsed="false">
      <c r="A139" s="5" t="s">
        <v>525</v>
      </c>
      <c r="B139" s="5" t="s">
        <v>526</v>
      </c>
      <c r="C139" s="5" t="s">
        <v>293</v>
      </c>
      <c r="D139" s="5" t="s">
        <v>119</v>
      </c>
      <c r="E139" s="5" t="s">
        <v>500</v>
      </c>
      <c r="F139" s="5" t="n">
        <v>6</v>
      </c>
      <c r="G139" s="5" t="n">
        <v>3</v>
      </c>
      <c r="H139" s="6" t="str">
        <f aca="false">IF(N139="","",N139&amp;IF(AND(MOD(N139,100)&gt;=11,MOD(N139,100)&lt;=13),"th",CHOOSE(MIN(5,MOD(N139,10)+1),"th","st","nd","rd","th")))</f>
        <v>10th</v>
      </c>
      <c r="I139" s="5" t="s">
        <v>365</v>
      </c>
      <c r="J139" s="6" t="n">
        <f aca="false">IFERROR(INDEX(Rounds!$A:$A,MATCH(I139,Rounds!$B:$B,0)),"ADD LEAGUE TO ROUNDS")</f>
        <v>2</v>
      </c>
      <c r="K139" s="6" t="n">
        <f aca="false">IFERROR(VALUE(LEFT(E139,FIND(" - ",E139)-1)),"")</f>
        <v>4</v>
      </c>
      <c r="L139" s="5" t="s">
        <v>527</v>
      </c>
      <c r="N139" s="6" t="n">
        <f aca="false">IF(F139="","",1+COUNTIFS($J:$J,J139,$K:$K,K139,$F:$F,"&gt;"&amp;F139)+COUNTIFS($J:$J,J139,$K:$K,K139,$F:$F,F139,$G:$G,"&gt;"&amp;G139))</f>
        <v>10</v>
      </c>
      <c r="O139" s="6" t="n">
        <f aca="false">IF(L139="","",SUMIFS(Votes!$E:$E,Votes!$A:$A,J139,Votes!$B:$B,K139,Votes!$D:$D,L139))</f>
        <v>6</v>
      </c>
      <c r="P139" s="6" t="n">
        <f aca="false">IF(L139="","",COUNTIFS(Votes!$A:$A,J139,Votes!$B:$B,K139,Votes!$D:$D,L139))</f>
        <v>3</v>
      </c>
      <c r="Q139" s="7" t="str">
        <f aca="false">IF(F139="","Unscored",IF(O139="","No URI",IF(AND(F139=0,O139=0),"Zero-vote",IF(AND(F139=O139,G139=P139),"OK",IF(AND(F139=0,O139&gt;0,COUNTIFS(Votes!$A:$A,J139,Votes!$B:$B,K139,Votes!$C:$C,D139)=0),"Forfeited","Mismatch")))))</f>
        <v>OK</v>
      </c>
      <c r="R139" s="6" t="n">
        <f aca="false">MAX(IF(L139&lt;&gt;"",COUNTIF($L:$L,L139),0),COUNTIFS($A:$A,A139,$B:$B,B139))</f>
        <v>1</v>
      </c>
      <c r="S139" s="6" t="str">
        <f aca="false">IF(R139&gt;1,COUNTIF($R$2:R139,"&gt;1"),"")</f>
        <v/>
      </c>
      <c r="T139" s="6" t="str">
        <f aca="false">IF(L139="","",J139&amp;"|"&amp;K139&amp;"|"&amp;L139)</f>
        <v>2|4|spotify:track:3LGsgpx4TfxhXbr07OFKqs</v>
      </c>
      <c r="U139" s="6" t="str">
        <f aca="false">IF(C139="","",IFERROR(INDEX(Lists!$F:$F,MATCH(C139,Lists!$E:$E,0)),"Unmapped"))</f>
        <v>Electronic/Dance</v>
      </c>
    </row>
    <row r="140" customFormat="false" ht="15" hidden="false" customHeight="false" outlineLevel="0" collapsed="false">
      <c r="A140" s="5" t="s">
        <v>528</v>
      </c>
      <c r="B140" s="5" t="s">
        <v>529</v>
      </c>
      <c r="C140" s="5" t="s">
        <v>293</v>
      </c>
      <c r="D140" s="5" t="s">
        <v>101</v>
      </c>
      <c r="E140" s="5" t="s">
        <v>500</v>
      </c>
      <c r="F140" s="5" t="n">
        <v>4</v>
      </c>
      <c r="G140" s="5" t="n">
        <v>4</v>
      </c>
      <c r="H140" s="6" t="str">
        <f aca="false">IF(N140="","",N140&amp;IF(AND(MOD(N140,100)&gt;=11,MOD(N140,100)&lt;=13),"th",CHOOSE(MIN(5,MOD(N140,10)+1),"th","st","nd","rd","th")))</f>
        <v>11th</v>
      </c>
      <c r="I140" s="5" t="s">
        <v>365</v>
      </c>
      <c r="J140" s="6" t="n">
        <f aca="false">IFERROR(INDEX(Rounds!$A:$A,MATCH(I140,Rounds!$B:$B,0)),"ADD LEAGUE TO ROUNDS")</f>
        <v>2</v>
      </c>
      <c r="K140" s="6" t="n">
        <f aca="false">IFERROR(VALUE(LEFT(E140,FIND(" - ",E140)-1)),"")</f>
        <v>4</v>
      </c>
      <c r="L140" s="5" t="s">
        <v>530</v>
      </c>
      <c r="N140" s="6" t="n">
        <f aca="false">IF(F140="","",1+COUNTIFS($J:$J,J140,$K:$K,K140,$F:$F,"&gt;"&amp;F140)+COUNTIFS($J:$J,J140,$K:$K,K140,$F:$F,F140,$G:$G,"&gt;"&amp;G140))</f>
        <v>11</v>
      </c>
      <c r="O140" s="6" t="n">
        <f aca="false">IF(L140="","",SUMIFS(Votes!$E:$E,Votes!$A:$A,J140,Votes!$B:$B,K140,Votes!$D:$D,L140))</f>
        <v>4</v>
      </c>
      <c r="P140" s="6" t="n">
        <f aca="false">IF(L140="","",COUNTIFS(Votes!$A:$A,J140,Votes!$B:$B,K140,Votes!$D:$D,L140))</f>
        <v>4</v>
      </c>
      <c r="Q140" s="7" t="str">
        <f aca="false">IF(F140="","Unscored",IF(O140="","No URI",IF(AND(F140=0,O140=0),"Zero-vote",IF(AND(F140=O140,G140=P140),"OK",IF(AND(F140=0,O140&gt;0,COUNTIFS(Votes!$A:$A,J140,Votes!$B:$B,K140,Votes!$C:$C,D140)=0),"Forfeited","Mismatch")))))</f>
        <v>OK</v>
      </c>
      <c r="R140" s="6" t="n">
        <f aca="false">MAX(IF(L140&lt;&gt;"",COUNTIF($L:$L,L140),0),COUNTIFS($A:$A,A140,$B:$B,B140))</f>
        <v>1</v>
      </c>
      <c r="S140" s="6" t="str">
        <f aca="false">IF(R140&gt;1,COUNTIF($R$2:R140,"&gt;1"),"")</f>
        <v/>
      </c>
      <c r="T140" s="6" t="str">
        <f aca="false">IF(L140="","",J140&amp;"|"&amp;K140&amp;"|"&amp;L140)</f>
        <v>2|4|spotify:track:3LlmKSHR3Rs0Y3KHQLAYDk</v>
      </c>
      <c r="U140" s="6" t="str">
        <f aca="false">IF(C140="","",IFERROR(INDEX(Lists!$F:$F,MATCH(C140,Lists!$E:$E,0)),"Unmapped"))</f>
        <v>Electronic/Dance</v>
      </c>
    </row>
    <row r="141" customFormat="false" ht="15" hidden="false" customHeight="false" outlineLevel="0" collapsed="false">
      <c r="A141" s="5" t="s">
        <v>531</v>
      </c>
      <c r="B141" s="5" t="s">
        <v>532</v>
      </c>
      <c r="C141" s="5" t="s">
        <v>506</v>
      </c>
      <c r="D141" s="5" t="s">
        <v>289</v>
      </c>
      <c r="E141" s="5" t="s">
        <v>500</v>
      </c>
      <c r="F141" s="5" t="n">
        <v>0</v>
      </c>
      <c r="G141" s="5" t="n">
        <v>8</v>
      </c>
      <c r="H141" s="6" t="str">
        <f aca="false">IF(N141="","",N141&amp;IF(AND(MOD(N141,100)&gt;=11,MOD(N141,100)&lt;=13),"th",CHOOSE(MIN(5,MOD(N141,10)+1),"th","st","nd","rd","th")))</f>
        <v>12th</v>
      </c>
      <c r="I141" s="5" t="s">
        <v>365</v>
      </c>
      <c r="J141" s="6" t="n">
        <f aca="false">IFERROR(INDEX(Rounds!$A:$A,MATCH(I141,Rounds!$B:$B,0)),"ADD LEAGUE TO ROUNDS")</f>
        <v>2</v>
      </c>
      <c r="K141" s="6" t="n">
        <f aca="false">IFERROR(VALUE(LEFT(E141,FIND(" - ",E141)-1)),"")</f>
        <v>4</v>
      </c>
      <c r="L141" s="5" t="s">
        <v>533</v>
      </c>
      <c r="N141" s="6" t="n">
        <f aca="false">IF(F141="","",1+COUNTIFS($J:$J,J141,$K:$K,K141,$F:$F,"&gt;"&amp;F141)+COUNTIFS($J:$J,J141,$K:$K,K141,$F:$F,F141,$G:$G,"&gt;"&amp;G141))</f>
        <v>12</v>
      </c>
      <c r="O141" s="6" t="n">
        <f aca="false">IF(L141="","",SUMIFS(Votes!$E:$E,Votes!$A:$A,J141,Votes!$B:$B,K141,Votes!$D:$D,L141))</f>
        <v>15</v>
      </c>
      <c r="P141" s="6" t="n">
        <f aca="false">IF(L141="","",COUNTIFS(Votes!$A:$A,J141,Votes!$B:$B,K141,Votes!$D:$D,L141))</f>
        <v>8</v>
      </c>
      <c r="Q141" s="7" t="str">
        <f aca="false">IF(F141="","Unscored",IF(O141="","No URI",IF(AND(F141=0,O141=0),"Zero-vote",IF(AND(F141=O141,G141=P141),"OK",IF(AND(F141=0,O141&gt;0,COUNTIFS(Votes!$A:$A,J141,Votes!$B:$B,K141,Votes!$C:$C,D141)=0),"Forfeited","Mismatch")))))</f>
        <v>Forfeited</v>
      </c>
      <c r="R141" s="6" t="n">
        <f aca="false">MAX(IF(L141&lt;&gt;"",COUNTIF($L:$L,L141),0),COUNTIFS($A:$A,A141,$B:$B,B141))</f>
        <v>1</v>
      </c>
      <c r="S141" s="6" t="str">
        <f aca="false">IF(R141&gt;1,COUNTIF($R$2:R141,"&gt;1"),"")</f>
        <v/>
      </c>
      <c r="T141" s="6" t="str">
        <f aca="false">IF(L141="","",J141&amp;"|"&amp;K141&amp;"|"&amp;L141)</f>
        <v>2|4|spotify:track:6pWgRkpqVfxnj3WuIcJ7WP</v>
      </c>
      <c r="U141" s="6" t="str">
        <f aca="false">IF(C141="","",IFERROR(INDEX(Lists!$F:$F,MATCH(C141,Lists!$E:$E,0)),"Unmapped"))</f>
        <v>Classical/Score</v>
      </c>
    </row>
    <row r="142" customFormat="false" ht="15" hidden="false" customHeight="false" outlineLevel="0" collapsed="false">
      <c r="A142" s="5" t="s">
        <v>534</v>
      </c>
      <c r="B142" s="5" t="s">
        <v>535</v>
      </c>
      <c r="C142" s="5" t="s">
        <v>84</v>
      </c>
      <c r="D142" s="5" t="s">
        <v>92</v>
      </c>
      <c r="E142" s="5" t="s">
        <v>500</v>
      </c>
      <c r="F142" s="5" t="n">
        <v>0</v>
      </c>
      <c r="G142" s="5" t="n">
        <v>5</v>
      </c>
      <c r="H142" s="6" t="str">
        <f aca="false">IF(N142="","",N142&amp;IF(AND(MOD(N142,100)&gt;=11,MOD(N142,100)&lt;=13),"th",CHOOSE(MIN(5,MOD(N142,10)+1),"th","st","nd","rd","th")))</f>
        <v>13th</v>
      </c>
      <c r="I142" s="5" t="s">
        <v>365</v>
      </c>
      <c r="J142" s="6" t="n">
        <f aca="false">IFERROR(INDEX(Rounds!$A:$A,MATCH(I142,Rounds!$B:$B,0)),"ADD LEAGUE TO ROUNDS")</f>
        <v>2</v>
      </c>
      <c r="K142" s="6" t="n">
        <f aca="false">IFERROR(VALUE(LEFT(E142,FIND(" - ",E142)-1)),"")</f>
        <v>4</v>
      </c>
      <c r="L142" s="5" t="s">
        <v>536</v>
      </c>
      <c r="N142" s="6" t="n">
        <f aca="false">IF(F142="","",1+COUNTIFS($J:$J,J142,$K:$K,K142,$F:$F,"&gt;"&amp;F142)+COUNTIFS($J:$J,J142,$K:$K,K142,$F:$F,F142,$G:$G,"&gt;"&amp;G142))</f>
        <v>13</v>
      </c>
      <c r="O142" s="6" t="n">
        <f aca="false">IF(L142="","",SUMIFS(Votes!$E:$E,Votes!$A:$A,J142,Votes!$B:$B,K142,Votes!$D:$D,L142))</f>
        <v>8</v>
      </c>
      <c r="P142" s="6" t="n">
        <f aca="false">IF(L142="","",COUNTIFS(Votes!$A:$A,J142,Votes!$B:$B,K142,Votes!$D:$D,L142))</f>
        <v>5</v>
      </c>
      <c r="Q142" s="7" t="str">
        <f aca="false">IF(F142="","Unscored",IF(O142="","No URI",IF(AND(F142=0,O142=0),"Zero-vote",IF(AND(F142=O142,G142=P142),"OK",IF(AND(F142=0,O142&gt;0,COUNTIFS(Votes!$A:$A,J142,Votes!$B:$B,K142,Votes!$C:$C,D142)=0),"Forfeited","Mismatch")))))</f>
        <v>Forfeited</v>
      </c>
      <c r="R142" s="6" t="n">
        <f aca="false">MAX(IF(L142&lt;&gt;"",COUNTIF($L:$L,L142),0),COUNTIFS($A:$A,A142,$B:$B,B142))</f>
        <v>2</v>
      </c>
      <c r="S142" s="6" t="n">
        <f aca="false">IF(R142&gt;1,COUNTIF($R$2:R142,"&gt;1"),"")</f>
        <v>10</v>
      </c>
      <c r="T142" s="6" t="str">
        <f aca="false">IF(L142="","",J142&amp;"|"&amp;K142&amp;"|"&amp;L142)</f>
        <v>2|4|spotify:track:3gdewACMIVMEWVbyb8O9sY</v>
      </c>
      <c r="U142" s="6" t="str">
        <f aca="false">IF(C142="","",IFERROR(INDEX(Lists!$F:$F,MATCH(C142,Lists!$E:$E,0)),"Unmapped"))</f>
        <v>Pop</v>
      </c>
    </row>
    <row r="143" customFormat="false" ht="15" hidden="false" customHeight="false" outlineLevel="0" collapsed="false">
      <c r="A143" s="5" t="s">
        <v>537</v>
      </c>
      <c r="B143" s="5" t="s">
        <v>538</v>
      </c>
      <c r="C143" s="5" t="s">
        <v>293</v>
      </c>
      <c r="D143" s="5" t="s">
        <v>395</v>
      </c>
      <c r="E143" s="5" t="s">
        <v>500</v>
      </c>
      <c r="F143" s="5" t="n">
        <v>0</v>
      </c>
      <c r="G143" s="5" t="n">
        <v>2</v>
      </c>
      <c r="H143" s="6" t="str">
        <f aca="false">IF(N143="","",N143&amp;IF(AND(MOD(N143,100)&gt;=11,MOD(N143,100)&lt;=13),"th",CHOOSE(MIN(5,MOD(N143,10)+1),"th","st","nd","rd","th")))</f>
        <v>14th</v>
      </c>
      <c r="I143" s="5" t="s">
        <v>365</v>
      </c>
      <c r="J143" s="6" t="n">
        <f aca="false">IFERROR(INDEX(Rounds!$A:$A,MATCH(I143,Rounds!$B:$B,0)),"ADD LEAGUE TO ROUNDS")</f>
        <v>2</v>
      </c>
      <c r="K143" s="6" t="n">
        <f aca="false">IFERROR(VALUE(LEFT(E143,FIND(" - ",E143)-1)),"")</f>
        <v>4</v>
      </c>
      <c r="L143" s="5" t="s">
        <v>539</v>
      </c>
      <c r="N143" s="6" t="n">
        <f aca="false">IF(F143="","",1+COUNTIFS($J:$J,J143,$K:$K,K143,$F:$F,"&gt;"&amp;F143)+COUNTIFS($J:$J,J143,$K:$K,K143,$F:$F,F143,$G:$G,"&gt;"&amp;G143))</f>
        <v>14</v>
      </c>
      <c r="O143" s="6" t="n">
        <f aca="false">IF(L143="","",SUMIFS(Votes!$E:$E,Votes!$A:$A,J143,Votes!$B:$B,K143,Votes!$D:$D,L143))</f>
        <v>2</v>
      </c>
      <c r="P143" s="6" t="n">
        <f aca="false">IF(L143="","",COUNTIFS(Votes!$A:$A,J143,Votes!$B:$B,K143,Votes!$D:$D,L143))</f>
        <v>2</v>
      </c>
      <c r="Q143" s="7" t="str">
        <f aca="false">IF(F143="","Unscored",IF(O143="","No URI",IF(AND(F143=0,O143=0),"Zero-vote",IF(AND(F143=O143,G143=P143),"OK",IF(AND(F143=0,O143&gt;0,COUNTIFS(Votes!$A:$A,J143,Votes!$B:$B,K143,Votes!$C:$C,D143)=0),"Forfeited","Mismatch")))))</f>
        <v>Forfeited</v>
      </c>
      <c r="R143" s="6" t="n">
        <f aca="false">MAX(IF(L143&lt;&gt;"",COUNTIF($L:$L,L143),0),COUNTIFS($A:$A,A143,$B:$B,B143))</f>
        <v>1</v>
      </c>
      <c r="S143" s="6" t="str">
        <f aca="false">IF(R143&gt;1,COUNTIF($R$2:R143,"&gt;1"),"")</f>
        <v/>
      </c>
      <c r="T143" s="6" t="str">
        <f aca="false">IF(L143="","",J143&amp;"|"&amp;K143&amp;"|"&amp;L143)</f>
        <v>2|4|spotify:track:7apywiCuMzvSZIa0SKeH99</v>
      </c>
      <c r="U143" s="6" t="str">
        <f aca="false">IF(C143="","",IFERROR(INDEX(Lists!$F:$F,MATCH(C143,Lists!$E:$E,0)),"Unmapped"))</f>
        <v>Electronic/Dance</v>
      </c>
    </row>
    <row r="144" customFormat="false" ht="15" hidden="false" customHeight="false" outlineLevel="0" collapsed="false">
      <c r="A144" s="5" t="s">
        <v>540</v>
      </c>
      <c r="B144" s="5" t="s">
        <v>189</v>
      </c>
      <c r="C144" s="5" t="s">
        <v>96</v>
      </c>
      <c r="D144" s="5" t="s">
        <v>128</v>
      </c>
      <c r="E144" s="5" t="s">
        <v>541</v>
      </c>
      <c r="F144" s="5" t="n">
        <v>15</v>
      </c>
      <c r="G144" s="5" t="n">
        <v>7</v>
      </c>
      <c r="H144" s="6" t="str">
        <f aca="false">IF(N144="","",N144&amp;IF(AND(MOD(N144,100)&gt;=11,MOD(N144,100)&lt;=13),"th",CHOOSE(MIN(5,MOD(N144,10)+1),"th","st","nd","rd","th")))</f>
        <v>1st</v>
      </c>
      <c r="I144" s="5" t="s">
        <v>365</v>
      </c>
      <c r="J144" s="6" t="n">
        <f aca="false">IFERROR(INDEX(Rounds!$A:$A,MATCH(I144,Rounds!$B:$B,0)),"ADD LEAGUE TO ROUNDS")</f>
        <v>2</v>
      </c>
      <c r="K144" s="6" t="n">
        <f aca="false">IFERROR(VALUE(LEFT(E144,FIND(" - ",E144)-1)),"")</f>
        <v>5</v>
      </c>
      <c r="L144" s="5" t="s">
        <v>542</v>
      </c>
      <c r="N144" s="6" t="n">
        <f aca="false">IF(F144="","",1+COUNTIFS($J:$J,J144,$K:$K,K144,$F:$F,"&gt;"&amp;F144)+COUNTIFS($J:$J,J144,$K:$K,K144,$F:$F,F144,$G:$G,"&gt;"&amp;G144))</f>
        <v>1</v>
      </c>
      <c r="O144" s="6" t="n">
        <f aca="false">IF(L144="","",SUMIFS(Votes!$E:$E,Votes!$A:$A,J144,Votes!$B:$B,K144,Votes!$D:$D,L144))</f>
        <v>15</v>
      </c>
      <c r="P144" s="6" t="n">
        <f aca="false">IF(L144="","",COUNTIFS(Votes!$A:$A,J144,Votes!$B:$B,K144,Votes!$D:$D,L144))</f>
        <v>7</v>
      </c>
      <c r="Q144" s="7" t="str">
        <f aca="false">IF(F144="","Unscored",IF(O144="","No URI",IF(AND(F144=0,O144=0),"Zero-vote",IF(AND(F144=O144,G144=P144),"OK",IF(AND(F144=0,O144&gt;0,COUNTIFS(Votes!$A:$A,J144,Votes!$B:$B,K144,Votes!$C:$C,D144)=0),"Forfeited","Mismatch")))))</f>
        <v>OK</v>
      </c>
      <c r="R144" s="6" t="n">
        <f aca="false">MAX(IF(L144&lt;&gt;"",COUNTIF($L:$L,L144),0),COUNTIFS($A:$A,A144,$B:$B,B144))</f>
        <v>2</v>
      </c>
      <c r="S144" s="6" t="n">
        <f aca="false">IF(R144&gt;1,COUNTIF($R$2:R144,"&gt;1"),"")</f>
        <v>11</v>
      </c>
      <c r="T144" s="6" t="str">
        <f aca="false">IF(L144="","",J144&amp;"|"&amp;K144&amp;"|"&amp;L144)</f>
        <v>2|5|spotify:track:4eHbdreAnSOrDDsFfc4Fpm</v>
      </c>
      <c r="U144" s="6" t="str">
        <f aca="false">IF(C144="","",IFERROR(INDEX(Lists!$F:$F,MATCH(C144,Lists!$E:$E,0)),"Unmapped"))</f>
        <v>R&amp;B/Soul</v>
      </c>
    </row>
    <row r="145" customFormat="false" ht="15" hidden="false" customHeight="false" outlineLevel="0" collapsed="false">
      <c r="A145" s="5" t="s">
        <v>543</v>
      </c>
      <c r="B145" s="5" t="s">
        <v>544</v>
      </c>
      <c r="C145" s="5" t="s">
        <v>91</v>
      </c>
      <c r="D145" s="5" t="s">
        <v>484</v>
      </c>
      <c r="E145" s="5" t="s">
        <v>541</v>
      </c>
      <c r="F145" s="5" t="n">
        <v>13</v>
      </c>
      <c r="G145" s="5" t="n">
        <v>8</v>
      </c>
      <c r="H145" s="6" t="str">
        <f aca="false">IF(N145="","",N145&amp;IF(AND(MOD(N145,100)&gt;=11,MOD(N145,100)&lt;=13),"th",CHOOSE(MIN(5,MOD(N145,10)+1),"th","st","nd","rd","th")))</f>
        <v>2nd</v>
      </c>
      <c r="I145" s="5" t="s">
        <v>365</v>
      </c>
      <c r="J145" s="6" t="n">
        <f aca="false">IFERROR(INDEX(Rounds!$A:$A,MATCH(I145,Rounds!$B:$B,0)),"ADD LEAGUE TO ROUNDS")</f>
        <v>2</v>
      </c>
      <c r="K145" s="6" t="n">
        <f aca="false">IFERROR(VALUE(LEFT(E145,FIND(" - ",E145)-1)),"")</f>
        <v>5</v>
      </c>
      <c r="L145" s="5" t="s">
        <v>545</v>
      </c>
      <c r="N145" s="6" t="n">
        <f aca="false">IF(F145="","",1+COUNTIFS($J:$J,J145,$K:$K,K145,$F:$F,"&gt;"&amp;F145)+COUNTIFS($J:$J,J145,$K:$K,K145,$F:$F,F145,$G:$G,"&gt;"&amp;G145))</f>
        <v>2</v>
      </c>
      <c r="O145" s="6" t="n">
        <f aca="false">IF(L145="","",SUMIFS(Votes!$E:$E,Votes!$A:$A,J145,Votes!$B:$B,K145,Votes!$D:$D,L145))</f>
        <v>13</v>
      </c>
      <c r="P145" s="6" t="n">
        <f aca="false">IF(L145="","",COUNTIFS(Votes!$A:$A,J145,Votes!$B:$B,K145,Votes!$D:$D,L145))</f>
        <v>8</v>
      </c>
      <c r="Q145" s="7" t="str">
        <f aca="false">IF(F145="","Unscored",IF(O145="","No URI",IF(AND(F145=0,O145=0),"Zero-vote",IF(AND(F145=O145,G145=P145),"OK",IF(AND(F145=0,O145&gt;0,COUNTIFS(Votes!$A:$A,J145,Votes!$B:$B,K145,Votes!$C:$C,D145)=0),"Forfeited","Mismatch")))))</f>
        <v>OK</v>
      </c>
      <c r="R145" s="6" t="n">
        <f aca="false">MAX(IF(L145&lt;&gt;"",COUNTIF($L:$L,L145),0),COUNTIFS($A:$A,A145,$B:$B,B145))</f>
        <v>1</v>
      </c>
      <c r="S145" s="6" t="str">
        <f aca="false">IF(R145&gt;1,COUNTIF($R$2:R145,"&gt;1"),"")</f>
        <v/>
      </c>
      <c r="T145" s="6" t="str">
        <f aca="false">IF(L145="","",J145&amp;"|"&amp;K145&amp;"|"&amp;L145)</f>
        <v>2|5|spotify:track:2Cdvbe2G4hZsnhNMKyGrie</v>
      </c>
      <c r="U145" s="6" t="str">
        <f aca="false">IF(C145="","",IFERROR(INDEX(Lists!$F:$F,MATCH(C145,Lists!$E:$E,0)),"Unmapped"))</f>
        <v>Rock</v>
      </c>
    </row>
    <row r="146" customFormat="false" ht="15" hidden="false" customHeight="false" outlineLevel="0" collapsed="false">
      <c r="A146" s="5" t="s">
        <v>546</v>
      </c>
      <c r="B146" s="5" t="s">
        <v>547</v>
      </c>
      <c r="C146" s="5" t="s">
        <v>548</v>
      </c>
      <c r="D146" s="5" t="s">
        <v>382</v>
      </c>
      <c r="E146" s="5" t="s">
        <v>541</v>
      </c>
      <c r="F146" s="5" t="n">
        <v>12</v>
      </c>
      <c r="G146" s="5" t="n">
        <v>8</v>
      </c>
      <c r="H146" s="6" t="str">
        <f aca="false">IF(N146="","",N146&amp;IF(AND(MOD(N146,100)&gt;=11,MOD(N146,100)&lt;=13),"th",CHOOSE(MIN(5,MOD(N146,10)+1),"th","st","nd","rd","th")))</f>
        <v>3rd</v>
      </c>
      <c r="I146" s="5" t="s">
        <v>365</v>
      </c>
      <c r="J146" s="6" t="n">
        <f aca="false">IFERROR(INDEX(Rounds!$A:$A,MATCH(I146,Rounds!$B:$B,0)),"ADD LEAGUE TO ROUNDS")</f>
        <v>2</v>
      </c>
      <c r="K146" s="6" t="n">
        <f aca="false">IFERROR(VALUE(LEFT(E146,FIND(" - ",E146)-1)),"")</f>
        <v>5</v>
      </c>
      <c r="L146" s="5" t="s">
        <v>549</v>
      </c>
      <c r="N146" s="6" t="n">
        <f aca="false">IF(F146="","",1+COUNTIFS($J:$J,J146,$K:$K,K146,$F:$F,"&gt;"&amp;F146)+COUNTIFS($J:$J,J146,$K:$K,K146,$F:$F,F146,$G:$G,"&gt;"&amp;G146))</f>
        <v>3</v>
      </c>
      <c r="O146" s="6" t="n">
        <f aca="false">IF(L146="","",SUMIFS(Votes!$E:$E,Votes!$A:$A,J146,Votes!$B:$B,K146,Votes!$D:$D,L146))</f>
        <v>12</v>
      </c>
      <c r="P146" s="6" t="n">
        <f aca="false">IF(L146="","",COUNTIFS(Votes!$A:$A,J146,Votes!$B:$B,K146,Votes!$D:$D,L146))</f>
        <v>8</v>
      </c>
      <c r="Q146" s="7" t="str">
        <f aca="false">IF(F146="","Unscored",IF(O146="","No URI",IF(AND(F146=0,O146=0),"Zero-vote",IF(AND(F146=O146,G146=P146),"OK",IF(AND(F146=0,O146&gt;0,COUNTIFS(Votes!$A:$A,J146,Votes!$B:$B,K146,Votes!$C:$C,D146)=0),"Forfeited","Mismatch")))))</f>
        <v>OK</v>
      </c>
      <c r="R146" s="6" t="n">
        <f aca="false">MAX(IF(L146&lt;&gt;"",COUNTIF($L:$L,L146),0),COUNTIFS($A:$A,A146,$B:$B,B146))</f>
        <v>1</v>
      </c>
      <c r="S146" s="6" t="str">
        <f aca="false">IF(R146&gt;1,COUNTIF($R$2:R146,"&gt;1"),"")</f>
        <v/>
      </c>
      <c r="T146" s="6" t="str">
        <f aca="false">IF(L146="","",J146&amp;"|"&amp;K146&amp;"|"&amp;L146)</f>
        <v>2|5|spotify:track:63vL5oxWrlvaJ0ayNaQnbX</v>
      </c>
      <c r="U146" s="6" t="str">
        <f aca="false">IF(C146="","",IFERROR(INDEX(Lists!$F:$F,MATCH(C146,Lists!$E:$E,0)),"Unmapped"))</f>
        <v>Rock</v>
      </c>
    </row>
    <row r="147" customFormat="false" ht="15" hidden="false" customHeight="false" outlineLevel="0" collapsed="false">
      <c r="A147" s="5" t="s">
        <v>550</v>
      </c>
      <c r="B147" s="5" t="s">
        <v>551</v>
      </c>
      <c r="C147" s="5" t="s">
        <v>91</v>
      </c>
      <c r="D147" s="5" t="s">
        <v>97</v>
      </c>
      <c r="E147" s="5" t="s">
        <v>541</v>
      </c>
      <c r="F147" s="5" t="n">
        <v>10</v>
      </c>
      <c r="G147" s="5" t="n">
        <v>6</v>
      </c>
      <c r="H147" s="6" t="str">
        <f aca="false">IF(N147="","",N147&amp;IF(AND(MOD(N147,100)&gt;=11,MOD(N147,100)&lt;=13),"th",CHOOSE(MIN(5,MOD(N147,10)+1),"th","st","nd","rd","th")))</f>
        <v>4th</v>
      </c>
      <c r="I147" s="5" t="s">
        <v>365</v>
      </c>
      <c r="J147" s="6" t="n">
        <f aca="false">IFERROR(INDEX(Rounds!$A:$A,MATCH(I147,Rounds!$B:$B,0)),"ADD LEAGUE TO ROUNDS")</f>
        <v>2</v>
      </c>
      <c r="K147" s="6" t="n">
        <f aca="false">IFERROR(VALUE(LEFT(E147,FIND(" - ",E147)-1)),"")</f>
        <v>5</v>
      </c>
      <c r="L147" s="5" t="s">
        <v>552</v>
      </c>
      <c r="N147" s="6" t="n">
        <f aca="false">IF(F147="","",1+COUNTIFS($J:$J,J147,$K:$K,K147,$F:$F,"&gt;"&amp;F147)+COUNTIFS($J:$J,J147,$K:$K,K147,$F:$F,F147,$G:$G,"&gt;"&amp;G147))</f>
        <v>4</v>
      </c>
      <c r="O147" s="6" t="n">
        <f aca="false">IF(L147="","",SUMIFS(Votes!$E:$E,Votes!$A:$A,J147,Votes!$B:$B,K147,Votes!$D:$D,L147))</f>
        <v>10</v>
      </c>
      <c r="P147" s="6" t="n">
        <f aca="false">IF(L147="","",COUNTIFS(Votes!$A:$A,J147,Votes!$B:$B,K147,Votes!$D:$D,L147))</f>
        <v>6</v>
      </c>
      <c r="Q147" s="7" t="str">
        <f aca="false">IF(F147="","Unscored",IF(O147="","No URI",IF(AND(F147=0,O147=0),"Zero-vote",IF(AND(F147=O147,G147=P147),"OK",IF(AND(F147=0,O147&gt;0,COUNTIFS(Votes!$A:$A,J147,Votes!$B:$B,K147,Votes!$C:$C,D147)=0),"Forfeited","Mismatch")))))</f>
        <v>OK</v>
      </c>
      <c r="R147" s="6" t="n">
        <f aca="false">MAX(IF(L147&lt;&gt;"",COUNTIF($L:$L,L147),0),COUNTIFS($A:$A,A147,$B:$B,B147))</f>
        <v>1</v>
      </c>
      <c r="S147" s="6" t="str">
        <f aca="false">IF(R147&gt;1,COUNTIF($R$2:R147,"&gt;1"),"")</f>
        <v/>
      </c>
      <c r="T147" s="6" t="str">
        <f aca="false">IF(L147="","",J147&amp;"|"&amp;K147&amp;"|"&amp;L147)</f>
        <v>2|5|spotify:track:0YZ3J8xzGwLOg4yEgST1YK</v>
      </c>
      <c r="U147" s="6" t="str">
        <f aca="false">IF(C147="","",IFERROR(INDEX(Lists!$F:$F,MATCH(C147,Lists!$E:$E,0)),"Unmapped"))</f>
        <v>Rock</v>
      </c>
    </row>
    <row r="148" customFormat="false" ht="15" hidden="false" customHeight="false" outlineLevel="0" collapsed="false">
      <c r="A148" s="5" t="s">
        <v>553</v>
      </c>
      <c r="B148" s="5" t="s">
        <v>554</v>
      </c>
      <c r="C148" s="5" t="s">
        <v>105</v>
      </c>
      <c r="D148" s="5" t="s">
        <v>119</v>
      </c>
      <c r="E148" s="5" t="s">
        <v>541</v>
      </c>
      <c r="F148" s="5" t="n">
        <v>7</v>
      </c>
      <c r="G148" s="5" t="n">
        <v>4</v>
      </c>
      <c r="H148" s="6" t="str">
        <f aca="false">IF(N148="","",N148&amp;IF(AND(MOD(N148,100)&gt;=11,MOD(N148,100)&lt;=13),"th",CHOOSE(MIN(5,MOD(N148,10)+1),"th","st","nd","rd","th")))</f>
        <v>5th</v>
      </c>
      <c r="I148" s="5" t="s">
        <v>365</v>
      </c>
      <c r="J148" s="6" t="n">
        <f aca="false">IFERROR(INDEX(Rounds!$A:$A,MATCH(I148,Rounds!$B:$B,0)),"ADD LEAGUE TO ROUNDS")</f>
        <v>2</v>
      </c>
      <c r="K148" s="6" t="n">
        <f aca="false">IFERROR(VALUE(LEFT(E148,FIND(" - ",E148)-1)),"")</f>
        <v>5</v>
      </c>
      <c r="L148" s="5" t="s">
        <v>555</v>
      </c>
      <c r="N148" s="6" t="n">
        <f aca="false">IF(F148="","",1+COUNTIFS($J:$J,J148,$K:$K,K148,$F:$F,"&gt;"&amp;F148)+COUNTIFS($J:$J,J148,$K:$K,K148,$F:$F,F148,$G:$G,"&gt;"&amp;G148))</f>
        <v>5</v>
      </c>
      <c r="O148" s="6" t="n">
        <f aca="false">IF(L148="","",SUMIFS(Votes!$E:$E,Votes!$A:$A,J148,Votes!$B:$B,K148,Votes!$D:$D,L148))</f>
        <v>7</v>
      </c>
      <c r="P148" s="6" t="n">
        <f aca="false">IF(L148="","",COUNTIFS(Votes!$A:$A,J148,Votes!$B:$B,K148,Votes!$D:$D,L148))</f>
        <v>4</v>
      </c>
      <c r="Q148" s="7" t="str">
        <f aca="false">IF(F148="","Unscored",IF(O148="","No URI",IF(AND(F148=0,O148=0),"Zero-vote",IF(AND(F148=O148,G148=P148),"OK",IF(AND(F148=0,O148&gt;0,COUNTIFS(Votes!$A:$A,J148,Votes!$B:$B,K148,Votes!$C:$C,D148)=0),"Forfeited","Mismatch")))))</f>
        <v>OK</v>
      </c>
      <c r="R148" s="6" t="n">
        <f aca="false">MAX(IF(L148&lt;&gt;"",COUNTIF($L:$L,L148),0),COUNTIFS($A:$A,A148,$B:$B,B148))</f>
        <v>1</v>
      </c>
      <c r="S148" s="6" t="str">
        <f aca="false">IF(R148&gt;1,COUNTIF($R$2:R148,"&gt;1"),"")</f>
        <v/>
      </c>
      <c r="T148" s="6" t="str">
        <f aca="false">IF(L148="","",J148&amp;"|"&amp;K148&amp;"|"&amp;L148)</f>
        <v>2|5|spotify:track:1Cj2vqUwlJVG27gJrun92y</v>
      </c>
      <c r="U148" s="6" t="str">
        <f aca="false">IF(C148="","",IFERROR(INDEX(Lists!$F:$F,MATCH(C148,Lists!$E:$E,0)),"Unmapped"))</f>
        <v>Metal</v>
      </c>
    </row>
    <row r="149" customFormat="false" ht="15" hidden="false" customHeight="false" outlineLevel="0" collapsed="false">
      <c r="A149" s="5" t="s">
        <v>556</v>
      </c>
      <c r="B149" s="5" t="s">
        <v>557</v>
      </c>
      <c r="C149" s="5" t="s">
        <v>91</v>
      </c>
      <c r="D149" s="5" t="s">
        <v>92</v>
      </c>
      <c r="E149" s="5" t="s">
        <v>541</v>
      </c>
      <c r="F149" s="5" t="n">
        <v>6</v>
      </c>
      <c r="G149" s="5" t="n">
        <v>4</v>
      </c>
      <c r="H149" s="6" t="str">
        <f aca="false">IF(N149="","",N149&amp;IF(AND(MOD(N149,100)&gt;=11,MOD(N149,100)&lt;=13),"th",CHOOSE(MIN(5,MOD(N149,10)+1),"th","st","nd","rd","th")))</f>
        <v>6th</v>
      </c>
      <c r="I149" s="5" t="s">
        <v>365</v>
      </c>
      <c r="J149" s="6" t="n">
        <f aca="false">IFERROR(INDEX(Rounds!$A:$A,MATCH(I149,Rounds!$B:$B,0)),"ADD LEAGUE TO ROUNDS")</f>
        <v>2</v>
      </c>
      <c r="K149" s="6" t="n">
        <f aca="false">IFERROR(VALUE(LEFT(E149,FIND(" - ",E149)-1)),"")</f>
        <v>5</v>
      </c>
      <c r="L149" s="5" t="s">
        <v>558</v>
      </c>
      <c r="N149" s="6" t="n">
        <f aca="false">IF(F149="","",1+COUNTIFS($J:$J,J149,$K:$K,K149,$F:$F,"&gt;"&amp;F149)+COUNTIFS($J:$J,J149,$K:$K,K149,$F:$F,F149,$G:$G,"&gt;"&amp;G149))</f>
        <v>6</v>
      </c>
      <c r="O149" s="6" t="n">
        <f aca="false">IF(L149="","",SUMIFS(Votes!$E:$E,Votes!$A:$A,J149,Votes!$B:$B,K149,Votes!$D:$D,L149))</f>
        <v>6</v>
      </c>
      <c r="P149" s="6" t="n">
        <f aca="false">IF(L149="","",COUNTIFS(Votes!$A:$A,J149,Votes!$B:$B,K149,Votes!$D:$D,L149))</f>
        <v>4</v>
      </c>
      <c r="Q149" s="7" t="str">
        <f aca="false">IF(F149="","Unscored",IF(O149="","No URI",IF(AND(F149=0,O149=0),"Zero-vote",IF(AND(F149=O149,G149=P149),"OK",IF(AND(F149=0,O149&gt;0,COUNTIFS(Votes!$A:$A,J149,Votes!$B:$B,K149,Votes!$C:$C,D149)=0),"Forfeited","Mismatch")))))</f>
        <v>OK</v>
      </c>
      <c r="R149" s="6" t="n">
        <f aca="false">MAX(IF(L149&lt;&gt;"",COUNTIF($L:$L,L149),0),COUNTIFS($A:$A,A149,$B:$B,B149))</f>
        <v>1</v>
      </c>
      <c r="S149" s="6" t="str">
        <f aca="false">IF(R149&gt;1,COUNTIF($R$2:R149,"&gt;1"),"")</f>
        <v/>
      </c>
      <c r="T149" s="6" t="str">
        <f aca="false">IF(L149="","",J149&amp;"|"&amp;K149&amp;"|"&amp;L149)</f>
        <v>2|5|spotify:track:6qXdC5KUAii87YnD9MOGG9</v>
      </c>
      <c r="U149" s="6" t="str">
        <f aca="false">IF(C149="","",IFERROR(INDEX(Lists!$F:$F,MATCH(C149,Lists!$E:$E,0)),"Unmapped"))</f>
        <v>Rock</v>
      </c>
    </row>
    <row r="150" customFormat="false" ht="15" hidden="false" customHeight="false" outlineLevel="0" collapsed="false">
      <c r="A150" s="5" t="s">
        <v>559</v>
      </c>
      <c r="B150" s="5" t="s">
        <v>560</v>
      </c>
      <c r="C150" s="5" t="s">
        <v>96</v>
      </c>
      <c r="D150" s="5" t="s">
        <v>116</v>
      </c>
      <c r="E150" s="5" t="s">
        <v>541</v>
      </c>
      <c r="F150" s="5" t="n">
        <v>6</v>
      </c>
      <c r="G150" s="5" t="n">
        <v>4</v>
      </c>
      <c r="H150" s="6" t="str">
        <f aca="false">IF(N150="","",N150&amp;IF(AND(MOD(N150,100)&gt;=11,MOD(N150,100)&lt;=13),"th",CHOOSE(MIN(5,MOD(N150,10)+1),"th","st","nd","rd","th")))</f>
        <v>6th</v>
      </c>
      <c r="I150" s="5" t="s">
        <v>365</v>
      </c>
      <c r="J150" s="6" t="n">
        <f aca="false">IFERROR(INDEX(Rounds!$A:$A,MATCH(I150,Rounds!$B:$B,0)),"ADD LEAGUE TO ROUNDS")</f>
        <v>2</v>
      </c>
      <c r="K150" s="6" t="n">
        <f aca="false">IFERROR(VALUE(LEFT(E150,FIND(" - ",E150)-1)),"")</f>
        <v>5</v>
      </c>
      <c r="L150" s="5" t="s">
        <v>561</v>
      </c>
      <c r="N150" s="6" t="n">
        <f aca="false">IF(F150="","",1+COUNTIFS($J:$J,J150,$K:$K,K150,$F:$F,"&gt;"&amp;F150)+COUNTIFS($J:$J,J150,$K:$K,K150,$F:$F,F150,$G:$G,"&gt;"&amp;G150))</f>
        <v>6</v>
      </c>
      <c r="O150" s="6" t="n">
        <f aca="false">IF(L150="","",SUMIFS(Votes!$E:$E,Votes!$A:$A,J150,Votes!$B:$B,K150,Votes!$D:$D,L150))</f>
        <v>6</v>
      </c>
      <c r="P150" s="6" t="n">
        <f aca="false">IF(L150="","",COUNTIFS(Votes!$A:$A,J150,Votes!$B:$B,K150,Votes!$D:$D,L150))</f>
        <v>4</v>
      </c>
      <c r="Q150" s="7" t="str">
        <f aca="false">IF(F150="","Unscored",IF(O150="","No URI",IF(AND(F150=0,O150=0),"Zero-vote",IF(AND(F150=O150,G150=P150),"OK",IF(AND(F150=0,O150&gt;0,COUNTIFS(Votes!$A:$A,J150,Votes!$B:$B,K150,Votes!$C:$C,D150)=0),"Forfeited","Mismatch")))))</f>
        <v>OK</v>
      </c>
      <c r="R150" s="6" t="n">
        <f aca="false">MAX(IF(L150&lt;&gt;"",COUNTIF($L:$L,L150),0),COUNTIFS($A:$A,A150,$B:$B,B150))</f>
        <v>1</v>
      </c>
      <c r="S150" s="6" t="str">
        <f aca="false">IF(R150&gt;1,COUNTIF($R$2:R150,"&gt;1"),"")</f>
        <v/>
      </c>
      <c r="T150" s="6" t="str">
        <f aca="false">IF(L150="","",J150&amp;"|"&amp;K150&amp;"|"&amp;L150)</f>
        <v>2|5|spotify:track:5it9RIRXDwiLpJKdce6Z7e</v>
      </c>
      <c r="U150" s="6" t="str">
        <f aca="false">IF(C150="","",IFERROR(INDEX(Lists!$F:$F,MATCH(C150,Lists!$E:$E,0)),"Unmapped"))</f>
        <v>R&amp;B/Soul</v>
      </c>
    </row>
    <row r="151" customFormat="false" ht="15" hidden="false" customHeight="false" outlineLevel="0" collapsed="false">
      <c r="A151" s="5" t="s">
        <v>562</v>
      </c>
      <c r="B151" s="5" t="s">
        <v>368</v>
      </c>
      <c r="C151" s="5" t="s">
        <v>91</v>
      </c>
      <c r="D151" s="5" t="s">
        <v>106</v>
      </c>
      <c r="E151" s="5" t="s">
        <v>541</v>
      </c>
      <c r="F151" s="5" t="n">
        <v>5</v>
      </c>
      <c r="G151" s="5" t="n">
        <v>4</v>
      </c>
      <c r="H151" s="6" t="str">
        <f aca="false">IF(N151="","",N151&amp;IF(AND(MOD(N151,100)&gt;=11,MOD(N151,100)&lt;=13),"th",CHOOSE(MIN(5,MOD(N151,10)+1),"th","st","nd","rd","th")))</f>
        <v>8th</v>
      </c>
      <c r="I151" s="5" t="s">
        <v>365</v>
      </c>
      <c r="J151" s="6" t="n">
        <f aca="false">IFERROR(INDEX(Rounds!$A:$A,MATCH(I151,Rounds!$B:$B,0)),"ADD LEAGUE TO ROUNDS")</f>
        <v>2</v>
      </c>
      <c r="K151" s="6" t="n">
        <f aca="false">IFERROR(VALUE(LEFT(E151,FIND(" - ",E151)-1)),"")</f>
        <v>5</v>
      </c>
      <c r="L151" s="5" t="s">
        <v>563</v>
      </c>
      <c r="N151" s="6" t="n">
        <f aca="false">IF(F151="","",1+COUNTIFS($J:$J,J151,$K:$K,K151,$F:$F,"&gt;"&amp;F151)+COUNTIFS($J:$J,J151,$K:$K,K151,$F:$F,F151,$G:$G,"&gt;"&amp;G151))</f>
        <v>8</v>
      </c>
      <c r="O151" s="6" t="n">
        <f aca="false">IF(L151="","",SUMIFS(Votes!$E:$E,Votes!$A:$A,J151,Votes!$B:$B,K151,Votes!$D:$D,L151))</f>
        <v>5</v>
      </c>
      <c r="P151" s="6" t="n">
        <f aca="false">IF(L151="","",COUNTIFS(Votes!$A:$A,J151,Votes!$B:$B,K151,Votes!$D:$D,L151))</f>
        <v>4</v>
      </c>
      <c r="Q151" s="7" t="str">
        <f aca="false">IF(F151="","Unscored",IF(O151="","No URI",IF(AND(F151=0,O151=0),"Zero-vote",IF(AND(F151=O151,G151=P151),"OK",IF(AND(F151=0,O151&gt;0,COUNTIFS(Votes!$A:$A,J151,Votes!$B:$B,K151,Votes!$C:$C,D151)=0),"Forfeited","Mismatch")))))</f>
        <v>OK</v>
      </c>
      <c r="R151" s="6" t="n">
        <f aca="false">MAX(IF(L151&lt;&gt;"",COUNTIF($L:$L,L151),0),COUNTIFS($A:$A,A151,$B:$B,B151))</f>
        <v>1</v>
      </c>
      <c r="S151" s="6" t="str">
        <f aca="false">IF(R151&gt;1,COUNTIF($R$2:R151,"&gt;1"),"")</f>
        <v/>
      </c>
      <c r="T151" s="6" t="str">
        <f aca="false">IF(L151="","",J151&amp;"|"&amp;K151&amp;"|"&amp;L151)</f>
        <v>2|5|spotify:track:421eObjg0DTm2qajJl5OJm</v>
      </c>
      <c r="U151" s="6" t="str">
        <f aca="false">IF(C151="","",IFERROR(INDEX(Lists!$F:$F,MATCH(C151,Lists!$E:$E,0)),"Unmapped"))</f>
        <v>Rock</v>
      </c>
    </row>
    <row r="152" customFormat="false" ht="15" hidden="false" customHeight="false" outlineLevel="0" collapsed="false">
      <c r="A152" s="5" t="s">
        <v>564</v>
      </c>
      <c r="B152" s="5" t="s">
        <v>565</v>
      </c>
      <c r="C152" s="5" t="s">
        <v>105</v>
      </c>
      <c r="D152" s="5" t="s">
        <v>378</v>
      </c>
      <c r="E152" s="5" t="s">
        <v>541</v>
      </c>
      <c r="F152" s="5" t="n">
        <v>5</v>
      </c>
      <c r="G152" s="5" t="n">
        <v>3</v>
      </c>
      <c r="H152" s="6" t="str">
        <f aca="false">IF(N152="","",N152&amp;IF(AND(MOD(N152,100)&gt;=11,MOD(N152,100)&lt;=13),"th",CHOOSE(MIN(5,MOD(N152,10)+1),"th","st","nd","rd","th")))</f>
        <v>9th</v>
      </c>
      <c r="I152" s="5" t="s">
        <v>365</v>
      </c>
      <c r="J152" s="6" t="n">
        <f aca="false">IFERROR(INDEX(Rounds!$A:$A,MATCH(I152,Rounds!$B:$B,0)),"ADD LEAGUE TO ROUNDS")</f>
        <v>2</v>
      </c>
      <c r="K152" s="6" t="n">
        <f aca="false">IFERROR(VALUE(LEFT(E152,FIND(" - ",E152)-1)),"")</f>
        <v>5</v>
      </c>
      <c r="L152" s="5" t="s">
        <v>566</v>
      </c>
      <c r="N152" s="6" t="n">
        <f aca="false">IF(F152="","",1+COUNTIFS($J:$J,J152,$K:$K,K152,$F:$F,"&gt;"&amp;F152)+COUNTIFS($J:$J,J152,$K:$K,K152,$F:$F,F152,$G:$G,"&gt;"&amp;G152))</f>
        <v>9</v>
      </c>
      <c r="O152" s="6" t="n">
        <f aca="false">IF(L152="","",SUMIFS(Votes!$E:$E,Votes!$A:$A,J152,Votes!$B:$B,K152,Votes!$D:$D,L152))</f>
        <v>5</v>
      </c>
      <c r="P152" s="6" t="n">
        <f aca="false">IF(L152="","",COUNTIFS(Votes!$A:$A,J152,Votes!$B:$B,K152,Votes!$D:$D,L152))</f>
        <v>3</v>
      </c>
      <c r="Q152" s="7" t="str">
        <f aca="false">IF(F152="","Unscored",IF(O152="","No URI",IF(AND(F152=0,O152=0),"Zero-vote",IF(AND(F152=O152,G152=P152),"OK",IF(AND(F152=0,O152&gt;0,COUNTIFS(Votes!$A:$A,J152,Votes!$B:$B,K152,Votes!$C:$C,D152)=0),"Forfeited","Mismatch")))))</f>
        <v>OK</v>
      </c>
      <c r="R152" s="6" t="n">
        <f aca="false">MAX(IF(L152&lt;&gt;"",COUNTIF($L:$L,L152),0),COUNTIFS($A:$A,A152,$B:$B,B152))</f>
        <v>1</v>
      </c>
      <c r="S152" s="6" t="str">
        <f aca="false">IF(R152&gt;1,COUNTIF($R$2:R152,"&gt;1"),"")</f>
        <v/>
      </c>
      <c r="T152" s="6" t="str">
        <f aca="false">IF(L152="","",J152&amp;"|"&amp;K152&amp;"|"&amp;L152)</f>
        <v>2|5|spotify:track:73U1KkjdT0sMgGaKn3P6Z4</v>
      </c>
      <c r="U152" s="6" t="str">
        <f aca="false">IF(C152="","",IFERROR(INDEX(Lists!$F:$F,MATCH(C152,Lists!$E:$E,0)),"Unmapped"))</f>
        <v>Metal</v>
      </c>
    </row>
    <row r="153" customFormat="false" ht="15" hidden="false" customHeight="false" outlineLevel="0" collapsed="false">
      <c r="A153" s="5" t="s">
        <v>567</v>
      </c>
      <c r="B153" s="5" t="s">
        <v>568</v>
      </c>
      <c r="C153" s="5" t="s">
        <v>96</v>
      </c>
      <c r="D153" s="5" t="s">
        <v>85</v>
      </c>
      <c r="E153" s="5" t="s">
        <v>541</v>
      </c>
      <c r="F153" s="5" t="n">
        <v>3</v>
      </c>
      <c r="G153" s="5" t="n">
        <v>2</v>
      </c>
      <c r="H153" s="6" t="str">
        <f aca="false">IF(N153="","",N153&amp;IF(AND(MOD(N153,100)&gt;=11,MOD(N153,100)&lt;=13),"th",CHOOSE(MIN(5,MOD(N153,10)+1),"th","st","nd","rd","th")))</f>
        <v>10th</v>
      </c>
      <c r="I153" s="5" t="s">
        <v>365</v>
      </c>
      <c r="J153" s="6" t="n">
        <f aca="false">IFERROR(INDEX(Rounds!$A:$A,MATCH(I153,Rounds!$B:$B,0)),"ADD LEAGUE TO ROUNDS")</f>
        <v>2</v>
      </c>
      <c r="K153" s="6" t="n">
        <f aca="false">IFERROR(VALUE(LEFT(E153,FIND(" - ",E153)-1)),"")</f>
        <v>5</v>
      </c>
      <c r="L153" s="5" t="s">
        <v>569</v>
      </c>
      <c r="N153" s="6" t="n">
        <f aca="false">IF(F153="","",1+COUNTIFS($J:$J,J153,$K:$K,K153,$F:$F,"&gt;"&amp;F153)+COUNTIFS($J:$J,J153,$K:$K,K153,$F:$F,F153,$G:$G,"&gt;"&amp;G153))</f>
        <v>10</v>
      </c>
      <c r="O153" s="6" t="n">
        <f aca="false">IF(L153="","",SUMIFS(Votes!$E:$E,Votes!$A:$A,J153,Votes!$B:$B,K153,Votes!$D:$D,L153))</f>
        <v>3</v>
      </c>
      <c r="P153" s="6" t="n">
        <f aca="false">IF(L153="","",COUNTIFS(Votes!$A:$A,J153,Votes!$B:$B,K153,Votes!$D:$D,L153))</f>
        <v>2</v>
      </c>
      <c r="Q153" s="7" t="str">
        <f aca="false">IF(F153="","Unscored",IF(O153="","No URI",IF(AND(F153=0,O153=0),"Zero-vote",IF(AND(F153=O153,G153=P153),"OK",IF(AND(F153=0,O153&gt;0,COUNTIFS(Votes!$A:$A,J153,Votes!$B:$B,K153,Votes!$C:$C,D153)=0),"Forfeited","Mismatch")))))</f>
        <v>OK</v>
      </c>
      <c r="R153" s="6" t="n">
        <f aca="false">MAX(IF(L153&lt;&gt;"",COUNTIF($L:$L,L153),0),COUNTIFS($A:$A,A153,$B:$B,B153))</f>
        <v>1</v>
      </c>
      <c r="S153" s="6" t="str">
        <f aca="false">IF(R153&gt;1,COUNTIF($R$2:R153,"&gt;1"),"")</f>
        <v/>
      </c>
      <c r="T153" s="6" t="str">
        <f aca="false">IF(L153="","",J153&amp;"|"&amp;K153&amp;"|"&amp;L153)</f>
        <v>2|5|spotify:track:6kopmMZiyLmw7h66uXcXR7</v>
      </c>
      <c r="U153" s="6" t="str">
        <f aca="false">IF(C153="","",IFERROR(INDEX(Lists!$F:$F,MATCH(C153,Lists!$E:$E,0)),"Unmapped"))</f>
        <v>R&amp;B/Soul</v>
      </c>
    </row>
    <row r="154" customFormat="false" ht="15" hidden="false" customHeight="false" outlineLevel="0" collapsed="false">
      <c r="A154" s="5" t="s">
        <v>570</v>
      </c>
      <c r="B154" s="5" t="s">
        <v>571</v>
      </c>
      <c r="C154" s="5" t="s">
        <v>491</v>
      </c>
      <c r="D154" s="5" t="s">
        <v>375</v>
      </c>
      <c r="E154" s="5" t="s">
        <v>541</v>
      </c>
      <c r="F154" s="5" t="n">
        <v>0</v>
      </c>
      <c r="G154" s="5" t="n">
        <v>7</v>
      </c>
      <c r="H154" s="6" t="str">
        <f aca="false">IF(N154="","",N154&amp;IF(AND(MOD(N154,100)&gt;=11,MOD(N154,100)&lt;=13),"th",CHOOSE(MIN(5,MOD(N154,10)+1),"th","st","nd","rd","th")))</f>
        <v>11th</v>
      </c>
      <c r="I154" s="5" t="s">
        <v>365</v>
      </c>
      <c r="J154" s="6" t="n">
        <f aca="false">IFERROR(INDEX(Rounds!$A:$A,MATCH(I154,Rounds!$B:$B,0)),"ADD LEAGUE TO ROUNDS")</f>
        <v>2</v>
      </c>
      <c r="K154" s="6" t="n">
        <f aca="false">IFERROR(VALUE(LEFT(E154,FIND(" - ",E154)-1)),"")</f>
        <v>5</v>
      </c>
      <c r="L154" s="5" t="s">
        <v>572</v>
      </c>
      <c r="N154" s="6" t="n">
        <f aca="false">IF(F154="","",1+COUNTIFS($J:$J,J154,$K:$K,K154,$F:$F,"&gt;"&amp;F154)+COUNTIFS($J:$J,J154,$K:$K,K154,$F:$F,F154,$G:$G,"&gt;"&amp;G154))</f>
        <v>11</v>
      </c>
      <c r="O154" s="6" t="n">
        <f aca="false">IF(L154="","",SUMIFS(Votes!$E:$E,Votes!$A:$A,J154,Votes!$B:$B,K154,Votes!$D:$D,L154))</f>
        <v>13</v>
      </c>
      <c r="P154" s="6" t="n">
        <f aca="false">IF(L154="","",COUNTIFS(Votes!$A:$A,J154,Votes!$B:$B,K154,Votes!$D:$D,L154))</f>
        <v>7</v>
      </c>
      <c r="Q154" s="7" t="str">
        <f aca="false">IF(F154="","Unscored",IF(O154="","No URI",IF(AND(F154=0,O154=0),"Zero-vote",IF(AND(F154=O154,G154=P154),"OK",IF(AND(F154=0,O154&gt;0,COUNTIFS(Votes!$A:$A,J154,Votes!$B:$B,K154,Votes!$C:$C,D154)=0),"Forfeited","Mismatch")))))</f>
        <v>Forfeited</v>
      </c>
      <c r="R154" s="6" t="n">
        <f aca="false">MAX(IF(L154&lt;&gt;"",COUNTIF($L:$L,L154),0),COUNTIFS($A:$A,A154,$B:$B,B154))</f>
        <v>1</v>
      </c>
      <c r="S154" s="6" t="str">
        <f aca="false">IF(R154&gt;1,COUNTIF($R$2:R154,"&gt;1"),"")</f>
        <v/>
      </c>
      <c r="T154" s="6" t="str">
        <f aca="false">IF(L154="","",J154&amp;"|"&amp;K154&amp;"|"&amp;L154)</f>
        <v>2|5|spotify:track:4uOKFydzAejjSFqYbv1XPt</v>
      </c>
      <c r="U154" s="6" t="str">
        <f aca="false">IF(C154="","",IFERROR(INDEX(Lists!$F:$F,MATCH(C154,Lists!$E:$E,0)),"Unmapped"))</f>
        <v>Reggae</v>
      </c>
    </row>
    <row r="155" customFormat="false" ht="15" hidden="false" customHeight="false" outlineLevel="0" collapsed="false">
      <c r="A155" s="5" t="s">
        <v>573</v>
      </c>
      <c r="B155" s="5" t="s">
        <v>574</v>
      </c>
      <c r="C155" s="5" t="s">
        <v>84</v>
      </c>
      <c r="D155" s="5" t="s">
        <v>101</v>
      </c>
      <c r="E155" s="5" t="s">
        <v>541</v>
      </c>
      <c r="F155" s="5" t="n">
        <v>0</v>
      </c>
      <c r="G155" s="5" t="n">
        <v>4</v>
      </c>
      <c r="H155" s="6" t="str">
        <f aca="false">IF(N155="","",N155&amp;IF(AND(MOD(N155,100)&gt;=11,MOD(N155,100)&lt;=13),"th",CHOOSE(MIN(5,MOD(N155,10)+1),"th","st","nd","rd","th")))</f>
        <v>12th</v>
      </c>
      <c r="I155" s="5" t="s">
        <v>365</v>
      </c>
      <c r="J155" s="6" t="n">
        <f aca="false">IFERROR(INDEX(Rounds!$A:$A,MATCH(I155,Rounds!$B:$B,0)),"ADD LEAGUE TO ROUNDS")</f>
        <v>2</v>
      </c>
      <c r="K155" s="6" t="n">
        <f aca="false">IFERROR(VALUE(LEFT(E155,FIND(" - ",E155)-1)),"")</f>
        <v>5</v>
      </c>
      <c r="L155" s="5" t="s">
        <v>575</v>
      </c>
      <c r="N155" s="6" t="n">
        <f aca="false">IF(F155="","",1+COUNTIFS($J:$J,J155,$K:$K,K155,$F:$F,"&gt;"&amp;F155)+COUNTIFS($J:$J,J155,$K:$K,K155,$F:$F,F155,$G:$G,"&gt;"&amp;G155))</f>
        <v>12</v>
      </c>
      <c r="O155" s="6" t="n">
        <f aca="false">IF(L155="","",SUMIFS(Votes!$E:$E,Votes!$A:$A,J155,Votes!$B:$B,K155,Votes!$D:$D,L155))</f>
        <v>5</v>
      </c>
      <c r="P155" s="6" t="n">
        <f aca="false">IF(L155="","",COUNTIFS(Votes!$A:$A,J155,Votes!$B:$B,K155,Votes!$D:$D,L155))</f>
        <v>4</v>
      </c>
      <c r="Q155" s="7" t="str">
        <f aca="false">IF(F155="","Unscored",IF(O155="","No URI",IF(AND(F155=0,O155=0),"Zero-vote",IF(AND(F155=O155,G155=P155),"OK",IF(AND(F155=0,O155&gt;0,COUNTIFS(Votes!$A:$A,J155,Votes!$B:$B,K155,Votes!$C:$C,D155)=0),"Forfeited","Mismatch")))))</f>
        <v>Forfeited</v>
      </c>
      <c r="R155" s="6" t="n">
        <f aca="false">MAX(IF(L155&lt;&gt;"",COUNTIF($L:$L,L155),0),COUNTIFS($A:$A,A155,$B:$B,B155))</f>
        <v>1</v>
      </c>
      <c r="S155" s="6" t="str">
        <f aca="false">IF(R155&gt;1,COUNTIF($R$2:R155,"&gt;1"),"")</f>
        <v/>
      </c>
      <c r="T155" s="6" t="str">
        <f aca="false">IF(L155="","",J155&amp;"|"&amp;K155&amp;"|"&amp;L155)</f>
        <v>2|5|spotify:track:2BOqDYLOJBiMOXShCV1neZ</v>
      </c>
      <c r="U155" s="6" t="str">
        <f aca="false">IF(C155="","",IFERROR(INDEX(Lists!$F:$F,MATCH(C155,Lists!$E:$E,0)),"Unmapped"))</f>
        <v>Pop</v>
      </c>
    </row>
    <row r="156" customFormat="false" ht="15" hidden="false" customHeight="false" outlineLevel="0" collapsed="false">
      <c r="A156" s="5" t="s">
        <v>576</v>
      </c>
      <c r="B156" s="5" t="s">
        <v>577</v>
      </c>
      <c r="C156" s="5" t="s">
        <v>293</v>
      </c>
      <c r="D156" s="5" t="s">
        <v>85</v>
      </c>
      <c r="E156" s="5" t="s">
        <v>578</v>
      </c>
      <c r="F156" s="5" t="n">
        <v>16</v>
      </c>
      <c r="G156" s="5" t="n">
        <v>8</v>
      </c>
      <c r="H156" s="6" t="str">
        <f aca="false">IF(N156="","",N156&amp;IF(AND(MOD(N156,100)&gt;=11,MOD(N156,100)&lt;=13),"th",CHOOSE(MIN(5,MOD(N156,10)+1),"th","st","nd","rd","th")))</f>
        <v>1st</v>
      </c>
      <c r="I156" s="5" t="s">
        <v>365</v>
      </c>
      <c r="J156" s="6" t="n">
        <f aca="false">IFERROR(INDEX(Rounds!$A:$A,MATCH(I156,Rounds!$B:$B,0)),"ADD LEAGUE TO ROUNDS")</f>
        <v>2</v>
      </c>
      <c r="K156" s="6" t="n">
        <f aca="false">IFERROR(VALUE(LEFT(E156,FIND(" - ",E156)-1)),"")</f>
        <v>6</v>
      </c>
      <c r="L156" s="5" t="s">
        <v>579</v>
      </c>
      <c r="N156" s="6" t="n">
        <f aca="false">IF(F156="","",1+COUNTIFS($J:$J,J156,$K:$K,K156,$F:$F,"&gt;"&amp;F156)+COUNTIFS($J:$J,J156,$K:$K,K156,$F:$F,F156,$G:$G,"&gt;"&amp;G156))</f>
        <v>1</v>
      </c>
      <c r="O156" s="6" t="n">
        <f aca="false">IF(L156="","",SUMIFS(Votes!$E:$E,Votes!$A:$A,J156,Votes!$B:$B,K156,Votes!$D:$D,L156))</f>
        <v>16</v>
      </c>
      <c r="P156" s="6" t="n">
        <f aca="false">IF(L156="","",COUNTIFS(Votes!$A:$A,J156,Votes!$B:$B,K156,Votes!$D:$D,L156))</f>
        <v>8</v>
      </c>
      <c r="Q156" s="7" t="str">
        <f aca="false">IF(F156="","Unscored",IF(O156="","No URI",IF(AND(F156=0,O156=0),"Zero-vote",IF(AND(F156=O156,G156=P156),"OK",IF(AND(F156=0,O156&gt;0,COUNTIFS(Votes!$A:$A,J156,Votes!$B:$B,K156,Votes!$C:$C,D156)=0),"Forfeited","Mismatch")))))</f>
        <v>OK</v>
      </c>
      <c r="R156" s="6" t="n">
        <f aca="false">MAX(IF(L156&lt;&gt;"",COUNTIF($L:$L,L156),0),COUNTIFS($A:$A,A156,$B:$B,B156))</f>
        <v>1</v>
      </c>
      <c r="S156" s="6" t="str">
        <f aca="false">IF(R156&gt;1,COUNTIF($R$2:R156,"&gt;1"),"")</f>
        <v/>
      </c>
      <c r="T156" s="6" t="str">
        <f aca="false">IF(L156="","",J156&amp;"|"&amp;K156&amp;"|"&amp;L156)</f>
        <v>2|6|spotify:track:5YJtMNWKe55yr49cyJgxva</v>
      </c>
      <c r="U156" s="6" t="str">
        <f aca="false">IF(C156="","",IFERROR(INDEX(Lists!$F:$F,MATCH(C156,Lists!$E:$E,0)),"Unmapped"))</f>
        <v>Electronic/Dance</v>
      </c>
    </row>
    <row r="157" customFormat="false" ht="15" hidden="false" customHeight="false" outlineLevel="0" collapsed="false">
      <c r="A157" s="5" t="s">
        <v>580</v>
      </c>
      <c r="B157" s="5" t="s">
        <v>371</v>
      </c>
      <c r="C157" s="5" t="s">
        <v>91</v>
      </c>
      <c r="D157" s="5" t="s">
        <v>92</v>
      </c>
      <c r="E157" s="5" t="s">
        <v>578</v>
      </c>
      <c r="F157" s="5" t="n">
        <v>11</v>
      </c>
      <c r="G157" s="5" t="n">
        <v>7</v>
      </c>
      <c r="H157" s="6" t="str">
        <f aca="false">IF(N157="","",N157&amp;IF(AND(MOD(N157,100)&gt;=11,MOD(N157,100)&lt;=13),"th",CHOOSE(MIN(5,MOD(N157,10)+1),"th","st","nd","rd","th")))</f>
        <v>2nd</v>
      </c>
      <c r="I157" s="5" t="s">
        <v>365</v>
      </c>
      <c r="J157" s="6" t="n">
        <f aca="false">IFERROR(INDEX(Rounds!$A:$A,MATCH(I157,Rounds!$B:$B,0)),"ADD LEAGUE TO ROUNDS")</f>
        <v>2</v>
      </c>
      <c r="K157" s="6" t="n">
        <f aca="false">IFERROR(VALUE(LEFT(E157,FIND(" - ",E157)-1)),"")</f>
        <v>6</v>
      </c>
      <c r="L157" s="5" t="s">
        <v>581</v>
      </c>
      <c r="N157" s="6" t="n">
        <f aca="false">IF(F157="","",1+COUNTIFS($J:$J,J157,$K:$K,K157,$F:$F,"&gt;"&amp;F157)+COUNTIFS($J:$J,J157,$K:$K,K157,$F:$F,F157,$G:$G,"&gt;"&amp;G157))</f>
        <v>2</v>
      </c>
      <c r="O157" s="6" t="n">
        <f aca="false">IF(L157="","",SUMIFS(Votes!$E:$E,Votes!$A:$A,J157,Votes!$B:$B,K157,Votes!$D:$D,L157))</f>
        <v>11</v>
      </c>
      <c r="P157" s="6" t="n">
        <f aca="false">IF(L157="","",COUNTIFS(Votes!$A:$A,J157,Votes!$B:$B,K157,Votes!$D:$D,L157))</f>
        <v>7</v>
      </c>
      <c r="Q157" s="7" t="str">
        <f aca="false">IF(F157="","Unscored",IF(O157="","No URI",IF(AND(F157=0,O157=0),"Zero-vote",IF(AND(F157=O157,G157=P157),"OK",IF(AND(F157=0,O157&gt;0,COUNTIFS(Votes!$A:$A,J157,Votes!$B:$B,K157,Votes!$C:$C,D157)=0),"Forfeited","Mismatch")))))</f>
        <v>OK</v>
      </c>
      <c r="R157" s="6" t="n">
        <f aca="false">MAX(IF(L157&lt;&gt;"",COUNTIF($L:$L,L157),0),COUNTIFS($A:$A,A157,$B:$B,B157))</f>
        <v>2</v>
      </c>
      <c r="S157" s="6" t="n">
        <f aca="false">IF(R157&gt;1,COUNTIF($R$2:R157,"&gt;1"),"")</f>
        <v>12</v>
      </c>
      <c r="T157" s="6" t="str">
        <f aca="false">IF(L157="","",J157&amp;"|"&amp;K157&amp;"|"&amp;L157)</f>
        <v>2|6|spotify:track:2TfSHkHiFO4gRztVIkggkE</v>
      </c>
      <c r="U157" s="6" t="str">
        <f aca="false">IF(C157="","",IFERROR(INDEX(Lists!$F:$F,MATCH(C157,Lists!$E:$E,0)),"Unmapped"))</f>
        <v>Rock</v>
      </c>
    </row>
    <row r="158" customFormat="false" ht="15" hidden="false" customHeight="false" outlineLevel="0" collapsed="false">
      <c r="A158" s="5" t="s">
        <v>582</v>
      </c>
      <c r="B158" s="5" t="s">
        <v>583</v>
      </c>
      <c r="C158" s="5" t="s">
        <v>91</v>
      </c>
      <c r="D158" s="5" t="s">
        <v>484</v>
      </c>
      <c r="E158" s="5" t="s">
        <v>578</v>
      </c>
      <c r="F158" s="5" t="n">
        <v>10</v>
      </c>
      <c r="G158" s="5" t="n">
        <v>7</v>
      </c>
      <c r="H158" s="6" t="str">
        <f aca="false">IF(N158="","",N158&amp;IF(AND(MOD(N158,100)&gt;=11,MOD(N158,100)&lt;=13),"th",CHOOSE(MIN(5,MOD(N158,10)+1),"th","st","nd","rd","th")))</f>
        <v>3rd</v>
      </c>
      <c r="I158" s="5" t="s">
        <v>365</v>
      </c>
      <c r="J158" s="6" t="n">
        <f aca="false">IFERROR(INDEX(Rounds!$A:$A,MATCH(I158,Rounds!$B:$B,0)),"ADD LEAGUE TO ROUNDS")</f>
        <v>2</v>
      </c>
      <c r="K158" s="6" t="n">
        <f aca="false">IFERROR(VALUE(LEFT(E158,FIND(" - ",E158)-1)),"")</f>
        <v>6</v>
      </c>
      <c r="L158" s="5" t="s">
        <v>584</v>
      </c>
      <c r="N158" s="6" t="n">
        <f aca="false">IF(F158="","",1+COUNTIFS($J:$J,J158,$K:$K,K158,$F:$F,"&gt;"&amp;F158)+COUNTIFS($J:$J,J158,$K:$K,K158,$F:$F,F158,$G:$G,"&gt;"&amp;G158))</f>
        <v>3</v>
      </c>
      <c r="O158" s="6" t="n">
        <f aca="false">IF(L158="","",SUMIFS(Votes!$E:$E,Votes!$A:$A,J158,Votes!$B:$B,K158,Votes!$D:$D,L158))</f>
        <v>10</v>
      </c>
      <c r="P158" s="6" t="n">
        <f aca="false">IF(L158="","",COUNTIFS(Votes!$A:$A,J158,Votes!$B:$B,K158,Votes!$D:$D,L158))</f>
        <v>7</v>
      </c>
      <c r="Q158" s="7" t="str">
        <f aca="false">IF(F158="","Unscored",IF(O158="","No URI",IF(AND(F158=0,O158=0),"Zero-vote",IF(AND(F158=O158,G158=P158),"OK",IF(AND(F158=0,O158&gt;0,COUNTIFS(Votes!$A:$A,J158,Votes!$B:$B,K158,Votes!$C:$C,D158)=0),"Forfeited","Mismatch")))))</f>
        <v>OK</v>
      </c>
      <c r="R158" s="6" t="n">
        <f aca="false">MAX(IF(L158&lt;&gt;"",COUNTIF($L:$L,L158),0),COUNTIFS($A:$A,A158,$B:$B,B158))</f>
        <v>1</v>
      </c>
      <c r="S158" s="6" t="str">
        <f aca="false">IF(R158&gt;1,COUNTIF($R$2:R158,"&gt;1"),"")</f>
        <v/>
      </c>
      <c r="T158" s="6" t="str">
        <f aca="false">IF(L158="","",J158&amp;"|"&amp;K158&amp;"|"&amp;L158)</f>
        <v>2|6|spotify:track:756CJtQRFSxEx9jV4P9hpA</v>
      </c>
      <c r="U158" s="6" t="str">
        <f aca="false">IF(C158="","",IFERROR(INDEX(Lists!$F:$F,MATCH(C158,Lists!$E:$E,0)),"Unmapped"))</f>
        <v>Rock</v>
      </c>
    </row>
    <row r="159" customFormat="false" ht="15" hidden="false" customHeight="false" outlineLevel="0" collapsed="false">
      <c r="A159" s="5" t="s">
        <v>585</v>
      </c>
      <c r="B159" s="5" t="s">
        <v>586</v>
      </c>
      <c r="C159" s="5" t="s">
        <v>84</v>
      </c>
      <c r="D159" s="5" t="s">
        <v>128</v>
      </c>
      <c r="E159" s="5" t="s">
        <v>578</v>
      </c>
      <c r="F159" s="5" t="n">
        <v>10</v>
      </c>
      <c r="G159" s="5" t="n">
        <v>6</v>
      </c>
      <c r="H159" s="6" t="str">
        <f aca="false">IF(N159="","",N159&amp;IF(AND(MOD(N159,100)&gt;=11,MOD(N159,100)&lt;=13),"th",CHOOSE(MIN(5,MOD(N159,10)+1),"th","st","nd","rd","th")))</f>
        <v>4th</v>
      </c>
      <c r="I159" s="5" t="s">
        <v>365</v>
      </c>
      <c r="J159" s="6" t="n">
        <f aca="false">IFERROR(INDEX(Rounds!$A:$A,MATCH(I159,Rounds!$B:$B,0)),"ADD LEAGUE TO ROUNDS")</f>
        <v>2</v>
      </c>
      <c r="K159" s="6" t="n">
        <f aca="false">IFERROR(VALUE(LEFT(E159,FIND(" - ",E159)-1)),"")</f>
        <v>6</v>
      </c>
      <c r="L159" s="5" t="s">
        <v>587</v>
      </c>
      <c r="N159" s="6" t="n">
        <f aca="false">IF(F159="","",1+COUNTIFS($J:$J,J159,$K:$K,K159,$F:$F,"&gt;"&amp;F159)+COUNTIFS($J:$J,J159,$K:$K,K159,$F:$F,F159,$G:$G,"&gt;"&amp;G159))</f>
        <v>4</v>
      </c>
      <c r="O159" s="6" t="n">
        <f aca="false">IF(L159="","",SUMIFS(Votes!$E:$E,Votes!$A:$A,J159,Votes!$B:$B,K159,Votes!$D:$D,L159))</f>
        <v>10</v>
      </c>
      <c r="P159" s="6" t="n">
        <f aca="false">IF(L159="","",COUNTIFS(Votes!$A:$A,J159,Votes!$B:$B,K159,Votes!$D:$D,L159))</f>
        <v>6</v>
      </c>
      <c r="Q159" s="7" t="str">
        <f aca="false">IF(F159="","Unscored",IF(O159="","No URI",IF(AND(F159=0,O159=0),"Zero-vote",IF(AND(F159=O159,G159=P159),"OK",IF(AND(F159=0,O159&gt;0,COUNTIFS(Votes!$A:$A,J159,Votes!$B:$B,K159,Votes!$C:$C,D159)=0),"Forfeited","Mismatch")))))</f>
        <v>OK</v>
      </c>
      <c r="R159" s="6" t="n">
        <f aca="false">MAX(IF(L159&lt;&gt;"",COUNTIF($L:$L,L159),0),COUNTIFS($A:$A,A159,$B:$B,B159))</f>
        <v>1</v>
      </c>
      <c r="S159" s="6" t="str">
        <f aca="false">IF(R159&gt;1,COUNTIF($R$2:R159,"&gt;1"),"")</f>
        <v/>
      </c>
      <c r="T159" s="6" t="str">
        <f aca="false">IF(L159="","",J159&amp;"|"&amp;K159&amp;"|"&amp;L159)</f>
        <v>2|6|spotify:track:1PEqh7awkpuepLBSq8ZwqD</v>
      </c>
      <c r="U159" s="6" t="str">
        <f aca="false">IF(C159="","",IFERROR(INDEX(Lists!$F:$F,MATCH(C159,Lists!$E:$E,0)),"Unmapped"))</f>
        <v>Pop</v>
      </c>
    </row>
    <row r="160" customFormat="false" ht="15" hidden="false" customHeight="false" outlineLevel="0" collapsed="false">
      <c r="A160" s="5" t="s">
        <v>588</v>
      </c>
      <c r="B160" s="5" t="s">
        <v>589</v>
      </c>
      <c r="C160" s="5" t="s">
        <v>91</v>
      </c>
      <c r="D160" s="5" t="s">
        <v>395</v>
      </c>
      <c r="E160" s="5" t="s">
        <v>578</v>
      </c>
      <c r="F160" s="5" t="n">
        <v>10</v>
      </c>
      <c r="G160" s="5" t="n">
        <v>6</v>
      </c>
      <c r="H160" s="6" t="str">
        <f aca="false">IF(N160="","",N160&amp;IF(AND(MOD(N160,100)&gt;=11,MOD(N160,100)&lt;=13),"th",CHOOSE(MIN(5,MOD(N160,10)+1),"th","st","nd","rd","th")))</f>
        <v>4th</v>
      </c>
      <c r="I160" s="5" t="s">
        <v>365</v>
      </c>
      <c r="J160" s="6" t="n">
        <f aca="false">IFERROR(INDEX(Rounds!$A:$A,MATCH(I160,Rounds!$B:$B,0)),"ADD LEAGUE TO ROUNDS")</f>
        <v>2</v>
      </c>
      <c r="K160" s="6" t="n">
        <f aca="false">IFERROR(VALUE(LEFT(E160,FIND(" - ",E160)-1)),"")</f>
        <v>6</v>
      </c>
      <c r="L160" s="5" t="s">
        <v>590</v>
      </c>
      <c r="N160" s="6" t="n">
        <f aca="false">IF(F160="","",1+COUNTIFS($J:$J,J160,$K:$K,K160,$F:$F,"&gt;"&amp;F160)+COUNTIFS($J:$J,J160,$K:$K,K160,$F:$F,F160,$G:$G,"&gt;"&amp;G160))</f>
        <v>4</v>
      </c>
      <c r="O160" s="6" t="n">
        <f aca="false">IF(L160="","",SUMIFS(Votes!$E:$E,Votes!$A:$A,J160,Votes!$B:$B,K160,Votes!$D:$D,L160))</f>
        <v>10</v>
      </c>
      <c r="P160" s="6" t="n">
        <f aca="false">IF(L160="","",COUNTIFS(Votes!$A:$A,J160,Votes!$B:$B,K160,Votes!$D:$D,L160))</f>
        <v>6</v>
      </c>
      <c r="Q160" s="7" t="str">
        <f aca="false">IF(F160="","Unscored",IF(O160="","No URI",IF(AND(F160=0,O160=0),"Zero-vote",IF(AND(F160=O160,G160=P160),"OK",IF(AND(F160=0,O160&gt;0,COUNTIFS(Votes!$A:$A,J160,Votes!$B:$B,K160,Votes!$C:$C,D160)=0),"Forfeited","Mismatch")))))</f>
        <v>OK</v>
      </c>
      <c r="R160" s="6" t="n">
        <f aca="false">MAX(IF(L160&lt;&gt;"",COUNTIF($L:$L,L160),0),COUNTIFS($A:$A,A160,$B:$B,B160))</f>
        <v>1</v>
      </c>
      <c r="S160" s="6" t="str">
        <f aca="false">IF(R160&gt;1,COUNTIF($R$2:R160,"&gt;1"),"")</f>
        <v/>
      </c>
      <c r="T160" s="6" t="str">
        <f aca="false">IF(L160="","",J160&amp;"|"&amp;K160&amp;"|"&amp;L160)</f>
        <v>2|6|spotify:track:5619Ojc6t9evEEs3B7Drhe</v>
      </c>
      <c r="U160" s="6" t="str">
        <f aca="false">IF(C160="","",IFERROR(INDEX(Lists!$F:$F,MATCH(C160,Lists!$E:$E,0)),"Unmapped"))</f>
        <v>Rock</v>
      </c>
    </row>
    <row r="161" customFormat="false" ht="15" hidden="false" customHeight="false" outlineLevel="0" collapsed="false">
      <c r="A161" s="5" t="s">
        <v>591</v>
      </c>
      <c r="B161" s="5" t="s">
        <v>592</v>
      </c>
      <c r="C161" s="5" t="s">
        <v>91</v>
      </c>
      <c r="D161" s="5" t="s">
        <v>119</v>
      </c>
      <c r="E161" s="5" t="s">
        <v>578</v>
      </c>
      <c r="F161" s="5" t="n">
        <v>9</v>
      </c>
      <c r="G161" s="5" t="n">
        <v>6</v>
      </c>
      <c r="H161" s="6" t="str">
        <f aca="false">IF(N161="","",N161&amp;IF(AND(MOD(N161,100)&gt;=11,MOD(N161,100)&lt;=13),"th",CHOOSE(MIN(5,MOD(N161,10)+1),"th","st","nd","rd","th")))</f>
        <v>6th</v>
      </c>
      <c r="I161" s="5" t="s">
        <v>365</v>
      </c>
      <c r="J161" s="6" t="n">
        <f aca="false">IFERROR(INDEX(Rounds!$A:$A,MATCH(I161,Rounds!$B:$B,0)),"ADD LEAGUE TO ROUNDS")</f>
        <v>2</v>
      </c>
      <c r="K161" s="6" t="n">
        <f aca="false">IFERROR(VALUE(LEFT(E161,FIND(" - ",E161)-1)),"")</f>
        <v>6</v>
      </c>
      <c r="L161" s="5" t="s">
        <v>593</v>
      </c>
      <c r="N161" s="6" t="n">
        <f aca="false">IF(F161="","",1+COUNTIFS($J:$J,J161,$K:$K,K161,$F:$F,"&gt;"&amp;F161)+COUNTIFS($J:$J,J161,$K:$K,K161,$F:$F,F161,$G:$G,"&gt;"&amp;G161))</f>
        <v>6</v>
      </c>
      <c r="O161" s="6" t="n">
        <f aca="false">IF(L161="","",SUMIFS(Votes!$E:$E,Votes!$A:$A,J161,Votes!$B:$B,K161,Votes!$D:$D,L161))</f>
        <v>9</v>
      </c>
      <c r="P161" s="6" t="n">
        <f aca="false">IF(L161="","",COUNTIFS(Votes!$A:$A,J161,Votes!$B:$B,K161,Votes!$D:$D,L161))</f>
        <v>6</v>
      </c>
      <c r="Q161" s="7" t="str">
        <f aca="false">IF(F161="","Unscored",IF(O161="","No URI",IF(AND(F161=0,O161=0),"Zero-vote",IF(AND(F161=O161,G161=P161),"OK",IF(AND(F161=0,O161&gt;0,COUNTIFS(Votes!$A:$A,J161,Votes!$B:$B,K161,Votes!$C:$C,D161)=0),"Forfeited","Mismatch")))))</f>
        <v>OK</v>
      </c>
      <c r="R161" s="6" t="n">
        <f aca="false">MAX(IF(L161&lt;&gt;"",COUNTIF($L:$L,L161),0),COUNTIFS($A:$A,A161,$B:$B,B161))</f>
        <v>1</v>
      </c>
      <c r="S161" s="6" t="str">
        <f aca="false">IF(R161&gt;1,COUNTIF($R$2:R161,"&gt;1"),"")</f>
        <v/>
      </c>
      <c r="T161" s="6" t="str">
        <f aca="false">IF(L161="","",J161&amp;"|"&amp;K161&amp;"|"&amp;L161)</f>
        <v>2|6|spotify:track:4BggEwLhGfrbrl7JBhC8EC</v>
      </c>
      <c r="U161" s="6" t="str">
        <f aca="false">IF(C161="","",IFERROR(INDEX(Lists!$F:$F,MATCH(C161,Lists!$E:$E,0)),"Unmapped"))</f>
        <v>Rock</v>
      </c>
    </row>
    <row r="162" customFormat="false" ht="15" hidden="false" customHeight="false" outlineLevel="0" collapsed="false">
      <c r="A162" s="5" t="s">
        <v>594</v>
      </c>
      <c r="B162" s="5" t="s">
        <v>595</v>
      </c>
      <c r="C162" s="5" t="s">
        <v>84</v>
      </c>
      <c r="D162" s="5" t="s">
        <v>106</v>
      </c>
      <c r="E162" s="5" t="s">
        <v>578</v>
      </c>
      <c r="F162" s="5" t="n">
        <v>8</v>
      </c>
      <c r="G162" s="5" t="n">
        <v>6</v>
      </c>
      <c r="H162" s="6" t="str">
        <f aca="false">IF(N162="","",N162&amp;IF(AND(MOD(N162,100)&gt;=11,MOD(N162,100)&lt;=13),"th",CHOOSE(MIN(5,MOD(N162,10)+1),"th","st","nd","rd","th")))</f>
        <v>7th</v>
      </c>
      <c r="I162" s="5" t="s">
        <v>365</v>
      </c>
      <c r="J162" s="6" t="n">
        <f aca="false">IFERROR(INDEX(Rounds!$A:$A,MATCH(I162,Rounds!$B:$B,0)),"ADD LEAGUE TO ROUNDS")</f>
        <v>2</v>
      </c>
      <c r="K162" s="6" t="n">
        <f aca="false">IFERROR(VALUE(LEFT(E162,FIND(" - ",E162)-1)),"")</f>
        <v>6</v>
      </c>
      <c r="L162" s="5" t="s">
        <v>596</v>
      </c>
      <c r="N162" s="6" t="n">
        <f aca="false">IF(F162="","",1+COUNTIFS($J:$J,J162,$K:$K,K162,$F:$F,"&gt;"&amp;F162)+COUNTIFS($J:$J,J162,$K:$K,K162,$F:$F,F162,$G:$G,"&gt;"&amp;G162))</f>
        <v>7</v>
      </c>
      <c r="O162" s="6" t="n">
        <f aca="false">IF(L162="","",SUMIFS(Votes!$E:$E,Votes!$A:$A,J162,Votes!$B:$B,K162,Votes!$D:$D,L162))</f>
        <v>8</v>
      </c>
      <c r="P162" s="6" t="n">
        <f aca="false">IF(L162="","",COUNTIFS(Votes!$A:$A,J162,Votes!$B:$B,K162,Votes!$D:$D,L162))</f>
        <v>6</v>
      </c>
      <c r="Q162" s="7" t="str">
        <f aca="false">IF(F162="","Unscored",IF(O162="","No URI",IF(AND(F162=0,O162=0),"Zero-vote",IF(AND(F162=O162,G162=P162),"OK",IF(AND(F162=0,O162&gt;0,COUNTIFS(Votes!$A:$A,J162,Votes!$B:$B,K162,Votes!$C:$C,D162)=0),"Forfeited","Mismatch")))))</f>
        <v>OK</v>
      </c>
      <c r="R162" s="6" t="n">
        <f aca="false">MAX(IF(L162&lt;&gt;"",COUNTIF($L:$L,L162),0),COUNTIFS($A:$A,A162,$B:$B,B162))</f>
        <v>2</v>
      </c>
      <c r="S162" s="6" t="n">
        <f aca="false">IF(R162&gt;1,COUNTIF($R$2:R162,"&gt;1"),"")</f>
        <v>13</v>
      </c>
      <c r="T162" s="6" t="str">
        <f aca="false">IF(L162="","",J162&amp;"|"&amp;K162&amp;"|"&amp;L162)</f>
        <v>2|6|spotify:track:4wCmqSrbyCgxEXROQE6vtV</v>
      </c>
      <c r="U162" s="6" t="str">
        <f aca="false">IF(C162="","",IFERROR(INDEX(Lists!$F:$F,MATCH(C162,Lists!$E:$E,0)),"Unmapped"))</f>
        <v>Pop</v>
      </c>
    </row>
    <row r="163" customFormat="false" ht="15" hidden="false" customHeight="false" outlineLevel="0" collapsed="false">
      <c r="A163" s="5" t="s">
        <v>597</v>
      </c>
      <c r="B163" s="5" t="s">
        <v>598</v>
      </c>
      <c r="C163" s="5" t="s">
        <v>96</v>
      </c>
      <c r="D163" s="5" t="s">
        <v>116</v>
      </c>
      <c r="E163" s="5" t="s">
        <v>578</v>
      </c>
      <c r="F163" s="5" t="n">
        <v>8</v>
      </c>
      <c r="G163" s="5" t="n">
        <v>5</v>
      </c>
      <c r="H163" s="6" t="str">
        <f aca="false">IF(N163="","",N163&amp;IF(AND(MOD(N163,100)&gt;=11,MOD(N163,100)&lt;=13),"th",CHOOSE(MIN(5,MOD(N163,10)+1),"th","st","nd","rd","th")))</f>
        <v>8th</v>
      </c>
      <c r="I163" s="5" t="s">
        <v>365</v>
      </c>
      <c r="J163" s="6" t="n">
        <f aca="false">IFERROR(INDEX(Rounds!$A:$A,MATCH(I163,Rounds!$B:$B,0)),"ADD LEAGUE TO ROUNDS")</f>
        <v>2</v>
      </c>
      <c r="K163" s="6" t="n">
        <f aca="false">IFERROR(VALUE(LEFT(E163,FIND(" - ",E163)-1)),"")</f>
        <v>6</v>
      </c>
      <c r="L163" s="5" t="s">
        <v>599</v>
      </c>
      <c r="N163" s="6" t="n">
        <f aca="false">IF(F163="","",1+COUNTIFS($J:$J,J163,$K:$K,K163,$F:$F,"&gt;"&amp;F163)+COUNTIFS($J:$J,J163,$K:$K,K163,$F:$F,F163,$G:$G,"&gt;"&amp;G163))</f>
        <v>8</v>
      </c>
      <c r="O163" s="6" t="n">
        <f aca="false">IF(L163="","",SUMIFS(Votes!$E:$E,Votes!$A:$A,J163,Votes!$B:$B,K163,Votes!$D:$D,L163))</f>
        <v>8</v>
      </c>
      <c r="P163" s="6" t="n">
        <f aca="false">IF(L163="","",COUNTIFS(Votes!$A:$A,J163,Votes!$B:$B,K163,Votes!$D:$D,L163))</f>
        <v>5</v>
      </c>
      <c r="Q163" s="7" t="str">
        <f aca="false">IF(F163="","Unscored",IF(O163="","No URI",IF(AND(F163=0,O163=0),"Zero-vote",IF(AND(F163=O163,G163=P163),"OK",IF(AND(F163=0,O163&gt;0,COUNTIFS(Votes!$A:$A,J163,Votes!$B:$B,K163,Votes!$C:$C,D163)=0),"Forfeited","Mismatch")))))</f>
        <v>OK</v>
      </c>
      <c r="R163" s="6" t="n">
        <f aca="false">MAX(IF(L163&lt;&gt;"",COUNTIF($L:$L,L163),0),COUNTIFS($A:$A,A163,$B:$B,B163))</f>
        <v>1</v>
      </c>
      <c r="S163" s="6" t="str">
        <f aca="false">IF(R163&gt;1,COUNTIF($R$2:R163,"&gt;1"),"")</f>
        <v/>
      </c>
      <c r="T163" s="6" t="str">
        <f aca="false">IF(L163="","",J163&amp;"|"&amp;K163&amp;"|"&amp;L163)</f>
        <v>2|6|spotify:track:6o1l9I0faXJN2iqulHrdCQ</v>
      </c>
      <c r="U163" s="6" t="str">
        <f aca="false">IF(C163="","",IFERROR(INDEX(Lists!$F:$F,MATCH(C163,Lists!$E:$E,0)),"Unmapped"))</f>
        <v>R&amp;B/Soul</v>
      </c>
    </row>
    <row r="164" customFormat="false" ht="15" hidden="false" customHeight="false" outlineLevel="0" collapsed="false">
      <c r="A164" s="5" t="s">
        <v>600</v>
      </c>
      <c r="B164" s="5" t="s">
        <v>601</v>
      </c>
      <c r="C164" s="5" t="s">
        <v>84</v>
      </c>
      <c r="D164" s="5" t="s">
        <v>382</v>
      </c>
      <c r="E164" s="5" t="s">
        <v>578</v>
      </c>
      <c r="F164" s="5" t="n">
        <v>5</v>
      </c>
      <c r="G164" s="5" t="n">
        <v>3</v>
      </c>
      <c r="H164" s="6" t="str">
        <f aca="false">IF(N164="","",N164&amp;IF(AND(MOD(N164,100)&gt;=11,MOD(N164,100)&lt;=13),"th",CHOOSE(MIN(5,MOD(N164,10)+1),"th","st","nd","rd","th")))</f>
        <v>9th</v>
      </c>
      <c r="I164" s="5" t="s">
        <v>365</v>
      </c>
      <c r="J164" s="6" t="n">
        <f aca="false">IFERROR(INDEX(Rounds!$A:$A,MATCH(I164,Rounds!$B:$B,0)),"ADD LEAGUE TO ROUNDS")</f>
        <v>2</v>
      </c>
      <c r="K164" s="6" t="n">
        <f aca="false">IFERROR(VALUE(LEFT(E164,FIND(" - ",E164)-1)),"")</f>
        <v>6</v>
      </c>
      <c r="L164" s="5" t="s">
        <v>602</v>
      </c>
      <c r="N164" s="6" t="n">
        <f aca="false">IF(F164="","",1+COUNTIFS($J:$J,J164,$K:$K,K164,$F:$F,"&gt;"&amp;F164)+COUNTIFS($J:$J,J164,$K:$K,K164,$F:$F,F164,$G:$G,"&gt;"&amp;G164))</f>
        <v>9</v>
      </c>
      <c r="O164" s="6" t="n">
        <f aca="false">IF(L164="","",SUMIFS(Votes!$E:$E,Votes!$A:$A,J164,Votes!$B:$B,K164,Votes!$D:$D,L164))</f>
        <v>5</v>
      </c>
      <c r="P164" s="6" t="n">
        <f aca="false">IF(L164="","",COUNTIFS(Votes!$A:$A,J164,Votes!$B:$B,K164,Votes!$D:$D,L164))</f>
        <v>3</v>
      </c>
      <c r="Q164" s="7" t="str">
        <f aca="false">IF(F164="","Unscored",IF(O164="","No URI",IF(AND(F164=0,O164=0),"Zero-vote",IF(AND(F164=O164,G164=P164),"OK",IF(AND(F164=0,O164&gt;0,COUNTIFS(Votes!$A:$A,J164,Votes!$B:$B,K164,Votes!$C:$C,D164)=0),"Forfeited","Mismatch")))))</f>
        <v>OK</v>
      </c>
      <c r="R164" s="6" t="n">
        <f aca="false">MAX(IF(L164&lt;&gt;"",COUNTIF($L:$L,L164),0),COUNTIFS($A:$A,A164,$B:$B,B164))</f>
        <v>1</v>
      </c>
      <c r="S164" s="6" t="str">
        <f aca="false">IF(R164&gt;1,COUNTIF($R$2:R164,"&gt;1"),"")</f>
        <v/>
      </c>
      <c r="T164" s="6" t="str">
        <f aca="false">IF(L164="","",J164&amp;"|"&amp;K164&amp;"|"&amp;L164)</f>
        <v>2|6|spotify:track:0t7fVeEJxO2Xi4H2K5Svc9</v>
      </c>
      <c r="U164" s="6" t="str">
        <f aca="false">IF(C164="","",IFERROR(INDEX(Lists!$F:$F,MATCH(C164,Lists!$E:$E,0)),"Unmapped"))</f>
        <v>Pop</v>
      </c>
    </row>
    <row r="165" customFormat="false" ht="15" hidden="false" customHeight="false" outlineLevel="0" collapsed="false">
      <c r="A165" s="5" t="s">
        <v>603</v>
      </c>
      <c r="B165" s="5" t="s">
        <v>604</v>
      </c>
      <c r="C165" s="5" t="s">
        <v>84</v>
      </c>
      <c r="D165" s="5" t="s">
        <v>97</v>
      </c>
      <c r="E165" s="5" t="s">
        <v>578</v>
      </c>
      <c r="F165" s="5" t="n">
        <v>4</v>
      </c>
      <c r="G165" s="5" t="n">
        <v>3</v>
      </c>
      <c r="H165" s="6" t="str">
        <f aca="false">IF(N165="","",N165&amp;IF(AND(MOD(N165,100)&gt;=11,MOD(N165,100)&lt;=13),"th",CHOOSE(MIN(5,MOD(N165,10)+1),"th","st","nd","rd","th")))</f>
        <v>10th</v>
      </c>
      <c r="I165" s="5" t="s">
        <v>365</v>
      </c>
      <c r="J165" s="6" t="n">
        <f aca="false">IFERROR(INDEX(Rounds!$A:$A,MATCH(I165,Rounds!$B:$B,0)),"ADD LEAGUE TO ROUNDS")</f>
        <v>2</v>
      </c>
      <c r="K165" s="6" t="n">
        <f aca="false">IFERROR(VALUE(LEFT(E165,FIND(" - ",E165)-1)),"")</f>
        <v>6</v>
      </c>
      <c r="L165" s="5" t="s">
        <v>605</v>
      </c>
      <c r="N165" s="6" t="n">
        <f aca="false">IF(F165="","",1+COUNTIFS($J:$J,J165,$K:$K,K165,$F:$F,"&gt;"&amp;F165)+COUNTIFS($J:$J,J165,$K:$K,K165,$F:$F,F165,$G:$G,"&gt;"&amp;G165))</f>
        <v>10</v>
      </c>
      <c r="O165" s="6" t="n">
        <f aca="false">IF(L165="","",SUMIFS(Votes!$E:$E,Votes!$A:$A,J165,Votes!$B:$B,K165,Votes!$D:$D,L165))</f>
        <v>4</v>
      </c>
      <c r="P165" s="6" t="n">
        <f aca="false">IF(L165="","",COUNTIFS(Votes!$A:$A,J165,Votes!$B:$B,K165,Votes!$D:$D,L165))</f>
        <v>3</v>
      </c>
      <c r="Q165" s="7" t="str">
        <f aca="false">IF(F165="","Unscored",IF(O165="","No URI",IF(AND(F165=0,O165=0),"Zero-vote",IF(AND(F165=O165,G165=P165),"OK",IF(AND(F165=0,O165&gt;0,COUNTIFS(Votes!$A:$A,J165,Votes!$B:$B,K165,Votes!$C:$C,D165)=0),"Forfeited","Mismatch")))))</f>
        <v>OK</v>
      </c>
      <c r="R165" s="6" t="n">
        <f aca="false">MAX(IF(L165&lt;&gt;"",COUNTIF($L:$L,L165),0),COUNTIFS($A:$A,A165,$B:$B,B165))</f>
        <v>1</v>
      </c>
      <c r="S165" s="6" t="str">
        <f aca="false">IF(R165&gt;1,COUNTIF($R$2:R165,"&gt;1"),"")</f>
        <v/>
      </c>
      <c r="T165" s="6" t="str">
        <f aca="false">IF(L165="","",J165&amp;"|"&amp;K165&amp;"|"&amp;L165)</f>
        <v>2|6|spotify:track:5Eg4TsPcqNbIjd8ADMZosg</v>
      </c>
      <c r="U165" s="6" t="str">
        <f aca="false">IF(C165="","",IFERROR(INDEX(Lists!$F:$F,MATCH(C165,Lists!$E:$E,0)),"Unmapped"))</f>
        <v>Pop</v>
      </c>
    </row>
    <row r="166" customFormat="false" ht="15" hidden="false" customHeight="false" outlineLevel="0" collapsed="false">
      <c r="A166" s="5" t="s">
        <v>606</v>
      </c>
      <c r="B166" s="5" t="s">
        <v>607</v>
      </c>
      <c r="C166" s="5" t="s">
        <v>91</v>
      </c>
      <c r="D166" s="5" t="s">
        <v>101</v>
      </c>
      <c r="E166" s="5" t="s">
        <v>578</v>
      </c>
      <c r="F166" s="5" t="n">
        <v>0</v>
      </c>
      <c r="G166" s="5" t="n">
        <v>6</v>
      </c>
      <c r="H166" s="6" t="str">
        <f aca="false">IF(N166="","",N166&amp;IF(AND(MOD(N166,100)&gt;=11,MOD(N166,100)&lt;=13),"th",CHOOSE(MIN(5,MOD(N166,10)+1),"th","st","nd","rd","th")))</f>
        <v>11th</v>
      </c>
      <c r="I166" s="5" t="s">
        <v>365</v>
      </c>
      <c r="J166" s="6" t="n">
        <f aca="false">IFERROR(INDEX(Rounds!$A:$A,MATCH(I166,Rounds!$B:$B,0)),"ADD LEAGUE TO ROUNDS")</f>
        <v>2</v>
      </c>
      <c r="K166" s="6" t="n">
        <f aca="false">IFERROR(VALUE(LEFT(E166,FIND(" - ",E166)-1)),"")</f>
        <v>6</v>
      </c>
      <c r="L166" s="5" t="s">
        <v>608</v>
      </c>
      <c r="N166" s="6" t="n">
        <f aca="false">IF(F166="","",1+COUNTIFS($J:$J,J166,$K:$K,K166,$F:$F,"&gt;"&amp;F166)+COUNTIFS($J:$J,J166,$K:$K,K166,$F:$F,F166,$G:$G,"&gt;"&amp;G166))</f>
        <v>11</v>
      </c>
      <c r="O166" s="6" t="n">
        <f aca="false">IF(L166="","",SUMIFS(Votes!$E:$E,Votes!$A:$A,J166,Votes!$B:$B,K166,Votes!$D:$D,L166))</f>
        <v>9</v>
      </c>
      <c r="P166" s="6" t="n">
        <f aca="false">IF(L166="","",COUNTIFS(Votes!$A:$A,J166,Votes!$B:$B,K166,Votes!$D:$D,L166))</f>
        <v>6</v>
      </c>
      <c r="Q166" s="7" t="str">
        <f aca="false">IF(F166="","Unscored",IF(O166="","No URI",IF(AND(F166=0,O166=0),"Zero-vote",IF(AND(F166=O166,G166=P166),"OK",IF(AND(F166=0,O166&gt;0,COUNTIFS(Votes!$A:$A,J166,Votes!$B:$B,K166,Votes!$C:$C,D166)=0),"Forfeited","Mismatch")))))</f>
        <v>Forfeited</v>
      </c>
      <c r="R166" s="6" t="n">
        <f aca="false">MAX(IF(L166&lt;&gt;"",COUNTIF($L:$L,L166),0),COUNTIFS($A:$A,A166,$B:$B,B166))</f>
        <v>1</v>
      </c>
      <c r="S166" s="6" t="str">
        <f aca="false">IF(R166&gt;1,COUNTIF($R$2:R166,"&gt;1"),"")</f>
        <v/>
      </c>
      <c r="T166" s="6" t="str">
        <f aca="false">IF(L166="","",J166&amp;"|"&amp;K166&amp;"|"&amp;L166)</f>
        <v>2|6|spotify:track:3gbBpTdY8lnQwqxNCcf795</v>
      </c>
      <c r="U166" s="6" t="str">
        <f aca="false">IF(C166="","",IFERROR(INDEX(Lists!$F:$F,MATCH(C166,Lists!$E:$E,0)),"Unmapped"))</f>
        <v>Rock</v>
      </c>
    </row>
    <row r="167" customFormat="false" ht="15" hidden="false" customHeight="false" outlineLevel="0" collapsed="false">
      <c r="A167" s="5" t="s">
        <v>609</v>
      </c>
      <c r="B167" s="5" t="s">
        <v>610</v>
      </c>
      <c r="C167" s="5" t="s">
        <v>91</v>
      </c>
      <c r="D167" s="5" t="s">
        <v>484</v>
      </c>
      <c r="E167" s="5" t="s">
        <v>611</v>
      </c>
      <c r="F167" s="5" t="n">
        <v>14</v>
      </c>
      <c r="G167" s="5" t="n">
        <v>8</v>
      </c>
      <c r="H167" s="6" t="str">
        <f aca="false">IF(N167="","",N167&amp;IF(AND(MOD(N167,100)&gt;=11,MOD(N167,100)&lt;=13),"th",CHOOSE(MIN(5,MOD(N167,10)+1),"th","st","nd","rd","th")))</f>
        <v>1st</v>
      </c>
      <c r="I167" s="5" t="s">
        <v>365</v>
      </c>
      <c r="J167" s="6" t="n">
        <f aca="false">IFERROR(INDEX(Rounds!$A:$A,MATCH(I167,Rounds!$B:$B,0)),"ADD LEAGUE TO ROUNDS")</f>
        <v>2</v>
      </c>
      <c r="K167" s="6" t="n">
        <f aca="false">IFERROR(VALUE(LEFT(E167,FIND(" - ",E167)-1)),"")</f>
        <v>7</v>
      </c>
      <c r="L167" s="5" t="s">
        <v>612</v>
      </c>
      <c r="N167" s="6" t="n">
        <f aca="false">IF(F167="","",1+COUNTIFS($J:$J,J167,$K:$K,K167,$F:$F,"&gt;"&amp;F167)+COUNTIFS($J:$J,J167,$K:$K,K167,$F:$F,F167,$G:$G,"&gt;"&amp;G167))</f>
        <v>1</v>
      </c>
      <c r="O167" s="6" t="n">
        <f aca="false">IF(L167="","",SUMIFS(Votes!$E:$E,Votes!$A:$A,J167,Votes!$B:$B,K167,Votes!$D:$D,L167))</f>
        <v>14</v>
      </c>
      <c r="P167" s="6" t="n">
        <f aca="false">IF(L167="","",COUNTIFS(Votes!$A:$A,J167,Votes!$B:$B,K167,Votes!$D:$D,L167))</f>
        <v>8</v>
      </c>
      <c r="Q167" s="7" t="str">
        <f aca="false">IF(F167="","Unscored",IF(O167="","No URI",IF(AND(F167=0,O167=0),"Zero-vote",IF(AND(F167=O167,G167=P167),"OK",IF(AND(F167=0,O167&gt;0,COUNTIFS(Votes!$A:$A,J167,Votes!$B:$B,K167,Votes!$C:$C,D167)=0),"Forfeited","Mismatch")))))</f>
        <v>OK</v>
      </c>
      <c r="R167" s="6" t="n">
        <f aca="false">MAX(IF(L167&lt;&gt;"",COUNTIF($L:$L,L167),0),COUNTIFS($A:$A,A167,$B:$B,B167))</f>
        <v>2</v>
      </c>
      <c r="S167" s="6" t="n">
        <f aca="false">IF(R167&gt;1,COUNTIF($R$2:R167,"&gt;1"),"")</f>
        <v>14</v>
      </c>
      <c r="T167" s="6" t="str">
        <f aca="false">IF(L167="","",J167&amp;"|"&amp;K167&amp;"|"&amp;L167)</f>
        <v>2|7|spotify:track:6qUEOWqOzu1rLPUPQ1ECpx</v>
      </c>
      <c r="U167" s="6" t="str">
        <f aca="false">IF(C167="","",IFERROR(INDEX(Lists!$F:$F,MATCH(C167,Lists!$E:$E,0)),"Unmapped"))</f>
        <v>Rock</v>
      </c>
    </row>
    <row r="168" customFormat="false" ht="15" hidden="false" customHeight="false" outlineLevel="0" collapsed="false">
      <c r="A168" s="5" t="s">
        <v>613</v>
      </c>
      <c r="B168" s="5" t="s">
        <v>614</v>
      </c>
      <c r="C168" s="5" t="s">
        <v>91</v>
      </c>
      <c r="D168" s="5" t="s">
        <v>119</v>
      </c>
      <c r="E168" s="5" t="s">
        <v>611</v>
      </c>
      <c r="F168" s="5" t="n">
        <v>9</v>
      </c>
      <c r="G168" s="5" t="n">
        <v>5</v>
      </c>
      <c r="H168" s="6" t="str">
        <f aca="false">IF(N168="","",N168&amp;IF(AND(MOD(N168,100)&gt;=11,MOD(N168,100)&lt;=13),"th",CHOOSE(MIN(5,MOD(N168,10)+1),"th","st","nd","rd","th")))</f>
        <v>2nd</v>
      </c>
      <c r="I168" s="5" t="s">
        <v>365</v>
      </c>
      <c r="J168" s="6" t="n">
        <f aca="false">IFERROR(INDEX(Rounds!$A:$A,MATCH(I168,Rounds!$B:$B,0)),"ADD LEAGUE TO ROUNDS")</f>
        <v>2</v>
      </c>
      <c r="K168" s="6" t="n">
        <f aca="false">IFERROR(VALUE(LEFT(E168,FIND(" - ",E168)-1)),"")</f>
        <v>7</v>
      </c>
      <c r="L168" s="5" t="s">
        <v>615</v>
      </c>
      <c r="N168" s="6" t="n">
        <f aca="false">IF(F168="","",1+COUNTIFS($J:$J,J168,$K:$K,K168,$F:$F,"&gt;"&amp;F168)+COUNTIFS($J:$J,J168,$K:$K,K168,$F:$F,F168,$G:$G,"&gt;"&amp;G168))</f>
        <v>2</v>
      </c>
      <c r="O168" s="6" t="n">
        <f aca="false">IF(L168="","",SUMIFS(Votes!$E:$E,Votes!$A:$A,J168,Votes!$B:$B,K168,Votes!$D:$D,L168))</f>
        <v>9</v>
      </c>
      <c r="P168" s="6" t="n">
        <f aca="false">IF(L168="","",COUNTIFS(Votes!$A:$A,J168,Votes!$B:$B,K168,Votes!$D:$D,L168))</f>
        <v>5</v>
      </c>
      <c r="Q168" s="7" t="str">
        <f aca="false">IF(F168="","Unscored",IF(O168="","No URI",IF(AND(F168=0,O168=0),"Zero-vote",IF(AND(F168=O168,G168=P168),"OK",IF(AND(F168=0,O168&gt;0,COUNTIFS(Votes!$A:$A,J168,Votes!$B:$B,K168,Votes!$C:$C,D168)=0),"Forfeited","Mismatch")))))</f>
        <v>OK</v>
      </c>
      <c r="R168" s="6" t="n">
        <f aca="false">MAX(IF(L168&lt;&gt;"",COUNTIF($L:$L,L168),0),COUNTIFS($A:$A,A168,$B:$B,B168))</f>
        <v>1</v>
      </c>
      <c r="S168" s="6" t="str">
        <f aca="false">IF(R168&gt;1,COUNTIF($R$2:R168,"&gt;1"),"")</f>
        <v/>
      </c>
      <c r="T168" s="6" t="str">
        <f aca="false">IF(L168="","",J168&amp;"|"&amp;K168&amp;"|"&amp;L168)</f>
        <v>2|7|spotify:track:0A7f6oQxCkzzRMA3oaTqaU</v>
      </c>
      <c r="U168" s="6" t="str">
        <f aca="false">IF(C168="","",IFERROR(INDEX(Lists!$F:$F,MATCH(C168,Lists!$E:$E,0)),"Unmapped"))</f>
        <v>Rock</v>
      </c>
    </row>
    <row r="169" customFormat="false" ht="15" hidden="false" customHeight="false" outlineLevel="0" collapsed="false">
      <c r="A169" s="5" t="s">
        <v>616</v>
      </c>
      <c r="B169" s="5" t="s">
        <v>617</v>
      </c>
      <c r="C169" s="5" t="s">
        <v>171</v>
      </c>
      <c r="D169" s="5" t="s">
        <v>85</v>
      </c>
      <c r="E169" s="5" t="s">
        <v>611</v>
      </c>
      <c r="F169" s="5" t="n">
        <v>8</v>
      </c>
      <c r="G169" s="5" t="n">
        <v>5</v>
      </c>
      <c r="H169" s="6" t="str">
        <f aca="false">IF(N169="","",N169&amp;IF(AND(MOD(N169,100)&gt;=11,MOD(N169,100)&lt;=13),"th",CHOOSE(MIN(5,MOD(N169,10)+1),"th","st","nd","rd","th")))</f>
        <v>3rd</v>
      </c>
      <c r="I169" s="5" t="s">
        <v>365</v>
      </c>
      <c r="J169" s="6" t="n">
        <f aca="false">IFERROR(INDEX(Rounds!$A:$A,MATCH(I169,Rounds!$B:$B,0)),"ADD LEAGUE TO ROUNDS")</f>
        <v>2</v>
      </c>
      <c r="K169" s="6" t="n">
        <f aca="false">IFERROR(VALUE(LEFT(E169,FIND(" - ",E169)-1)),"")</f>
        <v>7</v>
      </c>
      <c r="L169" s="5" t="s">
        <v>618</v>
      </c>
      <c r="N169" s="6" t="n">
        <f aca="false">IF(F169="","",1+COUNTIFS($J:$J,J169,$K:$K,K169,$F:$F,"&gt;"&amp;F169)+COUNTIFS($J:$J,J169,$K:$K,K169,$F:$F,F169,$G:$G,"&gt;"&amp;G169))</f>
        <v>3</v>
      </c>
      <c r="O169" s="6" t="n">
        <f aca="false">IF(L169="","",SUMIFS(Votes!$E:$E,Votes!$A:$A,J169,Votes!$B:$B,K169,Votes!$D:$D,L169))</f>
        <v>8</v>
      </c>
      <c r="P169" s="6" t="n">
        <f aca="false">IF(L169="","",COUNTIFS(Votes!$A:$A,J169,Votes!$B:$B,K169,Votes!$D:$D,L169))</f>
        <v>5</v>
      </c>
      <c r="Q169" s="7" t="str">
        <f aca="false">IF(F169="","Unscored",IF(O169="","No URI",IF(AND(F169=0,O169=0),"Zero-vote",IF(AND(F169=O169,G169=P169),"OK",IF(AND(F169=0,O169&gt;0,COUNTIFS(Votes!$A:$A,J169,Votes!$B:$B,K169,Votes!$C:$C,D169)=0),"Forfeited","Mismatch")))))</f>
        <v>OK</v>
      </c>
      <c r="R169" s="6" t="n">
        <f aca="false">MAX(IF(L169&lt;&gt;"",COUNTIF($L:$L,L169),0),COUNTIFS($A:$A,A169,$B:$B,B169))</f>
        <v>1</v>
      </c>
      <c r="S169" s="6" t="str">
        <f aca="false">IF(R169&gt;1,COUNTIF($R$2:R169,"&gt;1"),"")</f>
        <v/>
      </c>
      <c r="T169" s="6" t="str">
        <f aca="false">IF(L169="","",J169&amp;"|"&amp;K169&amp;"|"&amp;L169)</f>
        <v>2|7|spotify:track:5ZLL6wYXeqg0k35ZkDRfhZ</v>
      </c>
      <c r="U169" s="6" t="str">
        <f aca="false">IF(C169="","",IFERROR(INDEX(Lists!$F:$F,MATCH(C169,Lists!$E:$E,0)),"Unmapped"))</f>
        <v>Country</v>
      </c>
    </row>
    <row r="170" customFormat="false" ht="15" hidden="false" customHeight="false" outlineLevel="0" collapsed="false">
      <c r="A170" s="5" t="s">
        <v>619</v>
      </c>
      <c r="B170" s="5" t="s">
        <v>471</v>
      </c>
      <c r="C170" s="5" t="s">
        <v>84</v>
      </c>
      <c r="D170" s="5" t="s">
        <v>128</v>
      </c>
      <c r="E170" s="5" t="s">
        <v>611</v>
      </c>
      <c r="F170" s="5" t="n">
        <v>7</v>
      </c>
      <c r="G170" s="5" t="n">
        <v>4</v>
      </c>
      <c r="H170" s="6" t="str">
        <f aca="false">IF(N170="","",N170&amp;IF(AND(MOD(N170,100)&gt;=11,MOD(N170,100)&lt;=13),"th",CHOOSE(MIN(5,MOD(N170,10)+1),"th","st","nd","rd","th")))</f>
        <v>4th</v>
      </c>
      <c r="I170" s="5" t="s">
        <v>365</v>
      </c>
      <c r="J170" s="6" t="n">
        <f aca="false">IFERROR(INDEX(Rounds!$A:$A,MATCH(I170,Rounds!$B:$B,0)),"ADD LEAGUE TO ROUNDS")</f>
        <v>2</v>
      </c>
      <c r="K170" s="6" t="n">
        <f aca="false">IFERROR(VALUE(LEFT(E170,FIND(" - ",E170)-1)),"")</f>
        <v>7</v>
      </c>
      <c r="L170" s="5" t="s">
        <v>620</v>
      </c>
      <c r="N170" s="6" t="n">
        <f aca="false">IF(F170="","",1+COUNTIFS($J:$J,J170,$K:$K,K170,$F:$F,"&gt;"&amp;F170)+COUNTIFS($J:$J,J170,$K:$K,K170,$F:$F,F170,$G:$G,"&gt;"&amp;G170))</f>
        <v>4</v>
      </c>
      <c r="O170" s="6" t="n">
        <f aca="false">IF(L170="","",SUMIFS(Votes!$E:$E,Votes!$A:$A,J170,Votes!$B:$B,K170,Votes!$D:$D,L170))</f>
        <v>7</v>
      </c>
      <c r="P170" s="6" t="n">
        <f aca="false">IF(L170="","",COUNTIFS(Votes!$A:$A,J170,Votes!$B:$B,K170,Votes!$D:$D,L170))</f>
        <v>4</v>
      </c>
      <c r="Q170" s="7" t="str">
        <f aca="false">IF(F170="","Unscored",IF(O170="","No URI",IF(AND(F170=0,O170=0),"Zero-vote",IF(AND(F170=O170,G170=P170),"OK",IF(AND(F170=0,O170&gt;0,COUNTIFS(Votes!$A:$A,J170,Votes!$B:$B,K170,Votes!$C:$C,D170)=0),"Forfeited","Mismatch")))))</f>
        <v>OK</v>
      </c>
      <c r="R170" s="6" t="n">
        <f aca="false">MAX(IF(L170&lt;&gt;"",COUNTIF($L:$L,L170),0),COUNTIFS($A:$A,A170,$B:$B,B170))</f>
        <v>1</v>
      </c>
      <c r="S170" s="6" t="str">
        <f aca="false">IF(R170&gt;1,COUNTIF($R$2:R170,"&gt;1"),"")</f>
        <v/>
      </c>
      <c r="T170" s="6" t="str">
        <f aca="false">IF(L170="","",J170&amp;"|"&amp;K170&amp;"|"&amp;L170)</f>
        <v>2|7|spotify:track:6qAcApH8obo8eqatCKUHd9</v>
      </c>
      <c r="U170" s="6" t="str">
        <f aca="false">IF(C170="","",IFERROR(INDEX(Lists!$F:$F,MATCH(C170,Lists!$E:$E,0)),"Unmapped"))</f>
        <v>Pop</v>
      </c>
    </row>
    <row r="171" customFormat="false" ht="15" hidden="false" customHeight="false" outlineLevel="0" collapsed="false">
      <c r="A171" s="5" t="s">
        <v>621</v>
      </c>
      <c r="B171" s="5" t="s">
        <v>622</v>
      </c>
      <c r="C171" s="5" t="s">
        <v>96</v>
      </c>
      <c r="D171" s="5" t="s">
        <v>116</v>
      </c>
      <c r="E171" s="5" t="s">
        <v>611</v>
      </c>
      <c r="F171" s="5" t="n">
        <v>7</v>
      </c>
      <c r="G171" s="5" t="n">
        <v>3</v>
      </c>
      <c r="H171" s="6" t="str">
        <f aca="false">IF(N171="","",N171&amp;IF(AND(MOD(N171,100)&gt;=11,MOD(N171,100)&lt;=13),"th",CHOOSE(MIN(5,MOD(N171,10)+1),"th","st","nd","rd","th")))</f>
        <v>5th</v>
      </c>
      <c r="I171" s="5" t="s">
        <v>365</v>
      </c>
      <c r="J171" s="6" t="n">
        <f aca="false">IFERROR(INDEX(Rounds!$A:$A,MATCH(I171,Rounds!$B:$B,0)),"ADD LEAGUE TO ROUNDS")</f>
        <v>2</v>
      </c>
      <c r="K171" s="6" t="n">
        <f aca="false">IFERROR(VALUE(LEFT(E171,FIND(" - ",E171)-1)),"")</f>
        <v>7</v>
      </c>
      <c r="L171" s="5" t="s">
        <v>623</v>
      </c>
      <c r="N171" s="6" t="n">
        <f aca="false">IF(F171="","",1+COUNTIFS($J:$J,J171,$K:$K,K171,$F:$F,"&gt;"&amp;F171)+COUNTIFS($J:$J,J171,$K:$K,K171,$F:$F,F171,$G:$G,"&gt;"&amp;G171))</f>
        <v>5</v>
      </c>
      <c r="O171" s="6" t="n">
        <f aca="false">IF(L171="","",SUMIFS(Votes!$E:$E,Votes!$A:$A,J171,Votes!$B:$B,K171,Votes!$D:$D,L171))</f>
        <v>7</v>
      </c>
      <c r="P171" s="6" t="n">
        <f aca="false">IF(L171="","",COUNTIFS(Votes!$A:$A,J171,Votes!$B:$B,K171,Votes!$D:$D,L171))</f>
        <v>3</v>
      </c>
      <c r="Q171" s="7" t="str">
        <f aca="false">IF(F171="","Unscored",IF(O171="","No URI",IF(AND(F171=0,O171=0),"Zero-vote",IF(AND(F171=O171,G171=P171),"OK",IF(AND(F171=0,O171&gt;0,COUNTIFS(Votes!$A:$A,J171,Votes!$B:$B,K171,Votes!$C:$C,D171)=0),"Forfeited","Mismatch")))))</f>
        <v>OK</v>
      </c>
      <c r="R171" s="6" t="n">
        <f aca="false">MAX(IF(L171&lt;&gt;"",COUNTIF($L:$L,L171),0),COUNTIFS($A:$A,A171,$B:$B,B171))</f>
        <v>1</v>
      </c>
      <c r="S171" s="6" t="str">
        <f aca="false">IF(R171&gt;1,COUNTIF($R$2:R171,"&gt;1"),"")</f>
        <v/>
      </c>
      <c r="T171" s="6" t="str">
        <f aca="false">IF(L171="","",J171&amp;"|"&amp;K171&amp;"|"&amp;L171)</f>
        <v>2|7|spotify:track:2UDARQiksl207HcSduDpov</v>
      </c>
      <c r="U171" s="6" t="str">
        <f aca="false">IF(C171="","",IFERROR(INDEX(Lists!$F:$F,MATCH(C171,Lists!$E:$E,0)),"Unmapped"))</f>
        <v>R&amp;B/Soul</v>
      </c>
    </row>
    <row r="172" customFormat="false" ht="15" hidden="false" customHeight="false" outlineLevel="0" collapsed="false">
      <c r="A172" s="5" t="s">
        <v>624</v>
      </c>
      <c r="B172" s="5" t="s">
        <v>201</v>
      </c>
      <c r="C172" s="5" t="s">
        <v>84</v>
      </c>
      <c r="D172" s="5" t="s">
        <v>97</v>
      </c>
      <c r="E172" s="5" t="s">
        <v>611</v>
      </c>
      <c r="F172" s="5" t="n">
        <v>6</v>
      </c>
      <c r="G172" s="5" t="n">
        <v>4</v>
      </c>
      <c r="H172" s="6" t="str">
        <f aca="false">IF(N172="","",N172&amp;IF(AND(MOD(N172,100)&gt;=11,MOD(N172,100)&lt;=13),"th",CHOOSE(MIN(5,MOD(N172,10)+1),"th","st","nd","rd","th")))</f>
        <v>6th</v>
      </c>
      <c r="I172" s="5" t="s">
        <v>365</v>
      </c>
      <c r="J172" s="6" t="n">
        <f aca="false">IFERROR(INDEX(Rounds!$A:$A,MATCH(I172,Rounds!$B:$B,0)),"ADD LEAGUE TO ROUNDS")</f>
        <v>2</v>
      </c>
      <c r="K172" s="6" t="n">
        <f aca="false">IFERROR(VALUE(LEFT(E172,FIND(" - ",E172)-1)),"")</f>
        <v>7</v>
      </c>
      <c r="L172" s="5" t="s">
        <v>625</v>
      </c>
      <c r="N172" s="6" t="n">
        <f aca="false">IF(F172="","",1+COUNTIFS($J:$J,J172,$K:$K,K172,$F:$F,"&gt;"&amp;F172)+COUNTIFS($J:$J,J172,$K:$K,K172,$F:$F,F172,$G:$G,"&gt;"&amp;G172))</f>
        <v>6</v>
      </c>
      <c r="O172" s="6" t="n">
        <f aca="false">IF(L172="","",SUMIFS(Votes!$E:$E,Votes!$A:$A,J172,Votes!$B:$B,K172,Votes!$D:$D,L172))</f>
        <v>6</v>
      </c>
      <c r="P172" s="6" t="n">
        <f aca="false">IF(L172="","",COUNTIFS(Votes!$A:$A,J172,Votes!$B:$B,K172,Votes!$D:$D,L172))</f>
        <v>4</v>
      </c>
      <c r="Q172" s="7" t="str">
        <f aca="false">IF(F172="","Unscored",IF(O172="","No URI",IF(AND(F172=0,O172=0),"Zero-vote",IF(AND(F172=O172,G172=P172),"OK",IF(AND(F172=0,O172&gt;0,COUNTIFS(Votes!$A:$A,J172,Votes!$B:$B,K172,Votes!$C:$C,D172)=0),"Forfeited","Mismatch")))))</f>
        <v>OK</v>
      </c>
      <c r="R172" s="6" t="n">
        <f aca="false">MAX(IF(L172&lt;&gt;"",COUNTIF($L:$L,L172),0),COUNTIFS($A:$A,A172,$B:$B,B172))</f>
        <v>1</v>
      </c>
      <c r="S172" s="6" t="str">
        <f aca="false">IF(R172&gt;1,COUNTIF($R$2:R172,"&gt;1"),"")</f>
        <v/>
      </c>
      <c r="T172" s="6" t="str">
        <f aca="false">IF(L172="","",J172&amp;"|"&amp;K172&amp;"|"&amp;L172)</f>
        <v>2|7|spotify:track:7hvO2qCwJVZxiyoA7c9i5d</v>
      </c>
      <c r="U172" s="6" t="str">
        <f aca="false">IF(C172="","",IFERROR(INDEX(Lists!$F:$F,MATCH(C172,Lists!$E:$E,0)),"Unmapped"))</f>
        <v>Pop</v>
      </c>
    </row>
    <row r="173" customFormat="false" ht="15" hidden="false" customHeight="false" outlineLevel="0" collapsed="false">
      <c r="A173" s="5" t="s">
        <v>626</v>
      </c>
      <c r="B173" s="5" t="s">
        <v>627</v>
      </c>
      <c r="C173" s="5" t="s">
        <v>110</v>
      </c>
      <c r="D173" s="5" t="s">
        <v>395</v>
      </c>
      <c r="E173" s="5" t="s">
        <v>611</v>
      </c>
      <c r="F173" s="5" t="n">
        <v>6</v>
      </c>
      <c r="G173" s="5" t="n">
        <v>4</v>
      </c>
      <c r="H173" s="6" t="str">
        <f aca="false">IF(N173="","",N173&amp;IF(AND(MOD(N173,100)&gt;=11,MOD(N173,100)&lt;=13),"th",CHOOSE(MIN(5,MOD(N173,10)+1),"th","st","nd","rd","th")))</f>
        <v>6th</v>
      </c>
      <c r="I173" s="5" t="s">
        <v>365</v>
      </c>
      <c r="J173" s="6" t="n">
        <f aca="false">IFERROR(INDEX(Rounds!$A:$A,MATCH(I173,Rounds!$B:$B,0)),"ADD LEAGUE TO ROUNDS")</f>
        <v>2</v>
      </c>
      <c r="K173" s="6" t="n">
        <f aca="false">IFERROR(VALUE(LEFT(E173,FIND(" - ",E173)-1)),"")</f>
        <v>7</v>
      </c>
      <c r="L173" s="5" t="s">
        <v>628</v>
      </c>
      <c r="N173" s="6" t="n">
        <f aca="false">IF(F173="","",1+COUNTIFS($J:$J,J173,$K:$K,K173,$F:$F,"&gt;"&amp;F173)+COUNTIFS($J:$J,J173,$K:$K,K173,$F:$F,F173,$G:$G,"&gt;"&amp;G173))</f>
        <v>6</v>
      </c>
      <c r="O173" s="6" t="n">
        <f aca="false">IF(L173="","",SUMIFS(Votes!$E:$E,Votes!$A:$A,J173,Votes!$B:$B,K173,Votes!$D:$D,L173))</f>
        <v>6</v>
      </c>
      <c r="P173" s="6" t="n">
        <f aca="false">IF(L173="","",COUNTIFS(Votes!$A:$A,J173,Votes!$B:$B,K173,Votes!$D:$D,L173))</f>
        <v>4</v>
      </c>
      <c r="Q173" s="7" t="str">
        <f aca="false">IF(F173="","Unscored",IF(O173="","No URI",IF(AND(F173=0,O173=0),"Zero-vote",IF(AND(F173=O173,G173=P173),"OK",IF(AND(F173=0,O173&gt;0,COUNTIFS(Votes!$A:$A,J173,Votes!$B:$B,K173,Votes!$C:$C,D173)=0),"Forfeited","Mismatch")))))</f>
        <v>OK</v>
      </c>
      <c r="R173" s="6" t="n">
        <f aca="false">MAX(IF(L173&lt;&gt;"",COUNTIF($L:$L,L173),0),COUNTIFS($A:$A,A173,$B:$B,B173))</f>
        <v>1</v>
      </c>
      <c r="S173" s="6" t="str">
        <f aca="false">IF(R173&gt;1,COUNTIF($R$2:R173,"&gt;1"),"")</f>
        <v/>
      </c>
      <c r="T173" s="6" t="str">
        <f aca="false">IF(L173="","",J173&amp;"|"&amp;K173&amp;"|"&amp;L173)</f>
        <v>2|7|spotify:track:2b8QQqf8Vwb7bfz22ja8Fk</v>
      </c>
      <c r="U173" s="6" t="str">
        <f aca="false">IF(C173="","",IFERROR(INDEX(Lists!$F:$F,MATCH(C173,Lists!$E:$E,0)),"Unmapped"))</f>
        <v>Hip-Hop/Rap</v>
      </c>
    </row>
    <row r="174" customFormat="false" ht="15" hidden="false" customHeight="false" outlineLevel="0" collapsed="false">
      <c r="A174" s="5" t="s">
        <v>629</v>
      </c>
      <c r="B174" s="5" t="s">
        <v>630</v>
      </c>
      <c r="C174" s="5" t="s">
        <v>110</v>
      </c>
      <c r="D174" s="5" t="s">
        <v>92</v>
      </c>
      <c r="E174" s="5" t="s">
        <v>611</v>
      </c>
      <c r="F174" s="5" t="n">
        <v>5</v>
      </c>
      <c r="G174" s="5" t="n">
        <v>4</v>
      </c>
      <c r="H174" s="6" t="str">
        <f aca="false">IF(N174="","",N174&amp;IF(AND(MOD(N174,100)&gt;=11,MOD(N174,100)&lt;=13),"th",CHOOSE(MIN(5,MOD(N174,10)+1),"th","st","nd","rd","th")))</f>
        <v>8th</v>
      </c>
      <c r="I174" s="5" t="s">
        <v>365</v>
      </c>
      <c r="J174" s="6" t="n">
        <f aca="false">IFERROR(INDEX(Rounds!$A:$A,MATCH(I174,Rounds!$B:$B,0)),"ADD LEAGUE TO ROUNDS")</f>
        <v>2</v>
      </c>
      <c r="K174" s="6" t="n">
        <f aca="false">IFERROR(VALUE(LEFT(E174,FIND(" - ",E174)-1)),"")</f>
        <v>7</v>
      </c>
      <c r="L174" s="5" t="s">
        <v>631</v>
      </c>
      <c r="N174" s="6" t="n">
        <f aca="false">IF(F174="","",1+COUNTIFS($J:$J,J174,$K:$K,K174,$F:$F,"&gt;"&amp;F174)+COUNTIFS($J:$J,J174,$K:$K,K174,$F:$F,F174,$G:$G,"&gt;"&amp;G174))</f>
        <v>8</v>
      </c>
      <c r="O174" s="6" t="n">
        <f aca="false">IF(L174="","",SUMIFS(Votes!$E:$E,Votes!$A:$A,J174,Votes!$B:$B,K174,Votes!$D:$D,L174))</f>
        <v>5</v>
      </c>
      <c r="P174" s="6" t="n">
        <f aca="false">IF(L174="","",COUNTIFS(Votes!$A:$A,J174,Votes!$B:$B,K174,Votes!$D:$D,L174))</f>
        <v>4</v>
      </c>
      <c r="Q174" s="7" t="str">
        <f aca="false">IF(F174="","Unscored",IF(O174="","No URI",IF(AND(F174=0,O174=0),"Zero-vote",IF(AND(F174=O174,G174=P174),"OK",IF(AND(F174=0,O174&gt;0,COUNTIFS(Votes!$A:$A,J174,Votes!$B:$B,K174,Votes!$C:$C,D174)=0),"Forfeited","Mismatch")))))</f>
        <v>OK</v>
      </c>
      <c r="R174" s="6" t="n">
        <f aca="false">MAX(IF(L174&lt;&gt;"",COUNTIF($L:$L,L174),0),COUNTIFS($A:$A,A174,$B:$B,B174))</f>
        <v>1</v>
      </c>
      <c r="S174" s="6" t="str">
        <f aca="false">IF(R174&gt;1,COUNTIF($R$2:R174,"&gt;1"),"")</f>
        <v/>
      </c>
      <c r="T174" s="6" t="str">
        <f aca="false">IF(L174="","",J174&amp;"|"&amp;K174&amp;"|"&amp;L174)</f>
        <v>2|7|spotify:track:73kIKvg65QWieOKXIwyLJP</v>
      </c>
      <c r="U174" s="6" t="str">
        <f aca="false">IF(C174="","",IFERROR(INDEX(Lists!$F:$F,MATCH(C174,Lists!$E:$E,0)),"Unmapped"))</f>
        <v>Hip-Hop/Rap</v>
      </c>
    </row>
    <row r="175" customFormat="false" ht="15" hidden="false" customHeight="false" outlineLevel="0" collapsed="false">
      <c r="A175" s="5" t="s">
        <v>632</v>
      </c>
      <c r="B175" s="5" t="s">
        <v>633</v>
      </c>
      <c r="C175" s="5" t="s">
        <v>634</v>
      </c>
      <c r="D175" s="5" t="s">
        <v>106</v>
      </c>
      <c r="E175" s="5" t="s">
        <v>611</v>
      </c>
      <c r="F175" s="5" t="n">
        <v>2</v>
      </c>
      <c r="G175" s="5" t="n">
        <v>2</v>
      </c>
      <c r="H175" s="6" t="str">
        <f aca="false">IF(N175="","",N175&amp;IF(AND(MOD(N175,100)&gt;=11,MOD(N175,100)&lt;=13),"th",CHOOSE(MIN(5,MOD(N175,10)+1),"th","st","nd","rd","th")))</f>
        <v>9th</v>
      </c>
      <c r="I175" s="5" t="s">
        <v>365</v>
      </c>
      <c r="J175" s="6" t="n">
        <f aca="false">IFERROR(INDEX(Rounds!$A:$A,MATCH(I175,Rounds!$B:$B,0)),"ADD LEAGUE TO ROUNDS")</f>
        <v>2</v>
      </c>
      <c r="K175" s="6" t="n">
        <f aca="false">IFERROR(VALUE(LEFT(E175,FIND(" - ",E175)-1)),"")</f>
        <v>7</v>
      </c>
      <c r="L175" s="5" t="s">
        <v>635</v>
      </c>
      <c r="N175" s="6" t="n">
        <f aca="false">IF(F175="","",1+COUNTIFS($J:$J,J175,$K:$K,K175,$F:$F,"&gt;"&amp;F175)+COUNTIFS($J:$J,J175,$K:$K,K175,$F:$F,F175,$G:$G,"&gt;"&amp;G175))</f>
        <v>9</v>
      </c>
      <c r="O175" s="6" t="n">
        <f aca="false">IF(L175="","",SUMIFS(Votes!$E:$E,Votes!$A:$A,J175,Votes!$B:$B,K175,Votes!$D:$D,L175))</f>
        <v>2</v>
      </c>
      <c r="P175" s="6" t="n">
        <f aca="false">IF(L175="","",COUNTIFS(Votes!$A:$A,J175,Votes!$B:$B,K175,Votes!$D:$D,L175))</f>
        <v>2</v>
      </c>
      <c r="Q175" s="7" t="str">
        <f aca="false">IF(F175="","Unscored",IF(O175="","No URI",IF(AND(F175=0,O175=0),"Zero-vote",IF(AND(F175=O175,G175=P175),"OK",IF(AND(F175=0,O175&gt;0,COUNTIFS(Votes!$A:$A,J175,Votes!$B:$B,K175,Votes!$C:$C,D175)=0),"Forfeited","Mismatch")))))</f>
        <v>OK</v>
      </c>
      <c r="R175" s="6" t="n">
        <f aca="false">MAX(IF(L175&lt;&gt;"",COUNTIF($L:$L,L175),0),COUNTIFS($A:$A,A175,$B:$B,B175))</f>
        <v>1</v>
      </c>
      <c r="S175" s="6" t="str">
        <f aca="false">IF(R175&gt;1,COUNTIF($R$2:R175,"&gt;1"),"")</f>
        <v/>
      </c>
      <c r="T175" s="6" t="str">
        <f aca="false">IF(L175="","",J175&amp;"|"&amp;K175&amp;"|"&amp;L175)</f>
        <v>2|7|spotify:track:7nhF3XTCM2CUMCYPu8v6uw</v>
      </c>
      <c r="U175" s="6" t="str">
        <f aca="false">IF(C175="","",IFERROR(INDEX(Lists!$F:$F,MATCH(C175,Lists!$E:$E,0)),"Unmapped"))</f>
        <v>Rock</v>
      </c>
    </row>
    <row r="176" customFormat="false" ht="15" hidden="false" customHeight="false" outlineLevel="0" collapsed="false">
      <c r="A176" s="5" t="s">
        <v>636</v>
      </c>
      <c r="B176" s="5" t="s">
        <v>239</v>
      </c>
      <c r="C176" s="5" t="s">
        <v>91</v>
      </c>
      <c r="D176" s="5" t="s">
        <v>637</v>
      </c>
      <c r="E176" s="5" t="s">
        <v>611</v>
      </c>
      <c r="F176" s="5" t="n">
        <v>0</v>
      </c>
      <c r="G176" s="5" t="n">
        <v>6</v>
      </c>
      <c r="H176" s="6" t="str">
        <f aca="false">IF(N176="","",N176&amp;IF(AND(MOD(N176,100)&gt;=11,MOD(N176,100)&lt;=13),"th",CHOOSE(MIN(5,MOD(N176,10)+1),"th","st","nd","rd","th")))</f>
        <v>10th</v>
      </c>
      <c r="I176" s="5" t="s">
        <v>365</v>
      </c>
      <c r="J176" s="6" t="n">
        <f aca="false">IFERROR(INDEX(Rounds!$A:$A,MATCH(I176,Rounds!$B:$B,0)),"ADD LEAGUE TO ROUNDS")</f>
        <v>2</v>
      </c>
      <c r="K176" s="6" t="n">
        <f aca="false">IFERROR(VALUE(LEFT(E176,FIND(" - ",E176)-1)),"")</f>
        <v>7</v>
      </c>
      <c r="L176" s="5" t="s">
        <v>638</v>
      </c>
      <c r="N176" s="6" t="n">
        <f aca="false">IF(F176="","",1+COUNTIFS($J:$J,J176,$K:$K,K176,$F:$F,"&gt;"&amp;F176)+COUNTIFS($J:$J,J176,$K:$K,K176,$F:$F,F176,$G:$G,"&gt;"&amp;G176))</f>
        <v>10</v>
      </c>
      <c r="O176" s="6" t="n">
        <f aca="false">IF(L176="","",SUMIFS(Votes!$E:$E,Votes!$A:$A,J176,Votes!$B:$B,K176,Votes!$D:$D,L176))</f>
        <v>15</v>
      </c>
      <c r="P176" s="6" t="n">
        <f aca="false">IF(L176="","",COUNTIFS(Votes!$A:$A,J176,Votes!$B:$B,K176,Votes!$D:$D,L176))</f>
        <v>7</v>
      </c>
      <c r="Q176" s="7" t="str">
        <f aca="false">IF(F176="","Unscored",IF(O176="","No URI",IF(AND(F176=0,O176=0),"Zero-vote",IF(AND(F176=O176,G176=P176),"OK",IF(AND(F176=0,O176&gt;0,COUNTIFS(Votes!$A:$A,J176,Votes!$B:$B,K176,Votes!$C:$C,D176)=0),"Forfeited","Mismatch")))))</f>
        <v>Forfeited</v>
      </c>
      <c r="R176" s="6" t="n">
        <f aca="false">MAX(IF(L176&lt;&gt;"",COUNTIF($L:$L,L176),0),COUNTIFS($A:$A,A176,$B:$B,B176))</f>
        <v>1</v>
      </c>
      <c r="S176" s="6" t="str">
        <f aca="false">IF(R176&gt;1,COUNTIF($R$2:R176,"&gt;1"),"")</f>
        <v/>
      </c>
      <c r="T176" s="6" t="str">
        <f aca="false">IF(L176="","",J176&amp;"|"&amp;K176&amp;"|"&amp;L176)</f>
        <v>2|7|spotify:track:3sqySB5Pxon72vDIdduez4</v>
      </c>
      <c r="U176" s="6" t="str">
        <f aca="false">IF(C176="","",IFERROR(INDEX(Lists!$F:$F,MATCH(C176,Lists!$E:$E,0)),"Unmapped"))</f>
        <v>Rock</v>
      </c>
    </row>
    <row r="177" customFormat="false" ht="15" hidden="false" customHeight="false" outlineLevel="0" collapsed="false">
      <c r="A177" s="5" t="s">
        <v>639</v>
      </c>
      <c r="B177" s="5" t="s">
        <v>640</v>
      </c>
      <c r="C177" s="5" t="s">
        <v>96</v>
      </c>
      <c r="D177" s="5" t="s">
        <v>382</v>
      </c>
      <c r="E177" s="5" t="s">
        <v>611</v>
      </c>
      <c r="F177" s="5" t="n">
        <v>0</v>
      </c>
      <c r="G177" s="5" t="n">
        <v>5</v>
      </c>
      <c r="H177" s="6" t="str">
        <f aca="false">IF(N177="","",N177&amp;IF(AND(MOD(N177,100)&gt;=11,MOD(N177,100)&lt;=13),"th",CHOOSE(MIN(5,MOD(N177,10)+1),"th","st","nd","rd","th")))</f>
        <v>11th</v>
      </c>
      <c r="I177" s="5" t="s">
        <v>365</v>
      </c>
      <c r="J177" s="6" t="n">
        <f aca="false">IFERROR(INDEX(Rounds!$A:$A,MATCH(I177,Rounds!$B:$B,0)),"ADD LEAGUE TO ROUNDS")</f>
        <v>2</v>
      </c>
      <c r="K177" s="6" t="n">
        <f aca="false">IFERROR(VALUE(LEFT(E177,FIND(" - ",E177)-1)),"")</f>
        <v>7</v>
      </c>
      <c r="L177" s="5" t="s">
        <v>641</v>
      </c>
      <c r="N177" s="6" t="n">
        <f aca="false">IF(F177="","",1+COUNTIFS($J:$J,J177,$K:$K,K177,$F:$F,"&gt;"&amp;F177)+COUNTIFS($J:$J,J177,$K:$K,K177,$F:$F,F177,$G:$G,"&gt;"&amp;G177))</f>
        <v>11</v>
      </c>
      <c r="O177" s="6" t="n">
        <f aca="false">IF(L177="","",SUMIFS(Votes!$E:$E,Votes!$A:$A,J177,Votes!$B:$B,K177,Votes!$D:$D,L177))</f>
        <v>8</v>
      </c>
      <c r="P177" s="6" t="n">
        <f aca="false">IF(L177="","",COUNTIFS(Votes!$A:$A,J177,Votes!$B:$B,K177,Votes!$D:$D,L177))</f>
        <v>5</v>
      </c>
      <c r="Q177" s="7" t="str">
        <f aca="false">IF(F177="","Unscored",IF(O177="","No URI",IF(AND(F177=0,O177=0),"Zero-vote",IF(AND(F177=O177,G177=P177),"OK",IF(AND(F177=0,O177&gt;0,COUNTIFS(Votes!$A:$A,J177,Votes!$B:$B,K177,Votes!$C:$C,D177)=0),"Forfeited","Mismatch")))))</f>
        <v>Forfeited</v>
      </c>
      <c r="R177" s="6" t="n">
        <f aca="false">MAX(IF(L177&lt;&gt;"",COUNTIF($L:$L,L177),0),COUNTIFS($A:$A,A177,$B:$B,B177))</f>
        <v>1</v>
      </c>
      <c r="S177" s="6" t="str">
        <f aca="false">IF(R177&gt;1,COUNTIF($R$2:R177,"&gt;1"),"")</f>
        <v/>
      </c>
      <c r="T177" s="6" t="str">
        <f aca="false">IF(L177="","",J177&amp;"|"&amp;K177&amp;"|"&amp;L177)</f>
        <v>2|7|spotify:track:78TTtXnFQPzwqlbtbwqN0y</v>
      </c>
      <c r="U177" s="6" t="str">
        <f aca="false">IF(C177="","",IFERROR(INDEX(Lists!$F:$F,MATCH(C177,Lists!$E:$E,0)),"Unmapped"))</f>
        <v>R&amp;B/Soul</v>
      </c>
    </row>
    <row r="178" customFormat="false" ht="15" hidden="false" customHeight="false" outlineLevel="0" collapsed="false">
      <c r="A178" s="5" t="s">
        <v>642</v>
      </c>
      <c r="B178" s="5" t="s">
        <v>643</v>
      </c>
      <c r="C178" s="5" t="s">
        <v>84</v>
      </c>
      <c r="D178" s="5" t="s">
        <v>101</v>
      </c>
      <c r="E178" s="5" t="s">
        <v>611</v>
      </c>
      <c r="F178" s="5" t="n">
        <v>0</v>
      </c>
      <c r="G178" s="5" t="n">
        <v>3</v>
      </c>
      <c r="H178" s="6" t="str">
        <f aca="false">IF(N178="","",N178&amp;IF(AND(MOD(N178,100)&gt;=11,MOD(N178,100)&lt;=13),"th",CHOOSE(MIN(5,MOD(N178,10)+1),"th","st","nd","rd","th")))</f>
        <v>12th</v>
      </c>
      <c r="I178" s="5" t="s">
        <v>365</v>
      </c>
      <c r="J178" s="6" t="n">
        <f aca="false">IFERROR(INDEX(Rounds!$A:$A,MATCH(I178,Rounds!$B:$B,0)),"ADD LEAGUE TO ROUNDS")</f>
        <v>2</v>
      </c>
      <c r="K178" s="6" t="n">
        <f aca="false">IFERROR(VALUE(LEFT(E178,FIND(" - ",E178)-1)),"")</f>
        <v>7</v>
      </c>
      <c r="L178" s="5" t="s">
        <v>644</v>
      </c>
      <c r="N178" s="6" t="n">
        <f aca="false">IF(F178="","",1+COUNTIFS($J:$J,J178,$K:$K,K178,$F:$F,"&gt;"&amp;F178)+COUNTIFS($J:$J,J178,$K:$K,K178,$F:$F,F178,$G:$G,"&gt;"&amp;G178))</f>
        <v>12</v>
      </c>
      <c r="O178" s="6" t="n">
        <f aca="false">IF(L178="","",SUMIFS(Votes!$E:$E,Votes!$A:$A,J178,Votes!$B:$B,K178,Votes!$D:$D,L178))</f>
        <v>3</v>
      </c>
      <c r="P178" s="6" t="n">
        <f aca="false">IF(L178="","",COUNTIFS(Votes!$A:$A,J178,Votes!$B:$B,K178,Votes!$D:$D,L178))</f>
        <v>3</v>
      </c>
      <c r="Q178" s="7" t="str">
        <f aca="false">IF(F178="","Unscored",IF(O178="","No URI",IF(AND(F178=0,O178=0),"Zero-vote",IF(AND(F178=O178,G178=P178),"OK",IF(AND(F178=0,O178&gt;0,COUNTIFS(Votes!$A:$A,J178,Votes!$B:$B,K178,Votes!$C:$C,D178)=0),"Forfeited","Mismatch")))))</f>
        <v>Forfeited</v>
      </c>
      <c r="R178" s="6" t="n">
        <f aca="false">MAX(IF(L178&lt;&gt;"",COUNTIF($L:$L,L178),0),COUNTIFS($A:$A,A178,$B:$B,B178))</f>
        <v>1</v>
      </c>
      <c r="S178" s="6" t="str">
        <f aca="false">IF(R178&gt;1,COUNTIF($R$2:R178,"&gt;1"),"")</f>
        <v/>
      </c>
      <c r="T178" s="6" t="str">
        <f aca="false">IF(L178="","",J178&amp;"|"&amp;K178&amp;"|"&amp;L178)</f>
        <v>2|7|spotify:track:3gCYle76USfbHa7VDTDg5V</v>
      </c>
      <c r="U178" s="6" t="str">
        <f aca="false">IF(C178="","",IFERROR(INDEX(Lists!$F:$F,MATCH(C178,Lists!$E:$E,0)),"Unmapped"))</f>
        <v>Pop</v>
      </c>
    </row>
    <row r="179" customFormat="false" ht="15" hidden="false" customHeight="false" outlineLevel="0" collapsed="false">
      <c r="A179" s="5" t="s">
        <v>645</v>
      </c>
      <c r="B179" s="5" t="s">
        <v>646</v>
      </c>
      <c r="C179" s="5" t="s">
        <v>91</v>
      </c>
      <c r="D179" s="5" t="s">
        <v>378</v>
      </c>
      <c r="E179" s="5" t="s">
        <v>611</v>
      </c>
      <c r="F179" s="5" t="n">
        <v>0</v>
      </c>
      <c r="G179" s="5" t="n">
        <v>0</v>
      </c>
      <c r="H179" s="6" t="str">
        <f aca="false">IF(N179="","",N179&amp;IF(AND(MOD(N179,100)&gt;=11,MOD(N179,100)&lt;=13),"th",CHOOSE(MIN(5,MOD(N179,10)+1),"th","st","nd","rd","th")))</f>
        <v>13th</v>
      </c>
      <c r="I179" s="5" t="s">
        <v>365</v>
      </c>
      <c r="J179" s="6" t="n">
        <f aca="false">IFERROR(INDEX(Rounds!$A:$A,MATCH(I179,Rounds!$B:$B,0)),"ADD LEAGUE TO ROUNDS")</f>
        <v>2</v>
      </c>
      <c r="K179" s="6" t="n">
        <f aca="false">IFERROR(VALUE(LEFT(E179,FIND(" - ",E179)-1)),"")</f>
        <v>7</v>
      </c>
      <c r="L179" s="5" t="s">
        <v>647</v>
      </c>
      <c r="N179" s="6" t="n">
        <f aca="false">IF(F179="","",1+COUNTIFS($J:$J,J179,$K:$K,K179,$F:$F,"&gt;"&amp;F179)+COUNTIFS($J:$J,J179,$K:$K,K179,$F:$F,F179,$G:$G,"&gt;"&amp;G179))</f>
        <v>13</v>
      </c>
      <c r="O179" s="6" t="n">
        <f aca="false">IF(L179="","",SUMIFS(Votes!$E:$E,Votes!$A:$A,J179,Votes!$B:$B,K179,Votes!$D:$D,L179))</f>
        <v>0</v>
      </c>
      <c r="P179" s="6" t="n">
        <f aca="false">IF(L179="","",COUNTIFS(Votes!$A:$A,J179,Votes!$B:$B,K179,Votes!$D:$D,L179))</f>
        <v>0</v>
      </c>
      <c r="Q179" s="7" t="str">
        <f aca="false">IF(F179="","Unscored",IF(O179="","No URI",IF(AND(F179=0,O179=0),"Zero-vote",IF(AND(F179=O179,G179=P179),"OK",IF(AND(F179=0,O179&gt;0,COUNTIFS(Votes!$A:$A,J179,Votes!$B:$B,K179,Votes!$C:$C,D179)=0),"Forfeited","Mismatch")))))</f>
        <v>Zero-vote</v>
      </c>
      <c r="R179" s="6" t="n">
        <f aca="false">MAX(IF(L179&lt;&gt;"",COUNTIF($L:$L,L179),0),COUNTIFS($A:$A,A179,$B:$B,B179))</f>
        <v>1</v>
      </c>
      <c r="S179" s="6" t="str">
        <f aca="false">IF(R179&gt;1,COUNTIF($R$2:R179,"&gt;1"),"")</f>
        <v/>
      </c>
      <c r="T179" s="6" t="str">
        <f aca="false">IF(L179="","",J179&amp;"|"&amp;K179&amp;"|"&amp;L179)</f>
        <v>2|7|spotify:track:4163s5AIcfezLq6kpncyvB</v>
      </c>
      <c r="U179" s="6" t="str">
        <f aca="false">IF(C179="","",IFERROR(INDEX(Lists!$F:$F,MATCH(C179,Lists!$E:$E,0)),"Unmapped"))</f>
        <v>Rock</v>
      </c>
    </row>
    <row r="180" customFormat="false" ht="15" hidden="false" customHeight="false" outlineLevel="0" collapsed="false">
      <c r="A180" s="5" t="s">
        <v>648</v>
      </c>
      <c r="B180" s="5" t="s">
        <v>251</v>
      </c>
      <c r="C180" s="5" t="s">
        <v>84</v>
      </c>
      <c r="D180" s="5" t="s">
        <v>395</v>
      </c>
      <c r="E180" s="5" t="s">
        <v>649</v>
      </c>
      <c r="F180" s="5" t="n">
        <v>21</v>
      </c>
      <c r="G180" s="5" t="n">
        <v>11</v>
      </c>
      <c r="H180" s="6" t="str">
        <f aca="false">IF(N180="","",N180&amp;IF(AND(MOD(N180,100)&gt;=11,MOD(N180,100)&lt;=13),"th",CHOOSE(MIN(5,MOD(N180,10)+1),"th","st","nd","rd","th")))</f>
        <v>1st</v>
      </c>
      <c r="I180" s="5" t="s">
        <v>365</v>
      </c>
      <c r="J180" s="6" t="n">
        <f aca="false">IFERROR(INDEX(Rounds!$A:$A,MATCH(I180,Rounds!$B:$B,0)),"ADD LEAGUE TO ROUNDS")</f>
        <v>2</v>
      </c>
      <c r="K180" s="6" t="n">
        <f aca="false">IFERROR(VALUE(LEFT(E180,FIND(" - ",E180)-1)),"")</f>
        <v>8</v>
      </c>
      <c r="L180" s="5" t="s">
        <v>650</v>
      </c>
      <c r="N180" s="6" t="n">
        <f aca="false">IF(F180="","",1+COUNTIFS($J:$J,J180,$K:$K,K180,$F:$F,"&gt;"&amp;F180)+COUNTIFS($J:$J,J180,$K:$K,K180,$F:$F,F180,$G:$G,"&gt;"&amp;G180))</f>
        <v>1</v>
      </c>
      <c r="O180" s="6" t="n">
        <f aca="false">IF(L180="","",SUMIFS(Votes!$E:$E,Votes!$A:$A,J180,Votes!$B:$B,K180,Votes!$D:$D,L180))</f>
        <v>21</v>
      </c>
      <c r="P180" s="6" t="n">
        <f aca="false">IF(L180="","",COUNTIFS(Votes!$A:$A,J180,Votes!$B:$B,K180,Votes!$D:$D,L180))</f>
        <v>11</v>
      </c>
      <c r="Q180" s="7" t="str">
        <f aca="false">IF(F180="","Unscored",IF(O180="","No URI",IF(AND(F180=0,O180=0),"Zero-vote",IF(AND(F180=O180,G180=P180),"OK",IF(AND(F180=0,O180&gt;0,COUNTIFS(Votes!$A:$A,J180,Votes!$B:$B,K180,Votes!$C:$C,D180)=0),"Forfeited","Mismatch")))))</f>
        <v>OK</v>
      </c>
      <c r="R180" s="6" t="n">
        <f aca="false">MAX(IF(L180&lt;&gt;"",COUNTIF($L:$L,L180),0),COUNTIFS($A:$A,A180,$B:$B,B180))</f>
        <v>1</v>
      </c>
      <c r="S180" s="6" t="str">
        <f aca="false">IF(R180&gt;1,COUNTIF($R$2:R180,"&gt;1"),"")</f>
        <v/>
      </c>
      <c r="T180" s="6" t="str">
        <f aca="false">IF(L180="","",J180&amp;"|"&amp;K180&amp;"|"&amp;L180)</f>
        <v>2|8|spotify:track:3XF5xLJHOQQRbWya6hBp7d</v>
      </c>
      <c r="U180" s="6" t="str">
        <f aca="false">IF(C180="","",IFERROR(INDEX(Lists!$F:$F,MATCH(C180,Lists!$E:$E,0)),"Unmapped"))</f>
        <v>Pop</v>
      </c>
    </row>
    <row r="181" customFormat="false" ht="15" hidden="false" customHeight="false" outlineLevel="0" collapsed="false">
      <c r="A181" s="5" t="s">
        <v>651</v>
      </c>
      <c r="B181" s="5" t="s">
        <v>652</v>
      </c>
      <c r="C181" s="5" t="s">
        <v>84</v>
      </c>
      <c r="D181" s="5" t="s">
        <v>116</v>
      </c>
      <c r="E181" s="5" t="s">
        <v>649</v>
      </c>
      <c r="F181" s="5" t="n">
        <v>18</v>
      </c>
      <c r="G181" s="5" t="n">
        <v>10</v>
      </c>
      <c r="H181" s="6" t="str">
        <f aca="false">IF(N181="","",N181&amp;IF(AND(MOD(N181,100)&gt;=11,MOD(N181,100)&lt;=13),"th",CHOOSE(MIN(5,MOD(N181,10)+1),"th","st","nd","rd","th")))</f>
        <v>2nd</v>
      </c>
      <c r="I181" s="5" t="s">
        <v>365</v>
      </c>
      <c r="J181" s="6" t="n">
        <f aca="false">IFERROR(INDEX(Rounds!$A:$A,MATCH(I181,Rounds!$B:$B,0)),"ADD LEAGUE TO ROUNDS")</f>
        <v>2</v>
      </c>
      <c r="K181" s="6" t="n">
        <f aca="false">IFERROR(VALUE(LEFT(E181,FIND(" - ",E181)-1)),"")</f>
        <v>8</v>
      </c>
      <c r="L181" s="5" t="s">
        <v>653</v>
      </c>
      <c r="N181" s="6" t="n">
        <f aca="false">IF(F181="","",1+COUNTIFS($J:$J,J181,$K:$K,K181,$F:$F,"&gt;"&amp;F181)+COUNTIFS($J:$J,J181,$K:$K,K181,$F:$F,F181,$G:$G,"&gt;"&amp;G181))</f>
        <v>2</v>
      </c>
      <c r="O181" s="6" t="n">
        <f aca="false">IF(L181="","",SUMIFS(Votes!$E:$E,Votes!$A:$A,J181,Votes!$B:$B,K181,Votes!$D:$D,L181))</f>
        <v>18</v>
      </c>
      <c r="P181" s="6" t="n">
        <f aca="false">IF(L181="","",COUNTIFS(Votes!$A:$A,J181,Votes!$B:$B,K181,Votes!$D:$D,L181))</f>
        <v>10</v>
      </c>
      <c r="Q181" s="7" t="str">
        <f aca="false">IF(F181="","Unscored",IF(O181="","No URI",IF(AND(F181=0,O181=0),"Zero-vote",IF(AND(F181=O181,G181=P181),"OK",IF(AND(F181=0,O181&gt;0,COUNTIFS(Votes!$A:$A,J181,Votes!$B:$B,K181,Votes!$C:$C,D181)=0),"Forfeited","Mismatch")))))</f>
        <v>OK</v>
      </c>
      <c r="R181" s="6" t="n">
        <f aca="false">MAX(IF(L181&lt;&gt;"",COUNTIF($L:$L,L181),0),COUNTIFS($A:$A,A181,$B:$B,B181))</f>
        <v>1</v>
      </c>
      <c r="S181" s="6" t="str">
        <f aca="false">IF(R181&gt;1,COUNTIF($R$2:R181,"&gt;1"),"")</f>
        <v/>
      </c>
      <c r="T181" s="6" t="str">
        <f aca="false">IF(L181="","",J181&amp;"|"&amp;K181&amp;"|"&amp;L181)</f>
        <v>2|8|spotify:track:5flerg6aEao2VayZezVlgu</v>
      </c>
      <c r="U181" s="6" t="str">
        <f aca="false">IF(C181="","",IFERROR(INDEX(Lists!$F:$F,MATCH(C181,Lists!$E:$E,0)),"Unmapped"))</f>
        <v>Pop</v>
      </c>
    </row>
    <row r="182" customFormat="false" ht="15" hidden="false" customHeight="false" outlineLevel="0" collapsed="false">
      <c r="A182" s="5" t="s">
        <v>654</v>
      </c>
      <c r="B182" s="5" t="s">
        <v>655</v>
      </c>
      <c r="C182" s="5" t="s">
        <v>84</v>
      </c>
      <c r="D182" s="5" t="s">
        <v>101</v>
      </c>
      <c r="E182" s="5" t="s">
        <v>649</v>
      </c>
      <c r="F182" s="5" t="n">
        <v>11</v>
      </c>
      <c r="G182" s="5" t="n">
        <v>8</v>
      </c>
      <c r="H182" s="6" t="str">
        <f aca="false">IF(N182="","",N182&amp;IF(AND(MOD(N182,100)&gt;=11,MOD(N182,100)&lt;=13),"th",CHOOSE(MIN(5,MOD(N182,10)+1),"th","st","nd","rd","th")))</f>
        <v>3rd</v>
      </c>
      <c r="I182" s="5" t="s">
        <v>365</v>
      </c>
      <c r="J182" s="6" t="n">
        <f aca="false">IFERROR(INDEX(Rounds!$A:$A,MATCH(I182,Rounds!$B:$B,0)),"ADD LEAGUE TO ROUNDS")</f>
        <v>2</v>
      </c>
      <c r="K182" s="6" t="n">
        <f aca="false">IFERROR(VALUE(LEFT(E182,FIND(" - ",E182)-1)),"")</f>
        <v>8</v>
      </c>
      <c r="L182" s="5" t="s">
        <v>656</v>
      </c>
      <c r="N182" s="6" t="n">
        <f aca="false">IF(F182="","",1+COUNTIFS($J:$J,J182,$K:$K,K182,$F:$F,"&gt;"&amp;F182)+COUNTIFS($J:$J,J182,$K:$K,K182,$F:$F,F182,$G:$G,"&gt;"&amp;G182))</f>
        <v>3</v>
      </c>
      <c r="O182" s="6" t="n">
        <f aca="false">IF(L182="","",SUMIFS(Votes!$E:$E,Votes!$A:$A,J182,Votes!$B:$B,K182,Votes!$D:$D,L182))</f>
        <v>11</v>
      </c>
      <c r="P182" s="6" t="n">
        <f aca="false">IF(L182="","",COUNTIFS(Votes!$A:$A,J182,Votes!$B:$B,K182,Votes!$D:$D,L182))</f>
        <v>8</v>
      </c>
      <c r="Q182" s="7" t="str">
        <f aca="false">IF(F182="","Unscored",IF(O182="","No URI",IF(AND(F182=0,O182=0),"Zero-vote",IF(AND(F182=O182,G182=P182),"OK",IF(AND(F182=0,O182&gt;0,COUNTIFS(Votes!$A:$A,J182,Votes!$B:$B,K182,Votes!$C:$C,D182)=0),"Forfeited","Mismatch")))))</f>
        <v>OK</v>
      </c>
      <c r="R182" s="6" t="n">
        <f aca="false">MAX(IF(L182&lt;&gt;"",COUNTIF($L:$L,L182),0),COUNTIFS($A:$A,A182,$B:$B,B182))</f>
        <v>1</v>
      </c>
      <c r="S182" s="6" t="str">
        <f aca="false">IF(R182&gt;1,COUNTIF($R$2:R182,"&gt;1"),"")</f>
        <v/>
      </c>
      <c r="T182" s="6" t="str">
        <f aca="false">IF(L182="","",J182&amp;"|"&amp;K182&amp;"|"&amp;L182)</f>
        <v>2|8|spotify:track:3PIla3hOLQxw5l6GW2jdZu</v>
      </c>
      <c r="U182" s="6" t="str">
        <f aca="false">IF(C182="","",IFERROR(INDEX(Lists!$F:$F,MATCH(C182,Lists!$E:$E,0)),"Unmapped"))</f>
        <v>Pop</v>
      </c>
    </row>
    <row r="183" customFormat="false" ht="15" hidden="false" customHeight="false" outlineLevel="0" collapsed="false">
      <c r="A183" s="5" t="s">
        <v>657</v>
      </c>
      <c r="B183" s="5" t="s">
        <v>658</v>
      </c>
      <c r="C183" s="5" t="s">
        <v>84</v>
      </c>
      <c r="D183" s="5" t="s">
        <v>97</v>
      </c>
      <c r="E183" s="5" t="s">
        <v>649</v>
      </c>
      <c r="F183" s="5" t="n">
        <v>10</v>
      </c>
      <c r="G183" s="5" t="n">
        <v>7</v>
      </c>
      <c r="H183" s="6" t="str">
        <f aca="false">IF(N183="","",N183&amp;IF(AND(MOD(N183,100)&gt;=11,MOD(N183,100)&lt;=13),"th",CHOOSE(MIN(5,MOD(N183,10)+1),"th","st","nd","rd","th")))</f>
        <v>4th</v>
      </c>
      <c r="I183" s="5" t="s">
        <v>365</v>
      </c>
      <c r="J183" s="6" t="n">
        <f aca="false">IFERROR(INDEX(Rounds!$A:$A,MATCH(I183,Rounds!$B:$B,0)),"ADD LEAGUE TO ROUNDS")</f>
        <v>2</v>
      </c>
      <c r="K183" s="6" t="n">
        <f aca="false">IFERROR(VALUE(LEFT(E183,FIND(" - ",E183)-1)),"")</f>
        <v>8</v>
      </c>
      <c r="L183" s="5" t="s">
        <v>659</v>
      </c>
      <c r="N183" s="6" t="n">
        <f aca="false">IF(F183="","",1+COUNTIFS($J:$J,J183,$K:$K,K183,$F:$F,"&gt;"&amp;F183)+COUNTIFS($J:$J,J183,$K:$K,K183,$F:$F,F183,$G:$G,"&gt;"&amp;G183))</f>
        <v>4</v>
      </c>
      <c r="O183" s="6" t="n">
        <f aca="false">IF(L183="","",SUMIFS(Votes!$E:$E,Votes!$A:$A,J183,Votes!$B:$B,K183,Votes!$D:$D,L183))</f>
        <v>10</v>
      </c>
      <c r="P183" s="6" t="n">
        <f aca="false">IF(L183="","",COUNTIFS(Votes!$A:$A,J183,Votes!$B:$B,K183,Votes!$D:$D,L183))</f>
        <v>7</v>
      </c>
      <c r="Q183" s="7" t="str">
        <f aca="false">IF(F183="","Unscored",IF(O183="","No URI",IF(AND(F183=0,O183=0),"Zero-vote",IF(AND(F183=O183,G183=P183),"OK",IF(AND(F183=0,O183&gt;0,COUNTIFS(Votes!$A:$A,J183,Votes!$B:$B,K183,Votes!$C:$C,D183)=0),"Forfeited","Mismatch")))))</f>
        <v>OK</v>
      </c>
      <c r="R183" s="6" t="n">
        <f aca="false">MAX(IF(L183&lt;&gt;"",COUNTIF($L:$L,L183),0),COUNTIFS($A:$A,A183,$B:$B,B183))</f>
        <v>1</v>
      </c>
      <c r="S183" s="6" t="str">
        <f aca="false">IF(R183&gt;1,COUNTIF($R$2:R183,"&gt;1"),"")</f>
        <v/>
      </c>
      <c r="T183" s="6" t="str">
        <f aca="false">IF(L183="","",J183&amp;"|"&amp;K183&amp;"|"&amp;L183)</f>
        <v>2|8|spotify:track:4wH4dJgrsxONID6KS2tDQM</v>
      </c>
      <c r="U183" s="6" t="str">
        <f aca="false">IF(C183="","",IFERROR(INDEX(Lists!$F:$F,MATCH(C183,Lists!$E:$E,0)),"Unmapped"))</f>
        <v>Pop</v>
      </c>
    </row>
    <row r="184" customFormat="false" ht="15" hidden="false" customHeight="false" outlineLevel="0" collapsed="false">
      <c r="A184" s="5" t="s">
        <v>660</v>
      </c>
      <c r="B184" s="5" t="s">
        <v>661</v>
      </c>
      <c r="C184" s="5" t="s">
        <v>91</v>
      </c>
      <c r="D184" s="5" t="s">
        <v>85</v>
      </c>
      <c r="E184" s="5" t="s">
        <v>649</v>
      </c>
      <c r="F184" s="5" t="n">
        <v>10</v>
      </c>
      <c r="G184" s="5" t="n">
        <v>5</v>
      </c>
      <c r="H184" s="6" t="str">
        <f aca="false">IF(N184="","",N184&amp;IF(AND(MOD(N184,100)&gt;=11,MOD(N184,100)&lt;=13),"th",CHOOSE(MIN(5,MOD(N184,10)+1),"th","st","nd","rd","th")))</f>
        <v>5th</v>
      </c>
      <c r="I184" s="5" t="s">
        <v>365</v>
      </c>
      <c r="J184" s="6" t="n">
        <f aca="false">IFERROR(INDEX(Rounds!$A:$A,MATCH(I184,Rounds!$B:$B,0)),"ADD LEAGUE TO ROUNDS")</f>
        <v>2</v>
      </c>
      <c r="K184" s="6" t="n">
        <f aca="false">IFERROR(VALUE(LEFT(E184,FIND(" - ",E184)-1)),"")</f>
        <v>8</v>
      </c>
      <c r="L184" s="5" t="s">
        <v>662</v>
      </c>
      <c r="N184" s="6" t="n">
        <f aca="false">IF(F184="","",1+COUNTIFS($J:$J,J184,$K:$K,K184,$F:$F,"&gt;"&amp;F184)+COUNTIFS($J:$J,J184,$K:$K,K184,$F:$F,F184,$G:$G,"&gt;"&amp;G184))</f>
        <v>5</v>
      </c>
      <c r="O184" s="6" t="n">
        <f aca="false">IF(L184="","",SUMIFS(Votes!$E:$E,Votes!$A:$A,J184,Votes!$B:$B,K184,Votes!$D:$D,L184))</f>
        <v>10</v>
      </c>
      <c r="P184" s="6" t="n">
        <f aca="false">IF(L184="","",COUNTIFS(Votes!$A:$A,J184,Votes!$B:$B,K184,Votes!$D:$D,L184))</f>
        <v>5</v>
      </c>
      <c r="Q184" s="7" t="str">
        <f aca="false">IF(F184="","Unscored",IF(O184="","No URI",IF(AND(F184=0,O184=0),"Zero-vote",IF(AND(F184=O184,G184=P184),"OK",IF(AND(F184=0,O184&gt;0,COUNTIFS(Votes!$A:$A,J184,Votes!$B:$B,K184,Votes!$C:$C,D184)=0),"Forfeited","Mismatch")))))</f>
        <v>OK</v>
      </c>
      <c r="R184" s="6" t="n">
        <f aca="false">MAX(IF(L184&lt;&gt;"",COUNTIF($L:$L,L184),0),COUNTIFS($A:$A,A184,$B:$B,B184))</f>
        <v>1</v>
      </c>
      <c r="S184" s="6" t="str">
        <f aca="false">IF(R184&gt;1,COUNTIF($R$2:R184,"&gt;1"),"")</f>
        <v/>
      </c>
      <c r="T184" s="6" t="str">
        <f aca="false">IF(L184="","",J184&amp;"|"&amp;K184&amp;"|"&amp;L184)</f>
        <v>2|8|spotify:track:3dPQuX8Gs42Y7b454ybpMR</v>
      </c>
      <c r="U184" s="6" t="str">
        <f aca="false">IF(C184="","",IFERROR(INDEX(Lists!$F:$F,MATCH(C184,Lists!$E:$E,0)),"Unmapped"))</f>
        <v>Rock</v>
      </c>
    </row>
    <row r="185" customFormat="false" ht="15" hidden="false" customHeight="false" outlineLevel="0" collapsed="false">
      <c r="A185" s="5" t="s">
        <v>663</v>
      </c>
      <c r="B185" s="5" t="s">
        <v>421</v>
      </c>
      <c r="C185" s="5" t="s">
        <v>422</v>
      </c>
      <c r="D185" s="5" t="s">
        <v>119</v>
      </c>
      <c r="E185" s="5" t="s">
        <v>649</v>
      </c>
      <c r="F185" s="5" t="n">
        <v>8</v>
      </c>
      <c r="G185" s="5" t="n">
        <v>7</v>
      </c>
      <c r="H185" s="6" t="str">
        <f aca="false">IF(N185="","",N185&amp;IF(AND(MOD(N185,100)&gt;=11,MOD(N185,100)&lt;=13),"th",CHOOSE(MIN(5,MOD(N185,10)+1),"th","st","nd","rd","th")))</f>
        <v>6th</v>
      </c>
      <c r="I185" s="5" t="s">
        <v>365</v>
      </c>
      <c r="J185" s="6" t="n">
        <f aca="false">IFERROR(INDEX(Rounds!$A:$A,MATCH(I185,Rounds!$B:$B,0)),"ADD LEAGUE TO ROUNDS")</f>
        <v>2</v>
      </c>
      <c r="K185" s="6" t="n">
        <f aca="false">IFERROR(VALUE(LEFT(E185,FIND(" - ",E185)-1)),"")</f>
        <v>8</v>
      </c>
      <c r="L185" s="5" t="s">
        <v>664</v>
      </c>
      <c r="N185" s="6" t="n">
        <f aca="false">IF(F185="","",1+COUNTIFS($J:$J,J185,$K:$K,K185,$F:$F,"&gt;"&amp;F185)+COUNTIFS($J:$J,J185,$K:$K,K185,$F:$F,F185,$G:$G,"&gt;"&amp;G185))</f>
        <v>6</v>
      </c>
      <c r="O185" s="6" t="n">
        <f aca="false">IF(L185="","",SUMIFS(Votes!$E:$E,Votes!$A:$A,J185,Votes!$B:$B,K185,Votes!$D:$D,L185))</f>
        <v>8</v>
      </c>
      <c r="P185" s="6" t="n">
        <f aca="false">IF(L185="","",COUNTIFS(Votes!$A:$A,J185,Votes!$B:$B,K185,Votes!$D:$D,L185))</f>
        <v>7</v>
      </c>
      <c r="Q185" s="7" t="str">
        <f aca="false">IF(F185="","Unscored",IF(O185="","No URI",IF(AND(F185=0,O185=0),"Zero-vote",IF(AND(F185=O185,G185=P185),"OK",IF(AND(F185=0,O185&gt;0,COUNTIFS(Votes!$A:$A,J185,Votes!$B:$B,K185,Votes!$C:$C,D185)=0),"Forfeited","Mismatch")))))</f>
        <v>OK</v>
      </c>
      <c r="R185" s="6" t="n">
        <f aca="false">MAX(IF(L185&lt;&gt;"",COUNTIF($L:$L,L185),0),COUNTIFS($A:$A,A185,$B:$B,B185))</f>
        <v>1</v>
      </c>
      <c r="S185" s="6" t="str">
        <f aca="false">IF(R185&gt;1,COUNTIF($R$2:R185,"&gt;1"),"")</f>
        <v/>
      </c>
      <c r="T185" s="6" t="str">
        <f aca="false">IF(L185="","",J185&amp;"|"&amp;K185&amp;"|"&amp;L185)</f>
        <v>2|8|spotify:track:2K7j4xrQENCi5r3Hii4cVe</v>
      </c>
      <c r="U185" s="6" t="str">
        <f aca="false">IF(C185="","",IFERROR(INDEX(Lists!$F:$F,MATCH(C185,Lists!$E:$E,0)),"Unmapped"))</f>
        <v>Classical/Score</v>
      </c>
    </row>
    <row r="186" customFormat="false" ht="15" hidden="false" customHeight="false" outlineLevel="0" collapsed="false">
      <c r="A186" s="5" t="s">
        <v>665</v>
      </c>
      <c r="B186" s="5" t="s">
        <v>666</v>
      </c>
      <c r="C186" s="5" t="s">
        <v>105</v>
      </c>
      <c r="D186" s="5" t="s">
        <v>92</v>
      </c>
      <c r="E186" s="5" t="s">
        <v>649</v>
      </c>
      <c r="F186" s="5" t="n">
        <v>8</v>
      </c>
      <c r="G186" s="5" t="n">
        <v>6</v>
      </c>
      <c r="H186" s="6" t="str">
        <f aca="false">IF(N186="","",N186&amp;IF(AND(MOD(N186,100)&gt;=11,MOD(N186,100)&lt;=13),"th",CHOOSE(MIN(5,MOD(N186,10)+1),"th","st","nd","rd","th")))</f>
        <v>7th</v>
      </c>
      <c r="I186" s="5" t="s">
        <v>365</v>
      </c>
      <c r="J186" s="6" t="n">
        <f aca="false">IFERROR(INDEX(Rounds!$A:$A,MATCH(I186,Rounds!$B:$B,0)),"ADD LEAGUE TO ROUNDS")</f>
        <v>2</v>
      </c>
      <c r="K186" s="6" t="n">
        <f aca="false">IFERROR(VALUE(LEFT(E186,FIND(" - ",E186)-1)),"")</f>
        <v>8</v>
      </c>
      <c r="L186" s="5" t="s">
        <v>667</v>
      </c>
      <c r="N186" s="6" t="n">
        <f aca="false">IF(F186="","",1+COUNTIFS($J:$J,J186,$K:$K,K186,$F:$F,"&gt;"&amp;F186)+COUNTIFS($J:$J,J186,$K:$K,K186,$F:$F,F186,$G:$G,"&gt;"&amp;G186))</f>
        <v>7</v>
      </c>
      <c r="O186" s="6" t="n">
        <f aca="false">IF(L186="","",SUMIFS(Votes!$E:$E,Votes!$A:$A,J186,Votes!$B:$B,K186,Votes!$D:$D,L186))</f>
        <v>8</v>
      </c>
      <c r="P186" s="6" t="n">
        <f aca="false">IF(L186="","",COUNTIFS(Votes!$A:$A,J186,Votes!$B:$B,K186,Votes!$D:$D,L186))</f>
        <v>6</v>
      </c>
      <c r="Q186" s="7" t="str">
        <f aca="false">IF(F186="","Unscored",IF(O186="","No URI",IF(AND(F186=0,O186=0),"Zero-vote",IF(AND(F186=O186,G186=P186),"OK",IF(AND(F186=0,O186&gt;0,COUNTIFS(Votes!$A:$A,J186,Votes!$B:$B,K186,Votes!$C:$C,D186)=0),"Forfeited","Mismatch")))))</f>
        <v>OK</v>
      </c>
      <c r="R186" s="6" t="n">
        <f aca="false">MAX(IF(L186&lt;&gt;"",COUNTIF($L:$L,L186),0),COUNTIFS($A:$A,A186,$B:$B,B186))</f>
        <v>1</v>
      </c>
      <c r="S186" s="6" t="str">
        <f aca="false">IF(R186&gt;1,COUNTIF($R$2:R186,"&gt;1"),"")</f>
        <v/>
      </c>
      <c r="T186" s="6" t="str">
        <f aca="false">IF(L186="","",J186&amp;"|"&amp;K186&amp;"|"&amp;L186)</f>
        <v>2|8|spotify:track:7uAWPqXthO4pO2Exc8V90t</v>
      </c>
      <c r="U186" s="6" t="str">
        <f aca="false">IF(C186="","",IFERROR(INDEX(Lists!$F:$F,MATCH(C186,Lists!$E:$E,0)),"Unmapped"))</f>
        <v>Metal</v>
      </c>
    </row>
    <row r="187" customFormat="false" ht="15" hidden="false" customHeight="false" outlineLevel="0" collapsed="false">
      <c r="A187" s="5" t="s">
        <v>668</v>
      </c>
      <c r="B187" s="5" t="s">
        <v>669</v>
      </c>
      <c r="C187" s="5" t="s">
        <v>670</v>
      </c>
      <c r="D187" s="5" t="s">
        <v>382</v>
      </c>
      <c r="E187" s="5" t="s">
        <v>649</v>
      </c>
      <c r="F187" s="5" t="n">
        <v>8</v>
      </c>
      <c r="G187" s="5" t="n">
        <v>5</v>
      </c>
      <c r="H187" s="6" t="str">
        <f aca="false">IF(N187="","",N187&amp;IF(AND(MOD(N187,100)&gt;=11,MOD(N187,100)&lt;=13),"th",CHOOSE(MIN(5,MOD(N187,10)+1),"th","st","nd","rd","th")))</f>
        <v>8th</v>
      </c>
      <c r="I187" s="5" t="s">
        <v>365</v>
      </c>
      <c r="J187" s="6" t="n">
        <f aca="false">IFERROR(INDEX(Rounds!$A:$A,MATCH(I187,Rounds!$B:$B,0)),"ADD LEAGUE TO ROUNDS")</f>
        <v>2</v>
      </c>
      <c r="K187" s="6" t="n">
        <f aca="false">IFERROR(VALUE(LEFT(E187,FIND(" - ",E187)-1)),"")</f>
        <v>8</v>
      </c>
      <c r="L187" s="5" t="s">
        <v>671</v>
      </c>
      <c r="N187" s="6" t="n">
        <f aca="false">IF(F187="","",1+COUNTIFS($J:$J,J187,$K:$K,K187,$F:$F,"&gt;"&amp;F187)+COUNTIFS($J:$J,J187,$K:$K,K187,$F:$F,F187,$G:$G,"&gt;"&amp;G187))</f>
        <v>8</v>
      </c>
      <c r="O187" s="6" t="n">
        <f aca="false">IF(L187="","",SUMIFS(Votes!$E:$E,Votes!$A:$A,J187,Votes!$B:$B,K187,Votes!$D:$D,L187))</f>
        <v>8</v>
      </c>
      <c r="P187" s="6" t="n">
        <f aca="false">IF(L187="","",COUNTIFS(Votes!$A:$A,J187,Votes!$B:$B,K187,Votes!$D:$D,L187))</f>
        <v>5</v>
      </c>
      <c r="Q187" s="7" t="str">
        <f aca="false">IF(F187="","Unscored",IF(O187="","No URI",IF(AND(F187=0,O187=0),"Zero-vote",IF(AND(F187=O187,G187=P187),"OK",IF(AND(F187=0,O187&gt;0,COUNTIFS(Votes!$A:$A,J187,Votes!$B:$B,K187,Votes!$C:$C,D187)=0),"Forfeited","Mismatch")))))</f>
        <v>OK</v>
      </c>
      <c r="R187" s="6" t="n">
        <f aca="false">MAX(IF(L187&lt;&gt;"",COUNTIF($L:$L,L187),0),COUNTIFS($A:$A,A187,$B:$B,B187))</f>
        <v>1</v>
      </c>
      <c r="S187" s="6" t="str">
        <f aca="false">IF(R187&gt;1,COUNTIF($R$2:R187,"&gt;1"),"")</f>
        <v/>
      </c>
      <c r="T187" s="6" t="str">
        <f aca="false">IF(L187="","",J187&amp;"|"&amp;K187&amp;"|"&amp;L187)</f>
        <v>2|8|spotify:track:1PmXm1881bonBI1AlG5uaH</v>
      </c>
      <c r="U187" s="6" t="str">
        <f aca="false">IF(C187="","",IFERROR(INDEX(Lists!$F:$F,MATCH(C187,Lists!$E:$E,0)),"Unmapped"))</f>
        <v>Other</v>
      </c>
    </row>
    <row r="188" customFormat="false" ht="15" hidden="false" customHeight="false" outlineLevel="0" collapsed="false">
      <c r="A188" s="5" t="s">
        <v>672</v>
      </c>
      <c r="B188" s="5" t="s">
        <v>673</v>
      </c>
      <c r="C188" s="5" t="s">
        <v>84</v>
      </c>
      <c r="D188" s="5" t="s">
        <v>128</v>
      </c>
      <c r="E188" s="5" t="s">
        <v>649</v>
      </c>
      <c r="F188" s="5" t="n">
        <v>8</v>
      </c>
      <c r="G188" s="5" t="n">
        <v>5</v>
      </c>
      <c r="H188" s="6" t="str">
        <f aca="false">IF(N188="","",N188&amp;IF(AND(MOD(N188,100)&gt;=11,MOD(N188,100)&lt;=13),"th",CHOOSE(MIN(5,MOD(N188,10)+1),"th","st","nd","rd","th")))</f>
        <v>8th</v>
      </c>
      <c r="I188" s="5" t="s">
        <v>365</v>
      </c>
      <c r="J188" s="6" t="n">
        <f aca="false">IFERROR(INDEX(Rounds!$A:$A,MATCH(I188,Rounds!$B:$B,0)),"ADD LEAGUE TO ROUNDS")</f>
        <v>2</v>
      </c>
      <c r="K188" s="6" t="n">
        <f aca="false">IFERROR(VALUE(LEFT(E188,FIND(" - ",E188)-1)),"")</f>
        <v>8</v>
      </c>
      <c r="L188" s="5" t="s">
        <v>674</v>
      </c>
      <c r="N188" s="6" t="n">
        <f aca="false">IF(F188="","",1+COUNTIFS($J:$J,J188,$K:$K,K188,$F:$F,"&gt;"&amp;F188)+COUNTIFS($J:$J,J188,$K:$K,K188,$F:$F,F188,$G:$G,"&gt;"&amp;G188))</f>
        <v>8</v>
      </c>
      <c r="O188" s="6" t="n">
        <f aca="false">IF(L188="","",SUMIFS(Votes!$E:$E,Votes!$A:$A,J188,Votes!$B:$B,K188,Votes!$D:$D,L188))</f>
        <v>8</v>
      </c>
      <c r="P188" s="6" t="n">
        <f aca="false">IF(L188="","",COUNTIFS(Votes!$A:$A,J188,Votes!$B:$B,K188,Votes!$D:$D,L188))</f>
        <v>5</v>
      </c>
      <c r="Q188" s="7" t="str">
        <f aca="false">IF(F188="","Unscored",IF(O188="","No URI",IF(AND(F188=0,O188=0),"Zero-vote",IF(AND(F188=O188,G188=P188),"OK",IF(AND(F188=0,O188&gt;0,COUNTIFS(Votes!$A:$A,J188,Votes!$B:$B,K188,Votes!$C:$C,D188)=0),"Forfeited","Mismatch")))))</f>
        <v>OK</v>
      </c>
      <c r="R188" s="6" t="n">
        <f aca="false">MAX(IF(L188&lt;&gt;"",COUNTIF($L:$L,L188),0),COUNTIFS($A:$A,A188,$B:$B,B188))</f>
        <v>1</v>
      </c>
      <c r="S188" s="6" t="str">
        <f aca="false">IF(R188&gt;1,COUNTIF($R$2:R188,"&gt;1"),"")</f>
        <v/>
      </c>
      <c r="T188" s="6" t="str">
        <f aca="false">IF(L188="","",J188&amp;"|"&amp;K188&amp;"|"&amp;L188)</f>
        <v>2|8|spotify:track:1ZdhOMWyFR8Iv9eylMGYg2</v>
      </c>
      <c r="U188" s="6" t="str">
        <f aca="false">IF(C188="","",IFERROR(INDEX(Lists!$F:$F,MATCH(C188,Lists!$E:$E,0)),"Unmapped"))</f>
        <v>Pop</v>
      </c>
    </row>
    <row r="189" customFormat="false" ht="15" hidden="false" customHeight="false" outlineLevel="0" collapsed="false">
      <c r="A189" s="5" t="s">
        <v>675</v>
      </c>
      <c r="B189" s="5" t="s">
        <v>676</v>
      </c>
      <c r="C189" s="5" t="s">
        <v>548</v>
      </c>
      <c r="D189" s="5" t="s">
        <v>378</v>
      </c>
      <c r="E189" s="5" t="s">
        <v>649</v>
      </c>
      <c r="F189" s="5" t="n">
        <v>8</v>
      </c>
      <c r="G189" s="5" t="n">
        <v>4</v>
      </c>
      <c r="H189" s="6" t="str">
        <f aca="false">IF(N189="","",N189&amp;IF(AND(MOD(N189,100)&gt;=11,MOD(N189,100)&lt;=13),"th",CHOOSE(MIN(5,MOD(N189,10)+1),"th","st","nd","rd","th")))</f>
        <v>10th</v>
      </c>
      <c r="I189" s="5" t="s">
        <v>365</v>
      </c>
      <c r="J189" s="6" t="n">
        <f aca="false">IFERROR(INDEX(Rounds!$A:$A,MATCH(I189,Rounds!$B:$B,0)),"ADD LEAGUE TO ROUNDS")</f>
        <v>2</v>
      </c>
      <c r="K189" s="6" t="n">
        <f aca="false">IFERROR(VALUE(LEFT(E189,FIND(" - ",E189)-1)),"")</f>
        <v>8</v>
      </c>
      <c r="L189" s="5" t="s">
        <v>677</v>
      </c>
      <c r="N189" s="6" t="n">
        <f aca="false">IF(F189="","",1+COUNTIFS($J:$J,J189,$K:$K,K189,$F:$F,"&gt;"&amp;F189)+COUNTIFS($J:$J,J189,$K:$K,K189,$F:$F,F189,$G:$G,"&gt;"&amp;G189))</f>
        <v>10</v>
      </c>
      <c r="O189" s="6" t="n">
        <f aca="false">IF(L189="","",SUMIFS(Votes!$E:$E,Votes!$A:$A,J189,Votes!$B:$B,K189,Votes!$D:$D,L189))</f>
        <v>8</v>
      </c>
      <c r="P189" s="6" t="n">
        <f aca="false">IF(L189="","",COUNTIFS(Votes!$A:$A,J189,Votes!$B:$B,K189,Votes!$D:$D,L189))</f>
        <v>4</v>
      </c>
      <c r="Q189" s="7" t="str">
        <f aca="false">IF(F189="","Unscored",IF(O189="","No URI",IF(AND(F189=0,O189=0),"Zero-vote",IF(AND(F189=O189,G189=P189),"OK",IF(AND(F189=0,O189&gt;0,COUNTIFS(Votes!$A:$A,J189,Votes!$B:$B,K189,Votes!$C:$C,D189)=0),"Forfeited","Mismatch")))))</f>
        <v>OK</v>
      </c>
      <c r="R189" s="6" t="n">
        <f aca="false">MAX(IF(L189&lt;&gt;"",COUNTIF($L:$L,L189),0),COUNTIFS($A:$A,A189,$B:$B,B189))</f>
        <v>1</v>
      </c>
      <c r="S189" s="6" t="str">
        <f aca="false">IF(R189&gt;1,COUNTIF($R$2:R189,"&gt;1"),"")</f>
        <v/>
      </c>
      <c r="T189" s="6" t="str">
        <f aca="false">IF(L189="","",J189&amp;"|"&amp;K189&amp;"|"&amp;L189)</f>
        <v>2|8|spotify:track:2chEZfdAqJvlw9dM3hAU6p</v>
      </c>
      <c r="U189" s="6" t="str">
        <f aca="false">IF(C189="","",IFERROR(INDEX(Lists!$F:$F,MATCH(C189,Lists!$E:$E,0)),"Unmapped"))</f>
        <v>Rock</v>
      </c>
    </row>
    <row r="190" customFormat="false" ht="15" hidden="false" customHeight="false" outlineLevel="0" collapsed="false">
      <c r="A190" s="5" t="s">
        <v>678</v>
      </c>
      <c r="B190" s="5" t="s">
        <v>679</v>
      </c>
      <c r="C190" s="5" t="s">
        <v>105</v>
      </c>
      <c r="D190" s="5" t="s">
        <v>106</v>
      </c>
      <c r="E190" s="5" t="s">
        <v>649</v>
      </c>
      <c r="F190" s="5" t="n">
        <v>7</v>
      </c>
      <c r="G190" s="5" t="n">
        <v>6</v>
      </c>
      <c r="H190" s="6" t="str">
        <f aca="false">IF(N190="","",N190&amp;IF(AND(MOD(N190,100)&gt;=11,MOD(N190,100)&lt;=13),"th",CHOOSE(MIN(5,MOD(N190,10)+1),"th","st","nd","rd","th")))</f>
        <v>11th</v>
      </c>
      <c r="I190" s="5" t="s">
        <v>365</v>
      </c>
      <c r="J190" s="6" t="n">
        <f aca="false">IFERROR(INDEX(Rounds!$A:$A,MATCH(I190,Rounds!$B:$B,0)),"ADD LEAGUE TO ROUNDS")</f>
        <v>2</v>
      </c>
      <c r="K190" s="6" t="n">
        <f aca="false">IFERROR(VALUE(LEFT(E190,FIND(" - ",E190)-1)),"")</f>
        <v>8</v>
      </c>
      <c r="L190" s="5" t="s">
        <v>680</v>
      </c>
      <c r="N190" s="6" t="n">
        <f aca="false">IF(F190="","",1+COUNTIFS($J:$J,J190,$K:$K,K190,$F:$F,"&gt;"&amp;F190)+COUNTIFS($J:$J,J190,$K:$K,K190,$F:$F,F190,$G:$G,"&gt;"&amp;G190))</f>
        <v>11</v>
      </c>
      <c r="O190" s="6" t="n">
        <f aca="false">IF(L190="","",SUMIFS(Votes!$E:$E,Votes!$A:$A,J190,Votes!$B:$B,K190,Votes!$D:$D,L190))</f>
        <v>7</v>
      </c>
      <c r="P190" s="6" t="n">
        <f aca="false">IF(L190="","",COUNTIFS(Votes!$A:$A,J190,Votes!$B:$B,K190,Votes!$D:$D,L190))</f>
        <v>6</v>
      </c>
      <c r="Q190" s="7" t="str">
        <f aca="false">IF(F190="","Unscored",IF(O190="","No URI",IF(AND(F190=0,O190=0),"Zero-vote",IF(AND(F190=O190,G190=P190),"OK",IF(AND(F190=0,O190&gt;0,COUNTIFS(Votes!$A:$A,J190,Votes!$B:$B,K190,Votes!$C:$C,D190)=0),"Forfeited","Mismatch")))))</f>
        <v>OK</v>
      </c>
      <c r="R190" s="6" t="n">
        <f aca="false">MAX(IF(L190&lt;&gt;"",COUNTIF($L:$L,L190),0),COUNTIFS($A:$A,A190,$B:$B,B190))</f>
        <v>1</v>
      </c>
      <c r="S190" s="6" t="str">
        <f aca="false">IF(R190&gt;1,COUNTIF($R$2:R190,"&gt;1"),"")</f>
        <v/>
      </c>
      <c r="T190" s="6" t="str">
        <f aca="false">IF(L190="","",J190&amp;"|"&amp;K190&amp;"|"&amp;L190)</f>
        <v>2|8|spotify:track:2naBVHNHinneXOYmczG7xE</v>
      </c>
      <c r="U190" s="6" t="str">
        <f aca="false">IF(C190="","",IFERROR(INDEX(Lists!$F:$F,MATCH(C190,Lists!$E:$E,0)),"Unmapped"))</f>
        <v>Metal</v>
      </c>
    </row>
    <row r="191" customFormat="false" ht="15" hidden="false" customHeight="false" outlineLevel="0" collapsed="false">
      <c r="A191" s="5" t="s">
        <v>384</v>
      </c>
      <c r="B191" s="5" t="s">
        <v>385</v>
      </c>
      <c r="C191" s="5" t="s">
        <v>91</v>
      </c>
      <c r="D191" s="5" t="s">
        <v>637</v>
      </c>
      <c r="E191" s="5" t="s">
        <v>649</v>
      </c>
      <c r="F191" s="5" t="n">
        <v>7</v>
      </c>
      <c r="G191" s="5" t="n">
        <v>5</v>
      </c>
      <c r="H191" s="6" t="str">
        <f aca="false">IF(N191="","",N191&amp;IF(AND(MOD(N191,100)&gt;=11,MOD(N191,100)&lt;=13),"th",CHOOSE(MIN(5,MOD(N191,10)+1),"th","st","nd","rd","th")))</f>
        <v>12th</v>
      </c>
      <c r="I191" s="5" t="s">
        <v>365</v>
      </c>
      <c r="J191" s="6" t="n">
        <f aca="false">IFERROR(INDEX(Rounds!$A:$A,MATCH(I191,Rounds!$B:$B,0)),"ADD LEAGUE TO ROUNDS")</f>
        <v>2</v>
      </c>
      <c r="K191" s="6" t="n">
        <f aca="false">IFERROR(VALUE(LEFT(E191,FIND(" - ",E191)-1)),"")</f>
        <v>8</v>
      </c>
      <c r="L191" s="5" t="s">
        <v>386</v>
      </c>
      <c r="N191" s="6" t="n">
        <f aca="false">IF(F191="","",1+COUNTIFS($J:$J,J191,$K:$K,K191,$F:$F,"&gt;"&amp;F191)+COUNTIFS($J:$J,J191,$K:$K,K191,$F:$F,F191,$G:$G,"&gt;"&amp;G191))</f>
        <v>12</v>
      </c>
      <c r="O191" s="6" t="n">
        <f aca="false">IF(L191="","",SUMIFS(Votes!$E:$E,Votes!$A:$A,J191,Votes!$B:$B,K191,Votes!$D:$D,L191))</f>
        <v>7</v>
      </c>
      <c r="P191" s="6" t="n">
        <f aca="false">IF(L191="","",COUNTIFS(Votes!$A:$A,J191,Votes!$B:$B,K191,Votes!$D:$D,L191))</f>
        <v>5</v>
      </c>
      <c r="Q191" s="7" t="str">
        <f aca="false">IF(F191="","Unscored",IF(O191="","No URI",IF(AND(F191=0,O191=0),"Zero-vote",IF(AND(F191=O191,G191=P191),"OK",IF(AND(F191=0,O191&gt;0,COUNTIFS(Votes!$A:$A,J191,Votes!$B:$B,K191,Votes!$C:$C,D191)=0),"Forfeited","Mismatch")))))</f>
        <v>OK</v>
      </c>
      <c r="R191" s="6" t="n">
        <f aca="false">MAX(IF(L191&lt;&gt;"",COUNTIF($L:$L,L191),0),COUNTIFS($A:$A,A191,$B:$B,B191))</f>
        <v>2</v>
      </c>
      <c r="S191" s="6" t="n">
        <f aca="false">IF(R191&gt;1,COUNTIF($R$2:R191,"&gt;1"),"")</f>
        <v>15</v>
      </c>
      <c r="T191" s="6" t="str">
        <f aca="false">IF(L191="","",J191&amp;"|"&amp;K191&amp;"|"&amp;L191)</f>
        <v>2|8|spotify:track:6SpLc7EXZIPpy0sVko0aoU</v>
      </c>
      <c r="U191" s="6" t="str">
        <f aca="false">IF(C191="","",IFERROR(INDEX(Lists!$F:$F,MATCH(C191,Lists!$E:$E,0)),"Unmapped"))</f>
        <v>Rock</v>
      </c>
    </row>
    <row r="192" customFormat="false" ht="15" hidden="false" customHeight="false" outlineLevel="0" collapsed="false">
      <c r="A192" s="5" t="s">
        <v>681</v>
      </c>
      <c r="B192" s="5" t="s">
        <v>682</v>
      </c>
      <c r="C192" s="5" t="s">
        <v>105</v>
      </c>
      <c r="D192" s="5" t="s">
        <v>484</v>
      </c>
      <c r="E192" s="5" t="s">
        <v>649</v>
      </c>
      <c r="F192" s="5" t="n">
        <v>6</v>
      </c>
      <c r="G192" s="5" t="n">
        <v>5</v>
      </c>
      <c r="H192" s="6" t="str">
        <f aca="false">IF(N192="","",N192&amp;IF(AND(MOD(N192,100)&gt;=11,MOD(N192,100)&lt;=13),"th",CHOOSE(MIN(5,MOD(N192,10)+1),"th","st","nd","rd","th")))</f>
        <v>13th</v>
      </c>
      <c r="I192" s="5" t="s">
        <v>365</v>
      </c>
      <c r="J192" s="6" t="n">
        <f aca="false">IFERROR(INDEX(Rounds!$A:$A,MATCH(I192,Rounds!$B:$B,0)),"ADD LEAGUE TO ROUNDS")</f>
        <v>2</v>
      </c>
      <c r="K192" s="6" t="n">
        <f aca="false">IFERROR(VALUE(LEFT(E192,FIND(" - ",E192)-1)),"")</f>
        <v>8</v>
      </c>
      <c r="L192" s="5" t="s">
        <v>683</v>
      </c>
      <c r="N192" s="6" t="n">
        <f aca="false">IF(F192="","",1+COUNTIFS($J:$J,J192,$K:$K,K192,$F:$F,"&gt;"&amp;F192)+COUNTIFS($J:$J,J192,$K:$K,K192,$F:$F,F192,$G:$G,"&gt;"&amp;G192))</f>
        <v>13</v>
      </c>
      <c r="O192" s="6" t="n">
        <f aca="false">IF(L192="","",SUMIFS(Votes!$E:$E,Votes!$A:$A,J192,Votes!$B:$B,K192,Votes!$D:$D,L192))</f>
        <v>6</v>
      </c>
      <c r="P192" s="6" t="n">
        <f aca="false">IF(L192="","",COUNTIFS(Votes!$A:$A,J192,Votes!$B:$B,K192,Votes!$D:$D,L192))</f>
        <v>5</v>
      </c>
      <c r="Q192" s="7" t="str">
        <f aca="false">IF(F192="","Unscored",IF(O192="","No URI",IF(AND(F192=0,O192=0),"Zero-vote",IF(AND(F192=O192,G192=P192),"OK",IF(AND(F192=0,O192&gt;0,COUNTIFS(Votes!$A:$A,J192,Votes!$B:$B,K192,Votes!$C:$C,D192)=0),"Forfeited","Mismatch")))))</f>
        <v>OK</v>
      </c>
      <c r="R192" s="6" t="n">
        <f aca="false">MAX(IF(L192&lt;&gt;"",COUNTIF($L:$L,L192),0),COUNTIFS($A:$A,A192,$B:$B,B192))</f>
        <v>1</v>
      </c>
      <c r="S192" s="6" t="str">
        <f aca="false">IF(R192&gt;1,COUNTIF($R$2:R192,"&gt;1"),"")</f>
        <v/>
      </c>
      <c r="T192" s="6" t="str">
        <f aca="false">IF(L192="","",J192&amp;"|"&amp;K192&amp;"|"&amp;L192)</f>
        <v>2|8|spotify:track:5qD3Qv8Wu3r5uRD0DahcZy</v>
      </c>
      <c r="U192" s="6" t="str">
        <f aca="false">IF(C192="","",IFERROR(INDEX(Lists!$F:$F,MATCH(C192,Lists!$E:$E,0)),"Unmapped"))</f>
        <v>Metal</v>
      </c>
    </row>
    <row r="193" customFormat="false" ht="15" hidden="false" customHeight="false" outlineLevel="0" collapsed="false">
      <c r="A193" s="5" t="s">
        <v>684</v>
      </c>
      <c r="B193" s="5" t="s">
        <v>685</v>
      </c>
      <c r="C193" s="5" t="s">
        <v>171</v>
      </c>
      <c r="D193" s="5" t="s">
        <v>85</v>
      </c>
      <c r="E193" s="5" t="s">
        <v>686</v>
      </c>
      <c r="F193" s="5" t="n">
        <v>16</v>
      </c>
      <c r="G193" s="5" t="n">
        <v>11</v>
      </c>
      <c r="H193" s="6" t="str">
        <f aca="false">IF(N193="","",N193&amp;IF(AND(MOD(N193,100)&gt;=11,MOD(N193,100)&lt;=13),"th",CHOOSE(MIN(5,MOD(N193,10)+1),"th","st","nd","rd","th")))</f>
        <v>1st</v>
      </c>
      <c r="I193" s="5" t="s">
        <v>687</v>
      </c>
      <c r="J193" s="6" t="n">
        <f aca="false">IFERROR(INDEX(Rounds!$A:$A,MATCH(I193,Rounds!$B:$B,0)),"ADD LEAGUE TO ROUNDS")</f>
        <v>3</v>
      </c>
      <c r="K193" s="6" t="n">
        <f aca="false">IFERROR(VALUE(LEFT(E193,FIND(" - ",E193)-1)),"")</f>
        <v>1</v>
      </c>
      <c r="L193" s="5" t="s">
        <v>688</v>
      </c>
      <c r="N193" s="6" t="n">
        <f aca="false">IF(F193="","",1+COUNTIFS($J:$J,J193,$K:$K,K193,$F:$F,"&gt;"&amp;F193)+COUNTIFS($J:$J,J193,$K:$K,K193,$F:$F,F193,$G:$G,"&gt;"&amp;G193))</f>
        <v>1</v>
      </c>
      <c r="O193" s="6" t="n">
        <f aca="false">IF(L193="","",SUMIFS(Votes!$E:$E,Votes!$A:$A,J193,Votes!$B:$B,K193,Votes!$D:$D,L193))</f>
        <v>16</v>
      </c>
      <c r="P193" s="6" t="n">
        <f aca="false">IF(L193="","",COUNTIFS(Votes!$A:$A,J193,Votes!$B:$B,K193,Votes!$D:$D,L193))</f>
        <v>11</v>
      </c>
      <c r="Q193" s="7" t="str">
        <f aca="false">IF(F193="","Unscored",IF(O193="","No URI",IF(AND(F193=0,O193=0),"Zero-vote",IF(AND(F193=O193,G193=P193),"OK",IF(AND(F193=0,O193&gt;0,COUNTIFS(Votes!$A:$A,J193,Votes!$B:$B,K193,Votes!$C:$C,D193)=0),"Forfeited","Mismatch")))))</f>
        <v>OK</v>
      </c>
      <c r="R193" s="6" t="n">
        <f aca="false">MAX(IF(L193&lt;&gt;"",COUNTIF($L:$L,L193),0),COUNTIFS($A:$A,A193,$B:$B,B193))</f>
        <v>1</v>
      </c>
      <c r="S193" s="6" t="str">
        <f aca="false">IF(R193&gt;1,COUNTIF($R$2:R193,"&gt;1"),"")</f>
        <v/>
      </c>
      <c r="T193" s="6" t="str">
        <f aca="false">IF(L193="","",J193&amp;"|"&amp;K193&amp;"|"&amp;L193)</f>
        <v>3|1|spotify:track:6XxFrC6s8An9ZZ52uAN4AV</v>
      </c>
      <c r="U193" s="6" t="str">
        <f aca="false">IF(C193="","",IFERROR(INDEX(Lists!$F:$F,MATCH(C193,Lists!$E:$E,0)),"Unmapped"))</f>
        <v>Country</v>
      </c>
    </row>
    <row r="194" customFormat="false" ht="15" hidden="false" customHeight="false" outlineLevel="0" collapsed="false">
      <c r="A194" s="5" t="s">
        <v>689</v>
      </c>
      <c r="B194" s="5" t="s">
        <v>690</v>
      </c>
      <c r="C194" s="5" t="s">
        <v>96</v>
      </c>
      <c r="D194" s="5" t="s">
        <v>382</v>
      </c>
      <c r="E194" s="5" t="s">
        <v>686</v>
      </c>
      <c r="F194" s="5" t="n">
        <v>16</v>
      </c>
      <c r="G194" s="5" t="n">
        <v>8</v>
      </c>
      <c r="H194" s="6" t="str">
        <f aca="false">IF(N194="","",N194&amp;IF(AND(MOD(N194,100)&gt;=11,MOD(N194,100)&lt;=13),"th",CHOOSE(MIN(5,MOD(N194,10)+1),"th","st","nd","rd","th")))</f>
        <v>2nd</v>
      </c>
      <c r="I194" s="5" t="s">
        <v>687</v>
      </c>
      <c r="J194" s="6" t="n">
        <f aca="false">IFERROR(INDEX(Rounds!$A:$A,MATCH(I194,Rounds!$B:$B,0)),"ADD LEAGUE TO ROUNDS")</f>
        <v>3</v>
      </c>
      <c r="K194" s="6" t="n">
        <f aca="false">IFERROR(VALUE(LEFT(E194,FIND(" - ",E194)-1)),"")</f>
        <v>1</v>
      </c>
      <c r="L194" s="5" t="s">
        <v>691</v>
      </c>
      <c r="N194" s="6" t="n">
        <f aca="false">IF(F194="","",1+COUNTIFS($J:$J,J194,$K:$K,K194,$F:$F,"&gt;"&amp;F194)+COUNTIFS($J:$J,J194,$K:$K,K194,$F:$F,F194,$G:$G,"&gt;"&amp;G194))</f>
        <v>2</v>
      </c>
      <c r="O194" s="6" t="n">
        <f aca="false">IF(L194="","",SUMIFS(Votes!$E:$E,Votes!$A:$A,J194,Votes!$B:$B,K194,Votes!$D:$D,L194))</f>
        <v>16</v>
      </c>
      <c r="P194" s="6" t="n">
        <f aca="false">IF(L194="","",COUNTIFS(Votes!$A:$A,J194,Votes!$B:$B,K194,Votes!$D:$D,L194))</f>
        <v>8</v>
      </c>
      <c r="Q194" s="7" t="str">
        <f aca="false">IF(F194="","Unscored",IF(O194="","No URI",IF(AND(F194=0,O194=0),"Zero-vote",IF(AND(F194=O194,G194=P194),"OK",IF(AND(F194=0,O194&gt;0,COUNTIFS(Votes!$A:$A,J194,Votes!$B:$B,K194,Votes!$C:$C,D194)=0),"Forfeited","Mismatch")))))</f>
        <v>OK</v>
      </c>
      <c r="R194" s="6" t="n">
        <f aca="false">MAX(IF(L194&lt;&gt;"",COUNTIF($L:$L,L194),0),COUNTIFS($A:$A,A194,$B:$B,B194))</f>
        <v>1</v>
      </c>
      <c r="S194" s="6" t="str">
        <f aca="false">IF(R194&gt;1,COUNTIF($R$2:R194,"&gt;1"),"")</f>
        <v/>
      </c>
      <c r="T194" s="6" t="str">
        <f aca="false">IF(L194="","",J194&amp;"|"&amp;K194&amp;"|"&amp;L194)</f>
        <v>3|1|spotify:track:1qbmS6ep2hbBRaEZFpn7BX</v>
      </c>
      <c r="U194" s="6" t="str">
        <f aca="false">IF(C194="","",IFERROR(INDEX(Lists!$F:$F,MATCH(C194,Lists!$E:$E,0)),"Unmapped"))</f>
        <v>R&amp;B/Soul</v>
      </c>
    </row>
    <row r="195" customFormat="false" ht="15" hidden="false" customHeight="false" outlineLevel="0" collapsed="false">
      <c r="A195" s="5" t="s">
        <v>334</v>
      </c>
      <c r="B195" s="5" t="s">
        <v>335</v>
      </c>
      <c r="C195" s="5" t="s">
        <v>132</v>
      </c>
      <c r="D195" s="5" t="s">
        <v>119</v>
      </c>
      <c r="E195" s="5" t="s">
        <v>686</v>
      </c>
      <c r="F195" s="5" t="n">
        <v>14</v>
      </c>
      <c r="G195" s="5" t="n">
        <v>10</v>
      </c>
      <c r="H195" s="6" t="str">
        <f aca="false">IF(N195="","",N195&amp;IF(AND(MOD(N195,100)&gt;=11,MOD(N195,100)&lt;=13),"th",CHOOSE(MIN(5,MOD(N195,10)+1),"th","st","nd","rd","th")))</f>
        <v>3rd</v>
      </c>
      <c r="I195" s="5" t="s">
        <v>687</v>
      </c>
      <c r="J195" s="6" t="n">
        <f aca="false">IFERROR(INDEX(Rounds!$A:$A,MATCH(I195,Rounds!$B:$B,0)),"ADD LEAGUE TO ROUNDS")</f>
        <v>3</v>
      </c>
      <c r="K195" s="6" t="n">
        <f aca="false">IFERROR(VALUE(LEFT(E195,FIND(" - ",E195)-1)),"")</f>
        <v>1</v>
      </c>
      <c r="L195" s="5" t="s">
        <v>336</v>
      </c>
      <c r="N195" s="6" t="n">
        <f aca="false">IF(F195="","",1+COUNTIFS($J:$J,J195,$K:$K,K195,$F:$F,"&gt;"&amp;F195)+COUNTIFS($J:$J,J195,$K:$K,K195,$F:$F,F195,$G:$G,"&gt;"&amp;G195))</f>
        <v>3</v>
      </c>
      <c r="O195" s="6" t="n">
        <f aca="false">IF(L195="","",SUMIFS(Votes!$E:$E,Votes!$A:$A,J195,Votes!$B:$B,K195,Votes!$D:$D,L195))</f>
        <v>14</v>
      </c>
      <c r="P195" s="6" t="n">
        <f aca="false">IF(L195="","",COUNTIFS(Votes!$A:$A,J195,Votes!$B:$B,K195,Votes!$D:$D,L195))</f>
        <v>10</v>
      </c>
      <c r="Q195" s="7" t="str">
        <f aca="false">IF(F195="","Unscored",IF(O195="","No URI",IF(AND(F195=0,O195=0),"Zero-vote",IF(AND(F195=O195,G195=P195),"OK",IF(AND(F195=0,O195&gt;0,COUNTIFS(Votes!$A:$A,J195,Votes!$B:$B,K195,Votes!$C:$C,D195)=0),"Forfeited","Mismatch")))))</f>
        <v>OK</v>
      </c>
      <c r="R195" s="6" t="n">
        <f aca="false">MAX(IF(L195&lt;&gt;"",COUNTIF($L:$L,L195),0),COUNTIFS($A:$A,A195,$B:$B,B195))</f>
        <v>2</v>
      </c>
      <c r="S195" s="6" t="n">
        <f aca="false">IF(R195&gt;1,COUNTIF($R$2:R195,"&gt;1"),"")</f>
        <v>16</v>
      </c>
      <c r="T195" s="6" t="str">
        <f aca="false">IF(L195="","",J195&amp;"|"&amp;K195&amp;"|"&amp;L195)</f>
        <v>3|1|spotify:track:1CPZ5BxNNd0n0nF4Orb9JS</v>
      </c>
      <c r="U195" s="6" t="str">
        <f aca="false">IF(C195="","",IFERROR(INDEX(Lists!$F:$F,MATCH(C195,Lists!$E:$E,0)),"Unmapped"))</f>
        <v>Soundtrack/Musical</v>
      </c>
    </row>
    <row r="196" customFormat="false" ht="15" hidden="false" customHeight="false" outlineLevel="0" collapsed="false">
      <c r="A196" s="5" t="s">
        <v>692</v>
      </c>
      <c r="B196" s="5" t="s">
        <v>229</v>
      </c>
      <c r="C196" s="5" t="s">
        <v>84</v>
      </c>
      <c r="D196" s="5" t="s">
        <v>375</v>
      </c>
      <c r="E196" s="5" t="s">
        <v>686</v>
      </c>
      <c r="F196" s="5" t="n">
        <v>13</v>
      </c>
      <c r="G196" s="5" t="n">
        <v>9</v>
      </c>
      <c r="H196" s="6" t="str">
        <f aca="false">IF(N196="","",N196&amp;IF(AND(MOD(N196,100)&gt;=11,MOD(N196,100)&lt;=13),"th",CHOOSE(MIN(5,MOD(N196,10)+1),"th","st","nd","rd","th")))</f>
        <v>4th</v>
      </c>
      <c r="I196" s="5" t="s">
        <v>687</v>
      </c>
      <c r="J196" s="6" t="n">
        <f aca="false">IFERROR(INDEX(Rounds!$A:$A,MATCH(I196,Rounds!$B:$B,0)),"ADD LEAGUE TO ROUNDS")</f>
        <v>3</v>
      </c>
      <c r="K196" s="6" t="n">
        <f aca="false">IFERROR(VALUE(LEFT(E196,FIND(" - ",E196)-1)),"")</f>
        <v>1</v>
      </c>
      <c r="L196" s="5" t="s">
        <v>693</v>
      </c>
      <c r="N196" s="6" t="n">
        <f aca="false">IF(F196="","",1+COUNTIFS($J:$J,J196,$K:$K,K196,$F:$F,"&gt;"&amp;F196)+COUNTIFS($J:$J,J196,$K:$K,K196,$F:$F,F196,$G:$G,"&gt;"&amp;G196))</f>
        <v>4</v>
      </c>
      <c r="O196" s="6" t="n">
        <f aca="false">IF(L196="","",SUMIFS(Votes!$E:$E,Votes!$A:$A,J196,Votes!$B:$B,K196,Votes!$D:$D,L196))</f>
        <v>13</v>
      </c>
      <c r="P196" s="6" t="n">
        <f aca="false">IF(L196="","",COUNTIFS(Votes!$A:$A,J196,Votes!$B:$B,K196,Votes!$D:$D,L196))</f>
        <v>9</v>
      </c>
      <c r="Q196" s="7" t="str">
        <f aca="false">IF(F196="","Unscored",IF(O196="","No URI",IF(AND(F196=0,O196=0),"Zero-vote",IF(AND(F196=O196,G196=P196),"OK",IF(AND(F196=0,O196&gt;0,COUNTIFS(Votes!$A:$A,J196,Votes!$B:$B,K196,Votes!$C:$C,D196)=0),"Forfeited","Mismatch")))))</f>
        <v>OK</v>
      </c>
      <c r="R196" s="6" t="n">
        <f aca="false">MAX(IF(L196&lt;&gt;"",COUNTIF($L:$L,L196),0),COUNTIFS($A:$A,A196,$B:$B,B196))</f>
        <v>1</v>
      </c>
      <c r="S196" s="6" t="str">
        <f aca="false">IF(R196&gt;1,COUNTIF($R$2:R196,"&gt;1"),"")</f>
        <v/>
      </c>
      <c r="T196" s="6" t="str">
        <f aca="false">IF(L196="","",J196&amp;"|"&amp;K196&amp;"|"&amp;L196)</f>
        <v>3|1|spotify:track:6qqrTXSdwiJaq8SO0X2lSe</v>
      </c>
      <c r="U196" s="6" t="str">
        <f aca="false">IF(C196="","",IFERROR(INDEX(Lists!$F:$F,MATCH(C196,Lists!$E:$E,0)),"Unmapped"))</f>
        <v>Pop</v>
      </c>
    </row>
    <row r="197" customFormat="false" ht="15" hidden="false" customHeight="false" outlineLevel="0" collapsed="false">
      <c r="A197" s="5" t="s">
        <v>694</v>
      </c>
      <c r="B197" s="5" t="s">
        <v>201</v>
      </c>
      <c r="C197" s="5" t="s">
        <v>84</v>
      </c>
      <c r="D197" s="5" t="s">
        <v>395</v>
      </c>
      <c r="E197" s="5" t="s">
        <v>686</v>
      </c>
      <c r="F197" s="5" t="n">
        <v>13</v>
      </c>
      <c r="G197" s="5" t="n">
        <v>8</v>
      </c>
      <c r="H197" s="6" t="str">
        <f aca="false">IF(N197="","",N197&amp;IF(AND(MOD(N197,100)&gt;=11,MOD(N197,100)&lt;=13),"th",CHOOSE(MIN(5,MOD(N197,10)+1),"th","st","nd","rd","th")))</f>
        <v>5th</v>
      </c>
      <c r="I197" s="5" t="s">
        <v>687</v>
      </c>
      <c r="J197" s="6" t="n">
        <f aca="false">IFERROR(INDEX(Rounds!$A:$A,MATCH(I197,Rounds!$B:$B,0)),"ADD LEAGUE TO ROUNDS")</f>
        <v>3</v>
      </c>
      <c r="K197" s="6" t="n">
        <f aca="false">IFERROR(VALUE(LEFT(E197,FIND(" - ",E197)-1)),"")</f>
        <v>1</v>
      </c>
      <c r="L197" s="5" t="s">
        <v>695</v>
      </c>
      <c r="N197" s="6" t="n">
        <f aca="false">IF(F197="","",1+COUNTIFS($J:$J,J197,$K:$K,K197,$F:$F,"&gt;"&amp;F197)+COUNTIFS($J:$J,J197,$K:$K,K197,$F:$F,F197,$G:$G,"&gt;"&amp;G197))</f>
        <v>5</v>
      </c>
      <c r="O197" s="6" t="n">
        <f aca="false">IF(L197="","",SUMIFS(Votes!$E:$E,Votes!$A:$A,J197,Votes!$B:$B,K197,Votes!$D:$D,L197))</f>
        <v>13</v>
      </c>
      <c r="P197" s="6" t="n">
        <f aca="false">IF(L197="","",COUNTIFS(Votes!$A:$A,J197,Votes!$B:$B,K197,Votes!$D:$D,L197))</f>
        <v>8</v>
      </c>
      <c r="Q197" s="7" t="str">
        <f aca="false">IF(F197="","Unscored",IF(O197="","No URI",IF(AND(F197=0,O197=0),"Zero-vote",IF(AND(F197=O197,G197=P197),"OK",IF(AND(F197=0,O197&gt;0,COUNTIFS(Votes!$A:$A,J197,Votes!$B:$B,K197,Votes!$C:$C,D197)=0),"Forfeited","Mismatch")))))</f>
        <v>OK</v>
      </c>
      <c r="R197" s="6" t="n">
        <f aca="false">MAX(IF(L197&lt;&gt;"",COUNTIF($L:$L,L197),0),COUNTIFS($A:$A,A197,$B:$B,B197))</f>
        <v>1</v>
      </c>
      <c r="S197" s="6" t="str">
        <f aca="false">IF(R197&gt;1,COUNTIF($R$2:R197,"&gt;1"),"")</f>
        <v/>
      </c>
      <c r="T197" s="6" t="str">
        <f aca="false">IF(L197="","",J197&amp;"|"&amp;K197&amp;"|"&amp;L197)</f>
        <v>3|1|spotify:track:4Q0qVhFQa7j6jRKzo3HDmP</v>
      </c>
      <c r="U197" s="6" t="str">
        <f aca="false">IF(C197="","",IFERROR(INDEX(Lists!$F:$F,MATCH(C197,Lists!$E:$E,0)),"Unmapped"))</f>
        <v>Pop</v>
      </c>
    </row>
    <row r="198" customFormat="false" ht="15" hidden="false" customHeight="false" outlineLevel="0" collapsed="false">
      <c r="A198" s="5" t="s">
        <v>696</v>
      </c>
      <c r="B198" s="5" t="s">
        <v>697</v>
      </c>
      <c r="C198" s="5" t="s">
        <v>91</v>
      </c>
      <c r="D198" s="5" t="s">
        <v>484</v>
      </c>
      <c r="E198" s="5" t="s">
        <v>686</v>
      </c>
      <c r="F198" s="5" t="n">
        <v>12</v>
      </c>
      <c r="G198" s="5" t="n">
        <v>10</v>
      </c>
      <c r="H198" s="6" t="str">
        <f aca="false">IF(N198="","",N198&amp;IF(AND(MOD(N198,100)&gt;=11,MOD(N198,100)&lt;=13),"th",CHOOSE(MIN(5,MOD(N198,10)+1),"th","st","nd","rd","th")))</f>
        <v>6th</v>
      </c>
      <c r="I198" s="5" t="s">
        <v>687</v>
      </c>
      <c r="J198" s="6" t="n">
        <f aca="false">IFERROR(INDEX(Rounds!$A:$A,MATCH(I198,Rounds!$B:$B,0)),"ADD LEAGUE TO ROUNDS")</f>
        <v>3</v>
      </c>
      <c r="K198" s="6" t="n">
        <f aca="false">IFERROR(VALUE(LEFT(E198,FIND(" - ",E198)-1)),"")</f>
        <v>1</v>
      </c>
      <c r="L198" s="5" t="s">
        <v>698</v>
      </c>
      <c r="N198" s="6" t="n">
        <f aca="false">IF(F198="","",1+COUNTIFS($J:$J,J198,$K:$K,K198,$F:$F,"&gt;"&amp;F198)+COUNTIFS($J:$J,J198,$K:$K,K198,$F:$F,F198,$G:$G,"&gt;"&amp;G198))</f>
        <v>6</v>
      </c>
      <c r="O198" s="6" t="n">
        <f aca="false">IF(L198="","",SUMIFS(Votes!$E:$E,Votes!$A:$A,J198,Votes!$B:$B,K198,Votes!$D:$D,L198))</f>
        <v>12</v>
      </c>
      <c r="P198" s="6" t="n">
        <f aca="false">IF(L198="","",COUNTIFS(Votes!$A:$A,J198,Votes!$B:$B,K198,Votes!$D:$D,L198))</f>
        <v>10</v>
      </c>
      <c r="Q198" s="7" t="str">
        <f aca="false">IF(F198="","Unscored",IF(O198="","No URI",IF(AND(F198=0,O198=0),"Zero-vote",IF(AND(F198=O198,G198=P198),"OK",IF(AND(F198=0,O198&gt;0,COUNTIFS(Votes!$A:$A,J198,Votes!$B:$B,K198,Votes!$C:$C,D198)=0),"Forfeited","Mismatch")))))</f>
        <v>OK</v>
      </c>
      <c r="R198" s="6" t="n">
        <f aca="false">MAX(IF(L198&lt;&gt;"",COUNTIF($L:$L,L198),0),COUNTIFS($A:$A,A198,$B:$B,B198))</f>
        <v>1</v>
      </c>
      <c r="S198" s="6" t="str">
        <f aca="false">IF(R198&gt;1,COUNTIF($R$2:R198,"&gt;1"),"")</f>
        <v/>
      </c>
      <c r="T198" s="6" t="str">
        <f aca="false">IF(L198="","",J198&amp;"|"&amp;K198&amp;"|"&amp;L198)</f>
        <v>3|1|spotify:track:7qscY7sKAaGZynXbDyeMH3</v>
      </c>
      <c r="U198" s="6" t="str">
        <f aca="false">IF(C198="","",IFERROR(INDEX(Lists!$F:$F,MATCH(C198,Lists!$E:$E,0)),"Unmapped"))</f>
        <v>Rock</v>
      </c>
    </row>
    <row r="199" customFormat="false" ht="15" hidden="false" customHeight="false" outlineLevel="0" collapsed="false">
      <c r="A199" s="5" t="s">
        <v>699</v>
      </c>
      <c r="B199" s="5" t="s">
        <v>104</v>
      </c>
      <c r="C199" s="5" t="s">
        <v>105</v>
      </c>
      <c r="D199" s="5" t="s">
        <v>106</v>
      </c>
      <c r="E199" s="5" t="s">
        <v>686</v>
      </c>
      <c r="F199" s="5" t="n">
        <v>12</v>
      </c>
      <c r="G199" s="5" t="n">
        <v>8</v>
      </c>
      <c r="H199" s="6" t="str">
        <f aca="false">IF(N199="","",N199&amp;IF(AND(MOD(N199,100)&gt;=11,MOD(N199,100)&lt;=13),"th",CHOOSE(MIN(5,MOD(N199,10)+1),"th","st","nd","rd","th")))</f>
        <v>7th</v>
      </c>
      <c r="I199" s="5" t="s">
        <v>687</v>
      </c>
      <c r="J199" s="6" t="n">
        <f aca="false">IFERROR(INDEX(Rounds!$A:$A,MATCH(I199,Rounds!$B:$B,0)),"ADD LEAGUE TO ROUNDS")</f>
        <v>3</v>
      </c>
      <c r="K199" s="6" t="n">
        <f aca="false">IFERROR(VALUE(LEFT(E199,FIND(" - ",E199)-1)),"")</f>
        <v>1</v>
      </c>
      <c r="L199" s="5" t="s">
        <v>700</v>
      </c>
      <c r="N199" s="6" t="n">
        <f aca="false">IF(F199="","",1+COUNTIFS($J:$J,J199,$K:$K,K199,$F:$F,"&gt;"&amp;F199)+COUNTIFS($J:$J,J199,$K:$K,K199,$F:$F,F199,$G:$G,"&gt;"&amp;G199))</f>
        <v>7</v>
      </c>
      <c r="O199" s="6" t="n">
        <f aca="false">IF(L199="","",SUMIFS(Votes!$E:$E,Votes!$A:$A,J199,Votes!$B:$B,K199,Votes!$D:$D,L199))</f>
        <v>12</v>
      </c>
      <c r="P199" s="6" t="n">
        <f aca="false">IF(L199="","",COUNTIFS(Votes!$A:$A,J199,Votes!$B:$B,K199,Votes!$D:$D,L199))</f>
        <v>8</v>
      </c>
      <c r="Q199" s="7" t="str">
        <f aca="false">IF(F199="","Unscored",IF(O199="","No URI",IF(AND(F199=0,O199=0),"Zero-vote",IF(AND(F199=O199,G199=P199),"OK",IF(AND(F199=0,O199&gt;0,COUNTIFS(Votes!$A:$A,J199,Votes!$B:$B,K199,Votes!$C:$C,D199)=0),"Forfeited","Mismatch")))))</f>
        <v>OK</v>
      </c>
      <c r="R199" s="6" t="n">
        <f aca="false">MAX(IF(L199&lt;&gt;"",COUNTIF($L:$L,L199),0),COUNTIFS($A:$A,A199,$B:$B,B199))</f>
        <v>2</v>
      </c>
      <c r="S199" s="6" t="n">
        <f aca="false">IF(R199&gt;1,COUNTIF($R$2:R199,"&gt;1"),"")</f>
        <v>17</v>
      </c>
      <c r="T199" s="6" t="str">
        <f aca="false">IF(L199="","",J199&amp;"|"&amp;K199&amp;"|"&amp;L199)</f>
        <v>3|1|spotify:track:1QrbZhFYlViXd60g130vw1</v>
      </c>
      <c r="U199" s="6" t="str">
        <f aca="false">IF(C199="","",IFERROR(INDEX(Lists!$F:$F,MATCH(C199,Lists!$E:$E,0)),"Unmapped"))</f>
        <v>Metal</v>
      </c>
    </row>
    <row r="200" customFormat="false" ht="15" hidden="false" customHeight="false" outlineLevel="0" collapsed="false">
      <c r="A200" s="5" t="s">
        <v>701</v>
      </c>
      <c r="B200" s="5" t="s">
        <v>702</v>
      </c>
      <c r="C200" s="5" t="s">
        <v>84</v>
      </c>
      <c r="D200" s="5" t="s">
        <v>128</v>
      </c>
      <c r="E200" s="5" t="s">
        <v>686</v>
      </c>
      <c r="F200" s="5" t="n">
        <v>11</v>
      </c>
      <c r="G200" s="5" t="n">
        <v>7</v>
      </c>
      <c r="H200" s="6" t="str">
        <f aca="false">IF(N200="","",N200&amp;IF(AND(MOD(N200,100)&gt;=11,MOD(N200,100)&lt;=13),"th",CHOOSE(MIN(5,MOD(N200,10)+1),"th","st","nd","rd","th")))</f>
        <v>8th</v>
      </c>
      <c r="I200" s="5" t="s">
        <v>687</v>
      </c>
      <c r="J200" s="6" t="n">
        <f aca="false">IFERROR(INDEX(Rounds!$A:$A,MATCH(I200,Rounds!$B:$B,0)),"ADD LEAGUE TO ROUNDS")</f>
        <v>3</v>
      </c>
      <c r="K200" s="6" t="n">
        <f aca="false">IFERROR(VALUE(LEFT(E200,FIND(" - ",E200)-1)),"")</f>
        <v>1</v>
      </c>
      <c r="L200" s="5" t="s">
        <v>703</v>
      </c>
      <c r="N200" s="6" t="n">
        <f aca="false">IF(F200="","",1+COUNTIFS($J:$J,J200,$K:$K,K200,$F:$F,"&gt;"&amp;F200)+COUNTIFS($J:$J,J200,$K:$K,K200,$F:$F,F200,$G:$G,"&gt;"&amp;G200))</f>
        <v>8</v>
      </c>
      <c r="O200" s="6" t="n">
        <f aca="false">IF(L200="","",SUMIFS(Votes!$E:$E,Votes!$A:$A,J200,Votes!$B:$B,K200,Votes!$D:$D,L200))</f>
        <v>11</v>
      </c>
      <c r="P200" s="6" t="n">
        <f aca="false">IF(L200="","",COUNTIFS(Votes!$A:$A,J200,Votes!$B:$B,K200,Votes!$D:$D,L200))</f>
        <v>7</v>
      </c>
      <c r="Q200" s="7" t="str">
        <f aca="false">IF(F200="","Unscored",IF(O200="","No URI",IF(AND(F200=0,O200=0),"Zero-vote",IF(AND(F200=O200,G200=P200),"OK",IF(AND(F200=0,O200&gt;0,COUNTIFS(Votes!$A:$A,J200,Votes!$B:$B,K200,Votes!$C:$C,D200)=0),"Forfeited","Mismatch")))))</f>
        <v>OK</v>
      </c>
      <c r="R200" s="6" t="n">
        <f aca="false">MAX(IF(L200&lt;&gt;"",COUNTIF($L:$L,L200),0),COUNTIFS($A:$A,A200,$B:$B,B200))</f>
        <v>1</v>
      </c>
      <c r="S200" s="6" t="str">
        <f aca="false">IF(R200&gt;1,COUNTIF($R$2:R200,"&gt;1"),"")</f>
        <v/>
      </c>
      <c r="T200" s="6" t="str">
        <f aca="false">IF(L200="","",J200&amp;"|"&amp;K200&amp;"|"&amp;L200)</f>
        <v>3|1|spotify:track:2J051fjLklkoPbzOoTAACZ</v>
      </c>
      <c r="U200" s="6" t="str">
        <f aca="false">IF(C200="","",IFERROR(INDEX(Lists!$F:$F,MATCH(C200,Lists!$E:$E,0)),"Unmapped"))</f>
        <v>Pop</v>
      </c>
    </row>
    <row r="201" customFormat="false" ht="15" hidden="false" customHeight="false" outlineLevel="0" collapsed="false">
      <c r="A201" s="5" t="s">
        <v>704</v>
      </c>
      <c r="B201" s="5" t="s">
        <v>690</v>
      </c>
      <c r="C201" s="5" t="s">
        <v>96</v>
      </c>
      <c r="D201" s="5" t="s">
        <v>705</v>
      </c>
      <c r="E201" s="5" t="s">
        <v>686</v>
      </c>
      <c r="F201" s="5" t="n">
        <v>7</v>
      </c>
      <c r="G201" s="5" t="n">
        <v>6</v>
      </c>
      <c r="H201" s="6" t="str">
        <f aca="false">IF(N201="","",N201&amp;IF(AND(MOD(N201,100)&gt;=11,MOD(N201,100)&lt;=13),"th",CHOOSE(MIN(5,MOD(N201,10)+1),"th","st","nd","rd","th")))</f>
        <v>9th</v>
      </c>
      <c r="I201" s="5" t="s">
        <v>687</v>
      </c>
      <c r="J201" s="6" t="n">
        <f aca="false">IFERROR(INDEX(Rounds!$A:$A,MATCH(I201,Rounds!$B:$B,0)),"ADD LEAGUE TO ROUNDS")</f>
        <v>3</v>
      </c>
      <c r="K201" s="6" t="n">
        <f aca="false">IFERROR(VALUE(LEFT(E201,FIND(" - ",E201)-1)),"")</f>
        <v>1</v>
      </c>
      <c r="L201" s="5" t="s">
        <v>706</v>
      </c>
      <c r="N201" s="6" t="n">
        <f aca="false">IF(F201="","",1+COUNTIFS($J:$J,J201,$K:$K,K201,$F:$F,"&gt;"&amp;F201)+COUNTIFS($J:$J,J201,$K:$K,K201,$F:$F,F201,$G:$G,"&gt;"&amp;G201))</f>
        <v>9</v>
      </c>
      <c r="O201" s="6" t="n">
        <f aca="false">IF(L201="","",SUMIFS(Votes!$E:$E,Votes!$A:$A,J201,Votes!$B:$B,K201,Votes!$D:$D,L201))</f>
        <v>7</v>
      </c>
      <c r="P201" s="6" t="n">
        <f aca="false">IF(L201="","",COUNTIFS(Votes!$A:$A,J201,Votes!$B:$B,K201,Votes!$D:$D,L201))</f>
        <v>6</v>
      </c>
      <c r="Q201" s="7" t="str">
        <f aca="false">IF(F201="","Unscored",IF(O201="","No URI",IF(AND(F201=0,O201=0),"Zero-vote",IF(AND(F201=O201,G201=P201),"OK",IF(AND(F201=0,O201&gt;0,COUNTIFS(Votes!$A:$A,J201,Votes!$B:$B,K201,Votes!$C:$C,D201)=0),"Forfeited","Mismatch")))))</f>
        <v>OK</v>
      </c>
      <c r="R201" s="6" t="n">
        <f aca="false">MAX(IF(L201&lt;&gt;"",COUNTIF($L:$L,L201),0),COUNTIFS($A:$A,A201,$B:$B,B201))</f>
        <v>1</v>
      </c>
      <c r="S201" s="6" t="str">
        <f aca="false">IF(R201&gt;1,COUNTIF($R$2:R201,"&gt;1"),"")</f>
        <v/>
      </c>
      <c r="T201" s="6" t="str">
        <f aca="false">IF(L201="","",J201&amp;"|"&amp;K201&amp;"|"&amp;L201)</f>
        <v>3|1|spotify:track:7gKxCvTDWwV9wBhdeBbr3l</v>
      </c>
      <c r="U201" s="6" t="str">
        <f aca="false">IF(C201="","",IFERROR(INDEX(Lists!$F:$F,MATCH(C201,Lists!$E:$E,0)),"Unmapped"))</f>
        <v>R&amp;B/Soul</v>
      </c>
    </row>
    <row r="202" customFormat="false" ht="15" hidden="false" customHeight="false" outlineLevel="0" collapsed="false">
      <c r="A202" s="5" t="s">
        <v>707</v>
      </c>
      <c r="B202" s="5" t="s">
        <v>708</v>
      </c>
      <c r="C202" s="5" t="s">
        <v>304</v>
      </c>
      <c r="D202" s="5" t="s">
        <v>97</v>
      </c>
      <c r="E202" s="5" t="s">
        <v>686</v>
      </c>
      <c r="F202" s="5" t="n">
        <v>6</v>
      </c>
      <c r="G202" s="5" t="n">
        <v>6</v>
      </c>
      <c r="H202" s="6" t="str">
        <f aca="false">IF(N202="","",N202&amp;IF(AND(MOD(N202,100)&gt;=11,MOD(N202,100)&lt;=13),"th",CHOOSE(MIN(5,MOD(N202,10)+1),"th","st","nd","rd","th")))</f>
        <v>10th</v>
      </c>
      <c r="I202" s="5" t="s">
        <v>687</v>
      </c>
      <c r="J202" s="6" t="n">
        <f aca="false">IFERROR(INDEX(Rounds!$A:$A,MATCH(I202,Rounds!$B:$B,0)),"ADD LEAGUE TO ROUNDS")</f>
        <v>3</v>
      </c>
      <c r="K202" s="6" t="n">
        <f aca="false">IFERROR(VALUE(LEFT(E202,FIND(" - ",E202)-1)),"")</f>
        <v>1</v>
      </c>
      <c r="L202" s="5" t="s">
        <v>709</v>
      </c>
      <c r="N202" s="6" t="n">
        <f aca="false">IF(F202="","",1+COUNTIFS($J:$J,J202,$K:$K,K202,$F:$F,"&gt;"&amp;F202)+COUNTIFS($J:$J,J202,$K:$K,K202,$F:$F,F202,$G:$G,"&gt;"&amp;G202))</f>
        <v>10</v>
      </c>
      <c r="O202" s="6" t="n">
        <f aca="false">IF(L202="","",SUMIFS(Votes!$E:$E,Votes!$A:$A,J202,Votes!$B:$B,K202,Votes!$D:$D,L202))</f>
        <v>6</v>
      </c>
      <c r="P202" s="6" t="n">
        <f aca="false">IF(L202="","",COUNTIFS(Votes!$A:$A,J202,Votes!$B:$B,K202,Votes!$D:$D,L202))</f>
        <v>6</v>
      </c>
      <c r="Q202" s="7" t="str">
        <f aca="false">IF(F202="","Unscored",IF(O202="","No URI",IF(AND(F202=0,O202=0),"Zero-vote",IF(AND(F202=O202,G202=P202),"OK",IF(AND(F202=0,O202&gt;0,COUNTIFS(Votes!$A:$A,J202,Votes!$B:$B,K202,Votes!$C:$C,D202)=0),"Forfeited","Mismatch")))))</f>
        <v>OK</v>
      </c>
      <c r="R202" s="6" t="n">
        <f aca="false">MAX(IF(L202&lt;&gt;"",COUNTIF($L:$L,L202),0),COUNTIFS($A:$A,A202,$B:$B,B202))</f>
        <v>2</v>
      </c>
      <c r="S202" s="6" t="n">
        <f aca="false">IF(R202&gt;1,COUNTIF($R$2:R202,"&gt;1"),"")</f>
        <v>18</v>
      </c>
      <c r="T202" s="6" t="str">
        <f aca="false">IF(L202="","",J202&amp;"|"&amp;K202&amp;"|"&amp;L202)</f>
        <v>3|1|spotify:track:1xOqGUkyxGQRdCvGpvWKmL</v>
      </c>
      <c r="U202" s="6" t="str">
        <f aca="false">IF(C202="","",IFERROR(INDEX(Lists!$F:$F,MATCH(C202,Lists!$E:$E,0)),"Unmapped"))</f>
        <v>K-Pop</v>
      </c>
    </row>
    <row r="203" customFormat="false" ht="15" hidden="false" customHeight="false" outlineLevel="0" collapsed="false">
      <c r="A203" s="5" t="s">
        <v>710</v>
      </c>
      <c r="B203" s="5" t="s">
        <v>711</v>
      </c>
      <c r="C203" s="5" t="s">
        <v>91</v>
      </c>
      <c r="D203" s="5" t="s">
        <v>637</v>
      </c>
      <c r="E203" s="5" t="s">
        <v>686</v>
      </c>
      <c r="F203" s="5" t="n">
        <v>6</v>
      </c>
      <c r="G203" s="5" t="n">
        <v>6</v>
      </c>
      <c r="H203" s="6" t="str">
        <f aca="false">IF(N203="","",N203&amp;IF(AND(MOD(N203,100)&gt;=11,MOD(N203,100)&lt;=13),"th",CHOOSE(MIN(5,MOD(N203,10)+1),"th","st","nd","rd","th")))</f>
        <v>10th</v>
      </c>
      <c r="I203" s="5" t="s">
        <v>687</v>
      </c>
      <c r="J203" s="6" t="n">
        <f aca="false">IFERROR(INDEX(Rounds!$A:$A,MATCH(I203,Rounds!$B:$B,0)),"ADD LEAGUE TO ROUNDS")</f>
        <v>3</v>
      </c>
      <c r="K203" s="6" t="n">
        <f aca="false">IFERROR(VALUE(LEFT(E203,FIND(" - ",E203)-1)),"")</f>
        <v>1</v>
      </c>
      <c r="L203" s="5" t="s">
        <v>712</v>
      </c>
      <c r="N203" s="6" t="n">
        <f aca="false">IF(F203="","",1+COUNTIFS($J:$J,J203,$K:$K,K203,$F:$F,"&gt;"&amp;F203)+COUNTIFS($J:$J,J203,$K:$K,K203,$F:$F,F203,$G:$G,"&gt;"&amp;G203))</f>
        <v>10</v>
      </c>
      <c r="O203" s="6" t="n">
        <f aca="false">IF(L203="","",SUMIFS(Votes!$E:$E,Votes!$A:$A,J203,Votes!$B:$B,K203,Votes!$D:$D,L203))</f>
        <v>6</v>
      </c>
      <c r="P203" s="6" t="n">
        <f aca="false">IF(L203="","",COUNTIFS(Votes!$A:$A,J203,Votes!$B:$B,K203,Votes!$D:$D,L203))</f>
        <v>6</v>
      </c>
      <c r="Q203" s="7" t="str">
        <f aca="false">IF(F203="","Unscored",IF(O203="","No URI",IF(AND(F203=0,O203=0),"Zero-vote",IF(AND(F203=O203,G203=P203),"OK",IF(AND(F203=0,O203&gt;0,COUNTIFS(Votes!$A:$A,J203,Votes!$B:$B,K203,Votes!$C:$C,D203)=0),"Forfeited","Mismatch")))))</f>
        <v>OK</v>
      </c>
      <c r="R203" s="6" t="n">
        <f aca="false">MAX(IF(L203&lt;&gt;"",COUNTIF($L:$L,L203),0),COUNTIFS($A:$A,A203,$B:$B,B203))</f>
        <v>1</v>
      </c>
      <c r="S203" s="6" t="str">
        <f aca="false">IF(R203&gt;1,COUNTIF($R$2:R203,"&gt;1"),"")</f>
        <v/>
      </c>
      <c r="T203" s="6" t="str">
        <f aca="false">IF(L203="","",J203&amp;"|"&amp;K203&amp;"|"&amp;L203)</f>
        <v>3|1|spotify:track:6LElFVShkmWQRVNBfj9Zsw</v>
      </c>
      <c r="U203" s="6" t="str">
        <f aca="false">IF(C203="","",IFERROR(INDEX(Lists!$F:$F,MATCH(C203,Lists!$E:$E,0)),"Unmapped"))</f>
        <v>Rock</v>
      </c>
    </row>
    <row r="204" customFormat="false" ht="15" hidden="false" customHeight="false" outlineLevel="0" collapsed="false">
      <c r="A204" s="5" t="s">
        <v>713</v>
      </c>
      <c r="B204" s="5" t="s">
        <v>714</v>
      </c>
      <c r="C204" s="5" t="s">
        <v>363</v>
      </c>
      <c r="D204" s="5" t="s">
        <v>116</v>
      </c>
      <c r="E204" s="5" t="s">
        <v>686</v>
      </c>
      <c r="F204" s="5" t="n">
        <v>6</v>
      </c>
      <c r="G204" s="5" t="n">
        <v>5</v>
      </c>
      <c r="H204" s="6" t="str">
        <f aca="false">IF(N204="","",N204&amp;IF(AND(MOD(N204,100)&gt;=11,MOD(N204,100)&lt;=13),"th",CHOOSE(MIN(5,MOD(N204,10)+1),"th","st","nd","rd","th")))</f>
        <v>12th</v>
      </c>
      <c r="I204" s="5" t="s">
        <v>687</v>
      </c>
      <c r="J204" s="6" t="n">
        <f aca="false">IFERROR(INDEX(Rounds!$A:$A,MATCH(I204,Rounds!$B:$B,0)),"ADD LEAGUE TO ROUNDS")</f>
        <v>3</v>
      </c>
      <c r="K204" s="6" t="n">
        <f aca="false">IFERROR(VALUE(LEFT(E204,FIND(" - ",E204)-1)),"")</f>
        <v>1</v>
      </c>
      <c r="L204" s="5" t="s">
        <v>715</v>
      </c>
      <c r="N204" s="6" t="n">
        <f aca="false">IF(F204="","",1+COUNTIFS($J:$J,J204,$K:$K,K204,$F:$F,"&gt;"&amp;F204)+COUNTIFS($J:$J,J204,$K:$K,K204,$F:$F,F204,$G:$G,"&gt;"&amp;G204))</f>
        <v>12</v>
      </c>
      <c r="O204" s="6" t="n">
        <f aca="false">IF(L204="","",SUMIFS(Votes!$E:$E,Votes!$A:$A,J204,Votes!$B:$B,K204,Votes!$D:$D,L204))</f>
        <v>6</v>
      </c>
      <c r="P204" s="6" t="n">
        <f aca="false">IF(L204="","",COUNTIFS(Votes!$A:$A,J204,Votes!$B:$B,K204,Votes!$D:$D,L204))</f>
        <v>5</v>
      </c>
      <c r="Q204" s="7" t="str">
        <f aca="false">IF(F204="","Unscored",IF(O204="","No URI",IF(AND(F204=0,O204=0),"Zero-vote",IF(AND(F204=O204,G204=P204),"OK",IF(AND(F204=0,O204&gt;0,COUNTIFS(Votes!$A:$A,J204,Votes!$B:$B,K204,Votes!$C:$C,D204)=0),"Forfeited","Mismatch")))))</f>
        <v>OK</v>
      </c>
      <c r="R204" s="6" t="n">
        <f aca="false">MAX(IF(L204&lt;&gt;"",COUNTIF($L:$L,L204),0),COUNTIFS($A:$A,A204,$B:$B,B204))</f>
        <v>1</v>
      </c>
      <c r="S204" s="6" t="str">
        <f aca="false">IF(R204&gt;1,COUNTIF($R$2:R204,"&gt;1"),"")</f>
        <v/>
      </c>
      <c r="T204" s="6" t="str">
        <f aca="false">IF(L204="","",J204&amp;"|"&amp;K204&amp;"|"&amp;L204)</f>
        <v>3|1|spotify:track:3sK8wGT43QFpWrvNQsrQya</v>
      </c>
      <c r="U204" s="6" t="str">
        <f aca="false">IF(C204="","",IFERROR(INDEX(Lists!$F:$F,MATCH(C204,Lists!$E:$E,0)),"Unmapped"))</f>
        <v>Latin</v>
      </c>
    </row>
    <row r="205" customFormat="false" ht="15" hidden="false" customHeight="false" outlineLevel="0" collapsed="false">
      <c r="A205" s="5" t="s">
        <v>716</v>
      </c>
      <c r="B205" s="5" t="s">
        <v>717</v>
      </c>
      <c r="C205" s="5" t="s">
        <v>718</v>
      </c>
      <c r="D205" s="5" t="s">
        <v>719</v>
      </c>
      <c r="E205" s="5" t="s">
        <v>686</v>
      </c>
      <c r="F205" s="5" t="n">
        <v>6</v>
      </c>
      <c r="G205" s="5" t="n">
        <v>5</v>
      </c>
      <c r="H205" s="6" t="str">
        <f aca="false">IF(N205="","",N205&amp;IF(AND(MOD(N205,100)&gt;=11,MOD(N205,100)&lt;=13),"th",CHOOSE(MIN(5,MOD(N205,10)+1),"th","st","nd","rd","th")))</f>
        <v>12th</v>
      </c>
      <c r="I205" s="5" t="s">
        <v>687</v>
      </c>
      <c r="J205" s="6" t="n">
        <f aca="false">IFERROR(INDEX(Rounds!$A:$A,MATCH(I205,Rounds!$B:$B,0)),"ADD LEAGUE TO ROUNDS")</f>
        <v>3</v>
      </c>
      <c r="K205" s="6" t="n">
        <f aca="false">IFERROR(VALUE(LEFT(E205,FIND(" - ",E205)-1)),"")</f>
        <v>1</v>
      </c>
      <c r="L205" s="5" t="s">
        <v>720</v>
      </c>
      <c r="N205" s="6" t="n">
        <f aca="false">IF(F205="","",1+COUNTIFS($J:$J,J205,$K:$K,K205,$F:$F,"&gt;"&amp;F205)+COUNTIFS($J:$J,J205,$K:$K,K205,$F:$F,F205,$G:$G,"&gt;"&amp;G205))</f>
        <v>12</v>
      </c>
      <c r="O205" s="6" t="n">
        <f aca="false">IF(L205="","",SUMIFS(Votes!$E:$E,Votes!$A:$A,J205,Votes!$B:$B,K205,Votes!$D:$D,L205))</f>
        <v>6</v>
      </c>
      <c r="P205" s="6" t="n">
        <f aca="false">IF(L205="","",COUNTIFS(Votes!$A:$A,J205,Votes!$B:$B,K205,Votes!$D:$D,L205))</f>
        <v>5</v>
      </c>
      <c r="Q205" s="7" t="str">
        <f aca="false">IF(F205="","Unscored",IF(O205="","No URI",IF(AND(F205=0,O205=0),"Zero-vote",IF(AND(F205=O205,G205=P205),"OK",IF(AND(F205=0,O205&gt;0,COUNTIFS(Votes!$A:$A,J205,Votes!$B:$B,K205,Votes!$C:$C,D205)=0),"Forfeited","Mismatch")))))</f>
        <v>OK</v>
      </c>
      <c r="R205" s="6" t="n">
        <f aca="false">MAX(IF(L205&lt;&gt;"",COUNTIF($L:$L,L205),0),COUNTIFS($A:$A,A205,$B:$B,B205))</f>
        <v>1</v>
      </c>
      <c r="S205" s="6" t="str">
        <f aca="false">IF(R205&gt;1,COUNTIF($R$2:R205,"&gt;1"),"")</f>
        <v/>
      </c>
      <c r="T205" s="6" t="str">
        <f aca="false">IF(L205="","",J205&amp;"|"&amp;K205&amp;"|"&amp;L205)</f>
        <v>3|1|spotify:track:2rSp12ZJ679lU7dalojvVZ</v>
      </c>
      <c r="U205" s="6" t="str">
        <f aca="false">IF(C205="","",IFERROR(INDEX(Lists!$F:$F,MATCH(C205,Lists!$E:$E,0)),"Unmapped"))</f>
        <v>Pop</v>
      </c>
    </row>
    <row r="206" customFormat="false" ht="15" hidden="false" customHeight="false" outlineLevel="0" collapsed="false">
      <c r="A206" s="5" t="s">
        <v>721</v>
      </c>
      <c r="B206" s="5" t="s">
        <v>722</v>
      </c>
      <c r="C206" s="5" t="s">
        <v>91</v>
      </c>
      <c r="D206" s="5" t="s">
        <v>101</v>
      </c>
      <c r="E206" s="5" t="s">
        <v>686</v>
      </c>
      <c r="F206" s="5" t="n">
        <v>6</v>
      </c>
      <c r="G206" s="5" t="n">
        <v>4</v>
      </c>
      <c r="H206" s="6" t="str">
        <f aca="false">IF(N206="","",N206&amp;IF(AND(MOD(N206,100)&gt;=11,MOD(N206,100)&lt;=13),"th",CHOOSE(MIN(5,MOD(N206,10)+1),"th","st","nd","rd","th")))</f>
        <v>14th</v>
      </c>
      <c r="I206" s="5" t="s">
        <v>687</v>
      </c>
      <c r="J206" s="6" t="n">
        <f aca="false">IFERROR(INDEX(Rounds!$A:$A,MATCH(I206,Rounds!$B:$B,0)),"ADD LEAGUE TO ROUNDS")</f>
        <v>3</v>
      </c>
      <c r="K206" s="6" t="n">
        <f aca="false">IFERROR(VALUE(LEFT(E206,FIND(" - ",E206)-1)),"")</f>
        <v>1</v>
      </c>
      <c r="L206" s="5" t="s">
        <v>723</v>
      </c>
      <c r="N206" s="6" t="n">
        <f aca="false">IF(F206="","",1+COUNTIFS($J:$J,J206,$K:$K,K206,$F:$F,"&gt;"&amp;F206)+COUNTIFS($J:$J,J206,$K:$K,K206,$F:$F,F206,$G:$G,"&gt;"&amp;G206))</f>
        <v>14</v>
      </c>
      <c r="O206" s="6" t="n">
        <f aca="false">IF(L206="","",SUMIFS(Votes!$E:$E,Votes!$A:$A,J206,Votes!$B:$B,K206,Votes!$D:$D,L206))</f>
        <v>6</v>
      </c>
      <c r="P206" s="6" t="n">
        <f aca="false">IF(L206="","",COUNTIFS(Votes!$A:$A,J206,Votes!$B:$B,K206,Votes!$D:$D,L206))</f>
        <v>4</v>
      </c>
      <c r="Q206" s="7" t="str">
        <f aca="false">IF(F206="","Unscored",IF(O206="","No URI",IF(AND(F206=0,O206=0),"Zero-vote",IF(AND(F206=O206,G206=P206),"OK",IF(AND(F206=0,O206&gt;0,COUNTIFS(Votes!$A:$A,J206,Votes!$B:$B,K206,Votes!$C:$C,D206)=0),"Forfeited","Mismatch")))))</f>
        <v>OK</v>
      </c>
      <c r="R206" s="6" t="n">
        <f aca="false">MAX(IF(L206&lt;&gt;"",COUNTIF($L:$L,L206),0),COUNTIFS($A:$A,A206,$B:$B,B206))</f>
        <v>1</v>
      </c>
      <c r="S206" s="6" t="str">
        <f aca="false">IF(R206&gt;1,COUNTIF($R$2:R206,"&gt;1"),"")</f>
        <v/>
      </c>
      <c r="T206" s="6" t="str">
        <f aca="false">IF(L206="","",J206&amp;"|"&amp;K206&amp;"|"&amp;L206)</f>
        <v>3|1|spotify:track:4JaOwgYNvkOARAwSHibV5B</v>
      </c>
      <c r="U206" s="6" t="str">
        <f aca="false">IF(C206="","",IFERROR(INDEX(Lists!$F:$F,MATCH(C206,Lists!$E:$E,0)),"Unmapped"))</f>
        <v>Rock</v>
      </c>
    </row>
    <row r="207" customFormat="false" ht="15" hidden="false" customHeight="false" outlineLevel="0" collapsed="false">
      <c r="A207" s="5" t="s">
        <v>724</v>
      </c>
      <c r="B207" s="5" t="s">
        <v>725</v>
      </c>
      <c r="C207" s="5" t="s">
        <v>171</v>
      </c>
      <c r="D207" s="5" t="s">
        <v>92</v>
      </c>
      <c r="E207" s="5" t="s">
        <v>686</v>
      </c>
      <c r="F207" s="5" t="n">
        <v>6</v>
      </c>
      <c r="G207" s="5" t="n">
        <v>3</v>
      </c>
      <c r="H207" s="6" t="str">
        <f aca="false">IF(N207="","",N207&amp;IF(AND(MOD(N207,100)&gt;=11,MOD(N207,100)&lt;=13),"th",CHOOSE(MIN(5,MOD(N207,10)+1),"th","st","nd","rd","th")))</f>
        <v>15th</v>
      </c>
      <c r="I207" s="5" t="s">
        <v>687</v>
      </c>
      <c r="J207" s="6" t="n">
        <f aca="false">IFERROR(INDEX(Rounds!$A:$A,MATCH(I207,Rounds!$B:$B,0)),"ADD LEAGUE TO ROUNDS")</f>
        <v>3</v>
      </c>
      <c r="K207" s="6" t="n">
        <f aca="false">IFERROR(VALUE(LEFT(E207,FIND(" - ",E207)-1)),"")</f>
        <v>1</v>
      </c>
      <c r="L207" s="5" t="s">
        <v>726</v>
      </c>
      <c r="N207" s="6" t="n">
        <f aca="false">IF(F207="","",1+COUNTIFS($J:$J,J207,$K:$K,K207,$F:$F,"&gt;"&amp;F207)+COUNTIFS($J:$J,J207,$K:$K,K207,$F:$F,F207,$G:$G,"&gt;"&amp;G207))</f>
        <v>15</v>
      </c>
      <c r="O207" s="6" t="n">
        <f aca="false">IF(L207="","",SUMIFS(Votes!$E:$E,Votes!$A:$A,J207,Votes!$B:$B,K207,Votes!$D:$D,L207))</f>
        <v>6</v>
      </c>
      <c r="P207" s="6" t="n">
        <f aca="false">IF(L207="","",COUNTIFS(Votes!$A:$A,J207,Votes!$B:$B,K207,Votes!$D:$D,L207))</f>
        <v>3</v>
      </c>
      <c r="Q207" s="7" t="str">
        <f aca="false">IF(F207="","Unscored",IF(O207="","No URI",IF(AND(F207=0,O207=0),"Zero-vote",IF(AND(F207=O207,G207=P207),"OK",IF(AND(F207=0,O207&gt;0,COUNTIFS(Votes!$A:$A,J207,Votes!$B:$B,K207,Votes!$C:$C,D207)=0),"Forfeited","Mismatch")))))</f>
        <v>OK</v>
      </c>
      <c r="R207" s="6" t="n">
        <f aca="false">MAX(IF(L207&lt;&gt;"",COUNTIF($L:$L,L207),0),COUNTIFS($A:$A,A207,$B:$B,B207))</f>
        <v>1</v>
      </c>
      <c r="S207" s="6" t="str">
        <f aca="false">IF(R207&gt;1,COUNTIF($R$2:R207,"&gt;1"),"")</f>
        <v/>
      </c>
      <c r="T207" s="6" t="str">
        <f aca="false">IF(L207="","",J207&amp;"|"&amp;K207&amp;"|"&amp;L207)</f>
        <v>3|1|spotify:track:1ARmO8RudHPmloapraihD3</v>
      </c>
      <c r="U207" s="6" t="str">
        <f aca="false">IF(C207="","",IFERROR(INDEX(Lists!$F:$F,MATCH(C207,Lists!$E:$E,0)),"Unmapped"))</f>
        <v>Country</v>
      </c>
    </row>
    <row r="208" customFormat="false" ht="15" hidden="false" customHeight="false" outlineLevel="0" collapsed="false">
      <c r="A208" s="5" t="s">
        <v>727</v>
      </c>
      <c r="B208" s="5" t="s">
        <v>728</v>
      </c>
      <c r="C208" s="5" t="s">
        <v>84</v>
      </c>
      <c r="D208" s="5" t="s">
        <v>101</v>
      </c>
      <c r="E208" s="5" t="s">
        <v>729</v>
      </c>
      <c r="F208" s="5" t="n">
        <v>16</v>
      </c>
      <c r="G208" s="5" t="n">
        <v>9</v>
      </c>
      <c r="H208" s="6" t="str">
        <f aca="false">IF(N208="","",N208&amp;IF(AND(MOD(N208,100)&gt;=11,MOD(N208,100)&lt;=13),"th",CHOOSE(MIN(5,MOD(N208,10)+1),"th","st","nd","rd","th")))</f>
        <v>1st</v>
      </c>
      <c r="I208" s="5" t="s">
        <v>687</v>
      </c>
      <c r="J208" s="6" t="n">
        <f aca="false">IFERROR(INDEX(Rounds!$A:$A,MATCH(I208,Rounds!$B:$B,0)),"ADD LEAGUE TO ROUNDS")</f>
        <v>3</v>
      </c>
      <c r="K208" s="6" t="n">
        <f aca="false">IFERROR(VALUE(LEFT(E208,FIND(" - ",E208)-1)),"")</f>
        <v>2</v>
      </c>
      <c r="L208" s="5" t="s">
        <v>730</v>
      </c>
      <c r="N208" s="6" t="n">
        <f aca="false">IF(F208="","",1+COUNTIFS($J:$J,J208,$K:$K,K208,$F:$F,"&gt;"&amp;F208)+COUNTIFS($J:$J,J208,$K:$K,K208,$F:$F,F208,$G:$G,"&gt;"&amp;G208))</f>
        <v>1</v>
      </c>
      <c r="O208" s="6" t="n">
        <f aca="false">IF(L208="","",SUMIFS(Votes!$E:$E,Votes!$A:$A,J208,Votes!$B:$B,K208,Votes!$D:$D,L208))</f>
        <v>16</v>
      </c>
      <c r="P208" s="6" t="n">
        <f aca="false">IF(L208="","",COUNTIFS(Votes!$A:$A,J208,Votes!$B:$B,K208,Votes!$D:$D,L208))</f>
        <v>9</v>
      </c>
      <c r="Q208" s="7" t="str">
        <f aca="false">IF(F208="","Unscored",IF(O208="","No URI",IF(AND(F208=0,O208=0),"Zero-vote",IF(AND(F208=O208,G208=P208),"OK",IF(AND(F208=0,O208&gt;0,COUNTIFS(Votes!$A:$A,J208,Votes!$B:$B,K208,Votes!$C:$C,D208)=0),"Forfeited","Mismatch")))))</f>
        <v>OK</v>
      </c>
      <c r="R208" s="6" t="n">
        <f aca="false">MAX(IF(L208&lt;&gt;"",COUNTIF($L:$L,L208),0),COUNTIFS($A:$A,A208,$B:$B,B208))</f>
        <v>1</v>
      </c>
      <c r="S208" s="6" t="str">
        <f aca="false">IF(R208&gt;1,COUNTIF($R$2:R208,"&gt;1"),"")</f>
        <v/>
      </c>
      <c r="T208" s="6" t="str">
        <f aca="false">IF(L208="","",J208&amp;"|"&amp;K208&amp;"|"&amp;L208)</f>
        <v>3|2|spotify:track:6lanRgr6wXibZr8KgzXxBl</v>
      </c>
      <c r="U208" s="6" t="str">
        <f aca="false">IF(C208="","",IFERROR(INDEX(Lists!$F:$F,MATCH(C208,Lists!$E:$E,0)),"Unmapped"))</f>
        <v>Pop</v>
      </c>
    </row>
    <row r="209" customFormat="false" ht="15" hidden="false" customHeight="false" outlineLevel="0" collapsed="false">
      <c r="A209" s="5" t="s">
        <v>731</v>
      </c>
      <c r="B209" s="5" t="s">
        <v>201</v>
      </c>
      <c r="C209" s="5" t="s">
        <v>84</v>
      </c>
      <c r="D209" s="5" t="s">
        <v>119</v>
      </c>
      <c r="E209" s="5" t="s">
        <v>729</v>
      </c>
      <c r="F209" s="5" t="n">
        <v>13</v>
      </c>
      <c r="G209" s="5" t="n">
        <v>9</v>
      </c>
      <c r="H209" s="6" t="str">
        <f aca="false">IF(N209="","",N209&amp;IF(AND(MOD(N209,100)&gt;=11,MOD(N209,100)&lt;=13),"th",CHOOSE(MIN(5,MOD(N209,10)+1),"th","st","nd","rd","th")))</f>
        <v>2nd</v>
      </c>
      <c r="I209" s="5" t="s">
        <v>687</v>
      </c>
      <c r="J209" s="6" t="n">
        <f aca="false">IFERROR(INDEX(Rounds!$A:$A,MATCH(I209,Rounds!$B:$B,0)),"ADD LEAGUE TO ROUNDS")</f>
        <v>3</v>
      </c>
      <c r="K209" s="6" t="n">
        <f aca="false">IFERROR(VALUE(LEFT(E209,FIND(" - ",E209)-1)),"")</f>
        <v>2</v>
      </c>
      <c r="L209" s="5" t="s">
        <v>732</v>
      </c>
      <c r="N209" s="6" t="n">
        <f aca="false">IF(F209="","",1+COUNTIFS($J:$J,J209,$K:$K,K209,$F:$F,"&gt;"&amp;F209)+COUNTIFS($J:$J,J209,$K:$K,K209,$F:$F,F209,$G:$G,"&gt;"&amp;G209))</f>
        <v>2</v>
      </c>
      <c r="O209" s="6" t="n">
        <f aca="false">IF(L209="","",SUMIFS(Votes!$E:$E,Votes!$A:$A,J209,Votes!$B:$B,K209,Votes!$D:$D,L209))</f>
        <v>13</v>
      </c>
      <c r="P209" s="6" t="n">
        <f aca="false">IF(L209="","",COUNTIFS(Votes!$A:$A,J209,Votes!$B:$B,K209,Votes!$D:$D,L209))</f>
        <v>9</v>
      </c>
      <c r="Q209" s="7" t="str">
        <f aca="false">IF(F209="","Unscored",IF(O209="","No URI",IF(AND(F209=0,O209=0),"Zero-vote",IF(AND(F209=O209,G209=P209),"OK",IF(AND(F209=0,O209&gt;0,COUNTIFS(Votes!$A:$A,J209,Votes!$B:$B,K209,Votes!$C:$C,D209)=0),"Forfeited","Mismatch")))))</f>
        <v>OK</v>
      </c>
      <c r="R209" s="6" t="n">
        <f aca="false">MAX(IF(L209&lt;&gt;"",COUNTIF($L:$L,L209),0),COUNTIFS($A:$A,A209,$B:$B,B209))</f>
        <v>1</v>
      </c>
      <c r="S209" s="6" t="str">
        <f aca="false">IF(R209&gt;1,COUNTIF($R$2:R209,"&gt;1"),"")</f>
        <v/>
      </c>
      <c r="T209" s="6" t="str">
        <f aca="false">IF(L209="","",J209&amp;"|"&amp;K209&amp;"|"&amp;L209)</f>
        <v>3|2|spotify:track:34gCuhDGsG4bRPIf9bb02f</v>
      </c>
      <c r="U209" s="6" t="str">
        <f aca="false">IF(C209="","",IFERROR(INDEX(Lists!$F:$F,MATCH(C209,Lists!$E:$E,0)),"Unmapped"))</f>
        <v>Pop</v>
      </c>
    </row>
    <row r="210" customFormat="false" ht="15" hidden="false" customHeight="false" outlineLevel="0" collapsed="false">
      <c r="A210" s="5" t="s">
        <v>733</v>
      </c>
      <c r="B210" s="5" t="s">
        <v>734</v>
      </c>
      <c r="C210" s="5" t="s">
        <v>91</v>
      </c>
      <c r="D210" s="5" t="s">
        <v>97</v>
      </c>
      <c r="E210" s="5" t="s">
        <v>729</v>
      </c>
      <c r="F210" s="5" t="n">
        <v>13</v>
      </c>
      <c r="G210" s="5" t="n">
        <v>9</v>
      </c>
      <c r="H210" s="6" t="str">
        <f aca="false">IF(N210="","",N210&amp;IF(AND(MOD(N210,100)&gt;=11,MOD(N210,100)&lt;=13),"th",CHOOSE(MIN(5,MOD(N210,10)+1),"th","st","nd","rd","th")))</f>
        <v>2nd</v>
      </c>
      <c r="I210" s="5" t="s">
        <v>687</v>
      </c>
      <c r="J210" s="6" t="n">
        <f aca="false">IFERROR(INDEX(Rounds!$A:$A,MATCH(I210,Rounds!$B:$B,0)),"ADD LEAGUE TO ROUNDS")</f>
        <v>3</v>
      </c>
      <c r="K210" s="6" t="n">
        <f aca="false">IFERROR(VALUE(LEFT(E210,FIND(" - ",E210)-1)),"")</f>
        <v>2</v>
      </c>
      <c r="L210" s="5" t="s">
        <v>735</v>
      </c>
      <c r="N210" s="6" t="n">
        <f aca="false">IF(F210="","",1+COUNTIFS($J:$J,J210,$K:$K,K210,$F:$F,"&gt;"&amp;F210)+COUNTIFS($J:$J,J210,$K:$K,K210,$F:$F,F210,$G:$G,"&gt;"&amp;G210))</f>
        <v>2</v>
      </c>
      <c r="O210" s="6" t="n">
        <f aca="false">IF(L210="","",SUMIFS(Votes!$E:$E,Votes!$A:$A,J210,Votes!$B:$B,K210,Votes!$D:$D,L210))</f>
        <v>13</v>
      </c>
      <c r="P210" s="6" t="n">
        <f aca="false">IF(L210="","",COUNTIFS(Votes!$A:$A,J210,Votes!$B:$B,K210,Votes!$D:$D,L210))</f>
        <v>9</v>
      </c>
      <c r="Q210" s="7" t="str">
        <f aca="false">IF(F210="","Unscored",IF(O210="","No URI",IF(AND(F210=0,O210=0),"Zero-vote",IF(AND(F210=O210,G210=P210),"OK",IF(AND(F210=0,O210&gt;0,COUNTIFS(Votes!$A:$A,J210,Votes!$B:$B,K210,Votes!$C:$C,D210)=0),"Forfeited","Mismatch")))))</f>
        <v>OK</v>
      </c>
      <c r="R210" s="6" t="n">
        <f aca="false">MAX(IF(L210&lt;&gt;"",COUNTIF($L:$L,L210),0),COUNTIFS($A:$A,A210,$B:$B,B210))</f>
        <v>1</v>
      </c>
      <c r="S210" s="6" t="str">
        <f aca="false">IF(R210&gt;1,COUNTIF($R$2:R210,"&gt;1"),"")</f>
        <v/>
      </c>
      <c r="T210" s="6" t="str">
        <f aca="false">IF(L210="","",J210&amp;"|"&amp;K210&amp;"|"&amp;L210)</f>
        <v>3|2|spotify:track:6zC0mpGYwbNTpk9SKwh08f</v>
      </c>
      <c r="U210" s="6" t="str">
        <f aca="false">IF(C210="","",IFERROR(INDEX(Lists!$F:$F,MATCH(C210,Lists!$E:$E,0)),"Unmapped"))</f>
        <v>Rock</v>
      </c>
    </row>
    <row r="211" customFormat="false" ht="15" hidden="false" customHeight="false" outlineLevel="0" collapsed="false">
      <c r="A211" s="5" t="s">
        <v>736</v>
      </c>
      <c r="B211" s="5" t="s">
        <v>737</v>
      </c>
      <c r="C211" s="5" t="s">
        <v>91</v>
      </c>
      <c r="D211" s="5" t="s">
        <v>705</v>
      </c>
      <c r="E211" s="5" t="s">
        <v>729</v>
      </c>
      <c r="F211" s="5" t="n">
        <v>12</v>
      </c>
      <c r="G211" s="5" t="n">
        <v>8</v>
      </c>
      <c r="H211" s="6" t="str">
        <f aca="false">IF(N211="","",N211&amp;IF(AND(MOD(N211,100)&gt;=11,MOD(N211,100)&lt;=13),"th",CHOOSE(MIN(5,MOD(N211,10)+1),"th","st","nd","rd","th")))</f>
        <v>4th</v>
      </c>
      <c r="I211" s="5" t="s">
        <v>687</v>
      </c>
      <c r="J211" s="6" t="n">
        <f aca="false">IFERROR(INDEX(Rounds!$A:$A,MATCH(I211,Rounds!$B:$B,0)),"ADD LEAGUE TO ROUNDS")</f>
        <v>3</v>
      </c>
      <c r="K211" s="6" t="n">
        <f aca="false">IFERROR(VALUE(LEFT(E211,FIND(" - ",E211)-1)),"")</f>
        <v>2</v>
      </c>
      <c r="L211" s="5" t="s">
        <v>738</v>
      </c>
      <c r="N211" s="6" t="n">
        <f aca="false">IF(F211="","",1+COUNTIFS($J:$J,J211,$K:$K,K211,$F:$F,"&gt;"&amp;F211)+COUNTIFS($J:$J,J211,$K:$K,K211,$F:$F,F211,$G:$G,"&gt;"&amp;G211))</f>
        <v>4</v>
      </c>
      <c r="O211" s="6" t="n">
        <f aca="false">IF(L211="","",SUMIFS(Votes!$E:$E,Votes!$A:$A,J211,Votes!$B:$B,K211,Votes!$D:$D,L211))</f>
        <v>12</v>
      </c>
      <c r="P211" s="6" t="n">
        <f aca="false">IF(L211="","",COUNTIFS(Votes!$A:$A,J211,Votes!$B:$B,K211,Votes!$D:$D,L211))</f>
        <v>8</v>
      </c>
      <c r="Q211" s="7" t="str">
        <f aca="false">IF(F211="","Unscored",IF(O211="","No URI",IF(AND(F211=0,O211=0),"Zero-vote",IF(AND(F211=O211,G211=P211),"OK",IF(AND(F211=0,O211&gt;0,COUNTIFS(Votes!$A:$A,J211,Votes!$B:$B,K211,Votes!$C:$C,D211)=0),"Forfeited","Mismatch")))))</f>
        <v>OK</v>
      </c>
      <c r="R211" s="6" t="n">
        <f aca="false">MAX(IF(L211&lt;&gt;"",COUNTIF($L:$L,L211),0),COUNTIFS($A:$A,A211,$B:$B,B211))</f>
        <v>1</v>
      </c>
      <c r="S211" s="6" t="str">
        <f aca="false">IF(R211&gt;1,COUNTIF($R$2:R211,"&gt;1"),"")</f>
        <v/>
      </c>
      <c r="T211" s="6" t="str">
        <f aca="false">IF(L211="","",J211&amp;"|"&amp;K211&amp;"|"&amp;L211)</f>
        <v>3|2|spotify:track:4JGKZS7h4Qa16gOU3oNETV</v>
      </c>
      <c r="U211" s="6" t="str">
        <f aca="false">IF(C211="","",IFERROR(INDEX(Lists!$F:$F,MATCH(C211,Lists!$E:$E,0)),"Unmapped"))</f>
        <v>Rock</v>
      </c>
    </row>
    <row r="212" customFormat="false" ht="15" hidden="false" customHeight="false" outlineLevel="0" collapsed="false">
      <c r="A212" s="5" t="s">
        <v>739</v>
      </c>
      <c r="B212" s="5" t="s">
        <v>740</v>
      </c>
      <c r="C212" s="5" t="s">
        <v>84</v>
      </c>
      <c r="D212" s="5" t="s">
        <v>395</v>
      </c>
      <c r="E212" s="5" t="s">
        <v>729</v>
      </c>
      <c r="F212" s="5" t="n">
        <v>12</v>
      </c>
      <c r="G212" s="5" t="n">
        <v>7</v>
      </c>
      <c r="H212" s="6" t="str">
        <f aca="false">IF(N212="","",N212&amp;IF(AND(MOD(N212,100)&gt;=11,MOD(N212,100)&lt;=13),"th",CHOOSE(MIN(5,MOD(N212,10)+1),"th","st","nd","rd","th")))</f>
        <v>5th</v>
      </c>
      <c r="I212" s="5" t="s">
        <v>687</v>
      </c>
      <c r="J212" s="6" t="n">
        <f aca="false">IFERROR(INDEX(Rounds!$A:$A,MATCH(I212,Rounds!$B:$B,0)),"ADD LEAGUE TO ROUNDS")</f>
        <v>3</v>
      </c>
      <c r="K212" s="6" t="n">
        <f aca="false">IFERROR(VALUE(LEFT(E212,FIND(" - ",E212)-1)),"")</f>
        <v>2</v>
      </c>
      <c r="L212" s="5" t="s">
        <v>741</v>
      </c>
      <c r="N212" s="6" t="n">
        <f aca="false">IF(F212="","",1+COUNTIFS($J:$J,J212,$K:$K,K212,$F:$F,"&gt;"&amp;F212)+COUNTIFS($J:$J,J212,$K:$K,K212,$F:$F,F212,$G:$G,"&gt;"&amp;G212))</f>
        <v>5</v>
      </c>
      <c r="O212" s="6" t="n">
        <f aca="false">IF(L212="","",SUMIFS(Votes!$E:$E,Votes!$A:$A,J212,Votes!$B:$B,K212,Votes!$D:$D,L212))</f>
        <v>12</v>
      </c>
      <c r="P212" s="6" t="n">
        <f aca="false">IF(L212="","",COUNTIFS(Votes!$A:$A,J212,Votes!$B:$B,K212,Votes!$D:$D,L212))</f>
        <v>7</v>
      </c>
      <c r="Q212" s="7" t="str">
        <f aca="false">IF(F212="","Unscored",IF(O212="","No URI",IF(AND(F212=0,O212=0),"Zero-vote",IF(AND(F212=O212,G212=P212),"OK",IF(AND(F212=0,O212&gt;0,COUNTIFS(Votes!$A:$A,J212,Votes!$B:$B,K212,Votes!$C:$C,D212)=0),"Forfeited","Mismatch")))))</f>
        <v>OK</v>
      </c>
      <c r="R212" s="6" t="n">
        <f aca="false">MAX(IF(L212&lt;&gt;"",COUNTIF($L:$L,L212),0),COUNTIFS($A:$A,A212,$B:$B,B212))</f>
        <v>1</v>
      </c>
      <c r="S212" s="6" t="str">
        <f aca="false">IF(R212&gt;1,COUNTIF($R$2:R212,"&gt;1"),"")</f>
        <v/>
      </c>
      <c r="T212" s="6" t="str">
        <f aca="false">IF(L212="","",J212&amp;"|"&amp;K212&amp;"|"&amp;L212)</f>
        <v>3|2|spotify:track:28UMiBhn383n9S7GL4tsxD</v>
      </c>
      <c r="U212" s="6" t="str">
        <f aca="false">IF(C212="","",IFERROR(INDEX(Lists!$F:$F,MATCH(C212,Lists!$E:$E,0)),"Unmapped"))</f>
        <v>Pop</v>
      </c>
    </row>
    <row r="213" customFormat="false" ht="15" hidden="false" customHeight="false" outlineLevel="0" collapsed="false">
      <c r="A213" s="5" t="s">
        <v>742</v>
      </c>
      <c r="B213" s="5" t="s">
        <v>743</v>
      </c>
      <c r="C213" s="5" t="s">
        <v>84</v>
      </c>
      <c r="D213" s="5" t="s">
        <v>382</v>
      </c>
      <c r="E213" s="5" t="s">
        <v>729</v>
      </c>
      <c r="F213" s="5" t="n">
        <v>11</v>
      </c>
      <c r="G213" s="5" t="n">
        <v>8</v>
      </c>
      <c r="H213" s="6" t="str">
        <f aca="false">IF(N213="","",N213&amp;IF(AND(MOD(N213,100)&gt;=11,MOD(N213,100)&lt;=13),"th",CHOOSE(MIN(5,MOD(N213,10)+1),"th","st","nd","rd","th")))</f>
        <v>6th</v>
      </c>
      <c r="I213" s="5" t="s">
        <v>687</v>
      </c>
      <c r="J213" s="6" t="n">
        <f aca="false">IFERROR(INDEX(Rounds!$A:$A,MATCH(I213,Rounds!$B:$B,0)),"ADD LEAGUE TO ROUNDS")</f>
        <v>3</v>
      </c>
      <c r="K213" s="6" t="n">
        <f aca="false">IFERROR(VALUE(LEFT(E213,FIND(" - ",E213)-1)),"")</f>
        <v>2</v>
      </c>
      <c r="L213" s="5" t="s">
        <v>744</v>
      </c>
      <c r="N213" s="6" t="n">
        <f aca="false">IF(F213="","",1+COUNTIFS($J:$J,J213,$K:$K,K213,$F:$F,"&gt;"&amp;F213)+COUNTIFS($J:$J,J213,$K:$K,K213,$F:$F,F213,$G:$G,"&gt;"&amp;G213))</f>
        <v>6</v>
      </c>
      <c r="O213" s="6" t="n">
        <f aca="false">IF(L213="","",SUMIFS(Votes!$E:$E,Votes!$A:$A,J213,Votes!$B:$B,K213,Votes!$D:$D,L213))</f>
        <v>11</v>
      </c>
      <c r="P213" s="6" t="n">
        <f aca="false">IF(L213="","",COUNTIFS(Votes!$A:$A,J213,Votes!$B:$B,K213,Votes!$D:$D,L213))</f>
        <v>8</v>
      </c>
      <c r="Q213" s="7" t="str">
        <f aca="false">IF(F213="","Unscored",IF(O213="","No URI",IF(AND(F213=0,O213=0),"Zero-vote",IF(AND(F213=O213,G213=P213),"OK",IF(AND(F213=0,O213&gt;0,COUNTIFS(Votes!$A:$A,J213,Votes!$B:$B,K213,Votes!$C:$C,D213)=0),"Forfeited","Mismatch")))))</f>
        <v>OK</v>
      </c>
      <c r="R213" s="6" t="n">
        <f aca="false">MAX(IF(L213&lt;&gt;"",COUNTIF($L:$L,L213),0),COUNTIFS($A:$A,A213,$B:$B,B213))</f>
        <v>1</v>
      </c>
      <c r="S213" s="6" t="str">
        <f aca="false">IF(R213&gt;1,COUNTIF($R$2:R213,"&gt;1"),"")</f>
        <v/>
      </c>
      <c r="T213" s="6" t="str">
        <f aca="false">IF(L213="","",J213&amp;"|"&amp;K213&amp;"|"&amp;L213)</f>
        <v>3|2|spotify:track:2XW4AAjfBQTzp7Oe1tU702</v>
      </c>
      <c r="U213" s="6" t="str">
        <f aca="false">IF(C213="","",IFERROR(INDEX(Lists!$F:$F,MATCH(C213,Lists!$E:$E,0)),"Unmapped"))</f>
        <v>Pop</v>
      </c>
    </row>
    <row r="214" customFormat="false" ht="15" hidden="false" customHeight="false" outlineLevel="0" collapsed="false">
      <c r="A214" s="5" t="s">
        <v>745</v>
      </c>
      <c r="B214" s="5" t="s">
        <v>746</v>
      </c>
      <c r="C214" s="5" t="s">
        <v>171</v>
      </c>
      <c r="D214" s="5" t="s">
        <v>116</v>
      </c>
      <c r="E214" s="5" t="s">
        <v>729</v>
      </c>
      <c r="F214" s="5" t="n">
        <v>11</v>
      </c>
      <c r="G214" s="5" t="n">
        <v>8</v>
      </c>
      <c r="H214" s="6" t="str">
        <f aca="false">IF(N214="","",N214&amp;IF(AND(MOD(N214,100)&gt;=11,MOD(N214,100)&lt;=13),"th",CHOOSE(MIN(5,MOD(N214,10)+1),"th","st","nd","rd","th")))</f>
        <v>6th</v>
      </c>
      <c r="I214" s="5" t="s">
        <v>687</v>
      </c>
      <c r="J214" s="6" t="n">
        <f aca="false">IFERROR(INDEX(Rounds!$A:$A,MATCH(I214,Rounds!$B:$B,0)),"ADD LEAGUE TO ROUNDS")</f>
        <v>3</v>
      </c>
      <c r="K214" s="6" t="n">
        <f aca="false">IFERROR(VALUE(LEFT(E214,FIND(" - ",E214)-1)),"")</f>
        <v>2</v>
      </c>
      <c r="L214" s="5" t="s">
        <v>747</v>
      </c>
      <c r="N214" s="6" t="n">
        <f aca="false">IF(F214="","",1+COUNTIFS($J:$J,J214,$K:$K,K214,$F:$F,"&gt;"&amp;F214)+COUNTIFS($J:$J,J214,$K:$K,K214,$F:$F,F214,$G:$G,"&gt;"&amp;G214))</f>
        <v>6</v>
      </c>
      <c r="O214" s="6" t="n">
        <f aca="false">IF(L214="","",SUMIFS(Votes!$E:$E,Votes!$A:$A,J214,Votes!$B:$B,K214,Votes!$D:$D,L214))</f>
        <v>11</v>
      </c>
      <c r="P214" s="6" t="n">
        <f aca="false">IF(L214="","",COUNTIFS(Votes!$A:$A,J214,Votes!$B:$B,K214,Votes!$D:$D,L214))</f>
        <v>8</v>
      </c>
      <c r="Q214" s="7" t="str">
        <f aca="false">IF(F214="","Unscored",IF(O214="","No URI",IF(AND(F214=0,O214=0),"Zero-vote",IF(AND(F214=O214,G214=P214),"OK",IF(AND(F214=0,O214&gt;0,COUNTIFS(Votes!$A:$A,J214,Votes!$B:$B,K214,Votes!$C:$C,D214)=0),"Forfeited","Mismatch")))))</f>
        <v>OK</v>
      </c>
      <c r="R214" s="6" t="n">
        <f aca="false">MAX(IF(L214&lt;&gt;"",COUNTIF($L:$L,L214),0),COUNTIFS($A:$A,A214,$B:$B,B214))</f>
        <v>1</v>
      </c>
      <c r="S214" s="6" t="str">
        <f aca="false">IF(R214&gt;1,COUNTIF($R$2:R214,"&gt;1"),"")</f>
        <v/>
      </c>
      <c r="T214" s="6" t="str">
        <f aca="false">IF(L214="","",J214&amp;"|"&amp;K214&amp;"|"&amp;L214)</f>
        <v>3|2|spotify:track:2m5ItG3IIMsaGYJjZOvUoE</v>
      </c>
      <c r="U214" s="6" t="str">
        <f aca="false">IF(C214="","",IFERROR(INDEX(Lists!$F:$F,MATCH(C214,Lists!$E:$E,0)),"Unmapped"))</f>
        <v>Country</v>
      </c>
    </row>
    <row r="215" customFormat="false" ht="15" hidden="false" customHeight="false" outlineLevel="0" collapsed="false">
      <c r="A215" s="5" t="s">
        <v>748</v>
      </c>
      <c r="B215" s="5" t="s">
        <v>749</v>
      </c>
      <c r="C215" s="5" t="s">
        <v>132</v>
      </c>
      <c r="D215" s="5" t="s">
        <v>128</v>
      </c>
      <c r="E215" s="5" t="s">
        <v>729</v>
      </c>
      <c r="F215" s="5" t="n">
        <v>10</v>
      </c>
      <c r="G215" s="5" t="n">
        <v>8</v>
      </c>
      <c r="H215" s="6" t="str">
        <f aca="false">IF(N215="","",N215&amp;IF(AND(MOD(N215,100)&gt;=11,MOD(N215,100)&lt;=13),"th",CHOOSE(MIN(5,MOD(N215,10)+1),"th","st","nd","rd","th")))</f>
        <v>8th</v>
      </c>
      <c r="I215" s="5" t="s">
        <v>687</v>
      </c>
      <c r="J215" s="6" t="n">
        <f aca="false">IFERROR(INDEX(Rounds!$A:$A,MATCH(I215,Rounds!$B:$B,0)),"ADD LEAGUE TO ROUNDS")</f>
        <v>3</v>
      </c>
      <c r="K215" s="6" t="n">
        <f aca="false">IFERROR(VALUE(LEFT(E215,FIND(" - ",E215)-1)),"")</f>
        <v>2</v>
      </c>
      <c r="L215" s="5" t="s">
        <v>750</v>
      </c>
      <c r="N215" s="6" t="n">
        <f aca="false">IF(F215="","",1+COUNTIFS($J:$J,J215,$K:$K,K215,$F:$F,"&gt;"&amp;F215)+COUNTIFS($J:$J,J215,$K:$K,K215,$F:$F,F215,$G:$G,"&gt;"&amp;G215))</f>
        <v>8</v>
      </c>
      <c r="O215" s="6" t="n">
        <f aca="false">IF(L215="","",SUMIFS(Votes!$E:$E,Votes!$A:$A,J215,Votes!$B:$B,K215,Votes!$D:$D,L215))</f>
        <v>10</v>
      </c>
      <c r="P215" s="6" t="n">
        <f aca="false">IF(L215="","",COUNTIFS(Votes!$A:$A,J215,Votes!$B:$B,K215,Votes!$D:$D,L215))</f>
        <v>8</v>
      </c>
      <c r="Q215" s="7" t="str">
        <f aca="false">IF(F215="","Unscored",IF(O215="","No URI",IF(AND(F215=0,O215=0),"Zero-vote",IF(AND(F215=O215,G215=P215),"OK",IF(AND(F215=0,O215&gt;0,COUNTIFS(Votes!$A:$A,J215,Votes!$B:$B,K215,Votes!$C:$C,D215)=0),"Forfeited","Mismatch")))))</f>
        <v>OK</v>
      </c>
      <c r="R215" s="6" t="n">
        <f aca="false">MAX(IF(L215&lt;&gt;"",COUNTIF($L:$L,L215),0),COUNTIFS($A:$A,A215,$B:$B,B215))</f>
        <v>1</v>
      </c>
      <c r="S215" s="6" t="str">
        <f aca="false">IF(R215&gt;1,COUNTIF($R$2:R215,"&gt;1"),"")</f>
        <v/>
      </c>
      <c r="T215" s="6" t="str">
        <f aca="false">IF(L215="","",J215&amp;"|"&amp;K215&amp;"|"&amp;L215)</f>
        <v>3|2|spotify:track:1oSGSJdYt0Om26M5V6XR5Q</v>
      </c>
      <c r="U215" s="6" t="str">
        <f aca="false">IF(C215="","",IFERROR(INDEX(Lists!$F:$F,MATCH(C215,Lists!$E:$E,0)),"Unmapped"))</f>
        <v>Soundtrack/Musical</v>
      </c>
    </row>
    <row r="216" customFormat="false" ht="15" hidden="false" customHeight="false" outlineLevel="0" collapsed="false">
      <c r="A216" s="5" t="s">
        <v>751</v>
      </c>
      <c r="B216" s="5" t="s">
        <v>752</v>
      </c>
      <c r="C216" s="5" t="s">
        <v>84</v>
      </c>
      <c r="D216" s="5" t="s">
        <v>85</v>
      </c>
      <c r="E216" s="5" t="s">
        <v>729</v>
      </c>
      <c r="F216" s="5" t="n">
        <v>8</v>
      </c>
      <c r="G216" s="5" t="n">
        <v>6</v>
      </c>
      <c r="H216" s="6" t="str">
        <f aca="false">IF(N216="","",N216&amp;IF(AND(MOD(N216,100)&gt;=11,MOD(N216,100)&lt;=13),"th",CHOOSE(MIN(5,MOD(N216,10)+1),"th","st","nd","rd","th")))</f>
        <v>9th</v>
      </c>
      <c r="I216" s="5" t="s">
        <v>687</v>
      </c>
      <c r="J216" s="6" t="n">
        <f aca="false">IFERROR(INDEX(Rounds!$A:$A,MATCH(I216,Rounds!$B:$B,0)),"ADD LEAGUE TO ROUNDS")</f>
        <v>3</v>
      </c>
      <c r="K216" s="6" t="n">
        <f aca="false">IFERROR(VALUE(LEFT(E216,FIND(" - ",E216)-1)),"")</f>
        <v>2</v>
      </c>
      <c r="L216" s="5" t="s">
        <v>753</v>
      </c>
      <c r="N216" s="6" t="n">
        <f aca="false">IF(F216="","",1+COUNTIFS($J:$J,J216,$K:$K,K216,$F:$F,"&gt;"&amp;F216)+COUNTIFS($J:$J,J216,$K:$K,K216,$F:$F,F216,$G:$G,"&gt;"&amp;G216))</f>
        <v>9</v>
      </c>
      <c r="O216" s="6" t="n">
        <f aca="false">IF(L216="","",SUMIFS(Votes!$E:$E,Votes!$A:$A,J216,Votes!$B:$B,K216,Votes!$D:$D,L216))</f>
        <v>8</v>
      </c>
      <c r="P216" s="6" t="n">
        <f aca="false">IF(L216="","",COUNTIFS(Votes!$A:$A,J216,Votes!$B:$B,K216,Votes!$D:$D,L216))</f>
        <v>6</v>
      </c>
      <c r="Q216" s="7" t="str">
        <f aca="false">IF(F216="","Unscored",IF(O216="","No URI",IF(AND(F216=0,O216=0),"Zero-vote",IF(AND(F216=O216,G216=P216),"OK",IF(AND(F216=0,O216&gt;0,COUNTIFS(Votes!$A:$A,J216,Votes!$B:$B,K216,Votes!$C:$C,D216)=0),"Forfeited","Mismatch")))))</f>
        <v>OK</v>
      </c>
      <c r="R216" s="6" t="n">
        <f aca="false">MAX(IF(L216&lt;&gt;"",COUNTIF($L:$L,L216),0),COUNTIFS($A:$A,A216,$B:$B,B216))</f>
        <v>1</v>
      </c>
      <c r="S216" s="6" t="str">
        <f aca="false">IF(R216&gt;1,COUNTIF($R$2:R216,"&gt;1"),"")</f>
        <v/>
      </c>
      <c r="T216" s="6" t="str">
        <f aca="false">IF(L216="","",J216&amp;"|"&amp;K216&amp;"|"&amp;L216)</f>
        <v>3|2|spotify:track:6rW8q1p2GCjGMRAlnxBeo7</v>
      </c>
      <c r="U216" s="6" t="str">
        <f aca="false">IF(C216="","",IFERROR(INDEX(Lists!$F:$F,MATCH(C216,Lists!$E:$E,0)),"Unmapped"))</f>
        <v>Pop</v>
      </c>
    </row>
    <row r="217" customFormat="false" ht="15" hidden="false" customHeight="false" outlineLevel="0" collapsed="false">
      <c r="A217" s="5" t="s">
        <v>754</v>
      </c>
      <c r="B217" s="5" t="s">
        <v>755</v>
      </c>
      <c r="C217" s="5" t="s">
        <v>84</v>
      </c>
      <c r="D217" s="5" t="s">
        <v>106</v>
      </c>
      <c r="E217" s="5" t="s">
        <v>729</v>
      </c>
      <c r="F217" s="5" t="n">
        <v>8</v>
      </c>
      <c r="G217" s="5" t="n">
        <v>4</v>
      </c>
      <c r="H217" s="6" t="str">
        <f aca="false">IF(N217="","",N217&amp;IF(AND(MOD(N217,100)&gt;=11,MOD(N217,100)&lt;=13),"th",CHOOSE(MIN(5,MOD(N217,10)+1),"th","st","nd","rd","th")))</f>
        <v>10th</v>
      </c>
      <c r="I217" s="5" t="s">
        <v>687</v>
      </c>
      <c r="J217" s="6" t="n">
        <f aca="false">IFERROR(INDEX(Rounds!$A:$A,MATCH(I217,Rounds!$B:$B,0)),"ADD LEAGUE TO ROUNDS")</f>
        <v>3</v>
      </c>
      <c r="K217" s="6" t="n">
        <f aca="false">IFERROR(VALUE(LEFT(E217,FIND(" - ",E217)-1)),"")</f>
        <v>2</v>
      </c>
      <c r="L217" s="5" t="s">
        <v>756</v>
      </c>
      <c r="N217" s="6" t="n">
        <f aca="false">IF(F217="","",1+COUNTIFS($J:$J,J217,$K:$K,K217,$F:$F,"&gt;"&amp;F217)+COUNTIFS($J:$J,J217,$K:$K,K217,$F:$F,F217,$G:$G,"&gt;"&amp;G217))</f>
        <v>10</v>
      </c>
      <c r="O217" s="6" t="n">
        <f aca="false">IF(L217="","",SUMIFS(Votes!$E:$E,Votes!$A:$A,J217,Votes!$B:$B,K217,Votes!$D:$D,L217))</f>
        <v>8</v>
      </c>
      <c r="P217" s="6" t="n">
        <f aca="false">IF(L217="","",COUNTIFS(Votes!$A:$A,J217,Votes!$B:$B,K217,Votes!$D:$D,L217))</f>
        <v>4</v>
      </c>
      <c r="Q217" s="7" t="str">
        <f aca="false">IF(F217="","Unscored",IF(O217="","No URI",IF(AND(F217=0,O217=0),"Zero-vote",IF(AND(F217=O217,G217=P217),"OK",IF(AND(F217=0,O217&gt;0,COUNTIFS(Votes!$A:$A,J217,Votes!$B:$B,K217,Votes!$C:$C,D217)=0),"Forfeited","Mismatch")))))</f>
        <v>OK</v>
      </c>
      <c r="R217" s="6" t="n">
        <f aca="false">MAX(IF(L217&lt;&gt;"",COUNTIF($L:$L,L217),0),COUNTIFS($A:$A,A217,$B:$B,B217))</f>
        <v>1</v>
      </c>
      <c r="S217" s="6" t="str">
        <f aca="false">IF(R217&gt;1,COUNTIF($R$2:R217,"&gt;1"),"")</f>
        <v/>
      </c>
      <c r="T217" s="6" t="str">
        <f aca="false">IF(L217="","",J217&amp;"|"&amp;K217&amp;"|"&amp;L217)</f>
        <v>3|2|spotify:track:40UoxIJtdEt0pGVy8TK0Fb</v>
      </c>
      <c r="U217" s="6" t="str">
        <f aca="false">IF(C217="","",IFERROR(INDEX(Lists!$F:$F,MATCH(C217,Lists!$E:$E,0)),"Unmapped"))</f>
        <v>Pop</v>
      </c>
    </row>
    <row r="218" customFormat="false" ht="15" hidden="false" customHeight="false" outlineLevel="0" collapsed="false">
      <c r="A218" s="5" t="s">
        <v>757</v>
      </c>
      <c r="B218" s="5" t="s">
        <v>83</v>
      </c>
      <c r="C218" s="5" t="s">
        <v>84</v>
      </c>
      <c r="D218" s="5" t="s">
        <v>92</v>
      </c>
      <c r="E218" s="5" t="s">
        <v>729</v>
      </c>
      <c r="F218" s="5" t="n">
        <v>7</v>
      </c>
      <c r="G218" s="5" t="n">
        <v>5</v>
      </c>
      <c r="H218" s="6" t="str">
        <f aca="false">IF(N218="","",N218&amp;IF(AND(MOD(N218,100)&gt;=11,MOD(N218,100)&lt;=13),"th",CHOOSE(MIN(5,MOD(N218,10)+1),"th","st","nd","rd","th")))</f>
        <v>11th</v>
      </c>
      <c r="I218" s="5" t="s">
        <v>687</v>
      </c>
      <c r="J218" s="6" t="n">
        <f aca="false">IFERROR(INDEX(Rounds!$A:$A,MATCH(I218,Rounds!$B:$B,0)),"ADD LEAGUE TO ROUNDS")</f>
        <v>3</v>
      </c>
      <c r="K218" s="6" t="n">
        <f aca="false">IFERROR(VALUE(LEFT(E218,FIND(" - ",E218)-1)),"")</f>
        <v>2</v>
      </c>
      <c r="L218" s="5" t="s">
        <v>758</v>
      </c>
      <c r="N218" s="6" t="n">
        <f aca="false">IF(F218="","",1+COUNTIFS($J:$J,J218,$K:$K,K218,$F:$F,"&gt;"&amp;F218)+COUNTIFS($J:$J,J218,$K:$K,K218,$F:$F,F218,$G:$G,"&gt;"&amp;G218))</f>
        <v>11</v>
      </c>
      <c r="O218" s="6" t="n">
        <f aca="false">IF(L218="","",SUMIFS(Votes!$E:$E,Votes!$A:$A,J218,Votes!$B:$B,K218,Votes!$D:$D,L218))</f>
        <v>7</v>
      </c>
      <c r="P218" s="6" t="n">
        <f aca="false">IF(L218="","",COUNTIFS(Votes!$A:$A,J218,Votes!$B:$B,K218,Votes!$D:$D,L218))</f>
        <v>5</v>
      </c>
      <c r="Q218" s="7" t="str">
        <f aca="false">IF(F218="","Unscored",IF(O218="","No URI",IF(AND(F218=0,O218=0),"Zero-vote",IF(AND(F218=O218,G218=P218),"OK",IF(AND(F218=0,O218&gt;0,COUNTIFS(Votes!$A:$A,J218,Votes!$B:$B,K218,Votes!$C:$C,D218)=0),"Forfeited","Mismatch")))))</f>
        <v>OK</v>
      </c>
      <c r="R218" s="6" t="n">
        <f aca="false">MAX(IF(L218&lt;&gt;"",COUNTIF($L:$L,L218),0),COUNTIFS($A:$A,A218,$B:$B,B218))</f>
        <v>1</v>
      </c>
      <c r="S218" s="6" t="str">
        <f aca="false">IF(R218&gt;1,COUNTIF($R$2:R218,"&gt;1"),"")</f>
        <v/>
      </c>
      <c r="T218" s="6" t="str">
        <f aca="false">IF(L218="","",J218&amp;"|"&amp;K218&amp;"|"&amp;L218)</f>
        <v>3|2|spotify:track:5ILmJ41lSsul2zSmJnqvAy</v>
      </c>
      <c r="U218" s="6" t="str">
        <f aca="false">IF(C218="","",IFERROR(INDEX(Lists!$F:$F,MATCH(C218,Lists!$E:$E,0)),"Unmapped"))</f>
        <v>Pop</v>
      </c>
    </row>
    <row r="219" customFormat="false" ht="15" hidden="false" customHeight="false" outlineLevel="0" collapsed="false">
      <c r="A219" s="5" t="s">
        <v>540</v>
      </c>
      <c r="B219" s="5" t="s">
        <v>189</v>
      </c>
      <c r="C219" s="5" t="s">
        <v>96</v>
      </c>
      <c r="D219" s="5" t="s">
        <v>375</v>
      </c>
      <c r="E219" s="5" t="s">
        <v>729</v>
      </c>
      <c r="F219" s="5" t="n">
        <v>6</v>
      </c>
      <c r="G219" s="5" t="n">
        <v>5</v>
      </c>
      <c r="H219" s="6" t="str">
        <f aca="false">IF(N219="","",N219&amp;IF(AND(MOD(N219,100)&gt;=11,MOD(N219,100)&lt;=13),"th",CHOOSE(MIN(5,MOD(N219,10)+1),"th","st","nd","rd","th")))</f>
        <v>12th</v>
      </c>
      <c r="I219" s="5" t="s">
        <v>687</v>
      </c>
      <c r="J219" s="6" t="n">
        <f aca="false">IFERROR(INDEX(Rounds!$A:$A,MATCH(I219,Rounds!$B:$B,0)),"ADD LEAGUE TO ROUNDS")</f>
        <v>3</v>
      </c>
      <c r="K219" s="6" t="n">
        <f aca="false">IFERROR(VALUE(LEFT(E219,FIND(" - ",E219)-1)),"")</f>
        <v>2</v>
      </c>
      <c r="L219" s="5" t="s">
        <v>542</v>
      </c>
      <c r="N219" s="6" t="n">
        <f aca="false">IF(F219="","",1+COUNTIFS($J:$J,J219,$K:$K,K219,$F:$F,"&gt;"&amp;F219)+COUNTIFS($J:$J,J219,$K:$K,K219,$F:$F,F219,$G:$G,"&gt;"&amp;G219))</f>
        <v>12</v>
      </c>
      <c r="O219" s="6" t="n">
        <f aca="false">IF(L219="","",SUMIFS(Votes!$E:$E,Votes!$A:$A,J219,Votes!$B:$B,K219,Votes!$D:$D,L219))</f>
        <v>6</v>
      </c>
      <c r="P219" s="6" t="n">
        <f aca="false">IF(L219="","",COUNTIFS(Votes!$A:$A,J219,Votes!$B:$B,K219,Votes!$D:$D,L219))</f>
        <v>5</v>
      </c>
      <c r="Q219" s="7" t="str">
        <f aca="false">IF(F219="","Unscored",IF(O219="","No URI",IF(AND(F219=0,O219=0),"Zero-vote",IF(AND(F219=O219,G219=P219),"OK",IF(AND(F219=0,O219&gt;0,COUNTIFS(Votes!$A:$A,J219,Votes!$B:$B,K219,Votes!$C:$C,D219)=0),"Forfeited","Mismatch")))))</f>
        <v>OK</v>
      </c>
      <c r="R219" s="6" t="n">
        <f aca="false">MAX(IF(L219&lt;&gt;"",COUNTIF($L:$L,L219),0),COUNTIFS($A:$A,A219,$B:$B,B219))</f>
        <v>2</v>
      </c>
      <c r="S219" s="6" t="n">
        <f aca="false">IF(R219&gt;1,COUNTIF($R$2:R219,"&gt;1"),"")</f>
        <v>19</v>
      </c>
      <c r="T219" s="6" t="str">
        <f aca="false">IF(L219="","",J219&amp;"|"&amp;K219&amp;"|"&amp;L219)</f>
        <v>3|2|spotify:track:4eHbdreAnSOrDDsFfc4Fpm</v>
      </c>
      <c r="U219" s="6" t="str">
        <f aca="false">IF(C219="","",IFERROR(INDEX(Lists!$F:$F,MATCH(C219,Lists!$E:$E,0)),"Unmapped"))</f>
        <v>R&amp;B/Soul</v>
      </c>
    </row>
    <row r="220" customFormat="false" ht="15" hidden="false" customHeight="false" outlineLevel="0" collapsed="false">
      <c r="A220" s="5" t="s">
        <v>759</v>
      </c>
      <c r="B220" s="5" t="s">
        <v>760</v>
      </c>
      <c r="C220" s="5" t="s">
        <v>171</v>
      </c>
      <c r="D220" s="5" t="s">
        <v>637</v>
      </c>
      <c r="E220" s="5" t="s">
        <v>729</v>
      </c>
      <c r="F220" s="5" t="n">
        <v>5</v>
      </c>
      <c r="G220" s="5" t="n">
        <v>5</v>
      </c>
      <c r="H220" s="6" t="str">
        <f aca="false">IF(N220="","",N220&amp;IF(AND(MOD(N220,100)&gt;=11,MOD(N220,100)&lt;=13),"th",CHOOSE(MIN(5,MOD(N220,10)+1),"th","st","nd","rd","th")))</f>
        <v>13th</v>
      </c>
      <c r="I220" s="5" t="s">
        <v>687</v>
      </c>
      <c r="J220" s="6" t="n">
        <f aca="false">IFERROR(INDEX(Rounds!$A:$A,MATCH(I220,Rounds!$B:$B,0)),"ADD LEAGUE TO ROUNDS")</f>
        <v>3</v>
      </c>
      <c r="K220" s="6" t="n">
        <f aca="false">IFERROR(VALUE(LEFT(E220,FIND(" - ",E220)-1)),"")</f>
        <v>2</v>
      </c>
      <c r="L220" s="5" t="s">
        <v>761</v>
      </c>
      <c r="N220" s="6" t="n">
        <f aca="false">IF(F220="","",1+COUNTIFS($J:$J,J220,$K:$K,K220,$F:$F,"&gt;"&amp;F220)+COUNTIFS($J:$J,J220,$K:$K,K220,$F:$F,F220,$G:$G,"&gt;"&amp;G220))</f>
        <v>13</v>
      </c>
      <c r="O220" s="6" t="n">
        <f aca="false">IF(L220="","",SUMIFS(Votes!$E:$E,Votes!$A:$A,J220,Votes!$B:$B,K220,Votes!$D:$D,L220))</f>
        <v>5</v>
      </c>
      <c r="P220" s="6" t="n">
        <f aca="false">IF(L220="","",COUNTIFS(Votes!$A:$A,J220,Votes!$B:$B,K220,Votes!$D:$D,L220))</f>
        <v>5</v>
      </c>
      <c r="Q220" s="7" t="str">
        <f aca="false">IF(F220="","Unscored",IF(O220="","No URI",IF(AND(F220=0,O220=0),"Zero-vote",IF(AND(F220=O220,G220=P220),"OK",IF(AND(F220=0,O220&gt;0,COUNTIFS(Votes!$A:$A,J220,Votes!$B:$B,K220,Votes!$C:$C,D220)=0),"Forfeited","Mismatch")))))</f>
        <v>OK</v>
      </c>
      <c r="R220" s="6" t="n">
        <f aca="false">MAX(IF(L220&lt;&gt;"",COUNTIF($L:$L,L220),0),COUNTIFS($A:$A,A220,$B:$B,B220))</f>
        <v>1</v>
      </c>
      <c r="S220" s="6" t="str">
        <f aca="false">IF(R220&gt;1,COUNTIF($R$2:R220,"&gt;1"),"")</f>
        <v/>
      </c>
      <c r="T220" s="6" t="str">
        <f aca="false">IF(L220="","",J220&amp;"|"&amp;K220&amp;"|"&amp;L220)</f>
        <v>3|2|spotify:track:5XlN58Ay3R3cE7P7c9XjaC</v>
      </c>
      <c r="U220" s="6" t="str">
        <f aca="false">IF(C220="","",IFERROR(INDEX(Lists!$F:$F,MATCH(C220,Lists!$E:$E,0)),"Unmapped"))</f>
        <v>Country</v>
      </c>
    </row>
    <row r="221" customFormat="false" ht="15" hidden="false" customHeight="false" outlineLevel="0" collapsed="false">
      <c r="A221" s="5" t="s">
        <v>762</v>
      </c>
      <c r="B221" s="5" t="s">
        <v>763</v>
      </c>
      <c r="C221" s="5" t="s">
        <v>171</v>
      </c>
      <c r="D221" s="5" t="s">
        <v>719</v>
      </c>
      <c r="E221" s="5" t="s">
        <v>729</v>
      </c>
      <c r="F221" s="5" t="n">
        <v>4</v>
      </c>
      <c r="G221" s="5" t="n">
        <v>3</v>
      </c>
      <c r="H221" s="6" t="str">
        <f aca="false">IF(N221="","",N221&amp;IF(AND(MOD(N221,100)&gt;=11,MOD(N221,100)&lt;=13),"th",CHOOSE(MIN(5,MOD(N221,10)+1),"th","st","nd","rd","th")))</f>
        <v>14th</v>
      </c>
      <c r="I221" s="5" t="s">
        <v>687</v>
      </c>
      <c r="J221" s="6" t="n">
        <f aca="false">IFERROR(INDEX(Rounds!$A:$A,MATCH(I221,Rounds!$B:$B,0)),"ADD LEAGUE TO ROUNDS")</f>
        <v>3</v>
      </c>
      <c r="K221" s="6" t="n">
        <f aca="false">IFERROR(VALUE(LEFT(E221,FIND(" - ",E221)-1)),"")</f>
        <v>2</v>
      </c>
      <c r="L221" s="5" t="s">
        <v>764</v>
      </c>
      <c r="N221" s="6" t="n">
        <f aca="false">IF(F221="","",1+COUNTIFS($J:$J,J221,$K:$K,K221,$F:$F,"&gt;"&amp;F221)+COUNTIFS($J:$J,J221,$K:$K,K221,$F:$F,F221,$G:$G,"&gt;"&amp;G221))</f>
        <v>14</v>
      </c>
      <c r="O221" s="6" t="n">
        <f aca="false">IF(L221="","",SUMIFS(Votes!$E:$E,Votes!$A:$A,J221,Votes!$B:$B,K221,Votes!$D:$D,L221))</f>
        <v>4</v>
      </c>
      <c r="P221" s="6" t="n">
        <f aca="false">IF(L221="","",COUNTIFS(Votes!$A:$A,J221,Votes!$B:$B,K221,Votes!$D:$D,L221))</f>
        <v>3</v>
      </c>
      <c r="Q221" s="7" t="str">
        <f aca="false">IF(F221="","Unscored",IF(O221="","No URI",IF(AND(F221=0,O221=0),"Zero-vote",IF(AND(F221=O221,G221=P221),"OK",IF(AND(F221=0,O221&gt;0,COUNTIFS(Votes!$A:$A,J221,Votes!$B:$B,K221,Votes!$C:$C,D221)=0),"Forfeited","Mismatch")))))</f>
        <v>OK</v>
      </c>
      <c r="R221" s="6" t="n">
        <f aca="false">MAX(IF(L221&lt;&gt;"",COUNTIF($L:$L,L221),0),COUNTIFS($A:$A,A221,$B:$B,B221))</f>
        <v>1</v>
      </c>
      <c r="S221" s="6" t="str">
        <f aca="false">IF(R221&gt;1,COUNTIF($R$2:R221,"&gt;1"),"")</f>
        <v/>
      </c>
      <c r="T221" s="6" t="str">
        <f aca="false">IF(L221="","",J221&amp;"|"&amp;K221&amp;"|"&amp;L221)</f>
        <v>3|2|spotify:track:1t2hJFgJyUPD2crOafMUEk</v>
      </c>
      <c r="U221" s="6" t="str">
        <f aca="false">IF(C221="","",IFERROR(INDEX(Lists!$F:$F,MATCH(C221,Lists!$E:$E,0)),"Unmapped"))</f>
        <v>Country</v>
      </c>
    </row>
    <row r="222" customFormat="false" ht="15" hidden="false" customHeight="false" outlineLevel="0" collapsed="false">
      <c r="A222" s="5" t="s">
        <v>765</v>
      </c>
      <c r="B222" s="5" t="s">
        <v>766</v>
      </c>
      <c r="C222" s="5" t="s">
        <v>91</v>
      </c>
      <c r="D222" s="5" t="s">
        <v>484</v>
      </c>
      <c r="E222" s="5" t="s">
        <v>729</v>
      </c>
      <c r="F222" s="5" t="n">
        <v>0</v>
      </c>
      <c r="G222" s="5" t="n">
        <v>4</v>
      </c>
      <c r="H222" s="6" t="str">
        <f aca="false">IF(N222="","",N222&amp;IF(AND(MOD(N222,100)&gt;=11,MOD(N222,100)&lt;=13),"th",CHOOSE(MIN(5,MOD(N222,10)+1),"th","st","nd","rd","th")))</f>
        <v>15th</v>
      </c>
      <c r="I222" s="5" t="s">
        <v>687</v>
      </c>
      <c r="J222" s="6" t="n">
        <f aca="false">IFERROR(INDEX(Rounds!$A:$A,MATCH(I222,Rounds!$B:$B,0)),"ADD LEAGUE TO ROUNDS")</f>
        <v>3</v>
      </c>
      <c r="K222" s="6" t="n">
        <f aca="false">IFERROR(VALUE(LEFT(E222,FIND(" - ",E222)-1)),"")</f>
        <v>2</v>
      </c>
      <c r="L222" s="5" t="s">
        <v>767</v>
      </c>
      <c r="N222" s="6" t="n">
        <f aca="false">IF(F222="","",1+COUNTIFS($J:$J,J222,$K:$K,K222,$F:$F,"&gt;"&amp;F222)+COUNTIFS($J:$J,J222,$K:$K,K222,$F:$F,F222,$G:$G,"&gt;"&amp;G222))</f>
        <v>15</v>
      </c>
      <c r="O222" s="6" t="n">
        <f aca="false">IF(L222="","",SUMIFS(Votes!$E:$E,Votes!$A:$A,J222,Votes!$B:$B,K222,Votes!$D:$D,L222))</f>
        <v>4</v>
      </c>
      <c r="P222" s="6" t="n">
        <f aca="false">IF(L222="","",COUNTIFS(Votes!$A:$A,J222,Votes!$B:$B,K222,Votes!$D:$D,L222))</f>
        <v>4</v>
      </c>
      <c r="Q222" s="7" t="str">
        <f aca="false">IF(F222="","Unscored",IF(O222="","No URI",IF(AND(F222=0,O222=0),"Zero-vote",IF(AND(F222=O222,G222=P222),"OK",IF(AND(F222=0,O222&gt;0,COUNTIFS(Votes!$A:$A,J222,Votes!$B:$B,K222,Votes!$C:$C,D222)=0),"Forfeited","Mismatch")))))</f>
        <v>Forfeited</v>
      </c>
      <c r="R222" s="6" t="n">
        <f aca="false">MAX(IF(L222&lt;&gt;"",COUNTIF($L:$L,L222),0),COUNTIFS($A:$A,A222,$B:$B,B222))</f>
        <v>1</v>
      </c>
      <c r="S222" s="6" t="str">
        <f aca="false">IF(R222&gt;1,COUNTIF($R$2:R222,"&gt;1"),"")</f>
        <v/>
      </c>
      <c r="T222" s="6" t="str">
        <f aca="false">IF(L222="","",J222&amp;"|"&amp;K222&amp;"|"&amp;L222)</f>
        <v>3|2|spotify:track:21ACVHZc3K9lK0zleucFaJ</v>
      </c>
      <c r="U222" s="6" t="str">
        <f aca="false">IF(C222="","",IFERROR(INDEX(Lists!$F:$F,MATCH(C222,Lists!$E:$E,0)),"Unmapped"))</f>
        <v>Rock</v>
      </c>
    </row>
    <row r="223" customFormat="false" ht="15" hidden="false" customHeight="false" outlineLevel="0" collapsed="false">
      <c r="A223" s="5" t="s">
        <v>768</v>
      </c>
      <c r="B223" s="5" t="s">
        <v>769</v>
      </c>
      <c r="C223" s="5" t="s">
        <v>248</v>
      </c>
      <c r="D223" s="5" t="s">
        <v>119</v>
      </c>
      <c r="E223" s="5" t="s">
        <v>770</v>
      </c>
      <c r="F223" s="5" t="n">
        <v>18</v>
      </c>
      <c r="G223" s="5" t="n">
        <v>10</v>
      </c>
      <c r="H223" s="6" t="str">
        <f aca="false">IF(N223="","",N223&amp;IF(AND(MOD(N223,100)&gt;=11,MOD(N223,100)&lt;=13),"th",CHOOSE(MIN(5,MOD(N223,10)+1),"th","st","nd","rd","th")))</f>
        <v>1st</v>
      </c>
      <c r="I223" s="5" t="s">
        <v>687</v>
      </c>
      <c r="J223" s="6" t="n">
        <f aca="false">IFERROR(INDEX(Rounds!$A:$A,MATCH(I223,Rounds!$B:$B,0)),"ADD LEAGUE TO ROUNDS")</f>
        <v>3</v>
      </c>
      <c r="K223" s="6" t="n">
        <f aca="false">IFERROR(VALUE(LEFT(E223,FIND(" - ",E223)-1)),"")</f>
        <v>3</v>
      </c>
      <c r="L223" s="5" t="s">
        <v>771</v>
      </c>
      <c r="N223" s="6" t="n">
        <f aca="false">IF(F223="","",1+COUNTIFS($J:$J,J223,$K:$K,K223,$F:$F,"&gt;"&amp;F223)+COUNTIFS($J:$J,J223,$K:$K,K223,$F:$F,F223,$G:$G,"&gt;"&amp;G223))</f>
        <v>1</v>
      </c>
      <c r="O223" s="6" t="n">
        <f aca="false">IF(L223="","",SUMIFS(Votes!$E:$E,Votes!$A:$A,J223,Votes!$B:$B,K223,Votes!$D:$D,L223))</f>
        <v>18</v>
      </c>
      <c r="P223" s="6" t="n">
        <f aca="false">IF(L223="","",COUNTIFS(Votes!$A:$A,J223,Votes!$B:$B,K223,Votes!$D:$D,L223))</f>
        <v>10</v>
      </c>
      <c r="Q223" s="7" t="str">
        <f aca="false">IF(F223="","Unscored",IF(O223="","No URI",IF(AND(F223=0,O223=0),"Zero-vote",IF(AND(F223=O223,G223=P223),"OK",IF(AND(F223=0,O223&gt;0,COUNTIFS(Votes!$A:$A,J223,Votes!$B:$B,K223,Votes!$C:$C,D223)=0),"Forfeited","Mismatch")))))</f>
        <v>OK</v>
      </c>
      <c r="R223" s="6" t="n">
        <f aca="false">MAX(IF(L223&lt;&gt;"",COUNTIF($L:$L,L223),0),COUNTIFS($A:$A,A223,$B:$B,B223))</f>
        <v>1</v>
      </c>
      <c r="S223" s="6" t="str">
        <f aca="false">IF(R223&gt;1,COUNTIF($R$2:R223,"&gt;1"),"")</f>
        <v/>
      </c>
      <c r="T223" s="6" t="str">
        <f aca="false">IF(L223="","",J223&amp;"|"&amp;K223&amp;"|"&amp;L223)</f>
        <v>3|3|spotify:track:1o5WgxPWvoVgo20DQItKOE</v>
      </c>
      <c r="U223" s="6" t="str">
        <f aca="false">IF(C223="","",IFERROR(INDEX(Lists!$F:$F,MATCH(C223,Lists!$E:$E,0)),"Unmapped"))</f>
        <v>Folk/Americana</v>
      </c>
    </row>
    <row r="224" customFormat="false" ht="15" hidden="false" customHeight="false" outlineLevel="0" collapsed="false">
      <c r="A224" s="5" t="s">
        <v>772</v>
      </c>
      <c r="B224" s="5" t="s">
        <v>100</v>
      </c>
      <c r="C224" s="5" t="s">
        <v>91</v>
      </c>
      <c r="D224" s="5" t="s">
        <v>637</v>
      </c>
      <c r="E224" s="5" t="s">
        <v>770</v>
      </c>
      <c r="F224" s="5" t="n">
        <v>14</v>
      </c>
      <c r="G224" s="5" t="n">
        <v>11</v>
      </c>
      <c r="H224" s="6" t="str">
        <f aca="false">IF(N224="","",N224&amp;IF(AND(MOD(N224,100)&gt;=11,MOD(N224,100)&lt;=13),"th",CHOOSE(MIN(5,MOD(N224,10)+1),"th","st","nd","rd","th")))</f>
        <v>2nd</v>
      </c>
      <c r="I224" s="5" t="s">
        <v>687</v>
      </c>
      <c r="J224" s="6" t="n">
        <f aca="false">IFERROR(INDEX(Rounds!$A:$A,MATCH(I224,Rounds!$B:$B,0)),"ADD LEAGUE TO ROUNDS")</f>
        <v>3</v>
      </c>
      <c r="K224" s="6" t="n">
        <f aca="false">IFERROR(VALUE(LEFT(E224,FIND(" - ",E224)-1)),"")</f>
        <v>3</v>
      </c>
      <c r="L224" s="5" t="s">
        <v>773</v>
      </c>
      <c r="N224" s="6" t="n">
        <f aca="false">IF(F224="","",1+COUNTIFS($J:$J,J224,$K:$K,K224,$F:$F,"&gt;"&amp;F224)+COUNTIFS($J:$J,J224,$K:$K,K224,$F:$F,F224,$G:$G,"&gt;"&amp;G224))</f>
        <v>2</v>
      </c>
      <c r="O224" s="6" t="n">
        <f aca="false">IF(L224="","",SUMIFS(Votes!$E:$E,Votes!$A:$A,J224,Votes!$B:$B,K224,Votes!$D:$D,L224))</f>
        <v>14</v>
      </c>
      <c r="P224" s="6" t="n">
        <f aca="false">IF(L224="","",COUNTIFS(Votes!$A:$A,J224,Votes!$B:$B,K224,Votes!$D:$D,L224))</f>
        <v>11</v>
      </c>
      <c r="Q224" s="7" t="str">
        <f aca="false">IF(F224="","Unscored",IF(O224="","No URI",IF(AND(F224=0,O224=0),"Zero-vote",IF(AND(F224=O224,G224=P224),"OK",IF(AND(F224=0,O224&gt;0,COUNTIFS(Votes!$A:$A,J224,Votes!$B:$B,K224,Votes!$C:$C,D224)=0),"Forfeited","Mismatch")))))</f>
        <v>OK</v>
      </c>
      <c r="R224" s="6" t="n">
        <f aca="false">MAX(IF(L224&lt;&gt;"",COUNTIF($L:$L,L224),0),COUNTIFS($A:$A,A224,$B:$B,B224))</f>
        <v>1</v>
      </c>
      <c r="S224" s="6" t="str">
        <f aca="false">IF(R224&gt;1,COUNTIF($R$2:R224,"&gt;1"),"")</f>
        <v/>
      </c>
      <c r="T224" s="6" t="str">
        <f aca="false">IF(L224="","",J224&amp;"|"&amp;K224&amp;"|"&amp;L224)</f>
        <v>3|3|spotify:track:1JCCdiru7fhstOIF4N7WJC</v>
      </c>
      <c r="U224" s="6" t="str">
        <f aca="false">IF(C224="","",IFERROR(INDEX(Lists!$F:$F,MATCH(C224,Lists!$E:$E,0)),"Unmapped"))</f>
        <v>Rock</v>
      </c>
    </row>
    <row r="225" customFormat="false" ht="15" hidden="false" customHeight="false" outlineLevel="0" collapsed="false">
      <c r="A225" s="5" t="s">
        <v>774</v>
      </c>
      <c r="B225" s="5" t="s">
        <v>775</v>
      </c>
      <c r="C225" s="5" t="s">
        <v>91</v>
      </c>
      <c r="D225" s="5" t="s">
        <v>92</v>
      </c>
      <c r="E225" s="5" t="s">
        <v>770</v>
      </c>
      <c r="F225" s="5" t="n">
        <v>14</v>
      </c>
      <c r="G225" s="5" t="n">
        <v>9</v>
      </c>
      <c r="H225" s="6" t="str">
        <f aca="false">IF(N225="","",N225&amp;IF(AND(MOD(N225,100)&gt;=11,MOD(N225,100)&lt;=13),"th",CHOOSE(MIN(5,MOD(N225,10)+1),"th","st","nd","rd","th")))</f>
        <v>3rd</v>
      </c>
      <c r="I225" s="5" t="s">
        <v>687</v>
      </c>
      <c r="J225" s="6" t="n">
        <f aca="false">IFERROR(INDEX(Rounds!$A:$A,MATCH(I225,Rounds!$B:$B,0)),"ADD LEAGUE TO ROUNDS")</f>
        <v>3</v>
      </c>
      <c r="K225" s="6" t="n">
        <f aca="false">IFERROR(VALUE(LEFT(E225,FIND(" - ",E225)-1)),"")</f>
        <v>3</v>
      </c>
      <c r="L225" s="5" t="s">
        <v>776</v>
      </c>
      <c r="N225" s="6" t="n">
        <f aca="false">IF(F225="","",1+COUNTIFS($J:$J,J225,$K:$K,K225,$F:$F,"&gt;"&amp;F225)+COUNTIFS($J:$J,J225,$K:$K,K225,$F:$F,F225,$G:$G,"&gt;"&amp;G225))</f>
        <v>3</v>
      </c>
      <c r="O225" s="6" t="n">
        <f aca="false">IF(L225="","",SUMIFS(Votes!$E:$E,Votes!$A:$A,J225,Votes!$B:$B,K225,Votes!$D:$D,L225))</f>
        <v>14</v>
      </c>
      <c r="P225" s="6" t="n">
        <f aca="false">IF(L225="","",COUNTIFS(Votes!$A:$A,J225,Votes!$B:$B,K225,Votes!$D:$D,L225))</f>
        <v>9</v>
      </c>
      <c r="Q225" s="7" t="str">
        <f aca="false">IF(F225="","Unscored",IF(O225="","No URI",IF(AND(F225=0,O225=0),"Zero-vote",IF(AND(F225=O225,G225=P225),"OK",IF(AND(F225=0,O225&gt;0,COUNTIFS(Votes!$A:$A,J225,Votes!$B:$B,K225,Votes!$C:$C,D225)=0),"Forfeited","Mismatch")))))</f>
        <v>OK</v>
      </c>
      <c r="R225" s="6" t="n">
        <f aca="false">MAX(IF(L225&lt;&gt;"",COUNTIF($L:$L,L225),0),COUNTIFS($A:$A,A225,$B:$B,B225))</f>
        <v>1</v>
      </c>
      <c r="S225" s="6" t="str">
        <f aca="false">IF(R225&gt;1,COUNTIF($R$2:R225,"&gt;1"),"")</f>
        <v/>
      </c>
      <c r="T225" s="6" t="str">
        <f aca="false">IF(L225="","",J225&amp;"|"&amp;K225&amp;"|"&amp;L225)</f>
        <v>3|3|spotify:track:6ihL9TjfRjadfEePzXXyVF</v>
      </c>
      <c r="U225" s="6" t="str">
        <f aca="false">IF(C225="","",IFERROR(INDEX(Lists!$F:$F,MATCH(C225,Lists!$E:$E,0)),"Unmapped"))</f>
        <v>Rock</v>
      </c>
    </row>
    <row r="226" customFormat="false" ht="15" hidden="false" customHeight="false" outlineLevel="0" collapsed="false">
      <c r="A226" s="5" t="s">
        <v>777</v>
      </c>
      <c r="B226" s="5" t="s">
        <v>778</v>
      </c>
      <c r="C226" s="5" t="s">
        <v>84</v>
      </c>
      <c r="D226" s="5" t="s">
        <v>705</v>
      </c>
      <c r="E226" s="5" t="s">
        <v>770</v>
      </c>
      <c r="F226" s="5" t="n">
        <v>13</v>
      </c>
      <c r="G226" s="5" t="n">
        <v>8</v>
      </c>
      <c r="H226" s="6" t="str">
        <f aca="false">IF(N226="","",N226&amp;IF(AND(MOD(N226,100)&gt;=11,MOD(N226,100)&lt;=13),"th",CHOOSE(MIN(5,MOD(N226,10)+1),"th","st","nd","rd","th")))</f>
        <v>4th</v>
      </c>
      <c r="I226" s="5" t="s">
        <v>687</v>
      </c>
      <c r="J226" s="6" t="n">
        <f aca="false">IFERROR(INDEX(Rounds!$A:$A,MATCH(I226,Rounds!$B:$B,0)),"ADD LEAGUE TO ROUNDS")</f>
        <v>3</v>
      </c>
      <c r="K226" s="6" t="n">
        <f aca="false">IFERROR(VALUE(LEFT(E226,FIND(" - ",E226)-1)),"")</f>
        <v>3</v>
      </c>
      <c r="L226" s="5" t="s">
        <v>779</v>
      </c>
      <c r="N226" s="6" t="n">
        <f aca="false">IF(F226="","",1+COUNTIFS($J:$J,J226,$K:$K,K226,$F:$F,"&gt;"&amp;F226)+COUNTIFS($J:$J,J226,$K:$K,K226,$F:$F,F226,$G:$G,"&gt;"&amp;G226))</f>
        <v>4</v>
      </c>
      <c r="O226" s="6" t="n">
        <f aca="false">IF(L226="","",SUMIFS(Votes!$E:$E,Votes!$A:$A,J226,Votes!$B:$B,K226,Votes!$D:$D,L226))</f>
        <v>13</v>
      </c>
      <c r="P226" s="6" t="n">
        <f aca="false">IF(L226="","",COUNTIFS(Votes!$A:$A,J226,Votes!$B:$B,K226,Votes!$D:$D,L226))</f>
        <v>8</v>
      </c>
      <c r="Q226" s="7" t="str">
        <f aca="false">IF(F226="","Unscored",IF(O226="","No URI",IF(AND(F226=0,O226=0),"Zero-vote",IF(AND(F226=O226,G226=P226),"OK",IF(AND(F226=0,O226&gt;0,COUNTIFS(Votes!$A:$A,J226,Votes!$B:$B,K226,Votes!$C:$C,D226)=0),"Forfeited","Mismatch")))))</f>
        <v>OK</v>
      </c>
      <c r="R226" s="6" t="n">
        <f aca="false">MAX(IF(L226&lt;&gt;"",COUNTIF($L:$L,L226),0),COUNTIFS($A:$A,A226,$B:$B,B226))</f>
        <v>1</v>
      </c>
      <c r="S226" s="6" t="str">
        <f aca="false">IF(R226&gt;1,COUNTIF($R$2:R226,"&gt;1"),"")</f>
        <v/>
      </c>
      <c r="T226" s="6" t="str">
        <f aca="false">IF(L226="","",J226&amp;"|"&amp;K226&amp;"|"&amp;L226)</f>
        <v>3|3|spotify:track:3oEkrIfXfSh9zGnE7eBzSV</v>
      </c>
      <c r="U226" s="6" t="str">
        <f aca="false">IF(C226="","",IFERROR(INDEX(Lists!$F:$F,MATCH(C226,Lists!$E:$E,0)),"Unmapped"))</f>
        <v>Pop</v>
      </c>
    </row>
    <row r="227" customFormat="false" ht="15" hidden="false" customHeight="false" outlineLevel="0" collapsed="false">
      <c r="A227" s="5" t="s">
        <v>780</v>
      </c>
      <c r="B227" s="5" t="s">
        <v>781</v>
      </c>
      <c r="C227" s="5" t="s">
        <v>110</v>
      </c>
      <c r="D227" s="5" t="s">
        <v>395</v>
      </c>
      <c r="E227" s="5" t="s">
        <v>770</v>
      </c>
      <c r="F227" s="5" t="n">
        <v>12</v>
      </c>
      <c r="G227" s="5" t="n">
        <v>8</v>
      </c>
      <c r="H227" s="6" t="str">
        <f aca="false">IF(N227="","",N227&amp;IF(AND(MOD(N227,100)&gt;=11,MOD(N227,100)&lt;=13),"th",CHOOSE(MIN(5,MOD(N227,10)+1),"th","st","nd","rd","th")))</f>
        <v>5th</v>
      </c>
      <c r="I227" s="5" t="s">
        <v>687</v>
      </c>
      <c r="J227" s="6" t="n">
        <f aca="false">IFERROR(INDEX(Rounds!$A:$A,MATCH(I227,Rounds!$B:$B,0)),"ADD LEAGUE TO ROUNDS")</f>
        <v>3</v>
      </c>
      <c r="K227" s="6" t="n">
        <f aca="false">IFERROR(VALUE(LEFT(E227,FIND(" - ",E227)-1)),"")</f>
        <v>3</v>
      </c>
      <c r="L227" s="5" t="s">
        <v>782</v>
      </c>
      <c r="N227" s="6" t="n">
        <f aca="false">IF(F227="","",1+COUNTIFS($J:$J,J227,$K:$K,K227,$F:$F,"&gt;"&amp;F227)+COUNTIFS($J:$J,J227,$K:$K,K227,$F:$F,F227,$G:$G,"&gt;"&amp;G227))</f>
        <v>5</v>
      </c>
      <c r="O227" s="6" t="n">
        <f aca="false">IF(L227="","",SUMIFS(Votes!$E:$E,Votes!$A:$A,J227,Votes!$B:$B,K227,Votes!$D:$D,L227))</f>
        <v>12</v>
      </c>
      <c r="P227" s="6" t="n">
        <f aca="false">IF(L227="","",COUNTIFS(Votes!$A:$A,J227,Votes!$B:$B,K227,Votes!$D:$D,L227))</f>
        <v>8</v>
      </c>
      <c r="Q227" s="7" t="str">
        <f aca="false">IF(F227="","Unscored",IF(O227="","No URI",IF(AND(F227=0,O227=0),"Zero-vote",IF(AND(F227=O227,G227=P227),"OK",IF(AND(F227=0,O227&gt;0,COUNTIFS(Votes!$A:$A,J227,Votes!$B:$B,K227,Votes!$C:$C,D227)=0),"Forfeited","Mismatch")))))</f>
        <v>OK</v>
      </c>
      <c r="R227" s="6" t="n">
        <f aca="false">MAX(IF(L227&lt;&gt;"",COUNTIF($L:$L,L227),0),COUNTIFS($A:$A,A227,$B:$B,B227))</f>
        <v>1</v>
      </c>
      <c r="S227" s="6" t="str">
        <f aca="false">IF(R227&gt;1,COUNTIF($R$2:R227,"&gt;1"),"")</f>
        <v/>
      </c>
      <c r="T227" s="6" t="str">
        <f aca="false">IF(L227="","",J227&amp;"|"&amp;K227&amp;"|"&amp;L227)</f>
        <v>3|3|spotify:track:6jRq8gaZhMUyy5RclRPcAf</v>
      </c>
      <c r="U227" s="6" t="str">
        <f aca="false">IF(C227="","",IFERROR(INDEX(Lists!$F:$F,MATCH(C227,Lists!$E:$E,0)),"Unmapped"))</f>
        <v>Hip-Hop/Rap</v>
      </c>
    </row>
    <row r="228" customFormat="false" ht="15" hidden="false" customHeight="false" outlineLevel="0" collapsed="false">
      <c r="A228" s="5" t="s">
        <v>783</v>
      </c>
      <c r="B228" s="5" t="s">
        <v>784</v>
      </c>
      <c r="C228" s="5" t="s">
        <v>84</v>
      </c>
      <c r="D228" s="5" t="s">
        <v>128</v>
      </c>
      <c r="E228" s="5" t="s">
        <v>770</v>
      </c>
      <c r="F228" s="5" t="n">
        <v>11</v>
      </c>
      <c r="G228" s="5" t="n">
        <v>8</v>
      </c>
      <c r="H228" s="6" t="str">
        <f aca="false">IF(N228="","",N228&amp;IF(AND(MOD(N228,100)&gt;=11,MOD(N228,100)&lt;=13),"th",CHOOSE(MIN(5,MOD(N228,10)+1),"th","st","nd","rd","th")))</f>
        <v>6th</v>
      </c>
      <c r="I228" s="5" t="s">
        <v>687</v>
      </c>
      <c r="J228" s="6" t="n">
        <f aca="false">IFERROR(INDEX(Rounds!$A:$A,MATCH(I228,Rounds!$B:$B,0)),"ADD LEAGUE TO ROUNDS")</f>
        <v>3</v>
      </c>
      <c r="K228" s="6" t="n">
        <f aca="false">IFERROR(VALUE(LEFT(E228,FIND(" - ",E228)-1)),"")</f>
        <v>3</v>
      </c>
      <c r="L228" s="5" t="s">
        <v>785</v>
      </c>
      <c r="N228" s="6" t="n">
        <f aca="false">IF(F228="","",1+COUNTIFS($J:$J,J228,$K:$K,K228,$F:$F,"&gt;"&amp;F228)+COUNTIFS($J:$J,J228,$K:$K,K228,$F:$F,F228,$G:$G,"&gt;"&amp;G228))</f>
        <v>6</v>
      </c>
      <c r="O228" s="6" t="n">
        <f aca="false">IF(L228="","",SUMIFS(Votes!$E:$E,Votes!$A:$A,J228,Votes!$B:$B,K228,Votes!$D:$D,L228))</f>
        <v>11</v>
      </c>
      <c r="P228" s="6" t="n">
        <f aca="false">IF(L228="","",COUNTIFS(Votes!$A:$A,J228,Votes!$B:$B,K228,Votes!$D:$D,L228))</f>
        <v>8</v>
      </c>
      <c r="Q228" s="7" t="str">
        <f aca="false">IF(F228="","Unscored",IF(O228="","No URI",IF(AND(F228=0,O228=0),"Zero-vote",IF(AND(F228=O228,G228=P228),"OK",IF(AND(F228=0,O228&gt;0,COUNTIFS(Votes!$A:$A,J228,Votes!$B:$B,K228,Votes!$C:$C,D228)=0),"Forfeited","Mismatch")))))</f>
        <v>OK</v>
      </c>
      <c r="R228" s="6" t="n">
        <f aca="false">MAX(IF(L228&lt;&gt;"",COUNTIF($L:$L,L228),0),COUNTIFS($A:$A,A228,$B:$B,B228))</f>
        <v>1</v>
      </c>
      <c r="S228" s="6" t="str">
        <f aca="false">IF(R228&gt;1,COUNTIF($R$2:R228,"&gt;1"),"")</f>
        <v/>
      </c>
      <c r="T228" s="6" t="str">
        <f aca="false">IF(L228="","",J228&amp;"|"&amp;K228&amp;"|"&amp;L228)</f>
        <v>3|3|spotify:track:1EQFOouqdKYdpbNoOHRVO2</v>
      </c>
      <c r="U228" s="6" t="str">
        <f aca="false">IF(C228="","",IFERROR(INDEX(Lists!$F:$F,MATCH(C228,Lists!$E:$E,0)),"Unmapped"))</f>
        <v>Pop</v>
      </c>
    </row>
    <row r="229" customFormat="false" ht="15" hidden="false" customHeight="false" outlineLevel="0" collapsed="false">
      <c r="A229" s="5" t="s">
        <v>786</v>
      </c>
      <c r="B229" s="5" t="s">
        <v>233</v>
      </c>
      <c r="C229" s="5" t="s">
        <v>84</v>
      </c>
      <c r="D229" s="5" t="s">
        <v>106</v>
      </c>
      <c r="E229" s="5" t="s">
        <v>770</v>
      </c>
      <c r="F229" s="5" t="n">
        <v>11</v>
      </c>
      <c r="G229" s="5" t="n">
        <v>8</v>
      </c>
      <c r="H229" s="6" t="str">
        <f aca="false">IF(N229="","",N229&amp;IF(AND(MOD(N229,100)&gt;=11,MOD(N229,100)&lt;=13),"th",CHOOSE(MIN(5,MOD(N229,10)+1),"th","st","nd","rd","th")))</f>
        <v>6th</v>
      </c>
      <c r="I229" s="5" t="s">
        <v>687</v>
      </c>
      <c r="J229" s="6" t="n">
        <f aca="false">IFERROR(INDEX(Rounds!$A:$A,MATCH(I229,Rounds!$B:$B,0)),"ADD LEAGUE TO ROUNDS")</f>
        <v>3</v>
      </c>
      <c r="K229" s="6" t="n">
        <f aca="false">IFERROR(VALUE(LEFT(E229,FIND(" - ",E229)-1)),"")</f>
        <v>3</v>
      </c>
      <c r="L229" s="5" t="s">
        <v>787</v>
      </c>
      <c r="N229" s="6" t="n">
        <f aca="false">IF(F229="","",1+COUNTIFS($J:$J,J229,$K:$K,K229,$F:$F,"&gt;"&amp;F229)+COUNTIFS($J:$J,J229,$K:$K,K229,$F:$F,F229,$G:$G,"&gt;"&amp;G229))</f>
        <v>6</v>
      </c>
      <c r="O229" s="6" t="n">
        <f aca="false">IF(L229="","",SUMIFS(Votes!$E:$E,Votes!$A:$A,J229,Votes!$B:$B,K229,Votes!$D:$D,L229))</f>
        <v>11</v>
      </c>
      <c r="P229" s="6" t="n">
        <f aca="false">IF(L229="","",COUNTIFS(Votes!$A:$A,J229,Votes!$B:$B,K229,Votes!$D:$D,L229))</f>
        <v>8</v>
      </c>
      <c r="Q229" s="7" t="str">
        <f aca="false">IF(F229="","Unscored",IF(O229="","No URI",IF(AND(F229=0,O229=0),"Zero-vote",IF(AND(F229=O229,G229=P229),"OK",IF(AND(F229=0,O229&gt;0,COUNTIFS(Votes!$A:$A,J229,Votes!$B:$B,K229,Votes!$C:$C,D229)=0),"Forfeited","Mismatch")))))</f>
        <v>OK</v>
      </c>
      <c r="R229" s="6" t="n">
        <f aca="false">MAX(IF(L229&lt;&gt;"",COUNTIF($L:$L,L229),0),COUNTIFS($A:$A,A229,$B:$B,B229))</f>
        <v>1</v>
      </c>
      <c r="S229" s="6" t="str">
        <f aca="false">IF(R229&gt;1,COUNTIF($R$2:R229,"&gt;1"),"")</f>
        <v/>
      </c>
      <c r="T229" s="6" t="str">
        <f aca="false">IF(L229="","",J229&amp;"|"&amp;K229&amp;"|"&amp;L229)</f>
        <v>3|3|spotify:track:1ugQtcwmKOXvKAYzhjncmv</v>
      </c>
      <c r="U229" s="6" t="str">
        <f aca="false">IF(C229="","",IFERROR(INDEX(Lists!$F:$F,MATCH(C229,Lists!$E:$E,0)),"Unmapped"))</f>
        <v>Pop</v>
      </c>
    </row>
    <row r="230" customFormat="false" ht="15" hidden="false" customHeight="false" outlineLevel="0" collapsed="false">
      <c r="A230" s="5" t="s">
        <v>788</v>
      </c>
      <c r="B230" s="5" t="s">
        <v>789</v>
      </c>
      <c r="C230" s="5" t="s">
        <v>91</v>
      </c>
      <c r="D230" s="5" t="s">
        <v>484</v>
      </c>
      <c r="E230" s="5" t="s">
        <v>770</v>
      </c>
      <c r="F230" s="5" t="n">
        <v>10</v>
      </c>
      <c r="G230" s="5" t="n">
        <v>7</v>
      </c>
      <c r="H230" s="6" t="str">
        <f aca="false">IF(N230="","",N230&amp;IF(AND(MOD(N230,100)&gt;=11,MOD(N230,100)&lt;=13),"th",CHOOSE(MIN(5,MOD(N230,10)+1),"th","st","nd","rd","th")))</f>
        <v>8th</v>
      </c>
      <c r="I230" s="5" t="s">
        <v>687</v>
      </c>
      <c r="J230" s="6" t="n">
        <f aca="false">IFERROR(INDEX(Rounds!$A:$A,MATCH(I230,Rounds!$B:$B,0)),"ADD LEAGUE TO ROUNDS")</f>
        <v>3</v>
      </c>
      <c r="K230" s="6" t="n">
        <f aca="false">IFERROR(VALUE(LEFT(E230,FIND(" - ",E230)-1)),"")</f>
        <v>3</v>
      </c>
      <c r="L230" s="5" t="s">
        <v>790</v>
      </c>
      <c r="N230" s="6" t="n">
        <f aca="false">IF(F230="","",1+COUNTIFS($J:$J,J230,$K:$K,K230,$F:$F,"&gt;"&amp;F230)+COUNTIFS($J:$J,J230,$K:$K,K230,$F:$F,F230,$G:$G,"&gt;"&amp;G230))</f>
        <v>8</v>
      </c>
      <c r="O230" s="6" t="n">
        <f aca="false">IF(L230="","",SUMIFS(Votes!$E:$E,Votes!$A:$A,J230,Votes!$B:$B,K230,Votes!$D:$D,L230))</f>
        <v>10</v>
      </c>
      <c r="P230" s="6" t="n">
        <f aca="false">IF(L230="","",COUNTIFS(Votes!$A:$A,J230,Votes!$B:$B,K230,Votes!$D:$D,L230))</f>
        <v>7</v>
      </c>
      <c r="Q230" s="7" t="str">
        <f aca="false">IF(F230="","Unscored",IF(O230="","No URI",IF(AND(F230=0,O230=0),"Zero-vote",IF(AND(F230=O230,G230=P230),"OK",IF(AND(F230=0,O230&gt;0,COUNTIFS(Votes!$A:$A,J230,Votes!$B:$B,K230,Votes!$C:$C,D230)=0),"Forfeited","Mismatch")))))</f>
        <v>OK</v>
      </c>
      <c r="R230" s="6" t="n">
        <f aca="false">MAX(IF(L230&lt;&gt;"",COUNTIF($L:$L,L230),0),COUNTIFS($A:$A,A230,$B:$B,B230))</f>
        <v>1</v>
      </c>
      <c r="S230" s="6" t="str">
        <f aca="false">IF(R230&gt;1,COUNTIF($R$2:R230,"&gt;1"),"")</f>
        <v/>
      </c>
      <c r="T230" s="6" t="str">
        <f aca="false">IF(L230="","",J230&amp;"|"&amp;K230&amp;"|"&amp;L230)</f>
        <v>3|3|spotify:track:7vXtuHrqgzQi58ihUO7L2d</v>
      </c>
      <c r="U230" s="6" t="str">
        <f aca="false">IF(C230="","",IFERROR(INDEX(Lists!$F:$F,MATCH(C230,Lists!$E:$E,0)),"Unmapped"))</f>
        <v>Rock</v>
      </c>
    </row>
    <row r="231" customFormat="false" ht="15" hidden="false" customHeight="false" outlineLevel="0" collapsed="false">
      <c r="A231" s="5" t="s">
        <v>791</v>
      </c>
      <c r="B231" s="5" t="s">
        <v>792</v>
      </c>
      <c r="C231" s="5" t="s">
        <v>84</v>
      </c>
      <c r="D231" s="5" t="s">
        <v>101</v>
      </c>
      <c r="E231" s="5" t="s">
        <v>770</v>
      </c>
      <c r="F231" s="5" t="n">
        <v>9</v>
      </c>
      <c r="G231" s="5" t="n">
        <v>6</v>
      </c>
      <c r="H231" s="6" t="str">
        <f aca="false">IF(N231="","",N231&amp;IF(AND(MOD(N231,100)&gt;=11,MOD(N231,100)&lt;=13),"th",CHOOSE(MIN(5,MOD(N231,10)+1),"th","st","nd","rd","th")))</f>
        <v>9th</v>
      </c>
      <c r="I231" s="5" t="s">
        <v>687</v>
      </c>
      <c r="J231" s="6" t="n">
        <f aca="false">IFERROR(INDEX(Rounds!$A:$A,MATCH(I231,Rounds!$B:$B,0)),"ADD LEAGUE TO ROUNDS")</f>
        <v>3</v>
      </c>
      <c r="K231" s="6" t="n">
        <f aca="false">IFERROR(VALUE(LEFT(E231,FIND(" - ",E231)-1)),"")</f>
        <v>3</v>
      </c>
      <c r="L231" s="5" t="s">
        <v>793</v>
      </c>
      <c r="N231" s="6" t="n">
        <f aca="false">IF(F231="","",1+COUNTIFS($J:$J,J231,$K:$K,K231,$F:$F,"&gt;"&amp;F231)+COUNTIFS($J:$J,J231,$K:$K,K231,$F:$F,F231,$G:$G,"&gt;"&amp;G231))</f>
        <v>9</v>
      </c>
      <c r="O231" s="6" t="n">
        <f aca="false">IF(L231="","",SUMIFS(Votes!$E:$E,Votes!$A:$A,J231,Votes!$B:$B,K231,Votes!$D:$D,L231))</f>
        <v>9</v>
      </c>
      <c r="P231" s="6" t="n">
        <f aca="false">IF(L231="","",COUNTIFS(Votes!$A:$A,J231,Votes!$B:$B,K231,Votes!$D:$D,L231))</f>
        <v>6</v>
      </c>
      <c r="Q231" s="7" t="str">
        <f aca="false">IF(F231="","Unscored",IF(O231="","No URI",IF(AND(F231=0,O231=0),"Zero-vote",IF(AND(F231=O231,G231=P231),"OK",IF(AND(F231=0,O231&gt;0,COUNTIFS(Votes!$A:$A,J231,Votes!$B:$B,K231,Votes!$C:$C,D231)=0),"Forfeited","Mismatch")))))</f>
        <v>OK</v>
      </c>
      <c r="R231" s="6" t="n">
        <f aca="false">MAX(IF(L231&lt;&gt;"",COUNTIF($L:$L,L231),0),COUNTIFS($A:$A,A231,$B:$B,B231))</f>
        <v>1</v>
      </c>
      <c r="S231" s="6" t="str">
        <f aca="false">IF(R231&gt;1,COUNTIF($R$2:R231,"&gt;1"),"")</f>
        <v/>
      </c>
      <c r="T231" s="6" t="str">
        <f aca="false">IF(L231="","",J231&amp;"|"&amp;K231&amp;"|"&amp;L231)</f>
        <v>3|3|spotify:track:3aBGKDiAAvH2H7HLOyQ4US</v>
      </c>
      <c r="U231" s="6" t="str">
        <f aca="false">IF(C231="","",IFERROR(INDEX(Lists!$F:$F,MATCH(C231,Lists!$E:$E,0)),"Unmapped"))</f>
        <v>Pop</v>
      </c>
    </row>
    <row r="232" customFormat="false" ht="15" hidden="false" customHeight="false" outlineLevel="0" collapsed="false">
      <c r="A232" s="5" t="s">
        <v>794</v>
      </c>
      <c r="B232" s="5" t="s">
        <v>795</v>
      </c>
      <c r="C232" s="5" t="s">
        <v>248</v>
      </c>
      <c r="D232" s="5" t="s">
        <v>116</v>
      </c>
      <c r="E232" s="5" t="s">
        <v>770</v>
      </c>
      <c r="F232" s="5" t="n">
        <v>8</v>
      </c>
      <c r="G232" s="5" t="n">
        <v>7</v>
      </c>
      <c r="H232" s="6" t="str">
        <f aca="false">IF(N232="","",N232&amp;IF(AND(MOD(N232,100)&gt;=11,MOD(N232,100)&lt;=13),"th",CHOOSE(MIN(5,MOD(N232,10)+1),"th","st","nd","rd","th")))</f>
        <v>10th</v>
      </c>
      <c r="I232" s="5" t="s">
        <v>687</v>
      </c>
      <c r="J232" s="6" t="n">
        <f aca="false">IFERROR(INDEX(Rounds!$A:$A,MATCH(I232,Rounds!$B:$B,0)),"ADD LEAGUE TO ROUNDS")</f>
        <v>3</v>
      </c>
      <c r="K232" s="6" t="n">
        <f aca="false">IFERROR(VALUE(LEFT(E232,FIND(" - ",E232)-1)),"")</f>
        <v>3</v>
      </c>
      <c r="L232" s="5" t="s">
        <v>796</v>
      </c>
      <c r="N232" s="6" t="n">
        <f aca="false">IF(F232="","",1+COUNTIFS($J:$J,J232,$K:$K,K232,$F:$F,"&gt;"&amp;F232)+COUNTIFS($J:$J,J232,$K:$K,K232,$F:$F,F232,$G:$G,"&gt;"&amp;G232))</f>
        <v>10</v>
      </c>
      <c r="O232" s="6" t="n">
        <f aca="false">IF(L232="","",SUMIFS(Votes!$E:$E,Votes!$A:$A,J232,Votes!$B:$B,K232,Votes!$D:$D,L232))</f>
        <v>8</v>
      </c>
      <c r="P232" s="6" t="n">
        <f aca="false">IF(L232="","",COUNTIFS(Votes!$A:$A,J232,Votes!$B:$B,K232,Votes!$D:$D,L232))</f>
        <v>7</v>
      </c>
      <c r="Q232" s="7" t="str">
        <f aca="false">IF(F232="","Unscored",IF(O232="","No URI",IF(AND(F232=0,O232=0),"Zero-vote",IF(AND(F232=O232,G232=P232),"OK",IF(AND(F232=0,O232&gt;0,COUNTIFS(Votes!$A:$A,J232,Votes!$B:$B,K232,Votes!$C:$C,D232)=0),"Forfeited","Mismatch")))))</f>
        <v>OK</v>
      </c>
      <c r="R232" s="6" t="n">
        <f aca="false">MAX(IF(L232&lt;&gt;"",COUNTIF($L:$L,L232),0),COUNTIFS($A:$A,A232,$B:$B,B232))</f>
        <v>1</v>
      </c>
      <c r="S232" s="6" t="str">
        <f aca="false">IF(R232&gt;1,COUNTIF($R$2:R232,"&gt;1"),"")</f>
        <v/>
      </c>
      <c r="T232" s="6" t="str">
        <f aca="false">IF(L232="","",J232&amp;"|"&amp;K232&amp;"|"&amp;L232)</f>
        <v>3|3|spotify:track:4BFudy2Zbryi9a1KFad66B</v>
      </c>
      <c r="U232" s="6" t="str">
        <f aca="false">IF(C232="","",IFERROR(INDEX(Lists!$F:$F,MATCH(C232,Lists!$E:$E,0)),"Unmapped"))</f>
        <v>Folk/Americana</v>
      </c>
    </row>
    <row r="233" customFormat="false" ht="15" hidden="false" customHeight="false" outlineLevel="0" collapsed="false">
      <c r="A233" s="5" t="s">
        <v>797</v>
      </c>
      <c r="B233" s="5" t="s">
        <v>211</v>
      </c>
      <c r="C233" s="5" t="s">
        <v>84</v>
      </c>
      <c r="D233" s="5" t="s">
        <v>85</v>
      </c>
      <c r="E233" s="5" t="s">
        <v>770</v>
      </c>
      <c r="F233" s="5" t="n">
        <v>8</v>
      </c>
      <c r="G233" s="5" t="n">
        <v>6</v>
      </c>
      <c r="H233" s="6" t="str">
        <f aca="false">IF(N233="","",N233&amp;IF(AND(MOD(N233,100)&gt;=11,MOD(N233,100)&lt;=13),"th",CHOOSE(MIN(5,MOD(N233,10)+1),"th","st","nd","rd","th")))</f>
        <v>11th</v>
      </c>
      <c r="I233" s="5" t="s">
        <v>687</v>
      </c>
      <c r="J233" s="6" t="n">
        <f aca="false">IFERROR(INDEX(Rounds!$A:$A,MATCH(I233,Rounds!$B:$B,0)),"ADD LEAGUE TO ROUNDS")</f>
        <v>3</v>
      </c>
      <c r="K233" s="6" t="n">
        <f aca="false">IFERROR(VALUE(LEFT(E233,FIND(" - ",E233)-1)),"")</f>
        <v>3</v>
      </c>
      <c r="L233" s="5" t="s">
        <v>798</v>
      </c>
      <c r="N233" s="6" t="n">
        <f aca="false">IF(F233="","",1+COUNTIFS($J:$J,J233,$K:$K,K233,$F:$F,"&gt;"&amp;F233)+COUNTIFS($J:$J,J233,$K:$K,K233,$F:$F,F233,$G:$G,"&gt;"&amp;G233))</f>
        <v>11</v>
      </c>
      <c r="O233" s="6" t="n">
        <f aca="false">IF(L233="","",SUMIFS(Votes!$E:$E,Votes!$A:$A,J233,Votes!$B:$B,K233,Votes!$D:$D,L233))</f>
        <v>8</v>
      </c>
      <c r="P233" s="6" t="n">
        <f aca="false">IF(L233="","",COUNTIFS(Votes!$A:$A,J233,Votes!$B:$B,K233,Votes!$D:$D,L233))</f>
        <v>6</v>
      </c>
      <c r="Q233" s="7" t="str">
        <f aca="false">IF(F233="","Unscored",IF(O233="","No URI",IF(AND(F233=0,O233=0),"Zero-vote",IF(AND(F233=O233,G233=P233),"OK",IF(AND(F233=0,O233&gt;0,COUNTIFS(Votes!$A:$A,J233,Votes!$B:$B,K233,Votes!$C:$C,D233)=0),"Forfeited","Mismatch")))))</f>
        <v>OK</v>
      </c>
      <c r="R233" s="6" t="n">
        <f aca="false">MAX(IF(L233&lt;&gt;"",COUNTIF($L:$L,L233),0),COUNTIFS($A:$A,A233,$B:$B,B233))</f>
        <v>1</v>
      </c>
      <c r="S233" s="6" t="str">
        <f aca="false">IF(R233&gt;1,COUNTIF($R$2:R233,"&gt;1"),"")</f>
        <v/>
      </c>
      <c r="T233" s="6" t="str">
        <f aca="false">IF(L233="","",J233&amp;"|"&amp;K233&amp;"|"&amp;L233)</f>
        <v>3|3|spotify:track:3e9HZxeyfWwjeyPAMmWSSQ</v>
      </c>
      <c r="U233" s="6" t="str">
        <f aca="false">IF(C233="","",IFERROR(INDEX(Lists!$F:$F,MATCH(C233,Lists!$E:$E,0)),"Unmapped"))</f>
        <v>Pop</v>
      </c>
    </row>
    <row r="234" customFormat="false" ht="15" hidden="false" customHeight="false" outlineLevel="0" collapsed="false">
      <c r="A234" s="5" t="s">
        <v>799</v>
      </c>
      <c r="B234" s="5" t="s">
        <v>800</v>
      </c>
      <c r="C234" s="5" t="s">
        <v>91</v>
      </c>
      <c r="D234" s="5" t="s">
        <v>719</v>
      </c>
      <c r="E234" s="5" t="s">
        <v>770</v>
      </c>
      <c r="F234" s="5" t="n">
        <v>7</v>
      </c>
      <c r="G234" s="5" t="n">
        <v>6</v>
      </c>
      <c r="H234" s="6" t="str">
        <f aca="false">IF(N234="","",N234&amp;IF(AND(MOD(N234,100)&gt;=11,MOD(N234,100)&lt;=13),"th",CHOOSE(MIN(5,MOD(N234,10)+1),"th","st","nd","rd","th")))</f>
        <v>12th</v>
      </c>
      <c r="I234" s="5" t="s">
        <v>687</v>
      </c>
      <c r="J234" s="6" t="n">
        <f aca="false">IFERROR(INDEX(Rounds!$A:$A,MATCH(I234,Rounds!$B:$B,0)),"ADD LEAGUE TO ROUNDS")</f>
        <v>3</v>
      </c>
      <c r="K234" s="6" t="n">
        <f aca="false">IFERROR(VALUE(LEFT(E234,FIND(" - ",E234)-1)),"")</f>
        <v>3</v>
      </c>
      <c r="L234" s="5" t="s">
        <v>801</v>
      </c>
      <c r="N234" s="6" t="n">
        <f aca="false">IF(F234="","",1+COUNTIFS($J:$J,J234,$K:$K,K234,$F:$F,"&gt;"&amp;F234)+COUNTIFS($J:$J,J234,$K:$K,K234,$F:$F,F234,$G:$G,"&gt;"&amp;G234))</f>
        <v>12</v>
      </c>
      <c r="O234" s="6" t="n">
        <f aca="false">IF(L234="","",SUMIFS(Votes!$E:$E,Votes!$A:$A,J234,Votes!$B:$B,K234,Votes!$D:$D,L234))</f>
        <v>7</v>
      </c>
      <c r="P234" s="6" t="n">
        <f aca="false">IF(L234="","",COUNTIFS(Votes!$A:$A,J234,Votes!$B:$B,K234,Votes!$D:$D,L234))</f>
        <v>6</v>
      </c>
      <c r="Q234" s="7" t="str">
        <f aca="false">IF(F234="","Unscored",IF(O234="","No URI",IF(AND(F234=0,O234=0),"Zero-vote",IF(AND(F234=O234,G234=P234),"OK",IF(AND(F234=0,O234&gt;0,COUNTIFS(Votes!$A:$A,J234,Votes!$B:$B,K234,Votes!$C:$C,D234)=0),"Forfeited","Mismatch")))))</f>
        <v>OK</v>
      </c>
      <c r="R234" s="6" t="n">
        <f aca="false">MAX(IF(L234&lt;&gt;"",COUNTIF($L:$L,L234),0),COUNTIFS($A:$A,A234,$B:$B,B234))</f>
        <v>1</v>
      </c>
      <c r="S234" s="6" t="str">
        <f aca="false">IF(R234&gt;1,COUNTIF($R$2:R234,"&gt;1"),"")</f>
        <v/>
      </c>
      <c r="T234" s="6" t="str">
        <f aca="false">IF(L234="","",J234&amp;"|"&amp;K234&amp;"|"&amp;L234)</f>
        <v>3|3|spotify:track:5veTPYnAviWwQ73hMVTwb5</v>
      </c>
      <c r="U234" s="6" t="str">
        <f aca="false">IF(C234="","",IFERROR(INDEX(Lists!$F:$F,MATCH(C234,Lists!$E:$E,0)),"Unmapped"))</f>
        <v>Rock</v>
      </c>
    </row>
    <row r="235" customFormat="false" ht="15" hidden="false" customHeight="false" outlineLevel="0" collapsed="false">
      <c r="A235" s="5" t="s">
        <v>594</v>
      </c>
      <c r="B235" s="5" t="s">
        <v>595</v>
      </c>
      <c r="C235" s="5" t="s">
        <v>84</v>
      </c>
      <c r="D235" s="5" t="s">
        <v>382</v>
      </c>
      <c r="E235" s="5" t="s">
        <v>770</v>
      </c>
      <c r="F235" s="5" t="n">
        <v>6</v>
      </c>
      <c r="G235" s="5" t="n">
        <v>6</v>
      </c>
      <c r="H235" s="6" t="str">
        <f aca="false">IF(N235="","",N235&amp;IF(AND(MOD(N235,100)&gt;=11,MOD(N235,100)&lt;=13),"th",CHOOSE(MIN(5,MOD(N235,10)+1),"th","st","nd","rd","th")))</f>
        <v>13th</v>
      </c>
      <c r="I235" s="5" t="s">
        <v>687</v>
      </c>
      <c r="J235" s="6" t="n">
        <f aca="false">IFERROR(INDEX(Rounds!$A:$A,MATCH(I235,Rounds!$B:$B,0)),"ADD LEAGUE TO ROUNDS")</f>
        <v>3</v>
      </c>
      <c r="K235" s="6" t="n">
        <f aca="false">IFERROR(VALUE(LEFT(E235,FIND(" - ",E235)-1)),"")</f>
        <v>3</v>
      </c>
      <c r="L235" s="5" t="s">
        <v>596</v>
      </c>
      <c r="N235" s="6" t="n">
        <f aca="false">IF(F235="","",1+COUNTIFS($J:$J,J235,$K:$K,K235,$F:$F,"&gt;"&amp;F235)+COUNTIFS($J:$J,J235,$K:$K,K235,$F:$F,F235,$G:$G,"&gt;"&amp;G235))</f>
        <v>13</v>
      </c>
      <c r="O235" s="6" t="n">
        <f aca="false">IF(L235="","",SUMIFS(Votes!$E:$E,Votes!$A:$A,J235,Votes!$B:$B,K235,Votes!$D:$D,L235))</f>
        <v>6</v>
      </c>
      <c r="P235" s="6" t="n">
        <f aca="false">IF(L235="","",COUNTIFS(Votes!$A:$A,J235,Votes!$B:$B,K235,Votes!$D:$D,L235))</f>
        <v>6</v>
      </c>
      <c r="Q235" s="7" t="str">
        <f aca="false">IF(F235="","Unscored",IF(O235="","No URI",IF(AND(F235=0,O235=0),"Zero-vote",IF(AND(F235=O235,G235=P235),"OK",IF(AND(F235=0,O235&gt;0,COUNTIFS(Votes!$A:$A,J235,Votes!$B:$B,K235,Votes!$C:$C,D235)=0),"Forfeited","Mismatch")))))</f>
        <v>OK</v>
      </c>
      <c r="R235" s="6" t="n">
        <f aca="false">MAX(IF(L235&lt;&gt;"",COUNTIF($L:$L,L235),0),COUNTIFS($A:$A,A235,$B:$B,B235))</f>
        <v>2</v>
      </c>
      <c r="S235" s="6" t="n">
        <f aca="false">IF(R235&gt;1,COUNTIF($R$2:R235,"&gt;1"),"")</f>
        <v>20</v>
      </c>
      <c r="T235" s="6" t="str">
        <f aca="false">IF(L235="","",J235&amp;"|"&amp;K235&amp;"|"&amp;L235)</f>
        <v>3|3|spotify:track:4wCmqSrbyCgxEXROQE6vtV</v>
      </c>
      <c r="U235" s="6" t="str">
        <f aca="false">IF(C235="","",IFERROR(INDEX(Lists!$F:$F,MATCH(C235,Lists!$E:$E,0)),"Unmapped"))</f>
        <v>Pop</v>
      </c>
    </row>
    <row r="236" customFormat="false" ht="15" hidden="false" customHeight="false" outlineLevel="0" collapsed="false">
      <c r="A236" s="5" t="s">
        <v>802</v>
      </c>
      <c r="B236" s="5" t="s">
        <v>803</v>
      </c>
      <c r="C236" s="5" t="s">
        <v>84</v>
      </c>
      <c r="D236" s="5" t="s">
        <v>97</v>
      </c>
      <c r="E236" s="5" t="s">
        <v>770</v>
      </c>
      <c r="F236" s="5" t="n">
        <v>5</v>
      </c>
      <c r="G236" s="5" t="n">
        <v>4</v>
      </c>
      <c r="H236" s="6" t="str">
        <f aca="false">IF(N236="","",N236&amp;IF(AND(MOD(N236,100)&gt;=11,MOD(N236,100)&lt;=13),"th",CHOOSE(MIN(5,MOD(N236,10)+1),"th","st","nd","rd","th")))</f>
        <v>14th</v>
      </c>
      <c r="I236" s="5" t="s">
        <v>687</v>
      </c>
      <c r="J236" s="6" t="n">
        <f aca="false">IFERROR(INDEX(Rounds!$A:$A,MATCH(I236,Rounds!$B:$B,0)),"ADD LEAGUE TO ROUNDS")</f>
        <v>3</v>
      </c>
      <c r="K236" s="6" t="n">
        <f aca="false">IFERROR(VALUE(LEFT(E236,FIND(" - ",E236)-1)),"")</f>
        <v>3</v>
      </c>
      <c r="L236" s="5" t="s">
        <v>804</v>
      </c>
      <c r="N236" s="6" t="n">
        <f aca="false">IF(F236="","",1+COUNTIFS($J:$J,J236,$K:$K,K236,$F:$F,"&gt;"&amp;F236)+COUNTIFS($J:$J,J236,$K:$K,K236,$F:$F,F236,$G:$G,"&gt;"&amp;G236))</f>
        <v>14</v>
      </c>
      <c r="O236" s="6" t="n">
        <f aca="false">IF(L236="","",SUMIFS(Votes!$E:$E,Votes!$A:$A,J236,Votes!$B:$B,K236,Votes!$D:$D,L236))</f>
        <v>5</v>
      </c>
      <c r="P236" s="6" t="n">
        <f aca="false">IF(L236="","",COUNTIFS(Votes!$A:$A,J236,Votes!$B:$B,K236,Votes!$D:$D,L236))</f>
        <v>4</v>
      </c>
      <c r="Q236" s="7" t="str">
        <f aca="false">IF(F236="","Unscored",IF(O236="","No URI",IF(AND(F236=0,O236=0),"Zero-vote",IF(AND(F236=O236,G236=P236),"OK",IF(AND(F236=0,O236&gt;0,COUNTIFS(Votes!$A:$A,J236,Votes!$B:$B,K236,Votes!$C:$C,D236)=0),"Forfeited","Mismatch")))))</f>
        <v>OK</v>
      </c>
      <c r="R236" s="6" t="n">
        <f aca="false">MAX(IF(L236&lt;&gt;"",COUNTIF($L:$L,L236),0),COUNTIFS($A:$A,A236,$B:$B,B236))</f>
        <v>1</v>
      </c>
      <c r="S236" s="6" t="str">
        <f aca="false">IF(R236&gt;1,COUNTIF($R$2:R236,"&gt;1"),"")</f>
        <v/>
      </c>
      <c r="T236" s="6" t="str">
        <f aca="false">IF(L236="","",J236&amp;"|"&amp;K236&amp;"|"&amp;L236)</f>
        <v>3|3|spotify:track:76cy1WJvNGJTj78UqeA5zr</v>
      </c>
      <c r="U236" s="6" t="str">
        <f aca="false">IF(C236="","",IFERROR(INDEX(Lists!$F:$F,MATCH(C236,Lists!$E:$E,0)),"Unmapped"))</f>
        <v>Pop</v>
      </c>
    </row>
    <row r="237" customFormat="false" ht="15" hidden="false" customHeight="false" outlineLevel="0" collapsed="false">
      <c r="A237" s="5" t="s">
        <v>288</v>
      </c>
      <c r="B237" s="5" t="s">
        <v>152</v>
      </c>
      <c r="C237" s="5" t="s">
        <v>153</v>
      </c>
      <c r="D237" s="5" t="s">
        <v>375</v>
      </c>
      <c r="E237" s="5" t="s">
        <v>770</v>
      </c>
      <c r="F237" s="5" t="n">
        <v>4</v>
      </c>
      <c r="G237" s="5" t="n">
        <v>3</v>
      </c>
      <c r="H237" s="6" t="str">
        <f aca="false">IF(N237="","",N237&amp;IF(AND(MOD(N237,100)&gt;=11,MOD(N237,100)&lt;=13),"th",CHOOSE(MIN(5,MOD(N237,10)+1),"th","st","nd","rd","th")))</f>
        <v>15th</v>
      </c>
      <c r="I237" s="5" t="s">
        <v>687</v>
      </c>
      <c r="J237" s="6" t="n">
        <f aca="false">IFERROR(INDEX(Rounds!$A:$A,MATCH(I237,Rounds!$B:$B,0)),"ADD LEAGUE TO ROUNDS")</f>
        <v>3</v>
      </c>
      <c r="K237" s="6" t="n">
        <f aca="false">IFERROR(VALUE(LEFT(E237,FIND(" - ",E237)-1)),"")</f>
        <v>3</v>
      </c>
      <c r="L237" s="5" t="s">
        <v>290</v>
      </c>
      <c r="N237" s="6" t="n">
        <f aca="false">IF(F237="","",1+COUNTIFS($J:$J,J237,$K:$K,K237,$F:$F,"&gt;"&amp;F237)+COUNTIFS($J:$J,J237,$K:$K,K237,$F:$F,F237,$G:$G,"&gt;"&amp;G237))</f>
        <v>15</v>
      </c>
      <c r="O237" s="6" t="n">
        <f aca="false">IF(L237="","",SUMIFS(Votes!$E:$E,Votes!$A:$A,J237,Votes!$B:$B,K237,Votes!$D:$D,L237))</f>
        <v>4</v>
      </c>
      <c r="P237" s="6" t="n">
        <f aca="false">IF(L237="","",COUNTIFS(Votes!$A:$A,J237,Votes!$B:$B,K237,Votes!$D:$D,L237))</f>
        <v>3</v>
      </c>
      <c r="Q237" s="7" t="str">
        <f aca="false">IF(F237="","Unscored",IF(O237="","No URI",IF(AND(F237=0,O237=0),"Zero-vote",IF(AND(F237=O237,G237=P237),"OK",IF(AND(F237=0,O237&gt;0,COUNTIFS(Votes!$A:$A,J237,Votes!$B:$B,K237,Votes!$C:$C,D237)=0),"Forfeited","Mismatch")))))</f>
        <v>OK</v>
      </c>
      <c r="R237" s="6" t="n">
        <f aca="false">MAX(IF(L237&lt;&gt;"",COUNTIF($L:$L,L237),0),COUNTIFS($A:$A,A237,$B:$B,B237))</f>
        <v>3</v>
      </c>
      <c r="S237" s="6" t="n">
        <f aca="false">IF(R237&gt;1,COUNTIF($R$2:R237,"&gt;1"),"")</f>
        <v>21</v>
      </c>
      <c r="T237" s="6" t="str">
        <f aca="false">IF(L237="","",J237&amp;"|"&amp;K237&amp;"|"&amp;L237)</f>
        <v>3|3|spotify:track:5wANPM4fQCJwkGd4rN57mH</v>
      </c>
      <c r="U237" s="6" t="str">
        <f aca="false">IF(C237="","",IFERROR(INDEX(Lists!$F:$F,MATCH(C237,Lists!$E:$E,0)),"Unmapped"))</f>
        <v>Pop</v>
      </c>
    </row>
    <row r="238" customFormat="false" ht="15" hidden="false" customHeight="false" outlineLevel="0" collapsed="false">
      <c r="A238" s="5" t="s">
        <v>805</v>
      </c>
      <c r="B238" s="5" t="s">
        <v>769</v>
      </c>
      <c r="C238" s="5" t="s">
        <v>248</v>
      </c>
      <c r="D238" s="5" t="s">
        <v>484</v>
      </c>
      <c r="E238" s="5" t="s">
        <v>806</v>
      </c>
      <c r="F238" s="5" t="n">
        <v>14</v>
      </c>
      <c r="G238" s="5" t="n">
        <v>10</v>
      </c>
      <c r="H238" s="6" t="str">
        <f aca="false">IF(N238="","",N238&amp;IF(AND(MOD(N238,100)&gt;=11,MOD(N238,100)&lt;=13),"th",CHOOSE(MIN(5,MOD(N238,10)+1),"th","st","nd","rd","th")))</f>
        <v>1st</v>
      </c>
      <c r="I238" s="5" t="s">
        <v>687</v>
      </c>
      <c r="J238" s="6" t="n">
        <f aca="false">IFERROR(INDEX(Rounds!$A:$A,MATCH(I238,Rounds!$B:$B,0)),"ADD LEAGUE TO ROUNDS")</f>
        <v>3</v>
      </c>
      <c r="K238" s="6" t="n">
        <f aca="false">IFERROR(VALUE(LEFT(E238,FIND(" - ",E238)-1)),"")</f>
        <v>4</v>
      </c>
      <c r="L238" s="5" t="s">
        <v>807</v>
      </c>
      <c r="N238" s="6" t="n">
        <f aca="false">IF(F238="","",1+COUNTIFS($J:$J,J238,$K:$K,K238,$F:$F,"&gt;"&amp;F238)+COUNTIFS($J:$J,J238,$K:$K,K238,$F:$F,F238,$G:$G,"&gt;"&amp;G238))</f>
        <v>1</v>
      </c>
      <c r="O238" s="6" t="n">
        <f aca="false">IF(L238="","",SUMIFS(Votes!$E:$E,Votes!$A:$A,J238,Votes!$B:$B,K238,Votes!$D:$D,L238))</f>
        <v>14</v>
      </c>
      <c r="P238" s="6" t="n">
        <f aca="false">IF(L238="","",COUNTIFS(Votes!$A:$A,J238,Votes!$B:$B,K238,Votes!$D:$D,L238))</f>
        <v>10</v>
      </c>
      <c r="Q238" s="7" t="str">
        <f aca="false">IF(F238="","Unscored",IF(O238="","No URI",IF(AND(F238=0,O238=0),"Zero-vote",IF(AND(F238=O238,G238=P238),"OK",IF(AND(F238=0,O238&gt;0,COUNTIFS(Votes!$A:$A,J238,Votes!$B:$B,K238,Votes!$C:$C,D238)=0),"Forfeited","Mismatch")))))</f>
        <v>OK</v>
      </c>
      <c r="R238" s="6" t="n">
        <f aca="false">MAX(IF(L238&lt;&gt;"",COUNTIF($L:$L,L238),0),COUNTIFS($A:$A,A238,$B:$B,B238))</f>
        <v>1</v>
      </c>
      <c r="S238" s="6" t="str">
        <f aca="false">IF(R238&gt;1,COUNTIF($R$2:R238,"&gt;1"),"")</f>
        <v/>
      </c>
      <c r="T238" s="6" t="str">
        <f aca="false">IF(L238="","",J238&amp;"|"&amp;K238&amp;"|"&amp;L238)</f>
        <v>3|4|spotify:track:0mflMxspEfB0VbI1kyLiAv</v>
      </c>
      <c r="U238" s="6" t="str">
        <f aca="false">IF(C238="","",IFERROR(INDEX(Lists!$F:$F,MATCH(C238,Lists!$E:$E,0)),"Unmapped"))</f>
        <v>Folk/Americana</v>
      </c>
    </row>
    <row r="239" customFormat="false" ht="15" hidden="false" customHeight="false" outlineLevel="0" collapsed="false">
      <c r="A239" s="5" t="s">
        <v>808</v>
      </c>
      <c r="B239" s="5" t="s">
        <v>809</v>
      </c>
      <c r="C239" s="5" t="s">
        <v>248</v>
      </c>
      <c r="D239" s="5" t="s">
        <v>637</v>
      </c>
      <c r="E239" s="5" t="s">
        <v>806</v>
      </c>
      <c r="F239" s="5" t="n">
        <v>12</v>
      </c>
      <c r="G239" s="5" t="n">
        <v>10</v>
      </c>
      <c r="H239" s="6" t="str">
        <f aca="false">IF(N239="","",N239&amp;IF(AND(MOD(N239,100)&gt;=11,MOD(N239,100)&lt;=13),"th",CHOOSE(MIN(5,MOD(N239,10)+1),"th","st","nd","rd","th")))</f>
        <v>2nd</v>
      </c>
      <c r="I239" s="5" t="s">
        <v>687</v>
      </c>
      <c r="J239" s="6" t="n">
        <f aca="false">IFERROR(INDEX(Rounds!$A:$A,MATCH(I239,Rounds!$B:$B,0)),"ADD LEAGUE TO ROUNDS")</f>
        <v>3</v>
      </c>
      <c r="K239" s="6" t="n">
        <f aca="false">IFERROR(VALUE(LEFT(E239,FIND(" - ",E239)-1)),"")</f>
        <v>4</v>
      </c>
      <c r="L239" s="5" t="s">
        <v>810</v>
      </c>
      <c r="N239" s="6" t="n">
        <f aca="false">IF(F239="","",1+COUNTIFS($J:$J,J239,$K:$K,K239,$F:$F,"&gt;"&amp;F239)+COUNTIFS($J:$J,J239,$K:$K,K239,$F:$F,F239,$G:$G,"&gt;"&amp;G239))</f>
        <v>2</v>
      </c>
      <c r="O239" s="6" t="n">
        <f aca="false">IF(L239="","",SUMIFS(Votes!$E:$E,Votes!$A:$A,J239,Votes!$B:$B,K239,Votes!$D:$D,L239))</f>
        <v>12</v>
      </c>
      <c r="P239" s="6" t="n">
        <f aca="false">IF(L239="","",COUNTIFS(Votes!$A:$A,J239,Votes!$B:$B,K239,Votes!$D:$D,L239))</f>
        <v>10</v>
      </c>
      <c r="Q239" s="7" t="str">
        <f aca="false">IF(F239="","Unscored",IF(O239="","No URI",IF(AND(F239=0,O239=0),"Zero-vote",IF(AND(F239=O239,G239=P239),"OK",IF(AND(F239=0,O239&gt;0,COUNTIFS(Votes!$A:$A,J239,Votes!$B:$B,K239,Votes!$C:$C,D239)=0),"Forfeited","Mismatch")))))</f>
        <v>OK</v>
      </c>
      <c r="R239" s="6" t="n">
        <f aca="false">MAX(IF(L239&lt;&gt;"",COUNTIF($L:$L,L239),0),COUNTIFS($A:$A,A239,$B:$B,B239))</f>
        <v>1</v>
      </c>
      <c r="S239" s="6" t="str">
        <f aca="false">IF(R239&gt;1,COUNTIF($R$2:R239,"&gt;1"),"")</f>
        <v/>
      </c>
      <c r="T239" s="6" t="str">
        <f aca="false">IF(L239="","",J239&amp;"|"&amp;K239&amp;"|"&amp;L239)</f>
        <v>3|4|spotify:track:4oEf84vBYVftf6KmZexhVo</v>
      </c>
      <c r="U239" s="6" t="str">
        <f aca="false">IF(C239="","",IFERROR(INDEX(Lists!$F:$F,MATCH(C239,Lists!$E:$E,0)),"Unmapped"))</f>
        <v>Folk/Americana</v>
      </c>
    </row>
    <row r="240" customFormat="false" ht="15" hidden="false" customHeight="false" outlineLevel="0" collapsed="false">
      <c r="A240" s="5" t="s">
        <v>811</v>
      </c>
      <c r="B240" s="5" t="s">
        <v>812</v>
      </c>
      <c r="C240" s="5" t="s">
        <v>96</v>
      </c>
      <c r="D240" s="5" t="s">
        <v>128</v>
      </c>
      <c r="E240" s="5" t="s">
        <v>806</v>
      </c>
      <c r="F240" s="5" t="n">
        <v>11</v>
      </c>
      <c r="G240" s="5" t="n">
        <v>9</v>
      </c>
      <c r="H240" s="6" t="str">
        <f aca="false">IF(N240="","",N240&amp;IF(AND(MOD(N240,100)&gt;=11,MOD(N240,100)&lt;=13),"th",CHOOSE(MIN(5,MOD(N240,10)+1),"th","st","nd","rd","th")))</f>
        <v>3rd</v>
      </c>
      <c r="I240" s="5" t="s">
        <v>687</v>
      </c>
      <c r="J240" s="6" t="n">
        <f aca="false">IFERROR(INDEX(Rounds!$A:$A,MATCH(I240,Rounds!$B:$B,0)),"ADD LEAGUE TO ROUNDS")</f>
        <v>3</v>
      </c>
      <c r="K240" s="6" t="n">
        <f aca="false">IFERROR(VALUE(LEFT(E240,FIND(" - ",E240)-1)),"")</f>
        <v>4</v>
      </c>
      <c r="L240" s="5" t="s">
        <v>813</v>
      </c>
      <c r="N240" s="6" t="n">
        <f aca="false">IF(F240="","",1+COUNTIFS($J:$J,J240,$K:$K,K240,$F:$F,"&gt;"&amp;F240)+COUNTIFS($J:$J,J240,$K:$K,K240,$F:$F,F240,$G:$G,"&gt;"&amp;G240))</f>
        <v>3</v>
      </c>
      <c r="O240" s="6" t="n">
        <f aca="false">IF(L240="","",SUMIFS(Votes!$E:$E,Votes!$A:$A,J240,Votes!$B:$B,K240,Votes!$D:$D,L240))</f>
        <v>11</v>
      </c>
      <c r="P240" s="6" t="n">
        <f aca="false">IF(L240="","",COUNTIFS(Votes!$A:$A,J240,Votes!$B:$B,K240,Votes!$D:$D,L240))</f>
        <v>9</v>
      </c>
      <c r="Q240" s="7" t="str">
        <f aca="false">IF(F240="","Unscored",IF(O240="","No URI",IF(AND(F240=0,O240=0),"Zero-vote",IF(AND(F240=O240,G240=P240),"OK",IF(AND(F240=0,O240&gt;0,COUNTIFS(Votes!$A:$A,J240,Votes!$B:$B,K240,Votes!$C:$C,D240)=0),"Forfeited","Mismatch")))))</f>
        <v>OK</v>
      </c>
      <c r="R240" s="6" t="n">
        <f aca="false">MAX(IF(L240&lt;&gt;"",COUNTIF($L:$L,L240),0),COUNTIFS($A:$A,A240,$B:$B,B240))</f>
        <v>1</v>
      </c>
      <c r="S240" s="6" t="str">
        <f aca="false">IF(R240&gt;1,COUNTIF($R$2:R240,"&gt;1"),"")</f>
        <v/>
      </c>
      <c r="T240" s="6" t="str">
        <f aca="false">IF(L240="","",J240&amp;"|"&amp;K240&amp;"|"&amp;L240)</f>
        <v>3|4|spotify:track:6Rqn2GFlmvmV4w9Ala0I1e</v>
      </c>
      <c r="U240" s="6" t="str">
        <f aca="false">IF(C240="","",IFERROR(INDEX(Lists!$F:$F,MATCH(C240,Lists!$E:$E,0)),"Unmapped"))</f>
        <v>R&amp;B/Soul</v>
      </c>
    </row>
    <row r="241" customFormat="false" ht="15" hidden="false" customHeight="false" outlineLevel="0" collapsed="false">
      <c r="A241" s="5" t="s">
        <v>814</v>
      </c>
      <c r="B241" s="5" t="s">
        <v>815</v>
      </c>
      <c r="C241" s="5" t="s">
        <v>816</v>
      </c>
      <c r="D241" s="5" t="s">
        <v>101</v>
      </c>
      <c r="E241" s="5" t="s">
        <v>806</v>
      </c>
      <c r="F241" s="5" t="n">
        <v>11</v>
      </c>
      <c r="G241" s="5" t="n">
        <v>8</v>
      </c>
      <c r="H241" s="6" t="str">
        <f aca="false">IF(N241="","",N241&amp;IF(AND(MOD(N241,100)&gt;=11,MOD(N241,100)&lt;=13),"th",CHOOSE(MIN(5,MOD(N241,10)+1),"th","st","nd","rd","th")))</f>
        <v>4th</v>
      </c>
      <c r="I241" s="5" t="s">
        <v>687</v>
      </c>
      <c r="J241" s="6" t="n">
        <f aca="false">IFERROR(INDEX(Rounds!$A:$A,MATCH(I241,Rounds!$B:$B,0)),"ADD LEAGUE TO ROUNDS")</f>
        <v>3</v>
      </c>
      <c r="K241" s="6" t="n">
        <f aca="false">IFERROR(VALUE(LEFT(E241,FIND(" - ",E241)-1)),"")</f>
        <v>4</v>
      </c>
      <c r="L241" s="5" t="s">
        <v>817</v>
      </c>
      <c r="N241" s="6" t="n">
        <f aca="false">IF(F241="","",1+COUNTIFS($J:$J,J241,$K:$K,K241,$F:$F,"&gt;"&amp;F241)+COUNTIFS($J:$J,J241,$K:$K,K241,$F:$F,F241,$G:$G,"&gt;"&amp;G241))</f>
        <v>4</v>
      </c>
      <c r="O241" s="6" t="n">
        <f aca="false">IF(L241="","",SUMIFS(Votes!$E:$E,Votes!$A:$A,J241,Votes!$B:$B,K241,Votes!$D:$D,L241))</f>
        <v>11</v>
      </c>
      <c r="P241" s="6" t="n">
        <f aca="false">IF(L241="","",COUNTIFS(Votes!$A:$A,J241,Votes!$B:$B,K241,Votes!$D:$D,L241))</f>
        <v>8</v>
      </c>
      <c r="Q241" s="7" t="str">
        <f aca="false">IF(F241="","Unscored",IF(O241="","No URI",IF(AND(F241=0,O241=0),"Zero-vote",IF(AND(F241=O241,G241=P241),"OK",IF(AND(F241=0,O241&gt;0,COUNTIFS(Votes!$A:$A,J241,Votes!$B:$B,K241,Votes!$C:$C,D241)=0),"Forfeited","Mismatch")))))</f>
        <v>OK</v>
      </c>
      <c r="R241" s="6" t="n">
        <f aca="false">MAX(IF(L241&lt;&gt;"",COUNTIF($L:$L,L241),0),COUNTIFS($A:$A,A241,$B:$B,B241))</f>
        <v>1</v>
      </c>
      <c r="S241" s="6" t="str">
        <f aca="false">IF(R241&gt;1,COUNTIF($R$2:R241,"&gt;1"),"")</f>
        <v/>
      </c>
      <c r="T241" s="6" t="str">
        <f aca="false">IF(L241="","",J241&amp;"|"&amp;K241&amp;"|"&amp;L241)</f>
        <v>3|4|spotify:track:7gX2JJVKndYEVApM5GRtqZ</v>
      </c>
      <c r="U241" s="6" t="str">
        <f aca="false">IF(C241="","",IFERROR(INDEX(Lists!$F:$F,MATCH(C241,Lists!$E:$E,0)),"Unmapped"))</f>
        <v>Soundtrack/Musical</v>
      </c>
    </row>
    <row r="242" customFormat="false" ht="15" hidden="false" customHeight="false" outlineLevel="0" collapsed="false">
      <c r="A242" s="5" t="s">
        <v>818</v>
      </c>
      <c r="B242" s="5" t="s">
        <v>819</v>
      </c>
      <c r="C242" s="5" t="s">
        <v>491</v>
      </c>
      <c r="D242" s="5" t="s">
        <v>116</v>
      </c>
      <c r="E242" s="5" t="s">
        <v>806</v>
      </c>
      <c r="F242" s="5" t="n">
        <v>11</v>
      </c>
      <c r="G242" s="5" t="n">
        <v>7</v>
      </c>
      <c r="H242" s="6" t="str">
        <f aca="false">IF(N242="","",N242&amp;IF(AND(MOD(N242,100)&gt;=11,MOD(N242,100)&lt;=13),"th",CHOOSE(MIN(5,MOD(N242,10)+1),"th","st","nd","rd","th")))</f>
        <v>5th</v>
      </c>
      <c r="I242" s="5" t="s">
        <v>687</v>
      </c>
      <c r="J242" s="6" t="n">
        <f aca="false">IFERROR(INDEX(Rounds!$A:$A,MATCH(I242,Rounds!$B:$B,0)),"ADD LEAGUE TO ROUNDS")</f>
        <v>3</v>
      </c>
      <c r="K242" s="6" t="n">
        <f aca="false">IFERROR(VALUE(LEFT(E242,FIND(" - ",E242)-1)),"")</f>
        <v>4</v>
      </c>
      <c r="L242" s="5" t="s">
        <v>820</v>
      </c>
      <c r="N242" s="6" t="n">
        <f aca="false">IF(F242="","",1+COUNTIFS($J:$J,J242,$K:$K,K242,$F:$F,"&gt;"&amp;F242)+COUNTIFS($J:$J,J242,$K:$K,K242,$F:$F,F242,$G:$G,"&gt;"&amp;G242))</f>
        <v>5</v>
      </c>
      <c r="O242" s="6" t="n">
        <f aca="false">IF(L242="","",SUMIFS(Votes!$E:$E,Votes!$A:$A,J242,Votes!$B:$B,K242,Votes!$D:$D,L242))</f>
        <v>11</v>
      </c>
      <c r="P242" s="6" t="n">
        <f aca="false">IF(L242="","",COUNTIFS(Votes!$A:$A,J242,Votes!$B:$B,K242,Votes!$D:$D,L242))</f>
        <v>7</v>
      </c>
      <c r="Q242" s="7" t="str">
        <f aca="false">IF(F242="","Unscored",IF(O242="","No URI",IF(AND(F242=0,O242=0),"Zero-vote",IF(AND(F242=O242,G242=P242),"OK",IF(AND(F242=0,O242&gt;0,COUNTIFS(Votes!$A:$A,J242,Votes!$B:$B,K242,Votes!$C:$C,D242)=0),"Forfeited","Mismatch")))))</f>
        <v>OK</v>
      </c>
      <c r="R242" s="6" t="n">
        <f aca="false">MAX(IF(L242&lt;&gt;"",COUNTIF($L:$L,L242),0),COUNTIFS($A:$A,A242,$B:$B,B242))</f>
        <v>1</v>
      </c>
      <c r="S242" s="6" t="str">
        <f aca="false">IF(R242&gt;1,COUNTIF($R$2:R242,"&gt;1"),"")</f>
        <v/>
      </c>
      <c r="T242" s="6" t="str">
        <f aca="false">IF(L242="","",J242&amp;"|"&amp;K242&amp;"|"&amp;L242)</f>
        <v>3|4|spotify:track:4eamJr2k9YDH8j58RSTmSc</v>
      </c>
      <c r="U242" s="6" t="str">
        <f aca="false">IF(C242="","",IFERROR(INDEX(Lists!$F:$F,MATCH(C242,Lists!$E:$E,0)),"Unmapped"))</f>
        <v>Reggae</v>
      </c>
    </row>
    <row r="243" customFormat="false" ht="15" hidden="false" customHeight="false" outlineLevel="0" collapsed="false">
      <c r="A243" s="5" t="s">
        <v>821</v>
      </c>
      <c r="B243" s="5" t="s">
        <v>822</v>
      </c>
      <c r="C243" s="5" t="s">
        <v>171</v>
      </c>
      <c r="D243" s="5" t="s">
        <v>375</v>
      </c>
      <c r="E243" s="5" t="s">
        <v>806</v>
      </c>
      <c r="F243" s="5" t="n">
        <v>10</v>
      </c>
      <c r="G243" s="5" t="n">
        <v>8</v>
      </c>
      <c r="H243" s="6" t="str">
        <f aca="false">IF(N243="","",N243&amp;IF(AND(MOD(N243,100)&gt;=11,MOD(N243,100)&lt;=13),"th",CHOOSE(MIN(5,MOD(N243,10)+1),"th","st","nd","rd","th")))</f>
        <v>6th</v>
      </c>
      <c r="I243" s="5" t="s">
        <v>687</v>
      </c>
      <c r="J243" s="6" t="n">
        <f aca="false">IFERROR(INDEX(Rounds!$A:$A,MATCH(I243,Rounds!$B:$B,0)),"ADD LEAGUE TO ROUNDS")</f>
        <v>3</v>
      </c>
      <c r="K243" s="6" t="n">
        <f aca="false">IFERROR(VALUE(LEFT(E243,FIND(" - ",E243)-1)),"")</f>
        <v>4</v>
      </c>
      <c r="L243" s="5" t="s">
        <v>823</v>
      </c>
      <c r="N243" s="6" t="n">
        <f aca="false">IF(F243="","",1+COUNTIFS($J:$J,J243,$K:$K,K243,$F:$F,"&gt;"&amp;F243)+COUNTIFS($J:$J,J243,$K:$K,K243,$F:$F,F243,$G:$G,"&gt;"&amp;G243))</f>
        <v>6</v>
      </c>
      <c r="O243" s="6" t="n">
        <f aca="false">IF(L243="","",SUMIFS(Votes!$E:$E,Votes!$A:$A,J243,Votes!$B:$B,K243,Votes!$D:$D,L243))</f>
        <v>10</v>
      </c>
      <c r="P243" s="6" t="n">
        <f aca="false">IF(L243="","",COUNTIFS(Votes!$A:$A,J243,Votes!$B:$B,K243,Votes!$D:$D,L243))</f>
        <v>8</v>
      </c>
      <c r="Q243" s="7" t="str">
        <f aca="false">IF(F243="","Unscored",IF(O243="","No URI",IF(AND(F243=0,O243=0),"Zero-vote",IF(AND(F243=O243,G243=P243),"OK",IF(AND(F243=0,O243&gt;0,COUNTIFS(Votes!$A:$A,J243,Votes!$B:$B,K243,Votes!$C:$C,D243)=0),"Forfeited","Mismatch")))))</f>
        <v>OK</v>
      </c>
      <c r="R243" s="6" t="n">
        <f aca="false">MAX(IF(L243&lt;&gt;"",COUNTIF($L:$L,L243),0),COUNTIFS($A:$A,A243,$B:$B,B243))</f>
        <v>1</v>
      </c>
      <c r="S243" s="6" t="str">
        <f aca="false">IF(R243&gt;1,COUNTIF($R$2:R243,"&gt;1"),"")</f>
        <v/>
      </c>
      <c r="T243" s="6" t="str">
        <f aca="false">IF(L243="","",J243&amp;"|"&amp;K243&amp;"|"&amp;L243)</f>
        <v>3|4|spotify:track:3ts6xK5GzfMAAriT9AIBmP</v>
      </c>
      <c r="U243" s="6" t="str">
        <f aca="false">IF(C243="","",IFERROR(INDEX(Lists!$F:$F,MATCH(C243,Lists!$E:$E,0)),"Unmapped"))</f>
        <v>Country</v>
      </c>
    </row>
    <row r="244" customFormat="false" ht="15" hidden="false" customHeight="false" outlineLevel="0" collapsed="false">
      <c r="A244" s="5" t="s">
        <v>824</v>
      </c>
      <c r="B244" s="5" t="s">
        <v>825</v>
      </c>
      <c r="C244" s="5" t="s">
        <v>84</v>
      </c>
      <c r="D244" s="5" t="s">
        <v>85</v>
      </c>
      <c r="E244" s="5" t="s">
        <v>806</v>
      </c>
      <c r="F244" s="5" t="n">
        <v>7</v>
      </c>
      <c r="G244" s="5" t="n">
        <v>7</v>
      </c>
      <c r="H244" s="6" t="str">
        <f aca="false">IF(N244="","",N244&amp;IF(AND(MOD(N244,100)&gt;=11,MOD(N244,100)&lt;=13),"th",CHOOSE(MIN(5,MOD(N244,10)+1),"th","st","nd","rd","th")))</f>
        <v>7th</v>
      </c>
      <c r="I244" s="5" t="s">
        <v>687</v>
      </c>
      <c r="J244" s="6" t="n">
        <f aca="false">IFERROR(INDEX(Rounds!$A:$A,MATCH(I244,Rounds!$B:$B,0)),"ADD LEAGUE TO ROUNDS")</f>
        <v>3</v>
      </c>
      <c r="K244" s="6" t="n">
        <f aca="false">IFERROR(VALUE(LEFT(E244,FIND(" - ",E244)-1)),"")</f>
        <v>4</v>
      </c>
      <c r="L244" s="5" t="s">
        <v>826</v>
      </c>
      <c r="N244" s="6" t="n">
        <f aca="false">IF(F244="","",1+COUNTIFS($J:$J,J244,$K:$K,K244,$F:$F,"&gt;"&amp;F244)+COUNTIFS($J:$J,J244,$K:$K,K244,$F:$F,F244,$G:$G,"&gt;"&amp;G244))</f>
        <v>7</v>
      </c>
      <c r="O244" s="6" t="n">
        <f aca="false">IF(L244="","",SUMIFS(Votes!$E:$E,Votes!$A:$A,J244,Votes!$B:$B,K244,Votes!$D:$D,L244))</f>
        <v>7</v>
      </c>
      <c r="P244" s="6" t="n">
        <f aca="false">IF(L244="","",COUNTIFS(Votes!$A:$A,J244,Votes!$B:$B,K244,Votes!$D:$D,L244))</f>
        <v>7</v>
      </c>
      <c r="Q244" s="7" t="str">
        <f aca="false">IF(F244="","Unscored",IF(O244="","No URI",IF(AND(F244=0,O244=0),"Zero-vote",IF(AND(F244=O244,G244=P244),"OK",IF(AND(F244=0,O244&gt;0,COUNTIFS(Votes!$A:$A,J244,Votes!$B:$B,K244,Votes!$C:$C,D244)=0),"Forfeited","Mismatch")))))</f>
        <v>OK</v>
      </c>
      <c r="R244" s="6" t="n">
        <f aca="false">MAX(IF(L244&lt;&gt;"",COUNTIF($L:$L,L244),0),COUNTIFS($A:$A,A244,$B:$B,B244))</f>
        <v>1</v>
      </c>
      <c r="S244" s="6" t="str">
        <f aca="false">IF(R244&gt;1,COUNTIF($R$2:R244,"&gt;1"),"")</f>
        <v/>
      </c>
      <c r="T244" s="6" t="str">
        <f aca="false">IF(L244="","",J244&amp;"|"&amp;K244&amp;"|"&amp;L244)</f>
        <v>3|4|spotify:track:7nXq1vaZiz7PdbfojpPjW5</v>
      </c>
      <c r="U244" s="6" t="str">
        <f aca="false">IF(C244="","",IFERROR(INDEX(Lists!$F:$F,MATCH(C244,Lists!$E:$E,0)),"Unmapped"))</f>
        <v>Pop</v>
      </c>
    </row>
    <row r="245" customFormat="false" ht="15" hidden="false" customHeight="false" outlineLevel="0" collapsed="false">
      <c r="A245" s="5" t="s">
        <v>827</v>
      </c>
      <c r="B245" s="5" t="s">
        <v>828</v>
      </c>
      <c r="C245" s="5" t="s">
        <v>91</v>
      </c>
      <c r="D245" s="5" t="s">
        <v>705</v>
      </c>
      <c r="E245" s="5" t="s">
        <v>806</v>
      </c>
      <c r="F245" s="5" t="n">
        <v>7</v>
      </c>
      <c r="G245" s="5" t="n">
        <v>7</v>
      </c>
      <c r="H245" s="6" t="str">
        <f aca="false">IF(N245="","",N245&amp;IF(AND(MOD(N245,100)&gt;=11,MOD(N245,100)&lt;=13),"th",CHOOSE(MIN(5,MOD(N245,10)+1),"th","st","nd","rd","th")))</f>
        <v>7th</v>
      </c>
      <c r="I245" s="5" t="s">
        <v>687</v>
      </c>
      <c r="J245" s="6" t="n">
        <f aca="false">IFERROR(INDEX(Rounds!$A:$A,MATCH(I245,Rounds!$B:$B,0)),"ADD LEAGUE TO ROUNDS")</f>
        <v>3</v>
      </c>
      <c r="K245" s="6" t="n">
        <f aca="false">IFERROR(VALUE(LEFT(E245,FIND(" - ",E245)-1)),"")</f>
        <v>4</v>
      </c>
      <c r="L245" s="5" t="s">
        <v>829</v>
      </c>
      <c r="N245" s="6" t="n">
        <f aca="false">IF(F245="","",1+COUNTIFS($J:$J,J245,$K:$K,K245,$F:$F,"&gt;"&amp;F245)+COUNTIFS($J:$J,J245,$K:$K,K245,$F:$F,F245,$G:$G,"&gt;"&amp;G245))</f>
        <v>7</v>
      </c>
      <c r="O245" s="6" t="n">
        <f aca="false">IF(L245="","",SUMIFS(Votes!$E:$E,Votes!$A:$A,J245,Votes!$B:$B,K245,Votes!$D:$D,L245))</f>
        <v>7</v>
      </c>
      <c r="P245" s="6" t="n">
        <f aca="false">IF(L245="","",COUNTIFS(Votes!$A:$A,J245,Votes!$B:$B,K245,Votes!$D:$D,L245))</f>
        <v>7</v>
      </c>
      <c r="Q245" s="7" t="str">
        <f aca="false">IF(F245="","Unscored",IF(O245="","No URI",IF(AND(F245=0,O245=0),"Zero-vote",IF(AND(F245=O245,G245=P245),"OK",IF(AND(F245=0,O245&gt;0,COUNTIFS(Votes!$A:$A,J245,Votes!$B:$B,K245,Votes!$C:$C,D245)=0),"Forfeited","Mismatch")))))</f>
        <v>OK</v>
      </c>
      <c r="R245" s="6" t="n">
        <f aca="false">MAX(IF(L245&lt;&gt;"",COUNTIF($L:$L,L245),0),COUNTIFS($A:$A,A245,$B:$B,B245))</f>
        <v>1</v>
      </c>
      <c r="S245" s="6" t="str">
        <f aca="false">IF(R245&gt;1,COUNTIF($R$2:R245,"&gt;1"),"")</f>
        <v/>
      </c>
      <c r="T245" s="6" t="str">
        <f aca="false">IF(L245="","",J245&amp;"|"&amp;K245&amp;"|"&amp;L245)</f>
        <v>3|4|spotify:track:7gmfoXsjwQYn6HeHUYRpY2</v>
      </c>
      <c r="U245" s="6" t="str">
        <f aca="false">IF(C245="","",IFERROR(INDEX(Lists!$F:$F,MATCH(C245,Lists!$E:$E,0)),"Unmapped"))</f>
        <v>Rock</v>
      </c>
    </row>
    <row r="246" customFormat="false" ht="15" hidden="false" customHeight="false" outlineLevel="0" collapsed="false">
      <c r="A246" s="5" t="s">
        <v>830</v>
      </c>
      <c r="B246" s="5" t="s">
        <v>831</v>
      </c>
      <c r="C246" s="5" t="s">
        <v>91</v>
      </c>
      <c r="D246" s="5" t="s">
        <v>97</v>
      </c>
      <c r="E246" s="5" t="s">
        <v>806</v>
      </c>
      <c r="F246" s="5" t="n">
        <v>7</v>
      </c>
      <c r="G246" s="5" t="n">
        <v>6</v>
      </c>
      <c r="H246" s="6" t="str">
        <f aca="false">IF(N246="","",N246&amp;IF(AND(MOD(N246,100)&gt;=11,MOD(N246,100)&lt;=13),"th",CHOOSE(MIN(5,MOD(N246,10)+1),"th","st","nd","rd","th")))</f>
        <v>9th</v>
      </c>
      <c r="I246" s="5" t="s">
        <v>687</v>
      </c>
      <c r="J246" s="6" t="n">
        <f aca="false">IFERROR(INDEX(Rounds!$A:$A,MATCH(I246,Rounds!$B:$B,0)),"ADD LEAGUE TO ROUNDS")</f>
        <v>3</v>
      </c>
      <c r="K246" s="6" t="n">
        <f aca="false">IFERROR(VALUE(LEFT(E246,FIND(" - ",E246)-1)),"")</f>
        <v>4</v>
      </c>
      <c r="L246" s="5" t="s">
        <v>832</v>
      </c>
      <c r="N246" s="6" t="n">
        <f aca="false">IF(F246="","",1+COUNTIFS($J:$J,J246,$K:$K,K246,$F:$F,"&gt;"&amp;F246)+COUNTIFS($J:$J,J246,$K:$K,K246,$F:$F,F246,$G:$G,"&gt;"&amp;G246))</f>
        <v>9</v>
      </c>
      <c r="O246" s="6" t="n">
        <f aca="false">IF(L246="","",SUMIFS(Votes!$E:$E,Votes!$A:$A,J246,Votes!$B:$B,K246,Votes!$D:$D,L246))</f>
        <v>7</v>
      </c>
      <c r="P246" s="6" t="n">
        <f aca="false">IF(L246="","",COUNTIFS(Votes!$A:$A,J246,Votes!$B:$B,K246,Votes!$D:$D,L246))</f>
        <v>6</v>
      </c>
      <c r="Q246" s="7" t="str">
        <f aca="false">IF(F246="","Unscored",IF(O246="","No URI",IF(AND(F246=0,O246=0),"Zero-vote",IF(AND(F246=O246,G246=P246),"OK",IF(AND(F246=0,O246&gt;0,COUNTIFS(Votes!$A:$A,J246,Votes!$B:$B,K246,Votes!$C:$C,D246)=0),"Forfeited","Mismatch")))))</f>
        <v>OK</v>
      </c>
      <c r="R246" s="6" t="n">
        <f aca="false">MAX(IF(L246&lt;&gt;"",COUNTIF($L:$L,L246),0),COUNTIFS($A:$A,A246,$B:$B,B246))</f>
        <v>1</v>
      </c>
      <c r="S246" s="6" t="str">
        <f aca="false">IF(R246&gt;1,COUNTIF($R$2:R246,"&gt;1"),"")</f>
        <v/>
      </c>
      <c r="T246" s="6" t="str">
        <f aca="false">IF(L246="","",J246&amp;"|"&amp;K246&amp;"|"&amp;L246)</f>
        <v>3|4|spotify:track:6jlqDfX8TQNxcaAz5oxYJA</v>
      </c>
      <c r="U246" s="6" t="str">
        <f aca="false">IF(C246="","",IFERROR(INDEX(Lists!$F:$F,MATCH(C246,Lists!$E:$E,0)),"Unmapped"))</f>
        <v>Rock</v>
      </c>
    </row>
    <row r="247" customFormat="false" ht="15" hidden="false" customHeight="false" outlineLevel="0" collapsed="false">
      <c r="A247" s="5" t="s">
        <v>833</v>
      </c>
      <c r="B247" s="5" t="s">
        <v>271</v>
      </c>
      <c r="C247" s="5" t="s">
        <v>91</v>
      </c>
      <c r="D247" s="5" t="s">
        <v>719</v>
      </c>
      <c r="E247" s="5" t="s">
        <v>806</v>
      </c>
      <c r="F247" s="5" t="n">
        <v>6</v>
      </c>
      <c r="G247" s="5" t="n">
        <v>5</v>
      </c>
      <c r="H247" s="6" t="str">
        <f aca="false">IF(N247="","",N247&amp;IF(AND(MOD(N247,100)&gt;=11,MOD(N247,100)&lt;=13),"th",CHOOSE(MIN(5,MOD(N247,10)+1),"th","st","nd","rd","th")))</f>
        <v>10th</v>
      </c>
      <c r="I247" s="5" t="s">
        <v>687</v>
      </c>
      <c r="J247" s="6" t="n">
        <f aca="false">IFERROR(INDEX(Rounds!$A:$A,MATCH(I247,Rounds!$B:$B,0)),"ADD LEAGUE TO ROUNDS")</f>
        <v>3</v>
      </c>
      <c r="K247" s="6" t="n">
        <f aca="false">IFERROR(VALUE(LEFT(E247,FIND(" - ",E247)-1)),"")</f>
        <v>4</v>
      </c>
      <c r="L247" s="5" t="s">
        <v>834</v>
      </c>
      <c r="N247" s="6" t="n">
        <f aca="false">IF(F247="","",1+COUNTIFS($J:$J,J247,$K:$K,K247,$F:$F,"&gt;"&amp;F247)+COUNTIFS($J:$J,J247,$K:$K,K247,$F:$F,F247,$G:$G,"&gt;"&amp;G247))</f>
        <v>10</v>
      </c>
      <c r="O247" s="6" t="n">
        <f aca="false">IF(L247="","",SUMIFS(Votes!$E:$E,Votes!$A:$A,J247,Votes!$B:$B,K247,Votes!$D:$D,L247))</f>
        <v>6</v>
      </c>
      <c r="P247" s="6" t="n">
        <f aca="false">IF(L247="","",COUNTIFS(Votes!$A:$A,J247,Votes!$B:$B,K247,Votes!$D:$D,L247))</f>
        <v>5</v>
      </c>
      <c r="Q247" s="7" t="str">
        <f aca="false">IF(F247="","Unscored",IF(O247="","No URI",IF(AND(F247=0,O247=0),"Zero-vote",IF(AND(F247=O247,G247=P247),"OK",IF(AND(F247=0,O247&gt;0,COUNTIFS(Votes!$A:$A,J247,Votes!$B:$B,K247,Votes!$C:$C,D247)=0),"Forfeited","Mismatch")))))</f>
        <v>OK</v>
      </c>
      <c r="R247" s="6" t="n">
        <f aca="false">MAX(IF(L247&lt;&gt;"",COUNTIF($L:$L,L247),0),COUNTIFS($A:$A,A247,$B:$B,B247))</f>
        <v>1</v>
      </c>
      <c r="S247" s="6" t="str">
        <f aca="false">IF(R247&gt;1,COUNTIF($R$2:R247,"&gt;1"),"")</f>
        <v/>
      </c>
      <c r="T247" s="6" t="str">
        <f aca="false">IF(L247="","",J247&amp;"|"&amp;K247&amp;"|"&amp;L247)</f>
        <v>3|4|spotify:track:6yjKlmm7vOszkXEUku1EM1</v>
      </c>
      <c r="U247" s="6" t="str">
        <f aca="false">IF(C247="","",IFERROR(INDEX(Lists!$F:$F,MATCH(C247,Lists!$E:$E,0)),"Unmapped"))</f>
        <v>Rock</v>
      </c>
    </row>
    <row r="248" customFormat="false" ht="15" hidden="false" customHeight="false" outlineLevel="0" collapsed="false">
      <c r="A248" s="5" t="s">
        <v>835</v>
      </c>
      <c r="B248" s="5" t="s">
        <v>836</v>
      </c>
      <c r="C248" s="5" t="s">
        <v>91</v>
      </c>
      <c r="D248" s="5" t="s">
        <v>119</v>
      </c>
      <c r="E248" s="5" t="s">
        <v>806</v>
      </c>
      <c r="F248" s="5" t="n">
        <v>6</v>
      </c>
      <c r="G248" s="5" t="n">
        <v>5</v>
      </c>
      <c r="H248" s="6" t="str">
        <f aca="false">IF(N248="","",N248&amp;IF(AND(MOD(N248,100)&gt;=11,MOD(N248,100)&lt;=13),"th",CHOOSE(MIN(5,MOD(N248,10)+1),"th","st","nd","rd","th")))</f>
        <v>10th</v>
      </c>
      <c r="I248" s="5" t="s">
        <v>687</v>
      </c>
      <c r="J248" s="6" t="n">
        <f aca="false">IFERROR(INDEX(Rounds!$A:$A,MATCH(I248,Rounds!$B:$B,0)),"ADD LEAGUE TO ROUNDS")</f>
        <v>3</v>
      </c>
      <c r="K248" s="6" t="n">
        <f aca="false">IFERROR(VALUE(LEFT(E248,FIND(" - ",E248)-1)),"")</f>
        <v>4</v>
      </c>
      <c r="L248" s="5" t="s">
        <v>837</v>
      </c>
      <c r="N248" s="6" t="n">
        <f aca="false">IF(F248="","",1+COUNTIFS($J:$J,J248,$K:$K,K248,$F:$F,"&gt;"&amp;F248)+COUNTIFS($J:$J,J248,$K:$K,K248,$F:$F,F248,$G:$G,"&gt;"&amp;G248))</f>
        <v>10</v>
      </c>
      <c r="O248" s="6" t="n">
        <f aca="false">IF(L248="","",SUMIFS(Votes!$E:$E,Votes!$A:$A,J248,Votes!$B:$B,K248,Votes!$D:$D,L248))</f>
        <v>6</v>
      </c>
      <c r="P248" s="6" t="n">
        <f aca="false">IF(L248="","",COUNTIFS(Votes!$A:$A,J248,Votes!$B:$B,K248,Votes!$D:$D,L248))</f>
        <v>5</v>
      </c>
      <c r="Q248" s="7" t="str">
        <f aca="false">IF(F248="","Unscored",IF(O248="","No URI",IF(AND(F248=0,O248=0),"Zero-vote",IF(AND(F248=O248,G248=P248),"OK",IF(AND(F248=0,O248&gt;0,COUNTIFS(Votes!$A:$A,J248,Votes!$B:$B,K248,Votes!$C:$C,D248)=0),"Forfeited","Mismatch")))))</f>
        <v>OK</v>
      </c>
      <c r="R248" s="6" t="n">
        <f aca="false">MAX(IF(L248&lt;&gt;"",COUNTIF($L:$L,L248),0),COUNTIFS($A:$A,A248,$B:$B,B248))</f>
        <v>1</v>
      </c>
      <c r="S248" s="6" t="str">
        <f aca="false">IF(R248&gt;1,COUNTIF($R$2:R248,"&gt;1"),"")</f>
        <v/>
      </c>
      <c r="T248" s="6" t="str">
        <f aca="false">IF(L248="","",J248&amp;"|"&amp;K248&amp;"|"&amp;L248)</f>
        <v>3|4|spotify:track:3gLvDdJVhHLWWkgzTbYeJB</v>
      </c>
      <c r="U248" s="6" t="str">
        <f aca="false">IF(C248="","",IFERROR(INDEX(Lists!$F:$F,MATCH(C248,Lists!$E:$E,0)),"Unmapped"))</f>
        <v>Rock</v>
      </c>
    </row>
    <row r="249" customFormat="false" ht="15" hidden="false" customHeight="false" outlineLevel="0" collapsed="false">
      <c r="A249" s="5" t="s">
        <v>838</v>
      </c>
      <c r="B249" s="5" t="s">
        <v>839</v>
      </c>
      <c r="C249" s="5" t="s">
        <v>110</v>
      </c>
      <c r="D249" s="5" t="s">
        <v>395</v>
      </c>
      <c r="E249" s="5" t="s">
        <v>806</v>
      </c>
      <c r="F249" s="5" t="n">
        <v>5</v>
      </c>
      <c r="G249" s="5" t="n">
        <v>5</v>
      </c>
      <c r="H249" s="6" t="str">
        <f aca="false">IF(N249="","",N249&amp;IF(AND(MOD(N249,100)&gt;=11,MOD(N249,100)&lt;=13),"th",CHOOSE(MIN(5,MOD(N249,10)+1),"th","st","nd","rd","th")))</f>
        <v>12th</v>
      </c>
      <c r="I249" s="5" t="s">
        <v>687</v>
      </c>
      <c r="J249" s="6" t="n">
        <f aca="false">IFERROR(INDEX(Rounds!$A:$A,MATCH(I249,Rounds!$B:$B,0)),"ADD LEAGUE TO ROUNDS")</f>
        <v>3</v>
      </c>
      <c r="K249" s="6" t="n">
        <f aca="false">IFERROR(VALUE(LEFT(E249,FIND(" - ",E249)-1)),"")</f>
        <v>4</v>
      </c>
      <c r="L249" s="5" t="s">
        <v>840</v>
      </c>
      <c r="N249" s="6" t="n">
        <f aca="false">IF(F249="","",1+COUNTIFS($J:$J,J249,$K:$K,K249,$F:$F,"&gt;"&amp;F249)+COUNTIFS($J:$J,J249,$K:$K,K249,$F:$F,F249,$G:$G,"&gt;"&amp;G249))</f>
        <v>12</v>
      </c>
      <c r="O249" s="6" t="n">
        <f aca="false">IF(L249="","",SUMIFS(Votes!$E:$E,Votes!$A:$A,J249,Votes!$B:$B,K249,Votes!$D:$D,L249))</f>
        <v>5</v>
      </c>
      <c r="P249" s="6" t="n">
        <f aca="false">IF(L249="","",COUNTIFS(Votes!$A:$A,J249,Votes!$B:$B,K249,Votes!$D:$D,L249))</f>
        <v>5</v>
      </c>
      <c r="Q249" s="7" t="str">
        <f aca="false">IF(F249="","Unscored",IF(O249="","No URI",IF(AND(F249=0,O249=0),"Zero-vote",IF(AND(F249=O249,G249=P249),"OK",IF(AND(F249=0,O249&gt;0,COUNTIFS(Votes!$A:$A,J249,Votes!$B:$B,K249,Votes!$C:$C,D249)=0),"Forfeited","Mismatch")))))</f>
        <v>OK</v>
      </c>
      <c r="R249" s="6" t="n">
        <f aca="false">MAX(IF(L249&lt;&gt;"",COUNTIF($L:$L,L249),0),COUNTIFS($A:$A,A249,$B:$B,B249))</f>
        <v>1</v>
      </c>
      <c r="S249" s="6" t="str">
        <f aca="false">IF(R249&gt;1,COUNTIF($R$2:R249,"&gt;1"),"")</f>
        <v/>
      </c>
      <c r="T249" s="6" t="str">
        <f aca="false">IF(L249="","",J249&amp;"|"&amp;K249&amp;"|"&amp;L249)</f>
        <v>3|4|spotify:track:0j2T0R9dR9qdJYsB7ciXhf</v>
      </c>
      <c r="U249" s="6" t="str">
        <f aca="false">IF(C249="","",IFERROR(INDEX(Lists!$F:$F,MATCH(C249,Lists!$E:$E,0)),"Unmapped"))</f>
        <v>Hip-Hop/Rap</v>
      </c>
    </row>
    <row r="250" customFormat="false" ht="15" hidden="false" customHeight="false" outlineLevel="0" collapsed="false">
      <c r="A250" s="5" t="s">
        <v>841</v>
      </c>
      <c r="B250" s="5" t="s">
        <v>842</v>
      </c>
      <c r="C250" s="5" t="s">
        <v>171</v>
      </c>
      <c r="D250" s="5" t="s">
        <v>92</v>
      </c>
      <c r="E250" s="5" t="s">
        <v>806</v>
      </c>
      <c r="F250" s="5" t="n">
        <v>3</v>
      </c>
      <c r="G250" s="5" t="n">
        <v>3</v>
      </c>
      <c r="H250" s="6" t="str">
        <f aca="false">IF(N250="","",N250&amp;IF(AND(MOD(N250,100)&gt;=11,MOD(N250,100)&lt;=13),"th",CHOOSE(MIN(5,MOD(N250,10)+1),"th","st","nd","rd","th")))</f>
        <v>13th</v>
      </c>
      <c r="I250" s="5" t="s">
        <v>687</v>
      </c>
      <c r="J250" s="6" t="n">
        <f aca="false">IFERROR(INDEX(Rounds!$A:$A,MATCH(I250,Rounds!$B:$B,0)),"ADD LEAGUE TO ROUNDS")</f>
        <v>3</v>
      </c>
      <c r="K250" s="6" t="n">
        <f aca="false">IFERROR(VALUE(LEFT(E250,FIND(" - ",E250)-1)),"")</f>
        <v>4</v>
      </c>
      <c r="L250" s="5" t="s">
        <v>843</v>
      </c>
      <c r="N250" s="6" t="n">
        <f aca="false">IF(F250="","",1+COUNTIFS($J:$J,J250,$K:$K,K250,$F:$F,"&gt;"&amp;F250)+COUNTIFS($J:$J,J250,$K:$K,K250,$F:$F,F250,$G:$G,"&gt;"&amp;G250))</f>
        <v>13</v>
      </c>
      <c r="O250" s="6" t="n">
        <f aca="false">IF(L250="","",SUMIFS(Votes!$E:$E,Votes!$A:$A,J250,Votes!$B:$B,K250,Votes!$D:$D,L250))</f>
        <v>3</v>
      </c>
      <c r="P250" s="6" t="n">
        <f aca="false">IF(L250="","",COUNTIFS(Votes!$A:$A,J250,Votes!$B:$B,K250,Votes!$D:$D,L250))</f>
        <v>3</v>
      </c>
      <c r="Q250" s="7" t="str">
        <f aca="false">IF(F250="","Unscored",IF(O250="","No URI",IF(AND(F250=0,O250=0),"Zero-vote",IF(AND(F250=O250,G250=P250),"OK",IF(AND(F250=0,O250&gt;0,COUNTIFS(Votes!$A:$A,J250,Votes!$B:$B,K250,Votes!$C:$C,D250)=0),"Forfeited","Mismatch")))))</f>
        <v>OK</v>
      </c>
      <c r="R250" s="6" t="n">
        <f aca="false">MAX(IF(L250&lt;&gt;"",COUNTIF($L:$L,L250),0),COUNTIFS($A:$A,A250,$B:$B,B250))</f>
        <v>1</v>
      </c>
      <c r="S250" s="6" t="str">
        <f aca="false">IF(R250&gt;1,COUNTIF($R$2:R250,"&gt;1"),"")</f>
        <v/>
      </c>
      <c r="T250" s="6" t="str">
        <f aca="false">IF(L250="","",J250&amp;"|"&amp;K250&amp;"|"&amp;L250)</f>
        <v>3|4|spotify:track:0jLT7x0Q0MTtTNPGLwy8AK</v>
      </c>
      <c r="U250" s="6" t="str">
        <f aca="false">IF(C250="","",IFERROR(INDEX(Lists!$F:$F,MATCH(C250,Lists!$E:$E,0)),"Unmapped"))</f>
        <v>Country</v>
      </c>
    </row>
    <row r="251" customFormat="false" ht="15" hidden="false" customHeight="false" outlineLevel="0" collapsed="false">
      <c r="A251" s="5" t="s">
        <v>844</v>
      </c>
      <c r="B251" s="5" t="s">
        <v>845</v>
      </c>
      <c r="C251" s="5" t="s">
        <v>91</v>
      </c>
      <c r="D251" s="5" t="s">
        <v>106</v>
      </c>
      <c r="E251" s="5" t="s">
        <v>806</v>
      </c>
      <c r="F251" s="5" t="n">
        <v>0</v>
      </c>
      <c r="G251" s="5" t="n">
        <v>10</v>
      </c>
      <c r="H251" s="6" t="str">
        <f aca="false">IF(N251="","",N251&amp;IF(AND(MOD(N251,100)&gt;=11,MOD(N251,100)&lt;=13),"th",CHOOSE(MIN(5,MOD(N251,10)+1),"th","st","nd","rd","th")))</f>
        <v>14th</v>
      </c>
      <c r="I251" s="5" t="s">
        <v>687</v>
      </c>
      <c r="J251" s="6" t="n">
        <f aca="false">IFERROR(INDEX(Rounds!$A:$A,MATCH(I251,Rounds!$B:$B,0)),"ADD LEAGUE TO ROUNDS")</f>
        <v>3</v>
      </c>
      <c r="K251" s="6" t="n">
        <f aca="false">IFERROR(VALUE(LEFT(E251,FIND(" - ",E251)-1)),"")</f>
        <v>4</v>
      </c>
      <c r="L251" s="5" t="s">
        <v>846</v>
      </c>
      <c r="N251" s="6" t="n">
        <f aca="false">IF(F251="","",1+COUNTIFS($J:$J,J251,$K:$K,K251,$F:$F,"&gt;"&amp;F251)+COUNTIFS($J:$J,J251,$K:$K,K251,$F:$F,F251,$G:$G,"&gt;"&amp;G251))</f>
        <v>14</v>
      </c>
      <c r="O251" s="6" t="n">
        <f aca="false">IF(L251="","",SUMIFS(Votes!$E:$E,Votes!$A:$A,J251,Votes!$B:$B,K251,Votes!$D:$D,L251))</f>
        <v>11</v>
      </c>
      <c r="P251" s="6" t="n">
        <f aca="false">IF(L251="","",COUNTIFS(Votes!$A:$A,J251,Votes!$B:$B,K251,Votes!$D:$D,L251))</f>
        <v>10</v>
      </c>
      <c r="Q251" s="7" t="str">
        <f aca="false">IF(F251="","Unscored",IF(O251="","No URI",IF(AND(F251=0,O251=0),"Zero-vote",IF(AND(F251=O251,G251=P251),"OK",IF(AND(F251=0,O251&gt;0,COUNTIFS(Votes!$A:$A,J251,Votes!$B:$B,K251,Votes!$C:$C,D251)=0),"Forfeited","Mismatch")))))</f>
        <v>Forfeited</v>
      </c>
      <c r="R251" s="6" t="n">
        <f aca="false">MAX(IF(L251&lt;&gt;"",COUNTIF($L:$L,L251),0),COUNTIFS($A:$A,A251,$B:$B,B251))</f>
        <v>1</v>
      </c>
      <c r="S251" s="6" t="str">
        <f aca="false">IF(R251&gt;1,COUNTIF($R$2:R251,"&gt;1"),"")</f>
        <v/>
      </c>
      <c r="T251" s="6" t="str">
        <f aca="false">IF(L251="","",J251&amp;"|"&amp;K251&amp;"|"&amp;L251)</f>
        <v>3|4|spotify:track:6XK6Zw6JkFsHXzAcMWNiIr</v>
      </c>
      <c r="U251" s="6" t="str">
        <f aca="false">IF(C251="","",IFERROR(INDEX(Lists!$F:$F,MATCH(C251,Lists!$E:$E,0)),"Unmapped"))</f>
        <v>Rock</v>
      </c>
    </row>
    <row r="252" customFormat="false" ht="15" hidden="false" customHeight="false" outlineLevel="0" collapsed="false">
      <c r="A252" s="5" t="s">
        <v>847</v>
      </c>
      <c r="B252" s="5" t="s">
        <v>848</v>
      </c>
      <c r="C252" s="5" t="s">
        <v>91</v>
      </c>
      <c r="D252" s="5" t="s">
        <v>382</v>
      </c>
      <c r="E252" s="5" t="s">
        <v>806</v>
      </c>
      <c r="F252" s="5" t="n">
        <v>0</v>
      </c>
      <c r="G252" s="5" t="n">
        <v>9</v>
      </c>
      <c r="H252" s="6" t="str">
        <f aca="false">IF(N252="","",N252&amp;IF(AND(MOD(N252,100)&gt;=11,MOD(N252,100)&lt;=13),"th",CHOOSE(MIN(5,MOD(N252,10)+1),"th","st","nd","rd","th")))</f>
        <v>15th</v>
      </c>
      <c r="I252" s="5" t="s">
        <v>687</v>
      </c>
      <c r="J252" s="6" t="n">
        <f aca="false">IFERROR(INDEX(Rounds!$A:$A,MATCH(I252,Rounds!$B:$B,0)),"ADD LEAGUE TO ROUNDS")</f>
        <v>3</v>
      </c>
      <c r="K252" s="6" t="n">
        <f aca="false">IFERROR(VALUE(LEFT(E252,FIND(" - ",E252)-1)),"")</f>
        <v>4</v>
      </c>
      <c r="L252" s="5" t="s">
        <v>849</v>
      </c>
      <c r="N252" s="6" t="n">
        <f aca="false">IF(F252="","",1+COUNTIFS($J:$J,J252,$K:$K,K252,$F:$F,"&gt;"&amp;F252)+COUNTIFS($J:$J,J252,$K:$K,K252,$F:$F,F252,$G:$G,"&gt;"&amp;G252))</f>
        <v>15</v>
      </c>
      <c r="O252" s="6" t="n">
        <f aca="false">IF(L252="","",SUMIFS(Votes!$E:$E,Votes!$A:$A,J252,Votes!$B:$B,K252,Votes!$D:$D,L252))</f>
        <v>9</v>
      </c>
      <c r="P252" s="6" t="n">
        <f aca="false">IF(L252="","",COUNTIFS(Votes!$A:$A,J252,Votes!$B:$B,K252,Votes!$D:$D,L252))</f>
        <v>9</v>
      </c>
      <c r="Q252" s="7" t="str">
        <f aca="false">IF(F252="","Unscored",IF(O252="","No URI",IF(AND(F252=0,O252=0),"Zero-vote",IF(AND(F252=O252,G252=P252),"OK",IF(AND(F252=0,O252&gt;0,COUNTIFS(Votes!$A:$A,J252,Votes!$B:$B,K252,Votes!$C:$C,D252)=0),"Forfeited","Mismatch")))))</f>
        <v>Forfeited</v>
      </c>
      <c r="R252" s="6" t="n">
        <f aca="false">MAX(IF(L252&lt;&gt;"",COUNTIF($L:$L,L252),0),COUNTIFS($A:$A,A252,$B:$B,B252))</f>
        <v>1</v>
      </c>
      <c r="S252" s="6" t="str">
        <f aca="false">IF(R252&gt;1,COUNTIF($R$2:R252,"&gt;1"),"")</f>
        <v/>
      </c>
      <c r="T252" s="6" t="str">
        <f aca="false">IF(L252="","",J252&amp;"|"&amp;K252&amp;"|"&amp;L252)</f>
        <v>3|4|spotify:track:3CRDbSIZ4r5MsZ0YwxuEkn</v>
      </c>
      <c r="U252" s="6" t="str">
        <f aca="false">IF(C252="","",IFERROR(INDEX(Lists!$F:$F,MATCH(C252,Lists!$E:$E,0)),"Unmapped"))</f>
        <v>Rock</v>
      </c>
    </row>
    <row r="253" customFormat="false" ht="15" hidden="false" customHeight="false" outlineLevel="0" collapsed="false">
      <c r="A253" s="5" t="s">
        <v>850</v>
      </c>
      <c r="B253" s="5" t="s">
        <v>851</v>
      </c>
      <c r="C253" s="5" t="s">
        <v>91</v>
      </c>
      <c r="D253" s="5" t="s">
        <v>395</v>
      </c>
      <c r="E253" s="5" t="s">
        <v>852</v>
      </c>
      <c r="F253" s="5" t="n">
        <v>16</v>
      </c>
      <c r="G253" s="5" t="n">
        <v>8</v>
      </c>
      <c r="H253" s="6" t="str">
        <f aca="false">IF(N253="","",N253&amp;IF(AND(MOD(N253,100)&gt;=11,MOD(N253,100)&lt;=13),"th",CHOOSE(MIN(5,MOD(N253,10)+1),"th","st","nd","rd","th")))</f>
        <v>1st</v>
      </c>
      <c r="I253" s="5" t="s">
        <v>687</v>
      </c>
      <c r="J253" s="6" t="n">
        <f aca="false">IFERROR(INDEX(Rounds!$A:$A,MATCH(I253,Rounds!$B:$B,0)),"ADD LEAGUE TO ROUNDS")</f>
        <v>3</v>
      </c>
      <c r="K253" s="6" t="n">
        <f aca="false">IFERROR(VALUE(LEFT(E253,FIND(" - ",E253)-1)),"")</f>
        <v>5</v>
      </c>
      <c r="L253" s="5" t="s">
        <v>853</v>
      </c>
      <c r="N253" s="6" t="n">
        <f aca="false">IF(F253="","",1+COUNTIFS($J:$J,J253,$K:$K,K253,$F:$F,"&gt;"&amp;F253)+COUNTIFS($J:$J,J253,$K:$K,K253,$F:$F,F253,$G:$G,"&gt;"&amp;G253))</f>
        <v>1</v>
      </c>
      <c r="O253" s="6" t="n">
        <f aca="false">IF(L253="","",SUMIFS(Votes!$E:$E,Votes!$A:$A,J253,Votes!$B:$B,K253,Votes!$D:$D,L253))</f>
        <v>16</v>
      </c>
      <c r="P253" s="6" t="n">
        <f aca="false">IF(L253="","",COUNTIFS(Votes!$A:$A,J253,Votes!$B:$B,K253,Votes!$D:$D,L253))</f>
        <v>8</v>
      </c>
      <c r="Q253" s="7" t="str">
        <f aca="false">IF(F253="","Unscored",IF(O253="","No URI",IF(AND(F253=0,O253=0),"Zero-vote",IF(AND(F253=O253,G253=P253),"OK",IF(AND(F253=0,O253&gt;0,COUNTIFS(Votes!$A:$A,J253,Votes!$B:$B,K253,Votes!$C:$C,D253)=0),"Forfeited","Mismatch")))))</f>
        <v>OK</v>
      </c>
      <c r="R253" s="6" t="n">
        <f aca="false">MAX(IF(L253&lt;&gt;"",COUNTIF($L:$L,L253),0),COUNTIFS($A:$A,A253,$B:$B,B253))</f>
        <v>1</v>
      </c>
      <c r="S253" s="6" t="str">
        <f aca="false">IF(R253&gt;1,COUNTIF($R$2:R253,"&gt;1"),"")</f>
        <v/>
      </c>
      <c r="T253" s="6" t="str">
        <f aca="false">IF(L253="","",J253&amp;"|"&amp;K253&amp;"|"&amp;L253)</f>
        <v>3|5|spotify:track:5hYP7TDRmkJPrgYdIy500S</v>
      </c>
      <c r="U253" s="6" t="str">
        <f aca="false">IF(C253="","",IFERROR(INDEX(Lists!$F:$F,MATCH(C253,Lists!$E:$E,0)),"Unmapped"))</f>
        <v>Rock</v>
      </c>
    </row>
    <row r="254" customFormat="false" ht="15" hidden="false" customHeight="false" outlineLevel="0" collapsed="false">
      <c r="A254" s="5" t="s">
        <v>854</v>
      </c>
      <c r="B254" s="5" t="s">
        <v>855</v>
      </c>
      <c r="C254" s="5" t="s">
        <v>84</v>
      </c>
      <c r="D254" s="5" t="s">
        <v>375</v>
      </c>
      <c r="E254" s="5" t="s">
        <v>852</v>
      </c>
      <c r="F254" s="5" t="n">
        <v>14</v>
      </c>
      <c r="G254" s="5" t="n">
        <v>10</v>
      </c>
      <c r="H254" s="6" t="str">
        <f aca="false">IF(N254="","",N254&amp;IF(AND(MOD(N254,100)&gt;=11,MOD(N254,100)&lt;=13),"th",CHOOSE(MIN(5,MOD(N254,10)+1),"th","st","nd","rd","th")))</f>
        <v>2nd</v>
      </c>
      <c r="I254" s="5" t="s">
        <v>687</v>
      </c>
      <c r="J254" s="6" t="n">
        <f aca="false">IFERROR(INDEX(Rounds!$A:$A,MATCH(I254,Rounds!$B:$B,0)),"ADD LEAGUE TO ROUNDS")</f>
        <v>3</v>
      </c>
      <c r="K254" s="6" t="n">
        <f aca="false">IFERROR(VALUE(LEFT(E254,FIND(" - ",E254)-1)),"")</f>
        <v>5</v>
      </c>
      <c r="L254" s="5" t="s">
        <v>856</v>
      </c>
      <c r="N254" s="6" t="n">
        <f aca="false">IF(F254="","",1+COUNTIFS($J:$J,J254,$K:$K,K254,$F:$F,"&gt;"&amp;F254)+COUNTIFS($J:$J,J254,$K:$K,K254,$F:$F,F254,$G:$G,"&gt;"&amp;G254))</f>
        <v>2</v>
      </c>
      <c r="O254" s="6" t="n">
        <f aca="false">IF(L254="","",SUMIFS(Votes!$E:$E,Votes!$A:$A,J254,Votes!$B:$B,K254,Votes!$D:$D,L254))</f>
        <v>14</v>
      </c>
      <c r="P254" s="6" t="n">
        <f aca="false">IF(L254="","",COUNTIFS(Votes!$A:$A,J254,Votes!$B:$B,K254,Votes!$D:$D,L254))</f>
        <v>10</v>
      </c>
      <c r="Q254" s="7" t="str">
        <f aca="false">IF(F254="","Unscored",IF(O254="","No URI",IF(AND(F254=0,O254=0),"Zero-vote",IF(AND(F254=O254,G254=P254),"OK",IF(AND(F254=0,O254&gt;0,COUNTIFS(Votes!$A:$A,J254,Votes!$B:$B,K254,Votes!$C:$C,D254)=0),"Forfeited","Mismatch")))))</f>
        <v>OK</v>
      </c>
      <c r="R254" s="6" t="n">
        <f aca="false">MAX(IF(L254&lt;&gt;"",COUNTIF($L:$L,L254),0),COUNTIFS($A:$A,A254,$B:$B,B254))</f>
        <v>1</v>
      </c>
      <c r="S254" s="6" t="str">
        <f aca="false">IF(R254&gt;1,COUNTIF($R$2:R254,"&gt;1"),"")</f>
        <v/>
      </c>
      <c r="T254" s="6" t="str">
        <f aca="false">IF(L254="","",J254&amp;"|"&amp;K254&amp;"|"&amp;L254)</f>
        <v>3|5|spotify:track:18AXbzPzBS8Y3AkgSxzJPb</v>
      </c>
      <c r="U254" s="6" t="str">
        <f aca="false">IF(C254="","",IFERROR(INDEX(Lists!$F:$F,MATCH(C254,Lists!$E:$E,0)),"Unmapped"))</f>
        <v>Pop</v>
      </c>
    </row>
    <row r="255" customFormat="false" ht="15" hidden="false" customHeight="false" outlineLevel="0" collapsed="false">
      <c r="A255" s="5" t="s">
        <v>857</v>
      </c>
      <c r="B255" s="5" t="s">
        <v>858</v>
      </c>
      <c r="C255" s="5" t="s">
        <v>84</v>
      </c>
      <c r="D255" s="5" t="s">
        <v>101</v>
      </c>
      <c r="E255" s="5" t="s">
        <v>852</v>
      </c>
      <c r="F255" s="5" t="n">
        <v>13</v>
      </c>
      <c r="G255" s="5" t="n">
        <v>10</v>
      </c>
      <c r="H255" s="6" t="str">
        <f aca="false">IF(N255="","",N255&amp;IF(AND(MOD(N255,100)&gt;=11,MOD(N255,100)&lt;=13),"th",CHOOSE(MIN(5,MOD(N255,10)+1),"th","st","nd","rd","th")))</f>
        <v>3rd</v>
      </c>
      <c r="I255" s="5" t="s">
        <v>687</v>
      </c>
      <c r="J255" s="6" t="n">
        <f aca="false">IFERROR(INDEX(Rounds!$A:$A,MATCH(I255,Rounds!$B:$B,0)),"ADD LEAGUE TO ROUNDS")</f>
        <v>3</v>
      </c>
      <c r="K255" s="6" t="n">
        <f aca="false">IFERROR(VALUE(LEFT(E255,FIND(" - ",E255)-1)),"")</f>
        <v>5</v>
      </c>
      <c r="L255" s="5" t="s">
        <v>859</v>
      </c>
      <c r="N255" s="6" t="n">
        <f aca="false">IF(F255="","",1+COUNTIFS($J:$J,J255,$K:$K,K255,$F:$F,"&gt;"&amp;F255)+COUNTIFS($J:$J,J255,$K:$K,K255,$F:$F,F255,$G:$G,"&gt;"&amp;G255))</f>
        <v>3</v>
      </c>
      <c r="O255" s="6" t="n">
        <f aca="false">IF(L255="","",SUMIFS(Votes!$E:$E,Votes!$A:$A,J255,Votes!$B:$B,K255,Votes!$D:$D,L255))</f>
        <v>13</v>
      </c>
      <c r="P255" s="6" t="n">
        <f aca="false">IF(L255="","",COUNTIFS(Votes!$A:$A,J255,Votes!$B:$B,K255,Votes!$D:$D,L255))</f>
        <v>10</v>
      </c>
      <c r="Q255" s="7" t="str">
        <f aca="false">IF(F255="","Unscored",IF(O255="","No URI",IF(AND(F255=0,O255=0),"Zero-vote",IF(AND(F255=O255,G255=P255),"OK",IF(AND(F255=0,O255&gt;0,COUNTIFS(Votes!$A:$A,J255,Votes!$B:$B,K255,Votes!$C:$C,D255)=0),"Forfeited","Mismatch")))))</f>
        <v>OK</v>
      </c>
      <c r="R255" s="6" t="n">
        <f aca="false">MAX(IF(L255&lt;&gt;"",COUNTIF($L:$L,L255),0),COUNTIFS($A:$A,A255,$B:$B,B255))</f>
        <v>1</v>
      </c>
      <c r="S255" s="6" t="str">
        <f aca="false">IF(R255&gt;1,COUNTIF($R$2:R255,"&gt;1"),"")</f>
        <v/>
      </c>
      <c r="T255" s="6" t="str">
        <f aca="false">IF(L255="","",J255&amp;"|"&amp;K255&amp;"|"&amp;L255)</f>
        <v>3|5|spotify:track:1ZMiCix7XSAbfAJlEZWMCp</v>
      </c>
      <c r="U255" s="6" t="str">
        <f aca="false">IF(C255="","",IFERROR(INDEX(Lists!$F:$F,MATCH(C255,Lists!$E:$E,0)),"Unmapped"))</f>
        <v>Pop</v>
      </c>
    </row>
    <row r="256" customFormat="false" ht="15" hidden="false" customHeight="false" outlineLevel="0" collapsed="false">
      <c r="A256" s="5" t="s">
        <v>860</v>
      </c>
      <c r="B256" s="5" t="s">
        <v>861</v>
      </c>
      <c r="C256" s="5" t="s">
        <v>84</v>
      </c>
      <c r="D256" s="5" t="s">
        <v>106</v>
      </c>
      <c r="E256" s="5" t="s">
        <v>852</v>
      </c>
      <c r="F256" s="5" t="n">
        <v>12</v>
      </c>
      <c r="G256" s="5" t="n">
        <v>8</v>
      </c>
      <c r="H256" s="6" t="str">
        <f aca="false">IF(N256="","",N256&amp;IF(AND(MOD(N256,100)&gt;=11,MOD(N256,100)&lt;=13),"th",CHOOSE(MIN(5,MOD(N256,10)+1),"th","st","nd","rd","th")))</f>
        <v>4th</v>
      </c>
      <c r="I256" s="5" t="s">
        <v>687</v>
      </c>
      <c r="J256" s="6" t="n">
        <f aca="false">IFERROR(INDEX(Rounds!$A:$A,MATCH(I256,Rounds!$B:$B,0)),"ADD LEAGUE TO ROUNDS")</f>
        <v>3</v>
      </c>
      <c r="K256" s="6" t="n">
        <f aca="false">IFERROR(VALUE(LEFT(E256,FIND(" - ",E256)-1)),"")</f>
        <v>5</v>
      </c>
      <c r="L256" s="5" t="s">
        <v>862</v>
      </c>
      <c r="N256" s="6" t="n">
        <f aca="false">IF(F256="","",1+COUNTIFS($J:$J,J256,$K:$K,K256,$F:$F,"&gt;"&amp;F256)+COUNTIFS($J:$J,J256,$K:$K,K256,$F:$F,F256,$G:$G,"&gt;"&amp;G256))</f>
        <v>4</v>
      </c>
      <c r="O256" s="6" t="n">
        <f aca="false">IF(L256="","",SUMIFS(Votes!$E:$E,Votes!$A:$A,J256,Votes!$B:$B,K256,Votes!$D:$D,L256))</f>
        <v>12</v>
      </c>
      <c r="P256" s="6" t="n">
        <f aca="false">IF(L256="","",COUNTIFS(Votes!$A:$A,J256,Votes!$B:$B,K256,Votes!$D:$D,L256))</f>
        <v>8</v>
      </c>
      <c r="Q256" s="7" t="str">
        <f aca="false">IF(F256="","Unscored",IF(O256="","No URI",IF(AND(F256=0,O256=0),"Zero-vote",IF(AND(F256=O256,G256=P256),"OK",IF(AND(F256=0,O256&gt;0,COUNTIFS(Votes!$A:$A,J256,Votes!$B:$B,K256,Votes!$C:$C,D256)=0),"Forfeited","Mismatch")))))</f>
        <v>OK</v>
      </c>
      <c r="R256" s="6" t="n">
        <f aca="false">MAX(IF(L256&lt;&gt;"",COUNTIF($L:$L,L256),0),COUNTIFS($A:$A,A256,$B:$B,B256))</f>
        <v>1</v>
      </c>
      <c r="S256" s="6" t="str">
        <f aca="false">IF(R256&gt;1,COUNTIF($R$2:R256,"&gt;1"),"")</f>
        <v/>
      </c>
      <c r="T256" s="6" t="str">
        <f aca="false">IF(L256="","",J256&amp;"|"&amp;K256&amp;"|"&amp;L256)</f>
        <v>3|5|spotify:track:7uPQU7uKvsZZ7T9XnpBpFg</v>
      </c>
      <c r="U256" s="6" t="str">
        <f aca="false">IF(C256="","",IFERROR(INDEX(Lists!$F:$F,MATCH(C256,Lists!$E:$E,0)),"Unmapped"))</f>
        <v>Pop</v>
      </c>
    </row>
    <row r="257" customFormat="false" ht="15" hidden="false" customHeight="false" outlineLevel="0" collapsed="false">
      <c r="A257" s="5" t="s">
        <v>863</v>
      </c>
      <c r="B257" s="5" t="s">
        <v>864</v>
      </c>
      <c r="C257" s="5" t="s">
        <v>84</v>
      </c>
      <c r="D257" s="5" t="s">
        <v>92</v>
      </c>
      <c r="E257" s="5" t="s">
        <v>852</v>
      </c>
      <c r="F257" s="5" t="n">
        <v>12</v>
      </c>
      <c r="G257" s="5" t="n">
        <v>8</v>
      </c>
      <c r="H257" s="6" t="str">
        <f aca="false">IF(N257="","",N257&amp;IF(AND(MOD(N257,100)&gt;=11,MOD(N257,100)&lt;=13),"th",CHOOSE(MIN(5,MOD(N257,10)+1),"th","st","nd","rd","th")))</f>
        <v>4th</v>
      </c>
      <c r="I257" s="5" t="s">
        <v>687</v>
      </c>
      <c r="J257" s="6" t="n">
        <f aca="false">IFERROR(INDEX(Rounds!$A:$A,MATCH(I257,Rounds!$B:$B,0)),"ADD LEAGUE TO ROUNDS")</f>
        <v>3</v>
      </c>
      <c r="K257" s="6" t="n">
        <f aca="false">IFERROR(VALUE(LEFT(E257,FIND(" - ",E257)-1)),"")</f>
        <v>5</v>
      </c>
      <c r="L257" s="5" t="s">
        <v>865</v>
      </c>
      <c r="N257" s="6" t="n">
        <f aca="false">IF(F257="","",1+COUNTIFS($J:$J,J257,$K:$K,K257,$F:$F,"&gt;"&amp;F257)+COUNTIFS($J:$J,J257,$K:$K,K257,$F:$F,F257,$G:$G,"&gt;"&amp;G257))</f>
        <v>4</v>
      </c>
      <c r="O257" s="6" t="n">
        <f aca="false">IF(L257="","",SUMIFS(Votes!$E:$E,Votes!$A:$A,J257,Votes!$B:$B,K257,Votes!$D:$D,L257))</f>
        <v>12</v>
      </c>
      <c r="P257" s="6" t="n">
        <f aca="false">IF(L257="","",COUNTIFS(Votes!$A:$A,J257,Votes!$B:$B,K257,Votes!$D:$D,L257))</f>
        <v>8</v>
      </c>
      <c r="Q257" s="7" t="str">
        <f aca="false">IF(F257="","Unscored",IF(O257="","No URI",IF(AND(F257=0,O257=0),"Zero-vote",IF(AND(F257=O257,G257=P257),"OK",IF(AND(F257=0,O257&gt;0,COUNTIFS(Votes!$A:$A,J257,Votes!$B:$B,K257,Votes!$C:$C,D257)=0),"Forfeited","Mismatch")))))</f>
        <v>OK</v>
      </c>
      <c r="R257" s="6" t="n">
        <f aca="false">MAX(IF(L257&lt;&gt;"",COUNTIF($L:$L,L257),0),COUNTIFS($A:$A,A257,$B:$B,B257))</f>
        <v>1</v>
      </c>
      <c r="S257" s="6" t="str">
        <f aca="false">IF(R257&gt;1,COUNTIF($R$2:R257,"&gt;1"),"")</f>
        <v/>
      </c>
      <c r="T257" s="6" t="str">
        <f aca="false">IF(L257="","",J257&amp;"|"&amp;K257&amp;"|"&amp;L257)</f>
        <v>3|5|spotify:track:0qvzXomUDJVaUboy2wMfiS</v>
      </c>
      <c r="U257" s="6" t="str">
        <f aca="false">IF(C257="","",IFERROR(INDEX(Lists!$F:$F,MATCH(C257,Lists!$E:$E,0)),"Unmapped"))</f>
        <v>Pop</v>
      </c>
    </row>
    <row r="258" customFormat="false" ht="15" hidden="false" customHeight="false" outlineLevel="0" collapsed="false">
      <c r="A258" s="5" t="s">
        <v>866</v>
      </c>
      <c r="B258" s="5" t="s">
        <v>867</v>
      </c>
      <c r="C258" s="5" t="s">
        <v>84</v>
      </c>
      <c r="D258" s="5" t="s">
        <v>637</v>
      </c>
      <c r="E258" s="5" t="s">
        <v>852</v>
      </c>
      <c r="F258" s="5" t="n">
        <v>11</v>
      </c>
      <c r="G258" s="5" t="n">
        <v>9</v>
      </c>
      <c r="H258" s="6" t="str">
        <f aca="false">IF(N258="","",N258&amp;IF(AND(MOD(N258,100)&gt;=11,MOD(N258,100)&lt;=13),"th",CHOOSE(MIN(5,MOD(N258,10)+1),"th","st","nd","rd","th")))</f>
        <v>6th</v>
      </c>
      <c r="I258" s="5" t="s">
        <v>687</v>
      </c>
      <c r="J258" s="6" t="n">
        <f aca="false">IFERROR(INDEX(Rounds!$A:$A,MATCH(I258,Rounds!$B:$B,0)),"ADD LEAGUE TO ROUNDS")</f>
        <v>3</v>
      </c>
      <c r="K258" s="6" t="n">
        <f aca="false">IFERROR(VALUE(LEFT(E258,FIND(" - ",E258)-1)),"")</f>
        <v>5</v>
      </c>
      <c r="L258" s="5" t="s">
        <v>868</v>
      </c>
      <c r="N258" s="6" t="n">
        <f aca="false">IF(F258="","",1+COUNTIFS($J:$J,J258,$K:$K,K258,$F:$F,"&gt;"&amp;F258)+COUNTIFS($J:$J,J258,$K:$K,K258,$F:$F,F258,$G:$G,"&gt;"&amp;G258))</f>
        <v>6</v>
      </c>
      <c r="O258" s="6" t="n">
        <f aca="false">IF(L258="","",SUMIFS(Votes!$E:$E,Votes!$A:$A,J258,Votes!$B:$B,K258,Votes!$D:$D,L258))</f>
        <v>11</v>
      </c>
      <c r="P258" s="6" t="n">
        <f aca="false">IF(L258="","",COUNTIFS(Votes!$A:$A,J258,Votes!$B:$B,K258,Votes!$D:$D,L258))</f>
        <v>9</v>
      </c>
      <c r="Q258" s="7" t="str">
        <f aca="false">IF(F258="","Unscored",IF(O258="","No URI",IF(AND(F258=0,O258=0),"Zero-vote",IF(AND(F258=O258,G258=P258),"OK",IF(AND(F258=0,O258&gt;0,COUNTIFS(Votes!$A:$A,J258,Votes!$B:$B,K258,Votes!$C:$C,D258)=0),"Forfeited","Mismatch")))))</f>
        <v>OK</v>
      </c>
      <c r="R258" s="6" t="n">
        <f aca="false">MAX(IF(L258&lt;&gt;"",COUNTIF($L:$L,L258),0),COUNTIFS($A:$A,A258,$B:$B,B258))</f>
        <v>1</v>
      </c>
      <c r="S258" s="6" t="str">
        <f aca="false">IF(R258&gt;1,COUNTIF($R$2:R258,"&gt;1"),"")</f>
        <v/>
      </c>
      <c r="T258" s="6" t="str">
        <f aca="false">IF(L258="","",J258&amp;"|"&amp;K258&amp;"|"&amp;L258)</f>
        <v>3|5|spotify:track:1HwpWwa6bnqqRhK8agG4RS</v>
      </c>
      <c r="U258" s="6" t="str">
        <f aca="false">IF(C258="","",IFERROR(INDEX(Lists!$F:$F,MATCH(C258,Lists!$E:$E,0)),"Unmapped"))</f>
        <v>Pop</v>
      </c>
    </row>
    <row r="259" customFormat="false" ht="15" hidden="false" customHeight="false" outlineLevel="0" collapsed="false">
      <c r="A259" s="5" t="s">
        <v>869</v>
      </c>
      <c r="B259" s="5" t="s">
        <v>870</v>
      </c>
      <c r="C259" s="5" t="s">
        <v>96</v>
      </c>
      <c r="D259" s="5" t="s">
        <v>705</v>
      </c>
      <c r="E259" s="5" t="s">
        <v>852</v>
      </c>
      <c r="F259" s="5" t="n">
        <v>11</v>
      </c>
      <c r="G259" s="5" t="n">
        <v>7</v>
      </c>
      <c r="H259" s="6" t="str">
        <f aca="false">IF(N259="","",N259&amp;IF(AND(MOD(N259,100)&gt;=11,MOD(N259,100)&lt;=13),"th",CHOOSE(MIN(5,MOD(N259,10)+1),"th","st","nd","rd","th")))</f>
        <v>7th</v>
      </c>
      <c r="I259" s="5" t="s">
        <v>687</v>
      </c>
      <c r="J259" s="6" t="n">
        <f aca="false">IFERROR(INDEX(Rounds!$A:$A,MATCH(I259,Rounds!$B:$B,0)),"ADD LEAGUE TO ROUNDS")</f>
        <v>3</v>
      </c>
      <c r="K259" s="6" t="n">
        <f aca="false">IFERROR(VALUE(LEFT(E259,FIND(" - ",E259)-1)),"")</f>
        <v>5</v>
      </c>
      <c r="L259" s="5" t="s">
        <v>871</v>
      </c>
      <c r="N259" s="6" t="n">
        <f aca="false">IF(F259="","",1+COUNTIFS($J:$J,J259,$K:$K,K259,$F:$F,"&gt;"&amp;F259)+COUNTIFS($J:$J,J259,$K:$K,K259,$F:$F,F259,$G:$G,"&gt;"&amp;G259))</f>
        <v>7</v>
      </c>
      <c r="O259" s="6" t="n">
        <f aca="false">IF(L259="","",SUMIFS(Votes!$E:$E,Votes!$A:$A,J259,Votes!$B:$B,K259,Votes!$D:$D,L259))</f>
        <v>11</v>
      </c>
      <c r="P259" s="6" t="n">
        <f aca="false">IF(L259="","",COUNTIFS(Votes!$A:$A,J259,Votes!$B:$B,K259,Votes!$D:$D,L259))</f>
        <v>7</v>
      </c>
      <c r="Q259" s="7" t="str">
        <f aca="false">IF(F259="","Unscored",IF(O259="","No URI",IF(AND(F259=0,O259=0),"Zero-vote",IF(AND(F259=O259,G259=P259),"OK",IF(AND(F259=0,O259&gt;0,COUNTIFS(Votes!$A:$A,J259,Votes!$B:$B,K259,Votes!$C:$C,D259)=0),"Forfeited","Mismatch")))))</f>
        <v>OK</v>
      </c>
      <c r="R259" s="6" t="n">
        <f aca="false">MAX(IF(L259&lt;&gt;"",COUNTIF($L:$L,L259),0),COUNTIFS($A:$A,A259,$B:$B,B259))</f>
        <v>1</v>
      </c>
      <c r="S259" s="6" t="str">
        <f aca="false">IF(R259&gt;1,COUNTIF($R$2:R259,"&gt;1"),"")</f>
        <v/>
      </c>
      <c r="T259" s="6" t="str">
        <f aca="false">IF(L259="","",J259&amp;"|"&amp;K259&amp;"|"&amp;L259)</f>
        <v>3|5|spotify:track:2LlQb7Uoj1kKyGhlkBf9aC</v>
      </c>
      <c r="U259" s="6" t="str">
        <f aca="false">IF(C259="","",IFERROR(INDEX(Lists!$F:$F,MATCH(C259,Lists!$E:$E,0)),"Unmapped"))</f>
        <v>R&amp;B/Soul</v>
      </c>
    </row>
    <row r="260" customFormat="false" ht="15" hidden="false" customHeight="false" outlineLevel="0" collapsed="false">
      <c r="A260" s="5" t="s">
        <v>872</v>
      </c>
      <c r="B260" s="5" t="s">
        <v>873</v>
      </c>
      <c r="C260" s="5" t="s">
        <v>304</v>
      </c>
      <c r="D260" s="5" t="s">
        <v>116</v>
      </c>
      <c r="E260" s="5" t="s">
        <v>852</v>
      </c>
      <c r="F260" s="5" t="n">
        <v>10</v>
      </c>
      <c r="G260" s="5" t="n">
        <v>6</v>
      </c>
      <c r="H260" s="6" t="str">
        <f aca="false">IF(N260="","",N260&amp;IF(AND(MOD(N260,100)&gt;=11,MOD(N260,100)&lt;=13),"th",CHOOSE(MIN(5,MOD(N260,10)+1),"th","st","nd","rd","th")))</f>
        <v>8th</v>
      </c>
      <c r="I260" s="5" t="s">
        <v>687</v>
      </c>
      <c r="J260" s="6" t="n">
        <f aca="false">IFERROR(INDEX(Rounds!$A:$A,MATCH(I260,Rounds!$B:$B,0)),"ADD LEAGUE TO ROUNDS")</f>
        <v>3</v>
      </c>
      <c r="K260" s="6" t="n">
        <f aca="false">IFERROR(VALUE(LEFT(E260,FIND(" - ",E260)-1)),"")</f>
        <v>5</v>
      </c>
      <c r="L260" s="5" t="s">
        <v>874</v>
      </c>
      <c r="N260" s="6" t="n">
        <f aca="false">IF(F260="","",1+COUNTIFS($J:$J,J260,$K:$K,K260,$F:$F,"&gt;"&amp;F260)+COUNTIFS($J:$J,J260,$K:$K,K260,$F:$F,F260,$G:$G,"&gt;"&amp;G260))</f>
        <v>8</v>
      </c>
      <c r="O260" s="6" t="n">
        <f aca="false">IF(L260="","",SUMIFS(Votes!$E:$E,Votes!$A:$A,J260,Votes!$B:$B,K260,Votes!$D:$D,L260))</f>
        <v>10</v>
      </c>
      <c r="P260" s="6" t="n">
        <f aca="false">IF(L260="","",COUNTIFS(Votes!$A:$A,J260,Votes!$B:$B,K260,Votes!$D:$D,L260))</f>
        <v>6</v>
      </c>
      <c r="Q260" s="7" t="str">
        <f aca="false">IF(F260="","Unscored",IF(O260="","No URI",IF(AND(F260=0,O260=0),"Zero-vote",IF(AND(F260=O260,G260=P260),"OK",IF(AND(F260=0,O260&gt;0,COUNTIFS(Votes!$A:$A,J260,Votes!$B:$B,K260,Votes!$C:$C,D260)=0),"Forfeited","Mismatch")))))</f>
        <v>OK</v>
      </c>
      <c r="R260" s="6" t="n">
        <f aca="false">MAX(IF(L260&lt;&gt;"",COUNTIF($L:$L,L260),0),COUNTIFS($A:$A,A260,$B:$B,B260))</f>
        <v>1</v>
      </c>
      <c r="S260" s="6" t="str">
        <f aca="false">IF(R260&gt;1,COUNTIF($R$2:R260,"&gt;1"),"")</f>
        <v/>
      </c>
      <c r="T260" s="6" t="str">
        <f aca="false">IF(L260="","",J260&amp;"|"&amp;K260&amp;"|"&amp;L260)</f>
        <v>3|5|spotify:track:6Wobsw9uZ0D0xkfOjxXSq9</v>
      </c>
      <c r="U260" s="6" t="str">
        <f aca="false">IF(C260="","",IFERROR(INDEX(Lists!$F:$F,MATCH(C260,Lists!$E:$E,0)),"Unmapped"))</f>
        <v>K-Pop</v>
      </c>
    </row>
    <row r="261" customFormat="false" ht="15" hidden="false" customHeight="false" outlineLevel="0" collapsed="false">
      <c r="A261" s="5" t="s">
        <v>875</v>
      </c>
      <c r="B261" s="5" t="s">
        <v>876</v>
      </c>
      <c r="C261" s="5" t="s">
        <v>84</v>
      </c>
      <c r="D261" s="5" t="s">
        <v>719</v>
      </c>
      <c r="E261" s="5" t="s">
        <v>852</v>
      </c>
      <c r="F261" s="5" t="n">
        <v>6</v>
      </c>
      <c r="G261" s="5" t="n">
        <v>6</v>
      </c>
      <c r="H261" s="6" t="str">
        <f aca="false">IF(N261="","",N261&amp;IF(AND(MOD(N261,100)&gt;=11,MOD(N261,100)&lt;=13),"th",CHOOSE(MIN(5,MOD(N261,10)+1),"th","st","nd","rd","th")))</f>
        <v>9th</v>
      </c>
      <c r="I261" s="5" t="s">
        <v>687</v>
      </c>
      <c r="J261" s="6" t="n">
        <f aca="false">IFERROR(INDEX(Rounds!$A:$A,MATCH(I261,Rounds!$B:$B,0)),"ADD LEAGUE TO ROUNDS")</f>
        <v>3</v>
      </c>
      <c r="K261" s="6" t="n">
        <f aca="false">IFERROR(VALUE(LEFT(E261,FIND(" - ",E261)-1)),"")</f>
        <v>5</v>
      </c>
      <c r="L261" s="5" t="s">
        <v>877</v>
      </c>
      <c r="N261" s="6" t="n">
        <f aca="false">IF(F261="","",1+COUNTIFS($J:$J,J261,$K:$K,K261,$F:$F,"&gt;"&amp;F261)+COUNTIFS($J:$J,J261,$K:$K,K261,$F:$F,F261,$G:$G,"&gt;"&amp;G261))</f>
        <v>9</v>
      </c>
      <c r="O261" s="6" t="n">
        <f aca="false">IF(L261="","",SUMIFS(Votes!$E:$E,Votes!$A:$A,J261,Votes!$B:$B,K261,Votes!$D:$D,L261))</f>
        <v>6</v>
      </c>
      <c r="P261" s="6" t="n">
        <f aca="false">IF(L261="","",COUNTIFS(Votes!$A:$A,J261,Votes!$B:$B,K261,Votes!$D:$D,L261))</f>
        <v>6</v>
      </c>
      <c r="Q261" s="7" t="str">
        <f aca="false">IF(F261="","Unscored",IF(O261="","No URI",IF(AND(F261=0,O261=0),"Zero-vote",IF(AND(F261=O261,G261=P261),"OK",IF(AND(F261=0,O261&gt;0,COUNTIFS(Votes!$A:$A,J261,Votes!$B:$B,K261,Votes!$C:$C,D261)=0),"Forfeited","Mismatch")))))</f>
        <v>OK</v>
      </c>
      <c r="R261" s="6" t="n">
        <f aca="false">MAX(IF(L261&lt;&gt;"",COUNTIF($L:$L,L261),0),COUNTIFS($A:$A,A261,$B:$B,B261))</f>
        <v>1</v>
      </c>
      <c r="S261" s="6" t="str">
        <f aca="false">IF(R261&gt;1,COUNTIF($R$2:R261,"&gt;1"),"")</f>
        <v/>
      </c>
      <c r="T261" s="6" t="str">
        <f aca="false">IF(L261="","",J261&amp;"|"&amp;K261&amp;"|"&amp;L261)</f>
        <v>3|5|spotify:track:3HCIjTIRedmAYgFGEi8IAL</v>
      </c>
      <c r="U261" s="6" t="str">
        <f aca="false">IF(C261="","",IFERROR(INDEX(Lists!$F:$F,MATCH(C261,Lists!$E:$E,0)),"Unmapped"))</f>
        <v>Pop</v>
      </c>
    </row>
    <row r="262" customFormat="false" ht="15" hidden="false" customHeight="false" outlineLevel="0" collapsed="false">
      <c r="A262" s="5" t="s">
        <v>878</v>
      </c>
      <c r="B262" s="5" t="s">
        <v>643</v>
      </c>
      <c r="C262" s="5" t="s">
        <v>84</v>
      </c>
      <c r="D262" s="5" t="s">
        <v>128</v>
      </c>
      <c r="E262" s="5" t="s">
        <v>852</v>
      </c>
      <c r="F262" s="5" t="n">
        <v>6</v>
      </c>
      <c r="G262" s="5" t="n">
        <v>6</v>
      </c>
      <c r="H262" s="6" t="str">
        <f aca="false">IF(N262="","",N262&amp;IF(AND(MOD(N262,100)&gt;=11,MOD(N262,100)&lt;=13),"th",CHOOSE(MIN(5,MOD(N262,10)+1),"th","st","nd","rd","th")))</f>
        <v>9th</v>
      </c>
      <c r="I262" s="5" t="s">
        <v>687</v>
      </c>
      <c r="J262" s="6" t="n">
        <f aca="false">IFERROR(INDEX(Rounds!$A:$A,MATCH(I262,Rounds!$B:$B,0)),"ADD LEAGUE TO ROUNDS")</f>
        <v>3</v>
      </c>
      <c r="K262" s="6" t="n">
        <f aca="false">IFERROR(VALUE(LEFT(E262,FIND(" - ",E262)-1)),"")</f>
        <v>5</v>
      </c>
      <c r="L262" s="5" t="s">
        <v>879</v>
      </c>
      <c r="N262" s="6" t="n">
        <f aca="false">IF(F262="","",1+COUNTIFS($J:$J,J262,$K:$K,K262,$F:$F,"&gt;"&amp;F262)+COUNTIFS($J:$J,J262,$K:$K,K262,$F:$F,F262,$G:$G,"&gt;"&amp;G262))</f>
        <v>9</v>
      </c>
      <c r="O262" s="6" t="n">
        <f aca="false">IF(L262="","",SUMIFS(Votes!$E:$E,Votes!$A:$A,J262,Votes!$B:$B,K262,Votes!$D:$D,L262))</f>
        <v>6</v>
      </c>
      <c r="P262" s="6" t="n">
        <f aca="false">IF(L262="","",COUNTIFS(Votes!$A:$A,J262,Votes!$B:$B,K262,Votes!$D:$D,L262))</f>
        <v>6</v>
      </c>
      <c r="Q262" s="7" t="str">
        <f aca="false">IF(F262="","Unscored",IF(O262="","No URI",IF(AND(F262=0,O262=0),"Zero-vote",IF(AND(F262=O262,G262=P262),"OK",IF(AND(F262=0,O262&gt;0,COUNTIFS(Votes!$A:$A,J262,Votes!$B:$B,K262,Votes!$C:$C,D262)=0),"Forfeited","Mismatch")))))</f>
        <v>OK</v>
      </c>
      <c r="R262" s="6" t="n">
        <f aca="false">MAX(IF(L262&lt;&gt;"",COUNTIF($L:$L,L262),0),COUNTIFS($A:$A,A262,$B:$B,B262))</f>
        <v>1</v>
      </c>
      <c r="S262" s="6" t="str">
        <f aca="false">IF(R262&gt;1,COUNTIF($R$2:R262,"&gt;1"),"")</f>
        <v/>
      </c>
      <c r="T262" s="6" t="str">
        <f aca="false">IF(L262="","",J262&amp;"|"&amp;K262&amp;"|"&amp;L262)</f>
        <v>3|5|spotify:track:1Qa0Y05al633fG8f9Peytc</v>
      </c>
      <c r="U262" s="6" t="str">
        <f aca="false">IF(C262="","",IFERROR(INDEX(Lists!$F:$F,MATCH(C262,Lists!$E:$E,0)),"Unmapped"))</f>
        <v>Pop</v>
      </c>
    </row>
    <row r="263" customFormat="false" ht="15" hidden="false" customHeight="false" outlineLevel="0" collapsed="false">
      <c r="A263" s="5" t="s">
        <v>880</v>
      </c>
      <c r="B263" s="5" t="s">
        <v>881</v>
      </c>
      <c r="C263" s="5" t="s">
        <v>110</v>
      </c>
      <c r="D263" s="5" t="s">
        <v>119</v>
      </c>
      <c r="E263" s="5" t="s">
        <v>852</v>
      </c>
      <c r="F263" s="5" t="n">
        <v>5</v>
      </c>
      <c r="G263" s="5" t="n">
        <v>5</v>
      </c>
      <c r="H263" s="6" t="str">
        <f aca="false">IF(N263="","",N263&amp;IF(AND(MOD(N263,100)&gt;=11,MOD(N263,100)&lt;=13),"th",CHOOSE(MIN(5,MOD(N263,10)+1),"th","st","nd","rd","th")))</f>
        <v>11th</v>
      </c>
      <c r="I263" s="5" t="s">
        <v>687</v>
      </c>
      <c r="J263" s="6" t="n">
        <f aca="false">IFERROR(INDEX(Rounds!$A:$A,MATCH(I263,Rounds!$B:$B,0)),"ADD LEAGUE TO ROUNDS")</f>
        <v>3</v>
      </c>
      <c r="K263" s="6" t="n">
        <f aca="false">IFERROR(VALUE(LEFT(E263,FIND(" - ",E263)-1)),"")</f>
        <v>5</v>
      </c>
      <c r="L263" s="5" t="s">
        <v>882</v>
      </c>
      <c r="N263" s="6" t="n">
        <f aca="false">IF(F263="","",1+COUNTIFS($J:$J,J263,$K:$K,K263,$F:$F,"&gt;"&amp;F263)+COUNTIFS($J:$J,J263,$K:$K,K263,$F:$F,F263,$G:$G,"&gt;"&amp;G263))</f>
        <v>11</v>
      </c>
      <c r="O263" s="6" t="n">
        <f aca="false">IF(L263="","",SUMIFS(Votes!$E:$E,Votes!$A:$A,J263,Votes!$B:$B,K263,Votes!$D:$D,L263))</f>
        <v>5</v>
      </c>
      <c r="P263" s="6" t="n">
        <f aca="false">IF(L263="","",COUNTIFS(Votes!$A:$A,J263,Votes!$B:$B,K263,Votes!$D:$D,L263))</f>
        <v>5</v>
      </c>
      <c r="Q263" s="7" t="str">
        <f aca="false">IF(F263="","Unscored",IF(O263="","No URI",IF(AND(F263=0,O263=0),"Zero-vote",IF(AND(F263=O263,G263=P263),"OK",IF(AND(F263=0,O263&gt;0,COUNTIFS(Votes!$A:$A,J263,Votes!$B:$B,K263,Votes!$C:$C,D263)=0),"Forfeited","Mismatch")))))</f>
        <v>OK</v>
      </c>
      <c r="R263" s="6" t="n">
        <f aca="false">MAX(IF(L263&lt;&gt;"",COUNTIF($L:$L,L263),0),COUNTIFS($A:$A,A263,$B:$B,B263))</f>
        <v>1</v>
      </c>
      <c r="S263" s="6" t="str">
        <f aca="false">IF(R263&gt;1,COUNTIF($R$2:R263,"&gt;1"),"")</f>
        <v/>
      </c>
      <c r="T263" s="6" t="str">
        <f aca="false">IF(L263="","",J263&amp;"|"&amp;K263&amp;"|"&amp;L263)</f>
        <v>3|5|spotify:track:4KTtYhxFtFL7mBwnjkKfLm</v>
      </c>
      <c r="U263" s="6" t="str">
        <f aca="false">IF(C263="","",IFERROR(INDEX(Lists!$F:$F,MATCH(C263,Lists!$E:$E,0)),"Unmapped"))</f>
        <v>Hip-Hop/Rap</v>
      </c>
    </row>
    <row r="264" customFormat="false" ht="15" hidden="false" customHeight="false" outlineLevel="0" collapsed="false">
      <c r="A264" s="5" t="s">
        <v>883</v>
      </c>
      <c r="B264" s="5" t="s">
        <v>622</v>
      </c>
      <c r="C264" s="5" t="s">
        <v>96</v>
      </c>
      <c r="D264" s="5" t="s">
        <v>97</v>
      </c>
      <c r="E264" s="5" t="s">
        <v>852</v>
      </c>
      <c r="F264" s="5" t="n">
        <v>4</v>
      </c>
      <c r="G264" s="5" t="n">
        <v>4</v>
      </c>
      <c r="H264" s="6" t="str">
        <f aca="false">IF(N264="","",N264&amp;IF(AND(MOD(N264,100)&gt;=11,MOD(N264,100)&lt;=13),"th",CHOOSE(MIN(5,MOD(N264,10)+1),"th","st","nd","rd","th")))</f>
        <v>12th</v>
      </c>
      <c r="I264" s="5" t="s">
        <v>687</v>
      </c>
      <c r="J264" s="6" t="n">
        <f aca="false">IFERROR(INDEX(Rounds!$A:$A,MATCH(I264,Rounds!$B:$B,0)),"ADD LEAGUE TO ROUNDS")</f>
        <v>3</v>
      </c>
      <c r="K264" s="6" t="n">
        <f aca="false">IFERROR(VALUE(LEFT(E264,FIND(" - ",E264)-1)),"")</f>
        <v>5</v>
      </c>
      <c r="L264" s="5" t="s">
        <v>884</v>
      </c>
      <c r="N264" s="6" t="n">
        <f aca="false">IF(F264="","",1+COUNTIFS($J:$J,J264,$K:$K,K264,$F:$F,"&gt;"&amp;F264)+COUNTIFS($J:$J,J264,$K:$K,K264,$F:$F,F264,$G:$G,"&gt;"&amp;G264))</f>
        <v>12</v>
      </c>
      <c r="O264" s="6" t="n">
        <f aca="false">IF(L264="","",SUMIFS(Votes!$E:$E,Votes!$A:$A,J264,Votes!$B:$B,K264,Votes!$D:$D,L264))</f>
        <v>4</v>
      </c>
      <c r="P264" s="6" t="n">
        <f aca="false">IF(L264="","",COUNTIFS(Votes!$A:$A,J264,Votes!$B:$B,K264,Votes!$D:$D,L264))</f>
        <v>4</v>
      </c>
      <c r="Q264" s="7" t="str">
        <f aca="false">IF(F264="","Unscored",IF(O264="","No URI",IF(AND(F264=0,O264=0),"Zero-vote",IF(AND(F264=O264,G264=P264),"OK",IF(AND(F264=0,O264&gt;0,COUNTIFS(Votes!$A:$A,J264,Votes!$B:$B,K264,Votes!$C:$C,D264)=0),"Forfeited","Mismatch")))))</f>
        <v>OK</v>
      </c>
      <c r="R264" s="6" t="n">
        <f aca="false">MAX(IF(L264&lt;&gt;"",COUNTIF($L:$L,L264),0),COUNTIFS($A:$A,A264,$B:$B,B264))</f>
        <v>1</v>
      </c>
      <c r="S264" s="6" t="str">
        <f aca="false">IF(R264&gt;1,COUNTIF($R$2:R264,"&gt;1"),"")</f>
        <v/>
      </c>
      <c r="T264" s="6" t="str">
        <f aca="false">IF(L264="","",J264&amp;"|"&amp;K264&amp;"|"&amp;L264)</f>
        <v>3|5|spotify:track:0Z7nGFVCLfixWctgePsRk9</v>
      </c>
      <c r="U264" s="6" t="str">
        <f aca="false">IF(C264="","",IFERROR(INDEX(Lists!$F:$F,MATCH(C264,Lists!$E:$E,0)),"Unmapped"))</f>
        <v>R&amp;B/Soul</v>
      </c>
    </row>
    <row r="265" customFormat="false" ht="15" hidden="false" customHeight="false" outlineLevel="0" collapsed="false">
      <c r="A265" s="5" t="s">
        <v>885</v>
      </c>
      <c r="B265" s="5" t="s">
        <v>886</v>
      </c>
      <c r="C265" s="5" t="s">
        <v>84</v>
      </c>
      <c r="D265" s="5" t="s">
        <v>382</v>
      </c>
      <c r="E265" s="5" t="s">
        <v>852</v>
      </c>
      <c r="F265" s="5" t="n">
        <v>4</v>
      </c>
      <c r="G265" s="5" t="n">
        <v>3</v>
      </c>
      <c r="H265" s="6" t="str">
        <f aca="false">IF(N265="","",N265&amp;IF(AND(MOD(N265,100)&gt;=11,MOD(N265,100)&lt;=13),"th",CHOOSE(MIN(5,MOD(N265,10)+1),"th","st","nd","rd","th")))</f>
        <v>13th</v>
      </c>
      <c r="I265" s="5" t="s">
        <v>687</v>
      </c>
      <c r="J265" s="6" t="n">
        <f aca="false">IFERROR(INDEX(Rounds!$A:$A,MATCH(I265,Rounds!$B:$B,0)),"ADD LEAGUE TO ROUNDS")</f>
        <v>3</v>
      </c>
      <c r="K265" s="6" t="n">
        <f aca="false">IFERROR(VALUE(LEFT(E265,FIND(" - ",E265)-1)),"")</f>
        <v>5</v>
      </c>
      <c r="L265" s="5" t="s">
        <v>887</v>
      </c>
      <c r="N265" s="6" t="n">
        <f aca="false">IF(F265="","",1+COUNTIFS($J:$J,J265,$K:$K,K265,$F:$F,"&gt;"&amp;F265)+COUNTIFS($J:$J,J265,$K:$K,K265,$F:$F,F265,$G:$G,"&gt;"&amp;G265))</f>
        <v>13</v>
      </c>
      <c r="O265" s="6" t="n">
        <f aca="false">IF(L265="","",SUMIFS(Votes!$E:$E,Votes!$A:$A,J265,Votes!$B:$B,K265,Votes!$D:$D,L265))</f>
        <v>4</v>
      </c>
      <c r="P265" s="6" t="n">
        <f aca="false">IF(L265="","",COUNTIFS(Votes!$A:$A,J265,Votes!$B:$B,K265,Votes!$D:$D,L265))</f>
        <v>3</v>
      </c>
      <c r="Q265" s="7" t="str">
        <f aca="false">IF(F265="","Unscored",IF(O265="","No URI",IF(AND(F265=0,O265=0),"Zero-vote",IF(AND(F265=O265,G265=P265),"OK",IF(AND(F265=0,O265&gt;0,COUNTIFS(Votes!$A:$A,J265,Votes!$B:$B,K265,Votes!$C:$C,D265)=0),"Forfeited","Mismatch")))))</f>
        <v>OK</v>
      </c>
      <c r="R265" s="6" t="n">
        <f aca="false">MAX(IF(L265&lt;&gt;"",COUNTIF($L:$L,L265),0),COUNTIFS($A:$A,A265,$B:$B,B265))</f>
        <v>1</v>
      </c>
      <c r="S265" s="6" t="str">
        <f aca="false">IF(R265&gt;1,COUNTIF($R$2:R265,"&gt;1"),"")</f>
        <v/>
      </c>
      <c r="T265" s="6" t="str">
        <f aca="false">IF(L265="","",J265&amp;"|"&amp;K265&amp;"|"&amp;L265)</f>
        <v>3|5|spotify:track:5NlFXQ0si6U87gXs6hq81B</v>
      </c>
      <c r="U265" s="6" t="str">
        <f aca="false">IF(C265="","",IFERROR(INDEX(Lists!$F:$F,MATCH(C265,Lists!$E:$E,0)),"Unmapped"))</f>
        <v>Pop</v>
      </c>
    </row>
    <row r="266" customFormat="false" ht="15" hidden="false" customHeight="false" outlineLevel="0" collapsed="false">
      <c r="A266" s="5" t="s">
        <v>888</v>
      </c>
      <c r="B266" s="5" t="s">
        <v>889</v>
      </c>
      <c r="C266" s="5" t="s">
        <v>105</v>
      </c>
      <c r="D266" s="5" t="s">
        <v>484</v>
      </c>
      <c r="E266" s="5" t="s">
        <v>852</v>
      </c>
      <c r="F266" s="5" t="n">
        <v>0</v>
      </c>
      <c r="G266" s="5" t="n">
        <v>6</v>
      </c>
      <c r="H266" s="6" t="str">
        <f aca="false">IF(N266="","",N266&amp;IF(AND(MOD(N266,100)&gt;=11,MOD(N266,100)&lt;=13),"th",CHOOSE(MIN(5,MOD(N266,10)+1),"th","st","nd","rd","th")))</f>
        <v>14th</v>
      </c>
      <c r="I266" s="5" t="s">
        <v>687</v>
      </c>
      <c r="J266" s="6" t="n">
        <f aca="false">IFERROR(INDEX(Rounds!$A:$A,MATCH(I266,Rounds!$B:$B,0)),"ADD LEAGUE TO ROUNDS")</f>
        <v>3</v>
      </c>
      <c r="K266" s="6" t="n">
        <f aca="false">IFERROR(VALUE(LEFT(E266,FIND(" - ",E266)-1)),"")</f>
        <v>5</v>
      </c>
      <c r="L266" s="5" t="s">
        <v>890</v>
      </c>
      <c r="N266" s="6" t="n">
        <f aca="false">IF(F266="","",1+COUNTIFS($J:$J,J266,$K:$K,K266,$F:$F,"&gt;"&amp;F266)+COUNTIFS($J:$J,J266,$K:$K,K266,$F:$F,F266,$G:$G,"&gt;"&amp;G266))</f>
        <v>14</v>
      </c>
      <c r="O266" s="6" t="n">
        <f aca="false">IF(L266="","",SUMIFS(Votes!$E:$E,Votes!$A:$A,J266,Votes!$B:$B,K266,Votes!$D:$D,L266))</f>
        <v>6</v>
      </c>
      <c r="P266" s="6" t="n">
        <f aca="false">IF(L266="","",COUNTIFS(Votes!$A:$A,J266,Votes!$B:$B,K266,Votes!$D:$D,L266))</f>
        <v>6</v>
      </c>
      <c r="Q266" s="7" t="str">
        <f aca="false">IF(F266="","Unscored",IF(O266="","No URI",IF(AND(F266=0,O266=0),"Zero-vote",IF(AND(F266=O266,G266=P266),"OK",IF(AND(F266=0,O266&gt;0,COUNTIFS(Votes!$A:$A,J266,Votes!$B:$B,K266,Votes!$C:$C,D266)=0),"Forfeited","Mismatch")))))</f>
        <v>Forfeited</v>
      </c>
      <c r="R266" s="6" t="n">
        <f aca="false">MAX(IF(L266&lt;&gt;"",COUNTIF($L:$L,L266),0),COUNTIFS($A:$A,A266,$B:$B,B266))</f>
        <v>1</v>
      </c>
      <c r="S266" s="6" t="str">
        <f aca="false">IF(R266&gt;1,COUNTIF($R$2:R266,"&gt;1"),"")</f>
        <v/>
      </c>
      <c r="T266" s="6" t="str">
        <f aca="false">IF(L266="","",J266&amp;"|"&amp;K266&amp;"|"&amp;L266)</f>
        <v>3|5|spotify:track:5axOkQnmQmwtjr4bv1Xt7i</v>
      </c>
      <c r="U266" s="6" t="str">
        <f aca="false">IF(C266="","",IFERROR(INDEX(Lists!$F:$F,MATCH(C266,Lists!$E:$E,0)),"Unmapped"))</f>
        <v>Metal</v>
      </c>
    </row>
    <row r="267" customFormat="false" ht="15" hidden="false" customHeight="false" outlineLevel="0" collapsed="false">
      <c r="A267" s="5" t="s">
        <v>891</v>
      </c>
      <c r="B267" s="5" t="s">
        <v>855</v>
      </c>
      <c r="C267" s="5" t="s">
        <v>84</v>
      </c>
      <c r="D267" s="5" t="s">
        <v>128</v>
      </c>
      <c r="E267" s="5" t="s">
        <v>892</v>
      </c>
      <c r="F267" s="5" t="n">
        <v>20</v>
      </c>
      <c r="G267" s="5" t="n">
        <v>11</v>
      </c>
      <c r="H267" s="6" t="str">
        <f aca="false">IF(N267="","",N267&amp;IF(AND(MOD(N267,100)&gt;=11,MOD(N267,100)&lt;=13),"th",CHOOSE(MIN(5,MOD(N267,10)+1),"th","st","nd","rd","th")))</f>
        <v>1st</v>
      </c>
      <c r="I267" s="5" t="s">
        <v>687</v>
      </c>
      <c r="J267" s="6" t="n">
        <f aca="false">IFERROR(INDEX(Rounds!$A:$A,MATCH(I267,Rounds!$B:$B,0)),"ADD LEAGUE TO ROUNDS")</f>
        <v>3</v>
      </c>
      <c r="K267" s="6" t="n">
        <f aca="false">IFERROR(VALUE(LEFT(E267,FIND(" - ",E267)-1)),"")</f>
        <v>6</v>
      </c>
      <c r="L267" s="5" t="s">
        <v>893</v>
      </c>
      <c r="N267" s="6" t="n">
        <f aca="false">IF(F267="","",1+COUNTIFS($J:$J,J267,$K:$K,K267,$F:$F,"&gt;"&amp;F267)+COUNTIFS($J:$J,J267,$K:$K,K267,$F:$F,F267,$G:$G,"&gt;"&amp;G267))</f>
        <v>1</v>
      </c>
      <c r="O267" s="6" t="n">
        <f aca="false">IF(L267="","",SUMIFS(Votes!$E:$E,Votes!$A:$A,J267,Votes!$B:$B,K267,Votes!$D:$D,L267))</f>
        <v>20</v>
      </c>
      <c r="P267" s="6" t="n">
        <f aca="false">IF(L267="","",COUNTIFS(Votes!$A:$A,J267,Votes!$B:$B,K267,Votes!$D:$D,L267))</f>
        <v>11</v>
      </c>
      <c r="Q267" s="7" t="str">
        <f aca="false">IF(F267="","Unscored",IF(O267="","No URI",IF(AND(F267=0,O267=0),"Zero-vote",IF(AND(F267=O267,G267=P267),"OK",IF(AND(F267=0,O267&gt;0,COUNTIFS(Votes!$A:$A,J267,Votes!$B:$B,K267,Votes!$C:$C,D267)=0),"Forfeited","Mismatch")))))</f>
        <v>OK</v>
      </c>
      <c r="R267" s="6" t="n">
        <f aca="false">MAX(IF(L267&lt;&gt;"",COUNTIF($L:$L,L267),0),COUNTIFS($A:$A,A267,$B:$B,B267))</f>
        <v>1</v>
      </c>
      <c r="S267" s="6" t="str">
        <f aca="false">IF(R267&gt;1,COUNTIF($R$2:R267,"&gt;1"),"")</f>
        <v/>
      </c>
      <c r="T267" s="6" t="str">
        <f aca="false">IF(L267="","",J267&amp;"|"&amp;K267&amp;"|"&amp;L267)</f>
        <v>3|6|spotify:track:3icOFPIciIN8FQSyVlpYSF</v>
      </c>
      <c r="U267" s="6" t="str">
        <f aca="false">IF(C267="","",IFERROR(INDEX(Lists!$F:$F,MATCH(C267,Lists!$E:$E,0)),"Unmapped"))</f>
        <v>Pop</v>
      </c>
    </row>
    <row r="268" customFormat="false" ht="15" hidden="false" customHeight="false" outlineLevel="0" collapsed="false">
      <c r="A268" s="5" t="s">
        <v>894</v>
      </c>
      <c r="B268" s="5" t="s">
        <v>895</v>
      </c>
      <c r="C268" s="5" t="s">
        <v>132</v>
      </c>
      <c r="D268" s="5" t="s">
        <v>116</v>
      </c>
      <c r="E268" s="5" t="s">
        <v>892</v>
      </c>
      <c r="F268" s="5" t="n">
        <v>17</v>
      </c>
      <c r="G268" s="5" t="n">
        <v>9</v>
      </c>
      <c r="H268" s="6" t="str">
        <f aca="false">IF(N268="","",N268&amp;IF(AND(MOD(N268,100)&gt;=11,MOD(N268,100)&lt;=13),"th",CHOOSE(MIN(5,MOD(N268,10)+1),"th","st","nd","rd","th")))</f>
        <v>2nd</v>
      </c>
      <c r="I268" s="5" t="s">
        <v>687</v>
      </c>
      <c r="J268" s="6" t="n">
        <f aca="false">IFERROR(INDEX(Rounds!$A:$A,MATCH(I268,Rounds!$B:$B,0)),"ADD LEAGUE TO ROUNDS")</f>
        <v>3</v>
      </c>
      <c r="K268" s="6" t="n">
        <f aca="false">IFERROR(VALUE(LEFT(E268,FIND(" - ",E268)-1)),"")</f>
        <v>6</v>
      </c>
      <c r="L268" s="5" t="s">
        <v>896</v>
      </c>
      <c r="N268" s="6" t="n">
        <f aca="false">IF(F268="","",1+COUNTIFS($J:$J,J268,$K:$K,K268,$F:$F,"&gt;"&amp;F268)+COUNTIFS($J:$J,J268,$K:$K,K268,$F:$F,F268,$G:$G,"&gt;"&amp;G268))</f>
        <v>2</v>
      </c>
      <c r="O268" s="6" t="n">
        <f aca="false">IF(L268="","",SUMIFS(Votes!$E:$E,Votes!$A:$A,J268,Votes!$B:$B,K268,Votes!$D:$D,L268))</f>
        <v>17</v>
      </c>
      <c r="P268" s="6" t="n">
        <f aca="false">IF(L268="","",COUNTIFS(Votes!$A:$A,J268,Votes!$B:$B,K268,Votes!$D:$D,L268))</f>
        <v>9</v>
      </c>
      <c r="Q268" s="7" t="str">
        <f aca="false">IF(F268="","Unscored",IF(O268="","No URI",IF(AND(F268=0,O268=0),"Zero-vote",IF(AND(F268=O268,G268=P268),"OK",IF(AND(F268=0,O268&gt;0,COUNTIFS(Votes!$A:$A,J268,Votes!$B:$B,K268,Votes!$C:$C,D268)=0),"Forfeited","Mismatch")))))</f>
        <v>OK</v>
      </c>
      <c r="R268" s="6" t="n">
        <f aca="false">MAX(IF(L268&lt;&gt;"",COUNTIF($L:$L,L268),0),COUNTIFS($A:$A,A268,$B:$B,B268))</f>
        <v>1</v>
      </c>
      <c r="S268" s="6" t="str">
        <f aca="false">IF(R268&gt;1,COUNTIF($R$2:R268,"&gt;1"),"")</f>
        <v/>
      </c>
      <c r="T268" s="6" t="str">
        <f aca="false">IF(L268="","",J268&amp;"|"&amp;K268&amp;"|"&amp;L268)</f>
        <v>3|6|spotify:track:3vJIaiTIHxHhYafTSPNiH4</v>
      </c>
      <c r="U268" s="6" t="str">
        <f aca="false">IF(C268="","",IFERROR(INDEX(Lists!$F:$F,MATCH(C268,Lists!$E:$E,0)),"Unmapped"))</f>
        <v>Soundtrack/Musical</v>
      </c>
    </row>
    <row r="269" customFormat="false" ht="15" hidden="false" customHeight="false" outlineLevel="0" collapsed="false">
      <c r="A269" s="5" t="s">
        <v>897</v>
      </c>
      <c r="B269" s="5" t="s">
        <v>898</v>
      </c>
      <c r="C269" s="5" t="s">
        <v>96</v>
      </c>
      <c r="D269" s="5" t="s">
        <v>92</v>
      </c>
      <c r="E269" s="5" t="s">
        <v>892</v>
      </c>
      <c r="F269" s="5" t="n">
        <v>16</v>
      </c>
      <c r="G269" s="5" t="n">
        <v>11</v>
      </c>
      <c r="H269" s="6" t="str">
        <f aca="false">IF(N269="","",N269&amp;IF(AND(MOD(N269,100)&gt;=11,MOD(N269,100)&lt;=13),"th",CHOOSE(MIN(5,MOD(N269,10)+1),"th","st","nd","rd","th")))</f>
        <v>3rd</v>
      </c>
      <c r="I269" s="5" t="s">
        <v>687</v>
      </c>
      <c r="J269" s="6" t="n">
        <f aca="false">IFERROR(INDEX(Rounds!$A:$A,MATCH(I269,Rounds!$B:$B,0)),"ADD LEAGUE TO ROUNDS")</f>
        <v>3</v>
      </c>
      <c r="K269" s="6" t="n">
        <f aca="false">IFERROR(VALUE(LEFT(E269,FIND(" - ",E269)-1)),"")</f>
        <v>6</v>
      </c>
      <c r="L269" s="5" t="s">
        <v>899</v>
      </c>
      <c r="N269" s="6" t="n">
        <f aca="false">IF(F269="","",1+COUNTIFS($J:$J,J269,$K:$K,K269,$F:$F,"&gt;"&amp;F269)+COUNTIFS($J:$J,J269,$K:$K,K269,$F:$F,F269,$G:$G,"&gt;"&amp;G269))</f>
        <v>3</v>
      </c>
      <c r="O269" s="6" t="n">
        <f aca="false">IF(L269="","",SUMIFS(Votes!$E:$E,Votes!$A:$A,J269,Votes!$B:$B,K269,Votes!$D:$D,L269))</f>
        <v>16</v>
      </c>
      <c r="P269" s="6" t="n">
        <f aca="false">IF(L269="","",COUNTIFS(Votes!$A:$A,J269,Votes!$B:$B,K269,Votes!$D:$D,L269))</f>
        <v>11</v>
      </c>
      <c r="Q269" s="7" t="str">
        <f aca="false">IF(F269="","Unscored",IF(O269="","No URI",IF(AND(F269=0,O269=0),"Zero-vote",IF(AND(F269=O269,G269=P269),"OK",IF(AND(F269=0,O269&gt;0,COUNTIFS(Votes!$A:$A,J269,Votes!$B:$B,K269,Votes!$C:$C,D269)=0),"Forfeited","Mismatch")))))</f>
        <v>OK</v>
      </c>
      <c r="R269" s="6" t="n">
        <f aca="false">MAX(IF(L269&lt;&gt;"",COUNTIF($L:$L,L269),0),COUNTIFS($A:$A,A269,$B:$B,B269))</f>
        <v>1</v>
      </c>
      <c r="S269" s="6" t="str">
        <f aca="false">IF(R269&gt;1,COUNTIF($R$2:R269,"&gt;1"),"")</f>
        <v/>
      </c>
      <c r="T269" s="6" t="str">
        <f aca="false">IF(L269="","",J269&amp;"|"&amp;K269&amp;"|"&amp;L269)</f>
        <v>3|6|spotify:track:7lPxGs556PD8H3bUd9LzHp</v>
      </c>
      <c r="U269" s="6" t="str">
        <f aca="false">IF(C269="","",IFERROR(INDEX(Lists!$F:$F,MATCH(C269,Lists!$E:$E,0)),"Unmapped"))</f>
        <v>R&amp;B/Soul</v>
      </c>
    </row>
    <row r="270" customFormat="false" ht="15" hidden="false" customHeight="false" outlineLevel="0" collapsed="false">
      <c r="A270" s="5" t="s">
        <v>900</v>
      </c>
      <c r="B270" s="5" t="s">
        <v>901</v>
      </c>
      <c r="C270" s="5" t="s">
        <v>132</v>
      </c>
      <c r="D270" s="5" t="s">
        <v>106</v>
      </c>
      <c r="E270" s="5" t="s">
        <v>892</v>
      </c>
      <c r="F270" s="5" t="n">
        <v>13</v>
      </c>
      <c r="G270" s="5" t="n">
        <v>10</v>
      </c>
      <c r="H270" s="6" t="str">
        <f aca="false">IF(N270="","",N270&amp;IF(AND(MOD(N270,100)&gt;=11,MOD(N270,100)&lt;=13),"th",CHOOSE(MIN(5,MOD(N270,10)+1),"th","st","nd","rd","th")))</f>
        <v>4th</v>
      </c>
      <c r="I270" s="5" t="s">
        <v>687</v>
      </c>
      <c r="J270" s="6" t="n">
        <f aca="false">IFERROR(INDEX(Rounds!$A:$A,MATCH(I270,Rounds!$B:$B,0)),"ADD LEAGUE TO ROUNDS")</f>
        <v>3</v>
      </c>
      <c r="K270" s="6" t="n">
        <f aca="false">IFERROR(VALUE(LEFT(E270,FIND(" - ",E270)-1)),"")</f>
        <v>6</v>
      </c>
      <c r="L270" s="5" t="s">
        <v>902</v>
      </c>
      <c r="N270" s="6" t="n">
        <f aca="false">IF(F270="","",1+COUNTIFS($J:$J,J270,$K:$K,K270,$F:$F,"&gt;"&amp;F270)+COUNTIFS($J:$J,J270,$K:$K,K270,$F:$F,F270,$G:$G,"&gt;"&amp;G270))</f>
        <v>4</v>
      </c>
      <c r="O270" s="6" t="n">
        <f aca="false">IF(L270="","",SUMIFS(Votes!$E:$E,Votes!$A:$A,J270,Votes!$B:$B,K270,Votes!$D:$D,L270))</f>
        <v>13</v>
      </c>
      <c r="P270" s="6" t="n">
        <f aca="false">IF(L270="","",COUNTIFS(Votes!$A:$A,J270,Votes!$B:$B,K270,Votes!$D:$D,L270))</f>
        <v>10</v>
      </c>
      <c r="Q270" s="7" t="str">
        <f aca="false">IF(F270="","Unscored",IF(O270="","No URI",IF(AND(F270=0,O270=0),"Zero-vote",IF(AND(F270=O270,G270=P270),"OK",IF(AND(F270=0,O270&gt;0,COUNTIFS(Votes!$A:$A,J270,Votes!$B:$B,K270,Votes!$C:$C,D270)=0),"Forfeited","Mismatch")))))</f>
        <v>OK</v>
      </c>
      <c r="R270" s="6" t="n">
        <f aca="false">MAX(IF(L270&lt;&gt;"",COUNTIF($L:$L,L270),0),COUNTIFS($A:$A,A270,$B:$B,B270))</f>
        <v>1</v>
      </c>
      <c r="S270" s="6" t="str">
        <f aca="false">IF(R270&gt;1,COUNTIF($R$2:R270,"&gt;1"),"")</f>
        <v/>
      </c>
      <c r="T270" s="6" t="str">
        <f aca="false">IF(L270="","",J270&amp;"|"&amp;K270&amp;"|"&amp;L270)</f>
        <v>3|6|spotify:track:0HU5JnVaKNTWf6GykV9Zn8</v>
      </c>
      <c r="U270" s="6" t="str">
        <f aca="false">IF(C270="","",IFERROR(INDEX(Lists!$F:$F,MATCH(C270,Lists!$E:$E,0)),"Unmapped"))</f>
        <v>Soundtrack/Musical</v>
      </c>
    </row>
    <row r="271" customFormat="false" ht="15" hidden="false" customHeight="false" outlineLevel="0" collapsed="false">
      <c r="A271" s="5" t="s">
        <v>903</v>
      </c>
      <c r="B271" s="5" t="s">
        <v>904</v>
      </c>
      <c r="C271" s="5" t="s">
        <v>132</v>
      </c>
      <c r="D271" s="5" t="s">
        <v>382</v>
      </c>
      <c r="E271" s="5" t="s">
        <v>892</v>
      </c>
      <c r="F271" s="5" t="n">
        <v>12</v>
      </c>
      <c r="G271" s="5" t="n">
        <v>8</v>
      </c>
      <c r="H271" s="6" t="str">
        <f aca="false">IF(N271="","",N271&amp;IF(AND(MOD(N271,100)&gt;=11,MOD(N271,100)&lt;=13),"th",CHOOSE(MIN(5,MOD(N271,10)+1),"th","st","nd","rd","th")))</f>
        <v>5th</v>
      </c>
      <c r="I271" s="5" t="s">
        <v>687</v>
      </c>
      <c r="J271" s="6" t="n">
        <f aca="false">IFERROR(INDEX(Rounds!$A:$A,MATCH(I271,Rounds!$B:$B,0)),"ADD LEAGUE TO ROUNDS")</f>
        <v>3</v>
      </c>
      <c r="K271" s="6" t="n">
        <f aca="false">IFERROR(VALUE(LEFT(E271,FIND(" - ",E271)-1)),"")</f>
        <v>6</v>
      </c>
      <c r="L271" s="5" t="s">
        <v>905</v>
      </c>
      <c r="N271" s="6" t="n">
        <f aca="false">IF(F271="","",1+COUNTIFS($J:$J,J271,$K:$K,K271,$F:$F,"&gt;"&amp;F271)+COUNTIFS($J:$J,J271,$K:$K,K271,$F:$F,F271,$G:$G,"&gt;"&amp;G271))</f>
        <v>5</v>
      </c>
      <c r="O271" s="6" t="n">
        <f aca="false">IF(L271="","",SUMIFS(Votes!$E:$E,Votes!$A:$A,J271,Votes!$B:$B,K271,Votes!$D:$D,L271))</f>
        <v>12</v>
      </c>
      <c r="P271" s="6" t="n">
        <f aca="false">IF(L271="","",COUNTIFS(Votes!$A:$A,J271,Votes!$B:$B,K271,Votes!$D:$D,L271))</f>
        <v>8</v>
      </c>
      <c r="Q271" s="7" t="str">
        <f aca="false">IF(F271="","Unscored",IF(O271="","No URI",IF(AND(F271=0,O271=0),"Zero-vote",IF(AND(F271=O271,G271=P271),"OK",IF(AND(F271=0,O271&gt;0,COUNTIFS(Votes!$A:$A,J271,Votes!$B:$B,K271,Votes!$C:$C,D271)=0),"Forfeited","Mismatch")))))</f>
        <v>OK</v>
      </c>
      <c r="R271" s="6" t="n">
        <f aca="false">MAX(IF(L271&lt;&gt;"",COUNTIF($L:$L,L271),0),COUNTIFS($A:$A,A271,$B:$B,B271))</f>
        <v>1</v>
      </c>
      <c r="S271" s="6" t="str">
        <f aca="false">IF(R271&gt;1,COUNTIF($R$2:R271,"&gt;1"),"")</f>
        <v/>
      </c>
      <c r="T271" s="6" t="str">
        <f aca="false">IF(L271="","",J271&amp;"|"&amp;K271&amp;"|"&amp;L271)</f>
        <v>3|6|spotify:track:0CKmN3Wwk8W4zjU0pqq2cv</v>
      </c>
      <c r="U271" s="6" t="str">
        <f aca="false">IF(C271="","",IFERROR(INDEX(Lists!$F:$F,MATCH(C271,Lists!$E:$E,0)),"Unmapped"))</f>
        <v>Soundtrack/Musical</v>
      </c>
    </row>
    <row r="272" customFormat="false" ht="15" hidden="false" customHeight="false" outlineLevel="0" collapsed="false">
      <c r="A272" s="5" t="s">
        <v>906</v>
      </c>
      <c r="B272" s="5" t="s">
        <v>907</v>
      </c>
      <c r="C272" s="5" t="s">
        <v>96</v>
      </c>
      <c r="D272" s="5" t="s">
        <v>705</v>
      </c>
      <c r="E272" s="5" t="s">
        <v>892</v>
      </c>
      <c r="F272" s="5" t="n">
        <v>11</v>
      </c>
      <c r="G272" s="5" t="n">
        <v>8</v>
      </c>
      <c r="H272" s="6" t="str">
        <f aca="false">IF(N272="","",N272&amp;IF(AND(MOD(N272,100)&gt;=11,MOD(N272,100)&lt;=13),"th",CHOOSE(MIN(5,MOD(N272,10)+1),"th","st","nd","rd","th")))</f>
        <v>6th</v>
      </c>
      <c r="I272" s="5" t="s">
        <v>687</v>
      </c>
      <c r="J272" s="6" t="n">
        <f aca="false">IFERROR(INDEX(Rounds!$A:$A,MATCH(I272,Rounds!$B:$B,0)),"ADD LEAGUE TO ROUNDS")</f>
        <v>3</v>
      </c>
      <c r="K272" s="6" t="n">
        <f aca="false">IFERROR(VALUE(LEFT(E272,FIND(" - ",E272)-1)),"")</f>
        <v>6</v>
      </c>
      <c r="L272" s="5" t="s">
        <v>908</v>
      </c>
      <c r="N272" s="6" t="n">
        <f aca="false">IF(F272="","",1+COUNTIFS($J:$J,J272,$K:$K,K272,$F:$F,"&gt;"&amp;F272)+COUNTIFS($J:$J,J272,$K:$K,K272,$F:$F,F272,$G:$G,"&gt;"&amp;G272))</f>
        <v>6</v>
      </c>
      <c r="O272" s="6" t="n">
        <f aca="false">IF(L272="","",SUMIFS(Votes!$E:$E,Votes!$A:$A,J272,Votes!$B:$B,K272,Votes!$D:$D,L272))</f>
        <v>11</v>
      </c>
      <c r="P272" s="6" t="n">
        <f aca="false">IF(L272="","",COUNTIFS(Votes!$A:$A,J272,Votes!$B:$B,K272,Votes!$D:$D,L272))</f>
        <v>8</v>
      </c>
      <c r="Q272" s="7" t="str">
        <f aca="false">IF(F272="","Unscored",IF(O272="","No URI",IF(AND(F272=0,O272=0),"Zero-vote",IF(AND(F272=O272,G272=P272),"OK",IF(AND(F272=0,O272&gt;0,COUNTIFS(Votes!$A:$A,J272,Votes!$B:$B,K272,Votes!$C:$C,D272)=0),"Forfeited","Mismatch")))))</f>
        <v>OK</v>
      </c>
      <c r="R272" s="6" t="n">
        <f aca="false">MAX(IF(L272&lt;&gt;"",COUNTIF($L:$L,L272),0),COUNTIFS($A:$A,A272,$B:$B,B272))</f>
        <v>1</v>
      </c>
      <c r="S272" s="6" t="str">
        <f aca="false">IF(R272&gt;1,COUNTIF($R$2:R272,"&gt;1"),"")</f>
        <v/>
      </c>
      <c r="T272" s="6" t="str">
        <f aca="false">IF(L272="","",J272&amp;"|"&amp;K272&amp;"|"&amp;L272)</f>
        <v>3|6|spotify:track:0Z5rLOv4Mqc4hKZ1dPjODv</v>
      </c>
      <c r="U272" s="6" t="str">
        <f aca="false">IF(C272="","",IFERROR(INDEX(Lists!$F:$F,MATCH(C272,Lists!$E:$E,0)),"Unmapped"))</f>
        <v>R&amp;B/Soul</v>
      </c>
    </row>
    <row r="273" customFormat="false" ht="15" hidden="false" customHeight="false" outlineLevel="0" collapsed="false">
      <c r="A273" s="5" t="s">
        <v>909</v>
      </c>
      <c r="B273" s="5" t="s">
        <v>910</v>
      </c>
      <c r="C273" s="5" t="s">
        <v>132</v>
      </c>
      <c r="D273" s="5" t="s">
        <v>719</v>
      </c>
      <c r="E273" s="5" t="s">
        <v>892</v>
      </c>
      <c r="F273" s="5" t="n">
        <v>10</v>
      </c>
      <c r="G273" s="5" t="n">
        <v>7</v>
      </c>
      <c r="H273" s="6" t="str">
        <f aca="false">IF(N273="","",N273&amp;IF(AND(MOD(N273,100)&gt;=11,MOD(N273,100)&lt;=13),"th",CHOOSE(MIN(5,MOD(N273,10)+1),"th","st","nd","rd","th")))</f>
        <v>7th</v>
      </c>
      <c r="I273" s="5" t="s">
        <v>687</v>
      </c>
      <c r="J273" s="6" t="n">
        <f aca="false">IFERROR(INDEX(Rounds!$A:$A,MATCH(I273,Rounds!$B:$B,0)),"ADD LEAGUE TO ROUNDS")</f>
        <v>3</v>
      </c>
      <c r="K273" s="6" t="n">
        <f aca="false">IFERROR(VALUE(LEFT(E273,FIND(" - ",E273)-1)),"")</f>
        <v>6</v>
      </c>
      <c r="L273" s="5" t="s">
        <v>911</v>
      </c>
      <c r="N273" s="6" t="n">
        <f aca="false">IF(F273="","",1+COUNTIFS($J:$J,J273,$K:$K,K273,$F:$F,"&gt;"&amp;F273)+COUNTIFS($J:$J,J273,$K:$K,K273,$F:$F,F273,$G:$G,"&gt;"&amp;G273))</f>
        <v>7</v>
      </c>
      <c r="O273" s="6" t="n">
        <f aca="false">IF(L273="","",SUMIFS(Votes!$E:$E,Votes!$A:$A,J273,Votes!$B:$B,K273,Votes!$D:$D,L273))</f>
        <v>10</v>
      </c>
      <c r="P273" s="6" t="n">
        <f aca="false">IF(L273="","",COUNTIFS(Votes!$A:$A,J273,Votes!$B:$B,K273,Votes!$D:$D,L273))</f>
        <v>7</v>
      </c>
      <c r="Q273" s="7" t="str">
        <f aca="false">IF(F273="","Unscored",IF(O273="","No URI",IF(AND(F273=0,O273=0),"Zero-vote",IF(AND(F273=O273,G273=P273),"OK",IF(AND(F273=0,O273&gt;0,COUNTIFS(Votes!$A:$A,J273,Votes!$B:$B,K273,Votes!$C:$C,D273)=0),"Forfeited","Mismatch")))))</f>
        <v>OK</v>
      </c>
      <c r="R273" s="6" t="n">
        <f aca="false">MAX(IF(L273&lt;&gt;"",COUNTIF($L:$L,L273),0),COUNTIFS($A:$A,A273,$B:$B,B273))</f>
        <v>1</v>
      </c>
      <c r="S273" s="6" t="str">
        <f aca="false">IF(R273&gt;1,COUNTIF($R$2:R273,"&gt;1"),"")</f>
        <v/>
      </c>
      <c r="T273" s="6" t="str">
        <f aca="false">IF(L273="","",J273&amp;"|"&amp;K273&amp;"|"&amp;L273)</f>
        <v>3|6|spotify:track:6uW03WHG3qv2FzxPIW6SUP</v>
      </c>
      <c r="U273" s="6" t="str">
        <f aca="false">IF(C273="","",IFERROR(INDEX(Lists!$F:$F,MATCH(C273,Lists!$E:$E,0)),"Unmapped"))</f>
        <v>Soundtrack/Musical</v>
      </c>
    </row>
    <row r="274" customFormat="false" ht="15" hidden="false" customHeight="false" outlineLevel="0" collapsed="false">
      <c r="A274" s="5" t="s">
        <v>912</v>
      </c>
      <c r="B274" s="5" t="s">
        <v>913</v>
      </c>
      <c r="C274" s="5" t="s">
        <v>132</v>
      </c>
      <c r="D274" s="5" t="s">
        <v>637</v>
      </c>
      <c r="E274" s="5" t="s">
        <v>892</v>
      </c>
      <c r="F274" s="5" t="n">
        <v>9</v>
      </c>
      <c r="G274" s="5" t="n">
        <v>7</v>
      </c>
      <c r="H274" s="6" t="str">
        <f aca="false">IF(N274="","",N274&amp;IF(AND(MOD(N274,100)&gt;=11,MOD(N274,100)&lt;=13),"th",CHOOSE(MIN(5,MOD(N274,10)+1),"th","st","nd","rd","th")))</f>
        <v>8th</v>
      </c>
      <c r="I274" s="5" t="s">
        <v>687</v>
      </c>
      <c r="J274" s="6" t="n">
        <f aca="false">IFERROR(INDEX(Rounds!$A:$A,MATCH(I274,Rounds!$B:$B,0)),"ADD LEAGUE TO ROUNDS")</f>
        <v>3</v>
      </c>
      <c r="K274" s="6" t="n">
        <f aca="false">IFERROR(VALUE(LEFT(E274,FIND(" - ",E274)-1)),"")</f>
        <v>6</v>
      </c>
      <c r="L274" s="5" t="s">
        <v>914</v>
      </c>
      <c r="N274" s="6" t="n">
        <f aca="false">IF(F274="","",1+COUNTIFS($J:$J,J274,$K:$K,K274,$F:$F,"&gt;"&amp;F274)+COUNTIFS($J:$J,J274,$K:$K,K274,$F:$F,F274,$G:$G,"&gt;"&amp;G274))</f>
        <v>8</v>
      </c>
      <c r="O274" s="6" t="n">
        <f aca="false">IF(L274="","",SUMIFS(Votes!$E:$E,Votes!$A:$A,J274,Votes!$B:$B,K274,Votes!$D:$D,L274))</f>
        <v>9</v>
      </c>
      <c r="P274" s="6" t="n">
        <f aca="false">IF(L274="","",COUNTIFS(Votes!$A:$A,J274,Votes!$B:$B,K274,Votes!$D:$D,L274))</f>
        <v>7</v>
      </c>
      <c r="Q274" s="7" t="str">
        <f aca="false">IF(F274="","Unscored",IF(O274="","No URI",IF(AND(F274=0,O274=0),"Zero-vote",IF(AND(F274=O274,G274=P274),"OK",IF(AND(F274=0,O274&gt;0,COUNTIFS(Votes!$A:$A,J274,Votes!$B:$B,K274,Votes!$C:$C,D274)=0),"Forfeited","Mismatch")))))</f>
        <v>OK</v>
      </c>
      <c r="R274" s="6" t="n">
        <f aca="false">MAX(IF(L274&lt;&gt;"",COUNTIF($L:$L,L274),0),COUNTIFS($A:$A,A274,$B:$B,B274))</f>
        <v>1</v>
      </c>
      <c r="S274" s="6" t="str">
        <f aca="false">IF(R274&gt;1,COUNTIF($R$2:R274,"&gt;1"),"")</f>
        <v/>
      </c>
      <c r="T274" s="6" t="str">
        <f aca="false">IF(L274="","",J274&amp;"|"&amp;K274&amp;"|"&amp;L274)</f>
        <v>3|6|spotify:track:4LwrgltRSrddxeyhIPSoqa</v>
      </c>
      <c r="U274" s="6" t="str">
        <f aca="false">IF(C274="","",IFERROR(INDEX(Lists!$F:$F,MATCH(C274,Lists!$E:$E,0)),"Unmapped"))</f>
        <v>Soundtrack/Musical</v>
      </c>
    </row>
    <row r="275" customFormat="false" ht="15" hidden="false" customHeight="false" outlineLevel="0" collapsed="false">
      <c r="A275" s="5" t="s">
        <v>915</v>
      </c>
      <c r="B275" s="5" t="s">
        <v>916</v>
      </c>
      <c r="C275" s="5" t="s">
        <v>132</v>
      </c>
      <c r="D275" s="5" t="s">
        <v>395</v>
      </c>
      <c r="E275" s="5" t="s">
        <v>892</v>
      </c>
      <c r="F275" s="5" t="n">
        <v>8</v>
      </c>
      <c r="G275" s="5" t="n">
        <v>7</v>
      </c>
      <c r="H275" s="6" t="str">
        <f aca="false">IF(N275="","",N275&amp;IF(AND(MOD(N275,100)&gt;=11,MOD(N275,100)&lt;=13),"th",CHOOSE(MIN(5,MOD(N275,10)+1),"th","st","nd","rd","th")))</f>
        <v>9th</v>
      </c>
      <c r="I275" s="5" t="s">
        <v>687</v>
      </c>
      <c r="J275" s="6" t="n">
        <f aca="false">IFERROR(INDEX(Rounds!$A:$A,MATCH(I275,Rounds!$B:$B,0)),"ADD LEAGUE TO ROUNDS")</f>
        <v>3</v>
      </c>
      <c r="K275" s="6" t="n">
        <f aca="false">IFERROR(VALUE(LEFT(E275,FIND(" - ",E275)-1)),"")</f>
        <v>6</v>
      </c>
      <c r="L275" s="5" t="s">
        <v>917</v>
      </c>
      <c r="N275" s="6" t="n">
        <f aca="false">IF(F275="","",1+COUNTIFS($J:$J,J275,$K:$K,K275,$F:$F,"&gt;"&amp;F275)+COUNTIFS($J:$J,J275,$K:$K,K275,$F:$F,F275,$G:$G,"&gt;"&amp;G275))</f>
        <v>9</v>
      </c>
      <c r="O275" s="6" t="n">
        <f aca="false">IF(L275="","",SUMIFS(Votes!$E:$E,Votes!$A:$A,J275,Votes!$B:$B,K275,Votes!$D:$D,L275))</f>
        <v>8</v>
      </c>
      <c r="P275" s="6" t="n">
        <f aca="false">IF(L275="","",COUNTIFS(Votes!$A:$A,J275,Votes!$B:$B,K275,Votes!$D:$D,L275))</f>
        <v>7</v>
      </c>
      <c r="Q275" s="7" t="str">
        <f aca="false">IF(F275="","Unscored",IF(O275="","No URI",IF(AND(F275=0,O275=0),"Zero-vote",IF(AND(F275=O275,G275=P275),"OK",IF(AND(F275=0,O275&gt;0,COUNTIFS(Votes!$A:$A,J275,Votes!$B:$B,K275,Votes!$C:$C,D275)=0),"Forfeited","Mismatch")))))</f>
        <v>OK</v>
      </c>
      <c r="R275" s="6" t="n">
        <f aca="false">MAX(IF(L275&lt;&gt;"",COUNTIF($L:$L,L275),0),COUNTIFS($A:$A,A275,$B:$B,B275))</f>
        <v>1</v>
      </c>
      <c r="S275" s="6" t="str">
        <f aca="false">IF(R275&gt;1,COUNTIF($R$2:R275,"&gt;1"),"")</f>
        <v/>
      </c>
      <c r="T275" s="6" t="str">
        <f aca="false">IF(L275="","",J275&amp;"|"&amp;K275&amp;"|"&amp;L275)</f>
        <v>3|6|spotify:track:0Q4a3PdGEME9w8Jgqa0Gf3</v>
      </c>
      <c r="U275" s="6" t="str">
        <f aca="false">IF(C275="","",IFERROR(INDEX(Lists!$F:$F,MATCH(C275,Lists!$E:$E,0)),"Unmapped"))</f>
        <v>Soundtrack/Musical</v>
      </c>
    </row>
    <row r="276" customFormat="false" ht="15" hidden="false" customHeight="false" outlineLevel="0" collapsed="false">
      <c r="A276" s="5" t="s">
        <v>918</v>
      </c>
      <c r="B276" s="5" t="s">
        <v>919</v>
      </c>
      <c r="C276" s="5" t="s">
        <v>132</v>
      </c>
      <c r="D276" s="5" t="s">
        <v>97</v>
      </c>
      <c r="E276" s="5" t="s">
        <v>892</v>
      </c>
      <c r="F276" s="5" t="n">
        <v>8</v>
      </c>
      <c r="G276" s="5" t="n">
        <v>7</v>
      </c>
      <c r="H276" s="6" t="str">
        <f aca="false">IF(N276="","",N276&amp;IF(AND(MOD(N276,100)&gt;=11,MOD(N276,100)&lt;=13),"th",CHOOSE(MIN(5,MOD(N276,10)+1),"th","st","nd","rd","th")))</f>
        <v>9th</v>
      </c>
      <c r="I276" s="5" t="s">
        <v>687</v>
      </c>
      <c r="J276" s="6" t="n">
        <f aca="false">IFERROR(INDEX(Rounds!$A:$A,MATCH(I276,Rounds!$B:$B,0)),"ADD LEAGUE TO ROUNDS")</f>
        <v>3</v>
      </c>
      <c r="K276" s="6" t="n">
        <f aca="false">IFERROR(VALUE(LEFT(E276,FIND(" - ",E276)-1)),"")</f>
        <v>6</v>
      </c>
      <c r="L276" s="5" t="s">
        <v>920</v>
      </c>
      <c r="N276" s="6" t="n">
        <f aca="false">IF(F276="","",1+COUNTIFS($J:$J,J276,$K:$K,K276,$F:$F,"&gt;"&amp;F276)+COUNTIFS($J:$J,J276,$K:$K,K276,$F:$F,F276,$G:$G,"&gt;"&amp;G276))</f>
        <v>9</v>
      </c>
      <c r="O276" s="6" t="n">
        <f aca="false">IF(L276="","",SUMIFS(Votes!$E:$E,Votes!$A:$A,J276,Votes!$B:$B,K276,Votes!$D:$D,L276))</f>
        <v>8</v>
      </c>
      <c r="P276" s="6" t="n">
        <f aca="false">IF(L276="","",COUNTIFS(Votes!$A:$A,J276,Votes!$B:$B,K276,Votes!$D:$D,L276))</f>
        <v>7</v>
      </c>
      <c r="Q276" s="7" t="str">
        <f aca="false">IF(F276="","Unscored",IF(O276="","No URI",IF(AND(F276=0,O276=0),"Zero-vote",IF(AND(F276=O276,G276=P276),"OK",IF(AND(F276=0,O276&gt;0,COUNTIFS(Votes!$A:$A,J276,Votes!$B:$B,K276,Votes!$C:$C,D276)=0),"Forfeited","Mismatch")))))</f>
        <v>OK</v>
      </c>
      <c r="R276" s="6" t="n">
        <f aca="false">MAX(IF(L276&lt;&gt;"",COUNTIF($L:$L,L276),0),COUNTIFS($A:$A,A276,$B:$B,B276))</f>
        <v>1</v>
      </c>
      <c r="S276" s="6" t="str">
        <f aca="false">IF(R276&gt;1,COUNTIF($R$2:R276,"&gt;1"),"")</f>
        <v/>
      </c>
      <c r="T276" s="6" t="str">
        <f aca="false">IF(L276="","",J276&amp;"|"&amp;K276&amp;"|"&amp;L276)</f>
        <v>3|6|spotify:track:47Wo2LeGbzdZTdEFNRZXV0</v>
      </c>
      <c r="U276" s="6" t="str">
        <f aca="false">IF(C276="","",IFERROR(INDEX(Lists!$F:$F,MATCH(C276,Lists!$E:$E,0)),"Unmapped"))</f>
        <v>Soundtrack/Musical</v>
      </c>
    </row>
    <row r="277" customFormat="false" ht="15" hidden="false" customHeight="false" outlineLevel="0" collapsed="false">
      <c r="A277" s="5" t="s">
        <v>921</v>
      </c>
      <c r="B277" s="5" t="s">
        <v>922</v>
      </c>
      <c r="C277" s="5" t="s">
        <v>132</v>
      </c>
      <c r="D277" s="5" t="s">
        <v>119</v>
      </c>
      <c r="E277" s="5" t="s">
        <v>892</v>
      </c>
      <c r="F277" s="5" t="n">
        <v>8</v>
      </c>
      <c r="G277" s="5" t="n">
        <v>6</v>
      </c>
      <c r="H277" s="6" t="str">
        <f aca="false">IF(N277="","",N277&amp;IF(AND(MOD(N277,100)&gt;=11,MOD(N277,100)&lt;=13),"th",CHOOSE(MIN(5,MOD(N277,10)+1),"th","st","nd","rd","th")))</f>
        <v>11th</v>
      </c>
      <c r="I277" s="5" t="s">
        <v>687</v>
      </c>
      <c r="J277" s="6" t="n">
        <f aca="false">IFERROR(INDEX(Rounds!$A:$A,MATCH(I277,Rounds!$B:$B,0)),"ADD LEAGUE TO ROUNDS")</f>
        <v>3</v>
      </c>
      <c r="K277" s="6" t="n">
        <f aca="false">IFERROR(VALUE(LEFT(E277,FIND(" - ",E277)-1)),"")</f>
        <v>6</v>
      </c>
      <c r="L277" s="5" t="s">
        <v>923</v>
      </c>
      <c r="N277" s="6" t="n">
        <f aca="false">IF(F277="","",1+COUNTIFS($J:$J,J277,$K:$K,K277,$F:$F,"&gt;"&amp;F277)+COUNTIFS($J:$J,J277,$K:$K,K277,$F:$F,F277,$G:$G,"&gt;"&amp;G277))</f>
        <v>11</v>
      </c>
      <c r="O277" s="6" t="n">
        <f aca="false">IF(L277="","",SUMIFS(Votes!$E:$E,Votes!$A:$A,J277,Votes!$B:$B,K277,Votes!$D:$D,L277))</f>
        <v>8</v>
      </c>
      <c r="P277" s="6" t="n">
        <f aca="false">IF(L277="","",COUNTIFS(Votes!$A:$A,J277,Votes!$B:$B,K277,Votes!$D:$D,L277))</f>
        <v>6</v>
      </c>
      <c r="Q277" s="7" t="str">
        <f aca="false">IF(F277="","Unscored",IF(O277="","No URI",IF(AND(F277=0,O277=0),"Zero-vote",IF(AND(F277=O277,G277=P277),"OK",IF(AND(F277=0,O277&gt;0,COUNTIFS(Votes!$A:$A,J277,Votes!$B:$B,K277,Votes!$C:$C,D277)=0),"Forfeited","Mismatch")))))</f>
        <v>OK</v>
      </c>
      <c r="R277" s="6" t="n">
        <f aca="false">MAX(IF(L277&lt;&gt;"",COUNTIF($L:$L,L277),0),COUNTIFS($A:$A,A277,$B:$B,B277))</f>
        <v>1</v>
      </c>
      <c r="S277" s="6" t="str">
        <f aca="false">IF(R277&gt;1,COUNTIF($R$2:R277,"&gt;1"),"")</f>
        <v/>
      </c>
      <c r="T277" s="6" t="str">
        <f aca="false">IF(L277="","",J277&amp;"|"&amp;K277&amp;"|"&amp;L277)</f>
        <v>3|6|spotify:track:1RIYF8NDIIWBvJe4vhQr6y</v>
      </c>
      <c r="U277" s="6" t="str">
        <f aca="false">IF(C277="","",IFERROR(INDEX(Lists!$F:$F,MATCH(C277,Lists!$E:$E,0)),"Unmapped"))</f>
        <v>Soundtrack/Musical</v>
      </c>
    </row>
    <row r="278" customFormat="false" ht="15" hidden="false" customHeight="false" outlineLevel="0" collapsed="false">
      <c r="A278" s="5" t="s">
        <v>924</v>
      </c>
      <c r="B278" s="5" t="s">
        <v>925</v>
      </c>
      <c r="C278" s="5" t="s">
        <v>132</v>
      </c>
      <c r="D278" s="5" t="s">
        <v>484</v>
      </c>
      <c r="E278" s="5" t="s">
        <v>892</v>
      </c>
      <c r="F278" s="5" t="n">
        <v>7</v>
      </c>
      <c r="G278" s="5" t="n">
        <v>7</v>
      </c>
      <c r="H278" s="6" t="str">
        <f aca="false">IF(N278="","",N278&amp;IF(AND(MOD(N278,100)&gt;=11,MOD(N278,100)&lt;=13),"th",CHOOSE(MIN(5,MOD(N278,10)+1),"th","st","nd","rd","th")))</f>
        <v>12th</v>
      </c>
      <c r="I278" s="5" t="s">
        <v>687</v>
      </c>
      <c r="J278" s="6" t="n">
        <f aca="false">IFERROR(INDEX(Rounds!$A:$A,MATCH(I278,Rounds!$B:$B,0)),"ADD LEAGUE TO ROUNDS")</f>
        <v>3</v>
      </c>
      <c r="K278" s="6" t="n">
        <f aca="false">IFERROR(VALUE(LEFT(E278,FIND(" - ",E278)-1)),"")</f>
        <v>6</v>
      </c>
      <c r="L278" s="5" t="s">
        <v>926</v>
      </c>
      <c r="N278" s="6" t="n">
        <f aca="false">IF(F278="","",1+COUNTIFS($J:$J,J278,$K:$K,K278,$F:$F,"&gt;"&amp;F278)+COUNTIFS($J:$J,J278,$K:$K,K278,$F:$F,F278,$G:$G,"&gt;"&amp;G278))</f>
        <v>12</v>
      </c>
      <c r="O278" s="6" t="n">
        <f aca="false">IF(L278="","",SUMIFS(Votes!$E:$E,Votes!$A:$A,J278,Votes!$B:$B,K278,Votes!$D:$D,L278))</f>
        <v>7</v>
      </c>
      <c r="P278" s="6" t="n">
        <f aca="false">IF(L278="","",COUNTIFS(Votes!$A:$A,J278,Votes!$B:$B,K278,Votes!$D:$D,L278))</f>
        <v>7</v>
      </c>
      <c r="Q278" s="7" t="str">
        <f aca="false">IF(F278="","Unscored",IF(O278="","No URI",IF(AND(F278=0,O278=0),"Zero-vote",IF(AND(F278=O278,G278=P278),"OK",IF(AND(F278=0,O278&gt;0,COUNTIFS(Votes!$A:$A,J278,Votes!$B:$B,K278,Votes!$C:$C,D278)=0),"Forfeited","Mismatch")))))</f>
        <v>OK</v>
      </c>
      <c r="R278" s="6" t="n">
        <f aca="false">MAX(IF(L278&lt;&gt;"",COUNTIF($L:$L,L278),0),COUNTIFS($A:$A,A278,$B:$B,B278))</f>
        <v>1</v>
      </c>
      <c r="S278" s="6" t="str">
        <f aca="false">IF(R278&gt;1,COUNTIF($R$2:R278,"&gt;1"),"")</f>
        <v/>
      </c>
      <c r="T278" s="6" t="str">
        <f aca="false">IF(L278="","",J278&amp;"|"&amp;K278&amp;"|"&amp;L278)</f>
        <v>3|6|spotify:track:2hwh9Ezfef2NoBjiKyN8Sa</v>
      </c>
      <c r="U278" s="6" t="str">
        <f aca="false">IF(C278="","",IFERROR(INDEX(Lists!$F:$F,MATCH(C278,Lists!$E:$E,0)),"Unmapped"))</f>
        <v>Soundtrack/Musical</v>
      </c>
    </row>
    <row r="279" customFormat="false" ht="15" hidden="false" customHeight="false" outlineLevel="0" collapsed="false">
      <c r="A279" s="5" t="s">
        <v>927</v>
      </c>
      <c r="B279" s="5" t="s">
        <v>928</v>
      </c>
      <c r="C279" s="5" t="s">
        <v>132</v>
      </c>
      <c r="D279" s="5" t="s">
        <v>85</v>
      </c>
      <c r="E279" s="5" t="s">
        <v>892</v>
      </c>
      <c r="F279" s="5" t="n">
        <v>7</v>
      </c>
      <c r="G279" s="5" t="n">
        <v>7</v>
      </c>
      <c r="H279" s="6" t="str">
        <f aca="false">IF(N279="","",N279&amp;IF(AND(MOD(N279,100)&gt;=11,MOD(N279,100)&lt;=13),"th",CHOOSE(MIN(5,MOD(N279,10)+1),"th","st","nd","rd","th")))</f>
        <v>12th</v>
      </c>
      <c r="I279" s="5" t="s">
        <v>687</v>
      </c>
      <c r="J279" s="6" t="n">
        <f aca="false">IFERROR(INDEX(Rounds!$A:$A,MATCH(I279,Rounds!$B:$B,0)),"ADD LEAGUE TO ROUNDS")</f>
        <v>3</v>
      </c>
      <c r="K279" s="6" t="n">
        <f aca="false">IFERROR(VALUE(LEFT(E279,FIND(" - ",E279)-1)),"")</f>
        <v>6</v>
      </c>
      <c r="L279" s="5" t="s">
        <v>929</v>
      </c>
      <c r="N279" s="6" t="n">
        <f aca="false">IF(F279="","",1+COUNTIFS($J:$J,J279,$K:$K,K279,$F:$F,"&gt;"&amp;F279)+COUNTIFS($J:$J,J279,$K:$K,K279,$F:$F,F279,$G:$G,"&gt;"&amp;G279))</f>
        <v>12</v>
      </c>
      <c r="O279" s="6" t="n">
        <f aca="false">IF(L279="","",SUMIFS(Votes!$E:$E,Votes!$A:$A,J279,Votes!$B:$B,K279,Votes!$D:$D,L279))</f>
        <v>7</v>
      </c>
      <c r="P279" s="6" t="n">
        <f aca="false">IF(L279="","",COUNTIFS(Votes!$A:$A,J279,Votes!$B:$B,K279,Votes!$D:$D,L279))</f>
        <v>7</v>
      </c>
      <c r="Q279" s="7" t="str">
        <f aca="false">IF(F279="","Unscored",IF(O279="","No URI",IF(AND(F279=0,O279=0),"Zero-vote",IF(AND(F279=O279,G279=P279),"OK",IF(AND(F279=0,O279&gt;0,COUNTIFS(Votes!$A:$A,J279,Votes!$B:$B,K279,Votes!$C:$C,D279)=0),"Forfeited","Mismatch")))))</f>
        <v>OK</v>
      </c>
      <c r="R279" s="6" t="n">
        <f aca="false">MAX(IF(L279&lt;&gt;"",COUNTIF($L:$L,L279),0),COUNTIFS($A:$A,A279,$B:$B,B279))</f>
        <v>1</v>
      </c>
      <c r="S279" s="6" t="str">
        <f aca="false">IF(R279&gt;1,COUNTIF($R$2:R279,"&gt;1"),"")</f>
        <v/>
      </c>
      <c r="T279" s="6" t="str">
        <f aca="false">IF(L279="","",J279&amp;"|"&amp;K279&amp;"|"&amp;L279)</f>
        <v>3|6|spotify:track:6NqfslFfCCOyBQ0Xw8kN8E</v>
      </c>
      <c r="U279" s="6" t="str">
        <f aca="false">IF(C279="","",IFERROR(INDEX(Lists!$F:$F,MATCH(C279,Lists!$E:$E,0)),"Unmapped"))</f>
        <v>Soundtrack/Musical</v>
      </c>
    </row>
    <row r="280" customFormat="false" ht="15" hidden="false" customHeight="false" outlineLevel="0" collapsed="false">
      <c r="A280" s="5" t="s">
        <v>900</v>
      </c>
      <c r="B280" s="5" t="s">
        <v>535</v>
      </c>
      <c r="C280" s="5" t="s">
        <v>132</v>
      </c>
      <c r="D280" s="5" t="s">
        <v>375</v>
      </c>
      <c r="E280" s="5" t="s">
        <v>892</v>
      </c>
      <c r="F280" s="5" t="n">
        <v>3</v>
      </c>
      <c r="G280" s="5" t="n">
        <v>3</v>
      </c>
      <c r="H280" s="6" t="str">
        <f aca="false">IF(N280="","",N280&amp;IF(AND(MOD(N280,100)&gt;=11,MOD(N280,100)&lt;=13),"th",CHOOSE(MIN(5,MOD(N280,10)+1),"th","st","nd","rd","th")))</f>
        <v>14th</v>
      </c>
      <c r="I280" s="5" t="s">
        <v>687</v>
      </c>
      <c r="J280" s="6" t="n">
        <f aca="false">IFERROR(INDEX(Rounds!$A:$A,MATCH(I280,Rounds!$B:$B,0)),"ADD LEAGUE TO ROUNDS")</f>
        <v>3</v>
      </c>
      <c r="K280" s="6" t="n">
        <f aca="false">IFERROR(VALUE(LEFT(E280,FIND(" - ",E280)-1)),"")</f>
        <v>6</v>
      </c>
      <c r="L280" s="5" t="s">
        <v>930</v>
      </c>
      <c r="N280" s="6" t="n">
        <f aca="false">IF(F280="","",1+COUNTIFS($J:$J,J280,$K:$K,K280,$F:$F,"&gt;"&amp;F280)+COUNTIFS($J:$J,J280,$K:$K,K280,$F:$F,F280,$G:$G,"&gt;"&amp;G280))</f>
        <v>14</v>
      </c>
      <c r="O280" s="6" t="n">
        <f aca="false">IF(L280="","",SUMIFS(Votes!$E:$E,Votes!$A:$A,J280,Votes!$B:$B,K280,Votes!$D:$D,L280))</f>
        <v>3</v>
      </c>
      <c r="P280" s="6" t="n">
        <f aca="false">IF(L280="","",COUNTIFS(Votes!$A:$A,J280,Votes!$B:$B,K280,Votes!$D:$D,L280))</f>
        <v>3</v>
      </c>
      <c r="Q280" s="7" t="str">
        <f aca="false">IF(F280="","Unscored",IF(O280="","No URI",IF(AND(F280=0,O280=0),"Zero-vote",IF(AND(F280=O280,G280=P280),"OK",IF(AND(F280=0,O280&gt;0,COUNTIFS(Votes!$A:$A,J280,Votes!$B:$B,K280,Votes!$C:$C,D280)=0),"Forfeited","Mismatch")))))</f>
        <v>OK</v>
      </c>
      <c r="R280" s="6" t="n">
        <f aca="false">MAX(IF(L280&lt;&gt;"",COUNTIF($L:$L,L280),0),COUNTIFS($A:$A,A280,$B:$B,B280))</f>
        <v>1</v>
      </c>
      <c r="S280" s="6" t="str">
        <f aca="false">IF(R280&gt;1,COUNTIF($R$2:R280,"&gt;1"),"")</f>
        <v/>
      </c>
      <c r="T280" s="6" t="str">
        <f aca="false">IF(L280="","",J280&amp;"|"&amp;K280&amp;"|"&amp;L280)</f>
        <v>3|6|spotify:track:5vKkaZHPzuqQheytfKuXzp</v>
      </c>
      <c r="U280" s="6" t="str">
        <f aca="false">IF(C280="","",IFERROR(INDEX(Lists!$F:$F,MATCH(C280,Lists!$E:$E,0)),"Unmapped"))</f>
        <v>Soundtrack/Musical</v>
      </c>
    </row>
    <row r="281" customFormat="false" ht="15" hidden="false" customHeight="false" outlineLevel="0" collapsed="false">
      <c r="A281" s="5" t="s">
        <v>931</v>
      </c>
      <c r="B281" s="5" t="s">
        <v>932</v>
      </c>
      <c r="C281" s="5" t="s">
        <v>132</v>
      </c>
      <c r="D281" s="5" t="s">
        <v>101</v>
      </c>
      <c r="E281" s="5" t="s">
        <v>892</v>
      </c>
      <c r="F281" s="5" t="n">
        <v>1</v>
      </c>
      <c r="G281" s="5" t="n">
        <v>1</v>
      </c>
      <c r="H281" s="6" t="str">
        <f aca="false">IF(N281="","",N281&amp;IF(AND(MOD(N281,100)&gt;=11,MOD(N281,100)&lt;=13),"th",CHOOSE(MIN(5,MOD(N281,10)+1),"th","st","nd","rd","th")))</f>
        <v>15th</v>
      </c>
      <c r="I281" s="5" t="s">
        <v>687</v>
      </c>
      <c r="J281" s="6" t="n">
        <f aca="false">IFERROR(INDEX(Rounds!$A:$A,MATCH(I281,Rounds!$B:$B,0)),"ADD LEAGUE TO ROUNDS")</f>
        <v>3</v>
      </c>
      <c r="K281" s="6" t="n">
        <f aca="false">IFERROR(VALUE(LEFT(E281,FIND(" - ",E281)-1)),"")</f>
        <v>6</v>
      </c>
      <c r="L281" s="5" t="s">
        <v>933</v>
      </c>
      <c r="N281" s="6" t="n">
        <f aca="false">IF(F281="","",1+COUNTIFS($J:$J,J281,$K:$K,K281,$F:$F,"&gt;"&amp;F281)+COUNTIFS($J:$J,J281,$K:$K,K281,$F:$F,F281,$G:$G,"&gt;"&amp;G281))</f>
        <v>15</v>
      </c>
      <c r="O281" s="6" t="n">
        <f aca="false">IF(L281="","",SUMIFS(Votes!$E:$E,Votes!$A:$A,J281,Votes!$B:$B,K281,Votes!$D:$D,L281))</f>
        <v>1</v>
      </c>
      <c r="P281" s="6" t="n">
        <f aca="false">IF(L281="","",COUNTIFS(Votes!$A:$A,J281,Votes!$B:$B,K281,Votes!$D:$D,L281))</f>
        <v>1</v>
      </c>
      <c r="Q281" s="7" t="str">
        <f aca="false">IF(F281="","Unscored",IF(O281="","No URI",IF(AND(F281=0,O281=0),"Zero-vote",IF(AND(F281=O281,G281=P281),"OK",IF(AND(F281=0,O281&gt;0,COUNTIFS(Votes!$A:$A,J281,Votes!$B:$B,K281,Votes!$C:$C,D281)=0),"Forfeited","Mismatch")))))</f>
        <v>OK</v>
      </c>
      <c r="R281" s="6" t="n">
        <f aca="false">MAX(IF(L281&lt;&gt;"",COUNTIF($L:$L,L281),0),COUNTIFS($A:$A,A281,$B:$B,B281))</f>
        <v>1</v>
      </c>
      <c r="S281" s="6" t="str">
        <f aca="false">IF(R281&gt;1,COUNTIF($R$2:R281,"&gt;1"),"")</f>
        <v/>
      </c>
      <c r="T281" s="6" t="str">
        <f aca="false">IF(L281="","",J281&amp;"|"&amp;K281&amp;"|"&amp;L281)</f>
        <v>3|6|spotify:track:3xDVJcvcKedshWlT3qGSHk</v>
      </c>
      <c r="U281" s="6" t="str">
        <f aca="false">IF(C281="","",IFERROR(INDEX(Lists!$F:$F,MATCH(C281,Lists!$E:$E,0)),"Unmapped"))</f>
        <v>Soundtrack/Musical</v>
      </c>
    </row>
    <row r="282" customFormat="false" ht="15" hidden="false" customHeight="false" outlineLevel="0" collapsed="false">
      <c r="A282" s="5" t="s">
        <v>934</v>
      </c>
      <c r="B282" s="5" t="s">
        <v>935</v>
      </c>
      <c r="C282" s="5" t="s">
        <v>127</v>
      </c>
      <c r="D282" s="5" t="s">
        <v>375</v>
      </c>
      <c r="E282" s="5" t="s">
        <v>936</v>
      </c>
      <c r="F282" s="5" t="n">
        <v>14</v>
      </c>
      <c r="G282" s="5" t="n">
        <v>9</v>
      </c>
      <c r="H282" s="6" t="str">
        <f aca="false">IF(N282="","",N282&amp;IF(AND(MOD(N282,100)&gt;=11,MOD(N282,100)&lt;=13),"th",CHOOSE(MIN(5,MOD(N282,10)+1),"th","st","nd","rd","th")))</f>
        <v>1st</v>
      </c>
      <c r="I282" s="5" t="s">
        <v>687</v>
      </c>
      <c r="J282" s="6" t="n">
        <f aca="false">IFERROR(INDEX(Rounds!$A:$A,MATCH(I282,Rounds!$B:$B,0)),"ADD LEAGUE TO ROUNDS")</f>
        <v>3</v>
      </c>
      <c r="K282" s="6" t="n">
        <f aca="false">IFERROR(VALUE(LEFT(E282,FIND(" - ",E282)-1)),"")</f>
        <v>7</v>
      </c>
      <c r="L282" s="5" t="s">
        <v>937</v>
      </c>
      <c r="N282" s="6" t="n">
        <f aca="false">IF(F282="","",1+COUNTIFS($J:$J,J282,$K:$K,K282,$F:$F,"&gt;"&amp;F282)+COUNTIFS($J:$J,J282,$K:$K,K282,$F:$F,F282,$G:$G,"&gt;"&amp;G282))</f>
        <v>1</v>
      </c>
      <c r="O282" s="6" t="n">
        <f aca="false">IF(L282="","",SUMIFS(Votes!$E:$E,Votes!$A:$A,J282,Votes!$B:$B,K282,Votes!$D:$D,L282))</f>
        <v>14</v>
      </c>
      <c r="P282" s="6" t="n">
        <f aca="false">IF(L282="","",COUNTIFS(Votes!$A:$A,J282,Votes!$B:$B,K282,Votes!$D:$D,L282))</f>
        <v>9</v>
      </c>
      <c r="Q282" s="7" t="str">
        <f aca="false">IF(F282="","Unscored",IF(O282="","No URI",IF(AND(F282=0,O282=0),"Zero-vote",IF(AND(F282=O282,G282=P282),"OK",IF(AND(F282=0,O282&gt;0,COUNTIFS(Votes!$A:$A,J282,Votes!$B:$B,K282,Votes!$C:$C,D282)=0),"Forfeited","Mismatch")))))</f>
        <v>OK</v>
      </c>
      <c r="R282" s="6" t="n">
        <f aca="false">MAX(IF(L282&lt;&gt;"",COUNTIF($L:$L,L282),0),COUNTIFS($A:$A,A282,$B:$B,B282))</f>
        <v>1</v>
      </c>
      <c r="S282" s="6" t="str">
        <f aca="false">IF(R282&gt;1,COUNTIF($R$2:R282,"&gt;1"),"")</f>
        <v/>
      </c>
      <c r="T282" s="6" t="str">
        <f aca="false">IF(L282="","",J282&amp;"|"&amp;K282&amp;"|"&amp;L282)</f>
        <v>3|7|spotify:track:2YkIDPL5lGhRhomCq4S2RO</v>
      </c>
      <c r="U282" s="6" t="str">
        <f aca="false">IF(C282="","",IFERROR(INDEX(Lists!$F:$F,MATCH(C282,Lists!$E:$E,0)),"Unmapped"))</f>
        <v>Jazz/Vocal</v>
      </c>
    </row>
    <row r="283" customFormat="false" ht="15" hidden="false" customHeight="false" outlineLevel="0" collapsed="false">
      <c r="A283" s="5" t="s">
        <v>938</v>
      </c>
      <c r="B283" s="5" t="s">
        <v>939</v>
      </c>
      <c r="C283" s="5" t="s">
        <v>91</v>
      </c>
      <c r="D283" s="5" t="s">
        <v>705</v>
      </c>
      <c r="E283" s="5" t="s">
        <v>936</v>
      </c>
      <c r="F283" s="5" t="n">
        <v>13</v>
      </c>
      <c r="G283" s="5" t="n">
        <v>9</v>
      </c>
      <c r="H283" s="6" t="str">
        <f aca="false">IF(N283="","",N283&amp;IF(AND(MOD(N283,100)&gt;=11,MOD(N283,100)&lt;=13),"th",CHOOSE(MIN(5,MOD(N283,10)+1),"th","st","nd","rd","th")))</f>
        <v>2nd</v>
      </c>
      <c r="I283" s="5" t="s">
        <v>687</v>
      </c>
      <c r="J283" s="6" t="n">
        <f aca="false">IFERROR(INDEX(Rounds!$A:$A,MATCH(I283,Rounds!$B:$B,0)),"ADD LEAGUE TO ROUNDS")</f>
        <v>3</v>
      </c>
      <c r="K283" s="6" t="n">
        <f aca="false">IFERROR(VALUE(LEFT(E283,FIND(" - ",E283)-1)),"")</f>
        <v>7</v>
      </c>
      <c r="L283" s="5" t="s">
        <v>940</v>
      </c>
      <c r="N283" s="6" t="n">
        <f aca="false">IF(F283="","",1+COUNTIFS($J:$J,J283,$K:$K,K283,$F:$F,"&gt;"&amp;F283)+COUNTIFS($J:$J,J283,$K:$K,K283,$F:$F,F283,$G:$G,"&gt;"&amp;G283))</f>
        <v>2</v>
      </c>
      <c r="O283" s="6" t="n">
        <f aca="false">IF(L283="","",SUMIFS(Votes!$E:$E,Votes!$A:$A,J283,Votes!$B:$B,K283,Votes!$D:$D,L283))</f>
        <v>13</v>
      </c>
      <c r="P283" s="6" t="n">
        <f aca="false">IF(L283="","",COUNTIFS(Votes!$A:$A,J283,Votes!$B:$B,K283,Votes!$D:$D,L283))</f>
        <v>9</v>
      </c>
      <c r="Q283" s="7" t="str">
        <f aca="false">IF(F283="","Unscored",IF(O283="","No URI",IF(AND(F283=0,O283=0),"Zero-vote",IF(AND(F283=O283,G283=P283),"OK",IF(AND(F283=0,O283&gt;0,COUNTIFS(Votes!$A:$A,J283,Votes!$B:$B,K283,Votes!$C:$C,D283)=0),"Forfeited","Mismatch")))))</f>
        <v>OK</v>
      </c>
      <c r="R283" s="6" t="n">
        <f aca="false">MAX(IF(L283&lt;&gt;"",COUNTIF($L:$L,L283),0),COUNTIFS($A:$A,A283,$B:$B,B283))</f>
        <v>1</v>
      </c>
      <c r="S283" s="6" t="str">
        <f aca="false">IF(R283&gt;1,COUNTIF($R$2:R283,"&gt;1"),"")</f>
        <v/>
      </c>
      <c r="T283" s="6" t="str">
        <f aca="false">IF(L283="","",J283&amp;"|"&amp;K283&amp;"|"&amp;L283)</f>
        <v>3|7|spotify:track:3I7IGPFe0DoNXZI9JDYa5P</v>
      </c>
      <c r="U283" s="6" t="str">
        <f aca="false">IF(C283="","",IFERROR(INDEX(Lists!$F:$F,MATCH(C283,Lists!$E:$E,0)),"Unmapped"))</f>
        <v>Rock</v>
      </c>
    </row>
    <row r="284" customFormat="false" ht="15" hidden="false" customHeight="false" outlineLevel="0" collapsed="false">
      <c r="A284" s="5" t="s">
        <v>941</v>
      </c>
      <c r="B284" s="5" t="s">
        <v>942</v>
      </c>
      <c r="C284" s="5" t="s">
        <v>84</v>
      </c>
      <c r="D284" s="5" t="s">
        <v>92</v>
      </c>
      <c r="E284" s="5" t="s">
        <v>936</v>
      </c>
      <c r="F284" s="5" t="n">
        <v>12</v>
      </c>
      <c r="G284" s="5" t="n">
        <v>9</v>
      </c>
      <c r="H284" s="6" t="str">
        <f aca="false">IF(N284="","",N284&amp;IF(AND(MOD(N284,100)&gt;=11,MOD(N284,100)&lt;=13),"th",CHOOSE(MIN(5,MOD(N284,10)+1),"th","st","nd","rd","th")))</f>
        <v>3rd</v>
      </c>
      <c r="I284" s="5" t="s">
        <v>687</v>
      </c>
      <c r="J284" s="6" t="n">
        <f aca="false">IFERROR(INDEX(Rounds!$A:$A,MATCH(I284,Rounds!$B:$B,0)),"ADD LEAGUE TO ROUNDS")</f>
        <v>3</v>
      </c>
      <c r="K284" s="6" t="n">
        <f aca="false">IFERROR(VALUE(LEFT(E284,FIND(" - ",E284)-1)),"")</f>
        <v>7</v>
      </c>
      <c r="L284" s="5" t="s">
        <v>943</v>
      </c>
      <c r="N284" s="6" t="n">
        <f aca="false">IF(F284="","",1+COUNTIFS($J:$J,J284,$K:$K,K284,$F:$F,"&gt;"&amp;F284)+COUNTIFS($J:$J,J284,$K:$K,K284,$F:$F,F284,$G:$G,"&gt;"&amp;G284))</f>
        <v>3</v>
      </c>
      <c r="O284" s="6" t="n">
        <f aca="false">IF(L284="","",SUMIFS(Votes!$E:$E,Votes!$A:$A,J284,Votes!$B:$B,K284,Votes!$D:$D,L284))</f>
        <v>12</v>
      </c>
      <c r="P284" s="6" t="n">
        <f aca="false">IF(L284="","",COUNTIFS(Votes!$A:$A,J284,Votes!$B:$B,K284,Votes!$D:$D,L284))</f>
        <v>9</v>
      </c>
      <c r="Q284" s="7" t="str">
        <f aca="false">IF(F284="","Unscored",IF(O284="","No URI",IF(AND(F284=0,O284=0),"Zero-vote",IF(AND(F284=O284,G284=P284),"OK",IF(AND(F284=0,O284&gt;0,COUNTIFS(Votes!$A:$A,J284,Votes!$B:$B,K284,Votes!$C:$C,D284)=0),"Forfeited","Mismatch")))))</f>
        <v>OK</v>
      </c>
      <c r="R284" s="6" t="n">
        <f aca="false">MAX(IF(L284&lt;&gt;"",COUNTIF($L:$L,L284),0),COUNTIFS($A:$A,A284,$B:$B,B284))</f>
        <v>1</v>
      </c>
      <c r="S284" s="6" t="str">
        <f aca="false">IF(R284&gt;1,COUNTIF($R$2:R284,"&gt;1"),"")</f>
        <v/>
      </c>
      <c r="T284" s="6" t="str">
        <f aca="false">IF(L284="","",J284&amp;"|"&amp;K284&amp;"|"&amp;L284)</f>
        <v>3|7|spotify:track:1qYKWcEOrh2tM8PlgIm8K1</v>
      </c>
      <c r="U284" s="6" t="str">
        <f aca="false">IF(C284="","",IFERROR(INDEX(Lists!$F:$F,MATCH(C284,Lists!$E:$E,0)),"Unmapped"))</f>
        <v>Pop</v>
      </c>
    </row>
    <row r="285" customFormat="false" ht="15" hidden="false" customHeight="false" outlineLevel="0" collapsed="false">
      <c r="A285" s="5" t="s">
        <v>944</v>
      </c>
      <c r="B285" s="5" t="s">
        <v>945</v>
      </c>
      <c r="C285" s="5" t="s">
        <v>96</v>
      </c>
      <c r="D285" s="5" t="s">
        <v>128</v>
      </c>
      <c r="E285" s="5" t="s">
        <v>936</v>
      </c>
      <c r="F285" s="5" t="n">
        <v>12</v>
      </c>
      <c r="G285" s="5" t="n">
        <v>7</v>
      </c>
      <c r="H285" s="6" t="str">
        <f aca="false">IF(N285="","",N285&amp;IF(AND(MOD(N285,100)&gt;=11,MOD(N285,100)&lt;=13),"th",CHOOSE(MIN(5,MOD(N285,10)+1),"th","st","nd","rd","th")))</f>
        <v>4th</v>
      </c>
      <c r="I285" s="5" t="s">
        <v>687</v>
      </c>
      <c r="J285" s="6" t="n">
        <f aca="false">IFERROR(INDEX(Rounds!$A:$A,MATCH(I285,Rounds!$B:$B,0)),"ADD LEAGUE TO ROUNDS")</f>
        <v>3</v>
      </c>
      <c r="K285" s="6" t="n">
        <f aca="false">IFERROR(VALUE(LEFT(E285,FIND(" - ",E285)-1)),"")</f>
        <v>7</v>
      </c>
      <c r="L285" s="5" t="s">
        <v>946</v>
      </c>
      <c r="N285" s="6" t="n">
        <f aca="false">IF(F285="","",1+COUNTIFS($J:$J,J285,$K:$K,K285,$F:$F,"&gt;"&amp;F285)+COUNTIFS($J:$J,J285,$K:$K,K285,$F:$F,F285,$G:$G,"&gt;"&amp;G285))</f>
        <v>4</v>
      </c>
      <c r="O285" s="6" t="n">
        <f aca="false">IF(L285="","",SUMIFS(Votes!$E:$E,Votes!$A:$A,J285,Votes!$B:$B,K285,Votes!$D:$D,L285))</f>
        <v>12</v>
      </c>
      <c r="P285" s="6" t="n">
        <f aca="false">IF(L285="","",COUNTIFS(Votes!$A:$A,J285,Votes!$B:$B,K285,Votes!$D:$D,L285))</f>
        <v>7</v>
      </c>
      <c r="Q285" s="7" t="str">
        <f aca="false">IF(F285="","Unscored",IF(O285="","No URI",IF(AND(F285=0,O285=0),"Zero-vote",IF(AND(F285=O285,G285=P285),"OK",IF(AND(F285=0,O285&gt;0,COUNTIFS(Votes!$A:$A,J285,Votes!$B:$B,K285,Votes!$C:$C,D285)=0),"Forfeited","Mismatch")))))</f>
        <v>OK</v>
      </c>
      <c r="R285" s="6" t="n">
        <f aca="false">MAX(IF(L285&lt;&gt;"",COUNTIF($L:$L,L285),0),COUNTIFS($A:$A,A285,$B:$B,B285))</f>
        <v>1</v>
      </c>
      <c r="S285" s="6" t="str">
        <f aca="false">IF(R285&gt;1,COUNTIF($R$2:R285,"&gt;1"),"")</f>
        <v/>
      </c>
      <c r="T285" s="6" t="str">
        <f aca="false">IF(L285="","",J285&amp;"|"&amp;K285&amp;"|"&amp;L285)</f>
        <v>3|7|spotify:track:1sMJJQEvUXyxILW5sv3A2P</v>
      </c>
      <c r="U285" s="6" t="str">
        <f aca="false">IF(C285="","",IFERROR(INDEX(Lists!$F:$F,MATCH(C285,Lists!$E:$E,0)),"Unmapped"))</f>
        <v>R&amp;B/Soul</v>
      </c>
    </row>
    <row r="286" customFormat="false" ht="15" hidden="false" customHeight="false" outlineLevel="0" collapsed="false">
      <c r="A286" s="5" t="s">
        <v>947</v>
      </c>
      <c r="B286" s="5" t="s">
        <v>948</v>
      </c>
      <c r="C286" s="5" t="s">
        <v>248</v>
      </c>
      <c r="D286" s="5" t="s">
        <v>85</v>
      </c>
      <c r="E286" s="5" t="s">
        <v>936</v>
      </c>
      <c r="F286" s="5" t="n">
        <v>11</v>
      </c>
      <c r="G286" s="5" t="n">
        <v>8</v>
      </c>
      <c r="H286" s="6" t="str">
        <f aca="false">IF(N286="","",N286&amp;IF(AND(MOD(N286,100)&gt;=11,MOD(N286,100)&lt;=13),"th",CHOOSE(MIN(5,MOD(N286,10)+1),"th","st","nd","rd","th")))</f>
        <v>5th</v>
      </c>
      <c r="I286" s="5" t="s">
        <v>687</v>
      </c>
      <c r="J286" s="6" t="n">
        <f aca="false">IFERROR(INDEX(Rounds!$A:$A,MATCH(I286,Rounds!$B:$B,0)),"ADD LEAGUE TO ROUNDS")</f>
        <v>3</v>
      </c>
      <c r="K286" s="6" t="n">
        <f aca="false">IFERROR(VALUE(LEFT(E286,FIND(" - ",E286)-1)),"")</f>
        <v>7</v>
      </c>
      <c r="L286" s="5" t="s">
        <v>949</v>
      </c>
      <c r="N286" s="6" t="n">
        <f aca="false">IF(F286="","",1+COUNTIFS($J:$J,J286,$K:$K,K286,$F:$F,"&gt;"&amp;F286)+COUNTIFS($J:$J,J286,$K:$K,K286,$F:$F,F286,$G:$G,"&gt;"&amp;G286))</f>
        <v>5</v>
      </c>
      <c r="O286" s="6" t="n">
        <f aca="false">IF(L286="","",SUMIFS(Votes!$E:$E,Votes!$A:$A,J286,Votes!$B:$B,K286,Votes!$D:$D,L286))</f>
        <v>11</v>
      </c>
      <c r="P286" s="6" t="n">
        <f aca="false">IF(L286="","",COUNTIFS(Votes!$A:$A,J286,Votes!$B:$B,K286,Votes!$D:$D,L286))</f>
        <v>8</v>
      </c>
      <c r="Q286" s="7" t="str">
        <f aca="false">IF(F286="","Unscored",IF(O286="","No URI",IF(AND(F286=0,O286=0),"Zero-vote",IF(AND(F286=O286,G286=P286),"OK",IF(AND(F286=0,O286&gt;0,COUNTIFS(Votes!$A:$A,J286,Votes!$B:$B,K286,Votes!$C:$C,D286)=0),"Forfeited","Mismatch")))))</f>
        <v>OK</v>
      </c>
      <c r="R286" s="6" t="n">
        <f aca="false">MAX(IF(L286&lt;&gt;"",COUNTIF($L:$L,L286),0),COUNTIFS($A:$A,A286,$B:$B,B286))</f>
        <v>1</v>
      </c>
      <c r="S286" s="6" t="str">
        <f aca="false">IF(R286&gt;1,COUNTIF($R$2:R286,"&gt;1"),"")</f>
        <v/>
      </c>
      <c r="T286" s="6" t="str">
        <f aca="false">IF(L286="","",J286&amp;"|"&amp;K286&amp;"|"&amp;L286)</f>
        <v>3|7|spotify:track:2XJi8jbLnDBZ60gTPpdbrg</v>
      </c>
      <c r="U286" s="6" t="str">
        <f aca="false">IF(C286="","",IFERROR(INDEX(Lists!$F:$F,MATCH(C286,Lists!$E:$E,0)),"Unmapped"))</f>
        <v>Folk/Americana</v>
      </c>
    </row>
    <row r="287" customFormat="false" ht="15" hidden="false" customHeight="false" outlineLevel="0" collapsed="false">
      <c r="A287" s="5" t="s">
        <v>950</v>
      </c>
      <c r="B287" s="5" t="s">
        <v>951</v>
      </c>
      <c r="C287" s="5" t="s">
        <v>171</v>
      </c>
      <c r="D287" s="5" t="s">
        <v>97</v>
      </c>
      <c r="E287" s="5" t="s">
        <v>936</v>
      </c>
      <c r="F287" s="5" t="n">
        <v>9</v>
      </c>
      <c r="G287" s="5" t="n">
        <v>5</v>
      </c>
      <c r="H287" s="6" t="str">
        <f aca="false">IF(N287="","",N287&amp;IF(AND(MOD(N287,100)&gt;=11,MOD(N287,100)&lt;=13),"th",CHOOSE(MIN(5,MOD(N287,10)+1),"th","st","nd","rd","th")))</f>
        <v>6th</v>
      </c>
      <c r="I287" s="5" t="s">
        <v>687</v>
      </c>
      <c r="J287" s="6" t="n">
        <f aca="false">IFERROR(INDEX(Rounds!$A:$A,MATCH(I287,Rounds!$B:$B,0)),"ADD LEAGUE TO ROUNDS")</f>
        <v>3</v>
      </c>
      <c r="K287" s="6" t="n">
        <f aca="false">IFERROR(VALUE(LEFT(E287,FIND(" - ",E287)-1)),"")</f>
        <v>7</v>
      </c>
      <c r="L287" s="5" t="s">
        <v>952</v>
      </c>
      <c r="N287" s="6" t="n">
        <f aca="false">IF(F287="","",1+COUNTIFS($J:$J,J287,$K:$K,K287,$F:$F,"&gt;"&amp;F287)+COUNTIFS($J:$J,J287,$K:$K,K287,$F:$F,F287,$G:$G,"&gt;"&amp;G287))</f>
        <v>6</v>
      </c>
      <c r="O287" s="6" t="n">
        <f aca="false">IF(L287="","",SUMIFS(Votes!$E:$E,Votes!$A:$A,J287,Votes!$B:$B,K287,Votes!$D:$D,L287))</f>
        <v>9</v>
      </c>
      <c r="P287" s="6" t="n">
        <f aca="false">IF(L287="","",COUNTIFS(Votes!$A:$A,J287,Votes!$B:$B,K287,Votes!$D:$D,L287))</f>
        <v>5</v>
      </c>
      <c r="Q287" s="7" t="str">
        <f aca="false">IF(F287="","Unscored",IF(O287="","No URI",IF(AND(F287=0,O287=0),"Zero-vote",IF(AND(F287=O287,G287=P287),"OK",IF(AND(F287=0,O287&gt;0,COUNTIFS(Votes!$A:$A,J287,Votes!$B:$B,K287,Votes!$C:$C,D287)=0),"Forfeited","Mismatch")))))</f>
        <v>OK</v>
      </c>
      <c r="R287" s="6" t="n">
        <f aca="false">MAX(IF(L287&lt;&gt;"",COUNTIF($L:$L,L287),0),COUNTIFS($A:$A,A287,$B:$B,B287))</f>
        <v>2</v>
      </c>
      <c r="S287" s="6" t="n">
        <f aca="false">IF(R287&gt;1,COUNTIF($R$2:R287,"&gt;1"),"")</f>
        <v>22</v>
      </c>
      <c r="T287" s="6" t="str">
        <f aca="false">IF(L287="","",J287&amp;"|"&amp;K287&amp;"|"&amp;L287)</f>
        <v>3|7|spotify:track:0LQtEJt7x0s6knb6RKdRYc</v>
      </c>
      <c r="U287" s="6" t="str">
        <f aca="false">IF(C287="","",IFERROR(INDEX(Lists!$F:$F,MATCH(C287,Lists!$E:$E,0)),"Unmapped"))</f>
        <v>Country</v>
      </c>
    </row>
    <row r="288" customFormat="false" ht="15" hidden="false" customHeight="false" outlineLevel="0" collapsed="false">
      <c r="A288" s="5" t="s">
        <v>953</v>
      </c>
      <c r="B288" s="5" t="s">
        <v>954</v>
      </c>
      <c r="C288" s="5" t="s">
        <v>248</v>
      </c>
      <c r="D288" s="5" t="s">
        <v>382</v>
      </c>
      <c r="E288" s="5" t="s">
        <v>936</v>
      </c>
      <c r="F288" s="5" t="n">
        <v>9</v>
      </c>
      <c r="G288" s="5" t="n">
        <v>5</v>
      </c>
      <c r="H288" s="6" t="str">
        <f aca="false">IF(N288="","",N288&amp;IF(AND(MOD(N288,100)&gt;=11,MOD(N288,100)&lt;=13),"th",CHOOSE(MIN(5,MOD(N288,10)+1),"th","st","nd","rd","th")))</f>
        <v>6th</v>
      </c>
      <c r="I288" s="5" t="s">
        <v>687</v>
      </c>
      <c r="J288" s="6" t="n">
        <f aca="false">IFERROR(INDEX(Rounds!$A:$A,MATCH(I288,Rounds!$B:$B,0)),"ADD LEAGUE TO ROUNDS")</f>
        <v>3</v>
      </c>
      <c r="K288" s="6" t="n">
        <f aca="false">IFERROR(VALUE(LEFT(E288,FIND(" - ",E288)-1)),"")</f>
        <v>7</v>
      </c>
      <c r="L288" s="5" t="s">
        <v>955</v>
      </c>
      <c r="N288" s="6" t="n">
        <f aca="false">IF(F288="","",1+COUNTIFS($J:$J,J288,$K:$K,K288,$F:$F,"&gt;"&amp;F288)+COUNTIFS($J:$J,J288,$K:$K,K288,$F:$F,F288,$G:$G,"&gt;"&amp;G288))</f>
        <v>6</v>
      </c>
      <c r="O288" s="6" t="n">
        <f aca="false">IF(L288="","",SUMIFS(Votes!$E:$E,Votes!$A:$A,J288,Votes!$B:$B,K288,Votes!$D:$D,L288))</f>
        <v>9</v>
      </c>
      <c r="P288" s="6" t="n">
        <f aca="false">IF(L288="","",COUNTIFS(Votes!$A:$A,J288,Votes!$B:$B,K288,Votes!$D:$D,L288))</f>
        <v>5</v>
      </c>
      <c r="Q288" s="7" t="str">
        <f aca="false">IF(F288="","Unscored",IF(O288="","No URI",IF(AND(F288=0,O288=0),"Zero-vote",IF(AND(F288=O288,G288=P288),"OK",IF(AND(F288=0,O288&gt;0,COUNTIFS(Votes!$A:$A,J288,Votes!$B:$B,K288,Votes!$C:$C,D288)=0),"Forfeited","Mismatch")))))</f>
        <v>OK</v>
      </c>
      <c r="R288" s="6" t="n">
        <f aca="false">MAX(IF(L288&lt;&gt;"",COUNTIF($L:$L,L288),0),COUNTIFS($A:$A,A288,$B:$B,B288))</f>
        <v>1</v>
      </c>
      <c r="S288" s="6" t="str">
        <f aca="false">IF(R288&gt;1,COUNTIF($R$2:R288,"&gt;1"),"")</f>
        <v/>
      </c>
      <c r="T288" s="6" t="str">
        <f aca="false">IF(L288="","",J288&amp;"|"&amp;K288&amp;"|"&amp;L288)</f>
        <v>3|7|spotify:track:0KKist1jJYO17nOqtO1sb2</v>
      </c>
      <c r="U288" s="6" t="str">
        <f aca="false">IF(C288="","",IFERROR(INDEX(Lists!$F:$F,MATCH(C288,Lists!$E:$E,0)),"Unmapped"))</f>
        <v>Folk/Americana</v>
      </c>
    </row>
    <row r="289" customFormat="false" ht="15" hidden="false" customHeight="false" outlineLevel="0" collapsed="false">
      <c r="A289" s="5" t="s">
        <v>956</v>
      </c>
      <c r="B289" s="5" t="s">
        <v>957</v>
      </c>
      <c r="C289" s="5" t="s">
        <v>293</v>
      </c>
      <c r="D289" s="5" t="s">
        <v>719</v>
      </c>
      <c r="E289" s="5" t="s">
        <v>936</v>
      </c>
      <c r="F289" s="5" t="n">
        <v>8</v>
      </c>
      <c r="G289" s="5" t="n">
        <v>8</v>
      </c>
      <c r="H289" s="6" t="str">
        <f aca="false">IF(N289="","",N289&amp;IF(AND(MOD(N289,100)&gt;=11,MOD(N289,100)&lt;=13),"th",CHOOSE(MIN(5,MOD(N289,10)+1),"th","st","nd","rd","th")))</f>
        <v>8th</v>
      </c>
      <c r="I289" s="5" t="s">
        <v>687</v>
      </c>
      <c r="J289" s="6" t="n">
        <f aca="false">IFERROR(INDEX(Rounds!$A:$A,MATCH(I289,Rounds!$B:$B,0)),"ADD LEAGUE TO ROUNDS")</f>
        <v>3</v>
      </c>
      <c r="K289" s="6" t="n">
        <f aca="false">IFERROR(VALUE(LEFT(E289,FIND(" - ",E289)-1)),"")</f>
        <v>7</v>
      </c>
      <c r="L289" s="5" t="s">
        <v>958</v>
      </c>
      <c r="N289" s="6" t="n">
        <f aca="false">IF(F289="","",1+COUNTIFS($J:$J,J289,$K:$K,K289,$F:$F,"&gt;"&amp;F289)+COUNTIFS($J:$J,J289,$K:$K,K289,$F:$F,F289,$G:$G,"&gt;"&amp;G289))</f>
        <v>8</v>
      </c>
      <c r="O289" s="6" t="n">
        <f aca="false">IF(L289="","",SUMIFS(Votes!$E:$E,Votes!$A:$A,J289,Votes!$B:$B,K289,Votes!$D:$D,L289))</f>
        <v>8</v>
      </c>
      <c r="P289" s="6" t="n">
        <f aca="false">IF(L289="","",COUNTIFS(Votes!$A:$A,J289,Votes!$B:$B,K289,Votes!$D:$D,L289))</f>
        <v>8</v>
      </c>
      <c r="Q289" s="7" t="str">
        <f aca="false">IF(F289="","Unscored",IF(O289="","No URI",IF(AND(F289=0,O289=0),"Zero-vote",IF(AND(F289=O289,G289=P289),"OK",IF(AND(F289=0,O289&gt;0,COUNTIFS(Votes!$A:$A,J289,Votes!$B:$B,K289,Votes!$C:$C,D289)=0),"Forfeited","Mismatch")))))</f>
        <v>OK</v>
      </c>
      <c r="R289" s="6" t="n">
        <f aca="false">MAX(IF(L289&lt;&gt;"",COUNTIF($L:$L,L289),0),COUNTIFS($A:$A,A289,$B:$B,B289))</f>
        <v>1</v>
      </c>
      <c r="S289" s="6" t="str">
        <f aca="false">IF(R289&gt;1,COUNTIF($R$2:R289,"&gt;1"),"")</f>
        <v/>
      </c>
      <c r="T289" s="6" t="str">
        <f aca="false">IF(L289="","",J289&amp;"|"&amp;K289&amp;"|"&amp;L289)</f>
        <v>3|7|spotify:track:3Dy4xsff7c0fRaTJpA54yd</v>
      </c>
      <c r="U289" s="6" t="str">
        <f aca="false">IF(C289="","",IFERROR(INDEX(Lists!$F:$F,MATCH(C289,Lists!$E:$E,0)),"Unmapped"))</f>
        <v>Electronic/Dance</v>
      </c>
    </row>
    <row r="290" customFormat="false" ht="15" hidden="false" customHeight="false" outlineLevel="0" collapsed="false">
      <c r="A290" s="5" t="s">
        <v>959</v>
      </c>
      <c r="B290" s="5" t="s">
        <v>259</v>
      </c>
      <c r="C290" s="5" t="s">
        <v>110</v>
      </c>
      <c r="D290" s="5" t="s">
        <v>637</v>
      </c>
      <c r="E290" s="5" t="s">
        <v>936</v>
      </c>
      <c r="F290" s="5" t="n">
        <v>8</v>
      </c>
      <c r="G290" s="5" t="n">
        <v>7</v>
      </c>
      <c r="H290" s="6" t="str">
        <f aca="false">IF(N290="","",N290&amp;IF(AND(MOD(N290,100)&gt;=11,MOD(N290,100)&lt;=13),"th",CHOOSE(MIN(5,MOD(N290,10)+1),"th","st","nd","rd","th")))</f>
        <v>9th</v>
      </c>
      <c r="I290" s="5" t="s">
        <v>687</v>
      </c>
      <c r="J290" s="6" t="n">
        <f aca="false">IFERROR(INDEX(Rounds!$A:$A,MATCH(I290,Rounds!$B:$B,0)),"ADD LEAGUE TO ROUNDS")</f>
        <v>3</v>
      </c>
      <c r="K290" s="6" t="n">
        <f aca="false">IFERROR(VALUE(LEFT(E290,FIND(" - ",E290)-1)),"")</f>
        <v>7</v>
      </c>
      <c r="L290" s="5" t="s">
        <v>960</v>
      </c>
      <c r="N290" s="6" t="n">
        <f aca="false">IF(F290="","",1+COUNTIFS($J:$J,J290,$K:$K,K290,$F:$F,"&gt;"&amp;F290)+COUNTIFS($J:$J,J290,$K:$K,K290,$F:$F,F290,$G:$G,"&gt;"&amp;G290))</f>
        <v>9</v>
      </c>
      <c r="O290" s="6" t="n">
        <f aca="false">IF(L290="","",SUMIFS(Votes!$E:$E,Votes!$A:$A,J290,Votes!$B:$B,K290,Votes!$D:$D,L290))</f>
        <v>8</v>
      </c>
      <c r="P290" s="6" t="n">
        <f aca="false">IF(L290="","",COUNTIFS(Votes!$A:$A,J290,Votes!$B:$B,K290,Votes!$D:$D,L290))</f>
        <v>7</v>
      </c>
      <c r="Q290" s="7" t="str">
        <f aca="false">IF(F290="","Unscored",IF(O290="","No URI",IF(AND(F290=0,O290=0),"Zero-vote",IF(AND(F290=O290,G290=P290),"OK",IF(AND(F290=0,O290&gt;0,COUNTIFS(Votes!$A:$A,J290,Votes!$B:$B,K290,Votes!$C:$C,D290)=0),"Forfeited","Mismatch")))))</f>
        <v>OK</v>
      </c>
      <c r="R290" s="6" t="n">
        <f aca="false">MAX(IF(L290&lt;&gt;"",COUNTIF($L:$L,L290),0),COUNTIFS($A:$A,A290,$B:$B,B290))</f>
        <v>1</v>
      </c>
      <c r="S290" s="6" t="str">
        <f aca="false">IF(R290&gt;1,COUNTIF($R$2:R290,"&gt;1"),"")</f>
        <v/>
      </c>
      <c r="T290" s="6" t="str">
        <f aca="false">IF(L290="","",J290&amp;"|"&amp;K290&amp;"|"&amp;L290)</f>
        <v>3|7|spotify:track:5Z01UMMf7V1o0MzF86s6WJ</v>
      </c>
      <c r="U290" s="6" t="str">
        <f aca="false">IF(C290="","",IFERROR(INDEX(Lists!$F:$F,MATCH(C290,Lists!$E:$E,0)),"Unmapped"))</f>
        <v>Hip-Hop/Rap</v>
      </c>
    </row>
    <row r="291" customFormat="false" ht="15" hidden="false" customHeight="false" outlineLevel="0" collapsed="false">
      <c r="A291" s="5" t="s">
        <v>528</v>
      </c>
      <c r="B291" s="5" t="s">
        <v>961</v>
      </c>
      <c r="C291" s="5" t="s">
        <v>293</v>
      </c>
      <c r="D291" s="5" t="s">
        <v>395</v>
      </c>
      <c r="E291" s="5" t="s">
        <v>936</v>
      </c>
      <c r="F291" s="5" t="n">
        <v>8</v>
      </c>
      <c r="G291" s="5" t="n">
        <v>6</v>
      </c>
      <c r="H291" s="6" t="str">
        <f aca="false">IF(N291="","",N291&amp;IF(AND(MOD(N291,100)&gt;=11,MOD(N291,100)&lt;=13),"th",CHOOSE(MIN(5,MOD(N291,10)+1),"th","st","nd","rd","th")))</f>
        <v>10th</v>
      </c>
      <c r="I291" s="5" t="s">
        <v>687</v>
      </c>
      <c r="J291" s="6" t="n">
        <f aca="false">IFERROR(INDEX(Rounds!$A:$A,MATCH(I291,Rounds!$B:$B,0)),"ADD LEAGUE TO ROUNDS")</f>
        <v>3</v>
      </c>
      <c r="K291" s="6" t="n">
        <f aca="false">IFERROR(VALUE(LEFT(E291,FIND(" - ",E291)-1)),"")</f>
        <v>7</v>
      </c>
      <c r="L291" s="5" t="s">
        <v>962</v>
      </c>
      <c r="N291" s="6" t="n">
        <f aca="false">IF(F291="","",1+COUNTIFS($J:$J,J291,$K:$K,K291,$F:$F,"&gt;"&amp;F291)+COUNTIFS($J:$J,J291,$K:$K,K291,$F:$F,F291,$G:$G,"&gt;"&amp;G291))</f>
        <v>10</v>
      </c>
      <c r="O291" s="6" t="n">
        <f aca="false">IF(L291="","",SUMIFS(Votes!$E:$E,Votes!$A:$A,J291,Votes!$B:$B,K291,Votes!$D:$D,L291))</f>
        <v>8</v>
      </c>
      <c r="P291" s="6" t="n">
        <f aca="false">IF(L291="","",COUNTIFS(Votes!$A:$A,J291,Votes!$B:$B,K291,Votes!$D:$D,L291))</f>
        <v>6</v>
      </c>
      <c r="Q291" s="7" t="str">
        <f aca="false">IF(F291="","Unscored",IF(O291="","No URI",IF(AND(F291=0,O291=0),"Zero-vote",IF(AND(F291=O291,G291=P291),"OK",IF(AND(F291=0,O291&gt;0,COUNTIFS(Votes!$A:$A,J291,Votes!$B:$B,K291,Votes!$C:$C,D291)=0),"Forfeited","Mismatch")))))</f>
        <v>OK</v>
      </c>
      <c r="R291" s="6" t="n">
        <f aca="false">MAX(IF(L291&lt;&gt;"",COUNTIF($L:$L,L291),0),COUNTIFS($A:$A,A291,$B:$B,B291))</f>
        <v>1</v>
      </c>
      <c r="S291" s="6" t="str">
        <f aca="false">IF(R291&gt;1,COUNTIF($R$2:R291,"&gt;1"),"")</f>
        <v/>
      </c>
      <c r="T291" s="6" t="str">
        <f aca="false">IF(L291="","",J291&amp;"|"&amp;K291&amp;"|"&amp;L291)</f>
        <v>3|7|spotify:track:3MEYFivt6bilQ9q9mFWZ4g</v>
      </c>
      <c r="U291" s="6" t="str">
        <f aca="false">IF(C291="","",IFERROR(INDEX(Lists!$F:$F,MATCH(C291,Lists!$E:$E,0)),"Unmapped"))</f>
        <v>Electronic/Dance</v>
      </c>
    </row>
    <row r="292" customFormat="false" ht="15" hidden="false" customHeight="false" outlineLevel="0" collapsed="false">
      <c r="A292" s="5" t="s">
        <v>963</v>
      </c>
      <c r="B292" s="5" t="s">
        <v>964</v>
      </c>
      <c r="C292" s="5" t="s">
        <v>506</v>
      </c>
      <c r="D292" s="5" t="s">
        <v>116</v>
      </c>
      <c r="E292" s="5" t="s">
        <v>936</v>
      </c>
      <c r="F292" s="5" t="n">
        <v>8</v>
      </c>
      <c r="G292" s="5" t="n">
        <v>5</v>
      </c>
      <c r="H292" s="6" t="str">
        <f aca="false">IF(N292="","",N292&amp;IF(AND(MOD(N292,100)&gt;=11,MOD(N292,100)&lt;=13),"th",CHOOSE(MIN(5,MOD(N292,10)+1),"th","st","nd","rd","th")))</f>
        <v>11th</v>
      </c>
      <c r="I292" s="5" t="s">
        <v>687</v>
      </c>
      <c r="J292" s="6" t="n">
        <f aca="false">IFERROR(INDEX(Rounds!$A:$A,MATCH(I292,Rounds!$B:$B,0)),"ADD LEAGUE TO ROUNDS")</f>
        <v>3</v>
      </c>
      <c r="K292" s="6" t="n">
        <f aca="false">IFERROR(VALUE(LEFT(E292,FIND(" - ",E292)-1)),"")</f>
        <v>7</v>
      </c>
      <c r="L292" s="5" t="s">
        <v>965</v>
      </c>
      <c r="N292" s="6" t="n">
        <f aca="false">IF(F292="","",1+COUNTIFS($J:$J,J292,$K:$K,K292,$F:$F,"&gt;"&amp;F292)+COUNTIFS($J:$J,J292,$K:$K,K292,$F:$F,F292,$G:$G,"&gt;"&amp;G292))</f>
        <v>11</v>
      </c>
      <c r="O292" s="6" t="n">
        <f aca="false">IF(L292="","",SUMIFS(Votes!$E:$E,Votes!$A:$A,J292,Votes!$B:$B,K292,Votes!$D:$D,L292))</f>
        <v>8</v>
      </c>
      <c r="P292" s="6" t="n">
        <f aca="false">IF(L292="","",COUNTIFS(Votes!$A:$A,J292,Votes!$B:$B,K292,Votes!$D:$D,L292))</f>
        <v>5</v>
      </c>
      <c r="Q292" s="7" t="str">
        <f aca="false">IF(F292="","Unscored",IF(O292="","No URI",IF(AND(F292=0,O292=0),"Zero-vote",IF(AND(F292=O292,G292=P292),"OK",IF(AND(F292=0,O292&gt;0,COUNTIFS(Votes!$A:$A,J292,Votes!$B:$B,K292,Votes!$C:$C,D292)=0),"Forfeited","Mismatch")))))</f>
        <v>OK</v>
      </c>
      <c r="R292" s="6" t="n">
        <f aca="false">MAX(IF(L292&lt;&gt;"",COUNTIF($L:$L,L292),0),COUNTIFS($A:$A,A292,$B:$B,B292))</f>
        <v>1</v>
      </c>
      <c r="S292" s="6" t="str">
        <f aca="false">IF(R292&gt;1,COUNTIF($R$2:R292,"&gt;1"),"")</f>
        <v/>
      </c>
      <c r="T292" s="6" t="str">
        <f aca="false">IF(L292="","",J292&amp;"|"&amp;K292&amp;"|"&amp;L292)</f>
        <v>3|7|spotify:track:0FdK0iPOcDDgxVr3qJBAke</v>
      </c>
      <c r="U292" s="6" t="str">
        <f aca="false">IF(C292="","",IFERROR(INDEX(Lists!$F:$F,MATCH(C292,Lists!$E:$E,0)),"Unmapped"))</f>
        <v>Classical/Score</v>
      </c>
    </row>
    <row r="293" customFormat="false" ht="15" hidden="false" customHeight="false" outlineLevel="0" collapsed="false">
      <c r="A293" s="5" t="s">
        <v>966</v>
      </c>
      <c r="B293" s="5" t="s">
        <v>967</v>
      </c>
      <c r="C293" s="5" t="s">
        <v>171</v>
      </c>
      <c r="D293" s="5" t="s">
        <v>119</v>
      </c>
      <c r="E293" s="5" t="s">
        <v>936</v>
      </c>
      <c r="F293" s="5" t="n">
        <v>7</v>
      </c>
      <c r="G293" s="5" t="n">
        <v>6</v>
      </c>
      <c r="H293" s="6" t="str">
        <f aca="false">IF(N293="","",N293&amp;IF(AND(MOD(N293,100)&gt;=11,MOD(N293,100)&lt;=13),"th",CHOOSE(MIN(5,MOD(N293,10)+1),"th","st","nd","rd","th")))</f>
        <v>12th</v>
      </c>
      <c r="I293" s="5" t="s">
        <v>687</v>
      </c>
      <c r="J293" s="6" t="n">
        <f aca="false">IFERROR(INDEX(Rounds!$A:$A,MATCH(I293,Rounds!$B:$B,0)),"ADD LEAGUE TO ROUNDS")</f>
        <v>3</v>
      </c>
      <c r="K293" s="6" t="n">
        <f aca="false">IFERROR(VALUE(LEFT(E293,FIND(" - ",E293)-1)),"")</f>
        <v>7</v>
      </c>
      <c r="L293" s="5" t="s">
        <v>968</v>
      </c>
      <c r="N293" s="6" t="n">
        <f aca="false">IF(F293="","",1+COUNTIFS($J:$J,J293,$K:$K,K293,$F:$F,"&gt;"&amp;F293)+COUNTIFS($J:$J,J293,$K:$K,K293,$F:$F,F293,$G:$G,"&gt;"&amp;G293))</f>
        <v>12</v>
      </c>
      <c r="O293" s="6" t="n">
        <f aca="false">IF(L293="","",SUMIFS(Votes!$E:$E,Votes!$A:$A,J293,Votes!$B:$B,K293,Votes!$D:$D,L293))</f>
        <v>7</v>
      </c>
      <c r="P293" s="6" t="n">
        <f aca="false">IF(L293="","",COUNTIFS(Votes!$A:$A,J293,Votes!$B:$B,K293,Votes!$D:$D,L293))</f>
        <v>6</v>
      </c>
      <c r="Q293" s="7" t="str">
        <f aca="false">IF(F293="","Unscored",IF(O293="","No URI",IF(AND(F293=0,O293=0),"Zero-vote",IF(AND(F293=O293,G293=P293),"OK",IF(AND(F293=0,O293&gt;0,COUNTIFS(Votes!$A:$A,J293,Votes!$B:$B,K293,Votes!$C:$C,D293)=0),"Forfeited","Mismatch")))))</f>
        <v>OK</v>
      </c>
      <c r="R293" s="6" t="n">
        <f aca="false">MAX(IF(L293&lt;&gt;"",COUNTIF($L:$L,L293),0),COUNTIFS($A:$A,A293,$B:$B,B293))</f>
        <v>1</v>
      </c>
      <c r="S293" s="6" t="str">
        <f aca="false">IF(R293&gt;1,COUNTIF($R$2:R293,"&gt;1"),"")</f>
        <v/>
      </c>
      <c r="T293" s="6" t="str">
        <f aca="false">IF(L293="","",J293&amp;"|"&amp;K293&amp;"|"&amp;L293)</f>
        <v>3|7|spotify:track:6CFWS3OAIybkmUQHOZt33S</v>
      </c>
      <c r="U293" s="6" t="str">
        <f aca="false">IF(C293="","",IFERROR(INDEX(Lists!$F:$F,MATCH(C293,Lists!$E:$E,0)),"Unmapped"))</f>
        <v>Country</v>
      </c>
    </row>
    <row r="294" customFormat="false" ht="15" hidden="false" customHeight="false" outlineLevel="0" collapsed="false">
      <c r="A294" s="5" t="s">
        <v>969</v>
      </c>
      <c r="B294" s="5" t="s">
        <v>970</v>
      </c>
      <c r="C294" s="5" t="s">
        <v>171</v>
      </c>
      <c r="D294" s="5" t="s">
        <v>484</v>
      </c>
      <c r="E294" s="5" t="s">
        <v>936</v>
      </c>
      <c r="F294" s="5" t="n">
        <v>7</v>
      </c>
      <c r="G294" s="5" t="n">
        <v>6</v>
      </c>
      <c r="H294" s="6" t="str">
        <f aca="false">IF(N294="","",N294&amp;IF(AND(MOD(N294,100)&gt;=11,MOD(N294,100)&lt;=13),"th",CHOOSE(MIN(5,MOD(N294,10)+1),"th","st","nd","rd","th")))</f>
        <v>12th</v>
      </c>
      <c r="I294" s="5" t="s">
        <v>687</v>
      </c>
      <c r="J294" s="6" t="n">
        <f aca="false">IFERROR(INDEX(Rounds!$A:$A,MATCH(I294,Rounds!$B:$B,0)),"ADD LEAGUE TO ROUNDS")</f>
        <v>3</v>
      </c>
      <c r="K294" s="6" t="n">
        <f aca="false">IFERROR(VALUE(LEFT(E294,FIND(" - ",E294)-1)),"")</f>
        <v>7</v>
      </c>
      <c r="L294" s="5" t="s">
        <v>971</v>
      </c>
      <c r="N294" s="6" t="n">
        <f aca="false">IF(F294="","",1+COUNTIFS($J:$J,J294,$K:$K,K294,$F:$F,"&gt;"&amp;F294)+COUNTIFS($J:$J,J294,$K:$K,K294,$F:$F,F294,$G:$G,"&gt;"&amp;G294))</f>
        <v>12</v>
      </c>
      <c r="O294" s="6" t="n">
        <f aca="false">IF(L294="","",SUMIFS(Votes!$E:$E,Votes!$A:$A,J294,Votes!$B:$B,K294,Votes!$D:$D,L294))</f>
        <v>7</v>
      </c>
      <c r="P294" s="6" t="n">
        <f aca="false">IF(L294="","",COUNTIFS(Votes!$A:$A,J294,Votes!$B:$B,K294,Votes!$D:$D,L294))</f>
        <v>6</v>
      </c>
      <c r="Q294" s="7" t="str">
        <f aca="false">IF(F294="","Unscored",IF(O294="","No URI",IF(AND(F294=0,O294=0),"Zero-vote",IF(AND(F294=O294,G294=P294),"OK",IF(AND(F294=0,O294&gt;0,COUNTIFS(Votes!$A:$A,J294,Votes!$B:$B,K294,Votes!$C:$C,D294)=0),"Forfeited","Mismatch")))))</f>
        <v>OK</v>
      </c>
      <c r="R294" s="6" t="n">
        <f aca="false">MAX(IF(L294&lt;&gt;"",COUNTIF($L:$L,L294),0),COUNTIFS($A:$A,A294,$B:$B,B294))</f>
        <v>1</v>
      </c>
      <c r="S294" s="6" t="str">
        <f aca="false">IF(R294&gt;1,COUNTIF($R$2:R294,"&gt;1"),"")</f>
        <v/>
      </c>
      <c r="T294" s="6" t="str">
        <f aca="false">IF(L294="","",J294&amp;"|"&amp;K294&amp;"|"&amp;L294)</f>
        <v>3|7|spotify:track:736KP0gdltJQWPKk0wVL7l</v>
      </c>
      <c r="U294" s="6" t="str">
        <f aca="false">IF(C294="","",IFERROR(INDEX(Lists!$F:$F,MATCH(C294,Lists!$E:$E,0)),"Unmapped"))</f>
        <v>Country</v>
      </c>
    </row>
    <row r="295" customFormat="false" ht="15" hidden="false" customHeight="false" outlineLevel="0" collapsed="false">
      <c r="A295" s="5" t="s">
        <v>972</v>
      </c>
      <c r="B295" s="5" t="s">
        <v>973</v>
      </c>
      <c r="C295" s="5" t="s">
        <v>91</v>
      </c>
      <c r="D295" s="5" t="s">
        <v>106</v>
      </c>
      <c r="E295" s="5" t="s">
        <v>936</v>
      </c>
      <c r="F295" s="5" t="n">
        <v>4</v>
      </c>
      <c r="G295" s="5" t="n">
        <v>4</v>
      </c>
      <c r="H295" s="6" t="str">
        <f aca="false">IF(N295="","",N295&amp;IF(AND(MOD(N295,100)&gt;=11,MOD(N295,100)&lt;=13),"th",CHOOSE(MIN(5,MOD(N295,10)+1),"th","st","nd","rd","th")))</f>
        <v>14th</v>
      </c>
      <c r="I295" s="5" t="s">
        <v>687</v>
      </c>
      <c r="J295" s="6" t="n">
        <f aca="false">IFERROR(INDEX(Rounds!$A:$A,MATCH(I295,Rounds!$B:$B,0)),"ADD LEAGUE TO ROUNDS")</f>
        <v>3</v>
      </c>
      <c r="K295" s="6" t="n">
        <f aca="false">IFERROR(VALUE(LEFT(E295,FIND(" - ",E295)-1)),"")</f>
        <v>7</v>
      </c>
      <c r="L295" s="5" t="s">
        <v>974</v>
      </c>
      <c r="N295" s="6" t="n">
        <f aca="false">IF(F295="","",1+COUNTIFS($J:$J,J295,$K:$K,K295,$F:$F,"&gt;"&amp;F295)+COUNTIFS($J:$J,J295,$K:$K,K295,$F:$F,F295,$G:$G,"&gt;"&amp;G295))</f>
        <v>14</v>
      </c>
      <c r="O295" s="6" t="n">
        <f aca="false">IF(L295="","",SUMIFS(Votes!$E:$E,Votes!$A:$A,J295,Votes!$B:$B,K295,Votes!$D:$D,L295))</f>
        <v>4</v>
      </c>
      <c r="P295" s="6" t="n">
        <f aca="false">IF(L295="","",COUNTIFS(Votes!$A:$A,J295,Votes!$B:$B,K295,Votes!$D:$D,L295))</f>
        <v>4</v>
      </c>
      <c r="Q295" s="7" t="str">
        <f aca="false">IF(F295="","Unscored",IF(O295="","No URI",IF(AND(F295=0,O295=0),"Zero-vote",IF(AND(F295=O295,G295=P295),"OK",IF(AND(F295=0,O295&gt;0,COUNTIFS(Votes!$A:$A,J295,Votes!$B:$B,K295,Votes!$C:$C,D295)=0),"Forfeited","Mismatch")))))</f>
        <v>OK</v>
      </c>
      <c r="R295" s="6" t="n">
        <f aca="false">MAX(IF(L295&lt;&gt;"",COUNTIF($L:$L,L295),0),COUNTIFS($A:$A,A295,$B:$B,B295))</f>
        <v>1</v>
      </c>
      <c r="S295" s="6" t="str">
        <f aca="false">IF(R295&gt;1,COUNTIF($R$2:R295,"&gt;1"),"")</f>
        <v/>
      </c>
      <c r="T295" s="6" t="str">
        <f aca="false">IF(L295="","",J295&amp;"|"&amp;K295&amp;"|"&amp;L295)</f>
        <v>3|7|spotify:track:4NY0rkhWqRGCEnnJdYvZO1</v>
      </c>
      <c r="U295" s="6" t="str">
        <f aca="false">IF(C295="","",IFERROR(INDEX(Lists!$F:$F,MATCH(C295,Lists!$E:$E,0)),"Unmapped"))</f>
        <v>Rock</v>
      </c>
    </row>
    <row r="296" customFormat="false" ht="15" hidden="false" customHeight="false" outlineLevel="0" collapsed="false">
      <c r="A296" s="5" t="s">
        <v>975</v>
      </c>
      <c r="B296" s="5" t="s">
        <v>976</v>
      </c>
      <c r="C296" s="5" t="s">
        <v>110</v>
      </c>
      <c r="D296" s="5" t="s">
        <v>101</v>
      </c>
      <c r="E296" s="5" t="s">
        <v>936</v>
      </c>
      <c r="F296" s="5" t="n">
        <v>0</v>
      </c>
      <c r="G296" s="5" t="n">
        <v>7</v>
      </c>
      <c r="H296" s="6" t="str">
        <f aca="false">IF(N296="","",N296&amp;IF(AND(MOD(N296,100)&gt;=11,MOD(N296,100)&lt;=13),"th",CHOOSE(MIN(5,MOD(N296,10)+1),"th","st","nd","rd","th")))</f>
        <v>15th</v>
      </c>
      <c r="I296" s="5" t="s">
        <v>687</v>
      </c>
      <c r="J296" s="6" t="n">
        <f aca="false">IFERROR(INDEX(Rounds!$A:$A,MATCH(I296,Rounds!$B:$B,0)),"ADD LEAGUE TO ROUNDS")</f>
        <v>3</v>
      </c>
      <c r="K296" s="6" t="n">
        <f aca="false">IFERROR(VALUE(LEFT(E296,FIND(" - ",E296)-1)),"")</f>
        <v>7</v>
      </c>
      <c r="L296" s="5" t="s">
        <v>977</v>
      </c>
      <c r="N296" s="6" t="n">
        <f aca="false">IF(F296="","",1+COUNTIFS($J:$J,J296,$K:$K,K296,$F:$F,"&gt;"&amp;F296)+COUNTIFS($J:$J,J296,$K:$K,K296,$F:$F,F296,$G:$G,"&gt;"&amp;G296))</f>
        <v>15</v>
      </c>
      <c r="O296" s="6" t="n">
        <f aca="false">IF(L296="","",SUMIFS(Votes!$E:$E,Votes!$A:$A,J296,Votes!$B:$B,K296,Votes!$D:$D,L296))</f>
        <v>10</v>
      </c>
      <c r="P296" s="6" t="n">
        <f aca="false">IF(L296="","",COUNTIFS(Votes!$A:$A,J296,Votes!$B:$B,K296,Votes!$D:$D,L296))</f>
        <v>7</v>
      </c>
      <c r="Q296" s="7" t="str">
        <f aca="false">IF(F296="","Unscored",IF(O296="","No URI",IF(AND(F296=0,O296=0),"Zero-vote",IF(AND(F296=O296,G296=P296),"OK",IF(AND(F296=0,O296&gt;0,COUNTIFS(Votes!$A:$A,J296,Votes!$B:$B,K296,Votes!$C:$C,D296)=0),"Forfeited","Mismatch")))))</f>
        <v>Forfeited</v>
      </c>
      <c r="R296" s="6" t="n">
        <f aca="false">MAX(IF(L296&lt;&gt;"",COUNTIF($L:$L,L296),0),COUNTIFS($A:$A,A296,$B:$B,B296))</f>
        <v>1</v>
      </c>
      <c r="S296" s="6" t="str">
        <f aca="false">IF(R296&gt;1,COUNTIF($R$2:R296,"&gt;1"),"")</f>
        <v/>
      </c>
      <c r="T296" s="6" t="str">
        <f aca="false">IF(L296="","",J296&amp;"|"&amp;K296&amp;"|"&amp;L296)</f>
        <v>3|7|spotify:track:5lehoWkVPujeOAwb8BO0uK</v>
      </c>
      <c r="U296" s="6" t="str">
        <f aca="false">IF(C296="","",IFERROR(INDEX(Lists!$F:$F,MATCH(C296,Lists!$E:$E,0)),"Unmapped"))</f>
        <v>Hip-Hop/Rap</v>
      </c>
    </row>
    <row r="297" customFormat="false" ht="15" hidden="false" customHeight="false" outlineLevel="0" collapsed="false">
      <c r="A297" s="5" t="s">
        <v>978</v>
      </c>
      <c r="B297" s="5" t="s">
        <v>979</v>
      </c>
      <c r="C297" s="5" t="s">
        <v>171</v>
      </c>
      <c r="D297" s="5" t="s">
        <v>92</v>
      </c>
      <c r="E297" s="5" t="s">
        <v>980</v>
      </c>
      <c r="F297" s="5" t="n">
        <v>14</v>
      </c>
      <c r="G297" s="5" t="n">
        <v>9</v>
      </c>
      <c r="H297" s="6" t="str">
        <f aca="false">IF(N297="","",N297&amp;IF(AND(MOD(N297,100)&gt;=11,MOD(N297,100)&lt;=13),"th",CHOOSE(MIN(5,MOD(N297,10)+1),"th","st","nd","rd","th")))</f>
        <v>1st</v>
      </c>
      <c r="I297" s="5" t="s">
        <v>687</v>
      </c>
      <c r="J297" s="6" t="n">
        <f aca="false">IFERROR(INDEX(Rounds!$A:$A,MATCH(I297,Rounds!$B:$B,0)),"ADD LEAGUE TO ROUNDS")</f>
        <v>3</v>
      </c>
      <c r="K297" s="6" t="n">
        <f aca="false">IFERROR(VALUE(LEFT(E297,FIND(" - ",E297)-1)),"")</f>
        <v>8</v>
      </c>
      <c r="L297" s="5" t="s">
        <v>981</v>
      </c>
      <c r="N297" s="6" t="n">
        <f aca="false">IF(F297="","",1+COUNTIFS($J:$J,J297,$K:$K,K297,$F:$F,"&gt;"&amp;F297)+COUNTIFS($J:$J,J297,$K:$K,K297,$F:$F,F297,$G:$G,"&gt;"&amp;G297))</f>
        <v>1</v>
      </c>
      <c r="O297" s="6" t="n">
        <f aca="false">IF(L297="","",SUMIFS(Votes!$E:$E,Votes!$A:$A,J297,Votes!$B:$B,K297,Votes!$D:$D,L297))</f>
        <v>14</v>
      </c>
      <c r="P297" s="6" t="n">
        <f aca="false">IF(L297="","",COUNTIFS(Votes!$A:$A,J297,Votes!$B:$B,K297,Votes!$D:$D,L297))</f>
        <v>9</v>
      </c>
      <c r="Q297" s="7" t="str">
        <f aca="false">IF(F297="","Unscored",IF(O297="","No URI",IF(AND(F297=0,O297=0),"Zero-vote",IF(AND(F297=O297,G297=P297),"OK",IF(AND(F297=0,O297&gt;0,COUNTIFS(Votes!$A:$A,J297,Votes!$B:$B,K297,Votes!$C:$C,D297)=0),"Forfeited","Mismatch")))))</f>
        <v>OK</v>
      </c>
      <c r="R297" s="6" t="n">
        <f aca="false">MAX(IF(L297&lt;&gt;"",COUNTIF($L:$L,L297),0),COUNTIFS($A:$A,A297,$B:$B,B297))</f>
        <v>1</v>
      </c>
      <c r="S297" s="6" t="str">
        <f aca="false">IF(R297&gt;1,COUNTIF($R$2:R297,"&gt;1"),"")</f>
        <v/>
      </c>
      <c r="T297" s="6" t="str">
        <f aca="false">IF(L297="","",J297&amp;"|"&amp;K297&amp;"|"&amp;L297)</f>
        <v>3|8|spotify:track:0nkOSp2DLhgrElR8lPPteZ</v>
      </c>
      <c r="U297" s="6" t="str">
        <f aca="false">IF(C297="","",IFERROR(INDEX(Lists!$F:$F,MATCH(C297,Lists!$E:$E,0)),"Unmapped"))</f>
        <v>Country</v>
      </c>
    </row>
    <row r="298" customFormat="false" ht="15" hidden="false" customHeight="false" outlineLevel="0" collapsed="false">
      <c r="A298" s="5" t="s">
        <v>982</v>
      </c>
      <c r="B298" s="5" t="s">
        <v>983</v>
      </c>
      <c r="C298" s="5" t="s">
        <v>91</v>
      </c>
      <c r="D298" s="5" t="s">
        <v>97</v>
      </c>
      <c r="E298" s="5" t="s">
        <v>980</v>
      </c>
      <c r="F298" s="5" t="n">
        <v>13</v>
      </c>
      <c r="G298" s="5" t="n">
        <v>8</v>
      </c>
      <c r="H298" s="6" t="str">
        <f aca="false">IF(N298="","",N298&amp;IF(AND(MOD(N298,100)&gt;=11,MOD(N298,100)&lt;=13),"th",CHOOSE(MIN(5,MOD(N298,10)+1),"th","st","nd","rd","th")))</f>
        <v>2nd</v>
      </c>
      <c r="I298" s="5" t="s">
        <v>687</v>
      </c>
      <c r="J298" s="6" t="n">
        <f aca="false">IFERROR(INDEX(Rounds!$A:$A,MATCH(I298,Rounds!$B:$B,0)),"ADD LEAGUE TO ROUNDS")</f>
        <v>3</v>
      </c>
      <c r="K298" s="6" t="n">
        <f aca="false">IFERROR(VALUE(LEFT(E298,FIND(" - ",E298)-1)),"")</f>
        <v>8</v>
      </c>
      <c r="L298" s="5" t="s">
        <v>984</v>
      </c>
      <c r="N298" s="6" t="n">
        <f aca="false">IF(F298="","",1+COUNTIFS($J:$J,J298,$K:$K,K298,$F:$F,"&gt;"&amp;F298)+COUNTIFS($J:$J,J298,$K:$K,K298,$F:$F,F298,$G:$G,"&gt;"&amp;G298))</f>
        <v>2</v>
      </c>
      <c r="O298" s="6" t="n">
        <f aca="false">IF(L298="","",SUMIFS(Votes!$E:$E,Votes!$A:$A,J298,Votes!$B:$B,K298,Votes!$D:$D,L298))</f>
        <v>13</v>
      </c>
      <c r="P298" s="6" t="n">
        <f aca="false">IF(L298="","",COUNTIFS(Votes!$A:$A,J298,Votes!$B:$B,K298,Votes!$D:$D,L298))</f>
        <v>8</v>
      </c>
      <c r="Q298" s="7" t="str">
        <f aca="false">IF(F298="","Unscored",IF(O298="","No URI",IF(AND(F298=0,O298=0),"Zero-vote",IF(AND(F298=O298,G298=P298),"OK",IF(AND(F298=0,O298&gt;0,COUNTIFS(Votes!$A:$A,J298,Votes!$B:$B,K298,Votes!$C:$C,D298)=0),"Forfeited","Mismatch")))))</f>
        <v>OK</v>
      </c>
      <c r="R298" s="6" t="n">
        <f aca="false">MAX(IF(L298&lt;&gt;"",COUNTIF($L:$L,L298),0),COUNTIFS($A:$A,A298,$B:$B,B298))</f>
        <v>1</v>
      </c>
      <c r="S298" s="6" t="str">
        <f aca="false">IF(R298&gt;1,COUNTIF($R$2:R298,"&gt;1"),"")</f>
        <v/>
      </c>
      <c r="T298" s="6" t="str">
        <f aca="false">IF(L298="","",J298&amp;"|"&amp;K298&amp;"|"&amp;L298)</f>
        <v>3|8|spotify:track:75WMOzv7195ziyx0qEw1yE</v>
      </c>
      <c r="U298" s="6" t="str">
        <f aca="false">IF(C298="","",IFERROR(INDEX(Lists!$F:$F,MATCH(C298,Lists!$E:$E,0)),"Unmapped"))</f>
        <v>Rock</v>
      </c>
    </row>
    <row r="299" customFormat="false" ht="15" hidden="false" customHeight="false" outlineLevel="0" collapsed="false">
      <c r="A299" s="5" t="s">
        <v>985</v>
      </c>
      <c r="B299" s="5" t="s">
        <v>83</v>
      </c>
      <c r="C299" s="5" t="s">
        <v>84</v>
      </c>
      <c r="D299" s="5" t="s">
        <v>395</v>
      </c>
      <c r="E299" s="5" t="s">
        <v>980</v>
      </c>
      <c r="F299" s="5" t="n">
        <v>12</v>
      </c>
      <c r="G299" s="5" t="n">
        <v>6</v>
      </c>
      <c r="H299" s="6" t="str">
        <f aca="false">IF(N299="","",N299&amp;IF(AND(MOD(N299,100)&gt;=11,MOD(N299,100)&lt;=13),"th",CHOOSE(MIN(5,MOD(N299,10)+1),"th","st","nd","rd","th")))</f>
        <v>3rd</v>
      </c>
      <c r="I299" s="5" t="s">
        <v>687</v>
      </c>
      <c r="J299" s="6" t="n">
        <f aca="false">IFERROR(INDEX(Rounds!$A:$A,MATCH(I299,Rounds!$B:$B,0)),"ADD LEAGUE TO ROUNDS")</f>
        <v>3</v>
      </c>
      <c r="K299" s="6" t="n">
        <f aca="false">IFERROR(VALUE(LEFT(E299,FIND(" - ",E299)-1)),"")</f>
        <v>8</v>
      </c>
      <c r="L299" s="5" t="s">
        <v>986</v>
      </c>
      <c r="N299" s="6" t="n">
        <f aca="false">IF(F299="","",1+COUNTIFS($J:$J,J299,$K:$K,K299,$F:$F,"&gt;"&amp;F299)+COUNTIFS($J:$J,J299,$K:$K,K299,$F:$F,F299,$G:$G,"&gt;"&amp;G299))</f>
        <v>3</v>
      </c>
      <c r="O299" s="6" t="n">
        <f aca="false">IF(L299="","",SUMIFS(Votes!$E:$E,Votes!$A:$A,J299,Votes!$B:$B,K299,Votes!$D:$D,L299))</f>
        <v>12</v>
      </c>
      <c r="P299" s="6" t="n">
        <f aca="false">IF(L299="","",COUNTIFS(Votes!$A:$A,J299,Votes!$B:$B,K299,Votes!$D:$D,L299))</f>
        <v>6</v>
      </c>
      <c r="Q299" s="7" t="str">
        <f aca="false">IF(F299="","Unscored",IF(O299="","No URI",IF(AND(F299=0,O299=0),"Zero-vote",IF(AND(F299=O299,G299=P299),"OK",IF(AND(F299=0,O299&gt;0,COUNTIFS(Votes!$A:$A,J299,Votes!$B:$B,K299,Votes!$C:$C,D299)=0),"Forfeited","Mismatch")))))</f>
        <v>OK</v>
      </c>
      <c r="R299" s="6" t="n">
        <f aca="false">MAX(IF(L299&lt;&gt;"",COUNTIF($L:$L,L299),0),COUNTIFS($A:$A,A299,$B:$B,B299))</f>
        <v>1</v>
      </c>
      <c r="S299" s="6" t="str">
        <f aca="false">IF(R299&gt;1,COUNTIF($R$2:R299,"&gt;1"),"")</f>
        <v/>
      </c>
      <c r="T299" s="6" t="str">
        <f aca="false">IF(L299="","",J299&amp;"|"&amp;K299&amp;"|"&amp;L299)</f>
        <v>3|8|spotify:track:7DVcgqaCDXtwZIjRTPb8bm</v>
      </c>
      <c r="U299" s="6" t="str">
        <f aca="false">IF(C299="","",IFERROR(INDEX(Lists!$F:$F,MATCH(C299,Lists!$E:$E,0)),"Unmapped"))</f>
        <v>Pop</v>
      </c>
    </row>
    <row r="300" customFormat="false" ht="15" hidden="false" customHeight="false" outlineLevel="0" collapsed="false">
      <c r="A300" s="5" t="s">
        <v>987</v>
      </c>
      <c r="B300" s="5" t="s">
        <v>988</v>
      </c>
      <c r="C300" s="5" t="s">
        <v>84</v>
      </c>
      <c r="D300" s="5" t="s">
        <v>128</v>
      </c>
      <c r="E300" s="5" t="s">
        <v>980</v>
      </c>
      <c r="F300" s="5" t="n">
        <v>11</v>
      </c>
      <c r="G300" s="5" t="n">
        <v>9</v>
      </c>
      <c r="H300" s="6" t="str">
        <f aca="false">IF(N300="","",N300&amp;IF(AND(MOD(N300,100)&gt;=11,MOD(N300,100)&lt;=13),"th",CHOOSE(MIN(5,MOD(N300,10)+1),"th","st","nd","rd","th")))</f>
        <v>4th</v>
      </c>
      <c r="I300" s="5" t="s">
        <v>687</v>
      </c>
      <c r="J300" s="6" t="n">
        <f aca="false">IFERROR(INDEX(Rounds!$A:$A,MATCH(I300,Rounds!$B:$B,0)),"ADD LEAGUE TO ROUNDS")</f>
        <v>3</v>
      </c>
      <c r="K300" s="6" t="n">
        <f aca="false">IFERROR(VALUE(LEFT(E300,FIND(" - ",E300)-1)),"")</f>
        <v>8</v>
      </c>
      <c r="L300" s="5" t="s">
        <v>989</v>
      </c>
      <c r="N300" s="6" t="n">
        <f aca="false">IF(F300="","",1+COUNTIFS($J:$J,J300,$K:$K,K300,$F:$F,"&gt;"&amp;F300)+COUNTIFS($J:$J,J300,$K:$K,K300,$F:$F,F300,$G:$G,"&gt;"&amp;G300))</f>
        <v>4</v>
      </c>
      <c r="O300" s="6" t="n">
        <f aca="false">IF(L300="","",SUMIFS(Votes!$E:$E,Votes!$A:$A,J300,Votes!$B:$B,K300,Votes!$D:$D,L300))</f>
        <v>11</v>
      </c>
      <c r="P300" s="6" t="n">
        <f aca="false">IF(L300="","",COUNTIFS(Votes!$A:$A,J300,Votes!$B:$B,K300,Votes!$D:$D,L300))</f>
        <v>9</v>
      </c>
      <c r="Q300" s="7" t="str">
        <f aca="false">IF(F300="","Unscored",IF(O300="","No URI",IF(AND(F300=0,O300=0),"Zero-vote",IF(AND(F300=O300,G300=P300),"OK",IF(AND(F300=0,O300&gt;0,COUNTIFS(Votes!$A:$A,J300,Votes!$B:$B,K300,Votes!$C:$C,D300)=0),"Forfeited","Mismatch")))))</f>
        <v>OK</v>
      </c>
      <c r="R300" s="6" t="n">
        <f aca="false">MAX(IF(L300&lt;&gt;"",COUNTIF($L:$L,L300),0),COUNTIFS($A:$A,A300,$B:$B,B300))</f>
        <v>1</v>
      </c>
      <c r="S300" s="6" t="str">
        <f aca="false">IF(R300&gt;1,COUNTIF($R$2:R300,"&gt;1"),"")</f>
        <v/>
      </c>
      <c r="T300" s="6" t="str">
        <f aca="false">IF(L300="","",J300&amp;"|"&amp;K300&amp;"|"&amp;L300)</f>
        <v>3|8|spotify:track:64VP3skE86iTvdOlbzuIcO</v>
      </c>
      <c r="U300" s="6" t="str">
        <f aca="false">IF(C300="","",IFERROR(INDEX(Lists!$F:$F,MATCH(C300,Lists!$E:$E,0)),"Unmapped"))</f>
        <v>Pop</v>
      </c>
    </row>
    <row r="301" customFormat="false" ht="15" hidden="false" customHeight="false" outlineLevel="0" collapsed="false">
      <c r="A301" s="5" t="s">
        <v>990</v>
      </c>
      <c r="B301" s="5" t="s">
        <v>991</v>
      </c>
      <c r="C301" s="5" t="s">
        <v>506</v>
      </c>
      <c r="D301" s="5" t="s">
        <v>85</v>
      </c>
      <c r="E301" s="5" t="s">
        <v>980</v>
      </c>
      <c r="F301" s="5" t="n">
        <v>11</v>
      </c>
      <c r="G301" s="5" t="n">
        <v>9</v>
      </c>
      <c r="H301" s="6" t="str">
        <f aca="false">IF(N301="","",N301&amp;IF(AND(MOD(N301,100)&gt;=11,MOD(N301,100)&lt;=13),"th",CHOOSE(MIN(5,MOD(N301,10)+1),"th","st","nd","rd","th")))</f>
        <v>4th</v>
      </c>
      <c r="I301" s="5" t="s">
        <v>687</v>
      </c>
      <c r="J301" s="6" t="n">
        <f aca="false">IFERROR(INDEX(Rounds!$A:$A,MATCH(I301,Rounds!$B:$B,0)),"ADD LEAGUE TO ROUNDS")</f>
        <v>3</v>
      </c>
      <c r="K301" s="6" t="n">
        <f aca="false">IFERROR(VALUE(LEFT(E301,FIND(" - ",E301)-1)),"")</f>
        <v>8</v>
      </c>
      <c r="L301" s="5" t="s">
        <v>992</v>
      </c>
      <c r="N301" s="6" t="n">
        <f aca="false">IF(F301="","",1+COUNTIFS($J:$J,J301,$K:$K,K301,$F:$F,"&gt;"&amp;F301)+COUNTIFS($J:$J,J301,$K:$K,K301,$F:$F,F301,$G:$G,"&gt;"&amp;G301))</f>
        <v>4</v>
      </c>
      <c r="O301" s="6" t="n">
        <f aca="false">IF(L301="","",SUMIFS(Votes!$E:$E,Votes!$A:$A,J301,Votes!$B:$B,K301,Votes!$D:$D,L301))</f>
        <v>11</v>
      </c>
      <c r="P301" s="6" t="n">
        <f aca="false">IF(L301="","",COUNTIFS(Votes!$A:$A,J301,Votes!$B:$B,K301,Votes!$D:$D,L301))</f>
        <v>9</v>
      </c>
      <c r="Q301" s="7" t="str">
        <f aca="false">IF(F301="","Unscored",IF(O301="","No URI",IF(AND(F301=0,O301=0),"Zero-vote",IF(AND(F301=O301,G301=P301),"OK",IF(AND(F301=0,O301&gt;0,COUNTIFS(Votes!$A:$A,J301,Votes!$B:$B,K301,Votes!$C:$C,D301)=0),"Forfeited","Mismatch")))))</f>
        <v>OK</v>
      </c>
      <c r="R301" s="6" t="n">
        <f aca="false">MAX(IF(L301&lt;&gt;"",COUNTIF($L:$L,L301),0),COUNTIFS($A:$A,A301,$B:$B,B301))</f>
        <v>1</v>
      </c>
      <c r="S301" s="6" t="str">
        <f aca="false">IF(R301&gt;1,COUNTIF($R$2:R301,"&gt;1"),"")</f>
        <v/>
      </c>
      <c r="T301" s="6" t="str">
        <f aca="false">IF(L301="","",J301&amp;"|"&amp;K301&amp;"|"&amp;L301)</f>
        <v>3|8|spotify:track:08QaHlMPWuO5PUxjl61bXn</v>
      </c>
      <c r="U301" s="6" t="str">
        <f aca="false">IF(C301="","",IFERROR(INDEX(Lists!$F:$F,MATCH(C301,Lists!$E:$E,0)),"Unmapped"))</f>
        <v>Classical/Score</v>
      </c>
    </row>
    <row r="302" customFormat="false" ht="15" hidden="false" customHeight="false" outlineLevel="0" collapsed="false">
      <c r="A302" s="5" t="s">
        <v>993</v>
      </c>
      <c r="B302" s="5" t="s">
        <v>994</v>
      </c>
      <c r="C302" s="5" t="s">
        <v>132</v>
      </c>
      <c r="D302" s="5" t="s">
        <v>119</v>
      </c>
      <c r="E302" s="5" t="s">
        <v>980</v>
      </c>
      <c r="F302" s="5" t="n">
        <v>11</v>
      </c>
      <c r="G302" s="5" t="n">
        <v>7</v>
      </c>
      <c r="H302" s="6" t="str">
        <f aca="false">IF(N302="","",N302&amp;IF(AND(MOD(N302,100)&gt;=11,MOD(N302,100)&lt;=13),"th",CHOOSE(MIN(5,MOD(N302,10)+1),"th","st","nd","rd","th")))</f>
        <v>6th</v>
      </c>
      <c r="I302" s="5" t="s">
        <v>687</v>
      </c>
      <c r="J302" s="6" t="n">
        <f aca="false">IFERROR(INDEX(Rounds!$A:$A,MATCH(I302,Rounds!$B:$B,0)),"ADD LEAGUE TO ROUNDS")</f>
        <v>3</v>
      </c>
      <c r="K302" s="6" t="n">
        <f aca="false">IFERROR(VALUE(LEFT(E302,FIND(" - ",E302)-1)),"")</f>
        <v>8</v>
      </c>
      <c r="L302" s="5" t="s">
        <v>995</v>
      </c>
      <c r="N302" s="6" t="n">
        <f aca="false">IF(F302="","",1+COUNTIFS($J:$J,J302,$K:$K,K302,$F:$F,"&gt;"&amp;F302)+COUNTIFS($J:$J,J302,$K:$K,K302,$F:$F,F302,$G:$G,"&gt;"&amp;G302))</f>
        <v>6</v>
      </c>
      <c r="O302" s="6" t="n">
        <f aca="false">IF(L302="","",SUMIFS(Votes!$E:$E,Votes!$A:$A,J302,Votes!$B:$B,K302,Votes!$D:$D,L302))</f>
        <v>11</v>
      </c>
      <c r="P302" s="6" t="n">
        <f aca="false">IF(L302="","",COUNTIFS(Votes!$A:$A,J302,Votes!$B:$B,K302,Votes!$D:$D,L302))</f>
        <v>7</v>
      </c>
      <c r="Q302" s="7" t="str">
        <f aca="false">IF(F302="","Unscored",IF(O302="","No URI",IF(AND(F302=0,O302=0),"Zero-vote",IF(AND(F302=O302,G302=P302),"OK",IF(AND(F302=0,O302&gt;0,COUNTIFS(Votes!$A:$A,J302,Votes!$B:$B,K302,Votes!$C:$C,D302)=0),"Forfeited","Mismatch")))))</f>
        <v>OK</v>
      </c>
      <c r="R302" s="6" t="n">
        <f aca="false">MAX(IF(L302&lt;&gt;"",COUNTIF($L:$L,L302),0),COUNTIFS($A:$A,A302,$B:$B,B302))</f>
        <v>1</v>
      </c>
      <c r="S302" s="6" t="str">
        <f aca="false">IF(R302&gt;1,COUNTIF($R$2:R302,"&gt;1"),"")</f>
        <v/>
      </c>
      <c r="T302" s="6" t="str">
        <f aca="false">IF(L302="","",J302&amp;"|"&amp;K302&amp;"|"&amp;L302)</f>
        <v>3|8|spotify:track:0NJWhm3hUwIZSy5s0TGJ8q</v>
      </c>
      <c r="U302" s="6" t="str">
        <f aca="false">IF(C302="","",IFERROR(INDEX(Lists!$F:$F,MATCH(C302,Lists!$E:$E,0)),"Unmapped"))</f>
        <v>Soundtrack/Musical</v>
      </c>
    </row>
    <row r="303" customFormat="false" ht="15" hidden="false" customHeight="false" outlineLevel="0" collapsed="false">
      <c r="A303" s="5" t="s">
        <v>996</v>
      </c>
      <c r="B303" s="5" t="s">
        <v>997</v>
      </c>
      <c r="C303" s="5" t="s">
        <v>248</v>
      </c>
      <c r="D303" s="5" t="s">
        <v>705</v>
      </c>
      <c r="E303" s="5" t="s">
        <v>980</v>
      </c>
      <c r="F303" s="5" t="n">
        <v>10</v>
      </c>
      <c r="G303" s="5" t="n">
        <v>8</v>
      </c>
      <c r="H303" s="6" t="str">
        <f aca="false">IF(N303="","",N303&amp;IF(AND(MOD(N303,100)&gt;=11,MOD(N303,100)&lt;=13),"th",CHOOSE(MIN(5,MOD(N303,10)+1),"th","st","nd","rd","th")))</f>
        <v>7th</v>
      </c>
      <c r="I303" s="5" t="s">
        <v>687</v>
      </c>
      <c r="J303" s="6" t="n">
        <f aca="false">IFERROR(INDEX(Rounds!$A:$A,MATCH(I303,Rounds!$B:$B,0)),"ADD LEAGUE TO ROUNDS")</f>
        <v>3</v>
      </c>
      <c r="K303" s="6" t="n">
        <f aca="false">IFERROR(VALUE(LEFT(E303,FIND(" - ",E303)-1)),"")</f>
        <v>8</v>
      </c>
      <c r="L303" s="5" t="s">
        <v>998</v>
      </c>
      <c r="N303" s="6" t="n">
        <f aca="false">IF(F303="","",1+COUNTIFS($J:$J,J303,$K:$K,K303,$F:$F,"&gt;"&amp;F303)+COUNTIFS($J:$J,J303,$K:$K,K303,$F:$F,F303,$G:$G,"&gt;"&amp;G303))</f>
        <v>7</v>
      </c>
      <c r="O303" s="6" t="n">
        <f aca="false">IF(L303="","",SUMIFS(Votes!$E:$E,Votes!$A:$A,J303,Votes!$B:$B,K303,Votes!$D:$D,L303))</f>
        <v>10</v>
      </c>
      <c r="P303" s="6" t="n">
        <f aca="false">IF(L303="","",COUNTIFS(Votes!$A:$A,J303,Votes!$B:$B,K303,Votes!$D:$D,L303))</f>
        <v>8</v>
      </c>
      <c r="Q303" s="7" t="str">
        <f aca="false">IF(F303="","Unscored",IF(O303="","No URI",IF(AND(F303=0,O303=0),"Zero-vote",IF(AND(F303=O303,G303=P303),"OK",IF(AND(F303=0,O303&gt;0,COUNTIFS(Votes!$A:$A,J303,Votes!$B:$B,K303,Votes!$C:$C,D303)=0),"Forfeited","Mismatch")))))</f>
        <v>OK</v>
      </c>
      <c r="R303" s="6" t="n">
        <f aca="false">MAX(IF(L303&lt;&gt;"",COUNTIF($L:$L,L303),0),COUNTIFS($A:$A,A303,$B:$B,B303))</f>
        <v>1</v>
      </c>
      <c r="S303" s="6" t="str">
        <f aca="false">IF(R303&gt;1,COUNTIF($R$2:R303,"&gt;1"),"")</f>
        <v/>
      </c>
      <c r="T303" s="6" t="str">
        <f aca="false">IF(L303="","",J303&amp;"|"&amp;K303&amp;"|"&amp;L303)</f>
        <v>3|8|spotify:track:0dzbfio3qTYG9uk40SJNcr</v>
      </c>
      <c r="U303" s="6" t="str">
        <f aca="false">IF(C303="","",IFERROR(INDEX(Lists!$F:$F,MATCH(C303,Lists!$E:$E,0)),"Unmapped"))</f>
        <v>Folk/Americana</v>
      </c>
    </row>
    <row r="304" customFormat="false" ht="15" hidden="false" customHeight="false" outlineLevel="0" collapsed="false">
      <c r="A304" s="5" t="s">
        <v>999</v>
      </c>
      <c r="B304" s="5" t="s">
        <v>1000</v>
      </c>
      <c r="C304" s="5" t="s">
        <v>248</v>
      </c>
      <c r="D304" s="5" t="s">
        <v>382</v>
      </c>
      <c r="E304" s="5" t="s">
        <v>980</v>
      </c>
      <c r="F304" s="5" t="n">
        <v>10</v>
      </c>
      <c r="G304" s="5" t="n">
        <v>7</v>
      </c>
      <c r="H304" s="6" t="str">
        <f aca="false">IF(N304="","",N304&amp;IF(AND(MOD(N304,100)&gt;=11,MOD(N304,100)&lt;=13),"th",CHOOSE(MIN(5,MOD(N304,10)+1),"th","st","nd","rd","th")))</f>
        <v>8th</v>
      </c>
      <c r="I304" s="5" t="s">
        <v>687</v>
      </c>
      <c r="J304" s="6" t="n">
        <f aca="false">IFERROR(INDEX(Rounds!$A:$A,MATCH(I304,Rounds!$B:$B,0)),"ADD LEAGUE TO ROUNDS")</f>
        <v>3</v>
      </c>
      <c r="K304" s="6" t="n">
        <f aca="false">IFERROR(VALUE(LEFT(E304,FIND(" - ",E304)-1)),"")</f>
        <v>8</v>
      </c>
      <c r="L304" s="5" t="s">
        <v>1001</v>
      </c>
      <c r="N304" s="6" t="n">
        <f aca="false">IF(F304="","",1+COUNTIFS($J:$J,J304,$K:$K,K304,$F:$F,"&gt;"&amp;F304)+COUNTIFS($J:$J,J304,$K:$K,K304,$F:$F,F304,$G:$G,"&gt;"&amp;G304))</f>
        <v>8</v>
      </c>
      <c r="O304" s="6" t="n">
        <f aca="false">IF(L304="","",SUMIFS(Votes!$E:$E,Votes!$A:$A,J304,Votes!$B:$B,K304,Votes!$D:$D,L304))</f>
        <v>10</v>
      </c>
      <c r="P304" s="6" t="n">
        <f aca="false">IF(L304="","",COUNTIFS(Votes!$A:$A,J304,Votes!$B:$B,K304,Votes!$D:$D,L304))</f>
        <v>7</v>
      </c>
      <c r="Q304" s="7" t="str">
        <f aca="false">IF(F304="","Unscored",IF(O304="","No URI",IF(AND(F304=0,O304=0),"Zero-vote",IF(AND(F304=O304,G304=P304),"OK",IF(AND(F304=0,O304&gt;0,COUNTIFS(Votes!$A:$A,J304,Votes!$B:$B,K304,Votes!$C:$C,D304)=0),"Forfeited","Mismatch")))))</f>
        <v>OK</v>
      </c>
      <c r="R304" s="6" t="n">
        <f aca="false">MAX(IF(L304&lt;&gt;"",COUNTIF($L:$L,L304),0),COUNTIFS($A:$A,A304,$B:$B,B304))</f>
        <v>1</v>
      </c>
      <c r="S304" s="6" t="str">
        <f aca="false">IF(R304&gt;1,COUNTIF($R$2:R304,"&gt;1"),"")</f>
        <v/>
      </c>
      <c r="T304" s="6" t="str">
        <f aca="false">IF(L304="","",J304&amp;"|"&amp;K304&amp;"|"&amp;L304)</f>
        <v>3|8|spotify:track:5PbdVk09VHHcvGa0pX86RP</v>
      </c>
      <c r="U304" s="6" t="str">
        <f aca="false">IF(C304="","",IFERROR(INDEX(Lists!$F:$F,MATCH(C304,Lists!$E:$E,0)),"Unmapped"))</f>
        <v>Folk/Americana</v>
      </c>
    </row>
    <row r="305" customFormat="false" ht="15" hidden="false" customHeight="false" outlineLevel="0" collapsed="false">
      <c r="A305" s="5" t="s">
        <v>1002</v>
      </c>
      <c r="B305" s="5" t="s">
        <v>1003</v>
      </c>
      <c r="C305" s="5" t="s">
        <v>84</v>
      </c>
      <c r="D305" s="5" t="s">
        <v>101</v>
      </c>
      <c r="E305" s="5" t="s">
        <v>980</v>
      </c>
      <c r="F305" s="5" t="n">
        <v>10</v>
      </c>
      <c r="G305" s="5" t="n">
        <v>7</v>
      </c>
      <c r="H305" s="6" t="str">
        <f aca="false">IF(N305="","",N305&amp;IF(AND(MOD(N305,100)&gt;=11,MOD(N305,100)&lt;=13),"th",CHOOSE(MIN(5,MOD(N305,10)+1),"th","st","nd","rd","th")))</f>
        <v>8th</v>
      </c>
      <c r="I305" s="5" t="s">
        <v>687</v>
      </c>
      <c r="J305" s="6" t="n">
        <f aca="false">IFERROR(INDEX(Rounds!$A:$A,MATCH(I305,Rounds!$B:$B,0)),"ADD LEAGUE TO ROUNDS")</f>
        <v>3</v>
      </c>
      <c r="K305" s="6" t="n">
        <f aca="false">IFERROR(VALUE(LEFT(E305,FIND(" - ",E305)-1)),"")</f>
        <v>8</v>
      </c>
      <c r="L305" s="5" t="s">
        <v>1004</v>
      </c>
      <c r="N305" s="6" t="n">
        <f aca="false">IF(F305="","",1+COUNTIFS($J:$J,J305,$K:$K,K305,$F:$F,"&gt;"&amp;F305)+COUNTIFS($J:$J,J305,$K:$K,K305,$F:$F,F305,$G:$G,"&gt;"&amp;G305))</f>
        <v>8</v>
      </c>
      <c r="O305" s="6" t="n">
        <f aca="false">IF(L305="","",SUMIFS(Votes!$E:$E,Votes!$A:$A,J305,Votes!$B:$B,K305,Votes!$D:$D,L305))</f>
        <v>10</v>
      </c>
      <c r="P305" s="6" t="n">
        <f aca="false">IF(L305="","",COUNTIFS(Votes!$A:$A,J305,Votes!$B:$B,K305,Votes!$D:$D,L305))</f>
        <v>7</v>
      </c>
      <c r="Q305" s="7" t="str">
        <f aca="false">IF(F305="","Unscored",IF(O305="","No URI",IF(AND(F305=0,O305=0),"Zero-vote",IF(AND(F305=O305,G305=P305),"OK",IF(AND(F305=0,O305&gt;0,COUNTIFS(Votes!$A:$A,J305,Votes!$B:$B,K305,Votes!$C:$C,D305)=0),"Forfeited","Mismatch")))))</f>
        <v>OK</v>
      </c>
      <c r="R305" s="6" t="n">
        <f aca="false">MAX(IF(L305&lt;&gt;"",COUNTIF($L:$L,L305),0),COUNTIFS($A:$A,A305,$B:$B,B305))</f>
        <v>1</v>
      </c>
      <c r="S305" s="6" t="str">
        <f aca="false">IF(R305&gt;1,COUNTIF($R$2:R305,"&gt;1"),"")</f>
        <v/>
      </c>
      <c r="T305" s="6" t="str">
        <f aca="false">IF(L305="","",J305&amp;"|"&amp;K305&amp;"|"&amp;L305)</f>
        <v>3|8|spotify:track:1Ao5nOuAUm42ob1UVvOkgW</v>
      </c>
      <c r="U305" s="6" t="str">
        <f aca="false">IF(C305="","",IFERROR(INDEX(Lists!$F:$F,MATCH(C305,Lists!$E:$E,0)),"Unmapped"))</f>
        <v>Pop</v>
      </c>
    </row>
    <row r="306" customFormat="false" ht="15" hidden="false" customHeight="false" outlineLevel="0" collapsed="false">
      <c r="A306" s="5" t="s">
        <v>1005</v>
      </c>
      <c r="B306" s="5" t="s">
        <v>1006</v>
      </c>
      <c r="C306" s="5" t="s">
        <v>84</v>
      </c>
      <c r="D306" s="5" t="s">
        <v>116</v>
      </c>
      <c r="E306" s="5" t="s">
        <v>980</v>
      </c>
      <c r="F306" s="5" t="n">
        <v>10</v>
      </c>
      <c r="G306" s="5" t="n">
        <v>6</v>
      </c>
      <c r="H306" s="6" t="str">
        <f aca="false">IF(N306="","",N306&amp;IF(AND(MOD(N306,100)&gt;=11,MOD(N306,100)&lt;=13),"th",CHOOSE(MIN(5,MOD(N306,10)+1),"th","st","nd","rd","th")))</f>
        <v>10th</v>
      </c>
      <c r="I306" s="5" t="s">
        <v>687</v>
      </c>
      <c r="J306" s="6" t="n">
        <f aca="false">IFERROR(INDEX(Rounds!$A:$A,MATCH(I306,Rounds!$B:$B,0)),"ADD LEAGUE TO ROUNDS")</f>
        <v>3</v>
      </c>
      <c r="K306" s="6" t="n">
        <f aca="false">IFERROR(VALUE(LEFT(E306,FIND(" - ",E306)-1)),"")</f>
        <v>8</v>
      </c>
      <c r="L306" s="5" t="s">
        <v>1007</v>
      </c>
      <c r="N306" s="6" t="n">
        <f aca="false">IF(F306="","",1+COUNTIFS($J:$J,J306,$K:$K,K306,$F:$F,"&gt;"&amp;F306)+COUNTIFS($J:$J,J306,$K:$K,K306,$F:$F,F306,$G:$G,"&gt;"&amp;G306))</f>
        <v>10</v>
      </c>
      <c r="O306" s="6" t="n">
        <f aca="false">IF(L306="","",SUMIFS(Votes!$E:$E,Votes!$A:$A,J306,Votes!$B:$B,K306,Votes!$D:$D,L306))</f>
        <v>10</v>
      </c>
      <c r="P306" s="6" t="n">
        <f aca="false">IF(L306="","",COUNTIFS(Votes!$A:$A,J306,Votes!$B:$B,K306,Votes!$D:$D,L306))</f>
        <v>6</v>
      </c>
      <c r="Q306" s="7" t="str">
        <f aca="false">IF(F306="","Unscored",IF(O306="","No URI",IF(AND(F306=0,O306=0),"Zero-vote",IF(AND(F306=O306,G306=P306),"OK",IF(AND(F306=0,O306&gt;0,COUNTIFS(Votes!$A:$A,J306,Votes!$B:$B,K306,Votes!$C:$C,D306)=0),"Forfeited","Mismatch")))))</f>
        <v>OK</v>
      </c>
      <c r="R306" s="6" t="n">
        <f aca="false">MAX(IF(L306&lt;&gt;"",COUNTIF($L:$L,L306),0),COUNTIFS($A:$A,A306,$B:$B,B306))</f>
        <v>1</v>
      </c>
      <c r="S306" s="6" t="str">
        <f aca="false">IF(R306&gt;1,COUNTIF($R$2:R306,"&gt;1"),"")</f>
        <v/>
      </c>
      <c r="T306" s="6" t="str">
        <f aca="false">IF(L306="","",J306&amp;"|"&amp;K306&amp;"|"&amp;L306)</f>
        <v>3|8|spotify:track:2Tf3o75XkU0IS06tYgEuvn</v>
      </c>
      <c r="U306" s="6" t="str">
        <f aca="false">IF(C306="","",IFERROR(INDEX(Lists!$F:$F,MATCH(C306,Lists!$E:$E,0)),"Unmapped"))</f>
        <v>Pop</v>
      </c>
    </row>
    <row r="307" customFormat="false" ht="15" hidden="false" customHeight="false" outlineLevel="0" collapsed="false">
      <c r="A307" s="5" t="s">
        <v>1008</v>
      </c>
      <c r="B307" s="5" t="s">
        <v>446</v>
      </c>
      <c r="C307" s="5" t="s">
        <v>91</v>
      </c>
      <c r="D307" s="5" t="s">
        <v>106</v>
      </c>
      <c r="E307" s="5" t="s">
        <v>980</v>
      </c>
      <c r="F307" s="5" t="n">
        <v>8</v>
      </c>
      <c r="G307" s="5" t="n">
        <v>6</v>
      </c>
      <c r="H307" s="6" t="str">
        <f aca="false">IF(N307="","",N307&amp;IF(AND(MOD(N307,100)&gt;=11,MOD(N307,100)&lt;=13),"th",CHOOSE(MIN(5,MOD(N307,10)+1),"th","st","nd","rd","th")))</f>
        <v>11th</v>
      </c>
      <c r="I307" s="5" t="s">
        <v>687</v>
      </c>
      <c r="J307" s="6" t="n">
        <f aca="false">IFERROR(INDEX(Rounds!$A:$A,MATCH(I307,Rounds!$B:$B,0)),"ADD LEAGUE TO ROUNDS")</f>
        <v>3</v>
      </c>
      <c r="K307" s="6" t="n">
        <f aca="false">IFERROR(VALUE(LEFT(E307,FIND(" - ",E307)-1)),"")</f>
        <v>8</v>
      </c>
      <c r="L307" s="5" t="s">
        <v>1009</v>
      </c>
      <c r="N307" s="6" t="n">
        <f aca="false">IF(F307="","",1+COUNTIFS($J:$J,J307,$K:$K,K307,$F:$F,"&gt;"&amp;F307)+COUNTIFS($J:$J,J307,$K:$K,K307,$F:$F,F307,$G:$G,"&gt;"&amp;G307))</f>
        <v>11</v>
      </c>
      <c r="O307" s="6" t="n">
        <f aca="false">IF(L307="","",SUMIFS(Votes!$E:$E,Votes!$A:$A,J307,Votes!$B:$B,K307,Votes!$D:$D,L307))</f>
        <v>8</v>
      </c>
      <c r="P307" s="6" t="n">
        <f aca="false">IF(L307="","",COUNTIFS(Votes!$A:$A,J307,Votes!$B:$B,K307,Votes!$D:$D,L307))</f>
        <v>6</v>
      </c>
      <c r="Q307" s="7" t="str">
        <f aca="false">IF(F307="","Unscored",IF(O307="","No URI",IF(AND(F307=0,O307=0),"Zero-vote",IF(AND(F307=O307,G307=P307),"OK",IF(AND(F307=0,O307&gt;0,COUNTIFS(Votes!$A:$A,J307,Votes!$B:$B,K307,Votes!$C:$C,D307)=0),"Forfeited","Mismatch")))))</f>
        <v>OK</v>
      </c>
      <c r="R307" s="6" t="n">
        <f aca="false">MAX(IF(L307&lt;&gt;"",COUNTIF($L:$L,L307),0),COUNTIFS($A:$A,A307,$B:$B,B307))</f>
        <v>1</v>
      </c>
      <c r="S307" s="6" t="str">
        <f aca="false">IF(R307&gt;1,COUNTIF($R$2:R307,"&gt;1"),"")</f>
        <v/>
      </c>
      <c r="T307" s="6" t="str">
        <f aca="false">IF(L307="","",J307&amp;"|"&amp;K307&amp;"|"&amp;L307)</f>
        <v>3|8|spotify:track:1RC9slv335IfLce5vt9KTW</v>
      </c>
      <c r="U307" s="6" t="str">
        <f aca="false">IF(C307="","",IFERROR(INDEX(Lists!$F:$F,MATCH(C307,Lists!$E:$E,0)),"Unmapped"))</f>
        <v>Rock</v>
      </c>
    </row>
    <row r="308" customFormat="false" ht="15" hidden="false" customHeight="false" outlineLevel="0" collapsed="false">
      <c r="A308" s="5" t="s">
        <v>1010</v>
      </c>
      <c r="B308" s="5" t="s">
        <v>1011</v>
      </c>
      <c r="C308" s="5" t="s">
        <v>84</v>
      </c>
      <c r="D308" s="5" t="s">
        <v>375</v>
      </c>
      <c r="E308" s="5" t="s">
        <v>980</v>
      </c>
      <c r="F308" s="5" t="n">
        <v>5</v>
      </c>
      <c r="G308" s="5" t="n">
        <v>4</v>
      </c>
      <c r="H308" s="6" t="str">
        <f aca="false">IF(N308="","",N308&amp;IF(AND(MOD(N308,100)&gt;=11,MOD(N308,100)&lt;=13),"th",CHOOSE(MIN(5,MOD(N308,10)+1),"th","st","nd","rd","th")))</f>
        <v>12th</v>
      </c>
      <c r="I308" s="5" t="s">
        <v>687</v>
      </c>
      <c r="J308" s="6" t="n">
        <f aca="false">IFERROR(INDEX(Rounds!$A:$A,MATCH(I308,Rounds!$B:$B,0)),"ADD LEAGUE TO ROUNDS")</f>
        <v>3</v>
      </c>
      <c r="K308" s="6" t="n">
        <f aca="false">IFERROR(VALUE(LEFT(E308,FIND(" - ",E308)-1)),"")</f>
        <v>8</v>
      </c>
      <c r="L308" s="5" t="s">
        <v>1012</v>
      </c>
      <c r="N308" s="6" t="n">
        <f aca="false">IF(F308="","",1+COUNTIFS($J:$J,J308,$K:$K,K308,$F:$F,"&gt;"&amp;F308)+COUNTIFS($J:$J,J308,$K:$K,K308,$F:$F,F308,$G:$G,"&gt;"&amp;G308))</f>
        <v>12</v>
      </c>
      <c r="O308" s="6" t="n">
        <f aca="false">IF(L308="","",SUMIFS(Votes!$E:$E,Votes!$A:$A,J308,Votes!$B:$B,K308,Votes!$D:$D,L308))</f>
        <v>5</v>
      </c>
      <c r="P308" s="6" t="n">
        <f aca="false">IF(L308="","",COUNTIFS(Votes!$A:$A,J308,Votes!$B:$B,K308,Votes!$D:$D,L308))</f>
        <v>4</v>
      </c>
      <c r="Q308" s="7" t="str">
        <f aca="false">IF(F308="","Unscored",IF(O308="","No URI",IF(AND(F308=0,O308=0),"Zero-vote",IF(AND(F308=O308,G308=P308),"OK",IF(AND(F308=0,O308&gt;0,COUNTIFS(Votes!$A:$A,J308,Votes!$B:$B,K308,Votes!$C:$C,D308)=0),"Forfeited","Mismatch")))))</f>
        <v>OK</v>
      </c>
      <c r="R308" s="6" t="n">
        <f aca="false">MAX(IF(L308&lt;&gt;"",COUNTIF($L:$L,L308),0),COUNTIFS($A:$A,A308,$B:$B,B308))</f>
        <v>1</v>
      </c>
      <c r="S308" s="6" t="str">
        <f aca="false">IF(R308&gt;1,COUNTIF($R$2:R308,"&gt;1"),"")</f>
        <v/>
      </c>
      <c r="T308" s="6" t="str">
        <f aca="false">IF(L308="","",J308&amp;"|"&amp;K308&amp;"|"&amp;L308)</f>
        <v>3|8|spotify:track:57j9wUmiHxii7VpbAdSkPQ</v>
      </c>
      <c r="U308" s="6" t="str">
        <f aca="false">IF(C308="","",IFERROR(INDEX(Lists!$F:$F,MATCH(C308,Lists!$E:$E,0)),"Unmapped"))</f>
        <v>Pop</v>
      </c>
    </row>
    <row r="309" customFormat="false" ht="15" hidden="false" customHeight="false" outlineLevel="0" collapsed="false">
      <c r="A309" s="5" t="s">
        <v>1013</v>
      </c>
      <c r="B309" s="5" t="s">
        <v>1014</v>
      </c>
      <c r="C309" s="5" t="s">
        <v>91</v>
      </c>
      <c r="D309" s="5" t="s">
        <v>719</v>
      </c>
      <c r="E309" s="5" t="s">
        <v>980</v>
      </c>
      <c r="F309" s="5" t="n">
        <v>5</v>
      </c>
      <c r="G309" s="5" t="n">
        <v>4</v>
      </c>
      <c r="H309" s="6" t="str">
        <f aca="false">IF(N309="","",N309&amp;IF(AND(MOD(N309,100)&gt;=11,MOD(N309,100)&lt;=13),"th",CHOOSE(MIN(5,MOD(N309,10)+1),"th","st","nd","rd","th")))</f>
        <v>12th</v>
      </c>
      <c r="I309" s="5" t="s">
        <v>687</v>
      </c>
      <c r="J309" s="6" t="n">
        <f aca="false">IFERROR(INDEX(Rounds!$A:$A,MATCH(I309,Rounds!$B:$B,0)),"ADD LEAGUE TO ROUNDS")</f>
        <v>3</v>
      </c>
      <c r="K309" s="6" t="n">
        <f aca="false">IFERROR(VALUE(LEFT(E309,FIND(" - ",E309)-1)),"")</f>
        <v>8</v>
      </c>
      <c r="L309" s="5" t="s">
        <v>1015</v>
      </c>
      <c r="N309" s="6" t="n">
        <f aca="false">IF(F309="","",1+COUNTIFS($J:$J,J309,$K:$K,K309,$F:$F,"&gt;"&amp;F309)+COUNTIFS($J:$J,J309,$K:$K,K309,$F:$F,F309,$G:$G,"&gt;"&amp;G309))</f>
        <v>12</v>
      </c>
      <c r="O309" s="6" t="n">
        <f aca="false">IF(L309="","",SUMIFS(Votes!$E:$E,Votes!$A:$A,J309,Votes!$B:$B,K309,Votes!$D:$D,L309))</f>
        <v>5</v>
      </c>
      <c r="P309" s="6" t="n">
        <f aca="false">IF(L309="","",COUNTIFS(Votes!$A:$A,J309,Votes!$B:$B,K309,Votes!$D:$D,L309))</f>
        <v>4</v>
      </c>
      <c r="Q309" s="7" t="str">
        <f aca="false">IF(F309="","Unscored",IF(O309="","No URI",IF(AND(F309=0,O309=0),"Zero-vote",IF(AND(F309=O309,G309=P309),"OK",IF(AND(F309=0,O309&gt;0,COUNTIFS(Votes!$A:$A,J309,Votes!$B:$B,K309,Votes!$C:$C,D309)=0),"Forfeited","Mismatch")))))</f>
        <v>OK</v>
      </c>
      <c r="R309" s="6" t="n">
        <f aca="false">MAX(IF(L309&lt;&gt;"",COUNTIF($L:$L,L309),0),COUNTIFS($A:$A,A309,$B:$B,B309))</f>
        <v>1</v>
      </c>
      <c r="S309" s="6" t="str">
        <f aca="false">IF(R309&gt;1,COUNTIF($R$2:R309,"&gt;1"),"")</f>
        <v/>
      </c>
      <c r="T309" s="6" t="str">
        <f aca="false">IF(L309="","",J309&amp;"|"&amp;K309&amp;"|"&amp;L309)</f>
        <v>3|8|spotify:track:0P1jQfRErBjgOSTbVKtCW7</v>
      </c>
      <c r="U309" s="6" t="str">
        <f aca="false">IF(C309="","",IFERROR(INDEX(Lists!$F:$F,MATCH(C309,Lists!$E:$E,0)),"Unmapped"))</f>
        <v>Rock</v>
      </c>
    </row>
    <row r="310" customFormat="false" ht="15" hidden="false" customHeight="false" outlineLevel="0" collapsed="false">
      <c r="A310" s="5" t="s">
        <v>1016</v>
      </c>
      <c r="B310" s="5" t="s">
        <v>1017</v>
      </c>
      <c r="C310" s="5" t="s">
        <v>84</v>
      </c>
      <c r="D310" s="5" t="s">
        <v>101</v>
      </c>
      <c r="E310" s="5" t="s">
        <v>1018</v>
      </c>
      <c r="F310" s="5" t="n">
        <v>14</v>
      </c>
      <c r="G310" s="5" t="n">
        <v>9</v>
      </c>
      <c r="H310" s="6" t="str">
        <f aca="false">IF(N310="","",N310&amp;IF(AND(MOD(N310,100)&gt;=11,MOD(N310,100)&lt;=13),"th",CHOOSE(MIN(5,MOD(N310,10)+1),"th","st","nd","rd","th")))</f>
        <v>1st</v>
      </c>
      <c r="I310" s="5" t="s">
        <v>1019</v>
      </c>
      <c r="J310" s="6" t="n">
        <f aca="false">IFERROR(INDEX(Rounds!$A:$A,MATCH(I310,Rounds!$B:$B,0)),"ADD LEAGUE TO ROUNDS")</f>
        <v>4</v>
      </c>
      <c r="K310" s="6" t="n">
        <f aca="false">IFERROR(VALUE(LEFT(E310,FIND(" - ",E310)-1)),"")</f>
        <v>1</v>
      </c>
      <c r="L310" s="5" t="s">
        <v>1020</v>
      </c>
      <c r="N310" s="6" t="n">
        <f aca="false">IF(F310="","",1+COUNTIFS($J:$J,J310,$K:$K,K310,$F:$F,"&gt;"&amp;F310)+COUNTIFS($J:$J,J310,$K:$K,K310,$F:$F,F310,$G:$G,"&gt;"&amp;G310))</f>
        <v>1</v>
      </c>
      <c r="O310" s="6" t="n">
        <f aca="false">IF(L310="","",SUMIFS(Votes!$E:$E,Votes!$A:$A,J310,Votes!$B:$B,K310,Votes!$D:$D,L310))</f>
        <v>14</v>
      </c>
      <c r="P310" s="6" t="n">
        <f aca="false">IF(L310="","",COUNTIFS(Votes!$A:$A,J310,Votes!$B:$B,K310,Votes!$D:$D,L310))</f>
        <v>9</v>
      </c>
      <c r="Q310" s="7" t="str">
        <f aca="false">IF(F310="","Unscored",IF(O310="","No URI",IF(AND(F310=0,O310=0),"Zero-vote",IF(AND(F310=O310,G310=P310),"OK",IF(AND(F310=0,O310&gt;0,COUNTIFS(Votes!$A:$A,J310,Votes!$B:$B,K310,Votes!$C:$C,D310)=0),"Forfeited","Mismatch")))))</f>
        <v>OK</v>
      </c>
      <c r="R310" s="6" t="n">
        <f aca="false">MAX(IF(L310&lt;&gt;"",COUNTIF($L:$L,L310),0),COUNTIFS($A:$A,A310,$B:$B,B310))</f>
        <v>1</v>
      </c>
      <c r="S310" s="6" t="str">
        <f aca="false">IF(R310&gt;1,COUNTIF($R$2:R310,"&gt;1"),"")</f>
        <v/>
      </c>
      <c r="T310" s="6" t="str">
        <f aca="false">IF(L310="","",J310&amp;"|"&amp;K310&amp;"|"&amp;L310)</f>
        <v>4|1|spotify:track:1RKq0J03X61Mxsm4fXFTTe</v>
      </c>
      <c r="U310" s="6" t="str">
        <f aca="false">IF(C310="","",IFERROR(INDEX(Lists!$F:$F,MATCH(C310,Lists!$E:$E,0)),"Unmapped"))</f>
        <v>Pop</v>
      </c>
    </row>
    <row r="311" customFormat="false" ht="15" hidden="false" customHeight="false" outlineLevel="0" collapsed="false">
      <c r="A311" s="5" t="s">
        <v>1021</v>
      </c>
      <c r="B311" s="5" t="s">
        <v>100</v>
      </c>
      <c r="C311" s="5" t="s">
        <v>91</v>
      </c>
      <c r="D311" s="5" t="s">
        <v>395</v>
      </c>
      <c r="E311" s="5" t="s">
        <v>1018</v>
      </c>
      <c r="F311" s="5" t="n">
        <v>14</v>
      </c>
      <c r="G311" s="5" t="n">
        <v>9</v>
      </c>
      <c r="H311" s="6" t="str">
        <f aca="false">IF(N311="","",N311&amp;IF(AND(MOD(N311,100)&gt;=11,MOD(N311,100)&lt;=13),"th",CHOOSE(MIN(5,MOD(N311,10)+1),"th","st","nd","rd","th")))</f>
        <v>1st</v>
      </c>
      <c r="I311" s="5" t="s">
        <v>1019</v>
      </c>
      <c r="J311" s="6" t="n">
        <f aca="false">IFERROR(INDEX(Rounds!$A:$A,MATCH(I311,Rounds!$B:$B,0)),"ADD LEAGUE TO ROUNDS")</f>
        <v>4</v>
      </c>
      <c r="K311" s="6" t="n">
        <f aca="false">IFERROR(VALUE(LEFT(E311,FIND(" - ",E311)-1)),"")</f>
        <v>1</v>
      </c>
      <c r="L311" s="5" t="s">
        <v>1022</v>
      </c>
      <c r="N311" s="6" t="n">
        <f aca="false">IF(F311="","",1+COUNTIFS($J:$J,J311,$K:$K,K311,$F:$F,"&gt;"&amp;F311)+COUNTIFS($J:$J,J311,$K:$K,K311,$F:$F,F311,$G:$G,"&gt;"&amp;G311))</f>
        <v>1</v>
      </c>
      <c r="O311" s="6" t="n">
        <f aca="false">IF(L311="","",SUMIFS(Votes!$E:$E,Votes!$A:$A,J311,Votes!$B:$B,K311,Votes!$D:$D,L311))</f>
        <v>14</v>
      </c>
      <c r="P311" s="6" t="n">
        <f aca="false">IF(L311="","",COUNTIFS(Votes!$A:$A,J311,Votes!$B:$B,K311,Votes!$D:$D,L311))</f>
        <v>9</v>
      </c>
      <c r="Q311" s="7" t="str">
        <f aca="false">IF(F311="","Unscored",IF(O311="","No URI",IF(AND(F311=0,O311=0),"Zero-vote",IF(AND(F311=O311,G311=P311),"OK",IF(AND(F311=0,O311&gt;0,COUNTIFS(Votes!$A:$A,J311,Votes!$B:$B,K311,Votes!$C:$C,D311)=0),"Forfeited","Mismatch")))))</f>
        <v>OK</v>
      </c>
      <c r="R311" s="6" t="n">
        <f aca="false">MAX(IF(L311&lt;&gt;"",COUNTIF($L:$L,L311),0),COUNTIFS($A:$A,A311,$B:$B,B311))</f>
        <v>1</v>
      </c>
      <c r="S311" s="6" t="str">
        <f aca="false">IF(R311&gt;1,COUNTIF($R$2:R311,"&gt;1"),"")</f>
        <v/>
      </c>
      <c r="T311" s="6" t="str">
        <f aca="false">IF(L311="","",J311&amp;"|"&amp;K311&amp;"|"&amp;L311)</f>
        <v>4|1|spotify:track:3NxWJWftvkstyxvb1pZlFo</v>
      </c>
      <c r="U311" s="6" t="str">
        <f aca="false">IF(C311="","",IFERROR(INDEX(Lists!$F:$F,MATCH(C311,Lists!$E:$E,0)),"Unmapped"))</f>
        <v>Rock</v>
      </c>
    </row>
    <row r="312" customFormat="false" ht="15" hidden="false" customHeight="false" outlineLevel="0" collapsed="false">
      <c r="A312" s="5" t="s">
        <v>1023</v>
      </c>
      <c r="B312" s="5" t="s">
        <v>229</v>
      </c>
      <c r="C312" s="5" t="s">
        <v>84</v>
      </c>
      <c r="D312" s="5" t="s">
        <v>637</v>
      </c>
      <c r="E312" s="5" t="s">
        <v>1018</v>
      </c>
      <c r="F312" s="5" t="n">
        <v>12</v>
      </c>
      <c r="G312" s="5" t="n">
        <v>8</v>
      </c>
      <c r="H312" s="6" t="str">
        <f aca="false">IF(N312="","",N312&amp;IF(AND(MOD(N312,100)&gt;=11,MOD(N312,100)&lt;=13),"th",CHOOSE(MIN(5,MOD(N312,10)+1),"th","st","nd","rd","th")))</f>
        <v>3rd</v>
      </c>
      <c r="I312" s="5" t="s">
        <v>1019</v>
      </c>
      <c r="J312" s="6" t="n">
        <f aca="false">IFERROR(INDEX(Rounds!$A:$A,MATCH(I312,Rounds!$B:$B,0)),"ADD LEAGUE TO ROUNDS")</f>
        <v>4</v>
      </c>
      <c r="K312" s="6" t="n">
        <f aca="false">IFERROR(VALUE(LEFT(E312,FIND(" - ",E312)-1)),"")</f>
        <v>1</v>
      </c>
      <c r="L312" s="5" t="s">
        <v>1024</v>
      </c>
      <c r="N312" s="6" t="n">
        <f aca="false">IF(F312="","",1+COUNTIFS($J:$J,J312,$K:$K,K312,$F:$F,"&gt;"&amp;F312)+COUNTIFS($J:$J,J312,$K:$K,K312,$F:$F,F312,$G:$G,"&gt;"&amp;G312))</f>
        <v>3</v>
      </c>
      <c r="O312" s="6" t="n">
        <f aca="false">IF(L312="","",SUMIFS(Votes!$E:$E,Votes!$A:$A,J312,Votes!$B:$B,K312,Votes!$D:$D,L312))</f>
        <v>12</v>
      </c>
      <c r="P312" s="6" t="n">
        <f aca="false">IF(L312="","",COUNTIFS(Votes!$A:$A,J312,Votes!$B:$B,K312,Votes!$D:$D,L312))</f>
        <v>8</v>
      </c>
      <c r="Q312" s="7" t="str">
        <f aca="false">IF(F312="","Unscored",IF(O312="","No URI",IF(AND(F312=0,O312=0),"Zero-vote",IF(AND(F312=O312,G312=P312),"OK",IF(AND(F312=0,O312&gt;0,COUNTIFS(Votes!$A:$A,J312,Votes!$B:$B,K312,Votes!$C:$C,D312)=0),"Forfeited","Mismatch")))))</f>
        <v>OK</v>
      </c>
      <c r="R312" s="6" t="n">
        <f aca="false">MAX(IF(L312&lt;&gt;"",COUNTIF($L:$L,L312),0),COUNTIFS($A:$A,A312,$B:$B,B312))</f>
        <v>1</v>
      </c>
      <c r="S312" s="6" t="str">
        <f aca="false">IF(R312&gt;1,COUNTIF($R$2:R312,"&gt;1"),"")</f>
        <v/>
      </c>
      <c r="T312" s="6" t="str">
        <f aca="false">IF(L312="","",J312&amp;"|"&amp;K312&amp;"|"&amp;L312)</f>
        <v>4|1|spotify:track:7ogpGbKc4Io6NCU6ydxXwZ</v>
      </c>
      <c r="U312" s="6" t="str">
        <f aca="false">IF(C312="","",IFERROR(INDEX(Lists!$F:$F,MATCH(C312,Lists!$E:$E,0)),"Unmapped"))</f>
        <v>Pop</v>
      </c>
    </row>
    <row r="313" customFormat="false" ht="15" hidden="false" customHeight="false" outlineLevel="0" collapsed="false">
      <c r="A313" s="5" t="s">
        <v>1025</v>
      </c>
      <c r="B313" s="5" t="s">
        <v>1026</v>
      </c>
      <c r="C313" s="5" t="s">
        <v>91</v>
      </c>
      <c r="D313" s="5" t="s">
        <v>92</v>
      </c>
      <c r="E313" s="5" t="s">
        <v>1018</v>
      </c>
      <c r="F313" s="5" t="n">
        <v>10</v>
      </c>
      <c r="G313" s="5" t="n">
        <v>6</v>
      </c>
      <c r="H313" s="6" t="str">
        <f aca="false">IF(N313="","",N313&amp;IF(AND(MOD(N313,100)&gt;=11,MOD(N313,100)&lt;=13),"th",CHOOSE(MIN(5,MOD(N313,10)+1),"th","st","nd","rd","th")))</f>
        <v>4th</v>
      </c>
      <c r="I313" s="5" t="s">
        <v>1019</v>
      </c>
      <c r="J313" s="6" t="n">
        <f aca="false">IFERROR(INDEX(Rounds!$A:$A,MATCH(I313,Rounds!$B:$B,0)),"ADD LEAGUE TO ROUNDS")</f>
        <v>4</v>
      </c>
      <c r="K313" s="6" t="n">
        <f aca="false">IFERROR(VALUE(LEFT(E313,FIND(" - ",E313)-1)),"")</f>
        <v>1</v>
      </c>
      <c r="L313" s="5" t="s">
        <v>1027</v>
      </c>
      <c r="N313" s="6" t="n">
        <f aca="false">IF(F313="","",1+COUNTIFS($J:$J,J313,$K:$K,K313,$F:$F,"&gt;"&amp;F313)+COUNTIFS($J:$J,J313,$K:$K,K313,$F:$F,F313,$G:$G,"&gt;"&amp;G313))</f>
        <v>4</v>
      </c>
      <c r="O313" s="6" t="n">
        <f aca="false">IF(L313="","",SUMIFS(Votes!$E:$E,Votes!$A:$A,J313,Votes!$B:$B,K313,Votes!$D:$D,L313))</f>
        <v>10</v>
      </c>
      <c r="P313" s="6" t="n">
        <f aca="false">IF(L313="","",COUNTIFS(Votes!$A:$A,J313,Votes!$B:$B,K313,Votes!$D:$D,L313))</f>
        <v>6</v>
      </c>
      <c r="Q313" s="7" t="str">
        <f aca="false">IF(F313="","Unscored",IF(O313="","No URI",IF(AND(F313=0,O313=0),"Zero-vote",IF(AND(F313=O313,G313=P313),"OK",IF(AND(F313=0,O313&gt;0,COUNTIFS(Votes!$A:$A,J313,Votes!$B:$B,K313,Votes!$C:$C,D313)=0),"Forfeited","Mismatch")))))</f>
        <v>OK</v>
      </c>
      <c r="R313" s="6" t="n">
        <f aca="false">MAX(IF(L313&lt;&gt;"",COUNTIF($L:$L,L313),0),COUNTIFS($A:$A,A313,$B:$B,B313))</f>
        <v>1</v>
      </c>
      <c r="S313" s="6" t="str">
        <f aca="false">IF(R313&gt;1,COUNTIF($R$2:R313,"&gt;1"),"")</f>
        <v/>
      </c>
      <c r="T313" s="6" t="str">
        <f aca="false">IF(L313="","",J313&amp;"|"&amp;K313&amp;"|"&amp;L313)</f>
        <v>4|1|spotify:track:74k5aYbmsRJqvuYY5p7in9</v>
      </c>
      <c r="U313" s="6" t="str">
        <f aca="false">IF(C313="","",IFERROR(INDEX(Lists!$F:$F,MATCH(C313,Lists!$E:$E,0)),"Unmapped"))</f>
        <v>Rock</v>
      </c>
    </row>
    <row r="314" customFormat="false" ht="15" hidden="false" customHeight="false" outlineLevel="0" collapsed="false">
      <c r="A314" s="5" t="s">
        <v>1028</v>
      </c>
      <c r="B314" s="5" t="s">
        <v>778</v>
      </c>
      <c r="C314" s="5" t="s">
        <v>84</v>
      </c>
      <c r="D314" s="5" t="s">
        <v>85</v>
      </c>
      <c r="E314" s="5" t="s">
        <v>1018</v>
      </c>
      <c r="F314" s="5" t="n">
        <v>9</v>
      </c>
      <c r="G314" s="5" t="n">
        <v>7</v>
      </c>
      <c r="H314" s="6" t="str">
        <f aca="false">IF(N314="","",N314&amp;IF(AND(MOD(N314,100)&gt;=11,MOD(N314,100)&lt;=13),"th",CHOOSE(MIN(5,MOD(N314,10)+1),"th","st","nd","rd","th")))</f>
        <v>5th</v>
      </c>
      <c r="I314" s="5" t="s">
        <v>1019</v>
      </c>
      <c r="J314" s="6" t="n">
        <f aca="false">IFERROR(INDEX(Rounds!$A:$A,MATCH(I314,Rounds!$B:$B,0)),"ADD LEAGUE TO ROUNDS")</f>
        <v>4</v>
      </c>
      <c r="K314" s="6" t="n">
        <f aca="false">IFERROR(VALUE(LEFT(E314,FIND(" - ",E314)-1)),"")</f>
        <v>1</v>
      </c>
      <c r="L314" s="5" t="s">
        <v>1029</v>
      </c>
      <c r="N314" s="6" t="n">
        <f aca="false">IF(F314="","",1+COUNTIFS($J:$J,J314,$K:$K,K314,$F:$F,"&gt;"&amp;F314)+COUNTIFS($J:$J,J314,$K:$K,K314,$F:$F,F314,$G:$G,"&gt;"&amp;G314))</f>
        <v>5</v>
      </c>
      <c r="O314" s="6" t="n">
        <f aca="false">IF(L314="","",SUMIFS(Votes!$E:$E,Votes!$A:$A,J314,Votes!$B:$B,K314,Votes!$D:$D,L314))</f>
        <v>9</v>
      </c>
      <c r="P314" s="6" t="n">
        <f aca="false">IF(L314="","",COUNTIFS(Votes!$A:$A,J314,Votes!$B:$B,K314,Votes!$D:$D,L314))</f>
        <v>7</v>
      </c>
      <c r="Q314" s="7" t="str">
        <f aca="false">IF(F314="","Unscored",IF(O314="","No URI",IF(AND(F314=0,O314=0),"Zero-vote",IF(AND(F314=O314,G314=P314),"OK",IF(AND(F314=0,O314&gt;0,COUNTIFS(Votes!$A:$A,J314,Votes!$B:$B,K314,Votes!$C:$C,D314)=0),"Forfeited","Mismatch")))))</f>
        <v>OK</v>
      </c>
      <c r="R314" s="6" t="n">
        <f aca="false">MAX(IF(L314&lt;&gt;"",COUNTIF($L:$L,L314),0),COUNTIFS($A:$A,A314,$B:$B,B314))</f>
        <v>1</v>
      </c>
      <c r="S314" s="6" t="str">
        <f aca="false">IF(R314&gt;1,COUNTIF($R$2:R314,"&gt;1"),"")</f>
        <v/>
      </c>
      <c r="T314" s="6" t="str">
        <f aca="false">IF(L314="","",J314&amp;"|"&amp;K314&amp;"|"&amp;L314)</f>
        <v>4|1|spotify:track:3Dy4REq8O09IlgiwuHQ3sk</v>
      </c>
      <c r="U314" s="6" t="str">
        <f aca="false">IF(C314="","",IFERROR(INDEX(Lists!$F:$F,MATCH(C314,Lists!$E:$E,0)),"Unmapped"))</f>
        <v>Pop</v>
      </c>
    </row>
    <row r="315" customFormat="false" ht="15" hidden="false" customHeight="false" outlineLevel="0" collapsed="false">
      <c r="A315" s="5" t="s">
        <v>1030</v>
      </c>
      <c r="B315" s="5" t="s">
        <v>1031</v>
      </c>
      <c r="C315" s="5" t="s">
        <v>84</v>
      </c>
      <c r="D315" s="5" t="s">
        <v>128</v>
      </c>
      <c r="E315" s="5" t="s">
        <v>1018</v>
      </c>
      <c r="F315" s="5" t="n">
        <v>9</v>
      </c>
      <c r="G315" s="5" t="n">
        <v>6</v>
      </c>
      <c r="H315" s="6" t="str">
        <f aca="false">IF(N315="","",N315&amp;IF(AND(MOD(N315,100)&gt;=11,MOD(N315,100)&lt;=13),"th",CHOOSE(MIN(5,MOD(N315,10)+1),"th","st","nd","rd","th")))</f>
        <v>6th</v>
      </c>
      <c r="I315" s="5" t="s">
        <v>1019</v>
      </c>
      <c r="J315" s="6" t="n">
        <f aca="false">IFERROR(INDEX(Rounds!$A:$A,MATCH(I315,Rounds!$B:$B,0)),"ADD LEAGUE TO ROUNDS")</f>
        <v>4</v>
      </c>
      <c r="K315" s="6" t="n">
        <f aca="false">IFERROR(VALUE(LEFT(E315,FIND(" - ",E315)-1)),"")</f>
        <v>1</v>
      </c>
      <c r="L315" s="5" t="s">
        <v>1032</v>
      </c>
      <c r="N315" s="6" t="n">
        <f aca="false">IF(F315="","",1+COUNTIFS($J:$J,J315,$K:$K,K315,$F:$F,"&gt;"&amp;F315)+COUNTIFS($J:$J,J315,$K:$K,K315,$F:$F,F315,$G:$G,"&gt;"&amp;G315))</f>
        <v>6</v>
      </c>
      <c r="O315" s="6" t="n">
        <f aca="false">IF(L315="","",SUMIFS(Votes!$E:$E,Votes!$A:$A,J315,Votes!$B:$B,K315,Votes!$D:$D,L315))</f>
        <v>9</v>
      </c>
      <c r="P315" s="6" t="n">
        <f aca="false">IF(L315="","",COUNTIFS(Votes!$A:$A,J315,Votes!$B:$B,K315,Votes!$D:$D,L315))</f>
        <v>6</v>
      </c>
      <c r="Q315" s="7" t="str">
        <f aca="false">IF(F315="","Unscored",IF(O315="","No URI",IF(AND(F315=0,O315=0),"Zero-vote",IF(AND(F315=O315,G315=P315),"OK",IF(AND(F315=0,O315&gt;0,COUNTIFS(Votes!$A:$A,J315,Votes!$B:$B,K315,Votes!$C:$C,D315)=0),"Forfeited","Mismatch")))))</f>
        <v>OK</v>
      </c>
      <c r="R315" s="6" t="n">
        <f aca="false">MAX(IF(L315&lt;&gt;"",COUNTIF($L:$L,L315),0),COUNTIFS($A:$A,A315,$B:$B,B315))</f>
        <v>1</v>
      </c>
      <c r="S315" s="6" t="str">
        <f aca="false">IF(R315&gt;1,COUNTIF($R$2:R315,"&gt;1"),"")</f>
        <v/>
      </c>
      <c r="T315" s="6" t="str">
        <f aca="false">IF(L315="","",J315&amp;"|"&amp;K315&amp;"|"&amp;L315)</f>
        <v>4|1|spotify:track:3x0oc9CVW5RwLx4EHW6JZk</v>
      </c>
      <c r="U315" s="6" t="str">
        <f aca="false">IF(C315="","",IFERROR(INDEX(Lists!$F:$F,MATCH(C315,Lists!$E:$E,0)),"Unmapped"))</f>
        <v>Pop</v>
      </c>
    </row>
    <row r="316" customFormat="false" ht="15" hidden="false" customHeight="false" outlineLevel="0" collapsed="false">
      <c r="A316" s="5" t="s">
        <v>1033</v>
      </c>
      <c r="B316" s="5" t="s">
        <v>1034</v>
      </c>
      <c r="C316" s="5" t="s">
        <v>293</v>
      </c>
      <c r="D316" s="5" t="s">
        <v>97</v>
      </c>
      <c r="E316" s="5" t="s">
        <v>1018</v>
      </c>
      <c r="F316" s="5" t="n">
        <v>9</v>
      </c>
      <c r="G316" s="5" t="n">
        <v>6</v>
      </c>
      <c r="H316" s="6" t="str">
        <f aca="false">IF(N316="","",N316&amp;IF(AND(MOD(N316,100)&gt;=11,MOD(N316,100)&lt;=13),"th",CHOOSE(MIN(5,MOD(N316,10)+1),"th","st","nd","rd","th")))</f>
        <v>6th</v>
      </c>
      <c r="I316" s="5" t="s">
        <v>1019</v>
      </c>
      <c r="J316" s="6" t="n">
        <f aca="false">IFERROR(INDEX(Rounds!$A:$A,MATCH(I316,Rounds!$B:$B,0)),"ADD LEAGUE TO ROUNDS")</f>
        <v>4</v>
      </c>
      <c r="K316" s="6" t="n">
        <f aca="false">IFERROR(VALUE(LEFT(E316,FIND(" - ",E316)-1)),"")</f>
        <v>1</v>
      </c>
      <c r="L316" s="5" t="s">
        <v>1035</v>
      </c>
      <c r="N316" s="6" t="n">
        <f aca="false">IF(F316="","",1+COUNTIFS($J:$J,J316,$K:$K,K316,$F:$F,"&gt;"&amp;F316)+COUNTIFS($J:$J,J316,$K:$K,K316,$F:$F,F316,$G:$G,"&gt;"&amp;G316))</f>
        <v>6</v>
      </c>
      <c r="O316" s="6" t="n">
        <f aca="false">IF(L316="","",SUMIFS(Votes!$E:$E,Votes!$A:$A,J316,Votes!$B:$B,K316,Votes!$D:$D,L316))</f>
        <v>9</v>
      </c>
      <c r="P316" s="6" t="n">
        <f aca="false">IF(L316="","",COUNTIFS(Votes!$A:$A,J316,Votes!$B:$B,K316,Votes!$D:$D,L316))</f>
        <v>6</v>
      </c>
      <c r="Q316" s="7" t="str">
        <f aca="false">IF(F316="","Unscored",IF(O316="","No URI",IF(AND(F316=0,O316=0),"Zero-vote",IF(AND(F316=O316,G316=P316),"OK",IF(AND(F316=0,O316&gt;0,COUNTIFS(Votes!$A:$A,J316,Votes!$B:$B,K316,Votes!$C:$C,D316)=0),"Forfeited","Mismatch")))))</f>
        <v>OK</v>
      </c>
      <c r="R316" s="6" t="n">
        <f aca="false">MAX(IF(L316&lt;&gt;"",COUNTIF($L:$L,L316),0),COUNTIFS($A:$A,A316,$B:$B,B316))</f>
        <v>1</v>
      </c>
      <c r="S316" s="6" t="str">
        <f aca="false">IF(R316&gt;1,COUNTIF($R$2:R316,"&gt;1"),"")</f>
        <v/>
      </c>
      <c r="T316" s="6" t="str">
        <f aca="false">IF(L316="","",J316&amp;"|"&amp;K316&amp;"|"&amp;L316)</f>
        <v>4|1|spotify:track:1DwscornXpj8fmOmYVlqZt</v>
      </c>
      <c r="U316" s="6" t="str">
        <f aca="false">IF(C316="","",IFERROR(INDEX(Lists!$F:$F,MATCH(C316,Lists!$E:$E,0)),"Unmapped"))</f>
        <v>Electronic/Dance</v>
      </c>
    </row>
    <row r="317" customFormat="false" ht="15" hidden="false" customHeight="false" outlineLevel="0" collapsed="false">
      <c r="A317" s="5" t="s">
        <v>1036</v>
      </c>
      <c r="B317" s="5" t="s">
        <v>1037</v>
      </c>
      <c r="C317" s="5" t="s">
        <v>293</v>
      </c>
      <c r="D317" s="5" t="s">
        <v>119</v>
      </c>
      <c r="E317" s="5" t="s">
        <v>1018</v>
      </c>
      <c r="F317" s="5" t="n">
        <v>9</v>
      </c>
      <c r="G317" s="5" t="n">
        <v>5</v>
      </c>
      <c r="H317" s="6" t="str">
        <f aca="false">IF(N317="","",N317&amp;IF(AND(MOD(N317,100)&gt;=11,MOD(N317,100)&lt;=13),"th",CHOOSE(MIN(5,MOD(N317,10)+1),"th","st","nd","rd","th")))</f>
        <v>8th</v>
      </c>
      <c r="I317" s="5" t="s">
        <v>1019</v>
      </c>
      <c r="J317" s="6" t="n">
        <f aca="false">IFERROR(INDEX(Rounds!$A:$A,MATCH(I317,Rounds!$B:$B,0)),"ADD LEAGUE TO ROUNDS")</f>
        <v>4</v>
      </c>
      <c r="K317" s="6" t="n">
        <f aca="false">IFERROR(VALUE(LEFT(E317,FIND(" - ",E317)-1)),"")</f>
        <v>1</v>
      </c>
      <c r="L317" s="5" t="s">
        <v>1038</v>
      </c>
      <c r="N317" s="6" t="n">
        <f aca="false">IF(F317="","",1+COUNTIFS($J:$J,J317,$K:$K,K317,$F:$F,"&gt;"&amp;F317)+COUNTIFS($J:$J,J317,$K:$K,K317,$F:$F,F317,$G:$G,"&gt;"&amp;G317))</f>
        <v>8</v>
      </c>
      <c r="O317" s="6" t="n">
        <f aca="false">IF(L317="","",SUMIFS(Votes!$E:$E,Votes!$A:$A,J317,Votes!$B:$B,K317,Votes!$D:$D,L317))</f>
        <v>9</v>
      </c>
      <c r="P317" s="6" t="n">
        <f aca="false">IF(L317="","",COUNTIFS(Votes!$A:$A,J317,Votes!$B:$B,K317,Votes!$D:$D,L317))</f>
        <v>5</v>
      </c>
      <c r="Q317" s="7" t="str">
        <f aca="false">IF(F317="","Unscored",IF(O317="","No URI",IF(AND(F317=0,O317=0),"Zero-vote",IF(AND(F317=O317,G317=P317),"OK",IF(AND(F317=0,O317&gt;0,COUNTIFS(Votes!$A:$A,J317,Votes!$B:$B,K317,Votes!$C:$C,D317)=0),"Forfeited","Mismatch")))))</f>
        <v>OK</v>
      </c>
      <c r="R317" s="6" t="n">
        <f aca="false">MAX(IF(L317&lt;&gt;"",COUNTIF($L:$L,L317),0),COUNTIFS($A:$A,A317,$B:$B,B317))</f>
        <v>1</v>
      </c>
      <c r="S317" s="6" t="str">
        <f aca="false">IF(R317&gt;1,COUNTIF($R$2:R317,"&gt;1"),"")</f>
        <v/>
      </c>
      <c r="T317" s="6" t="str">
        <f aca="false">IF(L317="","",J317&amp;"|"&amp;K317&amp;"|"&amp;L317)</f>
        <v>4|1|spotify:track:5Xnkr4b6swk6BA5IinCIlU</v>
      </c>
      <c r="U317" s="6" t="str">
        <f aca="false">IF(C317="","",IFERROR(INDEX(Lists!$F:$F,MATCH(C317,Lists!$E:$E,0)),"Unmapped"))</f>
        <v>Electronic/Dance</v>
      </c>
    </row>
    <row r="318" customFormat="false" ht="15" hidden="false" customHeight="false" outlineLevel="0" collapsed="false">
      <c r="A318" s="5" t="s">
        <v>1039</v>
      </c>
      <c r="B318" s="5" t="s">
        <v>1040</v>
      </c>
      <c r="C318" s="5" t="s">
        <v>248</v>
      </c>
      <c r="D318" s="5" t="s">
        <v>705</v>
      </c>
      <c r="E318" s="5" t="s">
        <v>1018</v>
      </c>
      <c r="F318" s="5" t="n">
        <v>8</v>
      </c>
      <c r="G318" s="5" t="n">
        <v>6</v>
      </c>
      <c r="H318" s="6" t="str">
        <f aca="false">IF(N318="","",N318&amp;IF(AND(MOD(N318,100)&gt;=11,MOD(N318,100)&lt;=13),"th",CHOOSE(MIN(5,MOD(N318,10)+1),"th","st","nd","rd","th")))</f>
        <v>9th</v>
      </c>
      <c r="I318" s="5" t="s">
        <v>1019</v>
      </c>
      <c r="J318" s="6" t="n">
        <f aca="false">IFERROR(INDEX(Rounds!$A:$A,MATCH(I318,Rounds!$B:$B,0)),"ADD LEAGUE TO ROUNDS")</f>
        <v>4</v>
      </c>
      <c r="K318" s="6" t="n">
        <f aca="false">IFERROR(VALUE(LEFT(E318,FIND(" - ",E318)-1)),"")</f>
        <v>1</v>
      </c>
      <c r="L318" s="5" t="s">
        <v>1041</v>
      </c>
      <c r="N318" s="6" t="n">
        <f aca="false">IF(F318="","",1+COUNTIFS($J:$J,J318,$K:$K,K318,$F:$F,"&gt;"&amp;F318)+COUNTIFS($J:$J,J318,$K:$K,K318,$F:$F,F318,$G:$G,"&gt;"&amp;G318))</f>
        <v>9</v>
      </c>
      <c r="O318" s="6" t="n">
        <f aca="false">IF(L318="","",SUMIFS(Votes!$E:$E,Votes!$A:$A,J318,Votes!$B:$B,K318,Votes!$D:$D,L318))</f>
        <v>8</v>
      </c>
      <c r="P318" s="6" t="n">
        <f aca="false">IF(L318="","",COUNTIFS(Votes!$A:$A,J318,Votes!$B:$B,K318,Votes!$D:$D,L318))</f>
        <v>6</v>
      </c>
      <c r="Q318" s="7" t="str">
        <f aca="false">IF(F318="","Unscored",IF(O318="","No URI",IF(AND(F318=0,O318=0),"Zero-vote",IF(AND(F318=O318,G318=P318),"OK",IF(AND(F318=0,O318&gt;0,COUNTIFS(Votes!$A:$A,J318,Votes!$B:$B,K318,Votes!$C:$C,D318)=0),"Forfeited","Mismatch")))))</f>
        <v>OK</v>
      </c>
      <c r="R318" s="6" t="n">
        <f aca="false">MAX(IF(L318&lt;&gt;"",COUNTIF($L:$L,L318),0),COUNTIFS($A:$A,A318,$B:$B,B318))</f>
        <v>1</v>
      </c>
      <c r="S318" s="6" t="str">
        <f aca="false">IF(R318&gt;1,COUNTIF($R$2:R318,"&gt;1"),"")</f>
        <v/>
      </c>
      <c r="T318" s="6" t="str">
        <f aca="false">IF(L318="","",J318&amp;"|"&amp;K318&amp;"|"&amp;L318)</f>
        <v>4|1|spotify:track:0hOYPh5Y8huTrLKxvQyxAh</v>
      </c>
      <c r="U318" s="6" t="str">
        <f aca="false">IF(C318="","",IFERROR(INDEX(Lists!$F:$F,MATCH(C318,Lists!$E:$E,0)),"Unmapped"))</f>
        <v>Folk/Americana</v>
      </c>
    </row>
    <row r="319" customFormat="false" ht="15" hidden="false" customHeight="false" outlineLevel="0" collapsed="false">
      <c r="A319" s="5" t="s">
        <v>1042</v>
      </c>
      <c r="B319" s="5" t="s">
        <v>1043</v>
      </c>
      <c r="C319" s="5" t="s">
        <v>248</v>
      </c>
      <c r="D319" s="5" t="s">
        <v>116</v>
      </c>
      <c r="E319" s="5" t="s">
        <v>1018</v>
      </c>
      <c r="F319" s="5" t="n">
        <v>5</v>
      </c>
      <c r="G319" s="5" t="n">
        <v>4</v>
      </c>
      <c r="H319" s="6" t="str">
        <f aca="false">IF(N319="","",N319&amp;IF(AND(MOD(N319,100)&gt;=11,MOD(N319,100)&lt;=13),"th",CHOOSE(MIN(5,MOD(N319,10)+1),"th","st","nd","rd","th")))</f>
        <v>10th</v>
      </c>
      <c r="I319" s="5" t="s">
        <v>1019</v>
      </c>
      <c r="J319" s="6" t="n">
        <f aca="false">IFERROR(INDEX(Rounds!$A:$A,MATCH(I319,Rounds!$B:$B,0)),"ADD LEAGUE TO ROUNDS")</f>
        <v>4</v>
      </c>
      <c r="K319" s="6" t="n">
        <f aca="false">IFERROR(VALUE(LEFT(E319,FIND(" - ",E319)-1)),"")</f>
        <v>1</v>
      </c>
      <c r="L319" s="5" t="s">
        <v>1044</v>
      </c>
      <c r="N319" s="6" t="n">
        <f aca="false">IF(F319="","",1+COUNTIFS($J:$J,J319,$K:$K,K319,$F:$F,"&gt;"&amp;F319)+COUNTIFS($J:$J,J319,$K:$K,K319,$F:$F,F319,$G:$G,"&gt;"&amp;G319))</f>
        <v>10</v>
      </c>
      <c r="O319" s="6" t="n">
        <f aca="false">IF(L319="","",SUMIFS(Votes!$E:$E,Votes!$A:$A,J319,Votes!$B:$B,K319,Votes!$D:$D,L319))</f>
        <v>5</v>
      </c>
      <c r="P319" s="6" t="n">
        <f aca="false">IF(L319="","",COUNTIFS(Votes!$A:$A,J319,Votes!$B:$B,K319,Votes!$D:$D,L319))</f>
        <v>4</v>
      </c>
      <c r="Q319" s="7" t="str">
        <f aca="false">IF(F319="","Unscored",IF(O319="","No URI",IF(AND(F319=0,O319=0),"Zero-vote",IF(AND(F319=O319,G319=P319),"OK",IF(AND(F319=0,O319&gt;0,COUNTIFS(Votes!$A:$A,J319,Votes!$B:$B,K319,Votes!$C:$C,D319)=0),"Forfeited","Mismatch")))))</f>
        <v>OK</v>
      </c>
      <c r="R319" s="6" t="n">
        <f aca="false">MAX(IF(L319&lt;&gt;"",COUNTIF($L:$L,L319),0),COUNTIFS($A:$A,A319,$B:$B,B319))</f>
        <v>1</v>
      </c>
      <c r="S319" s="6" t="str">
        <f aca="false">IF(R319&gt;1,COUNTIF($R$2:R319,"&gt;1"),"")</f>
        <v/>
      </c>
      <c r="T319" s="6" t="str">
        <f aca="false">IF(L319="","",J319&amp;"|"&amp;K319&amp;"|"&amp;L319)</f>
        <v>4|1|spotify:track:5FFQbvn7055P1DvgJDdCBP</v>
      </c>
      <c r="U319" s="6" t="str">
        <f aca="false">IF(C319="","",IFERROR(INDEX(Lists!$F:$F,MATCH(C319,Lists!$E:$E,0)),"Unmapped"))</f>
        <v>Folk/Americana</v>
      </c>
    </row>
    <row r="320" customFormat="false" ht="15" hidden="false" customHeight="false" outlineLevel="0" collapsed="false">
      <c r="A320" s="5" t="s">
        <v>1045</v>
      </c>
      <c r="B320" s="5" t="s">
        <v>104</v>
      </c>
      <c r="C320" s="5" t="s">
        <v>105</v>
      </c>
      <c r="D320" s="5" t="s">
        <v>106</v>
      </c>
      <c r="E320" s="5" t="s">
        <v>1018</v>
      </c>
      <c r="F320" s="5" t="n">
        <v>5</v>
      </c>
      <c r="G320" s="5" t="n">
        <v>4</v>
      </c>
      <c r="H320" s="6" t="str">
        <f aca="false">IF(N320="","",N320&amp;IF(AND(MOD(N320,100)&gt;=11,MOD(N320,100)&lt;=13),"th",CHOOSE(MIN(5,MOD(N320,10)+1),"th","st","nd","rd","th")))</f>
        <v>10th</v>
      </c>
      <c r="I320" s="5" t="s">
        <v>1019</v>
      </c>
      <c r="J320" s="6" t="n">
        <f aca="false">IFERROR(INDEX(Rounds!$A:$A,MATCH(I320,Rounds!$B:$B,0)),"ADD LEAGUE TO ROUNDS")</f>
        <v>4</v>
      </c>
      <c r="K320" s="6" t="n">
        <f aca="false">IFERROR(VALUE(LEFT(E320,FIND(" - ",E320)-1)),"")</f>
        <v>1</v>
      </c>
      <c r="L320" s="5" t="s">
        <v>1046</v>
      </c>
      <c r="N320" s="6" t="n">
        <f aca="false">IF(F320="","",1+COUNTIFS($J:$J,J320,$K:$K,K320,$F:$F,"&gt;"&amp;F320)+COUNTIFS($J:$J,J320,$K:$K,K320,$F:$F,F320,$G:$G,"&gt;"&amp;G320))</f>
        <v>10</v>
      </c>
      <c r="O320" s="6" t="n">
        <f aca="false">IF(L320="","",SUMIFS(Votes!$E:$E,Votes!$A:$A,J320,Votes!$B:$B,K320,Votes!$D:$D,L320))</f>
        <v>5</v>
      </c>
      <c r="P320" s="6" t="n">
        <f aca="false">IF(L320="","",COUNTIFS(Votes!$A:$A,J320,Votes!$B:$B,K320,Votes!$D:$D,L320))</f>
        <v>4</v>
      </c>
      <c r="Q320" s="7" t="str">
        <f aca="false">IF(F320="","Unscored",IF(O320="","No URI",IF(AND(F320=0,O320=0),"Zero-vote",IF(AND(F320=O320,G320=P320),"OK",IF(AND(F320=0,O320&gt;0,COUNTIFS(Votes!$A:$A,J320,Votes!$B:$B,K320,Votes!$C:$C,D320)=0),"Forfeited","Mismatch")))))</f>
        <v>OK</v>
      </c>
      <c r="R320" s="6" t="n">
        <f aca="false">MAX(IF(L320&lt;&gt;"",COUNTIF($L:$L,L320),0),COUNTIFS($A:$A,A320,$B:$B,B320))</f>
        <v>1</v>
      </c>
      <c r="S320" s="6" t="str">
        <f aca="false">IF(R320&gt;1,COUNTIF($R$2:R320,"&gt;1"),"")</f>
        <v/>
      </c>
      <c r="T320" s="6" t="str">
        <f aca="false">IF(L320="","",J320&amp;"|"&amp;K320&amp;"|"&amp;L320)</f>
        <v>4|1|spotify:track:5SWDoIEpuAWJMuGYeVe3gI</v>
      </c>
      <c r="U320" s="6" t="str">
        <f aca="false">IF(C320="","",IFERROR(INDEX(Lists!$F:$F,MATCH(C320,Lists!$E:$E,0)),"Unmapped"))</f>
        <v>Metal</v>
      </c>
    </row>
    <row r="321" customFormat="false" ht="15" hidden="false" customHeight="false" outlineLevel="0" collapsed="false">
      <c r="A321" s="5" t="s">
        <v>1047</v>
      </c>
      <c r="B321" s="5" t="s">
        <v>1048</v>
      </c>
      <c r="C321" s="5" t="s">
        <v>91</v>
      </c>
      <c r="D321" s="5" t="s">
        <v>719</v>
      </c>
      <c r="E321" s="5" t="s">
        <v>1018</v>
      </c>
      <c r="F321" s="5" t="n">
        <v>4</v>
      </c>
      <c r="G321" s="5" t="n">
        <v>4</v>
      </c>
      <c r="H321" s="6" t="str">
        <f aca="false">IF(N321="","",N321&amp;IF(AND(MOD(N321,100)&gt;=11,MOD(N321,100)&lt;=13),"th",CHOOSE(MIN(5,MOD(N321,10)+1),"th","st","nd","rd","th")))</f>
        <v>12th</v>
      </c>
      <c r="I321" s="5" t="s">
        <v>1019</v>
      </c>
      <c r="J321" s="6" t="n">
        <f aca="false">IFERROR(INDEX(Rounds!$A:$A,MATCH(I321,Rounds!$B:$B,0)),"ADD LEAGUE TO ROUNDS")</f>
        <v>4</v>
      </c>
      <c r="K321" s="6" t="n">
        <f aca="false">IFERROR(VALUE(LEFT(E321,FIND(" - ",E321)-1)),"")</f>
        <v>1</v>
      </c>
      <c r="L321" s="5" t="s">
        <v>1049</v>
      </c>
      <c r="N321" s="6" t="n">
        <f aca="false">IF(F321="","",1+COUNTIFS($J:$J,J321,$K:$K,K321,$F:$F,"&gt;"&amp;F321)+COUNTIFS($J:$J,J321,$K:$K,K321,$F:$F,F321,$G:$G,"&gt;"&amp;G321))</f>
        <v>12</v>
      </c>
      <c r="O321" s="6" t="n">
        <f aca="false">IF(L321="","",SUMIFS(Votes!$E:$E,Votes!$A:$A,J321,Votes!$B:$B,K321,Votes!$D:$D,L321))</f>
        <v>4</v>
      </c>
      <c r="P321" s="6" t="n">
        <f aca="false">IF(L321="","",COUNTIFS(Votes!$A:$A,J321,Votes!$B:$B,K321,Votes!$D:$D,L321))</f>
        <v>4</v>
      </c>
      <c r="Q321" s="7" t="str">
        <f aca="false">IF(F321="","Unscored",IF(O321="","No URI",IF(AND(F321=0,O321=0),"Zero-vote",IF(AND(F321=O321,G321=P321),"OK",IF(AND(F321=0,O321&gt;0,COUNTIFS(Votes!$A:$A,J321,Votes!$B:$B,K321,Votes!$C:$C,D321)=0),"Forfeited","Mismatch")))))</f>
        <v>OK</v>
      </c>
      <c r="R321" s="6" t="n">
        <f aca="false">MAX(IF(L321&lt;&gt;"",COUNTIF($L:$L,L321),0),COUNTIFS($A:$A,A321,$B:$B,B321))</f>
        <v>1</v>
      </c>
      <c r="S321" s="6" t="str">
        <f aca="false">IF(R321&gt;1,COUNTIF($R$2:R321,"&gt;1"),"")</f>
        <v/>
      </c>
      <c r="T321" s="6" t="str">
        <f aca="false">IF(L321="","",J321&amp;"|"&amp;K321&amp;"|"&amp;L321)</f>
        <v>4|1|spotify:track:7t6a7n23SZQ5A5OuXYu3uO</v>
      </c>
      <c r="U321" s="6" t="str">
        <f aca="false">IF(C321="","",IFERROR(INDEX(Lists!$F:$F,MATCH(C321,Lists!$E:$E,0)),"Unmapped"))</f>
        <v>Rock</v>
      </c>
    </row>
    <row r="322" customFormat="false" ht="15" hidden="false" customHeight="false" outlineLevel="0" collapsed="false">
      <c r="A322" s="5" t="s">
        <v>1050</v>
      </c>
      <c r="B322" s="5" t="s">
        <v>1051</v>
      </c>
      <c r="C322" s="5" t="s">
        <v>127</v>
      </c>
      <c r="D322" s="5" t="s">
        <v>484</v>
      </c>
      <c r="E322" s="5" t="s">
        <v>1018</v>
      </c>
      <c r="F322" s="5" t="n">
        <v>0</v>
      </c>
      <c r="G322" s="5" t="n">
        <v>5</v>
      </c>
      <c r="H322" s="6" t="str">
        <f aca="false">IF(N322="","",N322&amp;IF(AND(MOD(N322,100)&gt;=11,MOD(N322,100)&lt;=13),"th",CHOOSE(MIN(5,MOD(N322,10)+1),"th","st","nd","rd","th")))</f>
        <v>13th</v>
      </c>
      <c r="I322" s="5" t="s">
        <v>1019</v>
      </c>
      <c r="J322" s="6" t="n">
        <f aca="false">IFERROR(INDEX(Rounds!$A:$A,MATCH(I322,Rounds!$B:$B,0)),"ADD LEAGUE TO ROUNDS")</f>
        <v>4</v>
      </c>
      <c r="K322" s="6" t="n">
        <f aca="false">IFERROR(VALUE(LEFT(E322,FIND(" - ",E322)-1)),"")</f>
        <v>1</v>
      </c>
      <c r="L322" s="5" t="s">
        <v>1052</v>
      </c>
      <c r="N322" s="6" t="n">
        <f aca="false">IF(F322="","",1+COUNTIFS($J:$J,J322,$K:$K,K322,$F:$F,"&gt;"&amp;F322)+COUNTIFS($J:$J,J322,$K:$K,K322,$F:$F,F322,$G:$G,"&gt;"&amp;G322))</f>
        <v>13</v>
      </c>
      <c r="O322" s="6" t="n">
        <f aca="false">IF(L322="","",SUMIFS(Votes!$E:$E,Votes!$A:$A,J322,Votes!$B:$B,K322,Votes!$D:$D,L322))</f>
        <v>5</v>
      </c>
      <c r="P322" s="6" t="n">
        <f aca="false">IF(L322="","",COUNTIFS(Votes!$A:$A,J322,Votes!$B:$B,K322,Votes!$D:$D,L322))</f>
        <v>5</v>
      </c>
      <c r="Q322" s="7" t="str">
        <f aca="false">IF(F322="","Unscored",IF(O322="","No URI",IF(AND(F322=0,O322=0),"Zero-vote",IF(AND(F322=O322,G322=P322),"OK",IF(AND(F322=0,O322&gt;0,COUNTIFS(Votes!$A:$A,J322,Votes!$B:$B,K322,Votes!$C:$C,D322)=0),"Forfeited","Mismatch")))))</f>
        <v>Forfeited</v>
      </c>
      <c r="R322" s="6" t="n">
        <f aca="false">MAX(IF(L322&lt;&gt;"",COUNTIF($L:$L,L322),0),COUNTIFS($A:$A,A322,$B:$B,B322))</f>
        <v>1</v>
      </c>
      <c r="S322" s="6" t="str">
        <f aca="false">IF(R322&gt;1,COUNTIF($R$2:R322,"&gt;1"),"")</f>
        <v/>
      </c>
      <c r="T322" s="6" t="str">
        <f aca="false">IF(L322="","",J322&amp;"|"&amp;K322&amp;"|"&amp;L322)</f>
        <v>4|1|spotify:track:3OWFR95HjLDQKbzHl6oqjq</v>
      </c>
      <c r="U322" s="6" t="str">
        <f aca="false">IF(C322="","",IFERROR(INDEX(Lists!$F:$F,MATCH(C322,Lists!$E:$E,0)),"Unmapped"))</f>
        <v>Jazz/Vocal</v>
      </c>
    </row>
    <row r="323" customFormat="false" ht="15" hidden="false" customHeight="false" outlineLevel="0" collapsed="false">
      <c r="A323" s="5" t="s">
        <v>1053</v>
      </c>
      <c r="B323" s="5" t="s">
        <v>1054</v>
      </c>
      <c r="C323" s="5" t="s">
        <v>84</v>
      </c>
      <c r="D323" s="5" t="s">
        <v>382</v>
      </c>
      <c r="E323" s="5" t="s">
        <v>1018</v>
      </c>
      <c r="F323" s="5" t="n">
        <v>0</v>
      </c>
      <c r="G323" s="5" t="n">
        <v>5</v>
      </c>
      <c r="H323" s="6" t="str">
        <f aca="false">IF(N323="","",N323&amp;IF(AND(MOD(N323,100)&gt;=11,MOD(N323,100)&lt;=13),"th",CHOOSE(MIN(5,MOD(N323,10)+1),"th","st","nd","rd","th")))</f>
        <v>13th</v>
      </c>
      <c r="I323" s="5" t="s">
        <v>1019</v>
      </c>
      <c r="J323" s="6" t="n">
        <f aca="false">IFERROR(INDEX(Rounds!$A:$A,MATCH(I323,Rounds!$B:$B,0)),"ADD LEAGUE TO ROUNDS")</f>
        <v>4</v>
      </c>
      <c r="K323" s="6" t="n">
        <f aca="false">IFERROR(VALUE(LEFT(E323,FIND(" - ",E323)-1)),"")</f>
        <v>1</v>
      </c>
      <c r="L323" s="5" t="s">
        <v>1055</v>
      </c>
      <c r="N323" s="6" t="n">
        <f aca="false">IF(F323="","",1+COUNTIFS($J:$J,J323,$K:$K,K323,$F:$F,"&gt;"&amp;F323)+COUNTIFS($J:$J,J323,$K:$K,K323,$F:$F,F323,$G:$G,"&gt;"&amp;G323))</f>
        <v>13</v>
      </c>
      <c r="O323" s="6" t="n">
        <f aca="false">IF(L323="","",SUMIFS(Votes!$E:$E,Votes!$A:$A,J323,Votes!$B:$B,K323,Votes!$D:$D,L323))</f>
        <v>7</v>
      </c>
      <c r="P323" s="6" t="n">
        <f aca="false">IF(L323="","",COUNTIFS(Votes!$A:$A,J323,Votes!$B:$B,K323,Votes!$D:$D,L323))</f>
        <v>5</v>
      </c>
      <c r="Q323" s="7" t="str">
        <f aca="false">IF(F323="","Unscored",IF(O323="","No URI",IF(AND(F323=0,O323=0),"Zero-vote",IF(AND(F323=O323,G323=P323),"OK",IF(AND(F323=0,O323&gt;0,COUNTIFS(Votes!$A:$A,J323,Votes!$B:$B,K323,Votes!$C:$C,D323)=0),"Forfeited","Mismatch")))))</f>
        <v>Forfeited</v>
      </c>
      <c r="R323" s="6" t="n">
        <f aca="false">MAX(IF(L323&lt;&gt;"",COUNTIF($L:$L,L323),0),COUNTIFS($A:$A,A323,$B:$B,B323))</f>
        <v>1</v>
      </c>
      <c r="S323" s="6" t="str">
        <f aca="false">IF(R323&gt;1,COUNTIF($R$2:R323,"&gt;1"),"")</f>
        <v/>
      </c>
      <c r="T323" s="6" t="str">
        <f aca="false">IF(L323="","",J323&amp;"|"&amp;K323&amp;"|"&amp;L323)</f>
        <v>4|1|spotify:track:4ztgjcOsR0HGsm1vkzh0Ky</v>
      </c>
      <c r="U323" s="6" t="str">
        <f aca="false">IF(C323="","",IFERROR(INDEX(Lists!$F:$F,MATCH(C323,Lists!$E:$E,0)),"Unmapped"))</f>
        <v>Pop</v>
      </c>
    </row>
    <row r="324" customFormat="false" ht="15" hidden="false" customHeight="false" outlineLevel="0" collapsed="false">
      <c r="A324" s="5" t="s">
        <v>1056</v>
      </c>
      <c r="B324" s="5" t="s">
        <v>1057</v>
      </c>
      <c r="C324" s="5" t="s">
        <v>84</v>
      </c>
      <c r="D324" s="5" t="s">
        <v>97</v>
      </c>
      <c r="E324" s="5" t="s">
        <v>1058</v>
      </c>
      <c r="F324" s="5" t="n">
        <v>18</v>
      </c>
      <c r="G324" s="5" t="n">
        <v>12</v>
      </c>
      <c r="H324" s="6" t="str">
        <f aca="false">IF(N324="","",N324&amp;IF(AND(MOD(N324,100)&gt;=11,MOD(N324,100)&lt;=13),"th",CHOOSE(MIN(5,MOD(N324,10)+1),"th","st","nd","rd","th")))</f>
        <v>1st</v>
      </c>
      <c r="I324" s="5" t="s">
        <v>1019</v>
      </c>
      <c r="J324" s="6" t="n">
        <f aca="false">IFERROR(INDEX(Rounds!$A:$A,MATCH(I324,Rounds!$B:$B,0)),"ADD LEAGUE TO ROUNDS")</f>
        <v>4</v>
      </c>
      <c r="K324" s="6" t="n">
        <f aca="false">IFERROR(VALUE(LEFT(E324,FIND(" - ",E324)-1)),"")</f>
        <v>2</v>
      </c>
      <c r="L324" s="5" t="s">
        <v>1059</v>
      </c>
      <c r="N324" s="6" t="n">
        <f aca="false">IF(F324="","",1+COUNTIFS($J:$J,J324,$K:$K,K324,$F:$F,"&gt;"&amp;F324)+COUNTIFS($J:$J,J324,$K:$K,K324,$F:$F,F324,$G:$G,"&gt;"&amp;G324))</f>
        <v>1</v>
      </c>
      <c r="O324" s="6" t="n">
        <f aca="false">IF(L324="","",SUMIFS(Votes!$E:$E,Votes!$A:$A,J324,Votes!$B:$B,K324,Votes!$D:$D,L324))</f>
        <v>18</v>
      </c>
      <c r="P324" s="6" t="n">
        <f aca="false">IF(L324="","",COUNTIFS(Votes!$A:$A,J324,Votes!$B:$B,K324,Votes!$D:$D,L324))</f>
        <v>12</v>
      </c>
      <c r="Q324" s="7" t="str">
        <f aca="false">IF(F324="","Unscored",IF(O324="","No URI",IF(AND(F324=0,O324=0),"Zero-vote",IF(AND(F324=O324,G324=P324),"OK",IF(AND(F324=0,O324&gt;0,COUNTIFS(Votes!$A:$A,J324,Votes!$B:$B,K324,Votes!$C:$C,D324)=0),"Forfeited","Mismatch")))))</f>
        <v>OK</v>
      </c>
      <c r="R324" s="6" t="n">
        <f aca="false">MAX(IF(L324&lt;&gt;"",COUNTIF($L:$L,L324),0),COUNTIFS($A:$A,A324,$B:$B,B324))</f>
        <v>1</v>
      </c>
      <c r="S324" s="6" t="str">
        <f aca="false">IF(R324&gt;1,COUNTIF($R$2:R324,"&gt;1"),"")</f>
        <v/>
      </c>
      <c r="T324" s="6" t="str">
        <f aca="false">IF(L324="","",J324&amp;"|"&amp;K324&amp;"|"&amp;L324)</f>
        <v>4|2|spotify:track:0gXTCSzaCOzNoRb9FeE62N</v>
      </c>
      <c r="U324" s="6" t="str">
        <f aca="false">IF(C324="","",IFERROR(INDEX(Lists!$F:$F,MATCH(C324,Lists!$E:$E,0)),"Unmapped"))</f>
        <v>Pop</v>
      </c>
    </row>
    <row r="325" customFormat="false" ht="15" hidden="false" customHeight="false" outlineLevel="0" collapsed="false">
      <c r="A325" s="5" t="s">
        <v>1060</v>
      </c>
      <c r="B325" s="5" t="s">
        <v>1061</v>
      </c>
      <c r="C325" s="5" t="s">
        <v>91</v>
      </c>
      <c r="D325" s="5" t="s">
        <v>705</v>
      </c>
      <c r="E325" s="5" t="s">
        <v>1058</v>
      </c>
      <c r="F325" s="5" t="n">
        <v>14</v>
      </c>
      <c r="G325" s="5" t="n">
        <v>9</v>
      </c>
      <c r="H325" s="6" t="str">
        <f aca="false">IF(N325="","",N325&amp;IF(AND(MOD(N325,100)&gt;=11,MOD(N325,100)&lt;=13),"th",CHOOSE(MIN(5,MOD(N325,10)+1),"th","st","nd","rd","th")))</f>
        <v>2nd</v>
      </c>
      <c r="I325" s="5" t="s">
        <v>1019</v>
      </c>
      <c r="J325" s="6" t="n">
        <f aca="false">IFERROR(INDEX(Rounds!$A:$A,MATCH(I325,Rounds!$B:$B,0)),"ADD LEAGUE TO ROUNDS")</f>
        <v>4</v>
      </c>
      <c r="K325" s="6" t="n">
        <f aca="false">IFERROR(VALUE(LEFT(E325,FIND(" - ",E325)-1)),"")</f>
        <v>2</v>
      </c>
      <c r="L325" s="5" t="s">
        <v>1062</v>
      </c>
      <c r="N325" s="6" t="n">
        <f aca="false">IF(F325="","",1+COUNTIFS($J:$J,J325,$K:$K,K325,$F:$F,"&gt;"&amp;F325)+COUNTIFS($J:$J,J325,$K:$K,K325,$F:$F,F325,$G:$G,"&gt;"&amp;G325))</f>
        <v>2</v>
      </c>
      <c r="O325" s="6" t="n">
        <f aca="false">IF(L325="","",SUMIFS(Votes!$E:$E,Votes!$A:$A,J325,Votes!$B:$B,K325,Votes!$D:$D,L325))</f>
        <v>14</v>
      </c>
      <c r="P325" s="6" t="n">
        <f aca="false">IF(L325="","",COUNTIFS(Votes!$A:$A,J325,Votes!$B:$B,K325,Votes!$D:$D,L325))</f>
        <v>9</v>
      </c>
      <c r="Q325" s="7" t="str">
        <f aca="false">IF(F325="","Unscored",IF(O325="","No URI",IF(AND(F325=0,O325=0),"Zero-vote",IF(AND(F325=O325,G325=P325),"OK",IF(AND(F325=0,O325&gt;0,COUNTIFS(Votes!$A:$A,J325,Votes!$B:$B,K325,Votes!$C:$C,D325)=0),"Forfeited","Mismatch")))))</f>
        <v>OK</v>
      </c>
      <c r="R325" s="6" t="n">
        <f aca="false">MAX(IF(L325&lt;&gt;"",COUNTIF($L:$L,L325),0),COUNTIFS($A:$A,A325,$B:$B,B325))</f>
        <v>1</v>
      </c>
      <c r="S325" s="6" t="str">
        <f aca="false">IF(R325&gt;1,COUNTIF($R$2:R325,"&gt;1"),"")</f>
        <v/>
      </c>
      <c r="T325" s="6" t="str">
        <f aca="false">IF(L325="","",J325&amp;"|"&amp;K325&amp;"|"&amp;L325)</f>
        <v>4|2|spotify:track:754kgU5rWscRTfvlsuEwFp</v>
      </c>
      <c r="U325" s="6" t="str">
        <f aca="false">IF(C325="","",IFERROR(INDEX(Lists!$F:$F,MATCH(C325,Lists!$E:$E,0)),"Unmapped"))</f>
        <v>Rock</v>
      </c>
    </row>
    <row r="326" customFormat="false" ht="15" hidden="false" customHeight="false" outlineLevel="0" collapsed="false">
      <c r="A326" s="5" t="s">
        <v>1063</v>
      </c>
      <c r="B326" s="5" t="s">
        <v>1064</v>
      </c>
      <c r="C326" s="5" t="s">
        <v>91</v>
      </c>
      <c r="D326" s="5" t="s">
        <v>484</v>
      </c>
      <c r="E326" s="5" t="s">
        <v>1058</v>
      </c>
      <c r="F326" s="5" t="n">
        <v>12</v>
      </c>
      <c r="G326" s="5" t="n">
        <v>9</v>
      </c>
      <c r="H326" s="6" t="str">
        <f aca="false">IF(N326="","",N326&amp;IF(AND(MOD(N326,100)&gt;=11,MOD(N326,100)&lt;=13),"th",CHOOSE(MIN(5,MOD(N326,10)+1),"th","st","nd","rd","th")))</f>
        <v>3rd</v>
      </c>
      <c r="I326" s="5" t="s">
        <v>1019</v>
      </c>
      <c r="J326" s="6" t="n">
        <f aca="false">IFERROR(INDEX(Rounds!$A:$A,MATCH(I326,Rounds!$B:$B,0)),"ADD LEAGUE TO ROUNDS")</f>
        <v>4</v>
      </c>
      <c r="K326" s="6" t="n">
        <f aca="false">IFERROR(VALUE(LEFT(E326,FIND(" - ",E326)-1)),"")</f>
        <v>2</v>
      </c>
      <c r="L326" s="5" t="s">
        <v>1065</v>
      </c>
      <c r="N326" s="6" t="n">
        <f aca="false">IF(F326="","",1+COUNTIFS($J:$J,J326,$K:$K,K326,$F:$F,"&gt;"&amp;F326)+COUNTIFS($J:$J,J326,$K:$K,K326,$F:$F,F326,$G:$G,"&gt;"&amp;G326))</f>
        <v>3</v>
      </c>
      <c r="O326" s="6" t="n">
        <f aca="false">IF(L326="","",SUMIFS(Votes!$E:$E,Votes!$A:$A,J326,Votes!$B:$B,K326,Votes!$D:$D,L326))</f>
        <v>12</v>
      </c>
      <c r="P326" s="6" t="n">
        <f aca="false">IF(L326="","",COUNTIFS(Votes!$A:$A,J326,Votes!$B:$B,K326,Votes!$D:$D,L326))</f>
        <v>9</v>
      </c>
      <c r="Q326" s="7" t="str">
        <f aca="false">IF(F326="","Unscored",IF(O326="","No URI",IF(AND(F326=0,O326=0),"Zero-vote",IF(AND(F326=O326,G326=P326),"OK",IF(AND(F326=0,O326&gt;0,COUNTIFS(Votes!$A:$A,J326,Votes!$B:$B,K326,Votes!$C:$C,D326)=0),"Forfeited","Mismatch")))))</f>
        <v>OK</v>
      </c>
      <c r="R326" s="6" t="n">
        <f aca="false">MAX(IF(L326&lt;&gt;"",COUNTIF($L:$L,L326),0),COUNTIFS($A:$A,A326,$B:$B,B326))</f>
        <v>1</v>
      </c>
      <c r="S326" s="6" t="str">
        <f aca="false">IF(R326&gt;1,COUNTIF($R$2:R326,"&gt;1"),"")</f>
        <v/>
      </c>
      <c r="T326" s="6" t="str">
        <f aca="false">IF(L326="","",J326&amp;"|"&amp;K326&amp;"|"&amp;L326)</f>
        <v>4|2|spotify:track:087OBLtoeS3Q6j0k6tMNAI</v>
      </c>
      <c r="U326" s="6" t="str">
        <f aca="false">IF(C326="","",IFERROR(INDEX(Lists!$F:$F,MATCH(C326,Lists!$E:$E,0)),"Unmapped"))</f>
        <v>Rock</v>
      </c>
    </row>
    <row r="327" customFormat="false" ht="15" hidden="false" customHeight="false" outlineLevel="0" collapsed="false">
      <c r="A327" s="5" t="s">
        <v>1066</v>
      </c>
      <c r="B327" s="5" t="s">
        <v>1067</v>
      </c>
      <c r="C327" s="5" t="s">
        <v>91</v>
      </c>
      <c r="D327" s="5" t="s">
        <v>382</v>
      </c>
      <c r="E327" s="5" t="s">
        <v>1058</v>
      </c>
      <c r="F327" s="5" t="n">
        <v>12</v>
      </c>
      <c r="G327" s="5" t="n">
        <v>9</v>
      </c>
      <c r="H327" s="6" t="str">
        <f aca="false">IF(N327="","",N327&amp;IF(AND(MOD(N327,100)&gt;=11,MOD(N327,100)&lt;=13),"th",CHOOSE(MIN(5,MOD(N327,10)+1),"th","st","nd","rd","th")))</f>
        <v>3rd</v>
      </c>
      <c r="I327" s="5" t="s">
        <v>1019</v>
      </c>
      <c r="J327" s="6" t="n">
        <f aca="false">IFERROR(INDEX(Rounds!$A:$A,MATCH(I327,Rounds!$B:$B,0)),"ADD LEAGUE TO ROUNDS")</f>
        <v>4</v>
      </c>
      <c r="K327" s="6" t="n">
        <f aca="false">IFERROR(VALUE(LEFT(E327,FIND(" - ",E327)-1)),"")</f>
        <v>2</v>
      </c>
      <c r="L327" s="5" t="s">
        <v>1068</v>
      </c>
      <c r="N327" s="6" t="n">
        <f aca="false">IF(F327="","",1+COUNTIFS($J:$J,J327,$K:$K,K327,$F:$F,"&gt;"&amp;F327)+COUNTIFS($J:$J,J327,$K:$K,K327,$F:$F,F327,$G:$G,"&gt;"&amp;G327))</f>
        <v>3</v>
      </c>
      <c r="O327" s="6" t="n">
        <f aca="false">IF(L327="","",SUMIFS(Votes!$E:$E,Votes!$A:$A,J327,Votes!$B:$B,K327,Votes!$D:$D,L327))</f>
        <v>12</v>
      </c>
      <c r="P327" s="6" t="n">
        <f aca="false">IF(L327="","",COUNTIFS(Votes!$A:$A,J327,Votes!$B:$B,K327,Votes!$D:$D,L327))</f>
        <v>9</v>
      </c>
      <c r="Q327" s="7" t="str">
        <f aca="false">IF(F327="","Unscored",IF(O327="","No URI",IF(AND(F327=0,O327=0),"Zero-vote",IF(AND(F327=O327,G327=P327),"OK",IF(AND(F327=0,O327&gt;0,COUNTIFS(Votes!$A:$A,J327,Votes!$B:$B,K327,Votes!$C:$C,D327)=0),"Forfeited","Mismatch")))))</f>
        <v>OK</v>
      </c>
      <c r="R327" s="6" t="n">
        <f aca="false">MAX(IF(L327&lt;&gt;"",COUNTIF($L:$L,L327),0),COUNTIFS($A:$A,A327,$B:$B,B327))</f>
        <v>1</v>
      </c>
      <c r="S327" s="6" t="str">
        <f aca="false">IF(R327&gt;1,COUNTIF($R$2:R327,"&gt;1"),"")</f>
        <v/>
      </c>
      <c r="T327" s="6" t="str">
        <f aca="false">IF(L327="","",J327&amp;"|"&amp;K327&amp;"|"&amp;L327)</f>
        <v>4|2|spotify:track:0cuq829zRNq4AEdmDJA4aw</v>
      </c>
      <c r="U327" s="6" t="str">
        <f aca="false">IF(C327="","",IFERROR(INDEX(Lists!$F:$F,MATCH(C327,Lists!$E:$E,0)),"Unmapped"))</f>
        <v>Rock</v>
      </c>
    </row>
    <row r="328" customFormat="false" ht="15" hidden="false" customHeight="false" outlineLevel="0" collapsed="false">
      <c r="A328" s="5" t="s">
        <v>1069</v>
      </c>
      <c r="B328" s="5" t="s">
        <v>1070</v>
      </c>
      <c r="C328" s="5" t="s">
        <v>84</v>
      </c>
      <c r="D328" s="5" t="s">
        <v>85</v>
      </c>
      <c r="E328" s="5" t="s">
        <v>1058</v>
      </c>
      <c r="F328" s="5" t="n">
        <v>11</v>
      </c>
      <c r="G328" s="5" t="n">
        <v>10</v>
      </c>
      <c r="H328" s="6" t="str">
        <f aca="false">IF(N328="","",N328&amp;IF(AND(MOD(N328,100)&gt;=11,MOD(N328,100)&lt;=13),"th",CHOOSE(MIN(5,MOD(N328,10)+1),"th","st","nd","rd","th")))</f>
        <v>5th</v>
      </c>
      <c r="I328" s="5" t="s">
        <v>1019</v>
      </c>
      <c r="J328" s="6" t="n">
        <f aca="false">IFERROR(INDEX(Rounds!$A:$A,MATCH(I328,Rounds!$B:$B,0)),"ADD LEAGUE TO ROUNDS")</f>
        <v>4</v>
      </c>
      <c r="K328" s="6" t="n">
        <f aca="false">IFERROR(VALUE(LEFT(E328,FIND(" - ",E328)-1)),"")</f>
        <v>2</v>
      </c>
      <c r="L328" s="5" t="s">
        <v>1071</v>
      </c>
      <c r="N328" s="6" t="n">
        <f aca="false">IF(F328="","",1+COUNTIFS($J:$J,J328,$K:$K,K328,$F:$F,"&gt;"&amp;F328)+COUNTIFS($J:$J,J328,$K:$K,K328,$F:$F,F328,$G:$G,"&gt;"&amp;G328))</f>
        <v>5</v>
      </c>
      <c r="O328" s="6" t="n">
        <f aca="false">IF(L328="","",SUMIFS(Votes!$E:$E,Votes!$A:$A,J328,Votes!$B:$B,K328,Votes!$D:$D,L328))</f>
        <v>11</v>
      </c>
      <c r="P328" s="6" t="n">
        <f aca="false">IF(L328="","",COUNTIFS(Votes!$A:$A,J328,Votes!$B:$B,K328,Votes!$D:$D,L328))</f>
        <v>10</v>
      </c>
      <c r="Q328" s="7" t="str">
        <f aca="false">IF(F328="","Unscored",IF(O328="","No URI",IF(AND(F328=0,O328=0),"Zero-vote",IF(AND(F328=O328,G328=P328),"OK",IF(AND(F328=0,O328&gt;0,COUNTIFS(Votes!$A:$A,J328,Votes!$B:$B,K328,Votes!$C:$C,D328)=0),"Forfeited","Mismatch")))))</f>
        <v>OK</v>
      </c>
      <c r="R328" s="6" t="n">
        <f aca="false">MAX(IF(L328&lt;&gt;"",COUNTIF($L:$L,L328),0),COUNTIFS($A:$A,A328,$B:$B,B328))</f>
        <v>2</v>
      </c>
      <c r="S328" s="6" t="n">
        <f aca="false">IF(R328&gt;1,COUNTIF($R$2:R328,"&gt;1"),"")</f>
        <v>23</v>
      </c>
      <c r="T328" s="6" t="str">
        <f aca="false">IF(L328="","",J328&amp;"|"&amp;K328&amp;"|"&amp;L328)</f>
        <v>4|2|spotify:track:47BBI51FKFwOMlIiX6m8ya</v>
      </c>
      <c r="U328" s="6" t="str">
        <f aca="false">IF(C328="","",IFERROR(INDEX(Lists!$F:$F,MATCH(C328,Lists!$E:$E,0)),"Unmapped"))</f>
        <v>Pop</v>
      </c>
    </row>
    <row r="329" customFormat="false" ht="15" hidden="false" customHeight="false" outlineLevel="0" collapsed="false">
      <c r="A329" s="5" t="s">
        <v>1072</v>
      </c>
      <c r="B329" s="5" t="s">
        <v>1073</v>
      </c>
      <c r="C329" s="5" t="s">
        <v>91</v>
      </c>
      <c r="D329" s="5" t="s">
        <v>395</v>
      </c>
      <c r="E329" s="5" t="s">
        <v>1058</v>
      </c>
      <c r="F329" s="5" t="n">
        <v>11</v>
      </c>
      <c r="G329" s="5" t="n">
        <v>9</v>
      </c>
      <c r="H329" s="6" t="str">
        <f aca="false">IF(N329="","",N329&amp;IF(AND(MOD(N329,100)&gt;=11,MOD(N329,100)&lt;=13),"th",CHOOSE(MIN(5,MOD(N329,10)+1),"th","st","nd","rd","th")))</f>
        <v>6th</v>
      </c>
      <c r="I329" s="5" t="s">
        <v>1019</v>
      </c>
      <c r="J329" s="6" t="n">
        <f aca="false">IFERROR(INDEX(Rounds!$A:$A,MATCH(I329,Rounds!$B:$B,0)),"ADD LEAGUE TO ROUNDS")</f>
        <v>4</v>
      </c>
      <c r="K329" s="6" t="n">
        <f aca="false">IFERROR(VALUE(LEFT(E329,FIND(" - ",E329)-1)),"")</f>
        <v>2</v>
      </c>
      <c r="L329" s="5" t="s">
        <v>1074</v>
      </c>
      <c r="N329" s="6" t="n">
        <f aca="false">IF(F329="","",1+COUNTIFS($J:$J,J329,$K:$K,K329,$F:$F,"&gt;"&amp;F329)+COUNTIFS($J:$J,J329,$K:$K,K329,$F:$F,F329,$G:$G,"&gt;"&amp;G329))</f>
        <v>6</v>
      </c>
      <c r="O329" s="6" t="n">
        <f aca="false">IF(L329="","",SUMIFS(Votes!$E:$E,Votes!$A:$A,J329,Votes!$B:$B,K329,Votes!$D:$D,L329))</f>
        <v>11</v>
      </c>
      <c r="P329" s="6" t="n">
        <f aca="false">IF(L329="","",COUNTIFS(Votes!$A:$A,J329,Votes!$B:$B,K329,Votes!$D:$D,L329))</f>
        <v>9</v>
      </c>
      <c r="Q329" s="7" t="str">
        <f aca="false">IF(F329="","Unscored",IF(O329="","No URI",IF(AND(F329=0,O329=0),"Zero-vote",IF(AND(F329=O329,G329=P329),"OK",IF(AND(F329=0,O329&gt;0,COUNTIFS(Votes!$A:$A,J329,Votes!$B:$B,K329,Votes!$C:$C,D329)=0),"Forfeited","Mismatch")))))</f>
        <v>OK</v>
      </c>
      <c r="R329" s="6" t="n">
        <f aca="false">MAX(IF(L329&lt;&gt;"",COUNTIF($L:$L,L329),0),COUNTIFS($A:$A,A329,$B:$B,B329))</f>
        <v>1</v>
      </c>
      <c r="S329" s="6" t="str">
        <f aca="false">IF(R329&gt;1,COUNTIF($R$2:R329,"&gt;1"),"")</f>
        <v/>
      </c>
      <c r="T329" s="6" t="str">
        <f aca="false">IF(L329="","",J329&amp;"|"&amp;K329&amp;"|"&amp;L329)</f>
        <v>4|2|spotify:track:3uPfVXcjnpOjyzI3jb3js4</v>
      </c>
      <c r="U329" s="6" t="str">
        <f aca="false">IF(C329="","",IFERROR(INDEX(Lists!$F:$F,MATCH(C329,Lists!$E:$E,0)),"Unmapped"))</f>
        <v>Rock</v>
      </c>
    </row>
    <row r="330" customFormat="false" ht="15" hidden="false" customHeight="false" outlineLevel="0" collapsed="false">
      <c r="A330" s="5" t="s">
        <v>1075</v>
      </c>
      <c r="B330" s="5" t="s">
        <v>1076</v>
      </c>
      <c r="C330" s="5" t="s">
        <v>91</v>
      </c>
      <c r="D330" s="5" t="s">
        <v>116</v>
      </c>
      <c r="E330" s="5" t="s">
        <v>1058</v>
      </c>
      <c r="F330" s="5" t="n">
        <v>10</v>
      </c>
      <c r="G330" s="5" t="n">
        <v>9</v>
      </c>
      <c r="H330" s="6" t="str">
        <f aca="false">IF(N330="","",N330&amp;IF(AND(MOD(N330,100)&gt;=11,MOD(N330,100)&lt;=13),"th",CHOOSE(MIN(5,MOD(N330,10)+1),"th","st","nd","rd","th")))</f>
        <v>7th</v>
      </c>
      <c r="I330" s="5" t="s">
        <v>1019</v>
      </c>
      <c r="J330" s="6" t="n">
        <f aca="false">IFERROR(INDEX(Rounds!$A:$A,MATCH(I330,Rounds!$B:$B,0)),"ADD LEAGUE TO ROUNDS")</f>
        <v>4</v>
      </c>
      <c r="K330" s="6" t="n">
        <f aca="false">IFERROR(VALUE(LEFT(E330,FIND(" - ",E330)-1)),"")</f>
        <v>2</v>
      </c>
      <c r="L330" s="5" t="s">
        <v>1077</v>
      </c>
      <c r="N330" s="6" t="n">
        <f aca="false">IF(F330="","",1+COUNTIFS($J:$J,J330,$K:$K,K330,$F:$F,"&gt;"&amp;F330)+COUNTIFS($J:$J,J330,$K:$K,K330,$F:$F,F330,$G:$G,"&gt;"&amp;G330))</f>
        <v>7</v>
      </c>
      <c r="O330" s="6" t="n">
        <f aca="false">IF(L330="","",SUMIFS(Votes!$E:$E,Votes!$A:$A,J330,Votes!$B:$B,K330,Votes!$D:$D,L330))</f>
        <v>10</v>
      </c>
      <c r="P330" s="6" t="n">
        <f aca="false">IF(L330="","",COUNTIFS(Votes!$A:$A,J330,Votes!$B:$B,K330,Votes!$D:$D,L330))</f>
        <v>9</v>
      </c>
      <c r="Q330" s="7" t="str">
        <f aca="false">IF(F330="","Unscored",IF(O330="","No URI",IF(AND(F330=0,O330=0),"Zero-vote",IF(AND(F330=O330,G330=P330),"OK",IF(AND(F330=0,O330&gt;0,COUNTIFS(Votes!$A:$A,J330,Votes!$B:$B,K330,Votes!$C:$C,D330)=0),"Forfeited","Mismatch")))))</f>
        <v>OK</v>
      </c>
      <c r="R330" s="6" t="n">
        <f aca="false">MAX(IF(L330&lt;&gt;"",COUNTIF($L:$L,L330),0),COUNTIFS($A:$A,A330,$B:$B,B330))</f>
        <v>1</v>
      </c>
      <c r="S330" s="6" t="str">
        <f aca="false">IF(R330&gt;1,COUNTIF($R$2:R330,"&gt;1"),"")</f>
        <v/>
      </c>
      <c r="T330" s="6" t="str">
        <f aca="false">IF(L330="","",J330&amp;"|"&amp;K330&amp;"|"&amp;L330)</f>
        <v>4|2|spotify:track:5vYA1mW9g2Coh1HUFUSmlb</v>
      </c>
      <c r="U330" s="6" t="str">
        <f aca="false">IF(C330="","",IFERROR(INDEX(Lists!$F:$F,MATCH(C330,Lists!$E:$E,0)),"Unmapped"))</f>
        <v>Rock</v>
      </c>
    </row>
    <row r="331" customFormat="false" ht="15" hidden="false" customHeight="false" outlineLevel="0" collapsed="false">
      <c r="A331" s="5" t="s">
        <v>1078</v>
      </c>
      <c r="B331" s="5" t="s">
        <v>242</v>
      </c>
      <c r="C331" s="5" t="s">
        <v>84</v>
      </c>
      <c r="D331" s="5" t="s">
        <v>637</v>
      </c>
      <c r="E331" s="5" t="s">
        <v>1058</v>
      </c>
      <c r="F331" s="5" t="n">
        <v>10</v>
      </c>
      <c r="G331" s="5" t="n">
        <v>7</v>
      </c>
      <c r="H331" s="6" t="str">
        <f aca="false">IF(N331="","",N331&amp;IF(AND(MOD(N331,100)&gt;=11,MOD(N331,100)&lt;=13),"th",CHOOSE(MIN(5,MOD(N331,10)+1),"th","st","nd","rd","th")))</f>
        <v>8th</v>
      </c>
      <c r="I331" s="5" t="s">
        <v>1019</v>
      </c>
      <c r="J331" s="6" t="n">
        <f aca="false">IFERROR(INDEX(Rounds!$A:$A,MATCH(I331,Rounds!$B:$B,0)),"ADD LEAGUE TO ROUNDS")</f>
        <v>4</v>
      </c>
      <c r="K331" s="6" t="n">
        <f aca="false">IFERROR(VALUE(LEFT(E331,FIND(" - ",E331)-1)),"")</f>
        <v>2</v>
      </c>
      <c r="L331" s="5" t="s">
        <v>1079</v>
      </c>
      <c r="N331" s="6" t="n">
        <f aca="false">IF(F331="","",1+COUNTIFS($J:$J,J331,$K:$K,K331,$F:$F,"&gt;"&amp;F331)+COUNTIFS($J:$J,J331,$K:$K,K331,$F:$F,F331,$G:$G,"&gt;"&amp;G331))</f>
        <v>8</v>
      </c>
      <c r="O331" s="6" t="n">
        <f aca="false">IF(L331="","",SUMIFS(Votes!$E:$E,Votes!$A:$A,J331,Votes!$B:$B,K331,Votes!$D:$D,L331))</f>
        <v>10</v>
      </c>
      <c r="P331" s="6" t="n">
        <f aca="false">IF(L331="","",COUNTIFS(Votes!$A:$A,J331,Votes!$B:$B,K331,Votes!$D:$D,L331))</f>
        <v>7</v>
      </c>
      <c r="Q331" s="7" t="str">
        <f aca="false">IF(F331="","Unscored",IF(O331="","No URI",IF(AND(F331=0,O331=0),"Zero-vote",IF(AND(F331=O331,G331=P331),"OK",IF(AND(F331=0,O331&gt;0,COUNTIFS(Votes!$A:$A,J331,Votes!$B:$B,K331,Votes!$C:$C,D331)=0),"Forfeited","Mismatch")))))</f>
        <v>OK</v>
      </c>
      <c r="R331" s="6" t="n">
        <f aca="false">MAX(IF(L331&lt;&gt;"",COUNTIF($L:$L,L331),0),COUNTIFS($A:$A,A331,$B:$B,B331))</f>
        <v>1</v>
      </c>
      <c r="S331" s="6" t="str">
        <f aca="false">IF(R331&gt;1,COUNTIF($R$2:R331,"&gt;1"),"")</f>
        <v/>
      </c>
      <c r="T331" s="6" t="str">
        <f aca="false">IF(L331="","",J331&amp;"|"&amp;K331&amp;"|"&amp;L331)</f>
        <v>4|2|spotify:track:4E6cwWJWZw2zWf7VFbH7wf</v>
      </c>
      <c r="U331" s="6" t="str">
        <f aca="false">IF(C331="","",IFERROR(INDEX(Lists!$F:$F,MATCH(C331,Lists!$E:$E,0)),"Unmapped"))</f>
        <v>Pop</v>
      </c>
    </row>
    <row r="332" customFormat="false" ht="15" hidden="false" customHeight="false" outlineLevel="0" collapsed="false">
      <c r="A332" s="5" t="s">
        <v>1080</v>
      </c>
      <c r="B332" s="5" t="s">
        <v>208</v>
      </c>
      <c r="C332" s="5" t="s">
        <v>84</v>
      </c>
      <c r="D332" s="5" t="s">
        <v>92</v>
      </c>
      <c r="E332" s="5" t="s">
        <v>1058</v>
      </c>
      <c r="F332" s="5" t="n">
        <v>8</v>
      </c>
      <c r="G332" s="5" t="n">
        <v>7</v>
      </c>
      <c r="H332" s="6" t="str">
        <f aca="false">IF(N332="","",N332&amp;IF(AND(MOD(N332,100)&gt;=11,MOD(N332,100)&lt;=13),"th",CHOOSE(MIN(5,MOD(N332,10)+1),"th","st","nd","rd","th")))</f>
        <v>9th</v>
      </c>
      <c r="I332" s="5" t="s">
        <v>1019</v>
      </c>
      <c r="J332" s="6" t="n">
        <f aca="false">IFERROR(INDEX(Rounds!$A:$A,MATCH(I332,Rounds!$B:$B,0)),"ADD LEAGUE TO ROUNDS")</f>
        <v>4</v>
      </c>
      <c r="K332" s="6" t="n">
        <f aca="false">IFERROR(VALUE(LEFT(E332,FIND(" - ",E332)-1)),"")</f>
        <v>2</v>
      </c>
      <c r="L332" s="5" t="s">
        <v>1081</v>
      </c>
      <c r="N332" s="6" t="n">
        <f aca="false">IF(F332="","",1+COUNTIFS($J:$J,J332,$K:$K,K332,$F:$F,"&gt;"&amp;F332)+COUNTIFS($J:$J,J332,$K:$K,K332,$F:$F,F332,$G:$G,"&gt;"&amp;G332))</f>
        <v>9</v>
      </c>
      <c r="O332" s="6" t="n">
        <f aca="false">IF(L332="","",SUMIFS(Votes!$E:$E,Votes!$A:$A,J332,Votes!$B:$B,K332,Votes!$D:$D,L332))</f>
        <v>8</v>
      </c>
      <c r="P332" s="6" t="n">
        <f aca="false">IF(L332="","",COUNTIFS(Votes!$A:$A,J332,Votes!$B:$B,K332,Votes!$D:$D,L332))</f>
        <v>7</v>
      </c>
      <c r="Q332" s="7" t="str">
        <f aca="false">IF(F332="","Unscored",IF(O332="","No URI",IF(AND(F332=0,O332=0),"Zero-vote",IF(AND(F332=O332,G332=P332),"OK",IF(AND(F332=0,O332&gt;0,COUNTIFS(Votes!$A:$A,J332,Votes!$B:$B,K332,Votes!$C:$C,D332)=0),"Forfeited","Mismatch")))))</f>
        <v>OK</v>
      </c>
      <c r="R332" s="6" t="n">
        <f aca="false">MAX(IF(L332&lt;&gt;"",COUNTIF($L:$L,L332),0),COUNTIFS($A:$A,A332,$B:$B,B332))</f>
        <v>1</v>
      </c>
      <c r="S332" s="6" t="str">
        <f aca="false">IF(R332&gt;1,COUNTIF($R$2:R332,"&gt;1"),"")</f>
        <v/>
      </c>
      <c r="T332" s="6" t="str">
        <f aca="false">IF(L332="","",J332&amp;"|"&amp;K332&amp;"|"&amp;L332)</f>
        <v>4|2|spotify:track:4cluDES4hQEUhmXj6TXkSo</v>
      </c>
      <c r="U332" s="6" t="str">
        <f aca="false">IF(C332="","",IFERROR(INDEX(Lists!$F:$F,MATCH(C332,Lists!$E:$E,0)),"Unmapped"))</f>
        <v>Pop</v>
      </c>
    </row>
    <row r="333" customFormat="false" ht="15" hidden="false" customHeight="false" outlineLevel="0" collapsed="false">
      <c r="A333" s="5" t="s">
        <v>1082</v>
      </c>
      <c r="B333" s="5" t="s">
        <v>1083</v>
      </c>
      <c r="C333" s="5" t="s">
        <v>91</v>
      </c>
      <c r="D333" s="5" t="s">
        <v>106</v>
      </c>
      <c r="E333" s="5" t="s">
        <v>1058</v>
      </c>
      <c r="F333" s="5" t="n">
        <v>8</v>
      </c>
      <c r="G333" s="5" t="n">
        <v>6</v>
      </c>
      <c r="H333" s="6" t="str">
        <f aca="false">IF(N333="","",N333&amp;IF(AND(MOD(N333,100)&gt;=11,MOD(N333,100)&lt;=13),"th",CHOOSE(MIN(5,MOD(N333,10)+1),"th","st","nd","rd","th")))</f>
        <v>10th</v>
      </c>
      <c r="I333" s="5" t="s">
        <v>1019</v>
      </c>
      <c r="J333" s="6" t="n">
        <f aca="false">IFERROR(INDEX(Rounds!$A:$A,MATCH(I333,Rounds!$B:$B,0)),"ADD LEAGUE TO ROUNDS")</f>
        <v>4</v>
      </c>
      <c r="K333" s="6" t="n">
        <f aca="false">IFERROR(VALUE(LEFT(E333,FIND(" - ",E333)-1)),"")</f>
        <v>2</v>
      </c>
      <c r="L333" s="5" t="s">
        <v>1084</v>
      </c>
      <c r="N333" s="6" t="n">
        <f aca="false">IF(F333="","",1+COUNTIFS($J:$J,J333,$K:$K,K333,$F:$F,"&gt;"&amp;F333)+COUNTIFS($J:$J,J333,$K:$K,K333,$F:$F,F333,$G:$G,"&gt;"&amp;G333))</f>
        <v>10</v>
      </c>
      <c r="O333" s="6" t="n">
        <f aca="false">IF(L333="","",SUMIFS(Votes!$E:$E,Votes!$A:$A,J333,Votes!$B:$B,K333,Votes!$D:$D,L333))</f>
        <v>8</v>
      </c>
      <c r="P333" s="6" t="n">
        <f aca="false">IF(L333="","",COUNTIFS(Votes!$A:$A,J333,Votes!$B:$B,K333,Votes!$D:$D,L333))</f>
        <v>6</v>
      </c>
      <c r="Q333" s="7" t="str">
        <f aca="false">IF(F333="","Unscored",IF(O333="","No URI",IF(AND(F333=0,O333=0),"Zero-vote",IF(AND(F333=O333,G333=P333),"OK",IF(AND(F333=0,O333&gt;0,COUNTIFS(Votes!$A:$A,J333,Votes!$B:$B,K333,Votes!$C:$C,D333)=0),"Forfeited","Mismatch")))))</f>
        <v>OK</v>
      </c>
      <c r="R333" s="6" t="n">
        <f aca="false">MAX(IF(L333&lt;&gt;"",COUNTIF($L:$L,L333),0),COUNTIFS($A:$A,A333,$B:$B,B333))</f>
        <v>1</v>
      </c>
      <c r="S333" s="6" t="str">
        <f aca="false">IF(R333&gt;1,COUNTIF($R$2:R333,"&gt;1"),"")</f>
        <v/>
      </c>
      <c r="T333" s="6" t="str">
        <f aca="false">IF(L333="","",J333&amp;"|"&amp;K333&amp;"|"&amp;L333)</f>
        <v>4|2|spotify:track:37T5HmPt4Qi9JHpcy7j1uU</v>
      </c>
      <c r="U333" s="6" t="str">
        <f aca="false">IF(C333="","",IFERROR(INDEX(Lists!$F:$F,MATCH(C333,Lists!$E:$E,0)),"Unmapped"))</f>
        <v>Rock</v>
      </c>
    </row>
    <row r="334" customFormat="false" ht="15" hidden="false" customHeight="false" outlineLevel="0" collapsed="false">
      <c r="A334" s="5" t="s">
        <v>1085</v>
      </c>
      <c r="B334" s="5" t="s">
        <v>1086</v>
      </c>
      <c r="C334" s="5" t="s">
        <v>171</v>
      </c>
      <c r="D334" s="5" t="s">
        <v>128</v>
      </c>
      <c r="E334" s="5" t="s">
        <v>1058</v>
      </c>
      <c r="F334" s="5" t="n">
        <v>8</v>
      </c>
      <c r="G334" s="5" t="n">
        <v>6</v>
      </c>
      <c r="H334" s="6" t="str">
        <f aca="false">IF(N334="","",N334&amp;IF(AND(MOD(N334,100)&gt;=11,MOD(N334,100)&lt;=13),"th",CHOOSE(MIN(5,MOD(N334,10)+1),"th","st","nd","rd","th")))</f>
        <v>10th</v>
      </c>
      <c r="I334" s="5" t="s">
        <v>1019</v>
      </c>
      <c r="J334" s="6" t="n">
        <f aca="false">IFERROR(INDEX(Rounds!$A:$A,MATCH(I334,Rounds!$B:$B,0)),"ADD LEAGUE TO ROUNDS")</f>
        <v>4</v>
      </c>
      <c r="K334" s="6" t="n">
        <f aca="false">IFERROR(VALUE(LEFT(E334,FIND(" - ",E334)-1)),"")</f>
        <v>2</v>
      </c>
      <c r="L334" s="5" t="s">
        <v>1087</v>
      </c>
      <c r="N334" s="6" t="n">
        <f aca="false">IF(F334="","",1+COUNTIFS($J:$J,J334,$K:$K,K334,$F:$F,"&gt;"&amp;F334)+COUNTIFS($J:$J,J334,$K:$K,K334,$F:$F,F334,$G:$G,"&gt;"&amp;G334))</f>
        <v>10</v>
      </c>
      <c r="O334" s="6" t="n">
        <f aca="false">IF(L334="","",SUMIFS(Votes!$E:$E,Votes!$A:$A,J334,Votes!$B:$B,K334,Votes!$D:$D,L334))</f>
        <v>8</v>
      </c>
      <c r="P334" s="6" t="n">
        <f aca="false">IF(L334="","",COUNTIFS(Votes!$A:$A,J334,Votes!$B:$B,K334,Votes!$D:$D,L334))</f>
        <v>6</v>
      </c>
      <c r="Q334" s="7" t="str">
        <f aca="false">IF(F334="","Unscored",IF(O334="","No URI",IF(AND(F334=0,O334=0),"Zero-vote",IF(AND(F334=O334,G334=P334),"OK",IF(AND(F334=0,O334&gt;0,COUNTIFS(Votes!$A:$A,J334,Votes!$B:$B,K334,Votes!$C:$C,D334)=0),"Forfeited","Mismatch")))))</f>
        <v>OK</v>
      </c>
      <c r="R334" s="6" t="n">
        <f aca="false">MAX(IF(L334&lt;&gt;"",COUNTIF($L:$L,L334),0),COUNTIFS($A:$A,A334,$B:$B,B334))</f>
        <v>1</v>
      </c>
      <c r="S334" s="6" t="str">
        <f aca="false">IF(R334&gt;1,COUNTIF($R$2:R334,"&gt;1"),"")</f>
        <v/>
      </c>
      <c r="T334" s="6" t="str">
        <f aca="false">IF(L334="","",J334&amp;"|"&amp;K334&amp;"|"&amp;L334)</f>
        <v>4|2|spotify:track:6sxptembJVty4sNtcPMAVz</v>
      </c>
      <c r="U334" s="6" t="str">
        <f aca="false">IF(C334="","",IFERROR(INDEX(Lists!$F:$F,MATCH(C334,Lists!$E:$E,0)),"Unmapped"))</f>
        <v>Country</v>
      </c>
    </row>
    <row r="335" customFormat="false" ht="15" hidden="false" customHeight="false" outlineLevel="0" collapsed="false">
      <c r="A335" s="5" t="s">
        <v>1088</v>
      </c>
      <c r="B335" s="5" t="s">
        <v>1089</v>
      </c>
      <c r="C335" s="5" t="s">
        <v>293</v>
      </c>
      <c r="D335" s="5" t="s">
        <v>101</v>
      </c>
      <c r="E335" s="5" t="s">
        <v>1058</v>
      </c>
      <c r="F335" s="5" t="n">
        <v>8</v>
      </c>
      <c r="G335" s="5" t="n">
        <v>6</v>
      </c>
      <c r="H335" s="6" t="str">
        <f aca="false">IF(N335="","",N335&amp;IF(AND(MOD(N335,100)&gt;=11,MOD(N335,100)&lt;=13),"th",CHOOSE(MIN(5,MOD(N335,10)+1),"th","st","nd","rd","th")))</f>
        <v>10th</v>
      </c>
      <c r="I335" s="5" t="s">
        <v>1019</v>
      </c>
      <c r="J335" s="6" t="n">
        <f aca="false">IFERROR(INDEX(Rounds!$A:$A,MATCH(I335,Rounds!$B:$B,0)),"ADD LEAGUE TO ROUNDS")</f>
        <v>4</v>
      </c>
      <c r="K335" s="6" t="n">
        <f aca="false">IFERROR(VALUE(LEFT(E335,FIND(" - ",E335)-1)),"")</f>
        <v>2</v>
      </c>
      <c r="L335" s="5" t="s">
        <v>1090</v>
      </c>
      <c r="N335" s="6" t="n">
        <f aca="false">IF(F335="","",1+COUNTIFS($J:$J,J335,$K:$K,K335,$F:$F,"&gt;"&amp;F335)+COUNTIFS($J:$J,J335,$K:$K,K335,$F:$F,F335,$G:$G,"&gt;"&amp;G335))</f>
        <v>10</v>
      </c>
      <c r="O335" s="6" t="n">
        <f aca="false">IF(L335="","",SUMIFS(Votes!$E:$E,Votes!$A:$A,J335,Votes!$B:$B,K335,Votes!$D:$D,L335))</f>
        <v>8</v>
      </c>
      <c r="P335" s="6" t="n">
        <f aca="false">IF(L335="","",COUNTIFS(Votes!$A:$A,J335,Votes!$B:$B,K335,Votes!$D:$D,L335))</f>
        <v>6</v>
      </c>
      <c r="Q335" s="7" t="str">
        <f aca="false">IF(F335="","Unscored",IF(O335="","No URI",IF(AND(F335=0,O335=0),"Zero-vote",IF(AND(F335=O335,G335=P335),"OK",IF(AND(F335=0,O335&gt;0,COUNTIFS(Votes!$A:$A,J335,Votes!$B:$B,K335,Votes!$C:$C,D335)=0),"Forfeited","Mismatch")))))</f>
        <v>OK</v>
      </c>
      <c r="R335" s="6" t="n">
        <f aca="false">MAX(IF(L335&lt;&gt;"",COUNTIF($L:$L,L335),0),COUNTIFS($A:$A,A335,$B:$B,B335))</f>
        <v>1</v>
      </c>
      <c r="S335" s="6" t="str">
        <f aca="false">IF(R335&gt;1,COUNTIF($R$2:R335,"&gt;1"),"")</f>
        <v/>
      </c>
      <c r="T335" s="6" t="str">
        <f aca="false">IF(L335="","",J335&amp;"|"&amp;K335&amp;"|"&amp;L335)</f>
        <v>4|2|spotify:track:09IStsImFySgyp0pIQdqAc</v>
      </c>
      <c r="U335" s="6" t="str">
        <f aca="false">IF(C335="","",IFERROR(INDEX(Lists!$F:$F,MATCH(C335,Lists!$E:$E,0)),"Unmapped"))</f>
        <v>Electronic/Dance</v>
      </c>
    </row>
    <row r="336" customFormat="false" ht="15" hidden="false" customHeight="false" outlineLevel="0" collapsed="false">
      <c r="A336" s="5" t="s">
        <v>597</v>
      </c>
      <c r="B336" s="5" t="s">
        <v>1091</v>
      </c>
      <c r="C336" s="5" t="s">
        <v>96</v>
      </c>
      <c r="D336" s="5" t="s">
        <v>719</v>
      </c>
      <c r="E336" s="5" t="s">
        <v>1058</v>
      </c>
      <c r="F336" s="5" t="n">
        <v>7</v>
      </c>
      <c r="G336" s="5" t="n">
        <v>7</v>
      </c>
      <c r="H336" s="6" t="str">
        <f aca="false">IF(N336="","",N336&amp;IF(AND(MOD(N336,100)&gt;=11,MOD(N336,100)&lt;=13),"th",CHOOSE(MIN(5,MOD(N336,10)+1),"th","st","nd","rd","th")))</f>
        <v>13th</v>
      </c>
      <c r="I336" s="5" t="s">
        <v>1019</v>
      </c>
      <c r="J336" s="6" t="n">
        <f aca="false">IFERROR(INDEX(Rounds!$A:$A,MATCH(I336,Rounds!$B:$B,0)),"ADD LEAGUE TO ROUNDS")</f>
        <v>4</v>
      </c>
      <c r="K336" s="6" t="n">
        <f aca="false">IFERROR(VALUE(LEFT(E336,FIND(" - ",E336)-1)),"")</f>
        <v>2</v>
      </c>
      <c r="L336" s="5" t="s">
        <v>1092</v>
      </c>
      <c r="N336" s="6" t="n">
        <f aca="false">IF(F336="","",1+COUNTIFS($J:$J,J336,$K:$K,K336,$F:$F,"&gt;"&amp;F336)+COUNTIFS($J:$J,J336,$K:$K,K336,$F:$F,F336,$G:$G,"&gt;"&amp;G336))</f>
        <v>13</v>
      </c>
      <c r="O336" s="6" t="n">
        <f aca="false">IF(L336="","",SUMIFS(Votes!$E:$E,Votes!$A:$A,J336,Votes!$B:$B,K336,Votes!$D:$D,L336))</f>
        <v>7</v>
      </c>
      <c r="P336" s="6" t="n">
        <f aca="false">IF(L336="","",COUNTIFS(Votes!$A:$A,J336,Votes!$B:$B,K336,Votes!$D:$D,L336))</f>
        <v>7</v>
      </c>
      <c r="Q336" s="7" t="str">
        <f aca="false">IF(F336="","Unscored",IF(O336="","No URI",IF(AND(F336=0,O336=0),"Zero-vote",IF(AND(F336=O336,G336=P336),"OK",IF(AND(F336=0,O336&gt;0,COUNTIFS(Votes!$A:$A,J336,Votes!$B:$B,K336,Votes!$C:$C,D336)=0),"Forfeited","Mismatch")))))</f>
        <v>OK</v>
      </c>
      <c r="R336" s="6" t="n">
        <f aca="false">MAX(IF(L336&lt;&gt;"",COUNTIF($L:$L,L336),0),COUNTIFS($A:$A,A336,$B:$B,B336))</f>
        <v>1</v>
      </c>
      <c r="S336" s="6" t="str">
        <f aca="false">IF(R336&gt;1,COUNTIF($R$2:R336,"&gt;1"),"")</f>
        <v/>
      </c>
      <c r="T336" s="6" t="str">
        <f aca="false">IF(L336="","",J336&amp;"|"&amp;K336&amp;"|"&amp;L336)</f>
        <v>4|2|spotify:track:10tdqQKFhddpkjzxllTVRj</v>
      </c>
      <c r="U336" s="6" t="str">
        <f aca="false">IF(C336="","",IFERROR(INDEX(Lists!$F:$F,MATCH(C336,Lists!$E:$E,0)),"Unmapped"))</f>
        <v>R&amp;B/Soul</v>
      </c>
    </row>
    <row r="337" customFormat="false" ht="15" hidden="false" customHeight="false" outlineLevel="0" collapsed="false">
      <c r="A337" s="5" t="s">
        <v>1093</v>
      </c>
      <c r="B337" s="5" t="s">
        <v>1094</v>
      </c>
      <c r="C337" s="5" t="s">
        <v>132</v>
      </c>
      <c r="D337" s="5" t="s">
        <v>119</v>
      </c>
      <c r="E337" s="5" t="s">
        <v>1058</v>
      </c>
      <c r="F337" s="5" t="n">
        <v>3</v>
      </c>
      <c r="G337" s="5" t="n">
        <v>3</v>
      </c>
      <c r="H337" s="6" t="str">
        <f aca="false">IF(N337="","",N337&amp;IF(AND(MOD(N337,100)&gt;=11,MOD(N337,100)&lt;=13),"th",CHOOSE(MIN(5,MOD(N337,10)+1),"th","st","nd","rd","th")))</f>
        <v>14th</v>
      </c>
      <c r="I337" s="5" t="s">
        <v>1019</v>
      </c>
      <c r="J337" s="6" t="n">
        <f aca="false">IFERROR(INDEX(Rounds!$A:$A,MATCH(I337,Rounds!$B:$B,0)),"ADD LEAGUE TO ROUNDS")</f>
        <v>4</v>
      </c>
      <c r="K337" s="6" t="n">
        <f aca="false">IFERROR(VALUE(LEFT(E337,FIND(" - ",E337)-1)),"")</f>
        <v>2</v>
      </c>
      <c r="L337" s="5" t="s">
        <v>1095</v>
      </c>
      <c r="N337" s="6" t="n">
        <f aca="false">IF(F337="","",1+COUNTIFS($J:$J,J337,$K:$K,K337,$F:$F,"&gt;"&amp;F337)+COUNTIFS($J:$J,J337,$K:$K,K337,$F:$F,F337,$G:$G,"&gt;"&amp;G337))</f>
        <v>14</v>
      </c>
      <c r="O337" s="6" t="n">
        <f aca="false">IF(L337="","",SUMIFS(Votes!$E:$E,Votes!$A:$A,J337,Votes!$B:$B,K337,Votes!$D:$D,L337))</f>
        <v>3</v>
      </c>
      <c r="P337" s="6" t="n">
        <f aca="false">IF(L337="","",COUNTIFS(Votes!$A:$A,J337,Votes!$B:$B,K337,Votes!$D:$D,L337))</f>
        <v>3</v>
      </c>
      <c r="Q337" s="7" t="str">
        <f aca="false">IF(F337="","Unscored",IF(O337="","No URI",IF(AND(F337=0,O337=0),"Zero-vote",IF(AND(F337=O337,G337=P337),"OK",IF(AND(F337=0,O337&gt;0,COUNTIFS(Votes!$A:$A,J337,Votes!$B:$B,K337,Votes!$C:$C,D337)=0),"Forfeited","Mismatch")))))</f>
        <v>OK</v>
      </c>
      <c r="R337" s="6" t="n">
        <f aca="false">MAX(IF(L337&lt;&gt;"",COUNTIF($L:$L,L337),0),COUNTIFS($A:$A,A337,$B:$B,B337))</f>
        <v>1</v>
      </c>
      <c r="S337" s="6" t="str">
        <f aca="false">IF(R337&gt;1,COUNTIF($R$2:R337,"&gt;1"),"")</f>
        <v/>
      </c>
      <c r="T337" s="6" t="str">
        <f aca="false">IF(L337="","",J337&amp;"|"&amp;K337&amp;"|"&amp;L337)</f>
        <v>4|2|spotify:track:4w9soAM7IrmYDhSXLp14p6</v>
      </c>
      <c r="U337" s="6" t="str">
        <f aca="false">IF(C337="","",IFERROR(INDEX(Lists!$F:$F,MATCH(C337,Lists!$E:$E,0)),"Unmapped"))</f>
        <v>Soundtrack/Musical</v>
      </c>
    </row>
    <row r="338" customFormat="false" ht="15" hidden="false" customHeight="false" outlineLevel="0" collapsed="false">
      <c r="A338" s="5" t="s">
        <v>1096</v>
      </c>
      <c r="B338" s="5" t="s">
        <v>1097</v>
      </c>
      <c r="C338" s="5" t="s">
        <v>132</v>
      </c>
      <c r="D338" s="5" t="s">
        <v>705</v>
      </c>
      <c r="E338" s="5" t="s">
        <v>1098</v>
      </c>
      <c r="F338" s="5" t="n">
        <v>17</v>
      </c>
      <c r="G338" s="5" t="n">
        <v>11</v>
      </c>
      <c r="H338" s="6" t="str">
        <f aca="false">IF(N338="","",N338&amp;IF(AND(MOD(N338,100)&gt;=11,MOD(N338,100)&lt;=13),"th",CHOOSE(MIN(5,MOD(N338,10)+1),"th","st","nd","rd","th")))</f>
        <v>1st</v>
      </c>
      <c r="I338" s="5" t="s">
        <v>1019</v>
      </c>
      <c r="J338" s="6" t="n">
        <f aca="false">IFERROR(INDEX(Rounds!$A:$A,MATCH(I338,Rounds!$B:$B,0)),"ADD LEAGUE TO ROUNDS")</f>
        <v>4</v>
      </c>
      <c r="K338" s="6" t="n">
        <f aca="false">IFERROR(VALUE(LEFT(E338,FIND(" - ",E338)-1)),"")</f>
        <v>3</v>
      </c>
      <c r="L338" s="5" t="s">
        <v>1099</v>
      </c>
      <c r="N338" s="6" t="n">
        <f aca="false">IF(F338="","",1+COUNTIFS($J:$J,J338,$K:$K,K338,$F:$F,"&gt;"&amp;F338)+COUNTIFS($J:$J,J338,$K:$K,K338,$F:$F,F338,$G:$G,"&gt;"&amp;G338))</f>
        <v>1</v>
      </c>
      <c r="O338" s="6" t="n">
        <f aca="false">IF(L338="","",SUMIFS(Votes!$E:$E,Votes!$A:$A,J338,Votes!$B:$B,K338,Votes!$D:$D,L338))</f>
        <v>17</v>
      </c>
      <c r="P338" s="6" t="n">
        <f aca="false">IF(L338="","",COUNTIFS(Votes!$A:$A,J338,Votes!$B:$B,K338,Votes!$D:$D,L338))</f>
        <v>11</v>
      </c>
      <c r="Q338" s="7" t="str">
        <f aca="false">IF(F338="","Unscored",IF(O338="","No URI",IF(AND(F338=0,O338=0),"Zero-vote",IF(AND(F338=O338,G338=P338),"OK",IF(AND(F338=0,O338&gt;0,COUNTIFS(Votes!$A:$A,J338,Votes!$B:$B,K338,Votes!$C:$C,D338)=0),"Forfeited","Mismatch")))))</f>
        <v>OK</v>
      </c>
      <c r="R338" s="6" t="n">
        <f aca="false">MAX(IF(L338&lt;&gt;"",COUNTIF($L:$L,L338),0),COUNTIFS($A:$A,A338,$B:$B,B338))</f>
        <v>1</v>
      </c>
      <c r="S338" s="6" t="str">
        <f aca="false">IF(R338&gt;1,COUNTIF($R$2:R338,"&gt;1"),"")</f>
        <v/>
      </c>
      <c r="T338" s="6" t="str">
        <f aca="false">IF(L338="","",J338&amp;"|"&amp;K338&amp;"|"&amp;L338)</f>
        <v>4|3|spotify:track:7nCwN0SjXZmEsp1KJrsELD</v>
      </c>
      <c r="U338" s="6" t="str">
        <f aca="false">IF(C338="","",IFERROR(INDEX(Lists!$F:$F,MATCH(C338,Lists!$E:$E,0)),"Unmapped"))</f>
        <v>Soundtrack/Musical</v>
      </c>
    </row>
    <row r="339" customFormat="false" ht="15" hidden="false" customHeight="false" outlineLevel="0" collapsed="false">
      <c r="A339" s="5" t="s">
        <v>1100</v>
      </c>
      <c r="B339" s="5" t="s">
        <v>1101</v>
      </c>
      <c r="C339" s="5" t="s">
        <v>132</v>
      </c>
      <c r="D339" s="5" t="s">
        <v>119</v>
      </c>
      <c r="E339" s="5" t="s">
        <v>1098</v>
      </c>
      <c r="F339" s="5" t="n">
        <v>16</v>
      </c>
      <c r="G339" s="5" t="n">
        <v>10</v>
      </c>
      <c r="H339" s="6" t="str">
        <f aca="false">IF(N339="","",N339&amp;IF(AND(MOD(N339,100)&gt;=11,MOD(N339,100)&lt;=13),"th",CHOOSE(MIN(5,MOD(N339,10)+1),"th","st","nd","rd","th")))</f>
        <v>2nd</v>
      </c>
      <c r="I339" s="5" t="s">
        <v>1019</v>
      </c>
      <c r="J339" s="6" t="n">
        <f aca="false">IFERROR(INDEX(Rounds!$A:$A,MATCH(I339,Rounds!$B:$B,0)),"ADD LEAGUE TO ROUNDS")</f>
        <v>4</v>
      </c>
      <c r="K339" s="6" t="n">
        <f aca="false">IFERROR(VALUE(LEFT(E339,FIND(" - ",E339)-1)),"")</f>
        <v>3</v>
      </c>
      <c r="L339" s="5" t="s">
        <v>1102</v>
      </c>
      <c r="N339" s="6" t="n">
        <f aca="false">IF(F339="","",1+COUNTIFS($J:$J,J339,$K:$K,K339,$F:$F,"&gt;"&amp;F339)+COUNTIFS($J:$J,J339,$K:$K,K339,$F:$F,F339,$G:$G,"&gt;"&amp;G339))</f>
        <v>2</v>
      </c>
      <c r="O339" s="6" t="n">
        <f aca="false">IF(L339="","",SUMIFS(Votes!$E:$E,Votes!$A:$A,J339,Votes!$B:$B,K339,Votes!$D:$D,L339))</f>
        <v>16</v>
      </c>
      <c r="P339" s="6" t="n">
        <f aca="false">IF(L339="","",COUNTIFS(Votes!$A:$A,J339,Votes!$B:$B,K339,Votes!$D:$D,L339))</f>
        <v>10</v>
      </c>
      <c r="Q339" s="7" t="str">
        <f aca="false">IF(F339="","Unscored",IF(O339="","No URI",IF(AND(F339=0,O339=0),"Zero-vote",IF(AND(F339=O339,G339=P339),"OK",IF(AND(F339=0,O339&gt;0,COUNTIFS(Votes!$A:$A,J339,Votes!$B:$B,K339,Votes!$C:$C,D339)=0),"Forfeited","Mismatch")))))</f>
        <v>OK</v>
      </c>
      <c r="R339" s="6" t="n">
        <f aca="false">MAX(IF(L339&lt;&gt;"",COUNTIF($L:$L,L339),0),COUNTIFS($A:$A,A339,$B:$B,B339))</f>
        <v>1</v>
      </c>
      <c r="S339" s="6" t="str">
        <f aca="false">IF(R339&gt;1,COUNTIF($R$2:R339,"&gt;1"),"")</f>
        <v/>
      </c>
      <c r="T339" s="6" t="str">
        <f aca="false">IF(L339="","",J339&amp;"|"&amp;K339&amp;"|"&amp;L339)</f>
        <v>4|3|spotify:track:4ylWMuGbMXNDgDd8lErEle</v>
      </c>
      <c r="U339" s="6" t="str">
        <f aca="false">IF(C339="","",IFERROR(INDEX(Lists!$F:$F,MATCH(C339,Lists!$E:$E,0)),"Unmapped"))</f>
        <v>Soundtrack/Musical</v>
      </c>
    </row>
    <row r="340" customFormat="false" ht="15" hidden="false" customHeight="false" outlineLevel="0" collapsed="false">
      <c r="A340" s="5" t="s">
        <v>1103</v>
      </c>
      <c r="B340" s="5" t="s">
        <v>1104</v>
      </c>
      <c r="C340" s="5" t="s">
        <v>132</v>
      </c>
      <c r="D340" s="5" t="s">
        <v>85</v>
      </c>
      <c r="E340" s="5" t="s">
        <v>1098</v>
      </c>
      <c r="F340" s="5" t="n">
        <v>14</v>
      </c>
      <c r="G340" s="5" t="n">
        <v>9</v>
      </c>
      <c r="H340" s="6" t="str">
        <f aca="false">IF(N340="","",N340&amp;IF(AND(MOD(N340,100)&gt;=11,MOD(N340,100)&lt;=13),"th",CHOOSE(MIN(5,MOD(N340,10)+1),"th","st","nd","rd","th")))</f>
        <v>3rd</v>
      </c>
      <c r="I340" s="5" t="s">
        <v>1019</v>
      </c>
      <c r="J340" s="6" t="n">
        <f aca="false">IFERROR(INDEX(Rounds!$A:$A,MATCH(I340,Rounds!$B:$B,0)),"ADD LEAGUE TO ROUNDS")</f>
        <v>4</v>
      </c>
      <c r="K340" s="6" t="n">
        <f aca="false">IFERROR(VALUE(LEFT(E340,FIND(" - ",E340)-1)),"")</f>
        <v>3</v>
      </c>
      <c r="L340" s="5" t="s">
        <v>1105</v>
      </c>
      <c r="N340" s="6" t="n">
        <f aca="false">IF(F340="","",1+COUNTIFS($J:$J,J340,$K:$K,K340,$F:$F,"&gt;"&amp;F340)+COUNTIFS($J:$J,J340,$K:$K,K340,$F:$F,F340,$G:$G,"&gt;"&amp;G340))</f>
        <v>3</v>
      </c>
      <c r="O340" s="6" t="n">
        <f aca="false">IF(L340="","",SUMIFS(Votes!$E:$E,Votes!$A:$A,J340,Votes!$B:$B,K340,Votes!$D:$D,L340))</f>
        <v>14</v>
      </c>
      <c r="P340" s="6" t="n">
        <f aca="false">IF(L340="","",COUNTIFS(Votes!$A:$A,J340,Votes!$B:$B,K340,Votes!$D:$D,L340))</f>
        <v>9</v>
      </c>
      <c r="Q340" s="7" t="str">
        <f aca="false">IF(F340="","Unscored",IF(O340="","No URI",IF(AND(F340=0,O340=0),"Zero-vote",IF(AND(F340=O340,G340=P340),"OK",IF(AND(F340=0,O340&gt;0,COUNTIFS(Votes!$A:$A,J340,Votes!$B:$B,K340,Votes!$C:$C,D340)=0),"Forfeited","Mismatch")))))</f>
        <v>OK</v>
      </c>
      <c r="R340" s="6" t="n">
        <f aca="false">MAX(IF(L340&lt;&gt;"",COUNTIF($L:$L,L340),0),COUNTIFS($A:$A,A340,$B:$B,B340))</f>
        <v>1</v>
      </c>
      <c r="S340" s="6" t="str">
        <f aca="false">IF(R340&gt;1,COUNTIF($R$2:R340,"&gt;1"),"")</f>
        <v/>
      </c>
      <c r="T340" s="6" t="str">
        <f aca="false">IF(L340="","",J340&amp;"|"&amp;K340&amp;"|"&amp;L340)</f>
        <v>4|3|spotify:track:7l6hD7JPcp4MTqcqpRPpsx</v>
      </c>
      <c r="U340" s="6" t="str">
        <f aca="false">IF(C340="","",IFERROR(INDEX(Lists!$F:$F,MATCH(C340,Lists!$E:$E,0)),"Unmapped"))</f>
        <v>Soundtrack/Musical</v>
      </c>
    </row>
    <row r="341" customFormat="false" ht="15" hidden="false" customHeight="false" outlineLevel="0" collapsed="false">
      <c r="A341" s="5" t="s">
        <v>1106</v>
      </c>
      <c r="B341" s="5" t="s">
        <v>1107</v>
      </c>
      <c r="C341" s="5" t="s">
        <v>132</v>
      </c>
      <c r="D341" s="5" t="s">
        <v>106</v>
      </c>
      <c r="E341" s="5" t="s">
        <v>1098</v>
      </c>
      <c r="F341" s="5" t="n">
        <v>14</v>
      </c>
      <c r="G341" s="5" t="n">
        <v>9</v>
      </c>
      <c r="H341" s="6" t="str">
        <f aca="false">IF(N341="","",N341&amp;IF(AND(MOD(N341,100)&gt;=11,MOD(N341,100)&lt;=13),"th",CHOOSE(MIN(5,MOD(N341,10)+1),"th","st","nd","rd","th")))</f>
        <v>3rd</v>
      </c>
      <c r="I341" s="5" t="s">
        <v>1019</v>
      </c>
      <c r="J341" s="6" t="n">
        <f aca="false">IFERROR(INDEX(Rounds!$A:$A,MATCH(I341,Rounds!$B:$B,0)),"ADD LEAGUE TO ROUNDS")</f>
        <v>4</v>
      </c>
      <c r="K341" s="6" t="n">
        <f aca="false">IFERROR(VALUE(LEFT(E341,FIND(" - ",E341)-1)),"")</f>
        <v>3</v>
      </c>
      <c r="L341" s="5" t="s">
        <v>1108</v>
      </c>
      <c r="N341" s="6" t="n">
        <f aca="false">IF(F341="","",1+COUNTIFS($J:$J,J341,$K:$K,K341,$F:$F,"&gt;"&amp;F341)+COUNTIFS($J:$J,J341,$K:$K,K341,$F:$F,F341,$G:$G,"&gt;"&amp;G341))</f>
        <v>3</v>
      </c>
      <c r="O341" s="6" t="n">
        <f aca="false">IF(L341="","",SUMIFS(Votes!$E:$E,Votes!$A:$A,J341,Votes!$B:$B,K341,Votes!$D:$D,L341))</f>
        <v>14</v>
      </c>
      <c r="P341" s="6" t="n">
        <f aca="false">IF(L341="","",COUNTIFS(Votes!$A:$A,J341,Votes!$B:$B,K341,Votes!$D:$D,L341))</f>
        <v>9</v>
      </c>
      <c r="Q341" s="7" t="str">
        <f aca="false">IF(F341="","Unscored",IF(O341="","No URI",IF(AND(F341=0,O341=0),"Zero-vote",IF(AND(F341=O341,G341=P341),"OK",IF(AND(F341=0,O341&gt;0,COUNTIFS(Votes!$A:$A,J341,Votes!$B:$B,K341,Votes!$C:$C,D341)=0),"Forfeited","Mismatch")))))</f>
        <v>OK</v>
      </c>
      <c r="R341" s="6" t="n">
        <f aca="false">MAX(IF(L341&lt;&gt;"",COUNTIF($L:$L,L341),0),COUNTIFS($A:$A,A341,$B:$B,B341))</f>
        <v>1</v>
      </c>
      <c r="S341" s="6" t="str">
        <f aca="false">IF(R341&gt;1,COUNTIF($R$2:R341,"&gt;1"),"")</f>
        <v/>
      </c>
      <c r="T341" s="6" t="str">
        <f aca="false">IF(L341="","",J341&amp;"|"&amp;K341&amp;"|"&amp;L341)</f>
        <v>4|3|spotify:track:7EqpEBPOohgk7NnKvBGFWo</v>
      </c>
      <c r="U341" s="6" t="str">
        <f aca="false">IF(C341="","",IFERROR(INDEX(Lists!$F:$F,MATCH(C341,Lists!$E:$E,0)),"Unmapped"))</f>
        <v>Soundtrack/Musical</v>
      </c>
    </row>
    <row r="342" customFormat="false" ht="15" hidden="false" customHeight="false" outlineLevel="0" collapsed="false">
      <c r="A342" s="5" t="s">
        <v>1109</v>
      </c>
      <c r="B342" s="5" t="s">
        <v>1110</v>
      </c>
      <c r="C342" s="5" t="s">
        <v>132</v>
      </c>
      <c r="D342" s="5" t="s">
        <v>395</v>
      </c>
      <c r="E342" s="5" t="s">
        <v>1098</v>
      </c>
      <c r="F342" s="5" t="n">
        <v>13</v>
      </c>
      <c r="G342" s="5" t="n">
        <v>11</v>
      </c>
      <c r="H342" s="6" t="str">
        <f aca="false">IF(N342="","",N342&amp;IF(AND(MOD(N342,100)&gt;=11,MOD(N342,100)&lt;=13),"th",CHOOSE(MIN(5,MOD(N342,10)+1),"th","st","nd","rd","th")))</f>
        <v>5th</v>
      </c>
      <c r="I342" s="5" t="s">
        <v>1019</v>
      </c>
      <c r="J342" s="6" t="n">
        <f aca="false">IFERROR(INDEX(Rounds!$A:$A,MATCH(I342,Rounds!$B:$B,0)),"ADD LEAGUE TO ROUNDS")</f>
        <v>4</v>
      </c>
      <c r="K342" s="6" t="n">
        <f aca="false">IFERROR(VALUE(LEFT(E342,FIND(" - ",E342)-1)),"")</f>
        <v>3</v>
      </c>
      <c r="L342" s="5" t="s">
        <v>1111</v>
      </c>
      <c r="N342" s="6" t="n">
        <f aca="false">IF(F342="","",1+COUNTIFS($J:$J,J342,$K:$K,K342,$F:$F,"&gt;"&amp;F342)+COUNTIFS($J:$J,J342,$K:$K,K342,$F:$F,F342,$G:$G,"&gt;"&amp;G342))</f>
        <v>5</v>
      </c>
      <c r="O342" s="6" t="n">
        <f aca="false">IF(L342="","",SUMIFS(Votes!$E:$E,Votes!$A:$A,J342,Votes!$B:$B,K342,Votes!$D:$D,L342))</f>
        <v>13</v>
      </c>
      <c r="P342" s="6" t="n">
        <f aca="false">IF(L342="","",COUNTIFS(Votes!$A:$A,J342,Votes!$B:$B,K342,Votes!$D:$D,L342))</f>
        <v>11</v>
      </c>
      <c r="Q342" s="7" t="str">
        <f aca="false">IF(F342="","Unscored",IF(O342="","No URI",IF(AND(F342=0,O342=0),"Zero-vote",IF(AND(F342=O342,G342=P342),"OK",IF(AND(F342=0,O342&gt;0,COUNTIFS(Votes!$A:$A,J342,Votes!$B:$B,K342,Votes!$C:$C,D342)=0),"Forfeited","Mismatch")))))</f>
        <v>OK</v>
      </c>
      <c r="R342" s="6" t="n">
        <f aca="false">MAX(IF(L342&lt;&gt;"",COUNTIF($L:$L,L342),0),COUNTIFS($A:$A,A342,$B:$B,B342))</f>
        <v>1</v>
      </c>
      <c r="S342" s="6" t="str">
        <f aca="false">IF(R342&gt;1,COUNTIF($R$2:R342,"&gt;1"),"")</f>
        <v/>
      </c>
      <c r="T342" s="6" t="str">
        <f aca="false">IF(L342="","",J342&amp;"|"&amp;K342&amp;"|"&amp;L342)</f>
        <v>4|3|spotify:track:3EBPGmqpZTMfOPQtUxfCXj</v>
      </c>
      <c r="U342" s="6" t="str">
        <f aca="false">IF(C342="","",IFERROR(INDEX(Lists!$F:$F,MATCH(C342,Lists!$E:$E,0)),"Unmapped"))</f>
        <v>Soundtrack/Musical</v>
      </c>
    </row>
    <row r="343" customFormat="false" ht="15" hidden="false" customHeight="false" outlineLevel="0" collapsed="false">
      <c r="A343" s="5" t="s">
        <v>1112</v>
      </c>
      <c r="B343" s="5" t="s">
        <v>1113</v>
      </c>
      <c r="C343" s="5" t="s">
        <v>132</v>
      </c>
      <c r="D343" s="5" t="s">
        <v>719</v>
      </c>
      <c r="E343" s="5" t="s">
        <v>1098</v>
      </c>
      <c r="F343" s="5" t="n">
        <v>9</v>
      </c>
      <c r="G343" s="5" t="n">
        <v>7</v>
      </c>
      <c r="H343" s="6" t="str">
        <f aca="false">IF(N343="","",N343&amp;IF(AND(MOD(N343,100)&gt;=11,MOD(N343,100)&lt;=13),"th",CHOOSE(MIN(5,MOD(N343,10)+1),"th","st","nd","rd","th")))</f>
        <v>6th</v>
      </c>
      <c r="I343" s="5" t="s">
        <v>1019</v>
      </c>
      <c r="J343" s="6" t="n">
        <f aca="false">IFERROR(INDEX(Rounds!$A:$A,MATCH(I343,Rounds!$B:$B,0)),"ADD LEAGUE TO ROUNDS")</f>
        <v>4</v>
      </c>
      <c r="K343" s="6" t="n">
        <f aca="false">IFERROR(VALUE(LEFT(E343,FIND(" - ",E343)-1)),"")</f>
        <v>3</v>
      </c>
      <c r="L343" s="5" t="s">
        <v>1114</v>
      </c>
      <c r="N343" s="6" t="n">
        <f aca="false">IF(F343="","",1+COUNTIFS($J:$J,J343,$K:$K,K343,$F:$F,"&gt;"&amp;F343)+COUNTIFS($J:$J,J343,$K:$K,K343,$F:$F,F343,$G:$G,"&gt;"&amp;G343))</f>
        <v>6</v>
      </c>
      <c r="O343" s="6" t="n">
        <f aca="false">IF(L343="","",SUMIFS(Votes!$E:$E,Votes!$A:$A,J343,Votes!$B:$B,K343,Votes!$D:$D,L343))</f>
        <v>9</v>
      </c>
      <c r="P343" s="6" t="n">
        <f aca="false">IF(L343="","",COUNTIFS(Votes!$A:$A,J343,Votes!$B:$B,K343,Votes!$D:$D,L343))</f>
        <v>7</v>
      </c>
      <c r="Q343" s="7" t="str">
        <f aca="false">IF(F343="","Unscored",IF(O343="","No URI",IF(AND(F343=0,O343=0),"Zero-vote",IF(AND(F343=O343,G343=P343),"OK",IF(AND(F343=0,O343&gt;0,COUNTIFS(Votes!$A:$A,J343,Votes!$B:$B,K343,Votes!$C:$C,D343)=0),"Forfeited","Mismatch")))))</f>
        <v>OK</v>
      </c>
      <c r="R343" s="6" t="n">
        <f aca="false">MAX(IF(L343&lt;&gt;"",COUNTIF($L:$L,L343),0),COUNTIFS($A:$A,A343,$B:$B,B343))</f>
        <v>1</v>
      </c>
      <c r="S343" s="6" t="str">
        <f aca="false">IF(R343&gt;1,COUNTIF($R$2:R343,"&gt;1"),"")</f>
        <v/>
      </c>
      <c r="T343" s="6" t="str">
        <f aca="false">IF(L343="","",J343&amp;"|"&amp;K343&amp;"|"&amp;L343)</f>
        <v>4|3|spotify:track:3ZPpFEandljtmTnz8D4trH</v>
      </c>
      <c r="U343" s="6" t="str">
        <f aca="false">IF(C343="","",IFERROR(INDEX(Lists!$F:$F,MATCH(C343,Lists!$E:$E,0)),"Unmapped"))</f>
        <v>Soundtrack/Musical</v>
      </c>
    </row>
    <row r="344" customFormat="false" ht="15" hidden="false" customHeight="false" outlineLevel="0" collapsed="false">
      <c r="A344" s="5" t="s">
        <v>1115</v>
      </c>
      <c r="B344" s="5" t="s">
        <v>1116</v>
      </c>
      <c r="C344" s="5" t="s">
        <v>132</v>
      </c>
      <c r="D344" s="5" t="s">
        <v>637</v>
      </c>
      <c r="E344" s="5" t="s">
        <v>1098</v>
      </c>
      <c r="F344" s="5" t="n">
        <v>9</v>
      </c>
      <c r="G344" s="5" t="n">
        <v>7</v>
      </c>
      <c r="H344" s="6" t="str">
        <f aca="false">IF(N344="","",N344&amp;IF(AND(MOD(N344,100)&gt;=11,MOD(N344,100)&lt;=13),"th",CHOOSE(MIN(5,MOD(N344,10)+1),"th","st","nd","rd","th")))</f>
        <v>6th</v>
      </c>
      <c r="I344" s="5" t="s">
        <v>1019</v>
      </c>
      <c r="J344" s="6" t="n">
        <f aca="false">IFERROR(INDEX(Rounds!$A:$A,MATCH(I344,Rounds!$B:$B,0)),"ADD LEAGUE TO ROUNDS")</f>
        <v>4</v>
      </c>
      <c r="K344" s="6" t="n">
        <f aca="false">IFERROR(VALUE(LEFT(E344,FIND(" - ",E344)-1)),"")</f>
        <v>3</v>
      </c>
      <c r="L344" s="5" t="s">
        <v>1117</v>
      </c>
      <c r="N344" s="6" t="n">
        <f aca="false">IF(F344="","",1+COUNTIFS($J:$J,J344,$K:$K,K344,$F:$F,"&gt;"&amp;F344)+COUNTIFS($J:$J,J344,$K:$K,K344,$F:$F,F344,$G:$G,"&gt;"&amp;G344))</f>
        <v>6</v>
      </c>
      <c r="O344" s="6" t="n">
        <f aca="false">IF(L344="","",SUMIFS(Votes!$E:$E,Votes!$A:$A,J344,Votes!$B:$B,K344,Votes!$D:$D,L344))</f>
        <v>9</v>
      </c>
      <c r="P344" s="6" t="n">
        <f aca="false">IF(L344="","",COUNTIFS(Votes!$A:$A,J344,Votes!$B:$B,K344,Votes!$D:$D,L344))</f>
        <v>7</v>
      </c>
      <c r="Q344" s="7" t="str">
        <f aca="false">IF(F344="","Unscored",IF(O344="","No URI",IF(AND(F344=0,O344=0),"Zero-vote",IF(AND(F344=O344,G344=P344),"OK",IF(AND(F344=0,O344&gt;0,COUNTIFS(Votes!$A:$A,J344,Votes!$B:$B,K344,Votes!$C:$C,D344)=0),"Forfeited","Mismatch")))))</f>
        <v>OK</v>
      </c>
      <c r="R344" s="6" t="n">
        <f aca="false">MAX(IF(L344&lt;&gt;"",COUNTIF($L:$L,L344),0),COUNTIFS($A:$A,A344,$B:$B,B344))</f>
        <v>1</v>
      </c>
      <c r="S344" s="6" t="str">
        <f aca="false">IF(R344&gt;1,COUNTIF($R$2:R344,"&gt;1"),"")</f>
        <v/>
      </c>
      <c r="T344" s="6" t="str">
        <f aca="false">IF(L344="","",J344&amp;"|"&amp;K344&amp;"|"&amp;L344)</f>
        <v>4|3|spotify:track:5JRgVMONxTRjC1g1d0XsvX</v>
      </c>
      <c r="U344" s="6" t="str">
        <f aca="false">IF(C344="","",IFERROR(INDEX(Lists!$F:$F,MATCH(C344,Lists!$E:$E,0)),"Unmapped"))</f>
        <v>Soundtrack/Musical</v>
      </c>
    </row>
    <row r="345" customFormat="false" ht="15" hidden="false" customHeight="false" outlineLevel="0" collapsed="false">
      <c r="A345" s="5" t="s">
        <v>1118</v>
      </c>
      <c r="B345" s="5" t="s">
        <v>1119</v>
      </c>
      <c r="C345" s="5" t="s">
        <v>132</v>
      </c>
      <c r="D345" s="5" t="s">
        <v>128</v>
      </c>
      <c r="E345" s="5" t="s">
        <v>1098</v>
      </c>
      <c r="F345" s="5" t="n">
        <v>9</v>
      </c>
      <c r="G345" s="5" t="n">
        <v>7</v>
      </c>
      <c r="H345" s="6" t="str">
        <f aca="false">IF(N345="","",N345&amp;IF(AND(MOD(N345,100)&gt;=11,MOD(N345,100)&lt;=13),"th",CHOOSE(MIN(5,MOD(N345,10)+1),"th","st","nd","rd","th")))</f>
        <v>6th</v>
      </c>
      <c r="I345" s="5" t="s">
        <v>1019</v>
      </c>
      <c r="J345" s="6" t="n">
        <f aca="false">IFERROR(INDEX(Rounds!$A:$A,MATCH(I345,Rounds!$B:$B,0)),"ADD LEAGUE TO ROUNDS")</f>
        <v>4</v>
      </c>
      <c r="K345" s="6" t="n">
        <f aca="false">IFERROR(VALUE(LEFT(E345,FIND(" - ",E345)-1)),"")</f>
        <v>3</v>
      </c>
      <c r="L345" s="5" t="s">
        <v>1120</v>
      </c>
      <c r="N345" s="6" t="n">
        <f aca="false">IF(F345="","",1+COUNTIFS($J:$J,J345,$K:$K,K345,$F:$F,"&gt;"&amp;F345)+COUNTIFS($J:$J,J345,$K:$K,K345,$F:$F,F345,$G:$G,"&gt;"&amp;G345))</f>
        <v>6</v>
      </c>
      <c r="O345" s="6" t="n">
        <f aca="false">IF(L345="","",SUMIFS(Votes!$E:$E,Votes!$A:$A,J345,Votes!$B:$B,K345,Votes!$D:$D,L345))</f>
        <v>9</v>
      </c>
      <c r="P345" s="6" t="n">
        <f aca="false">IF(L345="","",COUNTIFS(Votes!$A:$A,J345,Votes!$B:$B,K345,Votes!$D:$D,L345))</f>
        <v>7</v>
      </c>
      <c r="Q345" s="7" t="str">
        <f aca="false">IF(F345="","Unscored",IF(O345="","No URI",IF(AND(F345=0,O345=0),"Zero-vote",IF(AND(F345=O345,G345=P345),"OK",IF(AND(F345=0,O345&gt;0,COUNTIFS(Votes!$A:$A,J345,Votes!$B:$B,K345,Votes!$C:$C,D345)=0),"Forfeited","Mismatch")))))</f>
        <v>OK</v>
      </c>
      <c r="R345" s="6" t="n">
        <f aca="false">MAX(IF(L345&lt;&gt;"",COUNTIF($L:$L,L345),0),COUNTIFS($A:$A,A345,$B:$B,B345))</f>
        <v>1</v>
      </c>
      <c r="S345" s="6" t="str">
        <f aca="false">IF(R345&gt;1,COUNTIF($R$2:R345,"&gt;1"),"")</f>
        <v/>
      </c>
      <c r="T345" s="6" t="str">
        <f aca="false">IF(L345="","",J345&amp;"|"&amp;K345&amp;"|"&amp;L345)</f>
        <v>4|3|spotify:track:1w2k1OOCSy3ez40D3TQs7L</v>
      </c>
      <c r="U345" s="6" t="str">
        <f aca="false">IF(C345="","",IFERROR(INDEX(Lists!$F:$F,MATCH(C345,Lists!$E:$E,0)),"Unmapped"))</f>
        <v>Soundtrack/Musical</v>
      </c>
    </row>
    <row r="346" customFormat="false" ht="15" hidden="false" customHeight="false" outlineLevel="0" collapsed="false">
      <c r="A346" s="5" t="s">
        <v>1121</v>
      </c>
      <c r="B346" s="5" t="s">
        <v>1122</v>
      </c>
      <c r="C346" s="5" t="s">
        <v>132</v>
      </c>
      <c r="D346" s="5" t="s">
        <v>92</v>
      </c>
      <c r="E346" s="5" t="s">
        <v>1098</v>
      </c>
      <c r="F346" s="5" t="n">
        <v>8</v>
      </c>
      <c r="G346" s="5" t="n">
        <v>7</v>
      </c>
      <c r="H346" s="6" t="str">
        <f aca="false">IF(N346="","",N346&amp;IF(AND(MOD(N346,100)&gt;=11,MOD(N346,100)&lt;=13),"th",CHOOSE(MIN(5,MOD(N346,10)+1),"th","st","nd","rd","th")))</f>
        <v>9th</v>
      </c>
      <c r="I346" s="5" t="s">
        <v>1019</v>
      </c>
      <c r="J346" s="6" t="n">
        <f aca="false">IFERROR(INDEX(Rounds!$A:$A,MATCH(I346,Rounds!$B:$B,0)),"ADD LEAGUE TO ROUNDS")</f>
        <v>4</v>
      </c>
      <c r="K346" s="6" t="n">
        <f aca="false">IFERROR(VALUE(LEFT(E346,FIND(" - ",E346)-1)),"")</f>
        <v>3</v>
      </c>
      <c r="L346" s="5" t="s">
        <v>1123</v>
      </c>
      <c r="N346" s="6" t="n">
        <f aca="false">IF(F346="","",1+COUNTIFS($J:$J,J346,$K:$K,K346,$F:$F,"&gt;"&amp;F346)+COUNTIFS($J:$J,J346,$K:$K,K346,$F:$F,F346,$G:$G,"&gt;"&amp;G346))</f>
        <v>9</v>
      </c>
      <c r="O346" s="6" t="n">
        <f aca="false">IF(L346="","",SUMIFS(Votes!$E:$E,Votes!$A:$A,J346,Votes!$B:$B,K346,Votes!$D:$D,L346))</f>
        <v>8</v>
      </c>
      <c r="P346" s="6" t="n">
        <f aca="false">IF(L346="","",COUNTIFS(Votes!$A:$A,J346,Votes!$B:$B,K346,Votes!$D:$D,L346))</f>
        <v>7</v>
      </c>
      <c r="Q346" s="7" t="str">
        <f aca="false">IF(F346="","Unscored",IF(O346="","No URI",IF(AND(F346=0,O346=0),"Zero-vote",IF(AND(F346=O346,G346=P346),"OK",IF(AND(F346=0,O346&gt;0,COUNTIFS(Votes!$A:$A,J346,Votes!$B:$B,K346,Votes!$C:$C,D346)=0),"Forfeited","Mismatch")))))</f>
        <v>OK</v>
      </c>
      <c r="R346" s="6" t="n">
        <f aca="false">MAX(IF(L346&lt;&gt;"",COUNTIF($L:$L,L346),0),COUNTIFS($A:$A,A346,$B:$B,B346))</f>
        <v>1</v>
      </c>
      <c r="S346" s="6" t="str">
        <f aca="false">IF(R346&gt;1,COUNTIF($R$2:R346,"&gt;1"),"")</f>
        <v/>
      </c>
      <c r="T346" s="6" t="str">
        <f aca="false">IF(L346="","",J346&amp;"|"&amp;K346&amp;"|"&amp;L346)</f>
        <v>4|3|spotify:track:0qcr5FMsEO85NAQjrlDRKo</v>
      </c>
      <c r="U346" s="6" t="str">
        <f aca="false">IF(C346="","",IFERROR(INDEX(Lists!$F:$F,MATCH(C346,Lists!$E:$E,0)),"Unmapped"))</f>
        <v>Soundtrack/Musical</v>
      </c>
    </row>
    <row r="347" customFormat="false" ht="15" hidden="false" customHeight="false" outlineLevel="0" collapsed="false">
      <c r="A347" s="5" t="s">
        <v>1124</v>
      </c>
      <c r="B347" s="5" t="s">
        <v>1125</v>
      </c>
      <c r="C347" s="5" t="s">
        <v>132</v>
      </c>
      <c r="D347" s="5" t="s">
        <v>97</v>
      </c>
      <c r="E347" s="5" t="s">
        <v>1098</v>
      </c>
      <c r="F347" s="5" t="n">
        <v>8</v>
      </c>
      <c r="G347" s="5" t="n">
        <v>6</v>
      </c>
      <c r="H347" s="6" t="str">
        <f aca="false">IF(N347="","",N347&amp;IF(AND(MOD(N347,100)&gt;=11,MOD(N347,100)&lt;=13),"th",CHOOSE(MIN(5,MOD(N347,10)+1),"th","st","nd","rd","th")))</f>
        <v>10th</v>
      </c>
      <c r="I347" s="5" t="s">
        <v>1019</v>
      </c>
      <c r="J347" s="6" t="n">
        <f aca="false">IFERROR(INDEX(Rounds!$A:$A,MATCH(I347,Rounds!$B:$B,0)),"ADD LEAGUE TO ROUNDS")</f>
        <v>4</v>
      </c>
      <c r="K347" s="6" t="n">
        <f aca="false">IFERROR(VALUE(LEFT(E347,FIND(" - ",E347)-1)),"")</f>
        <v>3</v>
      </c>
      <c r="L347" s="5" t="s">
        <v>1126</v>
      </c>
      <c r="N347" s="6" t="n">
        <f aca="false">IF(F347="","",1+COUNTIFS($J:$J,J347,$K:$K,K347,$F:$F,"&gt;"&amp;F347)+COUNTIFS($J:$J,J347,$K:$K,K347,$F:$F,F347,$G:$G,"&gt;"&amp;G347))</f>
        <v>10</v>
      </c>
      <c r="O347" s="6" t="n">
        <f aca="false">IF(L347="","",SUMIFS(Votes!$E:$E,Votes!$A:$A,J347,Votes!$B:$B,K347,Votes!$D:$D,L347))</f>
        <v>8</v>
      </c>
      <c r="P347" s="6" t="n">
        <f aca="false">IF(L347="","",COUNTIFS(Votes!$A:$A,J347,Votes!$B:$B,K347,Votes!$D:$D,L347))</f>
        <v>6</v>
      </c>
      <c r="Q347" s="7" t="str">
        <f aca="false">IF(F347="","Unscored",IF(O347="","No URI",IF(AND(F347=0,O347=0),"Zero-vote",IF(AND(F347=O347,G347=P347),"OK",IF(AND(F347=0,O347&gt;0,COUNTIFS(Votes!$A:$A,J347,Votes!$B:$B,K347,Votes!$C:$C,D347)=0),"Forfeited","Mismatch")))))</f>
        <v>OK</v>
      </c>
      <c r="R347" s="6" t="n">
        <f aca="false">MAX(IF(L347&lt;&gt;"",COUNTIF($L:$L,L347),0),COUNTIFS($A:$A,A347,$B:$B,B347))</f>
        <v>1</v>
      </c>
      <c r="S347" s="6" t="str">
        <f aca="false">IF(R347&gt;1,COUNTIF($R$2:R347,"&gt;1"),"")</f>
        <v/>
      </c>
      <c r="T347" s="6" t="str">
        <f aca="false">IF(L347="","",J347&amp;"|"&amp;K347&amp;"|"&amp;L347)</f>
        <v>4|3|spotify:track:7goE6wDBvkZoeWrFm0EdCg</v>
      </c>
      <c r="U347" s="6" t="str">
        <f aca="false">IF(C347="","",IFERROR(INDEX(Lists!$F:$F,MATCH(C347,Lists!$E:$E,0)),"Unmapped"))</f>
        <v>Soundtrack/Musical</v>
      </c>
    </row>
    <row r="348" customFormat="false" ht="15" hidden="false" customHeight="false" outlineLevel="0" collapsed="false">
      <c r="A348" s="5" t="s">
        <v>1127</v>
      </c>
      <c r="B348" s="5" t="s">
        <v>1128</v>
      </c>
      <c r="C348" s="5" t="s">
        <v>132</v>
      </c>
      <c r="D348" s="5" t="s">
        <v>484</v>
      </c>
      <c r="E348" s="5" t="s">
        <v>1098</v>
      </c>
      <c r="F348" s="5" t="n">
        <v>7</v>
      </c>
      <c r="G348" s="5" t="n">
        <v>7</v>
      </c>
      <c r="H348" s="6" t="str">
        <f aca="false">IF(N348="","",N348&amp;IF(AND(MOD(N348,100)&gt;=11,MOD(N348,100)&lt;=13),"th",CHOOSE(MIN(5,MOD(N348,10)+1),"th","st","nd","rd","th")))</f>
        <v>11th</v>
      </c>
      <c r="I348" s="5" t="s">
        <v>1019</v>
      </c>
      <c r="J348" s="6" t="n">
        <f aca="false">IFERROR(INDEX(Rounds!$A:$A,MATCH(I348,Rounds!$B:$B,0)),"ADD LEAGUE TO ROUNDS")</f>
        <v>4</v>
      </c>
      <c r="K348" s="6" t="n">
        <f aca="false">IFERROR(VALUE(LEFT(E348,FIND(" - ",E348)-1)),"")</f>
        <v>3</v>
      </c>
      <c r="L348" s="5" t="s">
        <v>1129</v>
      </c>
      <c r="N348" s="6" t="n">
        <f aca="false">IF(F348="","",1+COUNTIFS($J:$J,J348,$K:$K,K348,$F:$F,"&gt;"&amp;F348)+COUNTIFS($J:$J,J348,$K:$K,K348,$F:$F,F348,$G:$G,"&gt;"&amp;G348))</f>
        <v>11</v>
      </c>
      <c r="O348" s="6" t="n">
        <f aca="false">IF(L348="","",SUMIFS(Votes!$E:$E,Votes!$A:$A,J348,Votes!$B:$B,K348,Votes!$D:$D,L348))</f>
        <v>7</v>
      </c>
      <c r="P348" s="6" t="n">
        <f aca="false">IF(L348="","",COUNTIFS(Votes!$A:$A,J348,Votes!$B:$B,K348,Votes!$D:$D,L348))</f>
        <v>7</v>
      </c>
      <c r="Q348" s="7" t="str">
        <f aca="false">IF(F348="","Unscored",IF(O348="","No URI",IF(AND(F348=0,O348=0),"Zero-vote",IF(AND(F348=O348,G348=P348),"OK",IF(AND(F348=0,O348&gt;0,COUNTIFS(Votes!$A:$A,J348,Votes!$B:$B,K348,Votes!$C:$C,D348)=0),"Forfeited","Mismatch")))))</f>
        <v>OK</v>
      </c>
      <c r="R348" s="6" t="n">
        <f aca="false">MAX(IF(L348&lt;&gt;"",COUNTIF($L:$L,L348),0),COUNTIFS($A:$A,A348,$B:$B,B348))</f>
        <v>1</v>
      </c>
      <c r="S348" s="6" t="str">
        <f aca="false">IF(R348&gt;1,COUNTIF($R$2:R348,"&gt;1"),"")</f>
        <v/>
      </c>
      <c r="T348" s="6" t="str">
        <f aca="false">IF(L348="","",J348&amp;"|"&amp;K348&amp;"|"&amp;L348)</f>
        <v>4|3|spotify:track:0PEkZhThiOCTPk1NxnjjJe</v>
      </c>
      <c r="U348" s="6" t="str">
        <f aca="false">IF(C348="","",IFERROR(INDEX(Lists!$F:$F,MATCH(C348,Lists!$E:$E,0)),"Unmapped"))</f>
        <v>Soundtrack/Musical</v>
      </c>
    </row>
    <row r="349" customFormat="false" ht="15" hidden="false" customHeight="false" outlineLevel="0" collapsed="false">
      <c r="A349" s="5" t="s">
        <v>1130</v>
      </c>
      <c r="B349" s="5" t="s">
        <v>1131</v>
      </c>
      <c r="C349" s="5" t="s">
        <v>132</v>
      </c>
      <c r="D349" s="5" t="s">
        <v>116</v>
      </c>
      <c r="E349" s="5" t="s">
        <v>1098</v>
      </c>
      <c r="F349" s="5" t="n">
        <v>7</v>
      </c>
      <c r="G349" s="5" t="n">
        <v>6</v>
      </c>
      <c r="H349" s="6" t="str">
        <f aca="false">IF(N349="","",N349&amp;IF(AND(MOD(N349,100)&gt;=11,MOD(N349,100)&lt;=13),"th",CHOOSE(MIN(5,MOD(N349,10)+1),"th","st","nd","rd","th")))</f>
        <v>12th</v>
      </c>
      <c r="I349" s="5" t="s">
        <v>1019</v>
      </c>
      <c r="J349" s="6" t="n">
        <f aca="false">IFERROR(INDEX(Rounds!$A:$A,MATCH(I349,Rounds!$B:$B,0)),"ADD LEAGUE TO ROUNDS")</f>
        <v>4</v>
      </c>
      <c r="K349" s="6" t="n">
        <f aca="false">IFERROR(VALUE(LEFT(E349,FIND(" - ",E349)-1)),"")</f>
        <v>3</v>
      </c>
      <c r="L349" s="5" t="s">
        <v>1132</v>
      </c>
      <c r="N349" s="6" t="n">
        <f aca="false">IF(F349="","",1+COUNTIFS($J:$J,J349,$K:$K,K349,$F:$F,"&gt;"&amp;F349)+COUNTIFS($J:$J,J349,$K:$K,K349,$F:$F,F349,$G:$G,"&gt;"&amp;G349))</f>
        <v>12</v>
      </c>
      <c r="O349" s="6" t="n">
        <f aca="false">IF(L349="","",SUMIFS(Votes!$E:$E,Votes!$A:$A,J349,Votes!$B:$B,K349,Votes!$D:$D,L349))</f>
        <v>7</v>
      </c>
      <c r="P349" s="6" t="n">
        <f aca="false">IF(L349="","",COUNTIFS(Votes!$A:$A,J349,Votes!$B:$B,K349,Votes!$D:$D,L349))</f>
        <v>6</v>
      </c>
      <c r="Q349" s="7" t="str">
        <f aca="false">IF(F349="","Unscored",IF(O349="","No URI",IF(AND(F349=0,O349=0),"Zero-vote",IF(AND(F349=O349,G349=P349),"OK",IF(AND(F349=0,O349&gt;0,COUNTIFS(Votes!$A:$A,J349,Votes!$B:$B,K349,Votes!$C:$C,D349)=0),"Forfeited","Mismatch")))))</f>
        <v>OK</v>
      </c>
      <c r="R349" s="6" t="n">
        <f aca="false">MAX(IF(L349&lt;&gt;"",COUNTIF($L:$L,L349),0),COUNTIFS($A:$A,A349,$B:$B,B349))</f>
        <v>1</v>
      </c>
      <c r="S349" s="6" t="str">
        <f aca="false">IF(R349&gt;1,COUNTIF($R$2:R349,"&gt;1"),"")</f>
        <v/>
      </c>
      <c r="T349" s="6" t="str">
        <f aca="false">IF(L349="","",J349&amp;"|"&amp;K349&amp;"|"&amp;L349)</f>
        <v>4|3|spotify:track:5S6O5UYDS2dxVTY7JSF9xy</v>
      </c>
      <c r="U349" s="6" t="str">
        <f aca="false">IF(C349="","",IFERROR(INDEX(Lists!$F:$F,MATCH(C349,Lists!$E:$E,0)),"Unmapped"))</f>
        <v>Soundtrack/Musical</v>
      </c>
    </row>
    <row r="350" customFormat="false" ht="15" hidden="false" customHeight="false" outlineLevel="0" collapsed="false">
      <c r="A350" s="5" t="s">
        <v>1133</v>
      </c>
      <c r="B350" s="5" t="s">
        <v>1134</v>
      </c>
      <c r="C350" s="5" t="s">
        <v>132</v>
      </c>
      <c r="D350" s="5" t="s">
        <v>382</v>
      </c>
      <c r="E350" s="5" t="s">
        <v>1098</v>
      </c>
      <c r="F350" s="5" t="n">
        <v>5</v>
      </c>
      <c r="G350" s="5" t="n">
        <v>5</v>
      </c>
      <c r="H350" s="6" t="str">
        <f aca="false">IF(N350="","",N350&amp;IF(AND(MOD(N350,100)&gt;=11,MOD(N350,100)&lt;=13),"th",CHOOSE(MIN(5,MOD(N350,10)+1),"th","st","nd","rd","th")))</f>
        <v>13th</v>
      </c>
      <c r="I350" s="5" t="s">
        <v>1019</v>
      </c>
      <c r="J350" s="6" t="n">
        <f aca="false">IFERROR(INDEX(Rounds!$A:$A,MATCH(I350,Rounds!$B:$B,0)),"ADD LEAGUE TO ROUNDS")</f>
        <v>4</v>
      </c>
      <c r="K350" s="6" t="n">
        <f aca="false">IFERROR(VALUE(LEFT(E350,FIND(" - ",E350)-1)),"")</f>
        <v>3</v>
      </c>
      <c r="L350" s="5" t="s">
        <v>1135</v>
      </c>
      <c r="N350" s="6" t="n">
        <f aca="false">IF(F350="","",1+COUNTIFS($J:$J,J350,$K:$K,K350,$F:$F,"&gt;"&amp;F350)+COUNTIFS($J:$J,J350,$K:$K,K350,$F:$F,F350,$G:$G,"&gt;"&amp;G350))</f>
        <v>13</v>
      </c>
      <c r="O350" s="6" t="n">
        <f aca="false">IF(L350="","",SUMIFS(Votes!$E:$E,Votes!$A:$A,J350,Votes!$B:$B,K350,Votes!$D:$D,L350))</f>
        <v>5</v>
      </c>
      <c r="P350" s="6" t="n">
        <f aca="false">IF(L350="","",COUNTIFS(Votes!$A:$A,J350,Votes!$B:$B,K350,Votes!$D:$D,L350))</f>
        <v>5</v>
      </c>
      <c r="Q350" s="7" t="str">
        <f aca="false">IF(F350="","Unscored",IF(O350="","No URI",IF(AND(F350=0,O350=0),"Zero-vote",IF(AND(F350=O350,G350=P350),"OK",IF(AND(F350=0,O350&gt;0,COUNTIFS(Votes!$A:$A,J350,Votes!$B:$B,K350,Votes!$C:$C,D350)=0),"Forfeited","Mismatch")))))</f>
        <v>OK</v>
      </c>
      <c r="R350" s="6" t="n">
        <f aca="false">MAX(IF(L350&lt;&gt;"",COUNTIF($L:$L,L350),0),COUNTIFS($A:$A,A350,$B:$B,B350))</f>
        <v>1</v>
      </c>
      <c r="S350" s="6" t="str">
        <f aca="false">IF(R350&gt;1,COUNTIF($R$2:R350,"&gt;1"),"")</f>
        <v/>
      </c>
      <c r="T350" s="6" t="str">
        <f aca="false">IF(L350="","",J350&amp;"|"&amp;K350&amp;"|"&amp;L350)</f>
        <v>4|3|spotify:track:7eGuPhpdS8sBjPJNuAShUX</v>
      </c>
      <c r="U350" s="6" t="str">
        <f aca="false">IF(C350="","",IFERROR(INDEX(Lists!$F:$F,MATCH(C350,Lists!$E:$E,0)),"Unmapped"))</f>
        <v>Soundtrack/Musical</v>
      </c>
    </row>
    <row r="351" customFormat="false" ht="15" hidden="false" customHeight="false" outlineLevel="0" collapsed="false">
      <c r="A351" s="5" t="s">
        <v>1136</v>
      </c>
      <c r="B351" s="5" t="s">
        <v>1137</v>
      </c>
      <c r="C351" s="5" t="s">
        <v>132</v>
      </c>
      <c r="D351" s="5" t="s">
        <v>101</v>
      </c>
      <c r="E351" s="5" t="s">
        <v>1098</v>
      </c>
      <c r="F351" s="5" t="n">
        <v>4</v>
      </c>
      <c r="G351" s="5" t="n">
        <v>3</v>
      </c>
      <c r="H351" s="6" t="str">
        <f aca="false">IF(N351="","",N351&amp;IF(AND(MOD(N351,100)&gt;=11,MOD(N351,100)&lt;=13),"th",CHOOSE(MIN(5,MOD(N351,10)+1),"th","st","nd","rd","th")))</f>
        <v>14th</v>
      </c>
      <c r="I351" s="5" t="s">
        <v>1019</v>
      </c>
      <c r="J351" s="6" t="n">
        <f aca="false">IFERROR(INDEX(Rounds!$A:$A,MATCH(I351,Rounds!$B:$B,0)),"ADD LEAGUE TO ROUNDS")</f>
        <v>4</v>
      </c>
      <c r="K351" s="6" t="n">
        <f aca="false">IFERROR(VALUE(LEFT(E351,FIND(" - ",E351)-1)),"")</f>
        <v>3</v>
      </c>
      <c r="L351" s="5" t="s">
        <v>1138</v>
      </c>
      <c r="N351" s="6" t="n">
        <f aca="false">IF(F351="","",1+COUNTIFS($J:$J,J351,$K:$K,K351,$F:$F,"&gt;"&amp;F351)+COUNTIFS($J:$J,J351,$K:$K,K351,$F:$F,F351,$G:$G,"&gt;"&amp;G351))</f>
        <v>14</v>
      </c>
      <c r="O351" s="6" t="n">
        <f aca="false">IF(L351="","",SUMIFS(Votes!$E:$E,Votes!$A:$A,J351,Votes!$B:$B,K351,Votes!$D:$D,L351))</f>
        <v>4</v>
      </c>
      <c r="P351" s="6" t="n">
        <f aca="false">IF(L351="","",COUNTIFS(Votes!$A:$A,J351,Votes!$B:$B,K351,Votes!$D:$D,L351))</f>
        <v>3</v>
      </c>
      <c r="Q351" s="7" t="str">
        <f aca="false">IF(F351="","Unscored",IF(O351="","No URI",IF(AND(F351=0,O351=0),"Zero-vote",IF(AND(F351=O351,G351=P351),"OK",IF(AND(F351=0,O351&gt;0,COUNTIFS(Votes!$A:$A,J351,Votes!$B:$B,K351,Votes!$C:$C,D351)=0),"Forfeited","Mismatch")))))</f>
        <v>OK</v>
      </c>
      <c r="R351" s="6" t="n">
        <f aca="false">MAX(IF(L351&lt;&gt;"",COUNTIF($L:$L,L351),0),COUNTIFS($A:$A,A351,$B:$B,B351))</f>
        <v>1</v>
      </c>
      <c r="S351" s="6" t="str">
        <f aca="false">IF(R351&gt;1,COUNTIF($R$2:R351,"&gt;1"),"")</f>
        <v/>
      </c>
      <c r="T351" s="6" t="str">
        <f aca="false">IF(L351="","",J351&amp;"|"&amp;K351&amp;"|"&amp;L351)</f>
        <v>4|3|spotify:track:0RoA7ObU6phWpqhlC9zH4Z</v>
      </c>
      <c r="U351" s="6" t="str">
        <f aca="false">IF(C351="","",IFERROR(INDEX(Lists!$F:$F,MATCH(C351,Lists!$E:$E,0)),"Unmapped"))</f>
        <v>Soundtrack/Musical</v>
      </c>
    </row>
    <row r="352" customFormat="false" ht="15" hidden="false" customHeight="false" outlineLevel="0" collapsed="false">
      <c r="A352" s="5" t="s">
        <v>1139</v>
      </c>
      <c r="B352" s="5" t="s">
        <v>1140</v>
      </c>
      <c r="C352" s="5" t="s">
        <v>91</v>
      </c>
      <c r="D352" s="5" t="s">
        <v>382</v>
      </c>
      <c r="E352" s="5" t="s">
        <v>1141</v>
      </c>
      <c r="F352" s="5" t="n">
        <v>17</v>
      </c>
      <c r="G352" s="5" t="n">
        <v>10</v>
      </c>
      <c r="H352" s="6" t="str">
        <f aca="false">IF(N352="","",N352&amp;IF(AND(MOD(N352,100)&gt;=11,MOD(N352,100)&lt;=13),"th",CHOOSE(MIN(5,MOD(N352,10)+1),"th","st","nd","rd","th")))</f>
        <v>1st</v>
      </c>
      <c r="I352" s="5" t="s">
        <v>1019</v>
      </c>
      <c r="J352" s="6" t="n">
        <f aca="false">IFERROR(INDEX(Rounds!$A:$A,MATCH(I352,Rounds!$B:$B,0)),"ADD LEAGUE TO ROUNDS")</f>
        <v>4</v>
      </c>
      <c r="K352" s="6" t="n">
        <f aca="false">IFERROR(VALUE(LEFT(E352,FIND(" - ",E352)-1)),"")</f>
        <v>4</v>
      </c>
      <c r="L352" s="5" t="s">
        <v>1142</v>
      </c>
      <c r="N352" s="6" t="n">
        <f aca="false">IF(F352="","",1+COUNTIFS($J:$J,J352,$K:$K,K352,$F:$F,"&gt;"&amp;F352)+COUNTIFS($J:$J,J352,$K:$K,K352,$F:$F,F352,$G:$G,"&gt;"&amp;G352))</f>
        <v>1</v>
      </c>
      <c r="O352" s="6" t="n">
        <f aca="false">IF(L352="","",SUMIFS(Votes!$E:$E,Votes!$A:$A,J352,Votes!$B:$B,K352,Votes!$D:$D,L352))</f>
        <v>17</v>
      </c>
      <c r="P352" s="6" t="n">
        <f aca="false">IF(L352="","",COUNTIFS(Votes!$A:$A,J352,Votes!$B:$B,K352,Votes!$D:$D,L352))</f>
        <v>10</v>
      </c>
      <c r="Q352" s="7" t="str">
        <f aca="false">IF(F352="","Unscored",IF(O352="","No URI",IF(AND(F352=0,O352=0),"Zero-vote",IF(AND(F352=O352,G352=P352),"OK",IF(AND(F352=0,O352&gt;0,COUNTIFS(Votes!$A:$A,J352,Votes!$B:$B,K352,Votes!$C:$C,D352)=0),"Forfeited","Mismatch")))))</f>
        <v>OK</v>
      </c>
      <c r="R352" s="6" t="n">
        <f aca="false">MAX(IF(L352&lt;&gt;"",COUNTIF($L:$L,L352),0),COUNTIFS($A:$A,A352,$B:$B,B352))</f>
        <v>1</v>
      </c>
      <c r="S352" s="6" t="str">
        <f aca="false">IF(R352&gt;1,COUNTIF($R$2:R352,"&gt;1"),"")</f>
        <v/>
      </c>
      <c r="T352" s="6" t="str">
        <f aca="false">IF(L352="","",J352&amp;"|"&amp;K352&amp;"|"&amp;L352)</f>
        <v>4|4|spotify:track:67iAlVNDDdddxqSD2EZhFs</v>
      </c>
      <c r="U352" s="6" t="str">
        <f aca="false">IF(C352="","",IFERROR(INDEX(Lists!$F:$F,MATCH(C352,Lists!$E:$E,0)),"Unmapped"))</f>
        <v>Rock</v>
      </c>
    </row>
    <row r="353" customFormat="false" ht="15" hidden="false" customHeight="false" outlineLevel="0" collapsed="false">
      <c r="A353" s="5" t="s">
        <v>1143</v>
      </c>
      <c r="B353" s="5" t="s">
        <v>1144</v>
      </c>
      <c r="C353" s="5" t="s">
        <v>91</v>
      </c>
      <c r="D353" s="5" t="s">
        <v>101</v>
      </c>
      <c r="E353" s="5" t="s">
        <v>1141</v>
      </c>
      <c r="F353" s="5" t="n">
        <v>13</v>
      </c>
      <c r="G353" s="5" t="n">
        <v>9</v>
      </c>
      <c r="H353" s="6" t="str">
        <f aca="false">IF(N353="","",N353&amp;IF(AND(MOD(N353,100)&gt;=11,MOD(N353,100)&lt;=13),"th",CHOOSE(MIN(5,MOD(N353,10)+1),"th","st","nd","rd","th")))</f>
        <v>2nd</v>
      </c>
      <c r="I353" s="5" t="s">
        <v>1019</v>
      </c>
      <c r="J353" s="6" t="n">
        <f aca="false">IFERROR(INDEX(Rounds!$A:$A,MATCH(I353,Rounds!$B:$B,0)),"ADD LEAGUE TO ROUNDS")</f>
        <v>4</v>
      </c>
      <c r="K353" s="6" t="n">
        <f aca="false">IFERROR(VALUE(LEFT(E353,FIND(" - ",E353)-1)),"")</f>
        <v>4</v>
      </c>
      <c r="L353" s="5" t="s">
        <v>1145</v>
      </c>
      <c r="N353" s="6" t="n">
        <f aca="false">IF(F353="","",1+COUNTIFS($J:$J,J353,$K:$K,K353,$F:$F,"&gt;"&amp;F353)+COUNTIFS($J:$J,J353,$K:$K,K353,$F:$F,F353,$G:$G,"&gt;"&amp;G353))</f>
        <v>2</v>
      </c>
      <c r="O353" s="6" t="n">
        <f aca="false">IF(L353="","",SUMIFS(Votes!$E:$E,Votes!$A:$A,J353,Votes!$B:$B,K353,Votes!$D:$D,L353))</f>
        <v>13</v>
      </c>
      <c r="P353" s="6" t="n">
        <f aca="false">IF(L353="","",COUNTIFS(Votes!$A:$A,J353,Votes!$B:$B,K353,Votes!$D:$D,L353))</f>
        <v>9</v>
      </c>
      <c r="Q353" s="7" t="str">
        <f aca="false">IF(F353="","Unscored",IF(O353="","No URI",IF(AND(F353=0,O353=0),"Zero-vote",IF(AND(F353=O353,G353=P353),"OK",IF(AND(F353=0,O353&gt;0,COUNTIFS(Votes!$A:$A,J353,Votes!$B:$B,K353,Votes!$C:$C,D353)=0),"Forfeited","Mismatch")))))</f>
        <v>OK</v>
      </c>
      <c r="R353" s="6" t="n">
        <f aca="false">MAX(IF(L353&lt;&gt;"",COUNTIF($L:$L,L353),0),COUNTIFS($A:$A,A353,$B:$B,B353))</f>
        <v>1</v>
      </c>
      <c r="S353" s="6" t="str">
        <f aca="false">IF(R353&gt;1,COUNTIF($R$2:R353,"&gt;1"),"")</f>
        <v/>
      </c>
      <c r="T353" s="6" t="str">
        <f aca="false">IF(L353="","",J353&amp;"|"&amp;K353&amp;"|"&amp;L353)</f>
        <v>4|4|spotify:track:2FTcOYcsSglWsS1zThQRh9</v>
      </c>
      <c r="U353" s="6" t="str">
        <f aca="false">IF(C353="","",IFERROR(INDEX(Lists!$F:$F,MATCH(C353,Lists!$E:$E,0)),"Unmapped"))</f>
        <v>Rock</v>
      </c>
    </row>
    <row r="354" customFormat="false" ht="15" hidden="false" customHeight="false" outlineLevel="0" collapsed="false">
      <c r="A354" s="5" t="s">
        <v>1146</v>
      </c>
      <c r="B354" s="5" t="s">
        <v>1147</v>
      </c>
      <c r="C354" s="5" t="s">
        <v>91</v>
      </c>
      <c r="D354" s="5" t="s">
        <v>85</v>
      </c>
      <c r="E354" s="5" t="s">
        <v>1141</v>
      </c>
      <c r="F354" s="5" t="n">
        <v>12</v>
      </c>
      <c r="G354" s="5" t="n">
        <v>8</v>
      </c>
      <c r="H354" s="6" t="str">
        <f aca="false">IF(N354="","",N354&amp;IF(AND(MOD(N354,100)&gt;=11,MOD(N354,100)&lt;=13),"th",CHOOSE(MIN(5,MOD(N354,10)+1),"th","st","nd","rd","th")))</f>
        <v>3rd</v>
      </c>
      <c r="I354" s="5" t="s">
        <v>1019</v>
      </c>
      <c r="J354" s="6" t="n">
        <f aca="false">IFERROR(INDEX(Rounds!$A:$A,MATCH(I354,Rounds!$B:$B,0)),"ADD LEAGUE TO ROUNDS")</f>
        <v>4</v>
      </c>
      <c r="K354" s="6" t="n">
        <f aca="false">IFERROR(VALUE(LEFT(E354,FIND(" - ",E354)-1)),"")</f>
        <v>4</v>
      </c>
      <c r="L354" s="5" t="s">
        <v>1148</v>
      </c>
      <c r="N354" s="6" t="n">
        <f aca="false">IF(F354="","",1+COUNTIFS($J:$J,J354,$K:$K,K354,$F:$F,"&gt;"&amp;F354)+COUNTIFS($J:$J,J354,$K:$K,K354,$F:$F,F354,$G:$G,"&gt;"&amp;G354))</f>
        <v>3</v>
      </c>
      <c r="O354" s="6" t="n">
        <f aca="false">IF(L354="","",SUMIFS(Votes!$E:$E,Votes!$A:$A,J354,Votes!$B:$B,K354,Votes!$D:$D,L354))</f>
        <v>12</v>
      </c>
      <c r="P354" s="6" t="n">
        <f aca="false">IF(L354="","",COUNTIFS(Votes!$A:$A,J354,Votes!$B:$B,K354,Votes!$D:$D,L354))</f>
        <v>8</v>
      </c>
      <c r="Q354" s="7" t="str">
        <f aca="false">IF(F354="","Unscored",IF(O354="","No URI",IF(AND(F354=0,O354=0),"Zero-vote",IF(AND(F354=O354,G354=P354),"OK",IF(AND(F354=0,O354&gt;0,COUNTIFS(Votes!$A:$A,J354,Votes!$B:$B,K354,Votes!$C:$C,D354)=0),"Forfeited","Mismatch")))))</f>
        <v>OK</v>
      </c>
      <c r="R354" s="6" t="n">
        <f aca="false">MAX(IF(L354&lt;&gt;"",COUNTIF($L:$L,L354),0),COUNTIFS($A:$A,A354,$B:$B,B354))</f>
        <v>1</v>
      </c>
      <c r="S354" s="6" t="str">
        <f aca="false">IF(R354&gt;1,COUNTIF($R$2:R354,"&gt;1"),"")</f>
        <v/>
      </c>
      <c r="T354" s="6" t="str">
        <f aca="false">IF(L354="","",J354&amp;"|"&amp;K354&amp;"|"&amp;L354)</f>
        <v>4|4|spotify:track:15rjQH7nTcTomKwfVMd4xl</v>
      </c>
      <c r="U354" s="6" t="str">
        <f aca="false">IF(C354="","",IFERROR(INDEX(Lists!$F:$F,MATCH(C354,Lists!$E:$E,0)),"Unmapped"))</f>
        <v>Rock</v>
      </c>
    </row>
    <row r="355" customFormat="false" ht="15" hidden="false" customHeight="false" outlineLevel="0" collapsed="false">
      <c r="A355" s="5" t="s">
        <v>1149</v>
      </c>
      <c r="B355" s="5" t="s">
        <v>778</v>
      </c>
      <c r="C355" s="5" t="s">
        <v>84</v>
      </c>
      <c r="D355" s="5" t="s">
        <v>395</v>
      </c>
      <c r="E355" s="5" t="s">
        <v>1141</v>
      </c>
      <c r="F355" s="5" t="n">
        <v>11</v>
      </c>
      <c r="G355" s="5" t="n">
        <v>9</v>
      </c>
      <c r="H355" s="6" t="str">
        <f aca="false">IF(N355="","",N355&amp;IF(AND(MOD(N355,100)&gt;=11,MOD(N355,100)&lt;=13),"th",CHOOSE(MIN(5,MOD(N355,10)+1),"th","st","nd","rd","th")))</f>
        <v>4th</v>
      </c>
      <c r="I355" s="5" t="s">
        <v>1019</v>
      </c>
      <c r="J355" s="6" t="n">
        <f aca="false">IFERROR(INDEX(Rounds!$A:$A,MATCH(I355,Rounds!$B:$B,0)),"ADD LEAGUE TO ROUNDS")</f>
        <v>4</v>
      </c>
      <c r="K355" s="6" t="n">
        <f aca="false">IFERROR(VALUE(LEFT(E355,FIND(" - ",E355)-1)),"")</f>
        <v>4</v>
      </c>
      <c r="L355" s="5" t="s">
        <v>1150</v>
      </c>
      <c r="N355" s="6" t="n">
        <f aca="false">IF(F355="","",1+COUNTIFS($J:$J,J355,$K:$K,K355,$F:$F,"&gt;"&amp;F355)+COUNTIFS($J:$J,J355,$K:$K,K355,$F:$F,F355,$G:$G,"&gt;"&amp;G355))</f>
        <v>4</v>
      </c>
      <c r="O355" s="6" t="n">
        <f aca="false">IF(L355="","",SUMIFS(Votes!$E:$E,Votes!$A:$A,J355,Votes!$B:$B,K355,Votes!$D:$D,L355))</f>
        <v>11</v>
      </c>
      <c r="P355" s="6" t="n">
        <f aca="false">IF(L355="","",COUNTIFS(Votes!$A:$A,J355,Votes!$B:$B,K355,Votes!$D:$D,L355))</f>
        <v>9</v>
      </c>
      <c r="Q355" s="7" t="str">
        <f aca="false">IF(F355="","Unscored",IF(O355="","No URI",IF(AND(F355=0,O355=0),"Zero-vote",IF(AND(F355=O355,G355=P355),"OK",IF(AND(F355=0,O355&gt;0,COUNTIFS(Votes!$A:$A,J355,Votes!$B:$B,K355,Votes!$C:$C,D355)=0),"Forfeited","Mismatch")))))</f>
        <v>OK</v>
      </c>
      <c r="R355" s="6" t="n">
        <f aca="false">MAX(IF(L355&lt;&gt;"",COUNTIF($L:$L,L355),0),COUNTIFS($A:$A,A355,$B:$B,B355))</f>
        <v>1</v>
      </c>
      <c r="S355" s="6" t="str">
        <f aca="false">IF(R355&gt;1,COUNTIF($R$2:R355,"&gt;1"),"")</f>
        <v/>
      </c>
      <c r="T355" s="6" t="str">
        <f aca="false">IF(L355="","",J355&amp;"|"&amp;K355&amp;"|"&amp;L355)</f>
        <v>4|4|spotify:track:5BckPAYcKEJuYs1eV1BHHe</v>
      </c>
      <c r="U355" s="6" t="str">
        <f aca="false">IF(C355="","",IFERROR(INDEX(Lists!$F:$F,MATCH(C355,Lists!$E:$E,0)),"Unmapped"))</f>
        <v>Pop</v>
      </c>
    </row>
    <row r="356" customFormat="false" ht="15" hidden="false" customHeight="false" outlineLevel="0" collapsed="false">
      <c r="A356" s="5" t="s">
        <v>1151</v>
      </c>
      <c r="B356" s="5" t="s">
        <v>1152</v>
      </c>
      <c r="C356" s="5" t="s">
        <v>91</v>
      </c>
      <c r="D356" s="5" t="s">
        <v>484</v>
      </c>
      <c r="E356" s="5" t="s">
        <v>1141</v>
      </c>
      <c r="F356" s="5" t="n">
        <v>11</v>
      </c>
      <c r="G356" s="5" t="n">
        <v>8</v>
      </c>
      <c r="H356" s="6" t="str">
        <f aca="false">IF(N356="","",N356&amp;IF(AND(MOD(N356,100)&gt;=11,MOD(N356,100)&lt;=13),"th",CHOOSE(MIN(5,MOD(N356,10)+1),"th","st","nd","rd","th")))</f>
        <v>5th</v>
      </c>
      <c r="I356" s="5" t="s">
        <v>1019</v>
      </c>
      <c r="J356" s="6" t="n">
        <f aca="false">IFERROR(INDEX(Rounds!$A:$A,MATCH(I356,Rounds!$B:$B,0)),"ADD LEAGUE TO ROUNDS")</f>
        <v>4</v>
      </c>
      <c r="K356" s="6" t="n">
        <f aca="false">IFERROR(VALUE(LEFT(E356,FIND(" - ",E356)-1)),"")</f>
        <v>4</v>
      </c>
      <c r="L356" s="5" t="s">
        <v>1153</v>
      </c>
      <c r="N356" s="6" t="n">
        <f aca="false">IF(F356="","",1+COUNTIFS($J:$J,J356,$K:$K,K356,$F:$F,"&gt;"&amp;F356)+COUNTIFS($J:$J,J356,$K:$K,K356,$F:$F,F356,$G:$G,"&gt;"&amp;G356))</f>
        <v>5</v>
      </c>
      <c r="O356" s="6" t="n">
        <f aca="false">IF(L356="","",SUMIFS(Votes!$E:$E,Votes!$A:$A,J356,Votes!$B:$B,K356,Votes!$D:$D,L356))</f>
        <v>11</v>
      </c>
      <c r="P356" s="6" t="n">
        <f aca="false">IF(L356="","",COUNTIFS(Votes!$A:$A,J356,Votes!$B:$B,K356,Votes!$D:$D,L356))</f>
        <v>8</v>
      </c>
      <c r="Q356" s="7" t="str">
        <f aca="false">IF(F356="","Unscored",IF(O356="","No URI",IF(AND(F356=0,O356=0),"Zero-vote",IF(AND(F356=O356,G356=P356),"OK",IF(AND(F356=0,O356&gt;0,COUNTIFS(Votes!$A:$A,J356,Votes!$B:$B,K356,Votes!$C:$C,D356)=0),"Forfeited","Mismatch")))))</f>
        <v>OK</v>
      </c>
      <c r="R356" s="6" t="n">
        <f aca="false">MAX(IF(L356&lt;&gt;"",COUNTIF($L:$L,L356),0),COUNTIFS($A:$A,A356,$B:$B,B356))</f>
        <v>1</v>
      </c>
      <c r="S356" s="6" t="str">
        <f aca="false">IF(R356&gt;1,COUNTIF($R$2:R356,"&gt;1"),"")</f>
        <v/>
      </c>
      <c r="T356" s="6" t="str">
        <f aca="false">IF(L356="","",J356&amp;"|"&amp;K356&amp;"|"&amp;L356)</f>
        <v>4|4|spotify:track:38i0QcGQ9hu8PMk4QObUTj</v>
      </c>
      <c r="U356" s="6" t="str">
        <f aca="false">IF(C356="","",IFERROR(INDEX(Lists!$F:$F,MATCH(C356,Lists!$E:$E,0)),"Unmapped"))</f>
        <v>Rock</v>
      </c>
    </row>
    <row r="357" customFormat="false" ht="15" hidden="false" customHeight="false" outlineLevel="0" collapsed="false">
      <c r="A357" s="5" t="s">
        <v>1154</v>
      </c>
      <c r="B357" s="5" t="s">
        <v>1155</v>
      </c>
      <c r="C357" s="5" t="s">
        <v>171</v>
      </c>
      <c r="D357" s="5" t="s">
        <v>97</v>
      </c>
      <c r="E357" s="5" t="s">
        <v>1141</v>
      </c>
      <c r="F357" s="5" t="n">
        <v>10</v>
      </c>
      <c r="G357" s="5" t="n">
        <v>8</v>
      </c>
      <c r="H357" s="6" t="str">
        <f aca="false">IF(N357="","",N357&amp;IF(AND(MOD(N357,100)&gt;=11,MOD(N357,100)&lt;=13),"th",CHOOSE(MIN(5,MOD(N357,10)+1),"th","st","nd","rd","th")))</f>
        <v>6th</v>
      </c>
      <c r="I357" s="5" t="s">
        <v>1019</v>
      </c>
      <c r="J357" s="6" t="n">
        <f aca="false">IFERROR(INDEX(Rounds!$A:$A,MATCH(I357,Rounds!$B:$B,0)),"ADD LEAGUE TO ROUNDS")</f>
        <v>4</v>
      </c>
      <c r="K357" s="6" t="n">
        <f aca="false">IFERROR(VALUE(LEFT(E357,FIND(" - ",E357)-1)),"")</f>
        <v>4</v>
      </c>
      <c r="L357" s="5" t="s">
        <v>1156</v>
      </c>
      <c r="N357" s="6" t="n">
        <f aca="false">IF(F357="","",1+COUNTIFS($J:$J,J357,$K:$K,K357,$F:$F,"&gt;"&amp;F357)+COUNTIFS($J:$J,J357,$K:$K,K357,$F:$F,F357,$G:$G,"&gt;"&amp;G357))</f>
        <v>6</v>
      </c>
      <c r="O357" s="6" t="n">
        <f aca="false">IF(L357="","",SUMIFS(Votes!$E:$E,Votes!$A:$A,J357,Votes!$B:$B,K357,Votes!$D:$D,L357))</f>
        <v>10</v>
      </c>
      <c r="P357" s="6" t="n">
        <f aca="false">IF(L357="","",COUNTIFS(Votes!$A:$A,J357,Votes!$B:$B,K357,Votes!$D:$D,L357))</f>
        <v>8</v>
      </c>
      <c r="Q357" s="7" t="str">
        <f aca="false">IF(F357="","Unscored",IF(O357="","No URI",IF(AND(F357=0,O357=0),"Zero-vote",IF(AND(F357=O357,G357=P357),"OK",IF(AND(F357=0,O357&gt;0,COUNTIFS(Votes!$A:$A,J357,Votes!$B:$B,K357,Votes!$C:$C,D357)=0),"Forfeited","Mismatch")))))</f>
        <v>OK</v>
      </c>
      <c r="R357" s="6" t="n">
        <f aca="false">MAX(IF(L357&lt;&gt;"",COUNTIF($L:$L,L357),0),COUNTIFS($A:$A,A357,$B:$B,B357))</f>
        <v>1</v>
      </c>
      <c r="S357" s="6" t="str">
        <f aca="false">IF(R357&gt;1,COUNTIF($R$2:R357,"&gt;1"),"")</f>
        <v/>
      </c>
      <c r="T357" s="6" t="str">
        <f aca="false">IF(L357="","",J357&amp;"|"&amp;K357&amp;"|"&amp;L357)</f>
        <v>4|4|spotify:track:1YYhDizHx7PnDhAhko6cDS</v>
      </c>
      <c r="U357" s="6" t="str">
        <f aca="false">IF(C357="","",IFERROR(INDEX(Lists!$F:$F,MATCH(C357,Lists!$E:$E,0)),"Unmapped"))</f>
        <v>Country</v>
      </c>
    </row>
    <row r="358" customFormat="false" ht="15" hidden="false" customHeight="false" outlineLevel="0" collapsed="false">
      <c r="A358" s="5" t="s">
        <v>1157</v>
      </c>
      <c r="B358" s="5" t="s">
        <v>1158</v>
      </c>
      <c r="C358" s="5" t="s">
        <v>91</v>
      </c>
      <c r="D358" s="5" t="s">
        <v>116</v>
      </c>
      <c r="E358" s="5" t="s">
        <v>1141</v>
      </c>
      <c r="F358" s="5" t="n">
        <v>10</v>
      </c>
      <c r="G358" s="5" t="n">
        <v>6</v>
      </c>
      <c r="H358" s="6" t="str">
        <f aca="false">IF(N358="","",N358&amp;IF(AND(MOD(N358,100)&gt;=11,MOD(N358,100)&lt;=13),"th",CHOOSE(MIN(5,MOD(N358,10)+1),"th","st","nd","rd","th")))</f>
        <v>7th</v>
      </c>
      <c r="I358" s="5" t="s">
        <v>1019</v>
      </c>
      <c r="J358" s="6" t="n">
        <f aca="false">IFERROR(INDEX(Rounds!$A:$A,MATCH(I358,Rounds!$B:$B,0)),"ADD LEAGUE TO ROUNDS")</f>
        <v>4</v>
      </c>
      <c r="K358" s="6" t="n">
        <f aca="false">IFERROR(VALUE(LEFT(E358,FIND(" - ",E358)-1)),"")</f>
        <v>4</v>
      </c>
      <c r="L358" s="5" t="s">
        <v>1159</v>
      </c>
      <c r="N358" s="6" t="n">
        <f aca="false">IF(F358="","",1+COUNTIFS($J:$J,J358,$K:$K,K358,$F:$F,"&gt;"&amp;F358)+COUNTIFS($J:$J,J358,$K:$K,K358,$F:$F,F358,$G:$G,"&gt;"&amp;G358))</f>
        <v>7</v>
      </c>
      <c r="O358" s="6" t="n">
        <f aca="false">IF(L358="","",SUMIFS(Votes!$E:$E,Votes!$A:$A,J358,Votes!$B:$B,K358,Votes!$D:$D,L358))</f>
        <v>10</v>
      </c>
      <c r="P358" s="6" t="n">
        <f aca="false">IF(L358="","",COUNTIFS(Votes!$A:$A,J358,Votes!$B:$B,K358,Votes!$D:$D,L358))</f>
        <v>6</v>
      </c>
      <c r="Q358" s="7" t="str">
        <f aca="false">IF(F358="","Unscored",IF(O358="","No URI",IF(AND(F358=0,O358=0),"Zero-vote",IF(AND(F358=O358,G358=P358),"OK",IF(AND(F358=0,O358&gt;0,COUNTIFS(Votes!$A:$A,J358,Votes!$B:$B,K358,Votes!$C:$C,D358)=0),"Forfeited","Mismatch")))))</f>
        <v>OK</v>
      </c>
      <c r="R358" s="6" t="n">
        <f aca="false">MAX(IF(L358&lt;&gt;"",COUNTIF($L:$L,L358),0),COUNTIFS($A:$A,A358,$B:$B,B358))</f>
        <v>1</v>
      </c>
      <c r="S358" s="6" t="str">
        <f aca="false">IF(R358&gt;1,COUNTIF($R$2:R358,"&gt;1"),"")</f>
        <v/>
      </c>
      <c r="T358" s="6" t="str">
        <f aca="false">IF(L358="","",J358&amp;"|"&amp;K358&amp;"|"&amp;L358)</f>
        <v>4|4|spotify:track:3MrWxJaD2AT0W9DjWF64Vm</v>
      </c>
      <c r="U358" s="6" t="str">
        <f aca="false">IF(C358="","",IFERROR(INDEX(Lists!$F:$F,MATCH(C358,Lists!$E:$E,0)),"Unmapped"))</f>
        <v>Rock</v>
      </c>
    </row>
    <row r="359" customFormat="false" ht="15" hidden="false" customHeight="false" outlineLevel="0" collapsed="false">
      <c r="A359" s="5" t="s">
        <v>1160</v>
      </c>
      <c r="B359" s="5" t="s">
        <v>1161</v>
      </c>
      <c r="C359" s="5" t="s">
        <v>91</v>
      </c>
      <c r="D359" s="5" t="s">
        <v>128</v>
      </c>
      <c r="E359" s="5" t="s">
        <v>1141</v>
      </c>
      <c r="F359" s="5" t="n">
        <v>9</v>
      </c>
      <c r="G359" s="5" t="n">
        <v>7</v>
      </c>
      <c r="H359" s="6" t="str">
        <f aca="false">IF(N359="","",N359&amp;IF(AND(MOD(N359,100)&gt;=11,MOD(N359,100)&lt;=13),"th",CHOOSE(MIN(5,MOD(N359,10)+1),"th","st","nd","rd","th")))</f>
        <v>8th</v>
      </c>
      <c r="I359" s="5" t="s">
        <v>1019</v>
      </c>
      <c r="J359" s="6" t="n">
        <f aca="false">IFERROR(INDEX(Rounds!$A:$A,MATCH(I359,Rounds!$B:$B,0)),"ADD LEAGUE TO ROUNDS")</f>
        <v>4</v>
      </c>
      <c r="K359" s="6" t="n">
        <f aca="false">IFERROR(VALUE(LEFT(E359,FIND(" - ",E359)-1)),"")</f>
        <v>4</v>
      </c>
      <c r="L359" s="5" t="s">
        <v>1162</v>
      </c>
      <c r="N359" s="6" t="n">
        <f aca="false">IF(F359="","",1+COUNTIFS($J:$J,J359,$K:$K,K359,$F:$F,"&gt;"&amp;F359)+COUNTIFS($J:$J,J359,$K:$K,K359,$F:$F,F359,$G:$G,"&gt;"&amp;G359))</f>
        <v>8</v>
      </c>
      <c r="O359" s="6" t="n">
        <f aca="false">IF(L359="","",SUMIFS(Votes!$E:$E,Votes!$A:$A,J359,Votes!$B:$B,K359,Votes!$D:$D,L359))</f>
        <v>9</v>
      </c>
      <c r="P359" s="6" t="n">
        <f aca="false">IF(L359="","",COUNTIFS(Votes!$A:$A,J359,Votes!$B:$B,K359,Votes!$D:$D,L359))</f>
        <v>7</v>
      </c>
      <c r="Q359" s="7" t="str">
        <f aca="false">IF(F359="","Unscored",IF(O359="","No URI",IF(AND(F359=0,O359=0),"Zero-vote",IF(AND(F359=O359,G359=P359),"OK",IF(AND(F359=0,O359&gt;0,COUNTIFS(Votes!$A:$A,J359,Votes!$B:$B,K359,Votes!$C:$C,D359)=0),"Forfeited","Mismatch")))))</f>
        <v>OK</v>
      </c>
      <c r="R359" s="6" t="n">
        <f aca="false">MAX(IF(L359&lt;&gt;"",COUNTIF($L:$L,L359),0),COUNTIFS($A:$A,A359,$B:$B,B359))</f>
        <v>1</v>
      </c>
      <c r="S359" s="6" t="str">
        <f aca="false">IF(R359&gt;1,COUNTIF($R$2:R359,"&gt;1"),"")</f>
        <v/>
      </c>
      <c r="T359" s="6" t="str">
        <f aca="false">IF(L359="","",J359&amp;"|"&amp;K359&amp;"|"&amp;L359)</f>
        <v>4|4|spotify:track:3X7uFMzJrEE0sxn62qd8Ch</v>
      </c>
      <c r="U359" s="6" t="str">
        <f aca="false">IF(C359="","",IFERROR(INDEX(Lists!$F:$F,MATCH(C359,Lists!$E:$E,0)),"Unmapped"))</f>
        <v>Rock</v>
      </c>
    </row>
    <row r="360" customFormat="false" ht="15" hidden="false" customHeight="false" outlineLevel="0" collapsed="false">
      <c r="A360" s="5" t="s">
        <v>1163</v>
      </c>
      <c r="B360" s="5" t="s">
        <v>1164</v>
      </c>
      <c r="C360" s="5" t="s">
        <v>84</v>
      </c>
      <c r="D360" s="5" t="s">
        <v>637</v>
      </c>
      <c r="E360" s="5" t="s">
        <v>1141</v>
      </c>
      <c r="F360" s="5" t="n">
        <v>9</v>
      </c>
      <c r="G360" s="5" t="n">
        <v>6</v>
      </c>
      <c r="H360" s="6" t="str">
        <f aca="false">IF(N360="","",N360&amp;IF(AND(MOD(N360,100)&gt;=11,MOD(N360,100)&lt;=13),"th",CHOOSE(MIN(5,MOD(N360,10)+1),"th","st","nd","rd","th")))</f>
        <v>9th</v>
      </c>
      <c r="I360" s="5" t="s">
        <v>1019</v>
      </c>
      <c r="J360" s="6" t="n">
        <f aca="false">IFERROR(INDEX(Rounds!$A:$A,MATCH(I360,Rounds!$B:$B,0)),"ADD LEAGUE TO ROUNDS")</f>
        <v>4</v>
      </c>
      <c r="K360" s="6" t="n">
        <f aca="false">IFERROR(VALUE(LEFT(E360,FIND(" - ",E360)-1)),"")</f>
        <v>4</v>
      </c>
      <c r="L360" s="5" t="s">
        <v>1165</v>
      </c>
      <c r="N360" s="6" t="n">
        <f aca="false">IF(F360="","",1+COUNTIFS($J:$J,J360,$K:$K,K360,$F:$F,"&gt;"&amp;F360)+COUNTIFS($J:$J,J360,$K:$K,K360,$F:$F,F360,$G:$G,"&gt;"&amp;G360))</f>
        <v>9</v>
      </c>
      <c r="O360" s="6" t="n">
        <f aca="false">IF(L360="","",SUMIFS(Votes!$E:$E,Votes!$A:$A,J360,Votes!$B:$B,K360,Votes!$D:$D,L360))</f>
        <v>9</v>
      </c>
      <c r="P360" s="6" t="n">
        <f aca="false">IF(L360="","",COUNTIFS(Votes!$A:$A,J360,Votes!$B:$B,K360,Votes!$D:$D,L360))</f>
        <v>6</v>
      </c>
      <c r="Q360" s="7" t="str">
        <f aca="false">IF(F360="","Unscored",IF(O360="","No URI",IF(AND(F360=0,O360=0),"Zero-vote",IF(AND(F360=O360,G360=P360),"OK",IF(AND(F360=0,O360&gt;0,COUNTIFS(Votes!$A:$A,J360,Votes!$B:$B,K360,Votes!$C:$C,D360)=0),"Forfeited","Mismatch")))))</f>
        <v>OK</v>
      </c>
      <c r="R360" s="6" t="n">
        <f aca="false">MAX(IF(L360&lt;&gt;"",COUNTIF($L:$L,L360),0),COUNTIFS($A:$A,A360,$B:$B,B360))</f>
        <v>1</v>
      </c>
      <c r="S360" s="6" t="str">
        <f aca="false">IF(R360&gt;1,COUNTIF($R$2:R360,"&gt;1"),"")</f>
        <v/>
      </c>
      <c r="T360" s="6" t="str">
        <f aca="false">IF(L360="","",J360&amp;"|"&amp;K360&amp;"|"&amp;L360)</f>
        <v>4|4|spotify:track:4w1lzcaoZ1IC2K5TwjalRP</v>
      </c>
      <c r="U360" s="6" t="str">
        <f aca="false">IF(C360="","",IFERROR(INDEX(Lists!$F:$F,MATCH(C360,Lists!$E:$E,0)),"Unmapped"))</f>
        <v>Pop</v>
      </c>
    </row>
    <row r="361" customFormat="false" ht="15" hidden="false" customHeight="false" outlineLevel="0" collapsed="false">
      <c r="A361" s="5" t="s">
        <v>1166</v>
      </c>
      <c r="B361" s="5" t="s">
        <v>1167</v>
      </c>
      <c r="C361" s="5" t="s">
        <v>91</v>
      </c>
      <c r="D361" s="5" t="s">
        <v>92</v>
      </c>
      <c r="E361" s="5" t="s">
        <v>1141</v>
      </c>
      <c r="F361" s="5" t="n">
        <v>8</v>
      </c>
      <c r="G361" s="5" t="n">
        <v>7</v>
      </c>
      <c r="H361" s="6" t="str">
        <f aca="false">IF(N361="","",N361&amp;IF(AND(MOD(N361,100)&gt;=11,MOD(N361,100)&lt;=13),"th",CHOOSE(MIN(5,MOD(N361,10)+1),"th","st","nd","rd","th")))</f>
        <v>10th</v>
      </c>
      <c r="I361" s="5" t="s">
        <v>1019</v>
      </c>
      <c r="J361" s="6" t="n">
        <f aca="false">IFERROR(INDEX(Rounds!$A:$A,MATCH(I361,Rounds!$B:$B,0)),"ADD LEAGUE TO ROUNDS")</f>
        <v>4</v>
      </c>
      <c r="K361" s="6" t="n">
        <f aca="false">IFERROR(VALUE(LEFT(E361,FIND(" - ",E361)-1)),"")</f>
        <v>4</v>
      </c>
      <c r="L361" s="5" t="s">
        <v>1168</v>
      </c>
      <c r="N361" s="6" t="n">
        <f aca="false">IF(F361="","",1+COUNTIFS($J:$J,J361,$K:$K,K361,$F:$F,"&gt;"&amp;F361)+COUNTIFS($J:$J,J361,$K:$K,K361,$F:$F,F361,$G:$G,"&gt;"&amp;G361))</f>
        <v>10</v>
      </c>
      <c r="O361" s="6" t="n">
        <f aca="false">IF(L361="","",SUMIFS(Votes!$E:$E,Votes!$A:$A,J361,Votes!$B:$B,K361,Votes!$D:$D,L361))</f>
        <v>8</v>
      </c>
      <c r="P361" s="6" t="n">
        <f aca="false">IF(L361="","",COUNTIFS(Votes!$A:$A,J361,Votes!$B:$B,K361,Votes!$D:$D,L361))</f>
        <v>7</v>
      </c>
      <c r="Q361" s="7" t="str">
        <f aca="false">IF(F361="","Unscored",IF(O361="","No URI",IF(AND(F361=0,O361=0),"Zero-vote",IF(AND(F361=O361,G361=P361),"OK",IF(AND(F361=0,O361&gt;0,COUNTIFS(Votes!$A:$A,J361,Votes!$B:$B,K361,Votes!$C:$C,D361)=0),"Forfeited","Mismatch")))))</f>
        <v>OK</v>
      </c>
      <c r="R361" s="6" t="n">
        <f aca="false">MAX(IF(L361&lt;&gt;"",COUNTIF($L:$L,L361),0),COUNTIFS($A:$A,A361,$B:$B,B361))</f>
        <v>2</v>
      </c>
      <c r="S361" s="6" t="n">
        <f aca="false">IF(R361&gt;1,COUNTIF($R$2:R361,"&gt;1"),"")</f>
        <v>24</v>
      </c>
      <c r="T361" s="6" t="str">
        <f aca="false">IF(L361="","",J361&amp;"|"&amp;K361&amp;"|"&amp;L361)</f>
        <v>4|4|spotify:track:003vvx7Niy0yvhvHt4a68B</v>
      </c>
      <c r="U361" s="6" t="str">
        <f aca="false">IF(C361="","",IFERROR(INDEX(Lists!$F:$F,MATCH(C361,Lists!$E:$E,0)),"Unmapped"))</f>
        <v>Rock</v>
      </c>
    </row>
    <row r="362" customFormat="false" ht="15" hidden="false" customHeight="false" outlineLevel="0" collapsed="false">
      <c r="A362" s="5" t="s">
        <v>1169</v>
      </c>
      <c r="B362" s="5" t="s">
        <v>1170</v>
      </c>
      <c r="C362" s="5" t="s">
        <v>110</v>
      </c>
      <c r="D362" s="5" t="s">
        <v>119</v>
      </c>
      <c r="E362" s="5" t="s">
        <v>1141</v>
      </c>
      <c r="F362" s="5" t="n">
        <v>8</v>
      </c>
      <c r="G362" s="5" t="n">
        <v>7</v>
      </c>
      <c r="H362" s="6" t="str">
        <f aca="false">IF(N362="","",N362&amp;IF(AND(MOD(N362,100)&gt;=11,MOD(N362,100)&lt;=13),"th",CHOOSE(MIN(5,MOD(N362,10)+1),"th","st","nd","rd","th")))</f>
        <v>10th</v>
      </c>
      <c r="I362" s="5" t="s">
        <v>1019</v>
      </c>
      <c r="J362" s="6" t="n">
        <f aca="false">IFERROR(INDEX(Rounds!$A:$A,MATCH(I362,Rounds!$B:$B,0)),"ADD LEAGUE TO ROUNDS")</f>
        <v>4</v>
      </c>
      <c r="K362" s="6" t="n">
        <f aca="false">IFERROR(VALUE(LEFT(E362,FIND(" - ",E362)-1)),"")</f>
        <v>4</v>
      </c>
      <c r="L362" s="5" t="s">
        <v>1171</v>
      </c>
      <c r="N362" s="6" t="n">
        <f aca="false">IF(F362="","",1+COUNTIFS($J:$J,J362,$K:$K,K362,$F:$F,"&gt;"&amp;F362)+COUNTIFS($J:$J,J362,$K:$K,K362,$F:$F,F362,$G:$G,"&gt;"&amp;G362))</f>
        <v>10</v>
      </c>
      <c r="O362" s="6" t="n">
        <f aca="false">IF(L362="","",SUMIFS(Votes!$E:$E,Votes!$A:$A,J362,Votes!$B:$B,K362,Votes!$D:$D,L362))</f>
        <v>8</v>
      </c>
      <c r="P362" s="6" t="n">
        <f aca="false">IF(L362="","",COUNTIFS(Votes!$A:$A,J362,Votes!$B:$B,K362,Votes!$D:$D,L362))</f>
        <v>7</v>
      </c>
      <c r="Q362" s="7" t="str">
        <f aca="false">IF(F362="","Unscored",IF(O362="","No URI",IF(AND(F362=0,O362=0),"Zero-vote",IF(AND(F362=O362,G362=P362),"OK",IF(AND(F362=0,O362&gt;0,COUNTIFS(Votes!$A:$A,J362,Votes!$B:$B,K362,Votes!$C:$C,D362)=0),"Forfeited","Mismatch")))))</f>
        <v>OK</v>
      </c>
      <c r="R362" s="6" t="n">
        <f aca="false">MAX(IF(L362&lt;&gt;"",COUNTIF($L:$L,L362),0),COUNTIFS($A:$A,A362,$B:$B,B362))</f>
        <v>1</v>
      </c>
      <c r="S362" s="6" t="str">
        <f aca="false">IF(R362&gt;1,COUNTIF($R$2:R362,"&gt;1"),"")</f>
        <v/>
      </c>
      <c r="T362" s="6" t="str">
        <f aca="false">IF(L362="","",J362&amp;"|"&amp;K362&amp;"|"&amp;L362)</f>
        <v>4|4|spotify:track:563vSy3HB5NHxel1VGQCW6</v>
      </c>
      <c r="U362" s="6" t="str">
        <f aca="false">IF(C362="","",IFERROR(INDEX(Lists!$F:$F,MATCH(C362,Lists!$E:$E,0)),"Unmapped"))</f>
        <v>Hip-Hop/Rap</v>
      </c>
    </row>
    <row r="363" customFormat="false" ht="15" hidden="false" customHeight="false" outlineLevel="0" collapsed="false">
      <c r="A363" s="5" t="s">
        <v>1172</v>
      </c>
      <c r="B363" s="5" t="s">
        <v>1173</v>
      </c>
      <c r="C363" s="5" t="s">
        <v>91</v>
      </c>
      <c r="D363" s="5" t="s">
        <v>719</v>
      </c>
      <c r="E363" s="5" t="s">
        <v>1141</v>
      </c>
      <c r="F363" s="5" t="n">
        <v>8</v>
      </c>
      <c r="G363" s="5" t="n">
        <v>5</v>
      </c>
      <c r="H363" s="6" t="str">
        <f aca="false">IF(N363="","",N363&amp;IF(AND(MOD(N363,100)&gt;=11,MOD(N363,100)&lt;=13),"th",CHOOSE(MIN(5,MOD(N363,10)+1),"th","st","nd","rd","th")))</f>
        <v>12th</v>
      </c>
      <c r="I363" s="5" t="s">
        <v>1019</v>
      </c>
      <c r="J363" s="6" t="n">
        <f aca="false">IFERROR(INDEX(Rounds!$A:$A,MATCH(I363,Rounds!$B:$B,0)),"ADD LEAGUE TO ROUNDS")</f>
        <v>4</v>
      </c>
      <c r="K363" s="6" t="n">
        <f aca="false">IFERROR(VALUE(LEFT(E363,FIND(" - ",E363)-1)),"")</f>
        <v>4</v>
      </c>
      <c r="L363" s="5" t="s">
        <v>1174</v>
      </c>
      <c r="N363" s="6" t="n">
        <f aca="false">IF(F363="","",1+COUNTIFS($J:$J,J363,$K:$K,K363,$F:$F,"&gt;"&amp;F363)+COUNTIFS($J:$J,J363,$K:$K,K363,$F:$F,F363,$G:$G,"&gt;"&amp;G363))</f>
        <v>12</v>
      </c>
      <c r="O363" s="6" t="n">
        <f aca="false">IF(L363="","",SUMIFS(Votes!$E:$E,Votes!$A:$A,J363,Votes!$B:$B,K363,Votes!$D:$D,L363))</f>
        <v>8</v>
      </c>
      <c r="P363" s="6" t="n">
        <f aca="false">IF(L363="","",COUNTIFS(Votes!$A:$A,J363,Votes!$B:$B,K363,Votes!$D:$D,L363))</f>
        <v>5</v>
      </c>
      <c r="Q363" s="7" t="str">
        <f aca="false">IF(F363="","Unscored",IF(O363="","No URI",IF(AND(F363=0,O363=0),"Zero-vote",IF(AND(F363=O363,G363=P363),"OK",IF(AND(F363=0,O363&gt;0,COUNTIFS(Votes!$A:$A,J363,Votes!$B:$B,K363,Votes!$C:$C,D363)=0),"Forfeited","Mismatch")))))</f>
        <v>OK</v>
      </c>
      <c r="R363" s="6" t="n">
        <f aca="false">MAX(IF(L363&lt;&gt;"",COUNTIF($L:$L,L363),0),COUNTIFS($A:$A,A363,$B:$B,B363))</f>
        <v>1</v>
      </c>
      <c r="S363" s="6" t="str">
        <f aca="false">IF(R363&gt;1,COUNTIF($R$2:R363,"&gt;1"),"")</f>
        <v/>
      </c>
      <c r="T363" s="6" t="str">
        <f aca="false">IF(L363="","",J363&amp;"|"&amp;K363&amp;"|"&amp;L363)</f>
        <v>4|4|spotify:track:4AiMaeCXwsldpwvA5wu5gM</v>
      </c>
      <c r="U363" s="6" t="str">
        <f aca="false">IF(C363="","",IFERROR(INDEX(Lists!$F:$F,MATCH(C363,Lists!$E:$E,0)),"Unmapped"))</f>
        <v>Rock</v>
      </c>
    </row>
    <row r="364" customFormat="false" ht="15" hidden="false" customHeight="false" outlineLevel="0" collapsed="false">
      <c r="A364" s="5" t="s">
        <v>1175</v>
      </c>
      <c r="B364" s="5" t="s">
        <v>1176</v>
      </c>
      <c r="C364" s="5" t="s">
        <v>84</v>
      </c>
      <c r="D364" s="5" t="s">
        <v>106</v>
      </c>
      <c r="E364" s="5" t="s">
        <v>1141</v>
      </c>
      <c r="F364" s="5" t="n">
        <v>7</v>
      </c>
      <c r="G364" s="5" t="n">
        <v>6</v>
      </c>
      <c r="H364" s="6" t="str">
        <f aca="false">IF(N364="","",N364&amp;IF(AND(MOD(N364,100)&gt;=11,MOD(N364,100)&lt;=13),"th",CHOOSE(MIN(5,MOD(N364,10)+1),"th","st","nd","rd","th")))</f>
        <v>13th</v>
      </c>
      <c r="I364" s="5" t="s">
        <v>1019</v>
      </c>
      <c r="J364" s="6" t="n">
        <f aca="false">IFERROR(INDEX(Rounds!$A:$A,MATCH(I364,Rounds!$B:$B,0)),"ADD LEAGUE TO ROUNDS")</f>
        <v>4</v>
      </c>
      <c r="K364" s="6" t="n">
        <f aca="false">IFERROR(VALUE(LEFT(E364,FIND(" - ",E364)-1)),"")</f>
        <v>4</v>
      </c>
      <c r="L364" s="5" t="s">
        <v>1177</v>
      </c>
      <c r="N364" s="6" t="n">
        <f aca="false">IF(F364="","",1+COUNTIFS($J:$J,J364,$K:$K,K364,$F:$F,"&gt;"&amp;F364)+COUNTIFS($J:$J,J364,$K:$K,K364,$F:$F,F364,$G:$G,"&gt;"&amp;G364))</f>
        <v>13</v>
      </c>
      <c r="O364" s="6" t="n">
        <f aca="false">IF(L364="","",SUMIFS(Votes!$E:$E,Votes!$A:$A,J364,Votes!$B:$B,K364,Votes!$D:$D,L364))</f>
        <v>7</v>
      </c>
      <c r="P364" s="6" t="n">
        <f aca="false">IF(L364="","",COUNTIFS(Votes!$A:$A,J364,Votes!$B:$B,K364,Votes!$D:$D,L364))</f>
        <v>6</v>
      </c>
      <c r="Q364" s="7" t="str">
        <f aca="false">IF(F364="","Unscored",IF(O364="","No URI",IF(AND(F364=0,O364=0),"Zero-vote",IF(AND(F364=O364,G364=P364),"OK",IF(AND(F364=0,O364&gt;0,COUNTIFS(Votes!$A:$A,J364,Votes!$B:$B,K364,Votes!$C:$C,D364)=0),"Forfeited","Mismatch")))))</f>
        <v>OK</v>
      </c>
      <c r="R364" s="6" t="n">
        <f aca="false">MAX(IF(L364&lt;&gt;"",COUNTIF($L:$L,L364),0),COUNTIFS($A:$A,A364,$B:$B,B364))</f>
        <v>1</v>
      </c>
      <c r="S364" s="6" t="str">
        <f aca="false">IF(R364&gt;1,COUNTIF($R$2:R364,"&gt;1"),"")</f>
        <v/>
      </c>
      <c r="T364" s="6" t="str">
        <f aca="false">IF(L364="","",J364&amp;"|"&amp;K364&amp;"|"&amp;L364)</f>
        <v>4|4|spotify:track:5Q0Nhxo0l2bP3pNjpGJwV1</v>
      </c>
      <c r="U364" s="6" t="str">
        <f aca="false">IF(C364="","",IFERROR(INDEX(Lists!$F:$F,MATCH(C364,Lists!$E:$E,0)),"Unmapped"))</f>
        <v>Pop</v>
      </c>
    </row>
    <row r="365" customFormat="false" ht="15" hidden="false" customHeight="false" outlineLevel="0" collapsed="false">
      <c r="A365" s="5" t="s">
        <v>1178</v>
      </c>
      <c r="B365" s="5" t="s">
        <v>1179</v>
      </c>
      <c r="C365" s="5" t="s">
        <v>91</v>
      </c>
      <c r="D365" s="5" t="s">
        <v>705</v>
      </c>
      <c r="E365" s="5" t="s">
        <v>1141</v>
      </c>
      <c r="F365" s="5" t="n">
        <v>7</v>
      </c>
      <c r="G365" s="5" t="n">
        <v>5</v>
      </c>
      <c r="H365" s="6" t="str">
        <f aca="false">IF(N365="","",N365&amp;IF(AND(MOD(N365,100)&gt;=11,MOD(N365,100)&lt;=13),"th",CHOOSE(MIN(5,MOD(N365,10)+1),"th","st","nd","rd","th")))</f>
        <v>14th</v>
      </c>
      <c r="I365" s="5" t="s">
        <v>1019</v>
      </c>
      <c r="J365" s="6" t="n">
        <f aca="false">IFERROR(INDEX(Rounds!$A:$A,MATCH(I365,Rounds!$B:$B,0)),"ADD LEAGUE TO ROUNDS")</f>
        <v>4</v>
      </c>
      <c r="K365" s="6" t="n">
        <f aca="false">IFERROR(VALUE(LEFT(E365,FIND(" - ",E365)-1)),"")</f>
        <v>4</v>
      </c>
      <c r="L365" s="5" t="s">
        <v>1180</v>
      </c>
      <c r="N365" s="6" t="n">
        <f aca="false">IF(F365="","",1+COUNTIFS($J:$J,J365,$K:$K,K365,$F:$F,"&gt;"&amp;F365)+COUNTIFS($J:$J,J365,$K:$K,K365,$F:$F,F365,$G:$G,"&gt;"&amp;G365))</f>
        <v>14</v>
      </c>
      <c r="O365" s="6" t="n">
        <f aca="false">IF(L365="","",SUMIFS(Votes!$E:$E,Votes!$A:$A,J365,Votes!$B:$B,K365,Votes!$D:$D,L365))</f>
        <v>7</v>
      </c>
      <c r="P365" s="6" t="n">
        <f aca="false">IF(L365="","",COUNTIFS(Votes!$A:$A,J365,Votes!$B:$B,K365,Votes!$D:$D,L365))</f>
        <v>5</v>
      </c>
      <c r="Q365" s="7" t="str">
        <f aca="false">IF(F365="","Unscored",IF(O365="","No URI",IF(AND(F365=0,O365=0),"Zero-vote",IF(AND(F365=O365,G365=P365),"OK",IF(AND(F365=0,O365&gt;0,COUNTIFS(Votes!$A:$A,J365,Votes!$B:$B,K365,Votes!$C:$C,D365)=0),"Forfeited","Mismatch")))))</f>
        <v>OK</v>
      </c>
      <c r="R365" s="6" t="n">
        <f aca="false">MAX(IF(L365&lt;&gt;"",COUNTIF($L:$L,L365),0),COUNTIFS($A:$A,A365,$B:$B,B365))</f>
        <v>1</v>
      </c>
      <c r="S365" s="6" t="str">
        <f aca="false">IF(R365&gt;1,COUNTIF($R$2:R365,"&gt;1"),"")</f>
        <v/>
      </c>
      <c r="T365" s="6" t="str">
        <f aca="false">IF(L365="","",J365&amp;"|"&amp;K365&amp;"|"&amp;L365)</f>
        <v>4|4|spotify:track:4Q3ERWBrb4lhDvAPyANjY5</v>
      </c>
      <c r="U365" s="6" t="str">
        <f aca="false">IF(C365="","",IFERROR(INDEX(Lists!$F:$F,MATCH(C365,Lists!$E:$E,0)),"Unmapped"))</f>
        <v>Rock</v>
      </c>
    </row>
    <row r="366" customFormat="false" ht="15" hidden="false" customHeight="false" outlineLevel="0" collapsed="false">
      <c r="A366" s="5" t="s">
        <v>1181</v>
      </c>
      <c r="B366" s="5" t="s">
        <v>1182</v>
      </c>
      <c r="C366" s="5" t="s">
        <v>91</v>
      </c>
      <c r="D366" s="5" t="s">
        <v>705</v>
      </c>
      <c r="E366" s="5" t="s">
        <v>1183</v>
      </c>
      <c r="F366" s="5" t="n">
        <v>15</v>
      </c>
      <c r="G366" s="5" t="n">
        <v>9</v>
      </c>
      <c r="H366" s="6" t="str">
        <f aca="false">IF(N366="","",N366&amp;IF(AND(MOD(N366,100)&gt;=11,MOD(N366,100)&lt;=13),"th",CHOOSE(MIN(5,MOD(N366,10)+1),"th","st","nd","rd","th")))</f>
        <v>1st</v>
      </c>
      <c r="I366" s="5" t="s">
        <v>1019</v>
      </c>
      <c r="J366" s="6" t="n">
        <f aca="false">IFERROR(INDEX(Rounds!$A:$A,MATCH(I366,Rounds!$B:$B,0)),"ADD LEAGUE TO ROUNDS")</f>
        <v>4</v>
      </c>
      <c r="K366" s="6" t="n">
        <f aca="false">IFERROR(VALUE(LEFT(E366,FIND(" - ",E366)-1)),"")</f>
        <v>5</v>
      </c>
      <c r="L366" s="5" t="s">
        <v>1184</v>
      </c>
      <c r="N366" s="6" t="n">
        <f aca="false">IF(F366="","",1+COUNTIFS($J:$J,J366,$K:$K,K366,$F:$F,"&gt;"&amp;F366)+COUNTIFS($J:$J,J366,$K:$K,K366,$F:$F,F366,$G:$G,"&gt;"&amp;G366))</f>
        <v>1</v>
      </c>
      <c r="O366" s="6" t="n">
        <f aca="false">IF(L366="","",SUMIFS(Votes!$E:$E,Votes!$A:$A,J366,Votes!$B:$B,K366,Votes!$D:$D,L366))</f>
        <v>15</v>
      </c>
      <c r="P366" s="6" t="n">
        <f aca="false">IF(L366="","",COUNTIFS(Votes!$A:$A,J366,Votes!$B:$B,K366,Votes!$D:$D,L366))</f>
        <v>9</v>
      </c>
      <c r="Q366" s="7" t="str">
        <f aca="false">IF(F366="","Unscored",IF(O366="","No URI",IF(AND(F366=0,O366=0),"Zero-vote",IF(AND(F366=O366,G366=P366),"OK",IF(AND(F366=0,O366&gt;0,COUNTIFS(Votes!$A:$A,J366,Votes!$B:$B,K366,Votes!$C:$C,D366)=0),"Forfeited","Mismatch")))))</f>
        <v>OK</v>
      </c>
      <c r="R366" s="6" t="n">
        <f aca="false">MAX(IF(L366&lt;&gt;"",COUNTIF($L:$L,L366),0),COUNTIFS($A:$A,A366,$B:$B,B366))</f>
        <v>1</v>
      </c>
      <c r="S366" s="6" t="str">
        <f aca="false">IF(R366&gt;1,COUNTIF($R$2:R366,"&gt;1"),"")</f>
        <v/>
      </c>
      <c r="T366" s="6" t="str">
        <f aca="false">IF(L366="","",J366&amp;"|"&amp;K366&amp;"|"&amp;L366)</f>
        <v>4|5|spotify:track:5J3Mf6dyqeGy67yuQ7ql9B</v>
      </c>
      <c r="U366" s="6" t="str">
        <f aca="false">IF(C366="","",IFERROR(INDEX(Lists!$F:$F,MATCH(C366,Lists!$E:$E,0)),"Unmapped"))</f>
        <v>Rock</v>
      </c>
    </row>
    <row r="367" customFormat="false" ht="15" hidden="false" customHeight="false" outlineLevel="0" collapsed="false">
      <c r="A367" s="5" t="s">
        <v>1185</v>
      </c>
      <c r="B367" s="5" t="s">
        <v>1011</v>
      </c>
      <c r="C367" s="5" t="s">
        <v>84</v>
      </c>
      <c r="D367" s="5" t="s">
        <v>719</v>
      </c>
      <c r="E367" s="5" t="s">
        <v>1183</v>
      </c>
      <c r="F367" s="5" t="n">
        <v>12</v>
      </c>
      <c r="G367" s="5" t="n">
        <v>8</v>
      </c>
      <c r="H367" s="6" t="str">
        <f aca="false">IF(N367="","",N367&amp;IF(AND(MOD(N367,100)&gt;=11,MOD(N367,100)&lt;=13),"th",CHOOSE(MIN(5,MOD(N367,10)+1),"th","st","nd","rd","th")))</f>
        <v>2nd</v>
      </c>
      <c r="I367" s="5" t="s">
        <v>1019</v>
      </c>
      <c r="J367" s="6" t="n">
        <f aca="false">IFERROR(INDEX(Rounds!$A:$A,MATCH(I367,Rounds!$B:$B,0)),"ADD LEAGUE TO ROUNDS")</f>
        <v>4</v>
      </c>
      <c r="K367" s="6" t="n">
        <f aca="false">IFERROR(VALUE(LEFT(E367,FIND(" - ",E367)-1)),"")</f>
        <v>5</v>
      </c>
      <c r="L367" s="5" t="s">
        <v>1186</v>
      </c>
      <c r="N367" s="6" t="n">
        <f aca="false">IF(F367="","",1+COUNTIFS($J:$J,J367,$K:$K,K367,$F:$F,"&gt;"&amp;F367)+COUNTIFS($J:$J,J367,$K:$K,K367,$F:$F,F367,$G:$G,"&gt;"&amp;G367))</f>
        <v>2</v>
      </c>
      <c r="O367" s="6" t="n">
        <f aca="false">IF(L367="","",SUMIFS(Votes!$E:$E,Votes!$A:$A,J367,Votes!$B:$B,K367,Votes!$D:$D,L367))</f>
        <v>12</v>
      </c>
      <c r="P367" s="6" t="n">
        <f aca="false">IF(L367="","",COUNTIFS(Votes!$A:$A,J367,Votes!$B:$B,K367,Votes!$D:$D,L367))</f>
        <v>8</v>
      </c>
      <c r="Q367" s="7" t="str">
        <f aca="false">IF(F367="","Unscored",IF(O367="","No URI",IF(AND(F367=0,O367=0),"Zero-vote",IF(AND(F367=O367,G367=P367),"OK",IF(AND(F367=0,O367&gt;0,COUNTIFS(Votes!$A:$A,J367,Votes!$B:$B,K367,Votes!$C:$C,D367)=0),"Forfeited","Mismatch")))))</f>
        <v>OK</v>
      </c>
      <c r="R367" s="6" t="n">
        <f aca="false">MAX(IF(L367&lt;&gt;"",COUNTIF($L:$L,L367),0),COUNTIFS($A:$A,A367,$B:$B,B367))</f>
        <v>1</v>
      </c>
      <c r="S367" s="6" t="str">
        <f aca="false">IF(R367&gt;1,COUNTIF($R$2:R367,"&gt;1"),"")</f>
        <v/>
      </c>
      <c r="T367" s="6" t="str">
        <f aca="false">IF(L367="","",J367&amp;"|"&amp;K367&amp;"|"&amp;L367)</f>
        <v>4|5|spotify:track:6KDG8vvFerlCU63IXdw1zb</v>
      </c>
      <c r="U367" s="6" t="str">
        <f aca="false">IF(C367="","",IFERROR(INDEX(Lists!$F:$F,MATCH(C367,Lists!$E:$E,0)),"Unmapped"))</f>
        <v>Pop</v>
      </c>
    </row>
    <row r="368" customFormat="false" ht="15" hidden="false" customHeight="false" outlineLevel="0" collapsed="false">
      <c r="A368" s="5" t="s">
        <v>1187</v>
      </c>
      <c r="B368" s="5" t="s">
        <v>1188</v>
      </c>
      <c r="C368" s="5" t="s">
        <v>91</v>
      </c>
      <c r="D368" s="5" t="s">
        <v>128</v>
      </c>
      <c r="E368" s="5" t="s">
        <v>1183</v>
      </c>
      <c r="F368" s="5" t="n">
        <v>12</v>
      </c>
      <c r="G368" s="5" t="n">
        <v>8</v>
      </c>
      <c r="H368" s="6" t="str">
        <f aca="false">IF(N368="","",N368&amp;IF(AND(MOD(N368,100)&gt;=11,MOD(N368,100)&lt;=13),"th",CHOOSE(MIN(5,MOD(N368,10)+1),"th","st","nd","rd","th")))</f>
        <v>2nd</v>
      </c>
      <c r="I368" s="5" t="s">
        <v>1019</v>
      </c>
      <c r="J368" s="6" t="n">
        <f aca="false">IFERROR(INDEX(Rounds!$A:$A,MATCH(I368,Rounds!$B:$B,0)),"ADD LEAGUE TO ROUNDS")</f>
        <v>4</v>
      </c>
      <c r="K368" s="6" t="n">
        <f aca="false">IFERROR(VALUE(LEFT(E368,FIND(" - ",E368)-1)),"")</f>
        <v>5</v>
      </c>
      <c r="L368" s="5" t="s">
        <v>1189</v>
      </c>
      <c r="N368" s="6" t="n">
        <f aca="false">IF(F368="","",1+COUNTIFS($J:$J,J368,$K:$K,K368,$F:$F,"&gt;"&amp;F368)+COUNTIFS($J:$J,J368,$K:$K,K368,$F:$F,F368,$G:$G,"&gt;"&amp;G368))</f>
        <v>2</v>
      </c>
      <c r="O368" s="6" t="n">
        <f aca="false">IF(L368="","",SUMIFS(Votes!$E:$E,Votes!$A:$A,J368,Votes!$B:$B,K368,Votes!$D:$D,L368))</f>
        <v>12</v>
      </c>
      <c r="P368" s="6" t="n">
        <f aca="false">IF(L368="","",COUNTIFS(Votes!$A:$A,J368,Votes!$B:$B,K368,Votes!$D:$D,L368))</f>
        <v>8</v>
      </c>
      <c r="Q368" s="7" t="str">
        <f aca="false">IF(F368="","Unscored",IF(O368="","No URI",IF(AND(F368=0,O368=0),"Zero-vote",IF(AND(F368=O368,G368=P368),"OK",IF(AND(F368=0,O368&gt;0,COUNTIFS(Votes!$A:$A,J368,Votes!$B:$B,K368,Votes!$C:$C,D368)=0),"Forfeited","Mismatch")))))</f>
        <v>OK</v>
      </c>
      <c r="R368" s="6" t="n">
        <f aca="false">MAX(IF(L368&lt;&gt;"",COUNTIF($L:$L,L368),0),COUNTIFS($A:$A,A368,$B:$B,B368))</f>
        <v>1</v>
      </c>
      <c r="S368" s="6" t="str">
        <f aca="false">IF(R368&gt;1,COUNTIF($R$2:R368,"&gt;1"),"")</f>
        <v/>
      </c>
      <c r="T368" s="6" t="str">
        <f aca="false">IF(L368="","",J368&amp;"|"&amp;K368&amp;"|"&amp;L368)</f>
        <v>4|5|spotify:track:4O6ZaZrRCFfiZZKjnrXqlk</v>
      </c>
      <c r="U368" s="6" t="str">
        <f aca="false">IF(C368="","",IFERROR(INDEX(Lists!$F:$F,MATCH(C368,Lists!$E:$E,0)),"Unmapped"))</f>
        <v>Rock</v>
      </c>
    </row>
    <row r="369" customFormat="false" ht="15" hidden="false" customHeight="false" outlineLevel="0" collapsed="false">
      <c r="A369" s="5" t="s">
        <v>1190</v>
      </c>
      <c r="B369" s="5" t="s">
        <v>1191</v>
      </c>
      <c r="C369" s="5" t="s">
        <v>96</v>
      </c>
      <c r="D369" s="5" t="s">
        <v>97</v>
      </c>
      <c r="E369" s="5" t="s">
        <v>1183</v>
      </c>
      <c r="F369" s="5" t="n">
        <v>11</v>
      </c>
      <c r="G369" s="5" t="n">
        <v>8</v>
      </c>
      <c r="H369" s="6" t="str">
        <f aca="false">IF(N369="","",N369&amp;IF(AND(MOD(N369,100)&gt;=11,MOD(N369,100)&lt;=13),"th",CHOOSE(MIN(5,MOD(N369,10)+1),"th","st","nd","rd","th")))</f>
        <v>4th</v>
      </c>
      <c r="I369" s="5" t="s">
        <v>1019</v>
      </c>
      <c r="J369" s="6" t="n">
        <f aca="false">IFERROR(INDEX(Rounds!$A:$A,MATCH(I369,Rounds!$B:$B,0)),"ADD LEAGUE TO ROUNDS")</f>
        <v>4</v>
      </c>
      <c r="K369" s="6" t="n">
        <f aca="false">IFERROR(VALUE(LEFT(E369,FIND(" - ",E369)-1)),"")</f>
        <v>5</v>
      </c>
      <c r="L369" s="5" t="s">
        <v>1192</v>
      </c>
      <c r="N369" s="6" t="n">
        <f aca="false">IF(F369="","",1+COUNTIFS($J:$J,J369,$K:$K,K369,$F:$F,"&gt;"&amp;F369)+COUNTIFS($J:$J,J369,$K:$K,K369,$F:$F,F369,$G:$G,"&gt;"&amp;G369))</f>
        <v>4</v>
      </c>
      <c r="O369" s="6" t="n">
        <f aca="false">IF(L369="","",SUMIFS(Votes!$E:$E,Votes!$A:$A,J369,Votes!$B:$B,K369,Votes!$D:$D,L369))</f>
        <v>11</v>
      </c>
      <c r="P369" s="6" t="n">
        <f aca="false">IF(L369="","",COUNTIFS(Votes!$A:$A,J369,Votes!$B:$B,K369,Votes!$D:$D,L369))</f>
        <v>8</v>
      </c>
      <c r="Q369" s="7" t="str">
        <f aca="false">IF(F369="","Unscored",IF(O369="","No URI",IF(AND(F369=0,O369=0),"Zero-vote",IF(AND(F369=O369,G369=P369),"OK",IF(AND(F369=0,O369&gt;0,COUNTIFS(Votes!$A:$A,J369,Votes!$B:$B,K369,Votes!$C:$C,D369)=0),"Forfeited","Mismatch")))))</f>
        <v>OK</v>
      </c>
      <c r="R369" s="6" t="n">
        <f aca="false">MAX(IF(L369&lt;&gt;"",COUNTIF($L:$L,L369),0),COUNTIFS($A:$A,A369,$B:$B,B369))</f>
        <v>1</v>
      </c>
      <c r="S369" s="6" t="str">
        <f aca="false">IF(R369&gt;1,COUNTIF($R$2:R369,"&gt;1"),"")</f>
        <v/>
      </c>
      <c r="T369" s="6" t="str">
        <f aca="false">IF(L369="","",J369&amp;"|"&amp;K369&amp;"|"&amp;L369)</f>
        <v>4|5|spotify:track:3m0y8qLoznUYi73SUBP8GI</v>
      </c>
      <c r="U369" s="6" t="str">
        <f aca="false">IF(C369="","",IFERROR(INDEX(Lists!$F:$F,MATCH(C369,Lists!$E:$E,0)),"Unmapped"))</f>
        <v>R&amp;B/Soul</v>
      </c>
    </row>
    <row r="370" customFormat="false" ht="15" hidden="false" customHeight="false" outlineLevel="0" collapsed="false">
      <c r="A370" s="5" t="s">
        <v>1193</v>
      </c>
      <c r="B370" s="5" t="s">
        <v>1194</v>
      </c>
      <c r="C370" s="5" t="s">
        <v>132</v>
      </c>
      <c r="D370" s="5" t="s">
        <v>395</v>
      </c>
      <c r="E370" s="5" t="s">
        <v>1183</v>
      </c>
      <c r="F370" s="5" t="n">
        <v>8</v>
      </c>
      <c r="G370" s="5" t="n">
        <v>7</v>
      </c>
      <c r="H370" s="6" t="str">
        <f aca="false">IF(N370="","",N370&amp;IF(AND(MOD(N370,100)&gt;=11,MOD(N370,100)&lt;=13),"th",CHOOSE(MIN(5,MOD(N370,10)+1),"th","st","nd","rd","th")))</f>
        <v>5th</v>
      </c>
      <c r="I370" s="5" t="s">
        <v>1019</v>
      </c>
      <c r="J370" s="6" t="n">
        <f aca="false">IFERROR(INDEX(Rounds!$A:$A,MATCH(I370,Rounds!$B:$B,0)),"ADD LEAGUE TO ROUNDS")</f>
        <v>4</v>
      </c>
      <c r="K370" s="6" t="n">
        <f aca="false">IFERROR(VALUE(LEFT(E370,FIND(" - ",E370)-1)),"")</f>
        <v>5</v>
      </c>
      <c r="L370" s="5" t="s">
        <v>1195</v>
      </c>
      <c r="N370" s="6" t="n">
        <f aca="false">IF(F370="","",1+COUNTIFS($J:$J,J370,$K:$K,K370,$F:$F,"&gt;"&amp;F370)+COUNTIFS($J:$J,J370,$K:$K,K370,$F:$F,F370,$G:$G,"&gt;"&amp;G370))</f>
        <v>5</v>
      </c>
      <c r="O370" s="6" t="n">
        <f aca="false">IF(L370="","",SUMIFS(Votes!$E:$E,Votes!$A:$A,J370,Votes!$B:$B,K370,Votes!$D:$D,L370))</f>
        <v>8</v>
      </c>
      <c r="P370" s="6" t="n">
        <f aca="false">IF(L370="","",COUNTIFS(Votes!$A:$A,J370,Votes!$B:$B,K370,Votes!$D:$D,L370))</f>
        <v>7</v>
      </c>
      <c r="Q370" s="7" t="str">
        <f aca="false">IF(F370="","Unscored",IF(O370="","No URI",IF(AND(F370=0,O370=0),"Zero-vote",IF(AND(F370=O370,G370=P370),"OK",IF(AND(F370=0,O370&gt;0,COUNTIFS(Votes!$A:$A,J370,Votes!$B:$B,K370,Votes!$C:$C,D370)=0),"Forfeited","Mismatch")))))</f>
        <v>OK</v>
      </c>
      <c r="R370" s="6" t="n">
        <f aca="false">MAX(IF(L370&lt;&gt;"",COUNTIF($L:$L,L370),0),COUNTIFS($A:$A,A370,$B:$B,B370))</f>
        <v>1</v>
      </c>
      <c r="S370" s="6" t="str">
        <f aca="false">IF(R370&gt;1,COUNTIF($R$2:R370,"&gt;1"),"")</f>
        <v/>
      </c>
      <c r="T370" s="6" t="str">
        <f aca="false">IF(L370="","",J370&amp;"|"&amp;K370&amp;"|"&amp;L370)</f>
        <v>4|5|spotify:track:3mhsDyQpX2L8sJMdWUHOi3</v>
      </c>
      <c r="U370" s="6" t="str">
        <f aca="false">IF(C370="","",IFERROR(INDEX(Lists!$F:$F,MATCH(C370,Lists!$E:$E,0)),"Unmapped"))</f>
        <v>Soundtrack/Musical</v>
      </c>
    </row>
    <row r="371" customFormat="false" ht="15" hidden="false" customHeight="false" outlineLevel="0" collapsed="false">
      <c r="A371" s="5" t="s">
        <v>1196</v>
      </c>
      <c r="B371" s="5" t="s">
        <v>1197</v>
      </c>
      <c r="C371" s="5" t="s">
        <v>91</v>
      </c>
      <c r="D371" s="5" t="s">
        <v>116</v>
      </c>
      <c r="E371" s="5" t="s">
        <v>1183</v>
      </c>
      <c r="F371" s="5" t="n">
        <v>8</v>
      </c>
      <c r="G371" s="5" t="n">
        <v>6</v>
      </c>
      <c r="H371" s="6" t="str">
        <f aca="false">IF(N371="","",N371&amp;IF(AND(MOD(N371,100)&gt;=11,MOD(N371,100)&lt;=13),"th",CHOOSE(MIN(5,MOD(N371,10)+1),"th","st","nd","rd","th")))</f>
        <v>6th</v>
      </c>
      <c r="I371" s="5" t="s">
        <v>1019</v>
      </c>
      <c r="J371" s="6" t="n">
        <f aca="false">IFERROR(INDEX(Rounds!$A:$A,MATCH(I371,Rounds!$B:$B,0)),"ADD LEAGUE TO ROUNDS")</f>
        <v>4</v>
      </c>
      <c r="K371" s="6" t="n">
        <f aca="false">IFERROR(VALUE(LEFT(E371,FIND(" - ",E371)-1)),"")</f>
        <v>5</v>
      </c>
      <c r="L371" s="5" t="s">
        <v>1198</v>
      </c>
      <c r="N371" s="6" t="n">
        <f aca="false">IF(F371="","",1+COUNTIFS($J:$J,J371,$K:$K,K371,$F:$F,"&gt;"&amp;F371)+COUNTIFS($J:$J,J371,$K:$K,K371,$F:$F,F371,$G:$G,"&gt;"&amp;G371))</f>
        <v>6</v>
      </c>
      <c r="O371" s="6" t="n">
        <f aca="false">IF(L371="","",SUMIFS(Votes!$E:$E,Votes!$A:$A,J371,Votes!$B:$B,K371,Votes!$D:$D,L371))</f>
        <v>8</v>
      </c>
      <c r="P371" s="6" t="n">
        <f aca="false">IF(L371="","",COUNTIFS(Votes!$A:$A,J371,Votes!$B:$B,K371,Votes!$D:$D,L371))</f>
        <v>6</v>
      </c>
      <c r="Q371" s="7" t="str">
        <f aca="false">IF(F371="","Unscored",IF(O371="","No URI",IF(AND(F371=0,O371=0),"Zero-vote",IF(AND(F371=O371,G371=P371),"OK",IF(AND(F371=0,O371&gt;0,COUNTIFS(Votes!$A:$A,J371,Votes!$B:$B,K371,Votes!$C:$C,D371)=0),"Forfeited","Mismatch")))))</f>
        <v>OK</v>
      </c>
      <c r="R371" s="6" t="n">
        <f aca="false">MAX(IF(L371&lt;&gt;"",COUNTIF($L:$L,L371),0),COUNTIFS($A:$A,A371,$B:$B,B371))</f>
        <v>1</v>
      </c>
      <c r="S371" s="6" t="str">
        <f aca="false">IF(R371&gt;1,COUNTIF($R$2:R371,"&gt;1"),"")</f>
        <v/>
      </c>
      <c r="T371" s="6" t="str">
        <f aca="false">IF(L371="","",J371&amp;"|"&amp;K371&amp;"|"&amp;L371)</f>
        <v>4|5|spotify:track:5jzma6gCzYtKB1DbEwFZKH</v>
      </c>
      <c r="U371" s="6" t="str">
        <f aca="false">IF(C371="","",IFERROR(INDEX(Lists!$F:$F,MATCH(C371,Lists!$E:$E,0)),"Unmapped"))</f>
        <v>Rock</v>
      </c>
    </row>
    <row r="372" customFormat="false" ht="15" hidden="false" customHeight="false" outlineLevel="0" collapsed="false">
      <c r="A372" s="5" t="s">
        <v>1199</v>
      </c>
      <c r="B372" s="5" t="s">
        <v>1200</v>
      </c>
      <c r="C372" s="5" t="s">
        <v>91</v>
      </c>
      <c r="D372" s="5" t="s">
        <v>101</v>
      </c>
      <c r="E372" s="5" t="s">
        <v>1183</v>
      </c>
      <c r="F372" s="5" t="n">
        <v>7</v>
      </c>
      <c r="G372" s="5" t="n">
        <v>6</v>
      </c>
      <c r="H372" s="6" t="str">
        <f aca="false">IF(N372="","",N372&amp;IF(AND(MOD(N372,100)&gt;=11,MOD(N372,100)&lt;=13),"th",CHOOSE(MIN(5,MOD(N372,10)+1),"th","st","nd","rd","th")))</f>
        <v>7th</v>
      </c>
      <c r="I372" s="5" t="s">
        <v>1019</v>
      </c>
      <c r="J372" s="6" t="n">
        <f aca="false">IFERROR(INDEX(Rounds!$A:$A,MATCH(I372,Rounds!$B:$B,0)),"ADD LEAGUE TO ROUNDS")</f>
        <v>4</v>
      </c>
      <c r="K372" s="6" t="n">
        <f aca="false">IFERROR(VALUE(LEFT(E372,FIND(" - ",E372)-1)),"")</f>
        <v>5</v>
      </c>
      <c r="L372" s="5" t="s">
        <v>1201</v>
      </c>
      <c r="N372" s="6" t="n">
        <f aca="false">IF(F372="","",1+COUNTIFS($J:$J,J372,$K:$K,K372,$F:$F,"&gt;"&amp;F372)+COUNTIFS($J:$J,J372,$K:$K,K372,$F:$F,F372,$G:$G,"&gt;"&amp;G372))</f>
        <v>7</v>
      </c>
      <c r="O372" s="6" t="n">
        <f aca="false">IF(L372="","",SUMIFS(Votes!$E:$E,Votes!$A:$A,J372,Votes!$B:$B,K372,Votes!$D:$D,L372))</f>
        <v>7</v>
      </c>
      <c r="P372" s="6" t="n">
        <f aca="false">IF(L372="","",COUNTIFS(Votes!$A:$A,J372,Votes!$B:$B,K372,Votes!$D:$D,L372))</f>
        <v>6</v>
      </c>
      <c r="Q372" s="7" t="str">
        <f aca="false">IF(F372="","Unscored",IF(O372="","No URI",IF(AND(F372=0,O372=0),"Zero-vote",IF(AND(F372=O372,G372=P372),"OK",IF(AND(F372=0,O372&gt;0,COUNTIFS(Votes!$A:$A,J372,Votes!$B:$B,K372,Votes!$C:$C,D372)=0),"Forfeited","Mismatch")))))</f>
        <v>OK</v>
      </c>
      <c r="R372" s="6" t="n">
        <f aca="false">MAX(IF(L372&lt;&gt;"",COUNTIF($L:$L,L372),0),COUNTIFS($A:$A,A372,$B:$B,B372))</f>
        <v>1</v>
      </c>
      <c r="S372" s="6" t="str">
        <f aca="false">IF(R372&gt;1,COUNTIF($R$2:R372,"&gt;1"),"")</f>
        <v/>
      </c>
      <c r="T372" s="6" t="str">
        <f aca="false">IF(L372="","",J372&amp;"|"&amp;K372&amp;"|"&amp;L372)</f>
        <v>4|5|spotify:track:779ooI3rBd0CLqCiiJmtVo</v>
      </c>
      <c r="U372" s="6" t="str">
        <f aca="false">IF(C372="","",IFERROR(INDEX(Lists!$F:$F,MATCH(C372,Lists!$E:$E,0)),"Unmapped"))</f>
        <v>Rock</v>
      </c>
    </row>
    <row r="373" customFormat="false" ht="15" hidden="false" customHeight="false" outlineLevel="0" collapsed="false">
      <c r="A373" s="5" t="s">
        <v>1202</v>
      </c>
      <c r="B373" s="5" t="s">
        <v>95</v>
      </c>
      <c r="C373" s="5" t="s">
        <v>96</v>
      </c>
      <c r="D373" s="5" t="s">
        <v>85</v>
      </c>
      <c r="E373" s="5" t="s">
        <v>1183</v>
      </c>
      <c r="F373" s="5" t="n">
        <v>7</v>
      </c>
      <c r="G373" s="5" t="n">
        <v>4</v>
      </c>
      <c r="H373" s="6" t="str">
        <f aca="false">IF(N373="","",N373&amp;IF(AND(MOD(N373,100)&gt;=11,MOD(N373,100)&lt;=13),"th",CHOOSE(MIN(5,MOD(N373,10)+1),"th","st","nd","rd","th")))</f>
        <v>8th</v>
      </c>
      <c r="I373" s="5" t="s">
        <v>1019</v>
      </c>
      <c r="J373" s="6" t="n">
        <f aca="false">IFERROR(INDEX(Rounds!$A:$A,MATCH(I373,Rounds!$B:$B,0)),"ADD LEAGUE TO ROUNDS")</f>
        <v>4</v>
      </c>
      <c r="K373" s="6" t="n">
        <f aca="false">IFERROR(VALUE(LEFT(E373,FIND(" - ",E373)-1)),"")</f>
        <v>5</v>
      </c>
      <c r="L373" s="5" t="s">
        <v>1203</v>
      </c>
      <c r="N373" s="6" t="n">
        <f aca="false">IF(F373="","",1+COUNTIFS($J:$J,J373,$K:$K,K373,$F:$F,"&gt;"&amp;F373)+COUNTIFS($J:$J,J373,$K:$K,K373,$F:$F,F373,$G:$G,"&gt;"&amp;G373))</f>
        <v>8</v>
      </c>
      <c r="O373" s="6" t="n">
        <f aca="false">IF(L373="","",SUMIFS(Votes!$E:$E,Votes!$A:$A,J373,Votes!$B:$B,K373,Votes!$D:$D,L373))</f>
        <v>7</v>
      </c>
      <c r="P373" s="6" t="n">
        <f aca="false">IF(L373="","",COUNTIFS(Votes!$A:$A,J373,Votes!$B:$B,K373,Votes!$D:$D,L373))</f>
        <v>4</v>
      </c>
      <c r="Q373" s="7" t="str">
        <f aca="false">IF(F373="","Unscored",IF(O373="","No URI",IF(AND(F373=0,O373=0),"Zero-vote",IF(AND(F373=O373,G373=P373),"OK",IF(AND(F373=0,O373&gt;0,COUNTIFS(Votes!$A:$A,J373,Votes!$B:$B,K373,Votes!$C:$C,D373)=0),"Forfeited","Mismatch")))))</f>
        <v>OK</v>
      </c>
      <c r="R373" s="6" t="n">
        <f aca="false">MAX(IF(L373&lt;&gt;"",COUNTIF($L:$L,L373),0),COUNTIFS($A:$A,A373,$B:$B,B373))</f>
        <v>1</v>
      </c>
      <c r="S373" s="6" t="str">
        <f aca="false">IF(R373&gt;1,COUNTIF($R$2:R373,"&gt;1"),"")</f>
        <v/>
      </c>
      <c r="T373" s="6" t="str">
        <f aca="false">IF(L373="","",J373&amp;"|"&amp;K373&amp;"|"&amp;L373)</f>
        <v>4|5|spotify:track:5mgCMlxQW7fmHbrdJuowbB</v>
      </c>
      <c r="U373" s="6" t="str">
        <f aca="false">IF(C373="","",IFERROR(INDEX(Lists!$F:$F,MATCH(C373,Lists!$E:$E,0)),"Unmapped"))</f>
        <v>R&amp;B/Soul</v>
      </c>
    </row>
    <row r="374" customFormat="false" ht="15" hidden="false" customHeight="false" outlineLevel="0" collapsed="false">
      <c r="A374" s="5" t="s">
        <v>1204</v>
      </c>
      <c r="B374" s="5" t="s">
        <v>1205</v>
      </c>
      <c r="C374" s="5" t="s">
        <v>91</v>
      </c>
      <c r="D374" s="5" t="s">
        <v>92</v>
      </c>
      <c r="E374" s="5" t="s">
        <v>1183</v>
      </c>
      <c r="F374" s="5" t="n">
        <v>5</v>
      </c>
      <c r="G374" s="5" t="n">
        <v>5</v>
      </c>
      <c r="H374" s="6" t="str">
        <f aca="false">IF(N374="","",N374&amp;IF(AND(MOD(N374,100)&gt;=11,MOD(N374,100)&lt;=13),"th",CHOOSE(MIN(5,MOD(N374,10)+1),"th","st","nd","rd","th")))</f>
        <v>9th</v>
      </c>
      <c r="I374" s="5" t="s">
        <v>1019</v>
      </c>
      <c r="J374" s="6" t="n">
        <f aca="false">IFERROR(INDEX(Rounds!$A:$A,MATCH(I374,Rounds!$B:$B,0)),"ADD LEAGUE TO ROUNDS")</f>
        <v>4</v>
      </c>
      <c r="K374" s="6" t="n">
        <f aca="false">IFERROR(VALUE(LEFT(E374,FIND(" - ",E374)-1)),"")</f>
        <v>5</v>
      </c>
      <c r="L374" s="5" t="s">
        <v>1206</v>
      </c>
      <c r="N374" s="6" t="n">
        <f aca="false">IF(F374="","",1+COUNTIFS($J:$J,J374,$K:$K,K374,$F:$F,"&gt;"&amp;F374)+COUNTIFS($J:$J,J374,$K:$K,K374,$F:$F,F374,$G:$G,"&gt;"&amp;G374))</f>
        <v>9</v>
      </c>
      <c r="O374" s="6" t="n">
        <f aca="false">IF(L374="","",SUMIFS(Votes!$E:$E,Votes!$A:$A,J374,Votes!$B:$B,K374,Votes!$D:$D,L374))</f>
        <v>5</v>
      </c>
      <c r="P374" s="6" t="n">
        <f aca="false">IF(L374="","",COUNTIFS(Votes!$A:$A,J374,Votes!$B:$B,K374,Votes!$D:$D,L374))</f>
        <v>5</v>
      </c>
      <c r="Q374" s="7" t="str">
        <f aca="false">IF(F374="","Unscored",IF(O374="","No URI",IF(AND(F374=0,O374=0),"Zero-vote",IF(AND(F374=O374,G374=P374),"OK",IF(AND(F374=0,O374&gt;0,COUNTIFS(Votes!$A:$A,J374,Votes!$B:$B,K374,Votes!$C:$C,D374)=0),"Forfeited","Mismatch")))))</f>
        <v>OK</v>
      </c>
      <c r="R374" s="6" t="n">
        <f aca="false">MAX(IF(L374&lt;&gt;"",COUNTIF($L:$L,L374),0),COUNTIFS($A:$A,A374,$B:$B,B374))</f>
        <v>1</v>
      </c>
      <c r="S374" s="6" t="str">
        <f aca="false">IF(R374&gt;1,COUNTIF($R$2:R374,"&gt;1"),"")</f>
        <v/>
      </c>
      <c r="T374" s="6" t="str">
        <f aca="false">IF(L374="","",J374&amp;"|"&amp;K374&amp;"|"&amp;L374)</f>
        <v>4|5|spotify:track:0OslHiqg2d7lIcb4mzFkyA</v>
      </c>
      <c r="U374" s="6" t="str">
        <f aca="false">IF(C374="","",IFERROR(INDEX(Lists!$F:$F,MATCH(C374,Lists!$E:$E,0)),"Unmapped"))</f>
        <v>Rock</v>
      </c>
    </row>
    <row r="375" customFormat="false" ht="15" hidden="false" customHeight="false" outlineLevel="0" collapsed="false">
      <c r="A375" s="5" t="s">
        <v>1207</v>
      </c>
      <c r="B375" s="5" t="s">
        <v>1208</v>
      </c>
      <c r="C375" s="5" t="s">
        <v>96</v>
      </c>
      <c r="D375" s="5" t="s">
        <v>106</v>
      </c>
      <c r="E375" s="5" t="s">
        <v>1183</v>
      </c>
      <c r="F375" s="5" t="n">
        <v>5</v>
      </c>
      <c r="G375" s="5" t="n">
        <v>5</v>
      </c>
      <c r="H375" s="6" t="str">
        <f aca="false">IF(N375="","",N375&amp;IF(AND(MOD(N375,100)&gt;=11,MOD(N375,100)&lt;=13),"th",CHOOSE(MIN(5,MOD(N375,10)+1),"th","st","nd","rd","th")))</f>
        <v>9th</v>
      </c>
      <c r="I375" s="5" t="s">
        <v>1019</v>
      </c>
      <c r="J375" s="6" t="n">
        <f aca="false">IFERROR(INDEX(Rounds!$A:$A,MATCH(I375,Rounds!$B:$B,0)),"ADD LEAGUE TO ROUNDS")</f>
        <v>4</v>
      </c>
      <c r="K375" s="6" t="n">
        <f aca="false">IFERROR(VALUE(LEFT(E375,FIND(" - ",E375)-1)),"")</f>
        <v>5</v>
      </c>
      <c r="L375" s="5" t="s">
        <v>1209</v>
      </c>
      <c r="N375" s="6" t="n">
        <f aca="false">IF(F375="","",1+COUNTIFS($J:$J,J375,$K:$K,K375,$F:$F,"&gt;"&amp;F375)+COUNTIFS($J:$J,J375,$K:$K,K375,$F:$F,F375,$G:$G,"&gt;"&amp;G375))</f>
        <v>9</v>
      </c>
      <c r="O375" s="6" t="n">
        <f aca="false">IF(L375="","",SUMIFS(Votes!$E:$E,Votes!$A:$A,J375,Votes!$B:$B,K375,Votes!$D:$D,L375))</f>
        <v>5</v>
      </c>
      <c r="P375" s="6" t="n">
        <f aca="false">IF(L375="","",COUNTIFS(Votes!$A:$A,J375,Votes!$B:$B,K375,Votes!$D:$D,L375))</f>
        <v>5</v>
      </c>
      <c r="Q375" s="7" t="str">
        <f aca="false">IF(F375="","Unscored",IF(O375="","No URI",IF(AND(F375=0,O375=0),"Zero-vote",IF(AND(F375=O375,G375=P375),"OK",IF(AND(F375=0,O375&gt;0,COUNTIFS(Votes!$A:$A,J375,Votes!$B:$B,K375,Votes!$C:$C,D375)=0),"Forfeited","Mismatch")))))</f>
        <v>OK</v>
      </c>
      <c r="R375" s="6" t="n">
        <f aca="false">MAX(IF(L375&lt;&gt;"",COUNTIF($L:$L,L375),0),COUNTIFS($A:$A,A375,$B:$B,B375))</f>
        <v>1</v>
      </c>
      <c r="S375" s="6" t="str">
        <f aca="false">IF(R375&gt;1,COUNTIF($R$2:R375,"&gt;1"),"")</f>
        <v/>
      </c>
      <c r="T375" s="6" t="str">
        <f aca="false">IF(L375="","",J375&amp;"|"&amp;K375&amp;"|"&amp;L375)</f>
        <v>4|5|spotify:track:7LoGfKBAaOl0nxhodJ1240</v>
      </c>
      <c r="U375" s="6" t="str">
        <f aca="false">IF(C375="","",IFERROR(INDEX(Lists!$F:$F,MATCH(C375,Lists!$E:$E,0)),"Unmapped"))</f>
        <v>R&amp;B/Soul</v>
      </c>
    </row>
    <row r="376" customFormat="false" ht="15" hidden="false" customHeight="false" outlineLevel="0" collapsed="false">
      <c r="A376" s="5" t="s">
        <v>1210</v>
      </c>
      <c r="B376" s="5" t="s">
        <v>1211</v>
      </c>
      <c r="C376" s="5" t="s">
        <v>91</v>
      </c>
      <c r="D376" s="5" t="s">
        <v>119</v>
      </c>
      <c r="E376" s="5" t="s">
        <v>1183</v>
      </c>
      <c r="F376" s="5" t="n">
        <v>5</v>
      </c>
      <c r="G376" s="5" t="n">
        <v>4</v>
      </c>
      <c r="H376" s="6" t="str">
        <f aca="false">IF(N376="","",N376&amp;IF(AND(MOD(N376,100)&gt;=11,MOD(N376,100)&lt;=13),"th",CHOOSE(MIN(5,MOD(N376,10)+1),"th","st","nd","rd","th")))</f>
        <v>11th</v>
      </c>
      <c r="I376" s="5" t="s">
        <v>1019</v>
      </c>
      <c r="J376" s="6" t="n">
        <f aca="false">IFERROR(INDEX(Rounds!$A:$A,MATCH(I376,Rounds!$B:$B,0)),"ADD LEAGUE TO ROUNDS")</f>
        <v>4</v>
      </c>
      <c r="K376" s="6" t="n">
        <f aca="false">IFERROR(VALUE(LEFT(E376,FIND(" - ",E376)-1)),"")</f>
        <v>5</v>
      </c>
      <c r="L376" s="5" t="s">
        <v>1212</v>
      </c>
      <c r="N376" s="6" t="n">
        <f aca="false">IF(F376="","",1+COUNTIFS($J:$J,J376,$K:$K,K376,$F:$F,"&gt;"&amp;F376)+COUNTIFS($J:$J,J376,$K:$K,K376,$F:$F,F376,$G:$G,"&gt;"&amp;G376))</f>
        <v>11</v>
      </c>
      <c r="O376" s="6" t="n">
        <f aca="false">IF(L376="","",SUMIFS(Votes!$E:$E,Votes!$A:$A,J376,Votes!$B:$B,K376,Votes!$D:$D,L376))</f>
        <v>5</v>
      </c>
      <c r="P376" s="6" t="n">
        <f aca="false">IF(L376="","",COUNTIFS(Votes!$A:$A,J376,Votes!$B:$B,K376,Votes!$D:$D,L376))</f>
        <v>4</v>
      </c>
      <c r="Q376" s="7" t="str">
        <f aca="false">IF(F376="","Unscored",IF(O376="","No URI",IF(AND(F376=0,O376=0),"Zero-vote",IF(AND(F376=O376,G376=P376),"OK",IF(AND(F376=0,O376&gt;0,COUNTIFS(Votes!$A:$A,J376,Votes!$B:$B,K376,Votes!$C:$C,D376)=0),"Forfeited","Mismatch")))))</f>
        <v>OK</v>
      </c>
      <c r="R376" s="6" t="n">
        <f aca="false">MAX(IF(L376&lt;&gt;"",COUNTIF($L:$L,L376),0),COUNTIFS($A:$A,A376,$B:$B,B376))</f>
        <v>1</v>
      </c>
      <c r="S376" s="6" t="str">
        <f aca="false">IF(R376&gt;1,COUNTIF($R$2:R376,"&gt;1"),"")</f>
        <v/>
      </c>
      <c r="T376" s="6" t="str">
        <f aca="false">IF(L376="","",J376&amp;"|"&amp;K376&amp;"|"&amp;L376)</f>
        <v>4|5|spotify:track:181ERlg2wowFuRobnrMZJ2</v>
      </c>
      <c r="U376" s="6" t="str">
        <f aca="false">IF(C376="","",IFERROR(INDEX(Lists!$F:$F,MATCH(C376,Lists!$E:$E,0)),"Unmapped"))</f>
        <v>Rock</v>
      </c>
    </row>
    <row r="377" customFormat="false" ht="15" hidden="false" customHeight="false" outlineLevel="0" collapsed="false">
      <c r="A377" s="5" t="s">
        <v>860</v>
      </c>
      <c r="B377" s="5" t="s">
        <v>95</v>
      </c>
      <c r="C377" s="5" t="s">
        <v>96</v>
      </c>
      <c r="D377" s="5" t="s">
        <v>382</v>
      </c>
      <c r="E377" s="5" t="s">
        <v>1183</v>
      </c>
      <c r="F377" s="5" t="n">
        <v>2</v>
      </c>
      <c r="G377" s="5" t="n">
        <v>1</v>
      </c>
      <c r="H377" s="6" t="str">
        <f aca="false">IF(N377="","",N377&amp;IF(AND(MOD(N377,100)&gt;=11,MOD(N377,100)&lt;=13),"th",CHOOSE(MIN(5,MOD(N377,10)+1),"th","st","nd","rd","th")))</f>
        <v>12th</v>
      </c>
      <c r="I377" s="5" t="s">
        <v>1019</v>
      </c>
      <c r="J377" s="6" t="n">
        <f aca="false">IFERROR(INDEX(Rounds!$A:$A,MATCH(I377,Rounds!$B:$B,0)),"ADD LEAGUE TO ROUNDS")</f>
        <v>4</v>
      </c>
      <c r="K377" s="6" t="n">
        <f aca="false">IFERROR(VALUE(LEFT(E377,FIND(" - ",E377)-1)),"")</f>
        <v>5</v>
      </c>
      <c r="L377" s="5" t="s">
        <v>1213</v>
      </c>
      <c r="N377" s="6" t="n">
        <f aca="false">IF(F377="","",1+COUNTIFS($J:$J,J377,$K:$K,K377,$F:$F,"&gt;"&amp;F377)+COUNTIFS($J:$J,J377,$K:$K,K377,$F:$F,F377,$G:$G,"&gt;"&amp;G377))</f>
        <v>12</v>
      </c>
      <c r="O377" s="6" t="n">
        <f aca="false">IF(L377="","",SUMIFS(Votes!$E:$E,Votes!$A:$A,J377,Votes!$B:$B,K377,Votes!$D:$D,L377))</f>
        <v>2</v>
      </c>
      <c r="P377" s="6" t="n">
        <f aca="false">IF(L377="","",COUNTIFS(Votes!$A:$A,J377,Votes!$B:$B,K377,Votes!$D:$D,L377))</f>
        <v>1</v>
      </c>
      <c r="Q377" s="7" t="str">
        <f aca="false">IF(F377="","Unscored",IF(O377="","No URI",IF(AND(F377=0,O377=0),"Zero-vote",IF(AND(F377=O377,G377=P377),"OK",IF(AND(F377=0,O377&gt;0,COUNTIFS(Votes!$A:$A,J377,Votes!$B:$B,K377,Votes!$C:$C,D377)=0),"Forfeited","Mismatch")))))</f>
        <v>OK</v>
      </c>
      <c r="R377" s="6" t="n">
        <f aca="false">MAX(IF(L377&lt;&gt;"",COUNTIF($L:$L,L377),0),COUNTIFS($A:$A,A377,$B:$B,B377))</f>
        <v>1</v>
      </c>
      <c r="S377" s="6" t="str">
        <f aca="false">IF(R377&gt;1,COUNTIF($R$2:R377,"&gt;1"),"")</f>
        <v/>
      </c>
      <c r="T377" s="6" t="str">
        <f aca="false">IF(L377="","",J377&amp;"|"&amp;K377&amp;"|"&amp;L377)</f>
        <v>4|5|spotify:track:6TSM5vkz0WzyZsNAKKYDcw</v>
      </c>
      <c r="U377" s="6" t="str">
        <f aca="false">IF(C377="","",IFERROR(INDEX(Lists!$F:$F,MATCH(C377,Lists!$E:$E,0)),"Unmapped"))</f>
        <v>R&amp;B/Soul</v>
      </c>
    </row>
    <row r="378" customFormat="false" ht="15" hidden="false" customHeight="false" outlineLevel="0" collapsed="false">
      <c r="A378" s="5" t="s">
        <v>1214</v>
      </c>
      <c r="B378" s="5" t="s">
        <v>1215</v>
      </c>
      <c r="C378" s="5" t="s">
        <v>91</v>
      </c>
      <c r="D378" s="5" t="s">
        <v>484</v>
      </c>
      <c r="E378" s="5" t="s">
        <v>1183</v>
      </c>
      <c r="F378" s="5" t="n">
        <v>0</v>
      </c>
      <c r="G378" s="5" t="n">
        <v>9</v>
      </c>
      <c r="H378" s="6" t="str">
        <f aca="false">IF(N378="","",N378&amp;IF(AND(MOD(N378,100)&gt;=11,MOD(N378,100)&lt;=13),"th",CHOOSE(MIN(5,MOD(N378,10)+1),"th","st","nd","rd","th")))</f>
        <v>13th</v>
      </c>
      <c r="I378" s="5" t="s">
        <v>1019</v>
      </c>
      <c r="J378" s="6" t="n">
        <f aca="false">IFERROR(INDEX(Rounds!$A:$A,MATCH(I378,Rounds!$B:$B,0)),"ADD LEAGUE TO ROUNDS")</f>
        <v>4</v>
      </c>
      <c r="K378" s="6" t="n">
        <f aca="false">IFERROR(VALUE(LEFT(E378,FIND(" - ",E378)-1)),"")</f>
        <v>5</v>
      </c>
      <c r="L378" s="5" t="s">
        <v>1216</v>
      </c>
      <c r="N378" s="6" t="n">
        <f aca="false">IF(F378="","",1+COUNTIFS($J:$J,J378,$K:$K,K378,$F:$F,"&gt;"&amp;F378)+COUNTIFS($J:$J,J378,$K:$K,K378,$F:$F,F378,$G:$G,"&gt;"&amp;G378))</f>
        <v>13</v>
      </c>
      <c r="O378" s="6" t="n">
        <f aca="false">IF(L378="","",SUMIFS(Votes!$E:$E,Votes!$A:$A,J378,Votes!$B:$B,K378,Votes!$D:$D,L378))</f>
        <v>11</v>
      </c>
      <c r="P378" s="6" t="n">
        <f aca="false">IF(L378="","",COUNTIFS(Votes!$A:$A,J378,Votes!$B:$B,K378,Votes!$D:$D,L378))</f>
        <v>9</v>
      </c>
      <c r="Q378" s="7" t="str">
        <f aca="false">IF(F378="","Unscored",IF(O378="","No URI",IF(AND(F378=0,O378=0),"Zero-vote",IF(AND(F378=O378,G378=P378),"OK",IF(AND(F378=0,O378&gt;0,COUNTIFS(Votes!$A:$A,J378,Votes!$B:$B,K378,Votes!$C:$C,D378)=0),"Forfeited","Mismatch")))))</f>
        <v>Forfeited</v>
      </c>
      <c r="R378" s="6" t="n">
        <f aca="false">MAX(IF(L378&lt;&gt;"",COUNTIF($L:$L,L378),0),COUNTIFS($A:$A,A378,$B:$B,B378))</f>
        <v>1</v>
      </c>
      <c r="S378" s="6" t="str">
        <f aca="false">IF(R378&gt;1,COUNTIF($R$2:R378,"&gt;1"),"")</f>
        <v/>
      </c>
      <c r="T378" s="6" t="str">
        <f aca="false">IF(L378="","",J378&amp;"|"&amp;K378&amp;"|"&amp;L378)</f>
        <v>4|5|spotify:track:5HQ6AUDMbMuwktvcNPuV1y</v>
      </c>
      <c r="U378" s="6" t="str">
        <f aca="false">IF(C378="","",IFERROR(INDEX(Lists!$F:$F,MATCH(C378,Lists!$E:$E,0)),"Unmapped"))</f>
        <v>Rock</v>
      </c>
    </row>
    <row r="379" customFormat="false" ht="15" hidden="false" customHeight="false" outlineLevel="0" collapsed="false">
      <c r="A379" s="5" t="s">
        <v>1217</v>
      </c>
      <c r="B379" s="5" t="s">
        <v>1173</v>
      </c>
      <c r="C379" s="5" t="s">
        <v>91</v>
      </c>
      <c r="D379" s="5" t="s">
        <v>637</v>
      </c>
      <c r="E379" s="5" t="s">
        <v>1183</v>
      </c>
      <c r="F379" s="5" t="n">
        <v>0</v>
      </c>
      <c r="G379" s="5" t="n">
        <v>9</v>
      </c>
      <c r="H379" s="6" t="str">
        <f aca="false">IF(N379="","",N379&amp;IF(AND(MOD(N379,100)&gt;=11,MOD(N379,100)&lt;=13),"th",CHOOSE(MIN(5,MOD(N379,10)+1),"th","st","nd","rd","th")))</f>
        <v>13th</v>
      </c>
      <c r="I379" s="5" t="s">
        <v>1019</v>
      </c>
      <c r="J379" s="6" t="n">
        <f aca="false">IFERROR(INDEX(Rounds!$A:$A,MATCH(I379,Rounds!$B:$B,0)),"ADD LEAGUE TO ROUNDS")</f>
        <v>4</v>
      </c>
      <c r="K379" s="6" t="n">
        <f aca="false">IFERROR(VALUE(LEFT(E379,FIND(" - ",E379)-1)),"")</f>
        <v>5</v>
      </c>
      <c r="L379" s="5" t="s">
        <v>1218</v>
      </c>
      <c r="N379" s="6" t="n">
        <f aca="false">IF(F379="","",1+COUNTIFS($J:$J,J379,$K:$K,K379,$F:$F,"&gt;"&amp;F379)+COUNTIFS($J:$J,J379,$K:$K,K379,$F:$F,F379,$G:$G,"&gt;"&amp;G379))</f>
        <v>13</v>
      </c>
      <c r="O379" s="6" t="n">
        <f aca="false">IF(L379="","",SUMIFS(Votes!$E:$E,Votes!$A:$A,J379,Votes!$B:$B,K379,Votes!$D:$D,L379))</f>
        <v>12</v>
      </c>
      <c r="P379" s="6" t="n">
        <f aca="false">IF(L379="","",COUNTIFS(Votes!$A:$A,J379,Votes!$B:$B,K379,Votes!$D:$D,L379))</f>
        <v>9</v>
      </c>
      <c r="Q379" s="7" t="str">
        <f aca="false">IF(F379="","Unscored",IF(O379="","No URI",IF(AND(F379=0,O379=0),"Zero-vote",IF(AND(F379=O379,G379=P379),"OK",IF(AND(F379=0,O379&gt;0,COUNTIFS(Votes!$A:$A,J379,Votes!$B:$B,K379,Votes!$C:$C,D379)=0),"Forfeited","Mismatch")))))</f>
        <v>Forfeited</v>
      </c>
      <c r="R379" s="6" t="n">
        <f aca="false">MAX(IF(L379&lt;&gt;"",COUNTIF($L:$L,L379),0),COUNTIFS($A:$A,A379,$B:$B,B379))</f>
        <v>1</v>
      </c>
      <c r="S379" s="6" t="str">
        <f aca="false">IF(R379&gt;1,COUNTIF($R$2:R379,"&gt;1"),"")</f>
        <v/>
      </c>
      <c r="T379" s="6" t="str">
        <f aca="false">IF(L379="","",J379&amp;"|"&amp;K379&amp;"|"&amp;L379)</f>
        <v>4|5|spotify:track:17S4XrLvF5jlGvGCJHgF51</v>
      </c>
      <c r="U379" s="6" t="str">
        <f aca="false">IF(C379="","",IFERROR(INDEX(Lists!$F:$F,MATCH(C379,Lists!$E:$E,0)),"Unmapped"))</f>
        <v>Rock</v>
      </c>
    </row>
    <row r="380" customFormat="false" ht="15" hidden="false" customHeight="false" outlineLevel="0" collapsed="false">
      <c r="A380" s="5" t="s">
        <v>1219</v>
      </c>
      <c r="B380" s="5" t="s">
        <v>1220</v>
      </c>
      <c r="C380" s="5" t="s">
        <v>110</v>
      </c>
      <c r="D380" s="5" t="s">
        <v>382</v>
      </c>
      <c r="E380" s="5" t="s">
        <v>1221</v>
      </c>
      <c r="F380" s="5" t="n">
        <v>14</v>
      </c>
      <c r="G380" s="5" t="n">
        <v>11</v>
      </c>
      <c r="H380" s="6" t="str">
        <f aca="false">IF(N380="","",N380&amp;IF(AND(MOD(N380,100)&gt;=11,MOD(N380,100)&lt;=13),"th",CHOOSE(MIN(5,MOD(N380,10)+1),"th","st","nd","rd","th")))</f>
        <v>1st</v>
      </c>
      <c r="I380" s="5" t="s">
        <v>1019</v>
      </c>
      <c r="J380" s="6" t="n">
        <f aca="false">IFERROR(INDEX(Rounds!$A:$A,MATCH(I380,Rounds!$B:$B,0)),"ADD LEAGUE TO ROUNDS")</f>
        <v>4</v>
      </c>
      <c r="K380" s="6" t="n">
        <f aca="false">IFERROR(VALUE(LEFT(E380,FIND(" - ",E380)-1)),"")</f>
        <v>6</v>
      </c>
      <c r="L380" s="5" t="s">
        <v>1222</v>
      </c>
      <c r="N380" s="6" t="n">
        <f aca="false">IF(F380="","",1+COUNTIFS($J:$J,J380,$K:$K,K380,$F:$F,"&gt;"&amp;F380)+COUNTIFS($J:$J,J380,$K:$K,K380,$F:$F,F380,$G:$G,"&gt;"&amp;G380))</f>
        <v>1</v>
      </c>
      <c r="O380" s="6" t="n">
        <f aca="false">IF(L380="","",SUMIFS(Votes!$E:$E,Votes!$A:$A,J380,Votes!$B:$B,K380,Votes!$D:$D,L380))</f>
        <v>14</v>
      </c>
      <c r="P380" s="6" t="n">
        <f aca="false">IF(L380="","",COUNTIFS(Votes!$A:$A,J380,Votes!$B:$B,K380,Votes!$D:$D,L380))</f>
        <v>11</v>
      </c>
      <c r="Q380" s="7" t="str">
        <f aca="false">IF(F380="","Unscored",IF(O380="","No URI",IF(AND(F380=0,O380=0),"Zero-vote",IF(AND(F380=O380,G380=P380),"OK",IF(AND(F380=0,O380&gt;0,COUNTIFS(Votes!$A:$A,J380,Votes!$B:$B,K380,Votes!$C:$C,D380)=0),"Forfeited","Mismatch")))))</f>
        <v>OK</v>
      </c>
      <c r="R380" s="6" t="n">
        <f aca="false">MAX(IF(L380&lt;&gt;"",COUNTIF($L:$L,L380),0),COUNTIFS($A:$A,A380,$B:$B,B380))</f>
        <v>1</v>
      </c>
      <c r="S380" s="6" t="str">
        <f aca="false">IF(R380&gt;1,COUNTIF($R$2:R380,"&gt;1"),"")</f>
        <v/>
      </c>
      <c r="T380" s="6" t="str">
        <f aca="false">IF(L380="","",J380&amp;"|"&amp;K380&amp;"|"&amp;L380)</f>
        <v>4|6|spotify:track:2aIdVb8v9KTpEZnftkz2mD</v>
      </c>
      <c r="U380" s="6" t="str">
        <f aca="false">IF(C380="","",IFERROR(INDEX(Lists!$F:$F,MATCH(C380,Lists!$E:$E,0)),"Unmapped"))</f>
        <v>Hip-Hop/Rap</v>
      </c>
    </row>
    <row r="381" customFormat="false" ht="15" hidden="false" customHeight="false" outlineLevel="0" collapsed="false">
      <c r="A381" s="5" t="s">
        <v>1202</v>
      </c>
      <c r="B381" s="5" t="s">
        <v>1223</v>
      </c>
      <c r="C381" s="5" t="s">
        <v>363</v>
      </c>
      <c r="D381" s="5" t="s">
        <v>106</v>
      </c>
      <c r="E381" s="5" t="s">
        <v>1221</v>
      </c>
      <c r="F381" s="5" t="n">
        <v>14</v>
      </c>
      <c r="G381" s="5" t="n">
        <v>8</v>
      </c>
      <c r="H381" s="6" t="str">
        <f aca="false">IF(N381="","",N381&amp;IF(AND(MOD(N381,100)&gt;=11,MOD(N381,100)&lt;=13),"th",CHOOSE(MIN(5,MOD(N381,10)+1),"th","st","nd","rd","th")))</f>
        <v>2nd</v>
      </c>
      <c r="I381" s="5" t="s">
        <v>1019</v>
      </c>
      <c r="J381" s="6" t="n">
        <f aca="false">IFERROR(INDEX(Rounds!$A:$A,MATCH(I381,Rounds!$B:$B,0)),"ADD LEAGUE TO ROUNDS")</f>
        <v>4</v>
      </c>
      <c r="K381" s="6" t="n">
        <f aca="false">IFERROR(VALUE(LEFT(E381,FIND(" - ",E381)-1)),"")</f>
        <v>6</v>
      </c>
      <c r="L381" s="5" t="s">
        <v>1224</v>
      </c>
      <c r="N381" s="6" t="n">
        <f aca="false">IF(F381="","",1+COUNTIFS($J:$J,J381,$K:$K,K381,$F:$F,"&gt;"&amp;F381)+COUNTIFS($J:$J,J381,$K:$K,K381,$F:$F,F381,$G:$G,"&gt;"&amp;G381))</f>
        <v>2</v>
      </c>
      <c r="O381" s="6" t="n">
        <f aca="false">IF(L381="","",SUMIFS(Votes!$E:$E,Votes!$A:$A,J381,Votes!$B:$B,K381,Votes!$D:$D,L381))</f>
        <v>14</v>
      </c>
      <c r="P381" s="6" t="n">
        <f aca="false">IF(L381="","",COUNTIFS(Votes!$A:$A,J381,Votes!$B:$B,K381,Votes!$D:$D,L381))</f>
        <v>8</v>
      </c>
      <c r="Q381" s="7" t="str">
        <f aca="false">IF(F381="","Unscored",IF(O381="","No URI",IF(AND(F381=0,O381=0),"Zero-vote",IF(AND(F381=O381,G381=P381),"OK",IF(AND(F381=0,O381&gt;0,COUNTIFS(Votes!$A:$A,J381,Votes!$B:$B,K381,Votes!$C:$C,D381)=0),"Forfeited","Mismatch")))))</f>
        <v>OK</v>
      </c>
      <c r="R381" s="6" t="n">
        <f aca="false">MAX(IF(L381&lt;&gt;"",COUNTIF($L:$L,L381),0),COUNTIFS($A:$A,A381,$B:$B,B381))</f>
        <v>1</v>
      </c>
      <c r="S381" s="6" t="str">
        <f aca="false">IF(R381&gt;1,COUNTIF($R$2:R381,"&gt;1"),"")</f>
        <v/>
      </c>
      <c r="T381" s="6" t="str">
        <f aca="false">IF(L381="","",J381&amp;"|"&amp;K381&amp;"|"&amp;L381)</f>
        <v>4|6|spotify:track:24Gxm7Eh7tO83E26LG0CsY</v>
      </c>
      <c r="U381" s="6" t="str">
        <f aca="false">IF(C381="","",IFERROR(INDEX(Lists!$F:$F,MATCH(C381,Lists!$E:$E,0)),"Unmapped"))</f>
        <v>Latin</v>
      </c>
    </row>
    <row r="382" customFormat="false" ht="15" hidden="false" customHeight="false" outlineLevel="0" collapsed="false">
      <c r="A382" s="5" t="s">
        <v>1225</v>
      </c>
      <c r="B382" s="5" t="s">
        <v>1226</v>
      </c>
      <c r="C382" s="5" t="s">
        <v>91</v>
      </c>
      <c r="D382" s="5" t="s">
        <v>128</v>
      </c>
      <c r="E382" s="5" t="s">
        <v>1221</v>
      </c>
      <c r="F382" s="5" t="n">
        <v>13</v>
      </c>
      <c r="G382" s="5" t="n">
        <v>8</v>
      </c>
      <c r="H382" s="6" t="str">
        <f aca="false">IF(N382="","",N382&amp;IF(AND(MOD(N382,100)&gt;=11,MOD(N382,100)&lt;=13),"th",CHOOSE(MIN(5,MOD(N382,10)+1),"th","st","nd","rd","th")))</f>
        <v>3rd</v>
      </c>
      <c r="I382" s="5" t="s">
        <v>1019</v>
      </c>
      <c r="J382" s="6" t="n">
        <f aca="false">IFERROR(INDEX(Rounds!$A:$A,MATCH(I382,Rounds!$B:$B,0)),"ADD LEAGUE TO ROUNDS")</f>
        <v>4</v>
      </c>
      <c r="K382" s="6" t="n">
        <f aca="false">IFERROR(VALUE(LEFT(E382,FIND(" - ",E382)-1)),"")</f>
        <v>6</v>
      </c>
      <c r="L382" s="5" t="s">
        <v>1227</v>
      </c>
      <c r="N382" s="6" t="n">
        <f aca="false">IF(F382="","",1+COUNTIFS($J:$J,J382,$K:$K,K382,$F:$F,"&gt;"&amp;F382)+COUNTIFS($J:$J,J382,$K:$K,K382,$F:$F,F382,$G:$G,"&gt;"&amp;G382))</f>
        <v>3</v>
      </c>
      <c r="O382" s="6" t="n">
        <f aca="false">IF(L382="","",SUMIFS(Votes!$E:$E,Votes!$A:$A,J382,Votes!$B:$B,K382,Votes!$D:$D,L382))</f>
        <v>13</v>
      </c>
      <c r="P382" s="6" t="n">
        <f aca="false">IF(L382="","",COUNTIFS(Votes!$A:$A,J382,Votes!$B:$B,K382,Votes!$D:$D,L382))</f>
        <v>8</v>
      </c>
      <c r="Q382" s="7" t="str">
        <f aca="false">IF(F382="","Unscored",IF(O382="","No URI",IF(AND(F382=0,O382=0),"Zero-vote",IF(AND(F382=O382,G382=P382),"OK",IF(AND(F382=0,O382&gt;0,COUNTIFS(Votes!$A:$A,J382,Votes!$B:$B,K382,Votes!$C:$C,D382)=0),"Forfeited","Mismatch")))))</f>
        <v>OK</v>
      </c>
      <c r="R382" s="6" t="n">
        <f aca="false">MAX(IF(L382&lt;&gt;"",COUNTIF($L:$L,L382),0),COUNTIFS($A:$A,A382,$B:$B,B382))</f>
        <v>1</v>
      </c>
      <c r="S382" s="6" t="str">
        <f aca="false">IF(R382&gt;1,COUNTIF($R$2:R382,"&gt;1"),"")</f>
        <v/>
      </c>
      <c r="T382" s="6" t="str">
        <f aca="false">IF(L382="","",J382&amp;"|"&amp;K382&amp;"|"&amp;L382)</f>
        <v>4|6|spotify:track:2VSbEXqs6NbNiZSTcHlIDR</v>
      </c>
      <c r="U382" s="6" t="str">
        <f aca="false">IF(C382="","",IFERROR(INDEX(Lists!$F:$F,MATCH(C382,Lists!$E:$E,0)),"Unmapped"))</f>
        <v>Rock</v>
      </c>
    </row>
    <row r="383" customFormat="false" ht="15" hidden="false" customHeight="false" outlineLevel="0" collapsed="false">
      <c r="A383" s="5" t="s">
        <v>1228</v>
      </c>
      <c r="B383" s="5" t="s">
        <v>1229</v>
      </c>
      <c r="C383" s="5" t="s">
        <v>91</v>
      </c>
      <c r="D383" s="5" t="s">
        <v>395</v>
      </c>
      <c r="E383" s="5" t="s">
        <v>1221</v>
      </c>
      <c r="F383" s="5" t="n">
        <v>12</v>
      </c>
      <c r="G383" s="5" t="n">
        <v>8</v>
      </c>
      <c r="H383" s="6" t="str">
        <f aca="false">IF(N383="","",N383&amp;IF(AND(MOD(N383,100)&gt;=11,MOD(N383,100)&lt;=13),"th",CHOOSE(MIN(5,MOD(N383,10)+1),"th","st","nd","rd","th")))</f>
        <v>4th</v>
      </c>
      <c r="I383" s="5" t="s">
        <v>1019</v>
      </c>
      <c r="J383" s="6" t="n">
        <f aca="false">IFERROR(INDEX(Rounds!$A:$A,MATCH(I383,Rounds!$B:$B,0)),"ADD LEAGUE TO ROUNDS")</f>
        <v>4</v>
      </c>
      <c r="K383" s="6" t="n">
        <f aca="false">IFERROR(VALUE(LEFT(E383,FIND(" - ",E383)-1)),"")</f>
        <v>6</v>
      </c>
      <c r="L383" s="5" t="s">
        <v>1230</v>
      </c>
      <c r="N383" s="6" t="n">
        <f aca="false">IF(F383="","",1+COUNTIFS($J:$J,J383,$K:$K,K383,$F:$F,"&gt;"&amp;F383)+COUNTIFS($J:$J,J383,$K:$K,K383,$F:$F,F383,$G:$G,"&gt;"&amp;G383))</f>
        <v>4</v>
      </c>
      <c r="O383" s="6" t="n">
        <f aca="false">IF(L383="","",SUMIFS(Votes!$E:$E,Votes!$A:$A,J383,Votes!$B:$B,K383,Votes!$D:$D,L383))</f>
        <v>12</v>
      </c>
      <c r="P383" s="6" t="n">
        <f aca="false">IF(L383="","",COUNTIFS(Votes!$A:$A,J383,Votes!$B:$B,K383,Votes!$D:$D,L383))</f>
        <v>8</v>
      </c>
      <c r="Q383" s="7" t="str">
        <f aca="false">IF(F383="","Unscored",IF(O383="","No URI",IF(AND(F383=0,O383=0),"Zero-vote",IF(AND(F383=O383,G383=P383),"OK",IF(AND(F383=0,O383&gt;0,COUNTIFS(Votes!$A:$A,J383,Votes!$B:$B,K383,Votes!$C:$C,D383)=0),"Forfeited","Mismatch")))))</f>
        <v>OK</v>
      </c>
      <c r="R383" s="6" t="n">
        <f aca="false">MAX(IF(L383&lt;&gt;"",COUNTIF($L:$L,L383),0),COUNTIFS($A:$A,A383,$B:$B,B383))</f>
        <v>1</v>
      </c>
      <c r="S383" s="6" t="str">
        <f aca="false">IF(R383&gt;1,COUNTIF($R$2:R383,"&gt;1"),"")</f>
        <v/>
      </c>
      <c r="T383" s="6" t="str">
        <f aca="false">IF(L383="","",J383&amp;"|"&amp;K383&amp;"|"&amp;L383)</f>
        <v>4|6|spotify:track:1LkoYGxmYpO6QSEvY5C0Zl</v>
      </c>
      <c r="U383" s="6" t="str">
        <f aca="false">IF(C383="","",IFERROR(INDEX(Lists!$F:$F,MATCH(C383,Lists!$E:$E,0)),"Unmapped"))</f>
        <v>Rock</v>
      </c>
    </row>
    <row r="384" customFormat="false" ht="15" hidden="false" customHeight="false" outlineLevel="0" collapsed="false">
      <c r="A384" s="5" t="s">
        <v>1231</v>
      </c>
      <c r="B384" s="5" t="s">
        <v>1232</v>
      </c>
      <c r="C384" s="5" t="s">
        <v>91</v>
      </c>
      <c r="D384" s="5" t="s">
        <v>637</v>
      </c>
      <c r="E384" s="5" t="s">
        <v>1221</v>
      </c>
      <c r="F384" s="5" t="n">
        <v>11</v>
      </c>
      <c r="G384" s="5" t="n">
        <v>8</v>
      </c>
      <c r="H384" s="6" t="str">
        <f aca="false">IF(N384="","",N384&amp;IF(AND(MOD(N384,100)&gt;=11,MOD(N384,100)&lt;=13),"th",CHOOSE(MIN(5,MOD(N384,10)+1),"th","st","nd","rd","th")))</f>
        <v>5th</v>
      </c>
      <c r="I384" s="5" t="s">
        <v>1019</v>
      </c>
      <c r="J384" s="6" t="n">
        <f aca="false">IFERROR(INDEX(Rounds!$A:$A,MATCH(I384,Rounds!$B:$B,0)),"ADD LEAGUE TO ROUNDS")</f>
        <v>4</v>
      </c>
      <c r="K384" s="6" t="n">
        <f aca="false">IFERROR(VALUE(LEFT(E384,FIND(" - ",E384)-1)),"")</f>
        <v>6</v>
      </c>
      <c r="L384" s="5" t="s">
        <v>1233</v>
      </c>
      <c r="N384" s="6" t="n">
        <f aca="false">IF(F384="","",1+COUNTIFS($J:$J,J384,$K:$K,K384,$F:$F,"&gt;"&amp;F384)+COUNTIFS($J:$J,J384,$K:$K,K384,$F:$F,F384,$G:$G,"&gt;"&amp;G384))</f>
        <v>5</v>
      </c>
      <c r="O384" s="6" t="n">
        <f aca="false">IF(L384="","",SUMIFS(Votes!$E:$E,Votes!$A:$A,J384,Votes!$B:$B,K384,Votes!$D:$D,L384))</f>
        <v>11</v>
      </c>
      <c r="P384" s="6" t="n">
        <f aca="false">IF(L384="","",COUNTIFS(Votes!$A:$A,J384,Votes!$B:$B,K384,Votes!$D:$D,L384))</f>
        <v>8</v>
      </c>
      <c r="Q384" s="7" t="str">
        <f aca="false">IF(F384="","Unscored",IF(O384="","No URI",IF(AND(F384=0,O384=0),"Zero-vote",IF(AND(F384=O384,G384=P384),"OK",IF(AND(F384=0,O384&gt;0,COUNTIFS(Votes!$A:$A,J384,Votes!$B:$B,K384,Votes!$C:$C,D384)=0),"Forfeited","Mismatch")))))</f>
        <v>OK</v>
      </c>
      <c r="R384" s="6" t="n">
        <f aca="false">MAX(IF(L384&lt;&gt;"",COUNTIF($L:$L,L384),0),COUNTIFS($A:$A,A384,$B:$B,B384))</f>
        <v>1</v>
      </c>
      <c r="S384" s="6" t="str">
        <f aca="false">IF(R384&gt;1,COUNTIF($R$2:R384,"&gt;1"),"")</f>
        <v/>
      </c>
      <c r="T384" s="6" t="str">
        <f aca="false">IF(L384="","",J384&amp;"|"&amp;K384&amp;"|"&amp;L384)</f>
        <v>4|6|spotify:track:0gmbgwZ8iqyMPmXefof8Yf</v>
      </c>
      <c r="U384" s="6" t="str">
        <f aca="false">IF(C384="","",IFERROR(INDEX(Lists!$F:$F,MATCH(C384,Lists!$E:$E,0)),"Unmapped"))</f>
        <v>Rock</v>
      </c>
    </row>
    <row r="385" customFormat="false" ht="15" hidden="false" customHeight="false" outlineLevel="0" collapsed="false">
      <c r="A385" s="5" t="s">
        <v>1234</v>
      </c>
      <c r="B385" s="5" t="s">
        <v>1235</v>
      </c>
      <c r="C385" s="5" t="s">
        <v>491</v>
      </c>
      <c r="D385" s="5" t="s">
        <v>85</v>
      </c>
      <c r="E385" s="5" t="s">
        <v>1221</v>
      </c>
      <c r="F385" s="5" t="n">
        <v>11</v>
      </c>
      <c r="G385" s="5" t="n">
        <v>8</v>
      </c>
      <c r="H385" s="6" t="str">
        <f aca="false">IF(N385="","",N385&amp;IF(AND(MOD(N385,100)&gt;=11,MOD(N385,100)&lt;=13),"th",CHOOSE(MIN(5,MOD(N385,10)+1),"th","st","nd","rd","th")))</f>
        <v>5th</v>
      </c>
      <c r="I385" s="5" t="s">
        <v>1019</v>
      </c>
      <c r="J385" s="6" t="n">
        <f aca="false">IFERROR(INDEX(Rounds!$A:$A,MATCH(I385,Rounds!$B:$B,0)),"ADD LEAGUE TO ROUNDS")</f>
        <v>4</v>
      </c>
      <c r="K385" s="6" t="n">
        <f aca="false">IFERROR(VALUE(LEFT(E385,FIND(" - ",E385)-1)),"")</f>
        <v>6</v>
      </c>
      <c r="L385" s="5" t="s">
        <v>1236</v>
      </c>
      <c r="N385" s="6" t="n">
        <f aca="false">IF(F385="","",1+COUNTIFS($J:$J,J385,$K:$K,K385,$F:$F,"&gt;"&amp;F385)+COUNTIFS($J:$J,J385,$K:$K,K385,$F:$F,F385,$G:$G,"&gt;"&amp;G385))</f>
        <v>5</v>
      </c>
      <c r="O385" s="6" t="n">
        <f aca="false">IF(L385="","",SUMIFS(Votes!$E:$E,Votes!$A:$A,J385,Votes!$B:$B,K385,Votes!$D:$D,L385))</f>
        <v>11</v>
      </c>
      <c r="P385" s="6" t="n">
        <f aca="false">IF(L385="","",COUNTIFS(Votes!$A:$A,J385,Votes!$B:$B,K385,Votes!$D:$D,L385))</f>
        <v>8</v>
      </c>
      <c r="Q385" s="7" t="str">
        <f aca="false">IF(F385="","Unscored",IF(O385="","No URI",IF(AND(F385=0,O385=0),"Zero-vote",IF(AND(F385=O385,G385=P385),"OK",IF(AND(F385=0,O385&gt;0,COUNTIFS(Votes!$A:$A,J385,Votes!$B:$B,K385,Votes!$C:$C,D385)=0),"Forfeited","Mismatch")))))</f>
        <v>OK</v>
      </c>
      <c r="R385" s="6" t="n">
        <f aca="false">MAX(IF(L385&lt;&gt;"",COUNTIF($L:$L,L385),0),COUNTIFS($A:$A,A385,$B:$B,B385))</f>
        <v>1</v>
      </c>
      <c r="S385" s="6" t="str">
        <f aca="false">IF(R385&gt;1,COUNTIF($R$2:R385,"&gt;1"),"")</f>
        <v/>
      </c>
      <c r="T385" s="6" t="str">
        <f aca="false">IF(L385="","",J385&amp;"|"&amp;K385&amp;"|"&amp;L385)</f>
        <v>4|6|spotify:track:3WkibOpDF7cQ5xntM1epyf</v>
      </c>
      <c r="U385" s="6" t="str">
        <f aca="false">IF(C385="","",IFERROR(INDEX(Lists!$F:$F,MATCH(C385,Lists!$E:$E,0)),"Unmapped"))</f>
        <v>Reggae</v>
      </c>
    </row>
    <row r="386" customFormat="false" ht="15" hidden="false" customHeight="false" outlineLevel="0" collapsed="false">
      <c r="A386" s="5" t="s">
        <v>1237</v>
      </c>
      <c r="B386" s="5" t="s">
        <v>1238</v>
      </c>
      <c r="C386" s="5" t="s">
        <v>132</v>
      </c>
      <c r="D386" s="5" t="s">
        <v>101</v>
      </c>
      <c r="E386" s="5" t="s">
        <v>1221</v>
      </c>
      <c r="F386" s="5" t="n">
        <v>10</v>
      </c>
      <c r="G386" s="5" t="n">
        <v>8</v>
      </c>
      <c r="H386" s="6" t="str">
        <f aca="false">IF(N386="","",N386&amp;IF(AND(MOD(N386,100)&gt;=11,MOD(N386,100)&lt;=13),"th",CHOOSE(MIN(5,MOD(N386,10)+1),"th","st","nd","rd","th")))</f>
        <v>7th</v>
      </c>
      <c r="I386" s="5" t="s">
        <v>1019</v>
      </c>
      <c r="J386" s="6" t="n">
        <f aca="false">IFERROR(INDEX(Rounds!$A:$A,MATCH(I386,Rounds!$B:$B,0)),"ADD LEAGUE TO ROUNDS")</f>
        <v>4</v>
      </c>
      <c r="K386" s="6" t="n">
        <f aca="false">IFERROR(VALUE(LEFT(E386,FIND(" - ",E386)-1)),"")</f>
        <v>6</v>
      </c>
      <c r="L386" s="5" t="s">
        <v>1239</v>
      </c>
      <c r="N386" s="6" t="n">
        <f aca="false">IF(F386="","",1+COUNTIFS($J:$J,J386,$K:$K,K386,$F:$F,"&gt;"&amp;F386)+COUNTIFS($J:$J,J386,$K:$K,K386,$F:$F,F386,$G:$G,"&gt;"&amp;G386))</f>
        <v>7</v>
      </c>
      <c r="O386" s="6" t="n">
        <f aca="false">IF(L386="","",SUMIFS(Votes!$E:$E,Votes!$A:$A,J386,Votes!$B:$B,K386,Votes!$D:$D,L386))</f>
        <v>10</v>
      </c>
      <c r="P386" s="6" t="n">
        <f aca="false">IF(L386="","",COUNTIFS(Votes!$A:$A,J386,Votes!$B:$B,K386,Votes!$D:$D,L386))</f>
        <v>8</v>
      </c>
      <c r="Q386" s="7" t="str">
        <f aca="false">IF(F386="","Unscored",IF(O386="","No URI",IF(AND(F386=0,O386=0),"Zero-vote",IF(AND(F386=O386,G386=P386),"OK",IF(AND(F386=0,O386&gt;0,COUNTIFS(Votes!$A:$A,J386,Votes!$B:$B,K386,Votes!$C:$C,D386)=0),"Forfeited","Mismatch")))))</f>
        <v>OK</v>
      </c>
      <c r="R386" s="6" t="n">
        <f aca="false">MAX(IF(L386&lt;&gt;"",COUNTIF($L:$L,L386),0),COUNTIFS($A:$A,A386,$B:$B,B386))</f>
        <v>1</v>
      </c>
      <c r="S386" s="6" t="str">
        <f aca="false">IF(R386&gt;1,COUNTIF($R$2:R386,"&gt;1"),"")</f>
        <v/>
      </c>
      <c r="T386" s="6" t="str">
        <f aca="false">IF(L386="","",J386&amp;"|"&amp;K386&amp;"|"&amp;L386)</f>
        <v>4|6|spotify:track:6mH3qVIeOsnQIAho5eWwhH</v>
      </c>
      <c r="U386" s="6" t="str">
        <f aca="false">IF(C386="","",IFERROR(INDEX(Lists!$F:$F,MATCH(C386,Lists!$E:$E,0)),"Unmapped"))</f>
        <v>Soundtrack/Musical</v>
      </c>
    </row>
    <row r="387" customFormat="false" ht="15" hidden="false" customHeight="false" outlineLevel="0" collapsed="false">
      <c r="A387" s="5" t="s">
        <v>1240</v>
      </c>
      <c r="B387" s="5" t="s">
        <v>1241</v>
      </c>
      <c r="C387" s="5" t="s">
        <v>84</v>
      </c>
      <c r="D387" s="5" t="s">
        <v>92</v>
      </c>
      <c r="E387" s="5" t="s">
        <v>1221</v>
      </c>
      <c r="F387" s="5" t="n">
        <v>10</v>
      </c>
      <c r="G387" s="5" t="n">
        <v>7</v>
      </c>
      <c r="H387" s="6" t="str">
        <f aca="false">IF(N387="","",N387&amp;IF(AND(MOD(N387,100)&gt;=11,MOD(N387,100)&lt;=13),"th",CHOOSE(MIN(5,MOD(N387,10)+1),"th","st","nd","rd","th")))</f>
        <v>8th</v>
      </c>
      <c r="I387" s="5" t="s">
        <v>1019</v>
      </c>
      <c r="J387" s="6" t="n">
        <f aca="false">IFERROR(INDEX(Rounds!$A:$A,MATCH(I387,Rounds!$B:$B,0)),"ADD LEAGUE TO ROUNDS")</f>
        <v>4</v>
      </c>
      <c r="K387" s="6" t="n">
        <f aca="false">IFERROR(VALUE(LEFT(E387,FIND(" - ",E387)-1)),"")</f>
        <v>6</v>
      </c>
      <c r="L387" s="5" t="s">
        <v>1242</v>
      </c>
      <c r="N387" s="6" t="n">
        <f aca="false">IF(F387="","",1+COUNTIFS($J:$J,J387,$K:$K,K387,$F:$F,"&gt;"&amp;F387)+COUNTIFS($J:$J,J387,$K:$K,K387,$F:$F,F387,$G:$G,"&gt;"&amp;G387))</f>
        <v>8</v>
      </c>
      <c r="O387" s="6" t="n">
        <f aca="false">IF(L387="","",SUMIFS(Votes!$E:$E,Votes!$A:$A,J387,Votes!$B:$B,K387,Votes!$D:$D,L387))</f>
        <v>10</v>
      </c>
      <c r="P387" s="6" t="n">
        <f aca="false">IF(L387="","",COUNTIFS(Votes!$A:$A,J387,Votes!$B:$B,K387,Votes!$D:$D,L387))</f>
        <v>7</v>
      </c>
      <c r="Q387" s="7" t="str">
        <f aca="false">IF(F387="","Unscored",IF(O387="","No URI",IF(AND(F387=0,O387=0),"Zero-vote",IF(AND(F387=O387,G387=P387),"OK",IF(AND(F387=0,O387&gt;0,COUNTIFS(Votes!$A:$A,J387,Votes!$B:$B,K387,Votes!$C:$C,D387)=0),"Forfeited","Mismatch")))))</f>
        <v>OK</v>
      </c>
      <c r="R387" s="6" t="n">
        <f aca="false">MAX(IF(L387&lt;&gt;"",COUNTIF($L:$L,L387),0),COUNTIFS($A:$A,A387,$B:$B,B387))</f>
        <v>1</v>
      </c>
      <c r="S387" s="6" t="str">
        <f aca="false">IF(R387&gt;1,COUNTIF($R$2:R387,"&gt;1"),"")</f>
        <v/>
      </c>
      <c r="T387" s="6" t="str">
        <f aca="false">IF(L387="","",J387&amp;"|"&amp;K387&amp;"|"&amp;L387)</f>
        <v>4|6|spotify:track:5GYbkDveRD2I8M5ZJ14hWn</v>
      </c>
      <c r="U387" s="6" t="str">
        <f aca="false">IF(C387="","",IFERROR(INDEX(Lists!$F:$F,MATCH(C387,Lists!$E:$E,0)),"Unmapped"))</f>
        <v>Pop</v>
      </c>
    </row>
    <row r="388" customFormat="false" ht="15" hidden="false" customHeight="false" outlineLevel="0" collapsed="false">
      <c r="A388" s="5" t="s">
        <v>1243</v>
      </c>
      <c r="B388" s="5" t="s">
        <v>1244</v>
      </c>
      <c r="C388" s="5" t="s">
        <v>84</v>
      </c>
      <c r="D388" s="5" t="s">
        <v>97</v>
      </c>
      <c r="E388" s="5" t="s">
        <v>1221</v>
      </c>
      <c r="F388" s="5" t="n">
        <v>10</v>
      </c>
      <c r="G388" s="5" t="n">
        <v>7</v>
      </c>
      <c r="H388" s="6" t="str">
        <f aca="false">IF(N388="","",N388&amp;IF(AND(MOD(N388,100)&gt;=11,MOD(N388,100)&lt;=13),"th",CHOOSE(MIN(5,MOD(N388,10)+1),"th","st","nd","rd","th")))</f>
        <v>8th</v>
      </c>
      <c r="I388" s="5" t="s">
        <v>1019</v>
      </c>
      <c r="J388" s="6" t="n">
        <f aca="false">IFERROR(INDEX(Rounds!$A:$A,MATCH(I388,Rounds!$B:$B,0)),"ADD LEAGUE TO ROUNDS")</f>
        <v>4</v>
      </c>
      <c r="K388" s="6" t="n">
        <f aca="false">IFERROR(VALUE(LEFT(E388,FIND(" - ",E388)-1)),"")</f>
        <v>6</v>
      </c>
      <c r="L388" s="5" t="s">
        <v>1245</v>
      </c>
      <c r="N388" s="6" t="n">
        <f aca="false">IF(F388="","",1+COUNTIFS($J:$J,J388,$K:$K,K388,$F:$F,"&gt;"&amp;F388)+COUNTIFS($J:$J,J388,$K:$K,K388,$F:$F,F388,$G:$G,"&gt;"&amp;G388))</f>
        <v>8</v>
      </c>
      <c r="O388" s="6" t="n">
        <f aca="false">IF(L388="","",SUMIFS(Votes!$E:$E,Votes!$A:$A,J388,Votes!$B:$B,K388,Votes!$D:$D,L388))</f>
        <v>10</v>
      </c>
      <c r="P388" s="6" t="n">
        <f aca="false">IF(L388="","",COUNTIFS(Votes!$A:$A,J388,Votes!$B:$B,K388,Votes!$D:$D,L388))</f>
        <v>7</v>
      </c>
      <c r="Q388" s="7" t="str">
        <f aca="false">IF(F388="","Unscored",IF(O388="","No URI",IF(AND(F388=0,O388=0),"Zero-vote",IF(AND(F388=O388,G388=P388),"OK",IF(AND(F388=0,O388&gt;0,COUNTIFS(Votes!$A:$A,J388,Votes!$B:$B,K388,Votes!$C:$C,D388)=0),"Forfeited","Mismatch")))))</f>
        <v>OK</v>
      </c>
      <c r="R388" s="6" t="n">
        <f aca="false">MAX(IF(L388&lt;&gt;"",COUNTIF($L:$L,L388),0),COUNTIFS($A:$A,A388,$B:$B,B388))</f>
        <v>1</v>
      </c>
      <c r="S388" s="6" t="str">
        <f aca="false">IF(R388&gt;1,COUNTIF($R$2:R388,"&gt;1"),"")</f>
        <v/>
      </c>
      <c r="T388" s="6" t="str">
        <f aca="false">IF(L388="","",J388&amp;"|"&amp;K388&amp;"|"&amp;L388)</f>
        <v>4|6|spotify:track:71V89tJj9CboDyzncO6ZN2</v>
      </c>
      <c r="U388" s="6" t="str">
        <f aca="false">IF(C388="","",IFERROR(INDEX(Lists!$F:$F,MATCH(C388,Lists!$E:$E,0)),"Unmapped"))</f>
        <v>Pop</v>
      </c>
    </row>
    <row r="389" customFormat="false" ht="15" hidden="false" customHeight="false" outlineLevel="0" collapsed="false">
      <c r="A389" s="5" t="s">
        <v>1246</v>
      </c>
      <c r="B389" s="5" t="s">
        <v>1247</v>
      </c>
      <c r="C389" s="5" t="s">
        <v>91</v>
      </c>
      <c r="D389" s="5" t="s">
        <v>116</v>
      </c>
      <c r="E389" s="5" t="s">
        <v>1221</v>
      </c>
      <c r="F389" s="5" t="n">
        <v>9</v>
      </c>
      <c r="G389" s="5" t="n">
        <v>5</v>
      </c>
      <c r="H389" s="6" t="str">
        <f aca="false">IF(N389="","",N389&amp;IF(AND(MOD(N389,100)&gt;=11,MOD(N389,100)&lt;=13),"th",CHOOSE(MIN(5,MOD(N389,10)+1),"th","st","nd","rd","th")))</f>
        <v>10th</v>
      </c>
      <c r="I389" s="5" t="s">
        <v>1019</v>
      </c>
      <c r="J389" s="6" t="n">
        <f aca="false">IFERROR(INDEX(Rounds!$A:$A,MATCH(I389,Rounds!$B:$B,0)),"ADD LEAGUE TO ROUNDS")</f>
        <v>4</v>
      </c>
      <c r="K389" s="6" t="n">
        <f aca="false">IFERROR(VALUE(LEFT(E389,FIND(" - ",E389)-1)),"")</f>
        <v>6</v>
      </c>
      <c r="L389" s="5" t="s">
        <v>1248</v>
      </c>
      <c r="N389" s="6" t="n">
        <f aca="false">IF(F389="","",1+COUNTIFS($J:$J,J389,$K:$K,K389,$F:$F,"&gt;"&amp;F389)+COUNTIFS($J:$J,J389,$K:$K,K389,$F:$F,F389,$G:$G,"&gt;"&amp;G389))</f>
        <v>10</v>
      </c>
      <c r="O389" s="6" t="n">
        <f aca="false">IF(L389="","",SUMIFS(Votes!$E:$E,Votes!$A:$A,J389,Votes!$B:$B,K389,Votes!$D:$D,L389))</f>
        <v>9</v>
      </c>
      <c r="P389" s="6" t="n">
        <f aca="false">IF(L389="","",COUNTIFS(Votes!$A:$A,J389,Votes!$B:$B,K389,Votes!$D:$D,L389))</f>
        <v>5</v>
      </c>
      <c r="Q389" s="7" t="str">
        <f aca="false">IF(F389="","Unscored",IF(O389="","No URI",IF(AND(F389=0,O389=0),"Zero-vote",IF(AND(F389=O389,G389=P389),"OK",IF(AND(F389=0,O389&gt;0,COUNTIFS(Votes!$A:$A,J389,Votes!$B:$B,K389,Votes!$C:$C,D389)=0),"Forfeited","Mismatch")))))</f>
        <v>OK</v>
      </c>
      <c r="R389" s="6" t="n">
        <f aca="false">MAX(IF(L389&lt;&gt;"",COUNTIF($L:$L,L389),0),COUNTIFS($A:$A,A389,$B:$B,B389))</f>
        <v>1</v>
      </c>
      <c r="S389" s="6" t="str">
        <f aca="false">IF(R389&gt;1,COUNTIF($R$2:R389,"&gt;1"),"")</f>
        <v/>
      </c>
      <c r="T389" s="6" t="str">
        <f aca="false">IF(L389="","",J389&amp;"|"&amp;K389&amp;"|"&amp;L389)</f>
        <v>4|6|spotify:track:5EYdTPdJD74r9EVZBztqGG</v>
      </c>
      <c r="U389" s="6" t="str">
        <f aca="false">IF(C389="","",IFERROR(INDEX(Lists!$F:$F,MATCH(C389,Lists!$E:$E,0)),"Unmapped"))</f>
        <v>Rock</v>
      </c>
    </row>
    <row r="390" customFormat="false" ht="15" hidden="false" customHeight="false" outlineLevel="0" collapsed="false">
      <c r="A390" s="5" t="s">
        <v>1249</v>
      </c>
      <c r="B390" s="5" t="s">
        <v>1250</v>
      </c>
      <c r="C390" s="5" t="s">
        <v>84</v>
      </c>
      <c r="D390" s="5" t="s">
        <v>119</v>
      </c>
      <c r="E390" s="5" t="s">
        <v>1221</v>
      </c>
      <c r="F390" s="5" t="n">
        <v>7</v>
      </c>
      <c r="G390" s="5" t="n">
        <v>5</v>
      </c>
      <c r="H390" s="6" t="str">
        <f aca="false">IF(N390="","",N390&amp;IF(AND(MOD(N390,100)&gt;=11,MOD(N390,100)&lt;=13),"th",CHOOSE(MIN(5,MOD(N390,10)+1),"th","st","nd","rd","th")))</f>
        <v>11th</v>
      </c>
      <c r="I390" s="5" t="s">
        <v>1019</v>
      </c>
      <c r="J390" s="6" t="n">
        <f aca="false">IFERROR(INDEX(Rounds!$A:$A,MATCH(I390,Rounds!$B:$B,0)),"ADD LEAGUE TO ROUNDS")</f>
        <v>4</v>
      </c>
      <c r="K390" s="6" t="n">
        <f aca="false">IFERROR(VALUE(LEFT(E390,FIND(" - ",E390)-1)),"")</f>
        <v>6</v>
      </c>
      <c r="L390" s="5" t="s">
        <v>1251</v>
      </c>
      <c r="N390" s="6" t="n">
        <f aca="false">IF(F390="","",1+COUNTIFS($J:$J,J390,$K:$K,K390,$F:$F,"&gt;"&amp;F390)+COUNTIFS($J:$J,J390,$K:$K,K390,$F:$F,F390,$G:$G,"&gt;"&amp;G390))</f>
        <v>11</v>
      </c>
      <c r="O390" s="6" t="n">
        <f aca="false">IF(L390="","",SUMIFS(Votes!$E:$E,Votes!$A:$A,J390,Votes!$B:$B,K390,Votes!$D:$D,L390))</f>
        <v>7</v>
      </c>
      <c r="P390" s="6" t="n">
        <f aca="false">IF(L390="","",COUNTIFS(Votes!$A:$A,J390,Votes!$B:$B,K390,Votes!$D:$D,L390))</f>
        <v>5</v>
      </c>
      <c r="Q390" s="7" t="str">
        <f aca="false">IF(F390="","Unscored",IF(O390="","No URI",IF(AND(F390=0,O390=0),"Zero-vote",IF(AND(F390=O390,G390=P390),"OK",IF(AND(F390=0,O390&gt;0,COUNTIFS(Votes!$A:$A,J390,Votes!$B:$B,K390,Votes!$C:$C,D390)=0),"Forfeited","Mismatch")))))</f>
        <v>OK</v>
      </c>
      <c r="R390" s="6" t="n">
        <f aca="false">MAX(IF(L390&lt;&gt;"",COUNTIF($L:$L,L390),0),COUNTIFS($A:$A,A390,$B:$B,B390))</f>
        <v>1</v>
      </c>
      <c r="S390" s="6" t="str">
        <f aca="false">IF(R390&gt;1,COUNTIF($R$2:R390,"&gt;1"),"")</f>
        <v/>
      </c>
      <c r="T390" s="6" t="str">
        <f aca="false">IF(L390="","",J390&amp;"|"&amp;K390&amp;"|"&amp;L390)</f>
        <v>4|6|spotify:track:7u7IqryLFAygWFz6bsEB7y</v>
      </c>
      <c r="U390" s="6" t="str">
        <f aca="false">IF(C390="","",IFERROR(INDEX(Lists!$F:$F,MATCH(C390,Lists!$E:$E,0)),"Unmapped"))</f>
        <v>Pop</v>
      </c>
    </row>
    <row r="391" customFormat="false" ht="15" hidden="false" customHeight="false" outlineLevel="0" collapsed="false">
      <c r="A391" s="5" t="s">
        <v>1252</v>
      </c>
      <c r="B391" s="5" t="s">
        <v>1253</v>
      </c>
      <c r="C391" s="5" t="s">
        <v>110</v>
      </c>
      <c r="D391" s="5" t="s">
        <v>719</v>
      </c>
      <c r="E391" s="5" t="s">
        <v>1221</v>
      </c>
      <c r="F391" s="5" t="n">
        <v>6</v>
      </c>
      <c r="G391" s="5" t="n">
        <v>4</v>
      </c>
      <c r="H391" s="6" t="str">
        <f aca="false">IF(N391="","",N391&amp;IF(AND(MOD(N391,100)&gt;=11,MOD(N391,100)&lt;=13),"th",CHOOSE(MIN(5,MOD(N391,10)+1),"th","st","nd","rd","th")))</f>
        <v>12th</v>
      </c>
      <c r="I391" s="5" t="s">
        <v>1019</v>
      </c>
      <c r="J391" s="6" t="n">
        <f aca="false">IFERROR(INDEX(Rounds!$A:$A,MATCH(I391,Rounds!$B:$B,0)),"ADD LEAGUE TO ROUNDS")</f>
        <v>4</v>
      </c>
      <c r="K391" s="6" t="n">
        <f aca="false">IFERROR(VALUE(LEFT(E391,FIND(" - ",E391)-1)),"")</f>
        <v>6</v>
      </c>
      <c r="L391" s="5" t="s">
        <v>1254</v>
      </c>
      <c r="N391" s="6" t="n">
        <f aca="false">IF(F391="","",1+COUNTIFS($J:$J,J391,$K:$K,K391,$F:$F,"&gt;"&amp;F391)+COUNTIFS($J:$J,J391,$K:$K,K391,$F:$F,F391,$G:$G,"&gt;"&amp;G391))</f>
        <v>12</v>
      </c>
      <c r="O391" s="6" t="n">
        <f aca="false">IF(L391="","",SUMIFS(Votes!$E:$E,Votes!$A:$A,J391,Votes!$B:$B,K391,Votes!$D:$D,L391))</f>
        <v>6</v>
      </c>
      <c r="P391" s="6" t="n">
        <f aca="false">IF(L391="","",COUNTIFS(Votes!$A:$A,J391,Votes!$B:$B,K391,Votes!$D:$D,L391))</f>
        <v>4</v>
      </c>
      <c r="Q391" s="7" t="str">
        <f aca="false">IF(F391="","Unscored",IF(O391="","No URI",IF(AND(F391=0,O391=0),"Zero-vote",IF(AND(F391=O391,G391=P391),"OK",IF(AND(F391=0,O391&gt;0,COUNTIFS(Votes!$A:$A,J391,Votes!$B:$B,K391,Votes!$C:$C,D391)=0),"Forfeited","Mismatch")))))</f>
        <v>OK</v>
      </c>
      <c r="R391" s="6" t="n">
        <f aca="false">MAX(IF(L391&lt;&gt;"",COUNTIF($L:$L,L391),0),COUNTIFS($A:$A,A391,$B:$B,B391))</f>
        <v>1</v>
      </c>
      <c r="S391" s="6" t="str">
        <f aca="false">IF(R391&gt;1,COUNTIF($R$2:R391,"&gt;1"),"")</f>
        <v/>
      </c>
      <c r="T391" s="6" t="str">
        <f aca="false">IF(L391="","",J391&amp;"|"&amp;K391&amp;"|"&amp;L391)</f>
        <v>4|6|spotify:track:5hWdgGVcfTeLPAiHM6EZG9</v>
      </c>
      <c r="U391" s="6" t="str">
        <f aca="false">IF(C391="","",IFERROR(INDEX(Lists!$F:$F,MATCH(C391,Lists!$E:$E,0)),"Unmapped"))</f>
        <v>Hip-Hop/Rap</v>
      </c>
    </row>
    <row r="392" customFormat="false" ht="15" hidden="false" customHeight="false" outlineLevel="0" collapsed="false">
      <c r="A392" s="5" t="s">
        <v>1255</v>
      </c>
      <c r="B392" s="5" t="s">
        <v>1256</v>
      </c>
      <c r="C392" s="5" t="s">
        <v>91</v>
      </c>
      <c r="D392" s="5" t="s">
        <v>705</v>
      </c>
      <c r="E392" s="5" t="s">
        <v>1221</v>
      </c>
      <c r="F392" s="5" t="n">
        <v>3</v>
      </c>
      <c r="G392" s="5" t="n">
        <v>3</v>
      </c>
      <c r="H392" s="6" t="str">
        <f aca="false">IF(N392="","",N392&amp;IF(AND(MOD(N392,100)&gt;=11,MOD(N392,100)&lt;=13),"th",CHOOSE(MIN(5,MOD(N392,10)+1),"th","st","nd","rd","th")))</f>
        <v>13th</v>
      </c>
      <c r="I392" s="5" t="s">
        <v>1019</v>
      </c>
      <c r="J392" s="6" t="n">
        <f aca="false">IFERROR(INDEX(Rounds!$A:$A,MATCH(I392,Rounds!$B:$B,0)),"ADD LEAGUE TO ROUNDS")</f>
        <v>4</v>
      </c>
      <c r="K392" s="6" t="n">
        <f aca="false">IFERROR(VALUE(LEFT(E392,FIND(" - ",E392)-1)),"")</f>
        <v>6</v>
      </c>
      <c r="L392" s="5" t="s">
        <v>1257</v>
      </c>
      <c r="N392" s="6" t="n">
        <f aca="false">IF(F392="","",1+COUNTIFS($J:$J,J392,$K:$K,K392,$F:$F,"&gt;"&amp;F392)+COUNTIFS($J:$J,J392,$K:$K,K392,$F:$F,F392,$G:$G,"&gt;"&amp;G392))</f>
        <v>13</v>
      </c>
      <c r="O392" s="6" t="n">
        <f aca="false">IF(L392="","",SUMIFS(Votes!$E:$E,Votes!$A:$A,J392,Votes!$B:$B,K392,Votes!$D:$D,L392))</f>
        <v>3</v>
      </c>
      <c r="P392" s="6" t="n">
        <f aca="false">IF(L392="","",COUNTIFS(Votes!$A:$A,J392,Votes!$B:$B,K392,Votes!$D:$D,L392))</f>
        <v>3</v>
      </c>
      <c r="Q392" s="7" t="str">
        <f aca="false">IF(F392="","Unscored",IF(O392="","No URI",IF(AND(F392=0,O392=0),"Zero-vote",IF(AND(F392=O392,G392=P392),"OK",IF(AND(F392=0,O392&gt;0,COUNTIFS(Votes!$A:$A,J392,Votes!$B:$B,K392,Votes!$C:$C,D392)=0),"Forfeited","Mismatch")))))</f>
        <v>OK</v>
      </c>
      <c r="R392" s="6" t="n">
        <f aca="false">MAX(IF(L392&lt;&gt;"",COUNTIF($L:$L,L392),0),COUNTIFS($A:$A,A392,$B:$B,B392))</f>
        <v>1</v>
      </c>
      <c r="S392" s="6" t="str">
        <f aca="false">IF(R392&gt;1,COUNTIF($R$2:R392,"&gt;1"),"")</f>
        <v/>
      </c>
      <c r="T392" s="6" t="str">
        <f aca="false">IF(L392="","",J392&amp;"|"&amp;K392&amp;"|"&amp;L392)</f>
        <v>4|6|spotify:track:5tORtBzHUAnNrIw5Ql3kHZ</v>
      </c>
      <c r="U392" s="6" t="str">
        <f aca="false">IF(C392="","",IFERROR(INDEX(Lists!$F:$F,MATCH(C392,Lists!$E:$E,0)),"Unmapped"))</f>
        <v>Rock</v>
      </c>
    </row>
    <row r="393" customFormat="false" ht="15" hidden="false" customHeight="false" outlineLevel="0" collapsed="false">
      <c r="A393" s="5" t="s">
        <v>1258</v>
      </c>
      <c r="B393" s="5" t="s">
        <v>1259</v>
      </c>
      <c r="C393" s="5" t="s">
        <v>1260</v>
      </c>
      <c r="D393" s="5" t="s">
        <v>119</v>
      </c>
      <c r="E393" s="5" t="s">
        <v>1261</v>
      </c>
      <c r="F393" s="5" t="n">
        <v>17</v>
      </c>
      <c r="G393" s="5" t="n">
        <v>11</v>
      </c>
      <c r="H393" s="6" t="str">
        <f aca="false">IF(N393="","",N393&amp;IF(AND(MOD(N393,100)&gt;=11,MOD(N393,100)&lt;=13),"th",CHOOSE(MIN(5,MOD(N393,10)+1),"th","st","nd","rd","th")))</f>
        <v>1st</v>
      </c>
      <c r="I393" s="5" t="s">
        <v>1019</v>
      </c>
      <c r="J393" s="6" t="n">
        <f aca="false">IFERROR(INDEX(Rounds!$A:$A,MATCH(I393,Rounds!$B:$B,0)),"ADD LEAGUE TO ROUNDS")</f>
        <v>4</v>
      </c>
      <c r="K393" s="6" t="n">
        <f aca="false">IFERROR(VALUE(LEFT(E393,FIND(" - ",E393)-1)),"")</f>
        <v>7</v>
      </c>
      <c r="L393" s="5" t="s">
        <v>1262</v>
      </c>
      <c r="N393" s="6" t="n">
        <f aca="false">IF(F393="","",1+COUNTIFS($J:$J,J393,$K:$K,K393,$F:$F,"&gt;"&amp;F393)+COUNTIFS($J:$J,J393,$K:$K,K393,$F:$F,F393,$G:$G,"&gt;"&amp;G393))</f>
        <v>1</v>
      </c>
      <c r="O393" s="6" t="n">
        <f aca="false">IF(L393="","",SUMIFS(Votes!$E:$E,Votes!$A:$A,J393,Votes!$B:$B,K393,Votes!$D:$D,L393))</f>
        <v>17</v>
      </c>
      <c r="P393" s="6" t="n">
        <f aca="false">IF(L393="","",COUNTIFS(Votes!$A:$A,J393,Votes!$B:$B,K393,Votes!$D:$D,L393))</f>
        <v>11</v>
      </c>
      <c r="Q393" s="7" t="str">
        <f aca="false">IF(F393="","Unscored",IF(O393="","No URI",IF(AND(F393=0,O393=0),"Zero-vote",IF(AND(F393=O393,G393=P393),"OK",IF(AND(F393=0,O393&gt;0,COUNTIFS(Votes!$A:$A,J393,Votes!$B:$B,K393,Votes!$C:$C,D393)=0),"Forfeited","Mismatch")))))</f>
        <v>OK</v>
      </c>
      <c r="R393" s="6" t="n">
        <f aca="false">MAX(IF(L393&lt;&gt;"",COUNTIF($L:$L,L393),0),COUNTIFS($A:$A,A393,$B:$B,B393))</f>
        <v>1</v>
      </c>
      <c r="S393" s="6" t="str">
        <f aca="false">IF(R393&gt;1,COUNTIF($R$2:R393,"&gt;1"),"")</f>
        <v/>
      </c>
      <c r="T393" s="6" t="str">
        <f aca="false">IF(L393="","",J393&amp;"|"&amp;K393&amp;"|"&amp;L393)</f>
        <v>4|7|spotify:track:0oHG32IK45iVgoiVcnYNBx</v>
      </c>
      <c r="U393" s="6" t="str">
        <f aca="false">IF(C393="","",IFERROR(INDEX(Lists!$F:$F,MATCH(C393,Lists!$E:$E,0)),"Unmapped"))</f>
        <v>Hip-Hop/Rap</v>
      </c>
    </row>
    <row r="394" customFormat="false" ht="15" hidden="false" customHeight="false" outlineLevel="0" collapsed="false">
      <c r="A394" s="5" t="s">
        <v>1263</v>
      </c>
      <c r="B394" s="5" t="s">
        <v>1264</v>
      </c>
      <c r="C394" s="5" t="s">
        <v>91</v>
      </c>
      <c r="D394" s="5" t="s">
        <v>395</v>
      </c>
      <c r="E394" s="5" t="s">
        <v>1261</v>
      </c>
      <c r="F394" s="5" t="n">
        <v>14</v>
      </c>
      <c r="G394" s="5" t="n">
        <v>9</v>
      </c>
      <c r="H394" s="6" t="str">
        <f aca="false">IF(N394="","",N394&amp;IF(AND(MOD(N394,100)&gt;=11,MOD(N394,100)&lt;=13),"th",CHOOSE(MIN(5,MOD(N394,10)+1),"th","st","nd","rd","th")))</f>
        <v>2nd</v>
      </c>
      <c r="I394" s="5" t="s">
        <v>1019</v>
      </c>
      <c r="J394" s="6" t="n">
        <f aca="false">IFERROR(INDEX(Rounds!$A:$A,MATCH(I394,Rounds!$B:$B,0)),"ADD LEAGUE TO ROUNDS")</f>
        <v>4</v>
      </c>
      <c r="K394" s="6" t="n">
        <f aca="false">IFERROR(VALUE(LEFT(E394,FIND(" - ",E394)-1)),"")</f>
        <v>7</v>
      </c>
      <c r="L394" s="5" t="s">
        <v>1265</v>
      </c>
      <c r="N394" s="6" t="n">
        <f aca="false">IF(F394="","",1+COUNTIFS($J:$J,J394,$K:$K,K394,$F:$F,"&gt;"&amp;F394)+COUNTIFS($J:$J,J394,$K:$K,K394,$F:$F,F394,$G:$G,"&gt;"&amp;G394))</f>
        <v>2</v>
      </c>
      <c r="O394" s="6" t="n">
        <f aca="false">IF(L394="","",SUMIFS(Votes!$E:$E,Votes!$A:$A,J394,Votes!$B:$B,K394,Votes!$D:$D,L394))</f>
        <v>14</v>
      </c>
      <c r="P394" s="6" t="n">
        <f aca="false">IF(L394="","",COUNTIFS(Votes!$A:$A,J394,Votes!$B:$B,K394,Votes!$D:$D,L394))</f>
        <v>9</v>
      </c>
      <c r="Q394" s="7" t="str">
        <f aca="false">IF(F394="","Unscored",IF(O394="","No URI",IF(AND(F394=0,O394=0),"Zero-vote",IF(AND(F394=O394,G394=P394),"OK",IF(AND(F394=0,O394&gt;0,COUNTIFS(Votes!$A:$A,J394,Votes!$B:$B,K394,Votes!$C:$C,D394)=0),"Forfeited","Mismatch")))))</f>
        <v>OK</v>
      </c>
      <c r="R394" s="6" t="n">
        <f aca="false">MAX(IF(L394&lt;&gt;"",COUNTIF($L:$L,L394),0),COUNTIFS($A:$A,A394,$B:$B,B394))</f>
        <v>1</v>
      </c>
      <c r="S394" s="6" t="str">
        <f aca="false">IF(R394&gt;1,COUNTIF($R$2:R394,"&gt;1"),"")</f>
        <v/>
      </c>
      <c r="T394" s="6" t="str">
        <f aca="false">IF(L394="","",J394&amp;"|"&amp;K394&amp;"|"&amp;L394)</f>
        <v>4|7|spotify:track:3t4zZ2SxXgQRIhc5N6a6oZ</v>
      </c>
      <c r="U394" s="6" t="str">
        <f aca="false">IF(C394="","",IFERROR(INDEX(Lists!$F:$F,MATCH(C394,Lists!$E:$E,0)),"Unmapped"))</f>
        <v>Rock</v>
      </c>
    </row>
    <row r="395" customFormat="false" ht="15" hidden="false" customHeight="false" outlineLevel="0" collapsed="false">
      <c r="A395" s="5" t="s">
        <v>1266</v>
      </c>
      <c r="B395" s="5" t="s">
        <v>1267</v>
      </c>
      <c r="C395" s="5" t="s">
        <v>293</v>
      </c>
      <c r="D395" s="5" t="s">
        <v>97</v>
      </c>
      <c r="E395" s="5" t="s">
        <v>1261</v>
      </c>
      <c r="F395" s="5" t="n">
        <v>10</v>
      </c>
      <c r="G395" s="5" t="n">
        <v>9</v>
      </c>
      <c r="H395" s="6" t="str">
        <f aca="false">IF(N395="","",N395&amp;IF(AND(MOD(N395,100)&gt;=11,MOD(N395,100)&lt;=13),"th",CHOOSE(MIN(5,MOD(N395,10)+1),"th","st","nd","rd","th")))</f>
        <v>3rd</v>
      </c>
      <c r="I395" s="5" t="s">
        <v>1019</v>
      </c>
      <c r="J395" s="6" t="n">
        <f aca="false">IFERROR(INDEX(Rounds!$A:$A,MATCH(I395,Rounds!$B:$B,0)),"ADD LEAGUE TO ROUNDS")</f>
        <v>4</v>
      </c>
      <c r="K395" s="6" t="n">
        <f aca="false">IFERROR(VALUE(LEFT(E395,FIND(" - ",E395)-1)),"")</f>
        <v>7</v>
      </c>
      <c r="L395" s="5" t="s">
        <v>1268</v>
      </c>
      <c r="N395" s="6" t="n">
        <f aca="false">IF(F395="","",1+COUNTIFS($J:$J,J395,$K:$K,K395,$F:$F,"&gt;"&amp;F395)+COUNTIFS($J:$J,J395,$K:$K,K395,$F:$F,F395,$G:$G,"&gt;"&amp;G395))</f>
        <v>3</v>
      </c>
      <c r="O395" s="6" t="n">
        <f aca="false">IF(L395="","",SUMIFS(Votes!$E:$E,Votes!$A:$A,J395,Votes!$B:$B,K395,Votes!$D:$D,L395))</f>
        <v>10</v>
      </c>
      <c r="P395" s="6" t="n">
        <f aca="false">IF(L395="","",COUNTIFS(Votes!$A:$A,J395,Votes!$B:$B,K395,Votes!$D:$D,L395))</f>
        <v>9</v>
      </c>
      <c r="Q395" s="7" t="str">
        <f aca="false">IF(F395="","Unscored",IF(O395="","No URI",IF(AND(F395=0,O395=0),"Zero-vote",IF(AND(F395=O395,G395=P395),"OK",IF(AND(F395=0,O395&gt;0,COUNTIFS(Votes!$A:$A,J395,Votes!$B:$B,K395,Votes!$C:$C,D395)=0),"Forfeited","Mismatch")))))</f>
        <v>OK</v>
      </c>
      <c r="R395" s="6" t="n">
        <f aca="false">MAX(IF(L395&lt;&gt;"",COUNTIF($L:$L,L395),0),COUNTIFS($A:$A,A395,$B:$B,B395))</f>
        <v>1</v>
      </c>
      <c r="S395" s="6" t="str">
        <f aca="false">IF(R395&gt;1,COUNTIF($R$2:R395,"&gt;1"),"")</f>
        <v/>
      </c>
      <c r="T395" s="6" t="str">
        <f aca="false">IF(L395="","",J395&amp;"|"&amp;K395&amp;"|"&amp;L395)</f>
        <v>4|7|spotify:track:6Sy9BUbgFse0n0LPA5lwy5</v>
      </c>
      <c r="U395" s="6" t="str">
        <f aca="false">IF(C395="","",IFERROR(INDEX(Lists!$F:$F,MATCH(C395,Lists!$E:$E,0)),"Unmapped"))</f>
        <v>Electronic/Dance</v>
      </c>
    </row>
    <row r="396" customFormat="false" ht="15" hidden="false" customHeight="false" outlineLevel="0" collapsed="false">
      <c r="A396" s="5" t="s">
        <v>1269</v>
      </c>
      <c r="B396" s="5" t="s">
        <v>1270</v>
      </c>
      <c r="C396" s="5" t="s">
        <v>248</v>
      </c>
      <c r="D396" s="5" t="s">
        <v>382</v>
      </c>
      <c r="E396" s="5" t="s">
        <v>1261</v>
      </c>
      <c r="F396" s="5" t="n">
        <v>10</v>
      </c>
      <c r="G396" s="5" t="n">
        <v>7</v>
      </c>
      <c r="H396" s="6" t="str">
        <f aca="false">IF(N396="","",N396&amp;IF(AND(MOD(N396,100)&gt;=11,MOD(N396,100)&lt;=13),"th",CHOOSE(MIN(5,MOD(N396,10)+1),"th","st","nd","rd","th")))</f>
        <v>4th</v>
      </c>
      <c r="I396" s="5" t="s">
        <v>1019</v>
      </c>
      <c r="J396" s="6" t="n">
        <f aca="false">IFERROR(INDEX(Rounds!$A:$A,MATCH(I396,Rounds!$B:$B,0)),"ADD LEAGUE TO ROUNDS")</f>
        <v>4</v>
      </c>
      <c r="K396" s="6" t="n">
        <f aca="false">IFERROR(VALUE(LEFT(E396,FIND(" - ",E396)-1)),"")</f>
        <v>7</v>
      </c>
      <c r="L396" s="5" t="s">
        <v>1271</v>
      </c>
      <c r="N396" s="6" t="n">
        <f aca="false">IF(F396="","",1+COUNTIFS($J:$J,J396,$K:$K,K396,$F:$F,"&gt;"&amp;F396)+COUNTIFS($J:$J,J396,$K:$K,K396,$F:$F,F396,$G:$G,"&gt;"&amp;G396))</f>
        <v>4</v>
      </c>
      <c r="O396" s="6" t="n">
        <f aca="false">IF(L396="","",SUMIFS(Votes!$E:$E,Votes!$A:$A,J396,Votes!$B:$B,K396,Votes!$D:$D,L396))</f>
        <v>10</v>
      </c>
      <c r="P396" s="6" t="n">
        <f aca="false">IF(L396="","",COUNTIFS(Votes!$A:$A,J396,Votes!$B:$B,K396,Votes!$D:$D,L396))</f>
        <v>7</v>
      </c>
      <c r="Q396" s="7" t="str">
        <f aca="false">IF(F396="","Unscored",IF(O396="","No URI",IF(AND(F396=0,O396=0),"Zero-vote",IF(AND(F396=O396,G396=P396),"OK",IF(AND(F396=0,O396&gt;0,COUNTIFS(Votes!$A:$A,J396,Votes!$B:$B,K396,Votes!$C:$C,D396)=0),"Forfeited","Mismatch")))))</f>
        <v>OK</v>
      </c>
      <c r="R396" s="6" t="n">
        <f aca="false">MAX(IF(L396&lt;&gt;"",COUNTIF($L:$L,L396),0),COUNTIFS($A:$A,A396,$B:$B,B396))</f>
        <v>1</v>
      </c>
      <c r="S396" s="6" t="str">
        <f aca="false">IF(R396&gt;1,COUNTIF($R$2:R396,"&gt;1"),"")</f>
        <v/>
      </c>
      <c r="T396" s="6" t="str">
        <f aca="false">IF(L396="","",J396&amp;"|"&amp;K396&amp;"|"&amp;L396)</f>
        <v>4|7|spotify:track:0pegFWSUOTiG0sLVEfxtvA</v>
      </c>
      <c r="U396" s="6" t="str">
        <f aca="false">IF(C396="","",IFERROR(INDEX(Lists!$F:$F,MATCH(C396,Lists!$E:$E,0)),"Unmapped"))</f>
        <v>Folk/Americana</v>
      </c>
    </row>
    <row r="397" customFormat="false" ht="15" hidden="false" customHeight="false" outlineLevel="0" collapsed="false">
      <c r="A397" s="5" t="s">
        <v>1272</v>
      </c>
      <c r="B397" s="5" t="s">
        <v>1273</v>
      </c>
      <c r="C397" s="5" t="s">
        <v>248</v>
      </c>
      <c r="D397" s="5" t="s">
        <v>705</v>
      </c>
      <c r="E397" s="5" t="s">
        <v>1261</v>
      </c>
      <c r="F397" s="5" t="n">
        <v>10</v>
      </c>
      <c r="G397" s="5" t="n">
        <v>7</v>
      </c>
      <c r="H397" s="6" t="str">
        <f aca="false">IF(N397="","",N397&amp;IF(AND(MOD(N397,100)&gt;=11,MOD(N397,100)&lt;=13),"th",CHOOSE(MIN(5,MOD(N397,10)+1),"th","st","nd","rd","th")))</f>
        <v>4th</v>
      </c>
      <c r="I397" s="5" t="s">
        <v>1019</v>
      </c>
      <c r="J397" s="6" t="n">
        <f aca="false">IFERROR(INDEX(Rounds!$A:$A,MATCH(I397,Rounds!$B:$B,0)),"ADD LEAGUE TO ROUNDS")</f>
        <v>4</v>
      </c>
      <c r="K397" s="6" t="n">
        <f aca="false">IFERROR(VALUE(LEFT(E397,FIND(" - ",E397)-1)),"")</f>
        <v>7</v>
      </c>
      <c r="L397" s="5" t="s">
        <v>1274</v>
      </c>
      <c r="N397" s="6" t="n">
        <f aca="false">IF(F397="","",1+COUNTIFS($J:$J,J397,$K:$K,K397,$F:$F,"&gt;"&amp;F397)+COUNTIFS($J:$J,J397,$K:$K,K397,$F:$F,F397,$G:$G,"&gt;"&amp;G397))</f>
        <v>4</v>
      </c>
      <c r="O397" s="6" t="n">
        <f aca="false">IF(L397="","",SUMIFS(Votes!$E:$E,Votes!$A:$A,J397,Votes!$B:$B,K397,Votes!$D:$D,L397))</f>
        <v>10</v>
      </c>
      <c r="P397" s="6" t="n">
        <f aca="false">IF(L397="","",COUNTIFS(Votes!$A:$A,J397,Votes!$B:$B,K397,Votes!$D:$D,L397))</f>
        <v>7</v>
      </c>
      <c r="Q397" s="7" t="str">
        <f aca="false">IF(F397="","Unscored",IF(O397="","No URI",IF(AND(F397=0,O397=0),"Zero-vote",IF(AND(F397=O397,G397=P397),"OK",IF(AND(F397=0,O397&gt;0,COUNTIFS(Votes!$A:$A,J397,Votes!$B:$B,K397,Votes!$C:$C,D397)=0),"Forfeited","Mismatch")))))</f>
        <v>OK</v>
      </c>
      <c r="R397" s="6" t="n">
        <f aca="false">MAX(IF(L397&lt;&gt;"",COUNTIF($L:$L,L397),0),COUNTIFS($A:$A,A397,$B:$B,B397))</f>
        <v>1</v>
      </c>
      <c r="S397" s="6" t="str">
        <f aca="false">IF(R397&gt;1,COUNTIF($R$2:R397,"&gt;1"),"")</f>
        <v/>
      </c>
      <c r="T397" s="6" t="str">
        <f aca="false">IF(L397="","",J397&amp;"|"&amp;K397&amp;"|"&amp;L397)</f>
        <v>4|7|spotify:track:0IwXp8V7wgFCIthRh2z8Ot</v>
      </c>
      <c r="U397" s="6" t="str">
        <f aca="false">IF(C397="","",IFERROR(INDEX(Lists!$F:$F,MATCH(C397,Lists!$E:$E,0)),"Unmapped"))</f>
        <v>Folk/Americana</v>
      </c>
    </row>
    <row r="398" customFormat="false" ht="15" hidden="false" customHeight="false" outlineLevel="0" collapsed="false">
      <c r="A398" s="5" t="s">
        <v>1275</v>
      </c>
      <c r="B398" s="5" t="s">
        <v>1276</v>
      </c>
      <c r="C398" s="5" t="s">
        <v>171</v>
      </c>
      <c r="D398" s="5" t="s">
        <v>85</v>
      </c>
      <c r="E398" s="5" t="s">
        <v>1261</v>
      </c>
      <c r="F398" s="5" t="n">
        <v>10</v>
      </c>
      <c r="G398" s="5" t="n">
        <v>6</v>
      </c>
      <c r="H398" s="6" t="str">
        <f aca="false">IF(N398="","",N398&amp;IF(AND(MOD(N398,100)&gt;=11,MOD(N398,100)&lt;=13),"th",CHOOSE(MIN(5,MOD(N398,10)+1),"th","st","nd","rd","th")))</f>
        <v>6th</v>
      </c>
      <c r="I398" s="5" t="s">
        <v>1019</v>
      </c>
      <c r="J398" s="6" t="n">
        <f aca="false">IFERROR(INDEX(Rounds!$A:$A,MATCH(I398,Rounds!$B:$B,0)),"ADD LEAGUE TO ROUNDS")</f>
        <v>4</v>
      </c>
      <c r="K398" s="6" t="n">
        <f aca="false">IFERROR(VALUE(LEFT(E398,FIND(" - ",E398)-1)),"")</f>
        <v>7</v>
      </c>
      <c r="L398" s="5" t="s">
        <v>1277</v>
      </c>
      <c r="N398" s="6" t="n">
        <f aca="false">IF(F398="","",1+COUNTIFS($J:$J,J398,$K:$K,K398,$F:$F,"&gt;"&amp;F398)+COUNTIFS($J:$J,J398,$K:$K,K398,$F:$F,F398,$G:$G,"&gt;"&amp;G398))</f>
        <v>6</v>
      </c>
      <c r="O398" s="6" t="n">
        <f aca="false">IF(L398="","",SUMIFS(Votes!$E:$E,Votes!$A:$A,J398,Votes!$B:$B,K398,Votes!$D:$D,L398))</f>
        <v>10</v>
      </c>
      <c r="P398" s="6" t="n">
        <f aca="false">IF(L398="","",COUNTIFS(Votes!$A:$A,J398,Votes!$B:$B,K398,Votes!$D:$D,L398))</f>
        <v>6</v>
      </c>
      <c r="Q398" s="7" t="str">
        <f aca="false">IF(F398="","Unscored",IF(O398="","No URI",IF(AND(F398=0,O398=0),"Zero-vote",IF(AND(F398=O398,G398=P398),"OK",IF(AND(F398=0,O398&gt;0,COUNTIFS(Votes!$A:$A,J398,Votes!$B:$B,K398,Votes!$C:$C,D398)=0),"Forfeited","Mismatch")))))</f>
        <v>OK</v>
      </c>
      <c r="R398" s="6" t="n">
        <f aca="false">MAX(IF(L398&lt;&gt;"",COUNTIF($L:$L,L398),0),COUNTIFS($A:$A,A398,$B:$B,B398))</f>
        <v>1</v>
      </c>
      <c r="S398" s="6" t="str">
        <f aca="false">IF(R398&gt;1,COUNTIF($R$2:R398,"&gt;1"),"")</f>
        <v/>
      </c>
      <c r="T398" s="6" t="str">
        <f aca="false">IF(L398="","",J398&amp;"|"&amp;K398&amp;"|"&amp;L398)</f>
        <v>4|7|spotify:track:65DbTqJKhbwqYbZ1Okr0rc</v>
      </c>
      <c r="U398" s="6" t="str">
        <f aca="false">IF(C398="","",IFERROR(INDEX(Lists!$F:$F,MATCH(C398,Lists!$E:$E,0)),"Unmapped"))</f>
        <v>Country</v>
      </c>
    </row>
    <row r="399" customFormat="false" ht="15" hidden="false" customHeight="false" outlineLevel="0" collapsed="false">
      <c r="A399" s="5" t="s">
        <v>1278</v>
      </c>
      <c r="B399" s="5" t="s">
        <v>1279</v>
      </c>
      <c r="C399" s="5" t="s">
        <v>105</v>
      </c>
      <c r="D399" s="5" t="s">
        <v>637</v>
      </c>
      <c r="E399" s="5" t="s">
        <v>1261</v>
      </c>
      <c r="F399" s="5" t="n">
        <v>9</v>
      </c>
      <c r="G399" s="5" t="n">
        <v>7</v>
      </c>
      <c r="H399" s="6" t="str">
        <f aca="false">IF(N399="","",N399&amp;IF(AND(MOD(N399,100)&gt;=11,MOD(N399,100)&lt;=13),"th",CHOOSE(MIN(5,MOD(N399,10)+1),"th","st","nd","rd","th")))</f>
        <v>7th</v>
      </c>
      <c r="I399" s="5" t="s">
        <v>1019</v>
      </c>
      <c r="J399" s="6" t="n">
        <f aca="false">IFERROR(INDEX(Rounds!$A:$A,MATCH(I399,Rounds!$B:$B,0)),"ADD LEAGUE TO ROUNDS")</f>
        <v>4</v>
      </c>
      <c r="K399" s="6" t="n">
        <f aca="false">IFERROR(VALUE(LEFT(E399,FIND(" - ",E399)-1)),"")</f>
        <v>7</v>
      </c>
      <c r="L399" s="5" t="s">
        <v>1280</v>
      </c>
      <c r="N399" s="6" t="n">
        <f aca="false">IF(F399="","",1+COUNTIFS($J:$J,J399,$K:$K,K399,$F:$F,"&gt;"&amp;F399)+COUNTIFS($J:$J,J399,$K:$K,K399,$F:$F,F399,$G:$G,"&gt;"&amp;G399))</f>
        <v>7</v>
      </c>
      <c r="O399" s="6" t="n">
        <f aca="false">IF(L399="","",SUMIFS(Votes!$E:$E,Votes!$A:$A,J399,Votes!$B:$B,K399,Votes!$D:$D,L399))</f>
        <v>9</v>
      </c>
      <c r="P399" s="6" t="n">
        <f aca="false">IF(L399="","",COUNTIFS(Votes!$A:$A,J399,Votes!$B:$B,K399,Votes!$D:$D,L399))</f>
        <v>7</v>
      </c>
      <c r="Q399" s="7" t="str">
        <f aca="false">IF(F399="","Unscored",IF(O399="","No URI",IF(AND(F399=0,O399=0),"Zero-vote",IF(AND(F399=O399,G399=P399),"OK",IF(AND(F399=0,O399&gt;0,COUNTIFS(Votes!$A:$A,J399,Votes!$B:$B,K399,Votes!$C:$C,D399)=0),"Forfeited","Mismatch")))))</f>
        <v>OK</v>
      </c>
      <c r="R399" s="6" t="n">
        <f aca="false">MAX(IF(L399&lt;&gt;"",COUNTIF($L:$L,L399),0),COUNTIFS($A:$A,A399,$B:$B,B399))</f>
        <v>1</v>
      </c>
      <c r="S399" s="6" t="str">
        <f aca="false">IF(R399&gt;1,COUNTIF($R$2:R399,"&gt;1"),"")</f>
        <v/>
      </c>
      <c r="T399" s="6" t="str">
        <f aca="false">IF(L399="","",J399&amp;"|"&amp;K399&amp;"|"&amp;L399)</f>
        <v>4|7|spotify:track:4L4PGyC3YQ5kSNKugK1gLc</v>
      </c>
      <c r="U399" s="6" t="str">
        <f aca="false">IF(C399="","",IFERROR(INDEX(Lists!$F:$F,MATCH(C399,Lists!$E:$E,0)),"Unmapped"))</f>
        <v>Metal</v>
      </c>
    </row>
    <row r="400" customFormat="false" ht="15" hidden="false" customHeight="false" outlineLevel="0" collapsed="false">
      <c r="A400" s="5" t="s">
        <v>1281</v>
      </c>
      <c r="B400" s="5" t="s">
        <v>1282</v>
      </c>
      <c r="C400" s="5" t="s">
        <v>110</v>
      </c>
      <c r="D400" s="5" t="s">
        <v>116</v>
      </c>
      <c r="E400" s="5" t="s">
        <v>1261</v>
      </c>
      <c r="F400" s="5" t="n">
        <v>9</v>
      </c>
      <c r="G400" s="5" t="n">
        <v>6</v>
      </c>
      <c r="H400" s="6" t="str">
        <f aca="false">IF(N400="","",N400&amp;IF(AND(MOD(N400,100)&gt;=11,MOD(N400,100)&lt;=13),"th",CHOOSE(MIN(5,MOD(N400,10)+1),"th","st","nd","rd","th")))</f>
        <v>8th</v>
      </c>
      <c r="I400" s="5" t="s">
        <v>1019</v>
      </c>
      <c r="J400" s="6" t="n">
        <f aca="false">IFERROR(INDEX(Rounds!$A:$A,MATCH(I400,Rounds!$B:$B,0)),"ADD LEAGUE TO ROUNDS")</f>
        <v>4</v>
      </c>
      <c r="K400" s="6" t="n">
        <f aca="false">IFERROR(VALUE(LEFT(E400,FIND(" - ",E400)-1)),"")</f>
        <v>7</v>
      </c>
      <c r="L400" s="5" t="s">
        <v>1283</v>
      </c>
      <c r="N400" s="6" t="n">
        <f aca="false">IF(F400="","",1+COUNTIFS($J:$J,J400,$K:$K,K400,$F:$F,"&gt;"&amp;F400)+COUNTIFS($J:$J,J400,$K:$K,K400,$F:$F,F400,$G:$G,"&gt;"&amp;G400))</f>
        <v>8</v>
      </c>
      <c r="O400" s="6" t="n">
        <f aca="false">IF(L400="","",SUMIFS(Votes!$E:$E,Votes!$A:$A,J400,Votes!$B:$B,K400,Votes!$D:$D,L400))</f>
        <v>9</v>
      </c>
      <c r="P400" s="6" t="n">
        <f aca="false">IF(L400="","",COUNTIFS(Votes!$A:$A,J400,Votes!$B:$B,K400,Votes!$D:$D,L400))</f>
        <v>6</v>
      </c>
      <c r="Q400" s="7" t="str">
        <f aca="false">IF(F400="","Unscored",IF(O400="","No URI",IF(AND(F400=0,O400=0),"Zero-vote",IF(AND(F400=O400,G400=P400),"OK",IF(AND(F400=0,O400&gt;0,COUNTIFS(Votes!$A:$A,J400,Votes!$B:$B,K400,Votes!$C:$C,D400)=0),"Forfeited","Mismatch")))))</f>
        <v>OK</v>
      </c>
      <c r="R400" s="6" t="n">
        <f aca="false">MAX(IF(L400&lt;&gt;"",COUNTIF($L:$L,L400),0),COUNTIFS($A:$A,A400,$B:$B,B400))</f>
        <v>1</v>
      </c>
      <c r="S400" s="6" t="str">
        <f aca="false">IF(R400&gt;1,COUNTIF($R$2:R400,"&gt;1"),"")</f>
        <v/>
      </c>
      <c r="T400" s="6" t="str">
        <f aca="false">IF(L400="","",J400&amp;"|"&amp;K400&amp;"|"&amp;L400)</f>
        <v>4|7|spotify:track:0N3W5peJUQtI4eyR6GJT5O</v>
      </c>
      <c r="U400" s="6" t="str">
        <f aca="false">IF(C400="","",IFERROR(INDEX(Lists!$F:$F,MATCH(C400,Lists!$E:$E,0)),"Unmapped"))</f>
        <v>Hip-Hop/Rap</v>
      </c>
    </row>
    <row r="401" customFormat="false" ht="15" hidden="false" customHeight="false" outlineLevel="0" collapsed="false">
      <c r="A401" s="5" t="s">
        <v>1284</v>
      </c>
      <c r="B401" s="5" t="s">
        <v>828</v>
      </c>
      <c r="C401" s="5" t="s">
        <v>91</v>
      </c>
      <c r="D401" s="5" t="s">
        <v>719</v>
      </c>
      <c r="E401" s="5" t="s">
        <v>1261</v>
      </c>
      <c r="F401" s="5" t="n">
        <v>8</v>
      </c>
      <c r="G401" s="5" t="n">
        <v>8</v>
      </c>
      <c r="H401" s="6" t="str">
        <f aca="false">IF(N401="","",N401&amp;IF(AND(MOD(N401,100)&gt;=11,MOD(N401,100)&lt;=13),"th",CHOOSE(MIN(5,MOD(N401,10)+1),"th","st","nd","rd","th")))</f>
        <v>9th</v>
      </c>
      <c r="I401" s="5" t="s">
        <v>1019</v>
      </c>
      <c r="J401" s="6" t="n">
        <f aca="false">IFERROR(INDEX(Rounds!$A:$A,MATCH(I401,Rounds!$B:$B,0)),"ADD LEAGUE TO ROUNDS")</f>
        <v>4</v>
      </c>
      <c r="K401" s="6" t="n">
        <f aca="false">IFERROR(VALUE(LEFT(E401,FIND(" - ",E401)-1)),"")</f>
        <v>7</v>
      </c>
      <c r="L401" s="5" t="s">
        <v>1285</v>
      </c>
      <c r="N401" s="6" t="n">
        <f aca="false">IF(F401="","",1+COUNTIFS($J:$J,J401,$K:$K,K401,$F:$F,"&gt;"&amp;F401)+COUNTIFS($J:$J,J401,$K:$K,K401,$F:$F,F401,$G:$G,"&gt;"&amp;G401))</f>
        <v>9</v>
      </c>
      <c r="O401" s="6" t="n">
        <f aca="false">IF(L401="","",SUMIFS(Votes!$E:$E,Votes!$A:$A,J401,Votes!$B:$B,K401,Votes!$D:$D,L401))</f>
        <v>8</v>
      </c>
      <c r="P401" s="6" t="n">
        <f aca="false">IF(L401="","",COUNTIFS(Votes!$A:$A,J401,Votes!$B:$B,K401,Votes!$D:$D,L401))</f>
        <v>8</v>
      </c>
      <c r="Q401" s="7" t="str">
        <f aca="false">IF(F401="","Unscored",IF(O401="","No URI",IF(AND(F401=0,O401=0),"Zero-vote",IF(AND(F401=O401,G401=P401),"OK",IF(AND(F401=0,O401&gt;0,COUNTIFS(Votes!$A:$A,J401,Votes!$B:$B,K401,Votes!$C:$C,D401)=0),"Forfeited","Mismatch")))))</f>
        <v>OK</v>
      </c>
      <c r="R401" s="6" t="n">
        <f aca="false">MAX(IF(L401&lt;&gt;"",COUNTIF($L:$L,L401),0),COUNTIFS($A:$A,A401,$B:$B,B401))</f>
        <v>1</v>
      </c>
      <c r="S401" s="6" t="str">
        <f aca="false">IF(R401&gt;1,COUNTIF($R$2:R401,"&gt;1"),"")</f>
        <v/>
      </c>
      <c r="T401" s="6" t="str">
        <f aca="false">IF(L401="","",J401&amp;"|"&amp;K401&amp;"|"&amp;L401)</f>
        <v>4|7|spotify:track:20fm2tV8FUuonX96Db1bGo</v>
      </c>
      <c r="U401" s="6" t="str">
        <f aca="false">IF(C401="","",IFERROR(INDEX(Lists!$F:$F,MATCH(C401,Lists!$E:$E,0)),"Unmapped"))</f>
        <v>Rock</v>
      </c>
    </row>
    <row r="402" customFormat="false" ht="15" hidden="false" customHeight="false" outlineLevel="0" collapsed="false">
      <c r="A402" s="5" t="s">
        <v>1286</v>
      </c>
      <c r="B402" s="5" t="s">
        <v>1287</v>
      </c>
      <c r="C402" s="5" t="s">
        <v>91</v>
      </c>
      <c r="D402" s="5" t="s">
        <v>92</v>
      </c>
      <c r="E402" s="5" t="s">
        <v>1261</v>
      </c>
      <c r="F402" s="5" t="n">
        <v>8</v>
      </c>
      <c r="G402" s="5" t="n">
        <v>5</v>
      </c>
      <c r="H402" s="6" t="str">
        <f aca="false">IF(N402="","",N402&amp;IF(AND(MOD(N402,100)&gt;=11,MOD(N402,100)&lt;=13),"th",CHOOSE(MIN(5,MOD(N402,10)+1),"th","st","nd","rd","th")))</f>
        <v>10th</v>
      </c>
      <c r="I402" s="5" t="s">
        <v>1019</v>
      </c>
      <c r="J402" s="6" t="n">
        <f aca="false">IFERROR(INDEX(Rounds!$A:$A,MATCH(I402,Rounds!$B:$B,0)),"ADD LEAGUE TO ROUNDS")</f>
        <v>4</v>
      </c>
      <c r="K402" s="6" t="n">
        <f aca="false">IFERROR(VALUE(LEFT(E402,FIND(" - ",E402)-1)),"")</f>
        <v>7</v>
      </c>
      <c r="L402" s="5" t="s">
        <v>1288</v>
      </c>
      <c r="N402" s="6" t="n">
        <f aca="false">IF(F402="","",1+COUNTIFS($J:$J,J402,$K:$K,K402,$F:$F,"&gt;"&amp;F402)+COUNTIFS($J:$J,J402,$K:$K,K402,$F:$F,F402,$G:$G,"&gt;"&amp;G402))</f>
        <v>10</v>
      </c>
      <c r="O402" s="6" t="n">
        <f aca="false">IF(L402="","",SUMIFS(Votes!$E:$E,Votes!$A:$A,J402,Votes!$B:$B,K402,Votes!$D:$D,L402))</f>
        <v>8</v>
      </c>
      <c r="P402" s="6" t="n">
        <f aca="false">IF(L402="","",COUNTIFS(Votes!$A:$A,J402,Votes!$B:$B,K402,Votes!$D:$D,L402))</f>
        <v>5</v>
      </c>
      <c r="Q402" s="7" t="str">
        <f aca="false">IF(F402="","Unscored",IF(O402="","No URI",IF(AND(F402=0,O402=0),"Zero-vote",IF(AND(F402=O402,G402=P402),"OK",IF(AND(F402=0,O402&gt;0,COUNTIFS(Votes!$A:$A,J402,Votes!$B:$B,K402,Votes!$C:$C,D402)=0),"Forfeited","Mismatch")))))</f>
        <v>OK</v>
      </c>
      <c r="R402" s="6" t="n">
        <f aca="false">MAX(IF(L402&lt;&gt;"",COUNTIF($L:$L,L402),0),COUNTIFS($A:$A,A402,$B:$B,B402))</f>
        <v>1</v>
      </c>
      <c r="S402" s="6" t="str">
        <f aca="false">IF(R402&gt;1,COUNTIF($R$2:R402,"&gt;1"),"")</f>
        <v/>
      </c>
      <c r="T402" s="6" t="str">
        <f aca="false">IF(L402="","",J402&amp;"|"&amp;K402&amp;"|"&amp;L402)</f>
        <v>4|7|spotify:track:6HNtT20hmFvswMN53jIRv1</v>
      </c>
      <c r="U402" s="6" t="str">
        <f aca="false">IF(C402="","",IFERROR(INDEX(Lists!$F:$F,MATCH(C402,Lists!$E:$E,0)),"Unmapped"))</f>
        <v>Rock</v>
      </c>
    </row>
    <row r="403" customFormat="false" ht="15" hidden="false" customHeight="false" outlineLevel="0" collapsed="false">
      <c r="A403" s="5" t="s">
        <v>1289</v>
      </c>
      <c r="B403" s="5" t="s">
        <v>1290</v>
      </c>
      <c r="C403" s="5" t="s">
        <v>96</v>
      </c>
      <c r="D403" s="5" t="s">
        <v>101</v>
      </c>
      <c r="E403" s="5" t="s">
        <v>1261</v>
      </c>
      <c r="F403" s="5" t="n">
        <v>7</v>
      </c>
      <c r="G403" s="5" t="n">
        <v>4</v>
      </c>
      <c r="H403" s="6" t="str">
        <f aca="false">IF(N403="","",N403&amp;IF(AND(MOD(N403,100)&gt;=11,MOD(N403,100)&lt;=13),"th",CHOOSE(MIN(5,MOD(N403,10)+1),"th","st","nd","rd","th")))</f>
        <v>11th</v>
      </c>
      <c r="I403" s="5" t="s">
        <v>1019</v>
      </c>
      <c r="J403" s="6" t="n">
        <f aca="false">IFERROR(INDEX(Rounds!$A:$A,MATCH(I403,Rounds!$B:$B,0)),"ADD LEAGUE TO ROUNDS")</f>
        <v>4</v>
      </c>
      <c r="K403" s="6" t="n">
        <f aca="false">IFERROR(VALUE(LEFT(E403,FIND(" - ",E403)-1)),"")</f>
        <v>7</v>
      </c>
      <c r="L403" s="5" t="s">
        <v>1291</v>
      </c>
      <c r="N403" s="6" t="n">
        <f aca="false">IF(F403="","",1+COUNTIFS($J:$J,J403,$K:$K,K403,$F:$F,"&gt;"&amp;F403)+COUNTIFS($J:$J,J403,$K:$K,K403,$F:$F,F403,$G:$G,"&gt;"&amp;G403))</f>
        <v>11</v>
      </c>
      <c r="O403" s="6" t="n">
        <f aca="false">IF(L403="","",SUMIFS(Votes!$E:$E,Votes!$A:$A,J403,Votes!$B:$B,K403,Votes!$D:$D,L403))</f>
        <v>7</v>
      </c>
      <c r="P403" s="6" t="n">
        <f aca="false">IF(L403="","",COUNTIFS(Votes!$A:$A,J403,Votes!$B:$B,K403,Votes!$D:$D,L403))</f>
        <v>4</v>
      </c>
      <c r="Q403" s="7" t="str">
        <f aca="false">IF(F403="","Unscored",IF(O403="","No URI",IF(AND(F403=0,O403=0),"Zero-vote",IF(AND(F403=O403,G403=P403),"OK",IF(AND(F403=0,O403&gt;0,COUNTIFS(Votes!$A:$A,J403,Votes!$B:$B,K403,Votes!$C:$C,D403)=0),"Forfeited","Mismatch")))))</f>
        <v>OK</v>
      </c>
      <c r="R403" s="6" t="n">
        <f aca="false">MAX(IF(L403&lt;&gt;"",COUNTIF($L:$L,L403),0),COUNTIFS($A:$A,A403,$B:$B,B403))</f>
        <v>1</v>
      </c>
      <c r="S403" s="6" t="str">
        <f aca="false">IF(R403&gt;1,COUNTIF($R$2:R403,"&gt;1"),"")</f>
        <v/>
      </c>
      <c r="T403" s="6" t="str">
        <f aca="false">IF(L403="","",J403&amp;"|"&amp;K403&amp;"|"&amp;L403)</f>
        <v>4|7|spotify:track:6FMMd1fixOMmhplCevpjL7</v>
      </c>
      <c r="U403" s="6" t="str">
        <f aca="false">IF(C403="","",IFERROR(INDEX(Lists!$F:$F,MATCH(C403,Lists!$E:$E,0)),"Unmapped"))</f>
        <v>R&amp;B/Soul</v>
      </c>
    </row>
    <row r="404" customFormat="false" ht="15" hidden="false" customHeight="false" outlineLevel="0" collapsed="false">
      <c r="A404" s="5" t="s">
        <v>1292</v>
      </c>
      <c r="B404" s="5" t="s">
        <v>1293</v>
      </c>
      <c r="C404" s="5" t="s">
        <v>1294</v>
      </c>
      <c r="D404" s="5" t="s">
        <v>128</v>
      </c>
      <c r="E404" s="5" t="s">
        <v>1261</v>
      </c>
      <c r="F404" s="5" t="n">
        <v>6</v>
      </c>
      <c r="G404" s="5" t="n">
        <v>6</v>
      </c>
      <c r="H404" s="6" t="str">
        <f aca="false">IF(N404="","",N404&amp;IF(AND(MOD(N404,100)&gt;=11,MOD(N404,100)&lt;=13),"th",CHOOSE(MIN(5,MOD(N404,10)+1),"th","st","nd","rd","th")))</f>
        <v>12th</v>
      </c>
      <c r="I404" s="5" t="s">
        <v>1019</v>
      </c>
      <c r="J404" s="6" t="n">
        <f aca="false">IFERROR(INDEX(Rounds!$A:$A,MATCH(I404,Rounds!$B:$B,0)),"ADD LEAGUE TO ROUNDS")</f>
        <v>4</v>
      </c>
      <c r="K404" s="6" t="n">
        <f aca="false">IFERROR(VALUE(LEFT(E404,FIND(" - ",E404)-1)),"")</f>
        <v>7</v>
      </c>
      <c r="L404" s="5" t="s">
        <v>1295</v>
      </c>
      <c r="N404" s="6" t="n">
        <f aca="false">IF(F404="","",1+COUNTIFS($J:$J,J404,$K:$K,K404,$F:$F,"&gt;"&amp;F404)+COUNTIFS($J:$J,J404,$K:$K,K404,$F:$F,F404,$G:$G,"&gt;"&amp;G404))</f>
        <v>12</v>
      </c>
      <c r="O404" s="6" t="n">
        <f aca="false">IF(L404="","",SUMIFS(Votes!$E:$E,Votes!$A:$A,J404,Votes!$B:$B,K404,Votes!$D:$D,L404))</f>
        <v>6</v>
      </c>
      <c r="P404" s="6" t="n">
        <f aca="false">IF(L404="","",COUNTIFS(Votes!$A:$A,J404,Votes!$B:$B,K404,Votes!$D:$D,L404))</f>
        <v>6</v>
      </c>
      <c r="Q404" s="7" t="str">
        <f aca="false">IF(F404="","Unscored",IF(O404="","No URI",IF(AND(F404=0,O404=0),"Zero-vote",IF(AND(F404=O404,G404=P404),"OK",IF(AND(F404=0,O404&gt;0,COUNTIFS(Votes!$A:$A,J404,Votes!$B:$B,K404,Votes!$C:$C,D404)=0),"Forfeited","Mismatch")))))</f>
        <v>OK</v>
      </c>
      <c r="R404" s="6" t="n">
        <f aca="false">MAX(IF(L404&lt;&gt;"",COUNTIF($L:$L,L404),0),COUNTIFS($A:$A,A404,$B:$B,B404))</f>
        <v>1</v>
      </c>
      <c r="S404" s="6" t="str">
        <f aca="false">IF(R404&gt;1,COUNTIF($R$2:R404,"&gt;1"),"")</f>
        <v/>
      </c>
      <c r="T404" s="6" t="str">
        <f aca="false">IF(L404="","",J404&amp;"|"&amp;K404&amp;"|"&amp;L404)</f>
        <v>4|7|spotify:track:1afewsMym3BFlFDTDiuMyt</v>
      </c>
      <c r="U404" s="6" t="str">
        <f aca="false">IF(C404="","",IFERROR(INDEX(Lists!$F:$F,MATCH(C404,Lists!$E:$E,0)),"Unmapped"))</f>
        <v>Christian/Gospel</v>
      </c>
    </row>
    <row r="405" customFormat="false" ht="15" hidden="false" customHeight="false" outlineLevel="0" collapsed="false">
      <c r="A405" s="5" t="s">
        <v>1296</v>
      </c>
      <c r="B405" s="5" t="s">
        <v>104</v>
      </c>
      <c r="C405" s="5" t="s">
        <v>105</v>
      </c>
      <c r="D405" s="5" t="s">
        <v>106</v>
      </c>
      <c r="E405" s="5" t="s">
        <v>1261</v>
      </c>
      <c r="F405" s="5" t="n">
        <v>4</v>
      </c>
      <c r="G405" s="5" t="n">
        <v>3</v>
      </c>
      <c r="H405" s="6" t="str">
        <f aca="false">IF(N405="","",N405&amp;IF(AND(MOD(N405,100)&gt;=11,MOD(N405,100)&lt;=13),"th",CHOOSE(MIN(5,MOD(N405,10)+1),"th","st","nd","rd","th")))</f>
        <v>13th</v>
      </c>
      <c r="I405" s="5" t="s">
        <v>1019</v>
      </c>
      <c r="J405" s="6" t="n">
        <f aca="false">IFERROR(INDEX(Rounds!$A:$A,MATCH(I405,Rounds!$B:$B,0)),"ADD LEAGUE TO ROUNDS")</f>
        <v>4</v>
      </c>
      <c r="K405" s="6" t="n">
        <f aca="false">IFERROR(VALUE(LEFT(E405,FIND(" - ",E405)-1)),"")</f>
        <v>7</v>
      </c>
      <c r="L405" s="5" t="s">
        <v>1297</v>
      </c>
      <c r="N405" s="6" t="n">
        <f aca="false">IF(F405="","",1+COUNTIFS($J:$J,J405,$K:$K,K405,$F:$F,"&gt;"&amp;F405)+COUNTIFS($J:$J,J405,$K:$K,K405,$F:$F,F405,$G:$G,"&gt;"&amp;G405))</f>
        <v>13</v>
      </c>
      <c r="O405" s="6" t="n">
        <f aca="false">IF(L405="","",SUMIFS(Votes!$E:$E,Votes!$A:$A,J405,Votes!$B:$B,K405,Votes!$D:$D,L405))</f>
        <v>4</v>
      </c>
      <c r="P405" s="6" t="n">
        <f aca="false">IF(L405="","",COUNTIFS(Votes!$A:$A,J405,Votes!$B:$B,K405,Votes!$D:$D,L405))</f>
        <v>3</v>
      </c>
      <c r="Q405" s="7" t="str">
        <f aca="false">IF(F405="","Unscored",IF(O405="","No URI",IF(AND(F405=0,O405=0),"Zero-vote",IF(AND(F405=O405,G405=P405),"OK",IF(AND(F405=0,O405&gt;0,COUNTIFS(Votes!$A:$A,J405,Votes!$B:$B,K405,Votes!$C:$C,D405)=0),"Forfeited","Mismatch")))))</f>
        <v>OK</v>
      </c>
      <c r="R405" s="6" t="n">
        <f aca="false">MAX(IF(L405&lt;&gt;"",COUNTIF($L:$L,L405),0),COUNTIFS($A:$A,A405,$B:$B,B405))</f>
        <v>1</v>
      </c>
      <c r="S405" s="6" t="str">
        <f aca="false">IF(R405&gt;1,COUNTIF($R$2:R405,"&gt;1"),"")</f>
        <v/>
      </c>
      <c r="T405" s="6" t="str">
        <f aca="false">IF(L405="","",J405&amp;"|"&amp;K405&amp;"|"&amp;L405)</f>
        <v>4|7|spotify:track:4IixOTCzviJgIigKleiVbo</v>
      </c>
      <c r="U405" s="6" t="str">
        <f aca="false">IF(C405="","",IFERROR(INDEX(Lists!$F:$F,MATCH(C405,Lists!$E:$E,0)),"Unmapped"))</f>
        <v>Metal</v>
      </c>
    </row>
    <row r="406" customFormat="false" ht="15" hidden="false" customHeight="false" outlineLevel="0" collapsed="false">
      <c r="A406" s="5" t="s">
        <v>1298</v>
      </c>
      <c r="B406" s="5" t="s">
        <v>1299</v>
      </c>
      <c r="C406" s="5" t="s">
        <v>91</v>
      </c>
      <c r="D406" s="5" t="s">
        <v>484</v>
      </c>
      <c r="E406" s="5" t="s">
        <v>1261</v>
      </c>
      <c r="F406" s="5" t="n">
        <v>0</v>
      </c>
      <c r="G406" s="5" t="n">
        <v>5</v>
      </c>
      <c r="H406" s="6" t="str">
        <f aca="false">IF(N406="","",N406&amp;IF(AND(MOD(N406,100)&gt;=11,MOD(N406,100)&lt;=13),"th",CHOOSE(MIN(5,MOD(N406,10)+1),"th","st","nd","rd","th")))</f>
        <v>14th</v>
      </c>
      <c r="I406" s="5" t="s">
        <v>1019</v>
      </c>
      <c r="J406" s="6" t="n">
        <f aca="false">IFERROR(INDEX(Rounds!$A:$A,MATCH(I406,Rounds!$B:$B,0)),"ADD LEAGUE TO ROUNDS")</f>
        <v>4</v>
      </c>
      <c r="K406" s="6" t="n">
        <f aca="false">IFERROR(VALUE(LEFT(E406,FIND(" - ",E406)-1)),"")</f>
        <v>7</v>
      </c>
      <c r="L406" s="5" t="s">
        <v>1300</v>
      </c>
      <c r="N406" s="6" t="n">
        <f aca="false">IF(F406="","",1+COUNTIFS($J:$J,J406,$K:$K,K406,$F:$F,"&gt;"&amp;F406)+COUNTIFS($J:$J,J406,$K:$K,K406,$F:$F,F406,$G:$G,"&gt;"&amp;G406))</f>
        <v>14</v>
      </c>
      <c r="O406" s="6" t="n">
        <f aca="false">IF(L406="","",SUMIFS(Votes!$E:$E,Votes!$A:$A,J406,Votes!$B:$B,K406,Votes!$D:$D,L406))</f>
        <v>8</v>
      </c>
      <c r="P406" s="6" t="n">
        <f aca="false">IF(L406="","",COUNTIFS(Votes!$A:$A,J406,Votes!$B:$B,K406,Votes!$D:$D,L406))</f>
        <v>5</v>
      </c>
      <c r="Q406" s="7" t="str">
        <f aca="false">IF(F406="","Unscored",IF(O406="","No URI",IF(AND(F406=0,O406=0),"Zero-vote",IF(AND(F406=O406,G406=P406),"OK",IF(AND(F406=0,O406&gt;0,COUNTIFS(Votes!$A:$A,J406,Votes!$B:$B,K406,Votes!$C:$C,D406)=0),"Forfeited","Mismatch")))))</f>
        <v>Forfeited</v>
      </c>
      <c r="R406" s="6" t="n">
        <f aca="false">MAX(IF(L406&lt;&gt;"",COUNTIF($L:$L,L406),0),COUNTIFS($A:$A,A406,$B:$B,B406))</f>
        <v>1</v>
      </c>
      <c r="S406" s="6" t="str">
        <f aca="false">IF(R406&gt;1,COUNTIF($R$2:R406,"&gt;1"),"")</f>
        <v/>
      </c>
      <c r="T406" s="6" t="str">
        <f aca="false">IF(L406="","",J406&amp;"|"&amp;K406&amp;"|"&amp;L406)</f>
        <v>4|7|spotify:track:4tRkMAL93DFmaMDUHOHuBH</v>
      </c>
      <c r="U406" s="6" t="str">
        <f aca="false">IF(C406="","",IFERROR(INDEX(Lists!$F:$F,MATCH(C406,Lists!$E:$E,0)),"Unmapped"))</f>
        <v>Rock</v>
      </c>
    </row>
    <row r="407" customFormat="false" ht="15" hidden="false" customHeight="false" outlineLevel="0" collapsed="false">
      <c r="A407" s="5" t="s">
        <v>1301</v>
      </c>
      <c r="B407" s="5" t="s">
        <v>175</v>
      </c>
      <c r="C407" s="5" t="s">
        <v>91</v>
      </c>
      <c r="D407" s="5" t="s">
        <v>85</v>
      </c>
      <c r="E407" s="5" t="s">
        <v>1302</v>
      </c>
      <c r="F407" s="5" t="n">
        <v>16</v>
      </c>
      <c r="G407" s="5" t="n">
        <v>4</v>
      </c>
      <c r="H407" s="6" t="str">
        <f aca="false">IF(N407="","",N407&amp;IF(AND(MOD(N407,100)&gt;=11,MOD(N407,100)&lt;=13),"th",CHOOSE(MIN(5,MOD(N407,10)+1),"th","st","nd","rd","th")))</f>
        <v>1st</v>
      </c>
      <c r="I407" s="5" t="s">
        <v>1019</v>
      </c>
      <c r="J407" s="6" t="n">
        <f aca="false">IFERROR(INDEX(Rounds!$A:$A,MATCH(I407,Rounds!$B:$B,0)),"ADD LEAGUE TO ROUNDS")</f>
        <v>4</v>
      </c>
      <c r="K407" s="6" t="n">
        <f aca="false">IFERROR(VALUE(LEFT(E407,FIND(" - ",E407)-1)),"")</f>
        <v>8</v>
      </c>
      <c r="L407" s="5" t="s">
        <v>1303</v>
      </c>
      <c r="N407" s="6" t="n">
        <f aca="false">IF(F407="","",1+COUNTIFS($J:$J,J407,$K:$K,K407,$F:$F,"&gt;"&amp;F407)+COUNTIFS($J:$J,J407,$K:$K,K407,$F:$F,F407,$G:$G,"&gt;"&amp;G407))</f>
        <v>1</v>
      </c>
      <c r="O407" s="6" t="n">
        <f aca="false">IF(L407="","",SUMIFS(Votes!$E:$E,Votes!$A:$A,J407,Votes!$B:$B,K407,Votes!$D:$D,L407))</f>
        <v>16</v>
      </c>
      <c r="P407" s="6" t="n">
        <f aca="false">IF(L407="","",COUNTIFS(Votes!$A:$A,J407,Votes!$B:$B,K407,Votes!$D:$D,L407))</f>
        <v>4</v>
      </c>
      <c r="Q407" s="7" t="str">
        <f aca="false">IF(F407="","Unscored",IF(O407="","No URI",IF(AND(F407=0,O407=0),"Zero-vote",IF(AND(F407=O407,G407=P407),"OK",IF(AND(F407=0,O407&gt;0,COUNTIFS(Votes!$A:$A,J407,Votes!$B:$B,K407,Votes!$C:$C,D407)=0),"Forfeited","Mismatch")))))</f>
        <v>OK</v>
      </c>
      <c r="R407" s="6" t="n">
        <f aca="false">MAX(IF(L407&lt;&gt;"",COUNTIF($L:$L,L407),0),COUNTIFS($A:$A,A407,$B:$B,B407))</f>
        <v>2</v>
      </c>
      <c r="S407" s="6" t="n">
        <f aca="false">IF(R407&gt;1,COUNTIF($R$2:R407,"&gt;1"),"")</f>
        <v>25</v>
      </c>
      <c r="T407" s="6" t="str">
        <f aca="false">IF(L407="","",J407&amp;"|"&amp;K407&amp;"|"&amp;L407)</f>
        <v>4|8|spotify:track:6vLaKD0HUJ5UtIADG61Fa9</v>
      </c>
      <c r="U407" s="6" t="str">
        <f aca="false">IF(C407="","",IFERROR(INDEX(Lists!$F:$F,MATCH(C407,Lists!$E:$E,0)),"Unmapped"))</f>
        <v>Rock</v>
      </c>
    </row>
    <row r="408" customFormat="false" ht="15" hidden="false" customHeight="false" outlineLevel="0" collapsed="false">
      <c r="A408" s="5" t="s">
        <v>1304</v>
      </c>
      <c r="B408" s="5" t="s">
        <v>870</v>
      </c>
      <c r="C408" s="5" t="s">
        <v>96</v>
      </c>
      <c r="D408" s="5" t="s">
        <v>119</v>
      </c>
      <c r="E408" s="5" t="s">
        <v>1302</v>
      </c>
      <c r="F408" s="5" t="n">
        <v>15</v>
      </c>
      <c r="G408" s="5" t="n">
        <v>3</v>
      </c>
      <c r="H408" s="6" t="str">
        <f aca="false">IF(N408="","",N408&amp;IF(AND(MOD(N408,100)&gt;=11,MOD(N408,100)&lt;=13),"th",CHOOSE(MIN(5,MOD(N408,10)+1),"th","st","nd","rd","th")))</f>
        <v>2nd</v>
      </c>
      <c r="I408" s="5" t="s">
        <v>1019</v>
      </c>
      <c r="J408" s="6" t="n">
        <f aca="false">IFERROR(INDEX(Rounds!$A:$A,MATCH(I408,Rounds!$B:$B,0)),"ADD LEAGUE TO ROUNDS")</f>
        <v>4</v>
      </c>
      <c r="K408" s="6" t="n">
        <f aca="false">IFERROR(VALUE(LEFT(E408,FIND(" - ",E408)-1)),"")</f>
        <v>8</v>
      </c>
      <c r="L408" s="5" t="s">
        <v>1305</v>
      </c>
      <c r="N408" s="6" t="n">
        <f aca="false">IF(F408="","",1+COUNTIFS($J:$J,J408,$K:$K,K408,$F:$F,"&gt;"&amp;F408)+COUNTIFS($J:$J,J408,$K:$K,K408,$F:$F,F408,$G:$G,"&gt;"&amp;G408))</f>
        <v>2</v>
      </c>
      <c r="O408" s="6" t="n">
        <f aca="false">IF(L408="","",SUMIFS(Votes!$E:$E,Votes!$A:$A,J408,Votes!$B:$B,K408,Votes!$D:$D,L408))</f>
        <v>15</v>
      </c>
      <c r="P408" s="6" t="n">
        <f aca="false">IF(L408="","",COUNTIFS(Votes!$A:$A,J408,Votes!$B:$B,K408,Votes!$D:$D,L408))</f>
        <v>3</v>
      </c>
      <c r="Q408" s="7" t="str">
        <f aca="false">IF(F408="","Unscored",IF(O408="","No URI",IF(AND(F408=0,O408=0),"Zero-vote",IF(AND(F408=O408,G408=P408),"OK",IF(AND(F408=0,O408&gt;0,COUNTIFS(Votes!$A:$A,J408,Votes!$B:$B,K408,Votes!$C:$C,D408)=0),"Forfeited","Mismatch")))))</f>
        <v>OK</v>
      </c>
      <c r="R408" s="6" t="n">
        <f aca="false">MAX(IF(L408&lt;&gt;"",COUNTIF($L:$L,L408),0),COUNTIFS($A:$A,A408,$B:$B,B408))</f>
        <v>2</v>
      </c>
      <c r="S408" s="6" t="n">
        <f aca="false">IF(R408&gt;1,COUNTIF($R$2:R408,"&gt;1"),"")</f>
        <v>26</v>
      </c>
      <c r="T408" s="6" t="str">
        <f aca="false">IF(L408="","",J408&amp;"|"&amp;K408&amp;"|"&amp;L408)</f>
        <v>4|8|spotify:track:7J1uxwnxfQLu4APicE5Rnj</v>
      </c>
      <c r="U408" s="6" t="str">
        <f aca="false">IF(C408="","",IFERROR(INDEX(Lists!$F:$F,MATCH(C408,Lists!$E:$E,0)),"Unmapped"))</f>
        <v>R&amp;B/Soul</v>
      </c>
    </row>
    <row r="409" customFormat="false" ht="15" hidden="false" customHeight="false" outlineLevel="0" collapsed="false">
      <c r="A409" s="5" t="s">
        <v>1306</v>
      </c>
      <c r="B409" s="5" t="s">
        <v>1307</v>
      </c>
      <c r="C409" s="5" t="s">
        <v>110</v>
      </c>
      <c r="D409" s="5" t="s">
        <v>106</v>
      </c>
      <c r="E409" s="5" t="s">
        <v>1302</v>
      </c>
      <c r="F409" s="5" t="n">
        <v>15</v>
      </c>
      <c r="G409" s="5" t="n">
        <v>3</v>
      </c>
      <c r="H409" s="6" t="str">
        <f aca="false">IF(N409="","",N409&amp;IF(AND(MOD(N409,100)&gt;=11,MOD(N409,100)&lt;=13),"th",CHOOSE(MIN(5,MOD(N409,10)+1),"th","st","nd","rd","th")))</f>
        <v>2nd</v>
      </c>
      <c r="I409" s="5" t="s">
        <v>1019</v>
      </c>
      <c r="J409" s="6" t="n">
        <f aca="false">IFERROR(INDEX(Rounds!$A:$A,MATCH(I409,Rounds!$B:$B,0)),"ADD LEAGUE TO ROUNDS")</f>
        <v>4</v>
      </c>
      <c r="K409" s="6" t="n">
        <f aca="false">IFERROR(VALUE(LEFT(E409,FIND(" - ",E409)-1)),"")</f>
        <v>8</v>
      </c>
      <c r="L409" s="5" t="s">
        <v>1308</v>
      </c>
      <c r="N409" s="6" t="n">
        <f aca="false">IF(F409="","",1+COUNTIFS($J:$J,J409,$K:$K,K409,$F:$F,"&gt;"&amp;F409)+COUNTIFS($J:$J,J409,$K:$K,K409,$F:$F,F409,$G:$G,"&gt;"&amp;G409))</f>
        <v>2</v>
      </c>
      <c r="O409" s="6" t="n">
        <f aca="false">IF(L409="","",SUMIFS(Votes!$E:$E,Votes!$A:$A,J409,Votes!$B:$B,K409,Votes!$D:$D,L409))</f>
        <v>15</v>
      </c>
      <c r="P409" s="6" t="n">
        <f aca="false">IF(L409="","",COUNTIFS(Votes!$A:$A,J409,Votes!$B:$B,K409,Votes!$D:$D,L409))</f>
        <v>3</v>
      </c>
      <c r="Q409" s="7" t="str">
        <f aca="false">IF(F409="","Unscored",IF(O409="","No URI",IF(AND(F409=0,O409=0),"Zero-vote",IF(AND(F409=O409,G409=P409),"OK",IF(AND(F409=0,O409&gt;0,COUNTIFS(Votes!$A:$A,J409,Votes!$B:$B,K409,Votes!$C:$C,D409)=0),"Forfeited","Mismatch")))))</f>
        <v>OK</v>
      </c>
      <c r="R409" s="6" t="n">
        <f aca="false">MAX(IF(L409&lt;&gt;"",COUNTIF($L:$L,L409),0),COUNTIFS($A:$A,A409,$B:$B,B409))</f>
        <v>1</v>
      </c>
      <c r="S409" s="6" t="str">
        <f aca="false">IF(R409&gt;1,COUNTIF($R$2:R409,"&gt;1"),"")</f>
        <v/>
      </c>
      <c r="T409" s="6" t="str">
        <f aca="false">IF(L409="","",J409&amp;"|"&amp;K409&amp;"|"&amp;L409)</f>
        <v>4|8|spotify:track:7sZDbHZiuHEzS00vzCuhqS</v>
      </c>
      <c r="U409" s="6" t="str">
        <f aca="false">IF(C409="","",IFERROR(INDEX(Lists!$F:$F,MATCH(C409,Lists!$E:$E,0)),"Unmapped"))</f>
        <v>Hip-Hop/Rap</v>
      </c>
    </row>
    <row r="410" customFormat="false" ht="15" hidden="false" customHeight="false" outlineLevel="0" collapsed="false">
      <c r="A410" s="5" t="s">
        <v>1309</v>
      </c>
      <c r="B410" s="5" t="s">
        <v>1310</v>
      </c>
      <c r="C410" s="5" t="s">
        <v>491</v>
      </c>
      <c r="D410" s="5" t="s">
        <v>705</v>
      </c>
      <c r="E410" s="5" t="s">
        <v>1302</v>
      </c>
      <c r="F410" s="5" t="n">
        <v>6</v>
      </c>
      <c r="G410" s="5" t="n">
        <v>2</v>
      </c>
      <c r="H410" s="6" t="str">
        <f aca="false">IF(N410="","",N410&amp;IF(AND(MOD(N410,100)&gt;=11,MOD(N410,100)&lt;=13),"th",CHOOSE(MIN(5,MOD(N410,10)+1),"th","st","nd","rd","th")))</f>
        <v>4th</v>
      </c>
      <c r="I410" s="5" t="s">
        <v>1019</v>
      </c>
      <c r="J410" s="6" t="n">
        <f aca="false">IFERROR(INDEX(Rounds!$A:$A,MATCH(I410,Rounds!$B:$B,0)),"ADD LEAGUE TO ROUNDS")</f>
        <v>4</v>
      </c>
      <c r="K410" s="6" t="n">
        <f aca="false">IFERROR(VALUE(LEFT(E410,FIND(" - ",E410)-1)),"")</f>
        <v>8</v>
      </c>
      <c r="L410" s="5" t="s">
        <v>1311</v>
      </c>
      <c r="N410" s="6" t="n">
        <f aca="false">IF(F410="","",1+COUNTIFS($J:$J,J410,$K:$K,K410,$F:$F,"&gt;"&amp;F410)+COUNTIFS($J:$J,J410,$K:$K,K410,$F:$F,F410,$G:$G,"&gt;"&amp;G410))</f>
        <v>4</v>
      </c>
      <c r="O410" s="6" t="n">
        <f aca="false">IF(L410="","",SUMIFS(Votes!$E:$E,Votes!$A:$A,J410,Votes!$B:$B,K410,Votes!$D:$D,L410))</f>
        <v>6</v>
      </c>
      <c r="P410" s="6" t="n">
        <f aca="false">IF(L410="","",COUNTIFS(Votes!$A:$A,J410,Votes!$B:$B,K410,Votes!$D:$D,L410))</f>
        <v>2</v>
      </c>
      <c r="Q410" s="7" t="str">
        <f aca="false">IF(F410="","Unscored",IF(O410="","No URI",IF(AND(F410=0,O410=0),"Zero-vote",IF(AND(F410=O410,G410=P410),"OK",IF(AND(F410=0,O410&gt;0,COUNTIFS(Votes!$A:$A,J410,Votes!$B:$B,K410,Votes!$C:$C,D410)=0),"Forfeited","Mismatch")))))</f>
        <v>OK</v>
      </c>
      <c r="R410" s="6" t="n">
        <f aca="false">MAX(IF(L410&lt;&gt;"",COUNTIF($L:$L,L410),0),COUNTIFS($A:$A,A410,$B:$B,B410))</f>
        <v>1</v>
      </c>
      <c r="S410" s="6" t="str">
        <f aca="false">IF(R410&gt;1,COUNTIF($R$2:R410,"&gt;1"),"")</f>
        <v/>
      </c>
      <c r="T410" s="6" t="str">
        <f aca="false">IF(L410="","",J410&amp;"|"&amp;K410&amp;"|"&amp;L410)</f>
        <v>4|8|spotify:track:2V2by56rK60UxMHPtG02OJ</v>
      </c>
      <c r="U410" s="6" t="str">
        <f aca="false">IF(C410="","",IFERROR(INDEX(Lists!$F:$F,MATCH(C410,Lists!$E:$E,0)),"Unmapped"))</f>
        <v>Reggae</v>
      </c>
    </row>
    <row r="411" customFormat="false" ht="15" hidden="false" customHeight="false" outlineLevel="0" collapsed="false">
      <c r="A411" s="5" t="s">
        <v>1312</v>
      </c>
      <c r="B411" s="5" t="s">
        <v>1313</v>
      </c>
      <c r="C411" s="5" t="s">
        <v>91</v>
      </c>
      <c r="D411" s="5" t="s">
        <v>395</v>
      </c>
      <c r="E411" s="5" t="s">
        <v>1302</v>
      </c>
      <c r="F411" s="5" t="n">
        <v>6</v>
      </c>
      <c r="G411" s="5" t="n">
        <v>2</v>
      </c>
      <c r="H411" s="6" t="str">
        <f aca="false">IF(N411="","",N411&amp;IF(AND(MOD(N411,100)&gt;=11,MOD(N411,100)&lt;=13),"th",CHOOSE(MIN(5,MOD(N411,10)+1),"th","st","nd","rd","th")))</f>
        <v>4th</v>
      </c>
      <c r="I411" s="5" t="s">
        <v>1019</v>
      </c>
      <c r="J411" s="6" t="n">
        <f aca="false">IFERROR(INDEX(Rounds!$A:$A,MATCH(I411,Rounds!$B:$B,0)),"ADD LEAGUE TO ROUNDS")</f>
        <v>4</v>
      </c>
      <c r="K411" s="6" t="n">
        <f aca="false">IFERROR(VALUE(LEFT(E411,FIND(" - ",E411)-1)),"")</f>
        <v>8</v>
      </c>
      <c r="L411" s="5" t="s">
        <v>1314</v>
      </c>
      <c r="N411" s="6" t="n">
        <f aca="false">IF(F411="","",1+COUNTIFS($J:$J,J411,$K:$K,K411,$F:$F,"&gt;"&amp;F411)+COUNTIFS($J:$J,J411,$K:$K,K411,$F:$F,F411,$G:$G,"&gt;"&amp;G411))</f>
        <v>4</v>
      </c>
      <c r="O411" s="6" t="n">
        <f aca="false">IF(L411="","",SUMIFS(Votes!$E:$E,Votes!$A:$A,J411,Votes!$B:$B,K411,Votes!$D:$D,L411))</f>
        <v>6</v>
      </c>
      <c r="P411" s="6" t="n">
        <f aca="false">IF(L411="","",COUNTIFS(Votes!$A:$A,J411,Votes!$B:$B,K411,Votes!$D:$D,L411))</f>
        <v>2</v>
      </c>
      <c r="Q411" s="7" t="str">
        <f aca="false">IF(F411="","Unscored",IF(O411="","No URI",IF(AND(F411=0,O411=0),"Zero-vote",IF(AND(F411=O411,G411=P411),"OK",IF(AND(F411=0,O411&gt;0,COUNTIFS(Votes!$A:$A,J411,Votes!$B:$B,K411,Votes!$C:$C,D411)=0),"Forfeited","Mismatch")))))</f>
        <v>OK</v>
      </c>
      <c r="R411" s="6" t="n">
        <f aca="false">MAX(IF(L411&lt;&gt;"",COUNTIF($L:$L,L411),0),COUNTIFS($A:$A,A411,$B:$B,B411))</f>
        <v>1</v>
      </c>
      <c r="S411" s="6" t="str">
        <f aca="false">IF(R411&gt;1,COUNTIF($R$2:R411,"&gt;1"),"")</f>
        <v/>
      </c>
      <c r="T411" s="6" t="str">
        <f aca="false">IF(L411="","",J411&amp;"|"&amp;K411&amp;"|"&amp;L411)</f>
        <v>4|8|spotify:track:5ghIJDpPoe3CfHMGu71E6T</v>
      </c>
      <c r="U411" s="6" t="str">
        <f aca="false">IF(C411="","",IFERROR(INDEX(Lists!$F:$F,MATCH(C411,Lists!$E:$E,0)),"Unmapped"))</f>
        <v>Rock</v>
      </c>
    </row>
    <row r="412" customFormat="false" ht="15" hidden="false" customHeight="false" outlineLevel="0" collapsed="false">
      <c r="A412" s="5" t="s">
        <v>1315</v>
      </c>
      <c r="B412" s="5" t="s">
        <v>1316</v>
      </c>
      <c r="C412" s="5" t="s">
        <v>84</v>
      </c>
      <c r="D412" s="5" t="s">
        <v>637</v>
      </c>
      <c r="E412" s="5" t="s">
        <v>1302</v>
      </c>
      <c r="F412" s="5" t="n">
        <v>5</v>
      </c>
      <c r="G412" s="5" t="n">
        <v>1</v>
      </c>
      <c r="H412" s="6" t="str">
        <f aca="false">IF(N412="","",N412&amp;IF(AND(MOD(N412,100)&gt;=11,MOD(N412,100)&lt;=13),"th",CHOOSE(MIN(5,MOD(N412,10)+1),"th","st","nd","rd","th")))</f>
        <v>6th</v>
      </c>
      <c r="I412" s="5" t="s">
        <v>1019</v>
      </c>
      <c r="J412" s="6" t="n">
        <f aca="false">IFERROR(INDEX(Rounds!$A:$A,MATCH(I412,Rounds!$B:$B,0)),"ADD LEAGUE TO ROUNDS")</f>
        <v>4</v>
      </c>
      <c r="K412" s="6" t="n">
        <f aca="false">IFERROR(VALUE(LEFT(E412,FIND(" - ",E412)-1)),"")</f>
        <v>8</v>
      </c>
      <c r="L412" s="5" t="s">
        <v>1317</v>
      </c>
      <c r="N412" s="6" t="n">
        <f aca="false">IF(F412="","",1+COUNTIFS($J:$J,J412,$K:$K,K412,$F:$F,"&gt;"&amp;F412)+COUNTIFS($J:$J,J412,$K:$K,K412,$F:$F,F412,$G:$G,"&gt;"&amp;G412))</f>
        <v>6</v>
      </c>
      <c r="O412" s="6" t="n">
        <f aca="false">IF(L412="","",SUMIFS(Votes!$E:$E,Votes!$A:$A,J412,Votes!$B:$B,K412,Votes!$D:$D,L412))</f>
        <v>5</v>
      </c>
      <c r="P412" s="6" t="n">
        <f aca="false">IF(L412="","",COUNTIFS(Votes!$A:$A,J412,Votes!$B:$B,K412,Votes!$D:$D,L412))</f>
        <v>1</v>
      </c>
      <c r="Q412" s="7" t="str">
        <f aca="false">IF(F412="","Unscored",IF(O412="","No URI",IF(AND(F412=0,O412=0),"Zero-vote",IF(AND(F412=O412,G412=P412),"OK",IF(AND(F412=0,O412&gt;0,COUNTIFS(Votes!$A:$A,J412,Votes!$B:$B,K412,Votes!$C:$C,D412)=0),"Forfeited","Mismatch")))))</f>
        <v>OK</v>
      </c>
      <c r="R412" s="6" t="n">
        <f aca="false">MAX(IF(L412&lt;&gt;"",COUNTIF($L:$L,L412),0),COUNTIFS($A:$A,A412,$B:$B,B412))</f>
        <v>2</v>
      </c>
      <c r="S412" s="6" t="n">
        <f aca="false">IF(R412&gt;1,COUNTIF($R$2:R412,"&gt;1"),"")</f>
        <v>27</v>
      </c>
      <c r="T412" s="6" t="str">
        <f aca="false">IF(L412="","",J412&amp;"|"&amp;K412&amp;"|"&amp;L412)</f>
        <v>4|8|spotify:track:3MjUtNVVq3C8Fn0MP3zhXa</v>
      </c>
      <c r="U412" s="6" t="str">
        <f aca="false">IF(C412="","",IFERROR(INDEX(Lists!$F:$F,MATCH(C412,Lists!$E:$E,0)),"Unmapped"))</f>
        <v>Pop</v>
      </c>
    </row>
    <row r="413" customFormat="false" ht="15" hidden="false" customHeight="false" outlineLevel="0" collapsed="false">
      <c r="A413" s="5" t="s">
        <v>1318</v>
      </c>
      <c r="B413" s="5" t="s">
        <v>1319</v>
      </c>
      <c r="C413" s="5" t="s">
        <v>105</v>
      </c>
      <c r="D413" s="5" t="s">
        <v>719</v>
      </c>
      <c r="E413" s="5" t="s">
        <v>1302</v>
      </c>
      <c r="F413" s="5" t="n">
        <v>1</v>
      </c>
      <c r="G413" s="5" t="n">
        <v>1</v>
      </c>
      <c r="H413" s="6" t="str">
        <f aca="false">IF(N413="","",N413&amp;IF(AND(MOD(N413,100)&gt;=11,MOD(N413,100)&lt;=13),"th",CHOOSE(MIN(5,MOD(N413,10)+1),"th","st","nd","rd","th")))</f>
        <v>7th</v>
      </c>
      <c r="I413" s="5" t="s">
        <v>1019</v>
      </c>
      <c r="J413" s="6" t="n">
        <f aca="false">IFERROR(INDEX(Rounds!$A:$A,MATCH(I413,Rounds!$B:$B,0)),"ADD LEAGUE TO ROUNDS")</f>
        <v>4</v>
      </c>
      <c r="K413" s="6" t="n">
        <f aca="false">IFERROR(VALUE(LEFT(E413,FIND(" - ",E413)-1)),"")</f>
        <v>8</v>
      </c>
      <c r="L413" s="5" t="s">
        <v>1320</v>
      </c>
      <c r="N413" s="6" t="n">
        <f aca="false">IF(F413="","",1+COUNTIFS($J:$J,J413,$K:$K,K413,$F:$F,"&gt;"&amp;F413)+COUNTIFS($J:$J,J413,$K:$K,K413,$F:$F,F413,$G:$G,"&gt;"&amp;G413))</f>
        <v>7</v>
      </c>
      <c r="O413" s="6" t="n">
        <f aca="false">IF(L413="","",SUMIFS(Votes!$E:$E,Votes!$A:$A,J413,Votes!$B:$B,K413,Votes!$D:$D,L413))</f>
        <v>1</v>
      </c>
      <c r="P413" s="6" t="n">
        <f aca="false">IF(L413="","",COUNTIFS(Votes!$A:$A,J413,Votes!$B:$B,K413,Votes!$D:$D,L413))</f>
        <v>1</v>
      </c>
      <c r="Q413" s="7" t="str">
        <f aca="false">IF(F413="","Unscored",IF(O413="","No URI",IF(AND(F413=0,O413=0),"Zero-vote",IF(AND(F413=O413,G413=P413),"OK",IF(AND(F413=0,O413&gt;0,COUNTIFS(Votes!$A:$A,J413,Votes!$B:$B,K413,Votes!$C:$C,D413)=0),"Forfeited","Mismatch")))))</f>
        <v>OK</v>
      </c>
      <c r="R413" s="6" t="n">
        <f aca="false">MAX(IF(L413&lt;&gt;"",COUNTIF($L:$L,L413),0),COUNTIFS($A:$A,A413,$B:$B,B413))</f>
        <v>1</v>
      </c>
      <c r="S413" s="6" t="str">
        <f aca="false">IF(R413&gt;1,COUNTIF($R$2:R413,"&gt;1"),"")</f>
        <v/>
      </c>
      <c r="T413" s="6" t="str">
        <f aca="false">IF(L413="","",J413&amp;"|"&amp;K413&amp;"|"&amp;L413)</f>
        <v>4|8|spotify:track:4MSqgoFS7e8LpsxeeMMVMu</v>
      </c>
      <c r="U413" s="6" t="str">
        <f aca="false">IF(C413="","",IFERROR(INDEX(Lists!$F:$F,MATCH(C413,Lists!$E:$E,0)),"Unmapped"))</f>
        <v>Metal</v>
      </c>
    </row>
    <row r="414" customFormat="false" ht="15" hidden="false" customHeight="false" outlineLevel="0" collapsed="false">
      <c r="A414" s="5" t="s">
        <v>609</v>
      </c>
      <c r="B414" s="5" t="s">
        <v>610</v>
      </c>
      <c r="C414" s="5" t="s">
        <v>91</v>
      </c>
      <c r="D414" s="5" t="s">
        <v>97</v>
      </c>
      <c r="E414" s="5" t="s">
        <v>1302</v>
      </c>
      <c r="F414" s="5" t="n">
        <v>1</v>
      </c>
      <c r="G414" s="5" t="n">
        <v>1</v>
      </c>
      <c r="H414" s="6" t="str">
        <f aca="false">IF(N414="","",N414&amp;IF(AND(MOD(N414,100)&gt;=11,MOD(N414,100)&lt;=13),"th",CHOOSE(MIN(5,MOD(N414,10)+1),"th","st","nd","rd","th")))</f>
        <v>7th</v>
      </c>
      <c r="I414" s="5" t="s">
        <v>1019</v>
      </c>
      <c r="J414" s="6" t="n">
        <f aca="false">IFERROR(INDEX(Rounds!$A:$A,MATCH(I414,Rounds!$B:$B,0)),"ADD LEAGUE TO ROUNDS")</f>
        <v>4</v>
      </c>
      <c r="K414" s="6" t="n">
        <f aca="false">IFERROR(VALUE(LEFT(E414,FIND(" - ",E414)-1)),"")</f>
        <v>8</v>
      </c>
      <c r="L414" s="5" t="s">
        <v>612</v>
      </c>
      <c r="N414" s="6" t="n">
        <f aca="false">IF(F414="","",1+COUNTIFS($J:$J,J414,$K:$K,K414,$F:$F,"&gt;"&amp;F414)+COUNTIFS($J:$J,J414,$K:$K,K414,$F:$F,F414,$G:$G,"&gt;"&amp;G414))</f>
        <v>7</v>
      </c>
      <c r="O414" s="6" t="n">
        <f aca="false">IF(L414="","",SUMIFS(Votes!$E:$E,Votes!$A:$A,J414,Votes!$B:$B,K414,Votes!$D:$D,L414))</f>
        <v>1</v>
      </c>
      <c r="P414" s="6" t="n">
        <f aca="false">IF(L414="","",COUNTIFS(Votes!$A:$A,J414,Votes!$B:$B,K414,Votes!$D:$D,L414))</f>
        <v>1</v>
      </c>
      <c r="Q414" s="7" t="str">
        <f aca="false">IF(F414="","Unscored",IF(O414="","No URI",IF(AND(F414=0,O414=0),"Zero-vote",IF(AND(F414=O414,G414=P414),"OK",IF(AND(F414=0,O414&gt;0,COUNTIFS(Votes!$A:$A,J414,Votes!$B:$B,K414,Votes!$C:$C,D414)=0),"Forfeited","Mismatch")))))</f>
        <v>OK</v>
      </c>
      <c r="R414" s="6" t="n">
        <f aca="false">MAX(IF(L414&lt;&gt;"",COUNTIF($L:$L,L414),0),COUNTIFS($A:$A,A414,$B:$B,B414))</f>
        <v>2</v>
      </c>
      <c r="S414" s="6" t="n">
        <f aca="false">IF(R414&gt;1,COUNTIF($R$2:R414,"&gt;1"),"")</f>
        <v>28</v>
      </c>
      <c r="T414" s="6" t="str">
        <f aca="false">IF(L414="","",J414&amp;"|"&amp;K414&amp;"|"&amp;L414)</f>
        <v>4|8|spotify:track:6qUEOWqOzu1rLPUPQ1ECpx</v>
      </c>
      <c r="U414" s="6" t="str">
        <f aca="false">IF(C414="","",IFERROR(INDEX(Lists!$F:$F,MATCH(C414,Lists!$E:$E,0)),"Unmapped"))</f>
        <v>Rock</v>
      </c>
    </row>
    <row r="415" customFormat="false" ht="15" hidden="false" customHeight="false" outlineLevel="0" collapsed="false">
      <c r="A415" s="5" t="s">
        <v>1321</v>
      </c>
      <c r="B415" s="5" t="s">
        <v>1322</v>
      </c>
      <c r="C415" s="5" t="s">
        <v>91</v>
      </c>
      <c r="D415" s="5" t="s">
        <v>92</v>
      </c>
      <c r="E415" s="5" t="s">
        <v>1302</v>
      </c>
      <c r="F415" s="5" t="n">
        <v>0</v>
      </c>
      <c r="G415" s="5" t="n">
        <v>0</v>
      </c>
      <c r="H415" s="6" t="str">
        <f aca="false">IF(N415="","",N415&amp;IF(AND(MOD(N415,100)&gt;=11,MOD(N415,100)&lt;=13),"th",CHOOSE(MIN(5,MOD(N415,10)+1),"th","st","nd","rd","th")))</f>
        <v>9th</v>
      </c>
      <c r="I415" s="5" t="s">
        <v>1019</v>
      </c>
      <c r="J415" s="6" t="n">
        <f aca="false">IFERROR(INDEX(Rounds!$A:$A,MATCH(I415,Rounds!$B:$B,0)),"ADD LEAGUE TO ROUNDS")</f>
        <v>4</v>
      </c>
      <c r="K415" s="6" t="n">
        <f aca="false">IFERROR(VALUE(LEFT(E415,FIND(" - ",E415)-1)),"")</f>
        <v>8</v>
      </c>
      <c r="L415" s="5" t="s">
        <v>1323</v>
      </c>
      <c r="N415" s="6" t="n">
        <f aca="false">IF(F415="","",1+COUNTIFS($J:$J,J415,$K:$K,K415,$F:$F,"&gt;"&amp;F415)+COUNTIFS($J:$J,J415,$K:$K,K415,$F:$F,F415,$G:$G,"&gt;"&amp;G415))</f>
        <v>9</v>
      </c>
      <c r="O415" s="6" t="n">
        <f aca="false">IF(L415="","",SUMIFS(Votes!$E:$E,Votes!$A:$A,J415,Votes!$B:$B,K415,Votes!$D:$D,L415))</f>
        <v>0</v>
      </c>
      <c r="P415" s="6" t="n">
        <f aca="false">IF(L415="","",COUNTIFS(Votes!$A:$A,J415,Votes!$B:$B,K415,Votes!$D:$D,L415))</f>
        <v>0</v>
      </c>
      <c r="Q415" s="7" t="str">
        <f aca="false">IF(F415="","Unscored",IF(O415="","No URI",IF(AND(F415=0,O415=0),"Zero-vote",IF(AND(F415=O415,G415=P415),"OK",IF(AND(F415=0,O415&gt;0,COUNTIFS(Votes!$A:$A,J415,Votes!$B:$B,K415,Votes!$C:$C,D415)=0),"Forfeited","Mismatch")))))</f>
        <v>Zero-vote</v>
      </c>
      <c r="R415" s="6" t="n">
        <f aca="false">MAX(IF(L415&lt;&gt;"",COUNTIF($L:$L,L415),0),COUNTIFS($A:$A,A415,$B:$B,B415))</f>
        <v>1</v>
      </c>
      <c r="S415" s="6" t="str">
        <f aca="false">IF(R415&gt;1,COUNTIF($R$2:R415,"&gt;1"),"")</f>
        <v/>
      </c>
      <c r="T415" s="6" t="str">
        <f aca="false">IF(L415="","",J415&amp;"|"&amp;K415&amp;"|"&amp;L415)</f>
        <v>4|8|spotify:track:6L89mwZXSOwYl76YXfX13s</v>
      </c>
      <c r="U415" s="6" t="str">
        <f aca="false">IF(C415="","",IFERROR(INDEX(Lists!$F:$F,MATCH(C415,Lists!$E:$E,0)),"Unmapped"))</f>
        <v>Rock</v>
      </c>
    </row>
    <row r="416" customFormat="false" ht="15" hidden="false" customHeight="false" outlineLevel="0" collapsed="false">
      <c r="A416" s="5" t="s">
        <v>94</v>
      </c>
      <c r="B416" s="5" t="s">
        <v>95</v>
      </c>
      <c r="C416" s="5" t="s">
        <v>96</v>
      </c>
      <c r="D416" s="5" t="s">
        <v>382</v>
      </c>
      <c r="E416" s="5" t="s">
        <v>1302</v>
      </c>
      <c r="F416" s="5" t="n">
        <v>0</v>
      </c>
      <c r="G416" s="5" t="n">
        <v>0</v>
      </c>
      <c r="H416" s="6" t="str">
        <f aca="false">IF(N416="","",N416&amp;IF(AND(MOD(N416,100)&gt;=11,MOD(N416,100)&lt;=13),"th",CHOOSE(MIN(5,MOD(N416,10)+1),"th","st","nd","rd","th")))</f>
        <v>9th</v>
      </c>
      <c r="I416" s="5" t="s">
        <v>1019</v>
      </c>
      <c r="J416" s="6" t="n">
        <f aca="false">IFERROR(INDEX(Rounds!$A:$A,MATCH(I416,Rounds!$B:$B,0)),"ADD LEAGUE TO ROUNDS")</f>
        <v>4</v>
      </c>
      <c r="K416" s="6" t="n">
        <f aca="false">IFERROR(VALUE(LEFT(E416,FIND(" - ",E416)-1)),"")</f>
        <v>8</v>
      </c>
      <c r="L416" s="5" t="s">
        <v>98</v>
      </c>
      <c r="N416" s="6" t="n">
        <f aca="false">IF(F416="","",1+COUNTIFS($J:$J,J416,$K:$K,K416,$F:$F,"&gt;"&amp;F416)+COUNTIFS($J:$J,J416,$K:$K,K416,$F:$F,F416,$G:$G,"&gt;"&amp;G416))</f>
        <v>9</v>
      </c>
      <c r="O416" s="6" t="n">
        <f aca="false">IF(L416="","",SUMIFS(Votes!$E:$E,Votes!$A:$A,J416,Votes!$B:$B,K416,Votes!$D:$D,L416))</f>
        <v>0</v>
      </c>
      <c r="P416" s="6" t="n">
        <f aca="false">IF(L416="","",COUNTIFS(Votes!$A:$A,J416,Votes!$B:$B,K416,Votes!$D:$D,L416))</f>
        <v>0</v>
      </c>
      <c r="Q416" s="7" t="str">
        <f aca="false">IF(F416="","Unscored",IF(O416="","No URI",IF(AND(F416=0,O416=0),"Zero-vote",IF(AND(F416=O416,G416=P416),"OK",IF(AND(F416=0,O416&gt;0,COUNTIFS(Votes!$A:$A,J416,Votes!$B:$B,K416,Votes!$C:$C,D416)=0),"Forfeited","Mismatch")))))</f>
        <v>Zero-vote</v>
      </c>
      <c r="R416" s="6" t="n">
        <f aca="false">MAX(IF(L416&lt;&gt;"",COUNTIF($L:$L,L416),0),COUNTIFS($A:$A,A416,$B:$B,B416))</f>
        <v>2</v>
      </c>
      <c r="S416" s="6" t="n">
        <f aca="false">IF(R416&gt;1,COUNTIF($R$2:R416,"&gt;1"),"")</f>
        <v>29</v>
      </c>
      <c r="T416" s="6" t="str">
        <f aca="false">IF(L416="","",J416&amp;"|"&amp;K416&amp;"|"&amp;L416)</f>
        <v>4|8|spotify:track:6xkryXuiZU360Lngd4sx13</v>
      </c>
      <c r="U416" s="6" t="str">
        <f aca="false">IF(C416="","",IFERROR(INDEX(Lists!$F:$F,MATCH(C416,Lists!$E:$E,0)),"Unmapped"))</f>
        <v>R&amp;B/Soul</v>
      </c>
    </row>
    <row r="417" customFormat="false" ht="15" hidden="false" customHeight="false" outlineLevel="0" collapsed="false">
      <c r="A417" s="5" t="s">
        <v>1324</v>
      </c>
      <c r="B417" s="5" t="s">
        <v>1325</v>
      </c>
      <c r="C417" s="5" t="s">
        <v>304</v>
      </c>
      <c r="D417" s="5" t="s">
        <v>101</v>
      </c>
      <c r="E417" s="5" t="s">
        <v>1302</v>
      </c>
      <c r="F417" s="5" t="n">
        <v>0</v>
      </c>
      <c r="G417" s="5" t="n">
        <v>0</v>
      </c>
      <c r="H417" s="6" t="str">
        <f aca="false">IF(N417="","",N417&amp;IF(AND(MOD(N417,100)&gt;=11,MOD(N417,100)&lt;=13),"th",CHOOSE(MIN(5,MOD(N417,10)+1),"th","st","nd","rd","th")))</f>
        <v>9th</v>
      </c>
      <c r="I417" s="5" t="s">
        <v>1019</v>
      </c>
      <c r="J417" s="6" t="n">
        <f aca="false">IFERROR(INDEX(Rounds!$A:$A,MATCH(I417,Rounds!$B:$B,0)),"ADD LEAGUE TO ROUNDS")</f>
        <v>4</v>
      </c>
      <c r="K417" s="6" t="n">
        <f aca="false">IFERROR(VALUE(LEFT(E417,FIND(" - ",E417)-1)),"")</f>
        <v>8</v>
      </c>
      <c r="L417" s="5" t="s">
        <v>1326</v>
      </c>
      <c r="N417" s="6" t="n">
        <f aca="false">IF(F417="","",1+COUNTIFS($J:$J,J417,$K:$K,K417,$F:$F,"&gt;"&amp;F417)+COUNTIFS($J:$J,J417,$K:$K,K417,$F:$F,F417,$G:$G,"&gt;"&amp;G417))</f>
        <v>9</v>
      </c>
      <c r="O417" s="6" t="n">
        <f aca="false">IF(L417="","",SUMIFS(Votes!$E:$E,Votes!$A:$A,J417,Votes!$B:$B,K417,Votes!$D:$D,L417))</f>
        <v>0</v>
      </c>
      <c r="P417" s="6" t="n">
        <f aca="false">IF(L417="","",COUNTIFS(Votes!$A:$A,J417,Votes!$B:$B,K417,Votes!$D:$D,L417))</f>
        <v>0</v>
      </c>
      <c r="Q417" s="7" t="str">
        <f aca="false">IF(F417="","Unscored",IF(O417="","No URI",IF(AND(F417=0,O417=0),"Zero-vote",IF(AND(F417=O417,G417=P417),"OK",IF(AND(F417=0,O417&gt;0,COUNTIFS(Votes!$A:$A,J417,Votes!$B:$B,K417,Votes!$C:$C,D417)=0),"Forfeited","Mismatch")))))</f>
        <v>Zero-vote</v>
      </c>
      <c r="R417" s="6" t="n">
        <f aca="false">MAX(IF(L417&lt;&gt;"",COUNTIF($L:$L,L417),0),COUNTIFS($A:$A,A417,$B:$B,B417))</f>
        <v>1</v>
      </c>
      <c r="S417" s="6" t="str">
        <f aca="false">IF(R417&gt;1,COUNTIF($R$2:R417,"&gt;1"),"")</f>
        <v/>
      </c>
      <c r="T417" s="6" t="str">
        <f aca="false">IF(L417="","",J417&amp;"|"&amp;K417&amp;"|"&amp;L417)</f>
        <v>4|8|spotify:track:03UrZgTINDqvnUMbbIMhql</v>
      </c>
      <c r="U417" s="6" t="str">
        <f aca="false">IF(C417="","",IFERROR(INDEX(Lists!$F:$F,MATCH(C417,Lists!$E:$E,0)),"Unmapped"))</f>
        <v>K-Pop</v>
      </c>
    </row>
    <row r="418" customFormat="false" ht="15" hidden="false" customHeight="false" outlineLevel="0" collapsed="false">
      <c r="A418" s="5" t="s">
        <v>1327</v>
      </c>
      <c r="B418" s="5" t="s">
        <v>1328</v>
      </c>
      <c r="C418" s="5" t="s">
        <v>127</v>
      </c>
      <c r="D418" s="5" t="s">
        <v>116</v>
      </c>
      <c r="E418" s="5" t="s">
        <v>1302</v>
      </c>
      <c r="F418" s="5" t="n">
        <v>0</v>
      </c>
      <c r="G418" s="5" t="n">
        <v>0</v>
      </c>
      <c r="H418" s="6" t="str">
        <f aca="false">IF(N418="","",N418&amp;IF(AND(MOD(N418,100)&gt;=11,MOD(N418,100)&lt;=13),"th",CHOOSE(MIN(5,MOD(N418,10)+1),"th","st","nd","rd","th")))</f>
        <v>9th</v>
      </c>
      <c r="I418" s="5" t="s">
        <v>1019</v>
      </c>
      <c r="J418" s="6" t="n">
        <f aca="false">IFERROR(INDEX(Rounds!$A:$A,MATCH(I418,Rounds!$B:$B,0)),"ADD LEAGUE TO ROUNDS")</f>
        <v>4</v>
      </c>
      <c r="K418" s="6" t="n">
        <f aca="false">IFERROR(VALUE(LEFT(E418,FIND(" - ",E418)-1)),"")</f>
        <v>8</v>
      </c>
      <c r="L418" s="5" t="s">
        <v>1329</v>
      </c>
      <c r="N418" s="6" t="n">
        <f aca="false">IF(F418="","",1+COUNTIFS($J:$J,J418,$K:$K,K418,$F:$F,"&gt;"&amp;F418)+COUNTIFS($J:$J,J418,$K:$K,K418,$F:$F,F418,$G:$G,"&gt;"&amp;G418))</f>
        <v>9</v>
      </c>
      <c r="O418" s="6" t="n">
        <f aca="false">IF(L418="","",SUMIFS(Votes!$E:$E,Votes!$A:$A,J418,Votes!$B:$B,K418,Votes!$D:$D,L418))</f>
        <v>0</v>
      </c>
      <c r="P418" s="6" t="n">
        <f aca="false">IF(L418="","",COUNTIFS(Votes!$A:$A,J418,Votes!$B:$B,K418,Votes!$D:$D,L418))</f>
        <v>0</v>
      </c>
      <c r="Q418" s="7" t="str">
        <f aca="false">IF(F418="","Unscored",IF(O418="","No URI",IF(AND(F418=0,O418=0),"Zero-vote",IF(AND(F418=O418,G418=P418),"OK",IF(AND(F418=0,O418&gt;0,COUNTIFS(Votes!$A:$A,J418,Votes!$B:$B,K418,Votes!$C:$C,D418)=0),"Forfeited","Mismatch")))))</f>
        <v>Zero-vote</v>
      </c>
      <c r="R418" s="6" t="n">
        <f aca="false">MAX(IF(L418&lt;&gt;"",COUNTIF($L:$L,L418),0),COUNTIFS($A:$A,A418,$B:$B,B418))</f>
        <v>1</v>
      </c>
      <c r="S418" s="6" t="str">
        <f aca="false">IF(R418&gt;1,COUNTIF($R$2:R418,"&gt;1"),"")</f>
        <v/>
      </c>
      <c r="T418" s="6" t="str">
        <f aca="false">IF(L418="","",J418&amp;"|"&amp;K418&amp;"|"&amp;L418)</f>
        <v>4|8|spotify:track:5sj197xVLlMuwxgSCXYEkU</v>
      </c>
      <c r="U418" s="6" t="str">
        <f aca="false">IF(C418="","",IFERROR(INDEX(Lists!$F:$F,MATCH(C418,Lists!$E:$E,0)),"Unmapped"))</f>
        <v>Jazz/Vocal</v>
      </c>
    </row>
    <row r="419" customFormat="false" ht="15" hidden="false" customHeight="false" outlineLevel="0" collapsed="false">
      <c r="A419" s="5" t="s">
        <v>1330</v>
      </c>
      <c r="B419" s="5" t="s">
        <v>1331</v>
      </c>
      <c r="C419" s="5" t="s">
        <v>84</v>
      </c>
      <c r="D419" s="5" t="s">
        <v>128</v>
      </c>
      <c r="E419" s="5" t="s">
        <v>1302</v>
      </c>
      <c r="F419" s="5" t="n">
        <v>0</v>
      </c>
      <c r="G419" s="5" t="n">
        <v>0</v>
      </c>
      <c r="H419" s="6" t="str">
        <f aca="false">IF(N419="","",N419&amp;IF(AND(MOD(N419,100)&gt;=11,MOD(N419,100)&lt;=13),"th",CHOOSE(MIN(5,MOD(N419,10)+1),"th","st","nd","rd","th")))</f>
        <v>9th</v>
      </c>
      <c r="I419" s="5" t="s">
        <v>1019</v>
      </c>
      <c r="J419" s="6" t="n">
        <f aca="false">IFERROR(INDEX(Rounds!$A:$A,MATCH(I419,Rounds!$B:$B,0)),"ADD LEAGUE TO ROUNDS")</f>
        <v>4</v>
      </c>
      <c r="K419" s="6" t="n">
        <f aca="false">IFERROR(VALUE(LEFT(E419,FIND(" - ",E419)-1)),"")</f>
        <v>8</v>
      </c>
      <c r="L419" s="5" t="s">
        <v>1332</v>
      </c>
      <c r="N419" s="6" t="n">
        <f aca="false">IF(F419="","",1+COUNTIFS($J:$J,J419,$K:$K,K419,$F:$F,"&gt;"&amp;F419)+COUNTIFS($J:$J,J419,$K:$K,K419,$F:$F,F419,$G:$G,"&gt;"&amp;G419))</f>
        <v>9</v>
      </c>
      <c r="O419" s="6" t="n">
        <f aca="false">IF(L419="","",SUMIFS(Votes!$E:$E,Votes!$A:$A,J419,Votes!$B:$B,K419,Votes!$D:$D,L419))</f>
        <v>0</v>
      </c>
      <c r="P419" s="6" t="n">
        <f aca="false">IF(L419="","",COUNTIFS(Votes!$A:$A,J419,Votes!$B:$B,K419,Votes!$D:$D,L419))</f>
        <v>0</v>
      </c>
      <c r="Q419" s="7" t="str">
        <f aca="false">IF(F419="","Unscored",IF(O419="","No URI",IF(AND(F419=0,O419=0),"Zero-vote",IF(AND(F419=O419,G419=P419),"OK",IF(AND(F419=0,O419&gt;0,COUNTIFS(Votes!$A:$A,J419,Votes!$B:$B,K419,Votes!$C:$C,D419)=0),"Forfeited","Mismatch")))))</f>
        <v>Zero-vote</v>
      </c>
      <c r="R419" s="6" t="n">
        <f aca="false">MAX(IF(L419&lt;&gt;"",COUNTIF($L:$L,L419),0),COUNTIFS($A:$A,A419,$B:$B,B419))</f>
        <v>1</v>
      </c>
      <c r="S419" s="6" t="str">
        <f aca="false">IF(R419&gt;1,COUNTIF($R$2:R419,"&gt;1"),"")</f>
        <v/>
      </c>
      <c r="T419" s="6" t="str">
        <f aca="false">IF(L419="","",J419&amp;"|"&amp;K419&amp;"|"&amp;L419)</f>
        <v>4|8|spotify:track:2v7ywbUzCgcVohHaKUcacV</v>
      </c>
      <c r="U419" s="6" t="str">
        <f aca="false">IF(C419="","",IFERROR(INDEX(Lists!$F:$F,MATCH(C419,Lists!$E:$E,0)),"Unmapped"))</f>
        <v>Pop</v>
      </c>
    </row>
    <row r="420" customFormat="false" ht="15" hidden="false" customHeight="false" outlineLevel="0" collapsed="false">
      <c r="A420" s="5" t="s">
        <v>1333</v>
      </c>
      <c r="B420" s="5" t="s">
        <v>201</v>
      </c>
      <c r="C420" s="5" t="s">
        <v>84</v>
      </c>
      <c r="D420" s="5" t="s">
        <v>101</v>
      </c>
      <c r="E420" s="5" t="s">
        <v>1334</v>
      </c>
      <c r="F420" s="5" t="n">
        <v>21</v>
      </c>
      <c r="G420" s="5" t="n">
        <v>12</v>
      </c>
      <c r="H420" s="6" t="str">
        <f aca="false">IF(N420="","",N420&amp;IF(AND(MOD(N420,100)&gt;=11,MOD(N420,100)&lt;=13),"th",CHOOSE(MIN(5,MOD(N420,10)+1),"th","st","nd","rd","th")))</f>
        <v>1st</v>
      </c>
      <c r="I420" s="5" t="s">
        <v>1335</v>
      </c>
      <c r="J420" s="6" t="n">
        <f aca="false">IFERROR(INDEX(Rounds!$A:$A,MATCH(I420,Rounds!$B:$B,0)),"ADD LEAGUE TO ROUNDS")</f>
        <v>5</v>
      </c>
      <c r="K420" s="6" t="n">
        <f aca="false">IFERROR(VALUE(LEFT(E420,FIND(" - ",E420)-1)),"")</f>
        <v>1</v>
      </c>
      <c r="L420" s="5" t="s">
        <v>1336</v>
      </c>
      <c r="N420" s="6" t="n">
        <f aca="false">IF(F420="","",1+COUNTIFS($J:$J,J420,$K:$K,K420,$F:$F,"&gt;"&amp;F420)+COUNTIFS($J:$J,J420,$K:$K,K420,$F:$F,F420,$G:$G,"&gt;"&amp;G420))</f>
        <v>1</v>
      </c>
      <c r="O420" s="6" t="n">
        <f aca="false">IF(L420="","",SUMIFS(Votes!$E:$E,Votes!$A:$A,J420,Votes!$B:$B,K420,Votes!$D:$D,L420))</f>
        <v>21</v>
      </c>
      <c r="P420" s="6" t="n">
        <f aca="false">IF(L420="","",COUNTIFS(Votes!$A:$A,J420,Votes!$B:$B,K420,Votes!$D:$D,L420))</f>
        <v>12</v>
      </c>
      <c r="Q420" s="7" t="str">
        <f aca="false">IF(F420="","Unscored",IF(O420="","No URI",IF(AND(F420=0,O420=0),"Zero-vote",IF(AND(F420=O420,G420=P420),"OK",IF(AND(F420=0,O420&gt;0,COUNTIFS(Votes!$A:$A,J420,Votes!$B:$B,K420,Votes!$C:$C,D420)=0),"Forfeited","Mismatch")))))</f>
        <v>OK</v>
      </c>
      <c r="R420" s="6" t="n">
        <f aca="false">MAX(IF(L420&lt;&gt;"",COUNTIF($L:$L,L420),0),COUNTIFS($A:$A,A420,$B:$B,B420))</f>
        <v>1</v>
      </c>
      <c r="S420" s="6" t="str">
        <f aca="false">IF(R420&gt;1,COUNTIF($R$2:R420,"&gt;1"),"")</f>
        <v/>
      </c>
      <c r="T420" s="6" t="str">
        <f aca="false">IF(L420="","",J420&amp;"|"&amp;K420&amp;"|"&amp;L420)</f>
        <v>5|1|spotify:track:4VuS959DSpr82t3qBqCrWG</v>
      </c>
      <c r="U420" s="6" t="str">
        <f aca="false">IF(C420="","",IFERROR(INDEX(Lists!$F:$F,MATCH(C420,Lists!$E:$E,0)),"Unmapped"))</f>
        <v>Pop</v>
      </c>
    </row>
    <row r="421" customFormat="false" ht="15" hidden="false" customHeight="false" outlineLevel="0" collapsed="false">
      <c r="A421" s="5" t="s">
        <v>1337</v>
      </c>
      <c r="B421" s="5" t="s">
        <v>1338</v>
      </c>
      <c r="C421" s="5" t="s">
        <v>84</v>
      </c>
      <c r="D421" s="5" t="s">
        <v>85</v>
      </c>
      <c r="E421" s="5" t="s">
        <v>1334</v>
      </c>
      <c r="F421" s="5" t="n">
        <v>18</v>
      </c>
      <c r="G421" s="5" t="n">
        <v>10</v>
      </c>
      <c r="H421" s="6" t="str">
        <f aca="false">IF(N421="","",N421&amp;IF(AND(MOD(N421,100)&gt;=11,MOD(N421,100)&lt;=13),"th",CHOOSE(MIN(5,MOD(N421,10)+1),"th","st","nd","rd","th")))</f>
        <v>2nd</v>
      </c>
      <c r="I421" s="5" t="s">
        <v>1335</v>
      </c>
      <c r="J421" s="6" t="n">
        <f aca="false">IFERROR(INDEX(Rounds!$A:$A,MATCH(I421,Rounds!$B:$B,0)),"ADD LEAGUE TO ROUNDS")</f>
        <v>5</v>
      </c>
      <c r="K421" s="6" t="n">
        <f aca="false">IFERROR(VALUE(LEFT(E421,FIND(" - ",E421)-1)),"")</f>
        <v>1</v>
      </c>
      <c r="L421" s="5" t="s">
        <v>1339</v>
      </c>
      <c r="N421" s="6" t="n">
        <f aca="false">IF(F421="","",1+COUNTIFS($J:$J,J421,$K:$K,K421,$F:$F,"&gt;"&amp;F421)+COUNTIFS($J:$J,J421,$K:$K,K421,$F:$F,F421,$G:$G,"&gt;"&amp;G421))</f>
        <v>2</v>
      </c>
      <c r="O421" s="6" t="n">
        <f aca="false">IF(L421="","",SUMIFS(Votes!$E:$E,Votes!$A:$A,J421,Votes!$B:$B,K421,Votes!$D:$D,L421))</f>
        <v>18</v>
      </c>
      <c r="P421" s="6" t="n">
        <f aca="false">IF(L421="","",COUNTIFS(Votes!$A:$A,J421,Votes!$B:$B,K421,Votes!$D:$D,L421))</f>
        <v>10</v>
      </c>
      <c r="Q421" s="7" t="str">
        <f aca="false">IF(F421="","Unscored",IF(O421="","No URI",IF(AND(F421=0,O421=0),"Zero-vote",IF(AND(F421=O421,G421=P421),"OK",IF(AND(F421=0,O421&gt;0,COUNTIFS(Votes!$A:$A,J421,Votes!$B:$B,K421,Votes!$C:$C,D421)=0),"Forfeited","Mismatch")))))</f>
        <v>OK</v>
      </c>
      <c r="R421" s="6" t="n">
        <f aca="false">MAX(IF(L421&lt;&gt;"",COUNTIF($L:$L,L421),0),COUNTIFS($A:$A,A421,$B:$B,B421))</f>
        <v>1</v>
      </c>
      <c r="S421" s="6" t="str">
        <f aca="false">IF(R421&gt;1,COUNTIF($R$2:R421,"&gt;1"),"")</f>
        <v/>
      </c>
      <c r="T421" s="6" t="str">
        <f aca="false">IF(L421="","",J421&amp;"|"&amp;K421&amp;"|"&amp;L421)</f>
        <v>5|1|spotify:track:4MHORmGs8oN7AASfGmApcM</v>
      </c>
      <c r="U421" s="6" t="str">
        <f aca="false">IF(C421="","",IFERROR(INDEX(Lists!$F:$F,MATCH(C421,Lists!$E:$E,0)),"Unmapped"))</f>
        <v>Pop</v>
      </c>
    </row>
    <row r="422" customFormat="false" ht="15" hidden="false" customHeight="false" outlineLevel="0" collapsed="false">
      <c r="A422" s="5" t="s">
        <v>1340</v>
      </c>
      <c r="B422" s="5" t="s">
        <v>1341</v>
      </c>
      <c r="C422" s="5" t="s">
        <v>84</v>
      </c>
      <c r="D422" s="5" t="s">
        <v>119</v>
      </c>
      <c r="E422" s="5" t="s">
        <v>1334</v>
      </c>
      <c r="F422" s="5" t="n">
        <v>16</v>
      </c>
      <c r="G422" s="5" t="n">
        <v>11</v>
      </c>
      <c r="H422" s="6" t="str">
        <f aca="false">IF(N422="","",N422&amp;IF(AND(MOD(N422,100)&gt;=11,MOD(N422,100)&lt;=13),"th",CHOOSE(MIN(5,MOD(N422,10)+1),"th","st","nd","rd","th")))</f>
        <v>3rd</v>
      </c>
      <c r="I422" s="5" t="s">
        <v>1335</v>
      </c>
      <c r="J422" s="6" t="n">
        <f aca="false">IFERROR(INDEX(Rounds!$A:$A,MATCH(I422,Rounds!$B:$B,0)),"ADD LEAGUE TO ROUNDS")</f>
        <v>5</v>
      </c>
      <c r="K422" s="6" t="n">
        <f aca="false">IFERROR(VALUE(LEFT(E422,FIND(" - ",E422)-1)),"")</f>
        <v>1</v>
      </c>
      <c r="L422" s="5" t="s">
        <v>1342</v>
      </c>
      <c r="N422" s="6" t="n">
        <f aca="false">IF(F422="","",1+COUNTIFS($J:$J,J422,$K:$K,K422,$F:$F,"&gt;"&amp;F422)+COUNTIFS($J:$J,J422,$K:$K,K422,$F:$F,F422,$G:$G,"&gt;"&amp;G422))</f>
        <v>3</v>
      </c>
      <c r="O422" s="6" t="n">
        <f aca="false">IF(L422="","",SUMIFS(Votes!$E:$E,Votes!$A:$A,J422,Votes!$B:$B,K422,Votes!$D:$D,L422))</f>
        <v>16</v>
      </c>
      <c r="P422" s="6" t="n">
        <f aca="false">IF(L422="","",COUNTIFS(Votes!$A:$A,J422,Votes!$B:$B,K422,Votes!$D:$D,L422))</f>
        <v>11</v>
      </c>
      <c r="Q422" s="7" t="str">
        <f aca="false">IF(F422="","Unscored",IF(O422="","No URI",IF(AND(F422=0,O422=0),"Zero-vote",IF(AND(F422=O422,G422=P422),"OK",IF(AND(F422=0,O422&gt;0,COUNTIFS(Votes!$A:$A,J422,Votes!$B:$B,K422,Votes!$C:$C,D422)=0),"Forfeited","Mismatch")))))</f>
        <v>OK</v>
      </c>
      <c r="R422" s="6" t="n">
        <f aca="false">MAX(IF(L422&lt;&gt;"",COUNTIF($L:$L,L422),0),COUNTIFS($A:$A,A422,$B:$B,B422))</f>
        <v>1</v>
      </c>
      <c r="S422" s="6" t="str">
        <f aca="false">IF(R422&gt;1,COUNTIF($R$2:R422,"&gt;1"),"")</f>
        <v/>
      </c>
      <c r="T422" s="6" t="str">
        <f aca="false">IF(L422="","",J422&amp;"|"&amp;K422&amp;"|"&amp;L422)</f>
        <v>5|1|spotify:track:6eI8B3QW20P68MCYMb4Etd</v>
      </c>
      <c r="U422" s="6" t="str">
        <f aca="false">IF(C422="","",IFERROR(INDEX(Lists!$F:$F,MATCH(C422,Lists!$E:$E,0)),"Unmapped"))</f>
        <v>Pop</v>
      </c>
    </row>
    <row r="423" customFormat="false" ht="15" hidden="false" customHeight="false" outlineLevel="0" collapsed="false">
      <c r="A423" s="5" t="s">
        <v>1343</v>
      </c>
      <c r="B423" s="5" t="s">
        <v>1344</v>
      </c>
      <c r="C423" s="5" t="s">
        <v>171</v>
      </c>
      <c r="D423" s="5" t="s">
        <v>375</v>
      </c>
      <c r="E423" s="5" t="s">
        <v>1334</v>
      </c>
      <c r="F423" s="5" t="n">
        <v>13</v>
      </c>
      <c r="G423" s="5" t="n">
        <v>7</v>
      </c>
      <c r="H423" s="6" t="str">
        <f aca="false">IF(N423="","",N423&amp;IF(AND(MOD(N423,100)&gt;=11,MOD(N423,100)&lt;=13),"th",CHOOSE(MIN(5,MOD(N423,10)+1),"th","st","nd","rd","th")))</f>
        <v>4th</v>
      </c>
      <c r="I423" s="5" t="s">
        <v>1335</v>
      </c>
      <c r="J423" s="6" t="n">
        <f aca="false">IFERROR(INDEX(Rounds!$A:$A,MATCH(I423,Rounds!$B:$B,0)),"ADD LEAGUE TO ROUNDS")</f>
        <v>5</v>
      </c>
      <c r="K423" s="6" t="n">
        <f aca="false">IFERROR(VALUE(LEFT(E423,FIND(" - ",E423)-1)),"")</f>
        <v>1</v>
      </c>
      <c r="L423" s="5" t="s">
        <v>1345</v>
      </c>
      <c r="N423" s="6" t="n">
        <f aca="false">IF(F423="","",1+COUNTIFS($J:$J,J423,$K:$K,K423,$F:$F,"&gt;"&amp;F423)+COUNTIFS($J:$J,J423,$K:$K,K423,$F:$F,F423,$G:$G,"&gt;"&amp;G423))</f>
        <v>4</v>
      </c>
      <c r="O423" s="6" t="n">
        <f aca="false">IF(L423="","",SUMIFS(Votes!$E:$E,Votes!$A:$A,J423,Votes!$B:$B,K423,Votes!$D:$D,L423))</f>
        <v>13</v>
      </c>
      <c r="P423" s="6" t="n">
        <f aca="false">IF(L423="","",COUNTIFS(Votes!$A:$A,J423,Votes!$B:$B,K423,Votes!$D:$D,L423))</f>
        <v>7</v>
      </c>
      <c r="Q423" s="7" t="str">
        <f aca="false">IF(F423="","Unscored",IF(O423="","No URI",IF(AND(F423=0,O423=0),"Zero-vote",IF(AND(F423=O423,G423=P423),"OK",IF(AND(F423=0,O423&gt;0,COUNTIFS(Votes!$A:$A,J423,Votes!$B:$B,K423,Votes!$C:$C,D423)=0),"Forfeited","Mismatch")))))</f>
        <v>OK</v>
      </c>
      <c r="R423" s="6" t="n">
        <f aca="false">MAX(IF(L423&lt;&gt;"",COUNTIF($L:$L,L423),0),COUNTIFS($A:$A,A423,$B:$B,B423))</f>
        <v>1</v>
      </c>
      <c r="S423" s="6" t="str">
        <f aca="false">IF(R423&gt;1,COUNTIF($R$2:R423,"&gt;1"),"")</f>
        <v/>
      </c>
      <c r="T423" s="6" t="str">
        <f aca="false">IF(L423="","",J423&amp;"|"&amp;K423&amp;"|"&amp;L423)</f>
        <v>5|1|spotify:track:3qTmB5HxP9ilJaiM6B1yuk</v>
      </c>
      <c r="U423" s="6" t="str">
        <f aca="false">IF(C423="","",IFERROR(INDEX(Lists!$F:$F,MATCH(C423,Lists!$E:$E,0)),"Unmapped"))</f>
        <v>Country</v>
      </c>
    </row>
    <row r="424" customFormat="false" ht="15" hidden="false" customHeight="false" outlineLevel="0" collapsed="false">
      <c r="A424" s="5" t="s">
        <v>1346</v>
      </c>
      <c r="B424" s="5" t="s">
        <v>1347</v>
      </c>
      <c r="C424" s="5" t="s">
        <v>171</v>
      </c>
      <c r="D424" s="5" t="s">
        <v>637</v>
      </c>
      <c r="E424" s="5" t="s">
        <v>1334</v>
      </c>
      <c r="F424" s="5" t="n">
        <v>13</v>
      </c>
      <c r="G424" s="5" t="n">
        <v>6</v>
      </c>
      <c r="H424" s="6" t="str">
        <f aca="false">IF(N424="","",N424&amp;IF(AND(MOD(N424,100)&gt;=11,MOD(N424,100)&lt;=13),"th",CHOOSE(MIN(5,MOD(N424,10)+1),"th","st","nd","rd","th")))</f>
        <v>5th</v>
      </c>
      <c r="I424" s="5" t="s">
        <v>1335</v>
      </c>
      <c r="J424" s="6" t="n">
        <f aca="false">IFERROR(INDEX(Rounds!$A:$A,MATCH(I424,Rounds!$B:$B,0)),"ADD LEAGUE TO ROUNDS")</f>
        <v>5</v>
      </c>
      <c r="K424" s="6" t="n">
        <f aca="false">IFERROR(VALUE(LEFT(E424,FIND(" - ",E424)-1)),"")</f>
        <v>1</v>
      </c>
      <c r="L424" s="5" t="s">
        <v>1348</v>
      </c>
      <c r="N424" s="6" t="n">
        <f aca="false">IF(F424="","",1+COUNTIFS($J:$J,J424,$K:$K,K424,$F:$F,"&gt;"&amp;F424)+COUNTIFS($J:$J,J424,$K:$K,K424,$F:$F,F424,$G:$G,"&gt;"&amp;G424))</f>
        <v>5</v>
      </c>
      <c r="O424" s="6" t="n">
        <f aca="false">IF(L424="","",SUMIFS(Votes!$E:$E,Votes!$A:$A,J424,Votes!$B:$B,K424,Votes!$D:$D,L424))</f>
        <v>13</v>
      </c>
      <c r="P424" s="6" t="n">
        <f aca="false">IF(L424="","",COUNTIFS(Votes!$A:$A,J424,Votes!$B:$B,K424,Votes!$D:$D,L424))</f>
        <v>6</v>
      </c>
      <c r="Q424" s="7" t="str">
        <f aca="false">IF(F424="","Unscored",IF(O424="","No URI",IF(AND(F424=0,O424=0),"Zero-vote",IF(AND(F424=O424,G424=P424),"OK",IF(AND(F424=0,O424&gt;0,COUNTIFS(Votes!$A:$A,J424,Votes!$B:$B,K424,Votes!$C:$C,D424)=0),"Forfeited","Mismatch")))))</f>
        <v>OK</v>
      </c>
      <c r="R424" s="6" t="n">
        <f aca="false">MAX(IF(L424&lt;&gt;"",COUNTIF($L:$L,L424),0),COUNTIFS($A:$A,A424,$B:$B,B424))</f>
        <v>1</v>
      </c>
      <c r="S424" s="6" t="str">
        <f aca="false">IF(R424&gt;1,COUNTIF($R$2:R424,"&gt;1"),"")</f>
        <v/>
      </c>
      <c r="T424" s="6" t="str">
        <f aca="false">IF(L424="","",J424&amp;"|"&amp;K424&amp;"|"&amp;L424)</f>
        <v>5|1|spotify:track:2LLcI3oU4CedCQDV5tJ1SK</v>
      </c>
      <c r="U424" s="6" t="str">
        <f aca="false">IF(C424="","",IFERROR(INDEX(Lists!$F:$F,MATCH(C424,Lists!$E:$E,0)),"Unmapped"))</f>
        <v>Country</v>
      </c>
    </row>
    <row r="425" customFormat="false" ht="15" hidden="false" customHeight="false" outlineLevel="0" collapsed="false">
      <c r="A425" s="5" t="s">
        <v>1349</v>
      </c>
      <c r="B425" s="5" t="s">
        <v>1350</v>
      </c>
      <c r="C425" s="5" t="s">
        <v>132</v>
      </c>
      <c r="D425" s="5" t="s">
        <v>128</v>
      </c>
      <c r="E425" s="5" t="s">
        <v>1334</v>
      </c>
      <c r="F425" s="5" t="n">
        <v>11</v>
      </c>
      <c r="G425" s="5" t="n">
        <v>8</v>
      </c>
      <c r="H425" s="6" t="str">
        <f aca="false">IF(N425="","",N425&amp;IF(AND(MOD(N425,100)&gt;=11,MOD(N425,100)&lt;=13),"th",CHOOSE(MIN(5,MOD(N425,10)+1),"th","st","nd","rd","th")))</f>
        <v>6th</v>
      </c>
      <c r="I425" s="5" t="s">
        <v>1335</v>
      </c>
      <c r="J425" s="6" t="n">
        <f aca="false">IFERROR(INDEX(Rounds!$A:$A,MATCH(I425,Rounds!$B:$B,0)),"ADD LEAGUE TO ROUNDS")</f>
        <v>5</v>
      </c>
      <c r="K425" s="6" t="n">
        <f aca="false">IFERROR(VALUE(LEFT(E425,FIND(" - ",E425)-1)),"")</f>
        <v>1</v>
      </c>
      <c r="L425" s="5" t="s">
        <v>1351</v>
      </c>
      <c r="N425" s="6" t="n">
        <f aca="false">IF(F425="","",1+COUNTIFS($J:$J,J425,$K:$K,K425,$F:$F,"&gt;"&amp;F425)+COUNTIFS($J:$J,J425,$K:$K,K425,$F:$F,F425,$G:$G,"&gt;"&amp;G425))</f>
        <v>6</v>
      </c>
      <c r="O425" s="6" t="n">
        <f aca="false">IF(L425="","",SUMIFS(Votes!$E:$E,Votes!$A:$A,J425,Votes!$B:$B,K425,Votes!$D:$D,L425))</f>
        <v>11</v>
      </c>
      <c r="P425" s="6" t="n">
        <f aca="false">IF(L425="","",COUNTIFS(Votes!$A:$A,J425,Votes!$B:$B,K425,Votes!$D:$D,L425))</f>
        <v>8</v>
      </c>
      <c r="Q425" s="7" t="str">
        <f aca="false">IF(F425="","Unscored",IF(O425="","No URI",IF(AND(F425=0,O425=0),"Zero-vote",IF(AND(F425=O425,G425=P425),"OK",IF(AND(F425=0,O425&gt;0,COUNTIFS(Votes!$A:$A,J425,Votes!$B:$B,K425,Votes!$C:$C,D425)=0),"Forfeited","Mismatch")))))</f>
        <v>OK</v>
      </c>
      <c r="R425" s="6" t="n">
        <f aca="false">MAX(IF(L425&lt;&gt;"",COUNTIF($L:$L,L425),0),COUNTIFS($A:$A,A425,$B:$B,B425))</f>
        <v>1</v>
      </c>
      <c r="S425" s="6" t="str">
        <f aca="false">IF(R425&gt;1,COUNTIF($R$2:R425,"&gt;1"),"")</f>
        <v/>
      </c>
      <c r="T425" s="6" t="str">
        <f aca="false">IF(L425="","",J425&amp;"|"&amp;K425&amp;"|"&amp;L425)</f>
        <v>5|1|spotify:track:6QMYeuubL00KcXBXxS5Zhn</v>
      </c>
      <c r="U425" s="6" t="str">
        <f aca="false">IF(C425="","",IFERROR(INDEX(Lists!$F:$F,MATCH(C425,Lists!$E:$E,0)),"Unmapped"))</f>
        <v>Soundtrack/Musical</v>
      </c>
    </row>
    <row r="426" customFormat="false" ht="15" hidden="false" customHeight="false" outlineLevel="0" collapsed="false">
      <c r="A426" s="5" t="s">
        <v>1352</v>
      </c>
      <c r="B426" s="5" t="s">
        <v>1353</v>
      </c>
      <c r="C426" s="5" t="s">
        <v>248</v>
      </c>
      <c r="D426" s="5" t="s">
        <v>395</v>
      </c>
      <c r="E426" s="5" t="s">
        <v>1334</v>
      </c>
      <c r="F426" s="5" t="n">
        <v>8</v>
      </c>
      <c r="G426" s="5" t="n">
        <v>7</v>
      </c>
      <c r="H426" s="6" t="str">
        <f aca="false">IF(N426="","",N426&amp;IF(AND(MOD(N426,100)&gt;=11,MOD(N426,100)&lt;=13),"th",CHOOSE(MIN(5,MOD(N426,10)+1),"th","st","nd","rd","th")))</f>
        <v>7th</v>
      </c>
      <c r="I426" s="5" t="s">
        <v>1335</v>
      </c>
      <c r="J426" s="6" t="n">
        <f aca="false">IFERROR(INDEX(Rounds!$A:$A,MATCH(I426,Rounds!$B:$B,0)),"ADD LEAGUE TO ROUNDS")</f>
        <v>5</v>
      </c>
      <c r="K426" s="6" t="n">
        <f aca="false">IFERROR(VALUE(LEFT(E426,FIND(" - ",E426)-1)),"")</f>
        <v>1</v>
      </c>
      <c r="L426" s="5" t="s">
        <v>1354</v>
      </c>
      <c r="N426" s="6" t="n">
        <f aca="false">IF(F426="","",1+COUNTIFS($J:$J,J426,$K:$K,K426,$F:$F,"&gt;"&amp;F426)+COUNTIFS($J:$J,J426,$K:$K,K426,$F:$F,F426,$G:$G,"&gt;"&amp;G426))</f>
        <v>7</v>
      </c>
      <c r="O426" s="6" t="n">
        <f aca="false">IF(L426="","",SUMIFS(Votes!$E:$E,Votes!$A:$A,J426,Votes!$B:$B,K426,Votes!$D:$D,L426))</f>
        <v>8</v>
      </c>
      <c r="P426" s="6" t="n">
        <f aca="false">IF(L426="","",COUNTIFS(Votes!$A:$A,J426,Votes!$B:$B,K426,Votes!$D:$D,L426))</f>
        <v>7</v>
      </c>
      <c r="Q426" s="7" t="str">
        <f aca="false">IF(F426="","Unscored",IF(O426="","No URI",IF(AND(F426=0,O426=0),"Zero-vote",IF(AND(F426=O426,G426=P426),"OK",IF(AND(F426=0,O426&gt;0,COUNTIFS(Votes!$A:$A,J426,Votes!$B:$B,K426,Votes!$C:$C,D426)=0),"Forfeited","Mismatch")))))</f>
        <v>OK</v>
      </c>
      <c r="R426" s="6" t="n">
        <f aca="false">MAX(IF(L426&lt;&gt;"",COUNTIF($L:$L,L426),0),COUNTIFS($A:$A,A426,$B:$B,B426))</f>
        <v>1</v>
      </c>
      <c r="S426" s="6" t="str">
        <f aca="false">IF(R426&gt;1,COUNTIF($R$2:R426,"&gt;1"),"")</f>
        <v/>
      </c>
      <c r="T426" s="6" t="str">
        <f aca="false">IF(L426="","",J426&amp;"|"&amp;K426&amp;"|"&amp;L426)</f>
        <v>5|1|spotify:track:5JDcQAztvZTIkrWoZihgvC</v>
      </c>
      <c r="U426" s="6" t="str">
        <f aca="false">IF(C426="","",IFERROR(INDEX(Lists!$F:$F,MATCH(C426,Lists!$E:$E,0)),"Unmapped"))</f>
        <v>Folk/Americana</v>
      </c>
    </row>
    <row r="427" customFormat="false" ht="15" hidden="false" customHeight="false" outlineLevel="0" collapsed="false">
      <c r="A427" s="5" t="s">
        <v>1355</v>
      </c>
      <c r="B427" s="5" t="s">
        <v>1356</v>
      </c>
      <c r="C427" s="5" t="s">
        <v>91</v>
      </c>
      <c r="D427" s="5" t="s">
        <v>97</v>
      </c>
      <c r="E427" s="5" t="s">
        <v>1334</v>
      </c>
      <c r="F427" s="5" t="n">
        <v>8</v>
      </c>
      <c r="G427" s="5" t="n">
        <v>6</v>
      </c>
      <c r="H427" s="6" t="str">
        <f aca="false">IF(N427="","",N427&amp;IF(AND(MOD(N427,100)&gt;=11,MOD(N427,100)&lt;=13),"th",CHOOSE(MIN(5,MOD(N427,10)+1),"th","st","nd","rd","th")))</f>
        <v>8th</v>
      </c>
      <c r="I427" s="5" t="s">
        <v>1335</v>
      </c>
      <c r="J427" s="6" t="n">
        <f aca="false">IFERROR(INDEX(Rounds!$A:$A,MATCH(I427,Rounds!$B:$B,0)),"ADD LEAGUE TO ROUNDS")</f>
        <v>5</v>
      </c>
      <c r="K427" s="6" t="n">
        <f aca="false">IFERROR(VALUE(LEFT(E427,FIND(" - ",E427)-1)),"")</f>
        <v>1</v>
      </c>
      <c r="L427" s="5" t="s">
        <v>1357</v>
      </c>
      <c r="N427" s="6" t="n">
        <f aca="false">IF(F427="","",1+COUNTIFS($J:$J,J427,$K:$K,K427,$F:$F,"&gt;"&amp;F427)+COUNTIFS($J:$J,J427,$K:$K,K427,$F:$F,F427,$G:$G,"&gt;"&amp;G427))</f>
        <v>8</v>
      </c>
      <c r="O427" s="6" t="n">
        <f aca="false">IF(L427="","",SUMIFS(Votes!$E:$E,Votes!$A:$A,J427,Votes!$B:$B,K427,Votes!$D:$D,L427))</f>
        <v>8</v>
      </c>
      <c r="P427" s="6" t="n">
        <f aca="false">IF(L427="","",COUNTIFS(Votes!$A:$A,J427,Votes!$B:$B,K427,Votes!$D:$D,L427))</f>
        <v>6</v>
      </c>
      <c r="Q427" s="7" t="str">
        <f aca="false">IF(F427="","Unscored",IF(O427="","No URI",IF(AND(F427=0,O427=0),"Zero-vote",IF(AND(F427=O427,G427=P427),"OK",IF(AND(F427=0,O427&gt;0,COUNTIFS(Votes!$A:$A,J427,Votes!$B:$B,K427,Votes!$C:$C,D427)=0),"Forfeited","Mismatch")))))</f>
        <v>OK</v>
      </c>
      <c r="R427" s="6" t="n">
        <f aca="false">MAX(IF(L427&lt;&gt;"",COUNTIF($L:$L,L427),0),COUNTIFS($A:$A,A427,$B:$B,B427))</f>
        <v>1</v>
      </c>
      <c r="S427" s="6" t="str">
        <f aca="false">IF(R427&gt;1,COUNTIF($R$2:R427,"&gt;1"),"")</f>
        <v/>
      </c>
      <c r="T427" s="6" t="str">
        <f aca="false">IF(L427="","",J427&amp;"|"&amp;K427&amp;"|"&amp;L427)</f>
        <v>5|1|spotify:track:0QnONzv3TvHAWk294h6DaQ</v>
      </c>
      <c r="U427" s="6" t="str">
        <f aca="false">IF(C427="","",IFERROR(INDEX(Lists!$F:$F,MATCH(C427,Lists!$E:$E,0)),"Unmapped"))</f>
        <v>Rock</v>
      </c>
    </row>
    <row r="428" customFormat="false" ht="15" hidden="false" customHeight="false" outlineLevel="0" collapsed="false">
      <c r="A428" s="5" t="s">
        <v>1358</v>
      </c>
      <c r="B428" s="5" t="s">
        <v>1359</v>
      </c>
      <c r="C428" s="5" t="s">
        <v>110</v>
      </c>
      <c r="D428" s="5" t="s">
        <v>92</v>
      </c>
      <c r="E428" s="5" t="s">
        <v>1334</v>
      </c>
      <c r="F428" s="5" t="n">
        <v>7</v>
      </c>
      <c r="G428" s="5" t="n">
        <v>7</v>
      </c>
      <c r="H428" s="6" t="str">
        <f aca="false">IF(N428="","",N428&amp;IF(AND(MOD(N428,100)&gt;=11,MOD(N428,100)&lt;=13),"th",CHOOSE(MIN(5,MOD(N428,10)+1),"th","st","nd","rd","th")))</f>
        <v>9th</v>
      </c>
      <c r="I428" s="5" t="s">
        <v>1335</v>
      </c>
      <c r="J428" s="6" t="n">
        <f aca="false">IFERROR(INDEX(Rounds!$A:$A,MATCH(I428,Rounds!$B:$B,0)),"ADD LEAGUE TO ROUNDS")</f>
        <v>5</v>
      </c>
      <c r="K428" s="6" t="n">
        <f aca="false">IFERROR(VALUE(LEFT(E428,FIND(" - ",E428)-1)),"")</f>
        <v>1</v>
      </c>
      <c r="L428" s="5" t="s">
        <v>1360</v>
      </c>
      <c r="N428" s="6" t="n">
        <f aca="false">IF(F428="","",1+COUNTIFS($J:$J,J428,$K:$K,K428,$F:$F,"&gt;"&amp;F428)+COUNTIFS($J:$J,J428,$K:$K,K428,$F:$F,F428,$G:$G,"&gt;"&amp;G428))</f>
        <v>9</v>
      </c>
      <c r="O428" s="6" t="n">
        <f aca="false">IF(L428="","",SUMIFS(Votes!$E:$E,Votes!$A:$A,J428,Votes!$B:$B,K428,Votes!$D:$D,L428))</f>
        <v>7</v>
      </c>
      <c r="P428" s="6" t="n">
        <f aca="false">IF(L428="","",COUNTIFS(Votes!$A:$A,J428,Votes!$B:$B,K428,Votes!$D:$D,L428))</f>
        <v>7</v>
      </c>
      <c r="Q428" s="7" t="str">
        <f aca="false">IF(F428="","Unscored",IF(O428="","No URI",IF(AND(F428=0,O428=0),"Zero-vote",IF(AND(F428=O428,G428=P428),"OK",IF(AND(F428=0,O428&gt;0,COUNTIFS(Votes!$A:$A,J428,Votes!$B:$B,K428,Votes!$C:$C,D428)=0),"Forfeited","Mismatch")))))</f>
        <v>OK</v>
      </c>
      <c r="R428" s="6" t="n">
        <f aca="false">MAX(IF(L428&lt;&gt;"",COUNTIF($L:$L,L428),0),COUNTIFS($A:$A,A428,$B:$B,B428))</f>
        <v>1</v>
      </c>
      <c r="S428" s="6" t="str">
        <f aca="false">IF(R428&gt;1,COUNTIF($R$2:R428,"&gt;1"),"")</f>
        <v/>
      </c>
      <c r="T428" s="6" t="str">
        <f aca="false">IF(L428="","",J428&amp;"|"&amp;K428&amp;"|"&amp;L428)</f>
        <v>5|1|spotify:track:6IcrwGdIvRsrImOnoYfG9Z</v>
      </c>
      <c r="U428" s="6" t="str">
        <f aca="false">IF(C428="","",IFERROR(INDEX(Lists!$F:$F,MATCH(C428,Lists!$E:$E,0)),"Unmapped"))</f>
        <v>Hip-Hop/Rap</v>
      </c>
    </row>
    <row r="429" customFormat="false" ht="15" hidden="false" customHeight="false" outlineLevel="0" collapsed="false">
      <c r="A429" s="5" t="s">
        <v>1361</v>
      </c>
      <c r="B429" s="5" t="s">
        <v>1362</v>
      </c>
      <c r="C429" s="5" t="s">
        <v>96</v>
      </c>
      <c r="D429" s="5" t="s">
        <v>116</v>
      </c>
      <c r="E429" s="5" t="s">
        <v>1334</v>
      </c>
      <c r="F429" s="5" t="n">
        <v>5</v>
      </c>
      <c r="G429" s="5" t="n">
        <v>4</v>
      </c>
      <c r="H429" s="6" t="str">
        <f aca="false">IF(N429="","",N429&amp;IF(AND(MOD(N429,100)&gt;=11,MOD(N429,100)&lt;=13),"th",CHOOSE(MIN(5,MOD(N429,10)+1),"th","st","nd","rd","th")))</f>
        <v>10th</v>
      </c>
      <c r="I429" s="5" t="s">
        <v>1335</v>
      </c>
      <c r="J429" s="6" t="n">
        <f aca="false">IFERROR(INDEX(Rounds!$A:$A,MATCH(I429,Rounds!$B:$B,0)),"ADD LEAGUE TO ROUNDS")</f>
        <v>5</v>
      </c>
      <c r="K429" s="6" t="n">
        <f aca="false">IFERROR(VALUE(LEFT(E429,FIND(" - ",E429)-1)),"")</f>
        <v>1</v>
      </c>
      <c r="L429" s="5" t="s">
        <v>1363</v>
      </c>
      <c r="N429" s="6" t="n">
        <f aca="false">IF(F429="","",1+COUNTIFS($J:$J,J429,$K:$K,K429,$F:$F,"&gt;"&amp;F429)+COUNTIFS($J:$J,J429,$K:$K,K429,$F:$F,F429,$G:$G,"&gt;"&amp;G429))</f>
        <v>10</v>
      </c>
      <c r="O429" s="6" t="n">
        <f aca="false">IF(L429="","",SUMIFS(Votes!$E:$E,Votes!$A:$A,J429,Votes!$B:$B,K429,Votes!$D:$D,L429))</f>
        <v>5</v>
      </c>
      <c r="P429" s="6" t="n">
        <f aca="false">IF(L429="","",COUNTIFS(Votes!$A:$A,J429,Votes!$B:$B,K429,Votes!$D:$D,L429))</f>
        <v>4</v>
      </c>
      <c r="Q429" s="7" t="str">
        <f aca="false">IF(F429="","Unscored",IF(O429="","No URI",IF(AND(F429=0,O429=0),"Zero-vote",IF(AND(F429=O429,G429=P429),"OK",IF(AND(F429=0,O429&gt;0,COUNTIFS(Votes!$A:$A,J429,Votes!$B:$B,K429,Votes!$C:$C,D429)=0),"Forfeited","Mismatch")))))</f>
        <v>OK</v>
      </c>
      <c r="R429" s="6" t="n">
        <f aca="false">MAX(IF(L429&lt;&gt;"",COUNTIF($L:$L,L429),0),COUNTIFS($A:$A,A429,$B:$B,B429))</f>
        <v>1</v>
      </c>
      <c r="S429" s="6" t="str">
        <f aca="false">IF(R429&gt;1,COUNTIF($R$2:R429,"&gt;1"),"")</f>
        <v/>
      </c>
      <c r="T429" s="6" t="str">
        <f aca="false">IF(L429="","",J429&amp;"|"&amp;K429&amp;"|"&amp;L429)</f>
        <v>5|1|spotify:track:7sq2z9oX2S0CvgTqCZ0ko4</v>
      </c>
      <c r="U429" s="6" t="str">
        <f aca="false">IF(C429="","",IFERROR(INDEX(Lists!$F:$F,MATCH(C429,Lists!$E:$E,0)),"Unmapped"))</f>
        <v>R&amp;B/Soul</v>
      </c>
    </row>
    <row r="430" customFormat="false" ht="15" hidden="false" customHeight="false" outlineLevel="0" collapsed="false">
      <c r="A430" s="5" t="s">
        <v>1364</v>
      </c>
      <c r="B430" s="5" t="s">
        <v>1365</v>
      </c>
      <c r="C430" s="5" t="s">
        <v>84</v>
      </c>
      <c r="D430" s="5" t="s">
        <v>719</v>
      </c>
      <c r="E430" s="5" t="s">
        <v>1334</v>
      </c>
      <c r="F430" s="5" t="n">
        <v>5</v>
      </c>
      <c r="G430" s="5" t="n">
        <v>4</v>
      </c>
      <c r="H430" s="6" t="str">
        <f aca="false">IF(N430="","",N430&amp;IF(AND(MOD(N430,100)&gt;=11,MOD(N430,100)&lt;=13),"th",CHOOSE(MIN(5,MOD(N430,10)+1),"th","st","nd","rd","th")))</f>
        <v>10th</v>
      </c>
      <c r="I430" s="5" t="s">
        <v>1335</v>
      </c>
      <c r="J430" s="6" t="n">
        <f aca="false">IFERROR(INDEX(Rounds!$A:$A,MATCH(I430,Rounds!$B:$B,0)),"ADD LEAGUE TO ROUNDS")</f>
        <v>5</v>
      </c>
      <c r="K430" s="6" t="n">
        <f aca="false">IFERROR(VALUE(LEFT(E430,FIND(" - ",E430)-1)),"")</f>
        <v>1</v>
      </c>
      <c r="L430" s="5" t="s">
        <v>1366</v>
      </c>
      <c r="N430" s="6" t="n">
        <f aca="false">IF(F430="","",1+COUNTIFS($J:$J,J430,$K:$K,K430,$F:$F,"&gt;"&amp;F430)+COUNTIFS($J:$J,J430,$K:$K,K430,$F:$F,F430,$G:$G,"&gt;"&amp;G430))</f>
        <v>10</v>
      </c>
      <c r="O430" s="6" t="n">
        <f aca="false">IF(L430="","",SUMIFS(Votes!$E:$E,Votes!$A:$A,J430,Votes!$B:$B,K430,Votes!$D:$D,L430))</f>
        <v>5</v>
      </c>
      <c r="P430" s="6" t="n">
        <f aca="false">IF(L430="","",COUNTIFS(Votes!$A:$A,J430,Votes!$B:$B,K430,Votes!$D:$D,L430))</f>
        <v>4</v>
      </c>
      <c r="Q430" s="7" t="str">
        <f aca="false">IF(F430="","Unscored",IF(O430="","No URI",IF(AND(F430=0,O430=0),"Zero-vote",IF(AND(F430=O430,G430=P430),"OK",IF(AND(F430=0,O430&gt;0,COUNTIFS(Votes!$A:$A,J430,Votes!$B:$B,K430,Votes!$C:$C,D430)=0),"Forfeited","Mismatch")))))</f>
        <v>OK</v>
      </c>
      <c r="R430" s="6" t="n">
        <f aca="false">MAX(IF(L430&lt;&gt;"",COUNTIF($L:$L,L430),0),COUNTIFS($A:$A,A430,$B:$B,B430))</f>
        <v>1</v>
      </c>
      <c r="S430" s="6" t="str">
        <f aca="false">IF(R430&gt;1,COUNTIF($R$2:R430,"&gt;1"),"")</f>
        <v/>
      </c>
      <c r="T430" s="6" t="str">
        <f aca="false">IF(L430="","",J430&amp;"|"&amp;K430&amp;"|"&amp;L430)</f>
        <v>5|1|spotify:track:7ijKen7rccf56qOMGkS22e</v>
      </c>
      <c r="U430" s="6" t="str">
        <f aca="false">IF(C430="","",IFERROR(INDEX(Lists!$F:$F,MATCH(C430,Lists!$E:$E,0)),"Unmapped"))</f>
        <v>Pop</v>
      </c>
    </row>
    <row r="431" customFormat="false" ht="15" hidden="false" customHeight="false" outlineLevel="0" collapsed="false">
      <c r="A431" s="5" t="s">
        <v>1367</v>
      </c>
      <c r="B431" s="5" t="s">
        <v>1368</v>
      </c>
      <c r="C431" s="5" t="s">
        <v>248</v>
      </c>
      <c r="D431" s="5" t="s">
        <v>705</v>
      </c>
      <c r="E431" s="5" t="s">
        <v>1334</v>
      </c>
      <c r="F431" s="5" t="n">
        <v>4</v>
      </c>
      <c r="G431" s="5" t="n">
        <v>4</v>
      </c>
      <c r="H431" s="6" t="str">
        <f aca="false">IF(N431="","",N431&amp;IF(AND(MOD(N431,100)&gt;=11,MOD(N431,100)&lt;=13),"th",CHOOSE(MIN(5,MOD(N431,10)+1),"th","st","nd","rd","th")))</f>
        <v>12th</v>
      </c>
      <c r="I431" s="5" t="s">
        <v>1335</v>
      </c>
      <c r="J431" s="6" t="n">
        <f aca="false">IFERROR(INDEX(Rounds!$A:$A,MATCH(I431,Rounds!$B:$B,0)),"ADD LEAGUE TO ROUNDS")</f>
        <v>5</v>
      </c>
      <c r="K431" s="6" t="n">
        <f aca="false">IFERROR(VALUE(LEFT(E431,FIND(" - ",E431)-1)),"")</f>
        <v>1</v>
      </c>
      <c r="L431" s="5" t="s">
        <v>1369</v>
      </c>
      <c r="N431" s="6" t="n">
        <f aca="false">IF(F431="","",1+COUNTIFS($J:$J,J431,$K:$K,K431,$F:$F,"&gt;"&amp;F431)+COUNTIFS($J:$J,J431,$K:$K,K431,$F:$F,F431,$G:$G,"&gt;"&amp;G431))</f>
        <v>12</v>
      </c>
      <c r="O431" s="6" t="n">
        <f aca="false">IF(L431="","",SUMIFS(Votes!$E:$E,Votes!$A:$A,J431,Votes!$B:$B,K431,Votes!$D:$D,L431))</f>
        <v>4</v>
      </c>
      <c r="P431" s="6" t="n">
        <f aca="false">IF(L431="","",COUNTIFS(Votes!$A:$A,J431,Votes!$B:$B,K431,Votes!$D:$D,L431))</f>
        <v>4</v>
      </c>
      <c r="Q431" s="7" t="str">
        <f aca="false">IF(F431="","Unscored",IF(O431="","No URI",IF(AND(F431=0,O431=0),"Zero-vote",IF(AND(F431=O431,G431=P431),"OK",IF(AND(F431=0,O431&gt;0,COUNTIFS(Votes!$A:$A,J431,Votes!$B:$B,K431,Votes!$C:$C,D431)=0),"Forfeited","Mismatch")))))</f>
        <v>OK</v>
      </c>
      <c r="R431" s="6" t="n">
        <f aca="false">MAX(IF(L431&lt;&gt;"",COUNTIF($L:$L,L431),0),COUNTIFS($A:$A,A431,$B:$B,B431))</f>
        <v>1</v>
      </c>
      <c r="S431" s="6" t="str">
        <f aca="false">IF(R431&gt;1,COUNTIF($R$2:R431,"&gt;1"),"")</f>
        <v/>
      </c>
      <c r="T431" s="6" t="str">
        <f aca="false">IF(L431="","",J431&amp;"|"&amp;K431&amp;"|"&amp;L431)</f>
        <v>5|1|spotify:track:2JAUBPBVkimRLc5BGhAkfJ</v>
      </c>
      <c r="U431" s="6" t="str">
        <f aca="false">IF(C431="","",IFERROR(INDEX(Lists!$F:$F,MATCH(C431,Lists!$E:$E,0)),"Unmapped"))</f>
        <v>Folk/Americana</v>
      </c>
    </row>
    <row r="432" customFormat="false" ht="15" hidden="false" customHeight="false" outlineLevel="0" collapsed="false">
      <c r="A432" s="5" t="s">
        <v>1370</v>
      </c>
      <c r="B432" s="5" t="s">
        <v>1371</v>
      </c>
      <c r="C432" s="5" t="s">
        <v>248</v>
      </c>
      <c r="D432" s="5" t="s">
        <v>106</v>
      </c>
      <c r="E432" s="5" t="s">
        <v>1334</v>
      </c>
      <c r="F432" s="5" t="n">
        <v>3</v>
      </c>
      <c r="G432" s="5" t="n">
        <v>3</v>
      </c>
      <c r="H432" s="6" t="str">
        <f aca="false">IF(N432="","",N432&amp;IF(AND(MOD(N432,100)&gt;=11,MOD(N432,100)&lt;=13),"th",CHOOSE(MIN(5,MOD(N432,10)+1),"th","st","nd","rd","th")))</f>
        <v>13th</v>
      </c>
      <c r="I432" s="5" t="s">
        <v>1335</v>
      </c>
      <c r="J432" s="6" t="n">
        <f aca="false">IFERROR(INDEX(Rounds!$A:$A,MATCH(I432,Rounds!$B:$B,0)),"ADD LEAGUE TO ROUNDS")</f>
        <v>5</v>
      </c>
      <c r="K432" s="6" t="n">
        <f aca="false">IFERROR(VALUE(LEFT(E432,FIND(" - ",E432)-1)),"")</f>
        <v>1</v>
      </c>
      <c r="L432" s="5" t="s">
        <v>1372</v>
      </c>
      <c r="N432" s="6" t="n">
        <f aca="false">IF(F432="","",1+COUNTIFS($J:$J,J432,$K:$K,K432,$F:$F,"&gt;"&amp;F432)+COUNTIFS($J:$J,J432,$K:$K,K432,$F:$F,F432,$G:$G,"&gt;"&amp;G432))</f>
        <v>13</v>
      </c>
      <c r="O432" s="6" t="n">
        <f aca="false">IF(L432="","",SUMIFS(Votes!$E:$E,Votes!$A:$A,J432,Votes!$B:$B,K432,Votes!$D:$D,L432))</f>
        <v>3</v>
      </c>
      <c r="P432" s="6" t="n">
        <f aca="false">IF(L432="","",COUNTIFS(Votes!$A:$A,J432,Votes!$B:$B,K432,Votes!$D:$D,L432))</f>
        <v>3</v>
      </c>
      <c r="Q432" s="7" t="str">
        <f aca="false">IF(F432="","Unscored",IF(O432="","No URI",IF(AND(F432=0,O432=0),"Zero-vote",IF(AND(F432=O432,G432=P432),"OK",IF(AND(F432=0,O432&gt;0,COUNTIFS(Votes!$A:$A,J432,Votes!$B:$B,K432,Votes!$C:$C,D432)=0),"Forfeited","Mismatch")))))</f>
        <v>OK</v>
      </c>
      <c r="R432" s="6" t="n">
        <f aca="false">MAX(IF(L432&lt;&gt;"",COUNTIF($L:$L,L432),0),COUNTIFS($A:$A,A432,$B:$B,B432))</f>
        <v>1</v>
      </c>
      <c r="S432" s="6" t="str">
        <f aca="false">IF(R432&gt;1,COUNTIF($R$2:R432,"&gt;1"),"")</f>
        <v/>
      </c>
      <c r="T432" s="6" t="str">
        <f aca="false">IF(L432="","",J432&amp;"|"&amp;K432&amp;"|"&amp;L432)</f>
        <v>5|1|spotify:track:5mb6SzBnxv1ywFSH9V3uxd</v>
      </c>
      <c r="U432" s="6" t="str">
        <f aca="false">IF(C432="","",IFERROR(INDEX(Lists!$F:$F,MATCH(C432,Lists!$E:$E,0)),"Unmapped"))</f>
        <v>Folk/Americana</v>
      </c>
    </row>
    <row r="433" customFormat="false" ht="15" hidden="false" customHeight="false" outlineLevel="0" collapsed="false">
      <c r="A433" s="5" t="s">
        <v>1373</v>
      </c>
      <c r="B433" s="5" t="s">
        <v>800</v>
      </c>
      <c r="C433" s="5" t="s">
        <v>91</v>
      </c>
      <c r="D433" s="5" t="s">
        <v>1374</v>
      </c>
      <c r="E433" s="5" t="s">
        <v>1334</v>
      </c>
      <c r="F433" s="5" t="n">
        <v>0</v>
      </c>
      <c r="G433" s="5" t="n">
        <v>3</v>
      </c>
      <c r="H433" s="6" t="str">
        <f aca="false">IF(N433="","",N433&amp;IF(AND(MOD(N433,100)&gt;=11,MOD(N433,100)&lt;=13),"th",CHOOSE(MIN(5,MOD(N433,10)+1),"th","st","nd","rd","th")))</f>
        <v>14th</v>
      </c>
      <c r="I433" s="5" t="s">
        <v>1335</v>
      </c>
      <c r="J433" s="6" t="n">
        <f aca="false">IFERROR(INDEX(Rounds!$A:$A,MATCH(I433,Rounds!$B:$B,0)),"ADD LEAGUE TO ROUNDS")</f>
        <v>5</v>
      </c>
      <c r="K433" s="6" t="n">
        <f aca="false">IFERROR(VALUE(LEFT(E433,FIND(" - ",E433)-1)),"")</f>
        <v>1</v>
      </c>
      <c r="L433" s="5" t="s">
        <v>1375</v>
      </c>
      <c r="N433" s="6" t="n">
        <f aca="false">IF(F433="","",1+COUNTIFS($J:$J,J433,$K:$K,K433,$F:$F,"&gt;"&amp;F433)+COUNTIFS($J:$J,J433,$K:$K,K433,$F:$F,F433,$G:$G,"&gt;"&amp;G433))</f>
        <v>14</v>
      </c>
      <c r="O433" s="6" t="n">
        <f aca="false">IF(L433="","",SUMIFS(Votes!$E:$E,Votes!$A:$A,J433,Votes!$B:$B,K433,Votes!$D:$D,L433))</f>
        <v>6</v>
      </c>
      <c r="P433" s="6" t="n">
        <f aca="false">IF(L433="","",COUNTIFS(Votes!$A:$A,J433,Votes!$B:$B,K433,Votes!$D:$D,L433))</f>
        <v>3</v>
      </c>
      <c r="Q433" s="7" t="str">
        <f aca="false">IF(F433="","Unscored",IF(O433="","No URI",IF(AND(F433=0,O433=0),"Zero-vote",IF(AND(F433=O433,G433=P433),"OK",IF(AND(F433=0,O433&gt;0,COUNTIFS(Votes!$A:$A,J433,Votes!$B:$B,K433,Votes!$C:$C,D433)=0),"Forfeited","Mismatch")))))</f>
        <v>Forfeited</v>
      </c>
      <c r="R433" s="6" t="n">
        <f aca="false">MAX(IF(L433&lt;&gt;"",COUNTIF($L:$L,L433),0),COUNTIFS($A:$A,A433,$B:$B,B433))</f>
        <v>1</v>
      </c>
      <c r="S433" s="6" t="str">
        <f aca="false">IF(R433&gt;1,COUNTIF($R$2:R433,"&gt;1"),"")</f>
        <v/>
      </c>
      <c r="T433" s="6" t="str">
        <f aca="false">IF(L433="","",J433&amp;"|"&amp;K433&amp;"|"&amp;L433)</f>
        <v>5|1|spotify:track:3eRLKD1Lgc2OrYGxRxX62s</v>
      </c>
      <c r="U433" s="6" t="str">
        <f aca="false">IF(C433="","",IFERROR(INDEX(Lists!$F:$F,MATCH(C433,Lists!$E:$E,0)),"Unmapped"))</f>
        <v>Rock</v>
      </c>
    </row>
    <row r="434" customFormat="false" ht="15" hidden="false" customHeight="false" outlineLevel="0" collapsed="false">
      <c r="A434" s="5" t="s">
        <v>1376</v>
      </c>
      <c r="B434" s="5" t="s">
        <v>766</v>
      </c>
      <c r="C434" s="5" t="s">
        <v>91</v>
      </c>
      <c r="D434" s="5" t="s">
        <v>484</v>
      </c>
      <c r="E434" s="5" t="s">
        <v>1334</v>
      </c>
      <c r="F434" s="5" t="n">
        <v>0</v>
      </c>
      <c r="G434" s="5" t="n">
        <v>2</v>
      </c>
      <c r="H434" s="6" t="str">
        <f aca="false">IF(N434="","",N434&amp;IF(AND(MOD(N434,100)&gt;=11,MOD(N434,100)&lt;=13),"th",CHOOSE(MIN(5,MOD(N434,10)+1),"th","st","nd","rd","th")))</f>
        <v>15th</v>
      </c>
      <c r="I434" s="5" t="s">
        <v>1335</v>
      </c>
      <c r="J434" s="6" t="n">
        <f aca="false">IFERROR(INDEX(Rounds!$A:$A,MATCH(I434,Rounds!$B:$B,0)),"ADD LEAGUE TO ROUNDS")</f>
        <v>5</v>
      </c>
      <c r="K434" s="6" t="n">
        <f aca="false">IFERROR(VALUE(LEFT(E434,FIND(" - ",E434)-1)),"")</f>
        <v>1</v>
      </c>
      <c r="L434" s="5" t="s">
        <v>1377</v>
      </c>
      <c r="N434" s="6" t="n">
        <f aca="false">IF(F434="","",1+COUNTIFS($J:$J,J434,$K:$K,K434,$F:$F,"&gt;"&amp;F434)+COUNTIFS($J:$J,J434,$K:$K,K434,$F:$F,F434,$G:$G,"&gt;"&amp;G434))</f>
        <v>15</v>
      </c>
      <c r="O434" s="6" t="n">
        <f aca="false">IF(L434="","",SUMIFS(Votes!$E:$E,Votes!$A:$A,J434,Votes!$B:$B,K434,Votes!$D:$D,L434))</f>
        <v>2</v>
      </c>
      <c r="P434" s="6" t="n">
        <f aca="false">IF(L434="","",COUNTIFS(Votes!$A:$A,J434,Votes!$B:$B,K434,Votes!$D:$D,L434))</f>
        <v>2</v>
      </c>
      <c r="Q434" s="7" t="str">
        <f aca="false">IF(F434="","Unscored",IF(O434="","No URI",IF(AND(F434=0,O434=0),"Zero-vote",IF(AND(F434=O434,G434=P434),"OK",IF(AND(F434=0,O434&gt;0,COUNTIFS(Votes!$A:$A,J434,Votes!$B:$B,K434,Votes!$C:$C,D434)=0),"Forfeited","Mismatch")))))</f>
        <v>Forfeited</v>
      </c>
      <c r="R434" s="6" t="n">
        <f aca="false">MAX(IF(L434&lt;&gt;"",COUNTIF($L:$L,L434),0),COUNTIFS($A:$A,A434,$B:$B,B434))</f>
        <v>1</v>
      </c>
      <c r="S434" s="6" t="str">
        <f aca="false">IF(R434&gt;1,COUNTIF($R$2:R434,"&gt;1"),"")</f>
        <v/>
      </c>
      <c r="T434" s="6" t="str">
        <f aca="false">IF(L434="","",J434&amp;"|"&amp;K434&amp;"|"&amp;L434)</f>
        <v>5|1|spotify:track:58R1SG4RgVE5eHApvNvFae</v>
      </c>
      <c r="U434" s="6" t="str">
        <f aca="false">IF(C434="","",IFERROR(INDEX(Lists!$F:$F,MATCH(C434,Lists!$E:$E,0)),"Unmapped"))</f>
        <v>Rock</v>
      </c>
    </row>
    <row r="435" customFormat="false" ht="15" hidden="false" customHeight="false" outlineLevel="0" collapsed="false">
      <c r="A435" s="5" t="s">
        <v>1378</v>
      </c>
      <c r="B435" s="5" t="s">
        <v>1379</v>
      </c>
      <c r="C435" s="5" t="s">
        <v>171</v>
      </c>
      <c r="D435" s="5" t="s">
        <v>382</v>
      </c>
      <c r="E435" s="5" t="s">
        <v>1334</v>
      </c>
      <c r="F435" s="5" t="n">
        <v>0</v>
      </c>
      <c r="G435" s="5" t="n">
        <v>0</v>
      </c>
      <c r="H435" s="6" t="str">
        <f aca="false">IF(N435="","",N435&amp;IF(AND(MOD(N435,100)&gt;=11,MOD(N435,100)&lt;=13),"th",CHOOSE(MIN(5,MOD(N435,10)+1),"th","st","nd","rd","th")))</f>
        <v>16th</v>
      </c>
      <c r="I435" s="5" t="s">
        <v>1335</v>
      </c>
      <c r="J435" s="6" t="n">
        <f aca="false">IFERROR(INDEX(Rounds!$A:$A,MATCH(I435,Rounds!$B:$B,0)),"ADD LEAGUE TO ROUNDS")</f>
        <v>5</v>
      </c>
      <c r="K435" s="6" t="n">
        <f aca="false">IFERROR(VALUE(LEFT(E435,FIND(" - ",E435)-1)),"")</f>
        <v>1</v>
      </c>
      <c r="L435" s="5" t="s">
        <v>1380</v>
      </c>
      <c r="N435" s="6" t="n">
        <f aca="false">IF(F435="","",1+COUNTIFS($J:$J,J435,$K:$K,K435,$F:$F,"&gt;"&amp;F435)+COUNTIFS($J:$J,J435,$K:$K,K435,$F:$F,F435,$G:$G,"&gt;"&amp;G435))</f>
        <v>16</v>
      </c>
      <c r="O435" s="6" t="n">
        <f aca="false">IF(L435="","",SUMIFS(Votes!$E:$E,Votes!$A:$A,J435,Votes!$B:$B,K435,Votes!$D:$D,L435))</f>
        <v>0</v>
      </c>
      <c r="P435" s="6" t="n">
        <f aca="false">IF(L435="","",COUNTIFS(Votes!$A:$A,J435,Votes!$B:$B,K435,Votes!$D:$D,L435))</f>
        <v>0</v>
      </c>
      <c r="Q435" s="7" t="str">
        <f aca="false">IF(F435="","Unscored",IF(O435="","No URI",IF(AND(F435=0,O435=0),"Zero-vote",IF(AND(F435=O435,G435=P435),"OK",IF(AND(F435=0,O435&gt;0,COUNTIFS(Votes!$A:$A,J435,Votes!$B:$B,K435,Votes!$C:$C,D435)=0),"Forfeited","Mismatch")))))</f>
        <v>Zero-vote</v>
      </c>
      <c r="R435" s="6" t="n">
        <f aca="false">MAX(IF(L435&lt;&gt;"",COUNTIF($L:$L,L435),0),COUNTIFS($A:$A,A435,$B:$B,B435))</f>
        <v>1</v>
      </c>
      <c r="S435" s="6" t="str">
        <f aca="false">IF(R435&gt;1,COUNTIF($R$2:R435,"&gt;1"),"")</f>
        <v/>
      </c>
      <c r="T435" s="6" t="str">
        <f aca="false">IF(L435="","",J435&amp;"|"&amp;K435&amp;"|"&amp;L435)</f>
        <v>5|1|spotify:track:7GJ8aXAGdfjo2OAh6XreB6</v>
      </c>
      <c r="U435" s="6" t="str">
        <f aca="false">IF(C435="","",IFERROR(INDEX(Lists!$F:$F,MATCH(C435,Lists!$E:$E,0)),"Unmapped"))</f>
        <v>Country</v>
      </c>
    </row>
    <row r="436" customFormat="false" ht="15" hidden="false" customHeight="false" outlineLevel="0" collapsed="false">
      <c r="A436" s="5" t="s">
        <v>1381</v>
      </c>
      <c r="B436" s="5" t="s">
        <v>601</v>
      </c>
      <c r="C436" s="5" t="s">
        <v>84</v>
      </c>
      <c r="D436" s="5" t="s">
        <v>119</v>
      </c>
      <c r="E436" s="5" t="s">
        <v>1382</v>
      </c>
      <c r="F436" s="5" t="n">
        <v>17</v>
      </c>
      <c r="G436" s="5" t="n">
        <v>11</v>
      </c>
      <c r="H436" s="6" t="str">
        <f aca="false">IF(N436="","",N436&amp;IF(AND(MOD(N436,100)&gt;=11,MOD(N436,100)&lt;=13),"th",CHOOSE(MIN(5,MOD(N436,10)+1),"th","st","nd","rd","th")))</f>
        <v>1st</v>
      </c>
      <c r="I436" s="5" t="s">
        <v>1335</v>
      </c>
      <c r="J436" s="6" t="n">
        <f aca="false">IFERROR(INDEX(Rounds!$A:$A,MATCH(I436,Rounds!$B:$B,0)),"ADD LEAGUE TO ROUNDS")</f>
        <v>5</v>
      </c>
      <c r="K436" s="6" t="n">
        <f aca="false">IFERROR(VALUE(LEFT(E436,FIND(" - ",E436)-1)),"")</f>
        <v>2</v>
      </c>
      <c r="L436" s="5" t="s">
        <v>1383</v>
      </c>
      <c r="N436" s="6" t="n">
        <f aca="false">IF(F436="","",1+COUNTIFS($J:$J,J436,$K:$K,K436,$F:$F,"&gt;"&amp;F436)+COUNTIFS($J:$J,J436,$K:$K,K436,$F:$F,F436,$G:$G,"&gt;"&amp;G436))</f>
        <v>1</v>
      </c>
      <c r="O436" s="6" t="n">
        <f aca="false">IF(L436="","",SUMIFS(Votes!$E:$E,Votes!$A:$A,J436,Votes!$B:$B,K436,Votes!$D:$D,L436))</f>
        <v>17</v>
      </c>
      <c r="P436" s="6" t="n">
        <f aca="false">IF(L436="","",COUNTIFS(Votes!$A:$A,J436,Votes!$B:$B,K436,Votes!$D:$D,L436))</f>
        <v>11</v>
      </c>
      <c r="Q436" s="7" t="str">
        <f aca="false">IF(F436="","Unscored",IF(O436="","No URI",IF(AND(F436=0,O436=0),"Zero-vote",IF(AND(F436=O436,G436=P436),"OK",IF(AND(F436=0,O436&gt;0,COUNTIFS(Votes!$A:$A,J436,Votes!$B:$B,K436,Votes!$C:$C,D436)=0),"Forfeited","Mismatch")))))</f>
        <v>OK</v>
      </c>
      <c r="R436" s="6" t="n">
        <f aca="false">MAX(IF(L436&lt;&gt;"",COUNTIF($L:$L,L436),0),COUNTIFS($A:$A,A436,$B:$B,B436))</f>
        <v>1</v>
      </c>
      <c r="S436" s="6" t="str">
        <f aca="false">IF(R436&gt;1,COUNTIF($R$2:R436,"&gt;1"),"")</f>
        <v/>
      </c>
      <c r="T436" s="6" t="str">
        <f aca="false">IF(L436="","",J436&amp;"|"&amp;K436&amp;"|"&amp;L436)</f>
        <v>5|2|spotify:track:6VObnIkLVruX4UVyxWhlqm</v>
      </c>
      <c r="U436" s="6" t="str">
        <f aca="false">IF(C436="","",IFERROR(INDEX(Lists!$F:$F,MATCH(C436,Lists!$E:$E,0)),"Unmapped"))</f>
        <v>Pop</v>
      </c>
    </row>
    <row r="437" customFormat="false" ht="15" hidden="false" customHeight="false" outlineLevel="0" collapsed="false">
      <c r="A437" s="5" t="s">
        <v>1384</v>
      </c>
      <c r="B437" s="5" t="s">
        <v>1385</v>
      </c>
      <c r="C437" s="5" t="s">
        <v>91</v>
      </c>
      <c r="D437" s="5" t="s">
        <v>85</v>
      </c>
      <c r="E437" s="5" t="s">
        <v>1382</v>
      </c>
      <c r="F437" s="5" t="n">
        <v>16</v>
      </c>
      <c r="G437" s="5" t="n">
        <v>13</v>
      </c>
      <c r="H437" s="6" t="str">
        <f aca="false">IF(N437="","",N437&amp;IF(AND(MOD(N437,100)&gt;=11,MOD(N437,100)&lt;=13),"th",CHOOSE(MIN(5,MOD(N437,10)+1),"th","st","nd","rd","th")))</f>
        <v>2nd</v>
      </c>
      <c r="I437" s="5" t="s">
        <v>1335</v>
      </c>
      <c r="J437" s="6" t="n">
        <f aca="false">IFERROR(INDEX(Rounds!$A:$A,MATCH(I437,Rounds!$B:$B,0)),"ADD LEAGUE TO ROUNDS")</f>
        <v>5</v>
      </c>
      <c r="K437" s="6" t="n">
        <f aca="false">IFERROR(VALUE(LEFT(E437,FIND(" - ",E437)-1)),"")</f>
        <v>2</v>
      </c>
      <c r="L437" s="5" t="s">
        <v>1386</v>
      </c>
      <c r="N437" s="6" t="n">
        <f aca="false">IF(F437="","",1+COUNTIFS($J:$J,J437,$K:$K,K437,$F:$F,"&gt;"&amp;F437)+COUNTIFS($J:$J,J437,$K:$K,K437,$F:$F,F437,$G:$G,"&gt;"&amp;G437))</f>
        <v>2</v>
      </c>
      <c r="O437" s="6" t="n">
        <f aca="false">IF(L437="","",SUMIFS(Votes!$E:$E,Votes!$A:$A,J437,Votes!$B:$B,K437,Votes!$D:$D,L437))</f>
        <v>16</v>
      </c>
      <c r="P437" s="6" t="n">
        <f aca="false">IF(L437="","",COUNTIFS(Votes!$A:$A,J437,Votes!$B:$B,K437,Votes!$D:$D,L437))</f>
        <v>13</v>
      </c>
      <c r="Q437" s="7" t="str">
        <f aca="false">IF(F437="","Unscored",IF(O437="","No URI",IF(AND(F437=0,O437=0),"Zero-vote",IF(AND(F437=O437,G437=P437),"OK",IF(AND(F437=0,O437&gt;0,COUNTIFS(Votes!$A:$A,J437,Votes!$B:$B,K437,Votes!$C:$C,D437)=0),"Forfeited","Mismatch")))))</f>
        <v>OK</v>
      </c>
      <c r="R437" s="6" t="n">
        <f aca="false">MAX(IF(L437&lt;&gt;"",COUNTIF($L:$L,L437),0),COUNTIFS($A:$A,A437,$B:$B,B437))</f>
        <v>1</v>
      </c>
      <c r="S437" s="6" t="str">
        <f aca="false">IF(R437&gt;1,COUNTIF($R$2:R437,"&gt;1"),"")</f>
        <v/>
      </c>
      <c r="T437" s="6" t="str">
        <f aca="false">IF(L437="","",J437&amp;"|"&amp;K437&amp;"|"&amp;L437)</f>
        <v>5|2|spotify:track:3hMHG6lx9QHVcfYSUr5PoM</v>
      </c>
      <c r="U437" s="6" t="str">
        <f aca="false">IF(C437="","",IFERROR(INDEX(Lists!$F:$F,MATCH(C437,Lists!$E:$E,0)),"Unmapped"))</f>
        <v>Rock</v>
      </c>
    </row>
    <row r="438" customFormat="false" ht="15" hidden="false" customHeight="false" outlineLevel="0" collapsed="false">
      <c r="A438" s="5" t="s">
        <v>1387</v>
      </c>
      <c r="B438" s="5" t="s">
        <v>1388</v>
      </c>
      <c r="C438" s="5" t="s">
        <v>91</v>
      </c>
      <c r="D438" s="5" t="s">
        <v>97</v>
      </c>
      <c r="E438" s="5" t="s">
        <v>1382</v>
      </c>
      <c r="F438" s="5" t="n">
        <v>16</v>
      </c>
      <c r="G438" s="5" t="n">
        <v>11</v>
      </c>
      <c r="H438" s="6" t="str">
        <f aca="false">IF(N438="","",N438&amp;IF(AND(MOD(N438,100)&gt;=11,MOD(N438,100)&lt;=13),"th",CHOOSE(MIN(5,MOD(N438,10)+1),"th","st","nd","rd","th")))</f>
        <v>3rd</v>
      </c>
      <c r="I438" s="5" t="s">
        <v>1335</v>
      </c>
      <c r="J438" s="6" t="n">
        <f aca="false">IFERROR(INDEX(Rounds!$A:$A,MATCH(I438,Rounds!$B:$B,0)),"ADD LEAGUE TO ROUNDS")</f>
        <v>5</v>
      </c>
      <c r="K438" s="6" t="n">
        <f aca="false">IFERROR(VALUE(LEFT(E438,FIND(" - ",E438)-1)),"")</f>
        <v>2</v>
      </c>
      <c r="L438" s="5" t="s">
        <v>1389</v>
      </c>
      <c r="N438" s="6" t="n">
        <f aca="false">IF(F438="","",1+COUNTIFS($J:$J,J438,$K:$K,K438,$F:$F,"&gt;"&amp;F438)+COUNTIFS($J:$J,J438,$K:$K,K438,$F:$F,F438,$G:$G,"&gt;"&amp;G438))</f>
        <v>3</v>
      </c>
      <c r="O438" s="6" t="n">
        <f aca="false">IF(L438="","",SUMIFS(Votes!$E:$E,Votes!$A:$A,J438,Votes!$B:$B,K438,Votes!$D:$D,L438))</f>
        <v>16</v>
      </c>
      <c r="P438" s="6" t="n">
        <f aca="false">IF(L438="","",COUNTIFS(Votes!$A:$A,J438,Votes!$B:$B,K438,Votes!$D:$D,L438))</f>
        <v>11</v>
      </c>
      <c r="Q438" s="7" t="str">
        <f aca="false">IF(F438="","Unscored",IF(O438="","No URI",IF(AND(F438=0,O438=0),"Zero-vote",IF(AND(F438=O438,G438=P438),"OK",IF(AND(F438=0,O438&gt;0,COUNTIFS(Votes!$A:$A,J438,Votes!$B:$B,K438,Votes!$C:$C,D438)=0),"Forfeited","Mismatch")))))</f>
        <v>OK</v>
      </c>
      <c r="R438" s="6" t="n">
        <f aca="false">MAX(IF(L438&lt;&gt;"",COUNTIF($L:$L,L438),0),COUNTIFS($A:$A,A438,$B:$B,B438))</f>
        <v>1</v>
      </c>
      <c r="S438" s="6" t="str">
        <f aca="false">IF(R438&gt;1,COUNTIF($R$2:R438,"&gt;1"),"")</f>
        <v/>
      </c>
      <c r="T438" s="6" t="str">
        <f aca="false">IF(L438="","",J438&amp;"|"&amp;K438&amp;"|"&amp;L438)</f>
        <v>5|2|spotify:track:4ccM2xBxicGigjLqt6A0YY</v>
      </c>
      <c r="U438" s="6" t="str">
        <f aca="false">IF(C438="","",IFERROR(INDEX(Lists!$F:$F,MATCH(C438,Lists!$E:$E,0)),"Unmapped"))</f>
        <v>Rock</v>
      </c>
    </row>
    <row r="439" customFormat="false" ht="15" hidden="false" customHeight="false" outlineLevel="0" collapsed="false">
      <c r="A439" s="5" t="s">
        <v>1390</v>
      </c>
      <c r="B439" s="5" t="s">
        <v>1215</v>
      </c>
      <c r="C439" s="5" t="s">
        <v>91</v>
      </c>
      <c r="D439" s="5" t="s">
        <v>719</v>
      </c>
      <c r="E439" s="5" t="s">
        <v>1382</v>
      </c>
      <c r="F439" s="5" t="n">
        <v>14</v>
      </c>
      <c r="G439" s="5" t="n">
        <v>9</v>
      </c>
      <c r="H439" s="6" t="str">
        <f aca="false">IF(N439="","",N439&amp;IF(AND(MOD(N439,100)&gt;=11,MOD(N439,100)&lt;=13),"th",CHOOSE(MIN(5,MOD(N439,10)+1),"th","st","nd","rd","th")))</f>
        <v>4th</v>
      </c>
      <c r="I439" s="5" t="s">
        <v>1335</v>
      </c>
      <c r="J439" s="6" t="n">
        <f aca="false">IFERROR(INDEX(Rounds!$A:$A,MATCH(I439,Rounds!$B:$B,0)),"ADD LEAGUE TO ROUNDS")</f>
        <v>5</v>
      </c>
      <c r="K439" s="6" t="n">
        <f aca="false">IFERROR(VALUE(LEFT(E439,FIND(" - ",E439)-1)),"")</f>
        <v>2</v>
      </c>
      <c r="L439" s="5" t="s">
        <v>1391</v>
      </c>
      <c r="N439" s="6" t="n">
        <f aca="false">IF(F439="","",1+COUNTIFS($J:$J,J439,$K:$K,K439,$F:$F,"&gt;"&amp;F439)+COUNTIFS($J:$J,J439,$K:$K,K439,$F:$F,F439,$G:$G,"&gt;"&amp;G439))</f>
        <v>4</v>
      </c>
      <c r="O439" s="6" t="n">
        <f aca="false">IF(L439="","",SUMIFS(Votes!$E:$E,Votes!$A:$A,J439,Votes!$B:$B,K439,Votes!$D:$D,L439))</f>
        <v>14</v>
      </c>
      <c r="P439" s="6" t="n">
        <f aca="false">IF(L439="","",COUNTIFS(Votes!$A:$A,J439,Votes!$B:$B,K439,Votes!$D:$D,L439))</f>
        <v>9</v>
      </c>
      <c r="Q439" s="7" t="str">
        <f aca="false">IF(F439="","Unscored",IF(O439="","No URI",IF(AND(F439=0,O439=0),"Zero-vote",IF(AND(F439=O439,G439=P439),"OK",IF(AND(F439=0,O439&gt;0,COUNTIFS(Votes!$A:$A,J439,Votes!$B:$B,K439,Votes!$C:$C,D439)=0),"Forfeited","Mismatch")))))</f>
        <v>OK</v>
      </c>
      <c r="R439" s="6" t="n">
        <f aca="false">MAX(IF(L439&lt;&gt;"",COUNTIF($L:$L,L439),0),COUNTIFS($A:$A,A439,$B:$B,B439))</f>
        <v>1</v>
      </c>
      <c r="S439" s="6" t="str">
        <f aca="false">IF(R439&gt;1,COUNTIF($R$2:R439,"&gt;1"),"")</f>
        <v/>
      </c>
      <c r="T439" s="6" t="str">
        <f aca="false">IF(L439="","",J439&amp;"|"&amp;K439&amp;"|"&amp;L439)</f>
        <v>5|2|spotify:track:2pGH58HmgqdOcZTTO9Po7t</v>
      </c>
      <c r="U439" s="6" t="str">
        <f aca="false">IF(C439="","",IFERROR(INDEX(Lists!$F:$F,MATCH(C439,Lists!$E:$E,0)),"Unmapped"))</f>
        <v>Rock</v>
      </c>
    </row>
    <row r="440" customFormat="false" ht="15" hidden="false" customHeight="false" outlineLevel="0" collapsed="false">
      <c r="A440" s="5" t="s">
        <v>1392</v>
      </c>
      <c r="B440" s="5" t="s">
        <v>1393</v>
      </c>
      <c r="C440" s="5" t="s">
        <v>91</v>
      </c>
      <c r="D440" s="5" t="s">
        <v>128</v>
      </c>
      <c r="E440" s="5" t="s">
        <v>1382</v>
      </c>
      <c r="F440" s="5" t="n">
        <v>13</v>
      </c>
      <c r="G440" s="5" t="n">
        <v>10</v>
      </c>
      <c r="H440" s="6" t="str">
        <f aca="false">IF(N440="","",N440&amp;IF(AND(MOD(N440,100)&gt;=11,MOD(N440,100)&lt;=13),"th",CHOOSE(MIN(5,MOD(N440,10)+1),"th","st","nd","rd","th")))</f>
        <v>5th</v>
      </c>
      <c r="I440" s="5" t="s">
        <v>1335</v>
      </c>
      <c r="J440" s="6" t="n">
        <f aca="false">IFERROR(INDEX(Rounds!$A:$A,MATCH(I440,Rounds!$B:$B,0)),"ADD LEAGUE TO ROUNDS")</f>
        <v>5</v>
      </c>
      <c r="K440" s="6" t="n">
        <f aca="false">IFERROR(VALUE(LEFT(E440,FIND(" - ",E440)-1)),"")</f>
        <v>2</v>
      </c>
      <c r="L440" s="5" t="s">
        <v>1394</v>
      </c>
      <c r="N440" s="6" t="n">
        <f aca="false">IF(F440="","",1+COUNTIFS($J:$J,J440,$K:$K,K440,$F:$F,"&gt;"&amp;F440)+COUNTIFS($J:$J,J440,$K:$K,K440,$F:$F,F440,$G:$G,"&gt;"&amp;G440))</f>
        <v>5</v>
      </c>
      <c r="O440" s="6" t="n">
        <f aca="false">IF(L440="","",SUMIFS(Votes!$E:$E,Votes!$A:$A,J440,Votes!$B:$B,K440,Votes!$D:$D,L440))</f>
        <v>13</v>
      </c>
      <c r="P440" s="6" t="n">
        <f aca="false">IF(L440="","",COUNTIFS(Votes!$A:$A,J440,Votes!$B:$B,K440,Votes!$D:$D,L440))</f>
        <v>10</v>
      </c>
      <c r="Q440" s="7" t="str">
        <f aca="false">IF(F440="","Unscored",IF(O440="","No URI",IF(AND(F440=0,O440=0),"Zero-vote",IF(AND(F440=O440,G440=P440),"OK",IF(AND(F440=0,O440&gt;0,COUNTIFS(Votes!$A:$A,J440,Votes!$B:$B,K440,Votes!$C:$C,D440)=0),"Forfeited","Mismatch")))))</f>
        <v>OK</v>
      </c>
      <c r="R440" s="6" t="n">
        <f aca="false">MAX(IF(L440&lt;&gt;"",COUNTIF($L:$L,L440),0),COUNTIFS($A:$A,A440,$B:$B,B440))</f>
        <v>1</v>
      </c>
      <c r="S440" s="6" t="str">
        <f aca="false">IF(R440&gt;1,COUNTIF($R$2:R440,"&gt;1"),"")</f>
        <v/>
      </c>
      <c r="T440" s="6" t="str">
        <f aca="false">IF(L440="","",J440&amp;"|"&amp;K440&amp;"|"&amp;L440)</f>
        <v>5|2|spotify:track:6yEAAIEHu4GcUFptg5W9kI</v>
      </c>
      <c r="U440" s="6" t="str">
        <f aca="false">IF(C440="","",IFERROR(INDEX(Lists!$F:$F,MATCH(C440,Lists!$E:$E,0)),"Unmapped"))</f>
        <v>Rock</v>
      </c>
    </row>
    <row r="441" customFormat="false" ht="15" hidden="false" customHeight="false" outlineLevel="0" collapsed="false">
      <c r="A441" s="5" t="s">
        <v>1395</v>
      </c>
      <c r="B441" s="5" t="s">
        <v>1396</v>
      </c>
      <c r="C441" s="5" t="s">
        <v>110</v>
      </c>
      <c r="D441" s="5" t="s">
        <v>92</v>
      </c>
      <c r="E441" s="5" t="s">
        <v>1382</v>
      </c>
      <c r="F441" s="5" t="n">
        <v>13</v>
      </c>
      <c r="G441" s="5" t="n">
        <v>10</v>
      </c>
      <c r="H441" s="6" t="str">
        <f aca="false">IF(N441="","",N441&amp;IF(AND(MOD(N441,100)&gt;=11,MOD(N441,100)&lt;=13),"th",CHOOSE(MIN(5,MOD(N441,10)+1),"th","st","nd","rd","th")))</f>
        <v>5th</v>
      </c>
      <c r="I441" s="5" t="s">
        <v>1335</v>
      </c>
      <c r="J441" s="6" t="n">
        <f aca="false">IFERROR(INDEX(Rounds!$A:$A,MATCH(I441,Rounds!$B:$B,0)),"ADD LEAGUE TO ROUNDS")</f>
        <v>5</v>
      </c>
      <c r="K441" s="6" t="n">
        <f aca="false">IFERROR(VALUE(LEFT(E441,FIND(" - ",E441)-1)),"")</f>
        <v>2</v>
      </c>
      <c r="L441" s="5" t="s">
        <v>1397</v>
      </c>
      <c r="N441" s="6" t="n">
        <f aca="false">IF(F441="","",1+COUNTIFS($J:$J,J441,$K:$K,K441,$F:$F,"&gt;"&amp;F441)+COUNTIFS($J:$J,J441,$K:$K,K441,$F:$F,F441,$G:$G,"&gt;"&amp;G441))</f>
        <v>5</v>
      </c>
      <c r="O441" s="6" t="n">
        <f aca="false">IF(L441="","",SUMIFS(Votes!$E:$E,Votes!$A:$A,J441,Votes!$B:$B,K441,Votes!$D:$D,L441))</f>
        <v>13</v>
      </c>
      <c r="P441" s="6" t="n">
        <f aca="false">IF(L441="","",COUNTIFS(Votes!$A:$A,J441,Votes!$B:$B,K441,Votes!$D:$D,L441))</f>
        <v>10</v>
      </c>
      <c r="Q441" s="7" t="str">
        <f aca="false">IF(F441="","Unscored",IF(O441="","No URI",IF(AND(F441=0,O441=0),"Zero-vote",IF(AND(F441=O441,G441=P441),"OK",IF(AND(F441=0,O441&gt;0,COUNTIFS(Votes!$A:$A,J441,Votes!$B:$B,K441,Votes!$C:$C,D441)=0),"Forfeited","Mismatch")))))</f>
        <v>OK</v>
      </c>
      <c r="R441" s="6" t="n">
        <f aca="false">MAX(IF(L441&lt;&gt;"",COUNTIF($L:$L,L441),0),COUNTIFS($A:$A,A441,$B:$B,B441))</f>
        <v>1</v>
      </c>
      <c r="S441" s="6" t="str">
        <f aca="false">IF(R441&gt;1,COUNTIF($R$2:R441,"&gt;1"),"")</f>
        <v/>
      </c>
      <c r="T441" s="6" t="str">
        <f aca="false">IF(L441="","",J441&amp;"|"&amp;K441&amp;"|"&amp;L441)</f>
        <v>5|2|spotify:track:3KkXRkHbMCARz0aVfEt68P</v>
      </c>
      <c r="U441" s="6" t="str">
        <f aca="false">IF(C441="","",IFERROR(INDEX(Lists!$F:$F,MATCH(C441,Lists!$E:$E,0)),"Unmapped"))</f>
        <v>Hip-Hop/Rap</v>
      </c>
    </row>
    <row r="442" customFormat="false" ht="15" hidden="false" customHeight="false" outlineLevel="0" collapsed="false">
      <c r="A442" s="5" t="s">
        <v>1398</v>
      </c>
      <c r="B442" s="5" t="s">
        <v>1399</v>
      </c>
      <c r="C442" s="5" t="s">
        <v>110</v>
      </c>
      <c r="D442" s="5" t="s">
        <v>382</v>
      </c>
      <c r="E442" s="5" t="s">
        <v>1382</v>
      </c>
      <c r="F442" s="5" t="n">
        <v>12</v>
      </c>
      <c r="G442" s="5" t="n">
        <v>9</v>
      </c>
      <c r="H442" s="6" t="str">
        <f aca="false">IF(N442="","",N442&amp;IF(AND(MOD(N442,100)&gt;=11,MOD(N442,100)&lt;=13),"th",CHOOSE(MIN(5,MOD(N442,10)+1),"th","st","nd","rd","th")))</f>
        <v>7th</v>
      </c>
      <c r="I442" s="5" t="s">
        <v>1335</v>
      </c>
      <c r="J442" s="6" t="n">
        <f aca="false">IFERROR(INDEX(Rounds!$A:$A,MATCH(I442,Rounds!$B:$B,0)),"ADD LEAGUE TO ROUNDS")</f>
        <v>5</v>
      </c>
      <c r="K442" s="6" t="n">
        <f aca="false">IFERROR(VALUE(LEFT(E442,FIND(" - ",E442)-1)),"")</f>
        <v>2</v>
      </c>
      <c r="L442" s="5" t="s">
        <v>1400</v>
      </c>
      <c r="N442" s="6" t="n">
        <f aca="false">IF(F442="","",1+COUNTIFS($J:$J,J442,$K:$K,K442,$F:$F,"&gt;"&amp;F442)+COUNTIFS($J:$J,J442,$K:$K,K442,$F:$F,F442,$G:$G,"&gt;"&amp;G442))</f>
        <v>7</v>
      </c>
      <c r="O442" s="6" t="n">
        <f aca="false">IF(L442="","",SUMIFS(Votes!$E:$E,Votes!$A:$A,J442,Votes!$B:$B,K442,Votes!$D:$D,L442))</f>
        <v>12</v>
      </c>
      <c r="P442" s="6" t="n">
        <f aca="false">IF(L442="","",COUNTIFS(Votes!$A:$A,J442,Votes!$B:$B,K442,Votes!$D:$D,L442))</f>
        <v>9</v>
      </c>
      <c r="Q442" s="7" t="str">
        <f aca="false">IF(F442="","Unscored",IF(O442="","No URI",IF(AND(F442=0,O442=0),"Zero-vote",IF(AND(F442=O442,G442=P442),"OK",IF(AND(F442=0,O442&gt;0,COUNTIFS(Votes!$A:$A,J442,Votes!$B:$B,K442,Votes!$C:$C,D442)=0),"Forfeited","Mismatch")))))</f>
        <v>OK</v>
      </c>
      <c r="R442" s="6" t="n">
        <f aca="false">MAX(IF(L442&lt;&gt;"",COUNTIF($L:$L,L442),0),COUNTIFS($A:$A,A442,$B:$B,B442))</f>
        <v>1</v>
      </c>
      <c r="S442" s="6" t="str">
        <f aca="false">IF(R442&gt;1,COUNTIF($R$2:R442,"&gt;1"),"")</f>
        <v/>
      </c>
      <c r="T442" s="6" t="str">
        <f aca="false">IF(L442="","",J442&amp;"|"&amp;K442&amp;"|"&amp;L442)</f>
        <v>5|2|spotify:track:1DIXPcTDzTj8ZMHt3PDt8p</v>
      </c>
      <c r="U442" s="6" t="str">
        <f aca="false">IF(C442="","",IFERROR(INDEX(Lists!$F:$F,MATCH(C442,Lists!$E:$E,0)),"Unmapped"))</f>
        <v>Hip-Hop/Rap</v>
      </c>
    </row>
    <row r="443" customFormat="false" ht="15" hidden="false" customHeight="false" outlineLevel="0" collapsed="false">
      <c r="A443" s="5" t="s">
        <v>1401</v>
      </c>
      <c r="B443" s="5" t="s">
        <v>159</v>
      </c>
      <c r="C443" s="5" t="s">
        <v>84</v>
      </c>
      <c r="D443" s="5" t="s">
        <v>375</v>
      </c>
      <c r="E443" s="5" t="s">
        <v>1382</v>
      </c>
      <c r="F443" s="5" t="n">
        <v>11</v>
      </c>
      <c r="G443" s="5" t="n">
        <v>9</v>
      </c>
      <c r="H443" s="6" t="str">
        <f aca="false">IF(N443="","",N443&amp;IF(AND(MOD(N443,100)&gt;=11,MOD(N443,100)&lt;=13),"th",CHOOSE(MIN(5,MOD(N443,10)+1),"th","st","nd","rd","th")))</f>
        <v>8th</v>
      </c>
      <c r="I443" s="5" t="s">
        <v>1335</v>
      </c>
      <c r="J443" s="6" t="n">
        <f aca="false">IFERROR(INDEX(Rounds!$A:$A,MATCH(I443,Rounds!$B:$B,0)),"ADD LEAGUE TO ROUNDS")</f>
        <v>5</v>
      </c>
      <c r="K443" s="6" t="n">
        <f aca="false">IFERROR(VALUE(LEFT(E443,FIND(" - ",E443)-1)),"")</f>
        <v>2</v>
      </c>
      <c r="L443" s="5" t="s">
        <v>1402</v>
      </c>
      <c r="N443" s="6" t="n">
        <f aca="false">IF(F443="","",1+COUNTIFS($J:$J,J443,$K:$K,K443,$F:$F,"&gt;"&amp;F443)+COUNTIFS($J:$J,J443,$K:$K,K443,$F:$F,F443,$G:$G,"&gt;"&amp;G443))</f>
        <v>8</v>
      </c>
      <c r="O443" s="6" t="n">
        <f aca="false">IF(L443="","",SUMIFS(Votes!$E:$E,Votes!$A:$A,J443,Votes!$B:$B,K443,Votes!$D:$D,L443))</f>
        <v>11</v>
      </c>
      <c r="P443" s="6" t="n">
        <f aca="false">IF(L443="","",COUNTIFS(Votes!$A:$A,J443,Votes!$B:$B,K443,Votes!$D:$D,L443))</f>
        <v>9</v>
      </c>
      <c r="Q443" s="7" t="str">
        <f aca="false">IF(F443="","Unscored",IF(O443="","No URI",IF(AND(F443=0,O443=0),"Zero-vote",IF(AND(F443=O443,G443=P443),"OK",IF(AND(F443=0,O443&gt;0,COUNTIFS(Votes!$A:$A,J443,Votes!$B:$B,K443,Votes!$C:$C,D443)=0),"Forfeited","Mismatch")))))</f>
        <v>OK</v>
      </c>
      <c r="R443" s="6" t="n">
        <f aca="false">MAX(IF(L443&lt;&gt;"",COUNTIF($L:$L,L443),0),COUNTIFS($A:$A,A443,$B:$B,B443))</f>
        <v>1</v>
      </c>
      <c r="S443" s="6" t="str">
        <f aca="false">IF(R443&gt;1,COUNTIF($R$2:R443,"&gt;1"),"")</f>
        <v/>
      </c>
      <c r="T443" s="6" t="str">
        <f aca="false">IF(L443="","",J443&amp;"|"&amp;K443&amp;"|"&amp;L443)</f>
        <v>5|2|spotify:track:1c2hJSwcCfoPEw1su83Sw0</v>
      </c>
      <c r="U443" s="6" t="str">
        <f aca="false">IF(C443="","",IFERROR(INDEX(Lists!$F:$F,MATCH(C443,Lists!$E:$E,0)),"Unmapped"))</f>
        <v>Pop</v>
      </c>
    </row>
    <row r="444" customFormat="false" ht="15" hidden="false" customHeight="false" outlineLevel="0" collapsed="false">
      <c r="A444" s="5" t="s">
        <v>1403</v>
      </c>
      <c r="B444" s="5" t="s">
        <v>1404</v>
      </c>
      <c r="C444" s="5" t="s">
        <v>91</v>
      </c>
      <c r="D444" s="5" t="s">
        <v>705</v>
      </c>
      <c r="E444" s="5" t="s">
        <v>1382</v>
      </c>
      <c r="F444" s="5" t="n">
        <v>10</v>
      </c>
      <c r="G444" s="5" t="n">
        <v>9</v>
      </c>
      <c r="H444" s="6" t="str">
        <f aca="false">IF(N444="","",N444&amp;IF(AND(MOD(N444,100)&gt;=11,MOD(N444,100)&lt;=13),"th",CHOOSE(MIN(5,MOD(N444,10)+1),"th","st","nd","rd","th")))</f>
        <v>9th</v>
      </c>
      <c r="I444" s="5" t="s">
        <v>1335</v>
      </c>
      <c r="J444" s="6" t="n">
        <f aca="false">IFERROR(INDEX(Rounds!$A:$A,MATCH(I444,Rounds!$B:$B,0)),"ADD LEAGUE TO ROUNDS")</f>
        <v>5</v>
      </c>
      <c r="K444" s="6" t="n">
        <f aca="false">IFERROR(VALUE(LEFT(E444,FIND(" - ",E444)-1)),"")</f>
        <v>2</v>
      </c>
      <c r="L444" s="5" t="s">
        <v>1405</v>
      </c>
      <c r="N444" s="6" t="n">
        <f aca="false">IF(F444="","",1+COUNTIFS($J:$J,J444,$K:$K,K444,$F:$F,"&gt;"&amp;F444)+COUNTIFS($J:$J,J444,$K:$K,K444,$F:$F,F444,$G:$G,"&gt;"&amp;G444))</f>
        <v>9</v>
      </c>
      <c r="O444" s="6" t="n">
        <f aca="false">IF(L444="","",SUMIFS(Votes!$E:$E,Votes!$A:$A,J444,Votes!$B:$B,K444,Votes!$D:$D,L444))</f>
        <v>10</v>
      </c>
      <c r="P444" s="6" t="n">
        <f aca="false">IF(L444="","",COUNTIFS(Votes!$A:$A,J444,Votes!$B:$B,K444,Votes!$D:$D,L444))</f>
        <v>9</v>
      </c>
      <c r="Q444" s="7" t="str">
        <f aca="false">IF(F444="","Unscored",IF(O444="","No URI",IF(AND(F444=0,O444=0),"Zero-vote",IF(AND(F444=O444,G444=P444),"OK",IF(AND(F444=0,O444&gt;0,COUNTIFS(Votes!$A:$A,J444,Votes!$B:$B,K444,Votes!$C:$C,D444)=0),"Forfeited","Mismatch")))))</f>
        <v>OK</v>
      </c>
      <c r="R444" s="6" t="n">
        <f aca="false">MAX(IF(L444&lt;&gt;"",COUNTIF($L:$L,L444),0),COUNTIFS($A:$A,A444,$B:$B,B444))</f>
        <v>1</v>
      </c>
      <c r="S444" s="6" t="str">
        <f aca="false">IF(R444&gt;1,COUNTIF($R$2:R444,"&gt;1"),"")</f>
        <v/>
      </c>
      <c r="T444" s="6" t="str">
        <f aca="false">IF(L444="","",J444&amp;"|"&amp;K444&amp;"|"&amp;L444)</f>
        <v>5|2|spotify:track:2KH16WveTQWT6KOG9Rg6e2</v>
      </c>
      <c r="U444" s="6" t="str">
        <f aca="false">IF(C444="","",IFERROR(INDEX(Lists!$F:$F,MATCH(C444,Lists!$E:$E,0)),"Unmapped"))</f>
        <v>Rock</v>
      </c>
    </row>
    <row r="445" customFormat="false" ht="15" hidden="false" customHeight="false" outlineLevel="0" collapsed="false">
      <c r="A445" s="5" t="s">
        <v>1406</v>
      </c>
      <c r="B445" s="5" t="s">
        <v>1407</v>
      </c>
      <c r="C445" s="5" t="s">
        <v>171</v>
      </c>
      <c r="D445" s="5" t="s">
        <v>116</v>
      </c>
      <c r="E445" s="5" t="s">
        <v>1382</v>
      </c>
      <c r="F445" s="5" t="n">
        <v>7</v>
      </c>
      <c r="G445" s="5" t="n">
        <v>7</v>
      </c>
      <c r="H445" s="6" t="str">
        <f aca="false">IF(N445="","",N445&amp;IF(AND(MOD(N445,100)&gt;=11,MOD(N445,100)&lt;=13),"th",CHOOSE(MIN(5,MOD(N445,10)+1),"th","st","nd","rd","th")))</f>
        <v>10th</v>
      </c>
      <c r="I445" s="5" t="s">
        <v>1335</v>
      </c>
      <c r="J445" s="6" t="n">
        <f aca="false">IFERROR(INDEX(Rounds!$A:$A,MATCH(I445,Rounds!$B:$B,0)),"ADD LEAGUE TO ROUNDS")</f>
        <v>5</v>
      </c>
      <c r="K445" s="6" t="n">
        <f aca="false">IFERROR(VALUE(LEFT(E445,FIND(" - ",E445)-1)),"")</f>
        <v>2</v>
      </c>
      <c r="L445" s="5" t="s">
        <v>1408</v>
      </c>
      <c r="N445" s="6" t="n">
        <f aca="false">IF(F445="","",1+COUNTIFS($J:$J,J445,$K:$K,K445,$F:$F,"&gt;"&amp;F445)+COUNTIFS($J:$J,J445,$K:$K,K445,$F:$F,F445,$G:$G,"&gt;"&amp;G445))</f>
        <v>10</v>
      </c>
      <c r="O445" s="6" t="n">
        <f aca="false">IF(L445="","",SUMIFS(Votes!$E:$E,Votes!$A:$A,J445,Votes!$B:$B,K445,Votes!$D:$D,L445))</f>
        <v>7</v>
      </c>
      <c r="P445" s="6" t="n">
        <f aca="false">IF(L445="","",COUNTIFS(Votes!$A:$A,J445,Votes!$B:$B,K445,Votes!$D:$D,L445))</f>
        <v>7</v>
      </c>
      <c r="Q445" s="7" t="str">
        <f aca="false">IF(F445="","Unscored",IF(O445="","No URI",IF(AND(F445=0,O445=0),"Zero-vote",IF(AND(F445=O445,G445=P445),"OK",IF(AND(F445=0,O445&gt;0,COUNTIFS(Votes!$A:$A,J445,Votes!$B:$B,K445,Votes!$C:$C,D445)=0),"Forfeited","Mismatch")))))</f>
        <v>OK</v>
      </c>
      <c r="R445" s="6" t="n">
        <f aca="false">MAX(IF(L445&lt;&gt;"",COUNTIF($L:$L,L445),0),COUNTIFS($A:$A,A445,$B:$B,B445))</f>
        <v>1</v>
      </c>
      <c r="S445" s="6" t="str">
        <f aca="false">IF(R445&gt;1,COUNTIF($R$2:R445,"&gt;1"),"")</f>
        <v/>
      </c>
      <c r="T445" s="6" t="str">
        <f aca="false">IF(L445="","",J445&amp;"|"&amp;K445&amp;"|"&amp;L445)</f>
        <v>5|2|spotify:track:1aAfiBF8ftfkONfzc0GTWz</v>
      </c>
      <c r="U445" s="6" t="str">
        <f aca="false">IF(C445="","",IFERROR(INDEX(Lists!$F:$F,MATCH(C445,Lists!$E:$E,0)),"Unmapped"))</f>
        <v>Country</v>
      </c>
    </row>
    <row r="446" customFormat="false" ht="15" hidden="false" customHeight="false" outlineLevel="0" collapsed="false">
      <c r="A446" s="5" t="s">
        <v>1409</v>
      </c>
      <c r="B446" s="5" t="s">
        <v>214</v>
      </c>
      <c r="C446" s="5" t="s">
        <v>91</v>
      </c>
      <c r="D446" s="5" t="s">
        <v>395</v>
      </c>
      <c r="E446" s="5" t="s">
        <v>1382</v>
      </c>
      <c r="F446" s="5" t="n">
        <v>6</v>
      </c>
      <c r="G446" s="5" t="n">
        <v>6</v>
      </c>
      <c r="H446" s="6" t="str">
        <f aca="false">IF(N446="","",N446&amp;IF(AND(MOD(N446,100)&gt;=11,MOD(N446,100)&lt;=13),"th",CHOOSE(MIN(5,MOD(N446,10)+1),"th","st","nd","rd","th")))</f>
        <v>11th</v>
      </c>
      <c r="I446" s="5" t="s">
        <v>1335</v>
      </c>
      <c r="J446" s="6" t="n">
        <f aca="false">IFERROR(INDEX(Rounds!$A:$A,MATCH(I446,Rounds!$B:$B,0)),"ADD LEAGUE TO ROUNDS")</f>
        <v>5</v>
      </c>
      <c r="K446" s="6" t="n">
        <f aca="false">IFERROR(VALUE(LEFT(E446,FIND(" - ",E446)-1)),"")</f>
        <v>2</v>
      </c>
      <c r="L446" s="5" t="s">
        <v>1410</v>
      </c>
      <c r="N446" s="6" t="n">
        <f aca="false">IF(F446="","",1+COUNTIFS($J:$J,J446,$K:$K,K446,$F:$F,"&gt;"&amp;F446)+COUNTIFS($J:$J,J446,$K:$K,K446,$F:$F,F446,$G:$G,"&gt;"&amp;G446))</f>
        <v>11</v>
      </c>
      <c r="O446" s="6" t="n">
        <f aca="false">IF(L446="","",SUMIFS(Votes!$E:$E,Votes!$A:$A,J446,Votes!$B:$B,K446,Votes!$D:$D,L446))</f>
        <v>6</v>
      </c>
      <c r="P446" s="6" t="n">
        <f aca="false">IF(L446="","",COUNTIFS(Votes!$A:$A,J446,Votes!$B:$B,K446,Votes!$D:$D,L446))</f>
        <v>6</v>
      </c>
      <c r="Q446" s="7" t="str">
        <f aca="false">IF(F446="","Unscored",IF(O446="","No URI",IF(AND(F446=0,O446=0),"Zero-vote",IF(AND(F446=O446,G446=P446),"OK",IF(AND(F446=0,O446&gt;0,COUNTIFS(Votes!$A:$A,J446,Votes!$B:$B,K446,Votes!$C:$C,D446)=0),"Forfeited","Mismatch")))))</f>
        <v>OK</v>
      </c>
      <c r="R446" s="6" t="n">
        <f aca="false">MAX(IF(L446&lt;&gt;"",COUNTIF($L:$L,L446),0),COUNTIFS($A:$A,A446,$B:$B,B446))</f>
        <v>1</v>
      </c>
      <c r="S446" s="6" t="str">
        <f aca="false">IF(R446&gt;1,COUNTIF($R$2:R446,"&gt;1"),"")</f>
        <v/>
      </c>
      <c r="T446" s="6" t="str">
        <f aca="false">IF(L446="","",J446&amp;"|"&amp;K446&amp;"|"&amp;L446)</f>
        <v>5|2|spotify:track:4h9wh7iOZ0GGn8QVp4RAOB</v>
      </c>
      <c r="U446" s="6" t="str">
        <f aca="false">IF(C446="","",IFERROR(INDEX(Lists!$F:$F,MATCH(C446,Lists!$E:$E,0)),"Unmapped"))</f>
        <v>Rock</v>
      </c>
    </row>
    <row r="447" customFormat="false" ht="15" hidden="false" customHeight="false" outlineLevel="0" collapsed="false">
      <c r="A447" s="5" t="s">
        <v>1411</v>
      </c>
      <c r="B447" s="5" t="s">
        <v>1412</v>
      </c>
      <c r="C447" s="5" t="s">
        <v>127</v>
      </c>
      <c r="D447" s="5" t="s">
        <v>637</v>
      </c>
      <c r="E447" s="5" t="s">
        <v>1382</v>
      </c>
      <c r="F447" s="5" t="n">
        <v>5</v>
      </c>
      <c r="G447" s="5" t="n">
        <v>5</v>
      </c>
      <c r="H447" s="6" t="str">
        <f aca="false">IF(N447="","",N447&amp;IF(AND(MOD(N447,100)&gt;=11,MOD(N447,100)&lt;=13),"th",CHOOSE(MIN(5,MOD(N447,10)+1),"th","st","nd","rd","th")))</f>
        <v>12th</v>
      </c>
      <c r="I447" s="5" t="s">
        <v>1335</v>
      </c>
      <c r="J447" s="6" t="n">
        <f aca="false">IFERROR(INDEX(Rounds!$A:$A,MATCH(I447,Rounds!$B:$B,0)),"ADD LEAGUE TO ROUNDS")</f>
        <v>5</v>
      </c>
      <c r="K447" s="6" t="n">
        <f aca="false">IFERROR(VALUE(LEFT(E447,FIND(" - ",E447)-1)),"")</f>
        <v>2</v>
      </c>
      <c r="L447" s="5" t="s">
        <v>1413</v>
      </c>
      <c r="N447" s="6" t="n">
        <f aca="false">IF(F447="","",1+COUNTIFS($J:$J,J447,$K:$K,K447,$F:$F,"&gt;"&amp;F447)+COUNTIFS($J:$J,J447,$K:$K,K447,$F:$F,F447,$G:$G,"&gt;"&amp;G447))</f>
        <v>12</v>
      </c>
      <c r="O447" s="6" t="n">
        <f aca="false">IF(L447="","",SUMIFS(Votes!$E:$E,Votes!$A:$A,J447,Votes!$B:$B,K447,Votes!$D:$D,L447))</f>
        <v>5</v>
      </c>
      <c r="P447" s="6" t="n">
        <f aca="false">IF(L447="","",COUNTIFS(Votes!$A:$A,J447,Votes!$B:$B,K447,Votes!$D:$D,L447))</f>
        <v>5</v>
      </c>
      <c r="Q447" s="7" t="str">
        <f aca="false">IF(F447="","Unscored",IF(O447="","No URI",IF(AND(F447=0,O447=0),"Zero-vote",IF(AND(F447=O447,G447=P447),"OK",IF(AND(F447=0,O447&gt;0,COUNTIFS(Votes!$A:$A,J447,Votes!$B:$B,K447,Votes!$C:$C,D447)=0),"Forfeited","Mismatch")))))</f>
        <v>OK</v>
      </c>
      <c r="R447" s="6" t="n">
        <f aca="false">MAX(IF(L447&lt;&gt;"",COUNTIF($L:$L,L447),0),COUNTIFS($A:$A,A447,$B:$B,B447))</f>
        <v>1</v>
      </c>
      <c r="S447" s="6" t="str">
        <f aca="false">IF(R447&gt;1,COUNTIF($R$2:R447,"&gt;1"),"")</f>
        <v/>
      </c>
      <c r="T447" s="6" t="str">
        <f aca="false">IF(L447="","",J447&amp;"|"&amp;K447&amp;"|"&amp;L447)</f>
        <v>5|2|spotify:track:6ft9PAgNOjmZ2kFVP7LGqb</v>
      </c>
      <c r="U447" s="6" t="str">
        <f aca="false">IF(C447="","",IFERROR(INDEX(Lists!$F:$F,MATCH(C447,Lists!$E:$E,0)),"Unmapped"))</f>
        <v>Jazz/Vocal</v>
      </c>
    </row>
    <row r="448" customFormat="false" ht="15" hidden="false" customHeight="false" outlineLevel="0" collapsed="false">
      <c r="A448" s="5" t="s">
        <v>1414</v>
      </c>
      <c r="B448" s="5" t="s">
        <v>1415</v>
      </c>
      <c r="C448" s="5" t="s">
        <v>110</v>
      </c>
      <c r="D448" s="5" t="s">
        <v>106</v>
      </c>
      <c r="E448" s="5" t="s">
        <v>1382</v>
      </c>
      <c r="F448" s="5" t="n">
        <v>4</v>
      </c>
      <c r="G448" s="5" t="n">
        <v>4</v>
      </c>
      <c r="H448" s="6" t="str">
        <f aca="false">IF(N448="","",N448&amp;IF(AND(MOD(N448,100)&gt;=11,MOD(N448,100)&lt;=13),"th",CHOOSE(MIN(5,MOD(N448,10)+1),"th","st","nd","rd","th")))</f>
        <v>13th</v>
      </c>
      <c r="I448" s="5" t="s">
        <v>1335</v>
      </c>
      <c r="J448" s="6" t="n">
        <f aca="false">IFERROR(INDEX(Rounds!$A:$A,MATCH(I448,Rounds!$B:$B,0)),"ADD LEAGUE TO ROUNDS")</f>
        <v>5</v>
      </c>
      <c r="K448" s="6" t="n">
        <f aca="false">IFERROR(VALUE(LEFT(E448,FIND(" - ",E448)-1)),"")</f>
        <v>2</v>
      </c>
      <c r="L448" s="5" t="s">
        <v>1416</v>
      </c>
      <c r="N448" s="6" t="n">
        <f aca="false">IF(F448="","",1+COUNTIFS($J:$J,J448,$K:$K,K448,$F:$F,"&gt;"&amp;F448)+COUNTIFS($J:$J,J448,$K:$K,K448,$F:$F,F448,$G:$G,"&gt;"&amp;G448))</f>
        <v>13</v>
      </c>
      <c r="O448" s="6" t="n">
        <f aca="false">IF(L448="","",SUMIFS(Votes!$E:$E,Votes!$A:$A,J448,Votes!$B:$B,K448,Votes!$D:$D,L448))</f>
        <v>4</v>
      </c>
      <c r="P448" s="6" t="n">
        <f aca="false">IF(L448="","",COUNTIFS(Votes!$A:$A,J448,Votes!$B:$B,K448,Votes!$D:$D,L448))</f>
        <v>4</v>
      </c>
      <c r="Q448" s="7" t="str">
        <f aca="false">IF(F448="","Unscored",IF(O448="","No URI",IF(AND(F448=0,O448=0),"Zero-vote",IF(AND(F448=O448,G448=P448),"OK",IF(AND(F448=0,O448&gt;0,COUNTIFS(Votes!$A:$A,J448,Votes!$B:$B,K448,Votes!$C:$C,D448)=0),"Forfeited","Mismatch")))))</f>
        <v>OK</v>
      </c>
      <c r="R448" s="6" t="n">
        <f aca="false">MAX(IF(L448&lt;&gt;"",COUNTIF($L:$L,L448),0),COUNTIFS($A:$A,A448,$B:$B,B448))</f>
        <v>1</v>
      </c>
      <c r="S448" s="6" t="str">
        <f aca="false">IF(R448&gt;1,COUNTIF($R$2:R448,"&gt;1"),"")</f>
        <v/>
      </c>
      <c r="T448" s="6" t="str">
        <f aca="false">IF(L448="","",J448&amp;"|"&amp;K448&amp;"|"&amp;L448)</f>
        <v>5|2|spotify:track:6kiauSlWtddVQx4JwJx51p</v>
      </c>
      <c r="U448" s="6" t="str">
        <f aca="false">IF(C448="","",IFERROR(INDEX(Lists!$F:$F,MATCH(C448,Lists!$E:$E,0)),"Unmapped"))</f>
        <v>Hip-Hop/Rap</v>
      </c>
    </row>
    <row r="449" customFormat="false" ht="15" hidden="false" customHeight="false" outlineLevel="0" collapsed="false">
      <c r="A449" s="5" t="s">
        <v>1417</v>
      </c>
      <c r="B449" s="5" t="s">
        <v>1418</v>
      </c>
      <c r="C449" s="5" t="s">
        <v>84</v>
      </c>
      <c r="D449" s="5" t="s">
        <v>1374</v>
      </c>
      <c r="E449" s="5" t="s">
        <v>1382</v>
      </c>
      <c r="F449" s="5" t="n">
        <v>4</v>
      </c>
      <c r="G449" s="5" t="n">
        <v>3</v>
      </c>
      <c r="H449" s="6" t="str">
        <f aca="false">IF(N449="","",N449&amp;IF(AND(MOD(N449,100)&gt;=11,MOD(N449,100)&lt;=13),"th",CHOOSE(MIN(5,MOD(N449,10)+1),"th","st","nd","rd","th")))</f>
        <v>14th</v>
      </c>
      <c r="I449" s="5" t="s">
        <v>1335</v>
      </c>
      <c r="J449" s="6" t="n">
        <f aca="false">IFERROR(INDEX(Rounds!$A:$A,MATCH(I449,Rounds!$B:$B,0)),"ADD LEAGUE TO ROUNDS")</f>
        <v>5</v>
      </c>
      <c r="K449" s="6" t="n">
        <f aca="false">IFERROR(VALUE(LEFT(E449,FIND(" - ",E449)-1)),"")</f>
        <v>2</v>
      </c>
      <c r="L449" s="5" t="s">
        <v>1419</v>
      </c>
      <c r="N449" s="6" t="n">
        <f aca="false">IF(F449="","",1+COUNTIFS($J:$J,J449,$K:$K,K449,$F:$F,"&gt;"&amp;F449)+COUNTIFS($J:$J,J449,$K:$K,K449,$F:$F,F449,$G:$G,"&gt;"&amp;G449))</f>
        <v>14</v>
      </c>
      <c r="O449" s="6" t="n">
        <f aca="false">IF(L449="","",SUMIFS(Votes!$E:$E,Votes!$A:$A,J449,Votes!$B:$B,K449,Votes!$D:$D,L449))</f>
        <v>4</v>
      </c>
      <c r="P449" s="6" t="n">
        <f aca="false">IF(L449="","",COUNTIFS(Votes!$A:$A,J449,Votes!$B:$B,K449,Votes!$D:$D,L449))</f>
        <v>3</v>
      </c>
      <c r="Q449" s="7" t="str">
        <f aca="false">IF(F449="","Unscored",IF(O449="","No URI",IF(AND(F449=0,O449=0),"Zero-vote",IF(AND(F449=O449,G449=P449),"OK",IF(AND(F449=0,O449&gt;0,COUNTIFS(Votes!$A:$A,J449,Votes!$B:$B,K449,Votes!$C:$C,D449)=0),"Forfeited","Mismatch")))))</f>
        <v>OK</v>
      </c>
      <c r="R449" s="6" t="n">
        <f aca="false">MAX(IF(L449&lt;&gt;"",COUNTIF($L:$L,L449),0),COUNTIFS($A:$A,A449,$B:$B,B449))</f>
        <v>1</v>
      </c>
      <c r="S449" s="6" t="str">
        <f aca="false">IF(R449&gt;1,COUNTIF($R$2:R449,"&gt;1"),"")</f>
        <v/>
      </c>
      <c r="T449" s="6" t="str">
        <f aca="false">IF(L449="","",J449&amp;"|"&amp;K449&amp;"|"&amp;L449)</f>
        <v>5|2|spotify:track:77mnUPdjFBDZuBnSLgOEgb</v>
      </c>
      <c r="U449" s="6" t="str">
        <f aca="false">IF(C449="","",IFERROR(INDEX(Lists!$F:$F,MATCH(C449,Lists!$E:$E,0)),"Unmapped"))</f>
        <v>Pop</v>
      </c>
    </row>
    <row r="450" customFormat="false" ht="15" hidden="false" customHeight="false" outlineLevel="0" collapsed="false">
      <c r="A450" s="5" t="s">
        <v>1420</v>
      </c>
      <c r="B450" s="5" t="s">
        <v>1421</v>
      </c>
      <c r="C450" s="5" t="s">
        <v>248</v>
      </c>
      <c r="D450" s="5" t="s">
        <v>101</v>
      </c>
      <c r="E450" s="5" t="s">
        <v>1382</v>
      </c>
      <c r="F450" s="5" t="n">
        <v>2</v>
      </c>
      <c r="G450" s="5" t="n">
        <v>2</v>
      </c>
      <c r="H450" s="6" t="str">
        <f aca="false">IF(N450="","",N450&amp;IF(AND(MOD(N450,100)&gt;=11,MOD(N450,100)&lt;=13),"th",CHOOSE(MIN(5,MOD(N450,10)+1),"th","st","nd","rd","th")))</f>
        <v>15th</v>
      </c>
      <c r="I450" s="5" t="s">
        <v>1335</v>
      </c>
      <c r="J450" s="6" t="n">
        <f aca="false">IFERROR(INDEX(Rounds!$A:$A,MATCH(I450,Rounds!$B:$B,0)),"ADD LEAGUE TO ROUNDS")</f>
        <v>5</v>
      </c>
      <c r="K450" s="6" t="n">
        <f aca="false">IFERROR(VALUE(LEFT(E450,FIND(" - ",E450)-1)),"")</f>
        <v>2</v>
      </c>
      <c r="L450" s="5" t="s">
        <v>1422</v>
      </c>
      <c r="N450" s="6" t="n">
        <f aca="false">IF(F450="","",1+COUNTIFS($J:$J,J450,$K:$K,K450,$F:$F,"&gt;"&amp;F450)+COUNTIFS($J:$J,J450,$K:$K,K450,$F:$F,F450,$G:$G,"&gt;"&amp;G450))</f>
        <v>15</v>
      </c>
      <c r="O450" s="6" t="n">
        <f aca="false">IF(L450="","",SUMIFS(Votes!$E:$E,Votes!$A:$A,J450,Votes!$B:$B,K450,Votes!$D:$D,L450))</f>
        <v>2</v>
      </c>
      <c r="P450" s="6" t="n">
        <f aca="false">IF(L450="","",COUNTIFS(Votes!$A:$A,J450,Votes!$B:$B,K450,Votes!$D:$D,L450))</f>
        <v>2</v>
      </c>
      <c r="Q450" s="7" t="str">
        <f aca="false">IF(F450="","Unscored",IF(O450="","No URI",IF(AND(F450=0,O450=0),"Zero-vote",IF(AND(F450=O450,G450=P450),"OK",IF(AND(F450=0,O450&gt;0,COUNTIFS(Votes!$A:$A,J450,Votes!$B:$B,K450,Votes!$C:$C,D450)=0),"Forfeited","Mismatch")))))</f>
        <v>OK</v>
      </c>
      <c r="R450" s="6" t="n">
        <f aca="false">MAX(IF(L450&lt;&gt;"",COUNTIF($L:$L,L450),0),COUNTIFS($A:$A,A450,$B:$B,B450))</f>
        <v>1</v>
      </c>
      <c r="S450" s="6" t="str">
        <f aca="false">IF(R450&gt;1,COUNTIF($R$2:R450,"&gt;1"),"")</f>
        <v/>
      </c>
      <c r="T450" s="6" t="str">
        <f aca="false">IF(L450="","",J450&amp;"|"&amp;K450&amp;"|"&amp;L450)</f>
        <v>5|2|spotify:track:0MNNKSUU9OOQ8DSGWduw79</v>
      </c>
      <c r="U450" s="6" t="str">
        <f aca="false">IF(C450="","",IFERROR(INDEX(Lists!$F:$F,MATCH(C450,Lists!$E:$E,0)),"Unmapped"))</f>
        <v>Folk/Americana</v>
      </c>
    </row>
    <row r="451" customFormat="false" ht="15" hidden="false" customHeight="false" outlineLevel="0" collapsed="false">
      <c r="A451" s="5" t="s">
        <v>1423</v>
      </c>
      <c r="B451" s="5" t="s">
        <v>1424</v>
      </c>
      <c r="C451" s="5" t="s">
        <v>91</v>
      </c>
      <c r="D451" s="5" t="s">
        <v>97</v>
      </c>
      <c r="E451" s="5" t="s">
        <v>1425</v>
      </c>
      <c r="F451" s="5" t="n">
        <v>15</v>
      </c>
      <c r="G451" s="5" t="n">
        <v>9</v>
      </c>
      <c r="H451" s="6" t="str">
        <f aca="false">IF(N451="","",N451&amp;IF(AND(MOD(N451,100)&gt;=11,MOD(N451,100)&lt;=13),"th",CHOOSE(MIN(5,MOD(N451,10)+1),"th","st","nd","rd","th")))</f>
        <v>1st</v>
      </c>
      <c r="I451" s="5" t="s">
        <v>1335</v>
      </c>
      <c r="J451" s="6" t="n">
        <f aca="false">IFERROR(INDEX(Rounds!$A:$A,MATCH(I451,Rounds!$B:$B,0)),"ADD LEAGUE TO ROUNDS")</f>
        <v>5</v>
      </c>
      <c r="K451" s="6" t="n">
        <f aca="false">IFERROR(VALUE(LEFT(E451,FIND(" - ",E451)-1)),"")</f>
        <v>3</v>
      </c>
      <c r="L451" s="5" t="s">
        <v>1426</v>
      </c>
      <c r="N451" s="6" t="n">
        <f aca="false">IF(F451="","",1+COUNTIFS($J:$J,J451,$K:$K,K451,$F:$F,"&gt;"&amp;F451)+COUNTIFS($J:$J,J451,$K:$K,K451,$F:$F,F451,$G:$G,"&gt;"&amp;G451))</f>
        <v>1</v>
      </c>
      <c r="O451" s="6" t="n">
        <f aca="false">IF(L451="","",SUMIFS(Votes!$E:$E,Votes!$A:$A,J451,Votes!$B:$B,K451,Votes!$D:$D,L451))</f>
        <v>15</v>
      </c>
      <c r="P451" s="6" t="n">
        <f aca="false">IF(L451="","",COUNTIFS(Votes!$A:$A,J451,Votes!$B:$B,K451,Votes!$D:$D,L451))</f>
        <v>9</v>
      </c>
      <c r="Q451" s="7" t="str">
        <f aca="false">IF(F451="","Unscored",IF(O451="","No URI",IF(AND(F451=0,O451=0),"Zero-vote",IF(AND(F451=O451,G451=P451),"OK",IF(AND(F451=0,O451&gt;0,COUNTIFS(Votes!$A:$A,J451,Votes!$B:$B,K451,Votes!$C:$C,D451)=0),"Forfeited","Mismatch")))))</f>
        <v>OK</v>
      </c>
      <c r="R451" s="6" t="n">
        <f aca="false">MAX(IF(L451&lt;&gt;"",COUNTIF($L:$L,L451),0),COUNTIFS($A:$A,A451,$B:$B,B451))</f>
        <v>1</v>
      </c>
      <c r="S451" s="6" t="str">
        <f aca="false">IF(R451&gt;1,COUNTIF($R$2:R451,"&gt;1"),"")</f>
        <v/>
      </c>
      <c r="T451" s="6" t="str">
        <f aca="false">IF(L451="","",J451&amp;"|"&amp;K451&amp;"|"&amp;L451)</f>
        <v>5|3|spotify:track:44Ljlpy44mHvLJxcYUvTK0</v>
      </c>
      <c r="U451" s="6" t="str">
        <f aca="false">IF(C451="","",IFERROR(INDEX(Lists!$F:$F,MATCH(C451,Lists!$E:$E,0)),"Unmapped"))</f>
        <v>Rock</v>
      </c>
    </row>
    <row r="452" customFormat="false" ht="15" hidden="false" customHeight="false" outlineLevel="0" collapsed="false">
      <c r="A452" s="5" t="s">
        <v>1427</v>
      </c>
      <c r="B452" s="5" t="s">
        <v>1428</v>
      </c>
      <c r="C452" s="5" t="s">
        <v>84</v>
      </c>
      <c r="D452" s="5" t="s">
        <v>116</v>
      </c>
      <c r="E452" s="5" t="s">
        <v>1425</v>
      </c>
      <c r="F452" s="5" t="n">
        <v>14</v>
      </c>
      <c r="G452" s="5" t="n">
        <v>11</v>
      </c>
      <c r="H452" s="6" t="str">
        <f aca="false">IF(N452="","",N452&amp;IF(AND(MOD(N452,100)&gt;=11,MOD(N452,100)&lt;=13),"th",CHOOSE(MIN(5,MOD(N452,10)+1),"th","st","nd","rd","th")))</f>
        <v>2nd</v>
      </c>
      <c r="I452" s="5" t="s">
        <v>1335</v>
      </c>
      <c r="J452" s="6" t="n">
        <f aca="false">IFERROR(INDEX(Rounds!$A:$A,MATCH(I452,Rounds!$B:$B,0)),"ADD LEAGUE TO ROUNDS")</f>
        <v>5</v>
      </c>
      <c r="K452" s="6" t="n">
        <f aca="false">IFERROR(VALUE(LEFT(E452,FIND(" - ",E452)-1)),"")</f>
        <v>3</v>
      </c>
      <c r="L452" s="5" t="s">
        <v>1429</v>
      </c>
      <c r="N452" s="6" t="n">
        <f aca="false">IF(F452="","",1+COUNTIFS($J:$J,J452,$K:$K,K452,$F:$F,"&gt;"&amp;F452)+COUNTIFS($J:$J,J452,$K:$K,K452,$F:$F,F452,$G:$G,"&gt;"&amp;G452))</f>
        <v>2</v>
      </c>
      <c r="O452" s="6" t="n">
        <f aca="false">IF(L452="","",SUMIFS(Votes!$E:$E,Votes!$A:$A,J452,Votes!$B:$B,K452,Votes!$D:$D,L452))</f>
        <v>14</v>
      </c>
      <c r="P452" s="6" t="n">
        <f aca="false">IF(L452="","",COUNTIFS(Votes!$A:$A,J452,Votes!$B:$B,K452,Votes!$D:$D,L452))</f>
        <v>11</v>
      </c>
      <c r="Q452" s="7" t="str">
        <f aca="false">IF(F452="","Unscored",IF(O452="","No URI",IF(AND(F452=0,O452=0),"Zero-vote",IF(AND(F452=O452,G452=P452),"OK",IF(AND(F452=0,O452&gt;0,COUNTIFS(Votes!$A:$A,J452,Votes!$B:$B,K452,Votes!$C:$C,D452)=0),"Forfeited","Mismatch")))))</f>
        <v>OK</v>
      </c>
      <c r="R452" s="6" t="n">
        <f aca="false">MAX(IF(L452&lt;&gt;"",COUNTIF($L:$L,L452),0),COUNTIFS($A:$A,A452,$B:$B,B452))</f>
        <v>1</v>
      </c>
      <c r="S452" s="6" t="str">
        <f aca="false">IF(R452&gt;1,COUNTIF($R$2:R452,"&gt;1"),"")</f>
        <v/>
      </c>
      <c r="T452" s="6" t="str">
        <f aca="false">IF(L452="","",J452&amp;"|"&amp;K452&amp;"|"&amp;L452)</f>
        <v>5|3|spotify:track:76hfruVvmfQbw0eYn1nmeC</v>
      </c>
      <c r="U452" s="6" t="str">
        <f aca="false">IF(C452="","",IFERROR(INDEX(Lists!$F:$F,MATCH(C452,Lists!$E:$E,0)),"Unmapped"))</f>
        <v>Pop</v>
      </c>
    </row>
    <row r="453" customFormat="false" ht="15" hidden="false" customHeight="false" outlineLevel="0" collapsed="false">
      <c r="A453" s="5" t="s">
        <v>1430</v>
      </c>
      <c r="B453" s="5" t="s">
        <v>1431</v>
      </c>
      <c r="C453" s="5" t="s">
        <v>96</v>
      </c>
      <c r="D453" s="5" t="s">
        <v>719</v>
      </c>
      <c r="E453" s="5" t="s">
        <v>1425</v>
      </c>
      <c r="F453" s="5" t="n">
        <v>14</v>
      </c>
      <c r="G453" s="5" t="n">
        <v>10</v>
      </c>
      <c r="H453" s="6" t="str">
        <f aca="false">IF(N453="","",N453&amp;IF(AND(MOD(N453,100)&gt;=11,MOD(N453,100)&lt;=13),"th",CHOOSE(MIN(5,MOD(N453,10)+1),"th","st","nd","rd","th")))</f>
        <v>3rd</v>
      </c>
      <c r="I453" s="5" t="s">
        <v>1335</v>
      </c>
      <c r="J453" s="6" t="n">
        <f aca="false">IFERROR(INDEX(Rounds!$A:$A,MATCH(I453,Rounds!$B:$B,0)),"ADD LEAGUE TO ROUNDS")</f>
        <v>5</v>
      </c>
      <c r="K453" s="6" t="n">
        <f aca="false">IFERROR(VALUE(LEFT(E453,FIND(" - ",E453)-1)),"")</f>
        <v>3</v>
      </c>
      <c r="L453" s="5" t="s">
        <v>1432</v>
      </c>
      <c r="N453" s="6" t="n">
        <f aca="false">IF(F453="","",1+COUNTIFS($J:$J,J453,$K:$K,K453,$F:$F,"&gt;"&amp;F453)+COUNTIFS($J:$J,J453,$K:$K,K453,$F:$F,F453,$G:$G,"&gt;"&amp;G453))</f>
        <v>3</v>
      </c>
      <c r="O453" s="6" t="n">
        <f aca="false">IF(L453="","",SUMIFS(Votes!$E:$E,Votes!$A:$A,J453,Votes!$B:$B,K453,Votes!$D:$D,L453))</f>
        <v>14</v>
      </c>
      <c r="P453" s="6" t="n">
        <f aca="false">IF(L453="","",COUNTIFS(Votes!$A:$A,J453,Votes!$B:$B,K453,Votes!$D:$D,L453))</f>
        <v>10</v>
      </c>
      <c r="Q453" s="7" t="str">
        <f aca="false">IF(F453="","Unscored",IF(O453="","No URI",IF(AND(F453=0,O453=0),"Zero-vote",IF(AND(F453=O453,G453=P453),"OK",IF(AND(F453=0,O453&gt;0,COUNTIFS(Votes!$A:$A,J453,Votes!$B:$B,K453,Votes!$C:$C,D453)=0),"Forfeited","Mismatch")))))</f>
        <v>OK</v>
      </c>
      <c r="R453" s="6" t="n">
        <f aca="false">MAX(IF(L453&lt;&gt;"",COUNTIF($L:$L,L453),0),COUNTIFS($A:$A,A453,$B:$B,B453))</f>
        <v>2</v>
      </c>
      <c r="S453" s="6" t="n">
        <f aca="false">IF(R453&gt;1,COUNTIF($R$2:R453,"&gt;1"),"")</f>
        <v>30</v>
      </c>
      <c r="T453" s="6" t="str">
        <f aca="false">IF(L453="","",J453&amp;"|"&amp;K453&amp;"|"&amp;L453)</f>
        <v>5|3|spotify:track:2I1W3hcSsPIsEJfD69pHrW</v>
      </c>
      <c r="U453" s="6" t="str">
        <f aca="false">IF(C453="","",IFERROR(INDEX(Lists!$F:$F,MATCH(C453,Lists!$E:$E,0)),"Unmapped"))</f>
        <v>R&amp;B/Soul</v>
      </c>
    </row>
    <row r="454" customFormat="false" ht="15" hidden="false" customHeight="false" outlineLevel="0" collapsed="false">
      <c r="A454" s="5" t="s">
        <v>1433</v>
      </c>
      <c r="B454" s="5" t="s">
        <v>858</v>
      </c>
      <c r="C454" s="5" t="s">
        <v>84</v>
      </c>
      <c r="D454" s="5" t="s">
        <v>382</v>
      </c>
      <c r="E454" s="5" t="s">
        <v>1425</v>
      </c>
      <c r="F454" s="5" t="n">
        <v>13</v>
      </c>
      <c r="G454" s="5" t="n">
        <v>12</v>
      </c>
      <c r="H454" s="6" t="str">
        <f aca="false">IF(N454="","",N454&amp;IF(AND(MOD(N454,100)&gt;=11,MOD(N454,100)&lt;=13),"th",CHOOSE(MIN(5,MOD(N454,10)+1),"th","st","nd","rd","th")))</f>
        <v>4th</v>
      </c>
      <c r="I454" s="5" t="s">
        <v>1335</v>
      </c>
      <c r="J454" s="6" t="n">
        <f aca="false">IFERROR(INDEX(Rounds!$A:$A,MATCH(I454,Rounds!$B:$B,0)),"ADD LEAGUE TO ROUNDS")</f>
        <v>5</v>
      </c>
      <c r="K454" s="6" t="n">
        <f aca="false">IFERROR(VALUE(LEFT(E454,FIND(" - ",E454)-1)),"")</f>
        <v>3</v>
      </c>
      <c r="L454" s="5" t="s">
        <v>1434</v>
      </c>
      <c r="N454" s="6" t="n">
        <f aca="false">IF(F454="","",1+COUNTIFS($J:$J,J454,$K:$K,K454,$F:$F,"&gt;"&amp;F454)+COUNTIFS($J:$J,J454,$K:$K,K454,$F:$F,F454,$G:$G,"&gt;"&amp;G454))</f>
        <v>4</v>
      </c>
      <c r="O454" s="6" t="n">
        <f aca="false">IF(L454="","",SUMIFS(Votes!$E:$E,Votes!$A:$A,J454,Votes!$B:$B,K454,Votes!$D:$D,L454))</f>
        <v>13</v>
      </c>
      <c r="P454" s="6" t="n">
        <f aca="false">IF(L454="","",COUNTIFS(Votes!$A:$A,J454,Votes!$B:$B,K454,Votes!$D:$D,L454))</f>
        <v>12</v>
      </c>
      <c r="Q454" s="7" t="str">
        <f aca="false">IF(F454="","Unscored",IF(O454="","No URI",IF(AND(F454=0,O454=0),"Zero-vote",IF(AND(F454=O454,G454=P454),"OK",IF(AND(F454=0,O454&gt;0,COUNTIFS(Votes!$A:$A,J454,Votes!$B:$B,K454,Votes!$C:$C,D454)=0),"Forfeited","Mismatch")))))</f>
        <v>OK</v>
      </c>
      <c r="R454" s="6" t="n">
        <f aca="false">MAX(IF(L454&lt;&gt;"",COUNTIF($L:$L,L454),0),COUNTIFS($A:$A,A454,$B:$B,B454))</f>
        <v>1</v>
      </c>
      <c r="S454" s="6" t="str">
        <f aca="false">IF(R454&gt;1,COUNTIF($R$2:R454,"&gt;1"),"")</f>
        <v/>
      </c>
      <c r="T454" s="6" t="str">
        <f aca="false">IF(L454="","",J454&amp;"|"&amp;K454&amp;"|"&amp;L454)</f>
        <v>5|3|spotify:track:6UelLqGlWMcVH1E5c4H7lY</v>
      </c>
      <c r="U454" s="6" t="str">
        <f aca="false">IF(C454="","",IFERROR(INDEX(Lists!$F:$F,MATCH(C454,Lists!$E:$E,0)),"Unmapped"))</f>
        <v>Pop</v>
      </c>
    </row>
    <row r="455" customFormat="false" ht="15" hidden="false" customHeight="false" outlineLevel="0" collapsed="false">
      <c r="A455" s="5" t="s">
        <v>1435</v>
      </c>
      <c r="B455" s="5" t="s">
        <v>205</v>
      </c>
      <c r="C455" s="5" t="s">
        <v>84</v>
      </c>
      <c r="D455" s="5" t="s">
        <v>92</v>
      </c>
      <c r="E455" s="5" t="s">
        <v>1425</v>
      </c>
      <c r="F455" s="5" t="n">
        <v>12</v>
      </c>
      <c r="G455" s="5" t="n">
        <v>7</v>
      </c>
      <c r="H455" s="6" t="str">
        <f aca="false">IF(N455="","",N455&amp;IF(AND(MOD(N455,100)&gt;=11,MOD(N455,100)&lt;=13),"th",CHOOSE(MIN(5,MOD(N455,10)+1),"th","st","nd","rd","th")))</f>
        <v>5th</v>
      </c>
      <c r="I455" s="5" t="s">
        <v>1335</v>
      </c>
      <c r="J455" s="6" t="n">
        <f aca="false">IFERROR(INDEX(Rounds!$A:$A,MATCH(I455,Rounds!$B:$B,0)),"ADD LEAGUE TO ROUNDS")</f>
        <v>5</v>
      </c>
      <c r="K455" s="6" t="n">
        <f aca="false">IFERROR(VALUE(LEFT(E455,FIND(" - ",E455)-1)),"")</f>
        <v>3</v>
      </c>
      <c r="L455" s="5" t="s">
        <v>1436</v>
      </c>
      <c r="N455" s="6" t="n">
        <f aca="false">IF(F455="","",1+COUNTIFS($J:$J,J455,$K:$K,K455,$F:$F,"&gt;"&amp;F455)+COUNTIFS($J:$J,J455,$K:$K,K455,$F:$F,F455,$G:$G,"&gt;"&amp;G455))</f>
        <v>5</v>
      </c>
      <c r="O455" s="6" t="n">
        <f aca="false">IF(L455="","",SUMIFS(Votes!$E:$E,Votes!$A:$A,J455,Votes!$B:$B,K455,Votes!$D:$D,L455))</f>
        <v>12</v>
      </c>
      <c r="P455" s="6" t="n">
        <f aca="false">IF(L455="","",COUNTIFS(Votes!$A:$A,J455,Votes!$B:$B,K455,Votes!$D:$D,L455))</f>
        <v>7</v>
      </c>
      <c r="Q455" s="7" t="str">
        <f aca="false">IF(F455="","Unscored",IF(O455="","No URI",IF(AND(F455=0,O455=0),"Zero-vote",IF(AND(F455=O455,G455=P455),"OK",IF(AND(F455=0,O455&gt;0,COUNTIFS(Votes!$A:$A,J455,Votes!$B:$B,K455,Votes!$C:$C,D455)=0),"Forfeited","Mismatch")))))</f>
        <v>OK</v>
      </c>
      <c r="R455" s="6" t="n">
        <f aca="false">MAX(IF(L455&lt;&gt;"",COUNTIF($L:$L,L455),0),COUNTIFS($A:$A,A455,$B:$B,B455))</f>
        <v>1</v>
      </c>
      <c r="S455" s="6" t="str">
        <f aca="false">IF(R455&gt;1,COUNTIF($R$2:R455,"&gt;1"),"")</f>
        <v/>
      </c>
      <c r="T455" s="6" t="str">
        <f aca="false">IF(L455="","",J455&amp;"|"&amp;K455&amp;"|"&amp;L455)</f>
        <v>5|3|spotify:track:1vLqigPHwiFnXsfrLMehV1</v>
      </c>
      <c r="U455" s="6" t="str">
        <f aca="false">IF(C455="","",IFERROR(INDEX(Lists!$F:$F,MATCH(C455,Lists!$E:$E,0)),"Unmapped"))</f>
        <v>Pop</v>
      </c>
    </row>
    <row r="456" customFormat="false" ht="15" hidden="false" customHeight="false" outlineLevel="0" collapsed="false">
      <c r="A456" s="5" t="s">
        <v>1437</v>
      </c>
      <c r="B456" s="5" t="s">
        <v>1438</v>
      </c>
      <c r="C456" s="5" t="s">
        <v>91</v>
      </c>
      <c r="D456" s="5" t="s">
        <v>484</v>
      </c>
      <c r="E456" s="5" t="s">
        <v>1425</v>
      </c>
      <c r="F456" s="5" t="n">
        <v>10</v>
      </c>
      <c r="G456" s="5" t="n">
        <v>8</v>
      </c>
      <c r="H456" s="6" t="str">
        <f aca="false">IF(N456="","",N456&amp;IF(AND(MOD(N456,100)&gt;=11,MOD(N456,100)&lt;=13),"th",CHOOSE(MIN(5,MOD(N456,10)+1),"th","st","nd","rd","th")))</f>
        <v>6th</v>
      </c>
      <c r="I456" s="5" t="s">
        <v>1335</v>
      </c>
      <c r="J456" s="6" t="n">
        <f aca="false">IFERROR(INDEX(Rounds!$A:$A,MATCH(I456,Rounds!$B:$B,0)),"ADD LEAGUE TO ROUNDS")</f>
        <v>5</v>
      </c>
      <c r="K456" s="6" t="n">
        <f aca="false">IFERROR(VALUE(LEFT(E456,FIND(" - ",E456)-1)),"")</f>
        <v>3</v>
      </c>
      <c r="L456" s="5" t="s">
        <v>1439</v>
      </c>
      <c r="N456" s="6" t="n">
        <f aca="false">IF(F456="","",1+COUNTIFS($J:$J,J456,$K:$K,K456,$F:$F,"&gt;"&amp;F456)+COUNTIFS($J:$J,J456,$K:$K,K456,$F:$F,F456,$G:$G,"&gt;"&amp;G456))</f>
        <v>6</v>
      </c>
      <c r="O456" s="6" t="n">
        <f aca="false">IF(L456="","",SUMIFS(Votes!$E:$E,Votes!$A:$A,J456,Votes!$B:$B,K456,Votes!$D:$D,L456))</f>
        <v>10</v>
      </c>
      <c r="P456" s="6" t="n">
        <f aca="false">IF(L456="","",COUNTIFS(Votes!$A:$A,J456,Votes!$B:$B,K456,Votes!$D:$D,L456))</f>
        <v>8</v>
      </c>
      <c r="Q456" s="7" t="str">
        <f aca="false">IF(F456="","Unscored",IF(O456="","No URI",IF(AND(F456=0,O456=0),"Zero-vote",IF(AND(F456=O456,G456=P456),"OK",IF(AND(F456=0,O456&gt;0,COUNTIFS(Votes!$A:$A,J456,Votes!$B:$B,K456,Votes!$C:$C,D456)=0),"Forfeited","Mismatch")))))</f>
        <v>OK</v>
      </c>
      <c r="R456" s="6" t="n">
        <f aca="false">MAX(IF(L456&lt;&gt;"",COUNTIF($L:$L,L456),0),COUNTIFS($A:$A,A456,$B:$B,B456))</f>
        <v>1</v>
      </c>
      <c r="S456" s="6" t="str">
        <f aca="false">IF(R456&gt;1,COUNTIF($R$2:R456,"&gt;1"),"")</f>
        <v/>
      </c>
      <c r="T456" s="6" t="str">
        <f aca="false">IF(L456="","",J456&amp;"|"&amp;K456&amp;"|"&amp;L456)</f>
        <v>5|3|spotify:track:5gJKsGij5oGt5H5RSFYXPa</v>
      </c>
      <c r="U456" s="6" t="str">
        <f aca="false">IF(C456="","",IFERROR(INDEX(Lists!$F:$F,MATCH(C456,Lists!$E:$E,0)),"Unmapped"))</f>
        <v>Rock</v>
      </c>
    </row>
    <row r="457" customFormat="false" ht="15" hidden="false" customHeight="false" outlineLevel="0" collapsed="false">
      <c r="A457" s="5" t="s">
        <v>1440</v>
      </c>
      <c r="B457" s="5" t="s">
        <v>1441</v>
      </c>
      <c r="C457" s="5" t="s">
        <v>96</v>
      </c>
      <c r="D457" s="5" t="s">
        <v>128</v>
      </c>
      <c r="E457" s="5" t="s">
        <v>1425</v>
      </c>
      <c r="F457" s="5" t="n">
        <v>9</v>
      </c>
      <c r="G457" s="5" t="n">
        <v>9</v>
      </c>
      <c r="H457" s="6" t="str">
        <f aca="false">IF(N457="","",N457&amp;IF(AND(MOD(N457,100)&gt;=11,MOD(N457,100)&lt;=13),"th",CHOOSE(MIN(5,MOD(N457,10)+1),"th","st","nd","rd","th")))</f>
        <v>7th</v>
      </c>
      <c r="I457" s="5" t="s">
        <v>1335</v>
      </c>
      <c r="J457" s="6" t="n">
        <f aca="false">IFERROR(INDEX(Rounds!$A:$A,MATCH(I457,Rounds!$B:$B,0)),"ADD LEAGUE TO ROUNDS")</f>
        <v>5</v>
      </c>
      <c r="K457" s="6" t="n">
        <f aca="false">IFERROR(VALUE(LEFT(E457,FIND(" - ",E457)-1)),"")</f>
        <v>3</v>
      </c>
      <c r="L457" s="5" t="s">
        <v>1442</v>
      </c>
      <c r="N457" s="6" t="n">
        <f aca="false">IF(F457="","",1+COUNTIFS($J:$J,J457,$K:$K,K457,$F:$F,"&gt;"&amp;F457)+COUNTIFS($J:$J,J457,$K:$K,K457,$F:$F,F457,$G:$G,"&gt;"&amp;G457))</f>
        <v>7</v>
      </c>
      <c r="O457" s="6" t="n">
        <f aca="false">IF(L457="","",SUMIFS(Votes!$E:$E,Votes!$A:$A,J457,Votes!$B:$B,K457,Votes!$D:$D,L457))</f>
        <v>9</v>
      </c>
      <c r="P457" s="6" t="n">
        <f aca="false">IF(L457="","",COUNTIFS(Votes!$A:$A,J457,Votes!$B:$B,K457,Votes!$D:$D,L457))</f>
        <v>9</v>
      </c>
      <c r="Q457" s="7" t="str">
        <f aca="false">IF(F457="","Unscored",IF(O457="","No URI",IF(AND(F457=0,O457=0),"Zero-vote",IF(AND(F457=O457,G457=P457),"OK",IF(AND(F457=0,O457&gt;0,COUNTIFS(Votes!$A:$A,J457,Votes!$B:$B,K457,Votes!$C:$C,D457)=0),"Forfeited","Mismatch")))))</f>
        <v>OK</v>
      </c>
      <c r="R457" s="6" t="n">
        <f aca="false">MAX(IF(L457&lt;&gt;"",COUNTIF($L:$L,L457),0),COUNTIFS($A:$A,A457,$B:$B,B457))</f>
        <v>1</v>
      </c>
      <c r="S457" s="6" t="str">
        <f aca="false">IF(R457&gt;1,COUNTIF($R$2:R457,"&gt;1"),"")</f>
        <v/>
      </c>
      <c r="T457" s="6" t="str">
        <f aca="false">IF(L457="","",J457&amp;"|"&amp;K457&amp;"|"&amp;L457)</f>
        <v>5|3|spotify:track:6b6IMqP565TbtFFZg9iFf3</v>
      </c>
      <c r="U457" s="6" t="str">
        <f aca="false">IF(C457="","",IFERROR(INDEX(Lists!$F:$F,MATCH(C457,Lists!$E:$E,0)),"Unmapped"))</f>
        <v>R&amp;B/Soul</v>
      </c>
    </row>
    <row r="458" customFormat="false" ht="15" hidden="false" customHeight="false" outlineLevel="0" collapsed="false">
      <c r="A458" s="5" t="s">
        <v>1443</v>
      </c>
      <c r="B458" s="5" t="s">
        <v>1444</v>
      </c>
      <c r="C458" s="5" t="s">
        <v>248</v>
      </c>
      <c r="D458" s="5" t="s">
        <v>705</v>
      </c>
      <c r="E458" s="5" t="s">
        <v>1425</v>
      </c>
      <c r="F458" s="5" t="n">
        <v>9</v>
      </c>
      <c r="G458" s="5" t="n">
        <v>8</v>
      </c>
      <c r="H458" s="6" t="str">
        <f aca="false">IF(N458="","",N458&amp;IF(AND(MOD(N458,100)&gt;=11,MOD(N458,100)&lt;=13),"th",CHOOSE(MIN(5,MOD(N458,10)+1),"th","st","nd","rd","th")))</f>
        <v>8th</v>
      </c>
      <c r="I458" s="5" t="s">
        <v>1335</v>
      </c>
      <c r="J458" s="6" t="n">
        <f aca="false">IFERROR(INDEX(Rounds!$A:$A,MATCH(I458,Rounds!$B:$B,0)),"ADD LEAGUE TO ROUNDS")</f>
        <v>5</v>
      </c>
      <c r="K458" s="6" t="n">
        <f aca="false">IFERROR(VALUE(LEFT(E458,FIND(" - ",E458)-1)),"")</f>
        <v>3</v>
      </c>
      <c r="L458" s="5" t="s">
        <v>1445</v>
      </c>
      <c r="N458" s="6" t="n">
        <f aca="false">IF(F458="","",1+COUNTIFS($J:$J,J458,$K:$K,K458,$F:$F,"&gt;"&amp;F458)+COUNTIFS($J:$J,J458,$K:$K,K458,$F:$F,F458,$G:$G,"&gt;"&amp;G458))</f>
        <v>8</v>
      </c>
      <c r="O458" s="6" t="n">
        <f aca="false">IF(L458="","",SUMIFS(Votes!$E:$E,Votes!$A:$A,J458,Votes!$B:$B,K458,Votes!$D:$D,L458))</f>
        <v>9</v>
      </c>
      <c r="P458" s="6" t="n">
        <f aca="false">IF(L458="","",COUNTIFS(Votes!$A:$A,J458,Votes!$B:$B,K458,Votes!$D:$D,L458))</f>
        <v>8</v>
      </c>
      <c r="Q458" s="7" t="str">
        <f aca="false">IF(F458="","Unscored",IF(O458="","No URI",IF(AND(F458=0,O458=0),"Zero-vote",IF(AND(F458=O458,G458=P458),"OK",IF(AND(F458=0,O458&gt;0,COUNTIFS(Votes!$A:$A,J458,Votes!$B:$B,K458,Votes!$C:$C,D458)=0),"Forfeited","Mismatch")))))</f>
        <v>OK</v>
      </c>
      <c r="R458" s="6" t="n">
        <f aca="false">MAX(IF(L458&lt;&gt;"",COUNTIF($L:$L,L458),0),COUNTIFS($A:$A,A458,$B:$B,B458))</f>
        <v>1</v>
      </c>
      <c r="S458" s="6" t="str">
        <f aca="false">IF(R458&gt;1,COUNTIF($R$2:R458,"&gt;1"),"")</f>
        <v/>
      </c>
      <c r="T458" s="6" t="str">
        <f aca="false">IF(L458="","",J458&amp;"|"&amp;K458&amp;"|"&amp;L458)</f>
        <v>5|3|spotify:track:1fDsrQ23eTAVFElUMaf38X</v>
      </c>
      <c r="U458" s="6" t="str">
        <f aca="false">IF(C458="","",IFERROR(INDEX(Lists!$F:$F,MATCH(C458,Lists!$E:$E,0)),"Unmapped"))</f>
        <v>Folk/Americana</v>
      </c>
    </row>
    <row r="459" customFormat="false" ht="15" hidden="false" customHeight="false" outlineLevel="0" collapsed="false">
      <c r="A459" s="5" t="s">
        <v>1446</v>
      </c>
      <c r="B459" s="5" t="s">
        <v>432</v>
      </c>
      <c r="C459" s="5" t="s">
        <v>84</v>
      </c>
      <c r="D459" s="5" t="s">
        <v>395</v>
      </c>
      <c r="E459" s="5" t="s">
        <v>1425</v>
      </c>
      <c r="F459" s="5" t="n">
        <v>9</v>
      </c>
      <c r="G459" s="5" t="n">
        <v>8</v>
      </c>
      <c r="H459" s="6" t="str">
        <f aca="false">IF(N459="","",N459&amp;IF(AND(MOD(N459,100)&gt;=11,MOD(N459,100)&lt;=13),"th",CHOOSE(MIN(5,MOD(N459,10)+1),"th","st","nd","rd","th")))</f>
        <v>8th</v>
      </c>
      <c r="I459" s="5" t="s">
        <v>1335</v>
      </c>
      <c r="J459" s="6" t="n">
        <f aca="false">IFERROR(INDEX(Rounds!$A:$A,MATCH(I459,Rounds!$B:$B,0)),"ADD LEAGUE TO ROUNDS")</f>
        <v>5</v>
      </c>
      <c r="K459" s="6" t="n">
        <f aca="false">IFERROR(VALUE(LEFT(E459,FIND(" - ",E459)-1)),"")</f>
        <v>3</v>
      </c>
      <c r="L459" s="5" t="s">
        <v>1447</v>
      </c>
      <c r="N459" s="6" t="n">
        <f aca="false">IF(F459="","",1+COUNTIFS($J:$J,J459,$K:$K,K459,$F:$F,"&gt;"&amp;F459)+COUNTIFS($J:$J,J459,$K:$K,K459,$F:$F,F459,$G:$G,"&gt;"&amp;G459))</f>
        <v>8</v>
      </c>
      <c r="O459" s="6" t="n">
        <f aca="false">IF(L459="","",SUMIFS(Votes!$E:$E,Votes!$A:$A,J459,Votes!$B:$B,K459,Votes!$D:$D,L459))</f>
        <v>9</v>
      </c>
      <c r="P459" s="6" t="n">
        <f aca="false">IF(L459="","",COUNTIFS(Votes!$A:$A,J459,Votes!$B:$B,K459,Votes!$D:$D,L459))</f>
        <v>8</v>
      </c>
      <c r="Q459" s="7" t="str">
        <f aca="false">IF(F459="","Unscored",IF(O459="","No URI",IF(AND(F459=0,O459=0),"Zero-vote",IF(AND(F459=O459,G459=P459),"OK",IF(AND(F459=0,O459&gt;0,COUNTIFS(Votes!$A:$A,J459,Votes!$B:$B,K459,Votes!$C:$C,D459)=0),"Forfeited","Mismatch")))))</f>
        <v>OK</v>
      </c>
      <c r="R459" s="6" t="n">
        <f aca="false">MAX(IF(L459&lt;&gt;"",COUNTIF($L:$L,L459),0),COUNTIFS($A:$A,A459,$B:$B,B459))</f>
        <v>1</v>
      </c>
      <c r="S459" s="6" t="str">
        <f aca="false">IF(R459&gt;1,COUNTIF($R$2:R459,"&gt;1"),"")</f>
        <v/>
      </c>
      <c r="T459" s="6" t="str">
        <f aca="false">IF(L459="","",J459&amp;"|"&amp;K459&amp;"|"&amp;L459)</f>
        <v>5|3|spotify:track:4iJyoBOLtHqaGxP12qzhQI</v>
      </c>
      <c r="U459" s="6" t="str">
        <f aca="false">IF(C459="","",IFERROR(INDEX(Lists!$F:$F,MATCH(C459,Lists!$E:$E,0)),"Unmapped"))</f>
        <v>Pop</v>
      </c>
    </row>
    <row r="460" customFormat="false" ht="15" hidden="false" customHeight="false" outlineLevel="0" collapsed="false">
      <c r="A460" s="5" t="s">
        <v>1448</v>
      </c>
      <c r="B460" s="5" t="s">
        <v>1449</v>
      </c>
      <c r="C460" s="5" t="s">
        <v>84</v>
      </c>
      <c r="D460" s="5" t="s">
        <v>101</v>
      </c>
      <c r="E460" s="5" t="s">
        <v>1425</v>
      </c>
      <c r="F460" s="5" t="n">
        <v>9</v>
      </c>
      <c r="G460" s="5" t="n">
        <v>7</v>
      </c>
      <c r="H460" s="6" t="str">
        <f aca="false">IF(N460="","",N460&amp;IF(AND(MOD(N460,100)&gt;=11,MOD(N460,100)&lt;=13),"th",CHOOSE(MIN(5,MOD(N460,10)+1),"th","st","nd","rd","th")))</f>
        <v>10th</v>
      </c>
      <c r="I460" s="5" t="s">
        <v>1335</v>
      </c>
      <c r="J460" s="6" t="n">
        <f aca="false">IFERROR(INDEX(Rounds!$A:$A,MATCH(I460,Rounds!$B:$B,0)),"ADD LEAGUE TO ROUNDS")</f>
        <v>5</v>
      </c>
      <c r="K460" s="6" t="n">
        <f aca="false">IFERROR(VALUE(LEFT(E460,FIND(" - ",E460)-1)),"")</f>
        <v>3</v>
      </c>
      <c r="L460" s="5" t="s">
        <v>1450</v>
      </c>
      <c r="N460" s="6" t="n">
        <f aca="false">IF(F460="","",1+COUNTIFS($J:$J,J460,$K:$K,K460,$F:$F,"&gt;"&amp;F460)+COUNTIFS($J:$J,J460,$K:$K,K460,$F:$F,F460,$G:$G,"&gt;"&amp;G460))</f>
        <v>10</v>
      </c>
      <c r="O460" s="6" t="n">
        <f aca="false">IF(L460="","",SUMIFS(Votes!$E:$E,Votes!$A:$A,J460,Votes!$B:$B,K460,Votes!$D:$D,L460))</f>
        <v>9</v>
      </c>
      <c r="P460" s="6" t="n">
        <f aca="false">IF(L460="","",COUNTIFS(Votes!$A:$A,J460,Votes!$B:$B,K460,Votes!$D:$D,L460))</f>
        <v>7</v>
      </c>
      <c r="Q460" s="7" t="str">
        <f aca="false">IF(F460="","Unscored",IF(O460="","No URI",IF(AND(F460=0,O460=0),"Zero-vote",IF(AND(F460=O460,G460=P460),"OK",IF(AND(F460=0,O460&gt;0,COUNTIFS(Votes!$A:$A,J460,Votes!$B:$B,K460,Votes!$C:$C,D460)=0),"Forfeited","Mismatch")))))</f>
        <v>OK</v>
      </c>
      <c r="R460" s="6" t="n">
        <f aca="false">MAX(IF(L460&lt;&gt;"",COUNTIF($L:$L,L460),0),COUNTIFS($A:$A,A460,$B:$B,B460))</f>
        <v>1</v>
      </c>
      <c r="S460" s="6" t="str">
        <f aca="false">IF(R460&gt;1,COUNTIF($R$2:R460,"&gt;1"),"")</f>
        <v/>
      </c>
      <c r="T460" s="6" t="str">
        <f aca="false">IF(L460="","",J460&amp;"|"&amp;K460&amp;"|"&amp;L460)</f>
        <v>5|3|spotify:track:3afkJSKX0EAMsJXTZnDXXJ</v>
      </c>
      <c r="U460" s="6" t="str">
        <f aca="false">IF(C460="","",IFERROR(INDEX(Lists!$F:$F,MATCH(C460,Lists!$E:$E,0)),"Unmapped"))</f>
        <v>Pop</v>
      </c>
    </row>
    <row r="461" customFormat="false" ht="15" hidden="false" customHeight="false" outlineLevel="0" collapsed="false">
      <c r="A461" s="5" t="s">
        <v>1451</v>
      </c>
      <c r="B461" s="5" t="s">
        <v>1452</v>
      </c>
      <c r="C461" s="5" t="s">
        <v>171</v>
      </c>
      <c r="D461" s="5" t="s">
        <v>375</v>
      </c>
      <c r="E461" s="5" t="s">
        <v>1425</v>
      </c>
      <c r="F461" s="5" t="n">
        <v>9</v>
      </c>
      <c r="G461" s="5" t="n">
        <v>6</v>
      </c>
      <c r="H461" s="6" t="str">
        <f aca="false">IF(N461="","",N461&amp;IF(AND(MOD(N461,100)&gt;=11,MOD(N461,100)&lt;=13),"th",CHOOSE(MIN(5,MOD(N461,10)+1),"th","st","nd","rd","th")))</f>
        <v>11th</v>
      </c>
      <c r="I461" s="5" t="s">
        <v>1335</v>
      </c>
      <c r="J461" s="6" t="n">
        <f aca="false">IFERROR(INDEX(Rounds!$A:$A,MATCH(I461,Rounds!$B:$B,0)),"ADD LEAGUE TO ROUNDS")</f>
        <v>5</v>
      </c>
      <c r="K461" s="6" t="n">
        <f aca="false">IFERROR(VALUE(LEFT(E461,FIND(" - ",E461)-1)),"")</f>
        <v>3</v>
      </c>
      <c r="L461" s="5" t="s">
        <v>1453</v>
      </c>
      <c r="N461" s="6" t="n">
        <f aca="false">IF(F461="","",1+COUNTIFS($J:$J,J461,$K:$K,K461,$F:$F,"&gt;"&amp;F461)+COUNTIFS($J:$J,J461,$K:$K,K461,$F:$F,F461,$G:$G,"&gt;"&amp;G461))</f>
        <v>11</v>
      </c>
      <c r="O461" s="6" t="n">
        <f aca="false">IF(L461="","",SUMIFS(Votes!$E:$E,Votes!$A:$A,J461,Votes!$B:$B,K461,Votes!$D:$D,L461))</f>
        <v>9</v>
      </c>
      <c r="P461" s="6" t="n">
        <f aca="false">IF(L461="","",COUNTIFS(Votes!$A:$A,J461,Votes!$B:$B,K461,Votes!$D:$D,L461))</f>
        <v>6</v>
      </c>
      <c r="Q461" s="7" t="str">
        <f aca="false">IF(F461="","Unscored",IF(O461="","No URI",IF(AND(F461=0,O461=0),"Zero-vote",IF(AND(F461=O461,G461=P461),"OK",IF(AND(F461=0,O461&gt;0,COUNTIFS(Votes!$A:$A,J461,Votes!$B:$B,K461,Votes!$C:$C,D461)=0),"Forfeited","Mismatch")))))</f>
        <v>OK</v>
      </c>
      <c r="R461" s="6" t="n">
        <f aca="false">MAX(IF(L461&lt;&gt;"",COUNTIF($L:$L,L461),0),COUNTIFS($A:$A,A461,$B:$B,B461))</f>
        <v>1</v>
      </c>
      <c r="S461" s="6" t="str">
        <f aca="false">IF(R461&gt;1,COUNTIF($R$2:R461,"&gt;1"),"")</f>
        <v/>
      </c>
      <c r="T461" s="6" t="str">
        <f aca="false">IF(L461="","",J461&amp;"|"&amp;K461&amp;"|"&amp;L461)</f>
        <v>5|3|spotify:track:6VeZ970uI0Yi6sjBgyFBrp</v>
      </c>
      <c r="U461" s="6" t="str">
        <f aca="false">IF(C461="","",IFERROR(INDEX(Lists!$F:$F,MATCH(C461,Lists!$E:$E,0)),"Unmapped"))</f>
        <v>Country</v>
      </c>
    </row>
    <row r="462" customFormat="false" ht="15" hidden="false" customHeight="false" outlineLevel="0" collapsed="false">
      <c r="A462" s="5" t="s">
        <v>950</v>
      </c>
      <c r="B462" s="5" t="s">
        <v>951</v>
      </c>
      <c r="C462" s="5" t="s">
        <v>171</v>
      </c>
      <c r="D462" s="5" t="s">
        <v>637</v>
      </c>
      <c r="E462" s="5" t="s">
        <v>1425</v>
      </c>
      <c r="F462" s="5" t="n">
        <v>8</v>
      </c>
      <c r="G462" s="5" t="n">
        <v>7</v>
      </c>
      <c r="H462" s="6" t="str">
        <f aca="false">IF(N462="","",N462&amp;IF(AND(MOD(N462,100)&gt;=11,MOD(N462,100)&lt;=13),"th",CHOOSE(MIN(5,MOD(N462,10)+1),"th","st","nd","rd","th")))</f>
        <v>12th</v>
      </c>
      <c r="I462" s="5" t="s">
        <v>1335</v>
      </c>
      <c r="J462" s="6" t="n">
        <f aca="false">IFERROR(INDEX(Rounds!$A:$A,MATCH(I462,Rounds!$B:$B,0)),"ADD LEAGUE TO ROUNDS")</f>
        <v>5</v>
      </c>
      <c r="K462" s="6" t="n">
        <f aca="false">IFERROR(VALUE(LEFT(E462,FIND(" - ",E462)-1)),"")</f>
        <v>3</v>
      </c>
      <c r="L462" s="5" t="s">
        <v>952</v>
      </c>
      <c r="N462" s="6" t="n">
        <f aca="false">IF(F462="","",1+COUNTIFS($J:$J,J462,$K:$K,K462,$F:$F,"&gt;"&amp;F462)+COUNTIFS($J:$J,J462,$K:$K,K462,$F:$F,F462,$G:$G,"&gt;"&amp;G462))</f>
        <v>12</v>
      </c>
      <c r="O462" s="6" t="n">
        <f aca="false">IF(L462="","",SUMIFS(Votes!$E:$E,Votes!$A:$A,J462,Votes!$B:$B,K462,Votes!$D:$D,L462))</f>
        <v>8</v>
      </c>
      <c r="P462" s="6" t="n">
        <f aca="false">IF(L462="","",COUNTIFS(Votes!$A:$A,J462,Votes!$B:$B,K462,Votes!$D:$D,L462))</f>
        <v>7</v>
      </c>
      <c r="Q462" s="7" t="str">
        <f aca="false">IF(F462="","Unscored",IF(O462="","No URI",IF(AND(F462=0,O462=0),"Zero-vote",IF(AND(F462=O462,G462=P462),"OK",IF(AND(F462=0,O462&gt;0,COUNTIFS(Votes!$A:$A,J462,Votes!$B:$B,K462,Votes!$C:$C,D462)=0),"Forfeited","Mismatch")))))</f>
        <v>OK</v>
      </c>
      <c r="R462" s="6" t="n">
        <f aca="false">MAX(IF(L462&lt;&gt;"",COUNTIF($L:$L,L462),0),COUNTIFS($A:$A,A462,$B:$B,B462))</f>
        <v>2</v>
      </c>
      <c r="S462" s="6" t="n">
        <f aca="false">IF(R462&gt;1,COUNTIF($R$2:R462,"&gt;1"),"")</f>
        <v>31</v>
      </c>
      <c r="T462" s="6" t="str">
        <f aca="false">IF(L462="","",J462&amp;"|"&amp;K462&amp;"|"&amp;L462)</f>
        <v>5|3|spotify:track:0LQtEJt7x0s6knb6RKdRYc</v>
      </c>
      <c r="U462" s="6" t="str">
        <f aca="false">IF(C462="","",IFERROR(INDEX(Lists!$F:$F,MATCH(C462,Lists!$E:$E,0)),"Unmapped"))</f>
        <v>Country</v>
      </c>
    </row>
    <row r="463" customFormat="false" ht="15" hidden="false" customHeight="false" outlineLevel="0" collapsed="false">
      <c r="A463" s="5" t="s">
        <v>1454</v>
      </c>
      <c r="B463" s="5" t="s">
        <v>83</v>
      </c>
      <c r="C463" s="5" t="s">
        <v>84</v>
      </c>
      <c r="D463" s="5" t="s">
        <v>85</v>
      </c>
      <c r="E463" s="5" t="s">
        <v>1425</v>
      </c>
      <c r="F463" s="5" t="n">
        <v>8</v>
      </c>
      <c r="G463" s="5" t="n">
        <v>6</v>
      </c>
      <c r="H463" s="6" t="str">
        <f aca="false">IF(N463="","",N463&amp;IF(AND(MOD(N463,100)&gt;=11,MOD(N463,100)&lt;=13),"th",CHOOSE(MIN(5,MOD(N463,10)+1),"th","st","nd","rd","th")))</f>
        <v>13th</v>
      </c>
      <c r="I463" s="5" t="s">
        <v>1335</v>
      </c>
      <c r="J463" s="6" t="n">
        <f aca="false">IFERROR(INDEX(Rounds!$A:$A,MATCH(I463,Rounds!$B:$B,0)),"ADD LEAGUE TO ROUNDS")</f>
        <v>5</v>
      </c>
      <c r="K463" s="6" t="n">
        <f aca="false">IFERROR(VALUE(LEFT(E463,FIND(" - ",E463)-1)),"")</f>
        <v>3</v>
      </c>
      <c r="L463" s="5" t="s">
        <v>1455</v>
      </c>
      <c r="N463" s="6" t="n">
        <f aca="false">IF(F463="","",1+COUNTIFS($J:$J,J463,$K:$K,K463,$F:$F,"&gt;"&amp;F463)+COUNTIFS($J:$J,J463,$K:$K,K463,$F:$F,F463,$G:$G,"&gt;"&amp;G463))</f>
        <v>13</v>
      </c>
      <c r="O463" s="6" t="n">
        <f aca="false">IF(L463="","",SUMIFS(Votes!$E:$E,Votes!$A:$A,J463,Votes!$B:$B,K463,Votes!$D:$D,L463))</f>
        <v>8</v>
      </c>
      <c r="P463" s="6" t="n">
        <f aca="false">IF(L463="","",COUNTIFS(Votes!$A:$A,J463,Votes!$B:$B,K463,Votes!$D:$D,L463))</f>
        <v>6</v>
      </c>
      <c r="Q463" s="7" t="str">
        <f aca="false">IF(F463="","Unscored",IF(O463="","No URI",IF(AND(F463=0,O463=0),"Zero-vote",IF(AND(F463=O463,G463=P463),"OK",IF(AND(F463=0,O463&gt;0,COUNTIFS(Votes!$A:$A,J463,Votes!$B:$B,K463,Votes!$C:$C,D463)=0),"Forfeited","Mismatch")))))</f>
        <v>OK</v>
      </c>
      <c r="R463" s="6" t="n">
        <f aca="false">MAX(IF(L463&lt;&gt;"",COUNTIF($L:$L,L463),0),COUNTIFS($A:$A,A463,$B:$B,B463))</f>
        <v>1</v>
      </c>
      <c r="S463" s="6" t="str">
        <f aca="false">IF(R463&gt;1,COUNTIF($R$2:R463,"&gt;1"),"")</f>
        <v/>
      </c>
      <c r="T463" s="6" t="str">
        <f aca="false">IF(L463="","",J463&amp;"|"&amp;K463&amp;"|"&amp;L463)</f>
        <v>5|3|spotify:track:4inPxqHrj9VmjLx5JCDCV4</v>
      </c>
      <c r="U463" s="6" t="str">
        <f aca="false">IF(C463="","",IFERROR(INDEX(Lists!$F:$F,MATCH(C463,Lists!$E:$E,0)),"Unmapped"))</f>
        <v>Pop</v>
      </c>
    </row>
    <row r="464" customFormat="false" ht="15" hidden="false" customHeight="false" outlineLevel="0" collapsed="false">
      <c r="A464" s="5" t="s">
        <v>1456</v>
      </c>
      <c r="B464" s="5" t="s">
        <v>1457</v>
      </c>
      <c r="C464" s="5" t="s">
        <v>84</v>
      </c>
      <c r="D464" s="5" t="s">
        <v>119</v>
      </c>
      <c r="E464" s="5" t="s">
        <v>1425</v>
      </c>
      <c r="F464" s="5" t="n">
        <v>7</v>
      </c>
      <c r="G464" s="5" t="n">
        <v>6</v>
      </c>
      <c r="H464" s="6" t="str">
        <f aca="false">IF(N464="","",N464&amp;IF(AND(MOD(N464,100)&gt;=11,MOD(N464,100)&lt;=13),"th",CHOOSE(MIN(5,MOD(N464,10)+1),"th","st","nd","rd","th")))</f>
        <v>14th</v>
      </c>
      <c r="I464" s="5" t="s">
        <v>1335</v>
      </c>
      <c r="J464" s="6" t="n">
        <f aca="false">IFERROR(INDEX(Rounds!$A:$A,MATCH(I464,Rounds!$B:$B,0)),"ADD LEAGUE TO ROUNDS")</f>
        <v>5</v>
      </c>
      <c r="K464" s="6" t="n">
        <f aca="false">IFERROR(VALUE(LEFT(E464,FIND(" - ",E464)-1)),"")</f>
        <v>3</v>
      </c>
      <c r="L464" s="5" t="s">
        <v>1458</v>
      </c>
      <c r="N464" s="6" t="n">
        <f aca="false">IF(F464="","",1+COUNTIFS($J:$J,J464,$K:$K,K464,$F:$F,"&gt;"&amp;F464)+COUNTIFS($J:$J,J464,$K:$K,K464,$F:$F,F464,$G:$G,"&gt;"&amp;G464))</f>
        <v>14</v>
      </c>
      <c r="O464" s="6" t="n">
        <f aca="false">IF(L464="","",SUMIFS(Votes!$E:$E,Votes!$A:$A,J464,Votes!$B:$B,K464,Votes!$D:$D,L464))</f>
        <v>7</v>
      </c>
      <c r="P464" s="6" t="n">
        <f aca="false">IF(L464="","",COUNTIFS(Votes!$A:$A,J464,Votes!$B:$B,K464,Votes!$D:$D,L464))</f>
        <v>6</v>
      </c>
      <c r="Q464" s="7" t="str">
        <f aca="false">IF(F464="","Unscored",IF(O464="","No URI",IF(AND(F464=0,O464=0),"Zero-vote",IF(AND(F464=O464,G464=P464),"OK",IF(AND(F464=0,O464&gt;0,COUNTIFS(Votes!$A:$A,J464,Votes!$B:$B,K464,Votes!$C:$C,D464)=0),"Forfeited","Mismatch")))))</f>
        <v>OK</v>
      </c>
      <c r="R464" s="6" t="n">
        <f aca="false">MAX(IF(L464&lt;&gt;"",COUNTIF($L:$L,L464),0),COUNTIFS($A:$A,A464,$B:$B,B464))</f>
        <v>1</v>
      </c>
      <c r="S464" s="6" t="str">
        <f aca="false">IF(R464&gt;1,COUNTIF($R$2:R464,"&gt;1"),"")</f>
        <v/>
      </c>
      <c r="T464" s="6" t="str">
        <f aca="false">IF(L464="","",J464&amp;"|"&amp;K464&amp;"|"&amp;L464)</f>
        <v>5|3|spotify:track:19RybK6XDbAVpcdxSbZL1o</v>
      </c>
      <c r="U464" s="6" t="str">
        <f aca="false">IF(C464="","",IFERROR(INDEX(Lists!$F:$F,MATCH(C464,Lists!$E:$E,0)),"Unmapped"))</f>
        <v>Pop</v>
      </c>
    </row>
    <row r="465" customFormat="false" ht="15" hidden="false" customHeight="false" outlineLevel="0" collapsed="false">
      <c r="A465" s="5" t="s">
        <v>1093</v>
      </c>
      <c r="B465" s="5" t="s">
        <v>1459</v>
      </c>
      <c r="C465" s="5" t="s">
        <v>132</v>
      </c>
      <c r="D465" s="5" t="s">
        <v>106</v>
      </c>
      <c r="E465" s="5" t="s">
        <v>1425</v>
      </c>
      <c r="F465" s="5" t="n">
        <v>4</v>
      </c>
      <c r="G465" s="5" t="n">
        <v>4</v>
      </c>
      <c r="H465" s="6" t="str">
        <f aca="false">IF(N465="","",N465&amp;IF(AND(MOD(N465,100)&gt;=11,MOD(N465,100)&lt;=13),"th",CHOOSE(MIN(5,MOD(N465,10)+1),"th","st","nd","rd","th")))</f>
        <v>15th</v>
      </c>
      <c r="I465" s="5" t="s">
        <v>1335</v>
      </c>
      <c r="J465" s="6" t="n">
        <f aca="false">IFERROR(INDEX(Rounds!$A:$A,MATCH(I465,Rounds!$B:$B,0)),"ADD LEAGUE TO ROUNDS")</f>
        <v>5</v>
      </c>
      <c r="K465" s="6" t="n">
        <f aca="false">IFERROR(VALUE(LEFT(E465,FIND(" - ",E465)-1)),"")</f>
        <v>3</v>
      </c>
      <c r="L465" s="5" t="s">
        <v>1460</v>
      </c>
      <c r="N465" s="6" t="n">
        <f aca="false">IF(F465="","",1+COUNTIFS($J:$J,J465,$K:$K,K465,$F:$F,"&gt;"&amp;F465)+COUNTIFS($J:$J,J465,$K:$K,K465,$F:$F,F465,$G:$G,"&gt;"&amp;G465))</f>
        <v>15</v>
      </c>
      <c r="O465" s="6" t="n">
        <f aca="false">IF(L465="","",SUMIFS(Votes!$E:$E,Votes!$A:$A,J465,Votes!$B:$B,K465,Votes!$D:$D,L465))</f>
        <v>4</v>
      </c>
      <c r="P465" s="6" t="n">
        <f aca="false">IF(L465="","",COUNTIFS(Votes!$A:$A,J465,Votes!$B:$B,K465,Votes!$D:$D,L465))</f>
        <v>4</v>
      </c>
      <c r="Q465" s="7" t="str">
        <f aca="false">IF(F465="","Unscored",IF(O465="","No URI",IF(AND(F465=0,O465=0),"Zero-vote",IF(AND(F465=O465,G465=P465),"OK",IF(AND(F465=0,O465&gt;0,COUNTIFS(Votes!$A:$A,J465,Votes!$B:$B,K465,Votes!$C:$C,D465)=0),"Forfeited","Mismatch")))))</f>
        <v>OK</v>
      </c>
      <c r="R465" s="6" t="n">
        <f aca="false">MAX(IF(L465&lt;&gt;"",COUNTIF($L:$L,L465),0),COUNTIFS($A:$A,A465,$B:$B,B465))</f>
        <v>1</v>
      </c>
      <c r="S465" s="6" t="str">
        <f aca="false">IF(R465&gt;1,COUNTIF($R$2:R465,"&gt;1"),"")</f>
        <v/>
      </c>
      <c r="T465" s="6" t="str">
        <f aca="false">IF(L465="","",J465&amp;"|"&amp;K465&amp;"|"&amp;L465)</f>
        <v>5|3|spotify:track:750wm5pwuAQfnSLX8mxa5f</v>
      </c>
      <c r="U465" s="6" t="str">
        <f aca="false">IF(C465="","",IFERROR(INDEX(Lists!$F:$F,MATCH(C465,Lists!$E:$E,0)),"Unmapped"))</f>
        <v>Soundtrack/Musical</v>
      </c>
    </row>
    <row r="466" customFormat="false" ht="15" hidden="false" customHeight="false" outlineLevel="0" collapsed="false">
      <c r="A466" s="5" t="s">
        <v>1461</v>
      </c>
      <c r="B466" s="5" t="s">
        <v>1462</v>
      </c>
      <c r="C466" s="5" t="s">
        <v>96</v>
      </c>
      <c r="D466" s="5" t="s">
        <v>97</v>
      </c>
      <c r="E466" s="5" t="s">
        <v>1463</v>
      </c>
      <c r="F466" s="5" t="n">
        <v>14</v>
      </c>
      <c r="G466" s="5" t="n">
        <v>10</v>
      </c>
      <c r="H466" s="6" t="str">
        <f aca="false">IF(N466="","",N466&amp;IF(AND(MOD(N466,100)&gt;=11,MOD(N466,100)&lt;=13),"th",CHOOSE(MIN(5,MOD(N466,10)+1),"th","st","nd","rd","th")))</f>
        <v>1st</v>
      </c>
      <c r="I466" s="5" t="s">
        <v>1335</v>
      </c>
      <c r="J466" s="6" t="n">
        <f aca="false">IFERROR(INDEX(Rounds!$A:$A,MATCH(I466,Rounds!$B:$B,0)),"ADD LEAGUE TO ROUNDS")</f>
        <v>5</v>
      </c>
      <c r="K466" s="6" t="n">
        <f aca="false">IFERROR(VALUE(LEFT(E466,FIND(" - ",E466)-1)),"")</f>
        <v>4</v>
      </c>
      <c r="L466" s="5" t="s">
        <v>1464</v>
      </c>
      <c r="N466" s="6" t="n">
        <f aca="false">IF(F466="","",1+COUNTIFS($J:$J,J466,$K:$K,K466,$F:$F,"&gt;"&amp;F466)+COUNTIFS($J:$J,J466,$K:$K,K466,$F:$F,F466,$G:$G,"&gt;"&amp;G466))</f>
        <v>1</v>
      </c>
      <c r="O466" s="6" t="n">
        <f aca="false">IF(L466="","",SUMIFS(Votes!$E:$E,Votes!$A:$A,J466,Votes!$B:$B,K466,Votes!$D:$D,L466))</f>
        <v>14</v>
      </c>
      <c r="P466" s="6" t="n">
        <f aca="false">IF(L466="","",COUNTIFS(Votes!$A:$A,J466,Votes!$B:$B,K466,Votes!$D:$D,L466))</f>
        <v>10</v>
      </c>
      <c r="Q466" s="7" t="str">
        <f aca="false">IF(F466="","Unscored",IF(O466="","No URI",IF(AND(F466=0,O466=0),"Zero-vote",IF(AND(F466=O466,G466=P466),"OK",IF(AND(F466=0,O466&gt;0,COUNTIFS(Votes!$A:$A,J466,Votes!$B:$B,K466,Votes!$C:$C,D466)=0),"Forfeited","Mismatch")))))</f>
        <v>OK</v>
      </c>
      <c r="R466" s="6" t="n">
        <f aca="false">MAX(IF(L466&lt;&gt;"",COUNTIF($L:$L,L466),0),COUNTIFS($A:$A,A466,$B:$B,B466))</f>
        <v>1</v>
      </c>
      <c r="S466" s="6" t="str">
        <f aca="false">IF(R466&gt;1,COUNTIF($R$2:R466,"&gt;1"),"")</f>
        <v/>
      </c>
      <c r="T466" s="6" t="str">
        <f aca="false">IF(L466="","",J466&amp;"|"&amp;K466&amp;"|"&amp;L466)</f>
        <v>5|4|spotify:track:6zeeWid2sgw4lap2jV61PZ</v>
      </c>
      <c r="U466" s="6" t="str">
        <f aca="false">IF(C466="","",IFERROR(INDEX(Lists!$F:$F,MATCH(C466,Lists!$E:$E,0)),"Unmapped"))</f>
        <v>R&amp;B/Soul</v>
      </c>
    </row>
    <row r="467" customFormat="false" ht="15" hidden="false" customHeight="false" outlineLevel="0" collapsed="false">
      <c r="A467" s="5" t="s">
        <v>1465</v>
      </c>
      <c r="B467" s="5" t="s">
        <v>1310</v>
      </c>
      <c r="C467" s="5" t="s">
        <v>491</v>
      </c>
      <c r="D467" s="5" t="s">
        <v>106</v>
      </c>
      <c r="E467" s="5" t="s">
        <v>1463</v>
      </c>
      <c r="F467" s="5" t="n">
        <v>14</v>
      </c>
      <c r="G467" s="5" t="n">
        <v>9</v>
      </c>
      <c r="H467" s="6" t="str">
        <f aca="false">IF(N467="","",N467&amp;IF(AND(MOD(N467,100)&gt;=11,MOD(N467,100)&lt;=13),"th",CHOOSE(MIN(5,MOD(N467,10)+1),"th","st","nd","rd","th")))</f>
        <v>2nd</v>
      </c>
      <c r="I467" s="5" t="s">
        <v>1335</v>
      </c>
      <c r="J467" s="6" t="n">
        <f aca="false">IFERROR(INDEX(Rounds!$A:$A,MATCH(I467,Rounds!$B:$B,0)),"ADD LEAGUE TO ROUNDS")</f>
        <v>5</v>
      </c>
      <c r="K467" s="6" t="n">
        <f aca="false">IFERROR(VALUE(LEFT(E467,FIND(" - ",E467)-1)),"")</f>
        <v>4</v>
      </c>
      <c r="L467" s="5" t="s">
        <v>1466</v>
      </c>
      <c r="N467" s="6" t="n">
        <f aca="false">IF(F467="","",1+COUNTIFS($J:$J,J467,$K:$K,K467,$F:$F,"&gt;"&amp;F467)+COUNTIFS($J:$J,J467,$K:$K,K467,$F:$F,F467,$G:$G,"&gt;"&amp;G467))</f>
        <v>2</v>
      </c>
      <c r="O467" s="6" t="n">
        <f aca="false">IF(L467="","",SUMIFS(Votes!$E:$E,Votes!$A:$A,J467,Votes!$B:$B,K467,Votes!$D:$D,L467))</f>
        <v>14</v>
      </c>
      <c r="P467" s="6" t="n">
        <f aca="false">IF(L467="","",COUNTIFS(Votes!$A:$A,J467,Votes!$B:$B,K467,Votes!$D:$D,L467))</f>
        <v>9</v>
      </c>
      <c r="Q467" s="7" t="str">
        <f aca="false">IF(F467="","Unscored",IF(O467="","No URI",IF(AND(F467=0,O467=0),"Zero-vote",IF(AND(F467=O467,G467=P467),"OK",IF(AND(F467=0,O467&gt;0,COUNTIFS(Votes!$A:$A,J467,Votes!$B:$B,K467,Votes!$C:$C,D467)=0),"Forfeited","Mismatch")))))</f>
        <v>OK</v>
      </c>
      <c r="R467" s="6" t="n">
        <f aca="false">MAX(IF(L467&lt;&gt;"",COUNTIF($L:$L,L467),0),COUNTIFS($A:$A,A467,$B:$B,B467))</f>
        <v>2</v>
      </c>
      <c r="S467" s="6" t="n">
        <f aca="false">IF(R467&gt;1,COUNTIF($R$2:R467,"&gt;1"),"")</f>
        <v>32</v>
      </c>
      <c r="T467" s="6" t="str">
        <f aca="false">IF(L467="","",J467&amp;"|"&amp;K467&amp;"|"&amp;L467)</f>
        <v>5|4|spotify:track:7vggqxNKwd6xdRoYS0pQtM</v>
      </c>
      <c r="U467" s="6" t="str">
        <f aca="false">IF(C467="","",IFERROR(INDEX(Lists!$F:$F,MATCH(C467,Lists!$E:$E,0)),"Unmapped"))</f>
        <v>Reggae</v>
      </c>
    </row>
    <row r="468" customFormat="false" ht="15" hidden="false" customHeight="false" outlineLevel="0" collapsed="false">
      <c r="A468" s="5" t="s">
        <v>1467</v>
      </c>
      <c r="B468" s="5" t="s">
        <v>1468</v>
      </c>
      <c r="C468" s="5" t="s">
        <v>91</v>
      </c>
      <c r="D468" s="5" t="s">
        <v>719</v>
      </c>
      <c r="E468" s="5" t="s">
        <v>1463</v>
      </c>
      <c r="F468" s="5" t="n">
        <v>13</v>
      </c>
      <c r="G468" s="5" t="n">
        <v>10</v>
      </c>
      <c r="H468" s="6" t="str">
        <f aca="false">IF(N468="","",N468&amp;IF(AND(MOD(N468,100)&gt;=11,MOD(N468,100)&lt;=13),"th",CHOOSE(MIN(5,MOD(N468,10)+1),"th","st","nd","rd","th")))</f>
        <v>3rd</v>
      </c>
      <c r="I468" s="5" t="s">
        <v>1335</v>
      </c>
      <c r="J468" s="6" t="n">
        <f aca="false">IFERROR(INDEX(Rounds!$A:$A,MATCH(I468,Rounds!$B:$B,0)),"ADD LEAGUE TO ROUNDS")</f>
        <v>5</v>
      </c>
      <c r="K468" s="6" t="n">
        <f aca="false">IFERROR(VALUE(LEFT(E468,FIND(" - ",E468)-1)),"")</f>
        <v>4</v>
      </c>
      <c r="L468" s="5" t="s">
        <v>1469</v>
      </c>
      <c r="N468" s="6" t="n">
        <f aca="false">IF(F468="","",1+COUNTIFS($J:$J,J468,$K:$K,K468,$F:$F,"&gt;"&amp;F468)+COUNTIFS($J:$J,J468,$K:$K,K468,$F:$F,F468,$G:$G,"&gt;"&amp;G468))</f>
        <v>3</v>
      </c>
      <c r="O468" s="6" t="n">
        <f aca="false">IF(L468="","",SUMIFS(Votes!$E:$E,Votes!$A:$A,J468,Votes!$B:$B,K468,Votes!$D:$D,L468))</f>
        <v>13</v>
      </c>
      <c r="P468" s="6" t="n">
        <f aca="false">IF(L468="","",COUNTIFS(Votes!$A:$A,J468,Votes!$B:$B,K468,Votes!$D:$D,L468))</f>
        <v>10</v>
      </c>
      <c r="Q468" s="7" t="str">
        <f aca="false">IF(F468="","Unscored",IF(O468="","No URI",IF(AND(F468=0,O468=0),"Zero-vote",IF(AND(F468=O468,G468=P468),"OK",IF(AND(F468=0,O468&gt;0,COUNTIFS(Votes!$A:$A,J468,Votes!$B:$B,K468,Votes!$C:$C,D468)=0),"Forfeited","Mismatch")))))</f>
        <v>OK</v>
      </c>
      <c r="R468" s="6" t="n">
        <f aca="false">MAX(IF(L468&lt;&gt;"",COUNTIF($L:$L,L468),0),COUNTIFS($A:$A,A468,$B:$B,B468))</f>
        <v>1</v>
      </c>
      <c r="S468" s="6" t="str">
        <f aca="false">IF(R468&gt;1,COUNTIF($R$2:R468,"&gt;1"),"")</f>
        <v/>
      </c>
      <c r="T468" s="6" t="str">
        <f aca="false">IF(L468="","",J468&amp;"|"&amp;K468&amp;"|"&amp;L468)</f>
        <v>5|4|spotify:track:4yugZvBYaoREkJKtbG08Qr</v>
      </c>
      <c r="U468" s="6" t="str">
        <f aca="false">IF(C468="","",IFERROR(INDEX(Lists!$F:$F,MATCH(C468,Lists!$E:$E,0)),"Unmapped"))</f>
        <v>Rock</v>
      </c>
    </row>
    <row r="469" customFormat="false" ht="15" hidden="false" customHeight="false" outlineLevel="0" collapsed="false">
      <c r="A469" s="5" t="s">
        <v>1470</v>
      </c>
      <c r="B469" s="5" t="s">
        <v>1471</v>
      </c>
      <c r="C469" s="5" t="s">
        <v>506</v>
      </c>
      <c r="D469" s="5" t="s">
        <v>116</v>
      </c>
      <c r="E469" s="5" t="s">
        <v>1463</v>
      </c>
      <c r="F469" s="5" t="n">
        <v>12</v>
      </c>
      <c r="G469" s="5" t="n">
        <v>8</v>
      </c>
      <c r="H469" s="6" t="str">
        <f aca="false">IF(N469="","",N469&amp;IF(AND(MOD(N469,100)&gt;=11,MOD(N469,100)&lt;=13),"th",CHOOSE(MIN(5,MOD(N469,10)+1),"th","st","nd","rd","th")))</f>
        <v>4th</v>
      </c>
      <c r="I469" s="5" t="s">
        <v>1335</v>
      </c>
      <c r="J469" s="6" t="n">
        <f aca="false">IFERROR(INDEX(Rounds!$A:$A,MATCH(I469,Rounds!$B:$B,0)),"ADD LEAGUE TO ROUNDS")</f>
        <v>5</v>
      </c>
      <c r="K469" s="6" t="n">
        <f aca="false">IFERROR(VALUE(LEFT(E469,FIND(" - ",E469)-1)),"")</f>
        <v>4</v>
      </c>
      <c r="L469" s="5" t="s">
        <v>1472</v>
      </c>
      <c r="N469" s="6" t="n">
        <f aca="false">IF(F469="","",1+COUNTIFS($J:$J,J469,$K:$K,K469,$F:$F,"&gt;"&amp;F469)+COUNTIFS($J:$J,J469,$K:$K,K469,$F:$F,F469,$G:$G,"&gt;"&amp;G469))</f>
        <v>4</v>
      </c>
      <c r="O469" s="6" t="n">
        <f aca="false">IF(L469="","",SUMIFS(Votes!$E:$E,Votes!$A:$A,J469,Votes!$B:$B,K469,Votes!$D:$D,L469))</f>
        <v>12</v>
      </c>
      <c r="P469" s="6" t="n">
        <f aca="false">IF(L469="","",COUNTIFS(Votes!$A:$A,J469,Votes!$B:$B,K469,Votes!$D:$D,L469))</f>
        <v>8</v>
      </c>
      <c r="Q469" s="7" t="str">
        <f aca="false">IF(F469="","Unscored",IF(O469="","No URI",IF(AND(F469=0,O469=0),"Zero-vote",IF(AND(F469=O469,G469=P469),"OK",IF(AND(F469=0,O469&gt;0,COUNTIFS(Votes!$A:$A,J469,Votes!$B:$B,K469,Votes!$C:$C,D469)=0),"Forfeited","Mismatch")))))</f>
        <v>OK</v>
      </c>
      <c r="R469" s="6" t="n">
        <f aca="false">MAX(IF(L469&lt;&gt;"",COUNTIF($L:$L,L469),0),COUNTIFS($A:$A,A469,$B:$B,B469))</f>
        <v>1</v>
      </c>
      <c r="S469" s="6" t="str">
        <f aca="false">IF(R469&gt;1,COUNTIF($R$2:R469,"&gt;1"),"")</f>
        <v/>
      </c>
      <c r="T469" s="6" t="str">
        <f aca="false">IF(L469="","",J469&amp;"|"&amp;K469&amp;"|"&amp;L469)</f>
        <v>5|4|spotify:track:3hMDAZqFsZYjYJO4hN3UTK</v>
      </c>
      <c r="U469" s="6" t="str">
        <f aca="false">IF(C469="","",IFERROR(INDEX(Lists!$F:$F,MATCH(C469,Lists!$E:$E,0)),"Unmapped"))</f>
        <v>Classical/Score</v>
      </c>
    </row>
    <row r="470" customFormat="false" ht="15" hidden="false" customHeight="false" outlineLevel="0" collapsed="false">
      <c r="A470" s="5" t="s">
        <v>1473</v>
      </c>
      <c r="B470" s="5" t="s">
        <v>1474</v>
      </c>
      <c r="C470" s="5" t="s">
        <v>84</v>
      </c>
      <c r="D470" s="5" t="s">
        <v>85</v>
      </c>
      <c r="E470" s="5" t="s">
        <v>1463</v>
      </c>
      <c r="F470" s="5" t="n">
        <v>11</v>
      </c>
      <c r="G470" s="5" t="n">
        <v>9</v>
      </c>
      <c r="H470" s="6" t="str">
        <f aca="false">IF(N470="","",N470&amp;IF(AND(MOD(N470,100)&gt;=11,MOD(N470,100)&lt;=13),"th",CHOOSE(MIN(5,MOD(N470,10)+1),"th","st","nd","rd","th")))</f>
        <v>5th</v>
      </c>
      <c r="I470" s="5" t="s">
        <v>1335</v>
      </c>
      <c r="J470" s="6" t="n">
        <f aca="false">IFERROR(INDEX(Rounds!$A:$A,MATCH(I470,Rounds!$B:$B,0)),"ADD LEAGUE TO ROUNDS")</f>
        <v>5</v>
      </c>
      <c r="K470" s="6" t="n">
        <f aca="false">IFERROR(VALUE(LEFT(E470,FIND(" - ",E470)-1)),"")</f>
        <v>4</v>
      </c>
      <c r="L470" s="5" t="s">
        <v>1475</v>
      </c>
      <c r="N470" s="6" t="n">
        <f aca="false">IF(F470="","",1+COUNTIFS($J:$J,J470,$K:$K,K470,$F:$F,"&gt;"&amp;F470)+COUNTIFS($J:$J,J470,$K:$K,K470,$F:$F,F470,$G:$G,"&gt;"&amp;G470))</f>
        <v>5</v>
      </c>
      <c r="O470" s="6" t="n">
        <f aca="false">IF(L470="","",SUMIFS(Votes!$E:$E,Votes!$A:$A,J470,Votes!$B:$B,K470,Votes!$D:$D,L470))</f>
        <v>11</v>
      </c>
      <c r="P470" s="6" t="n">
        <f aca="false">IF(L470="","",COUNTIFS(Votes!$A:$A,J470,Votes!$B:$B,K470,Votes!$D:$D,L470))</f>
        <v>9</v>
      </c>
      <c r="Q470" s="7" t="str">
        <f aca="false">IF(F470="","Unscored",IF(O470="","No URI",IF(AND(F470=0,O470=0),"Zero-vote",IF(AND(F470=O470,G470=P470),"OK",IF(AND(F470=0,O470&gt;0,COUNTIFS(Votes!$A:$A,J470,Votes!$B:$B,K470,Votes!$C:$C,D470)=0),"Forfeited","Mismatch")))))</f>
        <v>OK</v>
      </c>
      <c r="R470" s="6" t="n">
        <f aca="false">MAX(IF(L470&lt;&gt;"",COUNTIF($L:$L,L470),0),COUNTIFS($A:$A,A470,$B:$B,B470))</f>
        <v>1</v>
      </c>
      <c r="S470" s="6" t="str">
        <f aca="false">IF(R470&gt;1,COUNTIF($R$2:R470,"&gt;1"),"")</f>
        <v/>
      </c>
      <c r="T470" s="6" t="str">
        <f aca="false">IF(L470="","",J470&amp;"|"&amp;K470&amp;"|"&amp;L470)</f>
        <v>5|4|spotify:track:5hx7w26Zi3zafMgvMTUqF6</v>
      </c>
      <c r="U470" s="6" t="str">
        <f aca="false">IF(C470="","",IFERROR(INDEX(Lists!$F:$F,MATCH(C470,Lists!$E:$E,0)),"Unmapped"))</f>
        <v>Pop</v>
      </c>
    </row>
    <row r="471" customFormat="false" ht="15" hidden="false" customHeight="false" outlineLevel="0" collapsed="false">
      <c r="A471" s="5" t="s">
        <v>1476</v>
      </c>
      <c r="B471" s="5" t="s">
        <v>1477</v>
      </c>
      <c r="C471" s="5" t="s">
        <v>248</v>
      </c>
      <c r="D471" s="5" t="s">
        <v>705</v>
      </c>
      <c r="E471" s="5" t="s">
        <v>1463</v>
      </c>
      <c r="F471" s="5" t="n">
        <v>11</v>
      </c>
      <c r="G471" s="5" t="n">
        <v>6</v>
      </c>
      <c r="H471" s="6" t="str">
        <f aca="false">IF(N471="","",N471&amp;IF(AND(MOD(N471,100)&gt;=11,MOD(N471,100)&lt;=13),"th",CHOOSE(MIN(5,MOD(N471,10)+1),"th","st","nd","rd","th")))</f>
        <v>6th</v>
      </c>
      <c r="I471" s="5" t="s">
        <v>1335</v>
      </c>
      <c r="J471" s="6" t="n">
        <f aca="false">IFERROR(INDEX(Rounds!$A:$A,MATCH(I471,Rounds!$B:$B,0)),"ADD LEAGUE TO ROUNDS")</f>
        <v>5</v>
      </c>
      <c r="K471" s="6" t="n">
        <f aca="false">IFERROR(VALUE(LEFT(E471,FIND(" - ",E471)-1)),"")</f>
        <v>4</v>
      </c>
      <c r="L471" s="5" t="s">
        <v>1478</v>
      </c>
      <c r="N471" s="6" t="n">
        <f aca="false">IF(F471="","",1+COUNTIFS($J:$J,J471,$K:$K,K471,$F:$F,"&gt;"&amp;F471)+COUNTIFS($J:$J,J471,$K:$K,K471,$F:$F,F471,$G:$G,"&gt;"&amp;G471))</f>
        <v>6</v>
      </c>
      <c r="O471" s="6" t="n">
        <f aca="false">IF(L471="","",SUMIFS(Votes!$E:$E,Votes!$A:$A,J471,Votes!$B:$B,K471,Votes!$D:$D,L471))</f>
        <v>11</v>
      </c>
      <c r="P471" s="6" t="n">
        <f aca="false">IF(L471="","",COUNTIFS(Votes!$A:$A,J471,Votes!$B:$B,K471,Votes!$D:$D,L471))</f>
        <v>6</v>
      </c>
      <c r="Q471" s="7" t="str">
        <f aca="false">IF(F471="","Unscored",IF(O471="","No URI",IF(AND(F471=0,O471=0),"Zero-vote",IF(AND(F471=O471,G471=P471),"OK",IF(AND(F471=0,O471&gt;0,COUNTIFS(Votes!$A:$A,J471,Votes!$B:$B,K471,Votes!$C:$C,D471)=0),"Forfeited","Mismatch")))))</f>
        <v>OK</v>
      </c>
      <c r="R471" s="6" t="n">
        <f aca="false">MAX(IF(L471&lt;&gt;"",COUNTIF($L:$L,L471),0),COUNTIFS($A:$A,A471,$B:$B,B471))</f>
        <v>1</v>
      </c>
      <c r="S471" s="6" t="str">
        <f aca="false">IF(R471&gt;1,COUNTIF($R$2:R471,"&gt;1"),"")</f>
        <v/>
      </c>
      <c r="T471" s="6" t="str">
        <f aca="false">IF(L471="","",J471&amp;"|"&amp;K471&amp;"|"&amp;L471)</f>
        <v>5|4|spotify:track:1285TFFkLTTis9UL9IGZRi</v>
      </c>
      <c r="U471" s="6" t="str">
        <f aca="false">IF(C471="","",IFERROR(INDEX(Lists!$F:$F,MATCH(C471,Lists!$E:$E,0)),"Unmapped"))</f>
        <v>Folk/Americana</v>
      </c>
    </row>
    <row r="472" customFormat="false" ht="15" hidden="false" customHeight="false" outlineLevel="0" collapsed="false">
      <c r="A472" s="5" t="s">
        <v>1479</v>
      </c>
      <c r="B472" s="5" t="s">
        <v>280</v>
      </c>
      <c r="C472" s="5" t="s">
        <v>171</v>
      </c>
      <c r="D472" s="5" t="s">
        <v>128</v>
      </c>
      <c r="E472" s="5" t="s">
        <v>1463</v>
      </c>
      <c r="F472" s="5" t="n">
        <v>9</v>
      </c>
      <c r="G472" s="5" t="n">
        <v>7</v>
      </c>
      <c r="H472" s="6" t="str">
        <f aca="false">IF(N472="","",N472&amp;IF(AND(MOD(N472,100)&gt;=11,MOD(N472,100)&lt;=13),"th",CHOOSE(MIN(5,MOD(N472,10)+1),"th","st","nd","rd","th")))</f>
        <v>7th</v>
      </c>
      <c r="I472" s="5" t="s">
        <v>1335</v>
      </c>
      <c r="J472" s="6" t="n">
        <f aca="false">IFERROR(INDEX(Rounds!$A:$A,MATCH(I472,Rounds!$B:$B,0)),"ADD LEAGUE TO ROUNDS")</f>
        <v>5</v>
      </c>
      <c r="K472" s="6" t="n">
        <f aca="false">IFERROR(VALUE(LEFT(E472,FIND(" - ",E472)-1)),"")</f>
        <v>4</v>
      </c>
      <c r="L472" s="5" t="s">
        <v>1480</v>
      </c>
      <c r="N472" s="6" t="n">
        <f aca="false">IF(F472="","",1+COUNTIFS($J:$J,J472,$K:$K,K472,$F:$F,"&gt;"&amp;F472)+COUNTIFS($J:$J,J472,$K:$K,K472,$F:$F,F472,$G:$G,"&gt;"&amp;G472))</f>
        <v>7</v>
      </c>
      <c r="O472" s="6" t="n">
        <f aca="false">IF(L472="","",SUMIFS(Votes!$E:$E,Votes!$A:$A,J472,Votes!$B:$B,K472,Votes!$D:$D,L472))</f>
        <v>9</v>
      </c>
      <c r="P472" s="6" t="n">
        <f aca="false">IF(L472="","",COUNTIFS(Votes!$A:$A,J472,Votes!$B:$B,K472,Votes!$D:$D,L472))</f>
        <v>7</v>
      </c>
      <c r="Q472" s="7" t="str">
        <f aca="false">IF(F472="","Unscored",IF(O472="","No URI",IF(AND(F472=0,O472=0),"Zero-vote",IF(AND(F472=O472,G472=P472),"OK",IF(AND(F472=0,O472&gt;0,COUNTIFS(Votes!$A:$A,J472,Votes!$B:$B,K472,Votes!$C:$C,D472)=0),"Forfeited","Mismatch")))))</f>
        <v>OK</v>
      </c>
      <c r="R472" s="6" t="n">
        <f aca="false">MAX(IF(L472&lt;&gt;"",COUNTIF($L:$L,L472),0),COUNTIFS($A:$A,A472,$B:$B,B472))</f>
        <v>1</v>
      </c>
      <c r="S472" s="6" t="str">
        <f aca="false">IF(R472&gt;1,COUNTIF($R$2:R472,"&gt;1"),"")</f>
        <v/>
      </c>
      <c r="T472" s="6" t="str">
        <f aca="false">IF(L472="","",J472&amp;"|"&amp;K472&amp;"|"&amp;L472)</f>
        <v>5|4|spotify:track:79qxwHypONUt3AFq0WPpT9</v>
      </c>
      <c r="U472" s="6" t="str">
        <f aca="false">IF(C472="","",IFERROR(INDEX(Lists!$F:$F,MATCH(C472,Lists!$E:$E,0)),"Unmapped"))</f>
        <v>Country</v>
      </c>
    </row>
    <row r="473" customFormat="false" ht="15" hidden="false" customHeight="false" outlineLevel="0" collapsed="false">
      <c r="A473" s="5" t="s">
        <v>1481</v>
      </c>
      <c r="B473" s="5" t="s">
        <v>1482</v>
      </c>
      <c r="C473" s="5" t="s">
        <v>91</v>
      </c>
      <c r="D473" s="5" t="s">
        <v>395</v>
      </c>
      <c r="E473" s="5" t="s">
        <v>1463</v>
      </c>
      <c r="F473" s="5" t="n">
        <v>8</v>
      </c>
      <c r="G473" s="5" t="n">
        <v>6</v>
      </c>
      <c r="H473" s="6" t="str">
        <f aca="false">IF(N473="","",N473&amp;IF(AND(MOD(N473,100)&gt;=11,MOD(N473,100)&lt;=13),"th",CHOOSE(MIN(5,MOD(N473,10)+1),"th","st","nd","rd","th")))</f>
        <v>8th</v>
      </c>
      <c r="I473" s="5" t="s">
        <v>1335</v>
      </c>
      <c r="J473" s="6" t="n">
        <f aca="false">IFERROR(INDEX(Rounds!$A:$A,MATCH(I473,Rounds!$B:$B,0)),"ADD LEAGUE TO ROUNDS")</f>
        <v>5</v>
      </c>
      <c r="K473" s="6" t="n">
        <f aca="false">IFERROR(VALUE(LEFT(E473,FIND(" - ",E473)-1)),"")</f>
        <v>4</v>
      </c>
      <c r="L473" s="5" t="s">
        <v>1483</v>
      </c>
      <c r="N473" s="6" t="n">
        <f aca="false">IF(F473="","",1+COUNTIFS($J:$J,J473,$K:$K,K473,$F:$F,"&gt;"&amp;F473)+COUNTIFS($J:$J,J473,$K:$K,K473,$F:$F,F473,$G:$G,"&gt;"&amp;G473))</f>
        <v>8</v>
      </c>
      <c r="O473" s="6" t="n">
        <f aca="false">IF(L473="","",SUMIFS(Votes!$E:$E,Votes!$A:$A,J473,Votes!$B:$B,K473,Votes!$D:$D,L473))</f>
        <v>8</v>
      </c>
      <c r="P473" s="6" t="n">
        <f aca="false">IF(L473="","",COUNTIFS(Votes!$A:$A,J473,Votes!$B:$B,K473,Votes!$D:$D,L473))</f>
        <v>6</v>
      </c>
      <c r="Q473" s="7" t="str">
        <f aca="false">IF(F473="","Unscored",IF(O473="","No URI",IF(AND(F473=0,O473=0),"Zero-vote",IF(AND(F473=O473,G473=P473),"OK",IF(AND(F473=0,O473&gt;0,COUNTIFS(Votes!$A:$A,J473,Votes!$B:$B,K473,Votes!$C:$C,D473)=0),"Forfeited","Mismatch")))))</f>
        <v>OK</v>
      </c>
      <c r="R473" s="6" t="n">
        <f aca="false">MAX(IF(L473&lt;&gt;"",COUNTIF($L:$L,L473),0),COUNTIFS($A:$A,A473,$B:$B,B473))</f>
        <v>1</v>
      </c>
      <c r="S473" s="6" t="str">
        <f aca="false">IF(R473&gt;1,COUNTIF($R$2:R473,"&gt;1"),"")</f>
        <v/>
      </c>
      <c r="T473" s="6" t="str">
        <f aca="false">IF(L473="","",J473&amp;"|"&amp;K473&amp;"|"&amp;L473)</f>
        <v>5|4|spotify:track:14BH4qO7pgCmIe6mgLKOK3</v>
      </c>
      <c r="U473" s="6" t="str">
        <f aca="false">IF(C473="","",IFERROR(INDEX(Lists!$F:$F,MATCH(C473,Lists!$E:$E,0)),"Unmapped"))</f>
        <v>Rock</v>
      </c>
    </row>
    <row r="474" customFormat="false" ht="15" hidden="false" customHeight="false" outlineLevel="0" collapsed="false">
      <c r="A474" s="5" t="s">
        <v>1484</v>
      </c>
      <c r="B474" s="5" t="s">
        <v>858</v>
      </c>
      <c r="C474" s="5" t="s">
        <v>84</v>
      </c>
      <c r="D474" s="5" t="s">
        <v>101</v>
      </c>
      <c r="E474" s="5" t="s">
        <v>1463</v>
      </c>
      <c r="F474" s="5" t="n">
        <v>7</v>
      </c>
      <c r="G474" s="5" t="n">
        <v>4</v>
      </c>
      <c r="H474" s="6" t="str">
        <f aca="false">IF(N474="","",N474&amp;IF(AND(MOD(N474,100)&gt;=11,MOD(N474,100)&lt;=13),"th",CHOOSE(MIN(5,MOD(N474,10)+1),"th","st","nd","rd","th")))</f>
        <v>9th</v>
      </c>
      <c r="I474" s="5" t="s">
        <v>1335</v>
      </c>
      <c r="J474" s="6" t="n">
        <f aca="false">IFERROR(INDEX(Rounds!$A:$A,MATCH(I474,Rounds!$B:$B,0)),"ADD LEAGUE TO ROUNDS")</f>
        <v>5</v>
      </c>
      <c r="K474" s="6" t="n">
        <f aca="false">IFERROR(VALUE(LEFT(E474,FIND(" - ",E474)-1)),"")</f>
        <v>4</v>
      </c>
      <c r="L474" s="5" t="s">
        <v>1485</v>
      </c>
      <c r="N474" s="6" t="n">
        <f aca="false">IF(F474="","",1+COUNTIFS($J:$J,J474,$K:$K,K474,$F:$F,"&gt;"&amp;F474)+COUNTIFS($J:$J,J474,$K:$K,K474,$F:$F,F474,$G:$G,"&gt;"&amp;G474))</f>
        <v>9</v>
      </c>
      <c r="O474" s="6" t="n">
        <f aca="false">IF(L474="","",SUMIFS(Votes!$E:$E,Votes!$A:$A,J474,Votes!$B:$B,K474,Votes!$D:$D,L474))</f>
        <v>7</v>
      </c>
      <c r="P474" s="6" t="n">
        <f aca="false">IF(L474="","",COUNTIFS(Votes!$A:$A,J474,Votes!$B:$B,K474,Votes!$D:$D,L474))</f>
        <v>4</v>
      </c>
      <c r="Q474" s="7" t="str">
        <f aca="false">IF(F474="","Unscored",IF(O474="","No URI",IF(AND(F474=0,O474=0),"Zero-vote",IF(AND(F474=O474,G474=P474),"OK",IF(AND(F474=0,O474&gt;0,COUNTIFS(Votes!$A:$A,J474,Votes!$B:$B,K474,Votes!$C:$C,D474)=0),"Forfeited","Mismatch")))))</f>
        <v>OK</v>
      </c>
      <c r="R474" s="6" t="n">
        <f aca="false">MAX(IF(L474&lt;&gt;"",COUNTIF($L:$L,L474),0),COUNTIFS($A:$A,A474,$B:$B,B474))</f>
        <v>1</v>
      </c>
      <c r="S474" s="6" t="str">
        <f aca="false">IF(R474&gt;1,COUNTIF($R$2:R474,"&gt;1"),"")</f>
        <v/>
      </c>
      <c r="T474" s="6" t="str">
        <f aca="false">IF(L474="","",J474&amp;"|"&amp;K474&amp;"|"&amp;L474)</f>
        <v>5|4|spotify:track:6uvh0In7u1Xn4HgxOfAn8O</v>
      </c>
      <c r="U474" s="6" t="str">
        <f aca="false">IF(C474="","",IFERROR(INDEX(Lists!$F:$F,MATCH(C474,Lists!$E:$E,0)),"Unmapped"))</f>
        <v>Pop</v>
      </c>
    </row>
    <row r="475" customFormat="false" ht="15" hidden="false" customHeight="false" outlineLevel="0" collapsed="false">
      <c r="A475" s="5" t="s">
        <v>1486</v>
      </c>
      <c r="B475" s="5" t="s">
        <v>1487</v>
      </c>
      <c r="C475" s="5" t="s">
        <v>91</v>
      </c>
      <c r="D475" s="5" t="s">
        <v>119</v>
      </c>
      <c r="E475" s="5" t="s">
        <v>1463</v>
      </c>
      <c r="F475" s="5" t="n">
        <v>6</v>
      </c>
      <c r="G475" s="5" t="n">
        <v>4</v>
      </c>
      <c r="H475" s="6" t="str">
        <f aca="false">IF(N475="","",N475&amp;IF(AND(MOD(N475,100)&gt;=11,MOD(N475,100)&lt;=13),"th",CHOOSE(MIN(5,MOD(N475,10)+1),"th","st","nd","rd","th")))</f>
        <v>10th</v>
      </c>
      <c r="I475" s="5" t="s">
        <v>1335</v>
      </c>
      <c r="J475" s="6" t="n">
        <f aca="false">IFERROR(INDEX(Rounds!$A:$A,MATCH(I475,Rounds!$B:$B,0)),"ADD LEAGUE TO ROUNDS")</f>
        <v>5</v>
      </c>
      <c r="K475" s="6" t="n">
        <f aca="false">IFERROR(VALUE(LEFT(E475,FIND(" - ",E475)-1)),"")</f>
        <v>4</v>
      </c>
      <c r="L475" s="5" t="s">
        <v>1488</v>
      </c>
      <c r="N475" s="6" t="n">
        <f aca="false">IF(F475="","",1+COUNTIFS($J:$J,J475,$K:$K,K475,$F:$F,"&gt;"&amp;F475)+COUNTIFS($J:$J,J475,$K:$K,K475,$F:$F,F475,$G:$G,"&gt;"&amp;G475))</f>
        <v>10</v>
      </c>
      <c r="O475" s="6" t="n">
        <f aca="false">IF(L475="","",SUMIFS(Votes!$E:$E,Votes!$A:$A,J475,Votes!$B:$B,K475,Votes!$D:$D,L475))</f>
        <v>6</v>
      </c>
      <c r="P475" s="6" t="n">
        <f aca="false">IF(L475="","",COUNTIFS(Votes!$A:$A,J475,Votes!$B:$B,K475,Votes!$D:$D,L475))</f>
        <v>4</v>
      </c>
      <c r="Q475" s="7" t="str">
        <f aca="false">IF(F475="","Unscored",IF(O475="","No URI",IF(AND(F475=0,O475=0),"Zero-vote",IF(AND(F475=O475,G475=P475),"OK",IF(AND(F475=0,O475&gt;0,COUNTIFS(Votes!$A:$A,J475,Votes!$B:$B,K475,Votes!$C:$C,D475)=0),"Forfeited","Mismatch")))))</f>
        <v>OK</v>
      </c>
      <c r="R475" s="6" t="n">
        <f aca="false">MAX(IF(L475&lt;&gt;"",COUNTIF($L:$L,L475),0),COUNTIFS($A:$A,A475,$B:$B,B475))</f>
        <v>1</v>
      </c>
      <c r="S475" s="6" t="str">
        <f aca="false">IF(R475&gt;1,COUNTIF($R$2:R475,"&gt;1"),"")</f>
        <v/>
      </c>
      <c r="T475" s="6" t="str">
        <f aca="false">IF(L475="","",J475&amp;"|"&amp;K475&amp;"|"&amp;L475)</f>
        <v>5|4|spotify:track:7jSyWNuHjjwJXr1SQCCAhB</v>
      </c>
      <c r="U475" s="6" t="str">
        <f aca="false">IF(C475="","",IFERROR(INDEX(Lists!$F:$F,MATCH(C475,Lists!$E:$E,0)),"Unmapped"))</f>
        <v>Rock</v>
      </c>
    </row>
    <row r="476" customFormat="false" ht="15" hidden="false" customHeight="false" outlineLevel="0" collapsed="false">
      <c r="A476" s="5" t="s">
        <v>1489</v>
      </c>
      <c r="B476" s="5" t="s">
        <v>277</v>
      </c>
      <c r="C476" s="5" t="s">
        <v>171</v>
      </c>
      <c r="D476" s="5" t="s">
        <v>375</v>
      </c>
      <c r="E476" s="5" t="s">
        <v>1463</v>
      </c>
      <c r="F476" s="5" t="n">
        <v>5</v>
      </c>
      <c r="G476" s="5" t="n">
        <v>5</v>
      </c>
      <c r="H476" s="6" t="str">
        <f aca="false">IF(N476="","",N476&amp;IF(AND(MOD(N476,100)&gt;=11,MOD(N476,100)&lt;=13),"th",CHOOSE(MIN(5,MOD(N476,10)+1),"th","st","nd","rd","th")))</f>
        <v>11th</v>
      </c>
      <c r="I476" s="5" t="s">
        <v>1335</v>
      </c>
      <c r="J476" s="6" t="n">
        <f aca="false">IFERROR(INDEX(Rounds!$A:$A,MATCH(I476,Rounds!$B:$B,0)),"ADD LEAGUE TO ROUNDS")</f>
        <v>5</v>
      </c>
      <c r="K476" s="6" t="n">
        <f aca="false">IFERROR(VALUE(LEFT(E476,FIND(" - ",E476)-1)),"")</f>
        <v>4</v>
      </c>
      <c r="L476" s="5" t="s">
        <v>1490</v>
      </c>
      <c r="N476" s="6" t="n">
        <f aca="false">IF(F476="","",1+COUNTIFS($J:$J,J476,$K:$K,K476,$F:$F,"&gt;"&amp;F476)+COUNTIFS($J:$J,J476,$K:$K,K476,$F:$F,F476,$G:$G,"&gt;"&amp;G476))</f>
        <v>11</v>
      </c>
      <c r="O476" s="6" t="n">
        <f aca="false">IF(L476="","",SUMIFS(Votes!$E:$E,Votes!$A:$A,J476,Votes!$B:$B,K476,Votes!$D:$D,L476))</f>
        <v>5</v>
      </c>
      <c r="P476" s="6" t="n">
        <f aca="false">IF(L476="","",COUNTIFS(Votes!$A:$A,J476,Votes!$B:$B,K476,Votes!$D:$D,L476))</f>
        <v>5</v>
      </c>
      <c r="Q476" s="7" t="str">
        <f aca="false">IF(F476="","Unscored",IF(O476="","No URI",IF(AND(F476=0,O476=0),"Zero-vote",IF(AND(F476=O476,G476=P476),"OK",IF(AND(F476=0,O476&gt;0,COUNTIFS(Votes!$A:$A,J476,Votes!$B:$B,K476,Votes!$C:$C,D476)=0),"Forfeited","Mismatch")))))</f>
        <v>OK</v>
      </c>
      <c r="R476" s="6" t="n">
        <f aca="false">MAX(IF(L476&lt;&gt;"",COUNTIF($L:$L,L476),0),COUNTIFS($A:$A,A476,$B:$B,B476))</f>
        <v>1</v>
      </c>
      <c r="S476" s="6" t="str">
        <f aca="false">IF(R476&gt;1,COUNTIF($R$2:R476,"&gt;1"),"")</f>
        <v/>
      </c>
      <c r="T476" s="6" t="str">
        <f aca="false">IF(L476="","",J476&amp;"|"&amp;K476&amp;"|"&amp;L476)</f>
        <v>5|4|spotify:track:0IlYvLvA257FhOau31pOK8</v>
      </c>
      <c r="U476" s="6" t="str">
        <f aca="false">IF(C476="","",IFERROR(INDEX(Lists!$F:$F,MATCH(C476,Lists!$E:$E,0)),"Unmapped"))</f>
        <v>Country</v>
      </c>
    </row>
    <row r="477" customFormat="false" ht="15" hidden="false" customHeight="false" outlineLevel="0" collapsed="false">
      <c r="A477" s="5" t="s">
        <v>1491</v>
      </c>
      <c r="B477" s="5" t="s">
        <v>83</v>
      </c>
      <c r="C477" s="5" t="s">
        <v>84</v>
      </c>
      <c r="D477" s="5" t="s">
        <v>92</v>
      </c>
      <c r="E477" s="5" t="s">
        <v>1463</v>
      </c>
      <c r="F477" s="5" t="n">
        <v>5</v>
      </c>
      <c r="G477" s="5" t="n">
        <v>3</v>
      </c>
      <c r="H477" s="6" t="str">
        <f aca="false">IF(N477="","",N477&amp;IF(AND(MOD(N477,100)&gt;=11,MOD(N477,100)&lt;=13),"th",CHOOSE(MIN(5,MOD(N477,10)+1),"th","st","nd","rd","th")))</f>
        <v>12th</v>
      </c>
      <c r="I477" s="5" t="s">
        <v>1335</v>
      </c>
      <c r="J477" s="6" t="n">
        <f aca="false">IFERROR(INDEX(Rounds!$A:$A,MATCH(I477,Rounds!$B:$B,0)),"ADD LEAGUE TO ROUNDS")</f>
        <v>5</v>
      </c>
      <c r="K477" s="6" t="n">
        <f aca="false">IFERROR(VALUE(LEFT(E477,FIND(" - ",E477)-1)),"")</f>
        <v>4</v>
      </c>
      <c r="L477" s="5" t="s">
        <v>1492</v>
      </c>
      <c r="N477" s="6" t="n">
        <f aca="false">IF(F477="","",1+COUNTIFS($J:$J,J477,$K:$K,K477,$F:$F,"&gt;"&amp;F477)+COUNTIFS($J:$J,J477,$K:$K,K477,$F:$F,F477,$G:$G,"&gt;"&amp;G477))</f>
        <v>12</v>
      </c>
      <c r="O477" s="6" t="n">
        <f aca="false">IF(L477="","",SUMIFS(Votes!$E:$E,Votes!$A:$A,J477,Votes!$B:$B,K477,Votes!$D:$D,L477))</f>
        <v>5</v>
      </c>
      <c r="P477" s="6" t="n">
        <f aca="false">IF(L477="","",COUNTIFS(Votes!$A:$A,J477,Votes!$B:$B,K477,Votes!$D:$D,L477))</f>
        <v>3</v>
      </c>
      <c r="Q477" s="7" t="str">
        <f aca="false">IF(F477="","Unscored",IF(O477="","No URI",IF(AND(F477=0,O477=0),"Zero-vote",IF(AND(F477=O477,G477=P477),"OK",IF(AND(F477=0,O477&gt;0,COUNTIFS(Votes!$A:$A,J477,Votes!$B:$B,K477,Votes!$C:$C,D477)=0),"Forfeited","Mismatch")))))</f>
        <v>OK</v>
      </c>
      <c r="R477" s="6" t="n">
        <f aca="false">MAX(IF(L477&lt;&gt;"",COUNTIF($L:$L,L477),0),COUNTIFS($A:$A,A477,$B:$B,B477))</f>
        <v>1</v>
      </c>
      <c r="S477" s="6" t="str">
        <f aca="false">IF(R477&gt;1,COUNTIF($R$2:R477,"&gt;1"),"")</f>
        <v/>
      </c>
      <c r="T477" s="6" t="str">
        <f aca="false">IF(L477="","",J477&amp;"|"&amp;K477&amp;"|"&amp;L477)</f>
        <v>5|4|spotify:track:0LAe8mOyLxUAN5pgqovhpN</v>
      </c>
      <c r="U477" s="6" t="str">
        <f aca="false">IF(C477="","",IFERROR(INDEX(Lists!$F:$F,MATCH(C477,Lists!$E:$E,0)),"Unmapped"))</f>
        <v>Pop</v>
      </c>
    </row>
    <row r="478" customFormat="false" ht="15" hidden="false" customHeight="false" outlineLevel="0" collapsed="false">
      <c r="A478" s="5" t="s">
        <v>1493</v>
      </c>
      <c r="B478" s="5" t="s">
        <v>1494</v>
      </c>
      <c r="C478" s="5" t="s">
        <v>1495</v>
      </c>
      <c r="D478" s="5" t="s">
        <v>484</v>
      </c>
      <c r="E478" s="5" t="s">
        <v>1463</v>
      </c>
      <c r="F478" s="5" t="n">
        <v>2</v>
      </c>
      <c r="G478" s="5" t="n">
        <v>2</v>
      </c>
      <c r="H478" s="6" t="str">
        <f aca="false">IF(N478="","",N478&amp;IF(AND(MOD(N478,100)&gt;=11,MOD(N478,100)&lt;=13),"th",CHOOSE(MIN(5,MOD(N478,10)+1),"th","st","nd","rd","th")))</f>
        <v>13th</v>
      </c>
      <c r="I478" s="5" t="s">
        <v>1335</v>
      </c>
      <c r="J478" s="6" t="n">
        <f aca="false">IFERROR(INDEX(Rounds!$A:$A,MATCH(I478,Rounds!$B:$B,0)),"ADD LEAGUE TO ROUNDS")</f>
        <v>5</v>
      </c>
      <c r="K478" s="6" t="n">
        <f aca="false">IFERROR(VALUE(LEFT(E478,FIND(" - ",E478)-1)),"")</f>
        <v>4</v>
      </c>
      <c r="L478" s="5" t="s">
        <v>1496</v>
      </c>
      <c r="N478" s="6" t="n">
        <f aca="false">IF(F478="","",1+COUNTIFS($J:$J,J478,$K:$K,K478,$F:$F,"&gt;"&amp;F478)+COUNTIFS($J:$J,J478,$K:$K,K478,$F:$F,F478,$G:$G,"&gt;"&amp;G478))</f>
        <v>13</v>
      </c>
      <c r="O478" s="6" t="n">
        <f aca="false">IF(L478="","",SUMIFS(Votes!$E:$E,Votes!$A:$A,J478,Votes!$B:$B,K478,Votes!$D:$D,L478))</f>
        <v>2</v>
      </c>
      <c r="P478" s="6" t="n">
        <f aca="false">IF(L478="","",COUNTIFS(Votes!$A:$A,J478,Votes!$B:$B,K478,Votes!$D:$D,L478))</f>
        <v>2</v>
      </c>
      <c r="Q478" s="7" t="str">
        <f aca="false">IF(F478="","Unscored",IF(O478="","No URI",IF(AND(F478=0,O478=0),"Zero-vote",IF(AND(F478=O478,G478=P478),"OK",IF(AND(F478=0,O478&gt;0,COUNTIFS(Votes!$A:$A,J478,Votes!$B:$B,K478,Votes!$C:$C,D478)=0),"Forfeited","Mismatch")))))</f>
        <v>OK</v>
      </c>
      <c r="R478" s="6" t="n">
        <f aca="false">MAX(IF(L478&lt;&gt;"",COUNTIF($L:$L,L478),0),COUNTIFS($A:$A,A478,$B:$B,B478))</f>
        <v>1</v>
      </c>
      <c r="S478" s="6" t="str">
        <f aca="false">IF(R478&gt;1,COUNTIF($R$2:R478,"&gt;1"),"")</f>
        <v/>
      </c>
      <c r="T478" s="6" t="str">
        <f aca="false">IF(L478="","",J478&amp;"|"&amp;K478&amp;"|"&amp;L478)</f>
        <v>5|4|spotify:track:18IZ6KyB100072lPV6pNNM</v>
      </c>
      <c r="U478" s="6" t="str">
        <f aca="false">IF(C478="","",IFERROR(INDEX(Lists!$F:$F,MATCH(C478,Lists!$E:$E,0)),"Unmapped"))</f>
        <v>Electronic/Dance</v>
      </c>
    </row>
    <row r="479" customFormat="false" ht="15" hidden="false" customHeight="false" outlineLevel="0" collapsed="false">
      <c r="A479" s="5" t="s">
        <v>1497</v>
      </c>
      <c r="B479" s="5" t="s">
        <v>1498</v>
      </c>
      <c r="C479" s="5" t="s">
        <v>1294</v>
      </c>
      <c r="D479" s="5" t="s">
        <v>382</v>
      </c>
      <c r="E479" s="5" t="s">
        <v>1463</v>
      </c>
      <c r="F479" s="5" t="n">
        <v>0</v>
      </c>
      <c r="G479" s="5" t="n">
        <v>8</v>
      </c>
      <c r="H479" s="6" t="str">
        <f aca="false">IF(N479="","",N479&amp;IF(AND(MOD(N479,100)&gt;=11,MOD(N479,100)&lt;=13),"th",CHOOSE(MIN(5,MOD(N479,10)+1),"th","st","nd","rd","th")))</f>
        <v>14th</v>
      </c>
      <c r="I479" s="5" t="s">
        <v>1335</v>
      </c>
      <c r="J479" s="6" t="n">
        <f aca="false">IFERROR(INDEX(Rounds!$A:$A,MATCH(I479,Rounds!$B:$B,0)),"ADD LEAGUE TO ROUNDS")</f>
        <v>5</v>
      </c>
      <c r="K479" s="6" t="n">
        <f aca="false">IFERROR(VALUE(LEFT(E479,FIND(" - ",E479)-1)),"")</f>
        <v>4</v>
      </c>
      <c r="L479" s="5" t="s">
        <v>1499</v>
      </c>
      <c r="N479" s="6" t="n">
        <f aca="false">IF(F479="","",1+COUNTIFS($J:$J,J479,$K:$K,K479,$F:$F,"&gt;"&amp;F479)+COUNTIFS($J:$J,J479,$K:$K,K479,$F:$F,F479,$G:$G,"&gt;"&amp;G479))</f>
        <v>14</v>
      </c>
      <c r="O479" s="6" t="n">
        <f aca="false">IF(L479="","",SUMIFS(Votes!$E:$E,Votes!$A:$A,J479,Votes!$B:$B,K479,Votes!$D:$D,L479))</f>
        <v>13</v>
      </c>
      <c r="P479" s="6" t="n">
        <f aca="false">IF(L479="","",COUNTIFS(Votes!$A:$A,J479,Votes!$B:$B,K479,Votes!$D:$D,L479))</f>
        <v>8</v>
      </c>
      <c r="Q479" s="7" t="str">
        <f aca="false">IF(F479="","Unscored",IF(O479="","No URI",IF(AND(F479=0,O479=0),"Zero-vote",IF(AND(F479=O479,G479=P479),"OK",IF(AND(F479=0,O479&gt;0,COUNTIFS(Votes!$A:$A,J479,Votes!$B:$B,K479,Votes!$C:$C,D479)=0),"Forfeited","Mismatch")))))</f>
        <v>Forfeited</v>
      </c>
      <c r="R479" s="6" t="n">
        <f aca="false">MAX(IF(L479&lt;&gt;"",COUNTIF($L:$L,L479),0),COUNTIFS($A:$A,A479,$B:$B,B479))</f>
        <v>1</v>
      </c>
      <c r="S479" s="6" t="str">
        <f aca="false">IF(R479&gt;1,COUNTIF($R$2:R479,"&gt;1"),"")</f>
        <v/>
      </c>
      <c r="T479" s="6" t="str">
        <f aca="false">IF(L479="","",J479&amp;"|"&amp;K479&amp;"|"&amp;L479)</f>
        <v>5|4|spotify:track:1F7G5N2Qy1VYAc2lZEd8Om</v>
      </c>
      <c r="U479" s="6" t="str">
        <f aca="false">IF(C479="","",IFERROR(INDEX(Lists!$F:$F,MATCH(C479,Lists!$E:$E,0)),"Unmapped"))</f>
        <v>Christian/Gospel</v>
      </c>
    </row>
    <row r="480" customFormat="false" ht="15" hidden="false" customHeight="false" outlineLevel="0" collapsed="false">
      <c r="A480" s="5" t="s">
        <v>1500</v>
      </c>
      <c r="B480" s="5" t="s">
        <v>259</v>
      </c>
      <c r="C480" s="5" t="s">
        <v>110</v>
      </c>
      <c r="D480" s="5" t="s">
        <v>119</v>
      </c>
      <c r="E480" s="5" t="s">
        <v>1501</v>
      </c>
      <c r="F480" s="5" t="n">
        <v>17</v>
      </c>
      <c r="G480" s="5" t="n">
        <v>11</v>
      </c>
      <c r="H480" s="6" t="str">
        <f aca="false">IF(N480="","",N480&amp;IF(AND(MOD(N480,100)&gt;=11,MOD(N480,100)&lt;=13),"th",CHOOSE(MIN(5,MOD(N480,10)+1),"th","st","nd","rd","th")))</f>
        <v>1st</v>
      </c>
      <c r="I480" s="5" t="s">
        <v>1335</v>
      </c>
      <c r="J480" s="6" t="n">
        <f aca="false">IFERROR(INDEX(Rounds!$A:$A,MATCH(I480,Rounds!$B:$B,0)),"ADD LEAGUE TO ROUNDS")</f>
        <v>5</v>
      </c>
      <c r="K480" s="6" t="n">
        <f aca="false">IFERROR(VALUE(LEFT(E480,FIND(" - ",E480)-1)),"")</f>
        <v>5</v>
      </c>
      <c r="L480" s="5" t="s">
        <v>1502</v>
      </c>
      <c r="N480" s="6" t="n">
        <f aca="false">IF(F480="","",1+COUNTIFS($J:$J,J480,$K:$K,K480,$F:$F,"&gt;"&amp;F480)+COUNTIFS($J:$J,J480,$K:$K,K480,$F:$F,F480,$G:$G,"&gt;"&amp;G480))</f>
        <v>1</v>
      </c>
      <c r="O480" s="6" t="n">
        <f aca="false">IF(L480="","",SUMIFS(Votes!$E:$E,Votes!$A:$A,J480,Votes!$B:$B,K480,Votes!$D:$D,L480))</f>
        <v>17</v>
      </c>
      <c r="P480" s="6" t="n">
        <f aca="false">IF(L480="","",COUNTIFS(Votes!$A:$A,J480,Votes!$B:$B,K480,Votes!$D:$D,L480))</f>
        <v>11</v>
      </c>
      <c r="Q480" s="7" t="str">
        <f aca="false">IF(F480="","Unscored",IF(O480="","No URI",IF(AND(F480=0,O480=0),"Zero-vote",IF(AND(F480=O480,G480=P480),"OK",IF(AND(F480=0,O480&gt;0,COUNTIFS(Votes!$A:$A,J480,Votes!$B:$B,K480,Votes!$C:$C,D480)=0),"Forfeited","Mismatch")))))</f>
        <v>OK</v>
      </c>
      <c r="R480" s="6" t="n">
        <f aca="false">MAX(IF(L480&lt;&gt;"",COUNTIF($L:$L,L480),0),COUNTIFS($A:$A,A480,$B:$B,B480))</f>
        <v>1</v>
      </c>
      <c r="S480" s="6" t="str">
        <f aca="false">IF(R480&gt;1,COUNTIF($R$2:R480,"&gt;1"),"")</f>
        <v/>
      </c>
      <c r="T480" s="6" t="str">
        <f aca="false">IF(L480="","",J480&amp;"|"&amp;K480&amp;"|"&amp;L480)</f>
        <v>5|5|spotify:track:48RrDBpOSSl1aLVCalGl5C</v>
      </c>
      <c r="U480" s="6" t="str">
        <f aca="false">IF(C480="","",IFERROR(INDEX(Lists!$F:$F,MATCH(C480,Lists!$E:$E,0)),"Unmapped"))</f>
        <v>Hip-Hop/Rap</v>
      </c>
    </row>
    <row r="481" customFormat="false" ht="15" hidden="false" customHeight="false" outlineLevel="0" collapsed="false">
      <c r="A481" s="5" t="s">
        <v>1503</v>
      </c>
      <c r="B481" s="5" t="s">
        <v>1504</v>
      </c>
      <c r="C481" s="5" t="s">
        <v>91</v>
      </c>
      <c r="D481" s="5" t="s">
        <v>85</v>
      </c>
      <c r="E481" s="5" t="s">
        <v>1501</v>
      </c>
      <c r="F481" s="5" t="n">
        <v>15</v>
      </c>
      <c r="G481" s="5" t="n">
        <v>9</v>
      </c>
      <c r="H481" s="6" t="str">
        <f aca="false">IF(N481="","",N481&amp;IF(AND(MOD(N481,100)&gt;=11,MOD(N481,100)&lt;=13),"th",CHOOSE(MIN(5,MOD(N481,10)+1),"th","st","nd","rd","th")))</f>
        <v>2nd</v>
      </c>
      <c r="I481" s="5" t="s">
        <v>1335</v>
      </c>
      <c r="J481" s="6" t="n">
        <f aca="false">IFERROR(INDEX(Rounds!$A:$A,MATCH(I481,Rounds!$B:$B,0)),"ADD LEAGUE TO ROUNDS")</f>
        <v>5</v>
      </c>
      <c r="K481" s="6" t="n">
        <f aca="false">IFERROR(VALUE(LEFT(E481,FIND(" - ",E481)-1)),"")</f>
        <v>5</v>
      </c>
      <c r="L481" s="5" t="s">
        <v>1505</v>
      </c>
      <c r="N481" s="6" t="n">
        <f aca="false">IF(F481="","",1+COUNTIFS($J:$J,J481,$K:$K,K481,$F:$F,"&gt;"&amp;F481)+COUNTIFS($J:$J,J481,$K:$K,K481,$F:$F,F481,$G:$G,"&gt;"&amp;G481))</f>
        <v>2</v>
      </c>
      <c r="O481" s="6" t="n">
        <f aca="false">IF(L481="","",SUMIFS(Votes!$E:$E,Votes!$A:$A,J481,Votes!$B:$B,K481,Votes!$D:$D,L481))</f>
        <v>15</v>
      </c>
      <c r="P481" s="6" t="n">
        <f aca="false">IF(L481="","",COUNTIFS(Votes!$A:$A,J481,Votes!$B:$B,K481,Votes!$D:$D,L481))</f>
        <v>9</v>
      </c>
      <c r="Q481" s="7" t="str">
        <f aca="false">IF(F481="","Unscored",IF(O481="","No URI",IF(AND(F481=0,O481=0),"Zero-vote",IF(AND(F481=O481,G481=P481),"OK",IF(AND(F481=0,O481&gt;0,COUNTIFS(Votes!$A:$A,J481,Votes!$B:$B,K481,Votes!$C:$C,D481)=0),"Forfeited","Mismatch")))))</f>
        <v>OK</v>
      </c>
      <c r="R481" s="6" t="n">
        <f aca="false">MAX(IF(L481&lt;&gt;"",COUNTIF($L:$L,L481),0),COUNTIFS($A:$A,A481,$B:$B,B481))</f>
        <v>1</v>
      </c>
      <c r="S481" s="6" t="str">
        <f aca="false">IF(R481&gt;1,COUNTIF($R$2:R481,"&gt;1"),"")</f>
        <v/>
      </c>
      <c r="T481" s="6" t="str">
        <f aca="false">IF(L481="","",J481&amp;"|"&amp;K481&amp;"|"&amp;L481)</f>
        <v>5|5|spotify:track:1yvArCvZLTHiawRdWKSAWj</v>
      </c>
      <c r="U481" s="6" t="str">
        <f aca="false">IF(C481="","",IFERROR(INDEX(Lists!$F:$F,MATCH(C481,Lists!$E:$E,0)),"Unmapped"))</f>
        <v>Rock</v>
      </c>
    </row>
    <row r="482" customFormat="false" ht="15" hidden="false" customHeight="false" outlineLevel="0" collapsed="false">
      <c r="A482" s="5" t="s">
        <v>1506</v>
      </c>
      <c r="B482" s="5" t="s">
        <v>1507</v>
      </c>
      <c r="C482" s="5" t="s">
        <v>363</v>
      </c>
      <c r="D482" s="5" t="s">
        <v>382</v>
      </c>
      <c r="E482" s="5" t="s">
        <v>1501</v>
      </c>
      <c r="F482" s="5" t="n">
        <v>13</v>
      </c>
      <c r="G482" s="5" t="n">
        <v>9</v>
      </c>
      <c r="H482" s="6" t="str">
        <f aca="false">IF(N482="","",N482&amp;IF(AND(MOD(N482,100)&gt;=11,MOD(N482,100)&lt;=13),"th",CHOOSE(MIN(5,MOD(N482,10)+1),"th","st","nd","rd","th")))</f>
        <v>3rd</v>
      </c>
      <c r="I482" s="5" t="s">
        <v>1335</v>
      </c>
      <c r="J482" s="6" t="n">
        <f aca="false">IFERROR(INDEX(Rounds!$A:$A,MATCH(I482,Rounds!$B:$B,0)),"ADD LEAGUE TO ROUNDS")</f>
        <v>5</v>
      </c>
      <c r="K482" s="6" t="n">
        <f aca="false">IFERROR(VALUE(LEFT(E482,FIND(" - ",E482)-1)),"")</f>
        <v>5</v>
      </c>
      <c r="L482" s="5" t="s">
        <v>1508</v>
      </c>
      <c r="N482" s="6" t="n">
        <f aca="false">IF(F482="","",1+COUNTIFS($J:$J,J482,$K:$K,K482,$F:$F,"&gt;"&amp;F482)+COUNTIFS($J:$J,J482,$K:$K,K482,$F:$F,F482,$G:$G,"&gt;"&amp;G482))</f>
        <v>3</v>
      </c>
      <c r="O482" s="6" t="n">
        <f aca="false">IF(L482="","",SUMIFS(Votes!$E:$E,Votes!$A:$A,J482,Votes!$B:$B,K482,Votes!$D:$D,L482))</f>
        <v>13</v>
      </c>
      <c r="P482" s="6" t="n">
        <f aca="false">IF(L482="","",COUNTIFS(Votes!$A:$A,J482,Votes!$B:$B,K482,Votes!$D:$D,L482))</f>
        <v>9</v>
      </c>
      <c r="Q482" s="7" t="str">
        <f aca="false">IF(F482="","Unscored",IF(O482="","No URI",IF(AND(F482=0,O482=0),"Zero-vote",IF(AND(F482=O482,G482=P482),"OK",IF(AND(F482=0,O482&gt;0,COUNTIFS(Votes!$A:$A,J482,Votes!$B:$B,K482,Votes!$C:$C,D482)=0),"Forfeited","Mismatch")))))</f>
        <v>OK</v>
      </c>
      <c r="R482" s="6" t="n">
        <f aca="false">MAX(IF(L482&lt;&gt;"",COUNTIF($L:$L,L482),0),COUNTIFS($A:$A,A482,$B:$B,B482))</f>
        <v>1</v>
      </c>
      <c r="S482" s="6" t="str">
        <f aca="false">IF(R482&gt;1,COUNTIF($R$2:R482,"&gt;1"),"")</f>
        <v/>
      </c>
      <c r="T482" s="6" t="str">
        <f aca="false">IF(L482="","",J482&amp;"|"&amp;K482&amp;"|"&amp;L482)</f>
        <v>5|5|spotify:track:3d0WouFnFmr0K3kjeza3fF</v>
      </c>
      <c r="U482" s="6" t="str">
        <f aca="false">IF(C482="","",IFERROR(INDEX(Lists!$F:$F,MATCH(C482,Lists!$E:$E,0)),"Unmapped"))</f>
        <v>Latin</v>
      </c>
    </row>
    <row r="483" customFormat="false" ht="15" hidden="false" customHeight="false" outlineLevel="0" collapsed="false">
      <c r="A483" s="5" t="s">
        <v>1509</v>
      </c>
      <c r="B483" s="5" t="s">
        <v>1510</v>
      </c>
      <c r="C483" s="5" t="s">
        <v>84</v>
      </c>
      <c r="D483" s="5" t="s">
        <v>101</v>
      </c>
      <c r="E483" s="5" t="s">
        <v>1501</v>
      </c>
      <c r="F483" s="5" t="n">
        <v>13</v>
      </c>
      <c r="G483" s="5" t="n">
        <v>9</v>
      </c>
      <c r="H483" s="6" t="str">
        <f aca="false">IF(N483="","",N483&amp;IF(AND(MOD(N483,100)&gt;=11,MOD(N483,100)&lt;=13),"th",CHOOSE(MIN(5,MOD(N483,10)+1),"th","st","nd","rd","th")))</f>
        <v>3rd</v>
      </c>
      <c r="I483" s="5" t="s">
        <v>1335</v>
      </c>
      <c r="J483" s="6" t="n">
        <f aca="false">IFERROR(INDEX(Rounds!$A:$A,MATCH(I483,Rounds!$B:$B,0)),"ADD LEAGUE TO ROUNDS")</f>
        <v>5</v>
      </c>
      <c r="K483" s="6" t="n">
        <f aca="false">IFERROR(VALUE(LEFT(E483,FIND(" - ",E483)-1)),"")</f>
        <v>5</v>
      </c>
      <c r="L483" s="5" t="s">
        <v>1511</v>
      </c>
      <c r="N483" s="6" t="n">
        <f aca="false">IF(F483="","",1+COUNTIFS($J:$J,J483,$K:$K,K483,$F:$F,"&gt;"&amp;F483)+COUNTIFS($J:$J,J483,$K:$K,K483,$F:$F,F483,$G:$G,"&gt;"&amp;G483))</f>
        <v>3</v>
      </c>
      <c r="O483" s="6" t="n">
        <f aca="false">IF(L483="","",SUMIFS(Votes!$E:$E,Votes!$A:$A,J483,Votes!$B:$B,K483,Votes!$D:$D,L483))</f>
        <v>13</v>
      </c>
      <c r="P483" s="6" t="n">
        <f aca="false">IF(L483="","",COUNTIFS(Votes!$A:$A,J483,Votes!$B:$B,K483,Votes!$D:$D,L483))</f>
        <v>9</v>
      </c>
      <c r="Q483" s="7" t="str">
        <f aca="false">IF(F483="","Unscored",IF(O483="","No URI",IF(AND(F483=0,O483=0),"Zero-vote",IF(AND(F483=O483,G483=P483),"OK",IF(AND(F483=0,O483&gt;0,COUNTIFS(Votes!$A:$A,J483,Votes!$B:$B,K483,Votes!$C:$C,D483)=0),"Forfeited","Mismatch")))))</f>
        <v>OK</v>
      </c>
      <c r="R483" s="6" t="n">
        <f aca="false">MAX(IF(L483&lt;&gt;"",COUNTIF($L:$L,L483),0),COUNTIFS($A:$A,A483,$B:$B,B483))</f>
        <v>1</v>
      </c>
      <c r="S483" s="6" t="str">
        <f aca="false">IF(R483&gt;1,COUNTIF($R$2:R483,"&gt;1"),"")</f>
        <v/>
      </c>
      <c r="T483" s="6" t="str">
        <f aca="false">IF(L483="","",J483&amp;"|"&amp;K483&amp;"|"&amp;L483)</f>
        <v>5|5|spotify:track:2Z8yfpFX0ZMavHkcIeHiO1</v>
      </c>
      <c r="U483" s="6" t="str">
        <f aca="false">IF(C483="","",IFERROR(INDEX(Lists!$F:$F,MATCH(C483,Lists!$E:$E,0)),"Unmapped"))</f>
        <v>Pop</v>
      </c>
    </row>
    <row r="484" customFormat="false" ht="15" hidden="false" customHeight="false" outlineLevel="0" collapsed="false">
      <c r="A484" s="5" t="s">
        <v>1512</v>
      </c>
      <c r="B484" s="5" t="s">
        <v>1513</v>
      </c>
      <c r="C484" s="5" t="s">
        <v>84</v>
      </c>
      <c r="D484" s="5" t="s">
        <v>395</v>
      </c>
      <c r="E484" s="5" t="s">
        <v>1501</v>
      </c>
      <c r="F484" s="5" t="n">
        <v>10</v>
      </c>
      <c r="G484" s="5" t="n">
        <v>8</v>
      </c>
      <c r="H484" s="6" t="str">
        <f aca="false">IF(N484="","",N484&amp;IF(AND(MOD(N484,100)&gt;=11,MOD(N484,100)&lt;=13),"th",CHOOSE(MIN(5,MOD(N484,10)+1),"th","st","nd","rd","th")))</f>
        <v>5th</v>
      </c>
      <c r="I484" s="5" t="s">
        <v>1335</v>
      </c>
      <c r="J484" s="6" t="n">
        <f aca="false">IFERROR(INDEX(Rounds!$A:$A,MATCH(I484,Rounds!$B:$B,0)),"ADD LEAGUE TO ROUNDS")</f>
        <v>5</v>
      </c>
      <c r="K484" s="6" t="n">
        <f aca="false">IFERROR(VALUE(LEFT(E484,FIND(" - ",E484)-1)),"")</f>
        <v>5</v>
      </c>
      <c r="L484" s="5" t="s">
        <v>1514</v>
      </c>
      <c r="N484" s="6" t="n">
        <f aca="false">IF(F484="","",1+COUNTIFS($J:$J,J484,$K:$K,K484,$F:$F,"&gt;"&amp;F484)+COUNTIFS($J:$J,J484,$K:$K,K484,$F:$F,F484,$G:$G,"&gt;"&amp;G484))</f>
        <v>5</v>
      </c>
      <c r="O484" s="6" t="n">
        <f aca="false">IF(L484="","",SUMIFS(Votes!$E:$E,Votes!$A:$A,J484,Votes!$B:$B,K484,Votes!$D:$D,L484))</f>
        <v>10</v>
      </c>
      <c r="P484" s="6" t="n">
        <f aca="false">IF(L484="","",COUNTIFS(Votes!$A:$A,J484,Votes!$B:$B,K484,Votes!$D:$D,L484))</f>
        <v>8</v>
      </c>
      <c r="Q484" s="7" t="str">
        <f aca="false">IF(F484="","Unscored",IF(O484="","No URI",IF(AND(F484=0,O484=0),"Zero-vote",IF(AND(F484=O484,G484=P484),"OK",IF(AND(F484=0,O484&gt;0,COUNTIFS(Votes!$A:$A,J484,Votes!$B:$B,K484,Votes!$C:$C,D484)=0),"Forfeited","Mismatch")))))</f>
        <v>OK</v>
      </c>
      <c r="R484" s="6" t="n">
        <f aca="false">MAX(IF(L484&lt;&gt;"",COUNTIF($L:$L,L484),0),COUNTIFS($A:$A,A484,$B:$B,B484))</f>
        <v>1</v>
      </c>
      <c r="S484" s="6" t="str">
        <f aca="false">IF(R484&gt;1,COUNTIF($R$2:R484,"&gt;1"),"")</f>
        <v/>
      </c>
      <c r="T484" s="6" t="str">
        <f aca="false">IF(L484="","",J484&amp;"|"&amp;K484&amp;"|"&amp;L484)</f>
        <v>5|5|spotify:track:55n9yjI6qqXh5F2mYvUc2y</v>
      </c>
      <c r="U484" s="6" t="str">
        <f aca="false">IF(C484="","",IFERROR(INDEX(Lists!$F:$F,MATCH(C484,Lists!$E:$E,0)),"Unmapped"))</f>
        <v>Pop</v>
      </c>
    </row>
    <row r="485" customFormat="false" ht="15" hidden="false" customHeight="false" outlineLevel="0" collapsed="false">
      <c r="A485" s="5" t="s">
        <v>1515</v>
      </c>
      <c r="B485" s="5" t="s">
        <v>617</v>
      </c>
      <c r="C485" s="5" t="s">
        <v>171</v>
      </c>
      <c r="D485" s="5" t="s">
        <v>637</v>
      </c>
      <c r="E485" s="5" t="s">
        <v>1501</v>
      </c>
      <c r="F485" s="5" t="n">
        <v>10</v>
      </c>
      <c r="G485" s="5" t="n">
        <v>8</v>
      </c>
      <c r="H485" s="6" t="str">
        <f aca="false">IF(N485="","",N485&amp;IF(AND(MOD(N485,100)&gt;=11,MOD(N485,100)&lt;=13),"th",CHOOSE(MIN(5,MOD(N485,10)+1),"th","st","nd","rd","th")))</f>
        <v>5th</v>
      </c>
      <c r="I485" s="5" t="s">
        <v>1335</v>
      </c>
      <c r="J485" s="6" t="n">
        <f aca="false">IFERROR(INDEX(Rounds!$A:$A,MATCH(I485,Rounds!$B:$B,0)),"ADD LEAGUE TO ROUNDS")</f>
        <v>5</v>
      </c>
      <c r="K485" s="6" t="n">
        <f aca="false">IFERROR(VALUE(LEFT(E485,FIND(" - ",E485)-1)),"")</f>
        <v>5</v>
      </c>
      <c r="L485" s="5" t="s">
        <v>1516</v>
      </c>
      <c r="N485" s="6" t="n">
        <f aca="false">IF(F485="","",1+COUNTIFS($J:$J,J485,$K:$K,K485,$F:$F,"&gt;"&amp;F485)+COUNTIFS($J:$J,J485,$K:$K,K485,$F:$F,F485,$G:$G,"&gt;"&amp;G485))</f>
        <v>5</v>
      </c>
      <c r="O485" s="6" t="n">
        <f aca="false">IF(L485="","",SUMIFS(Votes!$E:$E,Votes!$A:$A,J485,Votes!$B:$B,K485,Votes!$D:$D,L485))</f>
        <v>10</v>
      </c>
      <c r="P485" s="6" t="n">
        <f aca="false">IF(L485="","",COUNTIFS(Votes!$A:$A,J485,Votes!$B:$B,K485,Votes!$D:$D,L485))</f>
        <v>8</v>
      </c>
      <c r="Q485" s="7" t="str">
        <f aca="false">IF(F485="","Unscored",IF(O485="","No URI",IF(AND(F485=0,O485=0),"Zero-vote",IF(AND(F485=O485,G485=P485),"OK",IF(AND(F485=0,O485&gt;0,COUNTIFS(Votes!$A:$A,J485,Votes!$B:$B,K485,Votes!$C:$C,D485)=0),"Forfeited","Mismatch")))))</f>
        <v>OK</v>
      </c>
      <c r="R485" s="6" t="n">
        <f aca="false">MAX(IF(L485&lt;&gt;"",COUNTIF($L:$L,L485),0),COUNTIFS($A:$A,A485,$B:$B,B485))</f>
        <v>1</v>
      </c>
      <c r="S485" s="6" t="str">
        <f aca="false">IF(R485&gt;1,COUNTIF($R$2:R485,"&gt;1"),"")</f>
        <v/>
      </c>
      <c r="T485" s="6" t="str">
        <f aca="false">IF(L485="","",J485&amp;"|"&amp;K485&amp;"|"&amp;L485)</f>
        <v>5|5|spotify:track:5IZXB5IKAD2qlvTPJYDCFB</v>
      </c>
      <c r="U485" s="6" t="str">
        <f aca="false">IF(C485="","",IFERROR(INDEX(Lists!$F:$F,MATCH(C485,Lists!$E:$E,0)),"Unmapped"))</f>
        <v>Country</v>
      </c>
    </row>
    <row r="486" customFormat="false" ht="15" hidden="false" customHeight="false" outlineLevel="0" collapsed="false">
      <c r="A486" s="5" t="s">
        <v>1517</v>
      </c>
      <c r="B486" s="5" t="s">
        <v>159</v>
      </c>
      <c r="C486" s="5" t="s">
        <v>84</v>
      </c>
      <c r="D486" s="5" t="s">
        <v>375</v>
      </c>
      <c r="E486" s="5" t="s">
        <v>1501</v>
      </c>
      <c r="F486" s="5" t="n">
        <v>10</v>
      </c>
      <c r="G486" s="5" t="n">
        <v>8</v>
      </c>
      <c r="H486" s="6" t="str">
        <f aca="false">IF(N486="","",N486&amp;IF(AND(MOD(N486,100)&gt;=11,MOD(N486,100)&lt;=13),"th",CHOOSE(MIN(5,MOD(N486,10)+1),"th","st","nd","rd","th")))</f>
        <v>5th</v>
      </c>
      <c r="I486" s="5" t="s">
        <v>1335</v>
      </c>
      <c r="J486" s="6" t="n">
        <f aca="false">IFERROR(INDEX(Rounds!$A:$A,MATCH(I486,Rounds!$B:$B,0)),"ADD LEAGUE TO ROUNDS")</f>
        <v>5</v>
      </c>
      <c r="K486" s="6" t="n">
        <f aca="false">IFERROR(VALUE(LEFT(E486,FIND(" - ",E486)-1)),"")</f>
        <v>5</v>
      </c>
      <c r="L486" s="5" t="s">
        <v>1518</v>
      </c>
      <c r="N486" s="6" t="n">
        <f aca="false">IF(F486="","",1+COUNTIFS($J:$J,J486,$K:$K,K486,$F:$F,"&gt;"&amp;F486)+COUNTIFS($J:$J,J486,$K:$K,K486,$F:$F,F486,$G:$G,"&gt;"&amp;G486))</f>
        <v>5</v>
      </c>
      <c r="O486" s="6" t="n">
        <f aca="false">IF(L486="","",SUMIFS(Votes!$E:$E,Votes!$A:$A,J486,Votes!$B:$B,K486,Votes!$D:$D,L486))</f>
        <v>10</v>
      </c>
      <c r="P486" s="6" t="n">
        <f aca="false">IF(L486="","",COUNTIFS(Votes!$A:$A,J486,Votes!$B:$B,K486,Votes!$D:$D,L486))</f>
        <v>8</v>
      </c>
      <c r="Q486" s="7" t="str">
        <f aca="false">IF(F486="","Unscored",IF(O486="","No URI",IF(AND(F486=0,O486=0),"Zero-vote",IF(AND(F486=O486,G486=P486),"OK",IF(AND(F486=0,O486&gt;0,COUNTIFS(Votes!$A:$A,J486,Votes!$B:$B,K486,Votes!$C:$C,D486)=0),"Forfeited","Mismatch")))))</f>
        <v>OK</v>
      </c>
      <c r="R486" s="6" t="n">
        <f aca="false">MAX(IF(L486&lt;&gt;"",COUNTIF($L:$L,L486),0),COUNTIFS($A:$A,A486,$B:$B,B486))</f>
        <v>1</v>
      </c>
      <c r="S486" s="6" t="str">
        <f aca="false">IF(R486&gt;1,COUNTIF($R$2:R486,"&gt;1"),"")</f>
        <v/>
      </c>
      <c r="T486" s="6" t="str">
        <f aca="false">IF(L486="","",J486&amp;"|"&amp;K486&amp;"|"&amp;L486)</f>
        <v>5|5|spotify:track:2VxeLyX666F8uXCJ0dZF8B</v>
      </c>
      <c r="U486" s="6" t="str">
        <f aca="false">IF(C486="","",IFERROR(INDEX(Lists!$F:$F,MATCH(C486,Lists!$E:$E,0)),"Unmapped"))</f>
        <v>Pop</v>
      </c>
    </row>
    <row r="487" customFormat="false" ht="15" hidden="false" customHeight="false" outlineLevel="0" collapsed="false">
      <c r="A487" s="5" t="s">
        <v>1519</v>
      </c>
      <c r="B487" s="5" t="s">
        <v>1520</v>
      </c>
      <c r="C487" s="5" t="s">
        <v>84</v>
      </c>
      <c r="D487" s="5" t="s">
        <v>705</v>
      </c>
      <c r="E487" s="5" t="s">
        <v>1501</v>
      </c>
      <c r="F487" s="5" t="n">
        <v>9</v>
      </c>
      <c r="G487" s="5" t="n">
        <v>7</v>
      </c>
      <c r="H487" s="6" t="str">
        <f aca="false">IF(N487="","",N487&amp;IF(AND(MOD(N487,100)&gt;=11,MOD(N487,100)&lt;=13),"th",CHOOSE(MIN(5,MOD(N487,10)+1),"th","st","nd","rd","th")))</f>
        <v>8th</v>
      </c>
      <c r="I487" s="5" t="s">
        <v>1335</v>
      </c>
      <c r="J487" s="6" t="n">
        <f aca="false">IFERROR(INDEX(Rounds!$A:$A,MATCH(I487,Rounds!$B:$B,0)),"ADD LEAGUE TO ROUNDS")</f>
        <v>5</v>
      </c>
      <c r="K487" s="6" t="n">
        <f aca="false">IFERROR(VALUE(LEFT(E487,FIND(" - ",E487)-1)),"")</f>
        <v>5</v>
      </c>
      <c r="L487" s="5" t="s">
        <v>1521</v>
      </c>
      <c r="N487" s="6" t="n">
        <f aca="false">IF(F487="","",1+COUNTIFS($J:$J,J487,$K:$K,K487,$F:$F,"&gt;"&amp;F487)+COUNTIFS($J:$J,J487,$K:$K,K487,$F:$F,F487,$G:$G,"&gt;"&amp;G487))</f>
        <v>8</v>
      </c>
      <c r="O487" s="6" t="n">
        <f aca="false">IF(L487="","",SUMIFS(Votes!$E:$E,Votes!$A:$A,J487,Votes!$B:$B,K487,Votes!$D:$D,L487))</f>
        <v>9</v>
      </c>
      <c r="P487" s="6" t="n">
        <f aca="false">IF(L487="","",COUNTIFS(Votes!$A:$A,J487,Votes!$B:$B,K487,Votes!$D:$D,L487))</f>
        <v>7</v>
      </c>
      <c r="Q487" s="7" t="str">
        <f aca="false">IF(F487="","Unscored",IF(O487="","No URI",IF(AND(F487=0,O487=0),"Zero-vote",IF(AND(F487=O487,G487=P487),"OK",IF(AND(F487=0,O487&gt;0,COUNTIFS(Votes!$A:$A,J487,Votes!$B:$B,K487,Votes!$C:$C,D487)=0),"Forfeited","Mismatch")))))</f>
        <v>OK</v>
      </c>
      <c r="R487" s="6" t="n">
        <f aca="false">MAX(IF(L487&lt;&gt;"",COUNTIF($L:$L,L487),0),COUNTIFS($A:$A,A487,$B:$B,B487))</f>
        <v>1</v>
      </c>
      <c r="S487" s="6" t="str">
        <f aca="false">IF(R487&gt;1,COUNTIF($R$2:R487,"&gt;1"),"")</f>
        <v/>
      </c>
      <c r="T487" s="6" t="str">
        <f aca="false">IF(L487="","",J487&amp;"|"&amp;K487&amp;"|"&amp;L487)</f>
        <v>5|5|spotify:track:3K7vPyMCcecKRotnu08MMP</v>
      </c>
      <c r="U487" s="6" t="str">
        <f aca="false">IF(C487="","",IFERROR(INDEX(Lists!$F:$F,MATCH(C487,Lists!$E:$E,0)),"Unmapped"))</f>
        <v>Pop</v>
      </c>
    </row>
    <row r="488" customFormat="false" ht="15" hidden="false" customHeight="false" outlineLevel="0" collapsed="false">
      <c r="A488" s="5" t="s">
        <v>1522</v>
      </c>
      <c r="B488" s="5" t="s">
        <v>1523</v>
      </c>
      <c r="C488" s="5" t="s">
        <v>363</v>
      </c>
      <c r="D488" s="5" t="s">
        <v>106</v>
      </c>
      <c r="E488" s="5" t="s">
        <v>1501</v>
      </c>
      <c r="F488" s="5" t="n">
        <v>9</v>
      </c>
      <c r="G488" s="5" t="n">
        <v>7</v>
      </c>
      <c r="H488" s="6" t="str">
        <f aca="false">IF(N488="","",N488&amp;IF(AND(MOD(N488,100)&gt;=11,MOD(N488,100)&lt;=13),"th",CHOOSE(MIN(5,MOD(N488,10)+1),"th","st","nd","rd","th")))</f>
        <v>8th</v>
      </c>
      <c r="I488" s="5" t="s">
        <v>1335</v>
      </c>
      <c r="J488" s="6" t="n">
        <f aca="false">IFERROR(INDEX(Rounds!$A:$A,MATCH(I488,Rounds!$B:$B,0)),"ADD LEAGUE TO ROUNDS")</f>
        <v>5</v>
      </c>
      <c r="K488" s="6" t="n">
        <f aca="false">IFERROR(VALUE(LEFT(E488,FIND(" - ",E488)-1)),"")</f>
        <v>5</v>
      </c>
      <c r="L488" s="5" t="s">
        <v>1524</v>
      </c>
      <c r="N488" s="6" t="n">
        <f aca="false">IF(F488="","",1+COUNTIFS($J:$J,J488,$K:$K,K488,$F:$F,"&gt;"&amp;F488)+COUNTIFS($J:$J,J488,$K:$K,K488,$F:$F,F488,$G:$G,"&gt;"&amp;G488))</f>
        <v>8</v>
      </c>
      <c r="O488" s="6" t="n">
        <f aca="false">IF(L488="","",SUMIFS(Votes!$E:$E,Votes!$A:$A,J488,Votes!$B:$B,K488,Votes!$D:$D,L488))</f>
        <v>9</v>
      </c>
      <c r="P488" s="6" t="n">
        <f aca="false">IF(L488="","",COUNTIFS(Votes!$A:$A,J488,Votes!$B:$B,K488,Votes!$D:$D,L488))</f>
        <v>7</v>
      </c>
      <c r="Q488" s="7" t="str">
        <f aca="false">IF(F488="","Unscored",IF(O488="","No URI",IF(AND(F488=0,O488=0),"Zero-vote",IF(AND(F488=O488,G488=P488),"OK",IF(AND(F488=0,O488&gt;0,COUNTIFS(Votes!$A:$A,J488,Votes!$B:$B,K488,Votes!$C:$C,D488)=0),"Forfeited","Mismatch")))))</f>
        <v>OK</v>
      </c>
      <c r="R488" s="6" t="n">
        <f aca="false">MAX(IF(L488&lt;&gt;"",COUNTIF($L:$L,L488),0),COUNTIFS($A:$A,A488,$B:$B,B488))</f>
        <v>1</v>
      </c>
      <c r="S488" s="6" t="str">
        <f aca="false">IF(R488&gt;1,COUNTIF($R$2:R488,"&gt;1"),"")</f>
        <v/>
      </c>
      <c r="T488" s="6" t="str">
        <f aca="false">IF(L488="","",J488&amp;"|"&amp;K488&amp;"|"&amp;L488)</f>
        <v>5|5|spotify:track:1OmykUh7sjL6x7U0oFZPov</v>
      </c>
      <c r="U488" s="6" t="str">
        <f aca="false">IF(C488="","",IFERROR(INDEX(Lists!$F:$F,MATCH(C488,Lists!$E:$E,0)),"Unmapped"))</f>
        <v>Latin</v>
      </c>
    </row>
    <row r="489" customFormat="false" ht="15" hidden="false" customHeight="false" outlineLevel="0" collapsed="false">
      <c r="A489" s="5" t="s">
        <v>1525</v>
      </c>
      <c r="B489" s="5" t="s">
        <v>1526</v>
      </c>
      <c r="C489" s="5" t="s">
        <v>96</v>
      </c>
      <c r="D489" s="5" t="s">
        <v>128</v>
      </c>
      <c r="E489" s="5" t="s">
        <v>1501</v>
      </c>
      <c r="F489" s="5" t="n">
        <v>8</v>
      </c>
      <c r="G489" s="5" t="n">
        <v>6</v>
      </c>
      <c r="H489" s="6" t="str">
        <f aca="false">IF(N489="","",N489&amp;IF(AND(MOD(N489,100)&gt;=11,MOD(N489,100)&lt;=13),"th",CHOOSE(MIN(5,MOD(N489,10)+1),"th","st","nd","rd","th")))</f>
        <v>10th</v>
      </c>
      <c r="I489" s="5" t="s">
        <v>1335</v>
      </c>
      <c r="J489" s="6" t="n">
        <f aca="false">IFERROR(INDEX(Rounds!$A:$A,MATCH(I489,Rounds!$B:$B,0)),"ADD LEAGUE TO ROUNDS")</f>
        <v>5</v>
      </c>
      <c r="K489" s="6" t="n">
        <f aca="false">IFERROR(VALUE(LEFT(E489,FIND(" - ",E489)-1)),"")</f>
        <v>5</v>
      </c>
      <c r="L489" s="5" t="s">
        <v>1527</v>
      </c>
      <c r="N489" s="6" t="n">
        <f aca="false">IF(F489="","",1+COUNTIFS($J:$J,J489,$K:$K,K489,$F:$F,"&gt;"&amp;F489)+COUNTIFS($J:$J,J489,$K:$K,K489,$F:$F,F489,$G:$G,"&gt;"&amp;G489))</f>
        <v>10</v>
      </c>
      <c r="O489" s="6" t="n">
        <f aca="false">IF(L489="","",SUMIFS(Votes!$E:$E,Votes!$A:$A,J489,Votes!$B:$B,K489,Votes!$D:$D,L489))</f>
        <v>8</v>
      </c>
      <c r="P489" s="6" t="n">
        <f aca="false">IF(L489="","",COUNTIFS(Votes!$A:$A,J489,Votes!$B:$B,K489,Votes!$D:$D,L489))</f>
        <v>6</v>
      </c>
      <c r="Q489" s="7" t="str">
        <f aca="false">IF(F489="","Unscored",IF(O489="","No URI",IF(AND(F489=0,O489=0),"Zero-vote",IF(AND(F489=O489,G489=P489),"OK",IF(AND(F489=0,O489&gt;0,COUNTIFS(Votes!$A:$A,J489,Votes!$B:$B,K489,Votes!$C:$C,D489)=0),"Forfeited","Mismatch")))))</f>
        <v>OK</v>
      </c>
      <c r="R489" s="6" t="n">
        <f aca="false">MAX(IF(L489&lt;&gt;"",COUNTIF($L:$L,L489),0),COUNTIFS($A:$A,A489,$B:$B,B489))</f>
        <v>1</v>
      </c>
      <c r="S489" s="6" t="str">
        <f aca="false">IF(R489&gt;1,COUNTIF($R$2:R489,"&gt;1"),"")</f>
        <v/>
      </c>
      <c r="T489" s="6" t="str">
        <f aca="false">IF(L489="","",J489&amp;"|"&amp;K489&amp;"|"&amp;L489)</f>
        <v>5|5|spotify:track:1lb36bFPzVYUBER5QatHAY</v>
      </c>
      <c r="U489" s="6" t="str">
        <f aca="false">IF(C489="","",IFERROR(INDEX(Lists!$F:$F,MATCH(C489,Lists!$E:$E,0)),"Unmapped"))</f>
        <v>R&amp;B/Soul</v>
      </c>
    </row>
    <row r="490" customFormat="false" ht="15" hidden="false" customHeight="false" outlineLevel="0" collapsed="false">
      <c r="A490" s="5" t="s">
        <v>1528</v>
      </c>
      <c r="B490" s="5" t="s">
        <v>1529</v>
      </c>
      <c r="C490" s="5" t="s">
        <v>84</v>
      </c>
      <c r="D490" s="5" t="s">
        <v>719</v>
      </c>
      <c r="E490" s="5" t="s">
        <v>1501</v>
      </c>
      <c r="F490" s="5" t="n">
        <v>6</v>
      </c>
      <c r="G490" s="5" t="n">
        <v>3</v>
      </c>
      <c r="H490" s="6" t="str">
        <f aca="false">IF(N490="","",N490&amp;IF(AND(MOD(N490,100)&gt;=11,MOD(N490,100)&lt;=13),"th",CHOOSE(MIN(5,MOD(N490,10)+1),"th","st","nd","rd","th")))</f>
        <v>11th</v>
      </c>
      <c r="I490" s="5" t="s">
        <v>1335</v>
      </c>
      <c r="J490" s="6" t="n">
        <f aca="false">IFERROR(INDEX(Rounds!$A:$A,MATCH(I490,Rounds!$B:$B,0)),"ADD LEAGUE TO ROUNDS")</f>
        <v>5</v>
      </c>
      <c r="K490" s="6" t="n">
        <f aca="false">IFERROR(VALUE(LEFT(E490,FIND(" - ",E490)-1)),"")</f>
        <v>5</v>
      </c>
      <c r="L490" s="5" t="s">
        <v>1530</v>
      </c>
      <c r="N490" s="6" t="n">
        <f aca="false">IF(F490="","",1+COUNTIFS($J:$J,J490,$K:$K,K490,$F:$F,"&gt;"&amp;F490)+COUNTIFS($J:$J,J490,$K:$K,K490,$F:$F,F490,$G:$G,"&gt;"&amp;G490))</f>
        <v>11</v>
      </c>
      <c r="O490" s="6" t="n">
        <f aca="false">IF(L490="","",SUMIFS(Votes!$E:$E,Votes!$A:$A,J490,Votes!$B:$B,K490,Votes!$D:$D,L490))</f>
        <v>6</v>
      </c>
      <c r="P490" s="6" t="n">
        <f aca="false">IF(L490="","",COUNTIFS(Votes!$A:$A,J490,Votes!$B:$B,K490,Votes!$D:$D,L490))</f>
        <v>3</v>
      </c>
      <c r="Q490" s="7" t="str">
        <f aca="false">IF(F490="","Unscored",IF(O490="","No URI",IF(AND(F490=0,O490=0),"Zero-vote",IF(AND(F490=O490,G490=P490),"OK",IF(AND(F490=0,O490&gt;0,COUNTIFS(Votes!$A:$A,J490,Votes!$B:$B,K490,Votes!$C:$C,D490)=0),"Forfeited","Mismatch")))))</f>
        <v>OK</v>
      </c>
      <c r="R490" s="6" t="n">
        <f aca="false">MAX(IF(L490&lt;&gt;"",COUNTIF($L:$L,L490),0),COUNTIFS($A:$A,A490,$B:$B,B490))</f>
        <v>1</v>
      </c>
      <c r="S490" s="6" t="str">
        <f aca="false">IF(R490&gt;1,COUNTIF($R$2:R490,"&gt;1"),"")</f>
        <v/>
      </c>
      <c r="T490" s="6" t="str">
        <f aca="false">IF(L490="","",J490&amp;"|"&amp;K490&amp;"|"&amp;L490)</f>
        <v>5|5|spotify:track:1wSPm3y4Lk6ABkVxCmwkZx</v>
      </c>
      <c r="U490" s="6" t="str">
        <f aca="false">IF(C490="","",IFERROR(INDEX(Lists!$F:$F,MATCH(C490,Lists!$E:$E,0)),"Unmapped"))</f>
        <v>Pop</v>
      </c>
    </row>
    <row r="491" customFormat="false" ht="15" hidden="false" customHeight="false" outlineLevel="0" collapsed="false">
      <c r="A491" s="5" t="s">
        <v>1531</v>
      </c>
      <c r="B491" s="5" t="s">
        <v>725</v>
      </c>
      <c r="C491" s="5" t="s">
        <v>171</v>
      </c>
      <c r="D491" s="5" t="s">
        <v>92</v>
      </c>
      <c r="E491" s="5" t="s">
        <v>1501</v>
      </c>
      <c r="F491" s="5" t="n">
        <v>5</v>
      </c>
      <c r="G491" s="5" t="n">
        <v>4</v>
      </c>
      <c r="H491" s="6" t="str">
        <f aca="false">IF(N491="","",N491&amp;IF(AND(MOD(N491,100)&gt;=11,MOD(N491,100)&lt;=13),"th",CHOOSE(MIN(5,MOD(N491,10)+1),"th","st","nd","rd","th")))</f>
        <v>12th</v>
      </c>
      <c r="I491" s="5" t="s">
        <v>1335</v>
      </c>
      <c r="J491" s="6" t="n">
        <f aca="false">IFERROR(INDEX(Rounds!$A:$A,MATCH(I491,Rounds!$B:$B,0)),"ADD LEAGUE TO ROUNDS")</f>
        <v>5</v>
      </c>
      <c r="K491" s="6" t="n">
        <f aca="false">IFERROR(VALUE(LEFT(E491,FIND(" - ",E491)-1)),"")</f>
        <v>5</v>
      </c>
      <c r="L491" s="5" t="s">
        <v>1532</v>
      </c>
      <c r="N491" s="6" t="n">
        <f aca="false">IF(F491="","",1+COUNTIFS($J:$J,J491,$K:$K,K491,$F:$F,"&gt;"&amp;F491)+COUNTIFS($J:$J,J491,$K:$K,K491,$F:$F,F491,$G:$G,"&gt;"&amp;G491))</f>
        <v>12</v>
      </c>
      <c r="O491" s="6" t="n">
        <f aca="false">IF(L491="","",SUMIFS(Votes!$E:$E,Votes!$A:$A,J491,Votes!$B:$B,K491,Votes!$D:$D,L491))</f>
        <v>5</v>
      </c>
      <c r="P491" s="6" t="n">
        <f aca="false">IF(L491="","",COUNTIFS(Votes!$A:$A,J491,Votes!$B:$B,K491,Votes!$D:$D,L491))</f>
        <v>4</v>
      </c>
      <c r="Q491" s="7" t="str">
        <f aca="false">IF(F491="","Unscored",IF(O491="","No URI",IF(AND(F491=0,O491=0),"Zero-vote",IF(AND(F491=O491,G491=P491),"OK",IF(AND(F491=0,O491&gt;0,COUNTIFS(Votes!$A:$A,J491,Votes!$B:$B,K491,Votes!$C:$C,D491)=0),"Forfeited","Mismatch")))))</f>
        <v>OK</v>
      </c>
      <c r="R491" s="6" t="n">
        <f aca="false">MAX(IF(L491&lt;&gt;"",COUNTIF($L:$L,L491),0),COUNTIFS($A:$A,A491,$B:$B,B491))</f>
        <v>1</v>
      </c>
      <c r="S491" s="6" t="str">
        <f aca="false">IF(R491&gt;1,COUNTIF($R$2:R491,"&gt;1"),"")</f>
        <v/>
      </c>
      <c r="T491" s="6" t="str">
        <f aca="false">IF(L491="","",J491&amp;"|"&amp;K491&amp;"|"&amp;L491)</f>
        <v>5|5|spotify:track:1G7lSPzVlGydbpeQOY2gNu</v>
      </c>
      <c r="U491" s="6" t="str">
        <f aca="false">IF(C491="","",IFERROR(INDEX(Lists!$F:$F,MATCH(C491,Lists!$E:$E,0)),"Unmapped"))</f>
        <v>Country</v>
      </c>
    </row>
    <row r="492" customFormat="false" ht="15" hidden="false" customHeight="false" outlineLevel="0" collapsed="false">
      <c r="A492" s="5" t="s">
        <v>1533</v>
      </c>
      <c r="B492" s="5" t="s">
        <v>95</v>
      </c>
      <c r="C492" s="5" t="s">
        <v>96</v>
      </c>
      <c r="D492" s="5" t="s">
        <v>97</v>
      </c>
      <c r="E492" s="5" t="s">
        <v>1501</v>
      </c>
      <c r="F492" s="5" t="n">
        <v>5</v>
      </c>
      <c r="G492" s="5" t="n">
        <v>3</v>
      </c>
      <c r="H492" s="6" t="str">
        <f aca="false">IF(N492="","",N492&amp;IF(AND(MOD(N492,100)&gt;=11,MOD(N492,100)&lt;=13),"th",CHOOSE(MIN(5,MOD(N492,10)+1),"th","st","nd","rd","th")))</f>
        <v>13th</v>
      </c>
      <c r="I492" s="5" t="s">
        <v>1335</v>
      </c>
      <c r="J492" s="6" t="n">
        <f aca="false">IFERROR(INDEX(Rounds!$A:$A,MATCH(I492,Rounds!$B:$B,0)),"ADD LEAGUE TO ROUNDS")</f>
        <v>5</v>
      </c>
      <c r="K492" s="6" t="n">
        <f aca="false">IFERROR(VALUE(LEFT(E492,FIND(" - ",E492)-1)),"")</f>
        <v>5</v>
      </c>
      <c r="L492" s="5" t="s">
        <v>1534</v>
      </c>
      <c r="N492" s="6" t="n">
        <f aca="false">IF(F492="","",1+COUNTIFS($J:$J,J492,$K:$K,K492,$F:$F,"&gt;"&amp;F492)+COUNTIFS($J:$J,J492,$K:$K,K492,$F:$F,F492,$G:$G,"&gt;"&amp;G492))</f>
        <v>13</v>
      </c>
      <c r="O492" s="6" t="n">
        <f aca="false">IF(L492="","",SUMIFS(Votes!$E:$E,Votes!$A:$A,J492,Votes!$B:$B,K492,Votes!$D:$D,L492))</f>
        <v>5</v>
      </c>
      <c r="P492" s="6" t="n">
        <f aca="false">IF(L492="","",COUNTIFS(Votes!$A:$A,J492,Votes!$B:$B,K492,Votes!$D:$D,L492))</f>
        <v>3</v>
      </c>
      <c r="Q492" s="7" t="str">
        <f aca="false">IF(F492="","Unscored",IF(O492="","No URI",IF(AND(F492=0,O492=0),"Zero-vote",IF(AND(F492=O492,G492=P492),"OK",IF(AND(F492=0,O492&gt;0,COUNTIFS(Votes!$A:$A,J492,Votes!$B:$B,K492,Votes!$C:$C,D492)=0),"Forfeited","Mismatch")))))</f>
        <v>OK</v>
      </c>
      <c r="R492" s="6" t="n">
        <f aca="false">MAX(IF(L492&lt;&gt;"",COUNTIF($L:$L,L492),0),COUNTIFS($A:$A,A492,$B:$B,B492))</f>
        <v>1</v>
      </c>
      <c r="S492" s="6" t="str">
        <f aca="false">IF(R492&gt;1,COUNTIF($R$2:R492,"&gt;1"),"")</f>
        <v/>
      </c>
      <c r="T492" s="6" t="str">
        <f aca="false">IF(L492="","",J492&amp;"|"&amp;K492&amp;"|"&amp;L492)</f>
        <v>5|5|spotify:track:2eGxZNPQVTWjXSKazFQOMg</v>
      </c>
      <c r="U492" s="6" t="str">
        <f aca="false">IF(C492="","",IFERROR(INDEX(Lists!$F:$F,MATCH(C492,Lists!$E:$E,0)),"Unmapped"))</f>
        <v>R&amp;B/Soul</v>
      </c>
    </row>
    <row r="493" customFormat="false" ht="15" hidden="false" customHeight="false" outlineLevel="0" collapsed="false">
      <c r="A493" s="5" t="s">
        <v>400</v>
      </c>
      <c r="B493" s="5" t="s">
        <v>1535</v>
      </c>
      <c r="C493" s="5" t="s">
        <v>293</v>
      </c>
      <c r="D493" s="5" t="s">
        <v>128</v>
      </c>
      <c r="E493" s="5" t="s">
        <v>1536</v>
      </c>
      <c r="F493" s="5" t="n">
        <v>18</v>
      </c>
      <c r="G493" s="5" t="n">
        <v>10</v>
      </c>
      <c r="H493" s="6" t="str">
        <f aca="false">IF(N493="","",N493&amp;IF(AND(MOD(N493,100)&gt;=11,MOD(N493,100)&lt;=13),"th",CHOOSE(MIN(5,MOD(N493,10)+1),"th","st","nd","rd","th")))</f>
        <v>1st</v>
      </c>
      <c r="I493" s="5" t="s">
        <v>1335</v>
      </c>
      <c r="J493" s="6" t="n">
        <f aca="false">IFERROR(INDEX(Rounds!$A:$A,MATCH(I493,Rounds!$B:$B,0)),"ADD LEAGUE TO ROUNDS")</f>
        <v>5</v>
      </c>
      <c r="K493" s="6" t="n">
        <f aca="false">IFERROR(VALUE(LEFT(E493,FIND(" - ",E493)-1)),"")</f>
        <v>6</v>
      </c>
      <c r="L493" s="5" t="s">
        <v>1537</v>
      </c>
      <c r="N493" s="6" t="n">
        <f aca="false">IF(F493="","",1+COUNTIFS($J:$J,J493,$K:$K,K493,$F:$F,"&gt;"&amp;F493)+COUNTIFS($J:$J,J493,$K:$K,K493,$F:$F,F493,$G:$G,"&gt;"&amp;G493))</f>
        <v>1</v>
      </c>
      <c r="O493" s="6" t="n">
        <f aca="false">IF(L493="","",SUMIFS(Votes!$E:$E,Votes!$A:$A,J493,Votes!$B:$B,K493,Votes!$D:$D,L493))</f>
        <v>18</v>
      </c>
      <c r="P493" s="6" t="n">
        <f aca="false">IF(L493="","",COUNTIFS(Votes!$A:$A,J493,Votes!$B:$B,K493,Votes!$D:$D,L493))</f>
        <v>10</v>
      </c>
      <c r="Q493" s="7" t="str">
        <f aca="false">IF(F493="","Unscored",IF(O493="","No URI",IF(AND(F493=0,O493=0),"Zero-vote",IF(AND(F493=O493,G493=P493),"OK",IF(AND(F493=0,O493&gt;0,COUNTIFS(Votes!$A:$A,J493,Votes!$B:$B,K493,Votes!$C:$C,D493)=0),"Forfeited","Mismatch")))))</f>
        <v>OK</v>
      </c>
      <c r="R493" s="6" t="n">
        <f aca="false">MAX(IF(L493&lt;&gt;"",COUNTIF($L:$L,L493),0),COUNTIFS($A:$A,A493,$B:$B,B493))</f>
        <v>1</v>
      </c>
      <c r="S493" s="6" t="str">
        <f aca="false">IF(R493&gt;1,COUNTIF($R$2:R493,"&gt;1"),"")</f>
        <v/>
      </c>
      <c r="T493" s="6" t="str">
        <f aca="false">IF(L493="","",J493&amp;"|"&amp;K493&amp;"|"&amp;L493)</f>
        <v>5|6|spotify:track:7BKLCZ1jbUBVqRi2FVlTVw</v>
      </c>
      <c r="U493" s="6" t="str">
        <f aca="false">IF(C493="","",IFERROR(INDEX(Lists!$F:$F,MATCH(C493,Lists!$E:$E,0)),"Unmapped"))</f>
        <v>Electronic/Dance</v>
      </c>
    </row>
    <row r="494" customFormat="false" ht="15" hidden="false" customHeight="false" outlineLevel="0" collapsed="false">
      <c r="A494" s="5" t="s">
        <v>1301</v>
      </c>
      <c r="B494" s="5" t="s">
        <v>175</v>
      </c>
      <c r="C494" s="5" t="s">
        <v>91</v>
      </c>
      <c r="D494" s="5" t="s">
        <v>382</v>
      </c>
      <c r="E494" s="5" t="s">
        <v>1536</v>
      </c>
      <c r="F494" s="5" t="n">
        <v>14</v>
      </c>
      <c r="G494" s="5" t="n">
        <v>10</v>
      </c>
      <c r="H494" s="6" t="str">
        <f aca="false">IF(N494="","",N494&amp;IF(AND(MOD(N494,100)&gt;=11,MOD(N494,100)&lt;=13),"th",CHOOSE(MIN(5,MOD(N494,10)+1),"th","st","nd","rd","th")))</f>
        <v>2nd</v>
      </c>
      <c r="I494" s="5" t="s">
        <v>1335</v>
      </c>
      <c r="J494" s="6" t="n">
        <f aca="false">IFERROR(INDEX(Rounds!$A:$A,MATCH(I494,Rounds!$B:$B,0)),"ADD LEAGUE TO ROUNDS")</f>
        <v>5</v>
      </c>
      <c r="K494" s="6" t="n">
        <f aca="false">IFERROR(VALUE(LEFT(E494,FIND(" - ",E494)-1)),"")</f>
        <v>6</v>
      </c>
      <c r="L494" s="5" t="s">
        <v>1538</v>
      </c>
      <c r="N494" s="6" t="n">
        <f aca="false">IF(F494="","",1+COUNTIFS($J:$J,J494,$K:$K,K494,$F:$F,"&gt;"&amp;F494)+COUNTIFS($J:$J,J494,$K:$K,K494,$F:$F,F494,$G:$G,"&gt;"&amp;G494))</f>
        <v>2</v>
      </c>
      <c r="O494" s="6" t="n">
        <f aca="false">IF(L494="","",SUMIFS(Votes!$E:$E,Votes!$A:$A,J494,Votes!$B:$B,K494,Votes!$D:$D,L494))</f>
        <v>14</v>
      </c>
      <c r="P494" s="6" t="n">
        <f aca="false">IF(L494="","",COUNTIFS(Votes!$A:$A,J494,Votes!$B:$B,K494,Votes!$D:$D,L494))</f>
        <v>10</v>
      </c>
      <c r="Q494" s="7" t="str">
        <f aca="false">IF(F494="","Unscored",IF(O494="","No URI",IF(AND(F494=0,O494=0),"Zero-vote",IF(AND(F494=O494,G494=P494),"OK",IF(AND(F494=0,O494&gt;0,COUNTIFS(Votes!$A:$A,J494,Votes!$B:$B,K494,Votes!$C:$C,D494)=0),"Forfeited","Mismatch")))))</f>
        <v>OK</v>
      </c>
      <c r="R494" s="6" t="n">
        <f aca="false">MAX(IF(L494&lt;&gt;"",COUNTIF($L:$L,L494),0),COUNTIFS($A:$A,A494,$B:$B,B494))</f>
        <v>2</v>
      </c>
      <c r="S494" s="6" t="n">
        <f aca="false">IF(R494&gt;1,COUNTIF($R$2:R494,"&gt;1"),"")</f>
        <v>33</v>
      </c>
      <c r="T494" s="6" t="str">
        <f aca="false">IF(L494="","",J494&amp;"|"&amp;K494&amp;"|"&amp;L494)</f>
        <v>5|6|spotify:track:7tFiyTwD0nx5a1eklYtX2J</v>
      </c>
      <c r="U494" s="6" t="str">
        <f aca="false">IF(C494="","",IFERROR(INDEX(Lists!$F:$F,MATCH(C494,Lists!$E:$E,0)),"Unmapped"))</f>
        <v>Rock</v>
      </c>
    </row>
    <row r="495" customFormat="false" ht="15" hidden="false" customHeight="false" outlineLevel="0" collapsed="false">
      <c r="A495" s="5" t="s">
        <v>1539</v>
      </c>
      <c r="B495" s="5" t="s">
        <v>1540</v>
      </c>
      <c r="C495" s="5" t="s">
        <v>84</v>
      </c>
      <c r="D495" s="5" t="s">
        <v>119</v>
      </c>
      <c r="E495" s="5" t="s">
        <v>1536</v>
      </c>
      <c r="F495" s="5" t="n">
        <v>14</v>
      </c>
      <c r="G495" s="5" t="n">
        <v>7</v>
      </c>
      <c r="H495" s="6" t="str">
        <f aca="false">IF(N495="","",N495&amp;IF(AND(MOD(N495,100)&gt;=11,MOD(N495,100)&lt;=13),"th",CHOOSE(MIN(5,MOD(N495,10)+1),"th","st","nd","rd","th")))</f>
        <v>3rd</v>
      </c>
      <c r="I495" s="5" t="s">
        <v>1335</v>
      </c>
      <c r="J495" s="6" t="n">
        <f aca="false">IFERROR(INDEX(Rounds!$A:$A,MATCH(I495,Rounds!$B:$B,0)),"ADD LEAGUE TO ROUNDS")</f>
        <v>5</v>
      </c>
      <c r="K495" s="6" t="n">
        <f aca="false">IFERROR(VALUE(LEFT(E495,FIND(" - ",E495)-1)),"")</f>
        <v>6</v>
      </c>
      <c r="L495" s="5" t="s">
        <v>1541</v>
      </c>
      <c r="N495" s="6" t="n">
        <f aca="false">IF(F495="","",1+COUNTIFS($J:$J,J495,$K:$K,K495,$F:$F,"&gt;"&amp;F495)+COUNTIFS($J:$J,J495,$K:$K,K495,$F:$F,F495,$G:$G,"&gt;"&amp;G495))</f>
        <v>3</v>
      </c>
      <c r="O495" s="6" t="n">
        <f aca="false">IF(L495="","",SUMIFS(Votes!$E:$E,Votes!$A:$A,J495,Votes!$B:$B,K495,Votes!$D:$D,L495))</f>
        <v>14</v>
      </c>
      <c r="P495" s="6" t="n">
        <f aca="false">IF(L495="","",COUNTIFS(Votes!$A:$A,J495,Votes!$B:$B,K495,Votes!$D:$D,L495))</f>
        <v>7</v>
      </c>
      <c r="Q495" s="7" t="str">
        <f aca="false">IF(F495="","Unscored",IF(O495="","No URI",IF(AND(F495=0,O495=0),"Zero-vote",IF(AND(F495=O495,G495=P495),"OK",IF(AND(F495=0,O495&gt;0,COUNTIFS(Votes!$A:$A,J495,Votes!$B:$B,K495,Votes!$C:$C,D495)=0),"Forfeited","Mismatch")))))</f>
        <v>OK</v>
      </c>
      <c r="R495" s="6" t="n">
        <f aca="false">MAX(IF(L495&lt;&gt;"",COUNTIF($L:$L,L495),0),COUNTIFS($A:$A,A495,$B:$B,B495))</f>
        <v>1</v>
      </c>
      <c r="S495" s="6" t="str">
        <f aca="false">IF(R495&gt;1,COUNTIF($R$2:R495,"&gt;1"),"")</f>
        <v/>
      </c>
      <c r="T495" s="6" t="str">
        <f aca="false">IF(L495="","",J495&amp;"|"&amp;K495&amp;"|"&amp;L495)</f>
        <v>5|6|spotify:track:4ikhbKiw9pKYkWitSR7M7u</v>
      </c>
      <c r="U495" s="6" t="str">
        <f aca="false">IF(C495="","",IFERROR(INDEX(Lists!$F:$F,MATCH(C495,Lists!$E:$E,0)),"Unmapped"))</f>
        <v>Pop</v>
      </c>
    </row>
    <row r="496" customFormat="false" ht="15" hidden="false" customHeight="false" outlineLevel="0" collapsed="false">
      <c r="A496" s="5" t="s">
        <v>1542</v>
      </c>
      <c r="B496" s="5" t="s">
        <v>1543</v>
      </c>
      <c r="C496" s="5" t="s">
        <v>84</v>
      </c>
      <c r="D496" s="5" t="s">
        <v>106</v>
      </c>
      <c r="E496" s="5" t="s">
        <v>1536</v>
      </c>
      <c r="F496" s="5" t="n">
        <v>13</v>
      </c>
      <c r="G496" s="5" t="n">
        <v>10</v>
      </c>
      <c r="H496" s="6" t="str">
        <f aca="false">IF(N496="","",N496&amp;IF(AND(MOD(N496,100)&gt;=11,MOD(N496,100)&lt;=13),"th",CHOOSE(MIN(5,MOD(N496,10)+1),"th","st","nd","rd","th")))</f>
        <v>4th</v>
      </c>
      <c r="I496" s="5" t="s">
        <v>1335</v>
      </c>
      <c r="J496" s="6" t="n">
        <f aca="false">IFERROR(INDEX(Rounds!$A:$A,MATCH(I496,Rounds!$B:$B,0)),"ADD LEAGUE TO ROUNDS")</f>
        <v>5</v>
      </c>
      <c r="K496" s="6" t="n">
        <f aca="false">IFERROR(VALUE(LEFT(E496,FIND(" - ",E496)-1)),"")</f>
        <v>6</v>
      </c>
      <c r="L496" s="5" t="s">
        <v>1544</v>
      </c>
      <c r="N496" s="6" t="n">
        <f aca="false">IF(F496="","",1+COUNTIFS($J:$J,J496,$K:$K,K496,$F:$F,"&gt;"&amp;F496)+COUNTIFS($J:$J,J496,$K:$K,K496,$F:$F,F496,$G:$G,"&gt;"&amp;G496))</f>
        <v>4</v>
      </c>
      <c r="O496" s="6" t="n">
        <f aca="false">IF(L496="","",SUMIFS(Votes!$E:$E,Votes!$A:$A,J496,Votes!$B:$B,K496,Votes!$D:$D,L496))</f>
        <v>13</v>
      </c>
      <c r="P496" s="6" t="n">
        <f aca="false">IF(L496="","",COUNTIFS(Votes!$A:$A,J496,Votes!$B:$B,K496,Votes!$D:$D,L496))</f>
        <v>10</v>
      </c>
      <c r="Q496" s="7" t="str">
        <f aca="false">IF(F496="","Unscored",IF(O496="","No URI",IF(AND(F496=0,O496=0),"Zero-vote",IF(AND(F496=O496,G496=P496),"OK",IF(AND(F496=0,O496&gt;0,COUNTIFS(Votes!$A:$A,J496,Votes!$B:$B,K496,Votes!$C:$C,D496)=0),"Forfeited","Mismatch")))))</f>
        <v>OK</v>
      </c>
      <c r="R496" s="6" t="n">
        <f aca="false">MAX(IF(L496&lt;&gt;"",COUNTIF($L:$L,L496),0),COUNTIFS($A:$A,A496,$B:$B,B496))</f>
        <v>1</v>
      </c>
      <c r="S496" s="6" t="str">
        <f aca="false">IF(R496&gt;1,COUNTIF($R$2:R496,"&gt;1"),"")</f>
        <v/>
      </c>
      <c r="T496" s="6" t="str">
        <f aca="false">IF(L496="","",J496&amp;"|"&amp;K496&amp;"|"&amp;L496)</f>
        <v>5|6|spotify:track:1k2pQc5i348DCHwbn5KTdc</v>
      </c>
      <c r="U496" s="6" t="str">
        <f aca="false">IF(C496="","",IFERROR(INDEX(Lists!$F:$F,MATCH(C496,Lists!$E:$E,0)),"Unmapped"))</f>
        <v>Pop</v>
      </c>
    </row>
    <row r="497" customFormat="false" ht="15" hidden="false" customHeight="false" outlineLevel="0" collapsed="false">
      <c r="A497" s="5" t="s">
        <v>1545</v>
      </c>
      <c r="B497" s="5" t="s">
        <v>858</v>
      </c>
      <c r="C497" s="5" t="s">
        <v>84</v>
      </c>
      <c r="D497" s="5" t="s">
        <v>375</v>
      </c>
      <c r="E497" s="5" t="s">
        <v>1536</v>
      </c>
      <c r="F497" s="5" t="n">
        <v>11</v>
      </c>
      <c r="G497" s="5" t="n">
        <v>9</v>
      </c>
      <c r="H497" s="6" t="str">
        <f aca="false">IF(N497="","",N497&amp;IF(AND(MOD(N497,100)&gt;=11,MOD(N497,100)&lt;=13),"th",CHOOSE(MIN(5,MOD(N497,10)+1),"th","st","nd","rd","th")))</f>
        <v>5th</v>
      </c>
      <c r="I497" s="5" t="s">
        <v>1335</v>
      </c>
      <c r="J497" s="6" t="n">
        <f aca="false">IFERROR(INDEX(Rounds!$A:$A,MATCH(I497,Rounds!$B:$B,0)),"ADD LEAGUE TO ROUNDS")</f>
        <v>5</v>
      </c>
      <c r="K497" s="6" t="n">
        <f aca="false">IFERROR(VALUE(LEFT(E497,FIND(" - ",E497)-1)),"")</f>
        <v>6</v>
      </c>
      <c r="L497" s="5" t="s">
        <v>1546</v>
      </c>
      <c r="N497" s="6" t="n">
        <f aca="false">IF(F497="","",1+COUNTIFS($J:$J,J497,$K:$K,K497,$F:$F,"&gt;"&amp;F497)+COUNTIFS($J:$J,J497,$K:$K,K497,$F:$F,F497,$G:$G,"&gt;"&amp;G497))</f>
        <v>5</v>
      </c>
      <c r="O497" s="6" t="n">
        <f aca="false">IF(L497="","",SUMIFS(Votes!$E:$E,Votes!$A:$A,J497,Votes!$B:$B,K497,Votes!$D:$D,L497))</f>
        <v>11</v>
      </c>
      <c r="P497" s="6" t="n">
        <f aca="false">IF(L497="","",COUNTIFS(Votes!$A:$A,J497,Votes!$B:$B,K497,Votes!$D:$D,L497))</f>
        <v>9</v>
      </c>
      <c r="Q497" s="7" t="str">
        <f aca="false">IF(F497="","Unscored",IF(O497="","No URI",IF(AND(F497=0,O497=0),"Zero-vote",IF(AND(F497=O497,G497=P497),"OK",IF(AND(F497=0,O497&gt;0,COUNTIFS(Votes!$A:$A,J497,Votes!$B:$B,K497,Votes!$C:$C,D497)=0),"Forfeited","Mismatch")))))</f>
        <v>OK</v>
      </c>
      <c r="R497" s="6" t="n">
        <f aca="false">MAX(IF(L497&lt;&gt;"",COUNTIF($L:$L,L497),0),COUNTIFS($A:$A,A497,$B:$B,B497))</f>
        <v>1</v>
      </c>
      <c r="S497" s="6" t="str">
        <f aca="false">IF(R497&gt;1,COUNTIF($R$2:R497,"&gt;1"),"")</f>
        <v/>
      </c>
      <c r="T497" s="6" t="str">
        <f aca="false">IF(L497="","",J497&amp;"|"&amp;K497&amp;"|"&amp;L497)</f>
        <v>5|6|spotify:track:4Dvkj6JhhA12EX05fT7y2e</v>
      </c>
      <c r="U497" s="6" t="str">
        <f aca="false">IF(C497="","",IFERROR(INDEX(Lists!$F:$F,MATCH(C497,Lists!$E:$E,0)),"Unmapped"))</f>
        <v>Pop</v>
      </c>
    </row>
    <row r="498" customFormat="false" ht="15" hidden="false" customHeight="false" outlineLevel="0" collapsed="false">
      <c r="A498" s="5" t="s">
        <v>1547</v>
      </c>
      <c r="B498" s="5" t="s">
        <v>1548</v>
      </c>
      <c r="C498" s="5" t="s">
        <v>84</v>
      </c>
      <c r="D498" s="5" t="s">
        <v>395</v>
      </c>
      <c r="E498" s="5" t="s">
        <v>1536</v>
      </c>
      <c r="F498" s="5" t="n">
        <v>11</v>
      </c>
      <c r="G498" s="5" t="n">
        <v>9</v>
      </c>
      <c r="H498" s="6" t="str">
        <f aca="false">IF(N498="","",N498&amp;IF(AND(MOD(N498,100)&gt;=11,MOD(N498,100)&lt;=13),"th",CHOOSE(MIN(5,MOD(N498,10)+1),"th","st","nd","rd","th")))</f>
        <v>5th</v>
      </c>
      <c r="I498" s="5" t="s">
        <v>1335</v>
      </c>
      <c r="J498" s="6" t="n">
        <f aca="false">IFERROR(INDEX(Rounds!$A:$A,MATCH(I498,Rounds!$B:$B,0)),"ADD LEAGUE TO ROUNDS")</f>
        <v>5</v>
      </c>
      <c r="K498" s="6" t="n">
        <f aca="false">IFERROR(VALUE(LEFT(E498,FIND(" - ",E498)-1)),"")</f>
        <v>6</v>
      </c>
      <c r="L498" s="5" t="s">
        <v>1549</v>
      </c>
      <c r="N498" s="6" t="n">
        <f aca="false">IF(F498="","",1+COUNTIFS($J:$J,J498,$K:$K,K498,$F:$F,"&gt;"&amp;F498)+COUNTIFS($J:$J,J498,$K:$K,K498,$F:$F,F498,$G:$G,"&gt;"&amp;G498))</f>
        <v>5</v>
      </c>
      <c r="O498" s="6" t="n">
        <f aca="false">IF(L498="","",SUMIFS(Votes!$E:$E,Votes!$A:$A,J498,Votes!$B:$B,K498,Votes!$D:$D,L498))</f>
        <v>11</v>
      </c>
      <c r="P498" s="6" t="n">
        <f aca="false">IF(L498="","",COUNTIFS(Votes!$A:$A,J498,Votes!$B:$B,K498,Votes!$D:$D,L498))</f>
        <v>9</v>
      </c>
      <c r="Q498" s="7" t="str">
        <f aca="false">IF(F498="","Unscored",IF(O498="","No URI",IF(AND(F498=0,O498=0),"Zero-vote",IF(AND(F498=O498,G498=P498),"OK",IF(AND(F498=0,O498&gt;0,COUNTIFS(Votes!$A:$A,J498,Votes!$B:$B,K498,Votes!$C:$C,D498)=0),"Forfeited","Mismatch")))))</f>
        <v>OK</v>
      </c>
      <c r="R498" s="6" t="n">
        <f aca="false">MAX(IF(L498&lt;&gt;"",COUNTIF($L:$L,L498),0),COUNTIFS($A:$A,A498,$B:$B,B498))</f>
        <v>1</v>
      </c>
      <c r="S498" s="6" t="str">
        <f aca="false">IF(R498&gt;1,COUNTIF($R$2:R498,"&gt;1"),"")</f>
        <v/>
      </c>
      <c r="T498" s="6" t="str">
        <f aca="false">IF(L498="","",J498&amp;"|"&amp;K498&amp;"|"&amp;L498)</f>
        <v>5|6|spotify:track:7sapKrjDij2fpDVj0GxP66</v>
      </c>
      <c r="U498" s="6" t="str">
        <f aca="false">IF(C498="","",IFERROR(INDEX(Lists!$F:$F,MATCH(C498,Lists!$E:$E,0)),"Unmapped"))</f>
        <v>Pop</v>
      </c>
    </row>
    <row r="499" customFormat="false" ht="15" hidden="false" customHeight="false" outlineLevel="0" collapsed="false">
      <c r="A499" s="5" t="s">
        <v>1550</v>
      </c>
      <c r="B499" s="5" t="s">
        <v>1551</v>
      </c>
      <c r="C499" s="5" t="s">
        <v>171</v>
      </c>
      <c r="D499" s="5" t="s">
        <v>719</v>
      </c>
      <c r="E499" s="5" t="s">
        <v>1536</v>
      </c>
      <c r="F499" s="5" t="n">
        <v>11</v>
      </c>
      <c r="G499" s="5" t="n">
        <v>5</v>
      </c>
      <c r="H499" s="6" t="str">
        <f aca="false">IF(N499="","",N499&amp;IF(AND(MOD(N499,100)&gt;=11,MOD(N499,100)&lt;=13),"th",CHOOSE(MIN(5,MOD(N499,10)+1),"th","st","nd","rd","th")))</f>
        <v>7th</v>
      </c>
      <c r="I499" s="5" t="s">
        <v>1335</v>
      </c>
      <c r="J499" s="6" t="n">
        <f aca="false">IFERROR(INDEX(Rounds!$A:$A,MATCH(I499,Rounds!$B:$B,0)),"ADD LEAGUE TO ROUNDS")</f>
        <v>5</v>
      </c>
      <c r="K499" s="6" t="n">
        <f aca="false">IFERROR(VALUE(LEFT(E499,FIND(" - ",E499)-1)),"")</f>
        <v>6</v>
      </c>
      <c r="L499" s="5" t="s">
        <v>1552</v>
      </c>
      <c r="N499" s="6" t="n">
        <f aca="false">IF(F499="","",1+COUNTIFS($J:$J,J499,$K:$K,K499,$F:$F,"&gt;"&amp;F499)+COUNTIFS($J:$J,J499,$K:$K,K499,$F:$F,F499,$G:$G,"&gt;"&amp;G499))</f>
        <v>7</v>
      </c>
      <c r="O499" s="6" t="n">
        <f aca="false">IF(L499="","",SUMIFS(Votes!$E:$E,Votes!$A:$A,J499,Votes!$B:$B,K499,Votes!$D:$D,L499))</f>
        <v>11</v>
      </c>
      <c r="P499" s="6" t="n">
        <f aca="false">IF(L499="","",COUNTIFS(Votes!$A:$A,J499,Votes!$B:$B,K499,Votes!$D:$D,L499))</f>
        <v>5</v>
      </c>
      <c r="Q499" s="7" t="str">
        <f aca="false">IF(F499="","Unscored",IF(O499="","No URI",IF(AND(F499=0,O499=0),"Zero-vote",IF(AND(F499=O499,G499=P499),"OK",IF(AND(F499=0,O499&gt;0,COUNTIFS(Votes!$A:$A,J499,Votes!$B:$B,K499,Votes!$C:$C,D499)=0),"Forfeited","Mismatch")))))</f>
        <v>OK</v>
      </c>
      <c r="R499" s="6" t="n">
        <f aca="false">MAX(IF(L499&lt;&gt;"",COUNTIF($L:$L,L499),0),COUNTIFS($A:$A,A499,$B:$B,B499))</f>
        <v>1</v>
      </c>
      <c r="S499" s="6" t="str">
        <f aca="false">IF(R499&gt;1,COUNTIF($R$2:R499,"&gt;1"),"")</f>
        <v/>
      </c>
      <c r="T499" s="6" t="str">
        <f aca="false">IF(L499="","",J499&amp;"|"&amp;K499&amp;"|"&amp;L499)</f>
        <v>5|6|spotify:track:5aVBxVa0kz9uzv0F4gwdEn</v>
      </c>
      <c r="U499" s="6" t="str">
        <f aca="false">IF(C499="","",IFERROR(INDEX(Lists!$F:$F,MATCH(C499,Lists!$E:$E,0)),"Unmapped"))</f>
        <v>Country</v>
      </c>
    </row>
    <row r="500" customFormat="false" ht="15" hidden="false" customHeight="false" outlineLevel="0" collapsed="false">
      <c r="A500" s="5" t="s">
        <v>1553</v>
      </c>
      <c r="B500" s="5" t="s">
        <v>223</v>
      </c>
      <c r="C500" s="5" t="s">
        <v>91</v>
      </c>
      <c r="D500" s="5" t="s">
        <v>85</v>
      </c>
      <c r="E500" s="5" t="s">
        <v>1536</v>
      </c>
      <c r="F500" s="5" t="n">
        <v>9</v>
      </c>
      <c r="G500" s="5" t="n">
        <v>7</v>
      </c>
      <c r="H500" s="6" t="str">
        <f aca="false">IF(N500="","",N500&amp;IF(AND(MOD(N500,100)&gt;=11,MOD(N500,100)&lt;=13),"th",CHOOSE(MIN(5,MOD(N500,10)+1),"th","st","nd","rd","th")))</f>
        <v>8th</v>
      </c>
      <c r="I500" s="5" t="s">
        <v>1335</v>
      </c>
      <c r="J500" s="6" t="n">
        <f aca="false">IFERROR(INDEX(Rounds!$A:$A,MATCH(I500,Rounds!$B:$B,0)),"ADD LEAGUE TO ROUNDS")</f>
        <v>5</v>
      </c>
      <c r="K500" s="6" t="n">
        <f aca="false">IFERROR(VALUE(LEFT(E500,FIND(" - ",E500)-1)),"")</f>
        <v>6</v>
      </c>
      <c r="L500" s="5" t="s">
        <v>1554</v>
      </c>
      <c r="N500" s="6" t="n">
        <f aca="false">IF(F500="","",1+COUNTIFS($J:$J,J500,$K:$K,K500,$F:$F,"&gt;"&amp;F500)+COUNTIFS($J:$J,J500,$K:$K,K500,$F:$F,F500,$G:$G,"&gt;"&amp;G500))</f>
        <v>8</v>
      </c>
      <c r="O500" s="6" t="n">
        <f aca="false">IF(L500="","",SUMIFS(Votes!$E:$E,Votes!$A:$A,J500,Votes!$B:$B,K500,Votes!$D:$D,L500))</f>
        <v>9</v>
      </c>
      <c r="P500" s="6" t="n">
        <f aca="false">IF(L500="","",COUNTIFS(Votes!$A:$A,J500,Votes!$B:$B,K500,Votes!$D:$D,L500))</f>
        <v>7</v>
      </c>
      <c r="Q500" s="7" t="str">
        <f aca="false">IF(F500="","Unscored",IF(O500="","No URI",IF(AND(F500=0,O500=0),"Zero-vote",IF(AND(F500=O500,G500=P500),"OK",IF(AND(F500=0,O500&gt;0,COUNTIFS(Votes!$A:$A,J500,Votes!$B:$B,K500,Votes!$C:$C,D500)=0),"Forfeited","Mismatch")))))</f>
        <v>OK</v>
      </c>
      <c r="R500" s="6" t="n">
        <f aca="false">MAX(IF(L500&lt;&gt;"",COUNTIF($L:$L,L500),0),COUNTIFS($A:$A,A500,$B:$B,B500))</f>
        <v>1</v>
      </c>
      <c r="S500" s="6" t="str">
        <f aca="false">IF(R500&gt;1,COUNTIF($R$2:R500,"&gt;1"),"")</f>
        <v/>
      </c>
      <c r="T500" s="6" t="str">
        <f aca="false">IF(L500="","",J500&amp;"|"&amp;K500&amp;"|"&amp;L500)</f>
        <v>5|6|spotify:track:1mea3bSkSGXuIRvnydlB5b</v>
      </c>
      <c r="U500" s="6" t="str">
        <f aca="false">IF(C500="","",IFERROR(INDEX(Lists!$F:$F,MATCH(C500,Lists!$E:$E,0)),"Unmapped"))</f>
        <v>Rock</v>
      </c>
    </row>
    <row r="501" customFormat="false" ht="15" hidden="false" customHeight="false" outlineLevel="0" collapsed="false">
      <c r="A501" s="5" t="s">
        <v>699</v>
      </c>
      <c r="B501" s="5" t="s">
        <v>104</v>
      </c>
      <c r="C501" s="5" t="s">
        <v>105</v>
      </c>
      <c r="D501" s="5" t="s">
        <v>92</v>
      </c>
      <c r="E501" s="5" t="s">
        <v>1536</v>
      </c>
      <c r="F501" s="5" t="n">
        <v>8</v>
      </c>
      <c r="G501" s="5" t="n">
        <v>3</v>
      </c>
      <c r="H501" s="6" t="str">
        <f aca="false">IF(N501="","",N501&amp;IF(AND(MOD(N501,100)&gt;=11,MOD(N501,100)&lt;=13),"th",CHOOSE(MIN(5,MOD(N501,10)+1),"th","st","nd","rd","th")))</f>
        <v>9th</v>
      </c>
      <c r="I501" s="5" t="s">
        <v>1335</v>
      </c>
      <c r="J501" s="6" t="n">
        <f aca="false">IFERROR(INDEX(Rounds!$A:$A,MATCH(I501,Rounds!$B:$B,0)),"ADD LEAGUE TO ROUNDS")</f>
        <v>5</v>
      </c>
      <c r="K501" s="6" t="n">
        <f aca="false">IFERROR(VALUE(LEFT(E501,FIND(" - ",E501)-1)),"")</f>
        <v>6</v>
      </c>
      <c r="L501" s="5" t="s">
        <v>700</v>
      </c>
      <c r="N501" s="6" t="n">
        <f aca="false">IF(F501="","",1+COUNTIFS($J:$J,J501,$K:$K,K501,$F:$F,"&gt;"&amp;F501)+COUNTIFS($J:$J,J501,$K:$K,K501,$F:$F,F501,$G:$G,"&gt;"&amp;G501))</f>
        <v>9</v>
      </c>
      <c r="O501" s="6" t="n">
        <f aca="false">IF(L501="","",SUMIFS(Votes!$E:$E,Votes!$A:$A,J501,Votes!$B:$B,K501,Votes!$D:$D,L501))</f>
        <v>8</v>
      </c>
      <c r="P501" s="6" t="n">
        <f aca="false">IF(L501="","",COUNTIFS(Votes!$A:$A,J501,Votes!$B:$B,K501,Votes!$D:$D,L501))</f>
        <v>3</v>
      </c>
      <c r="Q501" s="7" t="str">
        <f aca="false">IF(F501="","Unscored",IF(O501="","No URI",IF(AND(F501=0,O501=0),"Zero-vote",IF(AND(F501=O501,G501=P501),"OK",IF(AND(F501=0,O501&gt;0,COUNTIFS(Votes!$A:$A,J501,Votes!$B:$B,K501,Votes!$C:$C,D501)=0),"Forfeited","Mismatch")))))</f>
        <v>OK</v>
      </c>
      <c r="R501" s="6" t="n">
        <f aca="false">MAX(IF(L501&lt;&gt;"",COUNTIF($L:$L,L501),0),COUNTIFS($A:$A,A501,$B:$B,B501))</f>
        <v>2</v>
      </c>
      <c r="S501" s="6" t="n">
        <f aca="false">IF(R501&gt;1,COUNTIF($R$2:R501,"&gt;1"),"")</f>
        <v>34</v>
      </c>
      <c r="T501" s="6" t="str">
        <f aca="false">IF(L501="","",J501&amp;"|"&amp;K501&amp;"|"&amp;L501)</f>
        <v>5|6|spotify:track:1QrbZhFYlViXd60g130vw1</v>
      </c>
      <c r="U501" s="6" t="str">
        <f aca="false">IF(C501="","",IFERROR(INDEX(Lists!$F:$F,MATCH(C501,Lists!$E:$E,0)),"Unmapped"))</f>
        <v>Metal</v>
      </c>
    </row>
    <row r="502" customFormat="false" ht="15" hidden="false" customHeight="false" outlineLevel="0" collapsed="false">
      <c r="A502" s="5" t="s">
        <v>1555</v>
      </c>
      <c r="B502" s="5" t="s">
        <v>1556</v>
      </c>
      <c r="C502" s="5" t="s">
        <v>91</v>
      </c>
      <c r="D502" s="5" t="s">
        <v>116</v>
      </c>
      <c r="E502" s="5" t="s">
        <v>1536</v>
      </c>
      <c r="F502" s="5" t="n">
        <v>5</v>
      </c>
      <c r="G502" s="5" t="n">
        <v>4</v>
      </c>
      <c r="H502" s="6" t="str">
        <f aca="false">IF(N502="","",N502&amp;IF(AND(MOD(N502,100)&gt;=11,MOD(N502,100)&lt;=13),"th",CHOOSE(MIN(5,MOD(N502,10)+1),"th","st","nd","rd","th")))</f>
        <v>10th</v>
      </c>
      <c r="I502" s="5" t="s">
        <v>1335</v>
      </c>
      <c r="J502" s="6" t="n">
        <f aca="false">IFERROR(INDEX(Rounds!$A:$A,MATCH(I502,Rounds!$B:$B,0)),"ADD LEAGUE TO ROUNDS")</f>
        <v>5</v>
      </c>
      <c r="K502" s="6" t="n">
        <f aca="false">IFERROR(VALUE(LEFT(E502,FIND(" - ",E502)-1)),"")</f>
        <v>6</v>
      </c>
      <c r="L502" s="5" t="s">
        <v>1557</v>
      </c>
      <c r="N502" s="6" t="n">
        <f aca="false">IF(F502="","",1+COUNTIFS($J:$J,J502,$K:$K,K502,$F:$F,"&gt;"&amp;F502)+COUNTIFS($J:$J,J502,$K:$K,K502,$F:$F,F502,$G:$G,"&gt;"&amp;G502))</f>
        <v>10</v>
      </c>
      <c r="O502" s="6" t="n">
        <f aca="false">IF(L502="","",SUMIFS(Votes!$E:$E,Votes!$A:$A,J502,Votes!$B:$B,K502,Votes!$D:$D,L502))</f>
        <v>5</v>
      </c>
      <c r="P502" s="6" t="n">
        <f aca="false">IF(L502="","",COUNTIFS(Votes!$A:$A,J502,Votes!$B:$B,K502,Votes!$D:$D,L502))</f>
        <v>4</v>
      </c>
      <c r="Q502" s="7" t="str">
        <f aca="false">IF(F502="","Unscored",IF(O502="","No URI",IF(AND(F502=0,O502=0),"Zero-vote",IF(AND(F502=O502,G502=P502),"OK",IF(AND(F502=0,O502&gt;0,COUNTIFS(Votes!$A:$A,J502,Votes!$B:$B,K502,Votes!$C:$C,D502)=0),"Forfeited","Mismatch")))))</f>
        <v>OK</v>
      </c>
      <c r="R502" s="6" t="n">
        <f aca="false">MAX(IF(L502&lt;&gt;"",COUNTIF($L:$L,L502),0),COUNTIFS($A:$A,A502,$B:$B,B502))</f>
        <v>1</v>
      </c>
      <c r="S502" s="6" t="str">
        <f aca="false">IF(R502&gt;1,COUNTIF($R$2:R502,"&gt;1"),"")</f>
        <v/>
      </c>
      <c r="T502" s="6" t="str">
        <f aca="false">IF(L502="","",J502&amp;"|"&amp;K502&amp;"|"&amp;L502)</f>
        <v>5|6|spotify:track:76nvqWPFucUra1xCkN1tnD</v>
      </c>
      <c r="U502" s="6" t="str">
        <f aca="false">IF(C502="","",IFERROR(INDEX(Lists!$F:$F,MATCH(C502,Lists!$E:$E,0)),"Unmapped"))</f>
        <v>Rock</v>
      </c>
    </row>
    <row r="503" customFormat="false" ht="15" hidden="false" customHeight="false" outlineLevel="0" collapsed="false">
      <c r="A503" s="5" t="s">
        <v>1558</v>
      </c>
      <c r="B503" s="5" t="s">
        <v>1559</v>
      </c>
      <c r="C503" s="5" t="s">
        <v>110</v>
      </c>
      <c r="D503" s="5" t="s">
        <v>705</v>
      </c>
      <c r="E503" s="5" t="s">
        <v>1536</v>
      </c>
      <c r="F503" s="5" t="n">
        <v>5</v>
      </c>
      <c r="G503" s="5" t="n">
        <v>4</v>
      </c>
      <c r="H503" s="6" t="str">
        <f aca="false">IF(N503="","",N503&amp;IF(AND(MOD(N503,100)&gt;=11,MOD(N503,100)&lt;=13),"th",CHOOSE(MIN(5,MOD(N503,10)+1),"th","st","nd","rd","th")))</f>
        <v>10th</v>
      </c>
      <c r="I503" s="5" t="s">
        <v>1335</v>
      </c>
      <c r="J503" s="6" t="n">
        <f aca="false">IFERROR(INDEX(Rounds!$A:$A,MATCH(I503,Rounds!$B:$B,0)),"ADD LEAGUE TO ROUNDS")</f>
        <v>5</v>
      </c>
      <c r="K503" s="6" t="n">
        <f aca="false">IFERROR(VALUE(LEFT(E503,FIND(" - ",E503)-1)),"")</f>
        <v>6</v>
      </c>
      <c r="L503" s="5" t="s">
        <v>1560</v>
      </c>
      <c r="N503" s="6" t="n">
        <f aca="false">IF(F503="","",1+COUNTIFS($J:$J,J503,$K:$K,K503,$F:$F,"&gt;"&amp;F503)+COUNTIFS($J:$J,J503,$K:$K,K503,$F:$F,F503,$G:$G,"&gt;"&amp;G503))</f>
        <v>10</v>
      </c>
      <c r="O503" s="6" t="n">
        <f aca="false">IF(L503="","",SUMIFS(Votes!$E:$E,Votes!$A:$A,J503,Votes!$B:$B,K503,Votes!$D:$D,L503))</f>
        <v>5</v>
      </c>
      <c r="P503" s="6" t="n">
        <f aca="false">IF(L503="","",COUNTIFS(Votes!$A:$A,J503,Votes!$B:$B,K503,Votes!$D:$D,L503))</f>
        <v>4</v>
      </c>
      <c r="Q503" s="7" t="str">
        <f aca="false">IF(F503="","Unscored",IF(O503="","No URI",IF(AND(F503=0,O503=0),"Zero-vote",IF(AND(F503=O503,G503=P503),"OK",IF(AND(F503=0,O503&gt;0,COUNTIFS(Votes!$A:$A,J503,Votes!$B:$B,K503,Votes!$C:$C,D503)=0),"Forfeited","Mismatch")))))</f>
        <v>OK</v>
      </c>
      <c r="R503" s="6" t="n">
        <f aca="false">MAX(IF(L503&lt;&gt;"",COUNTIF($L:$L,L503),0),COUNTIFS($A:$A,A503,$B:$B,B503))</f>
        <v>1</v>
      </c>
      <c r="S503" s="6" t="str">
        <f aca="false">IF(R503&gt;1,COUNTIF($R$2:R503,"&gt;1"),"")</f>
        <v/>
      </c>
      <c r="T503" s="6" t="str">
        <f aca="false">IF(L503="","",J503&amp;"|"&amp;K503&amp;"|"&amp;L503)</f>
        <v>5|6|spotify:track:3EDclKlSXDJsujVfM8bvL3</v>
      </c>
      <c r="U503" s="6" t="str">
        <f aca="false">IF(C503="","",IFERROR(INDEX(Lists!$F:$F,MATCH(C503,Lists!$E:$E,0)),"Unmapped"))</f>
        <v>Hip-Hop/Rap</v>
      </c>
    </row>
    <row r="504" customFormat="false" ht="15" hidden="false" customHeight="false" outlineLevel="0" collapsed="false">
      <c r="A504" s="5" t="s">
        <v>1561</v>
      </c>
      <c r="B504" s="5" t="s">
        <v>1562</v>
      </c>
      <c r="C504" s="5" t="s">
        <v>96</v>
      </c>
      <c r="D504" s="5" t="s">
        <v>637</v>
      </c>
      <c r="E504" s="5" t="s">
        <v>1536</v>
      </c>
      <c r="F504" s="5" t="n">
        <v>4</v>
      </c>
      <c r="G504" s="5" t="n">
        <v>4</v>
      </c>
      <c r="H504" s="6" t="str">
        <f aca="false">IF(N504="","",N504&amp;IF(AND(MOD(N504,100)&gt;=11,MOD(N504,100)&lt;=13),"th",CHOOSE(MIN(5,MOD(N504,10)+1),"th","st","nd","rd","th")))</f>
        <v>12th</v>
      </c>
      <c r="I504" s="5" t="s">
        <v>1335</v>
      </c>
      <c r="J504" s="6" t="n">
        <f aca="false">IFERROR(INDEX(Rounds!$A:$A,MATCH(I504,Rounds!$B:$B,0)),"ADD LEAGUE TO ROUNDS")</f>
        <v>5</v>
      </c>
      <c r="K504" s="6" t="n">
        <f aca="false">IFERROR(VALUE(LEFT(E504,FIND(" - ",E504)-1)),"")</f>
        <v>6</v>
      </c>
      <c r="L504" s="5" t="s">
        <v>1563</v>
      </c>
      <c r="N504" s="6" t="n">
        <f aca="false">IF(F504="","",1+COUNTIFS($J:$J,J504,$K:$K,K504,$F:$F,"&gt;"&amp;F504)+COUNTIFS($J:$J,J504,$K:$K,K504,$F:$F,F504,$G:$G,"&gt;"&amp;G504))</f>
        <v>12</v>
      </c>
      <c r="O504" s="6" t="n">
        <f aca="false">IF(L504="","",SUMIFS(Votes!$E:$E,Votes!$A:$A,J504,Votes!$B:$B,K504,Votes!$D:$D,L504))</f>
        <v>4</v>
      </c>
      <c r="P504" s="6" t="n">
        <f aca="false">IF(L504="","",COUNTIFS(Votes!$A:$A,J504,Votes!$B:$B,K504,Votes!$D:$D,L504))</f>
        <v>4</v>
      </c>
      <c r="Q504" s="7" t="str">
        <f aca="false">IF(F504="","Unscored",IF(O504="","No URI",IF(AND(F504=0,O504=0),"Zero-vote",IF(AND(F504=O504,G504=P504),"OK",IF(AND(F504=0,O504&gt;0,COUNTIFS(Votes!$A:$A,J504,Votes!$B:$B,K504,Votes!$C:$C,D504)=0),"Forfeited","Mismatch")))))</f>
        <v>OK</v>
      </c>
      <c r="R504" s="6" t="n">
        <f aca="false">MAX(IF(L504&lt;&gt;"",COUNTIF($L:$L,L504),0),COUNTIFS($A:$A,A504,$B:$B,B504))</f>
        <v>1</v>
      </c>
      <c r="S504" s="6" t="str">
        <f aca="false">IF(R504&gt;1,COUNTIF($R$2:R504,"&gt;1"),"")</f>
        <v/>
      </c>
      <c r="T504" s="6" t="str">
        <f aca="false">IF(L504="","",J504&amp;"|"&amp;K504&amp;"|"&amp;L504)</f>
        <v>5|6|spotify:track:60nZcImufyMA1MKQY3dcCH</v>
      </c>
      <c r="U504" s="6" t="str">
        <f aca="false">IF(C504="","",IFERROR(INDEX(Lists!$F:$F,MATCH(C504,Lists!$E:$E,0)),"Unmapped"))</f>
        <v>R&amp;B/Soul</v>
      </c>
    </row>
    <row r="505" customFormat="false" ht="15" hidden="false" customHeight="false" outlineLevel="0" collapsed="false">
      <c r="A505" s="5" t="s">
        <v>1564</v>
      </c>
      <c r="B505" s="5" t="s">
        <v>1565</v>
      </c>
      <c r="C505" s="5" t="s">
        <v>91</v>
      </c>
      <c r="D505" s="5" t="s">
        <v>97</v>
      </c>
      <c r="E505" s="5" t="s">
        <v>1536</v>
      </c>
      <c r="F505" s="5" t="n">
        <v>3</v>
      </c>
      <c r="G505" s="5" t="n">
        <v>3</v>
      </c>
      <c r="H505" s="6" t="str">
        <f aca="false">IF(N505="","",N505&amp;IF(AND(MOD(N505,100)&gt;=11,MOD(N505,100)&lt;=13),"th",CHOOSE(MIN(5,MOD(N505,10)+1),"th","st","nd","rd","th")))</f>
        <v>13th</v>
      </c>
      <c r="I505" s="5" t="s">
        <v>1335</v>
      </c>
      <c r="J505" s="6" t="n">
        <f aca="false">IFERROR(INDEX(Rounds!$A:$A,MATCH(I505,Rounds!$B:$B,0)),"ADD LEAGUE TO ROUNDS")</f>
        <v>5</v>
      </c>
      <c r="K505" s="6" t="n">
        <f aca="false">IFERROR(VALUE(LEFT(E505,FIND(" - ",E505)-1)),"")</f>
        <v>6</v>
      </c>
      <c r="L505" s="5" t="s">
        <v>1566</v>
      </c>
      <c r="N505" s="6" t="n">
        <f aca="false">IF(F505="","",1+COUNTIFS($J:$J,J505,$K:$K,K505,$F:$F,"&gt;"&amp;F505)+COUNTIFS($J:$J,J505,$K:$K,K505,$F:$F,F505,$G:$G,"&gt;"&amp;G505))</f>
        <v>13</v>
      </c>
      <c r="O505" s="6" t="n">
        <f aca="false">IF(L505="","",SUMIFS(Votes!$E:$E,Votes!$A:$A,J505,Votes!$B:$B,K505,Votes!$D:$D,L505))</f>
        <v>3</v>
      </c>
      <c r="P505" s="6" t="n">
        <f aca="false">IF(L505="","",COUNTIFS(Votes!$A:$A,J505,Votes!$B:$B,K505,Votes!$D:$D,L505))</f>
        <v>3</v>
      </c>
      <c r="Q505" s="7" t="str">
        <f aca="false">IF(F505="","Unscored",IF(O505="","No URI",IF(AND(F505=0,O505=0),"Zero-vote",IF(AND(F505=O505,G505=P505),"OK",IF(AND(F505=0,O505&gt;0,COUNTIFS(Votes!$A:$A,J505,Votes!$B:$B,K505,Votes!$C:$C,D505)=0),"Forfeited","Mismatch")))))</f>
        <v>OK</v>
      </c>
      <c r="R505" s="6" t="n">
        <f aca="false">MAX(IF(L505&lt;&gt;"",COUNTIF($L:$L,L505),0),COUNTIFS($A:$A,A505,$B:$B,B505))</f>
        <v>1</v>
      </c>
      <c r="S505" s="6" t="str">
        <f aca="false">IF(R505&gt;1,COUNTIF($R$2:R505,"&gt;1"),"")</f>
        <v/>
      </c>
      <c r="T505" s="6" t="str">
        <f aca="false">IF(L505="","",J505&amp;"|"&amp;K505&amp;"|"&amp;L505)</f>
        <v>5|6|spotify:track:2FfZg072w8RoxlMOR7M4CT</v>
      </c>
      <c r="U505" s="6" t="str">
        <f aca="false">IF(C505="","",IFERROR(INDEX(Lists!$F:$F,MATCH(C505,Lists!$E:$E,0)),"Unmapped"))</f>
        <v>Rock</v>
      </c>
    </row>
    <row r="506" customFormat="false" ht="15" hidden="false" customHeight="false" outlineLevel="0" collapsed="false">
      <c r="A506" s="5" t="s">
        <v>1567</v>
      </c>
      <c r="B506" s="5" t="s">
        <v>1568</v>
      </c>
      <c r="C506" s="5" t="s">
        <v>84</v>
      </c>
      <c r="D506" s="5" t="s">
        <v>101</v>
      </c>
      <c r="E506" s="5" t="s">
        <v>1536</v>
      </c>
      <c r="F506" s="5" t="n">
        <v>2</v>
      </c>
      <c r="G506" s="5" t="n">
        <v>2</v>
      </c>
      <c r="H506" s="6" t="str">
        <f aca="false">IF(N506="","",N506&amp;IF(AND(MOD(N506,100)&gt;=11,MOD(N506,100)&lt;=13),"th",CHOOSE(MIN(5,MOD(N506,10)+1),"th","st","nd","rd","th")))</f>
        <v>14th</v>
      </c>
      <c r="I506" s="5" t="s">
        <v>1335</v>
      </c>
      <c r="J506" s="6" t="n">
        <f aca="false">IFERROR(INDEX(Rounds!$A:$A,MATCH(I506,Rounds!$B:$B,0)),"ADD LEAGUE TO ROUNDS")</f>
        <v>5</v>
      </c>
      <c r="K506" s="6" t="n">
        <f aca="false">IFERROR(VALUE(LEFT(E506,FIND(" - ",E506)-1)),"")</f>
        <v>6</v>
      </c>
      <c r="L506" s="5" t="s">
        <v>1569</v>
      </c>
      <c r="N506" s="6" t="n">
        <f aca="false">IF(F506="","",1+COUNTIFS($J:$J,J506,$K:$K,K506,$F:$F,"&gt;"&amp;F506)+COUNTIFS($J:$J,J506,$K:$K,K506,$F:$F,F506,$G:$G,"&gt;"&amp;G506))</f>
        <v>14</v>
      </c>
      <c r="O506" s="6" t="n">
        <f aca="false">IF(L506="","",SUMIFS(Votes!$E:$E,Votes!$A:$A,J506,Votes!$B:$B,K506,Votes!$D:$D,L506))</f>
        <v>2</v>
      </c>
      <c r="P506" s="6" t="n">
        <f aca="false">IF(L506="","",COUNTIFS(Votes!$A:$A,J506,Votes!$B:$B,K506,Votes!$D:$D,L506))</f>
        <v>2</v>
      </c>
      <c r="Q506" s="7" t="str">
        <f aca="false">IF(F506="","Unscored",IF(O506="","No URI",IF(AND(F506=0,O506=0),"Zero-vote",IF(AND(F506=O506,G506=P506),"OK",IF(AND(F506=0,O506&gt;0,COUNTIFS(Votes!$A:$A,J506,Votes!$B:$B,K506,Votes!$C:$C,D506)=0),"Forfeited","Mismatch")))))</f>
        <v>OK</v>
      </c>
      <c r="R506" s="6" t="n">
        <f aca="false">MAX(IF(L506&lt;&gt;"",COUNTIF($L:$L,L506),0),COUNTIFS($A:$A,A506,$B:$B,B506))</f>
        <v>2</v>
      </c>
      <c r="S506" s="6" t="n">
        <f aca="false">IF(R506&gt;1,COUNTIF($R$2:R506,"&gt;1"),"")</f>
        <v>35</v>
      </c>
      <c r="T506" s="6" t="str">
        <f aca="false">IF(L506="","",J506&amp;"|"&amp;K506&amp;"|"&amp;L506)</f>
        <v>5|6|spotify:track:2XU0oxnq2qxCpomAAuJY8K</v>
      </c>
      <c r="U506" s="6" t="str">
        <f aca="false">IF(C506="","",IFERROR(INDEX(Lists!$F:$F,MATCH(C506,Lists!$E:$E,0)),"Unmapped"))</f>
        <v>Pop</v>
      </c>
    </row>
    <row r="507" customFormat="false" ht="15" hidden="false" customHeight="false" outlineLevel="0" collapsed="false">
      <c r="A507" s="5" t="s">
        <v>1570</v>
      </c>
      <c r="B507" s="5" t="s">
        <v>1571</v>
      </c>
      <c r="C507" s="5" t="s">
        <v>84</v>
      </c>
      <c r="D507" s="5" t="s">
        <v>484</v>
      </c>
      <c r="E507" s="5" t="s">
        <v>1536</v>
      </c>
      <c r="F507" s="5" t="n">
        <v>0</v>
      </c>
      <c r="G507" s="5" t="n">
        <v>8</v>
      </c>
      <c r="H507" s="6" t="str">
        <f aca="false">IF(N507="","",N507&amp;IF(AND(MOD(N507,100)&gt;=11,MOD(N507,100)&lt;=13),"th",CHOOSE(MIN(5,MOD(N507,10)+1),"th","st","nd","rd","th")))</f>
        <v>15th</v>
      </c>
      <c r="I507" s="5" t="s">
        <v>1335</v>
      </c>
      <c r="J507" s="6" t="n">
        <f aca="false">IFERROR(INDEX(Rounds!$A:$A,MATCH(I507,Rounds!$B:$B,0)),"ADD LEAGUE TO ROUNDS")</f>
        <v>5</v>
      </c>
      <c r="K507" s="6" t="n">
        <f aca="false">IFERROR(VALUE(LEFT(E507,FIND(" - ",E507)-1)),"")</f>
        <v>6</v>
      </c>
      <c r="L507" s="5" t="s">
        <v>1572</v>
      </c>
      <c r="N507" s="6" t="n">
        <f aca="false">IF(F507="","",1+COUNTIFS($J:$J,J507,$K:$K,K507,$F:$F,"&gt;"&amp;F507)+COUNTIFS($J:$J,J507,$K:$K,K507,$F:$F,F507,$G:$G,"&gt;"&amp;G507))</f>
        <v>15</v>
      </c>
      <c r="O507" s="6" t="n">
        <f aca="false">IF(L507="","",SUMIFS(Votes!$E:$E,Votes!$A:$A,J507,Votes!$B:$B,K507,Votes!$D:$D,L507))</f>
        <v>12</v>
      </c>
      <c r="P507" s="6" t="n">
        <f aca="false">IF(L507="","",COUNTIFS(Votes!$A:$A,J507,Votes!$B:$B,K507,Votes!$D:$D,L507))</f>
        <v>8</v>
      </c>
      <c r="Q507" s="7" t="str">
        <f aca="false">IF(F507="","Unscored",IF(O507="","No URI",IF(AND(F507=0,O507=0),"Zero-vote",IF(AND(F507=O507,G507=P507),"OK",IF(AND(F507=0,O507&gt;0,COUNTIFS(Votes!$A:$A,J507,Votes!$B:$B,K507,Votes!$C:$C,D507)=0),"Forfeited","Mismatch")))))</f>
        <v>Forfeited</v>
      </c>
      <c r="R507" s="6" t="n">
        <f aca="false">MAX(IF(L507&lt;&gt;"",COUNTIF($L:$L,L507),0),COUNTIFS($A:$A,A507,$B:$B,B507))</f>
        <v>1</v>
      </c>
      <c r="S507" s="6" t="str">
        <f aca="false">IF(R507&gt;1,COUNTIF($R$2:R507,"&gt;1"),"")</f>
        <v/>
      </c>
      <c r="T507" s="6" t="str">
        <f aca="false">IF(L507="","",J507&amp;"|"&amp;K507&amp;"|"&amp;L507)</f>
        <v>5|6|spotify:track:62AuGbAkt8Ox2IrFFb8GKV</v>
      </c>
      <c r="U507" s="6" t="str">
        <f aca="false">IF(C507="","",IFERROR(INDEX(Lists!$F:$F,MATCH(C507,Lists!$E:$E,0)),"Unmapped"))</f>
        <v>Pop</v>
      </c>
    </row>
    <row r="508" customFormat="false" ht="15" hidden="false" customHeight="false" outlineLevel="0" collapsed="false">
      <c r="A508" s="5" t="s">
        <v>1573</v>
      </c>
      <c r="B508" s="5" t="s">
        <v>1574</v>
      </c>
      <c r="C508" s="5" t="s">
        <v>84</v>
      </c>
      <c r="D508" s="5" t="s">
        <v>85</v>
      </c>
      <c r="E508" s="5" t="s">
        <v>1575</v>
      </c>
      <c r="F508" s="5" t="n">
        <v>18</v>
      </c>
      <c r="G508" s="5" t="n">
        <v>11</v>
      </c>
      <c r="H508" s="6" t="str">
        <f aca="false">IF(N508="","",N508&amp;IF(AND(MOD(N508,100)&gt;=11,MOD(N508,100)&lt;=13),"th",CHOOSE(MIN(5,MOD(N508,10)+1),"th","st","nd","rd","th")))</f>
        <v>1st</v>
      </c>
      <c r="I508" s="5" t="s">
        <v>1335</v>
      </c>
      <c r="J508" s="6" t="n">
        <f aca="false">IFERROR(INDEX(Rounds!$A:$A,MATCH(I508,Rounds!$B:$B,0)),"ADD LEAGUE TO ROUNDS")</f>
        <v>5</v>
      </c>
      <c r="K508" s="6" t="n">
        <f aca="false">IFERROR(VALUE(LEFT(E508,FIND(" - ",E508)-1)),"")</f>
        <v>7</v>
      </c>
      <c r="L508" s="5" t="s">
        <v>1576</v>
      </c>
      <c r="N508" s="6" t="n">
        <f aca="false">IF(F508="","",1+COUNTIFS($J:$J,J508,$K:$K,K508,$F:$F,"&gt;"&amp;F508)+COUNTIFS($J:$J,J508,$K:$K,K508,$F:$F,F508,$G:$G,"&gt;"&amp;G508))</f>
        <v>1</v>
      </c>
      <c r="O508" s="6" t="n">
        <f aca="false">IF(L508="","",SUMIFS(Votes!$E:$E,Votes!$A:$A,J508,Votes!$B:$B,K508,Votes!$D:$D,L508))</f>
        <v>18</v>
      </c>
      <c r="P508" s="6" t="n">
        <f aca="false">IF(L508="","",COUNTIFS(Votes!$A:$A,J508,Votes!$B:$B,K508,Votes!$D:$D,L508))</f>
        <v>11</v>
      </c>
      <c r="Q508" s="7" t="str">
        <f aca="false">IF(F508="","Unscored",IF(O508="","No URI",IF(AND(F508=0,O508=0),"Zero-vote",IF(AND(F508=O508,G508=P508),"OK",IF(AND(F508=0,O508&gt;0,COUNTIFS(Votes!$A:$A,J508,Votes!$B:$B,K508,Votes!$C:$C,D508)=0),"Forfeited","Mismatch")))))</f>
        <v>OK</v>
      </c>
      <c r="R508" s="6" t="n">
        <f aca="false">MAX(IF(L508&lt;&gt;"",COUNTIF($L:$L,L508),0),COUNTIFS($A:$A,A508,$B:$B,B508))</f>
        <v>1</v>
      </c>
      <c r="S508" s="6" t="str">
        <f aca="false">IF(R508&gt;1,COUNTIF($R$2:R508,"&gt;1"),"")</f>
        <v/>
      </c>
      <c r="T508" s="6" t="str">
        <f aca="false">IF(L508="","",J508&amp;"|"&amp;K508&amp;"|"&amp;L508)</f>
        <v>5|7|spotify:track:6KGHsN5QI0qunsADx3e51i</v>
      </c>
      <c r="U508" s="6" t="str">
        <f aca="false">IF(C508="","",IFERROR(INDEX(Lists!$F:$F,MATCH(C508,Lists!$E:$E,0)),"Unmapped"))</f>
        <v>Pop</v>
      </c>
    </row>
    <row r="509" customFormat="false" ht="15" hidden="false" customHeight="false" outlineLevel="0" collapsed="false">
      <c r="A509" s="5" t="s">
        <v>1577</v>
      </c>
      <c r="B509" s="5" t="s">
        <v>1578</v>
      </c>
      <c r="C509" s="5" t="s">
        <v>363</v>
      </c>
      <c r="D509" s="5" t="s">
        <v>119</v>
      </c>
      <c r="E509" s="5" t="s">
        <v>1575</v>
      </c>
      <c r="F509" s="5" t="n">
        <v>18</v>
      </c>
      <c r="G509" s="5" t="n">
        <v>11</v>
      </c>
      <c r="H509" s="6" t="str">
        <f aca="false">IF(N509="","",N509&amp;IF(AND(MOD(N509,100)&gt;=11,MOD(N509,100)&lt;=13),"th",CHOOSE(MIN(5,MOD(N509,10)+1),"th","st","nd","rd","th")))</f>
        <v>1st</v>
      </c>
      <c r="I509" s="5" t="s">
        <v>1335</v>
      </c>
      <c r="J509" s="6" t="n">
        <f aca="false">IFERROR(INDEX(Rounds!$A:$A,MATCH(I509,Rounds!$B:$B,0)),"ADD LEAGUE TO ROUNDS")</f>
        <v>5</v>
      </c>
      <c r="K509" s="6" t="n">
        <f aca="false">IFERROR(VALUE(LEFT(E509,FIND(" - ",E509)-1)),"")</f>
        <v>7</v>
      </c>
      <c r="L509" s="5" t="s">
        <v>1579</v>
      </c>
      <c r="N509" s="6" t="n">
        <f aca="false">IF(F509="","",1+COUNTIFS($J:$J,J509,$K:$K,K509,$F:$F,"&gt;"&amp;F509)+COUNTIFS($J:$J,J509,$K:$K,K509,$F:$F,F509,$G:$G,"&gt;"&amp;G509))</f>
        <v>1</v>
      </c>
      <c r="O509" s="6" t="n">
        <f aca="false">IF(L509="","",SUMIFS(Votes!$E:$E,Votes!$A:$A,J509,Votes!$B:$B,K509,Votes!$D:$D,L509))</f>
        <v>18</v>
      </c>
      <c r="P509" s="6" t="n">
        <f aca="false">IF(L509="","",COUNTIFS(Votes!$A:$A,J509,Votes!$B:$B,K509,Votes!$D:$D,L509))</f>
        <v>11</v>
      </c>
      <c r="Q509" s="7" t="str">
        <f aca="false">IF(F509="","Unscored",IF(O509="","No URI",IF(AND(F509=0,O509=0),"Zero-vote",IF(AND(F509=O509,G509=P509),"OK",IF(AND(F509=0,O509&gt;0,COUNTIFS(Votes!$A:$A,J509,Votes!$B:$B,K509,Votes!$C:$C,D509)=0),"Forfeited","Mismatch")))))</f>
        <v>OK</v>
      </c>
      <c r="R509" s="6" t="n">
        <f aca="false">MAX(IF(L509&lt;&gt;"",COUNTIF($L:$L,L509),0),COUNTIFS($A:$A,A509,$B:$B,B509))</f>
        <v>1</v>
      </c>
      <c r="S509" s="6" t="str">
        <f aca="false">IF(R509&gt;1,COUNTIF($R$2:R509,"&gt;1"),"")</f>
        <v/>
      </c>
      <c r="T509" s="6" t="str">
        <f aca="false">IF(L509="","",J509&amp;"|"&amp;K509&amp;"|"&amp;L509)</f>
        <v>5|7|spotify:track:5fwSHlTEWpluwOM0Sxnh5k</v>
      </c>
      <c r="U509" s="6" t="str">
        <f aca="false">IF(C509="","",IFERROR(INDEX(Lists!$F:$F,MATCH(C509,Lists!$E:$E,0)),"Unmapped"))</f>
        <v>Latin</v>
      </c>
    </row>
    <row r="510" customFormat="false" ht="15" hidden="false" customHeight="false" outlineLevel="0" collapsed="false">
      <c r="A510" s="5" t="s">
        <v>1580</v>
      </c>
      <c r="B510" s="5" t="s">
        <v>1581</v>
      </c>
      <c r="C510" s="5" t="s">
        <v>84</v>
      </c>
      <c r="D510" s="5" t="s">
        <v>92</v>
      </c>
      <c r="E510" s="5" t="s">
        <v>1575</v>
      </c>
      <c r="F510" s="5" t="n">
        <v>16</v>
      </c>
      <c r="G510" s="5" t="n">
        <v>10</v>
      </c>
      <c r="H510" s="6" t="str">
        <f aca="false">IF(N510="","",N510&amp;IF(AND(MOD(N510,100)&gt;=11,MOD(N510,100)&lt;=13),"th",CHOOSE(MIN(5,MOD(N510,10)+1),"th","st","nd","rd","th")))</f>
        <v>3rd</v>
      </c>
      <c r="I510" s="5" t="s">
        <v>1335</v>
      </c>
      <c r="J510" s="6" t="n">
        <f aca="false">IFERROR(INDEX(Rounds!$A:$A,MATCH(I510,Rounds!$B:$B,0)),"ADD LEAGUE TO ROUNDS")</f>
        <v>5</v>
      </c>
      <c r="K510" s="6" t="n">
        <f aca="false">IFERROR(VALUE(LEFT(E510,FIND(" - ",E510)-1)),"")</f>
        <v>7</v>
      </c>
      <c r="L510" s="5" t="s">
        <v>1582</v>
      </c>
      <c r="N510" s="6" t="n">
        <f aca="false">IF(F510="","",1+COUNTIFS($J:$J,J510,$K:$K,K510,$F:$F,"&gt;"&amp;F510)+COUNTIFS($J:$J,J510,$K:$K,K510,$F:$F,F510,$G:$G,"&gt;"&amp;G510))</f>
        <v>3</v>
      </c>
      <c r="O510" s="6" t="n">
        <f aca="false">IF(L510="","",SUMIFS(Votes!$E:$E,Votes!$A:$A,J510,Votes!$B:$B,K510,Votes!$D:$D,L510))</f>
        <v>16</v>
      </c>
      <c r="P510" s="6" t="n">
        <f aca="false">IF(L510="","",COUNTIFS(Votes!$A:$A,J510,Votes!$B:$B,K510,Votes!$D:$D,L510))</f>
        <v>10</v>
      </c>
      <c r="Q510" s="7" t="str">
        <f aca="false">IF(F510="","Unscored",IF(O510="","No URI",IF(AND(F510=0,O510=0),"Zero-vote",IF(AND(F510=O510,G510=P510),"OK",IF(AND(F510=0,O510&gt;0,COUNTIFS(Votes!$A:$A,J510,Votes!$B:$B,K510,Votes!$C:$C,D510)=0),"Forfeited","Mismatch")))))</f>
        <v>OK</v>
      </c>
      <c r="R510" s="6" t="n">
        <f aca="false">MAX(IF(L510&lt;&gt;"",COUNTIF($L:$L,L510),0),COUNTIFS($A:$A,A510,$B:$B,B510))</f>
        <v>1</v>
      </c>
      <c r="S510" s="6" t="str">
        <f aca="false">IF(R510&gt;1,COUNTIF($R$2:R510,"&gt;1"),"")</f>
        <v/>
      </c>
      <c r="T510" s="6" t="str">
        <f aca="false">IF(L510="","",J510&amp;"|"&amp;K510&amp;"|"&amp;L510)</f>
        <v>5|7|spotify:track:2IJftBfq7pJ43tfnOR0RB3</v>
      </c>
      <c r="U510" s="6" t="str">
        <f aca="false">IF(C510="","",IFERROR(INDEX(Lists!$F:$F,MATCH(C510,Lists!$E:$E,0)),"Unmapped"))</f>
        <v>Pop</v>
      </c>
    </row>
    <row r="511" customFormat="false" ht="15" hidden="false" customHeight="false" outlineLevel="0" collapsed="false">
      <c r="A511" s="5" t="s">
        <v>1583</v>
      </c>
      <c r="B511" s="5" t="s">
        <v>1584</v>
      </c>
      <c r="C511" s="5" t="s">
        <v>363</v>
      </c>
      <c r="D511" s="5" t="s">
        <v>106</v>
      </c>
      <c r="E511" s="5" t="s">
        <v>1575</v>
      </c>
      <c r="F511" s="5" t="n">
        <v>13</v>
      </c>
      <c r="G511" s="5" t="n">
        <v>8</v>
      </c>
      <c r="H511" s="6" t="str">
        <f aca="false">IF(N511="","",N511&amp;IF(AND(MOD(N511,100)&gt;=11,MOD(N511,100)&lt;=13),"th",CHOOSE(MIN(5,MOD(N511,10)+1),"th","st","nd","rd","th")))</f>
        <v>4th</v>
      </c>
      <c r="I511" s="5" t="s">
        <v>1335</v>
      </c>
      <c r="J511" s="6" t="n">
        <f aca="false">IFERROR(INDEX(Rounds!$A:$A,MATCH(I511,Rounds!$B:$B,0)),"ADD LEAGUE TO ROUNDS")</f>
        <v>5</v>
      </c>
      <c r="K511" s="6" t="n">
        <f aca="false">IFERROR(VALUE(LEFT(E511,FIND(" - ",E511)-1)),"")</f>
        <v>7</v>
      </c>
      <c r="L511" s="5" t="s">
        <v>1585</v>
      </c>
      <c r="N511" s="6" t="n">
        <f aca="false">IF(F511="","",1+COUNTIFS($J:$J,J511,$K:$K,K511,$F:$F,"&gt;"&amp;F511)+COUNTIFS($J:$J,J511,$K:$K,K511,$F:$F,F511,$G:$G,"&gt;"&amp;G511))</f>
        <v>4</v>
      </c>
      <c r="O511" s="6" t="n">
        <f aca="false">IF(L511="","",SUMIFS(Votes!$E:$E,Votes!$A:$A,J511,Votes!$B:$B,K511,Votes!$D:$D,L511))</f>
        <v>13</v>
      </c>
      <c r="P511" s="6" t="n">
        <f aca="false">IF(L511="","",COUNTIFS(Votes!$A:$A,J511,Votes!$B:$B,K511,Votes!$D:$D,L511))</f>
        <v>8</v>
      </c>
      <c r="Q511" s="7" t="str">
        <f aca="false">IF(F511="","Unscored",IF(O511="","No URI",IF(AND(F511=0,O511=0),"Zero-vote",IF(AND(F511=O511,G511=P511),"OK",IF(AND(F511=0,O511&gt;0,COUNTIFS(Votes!$A:$A,J511,Votes!$B:$B,K511,Votes!$C:$C,D511)=0),"Forfeited","Mismatch")))))</f>
        <v>OK</v>
      </c>
      <c r="R511" s="6" t="n">
        <f aca="false">MAX(IF(L511&lt;&gt;"",COUNTIF($L:$L,L511),0),COUNTIFS($A:$A,A511,$B:$B,B511))</f>
        <v>1</v>
      </c>
      <c r="S511" s="6" t="str">
        <f aca="false">IF(R511&gt;1,COUNTIF($R$2:R511,"&gt;1"),"")</f>
        <v/>
      </c>
      <c r="T511" s="6" t="str">
        <f aca="false">IF(L511="","",J511&amp;"|"&amp;K511&amp;"|"&amp;L511)</f>
        <v>5|7|spotify:track:6xAhkN7uE1qdhPa8jZwhTb</v>
      </c>
      <c r="U511" s="6" t="str">
        <f aca="false">IF(C511="","",IFERROR(INDEX(Lists!$F:$F,MATCH(C511,Lists!$E:$E,0)),"Unmapped"))</f>
        <v>Latin</v>
      </c>
    </row>
    <row r="512" customFormat="false" ht="15" hidden="false" customHeight="false" outlineLevel="0" collapsed="false">
      <c r="A512" s="5" t="s">
        <v>1586</v>
      </c>
      <c r="B512" s="5" t="s">
        <v>1587</v>
      </c>
      <c r="C512" s="5" t="s">
        <v>84</v>
      </c>
      <c r="D512" s="5" t="s">
        <v>705</v>
      </c>
      <c r="E512" s="5" t="s">
        <v>1575</v>
      </c>
      <c r="F512" s="5" t="n">
        <v>11</v>
      </c>
      <c r="G512" s="5" t="n">
        <v>7</v>
      </c>
      <c r="H512" s="6" t="str">
        <f aca="false">IF(N512="","",N512&amp;IF(AND(MOD(N512,100)&gt;=11,MOD(N512,100)&lt;=13),"th",CHOOSE(MIN(5,MOD(N512,10)+1),"th","st","nd","rd","th")))</f>
        <v>5th</v>
      </c>
      <c r="I512" s="5" t="s">
        <v>1335</v>
      </c>
      <c r="J512" s="6" t="n">
        <f aca="false">IFERROR(INDEX(Rounds!$A:$A,MATCH(I512,Rounds!$B:$B,0)),"ADD LEAGUE TO ROUNDS")</f>
        <v>5</v>
      </c>
      <c r="K512" s="6" t="n">
        <f aca="false">IFERROR(VALUE(LEFT(E512,FIND(" - ",E512)-1)),"")</f>
        <v>7</v>
      </c>
      <c r="L512" s="5" t="s">
        <v>1588</v>
      </c>
      <c r="N512" s="6" t="n">
        <f aca="false">IF(F512="","",1+COUNTIFS($J:$J,J512,$K:$K,K512,$F:$F,"&gt;"&amp;F512)+COUNTIFS($J:$J,J512,$K:$K,K512,$F:$F,F512,$G:$G,"&gt;"&amp;G512))</f>
        <v>5</v>
      </c>
      <c r="O512" s="6" t="n">
        <f aca="false">IF(L512="","",SUMIFS(Votes!$E:$E,Votes!$A:$A,J512,Votes!$B:$B,K512,Votes!$D:$D,L512))</f>
        <v>11</v>
      </c>
      <c r="P512" s="6" t="n">
        <f aca="false">IF(L512="","",COUNTIFS(Votes!$A:$A,J512,Votes!$B:$B,K512,Votes!$D:$D,L512))</f>
        <v>7</v>
      </c>
      <c r="Q512" s="7" t="str">
        <f aca="false">IF(F512="","Unscored",IF(O512="","No URI",IF(AND(F512=0,O512=0),"Zero-vote",IF(AND(F512=O512,G512=P512),"OK",IF(AND(F512=0,O512&gt;0,COUNTIFS(Votes!$A:$A,J512,Votes!$B:$B,K512,Votes!$C:$C,D512)=0),"Forfeited","Mismatch")))))</f>
        <v>OK</v>
      </c>
      <c r="R512" s="6" t="n">
        <f aca="false">MAX(IF(L512&lt;&gt;"",COUNTIF($L:$L,L512),0),COUNTIFS($A:$A,A512,$B:$B,B512))</f>
        <v>1</v>
      </c>
      <c r="S512" s="6" t="str">
        <f aca="false">IF(R512&gt;1,COUNTIF($R$2:R512,"&gt;1"),"")</f>
        <v/>
      </c>
      <c r="T512" s="6" t="str">
        <f aca="false">IF(L512="","",J512&amp;"|"&amp;K512&amp;"|"&amp;L512)</f>
        <v>5|7|spotify:track:3VAICuY2ax2yCLT7EhNeZE</v>
      </c>
      <c r="U512" s="6" t="str">
        <f aca="false">IF(C512="","",IFERROR(INDEX(Lists!$F:$F,MATCH(C512,Lists!$E:$E,0)),"Unmapped"))</f>
        <v>Pop</v>
      </c>
    </row>
    <row r="513" customFormat="false" ht="15" hidden="false" customHeight="false" outlineLevel="0" collapsed="false">
      <c r="A513" s="5" t="s">
        <v>1589</v>
      </c>
      <c r="B513" s="5" t="s">
        <v>714</v>
      </c>
      <c r="C513" s="5" t="s">
        <v>363</v>
      </c>
      <c r="D513" s="5" t="s">
        <v>395</v>
      </c>
      <c r="E513" s="5" t="s">
        <v>1575</v>
      </c>
      <c r="F513" s="5" t="n">
        <v>10</v>
      </c>
      <c r="G513" s="5" t="n">
        <v>9</v>
      </c>
      <c r="H513" s="6" t="str">
        <f aca="false">IF(N513="","",N513&amp;IF(AND(MOD(N513,100)&gt;=11,MOD(N513,100)&lt;=13),"th",CHOOSE(MIN(5,MOD(N513,10)+1),"th","st","nd","rd","th")))</f>
        <v>6th</v>
      </c>
      <c r="I513" s="5" t="s">
        <v>1335</v>
      </c>
      <c r="J513" s="6" t="n">
        <f aca="false">IFERROR(INDEX(Rounds!$A:$A,MATCH(I513,Rounds!$B:$B,0)),"ADD LEAGUE TO ROUNDS")</f>
        <v>5</v>
      </c>
      <c r="K513" s="6" t="n">
        <f aca="false">IFERROR(VALUE(LEFT(E513,FIND(" - ",E513)-1)),"")</f>
        <v>7</v>
      </c>
      <c r="L513" s="5" t="s">
        <v>1590</v>
      </c>
      <c r="N513" s="6" t="n">
        <f aca="false">IF(F513="","",1+COUNTIFS($J:$J,J513,$K:$K,K513,$F:$F,"&gt;"&amp;F513)+COUNTIFS($J:$J,J513,$K:$K,K513,$F:$F,F513,$G:$G,"&gt;"&amp;G513))</f>
        <v>6</v>
      </c>
      <c r="O513" s="6" t="n">
        <f aca="false">IF(L513="","",SUMIFS(Votes!$E:$E,Votes!$A:$A,J513,Votes!$B:$B,K513,Votes!$D:$D,L513))</f>
        <v>10</v>
      </c>
      <c r="P513" s="6" t="n">
        <f aca="false">IF(L513="","",COUNTIFS(Votes!$A:$A,J513,Votes!$B:$B,K513,Votes!$D:$D,L513))</f>
        <v>9</v>
      </c>
      <c r="Q513" s="7" t="str">
        <f aca="false">IF(F513="","Unscored",IF(O513="","No URI",IF(AND(F513=0,O513=0),"Zero-vote",IF(AND(F513=O513,G513=P513),"OK",IF(AND(F513=0,O513&gt;0,COUNTIFS(Votes!$A:$A,J513,Votes!$B:$B,K513,Votes!$C:$C,D513)=0),"Forfeited","Mismatch")))))</f>
        <v>OK</v>
      </c>
      <c r="R513" s="6" t="n">
        <f aca="false">MAX(IF(L513&lt;&gt;"",COUNTIF($L:$L,L513),0),COUNTIFS($A:$A,A513,$B:$B,B513))</f>
        <v>1</v>
      </c>
      <c r="S513" s="6" t="str">
        <f aca="false">IF(R513&gt;1,COUNTIF($R$2:R513,"&gt;1"),"")</f>
        <v/>
      </c>
      <c r="T513" s="6" t="str">
        <f aca="false">IF(L513="","",J513&amp;"|"&amp;K513&amp;"|"&amp;L513)</f>
        <v>5|7|spotify:track:1IHWl5LamUGEuP4ozKQSXZ</v>
      </c>
      <c r="U513" s="6" t="str">
        <f aca="false">IF(C513="","",IFERROR(INDEX(Lists!$F:$F,MATCH(C513,Lists!$E:$E,0)),"Unmapped"))</f>
        <v>Latin</v>
      </c>
    </row>
    <row r="514" customFormat="false" ht="15" hidden="false" customHeight="false" outlineLevel="0" collapsed="false">
      <c r="A514" s="5" t="s">
        <v>1591</v>
      </c>
      <c r="B514" s="5" t="s">
        <v>1592</v>
      </c>
      <c r="C514" s="5" t="s">
        <v>363</v>
      </c>
      <c r="D514" s="5" t="s">
        <v>375</v>
      </c>
      <c r="E514" s="5" t="s">
        <v>1575</v>
      </c>
      <c r="F514" s="5" t="n">
        <v>10</v>
      </c>
      <c r="G514" s="5" t="n">
        <v>9</v>
      </c>
      <c r="H514" s="6" t="str">
        <f aca="false">IF(N514="","",N514&amp;IF(AND(MOD(N514,100)&gt;=11,MOD(N514,100)&lt;=13),"th",CHOOSE(MIN(5,MOD(N514,10)+1),"th","st","nd","rd","th")))</f>
        <v>6th</v>
      </c>
      <c r="I514" s="5" t="s">
        <v>1335</v>
      </c>
      <c r="J514" s="6" t="n">
        <f aca="false">IFERROR(INDEX(Rounds!$A:$A,MATCH(I514,Rounds!$B:$B,0)),"ADD LEAGUE TO ROUNDS")</f>
        <v>5</v>
      </c>
      <c r="K514" s="6" t="n">
        <f aca="false">IFERROR(VALUE(LEFT(E514,FIND(" - ",E514)-1)),"")</f>
        <v>7</v>
      </c>
      <c r="L514" s="5" t="s">
        <v>1593</v>
      </c>
      <c r="N514" s="6" t="n">
        <f aca="false">IF(F514="","",1+COUNTIFS($J:$J,J514,$K:$K,K514,$F:$F,"&gt;"&amp;F514)+COUNTIFS($J:$J,J514,$K:$K,K514,$F:$F,F514,$G:$G,"&gt;"&amp;G514))</f>
        <v>6</v>
      </c>
      <c r="O514" s="6" t="n">
        <f aca="false">IF(L514="","",SUMIFS(Votes!$E:$E,Votes!$A:$A,J514,Votes!$B:$B,K514,Votes!$D:$D,L514))</f>
        <v>10</v>
      </c>
      <c r="P514" s="6" t="n">
        <f aca="false">IF(L514="","",COUNTIFS(Votes!$A:$A,J514,Votes!$B:$B,K514,Votes!$D:$D,L514))</f>
        <v>9</v>
      </c>
      <c r="Q514" s="7" t="str">
        <f aca="false">IF(F514="","Unscored",IF(O514="","No URI",IF(AND(F514=0,O514=0),"Zero-vote",IF(AND(F514=O514,G514=P514),"OK",IF(AND(F514=0,O514&gt;0,COUNTIFS(Votes!$A:$A,J514,Votes!$B:$B,K514,Votes!$C:$C,D514)=0),"Forfeited","Mismatch")))))</f>
        <v>OK</v>
      </c>
      <c r="R514" s="6" t="n">
        <f aca="false">MAX(IF(L514&lt;&gt;"",COUNTIF($L:$L,L514),0),COUNTIFS($A:$A,A514,$B:$B,B514))</f>
        <v>1</v>
      </c>
      <c r="S514" s="6" t="str">
        <f aca="false">IF(R514&gt;1,COUNTIF($R$2:R514,"&gt;1"),"")</f>
        <v/>
      </c>
      <c r="T514" s="6" t="str">
        <f aca="false">IF(L514="","",J514&amp;"|"&amp;K514&amp;"|"&amp;L514)</f>
        <v>5|7|spotify:track:3QHMxEOAGD51PDlbFPHLyJ</v>
      </c>
      <c r="U514" s="6" t="str">
        <f aca="false">IF(C514="","",IFERROR(INDEX(Lists!$F:$F,MATCH(C514,Lists!$E:$E,0)),"Unmapped"))</f>
        <v>Latin</v>
      </c>
    </row>
    <row r="515" customFormat="false" ht="15" hidden="false" customHeight="false" outlineLevel="0" collapsed="false">
      <c r="A515" s="5" t="s">
        <v>1594</v>
      </c>
      <c r="B515" s="5" t="s">
        <v>1595</v>
      </c>
      <c r="C515" s="5" t="s">
        <v>96</v>
      </c>
      <c r="D515" s="5" t="s">
        <v>101</v>
      </c>
      <c r="E515" s="5" t="s">
        <v>1575</v>
      </c>
      <c r="F515" s="5" t="n">
        <v>10</v>
      </c>
      <c r="G515" s="5" t="n">
        <v>8</v>
      </c>
      <c r="H515" s="6" t="str">
        <f aca="false">IF(N515="","",N515&amp;IF(AND(MOD(N515,100)&gt;=11,MOD(N515,100)&lt;=13),"th",CHOOSE(MIN(5,MOD(N515,10)+1),"th","st","nd","rd","th")))</f>
        <v>8th</v>
      </c>
      <c r="I515" s="5" t="s">
        <v>1335</v>
      </c>
      <c r="J515" s="6" t="n">
        <f aca="false">IFERROR(INDEX(Rounds!$A:$A,MATCH(I515,Rounds!$B:$B,0)),"ADD LEAGUE TO ROUNDS")</f>
        <v>5</v>
      </c>
      <c r="K515" s="6" t="n">
        <f aca="false">IFERROR(VALUE(LEFT(E515,FIND(" - ",E515)-1)),"")</f>
        <v>7</v>
      </c>
      <c r="L515" s="5" t="s">
        <v>1596</v>
      </c>
      <c r="N515" s="6" t="n">
        <f aca="false">IF(F515="","",1+COUNTIFS($J:$J,J515,$K:$K,K515,$F:$F,"&gt;"&amp;F515)+COUNTIFS($J:$J,J515,$K:$K,K515,$F:$F,F515,$G:$G,"&gt;"&amp;G515))</f>
        <v>8</v>
      </c>
      <c r="O515" s="6" t="n">
        <f aca="false">IF(L515="","",SUMIFS(Votes!$E:$E,Votes!$A:$A,J515,Votes!$B:$B,K515,Votes!$D:$D,L515))</f>
        <v>10</v>
      </c>
      <c r="P515" s="6" t="n">
        <f aca="false">IF(L515="","",COUNTIFS(Votes!$A:$A,J515,Votes!$B:$B,K515,Votes!$D:$D,L515))</f>
        <v>8</v>
      </c>
      <c r="Q515" s="7" t="str">
        <f aca="false">IF(F515="","Unscored",IF(O515="","No URI",IF(AND(F515=0,O515=0),"Zero-vote",IF(AND(F515=O515,G515=P515),"OK",IF(AND(F515=0,O515&gt;0,COUNTIFS(Votes!$A:$A,J515,Votes!$B:$B,K515,Votes!$C:$C,D515)=0),"Forfeited","Mismatch")))))</f>
        <v>OK</v>
      </c>
      <c r="R515" s="6" t="n">
        <f aca="false">MAX(IF(L515&lt;&gt;"",COUNTIF($L:$L,L515),0),COUNTIFS($A:$A,A515,$B:$B,B515))</f>
        <v>1</v>
      </c>
      <c r="S515" s="6" t="str">
        <f aca="false">IF(R515&gt;1,COUNTIF($R$2:R515,"&gt;1"),"")</f>
        <v/>
      </c>
      <c r="T515" s="6" t="str">
        <f aca="false">IF(L515="","",J515&amp;"|"&amp;K515&amp;"|"&amp;L515)</f>
        <v>5|7|spotify:track:0o9zmvc5f3EFApU52PPIyW</v>
      </c>
      <c r="U515" s="6" t="str">
        <f aca="false">IF(C515="","",IFERROR(INDEX(Lists!$F:$F,MATCH(C515,Lists!$E:$E,0)),"Unmapped"))</f>
        <v>R&amp;B/Soul</v>
      </c>
    </row>
    <row r="516" customFormat="false" ht="15" hidden="false" customHeight="false" outlineLevel="0" collapsed="false">
      <c r="A516" s="5" t="s">
        <v>1597</v>
      </c>
      <c r="B516" s="5" t="s">
        <v>1598</v>
      </c>
      <c r="C516" s="5" t="s">
        <v>363</v>
      </c>
      <c r="D516" s="5" t="s">
        <v>637</v>
      </c>
      <c r="E516" s="5" t="s">
        <v>1575</v>
      </c>
      <c r="F516" s="5" t="n">
        <v>9</v>
      </c>
      <c r="G516" s="5" t="n">
        <v>7</v>
      </c>
      <c r="H516" s="6" t="str">
        <f aca="false">IF(N516="","",N516&amp;IF(AND(MOD(N516,100)&gt;=11,MOD(N516,100)&lt;=13),"th",CHOOSE(MIN(5,MOD(N516,10)+1),"th","st","nd","rd","th")))</f>
        <v>9th</v>
      </c>
      <c r="I516" s="5" t="s">
        <v>1335</v>
      </c>
      <c r="J516" s="6" t="n">
        <f aca="false">IFERROR(INDEX(Rounds!$A:$A,MATCH(I516,Rounds!$B:$B,0)),"ADD LEAGUE TO ROUNDS")</f>
        <v>5</v>
      </c>
      <c r="K516" s="6" t="n">
        <f aca="false">IFERROR(VALUE(LEFT(E516,FIND(" - ",E516)-1)),"")</f>
        <v>7</v>
      </c>
      <c r="L516" s="5" t="s">
        <v>1599</v>
      </c>
      <c r="N516" s="6" t="n">
        <f aca="false">IF(F516="","",1+COUNTIFS($J:$J,J516,$K:$K,K516,$F:$F,"&gt;"&amp;F516)+COUNTIFS($J:$J,J516,$K:$K,K516,$F:$F,F516,$G:$G,"&gt;"&amp;G516))</f>
        <v>9</v>
      </c>
      <c r="O516" s="6" t="n">
        <f aca="false">IF(L516="","",SUMIFS(Votes!$E:$E,Votes!$A:$A,J516,Votes!$B:$B,K516,Votes!$D:$D,L516))</f>
        <v>9</v>
      </c>
      <c r="P516" s="6" t="n">
        <f aca="false">IF(L516="","",COUNTIFS(Votes!$A:$A,J516,Votes!$B:$B,K516,Votes!$D:$D,L516))</f>
        <v>7</v>
      </c>
      <c r="Q516" s="7" t="str">
        <f aca="false">IF(F516="","Unscored",IF(O516="","No URI",IF(AND(F516=0,O516=0),"Zero-vote",IF(AND(F516=O516,G516=P516),"OK",IF(AND(F516=0,O516&gt;0,COUNTIFS(Votes!$A:$A,J516,Votes!$B:$B,K516,Votes!$C:$C,D516)=0),"Forfeited","Mismatch")))))</f>
        <v>OK</v>
      </c>
      <c r="R516" s="6" t="n">
        <f aca="false">MAX(IF(L516&lt;&gt;"",COUNTIF($L:$L,L516),0),COUNTIFS($A:$A,A516,$B:$B,B516))</f>
        <v>1</v>
      </c>
      <c r="S516" s="6" t="str">
        <f aca="false">IF(R516&gt;1,COUNTIF($R$2:R516,"&gt;1"),"")</f>
        <v/>
      </c>
      <c r="T516" s="6" t="str">
        <f aca="false">IF(L516="","",J516&amp;"|"&amp;K516&amp;"|"&amp;L516)</f>
        <v>5|7|spotify:track:6habFhsOp2NvshLv26DqMb</v>
      </c>
      <c r="U516" s="6" t="str">
        <f aca="false">IF(C516="","",IFERROR(INDEX(Lists!$F:$F,MATCH(C516,Lists!$E:$E,0)),"Unmapped"))</f>
        <v>Latin</v>
      </c>
    </row>
    <row r="517" customFormat="false" ht="15" hidden="false" customHeight="false" outlineLevel="0" collapsed="false">
      <c r="A517" s="5" t="s">
        <v>1600</v>
      </c>
      <c r="B517" s="5" t="s">
        <v>1601</v>
      </c>
      <c r="C517" s="5" t="s">
        <v>363</v>
      </c>
      <c r="D517" s="5" t="s">
        <v>116</v>
      </c>
      <c r="E517" s="5" t="s">
        <v>1575</v>
      </c>
      <c r="F517" s="5" t="n">
        <v>9</v>
      </c>
      <c r="G517" s="5" t="n">
        <v>7</v>
      </c>
      <c r="H517" s="6" t="str">
        <f aca="false">IF(N517="","",N517&amp;IF(AND(MOD(N517,100)&gt;=11,MOD(N517,100)&lt;=13),"th",CHOOSE(MIN(5,MOD(N517,10)+1),"th","st","nd","rd","th")))</f>
        <v>9th</v>
      </c>
      <c r="I517" s="5" t="s">
        <v>1335</v>
      </c>
      <c r="J517" s="6" t="n">
        <f aca="false">IFERROR(INDEX(Rounds!$A:$A,MATCH(I517,Rounds!$B:$B,0)),"ADD LEAGUE TO ROUNDS")</f>
        <v>5</v>
      </c>
      <c r="K517" s="6" t="n">
        <f aca="false">IFERROR(VALUE(LEFT(E517,FIND(" - ",E517)-1)),"")</f>
        <v>7</v>
      </c>
      <c r="L517" s="5" t="s">
        <v>1602</v>
      </c>
      <c r="N517" s="6" t="n">
        <f aca="false">IF(F517="","",1+COUNTIFS($J:$J,J517,$K:$K,K517,$F:$F,"&gt;"&amp;F517)+COUNTIFS($J:$J,J517,$K:$K,K517,$F:$F,F517,$G:$G,"&gt;"&amp;G517))</f>
        <v>9</v>
      </c>
      <c r="O517" s="6" t="n">
        <f aca="false">IF(L517="","",SUMIFS(Votes!$E:$E,Votes!$A:$A,J517,Votes!$B:$B,K517,Votes!$D:$D,L517))</f>
        <v>9</v>
      </c>
      <c r="P517" s="6" t="n">
        <f aca="false">IF(L517="","",COUNTIFS(Votes!$A:$A,J517,Votes!$B:$B,K517,Votes!$D:$D,L517))</f>
        <v>7</v>
      </c>
      <c r="Q517" s="7" t="str">
        <f aca="false">IF(F517="","Unscored",IF(O517="","No URI",IF(AND(F517=0,O517=0),"Zero-vote",IF(AND(F517=O517,G517=P517),"OK",IF(AND(F517=0,O517&gt;0,COUNTIFS(Votes!$A:$A,J517,Votes!$B:$B,K517,Votes!$C:$C,D517)=0),"Forfeited","Mismatch")))))</f>
        <v>OK</v>
      </c>
      <c r="R517" s="6" t="n">
        <f aca="false">MAX(IF(L517&lt;&gt;"",COUNTIF($L:$L,L517),0),COUNTIFS($A:$A,A517,$B:$B,B517))</f>
        <v>1</v>
      </c>
      <c r="S517" s="6" t="str">
        <f aca="false">IF(R517&gt;1,COUNTIF($R$2:R517,"&gt;1"),"")</f>
        <v/>
      </c>
      <c r="T517" s="6" t="str">
        <f aca="false">IF(L517="","",J517&amp;"|"&amp;K517&amp;"|"&amp;L517)</f>
        <v>5|7|spotify:track:4oVO4fGNRRvEn0CRuFO4qv</v>
      </c>
      <c r="U517" s="6" t="str">
        <f aca="false">IF(C517="","",IFERROR(INDEX(Lists!$F:$F,MATCH(C517,Lists!$E:$E,0)),"Unmapped"))</f>
        <v>Latin</v>
      </c>
    </row>
    <row r="518" customFormat="false" ht="15" hidden="false" customHeight="false" outlineLevel="0" collapsed="false">
      <c r="A518" s="5" t="s">
        <v>1603</v>
      </c>
      <c r="B518" s="5" t="s">
        <v>1604</v>
      </c>
      <c r="C518" s="5" t="s">
        <v>127</v>
      </c>
      <c r="D518" s="5" t="s">
        <v>484</v>
      </c>
      <c r="E518" s="5" t="s">
        <v>1575</v>
      </c>
      <c r="F518" s="5" t="n">
        <v>7</v>
      </c>
      <c r="G518" s="5" t="n">
        <v>5</v>
      </c>
      <c r="H518" s="6" t="str">
        <f aca="false">IF(N518="","",N518&amp;IF(AND(MOD(N518,100)&gt;=11,MOD(N518,100)&lt;=13),"th",CHOOSE(MIN(5,MOD(N518,10)+1),"th","st","nd","rd","th")))</f>
        <v>11th</v>
      </c>
      <c r="I518" s="5" t="s">
        <v>1335</v>
      </c>
      <c r="J518" s="6" t="n">
        <f aca="false">IFERROR(INDEX(Rounds!$A:$A,MATCH(I518,Rounds!$B:$B,0)),"ADD LEAGUE TO ROUNDS")</f>
        <v>5</v>
      </c>
      <c r="K518" s="6" t="n">
        <f aca="false">IFERROR(VALUE(LEFT(E518,FIND(" - ",E518)-1)),"")</f>
        <v>7</v>
      </c>
      <c r="L518" s="5" t="s">
        <v>1605</v>
      </c>
      <c r="N518" s="6" t="n">
        <f aca="false">IF(F518="","",1+COUNTIFS($J:$J,J518,$K:$K,K518,$F:$F,"&gt;"&amp;F518)+COUNTIFS($J:$J,J518,$K:$K,K518,$F:$F,F518,$G:$G,"&gt;"&amp;G518))</f>
        <v>11</v>
      </c>
      <c r="O518" s="6" t="n">
        <f aca="false">IF(L518="","",SUMIFS(Votes!$E:$E,Votes!$A:$A,J518,Votes!$B:$B,K518,Votes!$D:$D,L518))</f>
        <v>7</v>
      </c>
      <c r="P518" s="6" t="n">
        <f aca="false">IF(L518="","",COUNTIFS(Votes!$A:$A,J518,Votes!$B:$B,K518,Votes!$D:$D,L518))</f>
        <v>5</v>
      </c>
      <c r="Q518" s="7" t="str">
        <f aca="false">IF(F518="","Unscored",IF(O518="","No URI",IF(AND(F518=0,O518=0),"Zero-vote",IF(AND(F518=O518,G518=P518),"OK",IF(AND(F518=0,O518&gt;0,COUNTIFS(Votes!$A:$A,J518,Votes!$B:$B,K518,Votes!$C:$C,D518)=0),"Forfeited","Mismatch")))))</f>
        <v>OK</v>
      </c>
      <c r="R518" s="6" t="n">
        <f aca="false">MAX(IF(L518&lt;&gt;"",COUNTIF($L:$L,L518),0),COUNTIFS($A:$A,A518,$B:$B,B518))</f>
        <v>1</v>
      </c>
      <c r="S518" s="6" t="str">
        <f aca="false">IF(R518&gt;1,COUNTIF($R$2:R518,"&gt;1"),"")</f>
        <v/>
      </c>
      <c r="T518" s="6" t="str">
        <f aca="false">IF(L518="","",J518&amp;"|"&amp;K518&amp;"|"&amp;L518)</f>
        <v>5|7|spotify:track:20lTi7rRz9AjwSoL04ckPg</v>
      </c>
      <c r="U518" s="6" t="str">
        <f aca="false">IF(C518="","",IFERROR(INDEX(Lists!$F:$F,MATCH(C518,Lists!$E:$E,0)),"Unmapped"))</f>
        <v>Jazz/Vocal</v>
      </c>
    </row>
    <row r="519" customFormat="false" ht="15" hidden="false" customHeight="false" outlineLevel="0" collapsed="false">
      <c r="A519" s="5" t="s">
        <v>1606</v>
      </c>
      <c r="B519" s="5" t="s">
        <v>1607</v>
      </c>
      <c r="C519" s="5" t="s">
        <v>84</v>
      </c>
      <c r="D519" s="5" t="s">
        <v>719</v>
      </c>
      <c r="E519" s="5" t="s">
        <v>1575</v>
      </c>
      <c r="F519" s="5" t="n">
        <v>6</v>
      </c>
      <c r="G519" s="5" t="n">
        <v>6</v>
      </c>
      <c r="H519" s="6" t="str">
        <f aca="false">IF(N519="","",N519&amp;IF(AND(MOD(N519,100)&gt;=11,MOD(N519,100)&lt;=13),"th",CHOOSE(MIN(5,MOD(N519,10)+1),"th","st","nd","rd","th")))</f>
        <v>12th</v>
      </c>
      <c r="I519" s="5" t="s">
        <v>1335</v>
      </c>
      <c r="J519" s="6" t="n">
        <f aca="false">IFERROR(INDEX(Rounds!$A:$A,MATCH(I519,Rounds!$B:$B,0)),"ADD LEAGUE TO ROUNDS")</f>
        <v>5</v>
      </c>
      <c r="K519" s="6" t="n">
        <f aca="false">IFERROR(VALUE(LEFT(E519,FIND(" - ",E519)-1)),"")</f>
        <v>7</v>
      </c>
      <c r="L519" s="5" t="s">
        <v>1608</v>
      </c>
      <c r="N519" s="6" t="n">
        <f aca="false">IF(F519="","",1+COUNTIFS($J:$J,J519,$K:$K,K519,$F:$F,"&gt;"&amp;F519)+COUNTIFS($J:$J,J519,$K:$K,K519,$F:$F,F519,$G:$G,"&gt;"&amp;G519))</f>
        <v>12</v>
      </c>
      <c r="O519" s="6" t="n">
        <f aca="false">IF(L519="","",SUMIFS(Votes!$E:$E,Votes!$A:$A,J519,Votes!$B:$B,K519,Votes!$D:$D,L519))</f>
        <v>6</v>
      </c>
      <c r="P519" s="6" t="n">
        <f aca="false">IF(L519="","",COUNTIFS(Votes!$A:$A,J519,Votes!$B:$B,K519,Votes!$D:$D,L519))</f>
        <v>6</v>
      </c>
      <c r="Q519" s="7" t="str">
        <f aca="false">IF(F519="","Unscored",IF(O519="","No URI",IF(AND(F519=0,O519=0),"Zero-vote",IF(AND(F519=O519,G519=P519),"OK",IF(AND(F519=0,O519&gt;0,COUNTIFS(Votes!$A:$A,J519,Votes!$B:$B,K519,Votes!$C:$C,D519)=0),"Forfeited","Mismatch")))))</f>
        <v>OK</v>
      </c>
      <c r="R519" s="6" t="n">
        <f aca="false">MAX(IF(L519&lt;&gt;"",COUNTIF($L:$L,L519),0),COUNTIFS($A:$A,A519,$B:$B,B519))</f>
        <v>1</v>
      </c>
      <c r="S519" s="6" t="str">
        <f aca="false">IF(R519&gt;1,COUNTIF($R$2:R519,"&gt;1"),"")</f>
        <v/>
      </c>
      <c r="T519" s="6" t="str">
        <f aca="false">IF(L519="","",J519&amp;"|"&amp;K519&amp;"|"&amp;L519)</f>
        <v>5|7|spotify:track:3TBRJsLCcwroEkA3tD4u2N</v>
      </c>
      <c r="U519" s="6" t="str">
        <f aca="false">IF(C519="","",IFERROR(INDEX(Lists!$F:$F,MATCH(C519,Lists!$E:$E,0)),"Unmapped"))</f>
        <v>Pop</v>
      </c>
    </row>
    <row r="520" customFormat="false" ht="15" hidden="false" customHeight="false" outlineLevel="0" collapsed="false">
      <c r="A520" s="5" t="s">
        <v>1609</v>
      </c>
      <c r="B520" s="5" t="s">
        <v>1610</v>
      </c>
      <c r="C520" s="5" t="s">
        <v>363</v>
      </c>
      <c r="D520" s="5" t="s">
        <v>97</v>
      </c>
      <c r="E520" s="5" t="s">
        <v>1575</v>
      </c>
      <c r="F520" s="5" t="n">
        <v>5</v>
      </c>
      <c r="G520" s="5" t="n">
        <v>5</v>
      </c>
      <c r="H520" s="6" t="str">
        <f aca="false">IF(N520="","",N520&amp;IF(AND(MOD(N520,100)&gt;=11,MOD(N520,100)&lt;=13),"th",CHOOSE(MIN(5,MOD(N520,10)+1),"th","st","nd","rd","th")))</f>
        <v>13th</v>
      </c>
      <c r="I520" s="5" t="s">
        <v>1335</v>
      </c>
      <c r="J520" s="6" t="n">
        <f aca="false">IFERROR(INDEX(Rounds!$A:$A,MATCH(I520,Rounds!$B:$B,0)),"ADD LEAGUE TO ROUNDS")</f>
        <v>5</v>
      </c>
      <c r="K520" s="6" t="n">
        <f aca="false">IFERROR(VALUE(LEFT(E520,FIND(" - ",E520)-1)),"")</f>
        <v>7</v>
      </c>
      <c r="L520" s="5" t="s">
        <v>1611</v>
      </c>
      <c r="N520" s="6" t="n">
        <f aca="false">IF(F520="","",1+COUNTIFS($J:$J,J520,$K:$K,K520,$F:$F,"&gt;"&amp;F520)+COUNTIFS($J:$J,J520,$K:$K,K520,$F:$F,F520,$G:$G,"&gt;"&amp;G520))</f>
        <v>13</v>
      </c>
      <c r="O520" s="6" t="n">
        <f aca="false">IF(L520="","",SUMIFS(Votes!$E:$E,Votes!$A:$A,J520,Votes!$B:$B,K520,Votes!$D:$D,L520))</f>
        <v>5</v>
      </c>
      <c r="P520" s="6" t="n">
        <f aca="false">IF(L520="","",COUNTIFS(Votes!$A:$A,J520,Votes!$B:$B,K520,Votes!$D:$D,L520))</f>
        <v>5</v>
      </c>
      <c r="Q520" s="7" t="str">
        <f aca="false">IF(F520="","Unscored",IF(O520="","No URI",IF(AND(F520=0,O520=0),"Zero-vote",IF(AND(F520=O520,G520=P520),"OK",IF(AND(F520=0,O520&gt;0,COUNTIFS(Votes!$A:$A,J520,Votes!$B:$B,K520,Votes!$C:$C,D520)=0),"Forfeited","Mismatch")))))</f>
        <v>OK</v>
      </c>
      <c r="R520" s="6" t="n">
        <f aca="false">MAX(IF(L520&lt;&gt;"",COUNTIF($L:$L,L520),0),COUNTIFS($A:$A,A520,$B:$B,B520))</f>
        <v>1</v>
      </c>
      <c r="S520" s="6" t="str">
        <f aca="false">IF(R520&gt;1,COUNTIF($R$2:R520,"&gt;1"),"")</f>
        <v/>
      </c>
      <c r="T520" s="6" t="str">
        <f aca="false">IF(L520="","",J520&amp;"|"&amp;K520&amp;"|"&amp;L520)</f>
        <v>5|7|spotify:track:73scB4Q4fcOmnsBVZPmk32</v>
      </c>
      <c r="U520" s="6" t="str">
        <f aca="false">IF(C520="","",IFERROR(INDEX(Lists!$F:$F,MATCH(C520,Lists!$E:$E,0)),"Unmapped"))</f>
        <v>Latin</v>
      </c>
    </row>
    <row r="521" customFormat="false" ht="15" hidden="false" customHeight="false" outlineLevel="0" collapsed="false">
      <c r="A521" s="5" t="s">
        <v>1612</v>
      </c>
      <c r="B521" s="5" t="s">
        <v>1613</v>
      </c>
      <c r="C521" s="5" t="s">
        <v>363</v>
      </c>
      <c r="D521" s="5" t="s">
        <v>128</v>
      </c>
      <c r="E521" s="5" t="s">
        <v>1575</v>
      </c>
      <c r="F521" s="5" t="n">
        <v>5</v>
      </c>
      <c r="G521" s="5" t="n">
        <v>4</v>
      </c>
      <c r="H521" s="6" t="str">
        <f aca="false">IF(N521="","",N521&amp;IF(AND(MOD(N521,100)&gt;=11,MOD(N521,100)&lt;=13),"th",CHOOSE(MIN(5,MOD(N521,10)+1),"th","st","nd","rd","th")))</f>
        <v>14th</v>
      </c>
      <c r="I521" s="5" t="s">
        <v>1335</v>
      </c>
      <c r="J521" s="6" t="n">
        <f aca="false">IFERROR(INDEX(Rounds!$A:$A,MATCH(I521,Rounds!$B:$B,0)),"ADD LEAGUE TO ROUNDS")</f>
        <v>5</v>
      </c>
      <c r="K521" s="6" t="n">
        <f aca="false">IFERROR(VALUE(LEFT(E521,FIND(" - ",E521)-1)),"")</f>
        <v>7</v>
      </c>
      <c r="L521" s="5" t="s">
        <v>1614</v>
      </c>
      <c r="N521" s="6" t="n">
        <f aca="false">IF(F521="","",1+COUNTIFS($J:$J,J521,$K:$K,K521,$F:$F,"&gt;"&amp;F521)+COUNTIFS($J:$J,J521,$K:$K,K521,$F:$F,F521,$G:$G,"&gt;"&amp;G521))</f>
        <v>14</v>
      </c>
      <c r="O521" s="6" t="n">
        <f aca="false">IF(L521="","",SUMIFS(Votes!$E:$E,Votes!$A:$A,J521,Votes!$B:$B,K521,Votes!$D:$D,L521))</f>
        <v>5</v>
      </c>
      <c r="P521" s="6" t="n">
        <f aca="false">IF(L521="","",COUNTIFS(Votes!$A:$A,J521,Votes!$B:$B,K521,Votes!$D:$D,L521))</f>
        <v>4</v>
      </c>
      <c r="Q521" s="7" t="str">
        <f aca="false">IF(F521="","Unscored",IF(O521="","No URI",IF(AND(F521=0,O521=0),"Zero-vote",IF(AND(F521=O521,G521=P521),"OK",IF(AND(F521=0,O521&gt;0,COUNTIFS(Votes!$A:$A,J521,Votes!$B:$B,K521,Votes!$C:$C,D521)=0),"Forfeited","Mismatch")))))</f>
        <v>OK</v>
      </c>
      <c r="R521" s="6" t="n">
        <f aca="false">MAX(IF(L521&lt;&gt;"",COUNTIF($L:$L,L521),0),COUNTIFS($A:$A,A521,$B:$B,B521))</f>
        <v>1</v>
      </c>
      <c r="S521" s="6" t="str">
        <f aca="false">IF(R521&gt;1,COUNTIF($R$2:R521,"&gt;1"),"")</f>
        <v/>
      </c>
      <c r="T521" s="6" t="str">
        <f aca="false">IF(L521="","",J521&amp;"|"&amp;K521&amp;"|"&amp;L521)</f>
        <v>5|7|spotify:track:5ubqSAc9LxUS2CsMHcA4kF</v>
      </c>
      <c r="U521" s="6" t="str">
        <f aca="false">IF(C521="","",IFERROR(INDEX(Lists!$F:$F,MATCH(C521,Lists!$E:$E,0)),"Unmapped"))</f>
        <v>Latin</v>
      </c>
    </row>
    <row r="522" customFormat="false" ht="15" hidden="false" customHeight="false" outlineLevel="0" collapsed="false">
      <c r="A522" s="5" t="s">
        <v>1615</v>
      </c>
      <c r="B522" s="5" t="s">
        <v>1616</v>
      </c>
      <c r="C522" s="5" t="s">
        <v>363</v>
      </c>
      <c r="D522" s="5" t="s">
        <v>382</v>
      </c>
      <c r="E522" s="5" t="s">
        <v>1575</v>
      </c>
      <c r="F522" s="5" t="n">
        <v>3</v>
      </c>
      <c r="G522" s="5" t="n">
        <v>3</v>
      </c>
      <c r="H522" s="6" t="str">
        <f aca="false">IF(N522="","",N522&amp;IF(AND(MOD(N522,100)&gt;=11,MOD(N522,100)&lt;=13),"th",CHOOSE(MIN(5,MOD(N522,10)+1),"th","st","nd","rd","th")))</f>
        <v>15th</v>
      </c>
      <c r="I522" s="5" t="s">
        <v>1335</v>
      </c>
      <c r="J522" s="6" t="n">
        <f aca="false">IFERROR(INDEX(Rounds!$A:$A,MATCH(I522,Rounds!$B:$B,0)),"ADD LEAGUE TO ROUNDS")</f>
        <v>5</v>
      </c>
      <c r="K522" s="6" t="n">
        <f aca="false">IFERROR(VALUE(LEFT(E522,FIND(" - ",E522)-1)),"")</f>
        <v>7</v>
      </c>
      <c r="L522" s="5" t="s">
        <v>1617</v>
      </c>
      <c r="N522" s="6" t="n">
        <f aca="false">IF(F522="","",1+COUNTIFS($J:$J,J522,$K:$K,K522,$F:$F,"&gt;"&amp;F522)+COUNTIFS($J:$J,J522,$K:$K,K522,$F:$F,F522,$G:$G,"&gt;"&amp;G522))</f>
        <v>15</v>
      </c>
      <c r="O522" s="6" t="n">
        <f aca="false">IF(L522="","",SUMIFS(Votes!$E:$E,Votes!$A:$A,J522,Votes!$B:$B,K522,Votes!$D:$D,L522))</f>
        <v>3</v>
      </c>
      <c r="P522" s="6" t="n">
        <f aca="false">IF(L522="","",COUNTIFS(Votes!$A:$A,J522,Votes!$B:$B,K522,Votes!$D:$D,L522))</f>
        <v>3</v>
      </c>
      <c r="Q522" s="7" t="str">
        <f aca="false">IF(F522="","Unscored",IF(O522="","No URI",IF(AND(F522=0,O522=0),"Zero-vote",IF(AND(F522=O522,G522=P522),"OK",IF(AND(F522=0,O522&gt;0,COUNTIFS(Votes!$A:$A,J522,Votes!$B:$B,K522,Votes!$C:$C,D522)=0),"Forfeited","Mismatch")))))</f>
        <v>OK</v>
      </c>
      <c r="R522" s="6" t="n">
        <f aca="false">MAX(IF(L522&lt;&gt;"",COUNTIF($L:$L,L522),0),COUNTIFS($A:$A,A522,$B:$B,B522))</f>
        <v>1</v>
      </c>
      <c r="S522" s="6" t="str">
        <f aca="false">IF(R522&gt;1,COUNTIF($R$2:R522,"&gt;1"),"")</f>
        <v/>
      </c>
      <c r="T522" s="6" t="str">
        <f aca="false">IF(L522="","",J522&amp;"|"&amp;K522&amp;"|"&amp;L522)</f>
        <v>5|7|spotify:track:2Ma2f8jV8VKMJoAcnCvZ8h</v>
      </c>
      <c r="U522" s="6" t="str">
        <f aca="false">IF(C522="","",IFERROR(INDEX(Lists!$F:$F,MATCH(C522,Lists!$E:$E,0)),"Unmapped"))</f>
        <v>Latin</v>
      </c>
    </row>
    <row r="523" customFormat="false" ht="15" hidden="false" customHeight="false" outlineLevel="0" collapsed="false">
      <c r="A523" s="5" t="s">
        <v>1618</v>
      </c>
      <c r="B523" s="5" t="s">
        <v>740</v>
      </c>
      <c r="C523" s="5" t="s">
        <v>84</v>
      </c>
      <c r="D523" s="5" t="s">
        <v>375</v>
      </c>
      <c r="E523" s="5" t="s">
        <v>1619</v>
      </c>
      <c r="F523" s="5" t="n">
        <v>18</v>
      </c>
      <c r="G523" s="5" t="n">
        <v>10</v>
      </c>
      <c r="H523" s="6" t="str">
        <f aca="false">IF(N523="","",N523&amp;IF(AND(MOD(N523,100)&gt;=11,MOD(N523,100)&lt;=13),"th",CHOOSE(MIN(5,MOD(N523,10)+1),"th","st","nd","rd","th")))</f>
        <v>1st</v>
      </c>
      <c r="I523" s="5" t="s">
        <v>1335</v>
      </c>
      <c r="J523" s="6" t="n">
        <f aca="false">IFERROR(INDEX(Rounds!$A:$A,MATCH(I523,Rounds!$B:$B,0)),"ADD LEAGUE TO ROUNDS")</f>
        <v>5</v>
      </c>
      <c r="K523" s="6" t="n">
        <f aca="false">IFERROR(VALUE(LEFT(E523,FIND(" - ",E523)-1)),"")</f>
        <v>8</v>
      </c>
      <c r="L523" s="5" t="s">
        <v>1620</v>
      </c>
      <c r="N523" s="6" t="n">
        <f aca="false">IF(F523="","",1+COUNTIFS($J:$J,J523,$K:$K,K523,$F:$F,"&gt;"&amp;F523)+COUNTIFS($J:$J,J523,$K:$K,K523,$F:$F,F523,$G:$G,"&gt;"&amp;G523))</f>
        <v>1</v>
      </c>
      <c r="O523" s="6" t="n">
        <f aca="false">IF(L523="","",SUMIFS(Votes!$E:$E,Votes!$A:$A,J523,Votes!$B:$B,K523,Votes!$D:$D,L523))</f>
        <v>18</v>
      </c>
      <c r="P523" s="6" t="n">
        <f aca="false">IF(L523="","",COUNTIFS(Votes!$A:$A,J523,Votes!$B:$B,K523,Votes!$D:$D,L523))</f>
        <v>10</v>
      </c>
      <c r="Q523" s="7" t="str">
        <f aca="false">IF(F523="","Unscored",IF(O523="","No URI",IF(AND(F523=0,O523=0),"Zero-vote",IF(AND(F523=O523,G523=P523),"OK",IF(AND(F523=0,O523&gt;0,COUNTIFS(Votes!$A:$A,J523,Votes!$B:$B,K523,Votes!$C:$C,D523)=0),"Forfeited","Mismatch")))))</f>
        <v>OK</v>
      </c>
      <c r="R523" s="6" t="n">
        <f aca="false">MAX(IF(L523&lt;&gt;"",COUNTIF($L:$L,L523),0),COUNTIFS($A:$A,A523,$B:$B,B523))</f>
        <v>1</v>
      </c>
      <c r="S523" s="6" t="str">
        <f aca="false">IF(R523&gt;1,COUNTIF($R$2:R523,"&gt;1"),"")</f>
        <v/>
      </c>
      <c r="T523" s="6" t="str">
        <f aca="false">IF(L523="","",J523&amp;"|"&amp;K523&amp;"|"&amp;L523)</f>
        <v>5|8|spotify:track:6e7N7cQ8MuPtu3FweRQYJz</v>
      </c>
      <c r="U523" s="6" t="str">
        <f aca="false">IF(C523="","",IFERROR(INDEX(Lists!$F:$F,MATCH(C523,Lists!$E:$E,0)),"Unmapped"))</f>
        <v>Pop</v>
      </c>
    </row>
    <row r="524" customFormat="false" ht="15" hidden="false" customHeight="false" outlineLevel="0" collapsed="false">
      <c r="A524" s="5" t="s">
        <v>1621</v>
      </c>
      <c r="B524" s="5" t="s">
        <v>1316</v>
      </c>
      <c r="C524" s="5" t="s">
        <v>84</v>
      </c>
      <c r="D524" s="5" t="s">
        <v>92</v>
      </c>
      <c r="E524" s="5" t="s">
        <v>1619</v>
      </c>
      <c r="F524" s="5" t="n">
        <v>16</v>
      </c>
      <c r="G524" s="5" t="n">
        <v>9</v>
      </c>
      <c r="H524" s="6" t="str">
        <f aca="false">IF(N524="","",N524&amp;IF(AND(MOD(N524,100)&gt;=11,MOD(N524,100)&lt;=13),"th",CHOOSE(MIN(5,MOD(N524,10)+1),"th","st","nd","rd","th")))</f>
        <v>2nd</v>
      </c>
      <c r="I524" s="5" t="s">
        <v>1335</v>
      </c>
      <c r="J524" s="6" t="n">
        <f aca="false">IFERROR(INDEX(Rounds!$A:$A,MATCH(I524,Rounds!$B:$B,0)),"ADD LEAGUE TO ROUNDS")</f>
        <v>5</v>
      </c>
      <c r="K524" s="6" t="n">
        <f aca="false">IFERROR(VALUE(LEFT(E524,FIND(" - ",E524)-1)),"")</f>
        <v>8</v>
      </c>
      <c r="L524" s="5" t="s">
        <v>1622</v>
      </c>
      <c r="N524" s="6" t="n">
        <f aca="false">IF(F524="","",1+COUNTIFS($J:$J,J524,$K:$K,K524,$F:$F,"&gt;"&amp;F524)+COUNTIFS($J:$J,J524,$K:$K,K524,$F:$F,F524,$G:$G,"&gt;"&amp;G524))</f>
        <v>2</v>
      </c>
      <c r="O524" s="6" t="n">
        <f aca="false">IF(L524="","",SUMIFS(Votes!$E:$E,Votes!$A:$A,J524,Votes!$B:$B,K524,Votes!$D:$D,L524))</f>
        <v>16</v>
      </c>
      <c r="P524" s="6" t="n">
        <f aca="false">IF(L524="","",COUNTIFS(Votes!$A:$A,J524,Votes!$B:$B,K524,Votes!$D:$D,L524))</f>
        <v>9</v>
      </c>
      <c r="Q524" s="7" t="str">
        <f aca="false">IF(F524="","Unscored",IF(O524="","No URI",IF(AND(F524=0,O524=0),"Zero-vote",IF(AND(F524=O524,G524=P524),"OK",IF(AND(F524=0,O524&gt;0,COUNTIFS(Votes!$A:$A,J524,Votes!$B:$B,K524,Votes!$C:$C,D524)=0),"Forfeited","Mismatch")))))</f>
        <v>OK</v>
      </c>
      <c r="R524" s="6" t="n">
        <f aca="false">MAX(IF(L524&lt;&gt;"",COUNTIF($L:$L,L524),0),COUNTIFS($A:$A,A524,$B:$B,B524))</f>
        <v>1</v>
      </c>
      <c r="S524" s="6" t="str">
        <f aca="false">IF(R524&gt;1,COUNTIF($R$2:R524,"&gt;1"),"")</f>
        <v/>
      </c>
      <c r="T524" s="6" t="str">
        <f aca="false">IF(L524="","",J524&amp;"|"&amp;K524&amp;"|"&amp;L524)</f>
        <v>5|8|spotify:track:1DSJNBNhGZCigg9ll5VeZv</v>
      </c>
      <c r="U524" s="6" t="str">
        <f aca="false">IF(C524="","",IFERROR(INDEX(Lists!$F:$F,MATCH(C524,Lists!$E:$E,0)),"Unmapped"))</f>
        <v>Pop</v>
      </c>
    </row>
    <row r="525" customFormat="false" ht="15" hidden="false" customHeight="false" outlineLevel="0" collapsed="false">
      <c r="A525" s="5" t="s">
        <v>1623</v>
      </c>
      <c r="B525" s="5" t="s">
        <v>1624</v>
      </c>
      <c r="C525" s="5" t="s">
        <v>84</v>
      </c>
      <c r="D525" s="5" t="s">
        <v>128</v>
      </c>
      <c r="E525" s="5" t="s">
        <v>1619</v>
      </c>
      <c r="F525" s="5" t="n">
        <v>15</v>
      </c>
      <c r="G525" s="5" t="n">
        <v>10</v>
      </c>
      <c r="H525" s="6" t="str">
        <f aca="false">IF(N525="","",N525&amp;IF(AND(MOD(N525,100)&gt;=11,MOD(N525,100)&lt;=13),"th",CHOOSE(MIN(5,MOD(N525,10)+1),"th","st","nd","rd","th")))</f>
        <v>3rd</v>
      </c>
      <c r="I525" s="5" t="s">
        <v>1335</v>
      </c>
      <c r="J525" s="6" t="n">
        <f aca="false">IFERROR(INDEX(Rounds!$A:$A,MATCH(I525,Rounds!$B:$B,0)),"ADD LEAGUE TO ROUNDS")</f>
        <v>5</v>
      </c>
      <c r="K525" s="6" t="n">
        <f aca="false">IFERROR(VALUE(LEFT(E525,FIND(" - ",E525)-1)),"")</f>
        <v>8</v>
      </c>
      <c r="L525" s="5" t="s">
        <v>1625</v>
      </c>
      <c r="N525" s="6" t="n">
        <f aca="false">IF(F525="","",1+COUNTIFS($J:$J,J525,$K:$K,K525,$F:$F,"&gt;"&amp;F525)+COUNTIFS($J:$J,J525,$K:$K,K525,$F:$F,F525,$G:$G,"&gt;"&amp;G525))</f>
        <v>3</v>
      </c>
      <c r="O525" s="6" t="n">
        <f aca="false">IF(L525="","",SUMIFS(Votes!$E:$E,Votes!$A:$A,J525,Votes!$B:$B,K525,Votes!$D:$D,L525))</f>
        <v>15</v>
      </c>
      <c r="P525" s="6" t="n">
        <f aca="false">IF(L525="","",COUNTIFS(Votes!$A:$A,J525,Votes!$B:$B,K525,Votes!$D:$D,L525))</f>
        <v>10</v>
      </c>
      <c r="Q525" s="7" t="str">
        <f aca="false">IF(F525="","Unscored",IF(O525="","No URI",IF(AND(F525=0,O525=0),"Zero-vote",IF(AND(F525=O525,G525=P525),"OK",IF(AND(F525=0,O525&gt;0,COUNTIFS(Votes!$A:$A,J525,Votes!$B:$B,K525,Votes!$C:$C,D525)=0),"Forfeited","Mismatch")))))</f>
        <v>OK</v>
      </c>
      <c r="R525" s="6" t="n">
        <f aca="false">MAX(IF(L525&lt;&gt;"",COUNTIF($L:$L,L525),0),COUNTIFS($A:$A,A525,$B:$B,B525))</f>
        <v>1</v>
      </c>
      <c r="S525" s="6" t="str">
        <f aca="false">IF(R525&gt;1,COUNTIF($R$2:R525,"&gt;1"),"")</f>
        <v/>
      </c>
      <c r="T525" s="6" t="str">
        <f aca="false">IF(L525="","",J525&amp;"|"&amp;K525&amp;"|"&amp;L525)</f>
        <v>5|8|spotify:track:3XeyI07raWwr8wbnaJeaVl</v>
      </c>
      <c r="U525" s="6" t="str">
        <f aca="false">IF(C525="","",IFERROR(INDEX(Lists!$F:$F,MATCH(C525,Lists!$E:$E,0)),"Unmapped"))</f>
        <v>Pop</v>
      </c>
    </row>
    <row r="526" customFormat="false" ht="15" hidden="false" customHeight="false" outlineLevel="0" collapsed="false">
      <c r="A526" s="5" t="s">
        <v>1626</v>
      </c>
      <c r="B526" s="5" t="s">
        <v>1627</v>
      </c>
      <c r="C526" s="5" t="s">
        <v>91</v>
      </c>
      <c r="D526" s="5" t="s">
        <v>119</v>
      </c>
      <c r="E526" s="5" t="s">
        <v>1619</v>
      </c>
      <c r="F526" s="5" t="n">
        <v>15</v>
      </c>
      <c r="G526" s="5" t="n">
        <v>10</v>
      </c>
      <c r="H526" s="6" t="str">
        <f aca="false">IF(N526="","",N526&amp;IF(AND(MOD(N526,100)&gt;=11,MOD(N526,100)&lt;=13),"th",CHOOSE(MIN(5,MOD(N526,10)+1),"th","st","nd","rd","th")))</f>
        <v>3rd</v>
      </c>
      <c r="I526" s="5" t="s">
        <v>1335</v>
      </c>
      <c r="J526" s="6" t="n">
        <f aca="false">IFERROR(INDEX(Rounds!$A:$A,MATCH(I526,Rounds!$B:$B,0)),"ADD LEAGUE TO ROUNDS")</f>
        <v>5</v>
      </c>
      <c r="K526" s="6" t="n">
        <f aca="false">IFERROR(VALUE(LEFT(E526,FIND(" - ",E526)-1)),"")</f>
        <v>8</v>
      </c>
      <c r="L526" s="5" t="s">
        <v>1628</v>
      </c>
      <c r="N526" s="6" t="n">
        <f aca="false">IF(F526="","",1+COUNTIFS($J:$J,J526,$K:$K,K526,$F:$F,"&gt;"&amp;F526)+COUNTIFS($J:$J,J526,$K:$K,K526,$F:$F,F526,$G:$G,"&gt;"&amp;G526))</f>
        <v>3</v>
      </c>
      <c r="O526" s="6" t="n">
        <f aca="false">IF(L526="","",SUMIFS(Votes!$E:$E,Votes!$A:$A,J526,Votes!$B:$B,K526,Votes!$D:$D,L526))</f>
        <v>15</v>
      </c>
      <c r="P526" s="6" t="n">
        <f aca="false">IF(L526="","",COUNTIFS(Votes!$A:$A,J526,Votes!$B:$B,K526,Votes!$D:$D,L526))</f>
        <v>10</v>
      </c>
      <c r="Q526" s="7" t="str">
        <f aca="false">IF(F526="","Unscored",IF(O526="","No URI",IF(AND(F526=0,O526=0),"Zero-vote",IF(AND(F526=O526,G526=P526),"OK",IF(AND(F526=0,O526&gt;0,COUNTIFS(Votes!$A:$A,J526,Votes!$B:$B,K526,Votes!$C:$C,D526)=0),"Forfeited","Mismatch")))))</f>
        <v>OK</v>
      </c>
      <c r="R526" s="6" t="n">
        <f aca="false">MAX(IF(L526&lt;&gt;"",COUNTIF($L:$L,L526),0),COUNTIFS($A:$A,A526,$B:$B,B526))</f>
        <v>1</v>
      </c>
      <c r="S526" s="6" t="str">
        <f aca="false">IF(R526&gt;1,COUNTIF($R$2:R526,"&gt;1"),"")</f>
        <v/>
      </c>
      <c r="T526" s="6" t="str">
        <f aca="false">IF(L526="","",J526&amp;"|"&amp;K526&amp;"|"&amp;L526)</f>
        <v>5|8|spotify:track:3NLrRZoMF0Lx6zTlYqeIo4</v>
      </c>
      <c r="U526" s="6" t="str">
        <f aca="false">IF(C526="","",IFERROR(INDEX(Lists!$F:$F,MATCH(C526,Lists!$E:$E,0)),"Unmapped"))</f>
        <v>Rock</v>
      </c>
    </row>
    <row r="527" customFormat="false" ht="15" hidden="false" customHeight="false" outlineLevel="0" collapsed="false">
      <c r="A527" s="5" t="s">
        <v>1629</v>
      </c>
      <c r="B527" s="5" t="s">
        <v>1316</v>
      </c>
      <c r="C527" s="5" t="s">
        <v>84</v>
      </c>
      <c r="D527" s="5" t="s">
        <v>637</v>
      </c>
      <c r="E527" s="5" t="s">
        <v>1619</v>
      </c>
      <c r="F527" s="5" t="n">
        <v>13</v>
      </c>
      <c r="G527" s="5" t="n">
        <v>9</v>
      </c>
      <c r="H527" s="6" t="str">
        <f aca="false">IF(N527="","",N527&amp;IF(AND(MOD(N527,100)&gt;=11,MOD(N527,100)&lt;=13),"th",CHOOSE(MIN(5,MOD(N527,10)+1),"th","st","nd","rd","th")))</f>
        <v>5th</v>
      </c>
      <c r="I527" s="5" t="s">
        <v>1335</v>
      </c>
      <c r="J527" s="6" t="n">
        <f aca="false">IFERROR(INDEX(Rounds!$A:$A,MATCH(I527,Rounds!$B:$B,0)),"ADD LEAGUE TO ROUNDS")</f>
        <v>5</v>
      </c>
      <c r="K527" s="6" t="n">
        <f aca="false">IFERROR(VALUE(LEFT(E527,FIND(" - ",E527)-1)),"")</f>
        <v>8</v>
      </c>
      <c r="L527" s="5" t="s">
        <v>1630</v>
      </c>
      <c r="N527" s="6" t="n">
        <f aca="false">IF(F527="","",1+COUNTIFS($J:$J,J527,$K:$K,K527,$F:$F,"&gt;"&amp;F527)+COUNTIFS($J:$J,J527,$K:$K,K527,$F:$F,F527,$G:$G,"&gt;"&amp;G527))</f>
        <v>5</v>
      </c>
      <c r="O527" s="6" t="n">
        <f aca="false">IF(L527="","",SUMIFS(Votes!$E:$E,Votes!$A:$A,J527,Votes!$B:$B,K527,Votes!$D:$D,L527))</f>
        <v>13</v>
      </c>
      <c r="P527" s="6" t="n">
        <f aca="false">IF(L527="","",COUNTIFS(Votes!$A:$A,J527,Votes!$B:$B,K527,Votes!$D:$D,L527))</f>
        <v>9</v>
      </c>
      <c r="Q527" s="7" t="str">
        <f aca="false">IF(F527="","Unscored",IF(O527="","No URI",IF(AND(F527=0,O527=0),"Zero-vote",IF(AND(F527=O527,G527=P527),"OK",IF(AND(F527=0,O527&gt;0,COUNTIFS(Votes!$A:$A,J527,Votes!$B:$B,K527,Votes!$C:$C,D527)=0),"Forfeited","Mismatch")))))</f>
        <v>OK</v>
      </c>
      <c r="R527" s="6" t="n">
        <f aca="false">MAX(IF(L527&lt;&gt;"",COUNTIF($L:$L,L527),0),COUNTIFS($A:$A,A527,$B:$B,B527))</f>
        <v>1</v>
      </c>
      <c r="S527" s="6" t="str">
        <f aca="false">IF(R527&gt;1,COUNTIF($R$2:R527,"&gt;1"),"")</f>
        <v/>
      </c>
      <c r="T527" s="6" t="str">
        <f aca="false">IF(L527="","",J527&amp;"|"&amp;K527&amp;"|"&amp;L527)</f>
        <v>5|8|spotify:track:6naxalmIoLFWR0siv8dnQQ</v>
      </c>
      <c r="U527" s="6" t="str">
        <f aca="false">IF(C527="","",IFERROR(INDEX(Lists!$F:$F,MATCH(C527,Lists!$E:$E,0)),"Unmapped"))</f>
        <v>Pop</v>
      </c>
    </row>
    <row r="528" customFormat="false" ht="15" hidden="false" customHeight="false" outlineLevel="0" collapsed="false">
      <c r="A528" s="5" t="s">
        <v>1631</v>
      </c>
      <c r="B528" s="5" t="s">
        <v>983</v>
      </c>
      <c r="C528" s="5" t="s">
        <v>91</v>
      </c>
      <c r="D528" s="5" t="s">
        <v>119</v>
      </c>
      <c r="E528" s="5" t="s">
        <v>1619</v>
      </c>
      <c r="F528" s="5" t="n">
        <v>13</v>
      </c>
      <c r="G528" s="5" t="n">
        <v>8</v>
      </c>
      <c r="H528" s="6" t="str">
        <f aca="false">IF(N528="","",N528&amp;IF(AND(MOD(N528,100)&gt;=11,MOD(N528,100)&lt;=13),"th",CHOOSE(MIN(5,MOD(N528,10)+1),"th","st","nd","rd","th")))</f>
        <v>6th</v>
      </c>
      <c r="I528" s="5" t="s">
        <v>1335</v>
      </c>
      <c r="J528" s="6" t="n">
        <f aca="false">IFERROR(INDEX(Rounds!$A:$A,MATCH(I528,Rounds!$B:$B,0)),"ADD LEAGUE TO ROUNDS")</f>
        <v>5</v>
      </c>
      <c r="K528" s="6" t="n">
        <f aca="false">IFERROR(VALUE(LEFT(E528,FIND(" - ",E528)-1)),"")</f>
        <v>8</v>
      </c>
      <c r="L528" s="5" t="s">
        <v>1632</v>
      </c>
      <c r="N528" s="6" t="n">
        <f aca="false">IF(F528="","",1+COUNTIFS($J:$J,J528,$K:$K,K528,$F:$F,"&gt;"&amp;F528)+COUNTIFS($J:$J,J528,$K:$K,K528,$F:$F,F528,$G:$G,"&gt;"&amp;G528))</f>
        <v>6</v>
      </c>
      <c r="O528" s="6" t="n">
        <f aca="false">IF(L528="","",SUMIFS(Votes!$E:$E,Votes!$A:$A,J528,Votes!$B:$B,K528,Votes!$D:$D,L528))</f>
        <v>13</v>
      </c>
      <c r="P528" s="6" t="n">
        <f aca="false">IF(L528="","",COUNTIFS(Votes!$A:$A,J528,Votes!$B:$B,K528,Votes!$D:$D,L528))</f>
        <v>8</v>
      </c>
      <c r="Q528" s="7" t="str">
        <f aca="false">IF(F528="","Unscored",IF(O528="","No URI",IF(AND(F528=0,O528=0),"Zero-vote",IF(AND(F528=O528,G528=P528),"OK",IF(AND(F528=0,O528&gt;0,COUNTIFS(Votes!$A:$A,J528,Votes!$B:$B,K528,Votes!$C:$C,D528)=0),"Forfeited","Mismatch")))))</f>
        <v>OK</v>
      </c>
      <c r="R528" s="6" t="n">
        <f aca="false">MAX(IF(L528&lt;&gt;"",COUNTIF($L:$L,L528),0),COUNTIFS($A:$A,A528,$B:$B,B528))</f>
        <v>1</v>
      </c>
      <c r="S528" s="6" t="str">
        <f aca="false">IF(R528&gt;1,COUNTIF($R$2:R528,"&gt;1"),"")</f>
        <v/>
      </c>
      <c r="T528" s="6" t="str">
        <f aca="false">IF(L528="","",J528&amp;"|"&amp;K528&amp;"|"&amp;L528)</f>
        <v>5|8|spotify:track:2STQAr3BRiAeeveJ07gZh7</v>
      </c>
      <c r="U528" s="6" t="str">
        <f aca="false">IF(C528="","",IFERROR(INDEX(Lists!$F:$F,MATCH(C528,Lists!$E:$E,0)),"Unmapped"))</f>
        <v>Rock</v>
      </c>
    </row>
    <row r="529" customFormat="false" ht="15" hidden="false" customHeight="false" outlineLevel="0" collapsed="false">
      <c r="A529" s="5" t="s">
        <v>1633</v>
      </c>
      <c r="B529" s="5" t="s">
        <v>1634</v>
      </c>
      <c r="C529" s="5" t="s">
        <v>84</v>
      </c>
      <c r="D529" s="5" t="s">
        <v>382</v>
      </c>
      <c r="E529" s="5" t="s">
        <v>1619</v>
      </c>
      <c r="F529" s="5" t="n">
        <v>12</v>
      </c>
      <c r="G529" s="5" t="n">
        <v>9</v>
      </c>
      <c r="H529" s="6" t="str">
        <f aca="false">IF(N529="","",N529&amp;IF(AND(MOD(N529,100)&gt;=11,MOD(N529,100)&lt;=13),"th",CHOOSE(MIN(5,MOD(N529,10)+1),"th","st","nd","rd","th")))</f>
        <v>7th</v>
      </c>
      <c r="I529" s="5" t="s">
        <v>1335</v>
      </c>
      <c r="J529" s="6" t="n">
        <f aca="false">IFERROR(INDEX(Rounds!$A:$A,MATCH(I529,Rounds!$B:$B,0)),"ADD LEAGUE TO ROUNDS")</f>
        <v>5</v>
      </c>
      <c r="K529" s="6" t="n">
        <f aca="false">IFERROR(VALUE(LEFT(E529,FIND(" - ",E529)-1)),"")</f>
        <v>8</v>
      </c>
      <c r="L529" s="5" t="s">
        <v>1635</v>
      </c>
      <c r="N529" s="6" t="n">
        <f aca="false">IF(F529="","",1+COUNTIFS($J:$J,J529,$K:$K,K529,$F:$F,"&gt;"&amp;F529)+COUNTIFS($J:$J,J529,$K:$K,K529,$F:$F,F529,$G:$G,"&gt;"&amp;G529))</f>
        <v>7</v>
      </c>
      <c r="O529" s="6" t="n">
        <f aca="false">IF(L529="","",SUMIFS(Votes!$E:$E,Votes!$A:$A,J529,Votes!$B:$B,K529,Votes!$D:$D,L529))</f>
        <v>12</v>
      </c>
      <c r="P529" s="6" t="n">
        <f aca="false">IF(L529="","",COUNTIFS(Votes!$A:$A,J529,Votes!$B:$B,K529,Votes!$D:$D,L529))</f>
        <v>9</v>
      </c>
      <c r="Q529" s="7" t="str">
        <f aca="false">IF(F529="","Unscored",IF(O529="","No URI",IF(AND(F529=0,O529=0),"Zero-vote",IF(AND(F529=O529,G529=P529),"OK",IF(AND(F529=0,O529&gt;0,COUNTIFS(Votes!$A:$A,J529,Votes!$B:$B,K529,Votes!$C:$C,D529)=0),"Forfeited","Mismatch")))))</f>
        <v>OK</v>
      </c>
      <c r="R529" s="6" t="n">
        <f aca="false">MAX(IF(L529&lt;&gt;"",COUNTIF($L:$L,L529),0),COUNTIFS($A:$A,A529,$B:$B,B529))</f>
        <v>1</v>
      </c>
      <c r="S529" s="6" t="str">
        <f aca="false">IF(R529&gt;1,COUNTIF($R$2:R529,"&gt;1"),"")</f>
        <v/>
      </c>
      <c r="T529" s="6" t="str">
        <f aca="false">IF(L529="","",J529&amp;"|"&amp;K529&amp;"|"&amp;L529)</f>
        <v>5|8|spotify:track:594M0rqYMOo8BhMGEdoi5C</v>
      </c>
      <c r="U529" s="6" t="str">
        <f aca="false">IF(C529="","",IFERROR(INDEX(Lists!$F:$F,MATCH(C529,Lists!$E:$E,0)),"Unmapped"))</f>
        <v>Pop</v>
      </c>
    </row>
    <row r="530" customFormat="false" ht="15" hidden="false" customHeight="false" outlineLevel="0" collapsed="false">
      <c r="A530" s="5" t="s">
        <v>1636</v>
      </c>
      <c r="B530" s="5" t="s">
        <v>1634</v>
      </c>
      <c r="C530" s="5" t="s">
        <v>84</v>
      </c>
      <c r="D530" s="5" t="s">
        <v>97</v>
      </c>
      <c r="E530" s="5" t="s">
        <v>1619</v>
      </c>
      <c r="F530" s="5" t="n">
        <v>11</v>
      </c>
      <c r="G530" s="5" t="n">
        <v>8</v>
      </c>
      <c r="H530" s="6" t="str">
        <f aca="false">IF(N530="","",N530&amp;IF(AND(MOD(N530,100)&gt;=11,MOD(N530,100)&lt;=13),"th",CHOOSE(MIN(5,MOD(N530,10)+1),"th","st","nd","rd","th")))</f>
        <v>8th</v>
      </c>
      <c r="I530" s="5" t="s">
        <v>1335</v>
      </c>
      <c r="J530" s="6" t="n">
        <f aca="false">IFERROR(INDEX(Rounds!$A:$A,MATCH(I530,Rounds!$B:$B,0)),"ADD LEAGUE TO ROUNDS")</f>
        <v>5</v>
      </c>
      <c r="K530" s="6" t="n">
        <f aca="false">IFERROR(VALUE(LEFT(E530,FIND(" - ",E530)-1)),"")</f>
        <v>8</v>
      </c>
      <c r="L530" s="5" t="s">
        <v>1637</v>
      </c>
      <c r="N530" s="6" t="n">
        <f aca="false">IF(F530="","",1+COUNTIFS($J:$J,J530,$K:$K,K530,$F:$F,"&gt;"&amp;F530)+COUNTIFS($J:$J,J530,$K:$K,K530,$F:$F,F530,$G:$G,"&gt;"&amp;G530))</f>
        <v>8</v>
      </c>
      <c r="O530" s="6" t="n">
        <f aca="false">IF(L530="","",SUMIFS(Votes!$E:$E,Votes!$A:$A,J530,Votes!$B:$B,K530,Votes!$D:$D,L530))</f>
        <v>11</v>
      </c>
      <c r="P530" s="6" t="n">
        <f aca="false">IF(L530="","",COUNTIFS(Votes!$A:$A,J530,Votes!$B:$B,K530,Votes!$D:$D,L530))</f>
        <v>8</v>
      </c>
      <c r="Q530" s="7" t="str">
        <f aca="false">IF(F530="","Unscored",IF(O530="","No URI",IF(AND(F530=0,O530=0),"Zero-vote",IF(AND(F530=O530,G530=P530),"OK",IF(AND(F530=0,O530&gt;0,COUNTIFS(Votes!$A:$A,J530,Votes!$B:$B,K530,Votes!$C:$C,D530)=0),"Forfeited","Mismatch")))))</f>
        <v>OK</v>
      </c>
      <c r="R530" s="6" t="n">
        <f aca="false">MAX(IF(L530&lt;&gt;"",COUNTIF($L:$L,L530),0),COUNTIFS($A:$A,A530,$B:$B,B530))</f>
        <v>1</v>
      </c>
      <c r="S530" s="6" t="str">
        <f aca="false">IF(R530&gt;1,COUNTIF($R$2:R530,"&gt;1"),"")</f>
        <v/>
      </c>
      <c r="T530" s="6" t="str">
        <f aca="false">IF(L530="","",J530&amp;"|"&amp;K530&amp;"|"&amp;L530)</f>
        <v>5|8|spotify:track:5YTMRAT4yKgFrepF8Hi3mY</v>
      </c>
      <c r="U530" s="6" t="str">
        <f aca="false">IF(C530="","",IFERROR(INDEX(Lists!$F:$F,MATCH(C530,Lists!$E:$E,0)),"Unmapped"))</f>
        <v>Pop</v>
      </c>
    </row>
    <row r="531" customFormat="false" ht="15" hidden="false" customHeight="false" outlineLevel="0" collapsed="false">
      <c r="A531" s="5" t="s">
        <v>1638</v>
      </c>
      <c r="B531" s="5" t="s">
        <v>1523</v>
      </c>
      <c r="C531" s="5" t="s">
        <v>363</v>
      </c>
      <c r="D531" s="5" t="s">
        <v>395</v>
      </c>
      <c r="E531" s="5" t="s">
        <v>1619</v>
      </c>
      <c r="F531" s="5" t="n">
        <v>11</v>
      </c>
      <c r="G531" s="5" t="n">
        <v>8</v>
      </c>
      <c r="H531" s="6" t="str">
        <f aca="false">IF(N531="","",N531&amp;IF(AND(MOD(N531,100)&gt;=11,MOD(N531,100)&lt;=13),"th",CHOOSE(MIN(5,MOD(N531,10)+1),"th","st","nd","rd","th")))</f>
        <v>8th</v>
      </c>
      <c r="I531" s="5" t="s">
        <v>1335</v>
      </c>
      <c r="J531" s="6" t="n">
        <f aca="false">IFERROR(INDEX(Rounds!$A:$A,MATCH(I531,Rounds!$B:$B,0)),"ADD LEAGUE TO ROUNDS")</f>
        <v>5</v>
      </c>
      <c r="K531" s="6" t="n">
        <f aca="false">IFERROR(VALUE(LEFT(E531,FIND(" - ",E531)-1)),"")</f>
        <v>8</v>
      </c>
      <c r="L531" s="5" t="s">
        <v>1639</v>
      </c>
      <c r="N531" s="6" t="n">
        <f aca="false">IF(F531="","",1+COUNTIFS($J:$J,J531,$K:$K,K531,$F:$F,"&gt;"&amp;F531)+COUNTIFS($J:$J,J531,$K:$K,K531,$F:$F,F531,$G:$G,"&gt;"&amp;G531))</f>
        <v>8</v>
      </c>
      <c r="O531" s="6" t="n">
        <f aca="false">IF(L531="","",SUMIFS(Votes!$E:$E,Votes!$A:$A,J531,Votes!$B:$B,K531,Votes!$D:$D,L531))</f>
        <v>11</v>
      </c>
      <c r="P531" s="6" t="n">
        <f aca="false">IF(L531="","",COUNTIFS(Votes!$A:$A,J531,Votes!$B:$B,K531,Votes!$D:$D,L531))</f>
        <v>8</v>
      </c>
      <c r="Q531" s="7" t="str">
        <f aca="false">IF(F531="","Unscored",IF(O531="","No URI",IF(AND(F531=0,O531=0),"Zero-vote",IF(AND(F531=O531,G531=P531),"OK",IF(AND(F531=0,O531&gt;0,COUNTIFS(Votes!$A:$A,J531,Votes!$B:$B,K531,Votes!$C:$C,D531)=0),"Forfeited","Mismatch")))))</f>
        <v>OK</v>
      </c>
      <c r="R531" s="6" t="n">
        <f aca="false">MAX(IF(L531&lt;&gt;"",COUNTIF($L:$L,L531),0),COUNTIFS($A:$A,A531,$B:$B,B531))</f>
        <v>1</v>
      </c>
      <c r="S531" s="6" t="str">
        <f aca="false">IF(R531&gt;1,COUNTIF($R$2:R531,"&gt;1"),"")</f>
        <v/>
      </c>
      <c r="T531" s="6" t="str">
        <f aca="false">IF(L531="","",J531&amp;"|"&amp;K531&amp;"|"&amp;L531)</f>
        <v>5|8|spotify:track:0Ph6L4l8dYUuXFmb71Ajnd</v>
      </c>
      <c r="U531" s="6" t="str">
        <f aca="false">IF(C531="","",IFERROR(INDEX(Lists!$F:$F,MATCH(C531,Lists!$E:$E,0)),"Unmapped"))</f>
        <v>Latin</v>
      </c>
    </row>
    <row r="532" customFormat="false" ht="15" hidden="false" customHeight="false" outlineLevel="0" collapsed="false">
      <c r="A532" s="5" t="s">
        <v>1640</v>
      </c>
      <c r="B532" s="5" t="s">
        <v>83</v>
      </c>
      <c r="C532" s="5" t="s">
        <v>84</v>
      </c>
      <c r="D532" s="5" t="s">
        <v>395</v>
      </c>
      <c r="E532" s="5" t="s">
        <v>1619</v>
      </c>
      <c r="F532" s="5" t="n">
        <v>11</v>
      </c>
      <c r="G532" s="5" t="n">
        <v>8</v>
      </c>
      <c r="H532" s="6" t="str">
        <f aca="false">IF(N532="","",N532&amp;IF(AND(MOD(N532,100)&gt;=11,MOD(N532,100)&lt;=13),"th",CHOOSE(MIN(5,MOD(N532,10)+1),"th","st","nd","rd","th")))</f>
        <v>8th</v>
      </c>
      <c r="I532" s="5" t="s">
        <v>1335</v>
      </c>
      <c r="J532" s="6" t="n">
        <f aca="false">IFERROR(INDEX(Rounds!$A:$A,MATCH(I532,Rounds!$B:$B,0)),"ADD LEAGUE TO ROUNDS")</f>
        <v>5</v>
      </c>
      <c r="K532" s="6" t="n">
        <f aca="false">IFERROR(VALUE(LEFT(E532,FIND(" - ",E532)-1)),"")</f>
        <v>8</v>
      </c>
      <c r="L532" s="5" t="s">
        <v>1641</v>
      </c>
      <c r="N532" s="6" t="n">
        <f aca="false">IF(F532="","",1+COUNTIFS($J:$J,J532,$K:$K,K532,$F:$F,"&gt;"&amp;F532)+COUNTIFS($J:$J,J532,$K:$K,K532,$F:$F,F532,$G:$G,"&gt;"&amp;G532))</f>
        <v>8</v>
      </c>
      <c r="O532" s="6" t="n">
        <f aca="false">IF(L532="","",SUMIFS(Votes!$E:$E,Votes!$A:$A,J532,Votes!$B:$B,K532,Votes!$D:$D,L532))</f>
        <v>11</v>
      </c>
      <c r="P532" s="6" t="n">
        <f aca="false">IF(L532="","",COUNTIFS(Votes!$A:$A,J532,Votes!$B:$B,K532,Votes!$D:$D,L532))</f>
        <v>8</v>
      </c>
      <c r="Q532" s="7" t="str">
        <f aca="false">IF(F532="","Unscored",IF(O532="","No URI",IF(AND(F532=0,O532=0),"Zero-vote",IF(AND(F532=O532,G532=P532),"OK",IF(AND(F532=0,O532&gt;0,COUNTIFS(Votes!$A:$A,J532,Votes!$B:$B,K532,Votes!$C:$C,D532)=0),"Forfeited","Mismatch")))))</f>
        <v>OK</v>
      </c>
      <c r="R532" s="6" t="n">
        <f aca="false">MAX(IF(L532&lt;&gt;"",COUNTIF($L:$L,L532),0),COUNTIFS($A:$A,A532,$B:$B,B532))</f>
        <v>1</v>
      </c>
      <c r="S532" s="6" t="str">
        <f aca="false">IF(R532&gt;1,COUNTIF($R$2:R532,"&gt;1"),"")</f>
        <v/>
      </c>
      <c r="T532" s="6" t="str">
        <f aca="false">IF(L532="","",J532&amp;"|"&amp;K532&amp;"|"&amp;L532)</f>
        <v>5|8|spotify:track:22vgEDb5hykfaTwLuskFGD</v>
      </c>
      <c r="U532" s="6" t="str">
        <f aca="false">IF(C532="","",IFERROR(INDEX(Lists!$F:$F,MATCH(C532,Lists!$E:$E,0)),"Unmapped"))</f>
        <v>Pop</v>
      </c>
    </row>
    <row r="533" customFormat="false" ht="15" hidden="false" customHeight="false" outlineLevel="0" collapsed="false">
      <c r="A533" s="5" t="s">
        <v>1642</v>
      </c>
      <c r="B533" s="5" t="s">
        <v>1643</v>
      </c>
      <c r="C533" s="5" t="s">
        <v>84</v>
      </c>
      <c r="D533" s="5" t="s">
        <v>101</v>
      </c>
      <c r="E533" s="5" t="s">
        <v>1619</v>
      </c>
      <c r="F533" s="5" t="n">
        <v>10</v>
      </c>
      <c r="G533" s="5" t="n">
        <v>8</v>
      </c>
      <c r="H533" s="6" t="str">
        <f aca="false">IF(N533="","",N533&amp;IF(AND(MOD(N533,100)&gt;=11,MOD(N533,100)&lt;=13),"th",CHOOSE(MIN(5,MOD(N533,10)+1),"th","st","nd","rd","th")))</f>
        <v>11th</v>
      </c>
      <c r="I533" s="5" t="s">
        <v>1335</v>
      </c>
      <c r="J533" s="6" t="n">
        <f aca="false">IFERROR(INDEX(Rounds!$A:$A,MATCH(I533,Rounds!$B:$B,0)),"ADD LEAGUE TO ROUNDS")</f>
        <v>5</v>
      </c>
      <c r="K533" s="6" t="n">
        <f aca="false">IFERROR(VALUE(LEFT(E533,FIND(" - ",E533)-1)),"")</f>
        <v>8</v>
      </c>
      <c r="L533" s="5" t="s">
        <v>1644</v>
      </c>
      <c r="N533" s="6" t="n">
        <f aca="false">IF(F533="","",1+COUNTIFS($J:$J,J533,$K:$K,K533,$F:$F,"&gt;"&amp;F533)+COUNTIFS($J:$J,J533,$K:$K,K533,$F:$F,F533,$G:$G,"&gt;"&amp;G533))</f>
        <v>11</v>
      </c>
      <c r="O533" s="6" t="n">
        <f aca="false">IF(L533="","",SUMIFS(Votes!$E:$E,Votes!$A:$A,J533,Votes!$B:$B,K533,Votes!$D:$D,L533))</f>
        <v>10</v>
      </c>
      <c r="P533" s="6" t="n">
        <f aca="false">IF(L533="","",COUNTIFS(Votes!$A:$A,J533,Votes!$B:$B,K533,Votes!$D:$D,L533))</f>
        <v>8</v>
      </c>
      <c r="Q533" s="7" t="str">
        <f aca="false">IF(F533="","Unscored",IF(O533="","No URI",IF(AND(F533=0,O533=0),"Zero-vote",IF(AND(F533=O533,G533=P533),"OK",IF(AND(F533=0,O533&gt;0,COUNTIFS(Votes!$A:$A,J533,Votes!$B:$B,K533,Votes!$C:$C,D533)=0),"Forfeited","Mismatch")))))</f>
        <v>OK</v>
      </c>
      <c r="R533" s="6" t="n">
        <f aca="false">MAX(IF(L533&lt;&gt;"",COUNTIF($L:$L,L533),0),COUNTIFS($A:$A,A533,$B:$B,B533))</f>
        <v>1</v>
      </c>
      <c r="S533" s="6" t="str">
        <f aca="false">IF(R533&gt;1,COUNTIF($R$2:R533,"&gt;1"),"")</f>
        <v/>
      </c>
      <c r="T533" s="6" t="str">
        <f aca="false">IF(L533="","",J533&amp;"|"&amp;K533&amp;"|"&amp;L533)</f>
        <v>5|8|spotify:track:11WbNwwAdoxfwpZxSHIP7J</v>
      </c>
      <c r="U533" s="6" t="str">
        <f aca="false">IF(C533="","",IFERROR(INDEX(Lists!$F:$F,MATCH(C533,Lists!$E:$E,0)),"Unmapped"))</f>
        <v>Pop</v>
      </c>
    </row>
    <row r="534" customFormat="false" ht="15" hidden="false" customHeight="false" outlineLevel="0" collapsed="false">
      <c r="A534" s="5" t="s">
        <v>1645</v>
      </c>
      <c r="B534" s="5" t="s">
        <v>471</v>
      </c>
      <c r="C534" s="5" t="s">
        <v>84</v>
      </c>
      <c r="D534" s="5" t="s">
        <v>97</v>
      </c>
      <c r="E534" s="5" t="s">
        <v>1619</v>
      </c>
      <c r="F534" s="5" t="n">
        <v>10</v>
      </c>
      <c r="G534" s="5" t="n">
        <v>7</v>
      </c>
      <c r="H534" s="6" t="str">
        <f aca="false">IF(N534="","",N534&amp;IF(AND(MOD(N534,100)&gt;=11,MOD(N534,100)&lt;=13),"th",CHOOSE(MIN(5,MOD(N534,10)+1),"th","st","nd","rd","th")))</f>
        <v>12th</v>
      </c>
      <c r="I534" s="5" t="s">
        <v>1335</v>
      </c>
      <c r="J534" s="6" t="n">
        <f aca="false">IFERROR(INDEX(Rounds!$A:$A,MATCH(I534,Rounds!$B:$B,0)),"ADD LEAGUE TO ROUNDS")</f>
        <v>5</v>
      </c>
      <c r="K534" s="6" t="n">
        <f aca="false">IFERROR(VALUE(LEFT(E534,FIND(" - ",E534)-1)),"")</f>
        <v>8</v>
      </c>
      <c r="L534" s="5" t="s">
        <v>1646</v>
      </c>
      <c r="N534" s="6" t="n">
        <f aca="false">IF(F534="","",1+COUNTIFS($J:$J,J534,$K:$K,K534,$F:$F,"&gt;"&amp;F534)+COUNTIFS($J:$J,J534,$K:$K,K534,$F:$F,F534,$G:$G,"&gt;"&amp;G534))</f>
        <v>12</v>
      </c>
      <c r="O534" s="6" t="n">
        <f aca="false">IF(L534="","",SUMIFS(Votes!$E:$E,Votes!$A:$A,J534,Votes!$B:$B,K534,Votes!$D:$D,L534))</f>
        <v>10</v>
      </c>
      <c r="P534" s="6" t="n">
        <f aca="false">IF(L534="","",COUNTIFS(Votes!$A:$A,J534,Votes!$B:$B,K534,Votes!$D:$D,L534))</f>
        <v>7</v>
      </c>
      <c r="Q534" s="7" t="str">
        <f aca="false">IF(F534="","Unscored",IF(O534="","No URI",IF(AND(F534=0,O534=0),"Zero-vote",IF(AND(F534=O534,G534=P534),"OK",IF(AND(F534=0,O534&gt;0,COUNTIFS(Votes!$A:$A,J534,Votes!$B:$B,K534,Votes!$C:$C,D534)=0),"Forfeited","Mismatch")))))</f>
        <v>OK</v>
      </c>
      <c r="R534" s="6" t="n">
        <f aca="false">MAX(IF(L534&lt;&gt;"",COUNTIF($L:$L,L534),0),COUNTIFS($A:$A,A534,$B:$B,B534))</f>
        <v>1</v>
      </c>
      <c r="S534" s="6" t="str">
        <f aca="false">IF(R534&gt;1,COUNTIF($R$2:R534,"&gt;1"),"")</f>
        <v/>
      </c>
      <c r="T534" s="6" t="str">
        <f aca="false">IF(L534="","",J534&amp;"|"&amp;K534&amp;"|"&amp;L534)</f>
        <v>5|8|spotify:track:5enxwA8aAbwZbf5qCHORXi</v>
      </c>
      <c r="U534" s="6" t="str">
        <f aca="false">IF(C534="","",IFERROR(INDEX(Lists!$F:$F,MATCH(C534,Lists!$E:$E,0)),"Unmapped"))</f>
        <v>Pop</v>
      </c>
    </row>
    <row r="535" customFormat="false" ht="15" hidden="false" customHeight="false" outlineLevel="0" collapsed="false">
      <c r="A535" s="5" t="s">
        <v>1647</v>
      </c>
      <c r="B535" s="5" t="s">
        <v>1648</v>
      </c>
      <c r="C535" s="5" t="s">
        <v>171</v>
      </c>
      <c r="D535" s="5" t="s">
        <v>92</v>
      </c>
      <c r="E535" s="5" t="s">
        <v>1619</v>
      </c>
      <c r="F535" s="5" t="n">
        <v>9</v>
      </c>
      <c r="G535" s="5" t="n">
        <v>8</v>
      </c>
      <c r="H535" s="6" t="str">
        <f aca="false">IF(N535="","",N535&amp;IF(AND(MOD(N535,100)&gt;=11,MOD(N535,100)&lt;=13),"th",CHOOSE(MIN(5,MOD(N535,10)+1),"th","st","nd","rd","th")))</f>
        <v>13th</v>
      </c>
      <c r="I535" s="5" t="s">
        <v>1335</v>
      </c>
      <c r="J535" s="6" t="n">
        <f aca="false">IFERROR(INDEX(Rounds!$A:$A,MATCH(I535,Rounds!$B:$B,0)),"ADD LEAGUE TO ROUNDS")</f>
        <v>5</v>
      </c>
      <c r="K535" s="6" t="n">
        <f aca="false">IFERROR(VALUE(LEFT(E535,FIND(" - ",E535)-1)),"")</f>
        <v>8</v>
      </c>
      <c r="L535" s="5" t="s">
        <v>1649</v>
      </c>
      <c r="N535" s="6" t="n">
        <f aca="false">IF(F535="","",1+COUNTIFS($J:$J,J535,$K:$K,K535,$F:$F,"&gt;"&amp;F535)+COUNTIFS($J:$J,J535,$K:$K,K535,$F:$F,F535,$G:$G,"&gt;"&amp;G535))</f>
        <v>13</v>
      </c>
      <c r="O535" s="6" t="n">
        <f aca="false">IF(L535="","",SUMIFS(Votes!$E:$E,Votes!$A:$A,J535,Votes!$B:$B,K535,Votes!$D:$D,L535))</f>
        <v>9</v>
      </c>
      <c r="P535" s="6" t="n">
        <f aca="false">IF(L535="","",COUNTIFS(Votes!$A:$A,J535,Votes!$B:$B,K535,Votes!$D:$D,L535))</f>
        <v>8</v>
      </c>
      <c r="Q535" s="7" t="str">
        <f aca="false">IF(F535="","Unscored",IF(O535="","No URI",IF(AND(F535=0,O535=0),"Zero-vote",IF(AND(F535=O535,G535=P535),"OK",IF(AND(F535=0,O535&gt;0,COUNTIFS(Votes!$A:$A,J535,Votes!$B:$B,K535,Votes!$C:$C,D535)=0),"Forfeited","Mismatch")))))</f>
        <v>OK</v>
      </c>
      <c r="R535" s="6" t="n">
        <f aca="false">MAX(IF(L535&lt;&gt;"",COUNTIF($L:$L,L535),0),COUNTIFS($A:$A,A535,$B:$B,B535))</f>
        <v>1</v>
      </c>
      <c r="S535" s="6" t="str">
        <f aca="false">IF(R535&gt;1,COUNTIF($R$2:R535,"&gt;1"),"")</f>
        <v/>
      </c>
      <c r="T535" s="6" t="str">
        <f aca="false">IF(L535="","",J535&amp;"|"&amp;K535&amp;"|"&amp;L535)</f>
        <v>5|8|spotify:track:77a5Eu7lC3tG0Sukt2O91U</v>
      </c>
      <c r="U535" s="6" t="str">
        <f aca="false">IF(C535="","",IFERROR(INDEX(Lists!$F:$F,MATCH(C535,Lists!$E:$E,0)),"Unmapped"))</f>
        <v>Country</v>
      </c>
    </row>
    <row r="536" customFormat="false" ht="15" hidden="false" customHeight="false" outlineLevel="0" collapsed="false">
      <c r="A536" s="5" t="s">
        <v>1650</v>
      </c>
      <c r="B536" s="5" t="s">
        <v>1651</v>
      </c>
      <c r="C536" s="5" t="s">
        <v>91</v>
      </c>
      <c r="D536" s="5" t="s">
        <v>705</v>
      </c>
      <c r="E536" s="5" t="s">
        <v>1619</v>
      </c>
      <c r="F536" s="5" t="n">
        <v>9</v>
      </c>
      <c r="G536" s="5" t="n">
        <v>8</v>
      </c>
      <c r="H536" s="6" t="str">
        <f aca="false">IF(N536="","",N536&amp;IF(AND(MOD(N536,100)&gt;=11,MOD(N536,100)&lt;=13),"th",CHOOSE(MIN(5,MOD(N536,10)+1),"th","st","nd","rd","th")))</f>
        <v>13th</v>
      </c>
      <c r="I536" s="5" t="s">
        <v>1335</v>
      </c>
      <c r="J536" s="6" t="n">
        <f aca="false">IFERROR(INDEX(Rounds!$A:$A,MATCH(I536,Rounds!$B:$B,0)),"ADD LEAGUE TO ROUNDS")</f>
        <v>5</v>
      </c>
      <c r="K536" s="6" t="n">
        <f aca="false">IFERROR(VALUE(LEFT(E536,FIND(" - ",E536)-1)),"")</f>
        <v>8</v>
      </c>
      <c r="L536" s="5" t="s">
        <v>1652</v>
      </c>
      <c r="N536" s="6" t="n">
        <f aca="false">IF(F536="","",1+COUNTIFS($J:$J,J536,$K:$K,K536,$F:$F,"&gt;"&amp;F536)+COUNTIFS($J:$J,J536,$K:$K,K536,$F:$F,F536,$G:$G,"&gt;"&amp;G536))</f>
        <v>13</v>
      </c>
      <c r="O536" s="6" t="n">
        <f aca="false">IF(L536="","",SUMIFS(Votes!$E:$E,Votes!$A:$A,J536,Votes!$B:$B,K536,Votes!$D:$D,L536))</f>
        <v>9</v>
      </c>
      <c r="P536" s="6" t="n">
        <f aca="false">IF(L536="","",COUNTIFS(Votes!$A:$A,J536,Votes!$B:$B,K536,Votes!$D:$D,L536))</f>
        <v>8</v>
      </c>
      <c r="Q536" s="7" t="str">
        <f aca="false">IF(F536="","Unscored",IF(O536="","No URI",IF(AND(F536=0,O536=0),"Zero-vote",IF(AND(F536=O536,G536=P536),"OK",IF(AND(F536=0,O536&gt;0,COUNTIFS(Votes!$A:$A,J536,Votes!$B:$B,K536,Votes!$C:$C,D536)=0),"Forfeited","Mismatch")))))</f>
        <v>OK</v>
      </c>
      <c r="R536" s="6" t="n">
        <f aca="false">MAX(IF(L536&lt;&gt;"",COUNTIF($L:$L,L536),0),COUNTIFS($A:$A,A536,$B:$B,B536))</f>
        <v>1</v>
      </c>
      <c r="S536" s="6" t="str">
        <f aca="false">IF(R536&gt;1,COUNTIF($R$2:R536,"&gt;1"),"")</f>
        <v/>
      </c>
      <c r="T536" s="6" t="str">
        <f aca="false">IF(L536="","",J536&amp;"|"&amp;K536&amp;"|"&amp;L536)</f>
        <v>5|8|spotify:track:6hTcuIQa0sxrrByu9wTD7s</v>
      </c>
      <c r="U536" s="6" t="str">
        <f aca="false">IF(C536="","",IFERROR(INDEX(Lists!$F:$F,MATCH(C536,Lists!$E:$E,0)),"Unmapped"))</f>
        <v>Rock</v>
      </c>
    </row>
    <row r="537" customFormat="false" ht="15" hidden="false" customHeight="false" outlineLevel="0" collapsed="false">
      <c r="A537" s="5" t="s">
        <v>1653</v>
      </c>
      <c r="B537" s="5" t="s">
        <v>1654</v>
      </c>
      <c r="C537" s="5" t="s">
        <v>84</v>
      </c>
      <c r="D537" s="5" t="s">
        <v>116</v>
      </c>
      <c r="E537" s="5" t="s">
        <v>1619</v>
      </c>
      <c r="F537" s="5" t="n">
        <v>9</v>
      </c>
      <c r="G537" s="5" t="n">
        <v>7</v>
      </c>
      <c r="H537" s="6" t="str">
        <f aca="false">IF(N537="","",N537&amp;IF(AND(MOD(N537,100)&gt;=11,MOD(N537,100)&lt;=13),"th",CHOOSE(MIN(5,MOD(N537,10)+1),"th","st","nd","rd","th")))</f>
        <v>15th</v>
      </c>
      <c r="I537" s="5" t="s">
        <v>1335</v>
      </c>
      <c r="J537" s="6" t="n">
        <f aca="false">IFERROR(INDEX(Rounds!$A:$A,MATCH(I537,Rounds!$B:$B,0)),"ADD LEAGUE TO ROUNDS")</f>
        <v>5</v>
      </c>
      <c r="K537" s="6" t="n">
        <f aca="false">IFERROR(VALUE(LEFT(E537,FIND(" - ",E537)-1)),"")</f>
        <v>8</v>
      </c>
      <c r="L537" s="5" t="s">
        <v>1655</v>
      </c>
      <c r="N537" s="6" t="n">
        <f aca="false">IF(F537="","",1+COUNTIFS($J:$J,J537,$K:$K,K537,$F:$F,"&gt;"&amp;F537)+COUNTIFS($J:$J,J537,$K:$K,K537,$F:$F,F537,$G:$G,"&gt;"&amp;G537))</f>
        <v>15</v>
      </c>
      <c r="O537" s="6" t="n">
        <f aca="false">IF(L537="","",SUMIFS(Votes!$E:$E,Votes!$A:$A,J537,Votes!$B:$B,K537,Votes!$D:$D,L537))</f>
        <v>9</v>
      </c>
      <c r="P537" s="6" t="n">
        <f aca="false">IF(L537="","",COUNTIFS(Votes!$A:$A,J537,Votes!$B:$B,K537,Votes!$D:$D,L537))</f>
        <v>7</v>
      </c>
      <c r="Q537" s="7" t="str">
        <f aca="false">IF(F537="","Unscored",IF(O537="","No URI",IF(AND(F537=0,O537=0),"Zero-vote",IF(AND(F537=O537,G537=P537),"OK",IF(AND(F537=0,O537&gt;0,COUNTIFS(Votes!$A:$A,J537,Votes!$B:$B,K537,Votes!$C:$C,D537)=0),"Forfeited","Mismatch")))))</f>
        <v>OK</v>
      </c>
      <c r="R537" s="6" t="n">
        <f aca="false">MAX(IF(L537&lt;&gt;"",COUNTIF($L:$L,L537),0),COUNTIFS($A:$A,A537,$B:$B,B537))</f>
        <v>1</v>
      </c>
      <c r="S537" s="6" t="str">
        <f aca="false">IF(R537&gt;1,COUNTIF($R$2:R537,"&gt;1"),"")</f>
        <v/>
      </c>
      <c r="T537" s="6" t="str">
        <f aca="false">IF(L537="","",J537&amp;"|"&amp;K537&amp;"|"&amp;L537)</f>
        <v>5|8|spotify:track:4buDeg67vos7KP1yHrS9wl</v>
      </c>
      <c r="U537" s="6" t="str">
        <f aca="false">IF(C537="","",IFERROR(INDEX(Lists!$F:$F,MATCH(C537,Lists!$E:$E,0)),"Unmapped"))</f>
        <v>Pop</v>
      </c>
    </row>
    <row r="538" customFormat="false" ht="15" hidden="false" customHeight="false" outlineLevel="0" collapsed="false">
      <c r="A538" s="5" t="s">
        <v>1656</v>
      </c>
      <c r="B538" s="5" t="s">
        <v>1657</v>
      </c>
      <c r="C538" s="5" t="s">
        <v>91</v>
      </c>
      <c r="D538" s="5" t="s">
        <v>705</v>
      </c>
      <c r="E538" s="5" t="s">
        <v>1619</v>
      </c>
      <c r="F538" s="5" t="n">
        <v>9</v>
      </c>
      <c r="G538" s="5" t="n">
        <v>6</v>
      </c>
      <c r="H538" s="6" t="str">
        <f aca="false">IF(N538="","",N538&amp;IF(AND(MOD(N538,100)&gt;=11,MOD(N538,100)&lt;=13),"th",CHOOSE(MIN(5,MOD(N538,10)+1),"th","st","nd","rd","th")))</f>
        <v>16th</v>
      </c>
      <c r="I538" s="5" t="s">
        <v>1335</v>
      </c>
      <c r="J538" s="6" t="n">
        <f aca="false">IFERROR(INDEX(Rounds!$A:$A,MATCH(I538,Rounds!$B:$B,0)),"ADD LEAGUE TO ROUNDS")</f>
        <v>5</v>
      </c>
      <c r="K538" s="6" t="n">
        <f aca="false">IFERROR(VALUE(LEFT(E538,FIND(" - ",E538)-1)),"")</f>
        <v>8</v>
      </c>
      <c r="L538" s="5" t="s">
        <v>1658</v>
      </c>
      <c r="N538" s="6" t="n">
        <f aca="false">IF(F538="","",1+COUNTIFS($J:$J,J538,$K:$K,K538,$F:$F,"&gt;"&amp;F538)+COUNTIFS($J:$J,J538,$K:$K,K538,$F:$F,F538,$G:$G,"&gt;"&amp;G538))</f>
        <v>16</v>
      </c>
      <c r="O538" s="6" t="n">
        <f aca="false">IF(L538="","",SUMIFS(Votes!$E:$E,Votes!$A:$A,J538,Votes!$B:$B,K538,Votes!$D:$D,L538))</f>
        <v>9</v>
      </c>
      <c r="P538" s="6" t="n">
        <f aca="false">IF(L538="","",COUNTIFS(Votes!$A:$A,J538,Votes!$B:$B,K538,Votes!$D:$D,L538))</f>
        <v>6</v>
      </c>
      <c r="Q538" s="7" t="str">
        <f aca="false">IF(F538="","Unscored",IF(O538="","No URI",IF(AND(F538=0,O538=0),"Zero-vote",IF(AND(F538=O538,G538=P538),"OK",IF(AND(F538=0,O538&gt;0,COUNTIFS(Votes!$A:$A,J538,Votes!$B:$B,K538,Votes!$C:$C,D538)=0),"Forfeited","Mismatch")))))</f>
        <v>OK</v>
      </c>
      <c r="R538" s="6" t="n">
        <f aca="false">MAX(IF(L538&lt;&gt;"",COUNTIF($L:$L,L538),0),COUNTIFS($A:$A,A538,$B:$B,B538))</f>
        <v>1</v>
      </c>
      <c r="S538" s="6" t="str">
        <f aca="false">IF(R538&gt;1,COUNTIF($R$2:R538,"&gt;1"),"")</f>
        <v/>
      </c>
      <c r="T538" s="6" t="str">
        <f aca="false">IF(L538="","",J538&amp;"|"&amp;K538&amp;"|"&amp;L538)</f>
        <v>5|8|spotify:track:22ML0MuFKfw16WejbxsLOy</v>
      </c>
      <c r="U538" s="6" t="str">
        <f aca="false">IF(C538="","",IFERROR(INDEX(Lists!$F:$F,MATCH(C538,Lists!$E:$E,0)),"Unmapped"))</f>
        <v>Rock</v>
      </c>
    </row>
    <row r="539" customFormat="false" ht="15" hidden="false" customHeight="false" outlineLevel="0" collapsed="false">
      <c r="A539" s="5" t="s">
        <v>1659</v>
      </c>
      <c r="B539" s="5" t="s">
        <v>557</v>
      </c>
      <c r="C539" s="5" t="s">
        <v>91</v>
      </c>
      <c r="D539" s="5" t="s">
        <v>637</v>
      </c>
      <c r="E539" s="5" t="s">
        <v>1619</v>
      </c>
      <c r="F539" s="5" t="n">
        <v>9</v>
      </c>
      <c r="G539" s="5" t="n">
        <v>6</v>
      </c>
      <c r="H539" s="6" t="str">
        <f aca="false">IF(N539="","",N539&amp;IF(AND(MOD(N539,100)&gt;=11,MOD(N539,100)&lt;=13),"th",CHOOSE(MIN(5,MOD(N539,10)+1),"th","st","nd","rd","th")))</f>
        <v>16th</v>
      </c>
      <c r="I539" s="5" t="s">
        <v>1335</v>
      </c>
      <c r="J539" s="6" t="n">
        <f aca="false">IFERROR(INDEX(Rounds!$A:$A,MATCH(I539,Rounds!$B:$B,0)),"ADD LEAGUE TO ROUNDS")</f>
        <v>5</v>
      </c>
      <c r="K539" s="6" t="n">
        <f aca="false">IFERROR(VALUE(LEFT(E539,FIND(" - ",E539)-1)),"")</f>
        <v>8</v>
      </c>
      <c r="L539" s="5" t="s">
        <v>1660</v>
      </c>
      <c r="N539" s="6" t="n">
        <f aca="false">IF(F539="","",1+COUNTIFS($J:$J,J539,$K:$K,K539,$F:$F,"&gt;"&amp;F539)+COUNTIFS($J:$J,J539,$K:$K,K539,$F:$F,F539,$G:$G,"&gt;"&amp;G539))</f>
        <v>16</v>
      </c>
      <c r="O539" s="6" t="n">
        <f aca="false">IF(L539="","",SUMIFS(Votes!$E:$E,Votes!$A:$A,J539,Votes!$B:$B,K539,Votes!$D:$D,L539))</f>
        <v>9</v>
      </c>
      <c r="P539" s="6" t="n">
        <f aca="false">IF(L539="","",COUNTIFS(Votes!$A:$A,J539,Votes!$B:$B,K539,Votes!$D:$D,L539))</f>
        <v>6</v>
      </c>
      <c r="Q539" s="7" t="str">
        <f aca="false">IF(F539="","Unscored",IF(O539="","No URI",IF(AND(F539=0,O539=0),"Zero-vote",IF(AND(F539=O539,G539=P539),"OK",IF(AND(F539=0,O539&gt;0,COUNTIFS(Votes!$A:$A,J539,Votes!$B:$B,K539,Votes!$C:$C,D539)=0),"Forfeited","Mismatch")))))</f>
        <v>OK</v>
      </c>
      <c r="R539" s="6" t="n">
        <f aca="false">MAX(IF(L539&lt;&gt;"",COUNTIF($L:$L,L539),0),COUNTIFS($A:$A,A539,$B:$B,B539))</f>
        <v>1</v>
      </c>
      <c r="S539" s="6" t="str">
        <f aca="false">IF(R539&gt;1,COUNTIF($R$2:R539,"&gt;1"),"")</f>
        <v/>
      </c>
      <c r="T539" s="6" t="str">
        <f aca="false">IF(L539="","",J539&amp;"|"&amp;K539&amp;"|"&amp;L539)</f>
        <v>5|8|spotify:track:3rEwGRmPVVudVjqdgv0tRR</v>
      </c>
      <c r="U539" s="6" t="str">
        <f aca="false">IF(C539="","",IFERROR(INDEX(Lists!$F:$F,MATCH(C539,Lists!$E:$E,0)),"Unmapped"))</f>
        <v>Rock</v>
      </c>
    </row>
    <row r="540" customFormat="false" ht="15" hidden="false" customHeight="false" outlineLevel="0" collapsed="false">
      <c r="A540" s="5" t="s">
        <v>1661</v>
      </c>
      <c r="B540" s="5" t="s">
        <v>459</v>
      </c>
      <c r="C540" s="5" t="s">
        <v>84</v>
      </c>
      <c r="D540" s="5" t="s">
        <v>382</v>
      </c>
      <c r="E540" s="5" t="s">
        <v>1619</v>
      </c>
      <c r="F540" s="5" t="n">
        <v>9</v>
      </c>
      <c r="G540" s="5" t="n">
        <v>6</v>
      </c>
      <c r="H540" s="6" t="str">
        <f aca="false">IF(N540="","",N540&amp;IF(AND(MOD(N540,100)&gt;=11,MOD(N540,100)&lt;=13),"th",CHOOSE(MIN(5,MOD(N540,10)+1),"th","st","nd","rd","th")))</f>
        <v>16th</v>
      </c>
      <c r="I540" s="5" t="s">
        <v>1335</v>
      </c>
      <c r="J540" s="6" t="n">
        <f aca="false">IFERROR(INDEX(Rounds!$A:$A,MATCH(I540,Rounds!$B:$B,0)),"ADD LEAGUE TO ROUNDS")</f>
        <v>5</v>
      </c>
      <c r="K540" s="6" t="n">
        <f aca="false">IFERROR(VALUE(LEFT(E540,FIND(" - ",E540)-1)),"")</f>
        <v>8</v>
      </c>
      <c r="L540" s="5" t="s">
        <v>1662</v>
      </c>
      <c r="N540" s="6" t="n">
        <f aca="false">IF(F540="","",1+COUNTIFS($J:$J,J540,$K:$K,K540,$F:$F,"&gt;"&amp;F540)+COUNTIFS($J:$J,J540,$K:$K,K540,$F:$F,F540,$G:$G,"&gt;"&amp;G540))</f>
        <v>16</v>
      </c>
      <c r="O540" s="6" t="n">
        <f aca="false">IF(L540="","",SUMIFS(Votes!$E:$E,Votes!$A:$A,J540,Votes!$B:$B,K540,Votes!$D:$D,L540))</f>
        <v>9</v>
      </c>
      <c r="P540" s="6" t="n">
        <f aca="false">IF(L540="","",COUNTIFS(Votes!$A:$A,J540,Votes!$B:$B,K540,Votes!$D:$D,L540))</f>
        <v>6</v>
      </c>
      <c r="Q540" s="7" t="str">
        <f aca="false">IF(F540="","Unscored",IF(O540="","No URI",IF(AND(F540=0,O540=0),"Zero-vote",IF(AND(F540=O540,G540=P540),"OK",IF(AND(F540=0,O540&gt;0,COUNTIFS(Votes!$A:$A,J540,Votes!$B:$B,K540,Votes!$C:$C,D540)=0),"Forfeited","Mismatch")))))</f>
        <v>OK</v>
      </c>
      <c r="R540" s="6" t="n">
        <f aca="false">MAX(IF(L540&lt;&gt;"",COUNTIF($L:$L,L540),0),COUNTIFS($A:$A,A540,$B:$B,B540))</f>
        <v>1</v>
      </c>
      <c r="S540" s="6" t="str">
        <f aca="false">IF(R540&gt;1,COUNTIF($R$2:R540,"&gt;1"),"")</f>
        <v/>
      </c>
      <c r="T540" s="6" t="str">
        <f aca="false">IF(L540="","",J540&amp;"|"&amp;K540&amp;"|"&amp;L540)</f>
        <v>5|8|spotify:track:0roPf0bwAsBDZv1bR15m15</v>
      </c>
      <c r="U540" s="6" t="str">
        <f aca="false">IF(C540="","",IFERROR(INDEX(Lists!$F:$F,MATCH(C540,Lists!$E:$E,0)),"Unmapped"))</f>
        <v>Pop</v>
      </c>
    </row>
    <row r="541" customFormat="false" ht="15" hidden="false" customHeight="false" outlineLevel="0" collapsed="false">
      <c r="A541" s="5" t="s">
        <v>1663</v>
      </c>
      <c r="B541" s="5" t="s">
        <v>1664</v>
      </c>
      <c r="C541" s="5" t="s">
        <v>91</v>
      </c>
      <c r="D541" s="5" t="s">
        <v>719</v>
      </c>
      <c r="E541" s="5" t="s">
        <v>1619</v>
      </c>
      <c r="F541" s="5" t="n">
        <v>9</v>
      </c>
      <c r="G541" s="5" t="n">
        <v>5</v>
      </c>
      <c r="H541" s="6" t="str">
        <f aca="false">IF(N541="","",N541&amp;IF(AND(MOD(N541,100)&gt;=11,MOD(N541,100)&lt;=13),"th",CHOOSE(MIN(5,MOD(N541,10)+1),"th","st","nd","rd","th")))</f>
        <v>19th</v>
      </c>
      <c r="I541" s="5" t="s">
        <v>1335</v>
      </c>
      <c r="J541" s="6" t="n">
        <f aca="false">IFERROR(INDEX(Rounds!$A:$A,MATCH(I541,Rounds!$B:$B,0)),"ADD LEAGUE TO ROUNDS")</f>
        <v>5</v>
      </c>
      <c r="K541" s="6" t="n">
        <f aca="false">IFERROR(VALUE(LEFT(E541,FIND(" - ",E541)-1)),"")</f>
        <v>8</v>
      </c>
      <c r="L541" s="5" t="s">
        <v>1665</v>
      </c>
      <c r="N541" s="6" t="n">
        <f aca="false">IF(F541="","",1+COUNTIFS($J:$J,J541,$K:$K,K541,$F:$F,"&gt;"&amp;F541)+COUNTIFS($J:$J,J541,$K:$K,K541,$F:$F,F541,$G:$G,"&gt;"&amp;G541))</f>
        <v>19</v>
      </c>
      <c r="O541" s="6" t="n">
        <f aca="false">IF(L541="","",SUMIFS(Votes!$E:$E,Votes!$A:$A,J541,Votes!$B:$B,K541,Votes!$D:$D,L541))</f>
        <v>9</v>
      </c>
      <c r="P541" s="6" t="n">
        <f aca="false">IF(L541="","",COUNTIFS(Votes!$A:$A,J541,Votes!$B:$B,K541,Votes!$D:$D,L541))</f>
        <v>5</v>
      </c>
      <c r="Q541" s="7" t="str">
        <f aca="false">IF(F541="","Unscored",IF(O541="","No URI",IF(AND(F541=0,O541=0),"Zero-vote",IF(AND(F541=O541,G541=P541),"OK",IF(AND(F541=0,O541&gt;0,COUNTIFS(Votes!$A:$A,J541,Votes!$B:$B,K541,Votes!$C:$C,D541)=0),"Forfeited","Mismatch")))))</f>
        <v>OK</v>
      </c>
      <c r="R541" s="6" t="n">
        <f aca="false">MAX(IF(L541&lt;&gt;"",COUNTIF($L:$L,L541),0),COUNTIFS($A:$A,A541,$B:$B,B541))</f>
        <v>1</v>
      </c>
      <c r="S541" s="6" t="str">
        <f aca="false">IF(R541&gt;1,COUNTIF($R$2:R541,"&gt;1"),"")</f>
        <v/>
      </c>
      <c r="T541" s="6" t="str">
        <f aca="false">IF(L541="","",J541&amp;"|"&amp;K541&amp;"|"&amp;L541)</f>
        <v>5|8|spotify:track:5OWokvF4QOqMDQ8ByQsm6V</v>
      </c>
      <c r="U541" s="6" t="str">
        <f aca="false">IF(C541="","",IFERROR(INDEX(Lists!$F:$F,MATCH(C541,Lists!$E:$E,0)),"Unmapped"))</f>
        <v>Rock</v>
      </c>
    </row>
    <row r="542" customFormat="false" ht="15" hidden="false" customHeight="false" outlineLevel="0" collapsed="false">
      <c r="A542" s="5" t="s">
        <v>1666</v>
      </c>
      <c r="B542" s="5" t="s">
        <v>100</v>
      </c>
      <c r="C542" s="5" t="s">
        <v>91</v>
      </c>
      <c r="D542" s="5" t="s">
        <v>101</v>
      </c>
      <c r="E542" s="5" t="s">
        <v>1619</v>
      </c>
      <c r="F542" s="5" t="n">
        <v>8</v>
      </c>
      <c r="G542" s="5" t="n">
        <v>7</v>
      </c>
      <c r="H542" s="6" t="str">
        <f aca="false">IF(N542="","",N542&amp;IF(AND(MOD(N542,100)&gt;=11,MOD(N542,100)&lt;=13),"th",CHOOSE(MIN(5,MOD(N542,10)+1),"th","st","nd","rd","th")))</f>
        <v>20th</v>
      </c>
      <c r="I542" s="5" t="s">
        <v>1335</v>
      </c>
      <c r="J542" s="6" t="n">
        <f aca="false">IFERROR(INDEX(Rounds!$A:$A,MATCH(I542,Rounds!$B:$B,0)),"ADD LEAGUE TO ROUNDS")</f>
        <v>5</v>
      </c>
      <c r="K542" s="6" t="n">
        <f aca="false">IFERROR(VALUE(LEFT(E542,FIND(" - ",E542)-1)),"")</f>
        <v>8</v>
      </c>
      <c r="L542" s="5" t="s">
        <v>1667</v>
      </c>
      <c r="N542" s="6" t="n">
        <f aca="false">IF(F542="","",1+COUNTIFS($J:$J,J542,$K:$K,K542,$F:$F,"&gt;"&amp;F542)+COUNTIFS($J:$J,J542,$K:$K,K542,$F:$F,F542,$G:$G,"&gt;"&amp;G542))</f>
        <v>20</v>
      </c>
      <c r="O542" s="6" t="n">
        <f aca="false">IF(L542="","",SUMIFS(Votes!$E:$E,Votes!$A:$A,J542,Votes!$B:$B,K542,Votes!$D:$D,L542))</f>
        <v>8</v>
      </c>
      <c r="P542" s="6" t="n">
        <f aca="false">IF(L542="","",COUNTIFS(Votes!$A:$A,J542,Votes!$B:$B,K542,Votes!$D:$D,L542))</f>
        <v>7</v>
      </c>
      <c r="Q542" s="7" t="str">
        <f aca="false">IF(F542="","Unscored",IF(O542="","No URI",IF(AND(F542=0,O542=0),"Zero-vote",IF(AND(F542=O542,G542=P542),"OK",IF(AND(F542=0,O542&gt;0,COUNTIFS(Votes!$A:$A,J542,Votes!$B:$B,K542,Votes!$C:$C,D542)=0),"Forfeited","Mismatch")))))</f>
        <v>OK</v>
      </c>
      <c r="R542" s="6" t="n">
        <f aca="false">MAX(IF(L542&lt;&gt;"",COUNTIF($L:$L,L542),0),COUNTIFS($A:$A,A542,$B:$B,B542))</f>
        <v>1</v>
      </c>
      <c r="S542" s="6" t="str">
        <f aca="false">IF(R542&gt;1,COUNTIF($R$2:R542,"&gt;1"),"")</f>
        <v/>
      </c>
      <c r="T542" s="6" t="str">
        <f aca="false">IF(L542="","",J542&amp;"|"&amp;K542&amp;"|"&amp;L542)</f>
        <v>5|8|spotify:track:6PUYqQtGWVAovZrLC9BIqt</v>
      </c>
      <c r="U542" s="6" t="str">
        <f aca="false">IF(C542="","",IFERROR(INDEX(Lists!$F:$F,MATCH(C542,Lists!$E:$E,0)),"Unmapped"))</f>
        <v>Rock</v>
      </c>
    </row>
    <row r="543" customFormat="false" ht="15" hidden="false" customHeight="false" outlineLevel="0" collapsed="false">
      <c r="A543" s="5" t="s">
        <v>1668</v>
      </c>
      <c r="B543" s="5" t="s">
        <v>471</v>
      </c>
      <c r="C543" s="5" t="s">
        <v>84</v>
      </c>
      <c r="D543" s="5" t="s">
        <v>85</v>
      </c>
      <c r="E543" s="5" t="s">
        <v>1619</v>
      </c>
      <c r="F543" s="5" t="n">
        <v>8</v>
      </c>
      <c r="G543" s="5" t="n">
        <v>7</v>
      </c>
      <c r="H543" s="6" t="str">
        <f aca="false">IF(N543="","",N543&amp;IF(AND(MOD(N543,100)&gt;=11,MOD(N543,100)&lt;=13),"th",CHOOSE(MIN(5,MOD(N543,10)+1),"th","st","nd","rd","th")))</f>
        <v>20th</v>
      </c>
      <c r="I543" s="5" t="s">
        <v>1335</v>
      </c>
      <c r="J543" s="6" t="n">
        <f aca="false">IFERROR(INDEX(Rounds!$A:$A,MATCH(I543,Rounds!$B:$B,0)),"ADD LEAGUE TO ROUNDS")</f>
        <v>5</v>
      </c>
      <c r="K543" s="6" t="n">
        <f aca="false">IFERROR(VALUE(LEFT(E543,FIND(" - ",E543)-1)),"")</f>
        <v>8</v>
      </c>
      <c r="L543" s="5" t="s">
        <v>1669</v>
      </c>
      <c r="N543" s="6" t="n">
        <f aca="false">IF(F543="","",1+COUNTIFS($J:$J,J543,$K:$K,K543,$F:$F,"&gt;"&amp;F543)+COUNTIFS($J:$J,J543,$K:$K,K543,$F:$F,F543,$G:$G,"&gt;"&amp;G543))</f>
        <v>20</v>
      </c>
      <c r="O543" s="6" t="n">
        <f aca="false">IF(L543="","",SUMIFS(Votes!$E:$E,Votes!$A:$A,J543,Votes!$B:$B,K543,Votes!$D:$D,L543))</f>
        <v>8</v>
      </c>
      <c r="P543" s="6" t="n">
        <f aca="false">IF(L543="","",COUNTIFS(Votes!$A:$A,J543,Votes!$B:$B,K543,Votes!$D:$D,L543))</f>
        <v>7</v>
      </c>
      <c r="Q543" s="7" t="str">
        <f aca="false">IF(F543="","Unscored",IF(O543="","No URI",IF(AND(F543=0,O543=0),"Zero-vote",IF(AND(F543=O543,G543=P543),"OK",IF(AND(F543=0,O543&gt;0,COUNTIFS(Votes!$A:$A,J543,Votes!$B:$B,K543,Votes!$C:$C,D543)=0),"Forfeited","Mismatch")))))</f>
        <v>OK</v>
      </c>
      <c r="R543" s="6" t="n">
        <f aca="false">MAX(IF(L543&lt;&gt;"",COUNTIF($L:$L,L543),0),COUNTIFS($A:$A,A543,$B:$B,B543))</f>
        <v>1</v>
      </c>
      <c r="S543" s="6" t="str">
        <f aca="false">IF(R543&gt;1,COUNTIF($R$2:R543,"&gt;1"),"")</f>
        <v/>
      </c>
      <c r="T543" s="6" t="str">
        <f aca="false">IF(L543="","",J543&amp;"|"&amp;K543&amp;"|"&amp;L543)</f>
        <v>5|8|spotify:track:1vrd6UOGamcKNGnSHJQlSt</v>
      </c>
      <c r="U543" s="6" t="str">
        <f aca="false">IF(C543="","",IFERROR(INDEX(Lists!$F:$F,MATCH(C543,Lists!$E:$E,0)),"Unmapped"))</f>
        <v>Pop</v>
      </c>
    </row>
    <row r="544" customFormat="false" ht="15" hidden="false" customHeight="false" outlineLevel="0" collapsed="false">
      <c r="A544" s="5" t="s">
        <v>1670</v>
      </c>
      <c r="B544" s="5" t="s">
        <v>614</v>
      </c>
      <c r="C544" s="5" t="s">
        <v>91</v>
      </c>
      <c r="D544" s="5" t="s">
        <v>106</v>
      </c>
      <c r="E544" s="5" t="s">
        <v>1619</v>
      </c>
      <c r="F544" s="5" t="n">
        <v>8</v>
      </c>
      <c r="G544" s="5" t="n">
        <v>7</v>
      </c>
      <c r="H544" s="6" t="str">
        <f aca="false">IF(N544="","",N544&amp;IF(AND(MOD(N544,100)&gt;=11,MOD(N544,100)&lt;=13),"th",CHOOSE(MIN(5,MOD(N544,10)+1),"th","st","nd","rd","th")))</f>
        <v>20th</v>
      </c>
      <c r="I544" s="5" t="s">
        <v>1335</v>
      </c>
      <c r="J544" s="6" t="n">
        <f aca="false">IFERROR(INDEX(Rounds!$A:$A,MATCH(I544,Rounds!$B:$B,0)),"ADD LEAGUE TO ROUNDS")</f>
        <v>5</v>
      </c>
      <c r="K544" s="6" t="n">
        <f aca="false">IFERROR(VALUE(LEFT(E544,FIND(" - ",E544)-1)),"")</f>
        <v>8</v>
      </c>
      <c r="L544" s="5" t="s">
        <v>1671</v>
      </c>
      <c r="N544" s="6" t="n">
        <f aca="false">IF(F544="","",1+COUNTIFS($J:$J,J544,$K:$K,K544,$F:$F,"&gt;"&amp;F544)+COUNTIFS($J:$J,J544,$K:$K,K544,$F:$F,F544,$G:$G,"&gt;"&amp;G544))</f>
        <v>20</v>
      </c>
      <c r="O544" s="6" t="n">
        <f aca="false">IF(L544="","",SUMIFS(Votes!$E:$E,Votes!$A:$A,J544,Votes!$B:$B,K544,Votes!$D:$D,L544))</f>
        <v>8</v>
      </c>
      <c r="P544" s="6" t="n">
        <f aca="false">IF(L544="","",COUNTIFS(Votes!$A:$A,J544,Votes!$B:$B,K544,Votes!$D:$D,L544))</f>
        <v>7</v>
      </c>
      <c r="Q544" s="7" t="str">
        <f aca="false">IF(F544="","Unscored",IF(O544="","No URI",IF(AND(F544=0,O544=0),"Zero-vote",IF(AND(F544=O544,G544=P544),"OK",IF(AND(F544=0,O544&gt;0,COUNTIFS(Votes!$A:$A,J544,Votes!$B:$B,K544,Votes!$C:$C,D544)=0),"Forfeited","Mismatch")))))</f>
        <v>OK</v>
      </c>
      <c r="R544" s="6" t="n">
        <f aca="false">MAX(IF(L544&lt;&gt;"",COUNTIF($L:$L,L544),0),COUNTIFS($A:$A,A544,$B:$B,B544))</f>
        <v>1</v>
      </c>
      <c r="S544" s="6" t="str">
        <f aca="false">IF(R544&gt;1,COUNTIF($R$2:R544,"&gt;1"),"")</f>
        <v/>
      </c>
      <c r="T544" s="6" t="str">
        <f aca="false">IF(L544="","",J544&amp;"|"&amp;K544&amp;"|"&amp;L544)</f>
        <v>5|8|spotify:track:4JfuiOWlWCkjP6OKurHjSn</v>
      </c>
      <c r="U544" s="6" t="str">
        <f aca="false">IF(C544="","",IFERROR(INDEX(Lists!$F:$F,MATCH(C544,Lists!$E:$E,0)),"Unmapped"))</f>
        <v>Rock</v>
      </c>
    </row>
    <row r="545" customFormat="false" ht="15" hidden="false" customHeight="false" outlineLevel="0" collapsed="false">
      <c r="A545" s="5" t="s">
        <v>1672</v>
      </c>
      <c r="B545" s="5" t="s">
        <v>646</v>
      </c>
      <c r="C545" s="5" t="s">
        <v>91</v>
      </c>
      <c r="D545" s="5" t="s">
        <v>719</v>
      </c>
      <c r="E545" s="5" t="s">
        <v>1619</v>
      </c>
      <c r="F545" s="5" t="n">
        <v>8</v>
      </c>
      <c r="G545" s="5" t="n">
        <v>6</v>
      </c>
      <c r="H545" s="6" t="str">
        <f aca="false">IF(N545="","",N545&amp;IF(AND(MOD(N545,100)&gt;=11,MOD(N545,100)&lt;=13),"th",CHOOSE(MIN(5,MOD(N545,10)+1),"th","st","nd","rd","th")))</f>
        <v>23rd</v>
      </c>
      <c r="I545" s="5" t="s">
        <v>1335</v>
      </c>
      <c r="J545" s="6" t="n">
        <f aca="false">IFERROR(INDEX(Rounds!$A:$A,MATCH(I545,Rounds!$B:$B,0)),"ADD LEAGUE TO ROUNDS")</f>
        <v>5</v>
      </c>
      <c r="K545" s="6" t="n">
        <f aca="false">IFERROR(VALUE(LEFT(E545,FIND(" - ",E545)-1)),"")</f>
        <v>8</v>
      </c>
      <c r="L545" s="5" t="s">
        <v>1673</v>
      </c>
      <c r="N545" s="6" t="n">
        <f aca="false">IF(F545="","",1+COUNTIFS($J:$J,J545,$K:$K,K545,$F:$F,"&gt;"&amp;F545)+COUNTIFS($J:$J,J545,$K:$K,K545,$F:$F,F545,$G:$G,"&gt;"&amp;G545))</f>
        <v>23</v>
      </c>
      <c r="O545" s="6" t="n">
        <f aca="false">IF(L545="","",SUMIFS(Votes!$E:$E,Votes!$A:$A,J545,Votes!$B:$B,K545,Votes!$D:$D,L545))</f>
        <v>8</v>
      </c>
      <c r="P545" s="6" t="n">
        <f aca="false">IF(L545="","",COUNTIFS(Votes!$A:$A,J545,Votes!$B:$B,K545,Votes!$D:$D,L545))</f>
        <v>6</v>
      </c>
      <c r="Q545" s="7" t="str">
        <f aca="false">IF(F545="","Unscored",IF(O545="","No URI",IF(AND(F545=0,O545=0),"Zero-vote",IF(AND(F545=O545,G545=P545),"OK",IF(AND(F545=0,O545&gt;0,COUNTIFS(Votes!$A:$A,J545,Votes!$B:$B,K545,Votes!$C:$C,D545)=0),"Forfeited","Mismatch")))))</f>
        <v>OK</v>
      </c>
      <c r="R545" s="6" t="n">
        <f aca="false">MAX(IF(L545&lt;&gt;"",COUNTIF($L:$L,L545),0),COUNTIFS($A:$A,A545,$B:$B,B545))</f>
        <v>1</v>
      </c>
      <c r="S545" s="6" t="str">
        <f aca="false">IF(R545&gt;1,COUNTIF($R$2:R545,"&gt;1"),"")</f>
        <v/>
      </c>
      <c r="T545" s="6" t="str">
        <f aca="false">IF(L545="","",J545&amp;"|"&amp;K545&amp;"|"&amp;L545)</f>
        <v>5|8|spotify:track:1VuBmEauSZywQVtqbxNqka</v>
      </c>
      <c r="U545" s="6" t="str">
        <f aca="false">IF(C545="","",IFERROR(INDEX(Lists!$F:$F,MATCH(C545,Lists!$E:$E,0)),"Unmapped"))</f>
        <v>Rock</v>
      </c>
    </row>
    <row r="546" customFormat="false" ht="15" hidden="false" customHeight="false" outlineLevel="0" collapsed="false">
      <c r="A546" s="5" t="s">
        <v>1674</v>
      </c>
      <c r="B546" s="5" t="s">
        <v>1675</v>
      </c>
      <c r="C546" s="5" t="s">
        <v>84</v>
      </c>
      <c r="D546" s="5" t="s">
        <v>116</v>
      </c>
      <c r="E546" s="5" t="s">
        <v>1619</v>
      </c>
      <c r="F546" s="5" t="n">
        <v>7</v>
      </c>
      <c r="G546" s="5" t="n">
        <v>6</v>
      </c>
      <c r="H546" s="6" t="str">
        <f aca="false">IF(N546="","",N546&amp;IF(AND(MOD(N546,100)&gt;=11,MOD(N546,100)&lt;=13),"th",CHOOSE(MIN(5,MOD(N546,10)+1),"th","st","nd","rd","th")))</f>
        <v>24th</v>
      </c>
      <c r="I546" s="5" t="s">
        <v>1335</v>
      </c>
      <c r="J546" s="6" t="n">
        <f aca="false">IFERROR(INDEX(Rounds!$A:$A,MATCH(I546,Rounds!$B:$B,0)),"ADD LEAGUE TO ROUNDS")</f>
        <v>5</v>
      </c>
      <c r="K546" s="6" t="n">
        <f aca="false">IFERROR(VALUE(LEFT(E546,FIND(" - ",E546)-1)),"")</f>
        <v>8</v>
      </c>
      <c r="L546" s="5" t="s">
        <v>1676</v>
      </c>
      <c r="N546" s="6" t="n">
        <f aca="false">IF(F546="","",1+COUNTIFS($J:$J,J546,$K:$K,K546,$F:$F,"&gt;"&amp;F546)+COUNTIFS($J:$J,J546,$K:$K,K546,$F:$F,F546,$G:$G,"&gt;"&amp;G546))</f>
        <v>24</v>
      </c>
      <c r="O546" s="6" t="n">
        <f aca="false">IF(L546="","",SUMIFS(Votes!$E:$E,Votes!$A:$A,J546,Votes!$B:$B,K546,Votes!$D:$D,L546))</f>
        <v>7</v>
      </c>
      <c r="P546" s="6" t="n">
        <f aca="false">IF(L546="","",COUNTIFS(Votes!$A:$A,J546,Votes!$B:$B,K546,Votes!$D:$D,L546))</f>
        <v>6</v>
      </c>
      <c r="Q546" s="7" t="str">
        <f aca="false">IF(F546="","Unscored",IF(O546="","No URI",IF(AND(F546=0,O546=0),"Zero-vote",IF(AND(F546=O546,G546=P546),"OK",IF(AND(F546=0,O546&gt;0,COUNTIFS(Votes!$A:$A,J546,Votes!$B:$B,K546,Votes!$C:$C,D546)=0),"Forfeited","Mismatch")))))</f>
        <v>OK</v>
      </c>
      <c r="R546" s="6" t="n">
        <f aca="false">MAX(IF(L546&lt;&gt;"",COUNTIF($L:$L,L546),0),COUNTIFS($A:$A,A546,$B:$B,B546))</f>
        <v>1</v>
      </c>
      <c r="S546" s="6" t="str">
        <f aca="false">IF(R546&gt;1,COUNTIF($R$2:R546,"&gt;1"),"")</f>
        <v/>
      </c>
      <c r="T546" s="6" t="str">
        <f aca="false">IF(L546="","",J546&amp;"|"&amp;K546&amp;"|"&amp;L546)</f>
        <v>5|8|spotify:track:2sVcBaVtBPM9vIFk1Jnbw8</v>
      </c>
      <c r="U546" s="6" t="str">
        <f aca="false">IF(C546="","",IFERROR(INDEX(Lists!$F:$F,MATCH(C546,Lists!$E:$E,0)),"Unmapped"))</f>
        <v>Pop</v>
      </c>
    </row>
    <row r="547" customFormat="false" ht="15" hidden="false" customHeight="false" outlineLevel="0" collapsed="false">
      <c r="A547" s="5" t="s">
        <v>1677</v>
      </c>
      <c r="B547" s="5" t="s">
        <v>1678</v>
      </c>
      <c r="C547" s="5" t="s">
        <v>171</v>
      </c>
      <c r="D547" s="5" t="s">
        <v>85</v>
      </c>
      <c r="E547" s="5" t="s">
        <v>1619</v>
      </c>
      <c r="F547" s="5" t="n">
        <v>7</v>
      </c>
      <c r="G547" s="5" t="n">
        <v>6</v>
      </c>
      <c r="H547" s="6" t="str">
        <f aca="false">IF(N547="","",N547&amp;IF(AND(MOD(N547,100)&gt;=11,MOD(N547,100)&lt;=13),"th",CHOOSE(MIN(5,MOD(N547,10)+1),"th","st","nd","rd","th")))</f>
        <v>24th</v>
      </c>
      <c r="I547" s="5" t="s">
        <v>1335</v>
      </c>
      <c r="J547" s="6" t="n">
        <f aca="false">IFERROR(INDEX(Rounds!$A:$A,MATCH(I547,Rounds!$B:$B,0)),"ADD LEAGUE TO ROUNDS")</f>
        <v>5</v>
      </c>
      <c r="K547" s="6" t="n">
        <f aca="false">IFERROR(VALUE(LEFT(E547,FIND(" - ",E547)-1)),"")</f>
        <v>8</v>
      </c>
      <c r="L547" s="5" t="s">
        <v>1679</v>
      </c>
      <c r="N547" s="6" t="n">
        <f aca="false">IF(F547="","",1+COUNTIFS($J:$J,J547,$K:$K,K547,$F:$F,"&gt;"&amp;F547)+COUNTIFS($J:$J,J547,$K:$K,K547,$F:$F,F547,$G:$G,"&gt;"&amp;G547))</f>
        <v>24</v>
      </c>
      <c r="O547" s="6" t="n">
        <f aca="false">IF(L547="","",SUMIFS(Votes!$E:$E,Votes!$A:$A,J547,Votes!$B:$B,K547,Votes!$D:$D,L547))</f>
        <v>7</v>
      </c>
      <c r="P547" s="6" t="n">
        <f aca="false">IF(L547="","",COUNTIFS(Votes!$A:$A,J547,Votes!$B:$B,K547,Votes!$D:$D,L547))</f>
        <v>6</v>
      </c>
      <c r="Q547" s="7" t="str">
        <f aca="false">IF(F547="","Unscored",IF(O547="","No URI",IF(AND(F547=0,O547=0),"Zero-vote",IF(AND(F547=O547,G547=P547),"OK",IF(AND(F547=0,O547&gt;0,COUNTIFS(Votes!$A:$A,J547,Votes!$B:$B,K547,Votes!$C:$C,D547)=0),"Forfeited","Mismatch")))))</f>
        <v>OK</v>
      </c>
      <c r="R547" s="6" t="n">
        <f aca="false">MAX(IF(L547&lt;&gt;"",COUNTIF($L:$L,L547),0),COUNTIFS($A:$A,A547,$B:$B,B547))</f>
        <v>1</v>
      </c>
      <c r="S547" s="6" t="str">
        <f aca="false">IF(R547&gt;1,COUNTIF($R$2:R547,"&gt;1"),"")</f>
        <v/>
      </c>
      <c r="T547" s="6" t="str">
        <f aca="false">IF(L547="","",J547&amp;"|"&amp;K547&amp;"|"&amp;L547)</f>
        <v>5|8|spotify:track:67bIPJptdsuPeyOPv8z1lL</v>
      </c>
      <c r="U547" s="6" t="str">
        <f aca="false">IF(C547="","",IFERROR(INDEX(Lists!$F:$F,MATCH(C547,Lists!$E:$E,0)),"Unmapped"))</f>
        <v>Country</v>
      </c>
    </row>
    <row r="548" customFormat="false" ht="15" hidden="false" customHeight="false" outlineLevel="0" collapsed="false">
      <c r="A548" s="5" t="s">
        <v>1680</v>
      </c>
      <c r="B548" s="5" t="s">
        <v>520</v>
      </c>
      <c r="C548" s="5" t="s">
        <v>84</v>
      </c>
      <c r="D548" s="5" t="s">
        <v>375</v>
      </c>
      <c r="E548" s="5" t="s">
        <v>1619</v>
      </c>
      <c r="F548" s="5" t="n">
        <v>6</v>
      </c>
      <c r="G548" s="5" t="n">
        <v>5</v>
      </c>
      <c r="H548" s="6" t="str">
        <f aca="false">IF(N548="","",N548&amp;IF(AND(MOD(N548,100)&gt;=11,MOD(N548,100)&lt;=13),"th",CHOOSE(MIN(5,MOD(N548,10)+1),"th","st","nd","rd","th")))</f>
        <v>26th</v>
      </c>
      <c r="I548" s="5" t="s">
        <v>1335</v>
      </c>
      <c r="J548" s="6" t="n">
        <f aca="false">IFERROR(INDEX(Rounds!$A:$A,MATCH(I548,Rounds!$B:$B,0)),"ADD LEAGUE TO ROUNDS")</f>
        <v>5</v>
      </c>
      <c r="K548" s="6" t="n">
        <f aca="false">IFERROR(VALUE(LEFT(E548,FIND(" - ",E548)-1)),"")</f>
        <v>8</v>
      </c>
      <c r="L548" s="5" t="s">
        <v>1681</v>
      </c>
      <c r="N548" s="6" t="n">
        <f aca="false">IF(F548="","",1+COUNTIFS($J:$J,J548,$K:$K,K548,$F:$F,"&gt;"&amp;F548)+COUNTIFS($J:$J,J548,$K:$K,K548,$F:$F,F548,$G:$G,"&gt;"&amp;G548))</f>
        <v>26</v>
      </c>
      <c r="O548" s="6" t="n">
        <f aca="false">IF(L548="","",SUMIFS(Votes!$E:$E,Votes!$A:$A,J548,Votes!$B:$B,K548,Votes!$D:$D,L548))</f>
        <v>6</v>
      </c>
      <c r="P548" s="6" t="n">
        <f aca="false">IF(L548="","",COUNTIFS(Votes!$A:$A,J548,Votes!$B:$B,K548,Votes!$D:$D,L548))</f>
        <v>5</v>
      </c>
      <c r="Q548" s="7" t="str">
        <f aca="false">IF(F548="","Unscored",IF(O548="","No URI",IF(AND(F548=0,O548=0),"Zero-vote",IF(AND(F548=O548,G548=P548),"OK",IF(AND(F548=0,O548&gt;0,COUNTIFS(Votes!$A:$A,J548,Votes!$B:$B,K548,Votes!$C:$C,D548)=0),"Forfeited","Mismatch")))))</f>
        <v>OK</v>
      </c>
      <c r="R548" s="6" t="n">
        <f aca="false">MAX(IF(L548&lt;&gt;"",COUNTIF($L:$L,L548),0),COUNTIFS($A:$A,A548,$B:$B,B548))</f>
        <v>1</v>
      </c>
      <c r="S548" s="6" t="str">
        <f aca="false">IF(R548&gt;1,COUNTIF($R$2:R548,"&gt;1"),"")</f>
        <v/>
      </c>
      <c r="T548" s="6" t="str">
        <f aca="false">IF(L548="","",J548&amp;"|"&amp;K548&amp;"|"&amp;L548)</f>
        <v>5|8|spotify:track:5jzKL4BDMClWqRguW5qZvh</v>
      </c>
      <c r="U548" s="6" t="str">
        <f aca="false">IF(C548="","",IFERROR(INDEX(Lists!$F:$F,MATCH(C548,Lists!$E:$E,0)),"Unmapped"))</f>
        <v>Pop</v>
      </c>
    </row>
    <row r="549" customFormat="false" ht="15" hidden="false" customHeight="false" outlineLevel="0" collapsed="false">
      <c r="A549" s="5" t="s">
        <v>1682</v>
      </c>
      <c r="B549" s="5" t="s">
        <v>1683</v>
      </c>
      <c r="C549" s="5" t="s">
        <v>84</v>
      </c>
      <c r="D549" s="5" t="s">
        <v>106</v>
      </c>
      <c r="E549" s="5" t="s">
        <v>1619</v>
      </c>
      <c r="F549" s="5" t="n">
        <v>5</v>
      </c>
      <c r="G549" s="5" t="n">
        <v>5</v>
      </c>
      <c r="H549" s="6" t="str">
        <f aca="false">IF(N549="","",N549&amp;IF(AND(MOD(N549,100)&gt;=11,MOD(N549,100)&lt;=13),"th",CHOOSE(MIN(5,MOD(N549,10)+1),"th","st","nd","rd","th")))</f>
        <v>27th</v>
      </c>
      <c r="I549" s="5" t="s">
        <v>1335</v>
      </c>
      <c r="J549" s="6" t="n">
        <f aca="false">IFERROR(INDEX(Rounds!$A:$A,MATCH(I549,Rounds!$B:$B,0)),"ADD LEAGUE TO ROUNDS")</f>
        <v>5</v>
      </c>
      <c r="K549" s="6" t="n">
        <f aca="false">IFERROR(VALUE(LEFT(E549,FIND(" - ",E549)-1)),"")</f>
        <v>8</v>
      </c>
      <c r="L549" s="5" t="s">
        <v>1684</v>
      </c>
      <c r="N549" s="6" t="n">
        <f aca="false">IF(F549="","",1+COUNTIFS($J:$J,J549,$K:$K,K549,$F:$F,"&gt;"&amp;F549)+COUNTIFS($J:$J,J549,$K:$K,K549,$F:$F,F549,$G:$G,"&gt;"&amp;G549))</f>
        <v>27</v>
      </c>
      <c r="O549" s="6" t="n">
        <f aca="false">IF(L549="","",SUMIFS(Votes!$E:$E,Votes!$A:$A,J549,Votes!$B:$B,K549,Votes!$D:$D,L549))</f>
        <v>5</v>
      </c>
      <c r="P549" s="6" t="n">
        <f aca="false">IF(L549="","",COUNTIFS(Votes!$A:$A,J549,Votes!$B:$B,K549,Votes!$D:$D,L549))</f>
        <v>5</v>
      </c>
      <c r="Q549" s="7" t="str">
        <f aca="false">IF(F549="","Unscored",IF(O549="","No URI",IF(AND(F549=0,O549=0),"Zero-vote",IF(AND(F549=O549,G549=P549),"OK",IF(AND(F549=0,O549&gt;0,COUNTIFS(Votes!$A:$A,J549,Votes!$B:$B,K549,Votes!$C:$C,D549)=0),"Forfeited","Mismatch")))))</f>
        <v>OK</v>
      </c>
      <c r="R549" s="6" t="n">
        <f aca="false">MAX(IF(L549&lt;&gt;"",COUNTIF($L:$L,L549),0),COUNTIFS($A:$A,A549,$B:$B,B549))</f>
        <v>1</v>
      </c>
      <c r="S549" s="6" t="str">
        <f aca="false">IF(R549&gt;1,COUNTIF($R$2:R549,"&gt;1"),"")</f>
        <v/>
      </c>
      <c r="T549" s="6" t="str">
        <f aca="false">IF(L549="","",J549&amp;"|"&amp;K549&amp;"|"&amp;L549)</f>
        <v>5|8|spotify:track:1WkMMavIMc4JZ8cfMmxHkI</v>
      </c>
      <c r="U549" s="6" t="str">
        <f aca="false">IF(C549="","",IFERROR(INDEX(Lists!$F:$F,MATCH(C549,Lists!$E:$E,0)),"Unmapped"))</f>
        <v>Pop</v>
      </c>
    </row>
    <row r="550" customFormat="false" ht="15" hidden="false" customHeight="false" outlineLevel="0" collapsed="false">
      <c r="A550" s="5" t="s">
        <v>1685</v>
      </c>
      <c r="B550" s="5" t="s">
        <v>1686</v>
      </c>
      <c r="C550" s="5" t="s">
        <v>171</v>
      </c>
      <c r="D550" s="5" t="s">
        <v>128</v>
      </c>
      <c r="E550" s="5" t="s">
        <v>1619</v>
      </c>
      <c r="F550" s="5" t="n">
        <v>5</v>
      </c>
      <c r="G550" s="5" t="n">
        <v>4</v>
      </c>
      <c r="H550" s="6" t="str">
        <f aca="false">IF(N550="","",N550&amp;IF(AND(MOD(N550,100)&gt;=11,MOD(N550,100)&lt;=13),"th",CHOOSE(MIN(5,MOD(N550,10)+1),"th","st","nd","rd","th")))</f>
        <v>28th</v>
      </c>
      <c r="I550" s="5" t="s">
        <v>1335</v>
      </c>
      <c r="J550" s="6" t="n">
        <f aca="false">IFERROR(INDEX(Rounds!$A:$A,MATCH(I550,Rounds!$B:$B,0)),"ADD LEAGUE TO ROUNDS")</f>
        <v>5</v>
      </c>
      <c r="K550" s="6" t="n">
        <f aca="false">IFERROR(VALUE(LEFT(E550,FIND(" - ",E550)-1)),"")</f>
        <v>8</v>
      </c>
      <c r="L550" s="5" t="s">
        <v>1687</v>
      </c>
      <c r="N550" s="6" t="n">
        <f aca="false">IF(F550="","",1+COUNTIFS($J:$J,J550,$K:$K,K550,$F:$F,"&gt;"&amp;F550)+COUNTIFS($J:$J,J550,$K:$K,K550,$F:$F,F550,$G:$G,"&gt;"&amp;G550))</f>
        <v>28</v>
      </c>
      <c r="O550" s="6" t="n">
        <f aca="false">IF(L550="","",SUMIFS(Votes!$E:$E,Votes!$A:$A,J550,Votes!$B:$B,K550,Votes!$D:$D,L550))</f>
        <v>5</v>
      </c>
      <c r="P550" s="6" t="n">
        <f aca="false">IF(L550="","",COUNTIFS(Votes!$A:$A,J550,Votes!$B:$B,K550,Votes!$D:$D,L550))</f>
        <v>4</v>
      </c>
      <c r="Q550" s="7" t="str">
        <f aca="false">IF(F550="","Unscored",IF(O550="","No URI",IF(AND(F550=0,O550=0),"Zero-vote",IF(AND(F550=O550,G550=P550),"OK",IF(AND(F550=0,O550&gt;0,COUNTIFS(Votes!$A:$A,J550,Votes!$B:$B,K550,Votes!$C:$C,D550)=0),"Forfeited","Mismatch")))))</f>
        <v>OK</v>
      </c>
      <c r="R550" s="6" t="n">
        <f aca="false">MAX(IF(L550&lt;&gt;"",COUNTIF($L:$L,L550),0),COUNTIFS($A:$A,A550,$B:$B,B550))</f>
        <v>1</v>
      </c>
      <c r="S550" s="6" t="str">
        <f aca="false">IF(R550&gt;1,COUNTIF($R$2:R550,"&gt;1"),"")</f>
        <v/>
      </c>
      <c r="T550" s="6" t="str">
        <f aca="false">IF(L550="","",J550&amp;"|"&amp;K550&amp;"|"&amp;L550)</f>
        <v>5|8|spotify:track:3QV7NYkrmV0Q0IHdFJw9hO</v>
      </c>
      <c r="U550" s="6" t="str">
        <f aca="false">IF(C550="","",IFERROR(INDEX(Lists!$F:$F,MATCH(C550,Lists!$E:$E,0)),"Unmapped"))</f>
        <v>Country</v>
      </c>
    </row>
    <row r="551" customFormat="false" ht="15" hidden="false" customHeight="false" outlineLevel="0" collapsed="false">
      <c r="A551" s="5" t="s">
        <v>1688</v>
      </c>
      <c r="B551" s="5" t="s">
        <v>1689</v>
      </c>
      <c r="C551" s="5" t="s">
        <v>96</v>
      </c>
      <c r="D551" s="5" t="s">
        <v>97</v>
      </c>
      <c r="E551" s="5" t="s">
        <v>1690</v>
      </c>
      <c r="F551" s="5" t="n">
        <v>17</v>
      </c>
      <c r="G551" s="5" t="n">
        <v>12</v>
      </c>
      <c r="H551" s="6" t="str">
        <f aca="false">IF(N551="","",N551&amp;IF(AND(MOD(N551,100)&gt;=11,MOD(N551,100)&lt;=13),"th",CHOOSE(MIN(5,MOD(N551,10)+1),"th","st","nd","rd","th")))</f>
        <v>1st</v>
      </c>
      <c r="I551" s="5" t="s">
        <v>1691</v>
      </c>
      <c r="J551" s="6" t="n">
        <f aca="false">IFERROR(INDEX(Rounds!$A:$A,MATCH(I551,Rounds!$B:$B,0)),"ADD LEAGUE TO ROUNDS")</f>
        <v>6</v>
      </c>
      <c r="K551" s="6" t="n">
        <f aca="false">IFERROR(VALUE(LEFT(E551,FIND(" - ",E551)-1)),"")</f>
        <v>1</v>
      </c>
      <c r="L551" s="5" t="s">
        <v>1692</v>
      </c>
      <c r="N551" s="6" t="n">
        <f aca="false">IF(F551="","",1+COUNTIFS($J:$J,J551,$K:$K,K551,$F:$F,"&gt;"&amp;F551)+COUNTIFS($J:$J,J551,$K:$K,K551,$F:$F,F551,$G:$G,"&gt;"&amp;G551))</f>
        <v>1</v>
      </c>
      <c r="O551" s="6" t="n">
        <f aca="false">IF(L551="","",SUMIFS(Votes!$E:$E,Votes!$A:$A,J551,Votes!$B:$B,K551,Votes!$D:$D,L551))</f>
        <v>17</v>
      </c>
      <c r="P551" s="6" t="n">
        <f aca="false">IF(L551="","",COUNTIFS(Votes!$A:$A,J551,Votes!$B:$B,K551,Votes!$D:$D,L551))</f>
        <v>12</v>
      </c>
      <c r="Q551" s="7" t="str">
        <f aca="false">IF(F551="","Unscored",IF(O551="","No URI",IF(AND(F551=0,O551=0),"Zero-vote",IF(AND(F551=O551,G551=P551),"OK",IF(AND(F551=0,O551&gt;0,COUNTIFS(Votes!$A:$A,J551,Votes!$B:$B,K551,Votes!$C:$C,D551)=0),"Forfeited","Mismatch")))))</f>
        <v>OK</v>
      </c>
      <c r="R551" s="6" t="n">
        <f aca="false">MAX(IF(L551&lt;&gt;"",COUNTIF($L:$L,L551),0),COUNTIFS($A:$A,A551,$B:$B,B551))</f>
        <v>1</v>
      </c>
      <c r="S551" s="6" t="str">
        <f aca="false">IF(R551&gt;1,COUNTIF($R$2:R551,"&gt;1"),"")</f>
        <v/>
      </c>
      <c r="T551" s="6" t="str">
        <f aca="false">IF(L551="","",J551&amp;"|"&amp;K551&amp;"|"&amp;L551)</f>
        <v>6|1|spotify:track:1h2xVEoJORqrg71HocgqXd</v>
      </c>
      <c r="U551" s="6" t="str">
        <f aca="false">IF(C551="","",IFERROR(INDEX(Lists!$F:$F,MATCH(C551,Lists!$E:$E,0)),"Unmapped"))</f>
        <v>R&amp;B/Soul</v>
      </c>
    </row>
    <row r="552" customFormat="false" ht="15" hidden="false" customHeight="false" outlineLevel="0" collapsed="false">
      <c r="A552" s="5" t="s">
        <v>1693</v>
      </c>
      <c r="B552" s="5" t="s">
        <v>1694</v>
      </c>
      <c r="C552" s="5" t="s">
        <v>84</v>
      </c>
      <c r="D552" s="5" t="s">
        <v>92</v>
      </c>
      <c r="E552" s="5" t="s">
        <v>1690</v>
      </c>
      <c r="F552" s="5" t="n">
        <v>16</v>
      </c>
      <c r="G552" s="5" t="n">
        <v>11</v>
      </c>
      <c r="H552" s="6" t="str">
        <f aca="false">IF(N552="","",N552&amp;IF(AND(MOD(N552,100)&gt;=11,MOD(N552,100)&lt;=13),"th",CHOOSE(MIN(5,MOD(N552,10)+1),"th","st","nd","rd","th")))</f>
        <v>2nd</v>
      </c>
      <c r="I552" s="5" t="s">
        <v>1691</v>
      </c>
      <c r="J552" s="6" t="n">
        <f aca="false">IFERROR(INDEX(Rounds!$A:$A,MATCH(I552,Rounds!$B:$B,0)),"ADD LEAGUE TO ROUNDS")</f>
        <v>6</v>
      </c>
      <c r="K552" s="6" t="n">
        <f aca="false">IFERROR(VALUE(LEFT(E552,FIND(" - ",E552)-1)),"")</f>
        <v>1</v>
      </c>
      <c r="L552" s="5" t="s">
        <v>1695</v>
      </c>
      <c r="N552" s="6" t="n">
        <f aca="false">IF(F552="","",1+COUNTIFS($J:$J,J552,$K:$K,K552,$F:$F,"&gt;"&amp;F552)+COUNTIFS($J:$J,J552,$K:$K,K552,$F:$F,F552,$G:$G,"&gt;"&amp;G552))</f>
        <v>2</v>
      </c>
      <c r="O552" s="6" t="n">
        <f aca="false">IF(L552="","",SUMIFS(Votes!$E:$E,Votes!$A:$A,J552,Votes!$B:$B,K552,Votes!$D:$D,L552))</f>
        <v>16</v>
      </c>
      <c r="P552" s="6" t="n">
        <f aca="false">IF(L552="","",COUNTIFS(Votes!$A:$A,J552,Votes!$B:$B,K552,Votes!$D:$D,L552))</f>
        <v>11</v>
      </c>
      <c r="Q552" s="7" t="str">
        <f aca="false">IF(F552="","Unscored",IF(O552="","No URI",IF(AND(F552=0,O552=0),"Zero-vote",IF(AND(F552=O552,G552=P552),"OK",IF(AND(F552=0,O552&gt;0,COUNTIFS(Votes!$A:$A,J552,Votes!$B:$B,K552,Votes!$C:$C,D552)=0),"Forfeited","Mismatch")))))</f>
        <v>OK</v>
      </c>
      <c r="R552" s="6" t="n">
        <f aca="false">MAX(IF(L552&lt;&gt;"",COUNTIF($L:$L,L552),0),COUNTIFS($A:$A,A552,$B:$B,B552))</f>
        <v>1</v>
      </c>
      <c r="S552" s="6" t="str">
        <f aca="false">IF(R552&gt;1,COUNTIF($R$2:R552,"&gt;1"),"")</f>
        <v/>
      </c>
      <c r="T552" s="6" t="str">
        <f aca="false">IF(L552="","",J552&amp;"|"&amp;K552&amp;"|"&amp;L552)</f>
        <v>6|1|spotify:track:2U0Zowgw2tgJXu5K56i4Q4</v>
      </c>
      <c r="U552" s="6" t="str">
        <f aca="false">IF(C552="","",IFERROR(INDEX(Lists!$F:$F,MATCH(C552,Lists!$E:$E,0)),"Unmapped"))</f>
        <v>Pop</v>
      </c>
    </row>
    <row r="553" customFormat="false" ht="15" hidden="false" customHeight="false" outlineLevel="0" collapsed="false">
      <c r="A553" s="5" t="s">
        <v>1696</v>
      </c>
      <c r="B553" s="5" t="s">
        <v>1697</v>
      </c>
      <c r="C553" s="5" t="s">
        <v>91</v>
      </c>
      <c r="D553" s="5" t="s">
        <v>637</v>
      </c>
      <c r="E553" s="5" t="s">
        <v>1690</v>
      </c>
      <c r="F553" s="5" t="n">
        <v>12</v>
      </c>
      <c r="G553" s="5" t="n">
        <v>9</v>
      </c>
      <c r="H553" s="6" t="str">
        <f aca="false">IF(N553="","",N553&amp;IF(AND(MOD(N553,100)&gt;=11,MOD(N553,100)&lt;=13),"th",CHOOSE(MIN(5,MOD(N553,10)+1),"th","st","nd","rd","th")))</f>
        <v>3rd</v>
      </c>
      <c r="I553" s="5" t="s">
        <v>1691</v>
      </c>
      <c r="J553" s="6" t="n">
        <f aca="false">IFERROR(INDEX(Rounds!$A:$A,MATCH(I553,Rounds!$B:$B,0)),"ADD LEAGUE TO ROUNDS")</f>
        <v>6</v>
      </c>
      <c r="K553" s="6" t="n">
        <f aca="false">IFERROR(VALUE(LEFT(E553,FIND(" - ",E553)-1)),"")</f>
        <v>1</v>
      </c>
      <c r="L553" s="5" t="s">
        <v>1698</v>
      </c>
      <c r="N553" s="6" t="n">
        <f aca="false">IF(F553="","",1+COUNTIFS($J:$J,J553,$K:$K,K553,$F:$F,"&gt;"&amp;F553)+COUNTIFS($J:$J,J553,$K:$K,K553,$F:$F,F553,$G:$G,"&gt;"&amp;G553))</f>
        <v>3</v>
      </c>
      <c r="O553" s="6" t="n">
        <f aca="false">IF(L553="","",SUMIFS(Votes!$E:$E,Votes!$A:$A,J553,Votes!$B:$B,K553,Votes!$D:$D,L553))</f>
        <v>12</v>
      </c>
      <c r="P553" s="6" t="n">
        <f aca="false">IF(L553="","",COUNTIFS(Votes!$A:$A,J553,Votes!$B:$B,K553,Votes!$D:$D,L553))</f>
        <v>9</v>
      </c>
      <c r="Q553" s="7" t="str">
        <f aca="false">IF(F553="","Unscored",IF(O553="","No URI",IF(AND(F553=0,O553=0),"Zero-vote",IF(AND(F553=O553,G553=P553),"OK",IF(AND(F553=0,O553&gt;0,COUNTIFS(Votes!$A:$A,J553,Votes!$B:$B,K553,Votes!$C:$C,D553)=0),"Forfeited","Mismatch")))))</f>
        <v>OK</v>
      </c>
      <c r="R553" s="6" t="n">
        <f aca="false">MAX(IF(L553&lt;&gt;"",COUNTIF($L:$L,L553),0),COUNTIFS($A:$A,A553,$B:$B,B553))</f>
        <v>1</v>
      </c>
      <c r="S553" s="6" t="str">
        <f aca="false">IF(R553&gt;1,COUNTIF($R$2:R553,"&gt;1"),"")</f>
        <v/>
      </c>
      <c r="T553" s="6" t="str">
        <f aca="false">IF(L553="","",J553&amp;"|"&amp;K553&amp;"|"&amp;L553)</f>
        <v>6|1|spotify:track:7LygtNjQ65PSdzVjUnHXQb</v>
      </c>
      <c r="U553" s="6" t="str">
        <f aca="false">IF(C553="","",IFERROR(INDEX(Lists!$F:$F,MATCH(C553,Lists!$E:$E,0)),"Unmapped"))</f>
        <v>Rock</v>
      </c>
    </row>
    <row r="554" customFormat="false" ht="15" hidden="false" customHeight="false" outlineLevel="0" collapsed="false">
      <c r="A554" s="5" t="s">
        <v>1699</v>
      </c>
      <c r="B554" s="5" t="s">
        <v>1700</v>
      </c>
      <c r="C554" s="5" t="s">
        <v>248</v>
      </c>
      <c r="D554" s="5" t="s">
        <v>719</v>
      </c>
      <c r="E554" s="5" t="s">
        <v>1690</v>
      </c>
      <c r="F554" s="5" t="n">
        <v>11</v>
      </c>
      <c r="G554" s="5" t="n">
        <v>8</v>
      </c>
      <c r="H554" s="6" t="str">
        <f aca="false">IF(N554="","",N554&amp;IF(AND(MOD(N554,100)&gt;=11,MOD(N554,100)&lt;=13),"th",CHOOSE(MIN(5,MOD(N554,10)+1),"th","st","nd","rd","th")))</f>
        <v>4th</v>
      </c>
      <c r="I554" s="5" t="s">
        <v>1691</v>
      </c>
      <c r="J554" s="6" t="n">
        <f aca="false">IFERROR(INDEX(Rounds!$A:$A,MATCH(I554,Rounds!$B:$B,0)),"ADD LEAGUE TO ROUNDS")</f>
        <v>6</v>
      </c>
      <c r="K554" s="6" t="n">
        <f aca="false">IFERROR(VALUE(LEFT(E554,FIND(" - ",E554)-1)),"")</f>
        <v>1</v>
      </c>
      <c r="L554" s="5" t="s">
        <v>1701</v>
      </c>
      <c r="N554" s="6" t="n">
        <f aca="false">IF(F554="","",1+COUNTIFS($J:$J,J554,$K:$K,K554,$F:$F,"&gt;"&amp;F554)+COUNTIFS($J:$J,J554,$K:$K,K554,$F:$F,F554,$G:$G,"&gt;"&amp;G554))</f>
        <v>4</v>
      </c>
      <c r="O554" s="6" t="n">
        <f aca="false">IF(L554="","",SUMIFS(Votes!$E:$E,Votes!$A:$A,J554,Votes!$B:$B,K554,Votes!$D:$D,L554))</f>
        <v>11</v>
      </c>
      <c r="P554" s="6" t="n">
        <f aca="false">IF(L554="","",COUNTIFS(Votes!$A:$A,J554,Votes!$B:$B,K554,Votes!$D:$D,L554))</f>
        <v>8</v>
      </c>
      <c r="Q554" s="7" t="str">
        <f aca="false">IF(F554="","Unscored",IF(O554="","No URI",IF(AND(F554=0,O554=0),"Zero-vote",IF(AND(F554=O554,G554=P554),"OK",IF(AND(F554=0,O554&gt;0,COUNTIFS(Votes!$A:$A,J554,Votes!$B:$B,K554,Votes!$C:$C,D554)=0),"Forfeited","Mismatch")))))</f>
        <v>OK</v>
      </c>
      <c r="R554" s="6" t="n">
        <f aca="false">MAX(IF(L554&lt;&gt;"",COUNTIF($L:$L,L554),0),COUNTIFS($A:$A,A554,$B:$B,B554))</f>
        <v>1</v>
      </c>
      <c r="S554" s="6" t="str">
        <f aca="false">IF(R554&gt;1,COUNTIF($R$2:R554,"&gt;1"),"")</f>
        <v/>
      </c>
      <c r="T554" s="6" t="str">
        <f aca="false">IF(L554="","",J554&amp;"|"&amp;K554&amp;"|"&amp;L554)</f>
        <v>6|1|spotify:track:1ZEOIhSn6BKErV59bIgn76</v>
      </c>
      <c r="U554" s="6" t="str">
        <f aca="false">IF(C554="","",IFERROR(INDEX(Lists!$F:$F,MATCH(C554,Lists!$E:$E,0)),"Unmapped"))</f>
        <v>Folk/Americana</v>
      </c>
    </row>
    <row r="555" customFormat="false" ht="15" hidden="false" customHeight="false" outlineLevel="0" collapsed="false">
      <c r="A555" s="5" t="s">
        <v>1702</v>
      </c>
      <c r="B555" s="5" t="s">
        <v>1703</v>
      </c>
      <c r="C555" s="5" t="s">
        <v>84</v>
      </c>
      <c r="D555" s="5" t="s">
        <v>119</v>
      </c>
      <c r="E555" s="5" t="s">
        <v>1690</v>
      </c>
      <c r="F555" s="5" t="n">
        <v>11</v>
      </c>
      <c r="G555" s="5" t="n">
        <v>8</v>
      </c>
      <c r="H555" s="6" t="str">
        <f aca="false">IF(N555="","",N555&amp;IF(AND(MOD(N555,100)&gt;=11,MOD(N555,100)&lt;=13),"th",CHOOSE(MIN(5,MOD(N555,10)+1),"th","st","nd","rd","th")))</f>
        <v>4th</v>
      </c>
      <c r="I555" s="5" t="s">
        <v>1691</v>
      </c>
      <c r="J555" s="6" t="n">
        <f aca="false">IFERROR(INDEX(Rounds!$A:$A,MATCH(I555,Rounds!$B:$B,0)),"ADD LEAGUE TO ROUNDS")</f>
        <v>6</v>
      </c>
      <c r="K555" s="6" t="n">
        <f aca="false">IFERROR(VALUE(LEFT(E555,FIND(" - ",E555)-1)),"")</f>
        <v>1</v>
      </c>
      <c r="L555" s="5" t="s">
        <v>1704</v>
      </c>
      <c r="N555" s="6" t="n">
        <f aca="false">IF(F555="","",1+COUNTIFS($J:$J,J555,$K:$K,K555,$F:$F,"&gt;"&amp;F555)+COUNTIFS($J:$J,J555,$K:$K,K555,$F:$F,F555,$G:$G,"&gt;"&amp;G555))</f>
        <v>4</v>
      </c>
      <c r="O555" s="6" t="n">
        <f aca="false">IF(L555="","",SUMIFS(Votes!$E:$E,Votes!$A:$A,J555,Votes!$B:$B,K555,Votes!$D:$D,L555))</f>
        <v>11</v>
      </c>
      <c r="P555" s="6" t="n">
        <f aca="false">IF(L555="","",COUNTIFS(Votes!$A:$A,J555,Votes!$B:$B,K555,Votes!$D:$D,L555))</f>
        <v>8</v>
      </c>
      <c r="Q555" s="7" t="str">
        <f aca="false">IF(F555="","Unscored",IF(O555="","No URI",IF(AND(F555=0,O555=0),"Zero-vote",IF(AND(F555=O555,G555=P555),"OK",IF(AND(F555=0,O555&gt;0,COUNTIFS(Votes!$A:$A,J555,Votes!$B:$B,K555,Votes!$C:$C,D555)=0),"Forfeited","Mismatch")))))</f>
        <v>OK</v>
      </c>
      <c r="R555" s="6" t="n">
        <f aca="false">MAX(IF(L555&lt;&gt;"",COUNTIF($L:$L,L555),0),COUNTIFS($A:$A,A555,$B:$B,B555))</f>
        <v>1</v>
      </c>
      <c r="S555" s="6" t="str">
        <f aca="false">IF(R555&gt;1,COUNTIF($R$2:R555,"&gt;1"),"")</f>
        <v/>
      </c>
      <c r="T555" s="6" t="str">
        <f aca="false">IF(L555="","",J555&amp;"|"&amp;K555&amp;"|"&amp;L555)</f>
        <v>6|1|spotify:track:6o0kogmiHd9sfWZkXrPpZC</v>
      </c>
      <c r="U555" s="6" t="str">
        <f aca="false">IF(C555="","",IFERROR(INDEX(Lists!$F:$F,MATCH(C555,Lists!$E:$E,0)),"Unmapped"))</f>
        <v>Pop</v>
      </c>
    </row>
    <row r="556" customFormat="false" ht="15" hidden="false" customHeight="false" outlineLevel="0" collapsed="false">
      <c r="A556" s="5" t="s">
        <v>1705</v>
      </c>
      <c r="B556" s="5" t="s">
        <v>1706</v>
      </c>
      <c r="C556" s="5" t="s">
        <v>91</v>
      </c>
      <c r="D556" s="5" t="s">
        <v>705</v>
      </c>
      <c r="E556" s="5" t="s">
        <v>1690</v>
      </c>
      <c r="F556" s="5" t="n">
        <v>10</v>
      </c>
      <c r="G556" s="5" t="n">
        <v>9</v>
      </c>
      <c r="H556" s="6" t="str">
        <f aca="false">IF(N556="","",N556&amp;IF(AND(MOD(N556,100)&gt;=11,MOD(N556,100)&lt;=13),"th",CHOOSE(MIN(5,MOD(N556,10)+1),"th","st","nd","rd","th")))</f>
        <v>6th</v>
      </c>
      <c r="I556" s="5" t="s">
        <v>1691</v>
      </c>
      <c r="J556" s="6" t="n">
        <f aca="false">IFERROR(INDEX(Rounds!$A:$A,MATCH(I556,Rounds!$B:$B,0)),"ADD LEAGUE TO ROUNDS")</f>
        <v>6</v>
      </c>
      <c r="K556" s="6" t="n">
        <f aca="false">IFERROR(VALUE(LEFT(E556,FIND(" - ",E556)-1)),"")</f>
        <v>1</v>
      </c>
      <c r="L556" s="5" t="s">
        <v>1707</v>
      </c>
      <c r="N556" s="6" t="n">
        <f aca="false">IF(F556="","",1+COUNTIFS($J:$J,J556,$K:$K,K556,$F:$F,"&gt;"&amp;F556)+COUNTIFS($J:$J,J556,$K:$K,K556,$F:$F,F556,$G:$G,"&gt;"&amp;G556))</f>
        <v>6</v>
      </c>
      <c r="O556" s="6" t="n">
        <f aca="false">IF(L556="","",SUMIFS(Votes!$E:$E,Votes!$A:$A,J556,Votes!$B:$B,K556,Votes!$D:$D,L556))</f>
        <v>10</v>
      </c>
      <c r="P556" s="6" t="n">
        <f aca="false">IF(L556="","",COUNTIFS(Votes!$A:$A,J556,Votes!$B:$B,K556,Votes!$D:$D,L556))</f>
        <v>9</v>
      </c>
      <c r="Q556" s="7" t="str">
        <f aca="false">IF(F556="","Unscored",IF(O556="","No URI",IF(AND(F556=0,O556=0),"Zero-vote",IF(AND(F556=O556,G556=P556),"OK",IF(AND(F556=0,O556&gt;0,COUNTIFS(Votes!$A:$A,J556,Votes!$B:$B,K556,Votes!$C:$C,D556)=0),"Forfeited","Mismatch")))))</f>
        <v>OK</v>
      </c>
      <c r="R556" s="6" t="n">
        <f aca="false">MAX(IF(L556&lt;&gt;"",COUNTIF($L:$L,L556),0),COUNTIFS($A:$A,A556,$B:$B,B556))</f>
        <v>1</v>
      </c>
      <c r="S556" s="6" t="str">
        <f aca="false">IF(R556&gt;1,COUNTIF($R$2:R556,"&gt;1"),"")</f>
        <v/>
      </c>
      <c r="T556" s="6" t="str">
        <f aca="false">IF(L556="","",J556&amp;"|"&amp;K556&amp;"|"&amp;L556)</f>
        <v>6|1|spotify:track:7K71priwuwcWwbgfHVQJdq</v>
      </c>
      <c r="U556" s="6" t="str">
        <f aca="false">IF(C556="","",IFERROR(INDEX(Lists!$F:$F,MATCH(C556,Lists!$E:$E,0)),"Unmapped"))</f>
        <v>Rock</v>
      </c>
    </row>
    <row r="557" customFormat="false" ht="15" hidden="false" customHeight="false" outlineLevel="0" collapsed="false">
      <c r="A557" s="5" t="s">
        <v>1088</v>
      </c>
      <c r="B557" s="5" t="s">
        <v>1708</v>
      </c>
      <c r="C557" s="5" t="s">
        <v>91</v>
      </c>
      <c r="D557" s="5" t="s">
        <v>116</v>
      </c>
      <c r="E557" s="5" t="s">
        <v>1690</v>
      </c>
      <c r="F557" s="5" t="n">
        <v>10</v>
      </c>
      <c r="G557" s="5" t="n">
        <v>9</v>
      </c>
      <c r="H557" s="6" t="str">
        <f aca="false">IF(N557="","",N557&amp;IF(AND(MOD(N557,100)&gt;=11,MOD(N557,100)&lt;=13),"th",CHOOSE(MIN(5,MOD(N557,10)+1),"th","st","nd","rd","th")))</f>
        <v>6th</v>
      </c>
      <c r="I557" s="5" t="s">
        <v>1691</v>
      </c>
      <c r="J557" s="6" t="n">
        <f aca="false">IFERROR(INDEX(Rounds!$A:$A,MATCH(I557,Rounds!$B:$B,0)),"ADD LEAGUE TO ROUNDS")</f>
        <v>6</v>
      </c>
      <c r="K557" s="6" t="n">
        <f aca="false">IFERROR(VALUE(LEFT(E557,FIND(" - ",E557)-1)),"")</f>
        <v>1</v>
      </c>
      <c r="L557" s="5" t="s">
        <v>1709</v>
      </c>
      <c r="N557" s="6" t="n">
        <f aca="false">IF(F557="","",1+COUNTIFS($J:$J,J557,$K:$K,K557,$F:$F,"&gt;"&amp;F557)+COUNTIFS($J:$J,J557,$K:$K,K557,$F:$F,F557,$G:$G,"&gt;"&amp;G557))</f>
        <v>6</v>
      </c>
      <c r="O557" s="6" t="n">
        <f aca="false">IF(L557="","",SUMIFS(Votes!$E:$E,Votes!$A:$A,J557,Votes!$B:$B,K557,Votes!$D:$D,L557))</f>
        <v>10</v>
      </c>
      <c r="P557" s="6" t="n">
        <f aca="false">IF(L557="","",COUNTIFS(Votes!$A:$A,J557,Votes!$B:$B,K557,Votes!$D:$D,L557))</f>
        <v>9</v>
      </c>
      <c r="Q557" s="7" t="str">
        <f aca="false">IF(F557="","Unscored",IF(O557="","No URI",IF(AND(F557=0,O557=0),"Zero-vote",IF(AND(F557=O557,G557=P557),"OK",IF(AND(F557=0,O557&gt;0,COUNTIFS(Votes!$A:$A,J557,Votes!$B:$B,K557,Votes!$C:$C,D557)=0),"Forfeited","Mismatch")))))</f>
        <v>OK</v>
      </c>
      <c r="R557" s="6" t="n">
        <f aca="false">MAX(IF(L557&lt;&gt;"",COUNTIF($L:$L,L557),0),COUNTIFS($A:$A,A557,$B:$B,B557))</f>
        <v>1</v>
      </c>
      <c r="S557" s="6" t="str">
        <f aca="false">IF(R557&gt;1,COUNTIF($R$2:R557,"&gt;1"),"")</f>
        <v/>
      </c>
      <c r="T557" s="6" t="str">
        <f aca="false">IF(L557="","",J557&amp;"|"&amp;K557&amp;"|"&amp;L557)</f>
        <v>6|1|spotify:track:6GG73Jik4jUlQCkKg9JuGO</v>
      </c>
      <c r="U557" s="6" t="str">
        <f aca="false">IF(C557="","",IFERROR(INDEX(Lists!$F:$F,MATCH(C557,Lists!$E:$E,0)),"Unmapped"))</f>
        <v>Rock</v>
      </c>
    </row>
    <row r="558" customFormat="false" ht="15" hidden="false" customHeight="false" outlineLevel="0" collapsed="false">
      <c r="A558" s="5" t="s">
        <v>1710</v>
      </c>
      <c r="B558" s="5" t="s">
        <v>1711</v>
      </c>
      <c r="C558" s="5" t="s">
        <v>248</v>
      </c>
      <c r="D558" s="5" t="s">
        <v>128</v>
      </c>
      <c r="E558" s="5" t="s">
        <v>1690</v>
      </c>
      <c r="F558" s="5" t="n">
        <v>10</v>
      </c>
      <c r="G558" s="5" t="n">
        <v>7</v>
      </c>
      <c r="H558" s="6" t="str">
        <f aca="false">IF(N558="","",N558&amp;IF(AND(MOD(N558,100)&gt;=11,MOD(N558,100)&lt;=13),"th",CHOOSE(MIN(5,MOD(N558,10)+1),"th","st","nd","rd","th")))</f>
        <v>8th</v>
      </c>
      <c r="I558" s="5" t="s">
        <v>1691</v>
      </c>
      <c r="J558" s="6" t="n">
        <f aca="false">IFERROR(INDEX(Rounds!$A:$A,MATCH(I558,Rounds!$B:$B,0)),"ADD LEAGUE TO ROUNDS")</f>
        <v>6</v>
      </c>
      <c r="K558" s="6" t="n">
        <f aca="false">IFERROR(VALUE(LEFT(E558,FIND(" - ",E558)-1)),"")</f>
        <v>1</v>
      </c>
      <c r="L558" s="5" t="s">
        <v>1712</v>
      </c>
      <c r="N558" s="6" t="n">
        <f aca="false">IF(F558="","",1+COUNTIFS($J:$J,J558,$K:$K,K558,$F:$F,"&gt;"&amp;F558)+COUNTIFS($J:$J,J558,$K:$K,K558,$F:$F,F558,$G:$G,"&gt;"&amp;G558))</f>
        <v>8</v>
      </c>
      <c r="O558" s="6" t="n">
        <f aca="false">IF(L558="","",SUMIFS(Votes!$E:$E,Votes!$A:$A,J558,Votes!$B:$B,K558,Votes!$D:$D,L558))</f>
        <v>10</v>
      </c>
      <c r="P558" s="6" t="n">
        <f aca="false">IF(L558="","",COUNTIFS(Votes!$A:$A,J558,Votes!$B:$B,K558,Votes!$D:$D,L558))</f>
        <v>7</v>
      </c>
      <c r="Q558" s="7" t="str">
        <f aca="false">IF(F558="","Unscored",IF(O558="","No URI",IF(AND(F558=0,O558=0),"Zero-vote",IF(AND(F558=O558,G558=P558),"OK",IF(AND(F558=0,O558&gt;0,COUNTIFS(Votes!$A:$A,J558,Votes!$B:$B,K558,Votes!$C:$C,D558)=0),"Forfeited","Mismatch")))))</f>
        <v>OK</v>
      </c>
      <c r="R558" s="6" t="n">
        <f aca="false">MAX(IF(L558&lt;&gt;"",COUNTIF($L:$L,L558),0),COUNTIFS($A:$A,A558,$B:$B,B558))</f>
        <v>1</v>
      </c>
      <c r="S558" s="6" t="str">
        <f aca="false">IF(R558&gt;1,COUNTIF($R$2:R558,"&gt;1"),"")</f>
        <v/>
      </c>
      <c r="T558" s="6" t="str">
        <f aca="false">IF(L558="","",J558&amp;"|"&amp;K558&amp;"|"&amp;L558)</f>
        <v>6|1|spotify:track:6QTPacyXkZWG9FMwq6L1hJ</v>
      </c>
      <c r="U558" s="6" t="str">
        <f aca="false">IF(C558="","",IFERROR(INDEX(Lists!$F:$F,MATCH(C558,Lists!$E:$E,0)),"Unmapped"))</f>
        <v>Folk/Americana</v>
      </c>
    </row>
    <row r="559" customFormat="false" ht="15" hidden="false" customHeight="false" outlineLevel="0" collapsed="false">
      <c r="A559" s="5" t="s">
        <v>1623</v>
      </c>
      <c r="B559" s="5" t="s">
        <v>1713</v>
      </c>
      <c r="C559" s="5" t="s">
        <v>84</v>
      </c>
      <c r="D559" s="5" t="s">
        <v>382</v>
      </c>
      <c r="E559" s="5" t="s">
        <v>1690</v>
      </c>
      <c r="F559" s="5" t="n">
        <v>9</v>
      </c>
      <c r="G559" s="5" t="n">
        <v>7</v>
      </c>
      <c r="H559" s="6" t="str">
        <f aca="false">IF(N559="","",N559&amp;IF(AND(MOD(N559,100)&gt;=11,MOD(N559,100)&lt;=13),"th",CHOOSE(MIN(5,MOD(N559,10)+1),"th","st","nd","rd","th")))</f>
        <v>9th</v>
      </c>
      <c r="I559" s="5" t="s">
        <v>1691</v>
      </c>
      <c r="J559" s="6" t="n">
        <f aca="false">IFERROR(INDEX(Rounds!$A:$A,MATCH(I559,Rounds!$B:$B,0)),"ADD LEAGUE TO ROUNDS")</f>
        <v>6</v>
      </c>
      <c r="K559" s="6" t="n">
        <f aca="false">IFERROR(VALUE(LEFT(E559,FIND(" - ",E559)-1)),"")</f>
        <v>1</v>
      </c>
      <c r="L559" s="5" t="s">
        <v>1714</v>
      </c>
      <c r="N559" s="6" t="n">
        <f aca="false">IF(F559="","",1+COUNTIFS($J:$J,J559,$K:$K,K559,$F:$F,"&gt;"&amp;F559)+COUNTIFS($J:$J,J559,$K:$K,K559,$F:$F,F559,$G:$G,"&gt;"&amp;G559))</f>
        <v>9</v>
      </c>
      <c r="O559" s="6" t="n">
        <f aca="false">IF(L559="","",SUMIFS(Votes!$E:$E,Votes!$A:$A,J559,Votes!$B:$B,K559,Votes!$D:$D,L559))</f>
        <v>9</v>
      </c>
      <c r="P559" s="6" t="n">
        <f aca="false">IF(L559="","",COUNTIFS(Votes!$A:$A,J559,Votes!$B:$B,K559,Votes!$D:$D,L559))</f>
        <v>7</v>
      </c>
      <c r="Q559" s="7" t="str">
        <f aca="false">IF(F559="","Unscored",IF(O559="","No URI",IF(AND(F559=0,O559=0),"Zero-vote",IF(AND(F559=O559,G559=P559),"OK",IF(AND(F559=0,O559&gt;0,COUNTIFS(Votes!$A:$A,J559,Votes!$B:$B,K559,Votes!$C:$C,D559)=0),"Forfeited","Mismatch")))))</f>
        <v>OK</v>
      </c>
      <c r="R559" s="6" t="n">
        <f aca="false">MAX(IF(L559&lt;&gt;"",COUNTIF($L:$L,L559),0),COUNTIFS($A:$A,A559,$B:$B,B559))</f>
        <v>1</v>
      </c>
      <c r="S559" s="6" t="str">
        <f aca="false">IF(R559&gt;1,COUNTIF($R$2:R559,"&gt;1"),"")</f>
        <v/>
      </c>
      <c r="T559" s="6" t="str">
        <f aca="false">IF(L559="","",J559&amp;"|"&amp;K559&amp;"|"&amp;L559)</f>
        <v>6|1|spotify:track:726TaMebVtCacv69K8yuRu</v>
      </c>
      <c r="U559" s="6" t="str">
        <f aca="false">IF(C559="","",IFERROR(INDEX(Lists!$F:$F,MATCH(C559,Lists!$E:$E,0)),"Unmapped"))</f>
        <v>Pop</v>
      </c>
    </row>
    <row r="560" customFormat="false" ht="15" hidden="false" customHeight="false" outlineLevel="0" collapsed="false">
      <c r="A560" s="5" t="s">
        <v>1715</v>
      </c>
      <c r="B560" s="5" t="s">
        <v>1713</v>
      </c>
      <c r="C560" s="5" t="s">
        <v>84</v>
      </c>
      <c r="D560" s="5" t="s">
        <v>85</v>
      </c>
      <c r="E560" s="5" t="s">
        <v>1690</v>
      </c>
      <c r="F560" s="5" t="n">
        <v>7</v>
      </c>
      <c r="G560" s="5" t="n">
        <v>7</v>
      </c>
      <c r="H560" s="6" t="str">
        <f aca="false">IF(N560="","",N560&amp;IF(AND(MOD(N560,100)&gt;=11,MOD(N560,100)&lt;=13),"th",CHOOSE(MIN(5,MOD(N560,10)+1),"th","st","nd","rd","th")))</f>
        <v>10th</v>
      </c>
      <c r="I560" s="5" t="s">
        <v>1691</v>
      </c>
      <c r="J560" s="6" t="n">
        <f aca="false">IFERROR(INDEX(Rounds!$A:$A,MATCH(I560,Rounds!$B:$B,0)),"ADD LEAGUE TO ROUNDS")</f>
        <v>6</v>
      </c>
      <c r="K560" s="6" t="n">
        <f aca="false">IFERROR(VALUE(LEFT(E560,FIND(" - ",E560)-1)),"")</f>
        <v>1</v>
      </c>
      <c r="L560" s="5" t="s">
        <v>1716</v>
      </c>
      <c r="N560" s="6" t="n">
        <f aca="false">IF(F560="","",1+COUNTIFS($J:$J,J560,$K:$K,K560,$F:$F,"&gt;"&amp;F560)+COUNTIFS($J:$J,J560,$K:$K,K560,$F:$F,F560,$G:$G,"&gt;"&amp;G560))</f>
        <v>10</v>
      </c>
      <c r="O560" s="6" t="n">
        <f aca="false">IF(L560="","",SUMIFS(Votes!$E:$E,Votes!$A:$A,J560,Votes!$B:$B,K560,Votes!$D:$D,L560))</f>
        <v>7</v>
      </c>
      <c r="P560" s="6" t="n">
        <f aca="false">IF(L560="","",COUNTIFS(Votes!$A:$A,J560,Votes!$B:$B,K560,Votes!$D:$D,L560))</f>
        <v>7</v>
      </c>
      <c r="Q560" s="7" t="str">
        <f aca="false">IF(F560="","Unscored",IF(O560="","No URI",IF(AND(F560=0,O560=0),"Zero-vote",IF(AND(F560=O560,G560=P560),"OK",IF(AND(F560=0,O560&gt;0,COUNTIFS(Votes!$A:$A,J560,Votes!$B:$B,K560,Votes!$C:$C,D560)=0),"Forfeited","Mismatch")))))</f>
        <v>OK</v>
      </c>
      <c r="R560" s="6" t="n">
        <f aca="false">MAX(IF(L560&lt;&gt;"",COUNTIF($L:$L,L560),0),COUNTIFS($A:$A,A560,$B:$B,B560))</f>
        <v>1</v>
      </c>
      <c r="S560" s="6" t="str">
        <f aca="false">IF(R560&gt;1,COUNTIF($R$2:R560,"&gt;1"),"")</f>
        <v/>
      </c>
      <c r="T560" s="6" t="str">
        <f aca="false">IF(L560="","",J560&amp;"|"&amp;K560&amp;"|"&amp;L560)</f>
        <v>6|1|spotify:track:7a53HqqArd4b9NF4XAmlbI</v>
      </c>
      <c r="U560" s="6" t="str">
        <f aca="false">IF(C560="","",IFERROR(INDEX(Lists!$F:$F,MATCH(C560,Lists!$E:$E,0)),"Unmapped"))</f>
        <v>Pop</v>
      </c>
    </row>
    <row r="561" customFormat="false" ht="15" hidden="false" customHeight="false" outlineLevel="0" collapsed="false">
      <c r="A561" s="5" t="s">
        <v>1717</v>
      </c>
      <c r="B561" s="5" t="s">
        <v>471</v>
      </c>
      <c r="C561" s="5" t="s">
        <v>84</v>
      </c>
      <c r="D561" s="5" t="s">
        <v>375</v>
      </c>
      <c r="E561" s="5" t="s">
        <v>1690</v>
      </c>
      <c r="F561" s="5" t="n">
        <v>5</v>
      </c>
      <c r="G561" s="5" t="n">
        <v>5</v>
      </c>
      <c r="H561" s="6" t="str">
        <f aca="false">IF(N561="","",N561&amp;IF(AND(MOD(N561,100)&gt;=11,MOD(N561,100)&lt;=13),"th",CHOOSE(MIN(5,MOD(N561,10)+1),"th","st","nd","rd","th")))</f>
        <v>11th</v>
      </c>
      <c r="I561" s="5" t="s">
        <v>1691</v>
      </c>
      <c r="J561" s="6" t="n">
        <f aca="false">IFERROR(INDEX(Rounds!$A:$A,MATCH(I561,Rounds!$B:$B,0)),"ADD LEAGUE TO ROUNDS")</f>
        <v>6</v>
      </c>
      <c r="K561" s="6" t="n">
        <f aca="false">IFERROR(VALUE(LEFT(E561,FIND(" - ",E561)-1)),"")</f>
        <v>1</v>
      </c>
      <c r="L561" s="5" t="s">
        <v>1718</v>
      </c>
      <c r="N561" s="6" t="n">
        <f aca="false">IF(F561="","",1+COUNTIFS($J:$J,J561,$K:$K,K561,$F:$F,"&gt;"&amp;F561)+COUNTIFS($J:$J,J561,$K:$K,K561,$F:$F,F561,$G:$G,"&gt;"&amp;G561))</f>
        <v>11</v>
      </c>
      <c r="O561" s="6" t="n">
        <f aca="false">IF(L561="","",SUMIFS(Votes!$E:$E,Votes!$A:$A,J561,Votes!$B:$B,K561,Votes!$D:$D,L561))</f>
        <v>5</v>
      </c>
      <c r="P561" s="6" t="n">
        <f aca="false">IF(L561="","",COUNTIFS(Votes!$A:$A,J561,Votes!$B:$B,K561,Votes!$D:$D,L561))</f>
        <v>5</v>
      </c>
      <c r="Q561" s="7" t="str">
        <f aca="false">IF(F561="","Unscored",IF(O561="","No URI",IF(AND(F561=0,O561=0),"Zero-vote",IF(AND(F561=O561,G561=P561),"OK",IF(AND(F561=0,O561&gt;0,COUNTIFS(Votes!$A:$A,J561,Votes!$B:$B,K561,Votes!$C:$C,D561)=0),"Forfeited","Mismatch")))))</f>
        <v>OK</v>
      </c>
      <c r="R561" s="6" t="n">
        <f aca="false">MAX(IF(L561&lt;&gt;"",COUNTIF($L:$L,L561),0),COUNTIFS($A:$A,A561,$B:$B,B561))</f>
        <v>1</v>
      </c>
      <c r="S561" s="6" t="str">
        <f aca="false">IF(R561&gt;1,COUNTIF($R$2:R561,"&gt;1"),"")</f>
        <v/>
      </c>
      <c r="T561" s="6" t="str">
        <f aca="false">IF(L561="","",J561&amp;"|"&amp;K561&amp;"|"&amp;L561)</f>
        <v>6|1|spotify:track:0V3wPSX9ygBnCm8psDIegu</v>
      </c>
      <c r="U561" s="6" t="str">
        <f aca="false">IF(C561="","",IFERROR(INDEX(Lists!$F:$F,MATCH(C561,Lists!$E:$E,0)),"Unmapped"))</f>
        <v>Pop</v>
      </c>
    </row>
    <row r="562" customFormat="false" ht="15" hidden="false" customHeight="false" outlineLevel="0" collapsed="false">
      <c r="A562" s="5" t="s">
        <v>1719</v>
      </c>
      <c r="B562" s="5" t="s">
        <v>1720</v>
      </c>
      <c r="C562" s="5" t="s">
        <v>84</v>
      </c>
      <c r="D562" s="5" t="s">
        <v>106</v>
      </c>
      <c r="E562" s="5" t="s">
        <v>1690</v>
      </c>
      <c r="F562" s="5" t="n">
        <v>5</v>
      </c>
      <c r="G562" s="5" t="n">
        <v>5</v>
      </c>
      <c r="H562" s="6" t="str">
        <f aca="false">IF(N562="","",N562&amp;IF(AND(MOD(N562,100)&gt;=11,MOD(N562,100)&lt;=13),"th",CHOOSE(MIN(5,MOD(N562,10)+1),"th","st","nd","rd","th")))</f>
        <v>11th</v>
      </c>
      <c r="I562" s="5" t="s">
        <v>1691</v>
      </c>
      <c r="J562" s="6" t="n">
        <f aca="false">IFERROR(INDEX(Rounds!$A:$A,MATCH(I562,Rounds!$B:$B,0)),"ADD LEAGUE TO ROUNDS")</f>
        <v>6</v>
      </c>
      <c r="K562" s="6" t="n">
        <f aca="false">IFERROR(VALUE(LEFT(E562,FIND(" - ",E562)-1)),"")</f>
        <v>1</v>
      </c>
      <c r="L562" s="5" t="s">
        <v>1721</v>
      </c>
      <c r="N562" s="6" t="n">
        <f aca="false">IF(F562="","",1+COUNTIFS($J:$J,J562,$K:$K,K562,$F:$F,"&gt;"&amp;F562)+COUNTIFS($J:$J,J562,$K:$K,K562,$F:$F,F562,$G:$G,"&gt;"&amp;G562))</f>
        <v>11</v>
      </c>
      <c r="O562" s="6" t="n">
        <f aca="false">IF(L562="","",SUMIFS(Votes!$E:$E,Votes!$A:$A,J562,Votes!$B:$B,K562,Votes!$D:$D,L562))</f>
        <v>5</v>
      </c>
      <c r="P562" s="6" t="n">
        <f aca="false">IF(L562="","",COUNTIFS(Votes!$A:$A,J562,Votes!$B:$B,K562,Votes!$D:$D,L562))</f>
        <v>5</v>
      </c>
      <c r="Q562" s="7" t="str">
        <f aca="false">IF(F562="","Unscored",IF(O562="","No URI",IF(AND(F562=0,O562=0),"Zero-vote",IF(AND(F562=O562,G562=P562),"OK",IF(AND(F562=0,O562&gt;0,COUNTIFS(Votes!$A:$A,J562,Votes!$B:$B,K562,Votes!$C:$C,D562)=0),"Forfeited","Mismatch")))))</f>
        <v>OK</v>
      </c>
      <c r="R562" s="6" t="n">
        <f aca="false">MAX(IF(L562&lt;&gt;"",COUNTIF($L:$L,L562),0),COUNTIFS($A:$A,A562,$B:$B,B562))</f>
        <v>1</v>
      </c>
      <c r="S562" s="6" t="str">
        <f aca="false">IF(R562&gt;1,COUNTIF($R$2:R562,"&gt;1"),"")</f>
        <v/>
      </c>
      <c r="T562" s="6" t="str">
        <f aca="false">IF(L562="","",J562&amp;"|"&amp;K562&amp;"|"&amp;L562)</f>
        <v>6|1|spotify:track:48O0GrGJWml3DzHhC5sJ7a</v>
      </c>
      <c r="U562" s="6" t="str">
        <f aca="false">IF(C562="","",IFERROR(INDEX(Lists!$F:$F,MATCH(C562,Lists!$E:$E,0)),"Unmapped"))</f>
        <v>Pop</v>
      </c>
    </row>
    <row r="563" customFormat="false" ht="15" hidden="false" customHeight="false" outlineLevel="0" collapsed="false">
      <c r="A563" s="5" t="s">
        <v>1722</v>
      </c>
      <c r="B563" s="5" t="s">
        <v>1723</v>
      </c>
      <c r="C563" s="5" t="s">
        <v>91</v>
      </c>
      <c r="D563" s="5" t="s">
        <v>395</v>
      </c>
      <c r="E563" s="5" t="s">
        <v>1690</v>
      </c>
      <c r="F563" s="5" t="n">
        <v>5</v>
      </c>
      <c r="G563" s="5" t="n">
        <v>5</v>
      </c>
      <c r="H563" s="6" t="str">
        <f aca="false">IF(N563="","",N563&amp;IF(AND(MOD(N563,100)&gt;=11,MOD(N563,100)&lt;=13),"th",CHOOSE(MIN(5,MOD(N563,10)+1),"th","st","nd","rd","th")))</f>
        <v>11th</v>
      </c>
      <c r="I563" s="5" t="s">
        <v>1691</v>
      </c>
      <c r="J563" s="6" t="n">
        <f aca="false">IFERROR(INDEX(Rounds!$A:$A,MATCH(I563,Rounds!$B:$B,0)),"ADD LEAGUE TO ROUNDS")</f>
        <v>6</v>
      </c>
      <c r="K563" s="6" t="n">
        <f aca="false">IFERROR(VALUE(LEFT(E563,FIND(" - ",E563)-1)),"")</f>
        <v>1</v>
      </c>
      <c r="L563" s="5" t="s">
        <v>1724</v>
      </c>
      <c r="N563" s="6" t="n">
        <f aca="false">IF(F563="","",1+COUNTIFS($J:$J,J563,$K:$K,K563,$F:$F,"&gt;"&amp;F563)+COUNTIFS($J:$J,J563,$K:$K,K563,$F:$F,F563,$G:$G,"&gt;"&amp;G563))</f>
        <v>11</v>
      </c>
      <c r="O563" s="6" t="n">
        <f aca="false">IF(L563="","",SUMIFS(Votes!$E:$E,Votes!$A:$A,J563,Votes!$B:$B,K563,Votes!$D:$D,L563))</f>
        <v>5</v>
      </c>
      <c r="P563" s="6" t="n">
        <f aca="false">IF(L563="","",COUNTIFS(Votes!$A:$A,J563,Votes!$B:$B,K563,Votes!$D:$D,L563))</f>
        <v>5</v>
      </c>
      <c r="Q563" s="7" t="str">
        <f aca="false">IF(F563="","Unscored",IF(O563="","No URI",IF(AND(F563=0,O563=0),"Zero-vote",IF(AND(F563=O563,G563=P563),"OK",IF(AND(F563=0,O563&gt;0,COUNTIFS(Votes!$A:$A,J563,Votes!$B:$B,K563,Votes!$C:$C,D563)=0),"Forfeited","Mismatch")))))</f>
        <v>OK</v>
      </c>
      <c r="R563" s="6" t="n">
        <f aca="false">MAX(IF(L563&lt;&gt;"",COUNTIF($L:$L,L563),0),COUNTIFS($A:$A,A563,$B:$B,B563))</f>
        <v>1</v>
      </c>
      <c r="S563" s="6" t="str">
        <f aca="false">IF(R563&gt;1,COUNTIF($R$2:R563,"&gt;1"),"")</f>
        <v/>
      </c>
      <c r="T563" s="6" t="str">
        <f aca="false">IF(L563="","",J563&amp;"|"&amp;K563&amp;"|"&amp;L563)</f>
        <v>6|1|spotify:track:2vjmUmO71XEDuitvK4sxRM</v>
      </c>
      <c r="U563" s="6" t="str">
        <f aca="false">IF(C563="","",IFERROR(INDEX(Lists!$F:$F,MATCH(C563,Lists!$E:$E,0)),"Unmapped"))</f>
        <v>Rock</v>
      </c>
    </row>
    <row r="564" customFormat="false" ht="15" hidden="false" customHeight="false" outlineLevel="0" collapsed="false">
      <c r="A564" s="5" t="s">
        <v>1725</v>
      </c>
      <c r="B564" s="5" t="s">
        <v>1726</v>
      </c>
      <c r="C564" s="5" t="s">
        <v>91</v>
      </c>
      <c r="D564" s="5" t="s">
        <v>484</v>
      </c>
      <c r="E564" s="5" t="s">
        <v>1690</v>
      </c>
      <c r="F564" s="5" t="n">
        <v>5</v>
      </c>
      <c r="G564" s="5" t="n">
        <v>4</v>
      </c>
      <c r="H564" s="6" t="str">
        <f aca="false">IF(N564="","",N564&amp;IF(AND(MOD(N564,100)&gt;=11,MOD(N564,100)&lt;=13),"th",CHOOSE(MIN(5,MOD(N564,10)+1),"th","st","nd","rd","th")))</f>
        <v>14th</v>
      </c>
      <c r="I564" s="5" t="s">
        <v>1691</v>
      </c>
      <c r="J564" s="6" t="n">
        <f aca="false">IFERROR(INDEX(Rounds!$A:$A,MATCH(I564,Rounds!$B:$B,0)),"ADD LEAGUE TO ROUNDS")</f>
        <v>6</v>
      </c>
      <c r="K564" s="6" t="n">
        <f aca="false">IFERROR(VALUE(LEFT(E564,FIND(" - ",E564)-1)),"")</f>
        <v>1</v>
      </c>
      <c r="L564" s="5" t="s">
        <v>1727</v>
      </c>
      <c r="N564" s="6" t="n">
        <f aca="false">IF(F564="","",1+COUNTIFS($J:$J,J564,$K:$K,K564,$F:$F,"&gt;"&amp;F564)+COUNTIFS($J:$J,J564,$K:$K,K564,$F:$F,F564,$G:$G,"&gt;"&amp;G564))</f>
        <v>14</v>
      </c>
      <c r="O564" s="6" t="n">
        <f aca="false">IF(L564="","",SUMIFS(Votes!$E:$E,Votes!$A:$A,J564,Votes!$B:$B,K564,Votes!$D:$D,L564))</f>
        <v>5</v>
      </c>
      <c r="P564" s="6" t="n">
        <f aca="false">IF(L564="","",COUNTIFS(Votes!$A:$A,J564,Votes!$B:$B,K564,Votes!$D:$D,L564))</f>
        <v>4</v>
      </c>
      <c r="Q564" s="7" t="str">
        <f aca="false">IF(F564="","Unscored",IF(O564="","No URI",IF(AND(F564=0,O564=0),"Zero-vote",IF(AND(F564=O564,G564=P564),"OK",IF(AND(F564=0,O564&gt;0,COUNTIFS(Votes!$A:$A,J564,Votes!$B:$B,K564,Votes!$C:$C,D564)=0),"Forfeited","Mismatch")))))</f>
        <v>OK</v>
      </c>
      <c r="R564" s="6" t="n">
        <f aca="false">MAX(IF(L564&lt;&gt;"",COUNTIF($L:$L,L564),0),COUNTIFS($A:$A,A564,$B:$B,B564))</f>
        <v>1</v>
      </c>
      <c r="S564" s="6" t="str">
        <f aca="false">IF(R564&gt;1,COUNTIF($R$2:R564,"&gt;1"),"")</f>
        <v/>
      </c>
      <c r="T564" s="6" t="str">
        <f aca="false">IF(L564="","",J564&amp;"|"&amp;K564&amp;"|"&amp;L564)</f>
        <v>6|1|spotify:track:511ZEJJELVd9gYpS9u63us</v>
      </c>
      <c r="U564" s="6" t="str">
        <f aca="false">IF(C564="","",IFERROR(INDEX(Lists!$F:$F,MATCH(C564,Lists!$E:$E,0)),"Unmapped"))</f>
        <v>Rock</v>
      </c>
    </row>
    <row r="565" customFormat="false" ht="15" hidden="false" customHeight="false" outlineLevel="0" collapsed="false">
      <c r="A565" s="5" t="s">
        <v>1728</v>
      </c>
      <c r="B565" s="5" t="s">
        <v>1729</v>
      </c>
      <c r="C565" s="5" t="s">
        <v>110</v>
      </c>
      <c r="D565" s="5" t="s">
        <v>101</v>
      </c>
      <c r="E565" s="5" t="s">
        <v>1690</v>
      </c>
      <c r="F565" s="5" t="n">
        <v>0</v>
      </c>
      <c r="G565" s="5" t="n">
        <v>6</v>
      </c>
      <c r="H565" s="6" t="str">
        <f aca="false">IF(N565="","",N565&amp;IF(AND(MOD(N565,100)&gt;=11,MOD(N565,100)&lt;=13),"th",CHOOSE(MIN(5,MOD(N565,10)+1),"th","st","nd","rd","th")))</f>
        <v>15th</v>
      </c>
      <c r="I565" s="5" t="s">
        <v>1691</v>
      </c>
      <c r="J565" s="6" t="n">
        <f aca="false">IFERROR(INDEX(Rounds!$A:$A,MATCH(I565,Rounds!$B:$B,0)),"ADD LEAGUE TO ROUNDS")</f>
        <v>6</v>
      </c>
      <c r="K565" s="6" t="n">
        <f aca="false">IFERROR(VALUE(LEFT(E565,FIND(" - ",E565)-1)),"")</f>
        <v>1</v>
      </c>
      <c r="L565" s="5" t="s">
        <v>1730</v>
      </c>
      <c r="N565" s="6" t="n">
        <f aca="false">IF(F565="","",1+COUNTIFS($J:$J,J565,$K:$K,K565,$F:$F,"&gt;"&amp;F565)+COUNTIFS($J:$J,J565,$K:$K,K565,$F:$F,F565,$G:$G,"&gt;"&amp;G565))</f>
        <v>15</v>
      </c>
      <c r="O565" s="6" t="n">
        <f aca="false">IF(L565="","",SUMIFS(Votes!$E:$E,Votes!$A:$A,J565,Votes!$B:$B,K565,Votes!$D:$D,L565))</f>
        <v>7</v>
      </c>
      <c r="P565" s="6" t="n">
        <f aca="false">IF(L565="","",COUNTIFS(Votes!$A:$A,J565,Votes!$B:$B,K565,Votes!$D:$D,L565))</f>
        <v>6</v>
      </c>
      <c r="Q565" s="7" t="str">
        <f aca="false">IF(F565="","Unscored",IF(O565="","No URI",IF(AND(F565=0,O565=0),"Zero-vote",IF(AND(F565=O565,G565=P565),"OK",IF(AND(F565=0,O565&gt;0,COUNTIFS(Votes!$A:$A,J565,Votes!$B:$B,K565,Votes!$C:$C,D565)=0),"Forfeited","Mismatch")))))</f>
        <v>Forfeited</v>
      </c>
      <c r="R565" s="6" t="n">
        <f aca="false">MAX(IF(L565&lt;&gt;"",COUNTIF($L:$L,L565),0),COUNTIFS($A:$A,A565,$B:$B,B565))</f>
        <v>1</v>
      </c>
      <c r="S565" s="6" t="str">
        <f aca="false">IF(R565&gt;1,COUNTIF($R$2:R565,"&gt;1"),"")</f>
        <v/>
      </c>
      <c r="T565" s="6" t="str">
        <f aca="false">IF(L565="","",J565&amp;"|"&amp;K565&amp;"|"&amp;L565)</f>
        <v>6|1|spotify:track:40YcuQysJ0KlGQTeGUosTC</v>
      </c>
      <c r="U565" s="6" t="str">
        <f aca="false">IF(C565="","",IFERROR(INDEX(Lists!$F:$F,MATCH(C565,Lists!$E:$E,0)),"Unmapped"))</f>
        <v>Hip-Hop/Rap</v>
      </c>
    </row>
    <row r="566" customFormat="false" ht="15" hidden="false" customHeight="false" outlineLevel="0" collapsed="false">
      <c r="A566" s="5" t="s">
        <v>1731</v>
      </c>
      <c r="B566" s="5" t="s">
        <v>1732</v>
      </c>
      <c r="C566" s="5" t="s">
        <v>127</v>
      </c>
      <c r="D566" s="5" t="s">
        <v>128</v>
      </c>
      <c r="E566" s="5" t="s">
        <v>1733</v>
      </c>
      <c r="F566" s="5" t="n">
        <v>16</v>
      </c>
      <c r="G566" s="5" t="n">
        <v>11</v>
      </c>
      <c r="H566" s="6" t="str">
        <f aca="false">IF(N566="","",N566&amp;IF(AND(MOD(N566,100)&gt;=11,MOD(N566,100)&lt;=13),"th",CHOOSE(MIN(5,MOD(N566,10)+1),"th","st","nd","rd","th")))</f>
        <v>1st</v>
      </c>
      <c r="I566" s="5" t="s">
        <v>1691</v>
      </c>
      <c r="J566" s="6" t="n">
        <f aca="false">IFERROR(INDEX(Rounds!$A:$A,MATCH(I566,Rounds!$B:$B,0)),"ADD LEAGUE TO ROUNDS")</f>
        <v>6</v>
      </c>
      <c r="K566" s="6" t="n">
        <f aca="false">IFERROR(VALUE(LEFT(E566,FIND(" - ",E566)-1)),"")</f>
        <v>2</v>
      </c>
      <c r="L566" s="5" t="s">
        <v>1734</v>
      </c>
      <c r="N566" s="6" t="n">
        <f aca="false">IF(F566="","",1+COUNTIFS($J:$J,J566,$K:$K,K566,$F:$F,"&gt;"&amp;F566)+COUNTIFS($J:$J,J566,$K:$K,K566,$F:$F,F566,$G:$G,"&gt;"&amp;G566))</f>
        <v>1</v>
      </c>
      <c r="O566" s="6" t="n">
        <f aca="false">IF(L566="","",SUMIFS(Votes!$E:$E,Votes!$A:$A,J566,Votes!$B:$B,K566,Votes!$D:$D,L566))</f>
        <v>16</v>
      </c>
      <c r="P566" s="6" t="n">
        <f aca="false">IF(L566="","",COUNTIFS(Votes!$A:$A,J566,Votes!$B:$B,K566,Votes!$D:$D,L566))</f>
        <v>11</v>
      </c>
      <c r="Q566" s="7" t="str">
        <f aca="false">IF(F566="","Unscored",IF(O566="","No URI",IF(AND(F566=0,O566=0),"Zero-vote",IF(AND(F566=O566,G566=P566),"OK",IF(AND(F566=0,O566&gt;0,COUNTIFS(Votes!$A:$A,J566,Votes!$B:$B,K566,Votes!$C:$C,D566)=0),"Forfeited","Mismatch")))))</f>
        <v>OK</v>
      </c>
      <c r="R566" s="6" t="n">
        <f aca="false">MAX(IF(L566&lt;&gt;"",COUNTIF($L:$L,L566),0),COUNTIFS($A:$A,A566,$B:$B,B566))</f>
        <v>1</v>
      </c>
      <c r="S566" s="6" t="str">
        <f aca="false">IF(R566&gt;1,COUNTIF($R$2:R566,"&gt;1"),"")</f>
        <v/>
      </c>
      <c r="T566" s="6" t="str">
        <f aca="false">IF(L566="","",J566&amp;"|"&amp;K566&amp;"|"&amp;L566)</f>
        <v>6|2|spotify:track:7ePFDzrnLt3Ynqgy2UFWri</v>
      </c>
      <c r="U566" s="6" t="str">
        <f aca="false">IF(C566="","",IFERROR(INDEX(Lists!$F:$F,MATCH(C566,Lists!$E:$E,0)),"Unmapped"))</f>
        <v>Jazz/Vocal</v>
      </c>
    </row>
    <row r="567" customFormat="false" ht="15" hidden="false" customHeight="false" outlineLevel="0" collapsed="false">
      <c r="A567" s="5" t="s">
        <v>1735</v>
      </c>
      <c r="B567" s="5" t="s">
        <v>1736</v>
      </c>
      <c r="C567" s="5" t="s">
        <v>91</v>
      </c>
      <c r="D567" s="5" t="s">
        <v>637</v>
      </c>
      <c r="E567" s="5" t="s">
        <v>1733</v>
      </c>
      <c r="F567" s="5" t="n">
        <v>15</v>
      </c>
      <c r="G567" s="5" t="n">
        <v>9</v>
      </c>
      <c r="H567" s="6" t="str">
        <f aca="false">IF(N567="","",N567&amp;IF(AND(MOD(N567,100)&gt;=11,MOD(N567,100)&lt;=13),"th",CHOOSE(MIN(5,MOD(N567,10)+1),"th","st","nd","rd","th")))</f>
        <v>2nd</v>
      </c>
      <c r="I567" s="5" t="s">
        <v>1691</v>
      </c>
      <c r="J567" s="6" t="n">
        <f aca="false">IFERROR(INDEX(Rounds!$A:$A,MATCH(I567,Rounds!$B:$B,0)),"ADD LEAGUE TO ROUNDS")</f>
        <v>6</v>
      </c>
      <c r="K567" s="6" t="n">
        <f aca="false">IFERROR(VALUE(LEFT(E567,FIND(" - ",E567)-1)),"")</f>
        <v>2</v>
      </c>
      <c r="L567" s="5" t="s">
        <v>1737</v>
      </c>
      <c r="N567" s="6" t="n">
        <f aca="false">IF(F567="","",1+COUNTIFS($J:$J,J567,$K:$K,K567,$F:$F,"&gt;"&amp;F567)+COUNTIFS($J:$J,J567,$K:$K,K567,$F:$F,F567,$G:$G,"&gt;"&amp;G567))</f>
        <v>2</v>
      </c>
      <c r="O567" s="6" t="n">
        <f aca="false">IF(L567="","",SUMIFS(Votes!$E:$E,Votes!$A:$A,J567,Votes!$B:$B,K567,Votes!$D:$D,L567))</f>
        <v>15</v>
      </c>
      <c r="P567" s="6" t="n">
        <f aca="false">IF(L567="","",COUNTIFS(Votes!$A:$A,J567,Votes!$B:$B,K567,Votes!$D:$D,L567))</f>
        <v>9</v>
      </c>
      <c r="Q567" s="7" t="str">
        <f aca="false">IF(F567="","Unscored",IF(O567="","No URI",IF(AND(F567=0,O567=0),"Zero-vote",IF(AND(F567=O567,G567=P567),"OK",IF(AND(F567=0,O567&gt;0,COUNTIFS(Votes!$A:$A,J567,Votes!$B:$B,K567,Votes!$C:$C,D567)=0),"Forfeited","Mismatch")))))</f>
        <v>OK</v>
      </c>
      <c r="R567" s="6" t="n">
        <f aca="false">MAX(IF(L567&lt;&gt;"",COUNTIF($L:$L,L567),0),COUNTIFS($A:$A,A567,$B:$B,B567))</f>
        <v>1</v>
      </c>
      <c r="S567" s="6" t="str">
        <f aca="false">IF(R567&gt;1,COUNTIF($R$2:R567,"&gt;1"),"")</f>
        <v/>
      </c>
      <c r="T567" s="6" t="str">
        <f aca="false">IF(L567="","",J567&amp;"|"&amp;K567&amp;"|"&amp;L567)</f>
        <v>6|2|spotify:track:1tfZtA15BfJHQTUy3dqTKC</v>
      </c>
      <c r="U567" s="6" t="str">
        <f aca="false">IF(C567="","",IFERROR(INDEX(Lists!$F:$F,MATCH(C567,Lists!$E:$E,0)),"Unmapped"))</f>
        <v>Rock</v>
      </c>
    </row>
    <row r="568" customFormat="false" ht="15" hidden="false" customHeight="false" outlineLevel="0" collapsed="false">
      <c r="A568" s="5" t="s">
        <v>1738</v>
      </c>
      <c r="B568" s="5" t="s">
        <v>1739</v>
      </c>
      <c r="C568" s="5" t="s">
        <v>91</v>
      </c>
      <c r="D568" s="5" t="s">
        <v>85</v>
      </c>
      <c r="E568" s="5" t="s">
        <v>1733</v>
      </c>
      <c r="F568" s="5" t="n">
        <v>13</v>
      </c>
      <c r="G568" s="5" t="n">
        <v>9</v>
      </c>
      <c r="H568" s="6" t="str">
        <f aca="false">IF(N568="","",N568&amp;IF(AND(MOD(N568,100)&gt;=11,MOD(N568,100)&lt;=13),"th",CHOOSE(MIN(5,MOD(N568,10)+1),"th","st","nd","rd","th")))</f>
        <v>3rd</v>
      </c>
      <c r="I568" s="5" t="s">
        <v>1691</v>
      </c>
      <c r="J568" s="6" t="n">
        <f aca="false">IFERROR(INDEX(Rounds!$A:$A,MATCH(I568,Rounds!$B:$B,0)),"ADD LEAGUE TO ROUNDS")</f>
        <v>6</v>
      </c>
      <c r="K568" s="6" t="n">
        <f aca="false">IFERROR(VALUE(LEFT(E568,FIND(" - ",E568)-1)),"")</f>
        <v>2</v>
      </c>
      <c r="L568" s="5" t="s">
        <v>1740</v>
      </c>
      <c r="N568" s="6" t="n">
        <f aca="false">IF(F568="","",1+COUNTIFS($J:$J,J568,$K:$K,K568,$F:$F,"&gt;"&amp;F568)+COUNTIFS($J:$J,J568,$K:$K,K568,$F:$F,F568,$G:$G,"&gt;"&amp;G568))</f>
        <v>3</v>
      </c>
      <c r="O568" s="6" t="n">
        <f aca="false">IF(L568="","",SUMIFS(Votes!$E:$E,Votes!$A:$A,J568,Votes!$B:$B,K568,Votes!$D:$D,L568))</f>
        <v>13</v>
      </c>
      <c r="P568" s="6" t="n">
        <f aca="false">IF(L568="","",COUNTIFS(Votes!$A:$A,J568,Votes!$B:$B,K568,Votes!$D:$D,L568))</f>
        <v>9</v>
      </c>
      <c r="Q568" s="7" t="str">
        <f aca="false">IF(F568="","Unscored",IF(O568="","No URI",IF(AND(F568=0,O568=0),"Zero-vote",IF(AND(F568=O568,G568=P568),"OK",IF(AND(F568=0,O568&gt;0,COUNTIFS(Votes!$A:$A,J568,Votes!$B:$B,K568,Votes!$C:$C,D568)=0),"Forfeited","Mismatch")))))</f>
        <v>OK</v>
      </c>
      <c r="R568" s="6" t="n">
        <f aca="false">MAX(IF(L568&lt;&gt;"",COUNTIF($L:$L,L568),0),COUNTIFS($A:$A,A568,$B:$B,B568))</f>
        <v>1</v>
      </c>
      <c r="S568" s="6" t="str">
        <f aca="false">IF(R568&gt;1,COUNTIF($R$2:R568,"&gt;1"),"")</f>
        <v/>
      </c>
      <c r="T568" s="6" t="str">
        <f aca="false">IF(L568="","",J568&amp;"|"&amp;K568&amp;"|"&amp;L568)</f>
        <v>6|2|spotify:track:5DnT9a5IM3eMjKgXTWVJvi</v>
      </c>
      <c r="U568" s="6" t="str">
        <f aca="false">IF(C568="","",IFERROR(INDEX(Lists!$F:$F,MATCH(C568,Lists!$E:$E,0)),"Unmapped"))</f>
        <v>Rock</v>
      </c>
    </row>
    <row r="569" customFormat="false" ht="15" hidden="false" customHeight="false" outlineLevel="0" collapsed="false">
      <c r="A569" s="5" t="s">
        <v>1741</v>
      </c>
      <c r="B569" s="5" t="s">
        <v>1742</v>
      </c>
      <c r="C569" s="5" t="s">
        <v>127</v>
      </c>
      <c r="D569" s="5" t="s">
        <v>705</v>
      </c>
      <c r="E569" s="5" t="s">
        <v>1733</v>
      </c>
      <c r="F569" s="5" t="n">
        <v>12</v>
      </c>
      <c r="G569" s="5" t="n">
        <v>9</v>
      </c>
      <c r="H569" s="6" t="str">
        <f aca="false">IF(N569="","",N569&amp;IF(AND(MOD(N569,100)&gt;=11,MOD(N569,100)&lt;=13),"th",CHOOSE(MIN(5,MOD(N569,10)+1),"th","st","nd","rd","th")))</f>
        <v>4th</v>
      </c>
      <c r="I569" s="5" t="s">
        <v>1691</v>
      </c>
      <c r="J569" s="6" t="n">
        <f aca="false">IFERROR(INDEX(Rounds!$A:$A,MATCH(I569,Rounds!$B:$B,0)),"ADD LEAGUE TO ROUNDS")</f>
        <v>6</v>
      </c>
      <c r="K569" s="6" t="n">
        <f aca="false">IFERROR(VALUE(LEFT(E569,FIND(" - ",E569)-1)),"")</f>
        <v>2</v>
      </c>
      <c r="L569" s="5" t="s">
        <v>1743</v>
      </c>
      <c r="N569" s="6" t="n">
        <f aca="false">IF(F569="","",1+COUNTIFS($J:$J,J569,$K:$K,K569,$F:$F,"&gt;"&amp;F569)+COUNTIFS($J:$J,J569,$K:$K,K569,$F:$F,F569,$G:$G,"&gt;"&amp;G569))</f>
        <v>4</v>
      </c>
      <c r="O569" s="6" t="n">
        <f aca="false">IF(L569="","",SUMIFS(Votes!$E:$E,Votes!$A:$A,J569,Votes!$B:$B,K569,Votes!$D:$D,L569))</f>
        <v>12</v>
      </c>
      <c r="P569" s="6" t="n">
        <f aca="false">IF(L569="","",COUNTIFS(Votes!$A:$A,J569,Votes!$B:$B,K569,Votes!$D:$D,L569))</f>
        <v>9</v>
      </c>
      <c r="Q569" s="7" t="str">
        <f aca="false">IF(F569="","Unscored",IF(O569="","No URI",IF(AND(F569=0,O569=0),"Zero-vote",IF(AND(F569=O569,G569=P569),"OK",IF(AND(F569=0,O569&gt;0,COUNTIFS(Votes!$A:$A,J569,Votes!$B:$B,K569,Votes!$C:$C,D569)=0),"Forfeited","Mismatch")))))</f>
        <v>OK</v>
      </c>
      <c r="R569" s="6" t="n">
        <f aca="false">MAX(IF(L569&lt;&gt;"",COUNTIF($L:$L,L569),0),COUNTIFS($A:$A,A569,$B:$B,B569))</f>
        <v>1</v>
      </c>
      <c r="S569" s="6" t="str">
        <f aca="false">IF(R569&gt;1,COUNTIF($R$2:R569,"&gt;1"),"")</f>
        <v/>
      </c>
      <c r="T569" s="6" t="str">
        <f aca="false">IF(L569="","",J569&amp;"|"&amp;K569&amp;"|"&amp;L569)</f>
        <v>6|2|spotify:track:29U7stRjqHU6rMiS8BfaI9</v>
      </c>
      <c r="U569" s="6" t="str">
        <f aca="false">IF(C569="","",IFERROR(INDEX(Lists!$F:$F,MATCH(C569,Lists!$E:$E,0)),"Unmapped"))</f>
        <v>Jazz/Vocal</v>
      </c>
    </row>
    <row r="570" customFormat="false" ht="15" hidden="false" customHeight="false" outlineLevel="0" collapsed="false">
      <c r="A570" s="5" t="s">
        <v>1744</v>
      </c>
      <c r="B570" s="5" t="s">
        <v>271</v>
      </c>
      <c r="C570" s="5" t="s">
        <v>91</v>
      </c>
      <c r="D570" s="5" t="s">
        <v>106</v>
      </c>
      <c r="E570" s="5" t="s">
        <v>1733</v>
      </c>
      <c r="F570" s="5" t="n">
        <v>12</v>
      </c>
      <c r="G570" s="5" t="n">
        <v>8</v>
      </c>
      <c r="H570" s="6" t="str">
        <f aca="false">IF(N570="","",N570&amp;IF(AND(MOD(N570,100)&gt;=11,MOD(N570,100)&lt;=13),"th",CHOOSE(MIN(5,MOD(N570,10)+1),"th","st","nd","rd","th")))</f>
        <v>5th</v>
      </c>
      <c r="I570" s="5" t="s">
        <v>1691</v>
      </c>
      <c r="J570" s="6" t="n">
        <f aca="false">IFERROR(INDEX(Rounds!$A:$A,MATCH(I570,Rounds!$B:$B,0)),"ADD LEAGUE TO ROUNDS")</f>
        <v>6</v>
      </c>
      <c r="K570" s="6" t="n">
        <f aca="false">IFERROR(VALUE(LEFT(E570,FIND(" - ",E570)-1)),"")</f>
        <v>2</v>
      </c>
      <c r="L570" s="5" t="s">
        <v>1745</v>
      </c>
      <c r="N570" s="6" t="n">
        <f aca="false">IF(F570="","",1+COUNTIFS($J:$J,J570,$K:$K,K570,$F:$F,"&gt;"&amp;F570)+COUNTIFS($J:$J,J570,$K:$K,K570,$F:$F,F570,$G:$G,"&gt;"&amp;G570))</f>
        <v>5</v>
      </c>
      <c r="O570" s="6" t="n">
        <f aca="false">IF(L570="","",SUMIFS(Votes!$E:$E,Votes!$A:$A,J570,Votes!$B:$B,K570,Votes!$D:$D,L570))</f>
        <v>12</v>
      </c>
      <c r="P570" s="6" t="n">
        <f aca="false">IF(L570="","",COUNTIFS(Votes!$A:$A,J570,Votes!$B:$B,K570,Votes!$D:$D,L570))</f>
        <v>8</v>
      </c>
      <c r="Q570" s="7" t="str">
        <f aca="false">IF(F570="","Unscored",IF(O570="","No URI",IF(AND(F570=0,O570=0),"Zero-vote",IF(AND(F570=O570,G570=P570),"OK",IF(AND(F570=0,O570&gt;0,COUNTIFS(Votes!$A:$A,J570,Votes!$B:$B,K570,Votes!$C:$C,D570)=0),"Forfeited","Mismatch")))))</f>
        <v>OK</v>
      </c>
      <c r="R570" s="6" t="n">
        <f aca="false">MAX(IF(L570&lt;&gt;"",COUNTIF($L:$L,L570),0),COUNTIFS($A:$A,A570,$B:$B,B570))</f>
        <v>1</v>
      </c>
      <c r="S570" s="6" t="str">
        <f aca="false">IF(R570&gt;1,COUNTIF($R$2:R570,"&gt;1"),"")</f>
        <v/>
      </c>
      <c r="T570" s="6" t="str">
        <f aca="false">IF(L570="","",J570&amp;"|"&amp;K570&amp;"|"&amp;L570)</f>
        <v>6|2|spotify:track:70C4NyhjD5OZUMzvWZ3njJ</v>
      </c>
      <c r="U570" s="6" t="str">
        <f aca="false">IF(C570="","",IFERROR(INDEX(Lists!$F:$F,MATCH(C570,Lists!$E:$E,0)),"Unmapped"))</f>
        <v>Rock</v>
      </c>
    </row>
    <row r="571" customFormat="false" ht="15" hidden="false" customHeight="false" outlineLevel="0" collapsed="false">
      <c r="A571" s="5" t="s">
        <v>1746</v>
      </c>
      <c r="B571" s="5" t="s">
        <v>1747</v>
      </c>
      <c r="C571" s="5" t="s">
        <v>91</v>
      </c>
      <c r="D571" s="5" t="s">
        <v>395</v>
      </c>
      <c r="E571" s="5" t="s">
        <v>1733</v>
      </c>
      <c r="F571" s="5" t="n">
        <v>9</v>
      </c>
      <c r="G571" s="5" t="n">
        <v>8</v>
      </c>
      <c r="H571" s="6" t="str">
        <f aca="false">IF(N571="","",N571&amp;IF(AND(MOD(N571,100)&gt;=11,MOD(N571,100)&lt;=13),"th",CHOOSE(MIN(5,MOD(N571,10)+1),"th","st","nd","rd","th")))</f>
        <v>6th</v>
      </c>
      <c r="I571" s="5" t="s">
        <v>1691</v>
      </c>
      <c r="J571" s="6" t="n">
        <f aca="false">IFERROR(INDEX(Rounds!$A:$A,MATCH(I571,Rounds!$B:$B,0)),"ADD LEAGUE TO ROUNDS")</f>
        <v>6</v>
      </c>
      <c r="K571" s="6" t="n">
        <f aca="false">IFERROR(VALUE(LEFT(E571,FIND(" - ",E571)-1)),"")</f>
        <v>2</v>
      </c>
      <c r="L571" s="5" t="s">
        <v>1748</v>
      </c>
      <c r="N571" s="6" t="n">
        <f aca="false">IF(F571="","",1+COUNTIFS($J:$J,J571,$K:$K,K571,$F:$F,"&gt;"&amp;F571)+COUNTIFS($J:$J,J571,$K:$K,K571,$F:$F,F571,$G:$G,"&gt;"&amp;G571))</f>
        <v>6</v>
      </c>
      <c r="O571" s="6" t="n">
        <f aca="false">IF(L571="","",SUMIFS(Votes!$E:$E,Votes!$A:$A,J571,Votes!$B:$B,K571,Votes!$D:$D,L571))</f>
        <v>9</v>
      </c>
      <c r="P571" s="6" t="n">
        <f aca="false">IF(L571="","",COUNTIFS(Votes!$A:$A,J571,Votes!$B:$B,K571,Votes!$D:$D,L571))</f>
        <v>8</v>
      </c>
      <c r="Q571" s="7" t="str">
        <f aca="false">IF(F571="","Unscored",IF(O571="","No URI",IF(AND(F571=0,O571=0),"Zero-vote",IF(AND(F571=O571,G571=P571),"OK",IF(AND(F571=0,O571&gt;0,COUNTIFS(Votes!$A:$A,J571,Votes!$B:$B,K571,Votes!$C:$C,D571)=0),"Forfeited","Mismatch")))))</f>
        <v>OK</v>
      </c>
      <c r="R571" s="6" t="n">
        <f aca="false">MAX(IF(L571&lt;&gt;"",COUNTIF($L:$L,L571),0),COUNTIFS($A:$A,A571,$B:$B,B571))</f>
        <v>1</v>
      </c>
      <c r="S571" s="6" t="str">
        <f aca="false">IF(R571&gt;1,COUNTIF($R$2:R571,"&gt;1"),"")</f>
        <v/>
      </c>
      <c r="T571" s="6" t="str">
        <f aca="false">IF(L571="","",J571&amp;"|"&amp;K571&amp;"|"&amp;L571)</f>
        <v>6|2|spotify:track:3GDTQRm6F358LdF53fqWGU</v>
      </c>
      <c r="U571" s="6" t="str">
        <f aca="false">IF(C571="","",IFERROR(INDEX(Lists!$F:$F,MATCH(C571,Lists!$E:$E,0)),"Unmapped"))</f>
        <v>Rock</v>
      </c>
    </row>
    <row r="572" customFormat="false" ht="15" hidden="false" customHeight="false" outlineLevel="0" collapsed="false">
      <c r="A572" s="5" t="s">
        <v>1749</v>
      </c>
      <c r="B572" s="5" t="s">
        <v>1750</v>
      </c>
      <c r="C572" s="5" t="s">
        <v>91</v>
      </c>
      <c r="D572" s="5" t="s">
        <v>375</v>
      </c>
      <c r="E572" s="5" t="s">
        <v>1733</v>
      </c>
      <c r="F572" s="5" t="n">
        <v>8</v>
      </c>
      <c r="G572" s="5" t="n">
        <v>6</v>
      </c>
      <c r="H572" s="6" t="str">
        <f aca="false">IF(N572="","",N572&amp;IF(AND(MOD(N572,100)&gt;=11,MOD(N572,100)&lt;=13),"th",CHOOSE(MIN(5,MOD(N572,10)+1),"th","st","nd","rd","th")))</f>
        <v>7th</v>
      </c>
      <c r="I572" s="5" t="s">
        <v>1691</v>
      </c>
      <c r="J572" s="6" t="n">
        <f aca="false">IFERROR(INDEX(Rounds!$A:$A,MATCH(I572,Rounds!$B:$B,0)),"ADD LEAGUE TO ROUNDS")</f>
        <v>6</v>
      </c>
      <c r="K572" s="6" t="n">
        <f aca="false">IFERROR(VALUE(LEFT(E572,FIND(" - ",E572)-1)),"")</f>
        <v>2</v>
      </c>
      <c r="L572" s="5" t="s">
        <v>1751</v>
      </c>
      <c r="N572" s="6" t="n">
        <f aca="false">IF(F572="","",1+COUNTIFS($J:$J,J572,$K:$K,K572,$F:$F,"&gt;"&amp;F572)+COUNTIFS($J:$J,J572,$K:$K,K572,$F:$F,F572,$G:$G,"&gt;"&amp;G572))</f>
        <v>7</v>
      </c>
      <c r="O572" s="6" t="n">
        <f aca="false">IF(L572="","",SUMIFS(Votes!$E:$E,Votes!$A:$A,J572,Votes!$B:$B,K572,Votes!$D:$D,L572))</f>
        <v>8</v>
      </c>
      <c r="P572" s="6" t="n">
        <f aca="false">IF(L572="","",COUNTIFS(Votes!$A:$A,J572,Votes!$B:$B,K572,Votes!$D:$D,L572))</f>
        <v>6</v>
      </c>
      <c r="Q572" s="7" t="str">
        <f aca="false">IF(F572="","Unscored",IF(O572="","No URI",IF(AND(F572=0,O572=0),"Zero-vote",IF(AND(F572=O572,G572=P572),"OK",IF(AND(F572=0,O572&gt;0,COUNTIFS(Votes!$A:$A,J572,Votes!$B:$B,K572,Votes!$C:$C,D572)=0),"Forfeited","Mismatch")))))</f>
        <v>OK</v>
      </c>
      <c r="R572" s="6" t="n">
        <f aca="false">MAX(IF(L572&lt;&gt;"",COUNTIF($L:$L,L572),0),COUNTIFS($A:$A,A572,$B:$B,B572))</f>
        <v>1</v>
      </c>
      <c r="S572" s="6" t="str">
        <f aca="false">IF(R572&gt;1,COUNTIF($R$2:R572,"&gt;1"),"")</f>
        <v/>
      </c>
      <c r="T572" s="6" t="str">
        <f aca="false">IF(L572="","",J572&amp;"|"&amp;K572&amp;"|"&amp;L572)</f>
        <v>6|2|spotify:track:4rcHWl68ai6KvpXlc8vbnE</v>
      </c>
      <c r="U572" s="6" t="str">
        <f aca="false">IF(C572="","",IFERROR(INDEX(Lists!$F:$F,MATCH(C572,Lists!$E:$E,0)),"Unmapped"))</f>
        <v>Rock</v>
      </c>
    </row>
    <row r="573" customFormat="false" ht="15" hidden="false" customHeight="false" outlineLevel="0" collapsed="false">
      <c r="A573" s="5" t="s">
        <v>1752</v>
      </c>
      <c r="B573" s="5" t="s">
        <v>1753</v>
      </c>
      <c r="C573" s="5" t="s">
        <v>670</v>
      </c>
      <c r="D573" s="5" t="s">
        <v>116</v>
      </c>
      <c r="E573" s="5" t="s">
        <v>1733</v>
      </c>
      <c r="F573" s="5" t="n">
        <v>8</v>
      </c>
      <c r="G573" s="5" t="n">
        <v>6</v>
      </c>
      <c r="H573" s="6" t="str">
        <f aca="false">IF(N573="","",N573&amp;IF(AND(MOD(N573,100)&gt;=11,MOD(N573,100)&lt;=13),"th",CHOOSE(MIN(5,MOD(N573,10)+1),"th","st","nd","rd","th")))</f>
        <v>7th</v>
      </c>
      <c r="I573" s="5" t="s">
        <v>1691</v>
      </c>
      <c r="J573" s="6" t="n">
        <f aca="false">IFERROR(INDEX(Rounds!$A:$A,MATCH(I573,Rounds!$B:$B,0)),"ADD LEAGUE TO ROUNDS")</f>
        <v>6</v>
      </c>
      <c r="K573" s="6" t="n">
        <f aca="false">IFERROR(VALUE(LEFT(E573,FIND(" - ",E573)-1)),"")</f>
        <v>2</v>
      </c>
      <c r="L573" s="5" t="s">
        <v>1754</v>
      </c>
      <c r="N573" s="6" t="n">
        <f aca="false">IF(F573="","",1+COUNTIFS($J:$J,J573,$K:$K,K573,$F:$F,"&gt;"&amp;F573)+COUNTIFS($J:$J,J573,$K:$K,K573,$F:$F,F573,$G:$G,"&gt;"&amp;G573))</f>
        <v>7</v>
      </c>
      <c r="O573" s="6" t="n">
        <f aca="false">IF(L573="","",SUMIFS(Votes!$E:$E,Votes!$A:$A,J573,Votes!$B:$B,K573,Votes!$D:$D,L573))</f>
        <v>8</v>
      </c>
      <c r="P573" s="6" t="n">
        <f aca="false">IF(L573="","",COUNTIFS(Votes!$A:$A,J573,Votes!$B:$B,K573,Votes!$D:$D,L573))</f>
        <v>6</v>
      </c>
      <c r="Q573" s="7" t="str">
        <f aca="false">IF(F573="","Unscored",IF(O573="","No URI",IF(AND(F573=0,O573=0),"Zero-vote",IF(AND(F573=O573,G573=P573),"OK",IF(AND(F573=0,O573&gt;0,COUNTIFS(Votes!$A:$A,J573,Votes!$B:$B,K573,Votes!$C:$C,D573)=0),"Forfeited","Mismatch")))))</f>
        <v>OK</v>
      </c>
      <c r="R573" s="6" t="n">
        <f aca="false">MAX(IF(L573&lt;&gt;"",COUNTIF($L:$L,L573),0),COUNTIFS($A:$A,A573,$B:$B,B573))</f>
        <v>1</v>
      </c>
      <c r="S573" s="6" t="str">
        <f aca="false">IF(R573&gt;1,COUNTIF($R$2:R573,"&gt;1"),"")</f>
        <v/>
      </c>
      <c r="T573" s="6" t="str">
        <f aca="false">IF(L573="","",J573&amp;"|"&amp;K573&amp;"|"&amp;L573)</f>
        <v>6|2|spotify:track:6qF3qHvzEmh7bkdBatxQuS</v>
      </c>
      <c r="U573" s="6" t="str">
        <f aca="false">IF(C573="","",IFERROR(INDEX(Lists!$F:$F,MATCH(C573,Lists!$E:$E,0)),"Unmapped"))</f>
        <v>Other</v>
      </c>
    </row>
    <row r="574" customFormat="false" ht="15" hidden="false" customHeight="false" outlineLevel="0" collapsed="false">
      <c r="A574" s="5" t="s">
        <v>1755</v>
      </c>
      <c r="B574" s="5" t="s">
        <v>1756</v>
      </c>
      <c r="C574" s="5" t="s">
        <v>91</v>
      </c>
      <c r="D574" s="5" t="s">
        <v>119</v>
      </c>
      <c r="E574" s="5" t="s">
        <v>1733</v>
      </c>
      <c r="F574" s="5" t="n">
        <v>8</v>
      </c>
      <c r="G574" s="5" t="n">
        <v>6</v>
      </c>
      <c r="H574" s="6" t="str">
        <f aca="false">IF(N574="","",N574&amp;IF(AND(MOD(N574,100)&gt;=11,MOD(N574,100)&lt;=13),"th",CHOOSE(MIN(5,MOD(N574,10)+1),"th","st","nd","rd","th")))</f>
        <v>7th</v>
      </c>
      <c r="I574" s="5" t="s">
        <v>1691</v>
      </c>
      <c r="J574" s="6" t="n">
        <f aca="false">IFERROR(INDEX(Rounds!$A:$A,MATCH(I574,Rounds!$B:$B,0)),"ADD LEAGUE TO ROUNDS")</f>
        <v>6</v>
      </c>
      <c r="K574" s="6" t="n">
        <f aca="false">IFERROR(VALUE(LEFT(E574,FIND(" - ",E574)-1)),"")</f>
        <v>2</v>
      </c>
      <c r="L574" s="5" t="s">
        <v>1757</v>
      </c>
      <c r="N574" s="6" t="n">
        <f aca="false">IF(F574="","",1+COUNTIFS($J:$J,J574,$K:$K,K574,$F:$F,"&gt;"&amp;F574)+COUNTIFS($J:$J,J574,$K:$K,K574,$F:$F,F574,$G:$G,"&gt;"&amp;G574))</f>
        <v>7</v>
      </c>
      <c r="O574" s="6" t="n">
        <f aca="false">IF(L574="","",SUMIFS(Votes!$E:$E,Votes!$A:$A,J574,Votes!$B:$B,K574,Votes!$D:$D,L574))</f>
        <v>8</v>
      </c>
      <c r="P574" s="6" t="n">
        <f aca="false">IF(L574="","",COUNTIFS(Votes!$A:$A,J574,Votes!$B:$B,K574,Votes!$D:$D,L574))</f>
        <v>6</v>
      </c>
      <c r="Q574" s="7" t="str">
        <f aca="false">IF(F574="","Unscored",IF(O574="","No URI",IF(AND(F574=0,O574=0),"Zero-vote",IF(AND(F574=O574,G574=P574),"OK",IF(AND(F574=0,O574&gt;0,COUNTIFS(Votes!$A:$A,J574,Votes!$B:$B,K574,Votes!$C:$C,D574)=0),"Forfeited","Mismatch")))))</f>
        <v>OK</v>
      </c>
      <c r="R574" s="6" t="n">
        <f aca="false">MAX(IF(L574&lt;&gt;"",COUNTIF($L:$L,L574),0),COUNTIFS($A:$A,A574,$B:$B,B574))</f>
        <v>1</v>
      </c>
      <c r="S574" s="6" t="str">
        <f aca="false">IF(R574&gt;1,COUNTIF($R$2:R574,"&gt;1"),"")</f>
        <v/>
      </c>
      <c r="T574" s="6" t="str">
        <f aca="false">IF(L574="","",J574&amp;"|"&amp;K574&amp;"|"&amp;L574)</f>
        <v>6|2|spotify:track:2IOeOJyiuzwF8BRAK9jJyj</v>
      </c>
      <c r="U574" s="6" t="str">
        <f aca="false">IF(C574="","",IFERROR(INDEX(Lists!$F:$F,MATCH(C574,Lists!$E:$E,0)),"Unmapped"))</f>
        <v>Rock</v>
      </c>
    </row>
    <row r="575" customFormat="false" ht="15" hidden="false" customHeight="false" outlineLevel="0" collapsed="false">
      <c r="A575" s="5" t="s">
        <v>1758</v>
      </c>
      <c r="B575" s="5" t="s">
        <v>1759</v>
      </c>
      <c r="C575" s="5" t="s">
        <v>1294</v>
      </c>
      <c r="D575" s="5" t="s">
        <v>97</v>
      </c>
      <c r="E575" s="5" t="s">
        <v>1733</v>
      </c>
      <c r="F575" s="5" t="n">
        <v>7</v>
      </c>
      <c r="G575" s="5" t="n">
        <v>6</v>
      </c>
      <c r="H575" s="6" t="str">
        <f aca="false">IF(N575="","",N575&amp;IF(AND(MOD(N575,100)&gt;=11,MOD(N575,100)&lt;=13),"th",CHOOSE(MIN(5,MOD(N575,10)+1),"th","st","nd","rd","th")))</f>
        <v>10th</v>
      </c>
      <c r="I575" s="5" t="s">
        <v>1691</v>
      </c>
      <c r="J575" s="6" t="n">
        <f aca="false">IFERROR(INDEX(Rounds!$A:$A,MATCH(I575,Rounds!$B:$B,0)),"ADD LEAGUE TO ROUNDS")</f>
        <v>6</v>
      </c>
      <c r="K575" s="6" t="n">
        <f aca="false">IFERROR(VALUE(LEFT(E575,FIND(" - ",E575)-1)),"")</f>
        <v>2</v>
      </c>
      <c r="L575" s="5" t="s">
        <v>1760</v>
      </c>
      <c r="N575" s="6" t="n">
        <f aca="false">IF(F575="","",1+COUNTIFS($J:$J,J575,$K:$K,K575,$F:$F,"&gt;"&amp;F575)+COUNTIFS($J:$J,J575,$K:$K,K575,$F:$F,F575,$G:$G,"&gt;"&amp;G575))</f>
        <v>10</v>
      </c>
      <c r="O575" s="6" t="n">
        <f aca="false">IF(L575="","",SUMIFS(Votes!$E:$E,Votes!$A:$A,J575,Votes!$B:$B,K575,Votes!$D:$D,L575))</f>
        <v>7</v>
      </c>
      <c r="P575" s="6" t="n">
        <f aca="false">IF(L575="","",COUNTIFS(Votes!$A:$A,J575,Votes!$B:$B,K575,Votes!$D:$D,L575))</f>
        <v>6</v>
      </c>
      <c r="Q575" s="7" t="str">
        <f aca="false">IF(F575="","Unscored",IF(O575="","No URI",IF(AND(F575=0,O575=0),"Zero-vote",IF(AND(F575=O575,G575=P575),"OK",IF(AND(F575=0,O575&gt;0,COUNTIFS(Votes!$A:$A,J575,Votes!$B:$B,K575,Votes!$C:$C,D575)=0),"Forfeited","Mismatch")))))</f>
        <v>OK</v>
      </c>
      <c r="R575" s="6" t="n">
        <f aca="false">MAX(IF(L575&lt;&gt;"",COUNTIF($L:$L,L575),0),COUNTIFS($A:$A,A575,$B:$B,B575))</f>
        <v>1</v>
      </c>
      <c r="S575" s="6" t="str">
        <f aca="false">IF(R575&gt;1,COUNTIF($R$2:R575,"&gt;1"),"")</f>
        <v/>
      </c>
      <c r="T575" s="6" t="str">
        <f aca="false">IF(L575="","",J575&amp;"|"&amp;K575&amp;"|"&amp;L575)</f>
        <v>6|2|spotify:track:3IDsegNBHC4pjGCOMTQYlU</v>
      </c>
      <c r="U575" s="6" t="str">
        <f aca="false">IF(C575="","",IFERROR(INDEX(Lists!$F:$F,MATCH(C575,Lists!$E:$E,0)),"Unmapped"))</f>
        <v>Christian/Gospel</v>
      </c>
    </row>
    <row r="576" customFormat="false" ht="15" hidden="false" customHeight="false" outlineLevel="0" collapsed="false">
      <c r="A576" s="5" t="s">
        <v>1761</v>
      </c>
      <c r="B576" s="5" t="s">
        <v>1762</v>
      </c>
      <c r="C576" s="5" t="s">
        <v>816</v>
      </c>
      <c r="D576" s="5" t="s">
        <v>101</v>
      </c>
      <c r="E576" s="5" t="s">
        <v>1733</v>
      </c>
      <c r="F576" s="5" t="n">
        <v>6</v>
      </c>
      <c r="G576" s="5" t="n">
        <v>6</v>
      </c>
      <c r="H576" s="6" t="str">
        <f aca="false">IF(N576="","",N576&amp;IF(AND(MOD(N576,100)&gt;=11,MOD(N576,100)&lt;=13),"th",CHOOSE(MIN(5,MOD(N576,10)+1),"th","st","nd","rd","th")))</f>
        <v>11th</v>
      </c>
      <c r="I576" s="5" t="s">
        <v>1691</v>
      </c>
      <c r="J576" s="6" t="n">
        <f aca="false">IFERROR(INDEX(Rounds!$A:$A,MATCH(I576,Rounds!$B:$B,0)),"ADD LEAGUE TO ROUNDS")</f>
        <v>6</v>
      </c>
      <c r="K576" s="6" t="n">
        <f aca="false">IFERROR(VALUE(LEFT(E576,FIND(" - ",E576)-1)),"")</f>
        <v>2</v>
      </c>
      <c r="L576" s="5" t="s">
        <v>1763</v>
      </c>
      <c r="N576" s="6" t="n">
        <f aca="false">IF(F576="","",1+COUNTIFS($J:$J,J576,$K:$K,K576,$F:$F,"&gt;"&amp;F576)+COUNTIFS($J:$J,J576,$K:$K,K576,$F:$F,F576,$G:$G,"&gt;"&amp;G576))</f>
        <v>11</v>
      </c>
      <c r="O576" s="6" t="n">
        <f aca="false">IF(L576="","",SUMIFS(Votes!$E:$E,Votes!$A:$A,J576,Votes!$B:$B,K576,Votes!$D:$D,L576))</f>
        <v>6</v>
      </c>
      <c r="P576" s="6" t="n">
        <f aca="false">IF(L576="","",COUNTIFS(Votes!$A:$A,J576,Votes!$B:$B,K576,Votes!$D:$D,L576))</f>
        <v>6</v>
      </c>
      <c r="Q576" s="7" t="str">
        <f aca="false">IF(F576="","Unscored",IF(O576="","No URI",IF(AND(F576=0,O576=0),"Zero-vote",IF(AND(F576=O576,G576=P576),"OK",IF(AND(F576=0,O576&gt;0,COUNTIFS(Votes!$A:$A,J576,Votes!$B:$B,K576,Votes!$C:$C,D576)=0),"Forfeited","Mismatch")))))</f>
        <v>OK</v>
      </c>
      <c r="R576" s="6" t="n">
        <f aca="false">MAX(IF(L576&lt;&gt;"",COUNTIF($L:$L,L576),0),COUNTIFS($A:$A,A576,$B:$B,B576))</f>
        <v>1</v>
      </c>
      <c r="S576" s="6" t="str">
        <f aca="false">IF(R576&gt;1,COUNTIF($R$2:R576,"&gt;1"),"")</f>
        <v/>
      </c>
      <c r="T576" s="6" t="str">
        <f aca="false">IF(L576="","",J576&amp;"|"&amp;K576&amp;"|"&amp;L576)</f>
        <v>6|2|spotify:track:5SkK1VGwHEnt02r5rbMTZC</v>
      </c>
      <c r="U576" s="6" t="str">
        <f aca="false">IF(C576="","",IFERROR(INDEX(Lists!$F:$F,MATCH(C576,Lists!$E:$E,0)),"Unmapped"))</f>
        <v>Soundtrack/Musical</v>
      </c>
    </row>
    <row r="577" customFormat="false" ht="15" hidden="false" customHeight="false" outlineLevel="0" collapsed="false">
      <c r="A577" s="5" t="s">
        <v>1764</v>
      </c>
      <c r="B577" s="5" t="s">
        <v>1182</v>
      </c>
      <c r="C577" s="5" t="s">
        <v>91</v>
      </c>
      <c r="D577" s="5" t="s">
        <v>382</v>
      </c>
      <c r="E577" s="5" t="s">
        <v>1733</v>
      </c>
      <c r="F577" s="5" t="n">
        <v>5</v>
      </c>
      <c r="G577" s="5" t="n">
        <v>4</v>
      </c>
      <c r="H577" s="6" t="str">
        <f aca="false">IF(N577="","",N577&amp;IF(AND(MOD(N577,100)&gt;=11,MOD(N577,100)&lt;=13),"th",CHOOSE(MIN(5,MOD(N577,10)+1),"th","st","nd","rd","th")))</f>
        <v>12th</v>
      </c>
      <c r="I577" s="5" t="s">
        <v>1691</v>
      </c>
      <c r="J577" s="6" t="n">
        <f aca="false">IFERROR(INDEX(Rounds!$A:$A,MATCH(I577,Rounds!$B:$B,0)),"ADD LEAGUE TO ROUNDS")</f>
        <v>6</v>
      </c>
      <c r="K577" s="6" t="n">
        <f aca="false">IFERROR(VALUE(LEFT(E577,FIND(" - ",E577)-1)),"")</f>
        <v>2</v>
      </c>
      <c r="L577" s="5" t="s">
        <v>1765</v>
      </c>
      <c r="N577" s="6" t="n">
        <f aca="false">IF(F577="","",1+COUNTIFS($J:$J,J577,$K:$K,K577,$F:$F,"&gt;"&amp;F577)+COUNTIFS($J:$J,J577,$K:$K,K577,$F:$F,F577,$G:$G,"&gt;"&amp;G577))</f>
        <v>12</v>
      </c>
      <c r="O577" s="6" t="n">
        <f aca="false">IF(L577="","",SUMIFS(Votes!$E:$E,Votes!$A:$A,J577,Votes!$B:$B,K577,Votes!$D:$D,L577))</f>
        <v>5</v>
      </c>
      <c r="P577" s="6" t="n">
        <f aca="false">IF(L577="","",COUNTIFS(Votes!$A:$A,J577,Votes!$B:$B,K577,Votes!$D:$D,L577))</f>
        <v>4</v>
      </c>
      <c r="Q577" s="7" t="str">
        <f aca="false">IF(F577="","Unscored",IF(O577="","No URI",IF(AND(F577=0,O577=0),"Zero-vote",IF(AND(F577=O577,G577=P577),"OK",IF(AND(F577=0,O577&gt;0,COUNTIFS(Votes!$A:$A,J577,Votes!$B:$B,K577,Votes!$C:$C,D577)=0),"Forfeited","Mismatch")))))</f>
        <v>OK</v>
      </c>
      <c r="R577" s="6" t="n">
        <f aca="false">MAX(IF(L577&lt;&gt;"",COUNTIF($L:$L,L577),0),COUNTIFS($A:$A,A577,$B:$B,B577))</f>
        <v>1</v>
      </c>
      <c r="S577" s="6" t="str">
        <f aca="false">IF(R577&gt;1,COUNTIF($R$2:R577,"&gt;1"),"")</f>
        <v/>
      </c>
      <c r="T577" s="6" t="str">
        <f aca="false">IF(L577="","",J577&amp;"|"&amp;K577&amp;"|"&amp;L577)</f>
        <v>6|2|spotify:track:4KRgqwb4kvBuTz1utbYxfb</v>
      </c>
      <c r="U577" s="6" t="str">
        <f aca="false">IF(C577="","",IFERROR(INDEX(Lists!$F:$F,MATCH(C577,Lists!$E:$E,0)),"Unmapped"))</f>
        <v>Rock</v>
      </c>
    </row>
    <row r="578" customFormat="false" ht="15" hidden="false" customHeight="false" outlineLevel="0" collapsed="false">
      <c r="A578" s="5" t="s">
        <v>1766</v>
      </c>
      <c r="B578" s="5" t="s">
        <v>1767</v>
      </c>
      <c r="C578" s="5" t="s">
        <v>84</v>
      </c>
      <c r="D578" s="5" t="s">
        <v>719</v>
      </c>
      <c r="E578" s="5" t="s">
        <v>1733</v>
      </c>
      <c r="F578" s="5" t="n">
        <v>4</v>
      </c>
      <c r="G578" s="5" t="n">
        <v>4</v>
      </c>
      <c r="H578" s="6" t="str">
        <f aca="false">IF(N578="","",N578&amp;IF(AND(MOD(N578,100)&gt;=11,MOD(N578,100)&lt;=13),"th",CHOOSE(MIN(5,MOD(N578,10)+1),"th","st","nd","rd","th")))</f>
        <v>13th</v>
      </c>
      <c r="I578" s="5" t="s">
        <v>1691</v>
      </c>
      <c r="J578" s="6" t="n">
        <f aca="false">IFERROR(INDEX(Rounds!$A:$A,MATCH(I578,Rounds!$B:$B,0)),"ADD LEAGUE TO ROUNDS")</f>
        <v>6</v>
      </c>
      <c r="K578" s="6" t="n">
        <f aca="false">IFERROR(VALUE(LEFT(E578,FIND(" - ",E578)-1)),"")</f>
        <v>2</v>
      </c>
      <c r="L578" s="5" t="s">
        <v>1768</v>
      </c>
      <c r="N578" s="6" t="n">
        <f aca="false">IF(F578="","",1+COUNTIFS($J:$J,J578,$K:$K,K578,$F:$F,"&gt;"&amp;F578)+COUNTIFS($J:$J,J578,$K:$K,K578,$F:$F,F578,$G:$G,"&gt;"&amp;G578))</f>
        <v>13</v>
      </c>
      <c r="O578" s="6" t="n">
        <f aca="false">IF(L578="","",SUMIFS(Votes!$E:$E,Votes!$A:$A,J578,Votes!$B:$B,K578,Votes!$D:$D,L578))</f>
        <v>4</v>
      </c>
      <c r="P578" s="6" t="n">
        <f aca="false">IF(L578="","",COUNTIFS(Votes!$A:$A,J578,Votes!$B:$B,K578,Votes!$D:$D,L578))</f>
        <v>4</v>
      </c>
      <c r="Q578" s="7" t="str">
        <f aca="false">IF(F578="","Unscored",IF(O578="","No URI",IF(AND(F578=0,O578=0),"Zero-vote",IF(AND(F578=O578,G578=P578),"OK",IF(AND(F578=0,O578&gt;0,COUNTIFS(Votes!$A:$A,J578,Votes!$B:$B,K578,Votes!$C:$C,D578)=0),"Forfeited","Mismatch")))))</f>
        <v>OK</v>
      </c>
      <c r="R578" s="6" t="n">
        <f aca="false">MAX(IF(L578&lt;&gt;"",COUNTIF($L:$L,L578),0),COUNTIFS($A:$A,A578,$B:$B,B578))</f>
        <v>1</v>
      </c>
      <c r="S578" s="6" t="str">
        <f aca="false">IF(R578&gt;1,COUNTIF($R$2:R578,"&gt;1"),"")</f>
        <v/>
      </c>
      <c r="T578" s="6" t="str">
        <f aca="false">IF(L578="","",J578&amp;"|"&amp;K578&amp;"|"&amp;L578)</f>
        <v>6|2|spotify:track:2BFzx5rPRiNCfuWfQulO92</v>
      </c>
      <c r="U578" s="6" t="str">
        <f aca="false">IF(C578="","",IFERROR(INDEX(Lists!$F:$F,MATCH(C578,Lists!$E:$E,0)),"Unmapped"))</f>
        <v>Pop</v>
      </c>
    </row>
    <row r="579" customFormat="false" ht="15" hidden="false" customHeight="false" outlineLevel="0" collapsed="false">
      <c r="A579" s="5" t="s">
        <v>1769</v>
      </c>
      <c r="B579" s="5" t="s">
        <v>1331</v>
      </c>
      <c r="C579" s="5" t="s">
        <v>84</v>
      </c>
      <c r="D579" s="5" t="s">
        <v>92</v>
      </c>
      <c r="E579" s="5" t="s">
        <v>1733</v>
      </c>
      <c r="F579" s="5" t="n">
        <v>0</v>
      </c>
      <c r="G579" s="5" t="n">
        <v>6</v>
      </c>
      <c r="H579" s="6" t="str">
        <f aca="false">IF(N579="","",N579&amp;IF(AND(MOD(N579,100)&gt;=11,MOD(N579,100)&lt;=13),"th",CHOOSE(MIN(5,MOD(N579,10)+1),"th","st","nd","rd","th")))</f>
        <v>14th</v>
      </c>
      <c r="I579" s="5" t="s">
        <v>1691</v>
      </c>
      <c r="J579" s="6" t="n">
        <f aca="false">IFERROR(INDEX(Rounds!$A:$A,MATCH(I579,Rounds!$B:$B,0)),"ADD LEAGUE TO ROUNDS")</f>
        <v>6</v>
      </c>
      <c r="K579" s="6" t="n">
        <f aca="false">IFERROR(VALUE(LEFT(E579,FIND(" - ",E579)-1)),"")</f>
        <v>2</v>
      </c>
      <c r="L579" s="5" t="s">
        <v>1770</v>
      </c>
      <c r="N579" s="6" t="n">
        <f aca="false">IF(F579="","",1+COUNTIFS($J:$J,J579,$K:$K,K579,$F:$F,"&gt;"&amp;F579)+COUNTIFS($J:$J,J579,$K:$K,K579,$F:$F,F579,$G:$G,"&gt;"&amp;G579))</f>
        <v>14</v>
      </c>
      <c r="O579" s="6" t="n">
        <f aca="false">IF(L579="","",SUMIFS(Votes!$E:$E,Votes!$A:$A,J579,Votes!$B:$B,K579,Votes!$D:$D,L579))</f>
        <v>7</v>
      </c>
      <c r="P579" s="6" t="n">
        <f aca="false">IF(L579="","",COUNTIFS(Votes!$A:$A,J579,Votes!$B:$B,K579,Votes!$D:$D,L579))</f>
        <v>6</v>
      </c>
      <c r="Q579" s="7" t="str">
        <f aca="false">IF(F579="","Unscored",IF(O579="","No URI",IF(AND(F579=0,O579=0),"Zero-vote",IF(AND(F579=O579,G579=P579),"OK",IF(AND(F579=0,O579&gt;0,COUNTIFS(Votes!$A:$A,J579,Votes!$B:$B,K579,Votes!$C:$C,D579)=0),"Forfeited","Mismatch")))))</f>
        <v>Forfeited</v>
      </c>
      <c r="R579" s="6" t="n">
        <f aca="false">MAX(IF(L579&lt;&gt;"",COUNTIF($L:$L,L579),0),COUNTIFS($A:$A,A579,$B:$B,B579))</f>
        <v>1</v>
      </c>
      <c r="S579" s="6" t="str">
        <f aca="false">IF(R579&gt;1,COUNTIF($R$2:R579,"&gt;1"),"")</f>
        <v/>
      </c>
      <c r="T579" s="6" t="str">
        <f aca="false">IF(L579="","",J579&amp;"|"&amp;K579&amp;"|"&amp;L579)</f>
        <v>6|2|spotify:track:2hWI9GNr3kBrxZ7Mphho4Q</v>
      </c>
      <c r="U579" s="6" t="str">
        <f aca="false">IF(C579="","",IFERROR(INDEX(Lists!$F:$F,MATCH(C579,Lists!$E:$E,0)),"Unmapped"))</f>
        <v>Pop</v>
      </c>
    </row>
    <row r="580" customFormat="false" ht="15" hidden="false" customHeight="false" outlineLevel="0" collapsed="false">
      <c r="A580" s="5" t="s">
        <v>1771</v>
      </c>
      <c r="B580" s="5" t="s">
        <v>1772</v>
      </c>
      <c r="C580" s="5" t="s">
        <v>91</v>
      </c>
      <c r="D580" s="5" t="s">
        <v>484</v>
      </c>
      <c r="E580" s="5" t="s">
        <v>1773</v>
      </c>
      <c r="F580" s="5" t="n">
        <v>17</v>
      </c>
      <c r="G580" s="5" t="n">
        <v>10</v>
      </c>
      <c r="H580" s="6" t="str">
        <f aca="false">IF(N580="","",N580&amp;IF(AND(MOD(N580,100)&gt;=11,MOD(N580,100)&lt;=13),"th",CHOOSE(MIN(5,MOD(N580,10)+1),"th","st","nd","rd","th")))</f>
        <v>1st</v>
      </c>
      <c r="I580" s="5" t="s">
        <v>1691</v>
      </c>
      <c r="J580" s="6" t="n">
        <f aca="false">IFERROR(INDEX(Rounds!$A:$A,MATCH(I580,Rounds!$B:$B,0)),"ADD LEAGUE TO ROUNDS")</f>
        <v>6</v>
      </c>
      <c r="K580" s="6" t="n">
        <f aca="false">IFERROR(VALUE(LEFT(E580,FIND(" - ",E580)-1)),"")</f>
        <v>3</v>
      </c>
      <c r="L580" s="5" t="s">
        <v>1774</v>
      </c>
      <c r="N580" s="6" t="n">
        <f aca="false">IF(F580="","",1+COUNTIFS($J:$J,J580,$K:$K,K580,$F:$F,"&gt;"&amp;F580)+COUNTIFS($J:$J,J580,$K:$K,K580,$F:$F,F580,$G:$G,"&gt;"&amp;G580))</f>
        <v>1</v>
      </c>
      <c r="O580" s="6" t="n">
        <f aca="false">IF(L580="","",SUMIFS(Votes!$E:$E,Votes!$A:$A,J580,Votes!$B:$B,K580,Votes!$D:$D,L580))</f>
        <v>17</v>
      </c>
      <c r="P580" s="6" t="n">
        <f aca="false">IF(L580="","",COUNTIFS(Votes!$A:$A,J580,Votes!$B:$B,K580,Votes!$D:$D,L580))</f>
        <v>10</v>
      </c>
      <c r="Q580" s="7" t="str">
        <f aca="false">IF(F580="","Unscored",IF(O580="","No URI",IF(AND(F580=0,O580=0),"Zero-vote",IF(AND(F580=O580,G580=P580),"OK",IF(AND(F580=0,O580&gt;0,COUNTIFS(Votes!$A:$A,J580,Votes!$B:$B,K580,Votes!$C:$C,D580)=0),"Forfeited","Mismatch")))))</f>
        <v>OK</v>
      </c>
      <c r="R580" s="6" t="n">
        <f aca="false">MAX(IF(L580&lt;&gt;"",COUNTIF($L:$L,L580),0),COUNTIFS($A:$A,A580,$B:$B,B580))</f>
        <v>1</v>
      </c>
      <c r="S580" s="6" t="str">
        <f aca="false">IF(R580&gt;1,COUNTIF($R$2:R580,"&gt;1"),"")</f>
        <v/>
      </c>
      <c r="T580" s="6" t="str">
        <f aca="false">IF(L580="","",J580&amp;"|"&amp;K580&amp;"|"&amp;L580)</f>
        <v>6|3|spotify:track:3KmFdgv6niTJHVuo3MB2H0</v>
      </c>
      <c r="U580" s="6" t="str">
        <f aca="false">IF(C580="","",IFERROR(INDEX(Lists!$F:$F,MATCH(C580,Lists!$E:$E,0)),"Unmapped"))</f>
        <v>Rock</v>
      </c>
    </row>
    <row r="581" customFormat="false" ht="15" hidden="false" customHeight="false" outlineLevel="0" collapsed="false">
      <c r="A581" s="5" t="s">
        <v>1775</v>
      </c>
      <c r="B581" s="5" t="s">
        <v>421</v>
      </c>
      <c r="C581" s="5" t="s">
        <v>422</v>
      </c>
      <c r="D581" s="5" t="s">
        <v>119</v>
      </c>
      <c r="E581" s="5" t="s">
        <v>1773</v>
      </c>
      <c r="F581" s="5" t="n">
        <v>17</v>
      </c>
      <c r="G581" s="5" t="n">
        <v>10</v>
      </c>
      <c r="H581" s="6" t="str">
        <f aca="false">IF(N581="","",N581&amp;IF(AND(MOD(N581,100)&gt;=11,MOD(N581,100)&lt;=13),"th",CHOOSE(MIN(5,MOD(N581,10)+1),"th","st","nd","rd","th")))</f>
        <v>1st</v>
      </c>
      <c r="I581" s="5" t="s">
        <v>1691</v>
      </c>
      <c r="J581" s="6" t="n">
        <f aca="false">IFERROR(INDEX(Rounds!$A:$A,MATCH(I581,Rounds!$B:$B,0)),"ADD LEAGUE TO ROUNDS")</f>
        <v>6</v>
      </c>
      <c r="K581" s="6" t="n">
        <f aca="false">IFERROR(VALUE(LEFT(E581,FIND(" - ",E581)-1)),"")</f>
        <v>3</v>
      </c>
      <c r="L581" s="5" t="s">
        <v>1776</v>
      </c>
      <c r="N581" s="6" t="n">
        <f aca="false">IF(F581="","",1+COUNTIFS($J:$J,J581,$K:$K,K581,$F:$F,"&gt;"&amp;F581)+COUNTIFS($J:$J,J581,$K:$K,K581,$F:$F,F581,$G:$G,"&gt;"&amp;G581))</f>
        <v>1</v>
      </c>
      <c r="O581" s="6" t="n">
        <f aca="false">IF(L581="","",SUMIFS(Votes!$E:$E,Votes!$A:$A,J581,Votes!$B:$B,K581,Votes!$D:$D,L581))</f>
        <v>17</v>
      </c>
      <c r="P581" s="6" t="n">
        <f aca="false">IF(L581="","",COUNTIFS(Votes!$A:$A,J581,Votes!$B:$B,K581,Votes!$D:$D,L581))</f>
        <v>10</v>
      </c>
      <c r="Q581" s="7" t="str">
        <f aca="false">IF(F581="","Unscored",IF(O581="","No URI",IF(AND(F581=0,O581=0),"Zero-vote",IF(AND(F581=O581,G581=P581),"OK",IF(AND(F581=0,O581&gt;0,COUNTIFS(Votes!$A:$A,J581,Votes!$B:$B,K581,Votes!$C:$C,D581)=0),"Forfeited","Mismatch")))))</f>
        <v>OK</v>
      </c>
      <c r="R581" s="6" t="n">
        <f aca="false">MAX(IF(L581&lt;&gt;"",COUNTIF($L:$L,L581),0),COUNTIFS($A:$A,A581,$B:$B,B581))</f>
        <v>1</v>
      </c>
      <c r="S581" s="6" t="str">
        <f aca="false">IF(R581&gt;1,COUNTIF($R$2:R581,"&gt;1"),"")</f>
        <v/>
      </c>
      <c r="T581" s="6" t="str">
        <f aca="false">IF(L581="","",J581&amp;"|"&amp;K581&amp;"|"&amp;L581)</f>
        <v>6|3|spotify:track:7fLOFRCRe1c4kyoLJkNW1w</v>
      </c>
      <c r="U581" s="6" t="str">
        <f aca="false">IF(C581="","",IFERROR(INDEX(Lists!$F:$F,MATCH(C581,Lists!$E:$E,0)),"Unmapped"))</f>
        <v>Classical/Score</v>
      </c>
    </row>
    <row r="582" customFormat="false" ht="15" hidden="false" customHeight="false" outlineLevel="0" collapsed="false">
      <c r="A582" s="5" t="s">
        <v>1777</v>
      </c>
      <c r="B582" s="5" t="s">
        <v>1778</v>
      </c>
      <c r="C582" s="5" t="s">
        <v>248</v>
      </c>
      <c r="D582" s="5" t="s">
        <v>637</v>
      </c>
      <c r="E582" s="5" t="s">
        <v>1773</v>
      </c>
      <c r="F582" s="5" t="n">
        <v>15</v>
      </c>
      <c r="G582" s="5" t="n">
        <v>10</v>
      </c>
      <c r="H582" s="6" t="str">
        <f aca="false">IF(N582="","",N582&amp;IF(AND(MOD(N582,100)&gt;=11,MOD(N582,100)&lt;=13),"th",CHOOSE(MIN(5,MOD(N582,10)+1),"th","st","nd","rd","th")))</f>
        <v>3rd</v>
      </c>
      <c r="I582" s="5" t="s">
        <v>1691</v>
      </c>
      <c r="J582" s="6" t="n">
        <f aca="false">IFERROR(INDEX(Rounds!$A:$A,MATCH(I582,Rounds!$B:$B,0)),"ADD LEAGUE TO ROUNDS")</f>
        <v>6</v>
      </c>
      <c r="K582" s="6" t="n">
        <f aca="false">IFERROR(VALUE(LEFT(E582,FIND(" - ",E582)-1)),"")</f>
        <v>3</v>
      </c>
      <c r="L582" s="5" t="s">
        <v>1779</v>
      </c>
      <c r="N582" s="6" t="n">
        <f aca="false">IF(F582="","",1+COUNTIFS($J:$J,J582,$K:$K,K582,$F:$F,"&gt;"&amp;F582)+COUNTIFS($J:$J,J582,$K:$K,K582,$F:$F,F582,$G:$G,"&gt;"&amp;G582))</f>
        <v>3</v>
      </c>
      <c r="O582" s="6" t="n">
        <f aca="false">IF(L582="","",SUMIFS(Votes!$E:$E,Votes!$A:$A,J582,Votes!$B:$B,K582,Votes!$D:$D,L582))</f>
        <v>15</v>
      </c>
      <c r="P582" s="6" t="n">
        <f aca="false">IF(L582="","",COUNTIFS(Votes!$A:$A,J582,Votes!$B:$B,K582,Votes!$D:$D,L582))</f>
        <v>10</v>
      </c>
      <c r="Q582" s="7" t="str">
        <f aca="false">IF(F582="","Unscored",IF(O582="","No URI",IF(AND(F582=0,O582=0),"Zero-vote",IF(AND(F582=O582,G582=P582),"OK",IF(AND(F582=0,O582&gt;0,COUNTIFS(Votes!$A:$A,J582,Votes!$B:$B,K582,Votes!$C:$C,D582)=0),"Forfeited","Mismatch")))))</f>
        <v>OK</v>
      </c>
      <c r="R582" s="6" t="n">
        <f aca="false">MAX(IF(L582&lt;&gt;"",COUNTIF($L:$L,L582),0),COUNTIFS($A:$A,A582,$B:$B,B582))</f>
        <v>1</v>
      </c>
      <c r="S582" s="6" t="str">
        <f aca="false">IF(R582&gt;1,COUNTIF($R$2:R582,"&gt;1"),"")</f>
        <v/>
      </c>
      <c r="T582" s="6" t="str">
        <f aca="false">IF(L582="","",J582&amp;"|"&amp;K582&amp;"|"&amp;L582)</f>
        <v>6|3|spotify:track:1yfQcZvnS3KBesBOlBfMKn</v>
      </c>
      <c r="U582" s="6" t="str">
        <f aca="false">IF(C582="","",IFERROR(INDEX(Lists!$F:$F,MATCH(C582,Lists!$E:$E,0)),"Unmapped"))</f>
        <v>Folk/Americana</v>
      </c>
    </row>
    <row r="583" customFormat="false" ht="15" hidden="false" customHeight="false" outlineLevel="0" collapsed="false">
      <c r="A583" s="5" t="s">
        <v>1780</v>
      </c>
      <c r="B583" s="5" t="s">
        <v>1781</v>
      </c>
      <c r="C583" s="5" t="s">
        <v>91</v>
      </c>
      <c r="D583" s="5" t="s">
        <v>97</v>
      </c>
      <c r="E583" s="5" t="s">
        <v>1773</v>
      </c>
      <c r="F583" s="5" t="n">
        <v>14</v>
      </c>
      <c r="G583" s="5" t="n">
        <v>11</v>
      </c>
      <c r="H583" s="6" t="str">
        <f aca="false">IF(N583="","",N583&amp;IF(AND(MOD(N583,100)&gt;=11,MOD(N583,100)&lt;=13),"th",CHOOSE(MIN(5,MOD(N583,10)+1),"th","st","nd","rd","th")))</f>
        <v>4th</v>
      </c>
      <c r="I583" s="5" t="s">
        <v>1691</v>
      </c>
      <c r="J583" s="6" t="n">
        <f aca="false">IFERROR(INDEX(Rounds!$A:$A,MATCH(I583,Rounds!$B:$B,0)),"ADD LEAGUE TO ROUNDS")</f>
        <v>6</v>
      </c>
      <c r="K583" s="6" t="n">
        <f aca="false">IFERROR(VALUE(LEFT(E583,FIND(" - ",E583)-1)),"")</f>
        <v>3</v>
      </c>
      <c r="L583" s="5" t="s">
        <v>1782</v>
      </c>
      <c r="N583" s="6" t="n">
        <f aca="false">IF(F583="","",1+COUNTIFS($J:$J,J583,$K:$K,K583,$F:$F,"&gt;"&amp;F583)+COUNTIFS($J:$J,J583,$K:$K,K583,$F:$F,F583,$G:$G,"&gt;"&amp;G583))</f>
        <v>4</v>
      </c>
      <c r="O583" s="6" t="n">
        <f aca="false">IF(L583="","",SUMIFS(Votes!$E:$E,Votes!$A:$A,J583,Votes!$B:$B,K583,Votes!$D:$D,L583))</f>
        <v>14</v>
      </c>
      <c r="P583" s="6" t="n">
        <f aca="false">IF(L583="","",COUNTIFS(Votes!$A:$A,J583,Votes!$B:$B,K583,Votes!$D:$D,L583))</f>
        <v>11</v>
      </c>
      <c r="Q583" s="7" t="str">
        <f aca="false">IF(F583="","Unscored",IF(O583="","No URI",IF(AND(F583=0,O583=0),"Zero-vote",IF(AND(F583=O583,G583=P583),"OK",IF(AND(F583=0,O583&gt;0,COUNTIFS(Votes!$A:$A,J583,Votes!$B:$B,K583,Votes!$C:$C,D583)=0),"Forfeited","Mismatch")))))</f>
        <v>OK</v>
      </c>
      <c r="R583" s="6" t="n">
        <f aca="false">MAX(IF(L583&lt;&gt;"",COUNTIF($L:$L,L583),0),COUNTIFS($A:$A,A583,$B:$B,B583))</f>
        <v>1</v>
      </c>
      <c r="S583" s="6" t="str">
        <f aca="false">IF(R583&gt;1,COUNTIF($R$2:R583,"&gt;1"),"")</f>
        <v/>
      </c>
      <c r="T583" s="6" t="str">
        <f aca="false">IF(L583="","",J583&amp;"|"&amp;K583&amp;"|"&amp;L583)</f>
        <v>6|3|spotify:track:0PH3OkM1QnIyb44VhFVbca</v>
      </c>
      <c r="U583" s="6" t="str">
        <f aca="false">IF(C583="","",IFERROR(INDEX(Lists!$F:$F,MATCH(C583,Lists!$E:$E,0)),"Unmapped"))</f>
        <v>Rock</v>
      </c>
    </row>
    <row r="584" customFormat="false" ht="15" hidden="false" customHeight="false" outlineLevel="0" collapsed="false">
      <c r="A584" s="5" t="s">
        <v>1783</v>
      </c>
      <c r="B584" s="5" t="s">
        <v>1784</v>
      </c>
      <c r="C584" s="5" t="s">
        <v>506</v>
      </c>
      <c r="D584" s="5" t="s">
        <v>85</v>
      </c>
      <c r="E584" s="5" t="s">
        <v>1773</v>
      </c>
      <c r="F584" s="5" t="n">
        <v>11</v>
      </c>
      <c r="G584" s="5" t="n">
        <v>8</v>
      </c>
      <c r="H584" s="6" t="str">
        <f aca="false">IF(N584="","",N584&amp;IF(AND(MOD(N584,100)&gt;=11,MOD(N584,100)&lt;=13),"th",CHOOSE(MIN(5,MOD(N584,10)+1),"th","st","nd","rd","th")))</f>
        <v>5th</v>
      </c>
      <c r="I584" s="5" t="s">
        <v>1691</v>
      </c>
      <c r="J584" s="6" t="n">
        <f aca="false">IFERROR(INDEX(Rounds!$A:$A,MATCH(I584,Rounds!$B:$B,0)),"ADD LEAGUE TO ROUNDS")</f>
        <v>6</v>
      </c>
      <c r="K584" s="6" t="n">
        <f aca="false">IFERROR(VALUE(LEFT(E584,FIND(" - ",E584)-1)),"")</f>
        <v>3</v>
      </c>
      <c r="L584" s="5" t="s">
        <v>1785</v>
      </c>
      <c r="N584" s="6" t="n">
        <f aca="false">IF(F584="","",1+COUNTIFS($J:$J,J584,$K:$K,K584,$F:$F,"&gt;"&amp;F584)+COUNTIFS($J:$J,J584,$K:$K,K584,$F:$F,F584,$G:$G,"&gt;"&amp;G584))</f>
        <v>5</v>
      </c>
      <c r="O584" s="6" t="n">
        <f aca="false">IF(L584="","",SUMIFS(Votes!$E:$E,Votes!$A:$A,J584,Votes!$B:$B,K584,Votes!$D:$D,L584))</f>
        <v>11</v>
      </c>
      <c r="P584" s="6" t="n">
        <f aca="false">IF(L584="","",COUNTIFS(Votes!$A:$A,J584,Votes!$B:$B,K584,Votes!$D:$D,L584))</f>
        <v>8</v>
      </c>
      <c r="Q584" s="7" t="str">
        <f aca="false">IF(F584="","Unscored",IF(O584="","No URI",IF(AND(F584=0,O584=0),"Zero-vote",IF(AND(F584=O584,G584=P584),"OK",IF(AND(F584=0,O584&gt;0,COUNTIFS(Votes!$A:$A,J584,Votes!$B:$B,K584,Votes!$C:$C,D584)=0),"Forfeited","Mismatch")))))</f>
        <v>OK</v>
      </c>
      <c r="R584" s="6" t="n">
        <f aca="false">MAX(IF(L584&lt;&gt;"",COUNTIF($L:$L,L584),0),COUNTIFS($A:$A,A584,$B:$B,B584))</f>
        <v>1</v>
      </c>
      <c r="S584" s="6" t="str">
        <f aca="false">IF(R584&gt;1,COUNTIF($R$2:R584,"&gt;1"),"")</f>
        <v/>
      </c>
      <c r="T584" s="6" t="str">
        <f aca="false">IF(L584="","",J584&amp;"|"&amp;K584&amp;"|"&amp;L584)</f>
        <v>6|3|spotify:track:2q6fxAvSpqXR4jx9Ne7RGz</v>
      </c>
      <c r="U584" s="6" t="str">
        <f aca="false">IF(C584="","",IFERROR(INDEX(Lists!$F:$F,MATCH(C584,Lists!$E:$E,0)),"Unmapped"))</f>
        <v>Classical/Score</v>
      </c>
    </row>
    <row r="585" customFormat="false" ht="15" hidden="false" customHeight="false" outlineLevel="0" collapsed="false">
      <c r="A585" s="5" t="s">
        <v>1786</v>
      </c>
      <c r="B585" s="5" t="s">
        <v>1787</v>
      </c>
      <c r="C585" s="5" t="s">
        <v>506</v>
      </c>
      <c r="D585" s="5" t="s">
        <v>128</v>
      </c>
      <c r="E585" s="5" t="s">
        <v>1773</v>
      </c>
      <c r="F585" s="5" t="n">
        <v>10</v>
      </c>
      <c r="G585" s="5" t="n">
        <v>8</v>
      </c>
      <c r="H585" s="6" t="str">
        <f aca="false">IF(N585="","",N585&amp;IF(AND(MOD(N585,100)&gt;=11,MOD(N585,100)&lt;=13),"th",CHOOSE(MIN(5,MOD(N585,10)+1),"th","st","nd","rd","th")))</f>
        <v>6th</v>
      </c>
      <c r="I585" s="5" t="s">
        <v>1691</v>
      </c>
      <c r="J585" s="6" t="n">
        <f aca="false">IFERROR(INDEX(Rounds!$A:$A,MATCH(I585,Rounds!$B:$B,0)),"ADD LEAGUE TO ROUNDS")</f>
        <v>6</v>
      </c>
      <c r="K585" s="6" t="n">
        <f aca="false">IFERROR(VALUE(LEFT(E585,FIND(" - ",E585)-1)),"")</f>
        <v>3</v>
      </c>
      <c r="L585" s="5" t="s">
        <v>1788</v>
      </c>
      <c r="N585" s="6" t="n">
        <f aca="false">IF(F585="","",1+COUNTIFS($J:$J,J585,$K:$K,K585,$F:$F,"&gt;"&amp;F585)+COUNTIFS($J:$J,J585,$K:$K,K585,$F:$F,F585,$G:$G,"&gt;"&amp;G585))</f>
        <v>6</v>
      </c>
      <c r="O585" s="6" t="n">
        <f aca="false">IF(L585="","",SUMIFS(Votes!$E:$E,Votes!$A:$A,J585,Votes!$B:$B,K585,Votes!$D:$D,L585))</f>
        <v>10</v>
      </c>
      <c r="P585" s="6" t="n">
        <f aca="false">IF(L585="","",COUNTIFS(Votes!$A:$A,J585,Votes!$B:$B,K585,Votes!$D:$D,L585))</f>
        <v>8</v>
      </c>
      <c r="Q585" s="7" t="str">
        <f aca="false">IF(F585="","Unscored",IF(O585="","No URI",IF(AND(F585=0,O585=0),"Zero-vote",IF(AND(F585=O585,G585=P585),"OK",IF(AND(F585=0,O585&gt;0,COUNTIFS(Votes!$A:$A,J585,Votes!$B:$B,K585,Votes!$C:$C,D585)=0),"Forfeited","Mismatch")))))</f>
        <v>OK</v>
      </c>
      <c r="R585" s="6" t="n">
        <f aca="false">MAX(IF(L585&lt;&gt;"",COUNTIF($L:$L,L585),0),COUNTIFS($A:$A,A585,$B:$B,B585))</f>
        <v>1</v>
      </c>
      <c r="S585" s="6" t="str">
        <f aca="false">IF(R585&gt;1,COUNTIF($R$2:R585,"&gt;1"),"")</f>
        <v/>
      </c>
      <c r="T585" s="6" t="str">
        <f aca="false">IF(L585="","",J585&amp;"|"&amp;K585&amp;"|"&amp;L585)</f>
        <v>6|3|spotify:track:2IvnDjlgH8yy70Nz99UdcJ</v>
      </c>
      <c r="U585" s="6" t="str">
        <f aca="false">IF(C585="","",IFERROR(INDEX(Lists!$F:$F,MATCH(C585,Lists!$E:$E,0)),"Unmapped"))</f>
        <v>Classical/Score</v>
      </c>
    </row>
    <row r="586" customFormat="false" ht="15" hidden="false" customHeight="false" outlineLevel="0" collapsed="false">
      <c r="A586" s="5" t="s">
        <v>1789</v>
      </c>
      <c r="B586" s="5" t="s">
        <v>1790</v>
      </c>
      <c r="C586" s="5" t="s">
        <v>91</v>
      </c>
      <c r="D586" s="5" t="s">
        <v>375</v>
      </c>
      <c r="E586" s="5" t="s">
        <v>1773</v>
      </c>
      <c r="F586" s="5" t="n">
        <v>10</v>
      </c>
      <c r="G586" s="5" t="n">
        <v>8</v>
      </c>
      <c r="H586" s="6" t="str">
        <f aca="false">IF(N586="","",N586&amp;IF(AND(MOD(N586,100)&gt;=11,MOD(N586,100)&lt;=13),"th",CHOOSE(MIN(5,MOD(N586,10)+1),"th","st","nd","rd","th")))</f>
        <v>6th</v>
      </c>
      <c r="I586" s="5" t="s">
        <v>1691</v>
      </c>
      <c r="J586" s="6" t="n">
        <f aca="false">IFERROR(INDEX(Rounds!$A:$A,MATCH(I586,Rounds!$B:$B,0)),"ADD LEAGUE TO ROUNDS")</f>
        <v>6</v>
      </c>
      <c r="K586" s="6" t="n">
        <f aca="false">IFERROR(VALUE(LEFT(E586,FIND(" - ",E586)-1)),"")</f>
        <v>3</v>
      </c>
      <c r="L586" s="5" t="s">
        <v>1791</v>
      </c>
      <c r="N586" s="6" t="n">
        <f aca="false">IF(F586="","",1+COUNTIFS($J:$J,J586,$K:$K,K586,$F:$F,"&gt;"&amp;F586)+COUNTIFS($J:$J,J586,$K:$K,K586,$F:$F,F586,$G:$G,"&gt;"&amp;G586))</f>
        <v>6</v>
      </c>
      <c r="O586" s="6" t="n">
        <f aca="false">IF(L586="","",SUMIFS(Votes!$E:$E,Votes!$A:$A,J586,Votes!$B:$B,K586,Votes!$D:$D,L586))</f>
        <v>10</v>
      </c>
      <c r="P586" s="6" t="n">
        <f aca="false">IF(L586="","",COUNTIFS(Votes!$A:$A,J586,Votes!$B:$B,K586,Votes!$D:$D,L586))</f>
        <v>8</v>
      </c>
      <c r="Q586" s="7" t="str">
        <f aca="false">IF(F586="","Unscored",IF(O586="","No URI",IF(AND(F586=0,O586=0),"Zero-vote",IF(AND(F586=O586,G586=P586),"OK",IF(AND(F586=0,O586&gt;0,COUNTIFS(Votes!$A:$A,J586,Votes!$B:$B,K586,Votes!$C:$C,D586)=0),"Forfeited","Mismatch")))))</f>
        <v>OK</v>
      </c>
      <c r="R586" s="6" t="n">
        <f aca="false">MAX(IF(L586&lt;&gt;"",COUNTIF($L:$L,L586),0),COUNTIFS($A:$A,A586,$B:$B,B586))</f>
        <v>1</v>
      </c>
      <c r="S586" s="6" t="str">
        <f aca="false">IF(R586&gt;1,COUNTIF($R$2:R586,"&gt;1"),"")</f>
        <v/>
      </c>
      <c r="T586" s="6" t="str">
        <f aca="false">IF(L586="","",J586&amp;"|"&amp;K586&amp;"|"&amp;L586)</f>
        <v>6|3|spotify:track:3lpDrxUkr0tIe1kmJvdK7d</v>
      </c>
      <c r="U586" s="6" t="str">
        <f aca="false">IF(C586="","",IFERROR(INDEX(Lists!$F:$F,MATCH(C586,Lists!$E:$E,0)),"Unmapped"))</f>
        <v>Rock</v>
      </c>
    </row>
    <row r="587" customFormat="false" ht="15" hidden="false" customHeight="false" outlineLevel="0" collapsed="false">
      <c r="A587" s="5" t="s">
        <v>1792</v>
      </c>
      <c r="B587" s="5" t="s">
        <v>1793</v>
      </c>
      <c r="C587" s="5" t="s">
        <v>506</v>
      </c>
      <c r="D587" s="5" t="s">
        <v>116</v>
      </c>
      <c r="E587" s="5" t="s">
        <v>1773</v>
      </c>
      <c r="F587" s="5" t="n">
        <v>9</v>
      </c>
      <c r="G587" s="5" t="n">
        <v>7</v>
      </c>
      <c r="H587" s="6" t="str">
        <f aca="false">IF(N587="","",N587&amp;IF(AND(MOD(N587,100)&gt;=11,MOD(N587,100)&lt;=13),"th",CHOOSE(MIN(5,MOD(N587,10)+1),"th","st","nd","rd","th")))</f>
        <v>8th</v>
      </c>
      <c r="I587" s="5" t="s">
        <v>1691</v>
      </c>
      <c r="J587" s="6" t="n">
        <f aca="false">IFERROR(INDEX(Rounds!$A:$A,MATCH(I587,Rounds!$B:$B,0)),"ADD LEAGUE TO ROUNDS")</f>
        <v>6</v>
      </c>
      <c r="K587" s="6" t="n">
        <f aca="false">IFERROR(VALUE(LEFT(E587,FIND(" - ",E587)-1)),"")</f>
        <v>3</v>
      </c>
      <c r="L587" s="5" t="s">
        <v>1794</v>
      </c>
      <c r="N587" s="6" t="n">
        <f aca="false">IF(F587="","",1+COUNTIFS($J:$J,J587,$K:$K,K587,$F:$F,"&gt;"&amp;F587)+COUNTIFS($J:$J,J587,$K:$K,K587,$F:$F,F587,$G:$G,"&gt;"&amp;G587))</f>
        <v>8</v>
      </c>
      <c r="O587" s="6" t="n">
        <f aca="false">IF(L587="","",SUMIFS(Votes!$E:$E,Votes!$A:$A,J587,Votes!$B:$B,K587,Votes!$D:$D,L587))</f>
        <v>9</v>
      </c>
      <c r="P587" s="6" t="n">
        <f aca="false">IF(L587="","",COUNTIFS(Votes!$A:$A,J587,Votes!$B:$B,K587,Votes!$D:$D,L587))</f>
        <v>7</v>
      </c>
      <c r="Q587" s="7" t="str">
        <f aca="false">IF(F587="","Unscored",IF(O587="","No URI",IF(AND(F587=0,O587=0),"Zero-vote",IF(AND(F587=O587,G587=P587),"OK",IF(AND(F587=0,O587&gt;0,COUNTIFS(Votes!$A:$A,J587,Votes!$B:$B,K587,Votes!$C:$C,D587)=0),"Forfeited","Mismatch")))))</f>
        <v>OK</v>
      </c>
      <c r="R587" s="6" t="n">
        <f aca="false">MAX(IF(L587&lt;&gt;"",COUNTIF($L:$L,L587),0),COUNTIFS($A:$A,A587,$B:$B,B587))</f>
        <v>1</v>
      </c>
      <c r="S587" s="6" t="str">
        <f aca="false">IF(R587&gt;1,COUNTIF($R$2:R587,"&gt;1"),"")</f>
        <v/>
      </c>
      <c r="T587" s="6" t="str">
        <f aca="false">IF(L587="","",J587&amp;"|"&amp;K587&amp;"|"&amp;L587)</f>
        <v>6|3|spotify:track:4zpAd3OLeEfMI9V6WykeTd</v>
      </c>
      <c r="U587" s="6" t="str">
        <f aca="false">IF(C587="","",IFERROR(INDEX(Lists!$F:$F,MATCH(C587,Lists!$E:$E,0)),"Unmapped"))</f>
        <v>Classical/Score</v>
      </c>
    </row>
    <row r="588" customFormat="false" ht="15" hidden="false" customHeight="false" outlineLevel="0" collapsed="false">
      <c r="A588" s="5" t="s">
        <v>1795</v>
      </c>
      <c r="B588" s="5" t="s">
        <v>532</v>
      </c>
      <c r="C588" s="5" t="s">
        <v>506</v>
      </c>
      <c r="D588" s="5" t="s">
        <v>106</v>
      </c>
      <c r="E588" s="5" t="s">
        <v>1773</v>
      </c>
      <c r="F588" s="5" t="n">
        <v>8</v>
      </c>
      <c r="G588" s="5" t="n">
        <v>8</v>
      </c>
      <c r="H588" s="6" t="str">
        <f aca="false">IF(N588="","",N588&amp;IF(AND(MOD(N588,100)&gt;=11,MOD(N588,100)&lt;=13),"th",CHOOSE(MIN(5,MOD(N588,10)+1),"th","st","nd","rd","th")))</f>
        <v>9th</v>
      </c>
      <c r="I588" s="5" t="s">
        <v>1691</v>
      </c>
      <c r="J588" s="6" t="n">
        <f aca="false">IFERROR(INDEX(Rounds!$A:$A,MATCH(I588,Rounds!$B:$B,0)),"ADD LEAGUE TO ROUNDS")</f>
        <v>6</v>
      </c>
      <c r="K588" s="6" t="n">
        <f aca="false">IFERROR(VALUE(LEFT(E588,FIND(" - ",E588)-1)),"")</f>
        <v>3</v>
      </c>
      <c r="L588" s="5" t="s">
        <v>1796</v>
      </c>
      <c r="N588" s="6" t="n">
        <f aca="false">IF(F588="","",1+COUNTIFS($J:$J,J588,$K:$K,K588,$F:$F,"&gt;"&amp;F588)+COUNTIFS($J:$J,J588,$K:$K,K588,$F:$F,F588,$G:$G,"&gt;"&amp;G588))</f>
        <v>9</v>
      </c>
      <c r="O588" s="6" t="n">
        <f aca="false">IF(L588="","",SUMIFS(Votes!$E:$E,Votes!$A:$A,J588,Votes!$B:$B,K588,Votes!$D:$D,L588))</f>
        <v>8</v>
      </c>
      <c r="P588" s="6" t="n">
        <f aca="false">IF(L588="","",COUNTIFS(Votes!$A:$A,J588,Votes!$B:$B,K588,Votes!$D:$D,L588))</f>
        <v>8</v>
      </c>
      <c r="Q588" s="7" t="str">
        <f aca="false">IF(F588="","Unscored",IF(O588="","No URI",IF(AND(F588=0,O588=0),"Zero-vote",IF(AND(F588=O588,G588=P588),"OK",IF(AND(F588=0,O588&gt;0,COUNTIFS(Votes!$A:$A,J588,Votes!$B:$B,K588,Votes!$C:$C,D588)=0),"Forfeited","Mismatch")))))</f>
        <v>OK</v>
      </c>
      <c r="R588" s="6" t="n">
        <f aca="false">MAX(IF(L588&lt;&gt;"",COUNTIF($L:$L,L588),0),COUNTIFS($A:$A,A588,$B:$B,B588))</f>
        <v>1</v>
      </c>
      <c r="S588" s="6" t="str">
        <f aca="false">IF(R588&gt;1,COUNTIF($R$2:R588,"&gt;1"),"")</f>
        <v/>
      </c>
      <c r="T588" s="6" t="str">
        <f aca="false">IF(L588="","",J588&amp;"|"&amp;K588&amp;"|"&amp;L588)</f>
        <v>6|3|spotify:track:6ZFbXIJkuI1dVNWvzJzown</v>
      </c>
      <c r="U588" s="6" t="str">
        <f aca="false">IF(C588="","",IFERROR(INDEX(Lists!$F:$F,MATCH(C588,Lists!$E:$E,0)),"Unmapped"))</f>
        <v>Classical/Score</v>
      </c>
    </row>
    <row r="589" customFormat="false" ht="15" hidden="false" customHeight="false" outlineLevel="0" collapsed="false">
      <c r="A589" s="5" t="s">
        <v>1797</v>
      </c>
      <c r="B589" s="5" t="s">
        <v>1798</v>
      </c>
      <c r="C589" s="5" t="s">
        <v>506</v>
      </c>
      <c r="D589" s="5" t="s">
        <v>705</v>
      </c>
      <c r="E589" s="5" t="s">
        <v>1773</v>
      </c>
      <c r="F589" s="5" t="n">
        <v>8</v>
      </c>
      <c r="G589" s="5" t="n">
        <v>5</v>
      </c>
      <c r="H589" s="6" t="str">
        <f aca="false">IF(N589="","",N589&amp;IF(AND(MOD(N589,100)&gt;=11,MOD(N589,100)&lt;=13),"th",CHOOSE(MIN(5,MOD(N589,10)+1),"th","st","nd","rd","th")))</f>
        <v>10th</v>
      </c>
      <c r="I589" s="5" t="s">
        <v>1691</v>
      </c>
      <c r="J589" s="6" t="n">
        <f aca="false">IFERROR(INDEX(Rounds!$A:$A,MATCH(I589,Rounds!$B:$B,0)),"ADD LEAGUE TO ROUNDS")</f>
        <v>6</v>
      </c>
      <c r="K589" s="6" t="n">
        <f aca="false">IFERROR(VALUE(LEFT(E589,FIND(" - ",E589)-1)),"")</f>
        <v>3</v>
      </c>
      <c r="L589" s="5" t="s">
        <v>1799</v>
      </c>
      <c r="N589" s="6" t="n">
        <f aca="false">IF(F589="","",1+COUNTIFS($J:$J,J589,$K:$K,K589,$F:$F,"&gt;"&amp;F589)+COUNTIFS($J:$J,J589,$K:$K,K589,$F:$F,F589,$G:$G,"&gt;"&amp;G589))</f>
        <v>10</v>
      </c>
      <c r="O589" s="6" t="n">
        <f aca="false">IF(L589="","",SUMIFS(Votes!$E:$E,Votes!$A:$A,J589,Votes!$B:$B,K589,Votes!$D:$D,L589))</f>
        <v>8</v>
      </c>
      <c r="P589" s="6" t="n">
        <f aca="false">IF(L589="","",COUNTIFS(Votes!$A:$A,J589,Votes!$B:$B,K589,Votes!$D:$D,L589))</f>
        <v>5</v>
      </c>
      <c r="Q589" s="7" t="str">
        <f aca="false">IF(F589="","Unscored",IF(O589="","No URI",IF(AND(F589=0,O589=0),"Zero-vote",IF(AND(F589=O589,G589=P589),"OK",IF(AND(F589=0,O589&gt;0,COUNTIFS(Votes!$A:$A,J589,Votes!$B:$B,K589,Votes!$C:$C,D589)=0),"Forfeited","Mismatch")))))</f>
        <v>OK</v>
      </c>
      <c r="R589" s="6" t="n">
        <f aca="false">MAX(IF(L589&lt;&gt;"",COUNTIF($L:$L,L589),0),COUNTIFS($A:$A,A589,$B:$B,B589))</f>
        <v>1</v>
      </c>
      <c r="S589" s="6" t="str">
        <f aca="false">IF(R589&gt;1,COUNTIF($R$2:R589,"&gt;1"),"")</f>
        <v/>
      </c>
      <c r="T589" s="6" t="str">
        <f aca="false">IF(L589="","",J589&amp;"|"&amp;K589&amp;"|"&amp;L589)</f>
        <v>6|3|spotify:track:0l4seNH8AyE2kvjxFfpWi1</v>
      </c>
      <c r="U589" s="6" t="str">
        <f aca="false">IF(C589="","",IFERROR(INDEX(Lists!$F:$F,MATCH(C589,Lists!$E:$E,0)),"Unmapped"))</f>
        <v>Classical/Score</v>
      </c>
    </row>
    <row r="590" customFormat="false" ht="15" hidden="false" customHeight="false" outlineLevel="0" collapsed="false">
      <c r="A590" s="5" t="s">
        <v>1800</v>
      </c>
      <c r="B590" s="5" t="s">
        <v>1801</v>
      </c>
      <c r="C590" s="5" t="s">
        <v>506</v>
      </c>
      <c r="D590" s="5" t="s">
        <v>92</v>
      </c>
      <c r="E590" s="5" t="s">
        <v>1773</v>
      </c>
      <c r="F590" s="5" t="n">
        <v>8</v>
      </c>
      <c r="G590" s="5" t="n">
        <v>4</v>
      </c>
      <c r="H590" s="6" t="str">
        <f aca="false">IF(N590="","",N590&amp;IF(AND(MOD(N590,100)&gt;=11,MOD(N590,100)&lt;=13),"th",CHOOSE(MIN(5,MOD(N590,10)+1),"th","st","nd","rd","th")))</f>
        <v>11th</v>
      </c>
      <c r="I590" s="5" t="s">
        <v>1691</v>
      </c>
      <c r="J590" s="6" t="n">
        <f aca="false">IFERROR(INDEX(Rounds!$A:$A,MATCH(I590,Rounds!$B:$B,0)),"ADD LEAGUE TO ROUNDS")</f>
        <v>6</v>
      </c>
      <c r="K590" s="6" t="n">
        <f aca="false">IFERROR(VALUE(LEFT(E590,FIND(" - ",E590)-1)),"")</f>
        <v>3</v>
      </c>
      <c r="L590" s="5" t="s">
        <v>1802</v>
      </c>
      <c r="N590" s="6" t="n">
        <f aca="false">IF(F590="","",1+COUNTIFS($J:$J,J590,$K:$K,K590,$F:$F,"&gt;"&amp;F590)+COUNTIFS($J:$J,J590,$K:$K,K590,$F:$F,F590,$G:$G,"&gt;"&amp;G590))</f>
        <v>11</v>
      </c>
      <c r="O590" s="6" t="n">
        <f aca="false">IF(L590="","",SUMIFS(Votes!$E:$E,Votes!$A:$A,J590,Votes!$B:$B,K590,Votes!$D:$D,L590))</f>
        <v>8</v>
      </c>
      <c r="P590" s="6" t="n">
        <f aca="false">IF(L590="","",COUNTIFS(Votes!$A:$A,J590,Votes!$B:$B,K590,Votes!$D:$D,L590))</f>
        <v>4</v>
      </c>
      <c r="Q590" s="7" t="str">
        <f aca="false">IF(F590="","Unscored",IF(O590="","No URI",IF(AND(F590=0,O590=0),"Zero-vote",IF(AND(F590=O590,G590=P590),"OK",IF(AND(F590=0,O590&gt;0,COUNTIFS(Votes!$A:$A,J590,Votes!$B:$B,K590,Votes!$C:$C,D590)=0),"Forfeited","Mismatch")))))</f>
        <v>OK</v>
      </c>
      <c r="R590" s="6" t="n">
        <f aca="false">MAX(IF(L590&lt;&gt;"",COUNTIF($L:$L,L590),0),COUNTIFS($A:$A,A590,$B:$B,B590))</f>
        <v>1</v>
      </c>
      <c r="S590" s="6" t="str">
        <f aca="false">IF(R590&gt;1,COUNTIF($R$2:R590,"&gt;1"),"")</f>
        <v/>
      </c>
      <c r="T590" s="6" t="str">
        <f aca="false">IF(L590="","",J590&amp;"|"&amp;K590&amp;"|"&amp;L590)</f>
        <v>6|3|spotify:track:7rj2PZ9Ls7z7qEnyqsy71l</v>
      </c>
      <c r="U590" s="6" t="str">
        <f aca="false">IF(C590="","",IFERROR(INDEX(Lists!$F:$F,MATCH(C590,Lists!$E:$E,0)),"Unmapped"))</f>
        <v>Classical/Score</v>
      </c>
    </row>
    <row r="591" customFormat="false" ht="15" hidden="false" customHeight="false" outlineLevel="0" collapsed="false">
      <c r="A591" s="5" t="s">
        <v>1803</v>
      </c>
      <c r="B591" s="5" t="s">
        <v>1804</v>
      </c>
      <c r="C591" s="5" t="s">
        <v>105</v>
      </c>
      <c r="D591" s="5" t="s">
        <v>395</v>
      </c>
      <c r="E591" s="5" t="s">
        <v>1773</v>
      </c>
      <c r="F591" s="5" t="n">
        <v>7</v>
      </c>
      <c r="G591" s="5" t="n">
        <v>6</v>
      </c>
      <c r="H591" s="6" t="str">
        <f aca="false">IF(N591="","",N591&amp;IF(AND(MOD(N591,100)&gt;=11,MOD(N591,100)&lt;=13),"th",CHOOSE(MIN(5,MOD(N591,10)+1),"th","st","nd","rd","th")))</f>
        <v>12th</v>
      </c>
      <c r="I591" s="5" t="s">
        <v>1691</v>
      </c>
      <c r="J591" s="6" t="n">
        <f aca="false">IFERROR(INDEX(Rounds!$A:$A,MATCH(I591,Rounds!$B:$B,0)),"ADD LEAGUE TO ROUNDS")</f>
        <v>6</v>
      </c>
      <c r="K591" s="6" t="n">
        <f aca="false">IFERROR(VALUE(LEFT(E591,FIND(" - ",E591)-1)),"")</f>
        <v>3</v>
      </c>
      <c r="L591" s="5" t="s">
        <v>1805</v>
      </c>
      <c r="N591" s="6" t="n">
        <f aca="false">IF(F591="","",1+COUNTIFS($J:$J,J591,$K:$K,K591,$F:$F,"&gt;"&amp;F591)+COUNTIFS($J:$J,J591,$K:$K,K591,$F:$F,F591,$G:$G,"&gt;"&amp;G591))</f>
        <v>12</v>
      </c>
      <c r="O591" s="6" t="n">
        <f aca="false">IF(L591="","",SUMIFS(Votes!$E:$E,Votes!$A:$A,J591,Votes!$B:$B,K591,Votes!$D:$D,L591))</f>
        <v>7</v>
      </c>
      <c r="P591" s="6" t="n">
        <f aca="false">IF(L591="","",COUNTIFS(Votes!$A:$A,J591,Votes!$B:$B,K591,Votes!$D:$D,L591))</f>
        <v>6</v>
      </c>
      <c r="Q591" s="7" t="str">
        <f aca="false">IF(F591="","Unscored",IF(O591="","No URI",IF(AND(F591=0,O591=0),"Zero-vote",IF(AND(F591=O591,G591=P591),"OK",IF(AND(F591=0,O591&gt;0,COUNTIFS(Votes!$A:$A,J591,Votes!$B:$B,K591,Votes!$C:$C,D591)=0),"Forfeited","Mismatch")))))</f>
        <v>OK</v>
      </c>
      <c r="R591" s="6" t="n">
        <f aca="false">MAX(IF(L591&lt;&gt;"",COUNTIF($L:$L,L591),0),COUNTIFS($A:$A,A591,$B:$B,B591))</f>
        <v>1</v>
      </c>
      <c r="S591" s="6" t="str">
        <f aca="false">IF(R591&gt;1,COUNTIF($R$2:R591,"&gt;1"),"")</f>
        <v/>
      </c>
      <c r="T591" s="6" t="str">
        <f aca="false">IF(L591="","",J591&amp;"|"&amp;K591&amp;"|"&amp;L591)</f>
        <v>6|3|spotify:track:4xyWJM4kscTROV2RESdwpd</v>
      </c>
      <c r="U591" s="6" t="str">
        <f aca="false">IF(C591="","",IFERROR(INDEX(Lists!$F:$F,MATCH(C591,Lists!$E:$E,0)),"Unmapped"))</f>
        <v>Metal</v>
      </c>
    </row>
    <row r="592" customFormat="false" ht="15" hidden="false" customHeight="false" outlineLevel="0" collapsed="false">
      <c r="A592" s="5" t="s">
        <v>1806</v>
      </c>
      <c r="B592" s="5" t="s">
        <v>1807</v>
      </c>
      <c r="C592" s="5" t="s">
        <v>105</v>
      </c>
      <c r="D592" s="5" t="s">
        <v>719</v>
      </c>
      <c r="E592" s="5" t="s">
        <v>1773</v>
      </c>
      <c r="F592" s="5" t="n">
        <v>6</v>
      </c>
      <c r="G592" s="5" t="n">
        <v>5</v>
      </c>
      <c r="H592" s="6" t="str">
        <f aca="false">IF(N592="","",N592&amp;IF(AND(MOD(N592,100)&gt;=11,MOD(N592,100)&lt;=13),"th",CHOOSE(MIN(5,MOD(N592,10)+1),"th","st","nd","rd","th")))</f>
        <v>13th</v>
      </c>
      <c r="I592" s="5" t="s">
        <v>1691</v>
      </c>
      <c r="J592" s="6" t="n">
        <f aca="false">IFERROR(INDEX(Rounds!$A:$A,MATCH(I592,Rounds!$B:$B,0)),"ADD LEAGUE TO ROUNDS")</f>
        <v>6</v>
      </c>
      <c r="K592" s="6" t="n">
        <f aca="false">IFERROR(VALUE(LEFT(E592,FIND(" - ",E592)-1)),"")</f>
        <v>3</v>
      </c>
      <c r="L592" s="5" t="s">
        <v>1808</v>
      </c>
      <c r="N592" s="6" t="n">
        <f aca="false">IF(F592="","",1+COUNTIFS($J:$J,J592,$K:$K,K592,$F:$F,"&gt;"&amp;F592)+COUNTIFS($J:$J,J592,$K:$K,K592,$F:$F,F592,$G:$G,"&gt;"&amp;G592))</f>
        <v>13</v>
      </c>
      <c r="O592" s="6" t="n">
        <f aca="false">IF(L592="","",SUMIFS(Votes!$E:$E,Votes!$A:$A,J592,Votes!$B:$B,K592,Votes!$D:$D,L592))</f>
        <v>6</v>
      </c>
      <c r="P592" s="6" t="n">
        <f aca="false">IF(L592="","",COUNTIFS(Votes!$A:$A,J592,Votes!$B:$B,K592,Votes!$D:$D,L592))</f>
        <v>5</v>
      </c>
      <c r="Q592" s="7" t="str">
        <f aca="false">IF(F592="","Unscored",IF(O592="","No URI",IF(AND(F592=0,O592=0),"Zero-vote",IF(AND(F592=O592,G592=P592),"OK",IF(AND(F592=0,O592&gt;0,COUNTIFS(Votes!$A:$A,J592,Votes!$B:$B,K592,Votes!$C:$C,D592)=0),"Forfeited","Mismatch")))))</f>
        <v>OK</v>
      </c>
      <c r="R592" s="6" t="n">
        <f aca="false">MAX(IF(L592&lt;&gt;"",COUNTIF($L:$L,L592),0),COUNTIFS($A:$A,A592,$B:$B,B592))</f>
        <v>1</v>
      </c>
      <c r="S592" s="6" t="str">
        <f aca="false">IF(R592&gt;1,COUNTIF($R$2:R592,"&gt;1"),"")</f>
        <v/>
      </c>
      <c r="T592" s="6" t="str">
        <f aca="false">IF(L592="","",J592&amp;"|"&amp;K592&amp;"|"&amp;L592)</f>
        <v>6|3|spotify:track:3hpFMfExUUBn7pJvuLMMwQ</v>
      </c>
      <c r="U592" s="6" t="str">
        <f aca="false">IF(C592="","",IFERROR(INDEX(Lists!$F:$F,MATCH(C592,Lists!$E:$E,0)),"Unmapped"))</f>
        <v>Metal</v>
      </c>
    </row>
    <row r="593" customFormat="false" ht="15" hidden="false" customHeight="false" outlineLevel="0" collapsed="false">
      <c r="A593" s="5" t="s">
        <v>1809</v>
      </c>
      <c r="B593" s="5" t="s">
        <v>1810</v>
      </c>
      <c r="C593" s="5" t="s">
        <v>506</v>
      </c>
      <c r="D593" s="5" t="s">
        <v>382</v>
      </c>
      <c r="E593" s="5" t="s">
        <v>1773</v>
      </c>
      <c r="F593" s="5" t="n">
        <v>6</v>
      </c>
      <c r="G593" s="5" t="n">
        <v>4</v>
      </c>
      <c r="H593" s="6" t="str">
        <f aca="false">IF(N593="","",N593&amp;IF(AND(MOD(N593,100)&gt;=11,MOD(N593,100)&lt;=13),"th",CHOOSE(MIN(5,MOD(N593,10)+1),"th","st","nd","rd","th")))</f>
        <v>14th</v>
      </c>
      <c r="I593" s="5" t="s">
        <v>1691</v>
      </c>
      <c r="J593" s="6" t="n">
        <f aca="false">IFERROR(INDEX(Rounds!$A:$A,MATCH(I593,Rounds!$B:$B,0)),"ADD LEAGUE TO ROUNDS")</f>
        <v>6</v>
      </c>
      <c r="K593" s="6" t="n">
        <f aca="false">IFERROR(VALUE(LEFT(E593,FIND(" - ",E593)-1)),"")</f>
        <v>3</v>
      </c>
      <c r="L593" s="5" t="s">
        <v>1811</v>
      </c>
      <c r="N593" s="6" t="n">
        <f aca="false">IF(F593="","",1+COUNTIFS($J:$J,J593,$K:$K,K593,$F:$F,"&gt;"&amp;F593)+COUNTIFS($J:$J,J593,$K:$K,K593,$F:$F,F593,$G:$G,"&gt;"&amp;G593))</f>
        <v>14</v>
      </c>
      <c r="O593" s="6" t="n">
        <f aca="false">IF(L593="","",SUMIFS(Votes!$E:$E,Votes!$A:$A,J593,Votes!$B:$B,K593,Votes!$D:$D,L593))</f>
        <v>6</v>
      </c>
      <c r="P593" s="6" t="n">
        <f aca="false">IF(L593="","",COUNTIFS(Votes!$A:$A,J593,Votes!$B:$B,K593,Votes!$D:$D,L593))</f>
        <v>4</v>
      </c>
      <c r="Q593" s="7" t="str">
        <f aca="false">IF(F593="","Unscored",IF(O593="","No URI",IF(AND(F593=0,O593=0),"Zero-vote",IF(AND(F593=O593,G593=P593),"OK",IF(AND(F593=0,O593&gt;0,COUNTIFS(Votes!$A:$A,J593,Votes!$B:$B,K593,Votes!$C:$C,D593)=0),"Forfeited","Mismatch")))))</f>
        <v>OK</v>
      </c>
      <c r="R593" s="6" t="n">
        <f aca="false">MAX(IF(L593&lt;&gt;"",COUNTIF($L:$L,L593),0),COUNTIFS($A:$A,A593,$B:$B,B593))</f>
        <v>1</v>
      </c>
      <c r="S593" s="6" t="str">
        <f aca="false">IF(R593&gt;1,COUNTIF($R$2:R593,"&gt;1"),"")</f>
        <v/>
      </c>
      <c r="T593" s="6" t="str">
        <f aca="false">IF(L593="","",J593&amp;"|"&amp;K593&amp;"|"&amp;L593)</f>
        <v>6|3|spotify:track:26usmxPwvxV8Gd7sAbR323</v>
      </c>
      <c r="U593" s="6" t="str">
        <f aca="false">IF(C593="","",IFERROR(INDEX(Lists!$F:$F,MATCH(C593,Lists!$E:$E,0)),"Unmapped"))</f>
        <v>Classical/Score</v>
      </c>
    </row>
    <row r="594" customFormat="false" ht="15" hidden="false" customHeight="false" outlineLevel="0" collapsed="false">
      <c r="A594" s="5" t="s">
        <v>1812</v>
      </c>
      <c r="B594" s="5" t="s">
        <v>1813</v>
      </c>
      <c r="C594" s="5" t="s">
        <v>506</v>
      </c>
      <c r="D594" s="5" t="s">
        <v>101</v>
      </c>
      <c r="E594" s="5" t="s">
        <v>1773</v>
      </c>
      <c r="F594" s="5" t="n">
        <v>4</v>
      </c>
      <c r="G594" s="5" t="n">
        <v>3</v>
      </c>
      <c r="H594" s="6" t="str">
        <f aca="false">IF(N594="","",N594&amp;IF(AND(MOD(N594,100)&gt;=11,MOD(N594,100)&lt;=13),"th",CHOOSE(MIN(5,MOD(N594,10)+1),"th","st","nd","rd","th")))</f>
        <v>15th</v>
      </c>
      <c r="I594" s="5" t="s">
        <v>1691</v>
      </c>
      <c r="J594" s="6" t="n">
        <f aca="false">IFERROR(INDEX(Rounds!$A:$A,MATCH(I594,Rounds!$B:$B,0)),"ADD LEAGUE TO ROUNDS")</f>
        <v>6</v>
      </c>
      <c r="K594" s="6" t="n">
        <f aca="false">IFERROR(VALUE(LEFT(E594,FIND(" - ",E594)-1)),"")</f>
        <v>3</v>
      </c>
      <c r="L594" s="5" t="s">
        <v>1814</v>
      </c>
      <c r="N594" s="6" t="n">
        <f aca="false">IF(F594="","",1+COUNTIFS($J:$J,J594,$K:$K,K594,$F:$F,"&gt;"&amp;F594)+COUNTIFS($J:$J,J594,$K:$K,K594,$F:$F,F594,$G:$G,"&gt;"&amp;G594))</f>
        <v>15</v>
      </c>
      <c r="O594" s="6" t="n">
        <f aca="false">IF(L594="","",SUMIFS(Votes!$E:$E,Votes!$A:$A,J594,Votes!$B:$B,K594,Votes!$D:$D,L594))</f>
        <v>4</v>
      </c>
      <c r="P594" s="6" t="n">
        <f aca="false">IF(L594="","",COUNTIFS(Votes!$A:$A,J594,Votes!$B:$B,K594,Votes!$D:$D,L594))</f>
        <v>3</v>
      </c>
      <c r="Q594" s="7" t="str">
        <f aca="false">IF(F594="","Unscored",IF(O594="","No URI",IF(AND(F594=0,O594=0),"Zero-vote",IF(AND(F594=O594,G594=P594),"OK",IF(AND(F594=0,O594&gt;0,COUNTIFS(Votes!$A:$A,J594,Votes!$B:$B,K594,Votes!$C:$C,D594)=0),"Forfeited","Mismatch")))))</f>
        <v>OK</v>
      </c>
      <c r="R594" s="6" t="n">
        <f aca="false">MAX(IF(L594&lt;&gt;"",COUNTIF($L:$L,L594),0),COUNTIFS($A:$A,A594,$B:$B,B594))</f>
        <v>1</v>
      </c>
      <c r="S594" s="6" t="str">
        <f aca="false">IF(R594&gt;1,COUNTIF($R$2:R594,"&gt;1"),"")</f>
        <v/>
      </c>
      <c r="T594" s="6" t="str">
        <f aca="false">IF(L594="","",J594&amp;"|"&amp;K594&amp;"|"&amp;L594)</f>
        <v>6|3|spotify:track:1oYqTiYgy3fSqAuMYCxxye</v>
      </c>
      <c r="U594" s="6" t="str">
        <f aca="false">IF(C594="","",IFERROR(INDEX(Lists!$F:$F,MATCH(C594,Lists!$E:$E,0)),"Unmapped"))</f>
        <v>Classical/Score</v>
      </c>
    </row>
    <row r="595" customFormat="false" ht="15" hidden="false" customHeight="false" outlineLevel="0" collapsed="false">
      <c r="A595" s="5" t="s">
        <v>1815</v>
      </c>
      <c r="B595" s="5" t="s">
        <v>1816</v>
      </c>
      <c r="C595" s="5" t="s">
        <v>110</v>
      </c>
      <c r="D595" s="5" t="s">
        <v>116</v>
      </c>
      <c r="E595" s="5" t="s">
        <v>1817</v>
      </c>
      <c r="F595" s="5" t="n">
        <v>19</v>
      </c>
      <c r="G595" s="5" t="n">
        <v>13</v>
      </c>
      <c r="H595" s="6" t="str">
        <f aca="false">IF(N595="","",N595&amp;IF(AND(MOD(N595,100)&gt;=11,MOD(N595,100)&lt;=13),"th",CHOOSE(MIN(5,MOD(N595,10)+1),"th","st","nd","rd","th")))</f>
        <v>1st</v>
      </c>
      <c r="I595" s="5" t="s">
        <v>1691</v>
      </c>
      <c r="J595" s="6" t="n">
        <f aca="false">IFERROR(INDEX(Rounds!$A:$A,MATCH(I595,Rounds!$B:$B,0)),"ADD LEAGUE TO ROUNDS")</f>
        <v>6</v>
      </c>
      <c r="K595" s="6" t="n">
        <f aca="false">IFERROR(VALUE(LEFT(E595,FIND(" - ",E595)-1)),"")</f>
        <v>4</v>
      </c>
      <c r="L595" s="5" t="s">
        <v>1818</v>
      </c>
      <c r="N595" s="6" t="n">
        <f aca="false">IF(F595="","",1+COUNTIFS($J:$J,J595,$K:$K,K595,$F:$F,"&gt;"&amp;F595)+COUNTIFS($J:$J,J595,$K:$K,K595,$F:$F,F595,$G:$G,"&gt;"&amp;G595))</f>
        <v>1</v>
      </c>
      <c r="O595" s="6" t="n">
        <f aca="false">IF(L595="","",SUMIFS(Votes!$E:$E,Votes!$A:$A,J595,Votes!$B:$B,K595,Votes!$D:$D,L595))</f>
        <v>19</v>
      </c>
      <c r="P595" s="6" t="n">
        <f aca="false">IF(L595="","",COUNTIFS(Votes!$A:$A,J595,Votes!$B:$B,K595,Votes!$D:$D,L595))</f>
        <v>13</v>
      </c>
      <c r="Q595" s="7" t="str">
        <f aca="false">IF(F595="","Unscored",IF(O595="","No URI",IF(AND(F595=0,O595=0),"Zero-vote",IF(AND(F595=O595,G595=P595),"OK",IF(AND(F595=0,O595&gt;0,COUNTIFS(Votes!$A:$A,J595,Votes!$B:$B,K595,Votes!$C:$C,D595)=0),"Forfeited","Mismatch")))))</f>
        <v>OK</v>
      </c>
      <c r="R595" s="6" t="n">
        <f aca="false">MAX(IF(L595&lt;&gt;"",COUNTIF($L:$L,L595),0),COUNTIFS($A:$A,A595,$B:$B,B595))</f>
        <v>1</v>
      </c>
      <c r="S595" s="6" t="str">
        <f aca="false">IF(R595&gt;1,COUNTIF($R$2:R595,"&gt;1"),"")</f>
        <v/>
      </c>
      <c r="T595" s="6" t="str">
        <f aca="false">IF(L595="","",J595&amp;"|"&amp;K595&amp;"|"&amp;L595)</f>
        <v>6|4|spotify:track:0CAfXk7DXMnon4gLudAp7J</v>
      </c>
      <c r="U595" s="6" t="str">
        <f aca="false">IF(C595="","",IFERROR(INDEX(Lists!$F:$F,MATCH(C595,Lists!$E:$E,0)),"Unmapped"))</f>
        <v>Hip-Hop/Rap</v>
      </c>
    </row>
    <row r="596" customFormat="false" ht="15" hidden="false" customHeight="false" outlineLevel="0" collapsed="false">
      <c r="A596" s="5" t="s">
        <v>1819</v>
      </c>
      <c r="B596" s="5" t="s">
        <v>803</v>
      </c>
      <c r="C596" s="5" t="s">
        <v>84</v>
      </c>
      <c r="D596" s="5" t="s">
        <v>382</v>
      </c>
      <c r="E596" s="5" t="s">
        <v>1817</v>
      </c>
      <c r="F596" s="5" t="n">
        <v>16</v>
      </c>
      <c r="G596" s="5" t="n">
        <v>11</v>
      </c>
      <c r="H596" s="6" t="str">
        <f aca="false">IF(N596="","",N596&amp;IF(AND(MOD(N596,100)&gt;=11,MOD(N596,100)&lt;=13),"th",CHOOSE(MIN(5,MOD(N596,10)+1),"th","st","nd","rd","th")))</f>
        <v>2nd</v>
      </c>
      <c r="I596" s="5" t="s">
        <v>1691</v>
      </c>
      <c r="J596" s="6" t="n">
        <f aca="false">IFERROR(INDEX(Rounds!$A:$A,MATCH(I596,Rounds!$B:$B,0)),"ADD LEAGUE TO ROUNDS")</f>
        <v>6</v>
      </c>
      <c r="K596" s="6" t="n">
        <f aca="false">IFERROR(VALUE(LEFT(E596,FIND(" - ",E596)-1)),"")</f>
        <v>4</v>
      </c>
      <c r="L596" s="5" t="s">
        <v>1820</v>
      </c>
      <c r="N596" s="6" t="n">
        <f aca="false">IF(F596="","",1+COUNTIFS($J:$J,J596,$K:$K,K596,$F:$F,"&gt;"&amp;F596)+COUNTIFS($J:$J,J596,$K:$K,K596,$F:$F,F596,$G:$G,"&gt;"&amp;G596))</f>
        <v>2</v>
      </c>
      <c r="O596" s="6" t="n">
        <f aca="false">IF(L596="","",SUMIFS(Votes!$E:$E,Votes!$A:$A,J596,Votes!$B:$B,K596,Votes!$D:$D,L596))</f>
        <v>16</v>
      </c>
      <c r="P596" s="6" t="n">
        <f aca="false">IF(L596="","",COUNTIFS(Votes!$A:$A,J596,Votes!$B:$B,K596,Votes!$D:$D,L596))</f>
        <v>11</v>
      </c>
      <c r="Q596" s="7" t="str">
        <f aca="false">IF(F596="","Unscored",IF(O596="","No URI",IF(AND(F596=0,O596=0),"Zero-vote",IF(AND(F596=O596,G596=P596),"OK",IF(AND(F596=0,O596&gt;0,COUNTIFS(Votes!$A:$A,J596,Votes!$B:$B,K596,Votes!$C:$C,D596)=0),"Forfeited","Mismatch")))))</f>
        <v>OK</v>
      </c>
      <c r="R596" s="6" t="n">
        <f aca="false">MAX(IF(L596&lt;&gt;"",COUNTIF($L:$L,L596),0),COUNTIFS($A:$A,A596,$B:$B,B596))</f>
        <v>1</v>
      </c>
      <c r="S596" s="6" t="str">
        <f aca="false">IF(R596&gt;1,COUNTIF($R$2:R596,"&gt;1"),"")</f>
        <v/>
      </c>
      <c r="T596" s="6" t="str">
        <f aca="false">IF(L596="","",J596&amp;"|"&amp;K596&amp;"|"&amp;L596)</f>
        <v>6|4|spotify:track:1vYXt7VSjH9JIM5oRRo7vA</v>
      </c>
      <c r="U596" s="6" t="str">
        <f aca="false">IF(C596="","",IFERROR(INDEX(Lists!$F:$F,MATCH(C596,Lists!$E:$E,0)),"Unmapped"))</f>
        <v>Pop</v>
      </c>
    </row>
    <row r="597" customFormat="false" ht="15" hidden="false" customHeight="false" outlineLevel="0" collapsed="false">
      <c r="A597" s="5" t="s">
        <v>1821</v>
      </c>
      <c r="B597" s="5" t="s">
        <v>1822</v>
      </c>
      <c r="C597" s="5" t="s">
        <v>363</v>
      </c>
      <c r="D597" s="5" t="s">
        <v>395</v>
      </c>
      <c r="E597" s="5" t="s">
        <v>1817</v>
      </c>
      <c r="F597" s="5" t="n">
        <v>12</v>
      </c>
      <c r="G597" s="5" t="n">
        <v>8</v>
      </c>
      <c r="H597" s="6" t="str">
        <f aca="false">IF(N597="","",N597&amp;IF(AND(MOD(N597,100)&gt;=11,MOD(N597,100)&lt;=13),"th",CHOOSE(MIN(5,MOD(N597,10)+1),"th","st","nd","rd","th")))</f>
        <v>3rd</v>
      </c>
      <c r="I597" s="5" t="s">
        <v>1691</v>
      </c>
      <c r="J597" s="6" t="n">
        <f aca="false">IFERROR(INDEX(Rounds!$A:$A,MATCH(I597,Rounds!$B:$B,0)),"ADD LEAGUE TO ROUNDS")</f>
        <v>6</v>
      </c>
      <c r="K597" s="6" t="n">
        <f aca="false">IFERROR(VALUE(LEFT(E597,FIND(" - ",E597)-1)),"")</f>
        <v>4</v>
      </c>
      <c r="L597" s="5" t="s">
        <v>1823</v>
      </c>
      <c r="N597" s="6" t="n">
        <f aca="false">IF(F597="","",1+COUNTIFS($J:$J,J597,$K:$K,K597,$F:$F,"&gt;"&amp;F597)+COUNTIFS($J:$J,J597,$K:$K,K597,$F:$F,F597,$G:$G,"&gt;"&amp;G597))</f>
        <v>3</v>
      </c>
      <c r="O597" s="6" t="n">
        <f aca="false">IF(L597="","",SUMIFS(Votes!$E:$E,Votes!$A:$A,J597,Votes!$B:$B,K597,Votes!$D:$D,L597))</f>
        <v>12</v>
      </c>
      <c r="P597" s="6" t="n">
        <f aca="false">IF(L597="","",COUNTIFS(Votes!$A:$A,J597,Votes!$B:$B,K597,Votes!$D:$D,L597))</f>
        <v>8</v>
      </c>
      <c r="Q597" s="7" t="str">
        <f aca="false">IF(F597="","Unscored",IF(O597="","No URI",IF(AND(F597=0,O597=0),"Zero-vote",IF(AND(F597=O597,G597=P597),"OK",IF(AND(F597=0,O597&gt;0,COUNTIFS(Votes!$A:$A,J597,Votes!$B:$B,K597,Votes!$C:$C,D597)=0),"Forfeited","Mismatch")))))</f>
        <v>OK</v>
      </c>
      <c r="R597" s="6" t="n">
        <f aca="false">MAX(IF(L597&lt;&gt;"",COUNTIF($L:$L,L597),0),COUNTIFS($A:$A,A597,$B:$B,B597))</f>
        <v>1</v>
      </c>
      <c r="S597" s="6" t="str">
        <f aca="false">IF(R597&gt;1,COUNTIF($R$2:R597,"&gt;1"),"")</f>
        <v/>
      </c>
      <c r="T597" s="6" t="str">
        <f aca="false">IF(L597="","",J597&amp;"|"&amp;K597&amp;"|"&amp;L597)</f>
        <v>6|4|spotify:track:5YoITs1m0q8UOQ4AW7N5ga</v>
      </c>
      <c r="U597" s="6" t="str">
        <f aca="false">IF(C597="","",IFERROR(INDEX(Lists!$F:$F,MATCH(C597,Lists!$E:$E,0)),"Unmapped"))</f>
        <v>Latin</v>
      </c>
    </row>
    <row r="598" customFormat="false" ht="15" hidden="false" customHeight="false" outlineLevel="0" collapsed="false">
      <c r="A598" s="5" t="s">
        <v>1824</v>
      </c>
      <c r="B598" s="5" t="s">
        <v>1825</v>
      </c>
      <c r="C598" s="5" t="s">
        <v>293</v>
      </c>
      <c r="D598" s="5" t="s">
        <v>85</v>
      </c>
      <c r="E598" s="5" t="s">
        <v>1817</v>
      </c>
      <c r="F598" s="5" t="n">
        <v>11</v>
      </c>
      <c r="G598" s="5" t="n">
        <v>8</v>
      </c>
      <c r="H598" s="6" t="str">
        <f aca="false">IF(N598="","",N598&amp;IF(AND(MOD(N598,100)&gt;=11,MOD(N598,100)&lt;=13),"th",CHOOSE(MIN(5,MOD(N598,10)+1),"th","st","nd","rd","th")))</f>
        <v>4th</v>
      </c>
      <c r="I598" s="5" t="s">
        <v>1691</v>
      </c>
      <c r="J598" s="6" t="n">
        <f aca="false">IFERROR(INDEX(Rounds!$A:$A,MATCH(I598,Rounds!$B:$B,0)),"ADD LEAGUE TO ROUNDS")</f>
        <v>6</v>
      </c>
      <c r="K598" s="6" t="n">
        <f aca="false">IFERROR(VALUE(LEFT(E598,FIND(" - ",E598)-1)),"")</f>
        <v>4</v>
      </c>
      <c r="L598" s="5" t="s">
        <v>1826</v>
      </c>
      <c r="N598" s="6" t="n">
        <f aca="false">IF(F598="","",1+COUNTIFS($J:$J,J598,$K:$K,K598,$F:$F,"&gt;"&amp;F598)+COUNTIFS($J:$J,J598,$K:$K,K598,$F:$F,F598,$G:$G,"&gt;"&amp;G598))</f>
        <v>4</v>
      </c>
      <c r="O598" s="6" t="n">
        <f aca="false">IF(L598="","",SUMIFS(Votes!$E:$E,Votes!$A:$A,J598,Votes!$B:$B,K598,Votes!$D:$D,L598))</f>
        <v>11</v>
      </c>
      <c r="P598" s="6" t="n">
        <f aca="false">IF(L598="","",COUNTIFS(Votes!$A:$A,J598,Votes!$B:$B,K598,Votes!$D:$D,L598))</f>
        <v>8</v>
      </c>
      <c r="Q598" s="7" t="str">
        <f aca="false">IF(F598="","Unscored",IF(O598="","No URI",IF(AND(F598=0,O598=0),"Zero-vote",IF(AND(F598=O598,G598=P598),"OK",IF(AND(F598=0,O598&gt;0,COUNTIFS(Votes!$A:$A,J598,Votes!$B:$B,K598,Votes!$C:$C,D598)=0),"Forfeited","Mismatch")))))</f>
        <v>OK</v>
      </c>
      <c r="R598" s="6" t="n">
        <f aca="false">MAX(IF(L598&lt;&gt;"",COUNTIF($L:$L,L598),0),COUNTIFS($A:$A,A598,$B:$B,B598))</f>
        <v>1</v>
      </c>
      <c r="S598" s="6" t="str">
        <f aca="false">IF(R598&gt;1,COUNTIF($R$2:R598,"&gt;1"),"")</f>
        <v/>
      </c>
      <c r="T598" s="6" t="str">
        <f aca="false">IF(L598="","",J598&amp;"|"&amp;K598&amp;"|"&amp;L598)</f>
        <v>6|4|spotify:track:3kGfazcbVvVkuZunzlLgTD</v>
      </c>
      <c r="U598" s="6" t="str">
        <f aca="false">IF(C598="","",IFERROR(INDEX(Lists!$F:$F,MATCH(C598,Lists!$E:$E,0)),"Unmapped"))</f>
        <v>Electronic/Dance</v>
      </c>
    </row>
    <row r="599" customFormat="false" ht="15" hidden="false" customHeight="false" outlineLevel="0" collapsed="false">
      <c r="A599" s="5" t="s">
        <v>1827</v>
      </c>
      <c r="B599" s="5" t="s">
        <v>1385</v>
      </c>
      <c r="C599" s="5" t="s">
        <v>91</v>
      </c>
      <c r="D599" s="5" t="s">
        <v>637</v>
      </c>
      <c r="E599" s="5" t="s">
        <v>1817</v>
      </c>
      <c r="F599" s="5" t="n">
        <v>10</v>
      </c>
      <c r="G599" s="5" t="n">
        <v>9</v>
      </c>
      <c r="H599" s="6" t="str">
        <f aca="false">IF(N599="","",N599&amp;IF(AND(MOD(N599,100)&gt;=11,MOD(N599,100)&lt;=13),"th",CHOOSE(MIN(5,MOD(N599,10)+1),"th","st","nd","rd","th")))</f>
        <v>5th</v>
      </c>
      <c r="I599" s="5" t="s">
        <v>1691</v>
      </c>
      <c r="J599" s="6" t="n">
        <f aca="false">IFERROR(INDEX(Rounds!$A:$A,MATCH(I599,Rounds!$B:$B,0)),"ADD LEAGUE TO ROUNDS")</f>
        <v>6</v>
      </c>
      <c r="K599" s="6" t="n">
        <f aca="false">IFERROR(VALUE(LEFT(E599,FIND(" - ",E599)-1)),"")</f>
        <v>4</v>
      </c>
      <c r="L599" s="5" t="s">
        <v>1828</v>
      </c>
      <c r="N599" s="6" t="n">
        <f aca="false">IF(F599="","",1+COUNTIFS($J:$J,J599,$K:$K,K599,$F:$F,"&gt;"&amp;F599)+COUNTIFS($J:$J,J599,$K:$K,K599,$F:$F,F599,$G:$G,"&gt;"&amp;G599))</f>
        <v>5</v>
      </c>
      <c r="O599" s="6" t="n">
        <f aca="false">IF(L599="","",SUMIFS(Votes!$E:$E,Votes!$A:$A,J599,Votes!$B:$B,K599,Votes!$D:$D,L599))</f>
        <v>10</v>
      </c>
      <c r="P599" s="6" t="n">
        <f aca="false">IF(L599="","",COUNTIFS(Votes!$A:$A,J599,Votes!$B:$B,K599,Votes!$D:$D,L599))</f>
        <v>9</v>
      </c>
      <c r="Q599" s="7" t="str">
        <f aca="false">IF(F599="","Unscored",IF(O599="","No URI",IF(AND(F599=0,O599=0),"Zero-vote",IF(AND(F599=O599,G599=P599),"OK",IF(AND(F599=0,O599&gt;0,COUNTIFS(Votes!$A:$A,J599,Votes!$B:$B,K599,Votes!$C:$C,D599)=0),"Forfeited","Mismatch")))))</f>
        <v>OK</v>
      </c>
      <c r="R599" s="6" t="n">
        <f aca="false">MAX(IF(L599&lt;&gt;"",COUNTIF($L:$L,L599),0),COUNTIFS($A:$A,A599,$B:$B,B599))</f>
        <v>1</v>
      </c>
      <c r="S599" s="6" t="str">
        <f aca="false">IF(R599&gt;1,COUNTIF($R$2:R599,"&gt;1"),"")</f>
        <v/>
      </c>
      <c r="T599" s="6" t="str">
        <f aca="false">IF(L599="","",J599&amp;"|"&amp;K599&amp;"|"&amp;L599)</f>
        <v>6|4|spotify:track:2vz1CsL5WBsbpBcwgboTAw</v>
      </c>
      <c r="U599" s="6" t="str">
        <f aca="false">IF(C599="","",IFERROR(INDEX(Lists!$F:$F,MATCH(C599,Lists!$E:$E,0)),"Unmapped"))</f>
        <v>Rock</v>
      </c>
    </row>
    <row r="600" customFormat="false" ht="15" hidden="false" customHeight="false" outlineLevel="0" collapsed="false">
      <c r="A600" s="5" t="s">
        <v>1829</v>
      </c>
      <c r="B600" s="5" t="s">
        <v>1830</v>
      </c>
      <c r="C600" s="5" t="s">
        <v>363</v>
      </c>
      <c r="D600" s="5" t="s">
        <v>106</v>
      </c>
      <c r="E600" s="5" t="s">
        <v>1817</v>
      </c>
      <c r="F600" s="5" t="n">
        <v>10</v>
      </c>
      <c r="G600" s="5" t="n">
        <v>8</v>
      </c>
      <c r="H600" s="6" t="str">
        <f aca="false">IF(N600="","",N600&amp;IF(AND(MOD(N600,100)&gt;=11,MOD(N600,100)&lt;=13),"th",CHOOSE(MIN(5,MOD(N600,10)+1),"th","st","nd","rd","th")))</f>
        <v>6th</v>
      </c>
      <c r="I600" s="5" t="s">
        <v>1691</v>
      </c>
      <c r="J600" s="6" t="n">
        <f aca="false">IFERROR(INDEX(Rounds!$A:$A,MATCH(I600,Rounds!$B:$B,0)),"ADD LEAGUE TO ROUNDS")</f>
        <v>6</v>
      </c>
      <c r="K600" s="6" t="n">
        <f aca="false">IFERROR(VALUE(LEFT(E600,FIND(" - ",E600)-1)),"")</f>
        <v>4</v>
      </c>
      <c r="L600" s="5" t="s">
        <v>1831</v>
      </c>
      <c r="N600" s="6" t="n">
        <f aca="false">IF(F600="","",1+COUNTIFS($J:$J,J600,$K:$K,K600,$F:$F,"&gt;"&amp;F600)+COUNTIFS($J:$J,J600,$K:$K,K600,$F:$F,F600,$G:$G,"&gt;"&amp;G600))</f>
        <v>6</v>
      </c>
      <c r="O600" s="6" t="n">
        <f aca="false">IF(L600="","",SUMIFS(Votes!$E:$E,Votes!$A:$A,J600,Votes!$B:$B,K600,Votes!$D:$D,L600))</f>
        <v>10</v>
      </c>
      <c r="P600" s="6" t="n">
        <f aca="false">IF(L600="","",COUNTIFS(Votes!$A:$A,J600,Votes!$B:$B,K600,Votes!$D:$D,L600))</f>
        <v>8</v>
      </c>
      <c r="Q600" s="7" t="str">
        <f aca="false">IF(F600="","Unscored",IF(O600="","No URI",IF(AND(F600=0,O600=0),"Zero-vote",IF(AND(F600=O600,G600=P600),"OK",IF(AND(F600=0,O600&gt;0,COUNTIFS(Votes!$A:$A,J600,Votes!$B:$B,K600,Votes!$C:$C,D600)=0),"Forfeited","Mismatch")))))</f>
        <v>OK</v>
      </c>
      <c r="R600" s="6" t="n">
        <f aca="false">MAX(IF(L600&lt;&gt;"",COUNTIF($L:$L,L600),0),COUNTIFS($A:$A,A600,$B:$B,B600))</f>
        <v>1</v>
      </c>
      <c r="S600" s="6" t="str">
        <f aca="false">IF(R600&gt;1,COUNTIF($R$2:R600,"&gt;1"),"")</f>
        <v/>
      </c>
      <c r="T600" s="6" t="str">
        <f aca="false">IF(L600="","",J600&amp;"|"&amp;K600&amp;"|"&amp;L600)</f>
        <v>6|4|spotify:track:4Y7XAxTANhu3lmnLAzhWJW</v>
      </c>
      <c r="U600" s="6" t="str">
        <f aca="false">IF(C600="","",IFERROR(INDEX(Lists!$F:$F,MATCH(C600,Lists!$E:$E,0)),"Unmapped"))</f>
        <v>Latin</v>
      </c>
    </row>
    <row r="601" customFormat="false" ht="15" hidden="false" customHeight="false" outlineLevel="0" collapsed="false">
      <c r="A601" s="5" t="s">
        <v>1832</v>
      </c>
      <c r="B601" s="5" t="s">
        <v>1833</v>
      </c>
      <c r="C601" s="5" t="s">
        <v>84</v>
      </c>
      <c r="D601" s="5" t="s">
        <v>92</v>
      </c>
      <c r="E601" s="5" t="s">
        <v>1817</v>
      </c>
      <c r="F601" s="5" t="n">
        <v>10</v>
      </c>
      <c r="G601" s="5" t="n">
        <v>8</v>
      </c>
      <c r="H601" s="6" t="str">
        <f aca="false">IF(N601="","",N601&amp;IF(AND(MOD(N601,100)&gt;=11,MOD(N601,100)&lt;=13),"th",CHOOSE(MIN(5,MOD(N601,10)+1),"th","st","nd","rd","th")))</f>
        <v>6th</v>
      </c>
      <c r="I601" s="5" t="s">
        <v>1691</v>
      </c>
      <c r="J601" s="6" t="n">
        <f aca="false">IFERROR(INDEX(Rounds!$A:$A,MATCH(I601,Rounds!$B:$B,0)),"ADD LEAGUE TO ROUNDS")</f>
        <v>6</v>
      </c>
      <c r="K601" s="6" t="n">
        <f aca="false">IFERROR(VALUE(LEFT(E601,FIND(" - ",E601)-1)),"")</f>
        <v>4</v>
      </c>
      <c r="L601" s="5" t="s">
        <v>1834</v>
      </c>
      <c r="N601" s="6" t="n">
        <f aca="false">IF(F601="","",1+COUNTIFS($J:$J,J601,$K:$K,K601,$F:$F,"&gt;"&amp;F601)+COUNTIFS($J:$J,J601,$K:$K,K601,$F:$F,F601,$G:$G,"&gt;"&amp;G601))</f>
        <v>6</v>
      </c>
      <c r="O601" s="6" t="n">
        <f aca="false">IF(L601="","",SUMIFS(Votes!$E:$E,Votes!$A:$A,J601,Votes!$B:$B,K601,Votes!$D:$D,L601))</f>
        <v>10</v>
      </c>
      <c r="P601" s="6" t="n">
        <f aca="false">IF(L601="","",COUNTIFS(Votes!$A:$A,J601,Votes!$B:$B,K601,Votes!$D:$D,L601))</f>
        <v>8</v>
      </c>
      <c r="Q601" s="7" t="str">
        <f aca="false">IF(F601="","Unscored",IF(O601="","No URI",IF(AND(F601=0,O601=0),"Zero-vote",IF(AND(F601=O601,G601=P601),"OK",IF(AND(F601=0,O601&gt;0,COUNTIFS(Votes!$A:$A,J601,Votes!$B:$B,K601,Votes!$C:$C,D601)=0),"Forfeited","Mismatch")))))</f>
        <v>OK</v>
      </c>
      <c r="R601" s="6" t="n">
        <f aca="false">MAX(IF(L601&lt;&gt;"",COUNTIF($L:$L,L601),0),COUNTIFS($A:$A,A601,$B:$B,B601))</f>
        <v>1</v>
      </c>
      <c r="S601" s="6" t="str">
        <f aca="false">IF(R601&gt;1,COUNTIF($R$2:R601,"&gt;1"),"")</f>
        <v/>
      </c>
      <c r="T601" s="6" t="str">
        <f aca="false">IF(L601="","",J601&amp;"|"&amp;K601&amp;"|"&amp;L601)</f>
        <v>6|4|spotify:track:5YqEzk3C5c3UZ1D5fJUlXA</v>
      </c>
      <c r="U601" s="6" t="str">
        <f aca="false">IF(C601="","",IFERROR(INDEX(Lists!$F:$F,MATCH(C601,Lists!$E:$E,0)),"Unmapped"))</f>
        <v>Pop</v>
      </c>
    </row>
    <row r="602" customFormat="false" ht="15" hidden="false" customHeight="false" outlineLevel="0" collapsed="false">
      <c r="A602" s="5" t="s">
        <v>373</v>
      </c>
      <c r="B602" s="5" t="s">
        <v>374</v>
      </c>
      <c r="C602" s="5" t="s">
        <v>363</v>
      </c>
      <c r="D602" s="5" t="s">
        <v>101</v>
      </c>
      <c r="E602" s="5" t="s">
        <v>1817</v>
      </c>
      <c r="F602" s="5" t="n">
        <v>9</v>
      </c>
      <c r="G602" s="5" t="n">
        <v>7</v>
      </c>
      <c r="H602" s="6" t="str">
        <f aca="false">IF(N602="","",N602&amp;IF(AND(MOD(N602,100)&gt;=11,MOD(N602,100)&lt;=13),"th",CHOOSE(MIN(5,MOD(N602,10)+1),"th","st","nd","rd","th")))</f>
        <v>8th</v>
      </c>
      <c r="I602" s="5" t="s">
        <v>1691</v>
      </c>
      <c r="J602" s="6" t="n">
        <f aca="false">IFERROR(INDEX(Rounds!$A:$A,MATCH(I602,Rounds!$B:$B,0)),"ADD LEAGUE TO ROUNDS")</f>
        <v>6</v>
      </c>
      <c r="K602" s="6" t="n">
        <f aca="false">IFERROR(VALUE(LEFT(E602,FIND(" - ",E602)-1)),"")</f>
        <v>4</v>
      </c>
      <c r="L602" s="5" t="s">
        <v>376</v>
      </c>
      <c r="N602" s="6" t="n">
        <f aca="false">IF(F602="","",1+COUNTIFS($J:$J,J602,$K:$K,K602,$F:$F,"&gt;"&amp;F602)+COUNTIFS($J:$J,J602,$K:$K,K602,$F:$F,F602,$G:$G,"&gt;"&amp;G602))</f>
        <v>8</v>
      </c>
      <c r="O602" s="6" t="n">
        <f aca="false">IF(L602="","",SUMIFS(Votes!$E:$E,Votes!$A:$A,J602,Votes!$B:$B,K602,Votes!$D:$D,L602))</f>
        <v>9</v>
      </c>
      <c r="P602" s="6" t="n">
        <f aca="false">IF(L602="","",COUNTIFS(Votes!$A:$A,J602,Votes!$B:$B,K602,Votes!$D:$D,L602))</f>
        <v>7</v>
      </c>
      <c r="Q602" s="7" t="str">
        <f aca="false">IF(F602="","Unscored",IF(O602="","No URI",IF(AND(F602=0,O602=0),"Zero-vote",IF(AND(F602=O602,G602=P602),"OK",IF(AND(F602=0,O602&gt;0,COUNTIFS(Votes!$A:$A,J602,Votes!$B:$B,K602,Votes!$C:$C,D602)=0),"Forfeited","Mismatch")))))</f>
        <v>OK</v>
      </c>
      <c r="R602" s="6" t="n">
        <f aca="false">MAX(IF(L602&lt;&gt;"",COUNTIF($L:$L,L602),0),COUNTIFS($A:$A,A602,$B:$B,B602))</f>
        <v>2</v>
      </c>
      <c r="S602" s="6" t="n">
        <f aca="false">IF(R602&gt;1,COUNTIF($R$2:R602,"&gt;1"),"")</f>
        <v>36</v>
      </c>
      <c r="T602" s="6" t="str">
        <f aca="false">IF(L602="","",J602&amp;"|"&amp;K602&amp;"|"&amp;L602)</f>
        <v>6|4|spotify:track:20zQZVyUNPbq8kZACdgYrh</v>
      </c>
      <c r="U602" s="6" t="str">
        <f aca="false">IF(C602="","",IFERROR(INDEX(Lists!$F:$F,MATCH(C602,Lists!$E:$E,0)),"Unmapped"))</f>
        <v>Latin</v>
      </c>
    </row>
    <row r="603" customFormat="false" ht="15" hidden="false" customHeight="false" outlineLevel="0" collapsed="false">
      <c r="A603" s="5" t="s">
        <v>1835</v>
      </c>
      <c r="B603" s="5" t="s">
        <v>1836</v>
      </c>
      <c r="C603" s="5" t="s">
        <v>96</v>
      </c>
      <c r="D603" s="5" t="s">
        <v>97</v>
      </c>
      <c r="E603" s="5" t="s">
        <v>1817</v>
      </c>
      <c r="F603" s="5" t="n">
        <v>9</v>
      </c>
      <c r="G603" s="5" t="n">
        <v>6</v>
      </c>
      <c r="H603" s="6" t="str">
        <f aca="false">IF(N603="","",N603&amp;IF(AND(MOD(N603,100)&gt;=11,MOD(N603,100)&lt;=13),"th",CHOOSE(MIN(5,MOD(N603,10)+1),"th","st","nd","rd","th")))</f>
        <v>9th</v>
      </c>
      <c r="I603" s="5" t="s">
        <v>1691</v>
      </c>
      <c r="J603" s="6" t="n">
        <f aca="false">IFERROR(INDEX(Rounds!$A:$A,MATCH(I603,Rounds!$B:$B,0)),"ADD LEAGUE TO ROUNDS")</f>
        <v>6</v>
      </c>
      <c r="K603" s="6" t="n">
        <f aca="false">IFERROR(VALUE(LEFT(E603,FIND(" - ",E603)-1)),"")</f>
        <v>4</v>
      </c>
      <c r="L603" s="5" t="s">
        <v>1837</v>
      </c>
      <c r="N603" s="6" t="n">
        <f aca="false">IF(F603="","",1+COUNTIFS($J:$J,J603,$K:$K,K603,$F:$F,"&gt;"&amp;F603)+COUNTIFS($J:$J,J603,$K:$K,K603,$F:$F,F603,$G:$G,"&gt;"&amp;G603))</f>
        <v>9</v>
      </c>
      <c r="O603" s="6" t="n">
        <f aca="false">IF(L603="","",SUMIFS(Votes!$E:$E,Votes!$A:$A,J603,Votes!$B:$B,K603,Votes!$D:$D,L603))</f>
        <v>9</v>
      </c>
      <c r="P603" s="6" t="n">
        <f aca="false">IF(L603="","",COUNTIFS(Votes!$A:$A,J603,Votes!$B:$B,K603,Votes!$D:$D,L603))</f>
        <v>6</v>
      </c>
      <c r="Q603" s="7" t="str">
        <f aca="false">IF(F603="","Unscored",IF(O603="","No URI",IF(AND(F603=0,O603=0),"Zero-vote",IF(AND(F603=O603,G603=P603),"OK",IF(AND(F603=0,O603&gt;0,COUNTIFS(Votes!$A:$A,J603,Votes!$B:$B,K603,Votes!$C:$C,D603)=0),"Forfeited","Mismatch")))))</f>
        <v>OK</v>
      </c>
      <c r="R603" s="6" t="n">
        <f aca="false">MAX(IF(L603&lt;&gt;"",COUNTIF($L:$L,L603),0),COUNTIFS($A:$A,A603,$B:$B,B603))</f>
        <v>1</v>
      </c>
      <c r="S603" s="6" t="str">
        <f aca="false">IF(R603&gt;1,COUNTIF($R$2:R603,"&gt;1"),"")</f>
        <v/>
      </c>
      <c r="T603" s="6" t="str">
        <f aca="false">IF(L603="","",J603&amp;"|"&amp;K603&amp;"|"&amp;L603)</f>
        <v>6|4|spotify:track:6f68Ac5tt5BQOpwr0BV9oN</v>
      </c>
      <c r="U603" s="6" t="str">
        <f aca="false">IF(C603="","",IFERROR(INDEX(Lists!$F:$F,MATCH(C603,Lists!$E:$E,0)),"Unmapped"))</f>
        <v>R&amp;B/Soul</v>
      </c>
    </row>
    <row r="604" customFormat="false" ht="15" hidden="false" customHeight="false" outlineLevel="0" collapsed="false">
      <c r="A604" s="5" t="s">
        <v>1838</v>
      </c>
      <c r="B604" s="5" t="s">
        <v>1839</v>
      </c>
      <c r="C604" s="5" t="s">
        <v>110</v>
      </c>
      <c r="D604" s="5" t="s">
        <v>119</v>
      </c>
      <c r="E604" s="5" t="s">
        <v>1817</v>
      </c>
      <c r="F604" s="5" t="n">
        <v>9</v>
      </c>
      <c r="G604" s="5" t="n">
        <v>5</v>
      </c>
      <c r="H604" s="6" t="str">
        <f aca="false">IF(N604="","",N604&amp;IF(AND(MOD(N604,100)&gt;=11,MOD(N604,100)&lt;=13),"th",CHOOSE(MIN(5,MOD(N604,10)+1),"th","st","nd","rd","th")))</f>
        <v>10th</v>
      </c>
      <c r="I604" s="5" t="s">
        <v>1691</v>
      </c>
      <c r="J604" s="6" t="n">
        <f aca="false">IFERROR(INDEX(Rounds!$A:$A,MATCH(I604,Rounds!$B:$B,0)),"ADD LEAGUE TO ROUNDS")</f>
        <v>6</v>
      </c>
      <c r="K604" s="6" t="n">
        <f aca="false">IFERROR(VALUE(LEFT(E604,FIND(" - ",E604)-1)),"")</f>
        <v>4</v>
      </c>
      <c r="L604" s="5" t="s">
        <v>1840</v>
      </c>
      <c r="N604" s="6" t="n">
        <f aca="false">IF(F604="","",1+COUNTIFS($J:$J,J604,$K:$K,K604,$F:$F,"&gt;"&amp;F604)+COUNTIFS($J:$J,J604,$K:$K,K604,$F:$F,F604,$G:$G,"&gt;"&amp;G604))</f>
        <v>10</v>
      </c>
      <c r="O604" s="6" t="n">
        <f aca="false">IF(L604="","",SUMIFS(Votes!$E:$E,Votes!$A:$A,J604,Votes!$B:$B,K604,Votes!$D:$D,L604))</f>
        <v>9</v>
      </c>
      <c r="P604" s="6" t="n">
        <f aca="false">IF(L604="","",COUNTIFS(Votes!$A:$A,J604,Votes!$B:$B,K604,Votes!$D:$D,L604))</f>
        <v>5</v>
      </c>
      <c r="Q604" s="7" t="str">
        <f aca="false">IF(F604="","Unscored",IF(O604="","No URI",IF(AND(F604=0,O604=0),"Zero-vote",IF(AND(F604=O604,G604=P604),"OK",IF(AND(F604=0,O604&gt;0,COUNTIFS(Votes!$A:$A,J604,Votes!$B:$B,K604,Votes!$C:$C,D604)=0),"Forfeited","Mismatch")))))</f>
        <v>OK</v>
      </c>
      <c r="R604" s="6" t="n">
        <f aca="false">MAX(IF(L604&lt;&gt;"",COUNTIF($L:$L,L604),0),COUNTIFS($A:$A,A604,$B:$B,B604))</f>
        <v>1</v>
      </c>
      <c r="S604" s="6" t="str">
        <f aca="false">IF(R604&gt;1,COUNTIF($R$2:R604,"&gt;1"),"")</f>
        <v/>
      </c>
      <c r="T604" s="6" t="str">
        <f aca="false">IF(L604="","",J604&amp;"|"&amp;K604&amp;"|"&amp;L604)</f>
        <v>6|4|spotify:track:6JLcz9UGiVxAmEZXlCucn5</v>
      </c>
      <c r="U604" s="6" t="str">
        <f aca="false">IF(C604="","",IFERROR(INDEX(Lists!$F:$F,MATCH(C604,Lists!$E:$E,0)),"Unmapped"))</f>
        <v>Hip-Hop/Rap</v>
      </c>
    </row>
    <row r="605" customFormat="false" ht="15" hidden="false" customHeight="false" outlineLevel="0" collapsed="false">
      <c r="A605" s="5" t="s">
        <v>1841</v>
      </c>
      <c r="B605" s="5" t="s">
        <v>1842</v>
      </c>
      <c r="C605" s="5" t="s">
        <v>84</v>
      </c>
      <c r="D605" s="5" t="s">
        <v>1843</v>
      </c>
      <c r="E605" s="5" t="s">
        <v>1817</v>
      </c>
      <c r="F605" s="5" t="n">
        <v>8</v>
      </c>
      <c r="G605" s="5" t="n">
        <v>6</v>
      </c>
      <c r="H605" s="6" t="str">
        <f aca="false">IF(N605="","",N605&amp;IF(AND(MOD(N605,100)&gt;=11,MOD(N605,100)&lt;=13),"th",CHOOSE(MIN(5,MOD(N605,10)+1),"th","st","nd","rd","th")))</f>
        <v>11th</v>
      </c>
      <c r="I605" s="5" t="s">
        <v>1691</v>
      </c>
      <c r="J605" s="6" t="n">
        <f aca="false">IFERROR(INDEX(Rounds!$A:$A,MATCH(I605,Rounds!$B:$B,0)),"ADD LEAGUE TO ROUNDS")</f>
        <v>6</v>
      </c>
      <c r="K605" s="6" t="n">
        <f aca="false">IFERROR(VALUE(LEFT(E605,FIND(" - ",E605)-1)),"")</f>
        <v>4</v>
      </c>
      <c r="L605" s="5" t="s">
        <v>1844</v>
      </c>
      <c r="N605" s="6" t="n">
        <f aca="false">IF(F605="","",1+COUNTIFS($J:$J,J605,$K:$K,K605,$F:$F,"&gt;"&amp;F605)+COUNTIFS($J:$J,J605,$K:$K,K605,$F:$F,F605,$G:$G,"&gt;"&amp;G605))</f>
        <v>11</v>
      </c>
      <c r="O605" s="6" t="n">
        <f aca="false">IF(L605="","",SUMIFS(Votes!$E:$E,Votes!$A:$A,J605,Votes!$B:$B,K605,Votes!$D:$D,L605))</f>
        <v>8</v>
      </c>
      <c r="P605" s="6" t="n">
        <f aca="false">IF(L605="","",COUNTIFS(Votes!$A:$A,J605,Votes!$B:$B,K605,Votes!$D:$D,L605))</f>
        <v>6</v>
      </c>
      <c r="Q605" s="7" t="str">
        <f aca="false">IF(F605="","Unscored",IF(O605="","No URI",IF(AND(F605=0,O605=0),"Zero-vote",IF(AND(F605=O605,G605=P605),"OK",IF(AND(F605=0,O605&gt;0,COUNTIFS(Votes!$A:$A,J605,Votes!$B:$B,K605,Votes!$C:$C,D605)=0),"Forfeited","Mismatch")))))</f>
        <v>OK</v>
      </c>
      <c r="R605" s="6" t="n">
        <f aca="false">MAX(IF(L605&lt;&gt;"",COUNTIF($L:$L,L605),0),COUNTIFS($A:$A,A605,$B:$B,B605))</f>
        <v>1</v>
      </c>
      <c r="S605" s="6" t="str">
        <f aca="false">IF(R605&gt;1,COUNTIF($R$2:R605,"&gt;1"),"")</f>
        <v/>
      </c>
      <c r="T605" s="6" t="str">
        <f aca="false">IF(L605="","",J605&amp;"|"&amp;K605&amp;"|"&amp;L605)</f>
        <v>6|4|spotify:track:190jyVPHYjAqEaOGmMzdyk</v>
      </c>
      <c r="U605" s="6" t="str">
        <f aca="false">IF(C605="","",IFERROR(INDEX(Lists!$F:$F,MATCH(C605,Lists!$E:$E,0)),"Unmapped"))</f>
        <v>Pop</v>
      </c>
    </row>
    <row r="606" customFormat="false" ht="15" hidden="false" customHeight="false" outlineLevel="0" collapsed="false">
      <c r="A606" s="5" t="s">
        <v>1845</v>
      </c>
      <c r="B606" s="5" t="s">
        <v>1846</v>
      </c>
      <c r="C606" s="5" t="s">
        <v>84</v>
      </c>
      <c r="D606" s="5" t="s">
        <v>128</v>
      </c>
      <c r="E606" s="5" t="s">
        <v>1817</v>
      </c>
      <c r="F606" s="5" t="n">
        <v>5</v>
      </c>
      <c r="G606" s="5" t="n">
        <v>5</v>
      </c>
      <c r="H606" s="6" t="str">
        <f aca="false">IF(N606="","",N606&amp;IF(AND(MOD(N606,100)&gt;=11,MOD(N606,100)&lt;=13),"th",CHOOSE(MIN(5,MOD(N606,10)+1),"th","st","nd","rd","th")))</f>
        <v>12th</v>
      </c>
      <c r="I606" s="5" t="s">
        <v>1691</v>
      </c>
      <c r="J606" s="6" t="n">
        <f aca="false">IFERROR(INDEX(Rounds!$A:$A,MATCH(I606,Rounds!$B:$B,0)),"ADD LEAGUE TO ROUNDS")</f>
        <v>6</v>
      </c>
      <c r="K606" s="6" t="n">
        <f aca="false">IFERROR(VALUE(LEFT(E606,FIND(" - ",E606)-1)),"")</f>
        <v>4</v>
      </c>
      <c r="L606" s="5" t="s">
        <v>1847</v>
      </c>
      <c r="N606" s="6" t="n">
        <f aca="false">IF(F606="","",1+COUNTIFS($J:$J,J606,$K:$K,K606,$F:$F,"&gt;"&amp;F606)+COUNTIFS($J:$J,J606,$K:$K,K606,$F:$F,F606,$G:$G,"&gt;"&amp;G606))</f>
        <v>12</v>
      </c>
      <c r="O606" s="6" t="n">
        <f aca="false">IF(L606="","",SUMIFS(Votes!$E:$E,Votes!$A:$A,J606,Votes!$B:$B,K606,Votes!$D:$D,L606))</f>
        <v>5</v>
      </c>
      <c r="P606" s="6" t="n">
        <f aca="false">IF(L606="","",COUNTIFS(Votes!$A:$A,J606,Votes!$B:$B,K606,Votes!$D:$D,L606))</f>
        <v>5</v>
      </c>
      <c r="Q606" s="7" t="str">
        <f aca="false">IF(F606="","Unscored",IF(O606="","No URI",IF(AND(F606=0,O606=0),"Zero-vote",IF(AND(F606=O606,G606=P606),"OK",IF(AND(F606=0,O606&gt;0,COUNTIFS(Votes!$A:$A,J606,Votes!$B:$B,K606,Votes!$C:$C,D606)=0),"Forfeited","Mismatch")))))</f>
        <v>OK</v>
      </c>
      <c r="R606" s="6" t="n">
        <f aca="false">MAX(IF(L606&lt;&gt;"",COUNTIF($L:$L,L606),0),COUNTIFS($A:$A,A606,$B:$B,B606))</f>
        <v>1</v>
      </c>
      <c r="S606" s="6" t="str">
        <f aca="false">IF(R606&gt;1,COUNTIF($R$2:R606,"&gt;1"),"")</f>
        <v/>
      </c>
      <c r="T606" s="6" t="str">
        <f aca="false">IF(L606="","",J606&amp;"|"&amp;K606&amp;"|"&amp;L606)</f>
        <v>6|4|spotify:track:5PeaqO7m6S1TC3hwbmk9j5</v>
      </c>
      <c r="U606" s="6" t="str">
        <f aca="false">IF(C606="","",IFERROR(INDEX(Lists!$F:$F,MATCH(C606,Lists!$E:$E,0)),"Unmapped"))</f>
        <v>Pop</v>
      </c>
    </row>
    <row r="607" customFormat="false" ht="15" hidden="false" customHeight="false" outlineLevel="0" collapsed="false">
      <c r="A607" s="5" t="s">
        <v>1848</v>
      </c>
      <c r="B607" s="5" t="s">
        <v>1849</v>
      </c>
      <c r="C607" s="5" t="s">
        <v>293</v>
      </c>
      <c r="D607" s="5" t="s">
        <v>719</v>
      </c>
      <c r="E607" s="5" t="s">
        <v>1817</v>
      </c>
      <c r="F607" s="5" t="n">
        <v>5</v>
      </c>
      <c r="G607" s="5" t="n">
        <v>4</v>
      </c>
      <c r="H607" s="6" t="str">
        <f aca="false">IF(N607="","",N607&amp;IF(AND(MOD(N607,100)&gt;=11,MOD(N607,100)&lt;=13),"th",CHOOSE(MIN(5,MOD(N607,10)+1),"th","st","nd","rd","th")))</f>
        <v>13th</v>
      </c>
      <c r="I607" s="5" t="s">
        <v>1691</v>
      </c>
      <c r="J607" s="6" t="n">
        <f aca="false">IFERROR(INDEX(Rounds!$A:$A,MATCH(I607,Rounds!$B:$B,0)),"ADD LEAGUE TO ROUNDS")</f>
        <v>6</v>
      </c>
      <c r="K607" s="6" t="n">
        <f aca="false">IFERROR(VALUE(LEFT(E607,FIND(" - ",E607)-1)),"")</f>
        <v>4</v>
      </c>
      <c r="L607" s="5" t="s">
        <v>1850</v>
      </c>
      <c r="N607" s="6" t="n">
        <f aca="false">IF(F607="","",1+COUNTIFS($J:$J,J607,$K:$K,K607,$F:$F,"&gt;"&amp;F607)+COUNTIFS($J:$J,J607,$K:$K,K607,$F:$F,F607,$G:$G,"&gt;"&amp;G607))</f>
        <v>13</v>
      </c>
      <c r="O607" s="6" t="n">
        <f aca="false">IF(L607="","",SUMIFS(Votes!$E:$E,Votes!$A:$A,J607,Votes!$B:$B,K607,Votes!$D:$D,L607))</f>
        <v>5</v>
      </c>
      <c r="P607" s="6" t="n">
        <f aca="false">IF(L607="","",COUNTIFS(Votes!$A:$A,J607,Votes!$B:$B,K607,Votes!$D:$D,L607))</f>
        <v>4</v>
      </c>
      <c r="Q607" s="7" t="str">
        <f aca="false">IF(F607="","Unscored",IF(O607="","No URI",IF(AND(F607=0,O607=0),"Zero-vote",IF(AND(F607=O607,G607=P607),"OK",IF(AND(F607=0,O607&gt;0,COUNTIFS(Votes!$A:$A,J607,Votes!$B:$B,K607,Votes!$C:$C,D607)=0),"Forfeited","Mismatch")))))</f>
        <v>OK</v>
      </c>
      <c r="R607" s="6" t="n">
        <f aca="false">MAX(IF(L607&lt;&gt;"",COUNTIF($L:$L,L607),0),COUNTIFS($A:$A,A607,$B:$B,B607))</f>
        <v>1</v>
      </c>
      <c r="S607" s="6" t="str">
        <f aca="false">IF(R607&gt;1,COUNTIF($R$2:R607,"&gt;1"),"")</f>
        <v/>
      </c>
      <c r="T607" s="6" t="str">
        <f aca="false">IF(L607="","",J607&amp;"|"&amp;K607&amp;"|"&amp;L607)</f>
        <v>6|4|spotify:track:2rZMR4TBSUIpFCCnKsl7uO</v>
      </c>
      <c r="U607" s="6" t="str">
        <f aca="false">IF(C607="","",IFERROR(INDEX(Lists!$F:$F,MATCH(C607,Lists!$E:$E,0)),"Unmapped"))</f>
        <v>Electronic/Dance</v>
      </c>
    </row>
    <row r="608" customFormat="false" ht="15" hidden="false" customHeight="false" outlineLevel="0" collapsed="false">
      <c r="A608" s="5" t="s">
        <v>1430</v>
      </c>
      <c r="B608" s="5" t="s">
        <v>1431</v>
      </c>
      <c r="C608" s="5" t="s">
        <v>96</v>
      </c>
      <c r="D608" s="5" t="s">
        <v>705</v>
      </c>
      <c r="E608" s="5" t="s">
        <v>1817</v>
      </c>
      <c r="F608" s="5" t="n">
        <v>4</v>
      </c>
      <c r="G608" s="5" t="n">
        <v>3</v>
      </c>
      <c r="H608" s="6" t="str">
        <f aca="false">IF(N608="","",N608&amp;IF(AND(MOD(N608,100)&gt;=11,MOD(N608,100)&lt;=13),"th",CHOOSE(MIN(5,MOD(N608,10)+1),"th","st","nd","rd","th")))</f>
        <v>14th</v>
      </c>
      <c r="I608" s="5" t="s">
        <v>1691</v>
      </c>
      <c r="J608" s="6" t="n">
        <f aca="false">IFERROR(INDEX(Rounds!$A:$A,MATCH(I608,Rounds!$B:$B,0)),"ADD LEAGUE TO ROUNDS")</f>
        <v>6</v>
      </c>
      <c r="K608" s="6" t="n">
        <f aca="false">IFERROR(VALUE(LEFT(E608,FIND(" - ",E608)-1)),"")</f>
        <v>4</v>
      </c>
      <c r="L608" s="5" t="s">
        <v>1432</v>
      </c>
      <c r="N608" s="6" t="n">
        <f aca="false">IF(F608="","",1+COUNTIFS($J:$J,J608,$K:$K,K608,$F:$F,"&gt;"&amp;F608)+COUNTIFS($J:$J,J608,$K:$K,K608,$F:$F,F608,$G:$G,"&gt;"&amp;G608))</f>
        <v>14</v>
      </c>
      <c r="O608" s="6" t="n">
        <f aca="false">IF(L608="","",SUMIFS(Votes!$E:$E,Votes!$A:$A,J608,Votes!$B:$B,K608,Votes!$D:$D,L608))</f>
        <v>4</v>
      </c>
      <c r="P608" s="6" t="n">
        <f aca="false">IF(L608="","",COUNTIFS(Votes!$A:$A,J608,Votes!$B:$B,K608,Votes!$D:$D,L608))</f>
        <v>3</v>
      </c>
      <c r="Q608" s="7" t="str">
        <f aca="false">IF(F608="","Unscored",IF(O608="","No URI",IF(AND(F608=0,O608=0),"Zero-vote",IF(AND(F608=O608,G608=P608),"OK",IF(AND(F608=0,O608&gt;0,COUNTIFS(Votes!$A:$A,J608,Votes!$B:$B,K608,Votes!$C:$C,D608)=0),"Forfeited","Mismatch")))))</f>
        <v>OK</v>
      </c>
      <c r="R608" s="6" t="n">
        <f aca="false">MAX(IF(L608&lt;&gt;"",COUNTIF($L:$L,L608),0),COUNTIFS($A:$A,A608,$B:$B,B608))</f>
        <v>2</v>
      </c>
      <c r="S608" s="6" t="n">
        <f aca="false">IF(R608&gt;1,COUNTIF($R$2:R608,"&gt;1"),"")</f>
        <v>37</v>
      </c>
      <c r="T608" s="6" t="str">
        <f aca="false">IF(L608="","",J608&amp;"|"&amp;K608&amp;"|"&amp;L608)</f>
        <v>6|4|spotify:track:2I1W3hcSsPIsEJfD69pHrW</v>
      </c>
      <c r="U608" s="6" t="str">
        <f aca="false">IF(C608="","",IFERROR(INDEX(Lists!$F:$F,MATCH(C608,Lists!$E:$E,0)),"Unmapped"))</f>
        <v>R&amp;B/Soul</v>
      </c>
    </row>
    <row r="609" customFormat="false" ht="15" hidden="false" customHeight="false" outlineLevel="0" collapsed="false">
      <c r="A609" s="5" t="s">
        <v>1851</v>
      </c>
      <c r="B609" s="5" t="s">
        <v>1852</v>
      </c>
      <c r="C609" s="5" t="s">
        <v>293</v>
      </c>
      <c r="D609" s="5" t="s">
        <v>484</v>
      </c>
      <c r="E609" s="5" t="s">
        <v>1817</v>
      </c>
      <c r="F609" s="5" t="n">
        <v>2</v>
      </c>
      <c r="G609" s="5" t="n">
        <v>1</v>
      </c>
      <c r="H609" s="6" t="str">
        <f aca="false">IF(N609="","",N609&amp;IF(AND(MOD(N609,100)&gt;=11,MOD(N609,100)&lt;=13),"th",CHOOSE(MIN(5,MOD(N609,10)+1),"th","st","nd","rd","th")))</f>
        <v>15th</v>
      </c>
      <c r="I609" s="5" t="s">
        <v>1691</v>
      </c>
      <c r="J609" s="6" t="n">
        <f aca="false">IFERROR(INDEX(Rounds!$A:$A,MATCH(I609,Rounds!$B:$B,0)),"ADD LEAGUE TO ROUNDS")</f>
        <v>6</v>
      </c>
      <c r="K609" s="6" t="n">
        <f aca="false">IFERROR(VALUE(LEFT(E609,FIND(" - ",E609)-1)),"")</f>
        <v>4</v>
      </c>
      <c r="L609" s="5" t="s">
        <v>1853</v>
      </c>
      <c r="N609" s="6" t="n">
        <f aca="false">IF(F609="","",1+COUNTIFS($J:$J,J609,$K:$K,K609,$F:$F,"&gt;"&amp;F609)+COUNTIFS($J:$J,J609,$K:$K,K609,$F:$F,F609,$G:$G,"&gt;"&amp;G609))</f>
        <v>15</v>
      </c>
      <c r="O609" s="6" t="n">
        <f aca="false">IF(L609="","",SUMIFS(Votes!$E:$E,Votes!$A:$A,J609,Votes!$B:$B,K609,Votes!$D:$D,L609))</f>
        <v>2</v>
      </c>
      <c r="P609" s="6" t="n">
        <f aca="false">IF(L609="","",COUNTIFS(Votes!$A:$A,J609,Votes!$B:$B,K609,Votes!$D:$D,L609))</f>
        <v>1</v>
      </c>
      <c r="Q609" s="7" t="str">
        <f aca="false">IF(F609="","Unscored",IF(O609="","No URI",IF(AND(F609=0,O609=0),"Zero-vote",IF(AND(F609=O609,G609=P609),"OK",IF(AND(F609=0,O609&gt;0,COUNTIFS(Votes!$A:$A,J609,Votes!$B:$B,K609,Votes!$C:$C,D609)=0),"Forfeited","Mismatch")))))</f>
        <v>OK</v>
      </c>
      <c r="R609" s="6" t="n">
        <f aca="false">MAX(IF(L609&lt;&gt;"",COUNTIF($L:$L,L609),0),COUNTIFS($A:$A,A609,$B:$B,B609))</f>
        <v>1</v>
      </c>
      <c r="S609" s="6" t="str">
        <f aca="false">IF(R609&gt;1,COUNTIF($R$2:R609,"&gt;1"),"")</f>
        <v/>
      </c>
      <c r="T609" s="6" t="str">
        <f aca="false">IF(L609="","",J609&amp;"|"&amp;K609&amp;"|"&amp;L609)</f>
        <v>6|4|spotify:track:0PIQF15Jp7HwouZPLqPj8b</v>
      </c>
      <c r="U609" s="6" t="str">
        <f aca="false">IF(C609="","",IFERROR(INDEX(Lists!$F:$F,MATCH(C609,Lists!$E:$E,0)),"Unmapped"))</f>
        <v>Electronic/Dance</v>
      </c>
    </row>
    <row r="610" customFormat="false" ht="15" hidden="false" customHeight="false" outlineLevel="0" collapsed="false">
      <c r="A610" s="5" t="s">
        <v>1854</v>
      </c>
      <c r="B610" s="5" t="s">
        <v>189</v>
      </c>
      <c r="C610" s="5" t="s">
        <v>96</v>
      </c>
      <c r="D610" s="5" t="s">
        <v>375</v>
      </c>
      <c r="E610" s="5" t="s">
        <v>1817</v>
      </c>
      <c r="F610" s="5" t="n">
        <v>0</v>
      </c>
      <c r="G610" s="5" t="n">
        <v>7</v>
      </c>
      <c r="H610" s="6" t="str">
        <f aca="false">IF(N610="","",N610&amp;IF(AND(MOD(N610,100)&gt;=11,MOD(N610,100)&lt;=13),"th",CHOOSE(MIN(5,MOD(N610,10)+1),"th","st","nd","rd","th")))</f>
        <v>16th</v>
      </c>
      <c r="I610" s="5" t="s">
        <v>1691</v>
      </c>
      <c r="J610" s="6" t="n">
        <f aca="false">IFERROR(INDEX(Rounds!$A:$A,MATCH(I610,Rounds!$B:$B,0)),"ADD LEAGUE TO ROUNDS")</f>
        <v>6</v>
      </c>
      <c r="K610" s="6" t="n">
        <f aca="false">IFERROR(VALUE(LEFT(E610,FIND(" - ",E610)-1)),"")</f>
        <v>4</v>
      </c>
      <c r="L610" s="5" t="s">
        <v>1855</v>
      </c>
      <c r="N610" s="6" t="n">
        <f aca="false">IF(F610="","",1+COUNTIFS($J:$J,J610,$K:$K,K610,$F:$F,"&gt;"&amp;F610)+COUNTIFS($J:$J,J610,$K:$K,K610,$F:$F,F610,$G:$G,"&gt;"&amp;G610))</f>
        <v>16</v>
      </c>
      <c r="O610" s="6" t="n">
        <f aca="false">IF(L610="","",SUMIFS(Votes!$E:$E,Votes!$A:$A,J610,Votes!$B:$B,K610,Votes!$D:$D,L610))</f>
        <v>11</v>
      </c>
      <c r="P610" s="6" t="n">
        <f aca="false">IF(L610="","",COUNTIFS(Votes!$A:$A,J610,Votes!$B:$B,K610,Votes!$D:$D,L610))</f>
        <v>7</v>
      </c>
      <c r="Q610" s="7" t="str">
        <f aca="false">IF(F610="","Unscored",IF(O610="","No URI",IF(AND(F610=0,O610=0),"Zero-vote",IF(AND(F610=O610,G610=P610),"OK",IF(AND(F610=0,O610&gt;0,COUNTIFS(Votes!$A:$A,J610,Votes!$B:$B,K610,Votes!$C:$C,D610)=0),"Forfeited","Mismatch")))))</f>
        <v>Forfeited</v>
      </c>
      <c r="R610" s="6" t="n">
        <f aca="false">MAX(IF(L610&lt;&gt;"",COUNTIF($L:$L,L610),0),COUNTIFS($A:$A,A610,$B:$B,B610))</f>
        <v>1</v>
      </c>
      <c r="S610" s="6" t="str">
        <f aca="false">IF(R610&gt;1,COUNTIF($R$2:R610,"&gt;1"),"")</f>
        <v/>
      </c>
      <c r="T610" s="6" t="str">
        <f aca="false">IF(L610="","",J610&amp;"|"&amp;K610&amp;"|"&amp;L610)</f>
        <v>6|4|spotify:track:2tUBqZG2AbRi7Q0BIrVrEj</v>
      </c>
      <c r="U610" s="6" t="str">
        <f aca="false">IF(C610="","",IFERROR(INDEX(Lists!$F:$F,MATCH(C610,Lists!$E:$E,0)),"Unmapped"))</f>
        <v>R&amp;B/Soul</v>
      </c>
    </row>
    <row r="611" customFormat="false" ht="15" hidden="false" customHeight="false" outlineLevel="0" collapsed="false">
      <c r="A611" s="5" t="s">
        <v>1856</v>
      </c>
      <c r="B611" s="5" t="s">
        <v>1857</v>
      </c>
      <c r="C611" s="5" t="s">
        <v>96</v>
      </c>
      <c r="D611" s="5" t="s">
        <v>85</v>
      </c>
      <c r="E611" s="5" t="s">
        <v>1858</v>
      </c>
      <c r="F611" s="5" t="n">
        <v>21</v>
      </c>
      <c r="G611" s="5" t="n">
        <v>13</v>
      </c>
      <c r="H611" s="6" t="str">
        <f aca="false">IF(N611="","",N611&amp;IF(AND(MOD(N611,100)&gt;=11,MOD(N611,100)&lt;=13),"th",CHOOSE(MIN(5,MOD(N611,10)+1),"th","st","nd","rd","th")))</f>
        <v>1st</v>
      </c>
      <c r="I611" s="5" t="s">
        <v>1691</v>
      </c>
      <c r="J611" s="6" t="n">
        <f aca="false">IFERROR(INDEX(Rounds!$A:$A,MATCH(I611,Rounds!$B:$B,0)),"ADD LEAGUE TO ROUNDS")</f>
        <v>6</v>
      </c>
      <c r="K611" s="6" t="n">
        <f aca="false">IFERROR(VALUE(LEFT(E611,FIND(" - ",E611)-1)),"")</f>
        <v>5</v>
      </c>
      <c r="L611" s="5" t="s">
        <v>1859</v>
      </c>
      <c r="N611" s="6" t="n">
        <f aca="false">IF(F611="","",1+COUNTIFS($J:$J,J611,$K:$K,K611,$F:$F,"&gt;"&amp;F611)+COUNTIFS($J:$J,J611,$K:$K,K611,$F:$F,F611,$G:$G,"&gt;"&amp;G611))</f>
        <v>1</v>
      </c>
      <c r="O611" s="6" t="n">
        <f aca="false">IF(L611="","",SUMIFS(Votes!$E:$E,Votes!$A:$A,J611,Votes!$B:$B,K611,Votes!$D:$D,L611))</f>
        <v>21</v>
      </c>
      <c r="P611" s="6" t="n">
        <f aca="false">IF(L611="","",COUNTIFS(Votes!$A:$A,J611,Votes!$B:$B,K611,Votes!$D:$D,L611))</f>
        <v>13</v>
      </c>
      <c r="Q611" s="7" t="str">
        <f aca="false">IF(F611="","Unscored",IF(O611="","No URI",IF(AND(F611=0,O611=0),"Zero-vote",IF(AND(F611=O611,G611=P611),"OK",IF(AND(F611=0,O611&gt;0,COUNTIFS(Votes!$A:$A,J611,Votes!$B:$B,K611,Votes!$C:$C,D611)=0),"Forfeited","Mismatch")))))</f>
        <v>OK</v>
      </c>
      <c r="R611" s="6" t="n">
        <f aca="false">MAX(IF(L611&lt;&gt;"",COUNTIF($L:$L,L611),0),COUNTIFS($A:$A,A611,$B:$B,B611))</f>
        <v>1</v>
      </c>
      <c r="S611" s="6" t="str">
        <f aca="false">IF(R611&gt;1,COUNTIF($R$2:R611,"&gt;1"),"")</f>
        <v/>
      </c>
      <c r="T611" s="6" t="str">
        <f aca="false">IF(L611="","",J611&amp;"|"&amp;K611&amp;"|"&amp;L611)</f>
        <v>6|5|spotify:track:2grjqo0Frpf2okIBiifQKs</v>
      </c>
      <c r="U611" s="6" t="str">
        <f aca="false">IF(C611="","",IFERROR(INDEX(Lists!$F:$F,MATCH(C611,Lists!$E:$E,0)),"Unmapped"))</f>
        <v>R&amp;B/Soul</v>
      </c>
    </row>
    <row r="612" customFormat="false" ht="15" hidden="false" customHeight="false" outlineLevel="0" collapsed="false">
      <c r="A612" s="5" t="s">
        <v>89</v>
      </c>
      <c r="B612" s="5" t="s">
        <v>90</v>
      </c>
      <c r="C612" s="5" t="s">
        <v>91</v>
      </c>
      <c r="D612" s="5" t="s">
        <v>705</v>
      </c>
      <c r="E612" s="5" t="s">
        <v>1858</v>
      </c>
      <c r="F612" s="5" t="n">
        <v>13</v>
      </c>
      <c r="G612" s="5" t="n">
        <v>9</v>
      </c>
      <c r="H612" s="6" t="str">
        <f aca="false">IF(N612="","",N612&amp;IF(AND(MOD(N612,100)&gt;=11,MOD(N612,100)&lt;=13),"th",CHOOSE(MIN(5,MOD(N612,10)+1),"th","st","nd","rd","th")))</f>
        <v>2nd</v>
      </c>
      <c r="I612" s="5" t="s">
        <v>1691</v>
      </c>
      <c r="J612" s="6" t="n">
        <f aca="false">IFERROR(INDEX(Rounds!$A:$A,MATCH(I612,Rounds!$B:$B,0)),"ADD LEAGUE TO ROUNDS")</f>
        <v>6</v>
      </c>
      <c r="K612" s="6" t="n">
        <f aca="false">IFERROR(VALUE(LEFT(E612,FIND(" - ",E612)-1)),"")</f>
        <v>5</v>
      </c>
      <c r="L612" s="5" t="s">
        <v>93</v>
      </c>
      <c r="N612" s="6" t="n">
        <f aca="false">IF(F612="","",1+COUNTIFS($J:$J,J612,$K:$K,K612,$F:$F,"&gt;"&amp;F612)+COUNTIFS($J:$J,J612,$K:$K,K612,$F:$F,F612,$G:$G,"&gt;"&amp;G612))</f>
        <v>2</v>
      </c>
      <c r="O612" s="6" t="n">
        <f aca="false">IF(L612="","",SUMIFS(Votes!$E:$E,Votes!$A:$A,J612,Votes!$B:$B,K612,Votes!$D:$D,L612))</f>
        <v>13</v>
      </c>
      <c r="P612" s="6" t="n">
        <f aca="false">IF(L612="","",COUNTIFS(Votes!$A:$A,J612,Votes!$B:$B,K612,Votes!$D:$D,L612))</f>
        <v>9</v>
      </c>
      <c r="Q612" s="7" t="str">
        <f aca="false">IF(F612="","Unscored",IF(O612="","No URI",IF(AND(F612=0,O612=0),"Zero-vote",IF(AND(F612=O612,G612=P612),"OK",IF(AND(F612=0,O612&gt;0,COUNTIFS(Votes!$A:$A,J612,Votes!$B:$B,K612,Votes!$C:$C,D612)=0),"Forfeited","Mismatch")))))</f>
        <v>OK</v>
      </c>
      <c r="R612" s="6" t="n">
        <f aca="false">MAX(IF(L612&lt;&gt;"",COUNTIF($L:$L,L612),0),COUNTIFS($A:$A,A612,$B:$B,B612))</f>
        <v>2</v>
      </c>
      <c r="S612" s="6" t="n">
        <f aca="false">IF(R612&gt;1,COUNTIF($R$2:R612,"&gt;1"),"")</f>
        <v>38</v>
      </c>
      <c r="T612" s="6" t="str">
        <f aca="false">IF(L612="","",J612&amp;"|"&amp;K612&amp;"|"&amp;L612)</f>
        <v>6|5|spotify:track:4kbj5MwxO1bq9wjT5g9HaA</v>
      </c>
      <c r="U612" s="6" t="str">
        <f aca="false">IF(C612="","",IFERROR(INDEX(Lists!$F:$F,MATCH(C612,Lists!$E:$E,0)),"Unmapped"))</f>
        <v>Rock</v>
      </c>
    </row>
    <row r="613" customFormat="false" ht="15" hidden="false" customHeight="false" outlineLevel="0" collapsed="false">
      <c r="A613" s="5" t="s">
        <v>1860</v>
      </c>
      <c r="B613" s="5" t="s">
        <v>1861</v>
      </c>
      <c r="C613" s="5" t="s">
        <v>110</v>
      </c>
      <c r="D613" s="5" t="s">
        <v>101</v>
      </c>
      <c r="E613" s="5" t="s">
        <v>1858</v>
      </c>
      <c r="F613" s="5" t="n">
        <v>12</v>
      </c>
      <c r="G613" s="5" t="n">
        <v>9</v>
      </c>
      <c r="H613" s="6" t="str">
        <f aca="false">IF(N613="","",N613&amp;IF(AND(MOD(N613,100)&gt;=11,MOD(N613,100)&lt;=13),"th",CHOOSE(MIN(5,MOD(N613,10)+1),"th","st","nd","rd","th")))</f>
        <v>3rd</v>
      </c>
      <c r="I613" s="5" t="s">
        <v>1691</v>
      </c>
      <c r="J613" s="6" t="n">
        <f aca="false">IFERROR(INDEX(Rounds!$A:$A,MATCH(I613,Rounds!$B:$B,0)),"ADD LEAGUE TO ROUNDS")</f>
        <v>6</v>
      </c>
      <c r="K613" s="6" t="n">
        <f aca="false">IFERROR(VALUE(LEFT(E613,FIND(" - ",E613)-1)),"")</f>
        <v>5</v>
      </c>
      <c r="L613" s="5" t="s">
        <v>1862</v>
      </c>
      <c r="N613" s="6" t="n">
        <f aca="false">IF(F613="","",1+COUNTIFS($J:$J,J613,$K:$K,K613,$F:$F,"&gt;"&amp;F613)+COUNTIFS($J:$J,J613,$K:$K,K613,$F:$F,F613,$G:$G,"&gt;"&amp;G613))</f>
        <v>3</v>
      </c>
      <c r="O613" s="6" t="n">
        <f aca="false">IF(L613="","",SUMIFS(Votes!$E:$E,Votes!$A:$A,J613,Votes!$B:$B,K613,Votes!$D:$D,L613))</f>
        <v>12</v>
      </c>
      <c r="P613" s="6" t="n">
        <f aca="false">IF(L613="","",COUNTIFS(Votes!$A:$A,J613,Votes!$B:$B,K613,Votes!$D:$D,L613))</f>
        <v>9</v>
      </c>
      <c r="Q613" s="7" t="str">
        <f aca="false">IF(F613="","Unscored",IF(O613="","No URI",IF(AND(F613=0,O613=0),"Zero-vote",IF(AND(F613=O613,G613=P613),"OK",IF(AND(F613=0,O613&gt;0,COUNTIFS(Votes!$A:$A,J613,Votes!$B:$B,K613,Votes!$C:$C,D613)=0),"Forfeited","Mismatch")))))</f>
        <v>OK</v>
      </c>
      <c r="R613" s="6" t="n">
        <f aca="false">MAX(IF(L613&lt;&gt;"",COUNTIF($L:$L,L613),0),COUNTIFS($A:$A,A613,$B:$B,B613))</f>
        <v>1</v>
      </c>
      <c r="S613" s="6" t="str">
        <f aca="false">IF(R613&gt;1,COUNTIF($R$2:R613,"&gt;1"),"")</f>
        <v/>
      </c>
      <c r="T613" s="6" t="str">
        <f aca="false">IF(L613="","",J613&amp;"|"&amp;K613&amp;"|"&amp;L613)</f>
        <v>6|5|spotify:track:2H1047e0oMSj10dgp7p2VG</v>
      </c>
      <c r="U613" s="6" t="str">
        <f aca="false">IF(C613="","",IFERROR(INDEX(Lists!$F:$F,MATCH(C613,Lists!$E:$E,0)),"Unmapped"))</f>
        <v>Hip-Hop/Rap</v>
      </c>
    </row>
    <row r="614" customFormat="false" ht="15" hidden="false" customHeight="false" outlineLevel="0" collapsed="false">
      <c r="A614" s="5" t="s">
        <v>1863</v>
      </c>
      <c r="B614" s="5" t="s">
        <v>622</v>
      </c>
      <c r="C614" s="5" t="s">
        <v>96</v>
      </c>
      <c r="D614" s="5" t="s">
        <v>116</v>
      </c>
      <c r="E614" s="5" t="s">
        <v>1858</v>
      </c>
      <c r="F614" s="5" t="n">
        <v>12</v>
      </c>
      <c r="G614" s="5" t="n">
        <v>8</v>
      </c>
      <c r="H614" s="6" t="str">
        <f aca="false">IF(N614="","",N614&amp;IF(AND(MOD(N614,100)&gt;=11,MOD(N614,100)&lt;=13),"th",CHOOSE(MIN(5,MOD(N614,10)+1),"th","st","nd","rd","th")))</f>
        <v>4th</v>
      </c>
      <c r="I614" s="5" t="s">
        <v>1691</v>
      </c>
      <c r="J614" s="6" t="n">
        <f aca="false">IFERROR(INDEX(Rounds!$A:$A,MATCH(I614,Rounds!$B:$B,0)),"ADD LEAGUE TO ROUNDS")</f>
        <v>6</v>
      </c>
      <c r="K614" s="6" t="n">
        <f aca="false">IFERROR(VALUE(LEFT(E614,FIND(" - ",E614)-1)),"")</f>
        <v>5</v>
      </c>
      <c r="L614" s="5" t="s">
        <v>1864</v>
      </c>
      <c r="N614" s="6" t="n">
        <f aca="false">IF(F614="","",1+COUNTIFS($J:$J,J614,$K:$K,K614,$F:$F,"&gt;"&amp;F614)+COUNTIFS($J:$J,J614,$K:$K,K614,$F:$F,F614,$G:$G,"&gt;"&amp;G614))</f>
        <v>4</v>
      </c>
      <c r="O614" s="6" t="n">
        <f aca="false">IF(L614="","",SUMIFS(Votes!$E:$E,Votes!$A:$A,J614,Votes!$B:$B,K614,Votes!$D:$D,L614))</f>
        <v>12</v>
      </c>
      <c r="P614" s="6" t="n">
        <f aca="false">IF(L614="","",COUNTIFS(Votes!$A:$A,J614,Votes!$B:$B,K614,Votes!$D:$D,L614))</f>
        <v>8</v>
      </c>
      <c r="Q614" s="7" t="str">
        <f aca="false">IF(F614="","Unscored",IF(O614="","No URI",IF(AND(F614=0,O614=0),"Zero-vote",IF(AND(F614=O614,G614=P614),"OK",IF(AND(F614=0,O614&gt;0,COUNTIFS(Votes!$A:$A,J614,Votes!$B:$B,K614,Votes!$C:$C,D614)=0),"Forfeited","Mismatch")))))</f>
        <v>OK</v>
      </c>
      <c r="R614" s="6" t="n">
        <f aca="false">MAX(IF(L614&lt;&gt;"",COUNTIF($L:$L,L614),0),COUNTIFS($A:$A,A614,$B:$B,B614))</f>
        <v>1</v>
      </c>
      <c r="S614" s="6" t="str">
        <f aca="false">IF(R614&gt;1,COUNTIF($R$2:R614,"&gt;1"),"")</f>
        <v/>
      </c>
      <c r="T614" s="6" t="str">
        <f aca="false">IF(L614="","",J614&amp;"|"&amp;K614&amp;"|"&amp;L614)</f>
        <v>6|5|spotify:track:5R9a4t5t5O0IsznsrKPVro</v>
      </c>
      <c r="U614" s="6" t="str">
        <f aca="false">IF(C614="","",IFERROR(INDEX(Lists!$F:$F,MATCH(C614,Lists!$E:$E,0)),"Unmapped"))</f>
        <v>R&amp;B/Soul</v>
      </c>
    </row>
    <row r="615" customFormat="false" ht="15" hidden="false" customHeight="false" outlineLevel="0" collapsed="false">
      <c r="A615" s="5" t="s">
        <v>1865</v>
      </c>
      <c r="B615" s="5" t="s">
        <v>1866</v>
      </c>
      <c r="C615" s="5" t="s">
        <v>110</v>
      </c>
      <c r="D615" s="5" t="s">
        <v>395</v>
      </c>
      <c r="E615" s="5" t="s">
        <v>1858</v>
      </c>
      <c r="F615" s="5" t="n">
        <v>11</v>
      </c>
      <c r="G615" s="5" t="n">
        <v>9</v>
      </c>
      <c r="H615" s="6" t="str">
        <f aca="false">IF(N615="","",N615&amp;IF(AND(MOD(N615,100)&gt;=11,MOD(N615,100)&lt;=13),"th",CHOOSE(MIN(5,MOD(N615,10)+1),"th","st","nd","rd","th")))</f>
        <v>5th</v>
      </c>
      <c r="I615" s="5" t="s">
        <v>1691</v>
      </c>
      <c r="J615" s="6" t="n">
        <f aca="false">IFERROR(INDEX(Rounds!$A:$A,MATCH(I615,Rounds!$B:$B,0)),"ADD LEAGUE TO ROUNDS")</f>
        <v>6</v>
      </c>
      <c r="K615" s="6" t="n">
        <f aca="false">IFERROR(VALUE(LEFT(E615,FIND(" - ",E615)-1)),"")</f>
        <v>5</v>
      </c>
      <c r="L615" s="5" t="s">
        <v>1867</v>
      </c>
      <c r="N615" s="6" t="n">
        <f aca="false">IF(F615="","",1+COUNTIFS($J:$J,J615,$K:$K,K615,$F:$F,"&gt;"&amp;F615)+COUNTIFS($J:$J,J615,$K:$K,K615,$F:$F,F615,$G:$G,"&gt;"&amp;G615))</f>
        <v>5</v>
      </c>
      <c r="O615" s="6" t="n">
        <f aca="false">IF(L615="","",SUMIFS(Votes!$E:$E,Votes!$A:$A,J615,Votes!$B:$B,K615,Votes!$D:$D,L615))</f>
        <v>11</v>
      </c>
      <c r="P615" s="6" t="n">
        <f aca="false">IF(L615="","",COUNTIFS(Votes!$A:$A,J615,Votes!$B:$B,K615,Votes!$D:$D,L615))</f>
        <v>9</v>
      </c>
      <c r="Q615" s="7" t="str">
        <f aca="false">IF(F615="","Unscored",IF(O615="","No URI",IF(AND(F615=0,O615=0),"Zero-vote",IF(AND(F615=O615,G615=P615),"OK",IF(AND(F615=0,O615&gt;0,COUNTIFS(Votes!$A:$A,J615,Votes!$B:$B,K615,Votes!$C:$C,D615)=0),"Forfeited","Mismatch")))))</f>
        <v>OK</v>
      </c>
      <c r="R615" s="6" t="n">
        <f aca="false">MAX(IF(L615&lt;&gt;"",COUNTIF($L:$L,L615),0),COUNTIFS($A:$A,A615,$B:$B,B615))</f>
        <v>1</v>
      </c>
      <c r="S615" s="6" t="str">
        <f aca="false">IF(R615&gt;1,COUNTIF($R$2:R615,"&gt;1"),"")</f>
        <v/>
      </c>
      <c r="T615" s="6" t="str">
        <f aca="false">IF(L615="","",J615&amp;"|"&amp;K615&amp;"|"&amp;L615)</f>
        <v>6|5|spotify:track:0r2Bul2NuCViraT2zX1l5j</v>
      </c>
      <c r="U615" s="6" t="str">
        <f aca="false">IF(C615="","",IFERROR(INDEX(Lists!$F:$F,MATCH(C615,Lists!$E:$E,0)),"Unmapped"))</f>
        <v>Hip-Hop/Rap</v>
      </c>
    </row>
    <row r="616" customFormat="false" ht="15" hidden="false" customHeight="false" outlineLevel="0" collapsed="false">
      <c r="A616" s="5" t="s">
        <v>1868</v>
      </c>
      <c r="B616" s="5" t="s">
        <v>1869</v>
      </c>
      <c r="C616" s="5" t="s">
        <v>91</v>
      </c>
      <c r="D616" s="5" t="s">
        <v>128</v>
      </c>
      <c r="E616" s="5" t="s">
        <v>1858</v>
      </c>
      <c r="F616" s="5" t="n">
        <v>11</v>
      </c>
      <c r="G616" s="5" t="n">
        <v>9</v>
      </c>
      <c r="H616" s="6" t="str">
        <f aca="false">IF(N616="","",N616&amp;IF(AND(MOD(N616,100)&gt;=11,MOD(N616,100)&lt;=13),"th",CHOOSE(MIN(5,MOD(N616,10)+1),"th","st","nd","rd","th")))</f>
        <v>5th</v>
      </c>
      <c r="I616" s="5" t="s">
        <v>1691</v>
      </c>
      <c r="J616" s="6" t="n">
        <f aca="false">IFERROR(INDEX(Rounds!$A:$A,MATCH(I616,Rounds!$B:$B,0)),"ADD LEAGUE TO ROUNDS")</f>
        <v>6</v>
      </c>
      <c r="K616" s="6" t="n">
        <f aca="false">IFERROR(VALUE(LEFT(E616,FIND(" - ",E616)-1)),"")</f>
        <v>5</v>
      </c>
      <c r="L616" s="5" t="s">
        <v>1870</v>
      </c>
      <c r="N616" s="6" t="n">
        <f aca="false">IF(F616="","",1+COUNTIFS($J:$J,J616,$K:$K,K616,$F:$F,"&gt;"&amp;F616)+COUNTIFS($J:$J,J616,$K:$K,K616,$F:$F,F616,$G:$G,"&gt;"&amp;G616))</f>
        <v>5</v>
      </c>
      <c r="O616" s="6" t="n">
        <f aca="false">IF(L616="","",SUMIFS(Votes!$E:$E,Votes!$A:$A,J616,Votes!$B:$B,K616,Votes!$D:$D,L616))</f>
        <v>11</v>
      </c>
      <c r="P616" s="6" t="n">
        <f aca="false">IF(L616="","",COUNTIFS(Votes!$A:$A,J616,Votes!$B:$B,K616,Votes!$D:$D,L616))</f>
        <v>9</v>
      </c>
      <c r="Q616" s="7" t="str">
        <f aca="false">IF(F616="","Unscored",IF(O616="","No URI",IF(AND(F616=0,O616=0),"Zero-vote",IF(AND(F616=O616,G616=P616),"OK",IF(AND(F616=0,O616&gt;0,COUNTIFS(Votes!$A:$A,J616,Votes!$B:$B,K616,Votes!$C:$C,D616)=0),"Forfeited","Mismatch")))))</f>
        <v>OK</v>
      </c>
      <c r="R616" s="6" t="n">
        <f aca="false">MAX(IF(L616&lt;&gt;"",COUNTIF($L:$L,L616),0),COUNTIFS($A:$A,A616,$B:$B,B616))</f>
        <v>2</v>
      </c>
      <c r="S616" s="6" t="n">
        <f aca="false">IF(R616&gt;1,COUNTIF($R$2:R616,"&gt;1"),"")</f>
        <v>39</v>
      </c>
      <c r="T616" s="6" t="str">
        <f aca="false">IF(L616="","",J616&amp;"|"&amp;K616&amp;"|"&amp;L616)</f>
        <v>6|5|spotify:track:4o6BgsqLIBViaGVbx5rbRk</v>
      </c>
      <c r="U616" s="6" t="str">
        <f aca="false">IF(C616="","",IFERROR(INDEX(Lists!$F:$F,MATCH(C616,Lists!$E:$E,0)),"Unmapped"))</f>
        <v>Rock</v>
      </c>
    </row>
    <row r="617" customFormat="false" ht="15" hidden="false" customHeight="false" outlineLevel="0" collapsed="false">
      <c r="A617" s="5" t="s">
        <v>1871</v>
      </c>
      <c r="B617" s="5" t="s">
        <v>1872</v>
      </c>
      <c r="C617" s="5" t="s">
        <v>96</v>
      </c>
      <c r="D617" s="5" t="s">
        <v>719</v>
      </c>
      <c r="E617" s="5" t="s">
        <v>1858</v>
      </c>
      <c r="F617" s="5" t="n">
        <v>11</v>
      </c>
      <c r="G617" s="5" t="n">
        <v>6</v>
      </c>
      <c r="H617" s="6" t="str">
        <f aca="false">IF(N617="","",N617&amp;IF(AND(MOD(N617,100)&gt;=11,MOD(N617,100)&lt;=13),"th",CHOOSE(MIN(5,MOD(N617,10)+1),"th","st","nd","rd","th")))</f>
        <v>7th</v>
      </c>
      <c r="I617" s="5" t="s">
        <v>1691</v>
      </c>
      <c r="J617" s="6" t="n">
        <f aca="false">IFERROR(INDEX(Rounds!$A:$A,MATCH(I617,Rounds!$B:$B,0)),"ADD LEAGUE TO ROUNDS")</f>
        <v>6</v>
      </c>
      <c r="K617" s="6" t="n">
        <f aca="false">IFERROR(VALUE(LEFT(E617,FIND(" - ",E617)-1)),"")</f>
        <v>5</v>
      </c>
      <c r="L617" s="5" t="s">
        <v>1873</v>
      </c>
      <c r="N617" s="6" t="n">
        <f aca="false">IF(F617="","",1+COUNTIFS($J:$J,J617,$K:$K,K617,$F:$F,"&gt;"&amp;F617)+COUNTIFS($J:$J,J617,$K:$K,K617,$F:$F,F617,$G:$G,"&gt;"&amp;G617))</f>
        <v>7</v>
      </c>
      <c r="O617" s="6" t="n">
        <f aca="false">IF(L617="","",SUMIFS(Votes!$E:$E,Votes!$A:$A,J617,Votes!$B:$B,K617,Votes!$D:$D,L617))</f>
        <v>11</v>
      </c>
      <c r="P617" s="6" t="n">
        <f aca="false">IF(L617="","",COUNTIFS(Votes!$A:$A,J617,Votes!$B:$B,K617,Votes!$D:$D,L617))</f>
        <v>6</v>
      </c>
      <c r="Q617" s="7" t="str">
        <f aca="false">IF(F617="","Unscored",IF(O617="","No URI",IF(AND(F617=0,O617=0),"Zero-vote",IF(AND(F617=O617,G617=P617),"OK",IF(AND(F617=0,O617&gt;0,COUNTIFS(Votes!$A:$A,J617,Votes!$B:$B,K617,Votes!$C:$C,D617)=0),"Forfeited","Mismatch")))))</f>
        <v>OK</v>
      </c>
      <c r="R617" s="6" t="n">
        <f aca="false">MAX(IF(L617&lt;&gt;"",COUNTIF($L:$L,L617),0),COUNTIFS($A:$A,A617,$B:$B,B617))</f>
        <v>1</v>
      </c>
      <c r="S617" s="6" t="str">
        <f aca="false">IF(R617&gt;1,COUNTIF($R$2:R617,"&gt;1"),"")</f>
        <v/>
      </c>
      <c r="T617" s="6" t="str">
        <f aca="false">IF(L617="","",J617&amp;"|"&amp;K617&amp;"|"&amp;L617)</f>
        <v>6|5|spotify:track:6ztstiyZL6FXzh4aG46ZPD</v>
      </c>
      <c r="U617" s="6" t="str">
        <f aca="false">IF(C617="","",IFERROR(INDEX(Lists!$F:$F,MATCH(C617,Lists!$E:$E,0)),"Unmapped"))</f>
        <v>R&amp;B/Soul</v>
      </c>
    </row>
    <row r="618" customFormat="false" ht="15" hidden="false" customHeight="false" outlineLevel="0" collapsed="false">
      <c r="A618" s="5" t="s">
        <v>1874</v>
      </c>
      <c r="B618" s="5" t="s">
        <v>1875</v>
      </c>
      <c r="C618" s="5" t="s">
        <v>293</v>
      </c>
      <c r="D618" s="5" t="s">
        <v>119</v>
      </c>
      <c r="E618" s="5" t="s">
        <v>1858</v>
      </c>
      <c r="F618" s="5" t="n">
        <v>10</v>
      </c>
      <c r="G618" s="5" t="n">
        <v>8</v>
      </c>
      <c r="H618" s="6" t="str">
        <f aca="false">IF(N618="","",N618&amp;IF(AND(MOD(N618,100)&gt;=11,MOD(N618,100)&lt;=13),"th",CHOOSE(MIN(5,MOD(N618,10)+1),"th","st","nd","rd","th")))</f>
        <v>8th</v>
      </c>
      <c r="I618" s="5" t="s">
        <v>1691</v>
      </c>
      <c r="J618" s="6" t="n">
        <f aca="false">IFERROR(INDEX(Rounds!$A:$A,MATCH(I618,Rounds!$B:$B,0)),"ADD LEAGUE TO ROUNDS")</f>
        <v>6</v>
      </c>
      <c r="K618" s="6" t="n">
        <f aca="false">IFERROR(VALUE(LEFT(E618,FIND(" - ",E618)-1)),"")</f>
        <v>5</v>
      </c>
      <c r="L618" s="5" t="s">
        <v>1876</v>
      </c>
      <c r="N618" s="6" t="n">
        <f aca="false">IF(F618="","",1+COUNTIFS($J:$J,J618,$K:$K,K618,$F:$F,"&gt;"&amp;F618)+COUNTIFS($J:$J,J618,$K:$K,K618,$F:$F,F618,$G:$G,"&gt;"&amp;G618))</f>
        <v>8</v>
      </c>
      <c r="O618" s="6" t="n">
        <f aca="false">IF(L618="","",SUMIFS(Votes!$E:$E,Votes!$A:$A,J618,Votes!$B:$B,K618,Votes!$D:$D,L618))</f>
        <v>10</v>
      </c>
      <c r="P618" s="6" t="n">
        <f aca="false">IF(L618="","",COUNTIFS(Votes!$A:$A,J618,Votes!$B:$B,K618,Votes!$D:$D,L618))</f>
        <v>8</v>
      </c>
      <c r="Q618" s="7" t="str">
        <f aca="false">IF(F618="","Unscored",IF(O618="","No URI",IF(AND(F618=0,O618=0),"Zero-vote",IF(AND(F618=O618,G618=P618),"OK",IF(AND(F618=0,O618&gt;0,COUNTIFS(Votes!$A:$A,J618,Votes!$B:$B,K618,Votes!$C:$C,D618)=0),"Forfeited","Mismatch")))))</f>
        <v>OK</v>
      </c>
      <c r="R618" s="6" t="n">
        <f aca="false">MAX(IF(L618&lt;&gt;"",COUNTIF($L:$L,L618),0),COUNTIFS($A:$A,A618,$B:$B,B618))</f>
        <v>1</v>
      </c>
      <c r="S618" s="6" t="str">
        <f aca="false">IF(R618&gt;1,COUNTIF($R$2:R618,"&gt;1"),"")</f>
        <v/>
      </c>
      <c r="T618" s="6" t="str">
        <f aca="false">IF(L618="","",J618&amp;"|"&amp;K618&amp;"|"&amp;L618)</f>
        <v>6|5|spotify:track:0RC2B9uIITHA0wtDFfQk3K</v>
      </c>
      <c r="U618" s="6" t="str">
        <f aca="false">IF(C618="","",IFERROR(INDEX(Lists!$F:$F,MATCH(C618,Lists!$E:$E,0)),"Unmapped"))</f>
        <v>Electronic/Dance</v>
      </c>
    </row>
    <row r="619" customFormat="false" ht="15" hidden="false" customHeight="false" outlineLevel="0" collapsed="false">
      <c r="A619" s="5" t="s">
        <v>1877</v>
      </c>
      <c r="B619" s="5" t="s">
        <v>1830</v>
      </c>
      <c r="C619" s="5" t="s">
        <v>363</v>
      </c>
      <c r="D619" s="5" t="s">
        <v>97</v>
      </c>
      <c r="E619" s="5" t="s">
        <v>1858</v>
      </c>
      <c r="F619" s="5" t="n">
        <v>9</v>
      </c>
      <c r="G619" s="5" t="n">
        <v>8</v>
      </c>
      <c r="H619" s="6" t="str">
        <f aca="false">IF(N619="","",N619&amp;IF(AND(MOD(N619,100)&gt;=11,MOD(N619,100)&lt;=13),"th",CHOOSE(MIN(5,MOD(N619,10)+1),"th","st","nd","rd","th")))</f>
        <v>9th</v>
      </c>
      <c r="I619" s="5" t="s">
        <v>1691</v>
      </c>
      <c r="J619" s="6" t="n">
        <f aca="false">IFERROR(INDEX(Rounds!$A:$A,MATCH(I619,Rounds!$B:$B,0)),"ADD LEAGUE TO ROUNDS")</f>
        <v>6</v>
      </c>
      <c r="K619" s="6" t="n">
        <f aca="false">IFERROR(VALUE(LEFT(E619,FIND(" - ",E619)-1)),"")</f>
        <v>5</v>
      </c>
      <c r="L619" s="5" t="s">
        <v>1878</v>
      </c>
      <c r="N619" s="6" t="n">
        <f aca="false">IF(F619="","",1+COUNTIFS($J:$J,J619,$K:$K,K619,$F:$F,"&gt;"&amp;F619)+COUNTIFS($J:$J,J619,$K:$K,K619,$F:$F,F619,$G:$G,"&gt;"&amp;G619))</f>
        <v>9</v>
      </c>
      <c r="O619" s="6" t="n">
        <f aca="false">IF(L619="","",SUMIFS(Votes!$E:$E,Votes!$A:$A,J619,Votes!$B:$B,K619,Votes!$D:$D,L619))</f>
        <v>9</v>
      </c>
      <c r="P619" s="6" t="n">
        <f aca="false">IF(L619="","",COUNTIFS(Votes!$A:$A,J619,Votes!$B:$B,K619,Votes!$D:$D,L619))</f>
        <v>8</v>
      </c>
      <c r="Q619" s="7" t="str">
        <f aca="false">IF(F619="","Unscored",IF(O619="","No URI",IF(AND(F619=0,O619=0),"Zero-vote",IF(AND(F619=O619,G619=P619),"OK",IF(AND(F619=0,O619&gt;0,COUNTIFS(Votes!$A:$A,J619,Votes!$B:$B,K619,Votes!$C:$C,D619)=0),"Forfeited","Mismatch")))))</f>
        <v>OK</v>
      </c>
      <c r="R619" s="6" t="n">
        <f aca="false">MAX(IF(L619&lt;&gt;"",COUNTIF($L:$L,L619),0),COUNTIFS($A:$A,A619,$B:$B,B619))</f>
        <v>1</v>
      </c>
      <c r="S619" s="6" t="str">
        <f aca="false">IF(R619&gt;1,COUNTIF($R$2:R619,"&gt;1"),"")</f>
        <v/>
      </c>
      <c r="T619" s="6" t="str">
        <f aca="false">IF(L619="","",J619&amp;"|"&amp;K619&amp;"|"&amp;L619)</f>
        <v>6|5|spotify:track:6Rb0ptOEjBjPPQUlQtQGbL</v>
      </c>
      <c r="U619" s="6" t="str">
        <f aca="false">IF(C619="","",IFERROR(INDEX(Lists!$F:$F,MATCH(C619,Lists!$E:$E,0)),"Unmapped"))</f>
        <v>Latin</v>
      </c>
    </row>
    <row r="620" customFormat="false" ht="15" hidden="false" customHeight="false" outlineLevel="0" collapsed="false">
      <c r="A620" s="5" t="s">
        <v>1879</v>
      </c>
      <c r="B620" s="5" t="s">
        <v>1880</v>
      </c>
      <c r="C620" s="5" t="s">
        <v>127</v>
      </c>
      <c r="D620" s="5" t="s">
        <v>106</v>
      </c>
      <c r="E620" s="5" t="s">
        <v>1858</v>
      </c>
      <c r="F620" s="5" t="n">
        <v>9</v>
      </c>
      <c r="G620" s="5" t="n">
        <v>7</v>
      </c>
      <c r="H620" s="6" t="str">
        <f aca="false">IF(N620="","",N620&amp;IF(AND(MOD(N620,100)&gt;=11,MOD(N620,100)&lt;=13),"th",CHOOSE(MIN(5,MOD(N620,10)+1),"th","st","nd","rd","th")))</f>
        <v>10th</v>
      </c>
      <c r="I620" s="5" t="s">
        <v>1691</v>
      </c>
      <c r="J620" s="6" t="n">
        <f aca="false">IFERROR(INDEX(Rounds!$A:$A,MATCH(I620,Rounds!$B:$B,0)),"ADD LEAGUE TO ROUNDS")</f>
        <v>6</v>
      </c>
      <c r="K620" s="6" t="n">
        <f aca="false">IFERROR(VALUE(LEFT(E620,FIND(" - ",E620)-1)),"")</f>
        <v>5</v>
      </c>
      <c r="L620" s="5" t="s">
        <v>1881</v>
      </c>
      <c r="N620" s="6" t="n">
        <f aca="false">IF(F620="","",1+COUNTIFS($J:$J,J620,$K:$K,K620,$F:$F,"&gt;"&amp;F620)+COUNTIFS($J:$J,J620,$K:$K,K620,$F:$F,F620,$G:$G,"&gt;"&amp;G620))</f>
        <v>10</v>
      </c>
      <c r="O620" s="6" t="n">
        <f aca="false">IF(L620="","",SUMIFS(Votes!$E:$E,Votes!$A:$A,J620,Votes!$B:$B,K620,Votes!$D:$D,L620))</f>
        <v>9</v>
      </c>
      <c r="P620" s="6" t="n">
        <f aca="false">IF(L620="","",COUNTIFS(Votes!$A:$A,J620,Votes!$B:$B,K620,Votes!$D:$D,L620))</f>
        <v>7</v>
      </c>
      <c r="Q620" s="7" t="str">
        <f aca="false">IF(F620="","Unscored",IF(O620="","No URI",IF(AND(F620=0,O620=0),"Zero-vote",IF(AND(F620=O620,G620=P620),"OK",IF(AND(F620=0,O620&gt;0,COUNTIFS(Votes!$A:$A,J620,Votes!$B:$B,K620,Votes!$C:$C,D620)=0),"Forfeited","Mismatch")))))</f>
        <v>OK</v>
      </c>
      <c r="R620" s="6" t="n">
        <f aca="false">MAX(IF(L620&lt;&gt;"",COUNTIF($L:$L,L620),0),COUNTIFS($A:$A,A620,$B:$B,B620))</f>
        <v>1</v>
      </c>
      <c r="S620" s="6" t="str">
        <f aca="false">IF(R620&gt;1,COUNTIF($R$2:R620,"&gt;1"),"")</f>
        <v/>
      </c>
      <c r="T620" s="6" t="str">
        <f aca="false">IF(L620="","",J620&amp;"|"&amp;K620&amp;"|"&amp;L620)</f>
        <v>6|5|spotify:track:3w6m1sTs8qXiuITB0sziwY</v>
      </c>
      <c r="U620" s="6" t="str">
        <f aca="false">IF(C620="","",IFERROR(INDEX(Lists!$F:$F,MATCH(C620,Lists!$E:$E,0)),"Unmapped"))</f>
        <v>Jazz/Vocal</v>
      </c>
    </row>
    <row r="621" customFormat="false" ht="15" hidden="false" customHeight="false" outlineLevel="0" collapsed="false">
      <c r="A621" s="5" t="s">
        <v>1882</v>
      </c>
      <c r="B621" s="5" t="s">
        <v>1883</v>
      </c>
      <c r="C621" s="5" t="s">
        <v>1884</v>
      </c>
      <c r="D621" s="5" t="s">
        <v>484</v>
      </c>
      <c r="E621" s="5" t="s">
        <v>1858</v>
      </c>
      <c r="F621" s="5" t="n">
        <v>9</v>
      </c>
      <c r="G621" s="5" t="n">
        <v>6</v>
      </c>
      <c r="H621" s="6" t="str">
        <f aca="false">IF(N621="","",N621&amp;IF(AND(MOD(N621,100)&gt;=11,MOD(N621,100)&lt;=13),"th",CHOOSE(MIN(5,MOD(N621,10)+1),"th","st","nd","rd","th")))</f>
        <v>11th</v>
      </c>
      <c r="I621" s="5" t="s">
        <v>1691</v>
      </c>
      <c r="J621" s="6" t="n">
        <f aca="false">IFERROR(INDEX(Rounds!$A:$A,MATCH(I621,Rounds!$B:$B,0)),"ADD LEAGUE TO ROUNDS")</f>
        <v>6</v>
      </c>
      <c r="K621" s="6" t="n">
        <f aca="false">IFERROR(VALUE(LEFT(E621,FIND(" - ",E621)-1)),"")</f>
        <v>5</v>
      </c>
      <c r="L621" s="5" t="s">
        <v>1885</v>
      </c>
      <c r="N621" s="6" t="n">
        <f aca="false">IF(F621="","",1+COUNTIFS($J:$J,J621,$K:$K,K621,$F:$F,"&gt;"&amp;F621)+COUNTIFS($J:$J,J621,$K:$K,K621,$F:$F,F621,$G:$G,"&gt;"&amp;G621))</f>
        <v>11</v>
      </c>
      <c r="O621" s="6" t="n">
        <f aca="false">IF(L621="","",SUMIFS(Votes!$E:$E,Votes!$A:$A,J621,Votes!$B:$B,K621,Votes!$D:$D,L621))</f>
        <v>9</v>
      </c>
      <c r="P621" s="6" t="n">
        <f aca="false">IF(L621="","",COUNTIFS(Votes!$A:$A,J621,Votes!$B:$B,K621,Votes!$D:$D,L621))</f>
        <v>6</v>
      </c>
      <c r="Q621" s="7" t="str">
        <f aca="false">IF(F621="","Unscored",IF(O621="","No URI",IF(AND(F621=0,O621=0),"Zero-vote",IF(AND(F621=O621,G621=P621),"OK",IF(AND(F621=0,O621&gt;0,COUNTIFS(Votes!$A:$A,J621,Votes!$B:$B,K621,Votes!$C:$C,D621)=0),"Forfeited","Mismatch")))))</f>
        <v>OK</v>
      </c>
      <c r="R621" s="6" t="n">
        <f aca="false">MAX(IF(L621&lt;&gt;"",COUNTIF($L:$L,L621),0),COUNTIFS($A:$A,A621,$B:$B,B621))</f>
        <v>1</v>
      </c>
      <c r="S621" s="6" t="str">
        <f aca="false">IF(R621&gt;1,COUNTIF($R$2:R621,"&gt;1"),"")</f>
        <v/>
      </c>
      <c r="T621" s="6" t="str">
        <f aca="false">IF(L621="","",J621&amp;"|"&amp;K621&amp;"|"&amp;L621)</f>
        <v>6|5|spotify:track:67hbP9PFQZrb4XZc3TzB0s</v>
      </c>
      <c r="U621" s="6" t="str">
        <f aca="false">IF(C621="","",IFERROR(INDEX(Lists!$F:$F,MATCH(C621,Lists!$E:$E,0)),"Unmapped"))</f>
        <v>Electronic/Dance</v>
      </c>
    </row>
    <row r="622" customFormat="false" ht="15" hidden="false" customHeight="false" outlineLevel="0" collapsed="false">
      <c r="A622" s="5" t="s">
        <v>1886</v>
      </c>
      <c r="B622" s="5" t="s">
        <v>1887</v>
      </c>
      <c r="C622" s="5" t="s">
        <v>293</v>
      </c>
      <c r="D622" s="5" t="s">
        <v>637</v>
      </c>
      <c r="E622" s="5" t="s">
        <v>1858</v>
      </c>
      <c r="F622" s="5" t="n">
        <v>8</v>
      </c>
      <c r="G622" s="5" t="n">
        <v>5</v>
      </c>
      <c r="H622" s="6" t="str">
        <f aca="false">IF(N622="","",N622&amp;IF(AND(MOD(N622,100)&gt;=11,MOD(N622,100)&lt;=13),"th",CHOOSE(MIN(5,MOD(N622,10)+1),"th","st","nd","rd","th")))</f>
        <v>12th</v>
      </c>
      <c r="I622" s="5" t="s">
        <v>1691</v>
      </c>
      <c r="J622" s="6" t="n">
        <f aca="false">IFERROR(INDEX(Rounds!$A:$A,MATCH(I622,Rounds!$B:$B,0)),"ADD LEAGUE TO ROUNDS")</f>
        <v>6</v>
      </c>
      <c r="K622" s="6" t="n">
        <f aca="false">IFERROR(VALUE(LEFT(E622,FIND(" - ",E622)-1)),"")</f>
        <v>5</v>
      </c>
      <c r="L622" s="5" t="s">
        <v>1888</v>
      </c>
      <c r="N622" s="6" t="n">
        <f aca="false">IF(F622="","",1+COUNTIFS($J:$J,J622,$K:$K,K622,$F:$F,"&gt;"&amp;F622)+COUNTIFS($J:$J,J622,$K:$K,K622,$F:$F,F622,$G:$G,"&gt;"&amp;G622))</f>
        <v>12</v>
      </c>
      <c r="O622" s="6" t="n">
        <f aca="false">IF(L622="","",SUMIFS(Votes!$E:$E,Votes!$A:$A,J622,Votes!$B:$B,K622,Votes!$D:$D,L622))</f>
        <v>8</v>
      </c>
      <c r="P622" s="6" t="n">
        <f aca="false">IF(L622="","",COUNTIFS(Votes!$A:$A,J622,Votes!$B:$B,K622,Votes!$D:$D,L622))</f>
        <v>5</v>
      </c>
      <c r="Q622" s="7" t="str">
        <f aca="false">IF(F622="","Unscored",IF(O622="","No URI",IF(AND(F622=0,O622=0),"Zero-vote",IF(AND(F622=O622,G622=P622),"OK",IF(AND(F622=0,O622&gt;0,COUNTIFS(Votes!$A:$A,J622,Votes!$B:$B,K622,Votes!$C:$C,D622)=0),"Forfeited","Mismatch")))))</f>
        <v>OK</v>
      </c>
      <c r="R622" s="6" t="n">
        <f aca="false">MAX(IF(L622&lt;&gt;"",COUNTIF($L:$L,L622),0),COUNTIFS($A:$A,A622,$B:$B,B622))</f>
        <v>1</v>
      </c>
      <c r="S622" s="6" t="str">
        <f aca="false">IF(R622&gt;1,COUNTIF($R$2:R622,"&gt;1"),"")</f>
        <v/>
      </c>
      <c r="T622" s="6" t="str">
        <f aca="false">IF(L622="","",J622&amp;"|"&amp;K622&amp;"|"&amp;L622)</f>
        <v>6|5|spotify:track:6Xe9wT5xeZETPwtaP2ynUz</v>
      </c>
      <c r="U622" s="6" t="str">
        <f aca="false">IF(C622="","",IFERROR(INDEX(Lists!$F:$F,MATCH(C622,Lists!$E:$E,0)),"Unmapped"))</f>
        <v>Electronic/Dance</v>
      </c>
    </row>
    <row r="623" customFormat="false" ht="15" hidden="false" customHeight="false" outlineLevel="0" collapsed="false">
      <c r="A623" s="5" t="s">
        <v>1304</v>
      </c>
      <c r="B623" s="5" t="s">
        <v>870</v>
      </c>
      <c r="C623" s="5" t="s">
        <v>96</v>
      </c>
      <c r="D623" s="5" t="s">
        <v>1843</v>
      </c>
      <c r="E623" s="5" t="s">
        <v>1858</v>
      </c>
      <c r="F623" s="5" t="n">
        <v>5</v>
      </c>
      <c r="G623" s="5" t="n">
        <v>4</v>
      </c>
      <c r="H623" s="6" t="str">
        <f aca="false">IF(N623="","",N623&amp;IF(AND(MOD(N623,100)&gt;=11,MOD(N623,100)&lt;=13),"th",CHOOSE(MIN(5,MOD(N623,10)+1),"th","st","nd","rd","th")))</f>
        <v>13th</v>
      </c>
      <c r="I623" s="5" t="s">
        <v>1691</v>
      </c>
      <c r="J623" s="6" t="n">
        <f aca="false">IFERROR(INDEX(Rounds!$A:$A,MATCH(I623,Rounds!$B:$B,0)),"ADD LEAGUE TO ROUNDS")</f>
        <v>6</v>
      </c>
      <c r="K623" s="6" t="n">
        <f aca="false">IFERROR(VALUE(LEFT(E623,FIND(" - ",E623)-1)),"")</f>
        <v>5</v>
      </c>
      <c r="L623" s="5" t="s">
        <v>1305</v>
      </c>
      <c r="N623" s="6" t="n">
        <f aca="false">IF(F623="","",1+COUNTIFS($J:$J,J623,$K:$K,K623,$F:$F,"&gt;"&amp;F623)+COUNTIFS($J:$J,J623,$K:$K,K623,$F:$F,F623,$G:$G,"&gt;"&amp;G623))</f>
        <v>13</v>
      </c>
      <c r="O623" s="6" t="n">
        <f aca="false">IF(L623="","",SUMIFS(Votes!$E:$E,Votes!$A:$A,J623,Votes!$B:$B,K623,Votes!$D:$D,L623))</f>
        <v>5</v>
      </c>
      <c r="P623" s="6" t="n">
        <f aca="false">IF(L623="","",COUNTIFS(Votes!$A:$A,J623,Votes!$B:$B,K623,Votes!$D:$D,L623))</f>
        <v>4</v>
      </c>
      <c r="Q623" s="7" t="str">
        <f aca="false">IF(F623="","Unscored",IF(O623="","No URI",IF(AND(F623=0,O623=0),"Zero-vote",IF(AND(F623=O623,G623=P623),"OK",IF(AND(F623=0,O623&gt;0,COUNTIFS(Votes!$A:$A,J623,Votes!$B:$B,K623,Votes!$C:$C,D623)=0),"Forfeited","Mismatch")))))</f>
        <v>OK</v>
      </c>
      <c r="R623" s="6" t="n">
        <f aca="false">MAX(IF(L623&lt;&gt;"",COUNTIF($L:$L,L623),0),COUNTIFS($A:$A,A623,$B:$B,B623))</f>
        <v>2</v>
      </c>
      <c r="S623" s="6" t="n">
        <f aca="false">IF(R623&gt;1,COUNTIF($R$2:R623,"&gt;1"),"")</f>
        <v>40</v>
      </c>
      <c r="T623" s="6" t="str">
        <f aca="false">IF(L623="","",J623&amp;"|"&amp;K623&amp;"|"&amp;L623)</f>
        <v>6|5|spotify:track:7J1uxwnxfQLu4APicE5Rnj</v>
      </c>
      <c r="U623" s="6" t="str">
        <f aca="false">IF(C623="","",IFERROR(INDEX(Lists!$F:$F,MATCH(C623,Lists!$E:$E,0)),"Unmapped"))</f>
        <v>R&amp;B/Soul</v>
      </c>
    </row>
    <row r="624" customFormat="false" ht="15" hidden="false" customHeight="false" outlineLevel="0" collapsed="false">
      <c r="A624" s="5" t="s">
        <v>1889</v>
      </c>
      <c r="B624" s="5" t="s">
        <v>1890</v>
      </c>
      <c r="C624" s="5" t="s">
        <v>171</v>
      </c>
      <c r="D624" s="5" t="s">
        <v>92</v>
      </c>
      <c r="E624" s="5" t="s">
        <v>1858</v>
      </c>
      <c r="F624" s="5" t="n">
        <v>5</v>
      </c>
      <c r="G624" s="5" t="n">
        <v>3</v>
      </c>
      <c r="H624" s="6" t="str">
        <f aca="false">IF(N624="","",N624&amp;IF(AND(MOD(N624,100)&gt;=11,MOD(N624,100)&lt;=13),"th",CHOOSE(MIN(5,MOD(N624,10)+1),"th","st","nd","rd","th")))</f>
        <v>14th</v>
      </c>
      <c r="I624" s="5" t="s">
        <v>1691</v>
      </c>
      <c r="J624" s="6" t="n">
        <f aca="false">IFERROR(INDEX(Rounds!$A:$A,MATCH(I624,Rounds!$B:$B,0)),"ADD LEAGUE TO ROUNDS")</f>
        <v>6</v>
      </c>
      <c r="K624" s="6" t="n">
        <f aca="false">IFERROR(VALUE(LEFT(E624,FIND(" - ",E624)-1)),"")</f>
        <v>5</v>
      </c>
      <c r="L624" s="5" t="s">
        <v>1891</v>
      </c>
      <c r="N624" s="6" t="n">
        <f aca="false">IF(F624="","",1+COUNTIFS($J:$J,J624,$K:$K,K624,$F:$F,"&gt;"&amp;F624)+COUNTIFS($J:$J,J624,$K:$K,K624,$F:$F,F624,$G:$G,"&gt;"&amp;G624))</f>
        <v>14</v>
      </c>
      <c r="O624" s="6" t="n">
        <f aca="false">IF(L624="","",SUMIFS(Votes!$E:$E,Votes!$A:$A,J624,Votes!$B:$B,K624,Votes!$D:$D,L624))</f>
        <v>5</v>
      </c>
      <c r="P624" s="6" t="n">
        <f aca="false">IF(L624="","",COUNTIFS(Votes!$A:$A,J624,Votes!$B:$B,K624,Votes!$D:$D,L624))</f>
        <v>3</v>
      </c>
      <c r="Q624" s="7" t="str">
        <f aca="false">IF(F624="","Unscored",IF(O624="","No URI",IF(AND(F624=0,O624=0),"Zero-vote",IF(AND(F624=O624,G624=P624),"OK",IF(AND(F624=0,O624&gt;0,COUNTIFS(Votes!$A:$A,J624,Votes!$B:$B,K624,Votes!$C:$C,D624)=0),"Forfeited","Mismatch")))))</f>
        <v>OK</v>
      </c>
      <c r="R624" s="6" t="n">
        <f aca="false">MAX(IF(L624&lt;&gt;"",COUNTIF($L:$L,L624),0),COUNTIFS($A:$A,A624,$B:$B,B624))</f>
        <v>1</v>
      </c>
      <c r="S624" s="6" t="str">
        <f aca="false">IF(R624&gt;1,COUNTIF($R$2:R624,"&gt;1"),"")</f>
        <v/>
      </c>
      <c r="T624" s="6" t="str">
        <f aca="false">IF(L624="","",J624&amp;"|"&amp;K624&amp;"|"&amp;L624)</f>
        <v>6|5|spotify:track:47Xj8eIAp7hYOOqArmkqZE</v>
      </c>
      <c r="U624" s="6" t="str">
        <f aca="false">IF(C624="","",IFERROR(INDEX(Lists!$F:$F,MATCH(C624,Lists!$E:$E,0)),"Unmapped"))</f>
        <v>Country</v>
      </c>
    </row>
    <row r="625" customFormat="false" ht="15" hidden="false" customHeight="false" outlineLevel="0" collapsed="false">
      <c r="A625" s="5" t="s">
        <v>1069</v>
      </c>
      <c r="B625" s="5" t="s">
        <v>1070</v>
      </c>
      <c r="C625" s="5" t="s">
        <v>84</v>
      </c>
      <c r="D625" s="5" t="s">
        <v>382</v>
      </c>
      <c r="E625" s="5" t="s">
        <v>1858</v>
      </c>
      <c r="F625" s="5" t="n">
        <v>4</v>
      </c>
      <c r="G625" s="5" t="n">
        <v>4</v>
      </c>
      <c r="H625" s="6" t="str">
        <f aca="false">IF(N625="","",N625&amp;IF(AND(MOD(N625,100)&gt;=11,MOD(N625,100)&lt;=13),"th",CHOOSE(MIN(5,MOD(N625,10)+1),"th","st","nd","rd","th")))</f>
        <v>15th</v>
      </c>
      <c r="I625" s="5" t="s">
        <v>1691</v>
      </c>
      <c r="J625" s="6" t="n">
        <f aca="false">IFERROR(INDEX(Rounds!$A:$A,MATCH(I625,Rounds!$B:$B,0)),"ADD LEAGUE TO ROUNDS")</f>
        <v>6</v>
      </c>
      <c r="K625" s="6" t="n">
        <f aca="false">IFERROR(VALUE(LEFT(E625,FIND(" - ",E625)-1)),"")</f>
        <v>5</v>
      </c>
      <c r="L625" s="5" t="s">
        <v>1071</v>
      </c>
      <c r="N625" s="6" t="n">
        <f aca="false">IF(F625="","",1+COUNTIFS($J:$J,J625,$K:$K,K625,$F:$F,"&gt;"&amp;F625)+COUNTIFS($J:$J,J625,$K:$K,K625,$F:$F,F625,$G:$G,"&gt;"&amp;G625))</f>
        <v>15</v>
      </c>
      <c r="O625" s="6" t="n">
        <f aca="false">IF(L625="","",SUMIFS(Votes!$E:$E,Votes!$A:$A,J625,Votes!$B:$B,K625,Votes!$D:$D,L625))</f>
        <v>4</v>
      </c>
      <c r="P625" s="6" t="n">
        <f aca="false">IF(L625="","",COUNTIFS(Votes!$A:$A,J625,Votes!$B:$B,K625,Votes!$D:$D,L625))</f>
        <v>4</v>
      </c>
      <c r="Q625" s="7" t="str">
        <f aca="false">IF(F625="","Unscored",IF(O625="","No URI",IF(AND(F625=0,O625=0),"Zero-vote",IF(AND(F625=O625,G625=P625),"OK",IF(AND(F625=0,O625&gt;0,COUNTIFS(Votes!$A:$A,J625,Votes!$B:$B,K625,Votes!$C:$C,D625)=0),"Forfeited","Mismatch")))))</f>
        <v>OK</v>
      </c>
      <c r="R625" s="6" t="n">
        <f aca="false">MAX(IF(L625&lt;&gt;"",COUNTIF($L:$L,L625),0),COUNTIFS($A:$A,A625,$B:$B,B625))</f>
        <v>2</v>
      </c>
      <c r="S625" s="6" t="n">
        <f aca="false">IF(R625&gt;1,COUNTIF($R$2:R625,"&gt;1"),"")</f>
        <v>41</v>
      </c>
      <c r="T625" s="6" t="str">
        <f aca="false">IF(L625="","",J625&amp;"|"&amp;K625&amp;"|"&amp;L625)</f>
        <v>6|5|spotify:track:47BBI51FKFwOMlIiX6m8ya</v>
      </c>
      <c r="U625" s="6" t="str">
        <f aca="false">IF(C625="","",IFERROR(INDEX(Lists!$F:$F,MATCH(C625,Lists!$E:$E,0)),"Unmapped"))</f>
        <v>Pop</v>
      </c>
    </row>
    <row r="626" customFormat="false" ht="15" hidden="false" customHeight="false" outlineLevel="0" collapsed="false">
      <c r="A626" s="5" t="s">
        <v>1892</v>
      </c>
      <c r="B626" s="5" t="s">
        <v>1893</v>
      </c>
      <c r="C626" s="5" t="s">
        <v>84</v>
      </c>
      <c r="D626" s="5" t="s">
        <v>85</v>
      </c>
      <c r="E626" s="5" t="s">
        <v>1894</v>
      </c>
      <c r="F626" s="5" t="n">
        <v>16</v>
      </c>
      <c r="G626" s="5" t="n">
        <v>9</v>
      </c>
      <c r="H626" s="6" t="str">
        <f aca="false">IF(N626="","",N626&amp;IF(AND(MOD(N626,100)&gt;=11,MOD(N626,100)&lt;=13),"th",CHOOSE(MIN(5,MOD(N626,10)+1),"th","st","nd","rd","th")))</f>
        <v>1st</v>
      </c>
      <c r="I626" s="5" t="s">
        <v>1691</v>
      </c>
      <c r="J626" s="6" t="n">
        <f aca="false">IFERROR(INDEX(Rounds!$A:$A,MATCH(I626,Rounds!$B:$B,0)),"ADD LEAGUE TO ROUNDS")</f>
        <v>6</v>
      </c>
      <c r="K626" s="6" t="n">
        <f aca="false">IFERROR(VALUE(LEFT(E626,FIND(" - ",E626)-1)),"")</f>
        <v>6</v>
      </c>
      <c r="L626" s="5" t="s">
        <v>1895</v>
      </c>
      <c r="N626" s="6" t="n">
        <f aca="false">IF(F626="","",1+COUNTIFS($J:$J,J626,$K:$K,K626,$F:$F,"&gt;"&amp;F626)+COUNTIFS($J:$J,J626,$K:$K,K626,$F:$F,F626,$G:$G,"&gt;"&amp;G626))</f>
        <v>1</v>
      </c>
      <c r="O626" s="6" t="n">
        <f aca="false">IF(L626="","",SUMIFS(Votes!$E:$E,Votes!$A:$A,J626,Votes!$B:$B,K626,Votes!$D:$D,L626))</f>
        <v>16</v>
      </c>
      <c r="P626" s="6" t="n">
        <f aca="false">IF(L626="","",COUNTIFS(Votes!$A:$A,J626,Votes!$B:$B,K626,Votes!$D:$D,L626))</f>
        <v>9</v>
      </c>
      <c r="Q626" s="7" t="str">
        <f aca="false">IF(F626="","Unscored",IF(O626="","No URI",IF(AND(F626=0,O626=0),"Zero-vote",IF(AND(F626=O626,G626=P626),"OK",IF(AND(F626=0,O626&gt;0,COUNTIFS(Votes!$A:$A,J626,Votes!$B:$B,K626,Votes!$C:$C,D626)=0),"Forfeited","Mismatch")))))</f>
        <v>OK</v>
      </c>
      <c r="R626" s="6" t="n">
        <f aca="false">MAX(IF(L626&lt;&gt;"",COUNTIF($L:$L,L626),0),COUNTIFS($A:$A,A626,$B:$B,B626))</f>
        <v>1</v>
      </c>
      <c r="S626" s="6" t="str">
        <f aca="false">IF(R626&gt;1,COUNTIF($R$2:R626,"&gt;1"),"")</f>
        <v/>
      </c>
      <c r="T626" s="6" t="str">
        <f aca="false">IF(L626="","",J626&amp;"|"&amp;K626&amp;"|"&amp;L626)</f>
        <v>6|6|spotify:track:3Qt3A2x143Eo3PeZb0rRfH</v>
      </c>
      <c r="U626" s="6" t="str">
        <f aca="false">IF(C626="","",IFERROR(INDEX(Lists!$F:$F,MATCH(C626,Lists!$E:$E,0)),"Unmapped"))</f>
        <v>Pop</v>
      </c>
    </row>
    <row r="627" customFormat="false" ht="15" hidden="false" customHeight="false" outlineLevel="0" collapsed="false">
      <c r="A627" s="5" t="s">
        <v>1896</v>
      </c>
      <c r="B627" s="5" t="s">
        <v>1510</v>
      </c>
      <c r="C627" s="5" t="s">
        <v>84</v>
      </c>
      <c r="D627" s="5" t="s">
        <v>101</v>
      </c>
      <c r="E627" s="5" t="s">
        <v>1894</v>
      </c>
      <c r="F627" s="5" t="n">
        <v>13</v>
      </c>
      <c r="G627" s="5" t="n">
        <v>9</v>
      </c>
      <c r="H627" s="6" t="str">
        <f aca="false">IF(N627="","",N627&amp;IF(AND(MOD(N627,100)&gt;=11,MOD(N627,100)&lt;=13),"th",CHOOSE(MIN(5,MOD(N627,10)+1),"th","st","nd","rd","th")))</f>
        <v>2nd</v>
      </c>
      <c r="I627" s="5" t="s">
        <v>1691</v>
      </c>
      <c r="J627" s="6" t="n">
        <f aca="false">IFERROR(INDEX(Rounds!$A:$A,MATCH(I627,Rounds!$B:$B,0)),"ADD LEAGUE TO ROUNDS")</f>
        <v>6</v>
      </c>
      <c r="K627" s="6" t="n">
        <f aca="false">IFERROR(VALUE(LEFT(E627,FIND(" - ",E627)-1)),"")</f>
        <v>6</v>
      </c>
      <c r="L627" s="5" t="s">
        <v>1897</v>
      </c>
      <c r="N627" s="6" t="n">
        <f aca="false">IF(F627="","",1+COUNTIFS($J:$J,J627,$K:$K,K627,$F:$F,"&gt;"&amp;F627)+COUNTIFS($J:$J,J627,$K:$K,K627,$F:$F,F627,$G:$G,"&gt;"&amp;G627))</f>
        <v>2</v>
      </c>
      <c r="O627" s="6" t="n">
        <f aca="false">IF(L627="","",SUMIFS(Votes!$E:$E,Votes!$A:$A,J627,Votes!$B:$B,K627,Votes!$D:$D,L627))</f>
        <v>13</v>
      </c>
      <c r="P627" s="6" t="n">
        <f aca="false">IF(L627="","",COUNTIFS(Votes!$A:$A,J627,Votes!$B:$B,K627,Votes!$D:$D,L627))</f>
        <v>9</v>
      </c>
      <c r="Q627" s="7" t="str">
        <f aca="false">IF(F627="","Unscored",IF(O627="","No URI",IF(AND(F627=0,O627=0),"Zero-vote",IF(AND(F627=O627,G627=P627),"OK",IF(AND(F627=0,O627&gt;0,COUNTIFS(Votes!$A:$A,J627,Votes!$B:$B,K627,Votes!$C:$C,D627)=0),"Forfeited","Mismatch")))))</f>
        <v>OK</v>
      </c>
      <c r="R627" s="6" t="n">
        <f aca="false">MAX(IF(L627&lt;&gt;"",COUNTIF($L:$L,L627),0),COUNTIFS($A:$A,A627,$B:$B,B627))</f>
        <v>1</v>
      </c>
      <c r="S627" s="6" t="str">
        <f aca="false">IF(R627&gt;1,COUNTIF($R$2:R627,"&gt;1"),"")</f>
        <v/>
      </c>
      <c r="T627" s="6" t="str">
        <f aca="false">IF(L627="","",J627&amp;"|"&amp;K627&amp;"|"&amp;L627)</f>
        <v>6|6|spotify:track:0gDIsF458XtmsL67aYqSj7</v>
      </c>
      <c r="U627" s="6" t="str">
        <f aca="false">IF(C627="","",IFERROR(INDEX(Lists!$F:$F,MATCH(C627,Lists!$E:$E,0)),"Unmapped"))</f>
        <v>Pop</v>
      </c>
    </row>
    <row r="628" customFormat="false" ht="15" hidden="false" customHeight="false" outlineLevel="0" collapsed="false">
      <c r="A628" s="5" t="s">
        <v>1898</v>
      </c>
      <c r="B628" s="5" t="s">
        <v>1899</v>
      </c>
      <c r="C628" s="5" t="s">
        <v>84</v>
      </c>
      <c r="D628" s="5" t="s">
        <v>395</v>
      </c>
      <c r="E628" s="5" t="s">
        <v>1894</v>
      </c>
      <c r="F628" s="5" t="n">
        <v>12</v>
      </c>
      <c r="G628" s="5" t="n">
        <v>9</v>
      </c>
      <c r="H628" s="6" t="str">
        <f aca="false">IF(N628="","",N628&amp;IF(AND(MOD(N628,100)&gt;=11,MOD(N628,100)&lt;=13),"th",CHOOSE(MIN(5,MOD(N628,10)+1),"th","st","nd","rd","th")))</f>
        <v>3rd</v>
      </c>
      <c r="I628" s="5" t="s">
        <v>1691</v>
      </c>
      <c r="J628" s="6" t="n">
        <f aca="false">IFERROR(INDEX(Rounds!$A:$A,MATCH(I628,Rounds!$B:$B,0)),"ADD LEAGUE TO ROUNDS")</f>
        <v>6</v>
      </c>
      <c r="K628" s="6" t="n">
        <f aca="false">IFERROR(VALUE(LEFT(E628,FIND(" - ",E628)-1)),"")</f>
        <v>6</v>
      </c>
      <c r="L628" s="5" t="s">
        <v>1900</v>
      </c>
      <c r="N628" s="6" t="n">
        <f aca="false">IF(F628="","",1+COUNTIFS($J:$J,J628,$K:$K,K628,$F:$F,"&gt;"&amp;F628)+COUNTIFS($J:$J,J628,$K:$K,K628,$F:$F,F628,$G:$G,"&gt;"&amp;G628))</f>
        <v>3</v>
      </c>
      <c r="O628" s="6" t="n">
        <f aca="false">IF(L628="","",SUMIFS(Votes!$E:$E,Votes!$A:$A,J628,Votes!$B:$B,K628,Votes!$D:$D,L628))</f>
        <v>12</v>
      </c>
      <c r="P628" s="6" t="n">
        <f aca="false">IF(L628="","",COUNTIFS(Votes!$A:$A,J628,Votes!$B:$B,K628,Votes!$D:$D,L628))</f>
        <v>9</v>
      </c>
      <c r="Q628" s="7" t="str">
        <f aca="false">IF(F628="","Unscored",IF(O628="","No URI",IF(AND(F628=0,O628=0),"Zero-vote",IF(AND(F628=O628,G628=P628),"OK",IF(AND(F628=0,O628&gt;0,COUNTIFS(Votes!$A:$A,J628,Votes!$B:$B,K628,Votes!$C:$C,D628)=0),"Forfeited","Mismatch")))))</f>
        <v>OK</v>
      </c>
      <c r="R628" s="6" t="n">
        <f aca="false">MAX(IF(L628&lt;&gt;"",COUNTIF($L:$L,L628),0),COUNTIFS($A:$A,A628,$B:$B,B628))</f>
        <v>1</v>
      </c>
      <c r="S628" s="6" t="str">
        <f aca="false">IF(R628&gt;1,COUNTIF($R$2:R628,"&gt;1"),"")</f>
        <v/>
      </c>
      <c r="T628" s="6" t="str">
        <f aca="false">IF(L628="","",J628&amp;"|"&amp;K628&amp;"|"&amp;L628)</f>
        <v>6|6|spotify:track:2QVRjz1nWhN8FCAHgnrTE4</v>
      </c>
      <c r="U628" s="6" t="str">
        <f aca="false">IF(C628="","",IFERROR(INDEX(Lists!$F:$F,MATCH(C628,Lists!$E:$E,0)),"Unmapped"))</f>
        <v>Pop</v>
      </c>
    </row>
    <row r="629" customFormat="false" ht="15" hidden="false" customHeight="false" outlineLevel="0" collapsed="false">
      <c r="A629" s="5" t="s">
        <v>1901</v>
      </c>
      <c r="B629" s="5" t="s">
        <v>1902</v>
      </c>
      <c r="C629" s="5" t="s">
        <v>91</v>
      </c>
      <c r="D629" s="5" t="s">
        <v>119</v>
      </c>
      <c r="E629" s="5" t="s">
        <v>1894</v>
      </c>
      <c r="F629" s="5" t="n">
        <v>12</v>
      </c>
      <c r="G629" s="5" t="n">
        <v>8</v>
      </c>
      <c r="H629" s="6" t="str">
        <f aca="false">IF(N629="","",N629&amp;IF(AND(MOD(N629,100)&gt;=11,MOD(N629,100)&lt;=13),"th",CHOOSE(MIN(5,MOD(N629,10)+1),"th","st","nd","rd","th")))</f>
        <v>4th</v>
      </c>
      <c r="I629" s="5" t="s">
        <v>1691</v>
      </c>
      <c r="J629" s="6" t="n">
        <f aca="false">IFERROR(INDEX(Rounds!$A:$A,MATCH(I629,Rounds!$B:$B,0)),"ADD LEAGUE TO ROUNDS")</f>
        <v>6</v>
      </c>
      <c r="K629" s="6" t="n">
        <f aca="false">IFERROR(VALUE(LEFT(E629,FIND(" - ",E629)-1)),"")</f>
        <v>6</v>
      </c>
      <c r="L629" s="5" t="s">
        <v>1903</v>
      </c>
      <c r="N629" s="6" t="n">
        <f aca="false">IF(F629="","",1+COUNTIFS($J:$J,J629,$K:$K,K629,$F:$F,"&gt;"&amp;F629)+COUNTIFS($J:$J,J629,$K:$K,K629,$F:$F,F629,$G:$G,"&gt;"&amp;G629))</f>
        <v>4</v>
      </c>
      <c r="O629" s="6" t="n">
        <f aca="false">IF(L629="","",SUMIFS(Votes!$E:$E,Votes!$A:$A,J629,Votes!$B:$B,K629,Votes!$D:$D,L629))</f>
        <v>12</v>
      </c>
      <c r="P629" s="6" t="n">
        <f aca="false">IF(L629="","",COUNTIFS(Votes!$A:$A,J629,Votes!$B:$B,K629,Votes!$D:$D,L629))</f>
        <v>8</v>
      </c>
      <c r="Q629" s="7" t="str">
        <f aca="false">IF(F629="","Unscored",IF(O629="","No URI",IF(AND(F629=0,O629=0),"Zero-vote",IF(AND(F629=O629,G629=P629),"OK",IF(AND(F629=0,O629&gt;0,COUNTIFS(Votes!$A:$A,J629,Votes!$B:$B,K629,Votes!$C:$C,D629)=0),"Forfeited","Mismatch")))))</f>
        <v>OK</v>
      </c>
      <c r="R629" s="6" t="n">
        <f aca="false">MAX(IF(L629&lt;&gt;"",COUNTIF($L:$L,L629),0),COUNTIFS($A:$A,A629,$B:$B,B629))</f>
        <v>1</v>
      </c>
      <c r="S629" s="6" t="str">
        <f aca="false">IF(R629&gt;1,COUNTIF($R$2:R629,"&gt;1"),"")</f>
        <v/>
      </c>
      <c r="T629" s="6" t="str">
        <f aca="false">IF(L629="","",J629&amp;"|"&amp;K629&amp;"|"&amp;L629)</f>
        <v>6|6|spotify:track:39ShyO1yBCiEoEXHX9ie0F</v>
      </c>
      <c r="U629" s="6" t="str">
        <f aca="false">IF(C629="","",IFERROR(INDEX(Lists!$F:$F,MATCH(C629,Lists!$E:$E,0)),"Unmapped"))</f>
        <v>Rock</v>
      </c>
    </row>
    <row r="630" customFormat="false" ht="15" hidden="false" customHeight="false" outlineLevel="0" collapsed="false">
      <c r="A630" s="5" t="s">
        <v>1904</v>
      </c>
      <c r="B630" s="5" t="s">
        <v>1905</v>
      </c>
      <c r="C630" s="5" t="s">
        <v>91</v>
      </c>
      <c r="D630" s="5" t="s">
        <v>97</v>
      </c>
      <c r="E630" s="5" t="s">
        <v>1894</v>
      </c>
      <c r="F630" s="5" t="n">
        <v>9</v>
      </c>
      <c r="G630" s="5" t="n">
        <v>7</v>
      </c>
      <c r="H630" s="6" t="str">
        <f aca="false">IF(N630="","",N630&amp;IF(AND(MOD(N630,100)&gt;=11,MOD(N630,100)&lt;=13),"th",CHOOSE(MIN(5,MOD(N630,10)+1),"th","st","nd","rd","th")))</f>
        <v>5th</v>
      </c>
      <c r="I630" s="5" t="s">
        <v>1691</v>
      </c>
      <c r="J630" s="6" t="n">
        <f aca="false">IFERROR(INDEX(Rounds!$A:$A,MATCH(I630,Rounds!$B:$B,0)),"ADD LEAGUE TO ROUNDS")</f>
        <v>6</v>
      </c>
      <c r="K630" s="6" t="n">
        <f aca="false">IFERROR(VALUE(LEFT(E630,FIND(" - ",E630)-1)),"")</f>
        <v>6</v>
      </c>
      <c r="L630" s="5" t="s">
        <v>1906</v>
      </c>
      <c r="N630" s="6" t="n">
        <f aca="false">IF(F630="","",1+COUNTIFS($J:$J,J630,$K:$K,K630,$F:$F,"&gt;"&amp;F630)+COUNTIFS($J:$J,J630,$K:$K,K630,$F:$F,F630,$G:$G,"&gt;"&amp;G630))</f>
        <v>5</v>
      </c>
      <c r="O630" s="6" t="n">
        <f aca="false">IF(L630="","",SUMIFS(Votes!$E:$E,Votes!$A:$A,J630,Votes!$B:$B,K630,Votes!$D:$D,L630))</f>
        <v>9</v>
      </c>
      <c r="P630" s="6" t="n">
        <f aca="false">IF(L630="","",COUNTIFS(Votes!$A:$A,J630,Votes!$B:$B,K630,Votes!$D:$D,L630))</f>
        <v>7</v>
      </c>
      <c r="Q630" s="7" t="str">
        <f aca="false">IF(F630="","Unscored",IF(O630="","No URI",IF(AND(F630=0,O630=0),"Zero-vote",IF(AND(F630=O630,G630=P630),"OK",IF(AND(F630=0,O630&gt;0,COUNTIFS(Votes!$A:$A,J630,Votes!$B:$B,K630,Votes!$C:$C,D630)=0),"Forfeited","Mismatch")))))</f>
        <v>OK</v>
      </c>
      <c r="R630" s="6" t="n">
        <f aca="false">MAX(IF(L630&lt;&gt;"",COUNTIF($L:$L,L630),0),COUNTIFS($A:$A,A630,$B:$B,B630))</f>
        <v>1</v>
      </c>
      <c r="S630" s="6" t="str">
        <f aca="false">IF(R630&gt;1,COUNTIF($R$2:R630,"&gt;1"),"")</f>
        <v/>
      </c>
      <c r="T630" s="6" t="str">
        <f aca="false">IF(L630="","",J630&amp;"|"&amp;K630&amp;"|"&amp;L630)</f>
        <v>6|6|spotify:track:1Cwsd5xI8CajJz795oy4XF</v>
      </c>
      <c r="U630" s="6" t="str">
        <f aca="false">IF(C630="","",IFERROR(INDEX(Lists!$F:$F,MATCH(C630,Lists!$E:$E,0)),"Unmapped"))</f>
        <v>Rock</v>
      </c>
    </row>
    <row r="631" customFormat="false" ht="15" hidden="false" customHeight="false" outlineLevel="0" collapsed="false">
      <c r="A631" s="5" t="s">
        <v>1907</v>
      </c>
      <c r="B631" s="5" t="s">
        <v>1654</v>
      </c>
      <c r="C631" s="5" t="s">
        <v>84</v>
      </c>
      <c r="D631" s="5" t="s">
        <v>719</v>
      </c>
      <c r="E631" s="5" t="s">
        <v>1894</v>
      </c>
      <c r="F631" s="5" t="n">
        <v>7</v>
      </c>
      <c r="G631" s="5" t="n">
        <v>5</v>
      </c>
      <c r="H631" s="6" t="str">
        <f aca="false">IF(N631="","",N631&amp;IF(AND(MOD(N631,100)&gt;=11,MOD(N631,100)&lt;=13),"th",CHOOSE(MIN(5,MOD(N631,10)+1),"th","st","nd","rd","th")))</f>
        <v>6th</v>
      </c>
      <c r="I631" s="5" t="s">
        <v>1691</v>
      </c>
      <c r="J631" s="6" t="n">
        <f aca="false">IFERROR(INDEX(Rounds!$A:$A,MATCH(I631,Rounds!$B:$B,0)),"ADD LEAGUE TO ROUNDS")</f>
        <v>6</v>
      </c>
      <c r="K631" s="6" t="n">
        <f aca="false">IFERROR(VALUE(LEFT(E631,FIND(" - ",E631)-1)),"")</f>
        <v>6</v>
      </c>
      <c r="L631" s="5" t="s">
        <v>1908</v>
      </c>
      <c r="N631" s="6" t="n">
        <f aca="false">IF(F631="","",1+COUNTIFS($J:$J,J631,$K:$K,K631,$F:$F,"&gt;"&amp;F631)+COUNTIFS($J:$J,J631,$K:$K,K631,$F:$F,F631,$G:$G,"&gt;"&amp;G631))</f>
        <v>6</v>
      </c>
      <c r="O631" s="6" t="n">
        <f aca="false">IF(L631="","",SUMIFS(Votes!$E:$E,Votes!$A:$A,J631,Votes!$B:$B,K631,Votes!$D:$D,L631))</f>
        <v>7</v>
      </c>
      <c r="P631" s="6" t="n">
        <f aca="false">IF(L631="","",COUNTIFS(Votes!$A:$A,J631,Votes!$B:$B,K631,Votes!$D:$D,L631))</f>
        <v>5</v>
      </c>
      <c r="Q631" s="7" t="str">
        <f aca="false">IF(F631="","Unscored",IF(O631="","No URI",IF(AND(F631=0,O631=0),"Zero-vote",IF(AND(F631=O631,G631=P631),"OK",IF(AND(F631=0,O631&gt;0,COUNTIFS(Votes!$A:$A,J631,Votes!$B:$B,K631,Votes!$C:$C,D631)=0),"Forfeited","Mismatch")))))</f>
        <v>OK</v>
      </c>
      <c r="R631" s="6" t="n">
        <f aca="false">MAX(IF(L631&lt;&gt;"",COUNTIF($L:$L,L631),0),COUNTIFS($A:$A,A631,$B:$B,B631))</f>
        <v>1</v>
      </c>
      <c r="S631" s="6" t="str">
        <f aca="false">IF(R631&gt;1,COUNTIF($R$2:R631,"&gt;1"),"")</f>
        <v/>
      </c>
      <c r="T631" s="6" t="str">
        <f aca="false">IF(L631="","",J631&amp;"|"&amp;K631&amp;"|"&amp;L631)</f>
        <v>6|6|spotify:track:5eVNpfTi4H5h12p3LGFyWD</v>
      </c>
      <c r="U631" s="6" t="str">
        <f aca="false">IF(C631="","",IFERROR(INDEX(Lists!$F:$F,MATCH(C631,Lists!$E:$E,0)),"Unmapped"))</f>
        <v>Pop</v>
      </c>
    </row>
    <row r="632" customFormat="false" ht="15" hidden="false" customHeight="false" outlineLevel="0" collapsed="false">
      <c r="A632" s="5" t="s">
        <v>1909</v>
      </c>
      <c r="B632" s="5" t="s">
        <v>1910</v>
      </c>
      <c r="C632" s="5" t="s">
        <v>105</v>
      </c>
      <c r="D632" s="5" t="s">
        <v>92</v>
      </c>
      <c r="E632" s="5" t="s">
        <v>1894</v>
      </c>
      <c r="F632" s="5" t="n">
        <v>6</v>
      </c>
      <c r="G632" s="5" t="n">
        <v>5</v>
      </c>
      <c r="H632" s="6" t="str">
        <f aca="false">IF(N632="","",N632&amp;IF(AND(MOD(N632,100)&gt;=11,MOD(N632,100)&lt;=13),"th",CHOOSE(MIN(5,MOD(N632,10)+1),"th","st","nd","rd","th")))</f>
        <v>7th</v>
      </c>
      <c r="I632" s="5" t="s">
        <v>1691</v>
      </c>
      <c r="J632" s="6" t="n">
        <f aca="false">IFERROR(INDEX(Rounds!$A:$A,MATCH(I632,Rounds!$B:$B,0)),"ADD LEAGUE TO ROUNDS")</f>
        <v>6</v>
      </c>
      <c r="K632" s="6" t="n">
        <f aca="false">IFERROR(VALUE(LEFT(E632,FIND(" - ",E632)-1)),"")</f>
        <v>6</v>
      </c>
      <c r="L632" s="5" t="s">
        <v>1911</v>
      </c>
      <c r="N632" s="6" t="n">
        <f aca="false">IF(F632="","",1+COUNTIFS($J:$J,J632,$K:$K,K632,$F:$F,"&gt;"&amp;F632)+COUNTIFS($J:$J,J632,$K:$K,K632,$F:$F,F632,$G:$G,"&gt;"&amp;G632))</f>
        <v>7</v>
      </c>
      <c r="O632" s="6" t="n">
        <f aca="false">IF(L632="","",SUMIFS(Votes!$E:$E,Votes!$A:$A,J632,Votes!$B:$B,K632,Votes!$D:$D,L632))</f>
        <v>6</v>
      </c>
      <c r="P632" s="6" t="n">
        <f aca="false">IF(L632="","",COUNTIFS(Votes!$A:$A,J632,Votes!$B:$B,K632,Votes!$D:$D,L632))</f>
        <v>5</v>
      </c>
      <c r="Q632" s="7" t="str">
        <f aca="false">IF(F632="","Unscored",IF(O632="","No URI",IF(AND(F632=0,O632=0),"Zero-vote",IF(AND(F632=O632,G632=P632),"OK",IF(AND(F632=0,O632&gt;0,COUNTIFS(Votes!$A:$A,J632,Votes!$B:$B,K632,Votes!$C:$C,D632)=0),"Forfeited","Mismatch")))))</f>
        <v>OK</v>
      </c>
      <c r="R632" s="6" t="n">
        <f aca="false">MAX(IF(L632&lt;&gt;"",COUNTIF($L:$L,L632),0),COUNTIFS($A:$A,A632,$B:$B,B632))</f>
        <v>1</v>
      </c>
      <c r="S632" s="6" t="str">
        <f aca="false">IF(R632&gt;1,COUNTIF($R$2:R632,"&gt;1"),"")</f>
        <v/>
      </c>
      <c r="T632" s="6" t="str">
        <f aca="false">IF(L632="","",J632&amp;"|"&amp;K632&amp;"|"&amp;L632)</f>
        <v>6|6|spotify:track:19CCQeIOxxUDcpFw539zd7</v>
      </c>
      <c r="U632" s="6" t="str">
        <f aca="false">IF(C632="","",IFERROR(INDEX(Lists!$F:$F,MATCH(C632,Lists!$E:$E,0)),"Unmapped"))</f>
        <v>Metal</v>
      </c>
    </row>
    <row r="633" customFormat="false" ht="15" hidden="false" customHeight="false" outlineLevel="0" collapsed="false">
      <c r="A633" s="5" t="s">
        <v>1912</v>
      </c>
      <c r="B633" s="5" t="s">
        <v>1913</v>
      </c>
      <c r="C633" s="5" t="s">
        <v>91</v>
      </c>
      <c r="D633" s="5" t="s">
        <v>705</v>
      </c>
      <c r="E633" s="5" t="s">
        <v>1894</v>
      </c>
      <c r="F633" s="5" t="n">
        <v>6</v>
      </c>
      <c r="G633" s="5" t="n">
        <v>5</v>
      </c>
      <c r="H633" s="6" t="str">
        <f aca="false">IF(N633="","",N633&amp;IF(AND(MOD(N633,100)&gt;=11,MOD(N633,100)&lt;=13),"th",CHOOSE(MIN(5,MOD(N633,10)+1),"th","st","nd","rd","th")))</f>
        <v>7th</v>
      </c>
      <c r="I633" s="5" t="s">
        <v>1691</v>
      </c>
      <c r="J633" s="6" t="n">
        <f aca="false">IFERROR(INDEX(Rounds!$A:$A,MATCH(I633,Rounds!$B:$B,0)),"ADD LEAGUE TO ROUNDS")</f>
        <v>6</v>
      </c>
      <c r="K633" s="6" t="n">
        <f aca="false">IFERROR(VALUE(LEFT(E633,FIND(" - ",E633)-1)),"")</f>
        <v>6</v>
      </c>
      <c r="L633" s="5" t="s">
        <v>1914</v>
      </c>
      <c r="N633" s="6" t="n">
        <f aca="false">IF(F633="","",1+COUNTIFS($J:$J,J633,$K:$K,K633,$F:$F,"&gt;"&amp;F633)+COUNTIFS($J:$J,J633,$K:$K,K633,$F:$F,F633,$G:$G,"&gt;"&amp;G633))</f>
        <v>7</v>
      </c>
      <c r="O633" s="6" t="n">
        <f aca="false">IF(L633="","",SUMIFS(Votes!$E:$E,Votes!$A:$A,J633,Votes!$B:$B,K633,Votes!$D:$D,L633))</f>
        <v>6</v>
      </c>
      <c r="P633" s="6" t="n">
        <f aca="false">IF(L633="","",COUNTIFS(Votes!$A:$A,J633,Votes!$B:$B,K633,Votes!$D:$D,L633))</f>
        <v>5</v>
      </c>
      <c r="Q633" s="7" t="str">
        <f aca="false">IF(F633="","Unscored",IF(O633="","No URI",IF(AND(F633=0,O633=0),"Zero-vote",IF(AND(F633=O633,G633=P633),"OK",IF(AND(F633=0,O633&gt;0,COUNTIFS(Votes!$A:$A,J633,Votes!$B:$B,K633,Votes!$C:$C,D633)=0),"Forfeited","Mismatch")))))</f>
        <v>OK</v>
      </c>
      <c r="R633" s="6" t="n">
        <f aca="false">MAX(IF(L633&lt;&gt;"",COUNTIF($L:$L,L633),0),COUNTIFS($A:$A,A633,$B:$B,B633))</f>
        <v>2</v>
      </c>
      <c r="S633" s="6" t="n">
        <f aca="false">IF(R633&gt;1,COUNTIF($R$2:R633,"&gt;1"),"")</f>
        <v>42</v>
      </c>
      <c r="T633" s="6" t="str">
        <f aca="false">IF(L633="","",J633&amp;"|"&amp;K633&amp;"|"&amp;L633)</f>
        <v>6|6|spotify:track:1p46bniF6fC9kT1v5yjJOI</v>
      </c>
      <c r="U633" s="6" t="str">
        <f aca="false">IF(C633="","",IFERROR(INDEX(Lists!$F:$F,MATCH(C633,Lists!$E:$E,0)),"Unmapped"))</f>
        <v>Rock</v>
      </c>
    </row>
    <row r="634" customFormat="false" ht="15" hidden="false" customHeight="false" outlineLevel="0" collapsed="false">
      <c r="A634" s="5" t="s">
        <v>1465</v>
      </c>
      <c r="B634" s="5" t="s">
        <v>1310</v>
      </c>
      <c r="C634" s="5" t="s">
        <v>491</v>
      </c>
      <c r="D634" s="5" t="s">
        <v>116</v>
      </c>
      <c r="E634" s="5" t="s">
        <v>1894</v>
      </c>
      <c r="F634" s="5" t="n">
        <v>6</v>
      </c>
      <c r="G634" s="5" t="n">
        <v>5</v>
      </c>
      <c r="H634" s="6" t="str">
        <f aca="false">IF(N634="","",N634&amp;IF(AND(MOD(N634,100)&gt;=11,MOD(N634,100)&lt;=13),"th",CHOOSE(MIN(5,MOD(N634,10)+1),"th","st","nd","rd","th")))</f>
        <v>7th</v>
      </c>
      <c r="I634" s="5" t="s">
        <v>1691</v>
      </c>
      <c r="J634" s="6" t="n">
        <f aca="false">IFERROR(INDEX(Rounds!$A:$A,MATCH(I634,Rounds!$B:$B,0)),"ADD LEAGUE TO ROUNDS")</f>
        <v>6</v>
      </c>
      <c r="K634" s="6" t="n">
        <f aca="false">IFERROR(VALUE(LEFT(E634,FIND(" - ",E634)-1)),"")</f>
        <v>6</v>
      </c>
      <c r="L634" s="5" t="s">
        <v>1466</v>
      </c>
      <c r="N634" s="6" t="n">
        <f aca="false">IF(F634="","",1+COUNTIFS($J:$J,J634,$K:$K,K634,$F:$F,"&gt;"&amp;F634)+COUNTIFS($J:$J,J634,$K:$K,K634,$F:$F,F634,$G:$G,"&gt;"&amp;G634))</f>
        <v>7</v>
      </c>
      <c r="O634" s="6" t="n">
        <f aca="false">IF(L634="","",SUMIFS(Votes!$E:$E,Votes!$A:$A,J634,Votes!$B:$B,K634,Votes!$D:$D,L634))</f>
        <v>6</v>
      </c>
      <c r="P634" s="6" t="n">
        <f aca="false">IF(L634="","",COUNTIFS(Votes!$A:$A,J634,Votes!$B:$B,K634,Votes!$D:$D,L634))</f>
        <v>5</v>
      </c>
      <c r="Q634" s="7" t="str">
        <f aca="false">IF(F634="","Unscored",IF(O634="","No URI",IF(AND(F634=0,O634=0),"Zero-vote",IF(AND(F634=O634,G634=P634),"OK",IF(AND(F634=0,O634&gt;0,COUNTIFS(Votes!$A:$A,J634,Votes!$B:$B,K634,Votes!$C:$C,D634)=0),"Forfeited","Mismatch")))))</f>
        <v>OK</v>
      </c>
      <c r="R634" s="6" t="n">
        <f aca="false">MAX(IF(L634&lt;&gt;"",COUNTIF($L:$L,L634),0),COUNTIFS($A:$A,A634,$B:$B,B634))</f>
        <v>2</v>
      </c>
      <c r="S634" s="6" t="n">
        <f aca="false">IF(R634&gt;1,COUNTIF($R$2:R634,"&gt;1"),"")</f>
        <v>43</v>
      </c>
      <c r="T634" s="6" t="str">
        <f aca="false">IF(L634="","",J634&amp;"|"&amp;K634&amp;"|"&amp;L634)</f>
        <v>6|6|spotify:track:7vggqxNKwd6xdRoYS0pQtM</v>
      </c>
      <c r="U634" s="6" t="str">
        <f aca="false">IF(C634="","",IFERROR(INDEX(Lists!$F:$F,MATCH(C634,Lists!$E:$E,0)),"Unmapped"))</f>
        <v>Reggae</v>
      </c>
    </row>
    <row r="635" customFormat="false" ht="15" hidden="false" customHeight="false" outlineLevel="0" collapsed="false">
      <c r="A635" s="5" t="s">
        <v>1915</v>
      </c>
      <c r="B635" s="5" t="s">
        <v>1916</v>
      </c>
      <c r="C635" s="5" t="s">
        <v>84</v>
      </c>
      <c r="D635" s="5" t="s">
        <v>128</v>
      </c>
      <c r="E635" s="5" t="s">
        <v>1894</v>
      </c>
      <c r="F635" s="5" t="n">
        <v>4</v>
      </c>
      <c r="G635" s="5" t="n">
        <v>4</v>
      </c>
      <c r="H635" s="6" t="str">
        <f aca="false">IF(N635="","",N635&amp;IF(AND(MOD(N635,100)&gt;=11,MOD(N635,100)&lt;=13),"th",CHOOSE(MIN(5,MOD(N635,10)+1),"th","st","nd","rd","th")))</f>
        <v>10th</v>
      </c>
      <c r="I635" s="5" t="s">
        <v>1691</v>
      </c>
      <c r="J635" s="6" t="n">
        <f aca="false">IFERROR(INDEX(Rounds!$A:$A,MATCH(I635,Rounds!$B:$B,0)),"ADD LEAGUE TO ROUNDS")</f>
        <v>6</v>
      </c>
      <c r="K635" s="6" t="n">
        <f aca="false">IFERROR(VALUE(LEFT(E635,FIND(" - ",E635)-1)),"")</f>
        <v>6</v>
      </c>
      <c r="L635" s="5" t="s">
        <v>1917</v>
      </c>
      <c r="N635" s="6" t="n">
        <f aca="false">IF(F635="","",1+COUNTIFS($J:$J,J635,$K:$K,K635,$F:$F,"&gt;"&amp;F635)+COUNTIFS($J:$J,J635,$K:$K,K635,$F:$F,F635,$G:$G,"&gt;"&amp;G635))</f>
        <v>10</v>
      </c>
      <c r="O635" s="6" t="n">
        <f aca="false">IF(L635="","",SUMIFS(Votes!$E:$E,Votes!$A:$A,J635,Votes!$B:$B,K635,Votes!$D:$D,L635))</f>
        <v>4</v>
      </c>
      <c r="P635" s="6" t="n">
        <f aca="false">IF(L635="","",COUNTIFS(Votes!$A:$A,J635,Votes!$B:$B,K635,Votes!$D:$D,L635))</f>
        <v>4</v>
      </c>
      <c r="Q635" s="7" t="str">
        <f aca="false">IF(F635="","Unscored",IF(O635="","No URI",IF(AND(F635=0,O635=0),"Zero-vote",IF(AND(F635=O635,G635=P635),"OK",IF(AND(F635=0,O635&gt;0,COUNTIFS(Votes!$A:$A,J635,Votes!$B:$B,K635,Votes!$C:$C,D635)=0),"Forfeited","Mismatch")))))</f>
        <v>OK</v>
      </c>
      <c r="R635" s="6" t="n">
        <f aca="false">MAX(IF(L635&lt;&gt;"",COUNTIF($L:$L,L635),0),COUNTIFS($A:$A,A635,$B:$B,B635))</f>
        <v>1</v>
      </c>
      <c r="S635" s="6" t="str">
        <f aca="false">IF(R635&gt;1,COUNTIF($R$2:R635,"&gt;1"),"")</f>
        <v/>
      </c>
      <c r="T635" s="6" t="str">
        <f aca="false">IF(L635="","",J635&amp;"|"&amp;K635&amp;"|"&amp;L635)</f>
        <v>6|6|spotify:track:0SENYBHXBj0TI1ZygWwxee</v>
      </c>
      <c r="U635" s="6" t="str">
        <f aca="false">IF(C635="","",IFERROR(INDEX(Lists!$F:$F,MATCH(C635,Lists!$E:$E,0)),"Unmapped"))</f>
        <v>Pop</v>
      </c>
    </row>
    <row r="636" customFormat="false" ht="15" hidden="false" customHeight="false" outlineLevel="0" collapsed="false">
      <c r="A636" s="5" t="s">
        <v>1918</v>
      </c>
      <c r="B636" s="5" t="s">
        <v>1299</v>
      </c>
      <c r="C636" s="5" t="s">
        <v>91</v>
      </c>
      <c r="D636" s="5" t="s">
        <v>106</v>
      </c>
      <c r="E636" s="5" t="s">
        <v>1894</v>
      </c>
      <c r="F636" s="5" t="n">
        <v>3</v>
      </c>
      <c r="G636" s="5" t="n">
        <v>3</v>
      </c>
      <c r="H636" s="6" t="str">
        <f aca="false">IF(N636="","",N636&amp;IF(AND(MOD(N636,100)&gt;=11,MOD(N636,100)&lt;=13),"th",CHOOSE(MIN(5,MOD(N636,10)+1),"th","st","nd","rd","th")))</f>
        <v>11th</v>
      </c>
      <c r="I636" s="5" t="s">
        <v>1691</v>
      </c>
      <c r="J636" s="6" t="n">
        <f aca="false">IFERROR(INDEX(Rounds!$A:$A,MATCH(I636,Rounds!$B:$B,0)),"ADD LEAGUE TO ROUNDS")</f>
        <v>6</v>
      </c>
      <c r="K636" s="6" t="n">
        <f aca="false">IFERROR(VALUE(LEFT(E636,FIND(" - ",E636)-1)),"")</f>
        <v>6</v>
      </c>
      <c r="L636" s="5" t="s">
        <v>1919</v>
      </c>
      <c r="N636" s="6" t="n">
        <f aca="false">IF(F636="","",1+COUNTIFS($J:$J,J636,$K:$K,K636,$F:$F,"&gt;"&amp;F636)+COUNTIFS($J:$J,J636,$K:$K,K636,$F:$F,F636,$G:$G,"&gt;"&amp;G636))</f>
        <v>11</v>
      </c>
      <c r="O636" s="6" t="n">
        <f aca="false">IF(L636="","",SUMIFS(Votes!$E:$E,Votes!$A:$A,J636,Votes!$B:$B,K636,Votes!$D:$D,L636))</f>
        <v>3</v>
      </c>
      <c r="P636" s="6" t="n">
        <f aca="false">IF(L636="","",COUNTIFS(Votes!$A:$A,J636,Votes!$B:$B,K636,Votes!$D:$D,L636))</f>
        <v>3</v>
      </c>
      <c r="Q636" s="7" t="str">
        <f aca="false">IF(F636="","Unscored",IF(O636="","No URI",IF(AND(F636=0,O636=0),"Zero-vote",IF(AND(F636=O636,G636=P636),"OK",IF(AND(F636=0,O636&gt;0,COUNTIFS(Votes!$A:$A,J636,Votes!$B:$B,K636,Votes!$C:$C,D636)=0),"Forfeited","Mismatch")))))</f>
        <v>OK</v>
      </c>
      <c r="R636" s="6" t="n">
        <f aca="false">MAX(IF(L636&lt;&gt;"",COUNTIF($L:$L,L636),0),COUNTIFS($A:$A,A636,$B:$B,B636))</f>
        <v>1</v>
      </c>
      <c r="S636" s="6" t="str">
        <f aca="false">IF(R636&gt;1,COUNTIF($R$2:R636,"&gt;1"),"")</f>
        <v/>
      </c>
      <c r="T636" s="6" t="str">
        <f aca="false">IF(L636="","",J636&amp;"|"&amp;K636&amp;"|"&amp;L636)</f>
        <v>6|6|spotify:track:4G8Eu3EDQZYhHPfJMFCv8V</v>
      </c>
      <c r="U636" s="6" t="str">
        <f aca="false">IF(C636="","",IFERROR(INDEX(Lists!$F:$F,MATCH(C636,Lists!$E:$E,0)),"Unmapped"))</f>
        <v>Rock</v>
      </c>
    </row>
    <row r="637" customFormat="false" ht="15" hidden="false" customHeight="false" outlineLevel="0" collapsed="false">
      <c r="A637" s="5" t="s">
        <v>1920</v>
      </c>
      <c r="B637" s="5" t="s">
        <v>1921</v>
      </c>
      <c r="C637" s="5" t="s">
        <v>84</v>
      </c>
      <c r="D637" s="5" t="s">
        <v>637</v>
      </c>
      <c r="E637" s="5" t="s">
        <v>1894</v>
      </c>
      <c r="F637" s="5" t="n">
        <v>0</v>
      </c>
      <c r="G637" s="5" t="n">
        <v>9</v>
      </c>
      <c r="H637" s="6" t="str">
        <f aca="false">IF(N637="","",N637&amp;IF(AND(MOD(N637,100)&gt;=11,MOD(N637,100)&lt;=13),"th",CHOOSE(MIN(5,MOD(N637,10)+1),"th","st","nd","rd","th")))</f>
        <v>12th</v>
      </c>
      <c r="I637" s="5" t="s">
        <v>1691</v>
      </c>
      <c r="J637" s="6" t="n">
        <f aca="false">IFERROR(INDEX(Rounds!$A:$A,MATCH(I637,Rounds!$B:$B,0)),"ADD LEAGUE TO ROUNDS")</f>
        <v>6</v>
      </c>
      <c r="K637" s="6" t="n">
        <f aca="false">IFERROR(VALUE(LEFT(E637,FIND(" - ",E637)-1)),"")</f>
        <v>6</v>
      </c>
      <c r="L637" s="5" t="s">
        <v>1922</v>
      </c>
      <c r="N637" s="6" t="n">
        <f aca="false">IF(F637="","",1+COUNTIFS($J:$J,J637,$K:$K,K637,$F:$F,"&gt;"&amp;F637)+COUNTIFS($J:$J,J637,$K:$K,K637,$F:$F,F637,$G:$G,"&gt;"&amp;G637))</f>
        <v>12</v>
      </c>
      <c r="O637" s="6" t="n">
        <f aca="false">IF(L637="","",SUMIFS(Votes!$E:$E,Votes!$A:$A,J637,Votes!$B:$B,K637,Votes!$D:$D,L637))</f>
        <v>16</v>
      </c>
      <c r="P637" s="6" t="n">
        <f aca="false">IF(L637="","",COUNTIFS(Votes!$A:$A,J637,Votes!$B:$B,K637,Votes!$D:$D,L637))</f>
        <v>9</v>
      </c>
      <c r="Q637" s="7" t="str">
        <f aca="false">IF(F637="","Unscored",IF(O637="","No URI",IF(AND(F637=0,O637=0),"Zero-vote",IF(AND(F637=O637,G637=P637),"OK",IF(AND(F637=0,O637&gt;0,COUNTIFS(Votes!$A:$A,J637,Votes!$B:$B,K637,Votes!$C:$C,D637)=0),"Forfeited","Mismatch")))))</f>
        <v>Forfeited</v>
      </c>
      <c r="R637" s="6" t="n">
        <f aca="false">MAX(IF(L637&lt;&gt;"",COUNTIF($L:$L,L637),0),COUNTIFS($A:$A,A637,$B:$B,B637))</f>
        <v>1</v>
      </c>
      <c r="S637" s="6" t="str">
        <f aca="false">IF(R637&gt;1,COUNTIF($R$2:R637,"&gt;1"),"")</f>
        <v/>
      </c>
      <c r="T637" s="6" t="str">
        <f aca="false">IF(L637="","",J637&amp;"|"&amp;K637&amp;"|"&amp;L637)</f>
        <v>6|6|spotify:track:4pMyfWdA0eo3JY5RqMotbw</v>
      </c>
      <c r="U637" s="6" t="str">
        <f aca="false">IF(C637="","",IFERROR(INDEX(Lists!$F:$F,MATCH(C637,Lists!$E:$E,0)),"Unmapped"))</f>
        <v>Pop</v>
      </c>
    </row>
    <row r="638" customFormat="false" ht="15" hidden="false" customHeight="false" outlineLevel="0" collapsed="false">
      <c r="A638" s="5" t="s">
        <v>1923</v>
      </c>
      <c r="B638" s="5" t="s">
        <v>520</v>
      </c>
      <c r="C638" s="5" t="s">
        <v>84</v>
      </c>
      <c r="D638" s="5" t="s">
        <v>382</v>
      </c>
      <c r="E638" s="5" t="s">
        <v>1894</v>
      </c>
      <c r="F638" s="5" t="n">
        <v>0</v>
      </c>
      <c r="G638" s="5" t="n">
        <v>0</v>
      </c>
      <c r="H638" s="6" t="str">
        <f aca="false">IF(N638="","",N638&amp;IF(AND(MOD(N638,100)&gt;=11,MOD(N638,100)&lt;=13),"th",CHOOSE(MIN(5,MOD(N638,10)+1),"th","st","nd","rd","th")))</f>
        <v>13th</v>
      </c>
      <c r="I638" s="5" t="s">
        <v>1691</v>
      </c>
      <c r="J638" s="6" t="n">
        <f aca="false">IFERROR(INDEX(Rounds!$A:$A,MATCH(I638,Rounds!$B:$B,0)),"ADD LEAGUE TO ROUNDS")</f>
        <v>6</v>
      </c>
      <c r="K638" s="6" t="n">
        <f aca="false">IFERROR(VALUE(LEFT(E638,FIND(" - ",E638)-1)),"")</f>
        <v>6</v>
      </c>
      <c r="L638" s="5" t="s">
        <v>1924</v>
      </c>
      <c r="N638" s="6" t="n">
        <f aca="false">IF(F638="","",1+COUNTIFS($J:$J,J638,$K:$K,K638,$F:$F,"&gt;"&amp;F638)+COUNTIFS($J:$J,J638,$K:$K,K638,$F:$F,F638,$G:$G,"&gt;"&amp;G638))</f>
        <v>13</v>
      </c>
      <c r="O638" s="6" t="n">
        <f aca="false">IF(L638="","",SUMIFS(Votes!$E:$E,Votes!$A:$A,J638,Votes!$B:$B,K638,Votes!$D:$D,L638))</f>
        <v>0</v>
      </c>
      <c r="P638" s="6" t="n">
        <f aca="false">IF(L638="","",COUNTIFS(Votes!$A:$A,J638,Votes!$B:$B,K638,Votes!$D:$D,L638))</f>
        <v>0</v>
      </c>
      <c r="Q638" s="7" t="str">
        <f aca="false">IF(F638="","Unscored",IF(O638="","No URI",IF(AND(F638=0,O638=0),"Zero-vote",IF(AND(F638=O638,G638=P638),"OK",IF(AND(F638=0,O638&gt;0,COUNTIFS(Votes!$A:$A,J638,Votes!$B:$B,K638,Votes!$C:$C,D638)=0),"Forfeited","Mismatch")))))</f>
        <v>Zero-vote</v>
      </c>
      <c r="R638" s="6" t="n">
        <f aca="false">MAX(IF(L638&lt;&gt;"",COUNTIF($L:$L,L638),0),COUNTIFS($A:$A,A638,$B:$B,B638))</f>
        <v>1</v>
      </c>
      <c r="S638" s="6" t="str">
        <f aca="false">IF(R638&gt;1,COUNTIF($R$2:R638,"&gt;1"),"")</f>
        <v/>
      </c>
      <c r="T638" s="6" t="str">
        <f aca="false">IF(L638="","",J638&amp;"|"&amp;K638&amp;"|"&amp;L638)</f>
        <v>6|6|spotify:track:3DXdjHnePKnh6oXw2ZgGSl</v>
      </c>
      <c r="U638" s="6" t="str">
        <f aca="false">IF(C638="","",IFERROR(INDEX(Lists!$F:$F,MATCH(C638,Lists!$E:$E,0)),"Unmapped"))</f>
        <v>Pop</v>
      </c>
    </row>
    <row r="639" customFormat="false" ht="15" hidden="false" customHeight="false" outlineLevel="0" collapsed="false">
      <c r="A639" s="5" t="s">
        <v>1925</v>
      </c>
      <c r="B639" s="5" t="s">
        <v>1926</v>
      </c>
      <c r="C639" s="5" t="s">
        <v>84</v>
      </c>
      <c r="D639" s="5" t="s">
        <v>101</v>
      </c>
      <c r="E639" s="5" t="s">
        <v>1927</v>
      </c>
      <c r="F639" s="5" t="n">
        <v>15</v>
      </c>
      <c r="G639" s="5" t="n">
        <v>9</v>
      </c>
      <c r="H639" s="6" t="str">
        <f aca="false">IF(N639="","",N639&amp;IF(AND(MOD(N639,100)&gt;=11,MOD(N639,100)&lt;=13),"th",CHOOSE(MIN(5,MOD(N639,10)+1),"th","st","nd","rd","th")))</f>
        <v>1st</v>
      </c>
      <c r="I639" s="5" t="s">
        <v>1691</v>
      </c>
      <c r="J639" s="6" t="n">
        <f aca="false">IFERROR(INDEX(Rounds!$A:$A,MATCH(I639,Rounds!$B:$B,0)),"ADD LEAGUE TO ROUNDS")</f>
        <v>6</v>
      </c>
      <c r="K639" s="6" t="n">
        <f aca="false">IFERROR(VALUE(LEFT(E639,FIND(" - ",E639)-1)),"")</f>
        <v>7</v>
      </c>
      <c r="L639" s="5" t="s">
        <v>1928</v>
      </c>
      <c r="N639" s="6" t="n">
        <f aca="false">IF(F639="","",1+COUNTIFS($J:$J,J639,$K:$K,K639,$F:$F,"&gt;"&amp;F639)+COUNTIFS($J:$J,J639,$K:$K,K639,$F:$F,F639,$G:$G,"&gt;"&amp;G639))</f>
        <v>1</v>
      </c>
      <c r="O639" s="6" t="n">
        <f aca="false">IF(L639="","",SUMIFS(Votes!$E:$E,Votes!$A:$A,J639,Votes!$B:$B,K639,Votes!$D:$D,L639))</f>
        <v>15</v>
      </c>
      <c r="P639" s="6" t="n">
        <f aca="false">IF(L639="","",COUNTIFS(Votes!$A:$A,J639,Votes!$B:$B,K639,Votes!$D:$D,L639))</f>
        <v>9</v>
      </c>
      <c r="Q639" s="7" t="str">
        <f aca="false">IF(F639="","Unscored",IF(O639="","No URI",IF(AND(F639=0,O639=0),"Zero-vote",IF(AND(F639=O639,G639=P639),"OK",IF(AND(F639=0,O639&gt;0,COUNTIFS(Votes!$A:$A,J639,Votes!$B:$B,K639,Votes!$C:$C,D639)=0),"Forfeited","Mismatch")))))</f>
        <v>OK</v>
      </c>
      <c r="R639" s="6" t="n">
        <f aca="false">MAX(IF(L639&lt;&gt;"",COUNTIF($L:$L,L639),0),COUNTIFS($A:$A,A639,$B:$B,B639))</f>
        <v>1</v>
      </c>
      <c r="S639" s="6" t="str">
        <f aca="false">IF(R639&gt;1,COUNTIF($R$2:R639,"&gt;1"),"")</f>
        <v/>
      </c>
      <c r="T639" s="6" t="str">
        <f aca="false">IF(L639="","",J639&amp;"|"&amp;K639&amp;"|"&amp;L639)</f>
        <v>6|7|spotify:track:5JnUeseqxjW49AuvB2WXjR</v>
      </c>
      <c r="U639" s="6" t="str">
        <f aca="false">IF(C639="","",IFERROR(INDEX(Lists!$F:$F,MATCH(C639,Lists!$E:$E,0)),"Unmapped"))</f>
        <v>Pop</v>
      </c>
    </row>
    <row r="640" customFormat="false" ht="15" hidden="false" customHeight="false" outlineLevel="0" collapsed="false">
      <c r="A640" s="5" t="s">
        <v>1929</v>
      </c>
      <c r="B640" s="5" t="s">
        <v>935</v>
      </c>
      <c r="C640" s="5" t="s">
        <v>127</v>
      </c>
      <c r="D640" s="5" t="s">
        <v>395</v>
      </c>
      <c r="E640" s="5" t="s">
        <v>1927</v>
      </c>
      <c r="F640" s="5" t="n">
        <v>13</v>
      </c>
      <c r="G640" s="5" t="n">
        <v>11</v>
      </c>
      <c r="H640" s="6" t="str">
        <f aca="false">IF(N640="","",N640&amp;IF(AND(MOD(N640,100)&gt;=11,MOD(N640,100)&lt;=13),"th",CHOOSE(MIN(5,MOD(N640,10)+1),"th","st","nd","rd","th")))</f>
        <v>2nd</v>
      </c>
      <c r="I640" s="5" t="s">
        <v>1691</v>
      </c>
      <c r="J640" s="6" t="n">
        <f aca="false">IFERROR(INDEX(Rounds!$A:$A,MATCH(I640,Rounds!$B:$B,0)),"ADD LEAGUE TO ROUNDS")</f>
        <v>6</v>
      </c>
      <c r="K640" s="6" t="n">
        <f aca="false">IFERROR(VALUE(LEFT(E640,FIND(" - ",E640)-1)),"")</f>
        <v>7</v>
      </c>
      <c r="L640" s="5" t="s">
        <v>1930</v>
      </c>
      <c r="N640" s="6" t="n">
        <f aca="false">IF(F640="","",1+COUNTIFS($J:$J,J640,$K:$K,K640,$F:$F,"&gt;"&amp;F640)+COUNTIFS($J:$J,J640,$K:$K,K640,$F:$F,F640,$G:$G,"&gt;"&amp;G640))</f>
        <v>2</v>
      </c>
      <c r="O640" s="6" t="n">
        <f aca="false">IF(L640="","",SUMIFS(Votes!$E:$E,Votes!$A:$A,J640,Votes!$B:$B,K640,Votes!$D:$D,L640))</f>
        <v>13</v>
      </c>
      <c r="P640" s="6" t="n">
        <f aca="false">IF(L640="","",COUNTIFS(Votes!$A:$A,J640,Votes!$B:$B,K640,Votes!$D:$D,L640))</f>
        <v>11</v>
      </c>
      <c r="Q640" s="7" t="str">
        <f aca="false">IF(F640="","Unscored",IF(O640="","No URI",IF(AND(F640=0,O640=0),"Zero-vote",IF(AND(F640=O640,G640=P640),"OK",IF(AND(F640=0,O640&gt;0,COUNTIFS(Votes!$A:$A,J640,Votes!$B:$B,K640,Votes!$C:$C,D640)=0),"Forfeited","Mismatch")))))</f>
        <v>OK</v>
      </c>
      <c r="R640" s="6" t="n">
        <f aca="false">MAX(IF(L640&lt;&gt;"",COUNTIF($L:$L,L640),0),COUNTIFS($A:$A,A640,$B:$B,B640))</f>
        <v>1</v>
      </c>
      <c r="S640" s="6" t="str">
        <f aca="false">IF(R640&gt;1,COUNTIF($R$2:R640,"&gt;1"),"")</f>
        <v/>
      </c>
      <c r="T640" s="6" t="str">
        <f aca="false">IF(L640="","",J640&amp;"|"&amp;K640&amp;"|"&amp;L640)</f>
        <v>6|7|spotify:track:1GcPhT7osBb4LEJnQ0tmfj</v>
      </c>
      <c r="U640" s="6" t="str">
        <f aca="false">IF(C640="","",IFERROR(INDEX(Lists!$F:$F,MATCH(C640,Lists!$E:$E,0)),"Unmapped"))</f>
        <v>Jazz/Vocal</v>
      </c>
    </row>
    <row r="641" customFormat="false" ht="15" hidden="false" customHeight="false" outlineLevel="0" collapsed="false">
      <c r="A641" s="5" t="s">
        <v>1931</v>
      </c>
      <c r="B641" s="5" t="s">
        <v>1932</v>
      </c>
      <c r="C641" s="5" t="s">
        <v>91</v>
      </c>
      <c r="D641" s="5" t="s">
        <v>637</v>
      </c>
      <c r="E641" s="5" t="s">
        <v>1927</v>
      </c>
      <c r="F641" s="5" t="n">
        <v>12</v>
      </c>
      <c r="G641" s="5" t="n">
        <v>10</v>
      </c>
      <c r="H641" s="6" t="str">
        <f aca="false">IF(N641="","",N641&amp;IF(AND(MOD(N641,100)&gt;=11,MOD(N641,100)&lt;=13),"th",CHOOSE(MIN(5,MOD(N641,10)+1),"th","st","nd","rd","th")))</f>
        <v>3rd</v>
      </c>
      <c r="I641" s="5" t="s">
        <v>1691</v>
      </c>
      <c r="J641" s="6" t="n">
        <f aca="false">IFERROR(INDEX(Rounds!$A:$A,MATCH(I641,Rounds!$B:$B,0)),"ADD LEAGUE TO ROUNDS")</f>
        <v>6</v>
      </c>
      <c r="K641" s="6" t="n">
        <f aca="false">IFERROR(VALUE(LEFT(E641,FIND(" - ",E641)-1)),"")</f>
        <v>7</v>
      </c>
      <c r="L641" s="5" t="s">
        <v>1933</v>
      </c>
      <c r="N641" s="6" t="n">
        <f aca="false">IF(F641="","",1+COUNTIFS($J:$J,J641,$K:$K,K641,$F:$F,"&gt;"&amp;F641)+COUNTIFS($J:$J,J641,$K:$K,K641,$F:$F,F641,$G:$G,"&gt;"&amp;G641))</f>
        <v>3</v>
      </c>
      <c r="O641" s="6" t="n">
        <f aca="false">IF(L641="","",SUMIFS(Votes!$E:$E,Votes!$A:$A,J641,Votes!$B:$B,K641,Votes!$D:$D,L641))</f>
        <v>12</v>
      </c>
      <c r="P641" s="6" t="n">
        <f aca="false">IF(L641="","",COUNTIFS(Votes!$A:$A,J641,Votes!$B:$B,K641,Votes!$D:$D,L641))</f>
        <v>10</v>
      </c>
      <c r="Q641" s="7" t="str">
        <f aca="false">IF(F641="","Unscored",IF(O641="","No URI",IF(AND(F641=0,O641=0),"Zero-vote",IF(AND(F641=O641,G641=P641),"OK",IF(AND(F641=0,O641&gt;0,COUNTIFS(Votes!$A:$A,J641,Votes!$B:$B,K641,Votes!$C:$C,D641)=0),"Forfeited","Mismatch")))))</f>
        <v>OK</v>
      </c>
      <c r="R641" s="6" t="n">
        <f aca="false">MAX(IF(L641&lt;&gt;"",COUNTIF($L:$L,L641),0),COUNTIFS($A:$A,A641,$B:$B,B641))</f>
        <v>1</v>
      </c>
      <c r="S641" s="6" t="str">
        <f aca="false">IF(R641&gt;1,COUNTIF($R$2:R641,"&gt;1"),"")</f>
        <v/>
      </c>
      <c r="T641" s="6" t="str">
        <f aca="false">IF(L641="","",J641&amp;"|"&amp;K641&amp;"|"&amp;L641)</f>
        <v>6|7|spotify:track:6XbmIuDxm4gWpVYoGg5DQX</v>
      </c>
      <c r="U641" s="6" t="str">
        <f aca="false">IF(C641="","",IFERROR(INDEX(Lists!$F:$F,MATCH(C641,Lists!$E:$E,0)),"Unmapped"))</f>
        <v>Rock</v>
      </c>
    </row>
    <row r="642" customFormat="false" ht="15" hidden="false" customHeight="false" outlineLevel="0" collapsed="false">
      <c r="A642" s="5" t="s">
        <v>1934</v>
      </c>
      <c r="B642" s="5" t="s">
        <v>1935</v>
      </c>
      <c r="C642" s="5" t="s">
        <v>1294</v>
      </c>
      <c r="D642" s="5" t="s">
        <v>92</v>
      </c>
      <c r="E642" s="5" t="s">
        <v>1927</v>
      </c>
      <c r="F642" s="5" t="n">
        <v>12</v>
      </c>
      <c r="G642" s="5" t="n">
        <v>8</v>
      </c>
      <c r="H642" s="6" t="str">
        <f aca="false">IF(N642="","",N642&amp;IF(AND(MOD(N642,100)&gt;=11,MOD(N642,100)&lt;=13),"th",CHOOSE(MIN(5,MOD(N642,10)+1),"th","st","nd","rd","th")))</f>
        <v>4th</v>
      </c>
      <c r="I642" s="5" t="s">
        <v>1691</v>
      </c>
      <c r="J642" s="6" t="n">
        <f aca="false">IFERROR(INDEX(Rounds!$A:$A,MATCH(I642,Rounds!$B:$B,0)),"ADD LEAGUE TO ROUNDS")</f>
        <v>6</v>
      </c>
      <c r="K642" s="6" t="n">
        <f aca="false">IFERROR(VALUE(LEFT(E642,FIND(" - ",E642)-1)),"")</f>
        <v>7</v>
      </c>
      <c r="L642" s="5" t="s">
        <v>1936</v>
      </c>
      <c r="N642" s="6" t="n">
        <f aca="false">IF(F642="","",1+COUNTIFS($J:$J,J642,$K:$K,K642,$F:$F,"&gt;"&amp;F642)+COUNTIFS($J:$J,J642,$K:$K,K642,$F:$F,F642,$G:$G,"&gt;"&amp;G642))</f>
        <v>4</v>
      </c>
      <c r="O642" s="6" t="n">
        <f aca="false">IF(L642="","",SUMIFS(Votes!$E:$E,Votes!$A:$A,J642,Votes!$B:$B,K642,Votes!$D:$D,L642))</f>
        <v>12</v>
      </c>
      <c r="P642" s="6" t="n">
        <f aca="false">IF(L642="","",COUNTIFS(Votes!$A:$A,J642,Votes!$B:$B,K642,Votes!$D:$D,L642))</f>
        <v>8</v>
      </c>
      <c r="Q642" s="7" t="str">
        <f aca="false">IF(F642="","Unscored",IF(O642="","No URI",IF(AND(F642=0,O642=0),"Zero-vote",IF(AND(F642=O642,G642=P642),"OK",IF(AND(F642=0,O642&gt;0,COUNTIFS(Votes!$A:$A,J642,Votes!$B:$B,K642,Votes!$C:$C,D642)=0),"Forfeited","Mismatch")))))</f>
        <v>OK</v>
      </c>
      <c r="R642" s="6" t="n">
        <f aca="false">MAX(IF(L642&lt;&gt;"",COUNTIF($L:$L,L642),0),COUNTIFS($A:$A,A642,$B:$B,B642))</f>
        <v>1</v>
      </c>
      <c r="S642" s="6" t="str">
        <f aca="false">IF(R642&gt;1,COUNTIF($R$2:R642,"&gt;1"),"")</f>
        <v/>
      </c>
      <c r="T642" s="6" t="str">
        <f aca="false">IF(L642="","",J642&amp;"|"&amp;K642&amp;"|"&amp;L642)</f>
        <v>6|7|spotify:track:0KIv0Lho9vsPCj8Sac21IV</v>
      </c>
      <c r="U642" s="6" t="str">
        <f aca="false">IF(C642="","",IFERROR(INDEX(Lists!$F:$F,MATCH(C642,Lists!$E:$E,0)),"Unmapped"))</f>
        <v>Christian/Gospel</v>
      </c>
    </row>
    <row r="643" customFormat="false" ht="15" hidden="false" customHeight="false" outlineLevel="0" collapsed="false">
      <c r="A643" s="5" t="s">
        <v>1937</v>
      </c>
      <c r="B643" s="5" t="s">
        <v>277</v>
      </c>
      <c r="C643" s="5" t="s">
        <v>171</v>
      </c>
      <c r="D643" s="5" t="s">
        <v>85</v>
      </c>
      <c r="E643" s="5" t="s">
        <v>1927</v>
      </c>
      <c r="F643" s="5" t="n">
        <v>10</v>
      </c>
      <c r="G643" s="5" t="n">
        <v>7</v>
      </c>
      <c r="H643" s="6" t="str">
        <f aca="false">IF(N643="","",N643&amp;IF(AND(MOD(N643,100)&gt;=11,MOD(N643,100)&lt;=13),"th",CHOOSE(MIN(5,MOD(N643,10)+1),"th","st","nd","rd","th")))</f>
        <v>5th</v>
      </c>
      <c r="I643" s="5" t="s">
        <v>1691</v>
      </c>
      <c r="J643" s="6" t="n">
        <f aca="false">IFERROR(INDEX(Rounds!$A:$A,MATCH(I643,Rounds!$B:$B,0)),"ADD LEAGUE TO ROUNDS")</f>
        <v>6</v>
      </c>
      <c r="K643" s="6" t="n">
        <f aca="false">IFERROR(VALUE(LEFT(E643,FIND(" - ",E643)-1)),"")</f>
        <v>7</v>
      </c>
      <c r="L643" s="5" t="s">
        <v>1938</v>
      </c>
      <c r="N643" s="6" t="n">
        <f aca="false">IF(F643="","",1+COUNTIFS($J:$J,J643,$K:$K,K643,$F:$F,"&gt;"&amp;F643)+COUNTIFS($J:$J,J643,$K:$K,K643,$F:$F,F643,$G:$G,"&gt;"&amp;G643))</f>
        <v>5</v>
      </c>
      <c r="O643" s="6" t="n">
        <f aca="false">IF(L643="","",SUMIFS(Votes!$E:$E,Votes!$A:$A,J643,Votes!$B:$B,K643,Votes!$D:$D,L643))</f>
        <v>10</v>
      </c>
      <c r="P643" s="6" t="n">
        <f aca="false">IF(L643="","",COUNTIFS(Votes!$A:$A,J643,Votes!$B:$B,K643,Votes!$D:$D,L643))</f>
        <v>7</v>
      </c>
      <c r="Q643" s="7" t="str">
        <f aca="false">IF(F643="","Unscored",IF(O643="","No URI",IF(AND(F643=0,O643=0),"Zero-vote",IF(AND(F643=O643,G643=P643),"OK",IF(AND(F643=0,O643&gt;0,COUNTIFS(Votes!$A:$A,J643,Votes!$B:$B,K643,Votes!$C:$C,D643)=0),"Forfeited","Mismatch")))))</f>
        <v>OK</v>
      </c>
      <c r="R643" s="6" t="n">
        <f aca="false">MAX(IF(L643&lt;&gt;"",COUNTIF($L:$L,L643),0),COUNTIFS($A:$A,A643,$B:$B,B643))</f>
        <v>1</v>
      </c>
      <c r="S643" s="6" t="str">
        <f aca="false">IF(R643&gt;1,COUNTIF($R$2:R643,"&gt;1"),"")</f>
        <v/>
      </c>
      <c r="T643" s="6" t="str">
        <f aca="false">IF(L643="","",J643&amp;"|"&amp;K643&amp;"|"&amp;L643)</f>
        <v>6|7|spotify:track:4k3lPl8YTKuY8c1HelVnm3</v>
      </c>
      <c r="U643" s="6" t="str">
        <f aca="false">IF(C643="","",IFERROR(INDEX(Lists!$F:$F,MATCH(C643,Lists!$E:$E,0)),"Unmapped"))</f>
        <v>Country</v>
      </c>
    </row>
    <row r="644" customFormat="false" ht="15" hidden="false" customHeight="false" outlineLevel="0" collapsed="false">
      <c r="A644" s="5" t="s">
        <v>1939</v>
      </c>
      <c r="B644" s="5" t="s">
        <v>1940</v>
      </c>
      <c r="C644" s="5" t="s">
        <v>506</v>
      </c>
      <c r="D644" s="5" t="s">
        <v>116</v>
      </c>
      <c r="E644" s="5" t="s">
        <v>1927</v>
      </c>
      <c r="F644" s="5" t="n">
        <v>10</v>
      </c>
      <c r="G644" s="5" t="n">
        <v>6</v>
      </c>
      <c r="H644" s="6" t="str">
        <f aca="false">IF(N644="","",N644&amp;IF(AND(MOD(N644,100)&gt;=11,MOD(N644,100)&lt;=13),"th",CHOOSE(MIN(5,MOD(N644,10)+1),"th","st","nd","rd","th")))</f>
        <v>6th</v>
      </c>
      <c r="I644" s="5" t="s">
        <v>1691</v>
      </c>
      <c r="J644" s="6" t="n">
        <f aca="false">IFERROR(INDEX(Rounds!$A:$A,MATCH(I644,Rounds!$B:$B,0)),"ADD LEAGUE TO ROUNDS")</f>
        <v>6</v>
      </c>
      <c r="K644" s="6" t="n">
        <f aca="false">IFERROR(VALUE(LEFT(E644,FIND(" - ",E644)-1)),"")</f>
        <v>7</v>
      </c>
      <c r="L644" s="5" t="s">
        <v>1941</v>
      </c>
      <c r="N644" s="6" t="n">
        <f aca="false">IF(F644="","",1+COUNTIFS($J:$J,J644,$K:$K,K644,$F:$F,"&gt;"&amp;F644)+COUNTIFS($J:$J,J644,$K:$K,K644,$F:$F,F644,$G:$G,"&gt;"&amp;G644))</f>
        <v>6</v>
      </c>
      <c r="O644" s="6" t="n">
        <f aca="false">IF(L644="","",SUMIFS(Votes!$E:$E,Votes!$A:$A,J644,Votes!$B:$B,K644,Votes!$D:$D,L644))</f>
        <v>10</v>
      </c>
      <c r="P644" s="6" t="n">
        <f aca="false">IF(L644="","",COUNTIFS(Votes!$A:$A,J644,Votes!$B:$B,K644,Votes!$D:$D,L644))</f>
        <v>6</v>
      </c>
      <c r="Q644" s="7" t="str">
        <f aca="false">IF(F644="","Unscored",IF(O644="","No URI",IF(AND(F644=0,O644=0),"Zero-vote",IF(AND(F644=O644,G644=P644),"OK",IF(AND(F644=0,O644&gt;0,COUNTIFS(Votes!$A:$A,J644,Votes!$B:$B,K644,Votes!$C:$C,D644)=0),"Forfeited","Mismatch")))))</f>
        <v>OK</v>
      </c>
      <c r="R644" s="6" t="n">
        <f aca="false">MAX(IF(L644&lt;&gt;"",COUNTIF($L:$L,L644),0),COUNTIFS($A:$A,A644,$B:$B,B644))</f>
        <v>1</v>
      </c>
      <c r="S644" s="6" t="str">
        <f aca="false">IF(R644&gt;1,COUNTIF($R$2:R644,"&gt;1"),"")</f>
        <v/>
      </c>
      <c r="T644" s="6" t="str">
        <f aca="false">IF(L644="","",J644&amp;"|"&amp;K644&amp;"|"&amp;L644)</f>
        <v>6|7|spotify:track:1C3RIRKQZhSk5d2iioIhkg</v>
      </c>
      <c r="U644" s="6" t="str">
        <f aca="false">IF(C644="","",IFERROR(INDEX(Lists!$F:$F,MATCH(C644,Lists!$E:$E,0)),"Unmapped"))</f>
        <v>Classical/Score</v>
      </c>
    </row>
    <row r="645" customFormat="false" ht="15" hidden="false" customHeight="false" outlineLevel="0" collapsed="false">
      <c r="A645" s="5" t="s">
        <v>1942</v>
      </c>
      <c r="B645" s="5" t="s">
        <v>1943</v>
      </c>
      <c r="C645" s="5" t="s">
        <v>91</v>
      </c>
      <c r="D645" s="5" t="s">
        <v>705</v>
      </c>
      <c r="E645" s="5" t="s">
        <v>1927</v>
      </c>
      <c r="F645" s="5" t="n">
        <v>9</v>
      </c>
      <c r="G645" s="5" t="n">
        <v>7</v>
      </c>
      <c r="H645" s="6" t="str">
        <f aca="false">IF(N645="","",N645&amp;IF(AND(MOD(N645,100)&gt;=11,MOD(N645,100)&lt;=13),"th",CHOOSE(MIN(5,MOD(N645,10)+1),"th","st","nd","rd","th")))</f>
        <v>7th</v>
      </c>
      <c r="I645" s="5" t="s">
        <v>1691</v>
      </c>
      <c r="J645" s="6" t="n">
        <f aca="false">IFERROR(INDEX(Rounds!$A:$A,MATCH(I645,Rounds!$B:$B,0)),"ADD LEAGUE TO ROUNDS")</f>
        <v>6</v>
      </c>
      <c r="K645" s="6" t="n">
        <f aca="false">IFERROR(VALUE(LEFT(E645,FIND(" - ",E645)-1)),"")</f>
        <v>7</v>
      </c>
      <c r="L645" s="5" t="s">
        <v>1944</v>
      </c>
      <c r="N645" s="6" t="n">
        <f aca="false">IF(F645="","",1+COUNTIFS($J:$J,J645,$K:$K,K645,$F:$F,"&gt;"&amp;F645)+COUNTIFS($J:$J,J645,$K:$K,K645,$F:$F,F645,$G:$G,"&gt;"&amp;G645))</f>
        <v>7</v>
      </c>
      <c r="O645" s="6" t="n">
        <f aca="false">IF(L645="","",SUMIFS(Votes!$E:$E,Votes!$A:$A,J645,Votes!$B:$B,K645,Votes!$D:$D,L645))</f>
        <v>9</v>
      </c>
      <c r="P645" s="6" t="n">
        <f aca="false">IF(L645="","",COUNTIFS(Votes!$A:$A,J645,Votes!$B:$B,K645,Votes!$D:$D,L645))</f>
        <v>7</v>
      </c>
      <c r="Q645" s="7" t="str">
        <f aca="false">IF(F645="","Unscored",IF(O645="","No URI",IF(AND(F645=0,O645=0),"Zero-vote",IF(AND(F645=O645,G645=P645),"OK",IF(AND(F645=0,O645&gt;0,COUNTIFS(Votes!$A:$A,J645,Votes!$B:$B,K645,Votes!$C:$C,D645)=0),"Forfeited","Mismatch")))))</f>
        <v>OK</v>
      </c>
      <c r="R645" s="6" t="n">
        <f aca="false">MAX(IF(L645&lt;&gt;"",COUNTIF($L:$L,L645),0),COUNTIFS($A:$A,A645,$B:$B,B645))</f>
        <v>1</v>
      </c>
      <c r="S645" s="6" t="str">
        <f aca="false">IF(R645&gt;1,COUNTIF($R$2:R645,"&gt;1"),"")</f>
        <v/>
      </c>
      <c r="T645" s="6" t="str">
        <f aca="false">IF(L645="","",J645&amp;"|"&amp;K645&amp;"|"&amp;L645)</f>
        <v>6|7|spotify:track:3P2XAL8UpPBM3nfvuEjHHE</v>
      </c>
      <c r="U645" s="6" t="str">
        <f aca="false">IF(C645="","",IFERROR(INDEX(Lists!$F:$F,MATCH(C645,Lists!$E:$E,0)),"Unmapped"))</f>
        <v>Rock</v>
      </c>
    </row>
    <row r="646" customFormat="false" ht="15" hidden="false" customHeight="false" outlineLevel="0" collapsed="false">
      <c r="A646" s="5" t="s">
        <v>1945</v>
      </c>
      <c r="B646" s="5" t="s">
        <v>1946</v>
      </c>
      <c r="C646" s="5" t="s">
        <v>293</v>
      </c>
      <c r="D646" s="5" t="s">
        <v>382</v>
      </c>
      <c r="E646" s="5" t="s">
        <v>1927</v>
      </c>
      <c r="F646" s="5" t="n">
        <v>9</v>
      </c>
      <c r="G646" s="5" t="n">
        <v>6</v>
      </c>
      <c r="H646" s="6" t="str">
        <f aca="false">IF(N646="","",N646&amp;IF(AND(MOD(N646,100)&gt;=11,MOD(N646,100)&lt;=13),"th",CHOOSE(MIN(5,MOD(N646,10)+1),"th","st","nd","rd","th")))</f>
        <v>8th</v>
      </c>
      <c r="I646" s="5" t="s">
        <v>1691</v>
      </c>
      <c r="J646" s="6" t="n">
        <f aca="false">IFERROR(INDEX(Rounds!$A:$A,MATCH(I646,Rounds!$B:$B,0)),"ADD LEAGUE TO ROUNDS")</f>
        <v>6</v>
      </c>
      <c r="K646" s="6" t="n">
        <f aca="false">IFERROR(VALUE(LEFT(E646,FIND(" - ",E646)-1)),"")</f>
        <v>7</v>
      </c>
      <c r="L646" s="5" t="s">
        <v>1947</v>
      </c>
      <c r="N646" s="6" t="n">
        <f aca="false">IF(F646="","",1+COUNTIFS($J:$J,J646,$K:$K,K646,$F:$F,"&gt;"&amp;F646)+COUNTIFS($J:$J,J646,$K:$K,K646,$F:$F,F646,$G:$G,"&gt;"&amp;G646))</f>
        <v>8</v>
      </c>
      <c r="O646" s="6" t="n">
        <f aca="false">IF(L646="","",SUMIFS(Votes!$E:$E,Votes!$A:$A,J646,Votes!$B:$B,K646,Votes!$D:$D,L646))</f>
        <v>9</v>
      </c>
      <c r="P646" s="6" t="n">
        <f aca="false">IF(L646="","",COUNTIFS(Votes!$A:$A,J646,Votes!$B:$B,K646,Votes!$D:$D,L646))</f>
        <v>6</v>
      </c>
      <c r="Q646" s="7" t="str">
        <f aca="false">IF(F646="","Unscored",IF(O646="","No URI",IF(AND(F646=0,O646=0),"Zero-vote",IF(AND(F646=O646,G646=P646),"OK",IF(AND(F646=0,O646&gt;0,COUNTIFS(Votes!$A:$A,J646,Votes!$B:$B,K646,Votes!$C:$C,D646)=0),"Forfeited","Mismatch")))))</f>
        <v>OK</v>
      </c>
      <c r="R646" s="6" t="n">
        <f aca="false">MAX(IF(L646&lt;&gt;"",COUNTIF($L:$L,L646),0),COUNTIFS($A:$A,A646,$B:$B,B646))</f>
        <v>1</v>
      </c>
      <c r="S646" s="6" t="str">
        <f aca="false">IF(R646&gt;1,COUNTIF($R$2:R646,"&gt;1"),"")</f>
        <v/>
      </c>
      <c r="T646" s="6" t="str">
        <f aca="false">IF(L646="","",J646&amp;"|"&amp;K646&amp;"|"&amp;L646)</f>
        <v>6|7|spotify:track:3wYOGJYD31sLRmBgCvWxa4</v>
      </c>
      <c r="U646" s="6" t="str">
        <f aca="false">IF(C646="","",IFERROR(INDEX(Lists!$F:$F,MATCH(C646,Lists!$E:$E,0)),"Unmapped"))</f>
        <v>Electronic/Dance</v>
      </c>
    </row>
    <row r="647" customFormat="false" ht="15" hidden="false" customHeight="false" outlineLevel="0" collapsed="false">
      <c r="A647" s="5" t="s">
        <v>1948</v>
      </c>
      <c r="B647" s="5" t="s">
        <v>1949</v>
      </c>
      <c r="C647" s="5" t="s">
        <v>91</v>
      </c>
      <c r="D647" s="5" t="s">
        <v>719</v>
      </c>
      <c r="E647" s="5" t="s">
        <v>1927</v>
      </c>
      <c r="F647" s="5" t="n">
        <v>7</v>
      </c>
      <c r="G647" s="5" t="n">
        <v>6</v>
      </c>
      <c r="H647" s="6" t="str">
        <f aca="false">IF(N647="","",N647&amp;IF(AND(MOD(N647,100)&gt;=11,MOD(N647,100)&lt;=13),"th",CHOOSE(MIN(5,MOD(N647,10)+1),"th","st","nd","rd","th")))</f>
        <v>9th</v>
      </c>
      <c r="I647" s="5" t="s">
        <v>1691</v>
      </c>
      <c r="J647" s="6" t="n">
        <f aca="false">IFERROR(INDEX(Rounds!$A:$A,MATCH(I647,Rounds!$B:$B,0)),"ADD LEAGUE TO ROUNDS")</f>
        <v>6</v>
      </c>
      <c r="K647" s="6" t="n">
        <f aca="false">IFERROR(VALUE(LEFT(E647,FIND(" - ",E647)-1)),"")</f>
        <v>7</v>
      </c>
      <c r="L647" s="5" t="s">
        <v>1950</v>
      </c>
      <c r="N647" s="6" t="n">
        <f aca="false">IF(F647="","",1+COUNTIFS($J:$J,J647,$K:$K,K647,$F:$F,"&gt;"&amp;F647)+COUNTIFS($J:$J,J647,$K:$K,K647,$F:$F,F647,$G:$G,"&gt;"&amp;G647))</f>
        <v>9</v>
      </c>
      <c r="O647" s="6" t="n">
        <f aca="false">IF(L647="","",SUMIFS(Votes!$E:$E,Votes!$A:$A,J647,Votes!$B:$B,K647,Votes!$D:$D,L647))</f>
        <v>7</v>
      </c>
      <c r="P647" s="6" t="n">
        <f aca="false">IF(L647="","",COUNTIFS(Votes!$A:$A,J647,Votes!$B:$B,K647,Votes!$D:$D,L647))</f>
        <v>6</v>
      </c>
      <c r="Q647" s="7" t="str">
        <f aca="false">IF(F647="","Unscored",IF(O647="","No URI",IF(AND(F647=0,O647=0),"Zero-vote",IF(AND(F647=O647,G647=P647),"OK",IF(AND(F647=0,O647&gt;0,COUNTIFS(Votes!$A:$A,J647,Votes!$B:$B,K647,Votes!$C:$C,D647)=0),"Forfeited","Mismatch")))))</f>
        <v>OK</v>
      </c>
      <c r="R647" s="6" t="n">
        <f aca="false">MAX(IF(L647&lt;&gt;"",COUNTIF($L:$L,L647),0),COUNTIFS($A:$A,A647,$B:$B,B647))</f>
        <v>1</v>
      </c>
      <c r="S647" s="6" t="str">
        <f aca="false">IF(R647&gt;1,COUNTIF($R$2:R647,"&gt;1"),"")</f>
        <v/>
      </c>
      <c r="T647" s="6" t="str">
        <f aca="false">IF(L647="","",J647&amp;"|"&amp;K647&amp;"|"&amp;L647)</f>
        <v>6|7|spotify:track:5oE6INocVL9viDow5y8QNM</v>
      </c>
      <c r="U647" s="6" t="str">
        <f aca="false">IF(C647="","",IFERROR(INDEX(Lists!$F:$F,MATCH(C647,Lists!$E:$E,0)),"Unmapped"))</f>
        <v>Rock</v>
      </c>
    </row>
    <row r="648" customFormat="false" ht="15" hidden="false" customHeight="false" outlineLevel="0" collapsed="false">
      <c r="A648" s="5" t="s">
        <v>1951</v>
      </c>
      <c r="B648" s="5" t="s">
        <v>1952</v>
      </c>
      <c r="C648" s="5" t="s">
        <v>110</v>
      </c>
      <c r="D648" s="5" t="s">
        <v>97</v>
      </c>
      <c r="E648" s="5" t="s">
        <v>1927</v>
      </c>
      <c r="F648" s="5" t="n">
        <v>7</v>
      </c>
      <c r="G648" s="5" t="n">
        <v>5</v>
      </c>
      <c r="H648" s="6" t="str">
        <f aca="false">IF(N648="","",N648&amp;IF(AND(MOD(N648,100)&gt;=11,MOD(N648,100)&lt;=13),"th",CHOOSE(MIN(5,MOD(N648,10)+1),"th","st","nd","rd","th")))</f>
        <v>10th</v>
      </c>
      <c r="I648" s="5" t="s">
        <v>1691</v>
      </c>
      <c r="J648" s="6" t="n">
        <f aca="false">IFERROR(INDEX(Rounds!$A:$A,MATCH(I648,Rounds!$B:$B,0)),"ADD LEAGUE TO ROUNDS")</f>
        <v>6</v>
      </c>
      <c r="K648" s="6" t="n">
        <f aca="false">IFERROR(VALUE(LEFT(E648,FIND(" - ",E648)-1)),"")</f>
        <v>7</v>
      </c>
      <c r="L648" s="5" t="s">
        <v>1953</v>
      </c>
      <c r="N648" s="6" t="n">
        <f aca="false">IF(F648="","",1+COUNTIFS($J:$J,J648,$K:$K,K648,$F:$F,"&gt;"&amp;F648)+COUNTIFS($J:$J,J648,$K:$K,K648,$F:$F,F648,$G:$G,"&gt;"&amp;G648))</f>
        <v>10</v>
      </c>
      <c r="O648" s="6" t="n">
        <f aca="false">IF(L648="","",SUMIFS(Votes!$E:$E,Votes!$A:$A,J648,Votes!$B:$B,K648,Votes!$D:$D,L648))</f>
        <v>7</v>
      </c>
      <c r="P648" s="6" t="n">
        <f aca="false">IF(L648="","",COUNTIFS(Votes!$A:$A,J648,Votes!$B:$B,K648,Votes!$D:$D,L648))</f>
        <v>5</v>
      </c>
      <c r="Q648" s="7" t="str">
        <f aca="false">IF(F648="","Unscored",IF(O648="","No URI",IF(AND(F648=0,O648=0),"Zero-vote",IF(AND(F648=O648,G648=P648),"OK",IF(AND(F648=0,O648&gt;0,COUNTIFS(Votes!$A:$A,J648,Votes!$B:$B,K648,Votes!$C:$C,D648)=0),"Forfeited","Mismatch")))))</f>
        <v>OK</v>
      </c>
      <c r="R648" s="6" t="n">
        <f aca="false">MAX(IF(L648&lt;&gt;"",COUNTIF($L:$L,L648),0),COUNTIFS($A:$A,A648,$B:$B,B648))</f>
        <v>1</v>
      </c>
      <c r="S648" s="6" t="str">
        <f aca="false">IF(R648&gt;1,COUNTIF($R$2:R648,"&gt;1"),"")</f>
        <v/>
      </c>
      <c r="T648" s="6" t="str">
        <f aca="false">IF(L648="","",J648&amp;"|"&amp;K648&amp;"|"&amp;L648)</f>
        <v>6|7|spotify:track:3ia3dJETSOllPsv3LJkE35</v>
      </c>
      <c r="U648" s="6" t="str">
        <f aca="false">IF(C648="","",IFERROR(INDEX(Lists!$F:$F,MATCH(C648,Lists!$E:$E,0)),"Unmapped"))</f>
        <v>Hip-Hop/Rap</v>
      </c>
    </row>
    <row r="649" customFormat="false" ht="15" hidden="false" customHeight="false" outlineLevel="0" collapsed="false">
      <c r="A649" s="5" t="s">
        <v>1954</v>
      </c>
      <c r="B649" s="5" t="s">
        <v>973</v>
      </c>
      <c r="C649" s="5" t="s">
        <v>91</v>
      </c>
      <c r="D649" s="5" t="s">
        <v>106</v>
      </c>
      <c r="E649" s="5" t="s">
        <v>1927</v>
      </c>
      <c r="F649" s="5" t="n">
        <v>6</v>
      </c>
      <c r="G649" s="5" t="n">
        <v>6</v>
      </c>
      <c r="H649" s="6" t="str">
        <f aca="false">IF(N649="","",N649&amp;IF(AND(MOD(N649,100)&gt;=11,MOD(N649,100)&lt;=13),"th",CHOOSE(MIN(5,MOD(N649,10)+1),"th","st","nd","rd","th")))</f>
        <v>11th</v>
      </c>
      <c r="I649" s="5" t="s">
        <v>1691</v>
      </c>
      <c r="J649" s="6" t="n">
        <f aca="false">IFERROR(INDEX(Rounds!$A:$A,MATCH(I649,Rounds!$B:$B,0)),"ADD LEAGUE TO ROUNDS")</f>
        <v>6</v>
      </c>
      <c r="K649" s="6" t="n">
        <f aca="false">IFERROR(VALUE(LEFT(E649,FIND(" - ",E649)-1)),"")</f>
        <v>7</v>
      </c>
      <c r="L649" s="5" t="s">
        <v>1955</v>
      </c>
      <c r="N649" s="6" t="n">
        <f aca="false">IF(F649="","",1+COUNTIFS($J:$J,J649,$K:$K,K649,$F:$F,"&gt;"&amp;F649)+COUNTIFS($J:$J,J649,$K:$K,K649,$F:$F,F649,$G:$G,"&gt;"&amp;G649))</f>
        <v>11</v>
      </c>
      <c r="O649" s="6" t="n">
        <f aca="false">IF(L649="","",SUMIFS(Votes!$E:$E,Votes!$A:$A,J649,Votes!$B:$B,K649,Votes!$D:$D,L649))</f>
        <v>6</v>
      </c>
      <c r="P649" s="6" t="n">
        <f aca="false">IF(L649="","",COUNTIFS(Votes!$A:$A,J649,Votes!$B:$B,K649,Votes!$D:$D,L649))</f>
        <v>6</v>
      </c>
      <c r="Q649" s="7" t="str">
        <f aca="false">IF(F649="","Unscored",IF(O649="","No URI",IF(AND(F649=0,O649=0),"Zero-vote",IF(AND(F649=O649,G649=P649),"OK",IF(AND(F649=0,O649&gt;0,COUNTIFS(Votes!$A:$A,J649,Votes!$B:$B,K649,Votes!$C:$C,D649)=0),"Forfeited","Mismatch")))))</f>
        <v>OK</v>
      </c>
      <c r="R649" s="6" t="n">
        <f aca="false">MAX(IF(L649&lt;&gt;"",COUNTIF($L:$L,L649),0),COUNTIFS($A:$A,A649,$B:$B,B649))</f>
        <v>1</v>
      </c>
      <c r="S649" s="6" t="str">
        <f aca="false">IF(R649&gt;1,COUNTIF($R$2:R649,"&gt;1"),"")</f>
        <v/>
      </c>
      <c r="T649" s="6" t="str">
        <f aca="false">IF(L649="","",J649&amp;"|"&amp;K649&amp;"|"&amp;L649)</f>
        <v>6|7|spotify:track:3YsbKbo8m5Uv5zAG2hqOrN</v>
      </c>
      <c r="U649" s="6" t="str">
        <f aca="false">IF(C649="","",IFERROR(INDEX(Lists!$F:$F,MATCH(C649,Lists!$E:$E,0)),"Unmapped"))</f>
        <v>Rock</v>
      </c>
    </row>
    <row r="650" customFormat="false" ht="15" hidden="false" customHeight="false" outlineLevel="0" collapsed="false">
      <c r="A650" s="5" t="s">
        <v>1956</v>
      </c>
      <c r="B650" s="5" t="s">
        <v>1957</v>
      </c>
      <c r="C650" s="5" t="s">
        <v>506</v>
      </c>
      <c r="D650" s="5" t="s">
        <v>1843</v>
      </c>
      <c r="E650" s="5" t="s">
        <v>1927</v>
      </c>
      <c r="F650" s="5" t="n">
        <v>6</v>
      </c>
      <c r="G650" s="5" t="n">
        <v>5</v>
      </c>
      <c r="H650" s="6" t="str">
        <f aca="false">IF(N650="","",N650&amp;IF(AND(MOD(N650,100)&gt;=11,MOD(N650,100)&lt;=13),"th",CHOOSE(MIN(5,MOD(N650,10)+1),"th","st","nd","rd","th")))</f>
        <v>12th</v>
      </c>
      <c r="I650" s="5" t="s">
        <v>1691</v>
      </c>
      <c r="J650" s="6" t="n">
        <f aca="false">IFERROR(INDEX(Rounds!$A:$A,MATCH(I650,Rounds!$B:$B,0)),"ADD LEAGUE TO ROUNDS")</f>
        <v>6</v>
      </c>
      <c r="K650" s="6" t="n">
        <f aca="false">IFERROR(VALUE(LEFT(E650,FIND(" - ",E650)-1)),"")</f>
        <v>7</v>
      </c>
      <c r="L650" s="5" t="s">
        <v>1958</v>
      </c>
      <c r="N650" s="6" t="n">
        <f aca="false">IF(F650="","",1+COUNTIFS($J:$J,J650,$K:$K,K650,$F:$F,"&gt;"&amp;F650)+COUNTIFS($J:$J,J650,$K:$K,K650,$F:$F,F650,$G:$G,"&gt;"&amp;G650))</f>
        <v>12</v>
      </c>
      <c r="O650" s="6" t="n">
        <f aca="false">IF(L650="","",SUMIFS(Votes!$E:$E,Votes!$A:$A,J650,Votes!$B:$B,K650,Votes!$D:$D,L650))</f>
        <v>6</v>
      </c>
      <c r="P650" s="6" t="n">
        <f aca="false">IF(L650="","",COUNTIFS(Votes!$A:$A,J650,Votes!$B:$B,K650,Votes!$D:$D,L650))</f>
        <v>5</v>
      </c>
      <c r="Q650" s="7" t="str">
        <f aca="false">IF(F650="","Unscored",IF(O650="","No URI",IF(AND(F650=0,O650=0),"Zero-vote",IF(AND(F650=O650,G650=P650),"OK",IF(AND(F650=0,O650&gt;0,COUNTIFS(Votes!$A:$A,J650,Votes!$B:$B,K650,Votes!$C:$C,D650)=0),"Forfeited","Mismatch")))))</f>
        <v>OK</v>
      </c>
      <c r="R650" s="6" t="n">
        <f aca="false">MAX(IF(L650&lt;&gt;"",COUNTIF($L:$L,L650),0),COUNTIFS($A:$A,A650,$B:$B,B650))</f>
        <v>1</v>
      </c>
      <c r="S650" s="6" t="str">
        <f aca="false">IF(R650&gt;1,COUNTIF($R$2:R650,"&gt;1"),"")</f>
        <v/>
      </c>
      <c r="T650" s="6" t="str">
        <f aca="false">IF(L650="","",J650&amp;"|"&amp;K650&amp;"|"&amp;L650)</f>
        <v>6|7|spotify:track:2TZbQZXOuR8osP2AK8yYMN</v>
      </c>
      <c r="U650" s="6" t="str">
        <f aca="false">IF(C650="","",IFERROR(INDEX(Lists!$F:$F,MATCH(C650,Lists!$E:$E,0)),"Unmapped"))</f>
        <v>Classical/Score</v>
      </c>
    </row>
    <row r="651" customFormat="false" ht="15" hidden="false" customHeight="false" outlineLevel="0" collapsed="false">
      <c r="A651" s="5" t="s">
        <v>1959</v>
      </c>
      <c r="B651" s="5" t="s">
        <v>1960</v>
      </c>
      <c r="C651" s="5" t="s">
        <v>84</v>
      </c>
      <c r="D651" s="5" t="s">
        <v>128</v>
      </c>
      <c r="E651" s="5" t="s">
        <v>1927</v>
      </c>
      <c r="F651" s="5" t="n">
        <v>5</v>
      </c>
      <c r="G651" s="5" t="n">
        <v>5</v>
      </c>
      <c r="H651" s="6" t="str">
        <f aca="false">IF(N651="","",N651&amp;IF(AND(MOD(N651,100)&gt;=11,MOD(N651,100)&lt;=13),"th",CHOOSE(MIN(5,MOD(N651,10)+1),"th","st","nd","rd","th")))</f>
        <v>13th</v>
      </c>
      <c r="I651" s="5" t="s">
        <v>1691</v>
      </c>
      <c r="J651" s="6" t="n">
        <f aca="false">IFERROR(INDEX(Rounds!$A:$A,MATCH(I651,Rounds!$B:$B,0)),"ADD LEAGUE TO ROUNDS")</f>
        <v>6</v>
      </c>
      <c r="K651" s="6" t="n">
        <f aca="false">IFERROR(VALUE(LEFT(E651,FIND(" - ",E651)-1)),"")</f>
        <v>7</v>
      </c>
      <c r="L651" s="5" t="s">
        <v>1961</v>
      </c>
      <c r="N651" s="6" t="n">
        <f aca="false">IF(F651="","",1+COUNTIFS($J:$J,J651,$K:$K,K651,$F:$F,"&gt;"&amp;F651)+COUNTIFS($J:$J,J651,$K:$K,K651,$F:$F,F651,$G:$G,"&gt;"&amp;G651))</f>
        <v>13</v>
      </c>
      <c r="O651" s="6" t="n">
        <f aca="false">IF(L651="","",SUMIFS(Votes!$E:$E,Votes!$A:$A,J651,Votes!$B:$B,K651,Votes!$D:$D,L651))</f>
        <v>5</v>
      </c>
      <c r="P651" s="6" t="n">
        <f aca="false">IF(L651="","",COUNTIFS(Votes!$A:$A,J651,Votes!$B:$B,K651,Votes!$D:$D,L651))</f>
        <v>5</v>
      </c>
      <c r="Q651" s="7" t="str">
        <f aca="false">IF(F651="","Unscored",IF(O651="","No URI",IF(AND(F651=0,O651=0),"Zero-vote",IF(AND(F651=O651,G651=P651),"OK",IF(AND(F651=0,O651&gt;0,COUNTIFS(Votes!$A:$A,J651,Votes!$B:$B,K651,Votes!$C:$C,D651)=0),"Forfeited","Mismatch")))))</f>
        <v>OK</v>
      </c>
      <c r="R651" s="6" t="n">
        <f aca="false">MAX(IF(L651&lt;&gt;"",COUNTIF($L:$L,L651),0),COUNTIFS($A:$A,A651,$B:$B,B651))</f>
        <v>1</v>
      </c>
      <c r="S651" s="6" t="str">
        <f aca="false">IF(R651&gt;1,COUNTIF($R$2:R651,"&gt;1"),"")</f>
        <v/>
      </c>
      <c r="T651" s="6" t="str">
        <f aca="false">IF(L651="","",J651&amp;"|"&amp;K651&amp;"|"&amp;L651)</f>
        <v>6|7|spotify:track:1As0DIn3aDCaAspzPQ2s6b</v>
      </c>
      <c r="U651" s="6" t="str">
        <f aca="false">IF(C651="","",IFERROR(INDEX(Lists!$F:$F,MATCH(C651,Lists!$E:$E,0)),"Unmapped"))</f>
        <v>Pop</v>
      </c>
    </row>
    <row r="652" customFormat="false" ht="15" hidden="false" customHeight="false" outlineLevel="0" collapsed="false">
      <c r="A652" s="5" t="s">
        <v>1962</v>
      </c>
      <c r="B652" s="5" t="s">
        <v>1963</v>
      </c>
      <c r="C652" s="5" t="s">
        <v>91</v>
      </c>
      <c r="D652" s="5" t="s">
        <v>119</v>
      </c>
      <c r="E652" s="5" t="s">
        <v>1927</v>
      </c>
      <c r="F652" s="5" t="n">
        <v>5</v>
      </c>
      <c r="G652" s="5" t="n">
        <v>5</v>
      </c>
      <c r="H652" s="6" t="str">
        <f aca="false">IF(N652="","",N652&amp;IF(AND(MOD(N652,100)&gt;=11,MOD(N652,100)&lt;=13),"th",CHOOSE(MIN(5,MOD(N652,10)+1),"th","st","nd","rd","th")))</f>
        <v>13th</v>
      </c>
      <c r="I652" s="5" t="s">
        <v>1691</v>
      </c>
      <c r="J652" s="6" t="n">
        <f aca="false">IFERROR(INDEX(Rounds!$A:$A,MATCH(I652,Rounds!$B:$B,0)),"ADD LEAGUE TO ROUNDS")</f>
        <v>6</v>
      </c>
      <c r="K652" s="6" t="n">
        <f aca="false">IFERROR(VALUE(LEFT(E652,FIND(" - ",E652)-1)),"")</f>
        <v>7</v>
      </c>
      <c r="L652" s="5" t="s">
        <v>1964</v>
      </c>
      <c r="N652" s="6" t="n">
        <f aca="false">IF(F652="","",1+COUNTIFS($J:$J,J652,$K:$K,K652,$F:$F,"&gt;"&amp;F652)+COUNTIFS($J:$J,J652,$K:$K,K652,$F:$F,F652,$G:$G,"&gt;"&amp;G652))</f>
        <v>13</v>
      </c>
      <c r="O652" s="6" t="n">
        <f aca="false">IF(L652="","",SUMIFS(Votes!$E:$E,Votes!$A:$A,J652,Votes!$B:$B,K652,Votes!$D:$D,L652))</f>
        <v>5</v>
      </c>
      <c r="P652" s="6" t="n">
        <f aca="false">IF(L652="","",COUNTIFS(Votes!$A:$A,J652,Votes!$B:$B,K652,Votes!$D:$D,L652))</f>
        <v>5</v>
      </c>
      <c r="Q652" s="7" t="str">
        <f aca="false">IF(F652="","Unscored",IF(O652="","No URI",IF(AND(F652=0,O652=0),"Zero-vote",IF(AND(F652=O652,G652=P652),"OK",IF(AND(F652=0,O652&gt;0,COUNTIFS(Votes!$A:$A,J652,Votes!$B:$B,K652,Votes!$C:$C,D652)=0),"Forfeited","Mismatch")))))</f>
        <v>OK</v>
      </c>
      <c r="R652" s="6" t="n">
        <f aca="false">MAX(IF(L652&lt;&gt;"",COUNTIF($L:$L,L652),0),COUNTIFS($A:$A,A652,$B:$B,B652))</f>
        <v>1</v>
      </c>
      <c r="S652" s="6" t="str">
        <f aca="false">IF(R652&gt;1,COUNTIF($R$2:R652,"&gt;1"),"")</f>
        <v/>
      </c>
      <c r="T652" s="6" t="str">
        <f aca="false">IF(L652="","",J652&amp;"|"&amp;K652&amp;"|"&amp;L652)</f>
        <v>6|7|spotify:track:1SmoikQyzvAi35I5X4LHMY</v>
      </c>
      <c r="U652" s="6" t="str">
        <f aca="false">IF(C652="","",IFERROR(INDEX(Lists!$F:$F,MATCH(C652,Lists!$E:$E,0)),"Unmapped"))</f>
        <v>Rock</v>
      </c>
    </row>
    <row r="653" customFormat="false" ht="15" hidden="false" customHeight="false" outlineLevel="0" collapsed="false">
      <c r="A653" s="5" t="s">
        <v>1965</v>
      </c>
      <c r="B653" s="5" t="s">
        <v>1966</v>
      </c>
      <c r="C653" s="5" t="s">
        <v>171</v>
      </c>
      <c r="D653" s="5" t="s">
        <v>375</v>
      </c>
      <c r="E653" s="5" t="s">
        <v>1927</v>
      </c>
      <c r="F653" s="5" t="n">
        <v>0</v>
      </c>
      <c r="G653" s="5" t="n">
        <v>8</v>
      </c>
      <c r="H653" s="6" t="str">
        <f aca="false">IF(N653="","",N653&amp;IF(AND(MOD(N653,100)&gt;=11,MOD(N653,100)&lt;=13),"th",CHOOSE(MIN(5,MOD(N653,10)+1),"th","st","nd","rd","th")))</f>
        <v>15th</v>
      </c>
      <c r="I653" s="5" t="s">
        <v>1691</v>
      </c>
      <c r="J653" s="6" t="n">
        <f aca="false">IFERROR(INDEX(Rounds!$A:$A,MATCH(I653,Rounds!$B:$B,0)),"ADD LEAGUE TO ROUNDS")</f>
        <v>6</v>
      </c>
      <c r="K653" s="6" t="n">
        <f aca="false">IFERROR(VALUE(LEFT(E653,FIND(" - ",E653)-1)),"")</f>
        <v>7</v>
      </c>
      <c r="L653" s="5" t="s">
        <v>1967</v>
      </c>
      <c r="N653" s="6" t="n">
        <f aca="false">IF(F653="","",1+COUNTIFS($J:$J,J653,$K:$K,K653,$F:$F,"&gt;"&amp;F653)+COUNTIFS($J:$J,J653,$K:$K,K653,$F:$F,F653,$G:$G,"&gt;"&amp;G653))</f>
        <v>15</v>
      </c>
      <c r="O653" s="6" t="n">
        <f aca="false">IF(L653="","",SUMIFS(Votes!$E:$E,Votes!$A:$A,J653,Votes!$B:$B,K653,Votes!$D:$D,L653))</f>
        <v>10</v>
      </c>
      <c r="P653" s="6" t="n">
        <f aca="false">IF(L653="","",COUNTIFS(Votes!$A:$A,J653,Votes!$B:$B,K653,Votes!$D:$D,L653))</f>
        <v>8</v>
      </c>
      <c r="Q653" s="7" t="str">
        <f aca="false">IF(F653="","Unscored",IF(O653="","No URI",IF(AND(F653=0,O653=0),"Zero-vote",IF(AND(F653=O653,G653=P653),"OK",IF(AND(F653=0,O653&gt;0,COUNTIFS(Votes!$A:$A,J653,Votes!$B:$B,K653,Votes!$C:$C,D653)=0),"Forfeited","Mismatch")))))</f>
        <v>Forfeited</v>
      </c>
      <c r="R653" s="6" t="n">
        <f aca="false">MAX(IF(L653&lt;&gt;"",COUNTIF($L:$L,L653),0),COUNTIFS($A:$A,A653,$B:$B,B653))</f>
        <v>1</v>
      </c>
      <c r="S653" s="6" t="str">
        <f aca="false">IF(R653&gt;1,COUNTIF($R$2:R653,"&gt;1"),"")</f>
        <v/>
      </c>
      <c r="T653" s="6" t="str">
        <f aca="false">IF(L653="","",J653&amp;"|"&amp;K653&amp;"|"&amp;L653)</f>
        <v>6|7|spotify:track:2lNTHWu2I5Tcz9ukWsV5Jj</v>
      </c>
      <c r="U653" s="6" t="str">
        <f aca="false">IF(C653="","",IFERROR(INDEX(Lists!$F:$F,MATCH(C653,Lists!$E:$E,0)),"Unmapped"))</f>
        <v>Country</v>
      </c>
    </row>
    <row r="654" customFormat="false" ht="15" hidden="false" customHeight="false" outlineLevel="0" collapsed="false">
      <c r="A654" s="5" t="s">
        <v>1968</v>
      </c>
      <c r="B654" s="5" t="s">
        <v>1969</v>
      </c>
      <c r="C654" s="5" t="s">
        <v>248</v>
      </c>
      <c r="D654" s="5" t="s">
        <v>484</v>
      </c>
      <c r="E654" s="5" t="s">
        <v>1927</v>
      </c>
      <c r="F654" s="5" t="n">
        <v>0</v>
      </c>
      <c r="G654" s="5" t="n">
        <v>4</v>
      </c>
      <c r="H654" s="6" t="str">
        <f aca="false">IF(N654="","",N654&amp;IF(AND(MOD(N654,100)&gt;=11,MOD(N654,100)&lt;=13),"th",CHOOSE(MIN(5,MOD(N654,10)+1),"th","st","nd","rd","th")))</f>
        <v>16th</v>
      </c>
      <c r="I654" s="5" t="s">
        <v>1691</v>
      </c>
      <c r="J654" s="6" t="n">
        <f aca="false">IFERROR(INDEX(Rounds!$A:$A,MATCH(I654,Rounds!$B:$B,0)),"ADD LEAGUE TO ROUNDS")</f>
        <v>6</v>
      </c>
      <c r="K654" s="6" t="n">
        <f aca="false">IFERROR(VALUE(LEFT(E654,FIND(" - ",E654)-1)),"")</f>
        <v>7</v>
      </c>
      <c r="L654" s="5" t="s">
        <v>1970</v>
      </c>
      <c r="N654" s="6" t="n">
        <f aca="false">IF(F654="","",1+COUNTIFS($J:$J,J654,$K:$K,K654,$F:$F,"&gt;"&amp;F654)+COUNTIFS($J:$J,J654,$K:$K,K654,$F:$F,F654,$G:$G,"&gt;"&amp;G654))</f>
        <v>16</v>
      </c>
      <c r="O654" s="6" t="n">
        <f aca="false">IF(L654="","",SUMIFS(Votes!$E:$E,Votes!$A:$A,J654,Votes!$B:$B,K654,Votes!$D:$D,L654))</f>
        <v>4</v>
      </c>
      <c r="P654" s="6" t="n">
        <f aca="false">IF(L654="","",COUNTIFS(Votes!$A:$A,J654,Votes!$B:$B,K654,Votes!$D:$D,L654))</f>
        <v>4</v>
      </c>
      <c r="Q654" s="7" t="str">
        <f aca="false">IF(F654="","Unscored",IF(O654="","No URI",IF(AND(F654=0,O654=0),"Zero-vote",IF(AND(F654=O654,G654=P654),"OK",IF(AND(F654=0,O654&gt;0,COUNTIFS(Votes!$A:$A,J654,Votes!$B:$B,K654,Votes!$C:$C,D654)=0),"Forfeited","Mismatch")))))</f>
        <v>Forfeited</v>
      </c>
      <c r="R654" s="6" t="n">
        <f aca="false">MAX(IF(L654&lt;&gt;"",COUNTIF($L:$L,L654),0),COUNTIFS($A:$A,A654,$B:$B,B654))</f>
        <v>1</v>
      </c>
      <c r="S654" s="6" t="str">
        <f aca="false">IF(R654&gt;1,COUNTIF($R$2:R654,"&gt;1"),"")</f>
        <v/>
      </c>
      <c r="T654" s="6" t="str">
        <f aca="false">IF(L654="","",J654&amp;"|"&amp;K654&amp;"|"&amp;L654)</f>
        <v>6|7|spotify:track:0XJGoeexYvCDo2h6wY7qlR</v>
      </c>
      <c r="U654" s="6" t="str">
        <f aca="false">IF(C654="","",IFERROR(INDEX(Lists!$F:$F,MATCH(C654,Lists!$E:$E,0)),"Unmapped"))</f>
        <v>Folk/Americana</v>
      </c>
    </row>
    <row r="655" customFormat="false" ht="15" hidden="false" customHeight="false" outlineLevel="0" collapsed="false">
      <c r="A655" s="5" t="s">
        <v>1971</v>
      </c>
      <c r="B655" s="5" t="s">
        <v>1972</v>
      </c>
      <c r="C655" s="5" t="s">
        <v>293</v>
      </c>
      <c r="D655" s="5" t="s">
        <v>119</v>
      </c>
      <c r="E655" s="5" t="s">
        <v>1973</v>
      </c>
      <c r="F655" s="5" t="n">
        <v>19</v>
      </c>
      <c r="G655" s="5" t="n">
        <v>13</v>
      </c>
      <c r="H655" s="6" t="str">
        <f aca="false">IF(N655="","",N655&amp;IF(AND(MOD(N655,100)&gt;=11,MOD(N655,100)&lt;=13),"th",CHOOSE(MIN(5,MOD(N655,10)+1),"th","st","nd","rd","th")))</f>
        <v>1st</v>
      </c>
      <c r="I655" s="5" t="s">
        <v>1691</v>
      </c>
      <c r="J655" s="6" t="n">
        <f aca="false">IFERROR(INDEX(Rounds!$A:$A,MATCH(I655,Rounds!$B:$B,0)),"ADD LEAGUE TO ROUNDS")</f>
        <v>6</v>
      </c>
      <c r="K655" s="6" t="n">
        <f aca="false">IFERROR(VALUE(LEFT(E655,FIND(" - ",E655)-1)),"")</f>
        <v>8</v>
      </c>
      <c r="L655" s="5" t="s">
        <v>1974</v>
      </c>
      <c r="N655" s="6" t="n">
        <f aca="false">IF(F655="","",1+COUNTIFS($J:$J,J655,$K:$K,K655,$F:$F,"&gt;"&amp;F655)+COUNTIFS($J:$J,J655,$K:$K,K655,$F:$F,F655,$G:$G,"&gt;"&amp;G655))</f>
        <v>1</v>
      </c>
      <c r="O655" s="6" t="n">
        <f aca="false">IF(L655="","",SUMIFS(Votes!$E:$E,Votes!$A:$A,J655,Votes!$B:$B,K655,Votes!$D:$D,L655))</f>
        <v>19</v>
      </c>
      <c r="P655" s="6" t="n">
        <f aca="false">IF(L655="","",COUNTIFS(Votes!$A:$A,J655,Votes!$B:$B,K655,Votes!$D:$D,L655))</f>
        <v>13</v>
      </c>
      <c r="Q655" s="7" t="str">
        <f aca="false">IF(F655="","Unscored",IF(O655="","No URI",IF(AND(F655=0,O655=0),"Zero-vote",IF(AND(F655=O655,G655=P655),"OK",IF(AND(F655=0,O655&gt;0,COUNTIFS(Votes!$A:$A,J655,Votes!$B:$B,K655,Votes!$C:$C,D655)=0),"Forfeited","Mismatch")))))</f>
        <v>OK</v>
      </c>
      <c r="R655" s="6" t="n">
        <f aca="false">MAX(IF(L655&lt;&gt;"",COUNTIF($L:$L,L655),0),COUNTIFS($A:$A,A655,$B:$B,B655))</f>
        <v>1</v>
      </c>
      <c r="S655" s="6" t="str">
        <f aca="false">IF(R655&gt;1,COUNTIF($R$2:R655,"&gt;1"),"")</f>
        <v/>
      </c>
      <c r="T655" s="6" t="str">
        <f aca="false">IF(L655="","",J655&amp;"|"&amp;K655&amp;"|"&amp;L655)</f>
        <v>6|8|spotify:track:45Q5IYHJbBdmvlcnwVpXw5</v>
      </c>
      <c r="U655" s="6" t="str">
        <f aca="false">IF(C655="","",IFERROR(INDEX(Lists!$F:$F,MATCH(C655,Lists!$E:$E,0)),"Unmapped"))</f>
        <v>Electronic/Dance</v>
      </c>
    </row>
    <row r="656" customFormat="false" ht="15" hidden="false" customHeight="false" outlineLevel="0" collapsed="false">
      <c r="A656" s="5" t="s">
        <v>1975</v>
      </c>
      <c r="B656" s="5" t="s">
        <v>1976</v>
      </c>
      <c r="C656" s="5" t="s">
        <v>304</v>
      </c>
      <c r="D656" s="5" t="s">
        <v>97</v>
      </c>
      <c r="E656" s="5" t="s">
        <v>1973</v>
      </c>
      <c r="F656" s="5" t="n">
        <v>14</v>
      </c>
      <c r="G656" s="5" t="n">
        <v>11</v>
      </c>
      <c r="H656" s="6" t="str">
        <f aca="false">IF(N656="","",N656&amp;IF(AND(MOD(N656,100)&gt;=11,MOD(N656,100)&lt;=13),"th",CHOOSE(MIN(5,MOD(N656,10)+1),"th","st","nd","rd","th")))</f>
        <v>2nd</v>
      </c>
      <c r="I656" s="5" t="s">
        <v>1691</v>
      </c>
      <c r="J656" s="6" t="n">
        <f aca="false">IFERROR(INDEX(Rounds!$A:$A,MATCH(I656,Rounds!$B:$B,0)),"ADD LEAGUE TO ROUNDS")</f>
        <v>6</v>
      </c>
      <c r="K656" s="6" t="n">
        <f aca="false">IFERROR(VALUE(LEFT(E656,FIND(" - ",E656)-1)),"")</f>
        <v>8</v>
      </c>
      <c r="L656" s="5" t="s">
        <v>1977</v>
      </c>
      <c r="N656" s="6" t="n">
        <f aca="false">IF(F656="","",1+COUNTIFS($J:$J,J656,$K:$K,K656,$F:$F,"&gt;"&amp;F656)+COUNTIFS($J:$J,J656,$K:$K,K656,$F:$F,F656,$G:$G,"&gt;"&amp;G656))</f>
        <v>2</v>
      </c>
      <c r="O656" s="6" t="n">
        <f aca="false">IF(L656="","",SUMIFS(Votes!$E:$E,Votes!$A:$A,J656,Votes!$B:$B,K656,Votes!$D:$D,L656))</f>
        <v>14</v>
      </c>
      <c r="P656" s="6" t="n">
        <f aca="false">IF(L656="","",COUNTIFS(Votes!$A:$A,J656,Votes!$B:$B,K656,Votes!$D:$D,L656))</f>
        <v>11</v>
      </c>
      <c r="Q656" s="7" t="str">
        <f aca="false">IF(F656="","Unscored",IF(O656="","No URI",IF(AND(F656=0,O656=0),"Zero-vote",IF(AND(F656=O656,G656=P656),"OK",IF(AND(F656=0,O656&gt;0,COUNTIFS(Votes!$A:$A,J656,Votes!$B:$B,K656,Votes!$C:$C,D656)=0),"Forfeited","Mismatch")))))</f>
        <v>OK</v>
      </c>
      <c r="R656" s="6" t="n">
        <f aca="false">MAX(IF(L656&lt;&gt;"",COUNTIF($L:$L,L656),0),COUNTIFS($A:$A,A656,$B:$B,B656))</f>
        <v>1</v>
      </c>
      <c r="S656" s="6" t="str">
        <f aca="false">IF(R656&gt;1,COUNTIF($R$2:R656,"&gt;1"),"")</f>
        <v/>
      </c>
      <c r="T656" s="6" t="str">
        <f aca="false">IF(L656="","",J656&amp;"|"&amp;K656&amp;"|"&amp;L656)</f>
        <v>6|8|spotify:track:3FZPp9lBUvhsxFxKJi3VkB</v>
      </c>
      <c r="U656" s="6" t="str">
        <f aca="false">IF(C656="","",IFERROR(INDEX(Lists!$F:$F,MATCH(C656,Lists!$E:$E,0)),"Unmapped"))</f>
        <v>K-Pop</v>
      </c>
    </row>
    <row r="657" customFormat="false" ht="15" hidden="false" customHeight="false" outlineLevel="0" collapsed="false">
      <c r="A657" s="5" t="s">
        <v>1978</v>
      </c>
      <c r="B657" s="5" t="s">
        <v>1979</v>
      </c>
      <c r="C657" s="5" t="s">
        <v>91</v>
      </c>
      <c r="D657" s="5" t="s">
        <v>1843</v>
      </c>
      <c r="E657" s="5" t="s">
        <v>1973</v>
      </c>
      <c r="F657" s="5" t="n">
        <v>13</v>
      </c>
      <c r="G657" s="5" t="n">
        <v>9</v>
      </c>
      <c r="H657" s="6" t="str">
        <f aca="false">IF(N657="","",N657&amp;IF(AND(MOD(N657,100)&gt;=11,MOD(N657,100)&lt;=13),"th",CHOOSE(MIN(5,MOD(N657,10)+1),"th","st","nd","rd","th")))</f>
        <v>3rd</v>
      </c>
      <c r="I657" s="5" t="s">
        <v>1691</v>
      </c>
      <c r="J657" s="6" t="n">
        <f aca="false">IFERROR(INDEX(Rounds!$A:$A,MATCH(I657,Rounds!$B:$B,0)),"ADD LEAGUE TO ROUNDS")</f>
        <v>6</v>
      </c>
      <c r="K657" s="6" t="n">
        <f aca="false">IFERROR(VALUE(LEFT(E657,FIND(" - ",E657)-1)),"")</f>
        <v>8</v>
      </c>
      <c r="L657" s="5" t="s">
        <v>1980</v>
      </c>
      <c r="N657" s="6" t="n">
        <f aca="false">IF(F657="","",1+COUNTIFS($J:$J,J657,$K:$K,K657,$F:$F,"&gt;"&amp;F657)+COUNTIFS($J:$J,J657,$K:$K,K657,$F:$F,F657,$G:$G,"&gt;"&amp;G657))</f>
        <v>3</v>
      </c>
      <c r="O657" s="6" t="n">
        <f aca="false">IF(L657="","",SUMIFS(Votes!$E:$E,Votes!$A:$A,J657,Votes!$B:$B,K657,Votes!$D:$D,L657))</f>
        <v>13</v>
      </c>
      <c r="P657" s="6" t="n">
        <f aca="false">IF(L657="","",COUNTIFS(Votes!$A:$A,J657,Votes!$B:$B,K657,Votes!$D:$D,L657))</f>
        <v>9</v>
      </c>
      <c r="Q657" s="7" t="str">
        <f aca="false">IF(F657="","Unscored",IF(O657="","No URI",IF(AND(F657=0,O657=0),"Zero-vote",IF(AND(F657=O657,G657=P657),"OK",IF(AND(F657=0,O657&gt;0,COUNTIFS(Votes!$A:$A,J657,Votes!$B:$B,K657,Votes!$C:$C,D657)=0),"Forfeited","Mismatch")))))</f>
        <v>OK</v>
      </c>
      <c r="R657" s="6" t="n">
        <f aca="false">MAX(IF(L657&lt;&gt;"",COUNTIF($L:$L,L657),0),COUNTIFS($A:$A,A657,$B:$B,B657))</f>
        <v>1</v>
      </c>
      <c r="S657" s="6" t="str">
        <f aca="false">IF(R657&gt;1,COUNTIF($R$2:R657,"&gt;1"),"")</f>
        <v/>
      </c>
      <c r="T657" s="6" t="str">
        <f aca="false">IF(L657="","",J657&amp;"|"&amp;K657&amp;"|"&amp;L657)</f>
        <v>6|8|spotify:track:0G21yYKMZoHa30cYVi1iA8</v>
      </c>
      <c r="U657" s="6" t="str">
        <f aca="false">IF(C657="","",IFERROR(INDEX(Lists!$F:$F,MATCH(C657,Lists!$E:$E,0)),"Unmapped"))</f>
        <v>Rock</v>
      </c>
    </row>
    <row r="658" customFormat="false" ht="15" hidden="false" customHeight="false" outlineLevel="0" collapsed="false">
      <c r="A658" s="5" t="s">
        <v>1981</v>
      </c>
      <c r="B658" s="5" t="s">
        <v>1982</v>
      </c>
      <c r="C658" s="5" t="s">
        <v>293</v>
      </c>
      <c r="D658" s="5" t="s">
        <v>85</v>
      </c>
      <c r="E658" s="5" t="s">
        <v>1973</v>
      </c>
      <c r="F658" s="5" t="n">
        <v>12</v>
      </c>
      <c r="G658" s="5" t="n">
        <v>8</v>
      </c>
      <c r="H658" s="6" t="str">
        <f aca="false">IF(N658="","",N658&amp;IF(AND(MOD(N658,100)&gt;=11,MOD(N658,100)&lt;=13),"th",CHOOSE(MIN(5,MOD(N658,10)+1),"th","st","nd","rd","th")))</f>
        <v>4th</v>
      </c>
      <c r="I658" s="5" t="s">
        <v>1691</v>
      </c>
      <c r="J658" s="6" t="n">
        <f aca="false">IFERROR(INDEX(Rounds!$A:$A,MATCH(I658,Rounds!$B:$B,0)),"ADD LEAGUE TO ROUNDS")</f>
        <v>6</v>
      </c>
      <c r="K658" s="6" t="n">
        <f aca="false">IFERROR(VALUE(LEFT(E658,FIND(" - ",E658)-1)),"")</f>
        <v>8</v>
      </c>
      <c r="L658" s="5" t="s">
        <v>1983</v>
      </c>
      <c r="N658" s="6" t="n">
        <f aca="false">IF(F658="","",1+COUNTIFS($J:$J,J658,$K:$K,K658,$F:$F,"&gt;"&amp;F658)+COUNTIFS($J:$J,J658,$K:$K,K658,$F:$F,F658,$G:$G,"&gt;"&amp;G658))</f>
        <v>4</v>
      </c>
      <c r="O658" s="6" t="n">
        <f aca="false">IF(L658="","",SUMIFS(Votes!$E:$E,Votes!$A:$A,J658,Votes!$B:$B,K658,Votes!$D:$D,L658))</f>
        <v>12</v>
      </c>
      <c r="P658" s="6" t="n">
        <f aca="false">IF(L658="","",COUNTIFS(Votes!$A:$A,J658,Votes!$B:$B,K658,Votes!$D:$D,L658))</f>
        <v>8</v>
      </c>
      <c r="Q658" s="7" t="str">
        <f aca="false">IF(F658="","Unscored",IF(O658="","No URI",IF(AND(F658=0,O658=0),"Zero-vote",IF(AND(F658=O658,G658=P658),"OK",IF(AND(F658=0,O658&gt;0,COUNTIFS(Votes!$A:$A,J658,Votes!$B:$B,K658,Votes!$C:$C,D658)=0),"Forfeited","Mismatch")))))</f>
        <v>OK</v>
      </c>
      <c r="R658" s="6" t="n">
        <f aca="false">MAX(IF(L658&lt;&gt;"",COUNTIF($L:$L,L658),0),COUNTIFS($A:$A,A658,$B:$B,B658))</f>
        <v>1</v>
      </c>
      <c r="S658" s="6" t="str">
        <f aca="false">IF(R658&gt;1,COUNTIF($R$2:R658,"&gt;1"),"")</f>
        <v/>
      </c>
      <c r="T658" s="6" t="str">
        <f aca="false">IF(L658="","",J658&amp;"|"&amp;K658&amp;"|"&amp;L658)</f>
        <v>6|8|spotify:track:4TuNI3WEMyLQAKRMJmcQdA</v>
      </c>
      <c r="U658" s="6" t="str">
        <f aca="false">IF(C658="","",IFERROR(INDEX(Lists!$F:$F,MATCH(C658,Lists!$E:$E,0)),"Unmapped"))</f>
        <v>Electronic/Dance</v>
      </c>
    </row>
    <row r="659" customFormat="false" ht="15" hidden="false" customHeight="false" outlineLevel="0" collapsed="false">
      <c r="A659" s="5" t="s">
        <v>1984</v>
      </c>
      <c r="B659" s="5" t="s">
        <v>1985</v>
      </c>
      <c r="C659" s="5" t="s">
        <v>84</v>
      </c>
      <c r="D659" s="5" t="s">
        <v>637</v>
      </c>
      <c r="E659" s="5" t="s">
        <v>1973</v>
      </c>
      <c r="F659" s="5" t="n">
        <v>11</v>
      </c>
      <c r="G659" s="5" t="n">
        <v>9</v>
      </c>
      <c r="H659" s="6" t="str">
        <f aca="false">IF(N659="","",N659&amp;IF(AND(MOD(N659,100)&gt;=11,MOD(N659,100)&lt;=13),"th",CHOOSE(MIN(5,MOD(N659,10)+1),"th","st","nd","rd","th")))</f>
        <v>5th</v>
      </c>
      <c r="I659" s="5" t="s">
        <v>1691</v>
      </c>
      <c r="J659" s="6" t="n">
        <f aca="false">IFERROR(INDEX(Rounds!$A:$A,MATCH(I659,Rounds!$B:$B,0)),"ADD LEAGUE TO ROUNDS")</f>
        <v>6</v>
      </c>
      <c r="K659" s="6" t="n">
        <f aca="false">IFERROR(VALUE(LEFT(E659,FIND(" - ",E659)-1)),"")</f>
        <v>8</v>
      </c>
      <c r="L659" s="5" t="s">
        <v>1986</v>
      </c>
      <c r="N659" s="6" t="n">
        <f aca="false">IF(F659="","",1+COUNTIFS($J:$J,J659,$K:$K,K659,$F:$F,"&gt;"&amp;F659)+COUNTIFS($J:$J,J659,$K:$K,K659,$F:$F,F659,$G:$G,"&gt;"&amp;G659))</f>
        <v>5</v>
      </c>
      <c r="O659" s="6" t="n">
        <f aca="false">IF(L659="","",SUMIFS(Votes!$E:$E,Votes!$A:$A,J659,Votes!$B:$B,K659,Votes!$D:$D,L659))</f>
        <v>11</v>
      </c>
      <c r="P659" s="6" t="n">
        <f aca="false">IF(L659="","",COUNTIFS(Votes!$A:$A,J659,Votes!$B:$B,K659,Votes!$D:$D,L659))</f>
        <v>9</v>
      </c>
      <c r="Q659" s="7" t="str">
        <f aca="false">IF(F659="","Unscored",IF(O659="","No URI",IF(AND(F659=0,O659=0),"Zero-vote",IF(AND(F659=O659,G659=P659),"OK",IF(AND(F659=0,O659&gt;0,COUNTIFS(Votes!$A:$A,J659,Votes!$B:$B,K659,Votes!$C:$C,D659)=0),"Forfeited","Mismatch")))))</f>
        <v>OK</v>
      </c>
      <c r="R659" s="6" t="n">
        <f aca="false">MAX(IF(L659&lt;&gt;"",COUNTIF($L:$L,L659),0),COUNTIFS($A:$A,A659,$B:$B,B659))</f>
        <v>1</v>
      </c>
      <c r="S659" s="6" t="str">
        <f aca="false">IF(R659&gt;1,COUNTIF($R$2:R659,"&gt;1"),"")</f>
        <v/>
      </c>
      <c r="T659" s="6" t="str">
        <f aca="false">IF(L659="","",J659&amp;"|"&amp;K659&amp;"|"&amp;L659)</f>
        <v>6|8|spotify:track:683hRieVmYdAhVA1DkjSAk</v>
      </c>
      <c r="U659" s="6" t="str">
        <f aca="false">IF(C659="","",IFERROR(INDEX(Lists!$F:$F,MATCH(C659,Lists!$E:$E,0)),"Unmapped"))</f>
        <v>Pop</v>
      </c>
    </row>
    <row r="660" customFormat="false" ht="15" hidden="false" customHeight="false" outlineLevel="0" collapsed="false">
      <c r="A660" s="5" t="s">
        <v>1987</v>
      </c>
      <c r="B660" s="5" t="s">
        <v>778</v>
      </c>
      <c r="C660" s="5" t="s">
        <v>84</v>
      </c>
      <c r="D660" s="5" t="s">
        <v>705</v>
      </c>
      <c r="E660" s="5" t="s">
        <v>1973</v>
      </c>
      <c r="F660" s="5" t="n">
        <v>10</v>
      </c>
      <c r="G660" s="5" t="n">
        <v>8</v>
      </c>
      <c r="H660" s="6" t="str">
        <f aca="false">IF(N660="","",N660&amp;IF(AND(MOD(N660,100)&gt;=11,MOD(N660,100)&lt;=13),"th",CHOOSE(MIN(5,MOD(N660,10)+1),"th","st","nd","rd","th")))</f>
        <v>6th</v>
      </c>
      <c r="I660" s="5" t="s">
        <v>1691</v>
      </c>
      <c r="J660" s="6" t="n">
        <f aca="false">IFERROR(INDEX(Rounds!$A:$A,MATCH(I660,Rounds!$B:$B,0)),"ADD LEAGUE TO ROUNDS")</f>
        <v>6</v>
      </c>
      <c r="K660" s="6" t="n">
        <f aca="false">IFERROR(VALUE(LEFT(E660,FIND(" - ",E660)-1)),"")</f>
        <v>8</v>
      </c>
      <c r="L660" s="5" t="s">
        <v>1988</v>
      </c>
      <c r="N660" s="6" t="n">
        <f aca="false">IF(F660="","",1+COUNTIFS($J:$J,J660,$K:$K,K660,$F:$F,"&gt;"&amp;F660)+COUNTIFS($J:$J,J660,$K:$K,K660,$F:$F,F660,$G:$G,"&gt;"&amp;G660))</f>
        <v>6</v>
      </c>
      <c r="O660" s="6" t="n">
        <f aca="false">IF(L660="","",SUMIFS(Votes!$E:$E,Votes!$A:$A,J660,Votes!$B:$B,K660,Votes!$D:$D,L660))</f>
        <v>10</v>
      </c>
      <c r="P660" s="6" t="n">
        <f aca="false">IF(L660="","",COUNTIFS(Votes!$A:$A,J660,Votes!$B:$B,K660,Votes!$D:$D,L660))</f>
        <v>8</v>
      </c>
      <c r="Q660" s="7" t="str">
        <f aca="false">IF(F660="","Unscored",IF(O660="","No URI",IF(AND(F660=0,O660=0),"Zero-vote",IF(AND(F660=O660,G660=P660),"OK",IF(AND(F660=0,O660&gt;0,COUNTIFS(Votes!$A:$A,J660,Votes!$B:$B,K660,Votes!$C:$C,D660)=0),"Forfeited","Mismatch")))))</f>
        <v>OK</v>
      </c>
      <c r="R660" s="6" t="n">
        <f aca="false">MAX(IF(L660&lt;&gt;"",COUNTIF($L:$L,L660),0),COUNTIFS($A:$A,A660,$B:$B,B660))</f>
        <v>1</v>
      </c>
      <c r="S660" s="6" t="str">
        <f aca="false">IF(R660&gt;1,COUNTIF($R$2:R660,"&gt;1"),"")</f>
        <v/>
      </c>
      <c r="T660" s="6" t="str">
        <f aca="false">IF(L660="","",J660&amp;"|"&amp;K660&amp;"|"&amp;L660)</f>
        <v>6|8|spotify:track:0GjEhVFGZW8afUYGChu3Rr</v>
      </c>
      <c r="U660" s="6" t="str">
        <f aca="false">IF(C660="","",IFERROR(INDEX(Lists!$F:$F,MATCH(C660,Lists!$E:$E,0)),"Unmapped"))</f>
        <v>Pop</v>
      </c>
    </row>
    <row r="661" customFormat="false" ht="15" hidden="false" customHeight="false" outlineLevel="0" collapsed="false">
      <c r="A661" s="5" t="s">
        <v>1989</v>
      </c>
      <c r="B661" s="5" t="s">
        <v>332</v>
      </c>
      <c r="C661" s="5" t="s">
        <v>84</v>
      </c>
      <c r="D661" s="5" t="s">
        <v>395</v>
      </c>
      <c r="E661" s="5" t="s">
        <v>1973</v>
      </c>
      <c r="F661" s="5" t="n">
        <v>10</v>
      </c>
      <c r="G661" s="5" t="n">
        <v>7</v>
      </c>
      <c r="H661" s="6" t="str">
        <f aca="false">IF(N661="","",N661&amp;IF(AND(MOD(N661,100)&gt;=11,MOD(N661,100)&lt;=13),"th",CHOOSE(MIN(5,MOD(N661,10)+1),"th","st","nd","rd","th")))</f>
        <v>7th</v>
      </c>
      <c r="I661" s="5" t="s">
        <v>1691</v>
      </c>
      <c r="J661" s="6" t="n">
        <f aca="false">IFERROR(INDEX(Rounds!$A:$A,MATCH(I661,Rounds!$B:$B,0)),"ADD LEAGUE TO ROUNDS")</f>
        <v>6</v>
      </c>
      <c r="K661" s="6" t="n">
        <f aca="false">IFERROR(VALUE(LEFT(E661,FIND(" - ",E661)-1)),"")</f>
        <v>8</v>
      </c>
      <c r="L661" s="5" t="s">
        <v>1990</v>
      </c>
      <c r="N661" s="6" t="n">
        <f aca="false">IF(F661="","",1+COUNTIFS($J:$J,J661,$K:$K,K661,$F:$F,"&gt;"&amp;F661)+COUNTIFS($J:$J,J661,$K:$K,K661,$F:$F,F661,$G:$G,"&gt;"&amp;G661))</f>
        <v>7</v>
      </c>
      <c r="O661" s="6" t="n">
        <f aca="false">IF(L661="","",SUMIFS(Votes!$E:$E,Votes!$A:$A,J661,Votes!$B:$B,K661,Votes!$D:$D,L661))</f>
        <v>10</v>
      </c>
      <c r="P661" s="6" t="n">
        <f aca="false">IF(L661="","",COUNTIFS(Votes!$A:$A,J661,Votes!$B:$B,K661,Votes!$D:$D,L661))</f>
        <v>7</v>
      </c>
      <c r="Q661" s="7" t="str">
        <f aca="false">IF(F661="","Unscored",IF(O661="","No URI",IF(AND(F661=0,O661=0),"Zero-vote",IF(AND(F661=O661,G661=P661),"OK",IF(AND(F661=0,O661&gt;0,COUNTIFS(Votes!$A:$A,J661,Votes!$B:$B,K661,Votes!$C:$C,D661)=0),"Forfeited","Mismatch")))))</f>
        <v>OK</v>
      </c>
      <c r="R661" s="6" t="n">
        <f aca="false">MAX(IF(L661&lt;&gt;"",COUNTIF($L:$L,L661),0),COUNTIFS($A:$A,A661,$B:$B,B661))</f>
        <v>1</v>
      </c>
      <c r="S661" s="6" t="str">
        <f aca="false">IF(R661&gt;1,COUNTIF($R$2:R661,"&gt;1"),"")</f>
        <v/>
      </c>
      <c r="T661" s="6" t="str">
        <f aca="false">IF(L661="","",J661&amp;"|"&amp;K661&amp;"|"&amp;L661)</f>
        <v>6|8|spotify:track:7z3PblAN3dH1JMewiRydkZ</v>
      </c>
      <c r="U661" s="6" t="str">
        <f aca="false">IF(C661="","",IFERROR(INDEX(Lists!$F:$F,MATCH(C661,Lists!$E:$E,0)),"Unmapped"))</f>
        <v>Pop</v>
      </c>
    </row>
    <row r="662" customFormat="false" ht="15" hidden="false" customHeight="false" outlineLevel="0" collapsed="false">
      <c r="A662" s="5" t="s">
        <v>1991</v>
      </c>
      <c r="B662" s="5" t="s">
        <v>381</v>
      </c>
      <c r="C662" s="5" t="s">
        <v>84</v>
      </c>
      <c r="D662" s="5" t="s">
        <v>382</v>
      </c>
      <c r="E662" s="5" t="s">
        <v>1973</v>
      </c>
      <c r="F662" s="5" t="n">
        <v>10</v>
      </c>
      <c r="G662" s="5" t="n">
        <v>6</v>
      </c>
      <c r="H662" s="6" t="str">
        <f aca="false">IF(N662="","",N662&amp;IF(AND(MOD(N662,100)&gt;=11,MOD(N662,100)&lt;=13),"th",CHOOSE(MIN(5,MOD(N662,10)+1),"th","st","nd","rd","th")))</f>
        <v>8th</v>
      </c>
      <c r="I662" s="5" t="s">
        <v>1691</v>
      </c>
      <c r="J662" s="6" t="n">
        <f aca="false">IFERROR(INDEX(Rounds!$A:$A,MATCH(I662,Rounds!$B:$B,0)),"ADD LEAGUE TO ROUNDS")</f>
        <v>6</v>
      </c>
      <c r="K662" s="6" t="n">
        <f aca="false">IFERROR(VALUE(LEFT(E662,FIND(" - ",E662)-1)),"")</f>
        <v>8</v>
      </c>
      <c r="L662" s="5" t="s">
        <v>1992</v>
      </c>
      <c r="N662" s="6" t="n">
        <f aca="false">IF(F662="","",1+COUNTIFS($J:$J,J662,$K:$K,K662,$F:$F,"&gt;"&amp;F662)+COUNTIFS($J:$J,J662,$K:$K,K662,$F:$F,F662,$G:$G,"&gt;"&amp;G662))</f>
        <v>8</v>
      </c>
      <c r="O662" s="6" t="n">
        <f aca="false">IF(L662="","",SUMIFS(Votes!$E:$E,Votes!$A:$A,J662,Votes!$B:$B,K662,Votes!$D:$D,L662))</f>
        <v>10</v>
      </c>
      <c r="P662" s="6" t="n">
        <f aca="false">IF(L662="","",COUNTIFS(Votes!$A:$A,J662,Votes!$B:$B,K662,Votes!$D:$D,L662))</f>
        <v>6</v>
      </c>
      <c r="Q662" s="7" t="str">
        <f aca="false">IF(F662="","Unscored",IF(O662="","No URI",IF(AND(F662=0,O662=0),"Zero-vote",IF(AND(F662=O662,G662=P662),"OK",IF(AND(F662=0,O662&gt;0,COUNTIFS(Votes!$A:$A,J662,Votes!$B:$B,K662,Votes!$C:$C,D662)=0),"Forfeited","Mismatch")))))</f>
        <v>OK</v>
      </c>
      <c r="R662" s="6" t="n">
        <f aca="false">MAX(IF(L662&lt;&gt;"",COUNTIF($L:$L,L662),0),COUNTIFS($A:$A,A662,$B:$B,B662))</f>
        <v>1</v>
      </c>
      <c r="S662" s="6" t="str">
        <f aca="false">IF(R662&gt;1,COUNTIF($R$2:R662,"&gt;1"),"")</f>
        <v/>
      </c>
      <c r="T662" s="6" t="str">
        <f aca="false">IF(L662="","",J662&amp;"|"&amp;K662&amp;"|"&amp;L662)</f>
        <v>6|8|spotify:track:0HPD5WQqrq7wPWR7P7Dw1i</v>
      </c>
      <c r="U662" s="6" t="str">
        <f aca="false">IF(C662="","",IFERROR(INDEX(Lists!$F:$F,MATCH(C662,Lists!$E:$E,0)),"Unmapped"))</f>
        <v>Pop</v>
      </c>
    </row>
    <row r="663" customFormat="false" ht="15" hidden="false" customHeight="false" outlineLevel="0" collapsed="false">
      <c r="A663" s="5" t="s">
        <v>1993</v>
      </c>
      <c r="B663" s="5" t="s">
        <v>1994</v>
      </c>
      <c r="C663" s="5" t="s">
        <v>91</v>
      </c>
      <c r="D663" s="5" t="s">
        <v>484</v>
      </c>
      <c r="E663" s="5" t="s">
        <v>1973</v>
      </c>
      <c r="F663" s="5" t="n">
        <v>9</v>
      </c>
      <c r="G663" s="5" t="n">
        <v>8</v>
      </c>
      <c r="H663" s="6" t="str">
        <f aca="false">IF(N663="","",N663&amp;IF(AND(MOD(N663,100)&gt;=11,MOD(N663,100)&lt;=13),"th",CHOOSE(MIN(5,MOD(N663,10)+1),"th","st","nd","rd","th")))</f>
        <v>9th</v>
      </c>
      <c r="I663" s="5" t="s">
        <v>1691</v>
      </c>
      <c r="J663" s="6" t="n">
        <f aca="false">IFERROR(INDEX(Rounds!$A:$A,MATCH(I663,Rounds!$B:$B,0)),"ADD LEAGUE TO ROUNDS")</f>
        <v>6</v>
      </c>
      <c r="K663" s="6" t="n">
        <f aca="false">IFERROR(VALUE(LEFT(E663,FIND(" - ",E663)-1)),"")</f>
        <v>8</v>
      </c>
      <c r="L663" s="5" t="s">
        <v>1995</v>
      </c>
      <c r="N663" s="6" t="n">
        <f aca="false">IF(F663="","",1+COUNTIFS($J:$J,J663,$K:$K,K663,$F:$F,"&gt;"&amp;F663)+COUNTIFS($J:$J,J663,$K:$K,K663,$F:$F,F663,$G:$G,"&gt;"&amp;G663))</f>
        <v>9</v>
      </c>
      <c r="O663" s="6" t="n">
        <f aca="false">IF(L663="","",SUMIFS(Votes!$E:$E,Votes!$A:$A,J663,Votes!$B:$B,K663,Votes!$D:$D,L663))</f>
        <v>9</v>
      </c>
      <c r="P663" s="6" t="n">
        <f aca="false">IF(L663="","",COUNTIFS(Votes!$A:$A,J663,Votes!$B:$B,K663,Votes!$D:$D,L663))</f>
        <v>8</v>
      </c>
      <c r="Q663" s="7" t="str">
        <f aca="false">IF(F663="","Unscored",IF(O663="","No URI",IF(AND(F663=0,O663=0),"Zero-vote",IF(AND(F663=O663,G663=P663),"OK",IF(AND(F663=0,O663&gt;0,COUNTIFS(Votes!$A:$A,J663,Votes!$B:$B,K663,Votes!$C:$C,D663)=0),"Forfeited","Mismatch")))))</f>
        <v>OK</v>
      </c>
      <c r="R663" s="6" t="n">
        <f aca="false">MAX(IF(L663&lt;&gt;"",COUNTIF($L:$L,L663),0),COUNTIFS($A:$A,A663,$B:$B,B663))</f>
        <v>1</v>
      </c>
      <c r="S663" s="6" t="str">
        <f aca="false">IF(R663&gt;1,COUNTIF($R$2:R663,"&gt;1"),"")</f>
        <v/>
      </c>
      <c r="T663" s="6" t="str">
        <f aca="false">IF(L663="","",J663&amp;"|"&amp;K663&amp;"|"&amp;L663)</f>
        <v>6|8|spotify:track:45Ia1U4KtIjAPPU7Wv1Sea</v>
      </c>
      <c r="U663" s="6" t="str">
        <f aca="false">IF(C663="","",IFERROR(INDEX(Lists!$F:$F,MATCH(C663,Lists!$E:$E,0)),"Unmapped"))</f>
        <v>Rock</v>
      </c>
    </row>
    <row r="664" customFormat="false" ht="15" hidden="false" customHeight="false" outlineLevel="0" collapsed="false">
      <c r="A664" s="5" t="s">
        <v>1996</v>
      </c>
      <c r="B664" s="5" t="s">
        <v>1997</v>
      </c>
      <c r="C664" s="5" t="s">
        <v>91</v>
      </c>
      <c r="D664" s="5" t="s">
        <v>92</v>
      </c>
      <c r="E664" s="5" t="s">
        <v>1973</v>
      </c>
      <c r="F664" s="5" t="n">
        <v>8</v>
      </c>
      <c r="G664" s="5" t="n">
        <v>8</v>
      </c>
      <c r="H664" s="6" t="str">
        <f aca="false">IF(N664="","",N664&amp;IF(AND(MOD(N664,100)&gt;=11,MOD(N664,100)&lt;=13),"th",CHOOSE(MIN(5,MOD(N664,10)+1),"th","st","nd","rd","th")))</f>
        <v>10th</v>
      </c>
      <c r="I664" s="5" t="s">
        <v>1691</v>
      </c>
      <c r="J664" s="6" t="n">
        <f aca="false">IFERROR(INDEX(Rounds!$A:$A,MATCH(I664,Rounds!$B:$B,0)),"ADD LEAGUE TO ROUNDS")</f>
        <v>6</v>
      </c>
      <c r="K664" s="6" t="n">
        <f aca="false">IFERROR(VALUE(LEFT(E664,FIND(" - ",E664)-1)),"")</f>
        <v>8</v>
      </c>
      <c r="L664" s="5" t="s">
        <v>1998</v>
      </c>
      <c r="N664" s="6" t="n">
        <f aca="false">IF(F664="","",1+COUNTIFS($J:$J,J664,$K:$K,K664,$F:$F,"&gt;"&amp;F664)+COUNTIFS($J:$J,J664,$K:$K,K664,$F:$F,F664,$G:$G,"&gt;"&amp;G664))</f>
        <v>10</v>
      </c>
      <c r="O664" s="6" t="n">
        <f aca="false">IF(L664="","",SUMIFS(Votes!$E:$E,Votes!$A:$A,J664,Votes!$B:$B,K664,Votes!$D:$D,L664))</f>
        <v>8</v>
      </c>
      <c r="P664" s="6" t="n">
        <f aca="false">IF(L664="","",COUNTIFS(Votes!$A:$A,J664,Votes!$B:$B,K664,Votes!$D:$D,L664))</f>
        <v>8</v>
      </c>
      <c r="Q664" s="7" t="str">
        <f aca="false">IF(F664="","Unscored",IF(O664="","No URI",IF(AND(F664=0,O664=0),"Zero-vote",IF(AND(F664=O664,G664=P664),"OK",IF(AND(F664=0,O664&gt;0,COUNTIFS(Votes!$A:$A,J664,Votes!$B:$B,K664,Votes!$C:$C,D664)=0),"Forfeited","Mismatch")))))</f>
        <v>OK</v>
      </c>
      <c r="R664" s="6" t="n">
        <f aca="false">MAX(IF(L664&lt;&gt;"",COUNTIF($L:$L,L664),0),COUNTIFS($A:$A,A664,$B:$B,B664))</f>
        <v>1</v>
      </c>
      <c r="S664" s="6" t="str">
        <f aca="false">IF(R664&gt;1,COUNTIF($R$2:R664,"&gt;1"),"")</f>
        <v/>
      </c>
      <c r="T664" s="6" t="str">
        <f aca="false">IF(L664="","",J664&amp;"|"&amp;K664&amp;"|"&amp;L664)</f>
        <v>6|8|spotify:track:5XW4BwCrfYpci5zMbJxs4N</v>
      </c>
      <c r="U664" s="6" t="str">
        <f aca="false">IF(C664="","",IFERROR(INDEX(Lists!$F:$F,MATCH(C664,Lists!$E:$E,0)),"Unmapped"))</f>
        <v>Rock</v>
      </c>
    </row>
    <row r="665" customFormat="false" ht="15" hidden="false" customHeight="false" outlineLevel="0" collapsed="false">
      <c r="A665" s="5" t="s">
        <v>1999</v>
      </c>
      <c r="B665" s="5" t="s">
        <v>839</v>
      </c>
      <c r="C665" s="5" t="s">
        <v>110</v>
      </c>
      <c r="D665" s="5" t="s">
        <v>116</v>
      </c>
      <c r="E665" s="5" t="s">
        <v>1973</v>
      </c>
      <c r="F665" s="5" t="n">
        <v>8</v>
      </c>
      <c r="G665" s="5" t="n">
        <v>7</v>
      </c>
      <c r="H665" s="6" t="str">
        <f aca="false">IF(N665="","",N665&amp;IF(AND(MOD(N665,100)&gt;=11,MOD(N665,100)&lt;=13),"th",CHOOSE(MIN(5,MOD(N665,10)+1),"th","st","nd","rd","th")))</f>
        <v>11th</v>
      </c>
      <c r="I665" s="5" t="s">
        <v>1691</v>
      </c>
      <c r="J665" s="6" t="n">
        <f aca="false">IFERROR(INDEX(Rounds!$A:$A,MATCH(I665,Rounds!$B:$B,0)),"ADD LEAGUE TO ROUNDS")</f>
        <v>6</v>
      </c>
      <c r="K665" s="6" t="n">
        <f aca="false">IFERROR(VALUE(LEFT(E665,FIND(" - ",E665)-1)),"")</f>
        <v>8</v>
      </c>
      <c r="L665" s="5" t="s">
        <v>2000</v>
      </c>
      <c r="N665" s="6" t="n">
        <f aca="false">IF(F665="","",1+COUNTIFS($J:$J,J665,$K:$K,K665,$F:$F,"&gt;"&amp;F665)+COUNTIFS($J:$J,J665,$K:$K,K665,$F:$F,F665,$G:$G,"&gt;"&amp;G665))</f>
        <v>11</v>
      </c>
      <c r="O665" s="6" t="n">
        <f aca="false">IF(L665="","",SUMIFS(Votes!$E:$E,Votes!$A:$A,J665,Votes!$B:$B,K665,Votes!$D:$D,L665))</f>
        <v>8</v>
      </c>
      <c r="P665" s="6" t="n">
        <f aca="false">IF(L665="","",COUNTIFS(Votes!$A:$A,J665,Votes!$B:$B,K665,Votes!$D:$D,L665))</f>
        <v>7</v>
      </c>
      <c r="Q665" s="7" t="str">
        <f aca="false">IF(F665="","Unscored",IF(O665="","No URI",IF(AND(F665=0,O665=0),"Zero-vote",IF(AND(F665=O665,G665=P665),"OK",IF(AND(F665=0,O665&gt;0,COUNTIFS(Votes!$A:$A,J665,Votes!$B:$B,K665,Votes!$C:$C,D665)=0),"Forfeited","Mismatch")))))</f>
        <v>OK</v>
      </c>
      <c r="R665" s="6" t="n">
        <f aca="false">MAX(IF(L665&lt;&gt;"",COUNTIF($L:$L,L665),0),COUNTIFS($A:$A,A665,$B:$B,B665))</f>
        <v>1</v>
      </c>
      <c r="S665" s="6" t="str">
        <f aca="false">IF(R665&gt;1,COUNTIF($R$2:R665,"&gt;1"),"")</f>
        <v/>
      </c>
      <c r="T665" s="6" t="str">
        <f aca="false">IF(L665="","",J665&amp;"|"&amp;K665&amp;"|"&amp;L665)</f>
        <v>6|8|spotify:track:2gZUPNdnz5Y45eiGxpHGSc</v>
      </c>
      <c r="U665" s="6" t="str">
        <f aca="false">IF(C665="","",IFERROR(INDEX(Lists!$F:$F,MATCH(C665,Lists!$E:$E,0)),"Unmapped"))</f>
        <v>Hip-Hop/Rap</v>
      </c>
    </row>
    <row r="666" customFormat="false" ht="15" hidden="false" customHeight="false" outlineLevel="0" collapsed="false">
      <c r="A666" s="5" t="s">
        <v>2001</v>
      </c>
      <c r="B666" s="5" t="s">
        <v>2002</v>
      </c>
      <c r="C666" s="5" t="s">
        <v>105</v>
      </c>
      <c r="D666" s="5" t="s">
        <v>719</v>
      </c>
      <c r="E666" s="5" t="s">
        <v>1973</v>
      </c>
      <c r="F666" s="5" t="n">
        <v>8</v>
      </c>
      <c r="G666" s="5" t="n">
        <v>6</v>
      </c>
      <c r="H666" s="6" t="str">
        <f aca="false">IF(N666="","",N666&amp;IF(AND(MOD(N666,100)&gt;=11,MOD(N666,100)&lt;=13),"th",CHOOSE(MIN(5,MOD(N666,10)+1),"th","st","nd","rd","th")))</f>
        <v>12th</v>
      </c>
      <c r="I666" s="5" t="s">
        <v>1691</v>
      </c>
      <c r="J666" s="6" t="n">
        <f aca="false">IFERROR(INDEX(Rounds!$A:$A,MATCH(I666,Rounds!$B:$B,0)),"ADD LEAGUE TO ROUNDS")</f>
        <v>6</v>
      </c>
      <c r="K666" s="6" t="n">
        <f aca="false">IFERROR(VALUE(LEFT(E666,FIND(" - ",E666)-1)),"")</f>
        <v>8</v>
      </c>
      <c r="L666" s="5" t="s">
        <v>2003</v>
      </c>
      <c r="N666" s="6" t="n">
        <f aca="false">IF(F666="","",1+COUNTIFS($J:$J,J666,$K:$K,K666,$F:$F,"&gt;"&amp;F666)+COUNTIFS($J:$J,J666,$K:$K,K666,$F:$F,F666,$G:$G,"&gt;"&amp;G666))</f>
        <v>12</v>
      </c>
      <c r="O666" s="6" t="n">
        <f aca="false">IF(L666="","",SUMIFS(Votes!$E:$E,Votes!$A:$A,J666,Votes!$B:$B,K666,Votes!$D:$D,L666))</f>
        <v>8</v>
      </c>
      <c r="P666" s="6" t="n">
        <f aca="false">IF(L666="","",COUNTIFS(Votes!$A:$A,J666,Votes!$B:$B,K666,Votes!$D:$D,L666))</f>
        <v>6</v>
      </c>
      <c r="Q666" s="7" t="str">
        <f aca="false">IF(F666="","Unscored",IF(O666="","No URI",IF(AND(F666=0,O666=0),"Zero-vote",IF(AND(F666=O666,G666=P666),"OK",IF(AND(F666=0,O666&gt;0,COUNTIFS(Votes!$A:$A,J666,Votes!$B:$B,K666,Votes!$C:$C,D666)=0),"Forfeited","Mismatch")))))</f>
        <v>OK</v>
      </c>
      <c r="R666" s="6" t="n">
        <f aca="false">MAX(IF(L666&lt;&gt;"",COUNTIF($L:$L,L666),0),COUNTIFS($A:$A,A666,$B:$B,B666))</f>
        <v>1</v>
      </c>
      <c r="S666" s="6" t="str">
        <f aca="false">IF(R666&gt;1,COUNTIF($R$2:R666,"&gt;1"),"")</f>
        <v/>
      </c>
      <c r="T666" s="6" t="str">
        <f aca="false">IF(L666="","",J666&amp;"|"&amp;K666&amp;"|"&amp;L666)</f>
        <v>6|8|spotify:track:0M3adYbGtyRHACP86dey1H</v>
      </c>
      <c r="U666" s="6" t="str">
        <f aca="false">IF(C666="","",IFERROR(INDEX(Lists!$F:$F,MATCH(C666,Lists!$E:$E,0)),"Unmapped"))</f>
        <v>Metal</v>
      </c>
    </row>
    <row r="667" customFormat="false" ht="15" hidden="false" customHeight="false" outlineLevel="0" collapsed="false">
      <c r="A667" s="5" t="s">
        <v>2004</v>
      </c>
      <c r="B667" s="5" t="s">
        <v>2005</v>
      </c>
      <c r="C667" s="5" t="s">
        <v>110</v>
      </c>
      <c r="D667" s="5" t="s">
        <v>106</v>
      </c>
      <c r="E667" s="5" t="s">
        <v>1973</v>
      </c>
      <c r="F667" s="5" t="n">
        <v>7</v>
      </c>
      <c r="G667" s="5" t="n">
        <v>6</v>
      </c>
      <c r="H667" s="6" t="str">
        <f aca="false">IF(N667="","",N667&amp;IF(AND(MOD(N667,100)&gt;=11,MOD(N667,100)&lt;=13),"th",CHOOSE(MIN(5,MOD(N667,10)+1),"th","st","nd","rd","th")))</f>
        <v>13th</v>
      </c>
      <c r="I667" s="5" t="s">
        <v>1691</v>
      </c>
      <c r="J667" s="6" t="n">
        <f aca="false">IFERROR(INDEX(Rounds!$A:$A,MATCH(I667,Rounds!$B:$B,0)),"ADD LEAGUE TO ROUNDS")</f>
        <v>6</v>
      </c>
      <c r="K667" s="6" t="n">
        <f aca="false">IFERROR(VALUE(LEFT(E667,FIND(" - ",E667)-1)),"")</f>
        <v>8</v>
      </c>
      <c r="L667" s="5" t="s">
        <v>2006</v>
      </c>
      <c r="N667" s="6" t="n">
        <f aca="false">IF(F667="","",1+COUNTIFS($J:$J,J667,$K:$K,K667,$F:$F,"&gt;"&amp;F667)+COUNTIFS($J:$J,J667,$K:$K,K667,$F:$F,F667,$G:$G,"&gt;"&amp;G667))</f>
        <v>13</v>
      </c>
      <c r="O667" s="6" t="n">
        <f aca="false">IF(L667="","",SUMIFS(Votes!$E:$E,Votes!$A:$A,J667,Votes!$B:$B,K667,Votes!$D:$D,L667))</f>
        <v>7</v>
      </c>
      <c r="P667" s="6" t="n">
        <f aca="false">IF(L667="","",COUNTIFS(Votes!$A:$A,J667,Votes!$B:$B,K667,Votes!$D:$D,L667))</f>
        <v>6</v>
      </c>
      <c r="Q667" s="7" t="str">
        <f aca="false">IF(F667="","Unscored",IF(O667="","No URI",IF(AND(F667=0,O667=0),"Zero-vote",IF(AND(F667=O667,G667=P667),"OK",IF(AND(F667=0,O667&gt;0,COUNTIFS(Votes!$A:$A,J667,Votes!$B:$B,K667,Votes!$C:$C,D667)=0),"Forfeited","Mismatch")))))</f>
        <v>OK</v>
      </c>
      <c r="R667" s="6" t="n">
        <f aca="false">MAX(IF(L667&lt;&gt;"",COUNTIF($L:$L,L667),0),COUNTIFS($A:$A,A667,$B:$B,B667))</f>
        <v>1</v>
      </c>
      <c r="S667" s="6" t="str">
        <f aca="false">IF(R667&gt;1,COUNTIF($R$2:R667,"&gt;1"),"")</f>
        <v/>
      </c>
      <c r="T667" s="6" t="str">
        <f aca="false">IF(L667="","",J667&amp;"|"&amp;K667&amp;"|"&amp;L667)</f>
        <v>6|8|spotify:track:6JymsaWDHk2Yj4e0yNBIFH</v>
      </c>
      <c r="U667" s="6" t="str">
        <f aca="false">IF(C667="","",IFERROR(INDEX(Lists!$F:$F,MATCH(C667,Lists!$E:$E,0)),"Unmapped"))</f>
        <v>Hip-Hop/Rap</v>
      </c>
    </row>
    <row r="668" customFormat="false" ht="15" hidden="false" customHeight="false" outlineLevel="0" collapsed="false">
      <c r="A668" s="5" t="s">
        <v>2007</v>
      </c>
      <c r="B668" s="5" t="s">
        <v>2008</v>
      </c>
      <c r="C668" s="5" t="s">
        <v>84</v>
      </c>
      <c r="D668" s="5" t="s">
        <v>128</v>
      </c>
      <c r="E668" s="5" t="s">
        <v>1973</v>
      </c>
      <c r="F668" s="5" t="n">
        <v>3</v>
      </c>
      <c r="G668" s="5" t="n">
        <v>2</v>
      </c>
      <c r="H668" s="6" t="str">
        <f aca="false">IF(N668="","",N668&amp;IF(AND(MOD(N668,100)&gt;=11,MOD(N668,100)&lt;=13),"th",CHOOSE(MIN(5,MOD(N668,10)+1),"th","st","nd","rd","th")))</f>
        <v>14th</v>
      </c>
      <c r="I668" s="5" t="s">
        <v>1691</v>
      </c>
      <c r="J668" s="6" t="n">
        <f aca="false">IFERROR(INDEX(Rounds!$A:$A,MATCH(I668,Rounds!$B:$B,0)),"ADD LEAGUE TO ROUNDS")</f>
        <v>6</v>
      </c>
      <c r="K668" s="6" t="n">
        <f aca="false">IFERROR(VALUE(LEFT(E668,FIND(" - ",E668)-1)),"")</f>
        <v>8</v>
      </c>
      <c r="L668" s="5" t="s">
        <v>2009</v>
      </c>
      <c r="N668" s="6" t="n">
        <f aca="false">IF(F668="","",1+COUNTIFS($J:$J,J668,$K:$K,K668,$F:$F,"&gt;"&amp;F668)+COUNTIFS($J:$J,J668,$K:$K,K668,$F:$F,F668,$G:$G,"&gt;"&amp;G668))</f>
        <v>14</v>
      </c>
      <c r="O668" s="6" t="n">
        <f aca="false">IF(L668="","",SUMIFS(Votes!$E:$E,Votes!$A:$A,J668,Votes!$B:$B,K668,Votes!$D:$D,L668))</f>
        <v>3</v>
      </c>
      <c r="P668" s="6" t="n">
        <f aca="false">IF(L668="","",COUNTIFS(Votes!$A:$A,J668,Votes!$B:$B,K668,Votes!$D:$D,L668))</f>
        <v>2</v>
      </c>
      <c r="Q668" s="7" t="str">
        <f aca="false">IF(F668="","Unscored",IF(O668="","No URI",IF(AND(F668=0,O668=0),"Zero-vote",IF(AND(F668=O668,G668=P668),"OK",IF(AND(F668=0,O668&gt;0,COUNTIFS(Votes!$A:$A,J668,Votes!$B:$B,K668,Votes!$C:$C,D668)=0),"Forfeited","Mismatch")))))</f>
        <v>OK</v>
      </c>
      <c r="R668" s="6" t="n">
        <f aca="false">MAX(IF(L668&lt;&gt;"",COUNTIF($L:$L,L668),0),COUNTIFS($A:$A,A668,$B:$B,B668))</f>
        <v>1</v>
      </c>
      <c r="S668" s="6" t="str">
        <f aca="false">IF(R668&gt;1,COUNTIF($R$2:R668,"&gt;1"),"")</f>
        <v/>
      </c>
      <c r="T668" s="6" t="str">
        <f aca="false">IF(L668="","",J668&amp;"|"&amp;K668&amp;"|"&amp;L668)</f>
        <v>6|8|spotify:track:6jrp8qBMJO6vhAeYVAsdk9</v>
      </c>
      <c r="U668" s="6" t="str">
        <f aca="false">IF(C668="","",IFERROR(INDEX(Lists!$F:$F,MATCH(C668,Lists!$E:$E,0)),"Unmapped"))</f>
        <v>Pop</v>
      </c>
    </row>
    <row r="669" customFormat="false" ht="15" hidden="false" customHeight="false" outlineLevel="0" collapsed="false">
      <c r="A669" s="5" t="s">
        <v>2010</v>
      </c>
      <c r="B669" s="5" t="s">
        <v>2011</v>
      </c>
      <c r="C669" s="5" t="s">
        <v>84</v>
      </c>
      <c r="D669" s="5" t="s">
        <v>101</v>
      </c>
      <c r="E669" s="5" t="s">
        <v>1973</v>
      </c>
      <c r="F669" s="5" t="n">
        <v>2</v>
      </c>
      <c r="G669" s="5" t="n">
        <v>2</v>
      </c>
      <c r="H669" s="6" t="str">
        <f aca="false">IF(N669="","",N669&amp;IF(AND(MOD(N669,100)&gt;=11,MOD(N669,100)&lt;=13),"th",CHOOSE(MIN(5,MOD(N669,10)+1),"th","st","nd","rd","th")))</f>
        <v>15th</v>
      </c>
      <c r="I669" s="5" t="s">
        <v>1691</v>
      </c>
      <c r="J669" s="6" t="n">
        <f aca="false">IFERROR(INDEX(Rounds!$A:$A,MATCH(I669,Rounds!$B:$B,0)),"ADD LEAGUE TO ROUNDS")</f>
        <v>6</v>
      </c>
      <c r="K669" s="6" t="n">
        <f aca="false">IFERROR(VALUE(LEFT(E669,FIND(" - ",E669)-1)),"")</f>
        <v>8</v>
      </c>
      <c r="L669" s="5" t="s">
        <v>2012</v>
      </c>
      <c r="N669" s="6" t="n">
        <f aca="false">IF(F669="","",1+COUNTIFS($J:$J,J669,$K:$K,K669,$F:$F,"&gt;"&amp;F669)+COUNTIFS($J:$J,J669,$K:$K,K669,$F:$F,F669,$G:$G,"&gt;"&amp;G669))</f>
        <v>15</v>
      </c>
      <c r="O669" s="6" t="n">
        <f aca="false">IF(L669="","",SUMIFS(Votes!$E:$E,Votes!$A:$A,J669,Votes!$B:$B,K669,Votes!$D:$D,L669))</f>
        <v>2</v>
      </c>
      <c r="P669" s="6" t="n">
        <f aca="false">IF(L669="","",COUNTIFS(Votes!$A:$A,J669,Votes!$B:$B,K669,Votes!$D:$D,L669))</f>
        <v>2</v>
      </c>
      <c r="Q669" s="7" t="str">
        <f aca="false">IF(F669="","Unscored",IF(O669="","No URI",IF(AND(F669=0,O669=0),"Zero-vote",IF(AND(F669=O669,G669=P669),"OK",IF(AND(F669=0,O669&gt;0,COUNTIFS(Votes!$A:$A,J669,Votes!$B:$B,K669,Votes!$C:$C,D669)=0),"Forfeited","Mismatch")))))</f>
        <v>OK</v>
      </c>
      <c r="R669" s="6" t="n">
        <f aca="false">MAX(IF(L669&lt;&gt;"",COUNTIF($L:$L,L669),0),COUNTIFS($A:$A,A669,$B:$B,B669))</f>
        <v>1</v>
      </c>
      <c r="S669" s="6" t="str">
        <f aca="false">IF(R669&gt;1,COUNTIF($R$2:R669,"&gt;1"),"")</f>
        <v/>
      </c>
      <c r="T669" s="6" t="str">
        <f aca="false">IF(L669="","",J669&amp;"|"&amp;K669&amp;"|"&amp;L669)</f>
        <v>6|8|spotify:track:7FC9Lng8iXU081lbigu8m8</v>
      </c>
      <c r="U669" s="6" t="str">
        <f aca="false">IF(C669="","",IFERROR(INDEX(Lists!$F:$F,MATCH(C669,Lists!$E:$E,0)),"Unmapped"))</f>
        <v>Pop</v>
      </c>
    </row>
    <row r="670" customFormat="false" ht="15" hidden="false" customHeight="false" outlineLevel="0" collapsed="false">
      <c r="A670" s="5" t="s">
        <v>1166</v>
      </c>
      <c r="B670" s="5" t="s">
        <v>1167</v>
      </c>
      <c r="C670" s="5" t="s">
        <v>91</v>
      </c>
      <c r="D670" s="5" t="s">
        <v>375</v>
      </c>
      <c r="E670" s="5" t="s">
        <v>1973</v>
      </c>
      <c r="F670" s="5" t="n">
        <v>0</v>
      </c>
      <c r="G670" s="5" t="n">
        <v>5</v>
      </c>
      <c r="H670" s="6" t="str">
        <f aca="false">IF(N670="","",N670&amp;IF(AND(MOD(N670,100)&gt;=11,MOD(N670,100)&lt;=13),"th",CHOOSE(MIN(5,MOD(N670,10)+1),"th","st","nd","rd","th")))</f>
        <v>16th</v>
      </c>
      <c r="I670" s="5" t="s">
        <v>1691</v>
      </c>
      <c r="J670" s="6" t="n">
        <f aca="false">IFERROR(INDEX(Rounds!$A:$A,MATCH(I670,Rounds!$B:$B,0)),"ADD LEAGUE TO ROUNDS")</f>
        <v>6</v>
      </c>
      <c r="K670" s="6" t="n">
        <f aca="false">IFERROR(VALUE(LEFT(E670,FIND(" - ",E670)-1)),"")</f>
        <v>8</v>
      </c>
      <c r="L670" s="5" t="s">
        <v>1168</v>
      </c>
      <c r="N670" s="6" t="n">
        <f aca="false">IF(F670="","",1+COUNTIFS($J:$J,J670,$K:$K,K670,$F:$F,"&gt;"&amp;F670)+COUNTIFS($J:$J,J670,$K:$K,K670,$F:$F,F670,$G:$G,"&gt;"&amp;G670))</f>
        <v>16</v>
      </c>
      <c r="O670" s="6" t="n">
        <f aca="false">IF(L670="","",SUMIFS(Votes!$E:$E,Votes!$A:$A,J670,Votes!$B:$B,K670,Votes!$D:$D,L670))</f>
        <v>6</v>
      </c>
      <c r="P670" s="6" t="n">
        <f aca="false">IF(L670="","",COUNTIFS(Votes!$A:$A,J670,Votes!$B:$B,K670,Votes!$D:$D,L670))</f>
        <v>5</v>
      </c>
      <c r="Q670" s="7" t="str">
        <f aca="false">IF(F670="","Unscored",IF(O670="","No URI",IF(AND(F670=0,O670=0),"Zero-vote",IF(AND(F670=O670,G670=P670),"OK",IF(AND(F670=0,O670&gt;0,COUNTIFS(Votes!$A:$A,J670,Votes!$B:$B,K670,Votes!$C:$C,D670)=0),"Forfeited","Mismatch")))))</f>
        <v>Forfeited</v>
      </c>
      <c r="R670" s="6" t="n">
        <f aca="false">MAX(IF(L670&lt;&gt;"",COUNTIF($L:$L,L670),0),COUNTIFS($A:$A,A670,$B:$B,B670))</f>
        <v>2</v>
      </c>
      <c r="S670" s="6" t="n">
        <f aca="false">IF(R670&gt;1,COUNTIF($R$2:R670,"&gt;1"),"")</f>
        <v>44</v>
      </c>
      <c r="T670" s="6" t="str">
        <f aca="false">IF(L670="","",J670&amp;"|"&amp;K670&amp;"|"&amp;L670)</f>
        <v>6|8|spotify:track:003vvx7Niy0yvhvHt4a68B</v>
      </c>
      <c r="U670" s="6" t="str">
        <f aca="false">IF(C670="","",IFERROR(INDEX(Lists!$F:$F,MATCH(C670,Lists!$E:$E,0)),"Unmapped"))</f>
        <v>Rock</v>
      </c>
    </row>
    <row r="671" customFormat="false" ht="15" hidden="false" customHeight="false" outlineLevel="0" collapsed="false">
      <c r="A671" s="5" t="s">
        <v>2013</v>
      </c>
      <c r="B671" s="5" t="s">
        <v>1836</v>
      </c>
      <c r="C671" s="5" t="s">
        <v>96</v>
      </c>
      <c r="D671" s="5" t="s">
        <v>101</v>
      </c>
      <c r="E671" s="5" t="s">
        <v>2014</v>
      </c>
      <c r="F671" s="5" t="n">
        <v>14</v>
      </c>
      <c r="G671" s="5" t="n">
        <v>10</v>
      </c>
      <c r="H671" s="6" t="str">
        <f aca="false">IF(N671="","",N671&amp;IF(AND(MOD(N671,100)&gt;=11,MOD(N671,100)&lt;=13),"th",CHOOSE(MIN(5,MOD(N671,10)+1),"th","st","nd","rd","th")))</f>
        <v>1st</v>
      </c>
      <c r="I671" s="5" t="s">
        <v>2015</v>
      </c>
      <c r="J671" s="6" t="n">
        <f aca="false">IFERROR(INDEX(Rounds!$A:$A,MATCH(I671,Rounds!$B:$B,0)),"ADD LEAGUE TO ROUNDS")</f>
        <v>7</v>
      </c>
      <c r="K671" s="6" t="n">
        <f aca="false">IFERROR(VALUE(LEFT(E671,FIND(" - ",E671)-1)),"")</f>
        <v>1</v>
      </c>
      <c r="L671" s="5" t="s">
        <v>2016</v>
      </c>
      <c r="N671" s="6" t="n">
        <f aca="false">IF(F671="","",1+COUNTIFS($J:$J,J671,$K:$K,K671,$F:$F,"&gt;"&amp;F671)+COUNTIFS($J:$J,J671,$K:$K,K671,$F:$F,F671,$G:$G,"&gt;"&amp;G671))</f>
        <v>1</v>
      </c>
      <c r="O671" s="6" t="n">
        <f aca="false">IF(L671="","",SUMIFS(Votes!$E:$E,Votes!$A:$A,J671,Votes!$B:$B,K671,Votes!$D:$D,L671))</f>
        <v>14</v>
      </c>
      <c r="P671" s="6" t="n">
        <f aca="false">IF(L671="","",COUNTIFS(Votes!$A:$A,J671,Votes!$B:$B,K671,Votes!$D:$D,L671))</f>
        <v>10</v>
      </c>
      <c r="Q671" s="7" t="str">
        <f aca="false">IF(F671="","Unscored",IF(O671="","No URI",IF(AND(F671=0,O671=0),"Zero-vote",IF(AND(F671=O671,G671=P671),"OK",IF(AND(F671=0,O671&gt;0,COUNTIFS(Votes!$A:$A,J671,Votes!$B:$B,K671,Votes!$C:$C,D671)=0),"Forfeited","Mismatch")))))</f>
        <v>OK</v>
      </c>
      <c r="R671" s="6" t="n">
        <f aca="false">MAX(IF(L671&lt;&gt;"",COUNTIF($L:$L,L671),0),COUNTIFS($A:$A,A671,$B:$B,B671))</f>
        <v>1</v>
      </c>
      <c r="S671" s="6" t="str">
        <f aca="false">IF(R671&gt;1,COUNTIF($R$2:R671,"&gt;1"),"")</f>
        <v/>
      </c>
      <c r="T671" s="6" t="str">
        <f aca="false">IF(L671="","",J671&amp;"|"&amp;K671&amp;"|"&amp;L671)</f>
        <v>7|1|spotify:track:7BqBn9nzAq8spo5e7cZ0dJ</v>
      </c>
      <c r="U671" s="6" t="str">
        <f aca="false">IF(C671="","",IFERROR(INDEX(Lists!$F:$F,MATCH(C671,Lists!$E:$E,0)),"Unmapped"))</f>
        <v>R&amp;B/Soul</v>
      </c>
    </row>
    <row r="672" customFormat="false" ht="15" hidden="false" customHeight="false" outlineLevel="0" collapsed="false">
      <c r="A672" s="5" t="s">
        <v>2017</v>
      </c>
      <c r="B672" s="5" t="s">
        <v>2018</v>
      </c>
      <c r="C672" s="5" t="s">
        <v>84</v>
      </c>
      <c r="D672" s="5" t="s">
        <v>2019</v>
      </c>
      <c r="E672" s="5" t="s">
        <v>2014</v>
      </c>
      <c r="F672" s="5" t="n">
        <v>11</v>
      </c>
      <c r="G672" s="5" t="n">
        <v>9</v>
      </c>
      <c r="H672" s="6" t="str">
        <f aca="false">IF(N672="","",N672&amp;IF(AND(MOD(N672,100)&gt;=11,MOD(N672,100)&lt;=13),"th",CHOOSE(MIN(5,MOD(N672,10)+1),"th","st","nd","rd","th")))</f>
        <v>2nd</v>
      </c>
      <c r="I672" s="5" t="s">
        <v>2015</v>
      </c>
      <c r="J672" s="6" t="n">
        <f aca="false">IFERROR(INDEX(Rounds!$A:$A,MATCH(I672,Rounds!$B:$B,0)),"ADD LEAGUE TO ROUNDS")</f>
        <v>7</v>
      </c>
      <c r="K672" s="6" t="n">
        <f aca="false">IFERROR(VALUE(LEFT(E672,FIND(" - ",E672)-1)),"")</f>
        <v>1</v>
      </c>
      <c r="L672" s="5" t="s">
        <v>2020</v>
      </c>
      <c r="N672" s="6" t="n">
        <f aca="false">IF(F672="","",1+COUNTIFS($J:$J,J672,$K:$K,K672,$F:$F,"&gt;"&amp;F672)+COUNTIFS($J:$J,J672,$K:$K,K672,$F:$F,F672,$G:$G,"&gt;"&amp;G672))</f>
        <v>2</v>
      </c>
      <c r="O672" s="6" t="n">
        <f aca="false">IF(L672="","",SUMIFS(Votes!$E:$E,Votes!$A:$A,J672,Votes!$B:$B,K672,Votes!$D:$D,L672))</f>
        <v>11</v>
      </c>
      <c r="P672" s="6" t="n">
        <f aca="false">IF(L672="","",COUNTIFS(Votes!$A:$A,J672,Votes!$B:$B,K672,Votes!$D:$D,L672))</f>
        <v>9</v>
      </c>
      <c r="Q672" s="7" t="str">
        <f aca="false">IF(F672="","Unscored",IF(O672="","No URI",IF(AND(F672=0,O672=0),"Zero-vote",IF(AND(F672=O672,G672=P672),"OK",IF(AND(F672=0,O672&gt;0,COUNTIFS(Votes!$A:$A,J672,Votes!$B:$B,K672,Votes!$C:$C,D672)=0),"Forfeited","Mismatch")))))</f>
        <v>OK</v>
      </c>
      <c r="R672" s="6" t="n">
        <f aca="false">MAX(IF(L672&lt;&gt;"",COUNTIF($L:$L,L672),0),COUNTIFS($A:$A,A672,$B:$B,B672))</f>
        <v>1</v>
      </c>
      <c r="S672" s="6" t="str">
        <f aca="false">IF(R672&gt;1,COUNTIF($R$2:R672,"&gt;1"),"")</f>
        <v/>
      </c>
      <c r="T672" s="6" t="str">
        <f aca="false">IF(L672="","",J672&amp;"|"&amp;K672&amp;"|"&amp;L672)</f>
        <v>7|1|spotify:track:2x7MyWybabEz6Y6wvHuwGE</v>
      </c>
      <c r="U672" s="6" t="str">
        <f aca="false">IF(C672="","",IFERROR(INDEX(Lists!$F:$F,MATCH(C672,Lists!$E:$E,0)),"Unmapped"))</f>
        <v>Pop</v>
      </c>
    </row>
    <row r="673" customFormat="false" ht="15" hidden="false" customHeight="false" outlineLevel="0" collapsed="false">
      <c r="A673" s="5" t="s">
        <v>2021</v>
      </c>
      <c r="B673" s="5" t="s">
        <v>208</v>
      </c>
      <c r="C673" s="5" t="s">
        <v>84</v>
      </c>
      <c r="D673" s="5" t="s">
        <v>1843</v>
      </c>
      <c r="E673" s="5" t="s">
        <v>2014</v>
      </c>
      <c r="F673" s="5" t="n">
        <v>11</v>
      </c>
      <c r="G673" s="5" t="n">
        <v>8</v>
      </c>
      <c r="H673" s="6" t="str">
        <f aca="false">IF(N673="","",N673&amp;IF(AND(MOD(N673,100)&gt;=11,MOD(N673,100)&lt;=13),"th",CHOOSE(MIN(5,MOD(N673,10)+1),"th","st","nd","rd","th")))</f>
        <v>3rd</v>
      </c>
      <c r="I673" s="5" t="s">
        <v>2015</v>
      </c>
      <c r="J673" s="6" t="n">
        <f aca="false">IFERROR(INDEX(Rounds!$A:$A,MATCH(I673,Rounds!$B:$B,0)),"ADD LEAGUE TO ROUNDS")</f>
        <v>7</v>
      </c>
      <c r="K673" s="6" t="n">
        <f aca="false">IFERROR(VALUE(LEFT(E673,FIND(" - ",E673)-1)),"")</f>
        <v>1</v>
      </c>
      <c r="L673" s="5" t="s">
        <v>2022</v>
      </c>
      <c r="N673" s="6" t="n">
        <f aca="false">IF(F673="","",1+COUNTIFS($J:$J,J673,$K:$K,K673,$F:$F,"&gt;"&amp;F673)+COUNTIFS($J:$J,J673,$K:$K,K673,$F:$F,F673,$G:$G,"&gt;"&amp;G673))</f>
        <v>3</v>
      </c>
      <c r="O673" s="6" t="n">
        <f aca="false">IF(L673="","",SUMIFS(Votes!$E:$E,Votes!$A:$A,J673,Votes!$B:$B,K673,Votes!$D:$D,L673))</f>
        <v>11</v>
      </c>
      <c r="P673" s="6" t="n">
        <f aca="false">IF(L673="","",COUNTIFS(Votes!$A:$A,J673,Votes!$B:$B,K673,Votes!$D:$D,L673))</f>
        <v>8</v>
      </c>
      <c r="Q673" s="7" t="str">
        <f aca="false">IF(F673="","Unscored",IF(O673="","No URI",IF(AND(F673=0,O673=0),"Zero-vote",IF(AND(F673=O673,G673=P673),"OK",IF(AND(F673=0,O673&gt;0,COUNTIFS(Votes!$A:$A,J673,Votes!$B:$B,K673,Votes!$C:$C,D673)=0),"Forfeited","Mismatch")))))</f>
        <v>OK</v>
      </c>
      <c r="R673" s="6" t="n">
        <f aca="false">MAX(IF(L673&lt;&gt;"",COUNTIF($L:$L,L673),0),COUNTIFS($A:$A,A673,$B:$B,B673))</f>
        <v>1</v>
      </c>
      <c r="S673" s="6" t="str">
        <f aca="false">IF(R673&gt;1,COUNTIF($R$2:R673,"&gt;1"),"")</f>
        <v/>
      </c>
      <c r="T673" s="6" t="str">
        <f aca="false">IF(L673="","",J673&amp;"|"&amp;K673&amp;"|"&amp;L673)</f>
        <v>7|1|spotify:track:5G2c6FsfTzgYUzageCmfXY</v>
      </c>
      <c r="U673" s="6" t="str">
        <f aca="false">IF(C673="","",IFERROR(INDEX(Lists!$F:$F,MATCH(C673,Lists!$E:$E,0)),"Unmapped"))</f>
        <v>Pop</v>
      </c>
    </row>
    <row r="674" customFormat="false" ht="15" hidden="false" customHeight="false" outlineLevel="0" collapsed="false">
      <c r="A674" s="5" t="s">
        <v>2023</v>
      </c>
      <c r="B674" s="5" t="s">
        <v>775</v>
      </c>
      <c r="C674" s="5" t="s">
        <v>91</v>
      </c>
      <c r="D674" s="5" t="s">
        <v>637</v>
      </c>
      <c r="E674" s="5" t="s">
        <v>2014</v>
      </c>
      <c r="F674" s="5" t="n">
        <v>11</v>
      </c>
      <c r="G674" s="5" t="n">
        <v>8</v>
      </c>
      <c r="H674" s="6" t="str">
        <f aca="false">IF(N674="","",N674&amp;IF(AND(MOD(N674,100)&gt;=11,MOD(N674,100)&lt;=13),"th",CHOOSE(MIN(5,MOD(N674,10)+1),"th","st","nd","rd","th")))</f>
        <v>3rd</v>
      </c>
      <c r="I674" s="5" t="s">
        <v>2015</v>
      </c>
      <c r="J674" s="6" t="n">
        <f aca="false">IFERROR(INDEX(Rounds!$A:$A,MATCH(I674,Rounds!$B:$B,0)),"ADD LEAGUE TO ROUNDS")</f>
        <v>7</v>
      </c>
      <c r="K674" s="6" t="n">
        <f aca="false">IFERROR(VALUE(LEFT(E674,FIND(" - ",E674)-1)),"")</f>
        <v>1</v>
      </c>
      <c r="L674" s="5" t="s">
        <v>2024</v>
      </c>
      <c r="N674" s="6" t="n">
        <f aca="false">IF(F674="","",1+COUNTIFS($J:$J,J674,$K:$K,K674,$F:$F,"&gt;"&amp;F674)+COUNTIFS($J:$J,J674,$K:$K,K674,$F:$F,F674,$G:$G,"&gt;"&amp;G674))</f>
        <v>3</v>
      </c>
      <c r="O674" s="6" t="n">
        <f aca="false">IF(L674="","",SUMIFS(Votes!$E:$E,Votes!$A:$A,J674,Votes!$B:$B,K674,Votes!$D:$D,L674))</f>
        <v>11</v>
      </c>
      <c r="P674" s="6" t="n">
        <f aca="false">IF(L674="","",COUNTIFS(Votes!$A:$A,J674,Votes!$B:$B,K674,Votes!$D:$D,L674))</f>
        <v>8</v>
      </c>
      <c r="Q674" s="7" t="str">
        <f aca="false">IF(F674="","Unscored",IF(O674="","No URI",IF(AND(F674=0,O674=0),"Zero-vote",IF(AND(F674=O674,G674=P674),"OK",IF(AND(F674=0,O674&gt;0,COUNTIFS(Votes!$A:$A,J674,Votes!$B:$B,K674,Votes!$C:$C,D674)=0),"Forfeited","Mismatch")))))</f>
        <v>OK</v>
      </c>
      <c r="R674" s="6" t="n">
        <f aca="false">MAX(IF(L674&lt;&gt;"",COUNTIF($L:$L,L674),0),COUNTIFS($A:$A,A674,$B:$B,B674))</f>
        <v>1</v>
      </c>
      <c r="S674" s="6" t="str">
        <f aca="false">IF(R674&gt;1,COUNTIF($R$2:R674,"&gt;1"),"")</f>
        <v/>
      </c>
      <c r="T674" s="6" t="str">
        <f aca="false">IF(L674="","",J674&amp;"|"&amp;K674&amp;"|"&amp;L674)</f>
        <v>7|1|spotify:track:003FTlCpBTM4eSqYSWPv4H</v>
      </c>
      <c r="U674" s="6" t="str">
        <f aca="false">IF(C674="","",IFERROR(INDEX(Lists!$F:$F,MATCH(C674,Lists!$E:$E,0)),"Unmapped"))</f>
        <v>Rock</v>
      </c>
    </row>
    <row r="675" customFormat="false" ht="15" hidden="false" customHeight="false" outlineLevel="0" collapsed="false">
      <c r="A675" s="5" t="s">
        <v>2025</v>
      </c>
      <c r="B675" s="5" t="s">
        <v>2026</v>
      </c>
      <c r="C675" s="5" t="s">
        <v>91</v>
      </c>
      <c r="D675" s="5" t="s">
        <v>116</v>
      </c>
      <c r="E675" s="5" t="s">
        <v>2014</v>
      </c>
      <c r="F675" s="5" t="n">
        <v>11</v>
      </c>
      <c r="G675" s="5" t="n">
        <v>7</v>
      </c>
      <c r="H675" s="6" t="str">
        <f aca="false">IF(N675="","",N675&amp;IF(AND(MOD(N675,100)&gt;=11,MOD(N675,100)&lt;=13),"th",CHOOSE(MIN(5,MOD(N675,10)+1),"th","st","nd","rd","th")))</f>
        <v>5th</v>
      </c>
      <c r="I675" s="5" t="s">
        <v>2015</v>
      </c>
      <c r="J675" s="6" t="n">
        <f aca="false">IFERROR(INDEX(Rounds!$A:$A,MATCH(I675,Rounds!$B:$B,0)),"ADD LEAGUE TO ROUNDS")</f>
        <v>7</v>
      </c>
      <c r="K675" s="6" t="n">
        <f aca="false">IFERROR(VALUE(LEFT(E675,FIND(" - ",E675)-1)),"")</f>
        <v>1</v>
      </c>
      <c r="L675" s="5" t="s">
        <v>2027</v>
      </c>
      <c r="N675" s="6" t="n">
        <f aca="false">IF(F675="","",1+COUNTIFS($J:$J,J675,$K:$K,K675,$F:$F,"&gt;"&amp;F675)+COUNTIFS($J:$J,J675,$K:$K,K675,$F:$F,F675,$G:$G,"&gt;"&amp;G675))</f>
        <v>5</v>
      </c>
      <c r="O675" s="6" t="n">
        <f aca="false">IF(L675="","",SUMIFS(Votes!$E:$E,Votes!$A:$A,J675,Votes!$B:$B,K675,Votes!$D:$D,L675))</f>
        <v>11</v>
      </c>
      <c r="P675" s="6" t="n">
        <f aca="false">IF(L675="","",COUNTIFS(Votes!$A:$A,J675,Votes!$B:$B,K675,Votes!$D:$D,L675))</f>
        <v>7</v>
      </c>
      <c r="Q675" s="7" t="str">
        <f aca="false">IF(F675="","Unscored",IF(O675="","No URI",IF(AND(F675=0,O675=0),"Zero-vote",IF(AND(F675=O675,G675=P675),"OK",IF(AND(F675=0,O675&gt;0,COUNTIFS(Votes!$A:$A,J675,Votes!$B:$B,K675,Votes!$C:$C,D675)=0),"Forfeited","Mismatch")))))</f>
        <v>OK</v>
      </c>
      <c r="R675" s="6" t="n">
        <f aca="false">MAX(IF(L675&lt;&gt;"",COUNTIF($L:$L,L675),0),COUNTIFS($A:$A,A675,$B:$B,B675))</f>
        <v>1</v>
      </c>
      <c r="S675" s="6" t="str">
        <f aca="false">IF(R675&gt;1,COUNTIF($R$2:R675,"&gt;1"),"")</f>
        <v/>
      </c>
      <c r="T675" s="6" t="str">
        <f aca="false">IF(L675="","",J675&amp;"|"&amp;K675&amp;"|"&amp;L675)</f>
        <v>7|1|spotify:track:1Vej0qeQ3ioKwpI6FUbRv1</v>
      </c>
      <c r="U675" s="6" t="str">
        <f aca="false">IF(C675="","",IFERROR(INDEX(Lists!$F:$F,MATCH(C675,Lists!$E:$E,0)),"Unmapped"))</f>
        <v>Rock</v>
      </c>
    </row>
    <row r="676" customFormat="false" ht="15" hidden="false" customHeight="false" outlineLevel="0" collapsed="false">
      <c r="A676" s="5" t="s">
        <v>1315</v>
      </c>
      <c r="B676" s="5" t="s">
        <v>1316</v>
      </c>
      <c r="C676" s="5" t="s">
        <v>84</v>
      </c>
      <c r="D676" s="5" t="s">
        <v>97</v>
      </c>
      <c r="E676" s="5" t="s">
        <v>2014</v>
      </c>
      <c r="F676" s="5" t="n">
        <v>9</v>
      </c>
      <c r="G676" s="5" t="n">
        <v>6</v>
      </c>
      <c r="H676" s="6" t="str">
        <f aca="false">IF(N676="","",N676&amp;IF(AND(MOD(N676,100)&gt;=11,MOD(N676,100)&lt;=13),"th",CHOOSE(MIN(5,MOD(N676,10)+1),"th","st","nd","rd","th")))</f>
        <v>6th</v>
      </c>
      <c r="I676" s="5" t="s">
        <v>2015</v>
      </c>
      <c r="J676" s="6" t="n">
        <f aca="false">IFERROR(INDEX(Rounds!$A:$A,MATCH(I676,Rounds!$B:$B,0)),"ADD LEAGUE TO ROUNDS")</f>
        <v>7</v>
      </c>
      <c r="K676" s="6" t="n">
        <f aca="false">IFERROR(VALUE(LEFT(E676,FIND(" - ",E676)-1)),"")</f>
        <v>1</v>
      </c>
      <c r="L676" s="5" t="s">
        <v>1317</v>
      </c>
      <c r="N676" s="6" t="n">
        <f aca="false">IF(F676="","",1+COUNTIFS($J:$J,J676,$K:$K,K676,$F:$F,"&gt;"&amp;F676)+COUNTIFS($J:$J,J676,$K:$K,K676,$F:$F,F676,$G:$G,"&gt;"&amp;G676))</f>
        <v>6</v>
      </c>
      <c r="O676" s="6" t="n">
        <f aca="false">IF(L676="","",SUMIFS(Votes!$E:$E,Votes!$A:$A,J676,Votes!$B:$B,K676,Votes!$D:$D,L676))</f>
        <v>9</v>
      </c>
      <c r="P676" s="6" t="n">
        <f aca="false">IF(L676="","",COUNTIFS(Votes!$A:$A,J676,Votes!$B:$B,K676,Votes!$D:$D,L676))</f>
        <v>6</v>
      </c>
      <c r="Q676" s="7" t="str">
        <f aca="false">IF(F676="","Unscored",IF(O676="","No URI",IF(AND(F676=0,O676=0),"Zero-vote",IF(AND(F676=O676,G676=P676),"OK",IF(AND(F676=0,O676&gt;0,COUNTIFS(Votes!$A:$A,J676,Votes!$B:$B,K676,Votes!$C:$C,D676)=0),"Forfeited","Mismatch")))))</f>
        <v>OK</v>
      </c>
      <c r="R676" s="6" t="n">
        <f aca="false">MAX(IF(L676&lt;&gt;"",COUNTIF($L:$L,L676),0),COUNTIFS($A:$A,A676,$B:$B,B676))</f>
        <v>2</v>
      </c>
      <c r="S676" s="6" t="n">
        <f aca="false">IF(R676&gt;1,COUNTIF($R$2:R676,"&gt;1"),"")</f>
        <v>45</v>
      </c>
      <c r="T676" s="6" t="str">
        <f aca="false">IF(L676="","",J676&amp;"|"&amp;K676&amp;"|"&amp;L676)</f>
        <v>7|1|spotify:track:3MjUtNVVq3C8Fn0MP3zhXa</v>
      </c>
      <c r="U676" s="6" t="str">
        <f aca="false">IF(C676="","",IFERROR(INDEX(Lists!$F:$F,MATCH(C676,Lists!$E:$E,0)),"Unmapped"))</f>
        <v>Pop</v>
      </c>
    </row>
    <row r="677" customFormat="false" ht="15" hidden="false" customHeight="false" outlineLevel="0" collapsed="false">
      <c r="A677" s="5" t="s">
        <v>2028</v>
      </c>
      <c r="B677" s="5" t="s">
        <v>2029</v>
      </c>
      <c r="C677" s="5" t="s">
        <v>84</v>
      </c>
      <c r="D677" s="5" t="s">
        <v>705</v>
      </c>
      <c r="E677" s="5" t="s">
        <v>2014</v>
      </c>
      <c r="F677" s="5" t="n">
        <v>8</v>
      </c>
      <c r="G677" s="5" t="n">
        <v>6</v>
      </c>
      <c r="H677" s="6" t="str">
        <f aca="false">IF(N677="","",N677&amp;IF(AND(MOD(N677,100)&gt;=11,MOD(N677,100)&lt;=13),"th",CHOOSE(MIN(5,MOD(N677,10)+1),"th","st","nd","rd","th")))</f>
        <v>7th</v>
      </c>
      <c r="I677" s="5" t="s">
        <v>2015</v>
      </c>
      <c r="J677" s="6" t="n">
        <f aca="false">IFERROR(INDEX(Rounds!$A:$A,MATCH(I677,Rounds!$B:$B,0)),"ADD LEAGUE TO ROUNDS")</f>
        <v>7</v>
      </c>
      <c r="K677" s="6" t="n">
        <f aca="false">IFERROR(VALUE(LEFT(E677,FIND(" - ",E677)-1)),"")</f>
        <v>1</v>
      </c>
      <c r="L677" s="5" t="s">
        <v>2030</v>
      </c>
      <c r="N677" s="6" t="n">
        <f aca="false">IF(F677="","",1+COUNTIFS($J:$J,J677,$K:$K,K677,$F:$F,"&gt;"&amp;F677)+COUNTIFS($J:$J,J677,$K:$K,K677,$F:$F,F677,$G:$G,"&gt;"&amp;G677))</f>
        <v>7</v>
      </c>
      <c r="O677" s="6" t="n">
        <f aca="false">IF(L677="","",SUMIFS(Votes!$E:$E,Votes!$A:$A,J677,Votes!$B:$B,K677,Votes!$D:$D,L677))</f>
        <v>8</v>
      </c>
      <c r="P677" s="6" t="n">
        <f aca="false">IF(L677="","",COUNTIFS(Votes!$A:$A,J677,Votes!$B:$B,K677,Votes!$D:$D,L677))</f>
        <v>6</v>
      </c>
      <c r="Q677" s="7" t="str">
        <f aca="false">IF(F677="","Unscored",IF(O677="","No URI",IF(AND(F677=0,O677=0),"Zero-vote",IF(AND(F677=O677,G677=P677),"OK",IF(AND(F677=0,O677&gt;0,COUNTIFS(Votes!$A:$A,J677,Votes!$B:$B,K677,Votes!$C:$C,D677)=0),"Forfeited","Mismatch")))))</f>
        <v>OK</v>
      </c>
      <c r="R677" s="6" t="n">
        <f aca="false">MAX(IF(L677&lt;&gt;"",COUNTIF($L:$L,L677),0),COUNTIFS($A:$A,A677,$B:$B,B677))</f>
        <v>1</v>
      </c>
      <c r="S677" s="6" t="str">
        <f aca="false">IF(R677&gt;1,COUNTIF($R$2:R677,"&gt;1"),"")</f>
        <v/>
      </c>
      <c r="T677" s="6" t="str">
        <f aca="false">IF(L677="","",J677&amp;"|"&amp;K677&amp;"|"&amp;L677)</f>
        <v>7|1|spotify:track:4xFxK0FXmNlUDRgCaIQCVn</v>
      </c>
      <c r="U677" s="6" t="str">
        <f aca="false">IF(C677="","",IFERROR(INDEX(Lists!$F:$F,MATCH(C677,Lists!$E:$E,0)),"Unmapped"))</f>
        <v>Pop</v>
      </c>
    </row>
    <row r="678" customFormat="false" ht="15" hidden="false" customHeight="false" outlineLevel="0" collapsed="false">
      <c r="A678" s="5" t="s">
        <v>2031</v>
      </c>
      <c r="B678" s="5" t="s">
        <v>2032</v>
      </c>
      <c r="C678" s="5" t="s">
        <v>96</v>
      </c>
      <c r="D678" s="5" t="s">
        <v>106</v>
      </c>
      <c r="E678" s="5" t="s">
        <v>2014</v>
      </c>
      <c r="F678" s="5" t="n">
        <v>8</v>
      </c>
      <c r="G678" s="5" t="n">
        <v>6</v>
      </c>
      <c r="H678" s="6" t="str">
        <f aca="false">IF(N678="","",N678&amp;IF(AND(MOD(N678,100)&gt;=11,MOD(N678,100)&lt;=13),"th",CHOOSE(MIN(5,MOD(N678,10)+1),"th","st","nd","rd","th")))</f>
        <v>7th</v>
      </c>
      <c r="I678" s="5" t="s">
        <v>2015</v>
      </c>
      <c r="J678" s="6" t="n">
        <f aca="false">IFERROR(INDEX(Rounds!$A:$A,MATCH(I678,Rounds!$B:$B,0)),"ADD LEAGUE TO ROUNDS")</f>
        <v>7</v>
      </c>
      <c r="K678" s="6" t="n">
        <f aca="false">IFERROR(VALUE(LEFT(E678,FIND(" - ",E678)-1)),"")</f>
        <v>1</v>
      </c>
      <c r="L678" s="5" t="s">
        <v>2033</v>
      </c>
      <c r="N678" s="6" t="n">
        <f aca="false">IF(F678="","",1+COUNTIFS($J:$J,J678,$K:$K,K678,$F:$F,"&gt;"&amp;F678)+COUNTIFS($J:$J,J678,$K:$K,K678,$F:$F,F678,$G:$G,"&gt;"&amp;G678))</f>
        <v>7</v>
      </c>
      <c r="O678" s="6" t="n">
        <f aca="false">IF(L678="","",SUMIFS(Votes!$E:$E,Votes!$A:$A,J678,Votes!$B:$B,K678,Votes!$D:$D,L678))</f>
        <v>8</v>
      </c>
      <c r="P678" s="6" t="n">
        <f aca="false">IF(L678="","",COUNTIFS(Votes!$A:$A,J678,Votes!$B:$B,K678,Votes!$D:$D,L678))</f>
        <v>6</v>
      </c>
      <c r="Q678" s="7" t="str">
        <f aca="false">IF(F678="","Unscored",IF(O678="","No URI",IF(AND(F678=0,O678=0),"Zero-vote",IF(AND(F678=O678,G678=P678),"OK",IF(AND(F678=0,O678&gt;0,COUNTIFS(Votes!$A:$A,J678,Votes!$B:$B,K678,Votes!$C:$C,D678)=0),"Forfeited","Mismatch")))))</f>
        <v>OK</v>
      </c>
      <c r="R678" s="6" t="n">
        <f aca="false">MAX(IF(L678&lt;&gt;"",COUNTIF($L:$L,L678),0),COUNTIFS($A:$A,A678,$B:$B,B678))</f>
        <v>1</v>
      </c>
      <c r="S678" s="6" t="str">
        <f aca="false">IF(R678&gt;1,COUNTIF($R$2:R678,"&gt;1"),"")</f>
        <v/>
      </c>
      <c r="T678" s="6" t="str">
        <f aca="false">IF(L678="","",J678&amp;"|"&amp;K678&amp;"|"&amp;L678)</f>
        <v>7|1|spotify:track:75EVUbTF5l9VuMHs6AuFgp</v>
      </c>
      <c r="U678" s="6" t="str">
        <f aca="false">IF(C678="","",IFERROR(INDEX(Lists!$F:$F,MATCH(C678,Lists!$E:$E,0)),"Unmapped"))</f>
        <v>R&amp;B/Soul</v>
      </c>
    </row>
    <row r="679" customFormat="false" ht="15" hidden="false" customHeight="false" outlineLevel="0" collapsed="false">
      <c r="A679" s="5" t="s">
        <v>2034</v>
      </c>
      <c r="B679" s="5" t="s">
        <v>368</v>
      </c>
      <c r="C679" s="5" t="s">
        <v>91</v>
      </c>
      <c r="D679" s="5" t="s">
        <v>85</v>
      </c>
      <c r="E679" s="5" t="s">
        <v>2014</v>
      </c>
      <c r="F679" s="5" t="n">
        <v>7</v>
      </c>
      <c r="G679" s="5" t="n">
        <v>7</v>
      </c>
      <c r="H679" s="6" t="str">
        <f aca="false">IF(N679="","",N679&amp;IF(AND(MOD(N679,100)&gt;=11,MOD(N679,100)&lt;=13),"th",CHOOSE(MIN(5,MOD(N679,10)+1),"th","st","nd","rd","th")))</f>
        <v>9th</v>
      </c>
      <c r="I679" s="5" t="s">
        <v>2015</v>
      </c>
      <c r="J679" s="6" t="n">
        <f aca="false">IFERROR(INDEX(Rounds!$A:$A,MATCH(I679,Rounds!$B:$B,0)),"ADD LEAGUE TO ROUNDS")</f>
        <v>7</v>
      </c>
      <c r="K679" s="6" t="n">
        <f aca="false">IFERROR(VALUE(LEFT(E679,FIND(" - ",E679)-1)),"")</f>
        <v>1</v>
      </c>
      <c r="L679" s="5" t="s">
        <v>2035</v>
      </c>
      <c r="N679" s="6" t="n">
        <f aca="false">IF(F679="","",1+COUNTIFS($J:$J,J679,$K:$K,K679,$F:$F,"&gt;"&amp;F679)+COUNTIFS($J:$J,J679,$K:$K,K679,$F:$F,F679,$G:$G,"&gt;"&amp;G679))</f>
        <v>9</v>
      </c>
      <c r="O679" s="6" t="n">
        <f aca="false">IF(L679="","",SUMIFS(Votes!$E:$E,Votes!$A:$A,J679,Votes!$B:$B,K679,Votes!$D:$D,L679))</f>
        <v>7</v>
      </c>
      <c r="P679" s="6" t="n">
        <f aca="false">IF(L679="","",COUNTIFS(Votes!$A:$A,J679,Votes!$B:$B,K679,Votes!$D:$D,L679))</f>
        <v>7</v>
      </c>
      <c r="Q679" s="7" t="str">
        <f aca="false">IF(F679="","Unscored",IF(O679="","No URI",IF(AND(F679=0,O679=0),"Zero-vote",IF(AND(F679=O679,G679=P679),"OK",IF(AND(F679=0,O679&gt;0,COUNTIFS(Votes!$A:$A,J679,Votes!$B:$B,K679,Votes!$C:$C,D679)=0),"Forfeited","Mismatch")))))</f>
        <v>OK</v>
      </c>
      <c r="R679" s="6" t="n">
        <f aca="false">MAX(IF(L679&lt;&gt;"",COUNTIF($L:$L,L679),0),COUNTIFS($A:$A,A679,$B:$B,B679))</f>
        <v>1</v>
      </c>
      <c r="S679" s="6" t="str">
        <f aca="false">IF(R679&gt;1,COUNTIF($R$2:R679,"&gt;1"),"")</f>
        <v/>
      </c>
      <c r="T679" s="6" t="str">
        <f aca="false">IF(L679="","",J679&amp;"|"&amp;K679&amp;"|"&amp;L679)</f>
        <v>7|1|spotify:track:1S30kHvkkdMkcuCTGSgS41</v>
      </c>
      <c r="U679" s="6" t="str">
        <f aca="false">IF(C679="","",IFERROR(INDEX(Lists!$F:$F,MATCH(C679,Lists!$E:$E,0)),"Unmapped"))</f>
        <v>Rock</v>
      </c>
    </row>
    <row r="680" customFormat="false" ht="15" hidden="false" customHeight="false" outlineLevel="0" collapsed="false">
      <c r="A680" s="5" t="s">
        <v>2036</v>
      </c>
      <c r="B680" s="5" t="s">
        <v>2037</v>
      </c>
      <c r="C680" s="5" t="s">
        <v>91</v>
      </c>
      <c r="D680" s="5" t="s">
        <v>719</v>
      </c>
      <c r="E680" s="5" t="s">
        <v>2014</v>
      </c>
      <c r="F680" s="5" t="n">
        <v>6</v>
      </c>
      <c r="G680" s="5" t="n">
        <v>6</v>
      </c>
      <c r="H680" s="6" t="str">
        <f aca="false">IF(N680="","",N680&amp;IF(AND(MOD(N680,100)&gt;=11,MOD(N680,100)&lt;=13),"th",CHOOSE(MIN(5,MOD(N680,10)+1),"th","st","nd","rd","th")))</f>
        <v>10th</v>
      </c>
      <c r="I680" s="5" t="s">
        <v>2015</v>
      </c>
      <c r="J680" s="6" t="n">
        <f aca="false">IFERROR(INDEX(Rounds!$A:$A,MATCH(I680,Rounds!$B:$B,0)),"ADD LEAGUE TO ROUNDS")</f>
        <v>7</v>
      </c>
      <c r="K680" s="6" t="n">
        <f aca="false">IFERROR(VALUE(LEFT(E680,FIND(" - ",E680)-1)),"")</f>
        <v>1</v>
      </c>
      <c r="L680" s="5" t="s">
        <v>2038</v>
      </c>
      <c r="N680" s="6" t="n">
        <f aca="false">IF(F680="","",1+COUNTIFS($J:$J,J680,$K:$K,K680,$F:$F,"&gt;"&amp;F680)+COUNTIFS($J:$J,J680,$K:$K,K680,$F:$F,F680,$G:$G,"&gt;"&amp;G680))</f>
        <v>10</v>
      </c>
      <c r="O680" s="6" t="n">
        <f aca="false">IF(L680="","",SUMIFS(Votes!$E:$E,Votes!$A:$A,J680,Votes!$B:$B,K680,Votes!$D:$D,L680))</f>
        <v>6</v>
      </c>
      <c r="P680" s="6" t="n">
        <f aca="false">IF(L680="","",COUNTIFS(Votes!$A:$A,J680,Votes!$B:$B,K680,Votes!$D:$D,L680))</f>
        <v>6</v>
      </c>
      <c r="Q680" s="7" t="str">
        <f aca="false">IF(F680="","Unscored",IF(O680="","No URI",IF(AND(F680=0,O680=0),"Zero-vote",IF(AND(F680=O680,G680=P680),"OK",IF(AND(F680=0,O680&gt;0,COUNTIFS(Votes!$A:$A,J680,Votes!$B:$B,K680,Votes!$C:$C,D680)=0),"Forfeited","Mismatch")))))</f>
        <v>OK</v>
      </c>
      <c r="R680" s="6" t="n">
        <f aca="false">MAX(IF(L680&lt;&gt;"",COUNTIF($L:$L,L680),0),COUNTIFS($A:$A,A680,$B:$B,B680))</f>
        <v>1</v>
      </c>
      <c r="S680" s="6" t="str">
        <f aca="false">IF(R680&gt;1,COUNTIF($R$2:R680,"&gt;1"),"")</f>
        <v/>
      </c>
      <c r="T680" s="6" t="str">
        <f aca="false">IF(L680="","",J680&amp;"|"&amp;K680&amp;"|"&amp;L680)</f>
        <v>7|1|spotify:track:3KhF2YiNpJvGpfiCW45R6D</v>
      </c>
      <c r="U680" s="6" t="str">
        <f aca="false">IF(C680="","",IFERROR(INDEX(Lists!$F:$F,MATCH(C680,Lists!$E:$E,0)),"Unmapped"))</f>
        <v>Rock</v>
      </c>
    </row>
    <row r="681" customFormat="false" ht="15" hidden="false" customHeight="false" outlineLevel="0" collapsed="false">
      <c r="A681" s="5" t="s">
        <v>2039</v>
      </c>
      <c r="B681" s="5" t="s">
        <v>2040</v>
      </c>
      <c r="C681" s="5" t="s">
        <v>171</v>
      </c>
      <c r="D681" s="5" t="s">
        <v>119</v>
      </c>
      <c r="E681" s="5" t="s">
        <v>2014</v>
      </c>
      <c r="F681" s="5" t="n">
        <v>6</v>
      </c>
      <c r="G681" s="5" t="n">
        <v>5</v>
      </c>
      <c r="H681" s="6" t="str">
        <f aca="false">IF(N681="","",N681&amp;IF(AND(MOD(N681,100)&gt;=11,MOD(N681,100)&lt;=13),"th",CHOOSE(MIN(5,MOD(N681,10)+1),"th","st","nd","rd","th")))</f>
        <v>11th</v>
      </c>
      <c r="I681" s="5" t="s">
        <v>2015</v>
      </c>
      <c r="J681" s="6" t="n">
        <f aca="false">IFERROR(INDEX(Rounds!$A:$A,MATCH(I681,Rounds!$B:$B,0)),"ADD LEAGUE TO ROUNDS")</f>
        <v>7</v>
      </c>
      <c r="K681" s="6" t="n">
        <f aca="false">IFERROR(VALUE(LEFT(E681,FIND(" - ",E681)-1)),"")</f>
        <v>1</v>
      </c>
      <c r="L681" s="5" t="s">
        <v>2041</v>
      </c>
      <c r="N681" s="6" t="n">
        <f aca="false">IF(F681="","",1+COUNTIFS($J:$J,J681,$K:$K,K681,$F:$F,"&gt;"&amp;F681)+COUNTIFS($J:$J,J681,$K:$K,K681,$F:$F,F681,$G:$G,"&gt;"&amp;G681))</f>
        <v>11</v>
      </c>
      <c r="O681" s="6" t="n">
        <f aca="false">IF(L681="","",SUMIFS(Votes!$E:$E,Votes!$A:$A,J681,Votes!$B:$B,K681,Votes!$D:$D,L681))</f>
        <v>6</v>
      </c>
      <c r="P681" s="6" t="n">
        <f aca="false">IF(L681="","",COUNTIFS(Votes!$A:$A,J681,Votes!$B:$B,K681,Votes!$D:$D,L681))</f>
        <v>5</v>
      </c>
      <c r="Q681" s="7" t="str">
        <f aca="false">IF(F681="","Unscored",IF(O681="","No URI",IF(AND(F681=0,O681=0),"Zero-vote",IF(AND(F681=O681,G681=P681),"OK",IF(AND(F681=0,O681&gt;0,COUNTIFS(Votes!$A:$A,J681,Votes!$B:$B,K681,Votes!$C:$C,D681)=0),"Forfeited","Mismatch")))))</f>
        <v>OK</v>
      </c>
      <c r="R681" s="6" t="n">
        <f aca="false">MAX(IF(L681&lt;&gt;"",COUNTIF($L:$L,L681),0),COUNTIFS($A:$A,A681,$B:$B,B681))</f>
        <v>1</v>
      </c>
      <c r="S681" s="6" t="str">
        <f aca="false">IF(R681&gt;1,COUNTIF($R$2:R681,"&gt;1"),"")</f>
        <v/>
      </c>
      <c r="T681" s="6" t="str">
        <f aca="false">IF(L681="","",J681&amp;"|"&amp;K681&amp;"|"&amp;L681)</f>
        <v>7|1|spotify:track:7aftSOGSOpSoIlVAQVBb71</v>
      </c>
      <c r="U681" s="6" t="str">
        <f aca="false">IF(C681="","",IFERROR(INDEX(Lists!$F:$F,MATCH(C681,Lists!$E:$E,0)),"Unmapped"))</f>
        <v>Country</v>
      </c>
    </row>
    <row r="682" customFormat="false" ht="15" hidden="false" customHeight="false" outlineLevel="0" collapsed="false">
      <c r="A682" s="5" t="s">
        <v>2042</v>
      </c>
      <c r="B682" s="5" t="s">
        <v>2043</v>
      </c>
      <c r="C682" s="5" t="s">
        <v>84</v>
      </c>
      <c r="D682" s="5" t="s">
        <v>128</v>
      </c>
      <c r="E682" s="5" t="s">
        <v>2014</v>
      </c>
      <c r="F682" s="5" t="n">
        <v>4</v>
      </c>
      <c r="G682" s="5" t="n">
        <v>4</v>
      </c>
      <c r="H682" s="6" t="str">
        <f aca="false">IF(N682="","",N682&amp;IF(AND(MOD(N682,100)&gt;=11,MOD(N682,100)&lt;=13),"th",CHOOSE(MIN(5,MOD(N682,10)+1),"th","st","nd","rd","th")))</f>
        <v>12th</v>
      </c>
      <c r="I682" s="5" t="s">
        <v>2015</v>
      </c>
      <c r="J682" s="6" t="n">
        <f aca="false">IFERROR(INDEX(Rounds!$A:$A,MATCH(I682,Rounds!$B:$B,0)),"ADD LEAGUE TO ROUNDS")</f>
        <v>7</v>
      </c>
      <c r="K682" s="6" t="n">
        <f aca="false">IFERROR(VALUE(LEFT(E682,FIND(" - ",E682)-1)),"")</f>
        <v>1</v>
      </c>
      <c r="L682" s="5" t="s">
        <v>2044</v>
      </c>
      <c r="N682" s="6" t="n">
        <f aca="false">IF(F682="","",1+COUNTIFS($J:$J,J682,$K:$K,K682,$F:$F,"&gt;"&amp;F682)+COUNTIFS($J:$J,J682,$K:$K,K682,$F:$F,F682,$G:$G,"&gt;"&amp;G682))</f>
        <v>12</v>
      </c>
      <c r="O682" s="6" t="n">
        <f aca="false">IF(L682="","",SUMIFS(Votes!$E:$E,Votes!$A:$A,J682,Votes!$B:$B,K682,Votes!$D:$D,L682))</f>
        <v>4</v>
      </c>
      <c r="P682" s="6" t="n">
        <f aca="false">IF(L682="","",COUNTIFS(Votes!$A:$A,J682,Votes!$B:$B,K682,Votes!$D:$D,L682))</f>
        <v>4</v>
      </c>
      <c r="Q682" s="7" t="str">
        <f aca="false">IF(F682="","Unscored",IF(O682="","No URI",IF(AND(F682=0,O682=0),"Zero-vote",IF(AND(F682=O682,G682=P682),"OK",IF(AND(F682=0,O682&gt;0,COUNTIFS(Votes!$A:$A,J682,Votes!$B:$B,K682,Votes!$C:$C,D682)=0),"Forfeited","Mismatch")))))</f>
        <v>OK</v>
      </c>
      <c r="R682" s="6" t="n">
        <f aca="false">MAX(IF(L682&lt;&gt;"",COUNTIF($L:$L,L682),0),COUNTIFS($A:$A,A682,$B:$B,B682))</f>
        <v>1</v>
      </c>
      <c r="S682" s="6" t="str">
        <f aca="false">IF(R682&gt;1,COUNTIF($R$2:R682,"&gt;1"),"")</f>
        <v/>
      </c>
      <c r="T682" s="6" t="str">
        <f aca="false">IF(L682="","",J682&amp;"|"&amp;K682&amp;"|"&amp;L682)</f>
        <v>7|1|spotify:track:6skUuqrKMQIjjo75hWGAvQ</v>
      </c>
      <c r="U682" s="6" t="str">
        <f aca="false">IF(C682="","",IFERROR(INDEX(Lists!$F:$F,MATCH(C682,Lists!$E:$E,0)),"Unmapped"))</f>
        <v>Pop</v>
      </c>
    </row>
    <row r="683" customFormat="false" ht="15" hidden="false" customHeight="false" outlineLevel="0" collapsed="false">
      <c r="A683" s="5" t="s">
        <v>1567</v>
      </c>
      <c r="B683" s="5" t="s">
        <v>1568</v>
      </c>
      <c r="C683" s="5" t="s">
        <v>84</v>
      </c>
      <c r="D683" s="5" t="s">
        <v>382</v>
      </c>
      <c r="E683" s="5" t="s">
        <v>2014</v>
      </c>
      <c r="F683" s="5" t="n">
        <v>3</v>
      </c>
      <c r="G683" s="5" t="n">
        <v>3</v>
      </c>
      <c r="H683" s="6" t="str">
        <f aca="false">IF(N683="","",N683&amp;IF(AND(MOD(N683,100)&gt;=11,MOD(N683,100)&lt;=13),"th",CHOOSE(MIN(5,MOD(N683,10)+1),"th","st","nd","rd","th")))</f>
        <v>13th</v>
      </c>
      <c r="I683" s="5" t="s">
        <v>2015</v>
      </c>
      <c r="J683" s="6" t="n">
        <f aca="false">IFERROR(INDEX(Rounds!$A:$A,MATCH(I683,Rounds!$B:$B,0)),"ADD LEAGUE TO ROUNDS")</f>
        <v>7</v>
      </c>
      <c r="K683" s="6" t="n">
        <f aca="false">IFERROR(VALUE(LEFT(E683,FIND(" - ",E683)-1)),"")</f>
        <v>1</v>
      </c>
      <c r="L683" s="5" t="s">
        <v>2045</v>
      </c>
      <c r="N683" s="6" t="n">
        <f aca="false">IF(F683="","",1+COUNTIFS($J:$J,J683,$K:$K,K683,$F:$F,"&gt;"&amp;F683)+COUNTIFS($J:$J,J683,$K:$K,K683,$F:$F,F683,$G:$G,"&gt;"&amp;G683))</f>
        <v>13</v>
      </c>
      <c r="O683" s="6" t="n">
        <f aca="false">IF(L683="","",SUMIFS(Votes!$E:$E,Votes!$A:$A,J683,Votes!$B:$B,K683,Votes!$D:$D,L683))</f>
        <v>3</v>
      </c>
      <c r="P683" s="6" t="n">
        <f aca="false">IF(L683="","",COUNTIFS(Votes!$A:$A,J683,Votes!$B:$B,K683,Votes!$D:$D,L683))</f>
        <v>3</v>
      </c>
      <c r="Q683" s="7" t="str">
        <f aca="false">IF(F683="","Unscored",IF(O683="","No URI",IF(AND(F683=0,O683=0),"Zero-vote",IF(AND(F683=O683,G683=P683),"OK",IF(AND(F683=0,O683&gt;0,COUNTIFS(Votes!$A:$A,J683,Votes!$B:$B,K683,Votes!$C:$C,D683)=0),"Forfeited","Mismatch")))))</f>
        <v>OK</v>
      </c>
      <c r="R683" s="6" t="n">
        <f aca="false">MAX(IF(L683&lt;&gt;"",COUNTIF($L:$L,L683),0),COUNTIFS($A:$A,A683,$B:$B,B683))</f>
        <v>2</v>
      </c>
      <c r="S683" s="6" t="n">
        <f aca="false">IF(R683&gt;1,COUNTIF($R$2:R683,"&gt;1"),"")</f>
        <v>46</v>
      </c>
      <c r="T683" s="6" t="str">
        <f aca="false">IF(L683="","",J683&amp;"|"&amp;K683&amp;"|"&amp;L683)</f>
        <v>7|1|spotify:track:5ZULALImTm80tzUbYQYM9d</v>
      </c>
      <c r="U683" s="6" t="str">
        <f aca="false">IF(C683="","",IFERROR(INDEX(Lists!$F:$F,MATCH(C683,Lists!$E:$E,0)),"Unmapped"))</f>
        <v>Pop</v>
      </c>
    </row>
    <row r="684" customFormat="false" ht="15" hidden="false" customHeight="false" outlineLevel="0" collapsed="false">
      <c r="A684" s="5" t="s">
        <v>2046</v>
      </c>
      <c r="B684" s="5" t="s">
        <v>2047</v>
      </c>
      <c r="C684" s="5" t="s">
        <v>91</v>
      </c>
      <c r="D684" s="5" t="s">
        <v>375</v>
      </c>
      <c r="E684" s="5" t="s">
        <v>2014</v>
      </c>
      <c r="F684" s="5" t="n">
        <v>0</v>
      </c>
      <c r="G684" s="5" t="n">
        <v>9</v>
      </c>
      <c r="H684" s="6" t="str">
        <f aca="false">IF(N684="","",N684&amp;IF(AND(MOD(N684,100)&gt;=11,MOD(N684,100)&lt;=13),"th",CHOOSE(MIN(5,MOD(N684,10)+1),"th","st","nd","rd","th")))</f>
        <v>14th</v>
      </c>
      <c r="I684" s="5" t="s">
        <v>2015</v>
      </c>
      <c r="J684" s="6" t="n">
        <f aca="false">IFERROR(INDEX(Rounds!$A:$A,MATCH(I684,Rounds!$B:$B,0)),"ADD LEAGUE TO ROUNDS")</f>
        <v>7</v>
      </c>
      <c r="K684" s="6" t="n">
        <f aca="false">IFERROR(VALUE(LEFT(E684,FIND(" - ",E684)-1)),"")</f>
        <v>1</v>
      </c>
      <c r="L684" s="5" t="s">
        <v>2048</v>
      </c>
      <c r="N684" s="6" t="n">
        <f aca="false">IF(F684="","",1+COUNTIFS($J:$J,J684,$K:$K,K684,$F:$F,"&gt;"&amp;F684)+COUNTIFS($J:$J,J684,$K:$K,K684,$F:$F,F684,$G:$G,"&gt;"&amp;G684))</f>
        <v>14</v>
      </c>
      <c r="O684" s="6" t="n">
        <f aca="false">IF(L684="","",SUMIFS(Votes!$E:$E,Votes!$A:$A,J684,Votes!$B:$B,K684,Votes!$D:$D,L684))</f>
        <v>10</v>
      </c>
      <c r="P684" s="6" t="n">
        <f aca="false">IF(L684="","",COUNTIFS(Votes!$A:$A,J684,Votes!$B:$B,K684,Votes!$D:$D,L684))</f>
        <v>9</v>
      </c>
      <c r="Q684" s="7" t="str">
        <f aca="false">IF(F684="","Unscored",IF(O684="","No URI",IF(AND(F684=0,O684=0),"Zero-vote",IF(AND(F684=O684,G684=P684),"OK",IF(AND(F684=0,O684&gt;0,COUNTIFS(Votes!$A:$A,J684,Votes!$B:$B,K684,Votes!$C:$C,D684)=0),"Forfeited","Mismatch")))))</f>
        <v>Forfeited</v>
      </c>
      <c r="R684" s="6" t="n">
        <f aca="false">MAX(IF(L684&lt;&gt;"",COUNTIF($L:$L,L684),0),COUNTIFS($A:$A,A684,$B:$B,B684))</f>
        <v>1</v>
      </c>
      <c r="S684" s="6" t="str">
        <f aca="false">IF(R684&gt;1,COUNTIF($R$2:R684,"&gt;1"),"")</f>
        <v/>
      </c>
      <c r="T684" s="6" t="str">
        <f aca="false">IF(L684="","",J684&amp;"|"&amp;K684&amp;"|"&amp;L684)</f>
        <v>7|1|spotify:track:1QEEqeFIZktqIpPI4jSVSF</v>
      </c>
      <c r="U684" s="6" t="str">
        <f aca="false">IF(C684="","",IFERROR(INDEX(Lists!$F:$F,MATCH(C684,Lists!$E:$E,0)),"Unmapped"))</f>
        <v>Rock</v>
      </c>
    </row>
    <row r="685" customFormat="false" ht="15" hidden="false" customHeight="false" outlineLevel="0" collapsed="false">
      <c r="A685" s="5" t="s">
        <v>2049</v>
      </c>
      <c r="B685" s="5" t="s">
        <v>1313</v>
      </c>
      <c r="C685" s="5" t="s">
        <v>91</v>
      </c>
      <c r="D685" s="5" t="s">
        <v>484</v>
      </c>
      <c r="E685" s="5" t="s">
        <v>2014</v>
      </c>
      <c r="F685" s="5" t="n">
        <v>0</v>
      </c>
      <c r="G685" s="5" t="n">
        <v>5</v>
      </c>
      <c r="H685" s="6" t="str">
        <f aca="false">IF(N685="","",N685&amp;IF(AND(MOD(N685,100)&gt;=11,MOD(N685,100)&lt;=13),"th",CHOOSE(MIN(5,MOD(N685,10)+1),"th","st","nd","rd","th")))</f>
        <v>15th</v>
      </c>
      <c r="I685" s="5" t="s">
        <v>2015</v>
      </c>
      <c r="J685" s="6" t="n">
        <f aca="false">IFERROR(INDEX(Rounds!$A:$A,MATCH(I685,Rounds!$B:$B,0)),"ADD LEAGUE TO ROUNDS")</f>
        <v>7</v>
      </c>
      <c r="K685" s="6" t="n">
        <f aca="false">IFERROR(VALUE(LEFT(E685,FIND(" - ",E685)-1)),"")</f>
        <v>1</v>
      </c>
      <c r="L685" s="5" t="s">
        <v>2050</v>
      </c>
      <c r="N685" s="6" t="n">
        <f aca="false">IF(F685="","",1+COUNTIFS($J:$J,J685,$K:$K,K685,$F:$F,"&gt;"&amp;F685)+COUNTIFS($J:$J,J685,$K:$K,K685,$F:$F,F685,$G:$G,"&gt;"&amp;G685))</f>
        <v>15</v>
      </c>
      <c r="O685" s="6" t="n">
        <f aca="false">IF(L685="","",SUMIFS(Votes!$E:$E,Votes!$A:$A,J685,Votes!$B:$B,K685,Votes!$D:$D,L685))</f>
        <v>6</v>
      </c>
      <c r="P685" s="6" t="n">
        <f aca="false">IF(L685="","",COUNTIFS(Votes!$A:$A,J685,Votes!$B:$B,K685,Votes!$D:$D,L685))</f>
        <v>5</v>
      </c>
      <c r="Q685" s="7" t="str">
        <f aca="false">IF(F685="","Unscored",IF(O685="","No URI",IF(AND(F685=0,O685=0),"Zero-vote",IF(AND(F685=O685,G685=P685),"OK",IF(AND(F685=0,O685&gt;0,COUNTIFS(Votes!$A:$A,J685,Votes!$B:$B,K685,Votes!$C:$C,D685)=0),"Forfeited","Mismatch")))))</f>
        <v>Forfeited</v>
      </c>
      <c r="R685" s="6" t="n">
        <f aca="false">MAX(IF(L685&lt;&gt;"",COUNTIF($L:$L,L685),0),COUNTIFS($A:$A,A685,$B:$B,B685))</f>
        <v>1</v>
      </c>
      <c r="S685" s="6" t="str">
        <f aca="false">IF(R685&gt;1,COUNTIF($R$2:R685,"&gt;1"),"")</f>
        <v/>
      </c>
      <c r="T685" s="6" t="str">
        <f aca="false">IF(L685="","",J685&amp;"|"&amp;K685&amp;"|"&amp;L685)</f>
        <v>7|1|spotify:track:2SHTKB8YYlawTGIuJ2b2ok</v>
      </c>
      <c r="U685" s="6" t="str">
        <f aca="false">IF(C685="","",IFERROR(INDEX(Lists!$F:$F,MATCH(C685,Lists!$E:$E,0)),"Unmapped"))</f>
        <v>Rock</v>
      </c>
    </row>
    <row r="686" customFormat="false" ht="15" hidden="false" customHeight="false" outlineLevel="0" collapsed="false">
      <c r="A686" s="5" t="s">
        <v>2051</v>
      </c>
      <c r="B686" s="5" t="s">
        <v>870</v>
      </c>
      <c r="C686" s="5" t="s">
        <v>96</v>
      </c>
      <c r="D686" s="5" t="s">
        <v>2052</v>
      </c>
      <c r="E686" s="5" t="s">
        <v>2014</v>
      </c>
      <c r="F686" s="5" t="n">
        <v>0</v>
      </c>
      <c r="G686" s="5" t="n">
        <v>5</v>
      </c>
      <c r="H686" s="6" t="str">
        <f aca="false">IF(N686="","",N686&amp;IF(AND(MOD(N686,100)&gt;=11,MOD(N686,100)&lt;=13),"th",CHOOSE(MIN(5,MOD(N686,10)+1),"th","st","nd","rd","th")))</f>
        <v>15th</v>
      </c>
      <c r="I686" s="5" t="s">
        <v>2015</v>
      </c>
      <c r="J686" s="6" t="n">
        <f aca="false">IFERROR(INDEX(Rounds!$A:$A,MATCH(I686,Rounds!$B:$B,0)),"ADD LEAGUE TO ROUNDS")</f>
        <v>7</v>
      </c>
      <c r="K686" s="6" t="n">
        <f aca="false">IFERROR(VALUE(LEFT(E686,FIND(" - ",E686)-1)),"")</f>
        <v>1</v>
      </c>
      <c r="L686" s="5" t="s">
        <v>2053</v>
      </c>
      <c r="N686" s="6" t="n">
        <f aca="false">IF(F686="","",1+COUNTIFS($J:$J,J686,$K:$K,K686,$F:$F,"&gt;"&amp;F686)+COUNTIFS($J:$J,J686,$K:$K,K686,$F:$F,F686,$G:$G,"&gt;"&amp;G686))</f>
        <v>15</v>
      </c>
      <c r="O686" s="6" t="n">
        <f aca="false">IF(L686="","",SUMIFS(Votes!$E:$E,Votes!$A:$A,J686,Votes!$B:$B,K686,Votes!$D:$D,L686))</f>
        <v>5</v>
      </c>
      <c r="P686" s="6" t="n">
        <f aca="false">IF(L686="","",COUNTIFS(Votes!$A:$A,J686,Votes!$B:$B,K686,Votes!$D:$D,L686))</f>
        <v>5</v>
      </c>
      <c r="Q686" s="7" t="str">
        <f aca="false">IF(F686="","Unscored",IF(O686="","No URI",IF(AND(F686=0,O686=0),"Zero-vote",IF(AND(F686=O686,G686=P686),"OK",IF(AND(F686=0,O686&gt;0,COUNTIFS(Votes!$A:$A,J686,Votes!$B:$B,K686,Votes!$C:$C,D686)=0),"Forfeited","Mismatch")))))</f>
        <v>Forfeited</v>
      </c>
      <c r="R686" s="6" t="n">
        <f aca="false">MAX(IF(L686&lt;&gt;"",COUNTIF($L:$L,L686),0),COUNTIFS($A:$A,A686,$B:$B,B686))</f>
        <v>1</v>
      </c>
      <c r="S686" s="6" t="str">
        <f aca="false">IF(R686&gt;1,COUNTIF($R$2:R686,"&gt;1"),"")</f>
        <v/>
      </c>
      <c r="T686" s="6" t="str">
        <f aca="false">IF(L686="","",J686&amp;"|"&amp;K686&amp;"|"&amp;L686)</f>
        <v>7|1|spotify:track:5ou2nZT8UQJn1nuiUxAyjs</v>
      </c>
      <c r="U686" s="6" t="str">
        <f aca="false">IF(C686="","",IFERROR(INDEX(Lists!$F:$F,MATCH(C686,Lists!$E:$E,0)),"Unmapped"))</f>
        <v>R&amp;B/Soul</v>
      </c>
    </row>
    <row r="687" customFormat="false" ht="15" hidden="false" customHeight="false" outlineLevel="0" collapsed="false">
      <c r="A687" s="5" t="s">
        <v>2054</v>
      </c>
      <c r="B687" s="5" t="s">
        <v>2055</v>
      </c>
      <c r="C687" s="5" t="s">
        <v>84</v>
      </c>
      <c r="D687" s="5" t="s">
        <v>119</v>
      </c>
      <c r="E687" s="5" t="s">
        <v>2056</v>
      </c>
      <c r="F687" s="5" t="n">
        <v>16</v>
      </c>
      <c r="G687" s="5" t="n">
        <v>11</v>
      </c>
      <c r="H687" s="6" t="str">
        <f aca="false">IF(N687="","",N687&amp;IF(AND(MOD(N687,100)&gt;=11,MOD(N687,100)&lt;=13),"th",CHOOSE(MIN(5,MOD(N687,10)+1),"th","st","nd","rd","th")))</f>
        <v>1st</v>
      </c>
      <c r="I687" s="5" t="s">
        <v>2015</v>
      </c>
      <c r="J687" s="6" t="n">
        <f aca="false">IFERROR(INDEX(Rounds!$A:$A,MATCH(I687,Rounds!$B:$B,0)),"ADD LEAGUE TO ROUNDS")</f>
        <v>7</v>
      </c>
      <c r="K687" s="6" t="n">
        <f aca="false">IFERROR(VALUE(LEFT(E687,FIND(" - ",E687)-1)),"")</f>
        <v>2</v>
      </c>
      <c r="L687" s="5" t="s">
        <v>2057</v>
      </c>
      <c r="N687" s="6" t="n">
        <f aca="false">IF(F687="","",1+COUNTIFS($J:$J,J687,$K:$K,K687,$F:$F,"&gt;"&amp;F687)+COUNTIFS($J:$J,J687,$K:$K,K687,$F:$F,F687,$G:$G,"&gt;"&amp;G687))</f>
        <v>1</v>
      </c>
      <c r="O687" s="6" t="n">
        <f aca="false">IF(L687="","",SUMIFS(Votes!$E:$E,Votes!$A:$A,J687,Votes!$B:$B,K687,Votes!$D:$D,L687))</f>
        <v>16</v>
      </c>
      <c r="P687" s="6" t="n">
        <f aca="false">IF(L687="","",COUNTIFS(Votes!$A:$A,J687,Votes!$B:$B,K687,Votes!$D:$D,L687))</f>
        <v>11</v>
      </c>
      <c r="Q687" s="7" t="str">
        <f aca="false">IF(F687="","Unscored",IF(O687="","No URI",IF(AND(F687=0,O687=0),"Zero-vote",IF(AND(F687=O687,G687=P687),"OK",IF(AND(F687=0,O687&gt;0,COUNTIFS(Votes!$A:$A,J687,Votes!$B:$B,K687,Votes!$C:$C,D687)=0),"Forfeited","Mismatch")))))</f>
        <v>OK</v>
      </c>
      <c r="R687" s="6" t="n">
        <f aca="false">MAX(IF(L687&lt;&gt;"",COUNTIF($L:$L,L687),0),COUNTIFS($A:$A,A687,$B:$B,B687))</f>
        <v>1</v>
      </c>
      <c r="S687" s="6" t="str">
        <f aca="false">IF(R687&gt;1,COUNTIF($R$2:R687,"&gt;1"),"")</f>
        <v/>
      </c>
      <c r="T687" s="6" t="str">
        <f aca="false">IF(L687="","",J687&amp;"|"&amp;K687&amp;"|"&amp;L687)</f>
        <v>7|2|spotify:track:4tViDtaHuSLnh7HVJTrKhs</v>
      </c>
      <c r="U687" s="6" t="str">
        <f aca="false">IF(C687="","",IFERROR(INDEX(Lists!$F:$F,MATCH(C687,Lists!$E:$E,0)),"Unmapped"))</f>
        <v>Pop</v>
      </c>
    </row>
    <row r="688" customFormat="false" ht="15" hidden="false" customHeight="false" outlineLevel="0" collapsed="false">
      <c r="A688" s="5" t="s">
        <v>2058</v>
      </c>
      <c r="B688" s="5" t="s">
        <v>2059</v>
      </c>
      <c r="C688" s="5" t="s">
        <v>171</v>
      </c>
      <c r="D688" s="5" t="s">
        <v>85</v>
      </c>
      <c r="E688" s="5" t="s">
        <v>2056</v>
      </c>
      <c r="F688" s="5" t="n">
        <v>12</v>
      </c>
      <c r="G688" s="5" t="n">
        <v>9</v>
      </c>
      <c r="H688" s="6" t="str">
        <f aca="false">IF(N688="","",N688&amp;IF(AND(MOD(N688,100)&gt;=11,MOD(N688,100)&lt;=13),"th",CHOOSE(MIN(5,MOD(N688,10)+1),"th","st","nd","rd","th")))</f>
        <v>2nd</v>
      </c>
      <c r="I688" s="5" t="s">
        <v>2015</v>
      </c>
      <c r="J688" s="6" t="n">
        <f aca="false">IFERROR(INDEX(Rounds!$A:$A,MATCH(I688,Rounds!$B:$B,0)),"ADD LEAGUE TO ROUNDS")</f>
        <v>7</v>
      </c>
      <c r="K688" s="6" t="n">
        <f aca="false">IFERROR(VALUE(LEFT(E688,FIND(" - ",E688)-1)),"")</f>
        <v>2</v>
      </c>
      <c r="L688" s="5" t="s">
        <v>2060</v>
      </c>
      <c r="N688" s="6" t="n">
        <f aca="false">IF(F688="","",1+COUNTIFS($J:$J,J688,$K:$K,K688,$F:$F,"&gt;"&amp;F688)+COUNTIFS($J:$J,J688,$K:$K,K688,$F:$F,F688,$G:$G,"&gt;"&amp;G688))</f>
        <v>2</v>
      </c>
      <c r="O688" s="6" t="n">
        <f aca="false">IF(L688="","",SUMIFS(Votes!$E:$E,Votes!$A:$A,J688,Votes!$B:$B,K688,Votes!$D:$D,L688))</f>
        <v>12</v>
      </c>
      <c r="P688" s="6" t="n">
        <f aca="false">IF(L688="","",COUNTIFS(Votes!$A:$A,J688,Votes!$B:$B,K688,Votes!$D:$D,L688))</f>
        <v>9</v>
      </c>
      <c r="Q688" s="7" t="str">
        <f aca="false">IF(F688="","Unscored",IF(O688="","No URI",IF(AND(F688=0,O688=0),"Zero-vote",IF(AND(F688=O688,G688=P688),"OK",IF(AND(F688=0,O688&gt;0,COUNTIFS(Votes!$A:$A,J688,Votes!$B:$B,K688,Votes!$C:$C,D688)=0),"Forfeited","Mismatch")))))</f>
        <v>OK</v>
      </c>
      <c r="R688" s="6" t="n">
        <f aca="false">MAX(IF(L688&lt;&gt;"",COUNTIF($L:$L,L688),0),COUNTIFS($A:$A,A688,$B:$B,B688))</f>
        <v>1</v>
      </c>
      <c r="S688" s="6" t="str">
        <f aca="false">IF(R688&gt;1,COUNTIF($R$2:R688,"&gt;1"),"")</f>
        <v/>
      </c>
      <c r="T688" s="6" t="str">
        <f aca="false">IF(L688="","",J688&amp;"|"&amp;K688&amp;"|"&amp;L688)</f>
        <v>7|2|spotify:track:4Es6f0zquGHCrv9Hespx9W</v>
      </c>
      <c r="U688" s="6" t="str">
        <f aca="false">IF(C688="","",IFERROR(INDEX(Lists!$F:$F,MATCH(C688,Lists!$E:$E,0)),"Unmapped"))</f>
        <v>Country</v>
      </c>
    </row>
    <row r="689" customFormat="false" ht="15" hidden="false" customHeight="false" outlineLevel="0" collapsed="false">
      <c r="A689" s="5" t="s">
        <v>2061</v>
      </c>
      <c r="B689" s="5" t="s">
        <v>1147</v>
      </c>
      <c r="C689" s="5" t="s">
        <v>91</v>
      </c>
      <c r="D689" s="5" t="s">
        <v>1843</v>
      </c>
      <c r="E689" s="5" t="s">
        <v>2056</v>
      </c>
      <c r="F689" s="5" t="n">
        <v>11</v>
      </c>
      <c r="G689" s="5" t="n">
        <v>8</v>
      </c>
      <c r="H689" s="6" t="str">
        <f aca="false">IF(N689="","",N689&amp;IF(AND(MOD(N689,100)&gt;=11,MOD(N689,100)&lt;=13),"th",CHOOSE(MIN(5,MOD(N689,10)+1),"th","st","nd","rd","th")))</f>
        <v>3rd</v>
      </c>
      <c r="I689" s="5" t="s">
        <v>2015</v>
      </c>
      <c r="J689" s="6" t="n">
        <f aca="false">IFERROR(INDEX(Rounds!$A:$A,MATCH(I689,Rounds!$B:$B,0)),"ADD LEAGUE TO ROUNDS")</f>
        <v>7</v>
      </c>
      <c r="K689" s="6" t="n">
        <f aca="false">IFERROR(VALUE(LEFT(E689,FIND(" - ",E689)-1)),"")</f>
        <v>2</v>
      </c>
      <c r="L689" s="5" t="s">
        <v>2062</v>
      </c>
      <c r="N689" s="6" t="n">
        <f aca="false">IF(F689="","",1+COUNTIFS($J:$J,J689,$K:$K,K689,$F:$F,"&gt;"&amp;F689)+COUNTIFS($J:$J,J689,$K:$K,K689,$F:$F,F689,$G:$G,"&gt;"&amp;G689))</f>
        <v>3</v>
      </c>
      <c r="O689" s="6" t="n">
        <f aca="false">IF(L689="","",SUMIFS(Votes!$E:$E,Votes!$A:$A,J689,Votes!$B:$B,K689,Votes!$D:$D,L689))</f>
        <v>11</v>
      </c>
      <c r="P689" s="6" t="n">
        <f aca="false">IF(L689="","",COUNTIFS(Votes!$A:$A,J689,Votes!$B:$B,K689,Votes!$D:$D,L689))</f>
        <v>8</v>
      </c>
      <c r="Q689" s="7" t="str">
        <f aca="false">IF(F689="","Unscored",IF(O689="","No URI",IF(AND(F689=0,O689=0),"Zero-vote",IF(AND(F689=O689,G689=P689),"OK",IF(AND(F689=0,O689&gt;0,COUNTIFS(Votes!$A:$A,J689,Votes!$B:$B,K689,Votes!$C:$C,D689)=0),"Forfeited","Mismatch")))))</f>
        <v>OK</v>
      </c>
      <c r="R689" s="6" t="n">
        <f aca="false">MAX(IF(L689&lt;&gt;"",COUNTIF($L:$L,L689),0),COUNTIFS($A:$A,A689,$B:$B,B689))</f>
        <v>1</v>
      </c>
      <c r="S689" s="6" t="str">
        <f aca="false">IF(R689&gt;1,COUNTIF($R$2:R689,"&gt;1"),"")</f>
        <v/>
      </c>
      <c r="T689" s="6" t="str">
        <f aca="false">IF(L689="","",J689&amp;"|"&amp;K689&amp;"|"&amp;L689)</f>
        <v>7|2|spotify:track:0ofHAoxe9vBkTCp2UQIavz</v>
      </c>
      <c r="U689" s="6" t="str">
        <f aca="false">IF(C689="","",IFERROR(INDEX(Lists!$F:$F,MATCH(C689,Lists!$E:$E,0)),"Unmapped"))</f>
        <v>Rock</v>
      </c>
    </row>
    <row r="690" customFormat="false" ht="15" hidden="false" customHeight="false" outlineLevel="0" collapsed="false">
      <c r="A690" s="5" t="s">
        <v>2063</v>
      </c>
      <c r="B690" s="5" t="s">
        <v>2064</v>
      </c>
      <c r="C690" s="5" t="s">
        <v>127</v>
      </c>
      <c r="D690" s="5" t="s">
        <v>382</v>
      </c>
      <c r="E690" s="5" t="s">
        <v>2056</v>
      </c>
      <c r="F690" s="5" t="n">
        <v>10</v>
      </c>
      <c r="G690" s="5" t="n">
        <v>10</v>
      </c>
      <c r="H690" s="6" t="str">
        <f aca="false">IF(N690="","",N690&amp;IF(AND(MOD(N690,100)&gt;=11,MOD(N690,100)&lt;=13),"th",CHOOSE(MIN(5,MOD(N690,10)+1),"th","st","nd","rd","th")))</f>
        <v>4th</v>
      </c>
      <c r="I690" s="5" t="s">
        <v>2015</v>
      </c>
      <c r="J690" s="6" t="n">
        <f aca="false">IFERROR(INDEX(Rounds!$A:$A,MATCH(I690,Rounds!$B:$B,0)),"ADD LEAGUE TO ROUNDS")</f>
        <v>7</v>
      </c>
      <c r="K690" s="6" t="n">
        <f aca="false">IFERROR(VALUE(LEFT(E690,FIND(" - ",E690)-1)),"")</f>
        <v>2</v>
      </c>
      <c r="L690" s="5" t="s">
        <v>2065</v>
      </c>
      <c r="N690" s="6" t="n">
        <f aca="false">IF(F690="","",1+COUNTIFS($J:$J,J690,$K:$K,K690,$F:$F,"&gt;"&amp;F690)+COUNTIFS($J:$J,J690,$K:$K,K690,$F:$F,F690,$G:$G,"&gt;"&amp;G690))</f>
        <v>4</v>
      </c>
      <c r="O690" s="6" t="n">
        <f aca="false">IF(L690="","",SUMIFS(Votes!$E:$E,Votes!$A:$A,J690,Votes!$B:$B,K690,Votes!$D:$D,L690))</f>
        <v>10</v>
      </c>
      <c r="P690" s="6" t="n">
        <f aca="false">IF(L690="","",COUNTIFS(Votes!$A:$A,J690,Votes!$B:$B,K690,Votes!$D:$D,L690))</f>
        <v>10</v>
      </c>
      <c r="Q690" s="7" t="str">
        <f aca="false">IF(F690="","Unscored",IF(O690="","No URI",IF(AND(F690=0,O690=0),"Zero-vote",IF(AND(F690=O690,G690=P690),"OK",IF(AND(F690=0,O690&gt;0,COUNTIFS(Votes!$A:$A,J690,Votes!$B:$B,K690,Votes!$C:$C,D690)=0),"Forfeited","Mismatch")))))</f>
        <v>OK</v>
      </c>
      <c r="R690" s="6" t="n">
        <f aca="false">MAX(IF(L690&lt;&gt;"",COUNTIF($L:$L,L690),0),COUNTIFS($A:$A,A690,$B:$B,B690))</f>
        <v>1</v>
      </c>
      <c r="S690" s="6" t="str">
        <f aca="false">IF(R690&gt;1,COUNTIF($R$2:R690,"&gt;1"),"")</f>
        <v/>
      </c>
      <c r="T690" s="6" t="str">
        <f aca="false">IF(L690="","",J690&amp;"|"&amp;K690&amp;"|"&amp;L690)</f>
        <v>7|2|spotify:track:7jSJJgyrVrZ5TLzr0U64Al</v>
      </c>
      <c r="U690" s="6" t="str">
        <f aca="false">IF(C690="","",IFERROR(INDEX(Lists!$F:$F,MATCH(C690,Lists!$E:$E,0)),"Unmapped"))</f>
        <v>Jazz/Vocal</v>
      </c>
    </row>
    <row r="691" customFormat="false" ht="15" hidden="false" customHeight="false" outlineLevel="0" collapsed="false">
      <c r="A691" s="5" t="s">
        <v>2066</v>
      </c>
      <c r="B691" s="5" t="s">
        <v>2067</v>
      </c>
      <c r="C691" s="5" t="s">
        <v>293</v>
      </c>
      <c r="D691" s="5" t="s">
        <v>637</v>
      </c>
      <c r="E691" s="5" t="s">
        <v>2056</v>
      </c>
      <c r="F691" s="5" t="n">
        <v>9</v>
      </c>
      <c r="G691" s="5" t="n">
        <v>7</v>
      </c>
      <c r="H691" s="6" t="str">
        <f aca="false">IF(N691="","",N691&amp;IF(AND(MOD(N691,100)&gt;=11,MOD(N691,100)&lt;=13),"th",CHOOSE(MIN(5,MOD(N691,10)+1),"th","st","nd","rd","th")))</f>
        <v>5th</v>
      </c>
      <c r="I691" s="5" t="s">
        <v>2015</v>
      </c>
      <c r="J691" s="6" t="n">
        <f aca="false">IFERROR(INDEX(Rounds!$A:$A,MATCH(I691,Rounds!$B:$B,0)),"ADD LEAGUE TO ROUNDS")</f>
        <v>7</v>
      </c>
      <c r="K691" s="6" t="n">
        <f aca="false">IFERROR(VALUE(LEFT(E691,FIND(" - ",E691)-1)),"")</f>
        <v>2</v>
      </c>
      <c r="L691" s="5" t="s">
        <v>2068</v>
      </c>
      <c r="N691" s="6" t="n">
        <f aca="false">IF(F691="","",1+COUNTIFS($J:$J,J691,$K:$K,K691,$F:$F,"&gt;"&amp;F691)+COUNTIFS($J:$J,J691,$K:$K,K691,$F:$F,F691,$G:$G,"&gt;"&amp;G691))</f>
        <v>5</v>
      </c>
      <c r="O691" s="6" t="n">
        <f aca="false">IF(L691="","",SUMIFS(Votes!$E:$E,Votes!$A:$A,J691,Votes!$B:$B,K691,Votes!$D:$D,L691))</f>
        <v>9</v>
      </c>
      <c r="P691" s="6" t="n">
        <f aca="false">IF(L691="","",COUNTIFS(Votes!$A:$A,J691,Votes!$B:$B,K691,Votes!$D:$D,L691))</f>
        <v>7</v>
      </c>
      <c r="Q691" s="7" t="str">
        <f aca="false">IF(F691="","Unscored",IF(O691="","No URI",IF(AND(F691=0,O691=0),"Zero-vote",IF(AND(F691=O691,G691=P691),"OK",IF(AND(F691=0,O691&gt;0,COUNTIFS(Votes!$A:$A,J691,Votes!$B:$B,K691,Votes!$C:$C,D691)=0),"Forfeited","Mismatch")))))</f>
        <v>OK</v>
      </c>
      <c r="R691" s="6" t="n">
        <f aca="false">MAX(IF(L691&lt;&gt;"",COUNTIF($L:$L,L691),0),COUNTIFS($A:$A,A691,$B:$B,B691))</f>
        <v>1</v>
      </c>
      <c r="S691" s="6" t="str">
        <f aca="false">IF(R691&gt;1,COUNTIF($R$2:R691,"&gt;1"),"")</f>
        <v/>
      </c>
      <c r="T691" s="6" t="str">
        <f aca="false">IF(L691="","",J691&amp;"|"&amp;K691&amp;"|"&amp;L691)</f>
        <v>7|2|spotify:track:4uUG5RXrOk84mYEfFvj3cK</v>
      </c>
      <c r="U691" s="6" t="str">
        <f aca="false">IF(C691="","",IFERROR(INDEX(Lists!$F:$F,MATCH(C691,Lists!$E:$E,0)),"Unmapped"))</f>
        <v>Electronic/Dance</v>
      </c>
    </row>
    <row r="692" customFormat="false" ht="15" hidden="false" customHeight="false" outlineLevel="0" collapsed="false">
      <c r="A692" s="5" t="s">
        <v>2069</v>
      </c>
      <c r="B692" s="5" t="s">
        <v>1211</v>
      </c>
      <c r="C692" s="5" t="s">
        <v>91</v>
      </c>
      <c r="D692" s="5" t="s">
        <v>116</v>
      </c>
      <c r="E692" s="5" t="s">
        <v>2056</v>
      </c>
      <c r="F692" s="5" t="n">
        <v>9</v>
      </c>
      <c r="G692" s="5" t="n">
        <v>6</v>
      </c>
      <c r="H692" s="6" t="str">
        <f aca="false">IF(N692="","",N692&amp;IF(AND(MOD(N692,100)&gt;=11,MOD(N692,100)&lt;=13),"th",CHOOSE(MIN(5,MOD(N692,10)+1),"th","st","nd","rd","th")))</f>
        <v>6th</v>
      </c>
      <c r="I692" s="5" t="s">
        <v>2015</v>
      </c>
      <c r="J692" s="6" t="n">
        <f aca="false">IFERROR(INDEX(Rounds!$A:$A,MATCH(I692,Rounds!$B:$B,0)),"ADD LEAGUE TO ROUNDS")</f>
        <v>7</v>
      </c>
      <c r="K692" s="6" t="n">
        <f aca="false">IFERROR(VALUE(LEFT(E692,FIND(" - ",E692)-1)),"")</f>
        <v>2</v>
      </c>
      <c r="L692" s="5" t="s">
        <v>2070</v>
      </c>
      <c r="N692" s="6" t="n">
        <f aca="false">IF(F692="","",1+COUNTIFS($J:$J,J692,$K:$K,K692,$F:$F,"&gt;"&amp;F692)+COUNTIFS($J:$J,J692,$K:$K,K692,$F:$F,F692,$G:$G,"&gt;"&amp;G692))</f>
        <v>6</v>
      </c>
      <c r="O692" s="6" t="n">
        <f aca="false">IF(L692="","",SUMIFS(Votes!$E:$E,Votes!$A:$A,J692,Votes!$B:$B,K692,Votes!$D:$D,L692))</f>
        <v>9</v>
      </c>
      <c r="P692" s="6" t="n">
        <f aca="false">IF(L692="","",COUNTIFS(Votes!$A:$A,J692,Votes!$B:$B,K692,Votes!$D:$D,L692))</f>
        <v>6</v>
      </c>
      <c r="Q692" s="7" t="str">
        <f aca="false">IF(F692="","Unscored",IF(O692="","No URI",IF(AND(F692=0,O692=0),"Zero-vote",IF(AND(F692=O692,G692=P692),"OK",IF(AND(F692=0,O692&gt;0,COUNTIFS(Votes!$A:$A,J692,Votes!$B:$B,K692,Votes!$C:$C,D692)=0),"Forfeited","Mismatch")))))</f>
        <v>OK</v>
      </c>
      <c r="R692" s="6" t="n">
        <f aca="false">MAX(IF(L692&lt;&gt;"",COUNTIF($L:$L,L692),0),COUNTIFS($A:$A,A692,$B:$B,B692))</f>
        <v>1</v>
      </c>
      <c r="S692" s="6" t="str">
        <f aca="false">IF(R692&gt;1,COUNTIF($R$2:R692,"&gt;1"),"")</f>
        <v/>
      </c>
      <c r="T692" s="6" t="str">
        <f aca="false">IF(L692="","",J692&amp;"|"&amp;K692&amp;"|"&amp;L692)</f>
        <v>7|2|spotify:track:6G0NzOx2jEPFsSmhr9N8Ys</v>
      </c>
      <c r="U692" s="6" t="str">
        <f aca="false">IF(C692="","",IFERROR(INDEX(Lists!$F:$F,MATCH(C692,Lists!$E:$E,0)),"Unmapped"))</f>
        <v>Rock</v>
      </c>
    </row>
    <row r="693" customFormat="false" ht="15" hidden="false" customHeight="false" outlineLevel="0" collapsed="false">
      <c r="A693" s="5" t="s">
        <v>2071</v>
      </c>
      <c r="B693" s="5" t="s">
        <v>2072</v>
      </c>
      <c r="C693" s="5" t="s">
        <v>132</v>
      </c>
      <c r="D693" s="5" t="s">
        <v>2019</v>
      </c>
      <c r="E693" s="5" t="s">
        <v>2056</v>
      </c>
      <c r="F693" s="5" t="n">
        <v>8</v>
      </c>
      <c r="G693" s="5" t="n">
        <v>8</v>
      </c>
      <c r="H693" s="6" t="str">
        <f aca="false">IF(N693="","",N693&amp;IF(AND(MOD(N693,100)&gt;=11,MOD(N693,100)&lt;=13),"th",CHOOSE(MIN(5,MOD(N693,10)+1),"th","st","nd","rd","th")))</f>
        <v>7th</v>
      </c>
      <c r="I693" s="5" t="s">
        <v>2015</v>
      </c>
      <c r="J693" s="6" t="n">
        <f aca="false">IFERROR(INDEX(Rounds!$A:$A,MATCH(I693,Rounds!$B:$B,0)),"ADD LEAGUE TO ROUNDS")</f>
        <v>7</v>
      </c>
      <c r="K693" s="6" t="n">
        <f aca="false">IFERROR(VALUE(LEFT(E693,FIND(" - ",E693)-1)),"")</f>
        <v>2</v>
      </c>
      <c r="L693" s="5" t="s">
        <v>2073</v>
      </c>
      <c r="N693" s="6" t="n">
        <f aca="false">IF(F693="","",1+COUNTIFS($J:$J,J693,$K:$K,K693,$F:$F,"&gt;"&amp;F693)+COUNTIFS($J:$J,J693,$K:$K,K693,$F:$F,F693,$G:$G,"&gt;"&amp;G693))</f>
        <v>7</v>
      </c>
      <c r="O693" s="6" t="n">
        <f aca="false">IF(L693="","",SUMIFS(Votes!$E:$E,Votes!$A:$A,J693,Votes!$B:$B,K693,Votes!$D:$D,L693))</f>
        <v>8</v>
      </c>
      <c r="P693" s="6" t="n">
        <f aca="false">IF(L693="","",COUNTIFS(Votes!$A:$A,J693,Votes!$B:$B,K693,Votes!$D:$D,L693))</f>
        <v>8</v>
      </c>
      <c r="Q693" s="7" t="str">
        <f aca="false">IF(F693="","Unscored",IF(O693="","No URI",IF(AND(F693=0,O693=0),"Zero-vote",IF(AND(F693=O693,G693=P693),"OK",IF(AND(F693=0,O693&gt;0,COUNTIFS(Votes!$A:$A,J693,Votes!$B:$B,K693,Votes!$C:$C,D693)=0),"Forfeited","Mismatch")))))</f>
        <v>OK</v>
      </c>
      <c r="R693" s="6" t="n">
        <f aca="false">MAX(IF(L693&lt;&gt;"",COUNTIF($L:$L,L693),0),COUNTIFS($A:$A,A693,$B:$B,B693))</f>
        <v>1</v>
      </c>
      <c r="S693" s="6" t="str">
        <f aca="false">IF(R693&gt;1,COUNTIF($R$2:R693,"&gt;1"),"")</f>
        <v/>
      </c>
      <c r="T693" s="6" t="str">
        <f aca="false">IF(L693="","",J693&amp;"|"&amp;K693&amp;"|"&amp;L693)</f>
        <v>7|2|spotify:track:6btdYzQ8eZFBrOlUKVHuz0</v>
      </c>
      <c r="U693" s="6" t="str">
        <f aca="false">IF(C693="","",IFERROR(INDEX(Lists!$F:$F,MATCH(C693,Lists!$E:$E,0)),"Unmapped"))</f>
        <v>Soundtrack/Musical</v>
      </c>
    </row>
    <row r="694" customFormat="false" ht="15" hidden="false" customHeight="false" outlineLevel="0" collapsed="false">
      <c r="A694" s="5" t="s">
        <v>2074</v>
      </c>
      <c r="B694" s="5" t="s">
        <v>2075</v>
      </c>
      <c r="C694" s="5" t="s">
        <v>84</v>
      </c>
      <c r="D694" s="5" t="s">
        <v>128</v>
      </c>
      <c r="E694" s="5" t="s">
        <v>2056</v>
      </c>
      <c r="F694" s="5" t="n">
        <v>8</v>
      </c>
      <c r="G694" s="5" t="n">
        <v>8</v>
      </c>
      <c r="H694" s="6" t="str">
        <f aca="false">IF(N694="","",N694&amp;IF(AND(MOD(N694,100)&gt;=11,MOD(N694,100)&lt;=13),"th",CHOOSE(MIN(5,MOD(N694,10)+1),"th","st","nd","rd","th")))</f>
        <v>7th</v>
      </c>
      <c r="I694" s="5" t="s">
        <v>2015</v>
      </c>
      <c r="J694" s="6" t="n">
        <f aca="false">IFERROR(INDEX(Rounds!$A:$A,MATCH(I694,Rounds!$B:$B,0)),"ADD LEAGUE TO ROUNDS")</f>
        <v>7</v>
      </c>
      <c r="K694" s="6" t="n">
        <f aca="false">IFERROR(VALUE(LEFT(E694,FIND(" - ",E694)-1)),"")</f>
        <v>2</v>
      </c>
      <c r="L694" s="5" t="s">
        <v>2076</v>
      </c>
      <c r="N694" s="6" t="n">
        <f aca="false">IF(F694="","",1+COUNTIFS($J:$J,J694,$K:$K,K694,$F:$F,"&gt;"&amp;F694)+COUNTIFS($J:$J,J694,$K:$K,K694,$F:$F,F694,$G:$G,"&gt;"&amp;G694))</f>
        <v>7</v>
      </c>
      <c r="O694" s="6" t="n">
        <f aca="false">IF(L694="","",SUMIFS(Votes!$E:$E,Votes!$A:$A,J694,Votes!$B:$B,K694,Votes!$D:$D,L694))</f>
        <v>8</v>
      </c>
      <c r="P694" s="6" t="n">
        <f aca="false">IF(L694="","",COUNTIFS(Votes!$A:$A,J694,Votes!$B:$B,K694,Votes!$D:$D,L694))</f>
        <v>8</v>
      </c>
      <c r="Q694" s="7" t="str">
        <f aca="false">IF(F694="","Unscored",IF(O694="","No URI",IF(AND(F694=0,O694=0),"Zero-vote",IF(AND(F694=O694,G694=P694),"OK",IF(AND(F694=0,O694&gt;0,COUNTIFS(Votes!$A:$A,J694,Votes!$B:$B,K694,Votes!$C:$C,D694)=0),"Forfeited","Mismatch")))))</f>
        <v>OK</v>
      </c>
      <c r="R694" s="6" t="n">
        <f aca="false">MAX(IF(L694&lt;&gt;"",COUNTIF($L:$L,L694),0),COUNTIFS($A:$A,A694,$B:$B,B694))</f>
        <v>1</v>
      </c>
      <c r="S694" s="6" t="str">
        <f aca="false">IF(R694&gt;1,COUNTIF($R$2:R694,"&gt;1"),"")</f>
        <v/>
      </c>
      <c r="T694" s="6" t="str">
        <f aca="false">IF(L694="","",J694&amp;"|"&amp;K694&amp;"|"&amp;L694)</f>
        <v>7|2|spotify:track:36phXHOKx8rO7CMp2vNX4x</v>
      </c>
      <c r="U694" s="6" t="str">
        <f aca="false">IF(C694="","",IFERROR(INDEX(Lists!$F:$F,MATCH(C694,Lists!$E:$E,0)),"Unmapped"))</f>
        <v>Pop</v>
      </c>
    </row>
    <row r="695" customFormat="false" ht="15" hidden="false" customHeight="false" outlineLevel="0" collapsed="false">
      <c r="A695" s="5" t="s">
        <v>2077</v>
      </c>
      <c r="B695" s="5" t="s">
        <v>2078</v>
      </c>
      <c r="C695" s="5" t="s">
        <v>248</v>
      </c>
      <c r="D695" s="5" t="s">
        <v>97</v>
      </c>
      <c r="E695" s="5" t="s">
        <v>2056</v>
      </c>
      <c r="F695" s="5" t="n">
        <v>6</v>
      </c>
      <c r="G695" s="5" t="n">
        <v>6</v>
      </c>
      <c r="H695" s="6" t="str">
        <f aca="false">IF(N695="","",N695&amp;IF(AND(MOD(N695,100)&gt;=11,MOD(N695,100)&lt;=13),"th",CHOOSE(MIN(5,MOD(N695,10)+1),"th","st","nd","rd","th")))</f>
        <v>9th</v>
      </c>
      <c r="I695" s="5" t="s">
        <v>2015</v>
      </c>
      <c r="J695" s="6" t="n">
        <f aca="false">IFERROR(INDEX(Rounds!$A:$A,MATCH(I695,Rounds!$B:$B,0)),"ADD LEAGUE TO ROUNDS")</f>
        <v>7</v>
      </c>
      <c r="K695" s="6" t="n">
        <f aca="false">IFERROR(VALUE(LEFT(E695,FIND(" - ",E695)-1)),"")</f>
        <v>2</v>
      </c>
      <c r="L695" s="5" t="s">
        <v>2079</v>
      </c>
      <c r="N695" s="6" t="n">
        <f aca="false">IF(F695="","",1+COUNTIFS($J:$J,J695,$K:$K,K695,$F:$F,"&gt;"&amp;F695)+COUNTIFS($J:$J,J695,$K:$K,K695,$F:$F,F695,$G:$G,"&gt;"&amp;G695))</f>
        <v>9</v>
      </c>
      <c r="O695" s="6" t="n">
        <f aca="false">IF(L695="","",SUMIFS(Votes!$E:$E,Votes!$A:$A,J695,Votes!$B:$B,K695,Votes!$D:$D,L695))</f>
        <v>6</v>
      </c>
      <c r="P695" s="6" t="n">
        <f aca="false">IF(L695="","",COUNTIFS(Votes!$A:$A,J695,Votes!$B:$B,K695,Votes!$D:$D,L695))</f>
        <v>6</v>
      </c>
      <c r="Q695" s="7" t="str">
        <f aca="false">IF(F695="","Unscored",IF(O695="","No URI",IF(AND(F695=0,O695=0),"Zero-vote",IF(AND(F695=O695,G695=P695),"OK",IF(AND(F695=0,O695&gt;0,COUNTIFS(Votes!$A:$A,J695,Votes!$B:$B,K695,Votes!$C:$C,D695)=0),"Forfeited","Mismatch")))))</f>
        <v>OK</v>
      </c>
      <c r="R695" s="6" t="n">
        <f aca="false">MAX(IF(L695&lt;&gt;"",COUNTIF($L:$L,L695),0),COUNTIFS($A:$A,A695,$B:$B,B695))</f>
        <v>1</v>
      </c>
      <c r="S695" s="6" t="str">
        <f aca="false">IF(R695&gt;1,COUNTIF($R$2:R695,"&gt;1"),"")</f>
        <v/>
      </c>
      <c r="T695" s="6" t="str">
        <f aca="false">IF(L695="","",J695&amp;"|"&amp;K695&amp;"|"&amp;L695)</f>
        <v>7|2|spotify:track:1BWsOxeMx83OrKGCV4gxly</v>
      </c>
      <c r="U695" s="6" t="str">
        <f aca="false">IF(C695="","",IFERROR(INDEX(Lists!$F:$F,MATCH(C695,Lists!$E:$E,0)),"Unmapped"))</f>
        <v>Folk/Americana</v>
      </c>
    </row>
    <row r="696" customFormat="false" ht="15" hidden="false" customHeight="false" outlineLevel="0" collapsed="false">
      <c r="A696" s="5" t="s">
        <v>2080</v>
      </c>
      <c r="B696" s="5" t="s">
        <v>2081</v>
      </c>
      <c r="C696" s="5" t="s">
        <v>91</v>
      </c>
      <c r="D696" s="5" t="s">
        <v>719</v>
      </c>
      <c r="E696" s="5" t="s">
        <v>2056</v>
      </c>
      <c r="F696" s="5" t="n">
        <v>5</v>
      </c>
      <c r="G696" s="5" t="n">
        <v>5</v>
      </c>
      <c r="H696" s="6" t="str">
        <f aca="false">IF(N696="","",N696&amp;IF(AND(MOD(N696,100)&gt;=11,MOD(N696,100)&lt;=13),"th",CHOOSE(MIN(5,MOD(N696,10)+1),"th","st","nd","rd","th")))</f>
        <v>10th</v>
      </c>
      <c r="I696" s="5" t="s">
        <v>2015</v>
      </c>
      <c r="J696" s="6" t="n">
        <f aca="false">IFERROR(INDEX(Rounds!$A:$A,MATCH(I696,Rounds!$B:$B,0)),"ADD LEAGUE TO ROUNDS")</f>
        <v>7</v>
      </c>
      <c r="K696" s="6" t="n">
        <f aca="false">IFERROR(VALUE(LEFT(E696,FIND(" - ",E696)-1)),"")</f>
        <v>2</v>
      </c>
      <c r="L696" s="5" t="s">
        <v>2082</v>
      </c>
      <c r="N696" s="6" t="n">
        <f aca="false">IF(F696="","",1+COUNTIFS($J:$J,J696,$K:$K,K696,$F:$F,"&gt;"&amp;F696)+COUNTIFS($J:$J,J696,$K:$K,K696,$F:$F,F696,$G:$G,"&gt;"&amp;G696))</f>
        <v>10</v>
      </c>
      <c r="O696" s="6" t="n">
        <f aca="false">IF(L696="","",SUMIFS(Votes!$E:$E,Votes!$A:$A,J696,Votes!$B:$B,K696,Votes!$D:$D,L696))</f>
        <v>5</v>
      </c>
      <c r="P696" s="6" t="n">
        <f aca="false">IF(L696="","",COUNTIFS(Votes!$A:$A,J696,Votes!$B:$B,K696,Votes!$D:$D,L696))</f>
        <v>5</v>
      </c>
      <c r="Q696" s="7" t="str">
        <f aca="false">IF(F696="","Unscored",IF(O696="","No URI",IF(AND(F696=0,O696=0),"Zero-vote",IF(AND(F696=O696,G696=P696),"OK",IF(AND(F696=0,O696&gt;0,COUNTIFS(Votes!$A:$A,J696,Votes!$B:$B,K696,Votes!$C:$C,D696)=0),"Forfeited","Mismatch")))))</f>
        <v>OK</v>
      </c>
      <c r="R696" s="6" t="n">
        <f aca="false">MAX(IF(L696&lt;&gt;"",COUNTIF($L:$L,L696),0),COUNTIFS($A:$A,A696,$B:$B,B696))</f>
        <v>1</v>
      </c>
      <c r="S696" s="6" t="str">
        <f aca="false">IF(R696&gt;1,COUNTIF($R$2:R696,"&gt;1"),"")</f>
        <v/>
      </c>
      <c r="T696" s="6" t="str">
        <f aca="false">IF(L696="","",J696&amp;"|"&amp;K696&amp;"|"&amp;L696)</f>
        <v>7|2|spotify:track:0fFotmAiRwLfpogfYs48PQ</v>
      </c>
      <c r="U696" s="6" t="str">
        <f aca="false">IF(C696="","",IFERROR(INDEX(Lists!$F:$F,MATCH(C696,Lists!$E:$E,0)),"Unmapped"))</f>
        <v>Rock</v>
      </c>
    </row>
    <row r="697" customFormat="false" ht="15" hidden="false" customHeight="false" outlineLevel="0" collapsed="false">
      <c r="A697" s="5" t="s">
        <v>2083</v>
      </c>
      <c r="B697" s="5" t="s">
        <v>2084</v>
      </c>
      <c r="C697" s="5" t="s">
        <v>84</v>
      </c>
      <c r="D697" s="5" t="s">
        <v>101</v>
      </c>
      <c r="E697" s="5" t="s">
        <v>2056</v>
      </c>
      <c r="F697" s="5" t="n">
        <v>5</v>
      </c>
      <c r="G697" s="5" t="n">
        <v>5</v>
      </c>
      <c r="H697" s="6" t="str">
        <f aca="false">IF(N697="","",N697&amp;IF(AND(MOD(N697,100)&gt;=11,MOD(N697,100)&lt;=13),"th",CHOOSE(MIN(5,MOD(N697,10)+1),"th","st","nd","rd","th")))</f>
        <v>10th</v>
      </c>
      <c r="I697" s="5" t="s">
        <v>2015</v>
      </c>
      <c r="J697" s="6" t="n">
        <f aca="false">IFERROR(INDEX(Rounds!$A:$A,MATCH(I697,Rounds!$B:$B,0)),"ADD LEAGUE TO ROUNDS")</f>
        <v>7</v>
      </c>
      <c r="K697" s="6" t="n">
        <f aca="false">IFERROR(VALUE(LEFT(E697,FIND(" - ",E697)-1)),"")</f>
        <v>2</v>
      </c>
      <c r="L697" s="5" t="s">
        <v>2085</v>
      </c>
      <c r="N697" s="6" t="n">
        <f aca="false">IF(F697="","",1+COUNTIFS($J:$J,J697,$K:$K,K697,$F:$F,"&gt;"&amp;F697)+COUNTIFS($J:$J,J697,$K:$K,K697,$F:$F,F697,$G:$G,"&gt;"&amp;G697))</f>
        <v>10</v>
      </c>
      <c r="O697" s="6" t="n">
        <f aca="false">IF(L697="","",SUMIFS(Votes!$E:$E,Votes!$A:$A,J697,Votes!$B:$B,K697,Votes!$D:$D,L697))</f>
        <v>5</v>
      </c>
      <c r="P697" s="6" t="n">
        <f aca="false">IF(L697="","",COUNTIFS(Votes!$A:$A,J697,Votes!$B:$B,K697,Votes!$D:$D,L697))</f>
        <v>5</v>
      </c>
      <c r="Q697" s="7" t="str">
        <f aca="false">IF(F697="","Unscored",IF(O697="","No URI",IF(AND(F697=0,O697=0),"Zero-vote",IF(AND(F697=O697,G697=P697),"OK",IF(AND(F697=0,O697&gt;0,COUNTIFS(Votes!$A:$A,J697,Votes!$B:$B,K697,Votes!$C:$C,D697)=0),"Forfeited","Mismatch")))))</f>
        <v>OK</v>
      </c>
      <c r="R697" s="6" t="n">
        <f aca="false">MAX(IF(L697&lt;&gt;"",COUNTIF($L:$L,L697),0),COUNTIFS($A:$A,A697,$B:$B,B697))</f>
        <v>1</v>
      </c>
      <c r="S697" s="6" t="str">
        <f aca="false">IF(R697&gt;1,COUNTIF($R$2:R697,"&gt;1"),"")</f>
        <v/>
      </c>
      <c r="T697" s="6" t="str">
        <f aca="false">IF(L697="","",J697&amp;"|"&amp;K697&amp;"|"&amp;L697)</f>
        <v>7|2|spotify:track:2Lz3GftPbs91tdeWDaZzzc</v>
      </c>
      <c r="U697" s="6" t="str">
        <f aca="false">IF(C697="","",IFERROR(INDEX(Lists!$F:$F,MATCH(C697,Lists!$E:$E,0)),"Unmapped"))</f>
        <v>Pop</v>
      </c>
    </row>
    <row r="698" customFormat="false" ht="15" hidden="false" customHeight="false" outlineLevel="0" collapsed="false">
      <c r="A698" s="5" t="s">
        <v>2086</v>
      </c>
      <c r="B698" s="5" t="s">
        <v>2087</v>
      </c>
      <c r="C698" s="5" t="s">
        <v>363</v>
      </c>
      <c r="D698" s="5" t="s">
        <v>106</v>
      </c>
      <c r="E698" s="5" t="s">
        <v>2056</v>
      </c>
      <c r="F698" s="5" t="n">
        <v>5</v>
      </c>
      <c r="G698" s="5" t="n">
        <v>4</v>
      </c>
      <c r="H698" s="6" t="str">
        <f aca="false">IF(N698="","",N698&amp;IF(AND(MOD(N698,100)&gt;=11,MOD(N698,100)&lt;=13),"th",CHOOSE(MIN(5,MOD(N698,10)+1),"th","st","nd","rd","th")))</f>
        <v>12th</v>
      </c>
      <c r="I698" s="5" t="s">
        <v>2015</v>
      </c>
      <c r="J698" s="6" t="n">
        <f aca="false">IFERROR(INDEX(Rounds!$A:$A,MATCH(I698,Rounds!$B:$B,0)),"ADD LEAGUE TO ROUNDS")</f>
        <v>7</v>
      </c>
      <c r="K698" s="6" t="n">
        <f aca="false">IFERROR(VALUE(LEFT(E698,FIND(" - ",E698)-1)),"")</f>
        <v>2</v>
      </c>
      <c r="L698" s="5" t="s">
        <v>2088</v>
      </c>
      <c r="N698" s="6" t="n">
        <f aca="false">IF(F698="","",1+COUNTIFS($J:$J,J698,$K:$K,K698,$F:$F,"&gt;"&amp;F698)+COUNTIFS($J:$J,J698,$K:$K,K698,$F:$F,F698,$G:$G,"&gt;"&amp;G698))</f>
        <v>12</v>
      </c>
      <c r="O698" s="6" t="n">
        <f aca="false">IF(L698="","",SUMIFS(Votes!$E:$E,Votes!$A:$A,J698,Votes!$B:$B,K698,Votes!$D:$D,L698))</f>
        <v>5</v>
      </c>
      <c r="P698" s="6" t="n">
        <f aca="false">IF(L698="","",COUNTIFS(Votes!$A:$A,J698,Votes!$B:$B,K698,Votes!$D:$D,L698))</f>
        <v>4</v>
      </c>
      <c r="Q698" s="7" t="str">
        <f aca="false">IF(F698="","Unscored",IF(O698="","No URI",IF(AND(F698=0,O698=0),"Zero-vote",IF(AND(F698=O698,G698=P698),"OK",IF(AND(F698=0,O698&gt;0,COUNTIFS(Votes!$A:$A,J698,Votes!$B:$B,K698,Votes!$C:$C,D698)=0),"Forfeited","Mismatch")))))</f>
        <v>OK</v>
      </c>
      <c r="R698" s="6" t="n">
        <f aca="false">MAX(IF(L698&lt;&gt;"",COUNTIF($L:$L,L698),0),COUNTIFS($A:$A,A698,$B:$B,B698))</f>
        <v>1</v>
      </c>
      <c r="S698" s="6" t="str">
        <f aca="false">IF(R698&gt;1,COUNTIF($R$2:R698,"&gt;1"),"")</f>
        <v/>
      </c>
      <c r="T698" s="6" t="str">
        <f aca="false">IF(L698="","",J698&amp;"|"&amp;K698&amp;"|"&amp;L698)</f>
        <v>7|2|spotify:track:4WhyHQ2BXi2VU1iaFbF6jv</v>
      </c>
      <c r="U698" s="6" t="str">
        <f aca="false">IF(C698="","",IFERROR(INDEX(Lists!$F:$F,MATCH(C698,Lists!$E:$E,0)),"Unmapped"))</f>
        <v>Latin</v>
      </c>
    </row>
    <row r="699" customFormat="false" ht="15" hidden="false" customHeight="false" outlineLevel="0" collapsed="false">
      <c r="A699" s="5" t="s">
        <v>2089</v>
      </c>
      <c r="B699" s="5" t="s">
        <v>2090</v>
      </c>
      <c r="C699" s="5" t="s">
        <v>91</v>
      </c>
      <c r="D699" s="5" t="s">
        <v>705</v>
      </c>
      <c r="E699" s="5" t="s">
        <v>2056</v>
      </c>
      <c r="F699" s="5" t="n">
        <v>4</v>
      </c>
      <c r="G699" s="5" t="n">
        <v>4</v>
      </c>
      <c r="H699" s="6" t="str">
        <f aca="false">IF(N699="","",N699&amp;IF(AND(MOD(N699,100)&gt;=11,MOD(N699,100)&lt;=13),"th",CHOOSE(MIN(5,MOD(N699,10)+1),"th","st","nd","rd","th")))</f>
        <v>13th</v>
      </c>
      <c r="I699" s="5" t="s">
        <v>2015</v>
      </c>
      <c r="J699" s="6" t="n">
        <f aca="false">IFERROR(INDEX(Rounds!$A:$A,MATCH(I699,Rounds!$B:$B,0)),"ADD LEAGUE TO ROUNDS")</f>
        <v>7</v>
      </c>
      <c r="K699" s="6" t="n">
        <f aca="false">IFERROR(VALUE(LEFT(E699,FIND(" - ",E699)-1)),"")</f>
        <v>2</v>
      </c>
      <c r="L699" s="5" t="s">
        <v>2091</v>
      </c>
      <c r="N699" s="6" t="n">
        <f aca="false">IF(F699="","",1+COUNTIFS($J:$J,J699,$K:$K,K699,$F:$F,"&gt;"&amp;F699)+COUNTIFS($J:$J,J699,$K:$K,K699,$F:$F,F699,$G:$G,"&gt;"&amp;G699))</f>
        <v>13</v>
      </c>
      <c r="O699" s="6" t="n">
        <f aca="false">IF(L699="","",SUMIFS(Votes!$E:$E,Votes!$A:$A,J699,Votes!$B:$B,K699,Votes!$D:$D,L699))</f>
        <v>4</v>
      </c>
      <c r="P699" s="6" t="n">
        <f aca="false">IF(L699="","",COUNTIFS(Votes!$A:$A,J699,Votes!$B:$B,K699,Votes!$D:$D,L699))</f>
        <v>4</v>
      </c>
      <c r="Q699" s="7" t="str">
        <f aca="false">IF(F699="","Unscored",IF(O699="","No URI",IF(AND(F699=0,O699=0),"Zero-vote",IF(AND(F699=O699,G699=P699),"OK",IF(AND(F699=0,O699&gt;0,COUNTIFS(Votes!$A:$A,J699,Votes!$B:$B,K699,Votes!$C:$C,D699)=0),"Forfeited","Mismatch")))))</f>
        <v>OK</v>
      </c>
      <c r="R699" s="6" t="n">
        <f aca="false">MAX(IF(L699&lt;&gt;"",COUNTIF($L:$L,L699),0),COUNTIFS($A:$A,A699,$B:$B,B699))</f>
        <v>1</v>
      </c>
      <c r="S699" s="6" t="str">
        <f aca="false">IF(R699&gt;1,COUNTIF($R$2:R699,"&gt;1"),"")</f>
        <v/>
      </c>
      <c r="T699" s="6" t="str">
        <f aca="false">IF(L699="","",J699&amp;"|"&amp;K699&amp;"|"&amp;L699)</f>
        <v>7|2|spotify:track:75Cc2encvSkQ5OnDgAfJaV</v>
      </c>
      <c r="U699" s="6" t="str">
        <f aca="false">IF(C699="","",IFERROR(INDEX(Lists!$F:$F,MATCH(C699,Lists!$E:$E,0)),"Unmapped"))</f>
        <v>Rock</v>
      </c>
    </row>
    <row r="700" customFormat="false" ht="15" hidden="false" customHeight="false" outlineLevel="0" collapsed="false">
      <c r="A700" s="5" t="s">
        <v>2092</v>
      </c>
      <c r="B700" s="5" t="s">
        <v>2093</v>
      </c>
      <c r="C700" s="5" t="s">
        <v>293</v>
      </c>
      <c r="D700" s="5" t="s">
        <v>484</v>
      </c>
      <c r="E700" s="5" t="s">
        <v>2056</v>
      </c>
      <c r="F700" s="5" t="n">
        <v>0</v>
      </c>
      <c r="G700" s="5" t="n">
        <v>10</v>
      </c>
      <c r="H700" s="6" t="str">
        <f aca="false">IF(N700="","",N700&amp;IF(AND(MOD(N700,100)&gt;=11,MOD(N700,100)&lt;=13),"th",CHOOSE(MIN(5,MOD(N700,10)+1),"th","st","nd","rd","th")))</f>
        <v>14th</v>
      </c>
      <c r="I700" s="5" t="s">
        <v>2015</v>
      </c>
      <c r="J700" s="6" t="n">
        <f aca="false">IFERROR(INDEX(Rounds!$A:$A,MATCH(I700,Rounds!$B:$B,0)),"ADD LEAGUE TO ROUNDS")</f>
        <v>7</v>
      </c>
      <c r="K700" s="6" t="n">
        <f aca="false">IFERROR(VALUE(LEFT(E700,FIND(" - ",E700)-1)),"")</f>
        <v>2</v>
      </c>
      <c r="L700" s="5" t="s">
        <v>2094</v>
      </c>
      <c r="N700" s="6" t="n">
        <f aca="false">IF(F700="","",1+COUNTIFS($J:$J,J700,$K:$K,K700,$F:$F,"&gt;"&amp;F700)+COUNTIFS($J:$J,J700,$K:$K,K700,$F:$F,F700,$G:$G,"&gt;"&amp;G700))</f>
        <v>14</v>
      </c>
      <c r="O700" s="6" t="n">
        <f aca="false">IF(L700="","",SUMIFS(Votes!$E:$E,Votes!$A:$A,J700,Votes!$B:$B,K700,Votes!$D:$D,L700))</f>
        <v>12</v>
      </c>
      <c r="P700" s="6" t="n">
        <f aca="false">IF(L700="","",COUNTIFS(Votes!$A:$A,J700,Votes!$B:$B,K700,Votes!$D:$D,L700))</f>
        <v>10</v>
      </c>
      <c r="Q700" s="7" t="str">
        <f aca="false">IF(F700="","Unscored",IF(O700="","No URI",IF(AND(F700=0,O700=0),"Zero-vote",IF(AND(F700=O700,G700=P700),"OK",IF(AND(F700=0,O700&gt;0,COUNTIFS(Votes!$A:$A,J700,Votes!$B:$B,K700,Votes!$C:$C,D700)=0),"Forfeited","Mismatch")))))</f>
        <v>Forfeited</v>
      </c>
      <c r="R700" s="6" t="n">
        <f aca="false">MAX(IF(L700&lt;&gt;"",COUNTIF($L:$L,L700),0),COUNTIFS($A:$A,A700,$B:$B,B700))</f>
        <v>1</v>
      </c>
      <c r="S700" s="6" t="str">
        <f aca="false">IF(R700&gt;1,COUNTIF($R$2:R700,"&gt;1"),"")</f>
        <v/>
      </c>
      <c r="T700" s="6" t="str">
        <f aca="false">IF(L700="","",J700&amp;"|"&amp;K700&amp;"|"&amp;L700)</f>
        <v>7|2|spotify:track:6izQEQZGKd0d6ZjaFvKrRH</v>
      </c>
      <c r="U700" s="6" t="str">
        <f aca="false">IF(C700="","",IFERROR(INDEX(Lists!$F:$F,MATCH(C700,Lists!$E:$E,0)),"Unmapped"))</f>
        <v>Electronic/Dance</v>
      </c>
    </row>
    <row r="701" customFormat="false" ht="15" hidden="false" customHeight="false" outlineLevel="0" collapsed="false">
      <c r="A701" s="5" t="s">
        <v>2095</v>
      </c>
      <c r="B701" s="5" t="s">
        <v>2096</v>
      </c>
      <c r="C701" s="5" t="s">
        <v>84</v>
      </c>
      <c r="D701" s="5" t="s">
        <v>375</v>
      </c>
      <c r="E701" s="5" t="s">
        <v>2056</v>
      </c>
      <c r="F701" s="5" t="n">
        <v>0</v>
      </c>
      <c r="G701" s="5" t="n">
        <v>6</v>
      </c>
      <c r="H701" s="6" t="str">
        <f aca="false">IF(N701="","",N701&amp;IF(AND(MOD(N701,100)&gt;=11,MOD(N701,100)&lt;=13),"th",CHOOSE(MIN(5,MOD(N701,10)+1),"th","st","nd","rd","th")))</f>
        <v>15th</v>
      </c>
      <c r="I701" s="5" t="s">
        <v>2015</v>
      </c>
      <c r="J701" s="6" t="n">
        <f aca="false">IFERROR(INDEX(Rounds!$A:$A,MATCH(I701,Rounds!$B:$B,0)),"ADD LEAGUE TO ROUNDS")</f>
        <v>7</v>
      </c>
      <c r="K701" s="6" t="n">
        <f aca="false">IFERROR(VALUE(LEFT(E701,FIND(" - ",E701)-1)),"")</f>
        <v>2</v>
      </c>
      <c r="L701" s="5" t="s">
        <v>2097</v>
      </c>
      <c r="N701" s="6" t="n">
        <f aca="false">IF(F701="","",1+COUNTIFS($J:$J,J701,$K:$K,K701,$F:$F,"&gt;"&amp;F701)+COUNTIFS($J:$J,J701,$K:$K,K701,$F:$F,F701,$G:$G,"&gt;"&amp;G701))</f>
        <v>15</v>
      </c>
      <c r="O701" s="6" t="n">
        <f aca="false">IF(L701="","",SUMIFS(Votes!$E:$E,Votes!$A:$A,J701,Votes!$B:$B,K701,Votes!$D:$D,L701))</f>
        <v>7</v>
      </c>
      <c r="P701" s="6" t="n">
        <f aca="false">IF(L701="","",COUNTIFS(Votes!$A:$A,J701,Votes!$B:$B,K701,Votes!$D:$D,L701))</f>
        <v>6</v>
      </c>
      <c r="Q701" s="7" t="str">
        <f aca="false">IF(F701="","Unscored",IF(O701="","No URI",IF(AND(F701=0,O701=0),"Zero-vote",IF(AND(F701=O701,G701=P701),"OK",IF(AND(F701=0,O701&gt;0,COUNTIFS(Votes!$A:$A,J701,Votes!$B:$B,K701,Votes!$C:$C,D701)=0),"Forfeited","Mismatch")))))</f>
        <v>Forfeited</v>
      </c>
      <c r="R701" s="6" t="n">
        <f aca="false">MAX(IF(L701&lt;&gt;"",COUNTIF($L:$L,L701),0),COUNTIFS($A:$A,A701,$B:$B,B701))</f>
        <v>1</v>
      </c>
      <c r="S701" s="6" t="str">
        <f aca="false">IF(R701&gt;1,COUNTIF($R$2:R701,"&gt;1"),"")</f>
        <v/>
      </c>
      <c r="T701" s="6" t="str">
        <f aca="false">IF(L701="","",J701&amp;"|"&amp;K701&amp;"|"&amp;L701)</f>
        <v>7|2|spotify:track:31IKMjvv6Oskp4hjGVeYsT</v>
      </c>
      <c r="U701" s="6" t="str">
        <f aca="false">IF(C701="","",IFERROR(INDEX(Lists!$F:$F,MATCH(C701,Lists!$E:$E,0)),"Unmapped"))</f>
        <v>Pop</v>
      </c>
    </row>
    <row r="702" customFormat="false" ht="15" hidden="false" customHeight="false" outlineLevel="0" collapsed="false">
      <c r="A702" s="5" t="s">
        <v>2098</v>
      </c>
      <c r="B702" s="5" t="s">
        <v>223</v>
      </c>
      <c r="C702" s="5" t="s">
        <v>91</v>
      </c>
      <c r="D702" s="5" t="s">
        <v>2052</v>
      </c>
      <c r="E702" s="5" t="s">
        <v>2056</v>
      </c>
      <c r="F702" s="5" t="n">
        <v>0</v>
      </c>
      <c r="G702" s="5" t="n">
        <v>3</v>
      </c>
      <c r="H702" s="6" t="str">
        <f aca="false">IF(N702="","",N702&amp;IF(AND(MOD(N702,100)&gt;=11,MOD(N702,100)&lt;=13),"th",CHOOSE(MIN(5,MOD(N702,10)+1),"th","st","nd","rd","th")))</f>
        <v>16th</v>
      </c>
      <c r="I702" s="5" t="s">
        <v>2015</v>
      </c>
      <c r="J702" s="6" t="n">
        <f aca="false">IFERROR(INDEX(Rounds!$A:$A,MATCH(I702,Rounds!$B:$B,0)),"ADD LEAGUE TO ROUNDS")</f>
        <v>7</v>
      </c>
      <c r="K702" s="6" t="n">
        <f aca="false">IFERROR(VALUE(LEFT(E702,FIND(" - ",E702)-1)),"")</f>
        <v>2</v>
      </c>
      <c r="L702" s="5" t="s">
        <v>2099</v>
      </c>
      <c r="N702" s="6" t="n">
        <f aca="false">IF(F702="","",1+COUNTIFS($J:$J,J702,$K:$K,K702,$F:$F,"&gt;"&amp;F702)+COUNTIFS($J:$J,J702,$K:$K,K702,$F:$F,F702,$G:$G,"&gt;"&amp;G702))</f>
        <v>16</v>
      </c>
      <c r="O702" s="6" t="n">
        <f aca="false">IF(L702="","",SUMIFS(Votes!$E:$E,Votes!$A:$A,J702,Votes!$B:$B,K702,Votes!$D:$D,L702))</f>
        <v>3</v>
      </c>
      <c r="P702" s="6" t="n">
        <f aca="false">IF(L702="","",COUNTIFS(Votes!$A:$A,J702,Votes!$B:$B,K702,Votes!$D:$D,L702))</f>
        <v>3</v>
      </c>
      <c r="Q702" s="7" t="str">
        <f aca="false">IF(F702="","Unscored",IF(O702="","No URI",IF(AND(F702=0,O702=0),"Zero-vote",IF(AND(F702=O702,G702=P702),"OK",IF(AND(F702=0,O702&gt;0,COUNTIFS(Votes!$A:$A,J702,Votes!$B:$B,K702,Votes!$C:$C,D702)=0),"Forfeited","Mismatch")))))</f>
        <v>Forfeited</v>
      </c>
      <c r="R702" s="6" t="n">
        <f aca="false">MAX(IF(L702&lt;&gt;"",COUNTIF($L:$L,L702),0),COUNTIFS($A:$A,A702,$B:$B,B702))</f>
        <v>1</v>
      </c>
      <c r="S702" s="6" t="str">
        <f aca="false">IF(R702&gt;1,COUNTIF($R$2:R702,"&gt;1"),"")</f>
        <v/>
      </c>
      <c r="T702" s="6" t="str">
        <f aca="false">IF(L702="","",J702&amp;"|"&amp;K702&amp;"|"&amp;L702)</f>
        <v>7|2|spotify:track:7D0RhFcb3CrfPuTJ0obrod</v>
      </c>
      <c r="U702" s="6" t="str">
        <f aca="false">IF(C702="","",IFERROR(INDEX(Lists!$F:$F,MATCH(C702,Lists!$E:$E,0)),"Unmapped"))</f>
        <v>Rock</v>
      </c>
    </row>
    <row r="703" customFormat="false" ht="15" hidden="false" customHeight="false" outlineLevel="0" collapsed="false">
      <c r="A703" s="5" t="s">
        <v>2100</v>
      </c>
      <c r="B703" s="5" t="s">
        <v>2101</v>
      </c>
      <c r="C703" s="5" t="s">
        <v>84</v>
      </c>
      <c r="D703" s="5" t="s">
        <v>119</v>
      </c>
      <c r="E703" s="5" t="s">
        <v>2102</v>
      </c>
      <c r="F703" s="5" t="n">
        <v>15</v>
      </c>
      <c r="G703" s="5" t="n">
        <v>11</v>
      </c>
      <c r="H703" s="6" t="str">
        <f aca="false">IF(N703="","",N703&amp;IF(AND(MOD(N703,100)&gt;=11,MOD(N703,100)&lt;=13),"th",CHOOSE(MIN(5,MOD(N703,10)+1),"th","st","nd","rd","th")))</f>
        <v>1st</v>
      </c>
      <c r="I703" s="5" t="s">
        <v>2015</v>
      </c>
      <c r="J703" s="6" t="n">
        <f aca="false">IFERROR(INDEX(Rounds!$A:$A,MATCH(I703,Rounds!$B:$B,0)),"ADD LEAGUE TO ROUNDS")</f>
        <v>7</v>
      </c>
      <c r="K703" s="6" t="n">
        <f aca="false">IFERROR(VALUE(LEFT(E703,FIND(" - ",E703)-1)),"")</f>
        <v>3</v>
      </c>
      <c r="L703" s="5" t="s">
        <v>2103</v>
      </c>
      <c r="N703" s="6" t="n">
        <f aca="false">IF(F703="","",1+COUNTIFS($J:$J,J703,$K:$K,K703,$F:$F,"&gt;"&amp;F703)+COUNTIFS($J:$J,J703,$K:$K,K703,$F:$F,F703,$G:$G,"&gt;"&amp;G703))</f>
        <v>1</v>
      </c>
      <c r="O703" s="6" t="n">
        <f aca="false">IF(L703="","",SUMIFS(Votes!$E:$E,Votes!$A:$A,J703,Votes!$B:$B,K703,Votes!$D:$D,L703))</f>
        <v>15</v>
      </c>
      <c r="P703" s="6" t="n">
        <f aca="false">IF(L703="","",COUNTIFS(Votes!$A:$A,J703,Votes!$B:$B,K703,Votes!$D:$D,L703))</f>
        <v>11</v>
      </c>
      <c r="Q703" s="7" t="str">
        <f aca="false">IF(F703="","Unscored",IF(O703="","No URI",IF(AND(F703=0,O703=0),"Zero-vote",IF(AND(F703=O703,G703=P703),"OK",IF(AND(F703=0,O703&gt;0,COUNTIFS(Votes!$A:$A,J703,Votes!$B:$B,K703,Votes!$C:$C,D703)=0),"Forfeited","Mismatch")))))</f>
        <v>OK</v>
      </c>
      <c r="R703" s="6" t="n">
        <f aca="false">MAX(IF(L703&lt;&gt;"",COUNTIF($L:$L,L703),0),COUNTIFS($A:$A,A703,$B:$B,B703))</f>
        <v>1</v>
      </c>
      <c r="S703" s="6" t="str">
        <f aca="false">IF(R703&gt;1,COUNTIF($R$2:R703,"&gt;1"),"")</f>
        <v/>
      </c>
      <c r="T703" s="6" t="str">
        <f aca="false">IF(L703="","",J703&amp;"|"&amp;K703&amp;"|"&amp;L703)</f>
        <v>7|3|spotify:track:2WfaOiMkCvy7F5fcp2zZ8L</v>
      </c>
      <c r="U703" s="6" t="str">
        <f aca="false">IF(C703="","",IFERROR(INDEX(Lists!$F:$F,MATCH(C703,Lists!$E:$E,0)),"Unmapped"))</f>
        <v>Pop</v>
      </c>
    </row>
    <row r="704" customFormat="false" ht="15" hidden="false" customHeight="false" outlineLevel="0" collapsed="false">
      <c r="A704" s="5" t="s">
        <v>2104</v>
      </c>
      <c r="B704" s="5" t="s">
        <v>2105</v>
      </c>
      <c r="C704" s="5" t="s">
        <v>127</v>
      </c>
      <c r="D704" s="5" t="s">
        <v>128</v>
      </c>
      <c r="E704" s="5" t="s">
        <v>2102</v>
      </c>
      <c r="F704" s="5" t="n">
        <v>14</v>
      </c>
      <c r="G704" s="5" t="n">
        <v>12</v>
      </c>
      <c r="H704" s="6" t="str">
        <f aca="false">IF(N704="","",N704&amp;IF(AND(MOD(N704,100)&gt;=11,MOD(N704,100)&lt;=13),"th",CHOOSE(MIN(5,MOD(N704,10)+1),"th","st","nd","rd","th")))</f>
        <v>2nd</v>
      </c>
      <c r="I704" s="5" t="s">
        <v>2015</v>
      </c>
      <c r="J704" s="6" t="n">
        <f aca="false">IFERROR(INDEX(Rounds!$A:$A,MATCH(I704,Rounds!$B:$B,0)),"ADD LEAGUE TO ROUNDS")</f>
        <v>7</v>
      </c>
      <c r="K704" s="6" t="n">
        <f aca="false">IFERROR(VALUE(LEFT(E704,FIND(" - ",E704)-1)),"")</f>
        <v>3</v>
      </c>
      <c r="L704" s="5" t="s">
        <v>2106</v>
      </c>
      <c r="N704" s="6" t="n">
        <f aca="false">IF(F704="","",1+COUNTIFS($J:$J,J704,$K:$K,K704,$F:$F,"&gt;"&amp;F704)+COUNTIFS($J:$J,J704,$K:$K,K704,$F:$F,F704,$G:$G,"&gt;"&amp;G704))</f>
        <v>2</v>
      </c>
      <c r="O704" s="6" t="n">
        <f aca="false">IF(L704="","",SUMIFS(Votes!$E:$E,Votes!$A:$A,J704,Votes!$B:$B,K704,Votes!$D:$D,L704))</f>
        <v>14</v>
      </c>
      <c r="P704" s="6" t="n">
        <f aca="false">IF(L704="","",COUNTIFS(Votes!$A:$A,J704,Votes!$B:$B,K704,Votes!$D:$D,L704))</f>
        <v>12</v>
      </c>
      <c r="Q704" s="7" t="str">
        <f aca="false">IF(F704="","Unscored",IF(O704="","No URI",IF(AND(F704=0,O704=0),"Zero-vote",IF(AND(F704=O704,G704=P704),"OK",IF(AND(F704=0,O704&gt;0,COUNTIFS(Votes!$A:$A,J704,Votes!$B:$B,K704,Votes!$C:$C,D704)=0),"Forfeited","Mismatch")))))</f>
        <v>OK</v>
      </c>
      <c r="R704" s="6" t="n">
        <f aca="false">MAX(IF(L704&lt;&gt;"",COUNTIF($L:$L,L704),0),COUNTIFS($A:$A,A704,$B:$B,B704))</f>
        <v>1</v>
      </c>
      <c r="S704" s="6" t="str">
        <f aca="false">IF(R704&gt;1,COUNTIF($R$2:R704,"&gt;1"),"")</f>
        <v/>
      </c>
      <c r="T704" s="6" t="str">
        <f aca="false">IF(L704="","",J704&amp;"|"&amp;K704&amp;"|"&amp;L704)</f>
        <v>7|3|spotify:track:0NpvdCO506uO58D4AbKzki</v>
      </c>
      <c r="U704" s="6" t="str">
        <f aca="false">IF(C704="","",IFERROR(INDEX(Lists!$F:$F,MATCH(C704,Lists!$E:$E,0)),"Unmapped"))</f>
        <v>Jazz/Vocal</v>
      </c>
    </row>
    <row r="705" customFormat="false" ht="15" hidden="false" customHeight="false" outlineLevel="0" collapsed="false">
      <c r="A705" s="5" t="s">
        <v>2107</v>
      </c>
      <c r="B705" s="5" t="s">
        <v>2108</v>
      </c>
      <c r="C705" s="5" t="s">
        <v>84</v>
      </c>
      <c r="D705" s="5" t="s">
        <v>97</v>
      </c>
      <c r="E705" s="5" t="s">
        <v>2102</v>
      </c>
      <c r="F705" s="5" t="n">
        <v>14</v>
      </c>
      <c r="G705" s="5" t="n">
        <v>10</v>
      </c>
      <c r="H705" s="6" t="str">
        <f aca="false">IF(N705="","",N705&amp;IF(AND(MOD(N705,100)&gt;=11,MOD(N705,100)&lt;=13),"th",CHOOSE(MIN(5,MOD(N705,10)+1),"th","st","nd","rd","th")))</f>
        <v>3rd</v>
      </c>
      <c r="I705" s="5" t="s">
        <v>2015</v>
      </c>
      <c r="J705" s="6" t="n">
        <f aca="false">IFERROR(INDEX(Rounds!$A:$A,MATCH(I705,Rounds!$B:$B,0)),"ADD LEAGUE TO ROUNDS")</f>
        <v>7</v>
      </c>
      <c r="K705" s="6" t="n">
        <f aca="false">IFERROR(VALUE(LEFT(E705,FIND(" - ",E705)-1)),"")</f>
        <v>3</v>
      </c>
      <c r="L705" s="5" t="s">
        <v>2109</v>
      </c>
      <c r="N705" s="6" t="n">
        <f aca="false">IF(F705="","",1+COUNTIFS($J:$J,J705,$K:$K,K705,$F:$F,"&gt;"&amp;F705)+COUNTIFS($J:$J,J705,$K:$K,K705,$F:$F,F705,$G:$G,"&gt;"&amp;G705))</f>
        <v>3</v>
      </c>
      <c r="O705" s="6" t="n">
        <f aca="false">IF(L705="","",SUMIFS(Votes!$E:$E,Votes!$A:$A,J705,Votes!$B:$B,K705,Votes!$D:$D,L705))</f>
        <v>14</v>
      </c>
      <c r="P705" s="6" t="n">
        <f aca="false">IF(L705="","",COUNTIFS(Votes!$A:$A,J705,Votes!$B:$B,K705,Votes!$D:$D,L705))</f>
        <v>10</v>
      </c>
      <c r="Q705" s="7" t="str">
        <f aca="false">IF(F705="","Unscored",IF(O705="","No URI",IF(AND(F705=0,O705=0),"Zero-vote",IF(AND(F705=O705,G705=P705),"OK",IF(AND(F705=0,O705&gt;0,COUNTIFS(Votes!$A:$A,J705,Votes!$B:$B,K705,Votes!$C:$C,D705)=0),"Forfeited","Mismatch")))))</f>
        <v>OK</v>
      </c>
      <c r="R705" s="6" t="n">
        <f aca="false">MAX(IF(L705&lt;&gt;"",COUNTIF($L:$L,L705),0),COUNTIFS($A:$A,A705,$B:$B,B705))</f>
        <v>1</v>
      </c>
      <c r="S705" s="6" t="str">
        <f aca="false">IF(R705&gt;1,COUNTIF($R$2:R705,"&gt;1"),"")</f>
        <v/>
      </c>
      <c r="T705" s="6" t="str">
        <f aca="false">IF(L705="","",J705&amp;"|"&amp;K705&amp;"|"&amp;L705)</f>
        <v>7|3|spotify:track:7aSvPfoqiM0zwPqupLGaHd</v>
      </c>
      <c r="U705" s="6" t="str">
        <f aca="false">IF(C705="","",IFERROR(INDEX(Lists!$F:$F,MATCH(C705,Lists!$E:$E,0)),"Unmapped"))</f>
        <v>Pop</v>
      </c>
    </row>
    <row r="706" customFormat="false" ht="15" hidden="false" customHeight="false" outlineLevel="0" collapsed="false">
      <c r="A706" s="5" t="s">
        <v>2110</v>
      </c>
      <c r="B706" s="5" t="s">
        <v>2111</v>
      </c>
      <c r="C706" s="5" t="s">
        <v>91</v>
      </c>
      <c r="D706" s="5" t="s">
        <v>382</v>
      </c>
      <c r="E706" s="5" t="s">
        <v>2102</v>
      </c>
      <c r="F706" s="5" t="n">
        <v>14</v>
      </c>
      <c r="G706" s="5" t="n">
        <v>9</v>
      </c>
      <c r="H706" s="6" t="str">
        <f aca="false">IF(N706="","",N706&amp;IF(AND(MOD(N706,100)&gt;=11,MOD(N706,100)&lt;=13),"th",CHOOSE(MIN(5,MOD(N706,10)+1),"th","st","nd","rd","th")))</f>
        <v>4th</v>
      </c>
      <c r="I706" s="5" t="s">
        <v>2015</v>
      </c>
      <c r="J706" s="6" t="n">
        <f aca="false">IFERROR(INDEX(Rounds!$A:$A,MATCH(I706,Rounds!$B:$B,0)),"ADD LEAGUE TO ROUNDS")</f>
        <v>7</v>
      </c>
      <c r="K706" s="6" t="n">
        <f aca="false">IFERROR(VALUE(LEFT(E706,FIND(" - ",E706)-1)),"")</f>
        <v>3</v>
      </c>
      <c r="L706" s="5" t="s">
        <v>2112</v>
      </c>
      <c r="N706" s="6" t="n">
        <f aca="false">IF(F706="","",1+COUNTIFS($J:$J,J706,$K:$K,K706,$F:$F,"&gt;"&amp;F706)+COUNTIFS($J:$J,J706,$K:$K,K706,$F:$F,F706,$G:$G,"&gt;"&amp;G706))</f>
        <v>4</v>
      </c>
      <c r="O706" s="6" t="n">
        <f aca="false">IF(L706="","",SUMIFS(Votes!$E:$E,Votes!$A:$A,J706,Votes!$B:$B,K706,Votes!$D:$D,L706))</f>
        <v>14</v>
      </c>
      <c r="P706" s="6" t="n">
        <f aca="false">IF(L706="","",COUNTIFS(Votes!$A:$A,J706,Votes!$B:$B,K706,Votes!$D:$D,L706))</f>
        <v>9</v>
      </c>
      <c r="Q706" s="7" t="str">
        <f aca="false">IF(F706="","Unscored",IF(O706="","No URI",IF(AND(F706=0,O706=0),"Zero-vote",IF(AND(F706=O706,G706=P706),"OK",IF(AND(F706=0,O706&gt;0,COUNTIFS(Votes!$A:$A,J706,Votes!$B:$B,K706,Votes!$C:$C,D706)=0),"Forfeited","Mismatch")))))</f>
        <v>OK</v>
      </c>
      <c r="R706" s="6" t="n">
        <f aca="false">MAX(IF(L706&lt;&gt;"",COUNTIF($L:$L,L706),0),COUNTIFS($A:$A,A706,$B:$B,B706))</f>
        <v>1</v>
      </c>
      <c r="S706" s="6" t="str">
        <f aca="false">IF(R706&gt;1,COUNTIF($R$2:R706,"&gt;1"),"")</f>
        <v/>
      </c>
      <c r="T706" s="6" t="str">
        <f aca="false">IF(L706="","",J706&amp;"|"&amp;K706&amp;"|"&amp;L706)</f>
        <v>7|3|spotify:track:13pyGLYmBjYgvOMIEivX2K</v>
      </c>
      <c r="U706" s="6" t="str">
        <f aca="false">IF(C706="","",IFERROR(INDEX(Lists!$F:$F,MATCH(C706,Lists!$E:$E,0)),"Unmapped"))</f>
        <v>Rock</v>
      </c>
    </row>
    <row r="707" customFormat="false" ht="15" hidden="false" customHeight="false" outlineLevel="0" collapsed="false">
      <c r="A707" s="5" t="s">
        <v>2113</v>
      </c>
      <c r="B707" s="5" t="s">
        <v>1431</v>
      </c>
      <c r="C707" s="5" t="s">
        <v>96</v>
      </c>
      <c r="D707" s="5" t="s">
        <v>106</v>
      </c>
      <c r="E707" s="5" t="s">
        <v>2102</v>
      </c>
      <c r="F707" s="5" t="n">
        <v>13</v>
      </c>
      <c r="G707" s="5" t="n">
        <v>12</v>
      </c>
      <c r="H707" s="6" t="str">
        <f aca="false">IF(N707="","",N707&amp;IF(AND(MOD(N707,100)&gt;=11,MOD(N707,100)&lt;=13),"th",CHOOSE(MIN(5,MOD(N707,10)+1),"th","st","nd","rd","th")))</f>
        <v>5th</v>
      </c>
      <c r="I707" s="5" t="s">
        <v>2015</v>
      </c>
      <c r="J707" s="6" t="n">
        <f aca="false">IFERROR(INDEX(Rounds!$A:$A,MATCH(I707,Rounds!$B:$B,0)),"ADD LEAGUE TO ROUNDS")</f>
        <v>7</v>
      </c>
      <c r="K707" s="6" t="n">
        <f aca="false">IFERROR(VALUE(LEFT(E707,FIND(" - ",E707)-1)),"")</f>
        <v>3</v>
      </c>
      <c r="L707" s="5" t="s">
        <v>2114</v>
      </c>
      <c r="N707" s="6" t="n">
        <f aca="false">IF(F707="","",1+COUNTIFS($J:$J,J707,$K:$K,K707,$F:$F,"&gt;"&amp;F707)+COUNTIFS($J:$J,J707,$K:$K,K707,$F:$F,F707,$G:$G,"&gt;"&amp;G707))</f>
        <v>5</v>
      </c>
      <c r="O707" s="6" t="n">
        <f aca="false">IF(L707="","",SUMIFS(Votes!$E:$E,Votes!$A:$A,J707,Votes!$B:$B,K707,Votes!$D:$D,L707))</f>
        <v>13</v>
      </c>
      <c r="P707" s="6" t="n">
        <f aca="false">IF(L707="","",COUNTIFS(Votes!$A:$A,J707,Votes!$B:$B,K707,Votes!$D:$D,L707))</f>
        <v>12</v>
      </c>
      <c r="Q707" s="7" t="str">
        <f aca="false">IF(F707="","Unscored",IF(O707="","No URI",IF(AND(F707=0,O707=0),"Zero-vote",IF(AND(F707=O707,G707=P707),"OK",IF(AND(F707=0,O707&gt;0,COUNTIFS(Votes!$A:$A,J707,Votes!$B:$B,K707,Votes!$C:$C,D707)=0),"Forfeited","Mismatch")))))</f>
        <v>OK</v>
      </c>
      <c r="R707" s="6" t="n">
        <f aca="false">MAX(IF(L707&lt;&gt;"",COUNTIF($L:$L,L707),0),COUNTIFS($A:$A,A707,$B:$B,B707))</f>
        <v>1</v>
      </c>
      <c r="S707" s="6" t="str">
        <f aca="false">IF(R707&gt;1,COUNTIF($R$2:R707,"&gt;1"),"")</f>
        <v/>
      </c>
      <c r="T707" s="6" t="str">
        <f aca="false">IF(L707="","",J707&amp;"|"&amp;K707&amp;"|"&amp;L707)</f>
        <v>7|3|spotify:track:5uBOaCN5vDdk9JqsefjQSh</v>
      </c>
      <c r="U707" s="6" t="str">
        <f aca="false">IF(C707="","",IFERROR(INDEX(Lists!$F:$F,MATCH(C707,Lists!$E:$E,0)),"Unmapped"))</f>
        <v>R&amp;B/Soul</v>
      </c>
    </row>
    <row r="708" customFormat="false" ht="15" hidden="false" customHeight="false" outlineLevel="0" collapsed="false">
      <c r="A708" s="5" t="s">
        <v>2115</v>
      </c>
      <c r="B708" s="5" t="s">
        <v>2116</v>
      </c>
      <c r="C708" s="5" t="s">
        <v>84</v>
      </c>
      <c r="D708" s="5" t="s">
        <v>2019</v>
      </c>
      <c r="E708" s="5" t="s">
        <v>2102</v>
      </c>
      <c r="F708" s="5" t="n">
        <v>13</v>
      </c>
      <c r="G708" s="5" t="n">
        <v>10</v>
      </c>
      <c r="H708" s="6" t="str">
        <f aca="false">IF(N708="","",N708&amp;IF(AND(MOD(N708,100)&gt;=11,MOD(N708,100)&lt;=13),"th",CHOOSE(MIN(5,MOD(N708,10)+1),"th","st","nd","rd","th")))</f>
        <v>6th</v>
      </c>
      <c r="I708" s="5" t="s">
        <v>2015</v>
      </c>
      <c r="J708" s="6" t="n">
        <f aca="false">IFERROR(INDEX(Rounds!$A:$A,MATCH(I708,Rounds!$B:$B,0)),"ADD LEAGUE TO ROUNDS")</f>
        <v>7</v>
      </c>
      <c r="K708" s="6" t="n">
        <f aca="false">IFERROR(VALUE(LEFT(E708,FIND(" - ",E708)-1)),"")</f>
        <v>3</v>
      </c>
      <c r="L708" s="5" t="s">
        <v>2117</v>
      </c>
      <c r="N708" s="6" t="n">
        <f aca="false">IF(F708="","",1+COUNTIFS($J:$J,J708,$K:$K,K708,$F:$F,"&gt;"&amp;F708)+COUNTIFS($J:$J,J708,$K:$K,K708,$F:$F,F708,$G:$G,"&gt;"&amp;G708))</f>
        <v>6</v>
      </c>
      <c r="O708" s="6" t="n">
        <f aca="false">IF(L708="","",SUMIFS(Votes!$E:$E,Votes!$A:$A,J708,Votes!$B:$B,K708,Votes!$D:$D,L708))</f>
        <v>13</v>
      </c>
      <c r="P708" s="6" t="n">
        <f aca="false">IF(L708="","",COUNTIFS(Votes!$A:$A,J708,Votes!$B:$B,K708,Votes!$D:$D,L708))</f>
        <v>10</v>
      </c>
      <c r="Q708" s="7" t="str">
        <f aca="false">IF(F708="","Unscored",IF(O708="","No URI",IF(AND(F708=0,O708=0),"Zero-vote",IF(AND(F708=O708,G708=P708),"OK",IF(AND(F708=0,O708&gt;0,COUNTIFS(Votes!$A:$A,J708,Votes!$B:$B,K708,Votes!$C:$C,D708)=0),"Forfeited","Mismatch")))))</f>
        <v>OK</v>
      </c>
      <c r="R708" s="6" t="n">
        <f aca="false">MAX(IF(L708&lt;&gt;"",COUNTIF($L:$L,L708),0),COUNTIFS($A:$A,A708,$B:$B,B708))</f>
        <v>1</v>
      </c>
      <c r="S708" s="6" t="str">
        <f aca="false">IF(R708&gt;1,COUNTIF($R$2:R708,"&gt;1"),"")</f>
        <v/>
      </c>
      <c r="T708" s="6" t="str">
        <f aca="false">IF(L708="","",J708&amp;"|"&amp;K708&amp;"|"&amp;L708)</f>
        <v>7|3|spotify:track:5hlPrSCx9BvnQ3rCTkblMZ</v>
      </c>
      <c r="U708" s="6" t="str">
        <f aca="false">IF(C708="","",IFERROR(INDEX(Lists!$F:$F,MATCH(C708,Lists!$E:$E,0)),"Unmapped"))</f>
        <v>Pop</v>
      </c>
    </row>
    <row r="709" customFormat="false" ht="15" hidden="false" customHeight="false" outlineLevel="0" collapsed="false">
      <c r="A709" s="5" t="s">
        <v>2118</v>
      </c>
      <c r="B709" s="5" t="s">
        <v>2119</v>
      </c>
      <c r="C709" s="5" t="s">
        <v>91</v>
      </c>
      <c r="D709" s="5" t="s">
        <v>1843</v>
      </c>
      <c r="E709" s="5" t="s">
        <v>2102</v>
      </c>
      <c r="F709" s="5" t="n">
        <v>11</v>
      </c>
      <c r="G709" s="5" t="n">
        <v>10</v>
      </c>
      <c r="H709" s="6" t="str">
        <f aca="false">IF(N709="","",N709&amp;IF(AND(MOD(N709,100)&gt;=11,MOD(N709,100)&lt;=13),"th",CHOOSE(MIN(5,MOD(N709,10)+1),"th","st","nd","rd","th")))</f>
        <v>7th</v>
      </c>
      <c r="I709" s="5" t="s">
        <v>2015</v>
      </c>
      <c r="J709" s="6" t="n">
        <f aca="false">IFERROR(INDEX(Rounds!$A:$A,MATCH(I709,Rounds!$B:$B,0)),"ADD LEAGUE TO ROUNDS")</f>
        <v>7</v>
      </c>
      <c r="K709" s="6" t="n">
        <f aca="false">IFERROR(VALUE(LEFT(E709,FIND(" - ",E709)-1)),"")</f>
        <v>3</v>
      </c>
      <c r="L709" s="5" t="s">
        <v>2120</v>
      </c>
      <c r="N709" s="6" t="n">
        <f aca="false">IF(F709="","",1+COUNTIFS($J:$J,J709,$K:$K,K709,$F:$F,"&gt;"&amp;F709)+COUNTIFS($J:$J,J709,$K:$K,K709,$F:$F,F709,$G:$G,"&gt;"&amp;G709))</f>
        <v>7</v>
      </c>
      <c r="O709" s="6" t="n">
        <f aca="false">IF(L709="","",SUMIFS(Votes!$E:$E,Votes!$A:$A,J709,Votes!$B:$B,K709,Votes!$D:$D,L709))</f>
        <v>11</v>
      </c>
      <c r="P709" s="6" t="n">
        <f aca="false">IF(L709="","",COUNTIFS(Votes!$A:$A,J709,Votes!$B:$B,K709,Votes!$D:$D,L709))</f>
        <v>10</v>
      </c>
      <c r="Q709" s="7" t="str">
        <f aca="false">IF(F709="","Unscored",IF(O709="","No URI",IF(AND(F709=0,O709=0),"Zero-vote",IF(AND(F709=O709,G709=P709),"OK",IF(AND(F709=0,O709&gt;0,COUNTIFS(Votes!$A:$A,J709,Votes!$B:$B,K709,Votes!$C:$C,D709)=0),"Forfeited","Mismatch")))))</f>
        <v>OK</v>
      </c>
      <c r="R709" s="6" t="n">
        <f aca="false">MAX(IF(L709&lt;&gt;"",COUNTIF($L:$L,L709),0),COUNTIFS($A:$A,A709,$B:$B,B709))</f>
        <v>1</v>
      </c>
      <c r="S709" s="6" t="str">
        <f aca="false">IF(R709&gt;1,COUNTIF($R$2:R709,"&gt;1"),"")</f>
        <v/>
      </c>
      <c r="T709" s="6" t="str">
        <f aca="false">IF(L709="","",J709&amp;"|"&amp;K709&amp;"|"&amp;L709)</f>
        <v>7|3|spotify:track:25FTMokYEbEWHEdss5JLZS</v>
      </c>
      <c r="U709" s="6" t="str">
        <f aca="false">IF(C709="","",IFERROR(INDEX(Lists!$F:$F,MATCH(C709,Lists!$E:$E,0)),"Unmapped"))</f>
        <v>Rock</v>
      </c>
    </row>
    <row r="710" customFormat="false" ht="15" hidden="false" customHeight="false" outlineLevel="0" collapsed="false">
      <c r="A710" s="5" t="s">
        <v>2121</v>
      </c>
      <c r="B710" s="5" t="s">
        <v>2122</v>
      </c>
      <c r="C710" s="5" t="s">
        <v>84</v>
      </c>
      <c r="D710" s="5" t="s">
        <v>85</v>
      </c>
      <c r="E710" s="5" t="s">
        <v>2102</v>
      </c>
      <c r="F710" s="5" t="n">
        <v>11</v>
      </c>
      <c r="G710" s="5" t="n">
        <v>10</v>
      </c>
      <c r="H710" s="6" t="str">
        <f aca="false">IF(N710="","",N710&amp;IF(AND(MOD(N710,100)&gt;=11,MOD(N710,100)&lt;=13),"th",CHOOSE(MIN(5,MOD(N710,10)+1),"th","st","nd","rd","th")))</f>
        <v>7th</v>
      </c>
      <c r="I710" s="5" t="s">
        <v>2015</v>
      </c>
      <c r="J710" s="6" t="n">
        <f aca="false">IFERROR(INDEX(Rounds!$A:$A,MATCH(I710,Rounds!$B:$B,0)),"ADD LEAGUE TO ROUNDS")</f>
        <v>7</v>
      </c>
      <c r="K710" s="6" t="n">
        <f aca="false">IFERROR(VALUE(LEFT(E710,FIND(" - ",E710)-1)),"")</f>
        <v>3</v>
      </c>
      <c r="L710" s="5" t="s">
        <v>2123</v>
      </c>
      <c r="N710" s="6" t="n">
        <f aca="false">IF(F710="","",1+COUNTIFS($J:$J,J710,$K:$K,K710,$F:$F,"&gt;"&amp;F710)+COUNTIFS($J:$J,J710,$K:$K,K710,$F:$F,F710,$G:$G,"&gt;"&amp;G710))</f>
        <v>7</v>
      </c>
      <c r="O710" s="6" t="n">
        <f aca="false">IF(L710="","",SUMIFS(Votes!$E:$E,Votes!$A:$A,J710,Votes!$B:$B,K710,Votes!$D:$D,L710))</f>
        <v>11</v>
      </c>
      <c r="P710" s="6" t="n">
        <f aca="false">IF(L710="","",COUNTIFS(Votes!$A:$A,J710,Votes!$B:$B,K710,Votes!$D:$D,L710))</f>
        <v>10</v>
      </c>
      <c r="Q710" s="7" t="str">
        <f aca="false">IF(F710="","Unscored",IF(O710="","No URI",IF(AND(F710=0,O710=0),"Zero-vote",IF(AND(F710=O710,G710=P710),"OK",IF(AND(F710=0,O710&gt;0,COUNTIFS(Votes!$A:$A,J710,Votes!$B:$B,K710,Votes!$C:$C,D710)=0),"Forfeited","Mismatch")))))</f>
        <v>OK</v>
      </c>
      <c r="R710" s="6" t="n">
        <f aca="false">MAX(IF(L710&lt;&gt;"",COUNTIF($L:$L,L710),0),COUNTIFS($A:$A,A710,$B:$B,B710))</f>
        <v>1</v>
      </c>
      <c r="S710" s="6" t="str">
        <f aca="false">IF(R710&gt;1,COUNTIF($R$2:R710,"&gt;1"),"")</f>
        <v/>
      </c>
      <c r="T710" s="6" t="str">
        <f aca="false">IF(L710="","",J710&amp;"|"&amp;K710&amp;"|"&amp;L710)</f>
        <v>7|3|spotify:track:7oGZAicScQt96OAW4AruYy</v>
      </c>
      <c r="U710" s="6" t="str">
        <f aca="false">IF(C710="","",IFERROR(INDEX(Lists!$F:$F,MATCH(C710,Lists!$E:$E,0)),"Unmapped"))</f>
        <v>Pop</v>
      </c>
    </row>
    <row r="711" customFormat="false" ht="15" hidden="false" customHeight="false" outlineLevel="0" collapsed="false">
      <c r="A711" s="5" t="s">
        <v>2124</v>
      </c>
      <c r="B711" s="5" t="s">
        <v>2125</v>
      </c>
      <c r="C711" s="5" t="s">
        <v>91</v>
      </c>
      <c r="D711" s="5" t="s">
        <v>705</v>
      </c>
      <c r="E711" s="5" t="s">
        <v>2102</v>
      </c>
      <c r="F711" s="5" t="n">
        <v>10</v>
      </c>
      <c r="G711" s="5" t="n">
        <v>9</v>
      </c>
      <c r="H711" s="6" t="str">
        <f aca="false">IF(N711="","",N711&amp;IF(AND(MOD(N711,100)&gt;=11,MOD(N711,100)&lt;=13),"th",CHOOSE(MIN(5,MOD(N711,10)+1),"th","st","nd","rd","th")))</f>
        <v>9th</v>
      </c>
      <c r="I711" s="5" t="s">
        <v>2015</v>
      </c>
      <c r="J711" s="6" t="n">
        <f aca="false">IFERROR(INDEX(Rounds!$A:$A,MATCH(I711,Rounds!$B:$B,0)),"ADD LEAGUE TO ROUNDS")</f>
        <v>7</v>
      </c>
      <c r="K711" s="6" t="n">
        <f aca="false">IFERROR(VALUE(LEFT(E711,FIND(" - ",E711)-1)),"")</f>
        <v>3</v>
      </c>
      <c r="L711" s="5" t="s">
        <v>2126</v>
      </c>
      <c r="N711" s="6" t="n">
        <f aca="false">IF(F711="","",1+COUNTIFS($J:$J,J711,$K:$K,K711,$F:$F,"&gt;"&amp;F711)+COUNTIFS($J:$J,J711,$K:$K,K711,$F:$F,F711,$G:$G,"&gt;"&amp;G711))</f>
        <v>9</v>
      </c>
      <c r="O711" s="6" t="n">
        <f aca="false">IF(L711="","",SUMIFS(Votes!$E:$E,Votes!$A:$A,J711,Votes!$B:$B,K711,Votes!$D:$D,L711))</f>
        <v>10</v>
      </c>
      <c r="P711" s="6" t="n">
        <f aca="false">IF(L711="","",COUNTIFS(Votes!$A:$A,J711,Votes!$B:$B,K711,Votes!$D:$D,L711))</f>
        <v>9</v>
      </c>
      <c r="Q711" s="7" t="str">
        <f aca="false">IF(F711="","Unscored",IF(O711="","No URI",IF(AND(F711=0,O711=0),"Zero-vote",IF(AND(F711=O711,G711=P711),"OK",IF(AND(F711=0,O711&gt;0,COUNTIFS(Votes!$A:$A,J711,Votes!$B:$B,K711,Votes!$C:$C,D711)=0),"Forfeited","Mismatch")))))</f>
        <v>OK</v>
      </c>
      <c r="R711" s="6" t="n">
        <f aca="false">MAX(IF(L711&lt;&gt;"",COUNTIF($L:$L,L711),0),COUNTIFS($A:$A,A711,$B:$B,B711))</f>
        <v>1</v>
      </c>
      <c r="S711" s="6" t="str">
        <f aca="false">IF(R711&gt;1,COUNTIF($R$2:R711,"&gt;1"),"")</f>
        <v/>
      </c>
      <c r="T711" s="6" t="str">
        <f aca="false">IF(L711="","",J711&amp;"|"&amp;K711&amp;"|"&amp;L711)</f>
        <v>7|3|spotify:track:5dRQUolXAVX3BbCiIxmSsf</v>
      </c>
      <c r="U711" s="6" t="str">
        <f aca="false">IF(C711="","",IFERROR(INDEX(Lists!$F:$F,MATCH(C711,Lists!$E:$E,0)),"Unmapped"))</f>
        <v>Rock</v>
      </c>
    </row>
    <row r="712" customFormat="false" ht="15" hidden="false" customHeight="false" outlineLevel="0" collapsed="false">
      <c r="A712" s="5" t="s">
        <v>2127</v>
      </c>
      <c r="B712" s="5" t="s">
        <v>2128</v>
      </c>
      <c r="C712" s="5" t="s">
        <v>91</v>
      </c>
      <c r="D712" s="5" t="s">
        <v>116</v>
      </c>
      <c r="E712" s="5" t="s">
        <v>2102</v>
      </c>
      <c r="F712" s="5" t="n">
        <v>9</v>
      </c>
      <c r="G712" s="5" t="n">
        <v>8</v>
      </c>
      <c r="H712" s="6" t="str">
        <f aca="false">IF(N712="","",N712&amp;IF(AND(MOD(N712,100)&gt;=11,MOD(N712,100)&lt;=13),"th",CHOOSE(MIN(5,MOD(N712,10)+1),"th","st","nd","rd","th")))</f>
        <v>10th</v>
      </c>
      <c r="I712" s="5" t="s">
        <v>2015</v>
      </c>
      <c r="J712" s="6" t="n">
        <f aca="false">IFERROR(INDEX(Rounds!$A:$A,MATCH(I712,Rounds!$B:$B,0)),"ADD LEAGUE TO ROUNDS")</f>
        <v>7</v>
      </c>
      <c r="K712" s="6" t="n">
        <f aca="false">IFERROR(VALUE(LEFT(E712,FIND(" - ",E712)-1)),"")</f>
        <v>3</v>
      </c>
      <c r="L712" s="5" t="s">
        <v>2129</v>
      </c>
      <c r="N712" s="6" t="n">
        <f aca="false">IF(F712="","",1+COUNTIFS($J:$J,J712,$K:$K,K712,$F:$F,"&gt;"&amp;F712)+COUNTIFS($J:$J,J712,$K:$K,K712,$F:$F,F712,$G:$G,"&gt;"&amp;G712))</f>
        <v>10</v>
      </c>
      <c r="O712" s="6" t="n">
        <f aca="false">IF(L712="","",SUMIFS(Votes!$E:$E,Votes!$A:$A,J712,Votes!$B:$B,K712,Votes!$D:$D,L712))</f>
        <v>9</v>
      </c>
      <c r="P712" s="6" t="n">
        <f aca="false">IF(L712="","",COUNTIFS(Votes!$A:$A,J712,Votes!$B:$B,K712,Votes!$D:$D,L712))</f>
        <v>8</v>
      </c>
      <c r="Q712" s="7" t="str">
        <f aca="false">IF(F712="","Unscored",IF(O712="","No URI",IF(AND(F712=0,O712=0),"Zero-vote",IF(AND(F712=O712,G712=P712),"OK",IF(AND(F712=0,O712&gt;0,COUNTIFS(Votes!$A:$A,J712,Votes!$B:$B,K712,Votes!$C:$C,D712)=0),"Forfeited","Mismatch")))))</f>
        <v>OK</v>
      </c>
      <c r="R712" s="6" t="n">
        <f aca="false">MAX(IF(L712&lt;&gt;"",COUNTIF($L:$L,L712),0),COUNTIFS($A:$A,A712,$B:$B,B712))</f>
        <v>1</v>
      </c>
      <c r="S712" s="6" t="str">
        <f aca="false">IF(R712&gt;1,COUNTIF($R$2:R712,"&gt;1"),"")</f>
        <v/>
      </c>
      <c r="T712" s="6" t="str">
        <f aca="false">IF(L712="","",J712&amp;"|"&amp;K712&amp;"|"&amp;L712)</f>
        <v>7|3|spotify:track:3qT4bUD1MaWpGrTwcvguhb</v>
      </c>
      <c r="U712" s="6" t="str">
        <f aca="false">IF(C712="","",IFERROR(INDEX(Lists!$F:$F,MATCH(C712,Lists!$E:$E,0)),"Unmapped"))</f>
        <v>Rock</v>
      </c>
    </row>
    <row r="713" customFormat="false" ht="15" hidden="false" customHeight="false" outlineLevel="0" collapsed="false">
      <c r="A713" s="5" t="s">
        <v>2130</v>
      </c>
      <c r="B713" s="5" t="s">
        <v>95</v>
      </c>
      <c r="C713" s="5" t="s">
        <v>96</v>
      </c>
      <c r="D713" s="5" t="s">
        <v>2052</v>
      </c>
      <c r="E713" s="5" t="s">
        <v>2102</v>
      </c>
      <c r="F713" s="5" t="n">
        <v>9</v>
      </c>
      <c r="G713" s="5" t="n">
        <v>7</v>
      </c>
      <c r="H713" s="6" t="str">
        <f aca="false">IF(N713="","",N713&amp;IF(AND(MOD(N713,100)&gt;=11,MOD(N713,100)&lt;=13),"th",CHOOSE(MIN(5,MOD(N713,10)+1),"th","st","nd","rd","th")))</f>
        <v>11th</v>
      </c>
      <c r="I713" s="5" t="s">
        <v>2015</v>
      </c>
      <c r="J713" s="6" t="n">
        <f aca="false">IFERROR(INDEX(Rounds!$A:$A,MATCH(I713,Rounds!$B:$B,0)),"ADD LEAGUE TO ROUNDS")</f>
        <v>7</v>
      </c>
      <c r="K713" s="6" t="n">
        <f aca="false">IFERROR(VALUE(LEFT(E713,FIND(" - ",E713)-1)),"")</f>
        <v>3</v>
      </c>
      <c r="L713" s="5" t="s">
        <v>2131</v>
      </c>
      <c r="N713" s="6" t="n">
        <f aca="false">IF(F713="","",1+COUNTIFS($J:$J,J713,$K:$K,K713,$F:$F,"&gt;"&amp;F713)+COUNTIFS($J:$J,J713,$K:$K,K713,$F:$F,F713,$G:$G,"&gt;"&amp;G713))</f>
        <v>11</v>
      </c>
      <c r="O713" s="6" t="n">
        <f aca="false">IF(L713="","",SUMIFS(Votes!$E:$E,Votes!$A:$A,J713,Votes!$B:$B,K713,Votes!$D:$D,L713))</f>
        <v>9</v>
      </c>
      <c r="P713" s="6" t="n">
        <f aca="false">IF(L713="","",COUNTIFS(Votes!$A:$A,J713,Votes!$B:$B,K713,Votes!$D:$D,L713))</f>
        <v>7</v>
      </c>
      <c r="Q713" s="7" t="str">
        <f aca="false">IF(F713="","Unscored",IF(O713="","No URI",IF(AND(F713=0,O713=0),"Zero-vote",IF(AND(F713=O713,G713=P713),"OK",IF(AND(F713=0,O713&gt;0,COUNTIFS(Votes!$A:$A,J713,Votes!$B:$B,K713,Votes!$C:$C,D713)=0),"Forfeited","Mismatch")))))</f>
        <v>OK</v>
      </c>
      <c r="R713" s="6" t="n">
        <f aca="false">MAX(IF(L713&lt;&gt;"",COUNTIF($L:$L,L713),0),COUNTIFS($A:$A,A713,$B:$B,B713))</f>
        <v>1</v>
      </c>
      <c r="S713" s="6" t="str">
        <f aca="false">IF(R713&gt;1,COUNTIF($R$2:R713,"&gt;1"),"")</f>
        <v/>
      </c>
      <c r="T713" s="6" t="str">
        <f aca="false">IF(L713="","",J713&amp;"|"&amp;K713&amp;"|"&amp;L713)</f>
        <v>7|3|spotify:track:0cELvuwJW1acISUHYB6suj</v>
      </c>
      <c r="U713" s="6" t="str">
        <f aca="false">IF(C713="","",IFERROR(INDEX(Lists!$F:$F,MATCH(C713,Lists!$E:$E,0)),"Unmapped"))</f>
        <v>R&amp;B/Soul</v>
      </c>
    </row>
    <row r="714" customFormat="false" ht="15" hidden="false" customHeight="false" outlineLevel="0" collapsed="false">
      <c r="A714" s="5" t="s">
        <v>2132</v>
      </c>
      <c r="B714" s="5" t="s">
        <v>211</v>
      </c>
      <c r="C714" s="5" t="s">
        <v>84</v>
      </c>
      <c r="D714" s="5" t="s">
        <v>101</v>
      </c>
      <c r="E714" s="5" t="s">
        <v>2102</v>
      </c>
      <c r="F714" s="5" t="n">
        <v>6</v>
      </c>
      <c r="G714" s="5" t="n">
        <v>6</v>
      </c>
      <c r="H714" s="6" t="str">
        <f aca="false">IF(N714="","",N714&amp;IF(AND(MOD(N714,100)&gt;=11,MOD(N714,100)&lt;=13),"th",CHOOSE(MIN(5,MOD(N714,10)+1),"th","st","nd","rd","th")))</f>
        <v>12th</v>
      </c>
      <c r="I714" s="5" t="s">
        <v>2015</v>
      </c>
      <c r="J714" s="6" t="n">
        <f aca="false">IFERROR(INDEX(Rounds!$A:$A,MATCH(I714,Rounds!$B:$B,0)),"ADD LEAGUE TO ROUNDS")</f>
        <v>7</v>
      </c>
      <c r="K714" s="6" t="n">
        <f aca="false">IFERROR(VALUE(LEFT(E714,FIND(" - ",E714)-1)),"")</f>
        <v>3</v>
      </c>
      <c r="L714" s="5" t="s">
        <v>2133</v>
      </c>
      <c r="N714" s="6" t="n">
        <f aca="false">IF(F714="","",1+COUNTIFS($J:$J,J714,$K:$K,K714,$F:$F,"&gt;"&amp;F714)+COUNTIFS($J:$J,J714,$K:$K,K714,$F:$F,F714,$G:$G,"&gt;"&amp;G714))</f>
        <v>12</v>
      </c>
      <c r="O714" s="6" t="n">
        <f aca="false">IF(L714="","",SUMIFS(Votes!$E:$E,Votes!$A:$A,J714,Votes!$B:$B,K714,Votes!$D:$D,L714))</f>
        <v>6</v>
      </c>
      <c r="P714" s="6" t="n">
        <f aca="false">IF(L714="","",COUNTIFS(Votes!$A:$A,J714,Votes!$B:$B,K714,Votes!$D:$D,L714))</f>
        <v>6</v>
      </c>
      <c r="Q714" s="7" t="str">
        <f aca="false">IF(F714="","Unscored",IF(O714="","No URI",IF(AND(F714=0,O714=0),"Zero-vote",IF(AND(F714=O714,G714=P714),"OK",IF(AND(F714=0,O714&gt;0,COUNTIFS(Votes!$A:$A,J714,Votes!$B:$B,K714,Votes!$C:$C,D714)=0),"Forfeited","Mismatch")))))</f>
        <v>OK</v>
      </c>
      <c r="R714" s="6" t="n">
        <f aca="false">MAX(IF(L714&lt;&gt;"",COUNTIF($L:$L,L714),0),COUNTIFS($A:$A,A714,$B:$B,B714))</f>
        <v>1</v>
      </c>
      <c r="S714" s="6" t="str">
        <f aca="false">IF(R714&gt;1,COUNTIF($R$2:R714,"&gt;1"),"")</f>
        <v/>
      </c>
      <c r="T714" s="6" t="str">
        <f aca="false">IF(L714="","",J714&amp;"|"&amp;K714&amp;"|"&amp;L714)</f>
        <v>7|3|spotify:track:6RUhbFEhrvGISaQ8u2j2JN</v>
      </c>
      <c r="U714" s="6" t="str">
        <f aca="false">IF(C714="","",IFERROR(INDEX(Lists!$F:$F,MATCH(C714,Lists!$E:$E,0)),"Unmapped"))</f>
        <v>Pop</v>
      </c>
    </row>
    <row r="715" customFormat="false" ht="15" hidden="false" customHeight="false" outlineLevel="0" collapsed="false">
      <c r="A715" s="5" t="s">
        <v>2134</v>
      </c>
      <c r="B715" s="5" t="s">
        <v>2135</v>
      </c>
      <c r="C715" s="5" t="s">
        <v>91</v>
      </c>
      <c r="D715" s="5" t="s">
        <v>719</v>
      </c>
      <c r="E715" s="5" t="s">
        <v>2102</v>
      </c>
      <c r="F715" s="5" t="n">
        <v>4</v>
      </c>
      <c r="G715" s="5" t="n">
        <v>4</v>
      </c>
      <c r="H715" s="6" t="str">
        <f aca="false">IF(N715="","",N715&amp;IF(AND(MOD(N715,100)&gt;=11,MOD(N715,100)&lt;=13),"th",CHOOSE(MIN(5,MOD(N715,10)+1),"th","st","nd","rd","th")))</f>
        <v>13th</v>
      </c>
      <c r="I715" s="5" t="s">
        <v>2015</v>
      </c>
      <c r="J715" s="6" t="n">
        <f aca="false">IFERROR(INDEX(Rounds!$A:$A,MATCH(I715,Rounds!$B:$B,0)),"ADD LEAGUE TO ROUNDS")</f>
        <v>7</v>
      </c>
      <c r="K715" s="6" t="n">
        <f aca="false">IFERROR(VALUE(LEFT(E715,FIND(" - ",E715)-1)),"")</f>
        <v>3</v>
      </c>
      <c r="L715" s="5" t="s">
        <v>2136</v>
      </c>
      <c r="N715" s="6" t="n">
        <f aca="false">IF(F715="","",1+COUNTIFS($J:$J,J715,$K:$K,K715,$F:$F,"&gt;"&amp;F715)+COUNTIFS($J:$J,J715,$K:$K,K715,$F:$F,F715,$G:$G,"&gt;"&amp;G715))</f>
        <v>13</v>
      </c>
      <c r="O715" s="6" t="n">
        <f aca="false">IF(L715="","",SUMIFS(Votes!$E:$E,Votes!$A:$A,J715,Votes!$B:$B,K715,Votes!$D:$D,L715))</f>
        <v>4</v>
      </c>
      <c r="P715" s="6" t="n">
        <f aca="false">IF(L715="","",COUNTIFS(Votes!$A:$A,J715,Votes!$B:$B,K715,Votes!$D:$D,L715))</f>
        <v>4</v>
      </c>
      <c r="Q715" s="7" t="str">
        <f aca="false">IF(F715="","Unscored",IF(O715="","No URI",IF(AND(F715=0,O715=0),"Zero-vote",IF(AND(F715=O715,G715=P715),"OK",IF(AND(F715=0,O715&gt;0,COUNTIFS(Votes!$A:$A,J715,Votes!$B:$B,K715,Votes!$C:$C,D715)=0),"Forfeited","Mismatch")))))</f>
        <v>OK</v>
      </c>
      <c r="R715" s="6" t="n">
        <f aca="false">MAX(IF(L715&lt;&gt;"",COUNTIF($L:$L,L715),0),COUNTIFS($A:$A,A715,$B:$B,B715))</f>
        <v>1</v>
      </c>
      <c r="S715" s="6" t="str">
        <f aca="false">IF(R715&gt;1,COUNTIF($R$2:R715,"&gt;1"),"")</f>
        <v/>
      </c>
      <c r="T715" s="6" t="str">
        <f aca="false">IF(L715="","",J715&amp;"|"&amp;K715&amp;"|"&amp;L715)</f>
        <v>7|3|spotify:track:5GKVcvTgnFYtfh25qKQtRg</v>
      </c>
      <c r="U715" s="6" t="str">
        <f aca="false">IF(C715="","",IFERROR(INDEX(Lists!$F:$F,MATCH(C715,Lists!$E:$E,0)),"Unmapped"))</f>
        <v>Rock</v>
      </c>
    </row>
    <row r="716" customFormat="false" ht="15" hidden="false" customHeight="false" outlineLevel="0" collapsed="false">
      <c r="A716" s="5" t="s">
        <v>2137</v>
      </c>
      <c r="B716" s="5" t="s">
        <v>2138</v>
      </c>
      <c r="C716" s="5" t="s">
        <v>84</v>
      </c>
      <c r="D716" s="5" t="s">
        <v>637</v>
      </c>
      <c r="E716" s="5" t="s">
        <v>2102</v>
      </c>
      <c r="F716" s="5" t="n">
        <v>4</v>
      </c>
      <c r="G716" s="5" t="n">
        <v>3</v>
      </c>
      <c r="H716" s="6" t="str">
        <f aca="false">IF(N716="","",N716&amp;IF(AND(MOD(N716,100)&gt;=11,MOD(N716,100)&lt;=13),"th",CHOOSE(MIN(5,MOD(N716,10)+1),"th","st","nd","rd","th")))</f>
        <v>14th</v>
      </c>
      <c r="I716" s="5" t="s">
        <v>2015</v>
      </c>
      <c r="J716" s="6" t="n">
        <f aca="false">IFERROR(INDEX(Rounds!$A:$A,MATCH(I716,Rounds!$B:$B,0)),"ADD LEAGUE TO ROUNDS")</f>
        <v>7</v>
      </c>
      <c r="K716" s="6" t="n">
        <f aca="false">IFERROR(VALUE(LEFT(E716,FIND(" - ",E716)-1)),"")</f>
        <v>3</v>
      </c>
      <c r="L716" s="5" t="s">
        <v>2139</v>
      </c>
      <c r="N716" s="6" t="n">
        <f aca="false">IF(F716="","",1+COUNTIFS($J:$J,J716,$K:$K,K716,$F:$F,"&gt;"&amp;F716)+COUNTIFS($J:$J,J716,$K:$K,K716,$F:$F,F716,$G:$G,"&gt;"&amp;G716))</f>
        <v>14</v>
      </c>
      <c r="O716" s="6" t="n">
        <f aca="false">IF(L716="","",SUMIFS(Votes!$E:$E,Votes!$A:$A,J716,Votes!$B:$B,K716,Votes!$D:$D,L716))</f>
        <v>4</v>
      </c>
      <c r="P716" s="6" t="n">
        <f aca="false">IF(L716="","",COUNTIFS(Votes!$A:$A,J716,Votes!$B:$B,K716,Votes!$D:$D,L716))</f>
        <v>3</v>
      </c>
      <c r="Q716" s="7" t="str">
        <f aca="false">IF(F716="","Unscored",IF(O716="","No URI",IF(AND(F716=0,O716=0),"Zero-vote",IF(AND(F716=O716,G716=P716),"OK",IF(AND(F716=0,O716&gt;0,COUNTIFS(Votes!$A:$A,J716,Votes!$B:$B,K716,Votes!$C:$C,D716)=0),"Forfeited","Mismatch")))))</f>
        <v>OK</v>
      </c>
      <c r="R716" s="6" t="n">
        <f aca="false">MAX(IF(L716&lt;&gt;"",COUNTIF($L:$L,L716),0),COUNTIFS($A:$A,A716,$B:$B,B716))</f>
        <v>1</v>
      </c>
      <c r="S716" s="6" t="str">
        <f aca="false">IF(R716&gt;1,COUNTIF($R$2:R716,"&gt;1"),"")</f>
        <v/>
      </c>
      <c r="T716" s="6" t="str">
        <f aca="false">IF(L716="","",J716&amp;"|"&amp;K716&amp;"|"&amp;L716)</f>
        <v>7|3|spotify:track:2s1sdSqGcKxpPr5lCl7jAV</v>
      </c>
      <c r="U716" s="6" t="str">
        <f aca="false">IF(C716="","",IFERROR(INDEX(Lists!$F:$F,MATCH(C716,Lists!$E:$E,0)),"Unmapped"))</f>
        <v>Pop</v>
      </c>
    </row>
    <row r="717" customFormat="false" ht="15" hidden="false" customHeight="false" outlineLevel="0" collapsed="false">
      <c r="A717" s="5" t="s">
        <v>2140</v>
      </c>
      <c r="B717" s="5" t="s">
        <v>2141</v>
      </c>
      <c r="C717" s="5" t="s">
        <v>96</v>
      </c>
      <c r="D717" s="5" t="s">
        <v>484</v>
      </c>
      <c r="E717" s="5" t="s">
        <v>2102</v>
      </c>
      <c r="F717" s="5" t="n">
        <v>3</v>
      </c>
      <c r="G717" s="5" t="n">
        <v>2</v>
      </c>
      <c r="H717" s="6" t="str">
        <f aca="false">IF(N717="","",N717&amp;IF(AND(MOD(N717,100)&gt;=11,MOD(N717,100)&lt;=13),"th",CHOOSE(MIN(5,MOD(N717,10)+1),"th","st","nd","rd","th")))</f>
        <v>15th</v>
      </c>
      <c r="I717" s="5" t="s">
        <v>2015</v>
      </c>
      <c r="J717" s="6" t="n">
        <f aca="false">IFERROR(INDEX(Rounds!$A:$A,MATCH(I717,Rounds!$B:$B,0)),"ADD LEAGUE TO ROUNDS")</f>
        <v>7</v>
      </c>
      <c r="K717" s="6" t="n">
        <f aca="false">IFERROR(VALUE(LEFT(E717,FIND(" - ",E717)-1)),"")</f>
        <v>3</v>
      </c>
      <c r="L717" s="5" t="s">
        <v>2142</v>
      </c>
      <c r="N717" s="6" t="n">
        <f aca="false">IF(F717="","",1+COUNTIFS($J:$J,J717,$K:$K,K717,$F:$F,"&gt;"&amp;F717)+COUNTIFS($J:$J,J717,$K:$K,K717,$F:$F,F717,$G:$G,"&gt;"&amp;G717))</f>
        <v>15</v>
      </c>
      <c r="O717" s="6" t="n">
        <f aca="false">IF(L717="","",SUMIFS(Votes!$E:$E,Votes!$A:$A,J717,Votes!$B:$B,K717,Votes!$D:$D,L717))</f>
        <v>3</v>
      </c>
      <c r="P717" s="6" t="n">
        <f aca="false">IF(L717="","",COUNTIFS(Votes!$A:$A,J717,Votes!$B:$B,K717,Votes!$D:$D,L717))</f>
        <v>2</v>
      </c>
      <c r="Q717" s="7" t="str">
        <f aca="false">IF(F717="","Unscored",IF(O717="","No URI",IF(AND(F717=0,O717=0),"Zero-vote",IF(AND(F717=O717,G717=P717),"OK",IF(AND(F717=0,O717&gt;0,COUNTIFS(Votes!$A:$A,J717,Votes!$B:$B,K717,Votes!$C:$C,D717)=0),"Forfeited","Mismatch")))))</f>
        <v>OK</v>
      </c>
      <c r="R717" s="6" t="n">
        <f aca="false">MAX(IF(L717&lt;&gt;"",COUNTIF($L:$L,L717),0),COUNTIFS($A:$A,A717,$B:$B,B717))</f>
        <v>1</v>
      </c>
      <c r="S717" s="6" t="str">
        <f aca="false">IF(R717&gt;1,COUNTIF($R$2:R717,"&gt;1"),"")</f>
        <v/>
      </c>
      <c r="T717" s="6" t="str">
        <f aca="false">IF(L717="","",J717&amp;"|"&amp;K717&amp;"|"&amp;L717)</f>
        <v>7|3|spotify:track:39Bd345OWEhRNyfayhp9gv</v>
      </c>
      <c r="U717" s="6" t="str">
        <f aca="false">IF(C717="","",IFERROR(INDEX(Lists!$F:$F,MATCH(C717,Lists!$E:$E,0)),"Unmapped"))</f>
        <v>R&amp;B/Soul</v>
      </c>
    </row>
    <row r="718" customFormat="false" ht="15" hidden="false" customHeight="false" outlineLevel="0" collapsed="false">
      <c r="A718" s="5" t="s">
        <v>2143</v>
      </c>
      <c r="B718" s="5" t="s">
        <v>2144</v>
      </c>
      <c r="C718" s="5" t="s">
        <v>91</v>
      </c>
      <c r="D718" s="5" t="s">
        <v>382</v>
      </c>
      <c r="E718" s="5" t="s">
        <v>2145</v>
      </c>
      <c r="F718" s="5" t="n">
        <v>14</v>
      </c>
      <c r="G718" s="5" t="n">
        <v>9</v>
      </c>
      <c r="H718" s="6" t="str">
        <f aca="false">IF(N718="","",N718&amp;IF(AND(MOD(N718,100)&gt;=11,MOD(N718,100)&lt;=13),"th",CHOOSE(MIN(5,MOD(N718,10)+1),"th","st","nd","rd","th")))</f>
        <v>1st</v>
      </c>
      <c r="I718" s="5" t="s">
        <v>2015</v>
      </c>
      <c r="J718" s="6" t="n">
        <f aca="false">IFERROR(INDEX(Rounds!$A:$A,MATCH(I718,Rounds!$B:$B,0)),"ADD LEAGUE TO ROUNDS")</f>
        <v>7</v>
      </c>
      <c r="K718" s="6" t="n">
        <f aca="false">IFERROR(VALUE(LEFT(E718,FIND(" - ",E718)-1)),"")</f>
        <v>4</v>
      </c>
      <c r="L718" s="5" t="s">
        <v>2146</v>
      </c>
      <c r="N718" s="6" t="n">
        <f aca="false">IF(F718="","",1+COUNTIFS($J:$J,J718,$K:$K,K718,$F:$F,"&gt;"&amp;F718)+COUNTIFS($J:$J,J718,$K:$K,K718,$F:$F,F718,$G:$G,"&gt;"&amp;G718))</f>
        <v>1</v>
      </c>
      <c r="O718" s="6" t="n">
        <f aca="false">IF(L718="","",SUMIFS(Votes!$E:$E,Votes!$A:$A,J718,Votes!$B:$B,K718,Votes!$D:$D,L718))</f>
        <v>14</v>
      </c>
      <c r="P718" s="6" t="n">
        <f aca="false">IF(L718="","",COUNTIFS(Votes!$A:$A,J718,Votes!$B:$B,K718,Votes!$D:$D,L718))</f>
        <v>9</v>
      </c>
      <c r="Q718" s="7" t="str">
        <f aca="false">IF(F718="","Unscored",IF(O718="","No URI",IF(AND(F718=0,O718=0),"Zero-vote",IF(AND(F718=O718,G718=P718),"OK",IF(AND(F718=0,O718&gt;0,COUNTIFS(Votes!$A:$A,J718,Votes!$B:$B,K718,Votes!$C:$C,D718)=0),"Forfeited","Mismatch")))))</f>
        <v>OK</v>
      </c>
      <c r="R718" s="6" t="n">
        <f aca="false">MAX(IF(L718&lt;&gt;"",COUNTIF($L:$L,L718),0),COUNTIFS($A:$A,A718,$B:$B,B718))</f>
        <v>1</v>
      </c>
      <c r="S718" s="6" t="str">
        <f aca="false">IF(R718&gt;1,COUNTIF($R$2:R718,"&gt;1"),"")</f>
        <v/>
      </c>
      <c r="T718" s="6" t="str">
        <f aca="false">IF(L718="","",J718&amp;"|"&amp;K718&amp;"|"&amp;L718)</f>
        <v>7|4|spotify:track:2cHGWytemKJuckq2oLnAbZ</v>
      </c>
      <c r="U718" s="6" t="str">
        <f aca="false">IF(C718="","",IFERROR(INDEX(Lists!$F:$F,MATCH(C718,Lists!$E:$E,0)),"Unmapped"))</f>
        <v>Rock</v>
      </c>
    </row>
    <row r="719" customFormat="false" ht="15" hidden="false" customHeight="false" outlineLevel="0" collapsed="false">
      <c r="A719" s="5" t="s">
        <v>2147</v>
      </c>
      <c r="B719" s="5" t="s">
        <v>371</v>
      </c>
      <c r="C719" s="5" t="s">
        <v>91</v>
      </c>
      <c r="D719" s="5" t="s">
        <v>106</v>
      </c>
      <c r="E719" s="5" t="s">
        <v>2145</v>
      </c>
      <c r="F719" s="5" t="n">
        <v>12</v>
      </c>
      <c r="G719" s="5" t="n">
        <v>9</v>
      </c>
      <c r="H719" s="6" t="str">
        <f aca="false">IF(N719="","",N719&amp;IF(AND(MOD(N719,100)&gt;=11,MOD(N719,100)&lt;=13),"th",CHOOSE(MIN(5,MOD(N719,10)+1),"th","st","nd","rd","th")))</f>
        <v>2nd</v>
      </c>
      <c r="I719" s="5" t="s">
        <v>2015</v>
      </c>
      <c r="J719" s="6" t="n">
        <f aca="false">IFERROR(INDEX(Rounds!$A:$A,MATCH(I719,Rounds!$B:$B,0)),"ADD LEAGUE TO ROUNDS")</f>
        <v>7</v>
      </c>
      <c r="K719" s="6" t="n">
        <f aca="false">IFERROR(VALUE(LEFT(E719,FIND(" - ",E719)-1)),"")</f>
        <v>4</v>
      </c>
      <c r="L719" s="5" t="s">
        <v>2148</v>
      </c>
      <c r="N719" s="6" t="n">
        <f aca="false">IF(F719="","",1+COUNTIFS($J:$J,J719,$K:$K,K719,$F:$F,"&gt;"&amp;F719)+COUNTIFS($J:$J,J719,$K:$K,K719,$F:$F,F719,$G:$G,"&gt;"&amp;G719))</f>
        <v>2</v>
      </c>
      <c r="O719" s="6" t="n">
        <f aca="false">IF(L719="","",SUMIFS(Votes!$E:$E,Votes!$A:$A,J719,Votes!$B:$B,K719,Votes!$D:$D,L719))</f>
        <v>12</v>
      </c>
      <c r="P719" s="6" t="n">
        <f aca="false">IF(L719="","",COUNTIFS(Votes!$A:$A,J719,Votes!$B:$B,K719,Votes!$D:$D,L719))</f>
        <v>9</v>
      </c>
      <c r="Q719" s="7" t="str">
        <f aca="false">IF(F719="","Unscored",IF(O719="","No URI",IF(AND(F719=0,O719=0),"Zero-vote",IF(AND(F719=O719,G719=P719),"OK",IF(AND(F719=0,O719&gt;0,COUNTIFS(Votes!$A:$A,J719,Votes!$B:$B,K719,Votes!$C:$C,D719)=0),"Forfeited","Mismatch")))))</f>
        <v>OK</v>
      </c>
      <c r="R719" s="6" t="n">
        <f aca="false">MAX(IF(L719&lt;&gt;"",COUNTIF($L:$L,L719),0),COUNTIFS($A:$A,A719,$B:$B,B719))</f>
        <v>1</v>
      </c>
      <c r="S719" s="6" t="str">
        <f aca="false">IF(R719&gt;1,COUNTIF($R$2:R719,"&gt;1"),"")</f>
        <v/>
      </c>
      <c r="T719" s="6" t="str">
        <f aca="false">IF(L719="","",J719&amp;"|"&amp;K719&amp;"|"&amp;L719)</f>
        <v>7|4|spotify:track:4qg2rXtE20scfPhGvG5tqq</v>
      </c>
      <c r="U719" s="6" t="str">
        <f aca="false">IF(C719="","",IFERROR(INDEX(Lists!$F:$F,MATCH(C719,Lists!$E:$E,0)),"Unmapped"))</f>
        <v>Rock</v>
      </c>
    </row>
    <row r="720" customFormat="false" ht="15" hidden="false" customHeight="false" outlineLevel="0" collapsed="false">
      <c r="A720" s="5" t="s">
        <v>2149</v>
      </c>
      <c r="B720" s="5" t="s">
        <v>208</v>
      </c>
      <c r="C720" s="5" t="s">
        <v>84</v>
      </c>
      <c r="D720" s="5" t="s">
        <v>637</v>
      </c>
      <c r="E720" s="5" t="s">
        <v>2145</v>
      </c>
      <c r="F720" s="5" t="n">
        <v>11</v>
      </c>
      <c r="G720" s="5" t="n">
        <v>8</v>
      </c>
      <c r="H720" s="6" t="str">
        <f aca="false">IF(N720="","",N720&amp;IF(AND(MOD(N720,100)&gt;=11,MOD(N720,100)&lt;=13),"th",CHOOSE(MIN(5,MOD(N720,10)+1),"th","st","nd","rd","th")))</f>
        <v>3rd</v>
      </c>
      <c r="I720" s="5" t="s">
        <v>2015</v>
      </c>
      <c r="J720" s="6" t="n">
        <f aca="false">IFERROR(INDEX(Rounds!$A:$A,MATCH(I720,Rounds!$B:$B,0)),"ADD LEAGUE TO ROUNDS")</f>
        <v>7</v>
      </c>
      <c r="K720" s="6" t="n">
        <f aca="false">IFERROR(VALUE(LEFT(E720,FIND(" - ",E720)-1)),"")</f>
        <v>4</v>
      </c>
      <c r="L720" s="5" t="s">
        <v>2150</v>
      </c>
      <c r="N720" s="6" t="n">
        <f aca="false">IF(F720="","",1+COUNTIFS($J:$J,J720,$K:$K,K720,$F:$F,"&gt;"&amp;F720)+COUNTIFS($J:$J,J720,$K:$K,K720,$F:$F,F720,$G:$G,"&gt;"&amp;G720))</f>
        <v>3</v>
      </c>
      <c r="O720" s="6" t="n">
        <f aca="false">IF(L720="","",SUMIFS(Votes!$E:$E,Votes!$A:$A,J720,Votes!$B:$B,K720,Votes!$D:$D,L720))</f>
        <v>11</v>
      </c>
      <c r="P720" s="6" t="n">
        <f aca="false">IF(L720="","",COUNTIFS(Votes!$A:$A,J720,Votes!$B:$B,K720,Votes!$D:$D,L720))</f>
        <v>8</v>
      </c>
      <c r="Q720" s="7" t="str">
        <f aca="false">IF(F720="","Unscored",IF(O720="","No URI",IF(AND(F720=0,O720=0),"Zero-vote",IF(AND(F720=O720,G720=P720),"OK",IF(AND(F720=0,O720&gt;0,COUNTIFS(Votes!$A:$A,J720,Votes!$B:$B,K720,Votes!$C:$C,D720)=0),"Forfeited","Mismatch")))))</f>
        <v>OK</v>
      </c>
      <c r="R720" s="6" t="n">
        <f aca="false">MAX(IF(L720&lt;&gt;"",COUNTIF($L:$L,L720),0),COUNTIFS($A:$A,A720,$B:$B,B720))</f>
        <v>1</v>
      </c>
      <c r="S720" s="6" t="str">
        <f aca="false">IF(R720&gt;1,COUNTIF($R$2:R720,"&gt;1"),"")</f>
        <v/>
      </c>
      <c r="T720" s="6" t="str">
        <f aca="false">IF(L720="","",J720&amp;"|"&amp;K720&amp;"|"&amp;L720)</f>
        <v>7|4|spotify:track:0L5gFNrzHyh4OhMwEz6DGS</v>
      </c>
      <c r="U720" s="6" t="str">
        <f aca="false">IF(C720="","",IFERROR(INDEX(Lists!$F:$F,MATCH(C720,Lists!$E:$E,0)),"Unmapped"))</f>
        <v>Pop</v>
      </c>
    </row>
    <row r="721" customFormat="false" ht="15" hidden="false" customHeight="false" outlineLevel="0" collapsed="false">
      <c r="A721" s="5" t="s">
        <v>2151</v>
      </c>
      <c r="B721" s="5" t="s">
        <v>2152</v>
      </c>
      <c r="C721" s="5" t="s">
        <v>91</v>
      </c>
      <c r="D721" s="5" t="s">
        <v>719</v>
      </c>
      <c r="E721" s="5" t="s">
        <v>2145</v>
      </c>
      <c r="F721" s="5" t="n">
        <v>11</v>
      </c>
      <c r="G721" s="5" t="n">
        <v>8</v>
      </c>
      <c r="H721" s="6" t="str">
        <f aca="false">IF(N721="","",N721&amp;IF(AND(MOD(N721,100)&gt;=11,MOD(N721,100)&lt;=13),"th",CHOOSE(MIN(5,MOD(N721,10)+1),"th","st","nd","rd","th")))</f>
        <v>3rd</v>
      </c>
      <c r="I721" s="5" t="s">
        <v>2015</v>
      </c>
      <c r="J721" s="6" t="n">
        <f aca="false">IFERROR(INDEX(Rounds!$A:$A,MATCH(I721,Rounds!$B:$B,0)),"ADD LEAGUE TO ROUNDS")</f>
        <v>7</v>
      </c>
      <c r="K721" s="6" t="n">
        <f aca="false">IFERROR(VALUE(LEFT(E721,FIND(" - ",E721)-1)),"")</f>
        <v>4</v>
      </c>
      <c r="L721" s="5" t="s">
        <v>2153</v>
      </c>
      <c r="N721" s="6" t="n">
        <f aca="false">IF(F721="","",1+COUNTIFS($J:$J,J721,$K:$K,K721,$F:$F,"&gt;"&amp;F721)+COUNTIFS($J:$J,J721,$K:$K,K721,$F:$F,F721,$G:$G,"&gt;"&amp;G721))</f>
        <v>3</v>
      </c>
      <c r="O721" s="6" t="n">
        <f aca="false">IF(L721="","",SUMIFS(Votes!$E:$E,Votes!$A:$A,J721,Votes!$B:$B,K721,Votes!$D:$D,L721))</f>
        <v>11</v>
      </c>
      <c r="P721" s="6" t="n">
        <f aca="false">IF(L721="","",COUNTIFS(Votes!$A:$A,J721,Votes!$B:$B,K721,Votes!$D:$D,L721))</f>
        <v>8</v>
      </c>
      <c r="Q721" s="7" t="str">
        <f aca="false">IF(F721="","Unscored",IF(O721="","No URI",IF(AND(F721=0,O721=0),"Zero-vote",IF(AND(F721=O721,G721=P721),"OK",IF(AND(F721=0,O721&gt;0,COUNTIFS(Votes!$A:$A,J721,Votes!$B:$B,K721,Votes!$C:$C,D721)=0),"Forfeited","Mismatch")))))</f>
        <v>OK</v>
      </c>
      <c r="R721" s="6" t="n">
        <f aca="false">MAX(IF(L721&lt;&gt;"",COUNTIF($L:$L,L721),0),COUNTIFS($A:$A,A721,$B:$B,B721))</f>
        <v>1</v>
      </c>
      <c r="S721" s="6" t="str">
        <f aca="false">IF(R721&gt;1,COUNTIF($R$2:R721,"&gt;1"),"")</f>
        <v/>
      </c>
      <c r="T721" s="6" t="str">
        <f aca="false">IF(L721="","",J721&amp;"|"&amp;K721&amp;"|"&amp;L721)</f>
        <v>7|4|spotify:track:35I5lX6yE00YSu7PEgES54</v>
      </c>
      <c r="U721" s="6" t="str">
        <f aca="false">IF(C721="","",IFERROR(INDEX(Lists!$F:$F,MATCH(C721,Lists!$E:$E,0)),"Unmapped"))</f>
        <v>Rock</v>
      </c>
    </row>
    <row r="722" customFormat="false" ht="15" hidden="false" customHeight="false" outlineLevel="0" collapsed="false">
      <c r="A722" s="5" t="s">
        <v>2154</v>
      </c>
      <c r="B722" s="5" t="s">
        <v>520</v>
      </c>
      <c r="C722" s="5" t="s">
        <v>84</v>
      </c>
      <c r="D722" s="5" t="s">
        <v>2019</v>
      </c>
      <c r="E722" s="5" t="s">
        <v>2145</v>
      </c>
      <c r="F722" s="5" t="n">
        <v>9</v>
      </c>
      <c r="G722" s="5" t="n">
        <v>6</v>
      </c>
      <c r="H722" s="6" t="str">
        <f aca="false">IF(N722="","",N722&amp;IF(AND(MOD(N722,100)&gt;=11,MOD(N722,100)&lt;=13),"th",CHOOSE(MIN(5,MOD(N722,10)+1),"th","st","nd","rd","th")))</f>
        <v>5th</v>
      </c>
      <c r="I722" s="5" t="s">
        <v>2015</v>
      </c>
      <c r="J722" s="6" t="n">
        <f aca="false">IFERROR(INDEX(Rounds!$A:$A,MATCH(I722,Rounds!$B:$B,0)),"ADD LEAGUE TO ROUNDS")</f>
        <v>7</v>
      </c>
      <c r="K722" s="6" t="n">
        <f aca="false">IFERROR(VALUE(LEFT(E722,FIND(" - ",E722)-1)),"")</f>
        <v>4</v>
      </c>
      <c r="L722" s="5" t="s">
        <v>2155</v>
      </c>
      <c r="N722" s="6" t="n">
        <f aca="false">IF(F722="","",1+COUNTIFS($J:$J,J722,$K:$K,K722,$F:$F,"&gt;"&amp;F722)+COUNTIFS($J:$J,J722,$K:$K,K722,$F:$F,F722,$G:$G,"&gt;"&amp;G722))</f>
        <v>5</v>
      </c>
      <c r="O722" s="6" t="n">
        <f aca="false">IF(L722="","",SUMIFS(Votes!$E:$E,Votes!$A:$A,J722,Votes!$B:$B,K722,Votes!$D:$D,L722))</f>
        <v>9</v>
      </c>
      <c r="P722" s="6" t="n">
        <f aca="false">IF(L722="","",COUNTIFS(Votes!$A:$A,J722,Votes!$B:$B,K722,Votes!$D:$D,L722))</f>
        <v>6</v>
      </c>
      <c r="Q722" s="7" t="str">
        <f aca="false">IF(F722="","Unscored",IF(O722="","No URI",IF(AND(F722=0,O722=0),"Zero-vote",IF(AND(F722=O722,G722=P722),"OK",IF(AND(F722=0,O722&gt;0,COUNTIFS(Votes!$A:$A,J722,Votes!$B:$B,K722,Votes!$C:$C,D722)=0),"Forfeited","Mismatch")))))</f>
        <v>OK</v>
      </c>
      <c r="R722" s="6" t="n">
        <f aca="false">MAX(IF(L722&lt;&gt;"",COUNTIF($L:$L,L722),0),COUNTIFS($A:$A,A722,$B:$B,B722))</f>
        <v>1</v>
      </c>
      <c r="S722" s="6" t="str">
        <f aca="false">IF(R722&gt;1,COUNTIF($R$2:R722,"&gt;1"),"")</f>
        <v/>
      </c>
      <c r="T722" s="6" t="str">
        <f aca="false">IF(L722="","",J722&amp;"|"&amp;K722&amp;"|"&amp;L722)</f>
        <v>7|4|spotify:track:5Uc37Y6FijZcM538PqqkWd</v>
      </c>
      <c r="U722" s="6" t="str">
        <f aca="false">IF(C722="","",IFERROR(INDEX(Lists!$F:$F,MATCH(C722,Lists!$E:$E,0)),"Unmapped"))</f>
        <v>Pop</v>
      </c>
    </row>
    <row r="723" customFormat="false" ht="15" hidden="false" customHeight="false" outlineLevel="0" collapsed="false">
      <c r="A723" s="5" t="s">
        <v>2156</v>
      </c>
      <c r="B723" s="5" t="s">
        <v>1356</v>
      </c>
      <c r="C723" s="5" t="s">
        <v>91</v>
      </c>
      <c r="D723" s="5" t="s">
        <v>705</v>
      </c>
      <c r="E723" s="5" t="s">
        <v>2145</v>
      </c>
      <c r="F723" s="5" t="n">
        <v>9</v>
      </c>
      <c r="G723" s="5" t="n">
        <v>6</v>
      </c>
      <c r="H723" s="6" t="str">
        <f aca="false">IF(N723="","",N723&amp;IF(AND(MOD(N723,100)&gt;=11,MOD(N723,100)&lt;=13),"th",CHOOSE(MIN(5,MOD(N723,10)+1),"th","st","nd","rd","th")))</f>
        <v>5th</v>
      </c>
      <c r="I723" s="5" t="s">
        <v>2015</v>
      </c>
      <c r="J723" s="6" t="n">
        <f aca="false">IFERROR(INDEX(Rounds!$A:$A,MATCH(I723,Rounds!$B:$B,0)),"ADD LEAGUE TO ROUNDS")</f>
        <v>7</v>
      </c>
      <c r="K723" s="6" t="n">
        <f aca="false">IFERROR(VALUE(LEFT(E723,FIND(" - ",E723)-1)),"")</f>
        <v>4</v>
      </c>
      <c r="L723" s="5" t="s">
        <v>2157</v>
      </c>
      <c r="N723" s="6" t="n">
        <f aca="false">IF(F723="","",1+COUNTIFS($J:$J,J723,$K:$K,K723,$F:$F,"&gt;"&amp;F723)+COUNTIFS($J:$J,J723,$K:$K,K723,$F:$F,F723,$G:$G,"&gt;"&amp;G723))</f>
        <v>5</v>
      </c>
      <c r="O723" s="6" t="n">
        <f aca="false">IF(L723="","",SUMIFS(Votes!$E:$E,Votes!$A:$A,J723,Votes!$B:$B,K723,Votes!$D:$D,L723))</f>
        <v>9</v>
      </c>
      <c r="P723" s="6" t="n">
        <f aca="false">IF(L723="","",COUNTIFS(Votes!$A:$A,J723,Votes!$B:$B,K723,Votes!$D:$D,L723))</f>
        <v>6</v>
      </c>
      <c r="Q723" s="7" t="str">
        <f aca="false">IF(F723="","Unscored",IF(O723="","No URI",IF(AND(F723=0,O723=0),"Zero-vote",IF(AND(F723=O723,G723=P723),"OK",IF(AND(F723=0,O723&gt;0,COUNTIFS(Votes!$A:$A,J723,Votes!$B:$B,K723,Votes!$C:$C,D723)=0),"Forfeited","Mismatch")))))</f>
        <v>OK</v>
      </c>
      <c r="R723" s="6" t="n">
        <f aca="false">MAX(IF(L723&lt;&gt;"",COUNTIF($L:$L,L723),0),COUNTIFS($A:$A,A723,$B:$B,B723))</f>
        <v>1</v>
      </c>
      <c r="S723" s="6" t="str">
        <f aca="false">IF(R723&gt;1,COUNTIF($R$2:R723,"&gt;1"),"")</f>
        <v/>
      </c>
      <c r="T723" s="6" t="str">
        <f aca="false">IF(L723="","",J723&amp;"|"&amp;K723&amp;"|"&amp;L723)</f>
        <v>7|4|spotify:track:3bE5slaVEfaDreqARl6k4M</v>
      </c>
      <c r="U723" s="6" t="str">
        <f aca="false">IF(C723="","",IFERROR(INDEX(Lists!$F:$F,MATCH(C723,Lists!$E:$E,0)),"Unmapped"))</f>
        <v>Rock</v>
      </c>
    </row>
    <row r="724" customFormat="false" ht="15" hidden="false" customHeight="false" outlineLevel="0" collapsed="false">
      <c r="A724" s="5" t="s">
        <v>2158</v>
      </c>
      <c r="B724" s="5" t="s">
        <v>622</v>
      </c>
      <c r="C724" s="5" t="s">
        <v>96</v>
      </c>
      <c r="D724" s="5" t="s">
        <v>97</v>
      </c>
      <c r="E724" s="5" t="s">
        <v>2145</v>
      </c>
      <c r="F724" s="5" t="n">
        <v>9</v>
      </c>
      <c r="G724" s="5" t="n">
        <v>4</v>
      </c>
      <c r="H724" s="6" t="str">
        <f aca="false">IF(N724="","",N724&amp;IF(AND(MOD(N724,100)&gt;=11,MOD(N724,100)&lt;=13),"th",CHOOSE(MIN(5,MOD(N724,10)+1),"th","st","nd","rd","th")))</f>
        <v>7th</v>
      </c>
      <c r="I724" s="5" t="s">
        <v>2015</v>
      </c>
      <c r="J724" s="6" t="n">
        <f aca="false">IFERROR(INDEX(Rounds!$A:$A,MATCH(I724,Rounds!$B:$B,0)),"ADD LEAGUE TO ROUNDS")</f>
        <v>7</v>
      </c>
      <c r="K724" s="6" t="n">
        <f aca="false">IFERROR(VALUE(LEFT(E724,FIND(" - ",E724)-1)),"")</f>
        <v>4</v>
      </c>
      <c r="L724" s="5" t="s">
        <v>2159</v>
      </c>
      <c r="N724" s="6" t="n">
        <f aca="false">IF(F724="","",1+COUNTIFS($J:$J,J724,$K:$K,K724,$F:$F,"&gt;"&amp;F724)+COUNTIFS($J:$J,J724,$K:$K,K724,$F:$F,F724,$G:$G,"&gt;"&amp;G724))</f>
        <v>7</v>
      </c>
      <c r="O724" s="6" t="n">
        <f aca="false">IF(L724="","",SUMIFS(Votes!$E:$E,Votes!$A:$A,J724,Votes!$B:$B,K724,Votes!$D:$D,L724))</f>
        <v>9</v>
      </c>
      <c r="P724" s="6" t="n">
        <f aca="false">IF(L724="","",COUNTIFS(Votes!$A:$A,J724,Votes!$B:$B,K724,Votes!$D:$D,L724))</f>
        <v>4</v>
      </c>
      <c r="Q724" s="7" t="str">
        <f aca="false">IF(F724="","Unscored",IF(O724="","No URI",IF(AND(F724=0,O724=0),"Zero-vote",IF(AND(F724=O724,G724=P724),"OK",IF(AND(F724=0,O724&gt;0,COUNTIFS(Votes!$A:$A,J724,Votes!$B:$B,K724,Votes!$C:$C,D724)=0),"Forfeited","Mismatch")))))</f>
        <v>OK</v>
      </c>
      <c r="R724" s="6" t="n">
        <f aca="false">MAX(IF(L724&lt;&gt;"",COUNTIF($L:$L,L724),0),COUNTIFS($A:$A,A724,$B:$B,B724))</f>
        <v>1</v>
      </c>
      <c r="S724" s="6" t="str">
        <f aca="false">IF(R724&gt;1,COUNTIF($R$2:R724,"&gt;1"),"")</f>
        <v/>
      </c>
      <c r="T724" s="6" t="str">
        <f aca="false">IF(L724="","",J724&amp;"|"&amp;K724&amp;"|"&amp;L724)</f>
        <v>7|4|spotify:track:0K9tfzrxJyCQIf7oAlPwaK</v>
      </c>
      <c r="U724" s="6" t="str">
        <f aca="false">IF(C724="","",IFERROR(INDEX(Lists!$F:$F,MATCH(C724,Lists!$E:$E,0)),"Unmapped"))</f>
        <v>R&amp;B/Soul</v>
      </c>
    </row>
    <row r="725" customFormat="false" ht="15" hidden="false" customHeight="false" outlineLevel="0" collapsed="false">
      <c r="A725" s="5" t="s">
        <v>2160</v>
      </c>
      <c r="B725" s="5" t="s">
        <v>2161</v>
      </c>
      <c r="C725" s="5" t="s">
        <v>248</v>
      </c>
      <c r="D725" s="5" t="s">
        <v>2052</v>
      </c>
      <c r="E725" s="5" t="s">
        <v>2145</v>
      </c>
      <c r="F725" s="5" t="n">
        <v>8</v>
      </c>
      <c r="G725" s="5" t="n">
        <v>7</v>
      </c>
      <c r="H725" s="6" t="str">
        <f aca="false">IF(N725="","",N725&amp;IF(AND(MOD(N725,100)&gt;=11,MOD(N725,100)&lt;=13),"th",CHOOSE(MIN(5,MOD(N725,10)+1),"th","st","nd","rd","th")))</f>
        <v>8th</v>
      </c>
      <c r="I725" s="5" t="s">
        <v>2015</v>
      </c>
      <c r="J725" s="6" t="n">
        <f aca="false">IFERROR(INDEX(Rounds!$A:$A,MATCH(I725,Rounds!$B:$B,0)),"ADD LEAGUE TO ROUNDS")</f>
        <v>7</v>
      </c>
      <c r="K725" s="6" t="n">
        <f aca="false">IFERROR(VALUE(LEFT(E725,FIND(" - ",E725)-1)),"")</f>
        <v>4</v>
      </c>
      <c r="L725" s="5" t="s">
        <v>2162</v>
      </c>
      <c r="N725" s="6" t="n">
        <f aca="false">IF(F725="","",1+COUNTIFS($J:$J,J725,$K:$K,K725,$F:$F,"&gt;"&amp;F725)+COUNTIFS($J:$J,J725,$K:$K,K725,$F:$F,F725,$G:$G,"&gt;"&amp;G725))</f>
        <v>8</v>
      </c>
      <c r="O725" s="6" t="n">
        <f aca="false">IF(L725="","",SUMIFS(Votes!$E:$E,Votes!$A:$A,J725,Votes!$B:$B,K725,Votes!$D:$D,L725))</f>
        <v>8</v>
      </c>
      <c r="P725" s="6" t="n">
        <f aca="false">IF(L725="","",COUNTIFS(Votes!$A:$A,J725,Votes!$B:$B,K725,Votes!$D:$D,L725))</f>
        <v>7</v>
      </c>
      <c r="Q725" s="7" t="str">
        <f aca="false">IF(F725="","Unscored",IF(O725="","No URI",IF(AND(F725=0,O725=0),"Zero-vote",IF(AND(F725=O725,G725=P725),"OK",IF(AND(F725=0,O725&gt;0,COUNTIFS(Votes!$A:$A,J725,Votes!$B:$B,K725,Votes!$C:$C,D725)=0),"Forfeited","Mismatch")))))</f>
        <v>OK</v>
      </c>
      <c r="R725" s="6" t="n">
        <f aca="false">MAX(IF(L725&lt;&gt;"",COUNTIF($L:$L,L725),0),COUNTIFS($A:$A,A725,$B:$B,B725))</f>
        <v>1</v>
      </c>
      <c r="S725" s="6" t="str">
        <f aca="false">IF(R725&gt;1,COUNTIF($R$2:R725,"&gt;1"),"")</f>
        <v/>
      </c>
      <c r="T725" s="6" t="str">
        <f aca="false">IF(L725="","",J725&amp;"|"&amp;K725&amp;"|"&amp;L725)</f>
        <v>7|4|spotify:track:09DR0sHnQUhHOiSNttc1mv</v>
      </c>
      <c r="U725" s="6" t="str">
        <f aca="false">IF(C725="","",IFERROR(INDEX(Lists!$F:$F,MATCH(C725,Lists!$E:$E,0)),"Unmapped"))</f>
        <v>Folk/Americana</v>
      </c>
    </row>
    <row r="726" customFormat="false" ht="15" hidden="false" customHeight="false" outlineLevel="0" collapsed="false">
      <c r="A726" s="5" t="s">
        <v>2163</v>
      </c>
      <c r="B726" s="5" t="s">
        <v>622</v>
      </c>
      <c r="C726" s="5" t="s">
        <v>96</v>
      </c>
      <c r="D726" s="5" t="s">
        <v>128</v>
      </c>
      <c r="E726" s="5" t="s">
        <v>2145</v>
      </c>
      <c r="F726" s="5" t="n">
        <v>8</v>
      </c>
      <c r="G726" s="5" t="n">
        <v>7</v>
      </c>
      <c r="H726" s="6" t="str">
        <f aca="false">IF(N726="","",N726&amp;IF(AND(MOD(N726,100)&gt;=11,MOD(N726,100)&lt;=13),"th",CHOOSE(MIN(5,MOD(N726,10)+1),"th","st","nd","rd","th")))</f>
        <v>8th</v>
      </c>
      <c r="I726" s="5" t="s">
        <v>2015</v>
      </c>
      <c r="J726" s="6" t="n">
        <f aca="false">IFERROR(INDEX(Rounds!$A:$A,MATCH(I726,Rounds!$B:$B,0)),"ADD LEAGUE TO ROUNDS")</f>
        <v>7</v>
      </c>
      <c r="K726" s="6" t="n">
        <f aca="false">IFERROR(VALUE(LEFT(E726,FIND(" - ",E726)-1)),"")</f>
        <v>4</v>
      </c>
      <c r="L726" s="5" t="s">
        <v>2164</v>
      </c>
      <c r="N726" s="6" t="n">
        <f aca="false">IF(F726="","",1+COUNTIFS($J:$J,J726,$K:$K,K726,$F:$F,"&gt;"&amp;F726)+COUNTIFS($J:$J,J726,$K:$K,K726,$F:$F,F726,$G:$G,"&gt;"&amp;G726))</f>
        <v>8</v>
      </c>
      <c r="O726" s="6" t="n">
        <f aca="false">IF(L726="","",SUMIFS(Votes!$E:$E,Votes!$A:$A,J726,Votes!$B:$B,K726,Votes!$D:$D,L726))</f>
        <v>8</v>
      </c>
      <c r="P726" s="6" t="n">
        <f aca="false">IF(L726="","",COUNTIFS(Votes!$A:$A,J726,Votes!$B:$B,K726,Votes!$D:$D,L726))</f>
        <v>7</v>
      </c>
      <c r="Q726" s="7" t="str">
        <f aca="false">IF(F726="","Unscored",IF(O726="","No URI",IF(AND(F726=0,O726=0),"Zero-vote",IF(AND(F726=O726,G726=P726),"OK",IF(AND(F726=0,O726&gt;0,COUNTIFS(Votes!$A:$A,J726,Votes!$B:$B,K726,Votes!$C:$C,D726)=0),"Forfeited","Mismatch")))))</f>
        <v>OK</v>
      </c>
      <c r="R726" s="6" t="n">
        <f aca="false">MAX(IF(L726&lt;&gt;"",COUNTIF($L:$L,L726),0),COUNTIFS($A:$A,A726,$B:$B,B726))</f>
        <v>1</v>
      </c>
      <c r="S726" s="6" t="str">
        <f aca="false">IF(R726&gt;1,COUNTIF($R$2:R726,"&gt;1"),"")</f>
        <v/>
      </c>
      <c r="T726" s="6" t="str">
        <f aca="false">IF(L726="","",J726&amp;"|"&amp;K726&amp;"|"&amp;L726)</f>
        <v>7|4|spotify:track:0yGlYMCTNE1aKRd5YAXEdg</v>
      </c>
      <c r="U726" s="6" t="str">
        <f aca="false">IF(C726="","",IFERROR(INDEX(Lists!$F:$F,MATCH(C726,Lists!$E:$E,0)),"Unmapped"))</f>
        <v>R&amp;B/Soul</v>
      </c>
    </row>
    <row r="727" customFormat="false" ht="15" hidden="false" customHeight="false" outlineLevel="0" collapsed="false">
      <c r="A727" s="5" t="s">
        <v>2165</v>
      </c>
      <c r="B727" s="5" t="s">
        <v>2166</v>
      </c>
      <c r="C727" s="5" t="s">
        <v>171</v>
      </c>
      <c r="D727" s="5" t="s">
        <v>85</v>
      </c>
      <c r="E727" s="5" t="s">
        <v>2145</v>
      </c>
      <c r="F727" s="5" t="n">
        <v>7</v>
      </c>
      <c r="G727" s="5" t="n">
        <v>5</v>
      </c>
      <c r="H727" s="6" t="str">
        <f aca="false">IF(N727="","",N727&amp;IF(AND(MOD(N727,100)&gt;=11,MOD(N727,100)&lt;=13),"th",CHOOSE(MIN(5,MOD(N727,10)+1),"th","st","nd","rd","th")))</f>
        <v>10th</v>
      </c>
      <c r="I727" s="5" t="s">
        <v>2015</v>
      </c>
      <c r="J727" s="6" t="n">
        <f aca="false">IFERROR(INDEX(Rounds!$A:$A,MATCH(I727,Rounds!$B:$B,0)),"ADD LEAGUE TO ROUNDS")</f>
        <v>7</v>
      </c>
      <c r="K727" s="6" t="n">
        <f aca="false">IFERROR(VALUE(LEFT(E727,FIND(" - ",E727)-1)),"")</f>
        <v>4</v>
      </c>
      <c r="L727" s="5" t="s">
        <v>2167</v>
      </c>
      <c r="N727" s="6" t="n">
        <f aca="false">IF(F727="","",1+COUNTIFS($J:$J,J727,$K:$K,K727,$F:$F,"&gt;"&amp;F727)+COUNTIFS($J:$J,J727,$K:$K,K727,$F:$F,F727,$G:$G,"&gt;"&amp;G727))</f>
        <v>10</v>
      </c>
      <c r="O727" s="6" t="n">
        <f aca="false">IF(L727="","",SUMIFS(Votes!$E:$E,Votes!$A:$A,J727,Votes!$B:$B,K727,Votes!$D:$D,L727))</f>
        <v>7</v>
      </c>
      <c r="P727" s="6" t="n">
        <f aca="false">IF(L727="","",COUNTIFS(Votes!$A:$A,J727,Votes!$B:$B,K727,Votes!$D:$D,L727))</f>
        <v>5</v>
      </c>
      <c r="Q727" s="7" t="str">
        <f aca="false">IF(F727="","Unscored",IF(O727="","No URI",IF(AND(F727=0,O727=0),"Zero-vote",IF(AND(F727=O727,G727=P727),"OK",IF(AND(F727=0,O727&gt;0,COUNTIFS(Votes!$A:$A,J727,Votes!$B:$B,K727,Votes!$C:$C,D727)=0),"Forfeited","Mismatch")))))</f>
        <v>OK</v>
      </c>
      <c r="R727" s="6" t="n">
        <f aca="false">MAX(IF(L727&lt;&gt;"",COUNTIF($L:$L,L727),0),COUNTIFS($A:$A,A727,$B:$B,B727))</f>
        <v>1</v>
      </c>
      <c r="S727" s="6" t="str">
        <f aca="false">IF(R727&gt;1,COUNTIF($R$2:R727,"&gt;1"),"")</f>
        <v/>
      </c>
      <c r="T727" s="6" t="str">
        <f aca="false">IF(L727="","",J727&amp;"|"&amp;K727&amp;"|"&amp;L727)</f>
        <v>7|4|spotify:track:0vzSAyinyA619ZbrOaAi04</v>
      </c>
      <c r="U727" s="6" t="str">
        <f aca="false">IF(C727="","",IFERROR(INDEX(Lists!$F:$F,MATCH(C727,Lists!$E:$E,0)),"Unmapped"))</f>
        <v>Country</v>
      </c>
    </row>
    <row r="728" customFormat="false" ht="15" hidden="false" customHeight="false" outlineLevel="0" collapsed="false">
      <c r="A728" s="5" t="s">
        <v>2168</v>
      </c>
      <c r="B728" s="5" t="s">
        <v>1836</v>
      </c>
      <c r="C728" s="5" t="s">
        <v>96</v>
      </c>
      <c r="D728" s="5" t="s">
        <v>1843</v>
      </c>
      <c r="E728" s="5" t="s">
        <v>2145</v>
      </c>
      <c r="F728" s="5" t="n">
        <v>6</v>
      </c>
      <c r="G728" s="5" t="n">
        <v>6</v>
      </c>
      <c r="H728" s="6" t="str">
        <f aca="false">IF(N728="","",N728&amp;IF(AND(MOD(N728,100)&gt;=11,MOD(N728,100)&lt;=13),"th",CHOOSE(MIN(5,MOD(N728,10)+1),"th","st","nd","rd","th")))</f>
        <v>11th</v>
      </c>
      <c r="I728" s="5" t="s">
        <v>2015</v>
      </c>
      <c r="J728" s="6" t="n">
        <f aca="false">IFERROR(INDEX(Rounds!$A:$A,MATCH(I728,Rounds!$B:$B,0)),"ADD LEAGUE TO ROUNDS")</f>
        <v>7</v>
      </c>
      <c r="K728" s="6" t="n">
        <f aca="false">IFERROR(VALUE(LEFT(E728,FIND(" - ",E728)-1)),"")</f>
        <v>4</v>
      </c>
      <c r="L728" s="5" t="s">
        <v>2169</v>
      </c>
      <c r="N728" s="6" t="n">
        <f aca="false">IF(F728="","",1+COUNTIFS($J:$J,J728,$K:$K,K728,$F:$F,"&gt;"&amp;F728)+COUNTIFS($J:$J,J728,$K:$K,K728,$F:$F,F728,$G:$G,"&gt;"&amp;G728))</f>
        <v>11</v>
      </c>
      <c r="O728" s="6" t="n">
        <f aca="false">IF(L728="","",SUMIFS(Votes!$E:$E,Votes!$A:$A,J728,Votes!$B:$B,K728,Votes!$D:$D,L728))</f>
        <v>6</v>
      </c>
      <c r="P728" s="6" t="n">
        <f aca="false">IF(L728="","",COUNTIFS(Votes!$A:$A,J728,Votes!$B:$B,K728,Votes!$D:$D,L728))</f>
        <v>6</v>
      </c>
      <c r="Q728" s="7" t="str">
        <f aca="false">IF(F728="","Unscored",IF(O728="","No URI",IF(AND(F728=0,O728=0),"Zero-vote",IF(AND(F728=O728,G728=P728),"OK",IF(AND(F728=0,O728&gt;0,COUNTIFS(Votes!$A:$A,J728,Votes!$B:$B,K728,Votes!$C:$C,D728)=0),"Forfeited","Mismatch")))))</f>
        <v>OK</v>
      </c>
      <c r="R728" s="6" t="n">
        <f aca="false">MAX(IF(L728&lt;&gt;"",COUNTIF($L:$L,L728),0),COUNTIFS($A:$A,A728,$B:$B,B728))</f>
        <v>1</v>
      </c>
      <c r="S728" s="6" t="str">
        <f aca="false">IF(R728&gt;1,COUNTIF($R$2:R728,"&gt;1"),"")</f>
        <v/>
      </c>
      <c r="T728" s="6" t="str">
        <f aca="false">IF(L728="","",J728&amp;"|"&amp;K728&amp;"|"&amp;L728)</f>
        <v>7|4|spotify:track:1I6pKIyaBp4OebTGLJpCCC</v>
      </c>
      <c r="U728" s="6" t="str">
        <f aca="false">IF(C728="","",IFERROR(INDEX(Lists!$F:$F,MATCH(C728,Lists!$E:$E,0)),"Unmapped"))</f>
        <v>R&amp;B/Soul</v>
      </c>
    </row>
    <row r="729" customFormat="false" ht="15" hidden="false" customHeight="false" outlineLevel="0" collapsed="false">
      <c r="A729" s="5" t="s">
        <v>219</v>
      </c>
      <c r="B729" s="5" t="s">
        <v>432</v>
      </c>
      <c r="C729" s="5" t="s">
        <v>84</v>
      </c>
      <c r="D729" s="5" t="s">
        <v>101</v>
      </c>
      <c r="E729" s="5" t="s">
        <v>2145</v>
      </c>
      <c r="F729" s="5" t="n">
        <v>5</v>
      </c>
      <c r="G729" s="5" t="n">
        <v>5</v>
      </c>
      <c r="H729" s="6" t="str">
        <f aca="false">IF(N729="","",N729&amp;IF(AND(MOD(N729,100)&gt;=11,MOD(N729,100)&lt;=13),"th",CHOOSE(MIN(5,MOD(N729,10)+1),"th","st","nd","rd","th")))</f>
        <v>12th</v>
      </c>
      <c r="I729" s="5" t="s">
        <v>2015</v>
      </c>
      <c r="J729" s="6" t="n">
        <f aca="false">IFERROR(INDEX(Rounds!$A:$A,MATCH(I729,Rounds!$B:$B,0)),"ADD LEAGUE TO ROUNDS")</f>
        <v>7</v>
      </c>
      <c r="K729" s="6" t="n">
        <f aca="false">IFERROR(VALUE(LEFT(E729,FIND(" - ",E729)-1)),"")</f>
        <v>4</v>
      </c>
      <c r="L729" s="5" t="s">
        <v>2170</v>
      </c>
      <c r="N729" s="6" t="n">
        <f aca="false">IF(F729="","",1+COUNTIFS($J:$J,J729,$K:$K,K729,$F:$F,"&gt;"&amp;F729)+COUNTIFS($J:$J,J729,$K:$K,K729,$F:$F,F729,$G:$G,"&gt;"&amp;G729))</f>
        <v>12</v>
      </c>
      <c r="O729" s="6" t="n">
        <f aca="false">IF(L729="","",SUMIFS(Votes!$E:$E,Votes!$A:$A,J729,Votes!$B:$B,K729,Votes!$D:$D,L729))</f>
        <v>5</v>
      </c>
      <c r="P729" s="6" t="n">
        <f aca="false">IF(L729="","",COUNTIFS(Votes!$A:$A,J729,Votes!$B:$B,K729,Votes!$D:$D,L729))</f>
        <v>5</v>
      </c>
      <c r="Q729" s="7" t="str">
        <f aca="false">IF(F729="","Unscored",IF(O729="","No URI",IF(AND(F729=0,O729=0),"Zero-vote",IF(AND(F729=O729,G729=P729),"OK",IF(AND(F729=0,O729&gt;0,COUNTIFS(Votes!$A:$A,J729,Votes!$B:$B,K729,Votes!$C:$C,D729)=0),"Forfeited","Mismatch")))))</f>
        <v>OK</v>
      </c>
      <c r="R729" s="6" t="n">
        <f aca="false">MAX(IF(L729&lt;&gt;"",COUNTIF($L:$L,L729),0),COUNTIFS($A:$A,A729,$B:$B,B729))</f>
        <v>1</v>
      </c>
      <c r="S729" s="6" t="str">
        <f aca="false">IF(R729&gt;1,COUNTIF($R$2:R729,"&gt;1"),"")</f>
        <v/>
      </c>
      <c r="T729" s="6" t="str">
        <f aca="false">IF(L729="","",J729&amp;"|"&amp;K729&amp;"|"&amp;L729)</f>
        <v>7|4|spotify:track:4VAngYbLewVFpcLR9FpYfR</v>
      </c>
      <c r="U729" s="6" t="str">
        <f aca="false">IF(C729="","",IFERROR(INDEX(Lists!$F:$F,MATCH(C729,Lists!$E:$E,0)),"Unmapped"))</f>
        <v>Pop</v>
      </c>
    </row>
    <row r="730" customFormat="false" ht="15" hidden="false" customHeight="false" outlineLevel="0" collapsed="false">
      <c r="A730" s="5" t="s">
        <v>2171</v>
      </c>
      <c r="B730" s="5" t="s">
        <v>2172</v>
      </c>
      <c r="C730" s="5" t="s">
        <v>91</v>
      </c>
      <c r="D730" s="5" t="s">
        <v>116</v>
      </c>
      <c r="E730" s="5" t="s">
        <v>2145</v>
      </c>
      <c r="F730" s="5" t="n">
        <v>3</v>
      </c>
      <c r="G730" s="5" t="n">
        <v>2</v>
      </c>
      <c r="H730" s="6" t="str">
        <f aca="false">IF(N730="","",N730&amp;IF(AND(MOD(N730,100)&gt;=11,MOD(N730,100)&lt;=13),"th",CHOOSE(MIN(5,MOD(N730,10)+1),"th","st","nd","rd","th")))</f>
        <v>13th</v>
      </c>
      <c r="I730" s="5" t="s">
        <v>2015</v>
      </c>
      <c r="J730" s="6" t="n">
        <f aca="false">IFERROR(INDEX(Rounds!$A:$A,MATCH(I730,Rounds!$B:$B,0)),"ADD LEAGUE TO ROUNDS")</f>
        <v>7</v>
      </c>
      <c r="K730" s="6" t="n">
        <f aca="false">IFERROR(VALUE(LEFT(E730,FIND(" - ",E730)-1)),"")</f>
        <v>4</v>
      </c>
      <c r="L730" s="5" t="s">
        <v>2173</v>
      </c>
      <c r="N730" s="6" t="n">
        <f aca="false">IF(F730="","",1+COUNTIFS($J:$J,J730,$K:$K,K730,$F:$F,"&gt;"&amp;F730)+COUNTIFS($J:$J,J730,$K:$K,K730,$F:$F,F730,$G:$G,"&gt;"&amp;G730))</f>
        <v>13</v>
      </c>
      <c r="O730" s="6" t="n">
        <f aca="false">IF(L730="","",SUMIFS(Votes!$E:$E,Votes!$A:$A,J730,Votes!$B:$B,K730,Votes!$D:$D,L730))</f>
        <v>3</v>
      </c>
      <c r="P730" s="6" t="n">
        <f aca="false">IF(L730="","",COUNTIFS(Votes!$A:$A,J730,Votes!$B:$B,K730,Votes!$D:$D,L730))</f>
        <v>2</v>
      </c>
      <c r="Q730" s="7" t="str">
        <f aca="false">IF(F730="","Unscored",IF(O730="","No URI",IF(AND(F730=0,O730=0),"Zero-vote",IF(AND(F730=O730,G730=P730),"OK",IF(AND(F730=0,O730&gt;0,COUNTIFS(Votes!$A:$A,J730,Votes!$B:$B,K730,Votes!$C:$C,D730)=0),"Forfeited","Mismatch")))))</f>
        <v>OK</v>
      </c>
      <c r="R730" s="6" t="n">
        <f aca="false">MAX(IF(L730&lt;&gt;"",COUNTIF($L:$L,L730),0),COUNTIFS($A:$A,A730,$B:$B,B730))</f>
        <v>1</v>
      </c>
      <c r="S730" s="6" t="str">
        <f aca="false">IF(R730&gt;1,COUNTIF($R$2:R730,"&gt;1"),"")</f>
        <v/>
      </c>
      <c r="T730" s="6" t="str">
        <f aca="false">IF(L730="","",J730&amp;"|"&amp;K730&amp;"|"&amp;L730)</f>
        <v>7|4|spotify:track:1S9tfxdFr4TqoqA14gnKj3</v>
      </c>
      <c r="U730" s="6" t="str">
        <f aca="false">IF(C730="","",IFERROR(INDEX(Lists!$F:$F,MATCH(C730,Lists!$E:$E,0)),"Unmapped"))</f>
        <v>Rock</v>
      </c>
    </row>
    <row r="731" customFormat="false" ht="15" hidden="false" customHeight="false" outlineLevel="0" collapsed="false">
      <c r="A731" s="5" t="s">
        <v>2174</v>
      </c>
      <c r="B731" s="5" t="s">
        <v>1264</v>
      </c>
      <c r="C731" s="5" t="s">
        <v>91</v>
      </c>
      <c r="D731" s="5" t="s">
        <v>484</v>
      </c>
      <c r="E731" s="5" t="s">
        <v>2145</v>
      </c>
      <c r="F731" s="5" t="n">
        <v>0</v>
      </c>
      <c r="G731" s="5" t="n">
        <v>10</v>
      </c>
      <c r="H731" s="6" t="str">
        <f aca="false">IF(N731="","",N731&amp;IF(AND(MOD(N731,100)&gt;=11,MOD(N731,100)&lt;=13),"th",CHOOSE(MIN(5,MOD(N731,10)+1),"th","st","nd","rd","th")))</f>
        <v>14th</v>
      </c>
      <c r="I731" s="5" t="s">
        <v>2015</v>
      </c>
      <c r="J731" s="6" t="n">
        <f aca="false">IFERROR(INDEX(Rounds!$A:$A,MATCH(I731,Rounds!$B:$B,0)),"ADD LEAGUE TO ROUNDS")</f>
        <v>7</v>
      </c>
      <c r="K731" s="6" t="n">
        <f aca="false">IFERROR(VALUE(LEFT(E731,FIND(" - ",E731)-1)),"")</f>
        <v>4</v>
      </c>
      <c r="L731" s="5" t="s">
        <v>2175</v>
      </c>
      <c r="N731" s="6" t="n">
        <f aca="false">IF(F731="","",1+COUNTIFS($J:$J,J731,$K:$K,K731,$F:$F,"&gt;"&amp;F731)+COUNTIFS($J:$J,J731,$K:$K,K731,$F:$F,F731,$G:$G,"&gt;"&amp;G731))</f>
        <v>14</v>
      </c>
      <c r="O731" s="6" t="n">
        <f aca="false">IF(L731="","",SUMIFS(Votes!$E:$E,Votes!$A:$A,J731,Votes!$B:$B,K731,Votes!$D:$D,L731))</f>
        <v>12</v>
      </c>
      <c r="P731" s="6" t="n">
        <f aca="false">IF(L731="","",COUNTIFS(Votes!$A:$A,J731,Votes!$B:$B,K731,Votes!$D:$D,L731))</f>
        <v>10</v>
      </c>
      <c r="Q731" s="7" t="str">
        <f aca="false">IF(F731="","Unscored",IF(O731="","No URI",IF(AND(F731=0,O731=0),"Zero-vote",IF(AND(F731=O731,G731=P731),"OK",IF(AND(F731=0,O731&gt;0,COUNTIFS(Votes!$A:$A,J731,Votes!$B:$B,K731,Votes!$C:$C,D731)=0),"Forfeited","Mismatch")))))</f>
        <v>Forfeited</v>
      </c>
      <c r="R731" s="6" t="n">
        <f aca="false">MAX(IF(L731&lt;&gt;"",COUNTIF($L:$L,L731),0),COUNTIFS($A:$A,A731,$B:$B,B731))</f>
        <v>1</v>
      </c>
      <c r="S731" s="6" t="str">
        <f aca="false">IF(R731&gt;1,COUNTIF($R$2:R731,"&gt;1"),"")</f>
        <v/>
      </c>
      <c r="T731" s="6" t="str">
        <f aca="false">IF(L731="","",J731&amp;"|"&amp;K731&amp;"|"&amp;L731)</f>
        <v>7|4|spotify:track:6C6aknFp2XtjIq7xuvyfuY</v>
      </c>
      <c r="U731" s="6" t="str">
        <f aca="false">IF(C731="","",IFERROR(INDEX(Lists!$F:$F,MATCH(C731,Lists!$E:$E,0)),"Unmapped"))</f>
        <v>Rock</v>
      </c>
    </row>
    <row r="732" customFormat="false" ht="15" hidden="false" customHeight="false" outlineLevel="0" collapsed="false">
      <c r="A732" s="5" t="s">
        <v>2176</v>
      </c>
      <c r="B732" s="5" t="s">
        <v>2177</v>
      </c>
      <c r="C732" s="5" t="s">
        <v>171</v>
      </c>
      <c r="D732" s="5" t="s">
        <v>119</v>
      </c>
      <c r="E732" s="5" t="s">
        <v>2145</v>
      </c>
      <c r="F732" s="5" t="n">
        <v>0</v>
      </c>
      <c r="G732" s="5" t="n">
        <v>5</v>
      </c>
      <c r="H732" s="6" t="str">
        <f aca="false">IF(N732="","",N732&amp;IF(AND(MOD(N732,100)&gt;=11,MOD(N732,100)&lt;=13),"th",CHOOSE(MIN(5,MOD(N732,10)+1),"th","st","nd","rd","th")))</f>
        <v>15th</v>
      </c>
      <c r="I732" s="5" t="s">
        <v>2015</v>
      </c>
      <c r="J732" s="6" t="n">
        <f aca="false">IFERROR(INDEX(Rounds!$A:$A,MATCH(I732,Rounds!$B:$B,0)),"ADD LEAGUE TO ROUNDS")</f>
        <v>7</v>
      </c>
      <c r="K732" s="6" t="n">
        <f aca="false">IFERROR(VALUE(LEFT(E732,FIND(" - ",E732)-1)),"")</f>
        <v>4</v>
      </c>
      <c r="L732" s="5" t="s">
        <v>2178</v>
      </c>
      <c r="N732" s="6" t="n">
        <f aca="false">IF(F732="","",1+COUNTIFS($J:$J,J732,$K:$K,K732,$F:$F,"&gt;"&amp;F732)+COUNTIFS($J:$J,J732,$K:$K,K732,$F:$F,F732,$G:$G,"&gt;"&amp;G732))</f>
        <v>15</v>
      </c>
      <c r="O732" s="6" t="n">
        <f aca="false">IF(L732="","",SUMIFS(Votes!$E:$E,Votes!$A:$A,J732,Votes!$B:$B,K732,Votes!$D:$D,L732))</f>
        <v>6</v>
      </c>
      <c r="P732" s="6" t="n">
        <f aca="false">IF(L732="","",COUNTIFS(Votes!$A:$A,J732,Votes!$B:$B,K732,Votes!$D:$D,L732))</f>
        <v>5</v>
      </c>
      <c r="Q732" s="7" t="str">
        <f aca="false">IF(F732="","Unscored",IF(O732="","No URI",IF(AND(F732=0,O732=0),"Zero-vote",IF(AND(F732=O732,G732=P732),"OK",IF(AND(F732=0,O732&gt;0,COUNTIFS(Votes!$A:$A,J732,Votes!$B:$B,K732,Votes!$C:$C,D732)=0),"Forfeited","Mismatch")))))</f>
        <v>Forfeited</v>
      </c>
      <c r="R732" s="6" t="n">
        <f aca="false">MAX(IF(L732&lt;&gt;"",COUNTIF($L:$L,L732),0),COUNTIFS($A:$A,A732,$B:$B,B732))</f>
        <v>1</v>
      </c>
      <c r="S732" s="6" t="str">
        <f aca="false">IF(R732&gt;1,COUNTIF($R$2:R732,"&gt;1"),"")</f>
        <v/>
      </c>
      <c r="T732" s="6" t="str">
        <f aca="false">IF(L732="","",J732&amp;"|"&amp;K732&amp;"|"&amp;L732)</f>
        <v>7|4|spotify:track:5yqKUU2DUyilP2TvOrjEzT</v>
      </c>
      <c r="U732" s="6" t="str">
        <f aca="false">IF(C732="","",IFERROR(INDEX(Lists!$F:$F,MATCH(C732,Lists!$E:$E,0)),"Unmapped"))</f>
        <v>Country</v>
      </c>
    </row>
    <row r="733" customFormat="false" ht="15" hidden="false" customHeight="false" outlineLevel="0" collapsed="false">
      <c r="A733" s="5" t="s">
        <v>2179</v>
      </c>
      <c r="B733" s="5" t="s">
        <v>2180</v>
      </c>
      <c r="C733" s="5" t="s">
        <v>91</v>
      </c>
      <c r="D733" s="5" t="s">
        <v>705</v>
      </c>
      <c r="E733" s="5" t="s">
        <v>2181</v>
      </c>
      <c r="F733" s="5" t="n">
        <v>16</v>
      </c>
      <c r="G733" s="5" t="n">
        <v>12</v>
      </c>
      <c r="H733" s="6" t="str">
        <f aca="false">IF(N733="","",N733&amp;IF(AND(MOD(N733,100)&gt;=11,MOD(N733,100)&lt;=13),"th",CHOOSE(MIN(5,MOD(N733,10)+1),"th","st","nd","rd","th")))</f>
        <v>1st</v>
      </c>
      <c r="I733" s="5" t="s">
        <v>2015</v>
      </c>
      <c r="J733" s="6" t="n">
        <f aca="false">IFERROR(INDEX(Rounds!$A:$A,MATCH(I733,Rounds!$B:$B,0)),"ADD LEAGUE TO ROUNDS")</f>
        <v>7</v>
      </c>
      <c r="K733" s="6" t="n">
        <f aca="false">IFERROR(VALUE(LEFT(E733,FIND(" - ",E733)-1)),"")</f>
        <v>5</v>
      </c>
      <c r="L733" s="5" t="s">
        <v>2182</v>
      </c>
      <c r="N733" s="6" t="n">
        <f aca="false">IF(F733="","",1+COUNTIFS($J:$J,J733,$K:$K,K733,$F:$F,"&gt;"&amp;F733)+COUNTIFS($J:$J,J733,$K:$K,K733,$F:$F,F733,$G:$G,"&gt;"&amp;G733))</f>
        <v>1</v>
      </c>
      <c r="O733" s="6" t="n">
        <f aca="false">IF(L733="","",SUMIFS(Votes!$E:$E,Votes!$A:$A,J733,Votes!$B:$B,K733,Votes!$D:$D,L733))</f>
        <v>16</v>
      </c>
      <c r="P733" s="6" t="n">
        <f aca="false">IF(L733="","",COUNTIFS(Votes!$A:$A,J733,Votes!$B:$B,K733,Votes!$D:$D,L733))</f>
        <v>12</v>
      </c>
      <c r="Q733" s="7" t="str">
        <f aca="false">IF(F733="","Unscored",IF(O733="","No URI",IF(AND(F733=0,O733=0),"Zero-vote",IF(AND(F733=O733,G733=P733),"OK",IF(AND(F733=0,O733&gt;0,COUNTIFS(Votes!$A:$A,J733,Votes!$B:$B,K733,Votes!$C:$C,D733)=0),"Forfeited","Mismatch")))))</f>
        <v>OK</v>
      </c>
      <c r="R733" s="6" t="n">
        <f aca="false">MAX(IF(L733&lt;&gt;"",COUNTIF($L:$L,L733),0),COUNTIFS($A:$A,A733,$B:$B,B733))</f>
        <v>1</v>
      </c>
      <c r="S733" s="6" t="str">
        <f aca="false">IF(R733&gt;1,COUNTIF($R$2:R733,"&gt;1"),"")</f>
        <v/>
      </c>
      <c r="T733" s="6" t="str">
        <f aca="false">IF(L733="","",J733&amp;"|"&amp;K733&amp;"|"&amp;L733)</f>
        <v>7|5|spotify:track:4RvWPyQ5RL0ao9LPZeSouE</v>
      </c>
      <c r="U733" s="6" t="str">
        <f aca="false">IF(C733="","",IFERROR(INDEX(Lists!$F:$F,MATCH(C733,Lists!$E:$E,0)),"Unmapped"))</f>
        <v>Rock</v>
      </c>
    </row>
    <row r="734" customFormat="false" ht="15" hidden="false" customHeight="false" outlineLevel="0" collapsed="false">
      <c r="A734" s="5" t="s">
        <v>2183</v>
      </c>
      <c r="B734" s="5" t="s">
        <v>2184</v>
      </c>
      <c r="C734" s="5" t="s">
        <v>84</v>
      </c>
      <c r="D734" s="5" t="s">
        <v>2019</v>
      </c>
      <c r="E734" s="5" t="s">
        <v>2181</v>
      </c>
      <c r="F734" s="5" t="n">
        <v>15</v>
      </c>
      <c r="G734" s="5" t="n">
        <v>10</v>
      </c>
      <c r="H734" s="6" t="str">
        <f aca="false">IF(N734="","",N734&amp;IF(AND(MOD(N734,100)&gt;=11,MOD(N734,100)&lt;=13),"th",CHOOSE(MIN(5,MOD(N734,10)+1),"th","st","nd","rd","th")))</f>
        <v>2nd</v>
      </c>
      <c r="I734" s="5" t="s">
        <v>2015</v>
      </c>
      <c r="J734" s="6" t="n">
        <f aca="false">IFERROR(INDEX(Rounds!$A:$A,MATCH(I734,Rounds!$B:$B,0)),"ADD LEAGUE TO ROUNDS")</f>
        <v>7</v>
      </c>
      <c r="K734" s="6" t="n">
        <f aca="false">IFERROR(VALUE(LEFT(E734,FIND(" - ",E734)-1)),"")</f>
        <v>5</v>
      </c>
      <c r="L734" s="5" t="s">
        <v>2185</v>
      </c>
      <c r="N734" s="6" t="n">
        <f aca="false">IF(F734="","",1+COUNTIFS($J:$J,J734,$K:$K,K734,$F:$F,"&gt;"&amp;F734)+COUNTIFS($J:$J,J734,$K:$K,K734,$F:$F,F734,$G:$G,"&gt;"&amp;G734))</f>
        <v>2</v>
      </c>
      <c r="O734" s="6" t="n">
        <f aca="false">IF(L734="","",SUMIFS(Votes!$E:$E,Votes!$A:$A,J734,Votes!$B:$B,K734,Votes!$D:$D,L734))</f>
        <v>15</v>
      </c>
      <c r="P734" s="6" t="n">
        <f aca="false">IF(L734="","",COUNTIFS(Votes!$A:$A,J734,Votes!$B:$B,K734,Votes!$D:$D,L734))</f>
        <v>10</v>
      </c>
      <c r="Q734" s="7" t="str">
        <f aca="false">IF(F734="","Unscored",IF(O734="","No URI",IF(AND(F734=0,O734=0),"Zero-vote",IF(AND(F734=O734,G734=P734),"OK",IF(AND(F734=0,O734&gt;0,COUNTIFS(Votes!$A:$A,J734,Votes!$B:$B,K734,Votes!$C:$C,D734)=0),"Forfeited","Mismatch")))))</f>
        <v>OK</v>
      </c>
      <c r="R734" s="6" t="n">
        <f aca="false">MAX(IF(L734&lt;&gt;"",COUNTIF($L:$L,L734),0),COUNTIFS($A:$A,A734,$B:$B,B734))</f>
        <v>1</v>
      </c>
      <c r="S734" s="6" t="str">
        <f aca="false">IF(R734&gt;1,COUNTIF($R$2:R734,"&gt;1"),"")</f>
        <v/>
      </c>
      <c r="T734" s="6" t="str">
        <f aca="false">IF(L734="","",J734&amp;"|"&amp;K734&amp;"|"&amp;L734)</f>
        <v>7|5|spotify:track:4y1LsJpmMti1PfRQV9AWWe</v>
      </c>
      <c r="U734" s="6" t="str">
        <f aca="false">IF(C734="","",IFERROR(INDEX(Lists!$F:$F,MATCH(C734,Lists!$E:$E,0)),"Unmapped"))</f>
        <v>Pop</v>
      </c>
    </row>
    <row r="735" customFormat="false" ht="15" hidden="false" customHeight="false" outlineLevel="0" collapsed="false">
      <c r="A735" s="5" t="s">
        <v>1912</v>
      </c>
      <c r="B735" s="5" t="s">
        <v>1913</v>
      </c>
      <c r="C735" s="5" t="s">
        <v>91</v>
      </c>
      <c r="D735" s="5" t="s">
        <v>85</v>
      </c>
      <c r="E735" s="5" t="s">
        <v>2181</v>
      </c>
      <c r="F735" s="5" t="n">
        <v>14</v>
      </c>
      <c r="G735" s="5" t="n">
        <v>9</v>
      </c>
      <c r="H735" s="6" t="str">
        <f aca="false">IF(N735="","",N735&amp;IF(AND(MOD(N735,100)&gt;=11,MOD(N735,100)&lt;=13),"th",CHOOSE(MIN(5,MOD(N735,10)+1),"th","st","nd","rd","th")))</f>
        <v>3rd</v>
      </c>
      <c r="I735" s="5" t="s">
        <v>2015</v>
      </c>
      <c r="J735" s="6" t="n">
        <f aca="false">IFERROR(INDEX(Rounds!$A:$A,MATCH(I735,Rounds!$B:$B,0)),"ADD LEAGUE TO ROUNDS")</f>
        <v>7</v>
      </c>
      <c r="K735" s="6" t="n">
        <f aca="false">IFERROR(VALUE(LEFT(E735,FIND(" - ",E735)-1)),"")</f>
        <v>5</v>
      </c>
      <c r="L735" s="5" t="s">
        <v>1914</v>
      </c>
      <c r="N735" s="6" t="n">
        <f aca="false">IF(F735="","",1+COUNTIFS($J:$J,J735,$K:$K,K735,$F:$F,"&gt;"&amp;F735)+COUNTIFS($J:$J,J735,$K:$K,K735,$F:$F,F735,$G:$G,"&gt;"&amp;G735))</f>
        <v>3</v>
      </c>
      <c r="O735" s="6" t="n">
        <f aca="false">IF(L735="","",SUMIFS(Votes!$E:$E,Votes!$A:$A,J735,Votes!$B:$B,K735,Votes!$D:$D,L735))</f>
        <v>14</v>
      </c>
      <c r="P735" s="6" t="n">
        <f aca="false">IF(L735="","",COUNTIFS(Votes!$A:$A,J735,Votes!$B:$B,K735,Votes!$D:$D,L735))</f>
        <v>9</v>
      </c>
      <c r="Q735" s="7" t="str">
        <f aca="false">IF(F735="","Unscored",IF(O735="","No URI",IF(AND(F735=0,O735=0),"Zero-vote",IF(AND(F735=O735,G735=P735),"OK",IF(AND(F735=0,O735&gt;0,COUNTIFS(Votes!$A:$A,J735,Votes!$B:$B,K735,Votes!$C:$C,D735)=0),"Forfeited","Mismatch")))))</f>
        <v>OK</v>
      </c>
      <c r="R735" s="6" t="n">
        <f aca="false">MAX(IF(L735&lt;&gt;"",COUNTIF($L:$L,L735),0),COUNTIFS($A:$A,A735,$B:$B,B735))</f>
        <v>2</v>
      </c>
      <c r="S735" s="6" t="n">
        <f aca="false">IF(R735&gt;1,COUNTIF($R$2:R735,"&gt;1"),"")</f>
        <v>47</v>
      </c>
      <c r="T735" s="6" t="str">
        <f aca="false">IF(L735="","",J735&amp;"|"&amp;K735&amp;"|"&amp;L735)</f>
        <v>7|5|spotify:track:1p46bniF6fC9kT1v5yjJOI</v>
      </c>
      <c r="U735" s="6" t="str">
        <f aca="false">IF(C735="","",IFERROR(INDEX(Lists!$F:$F,MATCH(C735,Lists!$E:$E,0)),"Unmapped"))</f>
        <v>Rock</v>
      </c>
    </row>
    <row r="736" customFormat="false" ht="15" hidden="false" customHeight="false" outlineLevel="0" collapsed="false">
      <c r="A736" s="5" t="s">
        <v>2186</v>
      </c>
      <c r="B736" s="5" t="s">
        <v>2187</v>
      </c>
      <c r="C736" s="5" t="s">
        <v>91</v>
      </c>
      <c r="D736" s="5" t="s">
        <v>637</v>
      </c>
      <c r="E736" s="5" t="s">
        <v>2181</v>
      </c>
      <c r="F736" s="5" t="n">
        <v>13</v>
      </c>
      <c r="G736" s="5" t="n">
        <v>10</v>
      </c>
      <c r="H736" s="6" t="str">
        <f aca="false">IF(N736="","",N736&amp;IF(AND(MOD(N736,100)&gt;=11,MOD(N736,100)&lt;=13),"th",CHOOSE(MIN(5,MOD(N736,10)+1),"th","st","nd","rd","th")))</f>
        <v>4th</v>
      </c>
      <c r="I736" s="5" t="s">
        <v>2015</v>
      </c>
      <c r="J736" s="6" t="n">
        <f aca="false">IFERROR(INDEX(Rounds!$A:$A,MATCH(I736,Rounds!$B:$B,0)),"ADD LEAGUE TO ROUNDS")</f>
        <v>7</v>
      </c>
      <c r="K736" s="6" t="n">
        <f aca="false">IFERROR(VALUE(LEFT(E736,FIND(" - ",E736)-1)),"")</f>
        <v>5</v>
      </c>
      <c r="L736" s="5" t="s">
        <v>2188</v>
      </c>
      <c r="N736" s="6" t="n">
        <f aca="false">IF(F736="","",1+COUNTIFS($J:$J,J736,$K:$K,K736,$F:$F,"&gt;"&amp;F736)+COUNTIFS($J:$J,J736,$K:$K,K736,$F:$F,F736,$G:$G,"&gt;"&amp;G736))</f>
        <v>4</v>
      </c>
      <c r="O736" s="6" t="n">
        <f aca="false">IF(L736="","",SUMIFS(Votes!$E:$E,Votes!$A:$A,J736,Votes!$B:$B,K736,Votes!$D:$D,L736))</f>
        <v>13</v>
      </c>
      <c r="P736" s="6" t="n">
        <f aca="false">IF(L736="","",COUNTIFS(Votes!$A:$A,J736,Votes!$B:$B,K736,Votes!$D:$D,L736))</f>
        <v>10</v>
      </c>
      <c r="Q736" s="7" t="str">
        <f aca="false">IF(F736="","Unscored",IF(O736="","No URI",IF(AND(F736=0,O736=0),"Zero-vote",IF(AND(F736=O736,G736=P736),"OK",IF(AND(F736=0,O736&gt;0,COUNTIFS(Votes!$A:$A,J736,Votes!$B:$B,K736,Votes!$C:$C,D736)=0),"Forfeited","Mismatch")))))</f>
        <v>OK</v>
      </c>
      <c r="R736" s="6" t="n">
        <f aca="false">MAX(IF(L736&lt;&gt;"",COUNTIF($L:$L,L736),0),COUNTIFS($A:$A,A736,$B:$B,B736))</f>
        <v>1</v>
      </c>
      <c r="S736" s="6" t="str">
        <f aca="false">IF(R736&gt;1,COUNTIF($R$2:R736,"&gt;1"),"")</f>
        <v/>
      </c>
      <c r="T736" s="6" t="str">
        <f aca="false">IF(L736="","",J736&amp;"|"&amp;K736&amp;"|"&amp;L736)</f>
        <v>7|5|spotify:track:39lSeqnyjZJejRuaREfyLL</v>
      </c>
      <c r="U736" s="6" t="str">
        <f aca="false">IF(C736="","",IFERROR(INDEX(Lists!$F:$F,MATCH(C736,Lists!$E:$E,0)),"Unmapped"))</f>
        <v>Rock</v>
      </c>
    </row>
    <row r="737" customFormat="false" ht="15" hidden="false" customHeight="false" outlineLevel="0" collapsed="false">
      <c r="A737" s="5" t="s">
        <v>2189</v>
      </c>
      <c r="B737" s="5" t="s">
        <v>2190</v>
      </c>
      <c r="C737" s="5" t="s">
        <v>84</v>
      </c>
      <c r="D737" s="5" t="s">
        <v>128</v>
      </c>
      <c r="E737" s="5" t="s">
        <v>2181</v>
      </c>
      <c r="F737" s="5" t="n">
        <v>12</v>
      </c>
      <c r="G737" s="5" t="n">
        <v>11</v>
      </c>
      <c r="H737" s="6" t="str">
        <f aca="false">IF(N737="","",N737&amp;IF(AND(MOD(N737,100)&gt;=11,MOD(N737,100)&lt;=13),"th",CHOOSE(MIN(5,MOD(N737,10)+1),"th","st","nd","rd","th")))</f>
        <v>5th</v>
      </c>
      <c r="I737" s="5" t="s">
        <v>2015</v>
      </c>
      <c r="J737" s="6" t="n">
        <f aca="false">IFERROR(INDEX(Rounds!$A:$A,MATCH(I737,Rounds!$B:$B,0)),"ADD LEAGUE TO ROUNDS")</f>
        <v>7</v>
      </c>
      <c r="K737" s="6" t="n">
        <f aca="false">IFERROR(VALUE(LEFT(E737,FIND(" - ",E737)-1)),"")</f>
        <v>5</v>
      </c>
      <c r="L737" s="5" t="s">
        <v>2191</v>
      </c>
      <c r="N737" s="6" t="n">
        <f aca="false">IF(F737="","",1+COUNTIFS($J:$J,J737,$K:$K,K737,$F:$F,"&gt;"&amp;F737)+COUNTIFS($J:$J,J737,$K:$K,K737,$F:$F,F737,$G:$G,"&gt;"&amp;G737))</f>
        <v>5</v>
      </c>
      <c r="O737" s="6" t="n">
        <f aca="false">IF(L737="","",SUMIFS(Votes!$E:$E,Votes!$A:$A,J737,Votes!$B:$B,K737,Votes!$D:$D,L737))</f>
        <v>12</v>
      </c>
      <c r="P737" s="6" t="n">
        <f aca="false">IF(L737="","",COUNTIFS(Votes!$A:$A,J737,Votes!$B:$B,K737,Votes!$D:$D,L737))</f>
        <v>11</v>
      </c>
      <c r="Q737" s="7" t="str">
        <f aca="false">IF(F737="","Unscored",IF(O737="","No URI",IF(AND(F737=0,O737=0),"Zero-vote",IF(AND(F737=O737,G737=P737),"OK",IF(AND(F737=0,O737&gt;0,COUNTIFS(Votes!$A:$A,J737,Votes!$B:$B,K737,Votes!$C:$C,D737)=0),"Forfeited","Mismatch")))))</f>
        <v>OK</v>
      </c>
      <c r="R737" s="6" t="n">
        <f aca="false">MAX(IF(L737&lt;&gt;"",COUNTIF($L:$L,L737),0),COUNTIFS($A:$A,A737,$B:$B,B737))</f>
        <v>1</v>
      </c>
      <c r="S737" s="6" t="str">
        <f aca="false">IF(R737&gt;1,COUNTIF($R$2:R737,"&gt;1"),"")</f>
        <v/>
      </c>
      <c r="T737" s="6" t="str">
        <f aca="false">IF(L737="","",J737&amp;"|"&amp;K737&amp;"|"&amp;L737)</f>
        <v>7|5|spotify:track:0HEmnAUT8PHznIAAmVXqFJ</v>
      </c>
      <c r="U737" s="6" t="str">
        <f aca="false">IF(C737="","",IFERROR(INDEX(Lists!$F:$F,MATCH(C737,Lists!$E:$E,0)),"Unmapped"))</f>
        <v>Pop</v>
      </c>
    </row>
    <row r="738" customFormat="false" ht="15" hidden="false" customHeight="false" outlineLevel="0" collapsed="false">
      <c r="A738" s="5" t="s">
        <v>2192</v>
      </c>
      <c r="B738" s="5" t="s">
        <v>2193</v>
      </c>
      <c r="C738" s="5" t="s">
        <v>84</v>
      </c>
      <c r="D738" s="5" t="s">
        <v>119</v>
      </c>
      <c r="E738" s="5" t="s">
        <v>2181</v>
      </c>
      <c r="F738" s="5" t="n">
        <v>12</v>
      </c>
      <c r="G738" s="5" t="n">
        <v>8</v>
      </c>
      <c r="H738" s="6" t="str">
        <f aca="false">IF(N738="","",N738&amp;IF(AND(MOD(N738,100)&gt;=11,MOD(N738,100)&lt;=13),"th",CHOOSE(MIN(5,MOD(N738,10)+1),"th","st","nd","rd","th")))</f>
        <v>6th</v>
      </c>
      <c r="I738" s="5" t="s">
        <v>2015</v>
      </c>
      <c r="J738" s="6" t="n">
        <f aca="false">IFERROR(INDEX(Rounds!$A:$A,MATCH(I738,Rounds!$B:$B,0)),"ADD LEAGUE TO ROUNDS")</f>
        <v>7</v>
      </c>
      <c r="K738" s="6" t="n">
        <f aca="false">IFERROR(VALUE(LEFT(E738,FIND(" - ",E738)-1)),"")</f>
        <v>5</v>
      </c>
      <c r="L738" s="5" t="s">
        <v>2194</v>
      </c>
      <c r="N738" s="6" t="n">
        <f aca="false">IF(F738="","",1+COUNTIFS($J:$J,J738,$K:$K,K738,$F:$F,"&gt;"&amp;F738)+COUNTIFS($J:$J,J738,$K:$K,K738,$F:$F,F738,$G:$G,"&gt;"&amp;G738))</f>
        <v>6</v>
      </c>
      <c r="O738" s="6" t="n">
        <f aca="false">IF(L738="","",SUMIFS(Votes!$E:$E,Votes!$A:$A,J738,Votes!$B:$B,K738,Votes!$D:$D,L738))</f>
        <v>12</v>
      </c>
      <c r="P738" s="6" t="n">
        <f aca="false">IF(L738="","",COUNTIFS(Votes!$A:$A,J738,Votes!$B:$B,K738,Votes!$D:$D,L738))</f>
        <v>8</v>
      </c>
      <c r="Q738" s="7" t="str">
        <f aca="false">IF(F738="","Unscored",IF(O738="","No URI",IF(AND(F738=0,O738=0),"Zero-vote",IF(AND(F738=O738,G738=P738),"OK",IF(AND(F738=0,O738&gt;0,COUNTIFS(Votes!$A:$A,J738,Votes!$B:$B,K738,Votes!$C:$C,D738)=0),"Forfeited","Mismatch")))))</f>
        <v>OK</v>
      </c>
      <c r="R738" s="6" t="n">
        <f aca="false">MAX(IF(L738&lt;&gt;"",COUNTIF($L:$L,L738),0),COUNTIFS($A:$A,A738,$B:$B,B738))</f>
        <v>1</v>
      </c>
      <c r="S738" s="6" t="str">
        <f aca="false">IF(R738&gt;1,COUNTIF($R$2:R738,"&gt;1"),"")</f>
        <v/>
      </c>
      <c r="T738" s="6" t="str">
        <f aca="false">IF(L738="","",J738&amp;"|"&amp;K738&amp;"|"&amp;L738)</f>
        <v>7|5|spotify:track:1ChulFMnwxoD74Me8eX2TU</v>
      </c>
      <c r="U738" s="6" t="str">
        <f aca="false">IF(C738="","",IFERROR(INDEX(Lists!$F:$F,MATCH(C738,Lists!$E:$E,0)),"Unmapped"))</f>
        <v>Pop</v>
      </c>
    </row>
    <row r="739" customFormat="false" ht="15" hidden="false" customHeight="false" outlineLevel="0" collapsed="false">
      <c r="A739" s="5" t="s">
        <v>1868</v>
      </c>
      <c r="B739" s="5" t="s">
        <v>1869</v>
      </c>
      <c r="C739" s="5" t="s">
        <v>91</v>
      </c>
      <c r="D739" s="5" t="s">
        <v>382</v>
      </c>
      <c r="E739" s="5" t="s">
        <v>2181</v>
      </c>
      <c r="F739" s="5" t="n">
        <v>11</v>
      </c>
      <c r="G739" s="5" t="n">
        <v>9</v>
      </c>
      <c r="H739" s="6" t="str">
        <f aca="false">IF(N739="","",N739&amp;IF(AND(MOD(N739,100)&gt;=11,MOD(N739,100)&lt;=13),"th",CHOOSE(MIN(5,MOD(N739,10)+1),"th","st","nd","rd","th")))</f>
        <v>7th</v>
      </c>
      <c r="I739" s="5" t="s">
        <v>2015</v>
      </c>
      <c r="J739" s="6" t="n">
        <f aca="false">IFERROR(INDEX(Rounds!$A:$A,MATCH(I739,Rounds!$B:$B,0)),"ADD LEAGUE TO ROUNDS")</f>
        <v>7</v>
      </c>
      <c r="K739" s="6" t="n">
        <f aca="false">IFERROR(VALUE(LEFT(E739,FIND(" - ",E739)-1)),"")</f>
        <v>5</v>
      </c>
      <c r="L739" s="5" t="s">
        <v>1870</v>
      </c>
      <c r="N739" s="6" t="n">
        <f aca="false">IF(F739="","",1+COUNTIFS($J:$J,J739,$K:$K,K739,$F:$F,"&gt;"&amp;F739)+COUNTIFS($J:$J,J739,$K:$K,K739,$F:$F,F739,$G:$G,"&gt;"&amp;G739))</f>
        <v>7</v>
      </c>
      <c r="O739" s="6" t="n">
        <f aca="false">IF(L739="","",SUMIFS(Votes!$E:$E,Votes!$A:$A,J739,Votes!$B:$B,K739,Votes!$D:$D,L739))</f>
        <v>11</v>
      </c>
      <c r="P739" s="6" t="n">
        <f aca="false">IF(L739="","",COUNTIFS(Votes!$A:$A,J739,Votes!$B:$B,K739,Votes!$D:$D,L739))</f>
        <v>9</v>
      </c>
      <c r="Q739" s="7" t="str">
        <f aca="false">IF(F739="","Unscored",IF(O739="","No URI",IF(AND(F739=0,O739=0),"Zero-vote",IF(AND(F739=O739,G739=P739),"OK",IF(AND(F739=0,O739&gt;0,COUNTIFS(Votes!$A:$A,J739,Votes!$B:$B,K739,Votes!$C:$C,D739)=0),"Forfeited","Mismatch")))))</f>
        <v>OK</v>
      </c>
      <c r="R739" s="6" t="n">
        <f aca="false">MAX(IF(L739&lt;&gt;"",COUNTIF($L:$L,L739),0),COUNTIFS($A:$A,A739,$B:$B,B739))</f>
        <v>2</v>
      </c>
      <c r="S739" s="6" t="n">
        <f aca="false">IF(R739&gt;1,COUNTIF($R$2:R739,"&gt;1"),"")</f>
        <v>48</v>
      </c>
      <c r="T739" s="6" t="str">
        <f aca="false">IF(L739="","",J739&amp;"|"&amp;K739&amp;"|"&amp;L739)</f>
        <v>7|5|spotify:track:4o6BgsqLIBViaGVbx5rbRk</v>
      </c>
      <c r="U739" s="6" t="str">
        <f aca="false">IF(C739="","",IFERROR(INDEX(Lists!$F:$F,MATCH(C739,Lists!$E:$E,0)),"Unmapped"))</f>
        <v>Rock</v>
      </c>
    </row>
    <row r="740" customFormat="false" ht="15" hidden="false" customHeight="false" outlineLevel="0" collapsed="false">
      <c r="A740" s="5" t="s">
        <v>2195</v>
      </c>
      <c r="B740" s="5" t="s">
        <v>2196</v>
      </c>
      <c r="C740" s="5" t="s">
        <v>91</v>
      </c>
      <c r="D740" s="5" t="s">
        <v>1843</v>
      </c>
      <c r="E740" s="5" t="s">
        <v>2181</v>
      </c>
      <c r="F740" s="5" t="n">
        <v>10</v>
      </c>
      <c r="G740" s="5" t="n">
        <v>9</v>
      </c>
      <c r="H740" s="6" t="str">
        <f aca="false">IF(N740="","",N740&amp;IF(AND(MOD(N740,100)&gt;=11,MOD(N740,100)&lt;=13),"th",CHOOSE(MIN(5,MOD(N740,10)+1),"th","st","nd","rd","th")))</f>
        <v>8th</v>
      </c>
      <c r="I740" s="5" t="s">
        <v>2015</v>
      </c>
      <c r="J740" s="6" t="n">
        <f aca="false">IFERROR(INDEX(Rounds!$A:$A,MATCH(I740,Rounds!$B:$B,0)),"ADD LEAGUE TO ROUNDS")</f>
        <v>7</v>
      </c>
      <c r="K740" s="6" t="n">
        <f aca="false">IFERROR(VALUE(LEFT(E740,FIND(" - ",E740)-1)),"")</f>
        <v>5</v>
      </c>
      <c r="L740" s="5" t="s">
        <v>2197</v>
      </c>
      <c r="N740" s="6" t="n">
        <f aca="false">IF(F740="","",1+COUNTIFS($J:$J,J740,$K:$K,K740,$F:$F,"&gt;"&amp;F740)+COUNTIFS($J:$J,J740,$K:$K,K740,$F:$F,F740,$G:$G,"&gt;"&amp;G740))</f>
        <v>8</v>
      </c>
      <c r="O740" s="6" t="n">
        <f aca="false">IF(L740="","",SUMIFS(Votes!$E:$E,Votes!$A:$A,J740,Votes!$B:$B,K740,Votes!$D:$D,L740))</f>
        <v>10</v>
      </c>
      <c r="P740" s="6" t="n">
        <f aca="false">IF(L740="","",COUNTIFS(Votes!$A:$A,J740,Votes!$B:$B,K740,Votes!$D:$D,L740))</f>
        <v>9</v>
      </c>
      <c r="Q740" s="7" t="str">
        <f aca="false">IF(F740="","Unscored",IF(O740="","No URI",IF(AND(F740=0,O740=0),"Zero-vote",IF(AND(F740=O740,G740=P740),"OK",IF(AND(F740=0,O740&gt;0,COUNTIFS(Votes!$A:$A,J740,Votes!$B:$B,K740,Votes!$C:$C,D740)=0),"Forfeited","Mismatch")))))</f>
        <v>OK</v>
      </c>
      <c r="R740" s="6" t="n">
        <f aca="false">MAX(IF(L740&lt;&gt;"",COUNTIF($L:$L,L740),0),COUNTIFS($A:$A,A740,$B:$B,B740))</f>
        <v>1</v>
      </c>
      <c r="S740" s="6" t="str">
        <f aca="false">IF(R740&gt;1,COUNTIF($R$2:R740,"&gt;1"),"")</f>
        <v/>
      </c>
      <c r="T740" s="6" t="str">
        <f aca="false">IF(L740="","",J740&amp;"|"&amp;K740&amp;"|"&amp;L740)</f>
        <v>7|5|spotify:track:3rQfYDjgpRy5LFlClpPQW9</v>
      </c>
      <c r="U740" s="6" t="str">
        <f aca="false">IF(C740="","",IFERROR(INDEX(Lists!$F:$F,MATCH(C740,Lists!$E:$E,0)),"Unmapped"))</f>
        <v>Rock</v>
      </c>
    </row>
    <row r="741" customFormat="false" ht="15" hidden="false" customHeight="false" outlineLevel="0" collapsed="false">
      <c r="A741" s="5" t="s">
        <v>2198</v>
      </c>
      <c r="B741" s="5" t="s">
        <v>2199</v>
      </c>
      <c r="C741" s="5" t="s">
        <v>91</v>
      </c>
      <c r="D741" s="5" t="s">
        <v>719</v>
      </c>
      <c r="E741" s="5" t="s">
        <v>2181</v>
      </c>
      <c r="F741" s="5" t="n">
        <v>7</v>
      </c>
      <c r="G741" s="5" t="n">
        <v>7</v>
      </c>
      <c r="H741" s="6" t="str">
        <f aca="false">IF(N741="","",N741&amp;IF(AND(MOD(N741,100)&gt;=11,MOD(N741,100)&lt;=13),"th",CHOOSE(MIN(5,MOD(N741,10)+1),"th","st","nd","rd","th")))</f>
        <v>9th</v>
      </c>
      <c r="I741" s="5" t="s">
        <v>2015</v>
      </c>
      <c r="J741" s="6" t="n">
        <f aca="false">IFERROR(INDEX(Rounds!$A:$A,MATCH(I741,Rounds!$B:$B,0)),"ADD LEAGUE TO ROUNDS")</f>
        <v>7</v>
      </c>
      <c r="K741" s="6" t="n">
        <f aca="false">IFERROR(VALUE(LEFT(E741,FIND(" - ",E741)-1)),"")</f>
        <v>5</v>
      </c>
      <c r="L741" s="5" t="s">
        <v>2200</v>
      </c>
      <c r="N741" s="6" t="n">
        <f aca="false">IF(F741="","",1+COUNTIFS($J:$J,J741,$K:$K,K741,$F:$F,"&gt;"&amp;F741)+COUNTIFS($J:$J,J741,$K:$K,K741,$F:$F,F741,$G:$G,"&gt;"&amp;G741))</f>
        <v>9</v>
      </c>
      <c r="O741" s="6" t="n">
        <f aca="false">IF(L741="","",SUMIFS(Votes!$E:$E,Votes!$A:$A,J741,Votes!$B:$B,K741,Votes!$D:$D,L741))</f>
        <v>7</v>
      </c>
      <c r="P741" s="6" t="n">
        <f aca="false">IF(L741="","",COUNTIFS(Votes!$A:$A,J741,Votes!$B:$B,K741,Votes!$D:$D,L741))</f>
        <v>7</v>
      </c>
      <c r="Q741" s="7" t="str">
        <f aca="false">IF(F741="","Unscored",IF(O741="","No URI",IF(AND(F741=0,O741=0),"Zero-vote",IF(AND(F741=O741,G741=P741),"OK",IF(AND(F741=0,O741&gt;0,COUNTIFS(Votes!$A:$A,J741,Votes!$B:$B,K741,Votes!$C:$C,D741)=0),"Forfeited","Mismatch")))))</f>
        <v>OK</v>
      </c>
      <c r="R741" s="6" t="n">
        <f aca="false">MAX(IF(L741&lt;&gt;"",COUNTIF($L:$L,L741),0),COUNTIFS($A:$A,A741,$B:$B,B741))</f>
        <v>1</v>
      </c>
      <c r="S741" s="6" t="str">
        <f aca="false">IF(R741&gt;1,COUNTIF($R$2:R741,"&gt;1"),"")</f>
        <v/>
      </c>
      <c r="T741" s="6" t="str">
        <f aca="false">IF(L741="","",J741&amp;"|"&amp;K741&amp;"|"&amp;L741)</f>
        <v>7|5|spotify:track:6ck0CGe9BN9gW5oMmzbhs9</v>
      </c>
      <c r="U741" s="6" t="str">
        <f aca="false">IF(C741="","",IFERROR(INDEX(Lists!$F:$F,MATCH(C741,Lists!$E:$E,0)),"Unmapped"))</f>
        <v>Rock</v>
      </c>
    </row>
    <row r="742" customFormat="false" ht="15" hidden="false" customHeight="false" outlineLevel="0" collapsed="false">
      <c r="A742" s="5" t="s">
        <v>2195</v>
      </c>
      <c r="B742" s="5" t="s">
        <v>2201</v>
      </c>
      <c r="C742" s="5" t="s">
        <v>91</v>
      </c>
      <c r="D742" s="5" t="s">
        <v>101</v>
      </c>
      <c r="E742" s="5" t="s">
        <v>2181</v>
      </c>
      <c r="F742" s="5" t="n">
        <v>6</v>
      </c>
      <c r="G742" s="5" t="n">
        <v>6</v>
      </c>
      <c r="H742" s="6" t="str">
        <f aca="false">IF(N742="","",N742&amp;IF(AND(MOD(N742,100)&gt;=11,MOD(N742,100)&lt;=13),"th",CHOOSE(MIN(5,MOD(N742,10)+1),"th","st","nd","rd","th")))</f>
        <v>10th</v>
      </c>
      <c r="I742" s="5" t="s">
        <v>2015</v>
      </c>
      <c r="J742" s="6" t="n">
        <f aca="false">IFERROR(INDEX(Rounds!$A:$A,MATCH(I742,Rounds!$B:$B,0)),"ADD LEAGUE TO ROUNDS")</f>
        <v>7</v>
      </c>
      <c r="K742" s="6" t="n">
        <f aca="false">IFERROR(VALUE(LEFT(E742,FIND(" - ",E742)-1)),"")</f>
        <v>5</v>
      </c>
      <c r="L742" s="5" t="s">
        <v>2202</v>
      </c>
      <c r="N742" s="6" t="n">
        <f aca="false">IF(F742="","",1+COUNTIFS($J:$J,J742,$K:$K,K742,$F:$F,"&gt;"&amp;F742)+COUNTIFS($J:$J,J742,$K:$K,K742,$F:$F,F742,$G:$G,"&gt;"&amp;G742))</f>
        <v>10</v>
      </c>
      <c r="O742" s="6" t="n">
        <f aca="false">IF(L742="","",SUMIFS(Votes!$E:$E,Votes!$A:$A,J742,Votes!$B:$B,K742,Votes!$D:$D,L742))</f>
        <v>6</v>
      </c>
      <c r="P742" s="6" t="n">
        <f aca="false">IF(L742="","",COUNTIFS(Votes!$A:$A,J742,Votes!$B:$B,K742,Votes!$D:$D,L742))</f>
        <v>6</v>
      </c>
      <c r="Q742" s="7" t="str">
        <f aca="false">IF(F742="","Unscored",IF(O742="","No URI",IF(AND(F742=0,O742=0),"Zero-vote",IF(AND(F742=O742,G742=P742),"OK",IF(AND(F742=0,O742&gt;0,COUNTIFS(Votes!$A:$A,J742,Votes!$B:$B,K742,Votes!$C:$C,D742)=0),"Forfeited","Mismatch")))))</f>
        <v>OK</v>
      </c>
      <c r="R742" s="6" t="n">
        <f aca="false">MAX(IF(L742&lt;&gt;"",COUNTIF($L:$L,L742),0),COUNTIFS($A:$A,A742,$B:$B,B742))</f>
        <v>1</v>
      </c>
      <c r="S742" s="6" t="str">
        <f aca="false">IF(R742&gt;1,COUNTIF($R$2:R742,"&gt;1"),"")</f>
        <v/>
      </c>
      <c r="T742" s="6" t="str">
        <f aca="false">IF(L742="","",J742&amp;"|"&amp;K742&amp;"|"&amp;L742)</f>
        <v>7|5|spotify:track:1lEhKudlkpBsh6S7JyvvHs</v>
      </c>
      <c r="U742" s="6" t="str">
        <f aca="false">IF(C742="","",IFERROR(INDEX(Lists!$F:$F,MATCH(C742,Lists!$E:$E,0)),"Unmapped"))</f>
        <v>Rock</v>
      </c>
    </row>
    <row r="743" customFormat="false" ht="15" hidden="false" customHeight="false" outlineLevel="0" collapsed="false">
      <c r="A743" s="5" t="s">
        <v>2203</v>
      </c>
      <c r="B743" s="5" t="s">
        <v>2204</v>
      </c>
      <c r="C743" s="5" t="s">
        <v>84</v>
      </c>
      <c r="D743" s="5" t="s">
        <v>97</v>
      </c>
      <c r="E743" s="5" t="s">
        <v>2181</v>
      </c>
      <c r="F743" s="5" t="n">
        <v>5</v>
      </c>
      <c r="G743" s="5" t="n">
        <v>5</v>
      </c>
      <c r="H743" s="6" t="str">
        <f aca="false">IF(N743="","",N743&amp;IF(AND(MOD(N743,100)&gt;=11,MOD(N743,100)&lt;=13),"th",CHOOSE(MIN(5,MOD(N743,10)+1),"th","st","nd","rd","th")))</f>
        <v>11th</v>
      </c>
      <c r="I743" s="5" t="s">
        <v>2015</v>
      </c>
      <c r="J743" s="6" t="n">
        <f aca="false">IFERROR(INDEX(Rounds!$A:$A,MATCH(I743,Rounds!$B:$B,0)),"ADD LEAGUE TO ROUNDS")</f>
        <v>7</v>
      </c>
      <c r="K743" s="6" t="n">
        <f aca="false">IFERROR(VALUE(LEFT(E743,FIND(" - ",E743)-1)),"")</f>
        <v>5</v>
      </c>
      <c r="L743" s="5" t="s">
        <v>2205</v>
      </c>
      <c r="N743" s="6" t="n">
        <f aca="false">IF(F743="","",1+COUNTIFS($J:$J,J743,$K:$K,K743,$F:$F,"&gt;"&amp;F743)+COUNTIFS($J:$J,J743,$K:$K,K743,$F:$F,F743,$G:$G,"&gt;"&amp;G743))</f>
        <v>11</v>
      </c>
      <c r="O743" s="6" t="n">
        <f aca="false">IF(L743="","",SUMIFS(Votes!$E:$E,Votes!$A:$A,J743,Votes!$B:$B,K743,Votes!$D:$D,L743))</f>
        <v>5</v>
      </c>
      <c r="P743" s="6" t="n">
        <f aca="false">IF(L743="","",COUNTIFS(Votes!$A:$A,J743,Votes!$B:$B,K743,Votes!$D:$D,L743))</f>
        <v>5</v>
      </c>
      <c r="Q743" s="7" t="str">
        <f aca="false">IF(F743="","Unscored",IF(O743="","No URI",IF(AND(F743=0,O743=0),"Zero-vote",IF(AND(F743=O743,G743=P743),"OK",IF(AND(F743=0,O743&gt;0,COUNTIFS(Votes!$A:$A,J743,Votes!$B:$B,K743,Votes!$C:$C,D743)=0),"Forfeited","Mismatch")))))</f>
        <v>OK</v>
      </c>
      <c r="R743" s="6" t="n">
        <f aca="false">MAX(IF(L743&lt;&gt;"",COUNTIF($L:$L,L743),0),COUNTIFS($A:$A,A743,$B:$B,B743))</f>
        <v>1</v>
      </c>
      <c r="S743" s="6" t="str">
        <f aca="false">IF(R743&gt;1,COUNTIF($R$2:R743,"&gt;1"),"")</f>
        <v/>
      </c>
      <c r="T743" s="6" t="str">
        <f aca="false">IF(L743="","",J743&amp;"|"&amp;K743&amp;"|"&amp;L743)</f>
        <v>7|5|spotify:track:2iXH35MhsqO5Ry8a7iptpJ</v>
      </c>
      <c r="U743" s="6" t="str">
        <f aca="false">IF(C743="","",IFERROR(INDEX(Lists!$F:$F,MATCH(C743,Lists!$E:$E,0)),"Unmapped"))</f>
        <v>Pop</v>
      </c>
    </row>
    <row r="744" customFormat="false" ht="15" hidden="false" customHeight="false" outlineLevel="0" collapsed="false">
      <c r="A744" s="5" t="s">
        <v>2206</v>
      </c>
      <c r="B744" s="5" t="s">
        <v>2207</v>
      </c>
      <c r="C744" s="5" t="s">
        <v>2208</v>
      </c>
      <c r="D744" s="5" t="s">
        <v>116</v>
      </c>
      <c r="E744" s="5" t="s">
        <v>2181</v>
      </c>
      <c r="F744" s="5" t="n">
        <v>5</v>
      </c>
      <c r="G744" s="5" t="n">
        <v>4</v>
      </c>
      <c r="H744" s="6" t="str">
        <f aca="false">IF(N744="","",N744&amp;IF(AND(MOD(N744,100)&gt;=11,MOD(N744,100)&lt;=13),"th",CHOOSE(MIN(5,MOD(N744,10)+1),"th","st","nd","rd","th")))</f>
        <v>12th</v>
      </c>
      <c r="I744" s="5" t="s">
        <v>2015</v>
      </c>
      <c r="J744" s="6" t="n">
        <f aca="false">IFERROR(INDEX(Rounds!$A:$A,MATCH(I744,Rounds!$B:$B,0)),"ADD LEAGUE TO ROUNDS")</f>
        <v>7</v>
      </c>
      <c r="K744" s="6" t="n">
        <f aca="false">IFERROR(VALUE(LEFT(E744,FIND(" - ",E744)-1)),"")</f>
        <v>5</v>
      </c>
      <c r="L744" s="5" t="s">
        <v>2209</v>
      </c>
      <c r="N744" s="6" t="n">
        <f aca="false">IF(F744="","",1+COUNTIFS($J:$J,J744,$K:$K,K744,$F:$F,"&gt;"&amp;F744)+COUNTIFS($J:$J,J744,$K:$K,K744,$F:$F,F744,$G:$G,"&gt;"&amp;G744))</f>
        <v>12</v>
      </c>
      <c r="O744" s="6" t="n">
        <f aca="false">IF(L744="","",SUMIFS(Votes!$E:$E,Votes!$A:$A,J744,Votes!$B:$B,K744,Votes!$D:$D,L744))</f>
        <v>5</v>
      </c>
      <c r="P744" s="6" t="n">
        <f aca="false">IF(L744="","",COUNTIFS(Votes!$A:$A,J744,Votes!$B:$B,K744,Votes!$D:$D,L744))</f>
        <v>4</v>
      </c>
      <c r="Q744" s="7" t="str">
        <f aca="false">IF(F744="","Unscored",IF(O744="","No URI",IF(AND(F744=0,O744=0),"Zero-vote",IF(AND(F744=O744,G744=P744),"OK",IF(AND(F744=0,O744&gt;0,COUNTIFS(Votes!$A:$A,J744,Votes!$B:$B,K744,Votes!$C:$C,D744)=0),"Forfeited","Mismatch")))))</f>
        <v>OK</v>
      </c>
      <c r="R744" s="6" t="n">
        <f aca="false">MAX(IF(L744&lt;&gt;"",COUNTIF($L:$L,L744),0),COUNTIFS($A:$A,A744,$B:$B,B744))</f>
        <v>1</v>
      </c>
      <c r="S744" s="6" t="str">
        <f aca="false">IF(R744&gt;1,COUNTIF($R$2:R744,"&gt;1"),"")</f>
        <v/>
      </c>
      <c r="T744" s="6" t="str">
        <f aca="false">IF(L744="","",J744&amp;"|"&amp;K744&amp;"|"&amp;L744)</f>
        <v>7|5|spotify:track:7zQFM7bHcyMh4QQFdBkjrE</v>
      </c>
      <c r="U744" s="6" t="str">
        <f aca="false">IF(C744="","",IFERROR(INDEX(Lists!$F:$F,MATCH(C744,Lists!$E:$E,0)),"Unmapped"))</f>
        <v>Other</v>
      </c>
    </row>
    <row r="745" customFormat="false" ht="15" hidden="false" customHeight="false" outlineLevel="0" collapsed="false">
      <c r="A745" s="5" t="s">
        <v>2210</v>
      </c>
      <c r="B745" s="5" t="s">
        <v>2211</v>
      </c>
      <c r="C745" s="5" t="s">
        <v>91</v>
      </c>
      <c r="D745" s="5" t="s">
        <v>106</v>
      </c>
      <c r="E745" s="5" t="s">
        <v>2181</v>
      </c>
      <c r="F745" s="5" t="n">
        <v>4</v>
      </c>
      <c r="G745" s="5" t="n">
        <v>4</v>
      </c>
      <c r="H745" s="6" t="str">
        <f aca="false">IF(N745="","",N745&amp;IF(AND(MOD(N745,100)&gt;=11,MOD(N745,100)&lt;=13),"th",CHOOSE(MIN(5,MOD(N745,10)+1),"th","st","nd","rd","th")))</f>
        <v>13th</v>
      </c>
      <c r="I745" s="5" t="s">
        <v>2015</v>
      </c>
      <c r="J745" s="6" t="n">
        <f aca="false">IFERROR(INDEX(Rounds!$A:$A,MATCH(I745,Rounds!$B:$B,0)),"ADD LEAGUE TO ROUNDS")</f>
        <v>7</v>
      </c>
      <c r="K745" s="6" t="n">
        <f aca="false">IFERROR(VALUE(LEFT(E745,FIND(" - ",E745)-1)),"")</f>
        <v>5</v>
      </c>
      <c r="L745" s="5" t="s">
        <v>2212</v>
      </c>
      <c r="N745" s="6" t="n">
        <f aca="false">IF(F745="","",1+COUNTIFS($J:$J,J745,$K:$K,K745,$F:$F,"&gt;"&amp;F745)+COUNTIFS($J:$J,J745,$K:$K,K745,$F:$F,F745,$G:$G,"&gt;"&amp;G745))</f>
        <v>13</v>
      </c>
      <c r="O745" s="6" t="n">
        <f aca="false">IF(L745="","",SUMIFS(Votes!$E:$E,Votes!$A:$A,J745,Votes!$B:$B,K745,Votes!$D:$D,L745))</f>
        <v>4</v>
      </c>
      <c r="P745" s="6" t="n">
        <f aca="false">IF(L745="","",COUNTIFS(Votes!$A:$A,J745,Votes!$B:$B,K745,Votes!$D:$D,L745))</f>
        <v>4</v>
      </c>
      <c r="Q745" s="7" t="str">
        <f aca="false">IF(F745="","Unscored",IF(O745="","No URI",IF(AND(F745=0,O745=0),"Zero-vote",IF(AND(F745=O745,G745=P745),"OK",IF(AND(F745=0,O745&gt;0,COUNTIFS(Votes!$A:$A,J745,Votes!$B:$B,K745,Votes!$C:$C,D745)=0),"Forfeited","Mismatch")))))</f>
        <v>OK</v>
      </c>
      <c r="R745" s="6" t="n">
        <f aca="false">MAX(IF(L745&lt;&gt;"",COUNTIF($L:$L,L745),0),COUNTIFS($A:$A,A745,$B:$B,B745))</f>
        <v>1</v>
      </c>
      <c r="S745" s="6" t="str">
        <f aca="false">IF(R745&gt;1,COUNTIF($R$2:R745,"&gt;1"),"")</f>
        <v/>
      </c>
      <c r="T745" s="6" t="str">
        <f aca="false">IF(L745="","",J745&amp;"|"&amp;K745&amp;"|"&amp;L745)</f>
        <v>7|5|spotify:track:2eKuTki5i6iuxgzDHyqD6Q</v>
      </c>
      <c r="U745" s="6" t="str">
        <f aca="false">IF(C745="","",IFERROR(INDEX(Lists!$F:$F,MATCH(C745,Lists!$E:$E,0)),"Unmapped"))</f>
        <v>Rock</v>
      </c>
    </row>
    <row r="746" customFormat="false" ht="15" hidden="false" customHeight="false" outlineLevel="0" collapsed="false">
      <c r="A746" s="5" t="s">
        <v>2213</v>
      </c>
      <c r="B746" s="5" t="s">
        <v>2214</v>
      </c>
      <c r="C746" s="5" t="s">
        <v>110</v>
      </c>
      <c r="D746" s="5" t="s">
        <v>1843</v>
      </c>
      <c r="E746" s="5" t="s">
        <v>2215</v>
      </c>
      <c r="F746" s="5" t="n">
        <v>17</v>
      </c>
      <c r="G746" s="5" t="n">
        <v>12</v>
      </c>
      <c r="H746" s="6" t="str">
        <f aca="false">IF(N746="","",N746&amp;IF(AND(MOD(N746,100)&gt;=11,MOD(N746,100)&lt;=13),"th",CHOOSE(MIN(5,MOD(N746,10)+1),"th","st","nd","rd","th")))</f>
        <v>1st</v>
      </c>
      <c r="I746" s="5" t="s">
        <v>2015</v>
      </c>
      <c r="J746" s="6" t="n">
        <f aca="false">IFERROR(INDEX(Rounds!$A:$A,MATCH(I746,Rounds!$B:$B,0)),"ADD LEAGUE TO ROUNDS")</f>
        <v>7</v>
      </c>
      <c r="K746" s="6" t="n">
        <f aca="false">IFERROR(VALUE(LEFT(E746,FIND(" - ",E746)-1)),"")</f>
        <v>6</v>
      </c>
      <c r="L746" s="5" t="s">
        <v>2216</v>
      </c>
      <c r="N746" s="6" t="n">
        <f aca="false">IF(F746="","",1+COUNTIFS($J:$J,J746,$K:$K,K746,$F:$F,"&gt;"&amp;F746)+COUNTIFS($J:$J,J746,$K:$K,K746,$F:$F,F746,$G:$G,"&gt;"&amp;G746))</f>
        <v>1</v>
      </c>
      <c r="O746" s="6" t="n">
        <f aca="false">IF(L746="","",SUMIFS(Votes!$E:$E,Votes!$A:$A,J746,Votes!$B:$B,K746,Votes!$D:$D,L746))</f>
        <v>17</v>
      </c>
      <c r="P746" s="6" t="n">
        <f aca="false">IF(L746="","",COUNTIFS(Votes!$A:$A,J746,Votes!$B:$B,K746,Votes!$D:$D,L746))</f>
        <v>12</v>
      </c>
      <c r="Q746" s="7" t="str">
        <f aca="false">IF(F746="","Unscored",IF(O746="","No URI",IF(AND(F746=0,O746=0),"Zero-vote",IF(AND(F746=O746,G746=P746),"OK",IF(AND(F746=0,O746&gt;0,COUNTIFS(Votes!$A:$A,J746,Votes!$B:$B,K746,Votes!$C:$C,D746)=0),"Forfeited","Mismatch")))))</f>
        <v>OK</v>
      </c>
      <c r="R746" s="6" t="n">
        <f aca="false">MAX(IF(L746&lt;&gt;"",COUNTIF($L:$L,L746),0),COUNTIFS($A:$A,A746,$B:$B,B746))</f>
        <v>1</v>
      </c>
      <c r="S746" s="6" t="str">
        <f aca="false">IF(R746&gt;1,COUNTIF($R$2:R746,"&gt;1"),"")</f>
        <v/>
      </c>
      <c r="T746" s="6" t="str">
        <f aca="false">IF(L746="","",J746&amp;"|"&amp;K746&amp;"|"&amp;L746)</f>
        <v>7|6|spotify:track:2Lhdl74nwwVGOE2Gv35QuK</v>
      </c>
      <c r="U746" s="6" t="str">
        <f aca="false">IF(C746="","",IFERROR(INDEX(Lists!$F:$F,MATCH(C746,Lists!$E:$E,0)),"Unmapped"))</f>
        <v>Hip-Hop/Rap</v>
      </c>
    </row>
    <row r="747" customFormat="false" ht="15" hidden="false" customHeight="false" outlineLevel="0" collapsed="false">
      <c r="A747" s="5" t="s">
        <v>2217</v>
      </c>
      <c r="B747" s="5" t="s">
        <v>640</v>
      </c>
      <c r="C747" s="5" t="s">
        <v>96</v>
      </c>
      <c r="D747" s="5" t="s">
        <v>128</v>
      </c>
      <c r="E747" s="5" t="s">
        <v>2215</v>
      </c>
      <c r="F747" s="5" t="n">
        <v>14</v>
      </c>
      <c r="G747" s="5" t="n">
        <v>9</v>
      </c>
      <c r="H747" s="6" t="str">
        <f aca="false">IF(N747="","",N747&amp;IF(AND(MOD(N747,100)&gt;=11,MOD(N747,100)&lt;=13),"th",CHOOSE(MIN(5,MOD(N747,10)+1),"th","st","nd","rd","th")))</f>
        <v>2nd</v>
      </c>
      <c r="I747" s="5" t="s">
        <v>2015</v>
      </c>
      <c r="J747" s="6" t="n">
        <f aca="false">IFERROR(INDEX(Rounds!$A:$A,MATCH(I747,Rounds!$B:$B,0)),"ADD LEAGUE TO ROUNDS")</f>
        <v>7</v>
      </c>
      <c r="K747" s="6" t="n">
        <f aca="false">IFERROR(VALUE(LEFT(E747,FIND(" - ",E747)-1)),"")</f>
        <v>6</v>
      </c>
      <c r="L747" s="5" t="s">
        <v>2218</v>
      </c>
      <c r="N747" s="6" t="n">
        <f aca="false">IF(F747="","",1+COUNTIFS($J:$J,J747,$K:$K,K747,$F:$F,"&gt;"&amp;F747)+COUNTIFS($J:$J,J747,$K:$K,K747,$F:$F,F747,$G:$G,"&gt;"&amp;G747))</f>
        <v>2</v>
      </c>
      <c r="O747" s="6" t="n">
        <f aca="false">IF(L747="","",SUMIFS(Votes!$E:$E,Votes!$A:$A,J747,Votes!$B:$B,K747,Votes!$D:$D,L747))</f>
        <v>14</v>
      </c>
      <c r="P747" s="6" t="n">
        <f aca="false">IF(L747="","",COUNTIFS(Votes!$A:$A,J747,Votes!$B:$B,K747,Votes!$D:$D,L747))</f>
        <v>9</v>
      </c>
      <c r="Q747" s="7" t="str">
        <f aca="false">IF(F747="","Unscored",IF(O747="","No URI",IF(AND(F747=0,O747=0),"Zero-vote",IF(AND(F747=O747,G747=P747),"OK",IF(AND(F747=0,O747&gt;0,COUNTIFS(Votes!$A:$A,J747,Votes!$B:$B,K747,Votes!$C:$C,D747)=0),"Forfeited","Mismatch")))))</f>
        <v>OK</v>
      </c>
      <c r="R747" s="6" t="n">
        <f aca="false">MAX(IF(L747&lt;&gt;"",COUNTIF($L:$L,L747),0),COUNTIFS($A:$A,A747,$B:$B,B747))</f>
        <v>1</v>
      </c>
      <c r="S747" s="6" t="str">
        <f aca="false">IF(R747&gt;1,COUNTIF($R$2:R747,"&gt;1"),"")</f>
        <v/>
      </c>
      <c r="T747" s="6" t="str">
        <f aca="false">IF(L747="","",J747&amp;"|"&amp;K747&amp;"|"&amp;L747)</f>
        <v>7|6|spotify:track:30cSNer6TV8x2utjULVeQ5</v>
      </c>
      <c r="U747" s="6" t="str">
        <f aca="false">IF(C747="","",IFERROR(INDEX(Lists!$F:$F,MATCH(C747,Lists!$E:$E,0)),"Unmapped"))</f>
        <v>R&amp;B/Soul</v>
      </c>
    </row>
    <row r="748" customFormat="false" ht="15" hidden="false" customHeight="false" outlineLevel="0" collapsed="false">
      <c r="A748" s="5" t="s">
        <v>2219</v>
      </c>
      <c r="B748" s="5" t="s">
        <v>2220</v>
      </c>
      <c r="C748" s="5" t="s">
        <v>110</v>
      </c>
      <c r="D748" s="5" t="s">
        <v>119</v>
      </c>
      <c r="E748" s="5" t="s">
        <v>2215</v>
      </c>
      <c r="F748" s="5" t="n">
        <v>14</v>
      </c>
      <c r="G748" s="5" t="n">
        <v>9</v>
      </c>
      <c r="H748" s="6" t="str">
        <f aca="false">IF(N748="","",N748&amp;IF(AND(MOD(N748,100)&gt;=11,MOD(N748,100)&lt;=13),"th",CHOOSE(MIN(5,MOD(N748,10)+1),"th","st","nd","rd","th")))</f>
        <v>2nd</v>
      </c>
      <c r="I748" s="5" t="s">
        <v>2015</v>
      </c>
      <c r="J748" s="6" t="n">
        <f aca="false">IFERROR(INDEX(Rounds!$A:$A,MATCH(I748,Rounds!$B:$B,0)),"ADD LEAGUE TO ROUNDS")</f>
        <v>7</v>
      </c>
      <c r="K748" s="6" t="n">
        <f aca="false">IFERROR(VALUE(LEFT(E748,FIND(" - ",E748)-1)),"")</f>
        <v>6</v>
      </c>
      <c r="L748" s="5" t="s">
        <v>2221</v>
      </c>
      <c r="N748" s="6" t="n">
        <f aca="false">IF(F748="","",1+COUNTIFS($J:$J,J748,$K:$K,K748,$F:$F,"&gt;"&amp;F748)+COUNTIFS($J:$J,J748,$K:$K,K748,$F:$F,F748,$G:$G,"&gt;"&amp;G748))</f>
        <v>2</v>
      </c>
      <c r="O748" s="6" t="n">
        <f aca="false">IF(L748="","",SUMIFS(Votes!$E:$E,Votes!$A:$A,J748,Votes!$B:$B,K748,Votes!$D:$D,L748))</f>
        <v>14</v>
      </c>
      <c r="P748" s="6" t="n">
        <f aca="false">IF(L748="","",COUNTIFS(Votes!$A:$A,J748,Votes!$B:$B,K748,Votes!$D:$D,L748))</f>
        <v>9</v>
      </c>
      <c r="Q748" s="7" t="str">
        <f aca="false">IF(F748="","Unscored",IF(O748="","No URI",IF(AND(F748=0,O748=0),"Zero-vote",IF(AND(F748=O748,G748=P748),"OK",IF(AND(F748=0,O748&gt;0,COUNTIFS(Votes!$A:$A,J748,Votes!$B:$B,K748,Votes!$C:$C,D748)=0),"Forfeited","Mismatch")))))</f>
        <v>OK</v>
      </c>
      <c r="R748" s="6" t="n">
        <f aca="false">MAX(IF(L748&lt;&gt;"",COUNTIF($L:$L,L748),0),COUNTIFS($A:$A,A748,$B:$B,B748))</f>
        <v>1</v>
      </c>
      <c r="S748" s="6" t="str">
        <f aca="false">IF(R748&gt;1,COUNTIF($R$2:R748,"&gt;1"),"")</f>
        <v/>
      </c>
      <c r="T748" s="6" t="str">
        <f aca="false">IF(L748="","",J748&amp;"|"&amp;K748&amp;"|"&amp;L748)</f>
        <v>7|6|spotify:track:0wHFktze2PHC5jDt3B17DC</v>
      </c>
      <c r="U748" s="6" t="str">
        <f aca="false">IF(C748="","",IFERROR(INDEX(Lists!$F:$F,MATCH(C748,Lists!$E:$E,0)),"Unmapped"))</f>
        <v>Hip-Hop/Rap</v>
      </c>
    </row>
    <row r="749" customFormat="false" ht="15" hidden="false" customHeight="false" outlineLevel="0" collapsed="false">
      <c r="A749" s="5" t="s">
        <v>2222</v>
      </c>
      <c r="B749" s="5" t="s">
        <v>2223</v>
      </c>
      <c r="C749" s="5" t="s">
        <v>84</v>
      </c>
      <c r="D749" s="5" t="s">
        <v>101</v>
      </c>
      <c r="E749" s="5" t="s">
        <v>2215</v>
      </c>
      <c r="F749" s="5" t="n">
        <v>13</v>
      </c>
      <c r="G749" s="5" t="n">
        <v>9</v>
      </c>
      <c r="H749" s="6" t="str">
        <f aca="false">IF(N749="","",N749&amp;IF(AND(MOD(N749,100)&gt;=11,MOD(N749,100)&lt;=13),"th",CHOOSE(MIN(5,MOD(N749,10)+1),"th","st","nd","rd","th")))</f>
        <v>4th</v>
      </c>
      <c r="I749" s="5" t="s">
        <v>2015</v>
      </c>
      <c r="J749" s="6" t="n">
        <f aca="false">IFERROR(INDEX(Rounds!$A:$A,MATCH(I749,Rounds!$B:$B,0)),"ADD LEAGUE TO ROUNDS")</f>
        <v>7</v>
      </c>
      <c r="K749" s="6" t="n">
        <f aca="false">IFERROR(VALUE(LEFT(E749,FIND(" - ",E749)-1)),"")</f>
        <v>6</v>
      </c>
      <c r="L749" s="5" t="s">
        <v>2224</v>
      </c>
      <c r="N749" s="6" t="n">
        <f aca="false">IF(F749="","",1+COUNTIFS($J:$J,J749,$K:$K,K749,$F:$F,"&gt;"&amp;F749)+COUNTIFS($J:$J,J749,$K:$K,K749,$F:$F,F749,$G:$G,"&gt;"&amp;G749))</f>
        <v>4</v>
      </c>
      <c r="O749" s="6" t="n">
        <f aca="false">IF(L749="","",SUMIFS(Votes!$E:$E,Votes!$A:$A,J749,Votes!$B:$B,K749,Votes!$D:$D,L749))</f>
        <v>13</v>
      </c>
      <c r="P749" s="6" t="n">
        <f aca="false">IF(L749="","",COUNTIFS(Votes!$A:$A,J749,Votes!$B:$B,K749,Votes!$D:$D,L749))</f>
        <v>9</v>
      </c>
      <c r="Q749" s="7" t="str">
        <f aca="false">IF(F749="","Unscored",IF(O749="","No URI",IF(AND(F749=0,O749=0),"Zero-vote",IF(AND(F749=O749,G749=P749),"OK",IF(AND(F749=0,O749&gt;0,COUNTIFS(Votes!$A:$A,J749,Votes!$B:$B,K749,Votes!$C:$C,D749)=0),"Forfeited","Mismatch")))))</f>
        <v>OK</v>
      </c>
      <c r="R749" s="6" t="n">
        <f aca="false">MAX(IF(L749&lt;&gt;"",COUNTIF($L:$L,L749),0),COUNTIFS($A:$A,A749,$B:$B,B749))</f>
        <v>1</v>
      </c>
      <c r="S749" s="6" t="str">
        <f aca="false">IF(R749&gt;1,COUNTIF($R$2:R749,"&gt;1"),"")</f>
        <v/>
      </c>
      <c r="T749" s="6" t="str">
        <f aca="false">IF(L749="","",J749&amp;"|"&amp;K749&amp;"|"&amp;L749)</f>
        <v>7|6|spotify:track:5GhJIMWAw0uMLgkdbt6uMz</v>
      </c>
      <c r="U749" s="6" t="str">
        <f aca="false">IF(C749="","",IFERROR(INDEX(Lists!$F:$F,MATCH(C749,Lists!$E:$E,0)),"Unmapped"))</f>
        <v>Pop</v>
      </c>
    </row>
    <row r="750" customFormat="false" ht="15" hidden="false" customHeight="false" outlineLevel="0" collapsed="false">
      <c r="A750" s="5" t="s">
        <v>2225</v>
      </c>
      <c r="B750" s="5" t="s">
        <v>2226</v>
      </c>
      <c r="C750" s="5" t="s">
        <v>110</v>
      </c>
      <c r="D750" s="5" t="s">
        <v>637</v>
      </c>
      <c r="E750" s="5" t="s">
        <v>2215</v>
      </c>
      <c r="F750" s="5" t="n">
        <v>11</v>
      </c>
      <c r="G750" s="5" t="n">
        <v>9</v>
      </c>
      <c r="H750" s="6" t="str">
        <f aca="false">IF(N750="","",N750&amp;IF(AND(MOD(N750,100)&gt;=11,MOD(N750,100)&lt;=13),"th",CHOOSE(MIN(5,MOD(N750,10)+1),"th","st","nd","rd","th")))</f>
        <v>5th</v>
      </c>
      <c r="I750" s="5" t="s">
        <v>2015</v>
      </c>
      <c r="J750" s="6" t="n">
        <f aca="false">IFERROR(INDEX(Rounds!$A:$A,MATCH(I750,Rounds!$B:$B,0)),"ADD LEAGUE TO ROUNDS")</f>
        <v>7</v>
      </c>
      <c r="K750" s="6" t="n">
        <f aca="false">IFERROR(VALUE(LEFT(E750,FIND(" - ",E750)-1)),"")</f>
        <v>6</v>
      </c>
      <c r="L750" s="5" t="s">
        <v>2227</v>
      </c>
      <c r="N750" s="6" t="n">
        <f aca="false">IF(F750="","",1+COUNTIFS($J:$J,J750,$K:$K,K750,$F:$F,"&gt;"&amp;F750)+COUNTIFS($J:$J,J750,$K:$K,K750,$F:$F,F750,$G:$G,"&gt;"&amp;G750))</f>
        <v>5</v>
      </c>
      <c r="O750" s="6" t="n">
        <f aca="false">IF(L750="","",SUMIFS(Votes!$E:$E,Votes!$A:$A,J750,Votes!$B:$B,K750,Votes!$D:$D,L750))</f>
        <v>11</v>
      </c>
      <c r="P750" s="6" t="n">
        <f aca="false">IF(L750="","",COUNTIFS(Votes!$A:$A,J750,Votes!$B:$B,K750,Votes!$D:$D,L750))</f>
        <v>9</v>
      </c>
      <c r="Q750" s="7" t="str">
        <f aca="false">IF(F750="","Unscored",IF(O750="","No URI",IF(AND(F750=0,O750=0),"Zero-vote",IF(AND(F750=O750,G750=P750),"OK",IF(AND(F750=0,O750&gt;0,COUNTIFS(Votes!$A:$A,J750,Votes!$B:$B,K750,Votes!$C:$C,D750)=0),"Forfeited","Mismatch")))))</f>
        <v>OK</v>
      </c>
      <c r="R750" s="6" t="n">
        <f aca="false">MAX(IF(L750&lt;&gt;"",COUNTIF($L:$L,L750),0),COUNTIFS($A:$A,A750,$B:$B,B750))</f>
        <v>1</v>
      </c>
      <c r="S750" s="6" t="str">
        <f aca="false">IF(R750&gt;1,COUNTIF($R$2:R750,"&gt;1"),"")</f>
        <v/>
      </c>
      <c r="T750" s="6" t="str">
        <f aca="false">IF(L750="","",J750&amp;"|"&amp;K750&amp;"|"&amp;L750)</f>
        <v>7|6|spotify:track:1ixbwbeBi5ufN4noUKmW5a</v>
      </c>
      <c r="U750" s="6" t="str">
        <f aca="false">IF(C750="","",IFERROR(INDEX(Lists!$F:$F,MATCH(C750,Lists!$E:$E,0)),"Unmapped"))</f>
        <v>Hip-Hop/Rap</v>
      </c>
    </row>
    <row r="751" customFormat="false" ht="15" hidden="false" customHeight="false" outlineLevel="0" collapsed="false">
      <c r="A751" s="5" t="s">
        <v>2228</v>
      </c>
      <c r="B751" s="5" t="s">
        <v>2229</v>
      </c>
      <c r="C751" s="5" t="s">
        <v>171</v>
      </c>
      <c r="D751" s="5" t="s">
        <v>719</v>
      </c>
      <c r="E751" s="5" t="s">
        <v>2215</v>
      </c>
      <c r="F751" s="5" t="n">
        <v>10</v>
      </c>
      <c r="G751" s="5" t="n">
        <v>10</v>
      </c>
      <c r="H751" s="6" t="str">
        <f aca="false">IF(N751="","",N751&amp;IF(AND(MOD(N751,100)&gt;=11,MOD(N751,100)&lt;=13),"th",CHOOSE(MIN(5,MOD(N751,10)+1),"th","st","nd","rd","th")))</f>
        <v>6th</v>
      </c>
      <c r="I751" s="5" t="s">
        <v>2015</v>
      </c>
      <c r="J751" s="6" t="n">
        <f aca="false">IFERROR(INDEX(Rounds!$A:$A,MATCH(I751,Rounds!$B:$B,0)),"ADD LEAGUE TO ROUNDS")</f>
        <v>7</v>
      </c>
      <c r="K751" s="6" t="n">
        <f aca="false">IFERROR(VALUE(LEFT(E751,FIND(" - ",E751)-1)),"")</f>
        <v>6</v>
      </c>
      <c r="L751" s="5" t="s">
        <v>2230</v>
      </c>
      <c r="N751" s="6" t="n">
        <f aca="false">IF(F751="","",1+COUNTIFS($J:$J,J751,$K:$K,K751,$F:$F,"&gt;"&amp;F751)+COUNTIFS($J:$J,J751,$K:$K,K751,$F:$F,F751,$G:$G,"&gt;"&amp;G751))</f>
        <v>6</v>
      </c>
      <c r="O751" s="6" t="n">
        <f aca="false">IF(L751="","",SUMIFS(Votes!$E:$E,Votes!$A:$A,J751,Votes!$B:$B,K751,Votes!$D:$D,L751))</f>
        <v>10</v>
      </c>
      <c r="P751" s="6" t="n">
        <f aca="false">IF(L751="","",COUNTIFS(Votes!$A:$A,J751,Votes!$B:$B,K751,Votes!$D:$D,L751))</f>
        <v>10</v>
      </c>
      <c r="Q751" s="7" t="str">
        <f aca="false">IF(F751="","Unscored",IF(O751="","No URI",IF(AND(F751=0,O751=0),"Zero-vote",IF(AND(F751=O751,G751=P751),"OK",IF(AND(F751=0,O751&gt;0,COUNTIFS(Votes!$A:$A,J751,Votes!$B:$B,K751,Votes!$C:$C,D751)=0),"Forfeited","Mismatch")))))</f>
        <v>OK</v>
      </c>
      <c r="R751" s="6" t="n">
        <f aca="false">MAX(IF(L751&lt;&gt;"",COUNTIF($L:$L,L751),0),COUNTIFS($A:$A,A751,$B:$B,B751))</f>
        <v>1</v>
      </c>
      <c r="S751" s="6" t="str">
        <f aca="false">IF(R751&gt;1,COUNTIF($R$2:R751,"&gt;1"),"")</f>
        <v/>
      </c>
      <c r="T751" s="6" t="str">
        <f aca="false">IF(L751="","",J751&amp;"|"&amp;K751&amp;"|"&amp;L751)</f>
        <v>7|6|spotify:track:2FQrifJ1N335Ljm3TjTVVf</v>
      </c>
      <c r="U751" s="6" t="str">
        <f aca="false">IF(C751="","",IFERROR(INDEX(Lists!$F:$F,MATCH(C751,Lists!$E:$E,0)),"Unmapped"))</f>
        <v>Country</v>
      </c>
    </row>
    <row r="752" customFormat="false" ht="15" hidden="false" customHeight="false" outlineLevel="0" collapsed="false">
      <c r="A752" s="5" t="s">
        <v>2231</v>
      </c>
      <c r="B752" s="5" t="s">
        <v>452</v>
      </c>
      <c r="C752" s="5" t="s">
        <v>84</v>
      </c>
      <c r="D752" s="5" t="s">
        <v>85</v>
      </c>
      <c r="E752" s="5" t="s">
        <v>2215</v>
      </c>
      <c r="F752" s="5" t="n">
        <v>10</v>
      </c>
      <c r="G752" s="5" t="n">
        <v>7</v>
      </c>
      <c r="H752" s="6" t="str">
        <f aca="false">IF(N752="","",N752&amp;IF(AND(MOD(N752,100)&gt;=11,MOD(N752,100)&lt;=13),"th",CHOOSE(MIN(5,MOD(N752,10)+1),"th","st","nd","rd","th")))</f>
        <v>7th</v>
      </c>
      <c r="I752" s="5" t="s">
        <v>2015</v>
      </c>
      <c r="J752" s="6" t="n">
        <f aca="false">IFERROR(INDEX(Rounds!$A:$A,MATCH(I752,Rounds!$B:$B,0)),"ADD LEAGUE TO ROUNDS")</f>
        <v>7</v>
      </c>
      <c r="K752" s="6" t="n">
        <f aca="false">IFERROR(VALUE(LEFT(E752,FIND(" - ",E752)-1)),"")</f>
        <v>6</v>
      </c>
      <c r="L752" s="5" t="s">
        <v>2232</v>
      </c>
      <c r="N752" s="6" t="n">
        <f aca="false">IF(F752="","",1+COUNTIFS($J:$J,J752,$K:$K,K752,$F:$F,"&gt;"&amp;F752)+COUNTIFS($J:$J,J752,$K:$K,K752,$F:$F,F752,$G:$G,"&gt;"&amp;G752))</f>
        <v>7</v>
      </c>
      <c r="O752" s="6" t="n">
        <f aca="false">IF(L752="","",SUMIFS(Votes!$E:$E,Votes!$A:$A,J752,Votes!$B:$B,K752,Votes!$D:$D,L752))</f>
        <v>10</v>
      </c>
      <c r="P752" s="6" t="n">
        <f aca="false">IF(L752="","",COUNTIFS(Votes!$A:$A,J752,Votes!$B:$B,K752,Votes!$D:$D,L752))</f>
        <v>7</v>
      </c>
      <c r="Q752" s="7" t="str">
        <f aca="false">IF(F752="","Unscored",IF(O752="","No URI",IF(AND(F752=0,O752=0),"Zero-vote",IF(AND(F752=O752,G752=P752),"OK",IF(AND(F752=0,O752&gt;0,COUNTIFS(Votes!$A:$A,J752,Votes!$B:$B,K752,Votes!$C:$C,D752)=0),"Forfeited","Mismatch")))))</f>
        <v>OK</v>
      </c>
      <c r="R752" s="6" t="n">
        <f aca="false">MAX(IF(L752&lt;&gt;"",COUNTIF($L:$L,L752),0),COUNTIFS($A:$A,A752,$B:$B,B752))</f>
        <v>1</v>
      </c>
      <c r="S752" s="6" t="str">
        <f aca="false">IF(R752&gt;1,COUNTIF($R$2:R752,"&gt;1"),"")</f>
        <v/>
      </c>
      <c r="T752" s="6" t="str">
        <f aca="false">IF(L752="","",J752&amp;"|"&amp;K752&amp;"|"&amp;L752)</f>
        <v>7|6|spotify:track:0LzrhCZFXW94Y8nwtTuRlw</v>
      </c>
      <c r="U752" s="6" t="str">
        <f aca="false">IF(C752="","",IFERROR(INDEX(Lists!$F:$F,MATCH(C752,Lists!$E:$E,0)),"Unmapped"))</f>
        <v>Pop</v>
      </c>
    </row>
    <row r="753" customFormat="false" ht="15" hidden="false" customHeight="false" outlineLevel="0" collapsed="false">
      <c r="A753" s="5" t="s">
        <v>2233</v>
      </c>
      <c r="B753" s="5" t="s">
        <v>2234</v>
      </c>
      <c r="C753" s="5" t="s">
        <v>110</v>
      </c>
      <c r="D753" s="5" t="s">
        <v>106</v>
      </c>
      <c r="E753" s="5" t="s">
        <v>2215</v>
      </c>
      <c r="F753" s="5" t="n">
        <v>9</v>
      </c>
      <c r="G753" s="5" t="n">
        <v>9</v>
      </c>
      <c r="H753" s="6" t="str">
        <f aca="false">IF(N753="","",N753&amp;IF(AND(MOD(N753,100)&gt;=11,MOD(N753,100)&lt;=13),"th",CHOOSE(MIN(5,MOD(N753,10)+1),"th","st","nd","rd","th")))</f>
        <v>8th</v>
      </c>
      <c r="I753" s="5" t="s">
        <v>2015</v>
      </c>
      <c r="J753" s="6" t="n">
        <f aca="false">IFERROR(INDEX(Rounds!$A:$A,MATCH(I753,Rounds!$B:$B,0)),"ADD LEAGUE TO ROUNDS")</f>
        <v>7</v>
      </c>
      <c r="K753" s="6" t="n">
        <f aca="false">IFERROR(VALUE(LEFT(E753,FIND(" - ",E753)-1)),"")</f>
        <v>6</v>
      </c>
      <c r="L753" s="5" t="s">
        <v>2235</v>
      </c>
      <c r="N753" s="6" t="n">
        <f aca="false">IF(F753="","",1+COUNTIFS($J:$J,J753,$K:$K,K753,$F:$F,"&gt;"&amp;F753)+COUNTIFS($J:$J,J753,$K:$K,K753,$F:$F,F753,$G:$G,"&gt;"&amp;G753))</f>
        <v>8</v>
      </c>
      <c r="O753" s="6" t="n">
        <f aca="false">IF(L753="","",SUMIFS(Votes!$E:$E,Votes!$A:$A,J753,Votes!$B:$B,K753,Votes!$D:$D,L753))</f>
        <v>9</v>
      </c>
      <c r="P753" s="6" t="n">
        <f aca="false">IF(L753="","",COUNTIFS(Votes!$A:$A,J753,Votes!$B:$B,K753,Votes!$D:$D,L753))</f>
        <v>9</v>
      </c>
      <c r="Q753" s="7" t="str">
        <f aca="false">IF(F753="","Unscored",IF(O753="","No URI",IF(AND(F753=0,O753=0),"Zero-vote",IF(AND(F753=O753,G753=P753),"OK",IF(AND(F753=0,O753&gt;0,COUNTIFS(Votes!$A:$A,J753,Votes!$B:$B,K753,Votes!$C:$C,D753)=0),"Forfeited","Mismatch")))))</f>
        <v>OK</v>
      </c>
      <c r="R753" s="6" t="n">
        <f aca="false">MAX(IF(L753&lt;&gt;"",COUNTIF($L:$L,L753),0),COUNTIFS($A:$A,A753,$B:$B,B753))</f>
        <v>1</v>
      </c>
      <c r="S753" s="6" t="str">
        <f aca="false">IF(R753&gt;1,COUNTIF($R$2:R753,"&gt;1"),"")</f>
        <v/>
      </c>
      <c r="T753" s="6" t="str">
        <f aca="false">IF(L753="","",J753&amp;"|"&amp;K753&amp;"|"&amp;L753)</f>
        <v>7|6|spotify:track:0F7FA14euOIX8KcbEturGH</v>
      </c>
      <c r="U753" s="6" t="str">
        <f aca="false">IF(C753="","",IFERROR(INDEX(Lists!$F:$F,MATCH(C753,Lists!$E:$E,0)),"Unmapped"))</f>
        <v>Hip-Hop/Rap</v>
      </c>
    </row>
    <row r="754" customFormat="false" ht="15" hidden="false" customHeight="false" outlineLevel="0" collapsed="false">
      <c r="A754" s="5" t="s">
        <v>2236</v>
      </c>
      <c r="B754" s="5" t="s">
        <v>2122</v>
      </c>
      <c r="C754" s="5" t="s">
        <v>84</v>
      </c>
      <c r="D754" s="5" t="s">
        <v>2019</v>
      </c>
      <c r="E754" s="5" t="s">
        <v>2215</v>
      </c>
      <c r="F754" s="5" t="n">
        <v>9</v>
      </c>
      <c r="G754" s="5" t="n">
        <v>9</v>
      </c>
      <c r="H754" s="6" t="str">
        <f aca="false">IF(N754="","",N754&amp;IF(AND(MOD(N754,100)&gt;=11,MOD(N754,100)&lt;=13),"th",CHOOSE(MIN(5,MOD(N754,10)+1),"th","st","nd","rd","th")))</f>
        <v>8th</v>
      </c>
      <c r="I754" s="5" t="s">
        <v>2015</v>
      </c>
      <c r="J754" s="6" t="n">
        <f aca="false">IFERROR(INDEX(Rounds!$A:$A,MATCH(I754,Rounds!$B:$B,0)),"ADD LEAGUE TO ROUNDS")</f>
        <v>7</v>
      </c>
      <c r="K754" s="6" t="n">
        <f aca="false">IFERROR(VALUE(LEFT(E754,FIND(" - ",E754)-1)),"")</f>
        <v>6</v>
      </c>
      <c r="L754" s="5" t="s">
        <v>2237</v>
      </c>
      <c r="N754" s="6" t="n">
        <f aca="false">IF(F754="","",1+COUNTIFS($J:$J,J754,$K:$K,K754,$F:$F,"&gt;"&amp;F754)+COUNTIFS($J:$J,J754,$K:$K,K754,$F:$F,F754,$G:$G,"&gt;"&amp;G754))</f>
        <v>8</v>
      </c>
      <c r="O754" s="6" t="n">
        <f aca="false">IF(L754="","",SUMIFS(Votes!$E:$E,Votes!$A:$A,J754,Votes!$B:$B,K754,Votes!$D:$D,L754))</f>
        <v>9</v>
      </c>
      <c r="P754" s="6" t="n">
        <f aca="false">IF(L754="","",COUNTIFS(Votes!$A:$A,J754,Votes!$B:$B,K754,Votes!$D:$D,L754))</f>
        <v>9</v>
      </c>
      <c r="Q754" s="7" t="str">
        <f aca="false">IF(F754="","Unscored",IF(O754="","No URI",IF(AND(F754=0,O754=0),"Zero-vote",IF(AND(F754=O754,G754=P754),"OK",IF(AND(F754=0,O754&gt;0,COUNTIFS(Votes!$A:$A,J754,Votes!$B:$B,K754,Votes!$C:$C,D754)=0),"Forfeited","Mismatch")))))</f>
        <v>OK</v>
      </c>
      <c r="R754" s="6" t="n">
        <f aca="false">MAX(IF(L754&lt;&gt;"",COUNTIF($L:$L,L754),0),COUNTIFS($A:$A,A754,$B:$B,B754))</f>
        <v>1</v>
      </c>
      <c r="S754" s="6" t="str">
        <f aca="false">IF(R754&gt;1,COUNTIF($R$2:R754,"&gt;1"),"")</f>
        <v/>
      </c>
      <c r="T754" s="6" t="str">
        <f aca="false">IF(L754="","",J754&amp;"|"&amp;K754&amp;"|"&amp;L754)</f>
        <v>7|6|spotify:track:67T6l4q3zVjC5nZZPXByU8</v>
      </c>
      <c r="U754" s="6" t="str">
        <f aca="false">IF(C754="","",IFERROR(INDEX(Lists!$F:$F,MATCH(C754,Lists!$E:$E,0)),"Unmapped"))</f>
        <v>Pop</v>
      </c>
    </row>
    <row r="755" customFormat="false" ht="15" hidden="false" customHeight="false" outlineLevel="0" collapsed="false">
      <c r="A755" s="5" t="s">
        <v>2238</v>
      </c>
      <c r="B755" s="5" t="s">
        <v>2239</v>
      </c>
      <c r="C755" s="5" t="s">
        <v>96</v>
      </c>
      <c r="D755" s="5" t="s">
        <v>97</v>
      </c>
      <c r="E755" s="5" t="s">
        <v>2215</v>
      </c>
      <c r="F755" s="5" t="n">
        <v>7</v>
      </c>
      <c r="G755" s="5" t="n">
        <v>7</v>
      </c>
      <c r="H755" s="6" t="str">
        <f aca="false">IF(N755="","",N755&amp;IF(AND(MOD(N755,100)&gt;=11,MOD(N755,100)&lt;=13),"th",CHOOSE(MIN(5,MOD(N755,10)+1),"th","st","nd","rd","th")))</f>
        <v>10th</v>
      </c>
      <c r="I755" s="5" t="s">
        <v>2015</v>
      </c>
      <c r="J755" s="6" t="n">
        <f aca="false">IFERROR(INDEX(Rounds!$A:$A,MATCH(I755,Rounds!$B:$B,0)),"ADD LEAGUE TO ROUNDS")</f>
        <v>7</v>
      </c>
      <c r="K755" s="6" t="n">
        <f aca="false">IFERROR(VALUE(LEFT(E755,FIND(" - ",E755)-1)),"")</f>
        <v>6</v>
      </c>
      <c r="L755" s="5" t="s">
        <v>2240</v>
      </c>
      <c r="N755" s="6" t="n">
        <f aca="false">IF(F755="","",1+COUNTIFS($J:$J,J755,$K:$K,K755,$F:$F,"&gt;"&amp;F755)+COUNTIFS($J:$J,J755,$K:$K,K755,$F:$F,F755,$G:$G,"&gt;"&amp;G755))</f>
        <v>10</v>
      </c>
      <c r="O755" s="6" t="n">
        <f aca="false">IF(L755="","",SUMIFS(Votes!$E:$E,Votes!$A:$A,J755,Votes!$B:$B,K755,Votes!$D:$D,L755))</f>
        <v>7</v>
      </c>
      <c r="P755" s="6" t="n">
        <f aca="false">IF(L755="","",COUNTIFS(Votes!$A:$A,J755,Votes!$B:$B,K755,Votes!$D:$D,L755))</f>
        <v>7</v>
      </c>
      <c r="Q755" s="7" t="str">
        <f aca="false">IF(F755="","Unscored",IF(O755="","No URI",IF(AND(F755=0,O755=0),"Zero-vote",IF(AND(F755=O755,G755=P755),"OK",IF(AND(F755=0,O755&gt;0,COUNTIFS(Votes!$A:$A,J755,Votes!$B:$B,K755,Votes!$C:$C,D755)=0),"Forfeited","Mismatch")))))</f>
        <v>OK</v>
      </c>
      <c r="R755" s="6" t="n">
        <f aca="false">MAX(IF(L755&lt;&gt;"",COUNTIF($L:$L,L755),0),COUNTIFS($A:$A,A755,$B:$B,B755))</f>
        <v>1</v>
      </c>
      <c r="S755" s="6" t="str">
        <f aca="false">IF(R755&gt;1,COUNTIF($R$2:R755,"&gt;1"),"")</f>
        <v/>
      </c>
      <c r="T755" s="6" t="str">
        <f aca="false">IF(L755="","",J755&amp;"|"&amp;K755&amp;"|"&amp;L755)</f>
        <v>7|6|spotify:track:09mkdGhqb5ySKVsnkx9hy2</v>
      </c>
      <c r="U755" s="6" t="str">
        <f aca="false">IF(C755="","",IFERROR(INDEX(Lists!$F:$F,MATCH(C755,Lists!$E:$E,0)),"Unmapped"))</f>
        <v>R&amp;B/Soul</v>
      </c>
    </row>
    <row r="756" customFormat="false" ht="15" hidden="false" customHeight="false" outlineLevel="0" collapsed="false">
      <c r="A756" s="5" t="s">
        <v>2241</v>
      </c>
      <c r="B756" s="5" t="s">
        <v>839</v>
      </c>
      <c r="C756" s="5" t="s">
        <v>110</v>
      </c>
      <c r="D756" s="5" t="s">
        <v>705</v>
      </c>
      <c r="E756" s="5" t="s">
        <v>2215</v>
      </c>
      <c r="F756" s="5" t="n">
        <v>6</v>
      </c>
      <c r="G756" s="5" t="n">
        <v>6</v>
      </c>
      <c r="H756" s="6" t="str">
        <f aca="false">IF(N756="","",N756&amp;IF(AND(MOD(N756,100)&gt;=11,MOD(N756,100)&lt;=13),"th",CHOOSE(MIN(5,MOD(N756,10)+1),"th","st","nd","rd","th")))</f>
        <v>11th</v>
      </c>
      <c r="I756" s="5" t="s">
        <v>2015</v>
      </c>
      <c r="J756" s="6" t="n">
        <f aca="false">IFERROR(INDEX(Rounds!$A:$A,MATCH(I756,Rounds!$B:$B,0)),"ADD LEAGUE TO ROUNDS")</f>
        <v>7</v>
      </c>
      <c r="K756" s="6" t="n">
        <f aca="false">IFERROR(VALUE(LEFT(E756,FIND(" - ",E756)-1)),"")</f>
        <v>6</v>
      </c>
      <c r="L756" s="5" t="s">
        <v>2242</v>
      </c>
      <c r="N756" s="6" t="n">
        <f aca="false">IF(F756="","",1+COUNTIFS($J:$J,J756,$K:$K,K756,$F:$F,"&gt;"&amp;F756)+COUNTIFS($J:$J,J756,$K:$K,K756,$F:$F,F756,$G:$G,"&gt;"&amp;G756))</f>
        <v>11</v>
      </c>
      <c r="O756" s="6" t="n">
        <f aca="false">IF(L756="","",SUMIFS(Votes!$E:$E,Votes!$A:$A,J756,Votes!$B:$B,K756,Votes!$D:$D,L756))</f>
        <v>6</v>
      </c>
      <c r="P756" s="6" t="n">
        <f aca="false">IF(L756="","",COUNTIFS(Votes!$A:$A,J756,Votes!$B:$B,K756,Votes!$D:$D,L756))</f>
        <v>6</v>
      </c>
      <c r="Q756" s="7" t="str">
        <f aca="false">IF(F756="","Unscored",IF(O756="","No URI",IF(AND(F756=0,O756=0),"Zero-vote",IF(AND(F756=O756,G756=P756),"OK",IF(AND(F756=0,O756&gt;0,COUNTIFS(Votes!$A:$A,J756,Votes!$B:$B,K756,Votes!$C:$C,D756)=0),"Forfeited","Mismatch")))))</f>
        <v>OK</v>
      </c>
      <c r="R756" s="6" t="n">
        <f aca="false">MAX(IF(L756&lt;&gt;"",COUNTIF($L:$L,L756),0),COUNTIFS($A:$A,A756,$B:$B,B756))</f>
        <v>1</v>
      </c>
      <c r="S756" s="6" t="str">
        <f aca="false">IF(R756&gt;1,COUNTIF($R$2:R756,"&gt;1"),"")</f>
        <v/>
      </c>
      <c r="T756" s="6" t="str">
        <f aca="false">IF(L756="","",J756&amp;"|"&amp;K756&amp;"|"&amp;L756)</f>
        <v>7|6|spotify:track:1PS1QMdUqOal0ai3Gt7sDQ</v>
      </c>
      <c r="U756" s="6" t="str">
        <f aca="false">IF(C756="","",IFERROR(INDEX(Lists!$F:$F,MATCH(C756,Lists!$E:$E,0)),"Unmapped"))</f>
        <v>Hip-Hop/Rap</v>
      </c>
    </row>
    <row r="757" customFormat="false" ht="15" hidden="false" customHeight="false" outlineLevel="0" collapsed="false">
      <c r="A757" s="5" t="s">
        <v>2243</v>
      </c>
      <c r="B757" s="5" t="s">
        <v>2244</v>
      </c>
      <c r="C757" s="5" t="s">
        <v>110</v>
      </c>
      <c r="D757" s="5" t="s">
        <v>382</v>
      </c>
      <c r="E757" s="5" t="s">
        <v>2215</v>
      </c>
      <c r="F757" s="5" t="n">
        <v>5</v>
      </c>
      <c r="G757" s="5" t="n">
        <v>4</v>
      </c>
      <c r="H757" s="6" t="str">
        <f aca="false">IF(N757="","",N757&amp;IF(AND(MOD(N757,100)&gt;=11,MOD(N757,100)&lt;=13),"th",CHOOSE(MIN(5,MOD(N757,10)+1),"th","st","nd","rd","th")))</f>
        <v>12th</v>
      </c>
      <c r="I757" s="5" t="s">
        <v>2015</v>
      </c>
      <c r="J757" s="6" t="n">
        <f aca="false">IFERROR(INDEX(Rounds!$A:$A,MATCH(I757,Rounds!$B:$B,0)),"ADD LEAGUE TO ROUNDS")</f>
        <v>7</v>
      </c>
      <c r="K757" s="6" t="n">
        <f aca="false">IFERROR(VALUE(LEFT(E757,FIND(" - ",E757)-1)),"")</f>
        <v>6</v>
      </c>
      <c r="L757" s="5" t="s">
        <v>2245</v>
      </c>
      <c r="N757" s="6" t="n">
        <f aca="false">IF(F757="","",1+COUNTIFS($J:$J,J757,$K:$K,K757,$F:$F,"&gt;"&amp;F757)+COUNTIFS($J:$J,J757,$K:$K,K757,$F:$F,F757,$G:$G,"&gt;"&amp;G757))</f>
        <v>12</v>
      </c>
      <c r="O757" s="6" t="n">
        <f aca="false">IF(L757="","",SUMIFS(Votes!$E:$E,Votes!$A:$A,J757,Votes!$B:$B,K757,Votes!$D:$D,L757))</f>
        <v>5</v>
      </c>
      <c r="P757" s="6" t="n">
        <f aca="false">IF(L757="","",COUNTIFS(Votes!$A:$A,J757,Votes!$B:$B,K757,Votes!$D:$D,L757))</f>
        <v>4</v>
      </c>
      <c r="Q757" s="7" t="str">
        <f aca="false">IF(F757="","Unscored",IF(O757="","No URI",IF(AND(F757=0,O757=0),"Zero-vote",IF(AND(F757=O757,G757=P757),"OK",IF(AND(F757=0,O757&gt;0,COUNTIFS(Votes!$A:$A,J757,Votes!$B:$B,K757,Votes!$C:$C,D757)=0),"Forfeited","Mismatch")))))</f>
        <v>OK</v>
      </c>
      <c r="R757" s="6" t="n">
        <f aca="false">MAX(IF(L757&lt;&gt;"",COUNTIF($L:$L,L757),0),COUNTIFS($A:$A,A757,$B:$B,B757))</f>
        <v>1</v>
      </c>
      <c r="S757" s="6" t="str">
        <f aca="false">IF(R757&gt;1,COUNTIF($R$2:R757,"&gt;1"),"")</f>
        <v/>
      </c>
      <c r="T757" s="6" t="str">
        <f aca="false">IF(L757="","",J757&amp;"|"&amp;K757&amp;"|"&amp;L757)</f>
        <v>7|6|spotify:track:4ToZV7r72wSbVrljaLSp13</v>
      </c>
      <c r="U757" s="6" t="str">
        <f aca="false">IF(C757="","",IFERROR(INDEX(Lists!$F:$F,MATCH(C757,Lists!$E:$E,0)),"Unmapped"))</f>
        <v>Hip-Hop/Rap</v>
      </c>
    </row>
    <row r="758" customFormat="false" ht="15" hidden="false" customHeight="false" outlineLevel="0" collapsed="false">
      <c r="A758" s="5" t="s">
        <v>2246</v>
      </c>
      <c r="B758" s="5" t="s">
        <v>2247</v>
      </c>
      <c r="C758" s="5" t="s">
        <v>293</v>
      </c>
      <c r="D758" s="5" t="s">
        <v>116</v>
      </c>
      <c r="E758" s="5" t="s">
        <v>2215</v>
      </c>
      <c r="F758" s="5" t="n">
        <v>5</v>
      </c>
      <c r="G758" s="5" t="n">
        <v>3</v>
      </c>
      <c r="H758" s="6" t="str">
        <f aca="false">IF(N758="","",N758&amp;IF(AND(MOD(N758,100)&gt;=11,MOD(N758,100)&lt;=13),"th",CHOOSE(MIN(5,MOD(N758,10)+1),"th","st","nd","rd","th")))</f>
        <v>13th</v>
      </c>
      <c r="I758" s="5" t="s">
        <v>2015</v>
      </c>
      <c r="J758" s="6" t="n">
        <f aca="false">IFERROR(INDEX(Rounds!$A:$A,MATCH(I758,Rounds!$B:$B,0)),"ADD LEAGUE TO ROUNDS")</f>
        <v>7</v>
      </c>
      <c r="K758" s="6" t="n">
        <f aca="false">IFERROR(VALUE(LEFT(E758,FIND(" - ",E758)-1)),"")</f>
        <v>6</v>
      </c>
      <c r="L758" s="5" t="s">
        <v>2248</v>
      </c>
      <c r="N758" s="6" t="n">
        <f aca="false">IF(F758="","",1+COUNTIFS($J:$J,J758,$K:$K,K758,$F:$F,"&gt;"&amp;F758)+COUNTIFS($J:$J,J758,$K:$K,K758,$F:$F,F758,$G:$G,"&gt;"&amp;G758))</f>
        <v>13</v>
      </c>
      <c r="O758" s="6" t="n">
        <f aca="false">IF(L758="","",SUMIFS(Votes!$E:$E,Votes!$A:$A,J758,Votes!$B:$B,K758,Votes!$D:$D,L758))</f>
        <v>5</v>
      </c>
      <c r="P758" s="6" t="n">
        <f aca="false">IF(L758="","",COUNTIFS(Votes!$A:$A,J758,Votes!$B:$B,K758,Votes!$D:$D,L758))</f>
        <v>3</v>
      </c>
      <c r="Q758" s="7" t="str">
        <f aca="false">IF(F758="","Unscored",IF(O758="","No URI",IF(AND(F758=0,O758=0),"Zero-vote",IF(AND(F758=O758,G758=P758),"OK",IF(AND(F758=0,O758&gt;0,COUNTIFS(Votes!$A:$A,J758,Votes!$B:$B,K758,Votes!$C:$C,D758)=0),"Forfeited","Mismatch")))))</f>
        <v>OK</v>
      </c>
      <c r="R758" s="6" t="n">
        <f aca="false">MAX(IF(L758&lt;&gt;"",COUNTIF($L:$L,L758),0),COUNTIFS($A:$A,A758,$B:$B,B758))</f>
        <v>1</v>
      </c>
      <c r="S758" s="6" t="str">
        <f aca="false">IF(R758&gt;1,COUNTIF($R$2:R758,"&gt;1"),"")</f>
        <v/>
      </c>
      <c r="T758" s="6" t="str">
        <f aca="false">IF(L758="","",J758&amp;"|"&amp;K758&amp;"|"&amp;L758)</f>
        <v>7|6|spotify:track:3aCkU7zRK9YtA9KyoTIqnb</v>
      </c>
      <c r="U758" s="6" t="str">
        <f aca="false">IF(C758="","",IFERROR(INDEX(Lists!$F:$F,MATCH(C758,Lists!$E:$E,0)),"Unmapped"))</f>
        <v>Electronic/Dance</v>
      </c>
    </row>
    <row r="759" customFormat="false" ht="15" hidden="false" customHeight="false" outlineLevel="0" collapsed="false">
      <c r="A759" s="5" t="s">
        <v>2249</v>
      </c>
      <c r="B759" s="5" t="s">
        <v>2250</v>
      </c>
      <c r="C759" s="5" t="s">
        <v>96</v>
      </c>
      <c r="D759" s="5" t="s">
        <v>119</v>
      </c>
      <c r="E759" s="5" t="s">
        <v>2251</v>
      </c>
      <c r="F759" s="5" t="n">
        <v>16</v>
      </c>
      <c r="G759" s="5" t="n">
        <v>11</v>
      </c>
      <c r="H759" s="6" t="str">
        <f aca="false">IF(N759="","",N759&amp;IF(AND(MOD(N759,100)&gt;=11,MOD(N759,100)&lt;=13),"th",CHOOSE(MIN(5,MOD(N759,10)+1),"th","st","nd","rd","th")))</f>
        <v>1st</v>
      </c>
      <c r="I759" s="5" t="s">
        <v>2015</v>
      </c>
      <c r="J759" s="6" t="n">
        <f aca="false">IFERROR(INDEX(Rounds!$A:$A,MATCH(I759,Rounds!$B:$B,0)),"ADD LEAGUE TO ROUNDS")</f>
        <v>7</v>
      </c>
      <c r="K759" s="6" t="n">
        <f aca="false">IFERROR(VALUE(LEFT(E759,FIND(" - ",E759)-1)),"")</f>
        <v>7</v>
      </c>
      <c r="L759" s="5" t="s">
        <v>2252</v>
      </c>
      <c r="N759" s="6" t="n">
        <f aca="false">IF(F759="","",1+COUNTIFS($J:$J,J759,$K:$K,K759,$F:$F,"&gt;"&amp;F759)+COUNTIFS($J:$J,J759,$K:$K,K759,$F:$F,F759,$G:$G,"&gt;"&amp;G759))</f>
        <v>1</v>
      </c>
      <c r="O759" s="6" t="n">
        <f aca="false">IF(L759="","",SUMIFS(Votes!$E:$E,Votes!$A:$A,J759,Votes!$B:$B,K759,Votes!$D:$D,L759))</f>
        <v>16</v>
      </c>
      <c r="P759" s="6" t="n">
        <f aca="false">IF(L759="","",COUNTIFS(Votes!$A:$A,J759,Votes!$B:$B,K759,Votes!$D:$D,L759))</f>
        <v>11</v>
      </c>
      <c r="Q759" s="7" t="str">
        <f aca="false">IF(F759="","Unscored",IF(O759="","No URI",IF(AND(F759=0,O759=0),"Zero-vote",IF(AND(F759=O759,G759=P759),"OK",IF(AND(F759=0,O759&gt;0,COUNTIFS(Votes!$A:$A,J759,Votes!$B:$B,K759,Votes!$C:$C,D759)=0),"Forfeited","Mismatch")))))</f>
        <v>OK</v>
      </c>
      <c r="R759" s="6" t="n">
        <f aca="false">MAX(IF(L759&lt;&gt;"",COUNTIF($L:$L,L759),0),COUNTIFS($A:$A,A759,$B:$B,B759))</f>
        <v>1</v>
      </c>
      <c r="S759" s="6" t="str">
        <f aca="false">IF(R759&gt;1,COUNTIF($R$2:R759,"&gt;1"),"")</f>
        <v/>
      </c>
      <c r="T759" s="6" t="str">
        <f aca="false">IF(L759="","",J759&amp;"|"&amp;K759&amp;"|"&amp;L759)</f>
        <v>7|7|spotify:track:1bjeWoagtHmUKputLVyDxQ</v>
      </c>
      <c r="U759" s="6" t="str">
        <f aca="false">IF(C759="","",IFERROR(INDEX(Lists!$F:$F,MATCH(C759,Lists!$E:$E,0)),"Unmapped"))</f>
        <v>R&amp;B/Soul</v>
      </c>
    </row>
    <row r="760" customFormat="false" ht="15" hidden="false" customHeight="false" outlineLevel="0" collapsed="false">
      <c r="A760" s="5" t="s">
        <v>2253</v>
      </c>
      <c r="B760" s="5" t="s">
        <v>2254</v>
      </c>
      <c r="C760" s="5" t="s">
        <v>91</v>
      </c>
      <c r="D760" s="5" t="s">
        <v>719</v>
      </c>
      <c r="E760" s="5" t="s">
        <v>2251</v>
      </c>
      <c r="F760" s="5" t="n">
        <v>14</v>
      </c>
      <c r="G760" s="5" t="n">
        <v>11</v>
      </c>
      <c r="H760" s="6" t="str">
        <f aca="false">IF(N760="","",N760&amp;IF(AND(MOD(N760,100)&gt;=11,MOD(N760,100)&lt;=13),"th",CHOOSE(MIN(5,MOD(N760,10)+1),"th","st","nd","rd","th")))</f>
        <v>2nd</v>
      </c>
      <c r="I760" s="5" t="s">
        <v>2015</v>
      </c>
      <c r="J760" s="6" t="n">
        <f aca="false">IFERROR(INDEX(Rounds!$A:$A,MATCH(I760,Rounds!$B:$B,0)),"ADD LEAGUE TO ROUNDS")</f>
        <v>7</v>
      </c>
      <c r="K760" s="6" t="n">
        <f aca="false">IFERROR(VALUE(LEFT(E760,FIND(" - ",E760)-1)),"")</f>
        <v>7</v>
      </c>
      <c r="L760" s="5" t="s">
        <v>2255</v>
      </c>
      <c r="N760" s="6" t="n">
        <f aca="false">IF(F760="","",1+COUNTIFS($J:$J,J760,$K:$K,K760,$F:$F,"&gt;"&amp;F760)+COUNTIFS($J:$J,J760,$K:$K,K760,$F:$F,F760,$G:$G,"&gt;"&amp;G760))</f>
        <v>2</v>
      </c>
      <c r="O760" s="6" t="n">
        <f aca="false">IF(L760="","",SUMIFS(Votes!$E:$E,Votes!$A:$A,J760,Votes!$B:$B,K760,Votes!$D:$D,L760))</f>
        <v>14</v>
      </c>
      <c r="P760" s="6" t="n">
        <f aca="false">IF(L760="","",COUNTIFS(Votes!$A:$A,J760,Votes!$B:$B,K760,Votes!$D:$D,L760))</f>
        <v>11</v>
      </c>
      <c r="Q760" s="7" t="str">
        <f aca="false">IF(F760="","Unscored",IF(O760="","No URI",IF(AND(F760=0,O760=0),"Zero-vote",IF(AND(F760=O760,G760=P760),"OK",IF(AND(F760=0,O760&gt;0,COUNTIFS(Votes!$A:$A,J760,Votes!$B:$B,K760,Votes!$C:$C,D760)=0),"Forfeited","Mismatch")))))</f>
        <v>OK</v>
      </c>
      <c r="R760" s="6" t="n">
        <f aca="false">MAX(IF(L760&lt;&gt;"",COUNTIF($L:$L,L760),0),COUNTIFS($A:$A,A760,$B:$B,B760))</f>
        <v>1</v>
      </c>
      <c r="S760" s="6" t="str">
        <f aca="false">IF(R760&gt;1,COUNTIF($R$2:R760,"&gt;1"),"")</f>
        <v/>
      </c>
      <c r="T760" s="6" t="str">
        <f aca="false">IF(L760="","",J760&amp;"|"&amp;K760&amp;"|"&amp;L760)</f>
        <v>7|7|spotify:track:0pQskrTITgmCMyr85tb9qq</v>
      </c>
      <c r="U760" s="6" t="str">
        <f aca="false">IF(C760="","",IFERROR(INDEX(Lists!$F:$F,MATCH(C760,Lists!$E:$E,0)),"Unmapped"))</f>
        <v>Rock</v>
      </c>
    </row>
    <row r="761" customFormat="false" ht="15" hidden="false" customHeight="false" outlineLevel="0" collapsed="false">
      <c r="A761" s="5" t="s">
        <v>2256</v>
      </c>
      <c r="B761" s="5" t="s">
        <v>167</v>
      </c>
      <c r="C761" s="5" t="s">
        <v>91</v>
      </c>
      <c r="D761" s="5" t="s">
        <v>97</v>
      </c>
      <c r="E761" s="5" t="s">
        <v>2251</v>
      </c>
      <c r="F761" s="5" t="n">
        <v>13</v>
      </c>
      <c r="G761" s="5" t="n">
        <v>10</v>
      </c>
      <c r="H761" s="6" t="str">
        <f aca="false">IF(N761="","",N761&amp;IF(AND(MOD(N761,100)&gt;=11,MOD(N761,100)&lt;=13),"th",CHOOSE(MIN(5,MOD(N761,10)+1),"th","st","nd","rd","th")))</f>
        <v>3rd</v>
      </c>
      <c r="I761" s="5" t="s">
        <v>2015</v>
      </c>
      <c r="J761" s="6" t="n">
        <f aca="false">IFERROR(INDEX(Rounds!$A:$A,MATCH(I761,Rounds!$B:$B,0)),"ADD LEAGUE TO ROUNDS")</f>
        <v>7</v>
      </c>
      <c r="K761" s="6" t="n">
        <f aca="false">IFERROR(VALUE(LEFT(E761,FIND(" - ",E761)-1)),"")</f>
        <v>7</v>
      </c>
      <c r="L761" s="5" t="s">
        <v>2257</v>
      </c>
      <c r="N761" s="6" t="n">
        <f aca="false">IF(F761="","",1+COUNTIFS($J:$J,J761,$K:$K,K761,$F:$F,"&gt;"&amp;F761)+COUNTIFS($J:$J,J761,$K:$K,K761,$F:$F,F761,$G:$G,"&gt;"&amp;G761))</f>
        <v>3</v>
      </c>
      <c r="O761" s="6" t="n">
        <f aca="false">IF(L761="","",SUMIFS(Votes!$E:$E,Votes!$A:$A,J761,Votes!$B:$B,K761,Votes!$D:$D,L761))</f>
        <v>13</v>
      </c>
      <c r="P761" s="6" t="n">
        <f aca="false">IF(L761="","",COUNTIFS(Votes!$A:$A,J761,Votes!$B:$B,K761,Votes!$D:$D,L761))</f>
        <v>10</v>
      </c>
      <c r="Q761" s="7" t="str">
        <f aca="false">IF(F761="","Unscored",IF(O761="","No URI",IF(AND(F761=0,O761=0),"Zero-vote",IF(AND(F761=O761,G761=P761),"OK",IF(AND(F761=0,O761&gt;0,COUNTIFS(Votes!$A:$A,J761,Votes!$B:$B,K761,Votes!$C:$C,D761)=0),"Forfeited","Mismatch")))))</f>
        <v>OK</v>
      </c>
      <c r="R761" s="6" t="n">
        <f aca="false">MAX(IF(L761&lt;&gt;"",COUNTIF($L:$L,L761),0),COUNTIFS($A:$A,A761,$B:$B,B761))</f>
        <v>1</v>
      </c>
      <c r="S761" s="6" t="str">
        <f aca="false">IF(R761&gt;1,COUNTIF($R$2:R761,"&gt;1"),"")</f>
        <v/>
      </c>
      <c r="T761" s="6" t="str">
        <f aca="false">IF(L761="","",J761&amp;"|"&amp;K761&amp;"|"&amp;L761)</f>
        <v>7|7|spotify:track:3lPr8ghNDBLc2uZovNyLs9</v>
      </c>
      <c r="U761" s="6" t="str">
        <f aca="false">IF(C761="","",IFERROR(INDEX(Lists!$F:$F,MATCH(C761,Lists!$E:$E,0)),"Unmapped"))</f>
        <v>Rock</v>
      </c>
    </row>
    <row r="762" customFormat="false" ht="15" hidden="false" customHeight="false" outlineLevel="0" collapsed="false">
      <c r="A762" s="5" t="s">
        <v>2258</v>
      </c>
      <c r="B762" s="5" t="s">
        <v>2259</v>
      </c>
      <c r="C762" s="5" t="s">
        <v>84</v>
      </c>
      <c r="D762" s="5" t="s">
        <v>637</v>
      </c>
      <c r="E762" s="5" t="s">
        <v>2251</v>
      </c>
      <c r="F762" s="5" t="n">
        <v>11</v>
      </c>
      <c r="G762" s="5" t="n">
        <v>9</v>
      </c>
      <c r="H762" s="6" t="str">
        <f aca="false">IF(N762="","",N762&amp;IF(AND(MOD(N762,100)&gt;=11,MOD(N762,100)&lt;=13),"th",CHOOSE(MIN(5,MOD(N762,10)+1),"th","st","nd","rd","th")))</f>
        <v>4th</v>
      </c>
      <c r="I762" s="5" t="s">
        <v>2015</v>
      </c>
      <c r="J762" s="6" t="n">
        <f aca="false">IFERROR(INDEX(Rounds!$A:$A,MATCH(I762,Rounds!$B:$B,0)),"ADD LEAGUE TO ROUNDS")</f>
        <v>7</v>
      </c>
      <c r="K762" s="6" t="n">
        <f aca="false">IFERROR(VALUE(LEFT(E762,FIND(" - ",E762)-1)),"")</f>
        <v>7</v>
      </c>
      <c r="L762" s="5" t="s">
        <v>2260</v>
      </c>
      <c r="N762" s="6" t="n">
        <f aca="false">IF(F762="","",1+COUNTIFS($J:$J,J762,$K:$K,K762,$F:$F,"&gt;"&amp;F762)+COUNTIFS($J:$J,J762,$K:$K,K762,$F:$F,F762,$G:$G,"&gt;"&amp;G762))</f>
        <v>4</v>
      </c>
      <c r="O762" s="6" t="n">
        <f aca="false">IF(L762="","",SUMIFS(Votes!$E:$E,Votes!$A:$A,J762,Votes!$B:$B,K762,Votes!$D:$D,L762))</f>
        <v>11</v>
      </c>
      <c r="P762" s="6" t="n">
        <f aca="false">IF(L762="","",COUNTIFS(Votes!$A:$A,J762,Votes!$B:$B,K762,Votes!$D:$D,L762))</f>
        <v>9</v>
      </c>
      <c r="Q762" s="7" t="str">
        <f aca="false">IF(F762="","Unscored",IF(O762="","No URI",IF(AND(F762=0,O762=0),"Zero-vote",IF(AND(F762=O762,G762=P762),"OK",IF(AND(F762=0,O762&gt;0,COUNTIFS(Votes!$A:$A,J762,Votes!$B:$B,K762,Votes!$C:$C,D762)=0),"Forfeited","Mismatch")))))</f>
        <v>OK</v>
      </c>
      <c r="R762" s="6" t="n">
        <f aca="false">MAX(IF(L762&lt;&gt;"",COUNTIF($L:$L,L762),0),COUNTIFS($A:$A,A762,$B:$B,B762))</f>
        <v>1</v>
      </c>
      <c r="S762" s="6" t="str">
        <f aca="false">IF(R762&gt;1,COUNTIF($R$2:R762,"&gt;1"),"")</f>
        <v/>
      </c>
      <c r="T762" s="6" t="str">
        <f aca="false">IF(L762="","",J762&amp;"|"&amp;K762&amp;"|"&amp;L762)</f>
        <v>7|7|spotify:track:3Vr3zh0r7ALn8VLqCiRR10</v>
      </c>
      <c r="U762" s="6" t="str">
        <f aca="false">IF(C762="","",IFERROR(INDEX(Lists!$F:$F,MATCH(C762,Lists!$E:$E,0)),"Unmapped"))</f>
        <v>Pop</v>
      </c>
    </row>
    <row r="763" customFormat="false" ht="15" hidden="false" customHeight="false" outlineLevel="0" collapsed="false">
      <c r="A763" s="5" t="s">
        <v>2261</v>
      </c>
      <c r="B763" s="5" t="s">
        <v>2262</v>
      </c>
      <c r="C763" s="5" t="s">
        <v>84</v>
      </c>
      <c r="D763" s="5" t="s">
        <v>116</v>
      </c>
      <c r="E763" s="5" t="s">
        <v>2251</v>
      </c>
      <c r="F763" s="5" t="n">
        <v>11</v>
      </c>
      <c r="G763" s="5" t="n">
        <v>7</v>
      </c>
      <c r="H763" s="6" t="str">
        <f aca="false">IF(N763="","",N763&amp;IF(AND(MOD(N763,100)&gt;=11,MOD(N763,100)&lt;=13),"th",CHOOSE(MIN(5,MOD(N763,10)+1),"th","st","nd","rd","th")))</f>
        <v>5th</v>
      </c>
      <c r="I763" s="5" t="s">
        <v>2015</v>
      </c>
      <c r="J763" s="6" t="n">
        <f aca="false">IFERROR(INDEX(Rounds!$A:$A,MATCH(I763,Rounds!$B:$B,0)),"ADD LEAGUE TO ROUNDS")</f>
        <v>7</v>
      </c>
      <c r="K763" s="6" t="n">
        <f aca="false">IFERROR(VALUE(LEFT(E763,FIND(" - ",E763)-1)),"")</f>
        <v>7</v>
      </c>
      <c r="L763" s="5" t="s">
        <v>2263</v>
      </c>
      <c r="N763" s="6" t="n">
        <f aca="false">IF(F763="","",1+COUNTIFS($J:$J,J763,$K:$K,K763,$F:$F,"&gt;"&amp;F763)+COUNTIFS($J:$J,J763,$K:$K,K763,$F:$F,F763,$G:$G,"&gt;"&amp;G763))</f>
        <v>5</v>
      </c>
      <c r="O763" s="6" t="n">
        <f aca="false">IF(L763="","",SUMIFS(Votes!$E:$E,Votes!$A:$A,J763,Votes!$B:$B,K763,Votes!$D:$D,L763))</f>
        <v>11</v>
      </c>
      <c r="P763" s="6" t="n">
        <f aca="false">IF(L763="","",COUNTIFS(Votes!$A:$A,J763,Votes!$B:$B,K763,Votes!$D:$D,L763))</f>
        <v>7</v>
      </c>
      <c r="Q763" s="7" t="str">
        <f aca="false">IF(F763="","Unscored",IF(O763="","No URI",IF(AND(F763=0,O763=0),"Zero-vote",IF(AND(F763=O763,G763=P763),"OK",IF(AND(F763=0,O763&gt;0,COUNTIFS(Votes!$A:$A,J763,Votes!$B:$B,K763,Votes!$C:$C,D763)=0),"Forfeited","Mismatch")))))</f>
        <v>OK</v>
      </c>
      <c r="R763" s="6" t="n">
        <f aca="false">MAX(IF(L763&lt;&gt;"",COUNTIF($L:$L,L763),0),COUNTIFS($A:$A,A763,$B:$B,B763))</f>
        <v>1</v>
      </c>
      <c r="S763" s="6" t="str">
        <f aca="false">IF(R763&gt;1,COUNTIF($R$2:R763,"&gt;1"),"")</f>
        <v/>
      </c>
      <c r="T763" s="6" t="str">
        <f aca="false">IF(L763="","",J763&amp;"|"&amp;K763&amp;"|"&amp;L763)</f>
        <v>7|7|spotify:track:709ffFK4o4MtG1NKoLvOma</v>
      </c>
      <c r="U763" s="6" t="str">
        <f aca="false">IF(C763="","",IFERROR(INDEX(Lists!$F:$F,MATCH(C763,Lists!$E:$E,0)),"Unmapped"))</f>
        <v>Pop</v>
      </c>
    </row>
    <row r="764" customFormat="false" ht="15" hidden="false" customHeight="false" outlineLevel="0" collapsed="false">
      <c r="A764" s="5" t="s">
        <v>2264</v>
      </c>
      <c r="B764" s="5" t="s">
        <v>935</v>
      </c>
      <c r="C764" s="5" t="s">
        <v>127</v>
      </c>
      <c r="D764" s="5" t="s">
        <v>382</v>
      </c>
      <c r="E764" s="5" t="s">
        <v>2251</v>
      </c>
      <c r="F764" s="5" t="n">
        <v>10</v>
      </c>
      <c r="G764" s="5" t="n">
        <v>9</v>
      </c>
      <c r="H764" s="6" t="str">
        <f aca="false">IF(N764="","",N764&amp;IF(AND(MOD(N764,100)&gt;=11,MOD(N764,100)&lt;=13),"th",CHOOSE(MIN(5,MOD(N764,10)+1),"th","st","nd","rd","th")))</f>
        <v>6th</v>
      </c>
      <c r="I764" s="5" t="s">
        <v>2015</v>
      </c>
      <c r="J764" s="6" t="n">
        <f aca="false">IFERROR(INDEX(Rounds!$A:$A,MATCH(I764,Rounds!$B:$B,0)),"ADD LEAGUE TO ROUNDS")</f>
        <v>7</v>
      </c>
      <c r="K764" s="6" t="n">
        <f aca="false">IFERROR(VALUE(LEFT(E764,FIND(" - ",E764)-1)),"")</f>
        <v>7</v>
      </c>
      <c r="L764" s="5" t="s">
        <v>2265</v>
      </c>
      <c r="N764" s="6" t="n">
        <f aca="false">IF(F764="","",1+COUNTIFS($J:$J,J764,$K:$K,K764,$F:$F,"&gt;"&amp;F764)+COUNTIFS($J:$J,J764,$K:$K,K764,$F:$F,F764,$G:$G,"&gt;"&amp;G764))</f>
        <v>6</v>
      </c>
      <c r="O764" s="6" t="n">
        <f aca="false">IF(L764="","",SUMIFS(Votes!$E:$E,Votes!$A:$A,J764,Votes!$B:$B,K764,Votes!$D:$D,L764))</f>
        <v>10</v>
      </c>
      <c r="P764" s="6" t="n">
        <f aca="false">IF(L764="","",COUNTIFS(Votes!$A:$A,J764,Votes!$B:$B,K764,Votes!$D:$D,L764))</f>
        <v>9</v>
      </c>
      <c r="Q764" s="7" t="str">
        <f aca="false">IF(F764="","Unscored",IF(O764="","No URI",IF(AND(F764=0,O764=0),"Zero-vote",IF(AND(F764=O764,G764=P764),"OK",IF(AND(F764=0,O764&gt;0,COUNTIFS(Votes!$A:$A,J764,Votes!$B:$B,K764,Votes!$C:$C,D764)=0),"Forfeited","Mismatch")))))</f>
        <v>OK</v>
      </c>
      <c r="R764" s="6" t="n">
        <f aca="false">MAX(IF(L764&lt;&gt;"",COUNTIF($L:$L,L764),0),COUNTIFS($A:$A,A764,$B:$B,B764))</f>
        <v>1</v>
      </c>
      <c r="S764" s="6" t="str">
        <f aca="false">IF(R764&gt;1,COUNTIF($R$2:R764,"&gt;1"),"")</f>
        <v/>
      </c>
      <c r="T764" s="6" t="str">
        <f aca="false">IF(L764="","",J764&amp;"|"&amp;K764&amp;"|"&amp;L764)</f>
        <v>7|7|spotify:track:7FXj7Qg3YorUxdrzvrcY25</v>
      </c>
      <c r="U764" s="6" t="str">
        <f aca="false">IF(C764="","",IFERROR(INDEX(Lists!$F:$F,MATCH(C764,Lists!$E:$E,0)),"Unmapped"))</f>
        <v>Jazz/Vocal</v>
      </c>
    </row>
    <row r="765" customFormat="false" ht="15" hidden="false" customHeight="false" outlineLevel="0" collapsed="false">
      <c r="A765" s="5" t="s">
        <v>2266</v>
      </c>
      <c r="B765" s="5" t="s">
        <v>2267</v>
      </c>
      <c r="C765" s="5" t="s">
        <v>96</v>
      </c>
      <c r="D765" s="5" t="s">
        <v>2019</v>
      </c>
      <c r="E765" s="5" t="s">
        <v>2251</v>
      </c>
      <c r="F765" s="5" t="n">
        <v>10</v>
      </c>
      <c r="G765" s="5" t="n">
        <v>6</v>
      </c>
      <c r="H765" s="6" t="str">
        <f aca="false">IF(N765="","",N765&amp;IF(AND(MOD(N765,100)&gt;=11,MOD(N765,100)&lt;=13),"th",CHOOSE(MIN(5,MOD(N765,10)+1),"th","st","nd","rd","th")))</f>
        <v>7th</v>
      </c>
      <c r="I765" s="5" t="s">
        <v>2015</v>
      </c>
      <c r="J765" s="6" t="n">
        <f aca="false">IFERROR(INDEX(Rounds!$A:$A,MATCH(I765,Rounds!$B:$B,0)),"ADD LEAGUE TO ROUNDS")</f>
        <v>7</v>
      </c>
      <c r="K765" s="6" t="n">
        <f aca="false">IFERROR(VALUE(LEFT(E765,FIND(" - ",E765)-1)),"")</f>
        <v>7</v>
      </c>
      <c r="L765" s="5" t="s">
        <v>2268</v>
      </c>
      <c r="N765" s="6" t="n">
        <f aca="false">IF(F765="","",1+COUNTIFS($J:$J,J765,$K:$K,K765,$F:$F,"&gt;"&amp;F765)+COUNTIFS($J:$J,J765,$K:$K,K765,$F:$F,F765,$G:$G,"&gt;"&amp;G765))</f>
        <v>7</v>
      </c>
      <c r="O765" s="6" t="n">
        <f aca="false">IF(L765="","",SUMIFS(Votes!$E:$E,Votes!$A:$A,J765,Votes!$B:$B,K765,Votes!$D:$D,L765))</f>
        <v>10</v>
      </c>
      <c r="P765" s="6" t="n">
        <f aca="false">IF(L765="","",COUNTIFS(Votes!$A:$A,J765,Votes!$B:$B,K765,Votes!$D:$D,L765))</f>
        <v>6</v>
      </c>
      <c r="Q765" s="7" t="str">
        <f aca="false">IF(F765="","Unscored",IF(O765="","No URI",IF(AND(F765=0,O765=0),"Zero-vote",IF(AND(F765=O765,G765=P765),"OK",IF(AND(F765=0,O765&gt;0,COUNTIFS(Votes!$A:$A,J765,Votes!$B:$B,K765,Votes!$C:$C,D765)=0),"Forfeited","Mismatch")))))</f>
        <v>OK</v>
      </c>
      <c r="R765" s="6" t="n">
        <f aca="false">MAX(IF(L765&lt;&gt;"",COUNTIF($L:$L,L765),0),COUNTIFS($A:$A,A765,$B:$B,B765))</f>
        <v>1</v>
      </c>
      <c r="S765" s="6" t="str">
        <f aca="false">IF(R765&gt;1,COUNTIF($R$2:R765,"&gt;1"),"")</f>
        <v/>
      </c>
      <c r="T765" s="6" t="str">
        <f aca="false">IF(L765="","",J765&amp;"|"&amp;K765&amp;"|"&amp;L765)</f>
        <v>7|7|spotify:track:0jqC18IqSdsGpGlQ8Dsx9M</v>
      </c>
      <c r="U765" s="6" t="str">
        <f aca="false">IF(C765="","",IFERROR(INDEX(Lists!$F:$F,MATCH(C765,Lists!$E:$E,0)),"Unmapped"))</f>
        <v>R&amp;B/Soul</v>
      </c>
    </row>
    <row r="766" customFormat="false" ht="15" hidden="false" customHeight="false" outlineLevel="0" collapsed="false">
      <c r="A766" s="5" t="s">
        <v>2269</v>
      </c>
      <c r="B766" s="5" t="s">
        <v>535</v>
      </c>
      <c r="C766" s="5" t="s">
        <v>84</v>
      </c>
      <c r="D766" s="5" t="s">
        <v>85</v>
      </c>
      <c r="E766" s="5" t="s">
        <v>2251</v>
      </c>
      <c r="F766" s="5" t="n">
        <v>9</v>
      </c>
      <c r="G766" s="5" t="n">
        <v>7</v>
      </c>
      <c r="H766" s="6" t="str">
        <f aca="false">IF(N766="","",N766&amp;IF(AND(MOD(N766,100)&gt;=11,MOD(N766,100)&lt;=13),"th",CHOOSE(MIN(5,MOD(N766,10)+1),"th","st","nd","rd","th")))</f>
        <v>8th</v>
      </c>
      <c r="I766" s="5" t="s">
        <v>2015</v>
      </c>
      <c r="J766" s="6" t="n">
        <f aca="false">IFERROR(INDEX(Rounds!$A:$A,MATCH(I766,Rounds!$B:$B,0)),"ADD LEAGUE TO ROUNDS")</f>
        <v>7</v>
      </c>
      <c r="K766" s="6" t="n">
        <f aca="false">IFERROR(VALUE(LEFT(E766,FIND(" - ",E766)-1)),"")</f>
        <v>7</v>
      </c>
      <c r="L766" s="5" t="s">
        <v>536</v>
      </c>
      <c r="N766" s="6" t="n">
        <f aca="false">IF(F766="","",1+COUNTIFS($J:$J,J766,$K:$K,K766,$F:$F,"&gt;"&amp;F766)+COUNTIFS($J:$J,J766,$K:$K,K766,$F:$F,F766,$G:$G,"&gt;"&amp;G766))</f>
        <v>8</v>
      </c>
      <c r="O766" s="6" t="n">
        <f aca="false">IF(L766="","",SUMIFS(Votes!$E:$E,Votes!$A:$A,J766,Votes!$B:$B,K766,Votes!$D:$D,L766))</f>
        <v>9</v>
      </c>
      <c r="P766" s="6" t="n">
        <f aca="false">IF(L766="","",COUNTIFS(Votes!$A:$A,J766,Votes!$B:$B,K766,Votes!$D:$D,L766))</f>
        <v>7</v>
      </c>
      <c r="Q766" s="7" t="str">
        <f aca="false">IF(F766="","Unscored",IF(O766="","No URI",IF(AND(F766=0,O766=0),"Zero-vote",IF(AND(F766=O766,G766=P766),"OK",IF(AND(F766=0,O766&gt;0,COUNTIFS(Votes!$A:$A,J766,Votes!$B:$B,K766,Votes!$C:$C,D766)=0),"Forfeited","Mismatch")))))</f>
        <v>OK</v>
      </c>
      <c r="R766" s="6" t="n">
        <f aca="false">MAX(IF(L766&lt;&gt;"",COUNTIF($L:$L,L766),0),COUNTIFS($A:$A,A766,$B:$B,B766))</f>
        <v>2</v>
      </c>
      <c r="S766" s="6" t="n">
        <f aca="false">IF(R766&gt;1,COUNTIF($R$2:R766,"&gt;1"),"")</f>
        <v>49</v>
      </c>
      <c r="T766" s="6" t="str">
        <f aca="false">IF(L766="","",J766&amp;"|"&amp;K766&amp;"|"&amp;L766)</f>
        <v>7|7|spotify:track:3gdewACMIVMEWVbyb8O9sY</v>
      </c>
      <c r="U766" s="6" t="str">
        <f aca="false">IF(C766="","",IFERROR(INDEX(Lists!$F:$F,MATCH(C766,Lists!$E:$E,0)),"Unmapped"))</f>
        <v>Pop</v>
      </c>
    </row>
    <row r="767" customFormat="false" ht="15" hidden="false" customHeight="false" outlineLevel="0" collapsed="false">
      <c r="A767" s="5" t="s">
        <v>2270</v>
      </c>
      <c r="B767" s="5" t="s">
        <v>2271</v>
      </c>
      <c r="C767" s="5" t="s">
        <v>91</v>
      </c>
      <c r="D767" s="5" t="s">
        <v>128</v>
      </c>
      <c r="E767" s="5" t="s">
        <v>2251</v>
      </c>
      <c r="F767" s="5" t="n">
        <v>9</v>
      </c>
      <c r="G767" s="5" t="n">
        <v>6</v>
      </c>
      <c r="H767" s="6" t="str">
        <f aca="false">IF(N767="","",N767&amp;IF(AND(MOD(N767,100)&gt;=11,MOD(N767,100)&lt;=13),"th",CHOOSE(MIN(5,MOD(N767,10)+1),"th","st","nd","rd","th")))</f>
        <v>9th</v>
      </c>
      <c r="I767" s="5" t="s">
        <v>2015</v>
      </c>
      <c r="J767" s="6" t="n">
        <f aca="false">IFERROR(INDEX(Rounds!$A:$A,MATCH(I767,Rounds!$B:$B,0)),"ADD LEAGUE TO ROUNDS")</f>
        <v>7</v>
      </c>
      <c r="K767" s="6" t="n">
        <f aca="false">IFERROR(VALUE(LEFT(E767,FIND(" - ",E767)-1)),"")</f>
        <v>7</v>
      </c>
      <c r="L767" s="5" t="s">
        <v>2272</v>
      </c>
      <c r="N767" s="6" t="n">
        <f aca="false">IF(F767="","",1+COUNTIFS($J:$J,J767,$K:$K,K767,$F:$F,"&gt;"&amp;F767)+COUNTIFS($J:$J,J767,$K:$K,K767,$F:$F,F767,$G:$G,"&gt;"&amp;G767))</f>
        <v>9</v>
      </c>
      <c r="O767" s="6" t="n">
        <f aca="false">IF(L767="","",SUMIFS(Votes!$E:$E,Votes!$A:$A,J767,Votes!$B:$B,K767,Votes!$D:$D,L767))</f>
        <v>9</v>
      </c>
      <c r="P767" s="6" t="n">
        <f aca="false">IF(L767="","",COUNTIFS(Votes!$A:$A,J767,Votes!$B:$B,K767,Votes!$D:$D,L767))</f>
        <v>6</v>
      </c>
      <c r="Q767" s="7" t="str">
        <f aca="false">IF(F767="","Unscored",IF(O767="","No URI",IF(AND(F767=0,O767=0),"Zero-vote",IF(AND(F767=O767,G767=P767),"OK",IF(AND(F767=0,O767&gt;0,COUNTIFS(Votes!$A:$A,J767,Votes!$B:$B,K767,Votes!$C:$C,D767)=0),"Forfeited","Mismatch")))))</f>
        <v>OK</v>
      </c>
      <c r="R767" s="6" t="n">
        <f aca="false">MAX(IF(L767&lt;&gt;"",COUNTIF($L:$L,L767),0),COUNTIFS($A:$A,A767,$B:$B,B767))</f>
        <v>1</v>
      </c>
      <c r="S767" s="6" t="str">
        <f aca="false">IF(R767&gt;1,COUNTIF($R$2:R767,"&gt;1"),"")</f>
        <v/>
      </c>
      <c r="T767" s="6" t="str">
        <f aca="false">IF(L767="","",J767&amp;"|"&amp;K767&amp;"|"&amp;L767)</f>
        <v>7|7|spotify:track:0fOjUafaAhJV16oRBgCtz7</v>
      </c>
      <c r="U767" s="6" t="str">
        <f aca="false">IF(C767="","",IFERROR(INDEX(Lists!$F:$F,MATCH(C767,Lists!$E:$E,0)),"Unmapped"))</f>
        <v>Rock</v>
      </c>
    </row>
    <row r="768" customFormat="false" ht="15" hidden="false" customHeight="false" outlineLevel="0" collapsed="false">
      <c r="A768" s="5" t="s">
        <v>2273</v>
      </c>
      <c r="B768" s="5" t="s">
        <v>2274</v>
      </c>
      <c r="C768" s="5" t="s">
        <v>96</v>
      </c>
      <c r="D768" s="5" t="s">
        <v>2052</v>
      </c>
      <c r="E768" s="5" t="s">
        <v>2251</v>
      </c>
      <c r="F768" s="5" t="n">
        <v>9</v>
      </c>
      <c r="G768" s="5" t="n">
        <v>6</v>
      </c>
      <c r="H768" s="6" t="str">
        <f aca="false">IF(N768="","",N768&amp;IF(AND(MOD(N768,100)&gt;=11,MOD(N768,100)&lt;=13),"th",CHOOSE(MIN(5,MOD(N768,10)+1),"th","st","nd","rd","th")))</f>
        <v>9th</v>
      </c>
      <c r="I768" s="5" t="s">
        <v>2015</v>
      </c>
      <c r="J768" s="6" t="n">
        <f aca="false">IFERROR(INDEX(Rounds!$A:$A,MATCH(I768,Rounds!$B:$B,0)),"ADD LEAGUE TO ROUNDS")</f>
        <v>7</v>
      </c>
      <c r="K768" s="6" t="n">
        <f aca="false">IFERROR(VALUE(LEFT(E768,FIND(" - ",E768)-1)),"")</f>
        <v>7</v>
      </c>
      <c r="L768" s="5" t="s">
        <v>2275</v>
      </c>
      <c r="N768" s="6" t="n">
        <f aca="false">IF(F768="","",1+COUNTIFS($J:$J,J768,$K:$K,K768,$F:$F,"&gt;"&amp;F768)+COUNTIFS($J:$J,J768,$K:$K,K768,$F:$F,F768,$G:$G,"&gt;"&amp;G768))</f>
        <v>9</v>
      </c>
      <c r="O768" s="6" t="n">
        <f aca="false">IF(L768="","",SUMIFS(Votes!$E:$E,Votes!$A:$A,J768,Votes!$B:$B,K768,Votes!$D:$D,L768))</f>
        <v>9</v>
      </c>
      <c r="P768" s="6" t="n">
        <f aca="false">IF(L768="","",COUNTIFS(Votes!$A:$A,J768,Votes!$B:$B,K768,Votes!$D:$D,L768))</f>
        <v>6</v>
      </c>
      <c r="Q768" s="7" t="str">
        <f aca="false">IF(F768="","Unscored",IF(O768="","No URI",IF(AND(F768=0,O768=0),"Zero-vote",IF(AND(F768=O768,G768=P768),"OK",IF(AND(F768=0,O768&gt;0,COUNTIFS(Votes!$A:$A,J768,Votes!$B:$B,K768,Votes!$C:$C,D768)=0),"Forfeited","Mismatch")))))</f>
        <v>OK</v>
      </c>
      <c r="R768" s="6" t="n">
        <f aca="false">MAX(IF(L768&lt;&gt;"",COUNTIF($L:$L,L768),0),COUNTIFS($A:$A,A768,$B:$B,B768))</f>
        <v>1</v>
      </c>
      <c r="S768" s="6" t="str">
        <f aca="false">IF(R768&gt;1,COUNTIF($R$2:R768,"&gt;1"),"")</f>
        <v/>
      </c>
      <c r="T768" s="6" t="str">
        <f aca="false">IF(L768="","",J768&amp;"|"&amp;K768&amp;"|"&amp;L768)</f>
        <v>7|7|spotify:track:3Qf3MFEgl1laKe49NAXYKq</v>
      </c>
      <c r="U768" s="6" t="str">
        <f aca="false">IF(C768="","",IFERROR(INDEX(Lists!$F:$F,MATCH(C768,Lists!$E:$E,0)),"Unmapped"))</f>
        <v>R&amp;B/Soul</v>
      </c>
    </row>
    <row r="769" customFormat="false" ht="15" hidden="false" customHeight="false" outlineLevel="0" collapsed="false">
      <c r="A769" s="5" t="s">
        <v>2276</v>
      </c>
      <c r="B769" s="5" t="s">
        <v>175</v>
      </c>
      <c r="C769" s="5" t="s">
        <v>91</v>
      </c>
      <c r="D769" s="5" t="s">
        <v>705</v>
      </c>
      <c r="E769" s="5" t="s">
        <v>2251</v>
      </c>
      <c r="F769" s="5" t="n">
        <v>6</v>
      </c>
      <c r="G769" s="5" t="n">
        <v>6</v>
      </c>
      <c r="H769" s="6" t="str">
        <f aca="false">IF(N769="","",N769&amp;IF(AND(MOD(N769,100)&gt;=11,MOD(N769,100)&lt;=13),"th",CHOOSE(MIN(5,MOD(N769,10)+1),"th","st","nd","rd","th")))</f>
        <v>11th</v>
      </c>
      <c r="I769" s="5" t="s">
        <v>2015</v>
      </c>
      <c r="J769" s="6" t="n">
        <f aca="false">IFERROR(INDEX(Rounds!$A:$A,MATCH(I769,Rounds!$B:$B,0)),"ADD LEAGUE TO ROUNDS")</f>
        <v>7</v>
      </c>
      <c r="K769" s="6" t="n">
        <f aca="false">IFERROR(VALUE(LEFT(E769,FIND(" - ",E769)-1)),"")</f>
        <v>7</v>
      </c>
      <c r="L769" s="5" t="s">
        <v>2277</v>
      </c>
      <c r="N769" s="6" t="n">
        <f aca="false">IF(F769="","",1+COUNTIFS($J:$J,J769,$K:$K,K769,$F:$F,"&gt;"&amp;F769)+COUNTIFS($J:$J,J769,$K:$K,K769,$F:$F,F769,$G:$G,"&gt;"&amp;G769))</f>
        <v>11</v>
      </c>
      <c r="O769" s="6" t="n">
        <f aca="false">IF(L769="","",SUMIFS(Votes!$E:$E,Votes!$A:$A,J769,Votes!$B:$B,K769,Votes!$D:$D,L769))</f>
        <v>6</v>
      </c>
      <c r="P769" s="6" t="n">
        <f aca="false">IF(L769="","",COUNTIFS(Votes!$A:$A,J769,Votes!$B:$B,K769,Votes!$D:$D,L769))</f>
        <v>6</v>
      </c>
      <c r="Q769" s="7" t="str">
        <f aca="false">IF(F769="","Unscored",IF(O769="","No URI",IF(AND(F769=0,O769=0),"Zero-vote",IF(AND(F769=O769,G769=P769),"OK",IF(AND(F769=0,O769&gt;0,COUNTIFS(Votes!$A:$A,J769,Votes!$B:$B,K769,Votes!$C:$C,D769)=0),"Forfeited","Mismatch")))))</f>
        <v>OK</v>
      </c>
      <c r="R769" s="6" t="n">
        <f aca="false">MAX(IF(L769&lt;&gt;"",COUNTIF($L:$L,L769),0),COUNTIFS($A:$A,A769,$B:$B,B769))</f>
        <v>1</v>
      </c>
      <c r="S769" s="6" t="str">
        <f aca="false">IF(R769&gt;1,COUNTIF($R$2:R769,"&gt;1"),"")</f>
        <v/>
      </c>
      <c r="T769" s="6" t="str">
        <f aca="false">IF(L769="","",J769&amp;"|"&amp;K769&amp;"|"&amp;L769)</f>
        <v>7|7|spotify:track:6e8HCstOUFx9sac4fnqPKx</v>
      </c>
      <c r="U769" s="6" t="str">
        <f aca="false">IF(C769="","",IFERROR(INDEX(Lists!$F:$F,MATCH(C769,Lists!$E:$E,0)),"Unmapped"))</f>
        <v>Rock</v>
      </c>
    </row>
    <row r="770" customFormat="false" ht="15" hidden="false" customHeight="false" outlineLevel="0" collapsed="false">
      <c r="A770" s="5" t="s">
        <v>2278</v>
      </c>
      <c r="B770" s="5" t="s">
        <v>2279</v>
      </c>
      <c r="C770" s="5" t="s">
        <v>506</v>
      </c>
      <c r="D770" s="5" t="s">
        <v>106</v>
      </c>
      <c r="E770" s="5" t="s">
        <v>2251</v>
      </c>
      <c r="F770" s="5" t="n">
        <v>6</v>
      </c>
      <c r="G770" s="5" t="n">
        <v>5</v>
      </c>
      <c r="H770" s="6" t="str">
        <f aca="false">IF(N770="","",N770&amp;IF(AND(MOD(N770,100)&gt;=11,MOD(N770,100)&lt;=13),"th",CHOOSE(MIN(5,MOD(N770,10)+1),"th","st","nd","rd","th")))</f>
        <v>12th</v>
      </c>
      <c r="I770" s="5" t="s">
        <v>2015</v>
      </c>
      <c r="J770" s="6" t="n">
        <f aca="false">IFERROR(INDEX(Rounds!$A:$A,MATCH(I770,Rounds!$B:$B,0)),"ADD LEAGUE TO ROUNDS")</f>
        <v>7</v>
      </c>
      <c r="K770" s="6" t="n">
        <f aca="false">IFERROR(VALUE(LEFT(E770,FIND(" - ",E770)-1)),"")</f>
        <v>7</v>
      </c>
      <c r="L770" s="5" t="s">
        <v>2280</v>
      </c>
      <c r="N770" s="6" t="n">
        <f aca="false">IF(F770="","",1+COUNTIFS($J:$J,J770,$K:$K,K770,$F:$F,"&gt;"&amp;F770)+COUNTIFS($J:$J,J770,$K:$K,K770,$F:$F,F770,$G:$G,"&gt;"&amp;G770))</f>
        <v>12</v>
      </c>
      <c r="O770" s="6" t="n">
        <f aca="false">IF(L770="","",SUMIFS(Votes!$E:$E,Votes!$A:$A,J770,Votes!$B:$B,K770,Votes!$D:$D,L770))</f>
        <v>6</v>
      </c>
      <c r="P770" s="6" t="n">
        <f aca="false">IF(L770="","",COUNTIFS(Votes!$A:$A,J770,Votes!$B:$B,K770,Votes!$D:$D,L770))</f>
        <v>5</v>
      </c>
      <c r="Q770" s="7" t="str">
        <f aca="false">IF(F770="","Unscored",IF(O770="","No URI",IF(AND(F770=0,O770=0),"Zero-vote",IF(AND(F770=O770,G770=P770),"OK",IF(AND(F770=0,O770&gt;0,COUNTIFS(Votes!$A:$A,J770,Votes!$B:$B,K770,Votes!$C:$C,D770)=0),"Forfeited","Mismatch")))))</f>
        <v>OK</v>
      </c>
      <c r="R770" s="6" t="n">
        <f aca="false">MAX(IF(L770&lt;&gt;"",COUNTIF($L:$L,L770),0),COUNTIFS($A:$A,A770,$B:$B,B770))</f>
        <v>1</v>
      </c>
      <c r="S770" s="6" t="str">
        <f aca="false">IF(R770&gt;1,COUNTIF($R$2:R770,"&gt;1"),"")</f>
        <v/>
      </c>
      <c r="T770" s="6" t="str">
        <f aca="false">IF(L770="","",J770&amp;"|"&amp;K770&amp;"|"&amp;L770)</f>
        <v>7|7|spotify:track:6C6UppMmnhp4DY4oyG823S</v>
      </c>
      <c r="U770" s="6" t="str">
        <f aca="false">IF(C770="","",IFERROR(INDEX(Lists!$F:$F,MATCH(C770,Lists!$E:$E,0)),"Unmapped"))</f>
        <v>Classical/Score</v>
      </c>
    </row>
    <row r="771" customFormat="false" ht="15" hidden="false" customHeight="false" outlineLevel="0" collapsed="false">
      <c r="A771" s="5" t="s">
        <v>2281</v>
      </c>
      <c r="B771" s="5" t="s">
        <v>2282</v>
      </c>
      <c r="C771" s="5" t="s">
        <v>91</v>
      </c>
      <c r="D771" s="5" t="s">
        <v>1843</v>
      </c>
      <c r="E771" s="5" t="s">
        <v>2251</v>
      </c>
      <c r="F771" s="5" t="n">
        <v>5</v>
      </c>
      <c r="G771" s="5" t="n">
        <v>5</v>
      </c>
      <c r="H771" s="6" t="str">
        <f aca="false">IF(N771="","",N771&amp;IF(AND(MOD(N771,100)&gt;=11,MOD(N771,100)&lt;=13),"th",CHOOSE(MIN(5,MOD(N771,10)+1),"th","st","nd","rd","th")))</f>
        <v>13th</v>
      </c>
      <c r="I771" s="5" t="s">
        <v>2015</v>
      </c>
      <c r="J771" s="6" t="n">
        <f aca="false">IFERROR(INDEX(Rounds!$A:$A,MATCH(I771,Rounds!$B:$B,0)),"ADD LEAGUE TO ROUNDS")</f>
        <v>7</v>
      </c>
      <c r="K771" s="6" t="n">
        <f aca="false">IFERROR(VALUE(LEFT(E771,FIND(" - ",E771)-1)),"")</f>
        <v>7</v>
      </c>
      <c r="L771" s="5" t="s">
        <v>2283</v>
      </c>
      <c r="N771" s="6" t="n">
        <f aca="false">IF(F771="","",1+COUNTIFS($J:$J,J771,$K:$K,K771,$F:$F,"&gt;"&amp;F771)+COUNTIFS($J:$J,J771,$K:$K,K771,$F:$F,F771,$G:$G,"&gt;"&amp;G771))</f>
        <v>13</v>
      </c>
      <c r="O771" s="6" t="n">
        <f aca="false">IF(L771="","",SUMIFS(Votes!$E:$E,Votes!$A:$A,J771,Votes!$B:$B,K771,Votes!$D:$D,L771))</f>
        <v>5</v>
      </c>
      <c r="P771" s="6" t="n">
        <f aca="false">IF(L771="","",COUNTIFS(Votes!$A:$A,J771,Votes!$B:$B,K771,Votes!$D:$D,L771))</f>
        <v>5</v>
      </c>
      <c r="Q771" s="7" t="str">
        <f aca="false">IF(F771="","Unscored",IF(O771="","No URI",IF(AND(F771=0,O771=0),"Zero-vote",IF(AND(F771=O771,G771=P771),"OK",IF(AND(F771=0,O771&gt;0,COUNTIFS(Votes!$A:$A,J771,Votes!$B:$B,K771,Votes!$C:$C,D771)=0),"Forfeited","Mismatch")))))</f>
        <v>OK</v>
      </c>
      <c r="R771" s="6" t="n">
        <f aca="false">MAX(IF(L771&lt;&gt;"",COUNTIF($L:$L,L771),0),COUNTIFS($A:$A,A771,$B:$B,B771))</f>
        <v>1</v>
      </c>
      <c r="S771" s="6" t="str">
        <f aca="false">IF(R771&gt;1,COUNTIF($R$2:R771,"&gt;1"),"")</f>
        <v/>
      </c>
      <c r="T771" s="6" t="str">
        <f aca="false">IF(L771="","",J771&amp;"|"&amp;K771&amp;"|"&amp;L771)</f>
        <v>7|7|spotify:track:6EMynpZ10GVcwVqiLZj6Ye</v>
      </c>
      <c r="U771" s="6" t="str">
        <f aca="false">IF(C771="","",IFERROR(INDEX(Lists!$F:$F,MATCH(C771,Lists!$E:$E,0)),"Unmapped"))</f>
        <v>Rock</v>
      </c>
    </row>
    <row r="772" customFormat="false" ht="15" hidden="false" customHeight="false" outlineLevel="0" collapsed="false">
      <c r="A772" s="5" t="s">
        <v>2284</v>
      </c>
      <c r="B772" s="5" t="s">
        <v>2285</v>
      </c>
      <c r="C772" s="5" t="s">
        <v>248</v>
      </c>
      <c r="D772" s="5" t="s">
        <v>484</v>
      </c>
      <c r="E772" s="5" t="s">
        <v>2251</v>
      </c>
      <c r="F772" s="5" t="n">
        <v>3</v>
      </c>
      <c r="G772" s="5" t="n">
        <v>3</v>
      </c>
      <c r="H772" s="6" t="str">
        <f aca="false">IF(N772="","",N772&amp;IF(AND(MOD(N772,100)&gt;=11,MOD(N772,100)&lt;=13),"th",CHOOSE(MIN(5,MOD(N772,10)+1),"th","st","nd","rd","th")))</f>
        <v>14th</v>
      </c>
      <c r="I772" s="5" t="s">
        <v>2015</v>
      </c>
      <c r="J772" s="6" t="n">
        <f aca="false">IFERROR(INDEX(Rounds!$A:$A,MATCH(I772,Rounds!$B:$B,0)),"ADD LEAGUE TO ROUNDS")</f>
        <v>7</v>
      </c>
      <c r="K772" s="6" t="n">
        <f aca="false">IFERROR(VALUE(LEFT(E772,FIND(" - ",E772)-1)),"")</f>
        <v>7</v>
      </c>
      <c r="L772" s="5" t="s">
        <v>2286</v>
      </c>
      <c r="N772" s="6" t="n">
        <f aca="false">IF(F772="","",1+COUNTIFS($J:$J,J772,$K:$K,K772,$F:$F,"&gt;"&amp;F772)+COUNTIFS($J:$J,J772,$K:$K,K772,$F:$F,F772,$G:$G,"&gt;"&amp;G772))</f>
        <v>14</v>
      </c>
      <c r="O772" s="6" t="n">
        <f aca="false">IF(L772="","",SUMIFS(Votes!$E:$E,Votes!$A:$A,J772,Votes!$B:$B,K772,Votes!$D:$D,L772))</f>
        <v>3</v>
      </c>
      <c r="P772" s="6" t="n">
        <f aca="false">IF(L772="","",COUNTIFS(Votes!$A:$A,J772,Votes!$B:$B,K772,Votes!$D:$D,L772))</f>
        <v>3</v>
      </c>
      <c r="Q772" s="7" t="str">
        <f aca="false">IF(F772="","Unscored",IF(O772="","No URI",IF(AND(F772=0,O772=0),"Zero-vote",IF(AND(F772=O772,G772=P772),"OK",IF(AND(F772=0,O772&gt;0,COUNTIFS(Votes!$A:$A,J772,Votes!$B:$B,K772,Votes!$C:$C,D772)=0),"Forfeited","Mismatch")))))</f>
        <v>OK</v>
      </c>
      <c r="R772" s="6" t="n">
        <f aca="false">MAX(IF(L772&lt;&gt;"",COUNTIF($L:$L,L772),0),COUNTIFS($A:$A,A772,$B:$B,B772))</f>
        <v>1</v>
      </c>
      <c r="S772" s="6" t="str">
        <f aca="false">IF(R772&gt;1,COUNTIF($R$2:R772,"&gt;1"),"")</f>
        <v/>
      </c>
      <c r="T772" s="6" t="str">
        <f aca="false">IF(L772="","",J772&amp;"|"&amp;K772&amp;"|"&amp;L772)</f>
        <v>7|7|spotify:track:3s9eWdn8IymCPvVLcKpjww</v>
      </c>
      <c r="U772" s="6" t="str">
        <f aca="false">IF(C772="","",IFERROR(INDEX(Lists!$F:$F,MATCH(C772,Lists!$E:$E,0)),"Unmapped"))</f>
        <v>Folk/Americana</v>
      </c>
    </row>
    <row r="773" customFormat="false" ht="15" hidden="false" customHeight="false" outlineLevel="0" collapsed="false">
      <c r="A773" s="5" t="s">
        <v>2287</v>
      </c>
      <c r="B773" s="5" t="s">
        <v>247</v>
      </c>
      <c r="C773" s="5" t="s">
        <v>248</v>
      </c>
      <c r="D773" s="5" t="s">
        <v>101</v>
      </c>
      <c r="E773" s="5" t="s">
        <v>2251</v>
      </c>
      <c r="F773" s="5" t="n">
        <v>0</v>
      </c>
      <c r="G773" s="5" t="n">
        <v>8</v>
      </c>
      <c r="H773" s="6" t="str">
        <f aca="false">IF(N773="","",N773&amp;IF(AND(MOD(N773,100)&gt;=11,MOD(N773,100)&lt;=13),"th",CHOOSE(MIN(5,MOD(N773,10)+1),"th","st","nd","rd","th")))</f>
        <v>15th</v>
      </c>
      <c r="I773" s="5" t="s">
        <v>2015</v>
      </c>
      <c r="J773" s="6" t="n">
        <f aca="false">IFERROR(INDEX(Rounds!$A:$A,MATCH(I773,Rounds!$B:$B,0)),"ADD LEAGUE TO ROUNDS")</f>
        <v>7</v>
      </c>
      <c r="K773" s="6" t="n">
        <f aca="false">IFERROR(VALUE(LEFT(E773,FIND(" - ",E773)-1)),"")</f>
        <v>7</v>
      </c>
      <c r="L773" s="5" t="s">
        <v>2288</v>
      </c>
      <c r="N773" s="6" t="n">
        <f aca="false">IF(F773="","",1+COUNTIFS($J:$J,J773,$K:$K,K773,$F:$F,"&gt;"&amp;F773)+COUNTIFS($J:$J,J773,$K:$K,K773,$F:$F,F773,$G:$G,"&gt;"&amp;G773))</f>
        <v>15</v>
      </c>
      <c r="O773" s="6" t="n">
        <f aca="false">IF(L773="","",SUMIFS(Votes!$E:$E,Votes!$A:$A,J773,Votes!$B:$B,K773,Votes!$D:$D,L773))</f>
        <v>8</v>
      </c>
      <c r="P773" s="6" t="n">
        <f aca="false">IF(L773="","",COUNTIFS(Votes!$A:$A,J773,Votes!$B:$B,K773,Votes!$D:$D,L773))</f>
        <v>8</v>
      </c>
      <c r="Q773" s="7" t="str">
        <f aca="false">IF(F773="","Unscored",IF(O773="","No URI",IF(AND(F773=0,O773=0),"Zero-vote",IF(AND(F773=O773,G773=P773),"OK",IF(AND(F773=0,O773&gt;0,COUNTIFS(Votes!$A:$A,J773,Votes!$B:$B,K773,Votes!$C:$C,D773)=0),"Forfeited","Mismatch")))))</f>
        <v>Forfeited</v>
      </c>
      <c r="R773" s="6" t="n">
        <f aca="false">MAX(IF(L773&lt;&gt;"",COUNTIF($L:$L,L773),0),COUNTIFS($A:$A,A773,$B:$B,B773))</f>
        <v>1</v>
      </c>
      <c r="S773" s="6" t="str">
        <f aca="false">IF(R773&gt;1,COUNTIF($R$2:R773,"&gt;1"),"")</f>
        <v/>
      </c>
      <c r="T773" s="6" t="str">
        <f aca="false">IF(L773="","",J773&amp;"|"&amp;K773&amp;"|"&amp;L773)</f>
        <v>7|7|spotify:track:6BqmgqzgKNxPszu1I6gOpn</v>
      </c>
      <c r="U773" s="6" t="str">
        <f aca="false">IF(C773="","",IFERROR(INDEX(Lists!$F:$F,MATCH(C773,Lists!$E:$E,0)),"Unmapped"))</f>
        <v>Folk/Americana</v>
      </c>
    </row>
    <row r="774" customFormat="false" ht="15" hidden="false" customHeight="false" outlineLevel="0" collapsed="false">
      <c r="A774" s="5" t="s">
        <v>2289</v>
      </c>
      <c r="B774" s="5" t="s">
        <v>2290</v>
      </c>
      <c r="C774" s="5" t="s">
        <v>132</v>
      </c>
      <c r="D774" s="5" t="s">
        <v>85</v>
      </c>
      <c r="E774" s="5" t="s">
        <v>2291</v>
      </c>
      <c r="F774" s="5" t="n">
        <v>19</v>
      </c>
      <c r="G774" s="5" t="n">
        <v>10</v>
      </c>
      <c r="H774" s="6" t="str">
        <f aca="false">IF(N774="","",N774&amp;IF(AND(MOD(N774,100)&gt;=11,MOD(N774,100)&lt;=13),"th",CHOOSE(MIN(5,MOD(N774,10)+1),"th","st","nd","rd","th")))</f>
        <v>1st</v>
      </c>
      <c r="I774" s="5" t="s">
        <v>2015</v>
      </c>
      <c r="J774" s="6" t="n">
        <f aca="false">IFERROR(INDEX(Rounds!$A:$A,MATCH(I774,Rounds!$B:$B,0)),"ADD LEAGUE TO ROUNDS")</f>
        <v>7</v>
      </c>
      <c r="K774" s="6" t="n">
        <f aca="false">IFERROR(VALUE(LEFT(E774,FIND(" - ",E774)-1)),"")</f>
        <v>8</v>
      </c>
      <c r="L774" s="5" t="s">
        <v>2292</v>
      </c>
      <c r="N774" s="6" t="n">
        <f aca="false">IF(F774="","",1+COUNTIFS($J:$J,J774,$K:$K,K774,$F:$F,"&gt;"&amp;F774)+COUNTIFS($J:$J,J774,$K:$K,K774,$F:$F,F774,$G:$G,"&gt;"&amp;G774))</f>
        <v>1</v>
      </c>
      <c r="O774" s="6" t="n">
        <f aca="false">IF(L774="","",SUMIFS(Votes!$E:$E,Votes!$A:$A,J774,Votes!$B:$B,K774,Votes!$D:$D,L774))</f>
        <v>19</v>
      </c>
      <c r="P774" s="6" t="n">
        <f aca="false">IF(L774="","",COUNTIFS(Votes!$A:$A,J774,Votes!$B:$B,K774,Votes!$D:$D,L774))</f>
        <v>10</v>
      </c>
      <c r="Q774" s="7" t="str">
        <f aca="false">IF(F774="","Unscored",IF(O774="","No URI",IF(AND(F774=0,O774=0),"Zero-vote",IF(AND(F774=O774,G774=P774),"OK",IF(AND(F774=0,O774&gt;0,COUNTIFS(Votes!$A:$A,J774,Votes!$B:$B,K774,Votes!$C:$C,D774)=0),"Forfeited","Mismatch")))))</f>
        <v>OK</v>
      </c>
      <c r="R774" s="6" t="n">
        <f aca="false">MAX(IF(L774&lt;&gt;"",COUNTIF($L:$L,L774),0),COUNTIFS($A:$A,A774,$B:$B,B774))</f>
        <v>1</v>
      </c>
      <c r="S774" s="6" t="str">
        <f aca="false">IF(R774&gt;1,COUNTIF($R$2:R774,"&gt;1"),"")</f>
        <v/>
      </c>
      <c r="T774" s="6" t="str">
        <f aca="false">IF(L774="","",J774&amp;"|"&amp;K774&amp;"|"&amp;L774)</f>
        <v>7|8|spotify:track:1esmJ8t2PRbYt2yMx2aSEW</v>
      </c>
      <c r="U774" s="6" t="str">
        <f aca="false">IF(C774="","",IFERROR(INDEX(Lists!$F:$F,MATCH(C774,Lists!$E:$E,0)),"Unmapped"))</f>
        <v>Soundtrack/Musical</v>
      </c>
    </row>
    <row r="775" customFormat="false" ht="15" hidden="false" customHeight="false" outlineLevel="0" collapsed="false">
      <c r="A775" s="5" t="s">
        <v>2293</v>
      </c>
      <c r="B775" s="5" t="s">
        <v>2294</v>
      </c>
      <c r="C775" s="5" t="s">
        <v>96</v>
      </c>
      <c r="D775" s="5" t="s">
        <v>2052</v>
      </c>
      <c r="E775" s="5" t="s">
        <v>2291</v>
      </c>
      <c r="F775" s="5" t="n">
        <v>13</v>
      </c>
      <c r="G775" s="5" t="n">
        <v>11</v>
      </c>
      <c r="H775" s="6" t="str">
        <f aca="false">IF(N775="","",N775&amp;IF(AND(MOD(N775,100)&gt;=11,MOD(N775,100)&lt;=13),"th",CHOOSE(MIN(5,MOD(N775,10)+1),"th","st","nd","rd","th")))</f>
        <v>2nd</v>
      </c>
      <c r="I775" s="5" t="s">
        <v>2015</v>
      </c>
      <c r="J775" s="6" t="n">
        <f aca="false">IFERROR(INDEX(Rounds!$A:$A,MATCH(I775,Rounds!$B:$B,0)),"ADD LEAGUE TO ROUNDS")</f>
        <v>7</v>
      </c>
      <c r="K775" s="6" t="n">
        <f aca="false">IFERROR(VALUE(LEFT(E775,FIND(" - ",E775)-1)),"")</f>
        <v>8</v>
      </c>
      <c r="L775" s="5" t="s">
        <v>2295</v>
      </c>
      <c r="N775" s="6" t="n">
        <f aca="false">IF(F775="","",1+COUNTIFS($J:$J,J775,$K:$K,K775,$F:$F,"&gt;"&amp;F775)+COUNTIFS($J:$J,J775,$K:$K,K775,$F:$F,F775,$G:$G,"&gt;"&amp;G775))</f>
        <v>2</v>
      </c>
      <c r="O775" s="6" t="n">
        <f aca="false">IF(L775="","",SUMIFS(Votes!$E:$E,Votes!$A:$A,J775,Votes!$B:$B,K775,Votes!$D:$D,L775))</f>
        <v>13</v>
      </c>
      <c r="P775" s="6" t="n">
        <f aca="false">IF(L775="","",COUNTIFS(Votes!$A:$A,J775,Votes!$B:$B,K775,Votes!$D:$D,L775))</f>
        <v>11</v>
      </c>
      <c r="Q775" s="7" t="str">
        <f aca="false">IF(F775="","Unscored",IF(O775="","No URI",IF(AND(F775=0,O775=0),"Zero-vote",IF(AND(F775=O775,G775=P775),"OK",IF(AND(F775=0,O775&gt;0,COUNTIFS(Votes!$A:$A,J775,Votes!$B:$B,K775,Votes!$C:$C,D775)=0),"Forfeited","Mismatch")))))</f>
        <v>OK</v>
      </c>
      <c r="R775" s="6" t="n">
        <f aca="false">MAX(IF(L775&lt;&gt;"",COUNTIF($L:$L,L775),0),COUNTIFS($A:$A,A775,$B:$B,B775))</f>
        <v>1</v>
      </c>
      <c r="S775" s="6" t="str">
        <f aca="false">IF(R775&gt;1,COUNTIF($R$2:R775,"&gt;1"),"")</f>
        <v/>
      </c>
      <c r="T775" s="6" t="str">
        <f aca="false">IF(L775="","",J775&amp;"|"&amp;K775&amp;"|"&amp;L775)</f>
        <v>7|8|spotify:track:7jwQlYGpOml9ETGre1HqGA</v>
      </c>
      <c r="U775" s="6" t="str">
        <f aca="false">IF(C775="","",IFERROR(INDEX(Lists!$F:$F,MATCH(C775,Lists!$E:$E,0)),"Unmapped"))</f>
        <v>R&amp;B/Soul</v>
      </c>
    </row>
    <row r="776" customFormat="false" ht="15" hidden="false" customHeight="false" outlineLevel="0" collapsed="false">
      <c r="A776" s="5" t="s">
        <v>2296</v>
      </c>
      <c r="B776" s="5" t="s">
        <v>679</v>
      </c>
      <c r="C776" s="5" t="s">
        <v>105</v>
      </c>
      <c r="D776" s="5" t="s">
        <v>106</v>
      </c>
      <c r="E776" s="5" t="s">
        <v>2291</v>
      </c>
      <c r="F776" s="5" t="n">
        <v>13</v>
      </c>
      <c r="G776" s="5" t="n">
        <v>10</v>
      </c>
      <c r="H776" s="6" t="str">
        <f aca="false">IF(N776="","",N776&amp;IF(AND(MOD(N776,100)&gt;=11,MOD(N776,100)&lt;=13),"th",CHOOSE(MIN(5,MOD(N776,10)+1),"th","st","nd","rd","th")))</f>
        <v>3rd</v>
      </c>
      <c r="I776" s="5" t="s">
        <v>2015</v>
      </c>
      <c r="J776" s="6" t="n">
        <f aca="false">IFERROR(INDEX(Rounds!$A:$A,MATCH(I776,Rounds!$B:$B,0)),"ADD LEAGUE TO ROUNDS")</f>
        <v>7</v>
      </c>
      <c r="K776" s="6" t="n">
        <f aca="false">IFERROR(VALUE(LEFT(E776,FIND(" - ",E776)-1)),"")</f>
        <v>8</v>
      </c>
      <c r="L776" s="5" t="s">
        <v>2297</v>
      </c>
      <c r="N776" s="6" t="n">
        <f aca="false">IF(F776="","",1+COUNTIFS($J:$J,J776,$K:$K,K776,$F:$F,"&gt;"&amp;F776)+COUNTIFS($J:$J,J776,$K:$K,K776,$F:$F,F776,$G:$G,"&gt;"&amp;G776))</f>
        <v>3</v>
      </c>
      <c r="O776" s="6" t="n">
        <f aca="false">IF(L776="","",SUMIFS(Votes!$E:$E,Votes!$A:$A,J776,Votes!$B:$B,K776,Votes!$D:$D,L776))</f>
        <v>13</v>
      </c>
      <c r="P776" s="6" t="n">
        <f aca="false">IF(L776="","",COUNTIFS(Votes!$A:$A,J776,Votes!$B:$B,K776,Votes!$D:$D,L776))</f>
        <v>10</v>
      </c>
      <c r="Q776" s="7" t="str">
        <f aca="false">IF(F776="","Unscored",IF(O776="","No URI",IF(AND(F776=0,O776=0),"Zero-vote",IF(AND(F776=O776,G776=P776),"OK",IF(AND(F776=0,O776&gt;0,COUNTIFS(Votes!$A:$A,J776,Votes!$B:$B,K776,Votes!$C:$C,D776)=0),"Forfeited","Mismatch")))))</f>
        <v>OK</v>
      </c>
      <c r="R776" s="6" t="n">
        <f aca="false">MAX(IF(L776&lt;&gt;"",COUNTIF($L:$L,L776),0),COUNTIFS($A:$A,A776,$B:$B,B776))</f>
        <v>1</v>
      </c>
      <c r="S776" s="6" t="str">
        <f aca="false">IF(R776&gt;1,COUNTIF($R$2:R776,"&gt;1"),"")</f>
        <v/>
      </c>
      <c r="T776" s="6" t="str">
        <f aca="false">IF(L776="","",J776&amp;"|"&amp;K776&amp;"|"&amp;L776)</f>
        <v>7|8|spotify:track:3D0bXrSv7O73vOaGOG8J9c</v>
      </c>
      <c r="U776" s="6" t="str">
        <f aca="false">IF(C776="","",IFERROR(INDEX(Lists!$F:$F,MATCH(C776,Lists!$E:$E,0)),"Unmapped"))</f>
        <v>Metal</v>
      </c>
    </row>
    <row r="777" customFormat="false" ht="15" hidden="false" customHeight="false" outlineLevel="0" collapsed="false">
      <c r="A777" s="5" t="s">
        <v>2298</v>
      </c>
      <c r="B777" s="5" t="s">
        <v>2299</v>
      </c>
      <c r="C777" s="5" t="s">
        <v>105</v>
      </c>
      <c r="D777" s="5" t="s">
        <v>719</v>
      </c>
      <c r="E777" s="5" t="s">
        <v>2291</v>
      </c>
      <c r="F777" s="5" t="n">
        <v>13</v>
      </c>
      <c r="G777" s="5" t="n">
        <v>10</v>
      </c>
      <c r="H777" s="6" t="str">
        <f aca="false">IF(N777="","",N777&amp;IF(AND(MOD(N777,100)&gt;=11,MOD(N777,100)&lt;=13),"th",CHOOSE(MIN(5,MOD(N777,10)+1),"th","st","nd","rd","th")))</f>
        <v>3rd</v>
      </c>
      <c r="I777" s="5" t="s">
        <v>2015</v>
      </c>
      <c r="J777" s="6" t="n">
        <f aca="false">IFERROR(INDEX(Rounds!$A:$A,MATCH(I777,Rounds!$B:$B,0)),"ADD LEAGUE TO ROUNDS")</f>
        <v>7</v>
      </c>
      <c r="K777" s="6" t="n">
        <f aca="false">IFERROR(VALUE(LEFT(E777,FIND(" - ",E777)-1)),"")</f>
        <v>8</v>
      </c>
      <c r="L777" s="5" t="s">
        <v>2300</v>
      </c>
      <c r="N777" s="6" t="n">
        <f aca="false">IF(F777="","",1+COUNTIFS($J:$J,J777,$K:$K,K777,$F:$F,"&gt;"&amp;F777)+COUNTIFS($J:$J,J777,$K:$K,K777,$F:$F,F777,$G:$G,"&gt;"&amp;G777))</f>
        <v>3</v>
      </c>
      <c r="O777" s="6" t="n">
        <f aca="false">IF(L777="","",SUMIFS(Votes!$E:$E,Votes!$A:$A,J777,Votes!$B:$B,K777,Votes!$D:$D,L777))</f>
        <v>13</v>
      </c>
      <c r="P777" s="6" t="n">
        <f aca="false">IF(L777="","",COUNTIFS(Votes!$A:$A,J777,Votes!$B:$B,K777,Votes!$D:$D,L777))</f>
        <v>10</v>
      </c>
      <c r="Q777" s="7" t="str">
        <f aca="false">IF(F777="","Unscored",IF(O777="","No URI",IF(AND(F777=0,O777=0),"Zero-vote",IF(AND(F777=O777,G777=P777),"OK",IF(AND(F777=0,O777&gt;0,COUNTIFS(Votes!$A:$A,J777,Votes!$B:$B,K777,Votes!$C:$C,D777)=0),"Forfeited","Mismatch")))))</f>
        <v>OK</v>
      </c>
      <c r="R777" s="6" t="n">
        <f aca="false">MAX(IF(L777&lt;&gt;"",COUNTIF($L:$L,L777),0),COUNTIFS($A:$A,A777,$B:$B,B777))</f>
        <v>1</v>
      </c>
      <c r="S777" s="6" t="str">
        <f aca="false">IF(R777&gt;1,COUNTIF($R$2:R777,"&gt;1"),"")</f>
        <v/>
      </c>
      <c r="T777" s="6" t="str">
        <f aca="false">IF(L777="","",J777&amp;"|"&amp;K777&amp;"|"&amp;L777)</f>
        <v>7|8|spotify:track:6Z77oDcn6iI1MHFCBPjl24</v>
      </c>
      <c r="U777" s="6" t="str">
        <f aca="false">IF(C777="","",IFERROR(INDEX(Lists!$F:$F,MATCH(C777,Lists!$E:$E,0)),"Unmapped"))</f>
        <v>Metal</v>
      </c>
    </row>
    <row r="778" customFormat="false" ht="15" hidden="false" customHeight="false" outlineLevel="0" collapsed="false">
      <c r="A778" s="5" t="s">
        <v>2301</v>
      </c>
      <c r="B778" s="5" t="s">
        <v>2302</v>
      </c>
      <c r="C778" s="5" t="s">
        <v>91</v>
      </c>
      <c r="D778" s="5" t="s">
        <v>97</v>
      </c>
      <c r="E778" s="5" t="s">
        <v>2291</v>
      </c>
      <c r="F778" s="5" t="n">
        <v>10</v>
      </c>
      <c r="G778" s="5" t="n">
        <v>8</v>
      </c>
      <c r="H778" s="6" t="str">
        <f aca="false">IF(N778="","",N778&amp;IF(AND(MOD(N778,100)&gt;=11,MOD(N778,100)&lt;=13),"th",CHOOSE(MIN(5,MOD(N778,10)+1),"th","st","nd","rd","th")))</f>
        <v>5th</v>
      </c>
      <c r="I778" s="5" t="s">
        <v>2015</v>
      </c>
      <c r="J778" s="6" t="n">
        <f aca="false">IFERROR(INDEX(Rounds!$A:$A,MATCH(I778,Rounds!$B:$B,0)),"ADD LEAGUE TO ROUNDS")</f>
        <v>7</v>
      </c>
      <c r="K778" s="6" t="n">
        <f aca="false">IFERROR(VALUE(LEFT(E778,FIND(" - ",E778)-1)),"")</f>
        <v>8</v>
      </c>
      <c r="L778" s="5" t="s">
        <v>2303</v>
      </c>
      <c r="N778" s="6" t="n">
        <f aca="false">IF(F778="","",1+COUNTIFS($J:$J,J778,$K:$K,K778,$F:$F,"&gt;"&amp;F778)+COUNTIFS($J:$J,J778,$K:$K,K778,$F:$F,F778,$G:$G,"&gt;"&amp;G778))</f>
        <v>5</v>
      </c>
      <c r="O778" s="6" t="n">
        <f aca="false">IF(L778="","",SUMIFS(Votes!$E:$E,Votes!$A:$A,J778,Votes!$B:$B,K778,Votes!$D:$D,L778))</f>
        <v>10</v>
      </c>
      <c r="P778" s="6" t="n">
        <f aca="false">IF(L778="","",COUNTIFS(Votes!$A:$A,J778,Votes!$B:$B,K778,Votes!$D:$D,L778))</f>
        <v>8</v>
      </c>
      <c r="Q778" s="7" t="str">
        <f aca="false">IF(F778="","Unscored",IF(O778="","No URI",IF(AND(F778=0,O778=0),"Zero-vote",IF(AND(F778=O778,G778=P778),"OK",IF(AND(F778=0,O778&gt;0,COUNTIFS(Votes!$A:$A,J778,Votes!$B:$B,K778,Votes!$C:$C,D778)=0),"Forfeited","Mismatch")))))</f>
        <v>OK</v>
      </c>
      <c r="R778" s="6" t="n">
        <f aca="false">MAX(IF(L778&lt;&gt;"",COUNTIF($L:$L,L778),0),COUNTIFS($A:$A,A778,$B:$B,B778))</f>
        <v>1</v>
      </c>
      <c r="S778" s="6" t="str">
        <f aca="false">IF(R778&gt;1,COUNTIF($R$2:R778,"&gt;1"),"")</f>
        <v/>
      </c>
      <c r="T778" s="6" t="str">
        <f aca="false">IF(L778="","",J778&amp;"|"&amp;K778&amp;"|"&amp;L778)</f>
        <v>7|8|spotify:track:18oWEPapjNt32E6sCM6VLb</v>
      </c>
      <c r="U778" s="6" t="str">
        <f aca="false">IF(C778="","",IFERROR(INDEX(Lists!$F:$F,MATCH(C778,Lists!$E:$E,0)),"Unmapped"))</f>
        <v>Rock</v>
      </c>
    </row>
    <row r="779" customFormat="false" ht="15" hidden="false" customHeight="false" outlineLevel="0" collapsed="false">
      <c r="A779" s="5" t="s">
        <v>2304</v>
      </c>
      <c r="B779" s="5" t="s">
        <v>2305</v>
      </c>
      <c r="C779" s="5" t="s">
        <v>91</v>
      </c>
      <c r="D779" s="5" t="s">
        <v>2019</v>
      </c>
      <c r="E779" s="5" t="s">
        <v>2291</v>
      </c>
      <c r="F779" s="5" t="n">
        <v>9</v>
      </c>
      <c r="G779" s="5" t="n">
        <v>9</v>
      </c>
      <c r="H779" s="6" t="str">
        <f aca="false">IF(N779="","",N779&amp;IF(AND(MOD(N779,100)&gt;=11,MOD(N779,100)&lt;=13),"th",CHOOSE(MIN(5,MOD(N779,10)+1),"th","st","nd","rd","th")))</f>
        <v>6th</v>
      </c>
      <c r="I779" s="5" t="s">
        <v>2015</v>
      </c>
      <c r="J779" s="6" t="n">
        <f aca="false">IFERROR(INDEX(Rounds!$A:$A,MATCH(I779,Rounds!$B:$B,0)),"ADD LEAGUE TO ROUNDS")</f>
        <v>7</v>
      </c>
      <c r="K779" s="6" t="n">
        <f aca="false">IFERROR(VALUE(LEFT(E779,FIND(" - ",E779)-1)),"")</f>
        <v>8</v>
      </c>
      <c r="L779" s="5" t="s">
        <v>2306</v>
      </c>
      <c r="N779" s="6" t="n">
        <f aca="false">IF(F779="","",1+COUNTIFS($J:$J,J779,$K:$K,K779,$F:$F,"&gt;"&amp;F779)+COUNTIFS($J:$J,J779,$K:$K,K779,$F:$F,F779,$G:$G,"&gt;"&amp;G779))</f>
        <v>6</v>
      </c>
      <c r="O779" s="6" t="n">
        <f aca="false">IF(L779="","",SUMIFS(Votes!$E:$E,Votes!$A:$A,J779,Votes!$B:$B,K779,Votes!$D:$D,L779))</f>
        <v>9</v>
      </c>
      <c r="P779" s="6" t="n">
        <f aca="false">IF(L779="","",COUNTIFS(Votes!$A:$A,J779,Votes!$B:$B,K779,Votes!$D:$D,L779))</f>
        <v>9</v>
      </c>
      <c r="Q779" s="7" t="str">
        <f aca="false">IF(F779="","Unscored",IF(O779="","No URI",IF(AND(F779=0,O779=0),"Zero-vote",IF(AND(F779=O779,G779=P779),"OK",IF(AND(F779=0,O779&gt;0,COUNTIFS(Votes!$A:$A,J779,Votes!$B:$B,K779,Votes!$C:$C,D779)=0),"Forfeited","Mismatch")))))</f>
        <v>OK</v>
      </c>
      <c r="R779" s="6" t="n">
        <f aca="false">MAX(IF(L779&lt;&gt;"",COUNTIF($L:$L,L779),0),COUNTIFS($A:$A,A779,$B:$B,B779))</f>
        <v>1</v>
      </c>
      <c r="S779" s="6" t="str">
        <f aca="false">IF(R779&gt;1,COUNTIF($R$2:R779,"&gt;1"),"")</f>
        <v/>
      </c>
      <c r="T779" s="6" t="str">
        <f aca="false">IF(L779="","",J779&amp;"|"&amp;K779&amp;"|"&amp;L779)</f>
        <v>7|8|spotify:track:709ZIqPHyFOpx2QdjmeWAM</v>
      </c>
      <c r="U779" s="6" t="str">
        <f aca="false">IF(C779="","",IFERROR(INDEX(Lists!$F:$F,MATCH(C779,Lists!$E:$E,0)),"Unmapped"))</f>
        <v>Rock</v>
      </c>
    </row>
    <row r="780" customFormat="false" ht="15" hidden="false" customHeight="false" outlineLevel="0" collapsed="false">
      <c r="A780" s="5" t="s">
        <v>2307</v>
      </c>
      <c r="B780" s="5" t="s">
        <v>2308</v>
      </c>
      <c r="C780" s="5" t="s">
        <v>91</v>
      </c>
      <c r="D780" s="5" t="s">
        <v>1843</v>
      </c>
      <c r="E780" s="5" t="s">
        <v>2291</v>
      </c>
      <c r="F780" s="5" t="n">
        <v>9</v>
      </c>
      <c r="G780" s="5" t="n">
        <v>7</v>
      </c>
      <c r="H780" s="6" t="str">
        <f aca="false">IF(N780="","",N780&amp;IF(AND(MOD(N780,100)&gt;=11,MOD(N780,100)&lt;=13),"th",CHOOSE(MIN(5,MOD(N780,10)+1),"th","st","nd","rd","th")))</f>
        <v>7th</v>
      </c>
      <c r="I780" s="5" t="s">
        <v>2015</v>
      </c>
      <c r="J780" s="6" t="n">
        <f aca="false">IFERROR(INDEX(Rounds!$A:$A,MATCH(I780,Rounds!$B:$B,0)),"ADD LEAGUE TO ROUNDS")</f>
        <v>7</v>
      </c>
      <c r="K780" s="6" t="n">
        <f aca="false">IFERROR(VALUE(LEFT(E780,FIND(" - ",E780)-1)),"")</f>
        <v>8</v>
      </c>
      <c r="L780" s="5" t="s">
        <v>2309</v>
      </c>
      <c r="N780" s="6" t="n">
        <f aca="false">IF(F780="","",1+COUNTIFS($J:$J,J780,$K:$K,K780,$F:$F,"&gt;"&amp;F780)+COUNTIFS($J:$J,J780,$K:$K,K780,$F:$F,F780,$G:$G,"&gt;"&amp;G780))</f>
        <v>7</v>
      </c>
      <c r="O780" s="6" t="n">
        <f aca="false">IF(L780="","",SUMIFS(Votes!$E:$E,Votes!$A:$A,J780,Votes!$B:$B,K780,Votes!$D:$D,L780))</f>
        <v>9</v>
      </c>
      <c r="P780" s="6" t="n">
        <f aca="false">IF(L780="","",COUNTIFS(Votes!$A:$A,J780,Votes!$B:$B,K780,Votes!$D:$D,L780))</f>
        <v>7</v>
      </c>
      <c r="Q780" s="7" t="str">
        <f aca="false">IF(F780="","Unscored",IF(O780="","No URI",IF(AND(F780=0,O780=0),"Zero-vote",IF(AND(F780=O780,G780=P780),"OK",IF(AND(F780=0,O780&gt;0,COUNTIFS(Votes!$A:$A,J780,Votes!$B:$B,K780,Votes!$C:$C,D780)=0),"Forfeited","Mismatch")))))</f>
        <v>OK</v>
      </c>
      <c r="R780" s="6" t="n">
        <f aca="false">MAX(IF(L780&lt;&gt;"",COUNTIF($L:$L,L780),0),COUNTIFS($A:$A,A780,$B:$B,B780))</f>
        <v>1</v>
      </c>
      <c r="S780" s="6" t="str">
        <f aca="false">IF(R780&gt;1,COUNTIF($R$2:R780,"&gt;1"),"")</f>
        <v/>
      </c>
      <c r="T780" s="6" t="str">
        <f aca="false">IF(L780="","",J780&amp;"|"&amp;K780&amp;"|"&amp;L780)</f>
        <v>7|8|spotify:track:1dUPABHPVfHnvdLnKwYbgz</v>
      </c>
      <c r="U780" s="6" t="str">
        <f aca="false">IF(C780="","",IFERROR(INDEX(Lists!$F:$F,MATCH(C780,Lists!$E:$E,0)),"Unmapped"))</f>
        <v>Rock</v>
      </c>
    </row>
    <row r="781" customFormat="false" ht="15" hidden="false" customHeight="false" outlineLevel="0" collapsed="false">
      <c r="A781" s="5" t="s">
        <v>155</v>
      </c>
      <c r="B781" s="5" t="s">
        <v>2310</v>
      </c>
      <c r="C781" s="5" t="s">
        <v>132</v>
      </c>
      <c r="D781" s="5" t="s">
        <v>705</v>
      </c>
      <c r="E781" s="5" t="s">
        <v>2291</v>
      </c>
      <c r="F781" s="5" t="n">
        <v>9</v>
      </c>
      <c r="G781" s="5" t="n">
        <v>7</v>
      </c>
      <c r="H781" s="6" t="str">
        <f aca="false">IF(N781="","",N781&amp;IF(AND(MOD(N781,100)&gt;=11,MOD(N781,100)&lt;=13),"th",CHOOSE(MIN(5,MOD(N781,10)+1),"th","st","nd","rd","th")))</f>
        <v>7th</v>
      </c>
      <c r="I781" s="5" t="s">
        <v>2015</v>
      </c>
      <c r="J781" s="6" t="n">
        <f aca="false">IFERROR(INDEX(Rounds!$A:$A,MATCH(I781,Rounds!$B:$B,0)),"ADD LEAGUE TO ROUNDS")</f>
        <v>7</v>
      </c>
      <c r="K781" s="6" t="n">
        <f aca="false">IFERROR(VALUE(LEFT(E781,FIND(" - ",E781)-1)),"")</f>
        <v>8</v>
      </c>
      <c r="L781" s="5" t="s">
        <v>2311</v>
      </c>
      <c r="N781" s="6" t="n">
        <f aca="false">IF(F781="","",1+COUNTIFS($J:$J,J781,$K:$K,K781,$F:$F,"&gt;"&amp;F781)+COUNTIFS($J:$J,J781,$K:$K,K781,$F:$F,F781,$G:$G,"&gt;"&amp;G781))</f>
        <v>7</v>
      </c>
      <c r="O781" s="6" t="n">
        <f aca="false">IF(L781="","",SUMIFS(Votes!$E:$E,Votes!$A:$A,J781,Votes!$B:$B,K781,Votes!$D:$D,L781))</f>
        <v>9</v>
      </c>
      <c r="P781" s="6" t="n">
        <f aca="false">IF(L781="","",COUNTIFS(Votes!$A:$A,J781,Votes!$B:$B,K781,Votes!$D:$D,L781))</f>
        <v>7</v>
      </c>
      <c r="Q781" s="7" t="str">
        <f aca="false">IF(F781="","Unscored",IF(O781="","No URI",IF(AND(F781=0,O781=0),"Zero-vote",IF(AND(F781=O781,G781=P781),"OK",IF(AND(F781=0,O781&gt;0,COUNTIFS(Votes!$A:$A,J781,Votes!$B:$B,K781,Votes!$C:$C,D781)=0),"Forfeited","Mismatch")))))</f>
        <v>OK</v>
      </c>
      <c r="R781" s="6" t="n">
        <f aca="false">MAX(IF(L781&lt;&gt;"",COUNTIF($L:$L,L781),0),COUNTIFS($A:$A,A781,$B:$B,B781))</f>
        <v>1</v>
      </c>
      <c r="S781" s="6" t="str">
        <f aca="false">IF(R781&gt;1,COUNTIF($R$2:R781,"&gt;1"),"")</f>
        <v/>
      </c>
      <c r="T781" s="6" t="str">
        <f aca="false">IF(L781="","",J781&amp;"|"&amp;K781&amp;"|"&amp;L781)</f>
        <v>7|8|spotify:track:1esIh49tNEGrXEHorSTHZ1</v>
      </c>
      <c r="U781" s="6" t="str">
        <f aca="false">IF(C781="","",IFERROR(INDEX(Lists!$F:$F,MATCH(C781,Lists!$E:$E,0)),"Unmapped"))</f>
        <v>Soundtrack/Musical</v>
      </c>
    </row>
    <row r="782" customFormat="false" ht="15" hidden="false" customHeight="false" outlineLevel="0" collapsed="false">
      <c r="A782" s="5" t="s">
        <v>2312</v>
      </c>
      <c r="B782" s="5" t="s">
        <v>2313</v>
      </c>
      <c r="C782" s="5" t="s">
        <v>91</v>
      </c>
      <c r="D782" s="5" t="s">
        <v>116</v>
      </c>
      <c r="E782" s="5" t="s">
        <v>2291</v>
      </c>
      <c r="F782" s="5" t="n">
        <v>9</v>
      </c>
      <c r="G782" s="5" t="n">
        <v>7</v>
      </c>
      <c r="H782" s="6" t="str">
        <f aca="false">IF(N782="","",N782&amp;IF(AND(MOD(N782,100)&gt;=11,MOD(N782,100)&lt;=13),"th",CHOOSE(MIN(5,MOD(N782,10)+1),"th","st","nd","rd","th")))</f>
        <v>7th</v>
      </c>
      <c r="I782" s="5" t="s">
        <v>2015</v>
      </c>
      <c r="J782" s="6" t="n">
        <f aca="false">IFERROR(INDEX(Rounds!$A:$A,MATCH(I782,Rounds!$B:$B,0)),"ADD LEAGUE TO ROUNDS")</f>
        <v>7</v>
      </c>
      <c r="K782" s="6" t="n">
        <f aca="false">IFERROR(VALUE(LEFT(E782,FIND(" - ",E782)-1)),"")</f>
        <v>8</v>
      </c>
      <c r="L782" s="5" t="s">
        <v>2314</v>
      </c>
      <c r="N782" s="6" t="n">
        <f aca="false">IF(F782="","",1+COUNTIFS($J:$J,J782,$K:$K,K782,$F:$F,"&gt;"&amp;F782)+COUNTIFS($J:$J,J782,$K:$K,K782,$F:$F,F782,$G:$G,"&gt;"&amp;G782))</f>
        <v>7</v>
      </c>
      <c r="O782" s="6" t="n">
        <f aca="false">IF(L782="","",SUMIFS(Votes!$E:$E,Votes!$A:$A,J782,Votes!$B:$B,K782,Votes!$D:$D,L782))</f>
        <v>9</v>
      </c>
      <c r="P782" s="6" t="n">
        <f aca="false">IF(L782="","",COUNTIFS(Votes!$A:$A,J782,Votes!$B:$B,K782,Votes!$D:$D,L782))</f>
        <v>7</v>
      </c>
      <c r="Q782" s="7" t="str">
        <f aca="false">IF(F782="","Unscored",IF(O782="","No URI",IF(AND(F782=0,O782=0),"Zero-vote",IF(AND(F782=O782,G782=P782),"OK",IF(AND(F782=0,O782&gt;0,COUNTIFS(Votes!$A:$A,J782,Votes!$B:$B,K782,Votes!$C:$C,D782)=0),"Forfeited","Mismatch")))))</f>
        <v>OK</v>
      </c>
      <c r="R782" s="6" t="n">
        <f aca="false">MAX(IF(L782&lt;&gt;"",COUNTIF($L:$L,L782),0),COUNTIFS($A:$A,A782,$B:$B,B782))</f>
        <v>1</v>
      </c>
      <c r="S782" s="6" t="str">
        <f aca="false">IF(R782&gt;1,COUNTIF($R$2:R782,"&gt;1"),"")</f>
        <v/>
      </c>
      <c r="T782" s="6" t="str">
        <f aca="false">IF(L782="","",J782&amp;"|"&amp;K782&amp;"|"&amp;L782)</f>
        <v>7|8|spotify:track:2h47SG8bNphmicAll4H9RV</v>
      </c>
      <c r="U782" s="6" t="str">
        <f aca="false">IF(C782="","",IFERROR(INDEX(Lists!$F:$F,MATCH(C782,Lists!$E:$E,0)),"Unmapped"))</f>
        <v>Rock</v>
      </c>
    </row>
    <row r="783" customFormat="false" ht="15" hidden="false" customHeight="false" outlineLevel="0" collapsed="false">
      <c r="A783" s="5" t="s">
        <v>2315</v>
      </c>
      <c r="B783" s="5" t="s">
        <v>2316</v>
      </c>
      <c r="C783" s="5" t="s">
        <v>91</v>
      </c>
      <c r="D783" s="5" t="s">
        <v>484</v>
      </c>
      <c r="E783" s="5" t="s">
        <v>2291</v>
      </c>
      <c r="F783" s="5" t="n">
        <v>8</v>
      </c>
      <c r="G783" s="5" t="n">
        <v>7</v>
      </c>
      <c r="H783" s="6" t="str">
        <f aca="false">IF(N783="","",N783&amp;IF(AND(MOD(N783,100)&gt;=11,MOD(N783,100)&lt;=13),"th",CHOOSE(MIN(5,MOD(N783,10)+1),"th","st","nd","rd","th")))</f>
        <v>10th</v>
      </c>
      <c r="I783" s="5" t="s">
        <v>2015</v>
      </c>
      <c r="J783" s="6" t="n">
        <f aca="false">IFERROR(INDEX(Rounds!$A:$A,MATCH(I783,Rounds!$B:$B,0)),"ADD LEAGUE TO ROUNDS")</f>
        <v>7</v>
      </c>
      <c r="K783" s="6" t="n">
        <f aca="false">IFERROR(VALUE(LEFT(E783,FIND(" - ",E783)-1)),"")</f>
        <v>8</v>
      </c>
      <c r="L783" s="5" t="s">
        <v>2317</v>
      </c>
      <c r="N783" s="6" t="n">
        <f aca="false">IF(F783="","",1+COUNTIFS($J:$J,J783,$K:$K,K783,$F:$F,"&gt;"&amp;F783)+COUNTIFS($J:$J,J783,$K:$K,K783,$F:$F,F783,$G:$G,"&gt;"&amp;G783))</f>
        <v>10</v>
      </c>
      <c r="O783" s="6" t="n">
        <f aca="false">IF(L783="","",SUMIFS(Votes!$E:$E,Votes!$A:$A,J783,Votes!$B:$B,K783,Votes!$D:$D,L783))</f>
        <v>8</v>
      </c>
      <c r="P783" s="6" t="n">
        <f aca="false">IF(L783="","",COUNTIFS(Votes!$A:$A,J783,Votes!$B:$B,K783,Votes!$D:$D,L783))</f>
        <v>7</v>
      </c>
      <c r="Q783" s="7" t="str">
        <f aca="false">IF(F783="","Unscored",IF(O783="","No URI",IF(AND(F783=0,O783=0),"Zero-vote",IF(AND(F783=O783,G783=P783),"OK",IF(AND(F783=0,O783&gt;0,COUNTIFS(Votes!$A:$A,J783,Votes!$B:$B,K783,Votes!$C:$C,D783)=0),"Forfeited","Mismatch")))))</f>
        <v>OK</v>
      </c>
      <c r="R783" s="6" t="n">
        <f aca="false">MAX(IF(L783&lt;&gt;"",COUNTIF($L:$L,L783),0),COUNTIFS($A:$A,A783,$B:$B,B783))</f>
        <v>1</v>
      </c>
      <c r="S783" s="6" t="str">
        <f aca="false">IF(R783&gt;1,COUNTIF($R$2:R783,"&gt;1"),"")</f>
        <v/>
      </c>
      <c r="T783" s="6" t="str">
        <f aca="false">IF(L783="","",J783&amp;"|"&amp;K783&amp;"|"&amp;L783)</f>
        <v>7|8|spotify:track:0CBM2iiBZmfKntDeQYboqU</v>
      </c>
      <c r="U783" s="6" t="str">
        <f aca="false">IF(C783="","",IFERROR(INDEX(Lists!$F:$F,MATCH(C783,Lists!$E:$E,0)),"Unmapped"))</f>
        <v>Rock</v>
      </c>
    </row>
    <row r="784" customFormat="false" ht="15" hidden="false" customHeight="false" outlineLevel="0" collapsed="false">
      <c r="A784" s="5" t="s">
        <v>2318</v>
      </c>
      <c r="B784" s="5" t="s">
        <v>640</v>
      </c>
      <c r="C784" s="5" t="s">
        <v>96</v>
      </c>
      <c r="D784" s="5" t="s">
        <v>119</v>
      </c>
      <c r="E784" s="5" t="s">
        <v>2291</v>
      </c>
      <c r="F784" s="5" t="n">
        <v>8</v>
      </c>
      <c r="G784" s="5" t="n">
        <v>6</v>
      </c>
      <c r="H784" s="6" t="str">
        <f aca="false">IF(N784="","",N784&amp;IF(AND(MOD(N784,100)&gt;=11,MOD(N784,100)&lt;=13),"th",CHOOSE(MIN(5,MOD(N784,10)+1),"th","st","nd","rd","th")))</f>
        <v>11th</v>
      </c>
      <c r="I784" s="5" t="s">
        <v>2015</v>
      </c>
      <c r="J784" s="6" t="n">
        <f aca="false">IFERROR(INDEX(Rounds!$A:$A,MATCH(I784,Rounds!$B:$B,0)),"ADD LEAGUE TO ROUNDS")</f>
        <v>7</v>
      </c>
      <c r="K784" s="6" t="n">
        <f aca="false">IFERROR(VALUE(LEFT(E784,FIND(" - ",E784)-1)),"")</f>
        <v>8</v>
      </c>
      <c r="L784" s="5" t="s">
        <v>2319</v>
      </c>
      <c r="N784" s="6" t="n">
        <f aca="false">IF(F784="","",1+COUNTIFS($J:$J,J784,$K:$K,K784,$F:$F,"&gt;"&amp;F784)+COUNTIFS($J:$J,J784,$K:$K,K784,$F:$F,F784,$G:$G,"&gt;"&amp;G784))</f>
        <v>11</v>
      </c>
      <c r="O784" s="6" t="n">
        <f aca="false">IF(L784="","",SUMIFS(Votes!$E:$E,Votes!$A:$A,J784,Votes!$B:$B,K784,Votes!$D:$D,L784))</f>
        <v>8</v>
      </c>
      <c r="P784" s="6" t="n">
        <f aca="false">IF(L784="","",COUNTIFS(Votes!$A:$A,J784,Votes!$B:$B,K784,Votes!$D:$D,L784))</f>
        <v>6</v>
      </c>
      <c r="Q784" s="7" t="str">
        <f aca="false">IF(F784="","Unscored",IF(O784="","No URI",IF(AND(F784=0,O784=0),"Zero-vote",IF(AND(F784=O784,G784=P784),"OK",IF(AND(F784=0,O784&gt;0,COUNTIFS(Votes!$A:$A,J784,Votes!$B:$B,K784,Votes!$C:$C,D784)=0),"Forfeited","Mismatch")))))</f>
        <v>OK</v>
      </c>
      <c r="R784" s="6" t="n">
        <f aca="false">MAX(IF(L784&lt;&gt;"",COUNTIF($L:$L,L784),0),COUNTIFS($A:$A,A784,$B:$B,B784))</f>
        <v>1</v>
      </c>
      <c r="S784" s="6" t="str">
        <f aca="false">IF(R784&gt;1,COUNTIF($R$2:R784,"&gt;1"),"")</f>
        <v/>
      </c>
      <c r="T784" s="6" t="str">
        <f aca="false">IF(L784="","",J784&amp;"|"&amp;K784&amp;"|"&amp;L784)</f>
        <v>7|8|spotify:track:2VOomzT6VavJOGBeySqaMc</v>
      </c>
      <c r="U784" s="6" t="str">
        <f aca="false">IF(C784="","",IFERROR(INDEX(Lists!$F:$F,MATCH(C784,Lists!$E:$E,0)),"Unmapped"))</f>
        <v>R&amp;B/Soul</v>
      </c>
    </row>
    <row r="785" customFormat="false" ht="15" hidden="false" customHeight="false" outlineLevel="0" collapsed="false">
      <c r="A785" s="5" t="s">
        <v>2320</v>
      </c>
      <c r="B785" s="5" t="s">
        <v>2321</v>
      </c>
      <c r="C785" s="5" t="s">
        <v>506</v>
      </c>
      <c r="D785" s="5" t="s">
        <v>128</v>
      </c>
      <c r="E785" s="5" t="s">
        <v>2291</v>
      </c>
      <c r="F785" s="5" t="n">
        <v>7</v>
      </c>
      <c r="G785" s="5" t="n">
        <v>7</v>
      </c>
      <c r="H785" s="6" t="str">
        <f aca="false">IF(N785="","",N785&amp;IF(AND(MOD(N785,100)&gt;=11,MOD(N785,100)&lt;=13),"th",CHOOSE(MIN(5,MOD(N785,10)+1),"th","st","nd","rd","th")))</f>
        <v>12th</v>
      </c>
      <c r="I785" s="5" t="s">
        <v>2015</v>
      </c>
      <c r="J785" s="6" t="n">
        <f aca="false">IFERROR(INDEX(Rounds!$A:$A,MATCH(I785,Rounds!$B:$B,0)),"ADD LEAGUE TO ROUNDS")</f>
        <v>7</v>
      </c>
      <c r="K785" s="6" t="n">
        <f aca="false">IFERROR(VALUE(LEFT(E785,FIND(" - ",E785)-1)),"")</f>
        <v>8</v>
      </c>
      <c r="L785" s="5" t="s">
        <v>2322</v>
      </c>
      <c r="N785" s="6" t="n">
        <f aca="false">IF(F785="","",1+COUNTIFS($J:$J,J785,$K:$K,K785,$F:$F,"&gt;"&amp;F785)+COUNTIFS($J:$J,J785,$K:$K,K785,$F:$F,F785,$G:$G,"&gt;"&amp;G785))</f>
        <v>12</v>
      </c>
      <c r="O785" s="6" t="n">
        <f aca="false">IF(L785="","",SUMIFS(Votes!$E:$E,Votes!$A:$A,J785,Votes!$B:$B,K785,Votes!$D:$D,L785))</f>
        <v>7</v>
      </c>
      <c r="P785" s="6" t="n">
        <f aca="false">IF(L785="","",COUNTIFS(Votes!$A:$A,J785,Votes!$B:$B,K785,Votes!$D:$D,L785))</f>
        <v>7</v>
      </c>
      <c r="Q785" s="7" t="str">
        <f aca="false">IF(F785="","Unscored",IF(O785="","No URI",IF(AND(F785=0,O785=0),"Zero-vote",IF(AND(F785=O785,G785=P785),"OK",IF(AND(F785=0,O785&gt;0,COUNTIFS(Votes!$A:$A,J785,Votes!$B:$B,K785,Votes!$C:$C,D785)=0),"Forfeited","Mismatch")))))</f>
        <v>OK</v>
      </c>
      <c r="R785" s="6" t="n">
        <f aca="false">MAX(IF(L785&lt;&gt;"",COUNTIF($L:$L,L785),0),COUNTIFS($A:$A,A785,$B:$B,B785))</f>
        <v>1</v>
      </c>
      <c r="S785" s="6" t="str">
        <f aca="false">IF(R785&gt;1,COUNTIF($R$2:R785,"&gt;1"),"")</f>
        <v/>
      </c>
      <c r="T785" s="6" t="str">
        <f aca="false">IF(L785="","",J785&amp;"|"&amp;K785&amp;"|"&amp;L785)</f>
        <v>7|8|spotify:track:0xWs8OMHsWdqSvfDxhkmiw</v>
      </c>
      <c r="U785" s="6" t="str">
        <f aca="false">IF(C785="","",IFERROR(INDEX(Lists!$F:$F,MATCH(C785,Lists!$E:$E,0)),"Unmapped"))</f>
        <v>Classical/Score</v>
      </c>
    </row>
    <row r="786" customFormat="false" ht="15" hidden="false" customHeight="false" outlineLevel="0" collapsed="false">
      <c r="A786" s="5" t="s">
        <v>2323</v>
      </c>
      <c r="B786" s="5" t="s">
        <v>669</v>
      </c>
      <c r="C786" s="5" t="s">
        <v>670</v>
      </c>
      <c r="D786" s="5" t="s">
        <v>382</v>
      </c>
      <c r="E786" s="5" t="s">
        <v>2291</v>
      </c>
      <c r="F786" s="5" t="n">
        <v>7</v>
      </c>
      <c r="G786" s="5" t="n">
        <v>7</v>
      </c>
      <c r="H786" s="6" t="str">
        <f aca="false">IF(N786="","",N786&amp;IF(AND(MOD(N786,100)&gt;=11,MOD(N786,100)&lt;=13),"th",CHOOSE(MIN(5,MOD(N786,10)+1),"th","st","nd","rd","th")))</f>
        <v>12th</v>
      </c>
      <c r="I786" s="5" t="s">
        <v>2015</v>
      </c>
      <c r="J786" s="6" t="n">
        <f aca="false">IFERROR(INDEX(Rounds!$A:$A,MATCH(I786,Rounds!$B:$B,0)),"ADD LEAGUE TO ROUNDS")</f>
        <v>7</v>
      </c>
      <c r="K786" s="6" t="n">
        <f aca="false">IFERROR(VALUE(LEFT(E786,FIND(" - ",E786)-1)),"")</f>
        <v>8</v>
      </c>
      <c r="L786" s="5" t="s">
        <v>2324</v>
      </c>
      <c r="N786" s="6" t="n">
        <f aca="false">IF(F786="","",1+COUNTIFS($J:$J,J786,$K:$K,K786,$F:$F,"&gt;"&amp;F786)+COUNTIFS($J:$J,J786,$K:$K,K786,$F:$F,F786,$G:$G,"&gt;"&amp;G786))</f>
        <v>12</v>
      </c>
      <c r="O786" s="6" t="n">
        <f aca="false">IF(L786="","",SUMIFS(Votes!$E:$E,Votes!$A:$A,J786,Votes!$B:$B,K786,Votes!$D:$D,L786))</f>
        <v>7</v>
      </c>
      <c r="P786" s="6" t="n">
        <f aca="false">IF(L786="","",COUNTIFS(Votes!$A:$A,J786,Votes!$B:$B,K786,Votes!$D:$D,L786))</f>
        <v>7</v>
      </c>
      <c r="Q786" s="7" t="str">
        <f aca="false">IF(F786="","Unscored",IF(O786="","No URI",IF(AND(F786=0,O786=0),"Zero-vote",IF(AND(F786=O786,G786=P786),"OK",IF(AND(F786=0,O786&gt;0,COUNTIFS(Votes!$A:$A,J786,Votes!$B:$B,K786,Votes!$C:$C,D786)=0),"Forfeited","Mismatch")))))</f>
        <v>OK</v>
      </c>
      <c r="R786" s="6" t="n">
        <f aca="false">MAX(IF(L786&lt;&gt;"",COUNTIF($L:$L,L786),0),COUNTIFS($A:$A,A786,$B:$B,B786))</f>
        <v>1</v>
      </c>
      <c r="S786" s="6" t="str">
        <f aca="false">IF(R786&gt;1,COUNTIF($R$2:R786,"&gt;1"),"")</f>
        <v/>
      </c>
      <c r="T786" s="6" t="str">
        <f aca="false">IF(L786="","",J786&amp;"|"&amp;K786&amp;"|"&amp;L786)</f>
        <v>7|8|spotify:track:1Vchex0xowRj9k59RLvRfo</v>
      </c>
      <c r="U786" s="6" t="str">
        <f aca="false">IF(C786="","",IFERROR(INDEX(Lists!$F:$F,MATCH(C786,Lists!$E:$E,0)),"Unmapped"))</f>
        <v>Other</v>
      </c>
    </row>
    <row r="787" customFormat="false" ht="15" hidden="false" customHeight="false" outlineLevel="0" collapsed="false">
      <c r="A787" s="5" t="s">
        <v>2325</v>
      </c>
      <c r="B787" s="5" t="s">
        <v>2326</v>
      </c>
      <c r="C787" s="5" t="s">
        <v>91</v>
      </c>
      <c r="D787" s="5" t="s">
        <v>637</v>
      </c>
      <c r="E787" s="5" t="s">
        <v>2291</v>
      </c>
      <c r="F787" s="5" t="n">
        <v>6</v>
      </c>
      <c r="G787" s="5" t="n">
        <v>5</v>
      </c>
      <c r="H787" s="6" t="str">
        <f aca="false">IF(N787="","",N787&amp;IF(AND(MOD(N787,100)&gt;=11,MOD(N787,100)&lt;=13),"th",CHOOSE(MIN(5,MOD(N787,10)+1),"th","st","nd","rd","th")))</f>
        <v>14th</v>
      </c>
      <c r="I787" s="5" t="s">
        <v>2015</v>
      </c>
      <c r="J787" s="6" t="n">
        <f aca="false">IFERROR(INDEX(Rounds!$A:$A,MATCH(I787,Rounds!$B:$B,0)),"ADD LEAGUE TO ROUNDS")</f>
        <v>7</v>
      </c>
      <c r="K787" s="6" t="n">
        <f aca="false">IFERROR(VALUE(LEFT(E787,FIND(" - ",E787)-1)),"")</f>
        <v>8</v>
      </c>
      <c r="L787" s="5" t="s">
        <v>2327</v>
      </c>
      <c r="N787" s="6" t="n">
        <f aca="false">IF(F787="","",1+COUNTIFS($J:$J,J787,$K:$K,K787,$F:$F,"&gt;"&amp;F787)+COUNTIFS($J:$J,J787,$K:$K,K787,$F:$F,F787,$G:$G,"&gt;"&amp;G787))</f>
        <v>14</v>
      </c>
      <c r="O787" s="6" t="n">
        <f aca="false">IF(L787="","",SUMIFS(Votes!$E:$E,Votes!$A:$A,J787,Votes!$B:$B,K787,Votes!$D:$D,L787))</f>
        <v>6</v>
      </c>
      <c r="P787" s="6" t="n">
        <f aca="false">IF(L787="","",COUNTIFS(Votes!$A:$A,J787,Votes!$B:$B,K787,Votes!$D:$D,L787))</f>
        <v>5</v>
      </c>
      <c r="Q787" s="7" t="str">
        <f aca="false">IF(F787="","Unscored",IF(O787="","No URI",IF(AND(F787=0,O787=0),"Zero-vote",IF(AND(F787=O787,G787=P787),"OK",IF(AND(F787=0,O787&gt;0,COUNTIFS(Votes!$A:$A,J787,Votes!$B:$B,K787,Votes!$C:$C,D787)=0),"Forfeited","Mismatch")))))</f>
        <v>OK</v>
      </c>
      <c r="R787" s="6" t="n">
        <f aca="false">MAX(IF(L787&lt;&gt;"",COUNTIF($L:$L,L787),0),COUNTIFS($A:$A,A787,$B:$B,B787))</f>
        <v>1</v>
      </c>
      <c r="S787" s="6" t="str">
        <f aca="false">IF(R787&gt;1,COUNTIF($R$2:R787,"&gt;1"),"")</f>
        <v/>
      </c>
      <c r="T787" s="6" t="str">
        <f aca="false">IF(L787="","",J787&amp;"|"&amp;K787&amp;"|"&amp;L787)</f>
        <v>7|8|spotify:track:1PJRDeZSoZk7gtisdTYfLi</v>
      </c>
      <c r="U787" s="6" t="str">
        <f aca="false">IF(C787="","",IFERROR(INDEX(Lists!$F:$F,MATCH(C787,Lists!$E:$E,0)),"Unmapped"))</f>
        <v>Rock</v>
      </c>
    </row>
    <row r="788" customFormat="false" ht="15" hidden="false" customHeight="false" outlineLevel="0" collapsed="false">
      <c r="A788" s="5" t="s">
        <v>2328</v>
      </c>
      <c r="B788" s="5" t="s">
        <v>2329</v>
      </c>
      <c r="C788" s="5" t="s">
        <v>110</v>
      </c>
      <c r="D788" s="5"/>
      <c r="E788" s="5" t="s">
        <v>2330</v>
      </c>
      <c r="F788" s="5"/>
      <c r="G788" s="5"/>
      <c r="H788" s="6" t="str">
        <f aca="false">IF(N788="","",N788&amp;IF(AND(MOD(N788,100)&gt;=11,MOD(N788,100)&lt;=13),"th",CHOOSE(MIN(5,MOD(N788,10)+1),"th","st","nd","rd","th")))</f>
        <v/>
      </c>
      <c r="I788" s="5" t="s">
        <v>2331</v>
      </c>
      <c r="J788" s="6" t="n">
        <f aca="false">IFERROR(INDEX(Rounds!$A:$A,MATCH(I788,Rounds!$B:$B,0)),"ADD LEAGUE TO ROUNDS")</f>
        <v>8</v>
      </c>
      <c r="K788" s="6" t="n">
        <f aca="false">IFERROR(VALUE(LEFT(E788,FIND(" - ",E788)-1)),"")</f>
        <v>1</v>
      </c>
      <c r="L788" s="5"/>
      <c r="N788" s="6" t="str">
        <f aca="false">IF(F788="","",1+COUNTIFS($J:$J,J788,$K:$K,K788,$F:$F,"&gt;"&amp;F788)+COUNTIFS($J:$J,J788,$K:$K,K788,$F:$F,F788,$G:$G,"&gt;"&amp;G788))</f>
        <v/>
      </c>
      <c r="O788" s="6" t="str">
        <f aca="false">IF(L788="","",SUMIFS(Votes!$E:$E,Votes!$A:$A,J788,Votes!$B:$B,K788,Votes!$D:$D,L788))</f>
        <v/>
      </c>
      <c r="P788" s="6" t="str">
        <f aca="false">IF(L788="","",COUNTIFS(Votes!$A:$A,J788,Votes!$B:$B,K788,Votes!$D:$D,L788))</f>
        <v/>
      </c>
      <c r="Q788" s="7" t="str">
        <f aca="false">IF(F788="","Unscored",IF(O788="","No URI",IF(AND(F788=0,O788=0),"Zero-vote",IF(AND(F788=O788,G788=P788),"OK",IF(AND(F788=0,O788&gt;0,COUNTIFS(Votes!$A:$A,J788,Votes!$B:$B,K788,Votes!$C:$C,D788)=0),"Forfeited","Mismatch")))))</f>
        <v>Unscored</v>
      </c>
      <c r="R788" s="6" t="n">
        <f aca="false">MAX(IF(L788&lt;&gt;"",COUNTIF($L:$L,L788),0),COUNTIFS($A:$A,A788,$B:$B,B788))</f>
        <v>1</v>
      </c>
      <c r="S788" s="6" t="str">
        <f aca="false">IF(R788&gt;1,COUNTIF($R$2:R788,"&gt;1"),"")</f>
        <v/>
      </c>
      <c r="T788" s="6" t="str">
        <f aca="false">IF(L788="","",J788&amp;"|"&amp;K788&amp;"|"&amp;L788)</f>
        <v/>
      </c>
      <c r="U788" s="6" t="str">
        <f aca="false">IF(C788="","",IFERROR(INDEX(Lists!$F:$F,MATCH(C788,Lists!$E:$E,0)),"Unmapped"))</f>
        <v>Hip-Hop/Rap</v>
      </c>
    </row>
    <row r="789" customFormat="false" ht="15" hidden="false" customHeight="false" outlineLevel="0" collapsed="false">
      <c r="A789" s="5" t="s">
        <v>2332</v>
      </c>
      <c r="B789" s="5" t="s">
        <v>407</v>
      </c>
      <c r="C789" s="5" t="s">
        <v>110</v>
      </c>
      <c r="D789" s="5"/>
      <c r="E789" s="5" t="s">
        <v>2330</v>
      </c>
      <c r="F789" s="5"/>
      <c r="G789" s="5"/>
      <c r="H789" s="6" t="str">
        <f aca="false">IF(N789="","",N789&amp;IF(AND(MOD(N789,100)&gt;=11,MOD(N789,100)&lt;=13),"th",CHOOSE(MIN(5,MOD(N789,10)+1),"th","st","nd","rd","th")))</f>
        <v/>
      </c>
      <c r="I789" s="5" t="s">
        <v>2331</v>
      </c>
      <c r="J789" s="6" t="n">
        <f aca="false">IFERROR(INDEX(Rounds!$A:$A,MATCH(I789,Rounds!$B:$B,0)),"ADD LEAGUE TO ROUNDS")</f>
        <v>8</v>
      </c>
      <c r="K789" s="6" t="n">
        <f aca="false">IFERROR(VALUE(LEFT(E789,FIND(" - ",E789)-1)),"")</f>
        <v>1</v>
      </c>
      <c r="L789" s="5"/>
      <c r="N789" s="6" t="str">
        <f aca="false">IF(F789="","",1+COUNTIFS($J:$J,J789,$K:$K,K789,$F:$F,"&gt;"&amp;F789)+COUNTIFS($J:$J,J789,$K:$K,K789,$F:$F,F789,$G:$G,"&gt;"&amp;G789))</f>
        <v/>
      </c>
      <c r="O789" s="6" t="str">
        <f aca="false">IF(L789="","",SUMIFS(Votes!$E:$E,Votes!$A:$A,J789,Votes!$B:$B,K789,Votes!$D:$D,L789))</f>
        <v/>
      </c>
      <c r="P789" s="6" t="str">
        <f aca="false">IF(L789="","",COUNTIFS(Votes!$A:$A,J789,Votes!$B:$B,K789,Votes!$D:$D,L789))</f>
        <v/>
      </c>
      <c r="Q789" s="7" t="str">
        <f aca="false">IF(F789="","Unscored",IF(O789="","No URI",IF(AND(F789=0,O789=0),"Zero-vote",IF(AND(F789=O789,G789=P789),"OK",IF(AND(F789=0,O789&gt;0,COUNTIFS(Votes!$A:$A,J789,Votes!$B:$B,K789,Votes!$C:$C,D789)=0),"Forfeited","Mismatch")))))</f>
        <v>Unscored</v>
      </c>
      <c r="R789" s="6" t="n">
        <f aca="false">MAX(IF(L789&lt;&gt;"",COUNTIF($L:$L,L789),0),COUNTIFS($A:$A,A789,$B:$B,B789))</f>
        <v>1</v>
      </c>
      <c r="S789" s="6" t="str">
        <f aca="false">IF(R789&gt;1,COUNTIF($R$2:R789,"&gt;1"),"")</f>
        <v/>
      </c>
      <c r="T789" s="6" t="str">
        <f aca="false">IF(L789="","",J789&amp;"|"&amp;K789&amp;"|"&amp;L789)</f>
        <v/>
      </c>
      <c r="U789" s="6" t="str">
        <f aca="false">IF(C789="","",IFERROR(INDEX(Lists!$F:$F,MATCH(C789,Lists!$E:$E,0)),"Unmapped"))</f>
        <v>Hip-Hop/Rap</v>
      </c>
    </row>
    <row r="790" customFormat="false" ht="15" hidden="false" customHeight="false" outlineLevel="0" collapsed="false">
      <c r="A790" s="5" t="s">
        <v>2333</v>
      </c>
      <c r="B790" s="5" t="s">
        <v>711</v>
      </c>
      <c r="C790" s="5" t="s">
        <v>91</v>
      </c>
      <c r="D790" s="5"/>
      <c r="E790" s="5" t="s">
        <v>2330</v>
      </c>
      <c r="F790" s="5"/>
      <c r="G790" s="5"/>
      <c r="H790" s="6" t="str">
        <f aca="false">IF(N790="","",N790&amp;IF(AND(MOD(N790,100)&gt;=11,MOD(N790,100)&lt;=13),"th",CHOOSE(MIN(5,MOD(N790,10)+1),"th","st","nd","rd","th")))</f>
        <v/>
      </c>
      <c r="I790" s="5" t="s">
        <v>2331</v>
      </c>
      <c r="J790" s="6" t="n">
        <f aca="false">IFERROR(INDEX(Rounds!$A:$A,MATCH(I790,Rounds!$B:$B,0)),"ADD LEAGUE TO ROUNDS")</f>
        <v>8</v>
      </c>
      <c r="K790" s="6" t="n">
        <f aca="false">IFERROR(VALUE(LEFT(E790,FIND(" - ",E790)-1)),"")</f>
        <v>1</v>
      </c>
      <c r="L790" s="5"/>
      <c r="N790" s="6" t="str">
        <f aca="false">IF(F790="","",1+COUNTIFS($J:$J,J790,$K:$K,K790,$F:$F,"&gt;"&amp;F790)+COUNTIFS($J:$J,J790,$K:$K,K790,$F:$F,F790,$G:$G,"&gt;"&amp;G790))</f>
        <v/>
      </c>
      <c r="O790" s="6" t="str">
        <f aca="false">IF(L790="","",SUMIFS(Votes!$E:$E,Votes!$A:$A,J790,Votes!$B:$B,K790,Votes!$D:$D,L790))</f>
        <v/>
      </c>
      <c r="P790" s="6" t="str">
        <f aca="false">IF(L790="","",COUNTIFS(Votes!$A:$A,J790,Votes!$B:$B,K790,Votes!$D:$D,L790))</f>
        <v/>
      </c>
      <c r="Q790" s="7" t="str">
        <f aca="false">IF(F790="","Unscored",IF(O790="","No URI",IF(AND(F790=0,O790=0),"Zero-vote",IF(AND(F790=O790,G790=P790),"OK",IF(AND(F790=0,O790&gt;0,COUNTIFS(Votes!$A:$A,J790,Votes!$B:$B,K790,Votes!$C:$C,D790)=0),"Forfeited","Mismatch")))))</f>
        <v>Unscored</v>
      </c>
      <c r="R790" s="6" t="n">
        <f aca="false">MAX(IF(L790&lt;&gt;"",COUNTIF($L:$L,L790),0),COUNTIFS($A:$A,A790,$B:$B,B790))</f>
        <v>1</v>
      </c>
      <c r="S790" s="6" t="str">
        <f aca="false">IF(R790&gt;1,COUNTIF($R$2:R790,"&gt;1"),"")</f>
        <v/>
      </c>
      <c r="T790" s="6" t="str">
        <f aca="false">IF(L790="","",J790&amp;"|"&amp;K790&amp;"|"&amp;L790)</f>
        <v/>
      </c>
      <c r="U790" s="6" t="str">
        <f aca="false">IF(C790="","",IFERROR(INDEX(Lists!$F:$F,MATCH(C790,Lists!$E:$E,0)),"Unmapped"))</f>
        <v>Rock</v>
      </c>
    </row>
    <row r="791" customFormat="false" ht="15" hidden="false" customHeight="false" outlineLevel="0" collapsed="false">
      <c r="A791" s="5" t="s">
        <v>2334</v>
      </c>
      <c r="B791" s="5" t="s">
        <v>2335</v>
      </c>
      <c r="C791" s="5" t="s">
        <v>91</v>
      </c>
      <c r="D791" s="5"/>
      <c r="E791" s="5" t="s">
        <v>2330</v>
      </c>
      <c r="F791" s="5"/>
      <c r="G791" s="5"/>
      <c r="H791" s="6" t="str">
        <f aca="false">IF(N791="","",N791&amp;IF(AND(MOD(N791,100)&gt;=11,MOD(N791,100)&lt;=13),"th",CHOOSE(MIN(5,MOD(N791,10)+1),"th","st","nd","rd","th")))</f>
        <v/>
      </c>
      <c r="I791" s="5" t="s">
        <v>2331</v>
      </c>
      <c r="J791" s="6" t="n">
        <f aca="false">IFERROR(INDEX(Rounds!$A:$A,MATCH(I791,Rounds!$B:$B,0)),"ADD LEAGUE TO ROUNDS")</f>
        <v>8</v>
      </c>
      <c r="K791" s="6" t="n">
        <f aca="false">IFERROR(VALUE(LEFT(E791,FIND(" - ",E791)-1)),"")</f>
        <v>1</v>
      </c>
      <c r="L791" s="5"/>
      <c r="N791" s="6" t="str">
        <f aca="false">IF(F791="","",1+COUNTIFS($J:$J,J791,$K:$K,K791,$F:$F,"&gt;"&amp;F791)+COUNTIFS($J:$J,J791,$K:$K,K791,$F:$F,F791,$G:$G,"&gt;"&amp;G791))</f>
        <v/>
      </c>
      <c r="O791" s="6" t="str">
        <f aca="false">IF(L791="","",SUMIFS(Votes!$E:$E,Votes!$A:$A,J791,Votes!$B:$B,K791,Votes!$D:$D,L791))</f>
        <v/>
      </c>
      <c r="P791" s="6" t="str">
        <f aca="false">IF(L791="","",COUNTIFS(Votes!$A:$A,J791,Votes!$B:$B,K791,Votes!$D:$D,L791))</f>
        <v/>
      </c>
      <c r="Q791" s="7" t="str">
        <f aca="false">IF(F791="","Unscored",IF(O791="","No URI",IF(AND(F791=0,O791=0),"Zero-vote",IF(AND(F791=O791,G791=P791),"OK",IF(AND(F791=0,O791&gt;0,COUNTIFS(Votes!$A:$A,J791,Votes!$B:$B,K791,Votes!$C:$C,D791)=0),"Forfeited","Mismatch")))))</f>
        <v>Unscored</v>
      </c>
      <c r="R791" s="6" t="n">
        <f aca="false">MAX(IF(L791&lt;&gt;"",COUNTIF($L:$L,L791),0),COUNTIFS($A:$A,A791,$B:$B,B791))</f>
        <v>1</v>
      </c>
      <c r="S791" s="6" t="str">
        <f aca="false">IF(R791&gt;1,COUNTIF($R$2:R791,"&gt;1"),"")</f>
        <v/>
      </c>
      <c r="T791" s="6" t="str">
        <f aca="false">IF(L791="","",J791&amp;"|"&amp;K791&amp;"|"&amp;L791)</f>
        <v/>
      </c>
      <c r="U791" s="6" t="str">
        <f aca="false">IF(C791="","",IFERROR(INDEX(Lists!$F:$F,MATCH(C791,Lists!$E:$E,0)),"Unmapped"))</f>
        <v>Rock</v>
      </c>
    </row>
    <row r="792" customFormat="false" ht="15" hidden="false" customHeight="false" outlineLevel="0" collapsed="false">
      <c r="A792" s="5" t="s">
        <v>2336</v>
      </c>
      <c r="B792" s="5" t="s">
        <v>1804</v>
      </c>
      <c r="C792" s="5" t="s">
        <v>105</v>
      </c>
      <c r="D792" s="5"/>
      <c r="E792" s="5" t="s">
        <v>2330</v>
      </c>
      <c r="F792" s="5"/>
      <c r="G792" s="5"/>
      <c r="H792" s="6" t="str">
        <f aca="false">IF(N792="","",N792&amp;IF(AND(MOD(N792,100)&gt;=11,MOD(N792,100)&lt;=13),"th",CHOOSE(MIN(5,MOD(N792,10)+1),"th","st","nd","rd","th")))</f>
        <v/>
      </c>
      <c r="I792" s="5" t="s">
        <v>2331</v>
      </c>
      <c r="J792" s="6" t="n">
        <f aca="false">IFERROR(INDEX(Rounds!$A:$A,MATCH(I792,Rounds!$B:$B,0)),"ADD LEAGUE TO ROUNDS")</f>
        <v>8</v>
      </c>
      <c r="K792" s="6" t="n">
        <f aca="false">IFERROR(VALUE(LEFT(E792,FIND(" - ",E792)-1)),"")</f>
        <v>1</v>
      </c>
      <c r="L792" s="5"/>
      <c r="N792" s="6" t="str">
        <f aca="false">IF(F792="","",1+COUNTIFS($J:$J,J792,$K:$K,K792,$F:$F,"&gt;"&amp;F792)+COUNTIFS($J:$J,J792,$K:$K,K792,$F:$F,F792,$G:$G,"&gt;"&amp;G792))</f>
        <v/>
      </c>
      <c r="O792" s="6" t="str">
        <f aca="false">IF(L792="","",SUMIFS(Votes!$E:$E,Votes!$A:$A,J792,Votes!$B:$B,K792,Votes!$D:$D,L792))</f>
        <v/>
      </c>
      <c r="P792" s="6" t="str">
        <f aca="false">IF(L792="","",COUNTIFS(Votes!$A:$A,J792,Votes!$B:$B,K792,Votes!$D:$D,L792))</f>
        <v/>
      </c>
      <c r="Q792" s="7" t="str">
        <f aca="false">IF(F792="","Unscored",IF(O792="","No URI",IF(AND(F792=0,O792=0),"Zero-vote",IF(AND(F792=O792,G792=P792),"OK",IF(AND(F792=0,O792&gt;0,COUNTIFS(Votes!$A:$A,J792,Votes!$B:$B,K792,Votes!$C:$C,D792)=0),"Forfeited","Mismatch")))))</f>
        <v>Unscored</v>
      </c>
      <c r="R792" s="6" t="n">
        <f aca="false">MAX(IF(L792&lt;&gt;"",COUNTIF($L:$L,L792),0),COUNTIFS($A:$A,A792,$B:$B,B792))</f>
        <v>1</v>
      </c>
      <c r="S792" s="6" t="str">
        <f aca="false">IF(R792&gt;1,COUNTIF($R$2:R792,"&gt;1"),"")</f>
        <v/>
      </c>
      <c r="T792" s="6" t="str">
        <f aca="false">IF(L792="","",J792&amp;"|"&amp;K792&amp;"|"&amp;L792)</f>
        <v/>
      </c>
      <c r="U792" s="6" t="str">
        <f aca="false">IF(C792="","",IFERROR(INDEX(Lists!$F:$F,MATCH(C792,Lists!$E:$E,0)),"Unmapped"))</f>
        <v>Metal</v>
      </c>
    </row>
    <row r="793" customFormat="false" ht="15" hidden="false" customHeight="false" outlineLevel="0" collapsed="false">
      <c r="A793" s="5" t="s">
        <v>2337</v>
      </c>
      <c r="B793" s="5" t="s">
        <v>2338</v>
      </c>
      <c r="C793" s="5" t="s">
        <v>84</v>
      </c>
      <c r="D793" s="5"/>
      <c r="E793" s="5" t="s">
        <v>2330</v>
      </c>
      <c r="F793" s="5"/>
      <c r="G793" s="5"/>
      <c r="H793" s="6" t="str">
        <f aca="false">IF(N793="","",N793&amp;IF(AND(MOD(N793,100)&gt;=11,MOD(N793,100)&lt;=13),"th",CHOOSE(MIN(5,MOD(N793,10)+1),"th","st","nd","rd","th")))</f>
        <v/>
      </c>
      <c r="I793" s="5" t="s">
        <v>2331</v>
      </c>
      <c r="J793" s="6" t="n">
        <f aca="false">IFERROR(INDEX(Rounds!$A:$A,MATCH(I793,Rounds!$B:$B,0)),"ADD LEAGUE TO ROUNDS")</f>
        <v>8</v>
      </c>
      <c r="K793" s="6" t="n">
        <f aca="false">IFERROR(VALUE(LEFT(E793,FIND(" - ",E793)-1)),"")</f>
        <v>1</v>
      </c>
      <c r="L793" s="5"/>
      <c r="N793" s="6" t="str">
        <f aca="false">IF(F793="","",1+COUNTIFS($J:$J,J793,$K:$K,K793,$F:$F,"&gt;"&amp;F793)+COUNTIFS($J:$J,J793,$K:$K,K793,$F:$F,F793,$G:$G,"&gt;"&amp;G793))</f>
        <v/>
      </c>
      <c r="O793" s="6" t="str">
        <f aca="false">IF(L793="","",SUMIFS(Votes!$E:$E,Votes!$A:$A,J793,Votes!$B:$B,K793,Votes!$D:$D,L793))</f>
        <v/>
      </c>
      <c r="P793" s="6" t="str">
        <f aca="false">IF(L793="","",COUNTIFS(Votes!$A:$A,J793,Votes!$B:$B,K793,Votes!$D:$D,L793))</f>
        <v/>
      </c>
      <c r="Q793" s="7" t="str">
        <f aca="false">IF(F793="","Unscored",IF(O793="","No URI",IF(AND(F793=0,O793=0),"Zero-vote",IF(AND(F793=O793,G793=P793),"OK",IF(AND(F793=0,O793&gt;0,COUNTIFS(Votes!$A:$A,J793,Votes!$B:$B,K793,Votes!$C:$C,D793)=0),"Forfeited","Mismatch")))))</f>
        <v>Unscored</v>
      </c>
      <c r="R793" s="6" t="n">
        <f aca="false">MAX(IF(L793&lt;&gt;"",COUNTIF($L:$L,L793),0),COUNTIFS($A:$A,A793,$B:$B,B793))</f>
        <v>1</v>
      </c>
      <c r="S793" s="6" t="str">
        <f aca="false">IF(R793&gt;1,COUNTIF($R$2:R793,"&gt;1"),"")</f>
        <v/>
      </c>
      <c r="T793" s="6" t="str">
        <f aca="false">IF(L793="","",J793&amp;"|"&amp;K793&amp;"|"&amp;L793)</f>
        <v/>
      </c>
      <c r="U793" s="6" t="str">
        <f aca="false">IF(C793="","",IFERROR(INDEX(Lists!$F:$F,MATCH(C793,Lists!$E:$E,0)),"Unmapped"))</f>
        <v>Pop</v>
      </c>
    </row>
    <row r="794" customFormat="false" ht="15" hidden="false" customHeight="false" outlineLevel="0" collapsed="false">
      <c r="A794" s="5" t="s">
        <v>2339</v>
      </c>
      <c r="B794" s="5" t="s">
        <v>2340</v>
      </c>
      <c r="C794" s="5" t="s">
        <v>84</v>
      </c>
      <c r="D794" s="5"/>
      <c r="E794" s="5" t="s">
        <v>2330</v>
      </c>
      <c r="F794" s="5"/>
      <c r="G794" s="5"/>
      <c r="H794" s="6" t="str">
        <f aca="false">IF(N794="","",N794&amp;IF(AND(MOD(N794,100)&gt;=11,MOD(N794,100)&lt;=13),"th",CHOOSE(MIN(5,MOD(N794,10)+1),"th","st","nd","rd","th")))</f>
        <v/>
      </c>
      <c r="I794" s="5" t="s">
        <v>2331</v>
      </c>
      <c r="J794" s="6" t="n">
        <f aca="false">IFERROR(INDEX(Rounds!$A:$A,MATCH(I794,Rounds!$B:$B,0)),"ADD LEAGUE TO ROUNDS")</f>
        <v>8</v>
      </c>
      <c r="K794" s="6" t="n">
        <f aca="false">IFERROR(VALUE(LEFT(E794,FIND(" - ",E794)-1)),"")</f>
        <v>1</v>
      </c>
      <c r="L794" s="5"/>
      <c r="N794" s="6" t="str">
        <f aca="false">IF(F794="","",1+COUNTIFS($J:$J,J794,$K:$K,K794,$F:$F,"&gt;"&amp;F794)+COUNTIFS($J:$J,J794,$K:$K,K794,$F:$F,F794,$G:$G,"&gt;"&amp;G794))</f>
        <v/>
      </c>
      <c r="O794" s="6" t="str">
        <f aca="false">IF(L794="","",SUMIFS(Votes!$E:$E,Votes!$A:$A,J794,Votes!$B:$B,K794,Votes!$D:$D,L794))</f>
        <v/>
      </c>
      <c r="P794" s="6" t="str">
        <f aca="false">IF(L794="","",COUNTIFS(Votes!$A:$A,J794,Votes!$B:$B,K794,Votes!$D:$D,L794))</f>
        <v/>
      </c>
      <c r="Q794" s="7" t="str">
        <f aca="false">IF(F794="","Unscored",IF(O794="","No URI",IF(AND(F794=0,O794=0),"Zero-vote",IF(AND(F794=O794,G794=P794),"OK",IF(AND(F794=0,O794&gt;0,COUNTIFS(Votes!$A:$A,J794,Votes!$B:$B,K794,Votes!$C:$C,D794)=0),"Forfeited","Mismatch")))))</f>
        <v>Unscored</v>
      </c>
      <c r="R794" s="6" t="n">
        <f aca="false">MAX(IF(L794&lt;&gt;"",COUNTIF($L:$L,L794),0),COUNTIFS($A:$A,A794,$B:$B,B794))</f>
        <v>1</v>
      </c>
      <c r="S794" s="6" t="str">
        <f aca="false">IF(R794&gt;1,COUNTIF($R$2:R794,"&gt;1"),"")</f>
        <v/>
      </c>
      <c r="T794" s="6" t="str">
        <f aca="false">IF(L794="","",J794&amp;"|"&amp;K794&amp;"|"&amp;L794)</f>
        <v/>
      </c>
      <c r="U794" s="6" t="str">
        <f aca="false">IF(C794="","",IFERROR(INDEX(Lists!$F:$F,MATCH(C794,Lists!$E:$E,0)),"Unmapped"))</f>
        <v>Pop</v>
      </c>
    </row>
    <row r="795" customFormat="false" ht="15" hidden="false" customHeight="false" outlineLevel="0" collapsed="false">
      <c r="A795" s="5" t="s">
        <v>2341</v>
      </c>
      <c r="B795" s="5" t="s">
        <v>381</v>
      </c>
      <c r="C795" s="5" t="s">
        <v>84</v>
      </c>
      <c r="D795" s="5"/>
      <c r="E795" s="5" t="s">
        <v>2330</v>
      </c>
      <c r="F795" s="5"/>
      <c r="G795" s="5"/>
      <c r="H795" s="6" t="str">
        <f aca="false">IF(N795="","",N795&amp;IF(AND(MOD(N795,100)&gt;=11,MOD(N795,100)&lt;=13),"th",CHOOSE(MIN(5,MOD(N795,10)+1),"th","st","nd","rd","th")))</f>
        <v/>
      </c>
      <c r="I795" s="5" t="s">
        <v>2331</v>
      </c>
      <c r="J795" s="6" t="n">
        <f aca="false">IFERROR(INDEX(Rounds!$A:$A,MATCH(I795,Rounds!$B:$B,0)),"ADD LEAGUE TO ROUNDS")</f>
        <v>8</v>
      </c>
      <c r="K795" s="6" t="n">
        <f aca="false">IFERROR(VALUE(LEFT(E795,FIND(" - ",E795)-1)),"")</f>
        <v>1</v>
      </c>
      <c r="L795" s="5"/>
      <c r="N795" s="6" t="str">
        <f aca="false">IF(F795="","",1+COUNTIFS($J:$J,J795,$K:$K,K795,$F:$F,"&gt;"&amp;F795)+COUNTIFS($J:$J,J795,$K:$K,K795,$F:$F,F795,$G:$G,"&gt;"&amp;G795))</f>
        <v/>
      </c>
      <c r="O795" s="6" t="str">
        <f aca="false">IF(L795="","",SUMIFS(Votes!$E:$E,Votes!$A:$A,J795,Votes!$B:$B,K795,Votes!$D:$D,L795))</f>
        <v/>
      </c>
      <c r="P795" s="6" t="str">
        <f aca="false">IF(L795="","",COUNTIFS(Votes!$A:$A,J795,Votes!$B:$B,K795,Votes!$D:$D,L795))</f>
        <v/>
      </c>
      <c r="Q795" s="7" t="str">
        <f aca="false">IF(F795="","Unscored",IF(O795="","No URI",IF(AND(F795=0,O795=0),"Zero-vote",IF(AND(F795=O795,G795=P795),"OK",IF(AND(F795=0,O795&gt;0,COUNTIFS(Votes!$A:$A,J795,Votes!$B:$B,K795,Votes!$C:$C,D795)=0),"Forfeited","Mismatch")))))</f>
        <v>Unscored</v>
      </c>
      <c r="R795" s="6" t="n">
        <f aca="false">MAX(IF(L795&lt;&gt;"",COUNTIF($L:$L,L795),0),COUNTIFS($A:$A,A795,$B:$B,B795))</f>
        <v>1</v>
      </c>
      <c r="S795" s="6" t="str">
        <f aca="false">IF(R795&gt;1,COUNTIF($R$2:R795,"&gt;1"),"")</f>
        <v/>
      </c>
      <c r="T795" s="6" t="str">
        <f aca="false">IF(L795="","",J795&amp;"|"&amp;K795&amp;"|"&amp;L795)</f>
        <v/>
      </c>
      <c r="U795" s="6" t="str">
        <f aca="false">IF(C795="","",IFERROR(INDEX(Lists!$F:$F,MATCH(C795,Lists!$E:$E,0)),"Unmapped"))</f>
        <v>Pop</v>
      </c>
    </row>
    <row r="796" customFormat="false" ht="15" hidden="false" customHeight="false" outlineLevel="0" collapsed="false">
      <c r="A796" s="5" t="s">
        <v>2342</v>
      </c>
      <c r="B796" s="5" t="s">
        <v>2343</v>
      </c>
      <c r="C796" s="5" t="s">
        <v>91</v>
      </c>
      <c r="D796" s="5"/>
      <c r="E796" s="5" t="s">
        <v>2330</v>
      </c>
      <c r="F796" s="5"/>
      <c r="G796" s="5"/>
      <c r="H796" s="6" t="str">
        <f aca="false">IF(N796="","",N796&amp;IF(AND(MOD(N796,100)&gt;=11,MOD(N796,100)&lt;=13),"th",CHOOSE(MIN(5,MOD(N796,10)+1),"th","st","nd","rd","th")))</f>
        <v/>
      </c>
      <c r="I796" s="5" t="s">
        <v>2331</v>
      </c>
      <c r="J796" s="6" t="n">
        <f aca="false">IFERROR(INDEX(Rounds!$A:$A,MATCH(I796,Rounds!$B:$B,0)),"ADD LEAGUE TO ROUNDS")</f>
        <v>8</v>
      </c>
      <c r="K796" s="6" t="n">
        <f aca="false">IFERROR(VALUE(LEFT(E796,FIND(" - ",E796)-1)),"")</f>
        <v>1</v>
      </c>
      <c r="L796" s="5"/>
      <c r="N796" s="6" t="str">
        <f aca="false">IF(F796="","",1+COUNTIFS($J:$J,J796,$K:$K,K796,$F:$F,"&gt;"&amp;F796)+COUNTIFS($J:$J,J796,$K:$K,K796,$F:$F,F796,$G:$G,"&gt;"&amp;G796))</f>
        <v/>
      </c>
      <c r="O796" s="6" t="str">
        <f aca="false">IF(L796="","",SUMIFS(Votes!$E:$E,Votes!$A:$A,J796,Votes!$B:$B,K796,Votes!$D:$D,L796))</f>
        <v/>
      </c>
      <c r="P796" s="6" t="str">
        <f aca="false">IF(L796="","",COUNTIFS(Votes!$A:$A,J796,Votes!$B:$B,K796,Votes!$D:$D,L796))</f>
        <v/>
      </c>
      <c r="Q796" s="7" t="str">
        <f aca="false">IF(F796="","Unscored",IF(O796="","No URI",IF(AND(F796=0,O796=0),"Zero-vote",IF(AND(F796=O796,G796=P796),"OK",IF(AND(F796=0,O796&gt;0,COUNTIFS(Votes!$A:$A,J796,Votes!$B:$B,K796,Votes!$C:$C,D796)=0),"Forfeited","Mismatch")))))</f>
        <v>Unscored</v>
      </c>
      <c r="R796" s="6" t="n">
        <f aca="false">MAX(IF(L796&lt;&gt;"",COUNTIF($L:$L,L796),0),COUNTIFS($A:$A,A796,$B:$B,B796))</f>
        <v>1</v>
      </c>
      <c r="S796" s="6" t="str">
        <f aca="false">IF(R796&gt;1,COUNTIF($R$2:R796,"&gt;1"),"")</f>
        <v/>
      </c>
      <c r="T796" s="6" t="str">
        <f aca="false">IF(L796="","",J796&amp;"|"&amp;K796&amp;"|"&amp;L796)</f>
        <v/>
      </c>
      <c r="U796" s="6" t="str">
        <f aca="false">IF(C796="","",IFERROR(INDEX(Lists!$F:$F,MATCH(C796,Lists!$E:$E,0)),"Unmapped"))</f>
        <v>Rock</v>
      </c>
    </row>
    <row r="797" customFormat="false" ht="15" hidden="false" customHeight="false" outlineLevel="0" collapsed="false">
      <c r="A797" s="5" t="s">
        <v>2344</v>
      </c>
      <c r="B797" s="5" t="s">
        <v>2345</v>
      </c>
      <c r="C797" s="5" t="s">
        <v>96</v>
      </c>
      <c r="D797" s="5"/>
      <c r="E797" s="5" t="s">
        <v>2330</v>
      </c>
      <c r="F797" s="5"/>
      <c r="G797" s="5"/>
      <c r="H797" s="6" t="str">
        <f aca="false">IF(N797="","",N797&amp;IF(AND(MOD(N797,100)&gt;=11,MOD(N797,100)&lt;=13),"th",CHOOSE(MIN(5,MOD(N797,10)+1),"th","st","nd","rd","th")))</f>
        <v/>
      </c>
      <c r="I797" s="5" t="s">
        <v>2331</v>
      </c>
      <c r="J797" s="6" t="n">
        <f aca="false">IFERROR(INDEX(Rounds!$A:$A,MATCH(I797,Rounds!$B:$B,0)),"ADD LEAGUE TO ROUNDS")</f>
        <v>8</v>
      </c>
      <c r="K797" s="6" t="n">
        <f aca="false">IFERROR(VALUE(LEFT(E797,FIND(" - ",E797)-1)),"")</f>
        <v>1</v>
      </c>
      <c r="L797" s="5"/>
      <c r="N797" s="6" t="str">
        <f aca="false">IF(F797="","",1+COUNTIFS($J:$J,J797,$K:$K,K797,$F:$F,"&gt;"&amp;F797)+COUNTIFS($J:$J,J797,$K:$K,K797,$F:$F,F797,$G:$G,"&gt;"&amp;G797))</f>
        <v/>
      </c>
      <c r="O797" s="6" t="str">
        <f aca="false">IF(L797="","",SUMIFS(Votes!$E:$E,Votes!$A:$A,J797,Votes!$B:$B,K797,Votes!$D:$D,L797))</f>
        <v/>
      </c>
      <c r="P797" s="6" t="str">
        <f aca="false">IF(L797="","",COUNTIFS(Votes!$A:$A,J797,Votes!$B:$B,K797,Votes!$D:$D,L797))</f>
        <v/>
      </c>
      <c r="Q797" s="7" t="str">
        <f aca="false">IF(F797="","Unscored",IF(O797="","No URI",IF(AND(F797=0,O797=0),"Zero-vote",IF(AND(F797=O797,G797=P797),"OK",IF(AND(F797=0,O797&gt;0,COUNTIFS(Votes!$A:$A,J797,Votes!$B:$B,K797,Votes!$C:$C,D797)=0),"Forfeited","Mismatch")))))</f>
        <v>Unscored</v>
      </c>
      <c r="R797" s="6" t="n">
        <f aca="false">MAX(IF(L797&lt;&gt;"",COUNTIF($L:$L,L797),0),COUNTIFS($A:$A,A797,$B:$B,B797))</f>
        <v>1</v>
      </c>
      <c r="S797" s="6" t="str">
        <f aca="false">IF(R797&gt;1,COUNTIF($R$2:R797,"&gt;1"),"")</f>
        <v/>
      </c>
      <c r="T797" s="6" t="str">
        <f aca="false">IF(L797="","",J797&amp;"|"&amp;K797&amp;"|"&amp;L797)</f>
        <v/>
      </c>
      <c r="U797" s="6" t="str">
        <f aca="false">IF(C797="","",IFERROR(INDEX(Lists!$F:$F,MATCH(C797,Lists!$E:$E,0)),"Unmapped"))</f>
        <v>R&amp;B/Soul</v>
      </c>
    </row>
    <row r="798" customFormat="false" ht="15" hidden="false" customHeight="false" outlineLevel="0" collapsed="false">
      <c r="A798" s="5" t="s">
        <v>2346</v>
      </c>
      <c r="B798" s="5" t="s">
        <v>2347</v>
      </c>
      <c r="C798" s="5" t="s">
        <v>91</v>
      </c>
      <c r="D798" s="5"/>
      <c r="E798" s="5" t="s">
        <v>2330</v>
      </c>
      <c r="F798" s="5"/>
      <c r="G798" s="5"/>
      <c r="H798" s="6" t="str">
        <f aca="false">IF(N798="","",N798&amp;IF(AND(MOD(N798,100)&gt;=11,MOD(N798,100)&lt;=13),"th",CHOOSE(MIN(5,MOD(N798,10)+1),"th","st","nd","rd","th")))</f>
        <v/>
      </c>
      <c r="I798" s="5" t="s">
        <v>2331</v>
      </c>
      <c r="J798" s="6" t="n">
        <f aca="false">IFERROR(INDEX(Rounds!$A:$A,MATCH(I798,Rounds!$B:$B,0)),"ADD LEAGUE TO ROUNDS")</f>
        <v>8</v>
      </c>
      <c r="K798" s="6" t="n">
        <f aca="false">IFERROR(VALUE(LEFT(E798,FIND(" - ",E798)-1)),"")</f>
        <v>1</v>
      </c>
      <c r="L798" s="5"/>
      <c r="N798" s="6" t="str">
        <f aca="false">IF(F798="","",1+COUNTIFS($J:$J,J798,$K:$K,K798,$F:$F,"&gt;"&amp;F798)+COUNTIFS($J:$J,J798,$K:$K,K798,$F:$F,F798,$G:$G,"&gt;"&amp;G798))</f>
        <v/>
      </c>
      <c r="O798" s="6" t="str">
        <f aca="false">IF(L798="","",SUMIFS(Votes!$E:$E,Votes!$A:$A,J798,Votes!$B:$B,K798,Votes!$D:$D,L798))</f>
        <v/>
      </c>
      <c r="P798" s="6" t="str">
        <f aca="false">IF(L798="","",COUNTIFS(Votes!$A:$A,J798,Votes!$B:$B,K798,Votes!$D:$D,L798))</f>
        <v/>
      </c>
      <c r="Q798" s="7" t="str">
        <f aca="false">IF(F798="","Unscored",IF(O798="","No URI",IF(AND(F798=0,O798=0),"Zero-vote",IF(AND(F798=O798,G798=P798),"OK",IF(AND(F798=0,O798&gt;0,COUNTIFS(Votes!$A:$A,J798,Votes!$B:$B,K798,Votes!$C:$C,D798)=0),"Forfeited","Mismatch")))))</f>
        <v>Unscored</v>
      </c>
      <c r="R798" s="6" t="n">
        <f aca="false">MAX(IF(L798&lt;&gt;"",COUNTIF($L:$L,L798),0),COUNTIFS($A:$A,A798,$B:$B,B798))</f>
        <v>1</v>
      </c>
      <c r="S798" s="6" t="str">
        <f aca="false">IF(R798&gt;1,COUNTIF($R$2:R798,"&gt;1"),"")</f>
        <v/>
      </c>
      <c r="T798" s="6" t="str">
        <f aca="false">IF(L798="","",J798&amp;"|"&amp;K798&amp;"|"&amp;L798)</f>
        <v/>
      </c>
      <c r="U798" s="6" t="str">
        <f aca="false">IF(C798="","",IFERROR(INDEX(Lists!$F:$F,MATCH(C798,Lists!$E:$E,0)),"Unmapped"))</f>
        <v>Rock</v>
      </c>
    </row>
    <row r="799" customFormat="false" ht="15" hidden="false" customHeight="false" outlineLevel="0" collapsed="false">
      <c r="A799" s="5" t="s">
        <v>2348</v>
      </c>
      <c r="B799" s="5" t="s">
        <v>2349</v>
      </c>
      <c r="C799" s="5" t="s">
        <v>91</v>
      </c>
      <c r="D799" s="5"/>
      <c r="E799" s="5" t="s">
        <v>2330</v>
      </c>
      <c r="F799" s="5"/>
      <c r="G799" s="5"/>
      <c r="H799" s="6" t="str">
        <f aca="false">IF(N799="","",N799&amp;IF(AND(MOD(N799,100)&gt;=11,MOD(N799,100)&lt;=13),"th",CHOOSE(MIN(5,MOD(N799,10)+1),"th","st","nd","rd","th")))</f>
        <v/>
      </c>
      <c r="I799" s="5" t="s">
        <v>2331</v>
      </c>
      <c r="J799" s="6" t="n">
        <f aca="false">IFERROR(INDEX(Rounds!$A:$A,MATCH(I799,Rounds!$B:$B,0)),"ADD LEAGUE TO ROUNDS")</f>
        <v>8</v>
      </c>
      <c r="K799" s="6" t="n">
        <f aca="false">IFERROR(VALUE(LEFT(E799,FIND(" - ",E799)-1)),"")</f>
        <v>1</v>
      </c>
      <c r="L799" s="5"/>
      <c r="N799" s="6" t="str">
        <f aca="false">IF(F799="","",1+COUNTIFS($J:$J,J799,$K:$K,K799,$F:$F,"&gt;"&amp;F799)+COUNTIFS($J:$J,J799,$K:$K,K799,$F:$F,F799,$G:$G,"&gt;"&amp;G799))</f>
        <v/>
      </c>
      <c r="O799" s="6" t="str">
        <f aca="false">IF(L799="","",SUMIFS(Votes!$E:$E,Votes!$A:$A,J799,Votes!$B:$B,K799,Votes!$D:$D,L799))</f>
        <v/>
      </c>
      <c r="P799" s="6" t="str">
        <f aca="false">IF(L799="","",COUNTIFS(Votes!$A:$A,J799,Votes!$B:$B,K799,Votes!$D:$D,L799))</f>
        <v/>
      </c>
      <c r="Q799" s="7" t="str">
        <f aca="false">IF(F799="","Unscored",IF(O799="","No URI",IF(AND(F799=0,O799=0),"Zero-vote",IF(AND(F799=O799,G799=P799),"OK",IF(AND(F799=0,O799&gt;0,COUNTIFS(Votes!$A:$A,J799,Votes!$B:$B,K799,Votes!$C:$C,D799)=0),"Forfeited","Mismatch")))))</f>
        <v>Unscored</v>
      </c>
      <c r="R799" s="6" t="n">
        <f aca="false">MAX(IF(L799&lt;&gt;"",COUNTIF($L:$L,L799),0),COUNTIFS($A:$A,A799,$B:$B,B799))</f>
        <v>1</v>
      </c>
      <c r="S799" s="6" t="str">
        <f aca="false">IF(R799&gt;1,COUNTIF($R$2:R799,"&gt;1"),"")</f>
        <v/>
      </c>
      <c r="T799" s="6" t="str">
        <f aca="false">IF(L799="","",J799&amp;"|"&amp;K799&amp;"|"&amp;L799)</f>
        <v/>
      </c>
      <c r="U799" s="6" t="str">
        <f aca="false">IF(C799="","",IFERROR(INDEX(Lists!$F:$F,MATCH(C799,Lists!$E:$E,0)),"Unmapped"))</f>
        <v>Rock</v>
      </c>
    </row>
    <row r="800" customFormat="false" ht="15" hidden="false" customHeight="false" outlineLevel="0" collapsed="false">
      <c r="A800" s="5" t="s">
        <v>2350</v>
      </c>
      <c r="B800" s="5" t="s">
        <v>2351</v>
      </c>
      <c r="C800" s="5" t="s">
        <v>171</v>
      </c>
      <c r="D800" s="5"/>
      <c r="E800" s="5" t="s">
        <v>2330</v>
      </c>
      <c r="F800" s="5"/>
      <c r="G800" s="5"/>
      <c r="H800" s="6" t="str">
        <f aca="false">IF(N800="","",N800&amp;IF(AND(MOD(N800,100)&gt;=11,MOD(N800,100)&lt;=13),"th",CHOOSE(MIN(5,MOD(N800,10)+1),"th","st","nd","rd","th")))</f>
        <v/>
      </c>
      <c r="I800" s="5" t="s">
        <v>2331</v>
      </c>
      <c r="J800" s="6" t="n">
        <f aca="false">IFERROR(INDEX(Rounds!$A:$A,MATCH(I800,Rounds!$B:$B,0)),"ADD LEAGUE TO ROUNDS")</f>
        <v>8</v>
      </c>
      <c r="K800" s="6" t="n">
        <f aca="false">IFERROR(VALUE(LEFT(E800,FIND(" - ",E800)-1)),"")</f>
        <v>1</v>
      </c>
      <c r="L800" s="5"/>
      <c r="N800" s="6" t="str">
        <f aca="false">IF(F800="","",1+COUNTIFS($J:$J,J800,$K:$K,K800,$F:$F,"&gt;"&amp;F800)+COUNTIFS($J:$J,J800,$K:$K,K800,$F:$F,F800,$G:$G,"&gt;"&amp;G800))</f>
        <v/>
      </c>
      <c r="O800" s="6" t="str">
        <f aca="false">IF(L800="","",SUMIFS(Votes!$E:$E,Votes!$A:$A,J800,Votes!$B:$B,K800,Votes!$D:$D,L800))</f>
        <v/>
      </c>
      <c r="P800" s="6" t="str">
        <f aca="false">IF(L800="","",COUNTIFS(Votes!$A:$A,J800,Votes!$B:$B,K800,Votes!$D:$D,L800))</f>
        <v/>
      </c>
      <c r="Q800" s="7" t="str">
        <f aca="false">IF(F800="","Unscored",IF(O800="","No URI",IF(AND(F800=0,O800=0),"Zero-vote",IF(AND(F800=O800,G800=P800),"OK",IF(AND(F800=0,O800&gt;0,COUNTIFS(Votes!$A:$A,J800,Votes!$B:$B,K800,Votes!$C:$C,D800)=0),"Forfeited","Mismatch")))))</f>
        <v>Unscored</v>
      </c>
      <c r="R800" s="6" t="n">
        <f aca="false">MAX(IF(L800&lt;&gt;"",COUNTIF($L:$L,L800),0),COUNTIFS($A:$A,A800,$B:$B,B800))</f>
        <v>1</v>
      </c>
      <c r="S800" s="6" t="str">
        <f aca="false">IF(R800&gt;1,COUNTIF($R$2:R800,"&gt;1"),"")</f>
        <v/>
      </c>
      <c r="T800" s="6" t="str">
        <f aca="false">IF(L800="","",J800&amp;"|"&amp;K800&amp;"|"&amp;L800)</f>
        <v/>
      </c>
      <c r="U800" s="6" t="str">
        <f aca="false">IF(C800="","",IFERROR(INDEX(Lists!$F:$F,MATCH(C800,Lists!$E:$E,0)),"Unmapped"))</f>
        <v>Country</v>
      </c>
    </row>
    <row r="801" customFormat="false" ht="15" hidden="false" customHeight="false" outlineLevel="0" collapsed="false">
      <c r="A801" s="5" t="s">
        <v>2352</v>
      </c>
      <c r="B801" s="5" t="s">
        <v>2353</v>
      </c>
      <c r="C801" s="5" t="s">
        <v>1884</v>
      </c>
      <c r="D801" s="5"/>
      <c r="E801" s="5" t="s">
        <v>2330</v>
      </c>
      <c r="F801" s="5"/>
      <c r="G801" s="5"/>
      <c r="H801" s="6" t="str">
        <f aca="false">IF(N801="","",N801&amp;IF(AND(MOD(N801,100)&gt;=11,MOD(N801,100)&lt;=13),"th",CHOOSE(MIN(5,MOD(N801,10)+1),"th","st","nd","rd","th")))</f>
        <v/>
      </c>
      <c r="I801" s="5" t="s">
        <v>2331</v>
      </c>
      <c r="J801" s="6" t="n">
        <f aca="false">IFERROR(INDEX(Rounds!$A:$A,MATCH(I801,Rounds!$B:$B,0)),"ADD LEAGUE TO ROUNDS")</f>
        <v>8</v>
      </c>
      <c r="K801" s="6" t="n">
        <f aca="false">IFERROR(VALUE(LEFT(E801,FIND(" - ",E801)-1)),"")</f>
        <v>1</v>
      </c>
      <c r="L801" s="5"/>
      <c r="N801" s="6" t="str">
        <f aca="false">IF(F801="","",1+COUNTIFS($J:$J,J801,$K:$K,K801,$F:$F,"&gt;"&amp;F801)+COUNTIFS($J:$J,J801,$K:$K,K801,$F:$F,F801,$G:$G,"&gt;"&amp;G801))</f>
        <v/>
      </c>
      <c r="O801" s="6" t="str">
        <f aca="false">IF(L801="","",SUMIFS(Votes!$E:$E,Votes!$A:$A,J801,Votes!$B:$B,K801,Votes!$D:$D,L801))</f>
        <v/>
      </c>
      <c r="P801" s="6" t="str">
        <f aca="false">IF(L801="","",COUNTIFS(Votes!$A:$A,J801,Votes!$B:$B,K801,Votes!$D:$D,L801))</f>
        <v/>
      </c>
      <c r="Q801" s="7" t="str">
        <f aca="false">IF(F801="","Unscored",IF(O801="","No URI",IF(AND(F801=0,O801=0),"Zero-vote",IF(AND(F801=O801,G801=P801),"OK",IF(AND(F801=0,O801&gt;0,COUNTIFS(Votes!$A:$A,J801,Votes!$B:$B,K801,Votes!$C:$C,D801)=0),"Forfeited","Mismatch")))))</f>
        <v>Unscored</v>
      </c>
      <c r="R801" s="6" t="n">
        <f aca="false">MAX(IF(L801&lt;&gt;"",COUNTIF($L:$L,L801),0),COUNTIFS($A:$A,A801,$B:$B,B801))</f>
        <v>1</v>
      </c>
      <c r="S801" s="6" t="str">
        <f aca="false">IF(R801&gt;1,COUNTIF($R$2:R801,"&gt;1"),"")</f>
        <v/>
      </c>
      <c r="T801" s="6" t="str">
        <f aca="false">IF(L801="","",J801&amp;"|"&amp;K801&amp;"|"&amp;L801)</f>
        <v/>
      </c>
      <c r="U801" s="6" t="str">
        <f aca="false">IF(C801="","",IFERROR(INDEX(Lists!$F:$F,MATCH(C801,Lists!$E:$E,0)),"Unmapped"))</f>
        <v>Electronic/Dance</v>
      </c>
    </row>
    <row r="802" customFormat="false" ht="15" hidden="false" customHeight="false" outlineLevel="0" collapsed="false">
      <c r="A802" s="5" t="s">
        <v>2354</v>
      </c>
      <c r="B802" s="5" t="s">
        <v>2355</v>
      </c>
      <c r="C802" s="5" t="s">
        <v>91</v>
      </c>
      <c r="D802" s="5"/>
      <c r="E802" s="5" t="s">
        <v>2356</v>
      </c>
      <c r="F802" s="5"/>
      <c r="G802" s="5"/>
      <c r="H802" s="6" t="str">
        <f aca="false">IF(N802="","",N802&amp;IF(AND(MOD(N802,100)&gt;=11,MOD(N802,100)&lt;=13),"th",CHOOSE(MIN(5,MOD(N802,10)+1),"th","st","nd","rd","th")))</f>
        <v/>
      </c>
      <c r="I802" s="5" t="s">
        <v>2331</v>
      </c>
      <c r="J802" s="6" t="n">
        <f aca="false">IFERROR(INDEX(Rounds!$A:$A,MATCH(I802,Rounds!$B:$B,0)),"ADD LEAGUE TO ROUNDS")</f>
        <v>8</v>
      </c>
      <c r="K802" s="6" t="n">
        <f aca="false">IFERROR(VALUE(LEFT(E802,FIND(" - ",E802)-1)),"")</f>
        <v>2</v>
      </c>
      <c r="L802" s="5"/>
      <c r="N802" s="6" t="str">
        <f aca="false">IF(F802="","",1+COUNTIFS($J:$J,J802,$K:$K,K802,$F:$F,"&gt;"&amp;F802)+COUNTIFS($J:$J,J802,$K:$K,K802,$F:$F,F802,$G:$G,"&gt;"&amp;G802))</f>
        <v/>
      </c>
      <c r="O802" s="6" t="str">
        <f aca="false">IF(L802="","",SUMIFS(Votes!$E:$E,Votes!$A:$A,J802,Votes!$B:$B,K802,Votes!$D:$D,L802))</f>
        <v/>
      </c>
      <c r="P802" s="6" t="str">
        <f aca="false">IF(L802="","",COUNTIFS(Votes!$A:$A,J802,Votes!$B:$B,K802,Votes!$D:$D,L802))</f>
        <v/>
      </c>
      <c r="Q802" s="7" t="str">
        <f aca="false">IF(F802="","Unscored",IF(O802="","No URI",IF(AND(F802=0,O802=0),"Zero-vote",IF(AND(F802=O802,G802=P802),"OK",IF(AND(F802=0,O802&gt;0,COUNTIFS(Votes!$A:$A,J802,Votes!$B:$B,K802,Votes!$C:$C,D802)=0),"Forfeited","Mismatch")))))</f>
        <v>Unscored</v>
      </c>
      <c r="R802" s="6" t="n">
        <f aca="false">MAX(IF(L802&lt;&gt;"",COUNTIF($L:$L,L802),0),COUNTIFS($A:$A,A802,$B:$B,B802))</f>
        <v>1</v>
      </c>
      <c r="S802" s="6" t="str">
        <f aca="false">IF(R802&gt;1,COUNTIF($R$2:R802,"&gt;1"),"")</f>
        <v/>
      </c>
      <c r="T802" s="6" t="str">
        <f aca="false">IF(L802="","",J802&amp;"|"&amp;K802&amp;"|"&amp;L802)</f>
        <v/>
      </c>
      <c r="U802" s="6" t="str">
        <f aca="false">IF(C802="","",IFERROR(INDEX(Lists!$F:$F,MATCH(C802,Lists!$E:$E,0)),"Unmapped"))</f>
        <v>Rock</v>
      </c>
    </row>
    <row r="803" customFormat="false" ht="15" hidden="false" customHeight="false" outlineLevel="0" collapsed="false">
      <c r="A803" s="5" t="s">
        <v>2357</v>
      </c>
      <c r="B803" s="5" t="s">
        <v>371</v>
      </c>
      <c r="C803" s="5" t="s">
        <v>91</v>
      </c>
      <c r="D803" s="5"/>
      <c r="E803" s="5" t="s">
        <v>2356</v>
      </c>
      <c r="F803" s="5"/>
      <c r="G803" s="5"/>
      <c r="H803" s="6" t="str">
        <f aca="false">IF(N803="","",N803&amp;IF(AND(MOD(N803,100)&gt;=11,MOD(N803,100)&lt;=13),"th",CHOOSE(MIN(5,MOD(N803,10)+1),"th","st","nd","rd","th")))</f>
        <v/>
      </c>
      <c r="I803" s="5" t="s">
        <v>2331</v>
      </c>
      <c r="J803" s="6" t="n">
        <f aca="false">IFERROR(INDEX(Rounds!$A:$A,MATCH(I803,Rounds!$B:$B,0)),"ADD LEAGUE TO ROUNDS")</f>
        <v>8</v>
      </c>
      <c r="K803" s="6" t="n">
        <f aca="false">IFERROR(VALUE(LEFT(E803,FIND(" - ",E803)-1)),"")</f>
        <v>2</v>
      </c>
      <c r="L803" s="5"/>
      <c r="N803" s="6" t="str">
        <f aca="false">IF(F803="","",1+COUNTIFS($J:$J,J803,$K:$K,K803,$F:$F,"&gt;"&amp;F803)+COUNTIFS($J:$J,J803,$K:$K,K803,$F:$F,F803,$G:$G,"&gt;"&amp;G803))</f>
        <v/>
      </c>
      <c r="O803" s="6" t="str">
        <f aca="false">IF(L803="","",SUMIFS(Votes!$E:$E,Votes!$A:$A,J803,Votes!$B:$B,K803,Votes!$D:$D,L803))</f>
        <v/>
      </c>
      <c r="P803" s="6" t="str">
        <f aca="false">IF(L803="","",COUNTIFS(Votes!$A:$A,J803,Votes!$B:$B,K803,Votes!$D:$D,L803))</f>
        <v/>
      </c>
      <c r="Q803" s="7" t="str">
        <f aca="false">IF(F803="","Unscored",IF(O803="","No URI",IF(AND(F803=0,O803=0),"Zero-vote",IF(AND(F803=O803,G803=P803),"OK",IF(AND(F803=0,O803&gt;0,COUNTIFS(Votes!$A:$A,J803,Votes!$B:$B,K803,Votes!$C:$C,D803)=0),"Forfeited","Mismatch")))))</f>
        <v>Unscored</v>
      </c>
      <c r="R803" s="6" t="n">
        <f aca="false">MAX(IF(L803&lt;&gt;"",COUNTIF($L:$L,L803),0),COUNTIFS($A:$A,A803,$B:$B,B803))</f>
        <v>1</v>
      </c>
      <c r="S803" s="6" t="str">
        <f aca="false">IF(R803&gt;1,COUNTIF($R$2:R803,"&gt;1"),"")</f>
        <v/>
      </c>
      <c r="T803" s="6" t="str">
        <f aca="false">IF(L803="","",J803&amp;"|"&amp;K803&amp;"|"&amp;L803)</f>
        <v/>
      </c>
      <c r="U803" s="6" t="str">
        <f aca="false">IF(C803="","",IFERROR(INDEX(Lists!$F:$F,MATCH(C803,Lists!$E:$E,0)),"Unmapped"))</f>
        <v>Rock</v>
      </c>
    </row>
    <row r="804" customFormat="false" ht="15" hidden="false" customHeight="false" outlineLevel="0" collapsed="false">
      <c r="A804" s="5" t="s">
        <v>2358</v>
      </c>
      <c r="B804" s="5" t="s">
        <v>2359</v>
      </c>
      <c r="C804" s="5" t="s">
        <v>91</v>
      </c>
      <c r="D804" s="5"/>
      <c r="E804" s="5" t="s">
        <v>2356</v>
      </c>
      <c r="F804" s="5"/>
      <c r="G804" s="5"/>
      <c r="H804" s="6" t="str">
        <f aca="false">IF(N804="","",N804&amp;IF(AND(MOD(N804,100)&gt;=11,MOD(N804,100)&lt;=13),"th",CHOOSE(MIN(5,MOD(N804,10)+1),"th","st","nd","rd","th")))</f>
        <v/>
      </c>
      <c r="I804" s="5" t="s">
        <v>2331</v>
      </c>
      <c r="J804" s="6" t="n">
        <f aca="false">IFERROR(INDEX(Rounds!$A:$A,MATCH(I804,Rounds!$B:$B,0)),"ADD LEAGUE TO ROUNDS")</f>
        <v>8</v>
      </c>
      <c r="K804" s="6" t="n">
        <f aca="false">IFERROR(VALUE(LEFT(E804,FIND(" - ",E804)-1)),"")</f>
        <v>2</v>
      </c>
      <c r="L804" s="5"/>
      <c r="N804" s="6" t="str">
        <f aca="false">IF(F804="","",1+COUNTIFS($J:$J,J804,$K:$K,K804,$F:$F,"&gt;"&amp;F804)+COUNTIFS($J:$J,J804,$K:$K,K804,$F:$F,F804,$G:$G,"&gt;"&amp;G804))</f>
        <v/>
      </c>
      <c r="O804" s="6" t="str">
        <f aca="false">IF(L804="","",SUMIFS(Votes!$E:$E,Votes!$A:$A,J804,Votes!$B:$B,K804,Votes!$D:$D,L804))</f>
        <v/>
      </c>
      <c r="P804" s="6" t="str">
        <f aca="false">IF(L804="","",COUNTIFS(Votes!$A:$A,J804,Votes!$B:$B,K804,Votes!$D:$D,L804))</f>
        <v/>
      </c>
      <c r="Q804" s="7" t="str">
        <f aca="false">IF(F804="","Unscored",IF(O804="","No URI",IF(AND(F804=0,O804=0),"Zero-vote",IF(AND(F804=O804,G804=P804),"OK",IF(AND(F804=0,O804&gt;0,COUNTIFS(Votes!$A:$A,J804,Votes!$B:$B,K804,Votes!$C:$C,D804)=0),"Forfeited","Mismatch")))))</f>
        <v>Unscored</v>
      </c>
      <c r="R804" s="6" t="n">
        <f aca="false">MAX(IF(L804&lt;&gt;"",COUNTIF($L:$L,L804),0),COUNTIFS($A:$A,A804,$B:$B,B804))</f>
        <v>1</v>
      </c>
      <c r="S804" s="6" t="str">
        <f aca="false">IF(R804&gt;1,COUNTIF($R$2:R804,"&gt;1"),"")</f>
        <v/>
      </c>
      <c r="T804" s="6" t="str">
        <f aca="false">IF(L804="","",J804&amp;"|"&amp;K804&amp;"|"&amp;L804)</f>
        <v/>
      </c>
      <c r="U804" s="6" t="str">
        <f aca="false">IF(C804="","",IFERROR(INDEX(Lists!$F:$F,MATCH(C804,Lists!$E:$E,0)),"Unmapped"))</f>
        <v>Rock</v>
      </c>
    </row>
    <row r="805" customFormat="false" ht="15" hidden="false" customHeight="false" outlineLevel="0" collapsed="false">
      <c r="A805" s="5" t="s">
        <v>2360</v>
      </c>
      <c r="B805" s="5" t="s">
        <v>2361</v>
      </c>
      <c r="C805" s="5" t="s">
        <v>96</v>
      </c>
      <c r="D805" s="5"/>
      <c r="E805" s="5" t="s">
        <v>2356</v>
      </c>
      <c r="F805" s="5"/>
      <c r="G805" s="5"/>
      <c r="H805" s="6" t="str">
        <f aca="false">IF(N805="","",N805&amp;IF(AND(MOD(N805,100)&gt;=11,MOD(N805,100)&lt;=13),"th",CHOOSE(MIN(5,MOD(N805,10)+1),"th","st","nd","rd","th")))</f>
        <v/>
      </c>
      <c r="I805" s="5" t="s">
        <v>2331</v>
      </c>
      <c r="J805" s="6" t="n">
        <f aca="false">IFERROR(INDEX(Rounds!$A:$A,MATCH(I805,Rounds!$B:$B,0)),"ADD LEAGUE TO ROUNDS")</f>
        <v>8</v>
      </c>
      <c r="K805" s="6" t="n">
        <f aca="false">IFERROR(VALUE(LEFT(E805,FIND(" - ",E805)-1)),"")</f>
        <v>2</v>
      </c>
      <c r="L805" s="5"/>
      <c r="N805" s="6" t="str">
        <f aca="false">IF(F805="","",1+COUNTIFS($J:$J,J805,$K:$K,K805,$F:$F,"&gt;"&amp;F805)+COUNTIFS($J:$J,J805,$K:$K,K805,$F:$F,F805,$G:$G,"&gt;"&amp;G805))</f>
        <v/>
      </c>
      <c r="O805" s="6" t="str">
        <f aca="false">IF(L805="","",SUMIFS(Votes!$E:$E,Votes!$A:$A,J805,Votes!$B:$B,K805,Votes!$D:$D,L805))</f>
        <v/>
      </c>
      <c r="P805" s="6" t="str">
        <f aca="false">IF(L805="","",COUNTIFS(Votes!$A:$A,J805,Votes!$B:$B,K805,Votes!$D:$D,L805))</f>
        <v/>
      </c>
      <c r="Q805" s="7" t="str">
        <f aca="false">IF(F805="","Unscored",IF(O805="","No URI",IF(AND(F805=0,O805=0),"Zero-vote",IF(AND(F805=O805,G805=P805),"OK",IF(AND(F805=0,O805&gt;0,COUNTIFS(Votes!$A:$A,J805,Votes!$B:$B,K805,Votes!$C:$C,D805)=0),"Forfeited","Mismatch")))))</f>
        <v>Unscored</v>
      </c>
      <c r="R805" s="6" t="n">
        <f aca="false">MAX(IF(L805&lt;&gt;"",COUNTIF($L:$L,L805),0),COUNTIFS($A:$A,A805,$B:$B,B805))</f>
        <v>1</v>
      </c>
      <c r="S805" s="6" t="str">
        <f aca="false">IF(R805&gt;1,COUNTIF($R$2:R805,"&gt;1"),"")</f>
        <v/>
      </c>
      <c r="T805" s="6" t="str">
        <f aca="false">IF(L805="","",J805&amp;"|"&amp;K805&amp;"|"&amp;L805)</f>
        <v/>
      </c>
      <c r="U805" s="6" t="str">
        <f aca="false">IF(C805="","",IFERROR(INDEX(Lists!$F:$F,MATCH(C805,Lists!$E:$E,0)),"Unmapped"))</f>
        <v>R&amp;B/Soul</v>
      </c>
    </row>
    <row r="806" customFormat="false" ht="15" hidden="false" customHeight="false" outlineLevel="0" collapsed="false">
      <c r="A806" s="5" t="s">
        <v>2362</v>
      </c>
      <c r="B806" s="5" t="s">
        <v>2363</v>
      </c>
      <c r="C806" s="5" t="s">
        <v>84</v>
      </c>
      <c r="D806" s="5"/>
      <c r="E806" s="5" t="s">
        <v>2356</v>
      </c>
      <c r="F806" s="5"/>
      <c r="G806" s="5"/>
      <c r="H806" s="6" t="str">
        <f aca="false">IF(N806="","",N806&amp;IF(AND(MOD(N806,100)&gt;=11,MOD(N806,100)&lt;=13),"th",CHOOSE(MIN(5,MOD(N806,10)+1),"th","st","nd","rd","th")))</f>
        <v/>
      </c>
      <c r="I806" s="5" t="s">
        <v>2331</v>
      </c>
      <c r="J806" s="6" t="n">
        <f aca="false">IFERROR(INDEX(Rounds!$A:$A,MATCH(I806,Rounds!$B:$B,0)),"ADD LEAGUE TO ROUNDS")</f>
        <v>8</v>
      </c>
      <c r="K806" s="6" t="n">
        <f aca="false">IFERROR(VALUE(LEFT(E806,FIND(" - ",E806)-1)),"")</f>
        <v>2</v>
      </c>
      <c r="L806" s="5"/>
      <c r="N806" s="6" t="str">
        <f aca="false">IF(F806="","",1+COUNTIFS($J:$J,J806,$K:$K,K806,$F:$F,"&gt;"&amp;F806)+COUNTIFS($J:$J,J806,$K:$K,K806,$F:$F,F806,$G:$G,"&gt;"&amp;G806))</f>
        <v/>
      </c>
      <c r="O806" s="6" t="str">
        <f aca="false">IF(L806="","",SUMIFS(Votes!$E:$E,Votes!$A:$A,J806,Votes!$B:$B,K806,Votes!$D:$D,L806))</f>
        <v/>
      </c>
      <c r="P806" s="6" t="str">
        <f aca="false">IF(L806="","",COUNTIFS(Votes!$A:$A,J806,Votes!$B:$B,K806,Votes!$D:$D,L806))</f>
        <v/>
      </c>
      <c r="Q806" s="7" t="str">
        <f aca="false">IF(F806="","Unscored",IF(O806="","No URI",IF(AND(F806=0,O806=0),"Zero-vote",IF(AND(F806=O806,G806=P806),"OK",IF(AND(F806=0,O806&gt;0,COUNTIFS(Votes!$A:$A,J806,Votes!$B:$B,K806,Votes!$C:$C,D806)=0),"Forfeited","Mismatch")))))</f>
        <v>Unscored</v>
      </c>
      <c r="R806" s="6" t="n">
        <f aca="false">MAX(IF(L806&lt;&gt;"",COUNTIF($L:$L,L806),0),COUNTIFS($A:$A,A806,$B:$B,B806))</f>
        <v>1</v>
      </c>
      <c r="S806" s="6" t="str">
        <f aca="false">IF(R806&gt;1,COUNTIF($R$2:R806,"&gt;1"),"")</f>
        <v/>
      </c>
      <c r="T806" s="6" t="str">
        <f aca="false">IF(L806="","",J806&amp;"|"&amp;K806&amp;"|"&amp;L806)</f>
        <v/>
      </c>
      <c r="U806" s="6" t="str">
        <f aca="false">IF(C806="","",IFERROR(INDEX(Lists!$F:$F,MATCH(C806,Lists!$E:$E,0)),"Unmapped"))</f>
        <v>Pop</v>
      </c>
    </row>
    <row r="807" customFormat="false" ht="15" hidden="false" customHeight="false" outlineLevel="0" collapsed="false">
      <c r="A807" s="5" t="s">
        <v>707</v>
      </c>
      <c r="B807" s="5" t="s">
        <v>708</v>
      </c>
      <c r="C807" s="5" t="s">
        <v>304</v>
      </c>
      <c r="D807" s="5"/>
      <c r="E807" s="5" t="s">
        <v>2356</v>
      </c>
      <c r="F807" s="5"/>
      <c r="G807" s="5"/>
      <c r="H807" s="6" t="str">
        <f aca="false">IF(N807="","",N807&amp;IF(AND(MOD(N807,100)&gt;=11,MOD(N807,100)&lt;=13),"th",CHOOSE(MIN(5,MOD(N807,10)+1),"th","st","nd","rd","th")))</f>
        <v/>
      </c>
      <c r="I807" s="5" t="s">
        <v>2331</v>
      </c>
      <c r="J807" s="6" t="n">
        <f aca="false">IFERROR(INDEX(Rounds!$A:$A,MATCH(I807,Rounds!$B:$B,0)),"ADD LEAGUE TO ROUNDS")</f>
        <v>8</v>
      </c>
      <c r="K807" s="6" t="n">
        <f aca="false">IFERROR(VALUE(LEFT(E807,FIND(" - ",E807)-1)),"")</f>
        <v>2</v>
      </c>
      <c r="L807" s="5"/>
      <c r="N807" s="6" t="str">
        <f aca="false">IF(F807="","",1+COUNTIFS($J:$J,J807,$K:$K,K807,$F:$F,"&gt;"&amp;F807)+COUNTIFS($J:$J,J807,$K:$K,K807,$F:$F,F807,$G:$G,"&gt;"&amp;G807))</f>
        <v/>
      </c>
      <c r="O807" s="6" t="str">
        <f aca="false">IF(L807="","",SUMIFS(Votes!$E:$E,Votes!$A:$A,J807,Votes!$B:$B,K807,Votes!$D:$D,L807))</f>
        <v/>
      </c>
      <c r="P807" s="6" t="str">
        <f aca="false">IF(L807="","",COUNTIFS(Votes!$A:$A,J807,Votes!$B:$B,K807,Votes!$D:$D,L807))</f>
        <v/>
      </c>
      <c r="Q807" s="7" t="str">
        <f aca="false">IF(F807="","Unscored",IF(O807="","No URI",IF(AND(F807=0,O807=0),"Zero-vote",IF(AND(F807=O807,G807=P807),"OK",IF(AND(F807=0,O807&gt;0,COUNTIFS(Votes!$A:$A,J807,Votes!$B:$B,K807,Votes!$C:$C,D807)=0),"Forfeited","Mismatch")))))</f>
        <v>Unscored</v>
      </c>
      <c r="R807" s="6" t="n">
        <f aca="false">MAX(IF(L807&lt;&gt;"",COUNTIF($L:$L,L807),0),COUNTIFS($A:$A,A807,$B:$B,B807))</f>
        <v>2</v>
      </c>
      <c r="S807" s="6" t="n">
        <f aca="false">IF(R807&gt;1,COUNTIF($R$2:R807,"&gt;1"),"")</f>
        <v>50</v>
      </c>
      <c r="T807" s="6" t="str">
        <f aca="false">IF(L807="","",J807&amp;"|"&amp;K807&amp;"|"&amp;L807)</f>
        <v/>
      </c>
      <c r="U807" s="6" t="str">
        <f aca="false">IF(C807="","",IFERROR(INDEX(Lists!$F:$F,MATCH(C807,Lists!$E:$E,0)),"Unmapped"))</f>
        <v>K-Pop</v>
      </c>
    </row>
    <row r="808" customFormat="false" ht="15" hidden="false" customHeight="false" outlineLevel="0" collapsed="false">
      <c r="A808" s="5" t="s">
        <v>2364</v>
      </c>
      <c r="B808" s="5" t="s">
        <v>1739</v>
      </c>
      <c r="C808" s="5" t="s">
        <v>91</v>
      </c>
      <c r="D808" s="5"/>
      <c r="E808" s="5" t="s">
        <v>2356</v>
      </c>
      <c r="F808" s="5"/>
      <c r="G808" s="5"/>
      <c r="H808" s="6" t="str">
        <f aca="false">IF(N808="","",N808&amp;IF(AND(MOD(N808,100)&gt;=11,MOD(N808,100)&lt;=13),"th",CHOOSE(MIN(5,MOD(N808,10)+1),"th","st","nd","rd","th")))</f>
        <v/>
      </c>
      <c r="I808" s="5" t="s">
        <v>2331</v>
      </c>
      <c r="J808" s="6" t="n">
        <f aca="false">IFERROR(INDEX(Rounds!$A:$A,MATCH(I808,Rounds!$B:$B,0)),"ADD LEAGUE TO ROUNDS")</f>
        <v>8</v>
      </c>
      <c r="K808" s="6" t="n">
        <f aca="false">IFERROR(VALUE(LEFT(E808,FIND(" - ",E808)-1)),"")</f>
        <v>2</v>
      </c>
      <c r="L808" s="5"/>
      <c r="N808" s="6" t="str">
        <f aca="false">IF(F808="","",1+COUNTIFS($J:$J,J808,$K:$K,K808,$F:$F,"&gt;"&amp;F808)+COUNTIFS($J:$J,J808,$K:$K,K808,$F:$F,F808,$G:$G,"&gt;"&amp;G808))</f>
        <v/>
      </c>
      <c r="O808" s="6" t="str">
        <f aca="false">IF(L808="","",SUMIFS(Votes!$E:$E,Votes!$A:$A,J808,Votes!$B:$B,K808,Votes!$D:$D,L808))</f>
        <v/>
      </c>
      <c r="P808" s="6" t="str">
        <f aca="false">IF(L808="","",COUNTIFS(Votes!$A:$A,J808,Votes!$B:$B,K808,Votes!$D:$D,L808))</f>
        <v/>
      </c>
      <c r="Q808" s="7" t="str">
        <f aca="false">IF(F808="","Unscored",IF(O808="","No URI",IF(AND(F808=0,O808=0),"Zero-vote",IF(AND(F808=O808,G808=P808),"OK",IF(AND(F808=0,O808&gt;0,COUNTIFS(Votes!$A:$A,J808,Votes!$B:$B,K808,Votes!$C:$C,D808)=0),"Forfeited","Mismatch")))))</f>
        <v>Unscored</v>
      </c>
      <c r="R808" s="6" t="n">
        <f aca="false">MAX(IF(L808&lt;&gt;"",COUNTIF($L:$L,L808),0),COUNTIFS($A:$A,A808,$B:$B,B808))</f>
        <v>1</v>
      </c>
      <c r="S808" s="6" t="str">
        <f aca="false">IF(R808&gt;1,COUNTIF($R$2:R808,"&gt;1"),"")</f>
        <v/>
      </c>
      <c r="T808" s="6" t="str">
        <f aca="false">IF(L808="","",J808&amp;"|"&amp;K808&amp;"|"&amp;L808)</f>
        <v/>
      </c>
      <c r="U808" s="6" t="str">
        <f aca="false">IF(C808="","",IFERROR(INDEX(Lists!$F:$F,MATCH(C808,Lists!$E:$E,0)),"Unmapped"))</f>
        <v>Rock</v>
      </c>
    </row>
    <row r="809" customFormat="false" ht="15" hidden="false" customHeight="false" outlineLevel="0" collapsed="false">
      <c r="A809" s="5" t="s">
        <v>2365</v>
      </c>
      <c r="B809" s="5" t="s">
        <v>2366</v>
      </c>
      <c r="C809" s="5" t="s">
        <v>91</v>
      </c>
      <c r="D809" s="5"/>
      <c r="E809" s="5" t="s">
        <v>2356</v>
      </c>
      <c r="F809" s="5"/>
      <c r="G809" s="5"/>
      <c r="H809" s="6" t="str">
        <f aca="false">IF(N809="","",N809&amp;IF(AND(MOD(N809,100)&gt;=11,MOD(N809,100)&lt;=13),"th",CHOOSE(MIN(5,MOD(N809,10)+1),"th","st","nd","rd","th")))</f>
        <v/>
      </c>
      <c r="I809" s="5" t="s">
        <v>2331</v>
      </c>
      <c r="J809" s="6" t="n">
        <f aca="false">IFERROR(INDEX(Rounds!$A:$A,MATCH(I809,Rounds!$B:$B,0)),"ADD LEAGUE TO ROUNDS")</f>
        <v>8</v>
      </c>
      <c r="K809" s="6" t="n">
        <f aca="false">IFERROR(VALUE(LEFT(E809,FIND(" - ",E809)-1)),"")</f>
        <v>2</v>
      </c>
      <c r="L809" s="5"/>
      <c r="N809" s="6" t="str">
        <f aca="false">IF(F809="","",1+COUNTIFS($J:$J,J809,$K:$K,K809,$F:$F,"&gt;"&amp;F809)+COUNTIFS($J:$J,J809,$K:$K,K809,$F:$F,F809,$G:$G,"&gt;"&amp;G809))</f>
        <v/>
      </c>
      <c r="O809" s="6" t="str">
        <f aca="false">IF(L809="","",SUMIFS(Votes!$E:$E,Votes!$A:$A,J809,Votes!$B:$B,K809,Votes!$D:$D,L809))</f>
        <v/>
      </c>
      <c r="P809" s="6" t="str">
        <f aca="false">IF(L809="","",COUNTIFS(Votes!$A:$A,J809,Votes!$B:$B,K809,Votes!$D:$D,L809))</f>
        <v/>
      </c>
      <c r="Q809" s="7" t="str">
        <f aca="false">IF(F809="","Unscored",IF(O809="","No URI",IF(AND(F809=0,O809=0),"Zero-vote",IF(AND(F809=O809,G809=P809),"OK",IF(AND(F809=0,O809&gt;0,COUNTIFS(Votes!$A:$A,J809,Votes!$B:$B,K809,Votes!$C:$C,D809)=0),"Forfeited","Mismatch")))))</f>
        <v>Unscored</v>
      </c>
      <c r="R809" s="6" t="n">
        <f aca="false">MAX(IF(L809&lt;&gt;"",COUNTIF($L:$L,L809),0),COUNTIFS($A:$A,A809,$B:$B,B809))</f>
        <v>1</v>
      </c>
      <c r="S809" s="6" t="str">
        <f aca="false">IF(R809&gt;1,COUNTIF($R$2:R809,"&gt;1"),"")</f>
        <v/>
      </c>
      <c r="T809" s="6" t="str">
        <f aca="false">IF(L809="","",J809&amp;"|"&amp;K809&amp;"|"&amp;L809)</f>
        <v/>
      </c>
      <c r="U809" s="6" t="str">
        <f aca="false">IF(C809="","",IFERROR(INDEX(Lists!$F:$F,MATCH(C809,Lists!$E:$E,0)),"Unmapped"))</f>
        <v>Rock</v>
      </c>
    </row>
    <row r="810" customFormat="false" ht="15" hidden="false" customHeight="false" outlineLevel="0" collapsed="false">
      <c r="A810" s="5" t="s">
        <v>2367</v>
      </c>
      <c r="B810" s="5" t="s">
        <v>2368</v>
      </c>
      <c r="C810" s="5" t="s">
        <v>91</v>
      </c>
      <c r="D810" s="5"/>
      <c r="E810" s="5" t="s">
        <v>2356</v>
      </c>
      <c r="F810" s="5"/>
      <c r="G810" s="5"/>
      <c r="H810" s="6" t="str">
        <f aca="false">IF(N810="","",N810&amp;IF(AND(MOD(N810,100)&gt;=11,MOD(N810,100)&lt;=13),"th",CHOOSE(MIN(5,MOD(N810,10)+1),"th","st","nd","rd","th")))</f>
        <v/>
      </c>
      <c r="I810" s="5" t="s">
        <v>2331</v>
      </c>
      <c r="J810" s="6" t="n">
        <f aca="false">IFERROR(INDEX(Rounds!$A:$A,MATCH(I810,Rounds!$B:$B,0)),"ADD LEAGUE TO ROUNDS")</f>
        <v>8</v>
      </c>
      <c r="K810" s="6" t="n">
        <f aca="false">IFERROR(VALUE(LEFT(E810,FIND(" - ",E810)-1)),"")</f>
        <v>2</v>
      </c>
      <c r="L810" s="5"/>
      <c r="N810" s="6" t="str">
        <f aca="false">IF(F810="","",1+COUNTIFS($J:$J,J810,$K:$K,K810,$F:$F,"&gt;"&amp;F810)+COUNTIFS($J:$J,J810,$K:$K,K810,$F:$F,F810,$G:$G,"&gt;"&amp;G810))</f>
        <v/>
      </c>
      <c r="O810" s="6" t="str">
        <f aca="false">IF(L810="","",SUMIFS(Votes!$E:$E,Votes!$A:$A,J810,Votes!$B:$B,K810,Votes!$D:$D,L810))</f>
        <v/>
      </c>
      <c r="P810" s="6" t="str">
        <f aca="false">IF(L810="","",COUNTIFS(Votes!$A:$A,J810,Votes!$B:$B,K810,Votes!$D:$D,L810))</f>
        <v/>
      </c>
      <c r="Q810" s="7" t="str">
        <f aca="false">IF(F810="","Unscored",IF(O810="","No URI",IF(AND(F810=0,O810=0),"Zero-vote",IF(AND(F810=O810,G810=P810),"OK",IF(AND(F810=0,O810&gt;0,COUNTIFS(Votes!$A:$A,J810,Votes!$B:$B,K810,Votes!$C:$C,D810)=0),"Forfeited","Mismatch")))))</f>
        <v>Unscored</v>
      </c>
      <c r="R810" s="6" t="n">
        <f aca="false">MAX(IF(L810&lt;&gt;"",COUNTIF($L:$L,L810),0),COUNTIFS($A:$A,A810,$B:$B,B810))</f>
        <v>1</v>
      </c>
      <c r="S810" s="6" t="str">
        <f aca="false">IF(R810&gt;1,COUNTIF($R$2:R810,"&gt;1"),"")</f>
        <v/>
      </c>
      <c r="T810" s="6" t="str">
        <f aca="false">IF(L810="","",J810&amp;"|"&amp;K810&amp;"|"&amp;L810)</f>
        <v/>
      </c>
      <c r="U810" s="6" t="str">
        <f aca="false">IF(C810="","",IFERROR(INDEX(Lists!$F:$F,MATCH(C810,Lists!$E:$E,0)),"Unmapped"))</f>
        <v>Rock</v>
      </c>
    </row>
    <row r="811" customFormat="false" ht="15" hidden="false" customHeight="false" outlineLevel="0" collapsed="false">
      <c r="A811" s="5" t="s">
        <v>2369</v>
      </c>
      <c r="B811" s="5" t="s">
        <v>1634</v>
      </c>
      <c r="C811" s="5" t="s">
        <v>84</v>
      </c>
      <c r="D811" s="5"/>
      <c r="E811" s="5" t="s">
        <v>2356</v>
      </c>
      <c r="F811" s="5"/>
      <c r="G811" s="5"/>
      <c r="H811" s="6" t="str">
        <f aca="false">IF(N811="","",N811&amp;IF(AND(MOD(N811,100)&gt;=11,MOD(N811,100)&lt;=13),"th",CHOOSE(MIN(5,MOD(N811,10)+1),"th","st","nd","rd","th")))</f>
        <v/>
      </c>
      <c r="I811" s="5" t="s">
        <v>2331</v>
      </c>
      <c r="J811" s="6" t="n">
        <f aca="false">IFERROR(INDEX(Rounds!$A:$A,MATCH(I811,Rounds!$B:$B,0)),"ADD LEAGUE TO ROUNDS")</f>
        <v>8</v>
      </c>
      <c r="K811" s="6" t="n">
        <f aca="false">IFERROR(VALUE(LEFT(E811,FIND(" - ",E811)-1)),"")</f>
        <v>2</v>
      </c>
      <c r="L811" s="5"/>
      <c r="N811" s="6" t="str">
        <f aca="false">IF(F811="","",1+COUNTIFS($J:$J,J811,$K:$K,K811,$F:$F,"&gt;"&amp;F811)+COUNTIFS($J:$J,J811,$K:$K,K811,$F:$F,F811,$G:$G,"&gt;"&amp;G811))</f>
        <v/>
      </c>
      <c r="O811" s="6" t="str">
        <f aca="false">IF(L811="","",SUMIFS(Votes!$E:$E,Votes!$A:$A,J811,Votes!$B:$B,K811,Votes!$D:$D,L811))</f>
        <v/>
      </c>
      <c r="P811" s="6" t="str">
        <f aca="false">IF(L811="","",COUNTIFS(Votes!$A:$A,J811,Votes!$B:$B,K811,Votes!$D:$D,L811))</f>
        <v/>
      </c>
      <c r="Q811" s="7" t="str">
        <f aca="false">IF(F811="","Unscored",IF(O811="","No URI",IF(AND(F811=0,O811=0),"Zero-vote",IF(AND(F811=O811,G811=P811),"OK",IF(AND(F811=0,O811&gt;0,COUNTIFS(Votes!$A:$A,J811,Votes!$B:$B,K811,Votes!$C:$C,D811)=0),"Forfeited","Mismatch")))))</f>
        <v>Unscored</v>
      </c>
      <c r="R811" s="6" t="n">
        <f aca="false">MAX(IF(L811&lt;&gt;"",COUNTIF($L:$L,L811),0),COUNTIFS($A:$A,A811,$B:$B,B811))</f>
        <v>1</v>
      </c>
      <c r="S811" s="6" t="str">
        <f aca="false">IF(R811&gt;1,COUNTIF($R$2:R811,"&gt;1"),"")</f>
        <v/>
      </c>
      <c r="T811" s="6" t="str">
        <f aca="false">IF(L811="","",J811&amp;"|"&amp;K811&amp;"|"&amp;L811)</f>
        <v/>
      </c>
      <c r="U811" s="6" t="str">
        <f aca="false">IF(C811="","",IFERROR(INDEX(Lists!$F:$F,MATCH(C811,Lists!$E:$E,0)),"Unmapped"))</f>
        <v>Pop</v>
      </c>
    </row>
    <row r="812" customFormat="false" ht="15" hidden="false" customHeight="false" outlineLevel="0" collapsed="false">
      <c r="A812" s="5" t="s">
        <v>580</v>
      </c>
      <c r="B812" s="5" t="s">
        <v>371</v>
      </c>
      <c r="C812" s="5" t="s">
        <v>91</v>
      </c>
      <c r="D812" s="5"/>
      <c r="E812" s="5" t="s">
        <v>2356</v>
      </c>
      <c r="F812" s="5"/>
      <c r="G812" s="5"/>
      <c r="H812" s="6" t="str">
        <f aca="false">IF(N812="","",N812&amp;IF(AND(MOD(N812,100)&gt;=11,MOD(N812,100)&lt;=13),"th",CHOOSE(MIN(5,MOD(N812,10)+1),"th","st","nd","rd","th")))</f>
        <v/>
      </c>
      <c r="I812" s="5" t="s">
        <v>2331</v>
      </c>
      <c r="J812" s="6" t="n">
        <f aca="false">IFERROR(INDEX(Rounds!$A:$A,MATCH(I812,Rounds!$B:$B,0)),"ADD LEAGUE TO ROUNDS")</f>
        <v>8</v>
      </c>
      <c r="K812" s="6" t="n">
        <f aca="false">IFERROR(VALUE(LEFT(E812,FIND(" - ",E812)-1)),"")</f>
        <v>2</v>
      </c>
      <c r="L812" s="5"/>
      <c r="N812" s="6" t="str">
        <f aca="false">IF(F812="","",1+COUNTIFS($J:$J,J812,$K:$K,K812,$F:$F,"&gt;"&amp;F812)+COUNTIFS($J:$J,J812,$K:$K,K812,$F:$F,F812,$G:$G,"&gt;"&amp;G812))</f>
        <v/>
      </c>
      <c r="O812" s="6" t="str">
        <f aca="false">IF(L812="","",SUMIFS(Votes!$E:$E,Votes!$A:$A,J812,Votes!$B:$B,K812,Votes!$D:$D,L812))</f>
        <v/>
      </c>
      <c r="P812" s="6" t="str">
        <f aca="false">IF(L812="","",COUNTIFS(Votes!$A:$A,J812,Votes!$B:$B,K812,Votes!$D:$D,L812))</f>
        <v/>
      </c>
      <c r="Q812" s="7" t="str">
        <f aca="false">IF(F812="","Unscored",IF(O812="","No URI",IF(AND(F812=0,O812=0),"Zero-vote",IF(AND(F812=O812,G812=P812),"OK",IF(AND(F812=0,O812&gt;0,COUNTIFS(Votes!$A:$A,J812,Votes!$B:$B,K812,Votes!$C:$C,D812)=0),"Forfeited","Mismatch")))))</f>
        <v>Unscored</v>
      </c>
      <c r="R812" s="6" t="n">
        <f aca="false">MAX(IF(L812&lt;&gt;"",COUNTIF($L:$L,L812),0),COUNTIFS($A:$A,A812,$B:$B,B812))</f>
        <v>2</v>
      </c>
      <c r="S812" s="6" t="n">
        <f aca="false">IF(R812&gt;1,COUNTIF($R$2:R812,"&gt;1"),"")</f>
        <v>51</v>
      </c>
      <c r="T812" s="6" t="str">
        <f aca="false">IF(L812="","",J812&amp;"|"&amp;K812&amp;"|"&amp;L812)</f>
        <v/>
      </c>
      <c r="U812" s="6" t="str">
        <f aca="false">IF(C812="","",IFERROR(INDEX(Lists!$F:$F,MATCH(C812,Lists!$E:$E,0)),"Unmapped"))</f>
        <v>Rock</v>
      </c>
    </row>
    <row r="813" customFormat="false" ht="15" hidden="false" customHeight="false" outlineLevel="0" collapsed="false">
      <c r="A813" s="5" t="s">
        <v>2370</v>
      </c>
      <c r="B813" s="5" t="s">
        <v>535</v>
      </c>
      <c r="C813" s="5" t="s">
        <v>84</v>
      </c>
      <c r="D813" s="5"/>
      <c r="E813" s="5" t="s">
        <v>2356</v>
      </c>
      <c r="F813" s="5"/>
      <c r="G813" s="5"/>
      <c r="H813" s="6" t="str">
        <f aca="false">IF(N813="","",N813&amp;IF(AND(MOD(N813,100)&gt;=11,MOD(N813,100)&lt;=13),"th",CHOOSE(MIN(5,MOD(N813,10)+1),"th","st","nd","rd","th")))</f>
        <v/>
      </c>
      <c r="I813" s="5" t="s">
        <v>2331</v>
      </c>
      <c r="J813" s="6" t="n">
        <f aca="false">IFERROR(INDEX(Rounds!$A:$A,MATCH(I813,Rounds!$B:$B,0)),"ADD LEAGUE TO ROUNDS")</f>
        <v>8</v>
      </c>
      <c r="K813" s="6" t="n">
        <f aca="false">IFERROR(VALUE(LEFT(E813,FIND(" - ",E813)-1)),"")</f>
        <v>2</v>
      </c>
      <c r="L813" s="5"/>
      <c r="N813" s="6" t="str">
        <f aca="false">IF(F813="","",1+COUNTIFS($J:$J,J813,$K:$K,K813,$F:$F,"&gt;"&amp;F813)+COUNTIFS($J:$J,J813,$K:$K,K813,$F:$F,F813,$G:$G,"&gt;"&amp;G813))</f>
        <v/>
      </c>
      <c r="O813" s="6" t="str">
        <f aca="false">IF(L813="","",SUMIFS(Votes!$E:$E,Votes!$A:$A,J813,Votes!$B:$B,K813,Votes!$D:$D,L813))</f>
        <v/>
      </c>
      <c r="P813" s="6" t="str">
        <f aca="false">IF(L813="","",COUNTIFS(Votes!$A:$A,J813,Votes!$B:$B,K813,Votes!$D:$D,L813))</f>
        <v/>
      </c>
      <c r="Q813" s="7" t="str">
        <f aca="false">IF(F813="","Unscored",IF(O813="","No URI",IF(AND(F813=0,O813=0),"Zero-vote",IF(AND(F813=O813,G813=P813),"OK",IF(AND(F813=0,O813&gt;0,COUNTIFS(Votes!$A:$A,J813,Votes!$B:$B,K813,Votes!$C:$C,D813)=0),"Forfeited","Mismatch")))))</f>
        <v>Unscored</v>
      </c>
      <c r="R813" s="6" t="n">
        <f aca="false">MAX(IF(L813&lt;&gt;"",COUNTIF($L:$L,L813),0),COUNTIFS($A:$A,A813,$B:$B,B813))</f>
        <v>1</v>
      </c>
      <c r="S813" s="6" t="str">
        <f aca="false">IF(R813&gt;1,COUNTIF($R$2:R813,"&gt;1"),"")</f>
        <v/>
      </c>
      <c r="T813" s="6" t="str">
        <f aca="false">IF(L813="","",J813&amp;"|"&amp;K813&amp;"|"&amp;L813)</f>
        <v/>
      </c>
      <c r="U813" s="6" t="str">
        <f aca="false">IF(C813="","",IFERROR(INDEX(Lists!$F:$F,MATCH(C813,Lists!$E:$E,0)),"Unmapped"))</f>
        <v>Pop</v>
      </c>
    </row>
    <row r="814" customFormat="false" ht="15" hidden="false" customHeight="false" outlineLevel="0" collapsed="false">
      <c r="A814" s="5" t="s">
        <v>2371</v>
      </c>
      <c r="B814" s="5" t="s">
        <v>1211</v>
      </c>
      <c r="C814" s="5" t="s">
        <v>91</v>
      </c>
      <c r="D814" s="5"/>
      <c r="E814" s="5" t="s">
        <v>2356</v>
      </c>
      <c r="F814" s="5"/>
      <c r="G814" s="5"/>
      <c r="H814" s="6" t="str">
        <f aca="false">IF(N814="","",N814&amp;IF(AND(MOD(N814,100)&gt;=11,MOD(N814,100)&lt;=13),"th",CHOOSE(MIN(5,MOD(N814,10)+1),"th","st","nd","rd","th")))</f>
        <v/>
      </c>
      <c r="I814" s="5" t="s">
        <v>2331</v>
      </c>
      <c r="J814" s="6" t="n">
        <f aca="false">IFERROR(INDEX(Rounds!$A:$A,MATCH(I814,Rounds!$B:$B,0)),"ADD LEAGUE TO ROUNDS")</f>
        <v>8</v>
      </c>
      <c r="K814" s="6" t="n">
        <f aca="false">IFERROR(VALUE(LEFT(E814,FIND(" - ",E814)-1)),"")</f>
        <v>2</v>
      </c>
      <c r="L814" s="5"/>
      <c r="N814" s="6" t="str">
        <f aca="false">IF(F814="","",1+COUNTIFS($J:$J,J814,$K:$K,K814,$F:$F,"&gt;"&amp;F814)+COUNTIFS($J:$J,J814,$K:$K,K814,$F:$F,F814,$G:$G,"&gt;"&amp;G814))</f>
        <v/>
      </c>
      <c r="O814" s="6" t="str">
        <f aca="false">IF(L814="","",SUMIFS(Votes!$E:$E,Votes!$A:$A,J814,Votes!$B:$B,K814,Votes!$D:$D,L814))</f>
        <v/>
      </c>
      <c r="P814" s="6" t="str">
        <f aca="false">IF(L814="","",COUNTIFS(Votes!$A:$A,J814,Votes!$B:$B,K814,Votes!$D:$D,L814))</f>
        <v/>
      </c>
      <c r="Q814" s="7" t="str">
        <f aca="false">IF(F814="","Unscored",IF(O814="","No URI",IF(AND(F814=0,O814=0),"Zero-vote",IF(AND(F814=O814,G814=P814),"OK",IF(AND(F814=0,O814&gt;0,COUNTIFS(Votes!$A:$A,J814,Votes!$B:$B,K814,Votes!$C:$C,D814)=0),"Forfeited","Mismatch")))))</f>
        <v>Unscored</v>
      </c>
      <c r="R814" s="6" t="n">
        <f aca="false">MAX(IF(L814&lt;&gt;"",COUNTIF($L:$L,L814),0),COUNTIFS($A:$A,A814,$B:$B,B814))</f>
        <v>1</v>
      </c>
      <c r="S814" s="6" t="str">
        <f aca="false">IF(R814&gt;1,COUNTIF($R$2:R814,"&gt;1"),"")</f>
        <v/>
      </c>
      <c r="T814" s="6" t="str">
        <f aca="false">IF(L814="","",J814&amp;"|"&amp;K814&amp;"|"&amp;L814)</f>
        <v/>
      </c>
      <c r="U814" s="6" t="str">
        <f aca="false">IF(C814="","",IFERROR(INDEX(Lists!$F:$F,MATCH(C814,Lists!$E:$E,0)),"Unmapped"))</f>
        <v>Rock</v>
      </c>
    </row>
    <row r="815" customFormat="false" ht="15" hidden="false" customHeight="false" outlineLevel="0" collapsed="false">
      <c r="A815" s="5" t="s">
        <v>2372</v>
      </c>
      <c r="B815" s="5" t="s">
        <v>2373</v>
      </c>
      <c r="C815" s="5" t="s">
        <v>91</v>
      </c>
      <c r="D815" s="5"/>
      <c r="E815" s="5" t="s">
        <v>2356</v>
      </c>
      <c r="F815" s="5"/>
      <c r="G815" s="5"/>
      <c r="H815" s="6" t="str">
        <f aca="false">IF(N815="","",N815&amp;IF(AND(MOD(N815,100)&gt;=11,MOD(N815,100)&lt;=13),"th",CHOOSE(MIN(5,MOD(N815,10)+1),"th","st","nd","rd","th")))</f>
        <v/>
      </c>
      <c r="I815" s="5" t="s">
        <v>2331</v>
      </c>
      <c r="J815" s="6" t="n">
        <f aca="false">IFERROR(INDEX(Rounds!$A:$A,MATCH(I815,Rounds!$B:$B,0)),"ADD LEAGUE TO ROUNDS")</f>
        <v>8</v>
      </c>
      <c r="K815" s="6" t="n">
        <f aca="false">IFERROR(VALUE(LEFT(E815,FIND(" - ",E815)-1)),"")</f>
        <v>2</v>
      </c>
      <c r="L815" s="5"/>
      <c r="N815" s="6" t="str">
        <f aca="false">IF(F815="","",1+COUNTIFS($J:$J,J815,$K:$K,K815,$F:$F,"&gt;"&amp;F815)+COUNTIFS($J:$J,J815,$K:$K,K815,$F:$F,F815,$G:$G,"&gt;"&amp;G815))</f>
        <v/>
      </c>
      <c r="O815" s="6" t="str">
        <f aca="false">IF(L815="","",SUMIFS(Votes!$E:$E,Votes!$A:$A,J815,Votes!$B:$B,K815,Votes!$D:$D,L815))</f>
        <v/>
      </c>
      <c r="P815" s="6" t="str">
        <f aca="false">IF(L815="","",COUNTIFS(Votes!$A:$A,J815,Votes!$B:$B,K815,Votes!$D:$D,L815))</f>
        <v/>
      </c>
      <c r="Q815" s="7" t="str">
        <f aca="false">IF(F815="","Unscored",IF(O815="","No URI",IF(AND(F815=0,O815=0),"Zero-vote",IF(AND(F815=O815,G815=P815),"OK",IF(AND(F815=0,O815&gt;0,COUNTIFS(Votes!$A:$A,J815,Votes!$B:$B,K815,Votes!$C:$C,D815)=0),"Forfeited","Mismatch")))))</f>
        <v>Unscored</v>
      </c>
      <c r="R815" s="6" t="n">
        <f aca="false">MAX(IF(L815&lt;&gt;"",COUNTIF($L:$L,L815),0),COUNTIFS($A:$A,A815,$B:$B,B815))</f>
        <v>1</v>
      </c>
      <c r="S815" s="6" t="str">
        <f aca="false">IF(R815&gt;1,COUNTIF($R$2:R815,"&gt;1"),"")</f>
        <v/>
      </c>
      <c r="T815" s="6" t="str">
        <f aca="false">IF(L815="","",J815&amp;"|"&amp;K815&amp;"|"&amp;L815)</f>
        <v/>
      </c>
      <c r="U815" s="6" t="str">
        <f aca="false">IF(C815="","",IFERROR(INDEX(Lists!$F:$F,MATCH(C815,Lists!$E:$E,0)),"Unmapped"))</f>
        <v>Rock</v>
      </c>
    </row>
    <row r="816" customFormat="false" ht="15" hidden="false" customHeight="false" outlineLevel="0" collapsed="false">
      <c r="A816" s="5" t="s">
        <v>2374</v>
      </c>
      <c r="B816" s="5" t="s">
        <v>2375</v>
      </c>
      <c r="C816" s="5" t="s">
        <v>84</v>
      </c>
      <c r="D816" s="5"/>
      <c r="E816" s="5" t="s">
        <v>2356</v>
      </c>
      <c r="F816" s="5"/>
      <c r="G816" s="5"/>
      <c r="H816" s="6" t="str">
        <f aca="false">IF(N816="","",N816&amp;IF(AND(MOD(N816,100)&gt;=11,MOD(N816,100)&lt;=13),"th",CHOOSE(MIN(5,MOD(N816,10)+1),"th","st","nd","rd","th")))</f>
        <v/>
      </c>
      <c r="I816" s="5" t="s">
        <v>2331</v>
      </c>
      <c r="J816" s="6" t="n">
        <f aca="false">IFERROR(INDEX(Rounds!$A:$A,MATCH(I816,Rounds!$B:$B,0)),"ADD LEAGUE TO ROUNDS")</f>
        <v>8</v>
      </c>
      <c r="K816" s="6" t="n">
        <f aca="false">IFERROR(VALUE(LEFT(E816,FIND(" - ",E816)-1)),"")</f>
        <v>2</v>
      </c>
      <c r="L816" s="5"/>
      <c r="N816" s="6" t="str">
        <f aca="false">IF(F816="","",1+COUNTIFS($J:$J,J816,$K:$K,K816,$F:$F,"&gt;"&amp;F816)+COUNTIFS($J:$J,J816,$K:$K,K816,$F:$F,F816,$G:$G,"&gt;"&amp;G816))</f>
        <v/>
      </c>
      <c r="O816" s="6" t="str">
        <f aca="false">IF(L816="","",SUMIFS(Votes!$E:$E,Votes!$A:$A,J816,Votes!$B:$B,K816,Votes!$D:$D,L816))</f>
        <v/>
      </c>
      <c r="P816" s="6" t="str">
        <f aca="false">IF(L816="","",COUNTIFS(Votes!$A:$A,J816,Votes!$B:$B,K816,Votes!$D:$D,L816))</f>
        <v/>
      </c>
      <c r="Q816" s="7" t="str">
        <f aca="false">IF(F816="","Unscored",IF(O816="","No URI",IF(AND(F816=0,O816=0),"Zero-vote",IF(AND(F816=O816,G816=P816),"OK",IF(AND(F816=0,O816&gt;0,COUNTIFS(Votes!$A:$A,J816,Votes!$B:$B,K816,Votes!$C:$C,D816)=0),"Forfeited","Mismatch")))))</f>
        <v>Unscored</v>
      </c>
      <c r="R816" s="6" t="n">
        <f aca="false">MAX(IF(L816&lt;&gt;"",COUNTIF($L:$L,L816),0),COUNTIFS($A:$A,A816,$B:$B,B816))</f>
        <v>1</v>
      </c>
      <c r="S816" s="6" t="str">
        <f aca="false">IF(R816&gt;1,COUNTIF($R$2:R816,"&gt;1"),"")</f>
        <v/>
      </c>
      <c r="T816" s="6" t="str">
        <f aca="false">IF(L816="","",J816&amp;"|"&amp;K816&amp;"|"&amp;L816)</f>
        <v/>
      </c>
      <c r="U816" s="6" t="str">
        <f aca="false">IF(C816="","",IFERROR(INDEX(Lists!$F:$F,MATCH(C816,Lists!$E:$E,0)),"Unmapped"))</f>
        <v>Pop</v>
      </c>
    </row>
    <row r="817" customFormat="false" ht="15" hidden="false" customHeight="false" outlineLevel="0" collapsed="false">
      <c r="A817" s="5" t="s">
        <v>2376</v>
      </c>
      <c r="B817" s="5" t="s">
        <v>2377</v>
      </c>
      <c r="C817" s="5" t="s">
        <v>91</v>
      </c>
      <c r="D817" s="5"/>
      <c r="E817" s="5" t="s">
        <v>2356</v>
      </c>
      <c r="F817" s="5"/>
      <c r="G817" s="5"/>
      <c r="H817" s="6" t="str">
        <f aca="false">IF(N817="","",N817&amp;IF(AND(MOD(N817,100)&gt;=11,MOD(N817,100)&lt;=13),"th",CHOOSE(MIN(5,MOD(N817,10)+1),"th","st","nd","rd","th")))</f>
        <v/>
      </c>
      <c r="I817" s="5" t="s">
        <v>2331</v>
      </c>
      <c r="J817" s="6" t="n">
        <f aca="false">IFERROR(INDEX(Rounds!$A:$A,MATCH(I817,Rounds!$B:$B,0)),"ADD LEAGUE TO ROUNDS")</f>
        <v>8</v>
      </c>
      <c r="K817" s="6" t="n">
        <f aca="false">IFERROR(VALUE(LEFT(E817,FIND(" - ",E817)-1)),"")</f>
        <v>2</v>
      </c>
      <c r="L817" s="5"/>
      <c r="N817" s="6" t="str">
        <f aca="false">IF(F817="","",1+COUNTIFS($J:$J,J817,$K:$K,K817,$F:$F,"&gt;"&amp;F817)+COUNTIFS($J:$J,J817,$K:$K,K817,$F:$F,F817,$G:$G,"&gt;"&amp;G817))</f>
        <v/>
      </c>
      <c r="O817" s="6" t="str">
        <f aca="false">IF(L817="","",SUMIFS(Votes!$E:$E,Votes!$A:$A,J817,Votes!$B:$B,K817,Votes!$D:$D,L817))</f>
        <v/>
      </c>
      <c r="P817" s="6" t="str">
        <f aca="false">IF(L817="","",COUNTIFS(Votes!$A:$A,J817,Votes!$B:$B,K817,Votes!$D:$D,L817))</f>
        <v/>
      </c>
      <c r="Q817" s="7" t="str">
        <f aca="false">IF(F817="","Unscored",IF(O817="","No URI",IF(AND(F817=0,O817=0),"Zero-vote",IF(AND(F817=O817,G817=P817),"OK",IF(AND(F817=0,O817&gt;0,COUNTIFS(Votes!$A:$A,J817,Votes!$B:$B,K817,Votes!$C:$C,D817)=0),"Forfeited","Mismatch")))))</f>
        <v>Unscored</v>
      </c>
      <c r="R817" s="6" t="n">
        <f aca="false">MAX(IF(L817&lt;&gt;"",COUNTIF($L:$L,L817),0),COUNTIFS($A:$A,A817,$B:$B,B817))</f>
        <v>1</v>
      </c>
      <c r="S817" s="6" t="str">
        <f aca="false">IF(R817&gt;1,COUNTIF($R$2:R817,"&gt;1"),"")</f>
        <v/>
      </c>
      <c r="T817" s="6" t="str">
        <f aca="false">IF(L817="","",J817&amp;"|"&amp;K817&amp;"|"&amp;L817)</f>
        <v/>
      </c>
      <c r="U817" s="6" t="str">
        <f aca="false">IF(C817="","",IFERROR(INDEX(Lists!$F:$F,MATCH(C817,Lists!$E:$E,0)),"Unmapped"))</f>
        <v>Rock</v>
      </c>
    </row>
  </sheetData>
  <conditionalFormatting sqref="A2:A5000">
    <cfRule type="expression" priority="2" aboveAverage="0" equalAverage="0" bottom="0" percent="0" rank="0" text="" dxfId="10">
      <formula>AND($A2&lt;&gt;"",$R2&gt;1)</formula>
    </cfRule>
  </conditionalFormatting>
  <conditionalFormatting sqref="B2:B5000">
    <cfRule type="expression" priority="3" aboveAverage="0" equalAverage="0" bottom="0" percent="0" rank="0" text="" dxfId="11">
      <formula>AND($B2&lt;&gt;"",COUNTIF($B:$B,$B2)&gt;=4)</formula>
    </cfRule>
  </conditionalFormatting>
  <conditionalFormatting sqref="C2:C5000">
    <cfRule type="expression" priority="4" aboveAverage="0" equalAverage="0" bottom="0" percent="0" rank="0" text="" dxfId="1">
      <formula>AND($C2&lt;&gt;"",COUNTIF(Lists!$A:$A,$C2)=0)</formula>
    </cfRule>
  </conditionalFormatting>
  <conditionalFormatting sqref="Q2:Q5000">
    <cfRule type="expression" priority="5" aboveAverage="0" equalAverage="0" bottom="0" percent="0" rank="0" text="" dxfId="0">
      <formula>$Q2="Mismatch"</formula>
    </cfRule>
    <cfRule type="expression" priority="6" aboveAverage="0" equalAverage="0" bottom="0" percent="0" rank="0" text="" dxfId="12">
      <formula>$Q2="Forfeited"</formula>
    </cfRule>
    <cfRule type="expression" priority="7" aboveAverage="0" equalAverage="0" bottom="0" percent="0" rank="0" text="" dxfId="1">
      <formula>OR($Q2="Zero-vote",$Q2="No URI")</formula>
    </cfRule>
  </conditionalFormatting>
  <dataValidations count="2">
    <dataValidation allowBlank="true" error="This genre is not on the Lists tab. Add it there or pick from the list." errorStyle="warning" errorTitle="Genre not on list" operator="between" showDropDown="false" showErrorMessage="true" showInputMessage="false" sqref="C2:C1817" type="list">
      <formula1>Lists!$A$2:$A$60</formula1>
      <formula2>0</formula2>
    </dataValidation>
    <dataValidation allowBlank="true" error="Points must be a whole number, 0 or more." errorStyle="stop" operator="greaterThanOrEqual" showDropDown="false" showErrorMessage="true" showInputMessage="false" sqref="F2:G1817"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4"/>
    <col collapsed="false" customWidth="true" hidden="false" outlineLevel="0" max="4" min="4" style="0" width="40"/>
    <col collapsed="false" customWidth="true" hidden="false" outlineLevel="0" max="5" min="5" style="0" width="8"/>
    <col collapsed="false" customWidth="true" hidden="false" outlineLevel="0" max="6" min="6" style="0" width="10"/>
    <col collapsed="false" customWidth="true" hidden="false" outlineLevel="0" max="7" min="7" style="0" width="40"/>
    <col collapsed="false" customWidth="true" hidden="false" outlineLevel="0" max="8" min="8" style="0" width="26"/>
    <col collapsed="false" customWidth="true" hidden="false" outlineLevel="0" max="9" min="9" style="0" width="13"/>
    <col collapsed="false" customWidth="true" hidden="false" outlineLevel="0" max="10" min="10" style="0" width="12"/>
    <col collapsed="false" customWidth="true" hidden="false" outlineLevel="0" max="11" min="11" style="0" width="50"/>
  </cols>
  <sheetData>
    <row r="1" customFormat="false" ht="15" hidden="false" customHeight="false" outlineLevel="0" collapsed="false">
      <c r="A1" s="3" t="s">
        <v>70</v>
      </c>
      <c r="B1" s="3" t="s">
        <v>71</v>
      </c>
      <c r="C1" s="3" t="s">
        <v>2378</v>
      </c>
      <c r="D1" s="3" t="s">
        <v>72</v>
      </c>
      <c r="E1" s="3" t="s">
        <v>66</v>
      </c>
      <c r="F1" s="3" t="s">
        <v>2379</v>
      </c>
      <c r="G1" s="3" t="s">
        <v>61</v>
      </c>
      <c r="H1" s="3" t="s">
        <v>62</v>
      </c>
      <c r="I1" s="3" t="s">
        <v>64</v>
      </c>
      <c r="J1" s="3" t="s">
        <v>39</v>
      </c>
      <c r="K1" s="3" t="s">
        <v>2380</v>
      </c>
    </row>
    <row r="2" customFormat="false" ht="15" hidden="false" customHeight="false" outlineLevel="0" collapsed="false">
      <c r="A2" s="5" t="n">
        <v>1</v>
      </c>
      <c r="B2" s="5" t="n">
        <v>1</v>
      </c>
      <c r="C2" s="5" t="s">
        <v>111</v>
      </c>
      <c r="D2" s="5" t="s">
        <v>124</v>
      </c>
      <c r="E2" s="5" t="n">
        <v>2</v>
      </c>
      <c r="F2" s="6" t="n">
        <f aca="false">IFERROR(MATCH(A2&amp;"|"&amp;B2&amp;"|"&amp;D2,'All Song Rankings'!$T:$T,0),0)</f>
        <v>10</v>
      </c>
      <c r="G2" s="6" t="str">
        <f aca="false">IF(F2=0,"NOT FOUND",INDEX('All Song Rankings'!$A:$A,F2))</f>
        <v>Unwritten</v>
      </c>
      <c r="H2" s="6" t="str">
        <f aca="false">IF(F2=0,"NOT FOUND",INDEX('All Song Rankings'!$B:$B,F2))</f>
        <v>Natasha Bedingfield</v>
      </c>
      <c r="I2" s="6" t="str">
        <f aca="false">IF(F2=0,"NOT FOUND",INDEX('All Song Rankings'!$D:$D,F2))</f>
        <v>Olivia</v>
      </c>
      <c r="J2" s="7" t="str">
        <f aca="false">IF(F2=0,"NOT FOUND",IF(C2=I2,"SELF-VOTE",IF(COUNTIF($K:$K,K2)&gt;1,"DUPLICATE","OK")))</f>
        <v>OK</v>
      </c>
      <c r="K2" s="6" t="str">
        <f aca="false">A2&amp;"|"&amp;B2&amp;"|"&amp;C2&amp;"|"&amp;D2</f>
        <v>1|1|Collin|spotify:track:3U5JVgI2x4rDyHGObzJfNf</v>
      </c>
    </row>
    <row r="3" customFormat="false" ht="15" hidden="false" customHeight="false" outlineLevel="0" collapsed="false">
      <c r="A3" s="5" t="n">
        <v>1</v>
      </c>
      <c r="B3" s="5" t="n">
        <v>1</v>
      </c>
      <c r="C3" s="5" t="s">
        <v>111</v>
      </c>
      <c r="D3" s="5" t="s">
        <v>107</v>
      </c>
      <c r="E3" s="5" t="n">
        <v>5</v>
      </c>
      <c r="F3" s="6" t="n">
        <f aca="false">IFERROR(MATCH(A3&amp;"|"&amp;B3&amp;"|"&amp;D3,'All Song Rankings'!$T:$T,0),0)</f>
        <v>6</v>
      </c>
      <c r="G3" s="6" t="str">
        <f aca="false">IF(F3=0,"NOT FOUND",INDEX('All Song Rankings'!$A:$A,F3))</f>
        <v>Euclid</v>
      </c>
      <c r="H3" s="6" t="str">
        <f aca="false">IF(F3=0,"NOT FOUND",INDEX('All Song Rankings'!$B:$B,F3))</f>
        <v>Sleep Token</v>
      </c>
      <c r="I3" s="6" t="str">
        <f aca="false">IF(F3=0,"NOT FOUND",INDEX('All Song Rankings'!$D:$D,F3))</f>
        <v>Kristen</v>
      </c>
      <c r="J3" s="7" t="str">
        <f aca="false">IF(F3=0,"NOT FOUND",IF(C3=I3,"SELF-VOTE",IF(COUNTIF($K:$K,K3)&gt;1,"DUPLICATE","OK")))</f>
        <v>OK</v>
      </c>
      <c r="K3" s="6" t="str">
        <f aca="false">A3&amp;"|"&amp;B3&amp;"|"&amp;C3&amp;"|"&amp;D3</f>
        <v>1|1|Collin|spotify:track:3hZIvVYZWsuFpdWdXQFgKx</v>
      </c>
    </row>
    <row r="4" customFormat="false" ht="15" hidden="false" customHeight="false" outlineLevel="0" collapsed="false">
      <c r="A4" s="5" t="n">
        <v>1</v>
      </c>
      <c r="B4" s="5" t="n">
        <v>1</v>
      </c>
      <c r="C4" s="5" t="s">
        <v>111</v>
      </c>
      <c r="D4" s="5" t="s">
        <v>93</v>
      </c>
      <c r="E4" s="5" t="n">
        <v>1</v>
      </c>
      <c r="F4" s="6" t="n">
        <f aca="false">IFERROR(MATCH(A4&amp;"|"&amp;B4&amp;"|"&amp;D4,'All Song Rankings'!$T:$T,0),0)</f>
        <v>3</v>
      </c>
      <c r="G4" s="6" t="str">
        <f aca="false">IF(F4=0,"NOT FOUND",INDEX('All Song Rankings'!$A:$A,F4))</f>
        <v>Shut Up and Dance</v>
      </c>
      <c r="H4" s="6" t="str">
        <f aca="false">IF(F4=0,"NOT FOUND",INDEX('All Song Rankings'!$B:$B,F4))</f>
        <v>WALK THE MOON</v>
      </c>
      <c r="I4" s="6" t="str">
        <f aca="false">IF(F4=0,"NOT FOUND",INDEX('All Song Rankings'!$D:$D,F4))</f>
        <v>Nicole</v>
      </c>
      <c r="J4" s="7" t="str">
        <f aca="false">IF(F4=0,"NOT FOUND",IF(C4=I4,"SELF-VOTE",IF(COUNTIF($K:$K,K4)&gt;1,"DUPLICATE","OK")))</f>
        <v>OK</v>
      </c>
      <c r="K4" s="6" t="str">
        <f aca="false">A4&amp;"|"&amp;B4&amp;"|"&amp;C4&amp;"|"&amp;D4</f>
        <v>1|1|Collin|spotify:track:4kbj5MwxO1bq9wjT5g9HaA</v>
      </c>
    </row>
    <row r="5" customFormat="false" ht="15" hidden="false" customHeight="false" outlineLevel="0" collapsed="false">
      <c r="A5" s="5" t="n">
        <v>1</v>
      </c>
      <c r="B5" s="5" t="n">
        <v>1</v>
      </c>
      <c r="C5" s="5" t="s">
        <v>111</v>
      </c>
      <c r="D5" s="5" t="s">
        <v>88</v>
      </c>
      <c r="E5" s="5" t="n">
        <v>2</v>
      </c>
      <c r="F5" s="6" t="n">
        <f aca="false">IFERROR(MATCH(A5&amp;"|"&amp;B5&amp;"|"&amp;D5,'All Song Rankings'!$T:$T,0),0)</f>
        <v>2</v>
      </c>
      <c r="G5" s="6" t="str">
        <f aca="false">IF(F5=0,"NOT FOUND",INDEX('All Song Rankings'!$A:$A,F5))</f>
        <v>Love Me to Heaven</v>
      </c>
      <c r="H5" s="6" t="str">
        <f aca="false">IF(F5=0,"NOT FOUND",INDEX('All Song Rankings'!$B:$B,F5))</f>
        <v>Jonas Brothers</v>
      </c>
      <c r="I5" s="6" t="str">
        <f aca="false">IF(F5=0,"NOT FOUND",INDEX('All Song Rankings'!$D:$D,F5))</f>
        <v>Kelsey</v>
      </c>
      <c r="J5" s="7" t="str">
        <f aca="false">IF(F5=0,"NOT FOUND",IF(C5=I5,"SELF-VOTE",IF(COUNTIF($K:$K,K5)&gt;1,"DUPLICATE","OK")))</f>
        <v>OK</v>
      </c>
      <c r="K5" s="6" t="str">
        <f aca="false">A5&amp;"|"&amp;B5&amp;"|"&amp;C5&amp;"|"&amp;D5</f>
        <v>1|1|Collin|spotify:track:7usqgT1ajVAJ3s0wXePtRr</v>
      </c>
    </row>
    <row r="6" customFormat="false" ht="15" hidden="false" customHeight="false" outlineLevel="0" collapsed="false">
      <c r="A6" s="5" t="n">
        <v>1</v>
      </c>
      <c r="B6" s="5" t="n">
        <v>1</v>
      </c>
      <c r="C6" s="5" t="s">
        <v>85</v>
      </c>
      <c r="D6" s="5" t="s">
        <v>117</v>
      </c>
      <c r="E6" s="5" t="n">
        <v>1</v>
      </c>
      <c r="F6" s="6" t="n">
        <f aca="false">IFERROR(MATCH(A6&amp;"|"&amp;B6&amp;"|"&amp;D6,'All Song Rankings'!$T:$T,0),0)</f>
        <v>8</v>
      </c>
      <c r="G6" s="6" t="str">
        <f aca="false">IF(F6=0,"NOT FOUND",INDEX('All Song Rankings'!$A:$A,F6))</f>
        <v>Tous les mêmes</v>
      </c>
      <c r="H6" s="6" t="str">
        <f aca="false">IF(F6=0,"NOT FOUND",INDEX('All Song Rankings'!$B:$B,F6))</f>
        <v>Stromae</v>
      </c>
      <c r="I6" s="6" t="str">
        <f aca="false">IF(F6=0,"NOT FOUND",INDEX('All Song Rankings'!$D:$D,F6))</f>
        <v>Matt</v>
      </c>
      <c r="J6" s="7" t="str">
        <f aca="false">IF(F6=0,"NOT FOUND",IF(C6=I6,"SELF-VOTE",IF(COUNTIF($K:$K,K6)&gt;1,"DUPLICATE","OK")))</f>
        <v>OK</v>
      </c>
      <c r="K6" s="6" t="str">
        <f aca="false">A6&amp;"|"&amp;B6&amp;"|"&amp;C6&amp;"|"&amp;D6</f>
        <v>1|1|Kelsey|spotify:track:1GC1MIaRMW3kfVK9VyD5Ii</v>
      </c>
    </row>
    <row r="7" customFormat="false" ht="15" hidden="false" customHeight="false" outlineLevel="0" collapsed="false">
      <c r="A7" s="5" t="n">
        <v>1</v>
      </c>
      <c r="B7" s="5" t="n">
        <v>1</v>
      </c>
      <c r="C7" s="5" t="s">
        <v>85</v>
      </c>
      <c r="D7" s="5" t="s">
        <v>102</v>
      </c>
      <c r="E7" s="5" t="n">
        <v>1</v>
      </c>
      <c r="F7" s="6" t="n">
        <f aca="false">IFERROR(MATCH(A7&amp;"|"&amp;B7&amp;"|"&amp;D7,'All Song Rankings'!$T:$T,0),0)</f>
        <v>5</v>
      </c>
      <c r="G7" s="6" t="str">
        <f aca="false">IF(F7=0,"NOT FOUND",INDEX('All Song Rankings'!$A:$A,F7))</f>
        <v>Lonely Heart</v>
      </c>
      <c r="H7" s="6" t="str">
        <f aca="false">IF(F7=0,"NOT FOUND",INDEX('All Song Rankings'!$B:$B,F7))</f>
        <v>5 Seconds of Summer</v>
      </c>
      <c r="I7" s="6" t="str">
        <f aca="false">IF(F7=0,"NOT FOUND",INDEX('All Song Rankings'!$D:$D,F7))</f>
        <v>Merita</v>
      </c>
      <c r="J7" s="7" t="str">
        <f aca="false">IF(F7=0,"NOT FOUND",IF(C7=I7,"SELF-VOTE",IF(COUNTIF($K:$K,K7)&gt;1,"DUPLICATE","OK")))</f>
        <v>OK</v>
      </c>
      <c r="K7" s="6" t="str">
        <f aca="false">A7&amp;"|"&amp;B7&amp;"|"&amp;C7&amp;"|"&amp;D7</f>
        <v>1|1|Kelsey|spotify:track:1MAXdOA4Dtz6eJMz0nEq2H</v>
      </c>
    </row>
    <row r="8" customFormat="false" ht="15" hidden="false" customHeight="false" outlineLevel="0" collapsed="false">
      <c r="A8" s="5" t="n">
        <v>1</v>
      </c>
      <c r="B8" s="5" t="n">
        <v>1</v>
      </c>
      <c r="C8" s="5" t="s">
        <v>85</v>
      </c>
      <c r="D8" s="5" t="s">
        <v>129</v>
      </c>
      <c r="E8" s="5" t="n">
        <v>1</v>
      </c>
      <c r="F8" s="6" t="n">
        <f aca="false">IFERROR(MATCH(A8&amp;"|"&amp;B8&amp;"|"&amp;D8,'All Song Rankings'!$T:$T,0),0)</f>
        <v>11</v>
      </c>
      <c r="G8" s="6" t="str">
        <f aca="false">IF(F8=0,"NOT FOUND",INDEX('All Song Rankings'!$A:$A,F8))</f>
        <v>Moon River</v>
      </c>
      <c r="H8" s="6" t="str">
        <f aca="false">IF(F8=0,"NOT FOUND",INDEX('All Song Rankings'!$B:$B,F8))</f>
        <v>Audrey Hepburn</v>
      </c>
      <c r="I8" s="6" t="str">
        <f aca="false">IF(F8=0,"NOT FOUND",INDEX('All Song Rankings'!$D:$D,F8))</f>
        <v>Logan</v>
      </c>
      <c r="J8" s="7" t="str">
        <f aca="false">IF(F8=0,"NOT FOUND",IF(C8=I8,"SELF-VOTE",IF(COUNTIF($K:$K,K8)&gt;1,"DUPLICATE","OK")))</f>
        <v>OK</v>
      </c>
      <c r="K8" s="6" t="str">
        <f aca="false">A8&amp;"|"&amp;B8&amp;"|"&amp;C8&amp;"|"&amp;D8</f>
        <v>1|1|Kelsey|spotify:track:1XwAKjAZ1xDZOcuyZoqce4</v>
      </c>
    </row>
    <row r="9" customFormat="false" ht="15" hidden="false" customHeight="false" outlineLevel="0" collapsed="false">
      <c r="A9" s="5" t="n">
        <v>1</v>
      </c>
      <c r="B9" s="5" t="n">
        <v>1</v>
      </c>
      <c r="C9" s="5" t="s">
        <v>85</v>
      </c>
      <c r="D9" s="5" t="s">
        <v>124</v>
      </c>
      <c r="E9" s="5" t="n">
        <v>1</v>
      </c>
      <c r="F9" s="6" t="n">
        <f aca="false">IFERROR(MATCH(A9&amp;"|"&amp;B9&amp;"|"&amp;D9,'All Song Rankings'!$T:$T,0),0)</f>
        <v>10</v>
      </c>
      <c r="G9" s="6" t="str">
        <f aca="false">IF(F9=0,"NOT FOUND",INDEX('All Song Rankings'!$A:$A,F9))</f>
        <v>Unwritten</v>
      </c>
      <c r="H9" s="6" t="str">
        <f aca="false">IF(F9=0,"NOT FOUND",INDEX('All Song Rankings'!$B:$B,F9))</f>
        <v>Natasha Bedingfield</v>
      </c>
      <c r="I9" s="6" t="str">
        <f aca="false">IF(F9=0,"NOT FOUND",INDEX('All Song Rankings'!$D:$D,F9))</f>
        <v>Olivia</v>
      </c>
      <c r="J9" s="7" t="str">
        <f aca="false">IF(F9=0,"NOT FOUND",IF(C9=I9,"SELF-VOTE",IF(COUNTIF($K:$K,K9)&gt;1,"DUPLICATE","OK")))</f>
        <v>OK</v>
      </c>
      <c r="K9" s="6" t="str">
        <f aca="false">A9&amp;"|"&amp;B9&amp;"|"&amp;C9&amp;"|"&amp;D9</f>
        <v>1|1|Kelsey|spotify:track:3U5JVgI2x4rDyHGObzJfNf</v>
      </c>
    </row>
    <row r="10" customFormat="false" ht="15" hidden="false" customHeight="false" outlineLevel="0" collapsed="false">
      <c r="A10" s="5" t="n">
        <v>1</v>
      </c>
      <c r="B10" s="5" t="n">
        <v>1</v>
      </c>
      <c r="C10" s="5" t="s">
        <v>85</v>
      </c>
      <c r="D10" s="5" t="s">
        <v>107</v>
      </c>
      <c r="E10" s="5" t="n">
        <v>1</v>
      </c>
      <c r="F10" s="6" t="n">
        <f aca="false">IFERROR(MATCH(A10&amp;"|"&amp;B10&amp;"|"&amp;D10,'All Song Rankings'!$T:$T,0),0)</f>
        <v>6</v>
      </c>
      <c r="G10" s="6" t="str">
        <f aca="false">IF(F10=0,"NOT FOUND",INDEX('All Song Rankings'!$A:$A,F10))</f>
        <v>Euclid</v>
      </c>
      <c r="H10" s="6" t="str">
        <f aca="false">IF(F10=0,"NOT FOUND",INDEX('All Song Rankings'!$B:$B,F10))</f>
        <v>Sleep Token</v>
      </c>
      <c r="I10" s="6" t="str">
        <f aca="false">IF(F10=0,"NOT FOUND",INDEX('All Song Rankings'!$D:$D,F10))</f>
        <v>Kristen</v>
      </c>
      <c r="J10" s="7" t="str">
        <f aca="false">IF(F10=0,"NOT FOUND",IF(C10=I10,"SELF-VOTE",IF(COUNTIF($K:$K,K10)&gt;1,"DUPLICATE","OK")))</f>
        <v>OK</v>
      </c>
      <c r="K10" s="6" t="str">
        <f aca="false">A10&amp;"|"&amp;B10&amp;"|"&amp;C10&amp;"|"&amp;D10</f>
        <v>1|1|Kelsey|spotify:track:3hZIvVYZWsuFpdWdXQFgKx</v>
      </c>
    </row>
    <row r="11" customFormat="false" ht="15" hidden="false" customHeight="false" outlineLevel="0" collapsed="false">
      <c r="A11" s="5" t="n">
        <v>1</v>
      </c>
      <c r="B11" s="5" t="n">
        <v>1</v>
      </c>
      <c r="C11" s="5" t="s">
        <v>85</v>
      </c>
      <c r="D11" s="5" t="s">
        <v>93</v>
      </c>
      <c r="E11" s="5" t="n">
        <v>2</v>
      </c>
      <c r="F11" s="6" t="n">
        <f aca="false">IFERROR(MATCH(A11&amp;"|"&amp;B11&amp;"|"&amp;D11,'All Song Rankings'!$T:$T,0),0)</f>
        <v>3</v>
      </c>
      <c r="G11" s="6" t="str">
        <f aca="false">IF(F11=0,"NOT FOUND",INDEX('All Song Rankings'!$A:$A,F11))</f>
        <v>Shut Up and Dance</v>
      </c>
      <c r="H11" s="6" t="str">
        <f aca="false">IF(F11=0,"NOT FOUND",INDEX('All Song Rankings'!$B:$B,F11))</f>
        <v>WALK THE MOON</v>
      </c>
      <c r="I11" s="6" t="str">
        <f aca="false">IF(F11=0,"NOT FOUND",INDEX('All Song Rankings'!$D:$D,F11))</f>
        <v>Nicole</v>
      </c>
      <c r="J11" s="7" t="str">
        <f aca="false">IF(F11=0,"NOT FOUND",IF(C11=I11,"SELF-VOTE",IF(COUNTIF($K:$K,K11)&gt;1,"DUPLICATE","OK")))</f>
        <v>OK</v>
      </c>
      <c r="K11" s="6" t="str">
        <f aca="false">A11&amp;"|"&amp;B11&amp;"|"&amp;C11&amp;"|"&amp;D11</f>
        <v>1|1|Kelsey|spotify:track:4kbj5MwxO1bq9wjT5g9HaA</v>
      </c>
    </row>
    <row r="12" customFormat="false" ht="15" hidden="false" customHeight="false" outlineLevel="0" collapsed="false">
      <c r="A12" s="5" t="n">
        <v>1</v>
      </c>
      <c r="B12" s="5" t="n">
        <v>1</v>
      </c>
      <c r="C12" s="5" t="s">
        <v>85</v>
      </c>
      <c r="D12" s="5" t="s">
        <v>112</v>
      </c>
      <c r="E12" s="5" t="n">
        <v>1</v>
      </c>
      <c r="F12" s="6" t="n">
        <f aca="false">IFERROR(MATCH(A12&amp;"|"&amp;B12&amp;"|"&amp;D12,'All Song Rankings'!$T:$T,0),0)</f>
        <v>7</v>
      </c>
      <c r="G12" s="6" t="str">
        <f aca="false">IF(F12=0,"NOT FOUND",INDEX('All Song Rankings'!$A:$A,F12))</f>
        <v>By My Side</v>
      </c>
      <c r="H12" s="6" t="str">
        <f aca="false">IF(F12=0,"NOT FOUND",INDEX('All Song Rankings'!$B:$B,F12))</f>
        <v>Connor Price</v>
      </c>
      <c r="I12" s="6" t="str">
        <f aca="false">IF(F12=0,"NOT FOUND",INDEX('All Song Rankings'!$D:$D,F12))</f>
        <v>Collin</v>
      </c>
      <c r="J12" s="7" t="str">
        <f aca="false">IF(F12=0,"NOT FOUND",IF(C12=I12,"SELF-VOTE",IF(COUNTIF($K:$K,K12)&gt;1,"DUPLICATE","OK")))</f>
        <v>OK</v>
      </c>
      <c r="K12" s="6" t="str">
        <f aca="false">A12&amp;"|"&amp;B12&amp;"|"&amp;C12&amp;"|"&amp;D12</f>
        <v>1|1|Kelsey|spotify:track:5FtOZv6MB6IWL2DneVYvoe</v>
      </c>
    </row>
    <row r="13" customFormat="false" ht="15" hidden="false" customHeight="false" outlineLevel="0" collapsed="false">
      <c r="A13" s="5" t="n">
        <v>1</v>
      </c>
      <c r="B13" s="5" t="n">
        <v>1</v>
      </c>
      <c r="C13" s="5" t="s">
        <v>85</v>
      </c>
      <c r="D13" s="5" t="s">
        <v>134</v>
      </c>
      <c r="E13" s="5" t="n">
        <v>1</v>
      </c>
      <c r="F13" s="6" t="n">
        <f aca="false">IFERROR(MATCH(A13&amp;"|"&amp;B13&amp;"|"&amp;D13,'All Song Rankings'!$T:$T,0),0)</f>
        <v>12</v>
      </c>
      <c r="G13" s="6" t="str">
        <f aca="false">IF(F13=0,"NOT FOUND",INDEX('All Song Rankings'!$A:$A,F13))</f>
        <v>At the Beginning</v>
      </c>
      <c r="H13" s="6" t="str">
        <f aca="false">IF(F13=0,"NOT FOUND",INDEX('All Song Rankings'!$B:$B,F13))</f>
        <v>Hollywood Sound Stars</v>
      </c>
      <c r="I13" s="6" t="str">
        <f aca="false">IF(F13=0,"NOT FOUND",INDEX('All Song Rankings'!$D:$D,F13))</f>
        <v>Maryann</v>
      </c>
      <c r="J13" s="7" t="str">
        <f aca="false">IF(F13=0,"NOT FOUND",IF(C13=I13,"SELF-VOTE",IF(COUNTIF($K:$K,K13)&gt;1,"DUPLICATE","OK")))</f>
        <v>OK</v>
      </c>
      <c r="K13" s="6" t="str">
        <f aca="false">A13&amp;"|"&amp;B13&amp;"|"&amp;C13&amp;"|"&amp;D13</f>
        <v>1|1|Kelsey|spotify:track:5Qn0AlYJHOKogfbE36or9V</v>
      </c>
    </row>
    <row r="14" customFormat="false" ht="15" hidden="false" customHeight="false" outlineLevel="0" collapsed="false">
      <c r="A14" s="5" t="n">
        <v>1</v>
      </c>
      <c r="B14" s="5" t="n">
        <v>1</v>
      </c>
      <c r="C14" s="5" t="s">
        <v>85</v>
      </c>
      <c r="D14" s="5" t="s">
        <v>98</v>
      </c>
      <c r="E14" s="5" t="n">
        <v>1</v>
      </c>
      <c r="F14" s="6" t="n">
        <f aca="false">IFERROR(MATCH(A14&amp;"|"&amp;B14&amp;"|"&amp;D14,'All Song Rankings'!$T:$T,0),0)</f>
        <v>4</v>
      </c>
      <c r="G14" s="6" t="str">
        <f aca="false">IF(F14=0,"NOT FOUND",INDEX('All Song Rankings'!$A:$A,F14))</f>
        <v>Fantasy</v>
      </c>
      <c r="H14" s="6" t="str">
        <f aca="false">IF(F14=0,"NOT FOUND",INDEX('All Song Rankings'!$B:$B,F14))</f>
        <v>Mariah Carey</v>
      </c>
      <c r="I14" s="6" t="str">
        <f aca="false">IF(F14=0,"NOT FOUND",INDEX('All Song Rankings'!$D:$D,F14))</f>
        <v>Stephanie</v>
      </c>
      <c r="J14" s="7" t="str">
        <f aca="false">IF(F14=0,"NOT FOUND",IF(C14=I14,"SELF-VOTE",IF(COUNTIF($K:$K,K14)&gt;1,"DUPLICATE","OK")))</f>
        <v>OK</v>
      </c>
      <c r="K14" s="6" t="str">
        <f aca="false">A14&amp;"|"&amp;B14&amp;"|"&amp;C14&amp;"|"&amp;D14</f>
        <v>1|1|Kelsey|spotify:track:6xkryXuiZU360Lngd4sx13</v>
      </c>
    </row>
    <row r="15" customFormat="false" ht="15" hidden="false" customHeight="false" outlineLevel="0" collapsed="false">
      <c r="A15" s="5" t="n">
        <v>1</v>
      </c>
      <c r="B15" s="5" t="n">
        <v>1</v>
      </c>
      <c r="C15" s="5" t="s">
        <v>106</v>
      </c>
      <c r="D15" s="5" t="s">
        <v>117</v>
      </c>
      <c r="E15" s="5" t="n">
        <v>1</v>
      </c>
      <c r="F15" s="6" t="n">
        <f aca="false">IFERROR(MATCH(A15&amp;"|"&amp;B15&amp;"|"&amp;D15,'All Song Rankings'!$T:$T,0),0)</f>
        <v>8</v>
      </c>
      <c r="G15" s="6" t="str">
        <f aca="false">IF(F15=0,"NOT FOUND",INDEX('All Song Rankings'!$A:$A,F15))</f>
        <v>Tous les mêmes</v>
      </c>
      <c r="H15" s="6" t="str">
        <f aca="false">IF(F15=0,"NOT FOUND",INDEX('All Song Rankings'!$B:$B,F15))</f>
        <v>Stromae</v>
      </c>
      <c r="I15" s="6" t="str">
        <f aca="false">IF(F15=0,"NOT FOUND",INDEX('All Song Rankings'!$D:$D,F15))</f>
        <v>Matt</v>
      </c>
      <c r="J15" s="7" t="str">
        <f aca="false">IF(F15=0,"NOT FOUND",IF(C15=I15,"SELF-VOTE",IF(COUNTIF($K:$K,K15)&gt;1,"DUPLICATE","OK")))</f>
        <v>OK</v>
      </c>
      <c r="K15" s="6" t="str">
        <f aca="false">A15&amp;"|"&amp;B15&amp;"|"&amp;C15&amp;"|"&amp;D15</f>
        <v>1|1|Kristen|spotify:track:1GC1MIaRMW3kfVK9VyD5Ii</v>
      </c>
    </row>
    <row r="16" customFormat="false" ht="15" hidden="false" customHeight="false" outlineLevel="0" collapsed="false">
      <c r="A16" s="5" t="n">
        <v>1</v>
      </c>
      <c r="B16" s="5" t="n">
        <v>1</v>
      </c>
      <c r="C16" s="5" t="s">
        <v>106</v>
      </c>
      <c r="D16" s="5" t="s">
        <v>102</v>
      </c>
      <c r="E16" s="5" t="n">
        <v>3</v>
      </c>
      <c r="F16" s="6" t="n">
        <f aca="false">IFERROR(MATCH(A16&amp;"|"&amp;B16&amp;"|"&amp;D16,'All Song Rankings'!$T:$T,0),0)</f>
        <v>5</v>
      </c>
      <c r="G16" s="6" t="str">
        <f aca="false">IF(F16=0,"NOT FOUND",INDEX('All Song Rankings'!$A:$A,F16))</f>
        <v>Lonely Heart</v>
      </c>
      <c r="H16" s="6" t="str">
        <f aca="false">IF(F16=0,"NOT FOUND",INDEX('All Song Rankings'!$B:$B,F16))</f>
        <v>5 Seconds of Summer</v>
      </c>
      <c r="I16" s="6" t="str">
        <f aca="false">IF(F16=0,"NOT FOUND",INDEX('All Song Rankings'!$D:$D,F16))</f>
        <v>Merita</v>
      </c>
      <c r="J16" s="7" t="str">
        <f aca="false">IF(F16=0,"NOT FOUND",IF(C16=I16,"SELF-VOTE",IF(COUNTIF($K:$K,K16)&gt;1,"DUPLICATE","OK")))</f>
        <v>OK</v>
      </c>
      <c r="K16" s="6" t="str">
        <f aca="false">A16&amp;"|"&amp;B16&amp;"|"&amp;C16&amp;"|"&amp;D16</f>
        <v>1|1|Kristen|spotify:track:1MAXdOA4Dtz6eJMz0nEq2H</v>
      </c>
    </row>
    <row r="17" customFormat="false" ht="15" hidden="false" customHeight="false" outlineLevel="0" collapsed="false">
      <c r="A17" s="5" t="n">
        <v>1</v>
      </c>
      <c r="B17" s="5" t="n">
        <v>1</v>
      </c>
      <c r="C17" s="5" t="s">
        <v>106</v>
      </c>
      <c r="D17" s="5" t="s">
        <v>93</v>
      </c>
      <c r="E17" s="5" t="n">
        <v>1</v>
      </c>
      <c r="F17" s="6" t="n">
        <f aca="false">IFERROR(MATCH(A17&amp;"|"&amp;B17&amp;"|"&amp;D17,'All Song Rankings'!$T:$T,0),0)</f>
        <v>3</v>
      </c>
      <c r="G17" s="6" t="str">
        <f aca="false">IF(F17=0,"NOT FOUND",INDEX('All Song Rankings'!$A:$A,F17))</f>
        <v>Shut Up and Dance</v>
      </c>
      <c r="H17" s="6" t="str">
        <f aca="false">IF(F17=0,"NOT FOUND",INDEX('All Song Rankings'!$B:$B,F17))</f>
        <v>WALK THE MOON</v>
      </c>
      <c r="I17" s="6" t="str">
        <f aca="false">IF(F17=0,"NOT FOUND",INDEX('All Song Rankings'!$D:$D,F17))</f>
        <v>Nicole</v>
      </c>
      <c r="J17" s="7" t="str">
        <f aca="false">IF(F17=0,"NOT FOUND",IF(C17=I17,"SELF-VOTE",IF(COUNTIF($K:$K,K17)&gt;1,"DUPLICATE","OK")))</f>
        <v>OK</v>
      </c>
      <c r="K17" s="6" t="str">
        <f aca="false">A17&amp;"|"&amp;B17&amp;"|"&amp;C17&amp;"|"&amp;D17</f>
        <v>1|1|Kristen|spotify:track:4kbj5MwxO1bq9wjT5g9HaA</v>
      </c>
    </row>
    <row r="18" customFormat="false" ht="15" hidden="false" customHeight="false" outlineLevel="0" collapsed="false">
      <c r="A18" s="5" t="n">
        <v>1</v>
      </c>
      <c r="B18" s="5" t="n">
        <v>1</v>
      </c>
      <c r="C18" s="5" t="s">
        <v>106</v>
      </c>
      <c r="D18" s="5" t="s">
        <v>120</v>
      </c>
      <c r="E18" s="5" t="n">
        <v>3</v>
      </c>
      <c r="F18" s="6" t="n">
        <f aca="false">IFERROR(MATCH(A18&amp;"|"&amp;B18&amp;"|"&amp;D18,'All Song Rankings'!$T:$T,0),0)</f>
        <v>9</v>
      </c>
      <c r="G18" s="6" t="str">
        <f aca="false">IF(F18=0,"NOT FOUND",INDEX('All Song Rankings'!$A:$A,F18))</f>
        <v>Granite</v>
      </c>
      <c r="H18" s="6" t="str">
        <f aca="false">IF(F18=0,"NOT FOUND",INDEX('All Song Rankings'!$B:$B,F18))</f>
        <v>Sleep Token</v>
      </c>
      <c r="I18" s="6" t="str">
        <f aca="false">IF(F18=0,"NOT FOUND",INDEX('All Song Rankings'!$D:$D,F18))</f>
        <v>Leah</v>
      </c>
      <c r="J18" s="7" t="str">
        <f aca="false">IF(F18=0,"NOT FOUND",IF(C18=I18,"SELF-VOTE",IF(COUNTIF($K:$K,K18)&gt;1,"DUPLICATE","OK")))</f>
        <v>OK</v>
      </c>
      <c r="K18" s="6" t="str">
        <f aca="false">A18&amp;"|"&amp;B18&amp;"|"&amp;C18&amp;"|"&amp;D18</f>
        <v>1|1|Kristen|spotify:track:4mxiv6HQfhqgIuN5iOONQd</v>
      </c>
    </row>
    <row r="19" customFormat="false" ht="15" hidden="false" customHeight="false" outlineLevel="0" collapsed="false">
      <c r="A19" s="5" t="n">
        <v>1</v>
      </c>
      <c r="B19" s="5" t="n">
        <v>1</v>
      </c>
      <c r="C19" s="5" t="s">
        <v>106</v>
      </c>
      <c r="D19" s="5" t="s">
        <v>112</v>
      </c>
      <c r="E19" s="5" t="n">
        <v>1</v>
      </c>
      <c r="F19" s="6" t="n">
        <f aca="false">IFERROR(MATCH(A19&amp;"|"&amp;B19&amp;"|"&amp;D19,'All Song Rankings'!$T:$T,0),0)</f>
        <v>7</v>
      </c>
      <c r="G19" s="6" t="str">
        <f aca="false">IF(F19=0,"NOT FOUND",INDEX('All Song Rankings'!$A:$A,F19))</f>
        <v>By My Side</v>
      </c>
      <c r="H19" s="6" t="str">
        <f aca="false">IF(F19=0,"NOT FOUND",INDEX('All Song Rankings'!$B:$B,F19))</f>
        <v>Connor Price</v>
      </c>
      <c r="I19" s="6" t="str">
        <f aca="false">IF(F19=0,"NOT FOUND",INDEX('All Song Rankings'!$D:$D,F19))</f>
        <v>Collin</v>
      </c>
      <c r="J19" s="7" t="str">
        <f aca="false">IF(F19=0,"NOT FOUND",IF(C19=I19,"SELF-VOTE",IF(COUNTIF($K:$K,K19)&gt;1,"DUPLICATE","OK")))</f>
        <v>OK</v>
      </c>
      <c r="K19" s="6" t="str">
        <f aca="false">A19&amp;"|"&amp;B19&amp;"|"&amp;C19&amp;"|"&amp;D19</f>
        <v>1|1|Kristen|spotify:track:5FtOZv6MB6IWL2DneVYvoe</v>
      </c>
    </row>
    <row r="20" customFormat="false" ht="15" hidden="false" customHeight="false" outlineLevel="0" collapsed="false">
      <c r="A20" s="5" t="n">
        <v>1</v>
      </c>
      <c r="B20" s="5" t="n">
        <v>1</v>
      </c>
      <c r="C20" s="5" t="s">
        <v>106</v>
      </c>
      <c r="D20" s="5" t="s">
        <v>88</v>
      </c>
      <c r="E20" s="5" t="n">
        <v>1</v>
      </c>
      <c r="F20" s="6" t="n">
        <f aca="false">IFERROR(MATCH(A20&amp;"|"&amp;B20&amp;"|"&amp;D20,'All Song Rankings'!$T:$T,0),0)</f>
        <v>2</v>
      </c>
      <c r="G20" s="6" t="str">
        <f aca="false">IF(F20=0,"NOT FOUND",INDEX('All Song Rankings'!$A:$A,F20))</f>
        <v>Love Me to Heaven</v>
      </c>
      <c r="H20" s="6" t="str">
        <f aca="false">IF(F20=0,"NOT FOUND",INDEX('All Song Rankings'!$B:$B,F20))</f>
        <v>Jonas Brothers</v>
      </c>
      <c r="I20" s="6" t="str">
        <f aca="false">IF(F20=0,"NOT FOUND",INDEX('All Song Rankings'!$D:$D,F20))</f>
        <v>Kelsey</v>
      </c>
      <c r="J20" s="7" t="str">
        <f aca="false">IF(F20=0,"NOT FOUND",IF(C20=I20,"SELF-VOTE",IF(COUNTIF($K:$K,K20)&gt;1,"DUPLICATE","OK")))</f>
        <v>OK</v>
      </c>
      <c r="K20" s="6" t="str">
        <f aca="false">A20&amp;"|"&amp;B20&amp;"|"&amp;C20&amp;"|"&amp;D20</f>
        <v>1|1|Kristen|spotify:track:7usqgT1ajVAJ3s0wXePtRr</v>
      </c>
    </row>
    <row r="21" customFormat="false" ht="15" hidden="false" customHeight="false" outlineLevel="0" collapsed="false">
      <c r="A21" s="5" t="n">
        <v>1</v>
      </c>
      <c r="B21" s="5" t="n">
        <v>1</v>
      </c>
      <c r="C21" s="5" t="s">
        <v>119</v>
      </c>
      <c r="D21" s="5" t="s">
        <v>117</v>
      </c>
      <c r="E21" s="5" t="n">
        <v>1</v>
      </c>
      <c r="F21" s="6" t="n">
        <f aca="false">IFERROR(MATCH(A21&amp;"|"&amp;B21&amp;"|"&amp;D21,'All Song Rankings'!$T:$T,0),0)</f>
        <v>8</v>
      </c>
      <c r="G21" s="6" t="str">
        <f aca="false">IF(F21=0,"NOT FOUND",INDEX('All Song Rankings'!$A:$A,F21))</f>
        <v>Tous les mêmes</v>
      </c>
      <c r="H21" s="6" t="str">
        <f aca="false">IF(F21=0,"NOT FOUND",INDEX('All Song Rankings'!$B:$B,F21))</f>
        <v>Stromae</v>
      </c>
      <c r="I21" s="6" t="str">
        <f aca="false">IF(F21=0,"NOT FOUND",INDEX('All Song Rankings'!$D:$D,F21))</f>
        <v>Matt</v>
      </c>
      <c r="J21" s="7" t="str">
        <f aca="false">IF(F21=0,"NOT FOUND",IF(C21=I21,"SELF-VOTE",IF(COUNTIF($K:$K,K21)&gt;1,"DUPLICATE","OK")))</f>
        <v>OK</v>
      </c>
      <c r="K21" s="6" t="str">
        <f aca="false">A21&amp;"|"&amp;B21&amp;"|"&amp;C21&amp;"|"&amp;D21</f>
        <v>1|1|Leah|spotify:track:1GC1MIaRMW3kfVK9VyD5Ii</v>
      </c>
    </row>
    <row r="22" customFormat="false" ht="15" hidden="false" customHeight="false" outlineLevel="0" collapsed="false">
      <c r="A22" s="5" t="n">
        <v>1</v>
      </c>
      <c r="B22" s="5" t="n">
        <v>1</v>
      </c>
      <c r="C22" s="5" t="s">
        <v>119</v>
      </c>
      <c r="D22" s="5" t="s">
        <v>102</v>
      </c>
      <c r="E22" s="5" t="n">
        <v>2</v>
      </c>
      <c r="F22" s="6" t="n">
        <f aca="false">IFERROR(MATCH(A22&amp;"|"&amp;B22&amp;"|"&amp;D22,'All Song Rankings'!$T:$T,0),0)</f>
        <v>5</v>
      </c>
      <c r="G22" s="6" t="str">
        <f aca="false">IF(F22=0,"NOT FOUND",INDEX('All Song Rankings'!$A:$A,F22))</f>
        <v>Lonely Heart</v>
      </c>
      <c r="H22" s="6" t="str">
        <f aca="false">IF(F22=0,"NOT FOUND",INDEX('All Song Rankings'!$B:$B,F22))</f>
        <v>5 Seconds of Summer</v>
      </c>
      <c r="I22" s="6" t="str">
        <f aca="false">IF(F22=0,"NOT FOUND",INDEX('All Song Rankings'!$D:$D,F22))</f>
        <v>Merita</v>
      </c>
      <c r="J22" s="7" t="str">
        <f aca="false">IF(F22=0,"NOT FOUND",IF(C22=I22,"SELF-VOTE",IF(COUNTIF($K:$K,K22)&gt;1,"DUPLICATE","OK")))</f>
        <v>OK</v>
      </c>
      <c r="K22" s="6" t="str">
        <f aca="false">A22&amp;"|"&amp;B22&amp;"|"&amp;C22&amp;"|"&amp;D22</f>
        <v>1|1|Leah|spotify:track:1MAXdOA4Dtz6eJMz0nEq2H</v>
      </c>
    </row>
    <row r="23" customFormat="false" ht="15" hidden="false" customHeight="false" outlineLevel="0" collapsed="false">
      <c r="A23" s="5" t="n">
        <v>1</v>
      </c>
      <c r="B23" s="5" t="n">
        <v>1</v>
      </c>
      <c r="C23" s="5" t="s">
        <v>119</v>
      </c>
      <c r="D23" s="5" t="s">
        <v>107</v>
      </c>
      <c r="E23" s="5" t="n">
        <v>2</v>
      </c>
      <c r="F23" s="6" t="n">
        <f aca="false">IFERROR(MATCH(A23&amp;"|"&amp;B23&amp;"|"&amp;D23,'All Song Rankings'!$T:$T,0),0)</f>
        <v>6</v>
      </c>
      <c r="G23" s="6" t="str">
        <f aca="false">IF(F23=0,"NOT FOUND",INDEX('All Song Rankings'!$A:$A,F23))</f>
        <v>Euclid</v>
      </c>
      <c r="H23" s="6" t="str">
        <f aca="false">IF(F23=0,"NOT FOUND",INDEX('All Song Rankings'!$B:$B,F23))</f>
        <v>Sleep Token</v>
      </c>
      <c r="I23" s="6" t="str">
        <f aca="false">IF(F23=0,"NOT FOUND",INDEX('All Song Rankings'!$D:$D,F23))</f>
        <v>Kristen</v>
      </c>
      <c r="J23" s="7" t="str">
        <f aca="false">IF(F23=0,"NOT FOUND",IF(C23=I23,"SELF-VOTE",IF(COUNTIF($K:$K,K23)&gt;1,"DUPLICATE","OK")))</f>
        <v>OK</v>
      </c>
      <c r="K23" s="6" t="str">
        <f aca="false">A23&amp;"|"&amp;B23&amp;"|"&amp;C23&amp;"|"&amp;D23</f>
        <v>1|1|Leah|spotify:track:3hZIvVYZWsuFpdWdXQFgKx</v>
      </c>
    </row>
    <row r="24" customFormat="false" ht="15" hidden="false" customHeight="false" outlineLevel="0" collapsed="false">
      <c r="A24" s="5" t="n">
        <v>1</v>
      </c>
      <c r="B24" s="5" t="n">
        <v>1</v>
      </c>
      <c r="C24" s="5" t="s">
        <v>119</v>
      </c>
      <c r="D24" s="5" t="s">
        <v>93</v>
      </c>
      <c r="E24" s="5" t="n">
        <v>2</v>
      </c>
      <c r="F24" s="6" t="n">
        <f aca="false">IFERROR(MATCH(A24&amp;"|"&amp;B24&amp;"|"&amp;D24,'All Song Rankings'!$T:$T,0),0)</f>
        <v>3</v>
      </c>
      <c r="G24" s="6" t="str">
        <f aca="false">IF(F24=0,"NOT FOUND",INDEX('All Song Rankings'!$A:$A,F24))</f>
        <v>Shut Up and Dance</v>
      </c>
      <c r="H24" s="6" t="str">
        <f aca="false">IF(F24=0,"NOT FOUND",INDEX('All Song Rankings'!$B:$B,F24))</f>
        <v>WALK THE MOON</v>
      </c>
      <c r="I24" s="6" t="str">
        <f aca="false">IF(F24=0,"NOT FOUND",INDEX('All Song Rankings'!$D:$D,F24))</f>
        <v>Nicole</v>
      </c>
      <c r="J24" s="7" t="str">
        <f aca="false">IF(F24=0,"NOT FOUND",IF(C24=I24,"SELF-VOTE",IF(COUNTIF($K:$K,K24)&gt;1,"DUPLICATE","OK")))</f>
        <v>OK</v>
      </c>
      <c r="K24" s="6" t="str">
        <f aca="false">A24&amp;"|"&amp;B24&amp;"|"&amp;C24&amp;"|"&amp;D24</f>
        <v>1|1|Leah|spotify:track:4kbj5MwxO1bq9wjT5g9HaA</v>
      </c>
    </row>
    <row r="25" customFormat="false" ht="15" hidden="false" customHeight="false" outlineLevel="0" collapsed="false">
      <c r="A25" s="5" t="n">
        <v>1</v>
      </c>
      <c r="B25" s="5" t="n">
        <v>1</v>
      </c>
      <c r="C25" s="5" t="s">
        <v>119</v>
      </c>
      <c r="D25" s="5" t="s">
        <v>112</v>
      </c>
      <c r="E25" s="5" t="n">
        <v>2</v>
      </c>
      <c r="F25" s="6" t="n">
        <f aca="false">IFERROR(MATCH(A25&amp;"|"&amp;B25&amp;"|"&amp;D25,'All Song Rankings'!$T:$T,0),0)</f>
        <v>7</v>
      </c>
      <c r="G25" s="6" t="str">
        <f aca="false">IF(F25=0,"NOT FOUND",INDEX('All Song Rankings'!$A:$A,F25))</f>
        <v>By My Side</v>
      </c>
      <c r="H25" s="6" t="str">
        <f aca="false">IF(F25=0,"NOT FOUND",INDEX('All Song Rankings'!$B:$B,F25))</f>
        <v>Connor Price</v>
      </c>
      <c r="I25" s="6" t="str">
        <f aca="false">IF(F25=0,"NOT FOUND",INDEX('All Song Rankings'!$D:$D,F25))</f>
        <v>Collin</v>
      </c>
      <c r="J25" s="7" t="str">
        <f aca="false">IF(F25=0,"NOT FOUND",IF(C25=I25,"SELF-VOTE",IF(COUNTIF($K:$K,K25)&gt;1,"DUPLICATE","OK")))</f>
        <v>OK</v>
      </c>
      <c r="K25" s="6" t="str">
        <f aca="false">A25&amp;"|"&amp;B25&amp;"|"&amp;C25&amp;"|"&amp;D25</f>
        <v>1|1|Leah|spotify:track:5FtOZv6MB6IWL2DneVYvoe</v>
      </c>
    </row>
    <row r="26" customFormat="false" ht="15" hidden="false" customHeight="false" outlineLevel="0" collapsed="false">
      <c r="A26" s="5" t="n">
        <v>1</v>
      </c>
      <c r="B26" s="5" t="n">
        <v>1</v>
      </c>
      <c r="C26" s="5" t="s">
        <v>119</v>
      </c>
      <c r="D26" s="5" t="s">
        <v>88</v>
      </c>
      <c r="E26" s="5" t="n">
        <v>1</v>
      </c>
      <c r="F26" s="6" t="n">
        <f aca="false">IFERROR(MATCH(A26&amp;"|"&amp;B26&amp;"|"&amp;D26,'All Song Rankings'!$T:$T,0),0)</f>
        <v>2</v>
      </c>
      <c r="G26" s="6" t="str">
        <f aca="false">IF(F26=0,"NOT FOUND",INDEX('All Song Rankings'!$A:$A,F26))</f>
        <v>Love Me to Heaven</v>
      </c>
      <c r="H26" s="6" t="str">
        <f aca="false">IF(F26=0,"NOT FOUND",INDEX('All Song Rankings'!$B:$B,F26))</f>
        <v>Jonas Brothers</v>
      </c>
      <c r="I26" s="6" t="str">
        <f aca="false">IF(F26=0,"NOT FOUND",INDEX('All Song Rankings'!$D:$D,F26))</f>
        <v>Kelsey</v>
      </c>
      <c r="J26" s="7" t="str">
        <f aca="false">IF(F26=0,"NOT FOUND",IF(C26=I26,"SELF-VOTE",IF(COUNTIF($K:$K,K26)&gt;1,"DUPLICATE","OK")))</f>
        <v>OK</v>
      </c>
      <c r="K26" s="6" t="str">
        <f aca="false">A26&amp;"|"&amp;B26&amp;"|"&amp;C26&amp;"|"&amp;D26</f>
        <v>1|1|Leah|spotify:track:7usqgT1ajVAJ3s0wXePtRr</v>
      </c>
    </row>
    <row r="27" customFormat="false" ht="15" hidden="false" customHeight="false" outlineLevel="0" collapsed="false">
      <c r="A27" s="5" t="n">
        <v>1</v>
      </c>
      <c r="B27" s="5" t="n">
        <v>1</v>
      </c>
      <c r="C27" s="5" t="s">
        <v>128</v>
      </c>
      <c r="D27" s="5" t="s">
        <v>117</v>
      </c>
      <c r="E27" s="5" t="n">
        <v>3</v>
      </c>
      <c r="F27" s="6" t="n">
        <f aca="false">IFERROR(MATCH(A27&amp;"|"&amp;B27&amp;"|"&amp;D27,'All Song Rankings'!$T:$T,0),0)</f>
        <v>8</v>
      </c>
      <c r="G27" s="6" t="str">
        <f aca="false">IF(F27=0,"NOT FOUND",INDEX('All Song Rankings'!$A:$A,F27))</f>
        <v>Tous les mêmes</v>
      </c>
      <c r="H27" s="6" t="str">
        <f aca="false">IF(F27=0,"NOT FOUND",INDEX('All Song Rankings'!$B:$B,F27))</f>
        <v>Stromae</v>
      </c>
      <c r="I27" s="6" t="str">
        <f aca="false">IF(F27=0,"NOT FOUND",INDEX('All Song Rankings'!$D:$D,F27))</f>
        <v>Matt</v>
      </c>
      <c r="J27" s="7" t="str">
        <f aca="false">IF(F27=0,"NOT FOUND",IF(C27=I27,"SELF-VOTE",IF(COUNTIF($K:$K,K27)&gt;1,"DUPLICATE","OK")))</f>
        <v>OK</v>
      </c>
      <c r="K27" s="6" t="str">
        <f aca="false">A27&amp;"|"&amp;B27&amp;"|"&amp;C27&amp;"|"&amp;D27</f>
        <v>1|1|Logan|spotify:track:1GC1MIaRMW3kfVK9VyD5Ii</v>
      </c>
    </row>
    <row r="28" customFormat="false" ht="15" hidden="false" customHeight="false" outlineLevel="0" collapsed="false">
      <c r="A28" s="5" t="n">
        <v>1</v>
      </c>
      <c r="B28" s="5" t="n">
        <v>1</v>
      </c>
      <c r="C28" s="5" t="s">
        <v>128</v>
      </c>
      <c r="D28" s="5" t="s">
        <v>107</v>
      </c>
      <c r="E28" s="5" t="n">
        <v>1</v>
      </c>
      <c r="F28" s="6" t="n">
        <f aca="false">IFERROR(MATCH(A28&amp;"|"&amp;B28&amp;"|"&amp;D28,'All Song Rankings'!$T:$T,0),0)</f>
        <v>6</v>
      </c>
      <c r="G28" s="6" t="str">
        <f aca="false">IF(F28=0,"NOT FOUND",INDEX('All Song Rankings'!$A:$A,F28))</f>
        <v>Euclid</v>
      </c>
      <c r="H28" s="6" t="str">
        <f aca="false">IF(F28=0,"NOT FOUND",INDEX('All Song Rankings'!$B:$B,F28))</f>
        <v>Sleep Token</v>
      </c>
      <c r="I28" s="6" t="str">
        <f aca="false">IF(F28=0,"NOT FOUND",INDEX('All Song Rankings'!$D:$D,F28))</f>
        <v>Kristen</v>
      </c>
      <c r="J28" s="7" t="str">
        <f aca="false">IF(F28=0,"NOT FOUND",IF(C28=I28,"SELF-VOTE",IF(COUNTIF($K:$K,K28)&gt;1,"DUPLICATE","OK")))</f>
        <v>OK</v>
      </c>
      <c r="K28" s="6" t="str">
        <f aca="false">A28&amp;"|"&amp;B28&amp;"|"&amp;C28&amp;"|"&amp;D28</f>
        <v>1|1|Logan|spotify:track:3hZIvVYZWsuFpdWdXQFgKx</v>
      </c>
    </row>
    <row r="29" customFormat="false" ht="15" hidden="false" customHeight="false" outlineLevel="0" collapsed="false">
      <c r="A29" s="5" t="n">
        <v>1</v>
      </c>
      <c r="B29" s="5" t="n">
        <v>1</v>
      </c>
      <c r="C29" s="5" t="s">
        <v>128</v>
      </c>
      <c r="D29" s="5" t="s">
        <v>120</v>
      </c>
      <c r="E29" s="5" t="n">
        <v>2</v>
      </c>
      <c r="F29" s="6" t="n">
        <f aca="false">IFERROR(MATCH(A29&amp;"|"&amp;B29&amp;"|"&amp;D29,'All Song Rankings'!$T:$T,0),0)</f>
        <v>9</v>
      </c>
      <c r="G29" s="6" t="str">
        <f aca="false">IF(F29=0,"NOT FOUND",INDEX('All Song Rankings'!$A:$A,F29))</f>
        <v>Granite</v>
      </c>
      <c r="H29" s="6" t="str">
        <f aca="false">IF(F29=0,"NOT FOUND",INDEX('All Song Rankings'!$B:$B,F29))</f>
        <v>Sleep Token</v>
      </c>
      <c r="I29" s="6" t="str">
        <f aca="false">IF(F29=0,"NOT FOUND",INDEX('All Song Rankings'!$D:$D,F29))</f>
        <v>Leah</v>
      </c>
      <c r="J29" s="7" t="str">
        <f aca="false">IF(F29=0,"NOT FOUND",IF(C29=I29,"SELF-VOTE",IF(COUNTIF($K:$K,K29)&gt;1,"DUPLICATE","OK")))</f>
        <v>OK</v>
      </c>
      <c r="K29" s="6" t="str">
        <f aca="false">A29&amp;"|"&amp;B29&amp;"|"&amp;C29&amp;"|"&amp;D29</f>
        <v>1|1|Logan|spotify:track:4mxiv6HQfhqgIuN5iOONQd</v>
      </c>
    </row>
    <row r="30" customFormat="false" ht="15" hidden="false" customHeight="false" outlineLevel="0" collapsed="false">
      <c r="A30" s="5" t="n">
        <v>1</v>
      </c>
      <c r="B30" s="5" t="n">
        <v>1</v>
      </c>
      <c r="C30" s="5" t="s">
        <v>128</v>
      </c>
      <c r="D30" s="5" t="s">
        <v>98</v>
      </c>
      <c r="E30" s="5" t="n">
        <v>3</v>
      </c>
      <c r="F30" s="6" t="n">
        <f aca="false">IFERROR(MATCH(A30&amp;"|"&amp;B30&amp;"|"&amp;D30,'All Song Rankings'!$T:$T,0),0)</f>
        <v>4</v>
      </c>
      <c r="G30" s="6" t="str">
        <f aca="false">IF(F30=0,"NOT FOUND",INDEX('All Song Rankings'!$A:$A,F30))</f>
        <v>Fantasy</v>
      </c>
      <c r="H30" s="6" t="str">
        <f aca="false">IF(F30=0,"NOT FOUND",INDEX('All Song Rankings'!$B:$B,F30))</f>
        <v>Mariah Carey</v>
      </c>
      <c r="I30" s="6" t="str">
        <f aca="false">IF(F30=0,"NOT FOUND",INDEX('All Song Rankings'!$D:$D,F30))</f>
        <v>Stephanie</v>
      </c>
      <c r="J30" s="7" t="str">
        <f aca="false">IF(F30=0,"NOT FOUND",IF(C30=I30,"SELF-VOTE",IF(COUNTIF($K:$K,K30)&gt;1,"DUPLICATE","OK")))</f>
        <v>OK</v>
      </c>
      <c r="K30" s="6" t="str">
        <f aca="false">A30&amp;"|"&amp;B30&amp;"|"&amp;C30&amp;"|"&amp;D30</f>
        <v>1|1|Logan|spotify:track:6xkryXuiZU360Lngd4sx13</v>
      </c>
    </row>
    <row r="31" customFormat="false" ht="15" hidden="false" customHeight="false" outlineLevel="0" collapsed="false">
      <c r="A31" s="5" t="n">
        <v>1</v>
      </c>
      <c r="B31" s="5" t="n">
        <v>1</v>
      </c>
      <c r="C31" s="5" t="s">
        <v>128</v>
      </c>
      <c r="D31" s="5" t="s">
        <v>88</v>
      </c>
      <c r="E31" s="5" t="n">
        <v>1</v>
      </c>
      <c r="F31" s="6" t="n">
        <f aca="false">IFERROR(MATCH(A31&amp;"|"&amp;B31&amp;"|"&amp;D31,'All Song Rankings'!$T:$T,0),0)</f>
        <v>2</v>
      </c>
      <c r="G31" s="6" t="str">
        <f aca="false">IF(F31=0,"NOT FOUND",INDEX('All Song Rankings'!$A:$A,F31))</f>
        <v>Love Me to Heaven</v>
      </c>
      <c r="H31" s="6" t="str">
        <f aca="false">IF(F31=0,"NOT FOUND",INDEX('All Song Rankings'!$B:$B,F31))</f>
        <v>Jonas Brothers</v>
      </c>
      <c r="I31" s="6" t="str">
        <f aca="false">IF(F31=0,"NOT FOUND",INDEX('All Song Rankings'!$D:$D,F31))</f>
        <v>Kelsey</v>
      </c>
      <c r="J31" s="7" t="str">
        <f aca="false">IF(F31=0,"NOT FOUND",IF(C31=I31,"SELF-VOTE",IF(COUNTIF($K:$K,K31)&gt;1,"DUPLICATE","OK")))</f>
        <v>OK</v>
      </c>
      <c r="K31" s="6" t="str">
        <f aca="false">A31&amp;"|"&amp;B31&amp;"|"&amp;C31&amp;"|"&amp;D31</f>
        <v>1|1|Logan|spotify:track:7usqgT1ajVAJ3s0wXePtRr</v>
      </c>
    </row>
    <row r="32" customFormat="false" ht="15" hidden="false" customHeight="false" outlineLevel="0" collapsed="false">
      <c r="A32" s="5" t="n">
        <v>1</v>
      </c>
      <c r="B32" s="5" t="n">
        <v>1</v>
      </c>
      <c r="C32" s="5" t="s">
        <v>133</v>
      </c>
      <c r="D32" s="5" t="s">
        <v>117</v>
      </c>
      <c r="E32" s="5" t="n">
        <v>1</v>
      </c>
      <c r="F32" s="6" t="n">
        <f aca="false">IFERROR(MATCH(A32&amp;"|"&amp;B32&amp;"|"&amp;D32,'All Song Rankings'!$T:$T,0),0)</f>
        <v>8</v>
      </c>
      <c r="G32" s="6" t="str">
        <f aca="false">IF(F32=0,"NOT FOUND",INDEX('All Song Rankings'!$A:$A,F32))</f>
        <v>Tous les mêmes</v>
      </c>
      <c r="H32" s="6" t="str">
        <f aca="false">IF(F32=0,"NOT FOUND",INDEX('All Song Rankings'!$B:$B,F32))</f>
        <v>Stromae</v>
      </c>
      <c r="I32" s="6" t="str">
        <f aca="false">IF(F32=0,"NOT FOUND",INDEX('All Song Rankings'!$D:$D,F32))</f>
        <v>Matt</v>
      </c>
      <c r="J32" s="7" t="str">
        <f aca="false">IF(F32=0,"NOT FOUND",IF(C32=I32,"SELF-VOTE",IF(COUNTIF($K:$K,K32)&gt;1,"DUPLICATE","OK")))</f>
        <v>OK</v>
      </c>
      <c r="K32" s="6" t="str">
        <f aca="false">A32&amp;"|"&amp;B32&amp;"|"&amp;C32&amp;"|"&amp;D32</f>
        <v>1|1|Maryann|spotify:track:1GC1MIaRMW3kfVK9VyD5Ii</v>
      </c>
    </row>
    <row r="33" customFormat="false" ht="15" hidden="false" customHeight="false" outlineLevel="0" collapsed="false">
      <c r="A33" s="5" t="n">
        <v>1</v>
      </c>
      <c r="B33" s="5" t="n">
        <v>1</v>
      </c>
      <c r="C33" s="5" t="s">
        <v>133</v>
      </c>
      <c r="D33" s="5" t="s">
        <v>102</v>
      </c>
      <c r="E33" s="5" t="n">
        <v>1</v>
      </c>
      <c r="F33" s="6" t="n">
        <f aca="false">IFERROR(MATCH(A33&amp;"|"&amp;B33&amp;"|"&amp;D33,'All Song Rankings'!$T:$T,0),0)</f>
        <v>5</v>
      </c>
      <c r="G33" s="6" t="str">
        <f aca="false">IF(F33=0,"NOT FOUND",INDEX('All Song Rankings'!$A:$A,F33))</f>
        <v>Lonely Heart</v>
      </c>
      <c r="H33" s="6" t="str">
        <f aca="false">IF(F33=0,"NOT FOUND",INDEX('All Song Rankings'!$B:$B,F33))</f>
        <v>5 Seconds of Summer</v>
      </c>
      <c r="I33" s="6" t="str">
        <f aca="false">IF(F33=0,"NOT FOUND",INDEX('All Song Rankings'!$D:$D,F33))</f>
        <v>Merita</v>
      </c>
      <c r="J33" s="7" t="str">
        <f aca="false">IF(F33=0,"NOT FOUND",IF(C33=I33,"SELF-VOTE",IF(COUNTIF($K:$K,K33)&gt;1,"DUPLICATE","OK")))</f>
        <v>OK</v>
      </c>
      <c r="K33" s="6" t="str">
        <f aca="false">A33&amp;"|"&amp;B33&amp;"|"&amp;C33&amp;"|"&amp;D33</f>
        <v>1|1|Maryann|spotify:track:1MAXdOA4Dtz6eJMz0nEq2H</v>
      </c>
    </row>
    <row r="34" customFormat="false" ht="15" hidden="false" customHeight="false" outlineLevel="0" collapsed="false">
      <c r="A34" s="5" t="n">
        <v>1</v>
      </c>
      <c r="B34" s="5" t="n">
        <v>1</v>
      </c>
      <c r="C34" s="5" t="s">
        <v>133</v>
      </c>
      <c r="D34" s="5" t="s">
        <v>129</v>
      </c>
      <c r="E34" s="5" t="n">
        <v>1</v>
      </c>
      <c r="F34" s="6" t="n">
        <f aca="false">IFERROR(MATCH(A34&amp;"|"&amp;B34&amp;"|"&amp;D34,'All Song Rankings'!$T:$T,0),0)</f>
        <v>11</v>
      </c>
      <c r="G34" s="6" t="str">
        <f aca="false">IF(F34=0,"NOT FOUND",INDEX('All Song Rankings'!$A:$A,F34))</f>
        <v>Moon River</v>
      </c>
      <c r="H34" s="6" t="str">
        <f aca="false">IF(F34=0,"NOT FOUND",INDEX('All Song Rankings'!$B:$B,F34))</f>
        <v>Audrey Hepburn</v>
      </c>
      <c r="I34" s="6" t="str">
        <f aca="false">IF(F34=0,"NOT FOUND",INDEX('All Song Rankings'!$D:$D,F34))</f>
        <v>Logan</v>
      </c>
      <c r="J34" s="7" t="str">
        <f aca="false">IF(F34=0,"NOT FOUND",IF(C34=I34,"SELF-VOTE",IF(COUNTIF($K:$K,K34)&gt;1,"DUPLICATE","OK")))</f>
        <v>OK</v>
      </c>
      <c r="K34" s="6" t="str">
        <f aca="false">A34&amp;"|"&amp;B34&amp;"|"&amp;C34&amp;"|"&amp;D34</f>
        <v>1|1|Maryann|spotify:track:1XwAKjAZ1xDZOcuyZoqce4</v>
      </c>
    </row>
    <row r="35" customFormat="false" ht="15" hidden="false" customHeight="false" outlineLevel="0" collapsed="false">
      <c r="A35" s="5" t="n">
        <v>1</v>
      </c>
      <c r="B35" s="5" t="n">
        <v>1</v>
      </c>
      <c r="C35" s="5" t="s">
        <v>133</v>
      </c>
      <c r="D35" s="5" t="s">
        <v>124</v>
      </c>
      <c r="E35" s="5" t="n">
        <v>1</v>
      </c>
      <c r="F35" s="6" t="n">
        <f aca="false">IFERROR(MATCH(A35&amp;"|"&amp;B35&amp;"|"&amp;D35,'All Song Rankings'!$T:$T,0),0)</f>
        <v>10</v>
      </c>
      <c r="G35" s="6" t="str">
        <f aca="false">IF(F35=0,"NOT FOUND",INDEX('All Song Rankings'!$A:$A,F35))</f>
        <v>Unwritten</v>
      </c>
      <c r="H35" s="6" t="str">
        <f aca="false">IF(F35=0,"NOT FOUND",INDEX('All Song Rankings'!$B:$B,F35))</f>
        <v>Natasha Bedingfield</v>
      </c>
      <c r="I35" s="6" t="str">
        <f aca="false">IF(F35=0,"NOT FOUND",INDEX('All Song Rankings'!$D:$D,F35))</f>
        <v>Olivia</v>
      </c>
      <c r="J35" s="7" t="str">
        <f aca="false">IF(F35=0,"NOT FOUND",IF(C35=I35,"SELF-VOTE",IF(COUNTIF($K:$K,K35)&gt;1,"DUPLICATE","OK")))</f>
        <v>OK</v>
      </c>
      <c r="K35" s="6" t="str">
        <f aca="false">A35&amp;"|"&amp;B35&amp;"|"&amp;C35&amp;"|"&amp;D35</f>
        <v>1|1|Maryann|spotify:track:3U5JVgI2x4rDyHGObzJfNf</v>
      </c>
    </row>
    <row r="36" customFormat="false" ht="15" hidden="false" customHeight="false" outlineLevel="0" collapsed="false">
      <c r="A36" s="5" t="n">
        <v>1</v>
      </c>
      <c r="B36" s="5" t="n">
        <v>1</v>
      </c>
      <c r="C36" s="5" t="s">
        <v>133</v>
      </c>
      <c r="D36" s="5" t="s">
        <v>107</v>
      </c>
      <c r="E36" s="5" t="n">
        <v>1</v>
      </c>
      <c r="F36" s="6" t="n">
        <f aca="false">IFERROR(MATCH(A36&amp;"|"&amp;B36&amp;"|"&amp;D36,'All Song Rankings'!$T:$T,0),0)</f>
        <v>6</v>
      </c>
      <c r="G36" s="6" t="str">
        <f aca="false">IF(F36=0,"NOT FOUND",INDEX('All Song Rankings'!$A:$A,F36))</f>
        <v>Euclid</v>
      </c>
      <c r="H36" s="6" t="str">
        <f aca="false">IF(F36=0,"NOT FOUND",INDEX('All Song Rankings'!$B:$B,F36))</f>
        <v>Sleep Token</v>
      </c>
      <c r="I36" s="6" t="str">
        <f aca="false">IF(F36=0,"NOT FOUND",INDEX('All Song Rankings'!$D:$D,F36))</f>
        <v>Kristen</v>
      </c>
      <c r="J36" s="7" t="str">
        <f aca="false">IF(F36=0,"NOT FOUND",IF(C36=I36,"SELF-VOTE",IF(COUNTIF($K:$K,K36)&gt;1,"DUPLICATE","OK")))</f>
        <v>OK</v>
      </c>
      <c r="K36" s="6" t="str">
        <f aca="false">A36&amp;"|"&amp;B36&amp;"|"&amp;C36&amp;"|"&amp;D36</f>
        <v>1|1|Maryann|spotify:track:3hZIvVYZWsuFpdWdXQFgKx</v>
      </c>
    </row>
    <row r="37" customFormat="false" ht="15" hidden="false" customHeight="false" outlineLevel="0" collapsed="false">
      <c r="A37" s="5" t="n">
        <v>1</v>
      </c>
      <c r="B37" s="5" t="n">
        <v>1</v>
      </c>
      <c r="C37" s="5" t="s">
        <v>133</v>
      </c>
      <c r="D37" s="5" t="s">
        <v>93</v>
      </c>
      <c r="E37" s="5" t="n">
        <v>1</v>
      </c>
      <c r="F37" s="6" t="n">
        <f aca="false">IFERROR(MATCH(A37&amp;"|"&amp;B37&amp;"|"&amp;D37,'All Song Rankings'!$T:$T,0),0)</f>
        <v>3</v>
      </c>
      <c r="G37" s="6" t="str">
        <f aca="false">IF(F37=0,"NOT FOUND",INDEX('All Song Rankings'!$A:$A,F37))</f>
        <v>Shut Up and Dance</v>
      </c>
      <c r="H37" s="6" t="str">
        <f aca="false">IF(F37=0,"NOT FOUND",INDEX('All Song Rankings'!$B:$B,F37))</f>
        <v>WALK THE MOON</v>
      </c>
      <c r="I37" s="6" t="str">
        <f aca="false">IF(F37=0,"NOT FOUND",INDEX('All Song Rankings'!$D:$D,F37))</f>
        <v>Nicole</v>
      </c>
      <c r="J37" s="7" t="str">
        <f aca="false">IF(F37=0,"NOT FOUND",IF(C37=I37,"SELF-VOTE",IF(COUNTIF($K:$K,K37)&gt;1,"DUPLICATE","OK")))</f>
        <v>OK</v>
      </c>
      <c r="K37" s="6" t="str">
        <f aca="false">A37&amp;"|"&amp;B37&amp;"|"&amp;C37&amp;"|"&amp;D37</f>
        <v>1|1|Maryann|spotify:track:4kbj5MwxO1bq9wjT5g9HaA</v>
      </c>
    </row>
    <row r="38" customFormat="false" ht="15" hidden="false" customHeight="false" outlineLevel="0" collapsed="false">
      <c r="A38" s="5" t="n">
        <v>1</v>
      </c>
      <c r="B38" s="5" t="n">
        <v>1</v>
      </c>
      <c r="C38" s="5" t="s">
        <v>133</v>
      </c>
      <c r="D38" s="5" t="s">
        <v>120</v>
      </c>
      <c r="E38" s="5" t="n">
        <v>1</v>
      </c>
      <c r="F38" s="6" t="n">
        <f aca="false">IFERROR(MATCH(A38&amp;"|"&amp;B38&amp;"|"&amp;D38,'All Song Rankings'!$T:$T,0),0)</f>
        <v>9</v>
      </c>
      <c r="G38" s="6" t="str">
        <f aca="false">IF(F38=0,"NOT FOUND",INDEX('All Song Rankings'!$A:$A,F38))</f>
        <v>Granite</v>
      </c>
      <c r="H38" s="6" t="str">
        <f aca="false">IF(F38=0,"NOT FOUND",INDEX('All Song Rankings'!$B:$B,F38))</f>
        <v>Sleep Token</v>
      </c>
      <c r="I38" s="6" t="str">
        <f aca="false">IF(F38=0,"NOT FOUND",INDEX('All Song Rankings'!$D:$D,F38))</f>
        <v>Leah</v>
      </c>
      <c r="J38" s="7" t="str">
        <f aca="false">IF(F38=0,"NOT FOUND",IF(C38=I38,"SELF-VOTE",IF(COUNTIF($K:$K,K38)&gt;1,"DUPLICATE","OK")))</f>
        <v>OK</v>
      </c>
      <c r="K38" s="6" t="str">
        <f aca="false">A38&amp;"|"&amp;B38&amp;"|"&amp;C38&amp;"|"&amp;D38</f>
        <v>1|1|Maryann|spotify:track:4mxiv6HQfhqgIuN5iOONQd</v>
      </c>
    </row>
    <row r="39" customFormat="false" ht="15" hidden="false" customHeight="false" outlineLevel="0" collapsed="false">
      <c r="A39" s="5" t="n">
        <v>1</v>
      </c>
      <c r="B39" s="5" t="n">
        <v>1</v>
      </c>
      <c r="C39" s="5" t="s">
        <v>133</v>
      </c>
      <c r="D39" s="5" t="s">
        <v>112</v>
      </c>
      <c r="E39" s="5" t="n">
        <v>1</v>
      </c>
      <c r="F39" s="6" t="n">
        <f aca="false">IFERROR(MATCH(A39&amp;"|"&amp;B39&amp;"|"&amp;D39,'All Song Rankings'!$T:$T,0),0)</f>
        <v>7</v>
      </c>
      <c r="G39" s="6" t="str">
        <f aca="false">IF(F39=0,"NOT FOUND",INDEX('All Song Rankings'!$A:$A,F39))</f>
        <v>By My Side</v>
      </c>
      <c r="H39" s="6" t="str">
        <f aca="false">IF(F39=0,"NOT FOUND",INDEX('All Song Rankings'!$B:$B,F39))</f>
        <v>Connor Price</v>
      </c>
      <c r="I39" s="6" t="str">
        <f aca="false">IF(F39=0,"NOT FOUND",INDEX('All Song Rankings'!$D:$D,F39))</f>
        <v>Collin</v>
      </c>
      <c r="J39" s="7" t="str">
        <f aca="false">IF(F39=0,"NOT FOUND",IF(C39=I39,"SELF-VOTE",IF(COUNTIF($K:$K,K39)&gt;1,"DUPLICATE","OK")))</f>
        <v>OK</v>
      </c>
      <c r="K39" s="6" t="str">
        <f aca="false">A39&amp;"|"&amp;B39&amp;"|"&amp;C39&amp;"|"&amp;D39</f>
        <v>1|1|Maryann|spotify:track:5FtOZv6MB6IWL2DneVYvoe</v>
      </c>
    </row>
    <row r="40" customFormat="false" ht="15" hidden="false" customHeight="false" outlineLevel="0" collapsed="false">
      <c r="A40" s="5" t="n">
        <v>1</v>
      </c>
      <c r="B40" s="5" t="n">
        <v>1</v>
      </c>
      <c r="C40" s="5" t="s">
        <v>133</v>
      </c>
      <c r="D40" s="5" t="s">
        <v>98</v>
      </c>
      <c r="E40" s="5" t="n">
        <v>1</v>
      </c>
      <c r="F40" s="6" t="n">
        <f aca="false">IFERROR(MATCH(A40&amp;"|"&amp;B40&amp;"|"&amp;D40,'All Song Rankings'!$T:$T,0),0)</f>
        <v>4</v>
      </c>
      <c r="G40" s="6" t="str">
        <f aca="false">IF(F40=0,"NOT FOUND",INDEX('All Song Rankings'!$A:$A,F40))</f>
        <v>Fantasy</v>
      </c>
      <c r="H40" s="6" t="str">
        <f aca="false">IF(F40=0,"NOT FOUND",INDEX('All Song Rankings'!$B:$B,F40))</f>
        <v>Mariah Carey</v>
      </c>
      <c r="I40" s="6" t="str">
        <f aca="false">IF(F40=0,"NOT FOUND",INDEX('All Song Rankings'!$D:$D,F40))</f>
        <v>Stephanie</v>
      </c>
      <c r="J40" s="7" t="str">
        <f aca="false">IF(F40=0,"NOT FOUND",IF(C40=I40,"SELF-VOTE",IF(COUNTIF($K:$K,K40)&gt;1,"DUPLICATE","OK")))</f>
        <v>OK</v>
      </c>
      <c r="K40" s="6" t="str">
        <f aca="false">A40&amp;"|"&amp;B40&amp;"|"&amp;C40&amp;"|"&amp;D40</f>
        <v>1|1|Maryann|spotify:track:6xkryXuiZU360Lngd4sx13</v>
      </c>
    </row>
    <row r="41" customFormat="false" ht="15" hidden="false" customHeight="false" outlineLevel="0" collapsed="false">
      <c r="A41" s="5" t="n">
        <v>1</v>
      </c>
      <c r="B41" s="5" t="n">
        <v>1</v>
      </c>
      <c r="C41" s="5" t="s">
        <v>133</v>
      </c>
      <c r="D41" s="5" t="s">
        <v>88</v>
      </c>
      <c r="E41" s="5" t="n">
        <v>1</v>
      </c>
      <c r="F41" s="6" t="n">
        <f aca="false">IFERROR(MATCH(A41&amp;"|"&amp;B41&amp;"|"&amp;D41,'All Song Rankings'!$T:$T,0),0)</f>
        <v>2</v>
      </c>
      <c r="G41" s="6" t="str">
        <f aca="false">IF(F41=0,"NOT FOUND",INDEX('All Song Rankings'!$A:$A,F41))</f>
        <v>Love Me to Heaven</v>
      </c>
      <c r="H41" s="6" t="str">
        <f aca="false">IF(F41=0,"NOT FOUND",INDEX('All Song Rankings'!$B:$B,F41))</f>
        <v>Jonas Brothers</v>
      </c>
      <c r="I41" s="6" t="str">
        <f aca="false">IF(F41=0,"NOT FOUND",INDEX('All Song Rankings'!$D:$D,F41))</f>
        <v>Kelsey</v>
      </c>
      <c r="J41" s="7" t="str">
        <f aca="false">IF(F41=0,"NOT FOUND",IF(C41=I41,"SELF-VOTE",IF(COUNTIF($K:$K,K41)&gt;1,"DUPLICATE","OK")))</f>
        <v>OK</v>
      </c>
      <c r="K41" s="6" t="str">
        <f aca="false">A41&amp;"|"&amp;B41&amp;"|"&amp;C41&amp;"|"&amp;D41</f>
        <v>1|1|Maryann|spotify:track:7usqgT1ajVAJ3s0wXePtRr</v>
      </c>
    </row>
    <row r="42" customFormat="false" ht="15" hidden="false" customHeight="false" outlineLevel="0" collapsed="false">
      <c r="A42" s="5" t="n">
        <v>1</v>
      </c>
      <c r="B42" s="5" t="n">
        <v>1</v>
      </c>
      <c r="C42" s="5" t="s">
        <v>116</v>
      </c>
      <c r="D42" s="5" t="s">
        <v>129</v>
      </c>
      <c r="E42" s="5" t="n">
        <v>1</v>
      </c>
      <c r="F42" s="6" t="n">
        <f aca="false">IFERROR(MATCH(A42&amp;"|"&amp;B42&amp;"|"&amp;D42,'All Song Rankings'!$T:$T,0),0)</f>
        <v>11</v>
      </c>
      <c r="G42" s="6" t="str">
        <f aca="false">IF(F42=0,"NOT FOUND",INDEX('All Song Rankings'!$A:$A,F42))</f>
        <v>Moon River</v>
      </c>
      <c r="H42" s="6" t="str">
        <f aca="false">IF(F42=0,"NOT FOUND",INDEX('All Song Rankings'!$B:$B,F42))</f>
        <v>Audrey Hepburn</v>
      </c>
      <c r="I42" s="6" t="str">
        <f aca="false">IF(F42=0,"NOT FOUND",INDEX('All Song Rankings'!$D:$D,F42))</f>
        <v>Logan</v>
      </c>
      <c r="J42" s="7" t="str">
        <f aca="false">IF(F42=0,"NOT FOUND",IF(C42=I42,"SELF-VOTE",IF(COUNTIF($K:$K,K42)&gt;1,"DUPLICATE","OK")))</f>
        <v>OK</v>
      </c>
      <c r="K42" s="6" t="str">
        <f aca="false">A42&amp;"|"&amp;B42&amp;"|"&amp;C42&amp;"|"&amp;D42</f>
        <v>1|1|Matt|spotify:track:1XwAKjAZ1xDZOcuyZoqce4</v>
      </c>
    </row>
    <row r="43" customFormat="false" ht="15" hidden="false" customHeight="false" outlineLevel="0" collapsed="false">
      <c r="A43" s="5" t="n">
        <v>1</v>
      </c>
      <c r="B43" s="5" t="n">
        <v>1</v>
      </c>
      <c r="C43" s="5" t="s">
        <v>116</v>
      </c>
      <c r="D43" s="5" t="s">
        <v>93</v>
      </c>
      <c r="E43" s="5" t="n">
        <v>4</v>
      </c>
      <c r="F43" s="6" t="n">
        <f aca="false">IFERROR(MATCH(A43&amp;"|"&amp;B43&amp;"|"&amp;D43,'All Song Rankings'!$T:$T,0),0)</f>
        <v>3</v>
      </c>
      <c r="G43" s="6" t="str">
        <f aca="false">IF(F43=0,"NOT FOUND",INDEX('All Song Rankings'!$A:$A,F43))</f>
        <v>Shut Up and Dance</v>
      </c>
      <c r="H43" s="6" t="str">
        <f aca="false">IF(F43=0,"NOT FOUND",INDEX('All Song Rankings'!$B:$B,F43))</f>
        <v>WALK THE MOON</v>
      </c>
      <c r="I43" s="6" t="str">
        <f aca="false">IF(F43=0,"NOT FOUND",INDEX('All Song Rankings'!$D:$D,F43))</f>
        <v>Nicole</v>
      </c>
      <c r="J43" s="7" t="str">
        <f aca="false">IF(F43=0,"NOT FOUND",IF(C43=I43,"SELF-VOTE",IF(COUNTIF($K:$K,K43)&gt;1,"DUPLICATE","OK")))</f>
        <v>OK</v>
      </c>
      <c r="K43" s="6" t="str">
        <f aca="false">A43&amp;"|"&amp;B43&amp;"|"&amp;C43&amp;"|"&amp;D43</f>
        <v>1|1|Matt|spotify:track:4kbj5MwxO1bq9wjT5g9HaA</v>
      </c>
    </row>
    <row r="44" customFormat="false" ht="15" hidden="false" customHeight="false" outlineLevel="0" collapsed="false">
      <c r="A44" s="5" t="n">
        <v>1</v>
      </c>
      <c r="B44" s="5" t="n">
        <v>1</v>
      </c>
      <c r="C44" s="5" t="s">
        <v>116</v>
      </c>
      <c r="D44" s="5" t="s">
        <v>134</v>
      </c>
      <c r="E44" s="5" t="n">
        <v>1</v>
      </c>
      <c r="F44" s="6" t="n">
        <f aca="false">IFERROR(MATCH(A44&amp;"|"&amp;B44&amp;"|"&amp;D44,'All Song Rankings'!$T:$T,0),0)</f>
        <v>12</v>
      </c>
      <c r="G44" s="6" t="str">
        <f aca="false">IF(F44=0,"NOT FOUND",INDEX('All Song Rankings'!$A:$A,F44))</f>
        <v>At the Beginning</v>
      </c>
      <c r="H44" s="6" t="str">
        <f aca="false">IF(F44=0,"NOT FOUND",INDEX('All Song Rankings'!$B:$B,F44))</f>
        <v>Hollywood Sound Stars</v>
      </c>
      <c r="I44" s="6" t="str">
        <f aca="false">IF(F44=0,"NOT FOUND",INDEX('All Song Rankings'!$D:$D,F44))</f>
        <v>Maryann</v>
      </c>
      <c r="J44" s="7" t="str">
        <f aca="false">IF(F44=0,"NOT FOUND",IF(C44=I44,"SELF-VOTE",IF(COUNTIF($K:$K,K44)&gt;1,"DUPLICATE","OK")))</f>
        <v>OK</v>
      </c>
      <c r="K44" s="6" t="str">
        <f aca="false">A44&amp;"|"&amp;B44&amp;"|"&amp;C44&amp;"|"&amp;D44</f>
        <v>1|1|Matt|spotify:track:5Qn0AlYJHOKogfbE36or9V</v>
      </c>
    </row>
    <row r="45" customFormat="false" ht="15" hidden="false" customHeight="false" outlineLevel="0" collapsed="false">
      <c r="A45" s="5" t="n">
        <v>1</v>
      </c>
      <c r="B45" s="5" t="n">
        <v>1</v>
      </c>
      <c r="C45" s="5" t="s">
        <v>116</v>
      </c>
      <c r="D45" s="5" t="s">
        <v>98</v>
      </c>
      <c r="E45" s="5" t="n">
        <v>3</v>
      </c>
      <c r="F45" s="6" t="n">
        <f aca="false">IFERROR(MATCH(A45&amp;"|"&amp;B45&amp;"|"&amp;D45,'All Song Rankings'!$T:$T,0),0)</f>
        <v>4</v>
      </c>
      <c r="G45" s="6" t="str">
        <f aca="false">IF(F45=0,"NOT FOUND",INDEX('All Song Rankings'!$A:$A,F45))</f>
        <v>Fantasy</v>
      </c>
      <c r="H45" s="6" t="str">
        <f aca="false">IF(F45=0,"NOT FOUND",INDEX('All Song Rankings'!$B:$B,F45))</f>
        <v>Mariah Carey</v>
      </c>
      <c r="I45" s="6" t="str">
        <f aca="false">IF(F45=0,"NOT FOUND",INDEX('All Song Rankings'!$D:$D,F45))</f>
        <v>Stephanie</v>
      </c>
      <c r="J45" s="7" t="str">
        <f aca="false">IF(F45=0,"NOT FOUND",IF(C45=I45,"SELF-VOTE",IF(COUNTIF($K:$K,K45)&gt;1,"DUPLICATE","OK")))</f>
        <v>OK</v>
      </c>
      <c r="K45" s="6" t="str">
        <f aca="false">A45&amp;"|"&amp;B45&amp;"|"&amp;C45&amp;"|"&amp;D45</f>
        <v>1|1|Matt|spotify:track:6xkryXuiZU360Lngd4sx13</v>
      </c>
    </row>
    <row r="46" customFormat="false" ht="15" hidden="false" customHeight="false" outlineLevel="0" collapsed="false">
      <c r="A46" s="5" t="n">
        <v>1</v>
      </c>
      <c r="B46" s="5" t="n">
        <v>1</v>
      </c>
      <c r="C46" s="5" t="s">
        <v>116</v>
      </c>
      <c r="D46" s="5" t="s">
        <v>88</v>
      </c>
      <c r="E46" s="5" t="n">
        <v>1</v>
      </c>
      <c r="F46" s="6" t="n">
        <f aca="false">IFERROR(MATCH(A46&amp;"|"&amp;B46&amp;"|"&amp;D46,'All Song Rankings'!$T:$T,0),0)</f>
        <v>2</v>
      </c>
      <c r="G46" s="6" t="str">
        <f aca="false">IF(F46=0,"NOT FOUND",INDEX('All Song Rankings'!$A:$A,F46))</f>
        <v>Love Me to Heaven</v>
      </c>
      <c r="H46" s="6" t="str">
        <f aca="false">IF(F46=0,"NOT FOUND",INDEX('All Song Rankings'!$B:$B,F46))</f>
        <v>Jonas Brothers</v>
      </c>
      <c r="I46" s="6" t="str">
        <f aca="false">IF(F46=0,"NOT FOUND",INDEX('All Song Rankings'!$D:$D,F46))</f>
        <v>Kelsey</v>
      </c>
      <c r="J46" s="7" t="str">
        <f aca="false">IF(F46=0,"NOT FOUND",IF(C46=I46,"SELF-VOTE",IF(COUNTIF($K:$K,K46)&gt;1,"DUPLICATE","OK")))</f>
        <v>OK</v>
      </c>
      <c r="K46" s="6" t="str">
        <f aca="false">A46&amp;"|"&amp;B46&amp;"|"&amp;C46&amp;"|"&amp;D46</f>
        <v>1|1|Matt|spotify:track:7usqgT1ajVAJ3s0wXePtRr</v>
      </c>
    </row>
    <row r="47" customFormat="false" ht="15" hidden="false" customHeight="false" outlineLevel="0" collapsed="false">
      <c r="A47" s="5" t="n">
        <v>1</v>
      </c>
      <c r="B47" s="5" t="n">
        <v>1</v>
      </c>
      <c r="C47" s="5" t="s">
        <v>101</v>
      </c>
      <c r="D47" s="5" t="s">
        <v>129</v>
      </c>
      <c r="E47" s="5" t="n">
        <v>1</v>
      </c>
      <c r="F47" s="6" t="n">
        <f aca="false">IFERROR(MATCH(A47&amp;"|"&amp;B47&amp;"|"&amp;D47,'All Song Rankings'!$T:$T,0),0)</f>
        <v>11</v>
      </c>
      <c r="G47" s="6" t="str">
        <f aca="false">IF(F47=0,"NOT FOUND",INDEX('All Song Rankings'!$A:$A,F47))</f>
        <v>Moon River</v>
      </c>
      <c r="H47" s="6" t="str">
        <f aca="false">IF(F47=0,"NOT FOUND",INDEX('All Song Rankings'!$B:$B,F47))</f>
        <v>Audrey Hepburn</v>
      </c>
      <c r="I47" s="6" t="str">
        <f aca="false">IF(F47=0,"NOT FOUND",INDEX('All Song Rankings'!$D:$D,F47))</f>
        <v>Logan</v>
      </c>
      <c r="J47" s="7" t="str">
        <f aca="false">IF(F47=0,"NOT FOUND",IF(C47=I47,"SELF-VOTE",IF(COUNTIF($K:$K,K47)&gt;1,"DUPLICATE","OK")))</f>
        <v>OK</v>
      </c>
      <c r="K47" s="6" t="str">
        <f aca="false">A47&amp;"|"&amp;B47&amp;"|"&amp;C47&amp;"|"&amp;D47</f>
        <v>1|1|Merita|spotify:track:1XwAKjAZ1xDZOcuyZoqce4</v>
      </c>
    </row>
    <row r="48" customFormat="false" ht="15" hidden="false" customHeight="false" outlineLevel="0" collapsed="false">
      <c r="A48" s="5" t="n">
        <v>1</v>
      </c>
      <c r="B48" s="5" t="n">
        <v>1</v>
      </c>
      <c r="C48" s="5" t="s">
        <v>101</v>
      </c>
      <c r="D48" s="5" t="s">
        <v>124</v>
      </c>
      <c r="E48" s="5" t="n">
        <v>2</v>
      </c>
      <c r="F48" s="6" t="n">
        <f aca="false">IFERROR(MATCH(A48&amp;"|"&amp;B48&amp;"|"&amp;D48,'All Song Rankings'!$T:$T,0),0)</f>
        <v>10</v>
      </c>
      <c r="G48" s="6" t="str">
        <f aca="false">IF(F48=0,"NOT FOUND",INDEX('All Song Rankings'!$A:$A,F48))</f>
        <v>Unwritten</v>
      </c>
      <c r="H48" s="6" t="str">
        <f aca="false">IF(F48=0,"NOT FOUND",INDEX('All Song Rankings'!$B:$B,F48))</f>
        <v>Natasha Bedingfield</v>
      </c>
      <c r="I48" s="6" t="str">
        <f aca="false">IF(F48=0,"NOT FOUND",INDEX('All Song Rankings'!$D:$D,F48))</f>
        <v>Olivia</v>
      </c>
      <c r="J48" s="7" t="str">
        <f aca="false">IF(F48=0,"NOT FOUND",IF(C48=I48,"SELF-VOTE",IF(COUNTIF($K:$K,K48)&gt;1,"DUPLICATE","OK")))</f>
        <v>OK</v>
      </c>
      <c r="K48" s="6" t="str">
        <f aca="false">A48&amp;"|"&amp;B48&amp;"|"&amp;C48&amp;"|"&amp;D48</f>
        <v>1|1|Merita|spotify:track:3U5JVgI2x4rDyHGObzJfNf</v>
      </c>
    </row>
    <row r="49" customFormat="false" ht="15" hidden="false" customHeight="false" outlineLevel="0" collapsed="false">
      <c r="A49" s="5" t="n">
        <v>1</v>
      </c>
      <c r="B49" s="5" t="n">
        <v>1</v>
      </c>
      <c r="C49" s="5" t="s">
        <v>101</v>
      </c>
      <c r="D49" s="5" t="s">
        <v>107</v>
      </c>
      <c r="E49" s="5" t="n">
        <v>1</v>
      </c>
      <c r="F49" s="6" t="n">
        <f aca="false">IFERROR(MATCH(A49&amp;"|"&amp;B49&amp;"|"&amp;D49,'All Song Rankings'!$T:$T,0),0)</f>
        <v>6</v>
      </c>
      <c r="G49" s="6" t="str">
        <f aca="false">IF(F49=0,"NOT FOUND",INDEX('All Song Rankings'!$A:$A,F49))</f>
        <v>Euclid</v>
      </c>
      <c r="H49" s="6" t="str">
        <f aca="false">IF(F49=0,"NOT FOUND",INDEX('All Song Rankings'!$B:$B,F49))</f>
        <v>Sleep Token</v>
      </c>
      <c r="I49" s="6" t="str">
        <f aca="false">IF(F49=0,"NOT FOUND",INDEX('All Song Rankings'!$D:$D,F49))</f>
        <v>Kristen</v>
      </c>
      <c r="J49" s="7" t="str">
        <f aca="false">IF(F49=0,"NOT FOUND",IF(C49=I49,"SELF-VOTE",IF(COUNTIF($K:$K,K49)&gt;1,"DUPLICATE","OK")))</f>
        <v>OK</v>
      </c>
      <c r="K49" s="6" t="str">
        <f aca="false">A49&amp;"|"&amp;B49&amp;"|"&amp;C49&amp;"|"&amp;D49</f>
        <v>1|1|Merita|spotify:track:3hZIvVYZWsuFpdWdXQFgKx</v>
      </c>
    </row>
    <row r="50" customFormat="false" ht="15" hidden="false" customHeight="false" outlineLevel="0" collapsed="false">
      <c r="A50" s="5" t="n">
        <v>1</v>
      </c>
      <c r="B50" s="5" t="n">
        <v>1</v>
      </c>
      <c r="C50" s="5" t="s">
        <v>101</v>
      </c>
      <c r="D50" s="5" t="s">
        <v>93</v>
      </c>
      <c r="E50" s="5" t="n">
        <v>2</v>
      </c>
      <c r="F50" s="6" t="n">
        <f aca="false">IFERROR(MATCH(A50&amp;"|"&amp;B50&amp;"|"&amp;D50,'All Song Rankings'!$T:$T,0),0)</f>
        <v>3</v>
      </c>
      <c r="G50" s="6" t="str">
        <f aca="false">IF(F50=0,"NOT FOUND",INDEX('All Song Rankings'!$A:$A,F50))</f>
        <v>Shut Up and Dance</v>
      </c>
      <c r="H50" s="6" t="str">
        <f aca="false">IF(F50=0,"NOT FOUND",INDEX('All Song Rankings'!$B:$B,F50))</f>
        <v>WALK THE MOON</v>
      </c>
      <c r="I50" s="6" t="str">
        <f aca="false">IF(F50=0,"NOT FOUND",INDEX('All Song Rankings'!$D:$D,F50))</f>
        <v>Nicole</v>
      </c>
      <c r="J50" s="7" t="str">
        <f aca="false">IF(F50=0,"NOT FOUND",IF(C50=I50,"SELF-VOTE",IF(COUNTIF($K:$K,K50)&gt;1,"DUPLICATE","OK")))</f>
        <v>OK</v>
      </c>
      <c r="K50" s="6" t="str">
        <f aca="false">A50&amp;"|"&amp;B50&amp;"|"&amp;C50&amp;"|"&amp;D50</f>
        <v>1|1|Merita|spotify:track:4kbj5MwxO1bq9wjT5g9HaA</v>
      </c>
    </row>
    <row r="51" customFormat="false" ht="15" hidden="false" customHeight="false" outlineLevel="0" collapsed="false">
      <c r="A51" s="5" t="n">
        <v>1</v>
      </c>
      <c r="B51" s="5" t="n">
        <v>1</v>
      </c>
      <c r="C51" s="5" t="s">
        <v>101</v>
      </c>
      <c r="D51" s="5" t="s">
        <v>120</v>
      </c>
      <c r="E51" s="5" t="n">
        <v>1</v>
      </c>
      <c r="F51" s="6" t="n">
        <f aca="false">IFERROR(MATCH(A51&amp;"|"&amp;B51&amp;"|"&amp;D51,'All Song Rankings'!$T:$T,0),0)</f>
        <v>9</v>
      </c>
      <c r="G51" s="6" t="str">
        <f aca="false">IF(F51=0,"NOT FOUND",INDEX('All Song Rankings'!$A:$A,F51))</f>
        <v>Granite</v>
      </c>
      <c r="H51" s="6" t="str">
        <f aca="false">IF(F51=0,"NOT FOUND",INDEX('All Song Rankings'!$B:$B,F51))</f>
        <v>Sleep Token</v>
      </c>
      <c r="I51" s="6" t="str">
        <f aca="false">IF(F51=0,"NOT FOUND",INDEX('All Song Rankings'!$D:$D,F51))</f>
        <v>Leah</v>
      </c>
      <c r="J51" s="7" t="str">
        <f aca="false">IF(F51=0,"NOT FOUND",IF(C51=I51,"SELF-VOTE",IF(COUNTIF($K:$K,K51)&gt;1,"DUPLICATE","OK")))</f>
        <v>OK</v>
      </c>
      <c r="K51" s="6" t="str">
        <f aca="false">A51&amp;"|"&amp;B51&amp;"|"&amp;C51&amp;"|"&amp;D51</f>
        <v>1|1|Merita|spotify:track:4mxiv6HQfhqgIuN5iOONQd</v>
      </c>
    </row>
    <row r="52" customFormat="false" ht="15" hidden="false" customHeight="false" outlineLevel="0" collapsed="false">
      <c r="A52" s="5" t="n">
        <v>1</v>
      </c>
      <c r="B52" s="5" t="n">
        <v>1</v>
      </c>
      <c r="C52" s="5" t="s">
        <v>101</v>
      </c>
      <c r="D52" s="5" t="s">
        <v>112</v>
      </c>
      <c r="E52" s="5" t="n">
        <v>1</v>
      </c>
      <c r="F52" s="6" t="n">
        <f aca="false">IFERROR(MATCH(A52&amp;"|"&amp;B52&amp;"|"&amp;D52,'All Song Rankings'!$T:$T,0),0)</f>
        <v>7</v>
      </c>
      <c r="G52" s="6" t="str">
        <f aca="false">IF(F52=0,"NOT FOUND",INDEX('All Song Rankings'!$A:$A,F52))</f>
        <v>By My Side</v>
      </c>
      <c r="H52" s="6" t="str">
        <f aca="false">IF(F52=0,"NOT FOUND",INDEX('All Song Rankings'!$B:$B,F52))</f>
        <v>Connor Price</v>
      </c>
      <c r="I52" s="6" t="str">
        <f aca="false">IF(F52=0,"NOT FOUND",INDEX('All Song Rankings'!$D:$D,F52))</f>
        <v>Collin</v>
      </c>
      <c r="J52" s="7" t="str">
        <f aca="false">IF(F52=0,"NOT FOUND",IF(C52=I52,"SELF-VOTE",IF(COUNTIF($K:$K,K52)&gt;1,"DUPLICATE","OK")))</f>
        <v>OK</v>
      </c>
      <c r="K52" s="6" t="str">
        <f aca="false">A52&amp;"|"&amp;B52&amp;"|"&amp;C52&amp;"|"&amp;D52</f>
        <v>1|1|Merita|spotify:track:5FtOZv6MB6IWL2DneVYvoe</v>
      </c>
    </row>
    <row r="53" customFormat="false" ht="15" hidden="false" customHeight="false" outlineLevel="0" collapsed="false">
      <c r="A53" s="5" t="n">
        <v>1</v>
      </c>
      <c r="B53" s="5" t="n">
        <v>1</v>
      </c>
      <c r="C53" s="5" t="s">
        <v>101</v>
      </c>
      <c r="D53" s="5" t="s">
        <v>98</v>
      </c>
      <c r="E53" s="5" t="n">
        <v>1</v>
      </c>
      <c r="F53" s="6" t="n">
        <f aca="false">IFERROR(MATCH(A53&amp;"|"&amp;B53&amp;"|"&amp;D53,'All Song Rankings'!$T:$T,0),0)</f>
        <v>4</v>
      </c>
      <c r="G53" s="6" t="str">
        <f aca="false">IF(F53=0,"NOT FOUND",INDEX('All Song Rankings'!$A:$A,F53))</f>
        <v>Fantasy</v>
      </c>
      <c r="H53" s="6" t="str">
        <f aca="false">IF(F53=0,"NOT FOUND",INDEX('All Song Rankings'!$B:$B,F53))</f>
        <v>Mariah Carey</v>
      </c>
      <c r="I53" s="6" t="str">
        <f aca="false">IF(F53=0,"NOT FOUND",INDEX('All Song Rankings'!$D:$D,F53))</f>
        <v>Stephanie</v>
      </c>
      <c r="J53" s="7" t="str">
        <f aca="false">IF(F53=0,"NOT FOUND",IF(C53=I53,"SELF-VOTE",IF(COUNTIF($K:$K,K53)&gt;1,"DUPLICATE","OK")))</f>
        <v>OK</v>
      </c>
      <c r="K53" s="6" t="str">
        <f aca="false">A53&amp;"|"&amp;B53&amp;"|"&amp;C53&amp;"|"&amp;D53</f>
        <v>1|1|Merita|spotify:track:6xkryXuiZU360Lngd4sx13</v>
      </c>
    </row>
    <row r="54" customFormat="false" ht="15" hidden="false" customHeight="false" outlineLevel="0" collapsed="false">
      <c r="A54" s="5" t="n">
        <v>1</v>
      </c>
      <c r="B54" s="5" t="n">
        <v>1</v>
      </c>
      <c r="C54" s="5" t="s">
        <v>101</v>
      </c>
      <c r="D54" s="5" t="s">
        <v>88</v>
      </c>
      <c r="E54" s="5" t="n">
        <v>1</v>
      </c>
      <c r="F54" s="6" t="n">
        <f aca="false">IFERROR(MATCH(A54&amp;"|"&amp;B54&amp;"|"&amp;D54,'All Song Rankings'!$T:$T,0),0)</f>
        <v>2</v>
      </c>
      <c r="G54" s="6" t="str">
        <f aca="false">IF(F54=0,"NOT FOUND",INDEX('All Song Rankings'!$A:$A,F54))</f>
        <v>Love Me to Heaven</v>
      </c>
      <c r="H54" s="6" t="str">
        <f aca="false">IF(F54=0,"NOT FOUND",INDEX('All Song Rankings'!$B:$B,F54))</f>
        <v>Jonas Brothers</v>
      </c>
      <c r="I54" s="6" t="str">
        <f aca="false">IF(F54=0,"NOT FOUND",INDEX('All Song Rankings'!$D:$D,F54))</f>
        <v>Kelsey</v>
      </c>
      <c r="J54" s="7" t="str">
        <f aca="false">IF(F54=0,"NOT FOUND",IF(C54=I54,"SELF-VOTE",IF(COUNTIF($K:$K,K54)&gt;1,"DUPLICATE","OK")))</f>
        <v>OK</v>
      </c>
      <c r="K54" s="6" t="str">
        <f aca="false">A54&amp;"|"&amp;B54&amp;"|"&amp;C54&amp;"|"&amp;D54</f>
        <v>1|1|Merita|spotify:track:7usqgT1ajVAJ3s0wXePtRr</v>
      </c>
    </row>
    <row r="55" customFormat="false" ht="15" hidden="false" customHeight="false" outlineLevel="0" collapsed="false">
      <c r="A55" s="5" t="n">
        <v>1</v>
      </c>
      <c r="B55" s="5" t="n">
        <v>1</v>
      </c>
      <c r="C55" s="5" t="s">
        <v>92</v>
      </c>
      <c r="D55" s="5" t="s">
        <v>102</v>
      </c>
      <c r="E55" s="5" t="n">
        <v>2</v>
      </c>
      <c r="F55" s="6" t="n">
        <f aca="false">IFERROR(MATCH(A55&amp;"|"&amp;B55&amp;"|"&amp;D55,'All Song Rankings'!$T:$T,0),0)</f>
        <v>5</v>
      </c>
      <c r="G55" s="6" t="str">
        <f aca="false">IF(F55=0,"NOT FOUND",INDEX('All Song Rankings'!$A:$A,F55))</f>
        <v>Lonely Heart</v>
      </c>
      <c r="H55" s="6" t="str">
        <f aca="false">IF(F55=0,"NOT FOUND",INDEX('All Song Rankings'!$B:$B,F55))</f>
        <v>5 Seconds of Summer</v>
      </c>
      <c r="I55" s="6" t="str">
        <f aca="false">IF(F55=0,"NOT FOUND",INDEX('All Song Rankings'!$D:$D,F55))</f>
        <v>Merita</v>
      </c>
      <c r="J55" s="7" t="str">
        <f aca="false">IF(F55=0,"NOT FOUND",IF(C55=I55,"SELF-VOTE",IF(COUNTIF($K:$K,K55)&gt;1,"DUPLICATE","OK")))</f>
        <v>OK</v>
      </c>
      <c r="K55" s="6" t="str">
        <f aca="false">A55&amp;"|"&amp;B55&amp;"|"&amp;C55&amp;"|"&amp;D55</f>
        <v>1|1|Nicole|spotify:track:1MAXdOA4Dtz6eJMz0nEq2H</v>
      </c>
    </row>
    <row r="56" customFormat="false" ht="15" hidden="false" customHeight="false" outlineLevel="0" collapsed="false">
      <c r="A56" s="5" t="n">
        <v>1</v>
      </c>
      <c r="B56" s="5" t="n">
        <v>1</v>
      </c>
      <c r="C56" s="5" t="s">
        <v>92</v>
      </c>
      <c r="D56" s="5" t="s">
        <v>124</v>
      </c>
      <c r="E56" s="5" t="n">
        <v>2</v>
      </c>
      <c r="F56" s="6" t="n">
        <f aca="false">IFERROR(MATCH(A56&amp;"|"&amp;B56&amp;"|"&amp;D56,'All Song Rankings'!$T:$T,0),0)</f>
        <v>10</v>
      </c>
      <c r="G56" s="6" t="str">
        <f aca="false">IF(F56=0,"NOT FOUND",INDEX('All Song Rankings'!$A:$A,F56))</f>
        <v>Unwritten</v>
      </c>
      <c r="H56" s="6" t="str">
        <f aca="false">IF(F56=0,"NOT FOUND",INDEX('All Song Rankings'!$B:$B,F56))</f>
        <v>Natasha Bedingfield</v>
      </c>
      <c r="I56" s="6" t="str">
        <f aca="false">IF(F56=0,"NOT FOUND",INDEX('All Song Rankings'!$D:$D,F56))</f>
        <v>Olivia</v>
      </c>
      <c r="J56" s="7" t="str">
        <f aca="false">IF(F56=0,"NOT FOUND",IF(C56=I56,"SELF-VOTE",IF(COUNTIF($K:$K,K56)&gt;1,"DUPLICATE","OK")))</f>
        <v>OK</v>
      </c>
      <c r="K56" s="6" t="str">
        <f aca="false">A56&amp;"|"&amp;B56&amp;"|"&amp;C56&amp;"|"&amp;D56</f>
        <v>1|1|Nicole|spotify:track:3U5JVgI2x4rDyHGObzJfNf</v>
      </c>
    </row>
    <row r="57" customFormat="false" ht="15" hidden="false" customHeight="false" outlineLevel="0" collapsed="false">
      <c r="A57" s="5" t="n">
        <v>1</v>
      </c>
      <c r="B57" s="5" t="n">
        <v>1</v>
      </c>
      <c r="C57" s="5" t="s">
        <v>92</v>
      </c>
      <c r="D57" s="5" t="s">
        <v>112</v>
      </c>
      <c r="E57" s="5" t="n">
        <v>1</v>
      </c>
      <c r="F57" s="6" t="n">
        <f aca="false">IFERROR(MATCH(A57&amp;"|"&amp;B57&amp;"|"&amp;D57,'All Song Rankings'!$T:$T,0),0)</f>
        <v>7</v>
      </c>
      <c r="G57" s="6" t="str">
        <f aca="false">IF(F57=0,"NOT FOUND",INDEX('All Song Rankings'!$A:$A,F57))</f>
        <v>By My Side</v>
      </c>
      <c r="H57" s="6" t="str">
        <f aca="false">IF(F57=0,"NOT FOUND",INDEX('All Song Rankings'!$B:$B,F57))</f>
        <v>Connor Price</v>
      </c>
      <c r="I57" s="6" t="str">
        <f aca="false">IF(F57=0,"NOT FOUND",INDEX('All Song Rankings'!$D:$D,F57))</f>
        <v>Collin</v>
      </c>
      <c r="J57" s="7" t="str">
        <f aca="false">IF(F57=0,"NOT FOUND",IF(C57=I57,"SELF-VOTE",IF(COUNTIF($K:$K,K57)&gt;1,"DUPLICATE","OK")))</f>
        <v>OK</v>
      </c>
      <c r="K57" s="6" t="str">
        <f aca="false">A57&amp;"|"&amp;B57&amp;"|"&amp;C57&amp;"|"&amp;D57</f>
        <v>1|1|Nicole|spotify:track:5FtOZv6MB6IWL2DneVYvoe</v>
      </c>
    </row>
    <row r="58" customFormat="false" ht="15" hidden="false" customHeight="false" outlineLevel="0" collapsed="false">
      <c r="A58" s="5" t="n">
        <v>1</v>
      </c>
      <c r="B58" s="5" t="n">
        <v>1</v>
      </c>
      <c r="C58" s="5" t="s">
        <v>92</v>
      </c>
      <c r="D58" s="5" t="s">
        <v>98</v>
      </c>
      <c r="E58" s="5" t="n">
        <v>1</v>
      </c>
      <c r="F58" s="6" t="n">
        <f aca="false">IFERROR(MATCH(A58&amp;"|"&amp;B58&amp;"|"&amp;D58,'All Song Rankings'!$T:$T,0),0)</f>
        <v>4</v>
      </c>
      <c r="G58" s="6" t="str">
        <f aca="false">IF(F58=0,"NOT FOUND",INDEX('All Song Rankings'!$A:$A,F58))</f>
        <v>Fantasy</v>
      </c>
      <c r="H58" s="6" t="str">
        <f aca="false">IF(F58=0,"NOT FOUND",INDEX('All Song Rankings'!$B:$B,F58))</f>
        <v>Mariah Carey</v>
      </c>
      <c r="I58" s="6" t="str">
        <f aca="false">IF(F58=0,"NOT FOUND",INDEX('All Song Rankings'!$D:$D,F58))</f>
        <v>Stephanie</v>
      </c>
      <c r="J58" s="7" t="str">
        <f aca="false">IF(F58=0,"NOT FOUND",IF(C58=I58,"SELF-VOTE",IF(COUNTIF($K:$K,K58)&gt;1,"DUPLICATE","OK")))</f>
        <v>OK</v>
      </c>
      <c r="K58" s="6" t="str">
        <f aca="false">A58&amp;"|"&amp;B58&amp;"|"&amp;C58&amp;"|"&amp;D58</f>
        <v>1|1|Nicole|spotify:track:6xkryXuiZU360Lngd4sx13</v>
      </c>
    </row>
    <row r="59" customFormat="false" ht="15" hidden="false" customHeight="false" outlineLevel="0" collapsed="false">
      <c r="A59" s="5" t="n">
        <v>1</v>
      </c>
      <c r="B59" s="5" t="n">
        <v>1</v>
      </c>
      <c r="C59" s="5" t="s">
        <v>92</v>
      </c>
      <c r="D59" s="5" t="s">
        <v>88</v>
      </c>
      <c r="E59" s="5" t="n">
        <v>4</v>
      </c>
      <c r="F59" s="6" t="n">
        <f aca="false">IFERROR(MATCH(A59&amp;"|"&amp;B59&amp;"|"&amp;D59,'All Song Rankings'!$T:$T,0),0)</f>
        <v>2</v>
      </c>
      <c r="G59" s="6" t="str">
        <f aca="false">IF(F59=0,"NOT FOUND",INDEX('All Song Rankings'!$A:$A,F59))</f>
        <v>Love Me to Heaven</v>
      </c>
      <c r="H59" s="6" t="str">
        <f aca="false">IF(F59=0,"NOT FOUND",INDEX('All Song Rankings'!$B:$B,F59))</f>
        <v>Jonas Brothers</v>
      </c>
      <c r="I59" s="6" t="str">
        <f aca="false">IF(F59=0,"NOT FOUND",INDEX('All Song Rankings'!$D:$D,F59))</f>
        <v>Kelsey</v>
      </c>
      <c r="J59" s="7" t="str">
        <f aca="false">IF(F59=0,"NOT FOUND",IF(C59=I59,"SELF-VOTE",IF(COUNTIF($K:$K,K59)&gt;1,"DUPLICATE","OK")))</f>
        <v>OK</v>
      </c>
      <c r="K59" s="6" t="str">
        <f aca="false">A59&amp;"|"&amp;B59&amp;"|"&amp;C59&amp;"|"&amp;D59</f>
        <v>1|1|Nicole|spotify:track:7usqgT1ajVAJ3s0wXePtRr</v>
      </c>
    </row>
    <row r="60" customFormat="false" ht="15" hidden="false" customHeight="false" outlineLevel="0" collapsed="false">
      <c r="A60" s="5" t="n">
        <v>1</v>
      </c>
      <c r="B60" s="5" t="n">
        <v>1</v>
      </c>
      <c r="C60" s="5" t="s">
        <v>123</v>
      </c>
      <c r="D60" s="5" t="s">
        <v>102</v>
      </c>
      <c r="E60" s="5" t="n">
        <v>1</v>
      </c>
      <c r="F60" s="6" t="n">
        <f aca="false">IFERROR(MATCH(A60&amp;"|"&amp;B60&amp;"|"&amp;D60,'All Song Rankings'!$T:$T,0),0)</f>
        <v>5</v>
      </c>
      <c r="G60" s="6" t="str">
        <f aca="false">IF(F60=0,"NOT FOUND",INDEX('All Song Rankings'!$A:$A,F60))</f>
        <v>Lonely Heart</v>
      </c>
      <c r="H60" s="6" t="str">
        <f aca="false">IF(F60=0,"NOT FOUND",INDEX('All Song Rankings'!$B:$B,F60))</f>
        <v>5 Seconds of Summer</v>
      </c>
      <c r="I60" s="6" t="str">
        <f aca="false">IF(F60=0,"NOT FOUND",INDEX('All Song Rankings'!$D:$D,F60))</f>
        <v>Merita</v>
      </c>
      <c r="J60" s="7" t="str">
        <f aca="false">IF(F60=0,"NOT FOUND",IF(C60=I60,"SELF-VOTE",IF(COUNTIF($K:$K,K60)&gt;1,"DUPLICATE","OK")))</f>
        <v>OK</v>
      </c>
      <c r="K60" s="6" t="str">
        <f aca="false">A60&amp;"|"&amp;B60&amp;"|"&amp;C60&amp;"|"&amp;D60</f>
        <v>1|1|Olivia|spotify:track:1MAXdOA4Dtz6eJMz0nEq2H</v>
      </c>
    </row>
    <row r="61" customFormat="false" ht="15" hidden="false" customHeight="false" outlineLevel="0" collapsed="false">
      <c r="A61" s="5" t="n">
        <v>1</v>
      </c>
      <c r="B61" s="5" t="n">
        <v>1</v>
      </c>
      <c r="C61" s="5" t="s">
        <v>123</v>
      </c>
      <c r="D61" s="5" t="s">
        <v>93</v>
      </c>
      <c r="E61" s="5" t="n">
        <v>2</v>
      </c>
      <c r="F61" s="6" t="n">
        <f aca="false">IFERROR(MATCH(A61&amp;"|"&amp;B61&amp;"|"&amp;D61,'All Song Rankings'!$T:$T,0),0)</f>
        <v>3</v>
      </c>
      <c r="G61" s="6" t="str">
        <f aca="false">IF(F61=0,"NOT FOUND",INDEX('All Song Rankings'!$A:$A,F61))</f>
        <v>Shut Up and Dance</v>
      </c>
      <c r="H61" s="6" t="str">
        <f aca="false">IF(F61=0,"NOT FOUND",INDEX('All Song Rankings'!$B:$B,F61))</f>
        <v>WALK THE MOON</v>
      </c>
      <c r="I61" s="6" t="str">
        <f aca="false">IF(F61=0,"NOT FOUND",INDEX('All Song Rankings'!$D:$D,F61))</f>
        <v>Nicole</v>
      </c>
      <c r="J61" s="7" t="str">
        <f aca="false">IF(F61=0,"NOT FOUND",IF(C61=I61,"SELF-VOTE",IF(COUNTIF($K:$K,K61)&gt;1,"DUPLICATE","OK")))</f>
        <v>OK</v>
      </c>
      <c r="K61" s="6" t="str">
        <f aca="false">A61&amp;"|"&amp;B61&amp;"|"&amp;C61&amp;"|"&amp;D61</f>
        <v>1|1|Olivia|spotify:track:4kbj5MwxO1bq9wjT5g9HaA</v>
      </c>
    </row>
    <row r="62" customFormat="false" ht="15" hidden="false" customHeight="false" outlineLevel="0" collapsed="false">
      <c r="A62" s="5" t="n">
        <v>1</v>
      </c>
      <c r="B62" s="5" t="n">
        <v>1</v>
      </c>
      <c r="C62" s="5" t="s">
        <v>123</v>
      </c>
      <c r="D62" s="5" t="s">
        <v>120</v>
      </c>
      <c r="E62" s="5" t="n">
        <v>1</v>
      </c>
      <c r="F62" s="6" t="n">
        <f aca="false">IFERROR(MATCH(A62&amp;"|"&amp;B62&amp;"|"&amp;D62,'All Song Rankings'!$T:$T,0),0)</f>
        <v>9</v>
      </c>
      <c r="G62" s="6" t="str">
        <f aca="false">IF(F62=0,"NOT FOUND",INDEX('All Song Rankings'!$A:$A,F62))</f>
        <v>Granite</v>
      </c>
      <c r="H62" s="6" t="str">
        <f aca="false">IF(F62=0,"NOT FOUND",INDEX('All Song Rankings'!$B:$B,F62))</f>
        <v>Sleep Token</v>
      </c>
      <c r="I62" s="6" t="str">
        <f aca="false">IF(F62=0,"NOT FOUND",INDEX('All Song Rankings'!$D:$D,F62))</f>
        <v>Leah</v>
      </c>
      <c r="J62" s="7" t="str">
        <f aca="false">IF(F62=0,"NOT FOUND",IF(C62=I62,"SELF-VOTE",IF(COUNTIF($K:$K,K62)&gt;1,"DUPLICATE","OK")))</f>
        <v>OK</v>
      </c>
      <c r="K62" s="6" t="str">
        <f aca="false">A62&amp;"|"&amp;B62&amp;"|"&amp;C62&amp;"|"&amp;D62</f>
        <v>1|1|Olivia|spotify:track:4mxiv6HQfhqgIuN5iOONQd</v>
      </c>
    </row>
    <row r="63" customFormat="false" ht="15" hidden="false" customHeight="false" outlineLevel="0" collapsed="false">
      <c r="A63" s="5" t="n">
        <v>1</v>
      </c>
      <c r="B63" s="5" t="n">
        <v>1</v>
      </c>
      <c r="C63" s="5" t="s">
        <v>123</v>
      </c>
      <c r="D63" s="5" t="s">
        <v>112</v>
      </c>
      <c r="E63" s="5" t="n">
        <v>1</v>
      </c>
      <c r="F63" s="6" t="n">
        <f aca="false">IFERROR(MATCH(A63&amp;"|"&amp;B63&amp;"|"&amp;D63,'All Song Rankings'!$T:$T,0),0)</f>
        <v>7</v>
      </c>
      <c r="G63" s="6" t="str">
        <f aca="false">IF(F63=0,"NOT FOUND",INDEX('All Song Rankings'!$A:$A,F63))</f>
        <v>By My Side</v>
      </c>
      <c r="H63" s="6" t="str">
        <f aca="false">IF(F63=0,"NOT FOUND",INDEX('All Song Rankings'!$B:$B,F63))</f>
        <v>Connor Price</v>
      </c>
      <c r="I63" s="6" t="str">
        <f aca="false">IF(F63=0,"NOT FOUND",INDEX('All Song Rankings'!$D:$D,F63))</f>
        <v>Collin</v>
      </c>
      <c r="J63" s="7" t="str">
        <f aca="false">IF(F63=0,"NOT FOUND",IF(C63=I63,"SELF-VOTE",IF(COUNTIF($K:$K,K63)&gt;1,"DUPLICATE","OK")))</f>
        <v>OK</v>
      </c>
      <c r="K63" s="6" t="str">
        <f aca="false">A63&amp;"|"&amp;B63&amp;"|"&amp;C63&amp;"|"&amp;D63</f>
        <v>1|1|Olivia|spotify:track:5FtOZv6MB6IWL2DneVYvoe</v>
      </c>
    </row>
    <row r="64" customFormat="false" ht="15" hidden="false" customHeight="false" outlineLevel="0" collapsed="false">
      <c r="A64" s="5" t="n">
        <v>1</v>
      </c>
      <c r="B64" s="5" t="n">
        <v>1</v>
      </c>
      <c r="C64" s="5" t="s">
        <v>123</v>
      </c>
      <c r="D64" s="5" t="s">
        <v>98</v>
      </c>
      <c r="E64" s="5" t="n">
        <v>2</v>
      </c>
      <c r="F64" s="6" t="n">
        <f aca="false">IFERROR(MATCH(A64&amp;"|"&amp;B64&amp;"|"&amp;D64,'All Song Rankings'!$T:$T,0),0)</f>
        <v>4</v>
      </c>
      <c r="G64" s="6" t="str">
        <f aca="false">IF(F64=0,"NOT FOUND",INDEX('All Song Rankings'!$A:$A,F64))</f>
        <v>Fantasy</v>
      </c>
      <c r="H64" s="6" t="str">
        <f aca="false">IF(F64=0,"NOT FOUND",INDEX('All Song Rankings'!$B:$B,F64))</f>
        <v>Mariah Carey</v>
      </c>
      <c r="I64" s="6" t="str">
        <f aca="false">IF(F64=0,"NOT FOUND",INDEX('All Song Rankings'!$D:$D,F64))</f>
        <v>Stephanie</v>
      </c>
      <c r="J64" s="7" t="str">
        <f aca="false">IF(F64=0,"NOT FOUND",IF(C64=I64,"SELF-VOTE",IF(COUNTIF($K:$K,K64)&gt;1,"DUPLICATE","OK")))</f>
        <v>OK</v>
      </c>
      <c r="K64" s="6" t="str">
        <f aca="false">A64&amp;"|"&amp;B64&amp;"|"&amp;C64&amp;"|"&amp;D64</f>
        <v>1|1|Olivia|spotify:track:6xkryXuiZU360Lngd4sx13</v>
      </c>
    </row>
    <row r="65" customFormat="false" ht="15" hidden="false" customHeight="false" outlineLevel="0" collapsed="false">
      <c r="A65" s="5" t="n">
        <v>1</v>
      </c>
      <c r="B65" s="5" t="n">
        <v>1</v>
      </c>
      <c r="C65" s="5" t="s">
        <v>123</v>
      </c>
      <c r="D65" s="5" t="s">
        <v>88</v>
      </c>
      <c r="E65" s="5" t="n">
        <v>3</v>
      </c>
      <c r="F65" s="6" t="n">
        <f aca="false">IFERROR(MATCH(A65&amp;"|"&amp;B65&amp;"|"&amp;D65,'All Song Rankings'!$T:$T,0),0)</f>
        <v>2</v>
      </c>
      <c r="G65" s="6" t="str">
        <f aca="false">IF(F65=0,"NOT FOUND",INDEX('All Song Rankings'!$A:$A,F65))</f>
        <v>Love Me to Heaven</v>
      </c>
      <c r="H65" s="6" t="str">
        <f aca="false">IF(F65=0,"NOT FOUND",INDEX('All Song Rankings'!$B:$B,F65))</f>
        <v>Jonas Brothers</v>
      </c>
      <c r="I65" s="6" t="str">
        <f aca="false">IF(F65=0,"NOT FOUND",INDEX('All Song Rankings'!$D:$D,F65))</f>
        <v>Kelsey</v>
      </c>
      <c r="J65" s="7" t="str">
        <f aca="false">IF(F65=0,"NOT FOUND",IF(C65=I65,"SELF-VOTE",IF(COUNTIF($K:$K,K65)&gt;1,"DUPLICATE","OK")))</f>
        <v>OK</v>
      </c>
      <c r="K65" s="6" t="str">
        <f aca="false">A65&amp;"|"&amp;B65&amp;"|"&amp;C65&amp;"|"&amp;D65</f>
        <v>1|1|Olivia|spotify:track:7usqgT1ajVAJ3s0wXePtRr</v>
      </c>
    </row>
    <row r="66" customFormat="false" ht="15" hidden="false" customHeight="false" outlineLevel="0" collapsed="false">
      <c r="A66" s="5" t="n">
        <v>1</v>
      </c>
      <c r="B66" s="5" t="n">
        <v>1</v>
      </c>
      <c r="C66" s="5" t="s">
        <v>97</v>
      </c>
      <c r="D66" s="5" t="s">
        <v>117</v>
      </c>
      <c r="E66" s="5" t="n">
        <v>2</v>
      </c>
      <c r="F66" s="6" t="n">
        <f aca="false">IFERROR(MATCH(A66&amp;"|"&amp;B66&amp;"|"&amp;D66,'All Song Rankings'!$T:$T,0),0)</f>
        <v>8</v>
      </c>
      <c r="G66" s="6" t="str">
        <f aca="false">IF(F66=0,"NOT FOUND",INDEX('All Song Rankings'!$A:$A,F66))</f>
        <v>Tous les mêmes</v>
      </c>
      <c r="H66" s="6" t="str">
        <f aca="false">IF(F66=0,"NOT FOUND",INDEX('All Song Rankings'!$B:$B,F66))</f>
        <v>Stromae</v>
      </c>
      <c r="I66" s="6" t="str">
        <f aca="false">IF(F66=0,"NOT FOUND",INDEX('All Song Rankings'!$D:$D,F66))</f>
        <v>Matt</v>
      </c>
      <c r="J66" s="7" t="str">
        <f aca="false">IF(F66=0,"NOT FOUND",IF(C66=I66,"SELF-VOTE",IF(COUNTIF($K:$K,K66)&gt;1,"DUPLICATE","OK")))</f>
        <v>OK</v>
      </c>
      <c r="K66" s="6" t="str">
        <f aca="false">A66&amp;"|"&amp;B66&amp;"|"&amp;C66&amp;"|"&amp;D66</f>
        <v>1|1|Stephanie|spotify:track:1GC1MIaRMW3kfVK9VyD5Ii</v>
      </c>
    </row>
    <row r="67" customFormat="false" ht="15" hidden="false" customHeight="false" outlineLevel="0" collapsed="false">
      <c r="A67" s="5" t="n">
        <v>1</v>
      </c>
      <c r="B67" s="5" t="n">
        <v>1</v>
      </c>
      <c r="C67" s="5" t="s">
        <v>97</v>
      </c>
      <c r="D67" s="5" t="s">
        <v>102</v>
      </c>
      <c r="E67" s="5" t="n">
        <v>2</v>
      </c>
      <c r="F67" s="6" t="n">
        <f aca="false">IFERROR(MATCH(A67&amp;"|"&amp;B67&amp;"|"&amp;D67,'All Song Rankings'!$T:$T,0),0)</f>
        <v>5</v>
      </c>
      <c r="G67" s="6" t="str">
        <f aca="false">IF(F67=0,"NOT FOUND",INDEX('All Song Rankings'!$A:$A,F67))</f>
        <v>Lonely Heart</v>
      </c>
      <c r="H67" s="6" t="str">
        <f aca="false">IF(F67=0,"NOT FOUND",INDEX('All Song Rankings'!$B:$B,F67))</f>
        <v>5 Seconds of Summer</v>
      </c>
      <c r="I67" s="6" t="str">
        <f aca="false">IF(F67=0,"NOT FOUND",INDEX('All Song Rankings'!$D:$D,F67))</f>
        <v>Merita</v>
      </c>
      <c r="J67" s="7" t="str">
        <f aca="false">IF(F67=0,"NOT FOUND",IF(C67=I67,"SELF-VOTE",IF(COUNTIF($K:$K,K67)&gt;1,"DUPLICATE","OK")))</f>
        <v>OK</v>
      </c>
      <c r="K67" s="6" t="str">
        <f aca="false">A67&amp;"|"&amp;B67&amp;"|"&amp;C67&amp;"|"&amp;D67</f>
        <v>1|1|Stephanie|spotify:track:1MAXdOA4Dtz6eJMz0nEq2H</v>
      </c>
    </row>
    <row r="68" customFormat="false" ht="15" hidden="false" customHeight="false" outlineLevel="0" collapsed="false">
      <c r="A68" s="5" t="n">
        <v>1</v>
      </c>
      <c r="B68" s="5" t="n">
        <v>1</v>
      </c>
      <c r="C68" s="5" t="s">
        <v>97</v>
      </c>
      <c r="D68" s="5" t="s">
        <v>93</v>
      </c>
      <c r="E68" s="5" t="n">
        <v>1</v>
      </c>
      <c r="F68" s="6" t="n">
        <f aca="false">IFERROR(MATCH(A68&amp;"|"&amp;B68&amp;"|"&amp;D68,'All Song Rankings'!$T:$T,0),0)</f>
        <v>3</v>
      </c>
      <c r="G68" s="6" t="str">
        <f aca="false">IF(F68=0,"NOT FOUND",INDEX('All Song Rankings'!$A:$A,F68))</f>
        <v>Shut Up and Dance</v>
      </c>
      <c r="H68" s="6" t="str">
        <f aca="false">IF(F68=0,"NOT FOUND",INDEX('All Song Rankings'!$B:$B,F68))</f>
        <v>WALK THE MOON</v>
      </c>
      <c r="I68" s="6" t="str">
        <f aca="false">IF(F68=0,"NOT FOUND",INDEX('All Song Rankings'!$D:$D,F68))</f>
        <v>Nicole</v>
      </c>
      <c r="J68" s="7" t="str">
        <f aca="false">IF(F68=0,"NOT FOUND",IF(C68=I68,"SELF-VOTE",IF(COUNTIF($K:$K,K68)&gt;1,"DUPLICATE","OK")))</f>
        <v>OK</v>
      </c>
      <c r="K68" s="6" t="str">
        <f aca="false">A68&amp;"|"&amp;B68&amp;"|"&amp;C68&amp;"|"&amp;D68</f>
        <v>1|1|Stephanie|spotify:track:4kbj5MwxO1bq9wjT5g9HaA</v>
      </c>
    </row>
    <row r="69" customFormat="false" ht="15" hidden="false" customHeight="false" outlineLevel="0" collapsed="false">
      <c r="A69" s="5" t="n">
        <v>1</v>
      </c>
      <c r="B69" s="5" t="n">
        <v>1</v>
      </c>
      <c r="C69" s="5" t="s">
        <v>97</v>
      </c>
      <c r="D69" s="5" t="s">
        <v>112</v>
      </c>
      <c r="E69" s="5" t="n">
        <v>2</v>
      </c>
      <c r="F69" s="6" t="n">
        <f aca="false">IFERROR(MATCH(A69&amp;"|"&amp;B69&amp;"|"&amp;D69,'All Song Rankings'!$T:$T,0),0)</f>
        <v>7</v>
      </c>
      <c r="G69" s="6" t="str">
        <f aca="false">IF(F69=0,"NOT FOUND",INDEX('All Song Rankings'!$A:$A,F69))</f>
        <v>By My Side</v>
      </c>
      <c r="H69" s="6" t="str">
        <f aca="false">IF(F69=0,"NOT FOUND",INDEX('All Song Rankings'!$B:$B,F69))</f>
        <v>Connor Price</v>
      </c>
      <c r="I69" s="6" t="str">
        <f aca="false">IF(F69=0,"NOT FOUND",INDEX('All Song Rankings'!$D:$D,F69))</f>
        <v>Collin</v>
      </c>
      <c r="J69" s="7" t="str">
        <f aca="false">IF(F69=0,"NOT FOUND",IF(C69=I69,"SELF-VOTE",IF(COUNTIF($K:$K,K69)&gt;1,"DUPLICATE","OK")))</f>
        <v>OK</v>
      </c>
      <c r="K69" s="6" t="str">
        <f aca="false">A69&amp;"|"&amp;B69&amp;"|"&amp;C69&amp;"|"&amp;D69</f>
        <v>1|1|Stephanie|spotify:track:5FtOZv6MB6IWL2DneVYvoe</v>
      </c>
    </row>
    <row r="70" customFormat="false" ht="15" hidden="false" customHeight="false" outlineLevel="0" collapsed="false">
      <c r="A70" s="5" t="n">
        <v>1</v>
      </c>
      <c r="B70" s="5" t="n">
        <v>1</v>
      </c>
      <c r="C70" s="5" t="s">
        <v>97</v>
      </c>
      <c r="D70" s="5" t="s">
        <v>134</v>
      </c>
      <c r="E70" s="5" t="n">
        <v>2</v>
      </c>
      <c r="F70" s="6" t="n">
        <f aca="false">IFERROR(MATCH(A70&amp;"|"&amp;B70&amp;"|"&amp;D70,'All Song Rankings'!$T:$T,0),0)</f>
        <v>12</v>
      </c>
      <c r="G70" s="6" t="str">
        <f aca="false">IF(F70=0,"NOT FOUND",INDEX('All Song Rankings'!$A:$A,F70))</f>
        <v>At the Beginning</v>
      </c>
      <c r="H70" s="6" t="str">
        <f aca="false">IF(F70=0,"NOT FOUND",INDEX('All Song Rankings'!$B:$B,F70))</f>
        <v>Hollywood Sound Stars</v>
      </c>
      <c r="I70" s="6" t="str">
        <f aca="false">IF(F70=0,"NOT FOUND",INDEX('All Song Rankings'!$D:$D,F70))</f>
        <v>Maryann</v>
      </c>
      <c r="J70" s="7" t="str">
        <f aca="false">IF(F70=0,"NOT FOUND",IF(C70=I70,"SELF-VOTE",IF(COUNTIF($K:$K,K70)&gt;1,"DUPLICATE","OK")))</f>
        <v>OK</v>
      </c>
      <c r="K70" s="6" t="str">
        <f aca="false">A70&amp;"|"&amp;B70&amp;"|"&amp;C70&amp;"|"&amp;D70</f>
        <v>1|1|Stephanie|spotify:track:5Qn0AlYJHOKogfbE36or9V</v>
      </c>
    </row>
    <row r="71" customFormat="false" ht="15" hidden="false" customHeight="false" outlineLevel="0" collapsed="false">
      <c r="A71" s="5" t="n">
        <v>1</v>
      </c>
      <c r="B71" s="5" t="n">
        <v>1</v>
      </c>
      <c r="C71" s="5" t="s">
        <v>97</v>
      </c>
      <c r="D71" s="5" t="s">
        <v>88</v>
      </c>
      <c r="E71" s="5" t="n">
        <v>1</v>
      </c>
      <c r="F71" s="6" t="n">
        <f aca="false">IFERROR(MATCH(A71&amp;"|"&amp;B71&amp;"|"&amp;D71,'All Song Rankings'!$T:$T,0),0)</f>
        <v>2</v>
      </c>
      <c r="G71" s="6" t="str">
        <f aca="false">IF(F71=0,"NOT FOUND",INDEX('All Song Rankings'!$A:$A,F71))</f>
        <v>Love Me to Heaven</v>
      </c>
      <c r="H71" s="6" t="str">
        <f aca="false">IF(F71=0,"NOT FOUND",INDEX('All Song Rankings'!$B:$B,F71))</f>
        <v>Jonas Brothers</v>
      </c>
      <c r="I71" s="6" t="str">
        <f aca="false">IF(F71=0,"NOT FOUND",INDEX('All Song Rankings'!$D:$D,F71))</f>
        <v>Kelsey</v>
      </c>
      <c r="J71" s="7" t="str">
        <f aca="false">IF(F71=0,"NOT FOUND",IF(C71=I71,"SELF-VOTE",IF(COUNTIF($K:$K,K71)&gt;1,"DUPLICATE","OK")))</f>
        <v>OK</v>
      </c>
      <c r="K71" s="6" t="str">
        <f aca="false">A71&amp;"|"&amp;B71&amp;"|"&amp;C71&amp;"|"&amp;D71</f>
        <v>1|1|Stephanie|spotify:track:7usqgT1ajVAJ3s0wXePtRr</v>
      </c>
    </row>
    <row r="72" customFormat="false" ht="15" hidden="false" customHeight="false" outlineLevel="0" collapsed="false">
      <c r="A72" s="5" t="n">
        <v>1</v>
      </c>
      <c r="B72" s="5" t="n">
        <v>2</v>
      </c>
      <c r="C72" s="5" t="s">
        <v>111</v>
      </c>
      <c r="D72" s="5" t="s">
        <v>141</v>
      </c>
      <c r="E72" s="5" t="n">
        <v>2</v>
      </c>
      <c r="F72" s="6" t="n">
        <f aca="false">IFERROR(MATCH(A72&amp;"|"&amp;B72&amp;"|"&amp;D72,'All Song Rankings'!$T:$T,0),0)</f>
        <v>14</v>
      </c>
      <c r="G72" s="6" t="str">
        <f aca="false">IF(F72=0,"NOT FOUND",INDEX('All Song Rankings'!$A:$A,F72))</f>
        <v>Miss Murder</v>
      </c>
      <c r="H72" s="6" t="str">
        <f aca="false">IF(F72=0,"NOT FOUND",INDEX('All Song Rankings'!$B:$B,F72))</f>
        <v>AFI</v>
      </c>
      <c r="I72" s="6" t="str">
        <f aca="false">IF(F72=0,"NOT FOUND",INDEX('All Song Rankings'!$D:$D,F72))</f>
        <v>Logan</v>
      </c>
      <c r="J72" s="7" t="str">
        <f aca="false">IF(F72=0,"NOT FOUND",IF(C72=I72,"SELF-VOTE",IF(COUNTIF($K:$K,K72)&gt;1,"DUPLICATE","OK")))</f>
        <v>OK</v>
      </c>
      <c r="K72" s="6" t="str">
        <f aca="false">A72&amp;"|"&amp;B72&amp;"|"&amp;C72&amp;"|"&amp;D72</f>
        <v>1|2|Collin|spotify:track:0Ti2dlF2xLjXblvdU5fCxM</v>
      </c>
    </row>
    <row r="73" customFormat="false" ht="15" hidden="false" customHeight="false" outlineLevel="0" collapsed="false">
      <c r="A73" s="5" t="n">
        <v>1</v>
      </c>
      <c r="B73" s="5" t="n">
        <v>2</v>
      </c>
      <c r="C73" s="5" t="s">
        <v>111</v>
      </c>
      <c r="D73" s="5" t="s">
        <v>144</v>
      </c>
      <c r="E73" s="5" t="n">
        <v>1</v>
      </c>
      <c r="F73" s="6" t="n">
        <f aca="false">IFERROR(MATCH(A73&amp;"|"&amp;B73&amp;"|"&amp;D73,'All Song Rankings'!$T:$T,0),0)</f>
        <v>15</v>
      </c>
      <c r="G73" s="6" t="str">
        <f aca="false">IF(F73=0,"NOT FOUND",INDEX('All Song Rankings'!$A:$A,F73))</f>
        <v>Witch Doctor</v>
      </c>
      <c r="H73" s="6" t="str">
        <f aca="false">IF(F73=0,"NOT FOUND",INDEX('All Song Rankings'!$B:$B,F73))</f>
        <v>Chris Classic</v>
      </c>
      <c r="I73" s="6" t="str">
        <f aca="false">IF(F73=0,"NOT FOUND",INDEX('All Song Rankings'!$D:$D,F73))</f>
        <v>Maryann</v>
      </c>
      <c r="J73" s="7" t="str">
        <f aca="false">IF(F73=0,"NOT FOUND",IF(C73=I73,"SELF-VOTE",IF(COUNTIF($K:$K,K73)&gt;1,"DUPLICATE","OK")))</f>
        <v>OK</v>
      </c>
      <c r="K73" s="6" t="str">
        <f aca="false">A73&amp;"|"&amp;B73&amp;"|"&amp;C73&amp;"|"&amp;D73</f>
        <v>1|2|Collin|spotify:track:27K0tchvM5KszaSJEX7fj5</v>
      </c>
    </row>
    <row r="74" customFormat="false" ht="15" hidden="false" customHeight="false" outlineLevel="0" collapsed="false">
      <c r="A74" s="5" t="n">
        <v>1</v>
      </c>
      <c r="B74" s="5" t="n">
        <v>2</v>
      </c>
      <c r="C74" s="5" t="s">
        <v>111</v>
      </c>
      <c r="D74" s="5" t="s">
        <v>157</v>
      </c>
      <c r="E74" s="5" t="n">
        <v>1</v>
      </c>
      <c r="F74" s="6" t="n">
        <f aca="false">IFERROR(MATCH(A74&amp;"|"&amp;B74&amp;"|"&amp;D74,'All Song Rankings'!$T:$T,0),0)</f>
        <v>19</v>
      </c>
      <c r="G74" s="6" t="str">
        <f aca="false">IF(F74=0,"NOT FOUND",INDEX('All Song Rankings'!$A:$A,F74))</f>
        <v>Time Warp</v>
      </c>
      <c r="H74" s="6" t="str">
        <f aca="false">IF(F74=0,"NOT FOUND",INDEX('All Song Rankings'!$B:$B,F74))</f>
        <v>Little Nell, Patricia Quinn, Richard O'Brien, The Rocky Horror Picture Show</v>
      </c>
      <c r="I74" s="6" t="str">
        <f aca="false">IF(F74=0,"NOT FOUND",INDEX('All Song Rankings'!$D:$D,F74))</f>
        <v>Leah</v>
      </c>
      <c r="J74" s="7" t="str">
        <f aca="false">IF(F74=0,"NOT FOUND",IF(C74=I74,"SELF-VOTE",IF(COUNTIF($K:$K,K74)&gt;1,"DUPLICATE","OK")))</f>
        <v>OK</v>
      </c>
      <c r="K74" s="6" t="str">
        <f aca="false">A74&amp;"|"&amp;B74&amp;"|"&amp;C74&amp;"|"&amp;D74</f>
        <v>1|2|Collin|spotify:track:4WFeJTXNHIS2wURtwlAkhu</v>
      </c>
    </row>
    <row r="75" customFormat="false" ht="15" hidden="false" customHeight="false" outlineLevel="0" collapsed="false">
      <c r="A75" s="5" t="n">
        <v>1</v>
      </c>
      <c r="B75" s="5" t="n">
        <v>2</v>
      </c>
      <c r="C75" s="5" t="s">
        <v>111</v>
      </c>
      <c r="D75" s="5" t="s">
        <v>138</v>
      </c>
      <c r="E75" s="5" t="n">
        <v>4</v>
      </c>
      <c r="F75" s="6" t="n">
        <f aca="false">IFERROR(MATCH(A75&amp;"|"&amp;B75&amp;"|"&amp;D75,'All Song Rankings'!$T:$T,0),0)</f>
        <v>13</v>
      </c>
      <c r="G75" s="6" t="str">
        <f aca="false">IF(F75=0,"NOT FOUND",INDEX('All Song Rankings'!$A:$A,F75))</f>
        <v>The Ballad of the Witches' Road</v>
      </c>
      <c r="H75" s="6" t="str">
        <f aca="false">IF(F75=0,"NOT FOUND",INDEX('All Song Rankings'!$B:$B,F75))</f>
        <v>Kathryn Hahn</v>
      </c>
      <c r="I75" s="6" t="str">
        <f aca="false">IF(F75=0,"NOT FOUND",INDEX('All Song Rankings'!$D:$D,F75))</f>
        <v>Merita</v>
      </c>
      <c r="J75" s="7" t="str">
        <f aca="false">IF(F75=0,"NOT FOUND",IF(C75=I75,"SELF-VOTE",IF(COUNTIF($K:$K,K75)&gt;1,"DUPLICATE","OK")))</f>
        <v>OK</v>
      </c>
      <c r="K75" s="6" t="str">
        <f aca="false">A75&amp;"|"&amp;B75&amp;"|"&amp;C75&amp;"|"&amp;D75</f>
        <v>1|2|Collin|spotify:track:59h6Uw3m5ClwHnEcKXh8hg</v>
      </c>
    </row>
    <row r="76" customFormat="false" ht="15" hidden="false" customHeight="false" outlineLevel="0" collapsed="false">
      <c r="A76" s="5" t="n">
        <v>1</v>
      </c>
      <c r="B76" s="5" t="n">
        <v>2</v>
      </c>
      <c r="C76" s="5" t="s">
        <v>111</v>
      </c>
      <c r="D76" s="5" t="s">
        <v>165</v>
      </c>
      <c r="E76" s="5" t="n">
        <v>2</v>
      </c>
      <c r="F76" s="6" t="n">
        <f aca="false">IFERROR(MATCH(A76&amp;"|"&amp;B76&amp;"|"&amp;D76,'All Song Rankings'!$T:$T,0),0)</f>
        <v>22</v>
      </c>
      <c r="G76" s="6" t="str">
        <f aca="false">IF(F76=0,"NOT FOUND",INDEX('All Song Rankings'!$A:$A,F76))</f>
        <v>The Addams Family</v>
      </c>
      <c r="H76" s="6" t="str">
        <f aca="false">IF(F76=0,"NOT FOUND",INDEX('All Song Rankings'!$B:$B,F76))</f>
        <v>Andrew Gold</v>
      </c>
      <c r="I76" s="6" t="str">
        <f aca="false">IF(F76=0,"NOT FOUND",INDEX('All Song Rankings'!$D:$D,F76))</f>
        <v>Olivia</v>
      </c>
      <c r="J76" s="7" t="str">
        <f aca="false">IF(F76=0,"NOT FOUND",IF(C76=I76,"SELF-VOTE",IF(COUNTIF($K:$K,K76)&gt;1,"DUPLICATE","OK")))</f>
        <v>OK</v>
      </c>
      <c r="K76" s="6" t="str">
        <f aca="false">A76&amp;"|"&amp;B76&amp;"|"&amp;C76&amp;"|"&amp;D76</f>
        <v>1|2|Collin|spotify:track:6TZTu1F0gnp8mtzvYZao41</v>
      </c>
    </row>
    <row r="77" customFormat="false" ht="15" hidden="false" customHeight="false" outlineLevel="0" collapsed="false">
      <c r="A77" s="5" t="n">
        <v>1</v>
      </c>
      <c r="B77" s="5" t="n">
        <v>2</v>
      </c>
      <c r="C77" s="5" t="s">
        <v>85</v>
      </c>
      <c r="D77" s="5" t="s">
        <v>141</v>
      </c>
      <c r="E77" s="5" t="n">
        <v>1</v>
      </c>
      <c r="F77" s="6" t="n">
        <f aca="false">IFERROR(MATCH(A77&amp;"|"&amp;B77&amp;"|"&amp;D77,'All Song Rankings'!$T:$T,0),0)</f>
        <v>14</v>
      </c>
      <c r="G77" s="6" t="str">
        <f aca="false">IF(F77=0,"NOT FOUND",INDEX('All Song Rankings'!$A:$A,F77))</f>
        <v>Miss Murder</v>
      </c>
      <c r="H77" s="6" t="str">
        <f aca="false">IF(F77=0,"NOT FOUND",INDEX('All Song Rankings'!$B:$B,F77))</f>
        <v>AFI</v>
      </c>
      <c r="I77" s="6" t="str">
        <f aca="false">IF(F77=0,"NOT FOUND",INDEX('All Song Rankings'!$D:$D,F77))</f>
        <v>Logan</v>
      </c>
      <c r="J77" s="7" t="str">
        <f aca="false">IF(F77=0,"NOT FOUND",IF(C77=I77,"SELF-VOTE",IF(COUNTIF($K:$K,K77)&gt;1,"DUPLICATE","OK")))</f>
        <v>OK</v>
      </c>
      <c r="K77" s="6" t="str">
        <f aca="false">A77&amp;"|"&amp;B77&amp;"|"&amp;C77&amp;"|"&amp;D77</f>
        <v>1|2|Kelsey|spotify:track:0Ti2dlF2xLjXblvdU5fCxM</v>
      </c>
    </row>
    <row r="78" customFormat="false" ht="15" hidden="false" customHeight="false" outlineLevel="0" collapsed="false">
      <c r="A78" s="5" t="n">
        <v>1</v>
      </c>
      <c r="B78" s="5" t="n">
        <v>2</v>
      </c>
      <c r="C78" s="5" t="s">
        <v>85</v>
      </c>
      <c r="D78" s="5" t="s">
        <v>147</v>
      </c>
      <c r="E78" s="5" t="n">
        <v>1</v>
      </c>
      <c r="F78" s="6" t="n">
        <f aca="false">IFERROR(MATCH(A78&amp;"|"&amp;B78&amp;"|"&amp;D78,'All Song Rankings'!$T:$T,0),0)</f>
        <v>16</v>
      </c>
      <c r="G78" s="6" t="str">
        <f aca="false">IF(F78=0,"NOT FOUND",INDEX('All Song Rankings'!$A:$A,F78))</f>
        <v>Spooky, Scary Skeletons</v>
      </c>
      <c r="H78" s="6" t="str">
        <f aca="false">IF(F78=0,"NOT FOUND",INDEX('All Song Rankings'!$B:$B,F78))</f>
        <v>Andrew Gold</v>
      </c>
      <c r="I78" s="6" t="str">
        <f aca="false">IF(F78=0,"NOT FOUND",INDEX('All Song Rankings'!$D:$D,F78))</f>
        <v>Nicole</v>
      </c>
      <c r="J78" s="7" t="str">
        <f aca="false">IF(F78=0,"NOT FOUND",IF(C78=I78,"SELF-VOTE",IF(COUNTIF($K:$K,K78)&gt;1,"DUPLICATE","OK")))</f>
        <v>OK</v>
      </c>
      <c r="K78" s="6" t="str">
        <f aca="false">A78&amp;"|"&amp;B78&amp;"|"&amp;C78&amp;"|"&amp;D78</f>
        <v>1|2|Kelsey|spotify:track:23V08GxMeaZNSf8Gy6KF6t</v>
      </c>
    </row>
    <row r="79" customFormat="false" ht="15" hidden="false" customHeight="false" outlineLevel="0" collapsed="false">
      <c r="A79" s="5" t="n">
        <v>1</v>
      </c>
      <c r="B79" s="5" t="n">
        <v>2</v>
      </c>
      <c r="C79" s="5" t="s">
        <v>85</v>
      </c>
      <c r="D79" s="5" t="s">
        <v>144</v>
      </c>
      <c r="E79" s="5" t="n">
        <v>2</v>
      </c>
      <c r="F79" s="6" t="n">
        <f aca="false">IFERROR(MATCH(A79&amp;"|"&amp;B79&amp;"|"&amp;D79,'All Song Rankings'!$T:$T,0),0)</f>
        <v>15</v>
      </c>
      <c r="G79" s="6" t="str">
        <f aca="false">IF(F79=0,"NOT FOUND",INDEX('All Song Rankings'!$A:$A,F79))</f>
        <v>Witch Doctor</v>
      </c>
      <c r="H79" s="6" t="str">
        <f aca="false">IF(F79=0,"NOT FOUND",INDEX('All Song Rankings'!$B:$B,F79))</f>
        <v>Chris Classic</v>
      </c>
      <c r="I79" s="6" t="str">
        <f aca="false">IF(F79=0,"NOT FOUND",INDEX('All Song Rankings'!$D:$D,F79))</f>
        <v>Maryann</v>
      </c>
      <c r="J79" s="7" t="str">
        <f aca="false">IF(F79=0,"NOT FOUND",IF(C79=I79,"SELF-VOTE",IF(COUNTIF($K:$K,K79)&gt;1,"DUPLICATE","OK")))</f>
        <v>OK</v>
      </c>
      <c r="K79" s="6" t="str">
        <f aca="false">A79&amp;"|"&amp;B79&amp;"|"&amp;C79&amp;"|"&amp;D79</f>
        <v>1|2|Kelsey|spotify:track:27K0tchvM5KszaSJEX7fj5</v>
      </c>
    </row>
    <row r="80" customFormat="false" ht="15" hidden="false" customHeight="false" outlineLevel="0" collapsed="false">
      <c r="A80" s="5" t="n">
        <v>1</v>
      </c>
      <c r="B80" s="5" t="n">
        <v>2</v>
      </c>
      <c r="C80" s="5" t="s">
        <v>85</v>
      </c>
      <c r="D80" s="5" t="s">
        <v>150</v>
      </c>
      <c r="E80" s="5" t="n">
        <v>2</v>
      </c>
      <c r="F80" s="6" t="n">
        <f aca="false">IFERROR(MATCH(A80&amp;"|"&amp;B80&amp;"|"&amp;D80,'All Song Rankings'!$T:$T,0),0)</f>
        <v>17</v>
      </c>
      <c r="G80" s="6" t="str">
        <f aca="false">IF(F80=0,"NOT FOUND",INDEX('All Song Rankings'!$A:$A,F80))</f>
        <v>Beauty And A Freak</v>
      </c>
      <c r="H80" s="6" t="str">
        <f aca="false">IF(F80=0,"NOT FOUND",INDEX('All Song Rankings'!$B:$B,F80))</f>
        <v>John Michael Howell</v>
      </c>
      <c r="I80" s="6" t="str">
        <f aca="false">IF(F80=0,"NOT FOUND",INDEX('All Song Rankings'!$D:$D,F80))</f>
        <v>Collin</v>
      </c>
      <c r="J80" s="7" t="str">
        <f aca="false">IF(F80=0,"NOT FOUND",IF(C80=I80,"SELF-VOTE",IF(COUNTIF($K:$K,K80)&gt;1,"DUPLICATE","OK")))</f>
        <v>OK</v>
      </c>
      <c r="K80" s="6" t="str">
        <f aca="false">A80&amp;"|"&amp;B80&amp;"|"&amp;C80&amp;"|"&amp;D80</f>
        <v>1|2|Kelsey|spotify:track:2XsYy0zVhmSxf9qnonc5Lr</v>
      </c>
    </row>
    <row r="81" customFormat="false" ht="15" hidden="false" customHeight="false" outlineLevel="0" collapsed="false">
      <c r="A81" s="5" t="n">
        <v>1</v>
      </c>
      <c r="B81" s="5" t="n">
        <v>2</v>
      </c>
      <c r="C81" s="5" t="s">
        <v>85</v>
      </c>
      <c r="D81" s="5" t="s">
        <v>157</v>
      </c>
      <c r="E81" s="5" t="n">
        <v>1</v>
      </c>
      <c r="F81" s="6" t="n">
        <f aca="false">IFERROR(MATCH(A81&amp;"|"&amp;B81&amp;"|"&amp;D81,'All Song Rankings'!$T:$T,0),0)</f>
        <v>19</v>
      </c>
      <c r="G81" s="6" t="str">
        <f aca="false">IF(F81=0,"NOT FOUND",INDEX('All Song Rankings'!$A:$A,F81))</f>
        <v>Time Warp</v>
      </c>
      <c r="H81" s="6" t="str">
        <f aca="false">IF(F81=0,"NOT FOUND",INDEX('All Song Rankings'!$B:$B,F81))</f>
        <v>Little Nell, Patricia Quinn, Richard O'Brien, The Rocky Horror Picture Show</v>
      </c>
      <c r="I81" s="6" t="str">
        <f aca="false">IF(F81=0,"NOT FOUND",INDEX('All Song Rankings'!$D:$D,F81))</f>
        <v>Leah</v>
      </c>
      <c r="J81" s="7" t="str">
        <f aca="false">IF(F81=0,"NOT FOUND",IF(C81=I81,"SELF-VOTE",IF(COUNTIF($K:$K,K81)&gt;1,"DUPLICATE","OK")))</f>
        <v>OK</v>
      </c>
      <c r="K81" s="6" t="str">
        <f aca="false">A81&amp;"|"&amp;B81&amp;"|"&amp;C81&amp;"|"&amp;D81</f>
        <v>1|2|Kelsey|spotify:track:4WFeJTXNHIS2wURtwlAkhu</v>
      </c>
    </row>
    <row r="82" customFormat="false" ht="15" hidden="false" customHeight="false" outlineLevel="0" collapsed="false">
      <c r="A82" s="5" t="n">
        <v>1</v>
      </c>
      <c r="B82" s="5" t="n">
        <v>2</v>
      </c>
      <c r="C82" s="5" t="s">
        <v>85</v>
      </c>
      <c r="D82" s="5" t="s">
        <v>138</v>
      </c>
      <c r="E82" s="5" t="n">
        <v>2</v>
      </c>
      <c r="F82" s="6" t="n">
        <f aca="false">IFERROR(MATCH(A82&amp;"|"&amp;B82&amp;"|"&amp;D82,'All Song Rankings'!$T:$T,0),0)</f>
        <v>13</v>
      </c>
      <c r="G82" s="6" t="str">
        <f aca="false">IF(F82=0,"NOT FOUND",INDEX('All Song Rankings'!$A:$A,F82))</f>
        <v>The Ballad of the Witches' Road</v>
      </c>
      <c r="H82" s="6" t="str">
        <f aca="false">IF(F82=0,"NOT FOUND",INDEX('All Song Rankings'!$B:$B,F82))</f>
        <v>Kathryn Hahn</v>
      </c>
      <c r="I82" s="6" t="str">
        <f aca="false">IF(F82=0,"NOT FOUND",INDEX('All Song Rankings'!$D:$D,F82))</f>
        <v>Merita</v>
      </c>
      <c r="J82" s="7" t="str">
        <f aca="false">IF(F82=0,"NOT FOUND",IF(C82=I82,"SELF-VOTE",IF(COUNTIF($K:$K,K82)&gt;1,"DUPLICATE","OK")))</f>
        <v>OK</v>
      </c>
      <c r="K82" s="6" t="str">
        <f aca="false">A82&amp;"|"&amp;B82&amp;"|"&amp;C82&amp;"|"&amp;D82</f>
        <v>1|2|Kelsey|spotify:track:59h6Uw3m5ClwHnEcKXh8hg</v>
      </c>
    </row>
    <row r="83" customFormat="false" ht="15" hidden="false" customHeight="false" outlineLevel="0" collapsed="false">
      <c r="A83" s="5" t="n">
        <v>1</v>
      </c>
      <c r="B83" s="5" t="n">
        <v>2</v>
      </c>
      <c r="C83" s="5" t="s">
        <v>85</v>
      </c>
      <c r="D83" s="5" t="s">
        <v>154</v>
      </c>
      <c r="E83" s="5" t="n">
        <v>1</v>
      </c>
      <c r="F83" s="6" t="n">
        <f aca="false">IFERROR(MATCH(A83&amp;"|"&amp;B83&amp;"|"&amp;D83,'All Song Rankings'!$T:$T,0),0)</f>
        <v>18</v>
      </c>
      <c r="G83" s="6" t="str">
        <f aca="false">IF(F83=0,"NOT FOUND",INDEX('All Song Rankings'!$A:$A,F83))</f>
        <v>vampire</v>
      </c>
      <c r="H83" s="6" t="str">
        <f aca="false">IF(F83=0,"NOT FOUND",INDEX('All Song Rankings'!$B:$B,F83))</f>
        <v>Olivia Rodrigo</v>
      </c>
      <c r="I83" s="6" t="str">
        <f aca="false">IF(F83=0,"NOT FOUND",INDEX('All Song Rankings'!$D:$D,F83))</f>
        <v>Matt</v>
      </c>
      <c r="J83" s="7" t="str">
        <f aca="false">IF(F83=0,"NOT FOUND",IF(C83=I83,"SELF-VOTE",IF(COUNTIF($K:$K,K83)&gt;1,"DUPLICATE","OK")))</f>
        <v>OK</v>
      </c>
      <c r="K83" s="6" t="str">
        <f aca="false">A83&amp;"|"&amp;B83&amp;"|"&amp;C83&amp;"|"&amp;D83</f>
        <v>1|2|Kelsey|spotify:track:5VJETUjJ7y46bAz4min5IB</v>
      </c>
    </row>
    <row r="84" customFormat="false" ht="15" hidden="false" customHeight="false" outlineLevel="0" collapsed="false">
      <c r="A84" s="5" t="n">
        <v>1</v>
      </c>
      <c r="B84" s="5" t="n">
        <v>2</v>
      </c>
      <c r="C84" s="5" t="s">
        <v>106</v>
      </c>
      <c r="D84" s="5" t="s">
        <v>141</v>
      </c>
      <c r="E84" s="5" t="n">
        <v>2</v>
      </c>
      <c r="F84" s="6" t="n">
        <f aca="false">IFERROR(MATCH(A84&amp;"|"&amp;B84&amp;"|"&amp;D84,'All Song Rankings'!$T:$T,0),0)</f>
        <v>14</v>
      </c>
      <c r="G84" s="6" t="str">
        <f aca="false">IF(F84=0,"NOT FOUND",INDEX('All Song Rankings'!$A:$A,F84))</f>
        <v>Miss Murder</v>
      </c>
      <c r="H84" s="6" t="str">
        <f aca="false">IF(F84=0,"NOT FOUND",INDEX('All Song Rankings'!$B:$B,F84))</f>
        <v>AFI</v>
      </c>
      <c r="I84" s="6" t="str">
        <f aca="false">IF(F84=0,"NOT FOUND",INDEX('All Song Rankings'!$D:$D,F84))</f>
        <v>Logan</v>
      </c>
      <c r="J84" s="7" t="str">
        <f aca="false">IF(F84=0,"NOT FOUND",IF(C84=I84,"SELF-VOTE",IF(COUNTIF($K:$K,K84)&gt;1,"DUPLICATE","OK")))</f>
        <v>OK</v>
      </c>
      <c r="K84" s="6" t="str">
        <f aca="false">A84&amp;"|"&amp;B84&amp;"|"&amp;C84&amp;"|"&amp;D84</f>
        <v>1|2|Kristen|spotify:track:0Ti2dlF2xLjXblvdU5fCxM</v>
      </c>
    </row>
    <row r="85" customFormat="false" ht="15" hidden="false" customHeight="false" outlineLevel="0" collapsed="false">
      <c r="A85" s="5" t="n">
        <v>1</v>
      </c>
      <c r="B85" s="5" t="n">
        <v>2</v>
      </c>
      <c r="C85" s="5" t="s">
        <v>106</v>
      </c>
      <c r="D85" s="5" t="s">
        <v>150</v>
      </c>
      <c r="E85" s="5" t="n">
        <v>1</v>
      </c>
      <c r="F85" s="6" t="n">
        <f aca="false">IFERROR(MATCH(A85&amp;"|"&amp;B85&amp;"|"&amp;D85,'All Song Rankings'!$T:$T,0),0)</f>
        <v>17</v>
      </c>
      <c r="G85" s="6" t="str">
        <f aca="false">IF(F85=0,"NOT FOUND",INDEX('All Song Rankings'!$A:$A,F85))</f>
        <v>Beauty And A Freak</v>
      </c>
      <c r="H85" s="6" t="str">
        <f aca="false">IF(F85=0,"NOT FOUND",INDEX('All Song Rankings'!$B:$B,F85))</f>
        <v>John Michael Howell</v>
      </c>
      <c r="I85" s="6" t="str">
        <f aca="false">IF(F85=0,"NOT FOUND",INDEX('All Song Rankings'!$D:$D,F85))</f>
        <v>Collin</v>
      </c>
      <c r="J85" s="7" t="str">
        <f aca="false">IF(F85=0,"NOT FOUND",IF(C85=I85,"SELF-VOTE",IF(COUNTIF($K:$K,K85)&gt;1,"DUPLICATE","OK")))</f>
        <v>OK</v>
      </c>
      <c r="K85" s="6" t="str">
        <f aca="false">A85&amp;"|"&amp;B85&amp;"|"&amp;C85&amp;"|"&amp;D85</f>
        <v>1|2|Kristen|spotify:track:2XsYy0zVhmSxf9qnonc5Lr</v>
      </c>
    </row>
    <row r="86" customFormat="false" ht="15" hidden="false" customHeight="false" outlineLevel="0" collapsed="false">
      <c r="A86" s="5" t="n">
        <v>1</v>
      </c>
      <c r="B86" s="5" t="n">
        <v>2</v>
      </c>
      <c r="C86" s="5" t="s">
        <v>106</v>
      </c>
      <c r="D86" s="5" t="s">
        <v>160</v>
      </c>
      <c r="E86" s="5" t="n">
        <v>1</v>
      </c>
      <c r="F86" s="6" t="n">
        <f aca="false">IFERROR(MATCH(A86&amp;"|"&amp;B86&amp;"|"&amp;D86,'All Song Rankings'!$T:$T,0),0)</f>
        <v>20</v>
      </c>
      <c r="G86" s="6" t="str">
        <f aca="false">IF(F86=0,"NOT FOUND",INDEX('All Song Rankings'!$A:$A,F86))</f>
        <v>The Dead Dance</v>
      </c>
      <c r="H86" s="6" t="str">
        <f aca="false">IF(F86=0,"NOT FOUND",INDEX('All Song Rankings'!$B:$B,F86))</f>
        <v>Lady Gaga</v>
      </c>
      <c r="I86" s="6" t="str">
        <f aca="false">IF(F86=0,"NOT FOUND",INDEX('All Song Rankings'!$D:$D,F86))</f>
        <v>Kelsey</v>
      </c>
      <c r="J86" s="7" t="str">
        <f aca="false">IF(F86=0,"NOT FOUND",IF(C86=I86,"SELF-VOTE",IF(COUNTIF($K:$K,K86)&gt;1,"DUPLICATE","OK")))</f>
        <v>OK</v>
      </c>
      <c r="K86" s="6" t="str">
        <f aca="false">A86&amp;"|"&amp;B86&amp;"|"&amp;C86&amp;"|"&amp;D86</f>
        <v>1|2|Kristen|spotify:track:3NFs3XUduzBfvc5Bx1gmzh</v>
      </c>
    </row>
    <row r="87" customFormat="false" ht="15" hidden="false" customHeight="false" outlineLevel="0" collapsed="false">
      <c r="A87" s="5" t="n">
        <v>1</v>
      </c>
      <c r="B87" s="5" t="n">
        <v>2</v>
      </c>
      <c r="C87" s="5" t="s">
        <v>106</v>
      </c>
      <c r="D87" s="5" t="s">
        <v>157</v>
      </c>
      <c r="E87" s="5" t="n">
        <v>2</v>
      </c>
      <c r="F87" s="6" t="n">
        <f aca="false">IFERROR(MATCH(A87&amp;"|"&amp;B87&amp;"|"&amp;D87,'All Song Rankings'!$T:$T,0),0)</f>
        <v>19</v>
      </c>
      <c r="G87" s="6" t="str">
        <f aca="false">IF(F87=0,"NOT FOUND",INDEX('All Song Rankings'!$A:$A,F87))</f>
        <v>Time Warp</v>
      </c>
      <c r="H87" s="6" t="str">
        <f aca="false">IF(F87=0,"NOT FOUND",INDEX('All Song Rankings'!$B:$B,F87))</f>
        <v>Little Nell, Patricia Quinn, Richard O'Brien, The Rocky Horror Picture Show</v>
      </c>
      <c r="I87" s="6" t="str">
        <f aca="false">IF(F87=0,"NOT FOUND",INDEX('All Song Rankings'!$D:$D,F87))</f>
        <v>Leah</v>
      </c>
      <c r="J87" s="7" t="str">
        <f aca="false">IF(F87=0,"NOT FOUND",IF(C87=I87,"SELF-VOTE",IF(COUNTIF($K:$K,K87)&gt;1,"DUPLICATE","OK")))</f>
        <v>OK</v>
      </c>
      <c r="K87" s="6" t="str">
        <f aca="false">A87&amp;"|"&amp;B87&amp;"|"&amp;C87&amp;"|"&amp;D87</f>
        <v>1|2|Kristen|spotify:track:4WFeJTXNHIS2wURtwlAkhu</v>
      </c>
    </row>
    <row r="88" customFormat="false" ht="15" hidden="false" customHeight="false" outlineLevel="0" collapsed="false">
      <c r="A88" s="5" t="n">
        <v>1</v>
      </c>
      <c r="B88" s="5" t="n">
        <v>2</v>
      </c>
      <c r="C88" s="5" t="s">
        <v>106</v>
      </c>
      <c r="D88" s="5" t="s">
        <v>138</v>
      </c>
      <c r="E88" s="5" t="n">
        <v>1</v>
      </c>
      <c r="F88" s="6" t="n">
        <f aca="false">IFERROR(MATCH(A88&amp;"|"&amp;B88&amp;"|"&amp;D88,'All Song Rankings'!$T:$T,0),0)</f>
        <v>13</v>
      </c>
      <c r="G88" s="6" t="str">
        <f aca="false">IF(F88=0,"NOT FOUND",INDEX('All Song Rankings'!$A:$A,F88))</f>
        <v>The Ballad of the Witches' Road</v>
      </c>
      <c r="H88" s="6" t="str">
        <f aca="false">IF(F88=0,"NOT FOUND",INDEX('All Song Rankings'!$B:$B,F88))</f>
        <v>Kathryn Hahn</v>
      </c>
      <c r="I88" s="6" t="str">
        <f aca="false">IF(F88=0,"NOT FOUND",INDEX('All Song Rankings'!$D:$D,F88))</f>
        <v>Merita</v>
      </c>
      <c r="J88" s="7" t="str">
        <f aca="false">IF(F88=0,"NOT FOUND",IF(C88=I88,"SELF-VOTE",IF(COUNTIF($K:$K,K88)&gt;1,"DUPLICATE","OK")))</f>
        <v>OK</v>
      </c>
      <c r="K88" s="6" t="str">
        <f aca="false">A88&amp;"|"&amp;B88&amp;"|"&amp;C88&amp;"|"&amp;D88</f>
        <v>1|2|Kristen|spotify:track:59h6Uw3m5ClwHnEcKXh8hg</v>
      </c>
    </row>
    <row r="89" customFormat="false" ht="15" hidden="false" customHeight="false" outlineLevel="0" collapsed="false">
      <c r="A89" s="5" t="n">
        <v>1</v>
      </c>
      <c r="B89" s="5" t="n">
        <v>2</v>
      </c>
      <c r="C89" s="5" t="s">
        <v>106</v>
      </c>
      <c r="D89" s="5" t="s">
        <v>163</v>
      </c>
      <c r="E89" s="5" t="n">
        <v>3</v>
      </c>
      <c r="F89" s="6" t="n">
        <f aca="false">IFERROR(MATCH(A89&amp;"|"&amp;B89&amp;"|"&amp;D89,'All Song Rankings'!$T:$T,0),0)</f>
        <v>21</v>
      </c>
      <c r="G89" s="6" t="str">
        <f aca="false">IF(F89=0,"NOT FOUND",INDEX('All Song Rankings'!$A:$A,F89))</f>
        <v>Dragula</v>
      </c>
      <c r="H89" s="6" t="str">
        <f aca="false">IF(F89=0,"NOT FOUND",INDEX('All Song Rankings'!$B:$B,F89))</f>
        <v>Rob Zombie</v>
      </c>
      <c r="I89" s="6" t="str">
        <f aca="false">IF(F89=0,"NOT FOUND",INDEX('All Song Rankings'!$D:$D,F89))</f>
        <v>Stephanie</v>
      </c>
      <c r="J89" s="7" t="str">
        <f aca="false">IF(F89=0,"NOT FOUND",IF(C89=I89,"SELF-VOTE",IF(COUNTIF($K:$K,K89)&gt;1,"DUPLICATE","OK")))</f>
        <v>OK</v>
      </c>
      <c r="K89" s="6" t="str">
        <f aca="false">A89&amp;"|"&amp;B89&amp;"|"&amp;C89&amp;"|"&amp;D89</f>
        <v>1|2|Kristen|spotify:track:6Nm8h73ycDG2saCnZV8poF</v>
      </c>
    </row>
    <row r="90" customFormat="false" ht="15" hidden="false" customHeight="false" outlineLevel="0" collapsed="false">
      <c r="A90" s="5" t="n">
        <v>1</v>
      </c>
      <c r="B90" s="5" t="n">
        <v>2</v>
      </c>
      <c r="C90" s="5" t="s">
        <v>119</v>
      </c>
      <c r="D90" s="5" t="s">
        <v>141</v>
      </c>
      <c r="E90" s="5" t="n">
        <v>2</v>
      </c>
      <c r="F90" s="6" t="n">
        <f aca="false">IFERROR(MATCH(A90&amp;"|"&amp;B90&amp;"|"&amp;D90,'All Song Rankings'!$T:$T,0),0)</f>
        <v>14</v>
      </c>
      <c r="G90" s="6" t="str">
        <f aca="false">IF(F90=0,"NOT FOUND",INDEX('All Song Rankings'!$A:$A,F90))</f>
        <v>Miss Murder</v>
      </c>
      <c r="H90" s="6" t="str">
        <f aca="false">IF(F90=0,"NOT FOUND",INDEX('All Song Rankings'!$B:$B,F90))</f>
        <v>AFI</v>
      </c>
      <c r="I90" s="6" t="str">
        <f aca="false">IF(F90=0,"NOT FOUND",INDEX('All Song Rankings'!$D:$D,F90))</f>
        <v>Logan</v>
      </c>
      <c r="J90" s="7" t="str">
        <f aca="false">IF(F90=0,"NOT FOUND",IF(C90=I90,"SELF-VOTE",IF(COUNTIF($K:$K,K90)&gt;1,"DUPLICATE","OK")))</f>
        <v>OK</v>
      </c>
      <c r="K90" s="6" t="str">
        <f aca="false">A90&amp;"|"&amp;B90&amp;"|"&amp;C90&amp;"|"&amp;D90</f>
        <v>1|2|Leah|spotify:track:0Ti2dlF2xLjXblvdU5fCxM</v>
      </c>
    </row>
    <row r="91" customFormat="false" ht="15" hidden="false" customHeight="false" outlineLevel="0" collapsed="false">
      <c r="A91" s="5" t="n">
        <v>1</v>
      </c>
      <c r="B91" s="5" t="n">
        <v>2</v>
      </c>
      <c r="C91" s="5" t="s">
        <v>119</v>
      </c>
      <c r="D91" s="5" t="s">
        <v>150</v>
      </c>
      <c r="E91" s="5" t="n">
        <v>1</v>
      </c>
      <c r="F91" s="6" t="n">
        <f aca="false">IFERROR(MATCH(A91&amp;"|"&amp;B91&amp;"|"&amp;D91,'All Song Rankings'!$T:$T,0),0)</f>
        <v>17</v>
      </c>
      <c r="G91" s="6" t="str">
        <f aca="false">IF(F91=0,"NOT FOUND",INDEX('All Song Rankings'!$A:$A,F91))</f>
        <v>Beauty And A Freak</v>
      </c>
      <c r="H91" s="6" t="str">
        <f aca="false">IF(F91=0,"NOT FOUND",INDEX('All Song Rankings'!$B:$B,F91))</f>
        <v>John Michael Howell</v>
      </c>
      <c r="I91" s="6" t="str">
        <f aca="false">IF(F91=0,"NOT FOUND",INDEX('All Song Rankings'!$D:$D,F91))</f>
        <v>Collin</v>
      </c>
      <c r="J91" s="7" t="str">
        <f aca="false">IF(F91=0,"NOT FOUND",IF(C91=I91,"SELF-VOTE",IF(COUNTIF($K:$K,K91)&gt;1,"DUPLICATE","OK")))</f>
        <v>OK</v>
      </c>
      <c r="K91" s="6" t="str">
        <f aca="false">A91&amp;"|"&amp;B91&amp;"|"&amp;C91&amp;"|"&amp;D91</f>
        <v>1|2|Leah|spotify:track:2XsYy0zVhmSxf9qnonc5Lr</v>
      </c>
    </row>
    <row r="92" customFormat="false" ht="15" hidden="false" customHeight="false" outlineLevel="0" collapsed="false">
      <c r="A92" s="5" t="n">
        <v>1</v>
      </c>
      <c r="B92" s="5" t="n">
        <v>2</v>
      </c>
      <c r="C92" s="5" t="s">
        <v>119</v>
      </c>
      <c r="D92" s="5" t="s">
        <v>160</v>
      </c>
      <c r="E92" s="5" t="n">
        <v>2</v>
      </c>
      <c r="F92" s="6" t="n">
        <f aca="false">IFERROR(MATCH(A92&amp;"|"&amp;B92&amp;"|"&amp;D92,'All Song Rankings'!$T:$T,0),0)</f>
        <v>20</v>
      </c>
      <c r="G92" s="6" t="str">
        <f aca="false">IF(F92=0,"NOT FOUND",INDEX('All Song Rankings'!$A:$A,F92))</f>
        <v>The Dead Dance</v>
      </c>
      <c r="H92" s="6" t="str">
        <f aca="false">IF(F92=0,"NOT FOUND",INDEX('All Song Rankings'!$B:$B,F92))</f>
        <v>Lady Gaga</v>
      </c>
      <c r="I92" s="6" t="str">
        <f aca="false">IF(F92=0,"NOT FOUND",INDEX('All Song Rankings'!$D:$D,F92))</f>
        <v>Kelsey</v>
      </c>
      <c r="J92" s="7" t="str">
        <f aca="false">IF(F92=0,"NOT FOUND",IF(C92=I92,"SELF-VOTE",IF(COUNTIF($K:$K,K92)&gt;1,"DUPLICATE","OK")))</f>
        <v>OK</v>
      </c>
      <c r="K92" s="6" t="str">
        <f aca="false">A92&amp;"|"&amp;B92&amp;"|"&amp;C92&amp;"|"&amp;D92</f>
        <v>1|2|Leah|spotify:track:3NFs3XUduzBfvc5Bx1gmzh</v>
      </c>
    </row>
    <row r="93" customFormat="false" ht="15" hidden="false" customHeight="false" outlineLevel="0" collapsed="false">
      <c r="A93" s="5" t="n">
        <v>1</v>
      </c>
      <c r="B93" s="5" t="n">
        <v>2</v>
      </c>
      <c r="C93" s="5" t="s">
        <v>119</v>
      </c>
      <c r="D93" s="5" t="s">
        <v>168</v>
      </c>
      <c r="E93" s="5" t="n">
        <v>2</v>
      </c>
      <c r="F93" s="6" t="n">
        <f aca="false">IFERROR(MATCH(A93&amp;"|"&amp;B93&amp;"|"&amp;D93,'All Song Rankings'!$T:$T,0),0)</f>
        <v>23</v>
      </c>
      <c r="G93" s="6" t="str">
        <f aca="false">IF(F93=0,"NOT FOUND",INDEX('All Song Rankings'!$A:$A,F93))</f>
        <v>You Make Me Feel Like It's Halloween</v>
      </c>
      <c r="H93" s="6" t="str">
        <f aca="false">IF(F93=0,"NOT FOUND",INDEX('All Song Rankings'!$B:$B,F93))</f>
        <v>Muse</v>
      </c>
      <c r="I93" s="6" t="str">
        <f aca="false">IF(F93=0,"NOT FOUND",INDEX('All Song Rankings'!$D:$D,F93))</f>
        <v>Kristen</v>
      </c>
      <c r="J93" s="7" t="str">
        <f aca="false">IF(F93=0,"NOT FOUND",IF(C93=I93,"SELF-VOTE",IF(COUNTIF($K:$K,K93)&gt;1,"DUPLICATE","OK")))</f>
        <v>OK</v>
      </c>
      <c r="K93" s="6" t="str">
        <f aca="false">A93&amp;"|"&amp;B93&amp;"|"&amp;C93&amp;"|"&amp;D93</f>
        <v>1|2|Leah|spotify:track:4k0hvjglHbcZI203QI4pF7</v>
      </c>
    </row>
    <row r="94" customFormat="false" ht="15" hidden="false" customHeight="false" outlineLevel="0" collapsed="false">
      <c r="A94" s="5" t="n">
        <v>1</v>
      </c>
      <c r="B94" s="5" t="n">
        <v>2</v>
      </c>
      <c r="C94" s="5" t="s">
        <v>119</v>
      </c>
      <c r="D94" s="5" t="s">
        <v>154</v>
      </c>
      <c r="E94" s="5" t="n">
        <v>1</v>
      </c>
      <c r="F94" s="6" t="n">
        <f aca="false">IFERROR(MATCH(A94&amp;"|"&amp;B94&amp;"|"&amp;D94,'All Song Rankings'!$T:$T,0),0)</f>
        <v>18</v>
      </c>
      <c r="G94" s="6" t="str">
        <f aca="false">IF(F94=0,"NOT FOUND",INDEX('All Song Rankings'!$A:$A,F94))</f>
        <v>vampire</v>
      </c>
      <c r="H94" s="6" t="str">
        <f aca="false">IF(F94=0,"NOT FOUND",INDEX('All Song Rankings'!$B:$B,F94))</f>
        <v>Olivia Rodrigo</v>
      </c>
      <c r="I94" s="6" t="str">
        <f aca="false">IF(F94=0,"NOT FOUND",INDEX('All Song Rankings'!$D:$D,F94))</f>
        <v>Matt</v>
      </c>
      <c r="J94" s="7" t="str">
        <f aca="false">IF(F94=0,"NOT FOUND",IF(C94=I94,"SELF-VOTE",IF(COUNTIF($K:$K,K94)&gt;1,"DUPLICATE","OK")))</f>
        <v>OK</v>
      </c>
      <c r="K94" s="6" t="str">
        <f aca="false">A94&amp;"|"&amp;B94&amp;"|"&amp;C94&amp;"|"&amp;D94</f>
        <v>1|2|Leah|spotify:track:5VJETUjJ7y46bAz4min5IB</v>
      </c>
    </row>
    <row r="95" customFormat="false" ht="15" hidden="false" customHeight="false" outlineLevel="0" collapsed="false">
      <c r="A95" s="5" t="n">
        <v>1</v>
      </c>
      <c r="B95" s="5" t="n">
        <v>2</v>
      </c>
      <c r="C95" s="5" t="s">
        <v>119</v>
      </c>
      <c r="D95" s="5" t="s">
        <v>163</v>
      </c>
      <c r="E95" s="5" t="n">
        <v>2</v>
      </c>
      <c r="F95" s="6" t="n">
        <f aca="false">IFERROR(MATCH(A95&amp;"|"&amp;B95&amp;"|"&amp;D95,'All Song Rankings'!$T:$T,0),0)</f>
        <v>21</v>
      </c>
      <c r="G95" s="6" t="str">
        <f aca="false">IF(F95=0,"NOT FOUND",INDEX('All Song Rankings'!$A:$A,F95))</f>
        <v>Dragula</v>
      </c>
      <c r="H95" s="6" t="str">
        <f aca="false">IF(F95=0,"NOT FOUND",INDEX('All Song Rankings'!$B:$B,F95))</f>
        <v>Rob Zombie</v>
      </c>
      <c r="I95" s="6" t="str">
        <f aca="false">IF(F95=0,"NOT FOUND",INDEX('All Song Rankings'!$D:$D,F95))</f>
        <v>Stephanie</v>
      </c>
      <c r="J95" s="7" t="str">
        <f aca="false">IF(F95=0,"NOT FOUND",IF(C95=I95,"SELF-VOTE",IF(COUNTIF($K:$K,K95)&gt;1,"DUPLICATE","OK")))</f>
        <v>OK</v>
      </c>
      <c r="K95" s="6" t="str">
        <f aca="false">A95&amp;"|"&amp;B95&amp;"|"&amp;C95&amp;"|"&amp;D95</f>
        <v>1|2|Leah|spotify:track:6Nm8h73ycDG2saCnZV8poF</v>
      </c>
    </row>
    <row r="96" customFormat="false" ht="15" hidden="false" customHeight="false" outlineLevel="0" collapsed="false">
      <c r="A96" s="5" t="n">
        <v>1</v>
      </c>
      <c r="B96" s="5" t="n">
        <v>2</v>
      </c>
      <c r="C96" s="5" t="s">
        <v>128</v>
      </c>
      <c r="D96" s="5" t="s">
        <v>147</v>
      </c>
      <c r="E96" s="5" t="n">
        <v>1</v>
      </c>
      <c r="F96" s="6" t="n">
        <f aca="false">IFERROR(MATCH(A96&amp;"|"&amp;B96&amp;"|"&amp;D96,'All Song Rankings'!$T:$T,0),0)</f>
        <v>16</v>
      </c>
      <c r="G96" s="6" t="str">
        <f aca="false">IF(F96=0,"NOT FOUND",INDEX('All Song Rankings'!$A:$A,F96))</f>
        <v>Spooky, Scary Skeletons</v>
      </c>
      <c r="H96" s="6" t="str">
        <f aca="false">IF(F96=0,"NOT FOUND",INDEX('All Song Rankings'!$B:$B,F96))</f>
        <v>Andrew Gold</v>
      </c>
      <c r="I96" s="6" t="str">
        <f aca="false">IF(F96=0,"NOT FOUND",INDEX('All Song Rankings'!$D:$D,F96))</f>
        <v>Nicole</v>
      </c>
      <c r="J96" s="7" t="str">
        <f aca="false">IF(F96=0,"NOT FOUND",IF(C96=I96,"SELF-VOTE",IF(COUNTIF($K:$K,K96)&gt;1,"DUPLICATE","OK")))</f>
        <v>OK</v>
      </c>
      <c r="K96" s="6" t="str">
        <f aca="false">A96&amp;"|"&amp;B96&amp;"|"&amp;C96&amp;"|"&amp;D96</f>
        <v>1|2|Logan|spotify:track:23V08GxMeaZNSf8Gy6KF6t</v>
      </c>
    </row>
    <row r="97" customFormat="false" ht="15" hidden="false" customHeight="false" outlineLevel="0" collapsed="false">
      <c r="A97" s="5" t="n">
        <v>1</v>
      </c>
      <c r="B97" s="5" t="n">
        <v>2</v>
      </c>
      <c r="C97" s="5" t="s">
        <v>128</v>
      </c>
      <c r="D97" s="5" t="s">
        <v>144</v>
      </c>
      <c r="E97" s="5" t="n">
        <v>2</v>
      </c>
      <c r="F97" s="6" t="n">
        <f aca="false">IFERROR(MATCH(A97&amp;"|"&amp;B97&amp;"|"&amp;D97,'All Song Rankings'!$T:$T,0),0)</f>
        <v>15</v>
      </c>
      <c r="G97" s="6" t="str">
        <f aca="false">IF(F97=0,"NOT FOUND",INDEX('All Song Rankings'!$A:$A,F97))</f>
        <v>Witch Doctor</v>
      </c>
      <c r="H97" s="6" t="str">
        <f aca="false">IF(F97=0,"NOT FOUND",INDEX('All Song Rankings'!$B:$B,F97))</f>
        <v>Chris Classic</v>
      </c>
      <c r="I97" s="6" t="str">
        <f aca="false">IF(F97=0,"NOT FOUND",INDEX('All Song Rankings'!$D:$D,F97))</f>
        <v>Maryann</v>
      </c>
      <c r="J97" s="7" t="str">
        <f aca="false">IF(F97=0,"NOT FOUND",IF(C97=I97,"SELF-VOTE",IF(COUNTIF($K:$K,K97)&gt;1,"DUPLICATE","OK")))</f>
        <v>OK</v>
      </c>
      <c r="K97" s="6" t="str">
        <f aca="false">A97&amp;"|"&amp;B97&amp;"|"&amp;C97&amp;"|"&amp;D97</f>
        <v>1|2|Logan|spotify:track:27K0tchvM5KszaSJEX7fj5</v>
      </c>
    </row>
    <row r="98" customFormat="false" ht="15" hidden="false" customHeight="false" outlineLevel="0" collapsed="false">
      <c r="A98" s="5" t="n">
        <v>1</v>
      </c>
      <c r="B98" s="5" t="n">
        <v>2</v>
      </c>
      <c r="C98" s="5" t="s">
        <v>128</v>
      </c>
      <c r="D98" s="5" t="s">
        <v>150</v>
      </c>
      <c r="E98" s="5" t="n">
        <v>1</v>
      </c>
      <c r="F98" s="6" t="n">
        <f aca="false">IFERROR(MATCH(A98&amp;"|"&amp;B98&amp;"|"&amp;D98,'All Song Rankings'!$T:$T,0),0)</f>
        <v>17</v>
      </c>
      <c r="G98" s="6" t="str">
        <f aca="false">IF(F98=0,"NOT FOUND",INDEX('All Song Rankings'!$A:$A,F98))</f>
        <v>Beauty And A Freak</v>
      </c>
      <c r="H98" s="6" t="str">
        <f aca="false">IF(F98=0,"NOT FOUND",INDEX('All Song Rankings'!$B:$B,F98))</f>
        <v>John Michael Howell</v>
      </c>
      <c r="I98" s="6" t="str">
        <f aca="false">IF(F98=0,"NOT FOUND",INDEX('All Song Rankings'!$D:$D,F98))</f>
        <v>Collin</v>
      </c>
      <c r="J98" s="7" t="str">
        <f aca="false">IF(F98=0,"NOT FOUND",IF(C98=I98,"SELF-VOTE",IF(COUNTIF($K:$K,K98)&gt;1,"DUPLICATE","OK")))</f>
        <v>OK</v>
      </c>
      <c r="K98" s="6" t="str">
        <f aca="false">A98&amp;"|"&amp;B98&amp;"|"&amp;C98&amp;"|"&amp;D98</f>
        <v>1|2|Logan|spotify:track:2XsYy0zVhmSxf9qnonc5Lr</v>
      </c>
    </row>
    <row r="99" customFormat="false" ht="15" hidden="false" customHeight="false" outlineLevel="0" collapsed="false">
      <c r="A99" s="5" t="n">
        <v>1</v>
      </c>
      <c r="B99" s="5" t="n">
        <v>2</v>
      </c>
      <c r="C99" s="5" t="s">
        <v>128</v>
      </c>
      <c r="D99" s="5" t="s">
        <v>160</v>
      </c>
      <c r="E99" s="5" t="n">
        <v>1</v>
      </c>
      <c r="F99" s="6" t="n">
        <f aca="false">IFERROR(MATCH(A99&amp;"|"&amp;B99&amp;"|"&amp;D99,'All Song Rankings'!$T:$T,0),0)</f>
        <v>20</v>
      </c>
      <c r="G99" s="6" t="str">
        <f aca="false">IF(F99=0,"NOT FOUND",INDEX('All Song Rankings'!$A:$A,F99))</f>
        <v>The Dead Dance</v>
      </c>
      <c r="H99" s="6" t="str">
        <f aca="false">IF(F99=0,"NOT FOUND",INDEX('All Song Rankings'!$B:$B,F99))</f>
        <v>Lady Gaga</v>
      </c>
      <c r="I99" s="6" t="str">
        <f aca="false">IF(F99=0,"NOT FOUND",INDEX('All Song Rankings'!$D:$D,F99))</f>
        <v>Kelsey</v>
      </c>
      <c r="J99" s="7" t="str">
        <f aca="false">IF(F99=0,"NOT FOUND",IF(C99=I99,"SELF-VOTE",IF(COUNTIF($K:$K,K99)&gt;1,"DUPLICATE","OK")))</f>
        <v>OK</v>
      </c>
      <c r="K99" s="6" t="str">
        <f aca="false">A99&amp;"|"&amp;B99&amp;"|"&amp;C99&amp;"|"&amp;D99</f>
        <v>1|2|Logan|spotify:track:3NFs3XUduzBfvc5Bx1gmzh</v>
      </c>
    </row>
    <row r="100" customFormat="false" ht="15" hidden="false" customHeight="false" outlineLevel="0" collapsed="false">
      <c r="A100" s="5" t="n">
        <v>1</v>
      </c>
      <c r="B100" s="5" t="n">
        <v>2</v>
      </c>
      <c r="C100" s="5" t="s">
        <v>128</v>
      </c>
      <c r="D100" s="5" t="s">
        <v>157</v>
      </c>
      <c r="E100" s="5" t="n">
        <v>2</v>
      </c>
      <c r="F100" s="6" t="n">
        <f aca="false">IFERROR(MATCH(A100&amp;"|"&amp;B100&amp;"|"&amp;D100,'All Song Rankings'!$T:$T,0),0)</f>
        <v>19</v>
      </c>
      <c r="G100" s="6" t="str">
        <f aca="false">IF(F100=0,"NOT FOUND",INDEX('All Song Rankings'!$A:$A,F100))</f>
        <v>Time Warp</v>
      </c>
      <c r="H100" s="6" t="str">
        <f aca="false">IF(F100=0,"NOT FOUND",INDEX('All Song Rankings'!$B:$B,F100))</f>
        <v>Little Nell, Patricia Quinn, Richard O'Brien, The Rocky Horror Picture Show</v>
      </c>
      <c r="I100" s="6" t="str">
        <f aca="false">IF(F100=0,"NOT FOUND",INDEX('All Song Rankings'!$D:$D,F100))</f>
        <v>Leah</v>
      </c>
      <c r="J100" s="7" t="str">
        <f aca="false">IF(F100=0,"NOT FOUND",IF(C100=I100,"SELF-VOTE",IF(COUNTIF($K:$K,K100)&gt;1,"DUPLICATE","OK")))</f>
        <v>OK</v>
      </c>
      <c r="K100" s="6" t="str">
        <f aca="false">A100&amp;"|"&amp;B100&amp;"|"&amp;C100&amp;"|"&amp;D100</f>
        <v>1|2|Logan|spotify:track:4WFeJTXNHIS2wURtwlAkhu</v>
      </c>
    </row>
    <row r="101" customFormat="false" ht="15" hidden="false" customHeight="false" outlineLevel="0" collapsed="false">
      <c r="A101" s="5" t="n">
        <v>1</v>
      </c>
      <c r="B101" s="5" t="n">
        <v>2</v>
      </c>
      <c r="C101" s="5" t="s">
        <v>128</v>
      </c>
      <c r="D101" s="5" t="s">
        <v>154</v>
      </c>
      <c r="E101" s="5" t="n">
        <v>2</v>
      </c>
      <c r="F101" s="6" t="n">
        <f aca="false">IFERROR(MATCH(A101&amp;"|"&amp;B101&amp;"|"&amp;D101,'All Song Rankings'!$T:$T,0),0)</f>
        <v>18</v>
      </c>
      <c r="G101" s="6" t="str">
        <f aca="false">IF(F101=0,"NOT FOUND",INDEX('All Song Rankings'!$A:$A,F101))</f>
        <v>vampire</v>
      </c>
      <c r="H101" s="6" t="str">
        <f aca="false">IF(F101=0,"NOT FOUND",INDEX('All Song Rankings'!$B:$B,F101))</f>
        <v>Olivia Rodrigo</v>
      </c>
      <c r="I101" s="6" t="str">
        <f aca="false">IF(F101=0,"NOT FOUND",INDEX('All Song Rankings'!$D:$D,F101))</f>
        <v>Matt</v>
      </c>
      <c r="J101" s="7" t="str">
        <f aca="false">IF(F101=0,"NOT FOUND",IF(C101=I101,"SELF-VOTE",IF(COUNTIF($K:$K,K101)&gt;1,"DUPLICATE","OK")))</f>
        <v>OK</v>
      </c>
      <c r="K101" s="6" t="str">
        <f aca="false">A101&amp;"|"&amp;B101&amp;"|"&amp;C101&amp;"|"&amp;D101</f>
        <v>1|2|Logan|spotify:track:5VJETUjJ7y46bAz4min5IB</v>
      </c>
    </row>
    <row r="102" customFormat="false" ht="15" hidden="false" customHeight="false" outlineLevel="0" collapsed="false">
      <c r="A102" s="5" t="n">
        <v>1</v>
      </c>
      <c r="B102" s="5" t="n">
        <v>2</v>
      </c>
      <c r="C102" s="5" t="s">
        <v>128</v>
      </c>
      <c r="D102" s="5" t="s">
        <v>163</v>
      </c>
      <c r="E102" s="5" t="n">
        <v>1</v>
      </c>
      <c r="F102" s="6" t="n">
        <f aca="false">IFERROR(MATCH(A102&amp;"|"&amp;B102&amp;"|"&amp;D102,'All Song Rankings'!$T:$T,0),0)</f>
        <v>21</v>
      </c>
      <c r="G102" s="6" t="str">
        <f aca="false">IF(F102=0,"NOT FOUND",INDEX('All Song Rankings'!$A:$A,F102))</f>
        <v>Dragula</v>
      </c>
      <c r="H102" s="6" t="str">
        <f aca="false">IF(F102=0,"NOT FOUND",INDEX('All Song Rankings'!$B:$B,F102))</f>
        <v>Rob Zombie</v>
      </c>
      <c r="I102" s="6" t="str">
        <f aca="false">IF(F102=0,"NOT FOUND",INDEX('All Song Rankings'!$D:$D,F102))</f>
        <v>Stephanie</v>
      </c>
      <c r="J102" s="7" t="str">
        <f aca="false">IF(F102=0,"NOT FOUND",IF(C102=I102,"SELF-VOTE",IF(COUNTIF($K:$K,K102)&gt;1,"DUPLICATE","OK")))</f>
        <v>OK</v>
      </c>
      <c r="K102" s="6" t="str">
        <f aca="false">A102&amp;"|"&amp;B102&amp;"|"&amp;C102&amp;"|"&amp;D102</f>
        <v>1|2|Logan|spotify:track:6Nm8h73ycDG2saCnZV8poF</v>
      </c>
    </row>
    <row r="103" customFormat="false" ht="15" hidden="false" customHeight="false" outlineLevel="0" collapsed="false">
      <c r="A103" s="5" t="n">
        <v>1</v>
      </c>
      <c r="B103" s="5" t="n">
        <v>2</v>
      </c>
      <c r="C103" s="5" t="s">
        <v>133</v>
      </c>
      <c r="D103" s="5" t="s">
        <v>141</v>
      </c>
      <c r="E103" s="5" t="n">
        <v>1</v>
      </c>
      <c r="F103" s="6" t="n">
        <f aca="false">IFERROR(MATCH(A103&amp;"|"&amp;B103&amp;"|"&amp;D103,'All Song Rankings'!$T:$T,0),0)</f>
        <v>14</v>
      </c>
      <c r="G103" s="6" t="str">
        <f aca="false">IF(F103=0,"NOT FOUND",INDEX('All Song Rankings'!$A:$A,F103))</f>
        <v>Miss Murder</v>
      </c>
      <c r="H103" s="6" t="str">
        <f aca="false">IF(F103=0,"NOT FOUND",INDEX('All Song Rankings'!$B:$B,F103))</f>
        <v>AFI</v>
      </c>
      <c r="I103" s="6" t="str">
        <f aca="false">IF(F103=0,"NOT FOUND",INDEX('All Song Rankings'!$D:$D,F103))</f>
        <v>Logan</v>
      </c>
      <c r="J103" s="7" t="str">
        <f aca="false">IF(F103=0,"NOT FOUND",IF(C103=I103,"SELF-VOTE",IF(COUNTIF($K:$K,K103)&gt;1,"DUPLICATE","OK")))</f>
        <v>OK</v>
      </c>
      <c r="K103" s="6" t="str">
        <f aca="false">A103&amp;"|"&amp;B103&amp;"|"&amp;C103&amp;"|"&amp;D103</f>
        <v>1|2|Maryann|spotify:track:0Ti2dlF2xLjXblvdU5fCxM</v>
      </c>
    </row>
    <row r="104" customFormat="false" ht="15" hidden="false" customHeight="false" outlineLevel="0" collapsed="false">
      <c r="A104" s="5" t="n">
        <v>1</v>
      </c>
      <c r="B104" s="5" t="n">
        <v>2</v>
      </c>
      <c r="C104" s="5" t="s">
        <v>133</v>
      </c>
      <c r="D104" s="5" t="s">
        <v>147</v>
      </c>
      <c r="E104" s="5" t="n">
        <v>2</v>
      </c>
      <c r="F104" s="6" t="n">
        <f aca="false">IFERROR(MATCH(A104&amp;"|"&amp;B104&amp;"|"&amp;D104,'All Song Rankings'!$T:$T,0),0)</f>
        <v>16</v>
      </c>
      <c r="G104" s="6" t="str">
        <f aca="false">IF(F104=0,"NOT FOUND",INDEX('All Song Rankings'!$A:$A,F104))</f>
        <v>Spooky, Scary Skeletons</v>
      </c>
      <c r="H104" s="6" t="str">
        <f aca="false">IF(F104=0,"NOT FOUND",INDEX('All Song Rankings'!$B:$B,F104))</f>
        <v>Andrew Gold</v>
      </c>
      <c r="I104" s="6" t="str">
        <f aca="false">IF(F104=0,"NOT FOUND",INDEX('All Song Rankings'!$D:$D,F104))</f>
        <v>Nicole</v>
      </c>
      <c r="J104" s="7" t="str">
        <f aca="false">IF(F104=0,"NOT FOUND",IF(C104=I104,"SELF-VOTE",IF(COUNTIF($K:$K,K104)&gt;1,"DUPLICATE","OK")))</f>
        <v>OK</v>
      </c>
      <c r="K104" s="6" t="str">
        <f aca="false">A104&amp;"|"&amp;B104&amp;"|"&amp;C104&amp;"|"&amp;D104</f>
        <v>1|2|Maryann|spotify:track:23V08GxMeaZNSf8Gy6KF6t</v>
      </c>
    </row>
    <row r="105" customFormat="false" ht="15" hidden="false" customHeight="false" outlineLevel="0" collapsed="false">
      <c r="A105" s="5" t="n">
        <v>1</v>
      </c>
      <c r="B105" s="5" t="n">
        <v>2</v>
      </c>
      <c r="C105" s="5" t="s">
        <v>133</v>
      </c>
      <c r="D105" s="5" t="s">
        <v>150</v>
      </c>
      <c r="E105" s="5" t="n">
        <v>2</v>
      </c>
      <c r="F105" s="6" t="n">
        <f aca="false">IFERROR(MATCH(A105&amp;"|"&amp;B105&amp;"|"&amp;D105,'All Song Rankings'!$T:$T,0),0)</f>
        <v>17</v>
      </c>
      <c r="G105" s="6" t="str">
        <f aca="false">IF(F105=0,"NOT FOUND",INDEX('All Song Rankings'!$A:$A,F105))</f>
        <v>Beauty And A Freak</v>
      </c>
      <c r="H105" s="6" t="str">
        <f aca="false">IF(F105=0,"NOT FOUND",INDEX('All Song Rankings'!$B:$B,F105))</f>
        <v>John Michael Howell</v>
      </c>
      <c r="I105" s="6" t="str">
        <f aca="false">IF(F105=0,"NOT FOUND",INDEX('All Song Rankings'!$D:$D,F105))</f>
        <v>Collin</v>
      </c>
      <c r="J105" s="7" t="str">
        <f aca="false">IF(F105=0,"NOT FOUND",IF(C105=I105,"SELF-VOTE",IF(COUNTIF($K:$K,K105)&gt;1,"DUPLICATE","OK")))</f>
        <v>OK</v>
      </c>
      <c r="K105" s="6" t="str">
        <f aca="false">A105&amp;"|"&amp;B105&amp;"|"&amp;C105&amp;"|"&amp;D105</f>
        <v>1|2|Maryann|spotify:track:2XsYy0zVhmSxf9qnonc5Lr</v>
      </c>
    </row>
    <row r="106" customFormat="false" ht="15" hidden="false" customHeight="false" outlineLevel="0" collapsed="false">
      <c r="A106" s="5" t="n">
        <v>1</v>
      </c>
      <c r="B106" s="5" t="n">
        <v>2</v>
      </c>
      <c r="C106" s="5" t="s">
        <v>133</v>
      </c>
      <c r="D106" s="5" t="s">
        <v>160</v>
      </c>
      <c r="E106" s="5" t="n">
        <v>1</v>
      </c>
      <c r="F106" s="6" t="n">
        <f aca="false">IFERROR(MATCH(A106&amp;"|"&amp;B106&amp;"|"&amp;D106,'All Song Rankings'!$T:$T,0),0)</f>
        <v>20</v>
      </c>
      <c r="G106" s="6" t="str">
        <f aca="false">IF(F106=0,"NOT FOUND",INDEX('All Song Rankings'!$A:$A,F106))</f>
        <v>The Dead Dance</v>
      </c>
      <c r="H106" s="6" t="str">
        <f aca="false">IF(F106=0,"NOT FOUND",INDEX('All Song Rankings'!$B:$B,F106))</f>
        <v>Lady Gaga</v>
      </c>
      <c r="I106" s="6" t="str">
        <f aca="false">IF(F106=0,"NOT FOUND",INDEX('All Song Rankings'!$D:$D,F106))</f>
        <v>Kelsey</v>
      </c>
      <c r="J106" s="7" t="str">
        <f aca="false">IF(F106=0,"NOT FOUND",IF(C106=I106,"SELF-VOTE",IF(COUNTIF($K:$K,K106)&gt;1,"DUPLICATE","OK")))</f>
        <v>OK</v>
      </c>
      <c r="K106" s="6" t="str">
        <f aca="false">A106&amp;"|"&amp;B106&amp;"|"&amp;C106&amp;"|"&amp;D106</f>
        <v>1|2|Maryann|spotify:track:3NFs3XUduzBfvc5Bx1gmzh</v>
      </c>
    </row>
    <row r="107" customFormat="false" ht="15" hidden="false" customHeight="false" outlineLevel="0" collapsed="false">
      <c r="A107" s="5" t="n">
        <v>1</v>
      </c>
      <c r="B107" s="5" t="n">
        <v>2</v>
      </c>
      <c r="C107" s="5" t="s">
        <v>133</v>
      </c>
      <c r="D107" s="5" t="s">
        <v>168</v>
      </c>
      <c r="E107" s="5" t="n">
        <v>1</v>
      </c>
      <c r="F107" s="6" t="n">
        <f aca="false">IFERROR(MATCH(A107&amp;"|"&amp;B107&amp;"|"&amp;D107,'All Song Rankings'!$T:$T,0),0)</f>
        <v>23</v>
      </c>
      <c r="G107" s="6" t="str">
        <f aca="false">IF(F107=0,"NOT FOUND",INDEX('All Song Rankings'!$A:$A,F107))</f>
        <v>You Make Me Feel Like It's Halloween</v>
      </c>
      <c r="H107" s="6" t="str">
        <f aca="false">IF(F107=0,"NOT FOUND",INDEX('All Song Rankings'!$B:$B,F107))</f>
        <v>Muse</v>
      </c>
      <c r="I107" s="6" t="str">
        <f aca="false">IF(F107=0,"NOT FOUND",INDEX('All Song Rankings'!$D:$D,F107))</f>
        <v>Kristen</v>
      </c>
      <c r="J107" s="7" t="str">
        <f aca="false">IF(F107=0,"NOT FOUND",IF(C107=I107,"SELF-VOTE",IF(COUNTIF($K:$K,K107)&gt;1,"DUPLICATE","OK")))</f>
        <v>OK</v>
      </c>
      <c r="K107" s="6" t="str">
        <f aca="false">A107&amp;"|"&amp;B107&amp;"|"&amp;C107&amp;"|"&amp;D107</f>
        <v>1|2|Maryann|spotify:track:4k0hvjglHbcZI203QI4pF7</v>
      </c>
    </row>
    <row r="108" customFormat="false" ht="15" hidden="false" customHeight="false" outlineLevel="0" collapsed="false">
      <c r="A108" s="5" t="n">
        <v>1</v>
      </c>
      <c r="B108" s="5" t="n">
        <v>2</v>
      </c>
      <c r="C108" s="5" t="s">
        <v>133</v>
      </c>
      <c r="D108" s="5" t="s">
        <v>154</v>
      </c>
      <c r="E108" s="5" t="n">
        <v>1</v>
      </c>
      <c r="F108" s="6" t="n">
        <f aca="false">IFERROR(MATCH(A108&amp;"|"&amp;B108&amp;"|"&amp;D108,'All Song Rankings'!$T:$T,0),0)</f>
        <v>18</v>
      </c>
      <c r="G108" s="6" t="str">
        <f aca="false">IF(F108=0,"NOT FOUND",INDEX('All Song Rankings'!$A:$A,F108))</f>
        <v>vampire</v>
      </c>
      <c r="H108" s="6" t="str">
        <f aca="false">IF(F108=0,"NOT FOUND",INDEX('All Song Rankings'!$B:$B,F108))</f>
        <v>Olivia Rodrigo</v>
      </c>
      <c r="I108" s="6" t="str">
        <f aca="false">IF(F108=0,"NOT FOUND",INDEX('All Song Rankings'!$D:$D,F108))</f>
        <v>Matt</v>
      </c>
      <c r="J108" s="7" t="str">
        <f aca="false">IF(F108=0,"NOT FOUND",IF(C108=I108,"SELF-VOTE",IF(COUNTIF($K:$K,K108)&gt;1,"DUPLICATE","OK")))</f>
        <v>OK</v>
      </c>
      <c r="K108" s="6" t="str">
        <f aca="false">A108&amp;"|"&amp;B108&amp;"|"&amp;C108&amp;"|"&amp;D108</f>
        <v>1|2|Maryann|spotify:track:5VJETUjJ7y46bAz4min5IB</v>
      </c>
    </row>
    <row r="109" customFormat="false" ht="15" hidden="false" customHeight="false" outlineLevel="0" collapsed="false">
      <c r="A109" s="5" t="n">
        <v>1</v>
      </c>
      <c r="B109" s="5" t="n">
        <v>2</v>
      </c>
      <c r="C109" s="5" t="s">
        <v>133</v>
      </c>
      <c r="D109" s="5" t="s">
        <v>165</v>
      </c>
      <c r="E109" s="5" t="n">
        <v>2</v>
      </c>
      <c r="F109" s="6" t="n">
        <f aca="false">IFERROR(MATCH(A109&amp;"|"&amp;B109&amp;"|"&amp;D109,'All Song Rankings'!$T:$T,0),0)</f>
        <v>22</v>
      </c>
      <c r="G109" s="6" t="str">
        <f aca="false">IF(F109=0,"NOT FOUND",INDEX('All Song Rankings'!$A:$A,F109))</f>
        <v>The Addams Family</v>
      </c>
      <c r="H109" s="6" t="str">
        <f aca="false">IF(F109=0,"NOT FOUND",INDEX('All Song Rankings'!$B:$B,F109))</f>
        <v>Andrew Gold</v>
      </c>
      <c r="I109" s="6" t="str">
        <f aca="false">IF(F109=0,"NOT FOUND",INDEX('All Song Rankings'!$D:$D,F109))</f>
        <v>Olivia</v>
      </c>
      <c r="J109" s="7" t="str">
        <f aca="false">IF(F109=0,"NOT FOUND",IF(C109=I109,"SELF-VOTE",IF(COUNTIF($K:$K,K109)&gt;1,"DUPLICATE","OK")))</f>
        <v>OK</v>
      </c>
      <c r="K109" s="6" t="str">
        <f aca="false">A109&amp;"|"&amp;B109&amp;"|"&amp;C109&amp;"|"&amp;D109</f>
        <v>1|2|Maryann|spotify:track:6TZTu1F0gnp8mtzvYZao41</v>
      </c>
    </row>
    <row r="110" customFormat="false" ht="15" hidden="false" customHeight="false" outlineLevel="0" collapsed="false">
      <c r="A110" s="5" t="n">
        <v>1</v>
      </c>
      <c r="B110" s="5" t="n">
        <v>2</v>
      </c>
      <c r="C110" s="5" t="s">
        <v>116</v>
      </c>
      <c r="D110" s="5" t="s">
        <v>141</v>
      </c>
      <c r="E110" s="5" t="n">
        <v>1</v>
      </c>
      <c r="F110" s="6" t="n">
        <f aca="false">IFERROR(MATCH(A110&amp;"|"&amp;B110&amp;"|"&amp;D110,'All Song Rankings'!$T:$T,0),0)</f>
        <v>14</v>
      </c>
      <c r="G110" s="6" t="str">
        <f aca="false">IF(F110=0,"NOT FOUND",INDEX('All Song Rankings'!$A:$A,F110))</f>
        <v>Miss Murder</v>
      </c>
      <c r="H110" s="6" t="str">
        <f aca="false">IF(F110=0,"NOT FOUND",INDEX('All Song Rankings'!$B:$B,F110))</f>
        <v>AFI</v>
      </c>
      <c r="I110" s="6" t="str">
        <f aca="false">IF(F110=0,"NOT FOUND",INDEX('All Song Rankings'!$D:$D,F110))</f>
        <v>Logan</v>
      </c>
      <c r="J110" s="7" t="str">
        <f aca="false">IF(F110=0,"NOT FOUND",IF(C110=I110,"SELF-VOTE",IF(COUNTIF($K:$K,K110)&gt;1,"DUPLICATE","OK")))</f>
        <v>OK</v>
      </c>
      <c r="K110" s="6" t="str">
        <f aca="false">A110&amp;"|"&amp;B110&amp;"|"&amp;C110&amp;"|"&amp;D110</f>
        <v>1|2|Matt|spotify:track:0Ti2dlF2xLjXblvdU5fCxM</v>
      </c>
    </row>
    <row r="111" customFormat="false" ht="15" hidden="false" customHeight="false" outlineLevel="0" collapsed="false">
      <c r="A111" s="5" t="n">
        <v>1</v>
      </c>
      <c r="B111" s="5" t="n">
        <v>2</v>
      </c>
      <c r="C111" s="5" t="s">
        <v>116</v>
      </c>
      <c r="D111" s="5" t="s">
        <v>147</v>
      </c>
      <c r="E111" s="5" t="n">
        <v>1</v>
      </c>
      <c r="F111" s="6" t="n">
        <f aca="false">IFERROR(MATCH(A111&amp;"|"&amp;B111&amp;"|"&amp;D111,'All Song Rankings'!$T:$T,0),0)</f>
        <v>16</v>
      </c>
      <c r="G111" s="6" t="str">
        <f aca="false">IF(F111=0,"NOT FOUND",INDEX('All Song Rankings'!$A:$A,F111))</f>
        <v>Spooky, Scary Skeletons</v>
      </c>
      <c r="H111" s="6" t="str">
        <f aca="false">IF(F111=0,"NOT FOUND",INDEX('All Song Rankings'!$B:$B,F111))</f>
        <v>Andrew Gold</v>
      </c>
      <c r="I111" s="6" t="str">
        <f aca="false">IF(F111=0,"NOT FOUND",INDEX('All Song Rankings'!$D:$D,F111))</f>
        <v>Nicole</v>
      </c>
      <c r="J111" s="7" t="str">
        <f aca="false">IF(F111=0,"NOT FOUND",IF(C111=I111,"SELF-VOTE",IF(COUNTIF($K:$K,K111)&gt;1,"DUPLICATE","OK")))</f>
        <v>OK</v>
      </c>
      <c r="K111" s="6" t="str">
        <f aca="false">A111&amp;"|"&amp;B111&amp;"|"&amp;C111&amp;"|"&amp;D111</f>
        <v>1|2|Matt|spotify:track:23V08GxMeaZNSf8Gy6KF6t</v>
      </c>
    </row>
    <row r="112" customFormat="false" ht="15" hidden="false" customHeight="false" outlineLevel="0" collapsed="false">
      <c r="A112" s="5" t="n">
        <v>1</v>
      </c>
      <c r="B112" s="5" t="n">
        <v>2</v>
      </c>
      <c r="C112" s="5" t="s">
        <v>116</v>
      </c>
      <c r="D112" s="5" t="s">
        <v>144</v>
      </c>
      <c r="E112" s="5" t="n">
        <v>1</v>
      </c>
      <c r="F112" s="6" t="n">
        <f aca="false">IFERROR(MATCH(A112&amp;"|"&amp;B112&amp;"|"&amp;D112,'All Song Rankings'!$T:$T,0),0)</f>
        <v>15</v>
      </c>
      <c r="G112" s="6" t="str">
        <f aca="false">IF(F112=0,"NOT FOUND",INDEX('All Song Rankings'!$A:$A,F112))</f>
        <v>Witch Doctor</v>
      </c>
      <c r="H112" s="6" t="str">
        <f aca="false">IF(F112=0,"NOT FOUND",INDEX('All Song Rankings'!$B:$B,F112))</f>
        <v>Chris Classic</v>
      </c>
      <c r="I112" s="6" t="str">
        <f aca="false">IF(F112=0,"NOT FOUND",INDEX('All Song Rankings'!$D:$D,F112))</f>
        <v>Maryann</v>
      </c>
      <c r="J112" s="7" t="str">
        <f aca="false">IF(F112=0,"NOT FOUND",IF(C112=I112,"SELF-VOTE",IF(COUNTIF($K:$K,K112)&gt;1,"DUPLICATE","OK")))</f>
        <v>OK</v>
      </c>
      <c r="K112" s="6" t="str">
        <f aca="false">A112&amp;"|"&amp;B112&amp;"|"&amp;C112&amp;"|"&amp;D112</f>
        <v>1|2|Matt|spotify:track:27K0tchvM5KszaSJEX7fj5</v>
      </c>
    </row>
    <row r="113" customFormat="false" ht="15" hidden="false" customHeight="false" outlineLevel="0" collapsed="false">
      <c r="A113" s="5" t="n">
        <v>1</v>
      </c>
      <c r="B113" s="5" t="n">
        <v>2</v>
      </c>
      <c r="C113" s="5" t="s">
        <v>116</v>
      </c>
      <c r="D113" s="5" t="s">
        <v>150</v>
      </c>
      <c r="E113" s="5" t="n">
        <v>1</v>
      </c>
      <c r="F113" s="6" t="n">
        <f aca="false">IFERROR(MATCH(A113&amp;"|"&amp;B113&amp;"|"&amp;D113,'All Song Rankings'!$T:$T,0),0)</f>
        <v>17</v>
      </c>
      <c r="G113" s="6" t="str">
        <f aca="false">IF(F113=0,"NOT FOUND",INDEX('All Song Rankings'!$A:$A,F113))</f>
        <v>Beauty And A Freak</v>
      </c>
      <c r="H113" s="6" t="str">
        <f aca="false">IF(F113=0,"NOT FOUND",INDEX('All Song Rankings'!$B:$B,F113))</f>
        <v>John Michael Howell</v>
      </c>
      <c r="I113" s="6" t="str">
        <f aca="false">IF(F113=0,"NOT FOUND",INDEX('All Song Rankings'!$D:$D,F113))</f>
        <v>Collin</v>
      </c>
      <c r="J113" s="7" t="str">
        <f aca="false">IF(F113=0,"NOT FOUND",IF(C113=I113,"SELF-VOTE",IF(COUNTIF($K:$K,K113)&gt;1,"DUPLICATE","OK")))</f>
        <v>OK</v>
      </c>
      <c r="K113" s="6" t="str">
        <f aca="false">A113&amp;"|"&amp;B113&amp;"|"&amp;C113&amp;"|"&amp;D113</f>
        <v>1|2|Matt|spotify:track:2XsYy0zVhmSxf9qnonc5Lr</v>
      </c>
    </row>
    <row r="114" customFormat="false" ht="15" hidden="false" customHeight="false" outlineLevel="0" collapsed="false">
      <c r="A114" s="5" t="n">
        <v>1</v>
      </c>
      <c r="B114" s="5" t="n">
        <v>2</v>
      </c>
      <c r="C114" s="5" t="s">
        <v>116</v>
      </c>
      <c r="D114" s="5" t="s">
        <v>160</v>
      </c>
      <c r="E114" s="5" t="n">
        <v>1</v>
      </c>
      <c r="F114" s="6" t="n">
        <f aca="false">IFERROR(MATCH(A114&amp;"|"&amp;B114&amp;"|"&amp;D114,'All Song Rankings'!$T:$T,0),0)</f>
        <v>20</v>
      </c>
      <c r="G114" s="6" t="str">
        <f aca="false">IF(F114=0,"NOT FOUND",INDEX('All Song Rankings'!$A:$A,F114))</f>
        <v>The Dead Dance</v>
      </c>
      <c r="H114" s="6" t="str">
        <f aca="false">IF(F114=0,"NOT FOUND",INDEX('All Song Rankings'!$B:$B,F114))</f>
        <v>Lady Gaga</v>
      </c>
      <c r="I114" s="6" t="str">
        <f aca="false">IF(F114=0,"NOT FOUND",INDEX('All Song Rankings'!$D:$D,F114))</f>
        <v>Kelsey</v>
      </c>
      <c r="J114" s="7" t="str">
        <f aca="false">IF(F114=0,"NOT FOUND",IF(C114=I114,"SELF-VOTE",IF(COUNTIF($K:$K,K114)&gt;1,"DUPLICATE","OK")))</f>
        <v>OK</v>
      </c>
      <c r="K114" s="6" t="str">
        <f aca="false">A114&amp;"|"&amp;B114&amp;"|"&amp;C114&amp;"|"&amp;D114</f>
        <v>1|2|Matt|spotify:track:3NFs3XUduzBfvc5Bx1gmzh</v>
      </c>
    </row>
    <row r="115" customFormat="false" ht="15" hidden="false" customHeight="false" outlineLevel="0" collapsed="false">
      <c r="A115" s="5" t="n">
        <v>1</v>
      </c>
      <c r="B115" s="5" t="n">
        <v>2</v>
      </c>
      <c r="C115" s="5" t="s">
        <v>116</v>
      </c>
      <c r="D115" s="5" t="s">
        <v>157</v>
      </c>
      <c r="E115" s="5" t="n">
        <v>1</v>
      </c>
      <c r="F115" s="6" t="n">
        <f aca="false">IFERROR(MATCH(A115&amp;"|"&amp;B115&amp;"|"&amp;D115,'All Song Rankings'!$T:$T,0),0)</f>
        <v>19</v>
      </c>
      <c r="G115" s="6" t="str">
        <f aca="false">IF(F115=0,"NOT FOUND",INDEX('All Song Rankings'!$A:$A,F115))</f>
        <v>Time Warp</v>
      </c>
      <c r="H115" s="6" t="str">
        <f aca="false">IF(F115=0,"NOT FOUND",INDEX('All Song Rankings'!$B:$B,F115))</f>
        <v>Little Nell, Patricia Quinn, Richard O'Brien, The Rocky Horror Picture Show</v>
      </c>
      <c r="I115" s="6" t="str">
        <f aca="false">IF(F115=0,"NOT FOUND",INDEX('All Song Rankings'!$D:$D,F115))</f>
        <v>Leah</v>
      </c>
      <c r="J115" s="7" t="str">
        <f aca="false">IF(F115=0,"NOT FOUND",IF(C115=I115,"SELF-VOTE",IF(COUNTIF($K:$K,K115)&gt;1,"DUPLICATE","OK")))</f>
        <v>OK</v>
      </c>
      <c r="K115" s="6" t="str">
        <f aca="false">A115&amp;"|"&amp;B115&amp;"|"&amp;C115&amp;"|"&amp;D115</f>
        <v>1|2|Matt|spotify:track:4WFeJTXNHIS2wURtwlAkhu</v>
      </c>
    </row>
    <row r="116" customFormat="false" ht="15" hidden="false" customHeight="false" outlineLevel="0" collapsed="false">
      <c r="A116" s="5" t="n">
        <v>1</v>
      </c>
      <c r="B116" s="5" t="n">
        <v>2</v>
      </c>
      <c r="C116" s="5" t="s">
        <v>116</v>
      </c>
      <c r="D116" s="5" t="s">
        <v>168</v>
      </c>
      <c r="E116" s="5" t="n">
        <v>1</v>
      </c>
      <c r="F116" s="6" t="n">
        <f aca="false">IFERROR(MATCH(A116&amp;"|"&amp;B116&amp;"|"&amp;D116,'All Song Rankings'!$T:$T,0),0)</f>
        <v>23</v>
      </c>
      <c r="G116" s="6" t="str">
        <f aca="false">IF(F116=0,"NOT FOUND",INDEX('All Song Rankings'!$A:$A,F116))</f>
        <v>You Make Me Feel Like It's Halloween</v>
      </c>
      <c r="H116" s="6" t="str">
        <f aca="false">IF(F116=0,"NOT FOUND",INDEX('All Song Rankings'!$B:$B,F116))</f>
        <v>Muse</v>
      </c>
      <c r="I116" s="6" t="str">
        <f aca="false">IF(F116=0,"NOT FOUND",INDEX('All Song Rankings'!$D:$D,F116))</f>
        <v>Kristen</v>
      </c>
      <c r="J116" s="7" t="str">
        <f aca="false">IF(F116=0,"NOT FOUND",IF(C116=I116,"SELF-VOTE",IF(COUNTIF($K:$K,K116)&gt;1,"DUPLICATE","OK")))</f>
        <v>OK</v>
      </c>
      <c r="K116" s="6" t="str">
        <f aca="false">A116&amp;"|"&amp;B116&amp;"|"&amp;C116&amp;"|"&amp;D116</f>
        <v>1|2|Matt|spotify:track:4k0hvjglHbcZI203QI4pF7</v>
      </c>
    </row>
    <row r="117" customFormat="false" ht="15" hidden="false" customHeight="false" outlineLevel="0" collapsed="false">
      <c r="A117" s="5" t="n">
        <v>1</v>
      </c>
      <c r="B117" s="5" t="n">
        <v>2</v>
      </c>
      <c r="C117" s="5" t="s">
        <v>116</v>
      </c>
      <c r="D117" s="5" t="s">
        <v>138</v>
      </c>
      <c r="E117" s="5" t="n">
        <v>1</v>
      </c>
      <c r="F117" s="6" t="n">
        <f aca="false">IFERROR(MATCH(A117&amp;"|"&amp;B117&amp;"|"&amp;D117,'All Song Rankings'!$T:$T,0),0)</f>
        <v>13</v>
      </c>
      <c r="G117" s="6" t="str">
        <f aca="false">IF(F117=0,"NOT FOUND",INDEX('All Song Rankings'!$A:$A,F117))</f>
        <v>The Ballad of the Witches' Road</v>
      </c>
      <c r="H117" s="6" t="str">
        <f aca="false">IF(F117=0,"NOT FOUND",INDEX('All Song Rankings'!$B:$B,F117))</f>
        <v>Kathryn Hahn</v>
      </c>
      <c r="I117" s="6" t="str">
        <f aca="false">IF(F117=0,"NOT FOUND",INDEX('All Song Rankings'!$D:$D,F117))</f>
        <v>Merita</v>
      </c>
      <c r="J117" s="7" t="str">
        <f aca="false">IF(F117=0,"NOT FOUND",IF(C117=I117,"SELF-VOTE",IF(COUNTIF($K:$K,K117)&gt;1,"DUPLICATE","OK")))</f>
        <v>OK</v>
      </c>
      <c r="K117" s="6" t="str">
        <f aca="false">A117&amp;"|"&amp;B117&amp;"|"&amp;C117&amp;"|"&amp;D117</f>
        <v>1|2|Matt|spotify:track:59h6Uw3m5ClwHnEcKXh8hg</v>
      </c>
    </row>
    <row r="118" customFormat="false" ht="15" hidden="false" customHeight="false" outlineLevel="0" collapsed="false">
      <c r="A118" s="5" t="n">
        <v>1</v>
      </c>
      <c r="B118" s="5" t="n">
        <v>2</v>
      </c>
      <c r="C118" s="5" t="s">
        <v>116</v>
      </c>
      <c r="D118" s="5" t="s">
        <v>163</v>
      </c>
      <c r="E118" s="5" t="n">
        <v>1</v>
      </c>
      <c r="F118" s="6" t="n">
        <f aca="false">IFERROR(MATCH(A118&amp;"|"&amp;B118&amp;"|"&amp;D118,'All Song Rankings'!$T:$T,0),0)</f>
        <v>21</v>
      </c>
      <c r="G118" s="6" t="str">
        <f aca="false">IF(F118=0,"NOT FOUND",INDEX('All Song Rankings'!$A:$A,F118))</f>
        <v>Dragula</v>
      </c>
      <c r="H118" s="6" t="str">
        <f aca="false">IF(F118=0,"NOT FOUND",INDEX('All Song Rankings'!$B:$B,F118))</f>
        <v>Rob Zombie</v>
      </c>
      <c r="I118" s="6" t="str">
        <f aca="false">IF(F118=0,"NOT FOUND",INDEX('All Song Rankings'!$D:$D,F118))</f>
        <v>Stephanie</v>
      </c>
      <c r="J118" s="7" t="str">
        <f aca="false">IF(F118=0,"NOT FOUND",IF(C118=I118,"SELF-VOTE",IF(COUNTIF($K:$K,K118)&gt;1,"DUPLICATE","OK")))</f>
        <v>OK</v>
      </c>
      <c r="K118" s="6" t="str">
        <f aca="false">A118&amp;"|"&amp;B118&amp;"|"&amp;C118&amp;"|"&amp;D118</f>
        <v>1|2|Matt|spotify:track:6Nm8h73ycDG2saCnZV8poF</v>
      </c>
    </row>
    <row r="119" customFormat="false" ht="15" hidden="false" customHeight="false" outlineLevel="0" collapsed="false">
      <c r="A119" s="5" t="n">
        <v>1</v>
      </c>
      <c r="B119" s="5" t="n">
        <v>2</v>
      </c>
      <c r="C119" s="5" t="s">
        <v>116</v>
      </c>
      <c r="D119" s="5" t="s">
        <v>165</v>
      </c>
      <c r="E119" s="5" t="n">
        <v>1</v>
      </c>
      <c r="F119" s="6" t="n">
        <f aca="false">IFERROR(MATCH(A119&amp;"|"&amp;B119&amp;"|"&amp;D119,'All Song Rankings'!$T:$T,0),0)</f>
        <v>22</v>
      </c>
      <c r="G119" s="6" t="str">
        <f aca="false">IF(F119=0,"NOT FOUND",INDEX('All Song Rankings'!$A:$A,F119))</f>
        <v>The Addams Family</v>
      </c>
      <c r="H119" s="6" t="str">
        <f aca="false">IF(F119=0,"NOT FOUND",INDEX('All Song Rankings'!$B:$B,F119))</f>
        <v>Andrew Gold</v>
      </c>
      <c r="I119" s="6" t="str">
        <f aca="false">IF(F119=0,"NOT FOUND",INDEX('All Song Rankings'!$D:$D,F119))</f>
        <v>Olivia</v>
      </c>
      <c r="J119" s="7" t="str">
        <f aca="false">IF(F119=0,"NOT FOUND",IF(C119=I119,"SELF-VOTE",IF(COUNTIF($K:$K,K119)&gt;1,"DUPLICATE","OK")))</f>
        <v>OK</v>
      </c>
      <c r="K119" s="6" t="str">
        <f aca="false">A119&amp;"|"&amp;B119&amp;"|"&amp;C119&amp;"|"&amp;D119</f>
        <v>1|2|Matt|spotify:track:6TZTu1F0gnp8mtzvYZao41</v>
      </c>
    </row>
    <row r="120" customFormat="false" ht="15" hidden="false" customHeight="false" outlineLevel="0" collapsed="false">
      <c r="A120" s="5" t="n">
        <v>1</v>
      </c>
      <c r="B120" s="5" t="n">
        <v>2</v>
      </c>
      <c r="C120" s="5" t="s">
        <v>101</v>
      </c>
      <c r="D120" s="5" t="s">
        <v>141</v>
      </c>
      <c r="E120" s="5" t="n">
        <v>2</v>
      </c>
      <c r="F120" s="6" t="n">
        <f aca="false">IFERROR(MATCH(A120&amp;"|"&amp;B120&amp;"|"&amp;D120,'All Song Rankings'!$T:$T,0),0)</f>
        <v>14</v>
      </c>
      <c r="G120" s="6" t="str">
        <f aca="false">IF(F120=0,"NOT FOUND",INDEX('All Song Rankings'!$A:$A,F120))</f>
        <v>Miss Murder</v>
      </c>
      <c r="H120" s="6" t="str">
        <f aca="false">IF(F120=0,"NOT FOUND",INDEX('All Song Rankings'!$B:$B,F120))</f>
        <v>AFI</v>
      </c>
      <c r="I120" s="6" t="str">
        <f aca="false">IF(F120=0,"NOT FOUND",INDEX('All Song Rankings'!$D:$D,F120))</f>
        <v>Logan</v>
      </c>
      <c r="J120" s="7" t="str">
        <f aca="false">IF(F120=0,"NOT FOUND",IF(C120=I120,"SELF-VOTE",IF(COUNTIF($K:$K,K120)&gt;1,"DUPLICATE","OK")))</f>
        <v>OK</v>
      </c>
      <c r="K120" s="6" t="str">
        <f aca="false">A120&amp;"|"&amp;B120&amp;"|"&amp;C120&amp;"|"&amp;D120</f>
        <v>1|2|Merita|spotify:track:0Ti2dlF2xLjXblvdU5fCxM</v>
      </c>
    </row>
    <row r="121" customFormat="false" ht="15" hidden="false" customHeight="false" outlineLevel="0" collapsed="false">
      <c r="A121" s="5" t="n">
        <v>1</v>
      </c>
      <c r="B121" s="5" t="n">
        <v>2</v>
      </c>
      <c r="C121" s="5" t="s">
        <v>101</v>
      </c>
      <c r="D121" s="5" t="s">
        <v>147</v>
      </c>
      <c r="E121" s="5" t="n">
        <v>2</v>
      </c>
      <c r="F121" s="6" t="n">
        <f aca="false">IFERROR(MATCH(A121&amp;"|"&amp;B121&amp;"|"&amp;D121,'All Song Rankings'!$T:$T,0),0)</f>
        <v>16</v>
      </c>
      <c r="G121" s="6" t="str">
        <f aca="false">IF(F121=0,"NOT FOUND",INDEX('All Song Rankings'!$A:$A,F121))</f>
        <v>Spooky, Scary Skeletons</v>
      </c>
      <c r="H121" s="6" t="str">
        <f aca="false">IF(F121=0,"NOT FOUND",INDEX('All Song Rankings'!$B:$B,F121))</f>
        <v>Andrew Gold</v>
      </c>
      <c r="I121" s="6" t="str">
        <f aca="false">IF(F121=0,"NOT FOUND",INDEX('All Song Rankings'!$D:$D,F121))</f>
        <v>Nicole</v>
      </c>
      <c r="J121" s="7" t="str">
        <f aca="false">IF(F121=0,"NOT FOUND",IF(C121=I121,"SELF-VOTE",IF(COUNTIF($K:$K,K121)&gt;1,"DUPLICATE","OK")))</f>
        <v>OK</v>
      </c>
      <c r="K121" s="6" t="str">
        <f aca="false">A121&amp;"|"&amp;B121&amp;"|"&amp;C121&amp;"|"&amp;D121</f>
        <v>1|2|Merita|spotify:track:23V08GxMeaZNSf8Gy6KF6t</v>
      </c>
    </row>
    <row r="122" customFormat="false" ht="15" hidden="false" customHeight="false" outlineLevel="0" collapsed="false">
      <c r="A122" s="5" t="n">
        <v>1</v>
      </c>
      <c r="B122" s="5" t="n">
        <v>2</v>
      </c>
      <c r="C122" s="5" t="s">
        <v>101</v>
      </c>
      <c r="D122" s="5" t="s">
        <v>144</v>
      </c>
      <c r="E122" s="5" t="n">
        <v>1</v>
      </c>
      <c r="F122" s="6" t="n">
        <f aca="false">IFERROR(MATCH(A122&amp;"|"&amp;B122&amp;"|"&amp;D122,'All Song Rankings'!$T:$T,0),0)</f>
        <v>15</v>
      </c>
      <c r="G122" s="6" t="str">
        <f aca="false">IF(F122=0,"NOT FOUND",INDEX('All Song Rankings'!$A:$A,F122))</f>
        <v>Witch Doctor</v>
      </c>
      <c r="H122" s="6" t="str">
        <f aca="false">IF(F122=0,"NOT FOUND",INDEX('All Song Rankings'!$B:$B,F122))</f>
        <v>Chris Classic</v>
      </c>
      <c r="I122" s="6" t="str">
        <f aca="false">IF(F122=0,"NOT FOUND",INDEX('All Song Rankings'!$D:$D,F122))</f>
        <v>Maryann</v>
      </c>
      <c r="J122" s="7" t="str">
        <f aca="false">IF(F122=0,"NOT FOUND",IF(C122=I122,"SELF-VOTE",IF(COUNTIF($K:$K,K122)&gt;1,"DUPLICATE","OK")))</f>
        <v>OK</v>
      </c>
      <c r="K122" s="6" t="str">
        <f aca="false">A122&amp;"|"&amp;B122&amp;"|"&amp;C122&amp;"|"&amp;D122</f>
        <v>1|2|Merita|spotify:track:27K0tchvM5KszaSJEX7fj5</v>
      </c>
    </row>
    <row r="123" customFormat="false" ht="15" hidden="false" customHeight="false" outlineLevel="0" collapsed="false">
      <c r="A123" s="5" t="n">
        <v>1</v>
      </c>
      <c r="B123" s="5" t="n">
        <v>2</v>
      </c>
      <c r="C123" s="5" t="s">
        <v>101</v>
      </c>
      <c r="D123" s="5" t="s">
        <v>157</v>
      </c>
      <c r="E123" s="5" t="n">
        <v>1</v>
      </c>
      <c r="F123" s="6" t="n">
        <f aca="false">IFERROR(MATCH(A123&amp;"|"&amp;B123&amp;"|"&amp;D123,'All Song Rankings'!$T:$T,0),0)</f>
        <v>19</v>
      </c>
      <c r="G123" s="6" t="str">
        <f aca="false">IF(F123=0,"NOT FOUND",INDEX('All Song Rankings'!$A:$A,F123))</f>
        <v>Time Warp</v>
      </c>
      <c r="H123" s="6" t="str">
        <f aca="false">IF(F123=0,"NOT FOUND",INDEX('All Song Rankings'!$B:$B,F123))</f>
        <v>Little Nell, Patricia Quinn, Richard O'Brien, The Rocky Horror Picture Show</v>
      </c>
      <c r="I123" s="6" t="str">
        <f aca="false">IF(F123=0,"NOT FOUND",INDEX('All Song Rankings'!$D:$D,F123))</f>
        <v>Leah</v>
      </c>
      <c r="J123" s="7" t="str">
        <f aca="false">IF(F123=0,"NOT FOUND",IF(C123=I123,"SELF-VOTE",IF(COUNTIF($K:$K,K123)&gt;1,"DUPLICATE","OK")))</f>
        <v>OK</v>
      </c>
      <c r="K123" s="6" t="str">
        <f aca="false">A123&amp;"|"&amp;B123&amp;"|"&amp;C123&amp;"|"&amp;D123</f>
        <v>1|2|Merita|spotify:track:4WFeJTXNHIS2wURtwlAkhu</v>
      </c>
    </row>
    <row r="124" customFormat="false" ht="15" hidden="false" customHeight="false" outlineLevel="0" collapsed="false">
      <c r="A124" s="5" t="n">
        <v>1</v>
      </c>
      <c r="B124" s="5" t="n">
        <v>2</v>
      </c>
      <c r="C124" s="5" t="s">
        <v>101</v>
      </c>
      <c r="D124" s="5" t="s">
        <v>168</v>
      </c>
      <c r="E124" s="5" t="n">
        <v>1</v>
      </c>
      <c r="F124" s="6" t="n">
        <f aca="false">IFERROR(MATCH(A124&amp;"|"&amp;B124&amp;"|"&amp;D124,'All Song Rankings'!$T:$T,0),0)</f>
        <v>23</v>
      </c>
      <c r="G124" s="6" t="str">
        <f aca="false">IF(F124=0,"NOT FOUND",INDEX('All Song Rankings'!$A:$A,F124))</f>
        <v>You Make Me Feel Like It's Halloween</v>
      </c>
      <c r="H124" s="6" t="str">
        <f aca="false">IF(F124=0,"NOT FOUND",INDEX('All Song Rankings'!$B:$B,F124))</f>
        <v>Muse</v>
      </c>
      <c r="I124" s="6" t="str">
        <f aca="false">IF(F124=0,"NOT FOUND",INDEX('All Song Rankings'!$D:$D,F124))</f>
        <v>Kristen</v>
      </c>
      <c r="J124" s="7" t="str">
        <f aca="false">IF(F124=0,"NOT FOUND",IF(C124=I124,"SELF-VOTE",IF(COUNTIF($K:$K,K124)&gt;1,"DUPLICATE","OK")))</f>
        <v>OK</v>
      </c>
      <c r="K124" s="6" t="str">
        <f aca="false">A124&amp;"|"&amp;B124&amp;"|"&amp;C124&amp;"|"&amp;D124</f>
        <v>1|2|Merita|spotify:track:4k0hvjglHbcZI203QI4pF7</v>
      </c>
    </row>
    <row r="125" customFormat="false" ht="15" hidden="false" customHeight="false" outlineLevel="0" collapsed="false">
      <c r="A125" s="5" t="n">
        <v>1</v>
      </c>
      <c r="B125" s="5" t="n">
        <v>2</v>
      </c>
      <c r="C125" s="5" t="s">
        <v>101</v>
      </c>
      <c r="D125" s="5" t="s">
        <v>154</v>
      </c>
      <c r="E125" s="5" t="n">
        <v>1</v>
      </c>
      <c r="F125" s="6" t="n">
        <f aca="false">IFERROR(MATCH(A125&amp;"|"&amp;B125&amp;"|"&amp;D125,'All Song Rankings'!$T:$T,0),0)</f>
        <v>18</v>
      </c>
      <c r="G125" s="6" t="str">
        <f aca="false">IF(F125=0,"NOT FOUND",INDEX('All Song Rankings'!$A:$A,F125))</f>
        <v>vampire</v>
      </c>
      <c r="H125" s="6" t="str">
        <f aca="false">IF(F125=0,"NOT FOUND",INDEX('All Song Rankings'!$B:$B,F125))</f>
        <v>Olivia Rodrigo</v>
      </c>
      <c r="I125" s="6" t="str">
        <f aca="false">IF(F125=0,"NOT FOUND",INDEX('All Song Rankings'!$D:$D,F125))</f>
        <v>Matt</v>
      </c>
      <c r="J125" s="7" t="str">
        <f aca="false">IF(F125=0,"NOT FOUND",IF(C125=I125,"SELF-VOTE",IF(COUNTIF($K:$K,K125)&gt;1,"DUPLICATE","OK")))</f>
        <v>OK</v>
      </c>
      <c r="K125" s="6" t="str">
        <f aca="false">A125&amp;"|"&amp;B125&amp;"|"&amp;C125&amp;"|"&amp;D125</f>
        <v>1|2|Merita|spotify:track:5VJETUjJ7y46bAz4min5IB</v>
      </c>
    </row>
    <row r="126" customFormat="false" ht="15" hidden="false" customHeight="false" outlineLevel="0" collapsed="false">
      <c r="A126" s="5" t="n">
        <v>1</v>
      </c>
      <c r="B126" s="5" t="n">
        <v>2</v>
      </c>
      <c r="C126" s="5" t="s">
        <v>101</v>
      </c>
      <c r="D126" s="5" t="s">
        <v>163</v>
      </c>
      <c r="E126" s="5" t="n">
        <v>1</v>
      </c>
      <c r="F126" s="6" t="n">
        <f aca="false">IFERROR(MATCH(A126&amp;"|"&amp;B126&amp;"|"&amp;D126,'All Song Rankings'!$T:$T,0),0)</f>
        <v>21</v>
      </c>
      <c r="G126" s="6" t="str">
        <f aca="false">IF(F126=0,"NOT FOUND",INDEX('All Song Rankings'!$A:$A,F126))</f>
        <v>Dragula</v>
      </c>
      <c r="H126" s="6" t="str">
        <f aca="false">IF(F126=0,"NOT FOUND",INDEX('All Song Rankings'!$B:$B,F126))</f>
        <v>Rob Zombie</v>
      </c>
      <c r="I126" s="6" t="str">
        <f aca="false">IF(F126=0,"NOT FOUND",INDEX('All Song Rankings'!$D:$D,F126))</f>
        <v>Stephanie</v>
      </c>
      <c r="J126" s="7" t="str">
        <f aca="false">IF(F126=0,"NOT FOUND",IF(C126=I126,"SELF-VOTE",IF(COUNTIF($K:$K,K126)&gt;1,"DUPLICATE","OK")))</f>
        <v>OK</v>
      </c>
      <c r="K126" s="6" t="str">
        <f aca="false">A126&amp;"|"&amp;B126&amp;"|"&amp;C126&amp;"|"&amp;D126</f>
        <v>1|2|Merita|spotify:track:6Nm8h73ycDG2saCnZV8poF</v>
      </c>
    </row>
    <row r="127" customFormat="false" ht="15" hidden="false" customHeight="false" outlineLevel="0" collapsed="false">
      <c r="A127" s="5" t="n">
        <v>1</v>
      </c>
      <c r="B127" s="5" t="n">
        <v>2</v>
      </c>
      <c r="C127" s="5" t="s">
        <v>101</v>
      </c>
      <c r="D127" s="5" t="s">
        <v>165</v>
      </c>
      <c r="E127" s="5" t="n">
        <v>1</v>
      </c>
      <c r="F127" s="6" t="n">
        <f aca="false">IFERROR(MATCH(A127&amp;"|"&amp;B127&amp;"|"&amp;D127,'All Song Rankings'!$T:$T,0),0)</f>
        <v>22</v>
      </c>
      <c r="G127" s="6" t="str">
        <f aca="false">IF(F127=0,"NOT FOUND",INDEX('All Song Rankings'!$A:$A,F127))</f>
        <v>The Addams Family</v>
      </c>
      <c r="H127" s="6" t="str">
        <f aca="false">IF(F127=0,"NOT FOUND",INDEX('All Song Rankings'!$B:$B,F127))</f>
        <v>Andrew Gold</v>
      </c>
      <c r="I127" s="6" t="str">
        <f aca="false">IF(F127=0,"NOT FOUND",INDEX('All Song Rankings'!$D:$D,F127))</f>
        <v>Olivia</v>
      </c>
      <c r="J127" s="7" t="str">
        <f aca="false">IF(F127=0,"NOT FOUND",IF(C127=I127,"SELF-VOTE",IF(COUNTIF($K:$K,K127)&gt;1,"DUPLICATE","OK")))</f>
        <v>OK</v>
      </c>
      <c r="K127" s="6" t="str">
        <f aca="false">A127&amp;"|"&amp;B127&amp;"|"&amp;C127&amp;"|"&amp;D127</f>
        <v>1|2|Merita|spotify:track:6TZTu1F0gnp8mtzvYZao41</v>
      </c>
    </row>
    <row r="128" customFormat="false" ht="15" hidden="false" customHeight="false" outlineLevel="0" collapsed="false">
      <c r="A128" s="5" t="n">
        <v>1</v>
      </c>
      <c r="B128" s="5" t="n">
        <v>2</v>
      </c>
      <c r="C128" s="5" t="s">
        <v>92</v>
      </c>
      <c r="D128" s="5" t="s">
        <v>141</v>
      </c>
      <c r="E128" s="5" t="n">
        <v>2</v>
      </c>
      <c r="F128" s="6" t="n">
        <f aca="false">IFERROR(MATCH(A128&amp;"|"&amp;B128&amp;"|"&amp;D128,'All Song Rankings'!$T:$T,0),0)</f>
        <v>14</v>
      </c>
      <c r="G128" s="6" t="str">
        <f aca="false">IF(F128=0,"NOT FOUND",INDEX('All Song Rankings'!$A:$A,F128))</f>
        <v>Miss Murder</v>
      </c>
      <c r="H128" s="6" t="str">
        <f aca="false">IF(F128=0,"NOT FOUND",INDEX('All Song Rankings'!$B:$B,F128))</f>
        <v>AFI</v>
      </c>
      <c r="I128" s="6" t="str">
        <f aca="false">IF(F128=0,"NOT FOUND",INDEX('All Song Rankings'!$D:$D,F128))</f>
        <v>Logan</v>
      </c>
      <c r="J128" s="7" t="str">
        <f aca="false">IF(F128=0,"NOT FOUND",IF(C128=I128,"SELF-VOTE",IF(COUNTIF($K:$K,K128)&gt;1,"DUPLICATE","OK")))</f>
        <v>OK</v>
      </c>
      <c r="K128" s="6" t="str">
        <f aca="false">A128&amp;"|"&amp;B128&amp;"|"&amp;C128&amp;"|"&amp;D128</f>
        <v>1|2|Nicole|spotify:track:0Ti2dlF2xLjXblvdU5fCxM</v>
      </c>
    </row>
    <row r="129" customFormat="false" ht="15" hidden="false" customHeight="false" outlineLevel="0" collapsed="false">
      <c r="A129" s="5" t="n">
        <v>1</v>
      </c>
      <c r="B129" s="5" t="n">
        <v>2</v>
      </c>
      <c r="C129" s="5" t="s">
        <v>92</v>
      </c>
      <c r="D129" s="5" t="s">
        <v>144</v>
      </c>
      <c r="E129" s="5" t="n">
        <v>1</v>
      </c>
      <c r="F129" s="6" t="n">
        <f aca="false">IFERROR(MATCH(A129&amp;"|"&amp;B129&amp;"|"&amp;D129,'All Song Rankings'!$T:$T,0),0)</f>
        <v>15</v>
      </c>
      <c r="G129" s="6" t="str">
        <f aca="false">IF(F129=0,"NOT FOUND",INDEX('All Song Rankings'!$A:$A,F129))</f>
        <v>Witch Doctor</v>
      </c>
      <c r="H129" s="6" t="str">
        <f aca="false">IF(F129=0,"NOT FOUND",INDEX('All Song Rankings'!$B:$B,F129))</f>
        <v>Chris Classic</v>
      </c>
      <c r="I129" s="6" t="str">
        <f aca="false">IF(F129=0,"NOT FOUND",INDEX('All Song Rankings'!$D:$D,F129))</f>
        <v>Maryann</v>
      </c>
      <c r="J129" s="7" t="str">
        <f aca="false">IF(F129=0,"NOT FOUND",IF(C129=I129,"SELF-VOTE",IF(COUNTIF($K:$K,K129)&gt;1,"DUPLICATE","OK")))</f>
        <v>OK</v>
      </c>
      <c r="K129" s="6" t="str">
        <f aca="false">A129&amp;"|"&amp;B129&amp;"|"&amp;C129&amp;"|"&amp;D129</f>
        <v>1|2|Nicole|spotify:track:27K0tchvM5KszaSJEX7fj5</v>
      </c>
    </row>
    <row r="130" customFormat="false" ht="15" hidden="false" customHeight="false" outlineLevel="0" collapsed="false">
      <c r="A130" s="5" t="n">
        <v>1</v>
      </c>
      <c r="B130" s="5" t="n">
        <v>2</v>
      </c>
      <c r="C130" s="5" t="s">
        <v>92</v>
      </c>
      <c r="D130" s="5" t="s">
        <v>150</v>
      </c>
      <c r="E130" s="5" t="n">
        <v>3</v>
      </c>
      <c r="F130" s="6" t="n">
        <f aca="false">IFERROR(MATCH(A130&amp;"|"&amp;B130&amp;"|"&amp;D130,'All Song Rankings'!$T:$T,0),0)</f>
        <v>17</v>
      </c>
      <c r="G130" s="6" t="str">
        <f aca="false">IF(F130=0,"NOT FOUND",INDEX('All Song Rankings'!$A:$A,F130))</f>
        <v>Beauty And A Freak</v>
      </c>
      <c r="H130" s="6" t="str">
        <f aca="false">IF(F130=0,"NOT FOUND",INDEX('All Song Rankings'!$B:$B,F130))</f>
        <v>John Michael Howell</v>
      </c>
      <c r="I130" s="6" t="str">
        <f aca="false">IF(F130=0,"NOT FOUND",INDEX('All Song Rankings'!$D:$D,F130))</f>
        <v>Collin</v>
      </c>
      <c r="J130" s="7" t="str">
        <f aca="false">IF(F130=0,"NOT FOUND",IF(C130=I130,"SELF-VOTE",IF(COUNTIF($K:$K,K130)&gt;1,"DUPLICATE","OK")))</f>
        <v>OK</v>
      </c>
      <c r="K130" s="6" t="str">
        <f aca="false">A130&amp;"|"&amp;B130&amp;"|"&amp;C130&amp;"|"&amp;D130</f>
        <v>1|2|Nicole|spotify:track:2XsYy0zVhmSxf9qnonc5Lr</v>
      </c>
    </row>
    <row r="131" customFormat="false" ht="15" hidden="false" customHeight="false" outlineLevel="0" collapsed="false">
      <c r="A131" s="5" t="n">
        <v>1</v>
      </c>
      <c r="B131" s="5" t="n">
        <v>2</v>
      </c>
      <c r="C131" s="5" t="s">
        <v>92</v>
      </c>
      <c r="D131" s="5" t="s">
        <v>160</v>
      </c>
      <c r="E131" s="5" t="n">
        <v>1</v>
      </c>
      <c r="F131" s="6" t="n">
        <f aca="false">IFERROR(MATCH(A131&amp;"|"&amp;B131&amp;"|"&amp;D131,'All Song Rankings'!$T:$T,0),0)</f>
        <v>20</v>
      </c>
      <c r="G131" s="6" t="str">
        <f aca="false">IF(F131=0,"NOT FOUND",INDEX('All Song Rankings'!$A:$A,F131))</f>
        <v>The Dead Dance</v>
      </c>
      <c r="H131" s="6" t="str">
        <f aca="false">IF(F131=0,"NOT FOUND",INDEX('All Song Rankings'!$B:$B,F131))</f>
        <v>Lady Gaga</v>
      </c>
      <c r="I131" s="6" t="str">
        <f aca="false">IF(F131=0,"NOT FOUND",INDEX('All Song Rankings'!$D:$D,F131))</f>
        <v>Kelsey</v>
      </c>
      <c r="J131" s="7" t="str">
        <f aca="false">IF(F131=0,"NOT FOUND",IF(C131=I131,"SELF-VOTE",IF(COUNTIF($K:$K,K131)&gt;1,"DUPLICATE","OK")))</f>
        <v>OK</v>
      </c>
      <c r="K131" s="6" t="str">
        <f aca="false">A131&amp;"|"&amp;B131&amp;"|"&amp;C131&amp;"|"&amp;D131</f>
        <v>1|2|Nicole|spotify:track:3NFs3XUduzBfvc5Bx1gmzh</v>
      </c>
    </row>
    <row r="132" customFormat="false" ht="15" hidden="false" customHeight="false" outlineLevel="0" collapsed="false">
      <c r="A132" s="5" t="n">
        <v>1</v>
      </c>
      <c r="B132" s="5" t="n">
        <v>2</v>
      </c>
      <c r="C132" s="5" t="s">
        <v>92</v>
      </c>
      <c r="D132" s="5" t="s">
        <v>138</v>
      </c>
      <c r="E132" s="5" t="n">
        <v>1</v>
      </c>
      <c r="F132" s="6" t="n">
        <f aca="false">IFERROR(MATCH(A132&amp;"|"&amp;B132&amp;"|"&amp;D132,'All Song Rankings'!$T:$T,0),0)</f>
        <v>13</v>
      </c>
      <c r="G132" s="6" t="str">
        <f aca="false">IF(F132=0,"NOT FOUND",INDEX('All Song Rankings'!$A:$A,F132))</f>
        <v>The Ballad of the Witches' Road</v>
      </c>
      <c r="H132" s="6" t="str">
        <f aca="false">IF(F132=0,"NOT FOUND",INDEX('All Song Rankings'!$B:$B,F132))</f>
        <v>Kathryn Hahn</v>
      </c>
      <c r="I132" s="6" t="str">
        <f aca="false">IF(F132=0,"NOT FOUND",INDEX('All Song Rankings'!$D:$D,F132))</f>
        <v>Merita</v>
      </c>
      <c r="J132" s="7" t="str">
        <f aca="false">IF(F132=0,"NOT FOUND",IF(C132=I132,"SELF-VOTE",IF(COUNTIF($K:$K,K132)&gt;1,"DUPLICATE","OK")))</f>
        <v>OK</v>
      </c>
      <c r="K132" s="6" t="str">
        <f aca="false">A132&amp;"|"&amp;B132&amp;"|"&amp;C132&amp;"|"&amp;D132</f>
        <v>1|2|Nicole|spotify:track:59h6Uw3m5ClwHnEcKXh8hg</v>
      </c>
    </row>
    <row r="133" customFormat="false" ht="15" hidden="false" customHeight="false" outlineLevel="0" collapsed="false">
      <c r="A133" s="5" t="n">
        <v>1</v>
      </c>
      <c r="B133" s="5" t="n">
        <v>2</v>
      </c>
      <c r="C133" s="5" t="s">
        <v>92</v>
      </c>
      <c r="D133" s="5" t="s">
        <v>154</v>
      </c>
      <c r="E133" s="5" t="n">
        <v>2</v>
      </c>
      <c r="F133" s="6" t="n">
        <f aca="false">IFERROR(MATCH(A133&amp;"|"&amp;B133&amp;"|"&amp;D133,'All Song Rankings'!$T:$T,0),0)</f>
        <v>18</v>
      </c>
      <c r="G133" s="6" t="str">
        <f aca="false">IF(F133=0,"NOT FOUND",INDEX('All Song Rankings'!$A:$A,F133))</f>
        <v>vampire</v>
      </c>
      <c r="H133" s="6" t="str">
        <f aca="false">IF(F133=0,"NOT FOUND",INDEX('All Song Rankings'!$B:$B,F133))</f>
        <v>Olivia Rodrigo</v>
      </c>
      <c r="I133" s="6" t="str">
        <f aca="false">IF(F133=0,"NOT FOUND",INDEX('All Song Rankings'!$D:$D,F133))</f>
        <v>Matt</v>
      </c>
      <c r="J133" s="7" t="str">
        <f aca="false">IF(F133=0,"NOT FOUND",IF(C133=I133,"SELF-VOTE",IF(COUNTIF($K:$K,K133)&gt;1,"DUPLICATE","OK")))</f>
        <v>OK</v>
      </c>
      <c r="K133" s="6" t="str">
        <f aca="false">A133&amp;"|"&amp;B133&amp;"|"&amp;C133&amp;"|"&amp;D133</f>
        <v>1|2|Nicole|spotify:track:5VJETUjJ7y46bAz4min5IB</v>
      </c>
    </row>
    <row r="134" customFormat="false" ht="15" hidden="false" customHeight="false" outlineLevel="0" collapsed="false">
      <c r="A134" s="5" t="n">
        <v>1</v>
      </c>
      <c r="B134" s="5" t="n">
        <v>2</v>
      </c>
      <c r="C134" s="5" t="s">
        <v>123</v>
      </c>
      <c r="D134" s="5" t="s">
        <v>147</v>
      </c>
      <c r="E134" s="5" t="n">
        <v>4</v>
      </c>
      <c r="F134" s="6" t="n">
        <f aca="false">IFERROR(MATCH(A134&amp;"|"&amp;B134&amp;"|"&amp;D134,'All Song Rankings'!$T:$T,0),0)</f>
        <v>16</v>
      </c>
      <c r="G134" s="6" t="str">
        <f aca="false">IF(F134=0,"NOT FOUND",INDEX('All Song Rankings'!$A:$A,F134))</f>
        <v>Spooky, Scary Skeletons</v>
      </c>
      <c r="H134" s="6" t="str">
        <f aca="false">IF(F134=0,"NOT FOUND",INDEX('All Song Rankings'!$B:$B,F134))</f>
        <v>Andrew Gold</v>
      </c>
      <c r="I134" s="6" t="str">
        <f aca="false">IF(F134=0,"NOT FOUND",INDEX('All Song Rankings'!$D:$D,F134))</f>
        <v>Nicole</v>
      </c>
      <c r="J134" s="7" t="str">
        <f aca="false">IF(F134=0,"NOT FOUND",IF(C134=I134,"SELF-VOTE",IF(COUNTIF($K:$K,K134)&gt;1,"DUPLICATE","OK")))</f>
        <v>OK</v>
      </c>
      <c r="K134" s="6" t="str">
        <f aca="false">A134&amp;"|"&amp;B134&amp;"|"&amp;C134&amp;"|"&amp;D134</f>
        <v>1|2|Olivia|spotify:track:23V08GxMeaZNSf8Gy6KF6t</v>
      </c>
    </row>
    <row r="135" customFormat="false" ht="15" hidden="false" customHeight="false" outlineLevel="0" collapsed="false">
      <c r="A135" s="5" t="n">
        <v>1</v>
      </c>
      <c r="B135" s="5" t="n">
        <v>2</v>
      </c>
      <c r="C135" s="5" t="s">
        <v>123</v>
      </c>
      <c r="D135" s="5" t="s">
        <v>144</v>
      </c>
      <c r="E135" s="5" t="n">
        <v>3</v>
      </c>
      <c r="F135" s="6" t="n">
        <f aca="false">IFERROR(MATCH(A135&amp;"|"&amp;B135&amp;"|"&amp;D135,'All Song Rankings'!$T:$T,0),0)</f>
        <v>15</v>
      </c>
      <c r="G135" s="6" t="str">
        <f aca="false">IF(F135=0,"NOT FOUND",INDEX('All Song Rankings'!$A:$A,F135))</f>
        <v>Witch Doctor</v>
      </c>
      <c r="H135" s="6" t="str">
        <f aca="false">IF(F135=0,"NOT FOUND",INDEX('All Song Rankings'!$B:$B,F135))</f>
        <v>Chris Classic</v>
      </c>
      <c r="I135" s="6" t="str">
        <f aca="false">IF(F135=0,"NOT FOUND",INDEX('All Song Rankings'!$D:$D,F135))</f>
        <v>Maryann</v>
      </c>
      <c r="J135" s="7" t="str">
        <f aca="false">IF(F135=0,"NOT FOUND",IF(C135=I135,"SELF-VOTE",IF(COUNTIF($K:$K,K135)&gt;1,"DUPLICATE","OK")))</f>
        <v>OK</v>
      </c>
      <c r="K135" s="6" t="str">
        <f aca="false">A135&amp;"|"&amp;B135&amp;"|"&amp;C135&amp;"|"&amp;D135</f>
        <v>1|2|Olivia|spotify:track:27K0tchvM5KszaSJEX7fj5</v>
      </c>
    </row>
    <row r="136" customFormat="false" ht="15" hidden="false" customHeight="false" outlineLevel="0" collapsed="false">
      <c r="A136" s="5" t="n">
        <v>1</v>
      </c>
      <c r="B136" s="5" t="n">
        <v>2</v>
      </c>
      <c r="C136" s="5" t="s">
        <v>123</v>
      </c>
      <c r="D136" s="5" t="s">
        <v>138</v>
      </c>
      <c r="E136" s="5" t="n">
        <v>1</v>
      </c>
      <c r="F136" s="6" t="n">
        <f aca="false">IFERROR(MATCH(A136&amp;"|"&amp;B136&amp;"|"&amp;D136,'All Song Rankings'!$T:$T,0),0)</f>
        <v>13</v>
      </c>
      <c r="G136" s="6" t="str">
        <f aca="false">IF(F136=0,"NOT FOUND",INDEX('All Song Rankings'!$A:$A,F136))</f>
        <v>The Ballad of the Witches' Road</v>
      </c>
      <c r="H136" s="6" t="str">
        <f aca="false">IF(F136=0,"NOT FOUND",INDEX('All Song Rankings'!$B:$B,F136))</f>
        <v>Kathryn Hahn</v>
      </c>
      <c r="I136" s="6" t="str">
        <f aca="false">IF(F136=0,"NOT FOUND",INDEX('All Song Rankings'!$D:$D,F136))</f>
        <v>Merita</v>
      </c>
      <c r="J136" s="7" t="str">
        <f aca="false">IF(F136=0,"NOT FOUND",IF(C136=I136,"SELF-VOTE",IF(COUNTIF($K:$K,K136)&gt;1,"DUPLICATE","OK")))</f>
        <v>OK</v>
      </c>
      <c r="K136" s="6" t="str">
        <f aca="false">A136&amp;"|"&amp;B136&amp;"|"&amp;C136&amp;"|"&amp;D136</f>
        <v>1|2|Olivia|spotify:track:59h6Uw3m5ClwHnEcKXh8hg</v>
      </c>
    </row>
    <row r="137" customFormat="false" ht="15" hidden="false" customHeight="false" outlineLevel="0" collapsed="false">
      <c r="A137" s="5" t="n">
        <v>1</v>
      </c>
      <c r="B137" s="5" t="n">
        <v>2</v>
      </c>
      <c r="C137" s="5" t="s">
        <v>123</v>
      </c>
      <c r="D137" s="5" t="s">
        <v>154</v>
      </c>
      <c r="E137" s="5" t="n">
        <v>2</v>
      </c>
      <c r="F137" s="6" t="n">
        <f aca="false">IFERROR(MATCH(A137&amp;"|"&amp;B137&amp;"|"&amp;D137,'All Song Rankings'!$T:$T,0),0)</f>
        <v>18</v>
      </c>
      <c r="G137" s="6" t="str">
        <f aca="false">IF(F137=0,"NOT FOUND",INDEX('All Song Rankings'!$A:$A,F137))</f>
        <v>vampire</v>
      </c>
      <c r="H137" s="6" t="str">
        <f aca="false">IF(F137=0,"NOT FOUND",INDEX('All Song Rankings'!$B:$B,F137))</f>
        <v>Olivia Rodrigo</v>
      </c>
      <c r="I137" s="6" t="str">
        <f aca="false">IF(F137=0,"NOT FOUND",INDEX('All Song Rankings'!$D:$D,F137))</f>
        <v>Matt</v>
      </c>
      <c r="J137" s="7" t="str">
        <f aca="false">IF(F137=0,"NOT FOUND",IF(C137=I137,"SELF-VOTE",IF(COUNTIF($K:$K,K137)&gt;1,"DUPLICATE","OK")))</f>
        <v>OK</v>
      </c>
      <c r="K137" s="6" t="str">
        <f aca="false">A137&amp;"|"&amp;B137&amp;"|"&amp;C137&amp;"|"&amp;D137</f>
        <v>1|2|Olivia|spotify:track:5VJETUjJ7y46bAz4min5IB</v>
      </c>
    </row>
    <row r="138" customFormat="false" ht="15" hidden="false" customHeight="false" outlineLevel="0" collapsed="false">
      <c r="A138" s="5" t="n">
        <v>1</v>
      </c>
      <c r="B138" s="5" t="n">
        <v>2</v>
      </c>
      <c r="C138" s="5" t="s">
        <v>97</v>
      </c>
      <c r="D138" s="5" t="s">
        <v>147</v>
      </c>
      <c r="E138" s="5" t="n">
        <v>1</v>
      </c>
      <c r="F138" s="6" t="n">
        <f aca="false">IFERROR(MATCH(A138&amp;"|"&amp;B138&amp;"|"&amp;D138,'All Song Rankings'!$T:$T,0),0)</f>
        <v>16</v>
      </c>
      <c r="G138" s="6" t="str">
        <f aca="false">IF(F138=0,"NOT FOUND",INDEX('All Song Rankings'!$A:$A,F138))</f>
        <v>Spooky, Scary Skeletons</v>
      </c>
      <c r="H138" s="6" t="str">
        <f aca="false">IF(F138=0,"NOT FOUND",INDEX('All Song Rankings'!$B:$B,F138))</f>
        <v>Andrew Gold</v>
      </c>
      <c r="I138" s="6" t="str">
        <f aca="false">IF(F138=0,"NOT FOUND",INDEX('All Song Rankings'!$D:$D,F138))</f>
        <v>Nicole</v>
      </c>
      <c r="J138" s="7" t="str">
        <f aca="false">IF(F138=0,"NOT FOUND",IF(C138=I138,"SELF-VOTE",IF(COUNTIF($K:$K,K138)&gt;1,"DUPLICATE","OK")))</f>
        <v>OK</v>
      </c>
      <c r="K138" s="6" t="str">
        <f aca="false">A138&amp;"|"&amp;B138&amp;"|"&amp;C138&amp;"|"&amp;D138</f>
        <v>1|2|Stephanie|spotify:track:23V08GxMeaZNSf8Gy6KF6t</v>
      </c>
    </row>
    <row r="139" customFormat="false" ht="15" hidden="false" customHeight="false" outlineLevel="0" collapsed="false">
      <c r="A139" s="5" t="n">
        <v>1</v>
      </c>
      <c r="B139" s="5" t="n">
        <v>2</v>
      </c>
      <c r="C139" s="5" t="s">
        <v>97</v>
      </c>
      <c r="D139" s="5" t="s">
        <v>144</v>
      </c>
      <c r="E139" s="5" t="n">
        <v>1</v>
      </c>
      <c r="F139" s="6" t="n">
        <f aca="false">IFERROR(MATCH(A139&amp;"|"&amp;B139&amp;"|"&amp;D139,'All Song Rankings'!$T:$T,0),0)</f>
        <v>15</v>
      </c>
      <c r="G139" s="6" t="str">
        <f aca="false">IF(F139=0,"NOT FOUND",INDEX('All Song Rankings'!$A:$A,F139))</f>
        <v>Witch Doctor</v>
      </c>
      <c r="H139" s="6" t="str">
        <f aca="false">IF(F139=0,"NOT FOUND",INDEX('All Song Rankings'!$B:$B,F139))</f>
        <v>Chris Classic</v>
      </c>
      <c r="I139" s="6" t="str">
        <f aca="false">IF(F139=0,"NOT FOUND",INDEX('All Song Rankings'!$D:$D,F139))</f>
        <v>Maryann</v>
      </c>
      <c r="J139" s="7" t="str">
        <f aca="false">IF(F139=0,"NOT FOUND",IF(C139=I139,"SELF-VOTE",IF(COUNTIF($K:$K,K139)&gt;1,"DUPLICATE","OK")))</f>
        <v>OK</v>
      </c>
      <c r="K139" s="6" t="str">
        <f aca="false">A139&amp;"|"&amp;B139&amp;"|"&amp;C139&amp;"|"&amp;D139</f>
        <v>1|2|Stephanie|spotify:track:27K0tchvM5KszaSJEX7fj5</v>
      </c>
    </row>
    <row r="140" customFormat="false" ht="15" hidden="false" customHeight="false" outlineLevel="0" collapsed="false">
      <c r="A140" s="5" t="n">
        <v>1</v>
      </c>
      <c r="B140" s="5" t="n">
        <v>2</v>
      </c>
      <c r="C140" s="5" t="s">
        <v>97</v>
      </c>
      <c r="D140" s="5" t="s">
        <v>160</v>
      </c>
      <c r="E140" s="5" t="n">
        <v>1</v>
      </c>
      <c r="F140" s="6" t="n">
        <f aca="false">IFERROR(MATCH(A140&amp;"|"&amp;B140&amp;"|"&amp;D140,'All Song Rankings'!$T:$T,0),0)</f>
        <v>20</v>
      </c>
      <c r="G140" s="6" t="str">
        <f aca="false">IF(F140=0,"NOT FOUND",INDEX('All Song Rankings'!$A:$A,F140))</f>
        <v>The Dead Dance</v>
      </c>
      <c r="H140" s="6" t="str">
        <f aca="false">IF(F140=0,"NOT FOUND",INDEX('All Song Rankings'!$B:$B,F140))</f>
        <v>Lady Gaga</v>
      </c>
      <c r="I140" s="6" t="str">
        <f aca="false">IF(F140=0,"NOT FOUND",INDEX('All Song Rankings'!$D:$D,F140))</f>
        <v>Kelsey</v>
      </c>
      <c r="J140" s="7" t="str">
        <f aca="false">IF(F140=0,"NOT FOUND",IF(C140=I140,"SELF-VOTE",IF(COUNTIF($K:$K,K140)&gt;1,"DUPLICATE","OK")))</f>
        <v>OK</v>
      </c>
      <c r="K140" s="6" t="str">
        <f aca="false">A140&amp;"|"&amp;B140&amp;"|"&amp;C140&amp;"|"&amp;D140</f>
        <v>1|2|Stephanie|spotify:track:3NFs3XUduzBfvc5Bx1gmzh</v>
      </c>
    </row>
    <row r="141" customFormat="false" ht="15" hidden="false" customHeight="false" outlineLevel="0" collapsed="false">
      <c r="A141" s="5" t="n">
        <v>1</v>
      </c>
      <c r="B141" s="5" t="n">
        <v>2</v>
      </c>
      <c r="C141" s="5" t="s">
        <v>97</v>
      </c>
      <c r="D141" s="5" t="s">
        <v>157</v>
      </c>
      <c r="E141" s="5" t="n">
        <v>1</v>
      </c>
      <c r="F141" s="6" t="n">
        <f aca="false">IFERROR(MATCH(A141&amp;"|"&amp;B141&amp;"|"&amp;D141,'All Song Rankings'!$T:$T,0),0)</f>
        <v>19</v>
      </c>
      <c r="G141" s="6" t="str">
        <f aca="false">IF(F141=0,"NOT FOUND",INDEX('All Song Rankings'!$A:$A,F141))</f>
        <v>Time Warp</v>
      </c>
      <c r="H141" s="6" t="str">
        <f aca="false">IF(F141=0,"NOT FOUND",INDEX('All Song Rankings'!$B:$B,F141))</f>
        <v>Little Nell, Patricia Quinn, Richard O'Brien, The Rocky Horror Picture Show</v>
      </c>
      <c r="I141" s="6" t="str">
        <f aca="false">IF(F141=0,"NOT FOUND",INDEX('All Song Rankings'!$D:$D,F141))</f>
        <v>Leah</v>
      </c>
      <c r="J141" s="7" t="str">
        <f aca="false">IF(F141=0,"NOT FOUND",IF(C141=I141,"SELF-VOTE",IF(COUNTIF($K:$K,K141)&gt;1,"DUPLICATE","OK")))</f>
        <v>OK</v>
      </c>
      <c r="K141" s="6" t="str">
        <f aca="false">A141&amp;"|"&amp;B141&amp;"|"&amp;C141&amp;"|"&amp;D141</f>
        <v>1|2|Stephanie|spotify:track:4WFeJTXNHIS2wURtwlAkhu</v>
      </c>
    </row>
    <row r="142" customFormat="false" ht="15" hidden="false" customHeight="false" outlineLevel="0" collapsed="false">
      <c r="A142" s="5" t="n">
        <v>1</v>
      </c>
      <c r="B142" s="5" t="n">
        <v>2</v>
      </c>
      <c r="C142" s="5" t="s">
        <v>97</v>
      </c>
      <c r="D142" s="5" t="s">
        <v>138</v>
      </c>
      <c r="E142" s="5" t="n">
        <v>6</v>
      </c>
      <c r="F142" s="6" t="n">
        <f aca="false">IFERROR(MATCH(A142&amp;"|"&amp;B142&amp;"|"&amp;D142,'All Song Rankings'!$T:$T,0),0)</f>
        <v>13</v>
      </c>
      <c r="G142" s="6" t="str">
        <f aca="false">IF(F142=0,"NOT FOUND",INDEX('All Song Rankings'!$A:$A,F142))</f>
        <v>The Ballad of the Witches' Road</v>
      </c>
      <c r="H142" s="6" t="str">
        <f aca="false">IF(F142=0,"NOT FOUND",INDEX('All Song Rankings'!$B:$B,F142))</f>
        <v>Kathryn Hahn</v>
      </c>
      <c r="I142" s="6" t="str">
        <f aca="false">IF(F142=0,"NOT FOUND",INDEX('All Song Rankings'!$D:$D,F142))</f>
        <v>Merita</v>
      </c>
      <c r="J142" s="7" t="str">
        <f aca="false">IF(F142=0,"NOT FOUND",IF(C142=I142,"SELF-VOTE",IF(COUNTIF($K:$K,K142)&gt;1,"DUPLICATE","OK")))</f>
        <v>OK</v>
      </c>
      <c r="K142" s="6" t="str">
        <f aca="false">A142&amp;"|"&amp;B142&amp;"|"&amp;C142&amp;"|"&amp;D142</f>
        <v>1|2|Stephanie|spotify:track:59h6Uw3m5ClwHnEcKXh8hg</v>
      </c>
    </row>
    <row r="143" customFormat="false" ht="15" hidden="false" customHeight="false" outlineLevel="0" collapsed="false">
      <c r="A143" s="5" t="n">
        <v>1</v>
      </c>
      <c r="B143" s="5" t="n">
        <v>3</v>
      </c>
      <c r="C143" s="5" t="s">
        <v>111</v>
      </c>
      <c r="D143" s="5" t="s">
        <v>187</v>
      </c>
      <c r="E143" s="5" t="n">
        <v>2</v>
      </c>
      <c r="F143" s="6" t="n">
        <f aca="false">IFERROR(MATCH(A143&amp;"|"&amp;B143&amp;"|"&amp;D143,'All Song Rankings'!$T:$T,0),0)</f>
        <v>29</v>
      </c>
      <c r="G143" s="6" t="str">
        <f aca="false">IF(F143=0,"NOT FOUND",INDEX('All Song Rankings'!$A:$A,F143))</f>
        <v>Uptown Funk</v>
      </c>
      <c r="H143" s="6" t="str">
        <f aca="false">IF(F143=0,"NOT FOUND",INDEX('All Song Rankings'!$B:$B,F143))</f>
        <v>Mark Ronson</v>
      </c>
      <c r="I143" s="6" t="str">
        <f aca="false">IF(F143=0,"NOT FOUND",INDEX('All Song Rankings'!$D:$D,F143))</f>
        <v>Merita</v>
      </c>
      <c r="J143" s="7" t="str">
        <f aca="false">IF(F143=0,"NOT FOUND",IF(C143=I143,"SELF-VOTE",IF(COUNTIF($K:$K,K143)&gt;1,"DUPLICATE","OK")))</f>
        <v>OK</v>
      </c>
      <c r="K143" s="6" t="str">
        <f aca="false">A143&amp;"|"&amp;B143&amp;"|"&amp;C143&amp;"|"&amp;D143</f>
        <v>1|3|Collin|spotify:track:32OlwWuMpZ6b0aN2RZOeMS</v>
      </c>
    </row>
    <row r="144" customFormat="false" ht="15" hidden="false" customHeight="false" outlineLevel="0" collapsed="false">
      <c r="A144" s="5" t="n">
        <v>1</v>
      </c>
      <c r="B144" s="5" t="n">
        <v>3</v>
      </c>
      <c r="C144" s="5" t="s">
        <v>111</v>
      </c>
      <c r="D144" s="5" t="s">
        <v>181</v>
      </c>
      <c r="E144" s="5" t="n">
        <v>2</v>
      </c>
      <c r="F144" s="6" t="n">
        <f aca="false">IFERROR(MATCH(A144&amp;"|"&amp;B144&amp;"|"&amp;D144,'All Song Rankings'!$T:$T,0),0)</f>
        <v>27</v>
      </c>
      <c r="G144" s="6" t="str">
        <f aca="false">IF(F144=0,"NOT FOUND",INDEX('All Song Rankings'!$A:$A,F144))</f>
        <v>Celebrate!</v>
      </c>
      <c r="H144" s="6" t="str">
        <f aca="false">IF(F144=0,"NOT FOUND",INDEX('All Song Rankings'!$B:$B,F144))</f>
        <v>Jonas Brothers</v>
      </c>
      <c r="I144" s="6" t="str">
        <f aca="false">IF(F144=0,"NOT FOUND",INDEX('All Song Rankings'!$D:$D,F144))</f>
        <v>Olivia</v>
      </c>
      <c r="J144" s="7" t="str">
        <f aca="false">IF(F144=0,"NOT FOUND",IF(C144=I144,"SELF-VOTE",IF(COUNTIF($K:$K,K144)&gt;1,"DUPLICATE","OK")))</f>
        <v>OK</v>
      </c>
      <c r="K144" s="6" t="str">
        <f aca="false">A144&amp;"|"&amp;B144&amp;"|"&amp;C144&amp;"|"&amp;D144</f>
        <v>1|3|Collin|spotify:track:3qXOcbRVwKySRfN0k6BDrf</v>
      </c>
    </row>
    <row r="145" customFormat="false" ht="15" hidden="false" customHeight="false" outlineLevel="0" collapsed="false">
      <c r="A145" s="5" t="n">
        <v>1</v>
      </c>
      <c r="B145" s="5" t="n">
        <v>3</v>
      </c>
      <c r="C145" s="5" t="s">
        <v>111</v>
      </c>
      <c r="D145" s="5" t="s">
        <v>179</v>
      </c>
      <c r="E145" s="5" t="n">
        <v>3</v>
      </c>
      <c r="F145" s="6" t="n">
        <f aca="false">IFERROR(MATCH(A145&amp;"|"&amp;B145&amp;"|"&amp;D145,'All Song Rankings'!$T:$T,0),0)</f>
        <v>26</v>
      </c>
      <c r="G145" s="6" t="str">
        <f aca="false">IF(F145=0,"NOT FOUND",INDEX('All Song Rankings'!$A:$A,F145))</f>
        <v>Never Gonna Give You Up</v>
      </c>
      <c r="H145" s="6" t="str">
        <f aca="false">IF(F145=0,"NOT FOUND",INDEX('All Song Rankings'!$B:$B,F145))</f>
        <v>Rick Astley</v>
      </c>
      <c r="I145" s="6" t="str">
        <f aca="false">IF(F145=0,"NOT FOUND",INDEX('All Song Rankings'!$D:$D,F145))</f>
        <v>Matt</v>
      </c>
      <c r="J145" s="7" t="str">
        <f aca="false">IF(F145=0,"NOT FOUND",IF(C145=I145,"SELF-VOTE",IF(COUNTIF($K:$K,K145)&gt;1,"DUPLICATE","OK")))</f>
        <v>OK</v>
      </c>
      <c r="K145" s="6" t="str">
        <f aca="false">A145&amp;"|"&amp;B145&amp;"|"&amp;C145&amp;"|"&amp;D145</f>
        <v>1|3|Collin|spotify:track:4PTG3Z6ehGkBFwjybzWkR8</v>
      </c>
    </row>
    <row r="146" customFormat="false" ht="15" hidden="false" customHeight="false" outlineLevel="0" collapsed="false">
      <c r="A146" s="5" t="n">
        <v>1</v>
      </c>
      <c r="B146" s="5" t="n">
        <v>3</v>
      </c>
      <c r="C146" s="5" t="s">
        <v>111</v>
      </c>
      <c r="D146" s="5" t="s">
        <v>176</v>
      </c>
      <c r="E146" s="5" t="n">
        <v>2</v>
      </c>
      <c r="F146" s="6" t="n">
        <f aca="false">IFERROR(MATCH(A146&amp;"|"&amp;B146&amp;"|"&amp;D146,'All Song Rankings'!$T:$T,0),0)</f>
        <v>25</v>
      </c>
      <c r="G146" s="6" t="str">
        <f aca="false">IF(F146=0,"NOT FOUND",INDEX('All Song Rankings'!$A:$A,F146))</f>
        <v>Don't Stop Me Now</v>
      </c>
      <c r="H146" s="6" t="str">
        <f aca="false">IF(F146=0,"NOT FOUND",INDEX('All Song Rankings'!$B:$B,F146))</f>
        <v>Queen</v>
      </c>
      <c r="I146" s="6" t="str">
        <f aca="false">IF(F146=0,"NOT FOUND",INDEX('All Song Rankings'!$D:$D,F146))</f>
        <v>Kelsey</v>
      </c>
      <c r="J146" s="7" t="str">
        <f aca="false">IF(F146=0,"NOT FOUND",IF(C146=I146,"SELF-VOTE",IF(COUNTIF($K:$K,K146)&gt;1,"DUPLICATE","OK")))</f>
        <v>OK</v>
      </c>
      <c r="K146" s="6" t="str">
        <f aca="false">A146&amp;"|"&amp;B146&amp;"|"&amp;C146&amp;"|"&amp;D146</f>
        <v>1|3|Collin|spotify:track:62PDM93qqC4xSfQMV48MRF</v>
      </c>
    </row>
    <row r="147" customFormat="false" ht="15" hidden="false" customHeight="false" outlineLevel="0" collapsed="false">
      <c r="A147" s="5" t="n">
        <v>1</v>
      </c>
      <c r="B147" s="5" t="n">
        <v>3</v>
      </c>
      <c r="C147" s="5" t="s">
        <v>111</v>
      </c>
      <c r="D147" s="5" t="s">
        <v>184</v>
      </c>
      <c r="E147" s="5" t="n">
        <v>1</v>
      </c>
      <c r="F147" s="6" t="n">
        <f aca="false">IFERROR(MATCH(A147&amp;"|"&amp;B147&amp;"|"&amp;D147,'All Song Rankings'!$T:$T,0),0)</f>
        <v>28</v>
      </c>
      <c r="G147" s="6" t="str">
        <f aca="false">IF(F147=0,"NOT FOUND",INDEX('All Song Rankings'!$A:$A,F147))</f>
        <v>We Rock</v>
      </c>
      <c r="H147" s="6" t="str">
        <f aca="false">IF(F147=0,"NOT FOUND",INDEX('All Song Rankings'!$B:$B,F147))</f>
        <v>Cast of Camp Rock</v>
      </c>
      <c r="I147" s="6" t="str">
        <f aca="false">IF(F147=0,"NOT FOUND",INDEX('All Song Rankings'!$D:$D,F147))</f>
        <v>Nicole</v>
      </c>
      <c r="J147" s="7" t="str">
        <f aca="false">IF(F147=0,"NOT FOUND",IF(C147=I147,"SELF-VOTE",IF(COUNTIF($K:$K,K147)&gt;1,"DUPLICATE","OK")))</f>
        <v>OK</v>
      </c>
      <c r="K147" s="6" t="str">
        <f aca="false">A147&amp;"|"&amp;B147&amp;"|"&amp;C147&amp;"|"&amp;D147</f>
        <v>1|3|Collin|spotify:track:7r6ubHsaieaig4kORmmsDy</v>
      </c>
    </row>
    <row r="148" customFormat="false" ht="15" hidden="false" customHeight="false" outlineLevel="0" collapsed="false">
      <c r="A148" s="5" t="n">
        <v>1</v>
      </c>
      <c r="B148" s="5" t="n">
        <v>3</v>
      </c>
      <c r="C148" s="5" t="s">
        <v>85</v>
      </c>
      <c r="D148" s="5" t="s">
        <v>193</v>
      </c>
      <c r="E148" s="5" t="n">
        <v>1</v>
      </c>
      <c r="F148" s="6" t="n">
        <f aca="false">IFERROR(MATCH(A148&amp;"|"&amp;B148&amp;"|"&amp;D148,'All Song Rankings'!$T:$T,0),0)</f>
        <v>31</v>
      </c>
      <c r="G148" s="6" t="str">
        <f aca="false">IF(F148=0,"NOT FOUND",INDEX('All Song Rankings'!$A:$A,F148))</f>
        <v>Seasons of Love</v>
      </c>
      <c r="H148" s="6" t="str">
        <f aca="false">IF(F148=0,"NOT FOUND",INDEX('All Song Rankings'!$B:$B,F148))</f>
        <v>Anthony Rapp</v>
      </c>
      <c r="I148" s="6" t="str">
        <f aca="false">IF(F148=0,"NOT FOUND",INDEX('All Song Rankings'!$D:$D,F148))</f>
        <v>Stephanie</v>
      </c>
      <c r="J148" s="7" t="str">
        <f aca="false">IF(F148=0,"NOT FOUND",IF(C148=I148,"SELF-VOTE",IF(COUNTIF($K:$K,K148)&gt;1,"DUPLICATE","OK")))</f>
        <v>OK</v>
      </c>
      <c r="K148" s="6" t="str">
        <f aca="false">A148&amp;"|"&amp;B148&amp;"|"&amp;C148&amp;"|"&amp;D148</f>
        <v>1|3|Kelsey|spotify:track:0LiRTCcc2q3A50Eh9k5bSi</v>
      </c>
    </row>
    <row r="149" customFormat="false" ht="15" hidden="false" customHeight="false" outlineLevel="0" collapsed="false">
      <c r="A149" s="5" t="n">
        <v>1</v>
      </c>
      <c r="B149" s="5" t="n">
        <v>3</v>
      </c>
      <c r="C149" s="5" t="s">
        <v>85</v>
      </c>
      <c r="D149" s="5" t="s">
        <v>199</v>
      </c>
      <c r="E149" s="5" t="n">
        <v>1</v>
      </c>
      <c r="F149" s="6" t="n">
        <f aca="false">IFERROR(MATCH(A149&amp;"|"&amp;B149&amp;"|"&amp;D149,'All Song Rankings'!$T:$T,0),0)</f>
        <v>33</v>
      </c>
      <c r="G149" s="6" t="str">
        <f aca="false">IF(F149=0,"NOT FOUND",INDEX('All Song Rankings'!$A:$A,F149))</f>
        <v>Happy Nation</v>
      </c>
      <c r="H149" s="6" t="str">
        <f aca="false">IF(F149=0,"NOT FOUND",INDEX('All Song Rankings'!$B:$B,F149))</f>
        <v>Ace of Base</v>
      </c>
      <c r="I149" s="6" t="str">
        <f aca="false">IF(F149=0,"NOT FOUND",INDEX('All Song Rankings'!$D:$D,F149))</f>
        <v>Leah</v>
      </c>
      <c r="J149" s="7" t="str">
        <f aca="false">IF(F149=0,"NOT FOUND",IF(C149=I149,"SELF-VOTE",IF(COUNTIF($K:$K,K149)&gt;1,"DUPLICATE","OK")))</f>
        <v>OK</v>
      </c>
      <c r="K149" s="6" t="str">
        <f aca="false">A149&amp;"|"&amp;B149&amp;"|"&amp;C149&amp;"|"&amp;D149</f>
        <v>1|3|Kelsey|spotify:track:0pmU9rDYZnJ53wVNrBOxsV</v>
      </c>
    </row>
    <row r="150" customFormat="false" ht="15" hidden="false" customHeight="false" outlineLevel="0" collapsed="false">
      <c r="A150" s="5" t="n">
        <v>1</v>
      </c>
      <c r="B150" s="5" t="n">
        <v>3</v>
      </c>
      <c r="C150" s="5" t="s">
        <v>85</v>
      </c>
      <c r="D150" s="5" t="s">
        <v>173</v>
      </c>
      <c r="E150" s="5" t="n">
        <v>3</v>
      </c>
      <c r="F150" s="6" t="n">
        <f aca="false">IFERROR(MATCH(A150&amp;"|"&amp;B150&amp;"|"&amp;D150,'All Song Rankings'!$T:$T,0),0)</f>
        <v>24</v>
      </c>
      <c r="G150" s="6" t="str">
        <f aca="false">IF(F150=0,"NOT FOUND",INDEX('All Song Rankings'!$A:$A,F150))</f>
        <v>Against The Tide</v>
      </c>
      <c r="H150" s="6" t="str">
        <f aca="false">IF(F150=0,"NOT FOUND",INDEX('All Song Rankings'!$B:$B,F150))</f>
        <v>Sail North</v>
      </c>
      <c r="I150" s="6" t="str">
        <f aca="false">IF(F150=0,"NOT FOUND",INDEX('All Song Rankings'!$D:$D,F150))</f>
        <v>Collin</v>
      </c>
      <c r="J150" s="7" t="str">
        <f aca="false">IF(F150=0,"NOT FOUND",IF(C150=I150,"SELF-VOTE",IF(COUNTIF($K:$K,K150)&gt;1,"DUPLICATE","OK")))</f>
        <v>OK</v>
      </c>
      <c r="K150" s="6" t="str">
        <f aca="false">A150&amp;"|"&amp;B150&amp;"|"&amp;C150&amp;"|"&amp;D150</f>
        <v>1|3|Kelsey|spotify:track:1vuWlF2OWLtBqPNz0aoatB</v>
      </c>
    </row>
    <row r="151" customFormat="false" ht="15" hidden="false" customHeight="false" outlineLevel="0" collapsed="false">
      <c r="A151" s="5" t="n">
        <v>1</v>
      </c>
      <c r="B151" s="5" t="n">
        <v>3</v>
      </c>
      <c r="C151" s="5" t="s">
        <v>85</v>
      </c>
      <c r="D151" s="5" t="s">
        <v>187</v>
      </c>
      <c r="E151" s="5" t="n">
        <v>1</v>
      </c>
      <c r="F151" s="6" t="n">
        <f aca="false">IFERROR(MATCH(A151&amp;"|"&amp;B151&amp;"|"&amp;D151,'All Song Rankings'!$T:$T,0),0)</f>
        <v>29</v>
      </c>
      <c r="G151" s="6" t="str">
        <f aca="false">IF(F151=0,"NOT FOUND",INDEX('All Song Rankings'!$A:$A,F151))</f>
        <v>Uptown Funk</v>
      </c>
      <c r="H151" s="6" t="str">
        <f aca="false">IF(F151=0,"NOT FOUND",INDEX('All Song Rankings'!$B:$B,F151))</f>
        <v>Mark Ronson</v>
      </c>
      <c r="I151" s="6" t="str">
        <f aca="false">IF(F151=0,"NOT FOUND",INDEX('All Song Rankings'!$D:$D,F151))</f>
        <v>Merita</v>
      </c>
      <c r="J151" s="7" t="str">
        <f aca="false">IF(F151=0,"NOT FOUND",IF(C151=I151,"SELF-VOTE",IF(COUNTIF($K:$K,K151)&gt;1,"DUPLICATE","OK")))</f>
        <v>OK</v>
      </c>
      <c r="K151" s="6" t="str">
        <f aca="false">A151&amp;"|"&amp;B151&amp;"|"&amp;C151&amp;"|"&amp;D151</f>
        <v>1|3|Kelsey|spotify:track:32OlwWuMpZ6b0aN2RZOeMS</v>
      </c>
    </row>
    <row r="152" customFormat="false" ht="15" hidden="false" customHeight="false" outlineLevel="0" collapsed="false">
      <c r="A152" s="5" t="n">
        <v>1</v>
      </c>
      <c r="B152" s="5" t="n">
        <v>3</v>
      </c>
      <c r="C152" s="5" t="s">
        <v>85</v>
      </c>
      <c r="D152" s="5" t="s">
        <v>181</v>
      </c>
      <c r="E152" s="5" t="n">
        <v>2</v>
      </c>
      <c r="F152" s="6" t="n">
        <f aca="false">IFERROR(MATCH(A152&amp;"|"&amp;B152&amp;"|"&amp;D152,'All Song Rankings'!$T:$T,0),0)</f>
        <v>27</v>
      </c>
      <c r="G152" s="6" t="str">
        <f aca="false">IF(F152=0,"NOT FOUND",INDEX('All Song Rankings'!$A:$A,F152))</f>
        <v>Celebrate!</v>
      </c>
      <c r="H152" s="6" t="str">
        <f aca="false">IF(F152=0,"NOT FOUND",INDEX('All Song Rankings'!$B:$B,F152))</f>
        <v>Jonas Brothers</v>
      </c>
      <c r="I152" s="6" t="str">
        <f aca="false">IF(F152=0,"NOT FOUND",INDEX('All Song Rankings'!$D:$D,F152))</f>
        <v>Olivia</v>
      </c>
      <c r="J152" s="7" t="str">
        <f aca="false">IF(F152=0,"NOT FOUND",IF(C152=I152,"SELF-VOTE",IF(COUNTIF($K:$K,K152)&gt;1,"DUPLICATE","OK")))</f>
        <v>OK</v>
      </c>
      <c r="K152" s="6" t="str">
        <f aca="false">A152&amp;"|"&amp;B152&amp;"|"&amp;C152&amp;"|"&amp;D152</f>
        <v>1|3|Kelsey|spotify:track:3qXOcbRVwKySRfN0k6BDrf</v>
      </c>
    </row>
    <row r="153" customFormat="false" ht="15" hidden="false" customHeight="false" outlineLevel="0" collapsed="false">
      <c r="A153" s="5" t="n">
        <v>1</v>
      </c>
      <c r="B153" s="5" t="n">
        <v>3</v>
      </c>
      <c r="C153" s="5" t="s">
        <v>85</v>
      </c>
      <c r="D153" s="5" t="s">
        <v>184</v>
      </c>
      <c r="E153" s="5" t="n">
        <v>2</v>
      </c>
      <c r="F153" s="6" t="n">
        <f aca="false">IFERROR(MATCH(A153&amp;"|"&amp;B153&amp;"|"&amp;D153,'All Song Rankings'!$T:$T,0),0)</f>
        <v>28</v>
      </c>
      <c r="G153" s="6" t="str">
        <f aca="false">IF(F153=0,"NOT FOUND",INDEX('All Song Rankings'!$A:$A,F153))</f>
        <v>We Rock</v>
      </c>
      <c r="H153" s="6" t="str">
        <f aca="false">IF(F153=0,"NOT FOUND",INDEX('All Song Rankings'!$B:$B,F153))</f>
        <v>Cast of Camp Rock</v>
      </c>
      <c r="I153" s="6" t="str">
        <f aca="false">IF(F153=0,"NOT FOUND",INDEX('All Song Rankings'!$D:$D,F153))</f>
        <v>Nicole</v>
      </c>
      <c r="J153" s="7" t="str">
        <f aca="false">IF(F153=0,"NOT FOUND",IF(C153=I153,"SELF-VOTE",IF(COUNTIF($K:$K,K153)&gt;1,"DUPLICATE","OK")))</f>
        <v>OK</v>
      </c>
      <c r="K153" s="6" t="str">
        <f aca="false">A153&amp;"|"&amp;B153&amp;"|"&amp;C153&amp;"|"&amp;D153</f>
        <v>1|3|Kelsey|spotify:track:7r6ubHsaieaig4kORmmsDy</v>
      </c>
    </row>
    <row r="154" customFormat="false" ht="15" hidden="false" customHeight="false" outlineLevel="0" collapsed="false">
      <c r="A154" s="5" t="n">
        <v>1</v>
      </c>
      <c r="B154" s="5" t="n">
        <v>3</v>
      </c>
      <c r="C154" s="5" t="s">
        <v>106</v>
      </c>
      <c r="D154" s="5" t="s">
        <v>199</v>
      </c>
      <c r="E154" s="5" t="n">
        <v>1</v>
      </c>
      <c r="F154" s="6" t="n">
        <f aca="false">IFERROR(MATCH(A154&amp;"|"&amp;B154&amp;"|"&amp;D154,'All Song Rankings'!$T:$T,0),0)</f>
        <v>33</v>
      </c>
      <c r="G154" s="6" t="str">
        <f aca="false">IF(F154=0,"NOT FOUND",INDEX('All Song Rankings'!$A:$A,F154))</f>
        <v>Happy Nation</v>
      </c>
      <c r="H154" s="6" t="str">
        <f aca="false">IF(F154=0,"NOT FOUND",INDEX('All Song Rankings'!$B:$B,F154))</f>
        <v>Ace of Base</v>
      </c>
      <c r="I154" s="6" t="str">
        <f aca="false">IF(F154=0,"NOT FOUND",INDEX('All Song Rankings'!$D:$D,F154))</f>
        <v>Leah</v>
      </c>
      <c r="J154" s="7" t="str">
        <f aca="false">IF(F154=0,"NOT FOUND",IF(C154=I154,"SELF-VOTE",IF(COUNTIF($K:$K,K154)&gt;1,"DUPLICATE","OK")))</f>
        <v>OK</v>
      </c>
      <c r="K154" s="6" t="str">
        <f aca="false">A154&amp;"|"&amp;B154&amp;"|"&amp;C154&amp;"|"&amp;D154</f>
        <v>1|3|Kristen|spotify:track:0pmU9rDYZnJ53wVNrBOxsV</v>
      </c>
    </row>
    <row r="155" customFormat="false" ht="15" hidden="false" customHeight="false" outlineLevel="0" collapsed="false">
      <c r="A155" s="5" t="n">
        <v>1</v>
      </c>
      <c r="B155" s="5" t="n">
        <v>3</v>
      </c>
      <c r="C155" s="5" t="s">
        <v>106</v>
      </c>
      <c r="D155" s="5" t="s">
        <v>173</v>
      </c>
      <c r="E155" s="5" t="n">
        <v>3</v>
      </c>
      <c r="F155" s="6" t="n">
        <f aca="false">IFERROR(MATCH(A155&amp;"|"&amp;B155&amp;"|"&amp;D155,'All Song Rankings'!$T:$T,0),0)</f>
        <v>24</v>
      </c>
      <c r="G155" s="6" t="str">
        <f aca="false">IF(F155=0,"NOT FOUND",INDEX('All Song Rankings'!$A:$A,F155))</f>
        <v>Against The Tide</v>
      </c>
      <c r="H155" s="6" t="str">
        <f aca="false">IF(F155=0,"NOT FOUND",INDEX('All Song Rankings'!$B:$B,F155))</f>
        <v>Sail North</v>
      </c>
      <c r="I155" s="6" t="str">
        <f aca="false">IF(F155=0,"NOT FOUND",INDEX('All Song Rankings'!$D:$D,F155))</f>
        <v>Collin</v>
      </c>
      <c r="J155" s="7" t="str">
        <f aca="false">IF(F155=0,"NOT FOUND",IF(C155=I155,"SELF-VOTE",IF(COUNTIF($K:$K,K155)&gt;1,"DUPLICATE","OK")))</f>
        <v>OK</v>
      </c>
      <c r="K155" s="6" t="str">
        <f aca="false">A155&amp;"|"&amp;B155&amp;"|"&amp;C155&amp;"|"&amp;D155</f>
        <v>1|3|Kristen|spotify:track:1vuWlF2OWLtBqPNz0aoatB</v>
      </c>
    </row>
    <row r="156" customFormat="false" ht="15" hidden="false" customHeight="false" outlineLevel="0" collapsed="false">
      <c r="A156" s="5" t="n">
        <v>1</v>
      </c>
      <c r="B156" s="5" t="n">
        <v>3</v>
      </c>
      <c r="C156" s="5" t="s">
        <v>106</v>
      </c>
      <c r="D156" s="5" t="s">
        <v>187</v>
      </c>
      <c r="E156" s="5" t="n">
        <v>1</v>
      </c>
      <c r="F156" s="6" t="n">
        <f aca="false">IFERROR(MATCH(A156&amp;"|"&amp;B156&amp;"|"&amp;D156,'All Song Rankings'!$T:$T,0),0)</f>
        <v>29</v>
      </c>
      <c r="G156" s="6" t="str">
        <f aca="false">IF(F156=0,"NOT FOUND",INDEX('All Song Rankings'!$A:$A,F156))</f>
        <v>Uptown Funk</v>
      </c>
      <c r="H156" s="6" t="str">
        <f aca="false">IF(F156=0,"NOT FOUND",INDEX('All Song Rankings'!$B:$B,F156))</f>
        <v>Mark Ronson</v>
      </c>
      <c r="I156" s="6" t="str">
        <f aca="false">IF(F156=0,"NOT FOUND",INDEX('All Song Rankings'!$D:$D,F156))</f>
        <v>Merita</v>
      </c>
      <c r="J156" s="7" t="str">
        <f aca="false">IF(F156=0,"NOT FOUND",IF(C156=I156,"SELF-VOTE",IF(COUNTIF($K:$K,K156)&gt;1,"DUPLICATE","OK")))</f>
        <v>OK</v>
      </c>
      <c r="K156" s="6" t="str">
        <f aca="false">A156&amp;"|"&amp;B156&amp;"|"&amp;C156&amp;"|"&amp;D156</f>
        <v>1|3|Kristen|spotify:track:32OlwWuMpZ6b0aN2RZOeMS</v>
      </c>
    </row>
    <row r="157" customFormat="false" ht="15" hidden="false" customHeight="false" outlineLevel="0" collapsed="false">
      <c r="A157" s="5" t="n">
        <v>1</v>
      </c>
      <c r="B157" s="5" t="n">
        <v>3</v>
      </c>
      <c r="C157" s="5" t="s">
        <v>106</v>
      </c>
      <c r="D157" s="5" t="s">
        <v>179</v>
      </c>
      <c r="E157" s="5" t="n">
        <v>3</v>
      </c>
      <c r="F157" s="6" t="n">
        <f aca="false">IFERROR(MATCH(A157&amp;"|"&amp;B157&amp;"|"&amp;D157,'All Song Rankings'!$T:$T,0),0)</f>
        <v>26</v>
      </c>
      <c r="G157" s="6" t="str">
        <f aca="false">IF(F157=0,"NOT FOUND",INDEX('All Song Rankings'!$A:$A,F157))</f>
        <v>Never Gonna Give You Up</v>
      </c>
      <c r="H157" s="6" t="str">
        <f aca="false">IF(F157=0,"NOT FOUND",INDEX('All Song Rankings'!$B:$B,F157))</f>
        <v>Rick Astley</v>
      </c>
      <c r="I157" s="6" t="str">
        <f aca="false">IF(F157=0,"NOT FOUND",INDEX('All Song Rankings'!$D:$D,F157))</f>
        <v>Matt</v>
      </c>
      <c r="J157" s="7" t="str">
        <f aca="false">IF(F157=0,"NOT FOUND",IF(C157=I157,"SELF-VOTE",IF(COUNTIF($K:$K,K157)&gt;1,"DUPLICATE","OK")))</f>
        <v>OK</v>
      </c>
      <c r="K157" s="6" t="str">
        <f aca="false">A157&amp;"|"&amp;B157&amp;"|"&amp;C157&amp;"|"&amp;D157</f>
        <v>1|3|Kristen|spotify:track:4PTG3Z6ehGkBFwjybzWkR8</v>
      </c>
    </row>
    <row r="158" customFormat="false" ht="15" hidden="false" customHeight="false" outlineLevel="0" collapsed="false">
      <c r="A158" s="5" t="n">
        <v>1</v>
      </c>
      <c r="B158" s="5" t="n">
        <v>3</v>
      </c>
      <c r="C158" s="5" t="s">
        <v>106</v>
      </c>
      <c r="D158" s="5" t="s">
        <v>176</v>
      </c>
      <c r="E158" s="5" t="n">
        <v>2</v>
      </c>
      <c r="F158" s="6" t="n">
        <f aca="false">IFERROR(MATCH(A158&amp;"|"&amp;B158&amp;"|"&amp;D158,'All Song Rankings'!$T:$T,0),0)</f>
        <v>25</v>
      </c>
      <c r="G158" s="6" t="str">
        <f aca="false">IF(F158=0,"NOT FOUND",INDEX('All Song Rankings'!$A:$A,F158))</f>
        <v>Don't Stop Me Now</v>
      </c>
      <c r="H158" s="6" t="str">
        <f aca="false">IF(F158=0,"NOT FOUND",INDEX('All Song Rankings'!$B:$B,F158))</f>
        <v>Queen</v>
      </c>
      <c r="I158" s="6" t="str">
        <f aca="false">IF(F158=0,"NOT FOUND",INDEX('All Song Rankings'!$D:$D,F158))</f>
        <v>Kelsey</v>
      </c>
      <c r="J158" s="7" t="str">
        <f aca="false">IF(F158=0,"NOT FOUND",IF(C158=I158,"SELF-VOTE",IF(COUNTIF($K:$K,K158)&gt;1,"DUPLICATE","OK")))</f>
        <v>OK</v>
      </c>
      <c r="K158" s="6" t="str">
        <f aca="false">A158&amp;"|"&amp;B158&amp;"|"&amp;C158&amp;"|"&amp;D158</f>
        <v>1|3|Kristen|spotify:track:62PDM93qqC4xSfQMV48MRF</v>
      </c>
    </row>
    <row r="159" customFormat="false" ht="15" hidden="false" customHeight="false" outlineLevel="0" collapsed="false">
      <c r="A159" s="5" t="n">
        <v>1</v>
      </c>
      <c r="B159" s="5" t="n">
        <v>3</v>
      </c>
      <c r="C159" s="5" t="s">
        <v>119</v>
      </c>
      <c r="D159" s="5" t="s">
        <v>193</v>
      </c>
      <c r="E159" s="5" t="n">
        <v>1</v>
      </c>
      <c r="F159" s="6" t="n">
        <f aca="false">IFERROR(MATCH(A159&amp;"|"&amp;B159&amp;"|"&amp;D159,'All Song Rankings'!$T:$T,0),0)</f>
        <v>31</v>
      </c>
      <c r="G159" s="6" t="str">
        <f aca="false">IF(F159=0,"NOT FOUND",INDEX('All Song Rankings'!$A:$A,F159))</f>
        <v>Seasons of Love</v>
      </c>
      <c r="H159" s="6" t="str">
        <f aca="false">IF(F159=0,"NOT FOUND",INDEX('All Song Rankings'!$B:$B,F159))</f>
        <v>Anthony Rapp</v>
      </c>
      <c r="I159" s="6" t="str">
        <f aca="false">IF(F159=0,"NOT FOUND",INDEX('All Song Rankings'!$D:$D,F159))</f>
        <v>Stephanie</v>
      </c>
      <c r="J159" s="7" t="str">
        <f aca="false">IF(F159=0,"NOT FOUND",IF(C159=I159,"SELF-VOTE",IF(COUNTIF($K:$K,K159)&gt;1,"DUPLICATE","OK")))</f>
        <v>OK</v>
      </c>
      <c r="K159" s="6" t="str">
        <f aca="false">A159&amp;"|"&amp;B159&amp;"|"&amp;C159&amp;"|"&amp;D159</f>
        <v>1|3|Leah|spotify:track:0LiRTCcc2q3A50Eh9k5bSi</v>
      </c>
    </row>
    <row r="160" customFormat="false" ht="15" hidden="false" customHeight="false" outlineLevel="0" collapsed="false">
      <c r="A160" s="5" t="n">
        <v>1</v>
      </c>
      <c r="B160" s="5" t="n">
        <v>3</v>
      </c>
      <c r="C160" s="5" t="s">
        <v>119</v>
      </c>
      <c r="D160" s="5" t="s">
        <v>196</v>
      </c>
      <c r="E160" s="5" t="n">
        <v>2</v>
      </c>
      <c r="F160" s="6" t="n">
        <f aca="false">IFERROR(MATCH(A160&amp;"|"&amp;B160&amp;"|"&amp;D160,'All Song Rankings'!$T:$T,0),0)</f>
        <v>32</v>
      </c>
      <c r="G160" s="6" t="str">
        <f aca="false">IF(F160=0,"NOT FOUND",INDEX('All Song Rankings'!$A:$A,F160))</f>
        <v>Red Solo Cup</v>
      </c>
      <c r="H160" s="6" t="str">
        <f aca="false">IF(F160=0,"NOT FOUND",INDEX('All Song Rankings'!$B:$B,F160))</f>
        <v>Toby Keith</v>
      </c>
      <c r="I160" s="6" t="str">
        <f aca="false">IF(F160=0,"NOT FOUND",INDEX('All Song Rankings'!$D:$D,F160))</f>
        <v>Kristen</v>
      </c>
      <c r="J160" s="7" t="str">
        <f aca="false">IF(F160=0,"NOT FOUND",IF(C160=I160,"SELF-VOTE",IF(COUNTIF($K:$K,K160)&gt;1,"DUPLICATE","OK")))</f>
        <v>OK</v>
      </c>
      <c r="K160" s="6" t="str">
        <f aca="false">A160&amp;"|"&amp;B160&amp;"|"&amp;C160&amp;"|"&amp;D160</f>
        <v>1|3|Leah|spotify:track:1c4Pc7mwRZrCLxkRZbGs6l</v>
      </c>
    </row>
    <row r="161" customFormat="false" ht="15" hidden="false" customHeight="false" outlineLevel="0" collapsed="false">
      <c r="A161" s="5" t="n">
        <v>1</v>
      </c>
      <c r="B161" s="5" t="n">
        <v>3</v>
      </c>
      <c r="C161" s="5" t="s">
        <v>119</v>
      </c>
      <c r="D161" s="5" t="s">
        <v>173</v>
      </c>
      <c r="E161" s="5" t="n">
        <v>4</v>
      </c>
      <c r="F161" s="6" t="n">
        <f aca="false">IFERROR(MATCH(A161&amp;"|"&amp;B161&amp;"|"&amp;D161,'All Song Rankings'!$T:$T,0),0)</f>
        <v>24</v>
      </c>
      <c r="G161" s="6" t="str">
        <f aca="false">IF(F161=0,"NOT FOUND",INDEX('All Song Rankings'!$A:$A,F161))</f>
        <v>Against The Tide</v>
      </c>
      <c r="H161" s="6" t="str">
        <f aca="false">IF(F161=0,"NOT FOUND",INDEX('All Song Rankings'!$B:$B,F161))</f>
        <v>Sail North</v>
      </c>
      <c r="I161" s="6" t="str">
        <f aca="false">IF(F161=0,"NOT FOUND",INDEX('All Song Rankings'!$D:$D,F161))</f>
        <v>Collin</v>
      </c>
      <c r="J161" s="7" t="str">
        <f aca="false">IF(F161=0,"NOT FOUND",IF(C161=I161,"SELF-VOTE",IF(COUNTIF($K:$K,K161)&gt;1,"DUPLICATE","OK")))</f>
        <v>OK</v>
      </c>
      <c r="K161" s="6" t="str">
        <f aca="false">A161&amp;"|"&amp;B161&amp;"|"&amp;C161&amp;"|"&amp;D161</f>
        <v>1|3|Leah|spotify:track:1vuWlF2OWLtBqPNz0aoatB</v>
      </c>
    </row>
    <row r="162" customFormat="false" ht="15" hidden="false" customHeight="false" outlineLevel="0" collapsed="false">
      <c r="A162" s="5" t="n">
        <v>1</v>
      </c>
      <c r="B162" s="5" t="n">
        <v>3</v>
      </c>
      <c r="C162" s="5" t="s">
        <v>119</v>
      </c>
      <c r="D162" s="5" t="s">
        <v>181</v>
      </c>
      <c r="E162" s="5" t="n">
        <v>1</v>
      </c>
      <c r="F162" s="6" t="n">
        <f aca="false">IFERROR(MATCH(A162&amp;"|"&amp;B162&amp;"|"&amp;D162,'All Song Rankings'!$T:$T,0),0)</f>
        <v>27</v>
      </c>
      <c r="G162" s="6" t="str">
        <f aca="false">IF(F162=0,"NOT FOUND",INDEX('All Song Rankings'!$A:$A,F162))</f>
        <v>Celebrate!</v>
      </c>
      <c r="H162" s="6" t="str">
        <f aca="false">IF(F162=0,"NOT FOUND",INDEX('All Song Rankings'!$B:$B,F162))</f>
        <v>Jonas Brothers</v>
      </c>
      <c r="I162" s="6" t="str">
        <f aca="false">IF(F162=0,"NOT FOUND",INDEX('All Song Rankings'!$D:$D,F162))</f>
        <v>Olivia</v>
      </c>
      <c r="J162" s="7" t="str">
        <f aca="false">IF(F162=0,"NOT FOUND",IF(C162=I162,"SELF-VOTE",IF(COUNTIF($K:$K,K162)&gt;1,"DUPLICATE","OK")))</f>
        <v>OK</v>
      </c>
      <c r="K162" s="6" t="str">
        <f aca="false">A162&amp;"|"&amp;B162&amp;"|"&amp;C162&amp;"|"&amp;D162</f>
        <v>1|3|Leah|spotify:track:3qXOcbRVwKySRfN0k6BDrf</v>
      </c>
    </row>
    <row r="163" customFormat="false" ht="15" hidden="false" customHeight="false" outlineLevel="0" collapsed="false">
      <c r="A163" s="5" t="n">
        <v>1</v>
      </c>
      <c r="B163" s="5" t="n">
        <v>3</v>
      </c>
      <c r="C163" s="5" t="s">
        <v>119</v>
      </c>
      <c r="D163" s="5" t="s">
        <v>176</v>
      </c>
      <c r="E163" s="5" t="n">
        <v>1</v>
      </c>
      <c r="F163" s="6" t="n">
        <f aca="false">IFERROR(MATCH(A163&amp;"|"&amp;B163&amp;"|"&amp;D163,'All Song Rankings'!$T:$T,0),0)</f>
        <v>25</v>
      </c>
      <c r="G163" s="6" t="str">
        <f aca="false">IF(F163=0,"NOT FOUND",INDEX('All Song Rankings'!$A:$A,F163))</f>
        <v>Don't Stop Me Now</v>
      </c>
      <c r="H163" s="6" t="str">
        <f aca="false">IF(F163=0,"NOT FOUND",INDEX('All Song Rankings'!$B:$B,F163))</f>
        <v>Queen</v>
      </c>
      <c r="I163" s="6" t="str">
        <f aca="false">IF(F163=0,"NOT FOUND",INDEX('All Song Rankings'!$D:$D,F163))</f>
        <v>Kelsey</v>
      </c>
      <c r="J163" s="7" t="str">
        <f aca="false">IF(F163=0,"NOT FOUND",IF(C163=I163,"SELF-VOTE",IF(COUNTIF($K:$K,K163)&gt;1,"DUPLICATE","OK")))</f>
        <v>OK</v>
      </c>
      <c r="K163" s="6" t="str">
        <f aca="false">A163&amp;"|"&amp;B163&amp;"|"&amp;C163&amp;"|"&amp;D163</f>
        <v>1|3|Leah|spotify:track:62PDM93qqC4xSfQMV48MRF</v>
      </c>
    </row>
    <row r="164" customFormat="false" ht="15" hidden="false" customHeight="false" outlineLevel="0" collapsed="false">
      <c r="A164" s="5" t="n">
        <v>1</v>
      </c>
      <c r="B164" s="5" t="n">
        <v>3</v>
      </c>
      <c r="C164" s="5" t="s">
        <v>119</v>
      </c>
      <c r="D164" s="5" t="s">
        <v>184</v>
      </c>
      <c r="E164" s="5" t="n">
        <v>1</v>
      </c>
      <c r="F164" s="6" t="n">
        <f aca="false">IFERROR(MATCH(A164&amp;"|"&amp;B164&amp;"|"&amp;D164,'All Song Rankings'!$T:$T,0),0)</f>
        <v>28</v>
      </c>
      <c r="G164" s="6" t="str">
        <f aca="false">IF(F164=0,"NOT FOUND",INDEX('All Song Rankings'!$A:$A,F164))</f>
        <v>We Rock</v>
      </c>
      <c r="H164" s="6" t="str">
        <f aca="false">IF(F164=0,"NOT FOUND",INDEX('All Song Rankings'!$B:$B,F164))</f>
        <v>Cast of Camp Rock</v>
      </c>
      <c r="I164" s="6" t="str">
        <f aca="false">IF(F164=0,"NOT FOUND",INDEX('All Song Rankings'!$D:$D,F164))</f>
        <v>Nicole</v>
      </c>
      <c r="J164" s="7" t="str">
        <f aca="false">IF(F164=0,"NOT FOUND",IF(C164=I164,"SELF-VOTE",IF(COUNTIF($K:$K,K164)&gt;1,"DUPLICATE","OK")))</f>
        <v>OK</v>
      </c>
      <c r="K164" s="6" t="str">
        <f aca="false">A164&amp;"|"&amp;B164&amp;"|"&amp;C164&amp;"|"&amp;D164</f>
        <v>1|3|Leah|spotify:track:7r6ubHsaieaig4kORmmsDy</v>
      </c>
    </row>
    <row r="165" customFormat="false" ht="15" hidden="false" customHeight="false" outlineLevel="0" collapsed="false">
      <c r="A165" s="5" t="n">
        <v>1</v>
      </c>
      <c r="B165" s="5" t="n">
        <v>3</v>
      </c>
      <c r="C165" s="5" t="s">
        <v>128</v>
      </c>
      <c r="D165" s="5" t="s">
        <v>193</v>
      </c>
      <c r="E165" s="5" t="n">
        <v>1</v>
      </c>
      <c r="F165" s="6" t="n">
        <f aca="false">IFERROR(MATCH(A165&amp;"|"&amp;B165&amp;"|"&amp;D165,'All Song Rankings'!$T:$T,0),0)</f>
        <v>31</v>
      </c>
      <c r="G165" s="6" t="str">
        <f aca="false">IF(F165=0,"NOT FOUND",INDEX('All Song Rankings'!$A:$A,F165))</f>
        <v>Seasons of Love</v>
      </c>
      <c r="H165" s="6" t="str">
        <f aca="false">IF(F165=0,"NOT FOUND",INDEX('All Song Rankings'!$B:$B,F165))</f>
        <v>Anthony Rapp</v>
      </c>
      <c r="I165" s="6" t="str">
        <f aca="false">IF(F165=0,"NOT FOUND",INDEX('All Song Rankings'!$D:$D,F165))</f>
        <v>Stephanie</v>
      </c>
      <c r="J165" s="7" t="str">
        <f aca="false">IF(F165=0,"NOT FOUND",IF(C165=I165,"SELF-VOTE",IF(COUNTIF($K:$K,K165)&gt;1,"DUPLICATE","OK")))</f>
        <v>OK</v>
      </c>
      <c r="K165" s="6" t="str">
        <f aca="false">A165&amp;"|"&amp;B165&amp;"|"&amp;C165&amp;"|"&amp;D165</f>
        <v>1|3|Logan|spotify:track:0LiRTCcc2q3A50Eh9k5bSi</v>
      </c>
    </row>
    <row r="166" customFormat="false" ht="15" hidden="false" customHeight="false" outlineLevel="0" collapsed="false">
      <c r="A166" s="5" t="n">
        <v>1</v>
      </c>
      <c r="B166" s="5" t="n">
        <v>3</v>
      </c>
      <c r="C166" s="5" t="s">
        <v>128</v>
      </c>
      <c r="D166" s="5" t="s">
        <v>173</v>
      </c>
      <c r="E166" s="5" t="n">
        <v>2</v>
      </c>
      <c r="F166" s="6" t="n">
        <f aca="false">IFERROR(MATCH(A166&amp;"|"&amp;B166&amp;"|"&amp;D166,'All Song Rankings'!$T:$T,0),0)</f>
        <v>24</v>
      </c>
      <c r="G166" s="6" t="str">
        <f aca="false">IF(F166=0,"NOT FOUND",INDEX('All Song Rankings'!$A:$A,F166))</f>
        <v>Against The Tide</v>
      </c>
      <c r="H166" s="6" t="str">
        <f aca="false">IF(F166=0,"NOT FOUND",INDEX('All Song Rankings'!$B:$B,F166))</f>
        <v>Sail North</v>
      </c>
      <c r="I166" s="6" t="str">
        <f aca="false">IF(F166=0,"NOT FOUND",INDEX('All Song Rankings'!$D:$D,F166))</f>
        <v>Collin</v>
      </c>
      <c r="J166" s="7" t="str">
        <f aca="false">IF(F166=0,"NOT FOUND",IF(C166=I166,"SELF-VOTE",IF(COUNTIF($K:$K,K166)&gt;1,"DUPLICATE","OK")))</f>
        <v>OK</v>
      </c>
      <c r="K166" s="6" t="str">
        <f aca="false">A166&amp;"|"&amp;B166&amp;"|"&amp;C166&amp;"|"&amp;D166</f>
        <v>1|3|Logan|spotify:track:1vuWlF2OWLtBqPNz0aoatB</v>
      </c>
    </row>
    <row r="167" customFormat="false" ht="15" hidden="false" customHeight="false" outlineLevel="0" collapsed="false">
      <c r="A167" s="5" t="n">
        <v>1</v>
      </c>
      <c r="B167" s="5" t="n">
        <v>3</v>
      </c>
      <c r="C167" s="5" t="s">
        <v>128</v>
      </c>
      <c r="D167" s="5" t="s">
        <v>181</v>
      </c>
      <c r="E167" s="5" t="n">
        <v>2</v>
      </c>
      <c r="F167" s="6" t="n">
        <f aca="false">IFERROR(MATCH(A167&amp;"|"&amp;B167&amp;"|"&amp;D167,'All Song Rankings'!$T:$T,0),0)</f>
        <v>27</v>
      </c>
      <c r="G167" s="6" t="str">
        <f aca="false">IF(F167=0,"NOT FOUND",INDEX('All Song Rankings'!$A:$A,F167))</f>
        <v>Celebrate!</v>
      </c>
      <c r="H167" s="6" t="str">
        <f aca="false">IF(F167=0,"NOT FOUND",INDEX('All Song Rankings'!$B:$B,F167))</f>
        <v>Jonas Brothers</v>
      </c>
      <c r="I167" s="6" t="str">
        <f aca="false">IF(F167=0,"NOT FOUND",INDEX('All Song Rankings'!$D:$D,F167))</f>
        <v>Olivia</v>
      </c>
      <c r="J167" s="7" t="str">
        <f aca="false">IF(F167=0,"NOT FOUND",IF(C167=I167,"SELF-VOTE",IF(COUNTIF($K:$K,K167)&gt;1,"DUPLICATE","OK")))</f>
        <v>OK</v>
      </c>
      <c r="K167" s="6" t="str">
        <f aca="false">A167&amp;"|"&amp;B167&amp;"|"&amp;C167&amp;"|"&amp;D167</f>
        <v>1|3|Logan|spotify:track:3qXOcbRVwKySRfN0k6BDrf</v>
      </c>
    </row>
    <row r="168" customFormat="false" ht="15" hidden="false" customHeight="false" outlineLevel="0" collapsed="false">
      <c r="A168" s="5" t="n">
        <v>1</v>
      </c>
      <c r="B168" s="5" t="n">
        <v>3</v>
      </c>
      <c r="C168" s="5" t="s">
        <v>128</v>
      </c>
      <c r="D168" s="5" t="s">
        <v>179</v>
      </c>
      <c r="E168" s="5" t="n">
        <v>1</v>
      </c>
      <c r="F168" s="6" t="n">
        <f aca="false">IFERROR(MATCH(A168&amp;"|"&amp;B168&amp;"|"&amp;D168,'All Song Rankings'!$T:$T,0),0)</f>
        <v>26</v>
      </c>
      <c r="G168" s="6" t="str">
        <f aca="false">IF(F168=0,"NOT FOUND",INDEX('All Song Rankings'!$A:$A,F168))</f>
        <v>Never Gonna Give You Up</v>
      </c>
      <c r="H168" s="6" t="str">
        <f aca="false">IF(F168=0,"NOT FOUND",INDEX('All Song Rankings'!$B:$B,F168))</f>
        <v>Rick Astley</v>
      </c>
      <c r="I168" s="6" t="str">
        <f aca="false">IF(F168=0,"NOT FOUND",INDEX('All Song Rankings'!$D:$D,F168))</f>
        <v>Matt</v>
      </c>
      <c r="J168" s="7" t="str">
        <f aca="false">IF(F168=0,"NOT FOUND",IF(C168=I168,"SELF-VOTE",IF(COUNTIF($K:$K,K168)&gt;1,"DUPLICATE","OK")))</f>
        <v>OK</v>
      </c>
      <c r="K168" s="6" t="str">
        <f aca="false">A168&amp;"|"&amp;B168&amp;"|"&amp;C168&amp;"|"&amp;D168</f>
        <v>1|3|Logan|spotify:track:4PTG3Z6ehGkBFwjybzWkR8</v>
      </c>
    </row>
    <row r="169" customFormat="false" ht="15" hidden="false" customHeight="false" outlineLevel="0" collapsed="false">
      <c r="A169" s="5" t="n">
        <v>1</v>
      </c>
      <c r="B169" s="5" t="n">
        <v>3</v>
      </c>
      <c r="C169" s="5" t="s">
        <v>128</v>
      </c>
      <c r="D169" s="5" t="s">
        <v>176</v>
      </c>
      <c r="E169" s="5" t="n">
        <v>3</v>
      </c>
      <c r="F169" s="6" t="n">
        <f aca="false">IFERROR(MATCH(A169&amp;"|"&amp;B169&amp;"|"&amp;D169,'All Song Rankings'!$T:$T,0),0)</f>
        <v>25</v>
      </c>
      <c r="G169" s="6" t="str">
        <f aca="false">IF(F169=0,"NOT FOUND",INDEX('All Song Rankings'!$A:$A,F169))</f>
        <v>Don't Stop Me Now</v>
      </c>
      <c r="H169" s="6" t="str">
        <f aca="false">IF(F169=0,"NOT FOUND",INDEX('All Song Rankings'!$B:$B,F169))</f>
        <v>Queen</v>
      </c>
      <c r="I169" s="6" t="str">
        <f aca="false">IF(F169=0,"NOT FOUND",INDEX('All Song Rankings'!$D:$D,F169))</f>
        <v>Kelsey</v>
      </c>
      <c r="J169" s="7" t="str">
        <f aca="false">IF(F169=0,"NOT FOUND",IF(C169=I169,"SELF-VOTE",IF(COUNTIF($K:$K,K169)&gt;1,"DUPLICATE","OK")))</f>
        <v>OK</v>
      </c>
      <c r="K169" s="6" t="str">
        <f aca="false">A169&amp;"|"&amp;B169&amp;"|"&amp;C169&amp;"|"&amp;D169</f>
        <v>1|3|Logan|spotify:track:62PDM93qqC4xSfQMV48MRF</v>
      </c>
    </row>
    <row r="170" customFormat="false" ht="15" hidden="false" customHeight="false" outlineLevel="0" collapsed="false">
      <c r="A170" s="5" t="n">
        <v>1</v>
      </c>
      <c r="B170" s="5" t="n">
        <v>3</v>
      </c>
      <c r="C170" s="5" t="s">
        <v>128</v>
      </c>
      <c r="D170" s="5" t="s">
        <v>184</v>
      </c>
      <c r="E170" s="5" t="n">
        <v>1</v>
      </c>
      <c r="F170" s="6" t="n">
        <f aca="false">IFERROR(MATCH(A170&amp;"|"&amp;B170&amp;"|"&amp;D170,'All Song Rankings'!$T:$T,0),0)</f>
        <v>28</v>
      </c>
      <c r="G170" s="6" t="str">
        <f aca="false">IF(F170=0,"NOT FOUND",INDEX('All Song Rankings'!$A:$A,F170))</f>
        <v>We Rock</v>
      </c>
      <c r="H170" s="6" t="str">
        <f aca="false">IF(F170=0,"NOT FOUND",INDEX('All Song Rankings'!$B:$B,F170))</f>
        <v>Cast of Camp Rock</v>
      </c>
      <c r="I170" s="6" t="str">
        <f aca="false">IF(F170=0,"NOT FOUND",INDEX('All Song Rankings'!$D:$D,F170))</f>
        <v>Nicole</v>
      </c>
      <c r="J170" s="7" t="str">
        <f aca="false">IF(F170=0,"NOT FOUND",IF(C170=I170,"SELF-VOTE",IF(COUNTIF($K:$K,K170)&gt;1,"DUPLICATE","OK")))</f>
        <v>OK</v>
      </c>
      <c r="K170" s="6" t="str">
        <f aca="false">A170&amp;"|"&amp;B170&amp;"|"&amp;C170&amp;"|"&amp;D170</f>
        <v>1|3|Logan|spotify:track:7r6ubHsaieaig4kORmmsDy</v>
      </c>
    </row>
    <row r="171" customFormat="false" ht="15" hidden="false" customHeight="false" outlineLevel="0" collapsed="false">
      <c r="A171" s="5" t="n">
        <v>1</v>
      </c>
      <c r="B171" s="5" t="n">
        <v>3</v>
      </c>
      <c r="C171" s="5" t="s">
        <v>116</v>
      </c>
      <c r="D171" s="5" t="s">
        <v>193</v>
      </c>
      <c r="E171" s="5" t="n">
        <v>2</v>
      </c>
      <c r="F171" s="6" t="n">
        <f aca="false">IFERROR(MATCH(A171&amp;"|"&amp;B171&amp;"|"&amp;D171,'All Song Rankings'!$T:$T,0),0)</f>
        <v>31</v>
      </c>
      <c r="G171" s="6" t="str">
        <f aca="false">IF(F171=0,"NOT FOUND",INDEX('All Song Rankings'!$A:$A,F171))</f>
        <v>Seasons of Love</v>
      </c>
      <c r="H171" s="6" t="str">
        <f aca="false">IF(F171=0,"NOT FOUND",INDEX('All Song Rankings'!$B:$B,F171))</f>
        <v>Anthony Rapp</v>
      </c>
      <c r="I171" s="6" t="str">
        <f aca="false">IF(F171=0,"NOT FOUND",INDEX('All Song Rankings'!$D:$D,F171))</f>
        <v>Stephanie</v>
      </c>
      <c r="J171" s="7" t="str">
        <f aca="false">IF(F171=0,"NOT FOUND",IF(C171=I171,"SELF-VOTE",IF(COUNTIF($K:$K,K171)&gt;1,"DUPLICATE","OK")))</f>
        <v>OK</v>
      </c>
      <c r="K171" s="6" t="str">
        <f aca="false">A171&amp;"|"&amp;B171&amp;"|"&amp;C171&amp;"|"&amp;D171</f>
        <v>1|3|Matt|spotify:track:0LiRTCcc2q3A50Eh9k5bSi</v>
      </c>
    </row>
    <row r="172" customFormat="false" ht="15" hidden="false" customHeight="false" outlineLevel="0" collapsed="false">
      <c r="A172" s="5" t="n">
        <v>1</v>
      </c>
      <c r="B172" s="5" t="n">
        <v>3</v>
      </c>
      <c r="C172" s="5" t="s">
        <v>116</v>
      </c>
      <c r="D172" s="5" t="s">
        <v>173</v>
      </c>
      <c r="E172" s="5" t="n">
        <v>2</v>
      </c>
      <c r="F172" s="6" t="n">
        <f aca="false">IFERROR(MATCH(A172&amp;"|"&amp;B172&amp;"|"&amp;D172,'All Song Rankings'!$T:$T,0),0)</f>
        <v>24</v>
      </c>
      <c r="G172" s="6" t="str">
        <f aca="false">IF(F172=0,"NOT FOUND",INDEX('All Song Rankings'!$A:$A,F172))</f>
        <v>Against The Tide</v>
      </c>
      <c r="H172" s="6" t="str">
        <f aca="false">IF(F172=0,"NOT FOUND",INDEX('All Song Rankings'!$B:$B,F172))</f>
        <v>Sail North</v>
      </c>
      <c r="I172" s="6" t="str">
        <f aca="false">IF(F172=0,"NOT FOUND",INDEX('All Song Rankings'!$D:$D,F172))</f>
        <v>Collin</v>
      </c>
      <c r="J172" s="7" t="str">
        <f aca="false">IF(F172=0,"NOT FOUND",IF(C172=I172,"SELF-VOTE",IF(COUNTIF($K:$K,K172)&gt;1,"DUPLICATE","OK")))</f>
        <v>OK</v>
      </c>
      <c r="K172" s="6" t="str">
        <f aca="false">A172&amp;"|"&amp;B172&amp;"|"&amp;C172&amp;"|"&amp;D172</f>
        <v>1|3|Matt|spotify:track:1vuWlF2OWLtBqPNz0aoatB</v>
      </c>
    </row>
    <row r="173" customFormat="false" ht="15" hidden="false" customHeight="false" outlineLevel="0" collapsed="false">
      <c r="A173" s="5" t="n">
        <v>1</v>
      </c>
      <c r="B173" s="5" t="n">
        <v>3</v>
      </c>
      <c r="C173" s="5" t="s">
        <v>116</v>
      </c>
      <c r="D173" s="5" t="s">
        <v>187</v>
      </c>
      <c r="E173" s="5" t="n">
        <v>2</v>
      </c>
      <c r="F173" s="6" t="n">
        <f aca="false">IFERROR(MATCH(A173&amp;"|"&amp;B173&amp;"|"&amp;D173,'All Song Rankings'!$T:$T,0),0)</f>
        <v>29</v>
      </c>
      <c r="G173" s="6" t="str">
        <f aca="false">IF(F173=0,"NOT FOUND",INDEX('All Song Rankings'!$A:$A,F173))</f>
        <v>Uptown Funk</v>
      </c>
      <c r="H173" s="6" t="str">
        <f aca="false">IF(F173=0,"NOT FOUND",INDEX('All Song Rankings'!$B:$B,F173))</f>
        <v>Mark Ronson</v>
      </c>
      <c r="I173" s="6" t="str">
        <f aca="false">IF(F173=0,"NOT FOUND",INDEX('All Song Rankings'!$D:$D,F173))</f>
        <v>Merita</v>
      </c>
      <c r="J173" s="7" t="str">
        <f aca="false">IF(F173=0,"NOT FOUND",IF(C173=I173,"SELF-VOTE",IF(COUNTIF($K:$K,K173)&gt;1,"DUPLICATE","OK")))</f>
        <v>OK</v>
      </c>
      <c r="K173" s="6" t="str">
        <f aca="false">A173&amp;"|"&amp;B173&amp;"|"&amp;C173&amp;"|"&amp;D173</f>
        <v>1|3|Matt|spotify:track:32OlwWuMpZ6b0aN2RZOeMS</v>
      </c>
    </row>
    <row r="174" customFormat="false" ht="15" hidden="false" customHeight="false" outlineLevel="0" collapsed="false">
      <c r="A174" s="5" t="n">
        <v>1</v>
      </c>
      <c r="B174" s="5" t="n">
        <v>3</v>
      </c>
      <c r="C174" s="5" t="s">
        <v>116</v>
      </c>
      <c r="D174" s="5" t="s">
        <v>181</v>
      </c>
      <c r="E174" s="5" t="n">
        <v>1</v>
      </c>
      <c r="F174" s="6" t="n">
        <f aca="false">IFERROR(MATCH(A174&amp;"|"&amp;B174&amp;"|"&amp;D174,'All Song Rankings'!$T:$T,0),0)</f>
        <v>27</v>
      </c>
      <c r="G174" s="6" t="str">
        <f aca="false">IF(F174=0,"NOT FOUND",INDEX('All Song Rankings'!$A:$A,F174))</f>
        <v>Celebrate!</v>
      </c>
      <c r="H174" s="6" t="str">
        <f aca="false">IF(F174=0,"NOT FOUND",INDEX('All Song Rankings'!$B:$B,F174))</f>
        <v>Jonas Brothers</v>
      </c>
      <c r="I174" s="6" t="str">
        <f aca="false">IF(F174=0,"NOT FOUND",INDEX('All Song Rankings'!$D:$D,F174))</f>
        <v>Olivia</v>
      </c>
      <c r="J174" s="7" t="str">
        <f aca="false">IF(F174=0,"NOT FOUND",IF(C174=I174,"SELF-VOTE",IF(COUNTIF($K:$K,K174)&gt;1,"DUPLICATE","OK")))</f>
        <v>OK</v>
      </c>
      <c r="K174" s="6" t="str">
        <f aca="false">A174&amp;"|"&amp;B174&amp;"|"&amp;C174&amp;"|"&amp;D174</f>
        <v>1|3|Matt|spotify:track:3qXOcbRVwKySRfN0k6BDrf</v>
      </c>
    </row>
    <row r="175" customFormat="false" ht="15" hidden="false" customHeight="false" outlineLevel="0" collapsed="false">
      <c r="A175" s="5" t="n">
        <v>1</v>
      </c>
      <c r="B175" s="5" t="n">
        <v>3</v>
      </c>
      <c r="C175" s="5" t="s">
        <v>116</v>
      </c>
      <c r="D175" s="5" t="s">
        <v>176</v>
      </c>
      <c r="E175" s="5" t="n">
        <v>2</v>
      </c>
      <c r="F175" s="6" t="n">
        <f aca="false">IFERROR(MATCH(A175&amp;"|"&amp;B175&amp;"|"&amp;D175,'All Song Rankings'!$T:$T,0),0)</f>
        <v>25</v>
      </c>
      <c r="G175" s="6" t="str">
        <f aca="false">IF(F175=0,"NOT FOUND",INDEX('All Song Rankings'!$A:$A,F175))</f>
        <v>Don't Stop Me Now</v>
      </c>
      <c r="H175" s="6" t="str">
        <f aca="false">IF(F175=0,"NOT FOUND",INDEX('All Song Rankings'!$B:$B,F175))</f>
        <v>Queen</v>
      </c>
      <c r="I175" s="6" t="str">
        <f aca="false">IF(F175=0,"NOT FOUND",INDEX('All Song Rankings'!$D:$D,F175))</f>
        <v>Kelsey</v>
      </c>
      <c r="J175" s="7" t="str">
        <f aca="false">IF(F175=0,"NOT FOUND",IF(C175=I175,"SELF-VOTE",IF(COUNTIF($K:$K,K175)&gt;1,"DUPLICATE","OK")))</f>
        <v>OK</v>
      </c>
      <c r="K175" s="6" t="str">
        <f aca="false">A175&amp;"|"&amp;B175&amp;"|"&amp;C175&amp;"|"&amp;D175</f>
        <v>1|3|Matt|spotify:track:62PDM93qqC4xSfQMV48MRF</v>
      </c>
    </row>
    <row r="176" customFormat="false" ht="15" hidden="false" customHeight="false" outlineLevel="0" collapsed="false">
      <c r="A176" s="5" t="n">
        <v>1</v>
      </c>
      <c r="B176" s="5" t="n">
        <v>3</v>
      </c>
      <c r="C176" s="5" t="s">
        <v>116</v>
      </c>
      <c r="D176" s="5" t="s">
        <v>190</v>
      </c>
      <c r="E176" s="5" t="n">
        <v>1</v>
      </c>
      <c r="F176" s="6" t="n">
        <f aca="false">IFERROR(MATCH(A176&amp;"|"&amp;B176&amp;"|"&amp;D176,'All Song Rankings'!$T:$T,0),0)</f>
        <v>30</v>
      </c>
      <c r="G176" s="6" t="str">
        <f aca="false">IF(F176=0,"NOT FOUND",INDEX('All Song Rankings'!$A:$A,F176))</f>
        <v>Greatest Love of All</v>
      </c>
      <c r="H176" s="6" t="str">
        <f aca="false">IF(F176=0,"NOT FOUND",INDEX('All Song Rankings'!$B:$B,F176))</f>
        <v>Whitney Houston</v>
      </c>
      <c r="I176" s="6" t="str">
        <f aca="false">IF(F176=0,"NOT FOUND",INDEX('All Song Rankings'!$D:$D,F176))</f>
        <v>Logan</v>
      </c>
      <c r="J176" s="7" t="str">
        <f aca="false">IF(F176=0,"NOT FOUND",IF(C176=I176,"SELF-VOTE",IF(COUNTIF($K:$K,K176)&gt;1,"DUPLICATE","OK")))</f>
        <v>OK</v>
      </c>
      <c r="K176" s="6" t="str">
        <f aca="false">A176&amp;"|"&amp;B176&amp;"|"&amp;C176&amp;"|"&amp;D176</f>
        <v>1|3|Matt|spotify:track:6yJxCltgtmGxIgKOS6ndnu</v>
      </c>
    </row>
    <row r="177" customFormat="false" ht="15" hidden="false" customHeight="false" outlineLevel="0" collapsed="false">
      <c r="A177" s="5" t="n">
        <v>1</v>
      </c>
      <c r="B177" s="5" t="n">
        <v>3</v>
      </c>
      <c r="C177" s="5" t="s">
        <v>101</v>
      </c>
      <c r="D177" s="5" t="s">
        <v>196</v>
      </c>
      <c r="E177" s="5" t="n">
        <v>1</v>
      </c>
      <c r="F177" s="6" t="n">
        <f aca="false">IFERROR(MATCH(A177&amp;"|"&amp;B177&amp;"|"&amp;D177,'All Song Rankings'!$T:$T,0),0)</f>
        <v>32</v>
      </c>
      <c r="G177" s="6" t="str">
        <f aca="false">IF(F177=0,"NOT FOUND",INDEX('All Song Rankings'!$A:$A,F177))</f>
        <v>Red Solo Cup</v>
      </c>
      <c r="H177" s="6" t="str">
        <f aca="false">IF(F177=0,"NOT FOUND",INDEX('All Song Rankings'!$B:$B,F177))</f>
        <v>Toby Keith</v>
      </c>
      <c r="I177" s="6" t="str">
        <f aca="false">IF(F177=0,"NOT FOUND",INDEX('All Song Rankings'!$D:$D,F177))</f>
        <v>Kristen</v>
      </c>
      <c r="J177" s="7" t="str">
        <f aca="false">IF(F177=0,"NOT FOUND",IF(C177=I177,"SELF-VOTE",IF(COUNTIF($K:$K,K177)&gt;1,"DUPLICATE","OK")))</f>
        <v>OK</v>
      </c>
      <c r="K177" s="6" t="str">
        <f aca="false">A177&amp;"|"&amp;B177&amp;"|"&amp;C177&amp;"|"&amp;D177</f>
        <v>1|3|Merita|spotify:track:1c4Pc7mwRZrCLxkRZbGs6l</v>
      </c>
    </row>
    <row r="178" customFormat="false" ht="15" hidden="false" customHeight="false" outlineLevel="0" collapsed="false">
      <c r="A178" s="5" t="n">
        <v>1</v>
      </c>
      <c r="B178" s="5" t="n">
        <v>3</v>
      </c>
      <c r="C178" s="5" t="s">
        <v>101</v>
      </c>
      <c r="D178" s="5" t="s">
        <v>173</v>
      </c>
      <c r="E178" s="5" t="n">
        <v>2</v>
      </c>
      <c r="F178" s="6" t="n">
        <f aca="false">IFERROR(MATCH(A178&amp;"|"&amp;B178&amp;"|"&amp;D178,'All Song Rankings'!$T:$T,0),0)</f>
        <v>24</v>
      </c>
      <c r="G178" s="6" t="str">
        <f aca="false">IF(F178=0,"NOT FOUND",INDEX('All Song Rankings'!$A:$A,F178))</f>
        <v>Against The Tide</v>
      </c>
      <c r="H178" s="6" t="str">
        <f aca="false">IF(F178=0,"NOT FOUND",INDEX('All Song Rankings'!$B:$B,F178))</f>
        <v>Sail North</v>
      </c>
      <c r="I178" s="6" t="str">
        <f aca="false">IF(F178=0,"NOT FOUND",INDEX('All Song Rankings'!$D:$D,F178))</f>
        <v>Collin</v>
      </c>
      <c r="J178" s="7" t="str">
        <f aca="false">IF(F178=0,"NOT FOUND",IF(C178=I178,"SELF-VOTE",IF(COUNTIF($K:$K,K178)&gt;1,"DUPLICATE","OK")))</f>
        <v>OK</v>
      </c>
      <c r="K178" s="6" t="str">
        <f aca="false">A178&amp;"|"&amp;B178&amp;"|"&amp;C178&amp;"|"&amp;D178</f>
        <v>1|3|Merita|spotify:track:1vuWlF2OWLtBqPNz0aoatB</v>
      </c>
    </row>
    <row r="179" customFormat="false" ht="15" hidden="false" customHeight="false" outlineLevel="0" collapsed="false">
      <c r="A179" s="5" t="n">
        <v>1</v>
      </c>
      <c r="B179" s="5" t="n">
        <v>3</v>
      </c>
      <c r="C179" s="5" t="s">
        <v>101</v>
      </c>
      <c r="D179" s="5" t="s">
        <v>181</v>
      </c>
      <c r="E179" s="5" t="n">
        <v>1</v>
      </c>
      <c r="F179" s="6" t="n">
        <f aca="false">IFERROR(MATCH(A179&amp;"|"&amp;B179&amp;"|"&amp;D179,'All Song Rankings'!$T:$T,0),0)</f>
        <v>27</v>
      </c>
      <c r="G179" s="6" t="str">
        <f aca="false">IF(F179=0,"NOT FOUND",INDEX('All Song Rankings'!$A:$A,F179))</f>
        <v>Celebrate!</v>
      </c>
      <c r="H179" s="6" t="str">
        <f aca="false">IF(F179=0,"NOT FOUND",INDEX('All Song Rankings'!$B:$B,F179))</f>
        <v>Jonas Brothers</v>
      </c>
      <c r="I179" s="6" t="str">
        <f aca="false">IF(F179=0,"NOT FOUND",INDEX('All Song Rankings'!$D:$D,F179))</f>
        <v>Olivia</v>
      </c>
      <c r="J179" s="7" t="str">
        <f aca="false">IF(F179=0,"NOT FOUND",IF(C179=I179,"SELF-VOTE",IF(COUNTIF($K:$K,K179)&gt;1,"DUPLICATE","OK")))</f>
        <v>OK</v>
      </c>
      <c r="K179" s="6" t="str">
        <f aca="false">A179&amp;"|"&amp;B179&amp;"|"&amp;C179&amp;"|"&amp;D179</f>
        <v>1|3|Merita|spotify:track:3qXOcbRVwKySRfN0k6BDrf</v>
      </c>
    </row>
    <row r="180" customFormat="false" ht="15" hidden="false" customHeight="false" outlineLevel="0" collapsed="false">
      <c r="A180" s="5" t="n">
        <v>1</v>
      </c>
      <c r="B180" s="5" t="n">
        <v>3</v>
      </c>
      <c r="C180" s="5" t="s">
        <v>101</v>
      </c>
      <c r="D180" s="5" t="s">
        <v>179</v>
      </c>
      <c r="E180" s="5" t="n">
        <v>3</v>
      </c>
      <c r="F180" s="6" t="n">
        <f aca="false">IFERROR(MATCH(A180&amp;"|"&amp;B180&amp;"|"&amp;D180,'All Song Rankings'!$T:$T,0),0)</f>
        <v>26</v>
      </c>
      <c r="G180" s="6" t="str">
        <f aca="false">IF(F180=0,"NOT FOUND",INDEX('All Song Rankings'!$A:$A,F180))</f>
        <v>Never Gonna Give You Up</v>
      </c>
      <c r="H180" s="6" t="str">
        <f aca="false">IF(F180=0,"NOT FOUND",INDEX('All Song Rankings'!$B:$B,F180))</f>
        <v>Rick Astley</v>
      </c>
      <c r="I180" s="6" t="str">
        <f aca="false">IF(F180=0,"NOT FOUND",INDEX('All Song Rankings'!$D:$D,F180))</f>
        <v>Matt</v>
      </c>
      <c r="J180" s="7" t="str">
        <f aca="false">IF(F180=0,"NOT FOUND",IF(C180=I180,"SELF-VOTE",IF(COUNTIF($K:$K,K180)&gt;1,"DUPLICATE","OK")))</f>
        <v>OK</v>
      </c>
      <c r="K180" s="6" t="str">
        <f aca="false">A180&amp;"|"&amp;B180&amp;"|"&amp;C180&amp;"|"&amp;D180</f>
        <v>1|3|Merita|spotify:track:4PTG3Z6ehGkBFwjybzWkR8</v>
      </c>
    </row>
    <row r="181" customFormat="false" ht="15" hidden="false" customHeight="false" outlineLevel="0" collapsed="false">
      <c r="A181" s="5" t="n">
        <v>1</v>
      </c>
      <c r="B181" s="5" t="n">
        <v>3</v>
      </c>
      <c r="C181" s="5" t="s">
        <v>101</v>
      </c>
      <c r="D181" s="5" t="s">
        <v>176</v>
      </c>
      <c r="E181" s="5" t="n">
        <v>1</v>
      </c>
      <c r="F181" s="6" t="n">
        <f aca="false">IFERROR(MATCH(A181&amp;"|"&amp;B181&amp;"|"&amp;D181,'All Song Rankings'!$T:$T,0),0)</f>
        <v>25</v>
      </c>
      <c r="G181" s="6" t="str">
        <f aca="false">IF(F181=0,"NOT FOUND",INDEX('All Song Rankings'!$A:$A,F181))</f>
        <v>Don't Stop Me Now</v>
      </c>
      <c r="H181" s="6" t="str">
        <f aca="false">IF(F181=0,"NOT FOUND",INDEX('All Song Rankings'!$B:$B,F181))</f>
        <v>Queen</v>
      </c>
      <c r="I181" s="6" t="str">
        <f aca="false">IF(F181=0,"NOT FOUND",INDEX('All Song Rankings'!$D:$D,F181))</f>
        <v>Kelsey</v>
      </c>
      <c r="J181" s="7" t="str">
        <f aca="false">IF(F181=0,"NOT FOUND",IF(C181=I181,"SELF-VOTE",IF(COUNTIF($K:$K,K181)&gt;1,"DUPLICATE","OK")))</f>
        <v>OK</v>
      </c>
      <c r="K181" s="6" t="str">
        <f aca="false">A181&amp;"|"&amp;B181&amp;"|"&amp;C181&amp;"|"&amp;D181</f>
        <v>1|3|Merita|spotify:track:62PDM93qqC4xSfQMV48MRF</v>
      </c>
    </row>
    <row r="182" customFormat="false" ht="15" hidden="false" customHeight="false" outlineLevel="0" collapsed="false">
      <c r="A182" s="5" t="n">
        <v>1</v>
      </c>
      <c r="B182" s="5" t="n">
        <v>3</v>
      </c>
      <c r="C182" s="5" t="s">
        <v>101</v>
      </c>
      <c r="D182" s="5" t="s">
        <v>190</v>
      </c>
      <c r="E182" s="5" t="n">
        <v>1</v>
      </c>
      <c r="F182" s="6" t="n">
        <f aca="false">IFERROR(MATCH(A182&amp;"|"&amp;B182&amp;"|"&amp;D182,'All Song Rankings'!$T:$T,0),0)</f>
        <v>30</v>
      </c>
      <c r="G182" s="6" t="str">
        <f aca="false">IF(F182=0,"NOT FOUND",INDEX('All Song Rankings'!$A:$A,F182))</f>
        <v>Greatest Love of All</v>
      </c>
      <c r="H182" s="6" t="str">
        <f aca="false">IF(F182=0,"NOT FOUND",INDEX('All Song Rankings'!$B:$B,F182))</f>
        <v>Whitney Houston</v>
      </c>
      <c r="I182" s="6" t="str">
        <f aca="false">IF(F182=0,"NOT FOUND",INDEX('All Song Rankings'!$D:$D,F182))</f>
        <v>Logan</v>
      </c>
      <c r="J182" s="7" t="str">
        <f aca="false">IF(F182=0,"NOT FOUND",IF(C182=I182,"SELF-VOTE",IF(COUNTIF($K:$K,K182)&gt;1,"DUPLICATE","OK")))</f>
        <v>OK</v>
      </c>
      <c r="K182" s="6" t="str">
        <f aca="false">A182&amp;"|"&amp;B182&amp;"|"&amp;C182&amp;"|"&amp;D182</f>
        <v>1|3|Merita|spotify:track:6yJxCltgtmGxIgKOS6ndnu</v>
      </c>
    </row>
    <row r="183" customFormat="false" ht="15" hidden="false" customHeight="false" outlineLevel="0" collapsed="false">
      <c r="A183" s="5" t="n">
        <v>1</v>
      </c>
      <c r="B183" s="5" t="n">
        <v>3</v>
      </c>
      <c r="C183" s="5" t="s">
        <v>101</v>
      </c>
      <c r="D183" s="5" t="s">
        <v>184</v>
      </c>
      <c r="E183" s="5" t="n">
        <v>1</v>
      </c>
      <c r="F183" s="6" t="n">
        <f aca="false">IFERROR(MATCH(A183&amp;"|"&amp;B183&amp;"|"&amp;D183,'All Song Rankings'!$T:$T,0),0)</f>
        <v>28</v>
      </c>
      <c r="G183" s="6" t="str">
        <f aca="false">IF(F183=0,"NOT FOUND",INDEX('All Song Rankings'!$A:$A,F183))</f>
        <v>We Rock</v>
      </c>
      <c r="H183" s="6" t="str">
        <f aca="false">IF(F183=0,"NOT FOUND",INDEX('All Song Rankings'!$B:$B,F183))</f>
        <v>Cast of Camp Rock</v>
      </c>
      <c r="I183" s="6" t="str">
        <f aca="false">IF(F183=0,"NOT FOUND",INDEX('All Song Rankings'!$D:$D,F183))</f>
        <v>Nicole</v>
      </c>
      <c r="J183" s="7" t="str">
        <f aca="false">IF(F183=0,"NOT FOUND",IF(C183=I183,"SELF-VOTE",IF(COUNTIF($K:$K,K183)&gt;1,"DUPLICATE","OK")))</f>
        <v>OK</v>
      </c>
      <c r="K183" s="6" t="str">
        <f aca="false">A183&amp;"|"&amp;B183&amp;"|"&amp;C183&amp;"|"&amp;D183</f>
        <v>1|3|Merita|spotify:track:7r6ubHsaieaig4kORmmsDy</v>
      </c>
    </row>
    <row r="184" customFormat="false" ht="15" hidden="false" customHeight="false" outlineLevel="0" collapsed="false">
      <c r="A184" s="5" t="n">
        <v>1</v>
      </c>
      <c r="B184" s="5" t="n">
        <v>3</v>
      </c>
      <c r="C184" s="5" t="s">
        <v>92</v>
      </c>
      <c r="D184" s="5" t="s">
        <v>199</v>
      </c>
      <c r="E184" s="5" t="n">
        <v>1</v>
      </c>
      <c r="F184" s="6" t="n">
        <f aca="false">IFERROR(MATCH(A184&amp;"|"&amp;B184&amp;"|"&amp;D184,'All Song Rankings'!$T:$T,0),0)</f>
        <v>33</v>
      </c>
      <c r="G184" s="6" t="str">
        <f aca="false">IF(F184=0,"NOT FOUND",INDEX('All Song Rankings'!$A:$A,F184))</f>
        <v>Happy Nation</v>
      </c>
      <c r="H184" s="6" t="str">
        <f aca="false">IF(F184=0,"NOT FOUND",INDEX('All Song Rankings'!$B:$B,F184))</f>
        <v>Ace of Base</v>
      </c>
      <c r="I184" s="6" t="str">
        <f aca="false">IF(F184=0,"NOT FOUND",INDEX('All Song Rankings'!$D:$D,F184))</f>
        <v>Leah</v>
      </c>
      <c r="J184" s="7" t="str">
        <f aca="false">IF(F184=0,"NOT FOUND",IF(C184=I184,"SELF-VOTE",IF(COUNTIF($K:$K,K184)&gt;1,"DUPLICATE","OK")))</f>
        <v>OK</v>
      </c>
      <c r="K184" s="6" t="str">
        <f aca="false">A184&amp;"|"&amp;B184&amp;"|"&amp;C184&amp;"|"&amp;D184</f>
        <v>1|3|Nicole|spotify:track:0pmU9rDYZnJ53wVNrBOxsV</v>
      </c>
    </row>
    <row r="185" customFormat="false" ht="15" hidden="false" customHeight="false" outlineLevel="0" collapsed="false">
      <c r="A185" s="5" t="n">
        <v>1</v>
      </c>
      <c r="B185" s="5" t="n">
        <v>3</v>
      </c>
      <c r="C185" s="5" t="s">
        <v>92</v>
      </c>
      <c r="D185" s="5" t="s">
        <v>196</v>
      </c>
      <c r="E185" s="5" t="n">
        <v>1</v>
      </c>
      <c r="F185" s="6" t="n">
        <f aca="false">IFERROR(MATCH(A185&amp;"|"&amp;B185&amp;"|"&amp;D185,'All Song Rankings'!$T:$T,0),0)</f>
        <v>32</v>
      </c>
      <c r="G185" s="6" t="str">
        <f aca="false">IF(F185=0,"NOT FOUND",INDEX('All Song Rankings'!$A:$A,F185))</f>
        <v>Red Solo Cup</v>
      </c>
      <c r="H185" s="6" t="str">
        <f aca="false">IF(F185=0,"NOT FOUND",INDEX('All Song Rankings'!$B:$B,F185))</f>
        <v>Toby Keith</v>
      </c>
      <c r="I185" s="6" t="str">
        <f aca="false">IF(F185=0,"NOT FOUND",INDEX('All Song Rankings'!$D:$D,F185))</f>
        <v>Kristen</v>
      </c>
      <c r="J185" s="7" t="str">
        <f aca="false">IF(F185=0,"NOT FOUND",IF(C185=I185,"SELF-VOTE",IF(COUNTIF($K:$K,K185)&gt;1,"DUPLICATE","OK")))</f>
        <v>OK</v>
      </c>
      <c r="K185" s="6" t="str">
        <f aca="false">A185&amp;"|"&amp;B185&amp;"|"&amp;C185&amp;"|"&amp;D185</f>
        <v>1|3|Nicole|spotify:track:1c4Pc7mwRZrCLxkRZbGs6l</v>
      </c>
    </row>
    <row r="186" customFormat="false" ht="15" hidden="false" customHeight="false" outlineLevel="0" collapsed="false">
      <c r="A186" s="5" t="n">
        <v>1</v>
      </c>
      <c r="B186" s="5" t="n">
        <v>3</v>
      </c>
      <c r="C186" s="5" t="s">
        <v>92</v>
      </c>
      <c r="D186" s="5" t="s">
        <v>181</v>
      </c>
      <c r="E186" s="5" t="n">
        <v>3</v>
      </c>
      <c r="F186" s="6" t="n">
        <f aca="false">IFERROR(MATCH(A186&amp;"|"&amp;B186&amp;"|"&amp;D186,'All Song Rankings'!$T:$T,0),0)</f>
        <v>27</v>
      </c>
      <c r="G186" s="6" t="str">
        <f aca="false">IF(F186=0,"NOT FOUND",INDEX('All Song Rankings'!$A:$A,F186))</f>
        <v>Celebrate!</v>
      </c>
      <c r="H186" s="6" t="str">
        <f aca="false">IF(F186=0,"NOT FOUND",INDEX('All Song Rankings'!$B:$B,F186))</f>
        <v>Jonas Brothers</v>
      </c>
      <c r="I186" s="6" t="str">
        <f aca="false">IF(F186=0,"NOT FOUND",INDEX('All Song Rankings'!$D:$D,F186))</f>
        <v>Olivia</v>
      </c>
      <c r="J186" s="7" t="str">
        <f aca="false">IF(F186=0,"NOT FOUND",IF(C186=I186,"SELF-VOTE",IF(COUNTIF($K:$K,K186)&gt;1,"DUPLICATE","OK")))</f>
        <v>OK</v>
      </c>
      <c r="K186" s="6" t="str">
        <f aca="false">A186&amp;"|"&amp;B186&amp;"|"&amp;C186&amp;"|"&amp;D186</f>
        <v>1|3|Nicole|spotify:track:3qXOcbRVwKySRfN0k6BDrf</v>
      </c>
    </row>
    <row r="187" customFormat="false" ht="15" hidden="false" customHeight="false" outlineLevel="0" collapsed="false">
      <c r="A187" s="5" t="n">
        <v>1</v>
      </c>
      <c r="B187" s="5" t="n">
        <v>3</v>
      </c>
      <c r="C187" s="5" t="s">
        <v>92</v>
      </c>
      <c r="D187" s="5" t="s">
        <v>179</v>
      </c>
      <c r="E187" s="5" t="n">
        <v>2</v>
      </c>
      <c r="F187" s="6" t="n">
        <f aca="false">IFERROR(MATCH(A187&amp;"|"&amp;B187&amp;"|"&amp;D187,'All Song Rankings'!$T:$T,0),0)</f>
        <v>26</v>
      </c>
      <c r="G187" s="6" t="str">
        <f aca="false">IF(F187=0,"NOT FOUND",INDEX('All Song Rankings'!$A:$A,F187))</f>
        <v>Never Gonna Give You Up</v>
      </c>
      <c r="H187" s="6" t="str">
        <f aca="false">IF(F187=0,"NOT FOUND",INDEX('All Song Rankings'!$B:$B,F187))</f>
        <v>Rick Astley</v>
      </c>
      <c r="I187" s="6" t="str">
        <f aca="false">IF(F187=0,"NOT FOUND",INDEX('All Song Rankings'!$D:$D,F187))</f>
        <v>Matt</v>
      </c>
      <c r="J187" s="7" t="str">
        <f aca="false">IF(F187=0,"NOT FOUND",IF(C187=I187,"SELF-VOTE",IF(COUNTIF($K:$K,K187)&gt;1,"DUPLICATE","OK")))</f>
        <v>OK</v>
      </c>
      <c r="K187" s="6" t="str">
        <f aca="false">A187&amp;"|"&amp;B187&amp;"|"&amp;C187&amp;"|"&amp;D187</f>
        <v>1|3|Nicole|spotify:track:4PTG3Z6ehGkBFwjybzWkR8</v>
      </c>
    </row>
    <row r="188" customFormat="false" ht="15" hidden="false" customHeight="false" outlineLevel="0" collapsed="false">
      <c r="A188" s="5" t="n">
        <v>1</v>
      </c>
      <c r="B188" s="5" t="n">
        <v>3</v>
      </c>
      <c r="C188" s="5" t="s">
        <v>92</v>
      </c>
      <c r="D188" s="5" t="s">
        <v>176</v>
      </c>
      <c r="E188" s="5" t="n">
        <v>3</v>
      </c>
      <c r="F188" s="6" t="n">
        <f aca="false">IFERROR(MATCH(A188&amp;"|"&amp;B188&amp;"|"&amp;D188,'All Song Rankings'!$T:$T,0),0)</f>
        <v>25</v>
      </c>
      <c r="G188" s="6" t="str">
        <f aca="false">IF(F188=0,"NOT FOUND",INDEX('All Song Rankings'!$A:$A,F188))</f>
        <v>Don't Stop Me Now</v>
      </c>
      <c r="H188" s="6" t="str">
        <f aca="false">IF(F188=0,"NOT FOUND",INDEX('All Song Rankings'!$B:$B,F188))</f>
        <v>Queen</v>
      </c>
      <c r="I188" s="6" t="str">
        <f aca="false">IF(F188=0,"NOT FOUND",INDEX('All Song Rankings'!$D:$D,F188))</f>
        <v>Kelsey</v>
      </c>
      <c r="J188" s="7" t="str">
        <f aca="false">IF(F188=0,"NOT FOUND",IF(C188=I188,"SELF-VOTE",IF(COUNTIF($K:$K,K188)&gt;1,"DUPLICATE","OK")))</f>
        <v>OK</v>
      </c>
      <c r="K188" s="6" t="str">
        <f aca="false">A188&amp;"|"&amp;B188&amp;"|"&amp;C188&amp;"|"&amp;D188</f>
        <v>1|3|Nicole|spotify:track:62PDM93qqC4xSfQMV48MRF</v>
      </c>
    </row>
    <row r="189" customFormat="false" ht="15" hidden="false" customHeight="false" outlineLevel="0" collapsed="false">
      <c r="A189" s="5" t="n">
        <v>1</v>
      </c>
      <c r="B189" s="5" t="n">
        <v>3</v>
      </c>
      <c r="C189" s="5" t="s">
        <v>123</v>
      </c>
      <c r="D189" s="5" t="s">
        <v>193</v>
      </c>
      <c r="E189" s="5" t="n">
        <v>1</v>
      </c>
      <c r="F189" s="6" t="n">
        <f aca="false">IFERROR(MATCH(A189&amp;"|"&amp;B189&amp;"|"&amp;D189,'All Song Rankings'!$T:$T,0),0)</f>
        <v>31</v>
      </c>
      <c r="G189" s="6" t="str">
        <f aca="false">IF(F189=0,"NOT FOUND",INDEX('All Song Rankings'!$A:$A,F189))</f>
        <v>Seasons of Love</v>
      </c>
      <c r="H189" s="6" t="str">
        <f aca="false">IF(F189=0,"NOT FOUND",INDEX('All Song Rankings'!$B:$B,F189))</f>
        <v>Anthony Rapp</v>
      </c>
      <c r="I189" s="6" t="str">
        <f aca="false">IF(F189=0,"NOT FOUND",INDEX('All Song Rankings'!$D:$D,F189))</f>
        <v>Stephanie</v>
      </c>
      <c r="J189" s="7" t="str">
        <f aca="false">IF(F189=0,"NOT FOUND",IF(C189=I189,"SELF-VOTE",IF(COUNTIF($K:$K,K189)&gt;1,"DUPLICATE","OK")))</f>
        <v>OK</v>
      </c>
      <c r="K189" s="6" t="str">
        <f aca="false">A189&amp;"|"&amp;B189&amp;"|"&amp;C189&amp;"|"&amp;D189</f>
        <v>1|3|Olivia|spotify:track:0LiRTCcc2q3A50Eh9k5bSi</v>
      </c>
    </row>
    <row r="190" customFormat="false" ht="15" hidden="false" customHeight="false" outlineLevel="0" collapsed="false">
      <c r="A190" s="5" t="n">
        <v>1</v>
      </c>
      <c r="B190" s="5" t="n">
        <v>3</v>
      </c>
      <c r="C190" s="5" t="s">
        <v>123</v>
      </c>
      <c r="D190" s="5" t="s">
        <v>196</v>
      </c>
      <c r="E190" s="5" t="n">
        <v>1</v>
      </c>
      <c r="F190" s="6" t="n">
        <f aca="false">IFERROR(MATCH(A190&amp;"|"&amp;B190&amp;"|"&amp;D190,'All Song Rankings'!$T:$T,0),0)</f>
        <v>32</v>
      </c>
      <c r="G190" s="6" t="str">
        <f aca="false">IF(F190=0,"NOT FOUND",INDEX('All Song Rankings'!$A:$A,F190))</f>
        <v>Red Solo Cup</v>
      </c>
      <c r="H190" s="6" t="str">
        <f aca="false">IF(F190=0,"NOT FOUND",INDEX('All Song Rankings'!$B:$B,F190))</f>
        <v>Toby Keith</v>
      </c>
      <c r="I190" s="6" t="str">
        <f aca="false">IF(F190=0,"NOT FOUND",INDEX('All Song Rankings'!$D:$D,F190))</f>
        <v>Kristen</v>
      </c>
      <c r="J190" s="7" t="str">
        <f aca="false">IF(F190=0,"NOT FOUND",IF(C190=I190,"SELF-VOTE",IF(COUNTIF($K:$K,K190)&gt;1,"DUPLICATE","OK")))</f>
        <v>OK</v>
      </c>
      <c r="K190" s="6" t="str">
        <f aca="false">A190&amp;"|"&amp;B190&amp;"|"&amp;C190&amp;"|"&amp;D190</f>
        <v>1|3|Olivia|spotify:track:1c4Pc7mwRZrCLxkRZbGs6l</v>
      </c>
    </row>
    <row r="191" customFormat="false" ht="15" hidden="false" customHeight="false" outlineLevel="0" collapsed="false">
      <c r="A191" s="5" t="n">
        <v>1</v>
      </c>
      <c r="B191" s="5" t="n">
        <v>3</v>
      </c>
      <c r="C191" s="5" t="s">
        <v>123</v>
      </c>
      <c r="D191" s="5" t="s">
        <v>173</v>
      </c>
      <c r="E191" s="5" t="n">
        <v>1</v>
      </c>
      <c r="F191" s="6" t="n">
        <f aca="false">IFERROR(MATCH(A191&amp;"|"&amp;B191&amp;"|"&amp;D191,'All Song Rankings'!$T:$T,0),0)</f>
        <v>24</v>
      </c>
      <c r="G191" s="6" t="str">
        <f aca="false">IF(F191=0,"NOT FOUND",INDEX('All Song Rankings'!$A:$A,F191))</f>
        <v>Against The Tide</v>
      </c>
      <c r="H191" s="6" t="str">
        <f aca="false">IF(F191=0,"NOT FOUND",INDEX('All Song Rankings'!$B:$B,F191))</f>
        <v>Sail North</v>
      </c>
      <c r="I191" s="6" t="str">
        <f aca="false">IF(F191=0,"NOT FOUND",INDEX('All Song Rankings'!$D:$D,F191))</f>
        <v>Collin</v>
      </c>
      <c r="J191" s="7" t="str">
        <f aca="false">IF(F191=0,"NOT FOUND",IF(C191=I191,"SELF-VOTE",IF(COUNTIF($K:$K,K191)&gt;1,"DUPLICATE","OK")))</f>
        <v>OK</v>
      </c>
      <c r="K191" s="6" t="str">
        <f aca="false">A191&amp;"|"&amp;B191&amp;"|"&amp;C191&amp;"|"&amp;D191</f>
        <v>1|3|Olivia|spotify:track:1vuWlF2OWLtBqPNz0aoatB</v>
      </c>
    </row>
    <row r="192" customFormat="false" ht="15" hidden="false" customHeight="false" outlineLevel="0" collapsed="false">
      <c r="A192" s="5" t="n">
        <v>1</v>
      </c>
      <c r="B192" s="5" t="n">
        <v>3</v>
      </c>
      <c r="C192" s="5" t="s">
        <v>123</v>
      </c>
      <c r="D192" s="5" t="s">
        <v>187</v>
      </c>
      <c r="E192" s="5" t="n">
        <v>1</v>
      </c>
      <c r="F192" s="6" t="n">
        <f aca="false">IFERROR(MATCH(A192&amp;"|"&amp;B192&amp;"|"&amp;D192,'All Song Rankings'!$T:$T,0),0)</f>
        <v>29</v>
      </c>
      <c r="G192" s="6" t="str">
        <f aca="false">IF(F192=0,"NOT FOUND",INDEX('All Song Rankings'!$A:$A,F192))</f>
        <v>Uptown Funk</v>
      </c>
      <c r="H192" s="6" t="str">
        <f aca="false">IF(F192=0,"NOT FOUND",INDEX('All Song Rankings'!$B:$B,F192))</f>
        <v>Mark Ronson</v>
      </c>
      <c r="I192" s="6" t="str">
        <f aca="false">IF(F192=0,"NOT FOUND",INDEX('All Song Rankings'!$D:$D,F192))</f>
        <v>Merita</v>
      </c>
      <c r="J192" s="7" t="str">
        <f aca="false">IF(F192=0,"NOT FOUND",IF(C192=I192,"SELF-VOTE",IF(COUNTIF($K:$K,K192)&gt;1,"DUPLICATE","OK")))</f>
        <v>OK</v>
      </c>
      <c r="K192" s="6" t="str">
        <f aca="false">A192&amp;"|"&amp;B192&amp;"|"&amp;C192&amp;"|"&amp;D192</f>
        <v>1|3|Olivia|spotify:track:32OlwWuMpZ6b0aN2RZOeMS</v>
      </c>
    </row>
    <row r="193" customFormat="false" ht="15" hidden="false" customHeight="false" outlineLevel="0" collapsed="false">
      <c r="A193" s="5" t="n">
        <v>1</v>
      </c>
      <c r="B193" s="5" t="n">
        <v>3</v>
      </c>
      <c r="C193" s="5" t="s">
        <v>123</v>
      </c>
      <c r="D193" s="5" t="s">
        <v>179</v>
      </c>
      <c r="E193" s="5" t="n">
        <v>1</v>
      </c>
      <c r="F193" s="6" t="n">
        <f aca="false">IFERROR(MATCH(A193&amp;"|"&amp;B193&amp;"|"&amp;D193,'All Song Rankings'!$T:$T,0),0)</f>
        <v>26</v>
      </c>
      <c r="G193" s="6" t="str">
        <f aca="false">IF(F193=0,"NOT FOUND",INDEX('All Song Rankings'!$A:$A,F193))</f>
        <v>Never Gonna Give You Up</v>
      </c>
      <c r="H193" s="6" t="str">
        <f aca="false">IF(F193=0,"NOT FOUND",INDEX('All Song Rankings'!$B:$B,F193))</f>
        <v>Rick Astley</v>
      </c>
      <c r="I193" s="6" t="str">
        <f aca="false">IF(F193=0,"NOT FOUND",INDEX('All Song Rankings'!$D:$D,F193))</f>
        <v>Matt</v>
      </c>
      <c r="J193" s="7" t="str">
        <f aca="false">IF(F193=0,"NOT FOUND",IF(C193=I193,"SELF-VOTE",IF(COUNTIF($K:$K,K193)&gt;1,"DUPLICATE","OK")))</f>
        <v>OK</v>
      </c>
      <c r="K193" s="6" t="str">
        <f aca="false">A193&amp;"|"&amp;B193&amp;"|"&amp;C193&amp;"|"&amp;D193</f>
        <v>1|3|Olivia|spotify:track:4PTG3Z6ehGkBFwjybzWkR8</v>
      </c>
    </row>
    <row r="194" customFormat="false" ht="15" hidden="false" customHeight="false" outlineLevel="0" collapsed="false">
      <c r="A194" s="5" t="n">
        <v>1</v>
      </c>
      <c r="B194" s="5" t="n">
        <v>3</v>
      </c>
      <c r="C194" s="5" t="s">
        <v>123</v>
      </c>
      <c r="D194" s="5" t="s">
        <v>176</v>
      </c>
      <c r="E194" s="5" t="n">
        <v>2</v>
      </c>
      <c r="F194" s="6" t="n">
        <f aca="false">IFERROR(MATCH(A194&amp;"|"&amp;B194&amp;"|"&amp;D194,'All Song Rankings'!$T:$T,0),0)</f>
        <v>25</v>
      </c>
      <c r="G194" s="6" t="str">
        <f aca="false">IF(F194=0,"NOT FOUND",INDEX('All Song Rankings'!$A:$A,F194))</f>
        <v>Don't Stop Me Now</v>
      </c>
      <c r="H194" s="6" t="str">
        <f aca="false">IF(F194=0,"NOT FOUND",INDEX('All Song Rankings'!$B:$B,F194))</f>
        <v>Queen</v>
      </c>
      <c r="I194" s="6" t="str">
        <f aca="false">IF(F194=0,"NOT FOUND",INDEX('All Song Rankings'!$D:$D,F194))</f>
        <v>Kelsey</v>
      </c>
      <c r="J194" s="7" t="str">
        <f aca="false">IF(F194=0,"NOT FOUND",IF(C194=I194,"SELF-VOTE",IF(COUNTIF($K:$K,K194)&gt;1,"DUPLICATE","OK")))</f>
        <v>OK</v>
      </c>
      <c r="K194" s="6" t="str">
        <f aca="false">A194&amp;"|"&amp;B194&amp;"|"&amp;C194&amp;"|"&amp;D194</f>
        <v>1|3|Olivia|spotify:track:62PDM93qqC4xSfQMV48MRF</v>
      </c>
    </row>
    <row r="195" customFormat="false" ht="15" hidden="false" customHeight="false" outlineLevel="0" collapsed="false">
      <c r="A195" s="5" t="n">
        <v>1</v>
      </c>
      <c r="B195" s="5" t="n">
        <v>3</v>
      </c>
      <c r="C195" s="5" t="s">
        <v>123</v>
      </c>
      <c r="D195" s="5" t="s">
        <v>190</v>
      </c>
      <c r="E195" s="5" t="n">
        <v>1</v>
      </c>
      <c r="F195" s="6" t="n">
        <f aca="false">IFERROR(MATCH(A195&amp;"|"&amp;B195&amp;"|"&amp;D195,'All Song Rankings'!$T:$T,0),0)</f>
        <v>30</v>
      </c>
      <c r="G195" s="6" t="str">
        <f aca="false">IF(F195=0,"NOT FOUND",INDEX('All Song Rankings'!$A:$A,F195))</f>
        <v>Greatest Love of All</v>
      </c>
      <c r="H195" s="6" t="str">
        <f aca="false">IF(F195=0,"NOT FOUND",INDEX('All Song Rankings'!$B:$B,F195))</f>
        <v>Whitney Houston</v>
      </c>
      <c r="I195" s="6" t="str">
        <f aca="false">IF(F195=0,"NOT FOUND",INDEX('All Song Rankings'!$D:$D,F195))</f>
        <v>Logan</v>
      </c>
      <c r="J195" s="7" t="str">
        <f aca="false">IF(F195=0,"NOT FOUND",IF(C195=I195,"SELF-VOTE",IF(COUNTIF($K:$K,K195)&gt;1,"DUPLICATE","OK")))</f>
        <v>OK</v>
      </c>
      <c r="K195" s="6" t="str">
        <f aca="false">A195&amp;"|"&amp;B195&amp;"|"&amp;C195&amp;"|"&amp;D195</f>
        <v>1|3|Olivia|spotify:track:6yJxCltgtmGxIgKOS6ndnu</v>
      </c>
    </row>
    <row r="196" customFormat="false" ht="15" hidden="false" customHeight="false" outlineLevel="0" collapsed="false">
      <c r="A196" s="5" t="n">
        <v>1</v>
      </c>
      <c r="B196" s="5" t="n">
        <v>3</v>
      </c>
      <c r="C196" s="5" t="s">
        <v>123</v>
      </c>
      <c r="D196" s="5" t="s">
        <v>184</v>
      </c>
      <c r="E196" s="5" t="n">
        <v>2</v>
      </c>
      <c r="F196" s="6" t="n">
        <f aca="false">IFERROR(MATCH(A196&amp;"|"&amp;B196&amp;"|"&amp;D196,'All Song Rankings'!$T:$T,0),0)</f>
        <v>28</v>
      </c>
      <c r="G196" s="6" t="str">
        <f aca="false">IF(F196=0,"NOT FOUND",INDEX('All Song Rankings'!$A:$A,F196))</f>
        <v>We Rock</v>
      </c>
      <c r="H196" s="6" t="str">
        <f aca="false">IF(F196=0,"NOT FOUND",INDEX('All Song Rankings'!$B:$B,F196))</f>
        <v>Cast of Camp Rock</v>
      </c>
      <c r="I196" s="6" t="str">
        <f aca="false">IF(F196=0,"NOT FOUND",INDEX('All Song Rankings'!$D:$D,F196))</f>
        <v>Nicole</v>
      </c>
      <c r="J196" s="7" t="str">
        <f aca="false">IF(F196=0,"NOT FOUND",IF(C196=I196,"SELF-VOTE",IF(COUNTIF($K:$K,K196)&gt;1,"DUPLICATE","OK")))</f>
        <v>OK</v>
      </c>
      <c r="K196" s="6" t="str">
        <f aca="false">A196&amp;"|"&amp;B196&amp;"|"&amp;C196&amp;"|"&amp;D196</f>
        <v>1|3|Olivia|spotify:track:7r6ubHsaieaig4kORmmsDy</v>
      </c>
    </row>
    <row r="197" customFormat="false" ht="15" hidden="false" customHeight="false" outlineLevel="0" collapsed="false">
      <c r="A197" s="5" t="n">
        <v>1</v>
      </c>
      <c r="B197" s="5" t="n">
        <v>3</v>
      </c>
      <c r="C197" s="5" t="s">
        <v>97</v>
      </c>
      <c r="D197" s="5" t="s">
        <v>173</v>
      </c>
      <c r="E197" s="5" t="n">
        <v>1</v>
      </c>
      <c r="F197" s="6" t="n">
        <f aca="false">IFERROR(MATCH(A197&amp;"|"&amp;B197&amp;"|"&amp;D197,'All Song Rankings'!$T:$T,0),0)</f>
        <v>24</v>
      </c>
      <c r="G197" s="6" t="str">
        <f aca="false">IF(F197=0,"NOT FOUND",INDEX('All Song Rankings'!$A:$A,F197))</f>
        <v>Against The Tide</v>
      </c>
      <c r="H197" s="6" t="str">
        <f aca="false">IF(F197=0,"NOT FOUND",INDEX('All Song Rankings'!$B:$B,F197))</f>
        <v>Sail North</v>
      </c>
      <c r="I197" s="6" t="str">
        <f aca="false">IF(F197=0,"NOT FOUND",INDEX('All Song Rankings'!$D:$D,F197))</f>
        <v>Collin</v>
      </c>
      <c r="J197" s="7" t="str">
        <f aca="false">IF(F197=0,"NOT FOUND",IF(C197=I197,"SELF-VOTE",IF(COUNTIF($K:$K,K197)&gt;1,"DUPLICATE","OK")))</f>
        <v>OK</v>
      </c>
      <c r="K197" s="6" t="str">
        <f aca="false">A197&amp;"|"&amp;B197&amp;"|"&amp;C197&amp;"|"&amp;D197</f>
        <v>1|3|Stephanie|spotify:track:1vuWlF2OWLtBqPNz0aoatB</v>
      </c>
    </row>
    <row r="198" customFormat="false" ht="15" hidden="false" customHeight="false" outlineLevel="0" collapsed="false">
      <c r="A198" s="5" t="n">
        <v>1</v>
      </c>
      <c r="B198" s="5" t="n">
        <v>3</v>
      </c>
      <c r="C198" s="5" t="s">
        <v>97</v>
      </c>
      <c r="D198" s="5" t="s">
        <v>187</v>
      </c>
      <c r="E198" s="5" t="n">
        <v>1</v>
      </c>
      <c r="F198" s="6" t="n">
        <f aca="false">IFERROR(MATCH(A198&amp;"|"&amp;B198&amp;"|"&amp;D198,'All Song Rankings'!$T:$T,0),0)</f>
        <v>29</v>
      </c>
      <c r="G198" s="6" t="str">
        <f aca="false">IF(F198=0,"NOT FOUND",INDEX('All Song Rankings'!$A:$A,F198))</f>
        <v>Uptown Funk</v>
      </c>
      <c r="H198" s="6" t="str">
        <f aca="false">IF(F198=0,"NOT FOUND",INDEX('All Song Rankings'!$B:$B,F198))</f>
        <v>Mark Ronson</v>
      </c>
      <c r="I198" s="6" t="str">
        <f aca="false">IF(F198=0,"NOT FOUND",INDEX('All Song Rankings'!$D:$D,F198))</f>
        <v>Merita</v>
      </c>
      <c r="J198" s="7" t="str">
        <f aca="false">IF(F198=0,"NOT FOUND",IF(C198=I198,"SELF-VOTE",IF(COUNTIF($K:$K,K198)&gt;1,"DUPLICATE","OK")))</f>
        <v>OK</v>
      </c>
      <c r="K198" s="6" t="str">
        <f aca="false">A198&amp;"|"&amp;B198&amp;"|"&amp;C198&amp;"|"&amp;D198</f>
        <v>1|3|Stephanie|spotify:track:32OlwWuMpZ6b0aN2RZOeMS</v>
      </c>
    </row>
    <row r="199" customFormat="false" ht="15" hidden="false" customHeight="false" outlineLevel="0" collapsed="false">
      <c r="A199" s="5" t="n">
        <v>1</v>
      </c>
      <c r="B199" s="5" t="n">
        <v>3</v>
      </c>
      <c r="C199" s="5" t="s">
        <v>97</v>
      </c>
      <c r="D199" s="5" t="s">
        <v>179</v>
      </c>
      <c r="E199" s="5" t="n">
        <v>1</v>
      </c>
      <c r="F199" s="6" t="n">
        <f aca="false">IFERROR(MATCH(A199&amp;"|"&amp;B199&amp;"|"&amp;D199,'All Song Rankings'!$T:$T,0),0)</f>
        <v>26</v>
      </c>
      <c r="G199" s="6" t="str">
        <f aca="false">IF(F199=0,"NOT FOUND",INDEX('All Song Rankings'!$A:$A,F199))</f>
        <v>Never Gonna Give You Up</v>
      </c>
      <c r="H199" s="6" t="str">
        <f aca="false">IF(F199=0,"NOT FOUND",INDEX('All Song Rankings'!$B:$B,F199))</f>
        <v>Rick Astley</v>
      </c>
      <c r="I199" s="6" t="str">
        <f aca="false">IF(F199=0,"NOT FOUND",INDEX('All Song Rankings'!$D:$D,F199))</f>
        <v>Matt</v>
      </c>
      <c r="J199" s="7" t="str">
        <f aca="false">IF(F199=0,"NOT FOUND",IF(C199=I199,"SELF-VOTE",IF(COUNTIF($K:$K,K199)&gt;1,"DUPLICATE","OK")))</f>
        <v>OK</v>
      </c>
      <c r="K199" s="6" t="str">
        <f aca="false">A199&amp;"|"&amp;B199&amp;"|"&amp;C199&amp;"|"&amp;D199</f>
        <v>1|3|Stephanie|spotify:track:4PTG3Z6ehGkBFwjybzWkR8</v>
      </c>
    </row>
    <row r="200" customFormat="false" ht="15" hidden="false" customHeight="false" outlineLevel="0" collapsed="false">
      <c r="A200" s="5" t="n">
        <v>1</v>
      </c>
      <c r="B200" s="5" t="n">
        <v>3</v>
      </c>
      <c r="C200" s="5" t="s">
        <v>97</v>
      </c>
      <c r="D200" s="5" t="s">
        <v>190</v>
      </c>
      <c r="E200" s="5" t="n">
        <v>4</v>
      </c>
      <c r="F200" s="6" t="n">
        <f aca="false">IFERROR(MATCH(A200&amp;"|"&amp;B200&amp;"|"&amp;D200,'All Song Rankings'!$T:$T,0),0)</f>
        <v>30</v>
      </c>
      <c r="G200" s="6" t="str">
        <f aca="false">IF(F200=0,"NOT FOUND",INDEX('All Song Rankings'!$A:$A,F200))</f>
        <v>Greatest Love of All</v>
      </c>
      <c r="H200" s="6" t="str">
        <f aca="false">IF(F200=0,"NOT FOUND",INDEX('All Song Rankings'!$B:$B,F200))</f>
        <v>Whitney Houston</v>
      </c>
      <c r="I200" s="6" t="str">
        <f aca="false">IF(F200=0,"NOT FOUND",INDEX('All Song Rankings'!$D:$D,F200))</f>
        <v>Logan</v>
      </c>
      <c r="J200" s="7" t="str">
        <f aca="false">IF(F200=0,"NOT FOUND",IF(C200=I200,"SELF-VOTE",IF(COUNTIF($K:$K,K200)&gt;1,"DUPLICATE","OK")))</f>
        <v>OK</v>
      </c>
      <c r="K200" s="6" t="str">
        <f aca="false">A200&amp;"|"&amp;B200&amp;"|"&amp;C200&amp;"|"&amp;D200</f>
        <v>1|3|Stephanie|spotify:track:6yJxCltgtmGxIgKOS6ndnu</v>
      </c>
    </row>
    <row r="201" customFormat="false" ht="15" hidden="false" customHeight="false" outlineLevel="0" collapsed="false">
      <c r="A201" s="5" t="n">
        <v>1</v>
      </c>
      <c r="B201" s="5" t="n">
        <v>3</v>
      </c>
      <c r="C201" s="5" t="s">
        <v>97</v>
      </c>
      <c r="D201" s="5" t="s">
        <v>184</v>
      </c>
      <c r="E201" s="5" t="n">
        <v>3</v>
      </c>
      <c r="F201" s="6" t="n">
        <f aca="false">IFERROR(MATCH(A201&amp;"|"&amp;B201&amp;"|"&amp;D201,'All Song Rankings'!$T:$T,0),0)</f>
        <v>28</v>
      </c>
      <c r="G201" s="6" t="str">
        <f aca="false">IF(F201=0,"NOT FOUND",INDEX('All Song Rankings'!$A:$A,F201))</f>
        <v>We Rock</v>
      </c>
      <c r="H201" s="6" t="str">
        <f aca="false">IF(F201=0,"NOT FOUND",INDEX('All Song Rankings'!$B:$B,F201))</f>
        <v>Cast of Camp Rock</v>
      </c>
      <c r="I201" s="6" t="str">
        <f aca="false">IF(F201=0,"NOT FOUND",INDEX('All Song Rankings'!$D:$D,F201))</f>
        <v>Nicole</v>
      </c>
      <c r="J201" s="7" t="str">
        <f aca="false">IF(F201=0,"NOT FOUND",IF(C201=I201,"SELF-VOTE",IF(COUNTIF($K:$K,K201)&gt;1,"DUPLICATE","OK")))</f>
        <v>OK</v>
      </c>
      <c r="K201" s="6" t="str">
        <f aca="false">A201&amp;"|"&amp;B201&amp;"|"&amp;C201&amp;"|"&amp;D201</f>
        <v>1|3|Stephanie|spotify:track:7r6ubHsaieaig4kORmmsDy</v>
      </c>
    </row>
    <row r="202" customFormat="false" ht="15" hidden="false" customHeight="false" outlineLevel="0" collapsed="false">
      <c r="A202" s="5" t="n">
        <v>1</v>
      </c>
      <c r="B202" s="5" t="n">
        <v>4</v>
      </c>
      <c r="C202" s="5" t="s">
        <v>111</v>
      </c>
      <c r="D202" s="5" t="s">
        <v>215</v>
      </c>
      <c r="E202" s="5" t="n">
        <v>1</v>
      </c>
      <c r="F202" s="6" t="n">
        <f aca="false">IFERROR(MATCH(A202&amp;"|"&amp;B202&amp;"|"&amp;D202,'All Song Rankings'!$T:$T,0),0)</f>
        <v>38</v>
      </c>
      <c r="G202" s="6" t="str">
        <f aca="false">IF(F202=0,"NOT FOUND",INDEX('All Song Rankings'!$A:$A,F202))</f>
        <v>Rescue Me</v>
      </c>
      <c r="H202" s="6" t="str">
        <f aca="false">IF(F202=0,"NOT FOUND",INDEX('All Song Rankings'!$B:$B,F202))</f>
        <v>OneRepublic</v>
      </c>
      <c r="I202" s="6" t="str">
        <f aca="false">IF(F202=0,"NOT FOUND",INDEX('All Song Rankings'!$D:$D,F202))</f>
        <v>Merita</v>
      </c>
      <c r="J202" s="7" t="str">
        <f aca="false">IF(F202=0,"NOT FOUND",IF(C202=I202,"SELF-VOTE",IF(COUNTIF($K:$K,K202)&gt;1,"DUPLICATE","OK")))</f>
        <v>OK</v>
      </c>
      <c r="K202" s="6" t="str">
        <f aca="false">A202&amp;"|"&amp;B202&amp;"|"&amp;C202&amp;"|"&amp;D202</f>
        <v>1|4|Collin|spotify:track:0mjAU3yKR1QnXnHtjGJqTM</v>
      </c>
    </row>
    <row r="203" customFormat="false" ht="15" hidden="false" customHeight="false" outlineLevel="0" collapsed="false">
      <c r="A203" s="5" t="n">
        <v>1</v>
      </c>
      <c r="B203" s="5" t="n">
        <v>4</v>
      </c>
      <c r="C203" s="5" t="s">
        <v>111</v>
      </c>
      <c r="D203" s="5" t="s">
        <v>212</v>
      </c>
      <c r="E203" s="5" t="n">
        <v>1</v>
      </c>
      <c r="F203" s="6" t="n">
        <f aca="false">IFERROR(MATCH(A203&amp;"|"&amp;B203&amp;"|"&amp;D203,'All Song Rankings'!$T:$T,0),0)</f>
        <v>37</v>
      </c>
      <c r="G203" s="6" t="str">
        <f aca="false">IF(F203=0,"NOT FOUND",INDEX('All Song Rankings'!$A:$A,F203))</f>
        <v>Winter Things</v>
      </c>
      <c r="H203" s="6" t="str">
        <f aca="false">IF(F203=0,"NOT FOUND",INDEX('All Song Rankings'!$B:$B,F203))</f>
        <v>Ariana Grande</v>
      </c>
      <c r="I203" s="6" t="str">
        <f aca="false">IF(F203=0,"NOT FOUND",INDEX('All Song Rankings'!$D:$D,F203))</f>
        <v>Logan</v>
      </c>
      <c r="J203" s="7" t="str">
        <f aca="false">IF(F203=0,"NOT FOUND",IF(C203=I203,"SELF-VOTE",IF(COUNTIF($K:$K,K203)&gt;1,"DUPLICATE","OK")))</f>
        <v>OK</v>
      </c>
      <c r="K203" s="6" t="str">
        <f aca="false">A203&amp;"|"&amp;B203&amp;"|"&amp;C203&amp;"|"&amp;D203</f>
        <v>1|4|Collin|spotify:track:1jhljxXlHw8K9rezXKrnow</v>
      </c>
    </row>
    <row r="204" customFormat="false" ht="15" hidden="false" customHeight="false" outlineLevel="0" collapsed="false">
      <c r="A204" s="5" t="n">
        <v>1</v>
      </c>
      <c r="B204" s="5" t="n">
        <v>4</v>
      </c>
      <c r="C204" s="5" t="s">
        <v>111</v>
      </c>
      <c r="D204" s="5" t="s">
        <v>224</v>
      </c>
      <c r="E204" s="5" t="n">
        <v>1</v>
      </c>
      <c r="F204" s="6" t="n">
        <f aca="false">IFERROR(MATCH(A204&amp;"|"&amp;B204&amp;"|"&amp;D204,'All Song Rankings'!$T:$T,0),0)</f>
        <v>41</v>
      </c>
      <c r="G204" s="6" t="str">
        <f aca="false">IF(F204=0,"NOT FOUND",INDEX('All Song Rankings'!$A:$A,F204))</f>
        <v>Til Kingdom Come</v>
      </c>
      <c r="H204" s="6" t="str">
        <f aca="false">IF(F204=0,"NOT FOUND",INDEX('All Song Rankings'!$B:$B,F204))</f>
        <v>Coldplay</v>
      </c>
      <c r="I204" s="6" t="str">
        <f aca="false">IF(F204=0,"NOT FOUND",INDEX('All Song Rankings'!$D:$D,F204))</f>
        <v>Kristen</v>
      </c>
      <c r="J204" s="7" t="str">
        <f aca="false">IF(F204=0,"NOT FOUND",IF(C204=I204,"SELF-VOTE",IF(COUNTIF($K:$K,K204)&gt;1,"DUPLICATE","OK")))</f>
        <v>OK</v>
      </c>
      <c r="K204" s="6" t="str">
        <f aca="false">A204&amp;"|"&amp;B204&amp;"|"&amp;C204&amp;"|"&amp;D204</f>
        <v>1|4|Collin|spotify:track:1wQXj5bgxyZQ2XmE2X9s6n</v>
      </c>
    </row>
    <row r="205" customFormat="false" ht="15" hidden="false" customHeight="false" outlineLevel="0" collapsed="false">
      <c r="A205" s="5" t="n">
        <v>1</v>
      </c>
      <c r="B205" s="5" t="n">
        <v>4</v>
      </c>
      <c r="C205" s="5" t="s">
        <v>111</v>
      </c>
      <c r="D205" s="5" t="s">
        <v>206</v>
      </c>
      <c r="E205" s="5" t="n">
        <v>5</v>
      </c>
      <c r="F205" s="6" t="n">
        <f aca="false">IFERROR(MATCH(A205&amp;"|"&amp;B205&amp;"|"&amp;D205,'All Song Rankings'!$T:$T,0),0)</f>
        <v>35</v>
      </c>
      <c r="G205" s="6" t="str">
        <f aca="false">IF(F205=0,"NOT FOUND",INDEX('All Song Rankings'!$A:$A,F205))</f>
        <v>Eyes Wide Open</v>
      </c>
      <c r="H205" s="6" t="str">
        <f aca="false">IF(F205=0,"NOT FOUND",INDEX('All Song Rankings'!$B:$B,F205))</f>
        <v>Sabrina Carpenter</v>
      </c>
      <c r="I205" s="6" t="str">
        <f aca="false">IF(F205=0,"NOT FOUND",INDEX('All Song Rankings'!$D:$D,F205))</f>
        <v>Nicole</v>
      </c>
      <c r="J205" s="7" t="str">
        <f aca="false">IF(F205=0,"NOT FOUND",IF(C205=I205,"SELF-VOTE",IF(COUNTIF($K:$K,K205)&gt;1,"DUPLICATE","OK")))</f>
        <v>OK</v>
      </c>
      <c r="K205" s="6" t="str">
        <f aca="false">A205&amp;"|"&amp;B205&amp;"|"&amp;C205&amp;"|"&amp;D205</f>
        <v>1|4|Collin|spotify:track:4pbrp5dxpqjfaf4GiS6YuO</v>
      </c>
    </row>
    <row r="206" customFormat="false" ht="15" hidden="false" customHeight="false" outlineLevel="0" collapsed="false">
      <c r="A206" s="5" t="n">
        <v>1</v>
      </c>
      <c r="B206" s="5" t="n">
        <v>4</v>
      </c>
      <c r="C206" s="5" t="s">
        <v>111</v>
      </c>
      <c r="D206" s="5" t="s">
        <v>203</v>
      </c>
      <c r="E206" s="5" t="n">
        <v>2</v>
      </c>
      <c r="F206" s="6" t="n">
        <f aca="false">IFERROR(MATCH(A206&amp;"|"&amp;B206&amp;"|"&amp;D206,'All Song Rankings'!$T:$T,0),0)</f>
        <v>34</v>
      </c>
      <c r="G206" s="6" t="str">
        <f aca="false">IF(F206=0,"NOT FOUND",INDEX('All Song Rankings'!$A:$A,F206))</f>
        <v>Bibia Be Ye Ye</v>
      </c>
      <c r="H206" s="6" t="str">
        <f aca="false">IF(F206=0,"NOT FOUND",INDEX('All Song Rankings'!$B:$B,F206))</f>
        <v>Ed Sheeran</v>
      </c>
      <c r="I206" s="6" t="str">
        <f aca="false">IF(F206=0,"NOT FOUND",INDEX('All Song Rankings'!$D:$D,F206))</f>
        <v>Kelsey</v>
      </c>
      <c r="J206" s="7" t="str">
        <f aca="false">IF(F206=0,"NOT FOUND",IF(C206=I206,"SELF-VOTE",IF(COUNTIF($K:$K,K206)&gt;1,"DUPLICATE","OK")))</f>
        <v>OK</v>
      </c>
      <c r="K206" s="6" t="str">
        <f aca="false">A206&amp;"|"&amp;B206&amp;"|"&amp;C206&amp;"|"&amp;D206</f>
        <v>1|4|Collin|spotify:track:6SznMYPQJHzr3IwsAHLId2</v>
      </c>
    </row>
    <row r="207" customFormat="false" ht="15" hidden="false" customHeight="false" outlineLevel="0" collapsed="false">
      <c r="A207" s="5" t="n">
        <v>1</v>
      </c>
      <c r="B207" s="5" t="n">
        <v>4</v>
      </c>
      <c r="C207" s="5" t="s">
        <v>85</v>
      </c>
      <c r="D207" s="5" t="s">
        <v>221</v>
      </c>
      <c r="E207" s="5" t="n">
        <v>1</v>
      </c>
      <c r="F207" s="6" t="n">
        <f aca="false">IFERROR(MATCH(A207&amp;"|"&amp;B207&amp;"|"&amp;D207,'All Song Rankings'!$T:$T,0),0)</f>
        <v>40</v>
      </c>
      <c r="G207" s="6" t="str">
        <f aca="false">IF(F207=0,"NOT FOUND",INDEX('All Song Rankings'!$A:$A,F207))</f>
        <v>Bad Day</v>
      </c>
      <c r="H207" s="6" t="str">
        <f aca="false">IF(F207=0,"NOT FOUND",INDEX('All Song Rankings'!$B:$B,F207))</f>
        <v>Daniel Powter</v>
      </c>
      <c r="I207" s="6" t="str">
        <f aca="false">IF(F207=0,"NOT FOUND",INDEX('All Song Rankings'!$D:$D,F207))</f>
        <v>Collin</v>
      </c>
      <c r="J207" s="7" t="str">
        <f aca="false">IF(F207=0,"NOT FOUND",IF(C207=I207,"SELF-VOTE",IF(COUNTIF($K:$K,K207)&gt;1,"DUPLICATE","OK")))</f>
        <v>OK</v>
      </c>
      <c r="K207" s="6" t="str">
        <f aca="false">A207&amp;"|"&amp;B207&amp;"|"&amp;C207&amp;"|"&amp;D207</f>
        <v>1|4|Kelsey|spotify:track:0mUyMawtxj1CJ76kn9gIZK</v>
      </c>
    </row>
    <row r="208" customFormat="false" ht="15" hidden="false" customHeight="false" outlineLevel="0" collapsed="false">
      <c r="A208" s="5" t="n">
        <v>1</v>
      </c>
      <c r="B208" s="5" t="n">
        <v>4</v>
      </c>
      <c r="C208" s="5" t="s">
        <v>85</v>
      </c>
      <c r="D208" s="5" t="s">
        <v>215</v>
      </c>
      <c r="E208" s="5" t="n">
        <v>1</v>
      </c>
      <c r="F208" s="6" t="n">
        <f aca="false">IFERROR(MATCH(A208&amp;"|"&amp;B208&amp;"|"&amp;D208,'All Song Rankings'!$T:$T,0),0)</f>
        <v>38</v>
      </c>
      <c r="G208" s="6" t="str">
        <f aca="false">IF(F208=0,"NOT FOUND",INDEX('All Song Rankings'!$A:$A,F208))</f>
        <v>Rescue Me</v>
      </c>
      <c r="H208" s="6" t="str">
        <f aca="false">IF(F208=0,"NOT FOUND",INDEX('All Song Rankings'!$B:$B,F208))</f>
        <v>OneRepublic</v>
      </c>
      <c r="I208" s="6" t="str">
        <f aca="false">IF(F208=0,"NOT FOUND",INDEX('All Song Rankings'!$D:$D,F208))</f>
        <v>Merita</v>
      </c>
      <c r="J208" s="7" t="str">
        <f aca="false">IF(F208=0,"NOT FOUND",IF(C208=I208,"SELF-VOTE",IF(COUNTIF($K:$K,K208)&gt;1,"DUPLICATE","OK")))</f>
        <v>OK</v>
      </c>
      <c r="K208" s="6" t="str">
        <f aca="false">A208&amp;"|"&amp;B208&amp;"|"&amp;C208&amp;"|"&amp;D208</f>
        <v>1|4|Kelsey|spotify:track:0mjAU3yKR1QnXnHtjGJqTM</v>
      </c>
    </row>
    <row r="209" customFormat="false" ht="15" hidden="false" customHeight="false" outlineLevel="0" collapsed="false">
      <c r="A209" s="5" t="n">
        <v>1</v>
      </c>
      <c r="B209" s="5" t="n">
        <v>4</v>
      </c>
      <c r="C209" s="5" t="s">
        <v>85</v>
      </c>
      <c r="D209" s="5" t="s">
        <v>212</v>
      </c>
      <c r="E209" s="5" t="n">
        <v>3</v>
      </c>
      <c r="F209" s="6" t="n">
        <f aca="false">IFERROR(MATCH(A209&amp;"|"&amp;B209&amp;"|"&amp;D209,'All Song Rankings'!$T:$T,0),0)</f>
        <v>37</v>
      </c>
      <c r="G209" s="6" t="str">
        <f aca="false">IF(F209=0,"NOT FOUND",INDEX('All Song Rankings'!$A:$A,F209))</f>
        <v>Winter Things</v>
      </c>
      <c r="H209" s="6" t="str">
        <f aca="false">IF(F209=0,"NOT FOUND",INDEX('All Song Rankings'!$B:$B,F209))</f>
        <v>Ariana Grande</v>
      </c>
      <c r="I209" s="6" t="str">
        <f aca="false">IF(F209=0,"NOT FOUND",INDEX('All Song Rankings'!$D:$D,F209))</f>
        <v>Logan</v>
      </c>
      <c r="J209" s="7" t="str">
        <f aca="false">IF(F209=0,"NOT FOUND",IF(C209=I209,"SELF-VOTE",IF(COUNTIF($K:$K,K209)&gt;1,"DUPLICATE","OK")))</f>
        <v>OK</v>
      </c>
      <c r="K209" s="6" t="str">
        <f aca="false">A209&amp;"|"&amp;B209&amp;"|"&amp;C209&amp;"|"&amp;D209</f>
        <v>1|4|Kelsey|spotify:track:1jhljxXlHw8K9rezXKrnow</v>
      </c>
    </row>
    <row r="210" customFormat="false" ht="15" hidden="false" customHeight="false" outlineLevel="0" collapsed="false">
      <c r="A210" s="5" t="n">
        <v>1</v>
      </c>
      <c r="B210" s="5" t="n">
        <v>4</v>
      </c>
      <c r="C210" s="5" t="s">
        <v>85</v>
      </c>
      <c r="D210" s="5" t="s">
        <v>209</v>
      </c>
      <c r="E210" s="5" t="n">
        <v>2</v>
      </c>
      <c r="F210" s="6" t="n">
        <f aca="false">IFERROR(MATCH(A210&amp;"|"&amp;B210&amp;"|"&amp;D210,'All Song Rankings'!$T:$T,0),0)</f>
        <v>36</v>
      </c>
      <c r="G210" s="6" t="str">
        <f aca="false">IF(F210=0,"NOT FOUND",INDEX('All Song Rankings'!$A:$A,F210))</f>
        <v>Fireproof</v>
      </c>
      <c r="H210" s="6" t="str">
        <f aca="false">IF(F210=0,"NOT FOUND",INDEX('All Song Rankings'!$B:$B,F210))</f>
        <v>One Direction</v>
      </c>
      <c r="I210" s="6" t="str">
        <f aca="false">IF(F210=0,"NOT FOUND",INDEX('All Song Rankings'!$D:$D,F210))</f>
        <v>Stephanie</v>
      </c>
      <c r="J210" s="7" t="str">
        <f aca="false">IF(F210=0,"NOT FOUND",IF(C210=I210,"SELF-VOTE",IF(COUNTIF($K:$K,K210)&gt;1,"DUPLICATE","OK")))</f>
        <v>OK</v>
      </c>
      <c r="K210" s="6" t="str">
        <f aca="false">A210&amp;"|"&amp;B210&amp;"|"&amp;C210&amp;"|"&amp;D210</f>
        <v>1|4|Kelsey|spotify:track:34aYkYrY3sXhEU9O4VQgtB</v>
      </c>
    </row>
    <row r="211" customFormat="false" ht="15" hidden="false" customHeight="false" outlineLevel="0" collapsed="false">
      <c r="A211" s="5" t="n">
        <v>1</v>
      </c>
      <c r="B211" s="5" t="n">
        <v>4</v>
      </c>
      <c r="C211" s="5" t="s">
        <v>85</v>
      </c>
      <c r="D211" s="5" t="s">
        <v>206</v>
      </c>
      <c r="E211" s="5" t="n">
        <v>2</v>
      </c>
      <c r="F211" s="6" t="n">
        <f aca="false">IFERROR(MATCH(A211&amp;"|"&amp;B211&amp;"|"&amp;D211,'All Song Rankings'!$T:$T,0),0)</f>
        <v>35</v>
      </c>
      <c r="G211" s="6" t="str">
        <f aca="false">IF(F211=0,"NOT FOUND",INDEX('All Song Rankings'!$A:$A,F211))</f>
        <v>Eyes Wide Open</v>
      </c>
      <c r="H211" s="6" t="str">
        <f aca="false">IF(F211=0,"NOT FOUND",INDEX('All Song Rankings'!$B:$B,F211))</f>
        <v>Sabrina Carpenter</v>
      </c>
      <c r="I211" s="6" t="str">
        <f aca="false">IF(F211=0,"NOT FOUND",INDEX('All Song Rankings'!$D:$D,F211))</f>
        <v>Nicole</v>
      </c>
      <c r="J211" s="7" t="str">
        <f aca="false">IF(F211=0,"NOT FOUND",IF(C211=I211,"SELF-VOTE",IF(COUNTIF($K:$K,K211)&gt;1,"DUPLICATE","OK")))</f>
        <v>OK</v>
      </c>
      <c r="K211" s="6" t="str">
        <f aca="false">A211&amp;"|"&amp;B211&amp;"|"&amp;C211&amp;"|"&amp;D211</f>
        <v>1|4|Kelsey|spotify:track:4pbrp5dxpqjfaf4GiS6YuO</v>
      </c>
    </row>
    <row r="212" customFormat="false" ht="15" hidden="false" customHeight="false" outlineLevel="0" collapsed="false">
      <c r="A212" s="5" t="n">
        <v>1</v>
      </c>
      <c r="B212" s="5" t="n">
        <v>4</v>
      </c>
      <c r="C212" s="5" t="s">
        <v>85</v>
      </c>
      <c r="D212" s="5" t="s">
        <v>227</v>
      </c>
      <c r="E212" s="5" t="n">
        <v>1</v>
      </c>
      <c r="F212" s="6" t="n">
        <f aca="false">IFERROR(MATCH(A212&amp;"|"&amp;B212&amp;"|"&amp;D212,'All Song Rankings'!$T:$T,0),0)</f>
        <v>42</v>
      </c>
      <c r="G212" s="6" t="str">
        <f aca="false">IF(F212=0,"NOT FOUND",INDEX('All Song Rankings'!$A:$A,F212))</f>
        <v>Runaway</v>
      </c>
      <c r="H212" s="6" t="str">
        <f aca="false">IF(F212=0,"NOT FOUND",INDEX('All Song Rankings'!$B:$B,F212))</f>
        <v>P!nk</v>
      </c>
      <c r="I212" s="6" t="str">
        <f aca="false">IF(F212=0,"NOT FOUND",INDEX('All Song Rankings'!$D:$D,F212))</f>
        <v>Leah</v>
      </c>
      <c r="J212" s="7" t="str">
        <f aca="false">IF(F212=0,"NOT FOUND",IF(C212=I212,"SELF-VOTE",IF(COUNTIF($K:$K,K212)&gt;1,"DUPLICATE","OK")))</f>
        <v>OK</v>
      </c>
      <c r="K212" s="6" t="str">
        <f aca="false">A212&amp;"|"&amp;B212&amp;"|"&amp;C212&amp;"|"&amp;D212</f>
        <v>1|4|Kelsey|spotify:track:5Jzs8DYFtxTMWFcDh4dK3j</v>
      </c>
    </row>
    <row r="213" customFormat="false" ht="15" hidden="false" customHeight="false" outlineLevel="0" collapsed="false">
      <c r="A213" s="5" t="n">
        <v>1</v>
      </c>
      <c r="B213" s="5" t="n">
        <v>4</v>
      </c>
      <c r="C213" s="5" t="s">
        <v>106</v>
      </c>
      <c r="D213" s="5" t="s">
        <v>221</v>
      </c>
      <c r="E213" s="5" t="n">
        <v>1</v>
      </c>
      <c r="F213" s="6" t="n">
        <f aca="false">IFERROR(MATCH(A213&amp;"|"&amp;B213&amp;"|"&amp;D213,'All Song Rankings'!$T:$T,0),0)</f>
        <v>40</v>
      </c>
      <c r="G213" s="6" t="str">
        <f aca="false">IF(F213=0,"NOT FOUND",INDEX('All Song Rankings'!$A:$A,F213))</f>
        <v>Bad Day</v>
      </c>
      <c r="H213" s="6" t="str">
        <f aca="false">IF(F213=0,"NOT FOUND",INDEX('All Song Rankings'!$B:$B,F213))</f>
        <v>Daniel Powter</v>
      </c>
      <c r="I213" s="6" t="str">
        <f aca="false">IF(F213=0,"NOT FOUND",INDEX('All Song Rankings'!$D:$D,F213))</f>
        <v>Collin</v>
      </c>
      <c r="J213" s="7" t="str">
        <f aca="false">IF(F213=0,"NOT FOUND",IF(C213=I213,"SELF-VOTE",IF(COUNTIF($K:$K,K213)&gt;1,"DUPLICATE","OK")))</f>
        <v>OK</v>
      </c>
      <c r="K213" s="6" t="str">
        <f aca="false">A213&amp;"|"&amp;B213&amp;"|"&amp;C213&amp;"|"&amp;D213</f>
        <v>1|4|Kristen|spotify:track:0mUyMawtxj1CJ76kn9gIZK</v>
      </c>
    </row>
    <row r="214" customFormat="false" ht="15" hidden="false" customHeight="false" outlineLevel="0" collapsed="false">
      <c r="A214" s="5" t="n">
        <v>1</v>
      </c>
      <c r="B214" s="5" t="n">
        <v>4</v>
      </c>
      <c r="C214" s="5" t="s">
        <v>106</v>
      </c>
      <c r="D214" s="5" t="s">
        <v>215</v>
      </c>
      <c r="E214" s="5" t="n">
        <v>1</v>
      </c>
      <c r="F214" s="6" t="n">
        <f aca="false">IFERROR(MATCH(A214&amp;"|"&amp;B214&amp;"|"&amp;D214,'All Song Rankings'!$T:$T,0),0)</f>
        <v>38</v>
      </c>
      <c r="G214" s="6" t="str">
        <f aca="false">IF(F214=0,"NOT FOUND",INDEX('All Song Rankings'!$A:$A,F214))</f>
        <v>Rescue Me</v>
      </c>
      <c r="H214" s="6" t="str">
        <f aca="false">IF(F214=0,"NOT FOUND",INDEX('All Song Rankings'!$B:$B,F214))</f>
        <v>OneRepublic</v>
      </c>
      <c r="I214" s="6" t="str">
        <f aca="false">IF(F214=0,"NOT FOUND",INDEX('All Song Rankings'!$D:$D,F214))</f>
        <v>Merita</v>
      </c>
      <c r="J214" s="7" t="str">
        <f aca="false">IF(F214=0,"NOT FOUND",IF(C214=I214,"SELF-VOTE",IF(COUNTIF($K:$K,K214)&gt;1,"DUPLICATE","OK")))</f>
        <v>OK</v>
      </c>
      <c r="K214" s="6" t="str">
        <f aca="false">A214&amp;"|"&amp;B214&amp;"|"&amp;C214&amp;"|"&amp;D214</f>
        <v>1|4|Kristen|spotify:track:0mjAU3yKR1QnXnHtjGJqTM</v>
      </c>
    </row>
    <row r="215" customFormat="false" ht="15" hidden="false" customHeight="false" outlineLevel="0" collapsed="false">
      <c r="A215" s="5" t="n">
        <v>1</v>
      </c>
      <c r="B215" s="5" t="n">
        <v>4</v>
      </c>
      <c r="C215" s="5" t="s">
        <v>106</v>
      </c>
      <c r="D215" s="5" t="s">
        <v>212</v>
      </c>
      <c r="E215" s="5" t="n">
        <v>1</v>
      </c>
      <c r="F215" s="6" t="n">
        <f aca="false">IFERROR(MATCH(A215&amp;"|"&amp;B215&amp;"|"&amp;D215,'All Song Rankings'!$T:$T,0),0)</f>
        <v>37</v>
      </c>
      <c r="G215" s="6" t="str">
        <f aca="false">IF(F215=0,"NOT FOUND",INDEX('All Song Rankings'!$A:$A,F215))</f>
        <v>Winter Things</v>
      </c>
      <c r="H215" s="6" t="str">
        <f aca="false">IF(F215=0,"NOT FOUND",INDEX('All Song Rankings'!$B:$B,F215))</f>
        <v>Ariana Grande</v>
      </c>
      <c r="I215" s="6" t="str">
        <f aca="false">IF(F215=0,"NOT FOUND",INDEX('All Song Rankings'!$D:$D,F215))</f>
        <v>Logan</v>
      </c>
      <c r="J215" s="7" t="str">
        <f aca="false">IF(F215=0,"NOT FOUND",IF(C215=I215,"SELF-VOTE",IF(COUNTIF($K:$K,K215)&gt;1,"DUPLICATE","OK")))</f>
        <v>OK</v>
      </c>
      <c r="K215" s="6" t="str">
        <f aca="false">A215&amp;"|"&amp;B215&amp;"|"&amp;C215&amp;"|"&amp;D215</f>
        <v>1|4|Kristen|spotify:track:1jhljxXlHw8K9rezXKrnow</v>
      </c>
    </row>
    <row r="216" customFormat="false" ht="15" hidden="false" customHeight="false" outlineLevel="0" collapsed="false">
      <c r="A216" s="5" t="n">
        <v>1</v>
      </c>
      <c r="B216" s="5" t="n">
        <v>4</v>
      </c>
      <c r="C216" s="5" t="s">
        <v>106</v>
      </c>
      <c r="D216" s="5" t="s">
        <v>209</v>
      </c>
      <c r="E216" s="5" t="n">
        <v>3</v>
      </c>
      <c r="F216" s="6" t="n">
        <f aca="false">IFERROR(MATCH(A216&amp;"|"&amp;B216&amp;"|"&amp;D216,'All Song Rankings'!$T:$T,0),0)</f>
        <v>36</v>
      </c>
      <c r="G216" s="6" t="str">
        <f aca="false">IF(F216=0,"NOT FOUND",INDEX('All Song Rankings'!$A:$A,F216))</f>
        <v>Fireproof</v>
      </c>
      <c r="H216" s="6" t="str">
        <f aca="false">IF(F216=0,"NOT FOUND",INDEX('All Song Rankings'!$B:$B,F216))</f>
        <v>One Direction</v>
      </c>
      <c r="I216" s="6" t="str">
        <f aca="false">IF(F216=0,"NOT FOUND",INDEX('All Song Rankings'!$D:$D,F216))</f>
        <v>Stephanie</v>
      </c>
      <c r="J216" s="7" t="str">
        <f aca="false">IF(F216=0,"NOT FOUND",IF(C216=I216,"SELF-VOTE",IF(COUNTIF($K:$K,K216)&gt;1,"DUPLICATE","OK")))</f>
        <v>OK</v>
      </c>
      <c r="K216" s="6" t="str">
        <f aca="false">A216&amp;"|"&amp;B216&amp;"|"&amp;C216&amp;"|"&amp;D216</f>
        <v>1|4|Kristen|spotify:track:34aYkYrY3sXhEU9O4VQgtB</v>
      </c>
    </row>
    <row r="217" customFormat="false" ht="15" hidden="false" customHeight="false" outlineLevel="0" collapsed="false">
      <c r="A217" s="5" t="n">
        <v>1</v>
      </c>
      <c r="B217" s="5" t="n">
        <v>4</v>
      </c>
      <c r="C217" s="5" t="s">
        <v>106</v>
      </c>
      <c r="D217" s="5" t="s">
        <v>206</v>
      </c>
      <c r="E217" s="5" t="n">
        <v>2</v>
      </c>
      <c r="F217" s="6" t="n">
        <f aca="false">IFERROR(MATCH(A217&amp;"|"&amp;B217&amp;"|"&amp;D217,'All Song Rankings'!$T:$T,0),0)</f>
        <v>35</v>
      </c>
      <c r="G217" s="6" t="str">
        <f aca="false">IF(F217=0,"NOT FOUND",INDEX('All Song Rankings'!$A:$A,F217))</f>
        <v>Eyes Wide Open</v>
      </c>
      <c r="H217" s="6" t="str">
        <f aca="false">IF(F217=0,"NOT FOUND",INDEX('All Song Rankings'!$B:$B,F217))</f>
        <v>Sabrina Carpenter</v>
      </c>
      <c r="I217" s="6" t="str">
        <f aca="false">IF(F217=0,"NOT FOUND",INDEX('All Song Rankings'!$D:$D,F217))</f>
        <v>Nicole</v>
      </c>
      <c r="J217" s="7" t="str">
        <f aca="false">IF(F217=0,"NOT FOUND",IF(C217=I217,"SELF-VOTE",IF(COUNTIF($K:$K,K217)&gt;1,"DUPLICATE","OK")))</f>
        <v>OK</v>
      </c>
      <c r="K217" s="6" t="str">
        <f aca="false">A217&amp;"|"&amp;B217&amp;"|"&amp;C217&amp;"|"&amp;D217</f>
        <v>1|4|Kristen|spotify:track:4pbrp5dxpqjfaf4GiS6YuO</v>
      </c>
    </row>
    <row r="218" customFormat="false" ht="15" hidden="false" customHeight="false" outlineLevel="0" collapsed="false">
      <c r="A218" s="5" t="n">
        <v>1</v>
      </c>
      <c r="B218" s="5" t="n">
        <v>4</v>
      </c>
      <c r="C218" s="5" t="s">
        <v>106</v>
      </c>
      <c r="D218" s="5" t="s">
        <v>203</v>
      </c>
      <c r="E218" s="5" t="n">
        <v>2</v>
      </c>
      <c r="F218" s="6" t="n">
        <f aca="false">IFERROR(MATCH(A218&amp;"|"&amp;B218&amp;"|"&amp;D218,'All Song Rankings'!$T:$T,0),0)</f>
        <v>34</v>
      </c>
      <c r="G218" s="6" t="str">
        <f aca="false">IF(F218=0,"NOT FOUND",INDEX('All Song Rankings'!$A:$A,F218))</f>
        <v>Bibia Be Ye Ye</v>
      </c>
      <c r="H218" s="6" t="str">
        <f aca="false">IF(F218=0,"NOT FOUND",INDEX('All Song Rankings'!$B:$B,F218))</f>
        <v>Ed Sheeran</v>
      </c>
      <c r="I218" s="6" t="str">
        <f aca="false">IF(F218=0,"NOT FOUND",INDEX('All Song Rankings'!$D:$D,F218))</f>
        <v>Kelsey</v>
      </c>
      <c r="J218" s="7" t="str">
        <f aca="false">IF(F218=0,"NOT FOUND",IF(C218=I218,"SELF-VOTE",IF(COUNTIF($K:$K,K218)&gt;1,"DUPLICATE","OK")))</f>
        <v>OK</v>
      </c>
      <c r="K218" s="6" t="str">
        <f aca="false">A218&amp;"|"&amp;B218&amp;"|"&amp;C218&amp;"|"&amp;D218</f>
        <v>1|4|Kristen|spotify:track:6SznMYPQJHzr3IwsAHLId2</v>
      </c>
    </row>
    <row r="219" customFormat="false" ht="15" hidden="false" customHeight="false" outlineLevel="0" collapsed="false">
      <c r="A219" s="5" t="n">
        <v>1</v>
      </c>
      <c r="B219" s="5" t="n">
        <v>4</v>
      </c>
      <c r="C219" s="5" t="s">
        <v>119</v>
      </c>
      <c r="D219" s="5" t="s">
        <v>224</v>
      </c>
      <c r="E219" s="5" t="n">
        <v>1</v>
      </c>
      <c r="F219" s="6" t="n">
        <f aca="false">IFERROR(MATCH(A219&amp;"|"&amp;B219&amp;"|"&amp;D219,'All Song Rankings'!$T:$T,0),0)</f>
        <v>41</v>
      </c>
      <c r="G219" s="6" t="str">
        <f aca="false">IF(F219=0,"NOT FOUND",INDEX('All Song Rankings'!$A:$A,F219))</f>
        <v>Til Kingdom Come</v>
      </c>
      <c r="H219" s="6" t="str">
        <f aca="false">IF(F219=0,"NOT FOUND",INDEX('All Song Rankings'!$B:$B,F219))</f>
        <v>Coldplay</v>
      </c>
      <c r="I219" s="6" t="str">
        <f aca="false">IF(F219=0,"NOT FOUND",INDEX('All Song Rankings'!$D:$D,F219))</f>
        <v>Kristen</v>
      </c>
      <c r="J219" s="7" t="str">
        <f aca="false">IF(F219=0,"NOT FOUND",IF(C219=I219,"SELF-VOTE",IF(COUNTIF($K:$K,K219)&gt;1,"DUPLICATE","OK")))</f>
        <v>OK</v>
      </c>
      <c r="K219" s="6" t="str">
        <f aca="false">A219&amp;"|"&amp;B219&amp;"|"&amp;C219&amp;"|"&amp;D219</f>
        <v>1|4|Leah|spotify:track:1wQXj5bgxyZQ2XmE2X9s6n</v>
      </c>
    </row>
    <row r="220" customFormat="false" ht="15" hidden="false" customHeight="false" outlineLevel="0" collapsed="false">
      <c r="A220" s="5" t="n">
        <v>1</v>
      </c>
      <c r="B220" s="5" t="n">
        <v>4</v>
      </c>
      <c r="C220" s="5" t="s">
        <v>119</v>
      </c>
      <c r="D220" s="5" t="s">
        <v>209</v>
      </c>
      <c r="E220" s="5" t="n">
        <v>1</v>
      </c>
      <c r="F220" s="6" t="n">
        <f aca="false">IFERROR(MATCH(A220&amp;"|"&amp;B220&amp;"|"&amp;D220,'All Song Rankings'!$T:$T,0),0)</f>
        <v>36</v>
      </c>
      <c r="G220" s="6" t="str">
        <f aca="false">IF(F220=0,"NOT FOUND",INDEX('All Song Rankings'!$A:$A,F220))</f>
        <v>Fireproof</v>
      </c>
      <c r="H220" s="6" t="str">
        <f aca="false">IF(F220=0,"NOT FOUND",INDEX('All Song Rankings'!$B:$B,F220))</f>
        <v>One Direction</v>
      </c>
      <c r="I220" s="6" t="str">
        <f aca="false">IF(F220=0,"NOT FOUND",INDEX('All Song Rankings'!$D:$D,F220))</f>
        <v>Stephanie</v>
      </c>
      <c r="J220" s="7" t="str">
        <f aca="false">IF(F220=0,"NOT FOUND",IF(C220=I220,"SELF-VOTE",IF(COUNTIF($K:$K,K220)&gt;1,"DUPLICATE","OK")))</f>
        <v>OK</v>
      </c>
      <c r="K220" s="6" t="str">
        <f aca="false">A220&amp;"|"&amp;B220&amp;"|"&amp;C220&amp;"|"&amp;D220</f>
        <v>1|4|Leah|spotify:track:34aYkYrY3sXhEU9O4VQgtB</v>
      </c>
    </row>
    <row r="221" customFormat="false" ht="15" hidden="false" customHeight="false" outlineLevel="0" collapsed="false">
      <c r="A221" s="5" t="n">
        <v>1</v>
      </c>
      <c r="B221" s="5" t="n">
        <v>4</v>
      </c>
      <c r="C221" s="5" t="s">
        <v>119</v>
      </c>
      <c r="D221" s="5" t="s">
        <v>206</v>
      </c>
      <c r="E221" s="5" t="n">
        <v>3</v>
      </c>
      <c r="F221" s="6" t="n">
        <f aca="false">IFERROR(MATCH(A221&amp;"|"&amp;B221&amp;"|"&amp;D221,'All Song Rankings'!$T:$T,0),0)</f>
        <v>35</v>
      </c>
      <c r="G221" s="6" t="str">
        <f aca="false">IF(F221=0,"NOT FOUND",INDEX('All Song Rankings'!$A:$A,F221))</f>
        <v>Eyes Wide Open</v>
      </c>
      <c r="H221" s="6" t="str">
        <f aca="false">IF(F221=0,"NOT FOUND",INDEX('All Song Rankings'!$B:$B,F221))</f>
        <v>Sabrina Carpenter</v>
      </c>
      <c r="I221" s="6" t="str">
        <f aca="false">IF(F221=0,"NOT FOUND",INDEX('All Song Rankings'!$D:$D,F221))</f>
        <v>Nicole</v>
      </c>
      <c r="J221" s="7" t="str">
        <f aca="false">IF(F221=0,"NOT FOUND",IF(C221=I221,"SELF-VOTE",IF(COUNTIF($K:$K,K221)&gt;1,"DUPLICATE","OK")))</f>
        <v>OK</v>
      </c>
      <c r="K221" s="6" t="str">
        <f aca="false">A221&amp;"|"&amp;B221&amp;"|"&amp;C221&amp;"|"&amp;D221</f>
        <v>1|4|Leah|spotify:track:4pbrp5dxpqjfaf4GiS6YuO</v>
      </c>
    </row>
    <row r="222" customFormat="false" ht="15" hidden="false" customHeight="false" outlineLevel="0" collapsed="false">
      <c r="A222" s="5" t="n">
        <v>1</v>
      </c>
      <c r="B222" s="5" t="n">
        <v>4</v>
      </c>
      <c r="C222" s="5" t="s">
        <v>119</v>
      </c>
      <c r="D222" s="5" t="s">
        <v>218</v>
      </c>
      <c r="E222" s="5" t="n">
        <v>3</v>
      </c>
      <c r="F222" s="6" t="n">
        <f aca="false">IFERROR(MATCH(A222&amp;"|"&amp;B222&amp;"|"&amp;D222,'All Song Rankings'!$T:$T,0),0)</f>
        <v>39</v>
      </c>
      <c r="G222" s="6" t="str">
        <f aca="false">IF(F222=0,"NOT FOUND",INDEX('All Song Rankings'!$A:$A,F222))</f>
        <v>She's a Rainbow</v>
      </c>
      <c r="H222" s="6" t="str">
        <f aca="false">IF(F222=0,"NOT FOUND",INDEX('All Song Rankings'!$B:$B,F222))</f>
        <v>The Rolling Stones</v>
      </c>
      <c r="I222" s="6" t="str">
        <f aca="false">IF(F222=0,"NOT FOUND",INDEX('All Song Rankings'!$D:$D,F222))</f>
        <v>Matt</v>
      </c>
      <c r="J222" s="7" t="str">
        <f aca="false">IF(F222=0,"NOT FOUND",IF(C222=I222,"SELF-VOTE",IF(COUNTIF($K:$K,K222)&gt;1,"DUPLICATE","OK")))</f>
        <v>OK</v>
      </c>
      <c r="K222" s="6" t="str">
        <f aca="false">A222&amp;"|"&amp;B222&amp;"|"&amp;C222&amp;"|"&amp;D222</f>
        <v>1|4|Leah|spotify:track:6KOtheMY0KN4s9TrQHr9It</v>
      </c>
    </row>
    <row r="223" customFormat="false" ht="15" hidden="false" customHeight="false" outlineLevel="0" collapsed="false">
      <c r="A223" s="5" t="n">
        <v>1</v>
      </c>
      <c r="B223" s="5" t="n">
        <v>4</v>
      </c>
      <c r="C223" s="5" t="s">
        <v>119</v>
      </c>
      <c r="D223" s="5" t="s">
        <v>203</v>
      </c>
      <c r="E223" s="5" t="n">
        <v>2</v>
      </c>
      <c r="F223" s="6" t="n">
        <f aca="false">IFERROR(MATCH(A223&amp;"|"&amp;B223&amp;"|"&amp;D223,'All Song Rankings'!$T:$T,0),0)</f>
        <v>34</v>
      </c>
      <c r="G223" s="6" t="str">
        <f aca="false">IF(F223=0,"NOT FOUND",INDEX('All Song Rankings'!$A:$A,F223))</f>
        <v>Bibia Be Ye Ye</v>
      </c>
      <c r="H223" s="6" t="str">
        <f aca="false">IF(F223=0,"NOT FOUND",INDEX('All Song Rankings'!$B:$B,F223))</f>
        <v>Ed Sheeran</v>
      </c>
      <c r="I223" s="6" t="str">
        <f aca="false">IF(F223=0,"NOT FOUND",INDEX('All Song Rankings'!$D:$D,F223))</f>
        <v>Kelsey</v>
      </c>
      <c r="J223" s="7" t="str">
        <f aca="false">IF(F223=0,"NOT FOUND",IF(C223=I223,"SELF-VOTE",IF(COUNTIF($K:$K,K223)&gt;1,"DUPLICATE","OK")))</f>
        <v>OK</v>
      </c>
      <c r="K223" s="6" t="str">
        <f aca="false">A223&amp;"|"&amp;B223&amp;"|"&amp;C223&amp;"|"&amp;D223</f>
        <v>1|4|Leah|spotify:track:6SznMYPQJHzr3IwsAHLId2</v>
      </c>
    </row>
    <row r="224" customFormat="false" ht="15" hidden="false" customHeight="false" outlineLevel="0" collapsed="false">
      <c r="A224" s="5" t="n">
        <v>1</v>
      </c>
      <c r="B224" s="5" t="n">
        <v>4</v>
      </c>
      <c r="C224" s="5" t="s">
        <v>128</v>
      </c>
      <c r="D224" s="5" t="s">
        <v>221</v>
      </c>
      <c r="E224" s="5" t="n">
        <v>1</v>
      </c>
      <c r="F224" s="6" t="n">
        <f aca="false">IFERROR(MATCH(A224&amp;"|"&amp;B224&amp;"|"&amp;D224,'All Song Rankings'!$T:$T,0),0)</f>
        <v>40</v>
      </c>
      <c r="G224" s="6" t="str">
        <f aca="false">IF(F224=0,"NOT FOUND",INDEX('All Song Rankings'!$A:$A,F224))</f>
        <v>Bad Day</v>
      </c>
      <c r="H224" s="6" t="str">
        <f aca="false">IF(F224=0,"NOT FOUND",INDEX('All Song Rankings'!$B:$B,F224))</f>
        <v>Daniel Powter</v>
      </c>
      <c r="I224" s="6" t="str">
        <f aca="false">IF(F224=0,"NOT FOUND",INDEX('All Song Rankings'!$D:$D,F224))</f>
        <v>Collin</v>
      </c>
      <c r="J224" s="7" t="str">
        <f aca="false">IF(F224=0,"NOT FOUND",IF(C224=I224,"SELF-VOTE",IF(COUNTIF($K:$K,K224)&gt;1,"DUPLICATE","OK")))</f>
        <v>OK</v>
      </c>
      <c r="K224" s="6" t="str">
        <f aca="false">A224&amp;"|"&amp;B224&amp;"|"&amp;C224&amp;"|"&amp;D224</f>
        <v>1|4|Logan|spotify:track:0mUyMawtxj1CJ76kn9gIZK</v>
      </c>
    </row>
    <row r="225" customFormat="false" ht="15" hidden="false" customHeight="false" outlineLevel="0" collapsed="false">
      <c r="A225" s="5" t="n">
        <v>1</v>
      </c>
      <c r="B225" s="5" t="n">
        <v>4</v>
      </c>
      <c r="C225" s="5" t="s">
        <v>128</v>
      </c>
      <c r="D225" s="5" t="s">
        <v>224</v>
      </c>
      <c r="E225" s="5" t="n">
        <v>2</v>
      </c>
      <c r="F225" s="6" t="n">
        <f aca="false">IFERROR(MATCH(A225&amp;"|"&amp;B225&amp;"|"&amp;D225,'All Song Rankings'!$T:$T,0),0)</f>
        <v>41</v>
      </c>
      <c r="G225" s="6" t="str">
        <f aca="false">IF(F225=0,"NOT FOUND",INDEX('All Song Rankings'!$A:$A,F225))</f>
        <v>Til Kingdom Come</v>
      </c>
      <c r="H225" s="6" t="str">
        <f aca="false">IF(F225=0,"NOT FOUND",INDEX('All Song Rankings'!$B:$B,F225))</f>
        <v>Coldplay</v>
      </c>
      <c r="I225" s="6" t="str">
        <f aca="false">IF(F225=0,"NOT FOUND",INDEX('All Song Rankings'!$D:$D,F225))</f>
        <v>Kristen</v>
      </c>
      <c r="J225" s="7" t="str">
        <f aca="false">IF(F225=0,"NOT FOUND",IF(C225=I225,"SELF-VOTE",IF(COUNTIF($K:$K,K225)&gt;1,"DUPLICATE","OK")))</f>
        <v>OK</v>
      </c>
      <c r="K225" s="6" t="str">
        <f aca="false">A225&amp;"|"&amp;B225&amp;"|"&amp;C225&amp;"|"&amp;D225</f>
        <v>1|4|Logan|spotify:track:1wQXj5bgxyZQ2XmE2X9s6n</v>
      </c>
    </row>
    <row r="226" customFormat="false" ht="15" hidden="false" customHeight="false" outlineLevel="0" collapsed="false">
      <c r="A226" s="5" t="n">
        <v>1</v>
      </c>
      <c r="B226" s="5" t="n">
        <v>4</v>
      </c>
      <c r="C226" s="5" t="s">
        <v>128</v>
      </c>
      <c r="D226" s="5" t="s">
        <v>209</v>
      </c>
      <c r="E226" s="5" t="n">
        <v>3</v>
      </c>
      <c r="F226" s="6" t="n">
        <f aca="false">IFERROR(MATCH(A226&amp;"|"&amp;B226&amp;"|"&amp;D226,'All Song Rankings'!$T:$T,0),0)</f>
        <v>36</v>
      </c>
      <c r="G226" s="6" t="str">
        <f aca="false">IF(F226=0,"NOT FOUND",INDEX('All Song Rankings'!$A:$A,F226))</f>
        <v>Fireproof</v>
      </c>
      <c r="H226" s="6" t="str">
        <f aca="false">IF(F226=0,"NOT FOUND",INDEX('All Song Rankings'!$B:$B,F226))</f>
        <v>One Direction</v>
      </c>
      <c r="I226" s="6" t="str">
        <f aca="false">IF(F226=0,"NOT FOUND",INDEX('All Song Rankings'!$D:$D,F226))</f>
        <v>Stephanie</v>
      </c>
      <c r="J226" s="7" t="str">
        <f aca="false">IF(F226=0,"NOT FOUND",IF(C226=I226,"SELF-VOTE",IF(COUNTIF($K:$K,K226)&gt;1,"DUPLICATE","OK")))</f>
        <v>OK</v>
      </c>
      <c r="K226" s="6" t="str">
        <f aca="false">A226&amp;"|"&amp;B226&amp;"|"&amp;C226&amp;"|"&amp;D226</f>
        <v>1|4|Logan|spotify:track:34aYkYrY3sXhEU9O4VQgtB</v>
      </c>
    </row>
    <row r="227" customFormat="false" ht="15" hidden="false" customHeight="false" outlineLevel="0" collapsed="false">
      <c r="A227" s="5" t="n">
        <v>1</v>
      </c>
      <c r="B227" s="5" t="n">
        <v>4</v>
      </c>
      <c r="C227" s="5" t="s">
        <v>128</v>
      </c>
      <c r="D227" s="5" t="s">
        <v>206</v>
      </c>
      <c r="E227" s="5" t="n">
        <v>1</v>
      </c>
      <c r="F227" s="6" t="n">
        <f aca="false">IFERROR(MATCH(A227&amp;"|"&amp;B227&amp;"|"&amp;D227,'All Song Rankings'!$T:$T,0),0)</f>
        <v>35</v>
      </c>
      <c r="G227" s="6" t="str">
        <f aca="false">IF(F227=0,"NOT FOUND",INDEX('All Song Rankings'!$A:$A,F227))</f>
        <v>Eyes Wide Open</v>
      </c>
      <c r="H227" s="6" t="str">
        <f aca="false">IF(F227=0,"NOT FOUND",INDEX('All Song Rankings'!$B:$B,F227))</f>
        <v>Sabrina Carpenter</v>
      </c>
      <c r="I227" s="6" t="str">
        <f aca="false">IF(F227=0,"NOT FOUND",INDEX('All Song Rankings'!$D:$D,F227))</f>
        <v>Nicole</v>
      </c>
      <c r="J227" s="7" t="str">
        <f aca="false">IF(F227=0,"NOT FOUND",IF(C227=I227,"SELF-VOTE",IF(COUNTIF($K:$K,K227)&gt;1,"DUPLICATE","OK")))</f>
        <v>OK</v>
      </c>
      <c r="K227" s="6" t="str">
        <f aca="false">A227&amp;"|"&amp;B227&amp;"|"&amp;C227&amp;"|"&amp;D227</f>
        <v>1|4|Logan|spotify:track:4pbrp5dxpqjfaf4GiS6YuO</v>
      </c>
    </row>
    <row r="228" customFormat="false" ht="15" hidden="false" customHeight="false" outlineLevel="0" collapsed="false">
      <c r="A228" s="5" t="n">
        <v>1</v>
      </c>
      <c r="B228" s="5" t="n">
        <v>4</v>
      </c>
      <c r="C228" s="5" t="s">
        <v>128</v>
      </c>
      <c r="D228" s="5" t="s">
        <v>218</v>
      </c>
      <c r="E228" s="5" t="n">
        <v>1</v>
      </c>
      <c r="F228" s="6" t="n">
        <f aca="false">IFERROR(MATCH(A228&amp;"|"&amp;B228&amp;"|"&amp;D228,'All Song Rankings'!$T:$T,0),0)</f>
        <v>39</v>
      </c>
      <c r="G228" s="6" t="str">
        <f aca="false">IF(F228=0,"NOT FOUND",INDEX('All Song Rankings'!$A:$A,F228))</f>
        <v>She's a Rainbow</v>
      </c>
      <c r="H228" s="6" t="str">
        <f aca="false">IF(F228=0,"NOT FOUND",INDEX('All Song Rankings'!$B:$B,F228))</f>
        <v>The Rolling Stones</v>
      </c>
      <c r="I228" s="6" t="str">
        <f aca="false">IF(F228=0,"NOT FOUND",INDEX('All Song Rankings'!$D:$D,F228))</f>
        <v>Matt</v>
      </c>
      <c r="J228" s="7" t="str">
        <f aca="false">IF(F228=0,"NOT FOUND",IF(C228=I228,"SELF-VOTE",IF(COUNTIF($K:$K,K228)&gt;1,"DUPLICATE","OK")))</f>
        <v>OK</v>
      </c>
      <c r="K228" s="6" t="str">
        <f aca="false">A228&amp;"|"&amp;B228&amp;"|"&amp;C228&amp;"|"&amp;D228</f>
        <v>1|4|Logan|spotify:track:6KOtheMY0KN4s9TrQHr9It</v>
      </c>
    </row>
    <row r="229" customFormat="false" ht="15" hidden="false" customHeight="false" outlineLevel="0" collapsed="false">
      <c r="A229" s="5" t="n">
        <v>1</v>
      </c>
      <c r="B229" s="5" t="n">
        <v>4</v>
      </c>
      <c r="C229" s="5" t="s">
        <v>128</v>
      </c>
      <c r="D229" s="5" t="s">
        <v>203</v>
      </c>
      <c r="E229" s="5" t="n">
        <v>2</v>
      </c>
      <c r="F229" s="6" t="n">
        <f aca="false">IFERROR(MATCH(A229&amp;"|"&amp;B229&amp;"|"&amp;D229,'All Song Rankings'!$T:$T,0),0)</f>
        <v>34</v>
      </c>
      <c r="G229" s="6" t="str">
        <f aca="false">IF(F229=0,"NOT FOUND",INDEX('All Song Rankings'!$A:$A,F229))</f>
        <v>Bibia Be Ye Ye</v>
      </c>
      <c r="H229" s="6" t="str">
        <f aca="false">IF(F229=0,"NOT FOUND",INDEX('All Song Rankings'!$B:$B,F229))</f>
        <v>Ed Sheeran</v>
      </c>
      <c r="I229" s="6" t="str">
        <f aca="false">IF(F229=0,"NOT FOUND",INDEX('All Song Rankings'!$D:$D,F229))</f>
        <v>Kelsey</v>
      </c>
      <c r="J229" s="7" t="str">
        <f aca="false">IF(F229=0,"NOT FOUND",IF(C229=I229,"SELF-VOTE",IF(COUNTIF($K:$K,K229)&gt;1,"DUPLICATE","OK")))</f>
        <v>OK</v>
      </c>
      <c r="K229" s="6" t="str">
        <f aca="false">A229&amp;"|"&amp;B229&amp;"|"&amp;C229&amp;"|"&amp;D229</f>
        <v>1|4|Logan|spotify:track:6SznMYPQJHzr3IwsAHLId2</v>
      </c>
    </row>
    <row r="230" customFormat="false" ht="15" hidden="false" customHeight="false" outlineLevel="0" collapsed="false">
      <c r="A230" s="5" t="n">
        <v>1</v>
      </c>
      <c r="B230" s="5" t="n">
        <v>4</v>
      </c>
      <c r="C230" s="5" t="s">
        <v>116</v>
      </c>
      <c r="D230" s="5" t="s">
        <v>215</v>
      </c>
      <c r="E230" s="5" t="n">
        <v>2</v>
      </c>
      <c r="F230" s="6" t="n">
        <f aca="false">IFERROR(MATCH(A230&amp;"|"&amp;B230&amp;"|"&amp;D230,'All Song Rankings'!$T:$T,0),0)</f>
        <v>38</v>
      </c>
      <c r="G230" s="6" t="str">
        <f aca="false">IF(F230=0,"NOT FOUND",INDEX('All Song Rankings'!$A:$A,F230))</f>
        <v>Rescue Me</v>
      </c>
      <c r="H230" s="6" t="str">
        <f aca="false">IF(F230=0,"NOT FOUND",INDEX('All Song Rankings'!$B:$B,F230))</f>
        <v>OneRepublic</v>
      </c>
      <c r="I230" s="6" t="str">
        <f aca="false">IF(F230=0,"NOT FOUND",INDEX('All Song Rankings'!$D:$D,F230))</f>
        <v>Merita</v>
      </c>
      <c r="J230" s="7" t="str">
        <f aca="false">IF(F230=0,"NOT FOUND",IF(C230=I230,"SELF-VOTE",IF(COUNTIF($K:$K,K230)&gt;1,"DUPLICATE","OK")))</f>
        <v>OK</v>
      </c>
      <c r="K230" s="6" t="str">
        <f aca="false">A230&amp;"|"&amp;B230&amp;"|"&amp;C230&amp;"|"&amp;D230</f>
        <v>1|4|Matt|spotify:track:0mjAU3yKR1QnXnHtjGJqTM</v>
      </c>
    </row>
    <row r="231" customFormat="false" ht="15" hidden="false" customHeight="false" outlineLevel="0" collapsed="false">
      <c r="A231" s="5" t="n">
        <v>1</v>
      </c>
      <c r="B231" s="5" t="n">
        <v>4</v>
      </c>
      <c r="C231" s="5" t="s">
        <v>116</v>
      </c>
      <c r="D231" s="5" t="s">
        <v>212</v>
      </c>
      <c r="E231" s="5" t="n">
        <v>2</v>
      </c>
      <c r="F231" s="6" t="n">
        <f aca="false">IFERROR(MATCH(A231&amp;"|"&amp;B231&amp;"|"&amp;D231,'All Song Rankings'!$T:$T,0),0)</f>
        <v>37</v>
      </c>
      <c r="G231" s="6" t="str">
        <f aca="false">IF(F231=0,"NOT FOUND",INDEX('All Song Rankings'!$A:$A,F231))</f>
        <v>Winter Things</v>
      </c>
      <c r="H231" s="6" t="str">
        <f aca="false">IF(F231=0,"NOT FOUND",INDEX('All Song Rankings'!$B:$B,F231))</f>
        <v>Ariana Grande</v>
      </c>
      <c r="I231" s="6" t="str">
        <f aca="false">IF(F231=0,"NOT FOUND",INDEX('All Song Rankings'!$D:$D,F231))</f>
        <v>Logan</v>
      </c>
      <c r="J231" s="7" t="str">
        <f aca="false">IF(F231=0,"NOT FOUND",IF(C231=I231,"SELF-VOTE",IF(COUNTIF($K:$K,K231)&gt;1,"DUPLICATE","OK")))</f>
        <v>OK</v>
      </c>
      <c r="K231" s="6" t="str">
        <f aca="false">A231&amp;"|"&amp;B231&amp;"|"&amp;C231&amp;"|"&amp;D231</f>
        <v>1|4|Matt|spotify:track:1jhljxXlHw8K9rezXKrnow</v>
      </c>
    </row>
    <row r="232" customFormat="false" ht="15" hidden="false" customHeight="false" outlineLevel="0" collapsed="false">
      <c r="A232" s="5" t="n">
        <v>1</v>
      </c>
      <c r="B232" s="5" t="n">
        <v>4</v>
      </c>
      <c r="C232" s="5" t="s">
        <v>116</v>
      </c>
      <c r="D232" s="5" t="s">
        <v>224</v>
      </c>
      <c r="E232" s="5" t="n">
        <v>1</v>
      </c>
      <c r="F232" s="6" t="n">
        <f aca="false">IFERROR(MATCH(A232&amp;"|"&amp;B232&amp;"|"&amp;D232,'All Song Rankings'!$T:$T,0),0)</f>
        <v>41</v>
      </c>
      <c r="G232" s="6" t="str">
        <f aca="false">IF(F232=0,"NOT FOUND",INDEX('All Song Rankings'!$A:$A,F232))</f>
        <v>Til Kingdom Come</v>
      </c>
      <c r="H232" s="6" t="str">
        <f aca="false">IF(F232=0,"NOT FOUND",INDEX('All Song Rankings'!$B:$B,F232))</f>
        <v>Coldplay</v>
      </c>
      <c r="I232" s="6" t="str">
        <f aca="false">IF(F232=0,"NOT FOUND",INDEX('All Song Rankings'!$D:$D,F232))</f>
        <v>Kristen</v>
      </c>
      <c r="J232" s="7" t="str">
        <f aca="false">IF(F232=0,"NOT FOUND",IF(C232=I232,"SELF-VOTE",IF(COUNTIF($K:$K,K232)&gt;1,"DUPLICATE","OK")))</f>
        <v>OK</v>
      </c>
      <c r="K232" s="6" t="str">
        <f aca="false">A232&amp;"|"&amp;B232&amp;"|"&amp;C232&amp;"|"&amp;D232</f>
        <v>1|4|Matt|spotify:track:1wQXj5bgxyZQ2XmE2X9s6n</v>
      </c>
    </row>
    <row r="233" customFormat="false" ht="15" hidden="false" customHeight="false" outlineLevel="0" collapsed="false">
      <c r="A233" s="5" t="n">
        <v>1</v>
      </c>
      <c r="B233" s="5" t="n">
        <v>4</v>
      </c>
      <c r="C233" s="5" t="s">
        <v>116</v>
      </c>
      <c r="D233" s="5" t="s">
        <v>209</v>
      </c>
      <c r="E233" s="5" t="n">
        <v>1</v>
      </c>
      <c r="F233" s="6" t="n">
        <f aca="false">IFERROR(MATCH(A233&amp;"|"&amp;B233&amp;"|"&amp;D233,'All Song Rankings'!$T:$T,0),0)</f>
        <v>36</v>
      </c>
      <c r="G233" s="6" t="str">
        <f aca="false">IF(F233=0,"NOT FOUND",INDEX('All Song Rankings'!$A:$A,F233))</f>
        <v>Fireproof</v>
      </c>
      <c r="H233" s="6" t="str">
        <f aca="false">IF(F233=0,"NOT FOUND",INDEX('All Song Rankings'!$B:$B,F233))</f>
        <v>One Direction</v>
      </c>
      <c r="I233" s="6" t="str">
        <f aca="false">IF(F233=0,"NOT FOUND",INDEX('All Song Rankings'!$D:$D,F233))</f>
        <v>Stephanie</v>
      </c>
      <c r="J233" s="7" t="str">
        <f aca="false">IF(F233=0,"NOT FOUND",IF(C233=I233,"SELF-VOTE",IF(COUNTIF($K:$K,K233)&gt;1,"DUPLICATE","OK")))</f>
        <v>OK</v>
      </c>
      <c r="K233" s="6" t="str">
        <f aca="false">A233&amp;"|"&amp;B233&amp;"|"&amp;C233&amp;"|"&amp;D233</f>
        <v>1|4|Matt|spotify:track:34aYkYrY3sXhEU9O4VQgtB</v>
      </c>
    </row>
    <row r="234" customFormat="false" ht="15" hidden="false" customHeight="false" outlineLevel="0" collapsed="false">
      <c r="A234" s="5" t="n">
        <v>1</v>
      </c>
      <c r="B234" s="5" t="n">
        <v>4</v>
      </c>
      <c r="C234" s="5" t="s">
        <v>116</v>
      </c>
      <c r="D234" s="5" t="s">
        <v>206</v>
      </c>
      <c r="E234" s="5" t="n">
        <v>1</v>
      </c>
      <c r="F234" s="6" t="n">
        <f aca="false">IFERROR(MATCH(A234&amp;"|"&amp;B234&amp;"|"&amp;D234,'All Song Rankings'!$T:$T,0),0)</f>
        <v>35</v>
      </c>
      <c r="G234" s="6" t="str">
        <f aca="false">IF(F234=0,"NOT FOUND",INDEX('All Song Rankings'!$A:$A,F234))</f>
        <v>Eyes Wide Open</v>
      </c>
      <c r="H234" s="6" t="str">
        <f aca="false">IF(F234=0,"NOT FOUND",INDEX('All Song Rankings'!$B:$B,F234))</f>
        <v>Sabrina Carpenter</v>
      </c>
      <c r="I234" s="6" t="str">
        <f aca="false">IF(F234=0,"NOT FOUND",INDEX('All Song Rankings'!$D:$D,F234))</f>
        <v>Nicole</v>
      </c>
      <c r="J234" s="7" t="str">
        <f aca="false">IF(F234=0,"NOT FOUND",IF(C234=I234,"SELF-VOTE",IF(COUNTIF($K:$K,K234)&gt;1,"DUPLICATE","OK")))</f>
        <v>OK</v>
      </c>
      <c r="K234" s="6" t="str">
        <f aca="false">A234&amp;"|"&amp;B234&amp;"|"&amp;C234&amp;"|"&amp;D234</f>
        <v>1|4|Matt|spotify:track:4pbrp5dxpqjfaf4GiS6YuO</v>
      </c>
    </row>
    <row r="235" customFormat="false" ht="15" hidden="false" customHeight="false" outlineLevel="0" collapsed="false">
      <c r="A235" s="5" t="n">
        <v>1</v>
      </c>
      <c r="B235" s="5" t="n">
        <v>4</v>
      </c>
      <c r="C235" s="5" t="s">
        <v>116</v>
      </c>
      <c r="D235" s="5" t="s">
        <v>203</v>
      </c>
      <c r="E235" s="5" t="n">
        <v>3</v>
      </c>
      <c r="F235" s="6" t="n">
        <f aca="false">IFERROR(MATCH(A235&amp;"|"&amp;B235&amp;"|"&amp;D235,'All Song Rankings'!$T:$T,0),0)</f>
        <v>34</v>
      </c>
      <c r="G235" s="6" t="str">
        <f aca="false">IF(F235=0,"NOT FOUND",INDEX('All Song Rankings'!$A:$A,F235))</f>
        <v>Bibia Be Ye Ye</v>
      </c>
      <c r="H235" s="6" t="str">
        <f aca="false">IF(F235=0,"NOT FOUND",INDEX('All Song Rankings'!$B:$B,F235))</f>
        <v>Ed Sheeran</v>
      </c>
      <c r="I235" s="6" t="str">
        <f aca="false">IF(F235=0,"NOT FOUND",INDEX('All Song Rankings'!$D:$D,F235))</f>
        <v>Kelsey</v>
      </c>
      <c r="J235" s="7" t="str">
        <f aca="false">IF(F235=0,"NOT FOUND",IF(C235=I235,"SELF-VOTE",IF(COUNTIF($K:$K,K235)&gt;1,"DUPLICATE","OK")))</f>
        <v>OK</v>
      </c>
      <c r="K235" s="6" t="str">
        <f aca="false">A235&amp;"|"&amp;B235&amp;"|"&amp;C235&amp;"|"&amp;D235</f>
        <v>1|4|Matt|spotify:track:6SznMYPQJHzr3IwsAHLId2</v>
      </c>
    </row>
    <row r="236" customFormat="false" ht="15" hidden="false" customHeight="false" outlineLevel="0" collapsed="false">
      <c r="A236" s="5" t="n">
        <v>1</v>
      </c>
      <c r="B236" s="5" t="n">
        <v>4</v>
      </c>
      <c r="C236" s="5" t="s">
        <v>101</v>
      </c>
      <c r="D236" s="5" t="s">
        <v>221</v>
      </c>
      <c r="E236" s="5" t="n">
        <v>1</v>
      </c>
      <c r="F236" s="6" t="n">
        <f aca="false">IFERROR(MATCH(A236&amp;"|"&amp;B236&amp;"|"&amp;D236,'All Song Rankings'!$T:$T,0),0)</f>
        <v>40</v>
      </c>
      <c r="G236" s="6" t="str">
        <f aca="false">IF(F236=0,"NOT FOUND",INDEX('All Song Rankings'!$A:$A,F236))</f>
        <v>Bad Day</v>
      </c>
      <c r="H236" s="6" t="str">
        <f aca="false">IF(F236=0,"NOT FOUND",INDEX('All Song Rankings'!$B:$B,F236))</f>
        <v>Daniel Powter</v>
      </c>
      <c r="I236" s="6" t="str">
        <f aca="false">IF(F236=0,"NOT FOUND",INDEX('All Song Rankings'!$D:$D,F236))</f>
        <v>Collin</v>
      </c>
      <c r="J236" s="7" t="str">
        <f aca="false">IF(F236=0,"NOT FOUND",IF(C236=I236,"SELF-VOTE",IF(COUNTIF($K:$K,K236)&gt;1,"DUPLICATE","OK")))</f>
        <v>OK</v>
      </c>
      <c r="K236" s="6" t="str">
        <f aca="false">A236&amp;"|"&amp;B236&amp;"|"&amp;C236&amp;"|"&amp;D236</f>
        <v>1|4|Merita|spotify:track:0mUyMawtxj1CJ76kn9gIZK</v>
      </c>
    </row>
    <row r="237" customFormat="false" ht="15" hidden="false" customHeight="false" outlineLevel="0" collapsed="false">
      <c r="A237" s="5" t="n">
        <v>1</v>
      </c>
      <c r="B237" s="5" t="n">
        <v>4</v>
      </c>
      <c r="C237" s="5" t="s">
        <v>101</v>
      </c>
      <c r="D237" s="5" t="s">
        <v>212</v>
      </c>
      <c r="E237" s="5" t="n">
        <v>2</v>
      </c>
      <c r="F237" s="6" t="n">
        <f aca="false">IFERROR(MATCH(A237&amp;"|"&amp;B237&amp;"|"&amp;D237,'All Song Rankings'!$T:$T,0),0)</f>
        <v>37</v>
      </c>
      <c r="G237" s="6" t="str">
        <f aca="false">IF(F237=0,"NOT FOUND",INDEX('All Song Rankings'!$A:$A,F237))</f>
        <v>Winter Things</v>
      </c>
      <c r="H237" s="6" t="str">
        <f aca="false">IF(F237=0,"NOT FOUND",INDEX('All Song Rankings'!$B:$B,F237))</f>
        <v>Ariana Grande</v>
      </c>
      <c r="I237" s="6" t="str">
        <f aca="false">IF(F237=0,"NOT FOUND",INDEX('All Song Rankings'!$D:$D,F237))</f>
        <v>Logan</v>
      </c>
      <c r="J237" s="7" t="str">
        <f aca="false">IF(F237=0,"NOT FOUND",IF(C237=I237,"SELF-VOTE",IF(COUNTIF($K:$K,K237)&gt;1,"DUPLICATE","OK")))</f>
        <v>OK</v>
      </c>
      <c r="K237" s="6" t="str">
        <f aca="false">A237&amp;"|"&amp;B237&amp;"|"&amp;C237&amp;"|"&amp;D237</f>
        <v>1|4|Merita|spotify:track:1jhljxXlHw8K9rezXKrnow</v>
      </c>
    </row>
    <row r="238" customFormat="false" ht="15" hidden="false" customHeight="false" outlineLevel="0" collapsed="false">
      <c r="A238" s="5" t="n">
        <v>1</v>
      </c>
      <c r="B238" s="5" t="n">
        <v>4</v>
      </c>
      <c r="C238" s="5" t="s">
        <v>101</v>
      </c>
      <c r="D238" s="5" t="s">
        <v>224</v>
      </c>
      <c r="E238" s="5" t="n">
        <v>1</v>
      </c>
      <c r="F238" s="6" t="n">
        <f aca="false">IFERROR(MATCH(A238&amp;"|"&amp;B238&amp;"|"&amp;D238,'All Song Rankings'!$T:$T,0),0)</f>
        <v>41</v>
      </c>
      <c r="G238" s="6" t="str">
        <f aca="false">IF(F238=0,"NOT FOUND",INDEX('All Song Rankings'!$A:$A,F238))</f>
        <v>Til Kingdom Come</v>
      </c>
      <c r="H238" s="6" t="str">
        <f aca="false">IF(F238=0,"NOT FOUND",INDEX('All Song Rankings'!$B:$B,F238))</f>
        <v>Coldplay</v>
      </c>
      <c r="I238" s="6" t="str">
        <f aca="false">IF(F238=0,"NOT FOUND",INDEX('All Song Rankings'!$D:$D,F238))</f>
        <v>Kristen</v>
      </c>
      <c r="J238" s="7" t="str">
        <f aca="false">IF(F238=0,"NOT FOUND",IF(C238=I238,"SELF-VOTE",IF(COUNTIF($K:$K,K238)&gt;1,"DUPLICATE","OK")))</f>
        <v>OK</v>
      </c>
      <c r="K238" s="6" t="str">
        <f aca="false">A238&amp;"|"&amp;B238&amp;"|"&amp;C238&amp;"|"&amp;D238</f>
        <v>1|4|Merita|spotify:track:1wQXj5bgxyZQ2XmE2X9s6n</v>
      </c>
    </row>
    <row r="239" customFormat="false" ht="15" hidden="false" customHeight="false" outlineLevel="0" collapsed="false">
      <c r="A239" s="5" t="n">
        <v>1</v>
      </c>
      <c r="B239" s="5" t="n">
        <v>4</v>
      </c>
      <c r="C239" s="5" t="s">
        <v>101</v>
      </c>
      <c r="D239" s="5" t="s">
        <v>209</v>
      </c>
      <c r="E239" s="5" t="n">
        <v>1</v>
      </c>
      <c r="F239" s="6" t="n">
        <f aca="false">IFERROR(MATCH(A239&amp;"|"&amp;B239&amp;"|"&amp;D239,'All Song Rankings'!$T:$T,0),0)</f>
        <v>36</v>
      </c>
      <c r="G239" s="6" t="str">
        <f aca="false">IF(F239=0,"NOT FOUND",INDEX('All Song Rankings'!$A:$A,F239))</f>
        <v>Fireproof</v>
      </c>
      <c r="H239" s="6" t="str">
        <f aca="false">IF(F239=0,"NOT FOUND",INDEX('All Song Rankings'!$B:$B,F239))</f>
        <v>One Direction</v>
      </c>
      <c r="I239" s="6" t="str">
        <f aca="false">IF(F239=0,"NOT FOUND",INDEX('All Song Rankings'!$D:$D,F239))</f>
        <v>Stephanie</v>
      </c>
      <c r="J239" s="7" t="str">
        <f aca="false">IF(F239=0,"NOT FOUND",IF(C239=I239,"SELF-VOTE",IF(COUNTIF($K:$K,K239)&gt;1,"DUPLICATE","OK")))</f>
        <v>OK</v>
      </c>
      <c r="K239" s="6" t="str">
        <f aca="false">A239&amp;"|"&amp;B239&amp;"|"&amp;C239&amp;"|"&amp;D239</f>
        <v>1|4|Merita|spotify:track:34aYkYrY3sXhEU9O4VQgtB</v>
      </c>
    </row>
    <row r="240" customFormat="false" ht="15" hidden="false" customHeight="false" outlineLevel="0" collapsed="false">
      <c r="A240" s="5" t="n">
        <v>1</v>
      </c>
      <c r="B240" s="5" t="n">
        <v>4</v>
      </c>
      <c r="C240" s="5" t="s">
        <v>101</v>
      </c>
      <c r="D240" s="5" t="s">
        <v>206</v>
      </c>
      <c r="E240" s="5" t="n">
        <v>2</v>
      </c>
      <c r="F240" s="6" t="n">
        <f aca="false">IFERROR(MATCH(A240&amp;"|"&amp;B240&amp;"|"&amp;D240,'All Song Rankings'!$T:$T,0),0)</f>
        <v>35</v>
      </c>
      <c r="G240" s="6" t="str">
        <f aca="false">IF(F240=0,"NOT FOUND",INDEX('All Song Rankings'!$A:$A,F240))</f>
        <v>Eyes Wide Open</v>
      </c>
      <c r="H240" s="6" t="str">
        <f aca="false">IF(F240=0,"NOT FOUND",INDEX('All Song Rankings'!$B:$B,F240))</f>
        <v>Sabrina Carpenter</v>
      </c>
      <c r="I240" s="6" t="str">
        <f aca="false">IF(F240=0,"NOT FOUND",INDEX('All Song Rankings'!$D:$D,F240))</f>
        <v>Nicole</v>
      </c>
      <c r="J240" s="7" t="str">
        <f aca="false">IF(F240=0,"NOT FOUND",IF(C240=I240,"SELF-VOTE",IF(COUNTIF($K:$K,K240)&gt;1,"DUPLICATE","OK")))</f>
        <v>OK</v>
      </c>
      <c r="K240" s="6" t="str">
        <f aca="false">A240&amp;"|"&amp;B240&amp;"|"&amp;C240&amp;"|"&amp;D240</f>
        <v>1|4|Merita|spotify:track:4pbrp5dxpqjfaf4GiS6YuO</v>
      </c>
    </row>
    <row r="241" customFormat="false" ht="15" hidden="false" customHeight="false" outlineLevel="0" collapsed="false">
      <c r="A241" s="5" t="n">
        <v>1</v>
      </c>
      <c r="B241" s="5" t="n">
        <v>4</v>
      </c>
      <c r="C241" s="5" t="s">
        <v>101</v>
      </c>
      <c r="D241" s="5" t="s">
        <v>227</v>
      </c>
      <c r="E241" s="5" t="n">
        <v>1</v>
      </c>
      <c r="F241" s="6" t="n">
        <f aca="false">IFERROR(MATCH(A241&amp;"|"&amp;B241&amp;"|"&amp;D241,'All Song Rankings'!$T:$T,0),0)</f>
        <v>42</v>
      </c>
      <c r="G241" s="6" t="str">
        <f aca="false">IF(F241=0,"NOT FOUND",INDEX('All Song Rankings'!$A:$A,F241))</f>
        <v>Runaway</v>
      </c>
      <c r="H241" s="6" t="str">
        <f aca="false">IF(F241=0,"NOT FOUND",INDEX('All Song Rankings'!$B:$B,F241))</f>
        <v>P!nk</v>
      </c>
      <c r="I241" s="6" t="str">
        <f aca="false">IF(F241=0,"NOT FOUND",INDEX('All Song Rankings'!$D:$D,F241))</f>
        <v>Leah</v>
      </c>
      <c r="J241" s="7" t="str">
        <f aca="false">IF(F241=0,"NOT FOUND",IF(C241=I241,"SELF-VOTE",IF(COUNTIF($K:$K,K241)&gt;1,"DUPLICATE","OK")))</f>
        <v>OK</v>
      </c>
      <c r="K241" s="6" t="str">
        <f aca="false">A241&amp;"|"&amp;B241&amp;"|"&amp;C241&amp;"|"&amp;D241</f>
        <v>1|4|Merita|spotify:track:5Jzs8DYFtxTMWFcDh4dK3j</v>
      </c>
    </row>
    <row r="242" customFormat="false" ht="15" hidden="false" customHeight="false" outlineLevel="0" collapsed="false">
      <c r="A242" s="5" t="n">
        <v>1</v>
      </c>
      <c r="B242" s="5" t="n">
        <v>4</v>
      </c>
      <c r="C242" s="5" t="s">
        <v>101</v>
      </c>
      <c r="D242" s="5" t="s">
        <v>218</v>
      </c>
      <c r="E242" s="5" t="n">
        <v>1</v>
      </c>
      <c r="F242" s="6" t="n">
        <f aca="false">IFERROR(MATCH(A242&amp;"|"&amp;B242&amp;"|"&amp;D242,'All Song Rankings'!$T:$T,0),0)</f>
        <v>39</v>
      </c>
      <c r="G242" s="6" t="str">
        <f aca="false">IF(F242=0,"NOT FOUND",INDEX('All Song Rankings'!$A:$A,F242))</f>
        <v>She's a Rainbow</v>
      </c>
      <c r="H242" s="6" t="str">
        <f aca="false">IF(F242=0,"NOT FOUND",INDEX('All Song Rankings'!$B:$B,F242))</f>
        <v>The Rolling Stones</v>
      </c>
      <c r="I242" s="6" t="str">
        <f aca="false">IF(F242=0,"NOT FOUND",INDEX('All Song Rankings'!$D:$D,F242))</f>
        <v>Matt</v>
      </c>
      <c r="J242" s="7" t="str">
        <f aca="false">IF(F242=0,"NOT FOUND",IF(C242=I242,"SELF-VOTE",IF(COUNTIF($K:$K,K242)&gt;1,"DUPLICATE","OK")))</f>
        <v>OK</v>
      </c>
      <c r="K242" s="6" t="str">
        <f aca="false">A242&amp;"|"&amp;B242&amp;"|"&amp;C242&amp;"|"&amp;D242</f>
        <v>1|4|Merita|spotify:track:6KOtheMY0KN4s9TrQHr9It</v>
      </c>
    </row>
    <row r="243" customFormat="false" ht="15" hidden="false" customHeight="false" outlineLevel="0" collapsed="false">
      <c r="A243" s="5" t="n">
        <v>1</v>
      </c>
      <c r="B243" s="5" t="n">
        <v>4</v>
      </c>
      <c r="C243" s="5" t="s">
        <v>101</v>
      </c>
      <c r="D243" s="5" t="s">
        <v>203</v>
      </c>
      <c r="E243" s="5" t="n">
        <v>1</v>
      </c>
      <c r="F243" s="6" t="n">
        <f aca="false">IFERROR(MATCH(A243&amp;"|"&amp;B243&amp;"|"&amp;D243,'All Song Rankings'!$T:$T,0),0)</f>
        <v>34</v>
      </c>
      <c r="G243" s="6" t="str">
        <f aca="false">IF(F243=0,"NOT FOUND",INDEX('All Song Rankings'!$A:$A,F243))</f>
        <v>Bibia Be Ye Ye</v>
      </c>
      <c r="H243" s="6" t="str">
        <f aca="false">IF(F243=0,"NOT FOUND",INDEX('All Song Rankings'!$B:$B,F243))</f>
        <v>Ed Sheeran</v>
      </c>
      <c r="I243" s="6" t="str">
        <f aca="false">IF(F243=0,"NOT FOUND",INDEX('All Song Rankings'!$D:$D,F243))</f>
        <v>Kelsey</v>
      </c>
      <c r="J243" s="7" t="str">
        <f aca="false">IF(F243=0,"NOT FOUND",IF(C243=I243,"SELF-VOTE",IF(COUNTIF($K:$K,K243)&gt;1,"DUPLICATE","OK")))</f>
        <v>OK</v>
      </c>
      <c r="K243" s="6" t="str">
        <f aca="false">A243&amp;"|"&amp;B243&amp;"|"&amp;C243&amp;"|"&amp;D243</f>
        <v>1|4|Merita|spotify:track:6SznMYPQJHzr3IwsAHLId2</v>
      </c>
    </row>
    <row r="244" customFormat="false" ht="15" hidden="false" customHeight="false" outlineLevel="0" collapsed="false">
      <c r="A244" s="5" t="n">
        <v>1</v>
      </c>
      <c r="B244" s="5" t="n">
        <v>4</v>
      </c>
      <c r="C244" s="5" t="s">
        <v>92</v>
      </c>
      <c r="D244" s="5" t="s">
        <v>221</v>
      </c>
      <c r="E244" s="5" t="n">
        <v>2</v>
      </c>
      <c r="F244" s="6" t="n">
        <f aca="false">IFERROR(MATCH(A244&amp;"|"&amp;B244&amp;"|"&amp;D244,'All Song Rankings'!$T:$T,0),0)</f>
        <v>40</v>
      </c>
      <c r="G244" s="6" t="str">
        <f aca="false">IF(F244=0,"NOT FOUND",INDEX('All Song Rankings'!$A:$A,F244))</f>
        <v>Bad Day</v>
      </c>
      <c r="H244" s="6" t="str">
        <f aca="false">IF(F244=0,"NOT FOUND",INDEX('All Song Rankings'!$B:$B,F244))</f>
        <v>Daniel Powter</v>
      </c>
      <c r="I244" s="6" t="str">
        <f aca="false">IF(F244=0,"NOT FOUND",INDEX('All Song Rankings'!$D:$D,F244))</f>
        <v>Collin</v>
      </c>
      <c r="J244" s="7" t="str">
        <f aca="false">IF(F244=0,"NOT FOUND",IF(C244=I244,"SELF-VOTE",IF(COUNTIF($K:$K,K244)&gt;1,"DUPLICATE","OK")))</f>
        <v>OK</v>
      </c>
      <c r="K244" s="6" t="str">
        <f aca="false">A244&amp;"|"&amp;B244&amp;"|"&amp;C244&amp;"|"&amp;D244</f>
        <v>1|4|Nicole|spotify:track:0mUyMawtxj1CJ76kn9gIZK</v>
      </c>
    </row>
    <row r="245" customFormat="false" ht="15" hidden="false" customHeight="false" outlineLevel="0" collapsed="false">
      <c r="A245" s="5" t="n">
        <v>1</v>
      </c>
      <c r="B245" s="5" t="n">
        <v>4</v>
      </c>
      <c r="C245" s="5" t="s">
        <v>92</v>
      </c>
      <c r="D245" s="5" t="s">
        <v>215</v>
      </c>
      <c r="E245" s="5" t="n">
        <v>1</v>
      </c>
      <c r="F245" s="6" t="n">
        <f aca="false">IFERROR(MATCH(A245&amp;"|"&amp;B245&amp;"|"&amp;D245,'All Song Rankings'!$T:$T,0),0)</f>
        <v>38</v>
      </c>
      <c r="G245" s="6" t="str">
        <f aca="false">IF(F245=0,"NOT FOUND",INDEX('All Song Rankings'!$A:$A,F245))</f>
        <v>Rescue Me</v>
      </c>
      <c r="H245" s="6" t="str">
        <f aca="false">IF(F245=0,"NOT FOUND",INDEX('All Song Rankings'!$B:$B,F245))</f>
        <v>OneRepublic</v>
      </c>
      <c r="I245" s="6" t="str">
        <f aca="false">IF(F245=0,"NOT FOUND",INDEX('All Song Rankings'!$D:$D,F245))</f>
        <v>Merita</v>
      </c>
      <c r="J245" s="7" t="str">
        <f aca="false">IF(F245=0,"NOT FOUND",IF(C245=I245,"SELF-VOTE",IF(COUNTIF($K:$K,K245)&gt;1,"DUPLICATE","OK")))</f>
        <v>OK</v>
      </c>
      <c r="K245" s="6" t="str">
        <f aca="false">A245&amp;"|"&amp;B245&amp;"|"&amp;C245&amp;"|"&amp;D245</f>
        <v>1|4|Nicole|spotify:track:0mjAU3yKR1QnXnHtjGJqTM</v>
      </c>
    </row>
    <row r="246" customFormat="false" ht="15" hidden="false" customHeight="false" outlineLevel="0" collapsed="false">
      <c r="A246" s="5" t="n">
        <v>1</v>
      </c>
      <c r="B246" s="5" t="n">
        <v>4</v>
      </c>
      <c r="C246" s="5" t="s">
        <v>92</v>
      </c>
      <c r="D246" s="5" t="s">
        <v>212</v>
      </c>
      <c r="E246" s="5" t="n">
        <v>1</v>
      </c>
      <c r="F246" s="6" t="n">
        <f aca="false">IFERROR(MATCH(A246&amp;"|"&amp;B246&amp;"|"&amp;D246,'All Song Rankings'!$T:$T,0),0)</f>
        <v>37</v>
      </c>
      <c r="G246" s="6" t="str">
        <f aca="false">IF(F246=0,"NOT FOUND",INDEX('All Song Rankings'!$A:$A,F246))</f>
        <v>Winter Things</v>
      </c>
      <c r="H246" s="6" t="str">
        <f aca="false">IF(F246=0,"NOT FOUND",INDEX('All Song Rankings'!$B:$B,F246))</f>
        <v>Ariana Grande</v>
      </c>
      <c r="I246" s="6" t="str">
        <f aca="false">IF(F246=0,"NOT FOUND",INDEX('All Song Rankings'!$D:$D,F246))</f>
        <v>Logan</v>
      </c>
      <c r="J246" s="7" t="str">
        <f aca="false">IF(F246=0,"NOT FOUND",IF(C246=I246,"SELF-VOTE",IF(COUNTIF($K:$K,K246)&gt;1,"DUPLICATE","OK")))</f>
        <v>OK</v>
      </c>
      <c r="K246" s="6" t="str">
        <f aca="false">A246&amp;"|"&amp;B246&amp;"|"&amp;C246&amp;"|"&amp;D246</f>
        <v>1|4|Nicole|spotify:track:1jhljxXlHw8K9rezXKrnow</v>
      </c>
    </row>
    <row r="247" customFormat="false" ht="15" hidden="false" customHeight="false" outlineLevel="0" collapsed="false">
      <c r="A247" s="5" t="n">
        <v>1</v>
      </c>
      <c r="B247" s="5" t="n">
        <v>4</v>
      </c>
      <c r="C247" s="5" t="s">
        <v>92</v>
      </c>
      <c r="D247" s="5" t="s">
        <v>209</v>
      </c>
      <c r="E247" s="5" t="n">
        <v>2</v>
      </c>
      <c r="F247" s="6" t="n">
        <f aca="false">IFERROR(MATCH(A247&amp;"|"&amp;B247&amp;"|"&amp;D247,'All Song Rankings'!$T:$T,0),0)</f>
        <v>36</v>
      </c>
      <c r="G247" s="6" t="str">
        <f aca="false">IF(F247=0,"NOT FOUND",INDEX('All Song Rankings'!$A:$A,F247))</f>
        <v>Fireproof</v>
      </c>
      <c r="H247" s="6" t="str">
        <f aca="false">IF(F247=0,"NOT FOUND",INDEX('All Song Rankings'!$B:$B,F247))</f>
        <v>One Direction</v>
      </c>
      <c r="I247" s="6" t="str">
        <f aca="false">IF(F247=0,"NOT FOUND",INDEX('All Song Rankings'!$D:$D,F247))</f>
        <v>Stephanie</v>
      </c>
      <c r="J247" s="7" t="str">
        <f aca="false">IF(F247=0,"NOT FOUND",IF(C247=I247,"SELF-VOTE",IF(COUNTIF($K:$K,K247)&gt;1,"DUPLICATE","OK")))</f>
        <v>OK</v>
      </c>
      <c r="K247" s="6" t="str">
        <f aca="false">A247&amp;"|"&amp;B247&amp;"|"&amp;C247&amp;"|"&amp;D247</f>
        <v>1|4|Nicole|spotify:track:34aYkYrY3sXhEU9O4VQgtB</v>
      </c>
    </row>
    <row r="248" customFormat="false" ht="15" hidden="false" customHeight="false" outlineLevel="0" collapsed="false">
      <c r="A248" s="5" t="n">
        <v>1</v>
      </c>
      <c r="B248" s="5" t="n">
        <v>4</v>
      </c>
      <c r="C248" s="5" t="s">
        <v>92</v>
      </c>
      <c r="D248" s="5" t="s">
        <v>227</v>
      </c>
      <c r="E248" s="5" t="n">
        <v>1</v>
      </c>
      <c r="F248" s="6" t="n">
        <f aca="false">IFERROR(MATCH(A248&amp;"|"&amp;B248&amp;"|"&amp;D248,'All Song Rankings'!$T:$T,0),0)</f>
        <v>42</v>
      </c>
      <c r="G248" s="6" t="str">
        <f aca="false">IF(F248=0,"NOT FOUND",INDEX('All Song Rankings'!$A:$A,F248))</f>
        <v>Runaway</v>
      </c>
      <c r="H248" s="6" t="str">
        <f aca="false">IF(F248=0,"NOT FOUND",INDEX('All Song Rankings'!$B:$B,F248))</f>
        <v>P!nk</v>
      </c>
      <c r="I248" s="6" t="str">
        <f aca="false">IF(F248=0,"NOT FOUND",INDEX('All Song Rankings'!$D:$D,F248))</f>
        <v>Leah</v>
      </c>
      <c r="J248" s="7" t="str">
        <f aca="false">IF(F248=0,"NOT FOUND",IF(C248=I248,"SELF-VOTE",IF(COUNTIF($K:$K,K248)&gt;1,"DUPLICATE","OK")))</f>
        <v>OK</v>
      </c>
      <c r="K248" s="6" t="str">
        <f aca="false">A248&amp;"|"&amp;B248&amp;"|"&amp;C248&amp;"|"&amp;D248</f>
        <v>1|4|Nicole|spotify:track:5Jzs8DYFtxTMWFcDh4dK3j</v>
      </c>
    </row>
    <row r="249" customFormat="false" ht="15" hidden="false" customHeight="false" outlineLevel="0" collapsed="false">
      <c r="A249" s="5" t="n">
        <v>1</v>
      </c>
      <c r="B249" s="5" t="n">
        <v>4</v>
      </c>
      <c r="C249" s="5" t="s">
        <v>92</v>
      </c>
      <c r="D249" s="5" t="s">
        <v>218</v>
      </c>
      <c r="E249" s="5" t="n">
        <v>1</v>
      </c>
      <c r="F249" s="6" t="n">
        <f aca="false">IFERROR(MATCH(A249&amp;"|"&amp;B249&amp;"|"&amp;D249,'All Song Rankings'!$T:$T,0),0)</f>
        <v>39</v>
      </c>
      <c r="G249" s="6" t="str">
        <f aca="false">IF(F249=0,"NOT FOUND",INDEX('All Song Rankings'!$A:$A,F249))</f>
        <v>She's a Rainbow</v>
      </c>
      <c r="H249" s="6" t="str">
        <f aca="false">IF(F249=0,"NOT FOUND",INDEX('All Song Rankings'!$B:$B,F249))</f>
        <v>The Rolling Stones</v>
      </c>
      <c r="I249" s="6" t="str">
        <f aca="false">IF(F249=0,"NOT FOUND",INDEX('All Song Rankings'!$D:$D,F249))</f>
        <v>Matt</v>
      </c>
      <c r="J249" s="7" t="str">
        <f aca="false">IF(F249=0,"NOT FOUND",IF(C249=I249,"SELF-VOTE",IF(COUNTIF($K:$K,K249)&gt;1,"DUPLICATE","OK")))</f>
        <v>OK</v>
      </c>
      <c r="K249" s="6" t="str">
        <f aca="false">A249&amp;"|"&amp;B249&amp;"|"&amp;C249&amp;"|"&amp;D249</f>
        <v>1|4|Nicole|spotify:track:6KOtheMY0KN4s9TrQHr9It</v>
      </c>
    </row>
    <row r="250" customFormat="false" ht="15" hidden="false" customHeight="false" outlineLevel="0" collapsed="false">
      <c r="A250" s="5" t="n">
        <v>1</v>
      </c>
      <c r="B250" s="5" t="n">
        <v>4</v>
      </c>
      <c r="C250" s="5" t="s">
        <v>92</v>
      </c>
      <c r="D250" s="5" t="s">
        <v>203</v>
      </c>
      <c r="E250" s="5" t="n">
        <v>2</v>
      </c>
      <c r="F250" s="6" t="n">
        <f aca="false">IFERROR(MATCH(A250&amp;"|"&amp;B250&amp;"|"&amp;D250,'All Song Rankings'!$T:$T,0),0)</f>
        <v>34</v>
      </c>
      <c r="G250" s="6" t="str">
        <f aca="false">IF(F250=0,"NOT FOUND",INDEX('All Song Rankings'!$A:$A,F250))</f>
        <v>Bibia Be Ye Ye</v>
      </c>
      <c r="H250" s="6" t="str">
        <f aca="false">IF(F250=0,"NOT FOUND",INDEX('All Song Rankings'!$B:$B,F250))</f>
        <v>Ed Sheeran</v>
      </c>
      <c r="I250" s="6" t="str">
        <f aca="false">IF(F250=0,"NOT FOUND",INDEX('All Song Rankings'!$D:$D,F250))</f>
        <v>Kelsey</v>
      </c>
      <c r="J250" s="7" t="str">
        <f aca="false">IF(F250=0,"NOT FOUND",IF(C250=I250,"SELF-VOTE",IF(COUNTIF($K:$K,K250)&gt;1,"DUPLICATE","OK")))</f>
        <v>OK</v>
      </c>
      <c r="K250" s="6" t="str">
        <f aca="false">A250&amp;"|"&amp;B250&amp;"|"&amp;C250&amp;"|"&amp;D250</f>
        <v>1|4|Nicole|spotify:track:6SznMYPQJHzr3IwsAHLId2</v>
      </c>
    </row>
    <row r="251" customFormat="false" ht="15" hidden="false" customHeight="false" outlineLevel="0" collapsed="false">
      <c r="A251" s="5" t="n">
        <v>1</v>
      </c>
      <c r="B251" s="5" t="n">
        <v>4</v>
      </c>
      <c r="C251" s="5" t="s">
        <v>97</v>
      </c>
      <c r="D251" s="5" t="s">
        <v>215</v>
      </c>
      <c r="E251" s="5" t="n">
        <v>2</v>
      </c>
      <c r="F251" s="6" t="n">
        <f aca="false">IFERROR(MATCH(A251&amp;"|"&amp;B251&amp;"|"&amp;D251,'All Song Rankings'!$T:$T,0),0)</f>
        <v>38</v>
      </c>
      <c r="G251" s="6" t="str">
        <f aca="false">IF(F251=0,"NOT FOUND",INDEX('All Song Rankings'!$A:$A,F251))</f>
        <v>Rescue Me</v>
      </c>
      <c r="H251" s="6" t="str">
        <f aca="false">IF(F251=0,"NOT FOUND",INDEX('All Song Rankings'!$B:$B,F251))</f>
        <v>OneRepublic</v>
      </c>
      <c r="I251" s="6" t="str">
        <f aca="false">IF(F251=0,"NOT FOUND",INDEX('All Song Rankings'!$D:$D,F251))</f>
        <v>Merita</v>
      </c>
      <c r="J251" s="7" t="str">
        <f aca="false">IF(F251=0,"NOT FOUND",IF(C251=I251,"SELF-VOTE",IF(COUNTIF($K:$K,K251)&gt;1,"DUPLICATE","OK")))</f>
        <v>OK</v>
      </c>
      <c r="K251" s="6" t="str">
        <f aca="false">A251&amp;"|"&amp;B251&amp;"|"&amp;C251&amp;"|"&amp;D251</f>
        <v>1|4|Stephanie|spotify:track:0mjAU3yKR1QnXnHtjGJqTM</v>
      </c>
    </row>
    <row r="252" customFormat="false" ht="15" hidden="false" customHeight="false" outlineLevel="0" collapsed="false">
      <c r="A252" s="5" t="n">
        <v>1</v>
      </c>
      <c r="B252" s="5" t="n">
        <v>4</v>
      </c>
      <c r="C252" s="5" t="s">
        <v>97</v>
      </c>
      <c r="D252" s="5" t="s">
        <v>212</v>
      </c>
      <c r="E252" s="5" t="n">
        <v>2</v>
      </c>
      <c r="F252" s="6" t="n">
        <f aca="false">IFERROR(MATCH(A252&amp;"|"&amp;B252&amp;"|"&amp;D252,'All Song Rankings'!$T:$T,0),0)</f>
        <v>37</v>
      </c>
      <c r="G252" s="6" t="str">
        <f aca="false">IF(F252=0,"NOT FOUND",INDEX('All Song Rankings'!$A:$A,F252))</f>
        <v>Winter Things</v>
      </c>
      <c r="H252" s="6" t="str">
        <f aca="false">IF(F252=0,"NOT FOUND",INDEX('All Song Rankings'!$B:$B,F252))</f>
        <v>Ariana Grande</v>
      </c>
      <c r="I252" s="6" t="str">
        <f aca="false">IF(F252=0,"NOT FOUND",INDEX('All Song Rankings'!$D:$D,F252))</f>
        <v>Logan</v>
      </c>
      <c r="J252" s="7" t="str">
        <f aca="false">IF(F252=0,"NOT FOUND",IF(C252=I252,"SELF-VOTE",IF(COUNTIF($K:$K,K252)&gt;1,"DUPLICATE","OK")))</f>
        <v>OK</v>
      </c>
      <c r="K252" s="6" t="str">
        <f aca="false">A252&amp;"|"&amp;B252&amp;"|"&amp;C252&amp;"|"&amp;D252</f>
        <v>1|4|Stephanie|spotify:track:1jhljxXlHw8K9rezXKrnow</v>
      </c>
    </row>
    <row r="253" customFormat="false" ht="15" hidden="false" customHeight="false" outlineLevel="0" collapsed="false">
      <c r="A253" s="5" t="n">
        <v>1</v>
      </c>
      <c r="B253" s="5" t="n">
        <v>4</v>
      </c>
      <c r="C253" s="5" t="s">
        <v>97</v>
      </c>
      <c r="D253" s="5" t="s">
        <v>206</v>
      </c>
      <c r="E253" s="5" t="n">
        <v>1</v>
      </c>
      <c r="F253" s="6" t="n">
        <f aca="false">IFERROR(MATCH(A253&amp;"|"&amp;B253&amp;"|"&amp;D253,'All Song Rankings'!$T:$T,0),0)</f>
        <v>35</v>
      </c>
      <c r="G253" s="6" t="str">
        <f aca="false">IF(F253=0,"NOT FOUND",INDEX('All Song Rankings'!$A:$A,F253))</f>
        <v>Eyes Wide Open</v>
      </c>
      <c r="H253" s="6" t="str">
        <f aca="false">IF(F253=0,"NOT FOUND",INDEX('All Song Rankings'!$B:$B,F253))</f>
        <v>Sabrina Carpenter</v>
      </c>
      <c r="I253" s="6" t="str">
        <f aca="false">IF(F253=0,"NOT FOUND",INDEX('All Song Rankings'!$D:$D,F253))</f>
        <v>Nicole</v>
      </c>
      <c r="J253" s="7" t="str">
        <f aca="false">IF(F253=0,"NOT FOUND",IF(C253=I253,"SELF-VOTE",IF(COUNTIF($K:$K,K253)&gt;1,"DUPLICATE","OK")))</f>
        <v>OK</v>
      </c>
      <c r="K253" s="6" t="str">
        <f aca="false">A253&amp;"|"&amp;B253&amp;"|"&amp;C253&amp;"|"&amp;D253</f>
        <v>1|4|Stephanie|spotify:track:4pbrp5dxpqjfaf4GiS6YuO</v>
      </c>
    </row>
    <row r="254" customFormat="false" ht="15" hidden="false" customHeight="false" outlineLevel="0" collapsed="false">
      <c r="A254" s="5" t="n">
        <v>1</v>
      </c>
      <c r="B254" s="5" t="n">
        <v>4</v>
      </c>
      <c r="C254" s="5" t="s">
        <v>97</v>
      </c>
      <c r="D254" s="5" t="s">
        <v>218</v>
      </c>
      <c r="E254" s="5" t="n">
        <v>1</v>
      </c>
      <c r="F254" s="6" t="n">
        <f aca="false">IFERROR(MATCH(A254&amp;"|"&amp;B254&amp;"|"&amp;D254,'All Song Rankings'!$T:$T,0),0)</f>
        <v>39</v>
      </c>
      <c r="G254" s="6" t="str">
        <f aca="false">IF(F254=0,"NOT FOUND",INDEX('All Song Rankings'!$A:$A,F254))</f>
        <v>She's a Rainbow</v>
      </c>
      <c r="H254" s="6" t="str">
        <f aca="false">IF(F254=0,"NOT FOUND",INDEX('All Song Rankings'!$B:$B,F254))</f>
        <v>The Rolling Stones</v>
      </c>
      <c r="I254" s="6" t="str">
        <f aca="false">IF(F254=0,"NOT FOUND",INDEX('All Song Rankings'!$D:$D,F254))</f>
        <v>Matt</v>
      </c>
      <c r="J254" s="7" t="str">
        <f aca="false">IF(F254=0,"NOT FOUND",IF(C254=I254,"SELF-VOTE",IF(COUNTIF($K:$K,K254)&gt;1,"DUPLICATE","OK")))</f>
        <v>OK</v>
      </c>
      <c r="K254" s="6" t="str">
        <f aca="false">A254&amp;"|"&amp;B254&amp;"|"&amp;C254&amp;"|"&amp;D254</f>
        <v>1|4|Stephanie|spotify:track:6KOtheMY0KN4s9TrQHr9It</v>
      </c>
    </row>
    <row r="255" customFormat="false" ht="15" hidden="false" customHeight="false" outlineLevel="0" collapsed="false">
      <c r="A255" s="5" t="n">
        <v>1</v>
      </c>
      <c r="B255" s="5" t="n">
        <v>4</v>
      </c>
      <c r="C255" s="5" t="s">
        <v>97</v>
      </c>
      <c r="D255" s="5" t="s">
        <v>203</v>
      </c>
      <c r="E255" s="5" t="n">
        <v>4</v>
      </c>
      <c r="F255" s="6" t="n">
        <f aca="false">IFERROR(MATCH(A255&amp;"|"&amp;B255&amp;"|"&amp;D255,'All Song Rankings'!$T:$T,0),0)</f>
        <v>34</v>
      </c>
      <c r="G255" s="6" t="str">
        <f aca="false">IF(F255=0,"NOT FOUND",INDEX('All Song Rankings'!$A:$A,F255))</f>
        <v>Bibia Be Ye Ye</v>
      </c>
      <c r="H255" s="6" t="str">
        <f aca="false">IF(F255=0,"NOT FOUND",INDEX('All Song Rankings'!$B:$B,F255))</f>
        <v>Ed Sheeran</v>
      </c>
      <c r="I255" s="6" t="str">
        <f aca="false">IF(F255=0,"NOT FOUND",INDEX('All Song Rankings'!$D:$D,F255))</f>
        <v>Kelsey</v>
      </c>
      <c r="J255" s="7" t="str">
        <f aca="false">IF(F255=0,"NOT FOUND",IF(C255=I255,"SELF-VOTE",IF(COUNTIF($K:$K,K255)&gt;1,"DUPLICATE","OK")))</f>
        <v>OK</v>
      </c>
      <c r="K255" s="6" t="str">
        <f aca="false">A255&amp;"|"&amp;B255&amp;"|"&amp;C255&amp;"|"&amp;D255</f>
        <v>1|4|Stephanie|spotify:track:6SznMYPQJHzr3IwsAHLId2</v>
      </c>
    </row>
    <row r="256" customFormat="false" ht="15" hidden="false" customHeight="false" outlineLevel="0" collapsed="false">
      <c r="A256" s="5" t="n">
        <v>1</v>
      </c>
      <c r="B256" s="5" t="n">
        <v>5</v>
      </c>
      <c r="C256" s="5" t="s">
        <v>111</v>
      </c>
      <c r="D256" s="5" t="s">
        <v>254</v>
      </c>
      <c r="E256" s="5" t="n">
        <v>1</v>
      </c>
      <c r="F256" s="6" t="n">
        <f aca="false">IFERROR(MATCH(A256&amp;"|"&amp;B256&amp;"|"&amp;D256,'All Song Rankings'!$T:$T,0),0)</f>
        <v>51</v>
      </c>
      <c r="G256" s="6" t="str">
        <f aca="false">IF(F256=0,"NOT FOUND",INDEX('All Song Rankings'!$A:$A,F256))</f>
        <v>F64</v>
      </c>
      <c r="H256" s="6" t="str">
        <f aca="false">IF(F256=0,"NOT FOUND",INDEX('All Song Rankings'!$B:$B,F256))</f>
        <v>Ed Sheeran</v>
      </c>
      <c r="I256" s="6" t="str">
        <f aca="false">IF(F256=0,"NOT FOUND",INDEX('All Song Rankings'!$D:$D,F256))</f>
        <v>Leah</v>
      </c>
      <c r="J256" s="7" t="str">
        <f aca="false">IF(F256=0,"NOT FOUND",IF(C256=I256,"SELF-VOTE",IF(COUNTIF($K:$K,K256)&gt;1,"DUPLICATE","OK")))</f>
        <v>OK</v>
      </c>
      <c r="K256" s="6" t="str">
        <f aca="false">A256&amp;"|"&amp;B256&amp;"|"&amp;C256&amp;"|"&amp;D256</f>
        <v>1|5|Collin|spotify:track:5DFi6D7SrYHRIgZbY5MqqE</v>
      </c>
    </row>
    <row r="257" customFormat="false" ht="15" hidden="false" customHeight="false" outlineLevel="0" collapsed="false">
      <c r="A257" s="5" t="n">
        <v>1</v>
      </c>
      <c r="B257" s="5" t="n">
        <v>5</v>
      </c>
      <c r="C257" s="5" t="s">
        <v>111</v>
      </c>
      <c r="D257" s="5" t="s">
        <v>234</v>
      </c>
      <c r="E257" s="5" t="n">
        <v>1</v>
      </c>
      <c r="F257" s="6" t="n">
        <f aca="false">IFERROR(MATCH(A257&amp;"|"&amp;B257&amp;"|"&amp;D257,'All Song Rankings'!$T:$T,0),0)</f>
        <v>44</v>
      </c>
      <c r="G257" s="6" t="str">
        <f aca="false">IF(F257=0,"NOT FOUND",INDEX('All Song Rankings'!$A:$A,F257))</f>
        <v>How Do I Say Goodbye</v>
      </c>
      <c r="H257" s="6" t="str">
        <f aca="false">IF(F257=0,"NOT FOUND",INDEX('All Song Rankings'!$B:$B,F257))</f>
        <v>Dean Lewis</v>
      </c>
      <c r="I257" s="6" t="str">
        <f aca="false">IF(F257=0,"NOT FOUND",INDEX('All Song Rankings'!$D:$D,F257))</f>
        <v>Matt</v>
      </c>
      <c r="J257" s="7" t="str">
        <f aca="false">IF(F257=0,"NOT FOUND",IF(C257=I257,"SELF-VOTE",IF(COUNTIF($K:$K,K257)&gt;1,"DUPLICATE","OK")))</f>
        <v>OK</v>
      </c>
      <c r="K257" s="6" t="str">
        <f aca="false">A257&amp;"|"&amp;B257&amp;"|"&amp;C257&amp;"|"&amp;D257</f>
        <v>1|5|Collin|spotify:track:5hnGrTBaEsdukpDF6aZg8a</v>
      </c>
    </row>
    <row r="258" customFormat="false" ht="15" hidden="false" customHeight="false" outlineLevel="0" collapsed="false">
      <c r="A258" s="5" t="n">
        <v>1</v>
      </c>
      <c r="B258" s="5" t="n">
        <v>5</v>
      </c>
      <c r="C258" s="5" t="s">
        <v>111</v>
      </c>
      <c r="D258" s="5" t="s">
        <v>231</v>
      </c>
      <c r="E258" s="5" t="n">
        <v>3</v>
      </c>
      <c r="F258" s="6" t="n">
        <f aca="false">IFERROR(MATCH(A258&amp;"|"&amp;B258&amp;"|"&amp;D258,'All Song Rankings'!$T:$T,0),0)</f>
        <v>43</v>
      </c>
      <c r="G258" s="6" t="str">
        <f aca="false">IF(F258=0,"NOT FOUND",INDEX('All Song Rankings'!$A:$A,F258))</f>
        <v>Save You a Seat</v>
      </c>
      <c r="H258" s="6" t="str">
        <f aca="false">IF(F258=0,"NOT FOUND",INDEX('All Song Rankings'!$B:$B,F258))</f>
        <v>Alex Warren</v>
      </c>
      <c r="I258" s="6" t="str">
        <f aca="false">IF(F258=0,"NOT FOUND",INDEX('All Song Rankings'!$D:$D,F258))</f>
        <v>Kelsey</v>
      </c>
      <c r="J258" s="7" t="str">
        <f aca="false">IF(F258=0,"NOT FOUND",IF(C258=I258,"SELF-VOTE",IF(COUNTIF($K:$K,K258)&gt;1,"DUPLICATE","OK")))</f>
        <v>OK</v>
      </c>
      <c r="K258" s="6" t="str">
        <f aca="false">A258&amp;"|"&amp;B258&amp;"|"&amp;C258&amp;"|"&amp;D258</f>
        <v>1|5|Collin|spotify:track:6pkRK6iZC2Yhhd172tC9Id</v>
      </c>
    </row>
    <row r="259" customFormat="false" ht="15" hidden="false" customHeight="false" outlineLevel="0" collapsed="false">
      <c r="A259" s="5" t="n">
        <v>1</v>
      </c>
      <c r="B259" s="5" t="n">
        <v>5</v>
      </c>
      <c r="C259" s="5" t="s">
        <v>111</v>
      </c>
      <c r="D259" s="5" t="s">
        <v>237</v>
      </c>
      <c r="E259" s="5" t="n">
        <v>5</v>
      </c>
      <c r="F259" s="6" t="n">
        <f aca="false">IFERROR(MATCH(A259&amp;"|"&amp;B259&amp;"|"&amp;D259,'All Song Rankings'!$T:$T,0),0)</f>
        <v>45</v>
      </c>
      <c r="G259" s="6" t="str">
        <f aca="false">IF(F259=0,"NOT FOUND",INDEX('All Song Rankings'!$A:$A,F259))</f>
        <v>When She Loved Me</v>
      </c>
      <c r="H259" s="6" t="str">
        <f aca="false">IF(F259=0,"NOT FOUND",INDEX('All Song Rankings'!$B:$B,F259))</f>
        <v>Sarah McLachlan</v>
      </c>
      <c r="I259" s="6" t="str">
        <f aca="false">IF(F259=0,"NOT FOUND",INDEX('All Song Rankings'!$D:$D,F259))</f>
        <v>Stephanie</v>
      </c>
      <c r="J259" s="7" t="str">
        <f aca="false">IF(F259=0,"NOT FOUND",IF(C259=I259,"SELF-VOTE",IF(COUNTIF($K:$K,K259)&gt;1,"DUPLICATE","OK")))</f>
        <v>OK</v>
      </c>
      <c r="K259" s="6" t="str">
        <f aca="false">A259&amp;"|"&amp;B259&amp;"|"&amp;C259&amp;"|"&amp;D259</f>
        <v>1|5|Collin|spotify:track:780W6YW5HFANQLR77Owern</v>
      </c>
    </row>
    <row r="260" customFormat="false" ht="15" hidden="false" customHeight="false" outlineLevel="0" collapsed="false">
      <c r="A260" s="5" t="n">
        <v>1</v>
      </c>
      <c r="B260" s="5" t="n">
        <v>5</v>
      </c>
      <c r="C260" s="5" t="s">
        <v>85</v>
      </c>
      <c r="D260" s="5" t="s">
        <v>240</v>
      </c>
      <c r="E260" s="5" t="n">
        <v>2</v>
      </c>
      <c r="F260" s="6" t="n">
        <f aca="false">IFERROR(MATCH(A260&amp;"|"&amp;B260&amp;"|"&amp;D260,'All Song Rankings'!$T:$T,0),0)</f>
        <v>46</v>
      </c>
      <c r="G260" s="6" t="str">
        <f aca="false">IF(F260=0,"NOT FOUND",INDEX('All Song Rankings'!$A:$A,F260))</f>
        <v>Orpheus</v>
      </c>
      <c r="H260" s="6" t="str">
        <f aca="false">IF(F260=0,"NOT FOUND",INDEX('All Song Rankings'!$B:$B,F260))</f>
        <v>mgk</v>
      </c>
      <c r="I260" s="6" t="str">
        <f aca="false">IF(F260=0,"NOT FOUND",INDEX('All Song Rankings'!$D:$D,F260))</f>
        <v>Nicole</v>
      </c>
      <c r="J260" s="7" t="str">
        <f aca="false">IF(F260=0,"NOT FOUND",IF(C260=I260,"SELF-VOTE",IF(COUNTIF($K:$K,K260)&gt;1,"DUPLICATE","OK")))</f>
        <v>OK</v>
      </c>
      <c r="K260" s="6" t="str">
        <f aca="false">A260&amp;"|"&amp;B260&amp;"|"&amp;C260&amp;"|"&amp;D260</f>
        <v>1|5|Kelsey|spotify:track:0a19Y5a4mXE75w2N6EV7y2</v>
      </c>
    </row>
    <row r="261" customFormat="false" ht="15" hidden="false" customHeight="false" outlineLevel="0" collapsed="false">
      <c r="A261" s="5" t="n">
        <v>1</v>
      </c>
      <c r="B261" s="5" t="n">
        <v>5</v>
      </c>
      <c r="C261" s="5" t="s">
        <v>85</v>
      </c>
      <c r="D261" s="5" t="s">
        <v>252</v>
      </c>
      <c r="E261" s="5" t="n">
        <v>1</v>
      </c>
      <c r="F261" s="6" t="n">
        <f aca="false">IFERROR(MATCH(A261&amp;"|"&amp;B261&amp;"|"&amp;D261,'All Song Rankings'!$T:$T,0),0)</f>
        <v>50</v>
      </c>
      <c r="G261" s="6" t="str">
        <f aca="false">IF(F261=0,"NOT FOUND",INDEX('All Song Rankings'!$A:$A,F261))</f>
        <v>WILDFLOWER</v>
      </c>
      <c r="H261" s="6" t="str">
        <f aca="false">IF(F261=0,"NOT FOUND",INDEX('All Song Rankings'!$B:$B,F261))</f>
        <v>Billie Eilish</v>
      </c>
      <c r="I261" s="6" t="str">
        <f aca="false">IF(F261=0,"NOT FOUND",INDEX('All Song Rankings'!$D:$D,F261))</f>
        <v>Olivia</v>
      </c>
      <c r="J261" s="7" t="str">
        <f aca="false">IF(F261=0,"NOT FOUND",IF(C261=I261,"SELF-VOTE",IF(COUNTIF($K:$K,K261)&gt;1,"DUPLICATE","OK")))</f>
        <v>OK</v>
      </c>
      <c r="K261" s="6" t="str">
        <f aca="false">A261&amp;"|"&amp;B261&amp;"|"&amp;C261&amp;"|"&amp;D261</f>
        <v>1|5|Kelsey|spotify:track:3QaPy1KgI7nu9FJEQUgn6h</v>
      </c>
    </row>
    <row r="262" customFormat="false" ht="15" hidden="false" customHeight="false" outlineLevel="0" collapsed="false">
      <c r="A262" s="5" t="n">
        <v>1</v>
      </c>
      <c r="B262" s="5" t="n">
        <v>5</v>
      </c>
      <c r="C262" s="5" t="s">
        <v>85</v>
      </c>
      <c r="D262" s="5" t="s">
        <v>234</v>
      </c>
      <c r="E262" s="5" t="n">
        <v>2</v>
      </c>
      <c r="F262" s="6" t="n">
        <f aca="false">IFERROR(MATCH(A262&amp;"|"&amp;B262&amp;"|"&amp;D262,'All Song Rankings'!$T:$T,0),0)</f>
        <v>44</v>
      </c>
      <c r="G262" s="6" t="str">
        <f aca="false">IF(F262=0,"NOT FOUND",INDEX('All Song Rankings'!$A:$A,F262))</f>
        <v>How Do I Say Goodbye</v>
      </c>
      <c r="H262" s="6" t="str">
        <f aca="false">IF(F262=0,"NOT FOUND",INDEX('All Song Rankings'!$B:$B,F262))</f>
        <v>Dean Lewis</v>
      </c>
      <c r="I262" s="6" t="str">
        <f aca="false">IF(F262=0,"NOT FOUND",INDEX('All Song Rankings'!$D:$D,F262))</f>
        <v>Matt</v>
      </c>
      <c r="J262" s="7" t="str">
        <f aca="false">IF(F262=0,"NOT FOUND",IF(C262=I262,"SELF-VOTE",IF(COUNTIF($K:$K,K262)&gt;1,"DUPLICATE","OK")))</f>
        <v>OK</v>
      </c>
      <c r="K262" s="6" t="str">
        <f aca="false">A262&amp;"|"&amp;B262&amp;"|"&amp;C262&amp;"|"&amp;D262</f>
        <v>1|5|Kelsey|spotify:track:5hnGrTBaEsdukpDF6aZg8a</v>
      </c>
    </row>
    <row r="263" customFormat="false" ht="15" hidden="false" customHeight="false" outlineLevel="0" collapsed="false">
      <c r="A263" s="5" t="n">
        <v>1</v>
      </c>
      <c r="B263" s="5" t="n">
        <v>5</v>
      </c>
      <c r="C263" s="5" t="s">
        <v>85</v>
      </c>
      <c r="D263" s="5" t="s">
        <v>249</v>
      </c>
      <c r="E263" s="5" t="n">
        <v>2</v>
      </c>
      <c r="F263" s="6" t="n">
        <f aca="false">IFERROR(MATCH(A263&amp;"|"&amp;B263&amp;"|"&amp;D263,'All Song Rankings'!$T:$T,0),0)</f>
        <v>49</v>
      </c>
      <c r="G263" s="6" t="str">
        <f aca="false">IF(F263=0,"NOT FOUND",INDEX('All Song Rankings'!$A:$A,F263))</f>
        <v>The Night We Met</v>
      </c>
      <c r="H263" s="6" t="str">
        <f aca="false">IF(F263=0,"NOT FOUND",INDEX('All Song Rankings'!$B:$B,F263))</f>
        <v>Lord Huron</v>
      </c>
      <c r="I263" s="6" t="str">
        <f aca="false">IF(F263=0,"NOT FOUND",INDEX('All Song Rankings'!$D:$D,F263))</f>
        <v>Merita</v>
      </c>
      <c r="J263" s="7" t="str">
        <f aca="false">IF(F263=0,"NOT FOUND",IF(C263=I263,"SELF-VOTE",IF(COUNTIF($K:$K,K263)&gt;1,"DUPLICATE","OK")))</f>
        <v>OK</v>
      </c>
      <c r="K263" s="6" t="str">
        <f aca="false">A263&amp;"|"&amp;B263&amp;"|"&amp;C263&amp;"|"&amp;D263</f>
        <v>1|5|Kelsey|spotify:track:5yJaXWIErrrsjQ3J0eR5aK</v>
      </c>
    </row>
    <row r="264" customFormat="false" ht="15" hidden="false" customHeight="false" outlineLevel="0" collapsed="false">
      <c r="A264" s="5" t="n">
        <v>1</v>
      </c>
      <c r="B264" s="5" t="n">
        <v>5</v>
      </c>
      <c r="C264" s="5" t="s">
        <v>85</v>
      </c>
      <c r="D264" s="5" t="s">
        <v>243</v>
      </c>
      <c r="E264" s="5" t="n">
        <v>2</v>
      </c>
      <c r="F264" s="6" t="n">
        <f aca="false">IFERROR(MATCH(A264&amp;"|"&amp;B264&amp;"|"&amp;D264,'All Song Rankings'!$T:$T,0),0)</f>
        <v>47</v>
      </c>
      <c r="G264" s="6" t="str">
        <f aca="false">IF(F264=0,"NOT FOUND",INDEX('All Song Rankings'!$A:$A,F264))</f>
        <v>Theodosia Reprise</v>
      </c>
      <c r="H264" s="6" t="str">
        <f aca="false">IF(F264=0,"NOT FOUND",INDEX('All Song Rankings'!$B:$B,F264))</f>
        <v>Sara Bareilles</v>
      </c>
      <c r="I264" s="6" t="str">
        <f aca="false">IF(F264=0,"NOT FOUND",INDEX('All Song Rankings'!$D:$D,F264))</f>
        <v>Logan</v>
      </c>
      <c r="J264" s="7" t="str">
        <f aca="false">IF(F264=0,"NOT FOUND",IF(C264=I264,"SELF-VOTE",IF(COUNTIF($K:$K,K264)&gt;1,"DUPLICATE","OK")))</f>
        <v>OK</v>
      </c>
      <c r="K264" s="6" t="str">
        <f aca="false">A264&amp;"|"&amp;B264&amp;"|"&amp;C264&amp;"|"&amp;D264</f>
        <v>1|5|Kelsey|spotify:track:6aWWF20lTBd9KgNc9IRIM2</v>
      </c>
    </row>
    <row r="265" customFormat="false" ht="15" hidden="false" customHeight="false" outlineLevel="0" collapsed="false">
      <c r="A265" s="5" t="n">
        <v>1</v>
      </c>
      <c r="B265" s="5" t="n">
        <v>5</v>
      </c>
      <c r="C265" s="5" t="s">
        <v>85</v>
      </c>
      <c r="D265" s="5" t="s">
        <v>237</v>
      </c>
      <c r="E265" s="5" t="n">
        <v>1</v>
      </c>
      <c r="F265" s="6" t="n">
        <f aca="false">IFERROR(MATCH(A265&amp;"|"&amp;B265&amp;"|"&amp;D265,'All Song Rankings'!$T:$T,0),0)</f>
        <v>45</v>
      </c>
      <c r="G265" s="6" t="str">
        <f aca="false">IF(F265=0,"NOT FOUND",INDEX('All Song Rankings'!$A:$A,F265))</f>
        <v>When She Loved Me</v>
      </c>
      <c r="H265" s="6" t="str">
        <f aca="false">IF(F265=0,"NOT FOUND",INDEX('All Song Rankings'!$B:$B,F265))</f>
        <v>Sarah McLachlan</v>
      </c>
      <c r="I265" s="6" t="str">
        <f aca="false">IF(F265=0,"NOT FOUND",INDEX('All Song Rankings'!$D:$D,F265))</f>
        <v>Stephanie</v>
      </c>
      <c r="J265" s="7" t="str">
        <f aca="false">IF(F265=0,"NOT FOUND",IF(C265=I265,"SELF-VOTE",IF(COUNTIF($K:$K,K265)&gt;1,"DUPLICATE","OK")))</f>
        <v>OK</v>
      </c>
      <c r="K265" s="6" t="str">
        <f aca="false">A265&amp;"|"&amp;B265&amp;"|"&amp;C265&amp;"|"&amp;D265</f>
        <v>1|5|Kelsey|spotify:track:780W6YW5HFANQLR77Owern</v>
      </c>
    </row>
    <row r="266" customFormat="false" ht="15" hidden="false" customHeight="false" outlineLevel="0" collapsed="false">
      <c r="A266" s="5" t="n">
        <v>1</v>
      </c>
      <c r="B266" s="5" t="n">
        <v>5</v>
      </c>
      <c r="C266" s="5" t="s">
        <v>106</v>
      </c>
      <c r="D266" s="5" t="s">
        <v>240</v>
      </c>
      <c r="E266" s="5" t="n">
        <v>2</v>
      </c>
      <c r="F266" s="6" t="n">
        <f aca="false">IFERROR(MATCH(A266&amp;"|"&amp;B266&amp;"|"&amp;D266,'All Song Rankings'!$T:$T,0),0)</f>
        <v>46</v>
      </c>
      <c r="G266" s="6" t="str">
        <f aca="false">IF(F266=0,"NOT FOUND",INDEX('All Song Rankings'!$A:$A,F266))</f>
        <v>Orpheus</v>
      </c>
      <c r="H266" s="6" t="str">
        <f aca="false">IF(F266=0,"NOT FOUND",INDEX('All Song Rankings'!$B:$B,F266))</f>
        <v>mgk</v>
      </c>
      <c r="I266" s="6" t="str">
        <f aca="false">IF(F266=0,"NOT FOUND",INDEX('All Song Rankings'!$D:$D,F266))</f>
        <v>Nicole</v>
      </c>
      <c r="J266" s="7" t="str">
        <f aca="false">IF(F266=0,"NOT FOUND",IF(C266=I266,"SELF-VOTE",IF(COUNTIF($K:$K,K266)&gt;1,"DUPLICATE","OK")))</f>
        <v>OK</v>
      </c>
      <c r="K266" s="6" t="str">
        <f aca="false">A266&amp;"|"&amp;B266&amp;"|"&amp;C266&amp;"|"&amp;D266</f>
        <v>1|5|Kristen|spotify:track:0a19Y5a4mXE75w2N6EV7y2</v>
      </c>
    </row>
    <row r="267" customFormat="false" ht="15" hidden="false" customHeight="false" outlineLevel="0" collapsed="false">
      <c r="A267" s="5" t="n">
        <v>1</v>
      </c>
      <c r="B267" s="5" t="n">
        <v>5</v>
      </c>
      <c r="C267" s="5" t="s">
        <v>106</v>
      </c>
      <c r="D267" s="5" t="s">
        <v>252</v>
      </c>
      <c r="E267" s="5" t="n">
        <v>1</v>
      </c>
      <c r="F267" s="6" t="n">
        <f aca="false">IFERROR(MATCH(A267&amp;"|"&amp;B267&amp;"|"&amp;D267,'All Song Rankings'!$T:$T,0),0)</f>
        <v>50</v>
      </c>
      <c r="G267" s="6" t="str">
        <f aca="false">IF(F267=0,"NOT FOUND",INDEX('All Song Rankings'!$A:$A,F267))</f>
        <v>WILDFLOWER</v>
      </c>
      <c r="H267" s="6" t="str">
        <f aca="false">IF(F267=0,"NOT FOUND",INDEX('All Song Rankings'!$B:$B,F267))</f>
        <v>Billie Eilish</v>
      </c>
      <c r="I267" s="6" t="str">
        <f aca="false">IF(F267=0,"NOT FOUND",INDEX('All Song Rankings'!$D:$D,F267))</f>
        <v>Olivia</v>
      </c>
      <c r="J267" s="7" t="str">
        <f aca="false">IF(F267=0,"NOT FOUND",IF(C267=I267,"SELF-VOTE",IF(COUNTIF($K:$K,K267)&gt;1,"DUPLICATE","OK")))</f>
        <v>OK</v>
      </c>
      <c r="K267" s="6" t="str">
        <f aca="false">A267&amp;"|"&amp;B267&amp;"|"&amp;C267&amp;"|"&amp;D267</f>
        <v>1|5|Kristen|spotify:track:3QaPy1KgI7nu9FJEQUgn6h</v>
      </c>
    </row>
    <row r="268" customFormat="false" ht="15" hidden="false" customHeight="false" outlineLevel="0" collapsed="false">
      <c r="A268" s="5" t="n">
        <v>1</v>
      </c>
      <c r="B268" s="5" t="n">
        <v>5</v>
      </c>
      <c r="C268" s="5" t="s">
        <v>106</v>
      </c>
      <c r="D268" s="5" t="s">
        <v>234</v>
      </c>
      <c r="E268" s="5" t="n">
        <v>2</v>
      </c>
      <c r="F268" s="6" t="n">
        <f aca="false">IFERROR(MATCH(A268&amp;"|"&amp;B268&amp;"|"&amp;D268,'All Song Rankings'!$T:$T,0),0)</f>
        <v>44</v>
      </c>
      <c r="G268" s="6" t="str">
        <f aca="false">IF(F268=0,"NOT FOUND",INDEX('All Song Rankings'!$A:$A,F268))</f>
        <v>How Do I Say Goodbye</v>
      </c>
      <c r="H268" s="6" t="str">
        <f aca="false">IF(F268=0,"NOT FOUND",INDEX('All Song Rankings'!$B:$B,F268))</f>
        <v>Dean Lewis</v>
      </c>
      <c r="I268" s="6" t="str">
        <f aca="false">IF(F268=0,"NOT FOUND",INDEX('All Song Rankings'!$D:$D,F268))</f>
        <v>Matt</v>
      </c>
      <c r="J268" s="7" t="str">
        <f aca="false">IF(F268=0,"NOT FOUND",IF(C268=I268,"SELF-VOTE",IF(COUNTIF($K:$K,K268)&gt;1,"DUPLICATE","OK")))</f>
        <v>OK</v>
      </c>
      <c r="K268" s="6" t="str">
        <f aca="false">A268&amp;"|"&amp;B268&amp;"|"&amp;C268&amp;"|"&amp;D268</f>
        <v>1|5|Kristen|spotify:track:5hnGrTBaEsdukpDF6aZg8a</v>
      </c>
    </row>
    <row r="269" customFormat="false" ht="15" hidden="false" customHeight="false" outlineLevel="0" collapsed="false">
      <c r="A269" s="5" t="n">
        <v>1</v>
      </c>
      <c r="B269" s="5" t="n">
        <v>5</v>
      </c>
      <c r="C269" s="5" t="s">
        <v>106</v>
      </c>
      <c r="D269" s="5" t="s">
        <v>249</v>
      </c>
      <c r="E269" s="5" t="n">
        <v>2</v>
      </c>
      <c r="F269" s="6" t="n">
        <f aca="false">IFERROR(MATCH(A269&amp;"|"&amp;B269&amp;"|"&amp;D269,'All Song Rankings'!$T:$T,0),0)</f>
        <v>49</v>
      </c>
      <c r="G269" s="6" t="str">
        <f aca="false">IF(F269=0,"NOT FOUND",INDEX('All Song Rankings'!$A:$A,F269))</f>
        <v>The Night We Met</v>
      </c>
      <c r="H269" s="6" t="str">
        <f aca="false">IF(F269=0,"NOT FOUND",INDEX('All Song Rankings'!$B:$B,F269))</f>
        <v>Lord Huron</v>
      </c>
      <c r="I269" s="6" t="str">
        <f aca="false">IF(F269=0,"NOT FOUND",INDEX('All Song Rankings'!$D:$D,F269))</f>
        <v>Merita</v>
      </c>
      <c r="J269" s="7" t="str">
        <f aca="false">IF(F269=0,"NOT FOUND",IF(C269=I269,"SELF-VOTE",IF(COUNTIF($K:$K,K269)&gt;1,"DUPLICATE","OK")))</f>
        <v>OK</v>
      </c>
      <c r="K269" s="6" t="str">
        <f aca="false">A269&amp;"|"&amp;B269&amp;"|"&amp;C269&amp;"|"&amp;D269</f>
        <v>1|5|Kristen|spotify:track:5yJaXWIErrrsjQ3J0eR5aK</v>
      </c>
    </row>
    <row r="270" customFormat="false" ht="15" hidden="false" customHeight="false" outlineLevel="0" collapsed="false">
      <c r="A270" s="5" t="n">
        <v>1</v>
      </c>
      <c r="B270" s="5" t="n">
        <v>5</v>
      </c>
      <c r="C270" s="5" t="s">
        <v>106</v>
      </c>
      <c r="D270" s="5" t="s">
        <v>243</v>
      </c>
      <c r="E270" s="5" t="n">
        <v>1</v>
      </c>
      <c r="F270" s="6" t="n">
        <f aca="false">IFERROR(MATCH(A270&amp;"|"&amp;B270&amp;"|"&amp;D270,'All Song Rankings'!$T:$T,0),0)</f>
        <v>47</v>
      </c>
      <c r="G270" s="6" t="str">
        <f aca="false">IF(F270=0,"NOT FOUND",INDEX('All Song Rankings'!$A:$A,F270))</f>
        <v>Theodosia Reprise</v>
      </c>
      <c r="H270" s="6" t="str">
        <f aca="false">IF(F270=0,"NOT FOUND",INDEX('All Song Rankings'!$B:$B,F270))</f>
        <v>Sara Bareilles</v>
      </c>
      <c r="I270" s="6" t="str">
        <f aca="false">IF(F270=0,"NOT FOUND",INDEX('All Song Rankings'!$D:$D,F270))</f>
        <v>Logan</v>
      </c>
      <c r="J270" s="7" t="str">
        <f aca="false">IF(F270=0,"NOT FOUND",IF(C270=I270,"SELF-VOTE",IF(COUNTIF($K:$K,K270)&gt;1,"DUPLICATE","OK")))</f>
        <v>OK</v>
      </c>
      <c r="K270" s="6" t="str">
        <f aca="false">A270&amp;"|"&amp;B270&amp;"|"&amp;C270&amp;"|"&amp;D270</f>
        <v>1|5|Kristen|spotify:track:6aWWF20lTBd9KgNc9IRIM2</v>
      </c>
    </row>
    <row r="271" customFormat="false" ht="15" hidden="false" customHeight="false" outlineLevel="0" collapsed="false">
      <c r="A271" s="5" t="n">
        <v>1</v>
      </c>
      <c r="B271" s="5" t="n">
        <v>5</v>
      </c>
      <c r="C271" s="5" t="s">
        <v>106</v>
      </c>
      <c r="D271" s="5" t="s">
        <v>231</v>
      </c>
      <c r="E271" s="5" t="n">
        <v>2</v>
      </c>
      <c r="F271" s="6" t="n">
        <f aca="false">IFERROR(MATCH(A271&amp;"|"&amp;B271&amp;"|"&amp;D271,'All Song Rankings'!$T:$T,0),0)</f>
        <v>43</v>
      </c>
      <c r="G271" s="6" t="str">
        <f aca="false">IF(F271=0,"NOT FOUND",INDEX('All Song Rankings'!$A:$A,F271))</f>
        <v>Save You a Seat</v>
      </c>
      <c r="H271" s="6" t="str">
        <f aca="false">IF(F271=0,"NOT FOUND",INDEX('All Song Rankings'!$B:$B,F271))</f>
        <v>Alex Warren</v>
      </c>
      <c r="I271" s="6" t="str">
        <f aca="false">IF(F271=0,"NOT FOUND",INDEX('All Song Rankings'!$D:$D,F271))</f>
        <v>Kelsey</v>
      </c>
      <c r="J271" s="7" t="str">
        <f aca="false">IF(F271=0,"NOT FOUND",IF(C271=I271,"SELF-VOTE",IF(COUNTIF($K:$K,K271)&gt;1,"DUPLICATE","OK")))</f>
        <v>OK</v>
      </c>
      <c r="K271" s="6" t="str">
        <f aca="false">A271&amp;"|"&amp;B271&amp;"|"&amp;C271&amp;"|"&amp;D271</f>
        <v>1|5|Kristen|spotify:track:6pkRK6iZC2Yhhd172tC9Id</v>
      </c>
    </row>
    <row r="272" customFormat="false" ht="15" hidden="false" customHeight="false" outlineLevel="0" collapsed="false">
      <c r="A272" s="5" t="n">
        <v>1</v>
      </c>
      <c r="B272" s="5" t="n">
        <v>5</v>
      </c>
      <c r="C272" s="5" t="s">
        <v>119</v>
      </c>
      <c r="D272" s="5" t="s">
        <v>240</v>
      </c>
      <c r="E272" s="5" t="n">
        <v>1</v>
      </c>
      <c r="F272" s="6" t="n">
        <f aca="false">IFERROR(MATCH(A272&amp;"|"&amp;B272&amp;"|"&amp;D272,'All Song Rankings'!$T:$T,0),0)</f>
        <v>46</v>
      </c>
      <c r="G272" s="6" t="str">
        <f aca="false">IF(F272=0,"NOT FOUND",INDEX('All Song Rankings'!$A:$A,F272))</f>
        <v>Orpheus</v>
      </c>
      <c r="H272" s="6" t="str">
        <f aca="false">IF(F272=0,"NOT FOUND",INDEX('All Song Rankings'!$B:$B,F272))</f>
        <v>mgk</v>
      </c>
      <c r="I272" s="6" t="str">
        <f aca="false">IF(F272=0,"NOT FOUND",INDEX('All Song Rankings'!$D:$D,F272))</f>
        <v>Nicole</v>
      </c>
      <c r="J272" s="7" t="str">
        <f aca="false">IF(F272=0,"NOT FOUND",IF(C272=I272,"SELF-VOTE",IF(COUNTIF($K:$K,K272)&gt;1,"DUPLICATE","OK")))</f>
        <v>OK</v>
      </c>
      <c r="K272" s="6" t="str">
        <f aca="false">A272&amp;"|"&amp;B272&amp;"|"&amp;C272&amp;"|"&amp;D272</f>
        <v>1|5|Leah|spotify:track:0a19Y5a4mXE75w2N6EV7y2</v>
      </c>
    </row>
    <row r="273" customFormat="false" ht="15" hidden="false" customHeight="false" outlineLevel="0" collapsed="false">
      <c r="A273" s="5" t="n">
        <v>1</v>
      </c>
      <c r="B273" s="5" t="n">
        <v>5</v>
      </c>
      <c r="C273" s="5" t="s">
        <v>119</v>
      </c>
      <c r="D273" s="5" t="s">
        <v>245</v>
      </c>
      <c r="E273" s="5" t="n">
        <v>3</v>
      </c>
      <c r="F273" s="6" t="n">
        <f aca="false">IFERROR(MATCH(A273&amp;"|"&amp;B273&amp;"|"&amp;D273,'All Song Rankings'!$T:$T,0),0)</f>
        <v>48</v>
      </c>
      <c r="G273" s="6" t="str">
        <f aca="false">IF(F273=0,"NOT FOUND",INDEX('All Song Rankings'!$A:$A,F273))</f>
        <v>Gethsemane</v>
      </c>
      <c r="H273" s="6" t="str">
        <f aca="false">IF(F273=0,"NOT FOUND",INDEX('All Song Rankings'!$B:$B,F273))</f>
        <v>Sleep Token</v>
      </c>
      <c r="I273" s="6" t="str">
        <f aca="false">IF(F273=0,"NOT FOUND",INDEX('All Song Rankings'!$D:$D,F273))</f>
        <v>Kristen</v>
      </c>
      <c r="J273" s="7" t="str">
        <f aca="false">IF(F273=0,"NOT FOUND",IF(C273=I273,"SELF-VOTE",IF(COUNTIF($K:$K,K273)&gt;1,"DUPLICATE","OK")))</f>
        <v>OK</v>
      </c>
      <c r="K273" s="6" t="str">
        <f aca="false">A273&amp;"|"&amp;B273&amp;"|"&amp;C273&amp;"|"&amp;D273</f>
        <v>1|5|Leah|spotify:track:29JLgNBcOky7QB68OrvYxO</v>
      </c>
    </row>
    <row r="274" customFormat="false" ht="15" hidden="false" customHeight="false" outlineLevel="0" collapsed="false">
      <c r="A274" s="5" t="n">
        <v>1</v>
      </c>
      <c r="B274" s="5" t="n">
        <v>5</v>
      </c>
      <c r="C274" s="5" t="s">
        <v>119</v>
      </c>
      <c r="D274" s="5" t="s">
        <v>234</v>
      </c>
      <c r="E274" s="5" t="n">
        <v>1</v>
      </c>
      <c r="F274" s="6" t="n">
        <f aca="false">IFERROR(MATCH(A274&amp;"|"&amp;B274&amp;"|"&amp;D274,'All Song Rankings'!$T:$T,0),0)</f>
        <v>44</v>
      </c>
      <c r="G274" s="6" t="str">
        <f aca="false">IF(F274=0,"NOT FOUND",INDEX('All Song Rankings'!$A:$A,F274))</f>
        <v>How Do I Say Goodbye</v>
      </c>
      <c r="H274" s="6" t="str">
        <f aca="false">IF(F274=0,"NOT FOUND",INDEX('All Song Rankings'!$B:$B,F274))</f>
        <v>Dean Lewis</v>
      </c>
      <c r="I274" s="6" t="str">
        <f aca="false">IF(F274=0,"NOT FOUND",INDEX('All Song Rankings'!$D:$D,F274))</f>
        <v>Matt</v>
      </c>
      <c r="J274" s="7" t="str">
        <f aca="false">IF(F274=0,"NOT FOUND",IF(C274=I274,"SELF-VOTE",IF(COUNTIF($K:$K,K274)&gt;1,"DUPLICATE","OK")))</f>
        <v>OK</v>
      </c>
      <c r="K274" s="6" t="str">
        <f aca="false">A274&amp;"|"&amp;B274&amp;"|"&amp;C274&amp;"|"&amp;D274</f>
        <v>1|5|Leah|spotify:track:5hnGrTBaEsdukpDF6aZg8a</v>
      </c>
    </row>
    <row r="275" customFormat="false" ht="15" hidden="false" customHeight="false" outlineLevel="0" collapsed="false">
      <c r="A275" s="5" t="n">
        <v>1</v>
      </c>
      <c r="B275" s="5" t="n">
        <v>5</v>
      </c>
      <c r="C275" s="5" t="s">
        <v>119</v>
      </c>
      <c r="D275" s="5" t="s">
        <v>249</v>
      </c>
      <c r="E275" s="5" t="n">
        <v>1</v>
      </c>
      <c r="F275" s="6" t="n">
        <f aca="false">IFERROR(MATCH(A275&amp;"|"&amp;B275&amp;"|"&amp;D275,'All Song Rankings'!$T:$T,0),0)</f>
        <v>49</v>
      </c>
      <c r="G275" s="6" t="str">
        <f aca="false">IF(F275=0,"NOT FOUND",INDEX('All Song Rankings'!$A:$A,F275))</f>
        <v>The Night We Met</v>
      </c>
      <c r="H275" s="6" t="str">
        <f aca="false">IF(F275=0,"NOT FOUND",INDEX('All Song Rankings'!$B:$B,F275))</f>
        <v>Lord Huron</v>
      </c>
      <c r="I275" s="6" t="str">
        <f aca="false">IF(F275=0,"NOT FOUND",INDEX('All Song Rankings'!$D:$D,F275))</f>
        <v>Merita</v>
      </c>
      <c r="J275" s="7" t="str">
        <f aca="false">IF(F275=0,"NOT FOUND",IF(C275=I275,"SELF-VOTE",IF(COUNTIF($K:$K,K275)&gt;1,"DUPLICATE","OK")))</f>
        <v>OK</v>
      </c>
      <c r="K275" s="6" t="str">
        <f aca="false">A275&amp;"|"&amp;B275&amp;"|"&amp;C275&amp;"|"&amp;D275</f>
        <v>1|5|Leah|spotify:track:5yJaXWIErrrsjQ3J0eR5aK</v>
      </c>
    </row>
    <row r="276" customFormat="false" ht="15" hidden="false" customHeight="false" outlineLevel="0" collapsed="false">
      <c r="A276" s="5" t="n">
        <v>1</v>
      </c>
      <c r="B276" s="5" t="n">
        <v>5</v>
      </c>
      <c r="C276" s="5" t="s">
        <v>119</v>
      </c>
      <c r="D276" s="5" t="s">
        <v>243</v>
      </c>
      <c r="E276" s="5" t="n">
        <v>1</v>
      </c>
      <c r="F276" s="6" t="n">
        <f aca="false">IFERROR(MATCH(A276&amp;"|"&amp;B276&amp;"|"&amp;D276,'All Song Rankings'!$T:$T,0),0)</f>
        <v>47</v>
      </c>
      <c r="G276" s="6" t="str">
        <f aca="false">IF(F276=0,"NOT FOUND",INDEX('All Song Rankings'!$A:$A,F276))</f>
        <v>Theodosia Reprise</v>
      </c>
      <c r="H276" s="6" t="str">
        <f aca="false">IF(F276=0,"NOT FOUND",INDEX('All Song Rankings'!$B:$B,F276))</f>
        <v>Sara Bareilles</v>
      </c>
      <c r="I276" s="6" t="str">
        <f aca="false">IF(F276=0,"NOT FOUND",INDEX('All Song Rankings'!$D:$D,F276))</f>
        <v>Logan</v>
      </c>
      <c r="J276" s="7" t="str">
        <f aca="false">IF(F276=0,"NOT FOUND",IF(C276=I276,"SELF-VOTE",IF(COUNTIF($K:$K,K276)&gt;1,"DUPLICATE","OK")))</f>
        <v>OK</v>
      </c>
      <c r="K276" s="6" t="str">
        <f aca="false">A276&amp;"|"&amp;B276&amp;"|"&amp;C276&amp;"|"&amp;D276</f>
        <v>1|5|Leah|spotify:track:6aWWF20lTBd9KgNc9IRIM2</v>
      </c>
    </row>
    <row r="277" customFormat="false" ht="15" hidden="false" customHeight="false" outlineLevel="0" collapsed="false">
      <c r="A277" s="5" t="n">
        <v>1</v>
      </c>
      <c r="B277" s="5" t="n">
        <v>5</v>
      </c>
      <c r="C277" s="5" t="s">
        <v>119</v>
      </c>
      <c r="D277" s="5" t="s">
        <v>231</v>
      </c>
      <c r="E277" s="5" t="n">
        <v>3</v>
      </c>
      <c r="F277" s="6" t="n">
        <f aca="false">IFERROR(MATCH(A277&amp;"|"&amp;B277&amp;"|"&amp;D277,'All Song Rankings'!$T:$T,0),0)</f>
        <v>43</v>
      </c>
      <c r="G277" s="6" t="str">
        <f aca="false">IF(F277=0,"NOT FOUND",INDEX('All Song Rankings'!$A:$A,F277))</f>
        <v>Save You a Seat</v>
      </c>
      <c r="H277" s="6" t="str">
        <f aca="false">IF(F277=0,"NOT FOUND",INDEX('All Song Rankings'!$B:$B,F277))</f>
        <v>Alex Warren</v>
      </c>
      <c r="I277" s="6" t="str">
        <f aca="false">IF(F277=0,"NOT FOUND",INDEX('All Song Rankings'!$D:$D,F277))</f>
        <v>Kelsey</v>
      </c>
      <c r="J277" s="7" t="str">
        <f aca="false">IF(F277=0,"NOT FOUND",IF(C277=I277,"SELF-VOTE",IF(COUNTIF($K:$K,K277)&gt;1,"DUPLICATE","OK")))</f>
        <v>OK</v>
      </c>
      <c r="K277" s="6" t="str">
        <f aca="false">A277&amp;"|"&amp;B277&amp;"|"&amp;C277&amp;"|"&amp;D277</f>
        <v>1|5|Leah|spotify:track:6pkRK6iZC2Yhhd172tC9Id</v>
      </c>
    </row>
    <row r="278" customFormat="false" ht="15" hidden="false" customHeight="false" outlineLevel="0" collapsed="false">
      <c r="A278" s="5" t="n">
        <v>1</v>
      </c>
      <c r="B278" s="5" t="n">
        <v>5</v>
      </c>
      <c r="C278" s="5" t="s">
        <v>128</v>
      </c>
      <c r="D278" s="5" t="s">
        <v>240</v>
      </c>
      <c r="E278" s="5" t="n">
        <v>3</v>
      </c>
      <c r="F278" s="6" t="n">
        <f aca="false">IFERROR(MATCH(A278&amp;"|"&amp;B278&amp;"|"&amp;D278,'All Song Rankings'!$T:$T,0),0)</f>
        <v>46</v>
      </c>
      <c r="G278" s="6" t="str">
        <f aca="false">IF(F278=0,"NOT FOUND",INDEX('All Song Rankings'!$A:$A,F278))</f>
        <v>Orpheus</v>
      </c>
      <c r="H278" s="6" t="str">
        <f aca="false">IF(F278=0,"NOT FOUND",INDEX('All Song Rankings'!$B:$B,F278))</f>
        <v>mgk</v>
      </c>
      <c r="I278" s="6" t="str">
        <f aca="false">IF(F278=0,"NOT FOUND",INDEX('All Song Rankings'!$D:$D,F278))</f>
        <v>Nicole</v>
      </c>
      <c r="J278" s="7" t="str">
        <f aca="false">IF(F278=0,"NOT FOUND",IF(C278=I278,"SELF-VOTE",IF(COUNTIF($K:$K,K278)&gt;1,"DUPLICATE","OK")))</f>
        <v>OK</v>
      </c>
      <c r="K278" s="6" t="str">
        <f aca="false">A278&amp;"|"&amp;B278&amp;"|"&amp;C278&amp;"|"&amp;D278</f>
        <v>1|5|Logan|spotify:track:0a19Y5a4mXE75w2N6EV7y2</v>
      </c>
    </row>
    <row r="279" customFormat="false" ht="15" hidden="false" customHeight="false" outlineLevel="0" collapsed="false">
      <c r="A279" s="5" t="n">
        <v>1</v>
      </c>
      <c r="B279" s="5" t="n">
        <v>5</v>
      </c>
      <c r="C279" s="5" t="s">
        <v>128</v>
      </c>
      <c r="D279" s="5" t="s">
        <v>245</v>
      </c>
      <c r="E279" s="5" t="n">
        <v>1</v>
      </c>
      <c r="F279" s="6" t="n">
        <f aca="false">IFERROR(MATCH(A279&amp;"|"&amp;B279&amp;"|"&amp;D279,'All Song Rankings'!$T:$T,0),0)</f>
        <v>48</v>
      </c>
      <c r="G279" s="6" t="str">
        <f aca="false">IF(F279=0,"NOT FOUND",INDEX('All Song Rankings'!$A:$A,F279))</f>
        <v>Gethsemane</v>
      </c>
      <c r="H279" s="6" t="str">
        <f aca="false">IF(F279=0,"NOT FOUND",INDEX('All Song Rankings'!$B:$B,F279))</f>
        <v>Sleep Token</v>
      </c>
      <c r="I279" s="6" t="str">
        <f aca="false">IF(F279=0,"NOT FOUND",INDEX('All Song Rankings'!$D:$D,F279))</f>
        <v>Kristen</v>
      </c>
      <c r="J279" s="7" t="str">
        <f aca="false">IF(F279=0,"NOT FOUND",IF(C279=I279,"SELF-VOTE",IF(COUNTIF($K:$K,K279)&gt;1,"DUPLICATE","OK")))</f>
        <v>OK</v>
      </c>
      <c r="K279" s="6" t="str">
        <f aca="false">A279&amp;"|"&amp;B279&amp;"|"&amp;C279&amp;"|"&amp;D279</f>
        <v>1|5|Logan|spotify:track:29JLgNBcOky7QB68OrvYxO</v>
      </c>
    </row>
    <row r="280" customFormat="false" ht="15" hidden="false" customHeight="false" outlineLevel="0" collapsed="false">
      <c r="A280" s="5" t="n">
        <v>1</v>
      </c>
      <c r="B280" s="5" t="n">
        <v>5</v>
      </c>
      <c r="C280" s="5" t="s">
        <v>128</v>
      </c>
      <c r="D280" s="5" t="s">
        <v>257</v>
      </c>
      <c r="E280" s="5" t="n">
        <v>2</v>
      </c>
      <c r="F280" s="6" t="n">
        <f aca="false">IFERROR(MATCH(A280&amp;"|"&amp;B280&amp;"|"&amp;D280,'All Song Rankings'!$T:$T,0),0)</f>
        <v>52</v>
      </c>
      <c r="G280" s="6" t="str">
        <f aca="false">IF(F280=0,"NOT FOUND",INDEX('All Song Rankings'!$A:$A,F280))</f>
        <v>Believe</v>
      </c>
      <c r="H280" s="6" t="str">
        <f aca="false">IF(F280=0,"NOT FOUND",INDEX('All Song Rankings'!$B:$B,F280))</f>
        <v>Cher</v>
      </c>
      <c r="I280" s="6" t="str">
        <f aca="false">IF(F280=0,"NOT FOUND",INDEX('All Song Rankings'!$D:$D,F280))</f>
        <v>Collin</v>
      </c>
      <c r="J280" s="7" t="str">
        <f aca="false">IF(F280=0,"NOT FOUND",IF(C280=I280,"SELF-VOTE",IF(COUNTIF($K:$K,K280)&gt;1,"DUPLICATE","OK")))</f>
        <v>OK</v>
      </c>
      <c r="K280" s="6" t="str">
        <f aca="false">A280&amp;"|"&amp;B280&amp;"|"&amp;C280&amp;"|"&amp;D280</f>
        <v>1|5|Logan|spotify:track:2goLsvvODILDzeeiT4dAoR</v>
      </c>
    </row>
    <row r="281" customFormat="false" ht="15" hidden="false" customHeight="false" outlineLevel="0" collapsed="false">
      <c r="A281" s="5" t="n">
        <v>1</v>
      </c>
      <c r="B281" s="5" t="n">
        <v>5</v>
      </c>
      <c r="C281" s="5" t="s">
        <v>128</v>
      </c>
      <c r="D281" s="5" t="s">
        <v>252</v>
      </c>
      <c r="E281" s="5" t="n">
        <v>1</v>
      </c>
      <c r="F281" s="6" t="n">
        <f aca="false">IFERROR(MATCH(A281&amp;"|"&amp;B281&amp;"|"&amp;D281,'All Song Rankings'!$T:$T,0),0)</f>
        <v>50</v>
      </c>
      <c r="G281" s="6" t="str">
        <f aca="false">IF(F281=0,"NOT FOUND",INDEX('All Song Rankings'!$A:$A,F281))</f>
        <v>WILDFLOWER</v>
      </c>
      <c r="H281" s="6" t="str">
        <f aca="false">IF(F281=0,"NOT FOUND",INDEX('All Song Rankings'!$B:$B,F281))</f>
        <v>Billie Eilish</v>
      </c>
      <c r="I281" s="6" t="str">
        <f aca="false">IF(F281=0,"NOT FOUND",INDEX('All Song Rankings'!$D:$D,F281))</f>
        <v>Olivia</v>
      </c>
      <c r="J281" s="7" t="str">
        <f aca="false">IF(F281=0,"NOT FOUND",IF(C281=I281,"SELF-VOTE",IF(COUNTIF($K:$K,K281)&gt;1,"DUPLICATE","OK")))</f>
        <v>OK</v>
      </c>
      <c r="K281" s="6" t="str">
        <f aca="false">A281&amp;"|"&amp;B281&amp;"|"&amp;C281&amp;"|"&amp;D281</f>
        <v>1|5|Logan|spotify:track:3QaPy1KgI7nu9FJEQUgn6h</v>
      </c>
    </row>
    <row r="282" customFormat="false" ht="15" hidden="false" customHeight="false" outlineLevel="0" collapsed="false">
      <c r="A282" s="5" t="n">
        <v>1</v>
      </c>
      <c r="B282" s="5" t="n">
        <v>5</v>
      </c>
      <c r="C282" s="5" t="s">
        <v>128</v>
      </c>
      <c r="D282" s="5" t="s">
        <v>234</v>
      </c>
      <c r="E282" s="5" t="n">
        <v>2</v>
      </c>
      <c r="F282" s="6" t="n">
        <f aca="false">IFERROR(MATCH(A282&amp;"|"&amp;B282&amp;"|"&amp;D282,'All Song Rankings'!$T:$T,0),0)</f>
        <v>44</v>
      </c>
      <c r="G282" s="6" t="str">
        <f aca="false">IF(F282=0,"NOT FOUND",INDEX('All Song Rankings'!$A:$A,F282))</f>
        <v>How Do I Say Goodbye</v>
      </c>
      <c r="H282" s="6" t="str">
        <f aca="false">IF(F282=0,"NOT FOUND",INDEX('All Song Rankings'!$B:$B,F282))</f>
        <v>Dean Lewis</v>
      </c>
      <c r="I282" s="6" t="str">
        <f aca="false">IF(F282=0,"NOT FOUND",INDEX('All Song Rankings'!$D:$D,F282))</f>
        <v>Matt</v>
      </c>
      <c r="J282" s="7" t="str">
        <f aca="false">IF(F282=0,"NOT FOUND",IF(C282=I282,"SELF-VOTE",IF(COUNTIF($K:$K,K282)&gt;1,"DUPLICATE","OK")))</f>
        <v>OK</v>
      </c>
      <c r="K282" s="6" t="str">
        <f aca="false">A282&amp;"|"&amp;B282&amp;"|"&amp;C282&amp;"|"&amp;D282</f>
        <v>1|5|Logan|spotify:track:5hnGrTBaEsdukpDF6aZg8a</v>
      </c>
    </row>
    <row r="283" customFormat="false" ht="15" hidden="false" customHeight="false" outlineLevel="0" collapsed="false">
      <c r="A283" s="5" t="n">
        <v>1</v>
      </c>
      <c r="B283" s="5" t="n">
        <v>5</v>
      </c>
      <c r="C283" s="5" t="s">
        <v>128</v>
      </c>
      <c r="D283" s="5" t="s">
        <v>237</v>
      </c>
      <c r="E283" s="5" t="n">
        <v>1</v>
      </c>
      <c r="F283" s="6" t="n">
        <f aca="false">IFERROR(MATCH(A283&amp;"|"&amp;B283&amp;"|"&amp;D283,'All Song Rankings'!$T:$T,0),0)</f>
        <v>45</v>
      </c>
      <c r="G283" s="6" t="str">
        <f aca="false">IF(F283=0,"NOT FOUND",INDEX('All Song Rankings'!$A:$A,F283))</f>
        <v>When She Loved Me</v>
      </c>
      <c r="H283" s="6" t="str">
        <f aca="false">IF(F283=0,"NOT FOUND",INDEX('All Song Rankings'!$B:$B,F283))</f>
        <v>Sarah McLachlan</v>
      </c>
      <c r="I283" s="6" t="str">
        <f aca="false">IF(F283=0,"NOT FOUND",INDEX('All Song Rankings'!$D:$D,F283))</f>
        <v>Stephanie</v>
      </c>
      <c r="J283" s="7" t="str">
        <f aca="false">IF(F283=0,"NOT FOUND",IF(C283=I283,"SELF-VOTE",IF(COUNTIF($K:$K,K283)&gt;1,"DUPLICATE","OK")))</f>
        <v>OK</v>
      </c>
      <c r="K283" s="6" t="str">
        <f aca="false">A283&amp;"|"&amp;B283&amp;"|"&amp;C283&amp;"|"&amp;D283</f>
        <v>1|5|Logan|spotify:track:780W6YW5HFANQLR77Owern</v>
      </c>
    </row>
    <row r="284" customFormat="false" ht="15" hidden="false" customHeight="false" outlineLevel="0" collapsed="false">
      <c r="A284" s="5" t="n">
        <v>1</v>
      </c>
      <c r="B284" s="5" t="n">
        <v>5</v>
      </c>
      <c r="C284" s="5" t="s">
        <v>116</v>
      </c>
      <c r="D284" s="5" t="s">
        <v>240</v>
      </c>
      <c r="E284" s="5" t="n">
        <v>3</v>
      </c>
      <c r="F284" s="6" t="n">
        <f aca="false">IFERROR(MATCH(A284&amp;"|"&amp;B284&amp;"|"&amp;D284,'All Song Rankings'!$T:$T,0),0)</f>
        <v>46</v>
      </c>
      <c r="G284" s="6" t="str">
        <f aca="false">IF(F284=0,"NOT FOUND",INDEX('All Song Rankings'!$A:$A,F284))</f>
        <v>Orpheus</v>
      </c>
      <c r="H284" s="6" t="str">
        <f aca="false">IF(F284=0,"NOT FOUND",INDEX('All Song Rankings'!$B:$B,F284))</f>
        <v>mgk</v>
      </c>
      <c r="I284" s="6" t="str">
        <f aca="false">IF(F284=0,"NOT FOUND",INDEX('All Song Rankings'!$D:$D,F284))</f>
        <v>Nicole</v>
      </c>
      <c r="J284" s="7" t="str">
        <f aca="false">IF(F284=0,"NOT FOUND",IF(C284=I284,"SELF-VOTE",IF(COUNTIF($K:$K,K284)&gt;1,"DUPLICATE","OK")))</f>
        <v>OK</v>
      </c>
      <c r="K284" s="6" t="str">
        <f aca="false">A284&amp;"|"&amp;B284&amp;"|"&amp;C284&amp;"|"&amp;D284</f>
        <v>1|5|Matt|spotify:track:0a19Y5a4mXE75w2N6EV7y2</v>
      </c>
    </row>
    <row r="285" customFormat="false" ht="15" hidden="false" customHeight="false" outlineLevel="0" collapsed="false">
      <c r="A285" s="5" t="n">
        <v>1</v>
      </c>
      <c r="B285" s="5" t="n">
        <v>5</v>
      </c>
      <c r="C285" s="5" t="s">
        <v>116</v>
      </c>
      <c r="D285" s="5" t="s">
        <v>245</v>
      </c>
      <c r="E285" s="5" t="n">
        <v>1</v>
      </c>
      <c r="F285" s="6" t="n">
        <f aca="false">IFERROR(MATCH(A285&amp;"|"&amp;B285&amp;"|"&amp;D285,'All Song Rankings'!$T:$T,0),0)</f>
        <v>48</v>
      </c>
      <c r="G285" s="6" t="str">
        <f aca="false">IF(F285=0,"NOT FOUND",INDEX('All Song Rankings'!$A:$A,F285))</f>
        <v>Gethsemane</v>
      </c>
      <c r="H285" s="6" t="str">
        <f aca="false">IF(F285=0,"NOT FOUND",INDEX('All Song Rankings'!$B:$B,F285))</f>
        <v>Sleep Token</v>
      </c>
      <c r="I285" s="6" t="str">
        <f aca="false">IF(F285=0,"NOT FOUND",INDEX('All Song Rankings'!$D:$D,F285))</f>
        <v>Kristen</v>
      </c>
      <c r="J285" s="7" t="str">
        <f aca="false">IF(F285=0,"NOT FOUND",IF(C285=I285,"SELF-VOTE",IF(COUNTIF($K:$K,K285)&gt;1,"DUPLICATE","OK")))</f>
        <v>OK</v>
      </c>
      <c r="K285" s="6" t="str">
        <f aca="false">A285&amp;"|"&amp;B285&amp;"|"&amp;C285&amp;"|"&amp;D285</f>
        <v>1|5|Matt|spotify:track:29JLgNBcOky7QB68OrvYxO</v>
      </c>
    </row>
    <row r="286" customFormat="false" ht="15" hidden="false" customHeight="false" outlineLevel="0" collapsed="false">
      <c r="A286" s="5" t="n">
        <v>1</v>
      </c>
      <c r="B286" s="5" t="n">
        <v>5</v>
      </c>
      <c r="C286" s="5" t="s">
        <v>116</v>
      </c>
      <c r="D286" s="5" t="s">
        <v>252</v>
      </c>
      <c r="E286" s="5" t="n">
        <v>1</v>
      </c>
      <c r="F286" s="6" t="n">
        <f aca="false">IFERROR(MATCH(A286&amp;"|"&amp;B286&amp;"|"&amp;D286,'All Song Rankings'!$T:$T,0),0)</f>
        <v>50</v>
      </c>
      <c r="G286" s="6" t="str">
        <f aca="false">IF(F286=0,"NOT FOUND",INDEX('All Song Rankings'!$A:$A,F286))</f>
        <v>WILDFLOWER</v>
      </c>
      <c r="H286" s="6" t="str">
        <f aca="false">IF(F286=0,"NOT FOUND",INDEX('All Song Rankings'!$B:$B,F286))</f>
        <v>Billie Eilish</v>
      </c>
      <c r="I286" s="6" t="str">
        <f aca="false">IF(F286=0,"NOT FOUND",INDEX('All Song Rankings'!$D:$D,F286))</f>
        <v>Olivia</v>
      </c>
      <c r="J286" s="7" t="str">
        <f aca="false">IF(F286=0,"NOT FOUND",IF(C286=I286,"SELF-VOTE",IF(COUNTIF($K:$K,K286)&gt;1,"DUPLICATE","OK")))</f>
        <v>OK</v>
      </c>
      <c r="K286" s="6" t="str">
        <f aca="false">A286&amp;"|"&amp;B286&amp;"|"&amp;C286&amp;"|"&amp;D286</f>
        <v>1|5|Matt|spotify:track:3QaPy1KgI7nu9FJEQUgn6h</v>
      </c>
    </row>
    <row r="287" customFormat="false" ht="15" hidden="false" customHeight="false" outlineLevel="0" collapsed="false">
      <c r="A287" s="5" t="n">
        <v>1</v>
      </c>
      <c r="B287" s="5" t="n">
        <v>5</v>
      </c>
      <c r="C287" s="5" t="s">
        <v>116</v>
      </c>
      <c r="D287" s="5" t="s">
        <v>231</v>
      </c>
      <c r="E287" s="5" t="n">
        <v>3</v>
      </c>
      <c r="F287" s="6" t="n">
        <f aca="false">IFERROR(MATCH(A287&amp;"|"&amp;B287&amp;"|"&amp;D287,'All Song Rankings'!$T:$T,0),0)</f>
        <v>43</v>
      </c>
      <c r="G287" s="6" t="str">
        <f aca="false">IF(F287=0,"NOT FOUND",INDEX('All Song Rankings'!$A:$A,F287))</f>
        <v>Save You a Seat</v>
      </c>
      <c r="H287" s="6" t="str">
        <f aca="false">IF(F287=0,"NOT FOUND",INDEX('All Song Rankings'!$B:$B,F287))</f>
        <v>Alex Warren</v>
      </c>
      <c r="I287" s="6" t="str">
        <f aca="false">IF(F287=0,"NOT FOUND",INDEX('All Song Rankings'!$D:$D,F287))</f>
        <v>Kelsey</v>
      </c>
      <c r="J287" s="7" t="str">
        <f aca="false">IF(F287=0,"NOT FOUND",IF(C287=I287,"SELF-VOTE",IF(COUNTIF($K:$K,K287)&gt;1,"DUPLICATE","OK")))</f>
        <v>OK</v>
      </c>
      <c r="K287" s="6" t="str">
        <f aca="false">A287&amp;"|"&amp;B287&amp;"|"&amp;C287&amp;"|"&amp;D287</f>
        <v>1|5|Matt|spotify:track:6pkRK6iZC2Yhhd172tC9Id</v>
      </c>
    </row>
    <row r="288" customFormat="false" ht="15" hidden="false" customHeight="false" outlineLevel="0" collapsed="false">
      <c r="A288" s="5" t="n">
        <v>1</v>
      </c>
      <c r="B288" s="5" t="n">
        <v>5</v>
      </c>
      <c r="C288" s="5" t="s">
        <v>116</v>
      </c>
      <c r="D288" s="5" t="s">
        <v>237</v>
      </c>
      <c r="E288" s="5" t="n">
        <v>2</v>
      </c>
      <c r="F288" s="6" t="n">
        <f aca="false">IFERROR(MATCH(A288&amp;"|"&amp;B288&amp;"|"&amp;D288,'All Song Rankings'!$T:$T,0),0)</f>
        <v>45</v>
      </c>
      <c r="G288" s="6" t="str">
        <f aca="false">IF(F288=0,"NOT FOUND",INDEX('All Song Rankings'!$A:$A,F288))</f>
        <v>When She Loved Me</v>
      </c>
      <c r="H288" s="6" t="str">
        <f aca="false">IF(F288=0,"NOT FOUND",INDEX('All Song Rankings'!$B:$B,F288))</f>
        <v>Sarah McLachlan</v>
      </c>
      <c r="I288" s="6" t="str">
        <f aca="false">IF(F288=0,"NOT FOUND",INDEX('All Song Rankings'!$D:$D,F288))</f>
        <v>Stephanie</v>
      </c>
      <c r="J288" s="7" t="str">
        <f aca="false">IF(F288=0,"NOT FOUND",IF(C288=I288,"SELF-VOTE",IF(COUNTIF($K:$K,K288)&gt;1,"DUPLICATE","OK")))</f>
        <v>OK</v>
      </c>
      <c r="K288" s="6" t="str">
        <f aca="false">A288&amp;"|"&amp;B288&amp;"|"&amp;C288&amp;"|"&amp;D288</f>
        <v>1|5|Matt|spotify:track:780W6YW5HFANQLR77Owern</v>
      </c>
    </row>
    <row r="289" customFormat="false" ht="15" hidden="false" customHeight="false" outlineLevel="0" collapsed="false">
      <c r="A289" s="5" t="n">
        <v>1</v>
      </c>
      <c r="B289" s="5" t="n">
        <v>5</v>
      </c>
      <c r="C289" s="5" t="s">
        <v>101</v>
      </c>
      <c r="D289" s="5" t="s">
        <v>240</v>
      </c>
      <c r="E289" s="5" t="n">
        <v>1</v>
      </c>
      <c r="F289" s="6" t="n">
        <f aca="false">IFERROR(MATCH(A289&amp;"|"&amp;B289&amp;"|"&amp;D289,'All Song Rankings'!$T:$T,0),0)</f>
        <v>46</v>
      </c>
      <c r="G289" s="6" t="str">
        <f aca="false">IF(F289=0,"NOT FOUND",INDEX('All Song Rankings'!$A:$A,F289))</f>
        <v>Orpheus</v>
      </c>
      <c r="H289" s="6" t="str">
        <f aca="false">IF(F289=0,"NOT FOUND",INDEX('All Song Rankings'!$B:$B,F289))</f>
        <v>mgk</v>
      </c>
      <c r="I289" s="6" t="str">
        <f aca="false">IF(F289=0,"NOT FOUND",INDEX('All Song Rankings'!$D:$D,F289))</f>
        <v>Nicole</v>
      </c>
      <c r="J289" s="7" t="str">
        <f aca="false">IF(F289=0,"NOT FOUND",IF(C289=I289,"SELF-VOTE",IF(COUNTIF($K:$K,K289)&gt;1,"DUPLICATE","OK")))</f>
        <v>OK</v>
      </c>
      <c r="K289" s="6" t="str">
        <f aca="false">A289&amp;"|"&amp;B289&amp;"|"&amp;C289&amp;"|"&amp;D289</f>
        <v>1|5|Merita|spotify:track:0a19Y5a4mXE75w2N6EV7y2</v>
      </c>
    </row>
    <row r="290" customFormat="false" ht="15" hidden="false" customHeight="false" outlineLevel="0" collapsed="false">
      <c r="A290" s="5" t="n">
        <v>1</v>
      </c>
      <c r="B290" s="5" t="n">
        <v>5</v>
      </c>
      <c r="C290" s="5" t="s">
        <v>101</v>
      </c>
      <c r="D290" s="5" t="s">
        <v>245</v>
      </c>
      <c r="E290" s="5" t="n">
        <v>1</v>
      </c>
      <c r="F290" s="6" t="n">
        <f aca="false">IFERROR(MATCH(A290&amp;"|"&amp;B290&amp;"|"&amp;D290,'All Song Rankings'!$T:$T,0),0)</f>
        <v>48</v>
      </c>
      <c r="G290" s="6" t="str">
        <f aca="false">IF(F290=0,"NOT FOUND",INDEX('All Song Rankings'!$A:$A,F290))</f>
        <v>Gethsemane</v>
      </c>
      <c r="H290" s="6" t="str">
        <f aca="false">IF(F290=0,"NOT FOUND",INDEX('All Song Rankings'!$B:$B,F290))</f>
        <v>Sleep Token</v>
      </c>
      <c r="I290" s="6" t="str">
        <f aca="false">IF(F290=0,"NOT FOUND",INDEX('All Song Rankings'!$D:$D,F290))</f>
        <v>Kristen</v>
      </c>
      <c r="J290" s="7" t="str">
        <f aca="false">IF(F290=0,"NOT FOUND",IF(C290=I290,"SELF-VOTE",IF(COUNTIF($K:$K,K290)&gt;1,"DUPLICATE","OK")))</f>
        <v>OK</v>
      </c>
      <c r="K290" s="6" t="str">
        <f aca="false">A290&amp;"|"&amp;B290&amp;"|"&amp;C290&amp;"|"&amp;D290</f>
        <v>1|5|Merita|spotify:track:29JLgNBcOky7QB68OrvYxO</v>
      </c>
    </row>
    <row r="291" customFormat="false" ht="15" hidden="false" customHeight="false" outlineLevel="0" collapsed="false">
      <c r="A291" s="5" t="n">
        <v>1</v>
      </c>
      <c r="B291" s="5" t="n">
        <v>5</v>
      </c>
      <c r="C291" s="5" t="s">
        <v>101</v>
      </c>
      <c r="D291" s="5" t="s">
        <v>252</v>
      </c>
      <c r="E291" s="5" t="n">
        <v>1</v>
      </c>
      <c r="F291" s="6" t="n">
        <f aca="false">IFERROR(MATCH(A291&amp;"|"&amp;B291&amp;"|"&amp;D291,'All Song Rankings'!$T:$T,0),0)</f>
        <v>50</v>
      </c>
      <c r="G291" s="6" t="str">
        <f aca="false">IF(F291=0,"NOT FOUND",INDEX('All Song Rankings'!$A:$A,F291))</f>
        <v>WILDFLOWER</v>
      </c>
      <c r="H291" s="6" t="str">
        <f aca="false">IF(F291=0,"NOT FOUND",INDEX('All Song Rankings'!$B:$B,F291))</f>
        <v>Billie Eilish</v>
      </c>
      <c r="I291" s="6" t="str">
        <f aca="false">IF(F291=0,"NOT FOUND",INDEX('All Song Rankings'!$D:$D,F291))</f>
        <v>Olivia</v>
      </c>
      <c r="J291" s="7" t="str">
        <f aca="false">IF(F291=0,"NOT FOUND",IF(C291=I291,"SELF-VOTE",IF(COUNTIF($K:$K,K291)&gt;1,"DUPLICATE","OK")))</f>
        <v>OK</v>
      </c>
      <c r="K291" s="6" t="str">
        <f aca="false">A291&amp;"|"&amp;B291&amp;"|"&amp;C291&amp;"|"&amp;D291</f>
        <v>1|5|Merita|spotify:track:3QaPy1KgI7nu9FJEQUgn6h</v>
      </c>
    </row>
    <row r="292" customFormat="false" ht="15" hidden="false" customHeight="false" outlineLevel="0" collapsed="false">
      <c r="A292" s="5" t="n">
        <v>1</v>
      </c>
      <c r="B292" s="5" t="n">
        <v>5</v>
      </c>
      <c r="C292" s="5" t="s">
        <v>101</v>
      </c>
      <c r="D292" s="5" t="s">
        <v>234</v>
      </c>
      <c r="E292" s="5" t="n">
        <v>1</v>
      </c>
      <c r="F292" s="6" t="n">
        <f aca="false">IFERROR(MATCH(A292&amp;"|"&amp;B292&amp;"|"&amp;D292,'All Song Rankings'!$T:$T,0),0)</f>
        <v>44</v>
      </c>
      <c r="G292" s="6" t="str">
        <f aca="false">IF(F292=0,"NOT FOUND",INDEX('All Song Rankings'!$A:$A,F292))</f>
        <v>How Do I Say Goodbye</v>
      </c>
      <c r="H292" s="6" t="str">
        <f aca="false">IF(F292=0,"NOT FOUND",INDEX('All Song Rankings'!$B:$B,F292))</f>
        <v>Dean Lewis</v>
      </c>
      <c r="I292" s="6" t="str">
        <f aca="false">IF(F292=0,"NOT FOUND",INDEX('All Song Rankings'!$D:$D,F292))</f>
        <v>Matt</v>
      </c>
      <c r="J292" s="7" t="str">
        <f aca="false">IF(F292=0,"NOT FOUND",IF(C292=I292,"SELF-VOTE",IF(COUNTIF($K:$K,K292)&gt;1,"DUPLICATE","OK")))</f>
        <v>OK</v>
      </c>
      <c r="K292" s="6" t="str">
        <f aca="false">A292&amp;"|"&amp;B292&amp;"|"&amp;C292&amp;"|"&amp;D292</f>
        <v>1|5|Merita|spotify:track:5hnGrTBaEsdukpDF6aZg8a</v>
      </c>
    </row>
    <row r="293" customFormat="false" ht="15" hidden="false" customHeight="false" outlineLevel="0" collapsed="false">
      <c r="A293" s="5" t="n">
        <v>1</v>
      </c>
      <c r="B293" s="5" t="n">
        <v>5</v>
      </c>
      <c r="C293" s="5" t="s">
        <v>101</v>
      </c>
      <c r="D293" s="5" t="s">
        <v>243</v>
      </c>
      <c r="E293" s="5" t="n">
        <v>3</v>
      </c>
      <c r="F293" s="6" t="n">
        <f aca="false">IFERROR(MATCH(A293&amp;"|"&amp;B293&amp;"|"&amp;D293,'All Song Rankings'!$T:$T,0),0)</f>
        <v>47</v>
      </c>
      <c r="G293" s="6" t="str">
        <f aca="false">IF(F293=0,"NOT FOUND",INDEX('All Song Rankings'!$A:$A,F293))</f>
        <v>Theodosia Reprise</v>
      </c>
      <c r="H293" s="6" t="str">
        <f aca="false">IF(F293=0,"NOT FOUND",INDEX('All Song Rankings'!$B:$B,F293))</f>
        <v>Sara Bareilles</v>
      </c>
      <c r="I293" s="6" t="str">
        <f aca="false">IF(F293=0,"NOT FOUND",INDEX('All Song Rankings'!$D:$D,F293))</f>
        <v>Logan</v>
      </c>
      <c r="J293" s="7" t="str">
        <f aca="false">IF(F293=0,"NOT FOUND",IF(C293=I293,"SELF-VOTE",IF(COUNTIF($K:$K,K293)&gt;1,"DUPLICATE","OK")))</f>
        <v>OK</v>
      </c>
      <c r="K293" s="6" t="str">
        <f aca="false">A293&amp;"|"&amp;B293&amp;"|"&amp;C293&amp;"|"&amp;D293</f>
        <v>1|5|Merita|spotify:track:6aWWF20lTBd9KgNc9IRIM2</v>
      </c>
    </row>
    <row r="294" customFormat="false" ht="15" hidden="false" customHeight="false" outlineLevel="0" collapsed="false">
      <c r="A294" s="5" t="n">
        <v>1</v>
      </c>
      <c r="B294" s="5" t="n">
        <v>5</v>
      </c>
      <c r="C294" s="5" t="s">
        <v>101</v>
      </c>
      <c r="D294" s="5" t="s">
        <v>231</v>
      </c>
      <c r="E294" s="5" t="n">
        <v>2</v>
      </c>
      <c r="F294" s="6" t="n">
        <f aca="false">IFERROR(MATCH(A294&amp;"|"&amp;B294&amp;"|"&amp;D294,'All Song Rankings'!$T:$T,0),0)</f>
        <v>43</v>
      </c>
      <c r="G294" s="6" t="str">
        <f aca="false">IF(F294=0,"NOT FOUND",INDEX('All Song Rankings'!$A:$A,F294))</f>
        <v>Save You a Seat</v>
      </c>
      <c r="H294" s="6" t="str">
        <f aca="false">IF(F294=0,"NOT FOUND",INDEX('All Song Rankings'!$B:$B,F294))</f>
        <v>Alex Warren</v>
      </c>
      <c r="I294" s="6" t="str">
        <f aca="false">IF(F294=0,"NOT FOUND",INDEX('All Song Rankings'!$D:$D,F294))</f>
        <v>Kelsey</v>
      </c>
      <c r="J294" s="7" t="str">
        <f aca="false">IF(F294=0,"NOT FOUND",IF(C294=I294,"SELF-VOTE",IF(COUNTIF($K:$K,K294)&gt;1,"DUPLICATE","OK")))</f>
        <v>OK</v>
      </c>
      <c r="K294" s="6" t="str">
        <f aca="false">A294&amp;"|"&amp;B294&amp;"|"&amp;C294&amp;"|"&amp;D294</f>
        <v>1|5|Merita|spotify:track:6pkRK6iZC2Yhhd172tC9Id</v>
      </c>
    </row>
    <row r="295" customFormat="false" ht="15" hidden="false" customHeight="false" outlineLevel="0" collapsed="false">
      <c r="A295" s="5" t="n">
        <v>1</v>
      </c>
      <c r="B295" s="5" t="n">
        <v>5</v>
      </c>
      <c r="C295" s="5" t="s">
        <v>101</v>
      </c>
      <c r="D295" s="5" t="s">
        <v>237</v>
      </c>
      <c r="E295" s="5" t="n">
        <v>1</v>
      </c>
      <c r="F295" s="6" t="n">
        <f aca="false">IFERROR(MATCH(A295&amp;"|"&amp;B295&amp;"|"&amp;D295,'All Song Rankings'!$T:$T,0),0)</f>
        <v>45</v>
      </c>
      <c r="G295" s="6" t="str">
        <f aca="false">IF(F295=0,"NOT FOUND",INDEX('All Song Rankings'!$A:$A,F295))</f>
        <v>When She Loved Me</v>
      </c>
      <c r="H295" s="6" t="str">
        <f aca="false">IF(F295=0,"NOT FOUND",INDEX('All Song Rankings'!$B:$B,F295))</f>
        <v>Sarah McLachlan</v>
      </c>
      <c r="I295" s="6" t="str">
        <f aca="false">IF(F295=0,"NOT FOUND",INDEX('All Song Rankings'!$D:$D,F295))</f>
        <v>Stephanie</v>
      </c>
      <c r="J295" s="7" t="str">
        <f aca="false">IF(F295=0,"NOT FOUND",IF(C295=I295,"SELF-VOTE",IF(COUNTIF($K:$K,K295)&gt;1,"DUPLICATE","OK")))</f>
        <v>OK</v>
      </c>
      <c r="K295" s="6" t="str">
        <f aca="false">A295&amp;"|"&amp;B295&amp;"|"&amp;C295&amp;"|"&amp;D295</f>
        <v>1|5|Merita|spotify:track:780W6YW5HFANQLR77Owern</v>
      </c>
    </row>
    <row r="296" customFormat="false" ht="15" hidden="false" customHeight="false" outlineLevel="0" collapsed="false">
      <c r="A296" s="5" t="n">
        <v>1</v>
      </c>
      <c r="B296" s="5" t="n">
        <v>5</v>
      </c>
      <c r="C296" s="5" t="s">
        <v>92</v>
      </c>
      <c r="D296" s="5" t="s">
        <v>254</v>
      </c>
      <c r="E296" s="5" t="n">
        <v>1</v>
      </c>
      <c r="F296" s="6" t="n">
        <f aca="false">IFERROR(MATCH(A296&amp;"|"&amp;B296&amp;"|"&amp;D296,'All Song Rankings'!$T:$T,0),0)</f>
        <v>51</v>
      </c>
      <c r="G296" s="6" t="str">
        <f aca="false">IF(F296=0,"NOT FOUND",INDEX('All Song Rankings'!$A:$A,F296))</f>
        <v>F64</v>
      </c>
      <c r="H296" s="6" t="str">
        <f aca="false">IF(F296=0,"NOT FOUND",INDEX('All Song Rankings'!$B:$B,F296))</f>
        <v>Ed Sheeran</v>
      </c>
      <c r="I296" s="6" t="str">
        <f aca="false">IF(F296=0,"NOT FOUND",INDEX('All Song Rankings'!$D:$D,F296))</f>
        <v>Leah</v>
      </c>
      <c r="J296" s="7" t="str">
        <f aca="false">IF(F296=0,"NOT FOUND",IF(C296=I296,"SELF-VOTE",IF(COUNTIF($K:$K,K296)&gt;1,"DUPLICATE","OK")))</f>
        <v>OK</v>
      </c>
      <c r="K296" s="6" t="str">
        <f aca="false">A296&amp;"|"&amp;B296&amp;"|"&amp;C296&amp;"|"&amp;D296</f>
        <v>1|5|Nicole|spotify:track:5DFi6D7SrYHRIgZbY5MqqE</v>
      </c>
    </row>
    <row r="297" customFormat="false" ht="15" hidden="false" customHeight="false" outlineLevel="0" collapsed="false">
      <c r="A297" s="5" t="n">
        <v>1</v>
      </c>
      <c r="B297" s="5" t="n">
        <v>5</v>
      </c>
      <c r="C297" s="5" t="s">
        <v>92</v>
      </c>
      <c r="D297" s="5" t="s">
        <v>234</v>
      </c>
      <c r="E297" s="5" t="n">
        <v>2</v>
      </c>
      <c r="F297" s="6" t="n">
        <f aca="false">IFERROR(MATCH(A297&amp;"|"&amp;B297&amp;"|"&amp;D297,'All Song Rankings'!$T:$T,0),0)</f>
        <v>44</v>
      </c>
      <c r="G297" s="6" t="str">
        <f aca="false">IF(F297=0,"NOT FOUND",INDEX('All Song Rankings'!$A:$A,F297))</f>
        <v>How Do I Say Goodbye</v>
      </c>
      <c r="H297" s="6" t="str">
        <f aca="false">IF(F297=0,"NOT FOUND",INDEX('All Song Rankings'!$B:$B,F297))</f>
        <v>Dean Lewis</v>
      </c>
      <c r="I297" s="6" t="str">
        <f aca="false">IF(F297=0,"NOT FOUND",INDEX('All Song Rankings'!$D:$D,F297))</f>
        <v>Matt</v>
      </c>
      <c r="J297" s="7" t="str">
        <f aca="false">IF(F297=0,"NOT FOUND",IF(C297=I297,"SELF-VOTE",IF(COUNTIF($K:$K,K297)&gt;1,"DUPLICATE","OK")))</f>
        <v>OK</v>
      </c>
      <c r="K297" s="6" t="str">
        <f aca="false">A297&amp;"|"&amp;B297&amp;"|"&amp;C297&amp;"|"&amp;D297</f>
        <v>1|5|Nicole|spotify:track:5hnGrTBaEsdukpDF6aZg8a</v>
      </c>
    </row>
    <row r="298" customFormat="false" ht="15" hidden="false" customHeight="false" outlineLevel="0" collapsed="false">
      <c r="A298" s="5" t="n">
        <v>1</v>
      </c>
      <c r="B298" s="5" t="n">
        <v>5</v>
      </c>
      <c r="C298" s="5" t="s">
        <v>92</v>
      </c>
      <c r="D298" s="5" t="s">
        <v>249</v>
      </c>
      <c r="E298" s="5" t="n">
        <v>1</v>
      </c>
      <c r="F298" s="6" t="n">
        <f aca="false">IFERROR(MATCH(A298&amp;"|"&amp;B298&amp;"|"&amp;D298,'All Song Rankings'!$T:$T,0),0)</f>
        <v>49</v>
      </c>
      <c r="G298" s="6" t="str">
        <f aca="false">IF(F298=0,"NOT FOUND",INDEX('All Song Rankings'!$A:$A,F298))</f>
        <v>The Night We Met</v>
      </c>
      <c r="H298" s="6" t="str">
        <f aca="false">IF(F298=0,"NOT FOUND",INDEX('All Song Rankings'!$B:$B,F298))</f>
        <v>Lord Huron</v>
      </c>
      <c r="I298" s="6" t="str">
        <f aca="false">IF(F298=0,"NOT FOUND",INDEX('All Song Rankings'!$D:$D,F298))</f>
        <v>Merita</v>
      </c>
      <c r="J298" s="7" t="str">
        <f aca="false">IF(F298=0,"NOT FOUND",IF(C298=I298,"SELF-VOTE",IF(COUNTIF($K:$K,K298)&gt;1,"DUPLICATE","OK")))</f>
        <v>OK</v>
      </c>
      <c r="K298" s="6" t="str">
        <f aca="false">A298&amp;"|"&amp;B298&amp;"|"&amp;C298&amp;"|"&amp;D298</f>
        <v>1|5|Nicole|spotify:track:5yJaXWIErrrsjQ3J0eR5aK</v>
      </c>
    </row>
    <row r="299" customFormat="false" ht="15" hidden="false" customHeight="false" outlineLevel="0" collapsed="false">
      <c r="A299" s="5" t="n">
        <v>1</v>
      </c>
      <c r="B299" s="5" t="n">
        <v>5</v>
      </c>
      <c r="C299" s="5" t="s">
        <v>92</v>
      </c>
      <c r="D299" s="5" t="s">
        <v>231</v>
      </c>
      <c r="E299" s="5" t="n">
        <v>2</v>
      </c>
      <c r="F299" s="6" t="n">
        <f aca="false">IFERROR(MATCH(A299&amp;"|"&amp;B299&amp;"|"&amp;D299,'All Song Rankings'!$T:$T,0),0)</f>
        <v>43</v>
      </c>
      <c r="G299" s="6" t="str">
        <f aca="false">IF(F299=0,"NOT FOUND",INDEX('All Song Rankings'!$A:$A,F299))</f>
        <v>Save You a Seat</v>
      </c>
      <c r="H299" s="6" t="str">
        <f aca="false">IF(F299=0,"NOT FOUND",INDEX('All Song Rankings'!$B:$B,F299))</f>
        <v>Alex Warren</v>
      </c>
      <c r="I299" s="6" t="str">
        <f aca="false">IF(F299=0,"NOT FOUND",INDEX('All Song Rankings'!$D:$D,F299))</f>
        <v>Kelsey</v>
      </c>
      <c r="J299" s="7" t="str">
        <f aca="false">IF(F299=0,"NOT FOUND",IF(C299=I299,"SELF-VOTE",IF(COUNTIF($K:$K,K299)&gt;1,"DUPLICATE","OK")))</f>
        <v>OK</v>
      </c>
      <c r="K299" s="6" t="str">
        <f aca="false">A299&amp;"|"&amp;B299&amp;"|"&amp;C299&amp;"|"&amp;D299</f>
        <v>1|5|Nicole|spotify:track:6pkRK6iZC2Yhhd172tC9Id</v>
      </c>
    </row>
    <row r="300" customFormat="false" ht="15" hidden="false" customHeight="false" outlineLevel="0" collapsed="false">
      <c r="A300" s="5" t="n">
        <v>1</v>
      </c>
      <c r="B300" s="5" t="n">
        <v>5</v>
      </c>
      <c r="C300" s="5" t="s">
        <v>92</v>
      </c>
      <c r="D300" s="5" t="s">
        <v>237</v>
      </c>
      <c r="E300" s="5" t="n">
        <v>4</v>
      </c>
      <c r="F300" s="6" t="n">
        <f aca="false">IFERROR(MATCH(A300&amp;"|"&amp;B300&amp;"|"&amp;D300,'All Song Rankings'!$T:$T,0),0)</f>
        <v>45</v>
      </c>
      <c r="G300" s="6" t="str">
        <f aca="false">IF(F300=0,"NOT FOUND",INDEX('All Song Rankings'!$A:$A,F300))</f>
        <v>When She Loved Me</v>
      </c>
      <c r="H300" s="6" t="str">
        <f aca="false">IF(F300=0,"NOT FOUND",INDEX('All Song Rankings'!$B:$B,F300))</f>
        <v>Sarah McLachlan</v>
      </c>
      <c r="I300" s="6" t="str">
        <f aca="false">IF(F300=0,"NOT FOUND",INDEX('All Song Rankings'!$D:$D,F300))</f>
        <v>Stephanie</v>
      </c>
      <c r="J300" s="7" t="str">
        <f aca="false">IF(F300=0,"NOT FOUND",IF(C300=I300,"SELF-VOTE",IF(COUNTIF($K:$K,K300)&gt;1,"DUPLICATE","OK")))</f>
        <v>OK</v>
      </c>
      <c r="K300" s="6" t="str">
        <f aca="false">A300&amp;"|"&amp;B300&amp;"|"&amp;C300&amp;"|"&amp;D300</f>
        <v>1|5|Nicole|spotify:track:780W6YW5HFANQLR77Owern</v>
      </c>
    </row>
    <row r="301" customFormat="false" ht="15" hidden="false" customHeight="false" outlineLevel="0" collapsed="false">
      <c r="A301" s="5" t="n">
        <v>1</v>
      </c>
      <c r="B301" s="5" t="n">
        <v>5</v>
      </c>
      <c r="C301" s="5" t="s">
        <v>123</v>
      </c>
      <c r="D301" s="5" t="s">
        <v>245</v>
      </c>
      <c r="E301" s="5" t="n">
        <v>2</v>
      </c>
      <c r="F301" s="6" t="n">
        <f aca="false">IFERROR(MATCH(A301&amp;"|"&amp;B301&amp;"|"&amp;D301,'All Song Rankings'!$T:$T,0),0)</f>
        <v>48</v>
      </c>
      <c r="G301" s="6" t="str">
        <f aca="false">IF(F301=0,"NOT FOUND",INDEX('All Song Rankings'!$A:$A,F301))</f>
        <v>Gethsemane</v>
      </c>
      <c r="H301" s="6" t="str">
        <f aca="false">IF(F301=0,"NOT FOUND",INDEX('All Song Rankings'!$B:$B,F301))</f>
        <v>Sleep Token</v>
      </c>
      <c r="I301" s="6" t="str">
        <f aca="false">IF(F301=0,"NOT FOUND",INDEX('All Song Rankings'!$D:$D,F301))</f>
        <v>Kristen</v>
      </c>
      <c r="J301" s="7" t="str">
        <f aca="false">IF(F301=0,"NOT FOUND",IF(C301=I301,"SELF-VOTE",IF(COUNTIF($K:$K,K301)&gt;1,"DUPLICATE","OK")))</f>
        <v>OK</v>
      </c>
      <c r="K301" s="6" t="str">
        <f aca="false">A301&amp;"|"&amp;B301&amp;"|"&amp;C301&amp;"|"&amp;D301</f>
        <v>1|5|Olivia|spotify:track:29JLgNBcOky7QB68OrvYxO</v>
      </c>
    </row>
    <row r="302" customFormat="false" ht="15" hidden="false" customHeight="false" outlineLevel="0" collapsed="false">
      <c r="A302" s="5" t="n">
        <v>1</v>
      </c>
      <c r="B302" s="5" t="n">
        <v>5</v>
      </c>
      <c r="C302" s="5" t="s">
        <v>123</v>
      </c>
      <c r="D302" s="5" t="s">
        <v>254</v>
      </c>
      <c r="E302" s="5" t="n">
        <v>1</v>
      </c>
      <c r="F302" s="6" t="n">
        <f aca="false">IFERROR(MATCH(A302&amp;"|"&amp;B302&amp;"|"&amp;D302,'All Song Rankings'!$T:$T,0),0)</f>
        <v>51</v>
      </c>
      <c r="G302" s="6" t="str">
        <f aca="false">IF(F302=0,"NOT FOUND",INDEX('All Song Rankings'!$A:$A,F302))</f>
        <v>F64</v>
      </c>
      <c r="H302" s="6" t="str">
        <f aca="false">IF(F302=0,"NOT FOUND",INDEX('All Song Rankings'!$B:$B,F302))</f>
        <v>Ed Sheeran</v>
      </c>
      <c r="I302" s="6" t="str">
        <f aca="false">IF(F302=0,"NOT FOUND",INDEX('All Song Rankings'!$D:$D,F302))</f>
        <v>Leah</v>
      </c>
      <c r="J302" s="7" t="str">
        <f aca="false">IF(F302=0,"NOT FOUND",IF(C302=I302,"SELF-VOTE",IF(COUNTIF($K:$K,K302)&gt;1,"DUPLICATE","OK")))</f>
        <v>OK</v>
      </c>
      <c r="K302" s="6" t="str">
        <f aca="false">A302&amp;"|"&amp;B302&amp;"|"&amp;C302&amp;"|"&amp;D302</f>
        <v>1|5|Olivia|spotify:track:5DFi6D7SrYHRIgZbY5MqqE</v>
      </c>
    </row>
    <row r="303" customFormat="false" ht="15" hidden="false" customHeight="false" outlineLevel="0" collapsed="false">
      <c r="A303" s="5" t="n">
        <v>1</v>
      </c>
      <c r="B303" s="5" t="n">
        <v>5</v>
      </c>
      <c r="C303" s="5" t="s">
        <v>123</v>
      </c>
      <c r="D303" s="5" t="s">
        <v>234</v>
      </c>
      <c r="E303" s="5" t="n">
        <v>2</v>
      </c>
      <c r="F303" s="6" t="n">
        <f aca="false">IFERROR(MATCH(A303&amp;"|"&amp;B303&amp;"|"&amp;D303,'All Song Rankings'!$T:$T,0),0)</f>
        <v>44</v>
      </c>
      <c r="G303" s="6" t="str">
        <f aca="false">IF(F303=0,"NOT FOUND",INDEX('All Song Rankings'!$A:$A,F303))</f>
        <v>How Do I Say Goodbye</v>
      </c>
      <c r="H303" s="6" t="str">
        <f aca="false">IF(F303=0,"NOT FOUND",INDEX('All Song Rankings'!$B:$B,F303))</f>
        <v>Dean Lewis</v>
      </c>
      <c r="I303" s="6" t="str">
        <f aca="false">IF(F303=0,"NOT FOUND",INDEX('All Song Rankings'!$D:$D,F303))</f>
        <v>Matt</v>
      </c>
      <c r="J303" s="7" t="str">
        <f aca="false">IF(F303=0,"NOT FOUND",IF(C303=I303,"SELF-VOTE",IF(COUNTIF($K:$K,K303)&gt;1,"DUPLICATE","OK")))</f>
        <v>OK</v>
      </c>
      <c r="K303" s="6" t="str">
        <f aca="false">A303&amp;"|"&amp;B303&amp;"|"&amp;C303&amp;"|"&amp;D303</f>
        <v>1|5|Olivia|spotify:track:5hnGrTBaEsdukpDF6aZg8a</v>
      </c>
    </row>
    <row r="304" customFormat="false" ht="15" hidden="false" customHeight="false" outlineLevel="0" collapsed="false">
      <c r="A304" s="5" t="n">
        <v>1</v>
      </c>
      <c r="B304" s="5" t="n">
        <v>5</v>
      </c>
      <c r="C304" s="5" t="s">
        <v>123</v>
      </c>
      <c r="D304" s="5" t="s">
        <v>249</v>
      </c>
      <c r="E304" s="5" t="n">
        <v>1</v>
      </c>
      <c r="F304" s="6" t="n">
        <f aca="false">IFERROR(MATCH(A304&amp;"|"&amp;B304&amp;"|"&amp;D304,'All Song Rankings'!$T:$T,0),0)</f>
        <v>49</v>
      </c>
      <c r="G304" s="6" t="str">
        <f aca="false">IF(F304=0,"NOT FOUND",INDEX('All Song Rankings'!$A:$A,F304))</f>
        <v>The Night We Met</v>
      </c>
      <c r="H304" s="6" t="str">
        <f aca="false">IF(F304=0,"NOT FOUND",INDEX('All Song Rankings'!$B:$B,F304))</f>
        <v>Lord Huron</v>
      </c>
      <c r="I304" s="6" t="str">
        <f aca="false">IF(F304=0,"NOT FOUND",INDEX('All Song Rankings'!$D:$D,F304))</f>
        <v>Merita</v>
      </c>
      <c r="J304" s="7" t="str">
        <f aca="false">IF(F304=0,"NOT FOUND",IF(C304=I304,"SELF-VOTE",IF(COUNTIF($K:$K,K304)&gt;1,"DUPLICATE","OK")))</f>
        <v>OK</v>
      </c>
      <c r="K304" s="6" t="str">
        <f aca="false">A304&amp;"|"&amp;B304&amp;"|"&amp;C304&amp;"|"&amp;D304</f>
        <v>1|5|Olivia|spotify:track:5yJaXWIErrrsjQ3J0eR5aK</v>
      </c>
    </row>
    <row r="305" customFormat="false" ht="15" hidden="false" customHeight="false" outlineLevel="0" collapsed="false">
      <c r="A305" s="5" t="n">
        <v>1</v>
      </c>
      <c r="B305" s="5" t="n">
        <v>5</v>
      </c>
      <c r="C305" s="5" t="s">
        <v>123</v>
      </c>
      <c r="D305" s="5" t="s">
        <v>243</v>
      </c>
      <c r="E305" s="5" t="n">
        <v>1</v>
      </c>
      <c r="F305" s="6" t="n">
        <f aca="false">IFERROR(MATCH(A305&amp;"|"&amp;B305&amp;"|"&amp;D305,'All Song Rankings'!$T:$T,0),0)</f>
        <v>47</v>
      </c>
      <c r="G305" s="6" t="str">
        <f aca="false">IF(F305=0,"NOT FOUND",INDEX('All Song Rankings'!$A:$A,F305))</f>
        <v>Theodosia Reprise</v>
      </c>
      <c r="H305" s="6" t="str">
        <f aca="false">IF(F305=0,"NOT FOUND",INDEX('All Song Rankings'!$B:$B,F305))</f>
        <v>Sara Bareilles</v>
      </c>
      <c r="I305" s="6" t="str">
        <f aca="false">IF(F305=0,"NOT FOUND",INDEX('All Song Rankings'!$D:$D,F305))</f>
        <v>Logan</v>
      </c>
      <c r="J305" s="7" t="str">
        <f aca="false">IF(F305=0,"NOT FOUND",IF(C305=I305,"SELF-VOTE",IF(COUNTIF($K:$K,K305)&gt;1,"DUPLICATE","OK")))</f>
        <v>OK</v>
      </c>
      <c r="K305" s="6" t="str">
        <f aca="false">A305&amp;"|"&amp;B305&amp;"|"&amp;C305&amp;"|"&amp;D305</f>
        <v>1|5|Olivia|spotify:track:6aWWF20lTBd9KgNc9IRIM2</v>
      </c>
    </row>
    <row r="306" customFormat="false" ht="15" hidden="false" customHeight="false" outlineLevel="0" collapsed="false">
      <c r="A306" s="5" t="n">
        <v>1</v>
      </c>
      <c r="B306" s="5" t="n">
        <v>5</v>
      </c>
      <c r="C306" s="5" t="s">
        <v>123</v>
      </c>
      <c r="D306" s="5" t="s">
        <v>231</v>
      </c>
      <c r="E306" s="5" t="n">
        <v>1</v>
      </c>
      <c r="F306" s="6" t="n">
        <f aca="false">IFERROR(MATCH(A306&amp;"|"&amp;B306&amp;"|"&amp;D306,'All Song Rankings'!$T:$T,0),0)</f>
        <v>43</v>
      </c>
      <c r="G306" s="6" t="str">
        <f aca="false">IF(F306=0,"NOT FOUND",INDEX('All Song Rankings'!$A:$A,F306))</f>
        <v>Save You a Seat</v>
      </c>
      <c r="H306" s="6" t="str">
        <f aca="false">IF(F306=0,"NOT FOUND",INDEX('All Song Rankings'!$B:$B,F306))</f>
        <v>Alex Warren</v>
      </c>
      <c r="I306" s="6" t="str">
        <f aca="false">IF(F306=0,"NOT FOUND",INDEX('All Song Rankings'!$D:$D,F306))</f>
        <v>Kelsey</v>
      </c>
      <c r="J306" s="7" t="str">
        <f aca="false">IF(F306=0,"NOT FOUND",IF(C306=I306,"SELF-VOTE",IF(COUNTIF($K:$K,K306)&gt;1,"DUPLICATE","OK")))</f>
        <v>OK</v>
      </c>
      <c r="K306" s="6" t="str">
        <f aca="false">A306&amp;"|"&amp;B306&amp;"|"&amp;C306&amp;"|"&amp;D306</f>
        <v>1|5|Olivia|spotify:track:6pkRK6iZC2Yhhd172tC9Id</v>
      </c>
    </row>
    <row r="307" customFormat="false" ht="15" hidden="false" customHeight="false" outlineLevel="0" collapsed="false">
      <c r="A307" s="5" t="n">
        <v>1</v>
      </c>
      <c r="B307" s="5" t="n">
        <v>5</v>
      </c>
      <c r="C307" s="5" t="s">
        <v>123</v>
      </c>
      <c r="D307" s="5" t="s">
        <v>237</v>
      </c>
      <c r="E307" s="5" t="n">
        <v>2</v>
      </c>
      <c r="F307" s="6" t="n">
        <f aca="false">IFERROR(MATCH(A307&amp;"|"&amp;B307&amp;"|"&amp;D307,'All Song Rankings'!$T:$T,0),0)</f>
        <v>45</v>
      </c>
      <c r="G307" s="6" t="str">
        <f aca="false">IF(F307=0,"NOT FOUND",INDEX('All Song Rankings'!$A:$A,F307))</f>
        <v>When She Loved Me</v>
      </c>
      <c r="H307" s="6" t="str">
        <f aca="false">IF(F307=0,"NOT FOUND",INDEX('All Song Rankings'!$B:$B,F307))</f>
        <v>Sarah McLachlan</v>
      </c>
      <c r="I307" s="6" t="str">
        <f aca="false">IF(F307=0,"NOT FOUND",INDEX('All Song Rankings'!$D:$D,F307))</f>
        <v>Stephanie</v>
      </c>
      <c r="J307" s="7" t="str">
        <f aca="false">IF(F307=0,"NOT FOUND",IF(C307=I307,"SELF-VOTE",IF(COUNTIF($K:$K,K307)&gt;1,"DUPLICATE","OK")))</f>
        <v>OK</v>
      </c>
      <c r="K307" s="6" t="str">
        <f aca="false">A307&amp;"|"&amp;B307&amp;"|"&amp;C307&amp;"|"&amp;D307</f>
        <v>1|5|Olivia|spotify:track:780W6YW5HFANQLR77Owern</v>
      </c>
    </row>
    <row r="308" customFormat="false" ht="15" hidden="false" customHeight="false" outlineLevel="0" collapsed="false">
      <c r="A308" s="5" t="n">
        <v>1</v>
      </c>
      <c r="B308" s="5" t="n">
        <v>5</v>
      </c>
      <c r="C308" s="5" t="s">
        <v>97</v>
      </c>
      <c r="D308" s="5" t="s">
        <v>240</v>
      </c>
      <c r="E308" s="5" t="n">
        <v>1</v>
      </c>
      <c r="F308" s="6" t="n">
        <f aca="false">IFERROR(MATCH(A308&amp;"|"&amp;B308&amp;"|"&amp;D308,'All Song Rankings'!$T:$T,0),0)</f>
        <v>46</v>
      </c>
      <c r="G308" s="6" t="str">
        <f aca="false">IF(F308=0,"NOT FOUND",INDEX('All Song Rankings'!$A:$A,F308))</f>
        <v>Orpheus</v>
      </c>
      <c r="H308" s="6" t="str">
        <f aca="false">IF(F308=0,"NOT FOUND",INDEX('All Song Rankings'!$B:$B,F308))</f>
        <v>mgk</v>
      </c>
      <c r="I308" s="6" t="str">
        <f aca="false">IF(F308=0,"NOT FOUND",INDEX('All Song Rankings'!$D:$D,F308))</f>
        <v>Nicole</v>
      </c>
      <c r="J308" s="7" t="str">
        <f aca="false">IF(F308=0,"NOT FOUND",IF(C308=I308,"SELF-VOTE",IF(COUNTIF($K:$K,K308)&gt;1,"DUPLICATE","OK")))</f>
        <v>OK</v>
      </c>
      <c r="K308" s="6" t="str">
        <f aca="false">A308&amp;"|"&amp;B308&amp;"|"&amp;C308&amp;"|"&amp;D308</f>
        <v>1|5|Stephanie|spotify:track:0a19Y5a4mXE75w2N6EV7y2</v>
      </c>
    </row>
    <row r="309" customFormat="false" ht="15" hidden="false" customHeight="false" outlineLevel="0" collapsed="false">
      <c r="A309" s="5" t="n">
        <v>1</v>
      </c>
      <c r="B309" s="5" t="n">
        <v>5</v>
      </c>
      <c r="C309" s="5" t="s">
        <v>97</v>
      </c>
      <c r="D309" s="5" t="s">
        <v>254</v>
      </c>
      <c r="E309" s="5" t="n">
        <v>1</v>
      </c>
      <c r="F309" s="6" t="n">
        <f aca="false">IFERROR(MATCH(A309&amp;"|"&amp;B309&amp;"|"&amp;D309,'All Song Rankings'!$T:$T,0),0)</f>
        <v>51</v>
      </c>
      <c r="G309" s="6" t="str">
        <f aca="false">IF(F309=0,"NOT FOUND",INDEX('All Song Rankings'!$A:$A,F309))</f>
        <v>F64</v>
      </c>
      <c r="H309" s="6" t="str">
        <f aca="false">IF(F309=0,"NOT FOUND",INDEX('All Song Rankings'!$B:$B,F309))</f>
        <v>Ed Sheeran</v>
      </c>
      <c r="I309" s="6" t="str">
        <f aca="false">IF(F309=0,"NOT FOUND",INDEX('All Song Rankings'!$D:$D,F309))</f>
        <v>Leah</v>
      </c>
      <c r="J309" s="7" t="str">
        <f aca="false">IF(F309=0,"NOT FOUND",IF(C309=I309,"SELF-VOTE",IF(COUNTIF($K:$K,K309)&gt;1,"DUPLICATE","OK")))</f>
        <v>OK</v>
      </c>
      <c r="K309" s="6" t="str">
        <f aca="false">A309&amp;"|"&amp;B309&amp;"|"&amp;C309&amp;"|"&amp;D309</f>
        <v>1|5|Stephanie|spotify:track:5DFi6D7SrYHRIgZbY5MqqE</v>
      </c>
    </row>
    <row r="310" customFormat="false" ht="15" hidden="false" customHeight="false" outlineLevel="0" collapsed="false">
      <c r="A310" s="5" t="n">
        <v>1</v>
      </c>
      <c r="B310" s="5" t="n">
        <v>5</v>
      </c>
      <c r="C310" s="5" t="s">
        <v>97</v>
      </c>
      <c r="D310" s="5" t="s">
        <v>234</v>
      </c>
      <c r="E310" s="5" t="n">
        <v>4</v>
      </c>
      <c r="F310" s="6" t="n">
        <f aca="false">IFERROR(MATCH(A310&amp;"|"&amp;B310&amp;"|"&amp;D310,'All Song Rankings'!$T:$T,0),0)</f>
        <v>44</v>
      </c>
      <c r="G310" s="6" t="str">
        <f aca="false">IF(F310=0,"NOT FOUND",INDEX('All Song Rankings'!$A:$A,F310))</f>
        <v>How Do I Say Goodbye</v>
      </c>
      <c r="H310" s="6" t="str">
        <f aca="false">IF(F310=0,"NOT FOUND",INDEX('All Song Rankings'!$B:$B,F310))</f>
        <v>Dean Lewis</v>
      </c>
      <c r="I310" s="6" t="str">
        <f aca="false">IF(F310=0,"NOT FOUND",INDEX('All Song Rankings'!$D:$D,F310))</f>
        <v>Matt</v>
      </c>
      <c r="J310" s="7" t="str">
        <f aca="false">IF(F310=0,"NOT FOUND",IF(C310=I310,"SELF-VOTE",IF(COUNTIF($K:$K,K310)&gt;1,"DUPLICATE","OK")))</f>
        <v>OK</v>
      </c>
      <c r="K310" s="6" t="str">
        <f aca="false">A310&amp;"|"&amp;B310&amp;"|"&amp;C310&amp;"|"&amp;D310</f>
        <v>1|5|Stephanie|spotify:track:5hnGrTBaEsdukpDF6aZg8a</v>
      </c>
    </row>
    <row r="311" customFormat="false" ht="15" hidden="false" customHeight="false" outlineLevel="0" collapsed="false">
      <c r="A311" s="5" t="n">
        <v>1</v>
      </c>
      <c r="B311" s="5" t="n">
        <v>5</v>
      </c>
      <c r="C311" s="5" t="s">
        <v>97</v>
      </c>
      <c r="D311" s="5" t="s">
        <v>243</v>
      </c>
      <c r="E311" s="5" t="n">
        <v>1</v>
      </c>
      <c r="F311" s="6" t="n">
        <f aca="false">IFERROR(MATCH(A311&amp;"|"&amp;B311&amp;"|"&amp;D311,'All Song Rankings'!$T:$T,0),0)</f>
        <v>47</v>
      </c>
      <c r="G311" s="6" t="str">
        <f aca="false">IF(F311=0,"NOT FOUND",INDEX('All Song Rankings'!$A:$A,F311))</f>
        <v>Theodosia Reprise</v>
      </c>
      <c r="H311" s="6" t="str">
        <f aca="false">IF(F311=0,"NOT FOUND",INDEX('All Song Rankings'!$B:$B,F311))</f>
        <v>Sara Bareilles</v>
      </c>
      <c r="I311" s="6" t="str">
        <f aca="false">IF(F311=0,"NOT FOUND",INDEX('All Song Rankings'!$D:$D,F311))</f>
        <v>Logan</v>
      </c>
      <c r="J311" s="7" t="str">
        <f aca="false">IF(F311=0,"NOT FOUND",IF(C311=I311,"SELF-VOTE",IF(COUNTIF($K:$K,K311)&gt;1,"DUPLICATE","OK")))</f>
        <v>OK</v>
      </c>
      <c r="K311" s="6" t="str">
        <f aca="false">A311&amp;"|"&amp;B311&amp;"|"&amp;C311&amp;"|"&amp;D311</f>
        <v>1|5|Stephanie|spotify:track:6aWWF20lTBd9KgNc9IRIM2</v>
      </c>
    </row>
    <row r="312" customFormat="false" ht="15" hidden="false" customHeight="false" outlineLevel="0" collapsed="false">
      <c r="A312" s="5" t="n">
        <v>1</v>
      </c>
      <c r="B312" s="5" t="n">
        <v>5</v>
      </c>
      <c r="C312" s="5" t="s">
        <v>97</v>
      </c>
      <c r="D312" s="5" t="s">
        <v>231</v>
      </c>
      <c r="E312" s="5" t="n">
        <v>3</v>
      </c>
      <c r="F312" s="6" t="n">
        <f aca="false">IFERROR(MATCH(A312&amp;"|"&amp;B312&amp;"|"&amp;D312,'All Song Rankings'!$T:$T,0),0)</f>
        <v>43</v>
      </c>
      <c r="G312" s="6" t="str">
        <f aca="false">IF(F312=0,"NOT FOUND",INDEX('All Song Rankings'!$A:$A,F312))</f>
        <v>Save You a Seat</v>
      </c>
      <c r="H312" s="6" t="str">
        <f aca="false">IF(F312=0,"NOT FOUND",INDEX('All Song Rankings'!$B:$B,F312))</f>
        <v>Alex Warren</v>
      </c>
      <c r="I312" s="6" t="str">
        <f aca="false">IF(F312=0,"NOT FOUND",INDEX('All Song Rankings'!$D:$D,F312))</f>
        <v>Kelsey</v>
      </c>
      <c r="J312" s="7" t="str">
        <f aca="false">IF(F312=0,"NOT FOUND",IF(C312=I312,"SELF-VOTE",IF(COUNTIF($K:$K,K312)&gt;1,"DUPLICATE","OK")))</f>
        <v>OK</v>
      </c>
      <c r="K312" s="6" t="str">
        <f aca="false">A312&amp;"|"&amp;B312&amp;"|"&amp;C312&amp;"|"&amp;D312</f>
        <v>1|5|Stephanie|spotify:track:6pkRK6iZC2Yhhd172tC9Id</v>
      </c>
    </row>
    <row r="313" customFormat="false" ht="15" hidden="false" customHeight="false" outlineLevel="0" collapsed="false">
      <c r="A313" s="5" t="n">
        <v>1</v>
      </c>
      <c r="B313" s="5" t="n">
        <v>6</v>
      </c>
      <c r="C313" s="5" t="s">
        <v>111</v>
      </c>
      <c r="D313" s="5" t="s">
        <v>266</v>
      </c>
      <c r="E313" s="5" t="n">
        <v>3</v>
      </c>
      <c r="F313" s="6" t="n">
        <f aca="false">IFERROR(MATCH(A313&amp;"|"&amp;B313&amp;"|"&amp;D313,'All Song Rankings'!$T:$T,0),0)</f>
        <v>55</v>
      </c>
      <c r="G313" s="6" t="str">
        <f aca="false">IF(F313=0,"NOT FOUND",INDEX('All Song Rankings'!$A:$A,F313))</f>
        <v>Nancy Mulligan</v>
      </c>
      <c r="H313" s="6" t="str">
        <f aca="false">IF(F313=0,"NOT FOUND",INDEX('All Song Rankings'!$B:$B,F313))</f>
        <v>Ed Sheeran</v>
      </c>
      <c r="I313" s="6" t="str">
        <f aca="false">IF(F313=0,"NOT FOUND",INDEX('All Song Rankings'!$D:$D,F313))</f>
        <v>Nicole</v>
      </c>
      <c r="J313" s="7" t="str">
        <f aca="false">IF(F313=0,"NOT FOUND",IF(C313=I313,"SELF-VOTE",IF(COUNTIF($K:$K,K313)&gt;1,"DUPLICATE","OK")))</f>
        <v>OK</v>
      </c>
      <c r="K313" s="6" t="str">
        <f aca="false">A313&amp;"|"&amp;B313&amp;"|"&amp;C313&amp;"|"&amp;D313</f>
        <v>1|6|Collin|spotify:track:35QZaWQRkmnAVqBF1TLCxQ</v>
      </c>
    </row>
    <row r="314" customFormat="false" ht="15" hidden="false" customHeight="false" outlineLevel="0" collapsed="false">
      <c r="A314" s="5" t="n">
        <v>1</v>
      </c>
      <c r="B314" s="5" t="n">
        <v>6</v>
      </c>
      <c r="C314" s="5" t="s">
        <v>111</v>
      </c>
      <c r="D314" s="5" t="s">
        <v>261</v>
      </c>
      <c r="E314" s="5" t="n">
        <v>3</v>
      </c>
      <c r="F314" s="6" t="n">
        <f aca="false">IFERROR(MATCH(A314&amp;"|"&amp;B314&amp;"|"&amp;D314,'All Song Rankings'!$T:$T,0),0)</f>
        <v>53</v>
      </c>
      <c r="G314" s="6" t="str">
        <f aca="false">IF(F314=0,"NOT FOUND",INDEX('All Song Rankings'!$A:$A,F314))</f>
        <v>Stan</v>
      </c>
      <c r="H314" s="6" t="str">
        <f aca="false">IF(F314=0,"NOT FOUND",INDEX('All Song Rankings'!$B:$B,F314))</f>
        <v>Eminem</v>
      </c>
      <c r="I314" s="6" t="str">
        <f aca="false">IF(F314=0,"NOT FOUND",INDEX('All Song Rankings'!$D:$D,F314))</f>
        <v>Leah</v>
      </c>
      <c r="J314" s="7" t="str">
        <f aca="false">IF(F314=0,"NOT FOUND",IF(C314=I314,"SELF-VOTE",IF(COUNTIF($K:$K,K314)&gt;1,"DUPLICATE","OK")))</f>
        <v>OK</v>
      </c>
      <c r="K314" s="6" t="str">
        <f aca="false">A314&amp;"|"&amp;B314&amp;"|"&amp;C314&amp;"|"&amp;D314</f>
        <v>1|6|Collin|spotify:track:3UmaczJpikHgJFyBTAJVoz</v>
      </c>
    </row>
    <row r="315" customFormat="false" ht="15" hidden="false" customHeight="false" outlineLevel="0" collapsed="false">
      <c r="A315" s="5" t="n">
        <v>1</v>
      </c>
      <c r="B315" s="5" t="n">
        <v>6</v>
      </c>
      <c r="C315" s="5" t="s">
        <v>111</v>
      </c>
      <c r="D315" s="5" t="s">
        <v>278</v>
      </c>
      <c r="E315" s="5" t="n">
        <v>1</v>
      </c>
      <c r="F315" s="6" t="n">
        <f aca="false">IFERROR(MATCH(A315&amp;"|"&amp;B315&amp;"|"&amp;D315,'All Song Rankings'!$T:$T,0),0)</f>
        <v>59</v>
      </c>
      <c r="G315" s="6" t="str">
        <f aca="false">IF(F315=0,"NOT FOUND",INDEX('All Song Rankings'!$A:$A,F315))</f>
        <v>Travelin' Soldier</v>
      </c>
      <c r="H315" s="6" t="str">
        <f aca="false">IF(F315=0,"NOT FOUND",INDEX('All Song Rankings'!$B:$B,F315))</f>
        <v>Cody Johnson</v>
      </c>
      <c r="I315" s="6" t="str">
        <f aca="false">IF(F315=0,"NOT FOUND",INDEX('All Song Rankings'!$D:$D,F315))</f>
        <v>Olivia</v>
      </c>
      <c r="J315" s="7" t="str">
        <f aca="false">IF(F315=0,"NOT FOUND",IF(C315=I315,"SELF-VOTE",IF(COUNTIF($K:$K,K315)&gt;1,"DUPLICATE","OK")))</f>
        <v>OK</v>
      </c>
      <c r="K315" s="6" t="str">
        <f aca="false">A315&amp;"|"&amp;B315&amp;"|"&amp;C315&amp;"|"&amp;D315</f>
        <v>1|6|Collin|spotify:track:4ThbwJaIWVxXZ1qJaHQBCz</v>
      </c>
    </row>
    <row r="316" customFormat="false" ht="15" hidden="false" customHeight="false" outlineLevel="0" collapsed="false">
      <c r="A316" s="5" t="n">
        <v>1</v>
      </c>
      <c r="B316" s="5" t="n">
        <v>6</v>
      </c>
      <c r="C316" s="5" t="s">
        <v>111</v>
      </c>
      <c r="D316" s="5" t="s">
        <v>264</v>
      </c>
      <c r="E316" s="5" t="n">
        <v>2</v>
      </c>
      <c r="F316" s="6" t="n">
        <f aca="false">IFERROR(MATCH(A316&amp;"|"&amp;B316&amp;"|"&amp;D316,'All Song Rankings'!$T:$T,0),0)</f>
        <v>54</v>
      </c>
      <c r="G316" s="6" t="str">
        <f aca="false">IF(F316=0,"NOT FOUND",INDEX('All Song Rankings'!$A:$A,F316))</f>
        <v>You Don't Mess Around with Jim</v>
      </c>
      <c r="H316" s="6" t="str">
        <f aca="false">IF(F316=0,"NOT FOUND",INDEX('All Song Rankings'!$B:$B,F316))</f>
        <v>Jim Croce</v>
      </c>
      <c r="I316" s="6" t="str">
        <f aca="false">IF(F316=0,"NOT FOUND",INDEX('All Song Rankings'!$D:$D,F316))</f>
        <v>Stephanie</v>
      </c>
      <c r="J316" s="7" t="str">
        <f aca="false">IF(F316=0,"NOT FOUND",IF(C316=I316,"SELF-VOTE",IF(COUNTIF($K:$K,K316)&gt;1,"DUPLICATE","OK")))</f>
        <v>OK</v>
      </c>
      <c r="K316" s="6" t="str">
        <f aca="false">A316&amp;"|"&amp;B316&amp;"|"&amp;C316&amp;"|"&amp;D316</f>
        <v>1|6|Collin|spotify:track:6ZBeRXjadHvBk9VYSnoO0R</v>
      </c>
    </row>
    <row r="317" customFormat="false" ht="15" hidden="false" customHeight="false" outlineLevel="0" collapsed="false">
      <c r="A317" s="5" t="n">
        <v>1</v>
      </c>
      <c r="B317" s="5" t="n">
        <v>6</v>
      </c>
      <c r="C317" s="5" t="s">
        <v>111</v>
      </c>
      <c r="D317" s="5" t="s">
        <v>281</v>
      </c>
      <c r="E317" s="5" t="n">
        <v>1</v>
      </c>
      <c r="F317" s="6" t="n">
        <f aca="false">IFERROR(MATCH(A317&amp;"|"&amp;B317&amp;"|"&amp;D317,'All Song Rankings'!$T:$T,0),0)</f>
        <v>60</v>
      </c>
      <c r="G317" s="6" t="str">
        <f aca="false">IF(F317=0,"NOT FOUND",INDEX('All Song Rankings'!$A:$A,F317))</f>
        <v>The Architect</v>
      </c>
      <c r="H317" s="6" t="str">
        <f aca="false">IF(F317=0,"NOT FOUND",INDEX('All Song Rankings'!$B:$B,F317))</f>
        <v>Kacey Musgraves</v>
      </c>
      <c r="I317" s="6" t="str">
        <f aca="false">IF(F317=0,"NOT FOUND",INDEX('All Song Rankings'!$D:$D,F317))</f>
        <v>Kelsey</v>
      </c>
      <c r="J317" s="7" t="str">
        <f aca="false">IF(F317=0,"NOT FOUND",IF(C317=I317,"SELF-VOTE",IF(COUNTIF($K:$K,K317)&gt;1,"DUPLICATE","OK")))</f>
        <v>OK</v>
      </c>
      <c r="K317" s="6" t="str">
        <f aca="false">A317&amp;"|"&amp;B317&amp;"|"&amp;C317&amp;"|"&amp;D317</f>
        <v>1|6|Collin|spotify:track:78SjYKRXdivtTDHBzaehnm</v>
      </c>
    </row>
    <row r="318" customFormat="false" ht="15" hidden="false" customHeight="false" outlineLevel="0" collapsed="false">
      <c r="A318" s="5" t="n">
        <v>1</v>
      </c>
      <c r="B318" s="5" t="n">
        <v>6</v>
      </c>
      <c r="C318" s="5" t="s">
        <v>85</v>
      </c>
      <c r="D318" s="5" t="s">
        <v>266</v>
      </c>
      <c r="E318" s="5" t="n">
        <v>1</v>
      </c>
      <c r="F318" s="6" t="n">
        <f aca="false">IFERROR(MATCH(A318&amp;"|"&amp;B318&amp;"|"&amp;D318,'All Song Rankings'!$T:$T,0),0)</f>
        <v>55</v>
      </c>
      <c r="G318" s="6" t="str">
        <f aca="false">IF(F318=0,"NOT FOUND",INDEX('All Song Rankings'!$A:$A,F318))</f>
        <v>Nancy Mulligan</v>
      </c>
      <c r="H318" s="6" t="str">
        <f aca="false">IF(F318=0,"NOT FOUND",INDEX('All Song Rankings'!$B:$B,F318))</f>
        <v>Ed Sheeran</v>
      </c>
      <c r="I318" s="6" t="str">
        <f aca="false">IF(F318=0,"NOT FOUND",INDEX('All Song Rankings'!$D:$D,F318))</f>
        <v>Nicole</v>
      </c>
      <c r="J318" s="7" t="str">
        <f aca="false">IF(F318=0,"NOT FOUND",IF(C318=I318,"SELF-VOTE",IF(COUNTIF($K:$K,K318)&gt;1,"DUPLICATE","OK")))</f>
        <v>OK</v>
      </c>
      <c r="K318" s="6" t="str">
        <f aca="false">A318&amp;"|"&amp;B318&amp;"|"&amp;C318&amp;"|"&amp;D318</f>
        <v>1|6|Kelsey|spotify:track:35QZaWQRkmnAVqBF1TLCxQ</v>
      </c>
    </row>
    <row r="319" customFormat="false" ht="15" hidden="false" customHeight="false" outlineLevel="0" collapsed="false">
      <c r="A319" s="5" t="n">
        <v>1</v>
      </c>
      <c r="B319" s="5" t="n">
        <v>6</v>
      </c>
      <c r="C319" s="5" t="s">
        <v>85</v>
      </c>
      <c r="D319" s="5" t="s">
        <v>272</v>
      </c>
      <c r="E319" s="5" t="n">
        <v>1</v>
      </c>
      <c r="F319" s="6" t="n">
        <f aca="false">IFERROR(MATCH(A319&amp;"|"&amp;B319&amp;"|"&amp;D319,'All Song Rankings'!$T:$T,0),0)</f>
        <v>57</v>
      </c>
      <c r="G319" s="6" t="str">
        <f aca="false">IF(F319=0,"NOT FOUND",INDEX('All Song Rankings'!$A:$A,F319))</f>
        <v>The Downeaster 'Alexa'</v>
      </c>
      <c r="H319" s="6" t="str">
        <f aca="false">IF(F319=0,"NOT FOUND",INDEX('All Song Rankings'!$B:$B,F319))</f>
        <v>Billy Joel</v>
      </c>
      <c r="I319" s="6" t="str">
        <f aca="false">IF(F319=0,"NOT FOUND",INDEX('All Song Rankings'!$D:$D,F319))</f>
        <v>Kristen</v>
      </c>
      <c r="J319" s="7" t="str">
        <f aca="false">IF(F319=0,"NOT FOUND",IF(C319=I319,"SELF-VOTE",IF(COUNTIF($K:$K,K319)&gt;1,"DUPLICATE","OK")))</f>
        <v>OK</v>
      </c>
      <c r="K319" s="6" t="str">
        <f aca="false">A319&amp;"|"&amp;B319&amp;"|"&amp;C319&amp;"|"&amp;D319</f>
        <v>1|6|Kelsey|spotify:track:39cFQHfY6tsdMRmSbFse3X</v>
      </c>
    </row>
    <row r="320" customFormat="false" ht="15" hidden="false" customHeight="false" outlineLevel="0" collapsed="false">
      <c r="A320" s="5" t="n">
        <v>1</v>
      </c>
      <c r="B320" s="5" t="n">
        <v>6</v>
      </c>
      <c r="C320" s="5" t="s">
        <v>85</v>
      </c>
      <c r="D320" s="5" t="s">
        <v>261</v>
      </c>
      <c r="E320" s="5" t="n">
        <v>1</v>
      </c>
      <c r="F320" s="6" t="n">
        <f aca="false">IFERROR(MATCH(A320&amp;"|"&amp;B320&amp;"|"&amp;D320,'All Song Rankings'!$T:$T,0),0)</f>
        <v>53</v>
      </c>
      <c r="G320" s="6" t="str">
        <f aca="false">IF(F320=0,"NOT FOUND",INDEX('All Song Rankings'!$A:$A,F320))</f>
        <v>Stan</v>
      </c>
      <c r="H320" s="6" t="str">
        <f aca="false">IF(F320=0,"NOT FOUND",INDEX('All Song Rankings'!$B:$B,F320))</f>
        <v>Eminem</v>
      </c>
      <c r="I320" s="6" t="str">
        <f aca="false">IF(F320=0,"NOT FOUND",INDEX('All Song Rankings'!$D:$D,F320))</f>
        <v>Leah</v>
      </c>
      <c r="J320" s="7" t="str">
        <f aca="false">IF(F320=0,"NOT FOUND",IF(C320=I320,"SELF-VOTE",IF(COUNTIF($K:$K,K320)&gt;1,"DUPLICATE","OK")))</f>
        <v>OK</v>
      </c>
      <c r="K320" s="6" t="str">
        <f aca="false">A320&amp;"|"&amp;B320&amp;"|"&amp;C320&amp;"|"&amp;D320</f>
        <v>1|6|Kelsey|spotify:track:3UmaczJpikHgJFyBTAJVoz</v>
      </c>
    </row>
    <row r="321" customFormat="false" ht="15" hidden="false" customHeight="false" outlineLevel="0" collapsed="false">
      <c r="A321" s="5" t="n">
        <v>1</v>
      </c>
      <c r="B321" s="5" t="n">
        <v>6</v>
      </c>
      <c r="C321" s="5" t="s">
        <v>85</v>
      </c>
      <c r="D321" s="5" t="s">
        <v>269</v>
      </c>
      <c r="E321" s="5" t="n">
        <v>1</v>
      </c>
      <c r="F321" s="6" t="n">
        <f aca="false">IFERROR(MATCH(A321&amp;"|"&amp;B321&amp;"|"&amp;D321,'All Song Rankings'!$T:$T,0),0)</f>
        <v>56</v>
      </c>
      <c r="G321" s="6" t="str">
        <f aca="false">IF(F321=0,"NOT FOUND",INDEX('All Song Rankings'!$A:$A,F321))</f>
        <v>I Hung My Head</v>
      </c>
      <c r="H321" s="6" t="str">
        <f aca="false">IF(F321=0,"NOT FOUND",INDEX('All Song Rankings'!$B:$B,F321))</f>
        <v>Johnny Cash</v>
      </c>
      <c r="I321" s="6" t="str">
        <f aca="false">IF(F321=0,"NOT FOUND",INDEX('All Song Rankings'!$D:$D,F321))</f>
        <v>Matt</v>
      </c>
      <c r="J321" s="7" t="str">
        <f aca="false">IF(F321=0,"NOT FOUND",IF(C321=I321,"SELF-VOTE",IF(COUNTIF($K:$K,K321)&gt;1,"DUPLICATE","OK")))</f>
        <v>OK</v>
      </c>
      <c r="K321" s="6" t="str">
        <f aca="false">A321&amp;"|"&amp;B321&amp;"|"&amp;C321&amp;"|"&amp;D321</f>
        <v>1|6|Kelsey|spotify:track:3iBemYZi4lw53UYDlxqMlw</v>
      </c>
    </row>
    <row r="322" customFormat="false" ht="15" hidden="false" customHeight="false" outlineLevel="0" collapsed="false">
      <c r="A322" s="5" t="n">
        <v>1</v>
      </c>
      <c r="B322" s="5" t="n">
        <v>6</v>
      </c>
      <c r="C322" s="5" t="s">
        <v>85</v>
      </c>
      <c r="D322" s="5" t="s">
        <v>287</v>
      </c>
      <c r="E322" s="5" t="n">
        <v>1</v>
      </c>
      <c r="F322" s="6" t="n">
        <f aca="false">IFERROR(MATCH(A322&amp;"|"&amp;B322&amp;"|"&amp;D322,'All Song Rankings'!$T:$T,0),0)</f>
        <v>62</v>
      </c>
      <c r="G322" s="6" t="str">
        <f aca="false">IF(F322=0,"NOT FOUND",INDEX('All Song Rankings'!$A:$A,F322))</f>
        <v>Milarrochy Bay</v>
      </c>
      <c r="H322" s="6" t="str">
        <f aca="false">IF(F322=0,"NOT FOUND",INDEX('All Song Rankings'!$B:$B,F322))</f>
        <v>Nathan Evans</v>
      </c>
      <c r="I322" s="6" t="str">
        <f aca="false">IF(F322=0,"NOT FOUND",INDEX('All Song Rankings'!$D:$D,F322))</f>
        <v>Collin</v>
      </c>
      <c r="J322" s="7" t="str">
        <f aca="false">IF(F322=0,"NOT FOUND",IF(C322=I322,"SELF-VOTE",IF(COUNTIF($K:$K,K322)&gt;1,"DUPLICATE","OK")))</f>
        <v>OK</v>
      </c>
      <c r="K322" s="6" t="str">
        <f aca="false">A322&amp;"|"&amp;B322&amp;"|"&amp;C322&amp;"|"&amp;D322</f>
        <v>1|6|Kelsey|spotify:track:4DMUZgAnTiUxK3VOFJ2HI0</v>
      </c>
    </row>
    <row r="323" customFormat="false" ht="15" hidden="false" customHeight="false" outlineLevel="0" collapsed="false">
      <c r="A323" s="5" t="n">
        <v>1</v>
      </c>
      <c r="B323" s="5" t="n">
        <v>6</v>
      </c>
      <c r="C323" s="5" t="s">
        <v>85</v>
      </c>
      <c r="D323" s="5" t="s">
        <v>278</v>
      </c>
      <c r="E323" s="5" t="n">
        <v>1</v>
      </c>
      <c r="F323" s="6" t="n">
        <f aca="false">IFERROR(MATCH(A323&amp;"|"&amp;B323&amp;"|"&amp;D323,'All Song Rankings'!$T:$T,0),0)</f>
        <v>59</v>
      </c>
      <c r="G323" s="6" t="str">
        <f aca="false">IF(F323=0,"NOT FOUND",INDEX('All Song Rankings'!$A:$A,F323))</f>
        <v>Travelin' Soldier</v>
      </c>
      <c r="H323" s="6" t="str">
        <f aca="false">IF(F323=0,"NOT FOUND",INDEX('All Song Rankings'!$B:$B,F323))</f>
        <v>Cody Johnson</v>
      </c>
      <c r="I323" s="6" t="str">
        <f aca="false">IF(F323=0,"NOT FOUND",INDEX('All Song Rankings'!$D:$D,F323))</f>
        <v>Olivia</v>
      </c>
      <c r="J323" s="7" t="str">
        <f aca="false">IF(F323=0,"NOT FOUND",IF(C323=I323,"SELF-VOTE",IF(COUNTIF($K:$K,K323)&gt;1,"DUPLICATE","OK")))</f>
        <v>OK</v>
      </c>
      <c r="K323" s="6" t="str">
        <f aca="false">A323&amp;"|"&amp;B323&amp;"|"&amp;C323&amp;"|"&amp;D323</f>
        <v>1|6|Kelsey|spotify:track:4ThbwJaIWVxXZ1qJaHQBCz</v>
      </c>
    </row>
    <row r="324" customFormat="false" ht="15" hidden="false" customHeight="false" outlineLevel="0" collapsed="false">
      <c r="A324" s="5" t="n">
        <v>1</v>
      </c>
      <c r="B324" s="5" t="n">
        <v>6</v>
      </c>
      <c r="C324" s="5" t="s">
        <v>85</v>
      </c>
      <c r="D324" s="5" t="s">
        <v>290</v>
      </c>
      <c r="E324" s="5" t="n">
        <v>1</v>
      </c>
      <c r="F324" s="6" t="n">
        <f aca="false">IFERROR(MATCH(A324&amp;"|"&amp;B324&amp;"|"&amp;D324,'All Song Rankings'!$T:$T,0),0)</f>
        <v>63</v>
      </c>
      <c r="G324" s="6" t="str">
        <f aca="false">IF(F324=0,"NOT FOUND",INDEX('All Song Rankings'!$A:$A,F324))</f>
        <v>drivers license</v>
      </c>
      <c r="H324" s="6" t="str">
        <f aca="false">IF(F324=0,"NOT FOUND",INDEX('All Song Rankings'!$B:$B,F324))</f>
        <v>Olivia Rodrigo</v>
      </c>
      <c r="I324" s="6" t="str">
        <f aca="false">IF(F324=0,"NOT FOUND",INDEX('All Song Rankings'!$D:$D,F324))</f>
        <v>Anya</v>
      </c>
      <c r="J324" s="7" t="str">
        <f aca="false">IF(F324=0,"NOT FOUND",IF(C324=I324,"SELF-VOTE",IF(COUNTIF($K:$K,K324)&gt;1,"DUPLICATE","OK")))</f>
        <v>OK</v>
      </c>
      <c r="K324" s="6" t="str">
        <f aca="false">A324&amp;"|"&amp;B324&amp;"|"&amp;C324&amp;"|"&amp;D324</f>
        <v>1|6|Kelsey|spotify:track:5wANPM4fQCJwkGd4rN57mH</v>
      </c>
    </row>
    <row r="325" customFormat="false" ht="15" hidden="false" customHeight="false" outlineLevel="0" collapsed="false">
      <c r="A325" s="5" t="n">
        <v>1</v>
      </c>
      <c r="B325" s="5" t="n">
        <v>6</v>
      </c>
      <c r="C325" s="5" t="s">
        <v>85</v>
      </c>
      <c r="D325" s="5" t="s">
        <v>284</v>
      </c>
      <c r="E325" s="5" t="n">
        <v>1</v>
      </c>
      <c r="F325" s="6" t="n">
        <f aca="false">IFERROR(MATCH(A325&amp;"|"&amp;B325&amp;"|"&amp;D325,'All Song Rankings'!$T:$T,0),0)</f>
        <v>61</v>
      </c>
      <c r="G325" s="6" t="str">
        <f aca="false">IF(F325=0,"NOT FOUND",INDEX('All Song Rankings'!$A:$A,F325))</f>
        <v>Moral of the Story</v>
      </c>
      <c r="H325" s="6" t="str">
        <f aca="false">IF(F325=0,"NOT FOUND",INDEX('All Song Rankings'!$B:$B,F325))</f>
        <v>Ashe</v>
      </c>
      <c r="I325" s="6" t="str">
        <f aca="false">IF(F325=0,"NOT FOUND",INDEX('All Song Rankings'!$D:$D,F325))</f>
        <v>Merita</v>
      </c>
      <c r="J325" s="7" t="str">
        <f aca="false">IF(F325=0,"NOT FOUND",IF(C325=I325,"SELF-VOTE",IF(COUNTIF($K:$K,K325)&gt;1,"DUPLICATE","OK")))</f>
        <v>OK</v>
      </c>
      <c r="K325" s="6" t="str">
        <f aca="false">A325&amp;"|"&amp;B325&amp;"|"&amp;C325&amp;"|"&amp;D325</f>
        <v>1|6|Kelsey|spotify:track:69HzZ3ti9DLwb0GdWCGYSo</v>
      </c>
    </row>
    <row r="326" customFormat="false" ht="15" hidden="false" customHeight="false" outlineLevel="0" collapsed="false">
      <c r="A326" s="5" t="n">
        <v>1</v>
      </c>
      <c r="B326" s="5" t="n">
        <v>6</v>
      </c>
      <c r="C326" s="5" t="s">
        <v>85</v>
      </c>
      <c r="D326" s="5" t="s">
        <v>275</v>
      </c>
      <c r="E326" s="5" t="n">
        <v>2</v>
      </c>
      <c r="F326" s="6" t="n">
        <f aca="false">IFERROR(MATCH(A326&amp;"|"&amp;B326&amp;"|"&amp;D326,'All Song Rankings'!$T:$T,0),0)</f>
        <v>58</v>
      </c>
      <c r="G326" s="6" t="str">
        <f aca="false">IF(F326=0,"NOT FOUND",INDEX('All Song Rankings'!$A:$A,F326))</f>
        <v>Goodbye Earl</v>
      </c>
      <c r="H326" s="6" t="str">
        <f aca="false">IF(F326=0,"NOT FOUND",INDEX('All Song Rankings'!$B:$B,F326))</f>
        <v>The Chicks</v>
      </c>
      <c r="I326" s="6" t="str">
        <f aca="false">IF(F326=0,"NOT FOUND",INDEX('All Song Rankings'!$D:$D,F326))</f>
        <v>Logan</v>
      </c>
      <c r="J326" s="7" t="str">
        <f aca="false">IF(F326=0,"NOT FOUND",IF(C326=I326,"SELF-VOTE",IF(COUNTIF($K:$K,K326)&gt;1,"DUPLICATE","OK")))</f>
        <v>OK</v>
      </c>
      <c r="K326" s="6" t="str">
        <f aca="false">A326&amp;"|"&amp;B326&amp;"|"&amp;C326&amp;"|"&amp;D326</f>
        <v>1|6|Kelsey|spotify:track:7rqaqQurHzR5xHAhdm1gmM</v>
      </c>
    </row>
    <row r="327" customFormat="false" ht="15" hidden="false" customHeight="false" outlineLevel="0" collapsed="false">
      <c r="A327" s="5" t="n">
        <v>1</v>
      </c>
      <c r="B327" s="5" t="n">
        <v>6</v>
      </c>
      <c r="C327" s="5" t="s">
        <v>106</v>
      </c>
      <c r="D327" s="5" t="s">
        <v>266</v>
      </c>
      <c r="E327" s="5" t="n">
        <v>1</v>
      </c>
      <c r="F327" s="6" t="n">
        <f aca="false">IFERROR(MATCH(A327&amp;"|"&amp;B327&amp;"|"&amp;D327,'All Song Rankings'!$T:$T,0),0)</f>
        <v>55</v>
      </c>
      <c r="G327" s="6" t="str">
        <f aca="false">IF(F327=0,"NOT FOUND",INDEX('All Song Rankings'!$A:$A,F327))</f>
        <v>Nancy Mulligan</v>
      </c>
      <c r="H327" s="6" t="str">
        <f aca="false">IF(F327=0,"NOT FOUND",INDEX('All Song Rankings'!$B:$B,F327))</f>
        <v>Ed Sheeran</v>
      </c>
      <c r="I327" s="6" t="str">
        <f aca="false">IF(F327=0,"NOT FOUND",INDEX('All Song Rankings'!$D:$D,F327))</f>
        <v>Nicole</v>
      </c>
      <c r="J327" s="7" t="str">
        <f aca="false">IF(F327=0,"NOT FOUND",IF(C327=I327,"SELF-VOTE",IF(COUNTIF($K:$K,K327)&gt;1,"DUPLICATE","OK")))</f>
        <v>OK</v>
      </c>
      <c r="K327" s="6" t="str">
        <f aca="false">A327&amp;"|"&amp;B327&amp;"|"&amp;C327&amp;"|"&amp;D327</f>
        <v>1|6|Kristen|spotify:track:35QZaWQRkmnAVqBF1TLCxQ</v>
      </c>
    </row>
    <row r="328" customFormat="false" ht="15" hidden="false" customHeight="false" outlineLevel="0" collapsed="false">
      <c r="A328" s="5" t="n">
        <v>1</v>
      </c>
      <c r="B328" s="5" t="n">
        <v>6</v>
      </c>
      <c r="C328" s="5" t="s">
        <v>106</v>
      </c>
      <c r="D328" s="5" t="s">
        <v>269</v>
      </c>
      <c r="E328" s="5" t="n">
        <v>3</v>
      </c>
      <c r="F328" s="6" t="n">
        <f aca="false">IFERROR(MATCH(A328&amp;"|"&amp;B328&amp;"|"&amp;D328,'All Song Rankings'!$T:$T,0),0)</f>
        <v>56</v>
      </c>
      <c r="G328" s="6" t="str">
        <f aca="false">IF(F328=0,"NOT FOUND",INDEX('All Song Rankings'!$A:$A,F328))</f>
        <v>I Hung My Head</v>
      </c>
      <c r="H328" s="6" t="str">
        <f aca="false">IF(F328=0,"NOT FOUND",INDEX('All Song Rankings'!$B:$B,F328))</f>
        <v>Johnny Cash</v>
      </c>
      <c r="I328" s="6" t="str">
        <f aca="false">IF(F328=0,"NOT FOUND",INDEX('All Song Rankings'!$D:$D,F328))</f>
        <v>Matt</v>
      </c>
      <c r="J328" s="7" t="str">
        <f aca="false">IF(F328=0,"NOT FOUND",IF(C328=I328,"SELF-VOTE",IF(COUNTIF($K:$K,K328)&gt;1,"DUPLICATE","OK")))</f>
        <v>OK</v>
      </c>
      <c r="K328" s="6" t="str">
        <f aca="false">A328&amp;"|"&amp;B328&amp;"|"&amp;C328&amp;"|"&amp;D328</f>
        <v>1|6|Kristen|spotify:track:3iBemYZi4lw53UYDlxqMlw</v>
      </c>
    </row>
    <row r="329" customFormat="false" ht="15" hidden="false" customHeight="false" outlineLevel="0" collapsed="false">
      <c r="A329" s="5" t="n">
        <v>1</v>
      </c>
      <c r="B329" s="5" t="n">
        <v>6</v>
      </c>
      <c r="C329" s="5" t="s">
        <v>106</v>
      </c>
      <c r="D329" s="5" t="s">
        <v>290</v>
      </c>
      <c r="E329" s="5" t="n">
        <v>1</v>
      </c>
      <c r="F329" s="6" t="n">
        <f aca="false">IFERROR(MATCH(A329&amp;"|"&amp;B329&amp;"|"&amp;D329,'All Song Rankings'!$T:$T,0),0)</f>
        <v>63</v>
      </c>
      <c r="G329" s="6" t="str">
        <f aca="false">IF(F329=0,"NOT FOUND",INDEX('All Song Rankings'!$A:$A,F329))</f>
        <v>drivers license</v>
      </c>
      <c r="H329" s="6" t="str">
        <f aca="false">IF(F329=0,"NOT FOUND",INDEX('All Song Rankings'!$B:$B,F329))</f>
        <v>Olivia Rodrigo</v>
      </c>
      <c r="I329" s="6" t="str">
        <f aca="false">IF(F329=0,"NOT FOUND",INDEX('All Song Rankings'!$D:$D,F329))</f>
        <v>Anya</v>
      </c>
      <c r="J329" s="7" t="str">
        <f aca="false">IF(F329=0,"NOT FOUND",IF(C329=I329,"SELF-VOTE",IF(COUNTIF($K:$K,K329)&gt;1,"DUPLICATE","OK")))</f>
        <v>OK</v>
      </c>
      <c r="K329" s="6" t="str">
        <f aca="false">A329&amp;"|"&amp;B329&amp;"|"&amp;C329&amp;"|"&amp;D329</f>
        <v>1|6|Kristen|spotify:track:5wANPM4fQCJwkGd4rN57mH</v>
      </c>
    </row>
    <row r="330" customFormat="false" ht="15" hidden="false" customHeight="false" outlineLevel="0" collapsed="false">
      <c r="A330" s="5" t="n">
        <v>1</v>
      </c>
      <c r="B330" s="5" t="n">
        <v>6</v>
      </c>
      <c r="C330" s="5" t="s">
        <v>106</v>
      </c>
      <c r="D330" s="5" t="s">
        <v>284</v>
      </c>
      <c r="E330" s="5" t="n">
        <v>2</v>
      </c>
      <c r="F330" s="6" t="n">
        <f aca="false">IFERROR(MATCH(A330&amp;"|"&amp;B330&amp;"|"&amp;D330,'All Song Rankings'!$T:$T,0),0)</f>
        <v>61</v>
      </c>
      <c r="G330" s="6" t="str">
        <f aca="false">IF(F330=0,"NOT FOUND",INDEX('All Song Rankings'!$A:$A,F330))</f>
        <v>Moral of the Story</v>
      </c>
      <c r="H330" s="6" t="str">
        <f aca="false">IF(F330=0,"NOT FOUND",INDEX('All Song Rankings'!$B:$B,F330))</f>
        <v>Ashe</v>
      </c>
      <c r="I330" s="6" t="str">
        <f aca="false">IF(F330=0,"NOT FOUND",INDEX('All Song Rankings'!$D:$D,F330))</f>
        <v>Merita</v>
      </c>
      <c r="J330" s="7" t="str">
        <f aca="false">IF(F330=0,"NOT FOUND",IF(C330=I330,"SELF-VOTE",IF(COUNTIF($K:$K,K330)&gt;1,"DUPLICATE","OK")))</f>
        <v>OK</v>
      </c>
      <c r="K330" s="6" t="str">
        <f aca="false">A330&amp;"|"&amp;B330&amp;"|"&amp;C330&amp;"|"&amp;D330</f>
        <v>1|6|Kristen|spotify:track:69HzZ3ti9DLwb0GdWCGYSo</v>
      </c>
    </row>
    <row r="331" customFormat="false" ht="15" hidden="false" customHeight="false" outlineLevel="0" collapsed="false">
      <c r="A331" s="5" t="n">
        <v>1</v>
      </c>
      <c r="B331" s="5" t="n">
        <v>6</v>
      </c>
      <c r="C331" s="5" t="s">
        <v>106</v>
      </c>
      <c r="D331" s="5" t="s">
        <v>264</v>
      </c>
      <c r="E331" s="5" t="n">
        <v>2</v>
      </c>
      <c r="F331" s="6" t="n">
        <f aca="false">IFERROR(MATCH(A331&amp;"|"&amp;B331&amp;"|"&amp;D331,'All Song Rankings'!$T:$T,0),0)</f>
        <v>54</v>
      </c>
      <c r="G331" s="6" t="str">
        <f aca="false">IF(F331=0,"NOT FOUND",INDEX('All Song Rankings'!$A:$A,F331))</f>
        <v>You Don't Mess Around with Jim</v>
      </c>
      <c r="H331" s="6" t="str">
        <f aca="false">IF(F331=0,"NOT FOUND",INDEX('All Song Rankings'!$B:$B,F331))</f>
        <v>Jim Croce</v>
      </c>
      <c r="I331" s="6" t="str">
        <f aca="false">IF(F331=0,"NOT FOUND",INDEX('All Song Rankings'!$D:$D,F331))</f>
        <v>Stephanie</v>
      </c>
      <c r="J331" s="7" t="str">
        <f aca="false">IF(F331=0,"NOT FOUND",IF(C331=I331,"SELF-VOTE",IF(COUNTIF($K:$K,K331)&gt;1,"DUPLICATE","OK")))</f>
        <v>OK</v>
      </c>
      <c r="K331" s="6" t="str">
        <f aca="false">A331&amp;"|"&amp;B331&amp;"|"&amp;C331&amp;"|"&amp;D331</f>
        <v>1|6|Kristen|spotify:track:6ZBeRXjadHvBk9VYSnoO0R</v>
      </c>
    </row>
    <row r="332" customFormat="false" ht="15" hidden="false" customHeight="false" outlineLevel="0" collapsed="false">
      <c r="A332" s="5" t="n">
        <v>1</v>
      </c>
      <c r="B332" s="5" t="n">
        <v>6</v>
      </c>
      <c r="C332" s="5" t="s">
        <v>106</v>
      </c>
      <c r="D332" s="5" t="s">
        <v>275</v>
      </c>
      <c r="E332" s="5" t="n">
        <v>1</v>
      </c>
      <c r="F332" s="6" t="n">
        <f aca="false">IFERROR(MATCH(A332&amp;"|"&amp;B332&amp;"|"&amp;D332,'All Song Rankings'!$T:$T,0),0)</f>
        <v>58</v>
      </c>
      <c r="G332" s="6" t="str">
        <f aca="false">IF(F332=0,"NOT FOUND",INDEX('All Song Rankings'!$A:$A,F332))</f>
        <v>Goodbye Earl</v>
      </c>
      <c r="H332" s="6" t="str">
        <f aca="false">IF(F332=0,"NOT FOUND",INDEX('All Song Rankings'!$B:$B,F332))</f>
        <v>The Chicks</v>
      </c>
      <c r="I332" s="6" t="str">
        <f aca="false">IF(F332=0,"NOT FOUND",INDEX('All Song Rankings'!$D:$D,F332))</f>
        <v>Logan</v>
      </c>
      <c r="J332" s="7" t="str">
        <f aca="false">IF(F332=0,"NOT FOUND",IF(C332=I332,"SELF-VOTE",IF(COUNTIF($K:$K,K332)&gt;1,"DUPLICATE","OK")))</f>
        <v>OK</v>
      </c>
      <c r="K332" s="6" t="str">
        <f aca="false">A332&amp;"|"&amp;B332&amp;"|"&amp;C332&amp;"|"&amp;D332</f>
        <v>1|6|Kristen|spotify:track:7rqaqQurHzR5xHAhdm1gmM</v>
      </c>
    </row>
    <row r="333" customFormat="false" ht="15" hidden="false" customHeight="false" outlineLevel="0" collapsed="false">
      <c r="A333" s="5" t="n">
        <v>1</v>
      </c>
      <c r="B333" s="5" t="n">
        <v>6</v>
      </c>
      <c r="C333" s="5" t="s">
        <v>119</v>
      </c>
      <c r="D333" s="5" t="s">
        <v>266</v>
      </c>
      <c r="E333" s="5" t="n">
        <v>1</v>
      </c>
      <c r="F333" s="6" t="n">
        <f aca="false">IFERROR(MATCH(A333&amp;"|"&amp;B333&amp;"|"&amp;D333,'All Song Rankings'!$T:$T,0),0)</f>
        <v>55</v>
      </c>
      <c r="G333" s="6" t="str">
        <f aca="false">IF(F333=0,"NOT FOUND",INDEX('All Song Rankings'!$A:$A,F333))</f>
        <v>Nancy Mulligan</v>
      </c>
      <c r="H333" s="6" t="str">
        <f aca="false">IF(F333=0,"NOT FOUND",INDEX('All Song Rankings'!$B:$B,F333))</f>
        <v>Ed Sheeran</v>
      </c>
      <c r="I333" s="6" t="str">
        <f aca="false">IF(F333=0,"NOT FOUND",INDEX('All Song Rankings'!$D:$D,F333))</f>
        <v>Nicole</v>
      </c>
      <c r="J333" s="7" t="str">
        <f aca="false">IF(F333=0,"NOT FOUND",IF(C333=I333,"SELF-VOTE",IF(COUNTIF($K:$K,K333)&gt;1,"DUPLICATE","OK")))</f>
        <v>OK</v>
      </c>
      <c r="K333" s="6" t="str">
        <f aca="false">A333&amp;"|"&amp;B333&amp;"|"&amp;C333&amp;"|"&amp;D333</f>
        <v>1|6|Leah|spotify:track:35QZaWQRkmnAVqBF1TLCxQ</v>
      </c>
    </row>
    <row r="334" customFormat="false" ht="15" hidden="false" customHeight="false" outlineLevel="0" collapsed="false">
      <c r="A334" s="5" t="n">
        <v>1</v>
      </c>
      <c r="B334" s="5" t="n">
        <v>6</v>
      </c>
      <c r="C334" s="5" t="s">
        <v>119</v>
      </c>
      <c r="D334" s="5" t="s">
        <v>272</v>
      </c>
      <c r="E334" s="5" t="n">
        <v>3</v>
      </c>
      <c r="F334" s="6" t="n">
        <f aca="false">IFERROR(MATCH(A334&amp;"|"&amp;B334&amp;"|"&amp;D334,'All Song Rankings'!$T:$T,0),0)</f>
        <v>57</v>
      </c>
      <c r="G334" s="6" t="str">
        <f aca="false">IF(F334=0,"NOT FOUND",INDEX('All Song Rankings'!$A:$A,F334))</f>
        <v>The Downeaster 'Alexa'</v>
      </c>
      <c r="H334" s="6" t="str">
        <f aca="false">IF(F334=0,"NOT FOUND",INDEX('All Song Rankings'!$B:$B,F334))</f>
        <v>Billy Joel</v>
      </c>
      <c r="I334" s="6" t="str">
        <f aca="false">IF(F334=0,"NOT FOUND",INDEX('All Song Rankings'!$D:$D,F334))</f>
        <v>Kristen</v>
      </c>
      <c r="J334" s="7" t="str">
        <f aca="false">IF(F334=0,"NOT FOUND",IF(C334=I334,"SELF-VOTE",IF(COUNTIF($K:$K,K334)&gt;1,"DUPLICATE","OK")))</f>
        <v>OK</v>
      </c>
      <c r="K334" s="6" t="str">
        <f aca="false">A334&amp;"|"&amp;B334&amp;"|"&amp;C334&amp;"|"&amp;D334</f>
        <v>1|6|Leah|spotify:track:39cFQHfY6tsdMRmSbFse3X</v>
      </c>
    </row>
    <row r="335" customFormat="false" ht="15" hidden="false" customHeight="false" outlineLevel="0" collapsed="false">
      <c r="A335" s="5" t="n">
        <v>1</v>
      </c>
      <c r="B335" s="5" t="n">
        <v>6</v>
      </c>
      <c r="C335" s="5" t="s">
        <v>119</v>
      </c>
      <c r="D335" s="5" t="s">
        <v>278</v>
      </c>
      <c r="E335" s="5" t="n">
        <v>2</v>
      </c>
      <c r="F335" s="6" t="n">
        <f aca="false">IFERROR(MATCH(A335&amp;"|"&amp;B335&amp;"|"&amp;D335,'All Song Rankings'!$T:$T,0),0)</f>
        <v>59</v>
      </c>
      <c r="G335" s="6" t="str">
        <f aca="false">IF(F335=0,"NOT FOUND",INDEX('All Song Rankings'!$A:$A,F335))</f>
        <v>Travelin' Soldier</v>
      </c>
      <c r="H335" s="6" t="str">
        <f aca="false">IF(F335=0,"NOT FOUND",INDEX('All Song Rankings'!$B:$B,F335))</f>
        <v>Cody Johnson</v>
      </c>
      <c r="I335" s="6" t="str">
        <f aca="false">IF(F335=0,"NOT FOUND",INDEX('All Song Rankings'!$D:$D,F335))</f>
        <v>Olivia</v>
      </c>
      <c r="J335" s="7" t="str">
        <f aca="false">IF(F335=0,"NOT FOUND",IF(C335=I335,"SELF-VOTE",IF(COUNTIF($K:$K,K335)&gt;1,"DUPLICATE","OK")))</f>
        <v>OK</v>
      </c>
      <c r="K335" s="6" t="str">
        <f aca="false">A335&amp;"|"&amp;B335&amp;"|"&amp;C335&amp;"|"&amp;D335</f>
        <v>1|6|Leah|spotify:track:4ThbwJaIWVxXZ1qJaHQBCz</v>
      </c>
    </row>
    <row r="336" customFormat="false" ht="15" hidden="false" customHeight="false" outlineLevel="0" collapsed="false">
      <c r="A336" s="5" t="n">
        <v>1</v>
      </c>
      <c r="B336" s="5" t="n">
        <v>6</v>
      </c>
      <c r="C336" s="5" t="s">
        <v>119</v>
      </c>
      <c r="D336" s="5" t="s">
        <v>284</v>
      </c>
      <c r="E336" s="5" t="n">
        <v>1</v>
      </c>
      <c r="F336" s="6" t="n">
        <f aca="false">IFERROR(MATCH(A336&amp;"|"&amp;B336&amp;"|"&amp;D336,'All Song Rankings'!$T:$T,0),0)</f>
        <v>61</v>
      </c>
      <c r="G336" s="6" t="str">
        <f aca="false">IF(F336=0,"NOT FOUND",INDEX('All Song Rankings'!$A:$A,F336))</f>
        <v>Moral of the Story</v>
      </c>
      <c r="H336" s="6" t="str">
        <f aca="false">IF(F336=0,"NOT FOUND",INDEX('All Song Rankings'!$B:$B,F336))</f>
        <v>Ashe</v>
      </c>
      <c r="I336" s="6" t="str">
        <f aca="false">IF(F336=0,"NOT FOUND",INDEX('All Song Rankings'!$D:$D,F336))</f>
        <v>Merita</v>
      </c>
      <c r="J336" s="7" t="str">
        <f aca="false">IF(F336=0,"NOT FOUND",IF(C336=I336,"SELF-VOTE",IF(COUNTIF($K:$K,K336)&gt;1,"DUPLICATE","OK")))</f>
        <v>OK</v>
      </c>
      <c r="K336" s="6" t="str">
        <f aca="false">A336&amp;"|"&amp;B336&amp;"|"&amp;C336&amp;"|"&amp;D336</f>
        <v>1|6|Leah|spotify:track:69HzZ3ti9DLwb0GdWCGYSo</v>
      </c>
    </row>
    <row r="337" customFormat="false" ht="15" hidden="false" customHeight="false" outlineLevel="0" collapsed="false">
      <c r="A337" s="5" t="n">
        <v>1</v>
      </c>
      <c r="B337" s="5" t="n">
        <v>6</v>
      </c>
      <c r="C337" s="5" t="s">
        <v>119</v>
      </c>
      <c r="D337" s="5" t="s">
        <v>264</v>
      </c>
      <c r="E337" s="5" t="n">
        <v>1</v>
      </c>
      <c r="F337" s="6" t="n">
        <f aca="false">IFERROR(MATCH(A337&amp;"|"&amp;B337&amp;"|"&amp;D337,'All Song Rankings'!$T:$T,0),0)</f>
        <v>54</v>
      </c>
      <c r="G337" s="6" t="str">
        <f aca="false">IF(F337=0,"NOT FOUND",INDEX('All Song Rankings'!$A:$A,F337))</f>
        <v>You Don't Mess Around with Jim</v>
      </c>
      <c r="H337" s="6" t="str">
        <f aca="false">IF(F337=0,"NOT FOUND",INDEX('All Song Rankings'!$B:$B,F337))</f>
        <v>Jim Croce</v>
      </c>
      <c r="I337" s="6" t="str">
        <f aca="false">IF(F337=0,"NOT FOUND",INDEX('All Song Rankings'!$D:$D,F337))</f>
        <v>Stephanie</v>
      </c>
      <c r="J337" s="7" t="str">
        <f aca="false">IF(F337=0,"NOT FOUND",IF(C337=I337,"SELF-VOTE",IF(COUNTIF($K:$K,K337)&gt;1,"DUPLICATE","OK")))</f>
        <v>OK</v>
      </c>
      <c r="K337" s="6" t="str">
        <f aca="false">A337&amp;"|"&amp;B337&amp;"|"&amp;C337&amp;"|"&amp;D337</f>
        <v>1|6|Leah|spotify:track:6ZBeRXjadHvBk9VYSnoO0R</v>
      </c>
    </row>
    <row r="338" customFormat="false" ht="15" hidden="false" customHeight="false" outlineLevel="0" collapsed="false">
      <c r="A338" s="5" t="n">
        <v>1</v>
      </c>
      <c r="B338" s="5" t="n">
        <v>6</v>
      </c>
      <c r="C338" s="5" t="s">
        <v>119</v>
      </c>
      <c r="D338" s="5" t="s">
        <v>281</v>
      </c>
      <c r="E338" s="5" t="n">
        <v>1</v>
      </c>
      <c r="F338" s="6" t="n">
        <f aca="false">IFERROR(MATCH(A338&amp;"|"&amp;B338&amp;"|"&amp;D338,'All Song Rankings'!$T:$T,0),0)</f>
        <v>60</v>
      </c>
      <c r="G338" s="6" t="str">
        <f aca="false">IF(F338=0,"NOT FOUND",INDEX('All Song Rankings'!$A:$A,F338))</f>
        <v>The Architect</v>
      </c>
      <c r="H338" s="6" t="str">
        <f aca="false">IF(F338=0,"NOT FOUND",INDEX('All Song Rankings'!$B:$B,F338))</f>
        <v>Kacey Musgraves</v>
      </c>
      <c r="I338" s="6" t="str">
        <f aca="false">IF(F338=0,"NOT FOUND",INDEX('All Song Rankings'!$D:$D,F338))</f>
        <v>Kelsey</v>
      </c>
      <c r="J338" s="7" t="str">
        <f aca="false">IF(F338=0,"NOT FOUND",IF(C338=I338,"SELF-VOTE",IF(COUNTIF($K:$K,K338)&gt;1,"DUPLICATE","OK")))</f>
        <v>OK</v>
      </c>
      <c r="K338" s="6" t="str">
        <f aca="false">A338&amp;"|"&amp;B338&amp;"|"&amp;C338&amp;"|"&amp;D338</f>
        <v>1|6|Leah|spotify:track:78SjYKRXdivtTDHBzaehnm</v>
      </c>
    </row>
    <row r="339" customFormat="false" ht="15" hidden="false" customHeight="false" outlineLevel="0" collapsed="false">
      <c r="A339" s="5" t="n">
        <v>1</v>
      </c>
      <c r="B339" s="5" t="n">
        <v>6</v>
      </c>
      <c r="C339" s="5" t="s">
        <v>119</v>
      </c>
      <c r="D339" s="5" t="s">
        <v>275</v>
      </c>
      <c r="E339" s="5" t="n">
        <v>1</v>
      </c>
      <c r="F339" s="6" t="n">
        <f aca="false">IFERROR(MATCH(A339&amp;"|"&amp;B339&amp;"|"&amp;D339,'All Song Rankings'!$T:$T,0),0)</f>
        <v>58</v>
      </c>
      <c r="G339" s="6" t="str">
        <f aca="false">IF(F339=0,"NOT FOUND",INDEX('All Song Rankings'!$A:$A,F339))</f>
        <v>Goodbye Earl</v>
      </c>
      <c r="H339" s="6" t="str">
        <f aca="false">IF(F339=0,"NOT FOUND",INDEX('All Song Rankings'!$B:$B,F339))</f>
        <v>The Chicks</v>
      </c>
      <c r="I339" s="6" t="str">
        <f aca="false">IF(F339=0,"NOT FOUND",INDEX('All Song Rankings'!$D:$D,F339))</f>
        <v>Logan</v>
      </c>
      <c r="J339" s="7" t="str">
        <f aca="false">IF(F339=0,"NOT FOUND",IF(C339=I339,"SELF-VOTE",IF(COUNTIF($K:$K,K339)&gt;1,"DUPLICATE","OK")))</f>
        <v>OK</v>
      </c>
      <c r="K339" s="6" t="str">
        <f aca="false">A339&amp;"|"&amp;B339&amp;"|"&amp;C339&amp;"|"&amp;D339</f>
        <v>1|6|Leah|spotify:track:7rqaqQurHzR5xHAhdm1gmM</v>
      </c>
    </row>
    <row r="340" customFormat="false" ht="15" hidden="false" customHeight="false" outlineLevel="0" collapsed="false">
      <c r="A340" s="5" t="n">
        <v>1</v>
      </c>
      <c r="B340" s="5" t="n">
        <v>6</v>
      </c>
      <c r="C340" s="5" t="s">
        <v>128</v>
      </c>
      <c r="D340" s="5" t="s">
        <v>266</v>
      </c>
      <c r="E340" s="5" t="n">
        <v>1</v>
      </c>
      <c r="F340" s="6" t="n">
        <f aca="false">IFERROR(MATCH(A340&amp;"|"&amp;B340&amp;"|"&amp;D340,'All Song Rankings'!$T:$T,0),0)</f>
        <v>55</v>
      </c>
      <c r="G340" s="6" t="str">
        <f aca="false">IF(F340=0,"NOT FOUND",INDEX('All Song Rankings'!$A:$A,F340))</f>
        <v>Nancy Mulligan</v>
      </c>
      <c r="H340" s="6" t="str">
        <f aca="false">IF(F340=0,"NOT FOUND",INDEX('All Song Rankings'!$B:$B,F340))</f>
        <v>Ed Sheeran</v>
      </c>
      <c r="I340" s="6" t="str">
        <f aca="false">IF(F340=0,"NOT FOUND",INDEX('All Song Rankings'!$D:$D,F340))</f>
        <v>Nicole</v>
      </c>
      <c r="J340" s="7" t="str">
        <f aca="false">IF(F340=0,"NOT FOUND",IF(C340=I340,"SELF-VOTE",IF(COUNTIF($K:$K,K340)&gt;1,"DUPLICATE","OK")))</f>
        <v>OK</v>
      </c>
      <c r="K340" s="6" t="str">
        <f aca="false">A340&amp;"|"&amp;B340&amp;"|"&amp;C340&amp;"|"&amp;D340</f>
        <v>1|6|Logan|spotify:track:35QZaWQRkmnAVqBF1TLCxQ</v>
      </c>
    </row>
    <row r="341" customFormat="false" ht="15" hidden="false" customHeight="false" outlineLevel="0" collapsed="false">
      <c r="A341" s="5" t="n">
        <v>1</v>
      </c>
      <c r="B341" s="5" t="n">
        <v>6</v>
      </c>
      <c r="C341" s="5" t="s">
        <v>128</v>
      </c>
      <c r="D341" s="5" t="s">
        <v>272</v>
      </c>
      <c r="E341" s="5" t="n">
        <v>1</v>
      </c>
      <c r="F341" s="6" t="n">
        <f aca="false">IFERROR(MATCH(A341&amp;"|"&amp;B341&amp;"|"&amp;D341,'All Song Rankings'!$T:$T,0),0)</f>
        <v>57</v>
      </c>
      <c r="G341" s="6" t="str">
        <f aca="false">IF(F341=0,"NOT FOUND",INDEX('All Song Rankings'!$A:$A,F341))</f>
        <v>The Downeaster 'Alexa'</v>
      </c>
      <c r="H341" s="6" t="str">
        <f aca="false">IF(F341=0,"NOT FOUND",INDEX('All Song Rankings'!$B:$B,F341))</f>
        <v>Billy Joel</v>
      </c>
      <c r="I341" s="6" t="str">
        <f aca="false">IF(F341=0,"NOT FOUND",INDEX('All Song Rankings'!$D:$D,F341))</f>
        <v>Kristen</v>
      </c>
      <c r="J341" s="7" t="str">
        <f aca="false">IF(F341=0,"NOT FOUND",IF(C341=I341,"SELF-VOTE",IF(COUNTIF($K:$K,K341)&gt;1,"DUPLICATE","OK")))</f>
        <v>OK</v>
      </c>
      <c r="K341" s="6" t="str">
        <f aca="false">A341&amp;"|"&amp;B341&amp;"|"&amp;C341&amp;"|"&amp;D341</f>
        <v>1|6|Logan|spotify:track:39cFQHfY6tsdMRmSbFse3X</v>
      </c>
    </row>
    <row r="342" customFormat="false" ht="15" hidden="false" customHeight="false" outlineLevel="0" collapsed="false">
      <c r="A342" s="5" t="n">
        <v>1</v>
      </c>
      <c r="B342" s="5" t="n">
        <v>6</v>
      </c>
      <c r="C342" s="5" t="s">
        <v>128</v>
      </c>
      <c r="D342" s="5" t="s">
        <v>261</v>
      </c>
      <c r="E342" s="5" t="n">
        <v>2</v>
      </c>
      <c r="F342" s="6" t="n">
        <f aca="false">IFERROR(MATCH(A342&amp;"|"&amp;B342&amp;"|"&amp;D342,'All Song Rankings'!$T:$T,0),0)</f>
        <v>53</v>
      </c>
      <c r="G342" s="6" t="str">
        <f aca="false">IF(F342=0,"NOT FOUND",INDEX('All Song Rankings'!$A:$A,F342))</f>
        <v>Stan</v>
      </c>
      <c r="H342" s="6" t="str">
        <f aca="false">IF(F342=0,"NOT FOUND",INDEX('All Song Rankings'!$B:$B,F342))</f>
        <v>Eminem</v>
      </c>
      <c r="I342" s="6" t="str">
        <f aca="false">IF(F342=0,"NOT FOUND",INDEX('All Song Rankings'!$D:$D,F342))</f>
        <v>Leah</v>
      </c>
      <c r="J342" s="7" t="str">
        <f aca="false">IF(F342=0,"NOT FOUND",IF(C342=I342,"SELF-VOTE",IF(COUNTIF($K:$K,K342)&gt;1,"DUPLICATE","OK")))</f>
        <v>OK</v>
      </c>
      <c r="K342" s="6" t="str">
        <f aca="false">A342&amp;"|"&amp;B342&amp;"|"&amp;C342&amp;"|"&amp;D342</f>
        <v>1|6|Logan|spotify:track:3UmaczJpikHgJFyBTAJVoz</v>
      </c>
    </row>
    <row r="343" customFormat="false" ht="15" hidden="false" customHeight="false" outlineLevel="0" collapsed="false">
      <c r="A343" s="5" t="n">
        <v>1</v>
      </c>
      <c r="B343" s="5" t="n">
        <v>6</v>
      </c>
      <c r="C343" s="5" t="s">
        <v>128</v>
      </c>
      <c r="D343" s="5" t="s">
        <v>269</v>
      </c>
      <c r="E343" s="5" t="n">
        <v>2</v>
      </c>
      <c r="F343" s="6" t="n">
        <f aca="false">IFERROR(MATCH(A343&amp;"|"&amp;B343&amp;"|"&amp;D343,'All Song Rankings'!$T:$T,0),0)</f>
        <v>56</v>
      </c>
      <c r="G343" s="6" t="str">
        <f aca="false">IF(F343=0,"NOT FOUND",INDEX('All Song Rankings'!$A:$A,F343))</f>
        <v>I Hung My Head</v>
      </c>
      <c r="H343" s="6" t="str">
        <f aca="false">IF(F343=0,"NOT FOUND",INDEX('All Song Rankings'!$B:$B,F343))</f>
        <v>Johnny Cash</v>
      </c>
      <c r="I343" s="6" t="str">
        <f aca="false">IF(F343=0,"NOT FOUND",INDEX('All Song Rankings'!$D:$D,F343))</f>
        <v>Matt</v>
      </c>
      <c r="J343" s="7" t="str">
        <f aca="false">IF(F343=0,"NOT FOUND",IF(C343=I343,"SELF-VOTE",IF(COUNTIF($K:$K,K343)&gt;1,"DUPLICATE","OK")))</f>
        <v>OK</v>
      </c>
      <c r="K343" s="6" t="str">
        <f aca="false">A343&amp;"|"&amp;B343&amp;"|"&amp;C343&amp;"|"&amp;D343</f>
        <v>1|6|Logan|spotify:track:3iBemYZi4lw53UYDlxqMlw</v>
      </c>
    </row>
    <row r="344" customFormat="false" ht="15" hidden="false" customHeight="false" outlineLevel="0" collapsed="false">
      <c r="A344" s="5" t="n">
        <v>1</v>
      </c>
      <c r="B344" s="5" t="n">
        <v>6</v>
      </c>
      <c r="C344" s="5" t="s">
        <v>128</v>
      </c>
      <c r="D344" s="5" t="s">
        <v>287</v>
      </c>
      <c r="E344" s="5" t="n">
        <v>1</v>
      </c>
      <c r="F344" s="6" t="n">
        <f aca="false">IFERROR(MATCH(A344&amp;"|"&amp;B344&amp;"|"&amp;D344,'All Song Rankings'!$T:$T,0),0)</f>
        <v>62</v>
      </c>
      <c r="G344" s="6" t="str">
        <f aca="false">IF(F344=0,"NOT FOUND",INDEX('All Song Rankings'!$A:$A,F344))</f>
        <v>Milarrochy Bay</v>
      </c>
      <c r="H344" s="6" t="str">
        <f aca="false">IF(F344=0,"NOT FOUND",INDEX('All Song Rankings'!$B:$B,F344))</f>
        <v>Nathan Evans</v>
      </c>
      <c r="I344" s="6" t="str">
        <f aca="false">IF(F344=0,"NOT FOUND",INDEX('All Song Rankings'!$D:$D,F344))</f>
        <v>Collin</v>
      </c>
      <c r="J344" s="7" t="str">
        <f aca="false">IF(F344=0,"NOT FOUND",IF(C344=I344,"SELF-VOTE",IF(COUNTIF($K:$K,K344)&gt;1,"DUPLICATE","OK")))</f>
        <v>OK</v>
      </c>
      <c r="K344" s="6" t="str">
        <f aca="false">A344&amp;"|"&amp;B344&amp;"|"&amp;C344&amp;"|"&amp;D344</f>
        <v>1|6|Logan|spotify:track:4DMUZgAnTiUxK3VOFJ2HI0</v>
      </c>
    </row>
    <row r="345" customFormat="false" ht="15" hidden="false" customHeight="false" outlineLevel="0" collapsed="false">
      <c r="A345" s="5" t="n">
        <v>1</v>
      </c>
      <c r="B345" s="5" t="n">
        <v>6</v>
      </c>
      <c r="C345" s="5" t="s">
        <v>128</v>
      </c>
      <c r="D345" s="5" t="s">
        <v>290</v>
      </c>
      <c r="E345" s="5" t="n">
        <v>1</v>
      </c>
      <c r="F345" s="6" t="n">
        <f aca="false">IFERROR(MATCH(A345&amp;"|"&amp;B345&amp;"|"&amp;D345,'All Song Rankings'!$T:$T,0),0)</f>
        <v>63</v>
      </c>
      <c r="G345" s="6" t="str">
        <f aca="false">IF(F345=0,"NOT FOUND",INDEX('All Song Rankings'!$A:$A,F345))</f>
        <v>drivers license</v>
      </c>
      <c r="H345" s="6" t="str">
        <f aca="false">IF(F345=0,"NOT FOUND",INDEX('All Song Rankings'!$B:$B,F345))</f>
        <v>Olivia Rodrigo</v>
      </c>
      <c r="I345" s="6" t="str">
        <f aca="false">IF(F345=0,"NOT FOUND",INDEX('All Song Rankings'!$D:$D,F345))</f>
        <v>Anya</v>
      </c>
      <c r="J345" s="7" t="str">
        <f aca="false">IF(F345=0,"NOT FOUND",IF(C345=I345,"SELF-VOTE",IF(COUNTIF($K:$K,K345)&gt;1,"DUPLICATE","OK")))</f>
        <v>OK</v>
      </c>
      <c r="K345" s="6" t="str">
        <f aca="false">A345&amp;"|"&amp;B345&amp;"|"&amp;C345&amp;"|"&amp;D345</f>
        <v>1|6|Logan|spotify:track:5wANPM4fQCJwkGd4rN57mH</v>
      </c>
    </row>
    <row r="346" customFormat="false" ht="15" hidden="false" customHeight="false" outlineLevel="0" collapsed="false">
      <c r="A346" s="5" t="n">
        <v>1</v>
      </c>
      <c r="B346" s="5" t="n">
        <v>6</v>
      </c>
      <c r="C346" s="5" t="s">
        <v>128</v>
      </c>
      <c r="D346" s="5" t="s">
        <v>264</v>
      </c>
      <c r="E346" s="5" t="n">
        <v>2</v>
      </c>
      <c r="F346" s="6" t="n">
        <f aca="false">IFERROR(MATCH(A346&amp;"|"&amp;B346&amp;"|"&amp;D346,'All Song Rankings'!$T:$T,0),0)</f>
        <v>54</v>
      </c>
      <c r="G346" s="6" t="str">
        <f aca="false">IF(F346=0,"NOT FOUND",INDEX('All Song Rankings'!$A:$A,F346))</f>
        <v>You Don't Mess Around with Jim</v>
      </c>
      <c r="H346" s="6" t="str">
        <f aca="false">IF(F346=0,"NOT FOUND",INDEX('All Song Rankings'!$B:$B,F346))</f>
        <v>Jim Croce</v>
      </c>
      <c r="I346" s="6" t="str">
        <f aca="false">IF(F346=0,"NOT FOUND",INDEX('All Song Rankings'!$D:$D,F346))</f>
        <v>Stephanie</v>
      </c>
      <c r="J346" s="7" t="str">
        <f aca="false">IF(F346=0,"NOT FOUND",IF(C346=I346,"SELF-VOTE",IF(COUNTIF($K:$K,K346)&gt;1,"DUPLICATE","OK")))</f>
        <v>OK</v>
      </c>
      <c r="K346" s="6" t="str">
        <f aca="false">A346&amp;"|"&amp;B346&amp;"|"&amp;C346&amp;"|"&amp;D346</f>
        <v>1|6|Logan|spotify:track:6ZBeRXjadHvBk9VYSnoO0R</v>
      </c>
    </row>
    <row r="347" customFormat="false" ht="15" hidden="false" customHeight="false" outlineLevel="0" collapsed="false">
      <c r="A347" s="5" t="n">
        <v>1</v>
      </c>
      <c r="B347" s="5" t="n">
        <v>6</v>
      </c>
      <c r="C347" s="5" t="s">
        <v>116</v>
      </c>
      <c r="D347" s="5" t="s">
        <v>261</v>
      </c>
      <c r="E347" s="5" t="n">
        <v>1</v>
      </c>
      <c r="F347" s="6" t="n">
        <f aca="false">IFERROR(MATCH(A347&amp;"|"&amp;B347&amp;"|"&amp;D347,'All Song Rankings'!$T:$T,0),0)</f>
        <v>53</v>
      </c>
      <c r="G347" s="6" t="str">
        <f aca="false">IF(F347=0,"NOT FOUND",INDEX('All Song Rankings'!$A:$A,F347))</f>
        <v>Stan</v>
      </c>
      <c r="H347" s="6" t="str">
        <f aca="false">IF(F347=0,"NOT FOUND",INDEX('All Song Rankings'!$B:$B,F347))</f>
        <v>Eminem</v>
      </c>
      <c r="I347" s="6" t="str">
        <f aca="false">IF(F347=0,"NOT FOUND",INDEX('All Song Rankings'!$D:$D,F347))</f>
        <v>Leah</v>
      </c>
      <c r="J347" s="7" t="str">
        <f aca="false">IF(F347=0,"NOT FOUND",IF(C347=I347,"SELF-VOTE",IF(COUNTIF($K:$K,K347)&gt;1,"DUPLICATE","OK")))</f>
        <v>OK</v>
      </c>
      <c r="K347" s="6" t="str">
        <f aca="false">A347&amp;"|"&amp;B347&amp;"|"&amp;C347&amp;"|"&amp;D347</f>
        <v>1|6|Matt|spotify:track:3UmaczJpikHgJFyBTAJVoz</v>
      </c>
    </row>
    <row r="348" customFormat="false" ht="15" hidden="false" customHeight="false" outlineLevel="0" collapsed="false">
      <c r="A348" s="5" t="n">
        <v>1</v>
      </c>
      <c r="B348" s="5" t="n">
        <v>6</v>
      </c>
      <c r="C348" s="5" t="s">
        <v>116</v>
      </c>
      <c r="D348" s="5" t="s">
        <v>278</v>
      </c>
      <c r="E348" s="5" t="n">
        <v>1</v>
      </c>
      <c r="F348" s="6" t="n">
        <f aca="false">IFERROR(MATCH(A348&amp;"|"&amp;B348&amp;"|"&amp;D348,'All Song Rankings'!$T:$T,0),0)</f>
        <v>59</v>
      </c>
      <c r="G348" s="6" t="str">
        <f aca="false">IF(F348=0,"NOT FOUND",INDEX('All Song Rankings'!$A:$A,F348))</f>
        <v>Travelin' Soldier</v>
      </c>
      <c r="H348" s="6" t="str">
        <f aca="false">IF(F348=0,"NOT FOUND",INDEX('All Song Rankings'!$B:$B,F348))</f>
        <v>Cody Johnson</v>
      </c>
      <c r="I348" s="6" t="str">
        <f aca="false">IF(F348=0,"NOT FOUND",INDEX('All Song Rankings'!$D:$D,F348))</f>
        <v>Olivia</v>
      </c>
      <c r="J348" s="7" t="str">
        <f aca="false">IF(F348=0,"NOT FOUND",IF(C348=I348,"SELF-VOTE",IF(COUNTIF($K:$K,K348)&gt;1,"DUPLICATE","OK")))</f>
        <v>OK</v>
      </c>
      <c r="K348" s="6" t="str">
        <f aca="false">A348&amp;"|"&amp;B348&amp;"|"&amp;C348&amp;"|"&amp;D348</f>
        <v>1|6|Matt|spotify:track:4ThbwJaIWVxXZ1qJaHQBCz</v>
      </c>
    </row>
    <row r="349" customFormat="false" ht="15" hidden="false" customHeight="false" outlineLevel="0" collapsed="false">
      <c r="A349" s="5" t="n">
        <v>1</v>
      </c>
      <c r="B349" s="5" t="n">
        <v>6</v>
      </c>
      <c r="C349" s="5" t="s">
        <v>116</v>
      </c>
      <c r="D349" s="5" t="s">
        <v>290</v>
      </c>
      <c r="E349" s="5" t="n">
        <v>3</v>
      </c>
      <c r="F349" s="6" t="n">
        <f aca="false">IFERROR(MATCH(A349&amp;"|"&amp;B349&amp;"|"&amp;D349,'All Song Rankings'!$T:$T,0),0)</f>
        <v>63</v>
      </c>
      <c r="G349" s="6" t="str">
        <f aca="false">IF(F349=0,"NOT FOUND",INDEX('All Song Rankings'!$A:$A,F349))</f>
        <v>drivers license</v>
      </c>
      <c r="H349" s="6" t="str">
        <f aca="false">IF(F349=0,"NOT FOUND",INDEX('All Song Rankings'!$B:$B,F349))</f>
        <v>Olivia Rodrigo</v>
      </c>
      <c r="I349" s="6" t="str">
        <f aca="false">IF(F349=0,"NOT FOUND",INDEX('All Song Rankings'!$D:$D,F349))</f>
        <v>Anya</v>
      </c>
      <c r="J349" s="7" t="str">
        <f aca="false">IF(F349=0,"NOT FOUND",IF(C349=I349,"SELF-VOTE",IF(COUNTIF($K:$K,K349)&gt;1,"DUPLICATE","OK")))</f>
        <v>OK</v>
      </c>
      <c r="K349" s="6" t="str">
        <f aca="false">A349&amp;"|"&amp;B349&amp;"|"&amp;C349&amp;"|"&amp;D349</f>
        <v>1|6|Matt|spotify:track:5wANPM4fQCJwkGd4rN57mH</v>
      </c>
    </row>
    <row r="350" customFormat="false" ht="15" hidden="false" customHeight="false" outlineLevel="0" collapsed="false">
      <c r="A350" s="5" t="n">
        <v>1</v>
      </c>
      <c r="B350" s="5" t="n">
        <v>6</v>
      </c>
      <c r="C350" s="5" t="s">
        <v>116</v>
      </c>
      <c r="D350" s="5" t="s">
        <v>264</v>
      </c>
      <c r="E350" s="5" t="n">
        <v>2</v>
      </c>
      <c r="F350" s="6" t="n">
        <f aca="false">IFERROR(MATCH(A350&amp;"|"&amp;B350&amp;"|"&amp;D350,'All Song Rankings'!$T:$T,0),0)</f>
        <v>54</v>
      </c>
      <c r="G350" s="6" t="str">
        <f aca="false">IF(F350=0,"NOT FOUND",INDEX('All Song Rankings'!$A:$A,F350))</f>
        <v>You Don't Mess Around with Jim</v>
      </c>
      <c r="H350" s="6" t="str">
        <f aca="false">IF(F350=0,"NOT FOUND",INDEX('All Song Rankings'!$B:$B,F350))</f>
        <v>Jim Croce</v>
      </c>
      <c r="I350" s="6" t="str">
        <f aca="false">IF(F350=0,"NOT FOUND",INDEX('All Song Rankings'!$D:$D,F350))</f>
        <v>Stephanie</v>
      </c>
      <c r="J350" s="7" t="str">
        <f aca="false">IF(F350=0,"NOT FOUND",IF(C350=I350,"SELF-VOTE",IF(COUNTIF($K:$K,K350)&gt;1,"DUPLICATE","OK")))</f>
        <v>OK</v>
      </c>
      <c r="K350" s="6" t="str">
        <f aca="false">A350&amp;"|"&amp;B350&amp;"|"&amp;C350&amp;"|"&amp;D350</f>
        <v>1|6|Matt|spotify:track:6ZBeRXjadHvBk9VYSnoO0R</v>
      </c>
    </row>
    <row r="351" customFormat="false" ht="15" hidden="false" customHeight="false" outlineLevel="0" collapsed="false">
      <c r="A351" s="5" t="n">
        <v>1</v>
      </c>
      <c r="B351" s="5" t="n">
        <v>6</v>
      </c>
      <c r="C351" s="5" t="s">
        <v>116</v>
      </c>
      <c r="D351" s="5" t="s">
        <v>281</v>
      </c>
      <c r="E351" s="5" t="n">
        <v>1</v>
      </c>
      <c r="F351" s="6" t="n">
        <f aca="false">IFERROR(MATCH(A351&amp;"|"&amp;B351&amp;"|"&amp;D351,'All Song Rankings'!$T:$T,0),0)</f>
        <v>60</v>
      </c>
      <c r="G351" s="6" t="str">
        <f aca="false">IF(F351=0,"NOT FOUND",INDEX('All Song Rankings'!$A:$A,F351))</f>
        <v>The Architect</v>
      </c>
      <c r="H351" s="6" t="str">
        <f aca="false">IF(F351=0,"NOT FOUND",INDEX('All Song Rankings'!$B:$B,F351))</f>
        <v>Kacey Musgraves</v>
      </c>
      <c r="I351" s="6" t="str">
        <f aca="false">IF(F351=0,"NOT FOUND",INDEX('All Song Rankings'!$D:$D,F351))</f>
        <v>Kelsey</v>
      </c>
      <c r="J351" s="7" t="str">
        <f aca="false">IF(F351=0,"NOT FOUND",IF(C351=I351,"SELF-VOTE",IF(COUNTIF($K:$K,K351)&gt;1,"DUPLICATE","OK")))</f>
        <v>OK</v>
      </c>
      <c r="K351" s="6" t="str">
        <f aca="false">A351&amp;"|"&amp;B351&amp;"|"&amp;C351&amp;"|"&amp;D351</f>
        <v>1|6|Matt|spotify:track:78SjYKRXdivtTDHBzaehnm</v>
      </c>
    </row>
    <row r="352" customFormat="false" ht="15" hidden="false" customHeight="false" outlineLevel="0" collapsed="false">
      <c r="A352" s="5" t="n">
        <v>1</v>
      </c>
      <c r="B352" s="5" t="n">
        <v>6</v>
      </c>
      <c r="C352" s="5" t="s">
        <v>116</v>
      </c>
      <c r="D352" s="5" t="s">
        <v>275</v>
      </c>
      <c r="E352" s="5" t="n">
        <v>2</v>
      </c>
      <c r="F352" s="6" t="n">
        <f aca="false">IFERROR(MATCH(A352&amp;"|"&amp;B352&amp;"|"&amp;D352,'All Song Rankings'!$T:$T,0),0)</f>
        <v>58</v>
      </c>
      <c r="G352" s="6" t="str">
        <f aca="false">IF(F352=0,"NOT FOUND",INDEX('All Song Rankings'!$A:$A,F352))</f>
        <v>Goodbye Earl</v>
      </c>
      <c r="H352" s="6" t="str">
        <f aca="false">IF(F352=0,"NOT FOUND",INDEX('All Song Rankings'!$B:$B,F352))</f>
        <v>The Chicks</v>
      </c>
      <c r="I352" s="6" t="str">
        <f aca="false">IF(F352=0,"NOT FOUND",INDEX('All Song Rankings'!$D:$D,F352))</f>
        <v>Logan</v>
      </c>
      <c r="J352" s="7" t="str">
        <f aca="false">IF(F352=0,"NOT FOUND",IF(C352=I352,"SELF-VOTE",IF(COUNTIF($K:$K,K352)&gt;1,"DUPLICATE","OK")))</f>
        <v>OK</v>
      </c>
      <c r="K352" s="6" t="str">
        <f aca="false">A352&amp;"|"&amp;B352&amp;"|"&amp;C352&amp;"|"&amp;D352</f>
        <v>1|6|Matt|spotify:track:7rqaqQurHzR5xHAhdm1gmM</v>
      </c>
    </row>
    <row r="353" customFormat="false" ht="15" hidden="false" customHeight="false" outlineLevel="0" collapsed="false">
      <c r="A353" s="5" t="n">
        <v>1</v>
      </c>
      <c r="B353" s="5" t="n">
        <v>6</v>
      </c>
      <c r="C353" s="5" t="s">
        <v>101</v>
      </c>
      <c r="D353" s="5" t="s">
        <v>266</v>
      </c>
      <c r="E353" s="5" t="n">
        <v>2</v>
      </c>
      <c r="F353" s="6" t="n">
        <f aca="false">IFERROR(MATCH(A353&amp;"|"&amp;B353&amp;"|"&amp;D353,'All Song Rankings'!$T:$T,0),0)</f>
        <v>55</v>
      </c>
      <c r="G353" s="6" t="str">
        <f aca="false">IF(F353=0,"NOT FOUND",INDEX('All Song Rankings'!$A:$A,F353))</f>
        <v>Nancy Mulligan</v>
      </c>
      <c r="H353" s="6" t="str">
        <f aca="false">IF(F353=0,"NOT FOUND",INDEX('All Song Rankings'!$B:$B,F353))</f>
        <v>Ed Sheeran</v>
      </c>
      <c r="I353" s="6" t="str">
        <f aca="false">IF(F353=0,"NOT FOUND",INDEX('All Song Rankings'!$D:$D,F353))</f>
        <v>Nicole</v>
      </c>
      <c r="J353" s="7" t="str">
        <f aca="false">IF(F353=0,"NOT FOUND",IF(C353=I353,"SELF-VOTE",IF(COUNTIF($K:$K,K353)&gt;1,"DUPLICATE","OK")))</f>
        <v>OK</v>
      </c>
      <c r="K353" s="6" t="str">
        <f aca="false">A353&amp;"|"&amp;B353&amp;"|"&amp;C353&amp;"|"&amp;D353</f>
        <v>1|6|Merita|spotify:track:35QZaWQRkmnAVqBF1TLCxQ</v>
      </c>
    </row>
    <row r="354" customFormat="false" ht="15" hidden="false" customHeight="false" outlineLevel="0" collapsed="false">
      <c r="A354" s="5" t="n">
        <v>1</v>
      </c>
      <c r="B354" s="5" t="n">
        <v>6</v>
      </c>
      <c r="C354" s="5" t="s">
        <v>101</v>
      </c>
      <c r="D354" s="5" t="s">
        <v>272</v>
      </c>
      <c r="E354" s="5" t="n">
        <v>2</v>
      </c>
      <c r="F354" s="6" t="n">
        <f aca="false">IFERROR(MATCH(A354&amp;"|"&amp;B354&amp;"|"&amp;D354,'All Song Rankings'!$T:$T,0),0)</f>
        <v>57</v>
      </c>
      <c r="G354" s="6" t="str">
        <f aca="false">IF(F354=0,"NOT FOUND",INDEX('All Song Rankings'!$A:$A,F354))</f>
        <v>The Downeaster 'Alexa'</v>
      </c>
      <c r="H354" s="6" t="str">
        <f aca="false">IF(F354=0,"NOT FOUND",INDEX('All Song Rankings'!$B:$B,F354))</f>
        <v>Billy Joel</v>
      </c>
      <c r="I354" s="6" t="str">
        <f aca="false">IF(F354=0,"NOT FOUND",INDEX('All Song Rankings'!$D:$D,F354))</f>
        <v>Kristen</v>
      </c>
      <c r="J354" s="7" t="str">
        <f aca="false">IF(F354=0,"NOT FOUND",IF(C354=I354,"SELF-VOTE",IF(COUNTIF($K:$K,K354)&gt;1,"DUPLICATE","OK")))</f>
        <v>OK</v>
      </c>
      <c r="K354" s="6" t="str">
        <f aca="false">A354&amp;"|"&amp;B354&amp;"|"&amp;C354&amp;"|"&amp;D354</f>
        <v>1|6|Merita|spotify:track:39cFQHfY6tsdMRmSbFse3X</v>
      </c>
    </row>
    <row r="355" customFormat="false" ht="15" hidden="false" customHeight="false" outlineLevel="0" collapsed="false">
      <c r="A355" s="5" t="n">
        <v>1</v>
      </c>
      <c r="B355" s="5" t="n">
        <v>6</v>
      </c>
      <c r="C355" s="5" t="s">
        <v>101</v>
      </c>
      <c r="D355" s="5" t="s">
        <v>261</v>
      </c>
      <c r="E355" s="5" t="n">
        <v>1</v>
      </c>
      <c r="F355" s="6" t="n">
        <f aca="false">IFERROR(MATCH(A355&amp;"|"&amp;B355&amp;"|"&amp;D355,'All Song Rankings'!$T:$T,0),0)</f>
        <v>53</v>
      </c>
      <c r="G355" s="6" t="str">
        <f aca="false">IF(F355=0,"NOT FOUND",INDEX('All Song Rankings'!$A:$A,F355))</f>
        <v>Stan</v>
      </c>
      <c r="H355" s="6" t="str">
        <f aca="false">IF(F355=0,"NOT FOUND",INDEX('All Song Rankings'!$B:$B,F355))</f>
        <v>Eminem</v>
      </c>
      <c r="I355" s="6" t="str">
        <f aca="false">IF(F355=0,"NOT FOUND",INDEX('All Song Rankings'!$D:$D,F355))</f>
        <v>Leah</v>
      </c>
      <c r="J355" s="7" t="str">
        <f aca="false">IF(F355=0,"NOT FOUND",IF(C355=I355,"SELF-VOTE",IF(COUNTIF($K:$K,K355)&gt;1,"DUPLICATE","OK")))</f>
        <v>OK</v>
      </c>
      <c r="K355" s="6" t="str">
        <f aca="false">A355&amp;"|"&amp;B355&amp;"|"&amp;C355&amp;"|"&amp;D355</f>
        <v>1|6|Merita|spotify:track:3UmaczJpikHgJFyBTAJVoz</v>
      </c>
    </row>
    <row r="356" customFormat="false" ht="15" hidden="false" customHeight="false" outlineLevel="0" collapsed="false">
      <c r="A356" s="5" t="n">
        <v>1</v>
      </c>
      <c r="B356" s="5" t="n">
        <v>6</v>
      </c>
      <c r="C356" s="5" t="s">
        <v>101</v>
      </c>
      <c r="D356" s="5" t="s">
        <v>269</v>
      </c>
      <c r="E356" s="5" t="n">
        <v>1</v>
      </c>
      <c r="F356" s="6" t="n">
        <f aca="false">IFERROR(MATCH(A356&amp;"|"&amp;B356&amp;"|"&amp;D356,'All Song Rankings'!$T:$T,0),0)</f>
        <v>56</v>
      </c>
      <c r="G356" s="6" t="str">
        <f aca="false">IF(F356=0,"NOT FOUND",INDEX('All Song Rankings'!$A:$A,F356))</f>
        <v>I Hung My Head</v>
      </c>
      <c r="H356" s="6" t="str">
        <f aca="false">IF(F356=0,"NOT FOUND",INDEX('All Song Rankings'!$B:$B,F356))</f>
        <v>Johnny Cash</v>
      </c>
      <c r="I356" s="6" t="str">
        <f aca="false">IF(F356=0,"NOT FOUND",INDEX('All Song Rankings'!$D:$D,F356))</f>
        <v>Matt</v>
      </c>
      <c r="J356" s="7" t="str">
        <f aca="false">IF(F356=0,"NOT FOUND",IF(C356=I356,"SELF-VOTE",IF(COUNTIF($K:$K,K356)&gt;1,"DUPLICATE","OK")))</f>
        <v>OK</v>
      </c>
      <c r="K356" s="6" t="str">
        <f aca="false">A356&amp;"|"&amp;B356&amp;"|"&amp;C356&amp;"|"&amp;D356</f>
        <v>1|6|Merita|spotify:track:3iBemYZi4lw53UYDlxqMlw</v>
      </c>
    </row>
    <row r="357" customFormat="false" ht="15" hidden="false" customHeight="false" outlineLevel="0" collapsed="false">
      <c r="A357" s="5" t="n">
        <v>1</v>
      </c>
      <c r="B357" s="5" t="n">
        <v>6</v>
      </c>
      <c r="C357" s="5" t="s">
        <v>101</v>
      </c>
      <c r="D357" s="5" t="s">
        <v>264</v>
      </c>
      <c r="E357" s="5" t="n">
        <v>2</v>
      </c>
      <c r="F357" s="6" t="n">
        <f aca="false">IFERROR(MATCH(A357&amp;"|"&amp;B357&amp;"|"&amp;D357,'All Song Rankings'!$T:$T,0),0)</f>
        <v>54</v>
      </c>
      <c r="G357" s="6" t="str">
        <f aca="false">IF(F357=0,"NOT FOUND",INDEX('All Song Rankings'!$A:$A,F357))</f>
        <v>You Don't Mess Around with Jim</v>
      </c>
      <c r="H357" s="6" t="str">
        <f aca="false">IF(F357=0,"NOT FOUND",INDEX('All Song Rankings'!$B:$B,F357))</f>
        <v>Jim Croce</v>
      </c>
      <c r="I357" s="6" t="str">
        <f aca="false">IF(F357=0,"NOT FOUND",INDEX('All Song Rankings'!$D:$D,F357))</f>
        <v>Stephanie</v>
      </c>
      <c r="J357" s="7" t="str">
        <f aca="false">IF(F357=0,"NOT FOUND",IF(C357=I357,"SELF-VOTE",IF(COUNTIF($K:$K,K357)&gt;1,"DUPLICATE","OK")))</f>
        <v>OK</v>
      </c>
      <c r="K357" s="6" t="str">
        <f aca="false">A357&amp;"|"&amp;B357&amp;"|"&amp;C357&amp;"|"&amp;D357</f>
        <v>1|6|Merita|spotify:track:6ZBeRXjadHvBk9VYSnoO0R</v>
      </c>
    </row>
    <row r="358" customFormat="false" ht="15" hidden="false" customHeight="false" outlineLevel="0" collapsed="false">
      <c r="A358" s="5" t="n">
        <v>1</v>
      </c>
      <c r="B358" s="5" t="n">
        <v>6</v>
      </c>
      <c r="C358" s="5" t="s">
        <v>101</v>
      </c>
      <c r="D358" s="5" t="s">
        <v>281</v>
      </c>
      <c r="E358" s="5" t="n">
        <v>1</v>
      </c>
      <c r="F358" s="6" t="n">
        <f aca="false">IFERROR(MATCH(A358&amp;"|"&amp;B358&amp;"|"&amp;D358,'All Song Rankings'!$T:$T,0),0)</f>
        <v>60</v>
      </c>
      <c r="G358" s="6" t="str">
        <f aca="false">IF(F358=0,"NOT FOUND",INDEX('All Song Rankings'!$A:$A,F358))</f>
        <v>The Architect</v>
      </c>
      <c r="H358" s="6" t="str">
        <f aca="false">IF(F358=0,"NOT FOUND",INDEX('All Song Rankings'!$B:$B,F358))</f>
        <v>Kacey Musgraves</v>
      </c>
      <c r="I358" s="6" t="str">
        <f aca="false">IF(F358=0,"NOT FOUND",INDEX('All Song Rankings'!$D:$D,F358))</f>
        <v>Kelsey</v>
      </c>
      <c r="J358" s="7" t="str">
        <f aca="false">IF(F358=0,"NOT FOUND",IF(C358=I358,"SELF-VOTE",IF(COUNTIF($K:$K,K358)&gt;1,"DUPLICATE","OK")))</f>
        <v>OK</v>
      </c>
      <c r="K358" s="6" t="str">
        <f aca="false">A358&amp;"|"&amp;B358&amp;"|"&amp;C358&amp;"|"&amp;D358</f>
        <v>1|6|Merita|spotify:track:78SjYKRXdivtTDHBzaehnm</v>
      </c>
    </row>
    <row r="359" customFormat="false" ht="15" hidden="false" customHeight="false" outlineLevel="0" collapsed="false">
      <c r="A359" s="5" t="n">
        <v>1</v>
      </c>
      <c r="B359" s="5" t="n">
        <v>6</v>
      </c>
      <c r="C359" s="5" t="s">
        <v>101</v>
      </c>
      <c r="D359" s="5" t="s">
        <v>275</v>
      </c>
      <c r="E359" s="5" t="n">
        <v>1</v>
      </c>
      <c r="F359" s="6" t="n">
        <f aca="false">IFERROR(MATCH(A359&amp;"|"&amp;B359&amp;"|"&amp;D359,'All Song Rankings'!$T:$T,0),0)</f>
        <v>58</v>
      </c>
      <c r="G359" s="6" t="str">
        <f aca="false">IF(F359=0,"NOT FOUND",INDEX('All Song Rankings'!$A:$A,F359))</f>
        <v>Goodbye Earl</v>
      </c>
      <c r="H359" s="6" t="str">
        <f aca="false">IF(F359=0,"NOT FOUND",INDEX('All Song Rankings'!$B:$B,F359))</f>
        <v>The Chicks</v>
      </c>
      <c r="I359" s="6" t="str">
        <f aca="false">IF(F359=0,"NOT FOUND",INDEX('All Song Rankings'!$D:$D,F359))</f>
        <v>Logan</v>
      </c>
      <c r="J359" s="7" t="str">
        <f aca="false">IF(F359=0,"NOT FOUND",IF(C359=I359,"SELF-VOTE",IF(COUNTIF($K:$K,K359)&gt;1,"DUPLICATE","OK")))</f>
        <v>OK</v>
      </c>
      <c r="K359" s="6" t="str">
        <f aca="false">A359&amp;"|"&amp;B359&amp;"|"&amp;C359&amp;"|"&amp;D359</f>
        <v>1|6|Merita|spotify:track:7rqaqQurHzR5xHAhdm1gmM</v>
      </c>
    </row>
    <row r="360" customFormat="false" ht="15" hidden="false" customHeight="false" outlineLevel="0" collapsed="false">
      <c r="A360" s="5" t="n">
        <v>1</v>
      </c>
      <c r="B360" s="5" t="n">
        <v>6</v>
      </c>
      <c r="C360" s="5" t="s">
        <v>92</v>
      </c>
      <c r="D360" s="5" t="s">
        <v>261</v>
      </c>
      <c r="E360" s="5" t="n">
        <v>2</v>
      </c>
      <c r="F360" s="6" t="n">
        <f aca="false">IFERROR(MATCH(A360&amp;"|"&amp;B360&amp;"|"&amp;D360,'All Song Rankings'!$T:$T,0),0)</f>
        <v>53</v>
      </c>
      <c r="G360" s="6" t="str">
        <f aca="false">IF(F360=0,"NOT FOUND",INDEX('All Song Rankings'!$A:$A,F360))</f>
        <v>Stan</v>
      </c>
      <c r="H360" s="6" t="str">
        <f aca="false">IF(F360=0,"NOT FOUND",INDEX('All Song Rankings'!$B:$B,F360))</f>
        <v>Eminem</v>
      </c>
      <c r="I360" s="6" t="str">
        <f aca="false">IF(F360=0,"NOT FOUND",INDEX('All Song Rankings'!$D:$D,F360))</f>
        <v>Leah</v>
      </c>
      <c r="J360" s="7" t="str">
        <f aca="false">IF(F360=0,"NOT FOUND",IF(C360=I360,"SELF-VOTE",IF(COUNTIF($K:$K,K360)&gt;1,"DUPLICATE","OK")))</f>
        <v>OK</v>
      </c>
      <c r="K360" s="6" t="str">
        <f aca="false">A360&amp;"|"&amp;B360&amp;"|"&amp;C360&amp;"|"&amp;D360</f>
        <v>1|6|Nicole|spotify:track:3UmaczJpikHgJFyBTAJVoz</v>
      </c>
    </row>
    <row r="361" customFormat="false" ht="15" hidden="false" customHeight="false" outlineLevel="0" collapsed="false">
      <c r="A361" s="5" t="n">
        <v>1</v>
      </c>
      <c r="B361" s="5" t="n">
        <v>6</v>
      </c>
      <c r="C361" s="5" t="s">
        <v>92</v>
      </c>
      <c r="D361" s="5" t="s">
        <v>269</v>
      </c>
      <c r="E361" s="5" t="n">
        <v>1</v>
      </c>
      <c r="F361" s="6" t="n">
        <f aca="false">IFERROR(MATCH(A361&amp;"|"&amp;B361&amp;"|"&amp;D361,'All Song Rankings'!$T:$T,0),0)</f>
        <v>56</v>
      </c>
      <c r="G361" s="6" t="str">
        <f aca="false">IF(F361=0,"NOT FOUND",INDEX('All Song Rankings'!$A:$A,F361))</f>
        <v>I Hung My Head</v>
      </c>
      <c r="H361" s="6" t="str">
        <f aca="false">IF(F361=0,"NOT FOUND",INDEX('All Song Rankings'!$B:$B,F361))</f>
        <v>Johnny Cash</v>
      </c>
      <c r="I361" s="6" t="str">
        <f aca="false">IF(F361=0,"NOT FOUND",INDEX('All Song Rankings'!$D:$D,F361))</f>
        <v>Matt</v>
      </c>
      <c r="J361" s="7" t="str">
        <f aca="false">IF(F361=0,"NOT FOUND",IF(C361=I361,"SELF-VOTE",IF(COUNTIF($K:$K,K361)&gt;1,"DUPLICATE","OK")))</f>
        <v>OK</v>
      </c>
      <c r="K361" s="6" t="str">
        <f aca="false">A361&amp;"|"&amp;B361&amp;"|"&amp;C361&amp;"|"&amp;D361</f>
        <v>1|6|Nicole|spotify:track:3iBemYZi4lw53UYDlxqMlw</v>
      </c>
    </row>
    <row r="362" customFormat="false" ht="15" hidden="false" customHeight="false" outlineLevel="0" collapsed="false">
      <c r="A362" s="5" t="n">
        <v>1</v>
      </c>
      <c r="B362" s="5" t="n">
        <v>6</v>
      </c>
      <c r="C362" s="5" t="s">
        <v>92</v>
      </c>
      <c r="D362" s="5" t="s">
        <v>287</v>
      </c>
      <c r="E362" s="5" t="n">
        <v>1</v>
      </c>
      <c r="F362" s="6" t="n">
        <f aca="false">IFERROR(MATCH(A362&amp;"|"&amp;B362&amp;"|"&amp;D362,'All Song Rankings'!$T:$T,0),0)</f>
        <v>62</v>
      </c>
      <c r="G362" s="6" t="str">
        <f aca="false">IF(F362=0,"NOT FOUND",INDEX('All Song Rankings'!$A:$A,F362))</f>
        <v>Milarrochy Bay</v>
      </c>
      <c r="H362" s="6" t="str">
        <f aca="false">IF(F362=0,"NOT FOUND",INDEX('All Song Rankings'!$B:$B,F362))</f>
        <v>Nathan Evans</v>
      </c>
      <c r="I362" s="6" t="str">
        <f aca="false">IF(F362=0,"NOT FOUND",INDEX('All Song Rankings'!$D:$D,F362))</f>
        <v>Collin</v>
      </c>
      <c r="J362" s="7" t="str">
        <f aca="false">IF(F362=0,"NOT FOUND",IF(C362=I362,"SELF-VOTE",IF(COUNTIF($K:$K,K362)&gt;1,"DUPLICATE","OK")))</f>
        <v>OK</v>
      </c>
      <c r="K362" s="6" t="str">
        <f aca="false">A362&amp;"|"&amp;B362&amp;"|"&amp;C362&amp;"|"&amp;D362</f>
        <v>1|6|Nicole|spotify:track:4DMUZgAnTiUxK3VOFJ2HI0</v>
      </c>
    </row>
    <row r="363" customFormat="false" ht="15" hidden="false" customHeight="false" outlineLevel="0" collapsed="false">
      <c r="A363" s="5" t="n">
        <v>1</v>
      </c>
      <c r="B363" s="5" t="n">
        <v>6</v>
      </c>
      <c r="C363" s="5" t="s">
        <v>92</v>
      </c>
      <c r="D363" s="5" t="s">
        <v>278</v>
      </c>
      <c r="E363" s="5" t="n">
        <v>2</v>
      </c>
      <c r="F363" s="6" t="n">
        <f aca="false">IFERROR(MATCH(A363&amp;"|"&amp;B363&amp;"|"&amp;D363,'All Song Rankings'!$T:$T,0),0)</f>
        <v>59</v>
      </c>
      <c r="G363" s="6" t="str">
        <f aca="false">IF(F363=0,"NOT FOUND",INDEX('All Song Rankings'!$A:$A,F363))</f>
        <v>Travelin' Soldier</v>
      </c>
      <c r="H363" s="6" t="str">
        <f aca="false">IF(F363=0,"NOT FOUND",INDEX('All Song Rankings'!$B:$B,F363))</f>
        <v>Cody Johnson</v>
      </c>
      <c r="I363" s="6" t="str">
        <f aca="false">IF(F363=0,"NOT FOUND",INDEX('All Song Rankings'!$D:$D,F363))</f>
        <v>Olivia</v>
      </c>
      <c r="J363" s="7" t="str">
        <f aca="false">IF(F363=0,"NOT FOUND",IF(C363=I363,"SELF-VOTE",IF(COUNTIF($K:$K,K363)&gt;1,"DUPLICATE","OK")))</f>
        <v>OK</v>
      </c>
      <c r="K363" s="6" t="str">
        <f aca="false">A363&amp;"|"&amp;B363&amp;"|"&amp;C363&amp;"|"&amp;D363</f>
        <v>1|6|Nicole|spotify:track:4ThbwJaIWVxXZ1qJaHQBCz</v>
      </c>
    </row>
    <row r="364" customFormat="false" ht="15" hidden="false" customHeight="false" outlineLevel="0" collapsed="false">
      <c r="A364" s="5" t="n">
        <v>1</v>
      </c>
      <c r="B364" s="5" t="n">
        <v>6</v>
      </c>
      <c r="C364" s="5" t="s">
        <v>92</v>
      </c>
      <c r="D364" s="5" t="s">
        <v>290</v>
      </c>
      <c r="E364" s="5" t="n">
        <v>1</v>
      </c>
      <c r="F364" s="6" t="n">
        <f aca="false">IFERROR(MATCH(A364&amp;"|"&amp;B364&amp;"|"&amp;D364,'All Song Rankings'!$T:$T,0),0)</f>
        <v>63</v>
      </c>
      <c r="G364" s="6" t="str">
        <f aca="false">IF(F364=0,"NOT FOUND",INDEX('All Song Rankings'!$A:$A,F364))</f>
        <v>drivers license</v>
      </c>
      <c r="H364" s="6" t="str">
        <f aca="false">IF(F364=0,"NOT FOUND",INDEX('All Song Rankings'!$B:$B,F364))</f>
        <v>Olivia Rodrigo</v>
      </c>
      <c r="I364" s="6" t="str">
        <f aca="false">IF(F364=0,"NOT FOUND",INDEX('All Song Rankings'!$D:$D,F364))</f>
        <v>Anya</v>
      </c>
      <c r="J364" s="7" t="str">
        <f aca="false">IF(F364=0,"NOT FOUND",IF(C364=I364,"SELF-VOTE",IF(COUNTIF($K:$K,K364)&gt;1,"DUPLICATE","OK")))</f>
        <v>OK</v>
      </c>
      <c r="K364" s="6" t="str">
        <f aca="false">A364&amp;"|"&amp;B364&amp;"|"&amp;C364&amp;"|"&amp;D364</f>
        <v>1|6|Nicole|spotify:track:5wANPM4fQCJwkGd4rN57mH</v>
      </c>
    </row>
    <row r="365" customFormat="false" ht="15" hidden="false" customHeight="false" outlineLevel="0" collapsed="false">
      <c r="A365" s="5" t="n">
        <v>1</v>
      </c>
      <c r="B365" s="5" t="n">
        <v>6</v>
      </c>
      <c r="C365" s="5" t="s">
        <v>92</v>
      </c>
      <c r="D365" s="5" t="s">
        <v>284</v>
      </c>
      <c r="E365" s="5" t="n">
        <v>1</v>
      </c>
      <c r="F365" s="6" t="n">
        <f aca="false">IFERROR(MATCH(A365&amp;"|"&amp;B365&amp;"|"&amp;D365,'All Song Rankings'!$T:$T,0),0)</f>
        <v>61</v>
      </c>
      <c r="G365" s="6" t="str">
        <f aca="false">IF(F365=0,"NOT FOUND",INDEX('All Song Rankings'!$A:$A,F365))</f>
        <v>Moral of the Story</v>
      </c>
      <c r="H365" s="6" t="str">
        <f aca="false">IF(F365=0,"NOT FOUND",INDEX('All Song Rankings'!$B:$B,F365))</f>
        <v>Ashe</v>
      </c>
      <c r="I365" s="6" t="str">
        <f aca="false">IF(F365=0,"NOT FOUND",INDEX('All Song Rankings'!$D:$D,F365))</f>
        <v>Merita</v>
      </c>
      <c r="J365" s="7" t="str">
        <f aca="false">IF(F365=0,"NOT FOUND",IF(C365=I365,"SELF-VOTE",IF(COUNTIF($K:$K,K365)&gt;1,"DUPLICATE","OK")))</f>
        <v>OK</v>
      </c>
      <c r="K365" s="6" t="str">
        <f aca="false">A365&amp;"|"&amp;B365&amp;"|"&amp;C365&amp;"|"&amp;D365</f>
        <v>1|6|Nicole|spotify:track:69HzZ3ti9DLwb0GdWCGYSo</v>
      </c>
    </row>
    <row r="366" customFormat="false" ht="15" hidden="false" customHeight="false" outlineLevel="0" collapsed="false">
      <c r="A366" s="5" t="n">
        <v>1</v>
      </c>
      <c r="B366" s="5" t="n">
        <v>6</v>
      </c>
      <c r="C366" s="5" t="s">
        <v>92</v>
      </c>
      <c r="D366" s="5" t="s">
        <v>281</v>
      </c>
      <c r="E366" s="5" t="n">
        <v>1</v>
      </c>
      <c r="F366" s="6" t="n">
        <f aca="false">IFERROR(MATCH(A366&amp;"|"&amp;B366&amp;"|"&amp;D366,'All Song Rankings'!$T:$T,0),0)</f>
        <v>60</v>
      </c>
      <c r="G366" s="6" t="str">
        <f aca="false">IF(F366=0,"NOT FOUND",INDEX('All Song Rankings'!$A:$A,F366))</f>
        <v>The Architect</v>
      </c>
      <c r="H366" s="6" t="str">
        <f aca="false">IF(F366=0,"NOT FOUND",INDEX('All Song Rankings'!$B:$B,F366))</f>
        <v>Kacey Musgraves</v>
      </c>
      <c r="I366" s="6" t="str">
        <f aca="false">IF(F366=0,"NOT FOUND",INDEX('All Song Rankings'!$D:$D,F366))</f>
        <v>Kelsey</v>
      </c>
      <c r="J366" s="7" t="str">
        <f aca="false">IF(F366=0,"NOT FOUND",IF(C366=I366,"SELF-VOTE",IF(COUNTIF($K:$K,K366)&gt;1,"DUPLICATE","OK")))</f>
        <v>OK</v>
      </c>
      <c r="K366" s="6" t="str">
        <f aca="false">A366&amp;"|"&amp;B366&amp;"|"&amp;C366&amp;"|"&amp;D366</f>
        <v>1|6|Nicole|spotify:track:78SjYKRXdivtTDHBzaehnm</v>
      </c>
    </row>
    <row r="367" customFormat="false" ht="15" hidden="false" customHeight="false" outlineLevel="0" collapsed="false">
      <c r="A367" s="5" t="n">
        <v>1</v>
      </c>
      <c r="B367" s="5" t="n">
        <v>6</v>
      </c>
      <c r="C367" s="5" t="s">
        <v>92</v>
      </c>
      <c r="D367" s="5" t="s">
        <v>275</v>
      </c>
      <c r="E367" s="5" t="n">
        <v>1</v>
      </c>
      <c r="F367" s="6" t="n">
        <f aca="false">IFERROR(MATCH(A367&amp;"|"&amp;B367&amp;"|"&amp;D367,'All Song Rankings'!$T:$T,0),0)</f>
        <v>58</v>
      </c>
      <c r="G367" s="6" t="str">
        <f aca="false">IF(F367=0,"NOT FOUND",INDEX('All Song Rankings'!$A:$A,F367))</f>
        <v>Goodbye Earl</v>
      </c>
      <c r="H367" s="6" t="str">
        <f aca="false">IF(F367=0,"NOT FOUND",INDEX('All Song Rankings'!$B:$B,F367))</f>
        <v>The Chicks</v>
      </c>
      <c r="I367" s="6" t="str">
        <f aca="false">IF(F367=0,"NOT FOUND",INDEX('All Song Rankings'!$D:$D,F367))</f>
        <v>Logan</v>
      </c>
      <c r="J367" s="7" t="str">
        <f aca="false">IF(F367=0,"NOT FOUND",IF(C367=I367,"SELF-VOTE",IF(COUNTIF($K:$K,K367)&gt;1,"DUPLICATE","OK")))</f>
        <v>OK</v>
      </c>
      <c r="K367" s="6" t="str">
        <f aca="false">A367&amp;"|"&amp;B367&amp;"|"&amp;C367&amp;"|"&amp;D367</f>
        <v>1|6|Nicole|spotify:track:7rqaqQurHzR5xHAhdm1gmM</v>
      </c>
    </row>
    <row r="368" customFormat="false" ht="15" hidden="false" customHeight="false" outlineLevel="0" collapsed="false">
      <c r="A368" s="5" t="n">
        <v>1</v>
      </c>
      <c r="B368" s="5" t="n">
        <v>6</v>
      </c>
      <c r="C368" s="5" t="s">
        <v>123</v>
      </c>
      <c r="D368" s="5" t="s">
        <v>266</v>
      </c>
      <c r="E368" s="5" t="n">
        <v>1</v>
      </c>
      <c r="F368" s="6" t="n">
        <f aca="false">IFERROR(MATCH(A368&amp;"|"&amp;B368&amp;"|"&amp;D368,'All Song Rankings'!$T:$T,0),0)</f>
        <v>55</v>
      </c>
      <c r="G368" s="6" t="str">
        <f aca="false">IF(F368=0,"NOT FOUND",INDEX('All Song Rankings'!$A:$A,F368))</f>
        <v>Nancy Mulligan</v>
      </c>
      <c r="H368" s="6" t="str">
        <f aca="false">IF(F368=0,"NOT FOUND",INDEX('All Song Rankings'!$B:$B,F368))</f>
        <v>Ed Sheeran</v>
      </c>
      <c r="I368" s="6" t="str">
        <f aca="false">IF(F368=0,"NOT FOUND",INDEX('All Song Rankings'!$D:$D,F368))</f>
        <v>Nicole</v>
      </c>
      <c r="J368" s="7" t="str">
        <f aca="false">IF(F368=0,"NOT FOUND",IF(C368=I368,"SELF-VOTE",IF(COUNTIF($K:$K,K368)&gt;1,"DUPLICATE","OK")))</f>
        <v>OK</v>
      </c>
      <c r="K368" s="6" t="str">
        <f aca="false">A368&amp;"|"&amp;B368&amp;"|"&amp;C368&amp;"|"&amp;D368</f>
        <v>1|6|Olivia|spotify:track:35QZaWQRkmnAVqBF1TLCxQ</v>
      </c>
    </row>
    <row r="369" customFormat="false" ht="15" hidden="false" customHeight="false" outlineLevel="0" collapsed="false">
      <c r="A369" s="5" t="n">
        <v>1</v>
      </c>
      <c r="B369" s="5" t="n">
        <v>6</v>
      </c>
      <c r="C369" s="5" t="s">
        <v>123</v>
      </c>
      <c r="D369" s="5" t="s">
        <v>272</v>
      </c>
      <c r="E369" s="5" t="n">
        <v>1</v>
      </c>
      <c r="F369" s="6" t="n">
        <f aca="false">IFERROR(MATCH(A369&amp;"|"&amp;B369&amp;"|"&amp;D369,'All Song Rankings'!$T:$T,0),0)</f>
        <v>57</v>
      </c>
      <c r="G369" s="6" t="str">
        <f aca="false">IF(F369=0,"NOT FOUND",INDEX('All Song Rankings'!$A:$A,F369))</f>
        <v>The Downeaster 'Alexa'</v>
      </c>
      <c r="H369" s="6" t="str">
        <f aca="false">IF(F369=0,"NOT FOUND",INDEX('All Song Rankings'!$B:$B,F369))</f>
        <v>Billy Joel</v>
      </c>
      <c r="I369" s="6" t="str">
        <f aca="false">IF(F369=0,"NOT FOUND",INDEX('All Song Rankings'!$D:$D,F369))</f>
        <v>Kristen</v>
      </c>
      <c r="J369" s="7" t="str">
        <f aca="false">IF(F369=0,"NOT FOUND",IF(C369=I369,"SELF-VOTE",IF(COUNTIF($K:$K,K369)&gt;1,"DUPLICATE","OK")))</f>
        <v>OK</v>
      </c>
      <c r="K369" s="6" t="str">
        <f aca="false">A369&amp;"|"&amp;B369&amp;"|"&amp;C369&amp;"|"&amp;D369</f>
        <v>1|6|Olivia|spotify:track:39cFQHfY6tsdMRmSbFse3X</v>
      </c>
    </row>
    <row r="370" customFormat="false" ht="15" hidden="false" customHeight="false" outlineLevel="0" collapsed="false">
      <c r="A370" s="5" t="n">
        <v>1</v>
      </c>
      <c r="B370" s="5" t="n">
        <v>6</v>
      </c>
      <c r="C370" s="5" t="s">
        <v>123</v>
      </c>
      <c r="D370" s="5" t="s">
        <v>261</v>
      </c>
      <c r="E370" s="5" t="n">
        <v>1</v>
      </c>
      <c r="F370" s="6" t="n">
        <f aca="false">IFERROR(MATCH(A370&amp;"|"&amp;B370&amp;"|"&amp;D370,'All Song Rankings'!$T:$T,0),0)</f>
        <v>53</v>
      </c>
      <c r="G370" s="6" t="str">
        <f aca="false">IF(F370=0,"NOT FOUND",INDEX('All Song Rankings'!$A:$A,F370))</f>
        <v>Stan</v>
      </c>
      <c r="H370" s="6" t="str">
        <f aca="false">IF(F370=0,"NOT FOUND",INDEX('All Song Rankings'!$B:$B,F370))</f>
        <v>Eminem</v>
      </c>
      <c r="I370" s="6" t="str">
        <f aca="false">IF(F370=0,"NOT FOUND",INDEX('All Song Rankings'!$D:$D,F370))</f>
        <v>Leah</v>
      </c>
      <c r="J370" s="7" t="str">
        <f aca="false">IF(F370=0,"NOT FOUND",IF(C370=I370,"SELF-VOTE",IF(COUNTIF($K:$K,K370)&gt;1,"DUPLICATE","OK")))</f>
        <v>OK</v>
      </c>
      <c r="K370" s="6" t="str">
        <f aca="false">A370&amp;"|"&amp;B370&amp;"|"&amp;C370&amp;"|"&amp;D370</f>
        <v>1|6|Olivia|spotify:track:3UmaczJpikHgJFyBTAJVoz</v>
      </c>
    </row>
    <row r="371" customFormat="false" ht="15" hidden="false" customHeight="false" outlineLevel="0" collapsed="false">
      <c r="A371" s="5" t="n">
        <v>1</v>
      </c>
      <c r="B371" s="5" t="n">
        <v>6</v>
      </c>
      <c r="C371" s="5" t="s">
        <v>123</v>
      </c>
      <c r="D371" s="5" t="s">
        <v>269</v>
      </c>
      <c r="E371" s="5" t="n">
        <v>1</v>
      </c>
      <c r="F371" s="6" t="n">
        <f aca="false">IFERROR(MATCH(A371&amp;"|"&amp;B371&amp;"|"&amp;D371,'All Song Rankings'!$T:$T,0),0)</f>
        <v>56</v>
      </c>
      <c r="G371" s="6" t="str">
        <f aca="false">IF(F371=0,"NOT FOUND",INDEX('All Song Rankings'!$A:$A,F371))</f>
        <v>I Hung My Head</v>
      </c>
      <c r="H371" s="6" t="str">
        <f aca="false">IF(F371=0,"NOT FOUND",INDEX('All Song Rankings'!$B:$B,F371))</f>
        <v>Johnny Cash</v>
      </c>
      <c r="I371" s="6" t="str">
        <f aca="false">IF(F371=0,"NOT FOUND",INDEX('All Song Rankings'!$D:$D,F371))</f>
        <v>Matt</v>
      </c>
      <c r="J371" s="7" t="str">
        <f aca="false">IF(F371=0,"NOT FOUND",IF(C371=I371,"SELF-VOTE",IF(COUNTIF($K:$K,K371)&gt;1,"DUPLICATE","OK")))</f>
        <v>OK</v>
      </c>
      <c r="K371" s="6" t="str">
        <f aca="false">A371&amp;"|"&amp;B371&amp;"|"&amp;C371&amp;"|"&amp;D371</f>
        <v>1|6|Olivia|spotify:track:3iBemYZi4lw53UYDlxqMlw</v>
      </c>
    </row>
    <row r="372" customFormat="false" ht="15" hidden="false" customHeight="false" outlineLevel="0" collapsed="false">
      <c r="A372" s="5" t="n">
        <v>1</v>
      </c>
      <c r="B372" s="5" t="n">
        <v>6</v>
      </c>
      <c r="C372" s="5" t="s">
        <v>123</v>
      </c>
      <c r="D372" s="5" t="s">
        <v>287</v>
      </c>
      <c r="E372" s="5" t="n">
        <v>1</v>
      </c>
      <c r="F372" s="6" t="n">
        <f aca="false">IFERROR(MATCH(A372&amp;"|"&amp;B372&amp;"|"&amp;D372,'All Song Rankings'!$T:$T,0),0)</f>
        <v>62</v>
      </c>
      <c r="G372" s="6" t="str">
        <f aca="false">IF(F372=0,"NOT FOUND",INDEX('All Song Rankings'!$A:$A,F372))</f>
        <v>Milarrochy Bay</v>
      </c>
      <c r="H372" s="6" t="str">
        <f aca="false">IF(F372=0,"NOT FOUND",INDEX('All Song Rankings'!$B:$B,F372))</f>
        <v>Nathan Evans</v>
      </c>
      <c r="I372" s="6" t="str">
        <f aca="false">IF(F372=0,"NOT FOUND",INDEX('All Song Rankings'!$D:$D,F372))</f>
        <v>Collin</v>
      </c>
      <c r="J372" s="7" t="str">
        <f aca="false">IF(F372=0,"NOT FOUND",IF(C372=I372,"SELF-VOTE",IF(COUNTIF($K:$K,K372)&gt;1,"DUPLICATE","OK")))</f>
        <v>OK</v>
      </c>
      <c r="K372" s="6" t="str">
        <f aca="false">A372&amp;"|"&amp;B372&amp;"|"&amp;C372&amp;"|"&amp;D372</f>
        <v>1|6|Olivia|spotify:track:4DMUZgAnTiUxK3VOFJ2HI0</v>
      </c>
    </row>
    <row r="373" customFormat="false" ht="15" hidden="false" customHeight="false" outlineLevel="0" collapsed="false">
      <c r="A373" s="5" t="n">
        <v>1</v>
      </c>
      <c r="B373" s="5" t="n">
        <v>6</v>
      </c>
      <c r="C373" s="5" t="s">
        <v>123</v>
      </c>
      <c r="D373" s="5" t="s">
        <v>290</v>
      </c>
      <c r="E373" s="5" t="n">
        <v>1</v>
      </c>
      <c r="F373" s="6" t="n">
        <f aca="false">IFERROR(MATCH(A373&amp;"|"&amp;B373&amp;"|"&amp;D373,'All Song Rankings'!$T:$T,0),0)</f>
        <v>63</v>
      </c>
      <c r="G373" s="6" t="str">
        <f aca="false">IF(F373=0,"NOT FOUND",INDEX('All Song Rankings'!$A:$A,F373))</f>
        <v>drivers license</v>
      </c>
      <c r="H373" s="6" t="str">
        <f aca="false">IF(F373=0,"NOT FOUND",INDEX('All Song Rankings'!$B:$B,F373))</f>
        <v>Olivia Rodrigo</v>
      </c>
      <c r="I373" s="6" t="str">
        <f aca="false">IF(F373=0,"NOT FOUND",INDEX('All Song Rankings'!$D:$D,F373))</f>
        <v>Anya</v>
      </c>
      <c r="J373" s="7" t="str">
        <f aca="false">IF(F373=0,"NOT FOUND",IF(C373=I373,"SELF-VOTE",IF(COUNTIF($K:$K,K373)&gt;1,"DUPLICATE","OK")))</f>
        <v>OK</v>
      </c>
      <c r="K373" s="6" t="str">
        <f aca="false">A373&amp;"|"&amp;B373&amp;"|"&amp;C373&amp;"|"&amp;D373</f>
        <v>1|6|Olivia|spotify:track:5wANPM4fQCJwkGd4rN57mH</v>
      </c>
    </row>
    <row r="374" customFormat="false" ht="15" hidden="false" customHeight="false" outlineLevel="0" collapsed="false">
      <c r="A374" s="5" t="n">
        <v>1</v>
      </c>
      <c r="B374" s="5" t="n">
        <v>6</v>
      </c>
      <c r="C374" s="5" t="s">
        <v>123</v>
      </c>
      <c r="D374" s="5" t="s">
        <v>284</v>
      </c>
      <c r="E374" s="5" t="n">
        <v>1</v>
      </c>
      <c r="F374" s="6" t="n">
        <f aca="false">IFERROR(MATCH(A374&amp;"|"&amp;B374&amp;"|"&amp;D374,'All Song Rankings'!$T:$T,0),0)</f>
        <v>61</v>
      </c>
      <c r="G374" s="6" t="str">
        <f aca="false">IF(F374=0,"NOT FOUND",INDEX('All Song Rankings'!$A:$A,F374))</f>
        <v>Moral of the Story</v>
      </c>
      <c r="H374" s="6" t="str">
        <f aca="false">IF(F374=0,"NOT FOUND",INDEX('All Song Rankings'!$B:$B,F374))</f>
        <v>Ashe</v>
      </c>
      <c r="I374" s="6" t="str">
        <f aca="false">IF(F374=0,"NOT FOUND",INDEX('All Song Rankings'!$D:$D,F374))</f>
        <v>Merita</v>
      </c>
      <c r="J374" s="7" t="str">
        <f aca="false">IF(F374=0,"NOT FOUND",IF(C374=I374,"SELF-VOTE",IF(COUNTIF($K:$K,K374)&gt;1,"DUPLICATE","OK")))</f>
        <v>OK</v>
      </c>
      <c r="K374" s="6" t="str">
        <f aca="false">A374&amp;"|"&amp;B374&amp;"|"&amp;C374&amp;"|"&amp;D374</f>
        <v>1|6|Olivia|spotify:track:69HzZ3ti9DLwb0GdWCGYSo</v>
      </c>
    </row>
    <row r="375" customFormat="false" ht="15" hidden="false" customHeight="false" outlineLevel="0" collapsed="false">
      <c r="A375" s="5" t="n">
        <v>1</v>
      </c>
      <c r="B375" s="5" t="n">
        <v>6</v>
      </c>
      <c r="C375" s="5" t="s">
        <v>123</v>
      </c>
      <c r="D375" s="5" t="s">
        <v>264</v>
      </c>
      <c r="E375" s="5" t="n">
        <v>1</v>
      </c>
      <c r="F375" s="6" t="n">
        <f aca="false">IFERROR(MATCH(A375&amp;"|"&amp;B375&amp;"|"&amp;D375,'All Song Rankings'!$T:$T,0),0)</f>
        <v>54</v>
      </c>
      <c r="G375" s="6" t="str">
        <f aca="false">IF(F375=0,"NOT FOUND",INDEX('All Song Rankings'!$A:$A,F375))</f>
        <v>You Don't Mess Around with Jim</v>
      </c>
      <c r="H375" s="6" t="str">
        <f aca="false">IF(F375=0,"NOT FOUND",INDEX('All Song Rankings'!$B:$B,F375))</f>
        <v>Jim Croce</v>
      </c>
      <c r="I375" s="6" t="str">
        <f aca="false">IF(F375=0,"NOT FOUND",INDEX('All Song Rankings'!$D:$D,F375))</f>
        <v>Stephanie</v>
      </c>
      <c r="J375" s="7" t="str">
        <f aca="false">IF(F375=0,"NOT FOUND",IF(C375=I375,"SELF-VOTE",IF(COUNTIF($K:$K,K375)&gt;1,"DUPLICATE","OK")))</f>
        <v>OK</v>
      </c>
      <c r="K375" s="6" t="str">
        <f aca="false">A375&amp;"|"&amp;B375&amp;"|"&amp;C375&amp;"|"&amp;D375</f>
        <v>1|6|Olivia|spotify:track:6ZBeRXjadHvBk9VYSnoO0R</v>
      </c>
    </row>
    <row r="376" customFormat="false" ht="15" hidden="false" customHeight="false" outlineLevel="0" collapsed="false">
      <c r="A376" s="5" t="n">
        <v>1</v>
      </c>
      <c r="B376" s="5" t="n">
        <v>6</v>
      </c>
      <c r="C376" s="5" t="s">
        <v>123</v>
      </c>
      <c r="D376" s="5" t="s">
        <v>281</v>
      </c>
      <c r="E376" s="5" t="n">
        <v>1</v>
      </c>
      <c r="F376" s="6" t="n">
        <f aca="false">IFERROR(MATCH(A376&amp;"|"&amp;B376&amp;"|"&amp;D376,'All Song Rankings'!$T:$T,0),0)</f>
        <v>60</v>
      </c>
      <c r="G376" s="6" t="str">
        <f aca="false">IF(F376=0,"NOT FOUND",INDEX('All Song Rankings'!$A:$A,F376))</f>
        <v>The Architect</v>
      </c>
      <c r="H376" s="6" t="str">
        <f aca="false">IF(F376=0,"NOT FOUND",INDEX('All Song Rankings'!$B:$B,F376))</f>
        <v>Kacey Musgraves</v>
      </c>
      <c r="I376" s="6" t="str">
        <f aca="false">IF(F376=0,"NOT FOUND",INDEX('All Song Rankings'!$D:$D,F376))</f>
        <v>Kelsey</v>
      </c>
      <c r="J376" s="7" t="str">
        <f aca="false">IF(F376=0,"NOT FOUND",IF(C376=I376,"SELF-VOTE",IF(COUNTIF($K:$K,K376)&gt;1,"DUPLICATE","OK")))</f>
        <v>OK</v>
      </c>
      <c r="K376" s="6" t="str">
        <f aca="false">A376&amp;"|"&amp;B376&amp;"|"&amp;C376&amp;"|"&amp;D376</f>
        <v>1|6|Olivia|spotify:track:78SjYKRXdivtTDHBzaehnm</v>
      </c>
    </row>
    <row r="377" customFormat="false" ht="15" hidden="false" customHeight="false" outlineLevel="0" collapsed="false">
      <c r="A377" s="5" t="n">
        <v>1</v>
      </c>
      <c r="B377" s="5" t="n">
        <v>6</v>
      </c>
      <c r="C377" s="5" t="s">
        <v>123</v>
      </c>
      <c r="D377" s="5" t="s">
        <v>275</v>
      </c>
      <c r="E377" s="5" t="n">
        <v>1</v>
      </c>
      <c r="F377" s="6" t="n">
        <f aca="false">IFERROR(MATCH(A377&amp;"|"&amp;B377&amp;"|"&amp;D377,'All Song Rankings'!$T:$T,0),0)</f>
        <v>58</v>
      </c>
      <c r="G377" s="6" t="str">
        <f aca="false">IF(F377=0,"NOT FOUND",INDEX('All Song Rankings'!$A:$A,F377))</f>
        <v>Goodbye Earl</v>
      </c>
      <c r="H377" s="6" t="str">
        <f aca="false">IF(F377=0,"NOT FOUND",INDEX('All Song Rankings'!$B:$B,F377))</f>
        <v>The Chicks</v>
      </c>
      <c r="I377" s="6" t="str">
        <f aca="false">IF(F377=0,"NOT FOUND",INDEX('All Song Rankings'!$D:$D,F377))</f>
        <v>Logan</v>
      </c>
      <c r="J377" s="7" t="str">
        <f aca="false">IF(F377=0,"NOT FOUND",IF(C377=I377,"SELF-VOTE",IF(COUNTIF($K:$K,K377)&gt;1,"DUPLICATE","OK")))</f>
        <v>OK</v>
      </c>
      <c r="K377" s="6" t="str">
        <f aca="false">A377&amp;"|"&amp;B377&amp;"|"&amp;C377&amp;"|"&amp;D377</f>
        <v>1|6|Olivia|spotify:track:7rqaqQurHzR5xHAhdm1gmM</v>
      </c>
    </row>
    <row r="378" customFormat="false" ht="15" hidden="false" customHeight="false" outlineLevel="0" collapsed="false">
      <c r="A378" s="5" t="n">
        <v>1</v>
      </c>
      <c r="B378" s="5" t="n">
        <v>6</v>
      </c>
      <c r="C378" s="5" t="s">
        <v>97</v>
      </c>
      <c r="D378" s="5" t="s">
        <v>266</v>
      </c>
      <c r="E378" s="5" t="n">
        <v>1</v>
      </c>
      <c r="F378" s="6" t="n">
        <f aca="false">IFERROR(MATCH(A378&amp;"|"&amp;B378&amp;"|"&amp;D378,'All Song Rankings'!$T:$T,0),0)</f>
        <v>55</v>
      </c>
      <c r="G378" s="6" t="str">
        <f aca="false">IF(F378=0,"NOT FOUND",INDEX('All Song Rankings'!$A:$A,F378))</f>
        <v>Nancy Mulligan</v>
      </c>
      <c r="H378" s="6" t="str">
        <f aca="false">IF(F378=0,"NOT FOUND",INDEX('All Song Rankings'!$B:$B,F378))</f>
        <v>Ed Sheeran</v>
      </c>
      <c r="I378" s="6" t="str">
        <f aca="false">IF(F378=0,"NOT FOUND",INDEX('All Song Rankings'!$D:$D,F378))</f>
        <v>Nicole</v>
      </c>
      <c r="J378" s="7" t="str">
        <f aca="false">IF(F378=0,"NOT FOUND",IF(C378=I378,"SELF-VOTE",IF(COUNTIF($K:$K,K378)&gt;1,"DUPLICATE","OK")))</f>
        <v>OK</v>
      </c>
      <c r="K378" s="6" t="str">
        <f aca="false">A378&amp;"|"&amp;B378&amp;"|"&amp;C378&amp;"|"&amp;D378</f>
        <v>1|6|Stephanie|spotify:track:35QZaWQRkmnAVqBF1TLCxQ</v>
      </c>
    </row>
    <row r="379" customFormat="false" ht="15" hidden="false" customHeight="false" outlineLevel="0" collapsed="false">
      <c r="A379" s="5" t="n">
        <v>1</v>
      </c>
      <c r="B379" s="5" t="n">
        <v>6</v>
      </c>
      <c r="C379" s="5" t="s">
        <v>97</v>
      </c>
      <c r="D379" s="5" t="s">
        <v>272</v>
      </c>
      <c r="E379" s="5" t="n">
        <v>3</v>
      </c>
      <c r="F379" s="6" t="n">
        <f aca="false">IFERROR(MATCH(A379&amp;"|"&amp;B379&amp;"|"&amp;D379,'All Song Rankings'!$T:$T,0),0)</f>
        <v>57</v>
      </c>
      <c r="G379" s="6" t="str">
        <f aca="false">IF(F379=0,"NOT FOUND",INDEX('All Song Rankings'!$A:$A,F379))</f>
        <v>The Downeaster 'Alexa'</v>
      </c>
      <c r="H379" s="6" t="str">
        <f aca="false">IF(F379=0,"NOT FOUND",INDEX('All Song Rankings'!$B:$B,F379))</f>
        <v>Billy Joel</v>
      </c>
      <c r="I379" s="6" t="str">
        <f aca="false">IF(F379=0,"NOT FOUND",INDEX('All Song Rankings'!$D:$D,F379))</f>
        <v>Kristen</v>
      </c>
      <c r="J379" s="7" t="str">
        <f aca="false">IF(F379=0,"NOT FOUND",IF(C379=I379,"SELF-VOTE",IF(COUNTIF($K:$K,K379)&gt;1,"DUPLICATE","OK")))</f>
        <v>OK</v>
      </c>
      <c r="K379" s="6" t="str">
        <f aca="false">A379&amp;"|"&amp;B379&amp;"|"&amp;C379&amp;"|"&amp;D379</f>
        <v>1|6|Stephanie|spotify:track:39cFQHfY6tsdMRmSbFse3X</v>
      </c>
    </row>
    <row r="380" customFormat="false" ht="15" hidden="false" customHeight="false" outlineLevel="0" collapsed="false">
      <c r="A380" s="5" t="n">
        <v>1</v>
      </c>
      <c r="B380" s="5" t="n">
        <v>6</v>
      </c>
      <c r="C380" s="5" t="s">
        <v>97</v>
      </c>
      <c r="D380" s="5" t="s">
        <v>261</v>
      </c>
      <c r="E380" s="5" t="n">
        <v>2</v>
      </c>
      <c r="F380" s="6" t="n">
        <f aca="false">IFERROR(MATCH(A380&amp;"|"&amp;B380&amp;"|"&amp;D380,'All Song Rankings'!$T:$T,0),0)</f>
        <v>53</v>
      </c>
      <c r="G380" s="6" t="str">
        <f aca="false">IF(F380=0,"NOT FOUND",INDEX('All Song Rankings'!$A:$A,F380))</f>
        <v>Stan</v>
      </c>
      <c r="H380" s="6" t="str">
        <f aca="false">IF(F380=0,"NOT FOUND",INDEX('All Song Rankings'!$B:$B,F380))</f>
        <v>Eminem</v>
      </c>
      <c r="I380" s="6" t="str">
        <f aca="false">IF(F380=0,"NOT FOUND",INDEX('All Song Rankings'!$D:$D,F380))</f>
        <v>Leah</v>
      </c>
      <c r="J380" s="7" t="str">
        <f aca="false">IF(F380=0,"NOT FOUND",IF(C380=I380,"SELF-VOTE",IF(COUNTIF($K:$K,K380)&gt;1,"DUPLICATE","OK")))</f>
        <v>OK</v>
      </c>
      <c r="K380" s="6" t="str">
        <f aca="false">A380&amp;"|"&amp;B380&amp;"|"&amp;C380&amp;"|"&amp;D380</f>
        <v>1|6|Stephanie|spotify:track:3UmaczJpikHgJFyBTAJVoz</v>
      </c>
    </row>
    <row r="381" customFormat="false" ht="15" hidden="false" customHeight="false" outlineLevel="0" collapsed="false">
      <c r="A381" s="5" t="n">
        <v>1</v>
      </c>
      <c r="B381" s="5" t="n">
        <v>6</v>
      </c>
      <c r="C381" s="5" t="s">
        <v>97</v>
      </c>
      <c r="D381" s="5" t="s">
        <v>269</v>
      </c>
      <c r="E381" s="5" t="n">
        <v>2</v>
      </c>
      <c r="F381" s="6" t="n">
        <f aca="false">IFERROR(MATCH(A381&amp;"|"&amp;B381&amp;"|"&amp;D381,'All Song Rankings'!$T:$T,0),0)</f>
        <v>56</v>
      </c>
      <c r="G381" s="6" t="str">
        <f aca="false">IF(F381=0,"NOT FOUND",INDEX('All Song Rankings'!$A:$A,F381))</f>
        <v>I Hung My Head</v>
      </c>
      <c r="H381" s="6" t="str">
        <f aca="false">IF(F381=0,"NOT FOUND",INDEX('All Song Rankings'!$B:$B,F381))</f>
        <v>Johnny Cash</v>
      </c>
      <c r="I381" s="6" t="str">
        <f aca="false">IF(F381=0,"NOT FOUND",INDEX('All Song Rankings'!$D:$D,F381))</f>
        <v>Matt</v>
      </c>
      <c r="J381" s="7" t="str">
        <f aca="false">IF(F381=0,"NOT FOUND",IF(C381=I381,"SELF-VOTE",IF(COUNTIF($K:$K,K381)&gt;1,"DUPLICATE","OK")))</f>
        <v>OK</v>
      </c>
      <c r="K381" s="6" t="str">
        <f aca="false">A381&amp;"|"&amp;B381&amp;"|"&amp;C381&amp;"|"&amp;D381</f>
        <v>1|6|Stephanie|spotify:track:3iBemYZi4lw53UYDlxqMlw</v>
      </c>
    </row>
    <row r="382" customFormat="false" ht="15" hidden="false" customHeight="false" outlineLevel="0" collapsed="false">
      <c r="A382" s="5" t="n">
        <v>1</v>
      </c>
      <c r="B382" s="5" t="n">
        <v>6</v>
      </c>
      <c r="C382" s="5" t="s">
        <v>97</v>
      </c>
      <c r="D382" s="5" t="s">
        <v>287</v>
      </c>
      <c r="E382" s="5" t="n">
        <v>1</v>
      </c>
      <c r="F382" s="6" t="n">
        <f aca="false">IFERROR(MATCH(A382&amp;"|"&amp;B382&amp;"|"&amp;D382,'All Song Rankings'!$T:$T,0),0)</f>
        <v>62</v>
      </c>
      <c r="G382" s="6" t="str">
        <f aca="false">IF(F382=0,"NOT FOUND",INDEX('All Song Rankings'!$A:$A,F382))</f>
        <v>Milarrochy Bay</v>
      </c>
      <c r="H382" s="6" t="str">
        <f aca="false">IF(F382=0,"NOT FOUND",INDEX('All Song Rankings'!$B:$B,F382))</f>
        <v>Nathan Evans</v>
      </c>
      <c r="I382" s="6" t="str">
        <f aca="false">IF(F382=0,"NOT FOUND",INDEX('All Song Rankings'!$D:$D,F382))</f>
        <v>Collin</v>
      </c>
      <c r="J382" s="7" t="str">
        <f aca="false">IF(F382=0,"NOT FOUND",IF(C382=I382,"SELF-VOTE",IF(COUNTIF($K:$K,K382)&gt;1,"DUPLICATE","OK")))</f>
        <v>OK</v>
      </c>
      <c r="K382" s="6" t="str">
        <f aca="false">A382&amp;"|"&amp;B382&amp;"|"&amp;C382&amp;"|"&amp;D382</f>
        <v>1|6|Stephanie|spotify:track:4DMUZgAnTiUxK3VOFJ2HI0</v>
      </c>
    </row>
    <row r="383" customFormat="false" ht="15" hidden="false" customHeight="false" outlineLevel="0" collapsed="false">
      <c r="A383" s="5" t="n">
        <v>1</v>
      </c>
      <c r="B383" s="5" t="n">
        <v>6</v>
      </c>
      <c r="C383" s="5" t="s">
        <v>97</v>
      </c>
      <c r="D383" s="5" t="s">
        <v>275</v>
      </c>
      <c r="E383" s="5" t="n">
        <v>1</v>
      </c>
      <c r="F383" s="6" t="n">
        <f aca="false">IFERROR(MATCH(A383&amp;"|"&amp;B383&amp;"|"&amp;D383,'All Song Rankings'!$T:$T,0),0)</f>
        <v>58</v>
      </c>
      <c r="G383" s="6" t="str">
        <f aca="false">IF(F383=0,"NOT FOUND",INDEX('All Song Rankings'!$A:$A,F383))</f>
        <v>Goodbye Earl</v>
      </c>
      <c r="H383" s="6" t="str">
        <f aca="false">IF(F383=0,"NOT FOUND",INDEX('All Song Rankings'!$B:$B,F383))</f>
        <v>The Chicks</v>
      </c>
      <c r="I383" s="6" t="str">
        <f aca="false">IF(F383=0,"NOT FOUND",INDEX('All Song Rankings'!$D:$D,F383))</f>
        <v>Logan</v>
      </c>
      <c r="J383" s="7" t="str">
        <f aca="false">IF(F383=0,"NOT FOUND",IF(C383=I383,"SELF-VOTE",IF(COUNTIF($K:$K,K383)&gt;1,"DUPLICATE","OK")))</f>
        <v>OK</v>
      </c>
      <c r="K383" s="6" t="str">
        <f aca="false">A383&amp;"|"&amp;B383&amp;"|"&amp;C383&amp;"|"&amp;D383</f>
        <v>1|6|Stephanie|spotify:track:7rqaqQurHzR5xHAhdm1gmM</v>
      </c>
    </row>
    <row r="384" customFormat="false" ht="15" hidden="false" customHeight="false" outlineLevel="0" collapsed="false">
      <c r="A384" s="5" t="n">
        <v>1</v>
      </c>
      <c r="B384" s="5" t="n">
        <v>7</v>
      </c>
      <c r="C384" s="5" t="s">
        <v>111</v>
      </c>
      <c r="D384" s="5" t="s">
        <v>301</v>
      </c>
      <c r="E384" s="5" t="n">
        <v>4</v>
      </c>
      <c r="F384" s="6" t="n">
        <f aca="false">IFERROR(MATCH(A384&amp;"|"&amp;B384&amp;"|"&amp;D384,'All Song Rankings'!$T:$T,0),0)</f>
        <v>66</v>
      </c>
      <c r="G384" s="6" t="str">
        <f aca="false">IF(F384=0,"NOT FOUND",INDEX('All Song Rankings'!$A:$A,F384))</f>
        <v>September Song</v>
      </c>
      <c r="H384" s="6" t="str">
        <f aca="false">IF(F384=0,"NOT FOUND",INDEX('All Song Rankings'!$B:$B,F384))</f>
        <v>JP Cooper</v>
      </c>
      <c r="I384" s="6" t="str">
        <f aca="false">IF(F384=0,"NOT FOUND",INDEX('All Song Rankings'!$D:$D,F384))</f>
        <v>Logan</v>
      </c>
      <c r="J384" s="7" t="str">
        <f aca="false">IF(F384=0,"NOT FOUND",IF(C384=I384,"SELF-VOTE",IF(COUNTIF($K:$K,K384)&gt;1,"DUPLICATE","OK")))</f>
        <v>OK</v>
      </c>
      <c r="K384" s="6" t="str">
        <f aca="false">A384&amp;"|"&amp;B384&amp;"|"&amp;C384&amp;"|"&amp;D384</f>
        <v>1|7|Collin|spotify:track:0zbzrhfVS9S2TszW3wLQZ7</v>
      </c>
    </row>
    <row r="385" customFormat="false" ht="15" hidden="false" customHeight="false" outlineLevel="0" collapsed="false">
      <c r="A385" s="5" t="n">
        <v>1</v>
      </c>
      <c r="B385" s="5" t="n">
        <v>7</v>
      </c>
      <c r="C385" s="5" t="s">
        <v>111</v>
      </c>
      <c r="D385" s="5" t="s">
        <v>298</v>
      </c>
      <c r="E385" s="5" t="n">
        <v>3</v>
      </c>
      <c r="F385" s="6" t="n">
        <f aca="false">IFERROR(MATCH(A385&amp;"|"&amp;B385&amp;"|"&amp;D385,'All Song Rankings'!$T:$T,0),0)</f>
        <v>65</v>
      </c>
      <c r="G385" s="6" t="str">
        <f aca="false">IF(F385=0,"NOT FOUND",INDEX('All Song Rankings'!$A:$A,F385))</f>
        <v>Perfect Strangers</v>
      </c>
      <c r="H385" s="6" t="str">
        <f aca="false">IF(F385=0,"NOT FOUND",INDEX('All Song Rankings'!$B:$B,F385))</f>
        <v>Jonas Blue</v>
      </c>
      <c r="I385" s="6" t="str">
        <f aca="false">IF(F385=0,"NOT FOUND",INDEX('All Song Rankings'!$D:$D,F385))</f>
        <v>Kelsey</v>
      </c>
      <c r="J385" s="7" t="str">
        <f aca="false">IF(F385=0,"NOT FOUND",IF(C385=I385,"SELF-VOTE",IF(COUNTIF($K:$K,K385)&gt;1,"DUPLICATE","OK")))</f>
        <v>OK</v>
      </c>
      <c r="K385" s="6" t="str">
        <f aca="false">A385&amp;"|"&amp;B385&amp;"|"&amp;C385&amp;"|"&amp;D385</f>
        <v>1|7|Collin|spotify:track:3hDFOFjGIFwlSmCO6b39M4</v>
      </c>
    </row>
    <row r="386" customFormat="false" ht="15" hidden="false" customHeight="false" outlineLevel="0" collapsed="false">
      <c r="A386" s="5" t="n">
        <v>1</v>
      </c>
      <c r="B386" s="5" t="n">
        <v>7</v>
      </c>
      <c r="C386" s="5" t="s">
        <v>111</v>
      </c>
      <c r="D386" s="5" t="s">
        <v>311</v>
      </c>
      <c r="E386" s="5" t="n">
        <v>3</v>
      </c>
      <c r="F386" s="6" t="n">
        <f aca="false">IFERROR(MATCH(A386&amp;"|"&amp;B386&amp;"|"&amp;D386,'All Song Rankings'!$T:$T,0),0)</f>
        <v>69</v>
      </c>
      <c r="G386" s="6" t="str">
        <f aca="false">IF(F386=0,"NOT FOUND",INDEX('All Song Rankings'!$A:$A,F386))</f>
        <v>if i never</v>
      </c>
      <c r="H386" s="6" t="str">
        <f aca="false">IF(F386=0,"NOT FOUND",INDEX('All Song Rankings'!$B:$B,F386))</f>
        <v>Jessica Baio</v>
      </c>
      <c r="I386" s="6" t="str">
        <f aca="false">IF(F386=0,"NOT FOUND",INDEX('All Song Rankings'!$D:$D,F386))</f>
        <v>Olivia</v>
      </c>
      <c r="J386" s="7" t="str">
        <f aca="false">IF(F386=0,"NOT FOUND",IF(C386=I386,"SELF-VOTE",IF(COUNTIF($K:$K,K386)&gt;1,"DUPLICATE","OK")))</f>
        <v>OK</v>
      </c>
      <c r="K386" s="6" t="str">
        <f aca="false">A386&amp;"|"&amp;B386&amp;"|"&amp;C386&amp;"|"&amp;D386</f>
        <v>1|7|Collin|spotify:track:72bcYTJEHG7tNIdhmUYGht</v>
      </c>
    </row>
    <row r="387" customFormat="false" ht="15" hidden="false" customHeight="false" outlineLevel="0" collapsed="false">
      <c r="A387" s="5" t="n">
        <v>1</v>
      </c>
      <c r="B387" s="5" t="n">
        <v>7</v>
      </c>
      <c r="C387" s="5" t="s">
        <v>85</v>
      </c>
      <c r="D387" s="5" t="s">
        <v>295</v>
      </c>
      <c r="E387" s="5" t="n">
        <v>1</v>
      </c>
      <c r="F387" s="6" t="n">
        <f aca="false">IFERROR(MATCH(A387&amp;"|"&amp;B387&amp;"|"&amp;D387,'All Song Rankings'!$T:$T,0),0)</f>
        <v>64</v>
      </c>
      <c r="G387" s="6" t="str">
        <f aca="false">IF(F387=0,"NOT FOUND",INDEX('All Song Rankings'!$A:$A,F387))</f>
        <v>Dancing on Glass</v>
      </c>
      <c r="H387" s="6" t="str">
        <f aca="false">IF(F387=0,"NOT FOUND",INDEX('All Song Rankings'!$B:$B,F387))</f>
        <v>St. Lucia</v>
      </c>
      <c r="I387" s="6" t="str">
        <f aca="false">IF(F387=0,"NOT FOUND",INDEX('All Song Rankings'!$D:$D,F387))</f>
        <v>Stephanie</v>
      </c>
      <c r="J387" s="7" t="str">
        <f aca="false">IF(F387=0,"NOT FOUND",IF(C387=I387,"SELF-VOTE",IF(COUNTIF($K:$K,K387)&gt;1,"DUPLICATE","OK")))</f>
        <v>OK</v>
      </c>
      <c r="K387" s="6" t="str">
        <f aca="false">A387&amp;"|"&amp;B387&amp;"|"&amp;C387&amp;"|"&amp;D387</f>
        <v>1|7|Kelsey|spotify:track:0aersVHlGGXcHeRvHtuaSt</v>
      </c>
    </row>
    <row r="388" customFormat="false" ht="15" hidden="false" customHeight="false" outlineLevel="0" collapsed="false">
      <c r="A388" s="5" t="n">
        <v>1</v>
      </c>
      <c r="B388" s="5" t="n">
        <v>7</v>
      </c>
      <c r="C388" s="5" t="s">
        <v>85</v>
      </c>
      <c r="D388" s="5" t="s">
        <v>301</v>
      </c>
      <c r="E388" s="5" t="n">
        <v>2</v>
      </c>
      <c r="F388" s="6" t="n">
        <f aca="false">IFERROR(MATCH(A388&amp;"|"&amp;B388&amp;"|"&amp;D388,'All Song Rankings'!$T:$T,0),0)</f>
        <v>66</v>
      </c>
      <c r="G388" s="6" t="str">
        <f aca="false">IF(F388=0,"NOT FOUND",INDEX('All Song Rankings'!$A:$A,F388))</f>
        <v>September Song</v>
      </c>
      <c r="H388" s="6" t="str">
        <f aca="false">IF(F388=0,"NOT FOUND",INDEX('All Song Rankings'!$B:$B,F388))</f>
        <v>JP Cooper</v>
      </c>
      <c r="I388" s="6" t="str">
        <f aca="false">IF(F388=0,"NOT FOUND",INDEX('All Song Rankings'!$D:$D,F388))</f>
        <v>Logan</v>
      </c>
      <c r="J388" s="7" t="str">
        <f aca="false">IF(F388=0,"NOT FOUND",IF(C388=I388,"SELF-VOTE",IF(COUNTIF($K:$K,K388)&gt;1,"DUPLICATE","OK")))</f>
        <v>OK</v>
      </c>
      <c r="K388" s="6" t="str">
        <f aca="false">A388&amp;"|"&amp;B388&amp;"|"&amp;C388&amp;"|"&amp;D388</f>
        <v>1|7|Kelsey|spotify:track:0zbzrhfVS9S2TszW3wLQZ7</v>
      </c>
    </row>
    <row r="389" customFormat="false" ht="15" hidden="false" customHeight="false" outlineLevel="0" collapsed="false">
      <c r="A389" s="5" t="n">
        <v>1</v>
      </c>
      <c r="B389" s="5" t="n">
        <v>7</v>
      </c>
      <c r="C389" s="5" t="s">
        <v>85</v>
      </c>
      <c r="D389" s="5" t="s">
        <v>326</v>
      </c>
      <c r="E389" s="5" t="n">
        <v>1</v>
      </c>
      <c r="F389" s="6" t="n">
        <f aca="false">IFERROR(MATCH(A389&amp;"|"&amp;B389&amp;"|"&amp;D389,'All Song Rankings'!$T:$T,0),0)</f>
        <v>74</v>
      </c>
      <c r="G389" s="6" t="str">
        <f aca="false">IF(F389=0,"NOT FOUND",INDEX('All Song Rankings'!$A:$A,F389))</f>
        <v>Portions for Foxes</v>
      </c>
      <c r="H389" s="6" t="str">
        <f aca="false">IF(F389=0,"NOT FOUND",INDEX('All Song Rankings'!$B:$B,F389))</f>
        <v>Rilo Kiley</v>
      </c>
      <c r="I389" s="6" t="str">
        <f aca="false">IF(F389=0,"NOT FOUND",INDEX('All Song Rankings'!$D:$D,F389))</f>
        <v>Matt</v>
      </c>
      <c r="J389" s="7" t="str">
        <f aca="false">IF(F389=0,"NOT FOUND",IF(C389=I389,"SELF-VOTE",IF(COUNTIF($K:$K,K389)&gt;1,"DUPLICATE","OK")))</f>
        <v>OK</v>
      </c>
      <c r="K389" s="6" t="str">
        <f aca="false">A389&amp;"|"&amp;B389&amp;"|"&amp;C389&amp;"|"&amp;D389</f>
        <v>1|7|Kelsey|spotify:track:4yY8JqTOQyi7K4O1QcQtBG</v>
      </c>
    </row>
    <row r="390" customFormat="false" ht="15" hidden="false" customHeight="false" outlineLevel="0" collapsed="false">
      <c r="A390" s="5" t="n">
        <v>1</v>
      </c>
      <c r="B390" s="5" t="n">
        <v>7</v>
      </c>
      <c r="C390" s="5" t="s">
        <v>85</v>
      </c>
      <c r="D390" s="5" t="s">
        <v>314</v>
      </c>
      <c r="E390" s="5" t="n">
        <v>2</v>
      </c>
      <c r="F390" s="6" t="n">
        <f aca="false">IFERROR(MATCH(A390&amp;"|"&amp;B390&amp;"|"&amp;D390,'All Song Rankings'!$T:$T,0),0)</f>
        <v>70</v>
      </c>
      <c r="G390" s="6" t="str">
        <f aca="false">IF(F390=0,"NOT FOUND",INDEX('All Song Rankings'!$A:$A,F390))</f>
        <v>TGTBT</v>
      </c>
      <c r="H390" s="6" t="str">
        <f aca="false">IF(F390=0,"NOT FOUND",INDEX('All Song Rankings'!$B:$B,F390))</f>
        <v>Lily Mae Harrington</v>
      </c>
      <c r="I390" s="6" t="str">
        <f aca="false">IF(F390=0,"NOT FOUND",INDEX('All Song Rankings'!$D:$D,F390))</f>
        <v>Leah</v>
      </c>
      <c r="J390" s="7" t="str">
        <f aca="false">IF(F390=0,"NOT FOUND",IF(C390=I390,"SELF-VOTE",IF(COUNTIF($K:$K,K390)&gt;1,"DUPLICATE","OK")))</f>
        <v>OK</v>
      </c>
      <c r="K390" s="6" t="str">
        <f aca="false">A390&amp;"|"&amp;B390&amp;"|"&amp;C390&amp;"|"&amp;D390</f>
        <v>1|7|Kelsey|spotify:track:5CYdANFs8Gz4ho3tN61Bjz</v>
      </c>
    </row>
    <row r="391" customFormat="false" ht="15" hidden="false" customHeight="false" outlineLevel="0" collapsed="false">
      <c r="A391" s="5" t="n">
        <v>1</v>
      </c>
      <c r="B391" s="5" t="n">
        <v>7</v>
      </c>
      <c r="C391" s="5" t="s">
        <v>85</v>
      </c>
      <c r="D391" s="5" t="s">
        <v>308</v>
      </c>
      <c r="E391" s="5" t="n">
        <v>2</v>
      </c>
      <c r="F391" s="6" t="n">
        <f aca="false">IFERROR(MATCH(A391&amp;"|"&amp;B391&amp;"|"&amp;D391,'All Song Rankings'!$T:$T,0),0)</f>
        <v>68</v>
      </c>
      <c r="G391" s="6" t="str">
        <f aca="false">IF(F391=0,"NOT FOUND",INDEX('All Song Rankings'!$A:$A,F391))</f>
        <v>So Beautiful</v>
      </c>
      <c r="H391" s="6" t="str">
        <f aca="false">IF(F391=0,"NOT FOUND",INDEX('All Song Rankings'!$B:$B,F391))</f>
        <v>DPR IAN</v>
      </c>
      <c r="I391" s="6" t="str">
        <f aca="false">IF(F391=0,"NOT FOUND",INDEX('All Song Rankings'!$D:$D,F391))</f>
        <v>Merita</v>
      </c>
      <c r="J391" s="7" t="str">
        <f aca="false">IF(F391=0,"NOT FOUND",IF(C391=I391,"SELF-VOTE",IF(COUNTIF($K:$K,K391)&gt;1,"DUPLICATE","OK")))</f>
        <v>OK</v>
      </c>
      <c r="K391" s="6" t="str">
        <f aca="false">A391&amp;"|"&amp;B391&amp;"|"&amp;C391&amp;"|"&amp;D391</f>
        <v>1|7|Kelsey|spotify:track:6syar8JKCt3R9ZBl11zmgI</v>
      </c>
    </row>
    <row r="392" customFormat="false" ht="15" hidden="false" customHeight="false" outlineLevel="0" collapsed="false">
      <c r="A392" s="5" t="n">
        <v>1</v>
      </c>
      <c r="B392" s="5" t="n">
        <v>7</v>
      </c>
      <c r="C392" s="5" t="s">
        <v>85</v>
      </c>
      <c r="D392" s="5" t="s">
        <v>311</v>
      </c>
      <c r="E392" s="5" t="n">
        <v>2</v>
      </c>
      <c r="F392" s="6" t="n">
        <f aca="false">IFERROR(MATCH(A392&amp;"|"&amp;B392&amp;"|"&amp;D392,'All Song Rankings'!$T:$T,0),0)</f>
        <v>69</v>
      </c>
      <c r="G392" s="6" t="str">
        <f aca="false">IF(F392=0,"NOT FOUND",INDEX('All Song Rankings'!$A:$A,F392))</f>
        <v>if i never</v>
      </c>
      <c r="H392" s="6" t="str">
        <f aca="false">IF(F392=0,"NOT FOUND",INDEX('All Song Rankings'!$B:$B,F392))</f>
        <v>Jessica Baio</v>
      </c>
      <c r="I392" s="6" t="str">
        <f aca="false">IF(F392=0,"NOT FOUND",INDEX('All Song Rankings'!$D:$D,F392))</f>
        <v>Olivia</v>
      </c>
      <c r="J392" s="7" t="str">
        <f aca="false">IF(F392=0,"NOT FOUND",IF(C392=I392,"SELF-VOTE",IF(COUNTIF($K:$K,K392)&gt;1,"DUPLICATE","OK")))</f>
        <v>OK</v>
      </c>
      <c r="K392" s="6" t="str">
        <f aca="false">A392&amp;"|"&amp;B392&amp;"|"&amp;C392&amp;"|"&amp;D392</f>
        <v>1|7|Kelsey|spotify:track:72bcYTJEHG7tNIdhmUYGht</v>
      </c>
    </row>
    <row r="393" customFormat="false" ht="15" hidden="false" customHeight="false" outlineLevel="0" collapsed="false">
      <c r="A393" s="5" t="n">
        <v>1</v>
      </c>
      <c r="B393" s="5" t="n">
        <v>7</v>
      </c>
      <c r="C393" s="5" t="s">
        <v>106</v>
      </c>
      <c r="D393" s="5" t="s">
        <v>295</v>
      </c>
      <c r="E393" s="5" t="n">
        <v>2</v>
      </c>
      <c r="F393" s="6" t="n">
        <f aca="false">IFERROR(MATCH(A393&amp;"|"&amp;B393&amp;"|"&amp;D393,'All Song Rankings'!$T:$T,0),0)</f>
        <v>64</v>
      </c>
      <c r="G393" s="6" t="str">
        <f aca="false">IF(F393=0,"NOT FOUND",INDEX('All Song Rankings'!$A:$A,F393))</f>
        <v>Dancing on Glass</v>
      </c>
      <c r="H393" s="6" t="str">
        <f aca="false">IF(F393=0,"NOT FOUND",INDEX('All Song Rankings'!$B:$B,F393))</f>
        <v>St. Lucia</v>
      </c>
      <c r="I393" s="6" t="str">
        <f aca="false">IF(F393=0,"NOT FOUND",INDEX('All Song Rankings'!$D:$D,F393))</f>
        <v>Stephanie</v>
      </c>
      <c r="J393" s="7" t="str">
        <f aca="false">IF(F393=0,"NOT FOUND",IF(C393=I393,"SELF-VOTE",IF(COUNTIF($K:$K,K393)&gt;1,"DUPLICATE","OK")))</f>
        <v>OK</v>
      </c>
      <c r="K393" s="6" t="str">
        <f aca="false">A393&amp;"|"&amp;B393&amp;"|"&amp;C393&amp;"|"&amp;D393</f>
        <v>1|7|Kristen|spotify:track:0aersVHlGGXcHeRvHtuaSt</v>
      </c>
    </row>
    <row r="394" customFormat="false" ht="15" hidden="false" customHeight="false" outlineLevel="0" collapsed="false">
      <c r="A394" s="5" t="n">
        <v>1</v>
      </c>
      <c r="B394" s="5" t="n">
        <v>7</v>
      </c>
      <c r="C394" s="5" t="s">
        <v>106</v>
      </c>
      <c r="D394" s="5" t="s">
        <v>301</v>
      </c>
      <c r="E394" s="5" t="n">
        <v>2</v>
      </c>
      <c r="F394" s="6" t="n">
        <f aca="false">IFERROR(MATCH(A394&amp;"|"&amp;B394&amp;"|"&amp;D394,'All Song Rankings'!$T:$T,0),0)</f>
        <v>66</v>
      </c>
      <c r="G394" s="6" t="str">
        <f aca="false">IF(F394=0,"NOT FOUND",INDEX('All Song Rankings'!$A:$A,F394))</f>
        <v>September Song</v>
      </c>
      <c r="H394" s="6" t="str">
        <f aca="false">IF(F394=0,"NOT FOUND",INDEX('All Song Rankings'!$B:$B,F394))</f>
        <v>JP Cooper</v>
      </c>
      <c r="I394" s="6" t="str">
        <f aca="false">IF(F394=0,"NOT FOUND",INDEX('All Song Rankings'!$D:$D,F394))</f>
        <v>Logan</v>
      </c>
      <c r="J394" s="7" t="str">
        <f aca="false">IF(F394=0,"NOT FOUND",IF(C394=I394,"SELF-VOTE",IF(COUNTIF($K:$K,K394)&gt;1,"DUPLICATE","OK")))</f>
        <v>OK</v>
      </c>
      <c r="K394" s="6" t="str">
        <f aca="false">A394&amp;"|"&amp;B394&amp;"|"&amp;C394&amp;"|"&amp;D394</f>
        <v>1|7|Kristen|spotify:track:0zbzrhfVS9S2TszW3wLQZ7</v>
      </c>
    </row>
    <row r="395" customFormat="false" ht="15" hidden="false" customHeight="false" outlineLevel="0" collapsed="false">
      <c r="A395" s="5" t="n">
        <v>1</v>
      </c>
      <c r="B395" s="5" t="n">
        <v>7</v>
      </c>
      <c r="C395" s="5" t="s">
        <v>106</v>
      </c>
      <c r="D395" s="5" t="s">
        <v>298</v>
      </c>
      <c r="E395" s="5" t="n">
        <v>1</v>
      </c>
      <c r="F395" s="6" t="n">
        <f aca="false">IFERROR(MATCH(A395&amp;"|"&amp;B395&amp;"|"&amp;D395,'All Song Rankings'!$T:$T,0),0)</f>
        <v>65</v>
      </c>
      <c r="G395" s="6" t="str">
        <f aca="false">IF(F395=0,"NOT FOUND",INDEX('All Song Rankings'!$A:$A,F395))</f>
        <v>Perfect Strangers</v>
      </c>
      <c r="H395" s="6" t="str">
        <f aca="false">IF(F395=0,"NOT FOUND",INDEX('All Song Rankings'!$B:$B,F395))</f>
        <v>Jonas Blue</v>
      </c>
      <c r="I395" s="6" t="str">
        <f aca="false">IF(F395=0,"NOT FOUND",INDEX('All Song Rankings'!$D:$D,F395))</f>
        <v>Kelsey</v>
      </c>
      <c r="J395" s="7" t="str">
        <f aca="false">IF(F395=0,"NOT FOUND",IF(C395=I395,"SELF-VOTE",IF(COUNTIF($K:$K,K395)&gt;1,"DUPLICATE","OK")))</f>
        <v>OK</v>
      </c>
      <c r="K395" s="6" t="str">
        <f aca="false">A395&amp;"|"&amp;B395&amp;"|"&amp;C395&amp;"|"&amp;D395</f>
        <v>1|7|Kristen|spotify:track:3hDFOFjGIFwlSmCO6b39M4</v>
      </c>
    </row>
    <row r="396" customFormat="false" ht="15" hidden="false" customHeight="false" outlineLevel="0" collapsed="false">
      <c r="A396" s="5" t="n">
        <v>1</v>
      </c>
      <c r="B396" s="5" t="n">
        <v>7</v>
      </c>
      <c r="C396" s="5" t="s">
        <v>106</v>
      </c>
      <c r="D396" s="5" t="s">
        <v>317</v>
      </c>
      <c r="E396" s="5" t="n">
        <v>2</v>
      </c>
      <c r="F396" s="6" t="n">
        <f aca="false">IFERROR(MATCH(A396&amp;"|"&amp;B396&amp;"|"&amp;D396,'All Song Rankings'!$T:$T,0),0)</f>
        <v>71</v>
      </c>
      <c r="G396" s="6" t="str">
        <f aca="false">IF(F396=0,"NOT FOUND",INDEX('All Song Rankings'!$A:$A,F396))</f>
        <v>Memories We'll Never Make</v>
      </c>
      <c r="H396" s="6" t="str">
        <f aca="false">IF(F396=0,"NOT FOUND",INDEX('All Song Rankings'!$B:$B,F396))</f>
        <v>Michael Minelli</v>
      </c>
      <c r="I396" s="6" t="str">
        <f aca="false">IF(F396=0,"NOT FOUND",INDEX('All Song Rankings'!$D:$D,F396))</f>
        <v>Collin</v>
      </c>
      <c r="J396" s="7" t="str">
        <f aca="false">IF(F396=0,"NOT FOUND",IF(C396=I396,"SELF-VOTE",IF(COUNTIF($K:$K,K396)&gt;1,"DUPLICATE","OK")))</f>
        <v>OK</v>
      </c>
      <c r="K396" s="6" t="str">
        <f aca="false">A396&amp;"|"&amp;B396&amp;"|"&amp;C396&amp;"|"&amp;D396</f>
        <v>1|7|Kristen|spotify:track:4ddEGm8Wj9ArZ9Pk21mxdK</v>
      </c>
    </row>
    <row r="397" customFormat="false" ht="15" hidden="false" customHeight="false" outlineLevel="0" collapsed="false">
      <c r="A397" s="5" t="n">
        <v>1</v>
      </c>
      <c r="B397" s="5" t="n">
        <v>7</v>
      </c>
      <c r="C397" s="5" t="s">
        <v>106</v>
      </c>
      <c r="D397" s="5" t="s">
        <v>305</v>
      </c>
      <c r="E397" s="5" t="n">
        <v>1</v>
      </c>
      <c r="F397" s="6" t="n">
        <f aca="false">IFERROR(MATCH(A397&amp;"|"&amp;B397&amp;"|"&amp;D397,'All Song Rankings'!$T:$T,0),0)</f>
        <v>67</v>
      </c>
      <c r="G397" s="6" t="str">
        <f aca="false">IF(F397=0,"NOT FOUND",INDEX('All Song Rankings'!$A:$A,F397))</f>
        <v>WOKE UP</v>
      </c>
      <c r="H397" s="6" t="str">
        <f aca="false">IF(F397=0,"NOT FOUND",INDEX('All Song Rankings'!$B:$B,F397))</f>
        <v>XG</v>
      </c>
      <c r="I397" s="6" t="str">
        <f aca="false">IF(F397=0,"NOT FOUND",INDEX('All Song Rankings'!$D:$D,F397))</f>
        <v>Maryann</v>
      </c>
      <c r="J397" s="7" t="str">
        <f aca="false">IF(F397=0,"NOT FOUND",IF(C397=I397,"SELF-VOTE",IF(COUNTIF($K:$K,K397)&gt;1,"DUPLICATE","OK")))</f>
        <v>OK</v>
      </c>
      <c r="K397" s="6" t="str">
        <f aca="false">A397&amp;"|"&amp;B397&amp;"|"&amp;C397&amp;"|"&amp;D397</f>
        <v>1|7|Kristen|spotify:track:4keuUM29CtIWgsPRzRhXoW</v>
      </c>
    </row>
    <row r="398" customFormat="false" ht="15" hidden="false" customHeight="false" outlineLevel="0" collapsed="false">
      <c r="A398" s="5" t="n">
        <v>1</v>
      </c>
      <c r="B398" s="5" t="n">
        <v>7</v>
      </c>
      <c r="C398" s="5" t="s">
        <v>106</v>
      </c>
      <c r="D398" s="5" t="s">
        <v>308</v>
      </c>
      <c r="E398" s="5" t="n">
        <v>2</v>
      </c>
      <c r="F398" s="6" t="n">
        <f aca="false">IFERROR(MATCH(A398&amp;"|"&amp;B398&amp;"|"&amp;D398,'All Song Rankings'!$T:$T,0),0)</f>
        <v>68</v>
      </c>
      <c r="G398" s="6" t="str">
        <f aca="false">IF(F398=0,"NOT FOUND",INDEX('All Song Rankings'!$A:$A,F398))</f>
        <v>So Beautiful</v>
      </c>
      <c r="H398" s="6" t="str">
        <f aca="false">IF(F398=0,"NOT FOUND",INDEX('All Song Rankings'!$B:$B,F398))</f>
        <v>DPR IAN</v>
      </c>
      <c r="I398" s="6" t="str">
        <f aca="false">IF(F398=0,"NOT FOUND",INDEX('All Song Rankings'!$D:$D,F398))</f>
        <v>Merita</v>
      </c>
      <c r="J398" s="7" t="str">
        <f aca="false">IF(F398=0,"NOT FOUND",IF(C398=I398,"SELF-VOTE",IF(COUNTIF($K:$K,K398)&gt;1,"DUPLICATE","OK")))</f>
        <v>OK</v>
      </c>
      <c r="K398" s="6" t="str">
        <f aca="false">A398&amp;"|"&amp;B398&amp;"|"&amp;C398&amp;"|"&amp;D398</f>
        <v>1|7|Kristen|spotify:track:6syar8JKCt3R9ZBl11zmgI</v>
      </c>
    </row>
    <row r="399" customFormat="false" ht="15" hidden="false" customHeight="false" outlineLevel="0" collapsed="false">
      <c r="A399" s="5" t="n">
        <v>1</v>
      </c>
      <c r="B399" s="5" t="n">
        <v>7</v>
      </c>
      <c r="C399" s="5" t="s">
        <v>119</v>
      </c>
      <c r="D399" s="5" t="s">
        <v>295</v>
      </c>
      <c r="E399" s="5" t="n">
        <v>3</v>
      </c>
      <c r="F399" s="6" t="n">
        <f aca="false">IFERROR(MATCH(A399&amp;"|"&amp;B399&amp;"|"&amp;D399,'All Song Rankings'!$T:$T,0),0)</f>
        <v>64</v>
      </c>
      <c r="G399" s="6" t="str">
        <f aca="false">IF(F399=0,"NOT FOUND",INDEX('All Song Rankings'!$A:$A,F399))</f>
        <v>Dancing on Glass</v>
      </c>
      <c r="H399" s="6" t="str">
        <f aca="false">IF(F399=0,"NOT FOUND",INDEX('All Song Rankings'!$B:$B,F399))</f>
        <v>St. Lucia</v>
      </c>
      <c r="I399" s="6" t="str">
        <f aca="false">IF(F399=0,"NOT FOUND",INDEX('All Song Rankings'!$D:$D,F399))</f>
        <v>Stephanie</v>
      </c>
      <c r="J399" s="7" t="str">
        <f aca="false">IF(F399=0,"NOT FOUND",IF(C399=I399,"SELF-VOTE",IF(COUNTIF($K:$K,K399)&gt;1,"DUPLICATE","OK")))</f>
        <v>OK</v>
      </c>
      <c r="K399" s="6" t="str">
        <f aca="false">A399&amp;"|"&amp;B399&amp;"|"&amp;C399&amp;"|"&amp;D399</f>
        <v>1|7|Leah|spotify:track:0aersVHlGGXcHeRvHtuaSt</v>
      </c>
    </row>
    <row r="400" customFormat="false" ht="15" hidden="false" customHeight="false" outlineLevel="0" collapsed="false">
      <c r="A400" s="5" t="n">
        <v>1</v>
      </c>
      <c r="B400" s="5" t="n">
        <v>7</v>
      </c>
      <c r="C400" s="5" t="s">
        <v>119</v>
      </c>
      <c r="D400" s="5" t="s">
        <v>301</v>
      </c>
      <c r="E400" s="5" t="n">
        <v>2</v>
      </c>
      <c r="F400" s="6" t="n">
        <f aca="false">IFERROR(MATCH(A400&amp;"|"&amp;B400&amp;"|"&amp;D400,'All Song Rankings'!$T:$T,0),0)</f>
        <v>66</v>
      </c>
      <c r="G400" s="6" t="str">
        <f aca="false">IF(F400=0,"NOT FOUND",INDEX('All Song Rankings'!$A:$A,F400))</f>
        <v>September Song</v>
      </c>
      <c r="H400" s="6" t="str">
        <f aca="false">IF(F400=0,"NOT FOUND",INDEX('All Song Rankings'!$B:$B,F400))</f>
        <v>JP Cooper</v>
      </c>
      <c r="I400" s="6" t="str">
        <f aca="false">IF(F400=0,"NOT FOUND",INDEX('All Song Rankings'!$D:$D,F400))</f>
        <v>Logan</v>
      </c>
      <c r="J400" s="7" t="str">
        <f aca="false">IF(F400=0,"NOT FOUND",IF(C400=I400,"SELF-VOTE",IF(COUNTIF($K:$K,K400)&gt;1,"DUPLICATE","OK")))</f>
        <v>OK</v>
      </c>
      <c r="K400" s="6" t="str">
        <f aca="false">A400&amp;"|"&amp;B400&amp;"|"&amp;C400&amp;"|"&amp;D400</f>
        <v>1|7|Leah|spotify:track:0zbzrhfVS9S2TszW3wLQZ7</v>
      </c>
    </row>
    <row r="401" customFormat="false" ht="15" hidden="false" customHeight="false" outlineLevel="0" collapsed="false">
      <c r="A401" s="5" t="n">
        <v>1</v>
      </c>
      <c r="B401" s="5" t="n">
        <v>7</v>
      </c>
      <c r="C401" s="5" t="s">
        <v>119</v>
      </c>
      <c r="D401" s="5" t="s">
        <v>323</v>
      </c>
      <c r="E401" s="5" t="n">
        <v>1</v>
      </c>
      <c r="F401" s="6" t="n">
        <f aca="false">IFERROR(MATCH(A401&amp;"|"&amp;B401&amp;"|"&amp;D401,'All Song Rankings'!$T:$T,0),0)</f>
        <v>73</v>
      </c>
      <c r="G401" s="6" t="str">
        <f aca="false">IF(F401=0,"NOT FOUND",INDEX('All Song Rankings'!$A:$A,F401))</f>
        <v>Bright Bulbs &amp; Sharp Tools</v>
      </c>
      <c r="H401" s="6" t="str">
        <f aca="false">IF(F401=0,"NOT FOUND",INDEX('All Song Rankings'!$B:$B,F401))</f>
        <v>Fair To Midland</v>
      </c>
      <c r="I401" s="6" t="str">
        <f aca="false">IF(F401=0,"NOT FOUND",INDEX('All Song Rankings'!$D:$D,F401))</f>
        <v>Kristen</v>
      </c>
      <c r="J401" s="7" t="str">
        <f aca="false">IF(F401=0,"NOT FOUND",IF(C401=I401,"SELF-VOTE",IF(COUNTIF($K:$K,K401)&gt;1,"DUPLICATE","OK")))</f>
        <v>OK</v>
      </c>
      <c r="K401" s="6" t="str">
        <f aca="false">A401&amp;"|"&amp;B401&amp;"|"&amp;C401&amp;"|"&amp;D401</f>
        <v>1|7|Leah|spotify:track:3ECwNI9Pi4G4b8EypUwLNJ</v>
      </c>
    </row>
    <row r="402" customFormat="false" ht="15" hidden="false" customHeight="false" outlineLevel="0" collapsed="false">
      <c r="A402" s="5" t="n">
        <v>1</v>
      </c>
      <c r="B402" s="5" t="n">
        <v>7</v>
      </c>
      <c r="C402" s="5" t="s">
        <v>119</v>
      </c>
      <c r="D402" s="5" t="s">
        <v>298</v>
      </c>
      <c r="E402" s="5" t="n">
        <v>2</v>
      </c>
      <c r="F402" s="6" t="n">
        <f aca="false">IFERROR(MATCH(A402&amp;"|"&amp;B402&amp;"|"&amp;D402,'All Song Rankings'!$T:$T,0),0)</f>
        <v>65</v>
      </c>
      <c r="G402" s="6" t="str">
        <f aca="false">IF(F402=0,"NOT FOUND",INDEX('All Song Rankings'!$A:$A,F402))</f>
        <v>Perfect Strangers</v>
      </c>
      <c r="H402" s="6" t="str">
        <f aca="false">IF(F402=0,"NOT FOUND",INDEX('All Song Rankings'!$B:$B,F402))</f>
        <v>Jonas Blue</v>
      </c>
      <c r="I402" s="6" t="str">
        <f aca="false">IF(F402=0,"NOT FOUND",INDEX('All Song Rankings'!$D:$D,F402))</f>
        <v>Kelsey</v>
      </c>
      <c r="J402" s="7" t="str">
        <f aca="false">IF(F402=0,"NOT FOUND",IF(C402=I402,"SELF-VOTE",IF(COUNTIF($K:$K,K402)&gt;1,"DUPLICATE","OK")))</f>
        <v>OK</v>
      </c>
      <c r="K402" s="6" t="str">
        <f aca="false">A402&amp;"|"&amp;B402&amp;"|"&amp;C402&amp;"|"&amp;D402</f>
        <v>1|7|Leah|spotify:track:3hDFOFjGIFwlSmCO6b39M4</v>
      </c>
    </row>
    <row r="403" customFormat="false" ht="15" hidden="false" customHeight="false" outlineLevel="0" collapsed="false">
      <c r="A403" s="5" t="n">
        <v>1</v>
      </c>
      <c r="B403" s="5" t="n">
        <v>7</v>
      </c>
      <c r="C403" s="5" t="s">
        <v>119</v>
      </c>
      <c r="D403" s="5" t="s">
        <v>308</v>
      </c>
      <c r="E403" s="5" t="n">
        <v>1</v>
      </c>
      <c r="F403" s="6" t="n">
        <f aca="false">IFERROR(MATCH(A403&amp;"|"&amp;B403&amp;"|"&amp;D403,'All Song Rankings'!$T:$T,0),0)</f>
        <v>68</v>
      </c>
      <c r="G403" s="6" t="str">
        <f aca="false">IF(F403=0,"NOT FOUND",INDEX('All Song Rankings'!$A:$A,F403))</f>
        <v>So Beautiful</v>
      </c>
      <c r="H403" s="6" t="str">
        <f aca="false">IF(F403=0,"NOT FOUND",INDEX('All Song Rankings'!$B:$B,F403))</f>
        <v>DPR IAN</v>
      </c>
      <c r="I403" s="6" t="str">
        <f aca="false">IF(F403=0,"NOT FOUND",INDEX('All Song Rankings'!$D:$D,F403))</f>
        <v>Merita</v>
      </c>
      <c r="J403" s="7" t="str">
        <f aca="false">IF(F403=0,"NOT FOUND",IF(C403=I403,"SELF-VOTE",IF(COUNTIF($K:$K,K403)&gt;1,"DUPLICATE","OK")))</f>
        <v>OK</v>
      </c>
      <c r="K403" s="6" t="str">
        <f aca="false">A403&amp;"|"&amp;B403&amp;"|"&amp;C403&amp;"|"&amp;D403</f>
        <v>1|7|Leah|spotify:track:6syar8JKCt3R9ZBl11zmgI</v>
      </c>
    </row>
    <row r="404" customFormat="false" ht="15" hidden="false" customHeight="false" outlineLevel="0" collapsed="false">
      <c r="A404" s="5" t="n">
        <v>1</v>
      </c>
      <c r="B404" s="5" t="n">
        <v>7</v>
      </c>
      <c r="C404" s="5" t="s">
        <v>119</v>
      </c>
      <c r="D404" s="5" t="s">
        <v>311</v>
      </c>
      <c r="E404" s="5" t="n">
        <v>1</v>
      </c>
      <c r="F404" s="6" t="n">
        <f aca="false">IFERROR(MATCH(A404&amp;"|"&amp;B404&amp;"|"&amp;D404,'All Song Rankings'!$T:$T,0),0)</f>
        <v>69</v>
      </c>
      <c r="G404" s="6" t="str">
        <f aca="false">IF(F404=0,"NOT FOUND",INDEX('All Song Rankings'!$A:$A,F404))</f>
        <v>if i never</v>
      </c>
      <c r="H404" s="6" t="str">
        <f aca="false">IF(F404=0,"NOT FOUND",INDEX('All Song Rankings'!$B:$B,F404))</f>
        <v>Jessica Baio</v>
      </c>
      <c r="I404" s="6" t="str">
        <f aca="false">IF(F404=0,"NOT FOUND",INDEX('All Song Rankings'!$D:$D,F404))</f>
        <v>Olivia</v>
      </c>
      <c r="J404" s="7" t="str">
        <f aca="false">IF(F404=0,"NOT FOUND",IF(C404=I404,"SELF-VOTE",IF(COUNTIF($K:$K,K404)&gt;1,"DUPLICATE","OK")))</f>
        <v>OK</v>
      </c>
      <c r="K404" s="6" t="str">
        <f aca="false">A404&amp;"|"&amp;B404&amp;"|"&amp;C404&amp;"|"&amp;D404</f>
        <v>1|7|Leah|spotify:track:72bcYTJEHG7tNIdhmUYGht</v>
      </c>
    </row>
    <row r="405" customFormat="false" ht="15" hidden="false" customHeight="false" outlineLevel="0" collapsed="false">
      <c r="A405" s="5" t="n">
        <v>1</v>
      </c>
      <c r="B405" s="5" t="n">
        <v>7</v>
      </c>
      <c r="C405" s="5" t="s">
        <v>128</v>
      </c>
      <c r="D405" s="5" t="s">
        <v>298</v>
      </c>
      <c r="E405" s="5" t="n">
        <v>1</v>
      </c>
      <c r="F405" s="6" t="n">
        <f aca="false">IFERROR(MATCH(A405&amp;"|"&amp;B405&amp;"|"&amp;D405,'All Song Rankings'!$T:$T,0),0)</f>
        <v>65</v>
      </c>
      <c r="G405" s="6" t="str">
        <f aca="false">IF(F405=0,"NOT FOUND",INDEX('All Song Rankings'!$A:$A,F405))</f>
        <v>Perfect Strangers</v>
      </c>
      <c r="H405" s="6" t="str">
        <f aca="false">IF(F405=0,"NOT FOUND",INDEX('All Song Rankings'!$B:$B,F405))</f>
        <v>Jonas Blue</v>
      </c>
      <c r="I405" s="6" t="str">
        <f aca="false">IF(F405=0,"NOT FOUND",INDEX('All Song Rankings'!$D:$D,F405))</f>
        <v>Kelsey</v>
      </c>
      <c r="J405" s="7" t="str">
        <f aca="false">IF(F405=0,"NOT FOUND",IF(C405=I405,"SELF-VOTE",IF(COUNTIF($K:$K,K405)&gt;1,"DUPLICATE","OK")))</f>
        <v>OK</v>
      </c>
      <c r="K405" s="6" t="str">
        <f aca="false">A405&amp;"|"&amp;B405&amp;"|"&amp;C405&amp;"|"&amp;D405</f>
        <v>1|7|Logan|spotify:track:3hDFOFjGIFwlSmCO6b39M4</v>
      </c>
    </row>
    <row r="406" customFormat="false" ht="15" hidden="false" customHeight="false" outlineLevel="0" collapsed="false">
      <c r="A406" s="5" t="n">
        <v>1</v>
      </c>
      <c r="B406" s="5" t="n">
        <v>7</v>
      </c>
      <c r="C406" s="5" t="s">
        <v>128</v>
      </c>
      <c r="D406" s="5" t="s">
        <v>317</v>
      </c>
      <c r="E406" s="5" t="n">
        <v>3</v>
      </c>
      <c r="F406" s="6" t="n">
        <f aca="false">IFERROR(MATCH(A406&amp;"|"&amp;B406&amp;"|"&amp;D406,'All Song Rankings'!$T:$T,0),0)</f>
        <v>71</v>
      </c>
      <c r="G406" s="6" t="str">
        <f aca="false">IF(F406=0,"NOT FOUND",INDEX('All Song Rankings'!$A:$A,F406))</f>
        <v>Memories We'll Never Make</v>
      </c>
      <c r="H406" s="6" t="str">
        <f aca="false">IF(F406=0,"NOT FOUND",INDEX('All Song Rankings'!$B:$B,F406))</f>
        <v>Michael Minelli</v>
      </c>
      <c r="I406" s="6" t="str">
        <f aca="false">IF(F406=0,"NOT FOUND",INDEX('All Song Rankings'!$D:$D,F406))</f>
        <v>Collin</v>
      </c>
      <c r="J406" s="7" t="str">
        <f aca="false">IF(F406=0,"NOT FOUND",IF(C406=I406,"SELF-VOTE",IF(COUNTIF($K:$K,K406)&gt;1,"DUPLICATE","OK")))</f>
        <v>OK</v>
      </c>
      <c r="K406" s="6" t="str">
        <f aca="false">A406&amp;"|"&amp;B406&amp;"|"&amp;C406&amp;"|"&amp;D406</f>
        <v>1|7|Logan|spotify:track:4ddEGm8Wj9ArZ9Pk21mxdK</v>
      </c>
    </row>
    <row r="407" customFormat="false" ht="15" hidden="false" customHeight="false" outlineLevel="0" collapsed="false">
      <c r="A407" s="5" t="n">
        <v>1</v>
      </c>
      <c r="B407" s="5" t="n">
        <v>7</v>
      </c>
      <c r="C407" s="5" t="s">
        <v>128</v>
      </c>
      <c r="D407" s="5" t="s">
        <v>305</v>
      </c>
      <c r="E407" s="5" t="n">
        <v>2</v>
      </c>
      <c r="F407" s="6" t="n">
        <f aca="false">IFERROR(MATCH(A407&amp;"|"&amp;B407&amp;"|"&amp;D407,'All Song Rankings'!$T:$T,0),0)</f>
        <v>67</v>
      </c>
      <c r="G407" s="6" t="str">
        <f aca="false">IF(F407=0,"NOT FOUND",INDEX('All Song Rankings'!$A:$A,F407))</f>
        <v>WOKE UP</v>
      </c>
      <c r="H407" s="6" t="str">
        <f aca="false">IF(F407=0,"NOT FOUND",INDEX('All Song Rankings'!$B:$B,F407))</f>
        <v>XG</v>
      </c>
      <c r="I407" s="6" t="str">
        <f aca="false">IF(F407=0,"NOT FOUND",INDEX('All Song Rankings'!$D:$D,F407))</f>
        <v>Maryann</v>
      </c>
      <c r="J407" s="7" t="str">
        <f aca="false">IF(F407=0,"NOT FOUND",IF(C407=I407,"SELF-VOTE",IF(COUNTIF($K:$K,K407)&gt;1,"DUPLICATE","OK")))</f>
        <v>OK</v>
      </c>
      <c r="K407" s="6" t="str">
        <f aca="false">A407&amp;"|"&amp;B407&amp;"|"&amp;C407&amp;"|"&amp;D407</f>
        <v>1|7|Logan|spotify:track:4keuUM29CtIWgsPRzRhXoW</v>
      </c>
    </row>
    <row r="408" customFormat="false" ht="15" hidden="false" customHeight="false" outlineLevel="0" collapsed="false">
      <c r="A408" s="5" t="n">
        <v>1</v>
      </c>
      <c r="B408" s="5" t="n">
        <v>7</v>
      </c>
      <c r="C408" s="5" t="s">
        <v>128</v>
      </c>
      <c r="D408" s="5" t="s">
        <v>314</v>
      </c>
      <c r="E408" s="5" t="n">
        <v>2</v>
      </c>
      <c r="F408" s="6" t="n">
        <f aca="false">IFERROR(MATCH(A408&amp;"|"&amp;B408&amp;"|"&amp;D408,'All Song Rankings'!$T:$T,0),0)</f>
        <v>70</v>
      </c>
      <c r="G408" s="6" t="str">
        <f aca="false">IF(F408=0,"NOT FOUND",INDEX('All Song Rankings'!$A:$A,F408))</f>
        <v>TGTBT</v>
      </c>
      <c r="H408" s="6" t="str">
        <f aca="false">IF(F408=0,"NOT FOUND",INDEX('All Song Rankings'!$B:$B,F408))</f>
        <v>Lily Mae Harrington</v>
      </c>
      <c r="I408" s="6" t="str">
        <f aca="false">IF(F408=0,"NOT FOUND",INDEX('All Song Rankings'!$D:$D,F408))</f>
        <v>Leah</v>
      </c>
      <c r="J408" s="7" t="str">
        <f aca="false">IF(F408=0,"NOT FOUND",IF(C408=I408,"SELF-VOTE",IF(COUNTIF($K:$K,K408)&gt;1,"DUPLICATE","OK")))</f>
        <v>OK</v>
      </c>
      <c r="K408" s="6" t="str">
        <f aca="false">A408&amp;"|"&amp;B408&amp;"|"&amp;C408&amp;"|"&amp;D408</f>
        <v>1|7|Logan|spotify:track:5CYdANFs8Gz4ho3tN61Bjz</v>
      </c>
    </row>
    <row r="409" customFormat="false" ht="15" hidden="false" customHeight="false" outlineLevel="0" collapsed="false">
      <c r="A409" s="5" t="n">
        <v>1</v>
      </c>
      <c r="B409" s="5" t="n">
        <v>7</v>
      </c>
      <c r="C409" s="5" t="s">
        <v>128</v>
      </c>
      <c r="D409" s="5" t="s">
        <v>308</v>
      </c>
      <c r="E409" s="5" t="n">
        <v>2</v>
      </c>
      <c r="F409" s="6" t="n">
        <f aca="false">IFERROR(MATCH(A409&amp;"|"&amp;B409&amp;"|"&amp;D409,'All Song Rankings'!$T:$T,0),0)</f>
        <v>68</v>
      </c>
      <c r="G409" s="6" t="str">
        <f aca="false">IF(F409=0,"NOT FOUND",INDEX('All Song Rankings'!$A:$A,F409))</f>
        <v>So Beautiful</v>
      </c>
      <c r="H409" s="6" t="str">
        <f aca="false">IF(F409=0,"NOT FOUND",INDEX('All Song Rankings'!$B:$B,F409))</f>
        <v>DPR IAN</v>
      </c>
      <c r="I409" s="6" t="str">
        <f aca="false">IF(F409=0,"NOT FOUND",INDEX('All Song Rankings'!$D:$D,F409))</f>
        <v>Merita</v>
      </c>
      <c r="J409" s="7" t="str">
        <f aca="false">IF(F409=0,"NOT FOUND",IF(C409=I409,"SELF-VOTE",IF(COUNTIF($K:$K,K409)&gt;1,"DUPLICATE","OK")))</f>
        <v>OK</v>
      </c>
      <c r="K409" s="6" t="str">
        <f aca="false">A409&amp;"|"&amp;B409&amp;"|"&amp;C409&amp;"|"&amp;D409</f>
        <v>1|7|Logan|spotify:track:6syar8JKCt3R9ZBl11zmgI</v>
      </c>
    </row>
    <row r="410" customFormat="false" ht="15" hidden="false" customHeight="false" outlineLevel="0" collapsed="false">
      <c r="A410" s="5" t="n">
        <v>1</v>
      </c>
      <c r="B410" s="5" t="n">
        <v>7</v>
      </c>
      <c r="C410" s="5" t="s">
        <v>133</v>
      </c>
      <c r="D410" s="5" t="s">
        <v>295</v>
      </c>
      <c r="E410" s="5" t="n">
        <v>2</v>
      </c>
      <c r="F410" s="6" t="n">
        <f aca="false">IFERROR(MATCH(A410&amp;"|"&amp;B410&amp;"|"&amp;D410,'All Song Rankings'!$T:$T,0),0)</f>
        <v>64</v>
      </c>
      <c r="G410" s="6" t="str">
        <f aca="false">IF(F410=0,"NOT FOUND",INDEX('All Song Rankings'!$A:$A,F410))</f>
        <v>Dancing on Glass</v>
      </c>
      <c r="H410" s="6" t="str">
        <f aca="false">IF(F410=0,"NOT FOUND",INDEX('All Song Rankings'!$B:$B,F410))</f>
        <v>St. Lucia</v>
      </c>
      <c r="I410" s="6" t="str">
        <f aca="false">IF(F410=0,"NOT FOUND",INDEX('All Song Rankings'!$D:$D,F410))</f>
        <v>Stephanie</v>
      </c>
      <c r="J410" s="7" t="str">
        <f aca="false">IF(F410=0,"NOT FOUND",IF(C410=I410,"SELF-VOTE",IF(COUNTIF($K:$K,K410)&gt;1,"DUPLICATE","OK")))</f>
        <v>OK</v>
      </c>
      <c r="K410" s="6" t="str">
        <f aca="false">A410&amp;"|"&amp;B410&amp;"|"&amp;C410&amp;"|"&amp;D410</f>
        <v>1|7|Maryann|spotify:track:0aersVHlGGXcHeRvHtuaSt</v>
      </c>
    </row>
    <row r="411" customFormat="false" ht="15" hidden="false" customHeight="false" outlineLevel="0" collapsed="false">
      <c r="A411" s="5" t="n">
        <v>1</v>
      </c>
      <c r="B411" s="5" t="n">
        <v>7</v>
      </c>
      <c r="C411" s="5" t="s">
        <v>133</v>
      </c>
      <c r="D411" s="5" t="s">
        <v>301</v>
      </c>
      <c r="E411" s="5" t="n">
        <v>2</v>
      </c>
      <c r="F411" s="6" t="n">
        <f aca="false">IFERROR(MATCH(A411&amp;"|"&amp;B411&amp;"|"&amp;D411,'All Song Rankings'!$T:$T,0),0)</f>
        <v>66</v>
      </c>
      <c r="G411" s="6" t="str">
        <f aca="false">IF(F411=0,"NOT FOUND",INDEX('All Song Rankings'!$A:$A,F411))</f>
        <v>September Song</v>
      </c>
      <c r="H411" s="6" t="str">
        <f aca="false">IF(F411=0,"NOT FOUND",INDEX('All Song Rankings'!$B:$B,F411))</f>
        <v>JP Cooper</v>
      </c>
      <c r="I411" s="6" t="str">
        <f aca="false">IF(F411=0,"NOT FOUND",INDEX('All Song Rankings'!$D:$D,F411))</f>
        <v>Logan</v>
      </c>
      <c r="J411" s="7" t="str">
        <f aca="false">IF(F411=0,"NOT FOUND",IF(C411=I411,"SELF-VOTE",IF(COUNTIF($K:$K,K411)&gt;1,"DUPLICATE","OK")))</f>
        <v>OK</v>
      </c>
      <c r="K411" s="6" t="str">
        <f aca="false">A411&amp;"|"&amp;B411&amp;"|"&amp;C411&amp;"|"&amp;D411</f>
        <v>1|7|Maryann|spotify:track:0zbzrhfVS9S2TszW3wLQZ7</v>
      </c>
    </row>
    <row r="412" customFormat="false" ht="15" hidden="false" customHeight="false" outlineLevel="0" collapsed="false">
      <c r="A412" s="5" t="n">
        <v>1</v>
      </c>
      <c r="B412" s="5" t="n">
        <v>7</v>
      </c>
      <c r="C412" s="5" t="s">
        <v>133</v>
      </c>
      <c r="D412" s="5" t="s">
        <v>298</v>
      </c>
      <c r="E412" s="5" t="n">
        <v>4</v>
      </c>
      <c r="F412" s="6" t="n">
        <f aca="false">IFERROR(MATCH(A412&amp;"|"&amp;B412&amp;"|"&amp;D412,'All Song Rankings'!$T:$T,0),0)</f>
        <v>65</v>
      </c>
      <c r="G412" s="6" t="str">
        <f aca="false">IF(F412=0,"NOT FOUND",INDEX('All Song Rankings'!$A:$A,F412))</f>
        <v>Perfect Strangers</v>
      </c>
      <c r="H412" s="6" t="str">
        <f aca="false">IF(F412=0,"NOT FOUND",INDEX('All Song Rankings'!$B:$B,F412))</f>
        <v>Jonas Blue</v>
      </c>
      <c r="I412" s="6" t="str">
        <f aca="false">IF(F412=0,"NOT FOUND",INDEX('All Song Rankings'!$D:$D,F412))</f>
        <v>Kelsey</v>
      </c>
      <c r="J412" s="7" t="str">
        <f aca="false">IF(F412=0,"NOT FOUND",IF(C412=I412,"SELF-VOTE",IF(COUNTIF($K:$K,K412)&gt;1,"DUPLICATE","OK")))</f>
        <v>OK</v>
      </c>
      <c r="K412" s="6" t="str">
        <f aca="false">A412&amp;"|"&amp;B412&amp;"|"&amp;C412&amp;"|"&amp;D412</f>
        <v>1|7|Maryann|spotify:track:3hDFOFjGIFwlSmCO6b39M4</v>
      </c>
    </row>
    <row r="413" customFormat="false" ht="15" hidden="false" customHeight="false" outlineLevel="0" collapsed="false">
      <c r="A413" s="5" t="n">
        <v>1</v>
      </c>
      <c r="B413" s="5" t="n">
        <v>7</v>
      </c>
      <c r="C413" s="5" t="s">
        <v>133</v>
      </c>
      <c r="D413" s="5" t="s">
        <v>311</v>
      </c>
      <c r="E413" s="5" t="n">
        <v>2</v>
      </c>
      <c r="F413" s="6" t="n">
        <f aca="false">IFERROR(MATCH(A413&amp;"|"&amp;B413&amp;"|"&amp;D413,'All Song Rankings'!$T:$T,0),0)</f>
        <v>69</v>
      </c>
      <c r="G413" s="6" t="str">
        <f aca="false">IF(F413=0,"NOT FOUND",INDEX('All Song Rankings'!$A:$A,F413))</f>
        <v>if i never</v>
      </c>
      <c r="H413" s="6" t="str">
        <f aca="false">IF(F413=0,"NOT FOUND",INDEX('All Song Rankings'!$B:$B,F413))</f>
        <v>Jessica Baio</v>
      </c>
      <c r="I413" s="6" t="str">
        <f aca="false">IF(F413=0,"NOT FOUND",INDEX('All Song Rankings'!$D:$D,F413))</f>
        <v>Olivia</v>
      </c>
      <c r="J413" s="7" t="str">
        <f aca="false">IF(F413=0,"NOT FOUND",IF(C413=I413,"SELF-VOTE",IF(COUNTIF($K:$K,K413)&gt;1,"DUPLICATE","OK")))</f>
        <v>OK</v>
      </c>
      <c r="K413" s="6" t="str">
        <f aca="false">A413&amp;"|"&amp;B413&amp;"|"&amp;C413&amp;"|"&amp;D413</f>
        <v>1|7|Maryann|spotify:track:72bcYTJEHG7tNIdhmUYGht</v>
      </c>
    </row>
    <row r="414" customFormat="false" ht="15" hidden="false" customHeight="false" outlineLevel="0" collapsed="false">
      <c r="A414" s="5" t="n">
        <v>1</v>
      </c>
      <c r="B414" s="5" t="n">
        <v>7</v>
      </c>
      <c r="C414" s="5" t="s">
        <v>116</v>
      </c>
      <c r="D414" s="5" t="s">
        <v>295</v>
      </c>
      <c r="E414" s="5" t="n">
        <v>2</v>
      </c>
      <c r="F414" s="6" t="n">
        <f aca="false">IFERROR(MATCH(A414&amp;"|"&amp;B414&amp;"|"&amp;D414,'All Song Rankings'!$T:$T,0),0)</f>
        <v>64</v>
      </c>
      <c r="G414" s="6" t="str">
        <f aca="false">IF(F414=0,"NOT FOUND",INDEX('All Song Rankings'!$A:$A,F414))</f>
        <v>Dancing on Glass</v>
      </c>
      <c r="H414" s="6" t="str">
        <f aca="false">IF(F414=0,"NOT FOUND",INDEX('All Song Rankings'!$B:$B,F414))</f>
        <v>St. Lucia</v>
      </c>
      <c r="I414" s="6" t="str">
        <f aca="false">IF(F414=0,"NOT FOUND",INDEX('All Song Rankings'!$D:$D,F414))</f>
        <v>Stephanie</v>
      </c>
      <c r="J414" s="7" t="str">
        <f aca="false">IF(F414=0,"NOT FOUND",IF(C414=I414,"SELF-VOTE",IF(COUNTIF($K:$K,K414)&gt;1,"DUPLICATE","OK")))</f>
        <v>OK</v>
      </c>
      <c r="K414" s="6" t="str">
        <f aca="false">A414&amp;"|"&amp;B414&amp;"|"&amp;C414&amp;"|"&amp;D414</f>
        <v>1|7|Matt|spotify:track:0aersVHlGGXcHeRvHtuaSt</v>
      </c>
    </row>
    <row r="415" customFormat="false" ht="15" hidden="false" customHeight="false" outlineLevel="0" collapsed="false">
      <c r="A415" s="5" t="n">
        <v>1</v>
      </c>
      <c r="B415" s="5" t="n">
        <v>7</v>
      </c>
      <c r="C415" s="5" t="s">
        <v>116</v>
      </c>
      <c r="D415" s="5" t="s">
        <v>320</v>
      </c>
      <c r="E415" s="5" t="n">
        <v>1</v>
      </c>
      <c r="F415" s="6" t="n">
        <f aca="false">IFERROR(MATCH(A415&amp;"|"&amp;B415&amp;"|"&amp;D415,'All Song Rankings'!$T:$T,0),0)</f>
        <v>72</v>
      </c>
      <c r="G415" s="6" t="str">
        <f aca="false">IF(F415=0,"NOT FOUND",INDEX('All Song Rankings'!$A:$A,F415))</f>
        <v>Wasted &amp; Ready</v>
      </c>
      <c r="H415" s="6" t="str">
        <f aca="false">IF(F415=0,"NOT FOUND",INDEX('All Song Rankings'!$B:$B,F415))</f>
        <v>Ben Kweller</v>
      </c>
      <c r="I415" s="6" t="str">
        <f aca="false">IF(F415=0,"NOT FOUND",INDEX('All Song Rankings'!$D:$D,F415))</f>
        <v>Nicole</v>
      </c>
      <c r="J415" s="7" t="str">
        <f aca="false">IF(F415=0,"NOT FOUND",IF(C415=I415,"SELF-VOTE",IF(COUNTIF($K:$K,K415)&gt;1,"DUPLICATE","OK")))</f>
        <v>OK</v>
      </c>
      <c r="K415" s="6" t="str">
        <f aca="false">A415&amp;"|"&amp;B415&amp;"|"&amp;C415&amp;"|"&amp;D415</f>
        <v>1|7|Matt|spotify:track:0m4Am92jGJ03JbiOkJ0ta8</v>
      </c>
    </row>
    <row r="416" customFormat="false" ht="15" hidden="false" customHeight="false" outlineLevel="0" collapsed="false">
      <c r="A416" s="5" t="n">
        <v>1</v>
      </c>
      <c r="B416" s="5" t="n">
        <v>7</v>
      </c>
      <c r="C416" s="5" t="s">
        <v>116</v>
      </c>
      <c r="D416" s="5" t="s">
        <v>301</v>
      </c>
      <c r="E416" s="5" t="n">
        <v>2</v>
      </c>
      <c r="F416" s="6" t="n">
        <f aca="false">IFERROR(MATCH(A416&amp;"|"&amp;B416&amp;"|"&amp;D416,'All Song Rankings'!$T:$T,0),0)</f>
        <v>66</v>
      </c>
      <c r="G416" s="6" t="str">
        <f aca="false">IF(F416=0,"NOT FOUND",INDEX('All Song Rankings'!$A:$A,F416))</f>
        <v>September Song</v>
      </c>
      <c r="H416" s="6" t="str">
        <f aca="false">IF(F416=0,"NOT FOUND",INDEX('All Song Rankings'!$B:$B,F416))</f>
        <v>JP Cooper</v>
      </c>
      <c r="I416" s="6" t="str">
        <f aca="false">IF(F416=0,"NOT FOUND",INDEX('All Song Rankings'!$D:$D,F416))</f>
        <v>Logan</v>
      </c>
      <c r="J416" s="7" t="str">
        <f aca="false">IF(F416=0,"NOT FOUND",IF(C416=I416,"SELF-VOTE",IF(COUNTIF($K:$K,K416)&gt;1,"DUPLICATE","OK")))</f>
        <v>OK</v>
      </c>
      <c r="K416" s="6" t="str">
        <f aca="false">A416&amp;"|"&amp;B416&amp;"|"&amp;C416&amp;"|"&amp;D416</f>
        <v>1|7|Matt|spotify:track:0zbzrhfVS9S2TszW3wLQZ7</v>
      </c>
    </row>
    <row r="417" customFormat="false" ht="15" hidden="false" customHeight="false" outlineLevel="0" collapsed="false">
      <c r="A417" s="5" t="n">
        <v>1</v>
      </c>
      <c r="B417" s="5" t="n">
        <v>7</v>
      </c>
      <c r="C417" s="5" t="s">
        <v>116</v>
      </c>
      <c r="D417" s="5" t="s">
        <v>305</v>
      </c>
      <c r="E417" s="5" t="n">
        <v>2</v>
      </c>
      <c r="F417" s="6" t="n">
        <f aca="false">IFERROR(MATCH(A417&amp;"|"&amp;B417&amp;"|"&amp;D417,'All Song Rankings'!$T:$T,0),0)</f>
        <v>67</v>
      </c>
      <c r="G417" s="6" t="str">
        <f aca="false">IF(F417=0,"NOT FOUND",INDEX('All Song Rankings'!$A:$A,F417))</f>
        <v>WOKE UP</v>
      </c>
      <c r="H417" s="6" t="str">
        <f aca="false">IF(F417=0,"NOT FOUND",INDEX('All Song Rankings'!$B:$B,F417))</f>
        <v>XG</v>
      </c>
      <c r="I417" s="6" t="str">
        <f aca="false">IF(F417=0,"NOT FOUND",INDEX('All Song Rankings'!$D:$D,F417))</f>
        <v>Maryann</v>
      </c>
      <c r="J417" s="7" t="str">
        <f aca="false">IF(F417=0,"NOT FOUND",IF(C417=I417,"SELF-VOTE",IF(COUNTIF($K:$K,K417)&gt;1,"DUPLICATE","OK")))</f>
        <v>OK</v>
      </c>
      <c r="K417" s="6" t="str">
        <f aca="false">A417&amp;"|"&amp;B417&amp;"|"&amp;C417&amp;"|"&amp;D417</f>
        <v>1|7|Matt|spotify:track:4keuUM29CtIWgsPRzRhXoW</v>
      </c>
    </row>
    <row r="418" customFormat="false" ht="15" hidden="false" customHeight="false" outlineLevel="0" collapsed="false">
      <c r="A418" s="5" t="n">
        <v>1</v>
      </c>
      <c r="B418" s="5" t="n">
        <v>7</v>
      </c>
      <c r="C418" s="5" t="s">
        <v>116</v>
      </c>
      <c r="D418" s="5" t="s">
        <v>314</v>
      </c>
      <c r="E418" s="5" t="n">
        <v>1</v>
      </c>
      <c r="F418" s="6" t="n">
        <f aca="false">IFERROR(MATCH(A418&amp;"|"&amp;B418&amp;"|"&amp;D418,'All Song Rankings'!$T:$T,0),0)</f>
        <v>70</v>
      </c>
      <c r="G418" s="6" t="str">
        <f aca="false">IF(F418=0,"NOT FOUND",INDEX('All Song Rankings'!$A:$A,F418))</f>
        <v>TGTBT</v>
      </c>
      <c r="H418" s="6" t="str">
        <f aca="false">IF(F418=0,"NOT FOUND",INDEX('All Song Rankings'!$B:$B,F418))</f>
        <v>Lily Mae Harrington</v>
      </c>
      <c r="I418" s="6" t="str">
        <f aca="false">IF(F418=0,"NOT FOUND",INDEX('All Song Rankings'!$D:$D,F418))</f>
        <v>Leah</v>
      </c>
      <c r="J418" s="7" t="str">
        <f aca="false">IF(F418=0,"NOT FOUND",IF(C418=I418,"SELF-VOTE",IF(COUNTIF($K:$K,K418)&gt;1,"DUPLICATE","OK")))</f>
        <v>OK</v>
      </c>
      <c r="K418" s="6" t="str">
        <f aca="false">A418&amp;"|"&amp;B418&amp;"|"&amp;C418&amp;"|"&amp;D418</f>
        <v>1|7|Matt|spotify:track:5CYdANFs8Gz4ho3tN61Bjz</v>
      </c>
    </row>
    <row r="419" customFormat="false" ht="15" hidden="false" customHeight="false" outlineLevel="0" collapsed="false">
      <c r="A419" s="5" t="n">
        <v>1</v>
      </c>
      <c r="B419" s="5" t="n">
        <v>7</v>
      </c>
      <c r="C419" s="5" t="s">
        <v>116</v>
      </c>
      <c r="D419" s="5" t="s">
        <v>308</v>
      </c>
      <c r="E419" s="5" t="n">
        <v>1</v>
      </c>
      <c r="F419" s="6" t="n">
        <f aca="false">IFERROR(MATCH(A419&amp;"|"&amp;B419&amp;"|"&amp;D419,'All Song Rankings'!$T:$T,0),0)</f>
        <v>68</v>
      </c>
      <c r="G419" s="6" t="str">
        <f aca="false">IF(F419=0,"NOT FOUND",INDEX('All Song Rankings'!$A:$A,F419))</f>
        <v>So Beautiful</v>
      </c>
      <c r="H419" s="6" t="str">
        <f aca="false">IF(F419=0,"NOT FOUND",INDEX('All Song Rankings'!$B:$B,F419))</f>
        <v>DPR IAN</v>
      </c>
      <c r="I419" s="6" t="str">
        <f aca="false">IF(F419=0,"NOT FOUND",INDEX('All Song Rankings'!$D:$D,F419))</f>
        <v>Merita</v>
      </c>
      <c r="J419" s="7" t="str">
        <f aca="false">IF(F419=0,"NOT FOUND",IF(C419=I419,"SELF-VOTE",IF(COUNTIF($K:$K,K419)&gt;1,"DUPLICATE","OK")))</f>
        <v>OK</v>
      </c>
      <c r="K419" s="6" t="str">
        <f aca="false">A419&amp;"|"&amp;B419&amp;"|"&amp;C419&amp;"|"&amp;D419</f>
        <v>1|7|Matt|spotify:track:6syar8JKCt3R9ZBl11zmgI</v>
      </c>
    </row>
    <row r="420" customFormat="false" ht="15" hidden="false" customHeight="false" outlineLevel="0" collapsed="false">
      <c r="A420" s="5" t="n">
        <v>1</v>
      </c>
      <c r="B420" s="5" t="n">
        <v>7</v>
      </c>
      <c r="C420" s="5" t="s">
        <v>116</v>
      </c>
      <c r="D420" s="5" t="s">
        <v>311</v>
      </c>
      <c r="E420" s="5" t="n">
        <v>1</v>
      </c>
      <c r="F420" s="6" t="n">
        <f aca="false">IFERROR(MATCH(A420&amp;"|"&amp;B420&amp;"|"&amp;D420,'All Song Rankings'!$T:$T,0),0)</f>
        <v>69</v>
      </c>
      <c r="G420" s="6" t="str">
        <f aca="false">IF(F420=0,"NOT FOUND",INDEX('All Song Rankings'!$A:$A,F420))</f>
        <v>if i never</v>
      </c>
      <c r="H420" s="6" t="str">
        <f aca="false">IF(F420=0,"NOT FOUND",INDEX('All Song Rankings'!$B:$B,F420))</f>
        <v>Jessica Baio</v>
      </c>
      <c r="I420" s="6" t="str">
        <f aca="false">IF(F420=0,"NOT FOUND",INDEX('All Song Rankings'!$D:$D,F420))</f>
        <v>Olivia</v>
      </c>
      <c r="J420" s="7" t="str">
        <f aca="false">IF(F420=0,"NOT FOUND",IF(C420=I420,"SELF-VOTE",IF(COUNTIF($K:$K,K420)&gt;1,"DUPLICATE","OK")))</f>
        <v>OK</v>
      </c>
      <c r="K420" s="6" t="str">
        <f aca="false">A420&amp;"|"&amp;B420&amp;"|"&amp;C420&amp;"|"&amp;D420</f>
        <v>1|7|Matt|spotify:track:72bcYTJEHG7tNIdhmUYGht</v>
      </c>
    </row>
    <row r="421" customFormat="false" ht="15" hidden="false" customHeight="false" outlineLevel="0" collapsed="false">
      <c r="A421" s="5" t="n">
        <v>1</v>
      </c>
      <c r="B421" s="5" t="n">
        <v>7</v>
      </c>
      <c r="C421" s="5" t="s">
        <v>101</v>
      </c>
      <c r="D421" s="5" t="s">
        <v>295</v>
      </c>
      <c r="E421" s="5" t="n">
        <v>1</v>
      </c>
      <c r="F421" s="6" t="n">
        <f aca="false">IFERROR(MATCH(A421&amp;"|"&amp;B421&amp;"|"&amp;D421,'All Song Rankings'!$T:$T,0),0)</f>
        <v>64</v>
      </c>
      <c r="G421" s="6" t="str">
        <f aca="false">IF(F421=0,"NOT FOUND",INDEX('All Song Rankings'!$A:$A,F421))</f>
        <v>Dancing on Glass</v>
      </c>
      <c r="H421" s="6" t="str">
        <f aca="false">IF(F421=0,"NOT FOUND",INDEX('All Song Rankings'!$B:$B,F421))</f>
        <v>St. Lucia</v>
      </c>
      <c r="I421" s="6" t="str">
        <f aca="false">IF(F421=0,"NOT FOUND",INDEX('All Song Rankings'!$D:$D,F421))</f>
        <v>Stephanie</v>
      </c>
      <c r="J421" s="7" t="str">
        <f aca="false">IF(F421=0,"NOT FOUND",IF(C421=I421,"SELF-VOTE",IF(COUNTIF($K:$K,K421)&gt;1,"DUPLICATE","OK")))</f>
        <v>OK</v>
      </c>
      <c r="K421" s="6" t="str">
        <f aca="false">A421&amp;"|"&amp;B421&amp;"|"&amp;C421&amp;"|"&amp;D421</f>
        <v>1|7|Merita|spotify:track:0aersVHlGGXcHeRvHtuaSt</v>
      </c>
    </row>
    <row r="422" customFormat="false" ht="15" hidden="false" customHeight="false" outlineLevel="0" collapsed="false">
      <c r="A422" s="5" t="n">
        <v>1</v>
      </c>
      <c r="B422" s="5" t="n">
        <v>7</v>
      </c>
      <c r="C422" s="5" t="s">
        <v>101</v>
      </c>
      <c r="D422" s="5" t="s">
        <v>320</v>
      </c>
      <c r="E422" s="5" t="n">
        <v>2</v>
      </c>
      <c r="F422" s="6" t="n">
        <f aca="false">IFERROR(MATCH(A422&amp;"|"&amp;B422&amp;"|"&amp;D422,'All Song Rankings'!$T:$T,0),0)</f>
        <v>72</v>
      </c>
      <c r="G422" s="6" t="str">
        <f aca="false">IF(F422=0,"NOT FOUND",INDEX('All Song Rankings'!$A:$A,F422))</f>
        <v>Wasted &amp; Ready</v>
      </c>
      <c r="H422" s="6" t="str">
        <f aca="false">IF(F422=0,"NOT FOUND",INDEX('All Song Rankings'!$B:$B,F422))</f>
        <v>Ben Kweller</v>
      </c>
      <c r="I422" s="6" t="str">
        <f aca="false">IF(F422=0,"NOT FOUND",INDEX('All Song Rankings'!$D:$D,F422))</f>
        <v>Nicole</v>
      </c>
      <c r="J422" s="7" t="str">
        <f aca="false">IF(F422=0,"NOT FOUND",IF(C422=I422,"SELF-VOTE",IF(COUNTIF($K:$K,K422)&gt;1,"DUPLICATE","OK")))</f>
        <v>OK</v>
      </c>
      <c r="K422" s="6" t="str">
        <f aca="false">A422&amp;"|"&amp;B422&amp;"|"&amp;C422&amp;"|"&amp;D422</f>
        <v>1|7|Merita|spotify:track:0m4Am92jGJ03JbiOkJ0ta8</v>
      </c>
    </row>
    <row r="423" customFormat="false" ht="15" hidden="false" customHeight="false" outlineLevel="0" collapsed="false">
      <c r="A423" s="5" t="n">
        <v>1</v>
      </c>
      <c r="B423" s="5" t="n">
        <v>7</v>
      </c>
      <c r="C423" s="5" t="s">
        <v>101</v>
      </c>
      <c r="D423" s="5" t="s">
        <v>323</v>
      </c>
      <c r="E423" s="5" t="n">
        <v>1</v>
      </c>
      <c r="F423" s="6" t="n">
        <f aca="false">IFERROR(MATCH(A423&amp;"|"&amp;B423&amp;"|"&amp;D423,'All Song Rankings'!$T:$T,0),0)</f>
        <v>73</v>
      </c>
      <c r="G423" s="6" t="str">
        <f aca="false">IF(F423=0,"NOT FOUND",INDEX('All Song Rankings'!$A:$A,F423))</f>
        <v>Bright Bulbs &amp; Sharp Tools</v>
      </c>
      <c r="H423" s="6" t="str">
        <f aca="false">IF(F423=0,"NOT FOUND",INDEX('All Song Rankings'!$B:$B,F423))</f>
        <v>Fair To Midland</v>
      </c>
      <c r="I423" s="6" t="str">
        <f aca="false">IF(F423=0,"NOT FOUND",INDEX('All Song Rankings'!$D:$D,F423))</f>
        <v>Kristen</v>
      </c>
      <c r="J423" s="7" t="str">
        <f aca="false">IF(F423=0,"NOT FOUND",IF(C423=I423,"SELF-VOTE",IF(COUNTIF($K:$K,K423)&gt;1,"DUPLICATE","OK")))</f>
        <v>OK</v>
      </c>
      <c r="K423" s="6" t="str">
        <f aca="false">A423&amp;"|"&amp;B423&amp;"|"&amp;C423&amp;"|"&amp;D423</f>
        <v>1|7|Merita|spotify:track:3ECwNI9Pi4G4b8EypUwLNJ</v>
      </c>
    </row>
    <row r="424" customFormat="false" ht="15" hidden="false" customHeight="false" outlineLevel="0" collapsed="false">
      <c r="A424" s="5" t="n">
        <v>1</v>
      </c>
      <c r="B424" s="5" t="n">
        <v>7</v>
      </c>
      <c r="C424" s="5" t="s">
        <v>101</v>
      </c>
      <c r="D424" s="5" t="s">
        <v>317</v>
      </c>
      <c r="E424" s="5" t="n">
        <v>2</v>
      </c>
      <c r="F424" s="6" t="n">
        <f aca="false">IFERROR(MATCH(A424&amp;"|"&amp;B424&amp;"|"&amp;D424,'All Song Rankings'!$T:$T,0),0)</f>
        <v>71</v>
      </c>
      <c r="G424" s="6" t="str">
        <f aca="false">IF(F424=0,"NOT FOUND",INDEX('All Song Rankings'!$A:$A,F424))</f>
        <v>Memories We'll Never Make</v>
      </c>
      <c r="H424" s="6" t="str">
        <f aca="false">IF(F424=0,"NOT FOUND",INDEX('All Song Rankings'!$B:$B,F424))</f>
        <v>Michael Minelli</v>
      </c>
      <c r="I424" s="6" t="str">
        <f aca="false">IF(F424=0,"NOT FOUND",INDEX('All Song Rankings'!$D:$D,F424))</f>
        <v>Collin</v>
      </c>
      <c r="J424" s="7" t="str">
        <f aca="false">IF(F424=0,"NOT FOUND",IF(C424=I424,"SELF-VOTE",IF(COUNTIF($K:$K,K424)&gt;1,"DUPLICATE","OK")))</f>
        <v>OK</v>
      </c>
      <c r="K424" s="6" t="str">
        <f aca="false">A424&amp;"|"&amp;B424&amp;"|"&amp;C424&amp;"|"&amp;D424</f>
        <v>1|7|Merita|spotify:track:4ddEGm8Wj9ArZ9Pk21mxdK</v>
      </c>
    </row>
    <row r="425" customFormat="false" ht="15" hidden="false" customHeight="false" outlineLevel="0" collapsed="false">
      <c r="A425" s="5" t="n">
        <v>1</v>
      </c>
      <c r="B425" s="5" t="n">
        <v>7</v>
      </c>
      <c r="C425" s="5" t="s">
        <v>101</v>
      </c>
      <c r="D425" s="5" t="s">
        <v>305</v>
      </c>
      <c r="E425" s="5" t="n">
        <v>1</v>
      </c>
      <c r="F425" s="6" t="n">
        <f aca="false">IFERROR(MATCH(A425&amp;"|"&amp;B425&amp;"|"&amp;D425,'All Song Rankings'!$T:$T,0),0)</f>
        <v>67</v>
      </c>
      <c r="G425" s="6" t="str">
        <f aca="false">IF(F425=0,"NOT FOUND",INDEX('All Song Rankings'!$A:$A,F425))</f>
        <v>WOKE UP</v>
      </c>
      <c r="H425" s="6" t="str">
        <f aca="false">IF(F425=0,"NOT FOUND",INDEX('All Song Rankings'!$B:$B,F425))</f>
        <v>XG</v>
      </c>
      <c r="I425" s="6" t="str">
        <f aca="false">IF(F425=0,"NOT FOUND",INDEX('All Song Rankings'!$D:$D,F425))</f>
        <v>Maryann</v>
      </c>
      <c r="J425" s="7" t="str">
        <f aca="false">IF(F425=0,"NOT FOUND",IF(C425=I425,"SELF-VOTE",IF(COUNTIF($K:$K,K425)&gt;1,"DUPLICATE","OK")))</f>
        <v>OK</v>
      </c>
      <c r="K425" s="6" t="str">
        <f aca="false">A425&amp;"|"&amp;B425&amp;"|"&amp;C425&amp;"|"&amp;D425</f>
        <v>1|7|Merita|spotify:track:4keuUM29CtIWgsPRzRhXoW</v>
      </c>
    </row>
    <row r="426" customFormat="false" ht="15" hidden="false" customHeight="false" outlineLevel="0" collapsed="false">
      <c r="A426" s="5" t="n">
        <v>1</v>
      </c>
      <c r="B426" s="5" t="n">
        <v>7</v>
      </c>
      <c r="C426" s="5" t="s">
        <v>101</v>
      </c>
      <c r="D426" s="5" t="s">
        <v>326</v>
      </c>
      <c r="E426" s="5" t="n">
        <v>1</v>
      </c>
      <c r="F426" s="6" t="n">
        <f aca="false">IFERROR(MATCH(A426&amp;"|"&amp;B426&amp;"|"&amp;D426,'All Song Rankings'!$T:$T,0),0)</f>
        <v>74</v>
      </c>
      <c r="G426" s="6" t="str">
        <f aca="false">IF(F426=0,"NOT FOUND",INDEX('All Song Rankings'!$A:$A,F426))</f>
        <v>Portions for Foxes</v>
      </c>
      <c r="H426" s="6" t="str">
        <f aca="false">IF(F426=0,"NOT FOUND",INDEX('All Song Rankings'!$B:$B,F426))</f>
        <v>Rilo Kiley</v>
      </c>
      <c r="I426" s="6" t="str">
        <f aca="false">IF(F426=0,"NOT FOUND",INDEX('All Song Rankings'!$D:$D,F426))</f>
        <v>Matt</v>
      </c>
      <c r="J426" s="7" t="str">
        <f aca="false">IF(F426=0,"NOT FOUND",IF(C426=I426,"SELF-VOTE",IF(COUNTIF($K:$K,K426)&gt;1,"DUPLICATE","OK")))</f>
        <v>OK</v>
      </c>
      <c r="K426" s="6" t="str">
        <f aca="false">A426&amp;"|"&amp;B426&amp;"|"&amp;C426&amp;"|"&amp;D426</f>
        <v>1|7|Merita|spotify:track:4yY8JqTOQyi7K4O1QcQtBG</v>
      </c>
    </row>
    <row r="427" customFormat="false" ht="15" hidden="false" customHeight="false" outlineLevel="0" collapsed="false">
      <c r="A427" s="5" t="n">
        <v>1</v>
      </c>
      <c r="B427" s="5" t="n">
        <v>7</v>
      </c>
      <c r="C427" s="5" t="s">
        <v>101</v>
      </c>
      <c r="D427" s="5" t="s">
        <v>314</v>
      </c>
      <c r="E427" s="5" t="n">
        <v>2</v>
      </c>
      <c r="F427" s="6" t="n">
        <f aca="false">IFERROR(MATCH(A427&amp;"|"&amp;B427&amp;"|"&amp;D427,'All Song Rankings'!$T:$T,0),0)</f>
        <v>70</v>
      </c>
      <c r="G427" s="6" t="str">
        <f aca="false">IF(F427=0,"NOT FOUND",INDEX('All Song Rankings'!$A:$A,F427))</f>
        <v>TGTBT</v>
      </c>
      <c r="H427" s="6" t="str">
        <f aca="false">IF(F427=0,"NOT FOUND",INDEX('All Song Rankings'!$B:$B,F427))</f>
        <v>Lily Mae Harrington</v>
      </c>
      <c r="I427" s="6" t="str">
        <f aca="false">IF(F427=0,"NOT FOUND",INDEX('All Song Rankings'!$D:$D,F427))</f>
        <v>Leah</v>
      </c>
      <c r="J427" s="7" t="str">
        <f aca="false">IF(F427=0,"NOT FOUND",IF(C427=I427,"SELF-VOTE",IF(COUNTIF($K:$K,K427)&gt;1,"DUPLICATE","OK")))</f>
        <v>OK</v>
      </c>
      <c r="K427" s="6" t="str">
        <f aca="false">A427&amp;"|"&amp;B427&amp;"|"&amp;C427&amp;"|"&amp;D427</f>
        <v>1|7|Merita|spotify:track:5CYdANFs8Gz4ho3tN61Bjz</v>
      </c>
    </row>
    <row r="428" customFormat="false" ht="15" hidden="false" customHeight="false" outlineLevel="0" collapsed="false">
      <c r="A428" s="5" t="n">
        <v>1</v>
      </c>
      <c r="B428" s="5" t="n">
        <v>7</v>
      </c>
      <c r="C428" s="5" t="s">
        <v>92</v>
      </c>
      <c r="D428" s="5" t="s">
        <v>295</v>
      </c>
      <c r="E428" s="5" t="n">
        <v>3</v>
      </c>
      <c r="F428" s="6" t="n">
        <f aca="false">IFERROR(MATCH(A428&amp;"|"&amp;B428&amp;"|"&amp;D428,'All Song Rankings'!$T:$T,0),0)</f>
        <v>64</v>
      </c>
      <c r="G428" s="6" t="str">
        <f aca="false">IF(F428=0,"NOT FOUND",INDEX('All Song Rankings'!$A:$A,F428))</f>
        <v>Dancing on Glass</v>
      </c>
      <c r="H428" s="6" t="str">
        <f aca="false">IF(F428=0,"NOT FOUND",INDEX('All Song Rankings'!$B:$B,F428))</f>
        <v>St. Lucia</v>
      </c>
      <c r="I428" s="6" t="str">
        <f aca="false">IF(F428=0,"NOT FOUND",INDEX('All Song Rankings'!$D:$D,F428))</f>
        <v>Stephanie</v>
      </c>
      <c r="J428" s="7" t="str">
        <f aca="false">IF(F428=0,"NOT FOUND",IF(C428=I428,"SELF-VOTE",IF(COUNTIF($K:$K,K428)&gt;1,"DUPLICATE","OK")))</f>
        <v>OK</v>
      </c>
      <c r="K428" s="6" t="str">
        <f aca="false">A428&amp;"|"&amp;B428&amp;"|"&amp;C428&amp;"|"&amp;D428</f>
        <v>1|7|Nicole|spotify:track:0aersVHlGGXcHeRvHtuaSt</v>
      </c>
    </row>
    <row r="429" customFormat="false" ht="15" hidden="false" customHeight="false" outlineLevel="0" collapsed="false">
      <c r="A429" s="5" t="n">
        <v>1</v>
      </c>
      <c r="B429" s="5" t="n">
        <v>7</v>
      </c>
      <c r="C429" s="5" t="s">
        <v>92</v>
      </c>
      <c r="D429" s="5" t="s">
        <v>323</v>
      </c>
      <c r="E429" s="5" t="n">
        <v>1</v>
      </c>
      <c r="F429" s="6" t="n">
        <f aca="false">IFERROR(MATCH(A429&amp;"|"&amp;B429&amp;"|"&amp;D429,'All Song Rankings'!$T:$T,0),0)</f>
        <v>73</v>
      </c>
      <c r="G429" s="6" t="str">
        <f aca="false">IF(F429=0,"NOT FOUND",INDEX('All Song Rankings'!$A:$A,F429))</f>
        <v>Bright Bulbs &amp; Sharp Tools</v>
      </c>
      <c r="H429" s="6" t="str">
        <f aca="false">IF(F429=0,"NOT FOUND",INDEX('All Song Rankings'!$B:$B,F429))</f>
        <v>Fair To Midland</v>
      </c>
      <c r="I429" s="6" t="str">
        <f aca="false">IF(F429=0,"NOT FOUND",INDEX('All Song Rankings'!$D:$D,F429))</f>
        <v>Kristen</v>
      </c>
      <c r="J429" s="7" t="str">
        <f aca="false">IF(F429=0,"NOT FOUND",IF(C429=I429,"SELF-VOTE",IF(COUNTIF($K:$K,K429)&gt;1,"DUPLICATE","OK")))</f>
        <v>OK</v>
      </c>
      <c r="K429" s="6" t="str">
        <f aca="false">A429&amp;"|"&amp;B429&amp;"|"&amp;C429&amp;"|"&amp;D429</f>
        <v>1|7|Nicole|spotify:track:3ECwNI9Pi4G4b8EypUwLNJ</v>
      </c>
    </row>
    <row r="430" customFormat="false" ht="15" hidden="false" customHeight="false" outlineLevel="0" collapsed="false">
      <c r="A430" s="5" t="n">
        <v>1</v>
      </c>
      <c r="B430" s="5" t="n">
        <v>7</v>
      </c>
      <c r="C430" s="5" t="s">
        <v>92</v>
      </c>
      <c r="D430" s="5" t="s">
        <v>298</v>
      </c>
      <c r="E430" s="5" t="n">
        <v>1</v>
      </c>
      <c r="F430" s="6" t="n">
        <f aca="false">IFERROR(MATCH(A430&amp;"|"&amp;B430&amp;"|"&amp;D430,'All Song Rankings'!$T:$T,0),0)</f>
        <v>65</v>
      </c>
      <c r="G430" s="6" t="str">
        <f aca="false">IF(F430=0,"NOT FOUND",INDEX('All Song Rankings'!$A:$A,F430))</f>
        <v>Perfect Strangers</v>
      </c>
      <c r="H430" s="6" t="str">
        <f aca="false">IF(F430=0,"NOT FOUND",INDEX('All Song Rankings'!$B:$B,F430))</f>
        <v>Jonas Blue</v>
      </c>
      <c r="I430" s="6" t="str">
        <f aca="false">IF(F430=0,"NOT FOUND",INDEX('All Song Rankings'!$D:$D,F430))</f>
        <v>Kelsey</v>
      </c>
      <c r="J430" s="7" t="str">
        <f aca="false">IF(F430=0,"NOT FOUND",IF(C430=I430,"SELF-VOTE",IF(COUNTIF($K:$K,K430)&gt;1,"DUPLICATE","OK")))</f>
        <v>OK</v>
      </c>
      <c r="K430" s="6" t="str">
        <f aca="false">A430&amp;"|"&amp;B430&amp;"|"&amp;C430&amp;"|"&amp;D430</f>
        <v>1|7|Nicole|spotify:track:3hDFOFjGIFwlSmCO6b39M4</v>
      </c>
    </row>
    <row r="431" customFormat="false" ht="15" hidden="false" customHeight="false" outlineLevel="0" collapsed="false">
      <c r="A431" s="5" t="n">
        <v>1</v>
      </c>
      <c r="B431" s="5" t="n">
        <v>7</v>
      </c>
      <c r="C431" s="5" t="s">
        <v>92</v>
      </c>
      <c r="D431" s="5" t="s">
        <v>305</v>
      </c>
      <c r="E431" s="5" t="n">
        <v>1</v>
      </c>
      <c r="F431" s="6" t="n">
        <f aca="false">IFERROR(MATCH(A431&amp;"|"&amp;B431&amp;"|"&amp;D431,'All Song Rankings'!$T:$T,0),0)</f>
        <v>67</v>
      </c>
      <c r="G431" s="6" t="str">
        <f aca="false">IF(F431=0,"NOT FOUND",INDEX('All Song Rankings'!$A:$A,F431))</f>
        <v>WOKE UP</v>
      </c>
      <c r="H431" s="6" t="str">
        <f aca="false">IF(F431=0,"NOT FOUND",INDEX('All Song Rankings'!$B:$B,F431))</f>
        <v>XG</v>
      </c>
      <c r="I431" s="6" t="str">
        <f aca="false">IF(F431=0,"NOT FOUND",INDEX('All Song Rankings'!$D:$D,F431))</f>
        <v>Maryann</v>
      </c>
      <c r="J431" s="7" t="str">
        <f aca="false">IF(F431=0,"NOT FOUND",IF(C431=I431,"SELF-VOTE",IF(COUNTIF($K:$K,K431)&gt;1,"DUPLICATE","OK")))</f>
        <v>OK</v>
      </c>
      <c r="K431" s="6" t="str">
        <f aca="false">A431&amp;"|"&amp;B431&amp;"|"&amp;C431&amp;"|"&amp;D431</f>
        <v>1|7|Nicole|spotify:track:4keuUM29CtIWgsPRzRhXoW</v>
      </c>
    </row>
    <row r="432" customFormat="false" ht="15" hidden="false" customHeight="false" outlineLevel="0" collapsed="false">
      <c r="A432" s="5" t="n">
        <v>1</v>
      </c>
      <c r="B432" s="5" t="n">
        <v>7</v>
      </c>
      <c r="C432" s="5" t="s">
        <v>92</v>
      </c>
      <c r="D432" s="5" t="s">
        <v>326</v>
      </c>
      <c r="E432" s="5" t="n">
        <v>1</v>
      </c>
      <c r="F432" s="6" t="n">
        <f aca="false">IFERROR(MATCH(A432&amp;"|"&amp;B432&amp;"|"&amp;D432,'All Song Rankings'!$T:$T,0),0)</f>
        <v>74</v>
      </c>
      <c r="G432" s="6" t="str">
        <f aca="false">IF(F432=0,"NOT FOUND",INDEX('All Song Rankings'!$A:$A,F432))</f>
        <v>Portions for Foxes</v>
      </c>
      <c r="H432" s="6" t="str">
        <f aca="false">IF(F432=0,"NOT FOUND",INDEX('All Song Rankings'!$B:$B,F432))</f>
        <v>Rilo Kiley</v>
      </c>
      <c r="I432" s="6" t="str">
        <f aca="false">IF(F432=0,"NOT FOUND",INDEX('All Song Rankings'!$D:$D,F432))</f>
        <v>Matt</v>
      </c>
      <c r="J432" s="7" t="str">
        <f aca="false">IF(F432=0,"NOT FOUND",IF(C432=I432,"SELF-VOTE",IF(COUNTIF($K:$K,K432)&gt;1,"DUPLICATE","OK")))</f>
        <v>OK</v>
      </c>
      <c r="K432" s="6" t="str">
        <f aca="false">A432&amp;"|"&amp;B432&amp;"|"&amp;C432&amp;"|"&amp;D432</f>
        <v>1|7|Nicole|spotify:track:4yY8JqTOQyi7K4O1QcQtBG</v>
      </c>
    </row>
    <row r="433" customFormat="false" ht="15" hidden="false" customHeight="false" outlineLevel="0" collapsed="false">
      <c r="A433" s="5" t="n">
        <v>1</v>
      </c>
      <c r="B433" s="5" t="n">
        <v>7</v>
      </c>
      <c r="C433" s="5" t="s">
        <v>92</v>
      </c>
      <c r="D433" s="5" t="s">
        <v>314</v>
      </c>
      <c r="E433" s="5" t="n">
        <v>1</v>
      </c>
      <c r="F433" s="6" t="n">
        <f aca="false">IFERROR(MATCH(A433&amp;"|"&amp;B433&amp;"|"&amp;D433,'All Song Rankings'!$T:$T,0),0)</f>
        <v>70</v>
      </c>
      <c r="G433" s="6" t="str">
        <f aca="false">IF(F433=0,"NOT FOUND",INDEX('All Song Rankings'!$A:$A,F433))</f>
        <v>TGTBT</v>
      </c>
      <c r="H433" s="6" t="str">
        <f aca="false">IF(F433=0,"NOT FOUND",INDEX('All Song Rankings'!$B:$B,F433))</f>
        <v>Lily Mae Harrington</v>
      </c>
      <c r="I433" s="6" t="str">
        <f aca="false">IF(F433=0,"NOT FOUND",INDEX('All Song Rankings'!$D:$D,F433))</f>
        <v>Leah</v>
      </c>
      <c r="J433" s="7" t="str">
        <f aca="false">IF(F433=0,"NOT FOUND",IF(C433=I433,"SELF-VOTE",IF(COUNTIF($K:$K,K433)&gt;1,"DUPLICATE","OK")))</f>
        <v>OK</v>
      </c>
      <c r="K433" s="6" t="str">
        <f aca="false">A433&amp;"|"&amp;B433&amp;"|"&amp;C433&amp;"|"&amp;D433</f>
        <v>1|7|Nicole|spotify:track:5CYdANFs8Gz4ho3tN61Bjz</v>
      </c>
    </row>
    <row r="434" customFormat="false" ht="15" hidden="false" customHeight="false" outlineLevel="0" collapsed="false">
      <c r="A434" s="5" t="n">
        <v>1</v>
      </c>
      <c r="B434" s="5" t="n">
        <v>7</v>
      </c>
      <c r="C434" s="5" t="s">
        <v>92</v>
      </c>
      <c r="D434" s="5" t="s">
        <v>308</v>
      </c>
      <c r="E434" s="5" t="n">
        <v>1</v>
      </c>
      <c r="F434" s="6" t="n">
        <f aca="false">IFERROR(MATCH(A434&amp;"|"&amp;B434&amp;"|"&amp;D434,'All Song Rankings'!$T:$T,0),0)</f>
        <v>68</v>
      </c>
      <c r="G434" s="6" t="str">
        <f aca="false">IF(F434=0,"NOT FOUND",INDEX('All Song Rankings'!$A:$A,F434))</f>
        <v>So Beautiful</v>
      </c>
      <c r="H434" s="6" t="str">
        <f aca="false">IF(F434=0,"NOT FOUND",INDEX('All Song Rankings'!$B:$B,F434))</f>
        <v>DPR IAN</v>
      </c>
      <c r="I434" s="6" t="str">
        <f aca="false">IF(F434=0,"NOT FOUND",INDEX('All Song Rankings'!$D:$D,F434))</f>
        <v>Merita</v>
      </c>
      <c r="J434" s="7" t="str">
        <f aca="false">IF(F434=0,"NOT FOUND",IF(C434=I434,"SELF-VOTE",IF(COUNTIF($K:$K,K434)&gt;1,"DUPLICATE","OK")))</f>
        <v>OK</v>
      </c>
      <c r="K434" s="6" t="str">
        <f aca="false">A434&amp;"|"&amp;B434&amp;"|"&amp;C434&amp;"|"&amp;D434</f>
        <v>1|7|Nicole|spotify:track:6syar8JKCt3R9ZBl11zmgI</v>
      </c>
    </row>
    <row r="435" customFormat="false" ht="15" hidden="false" customHeight="false" outlineLevel="0" collapsed="false">
      <c r="A435" s="5" t="n">
        <v>1</v>
      </c>
      <c r="B435" s="5" t="n">
        <v>7</v>
      </c>
      <c r="C435" s="5" t="s">
        <v>92</v>
      </c>
      <c r="D435" s="5" t="s">
        <v>311</v>
      </c>
      <c r="E435" s="5" t="n">
        <v>1</v>
      </c>
      <c r="F435" s="6" t="n">
        <f aca="false">IFERROR(MATCH(A435&amp;"|"&amp;B435&amp;"|"&amp;D435,'All Song Rankings'!$T:$T,0),0)</f>
        <v>69</v>
      </c>
      <c r="G435" s="6" t="str">
        <f aca="false">IF(F435=0,"NOT FOUND",INDEX('All Song Rankings'!$A:$A,F435))</f>
        <v>if i never</v>
      </c>
      <c r="H435" s="6" t="str">
        <f aca="false">IF(F435=0,"NOT FOUND",INDEX('All Song Rankings'!$B:$B,F435))</f>
        <v>Jessica Baio</v>
      </c>
      <c r="I435" s="6" t="str">
        <f aca="false">IF(F435=0,"NOT FOUND",INDEX('All Song Rankings'!$D:$D,F435))</f>
        <v>Olivia</v>
      </c>
      <c r="J435" s="7" t="str">
        <f aca="false">IF(F435=0,"NOT FOUND",IF(C435=I435,"SELF-VOTE",IF(COUNTIF($K:$K,K435)&gt;1,"DUPLICATE","OK")))</f>
        <v>OK</v>
      </c>
      <c r="K435" s="6" t="str">
        <f aca="false">A435&amp;"|"&amp;B435&amp;"|"&amp;C435&amp;"|"&amp;D435</f>
        <v>1|7|Nicole|spotify:track:72bcYTJEHG7tNIdhmUYGht</v>
      </c>
    </row>
    <row r="436" customFormat="false" ht="15" hidden="false" customHeight="false" outlineLevel="0" collapsed="false">
      <c r="A436" s="5" t="n">
        <v>1</v>
      </c>
      <c r="B436" s="5" t="n">
        <v>7</v>
      </c>
      <c r="C436" s="5" t="s">
        <v>123</v>
      </c>
      <c r="D436" s="5" t="s">
        <v>295</v>
      </c>
      <c r="E436" s="5" t="n">
        <v>1</v>
      </c>
      <c r="F436" s="6" t="n">
        <f aca="false">IFERROR(MATCH(A436&amp;"|"&amp;B436&amp;"|"&amp;D436,'All Song Rankings'!$T:$T,0),0)</f>
        <v>64</v>
      </c>
      <c r="G436" s="6" t="str">
        <f aca="false">IF(F436=0,"NOT FOUND",INDEX('All Song Rankings'!$A:$A,F436))</f>
        <v>Dancing on Glass</v>
      </c>
      <c r="H436" s="6" t="str">
        <f aca="false">IF(F436=0,"NOT FOUND",INDEX('All Song Rankings'!$B:$B,F436))</f>
        <v>St. Lucia</v>
      </c>
      <c r="I436" s="6" t="str">
        <f aca="false">IF(F436=0,"NOT FOUND",INDEX('All Song Rankings'!$D:$D,F436))</f>
        <v>Stephanie</v>
      </c>
      <c r="J436" s="7" t="str">
        <f aca="false">IF(F436=0,"NOT FOUND",IF(C436=I436,"SELF-VOTE",IF(COUNTIF($K:$K,K436)&gt;1,"DUPLICATE","OK")))</f>
        <v>OK</v>
      </c>
      <c r="K436" s="6" t="str">
        <f aca="false">A436&amp;"|"&amp;B436&amp;"|"&amp;C436&amp;"|"&amp;D436</f>
        <v>1|7|Olivia|spotify:track:0aersVHlGGXcHeRvHtuaSt</v>
      </c>
    </row>
    <row r="437" customFormat="false" ht="15" hidden="false" customHeight="false" outlineLevel="0" collapsed="false">
      <c r="A437" s="5" t="n">
        <v>1</v>
      </c>
      <c r="B437" s="5" t="n">
        <v>7</v>
      </c>
      <c r="C437" s="5" t="s">
        <v>123</v>
      </c>
      <c r="D437" s="5" t="s">
        <v>320</v>
      </c>
      <c r="E437" s="5" t="n">
        <v>1</v>
      </c>
      <c r="F437" s="6" t="n">
        <f aca="false">IFERROR(MATCH(A437&amp;"|"&amp;B437&amp;"|"&amp;D437,'All Song Rankings'!$T:$T,0),0)</f>
        <v>72</v>
      </c>
      <c r="G437" s="6" t="str">
        <f aca="false">IF(F437=0,"NOT FOUND",INDEX('All Song Rankings'!$A:$A,F437))</f>
        <v>Wasted &amp; Ready</v>
      </c>
      <c r="H437" s="6" t="str">
        <f aca="false">IF(F437=0,"NOT FOUND",INDEX('All Song Rankings'!$B:$B,F437))</f>
        <v>Ben Kweller</v>
      </c>
      <c r="I437" s="6" t="str">
        <f aca="false">IF(F437=0,"NOT FOUND",INDEX('All Song Rankings'!$D:$D,F437))</f>
        <v>Nicole</v>
      </c>
      <c r="J437" s="7" t="str">
        <f aca="false">IF(F437=0,"NOT FOUND",IF(C437=I437,"SELF-VOTE",IF(COUNTIF($K:$K,K437)&gt;1,"DUPLICATE","OK")))</f>
        <v>OK</v>
      </c>
      <c r="K437" s="6" t="str">
        <f aca="false">A437&amp;"|"&amp;B437&amp;"|"&amp;C437&amp;"|"&amp;D437</f>
        <v>1|7|Olivia|spotify:track:0m4Am92jGJ03JbiOkJ0ta8</v>
      </c>
    </row>
    <row r="438" customFormat="false" ht="15" hidden="false" customHeight="false" outlineLevel="0" collapsed="false">
      <c r="A438" s="5" t="n">
        <v>1</v>
      </c>
      <c r="B438" s="5" t="n">
        <v>7</v>
      </c>
      <c r="C438" s="5" t="s">
        <v>123</v>
      </c>
      <c r="D438" s="5" t="s">
        <v>301</v>
      </c>
      <c r="E438" s="5" t="n">
        <v>1</v>
      </c>
      <c r="F438" s="6" t="n">
        <f aca="false">IFERROR(MATCH(A438&amp;"|"&amp;B438&amp;"|"&amp;D438,'All Song Rankings'!$T:$T,0),0)</f>
        <v>66</v>
      </c>
      <c r="G438" s="6" t="str">
        <f aca="false">IF(F438=0,"NOT FOUND",INDEX('All Song Rankings'!$A:$A,F438))</f>
        <v>September Song</v>
      </c>
      <c r="H438" s="6" t="str">
        <f aca="false">IF(F438=0,"NOT FOUND",INDEX('All Song Rankings'!$B:$B,F438))</f>
        <v>JP Cooper</v>
      </c>
      <c r="I438" s="6" t="str">
        <f aca="false">IF(F438=0,"NOT FOUND",INDEX('All Song Rankings'!$D:$D,F438))</f>
        <v>Logan</v>
      </c>
      <c r="J438" s="7" t="str">
        <f aca="false">IF(F438=0,"NOT FOUND",IF(C438=I438,"SELF-VOTE",IF(COUNTIF($K:$K,K438)&gt;1,"DUPLICATE","OK")))</f>
        <v>OK</v>
      </c>
      <c r="K438" s="6" t="str">
        <f aca="false">A438&amp;"|"&amp;B438&amp;"|"&amp;C438&amp;"|"&amp;D438</f>
        <v>1|7|Olivia|spotify:track:0zbzrhfVS9S2TszW3wLQZ7</v>
      </c>
    </row>
    <row r="439" customFormat="false" ht="15" hidden="false" customHeight="false" outlineLevel="0" collapsed="false">
      <c r="A439" s="5" t="n">
        <v>1</v>
      </c>
      <c r="B439" s="5" t="n">
        <v>7</v>
      </c>
      <c r="C439" s="5" t="s">
        <v>123</v>
      </c>
      <c r="D439" s="5" t="s">
        <v>323</v>
      </c>
      <c r="E439" s="5" t="n">
        <v>1</v>
      </c>
      <c r="F439" s="6" t="n">
        <f aca="false">IFERROR(MATCH(A439&amp;"|"&amp;B439&amp;"|"&amp;D439,'All Song Rankings'!$T:$T,0),0)</f>
        <v>73</v>
      </c>
      <c r="G439" s="6" t="str">
        <f aca="false">IF(F439=0,"NOT FOUND",INDEX('All Song Rankings'!$A:$A,F439))</f>
        <v>Bright Bulbs &amp; Sharp Tools</v>
      </c>
      <c r="H439" s="6" t="str">
        <f aca="false">IF(F439=0,"NOT FOUND",INDEX('All Song Rankings'!$B:$B,F439))</f>
        <v>Fair To Midland</v>
      </c>
      <c r="I439" s="6" t="str">
        <f aca="false">IF(F439=0,"NOT FOUND",INDEX('All Song Rankings'!$D:$D,F439))</f>
        <v>Kristen</v>
      </c>
      <c r="J439" s="7" t="str">
        <f aca="false">IF(F439=0,"NOT FOUND",IF(C439=I439,"SELF-VOTE",IF(COUNTIF($K:$K,K439)&gt;1,"DUPLICATE","OK")))</f>
        <v>OK</v>
      </c>
      <c r="K439" s="6" t="str">
        <f aca="false">A439&amp;"|"&amp;B439&amp;"|"&amp;C439&amp;"|"&amp;D439</f>
        <v>1|7|Olivia|spotify:track:3ECwNI9Pi4G4b8EypUwLNJ</v>
      </c>
    </row>
    <row r="440" customFormat="false" ht="15" hidden="false" customHeight="false" outlineLevel="0" collapsed="false">
      <c r="A440" s="5" t="n">
        <v>1</v>
      </c>
      <c r="B440" s="5" t="n">
        <v>7</v>
      </c>
      <c r="C440" s="5" t="s">
        <v>123</v>
      </c>
      <c r="D440" s="5" t="s">
        <v>298</v>
      </c>
      <c r="E440" s="5" t="n">
        <v>1</v>
      </c>
      <c r="F440" s="6" t="n">
        <f aca="false">IFERROR(MATCH(A440&amp;"|"&amp;B440&amp;"|"&amp;D440,'All Song Rankings'!$T:$T,0),0)</f>
        <v>65</v>
      </c>
      <c r="G440" s="6" t="str">
        <f aca="false">IF(F440=0,"NOT FOUND",INDEX('All Song Rankings'!$A:$A,F440))</f>
        <v>Perfect Strangers</v>
      </c>
      <c r="H440" s="6" t="str">
        <f aca="false">IF(F440=0,"NOT FOUND",INDEX('All Song Rankings'!$B:$B,F440))</f>
        <v>Jonas Blue</v>
      </c>
      <c r="I440" s="6" t="str">
        <f aca="false">IF(F440=0,"NOT FOUND",INDEX('All Song Rankings'!$D:$D,F440))</f>
        <v>Kelsey</v>
      </c>
      <c r="J440" s="7" t="str">
        <f aca="false">IF(F440=0,"NOT FOUND",IF(C440=I440,"SELF-VOTE",IF(COUNTIF($K:$K,K440)&gt;1,"DUPLICATE","OK")))</f>
        <v>OK</v>
      </c>
      <c r="K440" s="6" t="str">
        <f aca="false">A440&amp;"|"&amp;B440&amp;"|"&amp;C440&amp;"|"&amp;D440</f>
        <v>1|7|Olivia|spotify:track:3hDFOFjGIFwlSmCO6b39M4</v>
      </c>
    </row>
    <row r="441" customFormat="false" ht="15" hidden="false" customHeight="false" outlineLevel="0" collapsed="false">
      <c r="A441" s="5" t="n">
        <v>1</v>
      </c>
      <c r="B441" s="5" t="n">
        <v>7</v>
      </c>
      <c r="C441" s="5" t="s">
        <v>123</v>
      </c>
      <c r="D441" s="5" t="s">
        <v>317</v>
      </c>
      <c r="E441" s="5" t="n">
        <v>1</v>
      </c>
      <c r="F441" s="6" t="n">
        <f aca="false">IFERROR(MATCH(A441&amp;"|"&amp;B441&amp;"|"&amp;D441,'All Song Rankings'!$T:$T,0),0)</f>
        <v>71</v>
      </c>
      <c r="G441" s="6" t="str">
        <f aca="false">IF(F441=0,"NOT FOUND",INDEX('All Song Rankings'!$A:$A,F441))</f>
        <v>Memories We'll Never Make</v>
      </c>
      <c r="H441" s="6" t="str">
        <f aca="false">IF(F441=0,"NOT FOUND",INDEX('All Song Rankings'!$B:$B,F441))</f>
        <v>Michael Minelli</v>
      </c>
      <c r="I441" s="6" t="str">
        <f aca="false">IF(F441=0,"NOT FOUND",INDEX('All Song Rankings'!$D:$D,F441))</f>
        <v>Collin</v>
      </c>
      <c r="J441" s="7" t="str">
        <f aca="false">IF(F441=0,"NOT FOUND",IF(C441=I441,"SELF-VOTE",IF(COUNTIF($K:$K,K441)&gt;1,"DUPLICATE","OK")))</f>
        <v>OK</v>
      </c>
      <c r="K441" s="6" t="str">
        <f aca="false">A441&amp;"|"&amp;B441&amp;"|"&amp;C441&amp;"|"&amp;D441</f>
        <v>1|7|Olivia|spotify:track:4ddEGm8Wj9ArZ9Pk21mxdK</v>
      </c>
    </row>
    <row r="442" customFormat="false" ht="15" hidden="false" customHeight="false" outlineLevel="0" collapsed="false">
      <c r="A442" s="5" t="n">
        <v>1</v>
      </c>
      <c r="B442" s="5" t="n">
        <v>7</v>
      </c>
      <c r="C442" s="5" t="s">
        <v>123</v>
      </c>
      <c r="D442" s="5" t="s">
        <v>305</v>
      </c>
      <c r="E442" s="5" t="n">
        <v>1</v>
      </c>
      <c r="F442" s="6" t="n">
        <f aca="false">IFERROR(MATCH(A442&amp;"|"&amp;B442&amp;"|"&amp;D442,'All Song Rankings'!$T:$T,0),0)</f>
        <v>67</v>
      </c>
      <c r="G442" s="6" t="str">
        <f aca="false">IF(F442=0,"NOT FOUND",INDEX('All Song Rankings'!$A:$A,F442))</f>
        <v>WOKE UP</v>
      </c>
      <c r="H442" s="6" t="str">
        <f aca="false">IF(F442=0,"NOT FOUND",INDEX('All Song Rankings'!$B:$B,F442))</f>
        <v>XG</v>
      </c>
      <c r="I442" s="6" t="str">
        <f aca="false">IF(F442=0,"NOT FOUND",INDEX('All Song Rankings'!$D:$D,F442))</f>
        <v>Maryann</v>
      </c>
      <c r="J442" s="7" t="str">
        <f aca="false">IF(F442=0,"NOT FOUND",IF(C442=I442,"SELF-VOTE",IF(COUNTIF($K:$K,K442)&gt;1,"DUPLICATE","OK")))</f>
        <v>OK</v>
      </c>
      <c r="K442" s="6" t="str">
        <f aca="false">A442&amp;"|"&amp;B442&amp;"|"&amp;C442&amp;"|"&amp;D442</f>
        <v>1|7|Olivia|spotify:track:4keuUM29CtIWgsPRzRhXoW</v>
      </c>
    </row>
    <row r="443" customFormat="false" ht="15" hidden="false" customHeight="false" outlineLevel="0" collapsed="false">
      <c r="A443" s="5" t="n">
        <v>1</v>
      </c>
      <c r="B443" s="5" t="n">
        <v>7</v>
      </c>
      <c r="C443" s="5" t="s">
        <v>123</v>
      </c>
      <c r="D443" s="5" t="s">
        <v>326</v>
      </c>
      <c r="E443" s="5" t="n">
        <v>1</v>
      </c>
      <c r="F443" s="6" t="n">
        <f aca="false">IFERROR(MATCH(A443&amp;"|"&amp;B443&amp;"|"&amp;D443,'All Song Rankings'!$T:$T,0),0)</f>
        <v>74</v>
      </c>
      <c r="G443" s="6" t="str">
        <f aca="false">IF(F443=0,"NOT FOUND",INDEX('All Song Rankings'!$A:$A,F443))</f>
        <v>Portions for Foxes</v>
      </c>
      <c r="H443" s="6" t="str">
        <f aca="false">IF(F443=0,"NOT FOUND",INDEX('All Song Rankings'!$B:$B,F443))</f>
        <v>Rilo Kiley</v>
      </c>
      <c r="I443" s="6" t="str">
        <f aca="false">IF(F443=0,"NOT FOUND",INDEX('All Song Rankings'!$D:$D,F443))</f>
        <v>Matt</v>
      </c>
      <c r="J443" s="7" t="str">
        <f aca="false">IF(F443=0,"NOT FOUND",IF(C443=I443,"SELF-VOTE",IF(COUNTIF($K:$K,K443)&gt;1,"DUPLICATE","OK")))</f>
        <v>OK</v>
      </c>
      <c r="K443" s="6" t="str">
        <f aca="false">A443&amp;"|"&amp;B443&amp;"|"&amp;C443&amp;"|"&amp;D443</f>
        <v>1|7|Olivia|spotify:track:4yY8JqTOQyi7K4O1QcQtBG</v>
      </c>
    </row>
    <row r="444" customFormat="false" ht="15" hidden="false" customHeight="false" outlineLevel="0" collapsed="false">
      <c r="A444" s="5" t="n">
        <v>1</v>
      </c>
      <c r="B444" s="5" t="n">
        <v>7</v>
      </c>
      <c r="C444" s="5" t="s">
        <v>123</v>
      </c>
      <c r="D444" s="5" t="s">
        <v>314</v>
      </c>
      <c r="E444" s="5" t="n">
        <v>1</v>
      </c>
      <c r="F444" s="6" t="n">
        <f aca="false">IFERROR(MATCH(A444&amp;"|"&amp;B444&amp;"|"&amp;D444,'All Song Rankings'!$T:$T,0),0)</f>
        <v>70</v>
      </c>
      <c r="G444" s="6" t="str">
        <f aca="false">IF(F444=0,"NOT FOUND",INDEX('All Song Rankings'!$A:$A,F444))</f>
        <v>TGTBT</v>
      </c>
      <c r="H444" s="6" t="str">
        <f aca="false">IF(F444=0,"NOT FOUND",INDEX('All Song Rankings'!$B:$B,F444))</f>
        <v>Lily Mae Harrington</v>
      </c>
      <c r="I444" s="6" t="str">
        <f aca="false">IF(F444=0,"NOT FOUND",INDEX('All Song Rankings'!$D:$D,F444))</f>
        <v>Leah</v>
      </c>
      <c r="J444" s="7" t="str">
        <f aca="false">IF(F444=0,"NOT FOUND",IF(C444=I444,"SELF-VOTE",IF(COUNTIF($K:$K,K444)&gt;1,"DUPLICATE","OK")))</f>
        <v>OK</v>
      </c>
      <c r="K444" s="6" t="str">
        <f aca="false">A444&amp;"|"&amp;B444&amp;"|"&amp;C444&amp;"|"&amp;D444</f>
        <v>1|7|Olivia|spotify:track:5CYdANFs8Gz4ho3tN61Bjz</v>
      </c>
    </row>
    <row r="445" customFormat="false" ht="15" hidden="false" customHeight="false" outlineLevel="0" collapsed="false">
      <c r="A445" s="5" t="n">
        <v>1</v>
      </c>
      <c r="B445" s="5" t="n">
        <v>7</v>
      </c>
      <c r="C445" s="5" t="s">
        <v>123</v>
      </c>
      <c r="D445" s="5" t="s">
        <v>308</v>
      </c>
      <c r="E445" s="5" t="n">
        <v>1</v>
      </c>
      <c r="F445" s="6" t="n">
        <f aca="false">IFERROR(MATCH(A445&amp;"|"&amp;B445&amp;"|"&amp;D445,'All Song Rankings'!$T:$T,0),0)</f>
        <v>68</v>
      </c>
      <c r="G445" s="6" t="str">
        <f aca="false">IF(F445=0,"NOT FOUND",INDEX('All Song Rankings'!$A:$A,F445))</f>
        <v>So Beautiful</v>
      </c>
      <c r="H445" s="6" t="str">
        <f aca="false">IF(F445=0,"NOT FOUND",INDEX('All Song Rankings'!$B:$B,F445))</f>
        <v>DPR IAN</v>
      </c>
      <c r="I445" s="6" t="str">
        <f aca="false">IF(F445=0,"NOT FOUND",INDEX('All Song Rankings'!$D:$D,F445))</f>
        <v>Merita</v>
      </c>
      <c r="J445" s="7" t="str">
        <f aca="false">IF(F445=0,"NOT FOUND",IF(C445=I445,"SELF-VOTE",IF(COUNTIF($K:$K,K445)&gt;1,"DUPLICATE","OK")))</f>
        <v>OK</v>
      </c>
      <c r="K445" s="6" t="str">
        <f aca="false">A445&amp;"|"&amp;B445&amp;"|"&amp;C445&amp;"|"&amp;D445</f>
        <v>1|7|Olivia|spotify:track:6syar8JKCt3R9ZBl11zmgI</v>
      </c>
    </row>
    <row r="446" customFormat="false" ht="15" hidden="false" customHeight="false" outlineLevel="0" collapsed="false">
      <c r="A446" s="5" t="n">
        <v>1</v>
      </c>
      <c r="B446" s="5" t="n">
        <v>7</v>
      </c>
      <c r="C446" s="5" t="s">
        <v>97</v>
      </c>
      <c r="D446" s="5" t="s">
        <v>320</v>
      </c>
      <c r="E446" s="5" t="n">
        <v>3</v>
      </c>
      <c r="F446" s="6" t="n">
        <f aca="false">IFERROR(MATCH(A446&amp;"|"&amp;B446&amp;"|"&amp;D446,'All Song Rankings'!$T:$T,0),0)</f>
        <v>72</v>
      </c>
      <c r="G446" s="6" t="str">
        <f aca="false">IF(F446=0,"NOT FOUND",INDEX('All Song Rankings'!$A:$A,F446))</f>
        <v>Wasted &amp; Ready</v>
      </c>
      <c r="H446" s="6" t="str">
        <f aca="false">IF(F446=0,"NOT FOUND",INDEX('All Song Rankings'!$B:$B,F446))</f>
        <v>Ben Kweller</v>
      </c>
      <c r="I446" s="6" t="str">
        <f aca="false">IF(F446=0,"NOT FOUND",INDEX('All Song Rankings'!$D:$D,F446))</f>
        <v>Nicole</v>
      </c>
      <c r="J446" s="7" t="str">
        <f aca="false">IF(F446=0,"NOT FOUND",IF(C446=I446,"SELF-VOTE",IF(COUNTIF($K:$K,K446)&gt;1,"DUPLICATE","OK")))</f>
        <v>OK</v>
      </c>
      <c r="K446" s="6" t="str">
        <f aca="false">A446&amp;"|"&amp;B446&amp;"|"&amp;C446&amp;"|"&amp;D446</f>
        <v>1|7|Stephanie|spotify:track:0m4Am92jGJ03JbiOkJ0ta8</v>
      </c>
    </row>
    <row r="447" customFormat="false" ht="15" hidden="false" customHeight="false" outlineLevel="0" collapsed="false">
      <c r="A447" s="5" t="n">
        <v>1</v>
      </c>
      <c r="B447" s="5" t="n">
        <v>7</v>
      </c>
      <c r="C447" s="5" t="s">
        <v>97</v>
      </c>
      <c r="D447" s="5" t="s">
        <v>323</v>
      </c>
      <c r="E447" s="5" t="n">
        <v>2</v>
      </c>
      <c r="F447" s="6" t="n">
        <f aca="false">IFERROR(MATCH(A447&amp;"|"&amp;B447&amp;"|"&amp;D447,'All Song Rankings'!$T:$T,0),0)</f>
        <v>73</v>
      </c>
      <c r="G447" s="6" t="str">
        <f aca="false">IF(F447=0,"NOT FOUND",INDEX('All Song Rankings'!$A:$A,F447))</f>
        <v>Bright Bulbs &amp; Sharp Tools</v>
      </c>
      <c r="H447" s="6" t="str">
        <f aca="false">IF(F447=0,"NOT FOUND",INDEX('All Song Rankings'!$B:$B,F447))</f>
        <v>Fair To Midland</v>
      </c>
      <c r="I447" s="6" t="str">
        <f aca="false">IF(F447=0,"NOT FOUND",INDEX('All Song Rankings'!$D:$D,F447))</f>
        <v>Kristen</v>
      </c>
      <c r="J447" s="7" t="str">
        <f aca="false">IF(F447=0,"NOT FOUND",IF(C447=I447,"SELF-VOTE",IF(COUNTIF($K:$K,K447)&gt;1,"DUPLICATE","OK")))</f>
        <v>OK</v>
      </c>
      <c r="K447" s="6" t="str">
        <f aca="false">A447&amp;"|"&amp;B447&amp;"|"&amp;C447&amp;"|"&amp;D447</f>
        <v>1|7|Stephanie|spotify:track:3ECwNI9Pi4G4b8EypUwLNJ</v>
      </c>
    </row>
    <row r="448" customFormat="false" ht="15" hidden="false" customHeight="false" outlineLevel="0" collapsed="false">
      <c r="A448" s="5" t="n">
        <v>1</v>
      </c>
      <c r="B448" s="5" t="n">
        <v>7</v>
      </c>
      <c r="C448" s="5" t="s">
        <v>97</v>
      </c>
      <c r="D448" s="5" t="s">
        <v>298</v>
      </c>
      <c r="E448" s="5" t="n">
        <v>2</v>
      </c>
      <c r="F448" s="6" t="n">
        <f aca="false">IFERROR(MATCH(A448&amp;"|"&amp;B448&amp;"|"&amp;D448,'All Song Rankings'!$T:$T,0),0)</f>
        <v>65</v>
      </c>
      <c r="G448" s="6" t="str">
        <f aca="false">IF(F448=0,"NOT FOUND",INDEX('All Song Rankings'!$A:$A,F448))</f>
        <v>Perfect Strangers</v>
      </c>
      <c r="H448" s="6" t="str">
        <f aca="false">IF(F448=0,"NOT FOUND",INDEX('All Song Rankings'!$B:$B,F448))</f>
        <v>Jonas Blue</v>
      </c>
      <c r="I448" s="6" t="str">
        <f aca="false">IF(F448=0,"NOT FOUND",INDEX('All Song Rankings'!$D:$D,F448))</f>
        <v>Kelsey</v>
      </c>
      <c r="J448" s="7" t="str">
        <f aca="false">IF(F448=0,"NOT FOUND",IF(C448=I448,"SELF-VOTE",IF(COUNTIF($K:$K,K448)&gt;1,"DUPLICATE","OK")))</f>
        <v>OK</v>
      </c>
      <c r="K448" s="6" t="str">
        <f aca="false">A448&amp;"|"&amp;B448&amp;"|"&amp;C448&amp;"|"&amp;D448</f>
        <v>1|7|Stephanie|spotify:track:3hDFOFjGIFwlSmCO6b39M4</v>
      </c>
    </row>
    <row r="449" customFormat="false" ht="15" hidden="false" customHeight="false" outlineLevel="0" collapsed="false">
      <c r="A449" s="5" t="n">
        <v>1</v>
      </c>
      <c r="B449" s="5" t="n">
        <v>7</v>
      </c>
      <c r="C449" s="5" t="s">
        <v>97</v>
      </c>
      <c r="D449" s="5" t="s">
        <v>305</v>
      </c>
      <c r="E449" s="5" t="n">
        <v>3</v>
      </c>
      <c r="F449" s="6" t="n">
        <f aca="false">IFERROR(MATCH(A449&amp;"|"&amp;B449&amp;"|"&amp;D449,'All Song Rankings'!$T:$T,0),0)</f>
        <v>67</v>
      </c>
      <c r="G449" s="6" t="str">
        <f aca="false">IF(F449=0,"NOT FOUND",INDEX('All Song Rankings'!$A:$A,F449))</f>
        <v>WOKE UP</v>
      </c>
      <c r="H449" s="6" t="str">
        <f aca="false">IF(F449=0,"NOT FOUND",INDEX('All Song Rankings'!$B:$B,F449))</f>
        <v>XG</v>
      </c>
      <c r="I449" s="6" t="str">
        <f aca="false">IF(F449=0,"NOT FOUND",INDEX('All Song Rankings'!$D:$D,F449))</f>
        <v>Maryann</v>
      </c>
      <c r="J449" s="7" t="str">
        <f aca="false">IF(F449=0,"NOT FOUND",IF(C449=I449,"SELF-VOTE",IF(COUNTIF($K:$K,K449)&gt;1,"DUPLICATE","OK")))</f>
        <v>OK</v>
      </c>
      <c r="K449" s="6" t="str">
        <f aca="false">A449&amp;"|"&amp;B449&amp;"|"&amp;C449&amp;"|"&amp;D449</f>
        <v>1|7|Stephanie|spotify:track:4keuUM29CtIWgsPRzRhXoW</v>
      </c>
    </row>
    <row r="450" customFormat="false" ht="15" hidden="false" customHeight="false" outlineLevel="0" collapsed="false">
      <c r="A450" s="5" t="n">
        <v>1</v>
      </c>
      <c r="B450" s="5" t="n">
        <v>8</v>
      </c>
      <c r="C450" s="5" t="s">
        <v>289</v>
      </c>
      <c r="D450" s="5" t="s">
        <v>342</v>
      </c>
      <c r="E450" s="5" t="n">
        <v>3</v>
      </c>
      <c r="F450" s="6" t="n">
        <f aca="false">IFERROR(MATCH(A450&amp;"|"&amp;B450&amp;"|"&amp;D450,'All Song Rankings'!$T:$T,0),0)</f>
        <v>79</v>
      </c>
      <c r="G450" s="6" t="str">
        <f aca="false">IF(F450=0,"NOT FOUND",INDEX('All Song Rankings'!$A:$A,F450))</f>
        <v>Axel F</v>
      </c>
      <c r="H450" s="6" t="str">
        <f aca="false">IF(F450=0,"NOT FOUND",INDEX('All Song Rankings'!$B:$B,F450))</f>
        <v>Crazy Frog</v>
      </c>
      <c r="I450" s="6" t="str">
        <f aca="false">IF(F450=0,"NOT FOUND",INDEX('All Song Rankings'!$D:$D,F450))</f>
        <v>Maryann</v>
      </c>
      <c r="J450" s="7" t="str">
        <f aca="false">IF(F450=0,"NOT FOUND",IF(C450=I450,"SELF-VOTE",IF(COUNTIF($K:$K,K450)&gt;1,"DUPLICATE","OK")))</f>
        <v>OK</v>
      </c>
      <c r="K450" s="6" t="str">
        <f aca="false">A450&amp;"|"&amp;B450&amp;"|"&amp;C450&amp;"|"&amp;D450</f>
        <v>1|8|Anya|spotify:track:0Bo5fjMtTfCD8vHGebivqc</v>
      </c>
    </row>
    <row r="451" customFormat="false" ht="15" hidden="false" customHeight="false" outlineLevel="0" collapsed="false">
      <c r="A451" s="5" t="n">
        <v>1</v>
      </c>
      <c r="B451" s="5" t="n">
        <v>8</v>
      </c>
      <c r="C451" s="5" t="s">
        <v>289</v>
      </c>
      <c r="D451" s="5" t="s">
        <v>336</v>
      </c>
      <c r="E451" s="5" t="n">
        <v>2</v>
      </c>
      <c r="F451" s="6" t="n">
        <f aca="false">IFERROR(MATCH(A451&amp;"|"&amp;B451&amp;"|"&amp;D451,'All Song Rankings'!$T:$T,0),0)</f>
        <v>77</v>
      </c>
      <c r="G451" s="6" t="str">
        <f aca="false">IF(F451=0,"NOT FOUND",INDEX('All Song Rankings'!$A:$A,F451))</f>
        <v>Golden</v>
      </c>
      <c r="H451" s="6" t="str">
        <f aca="false">IF(F451=0,"NOT FOUND",INDEX('All Song Rankings'!$B:$B,F451))</f>
        <v>HUNTR/X</v>
      </c>
      <c r="I451" s="6" t="str">
        <f aca="false">IF(F451=0,"NOT FOUND",INDEX('All Song Rankings'!$D:$D,F451))</f>
        <v>Olivia</v>
      </c>
      <c r="J451" s="7" t="str">
        <f aca="false">IF(F451=0,"NOT FOUND",IF(C451=I451,"SELF-VOTE",IF(COUNTIF($K:$K,K451)&gt;1,"DUPLICATE","OK")))</f>
        <v>OK</v>
      </c>
      <c r="K451" s="6" t="str">
        <f aca="false">A451&amp;"|"&amp;B451&amp;"|"&amp;C451&amp;"|"&amp;D451</f>
        <v>1|8|Anya|spotify:track:1CPZ5BxNNd0n0nF4Orb9JS</v>
      </c>
    </row>
    <row r="452" customFormat="false" ht="15" hidden="false" customHeight="false" outlineLevel="0" collapsed="false">
      <c r="A452" s="5" t="n">
        <v>1</v>
      </c>
      <c r="B452" s="5" t="n">
        <v>8</v>
      </c>
      <c r="C452" s="5" t="s">
        <v>289</v>
      </c>
      <c r="D452" s="5" t="s">
        <v>351</v>
      </c>
      <c r="E452" s="5" t="n">
        <v>1</v>
      </c>
      <c r="F452" s="6" t="n">
        <f aca="false">IFERROR(MATCH(A452&amp;"|"&amp;B452&amp;"|"&amp;D452,'All Song Rankings'!$T:$T,0),0)</f>
        <v>82</v>
      </c>
      <c r="G452" s="6" t="str">
        <f aca="false">IF(F452=0,"NOT FOUND",INDEX('All Song Rankings'!$A:$A,F452))</f>
        <v>WHERE IS MY HUSBAND!</v>
      </c>
      <c r="H452" s="6" t="str">
        <f aca="false">IF(F452=0,"NOT FOUND",INDEX('All Song Rankings'!$B:$B,F452))</f>
        <v>RAYE</v>
      </c>
      <c r="I452" s="6" t="str">
        <f aca="false">IF(F452=0,"NOT FOUND",INDEX('All Song Rankings'!$D:$D,F452))</f>
        <v>Logan</v>
      </c>
      <c r="J452" s="7" t="str">
        <f aca="false">IF(F452=0,"NOT FOUND",IF(C452=I452,"SELF-VOTE",IF(COUNTIF($K:$K,K452)&gt;1,"DUPLICATE","OK")))</f>
        <v>OK</v>
      </c>
      <c r="K452" s="6" t="str">
        <f aca="false">A452&amp;"|"&amp;B452&amp;"|"&amp;C452&amp;"|"&amp;D452</f>
        <v>1|8|Anya|spotify:track:55lijDD6OAjLFFUHU9tcDm</v>
      </c>
    </row>
    <row r="453" customFormat="false" ht="15" hidden="false" customHeight="false" outlineLevel="0" collapsed="false">
      <c r="A453" s="5" t="n">
        <v>1</v>
      </c>
      <c r="B453" s="5" t="n">
        <v>8</v>
      </c>
      <c r="C453" s="5" t="s">
        <v>289</v>
      </c>
      <c r="D453" s="5" t="s">
        <v>333</v>
      </c>
      <c r="E453" s="5" t="n">
        <v>1</v>
      </c>
      <c r="F453" s="6" t="n">
        <f aca="false">IFERROR(MATCH(A453&amp;"|"&amp;B453&amp;"|"&amp;D453,'All Song Rankings'!$T:$T,0),0)</f>
        <v>76</v>
      </c>
      <c r="G453" s="6" t="str">
        <f aca="false">IF(F453=0,"NOT FOUND",INDEX('All Song Rankings'!$A:$A,F453))</f>
        <v>STAY</v>
      </c>
      <c r="H453" s="6" t="str">
        <f aca="false">IF(F453=0,"NOT FOUND",INDEX('All Song Rankings'!$B:$B,F453))</f>
        <v>The Kid LAROI</v>
      </c>
      <c r="I453" s="6" t="str">
        <f aca="false">IF(F453=0,"NOT FOUND",INDEX('All Song Rankings'!$D:$D,F453))</f>
        <v>Merita</v>
      </c>
      <c r="J453" s="7" t="str">
        <f aca="false">IF(F453=0,"NOT FOUND",IF(C453=I453,"SELF-VOTE",IF(COUNTIF($K:$K,K453)&gt;1,"DUPLICATE","OK")))</f>
        <v>OK</v>
      </c>
      <c r="K453" s="6" t="str">
        <f aca="false">A453&amp;"|"&amp;B453&amp;"|"&amp;C453&amp;"|"&amp;D453</f>
        <v>1|8|Anya|spotify:track:5HCyWlXZPP0y6Gqq8TgA20</v>
      </c>
    </row>
    <row r="454" customFormat="false" ht="15" hidden="false" customHeight="false" outlineLevel="0" collapsed="false">
      <c r="A454" s="5" t="n">
        <v>1</v>
      </c>
      <c r="B454" s="5" t="n">
        <v>8</v>
      </c>
      <c r="C454" s="5" t="s">
        <v>289</v>
      </c>
      <c r="D454" s="5" t="s">
        <v>330</v>
      </c>
      <c r="E454" s="5" t="n">
        <v>3</v>
      </c>
      <c r="F454" s="6" t="n">
        <f aca="false">IFERROR(MATCH(A454&amp;"|"&amp;B454&amp;"|"&amp;D454,'All Song Rankings'!$T:$T,0),0)</f>
        <v>75</v>
      </c>
      <c r="G454" s="6" t="str">
        <f aca="false">IF(F454=0,"NOT FOUND",INDEX('All Song Rankings'!$A:$A,F454))</f>
        <v>APT.</v>
      </c>
      <c r="H454" s="6" t="str">
        <f aca="false">IF(F454=0,"NOT FOUND",INDEX('All Song Rankings'!$B:$B,F454))</f>
        <v>ROSÉ</v>
      </c>
      <c r="I454" s="6" t="str">
        <f aca="false">IF(F454=0,"NOT FOUND",INDEX('All Song Rankings'!$D:$D,F454))</f>
        <v>Stephanie</v>
      </c>
      <c r="J454" s="7" t="str">
        <f aca="false">IF(F454=0,"NOT FOUND",IF(C454=I454,"SELF-VOTE",IF(COUNTIF($K:$K,K454)&gt;1,"DUPLICATE","OK")))</f>
        <v>OK</v>
      </c>
      <c r="K454" s="6" t="str">
        <f aca="false">A454&amp;"|"&amp;B454&amp;"|"&amp;C454&amp;"|"&amp;D454</f>
        <v>1|8|Anya|spotify:track:5vNRhkKd0yEAg8suGBpjeY</v>
      </c>
    </row>
    <row r="455" customFormat="false" ht="15" hidden="false" customHeight="false" outlineLevel="0" collapsed="false">
      <c r="A455" s="5" t="n">
        <v>1</v>
      </c>
      <c r="B455" s="5" t="n">
        <v>8</v>
      </c>
      <c r="C455" s="5" t="s">
        <v>111</v>
      </c>
      <c r="D455" s="5" t="s">
        <v>339</v>
      </c>
      <c r="E455" s="5" t="n">
        <v>3</v>
      </c>
      <c r="F455" s="6" t="n">
        <f aca="false">IFERROR(MATCH(A455&amp;"|"&amp;B455&amp;"|"&amp;D455,'All Song Rankings'!$T:$T,0),0)</f>
        <v>78</v>
      </c>
      <c r="G455" s="6" t="str">
        <f aca="false">IF(F455=0,"NOT FOUND",INDEX('All Song Rankings'!$A:$A,F455))</f>
        <v>Soda Pop</v>
      </c>
      <c r="H455" s="6" t="str">
        <f aca="false">IF(F455=0,"NOT FOUND",INDEX('All Song Rankings'!$B:$B,F455))</f>
        <v>Saja Boys</v>
      </c>
      <c r="I455" s="6" t="str">
        <f aca="false">IF(F455=0,"NOT FOUND",INDEX('All Song Rankings'!$D:$D,F455))</f>
        <v>Matt</v>
      </c>
      <c r="J455" s="7" t="str">
        <f aca="false">IF(F455=0,"NOT FOUND",IF(C455=I455,"SELF-VOTE",IF(COUNTIF($K:$K,K455)&gt;1,"DUPLICATE","OK")))</f>
        <v>OK</v>
      </c>
      <c r="K455" s="6" t="str">
        <f aca="false">A455&amp;"|"&amp;B455&amp;"|"&amp;C455&amp;"|"&amp;D455</f>
        <v>1|8|Collin|spotify:track:02sy7FAs8dkDNYsHp4Ul3f</v>
      </c>
    </row>
    <row r="456" customFormat="false" ht="15" hidden="false" customHeight="false" outlineLevel="0" collapsed="false">
      <c r="A456" s="5" t="n">
        <v>1</v>
      </c>
      <c r="B456" s="5" t="n">
        <v>8</v>
      </c>
      <c r="C456" s="5" t="s">
        <v>111</v>
      </c>
      <c r="D456" s="5" t="s">
        <v>342</v>
      </c>
      <c r="E456" s="5" t="n">
        <v>1</v>
      </c>
      <c r="F456" s="6" t="n">
        <f aca="false">IFERROR(MATCH(A456&amp;"|"&amp;B456&amp;"|"&amp;D456,'All Song Rankings'!$T:$T,0),0)</f>
        <v>79</v>
      </c>
      <c r="G456" s="6" t="str">
        <f aca="false">IF(F456=0,"NOT FOUND",INDEX('All Song Rankings'!$A:$A,F456))</f>
        <v>Axel F</v>
      </c>
      <c r="H456" s="6" t="str">
        <f aca="false">IF(F456=0,"NOT FOUND",INDEX('All Song Rankings'!$B:$B,F456))</f>
        <v>Crazy Frog</v>
      </c>
      <c r="I456" s="6" t="str">
        <f aca="false">IF(F456=0,"NOT FOUND",INDEX('All Song Rankings'!$D:$D,F456))</f>
        <v>Maryann</v>
      </c>
      <c r="J456" s="7" t="str">
        <f aca="false">IF(F456=0,"NOT FOUND",IF(C456=I456,"SELF-VOTE",IF(COUNTIF($K:$K,K456)&gt;1,"DUPLICATE","OK")))</f>
        <v>OK</v>
      </c>
      <c r="K456" s="6" t="str">
        <f aca="false">A456&amp;"|"&amp;B456&amp;"|"&amp;C456&amp;"|"&amp;D456</f>
        <v>1|8|Collin|spotify:track:0Bo5fjMtTfCD8vHGebivqc</v>
      </c>
    </row>
    <row r="457" customFormat="false" ht="15" hidden="false" customHeight="false" outlineLevel="0" collapsed="false">
      <c r="A457" s="5" t="n">
        <v>1</v>
      </c>
      <c r="B457" s="5" t="n">
        <v>8</v>
      </c>
      <c r="C457" s="5" t="s">
        <v>111</v>
      </c>
      <c r="D457" s="5" t="s">
        <v>348</v>
      </c>
      <c r="E457" s="5" t="n">
        <v>4</v>
      </c>
      <c r="F457" s="6" t="n">
        <f aca="false">IFERROR(MATCH(A457&amp;"|"&amp;B457&amp;"|"&amp;D457,'All Song Rankings'!$T:$T,0),0)</f>
        <v>81</v>
      </c>
      <c r="G457" s="6" t="str">
        <f aca="false">IF(F457=0,"NOT FOUND",INDEX('All Song Rankings'!$A:$A,F457))</f>
        <v>Shiny Teeth</v>
      </c>
      <c r="H457" s="6" t="str">
        <f aca="false">IF(F457=0,"NOT FOUND",INDEX('All Song Rankings'!$B:$B,F457))</f>
        <v>Nickelodeon</v>
      </c>
      <c r="I457" s="6" t="str">
        <f aca="false">IF(F457=0,"NOT FOUND",INDEX('All Song Rankings'!$D:$D,F457))</f>
        <v>Kelsey</v>
      </c>
      <c r="J457" s="7" t="str">
        <f aca="false">IF(F457=0,"NOT FOUND",IF(C457=I457,"SELF-VOTE",IF(COUNTIF($K:$K,K457)&gt;1,"DUPLICATE","OK")))</f>
        <v>OK</v>
      </c>
      <c r="K457" s="6" t="str">
        <f aca="false">A457&amp;"|"&amp;B457&amp;"|"&amp;C457&amp;"|"&amp;D457</f>
        <v>1|8|Collin|spotify:track:6B5PBsK6Kg2VUXwiPdU92p</v>
      </c>
    </row>
    <row r="458" customFormat="false" ht="15" hidden="false" customHeight="false" outlineLevel="0" collapsed="false">
      <c r="A458" s="5" t="n">
        <v>1</v>
      </c>
      <c r="B458" s="5" t="n">
        <v>8</v>
      </c>
      <c r="C458" s="5" t="s">
        <v>111</v>
      </c>
      <c r="D458" s="5" t="s">
        <v>360</v>
      </c>
      <c r="E458" s="5" t="n">
        <v>2</v>
      </c>
      <c r="F458" s="6" t="n">
        <f aca="false">IFERROR(MATCH(A458&amp;"|"&amp;B458&amp;"|"&amp;D458,'All Song Rankings'!$T:$T,0),0)</f>
        <v>86</v>
      </c>
      <c r="G458" s="6" t="str">
        <f aca="false">IF(F458=0,"NOT FOUND",INDEX('All Song Rankings'!$A:$A,F458))</f>
        <v>Порнозвезда</v>
      </c>
      <c r="H458" s="6" t="str">
        <f aca="false">IF(F458=0,"NOT FOUND",INDEX('All Song Rankings'!$B:$B,F458))</f>
        <v>PHARAOH</v>
      </c>
      <c r="I458" s="6" t="str">
        <f aca="false">IF(F458=0,"NOT FOUND",INDEX('All Song Rankings'!$D:$D,F458))</f>
        <v>Anya</v>
      </c>
      <c r="J458" s="7" t="str">
        <f aca="false">IF(F458=0,"NOT FOUND",IF(C458=I458,"SELF-VOTE",IF(COUNTIF($K:$K,K458)&gt;1,"DUPLICATE","OK")))</f>
        <v>OK</v>
      </c>
      <c r="K458" s="6" t="str">
        <f aca="false">A458&amp;"|"&amp;B458&amp;"|"&amp;C458&amp;"|"&amp;D458</f>
        <v>1|8|Collin|spotify:track:6XJPX1JLcJhyhPyvuuST2f</v>
      </c>
    </row>
    <row r="459" customFormat="false" ht="15" hidden="false" customHeight="false" outlineLevel="0" collapsed="false">
      <c r="A459" s="5" t="n">
        <v>1</v>
      </c>
      <c r="B459" s="5" t="n">
        <v>8</v>
      </c>
      <c r="C459" s="5" t="s">
        <v>85</v>
      </c>
      <c r="D459" s="5" t="s">
        <v>339</v>
      </c>
      <c r="E459" s="5" t="n">
        <v>1</v>
      </c>
      <c r="F459" s="6" t="n">
        <f aca="false">IFERROR(MATCH(A459&amp;"|"&amp;B459&amp;"|"&amp;D459,'All Song Rankings'!$T:$T,0),0)</f>
        <v>78</v>
      </c>
      <c r="G459" s="6" t="str">
        <f aca="false">IF(F459=0,"NOT FOUND",INDEX('All Song Rankings'!$A:$A,F459))</f>
        <v>Soda Pop</v>
      </c>
      <c r="H459" s="6" t="str">
        <f aca="false">IF(F459=0,"NOT FOUND",INDEX('All Song Rankings'!$B:$B,F459))</f>
        <v>Saja Boys</v>
      </c>
      <c r="I459" s="6" t="str">
        <f aca="false">IF(F459=0,"NOT FOUND",INDEX('All Song Rankings'!$D:$D,F459))</f>
        <v>Matt</v>
      </c>
      <c r="J459" s="7" t="str">
        <f aca="false">IF(F459=0,"NOT FOUND",IF(C459=I459,"SELF-VOTE",IF(COUNTIF($K:$K,K459)&gt;1,"DUPLICATE","OK")))</f>
        <v>OK</v>
      </c>
      <c r="K459" s="6" t="str">
        <f aca="false">A459&amp;"|"&amp;B459&amp;"|"&amp;C459&amp;"|"&amp;D459</f>
        <v>1|8|Kelsey|spotify:track:02sy7FAs8dkDNYsHp4Ul3f</v>
      </c>
    </row>
    <row r="460" customFormat="false" ht="15" hidden="false" customHeight="false" outlineLevel="0" collapsed="false">
      <c r="A460" s="5" t="n">
        <v>1</v>
      </c>
      <c r="B460" s="5" t="n">
        <v>8</v>
      </c>
      <c r="C460" s="5" t="s">
        <v>85</v>
      </c>
      <c r="D460" s="5" t="s">
        <v>342</v>
      </c>
      <c r="E460" s="5" t="n">
        <v>1</v>
      </c>
      <c r="F460" s="6" t="n">
        <f aca="false">IFERROR(MATCH(A460&amp;"|"&amp;B460&amp;"|"&amp;D460,'All Song Rankings'!$T:$T,0),0)</f>
        <v>79</v>
      </c>
      <c r="G460" s="6" t="str">
        <f aca="false">IF(F460=0,"NOT FOUND",INDEX('All Song Rankings'!$A:$A,F460))</f>
        <v>Axel F</v>
      </c>
      <c r="H460" s="6" t="str">
        <f aca="false">IF(F460=0,"NOT FOUND",INDEX('All Song Rankings'!$B:$B,F460))</f>
        <v>Crazy Frog</v>
      </c>
      <c r="I460" s="6" t="str">
        <f aca="false">IF(F460=0,"NOT FOUND",INDEX('All Song Rankings'!$D:$D,F460))</f>
        <v>Maryann</v>
      </c>
      <c r="J460" s="7" t="str">
        <f aca="false">IF(F460=0,"NOT FOUND",IF(C460=I460,"SELF-VOTE",IF(COUNTIF($K:$K,K460)&gt;1,"DUPLICATE","OK")))</f>
        <v>OK</v>
      </c>
      <c r="K460" s="6" t="str">
        <f aca="false">A460&amp;"|"&amp;B460&amp;"|"&amp;C460&amp;"|"&amp;D460</f>
        <v>1|8|Kelsey|spotify:track:0Bo5fjMtTfCD8vHGebivqc</v>
      </c>
    </row>
    <row r="461" customFormat="false" ht="15" hidden="false" customHeight="false" outlineLevel="0" collapsed="false">
      <c r="A461" s="5" t="n">
        <v>1</v>
      </c>
      <c r="B461" s="5" t="n">
        <v>8</v>
      </c>
      <c r="C461" s="5" t="s">
        <v>85</v>
      </c>
      <c r="D461" s="5" t="s">
        <v>336</v>
      </c>
      <c r="E461" s="5" t="n">
        <v>2</v>
      </c>
      <c r="F461" s="6" t="n">
        <f aca="false">IFERROR(MATCH(A461&amp;"|"&amp;B461&amp;"|"&amp;D461,'All Song Rankings'!$T:$T,0),0)</f>
        <v>77</v>
      </c>
      <c r="G461" s="6" t="str">
        <f aca="false">IF(F461=0,"NOT FOUND",INDEX('All Song Rankings'!$A:$A,F461))</f>
        <v>Golden</v>
      </c>
      <c r="H461" s="6" t="str">
        <f aca="false">IF(F461=0,"NOT FOUND",INDEX('All Song Rankings'!$B:$B,F461))</f>
        <v>HUNTR/X</v>
      </c>
      <c r="I461" s="6" t="str">
        <f aca="false">IF(F461=0,"NOT FOUND",INDEX('All Song Rankings'!$D:$D,F461))</f>
        <v>Olivia</v>
      </c>
      <c r="J461" s="7" t="str">
        <f aca="false">IF(F461=0,"NOT FOUND",IF(C461=I461,"SELF-VOTE",IF(COUNTIF($K:$K,K461)&gt;1,"DUPLICATE","OK")))</f>
        <v>OK</v>
      </c>
      <c r="K461" s="6" t="str">
        <f aca="false">A461&amp;"|"&amp;B461&amp;"|"&amp;C461&amp;"|"&amp;D461</f>
        <v>1|8|Kelsey|spotify:track:1CPZ5BxNNd0n0nF4Orb9JS</v>
      </c>
    </row>
    <row r="462" customFormat="false" ht="15" hidden="false" customHeight="false" outlineLevel="0" collapsed="false">
      <c r="A462" s="5" t="n">
        <v>1</v>
      </c>
      <c r="B462" s="5" t="n">
        <v>8</v>
      </c>
      <c r="C462" s="5" t="s">
        <v>85</v>
      </c>
      <c r="D462" s="5" t="s">
        <v>187</v>
      </c>
      <c r="E462" s="5" t="n">
        <v>1</v>
      </c>
      <c r="F462" s="6" t="n">
        <f aca="false">IFERROR(MATCH(A462&amp;"|"&amp;B462&amp;"|"&amp;D462,'All Song Rankings'!$T:$T,0),0)</f>
        <v>84</v>
      </c>
      <c r="G462" s="6" t="str">
        <f aca="false">IF(F462=0,"NOT FOUND",INDEX('All Song Rankings'!$A:$A,F462))</f>
        <v>Uptown Funk</v>
      </c>
      <c r="H462" s="6" t="str">
        <f aca="false">IF(F462=0,"NOT FOUND",INDEX('All Song Rankings'!$B:$B,F462))</f>
        <v>Mark Ronson</v>
      </c>
      <c r="I462" s="6" t="str">
        <f aca="false">IF(F462=0,"NOT FOUND",INDEX('All Song Rankings'!$D:$D,F462))</f>
        <v>Kristen</v>
      </c>
      <c r="J462" s="7" t="str">
        <f aca="false">IF(F462=0,"NOT FOUND",IF(C462=I462,"SELF-VOTE",IF(COUNTIF($K:$K,K462)&gt;1,"DUPLICATE","OK")))</f>
        <v>OK</v>
      </c>
      <c r="K462" s="6" t="str">
        <f aca="false">A462&amp;"|"&amp;B462&amp;"|"&amp;C462&amp;"|"&amp;D462</f>
        <v>1|8|Kelsey|spotify:track:32OlwWuMpZ6b0aN2RZOeMS</v>
      </c>
    </row>
    <row r="463" customFormat="false" ht="15" hidden="false" customHeight="false" outlineLevel="0" collapsed="false">
      <c r="A463" s="5" t="n">
        <v>1</v>
      </c>
      <c r="B463" s="5" t="n">
        <v>8</v>
      </c>
      <c r="C463" s="5" t="s">
        <v>85</v>
      </c>
      <c r="D463" s="5" t="s">
        <v>351</v>
      </c>
      <c r="E463" s="5" t="n">
        <v>1</v>
      </c>
      <c r="F463" s="6" t="n">
        <f aca="false">IFERROR(MATCH(A463&amp;"|"&amp;B463&amp;"|"&amp;D463,'All Song Rankings'!$T:$T,0),0)</f>
        <v>82</v>
      </c>
      <c r="G463" s="6" t="str">
        <f aca="false">IF(F463=0,"NOT FOUND",INDEX('All Song Rankings'!$A:$A,F463))</f>
        <v>WHERE IS MY HUSBAND!</v>
      </c>
      <c r="H463" s="6" t="str">
        <f aca="false">IF(F463=0,"NOT FOUND",INDEX('All Song Rankings'!$B:$B,F463))</f>
        <v>RAYE</v>
      </c>
      <c r="I463" s="6" t="str">
        <f aca="false">IF(F463=0,"NOT FOUND",INDEX('All Song Rankings'!$D:$D,F463))</f>
        <v>Logan</v>
      </c>
      <c r="J463" s="7" t="str">
        <f aca="false">IF(F463=0,"NOT FOUND",IF(C463=I463,"SELF-VOTE",IF(COUNTIF($K:$K,K463)&gt;1,"DUPLICATE","OK")))</f>
        <v>OK</v>
      </c>
      <c r="K463" s="6" t="str">
        <f aca="false">A463&amp;"|"&amp;B463&amp;"|"&amp;C463&amp;"|"&amp;D463</f>
        <v>1|8|Kelsey|spotify:track:55lijDD6OAjLFFUHU9tcDm</v>
      </c>
    </row>
    <row r="464" customFormat="false" ht="15" hidden="false" customHeight="false" outlineLevel="0" collapsed="false">
      <c r="A464" s="5" t="n">
        <v>1</v>
      </c>
      <c r="B464" s="5" t="n">
        <v>8</v>
      </c>
      <c r="C464" s="5" t="s">
        <v>85</v>
      </c>
      <c r="D464" s="5" t="s">
        <v>330</v>
      </c>
      <c r="E464" s="5" t="n">
        <v>2</v>
      </c>
      <c r="F464" s="6" t="n">
        <f aca="false">IFERROR(MATCH(A464&amp;"|"&amp;B464&amp;"|"&amp;D464,'All Song Rankings'!$T:$T,0),0)</f>
        <v>75</v>
      </c>
      <c r="G464" s="6" t="str">
        <f aca="false">IF(F464=0,"NOT FOUND",INDEX('All Song Rankings'!$A:$A,F464))</f>
        <v>APT.</v>
      </c>
      <c r="H464" s="6" t="str">
        <f aca="false">IF(F464=0,"NOT FOUND",INDEX('All Song Rankings'!$B:$B,F464))</f>
        <v>ROSÉ</v>
      </c>
      <c r="I464" s="6" t="str">
        <f aca="false">IF(F464=0,"NOT FOUND",INDEX('All Song Rankings'!$D:$D,F464))</f>
        <v>Stephanie</v>
      </c>
      <c r="J464" s="7" t="str">
        <f aca="false">IF(F464=0,"NOT FOUND",IF(C464=I464,"SELF-VOTE",IF(COUNTIF($K:$K,K464)&gt;1,"DUPLICATE","OK")))</f>
        <v>OK</v>
      </c>
      <c r="K464" s="6" t="str">
        <f aca="false">A464&amp;"|"&amp;B464&amp;"|"&amp;C464&amp;"|"&amp;D464</f>
        <v>1|8|Kelsey|spotify:track:5vNRhkKd0yEAg8suGBpjeY</v>
      </c>
    </row>
    <row r="465" customFormat="false" ht="15" hidden="false" customHeight="false" outlineLevel="0" collapsed="false">
      <c r="A465" s="5" t="n">
        <v>1</v>
      </c>
      <c r="B465" s="5" t="n">
        <v>8</v>
      </c>
      <c r="C465" s="5" t="s">
        <v>85</v>
      </c>
      <c r="D465" s="5" t="s">
        <v>354</v>
      </c>
      <c r="E465" s="5" t="n">
        <v>1</v>
      </c>
      <c r="F465" s="6" t="n">
        <f aca="false">IFERROR(MATCH(A465&amp;"|"&amp;B465&amp;"|"&amp;D465,'All Song Rankings'!$T:$T,0),0)</f>
        <v>83</v>
      </c>
      <c r="G465" s="6" t="str">
        <f aca="false">IF(F465=0,"NOT FOUND",INDEX('All Song Rankings'!$A:$A,F465))</f>
        <v>It's A Small World</v>
      </c>
      <c r="H465" s="6" t="str">
        <f aca="false">IF(F465=0,"NOT FOUND",INDEX('All Song Rankings'!$B:$B,F465))</f>
        <v>The Disneyland Children's Chorus</v>
      </c>
      <c r="I465" s="6" t="str">
        <f aca="false">IF(F465=0,"NOT FOUND",INDEX('All Song Rankings'!$D:$D,F465))</f>
        <v>Leah</v>
      </c>
      <c r="J465" s="7" t="str">
        <f aca="false">IF(F465=0,"NOT FOUND",IF(C465=I465,"SELF-VOTE",IF(COUNTIF($K:$K,K465)&gt;1,"DUPLICATE","OK")))</f>
        <v>OK</v>
      </c>
      <c r="K465" s="6" t="str">
        <f aca="false">A465&amp;"|"&amp;B465&amp;"|"&amp;C465&amp;"|"&amp;D465</f>
        <v>1|8|Kelsey|spotify:track:6hVrlsXwBWVp5Lrc8FV4iB</v>
      </c>
    </row>
    <row r="466" customFormat="false" ht="15" hidden="false" customHeight="false" outlineLevel="0" collapsed="false">
      <c r="A466" s="5" t="n">
        <v>1</v>
      </c>
      <c r="B466" s="5" t="n">
        <v>8</v>
      </c>
      <c r="C466" s="5" t="s">
        <v>85</v>
      </c>
      <c r="D466" s="5" t="s">
        <v>345</v>
      </c>
      <c r="E466" s="5" t="n">
        <v>1</v>
      </c>
      <c r="F466" s="6" t="n">
        <f aca="false">IFERROR(MATCH(A466&amp;"|"&amp;B466&amp;"|"&amp;D466,'All Song Rankings'!$T:$T,0),0)</f>
        <v>80</v>
      </c>
      <c r="G466" s="6" t="str">
        <f aca="false">IF(F466=0,"NOT FOUND",INDEX('All Song Rankings'!$A:$A,F466))</f>
        <v>Nothing Can Stop Us Now</v>
      </c>
      <c r="H466" s="6" t="str">
        <f aca="false">IF(F466=0,"NOT FOUND",INDEX('All Song Rankings'!$B:$B,F466))</f>
        <v>Mickey &amp; Minnie</v>
      </c>
      <c r="I466" s="6" t="str">
        <f aca="false">IF(F466=0,"NOT FOUND",INDEX('All Song Rankings'!$D:$D,F466))</f>
        <v>Nicole</v>
      </c>
      <c r="J466" s="7" t="str">
        <f aca="false">IF(F466=0,"NOT FOUND",IF(C466=I466,"SELF-VOTE",IF(COUNTIF($K:$K,K466)&gt;1,"DUPLICATE","OK")))</f>
        <v>OK</v>
      </c>
      <c r="K466" s="6" t="str">
        <f aca="false">A466&amp;"|"&amp;B466&amp;"|"&amp;C466&amp;"|"&amp;D466</f>
        <v>1|8|Kelsey|spotify:track:6manK5YRppWQriHBUsr3nK</v>
      </c>
    </row>
    <row r="467" customFormat="false" ht="15" hidden="false" customHeight="false" outlineLevel="0" collapsed="false">
      <c r="A467" s="5" t="n">
        <v>1</v>
      </c>
      <c r="B467" s="5" t="n">
        <v>8</v>
      </c>
      <c r="C467" s="5" t="s">
        <v>106</v>
      </c>
      <c r="D467" s="5" t="s">
        <v>339</v>
      </c>
      <c r="E467" s="5" t="n">
        <v>1</v>
      </c>
      <c r="F467" s="6" t="n">
        <f aca="false">IFERROR(MATCH(A467&amp;"|"&amp;B467&amp;"|"&amp;D467,'All Song Rankings'!$T:$T,0),0)</f>
        <v>78</v>
      </c>
      <c r="G467" s="6" t="str">
        <f aca="false">IF(F467=0,"NOT FOUND",INDEX('All Song Rankings'!$A:$A,F467))</f>
        <v>Soda Pop</v>
      </c>
      <c r="H467" s="6" t="str">
        <f aca="false">IF(F467=0,"NOT FOUND",INDEX('All Song Rankings'!$B:$B,F467))</f>
        <v>Saja Boys</v>
      </c>
      <c r="I467" s="6" t="str">
        <f aca="false">IF(F467=0,"NOT FOUND",INDEX('All Song Rankings'!$D:$D,F467))</f>
        <v>Matt</v>
      </c>
      <c r="J467" s="7" t="str">
        <f aca="false">IF(F467=0,"NOT FOUND",IF(C467=I467,"SELF-VOTE",IF(COUNTIF($K:$K,K467)&gt;1,"DUPLICATE","OK")))</f>
        <v>OK</v>
      </c>
      <c r="K467" s="6" t="str">
        <f aca="false">A467&amp;"|"&amp;B467&amp;"|"&amp;C467&amp;"|"&amp;D467</f>
        <v>1|8|Kristen|spotify:track:02sy7FAs8dkDNYsHp4Ul3f</v>
      </c>
    </row>
    <row r="468" customFormat="false" ht="15" hidden="false" customHeight="false" outlineLevel="0" collapsed="false">
      <c r="A468" s="5" t="n">
        <v>1</v>
      </c>
      <c r="B468" s="5" t="n">
        <v>8</v>
      </c>
      <c r="C468" s="5" t="s">
        <v>106</v>
      </c>
      <c r="D468" s="5" t="s">
        <v>342</v>
      </c>
      <c r="E468" s="5" t="n">
        <v>2</v>
      </c>
      <c r="F468" s="6" t="n">
        <f aca="false">IFERROR(MATCH(A468&amp;"|"&amp;B468&amp;"|"&amp;D468,'All Song Rankings'!$T:$T,0),0)</f>
        <v>79</v>
      </c>
      <c r="G468" s="6" t="str">
        <f aca="false">IF(F468=0,"NOT FOUND",INDEX('All Song Rankings'!$A:$A,F468))</f>
        <v>Axel F</v>
      </c>
      <c r="H468" s="6" t="str">
        <f aca="false">IF(F468=0,"NOT FOUND",INDEX('All Song Rankings'!$B:$B,F468))</f>
        <v>Crazy Frog</v>
      </c>
      <c r="I468" s="6" t="str">
        <f aca="false">IF(F468=0,"NOT FOUND",INDEX('All Song Rankings'!$D:$D,F468))</f>
        <v>Maryann</v>
      </c>
      <c r="J468" s="7" t="str">
        <f aca="false">IF(F468=0,"NOT FOUND",IF(C468=I468,"SELF-VOTE",IF(COUNTIF($K:$K,K468)&gt;1,"DUPLICATE","OK")))</f>
        <v>OK</v>
      </c>
      <c r="K468" s="6" t="str">
        <f aca="false">A468&amp;"|"&amp;B468&amp;"|"&amp;C468&amp;"|"&amp;D468</f>
        <v>1|8|Kristen|spotify:track:0Bo5fjMtTfCD8vHGebivqc</v>
      </c>
    </row>
    <row r="469" customFormat="false" ht="15" hidden="false" customHeight="false" outlineLevel="0" collapsed="false">
      <c r="A469" s="5" t="n">
        <v>1</v>
      </c>
      <c r="B469" s="5" t="n">
        <v>8</v>
      </c>
      <c r="C469" s="5" t="s">
        <v>106</v>
      </c>
      <c r="D469" s="5" t="s">
        <v>357</v>
      </c>
      <c r="E469" s="5" t="n">
        <v>1</v>
      </c>
      <c r="F469" s="6" t="n">
        <f aca="false">IFERROR(MATCH(A469&amp;"|"&amp;B469&amp;"|"&amp;D469,'All Song Rankings'!$T:$T,0),0)</f>
        <v>85</v>
      </c>
      <c r="G469" s="6" t="str">
        <f aca="false">IF(F469=0,"NOT FOUND",INDEX('All Song Rankings'!$A:$A,F469))</f>
        <v>Hazel Eyes</v>
      </c>
      <c r="H469" s="6" t="str">
        <f aca="false">IF(F469=0,"NOT FOUND",INDEX('All Song Rankings'!$B:$B,F469))</f>
        <v>Sabrina Jordan</v>
      </c>
      <c r="I469" s="6" t="str">
        <f aca="false">IF(F469=0,"NOT FOUND",INDEX('All Song Rankings'!$D:$D,F469))</f>
        <v>Collin</v>
      </c>
      <c r="J469" s="7" t="str">
        <f aca="false">IF(F469=0,"NOT FOUND",IF(C469=I469,"SELF-VOTE",IF(COUNTIF($K:$K,K469)&gt;1,"DUPLICATE","OK")))</f>
        <v>OK</v>
      </c>
      <c r="K469" s="6" t="str">
        <f aca="false">A469&amp;"|"&amp;B469&amp;"|"&amp;C469&amp;"|"&amp;D469</f>
        <v>1|8|Kristen|spotify:track:4DvlcoeyHGPzlkSKZlVGSt</v>
      </c>
    </row>
    <row r="470" customFormat="false" ht="15" hidden="false" customHeight="false" outlineLevel="0" collapsed="false">
      <c r="A470" s="5" t="n">
        <v>1</v>
      </c>
      <c r="B470" s="5" t="n">
        <v>8</v>
      </c>
      <c r="C470" s="5" t="s">
        <v>106</v>
      </c>
      <c r="D470" s="5" t="s">
        <v>351</v>
      </c>
      <c r="E470" s="5" t="n">
        <v>1</v>
      </c>
      <c r="F470" s="6" t="n">
        <f aca="false">IFERROR(MATCH(A470&amp;"|"&amp;B470&amp;"|"&amp;D470,'All Song Rankings'!$T:$T,0),0)</f>
        <v>82</v>
      </c>
      <c r="G470" s="6" t="str">
        <f aca="false">IF(F470=0,"NOT FOUND",INDEX('All Song Rankings'!$A:$A,F470))</f>
        <v>WHERE IS MY HUSBAND!</v>
      </c>
      <c r="H470" s="6" t="str">
        <f aca="false">IF(F470=0,"NOT FOUND",INDEX('All Song Rankings'!$B:$B,F470))</f>
        <v>RAYE</v>
      </c>
      <c r="I470" s="6" t="str">
        <f aca="false">IF(F470=0,"NOT FOUND",INDEX('All Song Rankings'!$D:$D,F470))</f>
        <v>Logan</v>
      </c>
      <c r="J470" s="7" t="str">
        <f aca="false">IF(F470=0,"NOT FOUND",IF(C470=I470,"SELF-VOTE",IF(COUNTIF($K:$K,K470)&gt;1,"DUPLICATE","OK")))</f>
        <v>OK</v>
      </c>
      <c r="K470" s="6" t="str">
        <f aca="false">A470&amp;"|"&amp;B470&amp;"|"&amp;C470&amp;"|"&amp;D470</f>
        <v>1|8|Kristen|spotify:track:55lijDD6OAjLFFUHU9tcDm</v>
      </c>
    </row>
    <row r="471" customFormat="false" ht="15" hidden="false" customHeight="false" outlineLevel="0" collapsed="false">
      <c r="A471" s="5" t="n">
        <v>1</v>
      </c>
      <c r="B471" s="5" t="n">
        <v>8</v>
      </c>
      <c r="C471" s="5" t="s">
        <v>106</v>
      </c>
      <c r="D471" s="5" t="s">
        <v>333</v>
      </c>
      <c r="E471" s="5" t="n">
        <v>2</v>
      </c>
      <c r="F471" s="6" t="n">
        <f aca="false">IFERROR(MATCH(A471&amp;"|"&amp;B471&amp;"|"&amp;D471,'All Song Rankings'!$T:$T,0),0)</f>
        <v>76</v>
      </c>
      <c r="G471" s="6" t="str">
        <f aca="false">IF(F471=0,"NOT FOUND",INDEX('All Song Rankings'!$A:$A,F471))</f>
        <v>STAY</v>
      </c>
      <c r="H471" s="6" t="str">
        <f aca="false">IF(F471=0,"NOT FOUND",INDEX('All Song Rankings'!$B:$B,F471))</f>
        <v>The Kid LAROI</v>
      </c>
      <c r="I471" s="6" t="str">
        <f aca="false">IF(F471=0,"NOT FOUND",INDEX('All Song Rankings'!$D:$D,F471))</f>
        <v>Merita</v>
      </c>
      <c r="J471" s="7" t="str">
        <f aca="false">IF(F471=0,"NOT FOUND",IF(C471=I471,"SELF-VOTE",IF(COUNTIF($K:$K,K471)&gt;1,"DUPLICATE","OK")))</f>
        <v>OK</v>
      </c>
      <c r="K471" s="6" t="str">
        <f aca="false">A471&amp;"|"&amp;B471&amp;"|"&amp;C471&amp;"|"&amp;D471</f>
        <v>1|8|Kristen|spotify:track:5HCyWlXZPP0y6Gqq8TgA20</v>
      </c>
    </row>
    <row r="472" customFormat="false" ht="15" hidden="false" customHeight="false" outlineLevel="0" collapsed="false">
      <c r="A472" s="5" t="n">
        <v>1</v>
      </c>
      <c r="B472" s="5" t="n">
        <v>8</v>
      </c>
      <c r="C472" s="5" t="s">
        <v>106</v>
      </c>
      <c r="D472" s="5" t="s">
        <v>330</v>
      </c>
      <c r="E472" s="5" t="n">
        <v>1</v>
      </c>
      <c r="F472" s="6" t="n">
        <f aca="false">IFERROR(MATCH(A472&amp;"|"&amp;B472&amp;"|"&amp;D472,'All Song Rankings'!$T:$T,0),0)</f>
        <v>75</v>
      </c>
      <c r="G472" s="6" t="str">
        <f aca="false">IF(F472=0,"NOT FOUND",INDEX('All Song Rankings'!$A:$A,F472))</f>
        <v>APT.</v>
      </c>
      <c r="H472" s="6" t="str">
        <f aca="false">IF(F472=0,"NOT FOUND",INDEX('All Song Rankings'!$B:$B,F472))</f>
        <v>ROSÉ</v>
      </c>
      <c r="I472" s="6" t="str">
        <f aca="false">IF(F472=0,"NOT FOUND",INDEX('All Song Rankings'!$D:$D,F472))</f>
        <v>Stephanie</v>
      </c>
      <c r="J472" s="7" t="str">
        <f aca="false">IF(F472=0,"NOT FOUND",IF(C472=I472,"SELF-VOTE",IF(COUNTIF($K:$K,K472)&gt;1,"DUPLICATE","OK")))</f>
        <v>OK</v>
      </c>
      <c r="K472" s="6" t="str">
        <f aca="false">A472&amp;"|"&amp;B472&amp;"|"&amp;C472&amp;"|"&amp;D472</f>
        <v>1|8|Kristen|spotify:track:5vNRhkKd0yEAg8suGBpjeY</v>
      </c>
    </row>
    <row r="473" customFormat="false" ht="15" hidden="false" customHeight="false" outlineLevel="0" collapsed="false">
      <c r="A473" s="5" t="n">
        <v>1</v>
      </c>
      <c r="B473" s="5" t="n">
        <v>8</v>
      </c>
      <c r="C473" s="5" t="s">
        <v>106</v>
      </c>
      <c r="D473" s="5" t="s">
        <v>354</v>
      </c>
      <c r="E473" s="5" t="n">
        <v>1</v>
      </c>
      <c r="F473" s="6" t="n">
        <f aca="false">IFERROR(MATCH(A473&amp;"|"&amp;B473&amp;"|"&amp;D473,'All Song Rankings'!$T:$T,0),0)</f>
        <v>83</v>
      </c>
      <c r="G473" s="6" t="str">
        <f aca="false">IF(F473=0,"NOT FOUND",INDEX('All Song Rankings'!$A:$A,F473))</f>
        <v>It's A Small World</v>
      </c>
      <c r="H473" s="6" t="str">
        <f aca="false">IF(F473=0,"NOT FOUND",INDEX('All Song Rankings'!$B:$B,F473))</f>
        <v>The Disneyland Children's Chorus</v>
      </c>
      <c r="I473" s="6" t="str">
        <f aca="false">IF(F473=0,"NOT FOUND",INDEX('All Song Rankings'!$D:$D,F473))</f>
        <v>Leah</v>
      </c>
      <c r="J473" s="7" t="str">
        <f aca="false">IF(F473=0,"NOT FOUND",IF(C473=I473,"SELF-VOTE",IF(COUNTIF($K:$K,K473)&gt;1,"DUPLICATE","OK")))</f>
        <v>OK</v>
      </c>
      <c r="K473" s="6" t="str">
        <f aca="false">A473&amp;"|"&amp;B473&amp;"|"&amp;C473&amp;"|"&amp;D473</f>
        <v>1|8|Kristen|spotify:track:6hVrlsXwBWVp5Lrc8FV4iB</v>
      </c>
    </row>
    <row r="474" customFormat="false" ht="15" hidden="false" customHeight="false" outlineLevel="0" collapsed="false">
      <c r="A474" s="5" t="n">
        <v>1</v>
      </c>
      <c r="B474" s="5" t="n">
        <v>8</v>
      </c>
      <c r="C474" s="5" t="s">
        <v>106</v>
      </c>
      <c r="D474" s="5" t="s">
        <v>345</v>
      </c>
      <c r="E474" s="5" t="n">
        <v>1</v>
      </c>
      <c r="F474" s="6" t="n">
        <f aca="false">IFERROR(MATCH(A474&amp;"|"&amp;B474&amp;"|"&amp;D474,'All Song Rankings'!$T:$T,0),0)</f>
        <v>80</v>
      </c>
      <c r="G474" s="6" t="str">
        <f aca="false">IF(F474=0,"NOT FOUND",INDEX('All Song Rankings'!$A:$A,F474))</f>
        <v>Nothing Can Stop Us Now</v>
      </c>
      <c r="H474" s="6" t="str">
        <f aca="false">IF(F474=0,"NOT FOUND",INDEX('All Song Rankings'!$B:$B,F474))</f>
        <v>Mickey &amp; Minnie</v>
      </c>
      <c r="I474" s="6" t="str">
        <f aca="false">IF(F474=0,"NOT FOUND",INDEX('All Song Rankings'!$D:$D,F474))</f>
        <v>Nicole</v>
      </c>
      <c r="J474" s="7" t="str">
        <f aca="false">IF(F474=0,"NOT FOUND",IF(C474=I474,"SELF-VOTE",IF(COUNTIF($K:$K,K474)&gt;1,"DUPLICATE","OK")))</f>
        <v>OK</v>
      </c>
      <c r="K474" s="6" t="str">
        <f aca="false">A474&amp;"|"&amp;B474&amp;"|"&amp;C474&amp;"|"&amp;D474</f>
        <v>1|8|Kristen|spotify:track:6manK5YRppWQriHBUsr3nK</v>
      </c>
    </row>
    <row r="475" customFormat="false" ht="15" hidden="false" customHeight="false" outlineLevel="0" collapsed="false">
      <c r="A475" s="5" t="n">
        <v>1</v>
      </c>
      <c r="B475" s="5" t="n">
        <v>8</v>
      </c>
      <c r="C475" s="5" t="s">
        <v>119</v>
      </c>
      <c r="D475" s="5" t="s">
        <v>339</v>
      </c>
      <c r="E475" s="5" t="n">
        <v>1</v>
      </c>
      <c r="F475" s="6" t="n">
        <f aca="false">IFERROR(MATCH(A475&amp;"|"&amp;B475&amp;"|"&amp;D475,'All Song Rankings'!$T:$T,0),0)</f>
        <v>78</v>
      </c>
      <c r="G475" s="6" t="str">
        <f aca="false">IF(F475=0,"NOT FOUND",INDEX('All Song Rankings'!$A:$A,F475))</f>
        <v>Soda Pop</v>
      </c>
      <c r="H475" s="6" t="str">
        <f aca="false">IF(F475=0,"NOT FOUND",INDEX('All Song Rankings'!$B:$B,F475))</f>
        <v>Saja Boys</v>
      </c>
      <c r="I475" s="6" t="str">
        <f aca="false">IF(F475=0,"NOT FOUND",INDEX('All Song Rankings'!$D:$D,F475))</f>
        <v>Matt</v>
      </c>
      <c r="J475" s="7" t="str">
        <f aca="false">IF(F475=0,"NOT FOUND",IF(C475=I475,"SELF-VOTE",IF(COUNTIF($K:$K,K475)&gt;1,"DUPLICATE","OK")))</f>
        <v>OK</v>
      </c>
      <c r="K475" s="6" t="str">
        <f aca="false">A475&amp;"|"&amp;B475&amp;"|"&amp;C475&amp;"|"&amp;D475</f>
        <v>1|8|Leah|spotify:track:02sy7FAs8dkDNYsHp4Ul3f</v>
      </c>
    </row>
    <row r="476" customFormat="false" ht="15" hidden="false" customHeight="false" outlineLevel="0" collapsed="false">
      <c r="A476" s="5" t="n">
        <v>1</v>
      </c>
      <c r="B476" s="5" t="n">
        <v>8</v>
      </c>
      <c r="C476" s="5" t="s">
        <v>119</v>
      </c>
      <c r="D476" s="5" t="s">
        <v>342</v>
      </c>
      <c r="E476" s="5" t="n">
        <v>2</v>
      </c>
      <c r="F476" s="6" t="n">
        <f aca="false">IFERROR(MATCH(A476&amp;"|"&amp;B476&amp;"|"&amp;D476,'All Song Rankings'!$T:$T,0),0)</f>
        <v>79</v>
      </c>
      <c r="G476" s="6" t="str">
        <f aca="false">IF(F476=0,"NOT FOUND",INDEX('All Song Rankings'!$A:$A,F476))</f>
        <v>Axel F</v>
      </c>
      <c r="H476" s="6" t="str">
        <f aca="false">IF(F476=0,"NOT FOUND",INDEX('All Song Rankings'!$B:$B,F476))</f>
        <v>Crazy Frog</v>
      </c>
      <c r="I476" s="6" t="str">
        <f aca="false">IF(F476=0,"NOT FOUND",INDEX('All Song Rankings'!$D:$D,F476))</f>
        <v>Maryann</v>
      </c>
      <c r="J476" s="7" t="str">
        <f aca="false">IF(F476=0,"NOT FOUND",IF(C476=I476,"SELF-VOTE",IF(COUNTIF($K:$K,K476)&gt;1,"DUPLICATE","OK")))</f>
        <v>OK</v>
      </c>
      <c r="K476" s="6" t="str">
        <f aca="false">A476&amp;"|"&amp;B476&amp;"|"&amp;C476&amp;"|"&amp;D476</f>
        <v>1|8|Leah|spotify:track:0Bo5fjMtTfCD8vHGebivqc</v>
      </c>
    </row>
    <row r="477" customFormat="false" ht="15" hidden="false" customHeight="false" outlineLevel="0" collapsed="false">
      <c r="A477" s="5" t="n">
        <v>1</v>
      </c>
      <c r="B477" s="5" t="n">
        <v>8</v>
      </c>
      <c r="C477" s="5" t="s">
        <v>119</v>
      </c>
      <c r="D477" s="5" t="s">
        <v>336</v>
      </c>
      <c r="E477" s="5" t="n">
        <v>3</v>
      </c>
      <c r="F477" s="6" t="n">
        <f aca="false">IFERROR(MATCH(A477&amp;"|"&amp;B477&amp;"|"&amp;D477,'All Song Rankings'!$T:$T,0),0)</f>
        <v>77</v>
      </c>
      <c r="G477" s="6" t="str">
        <f aca="false">IF(F477=0,"NOT FOUND",INDEX('All Song Rankings'!$A:$A,F477))</f>
        <v>Golden</v>
      </c>
      <c r="H477" s="6" t="str">
        <f aca="false">IF(F477=0,"NOT FOUND",INDEX('All Song Rankings'!$B:$B,F477))</f>
        <v>HUNTR/X</v>
      </c>
      <c r="I477" s="6" t="str">
        <f aca="false">IF(F477=0,"NOT FOUND",INDEX('All Song Rankings'!$D:$D,F477))</f>
        <v>Olivia</v>
      </c>
      <c r="J477" s="7" t="str">
        <f aca="false">IF(F477=0,"NOT FOUND",IF(C477=I477,"SELF-VOTE",IF(COUNTIF($K:$K,K477)&gt;1,"DUPLICATE","OK")))</f>
        <v>OK</v>
      </c>
      <c r="K477" s="6" t="str">
        <f aca="false">A477&amp;"|"&amp;B477&amp;"|"&amp;C477&amp;"|"&amp;D477</f>
        <v>1|8|Leah|spotify:track:1CPZ5BxNNd0n0nF4Orb9JS</v>
      </c>
    </row>
    <row r="478" customFormat="false" ht="15" hidden="false" customHeight="false" outlineLevel="0" collapsed="false">
      <c r="A478" s="5" t="n">
        <v>1</v>
      </c>
      <c r="B478" s="5" t="n">
        <v>8</v>
      </c>
      <c r="C478" s="5" t="s">
        <v>119</v>
      </c>
      <c r="D478" s="5" t="s">
        <v>333</v>
      </c>
      <c r="E478" s="5" t="n">
        <v>1</v>
      </c>
      <c r="F478" s="6" t="n">
        <f aca="false">IFERROR(MATCH(A478&amp;"|"&amp;B478&amp;"|"&amp;D478,'All Song Rankings'!$T:$T,0),0)</f>
        <v>76</v>
      </c>
      <c r="G478" s="6" t="str">
        <f aca="false">IF(F478=0,"NOT FOUND",INDEX('All Song Rankings'!$A:$A,F478))</f>
        <v>STAY</v>
      </c>
      <c r="H478" s="6" t="str">
        <f aca="false">IF(F478=0,"NOT FOUND",INDEX('All Song Rankings'!$B:$B,F478))</f>
        <v>The Kid LAROI</v>
      </c>
      <c r="I478" s="6" t="str">
        <f aca="false">IF(F478=0,"NOT FOUND",INDEX('All Song Rankings'!$D:$D,F478))</f>
        <v>Merita</v>
      </c>
      <c r="J478" s="7" t="str">
        <f aca="false">IF(F478=0,"NOT FOUND",IF(C478=I478,"SELF-VOTE",IF(COUNTIF($K:$K,K478)&gt;1,"DUPLICATE","OK")))</f>
        <v>OK</v>
      </c>
      <c r="K478" s="6" t="str">
        <f aca="false">A478&amp;"|"&amp;B478&amp;"|"&amp;C478&amp;"|"&amp;D478</f>
        <v>1|8|Leah|spotify:track:5HCyWlXZPP0y6Gqq8TgA20</v>
      </c>
    </row>
    <row r="479" customFormat="false" ht="15" hidden="false" customHeight="false" outlineLevel="0" collapsed="false">
      <c r="A479" s="5" t="n">
        <v>1</v>
      </c>
      <c r="B479" s="5" t="n">
        <v>8</v>
      </c>
      <c r="C479" s="5" t="s">
        <v>119</v>
      </c>
      <c r="D479" s="5" t="s">
        <v>330</v>
      </c>
      <c r="E479" s="5" t="n">
        <v>1</v>
      </c>
      <c r="F479" s="6" t="n">
        <f aca="false">IFERROR(MATCH(A479&amp;"|"&amp;B479&amp;"|"&amp;D479,'All Song Rankings'!$T:$T,0),0)</f>
        <v>75</v>
      </c>
      <c r="G479" s="6" t="str">
        <f aca="false">IF(F479=0,"NOT FOUND",INDEX('All Song Rankings'!$A:$A,F479))</f>
        <v>APT.</v>
      </c>
      <c r="H479" s="6" t="str">
        <f aca="false">IF(F479=0,"NOT FOUND",INDEX('All Song Rankings'!$B:$B,F479))</f>
        <v>ROSÉ</v>
      </c>
      <c r="I479" s="6" t="str">
        <f aca="false">IF(F479=0,"NOT FOUND",INDEX('All Song Rankings'!$D:$D,F479))</f>
        <v>Stephanie</v>
      </c>
      <c r="J479" s="7" t="str">
        <f aca="false">IF(F479=0,"NOT FOUND",IF(C479=I479,"SELF-VOTE",IF(COUNTIF($K:$K,K479)&gt;1,"DUPLICATE","OK")))</f>
        <v>OK</v>
      </c>
      <c r="K479" s="6" t="str">
        <f aca="false">A479&amp;"|"&amp;B479&amp;"|"&amp;C479&amp;"|"&amp;D479</f>
        <v>1|8|Leah|spotify:track:5vNRhkKd0yEAg8suGBpjeY</v>
      </c>
    </row>
    <row r="480" customFormat="false" ht="15" hidden="false" customHeight="false" outlineLevel="0" collapsed="false">
      <c r="A480" s="5" t="n">
        <v>1</v>
      </c>
      <c r="B480" s="5" t="n">
        <v>8</v>
      </c>
      <c r="C480" s="5" t="s">
        <v>119</v>
      </c>
      <c r="D480" s="5" t="s">
        <v>345</v>
      </c>
      <c r="E480" s="5" t="n">
        <v>2</v>
      </c>
      <c r="F480" s="6" t="n">
        <f aca="false">IFERROR(MATCH(A480&amp;"|"&amp;B480&amp;"|"&amp;D480,'All Song Rankings'!$T:$T,0),0)</f>
        <v>80</v>
      </c>
      <c r="G480" s="6" t="str">
        <f aca="false">IF(F480=0,"NOT FOUND",INDEX('All Song Rankings'!$A:$A,F480))</f>
        <v>Nothing Can Stop Us Now</v>
      </c>
      <c r="H480" s="6" t="str">
        <f aca="false">IF(F480=0,"NOT FOUND",INDEX('All Song Rankings'!$B:$B,F480))</f>
        <v>Mickey &amp; Minnie</v>
      </c>
      <c r="I480" s="6" t="str">
        <f aca="false">IF(F480=0,"NOT FOUND",INDEX('All Song Rankings'!$D:$D,F480))</f>
        <v>Nicole</v>
      </c>
      <c r="J480" s="7" t="str">
        <f aca="false">IF(F480=0,"NOT FOUND",IF(C480=I480,"SELF-VOTE",IF(COUNTIF($K:$K,K480)&gt;1,"DUPLICATE","OK")))</f>
        <v>OK</v>
      </c>
      <c r="K480" s="6" t="str">
        <f aca="false">A480&amp;"|"&amp;B480&amp;"|"&amp;C480&amp;"|"&amp;D480</f>
        <v>1|8|Leah|spotify:track:6manK5YRppWQriHBUsr3nK</v>
      </c>
    </row>
    <row r="481" customFormat="false" ht="15" hidden="false" customHeight="false" outlineLevel="0" collapsed="false">
      <c r="A481" s="5" t="n">
        <v>1</v>
      </c>
      <c r="B481" s="5" t="n">
        <v>8</v>
      </c>
      <c r="C481" s="5" t="s">
        <v>128</v>
      </c>
      <c r="D481" s="5" t="s">
        <v>339</v>
      </c>
      <c r="E481" s="5" t="n">
        <v>1</v>
      </c>
      <c r="F481" s="6" t="n">
        <f aca="false">IFERROR(MATCH(A481&amp;"|"&amp;B481&amp;"|"&amp;D481,'All Song Rankings'!$T:$T,0),0)</f>
        <v>78</v>
      </c>
      <c r="G481" s="6" t="str">
        <f aca="false">IF(F481=0,"NOT FOUND",INDEX('All Song Rankings'!$A:$A,F481))</f>
        <v>Soda Pop</v>
      </c>
      <c r="H481" s="6" t="str">
        <f aca="false">IF(F481=0,"NOT FOUND",INDEX('All Song Rankings'!$B:$B,F481))</f>
        <v>Saja Boys</v>
      </c>
      <c r="I481" s="6" t="str">
        <f aca="false">IF(F481=0,"NOT FOUND",INDEX('All Song Rankings'!$D:$D,F481))</f>
        <v>Matt</v>
      </c>
      <c r="J481" s="7" t="str">
        <f aca="false">IF(F481=0,"NOT FOUND",IF(C481=I481,"SELF-VOTE",IF(COUNTIF($K:$K,K481)&gt;1,"DUPLICATE","OK")))</f>
        <v>OK</v>
      </c>
      <c r="K481" s="6" t="str">
        <f aca="false">A481&amp;"|"&amp;B481&amp;"|"&amp;C481&amp;"|"&amp;D481</f>
        <v>1|8|Logan|spotify:track:02sy7FAs8dkDNYsHp4Ul3f</v>
      </c>
    </row>
    <row r="482" customFormat="false" ht="15" hidden="false" customHeight="false" outlineLevel="0" collapsed="false">
      <c r="A482" s="5" t="n">
        <v>1</v>
      </c>
      <c r="B482" s="5" t="n">
        <v>8</v>
      </c>
      <c r="C482" s="5" t="s">
        <v>128</v>
      </c>
      <c r="D482" s="5" t="s">
        <v>336</v>
      </c>
      <c r="E482" s="5" t="n">
        <v>1</v>
      </c>
      <c r="F482" s="6" t="n">
        <f aca="false">IFERROR(MATCH(A482&amp;"|"&amp;B482&amp;"|"&amp;D482,'All Song Rankings'!$T:$T,0),0)</f>
        <v>77</v>
      </c>
      <c r="G482" s="6" t="str">
        <f aca="false">IF(F482=0,"NOT FOUND",INDEX('All Song Rankings'!$A:$A,F482))</f>
        <v>Golden</v>
      </c>
      <c r="H482" s="6" t="str">
        <f aca="false">IF(F482=0,"NOT FOUND",INDEX('All Song Rankings'!$B:$B,F482))</f>
        <v>HUNTR/X</v>
      </c>
      <c r="I482" s="6" t="str">
        <f aca="false">IF(F482=0,"NOT FOUND",INDEX('All Song Rankings'!$D:$D,F482))</f>
        <v>Olivia</v>
      </c>
      <c r="J482" s="7" t="str">
        <f aca="false">IF(F482=0,"NOT FOUND",IF(C482=I482,"SELF-VOTE",IF(COUNTIF($K:$K,K482)&gt;1,"DUPLICATE","OK")))</f>
        <v>OK</v>
      </c>
      <c r="K482" s="6" t="str">
        <f aca="false">A482&amp;"|"&amp;B482&amp;"|"&amp;C482&amp;"|"&amp;D482</f>
        <v>1|8|Logan|spotify:track:1CPZ5BxNNd0n0nF4Orb9JS</v>
      </c>
    </row>
    <row r="483" customFormat="false" ht="15" hidden="false" customHeight="false" outlineLevel="0" collapsed="false">
      <c r="A483" s="5" t="n">
        <v>1</v>
      </c>
      <c r="B483" s="5" t="n">
        <v>8</v>
      </c>
      <c r="C483" s="5" t="s">
        <v>128</v>
      </c>
      <c r="D483" s="5" t="s">
        <v>187</v>
      </c>
      <c r="E483" s="5" t="n">
        <v>1</v>
      </c>
      <c r="F483" s="6" t="n">
        <f aca="false">IFERROR(MATCH(A483&amp;"|"&amp;B483&amp;"|"&amp;D483,'All Song Rankings'!$T:$T,0),0)</f>
        <v>84</v>
      </c>
      <c r="G483" s="6" t="str">
        <f aca="false">IF(F483=0,"NOT FOUND",INDEX('All Song Rankings'!$A:$A,F483))</f>
        <v>Uptown Funk</v>
      </c>
      <c r="H483" s="6" t="str">
        <f aca="false">IF(F483=0,"NOT FOUND",INDEX('All Song Rankings'!$B:$B,F483))</f>
        <v>Mark Ronson</v>
      </c>
      <c r="I483" s="6" t="str">
        <f aca="false">IF(F483=0,"NOT FOUND",INDEX('All Song Rankings'!$D:$D,F483))</f>
        <v>Kristen</v>
      </c>
      <c r="J483" s="7" t="str">
        <f aca="false">IF(F483=0,"NOT FOUND",IF(C483=I483,"SELF-VOTE",IF(COUNTIF($K:$K,K483)&gt;1,"DUPLICATE","OK")))</f>
        <v>OK</v>
      </c>
      <c r="K483" s="6" t="str">
        <f aca="false">A483&amp;"|"&amp;B483&amp;"|"&amp;C483&amp;"|"&amp;D483</f>
        <v>1|8|Logan|spotify:track:32OlwWuMpZ6b0aN2RZOeMS</v>
      </c>
    </row>
    <row r="484" customFormat="false" ht="15" hidden="false" customHeight="false" outlineLevel="0" collapsed="false">
      <c r="A484" s="5" t="n">
        <v>1</v>
      </c>
      <c r="B484" s="5" t="n">
        <v>8</v>
      </c>
      <c r="C484" s="5" t="s">
        <v>128</v>
      </c>
      <c r="D484" s="5" t="s">
        <v>333</v>
      </c>
      <c r="E484" s="5" t="n">
        <v>2</v>
      </c>
      <c r="F484" s="6" t="n">
        <f aca="false">IFERROR(MATCH(A484&amp;"|"&amp;B484&amp;"|"&amp;D484,'All Song Rankings'!$T:$T,0),0)</f>
        <v>76</v>
      </c>
      <c r="G484" s="6" t="str">
        <f aca="false">IF(F484=0,"NOT FOUND",INDEX('All Song Rankings'!$A:$A,F484))</f>
        <v>STAY</v>
      </c>
      <c r="H484" s="6" t="str">
        <f aca="false">IF(F484=0,"NOT FOUND",INDEX('All Song Rankings'!$B:$B,F484))</f>
        <v>The Kid LAROI</v>
      </c>
      <c r="I484" s="6" t="str">
        <f aca="false">IF(F484=0,"NOT FOUND",INDEX('All Song Rankings'!$D:$D,F484))</f>
        <v>Merita</v>
      </c>
      <c r="J484" s="7" t="str">
        <f aca="false">IF(F484=0,"NOT FOUND",IF(C484=I484,"SELF-VOTE",IF(COUNTIF($K:$K,K484)&gt;1,"DUPLICATE","OK")))</f>
        <v>OK</v>
      </c>
      <c r="K484" s="6" t="str">
        <f aca="false">A484&amp;"|"&amp;B484&amp;"|"&amp;C484&amp;"|"&amp;D484</f>
        <v>1|8|Logan|spotify:track:5HCyWlXZPP0y6Gqq8TgA20</v>
      </c>
    </row>
    <row r="485" customFormat="false" ht="15" hidden="false" customHeight="false" outlineLevel="0" collapsed="false">
      <c r="A485" s="5" t="n">
        <v>1</v>
      </c>
      <c r="B485" s="5" t="n">
        <v>8</v>
      </c>
      <c r="C485" s="5" t="s">
        <v>128</v>
      </c>
      <c r="D485" s="5" t="s">
        <v>330</v>
      </c>
      <c r="E485" s="5" t="n">
        <v>2</v>
      </c>
      <c r="F485" s="6" t="n">
        <f aca="false">IFERROR(MATCH(A485&amp;"|"&amp;B485&amp;"|"&amp;D485,'All Song Rankings'!$T:$T,0),0)</f>
        <v>75</v>
      </c>
      <c r="G485" s="6" t="str">
        <f aca="false">IF(F485=0,"NOT FOUND",INDEX('All Song Rankings'!$A:$A,F485))</f>
        <v>APT.</v>
      </c>
      <c r="H485" s="6" t="str">
        <f aca="false">IF(F485=0,"NOT FOUND",INDEX('All Song Rankings'!$B:$B,F485))</f>
        <v>ROSÉ</v>
      </c>
      <c r="I485" s="6" t="str">
        <f aca="false">IF(F485=0,"NOT FOUND",INDEX('All Song Rankings'!$D:$D,F485))</f>
        <v>Stephanie</v>
      </c>
      <c r="J485" s="7" t="str">
        <f aca="false">IF(F485=0,"NOT FOUND",IF(C485=I485,"SELF-VOTE",IF(COUNTIF($K:$K,K485)&gt;1,"DUPLICATE","OK")))</f>
        <v>OK</v>
      </c>
      <c r="K485" s="6" t="str">
        <f aca="false">A485&amp;"|"&amp;B485&amp;"|"&amp;C485&amp;"|"&amp;D485</f>
        <v>1|8|Logan|spotify:track:5vNRhkKd0yEAg8suGBpjeY</v>
      </c>
    </row>
    <row r="486" customFormat="false" ht="15" hidden="false" customHeight="false" outlineLevel="0" collapsed="false">
      <c r="A486" s="5" t="n">
        <v>1</v>
      </c>
      <c r="B486" s="5" t="n">
        <v>8</v>
      </c>
      <c r="C486" s="5" t="s">
        <v>128</v>
      </c>
      <c r="D486" s="5" t="s">
        <v>348</v>
      </c>
      <c r="E486" s="5" t="n">
        <v>1</v>
      </c>
      <c r="F486" s="6" t="n">
        <f aca="false">IFERROR(MATCH(A486&amp;"|"&amp;B486&amp;"|"&amp;D486,'All Song Rankings'!$T:$T,0),0)</f>
        <v>81</v>
      </c>
      <c r="G486" s="6" t="str">
        <f aca="false">IF(F486=0,"NOT FOUND",INDEX('All Song Rankings'!$A:$A,F486))</f>
        <v>Shiny Teeth</v>
      </c>
      <c r="H486" s="6" t="str">
        <f aca="false">IF(F486=0,"NOT FOUND",INDEX('All Song Rankings'!$B:$B,F486))</f>
        <v>Nickelodeon</v>
      </c>
      <c r="I486" s="6" t="str">
        <f aca="false">IF(F486=0,"NOT FOUND",INDEX('All Song Rankings'!$D:$D,F486))</f>
        <v>Kelsey</v>
      </c>
      <c r="J486" s="7" t="str">
        <f aca="false">IF(F486=0,"NOT FOUND",IF(C486=I486,"SELF-VOTE",IF(COUNTIF($K:$K,K486)&gt;1,"DUPLICATE","OK")))</f>
        <v>OK</v>
      </c>
      <c r="K486" s="6" t="str">
        <f aca="false">A486&amp;"|"&amp;B486&amp;"|"&amp;C486&amp;"|"&amp;D486</f>
        <v>1|8|Logan|spotify:track:6B5PBsK6Kg2VUXwiPdU92p</v>
      </c>
    </row>
    <row r="487" customFormat="false" ht="15" hidden="false" customHeight="false" outlineLevel="0" collapsed="false">
      <c r="A487" s="5" t="n">
        <v>1</v>
      </c>
      <c r="B487" s="5" t="n">
        <v>8</v>
      </c>
      <c r="C487" s="5" t="s">
        <v>128</v>
      </c>
      <c r="D487" s="5" t="s">
        <v>360</v>
      </c>
      <c r="E487" s="5" t="n">
        <v>1</v>
      </c>
      <c r="F487" s="6" t="n">
        <f aca="false">IFERROR(MATCH(A487&amp;"|"&amp;B487&amp;"|"&amp;D487,'All Song Rankings'!$T:$T,0),0)</f>
        <v>86</v>
      </c>
      <c r="G487" s="6" t="str">
        <f aca="false">IF(F487=0,"NOT FOUND",INDEX('All Song Rankings'!$A:$A,F487))</f>
        <v>Порнозвезда</v>
      </c>
      <c r="H487" s="6" t="str">
        <f aca="false">IF(F487=0,"NOT FOUND",INDEX('All Song Rankings'!$B:$B,F487))</f>
        <v>PHARAOH</v>
      </c>
      <c r="I487" s="6" t="str">
        <f aca="false">IF(F487=0,"NOT FOUND",INDEX('All Song Rankings'!$D:$D,F487))</f>
        <v>Anya</v>
      </c>
      <c r="J487" s="7" t="str">
        <f aca="false">IF(F487=0,"NOT FOUND",IF(C487=I487,"SELF-VOTE",IF(COUNTIF($K:$K,K487)&gt;1,"DUPLICATE","OK")))</f>
        <v>OK</v>
      </c>
      <c r="K487" s="6" t="str">
        <f aca="false">A487&amp;"|"&amp;B487&amp;"|"&amp;C487&amp;"|"&amp;D487</f>
        <v>1|8|Logan|spotify:track:6XJPX1JLcJhyhPyvuuST2f</v>
      </c>
    </row>
    <row r="488" customFormat="false" ht="15" hidden="false" customHeight="false" outlineLevel="0" collapsed="false">
      <c r="A488" s="5" t="n">
        <v>1</v>
      </c>
      <c r="B488" s="5" t="n">
        <v>8</v>
      </c>
      <c r="C488" s="5" t="s">
        <v>128</v>
      </c>
      <c r="D488" s="5" t="s">
        <v>354</v>
      </c>
      <c r="E488" s="5" t="n">
        <v>1</v>
      </c>
      <c r="F488" s="6" t="n">
        <f aca="false">IFERROR(MATCH(A488&amp;"|"&amp;B488&amp;"|"&amp;D488,'All Song Rankings'!$T:$T,0),0)</f>
        <v>83</v>
      </c>
      <c r="G488" s="6" t="str">
        <f aca="false">IF(F488=0,"NOT FOUND",INDEX('All Song Rankings'!$A:$A,F488))</f>
        <v>It's A Small World</v>
      </c>
      <c r="H488" s="6" t="str">
        <f aca="false">IF(F488=0,"NOT FOUND",INDEX('All Song Rankings'!$B:$B,F488))</f>
        <v>The Disneyland Children's Chorus</v>
      </c>
      <c r="I488" s="6" t="str">
        <f aca="false">IF(F488=0,"NOT FOUND",INDEX('All Song Rankings'!$D:$D,F488))</f>
        <v>Leah</v>
      </c>
      <c r="J488" s="7" t="str">
        <f aca="false">IF(F488=0,"NOT FOUND",IF(C488=I488,"SELF-VOTE",IF(COUNTIF($K:$K,K488)&gt;1,"DUPLICATE","OK")))</f>
        <v>OK</v>
      </c>
      <c r="K488" s="6" t="str">
        <f aca="false">A488&amp;"|"&amp;B488&amp;"|"&amp;C488&amp;"|"&amp;D488</f>
        <v>1|8|Logan|spotify:track:6hVrlsXwBWVp5Lrc8FV4iB</v>
      </c>
    </row>
    <row r="489" customFormat="false" ht="15" hidden="false" customHeight="false" outlineLevel="0" collapsed="false">
      <c r="A489" s="5" t="n">
        <v>1</v>
      </c>
      <c r="B489" s="5" t="n">
        <v>8</v>
      </c>
      <c r="C489" s="5" t="s">
        <v>133</v>
      </c>
      <c r="D489" s="5" t="s">
        <v>339</v>
      </c>
      <c r="E489" s="5" t="n">
        <v>2</v>
      </c>
      <c r="F489" s="6" t="n">
        <f aca="false">IFERROR(MATCH(A489&amp;"|"&amp;B489&amp;"|"&amp;D489,'All Song Rankings'!$T:$T,0),0)</f>
        <v>78</v>
      </c>
      <c r="G489" s="6" t="str">
        <f aca="false">IF(F489=0,"NOT FOUND",INDEX('All Song Rankings'!$A:$A,F489))</f>
        <v>Soda Pop</v>
      </c>
      <c r="H489" s="6" t="str">
        <f aca="false">IF(F489=0,"NOT FOUND",INDEX('All Song Rankings'!$B:$B,F489))</f>
        <v>Saja Boys</v>
      </c>
      <c r="I489" s="6" t="str">
        <f aca="false">IF(F489=0,"NOT FOUND",INDEX('All Song Rankings'!$D:$D,F489))</f>
        <v>Matt</v>
      </c>
      <c r="J489" s="7" t="str">
        <f aca="false">IF(F489=0,"NOT FOUND",IF(C489=I489,"SELF-VOTE",IF(COUNTIF($K:$K,K489)&gt;1,"DUPLICATE","OK")))</f>
        <v>OK</v>
      </c>
      <c r="K489" s="6" t="str">
        <f aca="false">A489&amp;"|"&amp;B489&amp;"|"&amp;C489&amp;"|"&amp;D489</f>
        <v>1|8|Maryann|spotify:track:02sy7FAs8dkDNYsHp4Ul3f</v>
      </c>
    </row>
    <row r="490" customFormat="false" ht="15" hidden="false" customHeight="false" outlineLevel="0" collapsed="false">
      <c r="A490" s="5" t="n">
        <v>1</v>
      </c>
      <c r="B490" s="5" t="n">
        <v>8</v>
      </c>
      <c r="C490" s="5" t="s">
        <v>133</v>
      </c>
      <c r="D490" s="5" t="s">
        <v>336</v>
      </c>
      <c r="E490" s="5" t="n">
        <v>1</v>
      </c>
      <c r="F490" s="6" t="n">
        <f aca="false">IFERROR(MATCH(A490&amp;"|"&amp;B490&amp;"|"&amp;D490,'All Song Rankings'!$T:$T,0),0)</f>
        <v>77</v>
      </c>
      <c r="G490" s="6" t="str">
        <f aca="false">IF(F490=0,"NOT FOUND",INDEX('All Song Rankings'!$A:$A,F490))</f>
        <v>Golden</v>
      </c>
      <c r="H490" s="6" t="str">
        <f aca="false">IF(F490=0,"NOT FOUND",INDEX('All Song Rankings'!$B:$B,F490))</f>
        <v>HUNTR/X</v>
      </c>
      <c r="I490" s="6" t="str">
        <f aca="false">IF(F490=0,"NOT FOUND",INDEX('All Song Rankings'!$D:$D,F490))</f>
        <v>Olivia</v>
      </c>
      <c r="J490" s="7" t="str">
        <f aca="false">IF(F490=0,"NOT FOUND",IF(C490=I490,"SELF-VOTE",IF(COUNTIF($K:$K,K490)&gt;1,"DUPLICATE","OK")))</f>
        <v>OK</v>
      </c>
      <c r="K490" s="6" t="str">
        <f aca="false">A490&amp;"|"&amp;B490&amp;"|"&amp;C490&amp;"|"&amp;D490</f>
        <v>1|8|Maryann|spotify:track:1CPZ5BxNNd0n0nF4Orb9JS</v>
      </c>
    </row>
    <row r="491" customFormat="false" ht="15" hidden="false" customHeight="false" outlineLevel="0" collapsed="false">
      <c r="A491" s="5" t="n">
        <v>1</v>
      </c>
      <c r="B491" s="5" t="n">
        <v>8</v>
      </c>
      <c r="C491" s="5" t="s">
        <v>133</v>
      </c>
      <c r="D491" s="5" t="s">
        <v>333</v>
      </c>
      <c r="E491" s="5" t="n">
        <v>2</v>
      </c>
      <c r="F491" s="6" t="n">
        <f aca="false">IFERROR(MATCH(A491&amp;"|"&amp;B491&amp;"|"&amp;D491,'All Song Rankings'!$T:$T,0),0)</f>
        <v>76</v>
      </c>
      <c r="G491" s="6" t="str">
        <f aca="false">IF(F491=0,"NOT FOUND",INDEX('All Song Rankings'!$A:$A,F491))</f>
        <v>STAY</v>
      </c>
      <c r="H491" s="6" t="str">
        <f aca="false">IF(F491=0,"NOT FOUND",INDEX('All Song Rankings'!$B:$B,F491))</f>
        <v>The Kid LAROI</v>
      </c>
      <c r="I491" s="6" t="str">
        <f aca="false">IF(F491=0,"NOT FOUND",INDEX('All Song Rankings'!$D:$D,F491))</f>
        <v>Merita</v>
      </c>
      <c r="J491" s="7" t="str">
        <f aca="false">IF(F491=0,"NOT FOUND",IF(C491=I491,"SELF-VOTE",IF(COUNTIF($K:$K,K491)&gt;1,"DUPLICATE","OK")))</f>
        <v>OK</v>
      </c>
      <c r="K491" s="6" t="str">
        <f aca="false">A491&amp;"|"&amp;B491&amp;"|"&amp;C491&amp;"|"&amp;D491</f>
        <v>1|8|Maryann|spotify:track:5HCyWlXZPP0y6Gqq8TgA20</v>
      </c>
    </row>
    <row r="492" customFormat="false" ht="15" hidden="false" customHeight="false" outlineLevel="0" collapsed="false">
      <c r="A492" s="5" t="n">
        <v>1</v>
      </c>
      <c r="B492" s="5" t="n">
        <v>8</v>
      </c>
      <c r="C492" s="5" t="s">
        <v>133</v>
      </c>
      <c r="D492" s="5" t="s">
        <v>330</v>
      </c>
      <c r="E492" s="5" t="n">
        <v>1</v>
      </c>
      <c r="F492" s="6" t="n">
        <f aca="false">IFERROR(MATCH(A492&amp;"|"&amp;B492&amp;"|"&amp;D492,'All Song Rankings'!$T:$T,0),0)</f>
        <v>75</v>
      </c>
      <c r="G492" s="6" t="str">
        <f aca="false">IF(F492=0,"NOT FOUND",INDEX('All Song Rankings'!$A:$A,F492))</f>
        <v>APT.</v>
      </c>
      <c r="H492" s="6" t="str">
        <f aca="false">IF(F492=0,"NOT FOUND",INDEX('All Song Rankings'!$B:$B,F492))</f>
        <v>ROSÉ</v>
      </c>
      <c r="I492" s="6" t="str">
        <f aca="false">IF(F492=0,"NOT FOUND",INDEX('All Song Rankings'!$D:$D,F492))</f>
        <v>Stephanie</v>
      </c>
      <c r="J492" s="7" t="str">
        <f aca="false">IF(F492=0,"NOT FOUND",IF(C492=I492,"SELF-VOTE",IF(COUNTIF($K:$K,K492)&gt;1,"DUPLICATE","OK")))</f>
        <v>OK</v>
      </c>
      <c r="K492" s="6" t="str">
        <f aca="false">A492&amp;"|"&amp;B492&amp;"|"&amp;C492&amp;"|"&amp;D492</f>
        <v>1|8|Maryann|spotify:track:5vNRhkKd0yEAg8suGBpjeY</v>
      </c>
    </row>
    <row r="493" customFormat="false" ht="15" hidden="false" customHeight="false" outlineLevel="0" collapsed="false">
      <c r="A493" s="5" t="n">
        <v>1</v>
      </c>
      <c r="B493" s="5" t="n">
        <v>8</v>
      </c>
      <c r="C493" s="5" t="s">
        <v>133</v>
      </c>
      <c r="D493" s="5" t="s">
        <v>348</v>
      </c>
      <c r="E493" s="5" t="n">
        <v>2</v>
      </c>
      <c r="F493" s="6" t="n">
        <f aca="false">IFERROR(MATCH(A493&amp;"|"&amp;B493&amp;"|"&amp;D493,'All Song Rankings'!$T:$T,0),0)</f>
        <v>81</v>
      </c>
      <c r="G493" s="6" t="str">
        <f aca="false">IF(F493=0,"NOT FOUND",INDEX('All Song Rankings'!$A:$A,F493))</f>
        <v>Shiny Teeth</v>
      </c>
      <c r="H493" s="6" t="str">
        <f aca="false">IF(F493=0,"NOT FOUND",INDEX('All Song Rankings'!$B:$B,F493))</f>
        <v>Nickelodeon</v>
      </c>
      <c r="I493" s="6" t="str">
        <f aca="false">IF(F493=0,"NOT FOUND",INDEX('All Song Rankings'!$D:$D,F493))</f>
        <v>Kelsey</v>
      </c>
      <c r="J493" s="7" t="str">
        <f aca="false">IF(F493=0,"NOT FOUND",IF(C493=I493,"SELF-VOTE",IF(COUNTIF($K:$K,K493)&gt;1,"DUPLICATE","OK")))</f>
        <v>OK</v>
      </c>
      <c r="K493" s="6" t="str">
        <f aca="false">A493&amp;"|"&amp;B493&amp;"|"&amp;C493&amp;"|"&amp;D493</f>
        <v>1|8|Maryann|spotify:track:6B5PBsK6Kg2VUXwiPdU92p</v>
      </c>
    </row>
    <row r="494" customFormat="false" ht="15" hidden="false" customHeight="false" outlineLevel="0" collapsed="false">
      <c r="A494" s="5" t="n">
        <v>1</v>
      </c>
      <c r="B494" s="5" t="n">
        <v>8</v>
      </c>
      <c r="C494" s="5" t="s">
        <v>133</v>
      </c>
      <c r="D494" s="5" t="s">
        <v>345</v>
      </c>
      <c r="E494" s="5" t="n">
        <v>2</v>
      </c>
      <c r="F494" s="6" t="n">
        <f aca="false">IFERROR(MATCH(A494&amp;"|"&amp;B494&amp;"|"&amp;D494,'All Song Rankings'!$T:$T,0),0)</f>
        <v>80</v>
      </c>
      <c r="G494" s="6" t="str">
        <f aca="false">IF(F494=0,"NOT FOUND",INDEX('All Song Rankings'!$A:$A,F494))</f>
        <v>Nothing Can Stop Us Now</v>
      </c>
      <c r="H494" s="6" t="str">
        <f aca="false">IF(F494=0,"NOT FOUND",INDEX('All Song Rankings'!$B:$B,F494))</f>
        <v>Mickey &amp; Minnie</v>
      </c>
      <c r="I494" s="6" t="str">
        <f aca="false">IF(F494=0,"NOT FOUND",INDEX('All Song Rankings'!$D:$D,F494))</f>
        <v>Nicole</v>
      </c>
      <c r="J494" s="7" t="str">
        <f aca="false">IF(F494=0,"NOT FOUND",IF(C494=I494,"SELF-VOTE",IF(COUNTIF($K:$K,K494)&gt;1,"DUPLICATE","OK")))</f>
        <v>OK</v>
      </c>
      <c r="K494" s="6" t="str">
        <f aca="false">A494&amp;"|"&amp;B494&amp;"|"&amp;C494&amp;"|"&amp;D494</f>
        <v>1|8|Maryann|spotify:track:6manK5YRppWQriHBUsr3nK</v>
      </c>
    </row>
    <row r="495" customFormat="false" ht="15" hidden="false" customHeight="false" outlineLevel="0" collapsed="false">
      <c r="A495" s="5" t="n">
        <v>1</v>
      </c>
      <c r="B495" s="5" t="n">
        <v>8</v>
      </c>
      <c r="C495" s="5" t="s">
        <v>116</v>
      </c>
      <c r="D495" s="5" t="s">
        <v>336</v>
      </c>
      <c r="E495" s="5" t="n">
        <v>2</v>
      </c>
      <c r="F495" s="6" t="n">
        <f aca="false">IFERROR(MATCH(A495&amp;"|"&amp;B495&amp;"|"&amp;D495,'All Song Rankings'!$T:$T,0),0)</f>
        <v>77</v>
      </c>
      <c r="G495" s="6" t="str">
        <f aca="false">IF(F495=0,"NOT FOUND",INDEX('All Song Rankings'!$A:$A,F495))</f>
        <v>Golden</v>
      </c>
      <c r="H495" s="6" t="str">
        <f aca="false">IF(F495=0,"NOT FOUND",INDEX('All Song Rankings'!$B:$B,F495))</f>
        <v>HUNTR/X</v>
      </c>
      <c r="I495" s="6" t="str">
        <f aca="false">IF(F495=0,"NOT FOUND",INDEX('All Song Rankings'!$D:$D,F495))</f>
        <v>Olivia</v>
      </c>
      <c r="J495" s="7" t="str">
        <f aca="false">IF(F495=0,"NOT FOUND",IF(C495=I495,"SELF-VOTE",IF(COUNTIF($K:$K,K495)&gt;1,"DUPLICATE","OK")))</f>
        <v>OK</v>
      </c>
      <c r="K495" s="6" t="str">
        <f aca="false">A495&amp;"|"&amp;B495&amp;"|"&amp;C495&amp;"|"&amp;D495</f>
        <v>1|8|Matt|spotify:track:1CPZ5BxNNd0n0nF4Orb9JS</v>
      </c>
    </row>
    <row r="496" customFormat="false" ht="15" hidden="false" customHeight="false" outlineLevel="0" collapsed="false">
      <c r="A496" s="5" t="n">
        <v>1</v>
      </c>
      <c r="B496" s="5" t="n">
        <v>8</v>
      </c>
      <c r="C496" s="5" t="s">
        <v>116</v>
      </c>
      <c r="D496" s="5" t="s">
        <v>187</v>
      </c>
      <c r="E496" s="5" t="n">
        <v>1</v>
      </c>
      <c r="F496" s="6" t="n">
        <f aca="false">IFERROR(MATCH(A496&amp;"|"&amp;B496&amp;"|"&amp;D496,'All Song Rankings'!$T:$T,0),0)</f>
        <v>84</v>
      </c>
      <c r="G496" s="6" t="str">
        <f aca="false">IF(F496=0,"NOT FOUND",INDEX('All Song Rankings'!$A:$A,F496))</f>
        <v>Uptown Funk</v>
      </c>
      <c r="H496" s="6" t="str">
        <f aca="false">IF(F496=0,"NOT FOUND",INDEX('All Song Rankings'!$B:$B,F496))</f>
        <v>Mark Ronson</v>
      </c>
      <c r="I496" s="6" t="str">
        <f aca="false">IF(F496=0,"NOT FOUND",INDEX('All Song Rankings'!$D:$D,F496))</f>
        <v>Kristen</v>
      </c>
      <c r="J496" s="7" t="str">
        <f aca="false">IF(F496=0,"NOT FOUND",IF(C496=I496,"SELF-VOTE",IF(COUNTIF($K:$K,K496)&gt;1,"DUPLICATE","OK")))</f>
        <v>OK</v>
      </c>
      <c r="K496" s="6" t="str">
        <f aca="false">A496&amp;"|"&amp;B496&amp;"|"&amp;C496&amp;"|"&amp;D496</f>
        <v>1|8|Matt|spotify:track:32OlwWuMpZ6b0aN2RZOeMS</v>
      </c>
    </row>
    <row r="497" customFormat="false" ht="15" hidden="false" customHeight="false" outlineLevel="0" collapsed="false">
      <c r="A497" s="5" t="n">
        <v>1</v>
      </c>
      <c r="B497" s="5" t="n">
        <v>8</v>
      </c>
      <c r="C497" s="5" t="s">
        <v>116</v>
      </c>
      <c r="D497" s="5" t="s">
        <v>357</v>
      </c>
      <c r="E497" s="5" t="n">
        <v>1</v>
      </c>
      <c r="F497" s="6" t="n">
        <f aca="false">IFERROR(MATCH(A497&amp;"|"&amp;B497&amp;"|"&amp;D497,'All Song Rankings'!$T:$T,0),0)</f>
        <v>85</v>
      </c>
      <c r="G497" s="6" t="str">
        <f aca="false">IF(F497=0,"NOT FOUND",INDEX('All Song Rankings'!$A:$A,F497))</f>
        <v>Hazel Eyes</v>
      </c>
      <c r="H497" s="6" t="str">
        <f aca="false">IF(F497=0,"NOT FOUND",INDEX('All Song Rankings'!$B:$B,F497))</f>
        <v>Sabrina Jordan</v>
      </c>
      <c r="I497" s="6" t="str">
        <f aca="false">IF(F497=0,"NOT FOUND",INDEX('All Song Rankings'!$D:$D,F497))</f>
        <v>Collin</v>
      </c>
      <c r="J497" s="7" t="str">
        <f aca="false">IF(F497=0,"NOT FOUND",IF(C497=I497,"SELF-VOTE",IF(COUNTIF($K:$K,K497)&gt;1,"DUPLICATE","OK")))</f>
        <v>OK</v>
      </c>
      <c r="K497" s="6" t="str">
        <f aca="false">A497&amp;"|"&amp;B497&amp;"|"&amp;C497&amp;"|"&amp;D497</f>
        <v>1|8|Matt|spotify:track:4DvlcoeyHGPzlkSKZlVGSt</v>
      </c>
    </row>
    <row r="498" customFormat="false" ht="15" hidden="false" customHeight="false" outlineLevel="0" collapsed="false">
      <c r="A498" s="5" t="n">
        <v>1</v>
      </c>
      <c r="B498" s="5" t="n">
        <v>8</v>
      </c>
      <c r="C498" s="5" t="s">
        <v>116</v>
      </c>
      <c r="D498" s="5" t="s">
        <v>333</v>
      </c>
      <c r="E498" s="5" t="n">
        <v>1</v>
      </c>
      <c r="F498" s="6" t="n">
        <f aca="false">IFERROR(MATCH(A498&amp;"|"&amp;B498&amp;"|"&amp;D498,'All Song Rankings'!$T:$T,0),0)</f>
        <v>76</v>
      </c>
      <c r="G498" s="6" t="str">
        <f aca="false">IF(F498=0,"NOT FOUND",INDEX('All Song Rankings'!$A:$A,F498))</f>
        <v>STAY</v>
      </c>
      <c r="H498" s="6" t="str">
        <f aca="false">IF(F498=0,"NOT FOUND",INDEX('All Song Rankings'!$B:$B,F498))</f>
        <v>The Kid LAROI</v>
      </c>
      <c r="I498" s="6" t="str">
        <f aca="false">IF(F498=0,"NOT FOUND",INDEX('All Song Rankings'!$D:$D,F498))</f>
        <v>Merita</v>
      </c>
      <c r="J498" s="7" t="str">
        <f aca="false">IF(F498=0,"NOT FOUND",IF(C498=I498,"SELF-VOTE",IF(COUNTIF($K:$K,K498)&gt;1,"DUPLICATE","OK")))</f>
        <v>OK</v>
      </c>
      <c r="K498" s="6" t="str">
        <f aca="false">A498&amp;"|"&amp;B498&amp;"|"&amp;C498&amp;"|"&amp;D498</f>
        <v>1|8|Matt|spotify:track:5HCyWlXZPP0y6Gqq8TgA20</v>
      </c>
    </row>
    <row r="499" customFormat="false" ht="15" hidden="false" customHeight="false" outlineLevel="0" collapsed="false">
      <c r="A499" s="5" t="n">
        <v>1</v>
      </c>
      <c r="B499" s="5" t="n">
        <v>8</v>
      </c>
      <c r="C499" s="5" t="s">
        <v>116</v>
      </c>
      <c r="D499" s="5" t="s">
        <v>330</v>
      </c>
      <c r="E499" s="5" t="n">
        <v>2</v>
      </c>
      <c r="F499" s="6" t="n">
        <f aca="false">IFERROR(MATCH(A499&amp;"|"&amp;B499&amp;"|"&amp;D499,'All Song Rankings'!$T:$T,0),0)</f>
        <v>75</v>
      </c>
      <c r="G499" s="6" t="str">
        <f aca="false">IF(F499=0,"NOT FOUND",INDEX('All Song Rankings'!$A:$A,F499))</f>
        <v>APT.</v>
      </c>
      <c r="H499" s="6" t="str">
        <f aca="false">IF(F499=0,"NOT FOUND",INDEX('All Song Rankings'!$B:$B,F499))</f>
        <v>ROSÉ</v>
      </c>
      <c r="I499" s="6" t="str">
        <f aca="false">IF(F499=0,"NOT FOUND",INDEX('All Song Rankings'!$D:$D,F499))</f>
        <v>Stephanie</v>
      </c>
      <c r="J499" s="7" t="str">
        <f aca="false">IF(F499=0,"NOT FOUND",IF(C499=I499,"SELF-VOTE",IF(COUNTIF($K:$K,K499)&gt;1,"DUPLICATE","OK")))</f>
        <v>OK</v>
      </c>
      <c r="K499" s="6" t="str">
        <f aca="false">A499&amp;"|"&amp;B499&amp;"|"&amp;C499&amp;"|"&amp;D499</f>
        <v>1|8|Matt|spotify:track:5vNRhkKd0yEAg8suGBpjeY</v>
      </c>
    </row>
    <row r="500" customFormat="false" ht="15" hidden="false" customHeight="false" outlineLevel="0" collapsed="false">
      <c r="A500" s="5" t="n">
        <v>1</v>
      </c>
      <c r="B500" s="5" t="n">
        <v>8</v>
      </c>
      <c r="C500" s="5" t="s">
        <v>116</v>
      </c>
      <c r="D500" s="5" t="s">
        <v>348</v>
      </c>
      <c r="E500" s="5" t="n">
        <v>1</v>
      </c>
      <c r="F500" s="6" t="n">
        <f aca="false">IFERROR(MATCH(A500&amp;"|"&amp;B500&amp;"|"&amp;D500,'All Song Rankings'!$T:$T,0),0)</f>
        <v>81</v>
      </c>
      <c r="G500" s="6" t="str">
        <f aca="false">IF(F500=0,"NOT FOUND",INDEX('All Song Rankings'!$A:$A,F500))</f>
        <v>Shiny Teeth</v>
      </c>
      <c r="H500" s="6" t="str">
        <f aca="false">IF(F500=0,"NOT FOUND",INDEX('All Song Rankings'!$B:$B,F500))</f>
        <v>Nickelodeon</v>
      </c>
      <c r="I500" s="6" t="str">
        <f aca="false">IF(F500=0,"NOT FOUND",INDEX('All Song Rankings'!$D:$D,F500))</f>
        <v>Kelsey</v>
      </c>
      <c r="J500" s="7" t="str">
        <f aca="false">IF(F500=0,"NOT FOUND",IF(C500=I500,"SELF-VOTE",IF(COUNTIF($K:$K,K500)&gt;1,"DUPLICATE","OK")))</f>
        <v>OK</v>
      </c>
      <c r="K500" s="6" t="str">
        <f aca="false">A500&amp;"|"&amp;B500&amp;"|"&amp;C500&amp;"|"&amp;D500</f>
        <v>1|8|Matt|spotify:track:6B5PBsK6Kg2VUXwiPdU92p</v>
      </c>
    </row>
    <row r="501" customFormat="false" ht="15" hidden="false" customHeight="false" outlineLevel="0" collapsed="false">
      <c r="A501" s="5" t="n">
        <v>1</v>
      </c>
      <c r="B501" s="5" t="n">
        <v>8</v>
      </c>
      <c r="C501" s="5" t="s">
        <v>116</v>
      </c>
      <c r="D501" s="5" t="s">
        <v>360</v>
      </c>
      <c r="E501" s="5" t="n">
        <v>1</v>
      </c>
      <c r="F501" s="6" t="n">
        <f aca="false">IFERROR(MATCH(A501&amp;"|"&amp;B501&amp;"|"&amp;D501,'All Song Rankings'!$T:$T,0),0)</f>
        <v>86</v>
      </c>
      <c r="G501" s="6" t="str">
        <f aca="false">IF(F501=0,"NOT FOUND",INDEX('All Song Rankings'!$A:$A,F501))</f>
        <v>Порнозвезда</v>
      </c>
      <c r="H501" s="6" t="str">
        <f aca="false">IF(F501=0,"NOT FOUND",INDEX('All Song Rankings'!$B:$B,F501))</f>
        <v>PHARAOH</v>
      </c>
      <c r="I501" s="6" t="str">
        <f aca="false">IF(F501=0,"NOT FOUND",INDEX('All Song Rankings'!$D:$D,F501))</f>
        <v>Anya</v>
      </c>
      <c r="J501" s="7" t="str">
        <f aca="false">IF(F501=0,"NOT FOUND",IF(C501=I501,"SELF-VOTE",IF(COUNTIF($K:$K,K501)&gt;1,"DUPLICATE","OK")))</f>
        <v>OK</v>
      </c>
      <c r="K501" s="6" t="str">
        <f aca="false">A501&amp;"|"&amp;B501&amp;"|"&amp;C501&amp;"|"&amp;D501</f>
        <v>1|8|Matt|spotify:track:6XJPX1JLcJhyhPyvuuST2f</v>
      </c>
    </row>
    <row r="502" customFormat="false" ht="15" hidden="false" customHeight="false" outlineLevel="0" collapsed="false">
      <c r="A502" s="5" t="n">
        <v>1</v>
      </c>
      <c r="B502" s="5" t="n">
        <v>8</v>
      </c>
      <c r="C502" s="5" t="s">
        <v>116</v>
      </c>
      <c r="D502" s="5" t="s">
        <v>354</v>
      </c>
      <c r="E502" s="5" t="n">
        <v>1</v>
      </c>
      <c r="F502" s="6" t="n">
        <f aca="false">IFERROR(MATCH(A502&amp;"|"&amp;B502&amp;"|"&amp;D502,'All Song Rankings'!$T:$T,0),0)</f>
        <v>83</v>
      </c>
      <c r="G502" s="6" t="str">
        <f aca="false">IF(F502=0,"NOT FOUND",INDEX('All Song Rankings'!$A:$A,F502))</f>
        <v>It's A Small World</v>
      </c>
      <c r="H502" s="6" t="str">
        <f aca="false">IF(F502=0,"NOT FOUND",INDEX('All Song Rankings'!$B:$B,F502))</f>
        <v>The Disneyland Children's Chorus</v>
      </c>
      <c r="I502" s="6" t="str">
        <f aca="false">IF(F502=0,"NOT FOUND",INDEX('All Song Rankings'!$D:$D,F502))</f>
        <v>Leah</v>
      </c>
      <c r="J502" s="7" t="str">
        <f aca="false">IF(F502=0,"NOT FOUND",IF(C502=I502,"SELF-VOTE",IF(COUNTIF($K:$K,K502)&gt;1,"DUPLICATE","OK")))</f>
        <v>OK</v>
      </c>
      <c r="K502" s="6" t="str">
        <f aca="false">A502&amp;"|"&amp;B502&amp;"|"&amp;C502&amp;"|"&amp;D502</f>
        <v>1|8|Matt|spotify:track:6hVrlsXwBWVp5Lrc8FV4iB</v>
      </c>
    </row>
    <row r="503" customFormat="false" ht="15" hidden="false" customHeight="false" outlineLevel="0" collapsed="false">
      <c r="A503" s="5" t="n">
        <v>1</v>
      </c>
      <c r="B503" s="5" t="n">
        <v>8</v>
      </c>
      <c r="C503" s="5" t="s">
        <v>101</v>
      </c>
      <c r="D503" s="5" t="s">
        <v>339</v>
      </c>
      <c r="E503" s="5" t="n">
        <v>2</v>
      </c>
      <c r="F503" s="6" t="n">
        <f aca="false">IFERROR(MATCH(A503&amp;"|"&amp;B503&amp;"|"&amp;D503,'All Song Rankings'!$T:$T,0),0)</f>
        <v>78</v>
      </c>
      <c r="G503" s="6" t="str">
        <f aca="false">IF(F503=0,"NOT FOUND",INDEX('All Song Rankings'!$A:$A,F503))</f>
        <v>Soda Pop</v>
      </c>
      <c r="H503" s="6" t="str">
        <f aca="false">IF(F503=0,"NOT FOUND",INDEX('All Song Rankings'!$B:$B,F503))</f>
        <v>Saja Boys</v>
      </c>
      <c r="I503" s="6" t="str">
        <f aca="false">IF(F503=0,"NOT FOUND",INDEX('All Song Rankings'!$D:$D,F503))</f>
        <v>Matt</v>
      </c>
      <c r="J503" s="7" t="str">
        <f aca="false">IF(F503=0,"NOT FOUND",IF(C503=I503,"SELF-VOTE",IF(COUNTIF($K:$K,K503)&gt;1,"DUPLICATE","OK")))</f>
        <v>OK</v>
      </c>
      <c r="K503" s="6" t="str">
        <f aca="false">A503&amp;"|"&amp;B503&amp;"|"&amp;C503&amp;"|"&amp;D503</f>
        <v>1|8|Merita|spotify:track:02sy7FAs8dkDNYsHp4Ul3f</v>
      </c>
    </row>
    <row r="504" customFormat="false" ht="15" hidden="false" customHeight="false" outlineLevel="0" collapsed="false">
      <c r="A504" s="5" t="n">
        <v>1</v>
      </c>
      <c r="B504" s="5" t="n">
        <v>8</v>
      </c>
      <c r="C504" s="5" t="s">
        <v>101</v>
      </c>
      <c r="D504" s="5" t="s">
        <v>342</v>
      </c>
      <c r="E504" s="5" t="n">
        <v>2</v>
      </c>
      <c r="F504" s="6" t="n">
        <f aca="false">IFERROR(MATCH(A504&amp;"|"&amp;B504&amp;"|"&amp;D504,'All Song Rankings'!$T:$T,0),0)</f>
        <v>79</v>
      </c>
      <c r="G504" s="6" t="str">
        <f aca="false">IF(F504=0,"NOT FOUND",INDEX('All Song Rankings'!$A:$A,F504))</f>
        <v>Axel F</v>
      </c>
      <c r="H504" s="6" t="str">
        <f aca="false">IF(F504=0,"NOT FOUND",INDEX('All Song Rankings'!$B:$B,F504))</f>
        <v>Crazy Frog</v>
      </c>
      <c r="I504" s="6" t="str">
        <f aca="false">IF(F504=0,"NOT FOUND",INDEX('All Song Rankings'!$D:$D,F504))</f>
        <v>Maryann</v>
      </c>
      <c r="J504" s="7" t="str">
        <f aca="false">IF(F504=0,"NOT FOUND",IF(C504=I504,"SELF-VOTE",IF(COUNTIF($K:$K,K504)&gt;1,"DUPLICATE","OK")))</f>
        <v>OK</v>
      </c>
      <c r="K504" s="6" t="str">
        <f aca="false">A504&amp;"|"&amp;B504&amp;"|"&amp;C504&amp;"|"&amp;D504</f>
        <v>1|8|Merita|spotify:track:0Bo5fjMtTfCD8vHGebivqc</v>
      </c>
    </row>
    <row r="505" customFormat="false" ht="15" hidden="false" customHeight="false" outlineLevel="0" collapsed="false">
      <c r="A505" s="5" t="n">
        <v>1</v>
      </c>
      <c r="B505" s="5" t="n">
        <v>8</v>
      </c>
      <c r="C505" s="5" t="s">
        <v>101</v>
      </c>
      <c r="D505" s="5" t="s">
        <v>187</v>
      </c>
      <c r="E505" s="5" t="n">
        <v>1</v>
      </c>
      <c r="F505" s="6" t="n">
        <f aca="false">IFERROR(MATCH(A505&amp;"|"&amp;B505&amp;"|"&amp;D505,'All Song Rankings'!$T:$T,0),0)</f>
        <v>84</v>
      </c>
      <c r="G505" s="6" t="str">
        <f aca="false">IF(F505=0,"NOT FOUND",INDEX('All Song Rankings'!$A:$A,F505))</f>
        <v>Uptown Funk</v>
      </c>
      <c r="H505" s="6" t="str">
        <f aca="false">IF(F505=0,"NOT FOUND",INDEX('All Song Rankings'!$B:$B,F505))</f>
        <v>Mark Ronson</v>
      </c>
      <c r="I505" s="6" t="str">
        <f aca="false">IF(F505=0,"NOT FOUND",INDEX('All Song Rankings'!$D:$D,F505))</f>
        <v>Kristen</v>
      </c>
      <c r="J505" s="7" t="str">
        <f aca="false">IF(F505=0,"NOT FOUND",IF(C505=I505,"SELF-VOTE",IF(COUNTIF($K:$K,K505)&gt;1,"DUPLICATE","OK")))</f>
        <v>OK</v>
      </c>
      <c r="K505" s="6" t="str">
        <f aca="false">A505&amp;"|"&amp;B505&amp;"|"&amp;C505&amp;"|"&amp;D505</f>
        <v>1|8|Merita|spotify:track:32OlwWuMpZ6b0aN2RZOeMS</v>
      </c>
    </row>
    <row r="506" customFormat="false" ht="15" hidden="false" customHeight="false" outlineLevel="0" collapsed="false">
      <c r="A506" s="5" t="n">
        <v>1</v>
      </c>
      <c r="B506" s="5" t="n">
        <v>8</v>
      </c>
      <c r="C506" s="5" t="s">
        <v>101</v>
      </c>
      <c r="D506" s="5" t="s">
        <v>351</v>
      </c>
      <c r="E506" s="5" t="n">
        <v>3</v>
      </c>
      <c r="F506" s="6" t="n">
        <f aca="false">IFERROR(MATCH(A506&amp;"|"&amp;B506&amp;"|"&amp;D506,'All Song Rankings'!$T:$T,0),0)</f>
        <v>82</v>
      </c>
      <c r="G506" s="6" t="str">
        <f aca="false">IF(F506=0,"NOT FOUND",INDEX('All Song Rankings'!$A:$A,F506))</f>
        <v>WHERE IS MY HUSBAND!</v>
      </c>
      <c r="H506" s="6" t="str">
        <f aca="false">IF(F506=0,"NOT FOUND",INDEX('All Song Rankings'!$B:$B,F506))</f>
        <v>RAYE</v>
      </c>
      <c r="I506" s="6" t="str">
        <f aca="false">IF(F506=0,"NOT FOUND",INDEX('All Song Rankings'!$D:$D,F506))</f>
        <v>Logan</v>
      </c>
      <c r="J506" s="7" t="str">
        <f aca="false">IF(F506=0,"NOT FOUND",IF(C506=I506,"SELF-VOTE",IF(COUNTIF($K:$K,K506)&gt;1,"DUPLICATE","OK")))</f>
        <v>OK</v>
      </c>
      <c r="K506" s="6" t="str">
        <f aca="false">A506&amp;"|"&amp;B506&amp;"|"&amp;C506&amp;"|"&amp;D506</f>
        <v>1|8|Merita|spotify:track:55lijDD6OAjLFFUHU9tcDm</v>
      </c>
    </row>
    <row r="507" customFormat="false" ht="15" hidden="false" customHeight="false" outlineLevel="0" collapsed="false">
      <c r="A507" s="5" t="n">
        <v>1</v>
      </c>
      <c r="B507" s="5" t="n">
        <v>8</v>
      </c>
      <c r="C507" s="5" t="s">
        <v>101</v>
      </c>
      <c r="D507" s="5" t="s">
        <v>330</v>
      </c>
      <c r="E507" s="5" t="n">
        <v>1</v>
      </c>
      <c r="F507" s="6" t="n">
        <f aca="false">IFERROR(MATCH(A507&amp;"|"&amp;B507&amp;"|"&amp;D507,'All Song Rankings'!$T:$T,0),0)</f>
        <v>75</v>
      </c>
      <c r="G507" s="6" t="str">
        <f aca="false">IF(F507=0,"NOT FOUND",INDEX('All Song Rankings'!$A:$A,F507))</f>
        <v>APT.</v>
      </c>
      <c r="H507" s="6" t="str">
        <f aca="false">IF(F507=0,"NOT FOUND",INDEX('All Song Rankings'!$B:$B,F507))</f>
        <v>ROSÉ</v>
      </c>
      <c r="I507" s="6" t="str">
        <f aca="false">IF(F507=0,"NOT FOUND",INDEX('All Song Rankings'!$D:$D,F507))</f>
        <v>Stephanie</v>
      </c>
      <c r="J507" s="7" t="str">
        <f aca="false">IF(F507=0,"NOT FOUND",IF(C507=I507,"SELF-VOTE",IF(COUNTIF($K:$K,K507)&gt;1,"DUPLICATE","OK")))</f>
        <v>OK</v>
      </c>
      <c r="K507" s="6" t="str">
        <f aca="false">A507&amp;"|"&amp;B507&amp;"|"&amp;C507&amp;"|"&amp;D507</f>
        <v>1|8|Merita|spotify:track:5vNRhkKd0yEAg8suGBpjeY</v>
      </c>
    </row>
    <row r="508" customFormat="false" ht="15" hidden="false" customHeight="false" outlineLevel="0" collapsed="false">
      <c r="A508" s="5" t="n">
        <v>1</v>
      </c>
      <c r="B508" s="5" t="n">
        <v>8</v>
      </c>
      <c r="C508" s="5" t="s">
        <v>101</v>
      </c>
      <c r="D508" s="5" t="s">
        <v>348</v>
      </c>
      <c r="E508" s="5" t="n">
        <v>1</v>
      </c>
      <c r="F508" s="6" t="n">
        <f aca="false">IFERROR(MATCH(A508&amp;"|"&amp;B508&amp;"|"&amp;D508,'All Song Rankings'!$T:$T,0),0)</f>
        <v>81</v>
      </c>
      <c r="G508" s="6" t="str">
        <f aca="false">IF(F508=0,"NOT FOUND",INDEX('All Song Rankings'!$A:$A,F508))</f>
        <v>Shiny Teeth</v>
      </c>
      <c r="H508" s="6" t="str">
        <f aca="false">IF(F508=0,"NOT FOUND",INDEX('All Song Rankings'!$B:$B,F508))</f>
        <v>Nickelodeon</v>
      </c>
      <c r="I508" s="6" t="str">
        <f aca="false">IF(F508=0,"NOT FOUND",INDEX('All Song Rankings'!$D:$D,F508))</f>
        <v>Kelsey</v>
      </c>
      <c r="J508" s="7" t="str">
        <f aca="false">IF(F508=0,"NOT FOUND",IF(C508=I508,"SELF-VOTE",IF(COUNTIF($K:$K,K508)&gt;1,"DUPLICATE","OK")))</f>
        <v>OK</v>
      </c>
      <c r="K508" s="6" t="str">
        <f aca="false">A508&amp;"|"&amp;B508&amp;"|"&amp;C508&amp;"|"&amp;D508</f>
        <v>1|8|Merita|spotify:track:6B5PBsK6Kg2VUXwiPdU92p</v>
      </c>
    </row>
    <row r="509" customFormat="false" ht="15" hidden="false" customHeight="false" outlineLevel="0" collapsed="false">
      <c r="A509" s="5" t="n">
        <v>1</v>
      </c>
      <c r="B509" s="5" t="n">
        <v>8</v>
      </c>
      <c r="C509" s="5" t="s">
        <v>92</v>
      </c>
      <c r="D509" s="5" t="s">
        <v>336</v>
      </c>
      <c r="E509" s="5" t="n">
        <v>1</v>
      </c>
      <c r="F509" s="6" t="n">
        <f aca="false">IFERROR(MATCH(A509&amp;"|"&amp;B509&amp;"|"&amp;D509,'All Song Rankings'!$T:$T,0),0)</f>
        <v>77</v>
      </c>
      <c r="G509" s="6" t="str">
        <f aca="false">IF(F509=0,"NOT FOUND",INDEX('All Song Rankings'!$A:$A,F509))</f>
        <v>Golden</v>
      </c>
      <c r="H509" s="6" t="str">
        <f aca="false">IF(F509=0,"NOT FOUND",INDEX('All Song Rankings'!$B:$B,F509))</f>
        <v>HUNTR/X</v>
      </c>
      <c r="I509" s="6" t="str">
        <f aca="false">IF(F509=0,"NOT FOUND",INDEX('All Song Rankings'!$D:$D,F509))</f>
        <v>Olivia</v>
      </c>
      <c r="J509" s="7" t="str">
        <f aca="false">IF(F509=0,"NOT FOUND",IF(C509=I509,"SELF-VOTE",IF(COUNTIF($K:$K,K509)&gt;1,"DUPLICATE","OK")))</f>
        <v>OK</v>
      </c>
      <c r="K509" s="6" t="str">
        <f aca="false">A509&amp;"|"&amp;B509&amp;"|"&amp;C509&amp;"|"&amp;D509</f>
        <v>1|8|Nicole|spotify:track:1CPZ5BxNNd0n0nF4Orb9JS</v>
      </c>
    </row>
    <row r="510" customFormat="false" ht="15" hidden="false" customHeight="false" outlineLevel="0" collapsed="false">
      <c r="A510" s="5" t="n">
        <v>1</v>
      </c>
      <c r="B510" s="5" t="n">
        <v>8</v>
      </c>
      <c r="C510" s="5" t="s">
        <v>92</v>
      </c>
      <c r="D510" s="5" t="s">
        <v>187</v>
      </c>
      <c r="E510" s="5" t="n">
        <v>1</v>
      </c>
      <c r="F510" s="6" t="n">
        <f aca="false">IFERROR(MATCH(A510&amp;"|"&amp;B510&amp;"|"&amp;D510,'All Song Rankings'!$T:$T,0),0)</f>
        <v>84</v>
      </c>
      <c r="G510" s="6" t="str">
        <f aca="false">IF(F510=0,"NOT FOUND",INDEX('All Song Rankings'!$A:$A,F510))</f>
        <v>Uptown Funk</v>
      </c>
      <c r="H510" s="6" t="str">
        <f aca="false">IF(F510=0,"NOT FOUND",INDEX('All Song Rankings'!$B:$B,F510))</f>
        <v>Mark Ronson</v>
      </c>
      <c r="I510" s="6" t="str">
        <f aca="false">IF(F510=0,"NOT FOUND",INDEX('All Song Rankings'!$D:$D,F510))</f>
        <v>Kristen</v>
      </c>
      <c r="J510" s="7" t="str">
        <f aca="false">IF(F510=0,"NOT FOUND",IF(C510=I510,"SELF-VOTE",IF(COUNTIF($K:$K,K510)&gt;1,"DUPLICATE","OK")))</f>
        <v>OK</v>
      </c>
      <c r="K510" s="6" t="str">
        <f aca="false">A510&amp;"|"&amp;B510&amp;"|"&amp;C510&amp;"|"&amp;D510</f>
        <v>1|8|Nicole|spotify:track:32OlwWuMpZ6b0aN2RZOeMS</v>
      </c>
    </row>
    <row r="511" customFormat="false" ht="15" hidden="false" customHeight="false" outlineLevel="0" collapsed="false">
      <c r="A511" s="5" t="n">
        <v>1</v>
      </c>
      <c r="B511" s="5" t="n">
        <v>8</v>
      </c>
      <c r="C511" s="5" t="s">
        <v>92</v>
      </c>
      <c r="D511" s="5" t="s">
        <v>357</v>
      </c>
      <c r="E511" s="5" t="n">
        <v>2</v>
      </c>
      <c r="F511" s="6" t="n">
        <f aca="false">IFERROR(MATCH(A511&amp;"|"&amp;B511&amp;"|"&amp;D511,'All Song Rankings'!$T:$T,0),0)</f>
        <v>85</v>
      </c>
      <c r="G511" s="6" t="str">
        <f aca="false">IF(F511=0,"NOT FOUND",INDEX('All Song Rankings'!$A:$A,F511))</f>
        <v>Hazel Eyes</v>
      </c>
      <c r="H511" s="6" t="str">
        <f aca="false">IF(F511=0,"NOT FOUND",INDEX('All Song Rankings'!$B:$B,F511))</f>
        <v>Sabrina Jordan</v>
      </c>
      <c r="I511" s="6" t="str">
        <f aca="false">IF(F511=0,"NOT FOUND",INDEX('All Song Rankings'!$D:$D,F511))</f>
        <v>Collin</v>
      </c>
      <c r="J511" s="7" t="str">
        <f aca="false">IF(F511=0,"NOT FOUND",IF(C511=I511,"SELF-VOTE",IF(COUNTIF($K:$K,K511)&gt;1,"DUPLICATE","OK")))</f>
        <v>OK</v>
      </c>
      <c r="K511" s="6" t="str">
        <f aca="false">A511&amp;"|"&amp;B511&amp;"|"&amp;C511&amp;"|"&amp;D511</f>
        <v>1|8|Nicole|spotify:track:4DvlcoeyHGPzlkSKZlVGSt</v>
      </c>
    </row>
    <row r="512" customFormat="false" ht="15" hidden="false" customHeight="false" outlineLevel="0" collapsed="false">
      <c r="A512" s="5" t="n">
        <v>1</v>
      </c>
      <c r="B512" s="5" t="n">
        <v>8</v>
      </c>
      <c r="C512" s="5" t="s">
        <v>92</v>
      </c>
      <c r="D512" s="5" t="s">
        <v>351</v>
      </c>
      <c r="E512" s="5" t="n">
        <v>1</v>
      </c>
      <c r="F512" s="6" t="n">
        <f aca="false">IFERROR(MATCH(A512&amp;"|"&amp;B512&amp;"|"&amp;D512,'All Song Rankings'!$T:$T,0),0)</f>
        <v>82</v>
      </c>
      <c r="G512" s="6" t="str">
        <f aca="false">IF(F512=0,"NOT FOUND",INDEX('All Song Rankings'!$A:$A,F512))</f>
        <v>WHERE IS MY HUSBAND!</v>
      </c>
      <c r="H512" s="6" t="str">
        <f aca="false">IF(F512=0,"NOT FOUND",INDEX('All Song Rankings'!$B:$B,F512))</f>
        <v>RAYE</v>
      </c>
      <c r="I512" s="6" t="str">
        <f aca="false">IF(F512=0,"NOT FOUND",INDEX('All Song Rankings'!$D:$D,F512))</f>
        <v>Logan</v>
      </c>
      <c r="J512" s="7" t="str">
        <f aca="false">IF(F512=0,"NOT FOUND",IF(C512=I512,"SELF-VOTE",IF(COUNTIF($K:$K,K512)&gt;1,"DUPLICATE","OK")))</f>
        <v>OK</v>
      </c>
      <c r="K512" s="6" t="str">
        <f aca="false">A512&amp;"|"&amp;B512&amp;"|"&amp;C512&amp;"|"&amp;D512</f>
        <v>1|8|Nicole|spotify:track:55lijDD6OAjLFFUHU9tcDm</v>
      </c>
    </row>
    <row r="513" customFormat="false" ht="15" hidden="false" customHeight="false" outlineLevel="0" collapsed="false">
      <c r="A513" s="5" t="n">
        <v>1</v>
      </c>
      <c r="B513" s="5" t="n">
        <v>8</v>
      </c>
      <c r="C513" s="5" t="s">
        <v>92</v>
      </c>
      <c r="D513" s="5" t="s">
        <v>333</v>
      </c>
      <c r="E513" s="5" t="n">
        <v>2</v>
      </c>
      <c r="F513" s="6" t="n">
        <f aca="false">IFERROR(MATCH(A513&amp;"|"&amp;B513&amp;"|"&amp;D513,'All Song Rankings'!$T:$T,0),0)</f>
        <v>76</v>
      </c>
      <c r="G513" s="6" t="str">
        <f aca="false">IF(F513=0,"NOT FOUND",INDEX('All Song Rankings'!$A:$A,F513))</f>
        <v>STAY</v>
      </c>
      <c r="H513" s="6" t="str">
        <f aca="false">IF(F513=0,"NOT FOUND",INDEX('All Song Rankings'!$B:$B,F513))</f>
        <v>The Kid LAROI</v>
      </c>
      <c r="I513" s="6" t="str">
        <f aca="false">IF(F513=0,"NOT FOUND",INDEX('All Song Rankings'!$D:$D,F513))</f>
        <v>Merita</v>
      </c>
      <c r="J513" s="7" t="str">
        <f aca="false">IF(F513=0,"NOT FOUND",IF(C513=I513,"SELF-VOTE",IF(COUNTIF($K:$K,K513)&gt;1,"DUPLICATE","OK")))</f>
        <v>OK</v>
      </c>
      <c r="K513" s="6" t="str">
        <f aca="false">A513&amp;"|"&amp;B513&amp;"|"&amp;C513&amp;"|"&amp;D513</f>
        <v>1|8|Nicole|spotify:track:5HCyWlXZPP0y6Gqq8TgA20</v>
      </c>
    </row>
    <row r="514" customFormat="false" ht="15" hidden="false" customHeight="false" outlineLevel="0" collapsed="false">
      <c r="A514" s="5" t="n">
        <v>1</v>
      </c>
      <c r="B514" s="5" t="n">
        <v>8</v>
      </c>
      <c r="C514" s="5" t="s">
        <v>92</v>
      </c>
      <c r="D514" s="5" t="s">
        <v>330</v>
      </c>
      <c r="E514" s="5" t="n">
        <v>1</v>
      </c>
      <c r="F514" s="6" t="n">
        <f aca="false">IFERROR(MATCH(A514&amp;"|"&amp;B514&amp;"|"&amp;D514,'All Song Rankings'!$T:$T,0),0)</f>
        <v>75</v>
      </c>
      <c r="G514" s="6" t="str">
        <f aca="false">IF(F514=0,"NOT FOUND",INDEX('All Song Rankings'!$A:$A,F514))</f>
        <v>APT.</v>
      </c>
      <c r="H514" s="6" t="str">
        <f aca="false">IF(F514=0,"NOT FOUND",INDEX('All Song Rankings'!$B:$B,F514))</f>
        <v>ROSÉ</v>
      </c>
      <c r="I514" s="6" t="str">
        <f aca="false">IF(F514=0,"NOT FOUND",INDEX('All Song Rankings'!$D:$D,F514))</f>
        <v>Stephanie</v>
      </c>
      <c r="J514" s="7" t="str">
        <f aca="false">IF(F514=0,"NOT FOUND",IF(C514=I514,"SELF-VOTE",IF(COUNTIF($K:$K,K514)&gt;1,"DUPLICATE","OK")))</f>
        <v>OK</v>
      </c>
      <c r="K514" s="6" t="str">
        <f aca="false">A514&amp;"|"&amp;B514&amp;"|"&amp;C514&amp;"|"&amp;D514</f>
        <v>1|8|Nicole|spotify:track:5vNRhkKd0yEAg8suGBpjeY</v>
      </c>
    </row>
    <row r="515" customFormat="false" ht="15" hidden="false" customHeight="false" outlineLevel="0" collapsed="false">
      <c r="A515" s="5" t="n">
        <v>1</v>
      </c>
      <c r="B515" s="5" t="n">
        <v>8</v>
      </c>
      <c r="C515" s="5" t="s">
        <v>92</v>
      </c>
      <c r="D515" s="5" t="s">
        <v>348</v>
      </c>
      <c r="E515" s="5" t="n">
        <v>1</v>
      </c>
      <c r="F515" s="6" t="n">
        <f aca="false">IFERROR(MATCH(A515&amp;"|"&amp;B515&amp;"|"&amp;D515,'All Song Rankings'!$T:$T,0),0)</f>
        <v>81</v>
      </c>
      <c r="G515" s="6" t="str">
        <f aca="false">IF(F515=0,"NOT FOUND",INDEX('All Song Rankings'!$A:$A,F515))</f>
        <v>Shiny Teeth</v>
      </c>
      <c r="H515" s="6" t="str">
        <f aca="false">IF(F515=0,"NOT FOUND",INDEX('All Song Rankings'!$B:$B,F515))</f>
        <v>Nickelodeon</v>
      </c>
      <c r="I515" s="6" t="str">
        <f aca="false">IF(F515=0,"NOT FOUND",INDEX('All Song Rankings'!$D:$D,F515))</f>
        <v>Kelsey</v>
      </c>
      <c r="J515" s="7" t="str">
        <f aca="false">IF(F515=0,"NOT FOUND",IF(C515=I515,"SELF-VOTE",IF(COUNTIF($K:$K,K515)&gt;1,"DUPLICATE","OK")))</f>
        <v>OK</v>
      </c>
      <c r="K515" s="6" t="str">
        <f aca="false">A515&amp;"|"&amp;B515&amp;"|"&amp;C515&amp;"|"&amp;D515</f>
        <v>1|8|Nicole|spotify:track:6B5PBsK6Kg2VUXwiPdU92p</v>
      </c>
    </row>
    <row r="516" customFormat="false" ht="15" hidden="false" customHeight="false" outlineLevel="0" collapsed="false">
      <c r="A516" s="5" t="n">
        <v>1</v>
      </c>
      <c r="B516" s="5" t="n">
        <v>8</v>
      </c>
      <c r="C516" s="5" t="s">
        <v>92</v>
      </c>
      <c r="D516" s="5" t="s">
        <v>354</v>
      </c>
      <c r="E516" s="5" t="n">
        <v>1</v>
      </c>
      <c r="F516" s="6" t="n">
        <f aca="false">IFERROR(MATCH(A516&amp;"|"&amp;B516&amp;"|"&amp;D516,'All Song Rankings'!$T:$T,0),0)</f>
        <v>83</v>
      </c>
      <c r="G516" s="6" t="str">
        <f aca="false">IF(F516=0,"NOT FOUND",INDEX('All Song Rankings'!$A:$A,F516))</f>
        <v>It's A Small World</v>
      </c>
      <c r="H516" s="6" t="str">
        <f aca="false">IF(F516=0,"NOT FOUND",INDEX('All Song Rankings'!$B:$B,F516))</f>
        <v>The Disneyland Children's Chorus</v>
      </c>
      <c r="I516" s="6" t="str">
        <f aca="false">IF(F516=0,"NOT FOUND",INDEX('All Song Rankings'!$D:$D,F516))</f>
        <v>Leah</v>
      </c>
      <c r="J516" s="7" t="str">
        <f aca="false">IF(F516=0,"NOT FOUND",IF(C516=I516,"SELF-VOTE",IF(COUNTIF($K:$K,K516)&gt;1,"DUPLICATE","OK")))</f>
        <v>OK</v>
      </c>
      <c r="K516" s="6" t="str">
        <f aca="false">A516&amp;"|"&amp;B516&amp;"|"&amp;C516&amp;"|"&amp;D516</f>
        <v>1|8|Nicole|spotify:track:6hVrlsXwBWVp5Lrc8FV4iB</v>
      </c>
    </row>
    <row r="517" customFormat="false" ht="15" hidden="false" customHeight="false" outlineLevel="0" collapsed="false">
      <c r="A517" s="5" t="n">
        <v>1</v>
      </c>
      <c r="B517" s="5" t="n">
        <v>8</v>
      </c>
      <c r="C517" s="5" t="s">
        <v>123</v>
      </c>
      <c r="D517" s="5" t="s">
        <v>339</v>
      </c>
      <c r="E517" s="5" t="n">
        <v>2</v>
      </c>
      <c r="F517" s="6" t="n">
        <f aca="false">IFERROR(MATCH(A517&amp;"|"&amp;B517&amp;"|"&amp;D517,'All Song Rankings'!$T:$T,0),0)</f>
        <v>78</v>
      </c>
      <c r="G517" s="6" t="str">
        <f aca="false">IF(F517=0,"NOT FOUND",INDEX('All Song Rankings'!$A:$A,F517))</f>
        <v>Soda Pop</v>
      </c>
      <c r="H517" s="6" t="str">
        <f aca="false">IF(F517=0,"NOT FOUND",INDEX('All Song Rankings'!$B:$B,F517))</f>
        <v>Saja Boys</v>
      </c>
      <c r="I517" s="6" t="str">
        <f aca="false">IF(F517=0,"NOT FOUND",INDEX('All Song Rankings'!$D:$D,F517))</f>
        <v>Matt</v>
      </c>
      <c r="J517" s="7" t="str">
        <f aca="false">IF(F517=0,"NOT FOUND",IF(C517=I517,"SELF-VOTE",IF(COUNTIF($K:$K,K517)&gt;1,"DUPLICATE","OK")))</f>
        <v>OK</v>
      </c>
      <c r="K517" s="6" t="str">
        <f aca="false">A517&amp;"|"&amp;B517&amp;"|"&amp;C517&amp;"|"&amp;D517</f>
        <v>1|8|Olivia|spotify:track:02sy7FAs8dkDNYsHp4Ul3f</v>
      </c>
    </row>
    <row r="518" customFormat="false" ht="15" hidden="false" customHeight="false" outlineLevel="0" collapsed="false">
      <c r="A518" s="5" t="n">
        <v>1</v>
      </c>
      <c r="B518" s="5" t="n">
        <v>8</v>
      </c>
      <c r="C518" s="5" t="s">
        <v>123</v>
      </c>
      <c r="D518" s="5" t="s">
        <v>333</v>
      </c>
      <c r="E518" s="5" t="n">
        <v>1</v>
      </c>
      <c r="F518" s="6" t="n">
        <f aca="false">IFERROR(MATCH(A518&amp;"|"&amp;B518&amp;"|"&amp;D518,'All Song Rankings'!$T:$T,0),0)</f>
        <v>76</v>
      </c>
      <c r="G518" s="6" t="str">
        <f aca="false">IF(F518=0,"NOT FOUND",INDEX('All Song Rankings'!$A:$A,F518))</f>
        <v>STAY</v>
      </c>
      <c r="H518" s="6" t="str">
        <f aca="false">IF(F518=0,"NOT FOUND",INDEX('All Song Rankings'!$B:$B,F518))</f>
        <v>The Kid LAROI</v>
      </c>
      <c r="I518" s="6" t="str">
        <f aca="false">IF(F518=0,"NOT FOUND",INDEX('All Song Rankings'!$D:$D,F518))</f>
        <v>Merita</v>
      </c>
      <c r="J518" s="7" t="str">
        <f aca="false">IF(F518=0,"NOT FOUND",IF(C518=I518,"SELF-VOTE",IF(COUNTIF($K:$K,K518)&gt;1,"DUPLICATE","OK")))</f>
        <v>OK</v>
      </c>
      <c r="K518" s="6" t="str">
        <f aca="false">A518&amp;"|"&amp;B518&amp;"|"&amp;C518&amp;"|"&amp;D518</f>
        <v>1|8|Olivia|spotify:track:5HCyWlXZPP0y6Gqq8TgA20</v>
      </c>
    </row>
    <row r="519" customFormat="false" ht="15" hidden="false" customHeight="false" outlineLevel="0" collapsed="false">
      <c r="A519" s="5" t="n">
        <v>1</v>
      </c>
      <c r="B519" s="5" t="n">
        <v>8</v>
      </c>
      <c r="C519" s="5" t="s">
        <v>123</v>
      </c>
      <c r="D519" s="5" t="s">
        <v>330</v>
      </c>
      <c r="E519" s="5" t="n">
        <v>1</v>
      </c>
      <c r="F519" s="6" t="n">
        <f aca="false">IFERROR(MATCH(A519&amp;"|"&amp;B519&amp;"|"&amp;D519,'All Song Rankings'!$T:$T,0),0)</f>
        <v>75</v>
      </c>
      <c r="G519" s="6" t="str">
        <f aca="false">IF(F519=0,"NOT FOUND",INDEX('All Song Rankings'!$A:$A,F519))</f>
        <v>APT.</v>
      </c>
      <c r="H519" s="6" t="str">
        <f aca="false">IF(F519=0,"NOT FOUND",INDEX('All Song Rankings'!$B:$B,F519))</f>
        <v>ROSÉ</v>
      </c>
      <c r="I519" s="6" t="str">
        <f aca="false">IF(F519=0,"NOT FOUND",INDEX('All Song Rankings'!$D:$D,F519))</f>
        <v>Stephanie</v>
      </c>
      <c r="J519" s="7" t="str">
        <f aca="false">IF(F519=0,"NOT FOUND",IF(C519=I519,"SELF-VOTE",IF(COUNTIF($K:$K,K519)&gt;1,"DUPLICATE","OK")))</f>
        <v>OK</v>
      </c>
      <c r="K519" s="6" t="str">
        <f aca="false">A519&amp;"|"&amp;B519&amp;"|"&amp;C519&amp;"|"&amp;D519</f>
        <v>1|8|Olivia|spotify:track:5vNRhkKd0yEAg8suGBpjeY</v>
      </c>
    </row>
    <row r="520" customFormat="false" ht="15" hidden="false" customHeight="false" outlineLevel="0" collapsed="false">
      <c r="A520" s="5" t="n">
        <v>1</v>
      </c>
      <c r="B520" s="5" t="n">
        <v>8</v>
      </c>
      <c r="C520" s="5" t="s">
        <v>123</v>
      </c>
      <c r="D520" s="5" t="s">
        <v>354</v>
      </c>
      <c r="E520" s="5" t="n">
        <v>3</v>
      </c>
      <c r="F520" s="6" t="n">
        <f aca="false">IFERROR(MATCH(A520&amp;"|"&amp;B520&amp;"|"&amp;D520,'All Song Rankings'!$T:$T,0),0)</f>
        <v>83</v>
      </c>
      <c r="G520" s="6" t="str">
        <f aca="false">IF(F520=0,"NOT FOUND",INDEX('All Song Rankings'!$A:$A,F520))</f>
        <v>It's A Small World</v>
      </c>
      <c r="H520" s="6" t="str">
        <f aca="false">IF(F520=0,"NOT FOUND",INDEX('All Song Rankings'!$B:$B,F520))</f>
        <v>The Disneyland Children's Chorus</v>
      </c>
      <c r="I520" s="6" t="str">
        <f aca="false">IF(F520=0,"NOT FOUND",INDEX('All Song Rankings'!$D:$D,F520))</f>
        <v>Leah</v>
      </c>
      <c r="J520" s="7" t="str">
        <f aca="false">IF(F520=0,"NOT FOUND",IF(C520=I520,"SELF-VOTE",IF(COUNTIF($K:$K,K520)&gt;1,"DUPLICATE","OK")))</f>
        <v>OK</v>
      </c>
      <c r="K520" s="6" t="str">
        <f aca="false">A520&amp;"|"&amp;B520&amp;"|"&amp;C520&amp;"|"&amp;D520</f>
        <v>1|8|Olivia|spotify:track:6hVrlsXwBWVp5Lrc8FV4iB</v>
      </c>
    </row>
    <row r="521" customFormat="false" ht="15" hidden="false" customHeight="false" outlineLevel="0" collapsed="false">
      <c r="A521" s="5" t="n">
        <v>1</v>
      </c>
      <c r="B521" s="5" t="n">
        <v>8</v>
      </c>
      <c r="C521" s="5" t="s">
        <v>123</v>
      </c>
      <c r="D521" s="5" t="s">
        <v>345</v>
      </c>
      <c r="E521" s="5" t="n">
        <v>3</v>
      </c>
      <c r="F521" s="6" t="n">
        <f aca="false">IFERROR(MATCH(A521&amp;"|"&amp;B521&amp;"|"&amp;D521,'All Song Rankings'!$T:$T,0),0)</f>
        <v>80</v>
      </c>
      <c r="G521" s="6" t="str">
        <f aca="false">IF(F521=0,"NOT FOUND",INDEX('All Song Rankings'!$A:$A,F521))</f>
        <v>Nothing Can Stop Us Now</v>
      </c>
      <c r="H521" s="6" t="str">
        <f aca="false">IF(F521=0,"NOT FOUND",INDEX('All Song Rankings'!$B:$B,F521))</f>
        <v>Mickey &amp; Minnie</v>
      </c>
      <c r="I521" s="6" t="str">
        <f aca="false">IF(F521=0,"NOT FOUND",INDEX('All Song Rankings'!$D:$D,F521))</f>
        <v>Nicole</v>
      </c>
      <c r="J521" s="7" t="str">
        <f aca="false">IF(F521=0,"NOT FOUND",IF(C521=I521,"SELF-VOTE",IF(COUNTIF($K:$K,K521)&gt;1,"DUPLICATE","OK")))</f>
        <v>OK</v>
      </c>
      <c r="K521" s="6" t="str">
        <f aca="false">A521&amp;"|"&amp;B521&amp;"|"&amp;C521&amp;"|"&amp;D521</f>
        <v>1|8|Olivia|spotify:track:6manK5YRppWQriHBUsr3nK</v>
      </c>
    </row>
    <row r="522" customFormat="false" ht="15" hidden="false" customHeight="false" outlineLevel="0" collapsed="false">
      <c r="A522" s="5" t="n">
        <v>1</v>
      </c>
      <c r="B522" s="5" t="n">
        <v>8</v>
      </c>
      <c r="C522" s="5" t="s">
        <v>97</v>
      </c>
      <c r="D522" s="5" t="s">
        <v>336</v>
      </c>
      <c r="E522" s="5" t="n">
        <v>2</v>
      </c>
      <c r="F522" s="6" t="n">
        <f aca="false">IFERROR(MATCH(A522&amp;"|"&amp;B522&amp;"|"&amp;D522,'All Song Rankings'!$T:$T,0),0)</f>
        <v>77</v>
      </c>
      <c r="G522" s="6" t="str">
        <f aca="false">IF(F522=0,"NOT FOUND",INDEX('All Song Rankings'!$A:$A,F522))</f>
        <v>Golden</v>
      </c>
      <c r="H522" s="6" t="str">
        <f aca="false">IF(F522=0,"NOT FOUND",INDEX('All Song Rankings'!$B:$B,F522))</f>
        <v>HUNTR/X</v>
      </c>
      <c r="I522" s="6" t="str">
        <f aca="false">IF(F522=0,"NOT FOUND",INDEX('All Song Rankings'!$D:$D,F522))</f>
        <v>Olivia</v>
      </c>
      <c r="J522" s="7" t="str">
        <f aca="false">IF(F522=0,"NOT FOUND",IF(C522=I522,"SELF-VOTE",IF(COUNTIF($K:$K,K522)&gt;1,"DUPLICATE","OK")))</f>
        <v>OK</v>
      </c>
      <c r="K522" s="6" t="str">
        <f aca="false">A522&amp;"|"&amp;B522&amp;"|"&amp;C522&amp;"|"&amp;D522</f>
        <v>1|8|Stephanie|spotify:track:1CPZ5BxNNd0n0nF4Orb9JS</v>
      </c>
    </row>
    <row r="523" customFormat="false" ht="15" hidden="false" customHeight="false" outlineLevel="0" collapsed="false">
      <c r="A523" s="5" t="n">
        <v>1</v>
      </c>
      <c r="B523" s="5" t="n">
        <v>8</v>
      </c>
      <c r="C523" s="5" t="s">
        <v>97</v>
      </c>
      <c r="D523" s="5" t="s">
        <v>351</v>
      </c>
      <c r="E523" s="5" t="n">
        <v>3</v>
      </c>
      <c r="F523" s="6" t="n">
        <f aca="false">IFERROR(MATCH(A523&amp;"|"&amp;B523&amp;"|"&amp;D523,'All Song Rankings'!$T:$T,0),0)</f>
        <v>82</v>
      </c>
      <c r="G523" s="6" t="str">
        <f aca="false">IF(F523=0,"NOT FOUND",INDEX('All Song Rankings'!$A:$A,F523))</f>
        <v>WHERE IS MY HUSBAND!</v>
      </c>
      <c r="H523" s="6" t="str">
        <f aca="false">IF(F523=0,"NOT FOUND",INDEX('All Song Rankings'!$B:$B,F523))</f>
        <v>RAYE</v>
      </c>
      <c r="I523" s="6" t="str">
        <f aca="false">IF(F523=0,"NOT FOUND",INDEX('All Song Rankings'!$D:$D,F523))</f>
        <v>Logan</v>
      </c>
      <c r="J523" s="7" t="str">
        <f aca="false">IF(F523=0,"NOT FOUND",IF(C523=I523,"SELF-VOTE",IF(COUNTIF($K:$K,K523)&gt;1,"DUPLICATE","OK")))</f>
        <v>OK</v>
      </c>
      <c r="K523" s="6" t="str">
        <f aca="false">A523&amp;"|"&amp;B523&amp;"|"&amp;C523&amp;"|"&amp;D523</f>
        <v>1|8|Stephanie|spotify:track:55lijDD6OAjLFFUHU9tcDm</v>
      </c>
    </row>
    <row r="524" customFormat="false" ht="15" hidden="false" customHeight="false" outlineLevel="0" collapsed="false">
      <c r="A524" s="5" t="n">
        <v>1</v>
      </c>
      <c r="B524" s="5" t="n">
        <v>8</v>
      </c>
      <c r="C524" s="5" t="s">
        <v>97</v>
      </c>
      <c r="D524" s="5" t="s">
        <v>333</v>
      </c>
      <c r="E524" s="5" t="n">
        <v>2</v>
      </c>
      <c r="F524" s="6" t="n">
        <f aca="false">IFERROR(MATCH(A524&amp;"|"&amp;B524&amp;"|"&amp;D524,'All Song Rankings'!$T:$T,0),0)</f>
        <v>76</v>
      </c>
      <c r="G524" s="6" t="str">
        <f aca="false">IF(F524=0,"NOT FOUND",INDEX('All Song Rankings'!$A:$A,F524))</f>
        <v>STAY</v>
      </c>
      <c r="H524" s="6" t="str">
        <f aca="false">IF(F524=0,"NOT FOUND",INDEX('All Song Rankings'!$B:$B,F524))</f>
        <v>The Kid LAROI</v>
      </c>
      <c r="I524" s="6" t="str">
        <f aca="false">IF(F524=0,"NOT FOUND",INDEX('All Song Rankings'!$D:$D,F524))</f>
        <v>Merita</v>
      </c>
      <c r="J524" s="7" t="str">
        <f aca="false">IF(F524=0,"NOT FOUND",IF(C524=I524,"SELF-VOTE",IF(COUNTIF($K:$K,K524)&gt;1,"DUPLICATE","OK")))</f>
        <v>OK</v>
      </c>
      <c r="K524" s="6" t="str">
        <f aca="false">A524&amp;"|"&amp;B524&amp;"|"&amp;C524&amp;"|"&amp;D524</f>
        <v>1|8|Stephanie|spotify:track:5HCyWlXZPP0y6Gqq8TgA20</v>
      </c>
    </row>
    <row r="525" customFormat="false" ht="15" hidden="false" customHeight="false" outlineLevel="0" collapsed="false">
      <c r="A525" s="5" t="n">
        <v>1</v>
      </c>
      <c r="B525" s="5" t="n">
        <v>8</v>
      </c>
      <c r="C525" s="5" t="s">
        <v>97</v>
      </c>
      <c r="D525" s="5" t="s">
        <v>354</v>
      </c>
      <c r="E525" s="5" t="n">
        <v>1</v>
      </c>
      <c r="F525" s="6" t="n">
        <f aca="false">IFERROR(MATCH(A525&amp;"|"&amp;B525&amp;"|"&amp;D525,'All Song Rankings'!$T:$T,0),0)</f>
        <v>83</v>
      </c>
      <c r="G525" s="6" t="str">
        <f aca="false">IF(F525=0,"NOT FOUND",INDEX('All Song Rankings'!$A:$A,F525))</f>
        <v>It's A Small World</v>
      </c>
      <c r="H525" s="6" t="str">
        <f aca="false">IF(F525=0,"NOT FOUND",INDEX('All Song Rankings'!$B:$B,F525))</f>
        <v>The Disneyland Children's Chorus</v>
      </c>
      <c r="I525" s="6" t="str">
        <f aca="false">IF(F525=0,"NOT FOUND",INDEX('All Song Rankings'!$D:$D,F525))</f>
        <v>Leah</v>
      </c>
      <c r="J525" s="7" t="str">
        <f aca="false">IF(F525=0,"NOT FOUND",IF(C525=I525,"SELF-VOTE",IF(COUNTIF($K:$K,K525)&gt;1,"DUPLICATE","OK")))</f>
        <v>OK</v>
      </c>
      <c r="K525" s="6" t="str">
        <f aca="false">A525&amp;"|"&amp;B525&amp;"|"&amp;C525&amp;"|"&amp;D525</f>
        <v>1|8|Stephanie|spotify:track:6hVrlsXwBWVp5Lrc8FV4iB</v>
      </c>
    </row>
    <row r="526" customFormat="false" ht="15" hidden="false" customHeight="false" outlineLevel="0" collapsed="false">
      <c r="A526" s="5" t="n">
        <v>1</v>
      </c>
      <c r="B526" s="5" t="n">
        <v>8</v>
      </c>
      <c r="C526" s="5" t="s">
        <v>97</v>
      </c>
      <c r="D526" s="5" t="s">
        <v>345</v>
      </c>
      <c r="E526" s="5" t="n">
        <v>2</v>
      </c>
      <c r="F526" s="6" t="n">
        <f aca="false">IFERROR(MATCH(A526&amp;"|"&amp;B526&amp;"|"&amp;D526,'All Song Rankings'!$T:$T,0),0)</f>
        <v>80</v>
      </c>
      <c r="G526" s="6" t="str">
        <f aca="false">IF(F526=0,"NOT FOUND",INDEX('All Song Rankings'!$A:$A,F526))</f>
        <v>Nothing Can Stop Us Now</v>
      </c>
      <c r="H526" s="6" t="str">
        <f aca="false">IF(F526=0,"NOT FOUND",INDEX('All Song Rankings'!$B:$B,F526))</f>
        <v>Mickey &amp; Minnie</v>
      </c>
      <c r="I526" s="6" t="str">
        <f aca="false">IF(F526=0,"NOT FOUND",INDEX('All Song Rankings'!$D:$D,F526))</f>
        <v>Nicole</v>
      </c>
      <c r="J526" s="7" t="str">
        <f aca="false">IF(F526=0,"NOT FOUND",IF(C526=I526,"SELF-VOTE",IF(COUNTIF($K:$K,K526)&gt;1,"DUPLICATE","OK")))</f>
        <v>OK</v>
      </c>
      <c r="K526" s="6" t="str">
        <f aca="false">A526&amp;"|"&amp;B526&amp;"|"&amp;C526&amp;"|"&amp;D526</f>
        <v>1|8|Stephanie|spotify:track:6manK5YRppWQriHBUsr3nK</v>
      </c>
    </row>
    <row r="527" customFormat="false" ht="15" hidden="false" customHeight="false" outlineLevel="0" collapsed="false">
      <c r="A527" s="5" t="n">
        <v>2</v>
      </c>
      <c r="B527" s="5" t="n">
        <v>1</v>
      </c>
      <c r="C527" s="5" t="s">
        <v>289</v>
      </c>
      <c r="D527" s="5" t="s">
        <v>372</v>
      </c>
      <c r="E527" s="5" t="n">
        <v>2</v>
      </c>
      <c r="F527" s="6" t="n">
        <f aca="false">IFERROR(MATCH(A527&amp;"|"&amp;B527&amp;"|"&amp;D527,'All Song Rankings'!$T:$T,0),0)</f>
        <v>89</v>
      </c>
      <c r="G527" s="6" t="str">
        <f aca="false">IF(F527=0,"NOT FOUND",INDEX('All Song Rankings'!$A:$A,F527))</f>
        <v>Centuries</v>
      </c>
      <c r="H527" s="6" t="str">
        <f aca="false">IF(F527=0,"NOT FOUND",INDEX('All Song Rankings'!$B:$B,F527))</f>
        <v>Fall Out Boy</v>
      </c>
      <c r="I527" s="6" t="str">
        <f aca="false">IF(F527=0,"NOT FOUND",INDEX('All Song Rankings'!$D:$D,F527))</f>
        <v>Leah</v>
      </c>
      <c r="J527" s="7" t="str">
        <f aca="false">IF(F527=0,"NOT FOUND",IF(C527=I527,"SELF-VOTE",IF(COUNTIF($K:$K,K527)&gt;1,"DUPLICATE","OK")))</f>
        <v>OK</v>
      </c>
      <c r="K527" s="6" t="str">
        <f aca="false">A527&amp;"|"&amp;B527&amp;"|"&amp;C527&amp;"|"&amp;D527</f>
        <v>2|1|Anya|spotify:track:04aAxqtGp5pv12UXAg4pkq</v>
      </c>
    </row>
    <row r="528" customFormat="false" ht="15" hidden="false" customHeight="false" outlineLevel="0" collapsed="false">
      <c r="A528" s="5" t="n">
        <v>2</v>
      </c>
      <c r="B528" s="5" t="n">
        <v>1</v>
      </c>
      <c r="C528" s="5" t="s">
        <v>289</v>
      </c>
      <c r="D528" s="5" t="s">
        <v>376</v>
      </c>
      <c r="E528" s="5" t="n">
        <v>3</v>
      </c>
      <c r="F528" s="6" t="n">
        <f aca="false">IFERROR(MATCH(A528&amp;"|"&amp;B528&amp;"|"&amp;D528,'All Song Rankings'!$T:$T,0),0)</f>
        <v>90</v>
      </c>
      <c r="G528" s="6" t="str">
        <f aca="false">IF(F528=0,"NOT FOUND",INDEX('All Song Rankings'!$A:$A,F528))</f>
        <v>On The Floor</v>
      </c>
      <c r="H528" s="6" t="str">
        <f aca="false">IF(F528=0,"NOT FOUND",INDEX('All Song Rankings'!$B:$B,F528))</f>
        <v>Jennifer Lopez</v>
      </c>
      <c r="I528" s="6" t="str">
        <f aca="false">IF(F528=0,"NOT FOUND",INDEX('All Song Rankings'!$D:$D,F528))</f>
        <v>Aubrey</v>
      </c>
      <c r="J528" s="7" t="str">
        <f aca="false">IF(F528=0,"NOT FOUND",IF(C528=I528,"SELF-VOTE",IF(COUNTIF($K:$K,K528)&gt;1,"DUPLICATE","OK")))</f>
        <v>OK</v>
      </c>
      <c r="K528" s="6" t="str">
        <f aca="false">A528&amp;"|"&amp;B528&amp;"|"&amp;C528&amp;"|"&amp;D528</f>
        <v>2|1|Anya|spotify:track:20zQZVyUNPbq8kZACdgYrh</v>
      </c>
    </row>
    <row r="529" customFormat="false" ht="15" hidden="false" customHeight="false" outlineLevel="0" collapsed="false">
      <c r="A529" s="5" t="n">
        <v>2</v>
      </c>
      <c r="B529" s="5" t="n">
        <v>1</v>
      </c>
      <c r="C529" s="5" t="s">
        <v>289</v>
      </c>
      <c r="D529" s="5" t="s">
        <v>379</v>
      </c>
      <c r="E529" s="5" t="n">
        <v>1</v>
      </c>
      <c r="F529" s="6" t="n">
        <f aca="false">IFERROR(MATCH(A529&amp;"|"&amp;B529&amp;"|"&amp;D529,'All Song Rankings'!$T:$T,0),0)</f>
        <v>91</v>
      </c>
      <c r="G529" s="6" t="str">
        <f aca="false">IF(F529=0,"NOT FOUND",INDEX('All Song Rankings'!$A:$A,F529))</f>
        <v>Till I Collapse</v>
      </c>
      <c r="H529" s="6" t="str">
        <f aca="false">IF(F529=0,"NOT FOUND",INDEX('All Song Rankings'!$B:$B,F529))</f>
        <v>Eminem</v>
      </c>
      <c r="I529" s="6" t="str">
        <f aca="false">IF(F529=0,"NOT FOUND",INDEX('All Song Rankings'!$D:$D,F529))</f>
        <v>Shayne</v>
      </c>
      <c r="J529" s="7" t="str">
        <f aca="false">IF(F529=0,"NOT FOUND",IF(C529=I529,"SELF-VOTE",IF(COUNTIF($K:$K,K529)&gt;1,"DUPLICATE","OK")))</f>
        <v>OK</v>
      </c>
      <c r="K529" s="6" t="str">
        <f aca="false">A529&amp;"|"&amp;B529&amp;"|"&amp;C529&amp;"|"&amp;D529</f>
        <v>2|1|Anya|spotify:track:4xkOaSrkexMciUUogZKVTS</v>
      </c>
    </row>
    <row r="530" customFormat="false" ht="15" hidden="false" customHeight="false" outlineLevel="0" collapsed="false">
      <c r="A530" s="5" t="n">
        <v>2</v>
      </c>
      <c r="B530" s="5" t="n">
        <v>1</v>
      </c>
      <c r="C530" s="5" t="s">
        <v>289</v>
      </c>
      <c r="D530" s="5" t="s">
        <v>386</v>
      </c>
      <c r="E530" s="5" t="n">
        <v>2</v>
      </c>
      <c r="F530" s="6" t="n">
        <f aca="false">IFERROR(MATCH(A530&amp;"|"&amp;B530&amp;"|"&amp;D530,'All Song Rankings'!$T:$T,0),0)</f>
        <v>93</v>
      </c>
      <c r="G530" s="6" t="str">
        <f aca="false">IF(F530=0,"NOT FOUND",INDEX('All Song Rankings'!$A:$A,F530))</f>
        <v>Misery Business</v>
      </c>
      <c r="H530" s="6" t="str">
        <f aca="false">IF(F530=0,"NOT FOUND",INDEX('All Song Rankings'!$B:$B,F530))</f>
        <v>Paramore</v>
      </c>
      <c r="I530" s="6" t="str">
        <f aca="false">IF(F530=0,"NOT FOUND",INDEX('All Song Rankings'!$D:$D,F530))</f>
        <v>Kelsey</v>
      </c>
      <c r="J530" s="7" t="str">
        <f aca="false">IF(F530=0,"NOT FOUND",IF(C530=I530,"SELF-VOTE",IF(COUNTIF($K:$K,K530)&gt;1,"DUPLICATE","OK")))</f>
        <v>OK</v>
      </c>
      <c r="K530" s="6" t="str">
        <f aca="false">A530&amp;"|"&amp;B530&amp;"|"&amp;C530&amp;"|"&amp;D530</f>
        <v>2|1|Anya|spotify:track:6SpLc7EXZIPpy0sVko0aoU</v>
      </c>
    </row>
    <row r="531" customFormat="false" ht="15" hidden="false" customHeight="false" outlineLevel="0" collapsed="false">
      <c r="A531" s="5" t="n">
        <v>2</v>
      </c>
      <c r="B531" s="5" t="n">
        <v>1</v>
      </c>
      <c r="C531" s="5" t="s">
        <v>289</v>
      </c>
      <c r="D531" s="5" t="s">
        <v>366</v>
      </c>
      <c r="E531" s="5" t="n">
        <v>1</v>
      </c>
      <c r="F531" s="6" t="n">
        <f aca="false">IFERROR(MATCH(A531&amp;"|"&amp;B531&amp;"|"&amp;D531,'All Song Rankings'!$T:$T,0),0)</f>
        <v>87</v>
      </c>
      <c r="G531" s="6" t="str">
        <f aca="false">IF(F531=0,"NOT FOUND",INDEX('All Song Rankings'!$A:$A,F531))</f>
        <v>Mi Gente - Steve Aoki Remix</v>
      </c>
      <c r="H531" s="6" t="str">
        <f aca="false">IF(F531=0,"NOT FOUND",INDEX('All Song Rankings'!$B:$B,F531))</f>
        <v>J Balvin</v>
      </c>
      <c r="I531" s="6" t="str">
        <f aca="false">IF(F531=0,"NOT FOUND",INDEX('All Song Rankings'!$D:$D,F531))</f>
        <v>Logan</v>
      </c>
      <c r="J531" s="7" t="str">
        <f aca="false">IF(F531=0,"NOT FOUND",IF(C531=I531,"SELF-VOTE",IF(COUNTIF($K:$K,K531)&gt;1,"DUPLICATE","OK")))</f>
        <v>OK</v>
      </c>
      <c r="K531" s="6" t="str">
        <f aca="false">A531&amp;"|"&amp;B531&amp;"|"&amp;C531&amp;"|"&amp;D531</f>
        <v>2|1|Anya|spotify:track:6tK77Y61ZxGga7uCbMaEI1</v>
      </c>
    </row>
    <row r="532" customFormat="false" ht="15" hidden="false" customHeight="false" outlineLevel="0" collapsed="false">
      <c r="A532" s="5" t="n">
        <v>2</v>
      </c>
      <c r="B532" s="5" t="n">
        <v>1</v>
      </c>
      <c r="C532" s="5" t="s">
        <v>289</v>
      </c>
      <c r="D532" s="5" t="s">
        <v>383</v>
      </c>
      <c r="E532" s="5" t="n">
        <v>1</v>
      </c>
      <c r="F532" s="6" t="n">
        <f aca="false">IFERROR(MATCH(A532&amp;"|"&amp;B532&amp;"|"&amp;D532,'All Song Rankings'!$T:$T,0),0)</f>
        <v>92</v>
      </c>
      <c r="G532" s="6" t="str">
        <f aca="false">IF(F532=0,"NOT FOUND",INDEX('All Song Rankings'!$A:$A,F532))</f>
        <v>Your Love Is My Drug</v>
      </c>
      <c r="H532" s="6" t="str">
        <f aca="false">IF(F532=0,"NOT FOUND",INDEX('All Song Rankings'!$B:$B,F532))</f>
        <v>Kesha</v>
      </c>
      <c r="I532" s="6" t="str">
        <f aca="false">IF(F532=0,"NOT FOUND",INDEX('All Song Rankings'!$D:$D,F532))</f>
        <v>Grace</v>
      </c>
      <c r="J532" s="7" t="str">
        <f aca="false">IF(F532=0,"NOT FOUND",IF(C532=I532,"SELF-VOTE",IF(COUNTIF($K:$K,K532)&gt;1,"DUPLICATE","OK")))</f>
        <v>OK</v>
      </c>
      <c r="K532" s="6" t="str">
        <f aca="false">A532&amp;"|"&amp;B532&amp;"|"&amp;C532&amp;"|"&amp;D532</f>
        <v>2|1|Anya|spotify:track:6vc2Jq2vaGu8z326kSrw92</v>
      </c>
    </row>
    <row r="533" customFormat="false" ht="15" hidden="false" customHeight="false" outlineLevel="0" collapsed="false">
      <c r="A533" s="5" t="n">
        <v>2</v>
      </c>
      <c r="B533" s="5" t="n">
        <v>1</v>
      </c>
      <c r="C533" s="5" t="s">
        <v>375</v>
      </c>
      <c r="D533" s="5" t="s">
        <v>369</v>
      </c>
      <c r="E533" s="5" t="n">
        <v>3</v>
      </c>
      <c r="F533" s="6" t="n">
        <f aca="false">IFERROR(MATCH(A533&amp;"|"&amp;B533&amp;"|"&amp;D533,'All Song Rankings'!$T:$T,0),0)</f>
        <v>88</v>
      </c>
      <c r="G533" s="6" t="str">
        <f aca="false">IF(F533=0,"NOT FOUND",INDEX('All Song Rankings'!$A:$A,F533))</f>
        <v>High Hopes</v>
      </c>
      <c r="H533" s="6" t="str">
        <f aca="false">IF(F533=0,"NOT FOUND",INDEX('All Song Rankings'!$B:$B,F533))</f>
        <v>Panic! At The Disco</v>
      </c>
      <c r="I533" s="6" t="str">
        <f aca="false">IF(F533=0,"NOT FOUND",INDEX('All Song Rankings'!$D:$D,F533))</f>
        <v>Nicole</v>
      </c>
      <c r="J533" s="7" t="str">
        <f aca="false">IF(F533=0,"NOT FOUND",IF(C533=I533,"SELF-VOTE",IF(COUNTIF($K:$K,K533)&gt;1,"DUPLICATE","OK")))</f>
        <v>OK</v>
      </c>
      <c r="K533" s="6" t="str">
        <f aca="false">A533&amp;"|"&amp;B533&amp;"|"&amp;C533&amp;"|"&amp;D533</f>
        <v>2|1|Aubrey|spotify:track:1rqqCSm0Qe4I9rUvWncaom</v>
      </c>
    </row>
    <row r="534" customFormat="false" ht="15" hidden="false" customHeight="false" outlineLevel="0" collapsed="false">
      <c r="A534" s="5" t="n">
        <v>2</v>
      </c>
      <c r="B534" s="5" t="n">
        <v>1</v>
      </c>
      <c r="C534" s="5" t="s">
        <v>375</v>
      </c>
      <c r="D534" s="5" t="s">
        <v>399</v>
      </c>
      <c r="E534" s="5" t="n">
        <v>1</v>
      </c>
      <c r="F534" s="6" t="n">
        <f aca="false">IFERROR(MATCH(A534&amp;"|"&amp;B534&amp;"|"&amp;D534,'All Song Rankings'!$T:$T,0),0)</f>
        <v>97</v>
      </c>
      <c r="G534" s="6" t="str">
        <f aca="false">IF(F534=0,"NOT FOUND",INDEX('All Song Rankings'!$A:$A,F534))</f>
        <v>#thatPOWER</v>
      </c>
      <c r="H534" s="6" t="str">
        <f aca="false">IF(F534=0,"NOT FOUND",INDEX('All Song Rankings'!$B:$B,F534))</f>
        <v>will.i.am</v>
      </c>
      <c r="I534" s="6" t="str">
        <f aca="false">IF(F534=0,"NOT FOUND",INDEX('All Song Rankings'!$D:$D,F534))</f>
        <v>Maryann</v>
      </c>
      <c r="J534" s="7" t="str">
        <f aca="false">IF(F534=0,"NOT FOUND",IF(C534=I534,"SELF-VOTE",IF(COUNTIF($K:$K,K534)&gt;1,"DUPLICATE","OK")))</f>
        <v>OK</v>
      </c>
      <c r="K534" s="6" t="str">
        <f aca="false">A534&amp;"|"&amp;B534&amp;"|"&amp;C534&amp;"|"&amp;D534</f>
        <v>2|1|Aubrey|spotify:track:37qlkp5VImuuYcXZI6aiam</v>
      </c>
    </row>
    <row r="535" customFormat="false" ht="15" hidden="false" customHeight="false" outlineLevel="0" collapsed="false">
      <c r="A535" s="5" t="n">
        <v>2</v>
      </c>
      <c r="B535" s="5" t="n">
        <v>1</v>
      </c>
      <c r="C535" s="5" t="s">
        <v>375</v>
      </c>
      <c r="D535" s="5" t="s">
        <v>408</v>
      </c>
      <c r="E535" s="5" t="n">
        <v>2</v>
      </c>
      <c r="F535" s="6" t="n">
        <f aca="false">IFERROR(MATCH(A535&amp;"|"&amp;B535&amp;"|"&amp;D535,'All Song Rankings'!$T:$T,0),0)</f>
        <v>100</v>
      </c>
      <c r="G535" s="6" t="str">
        <f aca="false">IF(F535=0,"NOT FOUND",INDEX('All Song Rankings'!$A:$A,F535))</f>
        <v>B.O.B. - Bombs Over Baghdad</v>
      </c>
      <c r="H535" s="6" t="str">
        <f aca="false">IF(F535=0,"NOT FOUND",INDEX('All Song Rankings'!$B:$B,F535))</f>
        <v>Outkast</v>
      </c>
      <c r="I535" s="6" t="str">
        <f aca="false">IF(F535=0,"NOT FOUND",INDEX('All Song Rankings'!$D:$D,F535))</f>
        <v>Stephanie</v>
      </c>
      <c r="J535" s="7" t="str">
        <f aca="false">IF(F535=0,"NOT FOUND",IF(C535=I535,"SELF-VOTE",IF(COUNTIF($K:$K,K535)&gt;1,"DUPLICATE","OK")))</f>
        <v>OK</v>
      </c>
      <c r="K535" s="6" t="str">
        <f aca="false">A535&amp;"|"&amp;B535&amp;"|"&amp;C535&amp;"|"&amp;D535</f>
        <v>2|1|Aubrey|spotify:track:3WibbMr6canxRJXhNtAvLU</v>
      </c>
    </row>
    <row r="536" customFormat="false" ht="15" hidden="false" customHeight="false" outlineLevel="0" collapsed="false">
      <c r="A536" s="5" t="n">
        <v>2</v>
      </c>
      <c r="B536" s="5" t="n">
        <v>1</v>
      </c>
      <c r="C536" s="5" t="s">
        <v>375</v>
      </c>
      <c r="D536" s="5" t="s">
        <v>405</v>
      </c>
      <c r="E536" s="5" t="n">
        <v>1</v>
      </c>
      <c r="F536" s="6" t="n">
        <f aca="false">IFERROR(MATCH(A536&amp;"|"&amp;B536&amp;"|"&amp;D536,'All Song Rankings'!$T:$T,0),0)</f>
        <v>99</v>
      </c>
      <c r="G536" s="6" t="str">
        <f aca="false">IF(F536=0,"NOT FOUND",INDEX('All Song Rankings'!$A:$A,F536))</f>
        <v>Around the World / Harder, Better, Faster, Stronger</v>
      </c>
      <c r="H536" s="6" t="str">
        <f aca="false">IF(F536=0,"NOT FOUND",INDEX('All Song Rankings'!$B:$B,F536))</f>
        <v>Daft Punk</v>
      </c>
      <c r="I536" s="6" t="str">
        <f aca="false">IF(F536=0,"NOT FOUND",INDEX('All Song Rankings'!$D:$D,F536))</f>
        <v>Matt</v>
      </c>
      <c r="J536" s="7" t="str">
        <f aca="false">IF(F536=0,"NOT FOUND",IF(C536=I536,"SELF-VOTE",IF(COUNTIF($K:$K,K536)&gt;1,"DUPLICATE","OK")))</f>
        <v>OK</v>
      </c>
      <c r="K536" s="6" t="str">
        <f aca="false">A536&amp;"|"&amp;B536&amp;"|"&amp;C536&amp;"|"&amp;D536</f>
        <v>2|1|Aubrey|spotify:track:5RByQFt9Mlo8hDYJ921tCv</v>
      </c>
    </row>
    <row r="537" customFormat="false" ht="15" hidden="false" customHeight="false" outlineLevel="0" collapsed="false">
      <c r="A537" s="5" t="n">
        <v>2</v>
      </c>
      <c r="B537" s="5" t="n">
        <v>1</v>
      </c>
      <c r="C537" s="5" t="s">
        <v>375</v>
      </c>
      <c r="D537" s="5" t="s">
        <v>366</v>
      </c>
      <c r="E537" s="5" t="n">
        <v>3</v>
      </c>
      <c r="F537" s="6" t="n">
        <f aca="false">IFERROR(MATCH(A537&amp;"|"&amp;B537&amp;"|"&amp;D537,'All Song Rankings'!$T:$T,0),0)</f>
        <v>87</v>
      </c>
      <c r="G537" s="6" t="str">
        <f aca="false">IF(F537=0,"NOT FOUND",INDEX('All Song Rankings'!$A:$A,F537))</f>
        <v>Mi Gente - Steve Aoki Remix</v>
      </c>
      <c r="H537" s="6" t="str">
        <f aca="false">IF(F537=0,"NOT FOUND",INDEX('All Song Rankings'!$B:$B,F537))</f>
        <v>J Balvin</v>
      </c>
      <c r="I537" s="6" t="str">
        <f aca="false">IF(F537=0,"NOT FOUND",INDEX('All Song Rankings'!$D:$D,F537))</f>
        <v>Logan</v>
      </c>
      <c r="J537" s="7" t="str">
        <f aca="false">IF(F537=0,"NOT FOUND",IF(C537=I537,"SELF-VOTE",IF(COUNTIF($K:$K,K537)&gt;1,"DUPLICATE","OK")))</f>
        <v>OK</v>
      </c>
      <c r="K537" s="6" t="str">
        <f aca="false">A537&amp;"|"&amp;B537&amp;"|"&amp;C537&amp;"|"&amp;D537</f>
        <v>2|1|Aubrey|spotify:track:6tK77Y61ZxGga7uCbMaEI1</v>
      </c>
    </row>
    <row r="538" customFormat="false" ht="15" hidden="false" customHeight="false" outlineLevel="0" collapsed="false">
      <c r="A538" s="5" t="n">
        <v>2</v>
      </c>
      <c r="B538" s="5" t="n">
        <v>1</v>
      </c>
      <c r="C538" s="5" t="s">
        <v>382</v>
      </c>
      <c r="D538" s="5" t="s">
        <v>372</v>
      </c>
      <c r="E538" s="5" t="n">
        <v>1</v>
      </c>
      <c r="F538" s="6" t="n">
        <f aca="false">IFERROR(MATCH(A538&amp;"|"&amp;B538&amp;"|"&amp;D538,'All Song Rankings'!$T:$T,0),0)</f>
        <v>89</v>
      </c>
      <c r="G538" s="6" t="str">
        <f aca="false">IF(F538=0,"NOT FOUND",INDEX('All Song Rankings'!$A:$A,F538))</f>
        <v>Centuries</v>
      </c>
      <c r="H538" s="6" t="str">
        <f aca="false">IF(F538=0,"NOT FOUND",INDEX('All Song Rankings'!$B:$B,F538))</f>
        <v>Fall Out Boy</v>
      </c>
      <c r="I538" s="6" t="str">
        <f aca="false">IF(F538=0,"NOT FOUND",INDEX('All Song Rankings'!$D:$D,F538))</f>
        <v>Leah</v>
      </c>
      <c r="J538" s="7" t="str">
        <f aca="false">IF(F538=0,"NOT FOUND",IF(C538=I538,"SELF-VOTE",IF(COUNTIF($K:$K,K538)&gt;1,"DUPLICATE","OK")))</f>
        <v>OK</v>
      </c>
      <c r="K538" s="6" t="str">
        <f aca="false">A538&amp;"|"&amp;B538&amp;"|"&amp;C538&amp;"|"&amp;D538</f>
        <v>2|1|Grace|spotify:track:04aAxqtGp5pv12UXAg4pkq</v>
      </c>
    </row>
    <row r="539" customFormat="false" ht="15" hidden="false" customHeight="false" outlineLevel="0" collapsed="false">
      <c r="A539" s="5" t="n">
        <v>2</v>
      </c>
      <c r="B539" s="5" t="n">
        <v>1</v>
      </c>
      <c r="C539" s="5" t="s">
        <v>382</v>
      </c>
      <c r="D539" s="5" t="s">
        <v>369</v>
      </c>
      <c r="E539" s="5" t="n">
        <v>3</v>
      </c>
      <c r="F539" s="6" t="n">
        <f aca="false">IFERROR(MATCH(A539&amp;"|"&amp;B539&amp;"|"&amp;D539,'All Song Rankings'!$T:$T,0),0)</f>
        <v>88</v>
      </c>
      <c r="G539" s="6" t="str">
        <f aca="false">IF(F539=0,"NOT FOUND",INDEX('All Song Rankings'!$A:$A,F539))</f>
        <v>High Hopes</v>
      </c>
      <c r="H539" s="6" t="str">
        <f aca="false">IF(F539=0,"NOT FOUND",INDEX('All Song Rankings'!$B:$B,F539))</f>
        <v>Panic! At The Disco</v>
      </c>
      <c r="I539" s="6" t="str">
        <f aca="false">IF(F539=0,"NOT FOUND",INDEX('All Song Rankings'!$D:$D,F539))</f>
        <v>Nicole</v>
      </c>
      <c r="J539" s="7" t="str">
        <f aca="false">IF(F539=0,"NOT FOUND",IF(C539=I539,"SELF-VOTE",IF(COUNTIF($K:$K,K539)&gt;1,"DUPLICATE","OK")))</f>
        <v>OK</v>
      </c>
      <c r="K539" s="6" t="str">
        <f aca="false">A539&amp;"|"&amp;B539&amp;"|"&amp;C539&amp;"|"&amp;D539</f>
        <v>2|1|Grace|spotify:track:1rqqCSm0Qe4I9rUvWncaom</v>
      </c>
    </row>
    <row r="540" customFormat="false" ht="15" hidden="false" customHeight="false" outlineLevel="0" collapsed="false">
      <c r="A540" s="5" t="n">
        <v>2</v>
      </c>
      <c r="B540" s="5" t="n">
        <v>1</v>
      </c>
      <c r="C540" s="5" t="s">
        <v>382</v>
      </c>
      <c r="D540" s="5" t="s">
        <v>376</v>
      </c>
      <c r="E540" s="5" t="n">
        <v>1</v>
      </c>
      <c r="F540" s="6" t="n">
        <f aca="false">IFERROR(MATCH(A540&amp;"|"&amp;B540&amp;"|"&amp;D540,'All Song Rankings'!$T:$T,0),0)</f>
        <v>90</v>
      </c>
      <c r="G540" s="6" t="str">
        <f aca="false">IF(F540=0,"NOT FOUND",INDEX('All Song Rankings'!$A:$A,F540))</f>
        <v>On The Floor</v>
      </c>
      <c r="H540" s="6" t="str">
        <f aca="false">IF(F540=0,"NOT FOUND",INDEX('All Song Rankings'!$B:$B,F540))</f>
        <v>Jennifer Lopez</v>
      </c>
      <c r="I540" s="6" t="str">
        <f aca="false">IF(F540=0,"NOT FOUND",INDEX('All Song Rankings'!$D:$D,F540))</f>
        <v>Aubrey</v>
      </c>
      <c r="J540" s="7" t="str">
        <f aca="false">IF(F540=0,"NOT FOUND",IF(C540=I540,"SELF-VOTE",IF(COUNTIF($K:$K,K540)&gt;1,"DUPLICATE","OK")))</f>
        <v>OK</v>
      </c>
      <c r="K540" s="6" t="str">
        <f aca="false">A540&amp;"|"&amp;B540&amp;"|"&amp;C540&amp;"|"&amp;D540</f>
        <v>2|1|Grace|spotify:track:20zQZVyUNPbq8kZACdgYrh</v>
      </c>
    </row>
    <row r="541" customFormat="false" ht="15" hidden="false" customHeight="false" outlineLevel="0" collapsed="false">
      <c r="A541" s="5" t="n">
        <v>2</v>
      </c>
      <c r="B541" s="5" t="n">
        <v>1</v>
      </c>
      <c r="C541" s="5" t="s">
        <v>382</v>
      </c>
      <c r="D541" s="5" t="s">
        <v>399</v>
      </c>
      <c r="E541" s="5" t="n">
        <v>2</v>
      </c>
      <c r="F541" s="6" t="n">
        <f aca="false">IFERROR(MATCH(A541&amp;"|"&amp;B541&amp;"|"&amp;D541,'All Song Rankings'!$T:$T,0),0)</f>
        <v>97</v>
      </c>
      <c r="G541" s="6" t="str">
        <f aca="false">IF(F541=0,"NOT FOUND",INDEX('All Song Rankings'!$A:$A,F541))</f>
        <v>#thatPOWER</v>
      </c>
      <c r="H541" s="6" t="str">
        <f aca="false">IF(F541=0,"NOT FOUND",INDEX('All Song Rankings'!$B:$B,F541))</f>
        <v>will.i.am</v>
      </c>
      <c r="I541" s="6" t="str">
        <f aca="false">IF(F541=0,"NOT FOUND",INDEX('All Song Rankings'!$D:$D,F541))</f>
        <v>Maryann</v>
      </c>
      <c r="J541" s="7" t="str">
        <f aca="false">IF(F541=0,"NOT FOUND",IF(C541=I541,"SELF-VOTE",IF(COUNTIF($K:$K,K541)&gt;1,"DUPLICATE","OK")))</f>
        <v>OK</v>
      </c>
      <c r="K541" s="6" t="str">
        <f aca="false">A541&amp;"|"&amp;B541&amp;"|"&amp;C541&amp;"|"&amp;D541</f>
        <v>2|1|Grace|spotify:track:37qlkp5VImuuYcXZI6aiam</v>
      </c>
    </row>
    <row r="542" customFormat="false" ht="15" hidden="false" customHeight="false" outlineLevel="0" collapsed="false">
      <c r="A542" s="5" t="n">
        <v>2</v>
      </c>
      <c r="B542" s="5" t="n">
        <v>1</v>
      </c>
      <c r="C542" s="5" t="s">
        <v>382</v>
      </c>
      <c r="D542" s="5" t="s">
        <v>389</v>
      </c>
      <c r="E542" s="5" t="n">
        <v>2</v>
      </c>
      <c r="F542" s="6" t="n">
        <f aca="false">IFERROR(MATCH(A542&amp;"|"&amp;B542&amp;"|"&amp;D542,'All Song Rankings'!$T:$T,0),0)</f>
        <v>94</v>
      </c>
      <c r="G542" s="6" t="str">
        <f aca="false">IF(F542=0,"NOT FOUND",INDEX('All Song Rankings'!$A:$A,F542))</f>
        <v>What's Up Danger</v>
      </c>
      <c r="H542" s="6" t="str">
        <f aca="false">IF(F542=0,"NOT FOUND",INDEX('All Song Rankings'!$B:$B,F542))</f>
        <v>Blackway</v>
      </c>
      <c r="I542" s="6" t="str">
        <f aca="false">IF(F542=0,"NOT FOUND",INDEX('All Song Rankings'!$D:$D,F542))</f>
        <v>Kristen</v>
      </c>
      <c r="J542" s="7" t="str">
        <f aca="false">IF(F542=0,"NOT FOUND",IF(C542=I542,"SELF-VOTE",IF(COUNTIF($K:$K,K542)&gt;1,"DUPLICATE","OK")))</f>
        <v>OK</v>
      </c>
      <c r="K542" s="6" t="str">
        <f aca="false">A542&amp;"|"&amp;B542&amp;"|"&amp;C542&amp;"|"&amp;D542</f>
        <v>2|1|Grace|spotify:track:5zsHmE2gO3RefVsPyw2e3T</v>
      </c>
    </row>
    <row r="543" customFormat="false" ht="15" hidden="false" customHeight="false" outlineLevel="0" collapsed="false">
      <c r="A543" s="5" t="n">
        <v>2</v>
      </c>
      <c r="B543" s="5" t="n">
        <v>1</v>
      </c>
      <c r="C543" s="5" t="s">
        <v>382</v>
      </c>
      <c r="D543" s="5" t="s">
        <v>366</v>
      </c>
      <c r="E543" s="5" t="n">
        <v>1</v>
      </c>
      <c r="F543" s="6" t="n">
        <f aca="false">IFERROR(MATCH(A543&amp;"|"&amp;B543&amp;"|"&amp;D543,'All Song Rankings'!$T:$T,0),0)</f>
        <v>87</v>
      </c>
      <c r="G543" s="6" t="str">
        <f aca="false">IF(F543=0,"NOT FOUND",INDEX('All Song Rankings'!$A:$A,F543))</f>
        <v>Mi Gente - Steve Aoki Remix</v>
      </c>
      <c r="H543" s="6" t="str">
        <f aca="false">IF(F543=0,"NOT FOUND",INDEX('All Song Rankings'!$B:$B,F543))</f>
        <v>J Balvin</v>
      </c>
      <c r="I543" s="6" t="str">
        <f aca="false">IF(F543=0,"NOT FOUND",INDEX('All Song Rankings'!$D:$D,F543))</f>
        <v>Logan</v>
      </c>
      <c r="J543" s="7" t="str">
        <f aca="false">IF(F543=0,"NOT FOUND",IF(C543=I543,"SELF-VOTE",IF(COUNTIF($K:$K,K543)&gt;1,"DUPLICATE","OK")))</f>
        <v>OK</v>
      </c>
      <c r="K543" s="6" t="str">
        <f aca="false">A543&amp;"|"&amp;B543&amp;"|"&amp;C543&amp;"|"&amp;D543</f>
        <v>2|1|Grace|spotify:track:6tK77Y61ZxGga7uCbMaEI1</v>
      </c>
    </row>
    <row r="544" customFormat="false" ht="15" hidden="false" customHeight="false" outlineLevel="0" collapsed="false">
      <c r="A544" s="5" t="n">
        <v>2</v>
      </c>
      <c r="B544" s="5" t="n">
        <v>1</v>
      </c>
      <c r="C544" s="5" t="s">
        <v>85</v>
      </c>
      <c r="D544" s="5" t="s">
        <v>372</v>
      </c>
      <c r="E544" s="5" t="n">
        <v>1</v>
      </c>
      <c r="F544" s="6" t="n">
        <f aca="false">IFERROR(MATCH(A544&amp;"|"&amp;B544&amp;"|"&amp;D544,'All Song Rankings'!$T:$T,0),0)</f>
        <v>89</v>
      </c>
      <c r="G544" s="6" t="str">
        <f aca="false">IF(F544=0,"NOT FOUND",INDEX('All Song Rankings'!$A:$A,F544))</f>
        <v>Centuries</v>
      </c>
      <c r="H544" s="6" t="str">
        <f aca="false">IF(F544=0,"NOT FOUND",INDEX('All Song Rankings'!$B:$B,F544))</f>
        <v>Fall Out Boy</v>
      </c>
      <c r="I544" s="6" t="str">
        <f aca="false">IF(F544=0,"NOT FOUND",INDEX('All Song Rankings'!$D:$D,F544))</f>
        <v>Leah</v>
      </c>
      <c r="J544" s="7" t="str">
        <f aca="false">IF(F544=0,"NOT FOUND",IF(C544=I544,"SELF-VOTE",IF(COUNTIF($K:$K,K544)&gt;1,"DUPLICATE","OK")))</f>
        <v>OK</v>
      </c>
      <c r="K544" s="6" t="str">
        <f aca="false">A544&amp;"|"&amp;B544&amp;"|"&amp;C544&amp;"|"&amp;D544</f>
        <v>2|1|Kelsey|spotify:track:04aAxqtGp5pv12UXAg4pkq</v>
      </c>
    </row>
    <row r="545" customFormat="false" ht="15" hidden="false" customHeight="false" outlineLevel="0" collapsed="false">
      <c r="A545" s="5" t="n">
        <v>2</v>
      </c>
      <c r="B545" s="5" t="n">
        <v>1</v>
      </c>
      <c r="C545" s="5" t="s">
        <v>85</v>
      </c>
      <c r="D545" s="5" t="s">
        <v>396</v>
      </c>
      <c r="E545" s="5" t="n">
        <v>1</v>
      </c>
      <c r="F545" s="6" t="n">
        <f aca="false">IFERROR(MATCH(A545&amp;"|"&amp;B545&amp;"|"&amp;D545,'All Song Rankings'!$T:$T,0),0)</f>
        <v>96</v>
      </c>
      <c r="G545" s="6" t="str">
        <f aca="false">IF(F545=0,"NOT FOUND",INDEX('All Song Rankings'!$A:$A,F545))</f>
        <v>Untouched</v>
      </c>
      <c r="H545" s="6" t="str">
        <f aca="false">IF(F545=0,"NOT FOUND",INDEX('All Song Rankings'!$B:$B,F545))</f>
        <v>The Veronicas</v>
      </c>
      <c r="I545" s="6" t="str">
        <f aca="false">IF(F545=0,"NOT FOUND",INDEX('All Song Rankings'!$D:$D,F545))</f>
        <v>Makenzie</v>
      </c>
      <c r="J545" s="7" t="str">
        <f aca="false">IF(F545=0,"NOT FOUND",IF(C545=I545,"SELF-VOTE",IF(COUNTIF($K:$K,K545)&gt;1,"DUPLICATE","OK")))</f>
        <v>OK</v>
      </c>
      <c r="K545" s="6" t="str">
        <f aca="false">A545&amp;"|"&amp;B545&amp;"|"&amp;C545&amp;"|"&amp;D545</f>
        <v>2|1|Kelsey|spotify:track:0KlahhzNb98zyN83Vwae0l</v>
      </c>
    </row>
    <row r="546" customFormat="false" ht="15" hidden="false" customHeight="false" outlineLevel="0" collapsed="false">
      <c r="A546" s="5" t="n">
        <v>2</v>
      </c>
      <c r="B546" s="5" t="n">
        <v>1</v>
      </c>
      <c r="C546" s="5" t="s">
        <v>85</v>
      </c>
      <c r="D546" s="5" t="s">
        <v>369</v>
      </c>
      <c r="E546" s="5" t="n">
        <v>2</v>
      </c>
      <c r="F546" s="6" t="n">
        <f aca="false">IFERROR(MATCH(A546&amp;"|"&amp;B546&amp;"|"&amp;D546,'All Song Rankings'!$T:$T,0),0)</f>
        <v>88</v>
      </c>
      <c r="G546" s="6" t="str">
        <f aca="false">IF(F546=0,"NOT FOUND",INDEX('All Song Rankings'!$A:$A,F546))</f>
        <v>High Hopes</v>
      </c>
      <c r="H546" s="6" t="str">
        <f aca="false">IF(F546=0,"NOT FOUND",INDEX('All Song Rankings'!$B:$B,F546))</f>
        <v>Panic! At The Disco</v>
      </c>
      <c r="I546" s="6" t="str">
        <f aca="false">IF(F546=0,"NOT FOUND",INDEX('All Song Rankings'!$D:$D,F546))</f>
        <v>Nicole</v>
      </c>
      <c r="J546" s="7" t="str">
        <f aca="false">IF(F546=0,"NOT FOUND",IF(C546=I546,"SELF-VOTE",IF(COUNTIF($K:$K,K546)&gt;1,"DUPLICATE","OK")))</f>
        <v>OK</v>
      </c>
      <c r="K546" s="6" t="str">
        <f aca="false">A546&amp;"|"&amp;B546&amp;"|"&amp;C546&amp;"|"&amp;D546</f>
        <v>2|1|Kelsey|spotify:track:1rqqCSm0Qe4I9rUvWncaom</v>
      </c>
    </row>
    <row r="547" customFormat="false" ht="15" hidden="false" customHeight="false" outlineLevel="0" collapsed="false">
      <c r="A547" s="5" t="n">
        <v>2</v>
      </c>
      <c r="B547" s="5" t="n">
        <v>1</v>
      </c>
      <c r="C547" s="5" t="s">
        <v>85</v>
      </c>
      <c r="D547" s="5" t="s">
        <v>376</v>
      </c>
      <c r="E547" s="5" t="n">
        <v>1</v>
      </c>
      <c r="F547" s="6" t="n">
        <f aca="false">IFERROR(MATCH(A547&amp;"|"&amp;B547&amp;"|"&amp;D547,'All Song Rankings'!$T:$T,0),0)</f>
        <v>90</v>
      </c>
      <c r="G547" s="6" t="str">
        <f aca="false">IF(F547=0,"NOT FOUND",INDEX('All Song Rankings'!$A:$A,F547))</f>
        <v>On The Floor</v>
      </c>
      <c r="H547" s="6" t="str">
        <f aca="false">IF(F547=0,"NOT FOUND",INDEX('All Song Rankings'!$B:$B,F547))</f>
        <v>Jennifer Lopez</v>
      </c>
      <c r="I547" s="6" t="str">
        <f aca="false">IF(F547=0,"NOT FOUND",INDEX('All Song Rankings'!$D:$D,F547))</f>
        <v>Aubrey</v>
      </c>
      <c r="J547" s="7" t="str">
        <f aca="false">IF(F547=0,"NOT FOUND",IF(C547=I547,"SELF-VOTE",IF(COUNTIF($K:$K,K547)&gt;1,"DUPLICATE","OK")))</f>
        <v>OK</v>
      </c>
      <c r="K547" s="6" t="str">
        <f aca="false">A547&amp;"|"&amp;B547&amp;"|"&amp;C547&amp;"|"&amp;D547</f>
        <v>2|1|Kelsey|spotify:track:20zQZVyUNPbq8kZACdgYrh</v>
      </c>
    </row>
    <row r="548" customFormat="false" ht="15" hidden="false" customHeight="false" outlineLevel="0" collapsed="false">
      <c r="A548" s="5" t="n">
        <v>2</v>
      </c>
      <c r="B548" s="5" t="n">
        <v>1</v>
      </c>
      <c r="C548" s="5" t="s">
        <v>85</v>
      </c>
      <c r="D548" s="5" t="s">
        <v>399</v>
      </c>
      <c r="E548" s="5" t="n">
        <v>1</v>
      </c>
      <c r="F548" s="6" t="n">
        <f aca="false">IFERROR(MATCH(A548&amp;"|"&amp;B548&amp;"|"&amp;D548,'All Song Rankings'!$T:$T,0),0)</f>
        <v>97</v>
      </c>
      <c r="G548" s="6" t="str">
        <f aca="false">IF(F548=0,"NOT FOUND",INDEX('All Song Rankings'!$A:$A,F548))</f>
        <v>#thatPOWER</v>
      </c>
      <c r="H548" s="6" t="str">
        <f aca="false">IF(F548=0,"NOT FOUND",INDEX('All Song Rankings'!$B:$B,F548))</f>
        <v>will.i.am</v>
      </c>
      <c r="I548" s="6" t="str">
        <f aca="false">IF(F548=0,"NOT FOUND",INDEX('All Song Rankings'!$D:$D,F548))</f>
        <v>Maryann</v>
      </c>
      <c r="J548" s="7" t="str">
        <f aca="false">IF(F548=0,"NOT FOUND",IF(C548=I548,"SELF-VOTE",IF(COUNTIF($K:$K,K548)&gt;1,"DUPLICATE","OK")))</f>
        <v>OK</v>
      </c>
      <c r="K548" s="6" t="str">
        <f aca="false">A548&amp;"|"&amp;B548&amp;"|"&amp;C548&amp;"|"&amp;D548</f>
        <v>2|1|Kelsey|spotify:track:37qlkp5VImuuYcXZI6aiam</v>
      </c>
    </row>
    <row r="549" customFormat="false" ht="15" hidden="false" customHeight="false" outlineLevel="0" collapsed="false">
      <c r="A549" s="5" t="n">
        <v>2</v>
      </c>
      <c r="B549" s="5" t="n">
        <v>1</v>
      </c>
      <c r="C549" s="5" t="s">
        <v>85</v>
      </c>
      <c r="D549" s="5" t="s">
        <v>379</v>
      </c>
      <c r="E549" s="5" t="n">
        <v>1</v>
      </c>
      <c r="F549" s="6" t="n">
        <f aca="false">IFERROR(MATCH(A549&amp;"|"&amp;B549&amp;"|"&amp;D549,'All Song Rankings'!$T:$T,0),0)</f>
        <v>91</v>
      </c>
      <c r="G549" s="6" t="str">
        <f aca="false">IF(F549=0,"NOT FOUND",INDEX('All Song Rankings'!$A:$A,F549))</f>
        <v>Till I Collapse</v>
      </c>
      <c r="H549" s="6" t="str">
        <f aca="false">IF(F549=0,"NOT FOUND",INDEX('All Song Rankings'!$B:$B,F549))</f>
        <v>Eminem</v>
      </c>
      <c r="I549" s="6" t="str">
        <f aca="false">IF(F549=0,"NOT FOUND",INDEX('All Song Rankings'!$D:$D,F549))</f>
        <v>Shayne</v>
      </c>
      <c r="J549" s="7" t="str">
        <f aca="false">IF(F549=0,"NOT FOUND",IF(C549=I549,"SELF-VOTE",IF(COUNTIF($K:$K,K549)&gt;1,"DUPLICATE","OK")))</f>
        <v>OK</v>
      </c>
      <c r="K549" s="6" t="str">
        <f aca="false">A549&amp;"|"&amp;B549&amp;"|"&amp;C549&amp;"|"&amp;D549</f>
        <v>2|1|Kelsey|spotify:track:4xkOaSrkexMciUUogZKVTS</v>
      </c>
    </row>
    <row r="550" customFormat="false" ht="15" hidden="false" customHeight="false" outlineLevel="0" collapsed="false">
      <c r="A550" s="5" t="n">
        <v>2</v>
      </c>
      <c r="B550" s="5" t="n">
        <v>1</v>
      </c>
      <c r="C550" s="5" t="s">
        <v>85</v>
      </c>
      <c r="D550" s="5" t="s">
        <v>366</v>
      </c>
      <c r="E550" s="5" t="n">
        <v>2</v>
      </c>
      <c r="F550" s="6" t="n">
        <f aca="false">IFERROR(MATCH(A550&amp;"|"&amp;B550&amp;"|"&amp;D550,'All Song Rankings'!$T:$T,0),0)</f>
        <v>87</v>
      </c>
      <c r="G550" s="6" t="str">
        <f aca="false">IF(F550=0,"NOT FOUND",INDEX('All Song Rankings'!$A:$A,F550))</f>
        <v>Mi Gente - Steve Aoki Remix</v>
      </c>
      <c r="H550" s="6" t="str">
        <f aca="false">IF(F550=0,"NOT FOUND",INDEX('All Song Rankings'!$B:$B,F550))</f>
        <v>J Balvin</v>
      </c>
      <c r="I550" s="6" t="str">
        <f aca="false">IF(F550=0,"NOT FOUND",INDEX('All Song Rankings'!$D:$D,F550))</f>
        <v>Logan</v>
      </c>
      <c r="J550" s="7" t="str">
        <f aca="false">IF(F550=0,"NOT FOUND",IF(C550=I550,"SELF-VOTE",IF(COUNTIF($K:$K,K550)&gt;1,"DUPLICATE","OK")))</f>
        <v>OK</v>
      </c>
      <c r="K550" s="6" t="str">
        <f aca="false">A550&amp;"|"&amp;B550&amp;"|"&amp;C550&amp;"|"&amp;D550</f>
        <v>2|1|Kelsey|spotify:track:6tK77Y61ZxGga7uCbMaEI1</v>
      </c>
    </row>
    <row r="551" customFormat="false" ht="15" hidden="false" customHeight="false" outlineLevel="0" collapsed="false">
      <c r="A551" s="5" t="n">
        <v>2</v>
      </c>
      <c r="B551" s="5" t="n">
        <v>1</v>
      </c>
      <c r="C551" s="5" t="s">
        <v>85</v>
      </c>
      <c r="D551" s="5" t="s">
        <v>383</v>
      </c>
      <c r="E551" s="5" t="n">
        <v>1</v>
      </c>
      <c r="F551" s="6" t="n">
        <f aca="false">IFERROR(MATCH(A551&amp;"|"&amp;B551&amp;"|"&amp;D551,'All Song Rankings'!$T:$T,0),0)</f>
        <v>92</v>
      </c>
      <c r="G551" s="6" t="str">
        <f aca="false">IF(F551=0,"NOT FOUND",INDEX('All Song Rankings'!$A:$A,F551))</f>
        <v>Your Love Is My Drug</v>
      </c>
      <c r="H551" s="6" t="str">
        <f aca="false">IF(F551=0,"NOT FOUND",INDEX('All Song Rankings'!$B:$B,F551))</f>
        <v>Kesha</v>
      </c>
      <c r="I551" s="6" t="str">
        <f aca="false">IF(F551=0,"NOT FOUND",INDEX('All Song Rankings'!$D:$D,F551))</f>
        <v>Grace</v>
      </c>
      <c r="J551" s="7" t="str">
        <f aca="false">IF(F551=0,"NOT FOUND",IF(C551=I551,"SELF-VOTE",IF(COUNTIF($K:$K,K551)&gt;1,"DUPLICATE","OK")))</f>
        <v>OK</v>
      </c>
      <c r="K551" s="6" t="str">
        <f aca="false">A551&amp;"|"&amp;B551&amp;"|"&amp;C551&amp;"|"&amp;D551</f>
        <v>2|1|Kelsey|spotify:track:6vc2Jq2vaGu8z326kSrw92</v>
      </c>
    </row>
    <row r="552" customFormat="false" ht="15" hidden="false" customHeight="false" outlineLevel="0" collapsed="false">
      <c r="A552" s="5" t="n">
        <v>2</v>
      </c>
      <c r="B552" s="5" t="n">
        <v>1</v>
      </c>
      <c r="C552" s="5" t="s">
        <v>106</v>
      </c>
      <c r="D552" s="5" t="s">
        <v>372</v>
      </c>
      <c r="E552" s="5" t="n">
        <v>1</v>
      </c>
      <c r="F552" s="6" t="n">
        <f aca="false">IFERROR(MATCH(A552&amp;"|"&amp;B552&amp;"|"&amp;D552,'All Song Rankings'!$T:$T,0),0)</f>
        <v>89</v>
      </c>
      <c r="G552" s="6" t="str">
        <f aca="false">IF(F552=0,"NOT FOUND",INDEX('All Song Rankings'!$A:$A,F552))</f>
        <v>Centuries</v>
      </c>
      <c r="H552" s="6" t="str">
        <f aca="false">IF(F552=0,"NOT FOUND",INDEX('All Song Rankings'!$B:$B,F552))</f>
        <v>Fall Out Boy</v>
      </c>
      <c r="I552" s="6" t="str">
        <f aca="false">IF(F552=0,"NOT FOUND",INDEX('All Song Rankings'!$D:$D,F552))</f>
        <v>Leah</v>
      </c>
      <c r="J552" s="7" t="str">
        <f aca="false">IF(F552=0,"NOT FOUND",IF(C552=I552,"SELF-VOTE",IF(COUNTIF($K:$K,K552)&gt;1,"DUPLICATE","OK")))</f>
        <v>OK</v>
      </c>
      <c r="K552" s="6" t="str">
        <f aca="false">A552&amp;"|"&amp;B552&amp;"|"&amp;C552&amp;"|"&amp;D552</f>
        <v>2|1|Kristen|spotify:track:04aAxqtGp5pv12UXAg4pkq</v>
      </c>
    </row>
    <row r="553" customFormat="false" ht="15" hidden="false" customHeight="false" outlineLevel="0" collapsed="false">
      <c r="A553" s="5" t="n">
        <v>2</v>
      </c>
      <c r="B553" s="5" t="n">
        <v>1</v>
      </c>
      <c r="C553" s="5" t="s">
        <v>106</v>
      </c>
      <c r="D553" s="5" t="s">
        <v>392</v>
      </c>
      <c r="E553" s="5" t="n">
        <v>1</v>
      </c>
      <c r="F553" s="6" t="n">
        <f aca="false">IFERROR(MATCH(A553&amp;"|"&amp;B553&amp;"|"&amp;D553,'All Song Rankings'!$T:$T,0),0)</f>
        <v>95</v>
      </c>
      <c r="G553" s="6" t="str">
        <f aca="false">IF(F553=0,"NOT FOUND",INDEX('All Song Rankings'!$A:$A,F553))</f>
        <v>Animals</v>
      </c>
      <c r="H553" s="6" t="str">
        <f aca="false">IF(F553=0,"NOT FOUND",INDEX('All Song Rankings'!$B:$B,F553))</f>
        <v>Martin Garrix</v>
      </c>
      <c r="I553" s="6" t="str">
        <f aca="false">IF(F553=0,"NOT FOUND",INDEX('All Song Rankings'!$D:$D,F553))</f>
        <v>Merita</v>
      </c>
      <c r="J553" s="7" t="str">
        <f aca="false">IF(F553=0,"NOT FOUND",IF(C553=I553,"SELF-VOTE",IF(COUNTIF($K:$K,K553)&gt;1,"DUPLICATE","OK")))</f>
        <v>OK</v>
      </c>
      <c r="K553" s="6" t="str">
        <f aca="false">A553&amp;"|"&amp;B553&amp;"|"&amp;C553&amp;"|"&amp;D553</f>
        <v>2|1|Kristen|spotify:track:0A9mHc7oYUoCECqByV8cQR</v>
      </c>
    </row>
    <row r="554" customFormat="false" ht="15" hidden="false" customHeight="false" outlineLevel="0" collapsed="false">
      <c r="A554" s="5" t="n">
        <v>2</v>
      </c>
      <c r="B554" s="5" t="n">
        <v>1</v>
      </c>
      <c r="C554" s="5" t="s">
        <v>106</v>
      </c>
      <c r="D554" s="5" t="s">
        <v>369</v>
      </c>
      <c r="E554" s="5" t="n">
        <v>1</v>
      </c>
      <c r="F554" s="6" t="n">
        <f aca="false">IFERROR(MATCH(A554&amp;"|"&amp;B554&amp;"|"&amp;D554,'All Song Rankings'!$T:$T,0),0)</f>
        <v>88</v>
      </c>
      <c r="G554" s="6" t="str">
        <f aca="false">IF(F554=0,"NOT FOUND",INDEX('All Song Rankings'!$A:$A,F554))</f>
        <v>High Hopes</v>
      </c>
      <c r="H554" s="6" t="str">
        <f aca="false">IF(F554=0,"NOT FOUND",INDEX('All Song Rankings'!$B:$B,F554))</f>
        <v>Panic! At The Disco</v>
      </c>
      <c r="I554" s="6" t="str">
        <f aca="false">IF(F554=0,"NOT FOUND",INDEX('All Song Rankings'!$D:$D,F554))</f>
        <v>Nicole</v>
      </c>
      <c r="J554" s="7" t="str">
        <f aca="false">IF(F554=0,"NOT FOUND",IF(C554=I554,"SELF-VOTE",IF(COUNTIF($K:$K,K554)&gt;1,"DUPLICATE","OK")))</f>
        <v>OK</v>
      </c>
      <c r="K554" s="6" t="str">
        <f aca="false">A554&amp;"|"&amp;B554&amp;"|"&amp;C554&amp;"|"&amp;D554</f>
        <v>2|1|Kristen|spotify:track:1rqqCSm0Qe4I9rUvWncaom</v>
      </c>
    </row>
    <row r="555" customFormat="false" ht="15" hidden="false" customHeight="false" outlineLevel="0" collapsed="false">
      <c r="A555" s="5" t="n">
        <v>2</v>
      </c>
      <c r="B555" s="5" t="n">
        <v>1</v>
      </c>
      <c r="C555" s="5" t="s">
        <v>106</v>
      </c>
      <c r="D555" s="5" t="s">
        <v>376</v>
      </c>
      <c r="E555" s="5" t="n">
        <v>1</v>
      </c>
      <c r="F555" s="6" t="n">
        <f aca="false">IFERROR(MATCH(A555&amp;"|"&amp;B555&amp;"|"&amp;D555,'All Song Rankings'!$T:$T,0),0)</f>
        <v>90</v>
      </c>
      <c r="G555" s="6" t="str">
        <f aca="false">IF(F555=0,"NOT FOUND",INDEX('All Song Rankings'!$A:$A,F555))</f>
        <v>On The Floor</v>
      </c>
      <c r="H555" s="6" t="str">
        <f aca="false">IF(F555=0,"NOT FOUND",INDEX('All Song Rankings'!$B:$B,F555))</f>
        <v>Jennifer Lopez</v>
      </c>
      <c r="I555" s="6" t="str">
        <f aca="false">IF(F555=0,"NOT FOUND",INDEX('All Song Rankings'!$D:$D,F555))</f>
        <v>Aubrey</v>
      </c>
      <c r="J555" s="7" t="str">
        <f aca="false">IF(F555=0,"NOT FOUND",IF(C555=I555,"SELF-VOTE",IF(COUNTIF($K:$K,K555)&gt;1,"DUPLICATE","OK")))</f>
        <v>OK</v>
      </c>
      <c r="K555" s="6" t="str">
        <f aca="false">A555&amp;"|"&amp;B555&amp;"|"&amp;C555&amp;"|"&amp;D555</f>
        <v>2|1|Kristen|spotify:track:20zQZVyUNPbq8kZACdgYrh</v>
      </c>
    </row>
    <row r="556" customFormat="false" ht="15" hidden="false" customHeight="false" outlineLevel="0" collapsed="false">
      <c r="A556" s="5" t="n">
        <v>2</v>
      </c>
      <c r="B556" s="5" t="n">
        <v>1</v>
      </c>
      <c r="C556" s="5" t="s">
        <v>106</v>
      </c>
      <c r="D556" s="5" t="s">
        <v>408</v>
      </c>
      <c r="E556" s="5" t="n">
        <v>1</v>
      </c>
      <c r="F556" s="6" t="n">
        <f aca="false">IFERROR(MATCH(A556&amp;"|"&amp;B556&amp;"|"&amp;D556,'All Song Rankings'!$T:$T,0),0)</f>
        <v>100</v>
      </c>
      <c r="G556" s="6" t="str">
        <f aca="false">IF(F556=0,"NOT FOUND",INDEX('All Song Rankings'!$A:$A,F556))</f>
        <v>B.O.B. - Bombs Over Baghdad</v>
      </c>
      <c r="H556" s="6" t="str">
        <f aca="false">IF(F556=0,"NOT FOUND",INDEX('All Song Rankings'!$B:$B,F556))</f>
        <v>Outkast</v>
      </c>
      <c r="I556" s="6" t="str">
        <f aca="false">IF(F556=0,"NOT FOUND",INDEX('All Song Rankings'!$D:$D,F556))</f>
        <v>Stephanie</v>
      </c>
      <c r="J556" s="7" t="str">
        <f aca="false">IF(F556=0,"NOT FOUND",IF(C556=I556,"SELF-VOTE",IF(COUNTIF($K:$K,K556)&gt;1,"DUPLICATE","OK")))</f>
        <v>OK</v>
      </c>
      <c r="K556" s="6" t="str">
        <f aca="false">A556&amp;"|"&amp;B556&amp;"|"&amp;C556&amp;"|"&amp;D556</f>
        <v>2|1|Kristen|spotify:track:3WibbMr6canxRJXhNtAvLU</v>
      </c>
    </row>
    <row r="557" customFormat="false" ht="15" hidden="false" customHeight="false" outlineLevel="0" collapsed="false">
      <c r="A557" s="5" t="n">
        <v>2</v>
      </c>
      <c r="B557" s="5" t="n">
        <v>1</v>
      </c>
      <c r="C557" s="5" t="s">
        <v>106</v>
      </c>
      <c r="D557" s="5" t="s">
        <v>379</v>
      </c>
      <c r="E557" s="5" t="n">
        <v>1</v>
      </c>
      <c r="F557" s="6" t="n">
        <f aca="false">IFERROR(MATCH(A557&amp;"|"&amp;B557&amp;"|"&amp;D557,'All Song Rankings'!$T:$T,0),0)</f>
        <v>91</v>
      </c>
      <c r="G557" s="6" t="str">
        <f aca="false">IF(F557=0,"NOT FOUND",INDEX('All Song Rankings'!$A:$A,F557))</f>
        <v>Till I Collapse</v>
      </c>
      <c r="H557" s="6" t="str">
        <f aca="false">IF(F557=0,"NOT FOUND",INDEX('All Song Rankings'!$B:$B,F557))</f>
        <v>Eminem</v>
      </c>
      <c r="I557" s="6" t="str">
        <f aca="false">IF(F557=0,"NOT FOUND",INDEX('All Song Rankings'!$D:$D,F557))</f>
        <v>Shayne</v>
      </c>
      <c r="J557" s="7" t="str">
        <f aca="false">IF(F557=0,"NOT FOUND",IF(C557=I557,"SELF-VOTE",IF(COUNTIF($K:$K,K557)&gt;1,"DUPLICATE","OK")))</f>
        <v>OK</v>
      </c>
      <c r="K557" s="6" t="str">
        <f aca="false">A557&amp;"|"&amp;B557&amp;"|"&amp;C557&amp;"|"&amp;D557</f>
        <v>2|1|Kristen|spotify:track:4xkOaSrkexMciUUogZKVTS</v>
      </c>
    </row>
    <row r="558" customFormat="false" ht="15" hidden="false" customHeight="false" outlineLevel="0" collapsed="false">
      <c r="A558" s="5" t="n">
        <v>2</v>
      </c>
      <c r="B558" s="5" t="n">
        <v>1</v>
      </c>
      <c r="C558" s="5" t="s">
        <v>106</v>
      </c>
      <c r="D558" s="5" t="s">
        <v>405</v>
      </c>
      <c r="E558" s="5" t="n">
        <v>1</v>
      </c>
      <c r="F558" s="6" t="n">
        <f aca="false">IFERROR(MATCH(A558&amp;"|"&amp;B558&amp;"|"&amp;D558,'All Song Rankings'!$T:$T,0),0)</f>
        <v>99</v>
      </c>
      <c r="G558" s="6" t="str">
        <f aca="false">IF(F558=0,"NOT FOUND",INDEX('All Song Rankings'!$A:$A,F558))</f>
        <v>Around the World / Harder, Better, Faster, Stronger</v>
      </c>
      <c r="H558" s="6" t="str">
        <f aca="false">IF(F558=0,"NOT FOUND",INDEX('All Song Rankings'!$B:$B,F558))</f>
        <v>Daft Punk</v>
      </c>
      <c r="I558" s="6" t="str">
        <f aca="false">IF(F558=0,"NOT FOUND",INDEX('All Song Rankings'!$D:$D,F558))</f>
        <v>Matt</v>
      </c>
      <c r="J558" s="7" t="str">
        <f aca="false">IF(F558=0,"NOT FOUND",IF(C558=I558,"SELF-VOTE",IF(COUNTIF($K:$K,K558)&gt;1,"DUPLICATE","OK")))</f>
        <v>OK</v>
      </c>
      <c r="K558" s="6" t="str">
        <f aca="false">A558&amp;"|"&amp;B558&amp;"|"&amp;C558&amp;"|"&amp;D558</f>
        <v>2|1|Kristen|spotify:track:5RByQFt9Mlo8hDYJ921tCv</v>
      </c>
    </row>
    <row r="559" customFormat="false" ht="15" hidden="false" customHeight="false" outlineLevel="0" collapsed="false">
      <c r="A559" s="5" t="n">
        <v>2</v>
      </c>
      <c r="B559" s="5" t="n">
        <v>1</v>
      </c>
      <c r="C559" s="5" t="s">
        <v>106</v>
      </c>
      <c r="D559" s="5" t="s">
        <v>402</v>
      </c>
      <c r="E559" s="5" t="n">
        <v>2</v>
      </c>
      <c r="F559" s="6" t="n">
        <f aca="false">IFERROR(MATCH(A559&amp;"|"&amp;B559&amp;"|"&amp;D559,'All Song Rankings'!$T:$T,0),0)</f>
        <v>98</v>
      </c>
      <c r="G559" s="6" t="str">
        <f aca="false">IF(F559=0,"NOT FOUND",INDEX('All Song Rankings'!$A:$A,F559))</f>
        <v>Closer</v>
      </c>
      <c r="H559" s="6" t="str">
        <f aca="false">IF(F559=0,"NOT FOUND",INDEX('All Song Rankings'!$B:$B,F559))</f>
        <v>Nine Inch Nails</v>
      </c>
      <c r="I559" s="6" t="str">
        <f aca="false">IF(F559=0,"NOT FOUND",INDEX('All Song Rankings'!$D:$D,F559))</f>
        <v>Anya</v>
      </c>
      <c r="J559" s="7" t="str">
        <f aca="false">IF(F559=0,"NOT FOUND",IF(C559=I559,"SELF-VOTE",IF(COUNTIF($K:$K,K559)&gt;1,"DUPLICATE","OK")))</f>
        <v>OK</v>
      </c>
      <c r="K559" s="6" t="str">
        <f aca="false">A559&amp;"|"&amp;B559&amp;"|"&amp;C559&amp;"|"&amp;D559</f>
        <v>2|1|Kristen|spotify:track:5mc6EyF1OIEOhAkD0Gg9Lc</v>
      </c>
    </row>
    <row r="560" customFormat="false" ht="15" hidden="false" customHeight="false" outlineLevel="0" collapsed="false">
      <c r="A560" s="5" t="n">
        <v>2</v>
      </c>
      <c r="B560" s="5" t="n">
        <v>1</v>
      </c>
      <c r="C560" s="5" t="s">
        <v>106</v>
      </c>
      <c r="D560" s="5" t="s">
        <v>366</v>
      </c>
      <c r="E560" s="5" t="n">
        <v>1</v>
      </c>
      <c r="F560" s="6" t="n">
        <f aca="false">IFERROR(MATCH(A560&amp;"|"&amp;B560&amp;"|"&amp;D560,'All Song Rankings'!$T:$T,0),0)</f>
        <v>87</v>
      </c>
      <c r="G560" s="6" t="str">
        <f aca="false">IF(F560=0,"NOT FOUND",INDEX('All Song Rankings'!$A:$A,F560))</f>
        <v>Mi Gente - Steve Aoki Remix</v>
      </c>
      <c r="H560" s="6" t="str">
        <f aca="false">IF(F560=0,"NOT FOUND",INDEX('All Song Rankings'!$B:$B,F560))</f>
        <v>J Balvin</v>
      </c>
      <c r="I560" s="6" t="str">
        <f aca="false">IF(F560=0,"NOT FOUND",INDEX('All Song Rankings'!$D:$D,F560))</f>
        <v>Logan</v>
      </c>
      <c r="J560" s="7" t="str">
        <f aca="false">IF(F560=0,"NOT FOUND",IF(C560=I560,"SELF-VOTE",IF(COUNTIF($K:$K,K560)&gt;1,"DUPLICATE","OK")))</f>
        <v>OK</v>
      </c>
      <c r="K560" s="6" t="str">
        <f aca="false">A560&amp;"|"&amp;B560&amp;"|"&amp;C560&amp;"|"&amp;D560</f>
        <v>2|1|Kristen|spotify:track:6tK77Y61ZxGga7uCbMaEI1</v>
      </c>
    </row>
    <row r="561" customFormat="false" ht="15" hidden="false" customHeight="false" outlineLevel="0" collapsed="false">
      <c r="A561" s="5" t="n">
        <v>2</v>
      </c>
      <c r="B561" s="5" t="n">
        <v>1</v>
      </c>
      <c r="C561" s="5" t="s">
        <v>119</v>
      </c>
      <c r="D561" s="5" t="s">
        <v>392</v>
      </c>
      <c r="E561" s="5" t="n">
        <v>1</v>
      </c>
      <c r="F561" s="6" t="n">
        <f aca="false">IFERROR(MATCH(A561&amp;"|"&amp;B561&amp;"|"&amp;D561,'All Song Rankings'!$T:$T,0),0)</f>
        <v>95</v>
      </c>
      <c r="G561" s="6" t="str">
        <f aca="false">IF(F561=0,"NOT FOUND",INDEX('All Song Rankings'!$A:$A,F561))</f>
        <v>Animals</v>
      </c>
      <c r="H561" s="6" t="str">
        <f aca="false">IF(F561=0,"NOT FOUND",INDEX('All Song Rankings'!$B:$B,F561))</f>
        <v>Martin Garrix</v>
      </c>
      <c r="I561" s="6" t="str">
        <f aca="false">IF(F561=0,"NOT FOUND",INDEX('All Song Rankings'!$D:$D,F561))</f>
        <v>Merita</v>
      </c>
      <c r="J561" s="7" t="str">
        <f aca="false">IF(F561=0,"NOT FOUND",IF(C561=I561,"SELF-VOTE",IF(COUNTIF($K:$K,K561)&gt;1,"DUPLICATE","OK")))</f>
        <v>OK</v>
      </c>
      <c r="K561" s="6" t="str">
        <f aca="false">A561&amp;"|"&amp;B561&amp;"|"&amp;C561&amp;"|"&amp;D561</f>
        <v>2|1|Leah|spotify:track:0A9mHc7oYUoCECqByV8cQR</v>
      </c>
    </row>
    <row r="562" customFormat="false" ht="15" hidden="false" customHeight="false" outlineLevel="0" collapsed="false">
      <c r="A562" s="5" t="n">
        <v>2</v>
      </c>
      <c r="B562" s="5" t="n">
        <v>1</v>
      </c>
      <c r="C562" s="5" t="s">
        <v>119</v>
      </c>
      <c r="D562" s="5" t="s">
        <v>369</v>
      </c>
      <c r="E562" s="5" t="n">
        <v>1</v>
      </c>
      <c r="F562" s="6" t="n">
        <f aca="false">IFERROR(MATCH(A562&amp;"|"&amp;B562&amp;"|"&amp;D562,'All Song Rankings'!$T:$T,0),0)</f>
        <v>88</v>
      </c>
      <c r="G562" s="6" t="str">
        <f aca="false">IF(F562=0,"NOT FOUND",INDEX('All Song Rankings'!$A:$A,F562))</f>
        <v>High Hopes</v>
      </c>
      <c r="H562" s="6" t="str">
        <f aca="false">IF(F562=0,"NOT FOUND",INDEX('All Song Rankings'!$B:$B,F562))</f>
        <v>Panic! At The Disco</v>
      </c>
      <c r="I562" s="6" t="str">
        <f aca="false">IF(F562=0,"NOT FOUND",INDEX('All Song Rankings'!$D:$D,F562))</f>
        <v>Nicole</v>
      </c>
      <c r="J562" s="7" t="str">
        <f aca="false">IF(F562=0,"NOT FOUND",IF(C562=I562,"SELF-VOTE",IF(COUNTIF($K:$K,K562)&gt;1,"DUPLICATE","OK")))</f>
        <v>OK</v>
      </c>
      <c r="K562" s="6" t="str">
        <f aca="false">A562&amp;"|"&amp;B562&amp;"|"&amp;C562&amp;"|"&amp;D562</f>
        <v>2|1|Leah|spotify:track:1rqqCSm0Qe4I9rUvWncaom</v>
      </c>
    </row>
    <row r="563" customFormat="false" ht="15" hidden="false" customHeight="false" outlineLevel="0" collapsed="false">
      <c r="A563" s="5" t="n">
        <v>2</v>
      </c>
      <c r="B563" s="5" t="n">
        <v>1</v>
      </c>
      <c r="C563" s="5" t="s">
        <v>119</v>
      </c>
      <c r="D563" s="5" t="s">
        <v>376</v>
      </c>
      <c r="E563" s="5" t="n">
        <v>1</v>
      </c>
      <c r="F563" s="6" t="n">
        <f aca="false">IFERROR(MATCH(A563&amp;"|"&amp;B563&amp;"|"&amp;D563,'All Song Rankings'!$T:$T,0),0)</f>
        <v>90</v>
      </c>
      <c r="G563" s="6" t="str">
        <f aca="false">IF(F563=0,"NOT FOUND",INDEX('All Song Rankings'!$A:$A,F563))</f>
        <v>On The Floor</v>
      </c>
      <c r="H563" s="6" t="str">
        <f aca="false">IF(F563=0,"NOT FOUND",INDEX('All Song Rankings'!$B:$B,F563))</f>
        <v>Jennifer Lopez</v>
      </c>
      <c r="I563" s="6" t="str">
        <f aca="false">IF(F563=0,"NOT FOUND",INDEX('All Song Rankings'!$D:$D,F563))</f>
        <v>Aubrey</v>
      </c>
      <c r="J563" s="7" t="str">
        <f aca="false">IF(F563=0,"NOT FOUND",IF(C563=I563,"SELF-VOTE",IF(COUNTIF($K:$K,K563)&gt;1,"DUPLICATE","OK")))</f>
        <v>OK</v>
      </c>
      <c r="K563" s="6" t="str">
        <f aca="false">A563&amp;"|"&amp;B563&amp;"|"&amp;C563&amp;"|"&amp;D563</f>
        <v>2|1|Leah|spotify:track:20zQZVyUNPbq8kZACdgYrh</v>
      </c>
    </row>
    <row r="564" customFormat="false" ht="15" hidden="false" customHeight="false" outlineLevel="0" collapsed="false">
      <c r="A564" s="5" t="n">
        <v>2</v>
      </c>
      <c r="B564" s="5" t="n">
        <v>1</v>
      </c>
      <c r="C564" s="5" t="s">
        <v>119</v>
      </c>
      <c r="D564" s="5" t="s">
        <v>399</v>
      </c>
      <c r="E564" s="5" t="n">
        <v>1</v>
      </c>
      <c r="F564" s="6" t="n">
        <f aca="false">IFERROR(MATCH(A564&amp;"|"&amp;B564&amp;"|"&amp;D564,'All Song Rankings'!$T:$T,0),0)</f>
        <v>97</v>
      </c>
      <c r="G564" s="6" t="str">
        <f aca="false">IF(F564=0,"NOT FOUND",INDEX('All Song Rankings'!$A:$A,F564))</f>
        <v>#thatPOWER</v>
      </c>
      <c r="H564" s="6" t="str">
        <f aca="false">IF(F564=0,"NOT FOUND",INDEX('All Song Rankings'!$B:$B,F564))</f>
        <v>will.i.am</v>
      </c>
      <c r="I564" s="6" t="str">
        <f aca="false">IF(F564=0,"NOT FOUND",INDEX('All Song Rankings'!$D:$D,F564))</f>
        <v>Maryann</v>
      </c>
      <c r="J564" s="7" t="str">
        <f aca="false">IF(F564=0,"NOT FOUND",IF(C564=I564,"SELF-VOTE",IF(COUNTIF($K:$K,K564)&gt;1,"DUPLICATE","OK")))</f>
        <v>OK</v>
      </c>
      <c r="K564" s="6" t="str">
        <f aca="false">A564&amp;"|"&amp;B564&amp;"|"&amp;C564&amp;"|"&amp;D564</f>
        <v>2|1|Leah|spotify:track:37qlkp5VImuuYcXZI6aiam</v>
      </c>
    </row>
    <row r="565" customFormat="false" ht="15" hidden="false" customHeight="false" outlineLevel="0" collapsed="false">
      <c r="A565" s="5" t="n">
        <v>2</v>
      </c>
      <c r="B565" s="5" t="n">
        <v>1</v>
      </c>
      <c r="C565" s="5" t="s">
        <v>119</v>
      </c>
      <c r="D565" s="5" t="s">
        <v>379</v>
      </c>
      <c r="E565" s="5" t="n">
        <v>2</v>
      </c>
      <c r="F565" s="6" t="n">
        <f aca="false">IFERROR(MATCH(A565&amp;"|"&amp;B565&amp;"|"&amp;D565,'All Song Rankings'!$T:$T,0),0)</f>
        <v>91</v>
      </c>
      <c r="G565" s="6" t="str">
        <f aca="false">IF(F565=0,"NOT FOUND",INDEX('All Song Rankings'!$A:$A,F565))</f>
        <v>Till I Collapse</v>
      </c>
      <c r="H565" s="6" t="str">
        <f aca="false">IF(F565=0,"NOT FOUND",INDEX('All Song Rankings'!$B:$B,F565))</f>
        <v>Eminem</v>
      </c>
      <c r="I565" s="6" t="str">
        <f aca="false">IF(F565=0,"NOT FOUND",INDEX('All Song Rankings'!$D:$D,F565))</f>
        <v>Shayne</v>
      </c>
      <c r="J565" s="7" t="str">
        <f aca="false">IF(F565=0,"NOT FOUND",IF(C565=I565,"SELF-VOTE",IF(COUNTIF($K:$K,K565)&gt;1,"DUPLICATE","OK")))</f>
        <v>OK</v>
      </c>
      <c r="K565" s="6" t="str">
        <f aca="false">A565&amp;"|"&amp;B565&amp;"|"&amp;C565&amp;"|"&amp;D565</f>
        <v>2|1|Leah|spotify:track:4xkOaSrkexMciUUogZKVTS</v>
      </c>
    </row>
    <row r="566" customFormat="false" ht="15" hidden="false" customHeight="false" outlineLevel="0" collapsed="false">
      <c r="A566" s="5" t="n">
        <v>2</v>
      </c>
      <c r="B566" s="5" t="n">
        <v>1</v>
      </c>
      <c r="C566" s="5" t="s">
        <v>119</v>
      </c>
      <c r="D566" s="5" t="s">
        <v>389</v>
      </c>
      <c r="E566" s="5" t="n">
        <v>1</v>
      </c>
      <c r="F566" s="6" t="n">
        <f aca="false">IFERROR(MATCH(A566&amp;"|"&amp;B566&amp;"|"&amp;D566,'All Song Rankings'!$T:$T,0),0)</f>
        <v>94</v>
      </c>
      <c r="G566" s="6" t="str">
        <f aca="false">IF(F566=0,"NOT FOUND",INDEX('All Song Rankings'!$A:$A,F566))</f>
        <v>What's Up Danger</v>
      </c>
      <c r="H566" s="6" t="str">
        <f aca="false">IF(F566=0,"NOT FOUND",INDEX('All Song Rankings'!$B:$B,F566))</f>
        <v>Blackway</v>
      </c>
      <c r="I566" s="6" t="str">
        <f aca="false">IF(F566=0,"NOT FOUND",INDEX('All Song Rankings'!$D:$D,F566))</f>
        <v>Kristen</v>
      </c>
      <c r="J566" s="7" t="str">
        <f aca="false">IF(F566=0,"NOT FOUND",IF(C566=I566,"SELF-VOTE",IF(COUNTIF($K:$K,K566)&gt;1,"DUPLICATE","OK")))</f>
        <v>OK</v>
      </c>
      <c r="K566" s="6" t="str">
        <f aca="false">A566&amp;"|"&amp;B566&amp;"|"&amp;C566&amp;"|"&amp;D566</f>
        <v>2|1|Leah|spotify:track:5zsHmE2gO3RefVsPyw2e3T</v>
      </c>
    </row>
    <row r="567" customFormat="false" ht="15" hidden="false" customHeight="false" outlineLevel="0" collapsed="false">
      <c r="A567" s="5" t="n">
        <v>2</v>
      </c>
      <c r="B567" s="5" t="n">
        <v>1</v>
      </c>
      <c r="C567" s="5" t="s">
        <v>119</v>
      </c>
      <c r="D567" s="5" t="s">
        <v>386</v>
      </c>
      <c r="E567" s="5" t="n">
        <v>1</v>
      </c>
      <c r="F567" s="6" t="n">
        <f aca="false">IFERROR(MATCH(A567&amp;"|"&amp;B567&amp;"|"&amp;D567,'All Song Rankings'!$T:$T,0),0)</f>
        <v>93</v>
      </c>
      <c r="G567" s="6" t="str">
        <f aca="false">IF(F567=0,"NOT FOUND",INDEX('All Song Rankings'!$A:$A,F567))</f>
        <v>Misery Business</v>
      </c>
      <c r="H567" s="6" t="str">
        <f aca="false">IF(F567=0,"NOT FOUND",INDEX('All Song Rankings'!$B:$B,F567))</f>
        <v>Paramore</v>
      </c>
      <c r="I567" s="6" t="str">
        <f aca="false">IF(F567=0,"NOT FOUND",INDEX('All Song Rankings'!$D:$D,F567))</f>
        <v>Kelsey</v>
      </c>
      <c r="J567" s="7" t="str">
        <f aca="false">IF(F567=0,"NOT FOUND",IF(C567=I567,"SELF-VOTE",IF(COUNTIF($K:$K,K567)&gt;1,"DUPLICATE","OK")))</f>
        <v>OK</v>
      </c>
      <c r="K567" s="6" t="str">
        <f aca="false">A567&amp;"|"&amp;B567&amp;"|"&amp;C567&amp;"|"&amp;D567</f>
        <v>2|1|Leah|spotify:track:6SpLc7EXZIPpy0sVko0aoU</v>
      </c>
    </row>
    <row r="568" customFormat="false" ht="15" hidden="false" customHeight="false" outlineLevel="0" collapsed="false">
      <c r="A568" s="5" t="n">
        <v>2</v>
      </c>
      <c r="B568" s="5" t="n">
        <v>1</v>
      </c>
      <c r="C568" s="5" t="s">
        <v>119</v>
      </c>
      <c r="D568" s="5" t="s">
        <v>366</v>
      </c>
      <c r="E568" s="5" t="n">
        <v>2</v>
      </c>
      <c r="F568" s="6" t="n">
        <f aca="false">IFERROR(MATCH(A568&amp;"|"&amp;B568&amp;"|"&amp;D568,'All Song Rankings'!$T:$T,0),0)</f>
        <v>87</v>
      </c>
      <c r="G568" s="6" t="str">
        <f aca="false">IF(F568=0,"NOT FOUND",INDEX('All Song Rankings'!$A:$A,F568))</f>
        <v>Mi Gente - Steve Aoki Remix</v>
      </c>
      <c r="H568" s="6" t="str">
        <f aca="false">IF(F568=0,"NOT FOUND",INDEX('All Song Rankings'!$B:$B,F568))</f>
        <v>J Balvin</v>
      </c>
      <c r="I568" s="6" t="str">
        <f aca="false">IF(F568=0,"NOT FOUND",INDEX('All Song Rankings'!$D:$D,F568))</f>
        <v>Logan</v>
      </c>
      <c r="J568" s="7" t="str">
        <f aca="false">IF(F568=0,"NOT FOUND",IF(C568=I568,"SELF-VOTE",IF(COUNTIF($K:$K,K568)&gt;1,"DUPLICATE","OK")))</f>
        <v>OK</v>
      </c>
      <c r="K568" s="6" t="str">
        <f aca="false">A568&amp;"|"&amp;B568&amp;"|"&amp;C568&amp;"|"&amp;D568</f>
        <v>2|1|Leah|spotify:track:6tK77Y61ZxGga7uCbMaEI1</v>
      </c>
    </row>
    <row r="569" customFormat="false" ht="15" hidden="false" customHeight="false" outlineLevel="0" collapsed="false">
      <c r="A569" s="5" t="n">
        <v>2</v>
      </c>
      <c r="B569" s="5" t="n">
        <v>1</v>
      </c>
      <c r="C569" s="5" t="s">
        <v>128</v>
      </c>
      <c r="D569" s="5" t="s">
        <v>372</v>
      </c>
      <c r="E569" s="5" t="n">
        <v>2</v>
      </c>
      <c r="F569" s="6" t="n">
        <f aca="false">IFERROR(MATCH(A569&amp;"|"&amp;B569&amp;"|"&amp;D569,'All Song Rankings'!$T:$T,0),0)</f>
        <v>89</v>
      </c>
      <c r="G569" s="6" t="str">
        <f aca="false">IF(F569=0,"NOT FOUND",INDEX('All Song Rankings'!$A:$A,F569))</f>
        <v>Centuries</v>
      </c>
      <c r="H569" s="6" t="str">
        <f aca="false">IF(F569=0,"NOT FOUND",INDEX('All Song Rankings'!$B:$B,F569))</f>
        <v>Fall Out Boy</v>
      </c>
      <c r="I569" s="6" t="str">
        <f aca="false">IF(F569=0,"NOT FOUND",INDEX('All Song Rankings'!$D:$D,F569))</f>
        <v>Leah</v>
      </c>
      <c r="J569" s="7" t="str">
        <f aca="false">IF(F569=0,"NOT FOUND",IF(C569=I569,"SELF-VOTE",IF(COUNTIF($K:$K,K569)&gt;1,"DUPLICATE","OK")))</f>
        <v>OK</v>
      </c>
      <c r="K569" s="6" t="str">
        <f aca="false">A569&amp;"|"&amp;B569&amp;"|"&amp;C569&amp;"|"&amp;D569</f>
        <v>2|1|Logan|spotify:track:04aAxqtGp5pv12UXAg4pkq</v>
      </c>
    </row>
    <row r="570" customFormat="false" ht="15" hidden="false" customHeight="false" outlineLevel="0" collapsed="false">
      <c r="A570" s="5" t="n">
        <v>2</v>
      </c>
      <c r="B570" s="5" t="n">
        <v>1</v>
      </c>
      <c r="C570" s="5" t="s">
        <v>128</v>
      </c>
      <c r="D570" s="5" t="s">
        <v>396</v>
      </c>
      <c r="E570" s="5" t="n">
        <v>3</v>
      </c>
      <c r="F570" s="6" t="n">
        <f aca="false">IFERROR(MATCH(A570&amp;"|"&amp;B570&amp;"|"&amp;D570,'All Song Rankings'!$T:$T,0),0)</f>
        <v>96</v>
      </c>
      <c r="G570" s="6" t="str">
        <f aca="false">IF(F570=0,"NOT FOUND",INDEX('All Song Rankings'!$A:$A,F570))</f>
        <v>Untouched</v>
      </c>
      <c r="H570" s="6" t="str">
        <f aca="false">IF(F570=0,"NOT FOUND",INDEX('All Song Rankings'!$B:$B,F570))</f>
        <v>The Veronicas</v>
      </c>
      <c r="I570" s="6" t="str">
        <f aca="false">IF(F570=0,"NOT FOUND",INDEX('All Song Rankings'!$D:$D,F570))</f>
        <v>Makenzie</v>
      </c>
      <c r="J570" s="7" t="str">
        <f aca="false">IF(F570=0,"NOT FOUND",IF(C570=I570,"SELF-VOTE",IF(COUNTIF($K:$K,K570)&gt;1,"DUPLICATE","OK")))</f>
        <v>OK</v>
      </c>
      <c r="K570" s="6" t="str">
        <f aca="false">A570&amp;"|"&amp;B570&amp;"|"&amp;C570&amp;"|"&amp;D570</f>
        <v>2|1|Logan|spotify:track:0KlahhzNb98zyN83Vwae0l</v>
      </c>
    </row>
    <row r="571" customFormat="false" ht="15" hidden="false" customHeight="false" outlineLevel="0" collapsed="false">
      <c r="A571" s="5" t="n">
        <v>2</v>
      </c>
      <c r="B571" s="5" t="n">
        <v>1</v>
      </c>
      <c r="C571" s="5" t="s">
        <v>128</v>
      </c>
      <c r="D571" s="5" t="s">
        <v>369</v>
      </c>
      <c r="E571" s="5" t="n">
        <v>1</v>
      </c>
      <c r="F571" s="6" t="n">
        <f aca="false">IFERROR(MATCH(A571&amp;"|"&amp;B571&amp;"|"&amp;D571,'All Song Rankings'!$T:$T,0),0)</f>
        <v>88</v>
      </c>
      <c r="G571" s="6" t="str">
        <f aca="false">IF(F571=0,"NOT FOUND",INDEX('All Song Rankings'!$A:$A,F571))</f>
        <v>High Hopes</v>
      </c>
      <c r="H571" s="6" t="str">
        <f aca="false">IF(F571=0,"NOT FOUND",INDEX('All Song Rankings'!$B:$B,F571))</f>
        <v>Panic! At The Disco</v>
      </c>
      <c r="I571" s="6" t="str">
        <f aca="false">IF(F571=0,"NOT FOUND",INDEX('All Song Rankings'!$D:$D,F571))</f>
        <v>Nicole</v>
      </c>
      <c r="J571" s="7" t="str">
        <f aca="false">IF(F571=0,"NOT FOUND",IF(C571=I571,"SELF-VOTE",IF(COUNTIF($K:$K,K571)&gt;1,"DUPLICATE","OK")))</f>
        <v>OK</v>
      </c>
      <c r="K571" s="6" t="str">
        <f aca="false">A571&amp;"|"&amp;B571&amp;"|"&amp;C571&amp;"|"&amp;D571</f>
        <v>2|1|Logan|spotify:track:1rqqCSm0Qe4I9rUvWncaom</v>
      </c>
    </row>
    <row r="572" customFormat="false" ht="15" hidden="false" customHeight="false" outlineLevel="0" collapsed="false">
      <c r="A572" s="5" t="n">
        <v>2</v>
      </c>
      <c r="B572" s="5" t="n">
        <v>1</v>
      </c>
      <c r="C572" s="5" t="s">
        <v>128</v>
      </c>
      <c r="D572" s="5" t="s">
        <v>402</v>
      </c>
      <c r="E572" s="5" t="n">
        <v>2</v>
      </c>
      <c r="F572" s="6" t="n">
        <f aca="false">IFERROR(MATCH(A572&amp;"|"&amp;B572&amp;"|"&amp;D572,'All Song Rankings'!$T:$T,0),0)</f>
        <v>98</v>
      </c>
      <c r="G572" s="6" t="str">
        <f aca="false">IF(F572=0,"NOT FOUND",INDEX('All Song Rankings'!$A:$A,F572))</f>
        <v>Closer</v>
      </c>
      <c r="H572" s="6" t="str">
        <f aca="false">IF(F572=0,"NOT FOUND",INDEX('All Song Rankings'!$B:$B,F572))</f>
        <v>Nine Inch Nails</v>
      </c>
      <c r="I572" s="6" t="str">
        <f aca="false">IF(F572=0,"NOT FOUND",INDEX('All Song Rankings'!$D:$D,F572))</f>
        <v>Anya</v>
      </c>
      <c r="J572" s="7" t="str">
        <f aca="false">IF(F572=0,"NOT FOUND",IF(C572=I572,"SELF-VOTE",IF(COUNTIF($K:$K,K572)&gt;1,"DUPLICATE","OK")))</f>
        <v>OK</v>
      </c>
      <c r="K572" s="6" t="str">
        <f aca="false">A572&amp;"|"&amp;B572&amp;"|"&amp;C572&amp;"|"&amp;D572</f>
        <v>2|1|Logan|spotify:track:5mc6EyF1OIEOhAkD0Gg9Lc</v>
      </c>
    </row>
    <row r="573" customFormat="false" ht="15" hidden="false" customHeight="false" outlineLevel="0" collapsed="false">
      <c r="A573" s="5" t="n">
        <v>2</v>
      </c>
      <c r="B573" s="5" t="n">
        <v>1</v>
      </c>
      <c r="C573" s="5" t="s">
        <v>128</v>
      </c>
      <c r="D573" s="5" t="s">
        <v>386</v>
      </c>
      <c r="E573" s="5" t="n">
        <v>1</v>
      </c>
      <c r="F573" s="6" t="n">
        <f aca="false">IFERROR(MATCH(A573&amp;"|"&amp;B573&amp;"|"&amp;D573,'All Song Rankings'!$T:$T,0),0)</f>
        <v>93</v>
      </c>
      <c r="G573" s="6" t="str">
        <f aca="false">IF(F573=0,"NOT FOUND",INDEX('All Song Rankings'!$A:$A,F573))</f>
        <v>Misery Business</v>
      </c>
      <c r="H573" s="6" t="str">
        <f aca="false">IF(F573=0,"NOT FOUND",INDEX('All Song Rankings'!$B:$B,F573))</f>
        <v>Paramore</v>
      </c>
      <c r="I573" s="6" t="str">
        <f aca="false">IF(F573=0,"NOT FOUND",INDEX('All Song Rankings'!$D:$D,F573))</f>
        <v>Kelsey</v>
      </c>
      <c r="J573" s="7" t="str">
        <f aca="false">IF(F573=0,"NOT FOUND",IF(C573=I573,"SELF-VOTE",IF(COUNTIF($K:$K,K573)&gt;1,"DUPLICATE","OK")))</f>
        <v>OK</v>
      </c>
      <c r="K573" s="6" t="str">
        <f aca="false">A573&amp;"|"&amp;B573&amp;"|"&amp;C573&amp;"|"&amp;D573</f>
        <v>2|1|Logan|spotify:track:6SpLc7EXZIPpy0sVko0aoU</v>
      </c>
    </row>
    <row r="574" customFormat="false" ht="15" hidden="false" customHeight="false" outlineLevel="0" collapsed="false">
      <c r="A574" s="5" t="n">
        <v>2</v>
      </c>
      <c r="B574" s="5" t="n">
        <v>1</v>
      </c>
      <c r="C574" s="5" t="s">
        <v>128</v>
      </c>
      <c r="D574" s="5" t="s">
        <v>383</v>
      </c>
      <c r="E574" s="5" t="n">
        <v>1</v>
      </c>
      <c r="F574" s="6" t="n">
        <f aca="false">IFERROR(MATCH(A574&amp;"|"&amp;B574&amp;"|"&amp;D574,'All Song Rankings'!$T:$T,0),0)</f>
        <v>92</v>
      </c>
      <c r="G574" s="6" t="str">
        <f aca="false">IF(F574=0,"NOT FOUND",INDEX('All Song Rankings'!$A:$A,F574))</f>
        <v>Your Love Is My Drug</v>
      </c>
      <c r="H574" s="6" t="str">
        <f aca="false">IF(F574=0,"NOT FOUND",INDEX('All Song Rankings'!$B:$B,F574))</f>
        <v>Kesha</v>
      </c>
      <c r="I574" s="6" t="str">
        <f aca="false">IF(F574=0,"NOT FOUND",INDEX('All Song Rankings'!$D:$D,F574))</f>
        <v>Grace</v>
      </c>
      <c r="J574" s="7" t="str">
        <f aca="false">IF(F574=0,"NOT FOUND",IF(C574=I574,"SELF-VOTE",IF(COUNTIF($K:$K,K574)&gt;1,"DUPLICATE","OK")))</f>
        <v>OK</v>
      </c>
      <c r="K574" s="6" t="str">
        <f aca="false">A574&amp;"|"&amp;B574&amp;"|"&amp;C574&amp;"|"&amp;D574</f>
        <v>2|1|Logan|spotify:track:6vc2Jq2vaGu8z326kSrw92</v>
      </c>
    </row>
    <row r="575" customFormat="false" ht="15" hidden="false" customHeight="false" outlineLevel="0" collapsed="false">
      <c r="A575" s="5" t="n">
        <v>2</v>
      </c>
      <c r="B575" s="5" t="n">
        <v>1</v>
      </c>
      <c r="C575" s="5" t="s">
        <v>395</v>
      </c>
      <c r="D575" s="5" t="s">
        <v>389</v>
      </c>
      <c r="E575" s="5" t="n">
        <v>1</v>
      </c>
      <c r="F575" s="6" t="n">
        <f aca="false">IFERROR(MATCH(A575&amp;"|"&amp;B575&amp;"|"&amp;D575,'All Song Rankings'!$T:$T,0),0)</f>
        <v>94</v>
      </c>
      <c r="G575" s="6" t="str">
        <f aca="false">IF(F575=0,"NOT FOUND",INDEX('All Song Rankings'!$A:$A,F575))</f>
        <v>What's Up Danger</v>
      </c>
      <c r="H575" s="6" t="str">
        <f aca="false">IF(F575=0,"NOT FOUND",INDEX('All Song Rankings'!$B:$B,F575))</f>
        <v>Blackway</v>
      </c>
      <c r="I575" s="6" t="str">
        <f aca="false">IF(F575=0,"NOT FOUND",INDEX('All Song Rankings'!$D:$D,F575))</f>
        <v>Kristen</v>
      </c>
      <c r="J575" s="7" t="str">
        <f aca="false">IF(F575=0,"NOT FOUND",IF(C575=I575,"SELF-VOTE",IF(COUNTIF($K:$K,K575)&gt;1,"DUPLICATE","OK")))</f>
        <v>OK</v>
      </c>
      <c r="K575" s="6" t="str">
        <f aca="false">A575&amp;"|"&amp;B575&amp;"|"&amp;C575&amp;"|"&amp;D575</f>
        <v>2|1|Makenzie|spotify:track:5zsHmE2gO3RefVsPyw2e3T</v>
      </c>
    </row>
    <row r="576" customFormat="false" ht="15" hidden="false" customHeight="false" outlineLevel="0" collapsed="false">
      <c r="A576" s="5" t="n">
        <v>2</v>
      </c>
      <c r="B576" s="5" t="n">
        <v>1</v>
      </c>
      <c r="C576" s="5" t="s">
        <v>395</v>
      </c>
      <c r="D576" s="5" t="s">
        <v>386</v>
      </c>
      <c r="E576" s="5" t="n">
        <v>3</v>
      </c>
      <c r="F576" s="6" t="n">
        <f aca="false">IFERROR(MATCH(A576&amp;"|"&amp;B576&amp;"|"&amp;D576,'All Song Rankings'!$T:$T,0),0)</f>
        <v>93</v>
      </c>
      <c r="G576" s="6" t="str">
        <f aca="false">IF(F576=0,"NOT FOUND",INDEX('All Song Rankings'!$A:$A,F576))</f>
        <v>Misery Business</v>
      </c>
      <c r="H576" s="6" t="str">
        <f aca="false">IF(F576=0,"NOT FOUND",INDEX('All Song Rankings'!$B:$B,F576))</f>
        <v>Paramore</v>
      </c>
      <c r="I576" s="6" t="str">
        <f aca="false">IF(F576=0,"NOT FOUND",INDEX('All Song Rankings'!$D:$D,F576))</f>
        <v>Kelsey</v>
      </c>
      <c r="J576" s="7" t="str">
        <f aca="false">IF(F576=0,"NOT FOUND",IF(C576=I576,"SELF-VOTE",IF(COUNTIF($K:$K,K576)&gt;1,"DUPLICATE","OK")))</f>
        <v>OK</v>
      </c>
      <c r="K576" s="6" t="str">
        <f aca="false">A576&amp;"|"&amp;B576&amp;"|"&amp;C576&amp;"|"&amp;D576</f>
        <v>2|1|Makenzie|spotify:track:6SpLc7EXZIPpy0sVko0aoU</v>
      </c>
    </row>
    <row r="577" customFormat="false" ht="15" hidden="false" customHeight="false" outlineLevel="0" collapsed="false">
      <c r="A577" s="5" t="n">
        <v>2</v>
      </c>
      <c r="B577" s="5" t="n">
        <v>1</v>
      </c>
      <c r="C577" s="5" t="s">
        <v>395</v>
      </c>
      <c r="D577" s="5" t="s">
        <v>366</v>
      </c>
      <c r="E577" s="5" t="n">
        <v>2</v>
      </c>
      <c r="F577" s="6" t="n">
        <f aca="false">IFERROR(MATCH(A577&amp;"|"&amp;B577&amp;"|"&amp;D577,'All Song Rankings'!$T:$T,0),0)</f>
        <v>87</v>
      </c>
      <c r="G577" s="6" t="str">
        <f aca="false">IF(F577=0,"NOT FOUND",INDEX('All Song Rankings'!$A:$A,F577))</f>
        <v>Mi Gente - Steve Aoki Remix</v>
      </c>
      <c r="H577" s="6" t="str">
        <f aca="false">IF(F577=0,"NOT FOUND",INDEX('All Song Rankings'!$B:$B,F577))</f>
        <v>J Balvin</v>
      </c>
      <c r="I577" s="6" t="str">
        <f aca="false">IF(F577=0,"NOT FOUND",INDEX('All Song Rankings'!$D:$D,F577))</f>
        <v>Logan</v>
      </c>
      <c r="J577" s="7" t="str">
        <f aca="false">IF(F577=0,"NOT FOUND",IF(C577=I577,"SELF-VOTE",IF(COUNTIF($K:$K,K577)&gt;1,"DUPLICATE","OK")))</f>
        <v>OK</v>
      </c>
      <c r="K577" s="6" t="str">
        <f aca="false">A577&amp;"|"&amp;B577&amp;"|"&amp;C577&amp;"|"&amp;D577</f>
        <v>2|1|Makenzie|spotify:track:6tK77Y61ZxGga7uCbMaEI1</v>
      </c>
    </row>
    <row r="578" customFormat="false" ht="15" hidden="false" customHeight="false" outlineLevel="0" collapsed="false">
      <c r="A578" s="5" t="n">
        <v>2</v>
      </c>
      <c r="B578" s="5" t="n">
        <v>1</v>
      </c>
      <c r="C578" s="5" t="s">
        <v>395</v>
      </c>
      <c r="D578" s="5" t="s">
        <v>383</v>
      </c>
      <c r="E578" s="5" t="n">
        <v>4</v>
      </c>
      <c r="F578" s="6" t="n">
        <f aca="false">IFERROR(MATCH(A578&amp;"|"&amp;B578&amp;"|"&amp;D578,'All Song Rankings'!$T:$T,0),0)</f>
        <v>92</v>
      </c>
      <c r="G578" s="6" t="str">
        <f aca="false">IF(F578=0,"NOT FOUND",INDEX('All Song Rankings'!$A:$A,F578))</f>
        <v>Your Love Is My Drug</v>
      </c>
      <c r="H578" s="6" t="str">
        <f aca="false">IF(F578=0,"NOT FOUND",INDEX('All Song Rankings'!$B:$B,F578))</f>
        <v>Kesha</v>
      </c>
      <c r="I578" s="6" t="str">
        <f aca="false">IF(F578=0,"NOT FOUND",INDEX('All Song Rankings'!$D:$D,F578))</f>
        <v>Grace</v>
      </c>
      <c r="J578" s="7" t="str">
        <f aca="false">IF(F578=0,"NOT FOUND",IF(C578=I578,"SELF-VOTE",IF(COUNTIF($K:$K,K578)&gt;1,"DUPLICATE","OK")))</f>
        <v>OK</v>
      </c>
      <c r="K578" s="6" t="str">
        <f aca="false">A578&amp;"|"&amp;B578&amp;"|"&amp;C578&amp;"|"&amp;D578</f>
        <v>2|1|Makenzie|spotify:track:6vc2Jq2vaGu8z326kSrw92</v>
      </c>
    </row>
    <row r="579" customFormat="false" ht="15" hidden="false" customHeight="false" outlineLevel="0" collapsed="false">
      <c r="A579" s="5" t="n">
        <v>2</v>
      </c>
      <c r="B579" s="5" t="n">
        <v>1</v>
      </c>
      <c r="C579" s="5" t="s">
        <v>133</v>
      </c>
      <c r="D579" s="5" t="s">
        <v>372</v>
      </c>
      <c r="E579" s="5" t="n">
        <v>1</v>
      </c>
      <c r="F579" s="6" t="n">
        <f aca="false">IFERROR(MATCH(A579&amp;"|"&amp;B579&amp;"|"&amp;D579,'All Song Rankings'!$T:$T,0),0)</f>
        <v>89</v>
      </c>
      <c r="G579" s="6" t="str">
        <f aca="false">IF(F579=0,"NOT FOUND",INDEX('All Song Rankings'!$A:$A,F579))</f>
        <v>Centuries</v>
      </c>
      <c r="H579" s="6" t="str">
        <f aca="false">IF(F579=0,"NOT FOUND",INDEX('All Song Rankings'!$B:$B,F579))</f>
        <v>Fall Out Boy</v>
      </c>
      <c r="I579" s="6" t="str">
        <f aca="false">IF(F579=0,"NOT FOUND",INDEX('All Song Rankings'!$D:$D,F579))</f>
        <v>Leah</v>
      </c>
      <c r="J579" s="7" t="str">
        <f aca="false">IF(F579=0,"NOT FOUND",IF(C579=I579,"SELF-VOTE",IF(COUNTIF($K:$K,K579)&gt;1,"DUPLICATE","OK")))</f>
        <v>OK</v>
      </c>
      <c r="K579" s="6" t="str">
        <f aca="false">A579&amp;"|"&amp;B579&amp;"|"&amp;C579&amp;"|"&amp;D579</f>
        <v>2|1|Maryann|spotify:track:04aAxqtGp5pv12UXAg4pkq</v>
      </c>
    </row>
    <row r="580" customFormat="false" ht="15" hidden="false" customHeight="false" outlineLevel="0" collapsed="false">
      <c r="A580" s="5" t="n">
        <v>2</v>
      </c>
      <c r="B580" s="5" t="n">
        <v>1</v>
      </c>
      <c r="C580" s="5" t="s">
        <v>133</v>
      </c>
      <c r="D580" s="5" t="s">
        <v>392</v>
      </c>
      <c r="E580" s="5" t="n">
        <v>2</v>
      </c>
      <c r="F580" s="6" t="n">
        <f aca="false">IFERROR(MATCH(A580&amp;"|"&amp;B580&amp;"|"&amp;D580,'All Song Rankings'!$T:$T,0),0)</f>
        <v>95</v>
      </c>
      <c r="G580" s="6" t="str">
        <f aca="false">IF(F580=0,"NOT FOUND",INDEX('All Song Rankings'!$A:$A,F580))</f>
        <v>Animals</v>
      </c>
      <c r="H580" s="6" t="str">
        <f aca="false">IF(F580=0,"NOT FOUND",INDEX('All Song Rankings'!$B:$B,F580))</f>
        <v>Martin Garrix</v>
      </c>
      <c r="I580" s="6" t="str">
        <f aca="false">IF(F580=0,"NOT FOUND",INDEX('All Song Rankings'!$D:$D,F580))</f>
        <v>Merita</v>
      </c>
      <c r="J580" s="7" t="str">
        <f aca="false">IF(F580=0,"NOT FOUND",IF(C580=I580,"SELF-VOTE",IF(COUNTIF($K:$K,K580)&gt;1,"DUPLICATE","OK")))</f>
        <v>OK</v>
      </c>
      <c r="K580" s="6" t="str">
        <f aca="false">A580&amp;"|"&amp;B580&amp;"|"&amp;C580&amp;"|"&amp;D580</f>
        <v>2|1|Maryann|spotify:track:0A9mHc7oYUoCECqByV8cQR</v>
      </c>
    </row>
    <row r="581" customFormat="false" ht="15" hidden="false" customHeight="false" outlineLevel="0" collapsed="false">
      <c r="A581" s="5" t="n">
        <v>2</v>
      </c>
      <c r="B581" s="5" t="n">
        <v>1</v>
      </c>
      <c r="C581" s="5" t="s">
        <v>133</v>
      </c>
      <c r="D581" s="5" t="s">
        <v>369</v>
      </c>
      <c r="E581" s="5" t="n">
        <v>1</v>
      </c>
      <c r="F581" s="6" t="n">
        <f aca="false">IFERROR(MATCH(A581&amp;"|"&amp;B581&amp;"|"&amp;D581,'All Song Rankings'!$T:$T,0),0)</f>
        <v>88</v>
      </c>
      <c r="G581" s="6" t="str">
        <f aca="false">IF(F581=0,"NOT FOUND",INDEX('All Song Rankings'!$A:$A,F581))</f>
        <v>High Hopes</v>
      </c>
      <c r="H581" s="6" t="str">
        <f aca="false">IF(F581=0,"NOT FOUND",INDEX('All Song Rankings'!$B:$B,F581))</f>
        <v>Panic! At The Disco</v>
      </c>
      <c r="I581" s="6" t="str">
        <f aca="false">IF(F581=0,"NOT FOUND",INDEX('All Song Rankings'!$D:$D,F581))</f>
        <v>Nicole</v>
      </c>
      <c r="J581" s="7" t="str">
        <f aca="false">IF(F581=0,"NOT FOUND",IF(C581=I581,"SELF-VOTE",IF(COUNTIF($K:$K,K581)&gt;1,"DUPLICATE","OK")))</f>
        <v>OK</v>
      </c>
      <c r="K581" s="6" t="str">
        <f aca="false">A581&amp;"|"&amp;B581&amp;"|"&amp;C581&amp;"|"&amp;D581</f>
        <v>2|1|Maryann|spotify:track:1rqqCSm0Qe4I9rUvWncaom</v>
      </c>
    </row>
    <row r="582" customFormat="false" ht="15" hidden="false" customHeight="false" outlineLevel="0" collapsed="false">
      <c r="A582" s="5" t="n">
        <v>2</v>
      </c>
      <c r="B582" s="5" t="n">
        <v>1</v>
      </c>
      <c r="C582" s="5" t="s">
        <v>133</v>
      </c>
      <c r="D582" s="5" t="s">
        <v>376</v>
      </c>
      <c r="E582" s="5" t="n">
        <v>2</v>
      </c>
      <c r="F582" s="6" t="n">
        <f aca="false">IFERROR(MATCH(A582&amp;"|"&amp;B582&amp;"|"&amp;D582,'All Song Rankings'!$T:$T,0),0)</f>
        <v>90</v>
      </c>
      <c r="G582" s="6" t="str">
        <f aca="false">IF(F582=0,"NOT FOUND",INDEX('All Song Rankings'!$A:$A,F582))</f>
        <v>On The Floor</v>
      </c>
      <c r="H582" s="6" t="str">
        <f aca="false">IF(F582=0,"NOT FOUND",INDEX('All Song Rankings'!$B:$B,F582))</f>
        <v>Jennifer Lopez</v>
      </c>
      <c r="I582" s="6" t="str">
        <f aca="false">IF(F582=0,"NOT FOUND",INDEX('All Song Rankings'!$D:$D,F582))</f>
        <v>Aubrey</v>
      </c>
      <c r="J582" s="7" t="str">
        <f aca="false">IF(F582=0,"NOT FOUND",IF(C582=I582,"SELF-VOTE",IF(COUNTIF($K:$K,K582)&gt;1,"DUPLICATE","OK")))</f>
        <v>OK</v>
      </c>
      <c r="K582" s="6" t="str">
        <f aca="false">A582&amp;"|"&amp;B582&amp;"|"&amp;C582&amp;"|"&amp;D582</f>
        <v>2|1|Maryann|spotify:track:20zQZVyUNPbq8kZACdgYrh</v>
      </c>
    </row>
    <row r="583" customFormat="false" ht="15" hidden="false" customHeight="false" outlineLevel="0" collapsed="false">
      <c r="A583" s="5" t="n">
        <v>2</v>
      </c>
      <c r="B583" s="5" t="n">
        <v>1</v>
      </c>
      <c r="C583" s="5" t="s">
        <v>133</v>
      </c>
      <c r="D583" s="5" t="s">
        <v>366</v>
      </c>
      <c r="E583" s="5" t="n">
        <v>2</v>
      </c>
      <c r="F583" s="6" t="n">
        <f aca="false">IFERROR(MATCH(A583&amp;"|"&amp;B583&amp;"|"&amp;D583,'All Song Rankings'!$T:$T,0),0)</f>
        <v>87</v>
      </c>
      <c r="G583" s="6" t="str">
        <f aca="false">IF(F583=0,"NOT FOUND",INDEX('All Song Rankings'!$A:$A,F583))</f>
        <v>Mi Gente - Steve Aoki Remix</v>
      </c>
      <c r="H583" s="6" t="str">
        <f aca="false">IF(F583=0,"NOT FOUND",INDEX('All Song Rankings'!$B:$B,F583))</f>
        <v>J Balvin</v>
      </c>
      <c r="I583" s="6" t="str">
        <f aca="false">IF(F583=0,"NOT FOUND",INDEX('All Song Rankings'!$D:$D,F583))</f>
        <v>Logan</v>
      </c>
      <c r="J583" s="7" t="str">
        <f aca="false">IF(F583=0,"NOT FOUND",IF(C583=I583,"SELF-VOTE",IF(COUNTIF($K:$K,K583)&gt;1,"DUPLICATE","OK")))</f>
        <v>OK</v>
      </c>
      <c r="K583" s="6" t="str">
        <f aca="false">A583&amp;"|"&amp;B583&amp;"|"&amp;C583&amp;"|"&amp;D583</f>
        <v>2|1|Maryann|spotify:track:6tK77Y61ZxGga7uCbMaEI1</v>
      </c>
    </row>
    <row r="584" customFormat="false" ht="15" hidden="false" customHeight="false" outlineLevel="0" collapsed="false">
      <c r="A584" s="5" t="n">
        <v>2</v>
      </c>
      <c r="B584" s="5" t="n">
        <v>1</v>
      </c>
      <c r="C584" s="5" t="s">
        <v>133</v>
      </c>
      <c r="D584" s="5" t="s">
        <v>383</v>
      </c>
      <c r="E584" s="5" t="n">
        <v>2</v>
      </c>
      <c r="F584" s="6" t="n">
        <f aca="false">IFERROR(MATCH(A584&amp;"|"&amp;B584&amp;"|"&amp;D584,'All Song Rankings'!$T:$T,0),0)</f>
        <v>92</v>
      </c>
      <c r="G584" s="6" t="str">
        <f aca="false">IF(F584=0,"NOT FOUND",INDEX('All Song Rankings'!$A:$A,F584))</f>
        <v>Your Love Is My Drug</v>
      </c>
      <c r="H584" s="6" t="str">
        <f aca="false">IF(F584=0,"NOT FOUND",INDEX('All Song Rankings'!$B:$B,F584))</f>
        <v>Kesha</v>
      </c>
      <c r="I584" s="6" t="str">
        <f aca="false">IF(F584=0,"NOT FOUND",INDEX('All Song Rankings'!$D:$D,F584))</f>
        <v>Grace</v>
      </c>
      <c r="J584" s="7" t="str">
        <f aca="false">IF(F584=0,"NOT FOUND",IF(C584=I584,"SELF-VOTE",IF(COUNTIF($K:$K,K584)&gt;1,"DUPLICATE","OK")))</f>
        <v>OK</v>
      </c>
      <c r="K584" s="6" t="str">
        <f aca="false">A584&amp;"|"&amp;B584&amp;"|"&amp;C584&amp;"|"&amp;D584</f>
        <v>2|1|Maryann|spotify:track:6vc2Jq2vaGu8z326kSrw92</v>
      </c>
    </row>
    <row r="585" customFormat="false" ht="15" hidden="false" customHeight="false" outlineLevel="0" collapsed="false">
      <c r="A585" s="5" t="n">
        <v>2</v>
      </c>
      <c r="B585" s="5" t="n">
        <v>1</v>
      </c>
      <c r="C585" s="5" t="s">
        <v>116</v>
      </c>
      <c r="D585" s="5" t="s">
        <v>372</v>
      </c>
      <c r="E585" s="5" t="n">
        <v>1</v>
      </c>
      <c r="F585" s="6" t="n">
        <f aca="false">IFERROR(MATCH(A585&amp;"|"&amp;B585&amp;"|"&amp;D585,'All Song Rankings'!$T:$T,0),0)</f>
        <v>89</v>
      </c>
      <c r="G585" s="6" t="str">
        <f aca="false">IF(F585=0,"NOT FOUND",INDEX('All Song Rankings'!$A:$A,F585))</f>
        <v>Centuries</v>
      </c>
      <c r="H585" s="6" t="str">
        <f aca="false">IF(F585=0,"NOT FOUND",INDEX('All Song Rankings'!$B:$B,F585))</f>
        <v>Fall Out Boy</v>
      </c>
      <c r="I585" s="6" t="str">
        <f aca="false">IF(F585=0,"NOT FOUND",INDEX('All Song Rankings'!$D:$D,F585))</f>
        <v>Leah</v>
      </c>
      <c r="J585" s="7" t="str">
        <f aca="false">IF(F585=0,"NOT FOUND",IF(C585=I585,"SELF-VOTE",IF(COUNTIF($K:$K,K585)&gt;1,"DUPLICATE","OK")))</f>
        <v>OK</v>
      </c>
      <c r="K585" s="6" t="str">
        <f aca="false">A585&amp;"|"&amp;B585&amp;"|"&amp;C585&amp;"|"&amp;D585</f>
        <v>2|1|Matt|spotify:track:04aAxqtGp5pv12UXAg4pkq</v>
      </c>
    </row>
    <row r="586" customFormat="false" ht="15" hidden="false" customHeight="false" outlineLevel="0" collapsed="false">
      <c r="A586" s="5" t="n">
        <v>2</v>
      </c>
      <c r="B586" s="5" t="n">
        <v>1</v>
      </c>
      <c r="C586" s="5" t="s">
        <v>116</v>
      </c>
      <c r="D586" s="5" t="s">
        <v>392</v>
      </c>
      <c r="E586" s="5" t="n">
        <v>1</v>
      </c>
      <c r="F586" s="6" t="n">
        <f aca="false">IFERROR(MATCH(A586&amp;"|"&amp;B586&amp;"|"&amp;D586,'All Song Rankings'!$T:$T,0),0)</f>
        <v>95</v>
      </c>
      <c r="G586" s="6" t="str">
        <f aca="false">IF(F586=0,"NOT FOUND",INDEX('All Song Rankings'!$A:$A,F586))</f>
        <v>Animals</v>
      </c>
      <c r="H586" s="6" t="str">
        <f aca="false">IF(F586=0,"NOT FOUND",INDEX('All Song Rankings'!$B:$B,F586))</f>
        <v>Martin Garrix</v>
      </c>
      <c r="I586" s="6" t="str">
        <f aca="false">IF(F586=0,"NOT FOUND",INDEX('All Song Rankings'!$D:$D,F586))</f>
        <v>Merita</v>
      </c>
      <c r="J586" s="7" t="str">
        <f aca="false">IF(F586=0,"NOT FOUND",IF(C586=I586,"SELF-VOTE",IF(COUNTIF($K:$K,K586)&gt;1,"DUPLICATE","OK")))</f>
        <v>OK</v>
      </c>
      <c r="K586" s="6" t="str">
        <f aca="false">A586&amp;"|"&amp;B586&amp;"|"&amp;C586&amp;"|"&amp;D586</f>
        <v>2|1|Matt|spotify:track:0A9mHc7oYUoCECqByV8cQR</v>
      </c>
    </row>
    <row r="587" customFormat="false" ht="15" hidden="false" customHeight="false" outlineLevel="0" collapsed="false">
      <c r="A587" s="5" t="n">
        <v>2</v>
      </c>
      <c r="B587" s="5" t="n">
        <v>1</v>
      </c>
      <c r="C587" s="5" t="s">
        <v>116</v>
      </c>
      <c r="D587" s="5" t="s">
        <v>396</v>
      </c>
      <c r="E587" s="5" t="n">
        <v>1</v>
      </c>
      <c r="F587" s="6" t="n">
        <f aca="false">IFERROR(MATCH(A587&amp;"|"&amp;B587&amp;"|"&amp;D587,'All Song Rankings'!$T:$T,0),0)</f>
        <v>96</v>
      </c>
      <c r="G587" s="6" t="str">
        <f aca="false">IF(F587=0,"NOT FOUND",INDEX('All Song Rankings'!$A:$A,F587))</f>
        <v>Untouched</v>
      </c>
      <c r="H587" s="6" t="str">
        <f aca="false">IF(F587=0,"NOT FOUND",INDEX('All Song Rankings'!$B:$B,F587))</f>
        <v>The Veronicas</v>
      </c>
      <c r="I587" s="6" t="str">
        <f aca="false">IF(F587=0,"NOT FOUND",INDEX('All Song Rankings'!$D:$D,F587))</f>
        <v>Makenzie</v>
      </c>
      <c r="J587" s="7" t="str">
        <f aca="false">IF(F587=0,"NOT FOUND",IF(C587=I587,"SELF-VOTE",IF(COUNTIF($K:$K,K587)&gt;1,"DUPLICATE","OK")))</f>
        <v>OK</v>
      </c>
      <c r="K587" s="6" t="str">
        <f aca="false">A587&amp;"|"&amp;B587&amp;"|"&amp;C587&amp;"|"&amp;D587</f>
        <v>2|1|Matt|spotify:track:0KlahhzNb98zyN83Vwae0l</v>
      </c>
    </row>
    <row r="588" customFormat="false" ht="15" hidden="false" customHeight="false" outlineLevel="0" collapsed="false">
      <c r="A588" s="5" t="n">
        <v>2</v>
      </c>
      <c r="B588" s="5" t="n">
        <v>1</v>
      </c>
      <c r="C588" s="5" t="s">
        <v>116</v>
      </c>
      <c r="D588" s="5" t="s">
        <v>369</v>
      </c>
      <c r="E588" s="5" t="n">
        <v>1</v>
      </c>
      <c r="F588" s="6" t="n">
        <f aca="false">IFERROR(MATCH(A588&amp;"|"&amp;B588&amp;"|"&amp;D588,'All Song Rankings'!$T:$T,0),0)</f>
        <v>88</v>
      </c>
      <c r="G588" s="6" t="str">
        <f aca="false">IF(F588=0,"NOT FOUND",INDEX('All Song Rankings'!$A:$A,F588))</f>
        <v>High Hopes</v>
      </c>
      <c r="H588" s="6" t="str">
        <f aca="false">IF(F588=0,"NOT FOUND",INDEX('All Song Rankings'!$B:$B,F588))</f>
        <v>Panic! At The Disco</v>
      </c>
      <c r="I588" s="6" t="str">
        <f aca="false">IF(F588=0,"NOT FOUND",INDEX('All Song Rankings'!$D:$D,F588))</f>
        <v>Nicole</v>
      </c>
      <c r="J588" s="7" t="str">
        <f aca="false">IF(F588=0,"NOT FOUND",IF(C588=I588,"SELF-VOTE",IF(COUNTIF($K:$K,K588)&gt;1,"DUPLICATE","OK")))</f>
        <v>OK</v>
      </c>
      <c r="K588" s="6" t="str">
        <f aca="false">A588&amp;"|"&amp;B588&amp;"|"&amp;C588&amp;"|"&amp;D588</f>
        <v>2|1|Matt|spotify:track:1rqqCSm0Qe4I9rUvWncaom</v>
      </c>
    </row>
    <row r="589" customFormat="false" ht="15" hidden="false" customHeight="false" outlineLevel="0" collapsed="false">
      <c r="A589" s="5" t="n">
        <v>2</v>
      </c>
      <c r="B589" s="5" t="n">
        <v>1</v>
      </c>
      <c r="C589" s="5" t="s">
        <v>116</v>
      </c>
      <c r="D589" s="5" t="s">
        <v>376</v>
      </c>
      <c r="E589" s="5" t="n">
        <v>1</v>
      </c>
      <c r="F589" s="6" t="n">
        <f aca="false">IFERROR(MATCH(A589&amp;"|"&amp;B589&amp;"|"&amp;D589,'All Song Rankings'!$T:$T,0),0)</f>
        <v>90</v>
      </c>
      <c r="G589" s="6" t="str">
        <f aca="false">IF(F589=0,"NOT FOUND",INDEX('All Song Rankings'!$A:$A,F589))</f>
        <v>On The Floor</v>
      </c>
      <c r="H589" s="6" t="str">
        <f aca="false">IF(F589=0,"NOT FOUND",INDEX('All Song Rankings'!$B:$B,F589))</f>
        <v>Jennifer Lopez</v>
      </c>
      <c r="I589" s="6" t="str">
        <f aca="false">IF(F589=0,"NOT FOUND",INDEX('All Song Rankings'!$D:$D,F589))</f>
        <v>Aubrey</v>
      </c>
      <c r="J589" s="7" t="str">
        <f aca="false">IF(F589=0,"NOT FOUND",IF(C589=I589,"SELF-VOTE",IF(COUNTIF($K:$K,K589)&gt;1,"DUPLICATE","OK")))</f>
        <v>OK</v>
      </c>
      <c r="K589" s="6" t="str">
        <f aca="false">A589&amp;"|"&amp;B589&amp;"|"&amp;C589&amp;"|"&amp;D589</f>
        <v>2|1|Matt|spotify:track:20zQZVyUNPbq8kZACdgYrh</v>
      </c>
    </row>
    <row r="590" customFormat="false" ht="15" hidden="false" customHeight="false" outlineLevel="0" collapsed="false">
      <c r="A590" s="5" t="n">
        <v>2</v>
      </c>
      <c r="B590" s="5" t="n">
        <v>1</v>
      </c>
      <c r="C590" s="5" t="s">
        <v>116</v>
      </c>
      <c r="D590" s="5" t="s">
        <v>379</v>
      </c>
      <c r="E590" s="5" t="n">
        <v>1</v>
      </c>
      <c r="F590" s="6" t="n">
        <f aca="false">IFERROR(MATCH(A590&amp;"|"&amp;B590&amp;"|"&amp;D590,'All Song Rankings'!$T:$T,0),0)</f>
        <v>91</v>
      </c>
      <c r="G590" s="6" t="str">
        <f aca="false">IF(F590=0,"NOT FOUND",INDEX('All Song Rankings'!$A:$A,F590))</f>
        <v>Till I Collapse</v>
      </c>
      <c r="H590" s="6" t="str">
        <f aca="false">IF(F590=0,"NOT FOUND",INDEX('All Song Rankings'!$B:$B,F590))</f>
        <v>Eminem</v>
      </c>
      <c r="I590" s="6" t="str">
        <f aca="false">IF(F590=0,"NOT FOUND",INDEX('All Song Rankings'!$D:$D,F590))</f>
        <v>Shayne</v>
      </c>
      <c r="J590" s="7" t="str">
        <f aca="false">IF(F590=0,"NOT FOUND",IF(C590=I590,"SELF-VOTE",IF(COUNTIF($K:$K,K590)&gt;1,"DUPLICATE","OK")))</f>
        <v>OK</v>
      </c>
      <c r="K590" s="6" t="str">
        <f aca="false">A590&amp;"|"&amp;B590&amp;"|"&amp;C590&amp;"|"&amp;D590</f>
        <v>2|1|Matt|spotify:track:4xkOaSrkexMciUUogZKVTS</v>
      </c>
    </row>
    <row r="591" customFormat="false" ht="15" hidden="false" customHeight="false" outlineLevel="0" collapsed="false">
      <c r="A591" s="5" t="n">
        <v>2</v>
      </c>
      <c r="B591" s="5" t="n">
        <v>1</v>
      </c>
      <c r="C591" s="5" t="s">
        <v>116</v>
      </c>
      <c r="D591" s="5" t="s">
        <v>402</v>
      </c>
      <c r="E591" s="5" t="n">
        <v>1</v>
      </c>
      <c r="F591" s="6" t="n">
        <f aca="false">IFERROR(MATCH(A591&amp;"|"&amp;B591&amp;"|"&amp;D591,'All Song Rankings'!$T:$T,0),0)</f>
        <v>98</v>
      </c>
      <c r="G591" s="6" t="str">
        <f aca="false">IF(F591=0,"NOT FOUND",INDEX('All Song Rankings'!$A:$A,F591))</f>
        <v>Closer</v>
      </c>
      <c r="H591" s="6" t="str">
        <f aca="false">IF(F591=0,"NOT FOUND",INDEX('All Song Rankings'!$B:$B,F591))</f>
        <v>Nine Inch Nails</v>
      </c>
      <c r="I591" s="6" t="str">
        <f aca="false">IF(F591=0,"NOT FOUND",INDEX('All Song Rankings'!$D:$D,F591))</f>
        <v>Anya</v>
      </c>
      <c r="J591" s="7" t="str">
        <f aca="false">IF(F591=0,"NOT FOUND",IF(C591=I591,"SELF-VOTE",IF(COUNTIF($K:$K,K591)&gt;1,"DUPLICATE","OK")))</f>
        <v>OK</v>
      </c>
      <c r="K591" s="6" t="str">
        <f aca="false">A591&amp;"|"&amp;B591&amp;"|"&amp;C591&amp;"|"&amp;D591</f>
        <v>2|1|Matt|spotify:track:5mc6EyF1OIEOhAkD0Gg9Lc</v>
      </c>
    </row>
    <row r="592" customFormat="false" ht="15" hidden="false" customHeight="false" outlineLevel="0" collapsed="false">
      <c r="A592" s="5" t="n">
        <v>2</v>
      </c>
      <c r="B592" s="5" t="n">
        <v>1</v>
      </c>
      <c r="C592" s="5" t="s">
        <v>116</v>
      </c>
      <c r="D592" s="5" t="s">
        <v>389</v>
      </c>
      <c r="E592" s="5" t="n">
        <v>1</v>
      </c>
      <c r="F592" s="6" t="n">
        <f aca="false">IFERROR(MATCH(A592&amp;"|"&amp;B592&amp;"|"&amp;D592,'All Song Rankings'!$T:$T,0),0)</f>
        <v>94</v>
      </c>
      <c r="G592" s="6" t="str">
        <f aca="false">IF(F592=0,"NOT FOUND",INDEX('All Song Rankings'!$A:$A,F592))</f>
        <v>What's Up Danger</v>
      </c>
      <c r="H592" s="6" t="str">
        <f aca="false">IF(F592=0,"NOT FOUND",INDEX('All Song Rankings'!$B:$B,F592))</f>
        <v>Blackway</v>
      </c>
      <c r="I592" s="6" t="str">
        <f aca="false">IF(F592=0,"NOT FOUND",INDEX('All Song Rankings'!$D:$D,F592))</f>
        <v>Kristen</v>
      </c>
      <c r="J592" s="7" t="str">
        <f aca="false">IF(F592=0,"NOT FOUND",IF(C592=I592,"SELF-VOTE",IF(COUNTIF($K:$K,K592)&gt;1,"DUPLICATE","OK")))</f>
        <v>OK</v>
      </c>
      <c r="K592" s="6" t="str">
        <f aca="false">A592&amp;"|"&amp;B592&amp;"|"&amp;C592&amp;"|"&amp;D592</f>
        <v>2|1|Matt|spotify:track:5zsHmE2gO3RefVsPyw2e3T</v>
      </c>
    </row>
    <row r="593" customFormat="false" ht="15" hidden="false" customHeight="false" outlineLevel="0" collapsed="false">
      <c r="A593" s="5" t="n">
        <v>2</v>
      </c>
      <c r="B593" s="5" t="n">
        <v>1</v>
      </c>
      <c r="C593" s="5" t="s">
        <v>116</v>
      </c>
      <c r="D593" s="5" t="s">
        <v>366</v>
      </c>
      <c r="E593" s="5" t="n">
        <v>1</v>
      </c>
      <c r="F593" s="6" t="n">
        <f aca="false">IFERROR(MATCH(A593&amp;"|"&amp;B593&amp;"|"&amp;D593,'All Song Rankings'!$T:$T,0),0)</f>
        <v>87</v>
      </c>
      <c r="G593" s="6" t="str">
        <f aca="false">IF(F593=0,"NOT FOUND",INDEX('All Song Rankings'!$A:$A,F593))</f>
        <v>Mi Gente - Steve Aoki Remix</v>
      </c>
      <c r="H593" s="6" t="str">
        <f aca="false">IF(F593=0,"NOT FOUND",INDEX('All Song Rankings'!$B:$B,F593))</f>
        <v>J Balvin</v>
      </c>
      <c r="I593" s="6" t="str">
        <f aca="false">IF(F593=0,"NOT FOUND",INDEX('All Song Rankings'!$D:$D,F593))</f>
        <v>Logan</v>
      </c>
      <c r="J593" s="7" t="str">
        <f aca="false">IF(F593=0,"NOT FOUND",IF(C593=I593,"SELF-VOTE",IF(COUNTIF($K:$K,K593)&gt;1,"DUPLICATE","OK")))</f>
        <v>OK</v>
      </c>
      <c r="K593" s="6" t="str">
        <f aca="false">A593&amp;"|"&amp;B593&amp;"|"&amp;C593&amp;"|"&amp;D593</f>
        <v>2|1|Matt|spotify:track:6tK77Y61ZxGga7uCbMaEI1</v>
      </c>
    </row>
    <row r="594" customFormat="false" ht="15" hidden="false" customHeight="false" outlineLevel="0" collapsed="false">
      <c r="A594" s="5" t="n">
        <v>2</v>
      </c>
      <c r="B594" s="5" t="n">
        <v>1</v>
      </c>
      <c r="C594" s="5" t="s">
        <v>116</v>
      </c>
      <c r="D594" s="5" t="s">
        <v>383</v>
      </c>
      <c r="E594" s="5" t="n">
        <v>1</v>
      </c>
      <c r="F594" s="6" t="n">
        <f aca="false">IFERROR(MATCH(A594&amp;"|"&amp;B594&amp;"|"&amp;D594,'All Song Rankings'!$T:$T,0),0)</f>
        <v>92</v>
      </c>
      <c r="G594" s="6" t="str">
        <f aca="false">IF(F594=0,"NOT FOUND",INDEX('All Song Rankings'!$A:$A,F594))</f>
        <v>Your Love Is My Drug</v>
      </c>
      <c r="H594" s="6" t="str">
        <f aca="false">IF(F594=0,"NOT FOUND",INDEX('All Song Rankings'!$B:$B,F594))</f>
        <v>Kesha</v>
      </c>
      <c r="I594" s="6" t="str">
        <f aca="false">IF(F594=0,"NOT FOUND",INDEX('All Song Rankings'!$D:$D,F594))</f>
        <v>Grace</v>
      </c>
      <c r="J594" s="7" t="str">
        <f aca="false">IF(F594=0,"NOT FOUND",IF(C594=I594,"SELF-VOTE",IF(COUNTIF($K:$K,K594)&gt;1,"DUPLICATE","OK")))</f>
        <v>OK</v>
      </c>
      <c r="K594" s="6" t="str">
        <f aca="false">A594&amp;"|"&amp;B594&amp;"|"&amp;C594&amp;"|"&amp;D594</f>
        <v>2|1|Matt|spotify:track:6vc2Jq2vaGu8z326kSrw92</v>
      </c>
    </row>
    <row r="595" customFormat="false" ht="15" hidden="false" customHeight="false" outlineLevel="0" collapsed="false">
      <c r="A595" s="5" t="n">
        <v>2</v>
      </c>
      <c r="B595" s="5" t="n">
        <v>1</v>
      </c>
      <c r="C595" s="5" t="s">
        <v>101</v>
      </c>
      <c r="D595" s="5" t="s">
        <v>372</v>
      </c>
      <c r="E595" s="5" t="n">
        <v>2</v>
      </c>
      <c r="F595" s="6" t="n">
        <f aca="false">IFERROR(MATCH(A595&amp;"|"&amp;B595&amp;"|"&amp;D595,'All Song Rankings'!$T:$T,0),0)</f>
        <v>89</v>
      </c>
      <c r="G595" s="6" t="str">
        <f aca="false">IF(F595=0,"NOT FOUND",INDEX('All Song Rankings'!$A:$A,F595))</f>
        <v>Centuries</v>
      </c>
      <c r="H595" s="6" t="str">
        <f aca="false">IF(F595=0,"NOT FOUND",INDEX('All Song Rankings'!$B:$B,F595))</f>
        <v>Fall Out Boy</v>
      </c>
      <c r="I595" s="6" t="str">
        <f aca="false">IF(F595=0,"NOT FOUND",INDEX('All Song Rankings'!$D:$D,F595))</f>
        <v>Leah</v>
      </c>
      <c r="J595" s="7" t="str">
        <f aca="false">IF(F595=0,"NOT FOUND",IF(C595=I595,"SELF-VOTE",IF(COUNTIF($K:$K,K595)&gt;1,"DUPLICATE","OK")))</f>
        <v>OK</v>
      </c>
      <c r="K595" s="6" t="str">
        <f aca="false">A595&amp;"|"&amp;B595&amp;"|"&amp;C595&amp;"|"&amp;D595</f>
        <v>2|1|Merita|spotify:track:04aAxqtGp5pv12UXAg4pkq</v>
      </c>
    </row>
    <row r="596" customFormat="false" ht="15" hidden="false" customHeight="false" outlineLevel="0" collapsed="false">
      <c r="A596" s="5" t="n">
        <v>2</v>
      </c>
      <c r="B596" s="5" t="n">
        <v>1</v>
      </c>
      <c r="C596" s="5" t="s">
        <v>101</v>
      </c>
      <c r="D596" s="5" t="s">
        <v>369</v>
      </c>
      <c r="E596" s="5" t="n">
        <v>1</v>
      </c>
      <c r="F596" s="6" t="n">
        <f aca="false">IFERROR(MATCH(A596&amp;"|"&amp;B596&amp;"|"&amp;D596,'All Song Rankings'!$T:$T,0),0)</f>
        <v>88</v>
      </c>
      <c r="G596" s="6" t="str">
        <f aca="false">IF(F596=0,"NOT FOUND",INDEX('All Song Rankings'!$A:$A,F596))</f>
        <v>High Hopes</v>
      </c>
      <c r="H596" s="6" t="str">
        <f aca="false">IF(F596=0,"NOT FOUND",INDEX('All Song Rankings'!$B:$B,F596))</f>
        <v>Panic! At The Disco</v>
      </c>
      <c r="I596" s="6" t="str">
        <f aca="false">IF(F596=0,"NOT FOUND",INDEX('All Song Rankings'!$D:$D,F596))</f>
        <v>Nicole</v>
      </c>
      <c r="J596" s="7" t="str">
        <f aca="false">IF(F596=0,"NOT FOUND",IF(C596=I596,"SELF-VOTE",IF(COUNTIF($K:$K,K596)&gt;1,"DUPLICATE","OK")))</f>
        <v>OK</v>
      </c>
      <c r="K596" s="6" t="str">
        <f aca="false">A596&amp;"|"&amp;B596&amp;"|"&amp;C596&amp;"|"&amp;D596</f>
        <v>2|1|Merita|spotify:track:1rqqCSm0Qe4I9rUvWncaom</v>
      </c>
    </row>
    <row r="597" customFormat="false" ht="15" hidden="false" customHeight="false" outlineLevel="0" collapsed="false">
      <c r="A597" s="5" t="n">
        <v>2</v>
      </c>
      <c r="B597" s="5" t="n">
        <v>1</v>
      </c>
      <c r="C597" s="5" t="s">
        <v>101</v>
      </c>
      <c r="D597" s="5" t="s">
        <v>376</v>
      </c>
      <c r="E597" s="5" t="n">
        <v>1</v>
      </c>
      <c r="F597" s="6" t="n">
        <f aca="false">IFERROR(MATCH(A597&amp;"|"&amp;B597&amp;"|"&amp;D597,'All Song Rankings'!$T:$T,0),0)</f>
        <v>90</v>
      </c>
      <c r="G597" s="6" t="str">
        <f aca="false">IF(F597=0,"NOT FOUND",INDEX('All Song Rankings'!$A:$A,F597))</f>
        <v>On The Floor</v>
      </c>
      <c r="H597" s="6" t="str">
        <f aca="false">IF(F597=0,"NOT FOUND",INDEX('All Song Rankings'!$B:$B,F597))</f>
        <v>Jennifer Lopez</v>
      </c>
      <c r="I597" s="6" t="str">
        <f aca="false">IF(F597=0,"NOT FOUND",INDEX('All Song Rankings'!$D:$D,F597))</f>
        <v>Aubrey</v>
      </c>
      <c r="J597" s="7" t="str">
        <f aca="false">IF(F597=0,"NOT FOUND",IF(C597=I597,"SELF-VOTE",IF(COUNTIF($K:$K,K597)&gt;1,"DUPLICATE","OK")))</f>
        <v>OK</v>
      </c>
      <c r="K597" s="6" t="str">
        <f aca="false">A597&amp;"|"&amp;B597&amp;"|"&amp;C597&amp;"|"&amp;D597</f>
        <v>2|1|Merita|spotify:track:20zQZVyUNPbq8kZACdgYrh</v>
      </c>
    </row>
    <row r="598" customFormat="false" ht="15" hidden="false" customHeight="false" outlineLevel="0" collapsed="false">
      <c r="A598" s="5" t="n">
        <v>2</v>
      </c>
      <c r="B598" s="5" t="n">
        <v>1</v>
      </c>
      <c r="C598" s="5" t="s">
        <v>101</v>
      </c>
      <c r="D598" s="5" t="s">
        <v>399</v>
      </c>
      <c r="E598" s="5" t="n">
        <v>1</v>
      </c>
      <c r="F598" s="6" t="n">
        <f aca="false">IFERROR(MATCH(A598&amp;"|"&amp;B598&amp;"|"&amp;D598,'All Song Rankings'!$T:$T,0),0)</f>
        <v>97</v>
      </c>
      <c r="G598" s="6" t="str">
        <f aca="false">IF(F598=0,"NOT FOUND",INDEX('All Song Rankings'!$A:$A,F598))</f>
        <v>#thatPOWER</v>
      </c>
      <c r="H598" s="6" t="str">
        <f aca="false">IF(F598=0,"NOT FOUND",INDEX('All Song Rankings'!$B:$B,F598))</f>
        <v>will.i.am</v>
      </c>
      <c r="I598" s="6" t="str">
        <f aca="false">IF(F598=0,"NOT FOUND",INDEX('All Song Rankings'!$D:$D,F598))</f>
        <v>Maryann</v>
      </c>
      <c r="J598" s="7" t="str">
        <f aca="false">IF(F598=0,"NOT FOUND",IF(C598=I598,"SELF-VOTE",IF(COUNTIF($K:$K,K598)&gt;1,"DUPLICATE","OK")))</f>
        <v>OK</v>
      </c>
      <c r="K598" s="6" t="str">
        <f aca="false">A598&amp;"|"&amp;B598&amp;"|"&amp;C598&amp;"|"&amp;D598</f>
        <v>2|1|Merita|spotify:track:37qlkp5VImuuYcXZI6aiam</v>
      </c>
    </row>
    <row r="599" customFormat="false" ht="15" hidden="false" customHeight="false" outlineLevel="0" collapsed="false">
      <c r="A599" s="5" t="n">
        <v>2</v>
      </c>
      <c r="B599" s="5" t="n">
        <v>1</v>
      </c>
      <c r="C599" s="5" t="s">
        <v>101</v>
      </c>
      <c r="D599" s="5" t="s">
        <v>379</v>
      </c>
      <c r="E599" s="5" t="n">
        <v>2</v>
      </c>
      <c r="F599" s="6" t="n">
        <f aca="false">IFERROR(MATCH(A599&amp;"|"&amp;B599&amp;"|"&amp;D599,'All Song Rankings'!$T:$T,0),0)</f>
        <v>91</v>
      </c>
      <c r="G599" s="6" t="str">
        <f aca="false">IF(F599=0,"NOT FOUND",INDEX('All Song Rankings'!$A:$A,F599))</f>
        <v>Till I Collapse</v>
      </c>
      <c r="H599" s="6" t="str">
        <f aca="false">IF(F599=0,"NOT FOUND",INDEX('All Song Rankings'!$B:$B,F599))</f>
        <v>Eminem</v>
      </c>
      <c r="I599" s="6" t="str">
        <f aca="false">IF(F599=0,"NOT FOUND",INDEX('All Song Rankings'!$D:$D,F599))</f>
        <v>Shayne</v>
      </c>
      <c r="J599" s="7" t="str">
        <f aca="false">IF(F599=0,"NOT FOUND",IF(C599=I599,"SELF-VOTE",IF(COUNTIF($K:$K,K599)&gt;1,"DUPLICATE","OK")))</f>
        <v>OK</v>
      </c>
      <c r="K599" s="6" t="str">
        <f aca="false">A599&amp;"|"&amp;B599&amp;"|"&amp;C599&amp;"|"&amp;D599</f>
        <v>2|1|Merita|spotify:track:4xkOaSrkexMciUUogZKVTS</v>
      </c>
    </row>
    <row r="600" customFormat="false" ht="15" hidden="false" customHeight="false" outlineLevel="0" collapsed="false">
      <c r="A600" s="5" t="n">
        <v>2</v>
      </c>
      <c r="B600" s="5" t="n">
        <v>1</v>
      </c>
      <c r="C600" s="5" t="s">
        <v>101</v>
      </c>
      <c r="D600" s="5" t="s">
        <v>389</v>
      </c>
      <c r="E600" s="5" t="n">
        <v>1</v>
      </c>
      <c r="F600" s="6" t="n">
        <f aca="false">IFERROR(MATCH(A600&amp;"|"&amp;B600&amp;"|"&amp;D600,'All Song Rankings'!$T:$T,0),0)</f>
        <v>94</v>
      </c>
      <c r="G600" s="6" t="str">
        <f aca="false">IF(F600=0,"NOT FOUND",INDEX('All Song Rankings'!$A:$A,F600))</f>
        <v>What's Up Danger</v>
      </c>
      <c r="H600" s="6" t="str">
        <f aca="false">IF(F600=0,"NOT FOUND",INDEX('All Song Rankings'!$B:$B,F600))</f>
        <v>Blackway</v>
      </c>
      <c r="I600" s="6" t="str">
        <f aca="false">IF(F600=0,"NOT FOUND",INDEX('All Song Rankings'!$D:$D,F600))</f>
        <v>Kristen</v>
      </c>
      <c r="J600" s="7" t="str">
        <f aca="false">IF(F600=0,"NOT FOUND",IF(C600=I600,"SELF-VOTE",IF(COUNTIF($K:$K,K600)&gt;1,"DUPLICATE","OK")))</f>
        <v>OK</v>
      </c>
      <c r="K600" s="6" t="str">
        <f aca="false">A600&amp;"|"&amp;B600&amp;"|"&amp;C600&amp;"|"&amp;D600</f>
        <v>2|1|Merita|spotify:track:5zsHmE2gO3RefVsPyw2e3T</v>
      </c>
    </row>
    <row r="601" customFormat="false" ht="15" hidden="false" customHeight="false" outlineLevel="0" collapsed="false">
      <c r="A601" s="5" t="n">
        <v>2</v>
      </c>
      <c r="B601" s="5" t="n">
        <v>1</v>
      </c>
      <c r="C601" s="5" t="s">
        <v>101</v>
      </c>
      <c r="D601" s="5" t="s">
        <v>366</v>
      </c>
      <c r="E601" s="5" t="n">
        <v>2</v>
      </c>
      <c r="F601" s="6" t="n">
        <f aca="false">IFERROR(MATCH(A601&amp;"|"&amp;B601&amp;"|"&amp;D601,'All Song Rankings'!$T:$T,0),0)</f>
        <v>87</v>
      </c>
      <c r="G601" s="6" t="str">
        <f aca="false">IF(F601=0,"NOT FOUND",INDEX('All Song Rankings'!$A:$A,F601))</f>
        <v>Mi Gente - Steve Aoki Remix</v>
      </c>
      <c r="H601" s="6" t="str">
        <f aca="false">IF(F601=0,"NOT FOUND",INDEX('All Song Rankings'!$B:$B,F601))</f>
        <v>J Balvin</v>
      </c>
      <c r="I601" s="6" t="str">
        <f aca="false">IF(F601=0,"NOT FOUND",INDEX('All Song Rankings'!$D:$D,F601))</f>
        <v>Logan</v>
      </c>
      <c r="J601" s="7" t="str">
        <f aca="false">IF(F601=0,"NOT FOUND",IF(C601=I601,"SELF-VOTE",IF(COUNTIF($K:$K,K601)&gt;1,"DUPLICATE","OK")))</f>
        <v>OK</v>
      </c>
      <c r="K601" s="6" t="str">
        <f aca="false">A601&amp;"|"&amp;B601&amp;"|"&amp;C601&amp;"|"&amp;D601</f>
        <v>2|1|Merita|spotify:track:6tK77Y61ZxGga7uCbMaEI1</v>
      </c>
    </row>
    <row r="602" customFormat="false" ht="15" hidden="false" customHeight="false" outlineLevel="0" collapsed="false">
      <c r="A602" s="5" t="n">
        <v>2</v>
      </c>
      <c r="B602" s="5" t="n">
        <v>1</v>
      </c>
      <c r="C602" s="5" t="s">
        <v>92</v>
      </c>
      <c r="D602" s="5" t="s">
        <v>372</v>
      </c>
      <c r="E602" s="5" t="n">
        <v>1</v>
      </c>
      <c r="F602" s="6" t="n">
        <f aca="false">IFERROR(MATCH(A602&amp;"|"&amp;B602&amp;"|"&amp;D602,'All Song Rankings'!$T:$T,0),0)</f>
        <v>89</v>
      </c>
      <c r="G602" s="6" t="str">
        <f aca="false">IF(F602=0,"NOT FOUND",INDEX('All Song Rankings'!$A:$A,F602))</f>
        <v>Centuries</v>
      </c>
      <c r="H602" s="6" t="str">
        <f aca="false">IF(F602=0,"NOT FOUND",INDEX('All Song Rankings'!$B:$B,F602))</f>
        <v>Fall Out Boy</v>
      </c>
      <c r="I602" s="6" t="str">
        <f aca="false">IF(F602=0,"NOT FOUND",INDEX('All Song Rankings'!$D:$D,F602))</f>
        <v>Leah</v>
      </c>
      <c r="J602" s="7" t="str">
        <f aca="false">IF(F602=0,"NOT FOUND",IF(C602=I602,"SELF-VOTE",IF(COUNTIF($K:$K,K602)&gt;1,"DUPLICATE","OK")))</f>
        <v>OK</v>
      </c>
      <c r="K602" s="6" t="str">
        <f aca="false">A602&amp;"|"&amp;B602&amp;"|"&amp;C602&amp;"|"&amp;D602</f>
        <v>2|1|Nicole|spotify:track:04aAxqtGp5pv12UXAg4pkq</v>
      </c>
    </row>
    <row r="603" customFormat="false" ht="15" hidden="false" customHeight="false" outlineLevel="0" collapsed="false">
      <c r="A603" s="5" t="n">
        <v>2</v>
      </c>
      <c r="B603" s="5" t="n">
        <v>1</v>
      </c>
      <c r="C603" s="5" t="s">
        <v>92</v>
      </c>
      <c r="D603" s="5" t="s">
        <v>396</v>
      </c>
      <c r="E603" s="5" t="n">
        <v>3</v>
      </c>
      <c r="F603" s="6" t="n">
        <f aca="false">IFERROR(MATCH(A603&amp;"|"&amp;B603&amp;"|"&amp;D603,'All Song Rankings'!$T:$T,0),0)</f>
        <v>96</v>
      </c>
      <c r="G603" s="6" t="str">
        <f aca="false">IF(F603=0,"NOT FOUND",INDEX('All Song Rankings'!$A:$A,F603))</f>
        <v>Untouched</v>
      </c>
      <c r="H603" s="6" t="str">
        <f aca="false">IF(F603=0,"NOT FOUND",INDEX('All Song Rankings'!$B:$B,F603))</f>
        <v>The Veronicas</v>
      </c>
      <c r="I603" s="6" t="str">
        <f aca="false">IF(F603=0,"NOT FOUND",INDEX('All Song Rankings'!$D:$D,F603))</f>
        <v>Makenzie</v>
      </c>
      <c r="J603" s="7" t="str">
        <f aca="false">IF(F603=0,"NOT FOUND",IF(C603=I603,"SELF-VOTE",IF(COUNTIF($K:$K,K603)&gt;1,"DUPLICATE","OK")))</f>
        <v>OK</v>
      </c>
      <c r="K603" s="6" t="str">
        <f aca="false">A603&amp;"|"&amp;B603&amp;"|"&amp;C603&amp;"|"&amp;D603</f>
        <v>2|1|Nicole|spotify:track:0KlahhzNb98zyN83Vwae0l</v>
      </c>
    </row>
    <row r="604" customFormat="false" ht="15" hidden="false" customHeight="false" outlineLevel="0" collapsed="false">
      <c r="A604" s="5" t="n">
        <v>2</v>
      </c>
      <c r="B604" s="5" t="n">
        <v>1</v>
      </c>
      <c r="C604" s="5" t="s">
        <v>92</v>
      </c>
      <c r="D604" s="5" t="s">
        <v>399</v>
      </c>
      <c r="E604" s="5" t="n">
        <v>1</v>
      </c>
      <c r="F604" s="6" t="n">
        <f aca="false">IFERROR(MATCH(A604&amp;"|"&amp;B604&amp;"|"&amp;D604,'All Song Rankings'!$T:$T,0),0)</f>
        <v>97</v>
      </c>
      <c r="G604" s="6" t="str">
        <f aca="false">IF(F604=0,"NOT FOUND",INDEX('All Song Rankings'!$A:$A,F604))</f>
        <v>#thatPOWER</v>
      </c>
      <c r="H604" s="6" t="str">
        <f aca="false">IF(F604=0,"NOT FOUND",INDEX('All Song Rankings'!$B:$B,F604))</f>
        <v>will.i.am</v>
      </c>
      <c r="I604" s="6" t="str">
        <f aca="false">IF(F604=0,"NOT FOUND",INDEX('All Song Rankings'!$D:$D,F604))</f>
        <v>Maryann</v>
      </c>
      <c r="J604" s="7" t="str">
        <f aca="false">IF(F604=0,"NOT FOUND",IF(C604=I604,"SELF-VOTE",IF(COUNTIF($K:$K,K604)&gt;1,"DUPLICATE","OK")))</f>
        <v>OK</v>
      </c>
      <c r="K604" s="6" t="str">
        <f aca="false">A604&amp;"|"&amp;B604&amp;"|"&amp;C604&amp;"|"&amp;D604</f>
        <v>2|1|Nicole|spotify:track:37qlkp5VImuuYcXZI6aiam</v>
      </c>
    </row>
    <row r="605" customFormat="false" ht="15" hidden="false" customHeight="false" outlineLevel="0" collapsed="false">
      <c r="A605" s="5" t="n">
        <v>2</v>
      </c>
      <c r="B605" s="5" t="n">
        <v>1</v>
      </c>
      <c r="C605" s="5" t="s">
        <v>92</v>
      </c>
      <c r="D605" s="5" t="s">
        <v>379</v>
      </c>
      <c r="E605" s="5" t="n">
        <v>1</v>
      </c>
      <c r="F605" s="6" t="n">
        <f aca="false">IFERROR(MATCH(A605&amp;"|"&amp;B605&amp;"|"&amp;D605,'All Song Rankings'!$T:$T,0),0)</f>
        <v>91</v>
      </c>
      <c r="G605" s="6" t="str">
        <f aca="false">IF(F605=0,"NOT FOUND",INDEX('All Song Rankings'!$A:$A,F605))</f>
        <v>Till I Collapse</v>
      </c>
      <c r="H605" s="6" t="str">
        <f aca="false">IF(F605=0,"NOT FOUND",INDEX('All Song Rankings'!$B:$B,F605))</f>
        <v>Eminem</v>
      </c>
      <c r="I605" s="6" t="str">
        <f aca="false">IF(F605=0,"NOT FOUND",INDEX('All Song Rankings'!$D:$D,F605))</f>
        <v>Shayne</v>
      </c>
      <c r="J605" s="7" t="str">
        <f aca="false">IF(F605=0,"NOT FOUND",IF(C605=I605,"SELF-VOTE",IF(COUNTIF($K:$K,K605)&gt;1,"DUPLICATE","OK")))</f>
        <v>OK</v>
      </c>
      <c r="K605" s="6" t="str">
        <f aca="false">A605&amp;"|"&amp;B605&amp;"|"&amp;C605&amp;"|"&amp;D605</f>
        <v>2|1|Nicole|spotify:track:4xkOaSrkexMciUUogZKVTS</v>
      </c>
    </row>
    <row r="606" customFormat="false" ht="15" hidden="false" customHeight="false" outlineLevel="0" collapsed="false">
      <c r="A606" s="5" t="n">
        <v>2</v>
      </c>
      <c r="B606" s="5" t="n">
        <v>1</v>
      </c>
      <c r="C606" s="5" t="s">
        <v>92</v>
      </c>
      <c r="D606" s="5" t="s">
        <v>389</v>
      </c>
      <c r="E606" s="5" t="n">
        <v>1</v>
      </c>
      <c r="F606" s="6" t="n">
        <f aca="false">IFERROR(MATCH(A606&amp;"|"&amp;B606&amp;"|"&amp;D606,'All Song Rankings'!$T:$T,0),0)</f>
        <v>94</v>
      </c>
      <c r="G606" s="6" t="str">
        <f aca="false">IF(F606=0,"NOT FOUND",INDEX('All Song Rankings'!$A:$A,F606))</f>
        <v>What's Up Danger</v>
      </c>
      <c r="H606" s="6" t="str">
        <f aca="false">IF(F606=0,"NOT FOUND",INDEX('All Song Rankings'!$B:$B,F606))</f>
        <v>Blackway</v>
      </c>
      <c r="I606" s="6" t="str">
        <f aca="false">IF(F606=0,"NOT FOUND",INDEX('All Song Rankings'!$D:$D,F606))</f>
        <v>Kristen</v>
      </c>
      <c r="J606" s="7" t="str">
        <f aca="false">IF(F606=0,"NOT FOUND",IF(C606=I606,"SELF-VOTE",IF(COUNTIF($K:$K,K606)&gt;1,"DUPLICATE","OK")))</f>
        <v>OK</v>
      </c>
      <c r="K606" s="6" t="str">
        <f aca="false">A606&amp;"|"&amp;B606&amp;"|"&amp;C606&amp;"|"&amp;D606</f>
        <v>2|1|Nicole|spotify:track:5zsHmE2gO3RefVsPyw2e3T</v>
      </c>
    </row>
    <row r="607" customFormat="false" ht="15" hidden="false" customHeight="false" outlineLevel="0" collapsed="false">
      <c r="A607" s="5" t="n">
        <v>2</v>
      </c>
      <c r="B607" s="5" t="n">
        <v>1</v>
      </c>
      <c r="C607" s="5" t="s">
        <v>92</v>
      </c>
      <c r="D607" s="5" t="s">
        <v>386</v>
      </c>
      <c r="E607" s="5" t="n">
        <v>2</v>
      </c>
      <c r="F607" s="6" t="n">
        <f aca="false">IFERROR(MATCH(A607&amp;"|"&amp;B607&amp;"|"&amp;D607,'All Song Rankings'!$T:$T,0),0)</f>
        <v>93</v>
      </c>
      <c r="G607" s="6" t="str">
        <f aca="false">IF(F607=0,"NOT FOUND",INDEX('All Song Rankings'!$A:$A,F607))</f>
        <v>Misery Business</v>
      </c>
      <c r="H607" s="6" t="str">
        <f aca="false">IF(F607=0,"NOT FOUND",INDEX('All Song Rankings'!$B:$B,F607))</f>
        <v>Paramore</v>
      </c>
      <c r="I607" s="6" t="str">
        <f aca="false">IF(F607=0,"NOT FOUND",INDEX('All Song Rankings'!$D:$D,F607))</f>
        <v>Kelsey</v>
      </c>
      <c r="J607" s="7" t="str">
        <f aca="false">IF(F607=0,"NOT FOUND",IF(C607=I607,"SELF-VOTE",IF(COUNTIF($K:$K,K607)&gt;1,"DUPLICATE","OK")))</f>
        <v>OK</v>
      </c>
      <c r="K607" s="6" t="str">
        <f aca="false">A607&amp;"|"&amp;B607&amp;"|"&amp;C607&amp;"|"&amp;D607</f>
        <v>2|1|Nicole|spotify:track:6SpLc7EXZIPpy0sVko0aoU</v>
      </c>
    </row>
    <row r="608" customFormat="false" ht="15" hidden="false" customHeight="false" outlineLevel="0" collapsed="false">
      <c r="A608" s="5" t="n">
        <v>2</v>
      </c>
      <c r="B608" s="5" t="n">
        <v>1</v>
      </c>
      <c r="C608" s="5" t="s">
        <v>92</v>
      </c>
      <c r="D608" s="5" t="s">
        <v>383</v>
      </c>
      <c r="E608" s="5" t="n">
        <v>1</v>
      </c>
      <c r="F608" s="6" t="n">
        <f aca="false">IFERROR(MATCH(A608&amp;"|"&amp;B608&amp;"|"&amp;D608,'All Song Rankings'!$T:$T,0),0)</f>
        <v>92</v>
      </c>
      <c r="G608" s="6" t="str">
        <f aca="false">IF(F608=0,"NOT FOUND",INDEX('All Song Rankings'!$A:$A,F608))</f>
        <v>Your Love Is My Drug</v>
      </c>
      <c r="H608" s="6" t="str">
        <f aca="false">IF(F608=0,"NOT FOUND",INDEX('All Song Rankings'!$B:$B,F608))</f>
        <v>Kesha</v>
      </c>
      <c r="I608" s="6" t="str">
        <f aca="false">IF(F608=0,"NOT FOUND",INDEX('All Song Rankings'!$D:$D,F608))</f>
        <v>Grace</v>
      </c>
      <c r="J608" s="7" t="str">
        <f aca="false">IF(F608=0,"NOT FOUND",IF(C608=I608,"SELF-VOTE",IF(COUNTIF($K:$K,K608)&gt;1,"DUPLICATE","OK")))</f>
        <v>OK</v>
      </c>
      <c r="K608" s="6" t="str">
        <f aca="false">A608&amp;"|"&amp;B608&amp;"|"&amp;C608&amp;"|"&amp;D608</f>
        <v>2|1|Nicole|spotify:track:6vc2Jq2vaGu8z326kSrw92</v>
      </c>
    </row>
    <row r="609" customFormat="false" ht="15" hidden="false" customHeight="false" outlineLevel="0" collapsed="false">
      <c r="A609" s="5" t="n">
        <v>2</v>
      </c>
      <c r="B609" s="5" t="n">
        <v>1</v>
      </c>
      <c r="C609" s="5" t="s">
        <v>378</v>
      </c>
      <c r="D609" s="5" t="s">
        <v>396</v>
      </c>
      <c r="E609" s="5" t="n">
        <v>1</v>
      </c>
      <c r="F609" s="6" t="n">
        <f aca="false">IFERROR(MATCH(A609&amp;"|"&amp;B609&amp;"|"&amp;D609,'All Song Rankings'!$T:$T,0),0)</f>
        <v>96</v>
      </c>
      <c r="G609" s="6" t="str">
        <f aca="false">IF(F609=0,"NOT FOUND",INDEX('All Song Rankings'!$A:$A,F609))</f>
        <v>Untouched</v>
      </c>
      <c r="H609" s="6" t="str">
        <f aca="false">IF(F609=0,"NOT FOUND",INDEX('All Song Rankings'!$B:$B,F609))</f>
        <v>The Veronicas</v>
      </c>
      <c r="I609" s="6" t="str">
        <f aca="false">IF(F609=0,"NOT FOUND",INDEX('All Song Rankings'!$D:$D,F609))</f>
        <v>Makenzie</v>
      </c>
      <c r="J609" s="7" t="str">
        <f aca="false">IF(F609=0,"NOT FOUND",IF(C609=I609,"SELF-VOTE",IF(COUNTIF($K:$K,K609)&gt;1,"DUPLICATE","OK")))</f>
        <v>OK</v>
      </c>
      <c r="K609" s="6" t="str">
        <f aca="false">A609&amp;"|"&amp;B609&amp;"|"&amp;C609&amp;"|"&amp;D609</f>
        <v>2|1|Shayne|spotify:track:0KlahhzNb98zyN83Vwae0l</v>
      </c>
    </row>
    <row r="610" customFormat="false" ht="15" hidden="false" customHeight="false" outlineLevel="0" collapsed="false">
      <c r="A610" s="5" t="n">
        <v>2</v>
      </c>
      <c r="B610" s="5" t="n">
        <v>1</v>
      </c>
      <c r="C610" s="5" t="s">
        <v>378</v>
      </c>
      <c r="D610" s="5" t="s">
        <v>376</v>
      </c>
      <c r="E610" s="5" t="n">
        <v>1</v>
      </c>
      <c r="F610" s="6" t="n">
        <f aca="false">IFERROR(MATCH(A610&amp;"|"&amp;B610&amp;"|"&amp;D610,'All Song Rankings'!$T:$T,0),0)</f>
        <v>90</v>
      </c>
      <c r="G610" s="6" t="str">
        <f aca="false">IF(F610=0,"NOT FOUND",INDEX('All Song Rankings'!$A:$A,F610))</f>
        <v>On The Floor</v>
      </c>
      <c r="H610" s="6" t="str">
        <f aca="false">IF(F610=0,"NOT FOUND",INDEX('All Song Rankings'!$B:$B,F610))</f>
        <v>Jennifer Lopez</v>
      </c>
      <c r="I610" s="6" t="str">
        <f aca="false">IF(F610=0,"NOT FOUND",INDEX('All Song Rankings'!$D:$D,F610))</f>
        <v>Aubrey</v>
      </c>
      <c r="J610" s="7" t="str">
        <f aca="false">IF(F610=0,"NOT FOUND",IF(C610=I610,"SELF-VOTE",IF(COUNTIF($K:$K,K610)&gt;1,"DUPLICATE","OK")))</f>
        <v>OK</v>
      </c>
      <c r="K610" s="6" t="str">
        <f aca="false">A610&amp;"|"&amp;B610&amp;"|"&amp;C610&amp;"|"&amp;D610</f>
        <v>2|1|Shayne|spotify:track:20zQZVyUNPbq8kZACdgYrh</v>
      </c>
    </row>
    <row r="611" customFormat="false" ht="15" hidden="false" customHeight="false" outlineLevel="0" collapsed="false">
      <c r="A611" s="5" t="n">
        <v>2</v>
      </c>
      <c r="B611" s="5" t="n">
        <v>1</v>
      </c>
      <c r="C611" s="5" t="s">
        <v>378</v>
      </c>
      <c r="D611" s="5" t="s">
        <v>399</v>
      </c>
      <c r="E611" s="5" t="n">
        <v>1</v>
      </c>
      <c r="F611" s="6" t="n">
        <f aca="false">IFERROR(MATCH(A611&amp;"|"&amp;B611&amp;"|"&amp;D611,'All Song Rankings'!$T:$T,0),0)</f>
        <v>97</v>
      </c>
      <c r="G611" s="6" t="str">
        <f aca="false">IF(F611=0,"NOT FOUND",INDEX('All Song Rankings'!$A:$A,F611))</f>
        <v>#thatPOWER</v>
      </c>
      <c r="H611" s="6" t="str">
        <f aca="false">IF(F611=0,"NOT FOUND",INDEX('All Song Rankings'!$B:$B,F611))</f>
        <v>will.i.am</v>
      </c>
      <c r="I611" s="6" t="str">
        <f aca="false">IF(F611=0,"NOT FOUND",INDEX('All Song Rankings'!$D:$D,F611))</f>
        <v>Maryann</v>
      </c>
      <c r="J611" s="7" t="str">
        <f aca="false">IF(F611=0,"NOT FOUND",IF(C611=I611,"SELF-VOTE",IF(COUNTIF($K:$K,K611)&gt;1,"DUPLICATE","OK")))</f>
        <v>OK</v>
      </c>
      <c r="K611" s="6" t="str">
        <f aca="false">A611&amp;"|"&amp;B611&amp;"|"&amp;C611&amp;"|"&amp;D611</f>
        <v>2|1|Shayne|spotify:track:37qlkp5VImuuYcXZI6aiam</v>
      </c>
    </row>
    <row r="612" customFormat="false" ht="15" hidden="false" customHeight="false" outlineLevel="0" collapsed="false">
      <c r="A612" s="5" t="n">
        <v>2</v>
      </c>
      <c r="B612" s="5" t="n">
        <v>1</v>
      </c>
      <c r="C612" s="5" t="s">
        <v>378</v>
      </c>
      <c r="D612" s="5" t="s">
        <v>408</v>
      </c>
      <c r="E612" s="5" t="n">
        <v>1</v>
      </c>
      <c r="F612" s="6" t="n">
        <f aca="false">IFERROR(MATCH(A612&amp;"|"&amp;B612&amp;"|"&amp;D612,'All Song Rankings'!$T:$T,0),0)</f>
        <v>100</v>
      </c>
      <c r="G612" s="6" t="str">
        <f aca="false">IF(F612=0,"NOT FOUND",INDEX('All Song Rankings'!$A:$A,F612))</f>
        <v>B.O.B. - Bombs Over Baghdad</v>
      </c>
      <c r="H612" s="6" t="str">
        <f aca="false">IF(F612=0,"NOT FOUND",INDEX('All Song Rankings'!$B:$B,F612))</f>
        <v>Outkast</v>
      </c>
      <c r="I612" s="6" t="str">
        <f aca="false">IF(F612=0,"NOT FOUND",INDEX('All Song Rankings'!$D:$D,F612))</f>
        <v>Stephanie</v>
      </c>
      <c r="J612" s="7" t="str">
        <f aca="false">IF(F612=0,"NOT FOUND",IF(C612=I612,"SELF-VOTE",IF(COUNTIF($K:$K,K612)&gt;1,"DUPLICATE","OK")))</f>
        <v>OK</v>
      </c>
      <c r="K612" s="6" t="str">
        <f aca="false">A612&amp;"|"&amp;B612&amp;"|"&amp;C612&amp;"|"&amp;D612</f>
        <v>2|1|Shayne|spotify:track:3WibbMr6canxRJXhNtAvLU</v>
      </c>
    </row>
    <row r="613" customFormat="false" ht="15" hidden="false" customHeight="false" outlineLevel="0" collapsed="false">
      <c r="A613" s="5" t="n">
        <v>2</v>
      </c>
      <c r="B613" s="5" t="n">
        <v>1</v>
      </c>
      <c r="C613" s="5" t="s">
        <v>378</v>
      </c>
      <c r="D613" s="5" t="s">
        <v>405</v>
      </c>
      <c r="E613" s="5" t="n">
        <v>2</v>
      </c>
      <c r="F613" s="6" t="n">
        <f aca="false">IFERROR(MATCH(A613&amp;"|"&amp;B613&amp;"|"&amp;D613,'All Song Rankings'!$T:$T,0),0)</f>
        <v>99</v>
      </c>
      <c r="G613" s="6" t="str">
        <f aca="false">IF(F613=0,"NOT FOUND",INDEX('All Song Rankings'!$A:$A,F613))</f>
        <v>Around the World / Harder, Better, Faster, Stronger</v>
      </c>
      <c r="H613" s="6" t="str">
        <f aca="false">IF(F613=0,"NOT FOUND",INDEX('All Song Rankings'!$B:$B,F613))</f>
        <v>Daft Punk</v>
      </c>
      <c r="I613" s="6" t="str">
        <f aca="false">IF(F613=0,"NOT FOUND",INDEX('All Song Rankings'!$D:$D,F613))</f>
        <v>Matt</v>
      </c>
      <c r="J613" s="7" t="str">
        <f aca="false">IF(F613=0,"NOT FOUND",IF(C613=I613,"SELF-VOTE",IF(COUNTIF($K:$K,K613)&gt;1,"DUPLICATE","OK")))</f>
        <v>OK</v>
      </c>
      <c r="K613" s="6" t="str">
        <f aca="false">A613&amp;"|"&amp;B613&amp;"|"&amp;C613&amp;"|"&amp;D613</f>
        <v>2|1|Shayne|spotify:track:5RByQFt9Mlo8hDYJ921tCv</v>
      </c>
    </row>
    <row r="614" customFormat="false" ht="15" hidden="false" customHeight="false" outlineLevel="0" collapsed="false">
      <c r="A614" s="5" t="n">
        <v>2</v>
      </c>
      <c r="B614" s="5" t="n">
        <v>1</v>
      </c>
      <c r="C614" s="5" t="s">
        <v>378</v>
      </c>
      <c r="D614" s="5" t="s">
        <v>402</v>
      </c>
      <c r="E614" s="5" t="n">
        <v>1</v>
      </c>
      <c r="F614" s="6" t="n">
        <f aca="false">IFERROR(MATCH(A614&amp;"|"&amp;B614&amp;"|"&amp;D614,'All Song Rankings'!$T:$T,0),0)</f>
        <v>98</v>
      </c>
      <c r="G614" s="6" t="str">
        <f aca="false">IF(F614=0,"NOT FOUND",INDEX('All Song Rankings'!$A:$A,F614))</f>
        <v>Closer</v>
      </c>
      <c r="H614" s="6" t="str">
        <f aca="false">IF(F614=0,"NOT FOUND",INDEX('All Song Rankings'!$B:$B,F614))</f>
        <v>Nine Inch Nails</v>
      </c>
      <c r="I614" s="6" t="str">
        <f aca="false">IF(F614=0,"NOT FOUND",INDEX('All Song Rankings'!$D:$D,F614))</f>
        <v>Anya</v>
      </c>
      <c r="J614" s="7" t="str">
        <f aca="false">IF(F614=0,"NOT FOUND",IF(C614=I614,"SELF-VOTE",IF(COUNTIF($K:$K,K614)&gt;1,"DUPLICATE","OK")))</f>
        <v>OK</v>
      </c>
      <c r="K614" s="6" t="str">
        <f aca="false">A614&amp;"|"&amp;B614&amp;"|"&amp;C614&amp;"|"&amp;D614</f>
        <v>2|1|Shayne|spotify:track:5mc6EyF1OIEOhAkD0Gg9Lc</v>
      </c>
    </row>
    <row r="615" customFormat="false" ht="15" hidden="false" customHeight="false" outlineLevel="0" collapsed="false">
      <c r="A615" s="5" t="n">
        <v>2</v>
      </c>
      <c r="B615" s="5" t="n">
        <v>1</v>
      </c>
      <c r="C615" s="5" t="s">
        <v>378</v>
      </c>
      <c r="D615" s="5" t="s">
        <v>389</v>
      </c>
      <c r="E615" s="5" t="n">
        <v>1</v>
      </c>
      <c r="F615" s="6" t="n">
        <f aca="false">IFERROR(MATCH(A615&amp;"|"&amp;B615&amp;"|"&amp;D615,'All Song Rankings'!$T:$T,0),0)</f>
        <v>94</v>
      </c>
      <c r="G615" s="6" t="str">
        <f aca="false">IF(F615=0,"NOT FOUND",INDEX('All Song Rankings'!$A:$A,F615))</f>
        <v>What's Up Danger</v>
      </c>
      <c r="H615" s="6" t="str">
        <f aca="false">IF(F615=0,"NOT FOUND",INDEX('All Song Rankings'!$B:$B,F615))</f>
        <v>Blackway</v>
      </c>
      <c r="I615" s="6" t="str">
        <f aca="false">IF(F615=0,"NOT FOUND",INDEX('All Song Rankings'!$D:$D,F615))</f>
        <v>Kristen</v>
      </c>
      <c r="J615" s="7" t="str">
        <f aca="false">IF(F615=0,"NOT FOUND",IF(C615=I615,"SELF-VOTE",IF(COUNTIF($K:$K,K615)&gt;1,"DUPLICATE","OK")))</f>
        <v>OK</v>
      </c>
      <c r="K615" s="6" t="str">
        <f aca="false">A615&amp;"|"&amp;B615&amp;"|"&amp;C615&amp;"|"&amp;D615</f>
        <v>2|1|Shayne|spotify:track:5zsHmE2gO3RefVsPyw2e3T</v>
      </c>
    </row>
    <row r="616" customFormat="false" ht="15" hidden="false" customHeight="false" outlineLevel="0" collapsed="false">
      <c r="A616" s="5" t="n">
        <v>2</v>
      </c>
      <c r="B616" s="5" t="n">
        <v>1</v>
      </c>
      <c r="C616" s="5" t="s">
        <v>378</v>
      </c>
      <c r="D616" s="5" t="s">
        <v>386</v>
      </c>
      <c r="E616" s="5" t="n">
        <v>1</v>
      </c>
      <c r="F616" s="6" t="n">
        <f aca="false">IFERROR(MATCH(A616&amp;"|"&amp;B616&amp;"|"&amp;D616,'All Song Rankings'!$T:$T,0),0)</f>
        <v>93</v>
      </c>
      <c r="G616" s="6" t="str">
        <f aca="false">IF(F616=0,"NOT FOUND",INDEX('All Song Rankings'!$A:$A,F616))</f>
        <v>Misery Business</v>
      </c>
      <c r="H616" s="6" t="str">
        <f aca="false">IF(F616=0,"NOT FOUND",INDEX('All Song Rankings'!$B:$B,F616))</f>
        <v>Paramore</v>
      </c>
      <c r="I616" s="6" t="str">
        <f aca="false">IF(F616=0,"NOT FOUND",INDEX('All Song Rankings'!$D:$D,F616))</f>
        <v>Kelsey</v>
      </c>
      <c r="J616" s="7" t="str">
        <f aca="false">IF(F616=0,"NOT FOUND",IF(C616=I616,"SELF-VOTE",IF(COUNTIF($K:$K,K616)&gt;1,"DUPLICATE","OK")))</f>
        <v>OK</v>
      </c>
      <c r="K616" s="6" t="str">
        <f aca="false">A616&amp;"|"&amp;B616&amp;"|"&amp;C616&amp;"|"&amp;D616</f>
        <v>2|1|Shayne|spotify:track:6SpLc7EXZIPpy0sVko0aoU</v>
      </c>
    </row>
    <row r="617" customFormat="false" ht="15" hidden="false" customHeight="false" outlineLevel="0" collapsed="false">
      <c r="A617" s="5" t="n">
        <v>2</v>
      </c>
      <c r="B617" s="5" t="n">
        <v>1</v>
      </c>
      <c r="C617" s="5" t="s">
        <v>378</v>
      </c>
      <c r="D617" s="5" t="s">
        <v>366</v>
      </c>
      <c r="E617" s="5" t="n">
        <v>1</v>
      </c>
      <c r="F617" s="6" t="n">
        <f aca="false">IFERROR(MATCH(A617&amp;"|"&amp;B617&amp;"|"&amp;D617,'All Song Rankings'!$T:$T,0),0)</f>
        <v>87</v>
      </c>
      <c r="G617" s="6" t="str">
        <f aca="false">IF(F617=0,"NOT FOUND",INDEX('All Song Rankings'!$A:$A,F617))</f>
        <v>Mi Gente - Steve Aoki Remix</v>
      </c>
      <c r="H617" s="6" t="str">
        <f aca="false">IF(F617=0,"NOT FOUND",INDEX('All Song Rankings'!$B:$B,F617))</f>
        <v>J Balvin</v>
      </c>
      <c r="I617" s="6" t="str">
        <f aca="false">IF(F617=0,"NOT FOUND",INDEX('All Song Rankings'!$D:$D,F617))</f>
        <v>Logan</v>
      </c>
      <c r="J617" s="7" t="str">
        <f aca="false">IF(F617=0,"NOT FOUND",IF(C617=I617,"SELF-VOTE",IF(COUNTIF($K:$K,K617)&gt;1,"DUPLICATE","OK")))</f>
        <v>OK</v>
      </c>
      <c r="K617" s="6" t="str">
        <f aca="false">A617&amp;"|"&amp;B617&amp;"|"&amp;C617&amp;"|"&amp;D617</f>
        <v>2|1|Shayne|spotify:track:6tK77Y61ZxGga7uCbMaEI1</v>
      </c>
    </row>
    <row r="618" customFormat="false" ht="15" hidden="false" customHeight="false" outlineLevel="0" collapsed="false">
      <c r="A618" s="5" t="n">
        <v>2</v>
      </c>
      <c r="B618" s="5" t="n">
        <v>1</v>
      </c>
      <c r="C618" s="5" t="s">
        <v>97</v>
      </c>
      <c r="D618" s="5" t="s">
        <v>392</v>
      </c>
      <c r="E618" s="5" t="n">
        <v>4</v>
      </c>
      <c r="F618" s="6" t="n">
        <f aca="false">IFERROR(MATCH(A618&amp;"|"&amp;B618&amp;"|"&amp;D618,'All Song Rankings'!$T:$T,0),0)</f>
        <v>95</v>
      </c>
      <c r="G618" s="6" t="str">
        <f aca="false">IF(F618=0,"NOT FOUND",INDEX('All Song Rankings'!$A:$A,F618))</f>
        <v>Animals</v>
      </c>
      <c r="H618" s="6" t="str">
        <f aca="false">IF(F618=0,"NOT FOUND",INDEX('All Song Rankings'!$B:$B,F618))</f>
        <v>Martin Garrix</v>
      </c>
      <c r="I618" s="6" t="str">
        <f aca="false">IF(F618=0,"NOT FOUND",INDEX('All Song Rankings'!$D:$D,F618))</f>
        <v>Merita</v>
      </c>
      <c r="J618" s="7" t="str">
        <f aca="false">IF(F618=0,"NOT FOUND",IF(C618=I618,"SELF-VOTE",IF(COUNTIF($K:$K,K618)&gt;1,"DUPLICATE","OK")))</f>
        <v>OK</v>
      </c>
      <c r="K618" s="6" t="str">
        <f aca="false">A618&amp;"|"&amp;B618&amp;"|"&amp;C618&amp;"|"&amp;D618</f>
        <v>2|1|Stephanie|spotify:track:0A9mHc7oYUoCECqByV8cQR</v>
      </c>
    </row>
    <row r="619" customFormat="false" ht="15" hidden="false" customHeight="false" outlineLevel="0" collapsed="false">
      <c r="A619" s="5" t="n">
        <v>2</v>
      </c>
      <c r="B619" s="5" t="n">
        <v>1</v>
      </c>
      <c r="C619" s="5" t="s">
        <v>97</v>
      </c>
      <c r="D619" s="5" t="s">
        <v>379</v>
      </c>
      <c r="E619" s="5" t="n">
        <v>2</v>
      </c>
      <c r="F619" s="6" t="n">
        <f aca="false">IFERROR(MATCH(A619&amp;"|"&amp;B619&amp;"|"&amp;D619,'All Song Rankings'!$T:$T,0),0)</f>
        <v>91</v>
      </c>
      <c r="G619" s="6" t="str">
        <f aca="false">IF(F619=0,"NOT FOUND",INDEX('All Song Rankings'!$A:$A,F619))</f>
        <v>Till I Collapse</v>
      </c>
      <c r="H619" s="6" t="str">
        <f aca="false">IF(F619=0,"NOT FOUND",INDEX('All Song Rankings'!$B:$B,F619))</f>
        <v>Eminem</v>
      </c>
      <c r="I619" s="6" t="str">
        <f aca="false">IF(F619=0,"NOT FOUND",INDEX('All Song Rankings'!$D:$D,F619))</f>
        <v>Shayne</v>
      </c>
      <c r="J619" s="7" t="str">
        <f aca="false">IF(F619=0,"NOT FOUND",IF(C619=I619,"SELF-VOTE",IF(COUNTIF($K:$K,K619)&gt;1,"DUPLICATE","OK")))</f>
        <v>OK</v>
      </c>
      <c r="K619" s="6" t="str">
        <f aca="false">A619&amp;"|"&amp;B619&amp;"|"&amp;C619&amp;"|"&amp;D619</f>
        <v>2|1|Stephanie|spotify:track:4xkOaSrkexMciUUogZKVTS</v>
      </c>
    </row>
    <row r="620" customFormat="false" ht="15" hidden="false" customHeight="false" outlineLevel="0" collapsed="false">
      <c r="A620" s="5" t="n">
        <v>2</v>
      </c>
      <c r="B620" s="5" t="n">
        <v>1</v>
      </c>
      <c r="C620" s="5" t="s">
        <v>97</v>
      </c>
      <c r="D620" s="5" t="s">
        <v>402</v>
      </c>
      <c r="E620" s="5" t="n">
        <v>1</v>
      </c>
      <c r="F620" s="6" t="n">
        <f aca="false">IFERROR(MATCH(A620&amp;"|"&amp;B620&amp;"|"&amp;D620,'All Song Rankings'!$T:$T,0),0)</f>
        <v>98</v>
      </c>
      <c r="G620" s="6" t="str">
        <f aca="false">IF(F620=0,"NOT FOUND",INDEX('All Song Rankings'!$A:$A,F620))</f>
        <v>Closer</v>
      </c>
      <c r="H620" s="6" t="str">
        <f aca="false">IF(F620=0,"NOT FOUND",INDEX('All Song Rankings'!$B:$B,F620))</f>
        <v>Nine Inch Nails</v>
      </c>
      <c r="I620" s="6" t="str">
        <f aca="false">IF(F620=0,"NOT FOUND",INDEX('All Song Rankings'!$D:$D,F620))</f>
        <v>Anya</v>
      </c>
      <c r="J620" s="7" t="str">
        <f aca="false">IF(F620=0,"NOT FOUND",IF(C620=I620,"SELF-VOTE",IF(COUNTIF($K:$K,K620)&gt;1,"DUPLICATE","OK")))</f>
        <v>OK</v>
      </c>
      <c r="K620" s="6" t="str">
        <f aca="false">A620&amp;"|"&amp;B620&amp;"|"&amp;C620&amp;"|"&amp;D620</f>
        <v>2|1|Stephanie|spotify:track:5mc6EyF1OIEOhAkD0Gg9Lc</v>
      </c>
    </row>
    <row r="621" customFormat="false" ht="15" hidden="false" customHeight="false" outlineLevel="0" collapsed="false">
      <c r="A621" s="5" t="n">
        <v>2</v>
      </c>
      <c r="B621" s="5" t="n">
        <v>1</v>
      </c>
      <c r="C621" s="5" t="s">
        <v>97</v>
      </c>
      <c r="D621" s="5" t="s">
        <v>389</v>
      </c>
      <c r="E621" s="5" t="n">
        <v>1</v>
      </c>
      <c r="F621" s="6" t="n">
        <f aca="false">IFERROR(MATCH(A621&amp;"|"&amp;B621&amp;"|"&amp;D621,'All Song Rankings'!$T:$T,0),0)</f>
        <v>94</v>
      </c>
      <c r="G621" s="6" t="str">
        <f aca="false">IF(F621=0,"NOT FOUND",INDEX('All Song Rankings'!$A:$A,F621))</f>
        <v>What's Up Danger</v>
      </c>
      <c r="H621" s="6" t="str">
        <f aca="false">IF(F621=0,"NOT FOUND",INDEX('All Song Rankings'!$B:$B,F621))</f>
        <v>Blackway</v>
      </c>
      <c r="I621" s="6" t="str">
        <f aca="false">IF(F621=0,"NOT FOUND",INDEX('All Song Rankings'!$D:$D,F621))</f>
        <v>Kristen</v>
      </c>
      <c r="J621" s="7" t="str">
        <f aca="false">IF(F621=0,"NOT FOUND",IF(C621=I621,"SELF-VOTE",IF(COUNTIF($K:$K,K621)&gt;1,"DUPLICATE","OK")))</f>
        <v>OK</v>
      </c>
      <c r="K621" s="6" t="str">
        <f aca="false">A621&amp;"|"&amp;B621&amp;"|"&amp;C621&amp;"|"&amp;D621</f>
        <v>2|1|Stephanie|spotify:track:5zsHmE2gO3RefVsPyw2e3T</v>
      </c>
    </row>
    <row r="622" customFormat="false" ht="15" hidden="false" customHeight="false" outlineLevel="0" collapsed="false">
      <c r="A622" s="5" t="n">
        <v>2</v>
      </c>
      <c r="B622" s="5" t="n">
        <v>1</v>
      </c>
      <c r="C622" s="5" t="s">
        <v>97</v>
      </c>
      <c r="D622" s="5" t="s">
        <v>366</v>
      </c>
      <c r="E622" s="5" t="n">
        <v>2</v>
      </c>
      <c r="F622" s="6" t="n">
        <f aca="false">IFERROR(MATCH(A622&amp;"|"&amp;B622&amp;"|"&amp;D622,'All Song Rankings'!$T:$T,0),0)</f>
        <v>87</v>
      </c>
      <c r="G622" s="6" t="str">
        <f aca="false">IF(F622=0,"NOT FOUND",INDEX('All Song Rankings'!$A:$A,F622))</f>
        <v>Mi Gente - Steve Aoki Remix</v>
      </c>
      <c r="H622" s="6" t="str">
        <f aca="false">IF(F622=0,"NOT FOUND",INDEX('All Song Rankings'!$B:$B,F622))</f>
        <v>J Balvin</v>
      </c>
      <c r="I622" s="6" t="str">
        <f aca="false">IF(F622=0,"NOT FOUND",INDEX('All Song Rankings'!$D:$D,F622))</f>
        <v>Logan</v>
      </c>
      <c r="J622" s="7" t="str">
        <f aca="false">IF(F622=0,"NOT FOUND",IF(C622=I622,"SELF-VOTE",IF(COUNTIF($K:$K,K622)&gt;1,"DUPLICATE","OK")))</f>
        <v>OK</v>
      </c>
      <c r="K622" s="6" t="str">
        <f aca="false">A622&amp;"|"&amp;B622&amp;"|"&amp;C622&amp;"|"&amp;D622</f>
        <v>2|1|Stephanie|spotify:track:6tK77Y61ZxGga7uCbMaEI1</v>
      </c>
    </row>
    <row r="623" customFormat="false" ht="15" hidden="false" customHeight="false" outlineLevel="0" collapsed="false">
      <c r="A623" s="5" t="n">
        <v>2</v>
      </c>
      <c r="B623" s="5" t="n">
        <v>2</v>
      </c>
      <c r="C623" s="5" t="s">
        <v>289</v>
      </c>
      <c r="D623" s="5" t="s">
        <v>436</v>
      </c>
      <c r="E623" s="5" t="n">
        <v>1</v>
      </c>
      <c r="F623" s="6" t="n">
        <f aca="false">IFERROR(MATCH(A623&amp;"|"&amp;B623&amp;"|"&amp;D623,'All Song Rankings'!$T:$T,0),0)</f>
        <v>108</v>
      </c>
      <c r="G623" s="6" t="str">
        <f aca="false">IF(F623=0,"NOT FOUND",INDEX('All Song Rankings'!$A:$A,F623))</f>
        <v>That's Christmas to Me</v>
      </c>
      <c r="H623" s="6" t="str">
        <f aca="false">IF(F623=0,"NOT FOUND",INDEX('All Song Rankings'!$B:$B,F623))</f>
        <v>Pentatonix</v>
      </c>
      <c r="I623" s="6" t="str">
        <f aca="false">IF(F623=0,"NOT FOUND",INDEX('All Song Rankings'!$D:$D,F623))</f>
        <v>Merita</v>
      </c>
      <c r="J623" s="7" t="str">
        <f aca="false">IF(F623=0,"NOT FOUND",IF(C623=I623,"SELF-VOTE",IF(COUNTIF($K:$K,K623)&gt;1,"DUPLICATE","OK")))</f>
        <v>OK</v>
      </c>
      <c r="K623" s="6" t="str">
        <f aca="false">A623&amp;"|"&amp;B623&amp;"|"&amp;C623&amp;"|"&amp;D623</f>
        <v>2|2|Anya|spotify:track:2U9kDk5mlHYunC7PvbZ8KX</v>
      </c>
    </row>
    <row r="624" customFormat="false" ht="15" hidden="false" customHeight="false" outlineLevel="0" collapsed="false">
      <c r="A624" s="5" t="n">
        <v>2</v>
      </c>
      <c r="B624" s="5" t="n">
        <v>2</v>
      </c>
      <c r="C624" s="5" t="s">
        <v>289</v>
      </c>
      <c r="D624" s="5" t="s">
        <v>447</v>
      </c>
      <c r="E624" s="5" t="n">
        <v>2</v>
      </c>
      <c r="F624" s="6" t="n">
        <f aca="false">IFERROR(MATCH(A624&amp;"|"&amp;B624&amp;"|"&amp;D624,'All Song Rankings'!$T:$T,0),0)</f>
        <v>112</v>
      </c>
      <c r="G624" s="6" t="str">
        <f aca="false">IF(F624=0,"NOT FOUND",INDEX('All Song Rankings'!$A:$A,F624))</f>
        <v>Better Days</v>
      </c>
      <c r="H624" s="6" t="str">
        <f aca="false">IF(F624=0,"NOT FOUND",INDEX('All Song Rankings'!$B:$B,F624))</f>
        <v>The Goo Goo Dolls</v>
      </c>
      <c r="I624" s="6" t="str">
        <f aca="false">IF(F624=0,"NOT FOUND",INDEX('All Song Rankings'!$D:$D,F624))</f>
        <v>Kristen</v>
      </c>
      <c r="J624" s="7" t="str">
        <f aca="false">IF(F624=0,"NOT FOUND",IF(C624=I624,"SELF-VOTE",IF(COUNTIF($K:$K,K624)&gt;1,"DUPLICATE","OK")))</f>
        <v>OK</v>
      </c>
      <c r="K624" s="6" t="str">
        <f aca="false">A624&amp;"|"&amp;B624&amp;"|"&amp;C624&amp;"|"&amp;D624</f>
        <v>2|2|Anya|spotify:track:2hiB8QxWic092OablwpoVC</v>
      </c>
    </row>
    <row r="625" customFormat="false" ht="15" hidden="false" customHeight="false" outlineLevel="0" collapsed="false">
      <c r="A625" s="5" t="n">
        <v>2</v>
      </c>
      <c r="B625" s="5" t="n">
        <v>2</v>
      </c>
      <c r="C625" s="5" t="s">
        <v>289</v>
      </c>
      <c r="D625" s="5" t="s">
        <v>412</v>
      </c>
      <c r="E625" s="5" t="n">
        <v>3</v>
      </c>
      <c r="F625" s="6" t="n">
        <f aca="false">IFERROR(MATCH(A625&amp;"|"&amp;B625&amp;"|"&amp;D625,'All Song Rankings'!$T:$T,0),0)</f>
        <v>101</v>
      </c>
      <c r="G625" s="6" t="str">
        <f aca="false">IF(F625=0,"NOT FOUND",INDEX('All Song Rankings'!$A:$A,F625))</f>
        <v>Christmas in Killarney</v>
      </c>
      <c r="H625" s="6" t="str">
        <f aca="false">IF(F625=0,"NOT FOUND",INDEX('All Song Rankings'!$B:$B,F625))</f>
        <v>The Irish Rovers</v>
      </c>
      <c r="I625" s="6" t="str">
        <f aca="false">IF(F625=0,"NOT FOUND",INDEX('All Song Rankings'!$D:$D,F625))</f>
        <v>Logan</v>
      </c>
      <c r="J625" s="7" t="str">
        <f aca="false">IF(F625=0,"NOT FOUND",IF(C625=I625,"SELF-VOTE",IF(COUNTIF($K:$K,K625)&gt;1,"DUPLICATE","OK")))</f>
        <v>OK</v>
      </c>
      <c r="K625" s="6" t="str">
        <f aca="false">A625&amp;"|"&amp;B625&amp;"|"&amp;C625&amp;"|"&amp;D625</f>
        <v>2|2|Anya|spotify:track:4XKj7iRK8QstOH4sG67YJf</v>
      </c>
    </row>
    <row r="626" customFormat="false" ht="15" hidden="false" customHeight="false" outlineLevel="0" collapsed="false">
      <c r="A626" s="5" t="n">
        <v>2</v>
      </c>
      <c r="B626" s="5" t="n">
        <v>2</v>
      </c>
      <c r="C626" s="5" t="s">
        <v>289</v>
      </c>
      <c r="D626" s="5" t="s">
        <v>416</v>
      </c>
      <c r="E626" s="5" t="n">
        <v>1</v>
      </c>
      <c r="F626" s="6" t="n">
        <f aca="false">IFERROR(MATCH(A626&amp;"|"&amp;B626&amp;"|"&amp;D626,'All Song Rankings'!$T:$T,0),0)</f>
        <v>102</v>
      </c>
      <c r="G626" s="6" t="str">
        <f aca="false">IF(F626=0,"NOT FOUND",INDEX('All Song Rankings'!$A:$A,F626))</f>
        <v>The 12 Days of Christmas</v>
      </c>
      <c r="H626" s="6" t="str">
        <f aca="false">IF(F626=0,"NOT FOUND",INDEX('All Song Rankings'!$B:$B,F626))</f>
        <v>Straight No Chaser</v>
      </c>
      <c r="I626" s="6" t="str">
        <f aca="false">IF(F626=0,"NOT FOUND",INDEX('All Song Rankings'!$D:$D,F626))</f>
        <v>Matt</v>
      </c>
      <c r="J626" s="7" t="str">
        <f aca="false">IF(F626=0,"NOT FOUND",IF(C626=I626,"SELF-VOTE",IF(COUNTIF($K:$K,K626)&gt;1,"DUPLICATE","OK")))</f>
        <v>OK</v>
      </c>
      <c r="K626" s="6" t="str">
        <f aca="false">A626&amp;"|"&amp;B626&amp;"|"&amp;C626&amp;"|"&amp;D626</f>
        <v>2|2|Anya|spotify:track:5f5wlkRHWhYxOdp1hOUsTb</v>
      </c>
    </row>
    <row r="627" customFormat="false" ht="15" hidden="false" customHeight="false" outlineLevel="0" collapsed="false">
      <c r="A627" s="5" t="n">
        <v>2</v>
      </c>
      <c r="B627" s="5" t="n">
        <v>2</v>
      </c>
      <c r="C627" s="5" t="s">
        <v>289</v>
      </c>
      <c r="D627" s="5" t="s">
        <v>430</v>
      </c>
      <c r="E627" s="5" t="n">
        <v>2</v>
      </c>
      <c r="F627" s="6" t="n">
        <f aca="false">IFERROR(MATCH(A627&amp;"|"&amp;B627&amp;"|"&amp;D627,'All Song Rankings'!$T:$T,0),0)</f>
        <v>106</v>
      </c>
      <c r="G627" s="6" t="str">
        <f aca="false">IF(F627=0,"NOT FOUND",INDEX('All Song Rankings'!$A:$A,F627))</f>
        <v>Dominick the Donkey (The Italian Christmas Donkey)</v>
      </c>
      <c r="H627" s="6" t="str">
        <f aca="false">IF(F627=0,"NOT FOUND",INDEX('All Song Rankings'!$B:$B,F627))</f>
        <v>Lou Monte</v>
      </c>
      <c r="I627" s="6" t="str">
        <f aca="false">IF(F627=0,"NOT FOUND",INDEX('All Song Rankings'!$D:$D,F627))</f>
        <v>Shayne</v>
      </c>
      <c r="J627" s="7" t="str">
        <f aca="false">IF(F627=0,"NOT FOUND",IF(C627=I627,"SELF-VOTE",IF(COUNTIF($K:$K,K627)&gt;1,"DUPLICATE","OK")))</f>
        <v>OK</v>
      </c>
      <c r="K627" s="6" t="str">
        <f aca="false">A627&amp;"|"&amp;B627&amp;"|"&amp;C627&amp;"|"&amp;D627</f>
        <v>2|2|Anya|spotify:track:6W332S9Wbc6TOBlChnemKD</v>
      </c>
    </row>
    <row r="628" customFormat="false" ht="15" hidden="false" customHeight="false" outlineLevel="0" collapsed="false">
      <c r="A628" s="5" t="n">
        <v>2</v>
      </c>
      <c r="B628" s="5" t="n">
        <v>2</v>
      </c>
      <c r="C628" s="5" t="s">
        <v>289</v>
      </c>
      <c r="D628" s="5" t="s">
        <v>426</v>
      </c>
      <c r="E628" s="5" t="n">
        <v>1</v>
      </c>
      <c r="F628" s="6" t="n">
        <f aca="false">IFERROR(MATCH(A628&amp;"|"&amp;B628&amp;"|"&amp;D628,'All Song Rankings'!$T:$T,0),0)</f>
        <v>105</v>
      </c>
      <c r="G628" s="6" t="str">
        <f aca="false">IF(F628=0,"NOT FOUND",INDEX('All Song Rankings'!$A:$A,F628))</f>
        <v>Greatest Time Of Year</v>
      </c>
      <c r="H628" s="6" t="str">
        <f aca="false">IF(F628=0,"NOT FOUND",INDEX('All Song Rankings'!$B:$B,F628))</f>
        <v>Aly &amp; AJ</v>
      </c>
      <c r="I628" s="6" t="str">
        <f aca="false">IF(F628=0,"NOT FOUND",INDEX('All Song Rankings'!$D:$D,F628))</f>
        <v>Kelsey</v>
      </c>
      <c r="J628" s="7" t="str">
        <f aca="false">IF(F628=0,"NOT FOUND",IF(C628=I628,"SELF-VOTE",IF(COUNTIF($K:$K,K628)&gt;1,"DUPLICATE","OK")))</f>
        <v>OK</v>
      </c>
      <c r="K628" s="6" t="str">
        <f aca="false">A628&amp;"|"&amp;B628&amp;"|"&amp;C628&amp;"|"&amp;D628</f>
        <v>2|2|Anya|spotify:track:7yrqJUfnjteV1FLe9dXcVa</v>
      </c>
    </row>
    <row r="629" customFormat="false" ht="15" hidden="false" customHeight="false" outlineLevel="0" collapsed="false">
      <c r="A629" s="5" t="n">
        <v>2</v>
      </c>
      <c r="B629" s="5" t="n">
        <v>2</v>
      </c>
      <c r="C629" s="5" t="s">
        <v>375</v>
      </c>
      <c r="D629" s="5" t="s">
        <v>433</v>
      </c>
      <c r="E629" s="5" t="n">
        <v>2</v>
      </c>
      <c r="F629" s="6" t="n">
        <f aca="false">IFERROR(MATCH(A629&amp;"|"&amp;B629&amp;"|"&amp;D629,'All Song Rankings'!$T:$T,0),0)</f>
        <v>107</v>
      </c>
      <c r="G629" s="6" t="str">
        <f aca="false">IF(F629=0,"NOT FOUND",INDEX('All Song Rankings'!$A:$A,F629))</f>
        <v>Drummer Boy</v>
      </c>
      <c r="H629" s="6" t="str">
        <f aca="false">IF(F629=0,"NOT FOUND",INDEX('All Song Rankings'!$B:$B,F629))</f>
        <v>Justin Bieber</v>
      </c>
      <c r="I629" s="6" t="str">
        <f aca="false">IF(F629=0,"NOT FOUND",INDEX('All Song Rankings'!$D:$D,F629))</f>
        <v>Makenzie</v>
      </c>
      <c r="J629" s="7" t="str">
        <f aca="false">IF(F629=0,"NOT FOUND",IF(C629=I629,"SELF-VOTE",IF(COUNTIF($K:$K,K629)&gt;1,"DUPLICATE","OK")))</f>
        <v>OK</v>
      </c>
      <c r="K629" s="6" t="str">
        <f aca="false">A629&amp;"|"&amp;B629&amp;"|"&amp;C629&amp;"|"&amp;D629</f>
        <v>2|2|Aubrey|spotify:track:0Pd4lsvSDPkcNCxbcz0UeV</v>
      </c>
    </row>
    <row r="630" customFormat="false" ht="15" hidden="false" customHeight="false" outlineLevel="0" collapsed="false">
      <c r="A630" s="5" t="n">
        <v>2</v>
      </c>
      <c r="B630" s="5" t="n">
        <v>2</v>
      </c>
      <c r="C630" s="5" t="s">
        <v>375</v>
      </c>
      <c r="D630" s="5" t="s">
        <v>441</v>
      </c>
      <c r="E630" s="5" t="n">
        <v>2</v>
      </c>
      <c r="F630" s="6" t="n">
        <f aca="false">IFERROR(MATCH(A630&amp;"|"&amp;B630&amp;"|"&amp;D630,'All Song Rankings'!$T:$T,0),0)</f>
        <v>110</v>
      </c>
      <c r="G630" s="6" t="str">
        <f aca="false">IF(F630=0,"NOT FOUND",INDEX('All Song Rankings'!$A:$A,F630))</f>
        <v>Cold December Night</v>
      </c>
      <c r="H630" s="6" t="str">
        <f aca="false">IF(F630=0,"NOT FOUND",INDEX('All Song Rankings'!$B:$B,F630))</f>
        <v>Michael Bublé</v>
      </c>
      <c r="I630" s="6" t="str">
        <f aca="false">IF(F630=0,"NOT FOUND",INDEX('All Song Rankings'!$D:$D,F630))</f>
        <v>Stephanie</v>
      </c>
      <c r="J630" s="7" t="str">
        <f aca="false">IF(F630=0,"NOT FOUND",IF(C630=I630,"SELF-VOTE",IF(COUNTIF($K:$K,K630)&gt;1,"DUPLICATE","OK")))</f>
        <v>OK</v>
      </c>
      <c r="K630" s="6" t="str">
        <f aca="false">A630&amp;"|"&amp;B630&amp;"|"&amp;C630&amp;"|"&amp;D630</f>
        <v>2|2|Aubrey|spotify:track:0h2dcuCb1emDJa6UfghZWq</v>
      </c>
    </row>
    <row r="631" customFormat="false" ht="15" hidden="false" customHeight="false" outlineLevel="0" collapsed="false">
      <c r="A631" s="5" t="n">
        <v>2</v>
      </c>
      <c r="B631" s="5" t="n">
        <v>2</v>
      </c>
      <c r="C631" s="5" t="s">
        <v>375</v>
      </c>
      <c r="D631" s="5" t="s">
        <v>436</v>
      </c>
      <c r="E631" s="5" t="n">
        <v>3</v>
      </c>
      <c r="F631" s="6" t="n">
        <f aca="false">IFERROR(MATCH(A631&amp;"|"&amp;B631&amp;"|"&amp;D631,'All Song Rankings'!$T:$T,0),0)</f>
        <v>108</v>
      </c>
      <c r="G631" s="6" t="str">
        <f aca="false">IF(F631=0,"NOT FOUND",INDEX('All Song Rankings'!$A:$A,F631))</f>
        <v>That's Christmas to Me</v>
      </c>
      <c r="H631" s="6" t="str">
        <f aca="false">IF(F631=0,"NOT FOUND",INDEX('All Song Rankings'!$B:$B,F631))</f>
        <v>Pentatonix</v>
      </c>
      <c r="I631" s="6" t="str">
        <f aca="false">IF(F631=0,"NOT FOUND",INDEX('All Song Rankings'!$D:$D,F631))</f>
        <v>Merita</v>
      </c>
      <c r="J631" s="7" t="str">
        <f aca="false">IF(F631=0,"NOT FOUND",IF(C631=I631,"SELF-VOTE",IF(COUNTIF($K:$K,K631)&gt;1,"DUPLICATE","OK")))</f>
        <v>OK</v>
      </c>
      <c r="K631" s="6" t="str">
        <f aca="false">A631&amp;"|"&amp;B631&amp;"|"&amp;C631&amp;"|"&amp;D631</f>
        <v>2|2|Aubrey|spotify:track:2U9kDk5mlHYunC7PvbZ8KX</v>
      </c>
    </row>
    <row r="632" customFormat="false" ht="15" hidden="false" customHeight="false" outlineLevel="0" collapsed="false">
      <c r="A632" s="5" t="n">
        <v>2</v>
      </c>
      <c r="B632" s="5" t="n">
        <v>2</v>
      </c>
      <c r="C632" s="5" t="s">
        <v>375</v>
      </c>
      <c r="D632" s="5" t="s">
        <v>430</v>
      </c>
      <c r="E632" s="5" t="n">
        <v>1</v>
      </c>
      <c r="F632" s="6" t="n">
        <f aca="false">IFERROR(MATCH(A632&amp;"|"&amp;B632&amp;"|"&amp;D632,'All Song Rankings'!$T:$T,0),0)</f>
        <v>106</v>
      </c>
      <c r="G632" s="6" t="str">
        <f aca="false">IF(F632=0,"NOT FOUND",INDEX('All Song Rankings'!$A:$A,F632))</f>
        <v>Dominick the Donkey (The Italian Christmas Donkey)</v>
      </c>
      <c r="H632" s="6" t="str">
        <f aca="false">IF(F632=0,"NOT FOUND",INDEX('All Song Rankings'!$B:$B,F632))</f>
        <v>Lou Monte</v>
      </c>
      <c r="I632" s="6" t="str">
        <f aca="false">IF(F632=0,"NOT FOUND",INDEX('All Song Rankings'!$D:$D,F632))</f>
        <v>Shayne</v>
      </c>
      <c r="J632" s="7" t="str">
        <f aca="false">IF(F632=0,"NOT FOUND",IF(C632=I632,"SELF-VOTE",IF(COUNTIF($K:$K,K632)&gt;1,"DUPLICATE","OK")))</f>
        <v>OK</v>
      </c>
      <c r="K632" s="6" t="str">
        <f aca="false">A632&amp;"|"&amp;B632&amp;"|"&amp;C632&amp;"|"&amp;D632</f>
        <v>2|2|Aubrey|spotify:track:6W332S9Wbc6TOBlChnemKD</v>
      </c>
    </row>
    <row r="633" customFormat="false" ht="15" hidden="false" customHeight="false" outlineLevel="0" collapsed="false">
      <c r="A633" s="5" t="n">
        <v>2</v>
      </c>
      <c r="B633" s="5" t="n">
        <v>2</v>
      </c>
      <c r="C633" s="5" t="s">
        <v>375</v>
      </c>
      <c r="D633" s="5" t="s">
        <v>450</v>
      </c>
      <c r="E633" s="5" t="n">
        <v>2</v>
      </c>
      <c r="F633" s="6" t="n">
        <f aca="false">IFERROR(MATCH(A633&amp;"|"&amp;B633&amp;"|"&amp;D633,'All Song Rankings'!$T:$T,0),0)</f>
        <v>113</v>
      </c>
      <c r="G633" s="6" t="str">
        <f aca="false">IF(F633=0,"NOT FOUND",INDEX('All Song Rankings'!$A:$A,F633))</f>
        <v>God Rest Ye Merry Gentlemen / We Three Kings</v>
      </c>
      <c r="H633" s="6" t="str">
        <f aca="false">IF(F633=0,"NOT FOUND",INDEX('All Song Rankings'!$B:$B,F633))</f>
        <v>Barenaked Ladies</v>
      </c>
      <c r="I633" s="6" t="str">
        <f aca="false">IF(F633=0,"NOT FOUND",INDEX('All Song Rankings'!$D:$D,F633))</f>
        <v>Grace</v>
      </c>
      <c r="J633" s="7" t="str">
        <f aca="false">IF(F633=0,"NOT FOUND",IF(C633=I633,"SELF-VOTE",IF(COUNTIF($K:$K,K633)&gt;1,"DUPLICATE","OK")))</f>
        <v>OK</v>
      </c>
      <c r="K633" s="6" t="str">
        <f aca="false">A633&amp;"|"&amp;B633&amp;"|"&amp;C633&amp;"|"&amp;D633</f>
        <v>2|2|Aubrey|spotify:track:6eou298JmAGYShrwYuLxJ2</v>
      </c>
    </row>
    <row r="634" customFormat="false" ht="15" hidden="false" customHeight="false" outlineLevel="0" collapsed="false">
      <c r="A634" s="5" t="n">
        <v>2</v>
      </c>
      <c r="B634" s="5" t="n">
        <v>2</v>
      </c>
      <c r="C634" s="5" t="s">
        <v>382</v>
      </c>
      <c r="D634" s="5" t="s">
        <v>441</v>
      </c>
      <c r="E634" s="5" t="n">
        <v>1</v>
      </c>
      <c r="F634" s="6" t="n">
        <f aca="false">IFERROR(MATCH(A634&amp;"|"&amp;B634&amp;"|"&amp;D634,'All Song Rankings'!$T:$T,0),0)</f>
        <v>110</v>
      </c>
      <c r="G634" s="6" t="str">
        <f aca="false">IF(F634=0,"NOT FOUND",INDEX('All Song Rankings'!$A:$A,F634))</f>
        <v>Cold December Night</v>
      </c>
      <c r="H634" s="6" t="str">
        <f aca="false">IF(F634=0,"NOT FOUND",INDEX('All Song Rankings'!$B:$B,F634))</f>
        <v>Michael Bublé</v>
      </c>
      <c r="I634" s="6" t="str">
        <f aca="false">IF(F634=0,"NOT FOUND",INDEX('All Song Rankings'!$D:$D,F634))</f>
        <v>Stephanie</v>
      </c>
      <c r="J634" s="7" t="str">
        <f aca="false">IF(F634=0,"NOT FOUND",IF(C634=I634,"SELF-VOTE",IF(COUNTIF($K:$K,K634)&gt;1,"DUPLICATE","OK")))</f>
        <v>OK</v>
      </c>
      <c r="K634" s="6" t="str">
        <f aca="false">A634&amp;"|"&amp;B634&amp;"|"&amp;C634&amp;"|"&amp;D634</f>
        <v>2|2|Grace|spotify:track:0h2dcuCb1emDJa6UfghZWq</v>
      </c>
    </row>
    <row r="635" customFormat="false" ht="15" hidden="false" customHeight="false" outlineLevel="0" collapsed="false">
      <c r="A635" s="5" t="n">
        <v>2</v>
      </c>
      <c r="B635" s="5" t="n">
        <v>2</v>
      </c>
      <c r="C635" s="5" t="s">
        <v>382</v>
      </c>
      <c r="D635" s="5" t="s">
        <v>419</v>
      </c>
      <c r="E635" s="5" t="n">
        <v>1</v>
      </c>
      <c r="F635" s="6" t="n">
        <f aca="false">IFERROR(MATCH(A635&amp;"|"&amp;B635&amp;"|"&amp;D635,'All Song Rankings'!$T:$T,0),0)</f>
        <v>103</v>
      </c>
      <c r="G635" s="6" t="str">
        <f aca="false">IF(F635=0,"NOT FOUND",INDEX('All Song Rankings'!$A:$A,F635))</f>
        <v>Maybe Just Go Outside(baby it's cold outside)</v>
      </c>
      <c r="H635" s="6" t="str">
        <f aca="false">IF(F635=0,"NOT FOUND",INDEX('All Song Rankings'!$B:$B,F635))</f>
        <v>Your Dead</v>
      </c>
      <c r="I635" s="6" t="str">
        <f aca="false">IF(F635=0,"NOT FOUND",INDEX('All Song Rankings'!$D:$D,F635))</f>
        <v>Maryann</v>
      </c>
      <c r="J635" s="7" t="str">
        <f aca="false">IF(F635=0,"NOT FOUND",IF(C635=I635,"SELF-VOTE",IF(COUNTIF($K:$K,K635)&gt;1,"DUPLICATE","OK")))</f>
        <v>OK</v>
      </c>
      <c r="K635" s="6" t="str">
        <f aca="false">A635&amp;"|"&amp;B635&amp;"|"&amp;C635&amp;"|"&amp;D635</f>
        <v>2|2|Grace|spotify:track:0onPWnKnRdmOnEQm4ZUTKG</v>
      </c>
    </row>
    <row r="636" customFormat="false" ht="15" hidden="false" customHeight="false" outlineLevel="0" collapsed="false">
      <c r="A636" s="5" t="n">
        <v>2</v>
      </c>
      <c r="B636" s="5" t="n">
        <v>2</v>
      </c>
      <c r="C636" s="5" t="s">
        <v>382</v>
      </c>
      <c r="D636" s="5" t="s">
        <v>423</v>
      </c>
      <c r="E636" s="5" t="n">
        <v>1</v>
      </c>
      <c r="F636" s="6" t="n">
        <f aca="false">IFERROR(MATCH(A636&amp;"|"&amp;B636&amp;"|"&amp;D636,'All Song Rankings'!$T:$T,0),0)</f>
        <v>104</v>
      </c>
      <c r="G636" s="6" t="str">
        <f aca="false">IF(F636=0,"NOT FOUND",INDEX('All Song Rankings'!$A:$A,F636))</f>
        <v>Warmer In The Winter</v>
      </c>
      <c r="H636" s="6" t="str">
        <f aca="false">IF(F636=0,"NOT FOUND",INDEX('All Song Rankings'!$B:$B,F636))</f>
        <v>Lindsey Stirling</v>
      </c>
      <c r="I636" s="6" t="str">
        <f aca="false">IF(F636=0,"NOT FOUND",INDEX('All Song Rankings'!$D:$D,F636))</f>
        <v>Leah</v>
      </c>
      <c r="J636" s="7" t="str">
        <f aca="false">IF(F636=0,"NOT FOUND",IF(C636=I636,"SELF-VOTE",IF(COUNTIF($K:$K,K636)&gt;1,"DUPLICATE","OK")))</f>
        <v>OK</v>
      </c>
      <c r="K636" s="6" t="str">
        <f aca="false">A636&amp;"|"&amp;B636&amp;"|"&amp;C636&amp;"|"&amp;D636</f>
        <v>2|2|Grace|spotify:track:1ssFg8Xr5A8O2U6JkKjZRz</v>
      </c>
    </row>
    <row r="637" customFormat="false" ht="15" hidden="false" customHeight="false" outlineLevel="0" collapsed="false">
      <c r="A637" s="5" t="n">
        <v>2</v>
      </c>
      <c r="B637" s="5" t="n">
        <v>2</v>
      </c>
      <c r="C637" s="5" t="s">
        <v>382</v>
      </c>
      <c r="D637" s="5" t="s">
        <v>412</v>
      </c>
      <c r="E637" s="5" t="n">
        <v>1</v>
      </c>
      <c r="F637" s="6" t="n">
        <f aca="false">IFERROR(MATCH(A637&amp;"|"&amp;B637&amp;"|"&amp;D637,'All Song Rankings'!$T:$T,0),0)</f>
        <v>101</v>
      </c>
      <c r="G637" s="6" t="str">
        <f aca="false">IF(F637=0,"NOT FOUND",INDEX('All Song Rankings'!$A:$A,F637))</f>
        <v>Christmas in Killarney</v>
      </c>
      <c r="H637" s="6" t="str">
        <f aca="false">IF(F637=0,"NOT FOUND",INDEX('All Song Rankings'!$B:$B,F637))</f>
        <v>The Irish Rovers</v>
      </c>
      <c r="I637" s="6" t="str">
        <f aca="false">IF(F637=0,"NOT FOUND",INDEX('All Song Rankings'!$D:$D,F637))</f>
        <v>Logan</v>
      </c>
      <c r="J637" s="7" t="str">
        <f aca="false">IF(F637=0,"NOT FOUND",IF(C637=I637,"SELF-VOTE",IF(COUNTIF($K:$K,K637)&gt;1,"DUPLICATE","OK")))</f>
        <v>OK</v>
      </c>
      <c r="K637" s="6" t="str">
        <f aca="false">A637&amp;"|"&amp;B637&amp;"|"&amp;C637&amp;"|"&amp;D637</f>
        <v>2|2|Grace|spotify:track:4XKj7iRK8QstOH4sG67YJf</v>
      </c>
    </row>
    <row r="638" customFormat="false" ht="15" hidden="false" customHeight="false" outlineLevel="0" collapsed="false">
      <c r="A638" s="5" t="n">
        <v>2</v>
      </c>
      <c r="B638" s="5" t="n">
        <v>2</v>
      </c>
      <c r="C638" s="5" t="s">
        <v>382</v>
      </c>
      <c r="D638" s="5" t="s">
        <v>416</v>
      </c>
      <c r="E638" s="5" t="n">
        <v>3</v>
      </c>
      <c r="F638" s="6" t="n">
        <f aca="false">IFERROR(MATCH(A638&amp;"|"&amp;B638&amp;"|"&amp;D638,'All Song Rankings'!$T:$T,0),0)</f>
        <v>102</v>
      </c>
      <c r="G638" s="6" t="str">
        <f aca="false">IF(F638=0,"NOT FOUND",INDEX('All Song Rankings'!$A:$A,F638))</f>
        <v>The 12 Days of Christmas</v>
      </c>
      <c r="H638" s="6" t="str">
        <f aca="false">IF(F638=0,"NOT FOUND",INDEX('All Song Rankings'!$B:$B,F638))</f>
        <v>Straight No Chaser</v>
      </c>
      <c r="I638" s="6" t="str">
        <f aca="false">IF(F638=0,"NOT FOUND",INDEX('All Song Rankings'!$D:$D,F638))</f>
        <v>Matt</v>
      </c>
      <c r="J638" s="7" t="str">
        <f aca="false">IF(F638=0,"NOT FOUND",IF(C638=I638,"SELF-VOTE",IF(COUNTIF($K:$K,K638)&gt;1,"DUPLICATE","OK")))</f>
        <v>OK</v>
      </c>
      <c r="K638" s="6" t="str">
        <f aca="false">A638&amp;"|"&amp;B638&amp;"|"&amp;C638&amp;"|"&amp;D638</f>
        <v>2|2|Grace|spotify:track:5f5wlkRHWhYxOdp1hOUsTb</v>
      </c>
    </row>
    <row r="639" customFormat="false" ht="15" hidden="false" customHeight="false" outlineLevel="0" collapsed="false">
      <c r="A639" s="5" t="n">
        <v>2</v>
      </c>
      <c r="B639" s="5" t="n">
        <v>2</v>
      </c>
      <c r="C639" s="5" t="s">
        <v>382</v>
      </c>
      <c r="D639" s="5" t="s">
        <v>430</v>
      </c>
      <c r="E639" s="5" t="n">
        <v>2</v>
      </c>
      <c r="F639" s="6" t="n">
        <f aca="false">IFERROR(MATCH(A639&amp;"|"&amp;B639&amp;"|"&amp;D639,'All Song Rankings'!$T:$T,0),0)</f>
        <v>106</v>
      </c>
      <c r="G639" s="6" t="str">
        <f aca="false">IF(F639=0,"NOT FOUND",INDEX('All Song Rankings'!$A:$A,F639))</f>
        <v>Dominick the Donkey (The Italian Christmas Donkey)</v>
      </c>
      <c r="H639" s="6" t="str">
        <f aca="false">IF(F639=0,"NOT FOUND",INDEX('All Song Rankings'!$B:$B,F639))</f>
        <v>Lou Monte</v>
      </c>
      <c r="I639" s="6" t="str">
        <f aca="false">IF(F639=0,"NOT FOUND",INDEX('All Song Rankings'!$D:$D,F639))</f>
        <v>Shayne</v>
      </c>
      <c r="J639" s="7" t="str">
        <f aca="false">IF(F639=0,"NOT FOUND",IF(C639=I639,"SELF-VOTE",IF(COUNTIF($K:$K,K639)&gt;1,"DUPLICATE","OK")))</f>
        <v>OK</v>
      </c>
      <c r="K639" s="6" t="str">
        <f aca="false">A639&amp;"|"&amp;B639&amp;"|"&amp;C639&amp;"|"&amp;D639</f>
        <v>2|2|Grace|spotify:track:6W332S9Wbc6TOBlChnemKD</v>
      </c>
    </row>
    <row r="640" customFormat="false" ht="15" hidden="false" customHeight="false" outlineLevel="0" collapsed="false">
      <c r="A640" s="5" t="n">
        <v>2</v>
      </c>
      <c r="B640" s="5" t="n">
        <v>2</v>
      </c>
      <c r="C640" s="5" t="s">
        <v>382</v>
      </c>
      <c r="D640" s="5" t="s">
        <v>438</v>
      </c>
      <c r="E640" s="5" t="n">
        <v>1</v>
      </c>
      <c r="F640" s="6" t="n">
        <f aca="false">IFERROR(MATCH(A640&amp;"|"&amp;B640&amp;"|"&amp;D640,'All Song Rankings'!$T:$T,0),0)</f>
        <v>109</v>
      </c>
      <c r="G640" s="6" t="str">
        <f aca="false">IF(F640=0,"NOT FOUND",INDEX('All Song Rankings'!$A:$A,F640))</f>
        <v>Mistletoe</v>
      </c>
      <c r="H640" s="6" t="str">
        <f aca="false">IF(F640=0,"NOT FOUND",INDEX('All Song Rankings'!$B:$B,F640))</f>
        <v>Justin Bieber</v>
      </c>
      <c r="I640" s="6" t="str">
        <f aca="false">IF(F640=0,"NOT FOUND",INDEX('All Song Rankings'!$D:$D,F640))</f>
        <v>Nicole</v>
      </c>
      <c r="J640" s="7" t="str">
        <f aca="false">IF(F640=0,"NOT FOUND",IF(C640=I640,"SELF-VOTE",IF(COUNTIF($K:$K,K640)&gt;1,"DUPLICATE","OK")))</f>
        <v>OK</v>
      </c>
      <c r="K640" s="6" t="str">
        <f aca="false">A640&amp;"|"&amp;B640&amp;"|"&amp;C640&amp;"|"&amp;D640</f>
        <v>2|2|Grace|spotify:track:7xapw9Oy21WpfEcib2ErSA</v>
      </c>
    </row>
    <row r="641" customFormat="false" ht="15" hidden="false" customHeight="false" outlineLevel="0" collapsed="false">
      <c r="A641" s="5" t="n">
        <v>2</v>
      </c>
      <c r="B641" s="5" t="n">
        <v>2</v>
      </c>
      <c r="C641" s="5" t="s">
        <v>85</v>
      </c>
      <c r="D641" s="5" t="s">
        <v>444</v>
      </c>
      <c r="E641" s="5" t="n">
        <v>1</v>
      </c>
      <c r="F641" s="6" t="n">
        <f aca="false">IFERROR(MATCH(A641&amp;"|"&amp;B641&amp;"|"&amp;D641,'All Song Rankings'!$T:$T,0),0)</f>
        <v>111</v>
      </c>
      <c r="G641" s="6" t="str">
        <f aca="false">IF(F641=0,"NOT FOUND",INDEX('All Song Rankings'!$A:$A,F641))</f>
        <v>Short Red Silk Lingerie</v>
      </c>
      <c r="H641" s="6" t="str">
        <f aca="false">IF(F641=0,"NOT FOUND",INDEX('All Song Rankings'!$B:$B,F641))</f>
        <v>Sabrina Claudio</v>
      </c>
      <c r="I641" s="6" t="str">
        <f aca="false">IF(F641=0,"NOT FOUND",INDEX('All Song Rankings'!$D:$D,F641))</f>
        <v>Anya</v>
      </c>
      <c r="J641" s="7" t="str">
        <f aca="false">IF(F641=0,"NOT FOUND",IF(C641=I641,"SELF-VOTE",IF(COUNTIF($K:$K,K641)&gt;1,"DUPLICATE","OK")))</f>
        <v>OK</v>
      </c>
      <c r="K641" s="6" t="str">
        <f aca="false">A641&amp;"|"&amp;B641&amp;"|"&amp;C641&amp;"|"&amp;D641</f>
        <v>2|2|Kelsey|spotify:track:0984kdcFfmBkZv8M9x4wcb</v>
      </c>
    </row>
    <row r="642" customFormat="false" ht="15" hidden="false" customHeight="false" outlineLevel="0" collapsed="false">
      <c r="A642" s="5" t="n">
        <v>2</v>
      </c>
      <c r="B642" s="5" t="n">
        <v>2</v>
      </c>
      <c r="C642" s="5" t="s">
        <v>85</v>
      </c>
      <c r="D642" s="5" t="s">
        <v>433</v>
      </c>
      <c r="E642" s="5" t="n">
        <v>2</v>
      </c>
      <c r="F642" s="6" t="n">
        <f aca="false">IFERROR(MATCH(A642&amp;"|"&amp;B642&amp;"|"&amp;D642,'All Song Rankings'!$T:$T,0),0)</f>
        <v>107</v>
      </c>
      <c r="G642" s="6" t="str">
        <f aca="false">IF(F642=0,"NOT FOUND",INDEX('All Song Rankings'!$A:$A,F642))</f>
        <v>Drummer Boy</v>
      </c>
      <c r="H642" s="6" t="str">
        <f aca="false">IF(F642=0,"NOT FOUND",INDEX('All Song Rankings'!$B:$B,F642))</f>
        <v>Justin Bieber</v>
      </c>
      <c r="I642" s="6" t="str">
        <f aca="false">IF(F642=0,"NOT FOUND",INDEX('All Song Rankings'!$D:$D,F642))</f>
        <v>Makenzie</v>
      </c>
      <c r="J642" s="7" t="str">
        <f aca="false">IF(F642=0,"NOT FOUND",IF(C642=I642,"SELF-VOTE",IF(COUNTIF($K:$K,K642)&gt;1,"DUPLICATE","OK")))</f>
        <v>OK</v>
      </c>
      <c r="K642" s="6" t="str">
        <f aca="false">A642&amp;"|"&amp;B642&amp;"|"&amp;C642&amp;"|"&amp;D642</f>
        <v>2|2|Kelsey|spotify:track:0Pd4lsvSDPkcNCxbcz0UeV</v>
      </c>
    </row>
    <row r="643" customFormat="false" ht="15" hidden="false" customHeight="false" outlineLevel="0" collapsed="false">
      <c r="A643" s="5" t="n">
        <v>2</v>
      </c>
      <c r="B643" s="5" t="n">
        <v>2</v>
      </c>
      <c r="C643" s="5" t="s">
        <v>85</v>
      </c>
      <c r="D643" s="5" t="s">
        <v>441</v>
      </c>
      <c r="E643" s="5" t="n">
        <v>2</v>
      </c>
      <c r="F643" s="6" t="n">
        <f aca="false">IFERROR(MATCH(A643&amp;"|"&amp;B643&amp;"|"&amp;D643,'All Song Rankings'!$T:$T,0),0)</f>
        <v>110</v>
      </c>
      <c r="G643" s="6" t="str">
        <f aca="false">IF(F643=0,"NOT FOUND",INDEX('All Song Rankings'!$A:$A,F643))</f>
        <v>Cold December Night</v>
      </c>
      <c r="H643" s="6" t="str">
        <f aca="false">IF(F643=0,"NOT FOUND",INDEX('All Song Rankings'!$B:$B,F643))</f>
        <v>Michael Bublé</v>
      </c>
      <c r="I643" s="6" t="str">
        <f aca="false">IF(F643=0,"NOT FOUND",INDEX('All Song Rankings'!$D:$D,F643))</f>
        <v>Stephanie</v>
      </c>
      <c r="J643" s="7" t="str">
        <f aca="false">IF(F643=0,"NOT FOUND",IF(C643=I643,"SELF-VOTE",IF(COUNTIF($K:$K,K643)&gt;1,"DUPLICATE","OK")))</f>
        <v>OK</v>
      </c>
      <c r="K643" s="6" t="str">
        <f aca="false">A643&amp;"|"&amp;B643&amp;"|"&amp;C643&amp;"|"&amp;D643</f>
        <v>2|2|Kelsey|spotify:track:0h2dcuCb1emDJa6UfghZWq</v>
      </c>
    </row>
    <row r="644" customFormat="false" ht="15" hidden="false" customHeight="false" outlineLevel="0" collapsed="false">
      <c r="A644" s="5" t="n">
        <v>2</v>
      </c>
      <c r="B644" s="5" t="n">
        <v>2</v>
      </c>
      <c r="C644" s="5" t="s">
        <v>85</v>
      </c>
      <c r="D644" s="5" t="s">
        <v>419</v>
      </c>
      <c r="E644" s="5" t="n">
        <v>1</v>
      </c>
      <c r="F644" s="6" t="n">
        <f aca="false">IFERROR(MATCH(A644&amp;"|"&amp;B644&amp;"|"&amp;D644,'All Song Rankings'!$T:$T,0),0)</f>
        <v>103</v>
      </c>
      <c r="G644" s="6" t="str">
        <f aca="false">IF(F644=0,"NOT FOUND",INDEX('All Song Rankings'!$A:$A,F644))</f>
        <v>Maybe Just Go Outside(baby it's cold outside)</v>
      </c>
      <c r="H644" s="6" t="str">
        <f aca="false">IF(F644=0,"NOT FOUND",INDEX('All Song Rankings'!$B:$B,F644))</f>
        <v>Your Dead</v>
      </c>
      <c r="I644" s="6" t="str">
        <f aca="false">IF(F644=0,"NOT FOUND",INDEX('All Song Rankings'!$D:$D,F644))</f>
        <v>Maryann</v>
      </c>
      <c r="J644" s="7" t="str">
        <f aca="false">IF(F644=0,"NOT FOUND",IF(C644=I644,"SELF-VOTE",IF(COUNTIF($K:$K,K644)&gt;1,"DUPLICATE","OK")))</f>
        <v>OK</v>
      </c>
      <c r="K644" s="6" t="str">
        <f aca="false">A644&amp;"|"&amp;B644&amp;"|"&amp;C644&amp;"|"&amp;D644</f>
        <v>2|2|Kelsey|spotify:track:0onPWnKnRdmOnEQm4ZUTKG</v>
      </c>
    </row>
    <row r="645" customFormat="false" ht="15" hidden="false" customHeight="false" outlineLevel="0" collapsed="false">
      <c r="A645" s="5" t="n">
        <v>2</v>
      </c>
      <c r="B645" s="5" t="n">
        <v>2</v>
      </c>
      <c r="C645" s="5" t="s">
        <v>85</v>
      </c>
      <c r="D645" s="5" t="s">
        <v>423</v>
      </c>
      <c r="E645" s="5" t="n">
        <v>1</v>
      </c>
      <c r="F645" s="6" t="n">
        <f aca="false">IFERROR(MATCH(A645&amp;"|"&amp;B645&amp;"|"&amp;D645,'All Song Rankings'!$T:$T,0),0)</f>
        <v>104</v>
      </c>
      <c r="G645" s="6" t="str">
        <f aca="false">IF(F645=0,"NOT FOUND",INDEX('All Song Rankings'!$A:$A,F645))</f>
        <v>Warmer In The Winter</v>
      </c>
      <c r="H645" s="6" t="str">
        <f aca="false">IF(F645=0,"NOT FOUND",INDEX('All Song Rankings'!$B:$B,F645))</f>
        <v>Lindsey Stirling</v>
      </c>
      <c r="I645" s="6" t="str">
        <f aca="false">IF(F645=0,"NOT FOUND",INDEX('All Song Rankings'!$D:$D,F645))</f>
        <v>Leah</v>
      </c>
      <c r="J645" s="7" t="str">
        <f aca="false">IF(F645=0,"NOT FOUND",IF(C645=I645,"SELF-VOTE",IF(COUNTIF($K:$K,K645)&gt;1,"DUPLICATE","OK")))</f>
        <v>OK</v>
      </c>
      <c r="K645" s="6" t="str">
        <f aca="false">A645&amp;"|"&amp;B645&amp;"|"&amp;C645&amp;"|"&amp;D645</f>
        <v>2|2|Kelsey|spotify:track:1ssFg8Xr5A8O2U6JkKjZRz</v>
      </c>
    </row>
    <row r="646" customFormat="false" ht="15" hidden="false" customHeight="false" outlineLevel="0" collapsed="false">
      <c r="A646" s="5" t="n">
        <v>2</v>
      </c>
      <c r="B646" s="5" t="n">
        <v>2</v>
      </c>
      <c r="C646" s="5" t="s">
        <v>85</v>
      </c>
      <c r="D646" s="5" t="s">
        <v>412</v>
      </c>
      <c r="E646" s="5" t="n">
        <v>1</v>
      </c>
      <c r="F646" s="6" t="n">
        <f aca="false">IFERROR(MATCH(A646&amp;"|"&amp;B646&amp;"|"&amp;D646,'All Song Rankings'!$T:$T,0),0)</f>
        <v>101</v>
      </c>
      <c r="G646" s="6" t="str">
        <f aca="false">IF(F646=0,"NOT FOUND",INDEX('All Song Rankings'!$A:$A,F646))</f>
        <v>Christmas in Killarney</v>
      </c>
      <c r="H646" s="6" t="str">
        <f aca="false">IF(F646=0,"NOT FOUND",INDEX('All Song Rankings'!$B:$B,F646))</f>
        <v>The Irish Rovers</v>
      </c>
      <c r="I646" s="6" t="str">
        <f aca="false">IF(F646=0,"NOT FOUND",INDEX('All Song Rankings'!$D:$D,F646))</f>
        <v>Logan</v>
      </c>
      <c r="J646" s="7" t="str">
        <f aca="false">IF(F646=0,"NOT FOUND",IF(C646=I646,"SELF-VOTE",IF(COUNTIF($K:$K,K646)&gt;1,"DUPLICATE","OK")))</f>
        <v>OK</v>
      </c>
      <c r="K646" s="6" t="str">
        <f aca="false">A646&amp;"|"&amp;B646&amp;"|"&amp;C646&amp;"|"&amp;D646</f>
        <v>2|2|Kelsey|spotify:track:4XKj7iRK8QstOH4sG67YJf</v>
      </c>
    </row>
    <row r="647" customFormat="false" ht="15" hidden="false" customHeight="false" outlineLevel="0" collapsed="false">
      <c r="A647" s="5" t="n">
        <v>2</v>
      </c>
      <c r="B647" s="5" t="n">
        <v>2</v>
      </c>
      <c r="C647" s="5" t="s">
        <v>85</v>
      </c>
      <c r="D647" s="5" t="s">
        <v>416</v>
      </c>
      <c r="E647" s="5" t="n">
        <v>1</v>
      </c>
      <c r="F647" s="6" t="n">
        <f aca="false">IFERROR(MATCH(A647&amp;"|"&amp;B647&amp;"|"&amp;D647,'All Song Rankings'!$T:$T,0),0)</f>
        <v>102</v>
      </c>
      <c r="G647" s="6" t="str">
        <f aca="false">IF(F647=0,"NOT FOUND",INDEX('All Song Rankings'!$A:$A,F647))</f>
        <v>The 12 Days of Christmas</v>
      </c>
      <c r="H647" s="6" t="str">
        <f aca="false">IF(F647=0,"NOT FOUND",INDEX('All Song Rankings'!$B:$B,F647))</f>
        <v>Straight No Chaser</v>
      </c>
      <c r="I647" s="6" t="str">
        <f aca="false">IF(F647=0,"NOT FOUND",INDEX('All Song Rankings'!$D:$D,F647))</f>
        <v>Matt</v>
      </c>
      <c r="J647" s="7" t="str">
        <f aca="false">IF(F647=0,"NOT FOUND",IF(C647=I647,"SELF-VOTE",IF(COUNTIF($K:$K,K647)&gt;1,"DUPLICATE","OK")))</f>
        <v>OK</v>
      </c>
      <c r="K647" s="6" t="str">
        <f aca="false">A647&amp;"|"&amp;B647&amp;"|"&amp;C647&amp;"|"&amp;D647</f>
        <v>2|2|Kelsey|spotify:track:5f5wlkRHWhYxOdp1hOUsTb</v>
      </c>
    </row>
    <row r="648" customFormat="false" ht="15" hidden="false" customHeight="false" outlineLevel="0" collapsed="false">
      <c r="A648" s="5" t="n">
        <v>2</v>
      </c>
      <c r="B648" s="5" t="n">
        <v>2</v>
      </c>
      <c r="C648" s="5" t="s">
        <v>85</v>
      </c>
      <c r="D648" s="5" t="s">
        <v>438</v>
      </c>
      <c r="E648" s="5" t="n">
        <v>1</v>
      </c>
      <c r="F648" s="6" t="n">
        <f aca="false">IFERROR(MATCH(A648&amp;"|"&amp;B648&amp;"|"&amp;D648,'All Song Rankings'!$T:$T,0),0)</f>
        <v>109</v>
      </c>
      <c r="G648" s="6" t="str">
        <f aca="false">IF(F648=0,"NOT FOUND",INDEX('All Song Rankings'!$A:$A,F648))</f>
        <v>Mistletoe</v>
      </c>
      <c r="H648" s="6" t="str">
        <f aca="false">IF(F648=0,"NOT FOUND",INDEX('All Song Rankings'!$B:$B,F648))</f>
        <v>Justin Bieber</v>
      </c>
      <c r="I648" s="6" t="str">
        <f aca="false">IF(F648=0,"NOT FOUND",INDEX('All Song Rankings'!$D:$D,F648))</f>
        <v>Nicole</v>
      </c>
      <c r="J648" s="7" t="str">
        <f aca="false">IF(F648=0,"NOT FOUND",IF(C648=I648,"SELF-VOTE",IF(COUNTIF($K:$K,K648)&gt;1,"DUPLICATE","OK")))</f>
        <v>OK</v>
      </c>
      <c r="K648" s="6" t="str">
        <f aca="false">A648&amp;"|"&amp;B648&amp;"|"&amp;C648&amp;"|"&amp;D648</f>
        <v>2|2|Kelsey|spotify:track:7xapw9Oy21WpfEcib2ErSA</v>
      </c>
    </row>
    <row r="649" customFormat="false" ht="15" hidden="false" customHeight="false" outlineLevel="0" collapsed="false">
      <c r="A649" s="5" t="n">
        <v>2</v>
      </c>
      <c r="B649" s="5" t="n">
        <v>2</v>
      </c>
      <c r="C649" s="5" t="s">
        <v>106</v>
      </c>
      <c r="D649" s="5" t="s">
        <v>433</v>
      </c>
      <c r="E649" s="5" t="n">
        <v>2</v>
      </c>
      <c r="F649" s="6" t="n">
        <f aca="false">IFERROR(MATCH(A649&amp;"|"&amp;B649&amp;"|"&amp;D649,'All Song Rankings'!$T:$T,0),0)</f>
        <v>107</v>
      </c>
      <c r="G649" s="6" t="str">
        <f aca="false">IF(F649=0,"NOT FOUND",INDEX('All Song Rankings'!$A:$A,F649))</f>
        <v>Drummer Boy</v>
      </c>
      <c r="H649" s="6" t="str">
        <f aca="false">IF(F649=0,"NOT FOUND",INDEX('All Song Rankings'!$B:$B,F649))</f>
        <v>Justin Bieber</v>
      </c>
      <c r="I649" s="6" t="str">
        <f aca="false">IF(F649=0,"NOT FOUND",INDEX('All Song Rankings'!$D:$D,F649))</f>
        <v>Makenzie</v>
      </c>
      <c r="J649" s="7" t="str">
        <f aca="false">IF(F649=0,"NOT FOUND",IF(C649=I649,"SELF-VOTE",IF(COUNTIF($K:$K,K649)&gt;1,"DUPLICATE","OK")))</f>
        <v>OK</v>
      </c>
      <c r="K649" s="6" t="str">
        <f aca="false">A649&amp;"|"&amp;B649&amp;"|"&amp;C649&amp;"|"&amp;D649</f>
        <v>2|2|Kristen|spotify:track:0Pd4lsvSDPkcNCxbcz0UeV</v>
      </c>
    </row>
    <row r="650" customFormat="false" ht="15" hidden="false" customHeight="false" outlineLevel="0" collapsed="false">
      <c r="A650" s="5" t="n">
        <v>2</v>
      </c>
      <c r="B650" s="5" t="n">
        <v>2</v>
      </c>
      <c r="C650" s="5" t="s">
        <v>106</v>
      </c>
      <c r="D650" s="5" t="s">
        <v>441</v>
      </c>
      <c r="E650" s="5" t="n">
        <v>1</v>
      </c>
      <c r="F650" s="6" t="n">
        <f aca="false">IFERROR(MATCH(A650&amp;"|"&amp;B650&amp;"|"&amp;D650,'All Song Rankings'!$T:$T,0),0)</f>
        <v>110</v>
      </c>
      <c r="G650" s="6" t="str">
        <f aca="false">IF(F650=0,"NOT FOUND",INDEX('All Song Rankings'!$A:$A,F650))</f>
        <v>Cold December Night</v>
      </c>
      <c r="H650" s="6" t="str">
        <f aca="false">IF(F650=0,"NOT FOUND",INDEX('All Song Rankings'!$B:$B,F650))</f>
        <v>Michael Bublé</v>
      </c>
      <c r="I650" s="6" t="str">
        <f aca="false">IF(F650=0,"NOT FOUND",INDEX('All Song Rankings'!$D:$D,F650))</f>
        <v>Stephanie</v>
      </c>
      <c r="J650" s="7" t="str">
        <f aca="false">IF(F650=0,"NOT FOUND",IF(C650=I650,"SELF-VOTE",IF(COUNTIF($K:$K,K650)&gt;1,"DUPLICATE","OK")))</f>
        <v>OK</v>
      </c>
      <c r="K650" s="6" t="str">
        <f aca="false">A650&amp;"|"&amp;B650&amp;"|"&amp;C650&amp;"|"&amp;D650</f>
        <v>2|2|Kristen|spotify:track:0h2dcuCb1emDJa6UfghZWq</v>
      </c>
    </row>
    <row r="651" customFormat="false" ht="15" hidden="false" customHeight="false" outlineLevel="0" collapsed="false">
      <c r="A651" s="5" t="n">
        <v>2</v>
      </c>
      <c r="B651" s="5" t="n">
        <v>2</v>
      </c>
      <c r="C651" s="5" t="s">
        <v>106</v>
      </c>
      <c r="D651" s="5" t="s">
        <v>419</v>
      </c>
      <c r="E651" s="5" t="n">
        <v>3</v>
      </c>
      <c r="F651" s="6" t="n">
        <f aca="false">IFERROR(MATCH(A651&amp;"|"&amp;B651&amp;"|"&amp;D651,'All Song Rankings'!$T:$T,0),0)</f>
        <v>103</v>
      </c>
      <c r="G651" s="6" t="str">
        <f aca="false">IF(F651=0,"NOT FOUND",INDEX('All Song Rankings'!$A:$A,F651))</f>
        <v>Maybe Just Go Outside(baby it's cold outside)</v>
      </c>
      <c r="H651" s="6" t="str">
        <f aca="false">IF(F651=0,"NOT FOUND",INDEX('All Song Rankings'!$B:$B,F651))</f>
        <v>Your Dead</v>
      </c>
      <c r="I651" s="6" t="str">
        <f aca="false">IF(F651=0,"NOT FOUND",INDEX('All Song Rankings'!$D:$D,F651))</f>
        <v>Maryann</v>
      </c>
      <c r="J651" s="7" t="str">
        <f aca="false">IF(F651=0,"NOT FOUND",IF(C651=I651,"SELF-VOTE",IF(COUNTIF($K:$K,K651)&gt;1,"DUPLICATE","OK")))</f>
        <v>OK</v>
      </c>
      <c r="K651" s="6" t="str">
        <f aca="false">A651&amp;"|"&amp;B651&amp;"|"&amp;C651&amp;"|"&amp;D651</f>
        <v>2|2|Kristen|spotify:track:0onPWnKnRdmOnEQm4ZUTKG</v>
      </c>
    </row>
    <row r="652" customFormat="false" ht="15" hidden="false" customHeight="false" outlineLevel="0" collapsed="false">
      <c r="A652" s="5" t="n">
        <v>2</v>
      </c>
      <c r="B652" s="5" t="n">
        <v>2</v>
      </c>
      <c r="C652" s="5" t="s">
        <v>106</v>
      </c>
      <c r="D652" s="5" t="s">
        <v>423</v>
      </c>
      <c r="E652" s="5" t="n">
        <v>1</v>
      </c>
      <c r="F652" s="6" t="n">
        <f aca="false">IFERROR(MATCH(A652&amp;"|"&amp;B652&amp;"|"&amp;D652,'All Song Rankings'!$T:$T,0),0)</f>
        <v>104</v>
      </c>
      <c r="G652" s="6" t="str">
        <f aca="false">IF(F652=0,"NOT FOUND",INDEX('All Song Rankings'!$A:$A,F652))</f>
        <v>Warmer In The Winter</v>
      </c>
      <c r="H652" s="6" t="str">
        <f aca="false">IF(F652=0,"NOT FOUND",INDEX('All Song Rankings'!$B:$B,F652))</f>
        <v>Lindsey Stirling</v>
      </c>
      <c r="I652" s="6" t="str">
        <f aca="false">IF(F652=0,"NOT FOUND",INDEX('All Song Rankings'!$D:$D,F652))</f>
        <v>Leah</v>
      </c>
      <c r="J652" s="7" t="str">
        <f aca="false">IF(F652=0,"NOT FOUND",IF(C652=I652,"SELF-VOTE",IF(COUNTIF($K:$K,K652)&gt;1,"DUPLICATE","OK")))</f>
        <v>OK</v>
      </c>
      <c r="K652" s="6" t="str">
        <f aca="false">A652&amp;"|"&amp;B652&amp;"|"&amp;C652&amp;"|"&amp;D652</f>
        <v>2|2|Kristen|spotify:track:1ssFg8Xr5A8O2U6JkKjZRz</v>
      </c>
    </row>
    <row r="653" customFormat="false" ht="15" hidden="false" customHeight="false" outlineLevel="0" collapsed="false">
      <c r="A653" s="5" t="n">
        <v>2</v>
      </c>
      <c r="B653" s="5" t="n">
        <v>2</v>
      </c>
      <c r="C653" s="5" t="s">
        <v>106</v>
      </c>
      <c r="D653" s="5" t="s">
        <v>453</v>
      </c>
      <c r="E653" s="5" t="n">
        <v>1</v>
      </c>
      <c r="F653" s="6" t="n">
        <f aca="false">IFERROR(MATCH(A653&amp;"|"&amp;B653&amp;"|"&amp;D653,'All Song Rankings'!$T:$T,0),0)</f>
        <v>114</v>
      </c>
      <c r="G653" s="6" t="str">
        <f aca="false">IF(F653=0,"NOT FOUND",INDEX('All Song Rankings'!$A:$A,F653))</f>
        <v>You Make It Feel Like Christmas</v>
      </c>
      <c r="H653" s="6" t="str">
        <f aca="false">IF(F653=0,"NOT FOUND",INDEX('All Song Rankings'!$B:$B,F653))</f>
        <v>Gwen Stefani</v>
      </c>
      <c r="I653" s="6" t="str">
        <f aca="false">IF(F653=0,"NOT FOUND",INDEX('All Song Rankings'!$D:$D,F653))</f>
        <v>Aubrey</v>
      </c>
      <c r="J653" s="7" t="str">
        <f aca="false">IF(F653=0,"NOT FOUND",IF(C653=I653,"SELF-VOTE",IF(COUNTIF($K:$K,K653)&gt;1,"DUPLICATE","OK")))</f>
        <v>OK</v>
      </c>
      <c r="K653" s="6" t="str">
        <f aca="false">A653&amp;"|"&amp;B653&amp;"|"&amp;C653&amp;"|"&amp;D653</f>
        <v>2|2|Kristen|spotify:track:2OQ6a4CfUeYskpTTgyawyJ</v>
      </c>
    </row>
    <row r="654" customFormat="false" ht="15" hidden="false" customHeight="false" outlineLevel="0" collapsed="false">
      <c r="A654" s="5" t="n">
        <v>2</v>
      </c>
      <c r="B654" s="5" t="n">
        <v>2</v>
      </c>
      <c r="C654" s="5" t="s">
        <v>106</v>
      </c>
      <c r="D654" s="5" t="s">
        <v>416</v>
      </c>
      <c r="E654" s="5" t="n">
        <v>1</v>
      </c>
      <c r="F654" s="6" t="n">
        <f aca="false">IFERROR(MATCH(A654&amp;"|"&amp;B654&amp;"|"&amp;D654,'All Song Rankings'!$T:$T,0),0)</f>
        <v>102</v>
      </c>
      <c r="G654" s="6" t="str">
        <f aca="false">IF(F654=0,"NOT FOUND",INDEX('All Song Rankings'!$A:$A,F654))</f>
        <v>The 12 Days of Christmas</v>
      </c>
      <c r="H654" s="6" t="str">
        <f aca="false">IF(F654=0,"NOT FOUND",INDEX('All Song Rankings'!$B:$B,F654))</f>
        <v>Straight No Chaser</v>
      </c>
      <c r="I654" s="6" t="str">
        <f aca="false">IF(F654=0,"NOT FOUND",INDEX('All Song Rankings'!$D:$D,F654))</f>
        <v>Matt</v>
      </c>
      <c r="J654" s="7" t="str">
        <f aca="false">IF(F654=0,"NOT FOUND",IF(C654=I654,"SELF-VOTE",IF(COUNTIF($K:$K,K654)&gt;1,"DUPLICATE","OK")))</f>
        <v>OK</v>
      </c>
      <c r="K654" s="6" t="str">
        <f aca="false">A654&amp;"|"&amp;B654&amp;"|"&amp;C654&amp;"|"&amp;D654</f>
        <v>2|2|Kristen|spotify:track:5f5wlkRHWhYxOdp1hOUsTb</v>
      </c>
    </row>
    <row r="655" customFormat="false" ht="15" hidden="false" customHeight="false" outlineLevel="0" collapsed="false">
      <c r="A655" s="5" t="n">
        <v>2</v>
      </c>
      <c r="B655" s="5" t="n">
        <v>2</v>
      </c>
      <c r="C655" s="5" t="s">
        <v>106</v>
      </c>
      <c r="D655" s="5" t="s">
        <v>430</v>
      </c>
      <c r="E655" s="5" t="n">
        <v>1</v>
      </c>
      <c r="F655" s="6" t="n">
        <f aca="false">IFERROR(MATCH(A655&amp;"|"&amp;B655&amp;"|"&amp;D655,'All Song Rankings'!$T:$T,0),0)</f>
        <v>106</v>
      </c>
      <c r="G655" s="6" t="str">
        <f aca="false">IF(F655=0,"NOT FOUND",INDEX('All Song Rankings'!$A:$A,F655))</f>
        <v>Dominick the Donkey (The Italian Christmas Donkey)</v>
      </c>
      <c r="H655" s="6" t="str">
        <f aca="false">IF(F655=0,"NOT FOUND",INDEX('All Song Rankings'!$B:$B,F655))</f>
        <v>Lou Monte</v>
      </c>
      <c r="I655" s="6" t="str">
        <f aca="false">IF(F655=0,"NOT FOUND",INDEX('All Song Rankings'!$D:$D,F655))</f>
        <v>Shayne</v>
      </c>
      <c r="J655" s="7" t="str">
        <f aca="false">IF(F655=0,"NOT FOUND",IF(C655=I655,"SELF-VOTE",IF(COUNTIF($K:$K,K655)&gt;1,"DUPLICATE","OK")))</f>
        <v>OK</v>
      </c>
      <c r="K655" s="6" t="str">
        <f aca="false">A655&amp;"|"&amp;B655&amp;"|"&amp;C655&amp;"|"&amp;D655</f>
        <v>2|2|Kristen|spotify:track:6W332S9Wbc6TOBlChnemKD</v>
      </c>
    </row>
    <row r="656" customFormat="false" ht="15" hidden="false" customHeight="false" outlineLevel="0" collapsed="false">
      <c r="A656" s="5" t="n">
        <v>2</v>
      </c>
      <c r="B656" s="5" t="n">
        <v>2</v>
      </c>
      <c r="C656" s="5" t="s">
        <v>119</v>
      </c>
      <c r="D656" s="5" t="s">
        <v>433</v>
      </c>
      <c r="E656" s="5" t="n">
        <v>1</v>
      </c>
      <c r="F656" s="6" t="n">
        <f aca="false">IFERROR(MATCH(A656&amp;"|"&amp;B656&amp;"|"&amp;D656,'All Song Rankings'!$T:$T,0),0)</f>
        <v>107</v>
      </c>
      <c r="G656" s="6" t="str">
        <f aca="false">IF(F656=0,"NOT FOUND",INDEX('All Song Rankings'!$A:$A,F656))</f>
        <v>Drummer Boy</v>
      </c>
      <c r="H656" s="6" t="str">
        <f aca="false">IF(F656=0,"NOT FOUND",INDEX('All Song Rankings'!$B:$B,F656))</f>
        <v>Justin Bieber</v>
      </c>
      <c r="I656" s="6" t="str">
        <f aca="false">IF(F656=0,"NOT FOUND",INDEX('All Song Rankings'!$D:$D,F656))</f>
        <v>Makenzie</v>
      </c>
      <c r="J656" s="7" t="str">
        <f aca="false">IF(F656=0,"NOT FOUND",IF(C656=I656,"SELF-VOTE",IF(COUNTIF($K:$K,K656)&gt;1,"DUPLICATE","OK")))</f>
        <v>OK</v>
      </c>
      <c r="K656" s="6" t="str">
        <f aca="false">A656&amp;"|"&amp;B656&amp;"|"&amp;C656&amp;"|"&amp;D656</f>
        <v>2|2|Leah|spotify:track:0Pd4lsvSDPkcNCxbcz0UeV</v>
      </c>
    </row>
    <row r="657" customFormat="false" ht="15" hidden="false" customHeight="false" outlineLevel="0" collapsed="false">
      <c r="A657" s="5" t="n">
        <v>2</v>
      </c>
      <c r="B657" s="5" t="n">
        <v>2</v>
      </c>
      <c r="C657" s="5" t="s">
        <v>119</v>
      </c>
      <c r="D657" s="5" t="s">
        <v>419</v>
      </c>
      <c r="E657" s="5" t="n">
        <v>2</v>
      </c>
      <c r="F657" s="6" t="n">
        <f aca="false">IFERROR(MATCH(A657&amp;"|"&amp;B657&amp;"|"&amp;D657,'All Song Rankings'!$T:$T,0),0)</f>
        <v>103</v>
      </c>
      <c r="G657" s="6" t="str">
        <f aca="false">IF(F657=0,"NOT FOUND",INDEX('All Song Rankings'!$A:$A,F657))</f>
        <v>Maybe Just Go Outside(baby it's cold outside)</v>
      </c>
      <c r="H657" s="6" t="str">
        <f aca="false">IF(F657=0,"NOT FOUND",INDEX('All Song Rankings'!$B:$B,F657))</f>
        <v>Your Dead</v>
      </c>
      <c r="I657" s="6" t="str">
        <f aca="false">IF(F657=0,"NOT FOUND",INDEX('All Song Rankings'!$D:$D,F657))</f>
        <v>Maryann</v>
      </c>
      <c r="J657" s="7" t="str">
        <f aca="false">IF(F657=0,"NOT FOUND",IF(C657=I657,"SELF-VOTE",IF(COUNTIF($K:$K,K657)&gt;1,"DUPLICATE","OK")))</f>
        <v>OK</v>
      </c>
      <c r="K657" s="6" t="str">
        <f aca="false">A657&amp;"|"&amp;B657&amp;"|"&amp;C657&amp;"|"&amp;D657</f>
        <v>2|2|Leah|spotify:track:0onPWnKnRdmOnEQm4ZUTKG</v>
      </c>
    </row>
    <row r="658" customFormat="false" ht="15" hidden="false" customHeight="false" outlineLevel="0" collapsed="false">
      <c r="A658" s="5" t="n">
        <v>2</v>
      </c>
      <c r="B658" s="5" t="n">
        <v>2</v>
      </c>
      <c r="C658" s="5" t="s">
        <v>119</v>
      </c>
      <c r="D658" s="5" t="s">
        <v>436</v>
      </c>
      <c r="E658" s="5" t="n">
        <v>1</v>
      </c>
      <c r="F658" s="6" t="n">
        <f aca="false">IFERROR(MATCH(A658&amp;"|"&amp;B658&amp;"|"&amp;D658,'All Song Rankings'!$T:$T,0),0)</f>
        <v>108</v>
      </c>
      <c r="G658" s="6" t="str">
        <f aca="false">IF(F658=0,"NOT FOUND",INDEX('All Song Rankings'!$A:$A,F658))</f>
        <v>That's Christmas to Me</v>
      </c>
      <c r="H658" s="6" t="str">
        <f aca="false">IF(F658=0,"NOT FOUND",INDEX('All Song Rankings'!$B:$B,F658))</f>
        <v>Pentatonix</v>
      </c>
      <c r="I658" s="6" t="str">
        <f aca="false">IF(F658=0,"NOT FOUND",INDEX('All Song Rankings'!$D:$D,F658))</f>
        <v>Merita</v>
      </c>
      <c r="J658" s="7" t="str">
        <f aca="false">IF(F658=0,"NOT FOUND",IF(C658=I658,"SELF-VOTE",IF(COUNTIF($K:$K,K658)&gt;1,"DUPLICATE","OK")))</f>
        <v>OK</v>
      </c>
      <c r="K658" s="6" t="str">
        <f aca="false">A658&amp;"|"&amp;B658&amp;"|"&amp;C658&amp;"|"&amp;D658</f>
        <v>2|2|Leah|spotify:track:2U9kDk5mlHYunC7PvbZ8KX</v>
      </c>
    </row>
    <row r="659" customFormat="false" ht="15" hidden="false" customHeight="false" outlineLevel="0" collapsed="false">
      <c r="A659" s="5" t="n">
        <v>2</v>
      </c>
      <c r="B659" s="5" t="n">
        <v>2</v>
      </c>
      <c r="C659" s="5" t="s">
        <v>119</v>
      </c>
      <c r="D659" s="5" t="s">
        <v>447</v>
      </c>
      <c r="E659" s="5" t="n">
        <v>1</v>
      </c>
      <c r="F659" s="6" t="n">
        <f aca="false">IFERROR(MATCH(A659&amp;"|"&amp;B659&amp;"|"&amp;D659,'All Song Rankings'!$T:$T,0),0)</f>
        <v>112</v>
      </c>
      <c r="G659" s="6" t="str">
        <f aca="false">IF(F659=0,"NOT FOUND",INDEX('All Song Rankings'!$A:$A,F659))</f>
        <v>Better Days</v>
      </c>
      <c r="H659" s="6" t="str">
        <f aca="false">IF(F659=0,"NOT FOUND",INDEX('All Song Rankings'!$B:$B,F659))</f>
        <v>The Goo Goo Dolls</v>
      </c>
      <c r="I659" s="6" t="str">
        <f aca="false">IF(F659=0,"NOT FOUND",INDEX('All Song Rankings'!$D:$D,F659))</f>
        <v>Kristen</v>
      </c>
      <c r="J659" s="7" t="str">
        <f aca="false">IF(F659=0,"NOT FOUND",IF(C659=I659,"SELF-VOTE",IF(COUNTIF($K:$K,K659)&gt;1,"DUPLICATE","OK")))</f>
        <v>OK</v>
      </c>
      <c r="K659" s="6" t="str">
        <f aca="false">A659&amp;"|"&amp;B659&amp;"|"&amp;C659&amp;"|"&amp;D659</f>
        <v>2|2|Leah|spotify:track:2hiB8QxWic092OablwpoVC</v>
      </c>
    </row>
    <row r="660" customFormat="false" ht="15" hidden="false" customHeight="false" outlineLevel="0" collapsed="false">
      <c r="A660" s="5" t="n">
        <v>2</v>
      </c>
      <c r="B660" s="5" t="n">
        <v>2</v>
      </c>
      <c r="C660" s="5" t="s">
        <v>119</v>
      </c>
      <c r="D660" s="5" t="s">
        <v>412</v>
      </c>
      <c r="E660" s="5" t="n">
        <v>1</v>
      </c>
      <c r="F660" s="6" t="n">
        <f aca="false">IFERROR(MATCH(A660&amp;"|"&amp;B660&amp;"|"&amp;D660,'All Song Rankings'!$T:$T,0),0)</f>
        <v>101</v>
      </c>
      <c r="G660" s="6" t="str">
        <f aca="false">IF(F660=0,"NOT FOUND",INDEX('All Song Rankings'!$A:$A,F660))</f>
        <v>Christmas in Killarney</v>
      </c>
      <c r="H660" s="6" t="str">
        <f aca="false">IF(F660=0,"NOT FOUND",INDEX('All Song Rankings'!$B:$B,F660))</f>
        <v>The Irish Rovers</v>
      </c>
      <c r="I660" s="6" t="str">
        <f aca="false">IF(F660=0,"NOT FOUND",INDEX('All Song Rankings'!$D:$D,F660))</f>
        <v>Logan</v>
      </c>
      <c r="J660" s="7" t="str">
        <f aca="false">IF(F660=0,"NOT FOUND",IF(C660=I660,"SELF-VOTE",IF(COUNTIF($K:$K,K660)&gt;1,"DUPLICATE","OK")))</f>
        <v>OK</v>
      </c>
      <c r="K660" s="6" t="str">
        <f aca="false">A660&amp;"|"&amp;B660&amp;"|"&amp;C660&amp;"|"&amp;D660</f>
        <v>2|2|Leah|spotify:track:4XKj7iRK8QstOH4sG67YJf</v>
      </c>
    </row>
    <row r="661" customFormat="false" ht="15" hidden="false" customHeight="false" outlineLevel="0" collapsed="false">
      <c r="A661" s="5" t="n">
        <v>2</v>
      </c>
      <c r="B661" s="5" t="n">
        <v>2</v>
      </c>
      <c r="C661" s="5" t="s">
        <v>119</v>
      </c>
      <c r="D661" s="5" t="s">
        <v>416</v>
      </c>
      <c r="E661" s="5" t="n">
        <v>1</v>
      </c>
      <c r="F661" s="6" t="n">
        <f aca="false">IFERROR(MATCH(A661&amp;"|"&amp;B661&amp;"|"&amp;D661,'All Song Rankings'!$T:$T,0),0)</f>
        <v>102</v>
      </c>
      <c r="G661" s="6" t="str">
        <f aca="false">IF(F661=0,"NOT FOUND",INDEX('All Song Rankings'!$A:$A,F661))</f>
        <v>The 12 Days of Christmas</v>
      </c>
      <c r="H661" s="6" t="str">
        <f aca="false">IF(F661=0,"NOT FOUND",INDEX('All Song Rankings'!$B:$B,F661))</f>
        <v>Straight No Chaser</v>
      </c>
      <c r="I661" s="6" t="str">
        <f aca="false">IF(F661=0,"NOT FOUND",INDEX('All Song Rankings'!$D:$D,F661))</f>
        <v>Matt</v>
      </c>
      <c r="J661" s="7" t="str">
        <f aca="false">IF(F661=0,"NOT FOUND",IF(C661=I661,"SELF-VOTE",IF(COUNTIF($K:$K,K661)&gt;1,"DUPLICATE","OK")))</f>
        <v>OK</v>
      </c>
      <c r="K661" s="6" t="str">
        <f aca="false">A661&amp;"|"&amp;B661&amp;"|"&amp;C661&amp;"|"&amp;D661</f>
        <v>2|2|Leah|spotify:track:5f5wlkRHWhYxOdp1hOUsTb</v>
      </c>
    </row>
    <row r="662" customFormat="false" ht="15" hidden="false" customHeight="false" outlineLevel="0" collapsed="false">
      <c r="A662" s="5" t="n">
        <v>2</v>
      </c>
      <c r="B662" s="5" t="n">
        <v>2</v>
      </c>
      <c r="C662" s="5" t="s">
        <v>119</v>
      </c>
      <c r="D662" s="5" t="s">
        <v>430</v>
      </c>
      <c r="E662" s="5" t="n">
        <v>1</v>
      </c>
      <c r="F662" s="6" t="n">
        <f aca="false">IFERROR(MATCH(A662&amp;"|"&amp;B662&amp;"|"&amp;D662,'All Song Rankings'!$T:$T,0),0)</f>
        <v>106</v>
      </c>
      <c r="G662" s="6" t="str">
        <f aca="false">IF(F662=0,"NOT FOUND",INDEX('All Song Rankings'!$A:$A,F662))</f>
        <v>Dominick the Donkey (The Italian Christmas Donkey)</v>
      </c>
      <c r="H662" s="6" t="str">
        <f aca="false">IF(F662=0,"NOT FOUND",INDEX('All Song Rankings'!$B:$B,F662))</f>
        <v>Lou Monte</v>
      </c>
      <c r="I662" s="6" t="str">
        <f aca="false">IF(F662=0,"NOT FOUND",INDEX('All Song Rankings'!$D:$D,F662))</f>
        <v>Shayne</v>
      </c>
      <c r="J662" s="7" t="str">
        <f aca="false">IF(F662=0,"NOT FOUND",IF(C662=I662,"SELF-VOTE",IF(COUNTIF($K:$K,K662)&gt;1,"DUPLICATE","OK")))</f>
        <v>OK</v>
      </c>
      <c r="K662" s="6" t="str">
        <f aca="false">A662&amp;"|"&amp;B662&amp;"|"&amp;C662&amp;"|"&amp;D662</f>
        <v>2|2|Leah|spotify:track:6W332S9Wbc6TOBlChnemKD</v>
      </c>
    </row>
    <row r="663" customFormat="false" ht="15" hidden="false" customHeight="false" outlineLevel="0" collapsed="false">
      <c r="A663" s="5" t="n">
        <v>2</v>
      </c>
      <c r="B663" s="5" t="n">
        <v>2</v>
      </c>
      <c r="C663" s="5" t="s">
        <v>119</v>
      </c>
      <c r="D663" s="5" t="s">
        <v>438</v>
      </c>
      <c r="E663" s="5" t="n">
        <v>1</v>
      </c>
      <c r="F663" s="6" t="n">
        <f aca="false">IFERROR(MATCH(A663&amp;"|"&amp;B663&amp;"|"&amp;D663,'All Song Rankings'!$T:$T,0),0)</f>
        <v>109</v>
      </c>
      <c r="G663" s="6" t="str">
        <f aca="false">IF(F663=0,"NOT FOUND",INDEX('All Song Rankings'!$A:$A,F663))</f>
        <v>Mistletoe</v>
      </c>
      <c r="H663" s="6" t="str">
        <f aca="false">IF(F663=0,"NOT FOUND",INDEX('All Song Rankings'!$B:$B,F663))</f>
        <v>Justin Bieber</v>
      </c>
      <c r="I663" s="6" t="str">
        <f aca="false">IF(F663=0,"NOT FOUND",INDEX('All Song Rankings'!$D:$D,F663))</f>
        <v>Nicole</v>
      </c>
      <c r="J663" s="7" t="str">
        <f aca="false">IF(F663=0,"NOT FOUND",IF(C663=I663,"SELF-VOTE",IF(COUNTIF($K:$K,K663)&gt;1,"DUPLICATE","OK")))</f>
        <v>OK</v>
      </c>
      <c r="K663" s="6" t="str">
        <f aca="false">A663&amp;"|"&amp;B663&amp;"|"&amp;C663&amp;"|"&amp;D663</f>
        <v>2|2|Leah|spotify:track:7xapw9Oy21WpfEcib2ErSA</v>
      </c>
    </row>
    <row r="664" customFormat="false" ht="15" hidden="false" customHeight="false" outlineLevel="0" collapsed="false">
      <c r="A664" s="5" t="n">
        <v>2</v>
      </c>
      <c r="B664" s="5" t="n">
        <v>2</v>
      </c>
      <c r="C664" s="5" t="s">
        <v>119</v>
      </c>
      <c r="D664" s="5" t="s">
        <v>426</v>
      </c>
      <c r="E664" s="5" t="n">
        <v>1</v>
      </c>
      <c r="F664" s="6" t="n">
        <f aca="false">IFERROR(MATCH(A664&amp;"|"&amp;B664&amp;"|"&amp;D664,'All Song Rankings'!$T:$T,0),0)</f>
        <v>105</v>
      </c>
      <c r="G664" s="6" t="str">
        <f aca="false">IF(F664=0,"NOT FOUND",INDEX('All Song Rankings'!$A:$A,F664))</f>
        <v>Greatest Time Of Year</v>
      </c>
      <c r="H664" s="6" t="str">
        <f aca="false">IF(F664=0,"NOT FOUND",INDEX('All Song Rankings'!$B:$B,F664))</f>
        <v>Aly &amp; AJ</v>
      </c>
      <c r="I664" s="6" t="str">
        <f aca="false">IF(F664=0,"NOT FOUND",INDEX('All Song Rankings'!$D:$D,F664))</f>
        <v>Kelsey</v>
      </c>
      <c r="J664" s="7" t="str">
        <f aca="false">IF(F664=0,"NOT FOUND",IF(C664=I664,"SELF-VOTE",IF(COUNTIF($K:$K,K664)&gt;1,"DUPLICATE","OK")))</f>
        <v>OK</v>
      </c>
      <c r="K664" s="6" t="str">
        <f aca="false">A664&amp;"|"&amp;B664&amp;"|"&amp;C664&amp;"|"&amp;D664</f>
        <v>2|2|Leah|spotify:track:7yrqJUfnjteV1FLe9dXcVa</v>
      </c>
    </row>
    <row r="665" customFormat="false" ht="15" hidden="false" customHeight="false" outlineLevel="0" collapsed="false">
      <c r="A665" s="5" t="n">
        <v>2</v>
      </c>
      <c r="B665" s="5" t="n">
        <v>2</v>
      </c>
      <c r="C665" s="5" t="s">
        <v>128</v>
      </c>
      <c r="D665" s="5" t="s">
        <v>444</v>
      </c>
      <c r="E665" s="5" t="n">
        <v>1</v>
      </c>
      <c r="F665" s="6" t="n">
        <f aca="false">IFERROR(MATCH(A665&amp;"|"&amp;B665&amp;"|"&amp;D665,'All Song Rankings'!$T:$T,0),0)</f>
        <v>111</v>
      </c>
      <c r="G665" s="6" t="str">
        <f aca="false">IF(F665=0,"NOT FOUND",INDEX('All Song Rankings'!$A:$A,F665))</f>
        <v>Short Red Silk Lingerie</v>
      </c>
      <c r="H665" s="6" t="str">
        <f aca="false">IF(F665=0,"NOT FOUND",INDEX('All Song Rankings'!$B:$B,F665))</f>
        <v>Sabrina Claudio</v>
      </c>
      <c r="I665" s="6" t="str">
        <f aca="false">IF(F665=0,"NOT FOUND",INDEX('All Song Rankings'!$D:$D,F665))</f>
        <v>Anya</v>
      </c>
      <c r="J665" s="7" t="str">
        <f aca="false">IF(F665=0,"NOT FOUND",IF(C665=I665,"SELF-VOTE",IF(COUNTIF($K:$K,K665)&gt;1,"DUPLICATE","OK")))</f>
        <v>OK</v>
      </c>
      <c r="K665" s="6" t="str">
        <f aca="false">A665&amp;"|"&amp;B665&amp;"|"&amp;C665&amp;"|"&amp;D665</f>
        <v>2|2|Logan|spotify:track:0984kdcFfmBkZv8M9x4wcb</v>
      </c>
    </row>
    <row r="666" customFormat="false" ht="15" hidden="false" customHeight="false" outlineLevel="0" collapsed="false">
      <c r="A666" s="5" t="n">
        <v>2</v>
      </c>
      <c r="B666" s="5" t="n">
        <v>2</v>
      </c>
      <c r="C666" s="5" t="s">
        <v>128</v>
      </c>
      <c r="D666" s="5" t="s">
        <v>419</v>
      </c>
      <c r="E666" s="5" t="n">
        <v>1</v>
      </c>
      <c r="F666" s="6" t="n">
        <f aca="false">IFERROR(MATCH(A666&amp;"|"&amp;B666&amp;"|"&amp;D666,'All Song Rankings'!$T:$T,0),0)</f>
        <v>103</v>
      </c>
      <c r="G666" s="6" t="str">
        <f aca="false">IF(F666=0,"NOT FOUND",INDEX('All Song Rankings'!$A:$A,F666))</f>
        <v>Maybe Just Go Outside(baby it's cold outside)</v>
      </c>
      <c r="H666" s="6" t="str">
        <f aca="false">IF(F666=0,"NOT FOUND",INDEX('All Song Rankings'!$B:$B,F666))</f>
        <v>Your Dead</v>
      </c>
      <c r="I666" s="6" t="str">
        <f aca="false">IF(F666=0,"NOT FOUND",INDEX('All Song Rankings'!$D:$D,F666))</f>
        <v>Maryann</v>
      </c>
      <c r="J666" s="7" t="str">
        <f aca="false">IF(F666=0,"NOT FOUND",IF(C666=I666,"SELF-VOTE",IF(COUNTIF($K:$K,K666)&gt;1,"DUPLICATE","OK")))</f>
        <v>OK</v>
      </c>
      <c r="K666" s="6" t="str">
        <f aca="false">A666&amp;"|"&amp;B666&amp;"|"&amp;C666&amp;"|"&amp;D666</f>
        <v>2|2|Logan|spotify:track:0onPWnKnRdmOnEQm4ZUTKG</v>
      </c>
    </row>
    <row r="667" customFormat="false" ht="15" hidden="false" customHeight="false" outlineLevel="0" collapsed="false">
      <c r="A667" s="5" t="n">
        <v>2</v>
      </c>
      <c r="B667" s="5" t="n">
        <v>2</v>
      </c>
      <c r="C667" s="5" t="s">
        <v>128</v>
      </c>
      <c r="D667" s="5" t="s">
        <v>423</v>
      </c>
      <c r="E667" s="5" t="n">
        <v>1</v>
      </c>
      <c r="F667" s="6" t="n">
        <f aca="false">IFERROR(MATCH(A667&amp;"|"&amp;B667&amp;"|"&amp;D667,'All Song Rankings'!$T:$T,0),0)</f>
        <v>104</v>
      </c>
      <c r="G667" s="6" t="str">
        <f aca="false">IF(F667=0,"NOT FOUND",INDEX('All Song Rankings'!$A:$A,F667))</f>
        <v>Warmer In The Winter</v>
      </c>
      <c r="H667" s="6" t="str">
        <f aca="false">IF(F667=0,"NOT FOUND",INDEX('All Song Rankings'!$B:$B,F667))</f>
        <v>Lindsey Stirling</v>
      </c>
      <c r="I667" s="6" t="str">
        <f aca="false">IF(F667=0,"NOT FOUND",INDEX('All Song Rankings'!$D:$D,F667))</f>
        <v>Leah</v>
      </c>
      <c r="J667" s="7" t="str">
        <f aca="false">IF(F667=0,"NOT FOUND",IF(C667=I667,"SELF-VOTE",IF(COUNTIF($K:$K,K667)&gt;1,"DUPLICATE","OK")))</f>
        <v>OK</v>
      </c>
      <c r="K667" s="6" t="str">
        <f aca="false">A667&amp;"|"&amp;B667&amp;"|"&amp;C667&amp;"|"&amp;D667</f>
        <v>2|2|Logan|spotify:track:1ssFg8Xr5A8O2U6JkKjZRz</v>
      </c>
    </row>
    <row r="668" customFormat="false" ht="15" hidden="false" customHeight="false" outlineLevel="0" collapsed="false">
      <c r="A668" s="5" t="n">
        <v>2</v>
      </c>
      <c r="B668" s="5" t="n">
        <v>2</v>
      </c>
      <c r="C668" s="5" t="s">
        <v>128</v>
      </c>
      <c r="D668" s="5" t="s">
        <v>447</v>
      </c>
      <c r="E668" s="5" t="n">
        <v>2</v>
      </c>
      <c r="F668" s="6" t="n">
        <f aca="false">IFERROR(MATCH(A668&amp;"|"&amp;B668&amp;"|"&amp;D668,'All Song Rankings'!$T:$T,0),0)</f>
        <v>112</v>
      </c>
      <c r="G668" s="6" t="str">
        <f aca="false">IF(F668=0,"NOT FOUND",INDEX('All Song Rankings'!$A:$A,F668))</f>
        <v>Better Days</v>
      </c>
      <c r="H668" s="6" t="str">
        <f aca="false">IF(F668=0,"NOT FOUND",INDEX('All Song Rankings'!$B:$B,F668))</f>
        <v>The Goo Goo Dolls</v>
      </c>
      <c r="I668" s="6" t="str">
        <f aca="false">IF(F668=0,"NOT FOUND",INDEX('All Song Rankings'!$D:$D,F668))</f>
        <v>Kristen</v>
      </c>
      <c r="J668" s="7" t="str">
        <f aca="false">IF(F668=0,"NOT FOUND",IF(C668=I668,"SELF-VOTE",IF(COUNTIF($K:$K,K668)&gt;1,"DUPLICATE","OK")))</f>
        <v>OK</v>
      </c>
      <c r="K668" s="6" t="str">
        <f aca="false">A668&amp;"|"&amp;B668&amp;"|"&amp;C668&amp;"|"&amp;D668</f>
        <v>2|2|Logan|spotify:track:2hiB8QxWic092OablwpoVC</v>
      </c>
    </row>
    <row r="669" customFormat="false" ht="15" hidden="false" customHeight="false" outlineLevel="0" collapsed="false">
      <c r="A669" s="5" t="n">
        <v>2</v>
      </c>
      <c r="B669" s="5" t="n">
        <v>2</v>
      </c>
      <c r="C669" s="5" t="s">
        <v>128</v>
      </c>
      <c r="D669" s="5" t="s">
        <v>416</v>
      </c>
      <c r="E669" s="5" t="n">
        <v>3</v>
      </c>
      <c r="F669" s="6" t="n">
        <f aca="false">IFERROR(MATCH(A669&amp;"|"&amp;B669&amp;"|"&amp;D669,'All Song Rankings'!$T:$T,0),0)</f>
        <v>102</v>
      </c>
      <c r="G669" s="6" t="str">
        <f aca="false">IF(F669=0,"NOT FOUND",INDEX('All Song Rankings'!$A:$A,F669))</f>
        <v>The 12 Days of Christmas</v>
      </c>
      <c r="H669" s="6" t="str">
        <f aca="false">IF(F669=0,"NOT FOUND",INDEX('All Song Rankings'!$B:$B,F669))</f>
        <v>Straight No Chaser</v>
      </c>
      <c r="I669" s="6" t="str">
        <f aca="false">IF(F669=0,"NOT FOUND",INDEX('All Song Rankings'!$D:$D,F669))</f>
        <v>Matt</v>
      </c>
      <c r="J669" s="7" t="str">
        <f aca="false">IF(F669=0,"NOT FOUND",IF(C669=I669,"SELF-VOTE",IF(COUNTIF($K:$K,K669)&gt;1,"DUPLICATE","OK")))</f>
        <v>OK</v>
      </c>
      <c r="K669" s="6" t="str">
        <f aca="false">A669&amp;"|"&amp;B669&amp;"|"&amp;C669&amp;"|"&amp;D669</f>
        <v>2|2|Logan|spotify:track:5f5wlkRHWhYxOdp1hOUsTb</v>
      </c>
    </row>
    <row r="670" customFormat="false" ht="15" hidden="false" customHeight="false" outlineLevel="0" collapsed="false">
      <c r="A670" s="5" t="n">
        <v>2</v>
      </c>
      <c r="B670" s="5" t="n">
        <v>2</v>
      </c>
      <c r="C670" s="5" t="s">
        <v>128</v>
      </c>
      <c r="D670" s="5" t="s">
        <v>426</v>
      </c>
      <c r="E670" s="5" t="n">
        <v>2</v>
      </c>
      <c r="F670" s="6" t="n">
        <f aca="false">IFERROR(MATCH(A670&amp;"|"&amp;B670&amp;"|"&amp;D670,'All Song Rankings'!$T:$T,0),0)</f>
        <v>105</v>
      </c>
      <c r="G670" s="6" t="str">
        <f aca="false">IF(F670=0,"NOT FOUND",INDEX('All Song Rankings'!$A:$A,F670))</f>
        <v>Greatest Time Of Year</v>
      </c>
      <c r="H670" s="6" t="str">
        <f aca="false">IF(F670=0,"NOT FOUND",INDEX('All Song Rankings'!$B:$B,F670))</f>
        <v>Aly &amp; AJ</v>
      </c>
      <c r="I670" s="6" t="str">
        <f aca="false">IF(F670=0,"NOT FOUND",INDEX('All Song Rankings'!$D:$D,F670))</f>
        <v>Kelsey</v>
      </c>
      <c r="J670" s="7" t="str">
        <f aca="false">IF(F670=0,"NOT FOUND",IF(C670=I670,"SELF-VOTE",IF(COUNTIF($K:$K,K670)&gt;1,"DUPLICATE","OK")))</f>
        <v>OK</v>
      </c>
      <c r="K670" s="6" t="str">
        <f aca="false">A670&amp;"|"&amp;B670&amp;"|"&amp;C670&amp;"|"&amp;D670</f>
        <v>2|2|Logan|spotify:track:7yrqJUfnjteV1FLe9dXcVa</v>
      </c>
    </row>
    <row r="671" customFormat="false" ht="15" hidden="false" customHeight="false" outlineLevel="0" collapsed="false">
      <c r="A671" s="5" t="n">
        <v>2</v>
      </c>
      <c r="B671" s="5" t="n">
        <v>2</v>
      </c>
      <c r="C671" s="5" t="s">
        <v>395</v>
      </c>
      <c r="D671" s="5" t="s">
        <v>453</v>
      </c>
      <c r="E671" s="5" t="n">
        <v>1</v>
      </c>
      <c r="F671" s="6" t="n">
        <f aca="false">IFERROR(MATCH(A671&amp;"|"&amp;B671&amp;"|"&amp;D671,'All Song Rankings'!$T:$T,0),0)</f>
        <v>114</v>
      </c>
      <c r="G671" s="6" t="str">
        <f aca="false">IF(F671=0,"NOT FOUND",INDEX('All Song Rankings'!$A:$A,F671))</f>
        <v>You Make It Feel Like Christmas</v>
      </c>
      <c r="H671" s="6" t="str">
        <f aca="false">IF(F671=0,"NOT FOUND",INDEX('All Song Rankings'!$B:$B,F671))</f>
        <v>Gwen Stefani</v>
      </c>
      <c r="I671" s="6" t="str">
        <f aca="false">IF(F671=0,"NOT FOUND",INDEX('All Song Rankings'!$D:$D,F671))</f>
        <v>Aubrey</v>
      </c>
      <c r="J671" s="7" t="str">
        <f aca="false">IF(F671=0,"NOT FOUND",IF(C671=I671,"SELF-VOTE",IF(COUNTIF($K:$K,K671)&gt;1,"DUPLICATE","OK")))</f>
        <v>OK</v>
      </c>
      <c r="K671" s="6" t="str">
        <f aca="false">A671&amp;"|"&amp;B671&amp;"|"&amp;C671&amp;"|"&amp;D671</f>
        <v>2|2|Makenzie|spotify:track:2OQ6a4CfUeYskpTTgyawyJ</v>
      </c>
    </row>
    <row r="672" customFormat="false" ht="15" hidden="false" customHeight="false" outlineLevel="0" collapsed="false">
      <c r="A672" s="5" t="n">
        <v>2</v>
      </c>
      <c r="B672" s="5" t="n">
        <v>2</v>
      </c>
      <c r="C672" s="5" t="s">
        <v>395</v>
      </c>
      <c r="D672" s="5" t="s">
        <v>436</v>
      </c>
      <c r="E672" s="5" t="n">
        <v>2</v>
      </c>
      <c r="F672" s="6" t="n">
        <f aca="false">IFERROR(MATCH(A672&amp;"|"&amp;B672&amp;"|"&amp;D672,'All Song Rankings'!$T:$T,0),0)</f>
        <v>108</v>
      </c>
      <c r="G672" s="6" t="str">
        <f aca="false">IF(F672=0,"NOT FOUND",INDEX('All Song Rankings'!$A:$A,F672))</f>
        <v>That's Christmas to Me</v>
      </c>
      <c r="H672" s="6" t="str">
        <f aca="false">IF(F672=0,"NOT FOUND",INDEX('All Song Rankings'!$B:$B,F672))</f>
        <v>Pentatonix</v>
      </c>
      <c r="I672" s="6" t="str">
        <f aca="false">IF(F672=0,"NOT FOUND",INDEX('All Song Rankings'!$D:$D,F672))</f>
        <v>Merita</v>
      </c>
      <c r="J672" s="7" t="str">
        <f aca="false">IF(F672=0,"NOT FOUND",IF(C672=I672,"SELF-VOTE",IF(COUNTIF($K:$K,K672)&gt;1,"DUPLICATE","OK")))</f>
        <v>OK</v>
      </c>
      <c r="K672" s="6" t="str">
        <f aca="false">A672&amp;"|"&amp;B672&amp;"|"&amp;C672&amp;"|"&amp;D672</f>
        <v>2|2|Makenzie|spotify:track:2U9kDk5mlHYunC7PvbZ8KX</v>
      </c>
    </row>
    <row r="673" customFormat="false" ht="15" hidden="false" customHeight="false" outlineLevel="0" collapsed="false">
      <c r="A673" s="5" t="n">
        <v>2</v>
      </c>
      <c r="B673" s="5" t="n">
        <v>2</v>
      </c>
      <c r="C673" s="5" t="s">
        <v>395</v>
      </c>
      <c r="D673" s="5" t="s">
        <v>412</v>
      </c>
      <c r="E673" s="5" t="n">
        <v>3</v>
      </c>
      <c r="F673" s="6" t="n">
        <f aca="false">IFERROR(MATCH(A673&amp;"|"&amp;B673&amp;"|"&amp;D673,'All Song Rankings'!$T:$T,0),0)</f>
        <v>101</v>
      </c>
      <c r="G673" s="6" t="str">
        <f aca="false">IF(F673=0,"NOT FOUND",INDEX('All Song Rankings'!$A:$A,F673))</f>
        <v>Christmas in Killarney</v>
      </c>
      <c r="H673" s="6" t="str">
        <f aca="false">IF(F673=0,"NOT FOUND",INDEX('All Song Rankings'!$B:$B,F673))</f>
        <v>The Irish Rovers</v>
      </c>
      <c r="I673" s="6" t="str">
        <f aca="false">IF(F673=0,"NOT FOUND",INDEX('All Song Rankings'!$D:$D,F673))</f>
        <v>Logan</v>
      </c>
      <c r="J673" s="7" t="str">
        <f aca="false">IF(F673=0,"NOT FOUND",IF(C673=I673,"SELF-VOTE",IF(COUNTIF($K:$K,K673)&gt;1,"DUPLICATE","OK")))</f>
        <v>OK</v>
      </c>
      <c r="K673" s="6" t="str">
        <f aca="false">A673&amp;"|"&amp;B673&amp;"|"&amp;C673&amp;"|"&amp;D673</f>
        <v>2|2|Makenzie|spotify:track:4XKj7iRK8QstOH4sG67YJf</v>
      </c>
    </row>
    <row r="674" customFormat="false" ht="15" hidden="false" customHeight="false" outlineLevel="0" collapsed="false">
      <c r="A674" s="5" t="n">
        <v>2</v>
      </c>
      <c r="B674" s="5" t="n">
        <v>2</v>
      </c>
      <c r="C674" s="5" t="s">
        <v>395</v>
      </c>
      <c r="D674" s="5" t="s">
        <v>438</v>
      </c>
      <c r="E674" s="5" t="n">
        <v>4</v>
      </c>
      <c r="F674" s="6" t="n">
        <f aca="false">IFERROR(MATCH(A674&amp;"|"&amp;B674&amp;"|"&amp;D674,'All Song Rankings'!$T:$T,0),0)</f>
        <v>109</v>
      </c>
      <c r="G674" s="6" t="str">
        <f aca="false">IF(F674=0,"NOT FOUND",INDEX('All Song Rankings'!$A:$A,F674))</f>
        <v>Mistletoe</v>
      </c>
      <c r="H674" s="6" t="str">
        <f aca="false">IF(F674=0,"NOT FOUND",INDEX('All Song Rankings'!$B:$B,F674))</f>
        <v>Justin Bieber</v>
      </c>
      <c r="I674" s="6" t="str">
        <f aca="false">IF(F674=0,"NOT FOUND",INDEX('All Song Rankings'!$D:$D,F674))</f>
        <v>Nicole</v>
      </c>
      <c r="J674" s="7" t="str">
        <f aca="false">IF(F674=0,"NOT FOUND",IF(C674=I674,"SELF-VOTE",IF(COUNTIF($K:$K,K674)&gt;1,"DUPLICATE","OK")))</f>
        <v>OK</v>
      </c>
      <c r="K674" s="6" t="str">
        <f aca="false">A674&amp;"|"&amp;B674&amp;"|"&amp;C674&amp;"|"&amp;D674</f>
        <v>2|2|Makenzie|spotify:track:7xapw9Oy21WpfEcib2ErSA</v>
      </c>
    </row>
    <row r="675" customFormat="false" ht="15" hidden="false" customHeight="false" outlineLevel="0" collapsed="false">
      <c r="A675" s="5" t="n">
        <v>2</v>
      </c>
      <c r="B675" s="5" t="n">
        <v>2</v>
      </c>
      <c r="C675" s="5" t="s">
        <v>133</v>
      </c>
      <c r="D675" s="5" t="s">
        <v>444</v>
      </c>
      <c r="E675" s="5" t="n">
        <v>1</v>
      </c>
      <c r="F675" s="6" t="n">
        <f aca="false">IFERROR(MATCH(A675&amp;"|"&amp;B675&amp;"|"&amp;D675,'All Song Rankings'!$T:$T,0),0)</f>
        <v>111</v>
      </c>
      <c r="G675" s="6" t="str">
        <f aca="false">IF(F675=0,"NOT FOUND",INDEX('All Song Rankings'!$A:$A,F675))</f>
        <v>Short Red Silk Lingerie</v>
      </c>
      <c r="H675" s="6" t="str">
        <f aca="false">IF(F675=0,"NOT FOUND",INDEX('All Song Rankings'!$B:$B,F675))</f>
        <v>Sabrina Claudio</v>
      </c>
      <c r="I675" s="6" t="str">
        <f aca="false">IF(F675=0,"NOT FOUND",INDEX('All Song Rankings'!$D:$D,F675))</f>
        <v>Anya</v>
      </c>
      <c r="J675" s="7" t="str">
        <f aca="false">IF(F675=0,"NOT FOUND",IF(C675=I675,"SELF-VOTE",IF(COUNTIF($K:$K,K675)&gt;1,"DUPLICATE","OK")))</f>
        <v>OK</v>
      </c>
      <c r="K675" s="6" t="str">
        <f aca="false">A675&amp;"|"&amp;B675&amp;"|"&amp;C675&amp;"|"&amp;D675</f>
        <v>2|2|Maryann|spotify:track:0984kdcFfmBkZv8M9x4wcb</v>
      </c>
    </row>
    <row r="676" customFormat="false" ht="15" hidden="false" customHeight="false" outlineLevel="0" collapsed="false">
      <c r="A676" s="5" t="n">
        <v>2</v>
      </c>
      <c r="B676" s="5" t="n">
        <v>2</v>
      </c>
      <c r="C676" s="5" t="s">
        <v>133</v>
      </c>
      <c r="D676" s="5" t="s">
        <v>433</v>
      </c>
      <c r="E676" s="5" t="n">
        <v>1</v>
      </c>
      <c r="F676" s="6" t="n">
        <f aca="false">IFERROR(MATCH(A676&amp;"|"&amp;B676&amp;"|"&amp;D676,'All Song Rankings'!$T:$T,0),0)</f>
        <v>107</v>
      </c>
      <c r="G676" s="6" t="str">
        <f aca="false">IF(F676=0,"NOT FOUND",INDEX('All Song Rankings'!$A:$A,F676))</f>
        <v>Drummer Boy</v>
      </c>
      <c r="H676" s="6" t="str">
        <f aca="false">IF(F676=0,"NOT FOUND",INDEX('All Song Rankings'!$B:$B,F676))</f>
        <v>Justin Bieber</v>
      </c>
      <c r="I676" s="6" t="str">
        <f aca="false">IF(F676=0,"NOT FOUND",INDEX('All Song Rankings'!$D:$D,F676))</f>
        <v>Makenzie</v>
      </c>
      <c r="J676" s="7" t="str">
        <f aca="false">IF(F676=0,"NOT FOUND",IF(C676=I676,"SELF-VOTE",IF(COUNTIF($K:$K,K676)&gt;1,"DUPLICATE","OK")))</f>
        <v>OK</v>
      </c>
      <c r="K676" s="6" t="str">
        <f aca="false">A676&amp;"|"&amp;B676&amp;"|"&amp;C676&amp;"|"&amp;D676</f>
        <v>2|2|Maryann|spotify:track:0Pd4lsvSDPkcNCxbcz0UeV</v>
      </c>
    </row>
    <row r="677" customFormat="false" ht="15" hidden="false" customHeight="false" outlineLevel="0" collapsed="false">
      <c r="A677" s="5" t="n">
        <v>2</v>
      </c>
      <c r="B677" s="5" t="n">
        <v>2</v>
      </c>
      <c r="C677" s="5" t="s">
        <v>133</v>
      </c>
      <c r="D677" s="5" t="s">
        <v>453</v>
      </c>
      <c r="E677" s="5" t="n">
        <v>1</v>
      </c>
      <c r="F677" s="6" t="n">
        <f aca="false">IFERROR(MATCH(A677&amp;"|"&amp;B677&amp;"|"&amp;D677,'All Song Rankings'!$T:$T,0),0)</f>
        <v>114</v>
      </c>
      <c r="G677" s="6" t="str">
        <f aca="false">IF(F677=0,"NOT FOUND",INDEX('All Song Rankings'!$A:$A,F677))</f>
        <v>You Make It Feel Like Christmas</v>
      </c>
      <c r="H677" s="6" t="str">
        <f aca="false">IF(F677=0,"NOT FOUND",INDEX('All Song Rankings'!$B:$B,F677))</f>
        <v>Gwen Stefani</v>
      </c>
      <c r="I677" s="6" t="str">
        <f aca="false">IF(F677=0,"NOT FOUND",INDEX('All Song Rankings'!$D:$D,F677))</f>
        <v>Aubrey</v>
      </c>
      <c r="J677" s="7" t="str">
        <f aca="false">IF(F677=0,"NOT FOUND",IF(C677=I677,"SELF-VOTE",IF(COUNTIF($K:$K,K677)&gt;1,"DUPLICATE","OK")))</f>
        <v>OK</v>
      </c>
      <c r="K677" s="6" t="str">
        <f aca="false">A677&amp;"|"&amp;B677&amp;"|"&amp;C677&amp;"|"&amp;D677</f>
        <v>2|2|Maryann|spotify:track:2OQ6a4CfUeYskpTTgyawyJ</v>
      </c>
    </row>
    <row r="678" customFormat="false" ht="15" hidden="false" customHeight="false" outlineLevel="0" collapsed="false">
      <c r="A678" s="5" t="n">
        <v>2</v>
      </c>
      <c r="B678" s="5" t="n">
        <v>2</v>
      </c>
      <c r="C678" s="5" t="s">
        <v>133</v>
      </c>
      <c r="D678" s="5" t="s">
        <v>412</v>
      </c>
      <c r="E678" s="5" t="n">
        <v>1</v>
      </c>
      <c r="F678" s="6" t="n">
        <f aca="false">IFERROR(MATCH(A678&amp;"|"&amp;B678&amp;"|"&amp;D678,'All Song Rankings'!$T:$T,0),0)</f>
        <v>101</v>
      </c>
      <c r="G678" s="6" t="str">
        <f aca="false">IF(F678=0,"NOT FOUND",INDEX('All Song Rankings'!$A:$A,F678))</f>
        <v>Christmas in Killarney</v>
      </c>
      <c r="H678" s="6" t="str">
        <f aca="false">IF(F678=0,"NOT FOUND",INDEX('All Song Rankings'!$B:$B,F678))</f>
        <v>The Irish Rovers</v>
      </c>
      <c r="I678" s="6" t="str">
        <f aca="false">IF(F678=0,"NOT FOUND",INDEX('All Song Rankings'!$D:$D,F678))</f>
        <v>Logan</v>
      </c>
      <c r="J678" s="7" t="str">
        <f aca="false">IF(F678=0,"NOT FOUND",IF(C678=I678,"SELF-VOTE",IF(COUNTIF($K:$K,K678)&gt;1,"DUPLICATE","OK")))</f>
        <v>OK</v>
      </c>
      <c r="K678" s="6" t="str">
        <f aca="false">A678&amp;"|"&amp;B678&amp;"|"&amp;C678&amp;"|"&amp;D678</f>
        <v>2|2|Maryann|spotify:track:4XKj7iRK8QstOH4sG67YJf</v>
      </c>
    </row>
    <row r="679" customFormat="false" ht="15" hidden="false" customHeight="false" outlineLevel="0" collapsed="false">
      <c r="A679" s="5" t="n">
        <v>2</v>
      </c>
      <c r="B679" s="5" t="n">
        <v>2</v>
      </c>
      <c r="C679" s="5" t="s">
        <v>133</v>
      </c>
      <c r="D679" s="5" t="s">
        <v>416</v>
      </c>
      <c r="E679" s="5" t="n">
        <v>1</v>
      </c>
      <c r="F679" s="6" t="n">
        <f aca="false">IFERROR(MATCH(A679&amp;"|"&amp;B679&amp;"|"&amp;D679,'All Song Rankings'!$T:$T,0),0)</f>
        <v>102</v>
      </c>
      <c r="G679" s="6" t="str">
        <f aca="false">IF(F679=0,"NOT FOUND",INDEX('All Song Rankings'!$A:$A,F679))</f>
        <v>The 12 Days of Christmas</v>
      </c>
      <c r="H679" s="6" t="str">
        <f aca="false">IF(F679=0,"NOT FOUND",INDEX('All Song Rankings'!$B:$B,F679))</f>
        <v>Straight No Chaser</v>
      </c>
      <c r="I679" s="6" t="str">
        <f aca="false">IF(F679=0,"NOT FOUND",INDEX('All Song Rankings'!$D:$D,F679))</f>
        <v>Matt</v>
      </c>
      <c r="J679" s="7" t="str">
        <f aca="false">IF(F679=0,"NOT FOUND",IF(C679=I679,"SELF-VOTE",IF(COUNTIF($K:$K,K679)&gt;1,"DUPLICATE","OK")))</f>
        <v>OK</v>
      </c>
      <c r="K679" s="6" t="str">
        <f aca="false">A679&amp;"|"&amp;B679&amp;"|"&amp;C679&amp;"|"&amp;D679</f>
        <v>2|2|Maryann|spotify:track:5f5wlkRHWhYxOdp1hOUsTb</v>
      </c>
    </row>
    <row r="680" customFormat="false" ht="15" hidden="false" customHeight="false" outlineLevel="0" collapsed="false">
      <c r="A680" s="5" t="n">
        <v>2</v>
      </c>
      <c r="B680" s="5" t="n">
        <v>2</v>
      </c>
      <c r="C680" s="5" t="s">
        <v>133</v>
      </c>
      <c r="D680" s="5" t="s">
        <v>450</v>
      </c>
      <c r="E680" s="5" t="n">
        <v>2</v>
      </c>
      <c r="F680" s="6" t="n">
        <f aca="false">IFERROR(MATCH(A680&amp;"|"&amp;B680&amp;"|"&amp;D680,'All Song Rankings'!$T:$T,0),0)</f>
        <v>113</v>
      </c>
      <c r="G680" s="6" t="str">
        <f aca="false">IF(F680=0,"NOT FOUND",INDEX('All Song Rankings'!$A:$A,F680))</f>
        <v>God Rest Ye Merry Gentlemen / We Three Kings</v>
      </c>
      <c r="H680" s="6" t="str">
        <f aca="false">IF(F680=0,"NOT FOUND",INDEX('All Song Rankings'!$B:$B,F680))</f>
        <v>Barenaked Ladies</v>
      </c>
      <c r="I680" s="6" t="str">
        <f aca="false">IF(F680=0,"NOT FOUND",INDEX('All Song Rankings'!$D:$D,F680))</f>
        <v>Grace</v>
      </c>
      <c r="J680" s="7" t="str">
        <f aca="false">IF(F680=0,"NOT FOUND",IF(C680=I680,"SELF-VOTE",IF(COUNTIF($K:$K,K680)&gt;1,"DUPLICATE","OK")))</f>
        <v>OK</v>
      </c>
      <c r="K680" s="6" t="str">
        <f aca="false">A680&amp;"|"&amp;B680&amp;"|"&amp;C680&amp;"|"&amp;D680</f>
        <v>2|2|Maryann|spotify:track:6eou298JmAGYShrwYuLxJ2</v>
      </c>
    </row>
    <row r="681" customFormat="false" ht="15" hidden="false" customHeight="false" outlineLevel="0" collapsed="false">
      <c r="A681" s="5" t="n">
        <v>2</v>
      </c>
      <c r="B681" s="5" t="n">
        <v>2</v>
      </c>
      <c r="C681" s="5" t="s">
        <v>133</v>
      </c>
      <c r="D681" s="5" t="s">
        <v>438</v>
      </c>
      <c r="E681" s="5" t="n">
        <v>2</v>
      </c>
      <c r="F681" s="6" t="n">
        <f aca="false">IFERROR(MATCH(A681&amp;"|"&amp;B681&amp;"|"&amp;D681,'All Song Rankings'!$T:$T,0),0)</f>
        <v>109</v>
      </c>
      <c r="G681" s="6" t="str">
        <f aca="false">IF(F681=0,"NOT FOUND",INDEX('All Song Rankings'!$A:$A,F681))</f>
        <v>Mistletoe</v>
      </c>
      <c r="H681" s="6" t="str">
        <f aca="false">IF(F681=0,"NOT FOUND",INDEX('All Song Rankings'!$B:$B,F681))</f>
        <v>Justin Bieber</v>
      </c>
      <c r="I681" s="6" t="str">
        <f aca="false">IF(F681=0,"NOT FOUND",INDEX('All Song Rankings'!$D:$D,F681))</f>
        <v>Nicole</v>
      </c>
      <c r="J681" s="7" t="str">
        <f aca="false">IF(F681=0,"NOT FOUND",IF(C681=I681,"SELF-VOTE",IF(COUNTIF($K:$K,K681)&gt;1,"DUPLICATE","OK")))</f>
        <v>OK</v>
      </c>
      <c r="K681" s="6" t="str">
        <f aca="false">A681&amp;"|"&amp;B681&amp;"|"&amp;C681&amp;"|"&amp;D681</f>
        <v>2|2|Maryann|spotify:track:7xapw9Oy21WpfEcib2ErSA</v>
      </c>
    </row>
    <row r="682" customFormat="false" ht="15" hidden="false" customHeight="false" outlineLevel="0" collapsed="false">
      <c r="A682" s="5" t="n">
        <v>2</v>
      </c>
      <c r="B682" s="5" t="n">
        <v>2</v>
      </c>
      <c r="C682" s="5" t="s">
        <v>133</v>
      </c>
      <c r="D682" s="5" t="s">
        <v>426</v>
      </c>
      <c r="E682" s="5" t="n">
        <v>1</v>
      </c>
      <c r="F682" s="6" t="n">
        <f aca="false">IFERROR(MATCH(A682&amp;"|"&amp;B682&amp;"|"&amp;D682,'All Song Rankings'!$T:$T,0),0)</f>
        <v>105</v>
      </c>
      <c r="G682" s="6" t="str">
        <f aca="false">IF(F682=0,"NOT FOUND",INDEX('All Song Rankings'!$A:$A,F682))</f>
        <v>Greatest Time Of Year</v>
      </c>
      <c r="H682" s="6" t="str">
        <f aca="false">IF(F682=0,"NOT FOUND",INDEX('All Song Rankings'!$B:$B,F682))</f>
        <v>Aly &amp; AJ</v>
      </c>
      <c r="I682" s="6" t="str">
        <f aca="false">IF(F682=0,"NOT FOUND",INDEX('All Song Rankings'!$D:$D,F682))</f>
        <v>Kelsey</v>
      </c>
      <c r="J682" s="7" t="str">
        <f aca="false">IF(F682=0,"NOT FOUND",IF(C682=I682,"SELF-VOTE",IF(COUNTIF($K:$K,K682)&gt;1,"DUPLICATE","OK")))</f>
        <v>OK</v>
      </c>
      <c r="K682" s="6" t="str">
        <f aca="false">A682&amp;"|"&amp;B682&amp;"|"&amp;C682&amp;"|"&amp;D682</f>
        <v>2|2|Maryann|spotify:track:7yrqJUfnjteV1FLe9dXcVa</v>
      </c>
    </row>
    <row r="683" customFormat="false" ht="15" hidden="false" customHeight="false" outlineLevel="0" collapsed="false">
      <c r="A683" s="5" t="n">
        <v>2</v>
      </c>
      <c r="B683" s="5" t="n">
        <v>2</v>
      </c>
      <c r="C683" s="5" t="s">
        <v>116</v>
      </c>
      <c r="D683" s="5" t="s">
        <v>444</v>
      </c>
      <c r="E683" s="5" t="n">
        <v>1</v>
      </c>
      <c r="F683" s="6" t="n">
        <f aca="false">IFERROR(MATCH(A683&amp;"|"&amp;B683&amp;"|"&amp;D683,'All Song Rankings'!$T:$T,0),0)</f>
        <v>111</v>
      </c>
      <c r="G683" s="6" t="str">
        <f aca="false">IF(F683=0,"NOT FOUND",INDEX('All Song Rankings'!$A:$A,F683))</f>
        <v>Short Red Silk Lingerie</v>
      </c>
      <c r="H683" s="6" t="str">
        <f aca="false">IF(F683=0,"NOT FOUND",INDEX('All Song Rankings'!$B:$B,F683))</f>
        <v>Sabrina Claudio</v>
      </c>
      <c r="I683" s="6" t="str">
        <f aca="false">IF(F683=0,"NOT FOUND",INDEX('All Song Rankings'!$D:$D,F683))</f>
        <v>Anya</v>
      </c>
      <c r="J683" s="7" t="str">
        <f aca="false">IF(F683=0,"NOT FOUND",IF(C683=I683,"SELF-VOTE",IF(COUNTIF($K:$K,K683)&gt;1,"DUPLICATE","OK")))</f>
        <v>OK</v>
      </c>
      <c r="K683" s="6" t="str">
        <f aca="false">A683&amp;"|"&amp;B683&amp;"|"&amp;C683&amp;"|"&amp;D683</f>
        <v>2|2|Matt|spotify:track:0984kdcFfmBkZv8M9x4wcb</v>
      </c>
    </row>
    <row r="684" customFormat="false" ht="15" hidden="false" customHeight="false" outlineLevel="0" collapsed="false">
      <c r="A684" s="5" t="n">
        <v>2</v>
      </c>
      <c r="B684" s="5" t="n">
        <v>2</v>
      </c>
      <c r="C684" s="5" t="s">
        <v>116</v>
      </c>
      <c r="D684" s="5" t="s">
        <v>441</v>
      </c>
      <c r="E684" s="5" t="n">
        <v>1</v>
      </c>
      <c r="F684" s="6" t="n">
        <f aca="false">IFERROR(MATCH(A684&amp;"|"&amp;B684&amp;"|"&amp;D684,'All Song Rankings'!$T:$T,0),0)</f>
        <v>110</v>
      </c>
      <c r="G684" s="6" t="str">
        <f aca="false">IF(F684=0,"NOT FOUND",INDEX('All Song Rankings'!$A:$A,F684))</f>
        <v>Cold December Night</v>
      </c>
      <c r="H684" s="6" t="str">
        <f aca="false">IF(F684=0,"NOT FOUND",INDEX('All Song Rankings'!$B:$B,F684))</f>
        <v>Michael Bublé</v>
      </c>
      <c r="I684" s="6" t="str">
        <f aca="false">IF(F684=0,"NOT FOUND",INDEX('All Song Rankings'!$D:$D,F684))</f>
        <v>Stephanie</v>
      </c>
      <c r="J684" s="7" t="str">
        <f aca="false">IF(F684=0,"NOT FOUND",IF(C684=I684,"SELF-VOTE",IF(COUNTIF($K:$K,K684)&gt;1,"DUPLICATE","OK")))</f>
        <v>OK</v>
      </c>
      <c r="K684" s="6" t="str">
        <f aca="false">A684&amp;"|"&amp;B684&amp;"|"&amp;C684&amp;"|"&amp;D684</f>
        <v>2|2|Matt|spotify:track:0h2dcuCb1emDJa6UfghZWq</v>
      </c>
    </row>
    <row r="685" customFormat="false" ht="15" hidden="false" customHeight="false" outlineLevel="0" collapsed="false">
      <c r="A685" s="5" t="n">
        <v>2</v>
      </c>
      <c r="B685" s="5" t="n">
        <v>2</v>
      </c>
      <c r="C685" s="5" t="s">
        <v>116</v>
      </c>
      <c r="D685" s="5" t="s">
        <v>419</v>
      </c>
      <c r="E685" s="5" t="n">
        <v>1</v>
      </c>
      <c r="F685" s="6" t="n">
        <f aca="false">IFERROR(MATCH(A685&amp;"|"&amp;B685&amp;"|"&amp;D685,'All Song Rankings'!$T:$T,0),0)</f>
        <v>103</v>
      </c>
      <c r="G685" s="6" t="str">
        <f aca="false">IF(F685=0,"NOT FOUND",INDEX('All Song Rankings'!$A:$A,F685))</f>
        <v>Maybe Just Go Outside(baby it's cold outside)</v>
      </c>
      <c r="H685" s="6" t="str">
        <f aca="false">IF(F685=0,"NOT FOUND",INDEX('All Song Rankings'!$B:$B,F685))</f>
        <v>Your Dead</v>
      </c>
      <c r="I685" s="6" t="str">
        <f aca="false">IF(F685=0,"NOT FOUND",INDEX('All Song Rankings'!$D:$D,F685))</f>
        <v>Maryann</v>
      </c>
      <c r="J685" s="7" t="str">
        <f aca="false">IF(F685=0,"NOT FOUND",IF(C685=I685,"SELF-VOTE",IF(COUNTIF($K:$K,K685)&gt;1,"DUPLICATE","OK")))</f>
        <v>OK</v>
      </c>
      <c r="K685" s="6" t="str">
        <f aca="false">A685&amp;"|"&amp;B685&amp;"|"&amp;C685&amp;"|"&amp;D685</f>
        <v>2|2|Matt|spotify:track:0onPWnKnRdmOnEQm4ZUTKG</v>
      </c>
    </row>
    <row r="686" customFormat="false" ht="15" hidden="false" customHeight="false" outlineLevel="0" collapsed="false">
      <c r="A686" s="5" t="n">
        <v>2</v>
      </c>
      <c r="B686" s="5" t="n">
        <v>2</v>
      </c>
      <c r="C686" s="5" t="s">
        <v>116</v>
      </c>
      <c r="D686" s="5" t="s">
        <v>423</v>
      </c>
      <c r="E686" s="5" t="n">
        <v>1</v>
      </c>
      <c r="F686" s="6" t="n">
        <f aca="false">IFERROR(MATCH(A686&amp;"|"&amp;B686&amp;"|"&amp;D686,'All Song Rankings'!$T:$T,0),0)</f>
        <v>104</v>
      </c>
      <c r="G686" s="6" t="str">
        <f aca="false">IF(F686=0,"NOT FOUND",INDEX('All Song Rankings'!$A:$A,F686))</f>
        <v>Warmer In The Winter</v>
      </c>
      <c r="H686" s="6" t="str">
        <f aca="false">IF(F686=0,"NOT FOUND",INDEX('All Song Rankings'!$B:$B,F686))</f>
        <v>Lindsey Stirling</v>
      </c>
      <c r="I686" s="6" t="str">
        <f aca="false">IF(F686=0,"NOT FOUND",INDEX('All Song Rankings'!$D:$D,F686))</f>
        <v>Leah</v>
      </c>
      <c r="J686" s="7" t="str">
        <f aca="false">IF(F686=0,"NOT FOUND",IF(C686=I686,"SELF-VOTE",IF(COUNTIF($K:$K,K686)&gt;1,"DUPLICATE","OK")))</f>
        <v>OK</v>
      </c>
      <c r="K686" s="6" t="str">
        <f aca="false">A686&amp;"|"&amp;B686&amp;"|"&amp;C686&amp;"|"&amp;D686</f>
        <v>2|2|Matt|spotify:track:1ssFg8Xr5A8O2U6JkKjZRz</v>
      </c>
    </row>
    <row r="687" customFormat="false" ht="15" hidden="false" customHeight="false" outlineLevel="0" collapsed="false">
      <c r="A687" s="5" t="n">
        <v>2</v>
      </c>
      <c r="B687" s="5" t="n">
        <v>2</v>
      </c>
      <c r="C687" s="5" t="s">
        <v>116</v>
      </c>
      <c r="D687" s="5" t="s">
        <v>453</v>
      </c>
      <c r="E687" s="5" t="n">
        <v>1</v>
      </c>
      <c r="F687" s="6" t="n">
        <f aca="false">IFERROR(MATCH(A687&amp;"|"&amp;B687&amp;"|"&amp;D687,'All Song Rankings'!$T:$T,0),0)</f>
        <v>114</v>
      </c>
      <c r="G687" s="6" t="str">
        <f aca="false">IF(F687=0,"NOT FOUND",INDEX('All Song Rankings'!$A:$A,F687))</f>
        <v>You Make It Feel Like Christmas</v>
      </c>
      <c r="H687" s="6" t="str">
        <f aca="false">IF(F687=0,"NOT FOUND",INDEX('All Song Rankings'!$B:$B,F687))</f>
        <v>Gwen Stefani</v>
      </c>
      <c r="I687" s="6" t="str">
        <f aca="false">IF(F687=0,"NOT FOUND",INDEX('All Song Rankings'!$D:$D,F687))</f>
        <v>Aubrey</v>
      </c>
      <c r="J687" s="7" t="str">
        <f aca="false">IF(F687=0,"NOT FOUND",IF(C687=I687,"SELF-VOTE",IF(COUNTIF($K:$K,K687)&gt;1,"DUPLICATE","OK")))</f>
        <v>OK</v>
      </c>
      <c r="K687" s="6" t="str">
        <f aca="false">A687&amp;"|"&amp;B687&amp;"|"&amp;C687&amp;"|"&amp;D687</f>
        <v>2|2|Matt|spotify:track:2OQ6a4CfUeYskpTTgyawyJ</v>
      </c>
    </row>
    <row r="688" customFormat="false" ht="15" hidden="false" customHeight="false" outlineLevel="0" collapsed="false">
      <c r="A688" s="5" t="n">
        <v>2</v>
      </c>
      <c r="B688" s="5" t="n">
        <v>2</v>
      </c>
      <c r="C688" s="5" t="s">
        <v>116</v>
      </c>
      <c r="D688" s="5" t="s">
        <v>447</v>
      </c>
      <c r="E688" s="5" t="n">
        <v>1</v>
      </c>
      <c r="F688" s="6" t="n">
        <f aca="false">IFERROR(MATCH(A688&amp;"|"&amp;B688&amp;"|"&amp;D688,'All Song Rankings'!$T:$T,0),0)</f>
        <v>112</v>
      </c>
      <c r="G688" s="6" t="str">
        <f aca="false">IF(F688=0,"NOT FOUND",INDEX('All Song Rankings'!$A:$A,F688))</f>
        <v>Better Days</v>
      </c>
      <c r="H688" s="6" t="str">
        <f aca="false">IF(F688=0,"NOT FOUND",INDEX('All Song Rankings'!$B:$B,F688))</f>
        <v>The Goo Goo Dolls</v>
      </c>
      <c r="I688" s="6" t="str">
        <f aca="false">IF(F688=0,"NOT FOUND",INDEX('All Song Rankings'!$D:$D,F688))</f>
        <v>Kristen</v>
      </c>
      <c r="J688" s="7" t="str">
        <f aca="false">IF(F688=0,"NOT FOUND",IF(C688=I688,"SELF-VOTE",IF(COUNTIF($K:$K,K688)&gt;1,"DUPLICATE","OK")))</f>
        <v>OK</v>
      </c>
      <c r="K688" s="6" t="str">
        <f aca="false">A688&amp;"|"&amp;B688&amp;"|"&amp;C688&amp;"|"&amp;D688</f>
        <v>2|2|Matt|spotify:track:2hiB8QxWic092OablwpoVC</v>
      </c>
    </row>
    <row r="689" customFormat="false" ht="15" hidden="false" customHeight="false" outlineLevel="0" collapsed="false">
      <c r="A689" s="5" t="n">
        <v>2</v>
      </c>
      <c r="B689" s="5" t="n">
        <v>2</v>
      </c>
      <c r="C689" s="5" t="s">
        <v>116</v>
      </c>
      <c r="D689" s="5" t="s">
        <v>412</v>
      </c>
      <c r="E689" s="5" t="n">
        <v>2</v>
      </c>
      <c r="F689" s="6" t="n">
        <f aca="false">IFERROR(MATCH(A689&amp;"|"&amp;B689&amp;"|"&amp;D689,'All Song Rankings'!$T:$T,0),0)</f>
        <v>101</v>
      </c>
      <c r="G689" s="6" t="str">
        <f aca="false">IF(F689=0,"NOT FOUND",INDEX('All Song Rankings'!$A:$A,F689))</f>
        <v>Christmas in Killarney</v>
      </c>
      <c r="H689" s="6" t="str">
        <f aca="false">IF(F689=0,"NOT FOUND",INDEX('All Song Rankings'!$B:$B,F689))</f>
        <v>The Irish Rovers</v>
      </c>
      <c r="I689" s="6" t="str">
        <f aca="false">IF(F689=0,"NOT FOUND",INDEX('All Song Rankings'!$D:$D,F689))</f>
        <v>Logan</v>
      </c>
      <c r="J689" s="7" t="str">
        <f aca="false">IF(F689=0,"NOT FOUND",IF(C689=I689,"SELF-VOTE",IF(COUNTIF($K:$K,K689)&gt;1,"DUPLICATE","OK")))</f>
        <v>OK</v>
      </c>
      <c r="K689" s="6" t="str">
        <f aca="false">A689&amp;"|"&amp;B689&amp;"|"&amp;C689&amp;"|"&amp;D689</f>
        <v>2|2|Matt|spotify:track:4XKj7iRK8QstOH4sG67YJf</v>
      </c>
    </row>
    <row r="690" customFormat="false" ht="15" hidden="false" customHeight="false" outlineLevel="0" collapsed="false">
      <c r="A690" s="5" t="n">
        <v>2</v>
      </c>
      <c r="B690" s="5" t="n">
        <v>2</v>
      </c>
      <c r="C690" s="5" t="s">
        <v>116</v>
      </c>
      <c r="D690" s="5" t="s">
        <v>450</v>
      </c>
      <c r="E690" s="5" t="n">
        <v>1</v>
      </c>
      <c r="F690" s="6" t="n">
        <f aca="false">IFERROR(MATCH(A690&amp;"|"&amp;B690&amp;"|"&amp;D690,'All Song Rankings'!$T:$T,0),0)</f>
        <v>113</v>
      </c>
      <c r="G690" s="6" t="str">
        <f aca="false">IF(F690=0,"NOT FOUND",INDEX('All Song Rankings'!$A:$A,F690))</f>
        <v>God Rest Ye Merry Gentlemen / We Three Kings</v>
      </c>
      <c r="H690" s="6" t="str">
        <f aca="false">IF(F690=0,"NOT FOUND",INDEX('All Song Rankings'!$B:$B,F690))</f>
        <v>Barenaked Ladies</v>
      </c>
      <c r="I690" s="6" t="str">
        <f aca="false">IF(F690=0,"NOT FOUND",INDEX('All Song Rankings'!$D:$D,F690))</f>
        <v>Grace</v>
      </c>
      <c r="J690" s="7" t="str">
        <f aca="false">IF(F690=0,"NOT FOUND",IF(C690=I690,"SELF-VOTE",IF(COUNTIF($K:$K,K690)&gt;1,"DUPLICATE","OK")))</f>
        <v>OK</v>
      </c>
      <c r="K690" s="6" t="str">
        <f aca="false">A690&amp;"|"&amp;B690&amp;"|"&amp;C690&amp;"|"&amp;D690</f>
        <v>2|2|Matt|spotify:track:6eou298JmAGYShrwYuLxJ2</v>
      </c>
    </row>
    <row r="691" customFormat="false" ht="15" hidden="false" customHeight="false" outlineLevel="0" collapsed="false">
      <c r="A691" s="5" t="n">
        <v>2</v>
      </c>
      <c r="B691" s="5" t="n">
        <v>2</v>
      </c>
      <c r="C691" s="5" t="s">
        <v>116</v>
      </c>
      <c r="D691" s="5" t="s">
        <v>426</v>
      </c>
      <c r="E691" s="5" t="n">
        <v>1</v>
      </c>
      <c r="F691" s="6" t="n">
        <f aca="false">IFERROR(MATCH(A691&amp;"|"&amp;B691&amp;"|"&amp;D691,'All Song Rankings'!$T:$T,0),0)</f>
        <v>105</v>
      </c>
      <c r="G691" s="6" t="str">
        <f aca="false">IF(F691=0,"NOT FOUND",INDEX('All Song Rankings'!$A:$A,F691))</f>
        <v>Greatest Time Of Year</v>
      </c>
      <c r="H691" s="6" t="str">
        <f aca="false">IF(F691=0,"NOT FOUND",INDEX('All Song Rankings'!$B:$B,F691))</f>
        <v>Aly &amp; AJ</v>
      </c>
      <c r="I691" s="6" t="str">
        <f aca="false">IF(F691=0,"NOT FOUND",INDEX('All Song Rankings'!$D:$D,F691))</f>
        <v>Kelsey</v>
      </c>
      <c r="J691" s="7" t="str">
        <f aca="false">IF(F691=0,"NOT FOUND",IF(C691=I691,"SELF-VOTE",IF(COUNTIF($K:$K,K691)&gt;1,"DUPLICATE","OK")))</f>
        <v>OK</v>
      </c>
      <c r="K691" s="6" t="str">
        <f aca="false">A691&amp;"|"&amp;B691&amp;"|"&amp;C691&amp;"|"&amp;D691</f>
        <v>2|2|Matt|spotify:track:7yrqJUfnjteV1FLe9dXcVa</v>
      </c>
    </row>
    <row r="692" customFormat="false" ht="15" hidden="false" customHeight="false" outlineLevel="0" collapsed="false">
      <c r="A692" s="5" t="n">
        <v>2</v>
      </c>
      <c r="B692" s="5" t="n">
        <v>2</v>
      </c>
      <c r="C692" s="5" t="s">
        <v>101</v>
      </c>
      <c r="D692" s="5" t="s">
        <v>444</v>
      </c>
      <c r="E692" s="5" t="n">
        <v>1</v>
      </c>
      <c r="F692" s="6" t="n">
        <f aca="false">IFERROR(MATCH(A692&amp;"|"&amp;B692&amp;"|"&amp;D692,'All Song Rankings'!$T:$T,0),0)</f>
        <v>111</v>
      </c>
      <c r="G692" s="6" t="str">
        <f aca="false">IF(F692=0,"NOT FOUND",INDEX('All Song Rankings'!$A:$A,F692))</f>
        <v>Short Red Silk Lingerie</v>
      </c>
      <c r="H692" s="6" t="str">
        <f aca="false">IF(F692=0,"NOT FOUND",INDEX('All Song Rankings'!$B:$B,F692))</f>
        <v>Sabrina Claudio</v>
      </c>
      <c r="I692" s="6" t="str">
        <f aca="false">IF(F692=0,"NOT FOUND",INDEX('All Song Rankings'!$D:$D,F692))</f>
        <v>Anya</v>
      </c>
      <c r="J692" s="7" t="str">
        <f aca="false">IF(F692=0,"NOT FOUND",IF(C692=I692,"SELF-VOTE",IF(COUNTIF($K:$K,K692)&gt;1,"DUPLICATE","OK")))</f>
        <v>OK</v>
      </c>
      <c r="K692" s="6" t="str">
        <f aca="false">A692&amp;"|"&amp;B692&amp;"|"&amp;C692&amp;"|"&amp;D692</f>
        <v>2|2|Merita|spotify:track:0984kdcFfmBkZv8M9x4wcb</v>
      </c>
    </row>
    <row r="693" customFormat="false" ht="15" hidden="false" customHeight="false" outlineLevel="0" collapsed="false">
      <c r="A693" s="5" t="n">
        <v>2</v>
      </c>
      <c r="B693" s="5" t="n">
        <v>2</v>
      </c>
      <c r="C693" s="5" t="s">
        <v>101</v>
      </c>
      <c r="D693" s="5" t="s">
        <v>419</v>
      </c>
      <c r="E693" s="5" t="n">
        <v>1</v>
      </c>
      <c r="F693" s="6" t="n">
        <f aca="false">IFERROR(MATCH(A693&amp;"|"&amp;B693&amp;"|"&amp;D693,'All Song Rankings'!$T:$T,0),0)</f>
        <v>103</v>
      </c>
      <c r="G693" s="6" t="str">
        <f aca="false">IF(F693=0,"NOT FOUND",INDEX('All Song Rankings'!$A:$A,F693))</f>
        <v>Maybe Just Go Outside(baby it's cold outside)</v>
      </c>
      <c r="H693" s="6" t="str">
        <f aca="false">IF(F693=0,"NOT FOUND",INDEX('All Song Rankings'!$B:$B,F693))</f>
        <v>Your Dead</v>
      </c>
      <c r="I693" s="6" t="str">
        <f aca="false">IF(F693=0,"NOT FOUND",INDEX('All Song Rankings'!$D:$D,F693))</f>
        <v>Maryann</v>
      </c>
      <c r="J693" s="7" t="str">
        <f aca="false">IF(F693=0,"NOT FOUND",IF(C693=I693,"SELF-VOTE",IF(COUNTIF($K:$K,K693)&gt;1,"DUPLICATE","OK")))</f>
        <v>OK</v>
      </c>
      <c r="K693" s="6" t="str">
        <f aca="false">A693&amp;"|"&amp;B693&amp;"|"&amp;C693&amp;"|"&amp;D693</f>
        <v>2|2|Merita|spotify:track:0onPWnKnRdmOnEQm4ZUTKG</v>
      </c>
    </row>
    <row r="694" customFormat="false" ht="15" hidden="false" customHeight="false" outlineLevel="0" collapsed="false">
      <c r="A694" s="5" t="n">
        <v>2</v>
      </c>
      <c r="B694" s="5" t="n">
        <v>2</v>
      </c>
      <c r="C694" s="5" t="s">
        <v>101</v>
      </c>
      <c r="D694" s="5" t="s">
        <v>423</v>
      </c>
      <c r="E694" s="5" t="n">
        <v>1</v>
      </c>
      <c r="F694" s="6" t="n">
        <f aca="false">IFERROR(MATCH(A694&amp;"|"&amp;B694&amp;"|"&amp;D694,'All Song Rankings'!$T:$T,0),0)</f>
        <v>104</v>
      </c>
      <c r="G694" s="6" t="str">
        <f aca="false">IF(F694=0,"NOT FOUND",INDEX('All Song Rankings'!$A:$A,F694))</f>
        <v>Warmer In The Winter</v>
      </c>
      <c r="H694" s="6" t="str">
        <f aca="false">IF(F694=0,"NOT FOUND",INDEX('All Song Rankings'!$B:$B,F694))</f>
        <v>Lindsey Stirling</v>
      </c>
      <c r="I694" s="6" t="str">
        <f aca="false">IF(F694=0,"NOT FOUND",INDEX('All Song Rankings'!$D:$D,F694))</f>
        <v>Leah</v>
      </c>
      <c r="J694" s="7" t="str">
        <f aca="false">IF(F694=0,"NOT FOUND",IF(C694=I694,"SELF-VOTE",IF(COUNTIF($K:$K,K694)&gt;1,"DUPLICATE","OK")))</f>
        <v>OK</v>
      </c>
      <c r="K694" s="6" t="str">
        <f aca="false">A694&amp;"|"&amp;B694&amp;"|"&amp;C694&amp;"|"&amp;D694</f>
        <v>2|2|Merita|spotify:track:1ssFg8Xr5A8O2U6JkKjZRz</v>
      </c>
    </row>
    <row r="695" customFormat="false" ht="15" hidden="false" customHeight="false" outlineLevel="0" collapsed="false">
      <c r="A695" s="5" t="n">
        <v>2</v>
      </c>
      <c r="B695" s="5" t="n">
        <v>2</v>
      </c>
      <c r="C695" s="5" t="s">
        <v>101</v>
      </c>
      <c r="D695" s="5" t="s">
        <v>447</v>
      </c>
      <c r="E695" s="5" t="n">
        <v>1</v>
      </c>
      <c r="F695" s="6" t="n">
        <f aca="false">IFERROR(MATCH(A695&amp;"|"&amp;B695&amp;"|"&amp;D695,'All Song Rankings'!$T:$T,0),0)</f>
        <v>112</v>
      </c>
      <c r="G695" s="6" t="str">
        <f aca="false">IF(F695=0,"NOT FOUND",INDEX('All Song Rankings'!$A:$A,F695))</f>
        <v>Better Days</v>
      </c>
      <c r="H695" s="6" t="str">
        <f aca="false">IF(F695=0,"NOT FOUND",INDEX('All Song Rankings'!$B:$B,F695))</f>
        <v>The Goo Goo Dolls</v>
      </c>
      <c r="I695" s="6" t="str">
        <f aca="false">IF(F695=0,"NOT FOUND",INDEX('All Song Rankings'!$D:$D,F695))</f>
        <v>Kristen</v>
      </c>
      <c r="J695" s="7" t="str">
        <f aca="false">IF(F695=0,"NOT FOUND",IF(C695=I695,"SELF-VOTE",IF(COUNTIF($K:$K,K695)&gt;1,"DUPLICATE","OK")))</f>
        <v>OK</v>
      </c>
      <c r="K695" s="6" t="str">
        <f aca="false">A695&amp;"|"&amp;B695&amp;"|"&amp;C695&amp;"|"&amp;D695</f>
        <v>2|2|Merita|spotify:track:2hiB8QxWic092OablwpoVC</v>
      </c>
    </row>
    <row r="696" customFormat="false" ht="15" hidden="false" customHeight="false" outlineLevel="0" collapsed="false">
      <c r="A696" s="5" t="n">
        <v>2</v>
      </c>
      <c r="B696" s="5" t="n">
        <v>2</v>
      </c>
      <c r="C696" s="5" t="s">
        <v>101</v>
      </c>
      <c r="D696" s="5" t="s">
        <v>412</v>
      </c>
      <c r="E696" s="5" t="n">
        <v>2</v>
      </c>
      <c r="F696" s="6" t="n">
        <f aca="false">IFERROR(MATCH(A696&amp;"|"&amp;B696&amp;"|"&amp;D696,'All Song Rankings'!$T:$T,0),0)</f>
        <v>101</v>
      </c>
      <c r="G696" s="6" t="str">
        <f aca="false">IF(F696=0,"NOT FOUND",INDEX('All Song Rankings'!$A:$A,F696))</f>
        <v>Christmas in Killarney</v>
      </c>
      <c r="H696" s="6" t="str">
        <f aca="false">IF(F696=0,"NOT FOUND",INDEX('All Song Rankings'!$B:$B,F696))</f>
        <v>The Irish Rovers</v>
      </c>
      <c r="I696" s="6" t="str">
        <f aca="false">IF(F696=0,"NOT FOUND",INDEX('All Song Rankings'!$D:$D,F696))</f>
        <v>Logan</v>
      </c>
      <c r="J696" s="7" t="str">
        <f aca="false">IF(F696=0,"NOT FOUND",IF(C696=I696,"SELF-VOTE",IF(COUNTIF($K:$K,K696)&gt;1,"DUPLICATE","OK")))</f>
        <v>OK</v>
      </c>
      <c r="K696" s="6" t="str">
        <f aca="false">A696&amp;"|"&amp;B696&amp;"|"&amp;C696&amp;"|"&amp;D696</f>
        <v>2|2|Merita|spotify:track:4XKj7iRK8QstOH4sG67YJf</v>
      </c>
    </row>
    <row r="697" customFormat="false" ht="15" hidden="false" customHeight="false" outlineLevel="0" collapsed="false">
      <c r="A697" s="5" t="n">
        <v>2</v>
      </c>
      <c r="B697" s="5" t="n">
        <v>2</v>
      </c>
      <c r="C697" s="5" t="s">
        <v>101</v>
      </c>
      <c r="D697" s="5" t="s">
        <v>416</v>
      </c>
      <c r="E697" s="5" t="n">
        <v>2</v>
      </c>
      <c r="F697" s="6" t="n">
        <f aca="false">IFERROR(MATCH(A697&amp;"|"&amp;B697&amp;"|"&amp;D697,'All Song Rankings'!$T:$T,0),0)</f>
        <v>102</v>
      </c>
      <c r="G697" s="6" t="str">
        <f aca="false">IF(F697=0,"NOT FOUND",INDEX('All Song Rankings'!$A:$A,F697))</f>
        <v>The 12 Days of Christmas</v>
      </c>
      <c r="H697" s="6" t="str">
        <f aca="false">IF(F697=0,"NOT FOUND",INDEX('All Song Rankings'!$B:$B,F697))</f>
        <v>Straight No Chaser</v>
      </c>
      <c r="I697" s="6" t="str">
        <f aca="false">IF(F697=0,"NOT FOUND",INDEX('All Song Rankings'!$D:$D,F697))</f>
        <v>Matt</v>
      </c>
      <c r="J697" s="7" t="str">
        <f aca="false">IF(F697=0,"NOT FOUND",IF(C697=I697,"SELF-VOTE",IF(COUNTIF($K:$K,K697)&gt;1,"DUPLICATE","OK")))</f>
        <v>OK</v>
      </c>
      <c r="K697" s="6" t="str">
        <f aca="false">A697&amp;"|"&amp;B697&amp;"|"&amp;C697&amp;"|"&amp;D697</f>
        <v>2|2|Merita|spotify:track:5f5wlkRHWhYxOdp1hOUsTb</v>
      </c>
    </row>
    <row r="698" customFormat="false" ht="15" hidden="false" customHeight="false" outlineLevel="0" collapsed="false">
      <c r="A698" s="5" t="n">
        <v>2</v>
      </c>
      <c r="B698" s="5" t="n">
        <v>2</v>
      </c>
      <c r="C698" s="5" t="s">
        <v>101</v>
      </c>
      <c r="D698" s="5" t="s">
        <v>430</v>
      </c>
      <c r="E698" s="5" t="n">
        <v>1</v>
      </c>
      <c r="F698" s="6" t="n">
        <f aca="false">IFERROR(MATCH(A698&amp;"|"&amp;B698&amp;"|"&amp;D698,'All Song Rankings'!$T:$T,0),0)</f>
        <v>106</v>
      </c>
      <c r="G698" s="6" t="str">
        <f aca="false">IF(F698=0,"NOT FOUND",INDEX('All Song Rankings'!$A:$A,F698))</f>
        <v>Dominick the Donkey (The Italian Christmas Donkey)</v>
      </c>
      <c r="H698" s="6" t="str">
        <f aca="false">IF(F698=0,"NOT FOUND",INDEX('All Song Rankings'!$B:$B,F698))</f>
        <v>Lou Monte</v>
      </c>
      <c r="I698" s="6" t="str">
        <f aca="false">IF(F698=0,"NOT FOUND",INDEX('All Song Rankings'!$D:$D,F698))</f>
        <v>Shayne</v>
      </c>
      <c r="J698" s="7" t="str">
        <f aca="false">IF(F698=0,"NOT FOUND",IF(C698=I698,"SELF-VOTE",IF(COUNTIF($K:$K,K698)&gt;1,"DUPLICATE","OK")))</f>
        <v>OK</v>
      </c>
      <c r="K698" s="6" t="str">
        <f aca="false">A698&amp;"|"&amp;B698&amp;"|"&amp;C698&amp;"|"&amp;D698</f>
        <v>2|2|Merita|spotify:track:6W332S9Wbc6TOBlChnemKD</v>
      </c>
    </row>
    <row r="699" customFormat="false" ht="15" hidden="false" customHeight="false" outlineLevel="0" collapsed="false">
      <c r="A699" s="5" t="n">
        <v>2</v>
      </c>
      <c r="B699" s="5" t="n">
        <v>2</v>
      </c>
      <c r="C699" s="5" t="s">
        <v>101</v>
      </c>
      <c r="D699" s="5" t="s">
        <v>426</v>
      </c>
      <c r="E699" s="5" t="n">
        <v>1</v>
      </c>
      <c r="F699" s="6" t="n">
        <f aca="false">IFERROR(MATCH(A699&amp;"|"&amp;B699&amp;"|"&amp;D699,'All Song Rankings'!$T:$T,0),0)</f>
        <v>105</v>
      </c>
      <c r="G699" s="6" t="str">
        <f aca="false">IF(F699=0,"NOT FOUND",INDEX('All Song Rankings'!$A:$A,F699))</f>
        <v>Greatest Time Of Year</v>
      </c>
      <c r="H699" s="6" t="str">
        <f aca="false">IF(F699=0,"NOT FOUND",INDEX('All Song Rankings'!$B:$B,F699))</f>
        <v>Aly &amp; AJ</v>
      </c>
      <c r="I699" s="6" t="str">
        <f aca="false">IF(F699=0,"NOT FOUND",INDEX('All Song Rankings'!$D:$D,F699))</f>
        <v>Kelsey</v>
      </c>
      <c r="J699" s="7" t="str">
        <f aca="false">IF(F699=0,"NOT FOUND",IF(C699=I699,"SELF-VOTE",IF(COUNTIF($K:$K,K699)&gt;1,"DUPLICATE","OK")))</f>
        <v>OK</v>
      </c>
      <c r="K699" s="6" t="str">
        <f aca="false">A699&amp;"|"&amp;B699&amp;"|"&amp;C699&amp;"|"&amp;D699</f>
        <v>2|2|Merita|spotify:track:7yrqJUfnjteV1FLe9dXcVa</v>
      </c>
    </row>
    <row r="700" customFormat="false" ht="15" hidden="false" customHeight="false" outlineLevel="0" collapsed="false">
      <c r="A700" s="5" t="n">
        <v>2</v>
      </c>
      <c r="B700" s="5" t="n">
        <v>2</v>
      </c>
      <c r="C700" s="5" t="s">
        <v>92</v>
      </c>
      <c r="D700" s="5" t="s">
        <v>444</v>
      </c>
      <c r="E700" s="5" t="n">
        <v>1</v>
      </c>
      <c r="F700" s="6" t="n">
        <f aca="false">IFERROR(MATCH(A700&amp;"|"&amp;B700&amp;"|"&amp;D700,'All Song Rankings'!$T:$T,0),0)</f>
        <v>111</v>
      </c>
      <c r="G700" s="6" t="str">
        <f aca="false">IF(F700=0,"NOT FOUND",INDEX('All Song Rankings'!$A:$A,F700))</f>
        <v>Short Red Silk Lingerie</v>
      </c>
      <c r="H700" s="6" t="str">
        <f aca="false">IF(F700=0,"NOT FOUND",INDEX('All Song Rankings'!$B:$B,F700))</f>
        <v>Sabrina Claudio</v>
      </c>
      <c r="I700" s="6" t="str">
        <f aca="false">IF(F700=0,"NOT FOUND",INDEX('All Song Rankings'!$D:$D,F700))</f>
        <v>Anya</v>
      </c>
      <c r="J700" s="7" t="str">
        <f aca="false">IF(F700=0,"NOT FOUND",IF(C700=I700,"SELF-VOTE",IF(COUNTIF($K:$K,K700)&gt;1,"DUPLICATE","OK")))</f>
        <v>OK</v>
      </c>
      <c r="K700" s="6" t="str">
        <f aca="false">A700&amp;"|"&amp;B700&amp;"|"&amp;C700&amp;"|"&amp;D700</f>
        <v>2|2|Nicole|spotify:track:0984kdcFfmBkZv8M9x4wcb</v>
      </c>
    </row>
    <row r="701" customFormat="false" ht="15" hidden="false" customHeight="false" outlineLevel="0" collapsed="false">
      <c r="A701" s="5" t="n">
        <v>2</v>
      </c>
      <c r="B701" s="5" t="n">
        <v>2</v>
      </c>
      <c r="C701" s="5" t="s">
        <v>92</v>
      </c>
      <c r="D701" s="5" t="s">
        <v>433</v>
      </c>
      <c r="E701" s="5" t="n">
        <v>1</v>
      </c>
      <c r="F701" s="6" t="n">
        <f aca="false">IFERROR(MATCH(A701&amp;"|"&amp;B701&amp;"|"&amp;D701,'All Song Rankings'!$T:$T,0),0)</f>
        <v>107</v>
      </c>
      <c r="G701" s="6" t="str">
        <f aca="false">IF(F701=0,"NOT FOUND",INDEX('All Song Rankings'!$A:$A,F701))</f>
        <v>Drummer Boy</v>
      </c>
      <c r="H701" s="6" t="str">
        <f aca="false">IF(F701=0,"NOT FOUND",INDEX('All Song Rankings'!$B:$B,F701))</f>
        <v>Justin Bieber</v>
      </c>
      <c r="I701" s="6" t="str">
        <f aca="false">IF(F701=0,"NOT FOUND",INDEX('All Song Rankings'!$D:$D,F701))</f>
        <v>Makenzie</v>
      </c>
      <c r="J701" s="7" t="str">
        <f aca="false">IF(F701=0,"NOT FOUND",IF(C701=I701,"SELF-VOTE",IF(COUNTIF($K:$K,K701)&gt;1,"DUPLICATE","OK")))</f>
        <v>OK</v>
      </c>
      <c r="K701" s="6" t="str">
        <f aca="false">A701&amp;"|"&amp;B701&amp;"|"&amp;C701&amp;"|"&amp;D701</f>
        <v>2|2|Nicole|spotify:track:0Pd4lsvSDPkcNCxbcz0UeV</v>
      </c>
    </row>
    <row r="702" customFormat="false" ht="15" hidden="false" customHeight="false" outlineLevel="0" collapsed="false">
      <c r="A702" s="5" t="n">
        <v>2</v>
      </c>
      <c r="B702" s="5" t="n">
        <v>2</v>
      </c>
      <c r="C702" s="5" t="s">
        <v>92</v>
      </c>
      <c r="D702" s="5" t="s">
        <v>441</v>
      </c>
      <c r="E702" s="5" t="n">
        <v>1</v>
      </c>
      <c r="F702" s="6" t="n">
        <f aca="false">IFERROR(MATCH(A702&amp;"|"&amp;B702&amp;"|"&amp;D702,'All Song Rankings'!$T:$T,0),0)</f>
        <v>110</v>
      </c>
      <c r="G702" s="6" t="str">
        <f aca="false">IF(F702=0,"NOT FOUND",INDEX('All Song Rankings'!$A:$A,F702))</f>
        <v>Cold December Night</v>
      </c>
      <c r="H702" s="6" t="str">
        <f aca="false">IF(F702=0,"NOT FOUND",INDEX('All Song Rankings'!$B:$B,F702))</f>
        <v>Michael Bublé</v>
      </c>
      <c r="I702" s="6" t="str">
        <f aca="false">IF(F702=0,"NOT FOUND",INDEX('All Song Rankings'!$D:$D,F702))</f>
        <v>Stephanie</v>
      </c>
      <c r="J702" s="7" t="str">
        <f aca="false">IF(F702=0,"NOT FOUND",IF(C702=I702,"SELF-VOTE",IF(COUNTIF($K:$K,K702)&gt;1,"DUPLICATE","OK")))</f>
        <v>OK</v>
      </c>
      <c r="K702" s="6" t="str">
        <f aca="false">A702&amp;"|"&amp;B702&amp;"|"&amp;C702&amp;"|"&amp;D702</f>
        <v>2|2|Nicole|spotify:track:0h2dcuCb1emDJa6UfghZWq</v>
      </c>
    </row>
    <row r="703" customFormat="false" ht="15" hidden="false" customHeight="false" outlineLevel="0" collapsed="false">
      <c r="A703" s="5" t="n">
        <v>2</v>
      </c>
      <c r="B703" s="5" t="n">
        <v>2</v>
      </c>
      <c r="C703" s="5" t="s">
        <v>92</v>
      </c>
      <c r="D703" s="5" t="s">
        <v>419</v>
      </c>
      <c r="E703" s="5" t="n">
        <v>1</v>
      </c>
      <c r="F703" s="6" t="n">
        <f aca="false">IFERROR(MATCH(A703&amp;"|"&amp;B703&amp;"|"&amp;D703,'All Song Rankings'!$T:$T,0),0)</f>
        <v>103</v>
      </c>
      <c r="G703" s="6" t="str">
        <f aca="false">IF(F703=0,"NOT FOUND",INDEX('All Song Rankings'!$A:$A,F703))</f>
        <v>Maybe Just Go Outside(baby it's cold outside)</v>
      </c>
      <c r="H703" s="6" t="str">
        <f aca="false">IF(F703=0,"NOT FOUND",INDEX('All Song Rankings'!$B:$B,F703))</f>
        <v>Your Dead</v>
      </c>
      <c r="I703" s="6" t="str">
        <f aca="false">IF(F703=0,"NOT FOUND",INDEX('All Song Rankings'!$D:$D,F703))</f>
        <v>Maryann</v>
      </c>
      <c r="J703" s="7" t="str">
        <f aca="false">IF(F703=0,"NOT FOUND",IF(C703=I703,"SELF-VOTE",IF(COUNTIF($K:$K,K703)&gt;1,"DUPLICATE","OK")))</f>
        <v>OK</v>
      </c>
      <c r="K703" s="6" t="str">
        <f aca="false">A703&amp;"|"&amp;B703&amp;"|"&amp;C703&amp;"|"&amp;D703</f>
        <v>2|2|Nicole|spotify:track:0onPWnKnRdmOnEQm4ZUTKG</v>
      </c>
    </row>
    <row r="704" customFormat="false" ht="15" hidden="false" customHeight="false" outlineLevel="0" collapsed="false">
      <c r="A704" s="5" t="n">
        <v>2</v>
      </c>
      <c r="B704" s="5" t="n">
        <v>2</v>
      </c>
      <c r="C704" s="5" t="s">
        <v>92</v>
      </c>
      <c r="D704" s="5" t="s">
        <v>423</v>
      </c>
      <c r="E704" s="5" t="n">
        <v>1</v>
      </c>
      <c r="F704" s="6" t="n">
        <f aca="false">IFERROR(MATCH(A704&amp;"|"&amp;B704&amp;"|"&amp;D704,'All Song Rankings'!$T:$T,0),0)</f>
        <v>104</v>
      </c>
      <c r="G704" s="6" t="str">
        <f aca="false">IF(F704=0,"NOT FOUND",INDEX('All Song Rankings'!$A:$A,F704))</f>
        <v>Warmer In The Winter</v>
      </c>
      <c r="H704" s="6" t="str">
        <f aca="false">IF(F704=0,"NOT FOUND",INDEX('All Song Rankings'!$B:$B,F704))</f>
        <v>Lindsey Stirling</v>
      </c>
      <c r="I704" s="6" t="str">
        <f aca="false">IF(F704=0,"NOT FOUND",INDEX('All Song Rankings'!$D:$D,F704))</f>
        <v>Leah</v>
      </c>
      <c r="J704" s="7" t="str">
        <f aca="false">IF(F704=0,"NOT FOUND",IF(C704=I704,"SELF-VOTE",IF(COUNTIF($K:$K,K704)&gt;1,"DUPLICATE","OK")))</f>
        <v>OK</v>
      </c>
      <c r="K704" s="6" t="str">
        <f aca="false">A704&amp;"|"&amp;B704&amp;"|"&amp;C704&amp;"|"&amp;D704</f>
        <v>2|2|Nicole|spotify:track:1ssFg8Xr5A8O2U6JkKjZRz</v>
      </c>
    </row>
    <row r="705" customFormat="false" ht="15" hidden="false" customHeight="false" outlineLevel="0" collapsed="false">
      <c r="A705" s="5" t="n">
        <v>2</v>
      </c>
      <c r="B705" s="5" t="n">
        <v>2</v>
      </c>
      <c r="C705" s="5" t="s">
        <v>92</v>
      </c>
      <c r="D705" s="5" t="s">
        <v>453</v>
      </c>
      <c r="E705" s="5" t="n">
        <v>1</v>
      </c>
      <c r="F705" s="6" t="n">
        <f aca="false">IFERROR(MATCH(A705&amp;"|"&amp;B705&amp;"|"&amp;D705,'All Song Rankings'!$T:$T,0),0)</f>
        <v>114</v>
      </c>
      <c r="G705" s="6" t="str">
        <f aca="false">IF(F705=0,"NOT FOUND",INDEX('All Song Rankings'!$A:$A,F705))</f>
        <v>You Make It Feel Like Christmas</v>
      </c>
      <c r="H705" s="6" t="str">
        <f aca="false">IF(F705=0,"NOT FOUND",INDEX('All Song Rankings'!$B:$B,F705))</f>
        <v>Gwen Stefani</v>
      </c>
      <c r="I705" s="6" t="str">
        <f aca="false">IF(F705=0,"NOT FOUND",INDEX('All Song Rankings'!$D:$D,F705))</f>
        <v>Aubrey</v>
      </c>
      <c r="J705" s="7" t="str">
        <f aca="false">IF(F705=0,"NOT FOUND",IF(C705=I705,"SELF-VOTE",IF(COUNTIF($K:$K,K705)&gt;1,"DUPLICATE","OK")))</f>
        <v>OK</v>
      </c>
      <c r="K705" s="6" t="str">
        <f aca="false">A705&amp;"|"&amp;B705&amp;"|"&amp;C705&amp;"|"&amp;D705</f>
        <v>2|2|Nicole|spotify:track:2OQ6a4CfUeYskpTTgyawyJ</v>
      </c>
    </row>
    <row r="706" customFormat="false" ht="15" hidden="false" customHeight="false" outlineLevel="0" collapsed="false">
      <c r="A706" s="5" t="n">
        <v>2</v>
      </c>
      <c r="B706" s="5" t="n">
        <v>2</v>
      </c>
      <c r="C706" s="5" t="s">
        <v>92</v>
      </c>
      <c r="D706" s="5" t="s">
        <v>436</v>
      </c>
      <c r="E706" s="5" t="n">
        <v>1</v>
      </c>
      <c r="F706" s="6" t="n">
        <f aca="false">IFERROR(MATCH(A706&amp;"|"&amp;B706&amp;"|"&amp;D706,'All Song Rankings'!$T:$T,0),0)</f>
        <v>108</v>
      </c>
      <c r="G706" s="6" t="str">
        <f aca="false">IF(F706=0,"NOT FOUND",INDEX('All Song Rankings'!$A:$A,F706))</f>
        <v>That's Christmas to Me</v>
      </c>
      <c r="H706" s="6" t="str">
        <f aca="false">IF(F706=0,"NOT FOUND",INDEX('All Song Rankings'!$B:$B,F706))</f>
        <v>Pentatonix</v>
      </c>
      <c r="I706" s="6" t="str">
        <f aca="false">IF(F706=0,"NOT FOUND",INDEX('All Song Rankings'!$D:$D,F706))</f>
        <v>Merita</v>
      </c>
      <c r="J706" s="7" t="str">
        <f aca="false">IF(F706=0,"NOT FOUND",IF(C706=I706,"SELF-VOTE",IF(COUNTIF($K:$K,K706)&gt;1,"DUPLICATE","OK")))</f>
        <v>OK</v>
      </c>
      <c r="K706" s="6" t="str">
        <f aca="false">A706&amp;"|"&amp;B706&amp;"|"&amp;C706&amp;"|"&amp;D706</f>
        <v>2|2|Nicole|spotify:track:2U9kDk5mlHYunC7PvbZ8KX</v>
      </c>
    </row>
    <row r="707" customFormat="false" ht="15" hidden="false" customHeight="false" outlineLevel="0" collapsed="false">
      <c r="A707" s="5" t="n">
        <v>2</v>
      </c>
      <c r="B707" s="5" t="n">
        <v>2</v>
      </c>
      <c r="C707" s="5" t="s">
        <v>92</v>
      </c>
      <c r="D707" s="5" t="s">
        <v>412</v>
      </c>
      <c r="E707" s="5" t="n">
        <v>1</v>
      </c>
      <c r="F707" s="6" t="n">
        <f aca="false">IFERROR(MATCH(A707&amp;"|"&amp;B707&amp;"|"&amp;D707,'All Song Rankings'!$T:$T,0),0)</f>
        <v>101</v>
      </c>
      <c r="G707" s="6" t="str">
        <f aca="false">IF(F707=0,"NOT FOUND",INDEX('All Song Rankings'!$A:$A,F707))</f>
        <v>Christmas in Killarney</v>
      </c>
      <c r="H707" s="6" t="str">
        <f aca="false">IF(F707=0,"NOT FOUND",INDEX('All Song Rankings'!$B:$B,F707))</f>
        <v>The Irish Rovers</v>
      </c>
      <c r="I707" s="6" t="str">
        <f aca="false">IF(F707=0,"NOT FOUND",INDEX('All Song Rankings'!$D:$D,F707))</f>
        <v>Logan</v>
      </c>
      <c r="J707" s="7" t="str">
        <f aca="false">IF(F707=0,"NOT FOUND",IF(C707=I707,"SELF-VOTE",IF(COUNTIF($K:$K,K707)&gt;1,"DUPLICATE","OK")))</f>
        <v>OK</v>
      </c>
      <c r="K707" s="6" t="str">
        <f aca="false">A707&amp;"|"&amp;B707&amp;"|"&amp;C707&amp;"|"&amp;D707</f>
        <v>2|2|Nicole|spotify:track:4XKj7iRK8QstOH4sG67YJf</v>
      </c>
    </row>
    <row r="708" customFormat="false" ht="15" hidden="false" customHeight="false" outlineLevel="0" collapsed="false">
      <c r="A708" s="5" t="n">
        <v>2</v>
      </c>
      <c r="B708" s="5" t="n">
        <v>2</v>
      </c>
      <c r="C708" s="5" t="s">
        <v>92</v>
      </c>
      <c r="D708" s="5" t="s">
        <v>450</v>
      </c>
      <c r="E708" s="5" t="n">
        <v>1</v>
      </c>
      <c r="F708" s="6" t="n">
        <f aca="false">IFERROR(MATCH(A708&amp;"|"&amp;B708&amp;"|"&amp;D708,'All Song Rankings'!$T:$T,0),0)</f>
        <v>113</v>
      </c>
      <c r="G708" s="6" t="str">
        <f aca="false">IF(F708=0,"NOT FOUND",INDEX('All Song Rankings'!$A:$A,F708))</f>
        <v>God Rest Ye Merry Gentlemen / We Three Kings</v>
      </c>
      <c r="H708" s="6" t="str">
        <f aca="false">IF(F708=0,"NOT FOUND",INDEX('All Song Rankings'!$B:$B,F708))</f>
        <v>Barenaked Ladies</v>
      </c>
      <c r="I708" s="6" t="str">
        <f aca="false">IF(F708=0,"NOT FOUND",INDEX('All Song Rankings'!$D:$D,F708))</f>
        <v>Grace</v>
      </c>
      <c r="J708" s="7" t="str">
        <f aca="false">IF(F708=0,"NOT FOUND",IF(C708=I708,"SELF-VOTE",IF(COUNTIF($K:$K,K708)&gt;1,"DUPLICATE","OK")))</f>
        <v>OK</v>
      </c>
      <c r="K708" s="6" t="str">
        <f aca="false">A708&amp;"|"&amp;B708&amp;"|"&amp;C708&amp;"|"&amp;D708</f>
        <v>2|2|Nicole|spotify:track:6eou298JmAGYShrwYuLxJ2</v>
      </c>
    </row>
    <row r="709" customFormat="false" ht="15" hidden="false" customHeight="false" outlineLevel="0" collapsed="false">
      <c r="A709" s="5" t="n">
        <v>2</v>
      </c>
      <c r="B709" s="5" t="n">
        <v>2</v>
      </c>
      <c r="C709" s="5" t="s">
        <v>92</v>
      </c>
      <c r="D709" s="5" t="s">
        <v>426</v>
      </c>
      <c r="E709" s="5" t="n">
        <v>1</v>
      </c>
      <c r="F709" s="6" t="n">
        <f aca="false">IFERROR(MATCH(A709&amp;"|"&amp;B709&amp;"|"&amp;D709,'All Song Rankings'!$T:$T,0),0)</f>
        <v>105</v>
      </c>
      <c r="G709" s="6" t="str">
        <f aca="false">IF(F709=0,"NOT FOUND",INDEX('All Song Rankings'!$A:$A,F709))</f>
        <v>Greatest Time Of Year</v>
      </c>
      <c r="H709" s="6" t="str">
        <f aca="false">IF(F709=0,"NOT FOUND",INDEX('All Song Rankings'!$B:$B,F709))</f>
        <v>Aly &amp; AJ</v>
      </c>
      <c r="I709" s="6" t="str">
        <f aca="false">IF(F709=0,"NOT FOUND",INDEX('All Song Rankings'!$D:$D,F709))</f>
        <v>Kelsey</v>
      </c>
      <c r="J709" s="7" t="str">
        <f aca="false">IF(F709=0,"NOT FOUND",IF(C709=I709,"SELF-VOTE",IF(COUNTIF($K:$K,K709)&gt;1,"DUPLICATE","OK")))</f>
        <v>OK</v>
      </c>
      <c r="K709" s="6" t="str">
        <f aca="false">A709&amp;"|"&amp;B709&amp;"|"&amp;C709&amp;"|"&amp;D709</f>
        <v>2|2|Nicole|spotify:track:7yrqJUfnjteV1FLe9dXcVa</v>
      </c>
    </row>
    <row r="710" customFormat="false" ht="15" hidden="false" customHeight="false" outlineLevel="0" collapsed="false">
      <c r="A710" s="5" t="n">
        <v>2</v>
      </c>
      <c r="B710" s="5" t="n">
        <v>2</v>
      </c>
      <c r="C710" s="5" t="s">
        <v>378</v>
      </c>
      <c r="D710" s="5" t="s">
        <v>444</v>
      </c>
      <c r="E710" s="5" t="n">
        <v>1</v>
      </c>
      <c r="F710" s="6" t="n">
        <f aca="false">IFERROR(MATCH(A710&amp;"|"&amp;B710&amp;"|"&amp;D710,'All Song Rankings'!$T:$T,0),0)</f>
        <v>111</v>
      </c>
      <c r="G710" s="6" t="str">
        <f aca="false">IF(F710=0,"NOT FOUND",INDEX('All Song Rankings'!$A:$A,F710))</f>
        <v>Short Red Silk Lingerie</v>
      </c>
      <c r="H710" s="6" t="str">
        <f aca="false">IF(F710=0,"NOT FOUND",INDEX('All Song Rankings'!$B:$B,F710))</f>
        <v>Sabrina Claudio</v>
      </c>
      <c r="I710" s="6" t="str">
        <f aca="false">IF(F710=0,"NOT FOUND",INDEX('All Song Rankings'!$D:$D,F710))</f>
        <v>Anya</v>
      </c>
      <c r="J710" s="7" t="str">
        <f aca="false">IF(F710=0,"NOT FOUND",IF(C710=I710,"SELF-VOTE",IF(COUNTIF($K:$K,K710)&gt;1,"DUPLICATE","OK")))</f>
        <v>OK</v>
      </c>
      <c r="K710" s="6" t="str">
        <f aca="false">A710&amp;"|"&amp;B710&amp;"|"&amp;C710&amp;"|"&amp;D710</f>
        <v>2|2|Shayne|spotify:track:0984kdcFfmBkZv8M9x4wcb</v>
      </c>
    </row>
    <row r="711" customFormat="false" ht="15" hidden="false" customHeight="false" outlineLevel="0" collapsed="false">
      <c r="A711" s="5" t="n">
        <v>2</v>
      </c>
      <c r="B711" s="5" t="n">
        <v>2</v>
      </c>
      <c r="C711" s="5" t="s">
        <v>378</v>
      </c>
      <c r="D711" s="5" t="s">
        <v>419</v>
      </c>
      <c r="E711" s="5" t="n">
        <v>2</v>
      </c>
      <c r="F711" s="6" t="n">
        <f aca="false">IFERROR(MATCH(A711&amp;"|"&amp;B711&amp;"|"&amp;D711,'All Song Rankings'!$T:$T,0),0)</f>
        <v>103</v>
      </c>
      <c r="G711" s="6" t="str">
        <f aca="false">IF(F711=0,"NOT FOUND",INDEX('All Song Rankings'!$A:$A,F711))</f>
        <v>Maybe Just Go Outside(baby it's cold outside)</v>
      </c>
      <c r="H711" s="6" t="str">
        <f aca="false">IF(F711=0,"NOT FOUND",INDEX('All Song Rankings'!$B:$B,F711))</f>
        <v>Your Dead</v>
      </c>
      <c r="I711" s="6" t="str">
        <f aca="false">IF(F711=0,"NOT FOUND",INDEX('All Song Rankings'!$D:$D,F711))</f>
        <v>Maryann</v>
      </c>
      <c r="J711" s="7" t="str">
        <f aca="false">IF(F711=0,"NOT FOUND",IF(C711=I711,"SELF-VOTE",IF(COUNTIF($K:$K,K711)&gt;1,"DUPLICATE","OK")))</f>
        <v>OK</v>
      </c>
      <c r="K711" s="6" t="str">
        <f aca="false">A711&amp;"|"&amp;B711&amp;"|"&amp;C711&amp;"|"&amp;D711</f>
        <v>2|2|Shayne|spotify:track:0onPWnKnRdmOnEQm4ZUTKG</v>
      </c>
    </row>
    <row r="712" customFormat="false" ht="15" hidden="false" customHeight="false" outlineLevel="0" collapsed="false">
      <c r="A712" s="5" t="n">
        <v>2</v>
      </c>
      <c r="B712" s="5" t="n">
        <v>2</v>
      </c>
      <c r="C712" s="5" t="s">
        <v>378</v>
      </c>
      <c r="D712" s="5" t="s">
        <v>423</v>
      </c>
      <c r="E712" s="5" t="n">
        <v>2</v>
      </c>
      <c r="F712" s="6" t="n">
        <f aca="false">IFERROR(MATCH(A712&amp;"|"&amp;B712&amp;"|"&amp;D712,'All Song Rankings'!$T:$T,0),0)</f>
        <v>104</v>
      </c>
      <c r="G712" s="6" t="str">
        <f aca="false">IF(F712=0,"NOT FOUND",INDEX('All Song Rankings'!$A:$A,F712))</f>
        <v>Warmer In The Winter</v>
      </c>
      <c r="H712" s="6" t="str">
        <f aca="false">IF(F712=0,"NOT FOUND",INDEX('All Song Rankings'!$B:$B,F712))</f>
        <v>Lindsey Stirling</v>
      </c>
      <c r="I712" s="6" t="str">
        <f aca="false">IF(F712=0,"NOT FOUND",INDEX('All Song Rankings'!$D:$D,F712))</f>
        <v>Leah</v>
      </c>
      <c r="J712" s="7" t="str">
        <f aca="false">IF(F712=0,"NOT FOUND",IF(C712=I712,"SELF-VOTE",IF(COUNTIF($K:$K,K712)&gt;1,"DUPLICATE","OK")))</f>
        <v>OK</v>
      </c>
      <c r="K712" s="6" t="str">
        <f aca="false">A712&amp;"|"&amp;B712&amp;"|"&amp;C712&amp;"|"&amp;D712</f>
        <v>2|2|Shayne|spotify:track:1ssFg8Xr5A8O2U6JkKjZRz</v>
      </c>
    </row>
    <row r="713" customFormat="false" ht="15" hidden="false" customHeight="false" outlineLevel="0" collapsed="false">
      <c r="A713" s="5" t="n">
        <v>2</v>
      </c>
      <c r="B713" s="5" t="n">
        <v>2</v>
      </c>
      <c r="C713" s="5" t="s">
        <v>378</v>
      </c>
      <c r="D713" s="5" t="s">
        <v>453</v>
      </c>
      <c r="E713" s="5" t="n">
        <v>1</v>
      </c>
      <c r="F713" s="6" t="n">
        <f aca="false">IFERROR(MATCH(A713&amp;"|"&amp;B713&amp;"|"&amp;D713,'All Song Rankings'!$T:$T,0),0)</f>
        <v>114</v>
      </c>
      <c r="G713" s="6" t="str">
        <f aca="false">IF(F713=0,"NOT FOUND",INDEX('All Song Rankings'!$A:$A,F713))</f>
        <v>You Make It Feel Like Christmas</v>
      </c>
      <c r="H713" s="6" t="str">
        <f aca="false">IF(F713=0,"NOT FOUND",INDEX('All Song Rankings'!$B:$B,F713))</f>
        <v>Gwen Stefani</v>
      </c>
      <c r="I713" s="6" t="str">
        <f aca="false">IF(F713=0,"NOT FOUND",INDEX('All Song Rankings'!$D:$D,F713))</f>
        <v>Aubrey</v>
      </c>
      <c r="J713" s="7" t="str">
        <f aca="false">IF(F713=0,"NOT FOUND",IF(C713=I713,"SELF-VOTE",IF(COUNTIF($K:$K,K713)&gt;1,"DUPLICATE","OK")))</f>
        <v>OK</v>
      </c>
      <c r="K713" s="6" t="str">
        <f aca="false">A713&amp;"|"&amp;B713&amp;"|"&amp;C713&amp;"|"&amp;D713</f>
        <v>2|2|Shayne|spotify:track:2OQ6a4CfUeYskpTTgyawyJ</v>
      </c>
    </row>
    <row r="714" customFormat="false" ht="15" hidden="false" customHeight="false" outlineLevel="0" collapsed="false">
      <c r="A714" s="5" t="n">
        <v>2</v>
      </c>
      <c r="B714" s="5" t="n">
        <v>2</v>
      </c>
      <c r="C714" s="5" t="s">
        <v>378</v>
      </c>
      <c r="D714" s="5" t="s">
        <v>436</v>
      </c>
      <c r="E714" s="5" t="n">
        <v>1</v>
      </c>
      <c r="F714" s="6" t="n">
        <f aca="false">IFERROR(MATCH(A714&amp;"|"&amp;B714&amp;"|"&amp;D714,'All Song Rankings'!$T:$T,0),0)</f>
        <v>108</v>
      </c>
      <c r="G714" s="6" t="str">
        <f aca="false">IF(F714=0,"NOT FOUND",INDEX('All Song Rankings'!$A:$A,F714))</f>
        <v>That's Christmas to Me</v>
      </c>
      <c r="H714" s="6" t="str">
        <f aca="false">IF(F714=0,"NOT FOUND",INDEX('All Song Rankings'!$B:$B,F714))</f>
        <v>Pentatonix</v>
      </c>
      <c r="I714" s="6" t="str">
        <f aca="false">IF(F714=0,"NOT FOUND",INDEX('All Song Rankings'!$D:$D,F714))</f>
        <v>Merita</v>
      </c>
      <c r="J714" s="7" t="str">
        <f aca="false">IF(F714=0,"NOT FOUND",IF(C714=I714,"SELF-VOTE",IF(COUNTIF($K:$K,K714)&gt;1,"DUPLICATE","OK")))</f>
        <v>OK</v>
      </c>
      <c r="K714" s="6" t="str">
        <f aca="false">A714&amp;"|"&amp;B714&amp;"|"&amp;C714&amp;"|"&amp;D714</f>
        <v>2|2|Shayne|spotify:track:2U9kDk5mlHYunC7PvbZ8KX</v>
      </c>
    </row>
    <row r="715" customFormat="false" ht="15" hidden="false" customHeight="false" outlineLevel="0" collapsed="false">
      <c r="A715" s="5" t="n">
        <v>2</v>
      </c>
      <c r="B715" s="5" t="n">
        <v>2</v>
      </c>
      <c r="C715" s="5" t="s">
        <v>378</v>
      </c>
      <c r="D715" s="5" t="s">
        <v>412</v>
      </c>
      <c r="E715" s="5" t="n">
        <v>1</v>
      </c>
      <c r="F715" s="6" t="n">
        <f aca="false">IFERROR(MATCH(A715&amp;"|"&amp;B715&amp;"|"&amp;D715,'All Song Rankings'!$T:$T,0),0)</f>
        <v>101</v>
      </c>
      <c r="G715" s="6" t="str">
        <f aca="false">IF(F715=0,"NOT FOUND",INDEX('All Song Rankings'!$A:$A,F715))</f>
        <v>Christmas in Killarney</v>
      </c>
      <c r="H715" s="6" t="str">
        <f aca="false">IF(F715=0,"NOT FOUND",INDEX('All Song Rankings'!$B:$B,F715))</f>
        <v>The Irish Rovers</v>
      </c>
      <c r="I715" s="6" t="str">
        <f aca="false">IF(F715=0,"NOT FOUND",INDEX('All Song Rankings'!$D:$D,F715))</f>
        <v>Logan</v>
      </c>
      <c r="J715" s="7" t="str">
        <f aca="false">IF(F715=0,"NOT FOUND",IF(C715=I715,"SELF-VOTE",IF(COUNTIF($K:$K,K715)&gt;1,"DUPLICATE","OK")))</f>
        <v>OK</v>
      </c>
      <c r="K715" s="6" t="str">
        <f aca="false">A715&amp;"|"&amp;B715&amp;"|"&amp;C715&amp;"|"&amp;D715</f>
        <v>2|2|Shayne|spotify:track:4XKj7iRK8QstOH4sG67YJf</v>
      </c>
    </row>
    <row r="716" customFormat="false" ht="15" hidden="false" customHeight="false" outlineLevel="0" collapsed="false">
      <c r="A716" s="5" t="n">
        <v>2</v>
      </c>
      <c r="B716" s="5" t="n">
        <v>2</v>
      </c>
      <c r="C716" s="5" t="s">
        <v>378</v>
      </c>
      <c r="D716" s="5" t="s">
        <v>416</v>
      </c>
      <c r="E716" s="5" t="n">
        <v>1</v>
      </c>
      <c r="F716" s="6" t="n">
        <f aca="false">IFERROR(MATCH(A716&amp;"|"&amp;B716&amp;"|"&amp;D716,'All Song Rankings'!$T:$T,0),0)</f>
        <v>102</v>
      </c>
      <c r="G716" s="6" t="str">
        <f aca="false">IF(F716=0,"NOT FOUND",INDEX('All Song Rankings'!$A:$A,F716))</f>
        <v>The 12 Days of Christmas</v>
      </c>
      <c r="H716" s="6" t="str">
        <f aca="false">IF(F716=0,"NOT FOUND",INDEX('All Song Rankings'!$B:$B,F716))</f>
        <v>Straight No Chaser</v>
      </c>
      <c r="I716" s="6" t="str">
        <f aca="false">IF(F716=0,"NOT FOUND",INDEX('All Song Rankings'!$D:$D,F716))</f>
        <v>Matt</v>
      </c>
      <c r="J716" s="7" t="str">
        <f aca="false">IF(F716=0,"NOT FOUND",IF(C716=I716,"SELF-VOTE",IF(COUNTIF($K:$K,K716)&gt;1,"DUPLICATE","OK")))</f>
        <v>OK</v>
      </c>
      <c r="K716" s="6" t="str">
        <f aca="false">A716&amp;"|"&amp;B716&amp;"|"&amp;C716&amp;"|"&amp;D716</f>
        <v>2|2|Shayne|spotify:track:5f5wlkRHWhYxOdp1hOUsTb</v>
      </c>
    </row>
    <row r="717" customFormat="false" ht="15" hidden="false" customHeight="false" outlineLevel="0" collapsed="false">
      <c r="A717" s="5" t="n">
        <v>2</v>
      </c>
      <c r="B717" s="5" t="n">
        <v>2</v>
      </c>
      <c r="C717" s="5" t="s">
        <v>378</v>
      </c>
      <c r="D717" s="5" t="s">
        <v>450</v>
      </c>
      <c r="E717" s="5" t="n">
        <v>1</v>
      </c>
      <c r="F717" s="6" t="n">
        <f aca="false">IFERROR(MATCH(A717&amp;"|"&amp;B717&amp;"|"&amp;D717,'All Song Rankings'!$T:$T,0),0)</f>
        <v>113</v>
      </c>
      <c r="G717" s="6" t="str">
        <f aca="false">IF(F717=0,"NOT FOUND",INDEX('All Song Rankings'!$A:$A,F717))</f>
        <v>God Rest Ye Merry Gentlemen / We Three Kings</v>
      </c>
      <c r="H717" s="6" t="str">
        <f aca="false">IF(F717=0,"NOT FOUND",INDEX('All Song Rankings'!$B:$B,F717))</f>
        <v>Barenaked Ladies</v>
      </c>
      <c r="I717" s="6" t="str">
        <f aca="false">IF(F717=0,"NOT FOUND",INDEX('All Song Rankings'!$D:$D,F717))</f>
        <v>Grace</v>
      </c>
      <c r="J717" s="7" t="str">
        <f aca="false">IF(F717=0,"NOT FOUND",IF(C717=I717,"SELF-VOTE",IF(COUNTIF($K:$K,K717)&gt;1,"DUPLICATE","OK")))</f>
        <v>OK</v>
      </c>
      <c r="K717" s="6" t="str">
        <f aca="false">A717&amp;"|"&amp;B717&amp;"|"&amp;C717&amp;"|"&amp;D717</f>
        <v>2|2|Shayne|spotify:track:6eou298JmAGYShrwYuLxJ2</v>
      </c>
    </row>
    <row r="718" customFormat="false" ht="15" hidden="false" customHeight="false" outlineLevel="0" collapsed="false">
      <c r="A718" s="5" t="n">
        <v>2</v>
      </c>
      <c r="B718" s="5" t="n">
        <v>2</v>
      </c>
      <c r="C718" s="5" t="s">
        <v>97</v>
      </c>
      <c r="D718" s="5" t="s">
        <v>423</v>
      </c>
      <c r="E718" s="5" t="n">
        <v>3</v>
      </c>
      <c r="F718" s="6" t="n">
        <f aca="false">IFERROR(MATCH(A718&amp;"|"&amp;B718&amp;"|"&amp;D718,'All Song Rankings'!$T:$T,0),0)</f>
        <v>104</v>
      </c>
      <c r="G718" s="6" t="str">
        <f aca="false">IF(F718=0,"NOT FOUND",INDEX('All Song Rankings'!$A:$A,F718))</f>
        <v>Warmer In The Winter</v>
      </c>
      <c r="H718" s="6" t="str">
        <f aca="false">IF(F718=0,"NOT FOUND",INDEX('All Song Rankings'!$B:$B,F718))</f>
        <v>Lindsey Stirling</v>
      </c>
      <c r="I718" s="6" t="str">
        <f aca="false">IF(F718=0,"NOT FOUND",INDEX('All Song Rankings'!$D:$D,F718))</f>
        <v>Leah</v>
      </c>
      <c r="J718" s="7" t="str">
        <f aca="false">IF(F718=0,"NOT FOUND",IF(C718=I718,"SELF-VOTE",IF(COUNTIF($K:$K,K718)&gt;1,"DUPLICATE","OK")))</f>
        <v>OK</v>
      </c>
      <c r="K718" s="6" t="str">
        <f aca="false">A718&amp;"|"&amp;B718&amp;"|"&amp;C718&amp;"|"&amp;D718</f>
        <v>2|2|Stephanie|spotify:track:1ssFg8Xr5A8O2U6JkKjZRz</v>
      </c>
    </row>
    <row r="719" customFormat="false" ht="15" hidden="false" customHeight="false" outlineLevel="0" collapsed="false">
      <c r="A719" s="5" t="n">
        <v>2</v>
      </c>
      <c r="B719" s="5" t="n">
        <v>2</v>
      </c>
      <c r="C719" s="5" t="s">
        <v>97</v>
      </c>
      <c r="D719" s="5" t="s">
        <v>416</v>
      </c>
      <c r="E719" s="5" t="n">
        <v>2</v>
      </c>
      <c r="F719" s="6" t="n">
        <f aca="false">IFERROR(MATCH(A719&amp;"|"&amp;B719&amp;"|"&amp;D719,'All Song Rankings'!$T:$T,0),0)</f>
        <v>102</v>
      </c>
      <c r="G719" s="6" t="str">
        <f aca="false">IF(F719=0,"NOT FOUND",INDEX('All Song Rankings'!$A:$A,F719))</f>
        <v>The 12 Days of Christmas</v>
      </c>
      <c r="H719" s="6" t="str">
        <f aca="false">IF(F719=0,"NOT FOUND",INDEX('All Song Rankings'!$B:$B,F719))</f>
        <v>Straight No Chaser</v>
      </c>
      <c r="I719" s="6" t="str">
        <f aca="false">IF(F719=0,"NOT FOUND",INDEX('All Song Rankings'!$D:$D,F719))</f>
        <v>Matt</v>
      </c>
      <c r="J719" s="7" t="str">
        <f aca="false">IF(F719=0,"NOT FOUND",IF(C719=I719,"SELF-VOTE",IF(COUNTIF($K:$K,K719)&gt;1,"DUPLICATE","OK")))</f>
        <v>OK</v>
      </c>
      <c r="K719" s="6" t="str">
        <f aca="false">A719&amp;"|"&amp;B719&amp;"|"&amp;C719&amp;"|"&amp;D719</f>
        <v>2|2|Stephanie|spotify:track:5f5wlkRHWhYxOdp1hOUsTb</v>
      </c>
    </row>
    <row r="720" customFormat="false" ht="15" hidden="false" customHeight="false" outlineLevel="0" collapsed="false">
      <c r="A720" s="5" t="n">
        <v>2</v>
      </c>
      <c r="B720" s="5" t="n">
        <v>2</v>
      </c>
      <c r="C720" s="5" t="s">
        <v>97</v>
      </c>
      <c r="D720" s="5" t="s">
        <v>430</v>
      </c>
      <c r="E720" s="5" t="n">
        <v>2</v>
      </c>
      <c r="F720" s="6" t="n">
        <f aca="false">IFERROR(MATCH(A720&amp;"|"&amp;B720&amp;"|"&amp;D720,'All Song Rankings'!$T:$T,0),0)</f>
        <v>106</v>
      </c>
      <c r="G720" s="6" t="str">
        <f aca="false">IF(F720=0,"NOT FOUND",INDEX('All Song Rankings'!$A:$A,F720))</f>
        <v>Dominick the Donkey (The Italian Christmas Donkey)</v>
      </c>
      <c r="H720" s="6" t="str">
        <f aca="false">IF(F720=0,"NOT FOUND",INDEX('All Song Rankings'!$B:$B,F720))</f>
        <v>Lou Monte</v>
      </c>
      <c r="I720" s="6" t="str">
        <f aca="false">IF(F720=0,"NOT FOUND",INDEX('All Song Rankings'!$D:$D,F720))</f>
        <v>Shayne</v>
      </c>
      <c r="J720" s="7" t="str">
        <f aca="false">IF(F720=0,"NOT FOUND",IF(C720=I720,"SELF-VOTE",IF(COUNTIF($K:$K,K720)&gt;1,"DUPLICATE","OK")))</f>
        <v>OK</v>
      </c>
      <c r="K720" s="6" t="str">
        <f aca="false">A720&amp;"|"&amp;B720&amp;"|"&amp;C720&amp;"|"&amp;D720</f>
        <v>2|2|Stephanie|spotify:track:6W332S9Wbc6TOBlChnemKD</v>
      </c>
    </row>
    <row r="721" customFormat="false" ht="15" hidden="false" customHeight="false" outlineLevel="0" collapsed="false">
      <c r="A721" s="5" t="n">
        <v>2</v>
      </c>
      <c r="B721" s="5" t="n">
        <v>2</v>
      </c>
      <c r="C721" s="5" t="s">
        <v>97</v>
      </c>
      <c r="D721" s="5" t="s">
        <v>426</v>
      </c>
      <c r="E721" s="5" t="n">
        <v>3</v>
      </c>
      <c r="F721" s="6" t="n">
        <f aca="false">IFERROR(MATCH(A721&amp;"|"&amp;B721&amp;"|"&amp;D721,'All Song Rankings'!$T:$T,0),0)</f>
        <v>105</v>
      </c>
      <c r="G721" s="6" t="str">
        <f aca="false">IF(F721=0,"NOT FOUND",INDEX('All Song Rankings'!$A:$A,F721))</f>
        <v>Greatest Time Of Year</v>
      </c>
      <c r="H721" s="6" t="str">
        <f aca="false">IF(F721=0,"NOT FOUND",INDEX('All Song Rankings'!$B:$B,F721))</f>
        <v>Aly &amp; AJ</v>
      </c>
      <c r="I721" s="6" t="str">
        <f aca="false">IF(F721=0,"NOT FOUND",INDEX('All Song Rankings'!$D:$D,F721))</f>
        <v>Kelsey</v>
      </c>
      <c r="J721" s="7" t="str">
        <f aca="false">IF(F721=0,"NOT FOUND",IF(C721=I721,"SELF-VOTE",IF(COUNTIF($K:$K,K721)&gt;1,"DUPLICATE","OK")))</f>
        <v>OK</v>
      </c>
      <c r="K721" s="6" t="str">
        <f aca="false">A721&amp;"|"&amp;B721&amp;"|"&amp;C721&amp;"|"&amp;D721</f>
        <v>2|2|Stephanie|spotify:track:7yrqJUfnjteV1FLe9dXcVa</v>
      </c>
    </row>
    <row r="722" customFormat="false" ht="15" hidden="false" customHeight="false" outlineLevel="0" collapsed="false">
      <c r="A722" s="5" t="n">
        <v>2</v>
      </c>
      <c r="B722" s="5" t="n">
        <v>3</v>
      </c>
      <c r="C722" s="5" t="s">
        <v>289</v>
      </c>
      <c r="D722" s="5" t="s">
        <v>475</v>
      </c>
      <c r="E722" s="5" t="n">
        <v>1</v>
      </c>
      <c r="F722" s="6" t="n">
        <f aca="false">IFERROR(MATCH(A722&amp;"|"&amp;B722&amp;"|"&amp;D722,'All Song Rankings'!$T:$T,0),0)</f>
        <v>121</v>
      </c>
      <c r="G722" s="6" t="str">
        <f aca="false">IF(F722=0,"NOT FOUND",INDEX('All Song Rankings'!$A:$A,F722))</f>
        <v>Ocean Drive</v>
      </c>
      <c r="H722" s="6" t="str">
        <f aca="false">IF(F722=0,"NOT FOUND",INDEX('All Song Rankings'!$B:$B,F722))</f>
        <v>Duke Dumont</v>
      </c>
      <c r="I722" s="6" t="str">
        <f aca="false">IF(F722=0,"NOT FOUND",INDEX('All Song Rankings'!$D:$D,F722))</f>
        <v>Stephanie</v>
      </c>
      <c r="J722" s="7" t="str">
        <f aca="false">IF(F722=0,"NOT FOUND",IF(C722=I722,"SELF-VOTE",IF(COUNTIF($K:$K,K722)&gt;1,"DUPLICATE","OK")))</f>
        <v>OK</v>
      </c>
      <c r="K722" s="6" t="str">
        <f aca="false">A722&amp;"|"&amp;B722&amp;"|"&amp;C722&amp;"|"&amp;D722</f>
        <v>2|3|Anya|spotify:track:0b6wdul3A5sQNpIOv03OxP</v>
      </c>
    </row>
    <row r="723" customFormat="false" ht="15" hidden="false" customHeight="false" outlineLevel="0" collapsed="false">
      <c r="A723" s="5" t="n">
        <v>2</v>
      </c>
      <c r="B723" s="5" t="n">
        <v>3</v>
      </c>
      <c r="C723" s="5" t="s">
        <v>289</v>
      </c>
      <c r="D723" s="5" t="s">
        <v>469</v>
      </c>
      <c r="E723" s="5" t="n">
        <v>1</v>
      </c>
      <c r="F723" s="6" t="n">
        <f aca="false">IFERROR(MATCH(A723&amp;"|"&amp;B723&amp;"|"&amp;D723,'All Song Rankings'!$T:$T,0),0)</f>
        <v>119</v>
      </c>
      <c r="G723" s="6" t="str">
        <f aca="false">IF(F723=0,"NOT FOUND",INDEX('All Song Rankings'!$A:$A,F723))</f>
        <v>We Intertwined</v>
      </c>
      <c r="H723" s="6" t="str">
        <f aca="false">IF(F723=0,"NOT FOUND",INDEX('All Song Rankings'!$B:$B,F723))</f>
        <v>The Hush Sound</v>
      </c>
      <c r="I723" s="6" t="str">
        <f aca="false">IF(F723=0,"NOT FOUND",INDEX('All Song Rankings'!$D:$D,F723))</f>
        <v>Grace</v>
      </c>
      <c r="J723" s="7" t="str">
        <f aca="false">IF(F723=0,"NOT FOUND",IF(C723=I723,"SELF-VOTE",IF(COUNTIF($K:$K,K723)&gt;1,"DUPLICATE","OK")))</f>
        <v>OK</v>
      </c>
      <c r="K723" s="6" t="str">
        <f aca="false">A723&amp;"|"&amp;B723&amp;"|"&amp;C723&amp;"|"&amp;D723</f>
        <v>2|3|Anya|spotify:track:2OSvnWYcpDv08GLmLDih1w</v>
      </c>
    </row>
    <row r="724" customFormat="false" ht="15" hidden="false" customHeight="false" outlineLevel="0" collapsed="false">
      <c r="A724" s="5" t="n">
        <v>2</v>
      </c>
      <c r="B724" s="5" t="n">
        <v>3</v>
      </c>
      <c r="C724" s="5" t="s">
        <v>289</v>
      </c>
      <c r="D724" s="5" t="s">
        <v>463</v>
      </c>
      <c r="E724" s="5" t="n">
        <v>2</v>
      </c>
      <c r="F724" s="6" t="n">
        <f aca="false">IFERROR(MATCH(A724&amp;"|"&amp;B724&amp;"|"&amp;D724,'All Song Rankings'!$T:$T,0),0)</f>
        <v>117</v>
      </c>
      <c r="G724" s="6" t="str">
        <f aca="false">IF(F724=0,"NOT FOUND",INDEX('All Song Rankings'!$A:$A,F724))</f>
        <v>Non, je ne regrette rien</v>
      </c>
      <c r="H724" s="6" t="str">
        <f aca="false">IF(F724=0,"NOT FOUND",INDEX('All Song Rankings'!$B:$B,F724))</f>
        <v>Edith Piaf</v>
      </c>
      <c r="I724" s="6" t="str">
        <f aca="false">IF(F724=0,"NOT FOUND",INDEX('All Song Rankings'!$D:$D,F724))</f>
        <v>Maryann</v>
      </c>
      <c r="J724" s="7" t="str">
        <f aca="false">IF(F724=0,"NOT FOUND",IF(C724=I724,"SELF-VOTE",IF(COUNTIF($K:$K,K724)&gt;1,"DUPLICATE","OK")))</f>
        <v>OK</v>
      </c>
      <c r="K724" s="6" t="str">
        <f aca="false">A724&amp;"|"&amp;B724&amp;"|"&amp;C724&amp;"|"&amp;D724</f>
        <v>2|3|Anya|spotify:track:3dkIE8P7hvl3tHl9KSb6dA</v>
      </c>
    </row>
    <row r="725" customFormat="false" ht="15" hidden="false" customHeight="false" outlineLevel="0" collapsed="false">
      <c r="A725" s="5" t="n">
        <v>2</v>
      </c>
      <c r="B725" s="5" t="n">
        <v>3</v>
      </c>
      <c r="C725" s="5" t="s">
        <v>289</v>
      </c>
      <c r="D725" s="5" t="s">
        <v>481</v>
      </c>
      <c r="E725" s="5" t="n">
        <v>4</v>
      </c>
      <c r="F725" s="6" t="n">
        <f aca="false">IFERROR(MATCH(A725&amp;"|"&amp;B725&amp;"|"&amp;D725,'All Song Rankings'!$T:$T,0),0)</f>
        <v>123</v>
      </c>
      <c r="G725" s="6" t="str">
        <f aca="false">IF(F725=0,"NOT FOUND",INDEX('All Song Rankings'!$A:$A,F725))</f>
        <v>I WANNA BE YOUR SLAVE</v>
      </c>
      <c r="H725" s="6" t="str">
        <f aca="false">IF(F725=0,"NOT FOUND",INDEX('All Song Rankings'!$B:$B,F725))</f>
        <v>Måneskin</v>
      </c>
      <c r="I725" s="6" t="str">
        <f aca="false">IF(F725=0,"NOT FOUND",INDEX('All Song Rankings'!$D:$D,F725))</f>
        <v>Makenzie</v>
      </c>
      <c r="J725" s="7" t="str">
        <f aca="false">IF(F725=0,"NOT FOUND",IF(C725=I725,"SELF-VOTE",IF(COUNTIF($K:$K,K725)&gt;1,"DUPLICATE","OK")))</f>
        <v>OK</v>
      </c>
      <c r="K725" s="6" t="str">
        <f aca="false">A725&amp;"|"&amp;B725&amp;"|"&amp;C725&amp;"|"&amp;D725</f>
        <v>2|3|Anya|spotify:track:4pt5fDVTg5GhEvEtlz9dKk</v>
      </c>
    </row>
    <row r="726" customFormat="false" ht="15" hidden="false" customHeight="false" outlineLevel="0" collapsed="false">
      <c r="A726" s="5" t="n">
        <v>2</v>
      </c>
      <c r="B726" s="5" t="n">
        <v>3</v>
      </c>
      <c r="C726" s="5" t="s">
        <v>289</v>
      </c>
      <c r="D726" s="5" t="s">
        <v>457</v>
      </c>
      <c r="E726" s="5" t="n">
        <v>2</v>
      </c>
      <c r="F726" s="6" t="n">
        <f aca="false">IFERROR(MATCH(A726&amp;"|"&amp;B726&amp;"|"&amp;D726,'All Song Rankings'!$T:$T,0),0)</f>
        <v>115</v>
      </c>
      <c r="G726" s="6" t="str">
        <f aca="false">IF(F726=0,"NOT FOUND",INDEX('All Song Rankings'!$A:$A,F726))</f>
        <v>Welcome to the Black Parade</v>
      </c>
      <c r="H726" s="6" t="str">
        <f aca="false">IF(F726=0,"NOT FOUND",INDEX('All Song Rankings'!$B:$B,F726))</f>
        <v>My Chemical Romance</v>
      </c>
      <c r="I726" s="6" t="str">
        <f aca="false">IF(F726=0,"NOT FOUND",INDEX('All Song Rankings'!$D:$D,F726))</f>
        <v>Kelsey</v>
      </c>
      <c r="J726" s="7" t="str">
        <f aca="false">IF(F726=0,"NOT FOUND",IF(C726=I726,"SELF-VOTE",IF(COUNTIF($K:$K,K726)&gt;1,"DUPLICATE","OK")))</f>
        <v>OK</v>
      </c>
      <c r="K726" s="6" t="str">
        <f aca="false">A726&amp;"|"&amp;B726&amp;"|"&amp;C726&amp;"|"&amp;D726</f>
        <v>2|3|Anya|spotify:track:5wQnmLuC1W7ATsArWACrgW</v>
      </c>
    </row>
    <row r="727" customFormat="false" ht="15" hidden="false" customHeight="false" outlineLevel="0" collapsed="false">
      <c r="A727" s="5" t="n">
        <v>2</v>
      </c>
      <c r="B727" s="5" t="n">
        <v>3</v>
      </c>
      <c r="C727" s="5" t="s">
        <v>375</v>
      </c>
      <c r="D727" s="5" t="s">
        <v>460</v>
      </c>
      <c r="E727" s="5" t="n">
        <v>1</v>
      </c>
      <c r="F727" s="6" t="n">
        <f aca="false">IFERROR(MATCH(A727&amp;"|"&amp;B727&amp;"|"&amp;D727,'All Song Rankings'!$T:$T,0),0)</f>
        <v>116</v>
      </c>
      <c r="G727" s="6" t="str">
        <f aca="false">IF(F727=0,"NOT FOUND",INDEX('All Song Rankings'!$A:$A,F727))</f>
        <v>30,000 Feet</v>
      </c>
      <c r="H727" s="6" t="str">
        <f aca="false">IF(F727=0,"NOT FOUND",INDEX('All Song Rankings'!$B:$B,F727))</f>
        <v>Ben Rector</v>
      </c>
      <c r="I727" s="6" t="str">
        <f aca="false">IF(F727=0,"NOT FOUND",INDEX('All Song Rankings'!$D:$D,F727))</f>
        <v>Kristen</v>
      </c>
      <c r="J727" s="7" t="str">
        <f aca="false">IF(F727=0,"NOT FOUND",IF(C727=I727,"SELF-VOTE",IF(COUNTIF($K:$K,K727)&gt;1,"DUPLICATE","OK")))</f>
        <v>OK</v>
      </c>
      <c r="K727" s="6" t="str">
        <f aca="false">A727&amp;"|"&amp;B727&amp;"|"&amp;C727&amp;"|"&amp;D727</f>
        <v>2|3|Aubrey|spotify:track:0KF5nzdiqZlxVK68MPITst</v>
      </c>
    </row>
    <row r="728" customFormat="false" ht="15" hidden="false" customHeight="false" outlineLevel="0" collapsed="false">
      <c r="A728" s="5" t="n">
        <v>2</v>
      </c>
      <c r="B728" s="5" t="n">
        <v>3</v>
      </c>
      <c r="C728" s="5" t="s">
        <v>375</v>
      </c>
      <c r="D728" s="5" t="s">
        <v>492</v>
      </c>
      <c r="E728" s="5" t="n">
        <v>1</v>
      </c>
      <c r="F728" s="6" t="n">
        <f aca="false">IFERROR(MATCH(A728&amp;"|"&amp;B728&amp;"|"&amp;D728,'All Song Rankings'!$T:$T,0),0)</f>
        <v>126</v>
      </c>
      <c r="G728" s="6" t="str">
        <f aca="false">IF(F728=0,"NOT FOUND",INDEX('All Song Rankings'!$A:$A,F728))</f>
        <v>Time Bomb</v>
      </c>
      <c r="H728" s="6" t="str">
        <f aca="false">IF(F728=0,"NOT FOUND",INDEX('All Song Rankings'!$B:$B,F728))</f>
        <v>Iration</v>
      </c>
      <c r="I728" s="6" t="str">
        <f aca="false">IF(F728=0,"NOT FOUND",INDEX('All Song Rankings'!$D:$D,F728))</f>
        <v>Leah</v>
      </c>
      <c r="J728" s="7" t="str">
        <f aca="false">IF(F728=0,"NOT FOUND",IF(C728=I728,"SELF-VOTE",IF(COUNTIF($K:$K,K728)&gt;1,"DUPLICATE","OK")))</f>
        <v>OK</v>
      </c>
      <c r="K728" s="6" t="str">
        <f aca="false">A728&amp;"|"&amp;B728&amp;"|"&amp;C728&amp;"|"&amp;D728</f>
        <v>2|3|Aubrey|spotify:track:0KtKac3tvjeGjg6FXcUy7X</v>
      </c>
    </row>
    <row r="729" customFormat="false" ht="15" hidden="false" customHeight="false" outlineLevel="0" collapsed="false">
      <c r="A729" s="5" t="n">
        <v>2</v>
      </c>
      <c r="B729" s="5" t="n">
        <v>3</v>
      </c>
      <c r="C729" s="5" t="s">
        <v>375</v>
      </c>
      <c r="D729" s="5" t="s">
        <v>475</v>
      </c>
      <c r="E729" s="5" t="n">
        <v>1</v>
      </c>
      <c r="F729" s="6" t="n">
        <f aca="false">IFERROR(MATCH(A729&amp;"|"&amp;B729&amp;"|"&amp;D729,'All Song Rankings'!$T:$T,0),0)</f>
        <v>121</v>
      </c>
      <c r="G729" s="6" t="str">
        <f aca="false">IF(F729=0,"NOT FOUND",INDEX('All Song Rankings'!$A:$A,F729))</f>
        <v>Ocean Drive</v>
      </c>
      <c r="H729" s="6" t="str">
        <f aca="false">IF(F729=0,"NOT FOUND",INDEX('All Song Rankings'!$B:$B,F729))</f>
        <v>Duke Dumont</v>
      </c>
      <c r="I729" s="6" t="str">
        <f aca="false">IF(F729=0,"NOT FOUND",INDEX('All Song Rankings'!$D:$D,F729))</f>
        <v>Stephanie</v>
      </c>
      <c r="J729" s="7" t="str">
        <f aca="false">IF(F729=0,"NOT FOUND",IF(C729=I729,"SELF-VOTE",IF(COUNTIF($K:$K,K729)&gt;1,"DUPLICATE","OK")))</f>
        <v>OK</v>
      </c>
      <c r="K729" s="6" t="str">
        <f aca="false">A729&amp;"|"&amp;B729&amp;"|"&amp;C729&amp;"|"&amp;D729</f>
        <v>2|3|Aubrey|spotify:track:0b6wdul3A5sQNpIOv03OxP</v>
      </c>
    </row>
    <row r="730" customFormat="false" ht="15" hidden="false" customHeight="false" outlineLevel="0" collapsed="false">
      <c r="A730" s="5" t="n">
        <v>2</v>
      </c>
      <c r="B730" s="5" t="n">
        <v>3</v>
      </c>
      <c r="C730" s="5" t="s">
        <v>375</v>
      </c>
      <c r="D730" s="5" t="s">
        <v>469</v>
      </c>
      <c r="E730" s="5" t="n">
        <v>1</v>
      </c>
      <c r="F730" s="6" t="n">
        <f aca="false">IFERROR(MATCH(A730&amp;"|"&amp;B730&amp;"|"&amp;D730,'All Song Rankings'!$T:$T,0),0)</f>
        <v>119</v>
      </c>
      <c r="G730" s="6" t="str">
        <f aca="false">IF(F730=0,"NOT FOUND",INDEX('All Song Rankings'!$A:$A,F730))</f>
        <v>We Intertwined</v>
      </c>
      <c r="H730" s="6" t="str">
        <f aca="false">IF(F730=0,"NOT FOUND",INDEX('All Song Rankings'!$B:$B,F730))</f>
        <v>The Hush Sound</v>
      </c>
      <c r="I730" s="6" t="str">
        <f aca="false">IF(F730=0,"NOT FOUND",INDEX('All Song Rankings'!$D:$D,F730))</f>
        <v>Grace</v>
      </c>
      <c r="J730" s="7" t="str">
        <f aca="false">IF(F730=0,"NOT FOUND",IF(C730=I730,"SELF-VOTE",IF(COUNTIF($K:$K,K730)&gt;1,"DUPLICATE","OK")))</f>
        <v>OK</v>
      </c>
      <c r="K730" s="6" t="str">
        <f aca="false">A730&amp;"|"&amp;B730&amp;"|"&amp;C730&amp;"|"&amp;D730</f>
        <v>2|3|Aubrey|spotify:track:2OSvnWYcpDv08GLmLDih1w</v>
      </c>
    </row>
    <row r="731" customFormat="false" ht="15" hidden="false" customHeight="false" outlineLevel="0" collapsed="false">
      <c r="A731" s="5" t="n">
        <v>2</v>
      </c>
      <c r="B731" s="5" t="n">
        <v>3</v>
      </c>
      <c r="C731" s="5" t="s">
        <v>375</v>
      </c>
      <c r="D731" s="5" t="s">
        <v>466</v>
      </c>
      <c r="E731" s="5" t="n">
        <v>2</v>
      </c>
      <c r="F731" s="6" t="n">
        <f aca="false">IFERROR(MATCH(A731&amp;"|"&amp;B731&amp;"|"&amp;D731,'All Song Rankings'!$T:$T,0),0)</f>
        <v>118</v>
      </c>
      <c r="G731" s="6" t="str">
        <f aca="false">IF(F731=0,"NOT FOUND",INDEX('All Song Rankings'!$A:$A,F731))</f>
        <v>Godspeed</v>
      </c>
      <c r="H731" s="6" t="str">
        <f aca="false">IF(F731=0,"NOT FOUND",INDEX('All Song Rankings'!$B:$B,F731))</f>
        <v>Frank Ocean</v>
      </c>
      <c r="I731" s="6" t="str">
        <f aca="false">IF(F731=0,"NOT FOUND",INDEX('All Song Rankings'!$D:$D,F731))</f>
        <v>Logan</v>
      </c>
      <c r="J731" s="7" t="str">
        <f aca="false">IF(F731=0,"NOT FOUND",IF(C731=I731,"SELF-VOTE",IF(COUNTIF($K:$K,K731)&gt;1,"DUPLICATE","OK")))</f>
        <v>OK</v>
      </c>
      <c r="K731" s="6" t="str">
        <f aca="false">A731&amp;"|"&amp;B731&amp;"|"&amp;C731&amp;"|"&amp;D731</f>
        <v>2|3|Aubrey|spotify:track:34xTFwjPQ1dC6uJmleno7x</v>
      </c>
    </row>
    <row r="732" customFormat="false" ht="15" hidden="false" customHeight="false" outlineLevel="0" collapsed="false">
      <c r="A732" s="5" t="n">
        <v>2</v>
      </c>
      <c r="B732" s="5" t="n">
        <v>3</v>
      </c>
      <c r="C732" s="5" t="s">
        <v>375</v>
      </c>
      <c r="D732" s="5" t="s">
        <v>472</v>
      </c>
      <c r="E732" s="5" t="n">
        <v>2</v>
      </c>
      <c r="F732" s="6" t="n">
        <f aca="false">IFERROR(MATCH(A732&amp;"|"&amp;B732&amp;"|"&amp;D732,'All Song Rankings'!$T:$T,0),0)</f>
        <v>120</v>
      </c>
      <c r="G732" s="6" t="str">
        <f aca="false">IF(F732=0,"NOT FOUND",INDEX('All Song Rankings'!$A:$A,F732))</f>
        <v>Opalite</v>
      </c>
      <c r="H732" s="6" t="str">
        <f aca="false">IF(F732=0,"NOT FOUND",INDEX('All Song Rankings'!$B:$B,F732))</f>
        <v>Taylor Swift</v>
      </c>
      <c r="I732" s="6" t="str">
        <f aca="false">IF(F732=0,"NOT FOUND",INDEX('All Song Rankings'!$D:$D,F732))</f>
        <v>Nicole</v>
      </c>
      <c r="J732" s="7" t="str">
        <f aca="false">IF(F732=0,"NOT FOUND",IF(C732=I732,"SELF-VOTE",IF(COUNTIF($K:$K,K732)&gt;1,"DUPLICATE","OK")))</f>
        <v>OK</v>
      </c>
      <c r="K732" s="6" t="str">
        <f aca="false">A732&amp;"|"&amp;B732&amp;"|"&amp;C732&amp;"|"&amp;D732</f>
        <v>2|3|Aubrey|spotify:track:3yWuTOYDztXjZxdE2cIRUa</v>
      </c>
    </row>
    <row r="733" customFormat="false" ht="15" hidden="false" customHeight="false" outlineLevel="0" collapsed="false">
      <c r="A733" s="5" t="n">
        <v>2</v>
      </c>
      <c r="B733" s="5" t="n">
        <v>3</v>
      </c>
      <c r="C733" s="5" t="s">
        <v>375</v>
      </c>
      <c r="D733" s="5" t="s">
        <v>457</v>
      </c>
      <c r="E733" s="5" t="n">
        <v>2</v>
      </c>
      <c r="F733" s="6" t="n">
        <f aca="false">IFERROR(MATCH(A733&amp;"|"&amp;B733&amp;"|"&amp;D733,'All Song Rankings'!$T:$T,0),0)</f>
        <v>115</v>
      </c>
      <c r="G733" s="6" t="str">
        <f aca="false">IF(F733=0,"NOT FOUND",INDEX('All Song Rankings'!$A:$A,F733))</f>
        <v>Welcome to the Black Parade</v>
      </c>
      <c r="H733" s="6" t="str">
        <f aca="false">IF(F733=0,"NOT FOUND",INDEX('All Song Rankings'!$B:$B,F733))</f>
        <v>My Chemical Romance</v>
      </c>
      <c r="I733" s="6" t="str">
        <f aca="false">IF(F733=0,"NOT FOUND",INDEX('All Song Rankings'!$D:$D,F733))</f>
        <v>Kelsey</v>
      </c>
      <c r="J733" s="7" t="str">
        <f aca="false">IF(F733=0,"NOT FOUND",IF(C733=I733,"SELF-VOTE",IF(COUNTIF($K:$K,K733)&gt;1,"DUPLICATE","OK")))</f>
        <v>OK</v>
      </c>
      <c r="K733" s="6" t="str">
        <f aca="false">A733&amp;"|"&amp;B733&amp;"|"&amp;C733&amp;"|"&amp;D733</f>
        <v>2|3|Aubrey|spotify:track:5wQnmLuC1W7ATsArWACrgW</v>
      </c>
    </row>
    <row r="734" customFormat="false" ht="15" hidden="false" customHeight="false" outlineLevel="0" collapsed="false">
      <c r="A734" s="5" t="n">
        <v>2</v>
      </c>
      <c r="B734" s="5" t="n">
        <v>3</v>
      </c>
      <c r="C734" s="5" t="s">
        <v>382</v>
      </c>
      <c r="D734" s="5" t="s">
        <v>460</v>
      </c>
      <c r="E734" s="5" t="n">
        <v>2</v>
      </c>
      <c r="F734" s="6" t="n">
        <f aca="false">IFERROR(MATCH(A734&amp;"|"&amp;B734&amp;"|"&amp;D734,'All Song Rankings'!$T:$T,0),0)</f>
        <v>116</v>
      </c>
      <c r="G734" s="6" t="str">
        <f aca="false">IF(F734=0,"NOT FOUND",INDEX('All Song Rankings'!$A:$A,F734))</f>
        <v>30,000 Feet</v>
      </c>
      <c r="H734" s="6" t="str">
        <f aca="false">IF(F734=0,"NOT FOUND",INDEX('All Song Rankings'!$B:$B,F734))</f>
        <v>Ben Rector</v>
      </c>
      <c r="I734" s="6" t="str">
        <f aca="false">IF(F734=0,"NOT FOUND",INDEX('All Song Rankings'!$D:$D,F734))</f>
        <v>Kristen</v>
      </c>
      <c r="J734" s="7" t="str">
        <f aca="false">IF(F734=0,"NOT FOUND",IF(C734=I734,"SELF-VOTE",IF(COUNTIF($K:$K,K734)&gt;1,"DUPLICATE","OK")))</f>
        <v>OK</v>
      </c>
      <c r="K734" s="6" t="str">
        <f aca="false">A734&amp;"|"&amp;B734&amp;"|"&amp;C734&amp;"|"&amp;D734</f>
        <v>2|3|Grace|spotify:track:0KF5nzdiqZlxVK68MPITst</v>
      </c>
    </row>
    <row r="735" customFormat="false" ht="15" hidden="false" customHeight="false" outlineLevel="0" collapsed="false">
      <c r="A735" s="5" t="n">
        <v>2</v>
      </c>
      <c r="B735" s="5" t="n">
        <v>3</v>
      </c>
      <c r="C735" s="5" t="s">
        <v>382</v>
      </c>
      <c r="D735" s="5" t="s">
        <v>492</v>
      </c>
      <c r="E735" s="5" t="n">
        <v>1</v>
      </c>
      <c r="F735" s="6" t="n">
        <f aca="false">IFERROR(MATCH(A735&amp;"|"&amp;B735&amp;"|"&amp;D735,'All Song Rankings'!$T:$T,0),0)</f>
        <v>126</v>
      </c>
      <c r="G735" s="6" t="str">
        <f aca="false">IF(F735=0,"NOT FOUND",INDEX('All Song Rankings'!$A:$A,F735))</f>
        <v>Time Bomb</v>
      </c>
      <c r="H735" s="6" t="str">
        <f aca="false">IF(F735=0,"NOT FOUND",INDEX('All Song Rankings'!$B:$B,F735))</f>
        <v>Iration</v>
      </c>
      <c r="I735" s="6" t="str">
        <f aca="false">IF(F735=0,"NOT FOUND",INDEX('All Song Rankings'!$D:$D,F735))</f>
        <v>Leah</v>
      </c>
      <c r="J735" s="7" t="str">
        <f aca="false">IF(F735=0,"NOT FOUND",IF(C735=I735,"SELF-VOTE",IF(COUNTIF($K:$K,K735)&gt;1,"DUPLICATE","OK")))</f>
        <v>OK</v>
      </c>
      <c r="K735" s="6" t="str">
        <f aca="false">A735&amp;"|"&amp;B735&amp;"|"&amp;C735&amp;"|"&amp;D735</f>
        <v>2|3|Grace|spotify:track:0KtKac3tvjeGjg6FXcUy7X</v>
      </c>
    </row>
    <row r="736" customFormat="false" ht="15" hidden="false" customHeight="false" outlineLevel="0" collapsed="false">
      <c r="A736" s="5" t="n">
        <v>2</v>
      </c>
      <c r="B736" s="5" t="n">
        <v>3</v>
      </c>
      <c r="C736" s="5" t="s">
        <v>382</v>
      </c>
      <c r="D736" s="5" t="s">
        <v>463</v>
      </c>
      <c r="E736" s="5" t="n">
        <v>4</v>
      </c>
      <c r="F736" s="6" t="n">
        <f aca="false">IFERROR(MATCH(A736&amp;"|"&amp;B736&amp;"|"&amp;D736,'All Song Rankings'!$T:$T,0),0)</f>
        <v>117</v>
      </c>
      <c r="G736" s="6" t="str">
        <f aca="false">IF(F736=0,"NOT FOUND",INDEX('All Song Rankings'!$A:$A,F736))</f>
        <v>Non, je ne regrette rien</v>
      </c>
      <c r="H736" s="6" t="str">
        <f aca="false">IF(F736=0,"NOT FOUND",INDEX('All Song Rankings'!$B:$B,F736))</f>
        <v>Edith Piaf</v>
      </c>
      <c r="I736" s="6" t="str">
        <f aca="false">IF(F736=0,"NOT FOUND",INDEX('All Song Rankings'!$D:$D,F736))</f>
        <v>Maryann</v>
      </c>
      <c r="J736" s="7" t="str">
        <f aca="false">IF(F736=0,"NOT FOUND",IF(C736=I736,"SELF-VOTE",IF(COUNTIF($K:$K,K736)&gt;1,"DUPLICATE","OK")))</f>
        <v>OK</v>
      </c>
      <c r="K736" s="6" t="str">
        <f aca="false">A736&amp;"|"&amp;B736&amp;"|"&amp;C736&amp;"|"&amp;D736</f>
        <v>2|3|Grace|spotify:track:3dkIE8P7hvl3tHl9KSb6dA</v>
      </c>
    </row>
    <row r="737" customFormat="false" ht="15" hidden="false" customHeight="false" outlineLevel="0" collapsed="false">
      <c r="A737" s="5" t="n">
        <v>2</v>
      </c>
      <c r="B737" s="5" t="n">
        <v>3</v>
      </c>
      <c r="C737" s="5" t="s">
        <v>382</v>
      </c>
      <c r="D737" s="5" t="s">
        <v>485</v>
      </c>
      <c r="E737" s="5" t="n">
        <v>2</v>
      </c>
      <c r="F737" s="6" t="n">
        <f aca="false">IFERROR(MATCH(A737&amp;"|"&amp;B737&amp;"|"&amp;D737,'All Song Rankings'!$T:$T,0),0)</f>
        <v>124</v>
      </c>
      <c r="G737" s="6" t="str">
        <f aca="false">IF(F737=0,"NOT FOUND",INDEX('All Song Rankings'!$A:$A,F737))</f>
        <v>Dizzy On the Comedown</v>
      </c>
      <c r="H737" s="6" t="str">
        <f aca="false">IF(F737=0,"NOT FOUND",INDEX('All Song Rankings'!$B:$B,F737))</f>
        <v>Turnover</v>
      </c>
      <c r="I737" s="6" t="str">
        <f aca="false">IF(F737=0,"NOT FOUND",INDEX('All Song Rankings'!$D:$D,F737))</f>
        <v>Scott</v>
      </c>
      <c r="J737" s="7" t="str">
        <f aca="false">IF(F737=0,"NOT FOUND",IF(C737=I737,"SELF-VOTE",IF(COUNTIF($K:$K,K737)&gt;1,"DUPLICATE","OK")))</f>
        <v>OK</v>
      </c>
      <c r="K737" s="6" t="str">
        <f aca="false">A737&amp;"|"&amp;B737&amp;"|"&amp;C737&amp;"|"&amp;D737</f>
        <v>2|3|Grace|spotify:track:3vkj94FiLgUz3ysZcmIXPx</v>
      </c>
    </row>
    <row r="738" customFormat="false" ht="15" hidden="false" customHeight="false" outlineLevel="0" collapsed="false">
      <c r="A738" s="5" t="n">
        <v>2</v>
      </c>
      <c r="B738" s="5" t="n">
        <v>3</v>
      </c>
      <c r="C738" s="5" t="s">
        <v>382</v>
      </c>
      <c r="D738" s="5" t="s">
        <v>457</v>
      </c>
      <c r="E738" s="5" t="n">
        <v>1</v>
      </c>
      <c r="F738" s="6" t="n">
        <f aca="false">IFERROR(MATCH(A738&amp;"|"&amp;B738&amp;"|"&amp;D738,'All Song Rankings'!$T:$T,0),0)</f>
        <v>115</v>
      </c>
      <c r="G738" s="6" t="str">
        <f aca="false">IF(F738=0,"NOT FOUND",INDEX('All Song Rankings'!$A:$A,F738))</f>
        <v>Welcome to the Black Parade</v>
      </c>
      <c r="H738" s="6" t="str">
        <f aca="false">IF(F738=0,"NOT FOUND",INDEX('All Song Rankings'!$B:$B,F738))</f>
        <v>My Chemical Romance</v>
      </c>
      <c r="I738" s="6" t="str">
        <f aca="false">IF(F738=0,"NOT FOUND",INDEX('All Song Rankings'!$D:$D,F738))</f>
        <v>Kelsey</v>
      </c>
      <c r="J738" s="7" t="str">
        <f aca="false">IF(F738=0,"NOT FOUND",IF(C738=I738,"SELF-VOTE",IF(COUNTIF($K:$K,K738)&gt;1,"DUPLICATE","OK")))</f>
        <v>OK</v>
      </c>
      <c r="K738" s="6" t="str">
        <f aca="false">A738&amp;"|"&amp;B738&amp;"|"&amp;C738&amp;"|"&amp;D738</f>
        <v>2|3|Grace|spotify:track:5wQnmLuC1W7ATsArWACrgW</v>
      </c>
    </row>
    <row r="739" customFormat="false" ht="15" hidden="false" customHeight="false" outlineLevel="0" collapsed="false">
      <c r="A739" s="5" t="n">
        <v>2</v>
      </c>
      <c r="B739" s="5" t="n">
        <v>3</v>
      </c>
      <c r="C739" s="5" t="s">
        <v>85</v>
      </c>
      <c r="D739" s="5" t="s">
        <v>460</v>
      </c>
      <c r="E739" s="5" t="n">
        <v>3</v>
      </c>
      <c r="F739" s="6" t="n">
        <f aca="false">IFERROR(MATCH(A739&amp;"|"&amp;B739&amp;"|"&amp;D739,'All Song Rankings'!$T:$T,0),0)</f>
        <v>116</v>
      </c>
      <c r="G739" s="6" t="str">
        <f aca="false">IF(F739=0,"NOT FOUND",INDEX('All Song Rankings'!$A:$A,F739))</f>
        <v>30,000 Feet</v>
      </c>
      <c r="H739" s="6" t="str">
        <f aca="false">IF(F739=0,"NOT FOUND",INDEX('All Song Rankings'!$B:$B,F739))</f>
        <v>Ben Rector</v>
      </c>
      <c r="I739" s="6" t="str">
        <f aca="false">IF(F739=0,"NOT FOUND",INDEX('All Song Rankings'!$D:$D,F739))</f>
        <v>Kristen</v>
      </c>
      <c r="J739" s="7" t="str">
        <f aca="false">IF(F739=0,"NOT FOUND",IF(C739=I739,"SELF-VOTE",IF(COUNTIF($K:$K,K739)&gt;1,"DUPLICATE","OK")))</f>
        <v>OK</v>
      </c>
      <c r="K739" s="6" t="str">
        <f aca="false">A739&amp;"|"&amp;B739&amp;"|"&amp;C739&amp;"|"&amp;D739</f>
        <v>2|3|Kelsey|spotify:track:0KF5nzdiqZlxVK68MPITst</v>
      </c>
    </row>
    <row r="740" customFormat="false" ht="15" hidden="false" customHeight="false" outlineLevel="0" collapsed="false">
      <c r="A740" s="5" t="n">
        <v>2</v>
      </c>
      <c r="B740" s="5" t="n">
        <v>3</v>
      </c>
      <c r="C740" s="5" t="s">
        <v>85</v>
      </c>
      <c r="D740" s="5" t="s">
        <v>463</v>
      </c>
      <c r="E740" s="5" t="n">
        <v>1</v>
      </c>
      <c r="F740" s="6" t="n">
        <f aca="false">IFERROR(MATCH(A740&amp;"|"&amp;B740&amp;"|"&amp;D740,'All Song Rankings'!$T:$T,0),0)</f>
        <v>117</v>
      </c>
      <c r="G740" s="6" t="str">
        <f aca="false">IF(F740=0,"NOT FOUND",INDEX('All Song Rankings'!$A:$A,F740))</f>
        <v>Non, je ne regrette rien</v>
      </c>
      <c r="H740" s="6" t="str">
        <f aca="false">IF(F740=0,"NOT FOUND",INDEX('All Song Rankings'!$B:$B,F740))</f>
        <v>Edith Piaf</v>
      </c>
      <c r="I740" s="6" t="str">
        <f aca="false">IF(F740=0,"NOT FOUND",INDEX('All Song Rankings'!$D:$D,F740))</f>
        <v>Maryann</v>
      </c>
      <c r="J740" s="7" t="str">
        <f aca="false">IF(F740=0,"NOT FOUND",IF(C740=I740,"SELF-VOTE",IF(COUNTIF($K:$K,K740)&gt;1,"DUPLICATE","OK")))</f>
        <v>OK</v>
      </c>
      <c r="K740" s="6" t="str">
        <f aca="false">A740&amp;"|"&amp;B740&amp;"|"&amp;C740&amp;"|"&amp;D740</f>
        <v>2|3|Kelsey|spotify:track:3dkIE8P7hvl3tHl9KSb6dA</v>
      </c>
    </row>
    <row r="741" customFormat="false" ht="15" hidden="false" customHeight="false" outlineLevel="0" collapsed="false">
      <c r="A741" s="5" t="n">
        <v>2</v>
      </c>
      <c r="B741" s="5" t="n">
        <v>3</v>
      </c>
      <c r="C741" s="5" t="s">
        <v>85</v>
      </c>
      <c r="D741" s="5" t="s">
        <v>478</v>
      </c>
      <c r="E741" s="5" t="n">
        <v>1</v>
      </c>
      <c r="F741" s="6" t="n">
        <f aca="false">IFERROR(MATCH(A741&amp;"|"&amp;B741&amp;"|"&amp;D741,'All Song Rankings'!$T:$T,0),0)</f>
        <v>122</v>
      </c>
      <c r="G741" s="6" t="str">
        <f aca="false">IF(F741=0,"NOT FOUND",INDEX('All Song Rankings'!$A:$A,F741))</f>
        <v>City of Angels</v>
      </c>
      <c r="H741" s="6" t="str">
        <f aca="false">IF(F741=0,"NOT FOUND",INDEX('All Song Rankings'!$B:$B,F741))</f>
        <v>Em Beihold</v>
      </c>
      <c r="I741" s="6" t="str">
        <f aca="false">IF(F741=0,"NOT FOUND",INDEX('All Song Rankings'!$D:$D,F741))</f>
        <v>Matt</v>
      </c>
      <c r="J741" s="7" t="str">
        <f aca="false">IF(F741=0,"NOT FOUND",IF(C741=I741,"SELF-VOTE",IF(COUNTIF($K:$K,K741)&gt;1,"DUPLICATE","OK")))</f>
        <v>OK</v>
      </c>
      <c r="K741" s="6" t="str">
        <f aca="false">A741&amp;"|"&amp;B741&amp;"|"&amp;C741&amp;"|"&amp;D741</f>
        <v>2|3|Kelsey|spotify:track:3u2e0jBFHbDT9yPA6vMK1v</v>
      </c>
    </row>
    <row r="742" customFormat="false" ht="15" hidden="false" customHeight="false" outlineLevel="0" collapsed="false">
      <c r="A742" s="5" t="n">
        <v>2</v>
      </c>
      <c r="B742" s="5" t="n">
        <v>3</v>
      </c>
      <c r="C742" s="5" t="s">
        <v>85</v>
      </c>
      <c r="D742" s="5" t="s">
        <v>472</v>
      </c>
      <c r="E742" s="5" t="n">
        <v>3</v>
      </c>
      <c r="F742" s="6" t="n">
        <f aca="false">IFERROR(MATCH(A742&amp;"|"&amp;B742&amp;"|"&amp;D742,'All Song Rankings'!$T:$T,0),0)</f>
        <v>120</v>
      </c>
      <c r="G742" s="6" t="str">
        <f aca="false">IF(F742=0,"NOT FOUND",INDEX('All Song Rankings'!$A:$A,F742))</f>
        <v>Opalite</v>
      </c>
      <c r="H742" s="6" t="str">
        <f aca="false">IF(F742=0,"NOT FOUND",INDEX('All Song Rankings'!$B:$B,F742))</f>
        <v>Taylor Swift</v>
      </c>
      <c r="I742" s="6" t="str">
        <f aca="false">IF(F742=0,"NOT FOUND",INDEX('All Song Rankings'!$D:$D,F742))</f>
        <v>Nicole</v>
      </c>
      <c r="J742" s="7" t="str">
        <f aca="false">IF(F742=0,"NOT FOUND",IF(C742=I742,"SELF-VOTE",IF(COUNTIF($K:$K,K742)&gt;1,"DUPLICATE","OK")))</f>
        <v>OK</v>
      </c>
      <c r="K742" s="6" t="str">
        <f aca="false">A742&amp;"|"&amp;B742&amp;"|"&amp;C742&amp;"|"&amp;D742</f>
        <v>2|3|Kelsey|spotify:track:3yWuTOYDztXjZxdE2cIRUa</v>
      </c>
    </row>
    <row r="743" customFormat="false" ht="15" hidden="false" customHeight="false" outlineLevel="0" collapsed="false">
      <c r="A743" s="5" t="n">
        <v>2</v>
      </c>
      <c r="B743" s="5" t="n">
        <v>3</v>
      </c>
      <c r="C743" s="5" t="s">
        <v>85</v>
      </c>
      <c r="D743" s="5" t="s">
        <v>481</v>
      </c>
      <c r="E743" s="5" t="n">
        <v>1</v>
      </c>
      <c r="F743" s="6" t="n">
        <f aca="false">IFERROR(MATCH(A743&amp;"|"&amp;B743&amp;"|"&amp;D743,'All Song Rankings'!$T:$T,0),0)</f>
        <v>123</v>
      </c>
      <c r="G743" s="6" t="str">
        <f aca="false">IF(F743=0,"NOT FOUND",INDEX('All Song Rankings'!$A:$A,F743))</f>
        <v>I WANNA BE YOUR SLAVE</v>
      </c>
      <c r="H743" s="6" t="str">
        <f aca="false">IF(F743=0,"NOT FOUND",INDEX('All Song Rankings'!$B:$B,F743))</f>
        <v>Måneskin</v>
      </c>
      <c r="I743" s="6" t="str">
        <f aca="false">IF(F743=0,"NOT FOUND",INDEX('All Song Rankings'!$D:$D,F743))</f>
        <v>Makenzie</v>
      </c>
      <c r="J743" s="7" t="str">
        <f aca="false">IF(F743=0,"NOT FOUND",IF(C743=I743,"SELF-VOTE",IF(COUNTIF($K:$K,K743)&gt;1,"DUPLICATE","OK")))</f>
        <v>OK</v>
      </c>
      <c r="K743" s="6" t="str">
        <f aca="false">A743&amp;"|"&amp;B743&amp;"|"&amp;C743&amp;"|"&amp;D743</f>
        <v>2|3|Kelsey|spotify:track:4pt5fDVTg5GhEvEtlz9dKk</v>
      </c>
    </row>
    <row r="744" customFormat="false" ht="15" hidden="false" customHeight="false" outlineLevel="0" collapsed="false">
      <c r="A744" s="5" t="n">
        <v>2</v>
      </c>
      <c r="B744" s="5" t="n">
        <v>3</v>
      </c>
      <c r="C744" s="5" t="s">
        <v>85</v>
      </c>
      <c r="D744" s="5" t="s">
        <v>488</v>
      </c>
      <c r="E744" s="5" t="n">
        <v>1</v>
      </c>
      <c r="F744" s="6" t="n">
        <f aca="false">IFERROR(MATCH(A744&amp;"|"&amp;B744&amp;"|"&amp;D744,'All Song Rankings'!$T:$T,0),0)</f>
        <v>125</v>
      </c>
      <c r="G744" s="6" t="str">
        <f aca="false">IF(F744=0,"NOT FOUND",INDEX('All Song Rankings'!$A:$A,F744))</f>
        <v>Nashville</v>
      </c>
      <c r="H744" s="6" t="str">
        <f aca="false">IF(F744=0,"NOT FOUND",INDEX('All Song Rankings'!$B:$B,F744))</f>
        <v>Carter Vail</v>
      </c>
      <c r="I744" s="6" t="str">
        <f aca="false">IF(F744=0,"NOT FOUND",INDEX('All Song Rankings'!$D:$D,F744))</f>
        <v>Shayne</v>
      </c>
      <c r="J744" s="7" t="str">
        <f aca="false">IF(F744=0,"NOT FOUND",IF(C744=I744,"SELF-VOTE",IF(COUNTIF($K:$K,K744)&gt;1,"DUPLICATE","OK")))</f>
        <v>OK</v>
      </c>
      <c r="K744" s="6" t="str">
        <f aca="false">A744&amp;"|"&amp;B744&amp;"|"&amp;C744&amp;"|"&amp;D744</f>
        <v>2|3|Kelsey|spotify:track:7h4OYLCsuULrjIFSYNfVdh</v>
      </c>
    </row>
    <row r="745" customFormat="false" ht="15" hidden="false" customHeight="false" outlineLevel="0" collapsed="false">
      <c r="A745" s="5" t="n">
        <v>2</v>
      </c>
      <c r="B745" s="5" t="n">
        <v>3</v>
      </c>
      <c r="C745" s="5" t="s">
        <v>106</v>
      </c>
      <c r="D745" s="5" t="s">
        <v>475</v>
      </c>
      <c r="E745" s="5" t="n">
        <v>1</v>
      </c>
      <c r="F745" s="6" t="n">
        <f aca="false">IFERROR(MATCH(A745&amp;"|"&amp;B745&amp;"|"&amp;D745,'All Song Rankings'!$T:$T,0),0)</f>
        <v>121</v>
      </c>
      <c r="G745" s="6" t="str">
        <f aca="false">IF(F745=0,"NOT FOUND",INDEX('All Song Rankings'!$A:$A,F745))</f>
        <v>Ocean Drive</v>
      </c>
      <c r="H745" s="6" t="str">
        <f aca="false">IF(F745=0,"NOT FOUND",INDEX('All Song Rankings'!$B:$B,F745))</f>
        <v>Duke Dumont</v>
      </c>
      <c r="I745" s="6" t="str">
        <f aca="false">IF(F745=0,"NOT FOUND",INDEX('All Song Rankings'!$D:$D,F745))</f>
        <v>Stephanie</v>
      </c>
      <c r="J745" s="7" t="str">
        <f aca="false">IF(F745=0,"NOT FOUND",IF(C745=I745,"SELF-VOTE",IF(COUNTIF($K:$K,K745)&gt;1,"DUPLICATE","OK")))</f>
        <v>OK</v>
      </c>
      <c r="K745" s="6" t="str">
        <f aca="false">A745&amp;"|"&amp;B745&amp;"|"&amp;C745&amp;"|"&amp;D745</f>
        <v>2|3|Kristen|spotify:track:0b6wdul3A5sQNpIOv03OxP</v>
      </c>
    </row>
    <row r="746" customFormat="false" ht="15" hidden="false" customHeight="false" outlineLevel="0" collapsed="false">
      <c r="A746" s="5" t="n">
        <v>2</v>
      </c>
      <c r="B746" s="5" t="n">
        <v>3</v>
      </c>
      <c r="C746" s="5" t="s">
        <v>106</v>
      </c>
      <c r="D746" s="5" t="s">
        <v>469</v>
      </c>
      <c r="E746" s="5" t="n">
        <v>1</v>
      </c>
      <c r="F746" s="6" t="n">
        <f aca="false">IFERROR(MATCH(A746&amp;"|"&amp;B746&amp;"|"&amp;D746,'All Song Rankings'!$T:$T,0),0)</f>
        <v>119</v>
      </c>
      <c r="G746" s="6" t="str">
        <f aca="false">IF(F746=0,"NOT FOUND",INDEX('All Song Rankings'!$A:$A,F746))</f>
        <v>We Intertwined</v>
      </c>
      <c r="H746" s="6" t="str">
        <f aca="false">IF(F746=0,"NOT FOUND",INDEX('All Song Rankings'!$B:$B,F746))</f>
        <v>The Hush Sound</v>
      </c>
      <c r="I746" s="6" t="str">
        <f aca="false">IF(F746=0,"NOT FOUND",INDEX('All Song Rankings'!$D:$D,F746))</f>
        <v>Grace</v>
      </c>
      <c r="J746" s="7" t="str">
        <f aca="false">IF(F746=0,"NOT FOUND",IF(C746=I746,"SELF-VOTE",IF(COUNTIF($K:$K,K746)&gt;1,"DUPLICATE","OK")))</f>
        <v>OK</v>
      </c>
      <c r="K746" s="6" t="str">
        <f aca="false">A746&amp;"|"&amp;B746&amp;"|"&amp;C746&amp;"|"&amp;D746</f>
        <v>2|3|Kristen|spotify:track:2OSvnWYcpDv08GLmLDih1w</v>
      </c>
    </row>
    <row r="747" customFormat="false" ht="15" hidden="false" customHeight="false" outlineLevel="0" collapsed="false">
      <c r="A747" s="5" t="n">
        <v>2</v>
      </c>
      <c r="B747" s="5" t="n">
        <v>3</v>
      </c>
      <c r="C747" s="5" t="s">
        <v>106</v>
      </c>
      <c r="D747" s="5" t="s">
        <v>498</v>
      </c>
      <c r="E747" s="5" t="n">
        <v>1</v>
      </c>
      <c r="F747" s="6" t="n">
        <f aca="false">IFERROR(MATCH(A747&amp;"|"&amp;B747&amp;"|"&amp;D747,'All Song Rankings'!$T:$T,0),0)</f>
        <v>129</v>
      </c>
      <c r="G747" s="6" t="str">
        <f aca="false">IF(F747=0,"NOT FOUND",INDEX('All Song Rankings'!$A:$A,F747))</f>
        <v>Vielleicht Vielleicht</v>
      </c>
      <c r="H747" s="6" t="str">
        <f aca="false">IF(F747=0,"NOT FOUND",INDEX('All Song Rankings'!$B:$B,F747))</f>
        <v>MilleniumKid, JBS, HOLY PRIEST, elMefti</v>
      </c>
      <c r="I747" s="6" t="str">
        <f aca="false">IF(F747=0,"NOT FOUND",INDEX('All Song Rankings'!$D:$D,F747))</f>
        <v>Anya</v>
      </c>
      <c r="J747" s="7" t="str">
        <f aca="false">IF(F747=0,"NOT FOUND",IF(C747=I747,"SELF-VOTE",IF(COUNTIF($K:$K,K747)&gt;1,"DUPLICATE","OK")))</f>
        <v>OK</v>
      </c>
      <c r="K747" s="6" t="str">
        <f aca="false">A747&amp;"|"&amp;B747&amp;"|"&amp;C747&amp;"|"&amp;D747</f>
        <v>2|3|Kristen|spotify:track:2nWw7VrUn8Ijo45K6WIIna</v>
      </c>
    </row>
    <row r="748" customFormat="false" ht="15" hidden="false" customHeight="false" outlineLevel="0" collapsed="false">
      <c r="A748" s="5" t="n">
        <v>2</v>
      </c>
      <c r="B748" s="5" t="n">
        <v>3</v>
      </c>
      <c r="C748" s="5" t="s">
        <v>106</v>
      </c>
      <c r="D748" s="5" t="s">
        <v>463</v>
      </c>
      <c r="E748" s="5" t="n">
        <v>1</v>
      </c>
      <c r="F748" s="6" t="n">
        <f aca="false">IFERROR(MATCH(A748&amp;"|"&amp;B748&amp;"|"&amp;D748,'All Song Rankings'!$T:$T,0),0)</f>
        <v>117</v>
      </c>
      <c r="G748" s="6" t="str">
        <f aca="false">IF(F748=0,"NOT FOUND",INDEX('All Song Rankings'!$A:$A,F748))</f>
        <v>Non, je ne regrette rien</v>
      </c>
      <c r="H748" s="6" t="str">
        <f aca="false">IF(F748=0,"NOT FOUND",INDEX('All Song Rankings'!$B:$B,F748))</f>
        <v>Edith Piaf</v>
      </c>
      <c r="I748" s="6" t="str">
        <f aca="false">IF(F748=0,"NOT FOUND",INDEX('All Song Rankings'!$D:$D,F748))</f>
        <v>Maryann</v>
      </c>
      <c r="J748" s="7" t="str">
        <f aca="false">IF(F748=0,"NOT FOUND",IF(C748=I748,"SELF-VOTE",IF(COUNTIF($K:$K,K748)&gt;1,"DUPLICATE","OK")))</f>
        <v>OK</v>
      </c>
      <c r="K748" s="6" t="str">
        <f aca="false">A748&amp;"|"&amp;B748&amp;"|"&amp;C748&amp;"|"&amp;D748</f>
        <v>2|3|Kristen|spotify:track:3dkIE8P7hvl3tHl9KSb6dA</v>
      </c>
    </row>
    <row r="749" customFormat="false" ht="15" hidden="false" customHeight="false" outlineLevel="0" collapsed="false">
      <c r="A749" s="5" t="n">
        <v>2</v>
      </c>
      <c r="B749" s="5" t="n">
        <v>3</v>
      </c>
      <c r="C749" s="5" t="s">
        <v>106</v>
      </c>
      <c r="D749" s="5" t="s">
        <v>495</v>
      </c>
      <c r="E749" s="5" t="n">
        <v>1</v>
      </c>
      <c r="F749" s="6" t="n">
        <f aca="false">IFERROR(MATCH(A749&amp;"|"&amp;B749&amp;"|"&amp;D749,'All Song Rankings'!$T:$T,0),0)</f>
        <v>127</v>
      </c>
      <c r="G749" s="6" t="str">
        <f aca="false">IF(F749=0,"NOT FOUND",INDEX('All Song Rankings'!$A:$A,F749))</f>
        <v>Run It Up</v>
      </c>
      <c r="H749" s="6" t="str">
        <f aca="false">IF(F749=0,"NOT FOUND",INDEX('All Song Rankings'!$B:$B,F749))</f>
        <v>Hanumankind</v>
      </c>
      <c r="I749" s="6" t="str">
        <f aca="false">IF(F749=0,"NOT FOUND",INDEX('All Song Rankings'!$D:$D,F749))</f>
        <v>Merita</v>
      </c>
      <c r="J749" s="7" t="str">
        <f aca="false">IF(F749=0,"NOT FOUND",IF(C749=I749,"SELF-VOTE",IF(COUNTIF($K:$K,K749)&gt;1,"DUPLICATE","OK")))</f>
        <v>OK</v>
      </c>
      <c r="K749" s="6" t="str">
        <f aca="false">A749&amp;"|"&amp;B749&amp;"|"&amp;C749&amp;"|"&amp;D749</f>
        <v>2|3|Kristen|spotify:track:3sZQ8L4aptFDJXBqdVdvO8</v>
      </c>
    </row>
    <row r="750" customFormat="false" ht="15" hidden="false" customHeight="false" outlineLevel="0" collapsed="false">
      <c r="A750" s="5" t="n">
        <v>2</v>
      </c>
      <c r="B750" s="5" t="n">
        <v>3</v>
      </c>
      <c r="C750" s="5" t="s">
        <v>106</v>
      </c>
      <c r="D750" s="5" t="s">
        <v>478</v>
      </c>
      <c r="E750" s="5" t="n">
        <v>1</v>
      </c>
      <c r="F750" s="6" t="n">
        <f aca="false">IFERROR(MATCH(A750&amp;"|"&amp;B750&amp;"|"&amp;D750,'All Song Rankings'!$T:$T,0),0)</f>
        <v>122</v>
      </c>
      <c r="G750" s="6" t="str">
        <f aca="false">IF(F750=0,"NOT FOUND",INDEX('All Song Rankings'!$A:$A,F750))</f>
        <v>City of Angels</v>
      </c>
      <c r="H750" s="6" t="str">
        <f aca="false">IF(F750=0,"NOT FOUND",INDEX('All Song Rankings'!$B:$B,F750))</f>
        <v>Em Beihold</v>
      </c>
      <c r="I750" s="6" t="str">
        <f aca="false">IF(F750=0,"NOT FOUND",INDEX('All Song Rankings'!$D:$D,F750))</f>
        <v>Matt</v>
      </c>
      <c r="J750" s="7" t="str">
        <f aca="false">IF(F750=0,"NOT FOUND",IF(C750=I750,"SELF-VOTE",IF(COUNTIF($K:$K,K750)&gt;1,"DUPLICATE","OK")))</f>
        <v>OK</v>
      </c>
      <c r="K750" s="6" t="str">
        <f aca="false">A750&amp;"|"&amp;B750&amp;"|"&amp;C750&amp;"|"&amp;D750</f>
        <v>2|3|Kristen|spotify:track:3u2e0jBFHbDT9yPA6vMK1v</v>
      </c>
    </row>
    <row r="751" customFormat="false" ht="15" hidden="false" customHeight="false" outlineLevel="0" collapsed="false">
      <c r="A751" s="5" t="n">
        <v>2</v>
      </c>
      <c r="B751" s="5" t="n">
        <v>3</v>
      </c>
      <c r="C751" s="5" t="s">
        <v>106</v>
      </c>
      <c r="D751" s="5" t="s">
        <v>485</v>
      </c>
      <c r="E751" s="5" t="n">
        <v>1</v>
      </c>
      <c r="F751" s="6" t="n">
        <f aca="false">IFERROR(MATCH(A751&amp;"|"&amp;B751&amp;"|"&amp;D751,'All Song Rankings'!$T:$T,0),0)</f>
        <v>124</v>
      </c>
      <c r="G751" s="6" t="str">
        <f aca="false">IF(F751=0,"NOT FOUND",INDEX('All Song Rankings'!$A:$A,F751))</f>
        <v>Dizzy On the Comedown</v>
      </c>
      <c r="H751" s="6" t="str">
        <f aca="false">IF(F751=0,"NOT FOUND",INDEX('All Song Rankings'!$B:$B,F751))</f>
        <v>Turnover</v>
      </c>
      <c r="I751" s="6" t="str">
        <f aca="false">IF(F751=0,"NOT FOUND",INDEX('All Song Rankings'!$D:$D,F751))</f>
        <v>Scott</v>
      </c>
      <c r="J751" s="7" t="str">
        <f aca="false">IF(F751=0,"NOT FOUND",IF(C751=I751,"SELF-VOTE",IF(COUNTIF($K:$K,K751)&gt;1,"DUPLICATE","OK")))</f>
        <v>OK</v>
      </c>
      <c r="K751" s="6" t="str">
        <f aca="false">A751&amp;"|"&amp;B751&amp;"|"&amp;C751&amp;"|"&amp;D751</f>
        <v>2|3|Kristen|spotify:track:3vkj94FiLgUz3ysZcmIXPx</v>
      </c>
    </row>
    <row r="752" customFormat="false" ht="15" hidden="false" customHeight="false" outlineLevel="0" collapsed="false">
      <c r="A752" s="5" t="n">
        <v>2</v>
      </c>
      <c r="B752" s="5" t="n">
        <v>3</v>
      </c>
      <c r="C752" s="5" t="s">
        <v>106</v>
      </c>
      <c r="D752" s="5" t="s">
        <v>472</v>
      </c>
      <c r="E752" s="5" t="n">
        <v>1</v>
      </c>
      <c r="F752" s="6" t="n">
        <f aca="false">IFERROR(MATCH(A752&amp;"|"&amp;B752&amp;"|"&amp;D752,'All Song Rankings'!$T:$T,0),0)</f>
        <v>120</v>
      </c>
      <c r="G752" s="6" t="str">
        <f aca="false">IF(F752=0,"NOT FOUND",INDEX('All Song Rankings'!$A:$A,F752))</f>
        <v>Opalite</v>
      </c>
      <c r="H752" s="6" t="str">
        <f aca="false">IF(F752=0,"NOT FOUND",INDEX('All Song Rankings'!$B:$B,F752))</f>
        <v>Taylor Swift</v>
      </c>
      <c r="I752" s="6" t="str">
        <f aca="false">IF(F752=0,"NOT FOUND",INDEX('All Song Rankings'!$D:$D,F752))</f>
        <v>Nicole</v>
      </c>
      <c r="J752" s="7" t="str">
        <f aca="false">IF(F752=0,"NOT FOUND",IF(C752=I752,"SELF-VOTE",IF(COUNTIF($K:$K,K752)&gt;1,"DUPLICATE","OK")))</f>
        <v>OK</v>
      </c>
      <c r="K752" s="6" t="str">
        <f aca="false">A752&amp;"|"&amp;B752&amp;"|"&amp;C752&amp;"|"&amp;D752</f>
        <v>2|3|Kristen|spotify:track:3yWuTOYDztXjZxdE2cIRUa</v>
      </c>
    </row>
    <row r="753" customFormat="false" ht="15" hidden="false" customHeight="false" outlineLevel="0" collapsed="false">
      <c r="A753" s="5" t="n">
        <v>2</v>
      </c>
      <c r="B753" s="5" t="n">
        <v>3</v>
      </c>
      <c r="C753" s="5" t="s">
        <v>106</v>
      </c>
      <c r="D753" s="5" t="s">
        <v>457</v>
      </c>
      <c r="E753" s="5" t="n">
        <v>1</v>
      </c>
      <c r="F753" s="6" t="n">
        <f aca="false">IFERROR(MATCH(A753&amp;"|"&amp;B753&amp;"|"&amp;D753,'All Song Rankings'!$T:$T,0),0)</f>
        <v>115</v>
      </c>
      <c r="G753" s="6" t="str">
        <f aca="false">IF(F753=0,"NOT FOUND",INDEX('All Song Rankings'!$A:$A,F753))</f>
        <v>Welcome to the Black Parade</v>
      </c>
      <c r="H753" s="6" t="str">
        <f aca="false">IF(F753=0,"NOT FOUND",INDEX('All Song Rankings'!$B:$B,F753))</f>
        <v>My Chemical Romance</v>
      </c>
      <c r="I753" s="6" t="str">
        <f aca="false">IF(F753=0,"NOT FOUND",INDEX('All Song Rankings'!$D:$D,F753))</f>
        <v>Kelsey</v>
      </c>
      <c r="J753" s="7" t="str">
        <f aca="false">IF(F753=0,"NOT FOUND",IF(C753=I753,"SELF-VOTE",IF(COUNTIF($K:$K,K753)&gt;1,"DUPLICATE","OK")))</f>
        <v>OK</v>
      </c>
      <c r="K753" s="6" t="str">
        <f aca="false">A753&amp;"|"&amp;B753&amp;"|"&amp;C753&amp;"|"&amp;D753</f>
        <v>2|3|Kristen|spotify:track:5wQnmLuC1W7ATsArWACrgW</v>
      </c>
    </row>
    <row r="754" customFormat="false" ht="15" hidden="false" customHeight="false" outlineLevel="0" collapsed="false">
      <c r="A754" s="5" t="n">
        <v>2</v>
      </c>
      <c r="B754" s="5" t="n">
        <v>3</v>
      </c>
      <c r="C754" s="5" t="s">
        <v>106</v>
      </c>
      <c r="D754" s="5" t="s">
        <v>488</v>
      </c>
      <c r="E754" s="5" t="n">
        <v>1</v>
      </c>
      <c r="F754" s="6" t="n">
        <f aca="false">IFERROR(MATCH(A754&amp;"|"&amp;B754&amp;"|"&amp;D754,'All Song Rankings'!$T:$T,0),0)</f>
        <v>125</v>
      </c>
      <c r="G754" s="6" t="str">
        <f aca="false">IF(F754=0,"NOT FOUND",INDEX('All Song Rankings'!$A:$A,F754))</f>
        <v>Nashville</v>
      </c>
      <c r="H754" s="6" t="str">
        <f aca="false">IF(F754=0,"NOT FOUND",INDEX('All Song Rankings'!$B:$B,F754))</f>
        <v>Carter Vail</v>
      </c>
      <c r="I754" s="6" t="str">
        <f aca="false">IF(F754=0,"NOT FOUND",INDEX('All Song Rankings'!$D:$D,F754))</f>
        <v>Shayne</v>
      </c>
      <c r="J754" s="7" t="str">
        <f aca="false">IF(F754=0,"NOT FOUND",IF(C754=I754,"SELF-VOTE",IF(COUNTIF($K:$K,K754)&gt;1,"DUPLICATE","OK")))</f>
        <v>OK</v>
      </c>
      <c r="K754" s="6" t="str">
        <f aca="false">A754&amp;"|"&amp;B754&amp;"|"&amp;C754&amp;"|"&amp;D754</f>
        <v>2|3|Kristen|spotify:track:7h4OYLCsuULrjIFSYNfVdh</v>
      </c>
    </row>
    <row r="755" customFormat="false" ht="15" hidden="false" customHeight="false" outlineLevel="0" collapsed="false">
      <c r="A755" s="5" t="n">
        <v>2</v>
      </c>
      <c r="B755" s="5" t="n">
        <v>3</v>
      </c>
      <c r="C755" s="5" t="s">
        <v>119</v>
      </c>
      <c r="D755" s="5" t="s">
        <v>475</v>
      </c>
      <c r="E755" s="5" t="n">
        <v>2</v>
      </c>
      <c r="F755" s="6" t="n">
        <f aca="false">IFERROR(MATCH(A755&amp;"|"&amp;B755&amp;"|"&amp;D755,'All Song Rankings'!$T:$T,0),0)</f>
        <v>121</v>
      </c>
      <c r="G755" s="6" t="str">
        <f aca="false">IF(F755=0,"NOT FOUND",INDEX('All Song Rankings'!$A:$A,F755))</f>
        <v>Ocean Drive</v>
      </c>
      <c r="H755" s="6" t="str">
        <f aca="false">IF(F755=0,"NOT FOUND",INDEX('All Song Rankings'!$B:$B,F755))</f>
        <v>Duke Dumont</v>
      </c>
      <c r="I755" s="6" t="str">
        <f aca="false">IF(F755=0,"NOT FOUND",INDEX('All Song Rankings'!$D:$D,F755))</f>
        <v>Stephanie</v>
      </c>
      <c r="J755" s="7" t="str">
        <f aca="false">IF(F755=0,"NOT FOUND",IF(C755=I755,"SELF-VOTE",IF(COUNTIF($K:$K,K755)&gt;1,"DUPLICATE","OK")))</f>
        <v>OK</v>
      </c>
      <c r="K755" s="6" t="str">
        <f aca="false">A755&amp;"|"&amp;B755&amp;"|"&amp;C755&amp;"|"&amp;D755</f>
        <v>2|3|Leah|spotify:track:0b6wdul3A5sQNpIOv03OxP</v>
      </c>
    </row>
    <row r="756" customFormat="false" ht="15" hidden="false" customHeight="false" outlineLevel="0" collapsed="false">
      <c r="A756" s="5" t="n">
        <v>2</v>
      </c>
      <c r="B756" s="5" t="n">
        <v>3</v>
      </c>
      <c r="C756" s="5" t="s">
        <v>119</v>
      </c>
      <c r="D756" s="5" t="s">
        <v>469</v>
      </c>
      <c r="E756" s="5" t="n">
        <v>1</v>
      </c>
      <c r="F756" s="6" t="n">
        <f aca="false">IFERROR(MATCH(A756&amp;"|"&amp;B756&amp;"|"&amp;D756,'All Song Rankings'!$T:$T,0),0)</f>
        <v>119</v>
      </c>
      <c r="G756" s="6" t="str">
        <f aca="false">IF(F756=0,"NOT FOUND",INDEX('All Song Rankings'!$A:$A,F756))</f>
        <v>We Intertwined</v>
      </c>
      <c r="H756" s="6" t="str">
        <f aca="false">IF(F756=0,"NOT FOUND",INDEX('All Song Rankings'!$B:$B,F756))</f>
        <v>The Hush Sound</v>
      </c>
      <c r="I756" s="6" t="str">
        <f aca="false">IF(F756=0,"NOT FOUND",INDEX('All Song Rankings'!$D:$D,F756))</f>
        <v>Grace</v>
      </c>
      <c r="J756" s="7" t="str">
        <f aca="false">IF(F756=0,"NOT FOUND",IF(C756=I756,"SELF-VOTE",IF(COUNTIF($K:$K,K756)&gt;1,"DUPLICATE","OK")))</f>
        <v>OK</v>
      </c>
      <c r="K756" s="6" t="str">
        <f aca="false">A756&amp;"|"&amp;B756&amp;"|"&amp;C756&amp;"|"&amp;D756</f>
        <v>2|3|Leah|spotify:track:2OSvnWYcpDv08GLmLDih1w</v>
      </c>
    </row>
    <row r="757" customFormat="false" ht="15" hidden="false" customHeight="false" outlineLevel="0" collapsed="false">
      <c r="A757" s="5" t="n">
        <v>2</v>
      </c>
      <c r="B757" s="5" t="n">
        <v>3</v>
      </c>
      <c r="C757" s="5" t="s">
        <v>119</v>
      </c>
      <c r="D757" s="5" t="s">
        <v>466</v>
      </c>
      <c r="E757" s="5" t="n">
        <v>1</v>
      </c>
      <c r="F757" s="6" t="n">
        <f aca="false">IFERROR(MATCH(A757&amp;"|"&amp;B757&amp;"|"&amp;D757,'All Song Rankings'!$T:$T,0),0)</f>
        <v>118</v>
      </c>
      <c r="G757" s="6" t="str">
        <f aca="false">IF(F757=0,"NOT FOUND",INDEX('All Song Rankings'!$A:$A,F757))</f>
        <v>Godspeed</v>
      </c>
      <c r="H757" s="6" t="str">
        <f aca="false">IF(F757=0,"NOT FOUND",INDEX('All Song Rankings'!$B:$B,F757))</f>
        <v>Frank Ocean</v>
      </c>
      <c r="I757" s="6" t="str">
        <f aca="false">IF(F757=0,"NOT FOUND",INDEX('All Song Rankings'!$D:$D,F757))</f>
        <v>Logan</v>
      </c>
      <c r="J757" s="7" t="str">
        <f aca="false">IF(F757=0,"NOT FOUND",IF(C757=I757,"SELF-VOTE",IF(COUNTIF($K:$K,K757)&gt;1,"DUPLICATE","OK")))</f>
        <v>OK</v>
      </c>
      <c r="K757" s="6" t="str">
        <f aca="false">A757&amp;"|"&amp;B757&amp;"|"&amp;C757&amp;"|"&amp;D757</f>
        <v>2|3|Leah|spotify:track:34xTFwjPQ1dC6uJmleno7x</v>
      </c>
    </row>
    <row r="758" customFormat="false" ht="15" hidden="false" customHeight="false" outlineLevel="0" collapsed="false">
      <c r="A758" s="5" t="n">
        <v>2</v>
      </c>
      <c r="B758" s="5" t="n">
        <v>3</v>
      </c>
      <c r="C758" s="5" t="s">
        <v>119</v>
      </c>
      <c r="D758" s="5" t="s">
        <v>495</v>
      </c>
      <c r="E758" s="5" t="n">
        <v>1</v>
      </c>
      <c r="F758" s="6" t="n">
        <f aca="false">IFERROR(MATCH(A758&amp;"|"&amp;B758&amp;"|"&amp;D758,'All Song Rankings'!$T:$T,0),0)</f>
        <v>127</v>
      </c>
      <c r="G758" s="6" t="str">
        <f aca="false">IF(F758=0,"NOT FOUND",INDEX('All Song Rankings'!$A:$A,F758))</f>
        <v>Run It Up</v>
      </c>
      <c r="H758" s="6" t="str">
        <f aca="false">IF(F758=0,"NOT FOUND",INDEX('All Song Rankings'!$B:$B,F758))</f>
        <v>Hanumankind</v>
      </c>
      <c r="I758" s="6" t="str">
        <f aca="false">IF(F758=0,"NOT FOUND",INDEX('All Song Rankings'!$D:$D,F758))</f>
        <v>Merita</v>
      </c>
      <c r="J758" s="7" t="str">
        <f aca="false">IF(F758=0,"NOT FOUND",IF(C758=I758,"SELF-VOTE",IF(COUNTIF($K:$K,K758)&gt;1,"DUPLICATE","OK")))</f>
        <v>OK</v>
      </c>
      <c r="K758" s="6" t="str">
        <f aca="false">A758&amp;"|"&amp;B758&amp;"|"&amp;C758&amp;"|"&amp;D758</f>
        <v>2|3|Leah|spotify:track:3sZQ8L4aptFDJXBqdVdvO8</v>
      </c>
    </row>
    <row r="759" customFormat="false" ht="15" hidden="false" customHeight="false" outlineLevel="0" collapsed="false">
      <c r="A759" s="5" t="n">
        <v>2</v>
      </c>
      <c r="B759" s="5" t="n">
        <v>3</v>
      </c>
      <c r="C759" s="5" t="s">
        <v>119</v>
      </c>
      <c r="D759" s="5" t="s">
        <v>485</v>
      </c>
      <c r="E759" s="5" t="n">
        <v>1</v>
      </c>
      <c r="F759" s="6" t="n">
        <f aca="false">IFERROR(MATCH(A759&amp;"|"&amp;B759&amp;"|"&amp;D759,'All Song Rankings'!$T:$T,0),0)</f>
        <v>124</v>
      </c>
      <c r="G759" s="6" t="str">
        <f aca="false">IF(F759=0,"NOT FOUND",INDEX('All Song Rankings'!$A:$A,F759))</f>
        <v>Dizzy On the Comedown</v>
      </c>
      <c r="H759" s="6" t="str">
        <f aca="false">IF(F759=0,"NOT FOUND",INDEX('All Song Rankings'!$B:$B,F759))</f>
        <v>Turnover</v>
      </c>
      <c r="I759" s="6" t="str">
        <f aca="false">IF(F759=0,"NOT FOUND",INDEX('All Song Rankings'!$D:$D,F759))</f>
        <v>Scott</v>
      </c>
      <c r="J759" s="7" t="str">
        <f aca="false">IF(F759=0,"NOT FOUND",IF(C759=I759,"SELF-VOTE",IF(COUNTIF($K:$K,K759)&gt;1,"DUPLICATE","OK")))</f>
        <v>OK</v>
      </c>
      <c r="K759" s="6" t="str">
        <f aca="false">A759&amp;"|"&amp;B759&amp;"|"&amp;C759&amp;"|"&amp;D759</f>
        <v>2|3|Leah|spotify:track:3vkj94FiLgUz3ysZcmIXPx</v>
      </c>
    </row>
    <row r="760" customFormat="false" ht="15" hidden="false" customHeight="false" outlineLevel="0" collapsed="false">
      <c r="A760" s="5" t="n">
        <v>2</v>
      </c>
      <c r="B760" s="5" t="n">
        <v>3</v>
      </c>
      <c r="C760" s="5" t="s">
        <v>119</v>
      </c>
      <c r="D760" s="5" t="s">
        <v>472</v>
      </c>
      <c r="E760" s="5" t="n">
        <v>1</v>
      </c>
      <c r="F760" s="6" t="n">
        <f aca="false">IFERROR(MATCH(A760&amp;"|"&amp;B760&amp;"|"&amp;D760,'All Song Rankings'!$T:$T,0),0)</f>
        <v>120</v>
      </c>
      <c r="G760" s="6" t="str">
        <f aca="false">IF(F760=0,"NOT FOUND",INDEX('All Song Rankings'!$A:$A,F760))</f>
        <v>Opalite</v>
      </c>
      <c r="H760" s="6" t="str">
        <f aca="false">IF(F760=0,"NOT FOUND",INDEX('All Song Rankings'!$B:$B,F760))</f>
        <v>Taylor Swift</v>
      </c>
      <c r="I760" s="6" t="str">
        <f aca="false">IF(F760=0,"NOT FOUND",INDEX('All Song Rankings'!$D:$D,F760))</f>
        <v>Nicole</v>
      </c>
      <c r="J760" s="7" t="str">
        <f aca="false">IF(F760=0,"NOT FOUND",IF(C760=I760,"SELF-VOTE",IF(COUNTIF($K:$K,K760)&gt;1,"DUPLICATE","OK")))</f>
        <v>OK</v>
      </c>
      <c r="K760" s="6" t="str">
        <f aca="false">A760&amp;"|"&amp;B760&amp;"|"&amp;C760&amp;"|"&amp;D760</f>
        <v>2|3|Leah|spotify:track:3yWuTOYDztXjZxdE2cIRUa</v>
      </c>
    </row>
    <row r="761" customFormat="false" ht="15" hidden="false" customHeight="false" outlineLevel="0" collapsed="false">
      <c r="A761" s="5" t="n">
        <v>2</v>
      </c>
      <c r="B761" s="5" t="n">
        <v>3</v>
      </c>
      <c r="C761" s="5" t="s">
        <v>119</v>
      </c>
      <c r="D761" s="5" t="s">
        <v>481</v>
      </c>
      <c r="E761" s="5" t="n">
        <v>1</v>
      </c>
      <c r="F761" s="6" t="n">
        <f aca="false">IFERROR(MATCH(A761&amp;"|"&amp;B761&amp;"|"&amp;D761,'All Song Rankings'!$T:$T,0),0)</f>
        <v>123</v>
      </c>
      <c r="G761" s="6" t="str">
        <f aca="false">IF(F761=0,"NOT FOUND",INDEX('All Song Rankings'!$A:$A,F761))</f>
        <v>I WANNA BE YOUR SLAVE</v>
      </c>
      <c r="H761" s="6" t="str">
        <f aca="false">IF(F761=0,"NOT FOUND",INDEX('All Song Rankings'!$B:$B,F761))</f>
        <v>Måneskin</v>
      </c>
      <c r="I761" s="6" t="str">
        <f aca="false">IF(F761=0,"NOT FOUND",INDEX('All Song Rankings'!$D:$D,F761))</f>
        <v>Makenzie</v>
      </c>
      <c r="J761" s="7" t="str">
        <f aca="false">IF(F761=0,"NOT FOUND",IF(C761=I761,"SELF-VOTE",IF(COUNTIF($K:$K,K761)&gt;1,"DUPLICATE","OK")))</f>
        <v>OK</v>
      </c>
      <c r="K761" s="6" t="str">
        <f aca="false">A761&amp;"|"&amp;B761&amp;"|"&amp;C761&amp;"|"&amp;D761</f>
        <v>2|3|Leah|spotify:track:4pt5fDVTg5GhEvEtlz9dKk</v>
      </c>
    </row>
    <row r="762" customFormat="false" ht="15" hidden="false" customHeight="false" outlineLevel="0" collapsed="false">
      <c r="A762" s="5" t="n">
        <v>2</v>
      </c>
      <c r="B762" s="5" t="n">
        <v>3</v>
      </c>
      <c r="C762" s="5" t="s">
        <v>119</v>
      </c>
      <c r="D762" s="5" t="s">
        <v>457</v>
      </c>
      <c r="E762" s="5" t="n">
        <v>1</v>
      </c>
      <c r="F762" s="6" t="n">
        <f aca="false">IFERROR(MATCH(A762&amp;"|"&amp;B762&amp;"|"&amp;D762,'All Song Rankings'!$T:$T,0),0)</f>
        <v>115</v>
      </c>
      <c r="G762" s="6" t="str">
        <f aca="false">IF(F762=0,"NOT FOUND",INDEX('All Song Rankings'!$A:$A,F762))</f>
        <v>Welcome to the Black Parade</v>
      </c>
      <c r="H762" s="6" t="str">
        <f aca="false">IF(F762=0,"NOT FOUND",INDEX('All Song Rankings'!$B:$B,F762))</f>
        <v>My Chemical Romance</v>
      </c>
      <c r="I762" s="6" t="str">
        <f aca="false">IF(F762=0,"NOT FOUND",INDEX('All Song Rankings'!$D:$D,F762))</f>
        <v>Kelsey</v>
      </c>
      <c r="J762" s="7" t="str">
        <f aca="false">IF(F762=0,"NOT FOUND",IF(C762=I762,"SELF-VOTE",IF(COUNTIF($K:$K,K762)&gt;1,"DUPLICATE","OK")))</f>
        <v>OK</v>
      </c>
      <c r="K762" s="6" t="str">
        <f aca="false">A762&amp;"|"&amp;B762&amp;"|"&amp;C762&amp;"|"&amp;D762</f>
        <v>2|3|Leah|spotify:track:5wQnmLuC1W7ATsArWACrgW</v>
      </c>
    </row>
    <row r="763" customFormat="false" ht="15" hidden="false" customHeight="false" outlineLevel="0" collapsed="false">
      <c r="A763" s="5" t="n">
        <v>2</v>
      </c>
      <c r="B763" s="5" t="n">
        <v>3</v>
      </c>
      <c r="C763" s="5" t="s">
        <v>119</v>
      </c>
      <c r="D763" s="5" t="s">
        <v>488</v>
      </c>
      <c r="E763" s="5" t="n">
        <v>1</v>
      </c>
      <c r="F763" s="6" t="n">
        <f aca="false">IFERROR(MATCH(A763&amp;"|"&amp;B763&amp;"|"&amp;D763,'All Song Rankings'!$T:$T,0),0)</f>
        <v>125</v>
      </c>
      <c r="G763" s="6" t="str">
        <f aca="false">IF(F763=0,"NOT FOUND",INDEX('All Song Rankings'!$A:$A,F763))</f>
        <v>Nashville</v>
      </c>
      <c r="H763" s="6" t="str">
        <f aca="false">IF(F763=0,"NOT FOUND",INDEX('All Song Rankings'!$B:$B,F763))</f>
        <v>Carter Vail</v>
      </c>
      <c r="I763" s="6" t="str">
        <f aca="false">IF(F763=0,"NOT FOUND",INDEX('All Song Rankings'!$D:$D,F763))</f>
        <v>Shayne</v>
      </c>
      <c r="J763" s="7" t="str">
        <f aca="false">IF(F763=0,"NOT FOUND",IF(C763=I763,"SELF-VOTE",IF(COUNTIF($K:$K,K763)&gt;1,"DUPLICATE","OK")))</f>
        <v>OK</v>
      </c>
      <c r="K763" s="6" t="str">
        <f aca="false">A763&amp;"|"&amp;B763&amp;"|"&amp;C763&amp;"|"&amp;D763</f>
        <v>2|3|Leah|spotify:track:7h4OYLCsuULrjIFSYNfVdh</v>
      </c>
    </row>
    <row r="764" customFormat="false" ht="15" hidden="false" customHeight="false" outlineLevel="0" collapsed="false">
      <c r="A764" s="5" t="n">
        <v>2</v>
      </c>
      <c r="B764" s="5" t="n">
        <v>3</v>
      </c>
      <c r="C764" s="5" t="s">
        <v>128</v>
      </c>
      <c r="D764" s="5" t="s">
        <v>463</v>
      </c>
      <c r="E764" s="5" t="n">
        <v>2</v>
      </c>
      <c r="F764" s="6" t="n">
        <f aca="false">IFERROR(MATCH(A764&amp;"|"&amp;B764&amp;"|"&amp;D764,'All Song Rankings'!$T:$T,0),0)</f>
        <v>117</v>
      </c>
      <c r="G764" s="6" t="str">
        <f aca="false">IF(F764=0,"NOT FOUND",INDEX('All Song Rankings'!$A:$A,F764))</f>
        <v>Non, je ne regrette rien</v>
      </c>
      <c r="H764" s="6" t="str">
        <f aca="false">IF(F764=0,"NOT FOUND",INDEX('All Song Rankings'!$B:$B,F764))</f>
        <v>Edith Piaf</v>
      </c>
      <c r="I764" s="6" t="str">
        <f aca="false">IF(F764=0,"NOT FOUND",INDEX('All Song Rankings'!$D:$D,F764))</f>
        <v>Maryann</v>
      </c>
      <c r="J764" s="7" t="str">
        <f aca="false">IF(F764=0,"NOT FOUND",IF(C764=I764,"SELF-VOTE",IF(COUNTIF($K:$K,K764)&gt;1,"DUPLICATE","OK")))</f>
        <v>OK</v>
      </c>
      <c r="K764" s="6" t="str">
        <f aca="false">A764&amp;"|"&amp;B764&amp;"|"&amp;C764&amp;"|"&amp;D764</f>
        <v>2|3|Logan|spotify:track:3dkIE8P7hvl3tHl9KSb6dA</v>
      </c>
    </row>
    <row r="765" customFormat="false" ht="15" hidden="false" customHeight="false" outlineLevel="0" collapsed="false">
      <c r="A765" s="5" t="n">
        <v>2</v>
      </c>
      <c r="B765" s="5" t="n">
        <v>3</v>
      </c>
      <c r="C765" s="5" t="s">
        <v>128</v>
      </c>
      <c r="D765" s="5" t="s">
        <v>495</v>
      </c>
      <c r="E765" s="5" t="n">
        <v>2</v>
      </c>
      <c r="F765" s="6" t="n">
        <f aca="false">IFERROR(MATCH(A765&amp;"|"&amp;B765&amp;"|"&amp;D765,'All Song Rankings'!$T:$T,0),0)</f>
        <v>127</v>
      </c>
      <c r="G765" s="6" t="str">
        <f aca="false">IF(F765=0,"NOT FOUND",INDEX('All Song Rankings'!$A:$A,F765))</f>
        <v>Run It Up</v>
      </c>
      <c r="H765" s="6" t="str">
        <f aca="false">IF(F765=0,"NOT FOUND",INDEX('All Song Rankings'!$B:$B,F765))</f>
        <v>Hanumankind</v>
      </c>
      <c r="I765" s="6" t="str">
        <f aca="false">IF(F765=0,"NOT FOUND",INDEX('All Song Rankings'!$D:$D,F765))</f>
        <v>Merita</v>
      </c>
      <c r="J765" s="7" t="str">
        <f aca="false">IF(F765=0,"NOT FOUND",IF(C765=I765,"SELF-VOTE",IF(COUNTIF($K:$K,K765)&gt;1,"DUPLICATE","OK")))</f>
        <v>OK</v>
      </c>
      <c r="K765" s="6" t="str">
        <f aca="false">A765&amp;"|"&amp;B765&amp;"|"&amp;C765&amp;"|"&amp;D765</f>
        <v>2|3|Logan|spotify:track:3sZQ8L4aptFDJXBqdVdvO8</v>
      </c>
    </row>
    <row r="766" customFormat="false" ht="15" hidden="false" customHeight="false" outlineLevel="0" collapsed="false">
      <c r="A766" s="5" t="n">
        <v>2</v>
      </c>
      <c r="B766" s="5" t="n">
        <v>3</v>
      </c>
      <c r="C766" s="5" t="s">
        <v>128</v>
      </c>
      <c r="D766" s="5" t="s">
        <v>472</v>
      </c>
      <c r="E766" s="5" t="n">
        <v>1</v>
      </c>
      <c r="F766" s="6" t="n">
        <f aca="false">IFERROR(MATCH(A766&amp;"|"&amp;B766&amp;"|"&amp;D766,'All Song Rankings'!$T:$T,0),0)</f>
        <v>120</v>
      </c>
      <c r="G766" s="6" t="str">
        <f aca="false">IF(F766=0,"NOT FOUND",INDEX('All Song Rankings'!$A:$A,F766))</f>
        <v>Opalite</v>
      </c>
      <c r="H766" s="6" t="str">
        <f aca="false">IF(F766=0,"NOT FOUND",INDEX('All Song Rankings'!$B:$B,F766))</f>
        <v>Taylor Swift</v>
      </c>
      <c r="I766" s="6" t="str">
        <f aca="false">IF(F766=0,"NOT FOUND",INDEX('All Song Rankings'!$D:$D,F766))</f>
        <v>Nicole</v>
      </c>
      <c r="J766" s="7" t="str">
        <f aca="false">IF(F766=0,"NOT FOUND",IF(C766=I766,"SELF-VOTE",IF(COUNTIF($K:$K,K766)&gt;1,"DUPLICATE","OK")))</f>
        <v>OK</v>
      </c>
      <c r="K766" s="6" t="str">
        <f aca="false">A766&amp;"|"&amp;B766&amp;"|"&amp;C766&amp;"|"&amp;D766</f>
        <v>2|3|Logan|spotify:track:3yWuTOYDztXjZxdE2cIRUa</v>
      </c>
    </row>
    <row r="767" customFormat="false" ht="15" hidden="false" customHeight="false" outlineLevel="0" collapsed="false">
      <c r="A767" s="5" t="n">
        <v>2</v>
      </c>
      <c r="B767" s="5" t="n">
        <v>3</v>
      </c>
      <c r="C767" s="5" t="s">
        <v>128</v>
      </c>
      <c r="D767" s="5" t="s">
        <v>481</v>
      </c>
      <c r="E767" s="5" t="n">
        <v>2</v>
      </c>
      <c r="F767" s="6" t="n">
        <f aca="false">IFERROR(MATCH(A767&amp;"|"&amp;B767&amp;"|"&amp;D767,'All Song Rankings'!$T:$T,0),0)</f>
        <v>123</v>
      </c>
      <c r="G767" s="6" t="str">
        <f aca="false">IF(F767=0,"NOT FOUND",INDEX('All Song Rankings'!$A:$A,F767))</f>
        <v>I WANNA BE YOUR SLAVE</v>
      </c>
      <c r="H767" s="6" t="str">
        <f aca="false">IF(F767=0,"NOT FOUND",INDEX('All Song Rankings'!$B:$B,F767))</f>
        <v>Måneskin</v>
      </c>
      <c r="I767" s="6" t="str">
        <f aca="false">IF(F767=0,"NOT FOUND",INDEX('All Song Rankings'!$D:$D,F767))</f>
        <v>Makenzie</v>
      </c>
      <c r="J767" s="7" t="str">
        <f aca="false">IF(F767=0,"NOT FOUND",IF(C767=I767,"SELF-VOTE",IF(COUNTIF($K:$K,K767)&gt;1,"DUPLICATE","OK")))</f>
        <v>OK</v>
      </c>
      <c r="K767" s="6" t="str">
        <f aca="false">A767&amp;"|"&amp;B767&amp;"|"&amp;C767&amp;"|"&amp;D767</f>
        <v>2|3|Logan|spotify:track:4pt5fDVTg5GhEvEtlz9dKk</v>
      </c>
    </row>
    <row r="768" customFormat="false" ht="15" hidden="false" customHeight="false" outlineLevel="0" collapsed="false">
      <c r="A768" s="5" t="n">
        <v>2</v>
      </c>
      <c r="B768" s="5" t="n">
        <v>3</v>
      </c>
      <c r="C768" s="5" t="s">
        <v>128</v>
      </c>
      <c r="D768" s="5" t="s">
        <v>457</v>
      </c>
      <c r="E768" s="5" t="n">
        <v>2</v>
      </c>
      <c r="F768" s="6" t="n">
        <f aca="false">IFERROR(MATCH(A768&amp;"|"&amp;B768&amp;"|"&amp;D768,'All Song Rankings'!$T:$T,0),0)</f>
        <v>115</v>
      </c>
      <c r="G768" s="6" t="str">
        <f aca="false">IF(F768=0,"NOT FOUND",INDEX('All Song Rankings'!$A:$A,F768))</f>
        <v>Welcome to the Black Parade</v>
      </c>
      <c r="H768" s="6" t="str">
        <f aca="false">IF(F768=0,"NOT FOUND",INDEX('All Song Rankings'!$B:$B,F768))</f>
        <v>My Chemical Romance</v>
      </c>
      <c r="I768" s="6" t="str">
        <f aca="false">IF(F768=0,"NOT FOUND",INDEX('All Song Rankings'!$D:$D,F768))</f>
        <v>Kelsey</v>
      </c>
      <c r="J768" s="7" t="str">
        <f aca="false">IF(F768=0,"NOT FOUND",IF(C768=I768,"SELF-VOTE",IF(COUNTIF($K:$K,K768)&gt;1,"DUPLICATE","OK")))</f>
        <v>OK</v>
      </c>
      <c r="K768" s="6" t="str">
        <f aca="false">A768&amp;"|"&amp;B768&amp;"|"&amp;C768&amp;"|"&amp;D768</f>
        <v>2|3|Logan|spotify:track:5wQnmLuC1W7ATsArWACrgW</v>
      </c>
    </row>
    <row r="769" customFormat="false" ht="15" hidden="false" customHeight="false" outlineLevel="0" collapsed="false">
      <c r="A769" s="5" t="n">
        <v>2</v>
      </c>
      <c r="B769" s="5" t="n">
        <v>3</v>
      </c>
      <c r="C769" s="5" t="s">
        <v>128</v>
      </c>
      <c r="D769" s="5" t="s">
        <v>488</v>
      </c>
      <c r="E769" s="5" t="n">
        <v>1</v>
      </c>
      <c r="F769" s="6" t="n">
        <f aca="false">IFERROR(MATCH(A769&amp;"|"&amp;B769&amp;"|"&amp;D769,'All Song Rankings'!$T:$T,0),0)</f>
        <v>125</v>
      </c>
      <c r="G769" s="6" t="str">
        <f aca="false">IF(F769=0,"NOT FOUND",INDEX('All Song Rankings'!$A:$A,F769))</f>
        <v>Nashville</v>
      </c>
      <c r="H769" s="6" t="str">
        <f aca="false">IF(F769=0,"NOT FOUND",INDEX('All Song Rankings'!$B:$B,F769))</f>
        <v>Carter Vail</v>
      </c>
      <c r="I769" s="6" t="str">
        <f aca="false">IF(F769=0,"NOT FOUND",INDEX('All Song Rankings'!$D:$D,F769))</f>
        <v>Shayne</v>
      </c>
      <c r="J769" s="7" t="str">
        <f aca="false">IF(F769=0,"NOT FOUND",IF(C769=I769,"SELF-VOTE",IF(COUNTIF($K:$K,K769)&gt;1,"DUPLICATE","OK")))</f>
        <v>OK</v>
      </c>
      <c r="K769" s="6" t="str">
        <f aca="false">A769&amp;"|"&amp;B769&amp;"|"&amp;C769&amp;"|"&amp;D769</f>
        <v>2|3|Logan|spotify:track:7h4OYLCsuULrjIFSYNfVdh</v>
      </c>
    </row>
    <row r="770" customFormat="false" ht="15" hidden="false" customHeight="false" outlineLevel="0" collapsed="false">
      <c r="A770" s="5" t="n">
        <v>2</v>
      </c>
      <c r="B770" s="5" t="n">
        <v>3</v>
      </c>
      <c r="C770" s="5" t="s">
        <v>395</v>
      </c>
      <c r="D770" s="5" t="s">
        <v>460</v>
      </c>
      <c r="E770" s="5" t="n">
        <v>2</v>
      </c>
      <c r="F770" s="6" t="n">
        <f aca="false">IFERROR(MATCH(A770&amp;"|"&amp;B770&amp;"|"&amp;D770,'All Song Rankings'!$T:$T,0),0)</f>
        <v>116</v>
      </c>
      <c r="G770" s="6" t="str">
        <f aca="false">IF(F770=0,"NOT FOUND",INDEX('All Song Rankings'!$A:$A,F770))</f>
        <v>30,000 Feet</v>
      </c>
      <c r="H770" s="6" t="str">
        <f aca="false">IF(F770=0,"NOT FOUND",INDEX('All Song Rankings'!$B:$B,F770))</f>
        <v>Ben Rector</v>
      </c>
      <c r="I770" s="6" t="str">
        <f aca="false">IF(F770=0,"NOT FOUND",INDEX('All Song Rankings'!$D:$D,F770))</f>
        <v>Kristen</v>
      </c>
      <c r="J770" s="7" t="str">
        <f aca="false">IF(F770=0,"NOT FOUND",IF(C770=I770,"SELF-VOTE",IF(COUNTIF($K:$K,K770)&gt;1,"DUPLICATE","OK")))</f>
        <v>OK</v>
      </c>
      <c r="K770" s="6" t="str">
        <f aca="false">A770&amp;"|"&amp;B770&amp;"|"&amp;C770&amp;"|"&amp;D770</f>
        <v>2|3|Makenzie|spotify:track:0KF5nzdiqZlxVK68MPITst</v>
      </c>
    </row>
    <row r="771" customFormat="false" ht="15" hidden="false" customHeight="false" outlineLevel="0" collapsed="false">
      <c r="A771" s="5" t="n">
        <v>2</v>
      </c>
      <c r="B771" s="5" t="n">
        <v>3</v>
      </c>
      <c r="C771" s="5" t="s">
        <v>395</v>
      </c>
      <c r="D771" s="5" t="s">
        <v>469</v>
      </c>
      <c r="E771" s="5" t="n">
        <v>2</v>
      </c>
      <c r="F771" s="6" t="n">
        <f aca="false">IFERROR(MATCH(A771&amp;"|"&amp;B771&amp;"|"&amp;D771,'All Song Rankings'!$T:$T,0),0)</f>
        <v>119</v>
      </c>
      <c r="G771" s="6" t="str">
        <f aca="false">IF(F771=0,"NOT FOUND",INDEX('All Song Rankings'!$A:$A,F771))</f>
        <v>We Intertwined</v>
      </c>
      <c r="H771" s="6" t="str">
        <f aca="false">IF(F771=0,"NOT FOUND",INDEX('All Song Rankings'!$B:$B,F771))</f>
        <v>The Hush Sound</v>
      </c>
      <c r="I771" s="6" t="str">
        <f aca="false">IF(F771=0,"NOT FOUND",INDEX('All Song Rankings'!$D:$D,F771))</f>
        <v>Grace</v>
      </c>
      <c r="J771" s="7" t="str">
        <f aca="false">IF(F771=0,"NOT FOUND",IF(C771=I771,"SELF-VOTE",IF(COUNTIF($K:$K,K771)&gt;1,"DUPLICATE","OK")))</f>
        <v>OK</v>
      </c>
      <c r="K771" s="6" t="str">
        <f aca="false">A771&amp;"|"&amp;B771&amp;"|"&amp;C771&amp;"|"&amp;D771</f>
        <v>2|3|Makenzie|spotify:track:2OSvnWYcpDv08GLmLDih1w</v>
      </c>
    </row>
    <row r="772" customFormat="false" ht="15" hidden="false" customHeight="false" outlineLevel="0" collapsed="false">
      <c r="A772" s="5" t="n">
        <v>2</v>
      </c>
      <c r="B772" s="5" t="n">
        <v>3</v>
      </c>
      <c r="C772" s="5" t="s">
        <v>395</v>
      </c>
      <c r="D772" s="5" t="s">
        <v>466</v>
      </c>
      <c r="E772" s="5" t="n">
        <v>2</v>
      </c>
      <c r="F772" s="6" t="n">
        <f aca="false">IFERROR(MATCH(A772&amp;"|"&amp;B772&amp;"|"&amp;D772,'All Song Rankings'!$T:$T,0),0)</f>
        <v>118</v>
      </c>
      <c r="G772" s="6" t="str">
        <f aca="false">IF(F772=0,"NOT FOUND",INDEX('All Song Rankings'!$A:$A,F772))</f>
        <v>Godspeed</v>
      </c>
      <c r="H772" s="6" t="str">
        <f aca="false">IF(F772=0,"NOT FOUND",INDEX('All Song Rankings'!$B:$B,F772))</f>
        <v>Frank Ocean</v>
      </c>
      <c r="I772" s="6" t="str">
        <f aca="false">IF(F772=0,"NOT FOUND",INDEX('All Song Rankings'!$D:$D,F772))</f>
        <v>Logan</v>
      </c>
      <c r="J772" s="7" t="str">
        <f aca="false">IF(F772=0,"NOT FOUND",IF(C772=I772,"SELF-VOTE",IF(COUNTIF($K:$K,K772)&gt;1,"DUPLICATE","OK")))</f>
        <v>OK</v>
      </c>
      <c r="K772" s="6" t="str">
        <f aca="false">A772&amp;"|"&amp;B772&amp;"|"&amp;C772&amp;"|"&amp;D772</f>
        <v>2|3|Makenzie|spotify:track:34xTFwjPQ1dC6uJmleno7x</v>
      </c>
    </row>
    <row r="773" customFormat="false" ht="15" hidden="false" customHeight="false" outlineLevel="0" collapsed="false">
      <c r="A773" s="5" t="n">
        <v>2</v>
      </c>
      <c r="B773" s="5" t="n">
        <v>3</v>
      </c>
      <c r="C773" s="5" t="s">
        <v>395</v>
      </c>
      <c r="D773" s="5" t="s">
        <v>478</v>
      </c>
      <c r="E773" s="5" t="n">
        <v>2</v>
      </c>
      <c r="F773" s="6" t="n">
        <f aca="false">IFERROR(MATCH(A773&amp;"|"&amp;B773&amp;"|"&amp;D773,'All Song Rankings'!$T:$T,0),0)</f>
        <v>122</v>
      </c>
      <c r="G773" s="6" t="str">
        <f aca="false">IF(F773=0,"NOT FOUND",INDEX('All Song Rankings'!$A:$A,F773))</f>
        <v>City of Angels</v>
      </c>
      <c r="H773" s="6" t="str">
        <f aca="false">IF(F773=0,"NOT FOUND",INDEX('All Song Rankings'!$B:$B,F773))</f>
        <v>Em Beihold</v>
      </c>
      <c r="I773" s="6" t="str">
        <f aca="false">IF(F773=0,"NOT FOUND",INDEX('All Song Rankings'!$D:$D,F773))</f>
        <v>Matt</v>
      </c>
      <c r="J773" s="7" t="str">
        <f aca="false">IF(F773=0,"NOT FOUND",IF(C773=I773,"SELF-VOTE",IF(COUNTIF($K:$K,K773)&gt;1,"DUPLICATE","OK")))</f>
        <v>OK</v>
      </c>
      <c r="K773" s="6" t="str">
        <f aca="false">A773&amp;"|"&amp;B773&amp;"|"&amp;C773&amp;"|"&amp;D773</f>
        <v>2|3|Makenzie|spotify:track:3u2e0jBFHbDT9yPA6vMK1v</v>
      </c>
    </row>
    <row r="774" customFormat="false" ht="15" hidden="false" customHeight="false" outlineLevel="0" collapsed="false">
      <c r="A774" s="5" t="n">
        <v>2</v>
      </c>
      <c r="B774" s="5" t="n">
        <v>3</v>
      </c>
      <c r="C774" s="5" t="s">
        <v>395</v>
      </c>
      <c r="D774" s="5" t="s">
        <v>457</v>
      </c>
      <c r="E774" s="5" t="n">
        <v>2</v>
      </c>
      <c r="F774" s="6" t="n">
        <f aca="false">IFERROR(MATCH(A774&amp;"|"&amp;B774&amp;"|"&amp;D774,'All Song Rankings'!$T:$T,0),0)</f>
        <v>115</v>
      </c>
      <c r="G774" s="6" t="str">
        <f aca="false">IF(F774=0,"NOT FOUND",INDEX('All Song Rankings'!$A:$A,F774))</f>
        <v>Welcome to the Black Parade</v>
      </c>
      <c r="H774" s="6" t="str">
        <f aca="false">IF(F774=0,"NOT FOUND",INDEX('All Song Rankings'!$B:$B,F774))</f>
        <v>My Chemical Romance</v>
      </c>
      <c r="I774" s="6" t="str">
        <f aca="false">IF(F774=0,"NOT FOUND",INDEX('All Song Rankings'!$D:$D,F774))</f>
        <v>Kelsey</v>
      </c>
      <c r="J774" s="7" t="str">
        <f aca="false">IF(F774=0,"NOT FOUND",IF(C774=I774,"SELF-VOTE",IF(COUNTIF($K:$K,K774)&gt;1,"DUPLICATE","OK")))</f>
        <v>OK</v>
      </c>
      <c r="K774" s="6" t="str">
        <f aca="false">A774&amp;"|"&amp;B774&amp;"|"&amp;C774&amp;"|"&amp;D774</f>
        <v>2|3|Makenzie|spotify:track:5wQnmLuC1W7ATsArWACrgW</v>
      </c>
    </row>
    <row r="775" customFormat="false" ht="15" hidden="false" customHeight="false" outlineLevel="0" collapsed="false">
      <c r="A775" s="5" t="n">
        <v>2</v>
      </c>
      <c r="B775" s="5" t="n">
        <v>3</v>
      </c>
      <c r="C775" s="5" t="s">
        <v>133</v>
      </c>
      <c r="D775" s="5" t="s">
        <v>492</v>
      </c>
      <c r="E775" s="5" t="n">
        <v>1</v>
      </c>
      <c r="F775" s="6" t="n">
        <f aca="false">IFERROR(MATCH(A775&amp;"|"&amp;B775&amp;"|"&amp;D775,'All Song Rankings'!$T:$T,0),0)</f>
        <v>126</v>
      </c>
      <c r="G775" s="6" t="str">
        <f aca="false">IF(F775=0,"NOT FOUND",INDEX('All Song Rankings'!$A:$A,F775))</f>
        <v>Time Bomb</v>
      </c>
      <c r="H775" s="6" t="str">
        <f aca="false">IF(F775=0,"NOT FOUND",INDEX('All Song Rankings'!$B:$B,F775))</f>
        <v>Iration</v>
      </c>
      <c r="I775" s="6" t="str">
        <f aca="false">IF(F775=0,"NOT FOUND",INDEX('All Song Rankings'!$D:$D,F775))</f>
        <v>Leah</v>
      </c>
      <c r="J775" s="7" t="str">
        <f aca="false">IF(F775=0,"NOT FOUND",IF(C775=I775,"SELF-VOTE",IF(COUNTIF($K:$K,K775)&gt;1,"DUPLICATE","OK")))</f>
        <v>OK</v>
      </c>
      <c r="K775" s="6" t="str">
        <f aca="false">A775&amp;"|"&amp;B775&amp;"|"&amp;C775&amp;"|"&amp;D775</f>
        <v>2|3|Maryann|spotify:track:0KtKac3tvjeGjg6FXcUy7X</v>
      </c>
    </row>
    <row r="776" customFormat="false" ht="15" hidden="false" customHeight="false" outlineLevel="0" collapsed="false">
      <c r="A776" s="5" t="n">
        <v>2</v>
      </c>
      <c r="B776" s="5" t="n">
        <v>3</v>
      </c>
      <c r="C776" s="5" t="s">
        <v>133</v>
      </c>
      <c r="D776" s="5" t="s">
        <v>475</v>
      </c>
      <c r="E776" s="5" t="n">
        <v>1</v>
      </c>
      <c r="F776" s="6" t="n">
        <f aca="false">IFERROR(MATCH(A776&amp;"|"&amp;B776&amp;"|"&amp;D776,'All Song Rankings'!$T:$T,0),0)</f>
        <v>121</v>
      </c>
      <c r="G776" s="6" t="str">
        <f aca="false">IF(F776=0,"NOT FOUND",INDEX('All Song Rankings'!$A:$A,F776))</f>
        <v>Ocean Drive</v>
      </c>
      <c r="H776" s="6" t="str">
        <f aca="false">IF(F776=0,"NOT FOUND",INDEX('All Song Rankings'!$B:$B,F776))</f>
        <v>Duke Dumont</v>
      </c>
      <c r="I776" s="6" t="str">
        <f aca="false">IF(F776=0,"NOT FOUND",INDEX('All Song Rankings'!$D:$D,F776))</f>
        <v>Stephanie</v>
      </c>
      <c r="J776" s="7" t="str">
        <f aca="false">IF(F776=0,"NOT FOUND",IF(C776=I776,"SELF-VOTE",IF(COUNTIF($K:$K,K776)&gt;1,"DUPLICATE","OK")))</f>
        <v>OK</v>
      </c>
      <c r="K776" s="6" t="str">
        <f aca="false">A776&amp;"|"&amp;B776&amp;"|"&amp;C776&amp;"|"&amp;D776</f>
        <v>2|3|Maryann|spotify:track:0b6wdul3A5sQNpIOv03OxP</v>
      </c>
    </row>
    <row r="777" customFormat="false" ht="15" hidden="false" customHeight="false" outlineLevel="0" collapsed="false">
      <c r="A777" s="5" t="n">
        <v>2</v>
      </c>
      <c r="B777" s="5" t="n">
        <v>3</v>
      </c>
      <c r="C777" s="5" t="s">
        <v>133</v>
      </c>
      <c r="D777" s="5" t="s">
        <v>469</v>
      </c>
      <c r="E777" s="5" t="n">
        <v>1</v>
      </c>
      <c r="F777" s="6" t="n">
        <f aca="false">IFERROR(MATCH(A777&amp;"|"&amp;B777&amp;"|"&amp;D777,'All Song Rankings'!$T:$T,0),0)</f>
        <v>119</v>
      </c>
      <c r="G777" s="6" t="str">
        <f aca="false">IF(F777=0,"NOT FOUND",INDEX('All Song Rankings'!$A:$A,F777))</f>
        <v>We Intertwined</v>
      </c>
      <c r="H777" s="6" t="str">
        <f aca="false">IF(F777=0,"NOT FOUND",INDEX('All Song Rankings'!$B:$B,F777))</f>
        <v>The Hush Sound</v>
      </c>
      <c r="I777" s="6" t="str">
        <f aca="false">IF(F777=0,"NOT FOUND",INDEX('All Song Rankings'!$D:$D,F777))</f>
        <v>Grace</v>
      </c>
      <c r="J777" s="7" t="str">
        <f aca="false">IF(F777=0,"NOT FOUND",IF(C777=I777,"SELF-VOTE",IF(COUNTIF($K:$K,K777)&gt;1,"DUPLICATE","OK")))</f>
        <v>OK</v>
      </c>
      <c r="K777" s="6" t="str">
        <f aca="false">A777&amp;"|"&amp;B777&amp;"|"&amp;C777&amp;"|"&amp;D777</f>
        <v>2|3|Maryann|spotify:track:2OSvnWYcpDv08GLmLDih1w</v>
      </c>
    </row>
    <row r="778" customFormat="false" ht="15" hidden="false" customHeight="false" outlineLevel="0" collapsed="false">
      <c r="A778" s="5" t="n">
        <v>2</v>
      </c>
      <c r="B778" s="5" t="n">
        <v>3</v>
      </c>
      <c r="C778" s="5" t="s">
        <v>133</v>
      </c>
      <c r="D778" s="5" t="s">
        <v>466</v>
      </c>
      <c r="E778" s="5" t="n">
        <v>2</v>
      </c>
      <c r="F778" s="6" t="n">
        <f aca="false">IFERROR(MATCH(A778&amp;"|"&amp;B778&amp;"|"&amp;D778,'All Song Rankings'!$T:$T,0),0)</f>
        <v>118</v>
      </c>
      <c r="G778" s="6" t="str">
        <f aca="false">IF(F778=0,"NOT FOUND",INDEX('All Song Rankings'!$A:$A,F778))</f>
        <v>Godspeed</v>
      </c>
      <c r="H778" s="6" t="str">
        <f aca="false">IF(F778=0,"NOT FOUND",INDEX('All Song Rankings'!$B:$B,F778))</f>
        <v>Frank Ocean</v>
      </c>
      <c r="I778" s="6" t="str">
        <f aca="false">IF(F778=0,"NOT FOUND",INDEX('All Song Rankings'!$D:$D,F778))</f>
        <v>Logan</v>
      </c>
      <c r="J778" s="7" t="str">
        <f aca="false">IF(F778=0,"NOT FOUND",IF(C778=I778,"SELF-VOTE",IF(COUNTIF($K:$K,K778)&gt;1,"DUPLICATE","OK")))</f>
        <v>OK</v>
      </c>
      <c r="K778" s="6" t="str">
        <f aca="false">A778&amp;"|"&amp;B778&amp;"|"&amp;C778&amp;"|"&amp;D778</f>
        <v>2|3|Maryann|spotify:track:34xTFwjPQ1dC6uJmleno7x</v>
      </c>
    </row>
    <row r="779" customFormat="false" ht="15" hidden="false" customHeight="false" outlineLevel="0" collapsed="false">
      <c r="A779" s="5" t="n">
        <v>2</v>
      </c>
      <c r="B779" s="5" t="n">
        <v>3</v>
      </c>
      <c r="C779" s="5" t="s">
        <v>133</v>
      </c>
      <c r="D779" s="5" t="s">
        <v>485</v>
      </c>
      <c r="E779" s="5" t="n">
        <v>1</v>
      </c>
      <c r="F779" s="6" t="n">
        <f aca="false">IFERROR(MATCH(A779&amp;"|"&amp;B779&amp;"|"&amp;D779,'All Song Rankings'!$T:$T,0),0)</f>
        <v>124</v>
      </c>
      <c r="G779" s="6" t="str">
        <f aca="false">IF(F779=0,"NOT FOUND",INDEX('All Song Rankings'!$A:$A,F779))</f>
        <v>Dizzy On the Comedown</v>
      </c>
      <c r="H779" s="6" t="str">
        <f aca="false">IF(F779=0,"NOT FOUND",INDEX('All Song Rankings'!$B:$B,F779))</f>
        <v>Turnover</v>
      </c>
      <c r="I779" s="6" t="str">
        <f aca="false">IF(F779=0,"NOT FOUND",INDEX('All Song Rankings'!$D:$D,F779))</f>
        <v>Scott</v>
      </c>
      <c r="J779" s="7" t="str">
        <f aca="false">IF(F779=0,"NOT FOUND",IF(C779=I779,"SELF-VOTE",IF(COUNTIF($K:$K,K779)&gt;1,"DUPLICATE","OK")))</f>
        <v>OK</v>
      </c>
      <c r="K779" s="6" t="str">
        <f aca="false">A779&amp;"|"&amp;B779&amp;"|"&amp;C779&amp;"|"&amp;D779</f>
        <v>2|3|Maryann|spotify:track:3vkj94FiLgUz3ysZcmIXPx</v>
      </c>
    </row>
    <row r="780" customFormat="false" ht="15" hidden="false" customHeight="false" outlineLevel="0" collapsed="false">
      <c r="A780" s="5" t="n">
        <v>2</v>
      </c>
      <c r="B780" s="5" t="n">
        <v>3</v>
      </c>
      <c r="C780" s="5" t="s">
        <v>133</v>
      </c>
      <c r="D780" s="5" t="s">
        <v>472</v>
      </c>
      <c r="E780" s="5" t="n">
        <v>1</v>
      </c>
      <c r="F780" s="6" t="n">
        <f aca="false">IFERROR(MATCH(A780&amp;"|"&amp;B780&amp;"|"&amp;D780,'All Song Rankings'!$T:$T,0),0)</f>
        <v>120</v>
      </c>
      <c r="G780" s="6" t="str">
        <f aca="false">IF(F780=0,"NOT FOUND",INDEX('All Song Rankings'!$A:$A,F780))</f>
        <v>Opalite</v>
      </c>
      <c r="H780" s="6" t="str">
        <f aca="false">IF(F780=0,"NOT FOUND",INDEX('All Song Rankings'!$B:$B,F780))</f>
        <v>Taylor Swift</v>
      </c>
      <c r="I780" s="6" t="str">
        <f aca="false">IF(F780=0,"NOT FOUND",INDEX('All Song Rankings'!$D:$D,F780))</f>
        <v>Nicole</v>
      </c>
      <c r="J780" s="7" t="str">
        <f aca="false">IF(F780=0,"NOT FOUND",IF(C780=I780,"SELF-VOTE",IF(COUNTIF($K:$K,K780)&gt;1,"DUPLICATE","OK")))</f>
        <v>OK</v>
      </c>
      <c r="K780" s="6" t="str">
        <f aca="false">A780&amp;"|"&amp;B780&amp;"|"&amp;C780&amp;"|"&amp;D780</f>
        <v>2|3|Maryann|spotify:track:3yWuTOYDztXjZxdE2cIRUa</v>
      </c>
    </row>
    <row r="781" customFormat="false" ht="15" hidden="false" customHeight="false" outlineLevel="0" collapsed="false">
      <c r="A781" s="5" t="n">
        <v>2</v>
      </c>
      <c r="B781" s="5" t="n">
        <v>3</v>
      </c>
      <c r="C781" s="5" t="s">
        <v>133</v>
      </c>
      <c r="D781" s="5" t="s">
        <v>457</v>
      </c>
      <c r="E781" s="5" t="n">
        <v>2</v>
      </c>
      <c r="F781" s="6" t="n">
        <f aca="false">IFERROR(MATCH(A781&amp;"|"&amp;B781&amp;"|"&amp;D781,'All Song Rankings'!$T:$T,0),0)</f>
        <v>115</v>
      </c>
      <c r="G781" s="6" t="str">
        <f aca="false">IF(F781=0,"NOT FOUND",INDEX('All Song Rankings'!$A:$A,F781))</f>
        <v>Welcome to the Black Parade</v>
      </c>
      <c r="H781" s="6" t="str">
        <f aca="false">IF(F781=0,"NOT FOUND",INDEX('All Song Rankings'!$B:$B,F781))</f>
        <v>My Chemical Romance</v>
      </c>
      <c r="I781" s="6" t="str">
        <f aca="false">IF(F781=0,"NOT FOUND",INDEX('All Song Rankings'!$D:$D,F781))</f>
        <v>Kelsey</v>
      </c>
      <c r="J781" s="7" t="str">
        <f aca="false">IF(F781=0,"NOT FOUND",IF(C781=I781,"SELF-VOTE",IF(COUNTIF($K:$K,K781)&gt;1,"DUPLICATE","OK")))</f>
        <v>OK</v>
      </c>
      <c r="K781" s="6" t="str">
        <f aca="false">A781&amp;"|"&amp;B781&amp;"|"&amp;C781&amp;"|"&amp;D781</f>
        <v>2|3|Maryann|spotify:track:5wQnmLuC1W7ATsArWACrgW</v>
      </c>
    </row>
    <row r="782" customFormat="false" ht="15" hidden="false" customHeight="false" outlineLevel="0" collapsed="false">
      <c r="A782" s="5" t="n">
        <v>2</v>
      </c>
      <c r="B782" s="5" t="n">
        <v>3</v>
      </c>
      <c r="C782" s="5" t="s">
        <v>133</v>
      </c>
      <c r="D782" s="5" t="s">
        <v>488</v>
      </c>
      <c r="E782" s="5" t="n">
        <v>1</v>
      </c>
      <c r="F782" s="6" t="n">
        <f aca="false">IFERROR(MATCH(A782&amp;"|"&amp;B782&amp;"|"&amp;D782,'All Song Rankings'!$T:$T,0),0)</f>
        <v>125</v>
      </c>
      <c r="G782" s="6" t="str">
        <f aca="false">IF(F782=0,"NOT FOUND",INDEX('All Song Rankings'!$A:$A,F782))</f>
        <v>Nashville</v>
      </c>
      <c r="H782" s="6" t="str">
        <f aca="false">IF(F782=0,"NOT FOUND",INDEX('All Song Rankings'!$B:$B,F782))</f>
        <v>Carter Vail</v>
      </c>
      <c r="I782" s="6" t="str">
        <f aca="false">IF(F782=0,"NOT FOUND",INDEX('All Song Rankings'!$D:$D,F782))</f>
        <v>Shayne</v>
      </c>
      <c r="J782" s="7" t="str">
        <f aca="false">IF(F782=0,"NOT FOUND",IF(C782=I782,"SELF-VOTE",IF(COUNTIF($K:$K,K782)&gt;1,"DUPLICATE","OK")))</f>
        <v>OK</v>
      </c>
      <c r="K782" s="6" t="str">
        <f aca="false">A782&amp;"|"&amp;B782&amp;"|"&amp;C782&amp;"|"&amp;D782</f>
        <v>2|3|Maryann|spotify:track:7h4OYLCsuULrjIFSYNfVdh</v>
      </c>
    </row>
    <row r="783" customFormat="false" ht="15" hidden="false" customHeight="false" outlineLevel="0" collapsed="false">
      <c r="A783" s="5" t="n">
        <v>2</v>
      </c>
      <c r="B783" s="5" t="n">
        <v>3</v>
      </c>
      <c r="C783" s="5" t="s">
        <v>116</v>
      </c>
      <c r="D783" s="5" t="s">
        <v>460</v>
      </c>
      <c r="E783" s="5" t="n">
        <v>1</v>
      </c>
      <c r="F783" s="6" t="n">
        <f aca="false">IFERROR(MATCH(A783&amp;"|"&amp;B783&amp;"|"&amp;D783,'All Song Rankings'!$T:$T,0),0)</f>
        <v>116</v>
      </c>
      <c r="G783" s="6" t="str">
        <f aca="false">IF(F783=0,"NOT FOUND",INDEX('All Song Rankings'!$A:$A,F783))</f>
        <v>30,000 Feet</v>
      </c>
      <c r="H783" s="6" t="str">
        <f aca="false">IF(F783=0,"NOT FOUND",INDEX('All Song Rankings'!$B:$B,F783))</f>
        <v>Ben Rector</v>
      </c>
      <c r="I783" s="6" t="str">
        <f aca="false">IF(F783=0,"NOT FOUND",INDEX('All Song Rankings'!$D:$D,F783))</f>
        <v>Kristen</v>
      </c>
      <c r="J783" s="7" t="str">
        <f aca="false">IF(F783=0,"NOT FOUND",IF(C783=I783,"SELF-VOTE",IF(COUNTIF($K:$K,K783)&gt;1,"DUPLICATE","OK")))</f>
        <v>OK</v>
      </c>
      <c r="K783" s="6" t="str">
        <f aca="false">A783&amp;"|"&amp;B783&amp;"|"&amp;C783&amp;"|"&amp;D783</f>
        <v>2|3|Matt|spotify:track:0KF5nzdiqZlxVK68MPITst</v>
      </c>
    </row>
    <row r="784" customFormat="false" ht="15" hidden="false" customHeight="false" outlineLevel="0" collapsed="false">
      <c r="A784" s="5" t="n">
        <v>2</v>
      </c>
      <c r="B784" s="5" t="n">
        <v>3</v>
      </c>
      <c r="C784" s="5" t="s">
        <v>116</v>
      </c>
      <c r="D784" s="5" t="s">
        <v>475</v>
      </c>
      <c r="E784" s="5" t="n">
        <v>1</v>
      </c>
      <c r="F784" s="6" t="n">
        <f aca="false">IFERROR(MATCH(A784&amp;"|"&amp;B784&amp;"|"&amp;D784,'All Song Rankings'!$T:$T,0),0)</f>
        <v>121</v>
      </c>
      <c r="G784" s="6" t="str">
        <f aca="false">IF(F784=0,"NOT FOUND",INDEX('All Song Rankings'!$A:$A,F784))</f>
        <v>Ocean Drive</v>
      </c>
      <c r="H784" s="6" t="str">
        <f aca="false">IF(F784=0,"NOT FOUND",INDEX('All Song Rankings'!$B:$B,F784))</f>
        <v>Duke Dumont</v>
      </c>
      <c r="I784" s="6" t="str">
        <f aca="false">IF(F784=0,"NOT FOUND",INDEX('All Song Rankings'!$D:$D,F784))</f>
        <v>Stephanie</v>
      </c>
      <c r="J784" s="7" t="str">
        <f aca="false">IF(F784=0,"NOT FOUND",IF(C784=I784,"SELF-VOTE",IF(COUNTIF($K:$K,K784)&gt;1,"DUPLICATE","OK")))</f>
        <v>OK</v>
      </c>
      <c r="K784" s="6" t="str">
        <f aca="false">A784&amp;"|"&amp;B784&amp;"|"&amp;C784&amp;"|"&amp;D784</f>
        <v>2|3|Matt|spotify:track:0b6wdul3A5sQNpIOv03OxP</v>
      </c>
    </row>
    <row r="785" customFormat="false" ht="15" hidden="false" customHeight="false" outlineLevel="0" collapsed="false">
      <c r="A785" s="5" t="n">
        <v>2</v>
      </c>
      <c r="B785" s="5" t="n">
        <v>3</v>
      </c>
      <c r="C785" s="5" t="s">
        <v>116</v>
      </c>
      <c r="D785" s="5" t="s">
        <v>463</v>
      </c>
      <c r="E785" s="5" t="n">
        <v>1</v>
      </c>
      <c r="F785" s="6" t="n">
        <f aca="false">IFERROR(MATCH(A785&amp;"|"&amp;B785&amp;"|"&amp;D785,'All Song Rankings'!$T:$T,0),0)</f>
        <v>117</v>
      </c>
      <c r="G785" s="6" t="str">
        <f aca="false">IF(F785=0,"NOT FOUND",INDEX('All Song Rankings'!$A:$A,F785))</f>
        <v>Non, je ne regrette rien</v>
      </c>
      <c r="H785" s="6" t="str">
        <f aca="false">IF(F785=0,"NOT FOUND",INDEX('All Song Rankings'!$B:$B,F785))</f>
        <v>Edith Piaf</v>
      </c>
      <c r="I785" s="6" t="str">
        <f aca="false">IF(F785=0,"NOT FOUND",INDEX('All Song Rankings'!$D:$D,F785))</f>
        <v>Maryann</v>
      </c>
      <c r="J785" s="7" t="str">
        <f aca="false">IF(F785=0,"NOT FOUND",IF(C785=I785,"SELF-VOTE",IF(COUNTIF($K:$K,K785)&gt;1,"DUPLICATE","OK")))</f>
        <v>OK</v>
      </c>
      <c r="K785" s="6" t="str">
        <f aca="false">A785&amp;"|"&amp;B785&amp;"|"&amp;C785&amp;"|"&amp;D785</f>
        <v>2|3|Matt|spotify:track:3dkIE8P7hvl3tHl9KSb6dA</v>
      </c>
    </row>
    <row r="786" customFormat="false" ht="15" hidden="false" customHeight="false" outlineLevel="0" collapsed="false">
      <c r="A786" s="5" t="n">
        <v>2</v>
      </c>
      <c r="B786" s="5" t="n">
        <v>3</v>
      </c>
      <c r="C786" s="5" t="s">
        <v>116</v>
      </c>
      <c r="D786" s="5" t="s">
        <v>495</v>
      </c>
      <c r="E786" s="5" t="n">
        <v>2</v>
      </c>
      <c r="F786" s="6" t="n">
        <f aca="false">IFERROR(MATCH(A786&amp;"|"&amp;B786&amp;"|"&amp;D786,'All Song Rankings'!$T:$T,0),0)</f>
        <v>127</v>
      </c>
      <c r="G786" s="6" t="str">
        <f aca="false">IF(F786=0,"NOT FOUND",INDEX('All Song Rankings'!$A:$A,F786))</f>
        <v>Run It Up</v>
      </c>
      <c r="H786" s="6" t="str">
        <f aca="false">IF(F786=0,"NOT FOUND",INDEX('All Song Rankings'!$B:$B,F786))</f>
        <v>Hanumankind</v>
      </c>
      <c r="I786" s="6" t="str">
        <f aca="false">IF(F786=0,"NOT FOUND",INDEX('All Song Rankings'!$D:$D,F786))</f>
        <v>Merita</v>
      </c>
      <c r="J786" s="7" t="str">
        <f aca="false">IF(F786=0,"NOT FOUND",IF(C786=I786,"SELF-VOTE",IF(COUNTIF($K:$K,K786)&gt;1,"DUPLICATE","OK")))</f>
        <v>OK</v>
      </c>
      <c r="K786" s="6" t="str">
        <f aca="false">A786&amp;"|"&amp;B786&amp;"|"&amp;C786&amp;"|"&amp;D786</f>
        <v>2|3|Matt|spotify:track:3sZQ8L4aptFDJXBqdVdvO8</v>
      </c>
    </row>
    <row r="787" customFormat="false" ht="15" hidden="false" customHeight="false" outlineLevel="0" collapsed="false">
      <c r="A787" s="5" t="n">
        <v>2</v>
      </c>
      <c r="B787" s="5" t="n">
        <v>3</v>
      </c>
      <c r="C787" s="5" t="s">
        <v>116</v>
      </c>
      <c r="D787" s="5" t="s">
        <v>485</v>
      </c>
      <c r="E787" s="5" t="n">
        <v>1</v>
      </c>
      <c r="F787" s="6" t="n">
        <f aca="false">IFERROR(MATCH(A787&amp;"|"&amp;B787&amp;"|"&amp;D787,'All Song Rankings'!$T:$T,0),0)</f>
        <v>124</v>
      </c>
      <c r="G787" s="6" t="str">
        <f aca="false">IF(F787=0,"NOT FOUND",INDEX('All Song Rankings'!$A:$A,F787))</f>
        <v>Dizzy On the Comedown</v>
      </c>
      <c r="H787" s="6" t="str">
        <f aca="false">IF(F787=0,"NOT FOUND",INDEX('All Song Rankings'!$B:$B,F787))</f>
        <v>Turnover</v>
      </c>
      <c r="I787" s="6" t="str">
        <f aca="false">IF(F787=0,"NOT FOUND",INDEX('All Song Rankings'!$D:$D,F787))</f>
        <v>Scott</v>
      </c>
      <c r="J787" s="7" t="str">
        <f aca="false">IF(F787=0,"NOT FOUND",IF(C787=I787,"SELF-VOTE",IF(COUNTIF($K:$K,K787)&gt;1,"DUPLICATE","OK")))</f>
        <v>OK</v>
      </c>
      <c r="K787" s="6" t="str">
        <f aca="false">A787&amp;"|"&amp;B787&amp;"|"&amp;C787&amp;"|"&amp;D787</f>
        <v>2|3|Matt|spotify:track:3vkj94FiLgUz3ysZcmIXPx</v>
      </c>
    </row>
    <row r="788" customFormat="false" ht="15" hidden="false" customHeight="false" outlineLevel="0" collapsed="false">
      <c r="A788" s="5" t="n">
        <v>2</v>
      </c>
      <c r="B788" s="5" t="n">
        <v>3</v>
      </c>
      <c r="C788" s="5" t="s">
        <v>116</v>
      </c>
      <c r="D788" s="5" t="s">
        <v>472</v>
      </c>
      <c r="E788" s="5" t="n">
        <v>1</v>
      </c>
      <c r="F788" s="6" t="n">
        <f aca="false">IFERROR(MATCH(A788&amp;"|"&amp;B788&amp;"|"&amp;D788,'All Song Rankings'!$T:$T,0),0)</f>
        <v>120</v>
      </c>
      <c r="G788" s="6" t="str">
        <f aca="false">IF(F788=0,"NOT FOUND",INDEX('All Song Rankings'!$A:$A,F788))</f>
        <v>Opalite</v>
      </c>
      <c r="H788" s="6" t="str">
        <f aca="false">IF(F788=0,"NOT FOUND",INDEX('All Song Rankings'!$B:$B,F788))</f>
        <v>Taylor Swift</v>
      </c>
      <c r="I788" s="6" t="str">
        <f aca="false">IF(F788=0,"NOT FOUND",INDEX('All Song Rankings'!$D:$D,F788))</f>
        <v>Nicole</v>
      </c>
      <c r="J788" s="7" t="str">
        <f aca="false">IF(F788=0,"NOT FOUND",IF(C788=I788,"SELF-VOTE",IF(COUNTIF($K:$K,K788)&gt;1,"DUPLICATE","OK")))</f>
        <v>OK</v>
      </c>
      <c r="K788" s="6" t="str">
        <f aca="false">A788&amp;"|"&amp;B788&amp;"|"&amp;C788&amp;"|"&amp;D788</f>
        <v>2|3|Matt|spotify:track:3yWuTOYDztXjZxdE2cIRUa</v>
      </c>
    </row>
    <row r="789" customFormat="false" ht="15" hidden="false" customHeight="false" outlineLevel="0" collapsed="false">
      <c r="A789" s="5" t="n">
        <v>2</v>
      </c>
      <c r="B789" s="5" t="n">
        <v>3</v>
      </c>
      <c r="C789" s="5" t="s">
        <v>116</v>
      </c>
      <c r="D789" s="5" t="s">
        <v>481</v>
      </c>
      <c r="E789" s="5" t="n">
        <v>1</v>
      </c>
      <c r="F789" s="6" t="n">
        <f aca="false">IFERROR(MATCH(A789&amp;"|"&amp;B789&amp;"|"&amp;D789,'All Song Rankings'!$T:$T,0),0)</f>
        <v>123</v>
      </c>
      <c r="G789" s="6" t="str">
        <f aca="false">IF(F789=0,"NOT FOUND",INDEX('All Song Rankings'!$A:$A,F789))</f>
        <v>I WANNA BE YOUR SLAVE</v>
      </c>
      <c r="H789" s="6" t="str">
        <f aca="false">IF(F789=0,"NOT FOUND",INDEX('All Song Rankings'!$B:$B,F789))</f>
        <v>Måneskin</v>
      </c>
      <c r="I789" s="6" t="str">
        <f aca="false">IF(F789=0,"NOT FOUND",INDEX('All Song Rankings'!$D:$D,F789))</f>
        <v>Makenzie</v>
      </c>
      <c r="J789" s="7" t="str">
        <f aca="false">IF(F789=0,"NOT FOUND",IF(C789=I789,"SELF-VOTE",IF(COUNTIF($K:$K,K789)&gt;1,"DUPLICATE","OK")))</f>
        <v>OK</v>
      </c>
      <c r="K789" s="6" t="str">
        <f aca="false">A789&amp;"|"&amp;B789&amp;"|"&amp;C789&amp;"|"&amp;D789</f>
        <v>2|3|Matt|spotify:track:4pt5fDVTg5GhEvEtlz9dKk</v>
      </c>
    </row>
    <row r="790" customFormat="false" ht="15" hidden="false" customHeight="false" outlineLevel="0" collapsed="false">
      <c r="A790" s="5" t="n">
        <v>2</v>
      </c>
      <c r="B790" s="5" t="n">
        <v>3</v>
      </c>
      <c r="C790" s="5" t="s">
        <v>116</v>
      </c>
      <c r="D790" s="5" t="s">
        <v>290</v>
      </c>
      <c r="E790" s="5" t="n">
        <v>1</v>
      </c>
      <c r="F790" s="6" t="n">
        <f aca="false">IFERROR(MATCH(A790&amp;"|"&amp;B790&amp;"|"&amp;D790,'All Song Rankings'!$T:$T,0),0)</f>
        <v>128</v>
      </c>
      <c r="G790" s="6" t="str">
        <f aca="false">IF(F790=0,"NOT FOUND",INDEX('All Song Rankings'!$A:$A,F790))</f>
        <v>drivers license</v>
      </c>
      <c r="H790" s="6" t="str">
        <f aca="false">IF(F790=0,"NOT FOUND",INDEX('All Song Rankings'!$B:$B,F790))</f>
        <v>Olivia Rodrigo</v>
      </c>
      <c r="I790" s="6" t="str">
        <f aca="false">IF(F790=0,"NOT FOUND",INDEX('All Song Rankings'!$D:$D,F790))</f>
        <v>Aubrey</v>
      </c>
      <c r="J790" s="7" t="str">
        <f aca="false">IF(F790=0,"NOT FOUND",IF(C790=I790,"SELF-VOTE",IF(COUNTIF($K:$K,K790)&gt;1,"DUPLICATE","OK")))</f>
        <v>OK</v>
      </c>
      <c r="K790" s="6" t="str">
        <f aca="false">A790&amp;"|"&amp;B790&amp;"|"&amp;C790&amp;"|"&amp;D790</f>
        <v>2|3|Matt|spotify:track:5wANPM4fQCJwkGd4rN57mH</v>
      </c>
    </row>
    <row r="791" customFormat="false" ht="15" hidden="false" customHeight="false" outlineLevel="0" collapsed="false">
      <c r="A791" s="5" t="n">
        <v>2</v>
      </c>
      <c r="B791" s="5" t="n">
        <v>3</v>
      </c>
      <c r="C791" s="5" t="s">
        <v>116</v>
      </c>
      <c r="D791" s="5" t="s">
        <v>457</v>
      </c>
      <c r="E791" s="5" t="n">
        <v>1</v>
      </c>
      <c r="F791" s="6" t="n">
        <f aca="false">IFERROR(MATCH(A791&amp;"|"&amp;B791&amp;"|"&amp;D791,'All Song Rankings'!$T:$T,0),0)</f>
        <v>115</v>
      </c>
      <c r="G791" s="6" t="str">
        <f aca="false">IF(F791=0,"NOT FOUND",INDEX('All Song Rankings'!$A:$A,F791))</f>
        <v>Welcome to the Black Parade</v>
      </c>
      <c r="H791" s="6" t="str">
        <f aca="false">IF(F791=0,"NOT FOUND",INDEX('All Song Rankings'!$B:$B,F791))</f>
        <v>My Chemical Romance</v>
      </c>
      <c r="I791" s="6" t="str">
        <f aca="false">IF(F791=0,"NOT FOUND",INDEX('All Song Rankings'!$D:$D,F791))</f>
        <v>Kelsey</v>
      </c>
      <c r="J791" s="7" t="str">
        <f aca="false">IF(F791=0,"NOT FOUND",IF(C791=I791,"SELF-VOTE",IF(COUNTIF($K:$K,K791)&gt;1,"DUPLICATE","OK")))</f>
        <v>OK</v>
      </c>
      <c r="K791" s="6" t="str">
        <f aca="false">A791&amp;"|"&amp;B791&amp;"|"&amp;C791&amp;"|"&amp;D791</f>
        <v>2|3|Matt|spotify:track:5wQnmLuC1W7ATsArWACrgW</v>
      </c>
    </row>
    <row r="792" customFormat="false" ht="15" hidden="false" customHeight="false" outlineLevel="0" collapsed="false">
      <c r="A792" s="5" t="n">
        <v>2</v>
      </c>
      <c r="B792" s="5" t="n">
        <v>3</v>
      </c>
      <c r="C792" s="5" t="s">
        <v>101</v>
      </c>
      <c r="D792" s="5" t="s">
        <v>460</v>
      </c>
      <c r="E792" s="5" t="n">
        <v>1</v>
      </c>
      <c r="F792" s="6" t="n">
        <f aca="false">IFERROR(MATCH(A792&amp;"|"&amp;B792&amp;"|"&amp;D792,'All Song Rankings'!$T:$T,0),0)</f>
        <v>116</v>
      </c>
      <c r="G792" s="6" t="str">
        <f aca="false">IF(F792=0,"NOT FOUND",INDEX('All Song Rankings'!$A:$A,F792))</f>
        <v>30,000 Feet</v>
      </c>
      <c r="H792" s="6" t="str">
        <f aca="false">IF(F792=0,"NOT FOUND",INDEX('All Song Rankings'!$B:$B,F792))</f>
        <v>Ben Rector</v>
      </c>
      <c r="I792" s="6" t="str">
        <f aca="false">IF(F792=0,"NOT FOUND",INDEX('All Song Rankings'!$D:$D,F792))</f>
        <v>Kristen</v>
      </c>
      <c r="J792" s="7" t="str">
        <f aca="false">IF(F792=0,"NOT FOUND",IF(C792=I792,"SELF-VOTE",IF(COUNTIF($K:$K,K792)&gt;1,"DUPLICATE","OK")))</f>
        <v>OK</v>
      </c>
      <c r="K792" s="6" t="str">
        <f aca="false">A792&amp;"|"&amp;B792&amp;"|"&amp;C792&amp;"|"&amp;D792</f>
        <v>2|3|Merita|spotify:track:0KF5nzdiqZlxVK68MPITst</v>
      </c>
    </row>
    <row r="793" customFormat="false" ht="15" hidden="false" customHeight="false" outlineLevel="0" collapsed="false">
      <c r="A793" s="5" t="n">
        <v>2</v>
      </c>
      <c r="B793" s="5" t="n">
        <v>3</v>
      </c>
      <c r="C793" s="5" t="s">
        <v>101</v>
      </c>
      <c r="D793" s="5" t="s">
        <v>492</v>
      </c>
      <c r="E793" s="5" t="n">
        <v>1</v>
      </c>
      <c r="F793" s="6" t="n">
        <f aca="false">IFERROR(MATCH(A793&amp;"|"&amp;B793&amp;"|"&amp;D793,'All Song Rankings'!$T:$T,0),0)</f>
        <v>126</v>
      </c>
      <c r="G793" s="6" t="str">
        <f aca="false">IF(F793=0,"NOT FOUND",INDEX('All Song Rankings'!$A:$A,F793))</f>
        <v>Time Bomb</v>
      </c>
      <c r="H793" s="6" t="str">
        <f aca="false">IF(F793=0,"NOT FOUND",INDEX('All Song Rankings'!$B:$B,F793))</f>
        <v>Iration</v>
      </c>
      <c r="I793" s="6" t="str">
        <f aca="false">IF(F793=0,"NOT FOUND",INDEX('All Song Rankings'!$D:$D,F793))</f>
        <v>Leah</v>
      </c>
      <c r="J793" s="7" t="str">
        <f aca="false">IF(F793=0,"NOT FOUND",IF(C793=I793,"SELF-VOTE",IF(COUNTIF($K:$K,K793)&gt;1,"DUPLICATE","OK")))</f>
        <v>OK</v>
      </c>
      <c r="K793" s="6" t="str">
        <f aca="false">A793&amp;"|"&amp;B793&amp;"|"&amp;C793&amp;"|"&amp;D793</f>
        <v>2|3|Merita|spotify:track:0KtKac3tvjeGjg6FXcUy7X</v>
      </c>
    </row>
    <row r="794" customFormat="false" ht="15" hidden="false" customHeight="false" outlineLevel="0" collapsed="false">
      <c r="A794" s="5" t="n">
        <v>2</v>
      </c>
      <c r="B794" s="5" t="n">
        <v>3</v>
      </c>
      <c r="C794" s="5" t="s">
        <v>101</v>
      </c>
      <c r="D794" s="5" t="s">
        <v>475</v>
      </c>
      <c r="E794" s="5" t="n">
        <v>1</v>
      </c>
      <c r="F794" s="6" t="n">
        <f aca="false">IFERROR(MATCH(A794&amp;"|"&amp;B794&amp;"|"&amp;D794,'All Song Rankings'!$T:$T,0),0)</f>
        <v>121</v>
      </c>
      <c r="G794" s="6" t="str">
        <f aca="false">IF(F794=0,"NOT FOUND",INDEX('All Song Rankings'!$A:$A,F794))</f>
        <v>Ocean Drive</v>
      </c>
      <c r="H794" s="6" t="str">
        <f aca="false">IF(F794=0,"NOT FOUND",INDEX('All Song Rankings'!$B:$B,F794))</f>
        <v>Duke Dumont</v>
      </c>
      <c r="I794" s="6" t="str">
        <f aca="false">IF(F794=0,"NOT FOUND",INDEX('All Song Rankings'!$D:$D,F794))</f>
        <v>Stephanie</v>
      </c>
      <c r="J794" s="7" t="str">
        <f aca="false">IF(F794=0,"NOT FOUND",IF(C794=I794,"SELF-VOTE",IF(COUNTIF($K:$K,K794)&gt;1,"DUPLICATE","OK")))</f>
        <v>OK</v>
      </c>
      <c r="K794" s="6" t="str">
        <f aca="false">A794&amp;"|"&amp;B794&amp;"|"&amp;C794&amp;"|"&amp;D794</f>
        <v>2|3|Merita|spotify:track:0b6wdul3A5sQNpIOv03OxP</v>
      </c>
    </row>
    <row r="795" customFormat="false" ht="15" hidden="false" customHeight="false" outlineLevel="0" collapsed="false">
      <c r="A795" s="5" t="n">
        <v>2</v>
      </c>
      <c r="B795" s="5" t="n">
        <v>3</v>
      </c>
      <c r="C795" s="5" t="s">
        <v>101</v>
      </c>
      <c r="D795" s="5" t="s">
        <v>469</v>
      </c>
      <c r="E795" s="5" t="n">
        <v>1</v>
      </c>
      <c r="F795" s="6" t="n">
        <f aca="false">IFERROR(MATCH(A795&amp;"|"&amp;B795&amp;"|"&amp;D795,'All Song Rankings'!$T:$T,0),0)</f>
        <v>119</v>
      </c>
      <c r="G795" s="6" t="str">
        <f aca="false">IF(F795=0,"NOT FOUND",INDEX('All Song Rankings'!$A:$A,F795))</f>
        <v>We Intertwined</v>
      </c>
      <c r="H795" s="6" t="str">
        <f aca="false">IF(F795=0,"NOT FOUND",INDEX('All Song Rankings'!$B:$B,F795))</f>
        <v>The Hush Sound</v>
      </c>
      <c r="I795" s="6" t="str">
        <f aca="false">IF(F795=0,"NOT FOUND",INDEX('All Song Rankings'!$D:$D,F795))</f>
        <v>Grace</v>
      </c>
      <c r="J795" s="7" t="str">
        <f aca="false">IF(F795=0,"NOT FOUND",IF(C795=I795,"SELF-VOTE",IF(COUNTIF($K:$K,K795)&gt;1,"DUPLICATE","OK")))</f>
        <v>OK</v>
      </c>
      <c r="K795" s="6" t="str">
        <f aca="false">A795&amp;"|"&amp;B795&amp;"|"&amp;C795&amp;"|"&amp;D795</f>
        <v>2|3|Merita|spotify:track:2OSvnWYcpDv08GLmLDih1w</v>
      </c>
    </row>
    <row r="796" customFormat="false" ht="15" hidden="false" customHeight="false" outlineLevel="0" collapsed="false">
      <c r="A796" s="5" t="n">
        <v>2</v>
      </c>
      <c r="B796" s="5" t="n">
        <v>3</v>
      </c>
      <c r="C796" s="5" t="s">
        <v>101</v>
      </c>
      <c r="D796" s="5" t="s">
        <v>498</v>
      </c>
      <c r="E796" s="5" t="n">
        <v>1</v>
      </c>
      <c r="F796" s="6" t="n">
        <f aca="false">IFERROR(MATCH(A796&amp;"|"&amp;B796&amp;"|"&amp;D796,'All Song Rankings'!$T:$T,0),0)</f>
        <v>129</v>
      </c>
      <c r="G796" s="6" t="str">
        <f aca="false">IF(F796=0,"NOT FOUND",INDEX('All Song Rankings'!$A:$A,F796))</f>
        <v>Vielleicht Vielleicht</v>
      </c>
      <c r="H796" s="6" t="str">
        <f aca="false">IF(F796=0,"NOT FOUND",INDEX('All Song Rankings'!$B:$B,F796))</f>
        <v>MilleniumKid, JBS, HOLY PRIEST, elMefti</v>
      </c>
      <c r="I796" s="6" t="str">
        <f aca="false">IF(F796=0,"NOT FOUND",INDEX('All Song Rankings'!$D:$D,F796))</f>
        <v>Anya</v>
      </c>
      <c r="J796" s="7" t="str">
        <f aca="false">IF(F796=0,"NOT FOUND",IF(C796=I796,"SELF-VOTE",IF(COUNTIF($K:$K,K796)&gt;1,"DUPLICATE","OK")))</f>
        <v>OK</v>
      </c>
      <c r="K796" s="6" t="str">
        <f aca="false">A796&amp;"|"&amp;B796&amp;"|"&amp;C796&amp;"|"&amp;D796</f>
        <v>2|3|Merita|spotify:track:2nWw7VrUn8Ijo45K6WIIna</v>
      </c>
    </row>
    <row r="797" customFormat="false" ht="15" hidden="false" customHeight="false" outlineLevel="0" collapsed="false">
      <c r="A797" s="5" t="n">
        <v>2</v>
      </c>
      <c r="B797" s="5" t="n">
        <v>3</v>
      </c>
      <c r="C797" s="5" t="s">
        <v>101</v>
      </c>
      <c r="D797" s="5" t="s">
        <v>466</v>
      </c>
      <c r="E797" s="5" t="n">
        <v>1</v>
      </c>
      <c r="F797" s="6" t="n">
        <f aca="false">IFERROR(MATCH(A797&amp;"|"&amp;B797&amp;"|"&amp;D797,'All Song Rankings'!$T:$T,0),0)</f>
        <v>118</v>
      </c>
      <c r="G797" s="6" t="str">
        <f aca="false">IF(F797=0,"NOT FOUND",INDEX('All Song Rankings'!$A:$A,F797))</f>
        <v>Godspeed</v>
      </c>
      <c r="H797" s="6" t="str">
        <f aca="false">IF(F797=0,"NOT FOUND",INDEX('All Song Rankings'!$B:$B,F797))</f>
        <v>Frank Ocean</v>
      </c>
      <c r="I797" s="6" t="str">
        <f aca="false">IF(F797=0,"NOT FOUND",INDEX('All Song Rankings'!$D:$D,F797))</f>
        <v>Logan</v>
      </c>
      <c r="J797" s="7" t="str">
        <f aca="false">IF(F797=0,"NOT FOUND",IF(C797=I797,"SELF-VOTE",IF(COUNTIF($K:$K,K797)&gt;1,"DUPLICATE","OK")))</f>
        <v>OK</v>
      </c>
      <c r="K797" s="6" t="str">
        <f aca="false">A797&amp;"|"&amp;B797&amp;"|"&amp;C797&amp;"|"&amp;D797</f>
        <v>2|3|Merita|spotify:track:34xTFwjPQ1dC6uJmleno7x</v>
      </c>
    </row>
    <row r="798" customFormat="false" ht="15" hidden="false" customHeight="false" outlineLevel="0" collapsed="false">
      <c r="A798" s="5" t="n">
        <v>2</v>
      </c>
      <c r="B798" s="5" t="n">
        <v>3</v>
      </c>
      <c r="C798" s="5" t="s">
        <v>101</v>
      </c>
      <c r="D798" s="5" t="s">
        <v>463</v>
      </c>
      <c r="E798" s="5" t="n">
        <v>1</v>
      </c>
      <c r="F798" s="6" t="n">
        <f aca="false">IFERROR(MATCH(A798&amp;"|"&amp;B798&amp;"|"&amp;D798,'All Song Rankings'!$T:$T,0),0)</f>
        <v>117</v>
      </c>
      <c r="G798" s="6" t="str">
        <f aca="false">IF(F798=0,"NOT FOUND",INDEX('All Song Rankings'!$A:$A,F798))</f>
        <v>Non, je ne regrette rien</v>
      </c>
      <c r="H798" s="6" t="str">
        <f aca="false">IF(F798=0,"NOT FOUND",INDEX('All Song Rankings'!$B:$B,F798))</f>
        <v>Edith Piaf</v>
      </c>
      <c r="I798" s="6" t="str">
        <f aca="false">IF(F798=0,"NOT FOUND",INDEX('All Song Rankings'!$D:$D,F798))</f>
        <v>Maryann</v>
      </c>
      <c r="J798" s="7" t="str">
        <f aca="false">IF(F798=0,"NOT FOUND",IF(C798=I798,"SELF-VOTE",IF(COUNTIF($K:$K,K798)&gt;1,"DUPLICATE","OK")))</f>
        <v>OK</v>
      </c>
      <c r="K798" s="6" t="str">
        <f aca="false">A798&amp;"|"&amp;B798&amp;"|"&amp;C798&amp;"|"&amp;D798</f>
        <v>2|3|Merita|spotify:track:3dkIE8P7hvl3tHl9KSb6dA</v>
      </c>
    </row>
    <row r="799" customFormat="false" ht="15" hidden="false" customHeight="false" outlineLevel="0" collapsed="false">
      <c r="A799" s="5" t="n">
        <v>2</v>
      </c>
      <c r="B799" s="5" t="n">
        <v>3</v>
      </c>
      <c r="C799" s="5" t="s">
        <v>101</v>
      </c>
      <c r="D799" s="5" t="s">
        <v>478</v>
      </c>
      <c r="E799" s="5" t="n">
        <v>1</v>
      </c>
      <c r="F799" s="6" t="n">
        <f aca="false">IFERROR(MATCH(A799&amp;"|"&amp;B799&amp;"|"&amp;D799,'All Song Rankings'!$T:$T,0),0)</f>
        <v>122</v>
      </c>
      <c r="G799" s="6" t="str">
        <f aca="false">IF(F799=0,"NOT FOUND",INDEX('All Song Rankings'!$A:$A,F799))</f>
        <v>City of Angels</v>
      </c>
      <c r="H799" s="6" t="str">
        <f aca="false">IF(F799=0,"NOT FOUND",INDEX('All Song Rankings'!$B:$B,F799))</f>
        <v>Em Beihold</v>
      </c>
      <c r="I799" s="6" t="str">
        <f aca="false">IF(F799=0,"NOT FOUND",INDEX('All Song Rankings'!$D:$D,F799))</f>
        <v>Matt</v>
      </c>
      <c r="J799" s="7" t="str">
        <f aca="false">IF(F799=0,"NOT FOUND",IF(C799=I799,"SELF-VOTE",IF(COUNTIF($K:$K,K799)&gt;1,"DUPLICATE","OK")))</f>
        <v>OK</v>
      </c>
      <c r="K799" s="6" t="str">
        <f aca="false">A799&amp;"|"&amp;B799&amp;"|"&amp;C799&amp;"|"&amp;D799</f>
        <v>2|3|Merita|spotify:track:3u2e0jBFHbDT9yPA6vMK1v</v>
      </c>
    </row>
    <row r="800" customFormat="false" ht="15" hidden="false" customHeight="false" outlineLevel="0" collapsed="false">
      <c r="A800" s="5" t="n">
        <v>2</v>
      </c>
      <c r="B800" s="5" t="n">
        <v>3</v>
      </c>
      <c r="C800" s="5" t="s">
        <v>101</v>
      </c>
      <c r="D800" s="5" t="s">
        <v>472</v>
      </c>
      <c r="E800" s="5" t="n">
        <v>1</v>
      </c>
      <c r="F800" s="6" t="n">
        <f aca="false">IFERROR(MATCH(A800&amp;"|"&amp;B800&amp;"|"&amp;D800,'All Song Rankings'!$T:$T,0),0)</f>
        <v>120</v>
      </c>
      <c r="G800" s="6" t="str">
        <f aca="false">IF(F800=0,"NOT FOUND",INDEX('All Song Rankings'!$A:$A,F800))</f>
        <v>Opalite</v>
      </c>
      <c r="H800" s="6" t="str">
        <f aca="false">IF(F800=0,"NOT FOUND",INDEX('All Song Rankings'!$B:$B,F800))</f>
        <v>Taylor Swift</v>
      </c>
      <c r="I800" s="6" t="str">
        <f aca="false">IF(F800=0,"NOT FOUND",INDEX('All Song Rankings'!$D:$D,F800))</f>
        <v>Nicole</v>
      </c>
      <c r="J800" s="7" t="str">
        <f aca="false">IF(F800=0,"NOT FOUND",IF(C800=I800,"SELF-VOTE",IF(COUNTIF($K:$K,K800)&gt;1,"DUPLICATE","OK")))</f>
        <v>OK</v>
      </c>
      <c r="K800" s="6" t="str">
        <f aca="false">A800&amp;"|"&amp;B800&amp;"|"&amp;C800&amp;"|"&amp;D800</f>
        <v>2|3|Merita|spotify:track:3yWuTOYDztXjZxdE2cIRUa</v>
      </c>
    </row>
    <row r="801" customFormat="false" ht="15" hidden="false" customHeight="false" outlineLevel="0" collapsed="false">
      <c r="A801" s="5" t="n">
        <v>2</v>
      </c>
      <c r="B801" s="5" t="n">
        <v>3</v>
      </c>
      <c r="C801" s="5" t="s">
        <v>101</v>
      </c>
      <c r="D801" s="5" t="s">
        <v>457</v>
      </c>
      <c r="E801" s="5" t="n">
        <v>1</v>
      </c>
      <c r="F801" s="6" t="n">
        <f aca="false">IFERROR(MATCH(A801&amp;"|"&amp;B801&amp;"|"&amp;D801,'All Song Rankings'!$T:$T,0),0)</f>
        <v>115</v>
      </c>
      <c r="G801" s="6" t="str">
        <f aca="false">IF(F801=0,"NOT FOUND",INDEX('All Song Rankings'!$A:$A,F801))</f>
        <v>Welcome to the Black Parade</v>
      </c>
      <c r="H801" s="6" t="str">
        <f aca="false">IF(F801=0,"NOT FOUND",INDEX('All Song Rankings'!$B:$B,F801))</f>
        <v>My Chemical Romance</v>
      </c>
      <c r="I801" s="6" t="str">
        <f aca="false">IF(F801=0,"NOT FOUND",INDEX('All Song Rankings'!$D:$D,F801))</f>
        <v>Kelsey</v>
      </c>
      <c r="J801" s="7" t="str">
        <f aca="false">IF(F801=0,"NOT FOUND",IF(C801=I801,"SELF-VOTE",IF(COUNTIF($K:$K,K801)&gt;1,"DUPLICATE","OK")))</f>
        <v>OK</v>
      </c>
      <c r="K801" s="6" t="str">
        <f aca="false">A801&amp;"|"&amp;B801&amp;"|"&amp;C801&amp;"|"&amp;D801</f>
        <v>2|3|Merita|spotify:track:5wQnmLuC1W7ATsArWACrgW</v>
      </c>
    </row>
    <row r="802" customFormat="false" ht="15" hidden="false" customHeight="false" outlineLevel="0" collapsed="false">
      <c r="A802" s="5" t="n">
        <v>2</v>
      </c>
      <c r="B802" s="5" t="n">
        <v>3</v>
      </c>
      <c r="C802" s="5" t="s">
        <v>92</v>
      </c>
      <c r="D802" s="5" t="s">
        <v>460</v>
      </c>
      <c r="E802" s="5" t="n">
        <v>1</v>
      </c>
      <c r="F802" s="6" t="n">
        <f aca="false">IFERROR(MATCH(A802&amp;"|"&amp;B802&amp;"|"&amp;D802,'All Song Rankings'!$T:$T,0),0)</f>
        <v>116</v>
      </c>
      <c r="G802" s="6" t="str">
        <f aca="false">IF(F802=0,"NOT FOUND",INDEX('All Song Rankings'!$A:$A,F802))</f>
        <v>30,000 Feet</v>
      </c>
      <c r="H802" s="6" t="str">
        <f aca="false">IF(F802=0,"NOT FOUND",INDEX('All Song Rankings'!$B:$B,F802))</f>
        <v>Ben Rector</v>
      </c>
      <c r="I802" s="6" t="str">
        <f aca="false">IF(F802=0,"NOT FOUND",INDEX('All Song Rankings'!$D:$D,F802))</f>
        <v>Kristen</v>
      </c>
      <c r="J802" s="7" t="str">
        <f aca="false">IF(F802=0,"NOT FOUND",IF(C802=I802,"SELF-VOTE",IF(COUNTIF($K:$K,K802)&gt;1,"DUPLICATE","OK")))</f>
        <v>OK</v>
      </c>
      <c r="K802" s="6" t="str">
        <f aca="false">A802&amp;"|"&amp;B802&amp;"|"&amp;C802&amp;"|"&amp;D802</f>
        <v>2|3|Nicole|spotify:track:0KF5nzdiqZlxVK68MPITst</v>
      </c>
    </row>
    <row r="803" customFormat="false" ht="15" hidden="false" customHeight="false" outlineLevel="0" collapsed="false">
      <c r="A803" s="5" t="n">
        <v>2</v>
      </c>
      <c r="B803" s="5" t="n">
        <v>3</v>
      </c>
      <c r="C803" s="5" t="s">
        <v>92</v>
      </c>
      <c r="D803" s="5" t="s">
        <v>492</v>
      </c>
      <c r="E803" s="5" t="n">
        <v>1</v>
      </c>
      <c r="F803" s="6" t="n">
        <f aca="false">IFERROR(MATCH(A803&amp;"|"&amp;B803&amp;"|"&amp;D803,'All Song Rankings'!$T:$T,0),0)</f>
        <v>126</v>
      </c>
      <c r="G803" s="6" t="str">
        <f aca="false">IF(F803=0,"NOT FOUND",INDEX('All Song Rankings'!$A:$A,F803))</f>
        <v>Time Bomb</v>
      </c>
      <c r="H803" s="6" t="str">
        <f aca="false">IF(F803=0,"NOT FOUND",INDEX('All Song Rankings'!$B:$B,F803))</f>
        <v>Iration</v>
      </c>
      <c r="I803" s="6" t="str">
        <f aca="false">IF(F803=0,"NOT FOUND",INDEX('All Song Rankings'!$D:$D,F803))</f>
        <v>Leah</v>
      </c>
      <c r="J803" s="7" t="str">
        <f aca="false">IF(F803=0,"NOT FOUND",IF(C803=I803,"SELF-VOTE",IF(COUNTIF($K:$K,K803)&gt;1,"DUPLICATE","OK")))</f>
        <v>OK</v>
      </c>
      <c r="K803" s="6" t="str">
        <f aca="false">A803&amp;"|"&amp;B803&amp;"|"&amp;C803&amp;"|"&amp;D803</f>
        <v>2|3|Nicole|spotify:track:0KtKac3tvjeGjg6FXcUy7X</v>
      </c>
    </row>
    <row r="804" customFormat="false" ht="15" hidden="false" customHeight="false" outlineLevel="0" collapsed="false">
      <c r="A804" s="5" t="n">
        <v>2</v>
      </c>
      <c r="B804" s="5" t="n">
        <v>3</v>
      </c>
      <c r="C804" s="5" t="s">
        <v>92</v>
      </c>
      <c r="D804" s="5" t="s">
        <v>475</v>
      </c>
      <c r="E804" s="5" t="n">
        <v>1</v>
      </c>
      <c r="F804" s="6" t="n">
        <f aca="false">IFERROR(MATCH(A804&amp;"|"&amp;B804&amp;"|"&amp;D804,'All Song Rankings'!$T:$T,0),0)</f>
        <v>121</v>
      </c>
      <c r="G804" s="6" t="str">
        <f aca="false">IF(F804=0,"NOT FOUND",INDEX('All Song Rankings'!$A:$A,F804))</f>
        <v>Ocean Drive</v>
      </c>
      <c r="H804" s="6" t="str">
        <f aca="false">IF(F804=0,"NOT FOUND",INDEX('All Song Rankings'!$B:$B,F804))</f>
        <v>Duke Dumont</v>
      </c>
      <c r="I804" s="6" t="str">
        <f aca="false">IF(F804=0,"NOT FOUND",INDEX('All Song Rankings'!$D:$D,F804))</f>
        <v>Stephanie</v>
      </c>
      <c r="J804" s="7" t="str">
        <f aca="false">IF(F804=0,"NOT FOUND",IF(C804=I804,"SELF-VOTE",IF(COUNTIF($K:$K,K804)&gt;1,"DUPLICATE","OK")))</f>
        <v>OK</v>
      </c>
      <c r="K804" s="6" t="str">
        <f aca="false">A804&amp;"|"&amp;B804&amp;"|"&amp;C804&amp;"|"&amp;D804</f>
        <v>2|3|Nicole|spotify:track:0b6wdul3A5sQNpIOv03OxP</v>
      </c>
    </row>
    <row r="805" customFormat="false" ht="15" hidden="false" customHeight="false" outlineLevel="0" collapsed="false">
      <c r="A805" s="5" t="n">
        <v>2</v>
      </c>
      <c r="B805" s="5" t="n">
        <v>3</v>
      </c>
      <c r="C805" s="5" t="s">
        <v>92</v>
      </c>
      <c r="D805" s="5" t="s">
        <v>469</v>
      </c>
      <c r="E805" s="5" t="n">
        <v>1</v>
      </c>
      <c r="F805" s="6" t="n">
        <f aca="false">IFERROR(MATCH(A805&amp;"|"&amp;B805&amp;"|"&amp;D805,'All Song Rankings'!$T:$T,0),0)</f>
        <v>119</v>
      </c>
      <c r="G805" s="6" t="str">
        <f aca="false">IF(F805=0,"NOT FOUND",INDEX('All Song Rankings'!$A:$A,F805))</f>
        <v>We Intertwined</v>
      </c>
      <c r="H805" s="6" t="str">
        <f aca="false">IF(F805=0,"NOT FOUND",INDEX('All Song Rankings'!$B:$B,F805))</f>
        <v>The Hush Sound</v>
      </c>
      <c r="I805" s="6" t="str">
        <f aca="false">IF(F805=0,"NOT FOUND",INDEX('All Song Rankings'!$D:$D,F805))</f>
        <v>Grace</v>
      </c>
      <c r="J805" s="7" t="str">
        <f aca="false">IF(F805=0,"NOT FOUND",IF(C805=I805,"SELF-VOTE",IF(COUNTIF($K:$K,K805)&gt;1,"DUPLICATE","OK")))</f>
        <v>OK</v>
      </c>
      <c r="K805" s="6" t="str">
        <f aca="false">A805&amp;"|"&amp;B805&amp;"|"&amp;C805&amp;"|"&amp;D805</f>
        <v>2|3|Nicole|spotify:track:2OSvnWYcpDv08GLmLDih1w</v>
      </c>
    </row>
    <row r="806" customFormat="false" ht="15" hidden="false" customHeight="false" outlineLevel="0" collapsed="false">
      <c r="A806" s="5" t="n">
        <v>2</v>
      </c>
      <c r="B806" s="5" t="n">
        <v>3</v>
      </c>
      <c r="C806" s="5" t="s">
        <v>92</v>
      </c>
      <c r="D806" s="5" t="s">
        <v>466</v>
      </c>
      <c r="E806" s="5" t="n">
        <v>1</v>
      </c>
      <c r="F806" s="6" t="n">
        <f aca="false">IFERROR(MATCH(A806&amp;"|"&amp;B806&amp;"|"&amp;D806,'All Song Rankings'!$T:$T,0),0)</f>
        <v>118</v>
      </c>
      <c r="G806" s="6" t="str">
        <f aca="false">IF(F806=0,"NOT FOUND",INDEX('All Song Rankings'!$A:$A,F806))</f>
        <v>Godspeed</v>
      </c>
      <c r="H806" s="6" t="str">
        <f aca="false">IF(F806=0,"NOT FOUND",INDEX('All Song Rankings'!$B:$B,F806))</f>
        <v>Frank Ocean</v>
      </c>
      <c r="I806" s="6" t="str">
        <f aca="false">IF(F806=0,"NOT FOUND",INDEX('All Song Rankings'!$D:$D,F806))</f>
        <v>Logan</v>
      </c>
      <c r="J806" s="7" t="str">
        <f aca="false">IF(F806=0,"NOT FOUND",IF(C806=I806,"SELF-VOTE",IF(COUNTIF($K:$K,K806)&gt;1,"DUPLICATE","OK")))</f>
        <v>OK</v>
      </c>
      <c r="K806" s="6" t="str">
        <f aca="false">A806&amp;"|"&amp;B806&amp;"|"&amp;C806&amp;"|"&amp;D806</f>
        <v>2|3|Nicole|spotify:track:34xTFwjPQ1dC6uJmleno7x</v>
      </c>
    </row>
    <row r="807" customFormat="false" ht="15" hidden="false" customHeight="false" outlineLevel="0" collapsed="false">
      <c r="A807" s="5" t="n">
        <v>2</v>
      </c>
      <c r="B807" s="5" t="n">
        <v>3</v>
      </c>
      <c r="C807" s="5" t="s">
        <v>92</v>
      </c>
      <c r="D807" s="5" t="s">
        <v>463</v>
      </c>
      <c r="E807" s="5" t="n">
        <v>1</v>
      </c>
      <c r="F807" s="6" t="n">
        <f aca="false">IFERROR(MATCH(A807&amp;"|"&amp;B807&amp;"|"&amp;D807,'All Song Rankings'!$T:$T,0),0)</f>
        <v>117</v>
      </c>
      <c r="G807" s="6" t="str">
        <f aca="false">IF(F807=0,"NOT FOUND",INDEX('All Song Rankings'!$A:$A,F807))</f>
        <v>Non, je ne regrette rien</v>
      </c>
      <c r="H807" s="6" t="str">
        <f aca="false">IF(F807=0,"NOT FOUND",INDEX('All Song Rankings'!$B:$B,F807))</f>
        <v>Edith Piaf</v>
      </c>
      <c r="I807" s="6" t="str">
        <f aca="false">IF(F807=0,"NOT FOUND",INDEX('All Song Rankings'!$D:$D,F807))</f>
        <v>Maryann</v>
      </c>
      <c r="J807" s="7" t="str">
        <f aca="false">IF(F807=0,"NOT FOUND",IF(C807=I807,"SELF-VOTE",IF(COUNTIF($K:$K,K807)&gt;1,"DUPLICATE","OK")))</f>
        <v>OK</v>
      </c>
      <c r="K807" s="6" t="str">
        <f aca="false">A807&amp;"|"&amp;B807&amp;"|"&amp;C807&amp;"|"&amp;D807</f>
        <v>2|3|Nicole|spotify:track:3dkIE8P7hvl3tHl9KSb6dA</v>
      </c>
    </row>
    <row r="808" customFormat="false" ht="15" hidden="false" customHeight="false" outlineLevel="0" collapsed="false">
      <c r="A808" s="5" t="n">
        <v>2</v>
      </c>
      <c r="B808" s="5" t="n">
        <v>3</v>
      </c>
      <c r="C808" s="5" t="s">
        <v>92</v>
      </c>
      <c r="D808" s="5" t="s">
        <v>478</v>
      </c>
      <c r="E808" s="5" t="n">
        <v>1</v>
      </c>
      <c r="F808" s="6" t="n">
        <f aca="false">IFERROR(MATCH(A808&amp;"|"&amp;B808&amp;"|"&amp;D808,'All Song Rankings'!$T:$T,0),0)</f>
        <v>122</v>
      </c>
      <c r="G808" s="6" t="str">
        <f aca="false">IF(F808=0,"NOT FOUND",INDEX('All Song Rankings'!$A:$A,F808))</f>
        <v>City of Angels</v>
      </c>
      <c r="H808" s="6" t="str">
        <f aca="false">IF(F808=0,"NOT FOUND",INDEX('All Song Rankings'!$B:$B,F808))</f>
        <v>Em Beihold</v>
      </c>
      <c r="I808" s="6" t="str">
        <f aca="false">IF(F808=0,"NOT FOUND",INDEX('All Song Rankings'!$D:$D,F808))</f>
        <v>Matt</v>
      </c>
      <c r="J808" s="7" t="str">
        <f aca="false">IF(F808=0,"NOT FOUND",IF(C808=I808,"SELF-VOTE",IF(COUNTIF($K:$K,K808)&gt;1,"DUPLICATE","OK")))</f>
        <v>OK</v>
      </c>
      <c r="K808" s="6" t="str">
        <f aca="false">A808&amp;"|"&amp;B808&amp;"|"&amp;C808&amp;"|"&amp;D808</f>
        <v>2|3|Nicole|spotify:track:3u2e0jBFHbDT9yPA6vMK1v</v>
      </c>
    </row>
    <row r="809" customFormat="false" ht="15" hidden="false" customHeight="false" outlineLevel="0" collapsed="false">
      <c r="A809" s="5" t="n">
        <v>2</v>
      </c>
      <c r="B809" s="5" t="n">
        <v>3</v>
      </c>
      <c r="C809" s="5" t="s">
        <v>92</v>
      </c>
      <c r="D809" s="5" t="s">
        <v>457</v>
      </c>
      <c r="E809" s="5" t="n">
        <v>2</v>
      </c>
      <c r="F809" s="6" t="n">
        <f aca="false">IFERROR(MATCH(A809&amp;"|"&amp;B809&amp;"|"&amp;D809,'All Song Rankings'!$T:$T,0),0)</f>
        <v>115</v>
      </c>
      <c r="G809" s="6" t="str">
        <f aca="false">IF(F809=0,"NOT FOUND",INDEX('All Song Rankings'!$A:$A,F809))</f>
        <v>Welcome to the Black Parade</v>
      </c>
      <c r="H809" s="6" t="str">
        <f aca="false">IF(F809=0,"NOT FOUND",INDEX('All Song Rankings'!$B:$B,F809))</f>
        <v>My Chemical Romance</v>
      </c>
      <c r="I809" s="6" t="str">
        <f aca="false">IF(F809=0,"NOT FOUND",INDEX('All Song Rankings'!$D:$D,F809))</f>
        <v>Kelsey</v>
      </c>
      <c r="J809" s="7" t="str">
        <f aca="false">IF(F809=0,"NOT FOUND",IF(C809=I809,"SELF-VOTE",IF(COUNTIF($K:$K,K809)&gt;1,"DUPLICATE","OK")))</f>
        <v>OK</v>
      </c>
      <c r="K809" s="6" t="str">
        <f aca="false">A809&amp;"|"&amp;B809&amp;"|"&amp;C809&amp;"|"&amp;D809</f>
        <v>2|3|Nicole|spotify:track:5wQnmLuC1W7ATsArWACrgW</v>
      </c>
    </row>
    <row r="810" customFormat="false" ht="15" hidden="false" customHeight="false" outlineLevel="0" collapsed="false">
      <c r="A810" s="5" t="n">
        <v>2</v>
      </c>
      <c r="B810" s="5" t="n">
        <v>3</v>
      </c>
      <c r="C810" s="5" t="s">
        <v>92</v>
      </c>
      <c r="D810" s="5" t="s">
        <v>488</v>
      </c>
      <c r="E810" s="5" t="n">
        <v>1</v>
      </c>
      <c r="F810" s="6" t="n">
        <f aca="false">IFERROR(MATCH(A810&amp;"|"&amp;B810&amp;"|"&amp;D810,'All Song Rankings'!$T:$T,0),0)</f>
        <v>125</v>
      </c>
      <c r="G810" s="6" t="str">
        <f aca="false">IF(F810=0,"NOT FOUND",INDEX('All Song Rankings'!$A:$A,F810))</f>
        <v>Nashville</v>
      </c>
      <c r="H810" s="6" t="str">
        <f aca="false">IF(F810=0,"NOT FOUND",INDEX('All Song Rankings'!$B:$B,F810))</f>
        <v>Carter Vail</v>
      </c>
      <c r="I810" s="6" t="str">
        <f aca="false">IF(F810=0,"NOT FOUND",INDEX('All Song Rankings'!$D:$D,F810))</f>
        <v>Shayne</v>
      </c>
      <c r="J810" s="7" t="str">
        <f aca="false">IF(F810=0,"NOT FOUND",IF(C810=I810,"SELF-VOTE",IF(COUNTIF($K:$K,K810)&gt;1,"DUPLICATE","OK")))</f>
        <v>OK</v>
      </c>
      <c r="K810" s="6" t="str">
        <f aca="false">A810&amp;"|"&amp;B810&amp;"|"&amp;C810&amp;"|"&amp;D810</f>
        <v>2|3|Nicole|spotify:track:7h4OYLCsuULrjIFSYNfVdh</v>
      </c>
    </row>
    <row r="811" customFormat="false" ht="15" hidden="false" customHeight="false" outlineLevel="0" collapsed="false">
      <c r="A811" s="5" t="n">
        <v>2</v>
      </c>
      <c r="B811" s="5" t="n">
        <v>3</v>
      </c>
      <c r="C811" s="5" t="s">
        <v>484</v>
      </c>
      <c r="D811" s="5" t="s">
        <v>460</v>
      </c>
      <c r="E811" s="5" t="n">
        <v>1</v>
      </c>
      <c r="F811" s="6" t="n">
        <f aca="false">IFERROR(MATCH(A811&amp;"|"&amp;B811&amp;"|"&amp;D811,'All Song Rankings'!$T:$T,0),0)</f>
        <v>116</v>
      </c>
      <c r="G811" s="6" t="str">
        <f aca="false">IF(F811=0,"NOT FOUND",INDEX('All Song Rankings'!$A:$A,F811))</f>
        <v>30,000 Feet</v>
      </c>
      <c r="H811" s="6" t="str">
        <f aca="false">IF(F811=0,"NOT FOUND",INDEX('All Song Rankings'!$B:$B,F811))</f>
        <v>Ben Rector</v>
      </c>
      <c r="I811" s="6" t="str">
        <f aca="false">IF(F811=0,"NOT FOUND",INDEX('All Song Rankings'!$D:$D,F811))</f>
        <v>Kristen</v>
      </c>
      <c r="J811" s="7" t="str">
        <f aca="false">IF(F811=0,"NOT FOUND",IF(C811=I811,"SELF-VOTE",IF(COUNTIF($K:$K,K811)&gt;1,"DUPLICATE","OK")))</f>
        <v>OK</v>
      </c>
      <c r="K811" s="6" t="str">
        <f aca="false">A811&amp;"|"&amp;B811&amp;"|"&amp;C811&amp;"|"&amp;D811</f>
        <v>2|3|Scott|spotify:track:0KF5nzdiqZlxVK68MPITst</v>
      </c>
    </row>
    <row r="812" customFormat="false" ht="15" hidden="false" customHeight="false" outlineLevel="0" collapsed="false">
      <c r="A812" s="5" t="n">
        <v>2</v>
      </c>
      <c r="B812" s="5" t="n">
        <v>3</v>
      </c>
      <c r="C812" s="5" t="s">
        <v>484</v>
      </c>
      <c r="D812" s="5" t="s">
        <v>469</v>
      </c>
      <c r="E812" s="5" t="n">
        <v>2</v>
      </c>
      <c r="F812" s="6" t="n">
        <f aca="false">IFERROR(MATCH(A812&amp;"|"&amp;B812&amp;"|"&amp;D812,'All Song Rankings'!$T:$T,0),0)</f>
        <v>119</v>
      </c>
      <c r="G812" s="6" t="str">
        <f aca="false">IF(F812=0,"NOT FOUND",INDEX('All Song Rankings'!$A:$A,F812))</f>
        <v>We Intertwined</v>
      </c>
      <c r="H812" s="6" t="str">
        <f aca="false">IF(F812=0,"NOT FOUND",INDEX('All Song Rankings'!$B:$B,F812))</f>
        <v>The Hush Sound</v>
      </c>
      <c r="I812" s="6" t="str">
        <f aca="false">IF(F812=0,"NOT FOUND",INDEX('All Song Rankings'!$D:$D,F812))</f>
        <v>Grace</v>
      </c>
      <c r="J812" s="7" t="str">
        <f aca="false">IF(F812=0,"NOT FOUND",IF(C812=I812,"SELF-VOTE",IF(COUNTIF($K:$K,K812)&gt;1,"DUPLICATE","OK")))</f>
        <v>OK</v>
      </c>
      <c r="K812" s="6" t="str">
        <f aca="false">A812&amp;"|"&amp;B812&amp;"|"&amp;C812&amp;"|"&amp;D812</f>
        <v>2|3|Scott|spotify:track:2OSvnWYcpDv08GLmLDih1w</v>
      </c>
    </row>
    <row r="813" customFormat="false" ht="15" hidden="false" customHeight="false" outlineLevel="0" collapsed="false">
      <c r="A813" s="5" t="n">
        <v>2</v>
      </c>
      <c r="B813" s="5" t="n">
        <v>3</v>
      </c>
      <c r="C813" s="5" t="s">
        <v>484</v>
      </c>
      <c r="D813" s="5" t="s">
        <v>495</v>
      </c>
      <c r="E813" s="5" t="n">
        <v>1</v>
      </c>
      <c r="F813" s="6" t="n">
        <f aca="false">IFERROR(MATCH(A813&amp;"|"&amp;B813&amp;"|"&amp;D813,'All Song Rankings'!$T:$T,0),0)</f>
        <v>127</v>
      </c>
      <c r="G813" s="6" t="str">
        <f aca="false">IF(F813=0,"NOT FOUND",INDEX('All Song Rankings'!$A:$A,F813))</f>
        <v>Run It Up</v>
      </c>
      <c r="H813" s="6" t="str">
        <f aca="false">IF(F813=0,"NOT FOUND",INDEX('All Song Rankings'!$B:$B,F813))</f>
        <v>Hanumankind</v>
      </c>
      <c r="I813" s="6" t="str">
        <f aca="false">IF(F813=0,"NOT FOUND",INDEX('All Song Rankings'!$D:$D,F813))</f>
        <v>Merita</v>
      </c>
      <c r="J813" s="7" t="str">
        <f aca="false">IF(F813=0,"NOT FOUND",IF(C813=I813,"SELF-VOTE",IF(COUNTIF($K:$K,K813)&gt;1,"DUPLICATE","OK")))</f>
        <v>OK</v>
      </c>
      <c r="K813" s="6" t="str">
        <f aca="false">A813&amp;"|"&amp;B813&amp;"|"&amp;C813&amp;"|"&amp;D813</f>
        <v>2|3|Scott|spotify:track:3sZQ8L4aptFDJXBqdVdvO8</v>
      </c>
    </row>
    <row r="814" customFormat="false" ht="15" hidden="false" customHeight="false" outlineLevel="0" collapsed="false">
      <c r="A814" s="5" t="n">
        <v>2</v>
      </c>
      <c r="B814" s="5" t="n">
        <v>3</v>
      </c>
      <c r="C814" s="5" t="s">
        <v>484</v>
      </c>
      <c r="D814" s="5" t="s">
        <v>457</v>
      </c>
      <c r="E814" s="5" t="n">
        <v>4</v>
      </c>
      <c r="F814" s="6" t="n">
        <f aca="false">IFERROR(MATCH(A814&amp;"|"&amp;B814&amp;"|"&amp;D814,'All Song Rankings'!$T:$T,0),0)</f>
        <v>115</v>
      </c>
      <c r="G814" s="6" t="str">
        <f aca="false">IF(F814=0,"NOT FOUND",INDEX('All Song Rankings'!$A:$A,F814))</f>
        <v>Welcome to the Black Parade</v>
      </c>
      <c r="H814" s="6" t="str">
        <f aca="false">IF(F814=0,"NOT FOUND",INDEX('All Song Rankings'!$B:$B,F814))</f>
        <v>My Chemical Romance</v>
      </c>
      <c r="I814" s="6" t="str">
        <f aca="false">IF(F814=0,"NOT FOUND",INDEX('All Song Rankings'!$D:$D,F814))</f>
        <v>Kelsey</v>
      </c>
      <c r="J814" s="7" t="str">
        <f aca="false">IF(F814=0,"NOT FOUND",IF(C814=I814,"SELF-VOTE",IF(COUNTIF($K:$K,K814)&gt;1,"DUPLICATE","OK")))</f>
        <v>OK</v>
      </c>
      <c r="K814" s="6" t="str">
        <f aca="false">A814&amp;"|"&amp;B814&amp;"|"&amp;C814&amp;"|"&amp;D814</f>
        <v>2|3|Scott|spotify:track:5wQnmLuC1W7ATsArWACrgW</v>
      </c>
    </row>
    <row r="815" customFormat="false" ht="15" hidden="false" customHeight="false" outlineLevel="0" collapsed="false">
      <c r="A815" s="5" t="n">
        <v>2</v>
      </c>
      <c r="B815" s="5" t="n">
        <v>3</v>
      </c>
      <c r="C815" s="5" t="s">
        <v>484</v>
      </c>
      <c r="D815" s="5" t="s">
        <v>488</v>
      </c>
      <c r="E815" s="5" t="n">
        <v>2</v>
      </c>
      <c r="F815" s="6" t="n">
        <f aca="false">IFERROR(MATCH(A815&amp;"|"&amp;B815&amp;"|"&amp;D815,'All Song Rankings'!$T:$T,0),0)</f>
        <v>125</v>
      </c>
      <c r="G815" s="6" t="str">
        <f aca="false">IF(F815=0,"NOT FOUND",INDEX('All Song Rankings'!$A:$A,F815))</f>
        <v>Nashville</v>
      </c>
      <c r="H815" s="6" t="str">
        <f aca="false">IF(F815=0,"NOT FOUND",INDEX('All Song Rankings'!$B:$B,F815))</f>
        <v>Carter Vail</v>
      </c>
      <c r="I815" s="6" t="str">
        <f aca="false">IF(F815=0,"NOT FOUND",INDEX('All Song Rankings'!$D:$D,F815))</f>
        <v>Shayne</v>
      </c>
      <c r="J815" s="7" t="str">
        <f aca="false">IF(F815=0,"NOT FOUND",IF(C815=I815,"SELF-VOTE",IF(COUNTIF($K:$K,K815)&gt;1,"DUPLICATE","OK")))</f>
        <v>OK</v>
      </c>
      <c r="K815" s="6" t="str">
        <f aca="false">A815&amp;"|"&amp;B815&amp;"|"&amp;C815&amp;"|"&amp;D815</f>
        <v>2|3|Scott|spotify:track:7h4OYLCsuULrjIFSYNfVdh</v>
      </c>
    </row>
    <row r="816" customFormat="false" ht="15" hidden="false" customHeight="false" outlineLevel="0" collapsed="false">
      <c r="A816" s="5" t="n">
        <v>2</v>
      </c>
      <c r="B816" s="5" t="n">
        <v>3</v>
      </c>
      <c r="C816" s="5" t="s">
        <v>378</v>
      </c>
      <c r="D816" s="5" t="s">
        <v>460</v>
      </c>
      <c r="E816" s="5" t="n">
        <v>2</v>
      </c>
      <c r="F816" s="6" t="n">
        <f aca="false">IFERROR(MATCH(A816&amp;"|"&amp;B816&amp;"|"&amp;D816,'All Song Rankings'!$T:$T,0),0)</f>
        <v>116</v>
      </c>
      <c r="G816" s="6" t="str">
        <f aca="false">IF(F816=0,"NOT FOUND",INDEX('All Song Rankings'!$A:$A,F816))</f>
        <v>30,000 Feet</v>
      </c>
      <c r="H816" s="6" t="str">
        <f aca="false">IF(F816=0,"NOT FOUND",INDEX('All Song Rankings'!$B:$B,F816))</f>
        <v>Ben Rector</v>
      </c>
      <c r="I816" s="6" t="str">
        <f aca="false">IF(F816=0,"NOT FOUND",INDEX('All Song Rankings'!$D:$D,F816))</f>
        <v>Kristen</v>
      </c>
      <c r="J816" s="7" t="str">
        <f aca="false">IF(F816=0,"NOT FOUND",IF(C816=I816,"SELF-VOTE",IF(COUNTIF($K:$K,K816)&gt;1,"DUPLICATE","OK")))</f>
        <v>OK</v>
      </c>
      <c r="K816" s="6" t="str">
        <f aca="false">A816&amp;"|"&amp;B816&amp;"|"&amp;C816&amp;"|"&amp;D816</f>
        <v>2|3|Shayne|spotify:track:0KF5nzdiqZlxVK68MPITst</v>
      </c>
    </row>
    <row r="817" customFormat="false" ht="15" hidden="false" customHeight="false" outlineLevel="0" collapsed="false">
      <c r="A817" s="5" t="n">
        <v>2</v>
      </c>
      <c r="B817" s="5" t="n">
        <v>3</v>
      </c>
      <c r="C817" s="5" t="s">
        <v>378</v>
      </c>
      <c r="D817" s="5" t="s">
        <v>492</v>
      </c>
      <c r="E817" s="5" t="n">
        <v>1</v>
      </c>
      <c r="F817" s="6" t="n">
        <f aca="false">IFERROR(MATCH(A817&amp;"|"&amp;B817&amp;"|"&amp;D817,'All Song Rankings'!$T:$T,0),0)</f>
        <v>126</v>
      </c>
      <c r="G817" s="6" t="str">
        <f aca="false">IF(F817=0,"NOT FOUND",INDEX('All Song Rankings'!$A:$A,F817))</f>
        <v>Time Bomb</v>
      </c>
      <c r="H817" s="6" t="str">
        <f aca="false">IF(F817=0,"NOT FOUND",INDEX('All Song Rankings'!$B:$B,F817))</f>
        <v>Iration</v>
      </c>
      <c r="I817" s="6" t="str">
        <f aca="false">IF(F817=0,"NOT FOUND",INDEX('All Song Rankings'!$D:$D,F817))</f>
        <v>Leah</v>
      </c>
      <c r="J817" s="7" t="str">
        <f aca="false">IF(F817=0,"NOT FOUND",IF(C817=I817,"SELF-VOTE",IF(COUNTIF($K:$K,K817)&gt;1,"DUPLICATE","OK")))</f>
        <v>OK</v>
      </c>
      <c r="K817" s="6" t="str">
        <f aca="false">A817&amp;"|"&amp;B817&amp;"|"&amp;C817&amp;"|"&amp;D817</f>
        <v>2|3|Shayne|spotify:track:0KtKac3tvjeGjg6FXcUy7X</v>
      </c>
    </row>
    <row r="818" customFormat="false" ht="15" hidden="false" customHeight="false" outlineLevel="0" collapsed="false">
      <c r="A818" s="5" t="n">
        <v>2</v>
      </c>
      <c r="B818" s="5" t="n">
        <v>3</v>
      </c>
      <c r="C818" s="5" t="s">
        <v>378</v>
      </c>
      <c r="D818" s="5" t="s">
        <v>475</v>
      </c>
      <c r="E818" s="5" t="n">
        <v>1</v>
      </c>
      <c r="F818" s="6" t="n">
        <f aca="false">IFERROR(MATCH(A818&amp;"|"&amp;B818&amp;"|"&amp;D818,'All Song Rankings'!$T:$T,0),0)</f>
        <v>121</v>
      </c>
      <c r="G818" s="6" t="str">
        <f aca="false">IF(F818=0,"NOT FOUND",INDEX('All Song Rankings'!$A:$A,F818))</f>
        <v>Ocean Drive</v>
      </c>
      <c r="H818" s="6" t="str">
        <f aca="false">IF(F818=0,"NOT FOUND",INDEX('All Song Rankings'!$B:$B,F818))</f>
        <v>Duke Dumont</v>
      </c>
      <c r="I818" s="6" t="str">
        <f aca="false">IF(F818=0,"NOT FOUND",INDEX('All Song Rankings'!$D:$D,F818))</f>
        <v>Stephanie</v>
      </c>
      <c r="J818" s="7" t="str">
        <f aca="false">IF(F818=0,"NOT FOUND",IF(C818=I818,"SELF-VOTE",IF(COUNTIF($K:$K,K818)&gt;1,"DUPLICATE","OK")))</f>
        <v>OK</v>
      </c>
      <c r="K818" s="6" t="str">
        <f aca="false">A818&amp;"|"&amp;B818&amp;"|"&amp;C818&amp;"|"&amp;D818</f>
        <v>2|3|Shayne|spotify:track:0b6wdul3A5sQNpIOv03OxP</v>
      </c>
    </row>
    <row r="819" customFormat="false" ht="15" hidden="false" customHeight="false" outlineLevel="0" collapsed="false">
      <c r="A819" s="5" t="n">
        <v>2</v>
      </c>
      <c r="B819" s="5" t="n">
        <v>3</v>
      </c>
      <c r="C819" s="5" t="s">
        <v>378</v>
      </c>
      <c r="D819" s="5" t="s">
        <v>466</v>
      </c>
      <c r="E819" s="5" t="n">
        <v>2</v>
      </c>
      <c r="F819" s="6" t="n">
        <f aca="false">IFERROR(MATCH(A819&amp;"|"&amp;B819&amp;"|"&amp;D819,'All Song Rankings'!$T:$T,0),0)</f>
        <v>118</v>
      </c>
      <c r="G819" s="6" t="str">
        <f aca="false">IF(F819=0,"NOT FOUND",INDEX('All Song Rankings'!$A:$A,F819))</f>
        <v>Godspeed</v>
      </c>
      <c r="H819" s="6" t="str">
        <f aca="false">IF(F819=0,"NOT FOUND",INDEX('All Song Rankings'!$B:$B,F819))</f>
        <v>Frank Ocean</v>
      </c>
      <c r="I819" s="6" t="str">
        <f aca="false">IF(F819=0,"NOT FOUND",INDEX('All Song Rankings'!$D:$D,F819))</f>
        <v>Logan</v>
      </c>
      <c r="J819" s="7" t="str">
        <f aca="false">IF(F819=0,"NOT FOUND",IF(C819=I819,"SELF-VOTE",IF(COUNTIF($K:$K,K819)&gt;1,"DUPLICATE","OK")))</f>
        <v>OK</v>
      </c>
      <c r="K819" s="6" t="str">
        <f aca="false">A819&amp;"|"&amp;B819&amp;"|"&amp;C819&amp;"|"&amp;D819</f>
        <v>2|3|Shayne|spotify:track:34xTFwjPQ1dC6uJmleno7x</v>
      </c>
    </row>
    <row r="820" customFormat="false" ht="15" hidden="false" customHeight="false" outlineLevel="0" collapsed="false">
      <c r="A820" s="5" t="n">
        <v>2</v>
      </c>
      <c r="B820" s="5" t="n">
        <v>3</v>
      </c>
      <c r="C820" s="5" t="s">
        <v>378</v>
      </c>
      <c r="D820" s="5" t="s">
        <v>478</v>
      </c>
      <c r="E820" s="5" t="n">
        <v>1</v>
      </c>
      <c r="F820" s="6" t="n">
        <f aca="false">IFERROR(MATCH(A820&amp;"|"&amp;B820&amp;"|"&amp;D820,'All Song Rankings'!$T:$T,0),0)</f>
        <v>122</v>
      </c>
      <c r="G820" s="6" t="str">
        <f aca="false">IF(F820=0,"NOT FOUND",INDEX('All Song Rankings'!$A:$A,F820))</f>
        <v>City of Angels</v>
      </c>
      <c r="H820" s="6" t="str">
        <f aca="false">IF(F820=0,"NOT FOUND",INDEX('All Song Rankings'!$B:$B,F820))</f>
        <v>Em Beihold</v>
      </c>
      <c r="I820" s="6" t="str">
        <f aca="false">IF(F820=0,"NOT FOUND",INDEX('All Song Rankings'!$D:$D,F820))</f>
        <v>Matt</v>
      </c>
      <c r="J820" s="7" t="str">
        <f aca="false">IF(F820=0,"NOT FOUND",IF(C820=I820,"SELF-VOTE",IF(COUNTIF($K:$K,K820)&gt;1,"DUPLICATE","OK")))</f>
        <v>OK</v>
      </c>
      <c r="K820" s="6" t="str">
        <f aca="false">A820&amp;"|"&amp;B820&amp;"|"&amp;C820&amp;"|"&amp;D820</f>
        <v>2|3|Shayne|spotify:track:3u2e0jBFHbDT9yPA6vMK1v</v>
      </c>
    </row>
    <row r="821" customFormat="false" ht="15" hidden="false" customHeight="false" outlineLevel="0" collapsed="false">
      <c r="A821" s="5" t="n">
        <v>2</v>
      </c>
      <c r="B821" s="5" t="n">
        <v>3</v>
      </c>
      <c r="C821" s="5" t="s">
        <v>378</v>
      </c>
      <c r="D821" s="5" t="s">
        <v>485</v>
      </c>
      <c r="E821" s="5" t="n">
        <v>1</v>
      </c>
      <c r="F821" s="6" t="n">
        <f aca="false">IFERROR(MATCH(A821&amp;"|"&amp;B821&amp;"|"&amp;D821,'All Song Rankings'!$T:$T,0),0)</f>
        <v>124</v>
      </c>
      <c r="G821" s="6" t="str">
        <f aca="false">IF(F821=0,"NOT FOUND",INDEX('All Song Rankings'!$A:$A,F821))</f>
        <v>Dizzy On the Comedown</v>
      </c>
      <c r="H821" s="6" t="str">
        <f aca="false">IF(F821=0,"NOT FOUND",INDEX('All Song Rankings'!$B:$B,F821))</f>
        <v>Turnover</v>
      </c>
      <c r="I821" s="6" t="str">
        <f aca="false">IF(F821=0,"NOT FOUND",INDEX('All Song Rankings'!$D:$D,F821))</f>
        <v>Scott</v>
      </c>
      <c r="J821" s="7" t="str">
        <f aca="false">IF(F821=0,"NOT FOUND",IF(C821=I821,"SELF-VOTE",IF(COUNTIF($K:$K,K821)&gt;1,"DUPLICATE","OK")))</f>
        <v>OK</v>
      </c>
      <c r="K821" s="6" t="str">
        <f aca="false">A821&amp;"|"&amp;B821&amp;"|"&amp;C821&amp;"|"&amp;D821</f>
        <v>2|3|Shayne|spotify:track:3vkj94FiLgUz3ysZcmIXPx</v>
      </c>
    </row>
    <row r="822" customFormat="false" ht="15" hidden="false" customHeight="false" outlineLevel="0" collapsed="false">
      <c r="A822" s="5" t="n">
        <v>2</v>
      </c>
      <c r="B822" s="5" t="n">
        <v>3</v>
      </c>
      <c r="C822" s="5" t="s">
        <v>378</v>
      </c>
      <c r="D822" s="5" t="s">
        <v>290</v>
      </c>
      <c r="E822" s="5" t="n">
        <v>1</v>
      </c>
      <c r="F822" s="6" t="n">
        <f aca="false">IFERROR(MATCH(A822&amp;"|"&amp;B822&amp;"|"&amp;D822,'All Song Rankings'!$T:$T,0),0)</f>
        <v>128</v>
      </c>
      <c r="G822" s="6" t="str">
        <f aca="false">IF(F822=0,"NOT FOUND",INDEX('All Song Rankings'!$A:$A,F822))</f>
        <v>drivers license</v>
      </c>
      <c r="H822" s="6" t="str">
        <f aca="false">IF(F822=0,"NOT FOUND",INDEX('All Song Rankings'!$B:$B,F822))</f>
        <v>Olivia Rodrigo</v>
      </c>
      <c r="I822" s="6" t="str">
        <f aca="false">IF(F822=0,"NOT FOUND",INDEX('All Song Rankings'!$D:$D,F822))</f>
        <v>Aubrey</v>
      </c>
      <c r="J822" s="7" t="str">
        <f aca="false">IF(F822=0,"NOT FOUND",IF(C822=I822,"SELF-VOTE",IF(COUNTIF($K:$K,K822)&gt;1,"DUPLICATE","OK")))</f>
        <v>OK</v>
      </c>
      <c r="K822" s="6" t="str">
        <f aca="false">A822&amp;"|"&amp;B822&amp;"|"&amp;C822&amp;"|"&amp;D822</f>
        <v>2|3|Shayne|spotify:track:5wANPM4fQCJwkGd4rN57mH</v>
      </c>
    </row>
    <row r="823" customFormat="false" ht="15" hidden="false" customHeight="false" outlineLevel="0" collapsed="false">
      <c r="A823" s="5" t="n">
        <v>2</v>
      </c>
      <c r="B823" s="5" t="n">
        <v>3</v>
      </c>
      <c r="C823" s="5" t="s">
        <v>378</v>
      </c>
      <c r="D823" s="5" t="s">
        <v>457</v>
      </c>
      <c r="E823" s="5" t="n">
        <v>1</v>
      </c>
      <c r="F823" s="6" t="n">
        <f aca="false">IFERROR(MATCH(A823&amp;"|"&amp;B823&amp;"|"&amp;D823,'All Song Rankings'!$T:$T,0),0)</f>
        <v>115</v>
      </c>
      <c r="G823" s="6" t="str">
        <f aca="false">IF(F823=0,"NOT FOUND",INDEX('All Song Rankings'!$A:$A,F823))</f>
        <v>Welcome to the Black Parade</v>
      </c>
      <c r="H823" s="6" t="str">
        <f aca="false">IF(F823=0,"NOT FOUND",INDEX('All Song Rankings'!$B:$B,F823))</f>
        <v>My Chemical Romance</v>
      </c>
      <c r="I823" s="6" t="str">
        <f aca="false">IF(F823=0,"NOT FOUND",INDEX('All Song Rankings'!$D:$D,F823))</f>
        <v>Kelsey</v>
      </c>
      <c r="J823" s="7" t="str">
        <f aca="false">IF(F823=0,"NOT FOUND",IF(C823=I823,"SELF-VOTE",IF(COUNTIF($K:$K,K823)&gt;1,"DUPLICATE","OK")))</f>
        <v>OK</v>
      </c>
      <c r="K823" s="6" t="str">
        <f aca="false">A823&amp;"|"&amp;B823&amp;"|"&amp;C823&amp;"|"&amp;D823</f>
        <v>2|3|Shayne|spotify:track:5wQnmLuC1W7ATsArWACrgW</v>
      </c>
    </row>
    <row r="824" customFormat="false" ht="15" hidden="false" customHeight="false" outlineLevel="0" collapsed="false">
      <c r="A824" s="5" t="n">
        <v>2</v>
      </c>
      <c r="B824" s="5" t="n">
        <v>3</v>
      </c>
      <c r="C824" s="5" t="s">
        <v>97</v>
      </c>
      <c r="D824" s="5" t="s">
        <v>460</v>
      </c>
      <c r="E824" s="5" t="n">
        <v>1</v>
      </c>
      <c r="F824" s="6" t="n">
        <f aca="false">IFERROR(MATCH(A824&amp;"|"&amp;B824&amp;"|"&amp;D824,'All Song Rankings'!$T:$T,0),0)</f>
        <v>116</v>
      </c>
      <c r="G824" s="6" t="str">
        <f aca="false">IF(F824=0,"NOT FOUND",INDEX('All Song Rankings'!$A:$A,F824))</f>
        <v>30,000 Feet</v>
      </c>
      <c r="H824" s="6" t="str">
        <f aca="false">IF(F824=0,"NOT FOUND",INDEX('All Song Rankings'!$B:$B,F824))</f>
        <v>Ben Rector</v>
      </c>
      <c r="I824" s="6" t="str">
        <f aca="false">IF(F824=0,"NOT FOUND",INDEX('All Song Rankings'!$D:$D,F824))</f>
        <v>Kristen</v>
      </c>
      <c r="J824" s="7" t="str">
        <f aca="false">IF(F824=0,"NOT FOUND",IF(C824=I824,"SELF-VOTE",IF(COUNTIF($K:$K,K824)&gt;1,"DUPLICATE","OK")))</f>
        <v>OK</v>
      </c>
      <c r="K824" s="6" t="str">
        <f aca="false">A824&amp;"|"&amp;B824&amp;"|"&amp;C824&amp;"|"&amp;D824</f>
        <v>2|3|Stephanie|spotify:track:0KF5nzdiqZlxVK68MPITst</v>
      </c>
    </row>
    <row r="825" customFormat="false" ht="15" hidden="false" customHeight="false" outlineLevel="0" collapsed="false">
      <c r="A825" s="5" t="n">
        <v>2</v>
      </c>
      <c r="B825" s="5" t="n">
        <v>3</v>
      </c>
      <c r="C825" s="5" t="s">
        <v>97</v>
      </c>
      <c r="D825" s="5" t="s">
        <v>492</v>
      </c>
      <c r="E825" s="5" t="n">
        <v>1</v>
      </c>
      <c r="F825" s="6" t="n">
        <f aca="false">IFERROR(MATCH(A825&amp;"|"&amp;B825&amp;"|"&amp;D825,'All Song Rankings'!$T:$T,0),0)</f>
        <v>126</v>
      </c>
      <c r="G825" s="6" t="str">
        <f aca="false">IF(F825=0,"NOT FOUND",INDEX('All Song Rankings'!$A:$A,F825))</f>
        <v>Time Bomb</v>
      </c>
      <c r="H825" s="6" t="str">
        <f aca="false">IF(F825=0,"NOT FOUND",INDEX('All Song Rankings'!$B:$B,F825))</f>
        <v>Iration</v>
      </c>
      <c r="I825" s="6" t="str">
        <f aca="false">IF(F825=0,"NOT FOUND",INDEX('All Song Rankings'!$D:$D,F825))</f>
        <v>Leah</v>
      </c>
      <c r="J825" s="7" t="str">
        <f aca="false">IF(F825=0,"NOT FOUND",IF(C825=I825,"SELF-VOTE",IF(COUNTIF($K:$K,K825)&gt;1,"DUPLICATE","OK")))</f>
        <v>OK</v>
      </c>
      <c r="K825" s="6" t="str">
        <f aca="false">A825&amp;"|"&amp;B825&amp;"|"&amp;C825&amp;"|"&amp;D825</f>
        <v>2|3|Stephanie|spotify:track:0KtKac3tvjeGjg6FXcUy7X</v>
      </c>
    </row>
    <row r="826" customFormat="false" ht="15" hidden="false" customHeight="false" outlineLevel="0" collapsed="false">
      <c r="A826" s="5" t="n">
        <v>2</v>
      </c>
      <c r="B826" s="5" t="n">
        <v>3</v>
      </c>
      <c r="C826" s="5" t="s">
        <v>97</v>
      </c>
      <c r="D826" s="5" t="s">
        <v>466</v>
      </c>
      <c r="E826" s="5" t="n">
        <v>3</v>
      </c>
      <c r="F826" s="6" t="n">
        <f aca="false">IFERROR(MATCH(A826&amp;"|"&amp;B826&amp;"|"&amp;D826,'All Song Rankings'!$T:$T,0),0)</f>
        <v>118</v>
      </c>
      <c r="G826" s="6" t="str">
        <f aca="false">IF(F826=0,"NOT FOUND",INDEX('All Song Rankings'!$A:$A,F826))</f>
        <v>Godspeed</v>
      </c>
      <c r="H826" s="6" t="str">
        <f aca="false">IF(F826=0,"NOT FOUND",INDEX('All Song Rankings'!$B:$B,F826))</f>
        <v>Frank Ocean</v>
      </c>
      <c r="I826" s="6" t="str">
        <f aca="false">IF(F826=0,"NOT FOUND",INDEX('All Song Rankings'!$D:$D,F826))</f>
        <v>Logan</v>
      </c>
      <c r="J826" s="7" t="str">
        <f aca="false">IF(F826=0,"NOT FOUND",IF(C826=I826,"SELF-VOTE",IF(COUNTIF($K:$K,K826)&gt;1,"DUPLICATE","OK")))</f>
        <v>OK</v>
      </c>
      <c r="K826" s="6" t="str">
        <f aca="false">A826&amp;"|"&amp;B826&amp;"|"&amp;C826&amp;"|"&amp;D826</f>
        <v>2|3|Stephanie|spotify:track:34xTFwjPQ1dC6uJmleno7x</v>
      </c>
    </row>
    <row r="827" customFormat="false" ht="15" hidden="false" customHeight="false" outlineLevel="0" collapsed="false">
      <c r="A827" s="5" t="n">
        <v>2</v>
      </c>
      <c r="B827" s="5" t="n">
        <v>3</v>
      </c>
      <c r="C827" s="5" t="s">
        <v>97</v>
      </c>
      <c r="D827" s="5" t="s">
        <v>463</v>
      </c>
      <c r="E827" s="5" t="n">
        <v>1</v>
      </c>
      <c r="F827" s="6" t="n">
        <f aca="false">IFERROR(MATCH(A827&amp;"|"&amp;B827&amp;"|"&amp;D827,'All Song Rankings'!$T:$T,0),0)</f>
        <v>117</v>
      </c>
      <c r="G827" s="6" t="str">
        <f aca="false">IF(F827=0,"NOT FOUND",INDEX('All Song Rankings'!$A:$A,F827))</f>
        <v>Non, je ne regrette rien</v>
      </c>
      <c r="H827" s="6" t="str">
        <f aca="false">IF(F827=0,"NOT FOUND",INDEX('All Song Rankings'!$B:$B,F827))</f>
        <v>Edith Piaf</v>
      </c>
      <c r="I827" s="6" t="str">
        <f aca="false">IF(F827=0,"NOT FOUND",INDEX('All Song Rankings'!$D:$D,F827))</f>
        <v>Maryann</v>
      </c>
      <c r="J827" s="7" t="str">
        <f aca="false">IF(F827=0,"NOT FOUND",IF(C827=I827,"SELF-VOTE",IF(COUNTIF($K:$K,K827)&gt;1,"DUPLICATE","OK")))</f>
        <v>OK</v>
      </c>
      <c r="K827" s="6" t="str">
        <f aca="false">A827&amp;"|"&amp;B827&amp;"|"&amp;C827&amp;"|"&amp;D827</f>
        <v>2|3|Stephanie|spotify:track:3dkIE8P7hvl3tHl9KSb6dA</v>
      </c>
    </row>
    <row r="828" customFormat="false" ht="15" hidden="false" customHeight="false" outlineLevel="0" collapsed="false">
      <c r="A828" s="5" t="n">
        <v>2</v>
      </c>
      <c r="B828" s="5" t="n">
        <v>3</v>
      </c>
      <c r="C828" s="5" t="s">
        <v>97</v>
      </c>
      <c r="D828" s="5" t="s">
        <v>478</v>
      </c>
      <c r="E828" s="5" t="n">
        <v>2</v>
      </c>
      <c r="F828" s="6" t="n">
        <f aca="false">IFERROR(MATCH(A828&amp;"|"&amp;B828&amp;"|"&amp;D828,'All Song Rankings'!$T:$T,0),0)</f>
        <v>122</v>
      </c>
      <c r="G828" s="6" t="str">
        <f aca="false">IF(F828=0,"NOT FOUND",INDEX('All Song Rankings'!$A:$A,F828))</f>
        <v>City of Angels</v>
      </c>
      <c r="H828" s="6" t="str">
        <f aca="false">IF(F828=0,"NOT FOUND",INDEX('All Song Rankings'!$B:$B,F828))</f>
        <v>Em Beihold</v>
      </c>
      <c r="I828" s="6" t="str">
        <f aca="false">IF(F828=0,"NOT FOUND",INDEX('All Song Rankings'!$D:$D,F828))</f>
        <v>Matt</v>
      </c>
      <c r="J828" s="7" t="str">
        <f aca="false">IF(F828=0,"NOT FOUND",IF(C828=I828,"SELF-VOTE",IF(COUNTIF($K:$K,K828)&gt;1,"DUPLICATE","OK")))</f>
        <v>OK</v>
      </c>
      <c r="K828" s="6" t="str">
        <f aca="false">A828&amp;"|"&amp;B828&amp;"|"&amp;C828&amp;"|"&amp;D828</f>
        <v>2|3|Stephanie|spotify:track:3u2e0jBFHbDT9yPA6vMK1v</v>
      </c>
    </row>
    <row r="829" customFormat="false" ht="15" hidden="false" customHeight="false" outlineLevel="0" collapsed="false">
      <c r="A829" s="5" t="n">
        <v>2</v>
      </c>
      <c r="B829" s="5" t="n">
        <v>3</v>
      </c>
      <c r="C829" s="5" t="s">
        <v>97</v>
      </c>
      <c r="D829" s="5" t="s">
        <v>485</v>
      </c>
      <c r="E829" s="5" t="n">
        <v>1</v>
      </c>
      <c r="F829" s="6" t="n">
        <f aca="false">IFERROR(MATCH(A829&amp;"|"&amp;B829&amp;"|"&amp;D829,'All Song Rankings'!$T:$T,0),0)</f>
        <v>124</v>
      </c>
      <c r="G829" s="6" t="str">
        <f aca="false">IF(F829=0,"NOT FOUND",INDEX('All Song Rankings'!$A:$A,F829))</f>
        <v>Dizzy On the Comedown</v>
      </c>
      <c r="H829" s="6" t="str">
        <f aca="false">IF(F829=0,"NOT FOUND",INDEX('All Song Rankings'!$B:$B,F829))</f>
        <v>Turnover</v>
      </c>
      <c r="I829" s="6" t="str">
        <f aca="false">IF(F829=0,"NOT FOUND",INDEX('All Song Rankings'!$D:$D,F829))</f>
        <v>Scott</v>
      </c>
      <c r="J829" s="7" t="str">
        <f aca="false">IF(F829=0,"NOT FOUND",IF(C829=I829,"SELF-VOTE",IF(COUNTIF($K:$K,K829)&gt;1,"DUPLICATE","OK")))</f>
        <v>OK</v>
      </c>
      <c r="K829" s="6" t="str">
        <f aca="false">A829&amp;"|"&amp;B829&amp;"|"&amp;C829&amp;"|"&amp;D829</f>
        <v>2|3|Stephanie|spotify:track:3vkj94FiLgUz3ysZcmIXPx</v>
      </c>
    </row>
    <row r="830" customFormat="false" ht="15" hidden="false" customHeight="false" outlineLevel="0" collapsed="false">
      <c r="A830" s="5" t="n">
        <v>2</v>
      </c>
      <c r="B830" s="5" t="n">
        <v>3</v>
      </c>
      <c r="C830" s="5" t="s">
        <v>97</v>
      </c>
      <c r="D830" s="5" t="s">
        <v>290</v>
      </c>
      <c r="E830" s="5" t="n">
        <v>1</v>
      </c>
      <c r="F830" s="6" t="n">
        <f aca="false">IFERROR(MATCH(A830&amp;"|"&amp;B830&amp;"|"&amp;D830,'All Song Rankings'!$T:$T,0),0)</f>
        <v>128</v>
      </c>
      <c r="G830" s="6" t="str">
        <f aca="false">IF(F830=0,"NOT FOUND",INDEX('All Song Rankings'!$A:$A,F830))</f>
        <v>drivers license</v>
      </c>
      <c r="H830" s="6" t="str">
        <f aca="false">IF(F830=0,"NOT FOUND",INDEX('All Song Rankings'!$B:$B,F830))</f>
        <v>Olivia Rodrigo</v>
      </c>
      <c r="I830" s="6" t="str">
        <f aca="false">IF(F830=0,"NOT FOUND",INDEX('All Song Rankings'!$D:$D,F830))</f>
        <v>Aubrey</v>
      </c>
      <c r="J830" s="7" t="str">
        <f aca="false">IF(F830=0,"NOT FOUND",IF(C830=I830,"SELF-VOTE",IF(COUNTIF($K:$K,K830)&gt;1,"DUPLICATE","OK")))</f>
        <v>OK</v>
      </c>
      <c r="K830" s="6" t="str">
        <f aca="false">A830&amp;"|"&amp;B830&amp;"|"&amp;C830&amp;"|"&amp;D830</f>
        <v>2|3|Stephanie|spotify:track:5wANPM4fQCJwkGd4rN57mH</v>
      </c>
    </row>
    <row r="831" customFormat="false" ht="15" hidden="false" customHeight="false" outlineLevel="0" collapsed="false">
      <c r="A831" s="5" t="n">
        <v>2</v>
      </c>
      <c r="B831" s="5" t="n">
        <v>4</v>
      </c>
      <c r="C831" s="5" t="s">
        <v>382</v>
      </c>
      <c r="D831" s="5" t="s">
        <v>518</v>
      </c>
      <c r="E831" s="5" t="n">
        <v>1</v>
      </c>
      <c r="F831" s="6" t="n">
        <f aca="false">IFERROR(MATCH(A831&amp;"|"&amp;B831&amp;"|"&amp;D831,'All Song Rankings'!$T:$T,0),0)</f>
        <v>136</v>
      </c>
      <c r="G831" s="6" t="str">
        <f aca="false">IF(F831=0,"NOT FOUND",INDEX('All Song Rankings'!$A:$A,F831))</f>
        <v>Porcelain</v>
      </c>
      <c r="H831" s="6" t="str">
        <f aca="false">IF(F831=0,"NOT FOUND",INDEX('All Song Rankings'!$B:$B,F831))</f>
        <v>Moby</v>
      </c>
      <c r="I831" s="6" t="str">
        <f aca="false">IF(F831=0,"NOT FOUND",INDEX('All Song Rankings'!$D:$D,F831))</f>
        <v>Stephanie</v>
      </c>
      <c r="J831" s="7" t="str">
        <f aca="false">IF(F831=0,"NOT FOUND",IF(C831=I831,"SELF-VOTE",IF(COUNTIF($K:$K,K831)&gt;1,"DUPLICATE","OK")))</f>
        <v>OK</v>
      </c>
      <c r="K831" s="6" t="str">
        <f aca="false">A831&amp;"|"&amp;B831&amp;"|"&amp;C831&amp;"|"&amp;D831</f>
        <v>2|4|Grace|spotify:track:19vUJwIaPAgDJyGZMBI9MG</v>
      </c>
    </row>
    <row r="832" customFormat="false" ht="15" hidden="false" customHeight="false" outlineLevel="0" collapsed="false">
      <c r="A832" s="5" t="n">
        <v>2</v>
      </c>
      <c r="B832" s="5" t="n">
        <v>4</v>
      </c>
      <c r="C832" s="5" t="s">
        <v>382</v>
      </c>
      <c r="D832" s="5" t="s">
        <v>515</v>
      </c>
      <c r="E832" s="5" t="n">
        <v>3</v>
      </c>
      <c r="F832" s="6" t="n">
        <f aca="false">IFERROR(MATCH(A832&amp;"|"&amp;B832&amp;"|"&amp;D832,'All Song Rankings'!$T:$T,0),0)</f>
        <v>135</v>
      </c>
      <c r="G832" s="6" t="str">
        <f aca="false">IF(F832=0,"NOT FOUND",INDEX('All Song Rankings'!$A:$A,F832))</f>
        <v>Moon Car</v>
      </c>
      <c r="H832" s="6" t="str">
        <f aca="false">IF(F832=0,"NOT FOUND",INDEX('All Song Rankings'!$B:$B,F832))</f>
        <v>Big Dopes</v>
      </c>
      <c r="I832" s="6" t="str">
        <f aca="false">IF(F832=0,"NOT FOUND",INDEX('All Song Rankings'!$D:$D,F832))</f>
        <v>Shayne</v>
      </c>
      <c r="J832" s="7" t="str">
        <f aca="false">IF(F832=0,"NOT FOUND",IF(C832=I832,"SELF-VOTE",IF(COUNTIF($K:$K,K832)&gt;1,"DUPLICATE","OK")))</f>
        <v>OK</v>
      </c>
      <c r="K832" s="6" t="str">
        <f aca="false">A832&amp;"|"&amp;B832&amp;"|"&amp;C832&amp;"|"&amp;D832</f>
        <v>2|4|Grace|spotify:track:19zHZS1ZVXUVFuOGWbIJ0A</v>
      </c>
    </row>
    <row r="833" customFormat="false" ht="15" hidden="false" customHeight="false" outlineLevel="0" collapsed="false">
      <c r="A833" s="5" t="n">
        <v>2</v>
      </c>
      <c r="B833" s="5" t="n">
        <v>4</v>
      </c>
      <c r="C833" s="5" t="s">
        <v>382</v>
      </c>
      <c r="D833" s="5" t="s">
        <v>524</v>
      </c>
      <c r="E833" s="5" t="n">
        <v>2</v>
      </c>
      <c r="F833" s="6" t="n">
        <f aca="false">IFERROR(MATCH(A833&amp;"|"&amp;B833&amp;"|"&amp;D833,'All Song Rankings'!$T:$T,0),0)</f>
        <v>138</v>
      </c>
      <c r="G833" s="6" t="str">
        <f aca="false">IF(F833=0,"NOT FOUND",INDEX('All Song Rankings'!$A:$A,F833))</f>
        <v>Hide and Seek</v>
      </c>
      <c r="H833" s="6" t="str">
        <f aca="false">IF(F833=0,"NOT FOUND",INDEX('All Song Rankings'!$B:$B,F833))</f>
        <v>Imogen Heap</v>
      </c>
      <c r="I833" s="6" t="str">
        <f aca="false">IF(F833=0,"NOT FOUND",INDEX('All Song Rankings'!$D:$D,F833))</f>
        <v>Matt</v>
      </c>
      <c r="J833" s="7" t="str">
        <f aca="false">IF(F833=0,"NOT FOUND",IF(C833=I833,"SELF-VOTE",IF(COUNTIF($K:$K,K833)&gt;1,"DUPLICATE","OK")))</f>
        <v>OK</v>
      </c>
      <c r="K833" s="6" t="str">
        <f aca="false">A833&amp;"|"&amp;B833&amp;"|"&amp;C833&amp;"|"&amp;D833</f>
        <v>2|4|Grace|spotify:track:2tej1KSqNuxwywIpY1rDRc</v>
      </c>
    </row>
    <row r="834" customFormat="false" ht="15" hidden="false" customHeight="false" outlineLevel="0" collapsed="false">
      <c r="A834" s="5" t="n">
        <v>2</v>
      </c>
      <c r="B834" s="5" t="n">
        <v>4</v>
      </c>
      <c r="C834" s="5" t="s">
        <v>382</v>
      </c>
      <c r="D834" s="5" t="s">
        <v>512</v>
      </c>
      <c r="E834" s="5" t="n">
        <v>1</v>
      </c>
      <c r="F834" s="6" t="n">
        <f aca="false">IFERROR(MATCH(A834&amp;"|"&amp;B834&amp;"|"&amp;D834,'All Song Rankings'!$T:$T,0),0)</f>
        <v>134</v>
      </c>
      <c r="G834" s="6" t="str">
        <f aca="false">IF(F834=0,"NOT FOUND",INDEX('All Song Rankings'!$A:$A,F834))</f>
        <v>Midnight</v>
      </c>
      <c r="H834" s="6" t="str">
        <f aca="false">IF(F834=0,"NOT FOUND",INDEX('All Song Rankings'!$B:$B,F834))</f>
        <v>Coldplay</v>
      </c>
      <c r="I834" s="6" t="str">
        <f aca="false">IF(F834=0,"NOT FOUND",INDEX('All Song Rankings'!$D:$D,F834))</f>
        <v>Logan</v>
      </c>
      <c r="J834" s="7" t="str">
        <f aca="false">IF(F834=0,"NOT FOUND",IF(C834=I834,"SELF-VOTE",IF(COUNTIF($K:$K,K834)&gt;1,"DUPLICATE","OK")))</f>
        <v>OK</v>
      </c>
      <c r="K834" s="6" t="str">
        <f aca="false">A834&amp;"|"&amp;B834&amp;"|"&amp;C834&amp;"|"&amp;D834</f>
        <v>2|4|Grace|spotify:track:4GKk1uNzpxIptBuaY97Dkj</v>
      </c>
    </row>
    <row r="835" customFormat="false" ht="15" hidden="false" customHeight="false" outlineLevel="0" collapsed="false">
      <c r="A835" s="5" t="n">
        <v>2</v>
      </c>
      <c r="B835" s="5" t="n">
        <v>4</v>
      </c>
      <c r="C835" s="5" t="s">
        <v>382</v>
      </c>
      <c r="D835" s="5" t="s">
        <v>521</v>
      </c>
      <c r="E835" s="5" t="n">
        <v>1</v>
      </c>
      <c r="F835" s="6" t="n">
        <f aca="false">IFERROR(MATCH(A835&amp;"|"&amp;B835&amp;"|"&amp;D835,'All Song Rankings'!$T:$T,0),0)</f>
        <v>137</v>
      </c>
      <c r="G835" s="6" t="str">
        <f aca="false">IF(F835=0,"NOT FOUND",INDEX('All Song Rankings'!$A:$A,F835))</f>
        <v>E.T.</v>
      </c>
      <c r="H835" s="6" t="str">
        <f aca="false">IF(F835=0,"NOT FOUND",INDEX('All Song Rankings'!$B:$B,F835))</f>
        <v>Katy Perry</v>
      </c>
      <c r="I835" s="6" t="str">
        <f aca="false">IF(F835=0,"NOT FOUND",INDEX('All Song Rankings'!$D:$D,F835))</f>
        <v>Maryann</v>
      </c>
      <c r="J835" s="7" t="str">
        <f aca="false">IF(F835=0,"NOT FOUND",IF(C835=I835,"SELF-VOTE",IF(COUNTIF($K:$K,K835)&gt;1,"DUPLICATE","OK")))</f>
        <v>OK</v>
      </c>
      <c r="K835" s="6" t="str">
        <f aca="false">A835&amp;"|"&amp;B835&amp;"|"&amp;C835&amp;"|"&amp;D835</f>
        <v>2|4|Grace|spotify:track:4z8ssgZfs5TzKiO8HaGWXO</v>
      </c>
    </row>
    <row r="836" customFormat="false" ht="15" hidden="false" customHeight="false" outlineLevel="0" collapsed="false">
      <c r="A836" s="5" t="n">
        <v>2</v>
      </c>
      <c r="B836" s="5" t="n">
        <v>4</v>
      </c>
      <c r="C836" s="5" t="s">
        <v>382</v>
      </c>
      <c r="D836" s="5" t="s">
        <v>503</v>
      </c>
      <c r="E836" s="5" t="n">
        <v>1</v>
      </c>
      <c r="F836" s="6" t="n">
        <f aca="false">IFERROR(MATCH(A836&amp;"|"&amp;B836&amp;"|"&amp;D836,'All Song Rankings'!$T:$T,0),0)</f>
        <v>131</v>
      </c>
      <c r="G836" s="6" t="str">
        <f aca="false">IF(F836=0,"NOT FOUND",INDEX('All Song Rankings'!$A:$A,F836))</f>
        <v>Robot Rock</v>
      </c>
      <c r="H836" s="6" t="str">
        <f aca="false">IF(F836=0,"NOT FOUND",INDEX('All Song Rankings'!$B:$B,F836))</f>
        <v>Daft Punk</v>
      </c>
      <c r="I836" s="6" t="str">
        <f aca="false">IF(F836=0,"NOT FOUND",INDEX('All Song Rankings'!$D:$D,F836))</f>
        <v>Scott</v>
      </c>
      <c r="J836" s="7" t="str">
        <f aca="false">IF(F836=0,"NOT FOUND",IF(C836=I836,"SELF-VOTE",IF(COUNTIF($K:$K,K836)&gt;1,"DUPLICATE","OK")))</f>
        <v>OK</v>
      </c>
      <c r="K836" s="6" t="str">
        <f aca="false">A836&amp;"|"&amp;B836&amp;"|"&amp;C836&amp;"|"&amp;D836</f>
        <v>2|4|Grace|spotify:track:4zu9wo2FXoBSsKjO6tRB3R</v>
      </c>
    </row>
    <row r="837" customFormat="false" ht="15" hidden="false" customHeight="false" outlineLevel="0" collapsed="false">
      <c r="A837" s="5" t="n">
        <v>2</v>
      </c>
      <c r="B837" s="5" t="n">
        <v>4</v>
      </c>
      <c r="C837" s="5" t="s">
        <v>382</v>
      </c>
      <c r="D837" s="5" t="s">
        <v>533</v>
      </c>
      <c r="E837" s="5" t="n">
        <v>1</v>
      </c>
      <c r="F837" s="6" t="n">
        <f aca="false">IFERROR(MATCH(A837&amp;"|"&amp;B837&amp;"|"&amp;D837,'All Song Rankings'!$T:$T,0),0)</f>
        <v>141</v>
      </c>
      <c r="G837" s="6" t="str">
        <f aca="false">IF(F837=0,"NOT FOUND",INDEX('All Song Rankings'!$A:$A,F837))</f>
        <v>Cornfield Chase</v>
      </c>
      <c r="H837" s="6" t="str">
        <f aca="false">IF(F837=0,"NOT FOUND",INDEX('All Song Rankings'!$B:$B,F837))</f>
        <v>Hans Zimmer</v>
      </c>
      <c r="I837" s="6" t="str">
        <f aca="false">IF(F837=0,"NOT FOUND",INDEX('All Song Rankings'!$D:$D,F837))</f>
        <v>Anya</v>
      </c>
      <c r="J837" s="7" t="str">
        <f aca="false">IF(F837=0,"NOT FOUND",IF(C837=I837,"SELF-VOTE",IF(COUNTIF($K:$K,K837)&gt;1,"DUPLICATE","OK")))</f>
        <v>OK</v>
      </c>
      <c r="K837" s="6" t="str">
        <f aca="false">A837&amp;"|"&amp;B837&amp;"|"&amp;C837&amp;"|"&amp;D837</f>
        <v>2|4|Grace|spotify:track:6pWgRkpqVfxnj3WuIcJ7WP</v>
      </c>
    </row>
    <row r="838" customFormat="false" ht="15" hidden="false" customHeight="false" outlineLevel="0" collapsed="false">
      <c r="A838" s="5" t="n">
        <v>2</v>
      </c>
      <c r="B838" s="5" t="n">
        <v>4</v>
      </c>
      <c r="C838" s="5" t="s">
        <v>85</v>
      </c>
      <c r="D838" s="5" t="s">
        <v>515</v>
      </c>
      <c r="E838" s="5" t="n">
        <v>1</v>
      </c>
      <c r="F838" s="6" t="n">
        <f aca="false">IFERROR(MATCH(A838&amp;"|"&amp;B838&amp;"|"&amp;D838,'All Song Rankings'!$T:$T,0),0)</f>
        <v>135</v>
      </c>
      <c r="G838" s="6" t="str">
        <f aca="false">IF(F838=0,"NOT FOUND",INDEX('All Song Rankings'!$A:$A,F838))</f>
        <v>Moon Car</v>
      </c>
      <c r="H838" s="6" t="str">
        <f aca="false">IF(F838=0,"NOT FOUND",INDEX('All Song Rankings'!$B:$B,F838))</f>
        <v>Big Dopes</v>
      </c>
      <c r="I838" s="6" t="str">
        <f aca="false">IF(F838=0,"NOT FOUND",INDEX('All Song Rankings'!$D:$D,F838))</f>
        <v>Shayne</v>
      </c>
      <c r="J838" s="7" t="str">
        <f aca="false">IF(F838=0,"NOT FOUND",IF(C838=I838,"SELF-VOTE",IF(COUNTIF($K:$K,K838)&gt;1,"DUPLICATE","OK")))</f>
        <v>OK</v>
      </c>
      <c r="K838" s="6" t="str">
        <f aca="false">A838&amp;"|"&amp;B838&amp;"|"&amp;C838&amp;"|"&amp;D838</f>
        <v>2|4|Kelsey|spotify:track:19zHZS1ZVXUVFuOGWbIJ0A</v>
      </c>
    </row>
    <row r="839" customFormat="false" ht="15" hidden="false" customHeight="false" outlineLevel="0" collapsed="false">
      <c r="A839" s="5" t="n">
        <v>2</v>
      </c>
      <c r="B839" s="5" t="n">
        <v>4</v>
      </c>
      <c r="C839" s="5" t="s">
        <v>85</v>
      </c>
      <c r="D839" s="5" t="s">
        <v>501</v>
      </c>
      <c r="E839" s="5" t="n">
        <v>3</v>
      </c>
      <c r="F839" s="6" t="n">
        <f aca="false">IFERROR(MATCH(A839&amp;"|"&amp;B839&amp;"|"&amp;D839,'All Song Rankings'!$T:$T,0),0)</f>
        <v>130</v>
      </c>
      <c r="G839" s="6" t="str">
        <f aca="false">IF(F839=0,"NOT FOUND",INDEX('All Song Rankings'!$A:$A,F839))</f>
        <v>As Alive As You Need Me To Be</v>
      </c>
      <c r="H839" s="6" t="str">
        <f aca="false">IF(F839=0,"NOT FOUND",INDEX('All Song Rankings'!$B:$B,F839))</f>
        <v>Nine Inch Nails</v>
      </c>
      <c r="I839" s="6" t="str">
        <f aca="false">IF(F839=0,"NOT FOUND",INDEX('All Song Rankings'!$D:$D,F839))</f>
        <v>Kristen</v>
      </c>
      <c r="J839" s="7" t="str">
        <f aca="false">IF(F839=0,"NOT FOUND",IF(C839=I839,"SELF-VOTE",IF(COUNTIF($K:$K,K839)&gt;1,"DUPLICATE","OK")))</f>
        <v>OK</v>
      </c>
      <c r="K839" s="6" t="str">
        <f aca="false">A839&amp;"|"&amp;B839&amp;"|"&amp;C839&amp;"|"&amp;D839</f>
        <v>2|4|Kelsey|spotify:track:1xsEHo7mtGZLEG94vFX11z</v>
      </c>
    </row>
    <row r="840" customFormat="false" ht="15" hidden="false" customHeight="false" outlineLevel="0" collapsed="false">
      <c r="A840" s="5" t="n">
        <v>2</v>
      </c>
      <c r="B840" s="5" t="n">
        <v>4</v>
      </c>
      <c r="C840" s="5" t="s">
        <v>85</v>
      </c>
      <c r="D840" s="5" t="s">
        <v>530</v>
      </c>
      <c r="E840" s="5" t="n">
        <v>1</v>
      </c>
      <c r="F840" s="6" t="n">
        <f aca="false">IFERROR(MATCH(A840&amp;"|"&amp;B840&amp;"|"&amp;D840,'All Song Rankings'!$T:$T,0),0)</f>
        <v>140</v>
      </c>
      <c r="G840" s="6" t="str">
        <f aca="false">IF(F840=0,"NOT FOUND",INDEX('All Song Rankings'!$A:$A,F840))</f>
        <v>Alone</v>
      </c>
      <c r="H840" s="6" t="str">
        <f aca="false">IF(F840=0,"NOT FOUND",INDEX('All Song Rankings'!$B:$B,F840))</f>
        <v>Alan Walker</v>
      </c>
      <c r="I840" s="6" t="str">
        <f aca="false">IF(F840=0,"NOT FOUND",INDEX('All Song Rankings'!$D:$D,F840))</f>
        <v>Merita</v>
      </c>
      <c r="J840" s="7" t="str">
        <f aca="false">IF(F840=0,"NOT FOUND",IF(C840=I840,"SELF-VOTE",IF(COUNTIF($K:$K,K840)&gt;1,"DUPLICATE","OK")))</f>
        <v>OK</v>
      </c>
      <c r="K840" s="6" t="str">
        <f aca="false">A840&amp;"|"&amp;B840&amp;"|"&amp;C840&amp;"|"&amp;D840</f>
        <v>2|4|Kelsey|spotify:track:3LlmKSHR3Rs0Y3KHQLAYDk</v>
      </c>
    </row>
    <row r="841" customFormat="false" ht="15" hidden="false" customHeight="false" outlineLevel="0" collapsed="false">
      <c r="A841" s="5" t="n">
        <v>2</v>
      </c>
      <c r="B841" s="5" t="n">
        <v>4</v>
      </c>
      <c r="C841" s="5" t="s">
        <v>85</v>
      </c>
      <c r="D841" s="5" t="s">
        <v>507</v>
      </c>
      <c r="E841" s="5" t="n">
        <v>1</v>
      </c>
      <c r="F841" s="6" t="n">
        <f aca="false">IFERROR(MATCH(A841&amp;"|"&amp;B841&amp;"|"&amp;D841,'All Song Rankings'!$T:$T,0),0)</f>
        <v>132</v>
      </c>
      <c r="G841" s="6" t="str">
        <f aca="false">IF(F841=0,"NOT FOUND",INDEX('All Song Rankings'!$A:$A,F841))</f>
        <v>2815 A.D.</v>
      </c>
      <c r="H841" s="6" t="str">
        <f aca="false">IF(F841=0,"NOT FOUND",INDEX('All Song Rankings'!$B:$B,F841))</f>
        <v>Thomas Newman</v>
      </c>
      <c r="I841" s="6" t="str">
        <f aca="false">IF(F841=0,"NOT FOUND",INDEX('All Song Rankings'!$D:$D,F841))</f>
        <v>Grace</v>
      </c>
      <c r="J841" s="7" t="str">
        <f aca="false">IF(F841=0,"NOT FOUND",IF(C841=I841,"SELF-VOTE",IF(COUNTIF($K:$K,K841)&gt;1,"DUPLICATE","OK")))</f>
        <v>OK</v>
      </c>
      <c r="K841" s="6" t="str">
        <f aca="false">A841&amp;"|"&amp;B841&amp;"|"&amp;C841&amp;"|"&amp;D841</f>
        <v>2|4|Kelsey|spotify:track:3UjaW5GLMlggBYYrjJhFis</v>
      </c>
    </row>
    <row r="842" customFormat="false" ht="15" hidden="false" customHeight="false" outlineLevel="0" collapsed="false">
      <c r="A842" s="5" t="n">
        <v>2</v>
      </c>
      <c r="B842" s="5" t="n">
        <v>4</v>
      </c>
      <c r="C842" s="5" t="s">
        <v>85</v>
      </c>
      <c r="D842" s="5" t="s">
        <v>521</v>
      </c>
      <c r="E842" s="5" t="n">
        <v>2</v>
      </c>
      <c r="F842" s="6" t="n">
        <f aca="false">IFERROR(MATCH(A842&amp;"|"&amp;B842&amp;"|"&amp;D842,'All Song Rankings'!$T:$T,0),0)</f>
        <v>137</v>
      </c>
      <c r="G842" s="6" t="str">
        <f aca="false">IF(F842=0,"NOT FOUND",INDEX('All Song Rankings'!$A:$A,F842))</f>
        <v>E.T.</v>
      </c>
      <c r="H842" s="6" t="str">
        <f aca="false">IF(F842=0,"NOT FOUND",INDEX('All Song Rankings'!$B:$B,F842))</f>
        <v>Katy Perry</v>
      </c>
      <c r="I842" s="6" t="str">
        <f aca="false">IF(F842=0,"NOT FOUND",INDEX('All Song Rankings'!$D:$D,F842))</f>
        <v>Maryann</v>
      </c>
      <c r="J842" s="7" t="str">
        <f aca="false">IF(F842=0,"NOT FOUND",IF(C842=I842,"SELF-VOTE",IF(COUNTIF($K:$K,K842)&gt;1,"DUPLICATE","OK")))</f>
        <v>OK</v>
      </c>
      <c r="K842" s="6" t="str">
        <f aca="false">A842&amp;"|"&amp;B842&amp;"|"&amp;C842&amp;"|"&amp;D842</f>
        <v>2|4|Kelsey|spotify:track:4z8ssgZfs5TzKiO8HaGWXO</v>
      </c>
    </row>
    <row r="843" customFormat="false" ht="15" hidden="false" customHeight="false" outlineLevel="0" collapsed="false">
      <c r="A843" s="5" t="n">
        <v>2</v>
      </c>
      <c r="B843" s="5" t="n">
        <v>4</v>
      </c>
      <c r="C843" s="5" t="s">
        <v>85</v>
      </c>
      <c r="D843" s="5" t="s">
        <v>503</v>
      </c>
      <c r="E843" s="5" t="n">
        <v>1</v>
      </c>
      <c r="F843" s="6" t="n">
        <f aca="false">IFERROR(MATCH(A843&amp;"|"&amp;B843&amp;"|"&amp;D843,'All Song Rankings'!$T:$T,0),0)</f>
        <v>131</v>
      </c>
      <c r="G843" s="6" t="str">
        <f aca="false">IF(F843=0,"NOT FOUND",INDEX('All Song Rankings'!$A:$A,F843))</f>
        <v>Robot Rock</v>
      </c>
      <c r="H843" s="6" t="str">
        <f aca="false">IF(F843=0,"NOT FOUND",INDEX('All Song Rankings'!$B:$B,F843))</f>
        <v>Daft Punk</v>
      </c>
      <c r="I843" s="6" t="str">
        <f aca="false">IF(F843=0,"NOT FOUND",INDEX('All Song Rankings'!$D:$D,F843))</f>
        <v>Scott</v>
      </c>
      <c r="J843" s="7" t="str">
        <f aca="false">IF(F843=0,"NOT FOUND",IF(C843=I843,"SELF-VOTE",IF(COUNTIF($K:$K,K843)&gt;1,"DUPLICATE","OK")))</f>
        <v>OK</v>
      </c>
      <c r="K843" s="6" t="str">
        <f aca="false">A843&amp;"|"&amp;B843&amp;"|"&amp;C843&amp;"|"&amp;D843</f>
        <v>2|4|Kelsey|spotify:track:4zu9wo2FXoBSsKjO6tRB3R</v>
      </c>
    </row>
    <row r="844" customFormat="false" ht="15" hidden="false" customHeight="false" outlineLevel="0" collapsed="false">
      <c r="A844" s="5" t="n">
        <v>2</v>
      </c>
      <c r="B844" s="5" t="n">
        <v>4</v>
      </c>
      <c r="C844" s="5" t="s">
        <v>85</v>
      </c>
      <c r="D844" s="5" t="s">
        <v>539</v>
      </c>
      <c r="E844" s="5" t="n">
        <v>1</v>
      </c>
      <c r="F844" s="6" t="n">
        <f aca="false">IFERROR(MATCH(A844&amp;"|"&amp;B844&amp;"|"&amp;D844,'All Song Rankings'!$T:$T,0),0)</f>
        <v>143</v>
      </c>
      <c r="G844" s="6" t="str">
        <f aca="false">IF(F844=0,"NOT FOUND",INDEX('All Song Rankings'!$A:$A,F844))</f>
        <v>Turn the Lights Off (feat. Jon) - Radio Edit</v>
      </c>
      <c r="H844" s="6" t="str">
        <f aca="false">IF(F844=0,"NOT FOUND",INDEX('All Song Rankings'!$B:$B,F844))</f>
        <v>Kato</v>
      </c>
      <c r="I844" s="6" t="str">
        <f aca="false">IF(F844=0,"NOT FOUND",INDEX('All Song Rankings'!$D:$D,F844))</f>
        <v>Makenzie</v>
      </c>
      <c r="J844" s="7" t="str">
        <f aca="false">IF(F844=0,"NOT FOUND",IF(C844=I844,"SELF-VOTE",IF(COUNTIF($K:$K,K844)&gt;1,"DUPLICATE","OK")))</f>
        <v>OK</v>
      </c>
      <c r="K844" s="6" t="str">
        <f aca="false">A844&amp;"|"&amp;B844&amp;"|"&amp;C844&amp;"|"&amp;D844</f>
        <v>2|4|Kelsey|spotify:track:7apywiCuMzvSZIa0SKeH99</v>
      </c>
    </row>
    <row r="845" customFormat="false" ht="15" hidden="false" customHeight="false" outlineLevel="0" collapsed="false">
      <c r="A845" s="5" t="n">
        <v>2</v>
      </c>
      <c r="B845" s="5" t="n">
        <v>4</v>
      </c>
      <c r="C845" s="5" t="s">
        <v>106</v>
      </c>
      <c r="D845" s="5" t="s">
        <v>518</v>
      </c>
      <c r="E845" s="5" t="n">
        <v>1</v>
      </c>
      <c r="F845" s="6" t="n">
        <f aca="false">IFERROR(MATCH(A845&amp;"|"&amp;B845&amp;"|"&amp;D845,'All Song Rankings'!$T:$T,0),0)</f>
        <v>136</v>
      </c>
      <c r="G845" s="6" t="str">
        <f aca="false">IF(F845=0,"NOT FOUND",INDEX('All Song Rankings'!$A:$A,F845))</f>
        <v>Porcelain</v>
      </c>
      <c r="H845" s="6" t="str">
        <f aca="false">IF(F845=0,"NOT FOUND",INDEX('All Song Rankings'!$B:$B,F845))</f>
        <v>Moby</v>
      </c>
      <c r="I845" s="6" t="str">
        <f aca="false">IF(F845=0,"NOT FOUND",INDEX('All Song Rankings'!$D:$D,F845))</f>
        <v>Stephanie</v>
      </c>
      <c r="J845" s="7" t="str">
        <f aca="false">IF(F845=0,"NOT FOUND",IF(C845=I845,"SELF-VOTE",IF(COUNTIF($K:$K,K845)&gt;1,"DUPLICATE","OK")))</f>
        <v>OK</v>
      </c>
      <c r="K845" s="6" t="str">
        <f aca="false">A845&amp;"|"&amp;B845&amp;"|"&amp;C845&amp;"|"&amp;D845</f>
        <v>2|4|Kristen|spotify:track:19vUJwIaPAgDJyGZMBI9MG</v>
      </c>
    </row>
    <row r="846" customFormat="false" ht="15" hidden="false" customHeight="false" outlineLevel="0" collapsed="false">
      <c r="A846" s="5" t="n">
        <v>2</v>
      </c>
      <c r="B846" s="5" t="n">
        <v>4</v>
      </c>
      <c r="C846" s="5" t="s">
        <v>106</v>
      </c>
      <c r="D846" s="5" t="s">
        <v>524</v>
      </c>
      <c r="E846" s="5" t="n">
        <v>1</v>
      </c>
      <c r="F846" s="6" t="n">
        <f aca="false">IFERROR(MATCH(A846&amp;"|"&amp;B846&amp;"|"&amp;D846,'All Song Rankings'!$T:$T,0),0)</f>
        <v>138</v>
      </c>
      <c r="G846" s="6" t="str">
        <f aca="false">IF(F846=0,"NOT FOUND",INDEX('All Song Rankings'!$A:$A,F846))</f>
        <v>Hide and Seek</v>
      </c>
      <c r="H846" s="6" t="str">
        <f aca="false">IF(F846=0,"NOT FOUND",INDEX('All Song Rankings'!$B:$B,F846))</f>
        <v>Imogen Heap</v>
      </c>
      <c r="I846" s="6" t="str">
        <f aca="false">IF(F846=0,"NOT FOUND",INDEX('All Song Rankings'!$D:$D,F846))</f>
        <v>Matt</v>
      </c>
      <c r="J846" s="7" t="str">
        <f aca="false">IF(F846=0,"NOT FOUND",IF(C846=I846,"SELF-VOTE",IF(COUNTIF($K:$K,K846)&gt;1,"DUPLICATE","OK")))</f>
        <v>OK</v>
      </c>
      <c r="K846" s="6" t="str">
        <f aca="false">A846&amp;"|"&amp;B846&amp;"|"&amp;C846&amp;"|"&amp;D846</f>
        <v>2|4|Kristen|spotify:track:2tej1KSqNuxwywIpY1rDRc</v>
      </c>
    </row>
    <row r="847" customFormat="false" ht="15" hidden="false" customHeight="false" outlineLevel="0" collapsed="false">
      <c r="A847" s="5" t="n">
        <v>2</v>
      </c>
      <c r="B847" s="5" t="n">
        <v>4</v>
      </c>
      <c r="C847" s="5" t="s">
        <v>106</v>
      </c>
      <c r="D847" s="5" t="s">
        <v>507</v>
      </c>
      <c r="E847" s="5" t="n">
        <v>2</v>
      </c>
      <c r="F847" s="6" t="n">
        <f aca="false">IFERROR(MATCH(A847&amp;"|"&amp;B847&amp;"|"&amp;D847,'All Song Rankings'!$T:$T,0),0)</f>
        <v>132</v>
      </c>
      <c r="G847" s="6" t="str">
        <f aca="false">IF(F847=0,"NOT FOUND",INDEX('All Song Rankings'!$A:$A,F847))</f>
        <v>2815 A.D.</v>
      </c>
      <c r="H847" s="6" t="str">
        <f aca="false">IF(F847=0,"NOT FOUND",INDEX('All Song Rankings'!$B:$B,F847))</f>
        <v>Thomas Newman</v>
      </c>
      <c r="I847" s="6" t="str">
        <f aca="false">IF(F847=0,"NOT FOUND",INDEX('All Song Rankings'!$D:$D,F847))</f>
        <v>Grace</v>
      </c>
      <c r="J847" s="7" t="str">
        <f aca="false">IF(F847=0,"NOT FOUND",IF(C847=I847,"SELF-VOTE",IF(COUNTIF($K:$K,K847)&gt;1,"DUPLICATE","OK")))</f>
        <v>OK</v>
      </c>
      <c r="K847" s="6" t="str">
        <f aca="false">A847&amp;"|"&amp;B847&amp;"|"&amp;C847&amp;"|"&amp;D847</f>
        <v>2|4|Kristen|spotify:track:3UjaW5GLMlggBYYrjJhFis</v>
      </c>
    </row>
    <row r="848" customFormat="false" ht="15" hidden="false" customHeight="false" outlineLevel="0" collapsed="false">
      <c r="A848" s="5" t="n">
        <v>2</v>
      </c>
      <c r="B848" s="5" t="n">
        <v>4</v>
      </c>
      <c r="C848" s="5" t="s">
        <v>106</v>
      </c>
      <c r="D848" s="5" t="s">
        <v>536</v>
      </c>
      <c r="E848" s="5" t="n">
        <v>1</v>
      </c>
      <c r="F848" s="6" t="n">
        <f aca="false">IFERROR(MATCH(A848&amp;"|"&amp;B848&amp;"|"&amp;D848,'All Song Rankings'!$T:$T,0),0)</f>
        <v>142</v>
      </c>
      <c r="G848" s="6" t="str">
        <f aca="false">IF(F848=0,"NOT FOUND",INDEX('All Song Rankings'!$A:$A,F848))</f>
        <v>Rocket Man (I Think It's Going To Be a Long, Long Time)</v>
      </c>
      <c r="H848" s="6" t="str">
        <f aca="false">IF(F848=0,"NOT FOUND",INDEX('All Song Rankings'!$B:$B,F848))</f>
        <v>Elton John</v>
      </c>
      <c r="I848" s="6" t="str">
        <f aca="false">IF(F848=0,"NOT FOUND",INDEX('All Song Rankings'!$D:$D,F848))</f>
        <v>Nicole</v>
      </c>
      <c r="J848" s="7" t="str">
        <f aca="false">IF(F848=0,"NOT FOUND",IF(C848=I848,"SELF-VOTE",IF(COUNTIF($K:$K,K848)&gt;1,"DUPLICATE","OK")))</f>
        <v>OK</v>
      </c>
      <c r="K848" s="6" t="str">
        <f aca="false">A848&amp;"|"&amp;B848&amp;"|"&amp;C848&amp;"|"&amp;D848</f>
        <v>2|4|Kristen|spotify:track:3gdewACMIVMEWVbyb8O9sY</v>
      </c>
    </row>
    <row r="849" customFormat="false" ht="15" hidden="false" customHeight="false" outlineLevel="0" collapsed="false">
      <c r="A849" s="5" t="n">
        <v>2</v>
      </c>
      <c r="B849" s="5" t="n">
        <v>4</v>
      </c>
      <c r="C849" s="5" t="s">
        <v>106</v>
      </c>
      <c r="D849" s="5" t="s">
        <v>503</v>
      </c>
      <c r="E849" s="5" t="n">
        <v>2</v>
      </c>
      <c r="F849" s="6" t="n">
        <f aca="false">IFERROR(MATCH(A849&amp;"|"&amp;B849&amp;"|"&amp;D849,'All Song Rankings'!$T:$T,0),0)</f>
        <v>131</v>
      </c>
      <c r="G849" s="6" t="str">
        <f aca="false">IF(F849=0,"NOT FOUND",INDEX('All Song Rankings'!$A:$A,F849))</f>
        <v>Robot Rock</v>
      </c>
      <c r="H849" s="6" t="str">
        <f aca="false">IF(F849=0,"NOT FOUND",INDEX('All Song Rankings'!$B:$B,F849))</f>
        <v>Daft Punk</v>
      </c>
      <c r="I849" s="6" t="str">
        <f aca="false">IF(F849=0,"NOT FOUND",INDEX('All Song Rankings'!$D:$D,F849))</f>
        <v>Scott</v>
      </c>
      <c r="J849" s="7" t="str">
        <f aca="false">IF(F849=0,"NOT FOUND",IF(C849=I849,"SELF-VOTE",IF(COUNTIF($K:$K,K849)&gt;1,"DUPLICATE","OK")))</f>
        <v>OK</v>
      </c>
      <c r="K849" s="6" t="str">
        <f aca="false">A849&amp;"|"&amp;B849&amp;"|"&amp;C849&amp;"|"&amp;D849</f>
        <v>2|4|Kristen|spotify:track:4zu9wo2FXoBSsKjO6tRB3R</v>
      </c>
    </row>
    <row r="850" customFormat="false" ht="15" hidden="false" customHeight="false" outlineLevel="0" collapsed="false">
      <c r="A850" s="5" t="n">
        <v>2</v>
      </c>
      <c r="B850" s="5" t="n">
        <v>4</v>
      </c>
      <c r="C850" s="5" t="s">
        <v>106</v>
      </c>
      <c r="D850" s="5" t="s">
        <v>533</v>
      </c>
      <c r="E850" s="5" t="n">
        <v>2</v>
      </c>
      <c r="F850" s="6" t="n">
        <f aca="false">IFERROR(MATCH(A850&amp;"|"&amp;B850&amp;"|"&amp;D850,'All Song Rankings'!$T:$T,0),0)</f>
        <v>141</v>
      </c>
      <c r="G850" s="6" t="str">
        <f aca="false">IF(F850=0,"NOT FOUND",INDEX('All Song Rankings'!$A:$A,F850))</f>
        <v>Cornfield Chase</v>
      </c>
      <c r="H850" s="6" t="str">
        <f aca="false">IF(F850=0,"NOT FOUND",INDEX('All Song Rankings'!$B:$B,F850))</f>
        <v>Hans Zimmer</v>
      </c>
      <c r="I850" s="6" t="str">
        <f aca="false">IF(F850=0,"NOT FOUND",INDEX('All Song Rankings'!$D:$D,F850))</f>
        <v>Anya</v>
      </c>
      <c r="J850" s="7" t="str">
        <f aca="false">IF(F850=0,"NOT FOUND",IF(C850=I850,"SELF-VOTE",IF(COUNTIF($K:$K,K850)&gt;1,"DUPLICATE","OK")))</f>
        <v>OK</v>
      </c>
      <c r="K850" s="6" t="str">
        <f aca="false">A850&amp;"|"&amp;B850&amp;"|"&amp;C850&amp;"|"&amp;D850</f>
        <v>2|4|Kristen|spotify:track:6pWgRkpqVfxnj3WuIcJ7WP</v>
      </c>
    </row>
    <row r="851" customFormat="false" ht="15" hidden="false" customHeight="false" outlineLevel="0" collapsed="false">
      <c r="A851" s="5" t="n">
        <v>2</v>
      </c>
      <c r="B851" s="5" t="n">
        <v>4</v>
      </c>
      <c r="C851" s="5" t="s">
        <v>106</v>
      </c>
      <c r="D851" s="5" t="s">
        <v>510</v>
      </c>
      <c r="E851" s="5" t="n">
        <v>1</v>
      </c>
      <c r="F851" s="6" t="n">
        <f aca="false">IFERROR(MATCH(A851&amp;"|"&amp;B851&amp;"|"&amp;D851,'All Song Rankings'!$T:$T,0),0)</f>
        <v>133</v>
      </c>
      <c r="G851" s="6" t="str">
        <f aca="false">IF(F851=0,"NOT FOUND",INDEX('All Song Rankings'!$A:$A,F851))</f>
        <v>Blue (Da Ba Dee) - Gabry Ponte Video Edit</v>
      </c>
      <c r="H851" s="6" t="str">
        <f aca="false">IF(F851=0,"NOT FOUND",INDEX('All Song Rankings'!$B:$B,F851))</f>
        <v>Eiffel 65</v>
      </c>
      <c r="I851" s="6" t="str">
        <f aca="false">IF(F851=0,"NOT FOUND",INDEX('All Song Rankings'!$D:$D,F851))</f>
        <v>Kelsey</v>
      </c>
      <c r="J851" s="7" t="str">
        <f aca="false">IF(F851=0,"NOT FOUND",IF(C851=I851,"SELF-VOTE",IF(COUNTIF($K:$K,K851)&gt;1,"DUPLICATE","OK")))</f>
        <v>OK</v>
      </c>
      <c r="K851" s="6" t="str">
        <f aca="false">A851&amp;"|"&amp;B851&amp;"|"&amp;C851&amp;"|"&amp;D851</f>
        <v>2|4|Kristen|spotify:track:7lMIJ4EFWRVoAIPDpeGyM3</v>
      </c>
    </row>
    <row r="852" customFormat="false" ht="15" hidden="false" customHeight="false" outlineLevel="0" collapsed="false">
      <c r="A852" s="5" t="n">
        <v>2</v>
      </c>
      <c r="B852" s="5" t="n">
        <v>4</v>
      </c>
      <c r="C852" s="5" t="s">
        <v>119</v>
      </c>
      <c r="D852" s="5" t="s">
        <v>515</v>
      </c>
      <c r="E852" s="5" t="n">
        <v>1</v>
      </c>
      <c r="F852" s="6" t="n">
        <f aca="false">IFERROR(MATCH(A852&amp;"|"&amp;B852&amp;"|"&amp;D852,'All Song Rankings'!$T:$T,0),0)</f>
        <v>135</v>
      </c>
      <c r="G852" s="6" t="str">
        <f aca="false">IF(F852=0,"NOT FOUND",INDEX('All Song Rankings'!$A:$A,F852))</f>
        <v>Moon Car</v>
      </c>
      <c r="H852" s="6" t="str">
        <f aca="false">IF(F852=0,"NOT FOUND",INDEX('All Song Rankings'!$B:$B,F852))</f>
        <v>Big Dopes</v>
      </c>
      <c r="I852" s="6" t="str">
        <f aca="false">IF(F852=0,"NOT FOUND",INDEX('All Song Rankings'!$D:$D,F852))</f>
        <v>Shayne</v>
      </c>
      <c r="J852" s="7" t="str">
        <f aca="false">IF(F852=0,"NOT FOUND",IF(C852=I852,"SELF-VOTE",IF(COUNTIF($K:$K,K852)&gt;1,"DUPLICATE","OK")))</f>
        <v>OK</v>
      </c>
      <c r="K852" s="6" t="str">
        <f aca="false">A852&amp;"|"&amp;B852&amp;"|"&amp;C852&amp;"|"&amp;D852</f>
        <v>2|4|Leah|spotify:track:19zHZS1ZVXUVFuOGWbIJ0A</v>
      </c>
    </row>
    <row r="853" customFormat="false" ht="15" hidden="false" customHeight="false" outlineLevel="0" collapsed="false">
      <c r="A853" s="5" t="n">
        <v>2</v>
      </c>
      <c r="B853" s="5" t="n">
        <v>4</v>
      </c>
      <c r="C853" s="5" t="s">
        <v>119</v>
      </c>
      <c r="D853" s="5" t="s">
        <v>501</v>
      </c>
      <c r="E853" s="5" t="n">
        <v>1</v>
      </c>
      <c r="F853" s="6" t="n">
        <f aca="false">IFERROR(MATCH(A853&amp;"|"&amp;B853&amp;"|"&amp;D853,'All Song Rankings'!$T:$T,0),0)</f>
        <v>130</v>
      </c>
      <c r="G853" s="6" t="str">
        <f aca="false">IF(F853=0,"NOT FOUND",INDEX('All Song Rankings'!$A:$A,F853))</f>
        <v>As Alive As You Need Me To Be</v>
      </c>
      <c r="H853" s="6" t="str">
        <f aca="false">IF(F853=0,"NOT FOUND",INDEX('All Song Rankings'!$B:$B,F853))</f>
        <v>Nine Inch Nails</v>
      </c>
      <c r="I853" s="6" t="str">
        <f aca="false">IF(F853=0,"NOT FOUND",INDEX('All Song Rankings'!$D:$D,F853))</f>
        <v>Kristen</v>
      </c>
      <c r="J853" s="7" t="str">
        <f aca="false">IF(F853=0,"NOT FOUND",IF(C853=I853,"SELF-VOTE",IF(COUNTIF($K:$K,K853)&gt;1,"DUPLICATE","OK")))</f>
        <v>OK</v>
      </c>
      <c r="K853" s="6" t="str">
        <f aca="false">A853&amp;"|"&amp;B853&amp;"|"&amp;C853&amp;"|"&amp;D853</f>
        <v>2|4|Leah|spotify:track:1xsEHo7mtGZLEG94vFX11z</v>
      </c>
    </row>
    <row r="854" customFormat="false" ht="15" hidden="false" customHeight="false" outlineLevel="0" collapsed="false">
      <c r="A854" s="5" t="n">
        <v>2</v>
      </c>
      <c r="B854" s="5" t="n">
        <v>4</v>
      </c>
      <c r="C854" s="5" t="s">
        <v>119</v>
      </c>
      <c r="D854" s="5" t="s">
        <v>524</v>
      </c>
      <c r="E854" s="5" t="n">
        <v>1</v>
      </c>
      <c r="F854" s="6" t="n">
        <f aca="false">IFERROR(MATCH(A854&amp;"|"&amp;B854&amp;"|"&amp;D854,'All Song Rankings'!$T:$T,0),0)</f>
        <v>138</v>
      </c>
      <c r="G854" s="6" t="str">
        <f aca="false">IF(F854=0,"NOT FOUND",INDEX('All Song Rankings'!$A:$A,F854))</f>
        <v>Hide and Seek</v>
      </c>
      <c r="H854" s="6" t="str">
        <f aca="false">IF(F854=0,"NOT FOUND",INDEX('All Song Rankings'!$B:$B,F854))</f>
        <v>Imogen Heap</v>
      </c>
      <c r="I854" s="6" t="str">
        <f aca="false">IF(F854=0,"NOT FOUND",INDEX('All Song Rankings'!$D:$D,F854))</f>
        <v>Matt</v>
      </c>
      <c r="J854" s="7" t="str">
        <f aca="false">IF(F854=0,"NOT FOUND",IF(C854=I854,"SELF-VOTE",IF(COUNTIF($K:$K,K854)&gt;1,"DUPLICATE","OK")))</f>
        <v>OK</v>
      </c>
      <c r="K854" s="6" t="str">
        <f aca="false">A854&amp;"|"&amp;B854&amp;"|"&amp;C854&amp;"|"&amp;D854</f>
        <v>2|4|Leah|spotify:track:2tej1KSqNuxwywIpY1rDRc</v>
      </c>
    </row>
    <row r="855" customFormat="false" ht="15" hidden="false" customHeight="false" outlineLevel="0" collapsed="false">
      <c r="A855" s="5" t="n">
        <v>2</v>
      </c>
      <c r="B855" s="5" t="n">
        <v>4</v>
      </c>
      <c r="C855" s="5" t="s">
        <v>119</v>
      </c>
      <c r="D855" s="5" t="s">
        <v>530</v>
      </c>
      <c r="E855" s="5" t="n">
        <v>1</v>
      </c>
      <c r="F855" s="6" t="n">
        <f aca="false">IFERROR(MATCH(A855&amp;"|"&amp;B855&amp;"|"&amp;D855,'All Song Rankings'!$T:$T,0),0)</f>
        <v>140</v>
      </c>
      <c r="G855" s="6" t="str">
        <f aca="false">IF(F855=0,"NOT FOUND",INDEX('All Song Rankings'!$A:$A,F855))</f>
        <v>Alone</v>
      </c>
      <c r="H855" s="6" t="str">
        <f aca="false">IF(F855=0,"NOT FOUND",INDEX('All Song Rankings'!$B:$B,F855))</f>
        <v>Alan Walker</v>
      </c>
      <c r="I855" s="6" t="str">
        <f aca="false">IF(F855=0,"NOT FOUND",INDEX('All Song Rankings'!$D:$D,F855))</f>
        <v>Merita</v>
      </c>
      <c r="J855" s="7" t="str">
        <f aca="false">IF(F855=0,"NOT FOUND",IF(C855=I855,"SELF-VOTE",IF(COUNTIF($K:$K,K855)&gt;1,"DUPLICATE","OK")))</f>
        <v>OK</v>
      </c>
      <c r="K855" s="6" t="str">
        <f aca="false">A855&amp;"|"&amp;B855&amp;"|"&amp;C855&amp;"|"&amp;D855</f>
        <v>2|4|Leah|spotify:track:3LlmKSHR3Rs0Y3KHQLAYDk</v>
      </c>
    </row>
    <row r="856" customFormat="false" ht="15" hidden="false" customHeight="false" outlineLevel="0" collapsed="false">
      <c r="A856" s="5" t="n">
        <v>2</v>
      </c>
      <c r="B856" s="5" t="n">
        <v>4</v>
      </c>
      <c r="C856" s="5" t="s">
        <v>119</v>
      </c>
      <c r="D856" s="5" t="s">
        <v>507</v>
      </c>
      <c r="E856" s="5" t="n">
        <v>1</v>
      </c>
      <c r="F856" s="6" t="n">
        <f aca="false">IFERROR(MATCH(A856&amp;"|"&amp;B856&amp;"|"&amp;D856,'All Song Rankings'!$T:$T,0),0)</f>
        <v>132</v>
      </c>
      <c r="G856" s="6" t="str">
        <f aca="false">IF(F856=0,"NOT FOUND",INDEX('All Song Rankings'!$A:$A,F856))</f>
        <v>2815 A.D.</v>
      </c>
      <c r="H856" s="6" t="str">
        <f aca="false">IF(F856=0,"NOT FOUND",INDEX('All Song Rankings'!$B:$B,F856))</f>
        <v>Thomas Newman</v>
      </c>
      <c r="I856" s="6" t="str">
        <f aca="false">IF(F856=0,"NOT FOUND",INDEX('All Song Rankings'!$D:$D,F856))</f>
        <v>Grace</v>
      </c>
      <c r="J856" s="7" t="str">
        <f aca="false">IF(F856=0,"NOT FOUND",IF(C856=I856,"SELF-VOTE",IF(COUNTIF($K:$K,K856)&gt;1,"DUPLICATE","OK")))</f>
        <v>OK</v>
      </c>
      <c r="K856" s="6" t="str">
        <f aca="false">A856&amp;"|"&amp;B856&amp;"|"&amp;C856&amp;"|"&amp;D856</f>
        <v>2|4|Leah|spotify:track:3UjaW5GLMlggBYYrjJhFis</v>
      </c>
    </row>
    <row r="857" customFormat="false" ht="15" hidden="false" customHeight="false" outlineLevel="0" collapsed="false">
      <c r="A857" s="5" t="n">
        <v>2</v>
      </c>
      <c r="B857" s="5" t="n">
        <v>4</v>
      </c>
      <c r="C857" s="5" t="s">
        <v>119</v>
      </c>
      <c r="D857" s="5" t="s">
        <v>512</v>
      </c>
      <c r="E857" s="5" t="n">
        <v>1</v>
      </c>
      <c r="F857" s="6" t="n">
        <f aca="false">IFERROR(MATCH(A857&amp;"|"&amp;B857&amp;"|"&amp;D857,'All Song Rankings'!$T:$T,0),0)</f>
        <v>134</v>
      </c>
      <c r="G857" s="6" t="str">
        <f aca="false">IF(F857=0,"NOT FOUND",INDEX('All Song Rankings'!$A:$A,F857))</f>
        <v>Midnight</v>
      </c>
      <c r="H857" s="6" t="str">
        <f aca="false">IF(F857=0,"NOT FOUND",INDEX('All Song Rankings'!$B:$B,F857))</f>
        <v>Coldplay</v>
      </c>
      <c r="I857" s="6" t="str">
        <f aca="false">IF(F857=0,"NOT FOUND",INDEX('All Song Rankings'!$D:$D,F857))</f>
        <v>Logan</v>
      </c>
      <c r="J857" s="7" t="str">
        <f aca="false">IF(F857=0,"NOT FOUND",IF(C857=I857,"SELF-VOTE",IF(COUNTIF($K:$K,K857)&gt;1,"DUPLICATE","OK")))</f>
        <v>OK</v>
      </c>
      <c r="K857" s="6" t="str">
        <f aca="false">A857&amp;"|"&amp;B857&amp;"|"&amp;C857&amp;"|"&amp;D857</f>
        <v>2|4|Leah|spotify:track:4GKk1uNzpxIptBuaY97Dkj</v>
      </c>
    </row>
    <row r="858" customFormat="false" ht="15" hidden="false" customHeight="false" outlineLevel="0" collapsed="false">
      <c r="A858" s="5" t="n">
        <v>2</v>
      </c>
      <c r="B858" s="5" t="n">
        <v>4</v>
      </c>
      <c r="C858" s="5" t="s">
        <v>119</v>
      </c>
      <c r="D858" s="5" t="s">
        <v>521</v>
      </c>
      <c r="E858" s="5" t="n">
        <v>1</v>
      </c>
      <c r="F858" s="6" t="n">
        <f aca="false">IFERROR(MATCH(A858&amp;"|"&amp;B858&amp;"|"&amp;D858,'All Song Rankings'!$T:$T,0),0)</f>
        <v>137</v>
      </c>
      <c r="G858" s="6" t="str">
        <f aca="false">IF(F858=0,"NOT FOUND",INDEX('All Song Rankings'!$A:$A,F858))</f>
        <v>E.T.</v>
      </c>
      <c r="H858" s="6" t="str">
        <f aca="false">IF(F858=0,"NOT FOUND",INDEX('All Song Rankings'!$B:$B,F858))</f>
        <v>Katy Perry</v>
      </c>
      <c r="I858" s="6" t="str">
        <f aca="false">IF(F858=0,"NOT FOUND",INDEX('All Song Rankings'!$D:$D,F858))</f>
        <v>Maryann</v>
      </c>
      <c r="J858" s="7" t="str">
        <f aca="false">IF(F858=0,"NOT FOUND",IF(C858=I858,"SELF-VOTE",IF(COUNTIF($K:$K,K858)&gt;1,"DUPLICATE","OK")))</f>
        <v>OK</v>
      </c>
      <c r="K858" s="6" t="str">
        <f aca="false">A858&amp;"|"&amp;B858&amp;"|"&amp;C858&amp;"|"&amp;D858</f>
        <v>2|4|Leah|spotify:track:4z8ssgZfs5TzKiO8HaGWXO</v>
      </c>
    </row>
    <row r="859" customFormat="false" ht="15" hidden="false" customHeight="false" outlineLevel="0" collapsed="false">
      <c r="A859" s="5" t="n">
        <v>2</v>
      </c>
      <c r="B859" s="5" t="n">
        <v>4</v>
      </c>
      <c r="C859" s="5" t="s">
        <v>119</v>
      </c>
      <c r="D859" s="5" t="s">
        <v>503</v>
      </c>
      <c r="E859" s="5" t="n">
        <v>2</v>
      </c>
      <c r="F859" s="6" t="n">
        <f aca="false">IFERROR(MATCH(A859&amp;"|"&amp;B859&amp;"|"&amp;D859,'All Song Rankings'!$T:$T,0),0)</f>
        <v>131</v>
      </c>
      <c r="G859" s="6" t="str">
        <f aca="false">IF(F859=0,"NOT FOUND",INDEX('All Song Rankings'!$A:$A,F859))</f>
        <v>Robot Rock</v>
      </c>
      <c r="H859" s="6" t="str">
        <f aca="false">IF(F859=0,"NOT FOUND",INDEX('All Song Rankings'!$B:$B,F859))</f>
        <v>Daft Punk</v>
      </c>
      <c r="I859" s="6" t="str">
        <f aca="false">IF(F859=0,"NOT FOUND",INDEX('All Song Rankings'!$D:$D,F859))</f>
        <v>Scott</v>
      </c>
      <c r="J859" s="7" t="str">
        <f aca="false">IF(F859=0,"NOT FOUND",IF(C859=I859,"SELF-VOTE",IF(COUNTIF($K:$K,K859)&gt;1,"DUPLICATE","OK")))</f>
        <v>OK</v>
      </c>
      <c r="K859" s="6" t="str">
        <f aca="false">A859&amp;"|"&amp;B859&amp;"|"&amp;C859&amp;"|"&amp;D859</f>
        <v>2|4|Leah|spotify:track:4zu9wo2FXoBSsKjO6tRB3R</v>
      </c>
    </row>
    <row r="860" customFormat="false" ht="15" hidden="false" customHeight="false" outlineLevel="0" collapsed="false">
      <c r="A860" s="5" t="n">
        <v>2</v>
      </c>
      <c r="B860" s="5" t="n">
        <v>4</v>
      </c>
      <c r="C860" s="5" t="s">
        <v>119</v>
      </c>
      <c r="D860" s="5" t="s">
        <v>533</v>
      </c>
      <c r="E860" s="5" t="n">
        <v>1</v>
      </c>
      <c r="F860" s="6" t="n">
        <f aca="false">IFERROR(MATCH(A860&amp;"|"&amp;B860&amp;"|"&amp;D860,'All Song Rankings'!$T:$T,0),0)</f>
        <v>141</v>
      </c>
      <c r="G860" s="6" t="str">
        <f aca="false">IF(F860=0,"NOT FOUND",INDEX('All Song Rankings'!$A:$A,F860))</f>
        <v>Cornfield Chase</v>
      </c>
      <c r="H860" s="6" t="str">
        <f aca="false">IF(F860=0,"NOT FOUND",INDEX('All Song Rankings'!$B:$B,F860))</f>
        <v>Hans Zimmer</v>
      </c>
      <c r="I860" s="6" t="str">
        <f aca="false">IF(F860=0,"NOT FOUND",INDEX('All Song Rankings'!$D:$D,F860))</f>
        <v>Anya</v>
      </c>
      <c r="J860" s="7" t="str">
        <f aca="false">IF(F860=0,"NOT FOUND",IF(C860=I860,"SELF-VOTE",IF(COUNTIF($K:$K,K860)&gt;1,"DUPLICATE","OK")))</f>
        <v>OK</v>
      </c>
      <c r="K860" s="6" t="str">
        <f aca="false">A860&amp;"|"&amp;B860&amp;"|"&amp;C860&amp;"|"&amp;D860</f>
        <v>2|4|Leah|spotify:track:6pWgRkpqVfxnj3WuIcJ7WP</v>
      </c>
    </row>
    <row r="861" customFormat="false" ht="15" hidden="false" customHeight="false" outlineLevel="0" collapsed="false">
      <c r="A861" s="5" t="n">
        <v>2</v>
      </c>
      <c r="B861" s="5" t="n">
        <v>4</v>
      </c>
      <c r="C861" s="5" t="s">
        <v>128</v>
      </c>
      <c r="D861" s="5" t="s">
        <v>501</v>
      </c>
      <c r="E861" s="5" t="n">
        <v>2</v>
      </c>
      <c r="F861" s="6" t="n">
        <f aca="false">IFERROR(MATCH(A861&amp;"|"&amp;B861&amp;"|"&amp;D861,'All Song Rankings'!$T:$T,0),0)</f>
        <v>130</v>
      </c>
      <c r="G861" s="6" t="str">
        <f aca="false">IF(F861=0,"NOT FOUND",INDEX('All Song Rankings'!$A:$A,F861))</f>
        <v>As Alive As You Need Me To Be</v>
      </c>
      <c r="H861" s="6" t="str">
        <f aca="false">IF(F861=0,"NOT FOUND",INDEX('All Song Rankings'!$B:$B,F861))</f>
        <v>Nine Inch Nails</v>
      </c>
      <c r="I861" s="6" t="str">
        <f aca="false">IF(F861=0,"NOT FOUND",INDEX('All Song Rankings'!$D:$D,F861))</f>
        <v>Kristen</v>
      </c>
      <c r="J861" s="7" t="str">
        <f aca="false">IF(F861=0,"NOT FOUND",IF(C861=I861,"SELF-VOTE",IF(COUNTIF($K:$K,K861)&gt;1,"DUPLICATE","OK")))</f>
        <v>OK</v>
      </c>
      <c r="K861" s="6" t="str">
        <f aca="false">A861&amp;"|"&amp;B861&amp;"|"&amp;C861&amp;"|"&amp;D861</f>
        <v>2|4|Logan|spotify:track:1xsEHo7mtGZLEG94vFX11z</v>
      </c>
    </row>
    <row r="862" customFormat="false" ht="15" hidden="false" customHeight="false" outlineLevel="0" collapsed="false">
      <c r="A862" s="5" t="n">
        <v>2</v>
      </c>
      <c r="B862" s="5" t="n">
        <v>4</v>
      </c>
      <c r="C862" s="5" t="s">
        <v>128</v>
      </c>
      <c r="D862" s="5" t="s">
        <v>527</v>
      </c>
      <c r="E862" s="5" t="n">
        <v>3</v>
      </c>
      <c r="F862" s="6" t="n">
        <f aca="false">IFERROR(MATCH(A862&amp;"|"&amp;B862&amp;"|"&amp;D862,'All Song Rankings'!$T:$T,0),0)</f>
        <v>139</v>
      </c>
      <c r="G862" s="6" t="str">
        <f aca="false">IF(F862=0,"NOT FOUND",INDEX('All Song Rankings'!$A:$A,F862))</f>
        <v>Oblivian</v>
      </c>
      <c r="H862" s="6" t="str">
        <f aca="false">IF(F862=0,"NOT FOUND",INDEX('All Song Rankings'!$B:$B,F862))</f>
        <v>Grimes</v>
      </c>
      <c r="I862" s="6" t="str">
        <f aca="false">IF(F862=0,"NOT FOUND",INDEX('All Song Rankings'!$D:$D,F862))</f>
        <v>Leah</v>
      </c>
      <c r="J862" s="7" t="str">
        <f aca="false">IF(F862=0,"NOT FOUND",IF(C862=I862,"SELF-VOTE",IF(COUNTIF($K:$K,K862)&gt;1,"DUPLICATE","OK")))</f>
        <v>OK</v>
      </c>
      <c r="K862" s="6" t="str">
        <f aca="false">A862&amp;"|"&amp;B862&amp;"|"&amp;C862&amp;"|"&amp;D862</f>
        <v>2|4|Logan|spotify:track:3LGsgpx4TfxhXbr07OFKqs</v>
      </c>
    </row>
    <row r="863" customFormat="false" ht="15" hidden="false" customHeight="false" outlineLevel="0" collapsed="false">
      <c r="A863" s="5" t="n">
        <v>2</v>
      </c>
      <c r="B863" s="5" t="n">
        <v>4</v>
      </c>
      <c r="C863" s="5" t="s">
        <v>128</v>
      </c>
      <c r="D863" s="5" t="s">
        <v>507</v>
      </c>
      <c r="E863" s="5" t="n">
        <v>1</v>
      </c>
      <c r="F863" s="6" t="n">
        <f aca="false">IFERROR(MATCH(A863&amp;"|"&amp;B863&amp;"|"&amp;D863,'All Song Rankings'!$T:$T,0),0)</f>
        <v>132</v>
      </c>
      <c r="G863" s="6" t="str">
        <f aca="false">IF(F863=0,"NOT FOUND",INDEX('All Song Rankings'!$A:$A,F863))</f>
        <v>2815 A.D.</v>
      </c>
      <c r="H863" s="6" t="str">
        <f aca="false">IF(F863=0,"NOT FOUND",INDEX('All Song Rankings'!$B:$B,F863))</f>
        <v>Thomas Newman</v>
      </c>
      <c r="I863" s="6" t="str">
        <f aca="false">IF(F863=0,"NOT FOUND",INDEX('All Song Rankings'!$D:$D,F863))</f>
        <v>Grace</v>
      </c>
      <c r="J863" s="7" t="str">
        <f aca="false">IF(F863=0,"NOT FOUND",IF(C863=I863,"SELF-VOTE",IF(COUNTIF($K:$K,K863)&gt;1,"DUPLICATE","OK")))</f>
        <v>OK</v>
      </c>
      <c r="K863" s="6" t="str">
        <f aca="false">A863&amp;"|"&amp;B863&amp;"|"&amp;C863&amp;"|"&amp;D863</f>
        <v>2|4|Logan|spotify:track:3UjaW5GLMlggBYYrjJhFis</v>
      </c>
    </row>
    <row r="864" customFormat="false" ht="15" hidden="false" customHeight="false" outlineLevel="0" collapsed="false">
      <c r="A864" s="5" t="n">
        <v>2</v>
      </c>
      <c r="B864" s="5" t="n">
        <v>4</v>
      </c>
      <c r="C864" s="5" t="s">
        <v>128</v>
      </c>
      <c r="D864" s="5" t="s">
        <v>533</v>
      </c>
      <c r="E864" s="5" t="n">
        <v>4</v>
      </c>
      <c r="F864" s="6" t="n">
        <f aca="false">IFERROR(MATCH(A864&amp;"|"&amp;B864&amp;"|"&amp;D864,'All Song Rankings'!$T:$T,0),0)</f>
        <v>141</v>
      </c>
      <c r="G864" s="6" t="str">
        <f aca="false">IF(F864=0,"NOT FOUND",INDEX('All Song Rankings'!$A:$A,F864))</f>
        <v>Cornfield Chase</v>
      </c>
      <c r="H864" s="6" t="str">
        <f aca="false">IF(F864=0,"NOT FOUND",INDEX('All Song Rankings'!$B:$B,F864))</f>
        <v>Hans Zimmer</v>
      </c>
      <c r="I864" s="6" t="str">
        <f aca="false">IF(F864=0,"NOT FOUND",INDEX('All Song Rankings'!$D:$D,F864))</f>
        <v>Anya</v>
      </c>
      <c r="J864" s="7" t="str">
        <f aca="false">IF(F864=0,"NOT FOUND",IF(C864=I864,"SELF-VOTE",IF(COUNTIF($K:$K,K864)&gt;1,"DUPLICATE","OK")))</f>
        <v>OK</v>
      </c>
      <c r="K864" s="6" t="str">
        <f aca="false">A864&amp;"|"&amp;B864&amp;"|"&amp;C864&amp;"|"&amp;D864</f>
        <v>2|4|Logan|spotify:track:6pWgRkpqVfxnj3WuIcJ7WP</v>
      </c>
    </row>
    <row r="865" customFormat="false" ht="15" hidden="false" customHeight="false" outlineLevel="0" collapsed="false">
      <c r="A865" s="5" t="n">
        <v>2</v>
      </c>
      <c r="B865" s="5" t="n">
        <v>4</v>
      </c>
      <c r="C865" s="5" t="s">
        <v>133</v>
      </c>
      <c r="D865" s="5" t="s">
        <v>501</v>
      </c>
      <c r="E865" s="5" t="n">
        <v>1</v>
      </c>
      <c r="F865" s="6" t="n">
        <f aca="false">IFERROR(MATCH(A865&amp;"|"&amp;B865&amp;"|"&amp;D865,'All Song Rankings'!$T:$T,0),0)</f>
        <v>130</v>
      </c>
      <c r="G865" s="6" t="str">
        <f aca="false">IF(F865=0,"NOT FOUND",INDEX('All Song Rankings'!$A:$A,F865))</f>
        <v>As Alive As You Need Me To Be</v>
      </c>
      <c r="H865" s="6" t="str">
        <f aca="false">IF(F865=0,"NOT FOUND",INDEX('All Song Rankings'!$B:$B,F865))</f>
        <v>Nine Inch Nails</v>
      </c>
      <c r="I865" s="6" t="str">
        <f aca="false">IF(F865=0,"NOT FOUND",INDEX('All Song Rankings'!$D:$D,F865))</f>
        <v>Kristen</v>
      </c>
      <c r="J865" s="7" t="str">
        <f aca="false">IF(F865=0,"NOT FOUND",IF(C865=I865,"SELF-VOTE",IF(COUNTIF($K:$K,K865)&gt;1,"DUPLICATE","OK")))</f>
        <v>OK</v>
      </c>
      <c r="K865" s="6" t="str">
        <f aca="false">A865&amp;"|"&amp;B865&amp;"|"&amp;C865&amp;"|"&amp;D865</f>
        <v>2|4|Maryann|spotify:track:1xsEHo7mtGZLEG94vFX11z</v>
      </c>
    </row>
    <row r="866" customFormat="false" ht="15" hidden="false" customHeight="false" outlineLevel="0" collapsed="false">
      <c r="A866" s="5" t="n">
        <v>2</v>
      </c>
      <c r="B866" s="5" t="n">
        <v>4</v>
      </c>
      <c r="C866" s="5" t="s">
        <v>133</v>
      </c>
      <c r="D866" s="5" t="s">
        <v>527</v>
      </c>
      <c r="E866" s="5" t="n">
        <v>1</v>
      </c>
      <c r="F866" s="6" t="n">
        <f aca="false">IFERROR(MATCH(A866&amp;"|"&amp;B866&amp;"|"&amp;D866,'All Song Rankings'!$T:$T,0),0)</f>
        <v>139</v>
      </c>
      <c r="G866" s="6" t="str">
        <f aca="false">IF(F866=0,"NOT FOUND",INDEX('All Song Rankings'!$A:$A,F866))</f>
        <v>Oblivian</v>
      </c>
      <c r="H866" s="6" t="str">
        <f aca="false">IF(F866=0,"NOT FOUND",INDEX('All Song Rankings'!$B:$B,F866))</f>
        <v>Grimes</v>
      </c>
      <c r="I866" s="6" t="str">
        <f aca="false">IF(F866=0,"NOT FOUND",INDEX('All Song Rankings'!$D:$D,F866))</f>
        <v>Leah</v>
      </c>
      <c r="J866" s="7" t="str">
        <f aca="false">IF(F866=0,"NOT FOUND",IF(C866=I866,"SELF-VOTE",IF(COUNTIF($K:$K,K866)&gt;1,"DUPLICATE","OK")))</f>
        <v>OK</v>
      </c>
      <c r="K866" s="6" t="str">
        <f aca="false">A866&amp;"|"&amp;B866&amp;"|"&amp;C866&amp;"|"&amp;D866</f>
        <v>2|4|Maryann|spotify:track:3LGsgpx4TfxhXbr07OFKqs</v>
      </c>
    </row>
    <row r="867" customFormat="false" ht="15" hidden="false" customHeight="false" outlineLevel="0" collapsed="false">
      <c r="A867" s="5" t="n">
        <v>2</v>
      </c>
      <c r="B867" s="5" t="n">
        <v>4</v>
      </c>
      <c r="C867" s="5" t="s">
        <v>133</v>
      </c>
      <c r="D867" s="5" t="s">
        <v>507</v>
      </c>
      <c r="E867" s="5" t="n">
        <v>1</v>
      </c>
      <c r="F867" s="6" t="n">
        <f aca="false">IFERROR(MATCH(A867&amp;"|"&amp;B867&amp;"|"&amp;D867,'All Song Rankings'!$T:$T,0),0)</f>
        <v>132</v>
      </c>
      <c r="G867" s="6" t="str">
        <f aca="false">IF(F867=0,"NOT FOUND",INDEX('All Song Rankings'!$A:$A,F867))</f>
        <v>2815 A.D.</v>
      </c>
      <c r="H867" s="6" t="str">
        <f aca="false">IF(F867=0,"NOT FOUND",INDEX('All Song Rankings'!$B:$B,F867))</f>
        <v>Thomas Newman</v>
      </c>
      <c r="I867" s="6" t="str">
        <f aca="false">IF(F867=0,"NOT FOUND",INDEX('All Song Rankings'!$D:$D,F867))</f>
        <v>Grace</v>
      </c>
      <c r="J867" s="7" t="str">
        <f aca="false">IF(F867=0,"NOT FOUND",IF(C867=I867,"SELF-VOTE",IF(COUNTIF($K:$K,K867)&gt;1,"DUPLICATE","OK")))</f>
        <v>OK</v>
      </c>
      <c r="K867" s="6" t="str">
        <f aca="false">A867&amp;"|"&amp;B867&amp;"|"&amp;C867&amp;"|"&amp;D867</f>
        <v>2|4|Maryann|spotify:track:3UjaW5GLMlggBYYrjJhFis</v>
      </c>
    </row>
    <row r="868" customFormat="false" ht="15" hidden="false" customHeight="false" outlineLevel="0" collapsed="false">
      <c r="A868" s="5" t="n">
        <v>2</v>
      </c>
      <c r="B868" s="5" t="n">
        <v>4</v>
      </c>
      <c r="C868" s="5" t="s">
        <v>133</v>
      </c>
      <c r="D868" s="5" t="s">
        <v>512</v>
      </c>
      <c r="E868" s="5" t="n">
        <v>1</v>
      </c>
      <c r="F868" s="6" t="n">
        <f aca="false">IFERROR(MATCH(A868&amp;"|"&amp;B868&amp;"|"&amp;D868,'All Song Rankings'!$T:$T,0),0)</f>
        <v>134</v>
      </c>
      <c r="G868" s="6" t="str">
        <f aca="false">IF(F868=0,"NOT FOUND",INDEX('All Song Rankings'!$A:$A,F868))</f>
        <v>Midnight</v>
      </c>
      <c r="H868" s="6" t="str">
        <f aca="false">IF(F868=0,"NOT FOUND",INDEX('All Song Rankings'!$B:$B,F868))</f>
        <v>Coldplay</v>
      </c>
      <c r="I868" s="6" t="str">
        <f aca="false">IF(F868=0,"NOT FOUND",INDEX('All Song Rankings'!$D:$D,F868))</f>
        <v>Logan</v>
      </c>
      <c r="J868" s="7" t="str">
        <f aca="false">IF(F868=0,"NOT FOUND",IF(C868=I868,"SELF-VOTE",IF(COUNTIF($K:$K,K868)&gt;1,"DUPLICATE","OK")))</f>
        <v>OK</v>
      </c>
      <c r="K868" s="6" t="str">
        <f aca="false">A868&amp;"|"&amp;B868&amp;"|"&amp;C868&amp;"|"&amp;D868</f>
        <v>2|4|Maryann|spotify:track:4GKk1uNzpxIptBuaY97Dkj</v>
      </c>
    </row>
    <row r="869" customFormat="false" ht="15" hidden="false" customHeight="false" outlineLevel="0" collapsed="false">
      <c r="A869" s="5" t="n">
        <v>2</v>
      </c>
      <c r="B869" s="5" t="n">
        <v>4</v>
      </c>
      <c r="C869" s="5" t="s">
        <v>133</v>
      </c>
      <c r="D869" s="5" t="s">
        <v>503</v>
      </c>
      <c r="E869" s="5" t="n">
        <v>2</v>
      </c>
      <c r="F869" s="6" t="n">
        <f aca="false">IFERROR(MATCH(A869&amp;"|"&amp;B869&amp;"|"&amp;D869,'All Song Rankings'!$T:$T,0),0)</f>
        <v>131</v>
      </c>
      <c r="G869" s="6" t="str">
        <f aca="false">IF(F869=0,"NOT FOUND",INDEX('All Song Rankings'!$A:$A,F869))</f>
        <v>Robot Rock</v>
      </c>
      <c r="H869" s="6" t="str">
        <f aca="false">IF(F869=0,"NOT FOUND",INDEX('All Song Rankings'!$B:$B,F869))</f>
        <v>Daft Punk</v>
      </c>
      <c r="I869" s="6" t="str">
        <f aca="false">IF(F869=0,"NOT FOUND",INDEX('All Song Rankings'!$D:$D,F869))</f>
        <v>Scott</v>
      </c>
      <c r="J869" s="7" t="str">
        <f aca="false">IF(F869=0,"NOT FOUND",IF(C869=I869,"SELF-VOTE",IF(COUNTIF($K:$K,K869)&gt;1,"DUPLICATE","OK")))</f>
        <v>OK</v>
      </c>
      <c r="K869" s="6" t="str">
        <f aca="false">A869&amp;"|"&amp;B869&amp;"|"&amp;C869&amp;"|"&amp;D869</f>
        <v>2|4|Maryann|spotify:track:4zu9wo2FXoBSsKjO6tRB3R</v>
      </c>
    </row>
    <row r="870" customFormat="false" ht="15" hidden="false" customHeight="false" outlineLevel="0" collapsed="false">
      <c r="A870" s="5" t="n">
        <v>2</v>
      </c>
      <c r="B870" s="5" t="n">
        <v>4</v>
      </c>
      <c r="C870" s="5" t="s">
        <v>133</v>
      </c>
      <c r="D870" s="5" t="s">
        <v>533</v>
      </c>
      <c r="E870" s="5" t="n">
        <v>3</v>
      </c>
      <c r="F870" s="6" t="n">
        <f aca="false">IFERROR(MATCH(A870&amp;"|"&amp;B870&amp;"|"&amp;D870,'All Song Rankings'!$T:$T,0),0)</f>
        <v>141</v>
      </c>
      <c r="G870" s="6" t="str">
        <f aca="false">IF(F870=0,"NOT FOUND",INDEX('All Song Rankings'!$A:$A,F870))</f>
        <v>Cornfield Chase</v>
      </c>
      <c r="H870" s="6" t="str">
        <f aca="false">IF(F870=0,"NOT FOUND",INDEX('All Song Rankings'!$B:$B,F870))</f>
        <v>Hans Zimmer</v>
      </c>
      <c r="I870" s="6" t="str">
        <f aca="false">IF(F870=0,"NOT FOUND",INDEX('All Song Rankings'!$D:$D,F870))</f>
        <v>Anya</v>
      </c>
      <c r="J870" s="7" t="str">
        <f aca="false">IF(F870=0,"NOT FOUND",IF(C870=I870,"SELF-VOTE",IF(COUNTIF($K:$K,K870)&gt;1,"DUPLICATE","OK")))</f>
        <v>OK</v>
      </c>
      <c r="K870" s="6" t="str">
        <f aca="false">A870&amp;"|"&amp;B870&amp;"|"&amp;C870&amp;"|"&amp;D870</f>
        <v>2|4|Maryann|spotify:track:6pWgRkpqVfxnj3WuIcJ7WP</v>
      </c>
    </row>
    <row r="871" customFormat="false" ht="15" hidden="false" customHeight="false" outlineLevel="0" collapsed="false">
      <c r="A871" s="5" t="n">
        <v>2</v>
      </c>
      <c r="B871" s="5" t="n">
        <v>4</v>
      </c>
      <c r="C871" s="5" t="s">
        <v>133</v>
      </c>
      <c r="D871" s="5" t="s">
        <v>510</v>
      </c>
      <c r="E871" s="5" t="n">
        <v>1</v>
      </c>
      <c r="F871" s="6" t="n">
        <f aca="false">IFERROR(MATCH(A871&amp;"|"&amp;B871&amp;"|"&amp;D871,'All Song Rankings'!$T:$T,0),0)</f>
        <v>133</v>
      </c>
      <c r="G871" s="6" t="str">
        <f aca="false">IF(F871=0,"NOT FOUND",INDEX('All Song Rankings'!$A:$A,F871))</f>
        <v>Blue (Da Ba Dee) - Gabry Ponte Video Edit</v>
      </c>
      <c r="H871" s="6" t="str">
        <f aca="false">IF(F871=0,"NOT FOUND",INDEX('All Song Rankings'!$B:$B,F871))</f>
        <v>Eiffel 65</v>
      </c>
      <c r="I871" s="6" t="str">
        <f aca="false">IF(F871=0,"NOT FOUND",INDEX('All Song Rankings'!$D:$D,F871))</f>
        <v>Kelsey</v>
      </c>
      <c r="J871" s="7" t="str">
        <f aca="false">IF(F871=0,"NOT FOUND",IF(C871=I871,"SELF-VOTE",IF(COUNTIF($K:$K,K871)&gt;1,"DUPLICATE","OK")))</f>
        <v>OK</v>
      </c>
      <c r="K871" s="6" t="str">
        <f aca="false">A871&amp;"|"&amp;B871&amp;"|"&amp;C871&amp;"|"&amp;D871</f>
        <v>2|4|Maryann|spotify:track:7lMIJ4EFWRVoAIPDpeGyM3</v>
      </c>
    </row>
    <row r="872" customFormat="false" ht="15" hidden="false" customHeight="false" outlineLevel="0" collapsed="false">
      <c r="A872" s="5" t="n">
        <v>2</v>
      </c>
      <c r="B872" s="5" t="n">
        <v>4</v>
      </c>
      <c r="C872" s="5" t="s">
        <v>116</v>
      </c>
      <c r="D872" s="5" t="s">
        <v>518</v>
      </c>
      <c r="E872" s="5" t="n">
        <v>1</v>
      </c>
      <c r="F872" s="6" t="n">
        <f aca="false">IFERROR(MATCH(A872&amp;"|"&amp;B872&amp;"|"&amp;D872,'All Song Rankings'!$T:$T,0),0)</f>
        <v>136</v>
      </c>
      <c r="G872" s="6" t="str">
        <f aca="false">IF(F872=0,"NOT FOUND",INDEX('All Song Rankings'!$A:$A,F872))</f>
        <v>Porcelain</v>
      </c>
      <c r="H872" s="6" t="str">
        <f aca="false">IF(F872=0,"NOT FOUND",INDEX('All Song Rankings'!$B:$B,F872))</f>
        <v>Moby</v>
      </c>
      <c r="I872" s="6" t="str">
        <f aca="false">IF(F872=0,"NOT FOUND",INDEX('All Song Rankings'!$D:$D,F872))</f>
        <v>Stephanie</v>
      </c>
      <c r="J872" s="7" t="str">
        <f aca="false">IF(F872=0,"NOT FOUND",IF(C872=I872,"SELF-VOTE",IF(COUNTIF($K:$K,K872)&gt;1,"DUPLICATE","OK")))</f>
        <v>OK</v>
      </c>
      <c r="K872" s="6" t="str">
        <f aca="false">A872&amp;"|"&amp;B872&amp;"|"&amp;C872&amp;"|"&amp;D872</f>
        <v>2|4|Matt|spotify:track:19vUJwIaPAgDJyGZMBI9MG</v>
      </c>
    </row>
    <row r="873" customFormat="false" ht="15" hidden="false" customHeight="false" outlineLevel="0" collapsed="false">
      <c r="A873" s="5" t="n">
        <v>2</v>
      </c>
      <c r="B873" s="5" t="n">
        <v>4</v>
      </c>
      <c r="C873" s="5" t="s">
        <v>116</v>
      </c>
      <c r="D873" s="5" t="s">
        <v>530</v>
      </c>
      <c r="E873" s="5" t="n">
        <v>1</v>
      </c>
      <c r="F873" s="6" t="n">
        <f aca="false">IFERROR(MATCH(A873&amp;"|"&amp;B873&amp;"|"&amp;D873,'All Song Rankings'!$T:$T,0),0)</f>
        <v>140</v>
      </c>
      <c r="G873" s="6" t="str">
        <f aca="false">IF(F873=0,"NOT FOUND",INDEX('All Song Rankings'!$A:$A,F873))</f>
        <v>Alone</v>
      </c>
      <c r="H873" s="6" t="str">
        <f aca="false">IF(F873=0,"NOT FOUND",INDEX('All Song Rankings'!$B:$B,F873))</f>
        <v>Alan Walker</v>
      </c>
      <c r="I873" s="6" t="str">
        <f aca="false">IF(F873=0,"NOT FOUND",INDEX('All Song Rankings'!$D:$D,F873))</f>
        <v>Merita</v>
      </c>
      <c r="J873" s="7" t="str">
        <f aca="false">IF(F873=0,"NOT FOUND",IF(C873=I873,"SELF-VOTE",IF(COUNTIF($K:$K,K873)&gt;1,"DUPLICATE","OK")))</f>
        <v>OK</v>
      </c>
      <c r="K873" s="6" t="str">
        <f aca="false">A873&amp;"|"&amp;B873&amp;"|"&amp;C873&amp;"|"&amp;D873</f>
        <v>2|4|Matt|spotify:track:3LlmKSHR3Rs0Y3KHQLAYDk</v>
      </c>
    </row>
    <row r="874" customFormat="false" ht="15" hidden="false" customHeight="false" outlineLevel="0" collapsed="false">
      <c r="A874" s="5" t="n">
        <v>2</v>
      </c>
      <c r="B874" s="5" t="n">
        <v>4</v>
      </c>
      <c r="C874" s="5" t="s">
        <v>116</v>
      </c>
      <c r="D874" s="5" t="s">
        <v>507</v>
      </c>
      <c r="E874" s="5" t="n">
        <v>1</v>
      </c>
      <c r="F874" s="6" t="n">
        <f aca="false">IFERROR(MATCH(A874&amp;"|"&amp;B874&amp;"|"&amp;D874,'All Song Rankings'!$T:$T,0),0)</f>
        <v>132</v>
      </c>
      <c r="G874" s="6" t="str">
        <f aca="false">IF(F874=0,"NOT FOUND",INDEX('All Song Rankings'!$A:$A,F874))</f>
        <v>2815 A.D.</v>
      </c>
      <c r="H874" s="6" t="str">
        <f aca="false">IF(F874=0,"NOT FOUND",INDEX('All Song Rankings'!$B:$B,F874))</f>
        <v>Thomas Newman</v>
      </c>
      <c r="I874" s="6" t="str">
        <f aca="false">IF(F874=0,"NOT FOUND",INDEX('All Song Rankings'!$D:$D,F874))</f>
        <v>Grace</v>
      </c>
      <c r="J874" s="7" t="str">
        <f aca="false">IF(F874=0,"NOT FOUND",IF(C874=I874,"SELF-VOTE",IF(COUNTIF($K:$K,K874)&gt;1,"DUPLICATE","OK")))</f>
        <v>OK</v>
      </c>
      <c r="K874" s="6" t="str">
        <f aca="false">A874&amp;"|"&amp;B874&amp;"|"&amp;C874&amp;"|"&amp;D874</f>
        <v>2|4|Matt|spotify:track:3UjaW5GLMlggBYYrjJhFis</v>
      </c>
    </row>
    <row r="875" customFormat="false" ht="15" hidden="false" customHeight="false" outlineLevel="0" collapsed="false">
      <c r="A875" s="5" t="n">
        <v>2</v>
      </c>
      <c r="B875" s="5" t="n">
        <v>4</v>
      </c>
      <c r="C875" s="5" t="s">
        <v>116</v>
      </c>
      <c r="D875" s="5" t="s">
        <v>536</v>
      </c>
      <c r="E875" s="5" t="n">
        <v>1</v>
      </c>
      <c r="F875" s="6" t="n">
        <f aca="false">IFERROR(MATCH(A875&amp;"|"&amp;B875&amp;"|"&amp;D875,'All Song Rankings'!$T:$T,0),0)</f>
        <v>142</v>
      </c>
      <c r="G875" s="6" t="str">
        <f aca="false">IF(F875=0,"NOT FOUND",INDEX('All Song Rankings'!$A:$A,F875))</f>
        <v>Rocket Man (I Think It's Going To Be a Long, Long Time)</v>
      </c>
      <c r="H875" s="6" t="str">
        <f aca="false">IF(F875=0,"NOT FOUND",INDEX('All Song Rankings'!$B:$B,F875))</f>
        <v>Elton John</v>
      </c>
      <c r="I875" s="6" t="str">
        <f aca="false">IF(F875=0,"NOT FOUND",INDEX('All Song Rankings'!$D:$D,F875))</f>
        <v>Nicole</v>
      </c>
      <c r="J875" s="7" t="str">
        <f aca="false">IF(F875=0,"NOT FOUND",IF(C875=I875,"SELF-VOTE",IF(COUNTIF($K:$K,K875)&gt;1,"DUPLICATE","OK")))</f>
        <v>OK</v>
      </c>
      <c r="K875" s="6" t="str">
        <f aca="false">A875&amp;"|"&amp;B875&amp;"|"&amp;C875&amp;"|"&amp;D875</f>
        <v>2|4|Matt|spotify:track:3gdewACMIVMEWVbyb8O9sY</v>
      </c>
    </row>
    <row r="876" customFormat="false" ht="15" hidden="false" customHeight="false" outlineLevel="0" collapsed="false">
      <c r="A876" s="5" t="n">
        <v>2</v>
      </c>
      <c r="B876" s="5" t="n">
        <v>4</v>
      </c>
      <c r="C876" s="5" t="s">
        <v>116</v>
      </c>
      <c r="D876" s="5" t="s">
        <v>512</v>
      </c>
      <c r="E876" s="5" t="n">
        <v>1</v>
      </c>
      <c r="F876" s="6" t="n">
        <f aca="false">IFERROR(MATCH(A876&amp;"|"&amp;B876&amp;"|"&amp;D876,'All Song Rankings'!$T:$T,0),0)</f>
        <v>134</v>
      </c>
      <c r="G876" s="6" t="str">
        <f aca="false">IF(F876=0,"NOT FOUND",INDEX('All Song Rankings'!$A:$A,F876))</f>
        <v>Midnight</v>
      </c>
      <c r="H876" s="6" t="str">
        <f aca="false">IF(F876=0,"NOT FOUND",INDEX('All Song Rankings'!$B:$B,F876))</f>
        <v>Coldplay</v>
      </c>
      <c r="I876" s="6" t="str">
        <f aca="false">IF(F876=0,"NOT FOUND",INDEX('All Song Rankings'!$D:$D,F876))</f>
        <v>Logan</v>
      </c>
      <c r="J876" s="7" t="str">
        <f aca="false">IF(F876=0,"NOT FOUND",IF(C876=I876,"SELF-VOTE",IF(COUNTIF($K:$K,K876)&gt;1,"DUPLICATE","OK")))</f>
        <v>OK</v>
      </c>
      <c r="K876" s="6" t="str">
        <f aca="false">A876&amp;"|"&amp;B876&amp;"|"&amp;C876&amp;"|"&amp;D876</f>
        <v>2|4|Matt|spotify:track:4GKk1uNzpxIptBuaY97Dkj</v>
      </c>
    </row>
    <row r="877" customFormat="false" ht="15" hidden="false" customHeight="false" outlineLevel="0" collapsed="false">
      <c r="A877" s="5" t="n">
        <v>2</v>
      </c>
      <c r="B877" s="5" t="n">
        <v>4</v>
      </c>
      <c r="C877" s="5" t="s">
        <v>116</v>
      </c>
      <c r="D877" s="5" t="s">
        <v>521</v>
      </c>
      <c r="E877" s="5" t="n">
        <v>1</v>
      </c>
      <c r="F877" s="6" t="n">
        <f aca="false">IFERROR(MATCH(A877&amp;"|"&amp;B877&amp;"|"&amp;D877,'All Song Rankings'!$T:$T,0),0)</f>
        <v>137</v>
      </c>
      <c r="G877" s="6" t="str">
        <f aca="false">IF(F877=0,"NOT FOUND",INDEX('All Song Rankings'!$A:$A,F877))</f>
        <v>E.T.</v>
      </c>
      <c r="H877" s="6" t="str">
        <f aca="false">IF(F877=0,"NOT FOUND",INDEX('All Song Rankings'!$B:$B,F877))</f>
        <v>Katy Perry</v>
      </c>
      <c r="I877" s="6" t="str">
        <f aca="false">IF(F877=0,"NOT FOUND",INDEX('All Song Rankings'!$D:$D,F877))</f>
        <v>Maryann</v>
      </c>
      <c r="J877" s="7" t="str">
        <f aca="false">IF(F877=0,"NOT FOUND",IF(C877=I877,"SELF-VOTE",IF(COUNTIF($K:$K,K877)&gt;1,"DUPLICATE","OK")))</f>
        <v>OK</v>
      </c>
      <c r="K877" s="6" t="str">
        <f aca="false">A877&amp;"|"&amp;B877&amp;"|"&amp;C877&amp;"|"&amp;D877</f>
        <v>2|4|Matt|spotify:track:4z8ssgZfs5TzKiO8HaGWXO</v>
      </c>
    </row>
    <row r="878" customFormat="false" ht="15" hidden="false" customHeight="false" outlineLevel="0" collapsed="false">
      <c r="A878" s="5" t="n">
        <v>2</v>
      </c>
      <c r="B878" s="5" t="n">
        <v>4</v>
      </c>
      <c r="C878" s="5" t="s">
        <v>116</v>
      </c>
      <c r="D878" s="5" t="s">
        <v>503</v>
      </c>
      <c r="E878" s="5" t="n">
        <v>2</v>
      </c>
      <c r="F878" s="6" t="n">
        <f aca="false">IFERROR(MATCH(A878&amp;"|"&amp;B878&amp;"|"&amp;D878,'All Song Rankings'!$T:$T,0),0)</f>
        <v>131</v>
      </c>
      <c r="G878" s="6" t="str">
        <f aca="false">IF(F878=0,"NOT FOUND",INDEX('All Song Rankings'!$A:$A,F878))</f>
        <v>Robot Rock</v>
      </c>
      <c r="H878" s="6" t="str">
        <f aca="false">IF(F878=0,"NOT FOUND",INDEX('All Song Rankings'!$B:$B,F878))</f>
        <v>Daft Punk</v>
      </c>
      <c r="I878" s="6" t="str">
        <f aca="false">IF(F878=0,"NOT FOUND",INDEX('All Song Rankings'!$D:$D,F878))</f>
        <v>Scott</v>
      </c>
      <c r="J878" s="7" t="str">
        <f aca="false">IF(F878=0,"NOT FOUND",IF(C878=I878,"SELF-VOTE",IF(COUNTIF($K:$K,K878)&gt;1,"DUPLICATE","OK")))</f>
        <v>OK</v>
      </c>
      <c r="K878" s="6" t="str">
        <f aca="false">A878&amp;"|"&amp;B878&amp;"|"&amp;C878&amp;"|"&amp;D878</f>
        <v>2|4|Matt|spotify:track:4zu9wo2FXoBSsKjO6tRB3R</v>
      </c>
    </row>
    <row r="879" customFormat="false" ht="15" hidden="false" customHeight="false" outlineLevel="0" collapsed="false">
      <c r="A879" s="5" t="n">
        <v>2</v>
      </c>
      <c r="B879" s="5" t="n">
        <v>4</v>
      </c>
      <c r="C879" s="5" t="s">
        <v>116</v>
      </c>
      <c r="D879" s="5" t="s">
        <v>533</v>
      </c>
      <c r="E879" s="5" t="n">
        <v>1</v>
      </c>
      <c r="F879" s="6" t="n">
        <f aca="false">IFERROR(MATCH(A879&amp;"|"&amp;B879&amp;"|"&amp;D879,'All Song Rankings'!$T:$T,0),0)</f>
        <v>141</v>
      </c>
      <c r="G879" s="6" t="str">
        <f aca="false">IF(F879=0,"NOT FOUND",INDEX('All Song Rankings'!$A:$A,F879))</f>
        <v>Cornfield Chase</v>
      </c>
      <c r="H879" s="6" t="str">
        <f aca="false">IF(F879=0,"NOT FOUND",INDEX('All Song Rankings'!$B:$B,F879))</f>
        <v>Hans Zimmer</v>
      </c>
      <c r="I879" s="6" t="str">
        <f aca="false">IF(F879=0,"NOT FOUND",INDEX('All Song Rankings'!$D:$D,F879))</f>
        <v>Anya</v>
      </c>
      <c r="J879" s="7" t="str">
        <f aca="false">IF(F879=0,"NOT FOUND",IF(C879=I879,"SELF-VOTE",IF(COUNTIF($K:$K,K879)&gt;1,"DUPLICATE","OK")))</f>
        <v>OK</v>
      </c>
      <c r="K879" s="6" t="str">
        <f aca="false">A879&amp;"|"&amp;B879&amp;"|"&amp;C879&amp;"|"&amp;D879</f>
        <v>2|4|Matt|spotify:track:6pWgRkpqVfxnj3WuIcJ7WP</v>
      </c>
    </row>
    <row r="880" customFormat="false" ht="15" hidden="false" customHeight="false" outlineLevel="0" collapsed="false">
      <c r="A880" s="5" t="n">
        <v>2</v>
      </c>
      <c r="B880" s="5" t="n">
        <v>4</v>
      </c>
      <c r="C880" s="5" t="s">
        <v>116</v>
      </c>
      <c r="D880" s="5" t="s">
        <v>510</v>
      </c>
      <c r="E880" s="5" t="n">
        <v>1</v>
      </c>
      <c r="F880" s="6" t="n">
        <f aca="false">IFERROR(MATCH(A880&amp;"|"&amp;B880&amp;"|"&amp;D880,'All Song Rankings'!$T:$T,0),0)</f>
        <v>133</v>
      </c>
      <c r="G880" s="6" t="str">
        <f aca="false">IF(F880=0,"NOT FOUND",INDEX('All Song Rankings'!$A:$A,F880))</f>
        <v>Blue (Da Ba Dee) - Gabry Ponte Video Edit</v>
      </c>
      <c r="H880" s="6" t="str">
        <f aca="false">IF(F880=0,"NOT FOUND",INDEX('All Song Rankings'!$B:$B,F880))</f>
        <v>Eiffel 65</v>
      </c>
      <c r="I880" s="6" t="str">
        <f aca="false">IF(F880=0,"NOT FOUND",INDEX('All Song Rankings'!$D:$D,F880))</f>
        <v>Kelsey</v>
      </c>
      <c r="J880" s="7" t="str">
        <f aca="false">IF(F880=0,"NOT FOUND",IF(C880=I880,"SELF-VOTE",IF(COUNTIF($K:$K,K880)&gt;1,"DUPLICATE","OK")))</f>
        <v>OK</v>
      </c>
      <c r="K880" s="6" t="str">
        <f aca="false">A880&amp;"|"&amp;B880&amp;"|"&amp;C880&amp;"|"&amp;D880</f>
        <v>2|4|Matt|spotify:track:7lMIJ4EFWRVoAIPDpeGyM3</v>
      </c>
    </row>
    <row r="881" customFormat="false" ht="15" hidden="false" customHeight="false" outlineLevel="0" collapsed="false">
      <c r="A881" s="5" t="n">
        <v>2</v>
      </c>
      <c r="B881" s="5" t="n">
        <v>4</v>
      </c>
      <c r="C881" s="5" t="s">
        <v>101</v>
      </c>
      <c r="D881" s="5" t="s">
        <v>518</v>
      </c>
      <c r="E881" s="5" t="n">
        <v>1</v>
      </c>
      <c r="F881" s="6" t="n">
        <f aca="false">IFERROR(MATCH(A881&amp;"|"&amp;B881&amp;"|"&amp;D881,'All Song Rankings'!$T:$T,0),0)</f>
        <v>136</v>
      </c>
      <c r="G881" s="6" t="str">
        <f aca="false">IF(F881=0,"NOT FOUND",INDEX('All Song Rankings'!$A:$A,F881))</f>
        <v>Porcelain</v>
      </c>
      <c r="H881" s="6" t="str">
        <f aca="false">IF(F881=0,"NOT FOUND",INDEX('All Song Rankings'!$B:$B,F881))</f>
        <v>Moby</v>
      </c>
      <c r="I881" s="6" t="str">
        <f aca="false">IF(F881=0,"NOT FOUND",INDEX('All Song Rankings'!$D:$D,F881))</f>
        <v>Stephanie</v>
      </c>
      <c r="J881" s="7" t="str">
        <f aca="false">IF(F881=0,"NOT FOUND",IF(C881=I881,"SELF-VOTE",IF(COUNTIF($K:$K,K881)&gt;1,"DUPLICATE","OK")))</f>
        <v>OK</v>
      </c>
      <c r="K881" s="6" t="str">
        <f aca="false">A881&amp;"|"&amp;B881&amp;"|"&amp;C881&amp;"|"&amp;D881</f>
        <v>2|4|Merita|spotify:track:19vUJwIaPAgDJyGZMBI9MG</v>
      </c>
    </row>
    <row r="882" customFormat="false" ht="15" hidden="false" customHeight="false" outlineLevel="0" collapsed="false">
      <c r="A882" s="5" t="n">
        <v>2</v>
      </c>
      <c r="B882" s="5" t="n">
        <v>4</v>
      </c>
      <c r="C882" s="5" t="s">
        <v>101</v>
      </c>
      <c r="D882" s="5" t="s">
        <v>524</v>
      </c>
      <c r="E882" s="5" t="n">
        <v>1</v>
      </c>
      <c r="F882" s="6" t="n">
        <f aca="false">IFERROR(MATCH(A882&amp;"|"&amp;B882&amp;"|"&amp;D882,'All Song Rankings'!$T:$T,0),0)</f>
        <v>138</v>
      </c>
      <c r="G882" s="6" t="str">
        <f aca="false">IF(F882=0,"NOT FOUND",INDEX('All Song Rankings'!$A:$A,F882))</f>
        <v>Hide and Seek</v>
      </c>
      <c r="H882" s="6" t="str">
        <f aca="false">IF(F882=0,"NOT FOUND",INDEX('All Song Rankings'!$B:$B,F882))</f>
        <v>Imogen Heap</v>
      </c>
      <c r="I882" s="6" t="str">
        <f aca="false">IF(F882=0,"NOT FOUND",INDEX('All Song Rankings'!$D:$D,F882))</f>
        <v>Matt</v>
      </c>
      <c r="J882" s="7" t="str">
        <f aca="false">IF(F882=0,"NOT FOUND",IF(C882=I882,"SELF-VOTE",IF(COUNTIF($K:$K,K882)&gt;1,"DUPLICATE","OK")))</f>
        <v>OK</v>
      </c>
      <c r="K882" s="6" t="str">
        <f aca="false">A882&amp;"|"&amp;B882&amp;"|"&amp;C882&amp;"|"&amp;D882</f>
        <v>2|4|Merita|spotify:track:2tej1KSqNuxwywIpY1rDRc</v>
      </c>
    </row>
    <row r="883" customFormat="false" ht="15" hidden="false" customHeight="false" outlineLevel="0" collapsed="false">
      <c r="A883" s="5" t="n">
        <v>2</v>
      </c>
      <c r="B883" s="5" t="n">
        <v>4</v>
      </c>
      <c r="C883" s="5" t="s">
        <v>101</v>
      </c>
      <c r="D883" s="5" t="s">
        <v>507</v>
      </c>
      <c r="E883" s="5" t="n">
        <v>2</v>
      </c>
      <c r="F883" s="6" t="n">
        <f aca="false">IFERROR(MATCH(A883&amp;"|"&amp;B883&amp;"|"&amp;D883,'All Song Rankings'!$T:$T,0),0)</f>
        <v>132</v>
      </c>
      <c r="G883" s="6" t="str">
        <f aca="false">IF(F883=0,"NOT FOUND",INDEX('All Song Rankings'!$A:$A,F883))</f>
        <v>2815 A.D.</v>
      </c>
      <c r="H883" s="6" t="str">
        <f aca="false">IF(F883=0,"NOT FOUND",INDEX('All Song Rankings'!$B:$B,F883))</f>
        <v>Thomas Newman</v>
      </c>
      <c r="I883" s="6" t="str">
        <f aca="false">IF(F883=0,"NOT FOUND",INDEX('All Song Rankings'!$D:$D,F883))</f>
        <v>Grace</v>
      </c>
      <c r="J883" s="7" t="str">
        <f aca="false">IF(F883=0,"NOT FOUND",IF(C883=I883,"SELF-VOTE",IF(COUNTIF($K:$K,K883)&gt;1,"DUPLICATE","OK")))</f>
        <v>OK</v>
      </c>
      <c r="K883" s="6" t="str">
        <f aca="false">A883&amp;"|"&amp;B883&amp;"|"&amp;C883&amp;"|"&amp;D883</f>
        <v>2|4|Merita|spotify:track:3UjaW5GLMlggBYYrjJhFis</v>
      </c>
    </row>
    <row r="884" customFormat="false" ht="15" hidden="false" customHeight="false" outlineLevel="0" collapsed="false">
      <c r="A884" s="5" t="n">
        <v>2</v>
      </c>
      <c r="B884" s="5" t="n">
        <v>4</v>
      </c>
      <c r="C884" s="5" t="s">
        <v>101</v>
      </c>
      <c r="D884" s="5" t="s">
        <v>536</v>
      </c>
      <c r="E884" s="5" t="n">
        <v>1</v>
      </c>
      <c r="F884" s="6" t="n">
        <f aca="false">IFERROR(MATCH(A884&amp;"|"&amp;B884&amp;"|"&amp;D884,'All Song Rankings'!$T:$T,0),0)</f>
        <v>142</v>
      </c>
      <c r="G884" s="6" t="str">
        <f aca="false">IF(F884=0,"NOT FOUND",INDEX('All Song Rankings'!$A:$A,F884))</f>
        <v>Rocket Man (I Think It's Going To Be a Long, Long Time)</v>
      </c>
      <c r="H884" s="6" t="str">
        <f aca="false">IF(F884=0,"NOT FOUND",INDEX('All Song Rankings'!$B:$B,F884))</f>
        <v>Elton John</v>
      </c>
      <c r="I884" s="6" t="str">
        <f aca="false">IF(F884=0,"NOT FOUND",INDEX('All Song Rankings'!$D:$D,F884))</f>
        <v>Nicole</v>
      </c>
      <c r="J884" s="7" t="str">
        <f aca="false">IF(F884=0,"NOT FOUND",IF(C884=I884,"SELF-VOTE",IF(COUNTIF($K:$K,K884)&gt;1,"DUPLICATE","OK")))</f>
        <v>OK</v>
      </c>
      <c r="K884" s="6" t="str">
        <f aca="false">A884&amp;"|"&amp;B884&amp;"|"&amp;C884&amp;"|"&amp;D884</f>
        <v>2|4|Merita|spotify:track:3gdewACMIVMEWVbyb8O9sY</v>
      </c>
    </row>
    <row r="885" customFormat="false" ht="15" hidden="false" customHeight="false" outlineLevel="0" collapsed="false">
      <c r="A885" s="5" t="n">
        <v>2</v>
      </c>
      <c r="B885" s="5" t="n">
        <v>4</v>
      </c>
      <c r="C885" s="5" t="s">
        <v>101</v>
      </c>
      <c r="D885" s="5" t="s">
        <v>512</v>
      </c>
      <c r="E885" s="5" t="n">
        <v>2</v>
      </c>
      <c r="F885" s="6" t="n">
        <f aca="false">IFERROR(MATCH(A885&amp;"|"&amp;B885&amp;"|"&amp;D885,'All Song Rankings'!$T:$T,0),0)</f>
        <v>134</v>
      </c>
      <c r="G885" s="6" t="str">
        <f aca="false">IF(F885=0,"NOT FOUND",INDEX('All Song Rankings'!$A:$A,F885))</f>
        <v>Midnight</v>
      </c>
      <c r="H885" s="6" t="str">
        <f aca="false">IF(F885=0,"NOT FOUND",INDEX('All Song Rankings'!$B:$B,F885))</f>
        <v>Coldplay</v>
      </c>
      <c r="I885" s="6" t="str">
        <f aca="false">IF(F885=0,"NOT FOUND",INDEX('All Song Rankings'!$D:$D,F885))</f>
        <v>Logan</v>
      </c>
      <c r="J885" s="7" t="str">
        <f aca="false">IF(F885=0,"NOT FOUND",IF(C885=I885,"SELF-VOTE",IF(COUNTIF($K:$K,K885)&gt;1,"DUPLICATE","OK")))</f>
        <v>OK</v>
      </c>
      <c r="K885" s="6" t="str">
        <f aca="false">A885&amp;"|"&amp;B885&amp;"|"&amp;C885&amp;"|"&amp;D885</f>
        <v>2|4|Merita|spotify:track:4GKk1uNzpxIptBuaY97Dkj</v>
      </c>
    </row>
    <row r="886" customFormat="false" ht="15" hidden="false" customHeight="false" outlineLevel="0" collapsed="false">
      <c r="A886" s="5" t="n">
        <v>2</v>
      </c>
      <c r="B886" s="5" t="n">
        <v>4</v>
      </c>
      <c r="C886" s="5" t="s">
        <v>101</v>
      </c>
      <c r="D886" s="5" t="s">
        <v>533</v>
      </c>
      <c r="E886" s="5" t="n">
        <v>2</v>
      </c>
      <c r="F886" s="6" t="n">
        <f aca="false">IFERROR(MATCH(A886&amp;"|"&amp;B886&amp;"|"&amp;D886,'All Song Rankings'!$T:$T,0),0)</f>
        <v>141</v>
      </c>
      <c r="G886" s="6" t="str">
        <f aca="false">IF(F886=0,"NOT FOUND",INDEX('All Song Rankings'!$A:$A,F886))</f>
        <v>Cornfield Chase</v>
      </c>
      <c r="H886" s="6" t="str">
        <f aca="false">IF(F886=0,"NOT FOUND",INDEX('All Song Rankings'!$B:$B,F886))</f>
        <v>Hans Zimmer</v>
      </c>
      <c r="I886" s="6" t="str">
        <f aca="false">IF(F886=0,"NOT FOUND",INDEX('All Song Rankings'!$D:$D,F886))</f>
        <v>Anya</v>
      </c>
      <c r="J886" s="7" t="str">
        <f aca="false">IF(F886=0,"NOT FOUND",IF(C886=I886,"SELF-VOTE",IF(COUNTIF($K:$K,K886)&gt;1,"DUPLICATE","OK")))</f>
        <v>OK</v>
      </c>
      <c r="K886" s="6" t="str">
        <f aca="false">A886&amp;"|"&amp;B886&amp;"|"&amp;C886&amp;"|"&amp;D886</f>
        <v>2|4|Merita|spotify:track:6pWgRkpqVfxnj3WuIcJ7WP</v>
      </c>
    </row>
    <row r="887" customFormat="false" ht="15" hidden="false" customHeight="false" outlineLevel="0" collapsed="false">
      <c r="A887" s="5" t="n">
        <v>2</v>
      </c>
      <c r="B887" s="5" t="n">
        <v>4</v>
      </c>
      <c r="C887" s="5" t="s">
        <v>101</v>
      </c>
      <c r="D887" s="5" t="s">
        <v>510</v>
      </c>
      <c r="E887" s="5" t="n">
        <v>1</v>
      </c>
      <c r="F887" s="6" t="n">
        <f aca="false">IFERROR(MATCH(A887&amp;"|"&amp;B887&amp;"|"&amp;D887,'All Song Rankings'!$T:$T,0),0)</f>
        <v>133</v>
      </c>
      <c r="G887" s="6" t="str">
        <f aca="false">IF(F887=0,"NOT FOUND",INDEX('All Song Rankings'!$A:$A,F887))</f>
        <v>Blue (Da Ba Dee) - Gabry Ponte Video Edit</v>
      </c>
      <c r="H887" s="6" t="str">
        <f aca="false">IF(F887=0,"NOT FOUND",INDEX('All Song Rankings'!$B:$B,F887))</f>
        <v>Eiffel 65</v>
      </c>
      <c r="I887" s="6" t="str">
        <f aca="false">IF(F887=0,"NOT FOUND",INDEX('All Song Rankings'!$D:$D,F887))</f>
        <v>Kelsey</v>
      </c>
      <c r="J887" s="7" t="str">
        <f aca="false">IF(F887=0,"NOT FOUND",IF(C887=I887,"SELF-VOTE",IF(COUNTIF($K:$K,K887)&gt;1,"DUPLICATE","OK")))</f>
        <v>OK</v>
      </c>
      <c r="K887" s="6" t="str">
        <f aca="false">A887&amp;"|"&amp;B887&amp;"|"&amp;C887&amp;"|"&amp;D887</f>
        <v>2|4|Merita|spotify:track:7lMIJ4EFWRVoAIPDpeGyM3</v>
      </c>
    </row>
    <row r="888" customFormat="false" ht="15" hidden="false" customHeight="false" outlineLevel="0" collapsed="false">
      <c r="A888" s="5" t="n">
        <v>2</v>
      </c>
      <c r="B888" s="5" t="n">
        <v>4</v>
      </c>
      <c r="C888" s="5" t="s">
        <v>484</v>
      </c>
      <c r="D888" s="5" t="s">
        <v>518</v>
      </c>
      <c r="E888" s="5" t="n">
        <v>1</v>
      </c>
      <c r="F888" s="6" t="n">
        <f aca="false">IFERROR(MATCH(A888&amp;"|"&amp;B888&amp;"|"&amp;D888,'All Song Rankings'!$T:$T,0),0)</f>
        <v>136</v>
      </c>
      <c r="G888" s="6" t="str">
        <f aca="false">IF(F888=0,"NOT FOUND",INDEX('All Song Rankings'!$A:$A,F888))</f>
        <v>Porcelain</v>
      </c>
      <c r="H888" s="6" t="str">
        <f aca="false">IF(F888=0,"NOT FOUND",INDEX('All Song Rankings'!$B:$B,F888))</f>
        <v>Moby</v>
      </c>
      <c r="I888" s="6" t="str">
        <f aca="false">IF(F888=0,"NOT FOUND",INDEX('All Song Rankings'!$D:$D,F888))</f>
        <v>Stephanie</v>
      </c>
      <c r="J888" s="7" t="str">
        <f aca="false">IF(F888=0,"NOT FOUND",IF(C888=I888,"SELF-VOTE",IF(COUNTIF($K:$K,K888)&gt;1,"DUPLICATE","OK")))</f>
        <v>OK</v>
      </c>
      <c r="K888" s="6" t="str">
        <f aca="false">A888&amp;"|"&amp;B888&amp;"|"&amp;C888&amp;"|"&amp;D888</f>
        <v>2|4|Scott|spotify:track:19vUJwIaPAgDJyGZMBI9MG</v>
      </c>
    </row>
    <row r="889" customFormat="false" ht="15" hidden="false" customHeight="false" outlineLevel="0" collapsed="false">
      <c r="A889" s="5" t="n">
        <v>2</v>
      </c>
      <c r="B889" s="5" t="n">
        <v>4</v>
      </c>
      <c r="C889" s="5" t="s">
        <v>484</v>
      </c>
      <c r="D889" s="5" t="s">
        <v>501</v>
      </c>
      <c r="E889" s="5" t="n">
        <v>1</v>
      </c>
      <c r="F889" s="6" t="n">
        <f aca="false">IFERROR(MATCH(A889&amp;"|"&amp;B889&amp;"|"&amp;D889,'All Song Rankings'!$T:$T,0),0)</f>
        <v>130</v>
      </c>
      <c r="G889" s="6" t="str">
        <f aca="false">IF(F889=0,"NOT FOUND",INDEX('All Song Rankings'!$A:$A,F889))</f>
        <v>As Alive As You Need Me To Be</v>
      </c>
      <c r="H889" s="6" t="str">
        <f aca="false">IF(F889=0,"NOT FOUND",INDEX('All Song Rankings'!$B:$B,F889))</f>
        <v>Nine Inch Nails</v>
      </c>
      <c r="I889" s="6" t="str">
        <f aca="false">IF(F889=0,"NOT FOUND",INDEX('All Song Rankings'!$D:$D,F889))</f>
        <v>Kristen</v>
      </c>
      <c r="J889" s="7" t="str">
        <f aca="false">IF(F889=0,"NOT FOUND",IF(C889=I889,"SELF-VOTE",IF(COUNTIF($K:$K,K889)&gt;1,"DUPLICATE","OK")))</f>
        <v>OK</v>
      </c>
      <c r="K889" s="6" t="str">
        <f aca="false">A889&amp;"|"&amp;B889&amp;"|"&amp;C889&amp;"|"&amp;D889</f>
        <v>2|4|Scott|spotify:track:1xsEHo7mtGZLEG94vFX11z</v>
      </c>
    </row>
    <row r="890" customFormat="false" ht="15" hidden="false" customHeight="false" outlineLevel="0" collapsed="false">
      <c r="A890" s="5" t="n">
        <v>2</v>
      </c>
      <c r="B890" s="5" t="n">
        <v>4</v>
      </c>
      <c r="C890" s="5" t="s">
        <v>484</v>
      </c>
      <c r="D890" s="5" t="s">
        <v>524</v>
      </c>
      <c r="E890" s="5" t="n">
        <v>1</v>
      </c>
      <c r="F890" s="6" t="n">
        <f aca="false">IFERROR(MATCH(A890&amp;"|"&amp;B890&amp;"|"&amp;D890,'All Song Rankings'!$T:$T,0),0)</f>
        <v>138</v>
      </c>
      <c r="G890" s="6" t="str">
        <f aca="false">IF(F890=0,"NOT FOUND",INDEX('All Song Rankings'!$A:$A,F890))</f>
        <v>Hide and Seek</v>
      </c>
      <c r="H890" s="6" t="str">
        <f aca="false">IF(F890=0,"NOT FOUND",INDEX('All Song Rankings'!$B:$B,F890))</f>
        <v>Imogen Heap</v>
      </c>
      <c r="I890" s="6" t="str">
        <f aca="false">IF(F890=0,"NOT FOUND",INDEX('All Song Rankings'!$D:$D,F890))</f>
        <v>Matt</v>
      </c>
      <c r="J890" s="7" t="str">
        <f aca="false">IF(F890=0,"NOT FOUND",IF(C890=I890,"SELF-VOTE",IF(COUNTIF($K:$K,K890)&gt;1,"DUPLICATE","OK")))</f>
        <v>OK</v>
      </c>
      <c r="K890" s="6" t="str">
        <f aca="false">A890&amp;"|"&amp;B890&amp;"|"&amp;C890&amp;"|"&amp;D890</f>
        <v>2|4|Scott|spotify:track:2tej1KSqNuxwywIpY1rDRc</v>
      </c>
    </row>
    <row r="891" customFormat="false" ht="15" hidden="false" customHeight="false" outlineLevel="0" collapsed="false">
      <c r="A891" s="5" t="n">
        <v>2</v>
      </c>
      <c r="B891" s="5" t="n">
        <v>4</v>
      </c>
      <c r="C891" s="5" t="s">
        <v>484</v>
      </c>
      <c r="D891" s="5" t="s">
        <v>536</v>
      </c>
      <c r="E891" s="5" t="n">
        <v>3</v>
      </c>
      <c r="F891" s="6" t="n">
        <f aca="false">IFERROR(MATCH(A891&amp;"|"&amp;B891&amp;"|"&amp;D891,'All Song Rankings'!$T:$T,0),0)</f>
        <v>142</v>
      </c>
      <c r="G891" s="6" t="str">
        <f aca="false">IF(F891=0,"NOT FOUND",INDEX('All Song Rankings'!$A:$A,F891))</f>
        <v>Rocket Man (I Think It's Going To Be a Long, Long Time)</v>
      </c>
      <c r="H891" s="6" t="str">
        <f aca="false">IF(F891=0,"NOT FOUND",INDEX('All Song Rankings'!$B:$B,F891))</f>
        <v>Elton John</v>
      </c>
      <c r="I891" s="6" t="str">
        <f aca="false">IF(F891=0,"NOT FOUND",INDEX('All Song Rankings'!$D:$D,F891))</f>
        <v>Nicole</v>
      </c>
      <c r="J891" s="7" t="str">
        <f aca="false">IF(F891=0,"NOT FOUND",IF(C891=I891,"SELF-VOTE",IF(COUNTIF($K:$K,K891)&gt;1,"DUPLICATE","OK")))</f>
        <v>OK</v>
      </c>
      <c r="K891" s="6" t="str">
        <f aca="false">A891&amp;"|"&amp;B891&amp;"|"&amp;C891&amp;"|"&amp;D891</f>
        <v>2|4|Scott|spotify:track:3gdewACMIVMEWVbyb8O9sY</v>
      </c>
    </row>
    <row r="892" customFormat="false" ht="15" hidden="false" customHeight="false" outlineLevel="0" collapsed="false">
      <c r="A892" s="5" t="n">
        <v>2</v>
      </c>
      <c r="B892" s="5" t="n">
        <v>4</v>
      </c>
      <c r="C892" s="5" t="s">
        <v>484</v>
      </c>
      <c r="D892" s="5" t="s">
        <v>521</v>
      </c>
      <c r="E892" s="5" t="n">
        <v>1</v>
      </c>
      <c r="F892" s="6" t="n">
        <f aca="false">IFERROR(MATCH(A892&amp;"|"&amp;B892&amp;"|"&amp;D892,'All Song Rankings'!$T:$T,0),0)</f>
        <v>137</v>
      </c>
      <c r="G892" s="6" t="str">
        <f aca="false">IF(F892=0,"NOT FOUND",INDEX('All Song Rankings'!$A:$A,F892))</f>
        <v>E.T.</v>
      </c>
      <c r="H892" s="6" t="str">
        <f aca="false">IF(F892=0,"NOT FOUND",INDEX('All Song Rankings'!$B:$B,F892))</f>
        <v>Katy Perry</v>
      </c>
      <c r="I892" s="6" t="str">
        <f aca="false">IF(F892=0,"NOT FOUND",INDEX('All Song Rankings'!$D:$D,F892))</f>
        <v>Maryann</v>
      </c>
      <c r="J892" s="7" t="str">
        <f aca="false">IF(F892=0,"NOT FOUND",IF(C892=I892,"SELF-VOTE",IF(COUNTIF($K:$K,K892)&gt;1,"DUPLICATE","OK")))</f>
        <v>OK</v>
      </c>
      <c r="K892" s="6" t="str">
        <f aca="false">A892&amp;"|"&amp;B892&amp;"|"&amp;C892&amp;"|"&amp;D892</f>
        <v>2|4|Scott|spotify:track:4z8ssgZfs5TzKiO8HaGWXO</v>
      </c>
    </row>
    <row r="893" customFormat="false" ht="15" hidden="false" customHeight="false" outlineLevel="0" collapsed="false">
      <c r="A893" s="5" t="n">
        <v>2</v>
      </c>
      <c r="B893" s="5" t="n">
        <v>4</v>
      </c>
      <c r="C893" s="5" t="s">
        <v>484</v>
      </c>
      <c r="D893" s="5" t="s">
        <v>510</v>
      </c>
      <c r="E893" s="5" t="n">
        <v>3</v>
      </c>
      <c r="F893" s="6" t="n">
        <f aca="false">IFERROR(MATCH(A893&amp;"|"&amp;B893&amp;"|"&amp;D893,'All Song Rankings'!$T:$T,0),0)</f>
        <v>133</v>
      </c>
      <c r="G893" s="6" t="str">
        <f aca="false">IF(F893=0,"NOT FOUND",INDEX('All Song Rankings'!$A:$A,F893))</f>
        <v>Blue (Da Ba Dee) - Gabry Ponte Video Edit</v>
      </c>
      <c r="H893" s="6" t="str">
        <f aca="false">IF(F893=0,"NOT FOUND",INDEX('All Song Rankings'!$B:$B,F893))</f>
        <v>Eiffel 65</v>
      </c>
      <c r="I893" s="6" t="str">
        <f aca="false">IF(F893=0,"NOT FOUND",INDEX('All Song Rankings'!$D:$D,F893))</f>
        <v>Kelsey</v>
      </c>
      <c r="J893" s="7" t="str">
        <f aca="false">IF(F893=0,"NOT FOUND",IF(C893=I893,"SELF-VOTE",IF(COUNTIF($K:$K,K893)&gt;1,"DUPLICATE","OK")))</f>
        <v>OK</v>
      </c>
      <c r="K893" s="6" t="str">
        <f aca="false">A893&amp;"|"&amp;B893&amp;"|"&amp;C893&amp;"|"&amp;D893</f>
        <v>2|4|Scott|spotify:track:7lMIJ4EFWRVoAIPDpeGyM3</v>
      </c>
    </row>
    <row r="894" customFormat="false" ht="15" hidden="false" customHeight="false" outlineLevel="0" collapsed="false">
      <c r="A894" s="5" t="n">
        <v>2</v>
      </c>
      <c r="B894" s="5" t="n">
        <v>4</v>
      </c>
      <c r="C894" s="5" t="s">
        <v>378</v>
      </c>
      <c r="D894" s="5" t="s">
        <v>518</v>
      </c>
      <c r="E894" s="5" t="n">
        <v>1</v>
      </c>
      <c r="F894" s="6" t="n">
        <f aca="false">IFERROR(MATCH(A894&amp;"|"&amp;B894&amp;"|"&amp;D894,'All Song Rankings'!$T:$T,0),0)</f>
        <v>136</v>
      </c>
      <c r="G894" s="6" t="str">
        <f aca="false">IF(F894=0,"NOT FOUND",INDEX('All Song Rankings'!$A:$A,F894))</f>
        <v>Porcelain</v>
      </c>
      <c r="H894" s="6" t="str">
        <f aca="false">IF(F894=0,"NOT FOUND",INDEX('All Song Rankings'!$B:$B,F894))</f>
        <v>Moby</v>
      </c>
      <c r="I894" s="6" t="str">
        <f aca="false">IF(F894=0,"NOT FOUND",INDEX('All Song Rankings'!$D:$D,F894))</f>
        <v>Stephanie</v>
      </c>
      <c r="J894" s="7" t="str">
        <f aca="false">IF(F894=0,"NOT FOUND",IF(C894=I894,"SELF-VOTE",IF(COUNTIF($K:$K,K894)&gt;1,"DUPLICATE","OK")))</f>
        <v>OK</v>
      </c>
      <c r="K894" s="6" t="str">
        <f aca="false">A894&amp;"|"&amp;B894&amp;"|"&amp;C894&amp;"|"&amp;D894</f>
        <v>2|4|Shayne|spotify:track:19vUJwIaPAgDJyGZMBI9MG</v>
      </c>
    </row>
    <row r="895" customFormat="false" ht="15" hidden="false" customHeight="false" outlineLevel="0" collapsed="false">
      <c r="A895" s="5" t="n">
        <v>2</v>
      </c>
      <c r="B895" s="5" t="n">
        <v>4</v>
      </c>
      <c r="C895" s="5" t="s">
        <v>378</v>
      </c>
      <c r="D895" s="5" t="s">
        <v>501</v>
      </c>
      <c r="E895" s="5" t="n">
        <v>1</v>
      </c>
      <c r="F895" s="6" t="n">
        <f aca="false">IFERROR(MATCH(A895&amp;"|"&amp;B895&amp;"|"&amp;D895,'All Song Rankings'!$T:$T,0),0)</f>
        <v>130</v>
      </c>
      <c r="G895" s="6" t="str">
        <f aca="false">IF(F895=0,"NOT FOUND",INDEX('All Song Rankings'!$A:$A,F895))</f>
        <v>As Alive As You Need Me To Be</v>
      </c>
      <c r="H895" s="6" t="str">
        <f aca="false">IF(F895=0,"NOT FOUND",INDEX('All Song Rankings'!$B:$B,F895))</f>
        <v>Nine Inch Nails</v>
      </c>
      <c r="I895" s="6" t="str">
        <f aca="false">IF(F895=0,"NOT FOUND",INDEX('All Song Rankings'!$D:$D,F895))</f>
        <v>Kristen</v>
      </c>
      <c r="J895" s="7" t="str">
        <f aca="false">IF(F895=0,"NOT FOUND",IF(C895=I895,"SELF-VOTE",IF(COUNTIF($K:$K,K895)&gt;1,"DUPLICATE","OK")))</f>
        <v>OK</v>
      </c>
      <c r="K895" s="6" t="str">
        <f aca="false">A895&amp;"|"&amp;B895&amp;"|"&amp;C895&amp;"|"&amp;D895</f>
        <v>2|4|Shayne|spotify:track:1xsEHo7mtGZLEG94vFX11z</v>
      </c>
    </row>
    <row r="896" customFormat="false" ht="15" hidden="false" customHeight="false" outlineLevel="0" collapsed="false">
      <c r="A896" s="5" t="n">
        <v>2</v>
      </c>
      <c r="B896" s="5" t="n">
        <v>4</v>
      </c>
      <c r="C896" s="5" t="s">
        <v>378</v>
      </c>
      <c r="D896" s="5" t="s">
        <v>530</v>
      </c>
      <c r="E896" s="5" t="n">
        <v>1</v>
      </c>
      <c r="F896" s="6" t="n">
        <f aca="false">IFERROR(MATCH(A896&amp;"|"&amp;B896&amp;"|"&amp;D896,'All Song Rankings'!$T:$T,0),0)</f>
        <v>140</v>
      </c>
      <c r="G896" s="6" t="str">
        <f aca="false">IF(F896=0,"NOT FOUND",INDEX('All Song Rankings'!$A:$A,F896))</f>
        <v>Alone</v>
      </c>
      <c r="H896" s="6" t="str">
        <f aca="false">IF(F896=0,"NOT FOUND",INDEX('All Song Rankings'!$B:$B,F896))</f>
        <v>Alan Walker</v>
      </c>
      <c r="I896" s="6" t="str">
        <f aca="false">IF(F896=0,"NOT FOUND",INDEX('All Song Rankings'!$D:$D,F896))</f>
        <v>Merita</v>
      </c>
      <c r="J896" s="7" t="str">
        <f aca="false">IF(F896=0,"NOT FOUND",IF(C896=I896,"SELF-VOTE",IF(COUNTIF($K:$K,K896)&gt;1,"DUPLICATE","OK")))</f>
        <v>OK</v>
      </c>
      <c r="K896" s="6" t="str">
        <f aca="false">A896&amp;"|"&amp;B896&amp;"|"&amp;C896&amp;"|"&amp;D896</f>
        <v>2|4|Shayne|spotify:track:3LlmKSHR3Rs0Y3KHQLAYDk</v>
      </c>
    </row>
    <row r="897" customFormat="false" ht="15" hidden="false" customHeight="false" outlineLevel="0" collapsed="false">
      <c r="A897" s="5" t="n">
        <v>2</v>
      </c>
      <c r="B897" s="5" t="n">
        <v>4</v>
      </c>
      <c r="C897" s="5" t="s">
        <v>378</v>
      </c>
      <c r="D897" s="5" t="s">
        <v>536</v>
      </c>
      <c r="E897" s="5" t="n">
        <v>2</v>
      </c>
      <c r="F897" s="6" t="n">
        <f aca="false">IFERROR(MATCH(A897&amp;"|"&amp;B897&amp;"|"&amp;D897,'All Song Rankings'!$T:$T,0),0)</f>
        <v>142</v>
      </c>
      <c r="G897" s="6" t="str">
        <f aca="false">IF(F897=0,"NOT FOUND",INDEX('All Song Rankings'!$A:$A,F897))</f>
        <v>Rocket Man (I Think It's Going To Be a Long, Long Time)</v>
      </c>
      <c r="H897" s="6" t="str">
        <f aca="false">IF(F897=0,"NOT FOUND",INDEX('All Song Rankings'!$B:$B,F897))</f>
        <v>Elton John</v>
      </c>
      <c r="I897" s="6" t="str">
        <f aca="false">IF(F897=0,"NOT FOUND",INDEX('All Song Rankings'!$D:$D,F897))</f>
        <v>Nicole</v>
      </c>
      <c r="J897" s="7" t="str">
        <f aca="false">IF(F897=0,"NOT FOUND",IF(C897=I897,"SELF-VOTE",IF(COUNTIF($K:$K,K897)&gt;1,"DUPLICATE","OK")))</f>
        <v>OK</v>
      </c>
      <c r="K897" s="6" t="str">
        <f aca="false">A897&amp;"|"&amp;B897&amp;"|"&amp;C897&amp;"|"&amp;D897</f>
        <v>2|4|Shayne|spotify:track:3gdewACMIVMEWVbyb8O9sY</v>
      </c>
    </row>
    <row r="898" customFormat="false" ht="15" hidden="false" customHeight="false" outlineLevel="0" collapsed="false">
      <c r="A898" s="5" t="n">
        <v>2</v>
      </c>
      <c r="B898" s="5" t="n">
        <v>4</v>
      </c>
      <c r="C898" s="5" t="s">
        <v>378</v>
      </c>
      <c r="D898" s="5" t="s">
        <v>512</v>
      </c>
      <c r="E898" s="5" t="n">
        <v>1</v>
      </c>
      <c r="F898" s="6" t="n">
        <f aca="false">IFERROR(MATCH(A898&amp;"|"&amp;B898&amp;"|"&amp;D898,'All Song Rankings'!$T:$T,0),0)</f>
        <v>134</v>
      </c>
      <c r="G898" s="6" t="str">
        <f aca="false">IF(F898=0,"NOT FOUND",INDEX('All Song Rankings'!$A:$A,F898))</f>
        <v>Midnight</v>
      </c>
      <c r="H898" s="6" t="str">
        <f aca="false">IF(F898=0,"NOT FOUND",INDEX('All Song Rankings'!$B:$B,F898))</f>
        <v>Coldplay</v>
      </c>
      <c r="I898" s="6" t="str">
        <f aca="false">IF(F898=0,"NOT FOUND",INDEX('All Song Rankings'!$D:$D,F898))</f>
        <v>Logan</v>
      </c>
      <c r="J898" s="7" t="str">
        <f aca="false">IF(F898=0,"NOT FOUND",IF(C898=I898,"SELF-VOTE",IF(COUNTIF($K:$K,K898)&gt;1,"DUPLICATE","OK")))</f>
        <v>OK</v>
      </c>
      <c r="K898" s="6" t="str">
        <f aca="false">A898&amp;"|"&amp;B898&amp;"|"&amp;C898&amp;"|"&amp;D898</f>
        <v>2|4|Shayne|spotify:track:4GKk1uNzpxIptBuaY97Dkj</v>
      </c>
    </row>
    <row r="899" customFormat="false" ht="15" hidden="false" customHeight="false" outlineLevel="0" collapsed="false">
      <c r="A899" s="5" t="n">
        <v>2</v>
      </c>
      <c r="B899" s="5" t="n">
        <v>4</v>
      </c>
      <c r="C899" s="5" t="s">
        <v>378</v>
      </c>
      <c r="D899" s="5" t="s">
        <v>503</v>
      </c>
      <c r="E899" s="5" t="n">
        <v>1</v>
      </c>
      <c r="F899" s="6" t="n">
        <f aca="false">IFERROR(MATCH(A899&amp;"|"&amp;B899&amp;"|"&amp;D899,'All Song Rankings'!$T:$T,0),0)</f>
        <v>131</v>
      </c>
      <c r="G899" s="6" t="str">
        <f aca="false">IF(F899=0,"NOT FOUND",INDEX('All Song Rankings'!$A:$A,F899))</f>
        <v>Robot Rock</v>
      </c>
      <c r="H899" s="6" t="str">
        <f aca="false">IF(F899=0,"NOT FOUND",INDEX('All Song Rankings'!$B:$B,F899))</f>
        <v>Daft Punk</v>
      </c>
      <c r="I899" s="6" t="str">
        <f aca="false">IF(F899=0,"NOT FOUND",INDEX('All Song Rankings'!$D:$D,F899))</f>
        <v>Scott</v>
      </c>
      <c r="J899" s="7" t="str">
        <f aca="false">IF(F899=0,"NOT FOUND",IF(C899=I899,"SELF-VOTE",IF(COUNTIF($K:$K,K899)&gt;1,"DUPLICATE","OK")))</f>
        <v>OK</v>
      </c>
      <c r="K899" s="6" t="str">
        <f aca="false">A899&amp;"|"&amp;B899&amp;"|"&amp;C899&amp;"|"&amp;D899</f>
        <v>2|4|Shayne|spotify:track:4zu9wo2FXoBSsKjO6tRB3R</v>
      </c>
    </row>
    <row r="900" customFormat="false" ht="15" hidden="false" customHeight="false" outlineLevel="0" collapsed="false">
      <c r="A900" s="5" t="n">
        <v>2</v>
      </c>
      <c r="B900" s="5" t="n">
        <v>4</v>
      </c>
      <c r="C900" s="5" t="s">
        <v>378</v>
      </c>
      <c r="D900" s="5" t="s">
        <v>533</v>
      </c>
      <c r="E900" s="5" t="n">
        <v>1</v>
      </c>
      <c r="F900" s="6" t="n">
        <f aca="false">IFERROR(MATCH(A900&amp;"|"&amp;B900&amp;"|"&amp;D900,'All Song Rankings'!$T:$T,0),0)</f>
        <v>141</v>
      </c>
      <c r="G900" s="6" t="str">
        <f aca="false">IF(F900=0,"NOT FOUND",INDEX('All Song Rankings'!$A:$A,F900))</f>
        <v>Cornfield Chase</v>
      </c>
      <c r="H900" s="6" t="str">
        <f aca="false">IF(F900=0,"NOT FOUND",INDEX('All Song Rankings'!$B:$B,F900))</f>
        <v>Hans Zimmer</v>
      </c>
      <c r="I900" s="6" t="str">
        <f aca="false">IF(F900=0,"NOT FOUND",INDEX('All Song Rankings'!$D:$D,F900))</f>
        <v>Anya</v>
      </c>
      <c r="J900" s="7" t="str">
        <f aca="false">IF(F900=0,"NOT FOUND",IF(C900=I900,"SELF-VOTE",IF(COUNTIF($K:$K,K900)&gt;1,"DUPLICATE","OK")))</f>
        <v>OK</v>
      </c>
      <c r="K900" s="6" t="str">
        <f aca="false">A900&amp;"|"&amp;B900&amp;"|"&amp;C900&amp;"|"&amp;D900</f>
        <v>2|4|Shayne|spotify:track:6pWgRkpqVfxnj3WuIcJ7WP</v>
      </c>
    </row>
    <row r="901" customFormat="false" ht="15" hidden="false" customHeight="false" outlineLevel="0" collapsed="false">
      <c r="A901" s="5" t="n">
        <v>2</v>
      </c>
      <c r="B901" s="5" t="n">
        <v>4</v>
      </c>
      <c r="C901" s="5" t="s">
        <v>378</v>
      </c>
      <c r="D901" s="5" t="s">
        <v>510</v>
      </c>
      <c r="E901" s="5" t="n">
        <v>2</v>
      </c>
      <c r="F901" s="6" t="n">
        <f aca="false">IFERROR(MATCH(A901&amp;"|"&amp;B901&amp;"|"&amp;D901,'All Song Rankings'!$T:$T,0),0)</f>
        <v>133</v>
      </c>
      <c r="G901" s="6" t="str">
        <f aca="false">IF(F901=0,"NOT FOUND",INDEX('All Song Rankings'!$A:$A,F901))</f>
        <v>Blue (Da Ba Dee) - Gabry Ponte Video Edit</v>
      </c>
      <c r="H901" s="6" t="str">
        <f aca="false">IF(F901=0,"NOT FOUND",INDEX('All Song Rankings'!$B:$B,F901))</f>
        <v>Eiffel 65</v>
      </c>
      <c r="I901" s="6" t="str">
        <f aca="false">IF(F901=0,"NOT FOUND",INDEX('All Song Rankings'!$D:$D,F901))</f>
        <v>Kelsey</v>
      </c>
      <c r="J901" s="7" t="str">
        <f aca="false">IF(F901=0,"NOT FOUND",IF(C901=I901,"SELF-VOTE",IF(COUNTIF($K:$K,K901)&gt;1,"DUPLICATE","OK")))</f>
        <v>OK</v>
      </c>
      <c r="K901" s="6" t="str">
        <f aca="false">A901&amp;"|"&amp;B901&amp;"|"&amp;C901&amp;"|"&amp;D901</f>
        <v>2|4|Shayne|spotify:track:7lMIJ4EFWRVoAIPDpeGyM3</v>
      </c>
    </row>
    <row r="902" customFormat="false" ht="15" hidden="false" customHeight="false" outlineLevel="0" collapsed="false">
      <c r="A902" s="5" t="n">
        <v>2</v>
      </c>
      <c r="B902" s="5" t="n">
        <v>4</v>
      </c>
      <c r="C902" s="5" t="s">
        <v>97</v>
      </c>
      <c r="D902" s="5" t="s">
        <v>515</v>
      </c>
      <c r="E902" s="5" t="n">
        <v>2</v>
      </c>
      <c r="F902" s="6" t="n">
        <f aca="false">IFERROR(MATCH(A902&amp;"|"&amp;B902&amp;"|"&amp;D902,'All Song Rankings'!$T:$T,0),0)</f>
        <v>135</v>
      </c>
      <c r="G902" s="6" t="str">
        <f aca="false">IF(F902=0,"NOT FOUND",INDEX('All Song Rankings'!$A:$A,F902))</f>
        <v>Moon Car</v>
      </c>
      <c r="H902" s="6" t="str">
        <f aca="false">IF(F902=0,"NOT FOUND",INDEX('All Song Rankings'!$B:$B,F902))</f>
        <v>Big Dopes</v>
      </c>
      <c r="I902" s="6" t="str">
        <f aca="false">IF(F902=0,"NOT FOUND",INDEX('All Song Rankings'!$D:$D,F902))</f>
        <v>Shayne</v>
      </c>
      <c r="J902" s="7" t="str">
        <f aca="false">IF(F902=0,"NOT FOUND",IF(C902=I902,"SELF-VOTE",IF(COUNTIF($K:$K,K902)&gt;1,"DUPLICATE","OK")))</f>
        <v>OK</v>
      </c>
      <c r="K902" s="6" t="str">
        <f aca="false">A902&amp;"|"&amp;B902&amp;"|"&amp;C902&amp;"|"&amp;D902</f>
        <v>2|4|Stephanie|spotify:track:19zHZS1ZVXUVFuOGWbIJ0A</v>
      </c>
    </row>
    <row r="903" customFormat="false" ht="15" hidden="false" customHeight="false" outlineLevel="0" collapsed="false">
      <c r="A903" s="5" t="n">
        <v>2</v>
      </c>
      <c r="B903" s="5" t="n">
        <v>4</v>
      </c>
      <c r="C903" s="5" t="s">
        <v>97</v>
      </c>
      <c r="D903" s="5" t="s">
        <v>501</v>
      </c>
      <c r="E903" s="5" t="n">
        <v>4</v>
      </c>
      <c r="F903" s="6" t="n">
        <f aca="false">IFERROR(MATCH(A903&amp;"|"&amp;B903&amp;"|"&amp;D903,'All Song Rankings'!$T:$T,0),0)</f>
        <v>130</v>
      </c>
      <c r="G903" s="6" t="str">
        <f aca="false">IF(F903=0,"NOT FOUND",INDEX('All Song Rankings'!$A:$A,F903))</f>
        <v>As Alive As You Need Me To Be</v>
      </c>
      <c r="H903" s="6" t="str">
        <f aca="false">IF(F903=0,"NOT FOUND",INDEX('All Song Rankings'!$B:$B,F903))</f>
        <v>Nine Inch Nails</v>
      </c>
      <c r="I903" s="6" t="str">
        <f aca="false">IF(F903=0,"NOT FOUND",INDEX('All Song Rankings'!$D:$D,F903))</f>
        <v>Kristen</v>
      </c>
      <c r="J903" s="7" t="str">
        <f aca="false">IF(F903=0,"NOT FOUND",IF(C903=I903,"SELF-VOTE",IF(COUNTIF($K:$K,K903)&gt;1,"DUPLICATE","OK")))</f>
        <v>OK</v>
      </c>
      <c r="K903" s="6" t="str">
        <f aca="false">A903&amp;"|"&amp;B903&amp;"|"&amp;C903&amp;"|"&amp;D903</f>
        <v>2|4|Stephanie|spotify:track:1xsEHo7mtGZLEG94vFX11z</v>
      </c>
    </row>
    <row r="904" customFormat="false" ht="15" hidden="false" customHeight="false" outlineLevel="0" collapsed="false">
      <c r="A904" s="5" t="n">
        <v>2</v>
      </c>
      <c r="B904" s="5" t="n">
        <v>4</v>
      </c>
      <c r="C904" s="5" t="s">
        <v>97</v>
      </c>
      <c r="D904" s="5" t="s">
        <v>527</v>
      </c>
      <c r="E904" s="5" t="n">
        <v>2</v>
      </c>
      <c r="F904" s="6" t="n">
        <f aca="false">IFERROR(MATCH(A904&amp;"|"&amp;B904&amp;"|"&amp;D904,'All Song Rankings'!$T:$T,0),0)</f>
        <v>139</v>
      </c>
      <c r="G904" s="6" t="str">
        <f aca="false">IF(F904=0,"NOT FOUND",INDEX('All Song Rankings'!$A:$A,F904))</f>
        <v>Oblivian</v>
      </c>
      <c r="H904" s="6" t="str">
        <f aca="false">IF(F904=0,"NOT FOUND",INDEX('All Song Rankings'!$B:$B,F904))</f>
        <v>Grimes</v>
      </c>
      <c r="I904" s="6" t="str">
        <f aca="false">IF(F904=0,"NOT FOUND",INDEX('All Song Rankings'!$D:$D,F904))</f>
        <v>Leah</v>
      </c>
      <c r="J904" s="7" t="str">
        <f aca="false">IF(F904=0,"NOT FOUND",IF(C904=I904,"SELF-VOTE",IF(COUNTIF($K:$K,K904)&gt;1,"DUPLICATE","OK")))</f>
        <v>OK</v>
      </c>
      <c r="K904" s="6" t="str">
        <f aca="false">A904&amp;"|"&amp;B904&amp;"|"&amp;C904&amp;"|"&amp;D904</f>
        <v>2|4|Stephanie|spotify:track:3LGsgpx4TfxhXbr07OFKqs</v>
      </c>
    </row>
    <row r="905" customFormat="false" ht="15" hidden="false" customHeight="false" outlineLevel="0" collapsed="false">
      <c r="A905" s="5" t="n">
        <v>2</v>
      </c>
      <c r="B905" s="5" t="n">
        <v>4</v>
      </c>
      <c r="C905" s="5" t="s">
        <v>97</v>
      </c>
      <c r="D905" s="5" t="s">
        <v>503</v>
      </c>
      <c r="E905" s="5" t="n">
        <v>1</v>
      </c>
      <c r="F905" s="6" t="n">
        <f aca="false">IFERROR(MATCH(A905&amp;"|"&amp;B905&amp;"|"&amp;D905,'All Song Rankings'!$T:$T,0),0)</f>
        <v>131</v>
      </c>
      <c r="G905" s="6" t="str">
        <f aca="false">IF(F905=0,"NOT FOUND",INDEX('All Song Rankings'!$A:$A,F905))</f>
        <v>Robot Rock</v>
      </c>
      <c r="H905" s="6" t="str">
        <f aca="false">IF(F905=0,"NOT FOUND",INDEX('All Song Rankings'!$B:$B,F905))</f>
        <v>Daft Punk</v>
      </c>
      <c r="I905" s="6" t="str">
        <f aca="false">IF(F905=0,"NOT FOUND",INDEX('All Song Rankings'!$D:$D,F905))</f>
        <v>Scott</v>
      </c>
      <c r="J905" s="7" t="str">
        <f aca="false">IF(F905=0,"NOT FOUND",IF(C905=I905,"SELF-VOTE",IF(COUNTIF($K:$K,K905)&gt;1,"DUPLICATE","OK")))</f>
        <v>OK</v>
      </c>
      <c r="K905" s="6" t="str">
        <f aca="false">A905&amp;"|"&amp;B905&amp;"|"&amp;C905&amp;"|"&amp;D905</f>
        <v>2|4|Stephanie|spotify:track:4zu9wo2FXoBSsKjO6tRB3R</v>
      </c>
    </row>
    <row r="906" customFormat="false" ht="15" hidden="false" customHeight="false" outlineLevel="0" collapsed="false">
      <c r="A906" s="5" t="n">
        <v>2</v>
      </c>
      <c r="B906" s="5" t="n">
        <v>4</v>
      </c>
      <c r="C906" s="5" t="s">
        <v>97</v>
      </c>
      <c r="D906" s="5" t="s">
        <v>539</v>
      </c>
      <c r="E906" s="5" t="n">
        <v>1</v>
      </c>
      <c r="F906" s="6" t="n">
        <f aca="false">IFERROR(MATCH(A906&amp;"|"&amp;B906&amp;"|"&amp;D906,'All Song Rankings'!$T:$T,0),0)</f>
        <v>143</v>
      </c>
      <c r="G906" s="6" t="str">
        <f aca="false">IF(F906=0,"NOT FOUND",INDEX('All Song Rankings'!$A:$A,F906))</f>
        <v>Turn the Lights Off (feat. Jon) - Radio Edit</v>
      </c>
      <c r="H906" s="6" t="str">
        <f aca="false">IF(F906=0,"NOT FOUND",INDEX('All Song Rankings'!$B:$B,F906))</f>
        <v>Kato</v>
      </c>
      <c r="I906" s="6" t="str">
        <f aca="false">IF(F906=0,"NOT FOUND",INDEX('All Song Rankings'!$D:$D,F906))</f>
        <v>Makenzie</v>
      </c>
      <c r="J906" s="7" t="str">
        <f aca="false">IF(F906=0,"NOT FOUND",IF(C906=I906,"SELF-VOTE",IF(COUNTIF($K:$K,K906)&gt;1,"DUPLICATE","OK")))</f>
        <v>OK</v>
      </c>
      <c r="K906" s="6" t="str">
        <f aca="false">A906&amp;"|"&amp;B906&amp;"|"&amp;C906&amp;"|"&amp;D906</f>
        <v>2|4|Stephanie|spotify:track:7apywiCuMzvSZIa0SKeH99</v>
      </c>
    </row>
    <row r="907" customFormat="false" ht="15" hidden="false" customHeight="false" outlineLevel="0" collapsed="false">
      <c r="A907" s="5" t="n">
        <v>2</v>
      </c>
      <c r="B907" s="5" t="n">
        <v>5</v>
      </c>
      <c r="C907" s="5" t="s">
        <v>382</v>
      </c>
      <c r="D907" s="5" t="s">
        <v>552</v>
      </c>
      <c r="E907" s="5" t="n">
        <v>3</v>
      </c>
      <c r="F907" s="6" t="n">
        <f aca="false">IFERROR(MATCH(A907&amp;"|"&amp;B907&amp;"|"&amp;D907,'All Song Rankings'!$T:$T,0),0)</f>
        <v>147</v>
      </c>
      <c r="G907" s="6" t="str">
        <f aca="false">IF(F907=0,"NOT FOUND",INDEX('All Song Rankings'!$A:$A,F907))</f>
        <v>With A Little Help From My Friends</v>
      </c>
      <c r="H907" s="6" t="str">
        <f aca="false">IF(F907=0,"NOT FOUND",INDEX('All Song Rankings'!$B:$B,F907))</f>
        <v>Joe Cocker</v>
      </c>
      <c r="I907" s="6" t="str">
        <f aca="false">IF(F907=0,"NOT FOUND",INDEX('All Song Rankings'!$D:$D,F907))</f>
        <v>Stephanie</v>
      </c>
      <c r="J907" s="7" t="str">
        <f aca="false">IF(F907=0,"NOT FOUND",IF(C907=I907,"SELF-VOTE",IF(COUNTIF($K:$K,K907)&gt;1,"DUPLICATE","OK")))</f>
        <v>OK</v>
      </c>
      <c r="K907" s="6" t="str">
        <f aca="false">A907&amp;"|"&amp;B907&amp;"|"&amp;C907&amp;"|"&amp;D907</f>
        <v>2|5|Grace|spotify:track:0YZ3J8xzGwLOg4yEgST1YK</v>
      </c>
    </row>
    <row r="908" customFormat="false" ht="15" hidden="false" customHeight="false" outlineLevel="0" collapsed="false">
      <c r="A908" s="5" t="n">
        <v>2</v>
      </c>
      <c r="B908" s="5" t="n">
        <v>5</v>
      </c>
      <c r="C908" s="5" t="s">
        <v>382</v>
      </c>
      <c r="D908" s="5" t="s">
        <v>575</v>
      </c>
      <c r="E908" s="5" t="n">
        <v>1</v>
      </c>
      <c r="F908" s="6" t="n">
        <f aca="false">IFERROR(MATCH(A908&amp;"|"&amp;B908&amp;"|"&amp;D908,'All Song Rankings'!$T:$T,0),0)</f>
        <v>155</v>
      </c>
      <c r="G908" s="6" t="str">
        <f aca="false">IF(F908=0,"NOT FOUND",INDEX('All Song Rankings'!$A:$A,F908))</f>
        <v>Dancing On My Own</v>
      </c>
      <c r="H908" s="6" t="str">
        <f aca="false">IF(F908=0,"NOT FOUND",INDEX('All Song Rankings'!$B:$B,F908))</f>
        <v>Calum Scott</v>
      </c>
      <c r="I908" s="6" t="str">
        <f aca="false">IF(F908=0,"NOT FOUND",INDEX('All Song Rankings'!$D:$D,F908))</f>
        <v>Merita</v>
      </c>
      <c r="J908" s="7" t="str">
        <f aca="false">IF(F908=0,"NOT FOUND",IF(C908=I908,"SELF-VOTE",IF(COUNTIF($K:$K,K908)&gt;1,"DUPLICATE","OK")))</f>
        <v>OK</v>
      </c>
      <c r="K908" s="6" t="str">
        <f aca="false">A908&amp;"|"&amp;B908&amp;"|"&amp;C908&amp;"|"&amp;D908</f>
        <v>2|5|Grace|spotify:track:2BOqDYLOJBiMOXShCV1neZ</v>
      </c>
    </row>
    <row r="909" customFormat="false" ht="15" hidden="false" customHeight="false" outlineLevel="0" collapsed="false">
      <c r="A909" s="5" t="n">
        <v>2</v>
      </c>
      <c r="B909" s="5" t="n">
        <v>5</v>
      </c>
      <c r="C909" s="5" t="s">
        <v>382</v>
      </c>
      <c r="D909" s="5" t="s">
        <v>542</v>
      </c>
      <c r="E909" s="5" t="n">
        <v>1</v>
      </c>
      <c r="F909" s="6" t="n">
        <f aca="false">IFERROR(MATCH(A909&amp;"|"&amp;B909&amp;"|"&amp;D909,'All Song Rankings'!$T:$T,0),0)</f>
        <v>144</v>
      </c>
      <c r="G909" s="6" t="str">
        <f aca="false">IF(F909=0,"NOT FOUND",INDEX('All Song Rankings'!$A:$A,F909))</f>
        <v>I Will Always Love You</v>
      </c>
      <c r="H909" s="6" t="str">
        <f aca="false">IF(F909=0,"NOT FOUND",INDEX('All Song Rankings'!$B:$B,F909))</f>
        <v>Whitney Houston</v>
      </c>
      <c r="I909" s="6" t="str">
        <f aca="false">IF(F909=0,"NOT FOUND",INDEX('All Song Rankings'!$D:$D,F909))</f>
        <v>Logan</v>
      </c>
      <c r="J909" s="7" t="str">
        <f aca="false">IF(F909=0,"NOT FOUND",IF(C909=I909,"SELF-VOTE",IF(COUNTIF($K:$K,K909)&gt;1,"DUPLICATE","OK")))</f>
        <v>OK</v>
      </c>
      <c r="K909" s="6" t="str">
        <f aca="false">A909&amp;"|"&amp;B909&amp;"|"&amp;C909&amp;"|"&amp;D909</f>
        <v>2|5|Grace|spotify:track:4eHbdreAnSOrDDsFfc4Fpm</v>
      </c>
    </row>
    <row r="910" customFormat="false" ht="15" hidden="false" customHeight="false" outlineLevel="0" collapsed="false">
      <c r="A910" s="5" t="n">
        <v>2</v>
      </c>
      <c r="B910" s="5" t="n">
        <v>5</v>
      </c>
      <c r="C910" s="5" t="s">
        <v>382</v>
      </c>
      <c r="D910" s="5" t="s">
        <v>572</v>
      </c>
      <c r="E910" s="5" t="n">
        <v>3</v>
      </c>
      <c r="F910" s="6" t="n">
        <f aca="false">IFERROR(MATCH(A910&amp;"|"&amp;B910&amp;"|"&amp;D910,'All Song Rankings'!$T:$T,0),0)</f>
        <v>154</v>
      </c>
      <c r="G910" s="6" t="str">
        <f aca="false">IF(F910=0,"NOT FOUND",INDEX('All Song Rankings'!$A:$A,F910))</f>
        <v>Red Red Wine</v>
      </c>
      <c r="H910" s="6" t="str">
        <f aca="false">IF(F910=0,"NOT FOUND",INDEX('All Song Rankings'!$B:$B,F910))</f>
        <v>UB40</v>
      </c>
      <c r="I910" s="6" t="str">
        <f aca="false">IF(F910=0,"NOT FOUND",INDEX('All Song Rankings'!$D:$D,F910))</f>
        <v>Aubrey</v>
      </c>
      <c r="J910" s="7" t="str">
        <f aca="false">IF(F910=0,"NOT FOUND",IF(C910=I910,"SELF-VOTE",IF(COUNTIF($K:$K,K910)&gt;1,"DUPLICATE","OK")))</f>
        <v>OK</v>
      </c>
      <c r="K910" s="6" t="str">
        <f aca="false">A910&amp;"|"&amp;B910&amp;"|"&amp;C910&amp;"|"&amp;D910</f>
        <v>2|5|Grace|spotify:track:4uOKFydzAejjSFqYbv1XPt</v>
      </c>
    </row>
    <row r="911" customFormat="false" ht="15" hidden="false" customHeight="false" outlineLevel="0" collapsed="false">
      <c r="A911" s="5" t="n">
        <v>2</v>
      </c>
      <c r="B911" s="5" t="n">
        <v>5</v>
      </c>
      <c r="C911" s="5" t="s">
        <v>382</v>
      </c>
      <c r="D911" s="5" t="s">
        <v>569</v>
      </c>
      <c r="E911" s="5" t="n">
        <v>2</v>
      </c>
      <c r="F911" s="6" t="n">
        <f aca="false">IFERROR(MATCH(A911&amp;"|"&amp;B911&amp;"|"&amp;D911,'All Song Rankings'!$T:$T,0),0)</f>
        <v>153</v>
      </c>
      <c r="G911" s="6" t="str">
        <f aca="false">IF(F911=0,"NOT FOUND",INDEX('All Song Rankings'!$A:$A,F911))</f>
        <v>Valerie (feat. Amy Winehouse) - Version Revisited</v>
      </c>
      <c r="H911" s="6" t="str">
        <f aca="false">IF(F911=0,"NOT FOUND",INDEX('All Song Rankings'!$B:$B,F911))</f>
        <v>Mark Ronson, Amy Winehouse</v>
      </c>
      <c r="I911" s="6" t="str">
        <f aca="false">IF(F911=0,"NOT FOUND",INDEX('All Song Rankings'!$D:$D,F911))</f>
        <v>Kelsey</v>
      </c>
      <c r="J911" s="7" t="str">
        <f aca="false">IF(F911=0,"NOT FOUND",IF(C911=I911,"SELF-VOTE",IF(COUNTIF($K:$K,K911)&gt;1,"DUPLICATE","OK")))</f>
        <v>OK</v>
      </c>
      <c r="K911" s="6" t="str">
        <f aca="false">A911&amp;"|"&amp;B911&amp;"|"&amp;C911&amp;"|"&amp;D911</f>
        <v>2|5|Grace|spotify:track:6kopmMZiyLmw7h66uXcXR7</v>
      </c>
    </row>
    <row r="912" customFormat="false" ht="15" hidden="false" customHeight="false" outlineLevel="0" collapsed="false">
      <c r="A912" s="5" t="n">
        <v>2</v>
      </c>
      <c r="B912" s="5" t="n">
        <v>5</v>
      </c>
      <c r="C912" s="5" t="s">
        <v>85</v>
      </c>
      <c r="D912" s="5" t="s">
        <v>555</v>
      </c>
      <c r="E912" s="5" t="n">
        <v>1</v>
      </c>
      <c r="F912" s="6" t="n">
        <f aca="false">IFERROR(MATCH(A912&amp;"|"&amp;B912&amp;"|"&amp;D912,'All Song Rankings'!$T:$T,0),0)</f>
        <v>148</v>
      </c>
      <c r="G912" s="6" t="str">
        <f aca="false">IF(F912=0,"NOT FOUND",INDEX('All Song Rankings'!$A:$A,F912))</f>
        <v>The Sound of Silence</v>
      </c>
      <c r="H912" s="6" t="str">
        <f aca="false">IF(F912=0,"NOT FOUND",INDEX('All Song Rankings'!$B:$B,F912))</f>
        <v>Disturbed</v>
      </c>
      <c r="I912" s="6" t="str">
        <f aca="false">IF(F912=0,"NOT FOUND",INDEX('All Song Rankings'!$D:$D,F912))</f>
        <v>Leah</v>
      </c>
      <c r="J912" s="7" t="str">
        <f aca="false">IF(F912=0,"NOT FOUND",IF(C912=I912,"SELF-VOTE",IF(COUNTIF($K:$K,K912)&gt;1,"DUPLICATE","OK")))</f>
        <v>OK</v>
      </c>
      <c r="K912" s="6" t="str">
        <f aca="false">A912&amp;"|"&amp;B912&amp;"|"&amp;C912&amp;"|"&amp;D912</f>
        <v>2|5|Kelsey|spotify:track:1Cj2vqUwlJVG27gJrun92y</v>
      </c>
    </row>
    <row r="913" customFormat="false" ht="15" hidden="false" customHeight="false" outlineLevel="0" collapsed="false">
      <c r="A913" s="5" t="n">
        <v>2</v>
      </c>
      <c r="B913" s="5" t="n">
        <v>5</v>
      </c>
      <c r="C913" s="5" t="s">
        <v>85</v>
      </c>
      <c r="D913" s="5" t="s">
        <v>575</v>
      </c>
      <c r="E913" s="5" t="n">
        <v>1</v>
      </c>
      <c r="F913" s="6" t="n">
        <f aca="false">IFERROR(MATCH(A913&amp;"|"&amp;B913&amp;"|"&amp;D913,'All Song Rankings'!$T:$T,0),0)</f>
        <v>155</v>
      </c>
      <c r="G913" s="6" t="str">
        <f aca="false">IF(F913=0,"NOT FOUND",INDEX('All Song Rankings'!$A:$A,F913))</f>
        <v>Dancing On My Own</v>
      </c>
      <c r="H913" s="6" t="str">
        <f aca="false">IF(F913=0,"NOT FOUND",INDEX('All Song Rankings'!$B:$B,F913))</f>
        <v>Calum Scott</v>
      </c>
      <c r="I913" s="6" t="str">
        <f aca="false">IF(F913=0,"NOT FOUND",INDEX('All Song Rankings'!$D:$D,F913))</f>
        <v>Merita</v>
      </c>
      <c r="J913" s="7" t="str">
        <f aca="false">IF(F913=0,"NOT FOUND",IF(C913=I913,"SELF-VOTE",IF(COUNTIF($K:$K,K913)&gt;1,"DUPLICATE","OK")))</f>
        <v>OK</v>
      </c>
      <c r="K913" s="6" t="str">
        <f aca="false">A913&amp;"|"&amp;B913&amp;"|"&amp;C913&amp;"|"&amp;D913</f>
        <v>2|5|Kelsey|spotify:track:2BOqDYLOJBiMOXShCV1neZ</v>
      </c>
    </row>
    <row r="914" customFormat="false" ht="15" hidden="false" customHeight="false" outlineLevel="0" collapsed="false">
      <c r="A914" s="5" t="n">
        <v>2</v>
      </c>
      <c r="B914" s="5" t="n">
        <v>5</v>
      </c>
      <c r="C914" s="5" t="s">
        <v>85</v>
      </c>
      <c r="D914" s="5" t="s">
        <v>545</v>
      </c>
      <c r="E914" s="5" t="n">
        <v>1</v>
      </c>
      <c r="F914" s="6" t="n">
        <f aca="false">IFERROR(MATCH(A914&amp;"|"&amp;B914&amp;"|"&amp;D914,'All Song Rankings'!$T:$T,0),0)</f>
        <v>145</v>
      </c>
      <c r="G914" s="6" t="str">
        <f aca="false">IF(F914=0,"NOT FOUND",INDEX('All Song Rankings'!$A:$A,F914))</f>
        <v>I Love Rock 'N Roll</v>
      </c>
      <c r="H914" s="6" t="str">
        <f aca="false">IF(F914=0,"NOT FOUND",INDEX('All Song Rankings'!$B:$B,F914))</f>
        <v>Joan Jett &amp; the Blackhearts</v>
      </c>
      <c r="I914" s="6" t="str">
        <f aca="false">IF(F914=0,"NOT FOUND",INDEX('All Song Rankings'!$D:$D,F914))</f>
        <v>Scott</v>
      </c>
      <c r="J914" s="7" t="str">
        <f aca="false">IF(F914=0,"NOT FOUND",IF(C914=I914,"SELF-VOTE",IF(COUNTIF($K:$K,K914)&gt;1,"DUPLICATE","OK")))</f>
        <v>OK</v>
      </c>
      <c r="K914" s="6" t="str">
        <f aca="false">A914&amp;"|"&amp;B914&amp;"|"&amp;C914&amp;"|"&amp;D914</f>
        <v>2|5|Kelsey|spotify:track:2Cdvbe2G4hZsnhNMKyGrie</v>
      </c>
    </row>
    <row r="915" customFormat="false" ht="15" hidden="false" customHeight="false" outlineLevel="0" collapsed="false">
      <c r="A915" s="5" t="n">
        <v>2</v>
      </c>
      <c r="B915" s="5" t="n">
        <v>5</v>
      </c>
      <c r="C915" s="5" t="s">
        <v>85</v>
      </c>
      <c r="D915" s="5" t="s">
        <v>563</v>
      </c>
      <c r="E915" s="5" t="n">
        <v>1</v>
      </c>
      <c r="F915" s="6" t="n">
        <f aca="false">IFERROR(MATCH(A915&amp;"|"&amp;B915&amp;"|"&amp;D915,'All Song Rankings'!$T:$T,0),0)</f>
        <v>151</v>
      </c>
      <c r="G915" s="6" t="str">
        <f aca="false">IF(F915=0,"NOT FOUND",INDEX('All Song Rankings'!$A:$A,F915))</f>
        <v>Into the Unknown - Panic! At The Disco Version</v>
      </c>
      <c r="H915" s="6" t="str">
        <f aca="false">IF(F915=0,"NOT FOUND",INDEX('All Song Rankings'!$B:$B,F915))</f>
        <v>Panic! At The Disco</v>
      </c>
      <c r="I915" s="6" t="str">
        <f aca="false">IF(F915=0,"NOT FOUND",INDEX('All Song Rankings'!$D:$D,F915))</f>
        <v>Kristen</v>
      </c>
      <c r="J915" s="7" t="str">
        <f aca="false">IF(F915=0,"NOT FOUND",IF(C915=I915,"SELF-VOTE",IF(COUNTIF($K:$K,K915)&gt;1,"DUPLICATE","OK")))</f>
        <v>OK</v>
      </c>
      <c r="K915" s="6" t="str">
        <f aca="false">A915&amp;"|"&amp;B915&amp;"|"&amp;C915&amp;"|"&amp;D915</f>
        <v>2|5|Kelsey|spotify:track:421eObjg0DTm2qajJl5OJm</v>
      </c>
    </row>
    <row r="916" customFormat="false" ht="15" hidden="false" customHeight="false" outlineLevel="0" collapsed="false">
      <c r="A916" s="5" t="n">
        <v>2</v>
      </c>
      <c r="B916" s="5" t="n">
        <v>5</v>
      </c>
      <c r="C916" s="5" t="s">
        <v>85</v>
      </c>
      <c r="D916" s="5" t="s">
        <v>542</v>
      </c>
      <c r="E916" s="5" t="n">
        <v>2</v>
      </c>
      <c r="F916" s="6" t="n">
        <f aca="false">IFERROR(MATCH(A916&amp;"|"&amp;B916&amp;"|"&amp;D916,'All Song Rankings'!$T:$T,0),0)</f>
        <v>144</v>
      </c>
      <c r="G916" s="6" t="str">
        <f aca="false">IF(F916=0,"NOT FOUND",INDEX('All Song Rankings'!$A:$A,F916))</f>
        <v>I Will Always Love You</v>
      </c>
      <c r="H916" s="6" t="str">
        <f aca="false">IF(F916=0,"NOT FOUND",INDEX('All Song Rankings'!$B:$B,F916))</f>
        <v>Whitney Houston</v>
      </c>
      <c r="I916" s="6" t="str">
        <f aca="false">IF(F916=0,"NOT FOUND",INDEX('All Song Rankings'!$D:$D,F916))</f>
        <v>Logan</v>
      </c>
      <c r="J916" s="7" t="str">
        <f aca="false">IF(F916=0,"NOT FOUND",IF(C916=I916,"SELF-VOTE",IF(COUNTIF($K:$K,K916)&gt;1,"DUPLICATE","OK")))</f>
        <v>OK</v>
      </c>
      <c r="K916" s="6" t="str">
        <f aca="false">A916&amp;"|"&amp;B916&amp;"|"&amp;C916&amp;"|"&amp;D916</f>
        <v>2|5|Kelsey|spotify:track:4eHbdreAnSOrDDsFfc4Fpm</v>
      </c>
    </row>
    <row r="917" customFormat="false" ht="15" hidden="false" customHeight="false" outlineLevel="0" collapsed="false">
      <c r="A917" s="5" t="n">
        <v>2</v>
      </c>
      <c r="B917" s="5" t="n">
        <v>5</v>
      </c>
      <c r="C917" s="5" t="s">
        <v>85</v>
      </c>
      <c r="D917" s="5" t="s">
        <v>572</v>
      </c>
      <c r="E917" s="5" t="n">
        <v>2</v>
      </c>
      <c r="F917" s="6" t="n">
        <f aca="false">IFERROR(MATCH(A917&amp;"|"&amp;B917&amp;"|"&amp;D917,'All Song Rankings'!$T:$T,0),0)</f>
        <v>154</v>
      </c>
      <c r="G917" s="6" t="str">
        <f aca="false">IF(F917=0,"NOT FOUND",INDEX('All Song Rankings'!$A:$A,F917))</f>
        <v>Red Red Wine</v>
      </c>
      <c r="H917" s="6" t="str">
        <f aca="false">IF(F917=0,"NOT FOUND",INDEX('All Song Rankings'!$B:$B,F917))</f>
        <v>UB40</v>
      </c>
      <c r="I917" s="6" t="str">
        <f aca="false">IF(F917=0,"NOT FOUND",INDEX('All Song Rankings'!$D:$D,F917))</f>
        <v>Aubrey</v>
      </c>
      <c r="J917" s="7" t="str">
        <f aca="false">IF(F917=0,"NOT FOUND",IF(C917=I917,"SELF-VOTE",IF(COUNTIF($K:$K,K917)&gt;1,"DUPLICATE","OK")))</f>
        <v>OK</v>
      </c>
      <c r="K917" s="6" t="str">
        <f aca="false">A917&amp;"|"&amp;B917&amp;"|"&amp;C917&amp;"|"&amp;D917</f>
        <v>2|5|Kelsey|spotify:track:4uOKFydzAejjSFqYbv1XPt</v>
      </c>
    </row>
    <row r="918" customFormat="false" ht="15" hidden="false" customHeight="false" outlineLevel="0" collapsed="false">
      <c r="A918" s="5" t="n">
        <v>2</v>
      </c>
      <c r="B918" s="5" t="n">
        <v>5</v>
      </c>
      <c r="C918" s="5" t="s">
        <v>85</v>
      </c>
      <c r="D918" s="5" t="s">
        <v>561</v>
      </c>
      <c r="E918" s="5" t="n">
        <v>1</v>
      </c>
      <c r="F918" s="6" t="n">
        <f aca="false">IFERROR(MATCH(A918&amp;"|"&amp;B918&amp;"|"&amp;D918,'All Song Rankings'!$T:$T,0),0)</f>
        <v>150</v>
      </c>
      <c r="G918" s="6" t="str">
        <f aca="false">IF(F918=0,"NOT FOUND",INDEX('All Song Rankings'!$A:$A,F918))</f>
        <v>Valerie - BBC Radio 1 Live Lounge</v>
      </c>
      <c r="H918" s="6" t="str">
        <f aca="false">IF(F918=0,"NOT FOUND",INDEX('All Song Rankings'!$B:$B,F918))</f>
        <v>Amy Winehouse</v>
      </c>
      <c r="I918" s="6" t="str">
        <f aca="false">IF(F918=0,"NOT FOUND",INDEX('All Song Rankings'!$D:$D,F918))</f>
        <v>Matt</v>
      </c>
      <c r="J918" s="7" t="str">
        <f aca="false">IF(F918=0,"NOT FOUND",IF(C918=I918,"SELF-VOTE",IF(COUNTIF($K:$K,K918)&gt;1,"DUPLICATE","OK")))</f>
        <v>OK</v>
      </c>
      <c r="K918" s="6" t="str">
        <f aca="false">A918&amp;"|"&amp;B918&amp;"|"&amp;C918&amp;"|"&amp;D918</f>
        <v>2|5|Kelsey|spotify:track:5it9RIRXDwiLpJKdce6Z7e</v>
      </c>
    </row>
    <row r="919" customFormat="false" ht="15" hidden="false" customHeight="false" outlineLevel="0" collapsed="false">
      <c r="A919" s="5" t="n">
        <v>2</v>
      </c>
      <c r="B919" s="5" t="n">
        <v>5</v>
      </c>
      <c r="C919" s="5" t="s">
        <v>85</v>
      </c>
      <c r="D919" s="5" t="s">
        <v>558</v>
      </c>
      <c r="E919" s="5" t="n">
        <v>1</v>
      </c>
      <c r="F919" s="6" t="n">
        <f aca="false">IFERROR(MATCH(A919&amp;"|"&amp;B919&amp;"|"&amp;D919,'All Song Rankings'!$T:$T,0),0)</f>
        <v>149</v>
      </c>
      <c r="G919" s="6" t="str">
        <f aca="false">IF(F919=0,"NOT FOUND",INDEX('All Song Rankings'!$A:$A,F919))</f>
        <v>Over My Head (Cable Car)</v>
      </c>
      <c r="H919" s="6" t="str">
        <f aca="false">IF(F919=0,"NOT FOUND",INDEX('All Song Rankings'!$B:$B,F919))</f>
        <v>A Day to Remember</v>
      </c>
      <c r="I919" s="6" t="str">
        <f aca="false">IF(F919=0,"NOT FOUND",INDEX('All Song Rankings'!$D:$D,F919))</f>
        <v>Nicole</v>
      </c>
      <c r="J919" s="7" t="str">
        <f aca="false">IF(F919=0,"NOT FOUND",IF(C919=I919,"SELF-VOTE",IF(COUNTIF($K:$K,K919)&gt;1,"DUPLICATE","OK")))</f>
        <v>OK</v>
      </c>
      <c r="K919" s="6" t="str">
        <f aca="false">A919&amp;"|"&amp;B919&amp;"|"&amp;C919&amp;"|"&amp;D919</f>
        <v>2|5|Kelsey|spotify:track:6qXdC5KUAii87YnD9MOGG9</v>
      </c>
    </row>
    <row r="920" customFormat="false" ht="15" hidden="false" customHeight="false" outlineLevel="0" collapsed="false">
      <c r="A920" s="5" t="n">
        <v>2</v>
      </c>
      <c r="B920" s="5" t="n">
        <v>5</v>
      </c>
      <c r="C920" s="5" t="s">
        <v>106</v>
      </c>
      <c r="D920" s="5" t="s">
        <v>555</v>
      </c>
      <c r="E920" s="5" t="n">
        <v>1</v>
      </c>
      <c r="F920" s="6" t="n">
        <f aca="false">IFERROR(MATCH(A920&amp;"|"&amp;B920&amp;"|"&amp;D920,'All Song Rankings'!$T:$T,0),0)</f>
        <v>148</v>
      </c>
      <c r="G920" s="6" t="str">
        <f aca="false">IF(F920=0,"NOT FOUND",INDEX('All Song Rankings'!$A:$A,F920))</f>
        <v>The Sound of Silence</v>
      </c>
      <c r="H920" s="6" t="str">
        <f aca="false">IF(F920=0,"NOT FOUND",INDEX('All Song Rankings'!$B:$B,F920))</f>
        <v>Disturbed</v>
      </c>
      <c r="I920" s="6" t="str">
        <f aca="false">IF(F920=0,"NOT FOUND",INDEX('All Song Rankings'!$D:$D,F920))</f>
        <v>Leah</v>
      </c>
      <c r="J920" s="7" t="str">
        <f aca="false">IF(F920=0,"NOT FOUND",IF(C920=I920,"SELF-VOTE",IF(COUNTIF($K:$K,K920)&gt;1,"DUPLICATE","OK")))</f>
        <v>OK</v>
      </c>
      <c r="K920" s="6" t="str">
        <f aca="false">A920&amp;"|"&amp;B920&amp;"|"&amp;C920&amp;"|"&amp;D920</f>
        <v>2|5|Kristen|spotify:track:1Cj2vqUwlJVG27gJrun92y</v>
      </c>
    </row>
    <row r="921" customFormat="false" ht="15" hidden="false" customHeight="false" outlineLevel="0" collapsed="false">
      <c r="A921" s="5" t="n">
        <v>2</v>
      </c>
      <c r="B921" s="5" t="n">
        <v>5</v>
      </c>
      <c r="C921" s="5" t="s">
        <v>106</v>
      </c>
      <c r="D921" s="5" t="s">
        <v>575</v>
      </c>
      <c r="E921" s="5" t="n">
        <v>2</v>
      </c>
      <c r="F921" s="6" t="n">
        <f aca="false">IFERROR(MATCH(A921&amp;"|"&amp;B921&amp;"|"&amp;D921,'All Song Rankings'!$T:$T,0),0)</f>
        <v>155</v>
      </c>
      <c r="G921" s="6" t="str">
        <f aca="false">IF(F921=0,"NOT FOUND",INDEX('All Song Rankings'!$A:$A,F921))</f>
        <v>Dancing On My Own</v>
      </c>
      <c r="H921" s="6" t="str">
        <f aca="false">IF(F921=0,"NOT FOUND",INDEX('All Song Rankings'!$B:$B,F921))</f>
        <v>Calum Scott</v>
      </c>
      <c r="I921" s="6" t="str">
        <f aca="false">IF(F921=0,"NOT FOUND",INDEX('All Song Rankings'!$D:$D,F921))</f>
        <v>Merita</v>
      </c>
      <c r="J921" s="7" t="str">
        <f aca="false">IF(F921=0,"NOT FOUND",IF(C921=I921,"SELF-VOTE",IF(COUNTIF($K:$K,K921)&gt;1,"DUPLICATE","OK")))</f>
        <v>OK</v>
      </c>
      <c r="K921" s="6" t="str">
        <f aca="false">A921&amp;"|"&amp;B921&amp;"|"&amp;C921&amp;"|"&amp;D921</f>
        <v>2|5|Kristen|spotify:track:2BOqDYLOJBiMOXShCV1neZ</v>
      </c>
    </row>
    <row r="922" customFormat="false" ht="15" hidden="false" customHeight="false" outlineLevel="0" collapsed="false">
      <c r="A922" s="5" t="n">
        <v>2</v>
      </c>
      <c r="B922" s="5" t="n">
        <v>5</v>
      </c>
      <c r="C922" s="5" t="s">
        <v>106</v>
      </c>
      <c r="D922" s="5" t="s">
        <v>545</v>
      </c>
      <c r="E922" s="5" t="n">
        <v>1</v>
      </c>
      <c r="F922" s="6" t="n">
        <f aca="false">IFERROR(MATCH(A922&amp;"|"&amp;B922&amp;"|"&amp;D922,'All Song Rankings'!$T:$T,0),0)</f>
        <v>145</v>
      </c>
      <c r="G922" s="6" t="str">
        <f aca="false">IF(F922=0,"NOT FOUND",INDEX('All Song Rankings'!$A:$A,F922))</f>
        <v>I Love Rock 'N Roll</v>
      </c>
      <c r="H922" s="6" t="str">
        <f aca="false">IF(F922=0,"NOT FOUND",INDEX('All Song Rankings'!$B:$B,F922))</f>
        <v>Joan Jett &amp; the Blackhearts</v>
      </c>
      <c r="I922" s="6" t="str">
        <f aca="false">IF(F922=0,"NOT FOUND",INDEX('All Song Rankings'!$D:$D,F922))</f>
        <v>Scott</v>
      </c>
      <c r="J922" s="7" t="str">
        <f aca="false">IF(F922=0,"NOT FOUND",IF(C922=I922,"SELF-VOTE",IF(COUNTIF($K:$K,K922)&gt;1,"DUPLICATE","OK")))</f>
        <v>OK</v>
      </c>
      <c r="K922" s="6" t="str">
        <f aca="false">A922&amp;"|"&amp;B922&amp;"|"&amp;C922&amp;"|"&amp;D922</f>
        <v>2|5|Kristen|spotify:track:2Cdvbe2G4hZsnhNMKyGrie</v>
      </c>
    </row>
    <row r="923" customFormat="false" ht="15" hidden="false" customHeight="false" outlineLevel="0" collapsed="false">
      <c r="A923" s="5" t="n">
        <v>2</v>
      </c>
      <c r="B923" s="5" t="n">
        <v>5</v>
      </c>
      <c r="C923" s="5" t="s">
        <v>106</v>
      </c>
      <c r="D923" s="5" t="s">
        <v>542</v>
      </c>
      <c r="E923" s="5" t="n">
        <v>1</v>
      </c>
      <c r="F923" s="6" t="n">
        <f aca="false">IFERROR(MATCH(A923&amp;"|"&amp;B923&amp;"|"&amp;D923,'All Song Rankings'!$T:$T,0),0)</f>
        <v>144</v>
      </c>
      <c r="G923" s="6" t="str">
        <f aca="false">IF(F923=0,"NOT FOUND",INDEX('All Song Rankings'!$A:$A,F923))</f>
        <v>I Will Always Love You</v>
      </c>
      <c r="H923" s="6" t="str">
        <f aca="false">IF(F923=0,"NOT FOUND",INDEX('All Song Rankings'!$B:$B,F923))</f>
        <v>Whitney Houston</v>
      </c>
      <c r="I923" s="6" t="str">
        <f aca="false">IF(F923=0,"NOT FOUND",INDEX('All Song Rankings'!$D:$D,F923))</f>
        <v>Logan</v>
      </c>
      <c r="J923" s="7" t="str">
        <f aca="false">IF(F923=0,"NOT FOUND",IF(C923=I923,"SELF-VOTE",IF(COUNTIF($K:$K,K923)&gt;1,"DUPLICATE","OK")))</f>
        <v>OK</v>
      </c>
      <c r="K923" s="6" t="str">
        <f aca="false">A923&amp;"|"&amp;B923&amp;"|"&amp;C923&amp;"|"&amp;D923</f>
        <v>2|5|Kristen|spotify:track:4eHbdreAnSOrDDsFfc4Fpm</v>
      </c>
    </row>
    <row r="924" customFormat="false" ht="15" hidden="false" customHeight="false" outlineLevel="0" collapsed="false">
      <c r="A924" s="5" t="n">
        <v>2</v>
      </c>
      <c r="B924" s="5" t="n">
        <v>5</v>
      </c>
      <c r="C924" s="5" t="s">
        <v>106</v>
      </c>
      <c r="D924" s="5" t="s">
        <v>572</v>
      </c>
      <c r="E924" s="5" t="n">
        <v>1</v>
      </c>
      <c r="F924" s="6" t="n">
        <f aca="false">IFERROR(MATCH(A924&amp;"|"&amp;B924&amp;"|"&amp;D924,'All Song Rankings'!$T:$T,0),0)</f>
        <v>154</v>
      </c>
      <c r="G924" s="6" t="str">
        <f aca="false">IF(F924=0,"NOT FOUND",INDEX('All Song Rankings'!$A:$A,F924))</f>
        <v>Red Red Wine</v>
      </c>
      <c r="H924" s="6" t="str">
        <f aca="false">IF(F924=0,"NOT FOUND",INDEX('All Song Rankings'!$B:$B,F924))</f>
        <v>UB40</v>
      </c>
      <c r="I924" s="6" t="str">
        <f aca="false">IF(F924=0,"NOT FOUND",INDEX('All Song Rankings'!$D:$D,F924))</f>
        <v>Aubrey</v>
      </c>
      <c r="J924" s="7" t="str">
        <f aca="false">IF(F924=0,"NOT FOUND",IF(C924=I924,"SELF-VOTE",IF(COUNTIF($K:$K,K924)&gt;1,"DUPLICATE","OK")))</f>
        <v>OK</v>
      </c>
      <c r="K924" s="6" t="str">
        <f aca="false">A924&amp;"|"&amp;B924&amp;"|"&amp;C924&amp;"|"&amp;D924</f>
        <v>2|5|Kristen|spotify:track:4uOKFydzAejjSFqYbv1XPt</v>
      </c>
    </row>
    <row r="925" customFormat="false" ht="15" hidden="false" customHeight="false" outlineLevel="0" collapsed="false">
      <c r="A925" s="5" t="n">
        <v>2</v>
      </c>
      <c r="B925" s="5" t="n">
        <v>5</v>
      </c>
      <c r="C925" s="5" t="s">
        <v>106</v>
      </c>
      <c r="D925" s="5" t="s">
        <v>549</v>
      </c>
      <c r="E925" s="5" t="n">
        <v>2</v>
      </c>
      <c r="F925" s="6" t="n">
        <f aca="false">IFERROR(MATCH(A925&amp;"|"&amp;B925&amp;"|"&amp;D925,'All Song Rankings'!$T:$T,0),0)</f>
        <v>146</v>
      </c>
      <c r="G925" s="6" t="str">
        <f aca="false">IF(F925=0,"NOT FOUND",INDEX('All Song Rankings'!$A:$A,F925))</f>
        <v>Istanbul (Not Constantinople)</v>
      </c>
      <c r="H925" s="6" t="str">
        <f aca="false">IF(F925=0,"NOT FOUND",INDEX('All Song Rankings'!$B:$B,F925))</f>
        <v>They Might Be Giants</v>
      </c>
      <c r="I925" s="6" t="str">
        <f aca="false">IF(F925=0,"NOT FOUND",INDEX('All Song Rankings'!$D:$D,F925))</f>
        <v>Grace</v>
      </c>
      <c r="J925" s="7" t="str">
        <f aca="false">IF(F925=0,"NOT FOUND",IF(C925=I925,"SELF-VOTE",IF(COUNTIF($K:$K,K925)&gt;1,"DUPLICATE","OK")))</f>
        <v>OK</v>
      </c>
      <c r="K925" s="6" t="str">
        <f aca="false">A925&amp;"|"&amp;B925&amp;"|"&amp;C925&amp;"|"&amp;D925</f>
        <v>2|5|Kristen|spotify:track:63vL5oxWrlvaJ0ayNaQnbX</v>
      </c>
    </row>
    <row r="926" customFormat="false" ht="15" hidden="false" customHeight="false" outlineLevel="0" collapsed="false">
      <c r="A926" s="5" t="n">
        <v>2</v>
      </c>
      <c r="B926" s="5" t="n">
        <v>5</v>
      </c>
      <c r="C926" s="5" t="s">
        <v>106</v>
      </c>
      <c r="D926" s="5" t="s">
        <v>566</v>
      </c>
      <c r="E926" s="5" t="n">
        <v>2</v>
      </c>
      <c r="F926" s="6" t="n">
        <f aca="false">IFERROR(MATCH(A926&amp;"|"&amp;B926&amp;"|"&amp;D926,'All Song Rankings'!$T:$T,0),0)</f>
        <v>152</v>
      </c>
      <c r="G926" s="6" t="str">
        <f aca="false">IF(F926=0,"NOT FOUND",INDEX('All Song Rankings'!$A:$A,F926))</f>
        <v>Word Up!</v>
      </c>
      <c r="H926" s="6" t="str">
        <f aca="false">IF(F926=0,"NOT FOUND",INDEX('All Song Rankings'!$B:$B,F926))</f>
        <v>Korn</v>
      </c>
      <c r="I926" s="6" t="str">
        <f aca="false">IF(F926=0,"NOT FOUND",INDEX('All Song Rankings'!$D:$D,F926))</f>
        <v>Shayne</v>
      </c>
      <c r="J926" s="7" t="str">
        <f aca="false">IF(F926=0,"NOT FOUND",IF(C926=I926,"SELF-VOTE",IF(COUNTIF($K:$K,K926)&gt;1,"DUPLICATE","OK")))</f>
        <v>OK</v>
      </c>
      <c r="K926" s="6" t="str">
        <f aca="false">A926&amp;"|"&amp;B926&amp;"|"&amp;C926&amp;"|"&amp;D926</f>
        <v>2|5|Kristen|spotify:track:73U1KkjdT0sMgGaKn3P6Z4</v>
      </c>
    </row>
    <row r="927" customFormat="false" ht="15" hidden="false" customHeight="false" outlineLevel="0" collapsed="false">
      <c r="A927" s="5" t="n">
        <v>2</v>
      </c>
      <c r="B927" s="5" t="n">
        <v>5</v>
      </c>
      <c r="C927" s="5" t="s">
        <v>119</v>
      </c>
      <c r="D927" s="5" t="s">
        <v>552</v>
      </c>
      <c r="E927" s="5" t="n">
        <v>1</v>
      </c>
      <c r="F927" s="6" t="n">
        <f aca="false">IFERROR(MATCH(A927&amp;"|"&amp;B927&amp;"|"&amp;D927,'All Song Rankings'!$T:$T,0),0)</f>
        <v>147</v>
      </c>
      <c r="G927" s="6" t="str">
        <f aca="false">IF(F927=0,"NOT FOUND",INDEX('All Song Rankings'!$A:$A,F927))</f>
        <v>With A Little Help From My Friends</v>
      </c>
      <c r="H927" s="6" t="str">
        <f aca="false">IF(F927=0,"NOT FOUND",INDEX('All Song Rankings'!$B:$B,F927))</f>
        <v>Joe Cocker</v>
      </c>
      <c r="I927" s="6" t="str">
        <f aca="false">IF(F927=0,"NOT FOUND",INDEX('All Song Rankings'!$D:$D,F927))</f>
        <v>Stephanie</v>
      </c>
      <c r="J927" s="7" t="str">
        <f aca="false">IF(F927=0,"NOT FOUND",IF(C927=I927,"SELF-VOTE",IF(COUNTIF($K:$K,K927)&gt;1,"DUPLICATE","OK")))</f>
        <v>OK</v>
      </c>
      <c r="K927" s="6" t="str">
        <f aca="false">A927&amp;"|"&amp;B927&amp;"|"&amp;C927&amp;"|"&amp;D927</f>
        <v>2|5|Leah|spotify:track:0YZ3J8xzGwLOg4yEgST1YK</v>
      </c>
    </row>
    <row r="928" customFormat="false" ht="15" hidden="false" customHeight="false" outlineLevel="0" collapsed="false">
      <c r="A928" s="5" t="n">
        <v>2</v>
      </c>
      <c r="B928" s="5" t="n">
        <v>5</v>
      </c>
      <c r="C928" s="5" t="s">
        <v>119</v>
      </c>
      <c r="D928" s="5" t="s">
        <v>545</v>
      </c>
      <c r="E928" s="5" t="n">
        <v>1</v>
      </c>
      <c r="F928" s="6" t="n">
        <f aca="false">IFERROR(MATCH(A928&amp;"|"&amp;B928&amp;"|"&amp;D928,'All Song Rankings'!$T:$T,0),0)</f>
        <v>145</v>
      </c>
      <c r="G928" s="6" t="str">
        <f aca="false">IF(F928=0,"NOT FOUND",INDEX('All Song Rankings'!$A:$A,F928))</f>
        <v>I Love Rock 'N Roll</v>
      </c>
      <c r="H928" s="6" t="str">
        <f aca="false">IF(F928=0,"NOT FOUND",INDEX('All Song Rankings'!$B:$B,F928))</f>
        <v>Joan Jett &amp; the Blackhearts</v>
      </c>
      <c r="I928" s="6" t="str">
        <f aca="false">IF(F928=0,"NOT FOUND",INDEX('All Song Rankings'!$D:$D,F928))</f>
        <v>Scott</v>
      </c>
      <c r="J928" s="7" t="str">
        <f aca="false">IF(F928=0,"NOT FOUND",IF(C928=I928,"SELF-VOTE",IF(COUNTIF($K:$K,K928)&gt;1,"DUPLICATE","OK")))</f>
        <v>OK</v>
      </c>
      <c r="K928" s="6" t="str">
        <f aca="false">A928&amp;"|"&amp;B928&amp;"|"&amp;C928&amp;"|"&amp;D928</f>
        <v>2|5|Leah|spotify:track:2Cdvbe2G4hZsnhNMKyGrie</v>
      </c>
    </row>
    <row r="929" customFormat="false" ht="15" hidden="false" customHeight="false" outlineLevel="0" collapsed="false">
      <c r="A929" s="5" t="n">
        <v>2</v>
      </c>
      <c r="B929" s="5" t="n">
        <v>5</v>
      </c>
      <c r="C929" s="5" t="s">
        <v>119</v>
      </c>
      <c r="D929" s="5" t="s">
        <v>563</v>
      </c>
      <c r="E929" s="5" t="n">
        <v>1</v>
      </c>
      <c r="F929" s="6" t="n">
        <f aca="false">IFERROR(MATCH(A929&amp;"|"&amp;B929&amp;"|"&amp;D929,'All Song Rankings'!$T:$T,0),0)</f>
        <v>151</v>
      </c>
      <c r="G929" s="6" t="str">
        <f aca="false">IF(F929=0,"NOT FOUND",INDEX('All Song Rankings'!$A:$A,F929))</f>
        <v>Into the Unknown - Panic! At The Disco Version</v>
      </c>
      <c r="H929" s="6" t="str">
        <f aca="false">IF(F929=0,"NOT FOUND",INDEX('All Song Rankings'!$B:$B,F929))</f>
        <v>Panic! At The Disco</v>
      </c>
      <c r="I929" s="6" t="str">
        <f aca="false">IF(F929=0,"NOT FOUND",INDEX('All Song Rankings'!$D:$D,F929))</f>
        <v>Kristen</v>
      </c>
      <c r="J929" s="7" t="str">
        <f aca="false">IF(F929=0,"NOT FOUND",IF(C929=I929,"SELF-VOTE",IF(COUNTIF($K:$K,K929)&gt;1,"DUPLICATE","OK")))</f>
        <v>OK</v>
      </c>
      <c r="K929" s="6" t="str">
        <f aca="false">A929&amp;"|"&amp;B929&amp;"|"&amp;C929&amp;"|"&amp;D929</f>
        <v>2|5|Leah|spotify:track:421eObjg0DTm2qajJl5OJm</v>
      </c>
    </row>
    <row r="930" customFormat="false" ht="15" hidden="false" customHeight="false" outlineLevel="0" collapsed="false">
      <c r="A930" s="5" t="n">
        <v>2</v>
      </c>
      <c r="B930" s="5" t="n">
        <v>5</v>
      </c>
      <c r="C930" s="5" t="s">
        <v>119</v>
      </c>
      <c r="D930" s="5" t="s">
        <v>542</v>
      </c>
      <c r="E930" s="5" t="n">
        <v>1</v>
      </c>
      <c r="F930" s="6" t="n">
        <f aca="false">IFERROR(MATCH(A930&amp;"|"&amp;B930&amp;"|"&amp;D930,'All Song Rankings'!$T:$T,0),0)</f>
        <v>144</v>
      </c>
      <c r="G930" s="6" t="str">
        <f aca="false">IF(F930=0,"NOT FOUND",INDEX('All Song Rankings'!$A:$A,F930))</f>
        <v>I Will Always Love You</v>
      </c>
      <c r="H930" s="6" t="str">
        <f aca="false">IF(F930=0,"NOT FOUND",INDEX('All Song Rankings'!$B:$B,F930))</f>
        <v>Whitney Houston</v>
      </c>
      <c r="I930" s="6" t="str">
        <f aca="false">IF(F930=0,"NOT FOUND",INDEX('All Song Rankings'!$D:$D,F930))</f>
        <v>Logan</v>
      </c>
      <c r="J930" s="7" t="str">
        <f aca="false">IF(F930=0,"NOT FOUND",IF(C930=I930,"SELF-VOTE",IF(COUNTIF($K:$K,K930)&gt;1,"DUPLICATE","OK")))</f>
        <v>OK</v>
      </c>
      <c r="K930" s="6" t="str">
        <f aca="false">A930&amp;"|"&amp;B930&amp;"|"&amp;C930&amp;"|"&amp;D930</f>
        <v>2|5|Leah|spotify:track:4eHbdreAnSOrDDsFfc4Fpm</v>
      </c>
    </row>
    <row r="931" customFormat="false" ht="15" hidden="false" customHeight="false" outlineLevel="0" collapsed="false">
      <c r="A931" s="5" t="n">
        <v>2</v>
      </c>
      <c r="B931" s="5" t="n">
        <v>5</v>
      </c>
      <c r="C931" s="5" t="s">
        <v>119</v>
      </c>
      <c r="D931" s="5" t="s">
        <v>572</v>
      </c>
      <c r="E931" s="5" t="n">
        <v>1</v>
      </c>
      <c r="F931" s="6" t="n">
        <f aca="false">IFERROR(MATCH(A931&amp;"|"&amp;B931&amp;"|"&amp;D931,'All Song Rankings'!$T:$T,0),0)</f>
        <v>154</v>
      </c>
      <c r="G931" s="6" t="str">
        <f aca="false">IF(F931=0,"NOT FOUND",INDEX('All Song Rankings'!$A:$A,F931))</f>
        <v>Red Red Wine</v>
      </c>
      <c r="H931" s="6" t="str">
        <f aca="false">IF(F931=0,"NOT FOUND",INDEX('All Song Rankings'!$B:$B,F931))</f>
        <v>UB40</v>
      </c>
      <c r="I931" s="6" t="str">
        <f aca="false">IF(F931=0,"NOT FOUND",INDEX('All Song Rankings'!$D:$D,F931))</f>
        <v>Aubrey</v>
      </c>
      <c r="J931" s="7" t="str">
        <f aca="false">IF(F931=0,"NOT FOUND",IF(C931=I931,"SELF-VOTE",IF(COUNTIF($K:$K,K931)&gt;1,"DUPLICATE","OK")))</f>
        <v>OK</v>
      </c>
      <c r="K931" s="6" t="str">
        <f aca="false">A931&amp;"|"&amp;B931&amp;"|"&amp;C931&amp;"|"&amp;D931</f>
        <v>2|5|Leah|spotify:track:4uOKFydzAejjSFqYbv1XPt</v>
      </c>
    </row>
    <row r="932" customFormat="false" ht="15" hidden="false" customHeight="false" outlineLevel="0" collapsed="false">
      <c r="A932" s="5" t="n">
        <v>2</v>
      </c>
      <c r="B932" s="5" t="n">
        <v>5</v>
      </c>
      <c r="C932" s="5" t="s">
        <v>119</v>
      </c>
      <c r="D932" s="5" t="s">
        <v>549</v>
      </c>
      <c r="E932" s="5" t="n">
        <v>1</v>
      </c>
      <c r="F932" s="6" t="n">
        <f aca="false">IFERROR(MATCH(A932&amp;"|"&amp;B932&amp;"|"&amp;D932,'All Song Rankings'!$T:$T,0),0)</f>
        <v>146</v>
      </c>
      <c r="G932" s="6" t="str">
        <f aca="false">IF(F932=0,"NOT FOUND",INDEX('All Song Rankings'!$A:$A,F932))</f>
        <v>Istanbul (Not Constantinople)</v>
      </c>
      <c r="H932" s="6" t="str">
        <f aca="false">IF(F932=0,"NOT FOUND",INDEX('All Song Rankings'!$B:$B,F932))</f>
        <v>They Might Be Giants</v>
      </c>
      <c r="I932" s="6" t="str">
        <f aca="false">IF(F932=0,"NOT FOUND",INDEX('All Song Rankings'!$D:$D,F932))</f>
        <v>Grace</v>
      </c>
      <c r="J932" s="7" t="str">
        <f aca="false">IF(F932=0,"NOT FOUND",IF(C932=I932,"SELF-VOTE",IF(COUNTIF($K:$K,K932)&gt;1,"DUPLICATE","OK")))</f>
        <v>OK</v>
      </c>
      <c r="K932" s="6" t="str">
        <f aca="false">A932&amp;"|"&amp;B932&amp;"|"&amp;C932&amp;"|"&amp;D932</f>
        <v>2|5|Leah|spotify:track:63vL5oxWrlvaJ0ayNaQnbX</v>
      </c>
    </row>
    <row r="933" customFormat="false" ht="15" hidden="false" customHeight="false" outlineLevel="0" collapsed="false">
      <c r="A933" s="5" t="n">
        <v>2</v>
      </c>
      <c r="B933" s="5" t="n">
        <v>5</v>
      </c>
      <c r="C933" s="5" t="s">
        <v>119</v>
      </c>
      <c r="D933" s="5" t="s">
        <v>558</v>
      </c>
      <c r="E933" s="5" t="n">
        <v>2</v>
      </c>
      <c r="F933" s="6" t="n">
        <f aca="false">IFERROR(MATCH(A933&amp;"|"&amp;B933&amp;"|"&amp;D933,'All Song Rankings'!$T:$T,0),0)</f>
        <v>149</v>
      </c>
      <c r="G933" s="6" t="str">
        <f aca="false">IF(F933=0,"NOT FOUND",INDEX('All Song Rankings'!$A:$A,F933))</f>
        <v>Over My Head (Cable Car)</v>
      </c>
      <c r="H933" s="6" t="str">
        <f aca="false">IF(F933=0,"NOT FOUND",INDEX('All Song Rankings'!$B:$B,F933))</f>
        <v>A Day to Remember</v>
      </c>
      <c r="I933" s="6" t="str">
        <f aca="false">IF(F933=0,"NOT FOUND",INDEX('All Song Rankings'!$D:$D,F933))</f>
        <v>Nicole</v>
      </c>
      <c r="J933" s="7" t="str">
        <f aca="false">IF(F933=0,"NOT FOUND",IF(C933=I933,"SELF-VOTE",IF(COUNTIF($K:$K,K933)&gt;1,"DUPLICATE","OK")))</f>
        <v>OK</v>
      </c>
      <c r="K933" s="6" t="str">
        <f aca="false">A933&amp;"|"&amp;B933&amp;"|"&amp;C933&amp;"|"&amp;D933</f>
        <v>2|5|Leah|spotify:track:6qXdC5KUAii87YnD9MOGG9</v>
      </c>
    </row>
    <row r="934" customFormat="false" ht="15" hidden="false" customHeight="false" outlineLevel="0" collapsed="false">
      <c r="A934" s="5" t="n">
        <v>2</v>
      </c>
      <c r="B934" s="5" t="n">
        <v>5</v>
      </c>
      <c r="C934" s="5" t="s">
        <v>119</v>
      </c>
      <c r="D934" s="5" t="s">
        <v>566</v>
      </c>
      <c r="E934" s="5" t="n">
        <v>2</v>
      </c>
      <c r="F934" s="6" t="n">
        <f aca="false">IFERROR(MATCH(A934&amp;"|"&amp;B934&amp;"|"&amp;D934,'All Song Rankings'!$T:$T,0),0)</f>
        <v>152</v>
      </c>
      <c r="G934" s="6" t="str">
        <f aca="false">IF(F934=0,"NOT FOUND",INDEX('All Song Rankings'!$A:$A,F934))</f>
        <v>Word Up!</v>
      </c>
      <c r="H934" s="6" t="str">
        <f aca="false">IF(F934=0,"NOT FOUND",INDEX('All Song Rankings'!$B:$B,F934))</f>
        <v>Korn</v>
      </c>
      <c r="I934" s="6" t="str">
        <f aca="false">IF(F934=0,"NOT FOUND",INDEX('All Song Rankings'!$D:$D,F934))</f>
        <v>Shayne</v>
      </c>
      <c r="J934" s="7" t="str">
        <f aca="false">IF(F934=0,"NOT FOUND",IF(C934=I934,"SELF-VOTE",IF(COUNTIF($K:$K,K934)&gt;1,"DUPLICATE","OK")))</f>
        <v>OK</v>
      </c>
      <c r="K934" s="6" t="str">
        <f aca="false">A934&amp;"|"&amp;B934&amp;"|"&amp;C934&amp;"|"&amp;D934</f>
        <v>2|5|Leah|spotify:track:73U1KkjdT0sMgGaKn3P6Z4</v>
      </c>
    </row>
    <row r="935" customFormat="false" ht="15" hidden="false" customHeight="false" outlineLevel="0" collapsed="false">
      <c r="A935" s="5" t="n">
        <v>2</v>
      </c>
      <c r="B935" s="5" t="n">
        <v>5</v>
      </c>
      <c r="C935" s="5" t="s">
        <v>128</v>
      </c>
      <c r="D935" s="5" t="s">
        <v>552</v>
      </c>
      <c r="E935" s="5" t="n">
        <v>3</v>
      </c>
      <c r="F935" s="6" t="n">
        <f aca="false">IFERROR(MATCH(A935&amp;"|"&amp;B935&amp;"|"&amp;D935,'All Song Rankings'!$T:$T,0),0)</f>
        <v>147</v>
      </c>
      <c r="G935" s="6" t="str">
        <f aca="false">IF(F935=0,"NOT FOUND",INDEX('All Song Rankings'!$A:$A,F935))</f>
        <v>With A Little Help From My Friends</v>
      </c>
      <c r="H935" s="6" t="str">
        <f aca="false">IF(F935=0,"NOT FOUND",INDEX('All Song Rankings'!$B:$B,F935))</f>
        <v>Joe Cocker</v>
      </c>
      <c r="I935" s="6" t="str">
        <f aca="false">IF(F935=0,"NOT FOUND",INDEX('All Song Rankings'!$D:$D,F935))</f>
        <v>Stephanie</v>
      </c>
      <c r="J935" s="7" t="str">
        <f aca="false">IF(F935=0,"NOT FOUND",IF(C935=I935,"SELF-VOTE",IF(COUNTIF($K:$K,K935)&gt;1,"DUPLICATE","OK")))</f>
        <v>OK</v>
      </c>
      <c r="K935" s="6" t="str">
        <f aca="false">A935&amp;"|"&amp;B935&amp;"|"&amp;C935&amp;"|"&amp;D935</f>
        <v>2|5|Logan|spotify:track:0YZ3J8xzGwLOg4yEgST1YK</v>
      </c>
    </row>
    <row r="936" customFormat="false" ht="15" hidden="false" customHeight="false" outlineLevel="0" collapsed="false">
      <c r="A936" s="5" t="n">
        <v>2</v>
      </c>
      <c r="B936" s="5" t="n">
        <v>5</v>
      </c>
      <c r="C936" s="5" t="s">
        <v>128</v>
      </c>
      <c r="D936" s="5" t="s">
        <v>545</v>
      </c>
      <c r="E936" s="5" t="n">
        <v>2</v>
      </c>
      <c r="F936" s="6" t="n">
        <f aca="false">IFERROR(MATCH(A936&amp;"|"&amp;B936&amp;"|"&amp;D936,'All Song Rankings'!$T:$T,0),0)</f>
        <v>145</v>
      </c>
      <c r="G936" s="6" t="str">
        <f aca="false">IF(F936=0,"NOT FOUND",INDEX('All Song Rankings'!$A:$A,F936))</f>
        <v>I Love Rock 'N Roll</v>
      </c>
      <c r="H936" s="6" t="str">
        <f aca="false">IF(F936=0,"NOT FOUND",INDEX('All Song Rankings'!$B:$B,F936))</f>
        <v>Joan Jett &amp; the Blackhearts</v>
      </c>
      <c r="I936" s="6" t="str">
        <f aca="false">IF(F936=0,"NOT FOUND",INDEX('All Song Rankings'!$D:$D,F936))</f>
        <v>Scott</v>
      </c>
      <c r="J936" s="7" t="str">
        <f aca="false">IF(F936=0,"NOT FOUND",IF(C936=I936,"SELF-VOTE",IF(COUNTIF($K:$K,K936)&gt;1,"DUPLICATE","OK")))</f>
        <v>OK</v>
      </c>
      <c r="K936" s="6" t="str">
        <f aca="false">A936&amp;"|"&amp;B936&amp;"|"&amp;C936&amp;"|"&amp;D936</f>
        <v>2|5|Logan|spotify:track:2Cdvbe2G4hZsnhNMKyGrie</v>
      </c>
    </row>
    <row r="937" customFormat="false" ht="15" hidden="false" customHeight="false" outlineLevel="0" collapsed="false">
      <c r="A937" s="5" t="n">
        <v>2</v>
      </c>
      <c r="B937" s="5" t="n">
        <v>5</v>
      </c>
      <c r="C937" s="5" t="s">
        <v>128</v>
      </c>
      <c r="D937" s="5" t="s">
        <v>572</v>
      </c>
      <c r="E937" s="5" t="n">
        <v>2</v>
      </c>
      <c r="F937" s="6" t="n">
        <f aca="false">IFERROR(MATCH(A937&amp;"|"&amp;B937&amp;"|"&amp;D937,'All Song Rankings'!$T:$T,0),0)</f>
        <v>154</v>
      </c>
      <c r="G937" s="6" t="str">
        <f aca="false">IF(F937=0,"NOT FOUND",INDEX('All Song Rankings'!$A:$A,F937))</f>
        <v>Red Red Wine</v>
      </c>
      <c r="H937" s="6" t="str">
        <f aca="false">IF(F937=0,"NOT FOUND",INDEX('All Song Rankings'!$B:$B,F937))</f>
        <v>UB40</v>
      </c>
      <c r="I937" s="6" t="str">
        <f aca="false">IF(F937=0,"NOT FOUND",INDEX('All Song Rankings'!$D:$D,F937))</f>
        <v>Aubrey</v>
      </c>
      <c r="J937" s="7" t="str">
        <f aca="false">IF(F937=0,"NOT FOUND",IF(C937=I937,"SELF-VOTE",IF(COUNTIF($K:$K,K937)&gt;1,"DUPLICATE","OK")))</f>
        <v>OK</v>
      </c>
      <c r="K937" s="6" t="str">
        <f aca="false">A937&amp;"|"&amp;B937&amp;"|"&amp;C937&amp;"|"&amp;D937</f>
        <v>2|5|Logan|spotify:track:4uOKFydzAejjSFqYbv1XPt</v>
      </c>
    </row>
    <row r="938" customFormat="false" ht="15" hidden="false" customHeight="false" outlineLevel="0" collapsed="false">
      <c r="A938" s="5" t="n">
        <v>2</v>
      </c>
      <c r="B938" s="5" t="n">
        <v>5</v>
      </c>
      <c r="C938" s="5" t="s">
        <v>128</v>
      </c>
      <c r="D938" s="5" t="s">
        <v>561</v>
      </c>
      <c r="E938" s="5" t="n">
        <v>2</v>
      </c>
      <c r="F938" s="6" t="n">
        <f aca="false">IFERROR(MATCH(A938&amp;"|"&amp;B938&amp;"|"&amp;D938,'All Song Rankings'!$T:$T,0),0)</f>
        <v>150</v>
      </c>
      <c r="G938" s="6" t="str">
        <f aca="false">IF(F938=0,"NOT FOUND",INDEX('All Song Rankings'!$A:$A,F938))</f>
        <v>Valerie - BBC Radio 1 Live Lounge</v>
      </c>
      <c r="H938" s="6" t="str">
        <f aca="false">IF(F938=0,"NOT FOUND",INDEX('All Song Rankings'!$B:$B,F938))</f>
        <v>Amy Winehouse</v>
      </c>
      <c r="I938" s="6" t="str">
        <f aca="false">IF(F938=0,"NOT FOUND",INDEX('All Song Rankings'!$D:$D,F938))</f>
        <v>Matt</v>
      </c>
      <c r="J938" s="7" t="str">
        <f aca="false">IF(F938=0,"NOT FOUND",IF(C938=I938,"SELF-VOTE",IF(COUNTIF($K:$K,K938)&gt;1,"DUPLICATE","OK")))</f>
        <v>OK</v>
      </c>
      <c r="K938" s="6" t="str">
        <f aca="false">A938&amp;"|"&amp;B938&amp;"|"&amp;C938&amp;"|"&amp;D938</f>
        <v>2|5|Logan|spotify:track:5it9RIRXDwiLpJKdce6Z7e</v>
      </c>
    </row>
    <row r="939" customFormat="false" ht="15" hidden="false" customHeight="false" outlineLevel="0" collapsed="false">
      <c r="A939" s="5" t="n">
        <v>2</v>
      </c>
      <c r="B939" s="5" t="n">
        <v>5</v>
      </c>
      <c r="C939" s="5" t="s">
        <v>128</v>
      </c>
      <c r="D939" s="5" t="s">
        <v>549</v>
      </c>
      <c r="E939" s="5" t="n">
        <v>1</v>
      </c>
      <c r="F939" s="6" t="n">
        <f aca="false">IFERROR(MATCH(A939&amp;"|"&amp;B939&amp;"|"&amp;D939,'All Song Rankings'!$T:$T,0),0)</f>
        <v>146</v>
      </c>
      <c r="G939" s="6" t="str">
        <f aca="false">IF(F939=0,"NOT FOUND",INDEX('All Song Rankings'!$A:$A,F939))</f>
        <v>Istanbul (Not Constantinople)</v>
      </c>
      <c r="H939" s="6" t="str">
        <f aca="false">IF(F939=0,"NOT FOUND",INDEX('All Song Rankings'!$B:$B,F939))</f>
        <v>They Might Be Giants</v>
      </c>
      <c r="I939" s="6" t="str">
        <f aca="false">IF(F939=0,"NOT FOUND",INDEX('All Song Rankings'!$D:$D,F939))</f>
        <v>Grace</v>
      </c>
      <c r="J939" s="7" t="str">
        <f aca="false">IF(F939=0,"NOT FOUND",IF(C939=I939,"SELF-VOTE",IF(COUNTIF($K:$K,K939)&gt;1,"DUPLICATE","OK")))</f>
        <v>OK</v>
      </c>
      <c r="K939" s="6" t="str">
        <f aca="false">A939&amp;"|"&amp;B939&amp;"|"&amp;C939&amp;"|"&amp;D939</f>
        <v>2|5|Logan|spotify:track:63vL5oxWrlvaJ0ayNaQnbX</v>
      </c>
    </row>
    <row r="940" customFormat="false" ht="15" hidden="false" customHeight="false" outlineLevel="0" collapsed="false">
      <c r="A940" s="5" t="n">
        <v>2</v>
      </c>
      <c r="B940" s="5" t="n">
        <v>5</v>
      </c>
      <c r="C940" s="5" t="s">
        <v>116</v>
      </c>
      <c r="D940" s="5" t="s">
        <v>552</v>
      </c>
      <c r="E940" s="5" t="n">
        <v>1</v>
      </c>
      <c r="F940" s="6" t="n">
        <f aca="false">IFERROR(MATCH(A940&amp;"|"&amp;B940&amp;"|"&amp;D940,'All Song Rankings'!$T:$T,0),0)</f>
        <v>147</v>
      </c>
      <c r="G940" s="6" t="str">
        <f aca="false">IF(F940=0,"NOT FOUND",INDEX('All Song Rankings'!$A:$A,F940))</f>
        <v>With A Little Help From My Friends</v>
      </c>
      <c r="H940" s="6" t="str">
        <f aca="false">IF(F940=0,"NOT FOUND",INDEX('All Song Rankings'!$B:$B,F940))</f>
        <v>Joe Cocker</v>
      </c>
      <c r="I940" s="6" t="str">
        <f aca="false">IF(F940=0,"NOT FOUND",INDEX('All Song Rankings'!$D:$D,F940))</f>
        <v>Stephanie</v>
      </c>
      <c r="J940" s="7" t="str">
        <f aca="false">IF(F940=0,"NOT FOUND",IF(C940=I940,"SELF-VOTE",IF(COUNTIF($K:$K,K940)&gt;1,"DUPLICATE","OK")))</f>
        <v>OK</v>
      </c>
      <c r="K940" s="6" t="str">
        <f aca="false">A940&amp;"|"&amp;B940&amp;"|"&amp;C940&amp;"|"&amp;D940</f>
        <v>2|5|Matt|spotify:track:0YZ3J8xzGwLOg4yEgST1YK</v>
      </c>
    </row>
    <row r="941" customFormat="false" ht="15" hidden="false" customHeight="false" outlineLevel="0" collapsed="false">
      <c r="A941" s="5" t="n">
        <v>2</v>
      </c>
      <c r="B941" s="5" t="n">
        <v>5</v>
      </c>
      <c r="C941" s="5" t="s">
        <v>116</v>
      </c>
      <c r="D941" s="5" t="s">
        <v>545</v>
      </c>
      <c r="E941" s="5" t="n">
        <v>2</v>
      </c>
      <c r="F941" s="6" t="n">
        <f aca="false">IFERROR(MATCH(A941&amp;"|"&amp;B941&amp;"|"&amp;D941,'All Song Rankings'!$T:$T,0),0)</f>
        <v>145</v>
      </c>
      <c r="G941" s="6" t="str">
        <f aca="false">IF(F941=0,"NOT FOUND",INDEX('All Song Rankings'!$A:$A,F941))</f>
        <v>I Love Rock 'N Roll</v>
      </c>
      <c r="H941" s="6" t="str">
        <f aca="false">IF(F941=0,"NOT FOUND",INDEX('All Song Rankings'!$B:$B,F941))</f>
        <v>Joan Jett &amp; the Blackhearts</v>
      </c>
      <c r="I941" s="6" t="str">
        <f aca="false">IF(F941=0,"NOT FOUND",INDEX('All Song Rankings'!$D:$D,F941))</f>
        <v>Scott</v>
      </c>
      <c r="J941" s="7" t="str">
        <f aca="false">IF(F941=0,"NOT FOUND",IF(C941=I941,"SELF-VOTE",IF(COUNTIF($K:$K,K941)&gt;1,"DUPLICATE","OK")))</f>
        <v>OK</v>
      </c>
      <c r="K941" s="6" t="str">
        <f aca="false">A941&amp;"|"&amp;B941&amp;"|"&amp;C941&amp;"|"&amp;D941</f>
        <v>2|5|Matt|spotify:track:2Cdvbe2G4hZsnhNMKyGrie</v>
      </c>
    </row>
    <row r="942" customFormat="false" ht="15" hidden="false" customHeight="false" outlineLevel="0" collapsed="false">
      <c r="A942" s="5" t="n">
        <v>2</v>
      </c>
      <c r="B942" s="5" t="n">
        <v>5</v>
      </c>
      <c r="C942" s="5" t="s">
        <v>116</v>
      </c>
      <c r="D942" s="5" t="s">
        <v>542</v>
      </c>
      <c r="E942" s="5" t="n">
        <v>4</v>
      </c>
      <c r="F942" s="6" t="n">
        <f aca="false">IFERROR(MATCH(A942&amp;"|"&amp;B942&amp;"|"&amp;D942,'All Song Rankings'!$T:$T,0),0)</f>
        <v>144</v>
      </c>
      <c r="G942" s="6" t="str">
        <f aca="false">IF(F942=0,"NOT FOUND",INDEX('All Song Rankings'!$A:$A,F942))</f>
        <v>I Will Always Love You</v>
      </c>
      <c r="H942" s="6" t="str">
        <f aca="false">IF(F942=0,"NOT FOUND",INDEX('All Song Rankings'!$B:$B,F942))</f>
        <v>Whitney Houston</v>
      </c>
      <c r="I942" s="6" t="str">
        <f aca="false">IF(F942=0,"NOT FOUND",INDEX('All Song Rankings'!$D:$D,F942))</f>
        <v>Logan</v>
      </c>
      <c r="J942" s="7" t="str">
        <f aca="false">IF(F942=0,"NOT FOUND",IF(C942=I942,"SELF-VOTE",IF(COUNTIF($K:$K,K942)&gt;1,"DUPLICATE","OK")))</f>
        <v>OK</v>
      </c>
      <c r="K942" s="6" t="str">
        <f aca="false">A942&amp;"|"&amp;B942&amp;"|"&amp;C942&amp;"|"&amp;D942</f>
        <v>2|5|Matt|spotify:track:4eHbdreAnSOrDDsFfc4Fpm</v>
      </c>
    </row>
    <row r="943" customFormat="false" ht="15" hidden="false" customHeight="false" outlineLevel="0" collapsed="false">
      <c r="A943" s="5" t="n">
        <v>2</v>
      </c>
      <c r="B943" s="5" t="n">
        <v>5</v>
      </c>
      <c r="C943" s="5" t="s">
        <v>116</v>
      </c>
      <c r="D943" s="5" t="s">
        <v>572</v>
      </c>
      <c r="E943" s="5" t="n">
        <v>1</v>
      </c>
      <c r="F943" s="6" t="n">
        <f aca="false">IFERROR(MATCH(A943&amp;"|"&amp;B943&amp;"|"&amp;D943,'All Song Rankings'!$T:$T,0),0)</f>
        <v>154</v>
      </c>
      <c r="G943" s="6" t="str">
        <f aca="false">IF(F943=0,"NOT FOUND",INDEX('All Song Rankings'!$A:$A,F943))</f>
        <v>Red Red Wine</v>
      </c>
      <c r="H943" s="6" t="str">
        <f aca="false">IF(F943=0,"NOT FOUND",INDEX('All Song Rankings'!$B:$B,F943))</f>
        <v>UB40</v>
      </c>
      <c r="I943" s="6" t="str">
        <f aca="false">IF(F943=0,"NOT FOUND",INDEX('All Song Rankings'!$D:$D,F943))</f>
        <v>Aubrey</v>
      </c>
      <c r="J943" s="7" t="str">
        <f aca="false">IF(F943=0,"NOT FOUND",IF(C943=I943,"SELF-VOTE",IF(COUNTIF($K:$K,K943)&gt;1,"DUPLICATE","OK")))</f>
        <v>OK</v>
      </c>
      <c r="K943" s="6" t="str">
        <f aca="false">A943&amp;"|"&amp;B943&amp;"|"&amp;C943&amp;"|"&amp;D943</f>
        <v>2|5|Matt|spotify:track:4uOKFydzAejjSFqYbv1XPt</v>
      </c>
    </row>
    <row r="944" customFormat="false" ht="15" hidden="false" customHeight="false" outlineLevel="0" collapsed="false">
      <c r="A944" s="5" t="n">
        <v>2</v>
      </c>
      <c r="B944" s="5" t="n">
        <v>5</v>
      </c>
      <c r="C944" s="5" t="s">
        <v>116</v>
      </c>
      <c r="D944" s="5" t="s">
        <v>549</v>
      </c>
      <c r="E944" s="5" t="n">
        <v>2</v>
      </c>
      <c r="F944" s="6" t="n">
        <f aca="false">IFERROR(MATCH(A944&amp;"|"&amp;B944&amp;"|"&amp;D944,'All Song Rankings'!$T:$T,0),0)</f>
        <v>146</v>
      </c>
      <c r="G944" s="6" t="str">
        <f aca="false">IF(F944=0,"NOT FOUND",INDEX('All Song Rankings'!$A:$A,F944))</f>
        <v>Istanbul (Not Constantinople)</v>
      </c>
      <c r="H944" s="6" t="str">
        <f aca="false">IF(F944=0,"NOT FOUND",INDEX('All Song Rankings'!$B:$B,F944))</f>
        <v>They Might Be Giants</v>
      </c>
      <c r="I944" s="6" t="str">
        <f aca="false">IF(F944=0,"NOT FOUND",INDEX('All Song Rankings'!$D:$D,F944))</f>
        <v>Grace</v>
      </c>
      <c r="J944" s="7" t="str">
        <f aca="false">IF(F944=0,"NOT FOUND",IF(C944=I944,"SELF-VOTE",IF(COUNTIF($K:$K,K944)&gt;1,"DUPLICATE","OK")))</f>
        <v>OK</v>
      </c>
      <c r="K944" s="6" t="str">
        <f aca="false">A944&amp;"|"&amp;B944&amp;"|"&amp;C944&amp;"|"&amp;D944</f>
        <v>2|5|Matt|spotify:track:63vL5oxWrlvaJ0ayNaQnbX</v>
      </c>
    </row>
    <row r="945" customFormat="false" ht="15" hidden="false" customHeight="false" outlineLevel="0" collapsed="false">
      <c r="A945" s="5" t="n">
        <v>2</v>
      </c>
      <c r="B945" s="5" t="n">
        <v>5</v>
      </c>
      <c r="C945" s="5" t="s">
        <v>92</v>
      </c>
      <c r="D945" s="5" t="s">
        <v>552</v>
      </c>
      <c r="E945" s="5" t="n">
        <v>1</v>
      </c>
      <c r="F945" s="6" t="n">
        <f aca="false">IFERROR(MATCH(A945&amp;"|"&amp;B945&amp;"|"&amp;D945,'All Song Rankings'!$T:$T,0),0)</f>
        <v>147</v>
      </c>
      <c r="G945" s="6" t="str">
        <f aca="false">IF(F945=0,"NOT FOUND",INDEX('All Song Rankings'!$A:$A,F945))</f>
        <v>With A Little Help From My Friends</v>
      </c>
      <c r="H945" s="6" t="str">
        <f aca="false">IF(F945=0,"NOT FOUND",INDEX('All Song Rankings'!$B:$B,F945))</f>
        <v>Joe Cocker</v>
      </c>
      <c r="I945" s="6" t="str">
        <f aca="false">IF(F945=0,"NOT FOUND",INDEX('All Song Rankings'!$D:$D,F945))</f>
        <v>Stephanie</v>
      </c>
      <c r="J945" s="7" t="str">
        <f aca="false">IF(F945=0,"NOT FOUND",IF(C945=I945,"SELF-VOTE",IF(COUNTIF($K:$K,K945)&gt;1,"DUPLICATE","OK")))</f>
        <v>OK</v>
      </c>
      <c r="K945" s="6" t="str">
        <f aca="false">A945&amp;"|"&amp;B945&amp;"|"&amp;C945&amp;"|"&amp;D945</f>
        <v>2|5|Nicole|spotify:track:0YZ3J8xzGwLOg4yEgST1YK</v>
      </c>
    </row>
    <row r="946" customFormat="false" ht="15" hidden="false" customHeight="false" outlineLevel="0" collapsed="false">
      <c r="A946" s="5" t="n">
        <v>2</v>
      </c>
      <c r="B946" s="5" t="n">
        <v>5</v>
      </c>
      <c r="C946" s="5" t="s">
        <v>92</v>
      </c>
      <c r="D946" s="5" t="s">
        <v>575</v>
      </c>
      <c r="E946" s="5" t="n">
        <v>1</v>
      </c>
      <c r="F946" s="6" t="n">
        <f aca="false">IFERROR(MATCH(A946&amp;"|"&amp;B946&amp;"|"&amp;D946,'All Song Rankings'!$T:$T,0),0)</f>
        <v>155</v>
      </c>
      <c r="G946" s="6" t="str">
        <f aca="false">IF(F946=0,"NOT FOUND",INDEX('All Song Rankings'!$A:$A,F946))</f>
        <v>Dancing On My Own</v>
      </c>
      <c r="H946" s="6" t="str">
        <f aca="false">IF(F946=0,"NOT FOUND",INDEX('All Song Rankings'!$B:$B,F946))</f>
        <v>Calum Scott</v>
      </c>
      <c r="I946" s="6" t="str">
        <f aca="false">IF(F946=0,"NOT FOUND",INDEX('All Song Rankings'!$D:$D,F946))</f>
        <v>Merita</v>
      </c>
      <c r="J946" s="7" t="str">
        <f aca="false">IF(F946=0,"NOT FOUND",IF(C946=I946,"SELF-VOTE",IF(COUNTIF($K:$K,K946)&gt;1,"DUPLICATE","OK")))</f>
        <v>OK</v>
      </c>
      <c r="K946" s="6" t="str">
        <f aca="false">A946&amp;"|"&amp;B946&amp;"|"&amp;C946&amp;"|"&amp;D946</f>
        <v>2|5|Nicole|spotify:track:2BOqDYLOJBiMOXShCV1neZ</v>
      </c>
    </row>
    <row r="947" customFormat="false" ht="15" hidden="false" customHeight="false" outlineLevel="0" collapsed="false">
      <c r="A947" s="5" t="n">
        <v>2</v>
      </c>
      <c r="B947" s="5" t="n">
        <v>5</v>
      </c>
      <c r="C947" s="5" t="s">
        <v>92</v>
      </c>
      <c r="D947" s="5" t="s">
        <v>545</v>
      </c>
      <c r="E947" s="5" t="n">
        <v>2</v>
      </c>
      <c r="F947" s="6" t="n">
        <f aca="false">IFERROR(MATCH(A947&amp;"|"&amp;B947&amp;"|"&amp;D947,'All Song Rankings'!$T:$T,0),0)</f>
        <v>145</v>
      </c>
      <c r="G947" s="6" t="str">
        <f aca="false">IF(F947=0,"NOT FOUND",INDEX('All Song Rankings'!$A:$A,F947))</f>
        <v>I Love Rock 'N Roll</v>
      </c>
      <c r="H947" s="6" t="str">
        <f aca="false">IF(F947=0,"NOT FOUND",INDEX('All Song Rankings'!$B:$B,F947))</f>
        <v>Joan Jett &amp; the Blackhearts</v>
      </c>
      <c r="I947" s="6" t="str">
        <f aca="false">IF(F947=0,"NOT FOUND",INDEX('All Song Rankings'!$D:$D,F947))</f>
        <v>Scott</v>
      </c>
      <c r="J947" s="7" t="str">
        <f aca="false">IF(F947=0,"NOT FOUND",IF(C947=I947,"SELF-VOTE",IF(COUNTIF($K:$K,K947)&gt;1,"DUPLICATE","OK")))</f>
        <v>OK</v>
      </c>
      <c r="K947" s="6" t="str">
        <f aca="false">A947&amp;"|"&amp;B947&amp;"|"&amp;C947&amp;"|"&amp;D947</f>
        <v>2|5|Nicole|spotify:track:2Cdvbe2G4hZsnhNMKyGrie</v>
      </c>
    </row>
    <row r="948" customFormat="false" ht="15" hidden="false" customHeight="false" outlineLevel="0" collapsed="false">
      <c r="A948" s="5" t="n">
        <v>2</v>
      </c>
      <c r="B948" s="5" t="n">
        <v>5</v>
      </c>
      <c r="C948" s="5" t="s">
        <v>92</v>
      </c>
      <c r="D948" s="5" t="s">
        <v>563</v>
      </c>
      <c r="E948" s="5" t="n">
        <v>2</v>
      </c>
      <c r="F948" s="6" t="n">
        <f aca="false">IFERROR(MATCH(A948&amp;"|"&amp;B948&amp;"|"&amp;D948,'All Song Rankings'!$T:$T,0),0)</f>
        <v>151</v>
      </c>
      <c r="G948" s="6" t="str">
        <f aca="false">IF(F948=0,"NOT FOUND",INDEX('All Song Rankings'!$A:$A,F948))</f>
        <v>Into the Unknown - Panic! At The Disco Version</v>
      </c>
      <c r="H948" s="6" t="str">
        <f aca="false">IF(F948=0,"NOT FOUND",INDEX('All Song Rankings'!$B:$B,F948))</f>
        <v>Panic! At The Disco</v>
      </c>
      <c r="I948" s="6" t="str">
        <f aca="false">IF(F948=0,"NOT FOUND",INDEX('All Song Rankings'!$D:$D,F948))</f>
        <v>Kristen</v>
      </c>
      <c r="J948" s="7" t="str">
        <f aca="false">IF(F948=0,"NOT FOUND",IF(C948=I948,"SELF-VOTE",IF(COUNTIF($K:$K,K948)&gt;1,"DUPLICATE","OK")))</f>
        <v>OK</v>
      </c>
      <c r="K948" s="6" t="str">
        <f aca="false">A948&amp;"|"&amp;B948&amp;"|"&amp;C948&amp;"|"&amp;D948</f>
        <v>2|5|Nicole|spotify:track:421eObjg0DTm2qajJl5OJm</v>
      </c>
    </row>
    <row r="949" customFormat="false" ht="15" hidden="false" customHeight="false" outlineLevel="0" collapsed="false">
      <c r="A949" s="5" t="n">
        <v>2</v>
      </c>
      <c r="B949" s="5" t="n">
        <v>5</v>
      </c>
      <c r="C949" s="5" t="s">
        <v>92</v>
      </c>
      <c r="D949" s="5" t="s">
        <v>572</v>
      </c>
      <c r="E949" s="5" t="n">
        <v>3</v>
      </c>
      <c r="F949" s="6" t="n">
        <f aca="false">IFERROR(MATCH(A949&amp;"|"&amp;B949&amp;"|"&amp;D949,'All Song Rankings'!$T:$T,0),0)</f>
        <v>154</v>
      </c>
      <c r="G949" s="6" t="str">
        <f aca="false">IF(F949=0,"NOT FOUND",INDEX('All Song Rankings'!$A:$A,F949))</f>
        <v>Red Red Wine</v>
      </c>
      <c r="H949" s="6" t="str">
        <f aca="false">IF(F949=0,"NOT FOUND",INDEX('All Song Rankings'!$B:$B,F949))</f>
        <v>UB40</v>
      </c>
      <c r="I949" s="6" t="str">
        <f aca="false">IF(F949=0,"NOT FOUND",INDEX('All Song Rankings'!$D:$D,F949))</f>
        <v>Aubrey</v>
      </c>
      <c r="J949" s="7" t="str">
        <f aca="false">IF(F949=0,"NOT FOUND",IF(C949=I949,"SELF-VOTE",IF(COUNTIF($K:$K,K949)&gt;1,"DUPLICATE","OK")))</f>
        <v>OK</v>
      </c>
      <c r="K949" s="6" t="str">
        <f aca="false">A949&amp;"|"&amp;B949&amp;"|"&amp;C949&amp;"|"&amp;D949</f>
        <v>2|5|Nicole|spotify:track:4uOKFydzAejjSFqYbv1XPt</v>
      </c>
    </row>
    <row r="950" customFormat="false" ht="15" hidden="false" customHeight="false" outlineLevel="0" collapsed="false">
      <c r="A950" s="5" t="n">
        <v>2</v>
      </c>
      <c r="B950" s="5" t="n">
        <v>5</v>
      </c>
      <c r="C950" s="5" t="s">
        <v>92</v>
      </c>
      <c r="D950" s="5" t="s">
        <v>549</v>
      </c>
      <c r="E950" s="5" t="n">
        <v>1</v>
      </c>
      <c r="F950" s="6" t="n">
        <f aca="false">IFERROR(MATCH(A950&amp;"|"&amp;B950&amp;"|"&amp;D950,'All Song Rankings'!$T:$T,0),0)</f>
        <v>146</v>
      </c>
      <c r="G950" s="6" t="str">
        <f aca="false">IF(F950=0,"NOT FOUND",INDEX('All Song Rankings'!$A:$A,F950))</f>
        <v>Istanbul (Not Constantinople)</v>
      </c>
      <c r="H950" s="6" t="str">
        <f aca="false">IF(F950=0,"NOT FOUND",INDEX('All Song Rankings'!$B:$B,F950))</f>
        <v>They Might Be Giants</v>
      </c>
      <c r="I950" s="6" t="str">
        <f aca="false">IF(F950=0,"NOT FOUND",INDEX('All Song Rankings'!$D:$D,F950))</f>
        <v>Grace</v>
      </c>
      <c r="J950" s="7" t="str">
        <f aca="false">IF(F950=0,"NOT FOUND",IF(C950=I950,"SELF-VOTE",IF(COUNTIF($K:$K,K950)&gt;1,"DUPLICATE","OK")))</f>
        <v>OK</v>
      </c>
      <c r="K950" s="6" t="str">
        <f aca="false">A950&amp;"|"&amp;B950&amp;"|"&amp;C950&amp;"|"&amp;D950</f>
        <v>2|5|Nicole|spotify:track:63vL5oxWrlvaJ0ayNaQnbX</v>
      </c>
    </row>
    <row r="951" customFormat="false" ht="15" hidden="false" customHeight="false" outlineLevel="0" collapsed="false">
      <c r="A951" s="5" t="n">
        <v>2</v>
      </c>
      <c r="B951" s="5" t="n">
        <v>5</v>
      </c>
      <c r="C951" s="5" t="s">
        <v>484</v>
      </c>
      <c r="D951" s="5" t="s">
        <v>552</v>
      </c>
      <c r="E951" s="5" t="n">
        <v>1</v>
      </c>
      <c r="F951" s="6" t="n">
        <f aca="false">IFERROR(MATCH(A951&amp;"|"&amp;B951&amp;"|"&amp;D951,'All Song Rankings'!$T:$T,0),0)</f>
        <v>147</v>
      </c>
      <c r="G951" s="6" t="str">
        <f aca="false">IF(F951=0,"NOT FOUND",INDEX('All Song Rankings'!$A:$A,F951))</f>
        <v>With A Little Help From My Friends</v>
      </c>
      <c r="H951" s="6" t="str">
        <f aca="false">IF(F951=0,"NOT FOUND",INDEX('All Song Rankings'!$B:$B,F951))</f>
        <v>Joe Cocker</v>
      </c>
      <c r="I951" s="6" t="str">
        <f aca="false">IF(F951=0,"NOT FOUND",INDEX('All Song Rankings'!$D:$D,F951))</f>
        <v>Stephanie</v>
      </c>
      <c r="J951" s="7" t="str">
        <f aca="false">IF(F951=0,"NOT FOUND",IF(C951=I951,"SELF-VOTE",IF(COUNTIF($K:$K,K951)&gt;1,"DUPLICATE","OK")))</f>
        <v>OK</v>
      </c>
      <c r="K951" s="6" t="str">
        <f aca="false">A951&amp;"|"&amp;B951&amp;"|"&amp;C951&amp;"|"&amp;D951</f>
        <v>2|5|Scott|spotify:track:0YZ3J8xzGwLOg4yEgST1YK</v>
      </c>
    </row>
    <row r="952" customFormat="false" ht="15" hidden="false" customHeight="false" outlineLevel="0" collapsed="false">
      <c r="A952" s="5" t="n">
        <v>2</v>
      </c>
      <c r="B952" s="5" t="n">
        <v>5</v>
      </c>
      <c r="C952" s="5" t="s">
        <v>484</v>
      </c>
      <c r="D952" s="5" t="s">
        <v>542</v>
      </c>
      <c r="E952" s="5" t="n">
        <v>3</v>
      </c>
      <c r="F952" s="6" t="n">
        <f aca="false">IFERROR(MATCH(A952&amp;"|"&amp;B952&amp;"|"&amp;D952,'All Song Rankings'!$T:$T,0),0)</f>
        <v>144</v>
      </c>
      <c r="G952" s="6" t="str">
        <f aca="false">IF(F952=0,"NOT FOUND",INDEX('All Song Rankings'!$A:$A,F952))</f>
        <v>I Will Always Love You</v>
      </c>
      <c r="H952" s="6" t="str">
        <f aca="false">IF(F952=0,"NOT FOUND",INDEX('All Song Rankings'!$B:$B,F952))</f>
        <v>Whitney Houston</v>
      </c>
      <c r="I952" s="6" t="str">
        <f aca="false">IF(F952=0,"NOT FOUND",INDEX('All Song Rankings'!$D:$D,F952))</f>
        <v>Logan</v>
      </c>
      <c r="J952" s="7" t="str">
        <f aca="false">IF(F952=0,"NOT FOUND",IF(C952=I952,"SELF-VOTE",IF(COUNTIF($K:$K,K952)&gt;1,"DUPLICATE","OK")))</f>
        <v>OK</v>
      </c>
      <c r="K952" s="6" t="str">
        <f aca="false">A952&amp;"|"&amp;B952&amp;"|"&amp;C952&amp;"|"&amp;D952</f>
        <v>2|5|Scott|spotify:track:4eHbdreAnSOrDDsFfc4Fpm</v>
      </c>
    </row>
    <row r="953" customFormat="false" ht="15" hidden="false" customHeight="false" outlineLevel="0" collapsed="false">
      <c r="A953" s="5" t="n">
        <v>2</v>
      </c>
      <c r="B953" s="5" t="n">
        <v>5</v>
      </c>
      <c r="C953" s="5" t="s">
        <v>484</v>
      </c>
      <c r="D953" s="5" t="s">
        <v>561</v>
      </c>
      <c r="E953" s="5" t="n">
        <v>2</v>
      </c>
      <c r="F953" s="6" t="n">
        <f aca="false">IFERROR(MATCH(A953&amp;"|"&amp;B953&amp;"|"&amp;D953,'All Song Rankings'!$T:$T,0),0)</f>
        <v>150</v>
      </c>
      <c r="G953" s="6" t="str">
        <f aca="false">IF(F953=0,"NOT FOUND",INDEX('All Song Rankings'!$A:$A,F953))</f>
        <v>Valerie - BBC Radio 1 Live Lounge</v>
      </c>
      <c r="H953" s="6" t="str">
        <f aca="false">IF(F953=0,"NOT FOUND",INDEX('All Song Rankings'!$B:$B,F953))</f>
        <v>Amy Winehouse</v>
      </c>
      <c r="I953" s="6" t="str">
        <f aca="false">IF(F953=0,"NOT FOUND",INDEX('All Song Rankings'!$D:$D,F953))</f>
        <v>Matt</v>
      </c>
      <c r="J953" s="7" t="str">
        <f aca="false">IF(F953=0,"NOT FOUND",IF(C953=I953,"SELF-VOTE",IF(COUNTIF($K:$K,K953)&gt;1,"DUPLICATE","OK")))</f>
        <v>OK</v>
      </c>
      <c r="K953" s="6" t="str">
        <f aca="false">A953&amp;"|"&amp;B953&amp;"|"&amp;C953&amp;"|"&amp;D953</f>
        <v>2|5|Scott|spotify:track:5it9RIRXDwiLpJKdce6Z7e</v>
      </c>
    </row>
    <row r="954" customFormat="false" ht="15" hidden="false" customHeight="false" outlineLevel="0" collapsed="false">
      <c r="A954" s="5" t="n">
        <v>2</v>
      </c>
      <c r="B954" s="5" t="n">
        <v>5</v>
      </c>
      <c r="C954" s="5" t="s">
        <v>484</v>
      </c>
      <c r="D954" s="5" t="s">
        <v>549</v>
      </c>
      <c r="E954" s="5" t="n">
        <v>2</v>
      </c>
      <c r="F954" s="6" t="n">
        <f aca="false">IFERROR(MATCH(A954&amp;"|"&amp;B954&amp;"|"&amp;D954,'All Song Rankings'!$T:$T,0),0)</f>
        <v>146</v>
      </c>
      <c r="G954" s="6" t="str">
        <f aca="false">IF(F954=0,"NOT FOUND",INDEX('All Song Rankings'!$A:$A,F954))</f>
        <v>Istanbul (Not Constantinople)</v>
      </c>
      <c r="H954" s="6" t="str">
        <f aca="false">IF(F954=0,"NOT FOUND",INDEX('All Song Rankings'!$B:$B,F954))</f>
        <v>They Might Be Giants</v>
      </c>
      <c r="I954" s="6" t="str">
        <f aca="false">IF(F954=0,"NOT FOUND",INDEX('All Song Rankings'!$D:$D,F954))</f>
        <v>Grace</v>
      </c>
      <c r="J954" s="7" t="str">
        <f aca="false">IF(F954=0,"NOT FOUND",IF(C954=I954,"SELF-VOTE",IF(COUNTIF($K:$K,K954)&gt;1,"DUPLICATE","OK")))</f>
        <v>OK</v>
      </c>
      <c r="K954" s="6" t="str">
        <f aca="false">A954&amp;"|"&amp;B954&amp;"|"&amp;C954&amp;"|"&amp;D954</f>
        <v>2|5|Scott|spotify:track:63vL5oxWrlvaJ0ayNaQnbX</v>
      </c>
    </row>
    <row r="955" customFormat="false" ht="15" hidden="false" customHeight="false" outlineLevel="0" collapsed="false">
      <c r="A955" s="5" t="n">
        <v>2</v>
      </c>
      <c r="B955" s="5" t="n">
        <v>5</v>
      </c>
      <c r="C955" s="5" t="s">
        <v>484</v>
      </c>
      <c r="D955" s="5" t="s">
        <v>558</v>
      </c>
      <c r="E955" s="5" t="n">
        <v>1</v>
      </c>
      <c r="F955" s="6" t="n">
        <f aca="false">IFERROR(MATCH(A955&amp;"|"&amp;B955&amp;"|"&amp;D955,'All Song Rankings'!$T:$T,0),0)</f>
        <v>149</v>
      </c>
      <c r="G955" s="6" t="str">
        <f aca="false">IF(F955=0,"NOT FOUND",INDEX('All Song Rankings'!$A:$A,F955))</f>
        <v>Over My Head (Cable Car)</v>
      </c>
      <c r="H955" s="6" t="str">
        <f aca="false">IF(F955=0,"NOT FOUND",INDEX('All Song Rankings'!$B:$B,F955))</f>
        <v>A Day to Remember</v>
      </c>
      <c r="I955" s="6" t="str">
        <f aca="false">IF(F955=0,"NOT FOUND",INDEX('All Song Rankings'!$D:$D,F955))</f>
        <v>Nicole</v>
      </c>
      <c r="J955" s="7" t="str">
        <f aca="false">IF(F955=0,"NOT FOUND",IF(C955=I955,"SELF-VOTE",IF(COUNTIF($K:$K,K955)&gt;1,"DUPLICATE","OK")))</f>
        <v>OK</v>
      </c>
      <c r="K955" s="6" t="str">
        <f aca="false">A955&amp;"|"&amp;B955&amp;"|"&amp;C955&amp;"|"&amp;D955</f>
        <v>2|5|Scott|spotify:track:6qXdC5KUAii87YnD9MOGG9</v>
      </c>
    </row>
    <row r="956" customFormat="false" ht="15" hidden="false" customHeight="false" outlineLevel="0" collapsed="false">
      <c r="A956" s="5" t="n">
        <v>2</v>
      </c>
      <c r="B956" s="5" t="n">
        <v>5</v>
      </c>
      <c r="C956" s="5" t="s">
        <v>484</v>
      </c>
      <c r="D956" s="5" t="s">
        <v>566</v>
      </c>
      <c r="E956" s="5" t="n">
        <v>1</v>
      </c>
      <c r="F956" s="6" t="n">
        <f aca="false">IFERROR(MATCH(A956&amp;"|"&amp;B956&amp;"|"&amp;D956,'All Song Rankings'!$T:$T,0),0)</f>
        <v>152</v>
      </c>
      <c r="G956" s="6" t="str">
        <f aca="false">IF(F956=0,"NOT FOUND",INDEX('All Song Rankings'!$A:$A,F956))</f>
        <v>Word Up!</v>
      </c>
      <c r="H956" s="6" t="str">
        <f aca="false">IF(F956=0,"NOT FOUND",INDEX('All Song Rankings'!$B:$B,F956))</f>
        <v>Korn</v>
      </c>
      <c r="I956" s="6" t="str">
        <f aca="false">IF(F956=0,"NOT FOUND",INDEX('All Song Rankings'!$D:$D,F956))</f>
        <v>Shayne</v>
      </c>
      <c r="J956" s="7" t="str">
        <f aca="false">IF(F956=0,"NOT FOUND",IF(C956=I956,"SELF-VOTE",IF(COUNTIF($K:$K,K956)&gt;1,"DUPLICATE","OK")))</f>
        <v>OK</v>
      </c>
      <c r="K956" s="6" t="str">
        <f aca="false">A956&amp;"|"&amp;B956&amp;"|"&amp;C956&amp;"|"&amp;D956</f>
        <v>2|5|Scott|spotify:track:73U1KkjdT0sMgGaKn3P6Z4</v>
      </c>
    </row>
    <row r="957" customFormat="false" ht="15" hidden="false" customHeight="false" outlineLevel="0" collapsed="false">
      <c r="A957" s="5" t="n">
        <v>2</v>
      </c>
      <c r="B957" s="5" t="n">
        <v>5</v>
      </c>
      <c r="C957" s="5" t="s">
        <v>378</v>
      </c>
      <c r="D957" s="5" t="s">
        <v>555</v>
      </c>
      <c r="E957" s="5" t="n">
        <v>3</v>
      </c>
      <c r="F957" s="6" t="n">
        <f aca="false">IFERROR(MATCH(A957&amp;"|"&amp;B957&amp;"|"&amp;D957,'All Song Rankings'!$T:$T,0),0)</f>
        <v>148</v>
      </c>
      <c r="G957" s="6" t="str">
        <f aca="false">IF(F957=0,"NOT FOUND",INDEX('All Song Rankings'!$A:$A,F957))</f>
        <v>The Sound of Silence</v>
      </c>
      <c r="H957" s="6" t="str">
        <f aca="false">IF(F957=0,"NOT FOUND",INDEX('All Song Rankings'!$B:$B,F957))</f>
        <v>Disturbed</v>
      </c>
      <c r="I957" s="6" t="str">
        <f aca="false">IF(F957=0,"NOT FOUND",INDEX('All Song Rankings'!$D:$D,F957))</f>
        <v>Leah</v>
      </c>
      <c r="J957" s="7" t="str">
        <f aca="false">IF(F957=0,"NOT FOUND",IF(C957=I957,"SELF-VOTE",IF(COUNTIF($K:$K,K957)&gt;1,"DUPLICATE","OK")))</f>
        <v>OK</v>
      </c>
      <c r="K957" s="6" t="str">
        <f aca="false">A957&amp;"|"&amp;B957&amp;"|"&amp;C957&amp;"|"&amp;D957</f>
        <v>2|5|Shayne|spotify:track:1Cj2vqUwlJVG27gJrun92y</v>
      </c>
    </row>
    <row r="958" customFormat="false" ht="15" hidden="false" customHeight="false" outlineLevel="0" collapsed="false">
      <c r="A958" s="5" t="n">
        <v>2</v>
      </c>
      <c r="B958" s="5" t="n">
        <v>5</v>
      </c>
      <c r="C958" s="5" t="s">
        <v>378</v>
      </c>
      <c r="D958" s="5" t="s">
        <v>545</v>
      </c>
      <c r="E958" s="5" t="n">
        <v>1</v>
      </c>
      <c r="F958" s="6" t="n">
        <f aca="false">IFERROR(MATCH(A958&amp;"|"&amp;B958&amp;"|"&amp;D958,'All Song Rankings'!$T:$T,0),0)</f>
        <v>145</v>
      </c>
      <c r="G958" s="6" t="str">
        <f aca="false">IF(F958=0,"NOT FOUND",INDEX('All Song Rankings'!$A:$A,F958))</f>
        <v>I Love Rock 'N Roll</v>
      </c>
      <c r="H958" s="6" t="str">
        <f aca="false">IF(F958=0,"NOT FOUND",INDEX('All Song Rankings'!$B:$B,F958))</f>
        <v>Joan Jett &amp; the Blackhearts</v>
      </c>
      <c r="I958" s="6" t="str">
        <f aca="false">IF(F958=0,"NOT FOUND",INDEX('All Song Rankings'!$D:$D,F958))</f>
        <v>Scott</v>
      </c>
      <c r="J958" s="7" t="str">
        <f aca="false">IF(F958=0,"NOT FOUND",IF(C958=I958,"SELF-VOTE",IF(COUNTIF($K:$K,K958)&gt;1,"DUPLICATE","OK")))</f>
        <v>OK</v>
      </c>
      <c r="K958" s="6" t="str">
        <f aca="false">A958&amp;"|"&amp;B958&amp;"|"&amp;C958&amp;"|"&amp;D958</f>
        <v>2|5|Shayne|spotify:track:2Cdvbe2G4hZsnhNMKyGrie</v>
      </c>
    </row>
    <row r="959" customFormat="false" ht="15" hidden="false" customHeight="false" outlineLevel="0" collapsed="false">
      <c r="A959" s="5" t="n">
        <v>2</v>
      </c>
      <c r="B959" s="5" t="n">
        <v>5</v>
      </c>
      <c r="C959" s="5" t="s">
        <v>378</v>
      </c>
      <c r="D959" s="5" t="s">
        <v>563</v>
      </c>
      <c r="E959" s="5" t="n">
        <v>1</v>
      </c>
      <c r="F959" s="6" t="n">
        <f aca="false">IFERROR(MATCH(A959&amp;"|"&amp;B959&amp;"|"&amp;D959,'All Song Rankings'!$T:$T,0),0)</f>
        <v>151</v>
      </c>
      <c r="G959" s="6" t="str">
        <f aca="false">IF(F959=0,"NOT FOUND",INDEX('All Song Rankings'!$A:$A,F959))</f>
        <v>Into the Unknown - Panic! At The Disco Version</v>
      </c>
      <c r="H959" s="6" t="str">
        <f aca="false">IF(F959=0,"NOT FOUND",INDEX('All Song Rankings'!$B:$B,F959))</f>
        <v>Panic! At The Disco</v>
      </c>
      <c r="I959" s="6" t="str">
        <f aca="false">IF(F959=0,"NOT FOUND",INDEX('All Song Rankings'!$D:$D,F959))</f>
        <v>Kristen</v>
      </c>
      <c r="J959" s="7" t="str">
        <f aca="false">IF(F959=0,"NOT FOUND",IF(C959=I959,"SELF-VOTE",IF(COUNTIF($K:$K,K959)&gt;1,"DUPLICATE","OK")))</f>
        <v>OK</v>
      </c>
      <c r="K959" s="6" t="str">
        <f aca="false">A959&amp;"|"&amp;B959&amp;"|"&amp;C959&amp;"|"&amp;D959</f>
        <v>2|5|Shayne|spotify:track:421eObjg0DTm2qajJl5OJm</v>
      </c>
    </row>
    <row r="960" customFormat="false" ht="15" hidden="false" customHeight="false" outlineLevel="0" collapsed="false">
      <c r="A960" s="5" t="n">
        <v>2</v>
      </c>
      <c r="B960" s="5" t="n">
        <v>5</v>
      </c>
      <c r="C960" s="5" t="s">
        <v>378</v>
      </c>
      <c r="D960" s="5" t="s">
        <v>561</v>
      </c>
      <c r="E960" s="5" t="n">
        <v>1</v>
      </c>
      <c r="F960" s="6" t="n">
        <f aca="false">IFERROR(MATCH(A960&amp;"|"&amp;B960&amp;"|"&amp;D960,'All Song Rankings'!$T:$T,0),0)</f>
        <v>150</v>
      </c>
      <c r="G960" s="6" t="str">
        <f aca="false">IF(F960=0,"NOT FOUND",INDEX('All Song Rankings'!$A:$A,F960))</f>
        <v>Valerie - BBC Radio 1 Live Lounge</v>
      </c>
      <c r="H960" s="6" t="str">
        <f aca="false">IF(F960=0,"NOT FOUND",INDEX('All Song Rankings'!$B:$B,F960))</f>
        <v>Amy Winehouse</v>
      </c>
      <c r="I960" s="6" t="str">
        <f aca="false">IF(F960=0,"NOT FOUND",INDEX('All Song Rankings'!$D:$D,F960))</f>
        <v>Matt</v>
      </c>
      <c r="J960" s="7" t="str">
        <f aca="false">IF(F960=0,"NOT FOUND",IF(C960=I960,"SELF-VOTE",IF(COUNTIF($K:$K,K960)&gt;1,"DUPLICATE","OK")))</f>
        <v>OK</v>
      </c>
      <c r="K960" s="6" t="str">
        <f aca="false">A960&amp;"|"&amp;B960&amp;"|"&amp;C960&amp;"|"&amp;D960</f>
        <v>2|5|Shayne|spotify:track:5it9RIRXDwiLpJKdce6Z7e</v>
      </c>
    </row>
    <row r="961" customFormat="false" ht="15" hidden="false" customHeight="false" outlineLevel="0" collapsed="false">
      <c r="A961" s="5" t="n">
        <v>2</v>
      </c>
      <c r="B961" s="5" t="n">
        <v>5</v>
      </c>
      <c r="C961" s="5" t="s">
        <v>378</v>
      </c>
      <c r="D961" s="5" t="s">
        <v>549</v>
      </c>
      <c r="E961" s="5" t="n">
        <v>2</v>
      </c>
      <c r="F961" s="6" t="n">
        <f aca="false">IFERROR(MATCH(A961&amp;"|"&amp;B961&amp;"|"&amp;D961,'All Song Rankings'!$T:$T,0),0)</f>
        <v>146</v>
      </c>
      <c r="G961" s="6" t="str">
        <f aca="false">IF(F961=0,"NOT FOUND",INDEX('All Song Rankings'!$A:$A,F961))</f>
        <v>Istanbul (Not Constantinople)</v>
      </c>
      <c r="H961" s="6" t="str">
        <f aca="false">IF(F961=0,"NOT FOUND",INDEX('All Song Rankings'!$B:$B,F961))</f>
        <v>They Might Be Giants</v>
      </c>
      <c r="I961" s="6" t="str">
        <f aca="false">IF(F961=0,"NOT FOUND",INDEX('All Song Rankings'!$D:$D,F961))</f>
        <v>Grace</v>
      </c>
      <c r="J961" s="7" t="str">
        <f aca="false">IF(F961=0,"NOT FOUND",IF(C961=I961,"SELF-VOTE",IF(COUNTIF($K:$K,K961)&gt;1,"DUPLICATE","OK")))</f>
        <v>OK</v>
      </c>
      <c r="K961" s="6" t="str">
        <f aca="false">A961&amp;"|"&amp;B961&amp;"|"&amp;C961&amp;"|"&amp;D961</f>
        <v>2|5|Shayne|spotify:track:63vL5oxWrlvaJ0ayNaQnbX</v>
      </c>
    </row>
    <row r="962" customFormat="false" ht="15" hidden="false" customHeight="false" outlineLevel="0" collapsed="false">
      <c r="A962" s="5" t="n">
        <v>2</v>
      </c>
      <c r="B962" s="5" t="n">
        <v>5</v>
      </c>
      <c r="C962" s="5" t="s">
        <v>378</v>
      </c>
      <c r="D962" s="5" t="s">
        <v>558</v>
      </c>
      <c r="E962" s="5" t="n">
        <v>2</v>
      </c>
      <c r="F962" s="6" t="n">
        <f aca="false">IFERROR(MATCH(A962&amp;"|"&amp;B962&amp;"|"&amp;D962,'All Song Rankings'!$T:$T,0),0)</f>
        <v>149</v>
      </c>
      <c r="G962" s="6" t="str">
        <f aca="false">IF(F962=0,"NOT FOUND",INDEX('All Song Rankings'!$A:$A,F962))</f>
        <v>Over My Head (Cable Car)</v>
      </c>
      <c r="H962" s="6" t="str">
        <f aca="false">IF(F962=0,"NOT FOUND",INDEX('All Song Rankings'!$B:$B,F962))</f>
        <v>A Day to Remember</v>
      </c>
      <c r="I962" s="6" t="str">
        <f aca="false">IF(F962=0,"NOT FOUND",INDEX('All Song Rankings'!$D:$D,F962))</f>
        <v>Nicole</v>
      </c>
      <c r="J962" s="7" t="str">
        <f aca="false">IF(F962=0,"NOT FOUND",IF(C962=I962,"SELF-VOTE",IF(COUNTIF($K:$K,K962)&gt;1,"DUPLICATE","OK")))</f>
        <v>OK</v>
      </c>
      <c r="K962" s="6" t="str">
        <f aca="false">A962&amp;"|"&amp;B962&amp;"|"&amp;C962&amp;"|"&amp;D962</f>
        <v>2|5|Shayne|spotify:track:6qXdC5KUAii87YnD9MOGG9</v>
      </c>
    </row>
    <row r="963" customFormat="false" ht="15" hidden="false" customHeight="false" outlineLevel="0" collapsed="false">
      <c r="A963" s="5" t="n">
        <v>2</v>
      </c>
      <c r="B963" s="5" t="n">
        <v>5</v>
      </c>
      <c r="C963" s="5" t="s">
        <v>97</v>
      </c>
      <c r="D963" s="5" t="s">
        <v>555</v>
      </c>
      <c r="E963" s="5" t="n">
        <v>2</v>
      </c>
      <c r="F963" s="6" t="n">
        <f aca="false">IFERROR(MATCH(A963&amp;"|"&amp;B963&amp;"|"&amp;D963,'All Song Rankings'!$T:$T,0),0)</f>
        <v>148</v>
      </c>
      <c r="G963" s="6" t="str">
        <f aca="false">IF(F963=0,"NOT FOUND",INDEX('All Song Rankings'!$A:$A,F963))</f>
        <v>The Sound of Silence</v>
      </c>
      <c r="H963" s="6" t="str">
        <f aca="false">IF(F963=0,"NOT FOUND",INDEX('All Song Rankings'!$B:$B,F963))</f>
        <v>Disturbed</v>
      </c>
      <c r="I963" s="6" t="str">
        <f aca="false">IF(F963=0,"NOT FOUND",INDEX('All Song Rankings'!$D:$D,F963))</f>
        <v>Leah</v>
      </c>
      <c r="J963" s="7" t="str">
        <f aca="false">IF(F963=0,"NOT FOUND",IF(C963=I963,"SELF-VOTE",IF(COUNTIF($K:$K,K963)&gt;1,"DUPLICATE","OK")))</f>
        <v>OK</v>
      </c>
      <c r="K963" s="6" t="str">
        <f aca="false">A963&amp;"|"&amp;B963&amp;"|"&amp;C963&amp;"|"&amp;D963</f>
        <v>2|5|Stephanie|spotify:track:1Cj2vqUwlJVG27gJrun92y</v>
      </c>
    </row>
    <row r="964" customFormat="false" ht="15" hidden="false" customHeight="false" outlineLevel="0" collapsed="false">
      <c r="A964" s="5" t="n">
        <v>2</v>
      </c>
      <c r="B964" s="5" t="n">
        <v>5</v>
      </c>
      <c r="C964" s="5" t="s">
        <v>97</v>
      </c>
      <c r="D964" s="5" t="s">
        <v>545</v>
      </c>
      <c r="E964" s="5" t="n">
        <v>3</v>
      </c>
      <c r="F964" s="6" t="n">
        <f aca="false">IFERROR(MATCH(A964&amp;"|"&amp;B964&amp;"|"&amp;D964,'All Song Rankings'!$T:$T,0),0)</f>
        <v>145</v>
      </c>
      <c r="G964" s="6" t="str">
        <f aca="false">IF(F964=0,"NOT FOUND",INDEX('All Song Rankings'!$A:$A,F964))</f>
        <v>I Love Rock 'N Roll</v>
      </c>
      <c r="H964" s="6" t="str">
        <f aca="false">IF(F964=0,"NOT FOUND",INDEX('All Song Rankings'!$B:$B,F964))</f>
        <v>Joan Jett &amp; the Blackhearts</v>
      </c>
      <c r="I964" s="6" t="str">
        <f aca="false">IF(F964=0,"NOT FOUND",INDEX('All Song Rankings'!$D:$D,F964))</f>
        <v>Scott</v>
      </c>
      <c r="J964" s="7" t="str">
        <f aca="false">IF(F964=0,"NOT FOUND",IF(C964=I964,"SELF-VOTE",IF(COUNTIF($K:$K,K964)&gt;1,"DUPLICATE","OK")))</f>
        <v>OK</v>
      </c>
      <c r="K964" s="6" t="str">
        <f aca="false">A964&amp;"|"&amp;B964&amp;"|"&amp;C964&amp;"|"&amp;D964</f>
        <v>2|5|Stephanie|spotify:track:2Cdvbe2G4hZsnhNMKyGrie</v>
      </c>
    </row>
    <row r="965" customFormat="false" ht="15" hidden="false" customHeight="false" outlineLevel="0" collapsed="false">
      <c r="A965" s="5" t="n">
        <v>2</v>
      </c>
      <c r="B965" s="5" t="n">
        <v>5</v>
      </c>
      <c r="C965" s="5" t="s">
        <v>97</v>
      </c>
      <c r="D965" s="5" t="s">
        <v>542</v>
      </c>
      <c r="E965" s="5" t="n">
        <v>3</v>
      </c>
      <c r="F965" s="6" t="n">
        <f aca="false">IFERROR(MATCH(A965&amp;"|"&amp;B965&amp;"|"&amp;D965,'All Song Rankings'!$T:$T,0),0)</f>
        <v>144</v>
      </c>
      <c r="G965" s="6" t="str">
        <f aca="false">IF(F965=0,"NOT FOUND",INDEX('All Song Rankings'!$A:$A,F965))</f>
        <v>I Will Always Love You</v>
      </c>
      <c r="H965" s="6" t="str">
        <f aca="false">IF(F965=0,"NOT FOUND",INDEX('All Song Rankings'!$B:$B,F965))</f>
        <v>Whitney Houston</v>
      </c>
      <c r="I965" s="6" t="str">
        <f aca="false">IF(F965=0,"NOT FOUND",INDEX('All Song Rankings'!$D:$D,F965))</f>
        <v>Logan</v>
      </c>
      <c r="J965" s="7" t="str">
        <f aca="false">IF(F965=0,"NOT FOUND",IF(C965=I965,"SELF-VOTE",IF(COUNTIF($K:$K,K965)&gt;1,"DUPLICATE","OK")))</f>
        <v>OK</v>
      </c>
      <c r="K965" s="6" t="str">
        <f aca="false">A965&amp;"|"&amp;B965&amp;"|"&amp;C965&amp;"|"&amp;D965</f>
        <v>2|5|Stephanie|spotify:track:4eHbdreAnSOrDDsFfc4Fpm</v>
      </c>
    </row>
    <row r="966" customFormat="false" ht="15" hidden="false" customHeight="false" outlineLevel="0" collapsed="false">
      <c r="A966" s="5" t="n">
        <v>2</v>
      </c>
      <c r="B966" s="5" t="n">
        <v>5</v>
      </c>
      <c r="C966" s="5" t="s">
        <v>97</v>
      </c>
      <c r="D966" s="5" t="s">
        <v>549</v>
      </c>
      <c r="E966" s="5" t="n">
        <v>1</v>
      </c>
      <c r="F966" s="6" t="n">
        <f aca="false">IFERROR(MATCH(A966&amp;"|"&amp;B966&amp;"|"&amp;D966,'All Song Rankings'!$T:$T,0),0)</f>
        <v>146</v>
      </c>
      <c r="G966" s="6" t="str">
        <f aca="false">IF(F966=0,"NOT FOUND",INDEX('All Song Rankings'!$A:$A,F966))</f>
        <v>Istanbul (Not Constantinople)</v>
      </c>
      <c r="H966" s="6" t="str">
        <f aca="false">IF(F966=0,"NOT FOUND",INDEX('All Song Rankings'!$B:$B,F966))</f>
        <v>They Might Be Giants</v>
      </c>
      <c r="I966" s="6" t="str">
        <f aca="false">IF(F966=0,"NOT FOUND",INDEX('All Song Rankings'!$D:$D,F966))</f>
        <v>Grace</v>
      </c>
      <c r="J966" s="7" t="str">
        <f aca="false">IF(F966=0,"NOT FOUND",IF(C966=I966,"SELF-VOTE",IF(COUNTIF($K:$K,K966)&gt;1,"DUPLICATE","OK")))</f>
        <v>OK</v>
      </c>
      <c r="K966" s="6" t="str">
        <f aca="false">A966&amp;"|"&amp;B966&amp;"|"&amp;C966&amp;"|"&amp;D966</f>
        <v>2|5|Stephanie|spotify:track:63vL5oxWrlvaJ0ayNaQnbX</v>
      </c>
    </row>
    <row r="967" customFormat="false" ht="15" hidden="false" customHeight="false" outlineLevel="0" collapsed="false">
      <c r="A967" s="5" t="n">
        <v>2</v>
      </c>
      <c r="B967" s="5" t="n">
        <v>5</v>
      </c>
      <c r="C967" s="5" t="s">
        <v>97</v>
      </c>
      <c r="D967" s="5" t="s">
        <v>569</v>
      </c>
      <c r="E967" s="5" t="n">
        <v>1</v>
      </c>
      <c r="F967" s="6" t="n">
        <f aca="false">IFERROR(MATCH(A967&amp;"|"&amp;B967&amp;"|"&amp;D967,'All Song Rankings'!$T:$T,0),0)</f>
        <v>153</v>
      </c>
      <c r="G967" s="6" t="str">
        <f aca="false">IF(F967=0,"NOT FOUND",INDEX('All Song Rankings'!$A:$A,F967))</f>
        <v>Valerie (feat. Amy Winehouse) - Version Revisited</v>
      </c>
      <c r="H967" s="6" t="str">
        <f aca="false">IF(F967=0,"NOT FOUND",INDEX('All Song Rankings'!$B:$B,F967))</f>
        <v>Mark Ronson, Amy Winehouse</v>
      </c>
      <c r="I967" s="6" t="str">
        <f aca="false">IF(F967=0,"NOT FOUND",INDEX('All Song Rankings'!$D:$D,F967))</f>
        <v>Kelsey</v>
      </c>
      <c r="J967" s="7" t="str">
        <f aca="false">IF(F967=0,"NOT FOUND",IF(C967=I967,"SELF-VOTE",IF(COUNTIF($K:$K,K967)&gt;1,"DUPLICATE","OK")))</f>
        <v>OK</v>
      </c>
      <c r="K967" s="6" t="str">
        <f aca="false">A967&amp;"|"&amp;B967&amp;"|"&amp;C967&amp;"|"&amp;D967</f>
        <v>2|5|Stephanie|spotify:track:6kopmMZiyLmw7h66uXcXR7</v>
      </c>
    </row>
    <row r="968" customFormat="false" ht="15" hidden="false" customHeight="false" outlineLevel="0" collapsed="false">
      <c r="A968" s="5" t="n">
        <v>2</v>
      </c>
      <c r="B968" s="5" t="n">
        <v>6</v>
      </c>
      <c r="C968" s="5" t="s">
        <v>382</v>
      </c>
      <c r="D968" s="5" t="s">
        <v>587</v>
      </c>
      <c r="E968" s="5" t="n">
        <v>1</v>
      </c>
      <c r="F968" s="6" t="n">
        <f aca="false">IFERROR(MATCH(A968&amp;"|"&amp;B968&amp;"|"&amp;D968,'All Song Rankings'!$T:$T,0),0)</f>
        <v>159</v>
      </c>
      <c r="G968" s="6" t="str">
        <f aca="false">IF(F968=0,"NOT FOUND",INDEX('All Song Rankings'!$A:$A,F968))</f>
        <v>I Love You Always Forever</v>
      </c>
      <c r="H968" s="6" t="str">
        <f aca="false">IF(F968=0,"NOT FOUND",INDEX('All Song Rankings'!$B:$B,F968))</f>
        <v>Donna Lewis</v>
      </c>
      <c r="I968" s="6" t="str">
        <f aca="false">IF(F968=0,"NOT FOUND",INDEX('All Song Rankings'!$D:$D,F968))</f>
        <v>Logan</v>
      </c>
      <c r="J968" s="7" t="str">
        <f aca="false">IF(F968=0,"NOT FOUND",IF(C968=I968,"SELF-VOTE",IF(COUNTIF($K:$K,K968)&gt;1,"DUPLICATE","OK")))</f>
        <v>OK</v>
      </c>
      <c r="K968" s="6" t="str">
        <f aca="false">A968&amp;"|"&amp;B968&amp;"|"&amp;C968&amp;"|"&amp;D968</f>
        <v>2|6|Grace|spotify:track:1PEqh7awkpuepLBSq8ZwqD</v>
      </c>
    </row>
    <row r="969" customFormat="false" ht="15" hidden="false" customHeight="false" outlineLevel="0" collapsed="false">
      <c r="A969" s="5" t="n">
        <v>2</v>
      </c>
      <c r="B969" s="5" t="n">
        <v>6</v>
      </c>
      <c r="C969" s="5" t="s">
        <v>382</v>
      </c>
      <c r="D969" s="5" t="s">
        <v>581</v>
      </c>
      <c r="E969" s="5" t="n">
        <v>1</v>
      </c>
      <c r="F969" s="6" t="n">
        <f aca="false">IFERROR(MATCH(A969&amp;"|"&amp;B969&amp;"|"&amp;D969,'All Song Rankings'!$T:$T,0),0)</f>
        <v>157</v>
      </c>
      <c r="G969" s="6" t="str">
        <f aca="false">IF(F969=0,"NOT FOUND",INDEX('All Song Rankings'!$A:$A,F969))</f>
        <v>Sugar, We're Goin Down</v>
      </c>
      <c r="H969" s="6" t="str">
        <f aca="false">IF(F969=0,"NOT FOUND",INDEX('All Song Rankings'!$B:$B,F969))</f>
        <v>Fall Out Boy</v>
      </c>
      <c r="I969" s="6" t="str">
        <f aca="false">IF(F969=0,"NOT FOUND",INDEX('All Song Rankings'!$D:$D,F969))</f>
        <v>Nicole</v>
      </c>
      <c r="J969" s="7" t="str">
        <f aca="false">IF(F969=0,"NOT FOUND",IF(C969=I969,"SELF-VOTE",IF(COUNTIF($K:$K,K969)&gt;1,"DUPLICATE","OK")))</f>
        <v>OK</v>
      </c>
      <c r="K969" s="6" t="str">
        <f aca="false">A969&amp;"|"&amp;B969&amp;"|"&amp;C969&amp;"|"&amp;D969</f>
        <v>2|6|Grace|spotify:track:2TfSHkHiFO4gRztVIkggkE</v>
      </c>
    </row>
    <row r="970" customFormat="false" ht="15" hidden="false" customHeight="false" outlineLevel="0" collapsed="false">
      <c r="A970" s="5" t="n">
        <v>2</v>
      </c>
      <c r="B970" s="5" t="n">
        <v>6</v>
      </c>
      <c r="C970" s="5" t="s">
        <v>382</v>
      </c>
      <c r="D970" s="5" t="s">
        <v>596</v>
      </c>
      <c r="E970" s="5" t="n">
        <v>3</v>
      </c>
      <c r="F970" s="6" t="n">
        <f aca="false">IFERROR(MATCH(A970&amp;"|"&amp;B970&amp;"|"&amp;D970,'All Song Rankings'!$T:$T,0),0)</f>
        <v>162</v>
      </c>
      <c r="G970" s="6" t="str">
        <f aca="false">IF(F970=0,"NOT FOUND",INDEX('All Song Rankings'!$A:$A,F970))</f>
        <v>Somebody That I Used To Know</v>
      </c>
      <c r="H970" s="6" t="str">
        <f aca="false">IF(F970=0,"NOT FOUND",INDEX('All Song Rankings'!$B:$B,F970))</f>
        <v>Gotye, Kimbra</v>
      </c>
      <c r="I970" s="6" t="str">
        <f aca="false">IF(F970=0,"NOT FOUND",INDEX('All Song Rankings'!$D:$D,F970))</f>
        <v>Kristen</v>
      </c>
      <c r="J970" s="7" t="str">
        <f aca="false">IF(F970=0,"NOT FOUND",IF(C970=I970,"SELF-VOTE",IF(COUNTIF($K:$K,K970)&gt;1,"DUPLICATE","OK")))</f>
        <v>OK</v>
      </c>
      <c r="K970" s="6" t="str">
        <f aca="false">A970&amp;"|"&amp;B970&amp;"|"&amp;C970&amp;"|"&amp;D970</f>
        <v>2|6|Grace|spotify:track:4wCmqSrbyCgxEXROQE6vtV</v>
      </c>
    </row>
    <row r="971" customFormat="false" ht="15" hidden="false" customHeight="false" outlineLevel="0" collapsed="false">
      <c r="A971" s="5" t="n">
        <v>2</v>
      </c>
      <c r="B971" s="5" t="n">
        <v>6</v>
      </c>
      <c r="C971" s="5" t="s">
        <v>382</v>
      </c>
      <c r="D971" s="5" t="s">
        <v>590</v>
      </c>
      <c r="E971" s="5" t="n">
        <v>2</v>
      </c>
      <c r="F971" s="6" t="n">
        <f aca="false">IFERROR(MATCH(A971&amp;"|"&amp;B971&amp;"|"&amp;D971,'All Song Rankings'!$T:$T,0),0)</f>
        <v>160</v>
      </c>
      <c r="G971" s="6" t="str">
        <f aca="false">IF(F971=0,"NOT FOUND",INDEX('All Song Rankings'!$A:$A,F971))</f>
        <v>Shake It</v>
      </c>
      <c r="H971" s="6" t="str">
        <f aca="false">IF(F971=0,"NOT FOUND",INDEX('All Song Rankings'!$B:$B,F971))</f>
        <v>Metro Station</v>
      </c>
      <c r="I971" s="6" t="str">
        <f aca="false">IF(F971=0,"NOT FOUND",INDEX('All Song Rankings'!$D:$D,F971))</f>
        <v>Makenzie</v>
      </c>
      <c r="J971" s="7" t="str">
        <f aca="false">IF(F971=0,"NOT FOUND",IF(C971=I971,"SELF-VOTE",IF(COUNTIF($K:$K,K971)&gt;1,"DUPLICATE","OK")))</f>
        <v>OK</v>
      </c>
      <c r="K971" s="6" t="str">
        <f aca="false">A971&amp;"|"&amp;B971&amp;"|"&amp;C971&amp;"|"&amp;D971</f>
        <v>2|6|Grace|spotify:track:5619Ojc6t9evEEs3B7Drhe</v>
      </c>
    </row>
    <row r="972" customFormat="false" ht="15" hidden="false" customHeight="false" outlineLevel="0" collapsed="false">
      <c r="A972" s="5" t="n">
        <v>2</v>
      </c>
      <c r="B972" s="5" t="n">
        <v>6</v>
      </c>
      <c r="C972" s="5" t="s">
        <v>382</v>
      </c>
      <c r="D972" s="5" t="s">
        <v>579</v>
      </c>
      <c r="E972" s="5" t="n">
        <v>3</v>
      </c>
      <c r="F972" s="6" t="n">
        <f aca="false">IFERROR(MATCH(A972&amp;"|"&amp;B972&amp;"|"&amp;D972,'All Song Rankings'!$T:$T,0),0)</f>
        <v>156</v>
      </c>
      <c r="G972" s="6" t="str">
        <f aca="false">IF(F972=0,"NOT FOUND",INDEX('All Song Rankings'!$A:$A,F972))</f>
        <v>Everytime We Touch</v>
      </c>
      <c r="H972" s="6" t="str">
        <f aca="false">IF(F972=0,"NOT FOUND",INDEX('All Song Rankings'!$B:$B,F972))</f>
        <v>Cascada</v>
      </c>
      <c r="I972" s="6" t="str">
        <f aca="false">IF(F972=0,"NOT FOUND",INDEX('All Song Rankings'!$D:$D,F972))</f>
        <v>Kelsey</v>
      </c>
      <c r="J972" s="7" t="str">
        <f aca="false">IF(F972=0,"NOT FOUND",IF(C972=I972,"SELF-VOTE",IF(COUNTIF($K:$K,K972)&gt;1,"DUPLICATE","OK")))</f>
        <v>OK</v>
      </c>
      <c r="K972" s="6" t="str">
        <f aca="false">A972&amp;"|"&amp;B972&amp;"|"&amp;C972&amp;"|"&amp;D972</f>
        <v>2|6|Grace|spotify:track:5YJtMNWKe55yr49cyJgxva</v>
      </c>
    </row>
    <row r="973" customFormat="false" ht="15" hidden="false" customHeight="false" outlineLevel="0" collapsed="false">
      <c r="A973" s="5" t="n">
        <v>2</v>
      </c>
      <c r="B973" s="5" t="n">
        <v>6</v>
      </c>
      <c r="C973" s="5" t="s">
        <v>85</v>
      </c>
      <c r="D973" s="5" t="s">
        <v>587</v>
      </c>
      <c r="E973" s="5" t="n">
        <v>2</v>
      </c>
      <c r="F973" s="6" t="n">
        <f aca="false">IFERROR(MATCH(A973&amp;"|"&amp;B973&amp;"|"&amp;D973,'All Song Rankings'!$T:$T,0),0)</f>
        <v>159</v>
      </c>
      <c r="G973" s="6" t="str">
        <f aca="false">IF(F973=0,"NOT FOUND",INDEX('All Song Rankings'!$A:$A,F973))</f>
        <v>I Love You Always Forever</v>
      </c>
      <c r="H973" s="6" t="str">
        <f aca="false">IF(F973=0,"NOT FOUND",INDEX('All Song Rankings'!$B:$B,F973))</f>
        <v>Donna Lewis</v>
      </c>
      <c r="I973" s="6" t="str">
        <f aca="false">IF(F973=0,"NOT FOUND",INDEX('All Song Rankings'!$D:$D,F973))</f>
        <v>Logan</v>
      </c>
      <c r="J973" s="7" t="str">
        <f aca="false">IF(F973=0,"NOT FOUND",IF(C973=I973,"SELF-VOTE",IF(COUNTIF($K:$K,K973)&gt;1,"DUPLICATE","OK")))</f>
        <v>OK</v>
      </c>
      <c r="K973" s="6" t="str">
        <f aca="false">A973&amp;"|"&amp;B973&amp;"|"&amp;C973&amp;"|"&amp;D973</f>
        <v>2|6|Kelsey|spotify:track:1PEqh7awkpuepLBSq8ZwqD</v>
      </c>
    </row>
    <row r="974" customFormat="false" ht="15" hidden="false" customHeight="false" outlineLevel="0" collapsed="false">
      <c r="A974" s="5" t="n">
        <v>2</v>
      </c>
      <c r="B974" s="5" t="n">
        <v>6</v>
      </c>
      <c r="C974" s="5" t="s">
        <v>85</v>
      </c>
      <c r="D974" s="5" t="s">
        <v>581</v>
      </c>
      <c r="E974" s="5" t="n">
        <v>1</v>
      </c>
      <c r="F974" s="6" t="n">
        <f aca="false">IFERROR(MATCH(A974&amp;"|"&amp;B974&amp;"|"&amp;D974,'All Song Rankings'!$T:$T,0),0)</f>
        <v>157</v>
      </c>
      <c r="G974" s="6" t="str">
        <f aca="false">IF(F974=0,"NOT FOUND",INDEX('All Song Rankings'!$A:$A,F974))</f>
        <v>Sugar, We're Goin Down</v>
      </c>
      <c r="H974" s="6" t="str">
        <f aca="false">IF(F974=0,"NOT FOUND",INDEX('All Song Rankings'!$B:$B,F974))</f>
        <v>Fall Out Boy</v>
      </c>
      <c r="I974" s="6" t="str">
        <f aca="false">IF(F974=0,"NOT FOUND",INDEX('All Song Rankings'!$D:$D,F974))</f>
        <v>Nicole</v>
      </c>
      <c r="J974" s="7" t="str">
        <f aca="false">IF(F974=0,"NOT FOUND",IF(C974=I974,"SELF-VOTE",IF(COUNTIF($K:$K,K974)&gt;1,"DUPLICATE","OK")))</f>
        <v>OK</v>
      </c>
      <c r="K974" s="6" t="str">
        <f aca="false">A974&amp;"|"&amp;B974&amp;"|"&amp;C974&amp;"|"&amp;D974</f>
        <v>2|6|Kelsey|spotify:track:2TfSHkHiFO4gRztVIkggkE</v>
      </c>
    </row>
    <row r="975" customFormat="false" ht="15" hidden="false" customHeight="false" outlineLevel="0" collapsed="false">
      <c r="A975" s="5" t="n">
        <v>2</v>
      </c>
      <c r="B975" s="5" t="n">
        <v>6</v>
      </c>
      <c r="C975" s="5" t="s">
        <v>85</v>
      </c>
      <c r="D975" s="5" t="s">
        <v>608</v>
      </c>
      <c r="E975" s="5" t="n">
        <v>3</v>
      </c>
      <c r="F975" s="6" t="n">
        <f aca="false">IFERROR(MATCH(A975&amp;"|"&amp;B975&amp;"|"&amp;D975,'All Song Rankings'!$T:$T,0),0)</f>
        <v>166</v>
      </c>
      <c r="G975" s="6" t="str">
        <f aca="false">IF(F975=0,"NOT FOUND",INDEX('All Song Rankings'!$A:$A,F975))</f>
        <v>Pompeii</v>
      </c>
      <c r="H975" s="6" t="str">
        <f aca="false">IF(F975=0,"NOT FOUND",INDEX('All Song Rankings'!$B:$B,F975))</f>
        <v>Bastille</v>
      </c>
      <c r="I975" s="6" t="str">
        <f aca="false">IF(F975=0,"NOT FOUND",INDEX('All Song Rankings'!$D:$D,F975))</f>
        <v>Merita</v>
      </c>
      <c r="J975" s="7" t="str">
        <f aca="false">IF(F975=0,"NOT FOUND",IF(C975=I975,"SELF-VOTE",IF(COUNTIF($K:$K,K975)&gt;1,"DUPLICATE","OK")))</f>
        <v>OK</v>
      </c>
      <c r="K975" s="6" t="str">
        <f aca="false">A975&amp;"|"&amp;B975&amp;"|"&amp;C975&amp;"|"&amp;D975</f>
        <v>2|6|Kelsey|spotify:track:3gbBpTdY8lnQwqxNCcf795</v>
      </c>
    </row>
    <row r="976" customFormat="false" ht="15" hidden="false" customHeight="false" outlineLevel="0" collapsed="false">
      <c r="A976" s="5" t="n">
        <v>2</v>
      </c>
      <c r="B976" s="5" t="n">
        <v>6</v>
      </c>
      <c r="C976" s="5" t="s">
        <v>85</v>
      </c>
      <c r="D976" s="5" t="s">
        <v>593</v>
      </c>
      <c r="E976" s="5" t="n">
        <v>2</v>
      </c>
      <c r="F976" s="6" t="n">
        <f aca="false">IFERROR(MATCH(A976&amp;"|"&amp;B976&amp;"|"&amp;D976,'All Song Rankings'!$T:$T,0),0)</f>
        <v>161</v>
      </c>
      <c r="G976" s="6" t="str">
        <f aca="false">IF(F976=0,"NOT FOUND",INDEX('All Song Rankings'!$A:$A,F976))</f>
        <v>Butterfly</v>
      </c>
      <c r="H976" s="6" t="str">
        <f aca="false">IF(F976=0,"NOT FOUND",INDEX('All Song Rankings'!$B:$B,F976))</f>
        <v>Crazy Town</v>
      </c>
      <c r="I976" s="6" t="str">
        <f aca="false">IF(F976=0,"NOT FOUND",INDEX('All Song Rankings'!$D:$D,F976))</f>
        <v>Leah</v>
      </c>
      <c r="J976" s="7" t="str">
        <f aca="false">IF(F976=0,"NOT FOUND",IF(C976=I976,"SELF-VOTE",IF(COUNTIF($K:$K,K976)&gt;1,"DUPLICATE","OK")))</f>
        <v>OK</v>
      </c>
      <c r="K976" s="6" t="str">
        <f aca="false">A976&amp;"|"&amp;B976&amp;"|"&amp;C976&amp;"|"&amp;D976</f>
        <v>2|6|Kelsey|spotify:track:4BggEwLhGfrbrl7JBhC8EC</v>
      </c>
    </row>
    <row r="977" customFormat="false" ht="15" hidden="false" customHeight="false" outlineLevel="0" collapsed="false">
      <c r="A977" s="5" t="n">
        <v>2</v>
      </c>
      <c r="B977" s="5" t="n">
        <v>6</v>
      </c>
      <c r="C977" s="5" t="s">
        <v>85</v>
      </c>
      <c r="D977" s="5" t="s">
        <v>599</v>
      </c>
      <c r="E977" s="5" t="n">
        <v>1</v>
      </c>
      <c r="F977" s="6" t="n">
        <f aca="false">IFERROR(MATCH(A977&amp;"|"&amp;B977&amp;"|"&amp;D977,'All Song Rankings'!$T:$T,0),0)</f>
        <v>163</v>
      </c>
      <c r="G977" s="6" t="str">
        <f aca="false">IF(F977=0,"NOT FOUND",INDEX('All Song Rankings'!$A:$A,F977))</f>
        <v>Crazy</v>
      </c>
      <c r="H977" s="6" t="str">
        <f aca="false">IF(F977=0,"NOT FOUND",INDEX('All Song Rankings'!$B:$B,F977))</f>
        <v>Gnarls Barkley, CeeLo Green, Danger Mouse</v>
      </c>
      <c r="I977" s="6" t="str">
        <f aca="false">IF(F977=0,"NOT FOUND",INDEX('All Song Rankings'!$D:$D,F977))</f>
        <v>Matt</v>
      </c>
      <c r="J977" s="7" t="str">
        <f aca="false">IF(F977=0,"NOT FOUND",IF(C977=I977,"SELF-VOTE",IF(COUNTIF($K:$K,K977)&gt;1,"DUPLICATE","OK")))</f>
        <v>OK</v>
      </c>
      <c r="K977" s="6" t="str">
        <f aca="false">A977&amp;"|"&amp;B977&amp;"|"&amp;C977&amp;"|"&amp;D977</f>
        <v>2|6|Kelsey|spotify:track:6o1l9I0faXJN2iqulHrdCQ</v>
      </c>
    </row>
    <row r="978" customFormat="false" ht="15" hidden="false" customHeight="false" outlineLevel="0" collapsed="false">
      <c r="A978" s="5" t="n">
        <v>2</v>
      </c>
      <c r="B978" s="5" t="n">
        <v>6</v>
      </c>
      <c r="C978" s="5" t="s">
        <v>85</v>
      </c>
      <c r="D978" s="5" t="s">
        <v>584</v>
      </c>
      <c r="E978" s="5" t="n">
        <v>1</v>
      </c>
      <c r="F978" s="6" t="n">
        <f aca="false">IFERROR(MATCH(A978&amp;"|"&amp;B978&amp;"|"&amp;D978,'All Song Rankings'!$T:$T,0),0)</f>
        <v>158</v>
      </c>
      <c r="G978" s="6" t="str">
        <f aca="false">IF(F978=0,"NOT FOUND",INDEX('All Song Rankings'!$A:$A,F978))</f>
        <v>I Believe in a Thing Called Love</v>
      </c>
      <c r="H978" s="6" t="str">
        <f aca="false">IF(F978=0,"NOT FOUND",INDEX('All Song Rankings'!$B:$B,F978))</f>
        <v>The Darkness</v>
      </c>
      <c r="I978" s="6" t="str">
        <f aca="false">IF(F978=0,"NOT FOUND",INDEX('All Song Rankings'!$D:$D,F978))</f>
        <v>Scott</v>
      </c>
      <c r="J978" s="7" t="str">
        <f aca="false">IF(F978=0,"NOT FOUND",IF(C978=I978,"SELF-VOTE",IF(COUNTIF($K:$K,K978)&gt;1,"DUPLICATE","OK")))</f>
        <v>OK</v>
      </c>
      <c r="K978" s="6" t="str">
        <f aca="false">A978&amp;"|"&amp;B978&amp;"|"&amp;C978&amp;"|"&amp;D978</f>
        <v>2|6|Kelsey|spotify:track:756CJtQRFSxEx9jV4P9hpA</v>
      </c>
    </row>
    <row r="979" customFormat="false" ht="15" hidden="false" customHeight="false" outlineLevel="0" collapsed="false">
      <c r="A979" s="5" t="n">
        <v>2</v>
      </c>
      <c r="B979" s="5" t="n">
        <v>6</v>
      </c>
      <c r="C979" s="5" t="s">
        <v>106</v>
      </c>
      <c r="D979" s="5" t="s">
        <v>581</v>
      </c>
      <c r="E979" s="5" t="n">
        <v>3</v>
      </c>
      <c r="F979" s="6" t="n">
        <f aca="false">IFERROR(MATCH(A979&amp;"|"&amp;B979&amp;"|"&amp;D979,'All Song Rankings'!$T:$T,0),0)</f>
        <v>157</v>
      </c>
      <c r="G979" s="6" t="str">
        <f aca="false">IF(F979=0,"NOT FOUND",INDEX('All Song Rankings'!$A:$A,F979))</f>
        <v>Sugar, We're Goin Down</v>
      </c>
      <c r="H979" s="6" t="str">
        <f aca="false">IF(F979=0,"NOT FOUND",INDEX('All Song Rankings'!$B:$B,F979))</f>
        <v>Fall Out Boy</v>
      </c>
      <c r="I979" s="6" t="str">
        <f aca="false">IF(F979=0,"NOT FOUND",INDEX('All Song Rankings'!$D:$D,F979))</f>
        <v>Nicole</v>
      </c>
      <c r="J979" s="7" t="str">
        <f aca="false">IF(F979=0,"NOT FOUND",IF(C979=I979,"SELF-VOTE",IF(COUNTIF($K:$K,K979)&gt;1,"DUPLICATE","OK")))</f>
        <v>OK</v>
      </c>
      <c r="K979" s="6" t="str">
        <f aca="false">A979&amp;"|"&amp;B979&amp;"|"&amp;C979&amp;"|"&amp;D979</f>
        <v>2|6|Kristen|spotify:track:2TfSHkHiFO4gRztVIkggkE</v>
      </c>
    </row>
    <row r="980" customFormat="false" ht="15" hidden="false" customHeight="false" outlineLevel="0" collapsed="false">
      <c r="A980" s="5" t="n">
        <v>2</v>
      </c>
      <c r="B980" s="5" t="n">
        <v>6</v>
      </c>
      <c r="C980" s="5" t="s">
        <v>106</v>
      </c>
      <c r="D980" s="5" t="s">
        <v>608</v>
      </c>
      <c r="E980" s="5" t="n">
        <v>2</v>
      </c>
      <c r="F980" s="6" t="n">
        <f aca="false">IFERROR(MATCH(A980&amp;"|"&amp;B980&amp;"|"&amp;D980,'All Song Rankings'!$T:$T,0),0)</f>
        <v>166</v>
      </c>
      <c r="G980" s="6" t="str">
        <f aca="false">IF(F980=0,"NOT FOUND",INDEX('All Song Rankings'!$A:$A,F980))</f>
        <v>Pompeii</v>
      </c>
      <c r="H980" s="6" t="str">
        <f aca="false">IF(F980=0,"NOT FOUND",INDEX('All Song Rankings'!$B:$B,F980))</f>
        <v>Bastille</v>
      </c>
      <c r="I980" s="6" t="str">
        <f aca="false">IF(F980=0,"NOT FOUND",INDEX('All Song Rankings'!$D:$D,F980))</f>
        <v>Merita</v>
      </c>
      <c r="J980" s="7" t="str">
        <f aca="false">IF(F980=0,"NOT FOUND",IF(C980=I980,"SELF-VOTE",IF(COUNTIF($K:$K,K980)&gt;1,"DUPLICATE","OK")))</f>
        <v>OK</v>
      </c>
      <c r="K980" s="6" t="str">
        <f aca="false">A980&amp;"|"&amp;B980&amp;"|"&amp;C980&amp;"|"&amp;D980</f>
        <v>2|6|Kristen|spotify:track:3gbBpTdY8lnQwqxNCcf795</v>
      </c>
    </row>
    <row r="981" customFormat="false" ht="15" hidden="false" customHeight="false" outlineLevel="0" collapsed="false">
      <c r="A981" s="5" t="n">
        <v>2</v>
      </c>
      <c r="B981" s="5" t="n">
        <v>6</v>
      </c>
      <c r="C981" s="5" t="s">
        <v>106</v>
      </c>
      <c r="D981" s="5" t="s">
        <v>593</v>
      </c>
      <c r="E981" s="5" t="n">
        <v>1</v>
      </c>
      <c r="F981" s="6" t="n">
        <f aca="false">IFERROR(MATCH(A981&amp;"|"&amp;B981&amp;"|"&amp;D981,'All Song Rankings'!$T:$T,0),0)</f>
        <v>161</v>
      </c>
      <c r="G981" s="6" t="str">
        <f aca="false">IF(F981=0,"NOT FOUND",INDEX('All Song Rankings'!$A:$A,F981))</f>
        <v>Butterfly</v>
      </c>
      <c r="H981" s="6" t="str">
        <f aca="false">IF(F981=0,"NOT FOUND",INDEX('All Song Rankings'!$B:$B,F981))</f>
        <v>Crazy Town</v>
      </c>
      <c r="I981" s="6" t="str">
        <f aca="false">IF(F981=0,"NOT FOUND",INDEX('All Song Rankings'!$D:$D,F981))</f>
        <v>Leah</v>
      </c>
      <c r="J981" s="7" t="str">
        <f aca="false">IF(F981=0,"NOT FOUND",IF(C981=I981,"SELF-VOTE",IF(COUNTIF($K:$K,K981)&gt;1,"DUPLICATE","OK")))</f>
        <v>OK</v>
      </c>
      <c r="K981" s="6" t="str">
        <f aca="false">A981&amp;"|"&amp;B981&amp;"|"&amp;C981&amp;"|"&amp;D981</f>
        <v>2|6|Kristen|spotify:track:4BggEwLhGfrbrl7JBhC8EC</v>
      </c>
    </row>
    <row r="982" customFormat="false" ht="15" hidden="false" customHeight="false" outlineLevel="0" collapsed="false">
      <c r="A982" s="5" t="n">
        <v>2</v>
      </c>
      <c r="B982" s="5" t="n">
        <v>6</v>
      </c>
      <c r="C982" s="5" t="s">
        <v>106</v>
      </c>
      <c r="D982" s="5" t="s">
        <v>579</v>
      </c>
      <c r="E982" s="5" t="n">
        <v>1</v>
      </c>
      <c r="F982" s="6" t="n">
        <f aca="false">IFERROR(MATCH(A982&amp;"|"&amp;B982&amp;"|"&amp;D982,'All Song Rankings'!$T:$T,0),0)</f>
        <v>156</v>
      </c>
      <c r="G982" s="6" t="str">
        <f aca="false">IF(F982=0,"NOT FOUND",INDEX('All Song Rankings'!$A:$A,F982))</f>
        <v>Everytime We Touch</v>
      </c>
      <c r="H982" s="6" t="str">
        <f aca="false">IF(F982=0,"NOT FOUND",INDEX('All Song Rankings'!$B:$B,F982))</f>
        <v>Cascada</v>
      </c>
      <c r="I982" s="6" t="str">
        <f aca="false">IF(F982=0,"NOT FOUND",INDEX('All Song Rankings'!$D:$D,F982))</f>
        <v>Kelsey</v>
      </c>
      <c r="J982" s="7" t="str">
        <f aca="false">IF(F982=0,"NOT FOUND",IF(C982=I982,"SELF-VOTE",IF(COUNTIF($K:$K,K982)&gt;1,"DUPLICATE","OK")))</f>
        <v>OK</v>
      </c>
      <c r="K982" s="6" t="str">
        <f aca="false">A982&amp;"|"&amp;B982&amp;"|"&amp;C982&amp;"|"&amp;D982</f>
        <v>2|6|Kristen|spotify:track:5YJtMNWKe55yr49cyJgxva</v>
      </c>
    </row>
    <row r="983" customFormat="false" ht="15" hidden="false" customHeight="false" outlineLevel="0" collapsed="false">
      <c r="A983" s="5" t="n">
        <v>2</v>
      </c>
      <c r="B983" s="5" t="n">
        <v>6</v>
      </c>
      <c r="C983" s="5" t="s">
        <v>106</v>
      </c>
      <c r="D983" s="5" t="s">
        <v>599</v>
      </c>
      <c r="E983" s="5" t="n">
        <v>2</v>
      </c>
      <c r="F983" s="6" t="n">
        <f aca="false">IFERROR(MATCH(A983&amp;"|"&amp;B983&amp;"|"&amp;D983,'All Song Rankings'!$T:$T,0),0)</f>
        <v>163</v>
      </c>
      <c r="G983" s="6" t="str">
        <f aca="false">IF(F983=0,"NOT FOUND",INDEX('All Song Rankings'!$A:$A,F983))</f>
        <v>Crazy</v>
      </c>
      <c r="H983" s="6" t="str">
        <f aca="false">IF(F983=0,"NOT FOUND",INDEX('All Song Rankings'!$B:$B,F983))</f>
        <v>Gnarls Barkley, CeeLo Green, Danger Mouse</v>
      </c>
      <c r="I983" s="6" t="str">
        <f aca="false">IF(F983=0,"NOT FOUND",INDEX('All Song Rankings'!$D:$D,F983))</f>
        <v>Matt</v>
      </c>
      <c r="J983" s="7" t="str">
        <f aca="false">IF(F983=0,"NOT FOUND",IF(C983=I983,"SELF-VOTE",IF(COUNTIF($K:$K,K983)&gt;1,"DUPLICATE","OK")))</f>
        <v>OK</v>
      </c>
      <c r="K983" s="6" t="str">
        <f aca="false">A983&amp;"|"&amp;B983&amp;"|"&amp;C983&amp;"|"&amp;D983</f>
        <v>2|6|Kristen|spotify:track:6o1l9I0faXJN2iqulHrdCQ</v>
      </c>
    </row>
    <row r="984" customFormat="false" ht="15" hidden="false" customHeight="false" outlineLevel="0" collapsed="false">
      <c r="A984" s="5" t="n">
        <v>2</v>
      </c>
      <c r="B984" s="5" t="n">
        <v>6</v>
      </c>
      <c r="C984" s="5" t="s">
        <v>106</v>
      </c>
      <c r="D984" s="5" t="s">
        <v>584</v>
      </c>
      <c r="E984" s="5" t="n">
        <v>1</v>
      </c>
      <c r="F984" s="6" t="n">
        <f aca="false">IFERROR(MATCH(A984&amp;"|"&amp;B984&amp;"|"&amp;D984,'All Song Rankings'!$T:$T,0),0)</f>
        <v>158</v>
      </c>
      <c r="G984" s="6" t="str">
        <f aca="false">IF(F984=0,"NOT FOUND",INDEX('All Song Rankings'!$A:$A,F984))</f>
        <v>I Believe in a Thing Called Love</v>
      </c>
      <c r="H984" s="6" t="str">
        <f aca="false">IF(F984=0,"NOT FOUND",INDEX('All Song Rankings'!$B:$B,F984))</f>
        <v>The Darkness</v>
      </c>
      <c r="I984" s="6" t="str">
        <f aca="false">IF(F984=0,"NOT FOUND",INDEX('All Song Rankings'!$D:$D,F984))</f>
        <v>Scott</v>
      </c>
      <c r="J984" s="7" t="str">
        <f aca="false">IF(F984=0,"NOT FOUND",IF(C984=I984,"SELF-VOTE",IF(COUNTIF($K:$K,K984)&gt;1,"DUPLICATE","OK")))</f>
        <v>OK</v>
      </c>
      <c r="K984" s="6" t="str">
        <f aca="false">A984&amp;"|"&amp;B984&amp;"|"&amp;C984&amp;"|"&amp;D984</f>
        <v>2|6|Kristen|spotify:track:756CJtQRFSxEx9jV4P9hpA</v>
      </c>
    </row>
    <row r="985" customFormat="false" ht="15" hidden="false" customHeight="false" outlineLevel="0" collapsed="false">
      <c r="A985" s="5" t="n">
        <v>2</v>
      </c>
      <c r="B985" s="5" t="n">
        <v>6</v>
      </c>
      <c r="C985" s="5" t="s">
        <v>119</v>
      </c>
      <c r="D985" s="5" t="s">
        <v>587</v>
      </c>
      <c r="E985" s="5" t="n">
        <v>1</v>
      </c>
      <c r="F985" s="6" t="n">
        <f aca="false">IFERROR(MATCH(A985&amp;"|"&amp;B985&amp;"|"&amp;D985,'All Song Rankings'!$T:$T,0),0)</f>
        <v>159</v>
      </c>
      <c r="G985" s="6" t="str">
        <f aca="false">IF(F985=0,"NOT FOUND",INDEX('All Song Rankings'!$A:$A,F985))</f>
        <v>I Love You Always Forever</v>
      </c>
      <c r="H985" s="6" t="str">
        <f aca="false">IF(F985=0,"NOT FOUND",INDEX('All Song Rankings'!$B:$B,F985))</f>
        <v>Donna Lewis</v>
      </c>
      <c r="I985" s="6" t="str">
        <f aca="false">IF(F985=0,"NOT FOUND",INDEX('All Song Rankings'!$D:$D,F985))</f>
        <v>Logan</v>
      </c>
      <c r="J985" s="7" t="str">
        <f aca="false">IF(F985=0,"NOT FOUND",IF(C985=I985,"SELF-VOTE",IF(COUNTIF($K:$K,K985)&gt;1,"DUPLICATE","OK")))</f>
        <v>OK</v>
      </c>
      <c r="K985" s="6" t="str">
        <f aca="false">A985&amp;"|"&amp;B985&amp;"|"&amp;C985&amp;"|"&amp;D985</f>
        <v>2|6|Leah|spotify:track:1PEqh7awkpuepLBSq8ZwqD</v>
      </c>
    </row>
    <row r="986" customFormat="false" ht="15" hidden="false" customHeight="false" outlineLevel="0" collapsed="false">
      <c r="A986" s="5" t="n">
        <v>2</v>
      </c>
      <c r="B986" s="5" t="n">
        <v>6</v>
      </c>
      <c r="C986" s="5" t="s">
        <v>119</v>
      </c>
      <c r="D986" s="5" t="s">
        <v>581</v>
      </c>
      <c r="E986" s="5" t="n">
        <v>2</v>
      </c>
      <c r="F986" s="6" t="n">
        <f aca="false">IFERROR(MATCH(A986&amp;"|"&amp;B986&amp;"|"&amp;D986,'All Song Rankings'!$T:$T,0),0)</f>
        <v>157</v>
      </c>
      <c r="G986" s="6" t="str">
        <f aca="false">IF(F986=0,"NOT FOUND",INDEX('All Song Rankings'!$A:$A,F986))</f>
        <v>Sugar, We're Goin Down</v>
      </c>
      <c r="H986" s="6" t="str">
        <f aca="false">IF(F986=0,"NOT FOUND",INDEX('All Song Rankings'!$B:$B,F986))</f>
        <v>Fall Out Boy</v>
      </c>
      <c r="I986" s="6" t="str">
        <f aca="false">IF(F986=0,"NOT FOUND",INDEX('All Song Rankings'!$D:$D,F986))</f>
        <v>Nicole</v>
      </c>
      <c r="J986" s="7" t="str">
        <f aca="false">IF(F986=0,"NOT FOUND",IF(C986=I986,"SELF-VOTE",IF(COUNTIF($K:$K,K986)&gt;1,"DUPLICATE","OK")))</f>
        <v>OK</v>
      </c>
      <c r="K986" s="6" t="str">
        <f aca="false">A986&amp;"|"&amp;B986&amp;"|"&amp;C986&amp;"|"&amp;D986</f>
        <v>2|6|Leah|spotify:track:2TfSHkHiFO4gRztVIkggkE</v>
      </c>
    </row>
    <row r="987" customFormat="false" ht="15" hidden="false" customHeight="false" outlineLevel="0" collapsed="false">
      <c r="A987" s="5" t="n">
        <v>2</v>
      </c>
      <c r="B987" s="5" t="n">
        <v>6</v>
      </c>
      <c r="C987" s="5" t="s">
        <v>119</v>
      </c>
      <c r="D987" s="5" t="s">
        <v>596</v>
      </c>
      <c r="E987" s="5" t="n">
        <v>1</v>
      </c>
      <c r="F987" s="6" t="n">
        <f aca="false">IFERROR(MATCH(A987&amp;"|"&amp;B987&amp;"|"&amp;D987,'All Song Rankings'!$T:$T,0),0)</f>
        <v>162</v>
      </c>
      <c r="G987" s="6" t="str">
        <f aca="false">IF(F987=0,"NOT FOUND",INDEX('All Song Rankings'!$A:$A,F987))</f>
        <v>Somebody That I Used To Know</v>
      </c>
      <c r="H987" s="6" t="str">
        <f aca="false">IF(F987=0,"NOT FOUND",INDEX('All Song Rankings'!$B:$B,F987))</f>
        <v>Gotye, Kimbra</v>
      </c>
      <c r="I987" s="6" t="str">
        <f aca="false">IF(F987=0,"NOT FOUND",INDEX('All Song Rankings'!$D:$D,F987))</f>
        <v>Kristen</v>
      </c>
      <c r="J987" s="7" t="str">
        <f aca="false">IF(F987=0,"NOT FOUND",IF(C987=I987,"SELF-VOTE",IF(COUNTIF($K:$K,K987)&gt;1,"DUPLICATE","OK")))</f>
        <v>OK</v>
      </c>
      <c r="K987" s="6" t="str">
        <f aca="false">A987&amp;"|"&amp;B987&amp;"|"&amp;C987&amp;"|"&amp;D987</f>
        <v>2|6|Leah|spotify:track:4wCmqSrbyCgxEXROQE6vtV</v>
      </c>
    </row>
    <row r="988" customFormat="false" ht="15" hidden="false" customHeight="false" outlineLevel="0" collapsed="false">
      <c r="A988" s="5" t="n">
        <v>2</v>
      </c>
      <c r="B988" s="5" t="n">
        <v>6</v>
      </c>
      <c r="C988" s="5" t="s">
        <v>119</v>
      </c>
      <c r="D988" s="5" t="s">
        <v>590</v>
      </c>
      <c r="E988" s="5" t="n">
        <v>2</v>
      </c>
      <c r="F988" s="6" t="n">
        <f aca="false">IFERROR(MATCH(A988&amp;"|"&amp;B988&amp;"|"&amp;D988,'All Song Rankings'!$T:$T,0),0)</f>
        <v>160</v>
      </c>
      <c r="G988" s="6" t="str">
        <f aca="false">IF(F988=0,"NOT FOUND",INDEX('All Song Rankings'!$A:$A,F988))</f>
        <v>Shake It</v>
      </c>
      <c r="H988" s="6" t="str">
        <f aca="false">IF(F988=0,"NOT FOUND",INDEX('All Song Rankings'!$B:$B,F988))</f>
        <v>Metro Station</v>
      </c>
      <c r="I988" s="6" t="str">
        <f aca="false">IF(F988=0,"NOT FOUND",INDEX('All Song Rankings'!$D:$D,F988))</f>
        <v>Makenzie</v>
      </c>
      <c r="J988" s="7" t="str">
        <f aca="false">IF(F988=0,"NOT FOUND",IF(C988=I988,"SELF-VOTE",IF(COUNTIF($K:$K,K988)&gt;1,"DUPLICATE","OK")))</f>
        <v>OK</v>
      </c>
      <c r="K988" s="6" t="str">
        <f aca="false">A988&amp;"|"&amp;B988&amp;"|"&amp;C988&amp;"|"&amp;D988</f>
        <v>2|6|Leah|spotify:track:5619Ojc6t9evEEs3B7Drhe</v>
      </c>
    </row>
    <row r="989" customFormat="false" ht="15" hidden="false" customHeight="false" outlineLevel="0" collapsed="false">
      <c r="A989" s="5" t="n">
        <v>2</v>
      </c>
      <c r="B989" s="5" t="n">
        <v>6</v>
      </c>
      <c r="C989" s="5" t="s">
        <v>119</v>
      </c>
      <c r="D989" s="5" t="s">
        <v>605</v>
      </c>
      <c r="E989" s="5" t="n">
        <v>1</v>
      </c>
      <c r="F989" s="6" t="n">
        <f aca="false">IFERROR(MATCH(A989&amp;"|"&amp;B989&amp;"|"&amp;D989,'All Song Rankings'!$T:$T,0),0)</f>
        <v>165</v>
      </c>
      <c r="G989" s="6" t="str">
        <f aca="false">IF(F989=0,"NOT FOUND",INDEX('All Song Rankings'!$A:$A,F989))</f>
        <v>Chains</v>
      </c>
      <c r="H989" s="6" t="str">
        <f aca="false">IF(F989=0,"NOT FOUND",INDEX('All Song Rankings'!$B:$B,F989))</f>
        <v>Nick Jonas</v>
      </c>
      <c r="I989" s="6" t="str">
        <f aca="false">IF(F989=0,"NOT FOUND",INDEX('All Song Rankings'!$D:$D,F989))</f>
        <v>Stephanie</v>
      </c>
      <c r="J989" s="7" t="str">
        <f aca="false">IF(F989=0,"NOT FOUND",IF(C989=I989,"SELF-VOTE",IF(COUNTIF($K:$K,K989)&gt;1,"DUPLICATE","OK")))</f>
        <v>OK</v>
      </c>
      <c r="K989" s="6" t="str">
        <f aca="false">A989&amp;"|"&amp;B989&amp;"|"&amp;C989&amp;"|"&amp;D989</f>
        <v>2|6|Leah|spotify:track:5Eg4TsPcqNbIjd8ADMZosg</v>
      </c>
    </row>
    <row r="990" customFormat="false" ht="15" hidden="false" customHeight="false" outlineLevel="0" collapsed="false">
      <c r="A990" s="5" t="n">
        <v>2</v>
      </c>
      <c r="B990" s="5" t="n">
        <v>6</v>
      </c>
      <c r="C990" s="5" t="s">
        <v>119</v>
      </c>
      <c r="D990" s="5" t="s">
        <v>579</v>
      </c>
      <c r="E990" s="5" t="n">
        <v>1</v>
      </c>
      <c r="F990" s="6" t="n">
        <f aca="false">IFERROR(MATCH(A990&amp;"|"&amp;B990&amp;"|"&amp;D990,'All Song Rankings'!$T:$T,0),0)</f>
        <v>156</v>
      </c>
      <c r="G990" s="6" t="str">
        <f aca="false">IF(F990=0,"NOT FOUND",INDEX('All Song Rankings'!$A:$A,F990))</f>
        <v>Everytime We Touch</v>
      </c>
      <c r="H990" s="6" t="str">
        <f aca="false">IF(F990=0,"NOT FOUND",INDEX('All Song Rankings'!$B:$B,F990))</f>
        <v>Cascada</v>
      </c>
      <c r="I990" s="6" t="str">
        <f aca="false">IF(F990=0,"NOT FOUND",INDEX('All Song Rankings'!$D:$D,F990))</f>
        <v>Kelsey</v>
      </c>
      <c r="J990" s="7" t="str">
        <f aca="false">IF(F990=0,"NOT FOUND",IF(C990=I990,"SELF-VOTE",IF(COUNTIF($K:$K,K990)&gt;1,"DUPLICATE","OK")))</f>
        <v>OK</v>
      </c>
      <c r="K990" s="6" t="str">
        <f aca="false">A990&amp;"|"&amp;B990&amp;"|"&amp;C990&amp;"|"&amp;D990</f>
        <v>2|6|Leah|spotify:track:5YJtMNWKe55yr49cyJgxva</v>
      </c>
    </row>
    <row r="991" customFormat="false" ht="15" hidden="false" customHeight="false" outlineLevel="0" collapsed="false">
      <c r="A991" s="5" t="n">
        <v>2</v>
      </c>
      <c r="B991" s="5" t="n">
        <v>6</v>
      </c>
      <c r="C991" s="5" t="s">
        <v>119</v>
      </c>
      <c r="D991" s="5" t="s">
        <v>599</v>
      </c>
      <c r="E991" s="5" t="n">
        <v>1</v>
      </c>
      <c r="F991" s="6" t="n">
        <f aca="false">IFERROR(MATCH(A991&amp;"|"&amp;B991&amp;"|"&amp;D991,'All Song Rankings'!$T:$T,0),0)</f>
        <v>163</v>
      </c>
      <c r="G991" s="6" t="str">
        <f aca="false">IF(F991=0,"NOT FOUND",INDEX('All Song Rankings'!$A:$A,F991))</f>
        <v>Crazy</v>
      </c>
      <c r="H991" s="6" t="str">
        <f aca="false">IF(F991=0,"NOT FOUND",INDEX('All Song Rankings'!$B:$B,F991))</f>
        <v>Gnarls Barkley, CeeLo Green, Danger Mouse</v>
      </c>
      <c r="I991" s="6" t="str">
        <f aca="false">IF(F991=0,"NOT FOUND",INDEX('All Song Rankings'!$D:$D,F991))</f>
        <v>Matt</v>
      </c>
      <c r="J991" s="7" t="str">
        <f aca="false">IF(F991=0,"NOT FOUND",IF(C991=I991,"SELF-VOTE",IF(COUNTIF($K:$K,K991)&gt;1,"DUPLICATE","OK")))</f>
        <v>OK</v>
      </c>
      <c r="K991" s="6" t="str">
        <f aca="false">A991&amp;"|"&amp;B991&amp;"|"&amp;C991&amp;"|"&amp;D991</f>
        <v>2|6|Leah|spotify:track:6o1l9I0faXJN2iqulHrdCQ</v>
      </c>
    </row>
    <row r="992" customFormat="false" ht="15" hidden="false" customHeight="false" outlineLevel="0" collapsed="false">
      <c r="A992" s="5" t="n">
        <v>2</v>
      </c>
      <c r="B992" s="5" t="n">
        <v>6</v>
      </c>
      <c r="C992" s="5" t="s">
        <v>119</v>
      </c>
      <c r="D992" s="5" t="s">
        <v>584</v>
      </c>
      <c r="E992" s="5" t="n">
        <v>1</v>
      </c>
      <c r="F992" s="6" t="n">
        <f aca="false">IFERROR(MATCH(A992&amp;"|"&amp;B992&amp;"|"&amp;D992,'All Song Rankings'!$T:$T,0),0)</f>
        <v>158</v>
      </c>
      <c r="G992" s="6" t="str">
        <f aca="false">IF(F992=0,"NOT FOUND",INDEX('All Song Rankings'!$A:$A,F992))</f>
        <v>I Believe in a Thing Called Love</v>
      </c>
      <c r="H992" s="6" t="str">
        <f aca="false">IF(F992=0,"NOT FOUND",INDEX('All Song Rankings'!$B:$B,F992))</f>
        <v>The Darkness</v>
      </c>
      <c r="I992" s="6" t="str">
        <f aca="false">IF(F992=0,"NOT FOUND",INDEX('All Song Rankings'!$D:$D,F992))</f>
        <v>Scott</v>
      </c>
      <c r="J992" s="7" t="str">
        <f aca="false">IF(F992=0,"NOT FOUND",IF(C992=I992,"SELF-VOTE",IF(COUNTIF($K:$K,K992)&gt;1,"DUPLICATE","OK")))</f>
        <v>OK</v>
      </c>
      <c r="K992" s="6" t="str">
        <f aca="false">A992&amp;"|"&amp;B992&amp;"|"&amp;C992&amp;"|"&amp;D992</f>
        <v>2|6|Leah|spotify:track:756CJtQRFSxEx9jV4P9hpA</v>
      </c>
    </row>
    <row r="993" customFormat="false" ht="15" hidden="false" customHeight="false" outlineLevel="0" collapsed="false">
      <c r="A993" s="5" t="n">
        <v>2</v>
      </c>
      <c r="B993" s="5" t="n">
        <v>6</v>
      </c>
      <c r="C993" s="5" t="s">
        <v>128</v>
      </c>
      <c r="D993" s="5" t="s">
        <v>602</v>
      </c>
      <c r="E993" s="5" t="n">
        <v>2</v>
      </c>
      <c r="F993" s="6" t="n">
        <f aca="false">IFERROR(MATCH(A993&amp;"|"&amp;B993&amp;"|"&amp;D993,'All Song Rankings'!$T:$T,0),0)</f>
        <v>164</v>
      </c>
      <c r="G993" s="6" t="str">
        <f aca="false">IF(F993=0,"NOT FOUND",INDEX('All Song Rankings'!$A:$A,F993))</f>
        <v>Send My Love (To Your New Lover)</v>
      </c>
      <c r="H993" s="6" t="str">
        <f aca="false">IF(F993=0,"NOT FOUND",INDEX('All Song Rankings'!$B:$B,F993))</f>
        <v>Adele</v>
      </c>
      <c r="I993" s="6" t="str">
        <f aca="false">IF(F993=0,"NOT FOUND",INDEX('All Song Rankings'!$D:$D,F993))</f>
        <v>Grace</v>
      </c>
      <c r="J993" s="7" t="str">
        <f aca="false">IF(F993=0,"NOT FOUND",IF(C993=I993,"SELF-VOTE",IF(COUNTIF($K:$K,K993)&gt;1,"DUPLICATE","OK")))</f>
        <v>OK</v>
      </c>
      <c r="K993" s="6" t="str">
        <f aca="false">A993&amp;"|"&amp;B993&amp;"|"&amp;C993&amp;"|"&amp;D993</f>
        <v>2|6|Logan|spotify:track:0t7fVeEJxO2Xi4H2K5Svc9</v>
      </c>
    </row>
    <row r="994" customFormat="false" ht="15" hidden="false" customHeight="false" outlineLevel="0" collapsed="false">
      <c r="A994" s="5" t="n">
        <v>2</v>
      </c>
      <c r="B994" s="5" t="n">
        <v>6</v>
      </c>
      <c r="C994" s="5" t="s">
        <v>128</v>
      </c>
      <c r="D994" s="5" t="s">
        <v>608</v>
      </c>
      <c r="E994" s="5" t="n">
        <v>1</v>
      </c>
      <c r="F994" s="6" t="n">
        <f aca="false">IFERROR(MATCH(A994&amp;"|"&amp;B994&amp;"|"&amp;D994,'All Song Rankings'!$T:$T,0),0)</f>
        <v>166</v>
      </c>
      <c r="G994" s="6" t="str">
        <f aca="false">IF(F994=0,"NOT FOUND",INDEX('All Song Rankings'!$A:$A,F994))</f>
        <v>Pompeii</v>
      </c>
      <c r="H994" s="6" t="str">
        <f aca="false">IF(F994=0,"NOT FOUND",INDEX('All Song Rankings'!$B:$B,F994))</f>
        <v>Bastille</v>
      </c>
      <c r="I994" s="6" t="str">
        <f aca="false">IF(F994=0,"NOT FOUND",INDEX('All Song Rankings'!$D:$D,F994))</f>
        <v>Merita</v>
      </c>
      <c r="J994" s="7" t="str">
        <f aca="false">IF(F994=0,"NOT FOUND",IF(C994=I994,"SELF-VOTE",IF(COUNTIF($K:$K,K994)&gt;1,"DUPLICATE","OK")))</f>
        <v>OK</v>
      </c>
      <c r="K994" s="6" t="str">
        <f aca="false">A994&amp;"|"&amp;B994&amp;"|"&amp;C994&amp;"|"&amp;D994</f>
        <v>2|6|Logan|spotify:track:3gbBpTdY8lnQwqxNCcf795</v>
      </c>
    </row>
    <row r="995" customFormat="false" ht="15" hidden="false" customHeight="false" outlineLevel="0" collapsed="false">
      <c r="A995" s="5" t="n">
        <v>2</v>
      </c>
      <c r="B995" s="5" t="n">
        <v>6</v>
      </c>
      <c r="C995" s="5" t="s">
        <v>128</v>
      </c>
      <c r="D995" s="5" t="s">
        <v>593</v>
      </c>
      <c r="E995" s="5" t="n">
        <v>2</v>
      </c>
      <c r="F995" s="6" t="n">
        <f aca="false">IFERROR(MATCH(A995&amp;"|"&amp;B995&amp;"|"&amp;D995,'All Song Rankings'!$T:$T,0),0)</f>
        <v>161</v>
      </c>
      <c r="G995" s="6" t="str">
        <f aca="false">IF(F995=0,"NOT FOUND",INDEX('All Song Rankings'!$A:$A,F995))</f>
        <v>Butterfly</v>
      </c>
      <c r="H995" s="6" t="str">
        <f aca="false">IF(F995=0,"NOT FOUND",INDEX('All Song Rankings'!$B:$B,F995))</f>
        <v>Crazy Town</v>
      </c>
      <c r="I995" s="6" t="str">
        <f aca="false">IF(F995=0,"NOT FOUND",INDEX('All Song Rankings'!$D:$D,F995))</f>
        <v>Leah</v>
      </c>
      <c r="J995" s="7" t="str">
        <f aca="false">IF(F995=0,"NOT FOUND",IF(C995=I995,"SELF-VOTE",IF(COUNTIF($K:$K,K995)&gt;1,"DUPLICATE","OK")))</f>
        <v>OK</v>
      </c>
      <c r="K995" s="6" t="str">
        <f aca="false">A995&amp;"|"&amp;B995&amp;"|"&amp;C995&amp;"|"&amp;D995</f>
        <v>2|6|Logan|spotify:track:4BggEwLhGfrbrl7JBhC8EC</v>
      </c>
    </row>
    <row r="996" customFormat="false" ht="15" hidden="false" customHeight="false" outlineLevel="0" collapsed="false">
      <c r="A996" s="5" t="n">
        <v>2</v>
      </c>
      <c r="B996" s="5" t="n">
        <v>6</v>
      </c>
      <c r="C996" s="5" t="s">
        <v>128</v>
      </c>
      <c r="D996" s="5" t="s">
        <v>596</v>
      </c>
      <c r="E996" s="5" t="n">
        <v>1</v>
      </c>
      <c r="F996" s="6" t="n">
        <f aca="false">IFERROR(MATCH(A996&amp;"|"&amp;B996&amp;"|"&amp;D996,'All Song Rankings'!$T:$T,0),0)</f>
        <v>162</v>
      </c>
      <c r="G996" s="6" t="str">
        <f aca="false">IF(F996=0,"NOT FOUND",INDEX('All Song Rankings'!$A:$A,F996))</f>
        <v>Somebody That I Used To Know</v>
      </c>
      <c r="H996" s="6" t="str">
        <f aca="false">IF(F996=0,"NOT FOUND",INDEX('All Song Rankings'!$B:$B,F996))</f>
        <v>Gotye, Kimbra</v>
      </c>
      <c r="I996" s="6" t="str">
        <f aca="false">IF(F996=0,"NOT FOUND",INDEX('All Song Rankings'!$D:$D,F996))</f>
        <v>Kristen</v>
      </c>
      <c r="J996" s="7" t="str">
        <f aca="false">IF(F996=0,"NOT FOUND",IF(C996=I996,"SELF-VOTE",IF(COUNTIF($K:$K,K996)&gt;1,"DUPLICATE","OK")))</f>
        <v>OK</v>
      </c>
      <c r="K996" s="6" t="str">
        <f aca="false">A996&amp;"|"&amp;B996&amp;"|"&amp;C996&amp;"|"&amp;D996</f>
        <v>2|6|Logan|spotify:track:4wCmqSrbyCgxEXROQE6vtV</v>
      </c>
    </row>
    <row r="997" customFormat="false" ht="15" hidden="false" customHeight="false" outlineLevel="0" collapsed="false">
      <c r="A997" s="5" t="n">
        <v>2</v>
      </c>
      <c r="B997" s="5" t="n">
        <v>6</v>
      </c>
      <c r="C997" s="5" t="s">
        <v>128</v>
      </c>
      <c r="D997" s="5" t="s">
        <v>599</v>
      </c>
      <c r="E997" s="5" t="n">
        <v>3</v>
      </c>
      <c r="F997" s="6" t="n">
        <f aca="false">IFERROR(MATCH(A997&amp;"|"&amp;B997&amp;"|"&amp;D997,'All Song Rankings'!$T:$T,0),0)</f>
        <v>163</v>
      </c>
      <c r="G997" s="6" t="str">
        <f aca="false">IF(F997=0,"NOT FOUND",INDEX('All Song Rankings'!$A:$A,F997))</f>
        <v>Crazy</v>
      </c>
      <c r="H997" s="6" t="str">
        <f aca="false">IF(F997=0,"NOT FOUND",INDEX('All Song Rankings'!$B:$B,F997))</f>
        <v>Gnarls Barkley, CeeLo Green, Danger Mouse</v>
      </c>
      <c r="I997" s="6" t="str">
        <f aca="false">IF(F997=0,"NOT FOUND",INDEX('All Song Rankings'!$D:$D,F997))</f>
        <v>Matt</v>
      </c>
      <c r="J997" s="7" t="str">
        <f aca="false">IF(F997=0,"NOT FOUND",IF(C997=I997,"SELF-VOTE",IF(COUNTIF($K:$K,K997)&gt;1,"DUPLICATE","OK")))</f>
        <v>OK</v>
      </c>
      <c r="K997" s="6" t="str">
        <f aca="false">A997&amp;"|"&amp;B997&amp;"|"&amp;C997&amp;"|"&amp;D997</f>
        <v>2|6|Logan|spotify:track:6o1l9I0faXJN2iqulHrdCQ</v>
      </c>
    </row>
    <row r="998" customFormat="false" ht="15" hidden="false" customHeight="false" outlineLevel="0" collapsed="false">
      <c r="A998" s="5" t="n">
        <v>2</v>
      </c>
      <c r="B998" s="5" t="n">
        <v>6</v>
      </c>
      <c r="C998" s="5" t="s">
        <v>128</v>
      </c>
      <c r="D998" s="5" t="s">
        <v>584</v>
      </c>
      <c r="E998" s="5" t="n">
        <v>1</v>
      </c>
      <c r="F998" s="6" t="n">
        <f aca="false">IFERROR(MATCH(A998&amp;"|"&amp;B998&amp;"|"&amp;D998,'All Song Rankings'!$T:$T,0),0)</f>
        <v>158</v>
      </c>
      <c r="G998" s="6" t="str">
        <f aca="false">IF(F998=0,"NOT FOUND",INDEX('All Song Rankings'!$A:$A,F998))</f>
        <v>I Believe in a Thing Called Love</v>
      </c>
      <c r="H998" s="6" t="str">
        <f aca="false">IF(F998=0,"NOT FOUND",INDEX('All Song Rankings'!$B:$B,F998))</f>
        <v>The Darkness</v>
      </c>
      <c r="I998" s="6" t="str">
        <f aca="false">IF(F998=0,"NOT FOUND",INDEX('All Song Rankings'!$D:$D,F998))</f>
        <v>Scott</v>
      </c>
      <c r="J998" s="7" t="str">
        <f aca="false">IF(F998=0,"NOT FOUND",IF(C998=I998,"SELF-VOTE",IF(COUNTIF($K:$K,K998)&gt;1,"DUPLICATE","OK")))</f>
        <v>OK</v>
      </c>
      <c r="K998" s="6" t="str">
        <f aca="false">A998&amp;"|"&amp;B998&amp;"|"&amp;C998&amp;"|"&amp;D998</f>
        <v>2|6|Logan|spotify:track:756CJtQRFSxEx9jV4P9hpA</v>
      </c>
    </row>
    <row r="999" customFormat="false" ht="15" hidden="false" customHeight="false" outlineLevel="0" collapsed="false">
      <c r="A999" s="5" t="n">
        <v>2</v>
      </c>
      <c r="B999" s="5" t="n">
        <v>6</v>
      </c>
      <c r="C999" s="5" t="s">
        <v>395</v>
      </c>
      <c r="D999" s="5" t="s">
        <v>581</v>
      </c>
      <c r="E999" s="5" t="n">
        <v>2</v>
      </c>
      <c r="F999" s="6" t="n">
        <f aca="false">IFERROR(MATCH(A999&amp;"|"&amp;B999&amp;"|"&amp;D999,'All Song Rankings'!$T:$T,0),0)</f>
        <v>157</v>
      </c>
      <c r="G999" s="6" t="str">
        <f aca="false">IF(F999=0,"NOT FOUND",INDEX('All Song Rankings'!$A:$A,F999))</f>
        <v>Sugar, We're Goin Down</v>
      </c>
      <c r="H999" s="6" t="str">
        <f aca="false">IF(F999=0,"NOT FOUND",INDEX('All Song Rankings'!$B:$B,F999))</f>
        <v>Fall Out Boy</v>
      </c>
      <c r="I999" s="6" t="str">
        <f aca="false">IF(F999=0,"NOT FOUND",INDEX('All Song Rankings'!$D:$D,F999))</f>
        <v>Nicole</v>
      </c>
      <c r="J999" s="7" t="str">
        <f aca="false">IF(F999=0,"NOT FOUND",IF(C999=I999,"SELF-VOTE",IF(COUNTIF($K:$K,K999)&gt;1,"DUPLICATE","OK")))</f>
        <v>OK</v>
      </c>
      <c r="K999" s="6" t="str">
        <f aca="false">A999&amp;"|"&amp;B999&amp;"|"&amp;C999&amp;"|"&amp;D999</f>
        <v>2|6|Makenzie|spotify:track:2TfSHkHiFO4gRztVIkggkE</v>
      </c>
    </row>
    <row r="1000" customFormat="false" ht="15" hidden="false" customHeight="false" outlineLevel="0" collapsed="false">
      <c r="A1000" s="5" t="n">
        <v>2</v>
      </c>
      <c r="B1000" s="5" t="n">
        <v>6</v>
      </c>
      <c r="C1000" s="5" t="s">
        <v>395</v>
      </c>
      <c r="D1000" s="5" t="s">
        <v>605</v>
      </c>
      <c r="E1000" s="5" t="n">
        <v>2</v>
      </c>
      <c r="F1000" s="6" t="n">
        <f aca="false">IFERROR(MATCH(A1000&amp;"|"&amp;B1000&amp;"|"&amp;D1000,'All Song Rankings'!$T:$T,0),0)</f>
        <v>165</v>
      </c>
      <c r="G1000" s="6" t="str">
        <f aca="false">IF(F1000=0,"NOT FOUND",INDEX('All Song Rankings'!$A:$A,F1000))</f>
        <v>Chains</v>
      </c>
      <c r="H1000" s="6" t="str">
        <f aca="false">IF(F1000=0,"NOT FOUND",INDEX('All Song Rankings'!$B:$B,F1000))</f>
        <v>Nick Jonas</v>
      </c>
      <c r="I1000" s="6" t="str">
        <f aca="false">IF(F1000=0,"NOT FOUND",INDEX('All Song Rankings'!$D:$D,F1000))</f>
        <v>Stephanie</v>
      </c>
      <c r="J1000" s="7" t="str">
        <f aca="false">IF(F1000=0,"NOT FOUND",IF(C1000=I1000,"SELF-VOTE",IF(COUNTIF($K:$K,K1000)&gt;1,"DUPLICATE","OK")))</f>
        <v>OK</v>
      </c>
      <c r="K1000" s="6" t="str">
        <f aca="false">A1000&amp;"|"&amp;B1000&amp;"|"&amp;C1000&amp;"|"&amp;D1000</f>
        <v>2|6|Makenzie|spotify:track:5Eg4TsPcqNbIjd8ADMZosg</v>
      </c>
    </row>
    <row r="1001" customFormat="false" ht="15" hidden="false" customHeight="false" outlineLevel="0" collapsed="false">
      <c r="A1001" s="5" t="n">
        <v>2</v>
      </c>
      <c r="B1001" s="5" t="n">
        <v>6</v>
      </c>
      <c r="C1001" s="5" t="s">
        <v>395</v>
      </c>
      <c r="D1001" s="5" t="s">
        <v>579</v>
      </c>
      <c r="E1001" s="5" t="n">
        <v>4</v>
      </c>
      <c r="F1001" s="6" t="n">
        <f aca="false">IFERROR(MATCH(A1001&amp;"|"&amp;B1001&amp;"|"&amp;D1001,'All Song Rankings'!$T:$T,0),0)</f>
        <v>156</v>
      </c>
      <c r="G1001" s="6" t="str">
        <f aca="false">IF(F1001=0,"NOT FOUND",INDEX('All Song Rankings'!$A:$A,F1001))</f>
        <v>Everytime We Touch</v>
      </c>
      <c r="H1001" s="6" t="str">
        <f aca="false">IF(F1001=0,"NOT FOUND",INDEX('All Song Rankings'!$B:$B,F1001))</f>
        <v>Cascada</v>
      </c>
      <c r="I1001" s="6" t="str">
        <f aca="false">IF(F1001=0,"NOT FOUND",INDEX('All Song Rankings'!$D:$D,F1001))</f>
        <v>Kelsey</v>
      </c>
      <c r="J1001" s="7" t="str">
        <f aca="false">IF(F1001=0,"NOT FOUND",IF(C1001=I1001,"SELF-VOTE",IF(COUNTIF($K:$K,K1001)&gt;1,"DUPLICATE","OK")))</f>
        <v>OK</v>
      </c>
      <c r="K1001" s="6" t="str">
        <f aca="false">A1001&amp;"|"&amp;B1001&amp;"|"&amp;C1001&amp;"|"&amp;D1001</f>
        <v>2|6|Makenzie|spotify:track:5YJtMNWKe55yr49cyJgxva</v>
      </c>
    </row>
    <row r="1002" customFormat="false" ht="15" hidden="false" customHeight="false" outlineLevel="0" collapsed="false">
      <c r="A1002" s="5" t="n">
        <v>2</v>
      </c>
      <c r="B1002" s="5" t="n">
        <v>6</v>
      </c>
      <c r="C1002" s="5" t="s">
        <v>395</v>
      </c>
      <c r="D1002" s="5" t="s">
        <v>584</v>
      </c>
      <c r="E1002" s="5" t="n">
        <v>2</v>
      </c>
      <c r="F1002" s="6" t="n">
        <f aca="false">IFERROR(MATCH(A1002&amp;"|"&amp;B1002&amp;"|"&amp;D1002,'All Song Rankings'!$T:$T,0),0)</f>
        <v>158</v>
      </c>
      <c r="G1002" s="6" t="str">
        <f aca="false">IF(F1002=0,"NOT FOUND",INDEX('All Song Rankings'!$A:$A,F1002))</f>
        <v>I Believe in a Thing Called Love</v>
      </c>
      <c r="H1002" s="6" t="str">
        <f aca="false">IF(F1002=0,"NOT FOUND",INDEX('All Song Rankings'!$B:$B,F1002))</f>
        <v>The Darkness</v>
      </c>
      <c r="I1002" s="6" t="str">
        <f aca="false">IF(F1002=0,"NOT FOUND",INDEX('All Song Rankings'!$D:$D,F1002))</f>
        <v>Scott</v>
      </c>
      <c r="J1002" s="7" t="str">
        <f aca="false">IF(F1002=0,"NOT FOUND",IF(C1002=I1002,"SELF-VOTE",IF(COUNTIF($K:$K,K1002)&gt;1,"DUPLICATE","OK")))</f>
        <v>OK</v>
      </c>
      <c r="K1002" s="6" t="str">
        <f aca="false">A1002&amp;"|"&amp;B1002&amp;"|"&amp;C1002&amp;"|"&amp;D1002</f>
        <v>2|6|Makenzie|spotify:track:756CJtQRFSxEx9jV4P9hpA</v>
      </c>
    </row>
    <row r="1003" customFormat="false" ht="15" hidden="false" customHeight="false" outlineLevel="0" collapsed="false">
      <c r="A1003" s="5" t="n">
        <v>2</v>
      </c>
      <c r="B1003" s="5" t="n">
        <v>6</v>
      </c>
      <c r="C1003" s="5" t="s">
        <v>116</v>
      </c>
      <c r="D1003" s="5" t="s">
        <v>602</v>
      </c>
      <c r="E1003" s="5" t="n">
        <v>2</v>
      </c>
      <c r="F1003" s="6" t="n">
        <f aca="false">IFERROR(MATCH(A1003&amp;"|"&amp;B1003&amp;"|"&amp;D1003,'All Song Rankings'!$T:$T,0),0)</f>
        <v>164</v>
      </c>
      <c r="G1003" s="6" t="str">
        <f aca="false">IF(F1003=0,"NOT FOUND",INDEX('All Song Rankings'!$A:$A,F1003))</f>
        <v>Send My Love (To Your New Lover)</v>
      </c>
      <c r="H1003" s="6" t="str">
        <f aca="false">IF(F1003=0,"NOT FOUND",INDEX('All Song Rankings'!$B:$B,F1003))</f>
        <v>Adele</v>
      </c>
      <c r="I1003" s="6" t="str">
        <f aca="false">IF(F1003=0,"NOT FOUND",INDEX('All Song Rankings'!$D:$D,F1003))</f>
        <v>Grace</v>
      </c>
      <c r="J1003" s="7" t="str">
        <f aca="false">IF(F1003=0,"NOT FOUND",IF(C1003=I1003,"SELF-VOTE",IF(COUNTIF($K:$K,K1003)&gt;1,"DUPLICATE","OK")))</f>
        <v>OK</v>
      </c>
      <c r="K1003" s="6" t="str">
        <f aca="false">A1003&amp;"|"&amp;B1003&amp;"|"&amp;C1003&amp;"|"&amp;D1003</f>
        <v>2|6|Matt|spotify:track:0t7fVeEJxO2Xi4H2K5Svc9</v>
      </c>
    </row>
    <row r="1004" customFormat="false" ht="15" hidden="false" customHeight="false" outlineLevel="0" collapsed="false">
      <c r="A1004" s="5" t="n">
        <v>2</v>
      </c>
      <c r="B1004" s="5" t="n">
        <v>6</v>
      </c>
      <c r="C1004" s="5" t="s">
        <v>116</v>
      </c>
      <c r="D1004" s="5" t="s">
        <v>587</v>
      </c>
      <c r="E1004" s="5" t="n">
        <v>1</v>
      </c>
      <c r="F1004" s="6" t="n">
        <f aca="false">IFERROR(MATCH(A1004&amp;"|"&amp;B1004&amp;"|"&amp;D1004,'All Song Rankings'!$T:$T,0),0)</f>
        <v>159</v>
      </c>
      <c r="G1004" s="6" t="str">
        <f aca="false">IF(F1004=0,"NOT FOUND",INDEX('All Song Rankings'!$A:$A,F1004))</f>
        <v>I Love You Always Forever</v>
      </c>
      <c r="H1004" s="6" t="str">
        <f aca="false">IF(F1004=0,"NOT FOUND",INDEX('All Song Rankings'!$B:$B,F1004))</f>
        <v>Donna Lewis</v>
      </c>
      <c r="I1004" s="6" t="str">
        <f aca="false">IF(F1004=0,"NOT FOUND",INDEX('All Song Rankings'!$D:$D,F1004))</f>
        <v>Logan</v>
      </c>
      <c r="J1004" s="7" t="str">
        <f aca="false">IF(F1004=0,"NOT FOUND",IF(C1004=I1004,"SELF-VOTE",IF(COUNTIF($K:$K,K1004)&gt;1,"DUPLICATE","OK")))</f>
        <v>OK</v>
      </c>
      <c r="K1004" s="6" t="str">
        <f aca="false">A1004&amp;"|"&amp;B1004&amp;"|"&amp;C1004&amp;"|"&amp;D1004</f>
        <v>2|6|Matt|spotify:track:1PEqh7awkpuepLBSq8ZwqD</v>
      </c>
    </row>
    <row r="1005" customFormat="false" ht="15" hidden="false" customHeight="false" outlineLevel="0" collapsed="false">
      <c r="A1005" s="5" t="n">
        <v>2</v>
      </c>
      <c r="B1005" s="5" t="n">
        <v>6</v>
      </c>
      <c r="C1005" s="5" t="s">
        <v>116</v>
      </c>
      <c r="D1005" s="5" t="s">
        <v>581</v>
      </c>
      <c r="E1005" s="5" t="n">
        <v>1</v>
      </c>
      <c r="F1005" s="6" t="n">
        <f aca="false">IFERROR(MATCH(A1005&amp;"|"&amp;B1005&amp;"|"&amp;D1005,'All Song Rankings'!$T:$T,0),0)</f>
        <v>157</v>
      </c>
      <c r="G1005" s="6" t="str">
        <f aca="false">IF(F1005=0,"NOT FOUND",INDEX('All Song Rankings'!$A:$A,F1005))</f>
        <v>Sugar, We're Goin Down</v>
      </c>
      <c r="H1005" s="6" t="str">
        <f aca="false">IF(F1005=0,"NOT FOUND",INDEX('All Song Rankings'!$B:$B,F1005))</f>
        <v>Fall Out Boy</v>
      </c>
      <c r="I1005" s="6" t="str">
        <f aca="false">IF(F1005=0,"NOT FOUND",INDEX('All Song Rankings'!$D:$D,F1005))</f>
        <v>Nicole</v>
      </c>
      <c r="J1005" s="7" t="str">
        <f aca="false">IF(F1005=0,"NOT FOUND",IF(C1005=I1005,"SELF-VOTE",IF(COUNTIF($K:$K,K1005)&gt;1,"DUPLICATE","OK")))</f>
        <v>OK</v>
      </c>
      <c r="K1005" s="6" t="str">
        <f aca="false">A1005&amp;"|"&amp;B1005&amp;"|"&amp;C1005&amp;"|"&amp;D1005</f>
        <v>2|6|Matt|spotify:track:2TfSHkHiFO4gRztVIkggkE</v>
      </c>
    </row>
    <row r="1006" customFormat="false" ht="15" hidden="false" customHeight="false" outlineLevel="0" collapsed="false">
      <c r="A1006" s="5" t="n">
        <v>2</v>
      </c>
      <c r="B1006" s="5" t="n">
        <v>6</v>
      </c>
      <c r="C1006" s="5" t="s">
        <v>116</v>
      </c>
      <c r="D1006" s="5" t="s">
        <v>608</v>
      </c>
      <c r="E1006" s="5" t="n">
        <v>1</v>
      </c>
      <c r="F1006" s="6" t="n">
        <f aca="false">IFERROR(MATCH(A1006&amp;"|"&amp;B1006&amp;"|"&amp;D1006,'All Song Rankings'!$T:$T,0),0)</f>
        <v>166</v>
      </c>
      <c r="G1006" s="6" t="str">
        <f aca="false">IF(F1006=0,"NOT FOUND",INDEX('All Song Rankings'!$A:$A,F1006))</f>
        <v>Pompeii</v>
      </c>
      <c r="H1006" s="6" t="str">
        <f aca="false">IF(F1006=0,"NOT FOUND",INDEX('All Song Rankings'!$B:$B,F1006))</f>
        <v>Bastille</v>
      </c>
      <c r="I1006" s="6" t="str">
        <f aca="false">IF(F1006=0,"NOT FOUND",INDEX('All Song Rankings'!$D:$D,F1006))</f>
        <v>Merita</v>
      </c>
      <c r="J1006" s="7" t="str">
        <f aca="false">IF(F1006=0,"NOT FOUND",IF(C1006=I1006,"SELF-VOTE",IF(COUNTIF($K:$K,K1006)&gt;1,"DUPLICATE","OK")))</f>
        <v>OK</v>
      </c>
      <c r="K1006" s="6" t="str">
        <f aca="false">A1006&amp;"|"&amp;B1006&amp;"|"&amp;C1006&amp;"|"&amp;D1006</f>
        <v>2|6|Matt|spotify:track:3gbBpTdY8lnQwqxNCcf795</v>
      </c>
    </row>
    <row r="1007" customFormat="false" ht="15" hidden="false" customHeight="false" outlineLevel="0" collapsed="false">
      <c r="A1007" s="5" t="n">
        <v>2</v>
      </c>
      <c r="B1007" s="5" t="n">
        <v>6</v>
      </c>
      <c r="C1007" s="5" t="s">
        <v>116</v>
      </c>
      <c r="D1007" s="5" t="s">
        <v>593</v>
      </c>
      <c r="E1007" s="5" t="n">
        <v>1</v>
      </c>
      <c r="F1007" s="6" t="n">
        <f aca="false">IFERROR(MATCH(A1007&amp;"|"&amp;B1007&amp;"|"&amp;D1007,'All Song Rankings'!$T:$T,0),0)</f>
        <v>161</v>
      </c>
      <c r="G1007" s="6" t="str">
        <f aca="false">IF(F1007=0,"NOT FOUND",INDEX('All Song Rankings'!$A:$A,F1007))</f>
        <v>Butterfly</v>
      </c>
      <c r="H1007" s="6" t="str">
        <f aca="false">IF(F1007=0,"NOT FOUND",INDEX('All Song Rankings'!$B:$B,F1007))</f>
        <v>Crazy Town</v>
      </c>
      <c r="I1007" s="6" t="str">
        <f aca="false">IF(F1007=0,"NOT FOUND",INDEX('All Song Rankings'!$D:$D,F1007))</f>
        <v>Leah</v>
      </c>
      <c r="J1007" s="7" t="str">
        <f aca="false">IF(F1007=0,"NOT FOUND",IF(C1007=I1007,"SELF-VOTE",IF(COUNTIF($K:$K,K1007)&gt;1,"DUPLICATE","OK")))</f>
        <v>OK</v>
      </c>
      <c r="K1007" s="6" t="str">
        <f aca="false">A1007&amp;"|"&amp;B1007&amp;"|"&amp;C1007&amp;"|"&amp;D1007</f>
        <v>2|6|Matt|spotify:track:4BggEwLhGfrbrl7JBhC8EC</v>
      </c>
    </row>
    <row r="1008" customFormat="false" ht="15" hidden="false" customHeight="false" outlineLevel="0" collapsed="false">
      <c r="A1008" s="5" t="n">
        <v>2</v>
      </c>
      <c r="B1008" s="5" t="n">
        <v>6</v>
      </c>
      <c r="C1008" s="5" t="s">
        <v>116</v>
      </c>
      <c r="D1008" s="5" t="s">
        <v>596</v>
      </c>
      <c r="E1008" s="5" t="n">
        <v>1</v>
      </c>
      <c r="F1008" s="6" t="n">
        <f aca="false">IFERROR(MATCH(A1008&amp;"|"&amp;B1008&amp;"|"&amp;D1008,'All Song Rankings'!$T:$T,0),0)</f>
        <v>162</v>
      </c>
      <c r="G1008" s="6" t="str">
        <f aca="false">IF(F1008=0,"NOT FOUND",INDEX('All Song Rankings'!$A:$A,F1008))</f>
        <v>Somebody That I Used To Know</v>
      </c>
      <c r="H1008" s="6" t="str">
        <f aca="false">IF(F1008=0,"NOT FOUND",INDEX('All Song Rankings'!$B:$B,F1008))</f>
        <v>Gotye, Kimbra</v>
      </c>
      <c r="I1008" s="6" t="str">
        <f aca="false">IF(F1008=0,"NOT FOUND",INDEX('All Song Rankings'!$D:$D,F1008))</f>
        <v>Kristen</v>
      </c>
      <c r="J1008" s="7" t="str">
        <f aca="false">IF(F1008=0,"NOT FOUND",IF(C1008=I1008,"SELF-VOTE",IF(COUNTIF($K:$K,K1008)&gt;1,"DUPLICATE","OK")))</f>
        <v>OK</v>
      </c>
      <c r="K1008" s="6" t="str">
        <f aca="false">A1008&amp;"|"&amp;B1008&amp;"|"&amp;C1008&amp;"|"&amp;D1008</f>
        <v>2|6|Matt|spotify:track:4wCmqSrbyCgxEXROQE6vtV</v>
      </c>
    </row>
    <row r="1009" customFormat="false" ht="15" hidden="false" customHeight="false" outlineLevel="0" collapsed="false">
      <c r="A1009" s="5" t="n">
        <v>2</v>
      </c>
      <c r="B1009" s="5" t="n">
        <v>6</v>
      </c>
      <c r="C1009" s="5" t="s">
        <v>116</v>
      </c>
      <c r="D1009" s="5" t="s">
        <v>590</v>
      </c>
      <c r="E1009" s="5" t="n">
        <v>1</v>
      </c>
      <c r="F1009" s="6" t="n">
        <f aca="false">IFERROR(MATCH(A1009&amp;"|"&amp;B1009&amp;"|"&amp;D1009,'All Song Rankings'!$T:$T,0),0)</f>
        <v>160</v>
      </c>
      <c r="G1009" s="6" t="str">
        <f aca="false">IF(F1009=0,"NOT FOUND",INDEX('All Song Rankings'!$A:$A,F1009))</f>
        <v>Shake It</v>
      </c>
      <c r="H1009" s="6" t="str">
        <f aca="false">IF(F1009=0,"NOT FOUND",INDEX('All Song Rankings'!$B:$B,F1009))</f>
        <v>Metro Station</v>
      </c>
      <c r="I1009" s="6" t="str">
        <f aca="false">IF(F1009=0,"NOT FOUND",INDEX('All Song Rankings'!$D:$D,F1009))</f>
        <v>Makenzie</v>
      </c>
      <c r="J1009" s="7" t="str">
        <f aca="false">IF(F1009=0,"NOT FOUND",IF(C1009=I1009,"SELF-VOTE",IF(COUNTIF($K:$K,K1009)&gt;1,"DUPLICATE","OK")))</f>
        <v>OK</v>
      </c>
      <c r="K1009" s="6" t="str">
        <f aca="false">A1009&amp;"|"&amp;B1009&amp;"|"&amp;C1009&amp;"|"&amp;D1009</f>
        <v>2|6|Matt|spotify:track:5619Ojc6t9evEEs3B7Drhe</v>
      </c>
    </row>
    <row r="1010" customFormat="false" ht="15" hidden="false" customHeight="false" outlineLevel="0" collapsed="false">
      <c r="A1010" s="5" t="n">
        <v>2</v>
      </c>
      <c r="B1010" s="5" t="n">
        <v>6</v>
      </c>
      <c r="C1010" s="5" t="s">
        <v>116</v>
      </c>
      <c r="D1010" s="5" t="s">
        <v>579</v>
      </c>
      <c r="E1010" s="5" t="n">
        <v>1</v>
      </c>
      <c r="F1010" s="6" t="n">
        <f aca="false">IFERROR(MATCH(A1010&amp;"|"&amp;B1010&amp;"|"&amp;D1010,'All Song Rankings'!$T:$T,0),0)</f>
        <v>156</v>
      </c>
      <c r="G1010" s="6" t="str">
        <f aca="false">IF(F1010=0,"NOT FOUND",INDEX('All Song Rankings'!$A:$A,F1010))</f>
        <v>Everytime We Touch</v>
      </c>
      <c r="H1010" s="6" t="str">
        <f aca="false">IF(F1010=0,"NOT FOUND",INDEX('All Song Rankings'!$B:$B,F1010))</f>
        <v>Cascada</v>
      </c>
      <c r="I1010" s="6" t="str">
        <f aca="false">IF(F1010=0,"NOT FOUND",INDEX('All Song Rankings'!$D:$D,F1010))</f>
        <v>Kelsey</v>
      </c>
      <c r="J1010" s="7" t="str">
        <f aca="false">IF(F1010=0,"NOT FOUND",IF(C1010=I1010,"SELF-VOTE",IF(COUNTIF($K:$K,K1010)&gt;1,"DUPLICATE","OK")))</f>
        <v>OK</v>
      </c>
      <c r="K1010" s="6" t="str">
        <f aca="false">A1010&amp;"|"&amp;B1010&amp;"|"&amp;C1010&amp;"|"&amp;D1010</f>
        <v>2|6|Matt|spotify:track:5YJtMNWKe55yr49cyJgxva</v>
      </c>
    </row>
    <row r="1011" customFormat="false" ht="15" hidden="false" customHeight="false" outlineLevel="0" collapsed="false">
      <c r="A1011" s="5" t="n">
        <v>2</v>
      </c>
      <c r="B1011" s="5" t="n">
        <v>6</v>
      </c>
      <c r="C1011" s="5" t="s">
        <v>116</v>
      </c>
      <c r="D1011" s="5" t="s">
        <v>584</v>
      </c>
      <c r="E1011" s="5" t="n">
        <v>1</v>
      </c>
      <c r="F1011" s="6" t="n">
        <f aca="false">IFERROR(MATCH(A1011&amp;"|"&amp;B1011&amp;"|"&amp;D1011,'All Song Rankings'!$T:$T,0),0)</f>
        <v>158</v>
      </c>
      <c r="G1011" s="6" t="str">
        <f aca="false">IF(F1011=0,"NOT FOUND",INDEX('All Song Rankings'!$A:$A,F1011))</f>
        <v>I Believe in a Thing Called Love</v>
      </c>
      <c r="H1011" s="6" t="str">
        <f aca="false">IF(F1011=0,"NOT FOUND",INDEX('All Song Rankings'!$B:$B,F1011))</f>
        <v>The Darkness</v>
      </c>
      <c r="I1011" s="6" t="str">
        <f aca="false">IF(F1011=0,"NOT FOUND",INDEX('All Song Rankings'!$D:$D,F1011))</f>
        <v>Scott</v>
      </c>
      <c r="J1011" s="7" t="str">
        <f aca="false">IF(F1011=0,"NOT FOUND",IF(C1011=I1011,"SELF-VOTE",IF(COUNTIF($K:$K,K1011)&gt;1,"DUPLICATE","OK")))</f>
        <v>OK</v>
      </c>
      <c r="K1011" s="6" t="str">
        <f aca="false">A1011&amp;"|"&amp;B1011&amp;"|"&amp;C1011&amp;"|"&amp;D1011</f>
        <v>2|6|Matt|spotify:track:756CJtQRFSxEx9jV4P9hpA</v>
      </c>
    </row>
    <row r="1012" customFormat="false" ht="15" hidden="false" customHeight="false" outlineLevel="0" collapsed="false">
      <c r="A1012" s="5" t="n">
        <v>2</v>
      </c>
      <c r="B1012" s="5" t="n">
        <v>6</v>
      </c>
      <c r="C1012" s="5" t="s">
        <v>92</v>
      </c>
      <c r="D1012" s="5" t="s">
        <v>602</v>
      </c>
      <c r="E1012" s="5" t="n">
        <v>1</v>
      </c>
      <c r="F1012" s="6" t="n">
        <f aca="false">IFERROR(MATCH(A1012&amp;"|"&amp;B1012&amp;"|"&amp;D1012,'All Song Rankings'!$T:$T,0),0)</f>
        <v>164</v>
      </c>
      <c r="G1012" s="6" t="str">
        <f aca="false">IF(F1012=0,"NOT FOUND",INDEX('All Song Rankings'!$A:$A,F1012))</f>
        <v>Send My Love (To Your New Lover)</v>
      </c>
      <c r="H1012" s="6" t="str">
        <f aca="false">IF(F1012=0,"NOT FOUND",INDEX('All Song Rankings'!$B:$B,F1012))</f>
        <v>Adele</v>
      </c>
      <c r="I1012" s="6" t="str">
        <f aca="false">IF(F1012=0,"NOT FOUND",INDEX('All Song Rankings'!$D:$D,F1012))</f>
        <v>Grace</v>
      </c>
      <c r="J1012" s="7" t="str">
        <f aca="false">IF(F1012=0,"NOT FOUND",IF(C1012=I1012,"SELF-VOTE",IF(COUNTIF($K:$K,K1012)&gt;1,"DUPLICATE","OK")))</f>
        <v>OK</v>
      </c>
      <c r="K1012" s="6" t="str">
        <f aca="false">A1012&amp;"|"&amp;B1012&amp;"|"&amp;C1012&amp;"|"&amp;D1012</f>
        <v>2|6|Nicole|spotify:track:0t7fVeEJxO2Xi4H2K5Svc9</v>
      </c>
    </row>
    <row r="1013" customFormat="false" ht="15" hidden="false" customHeight="false" outlineLevel="0" collapsed="false">
      <c r="A1013" s="5" t="n">
        <v>2</v>
      </c>
      <c r="B1013" s="5" t="n">
        <v>6</v>
      </c>
      <c r="C1013" s="5" t="s">
        <v>92</v>
      </c>
      <c r="D1013" s="5" t="s">
        <v>608</v>
      </c>
      <c r="E1013" s="5" t="n">
        <v>1</v>
      </c>
      <c r="F1013" s="6" t="n">
        <f aca="false">IFERROR(MATCH(A1013&amp;"|"&amp;B1013&amp;"|"&amp;D1013,'All Song Rankings'!$T:$T,0),0)</f>
        <v>166</v>
      </c>
      <c r="G1013" s="6" t="str">
        <f aca="false">IF(F1013=0,"NOT FOUND",INDEX('All Song Rankings'!$A:$A,F1013))</f>
        <v>Pompeii</v>
      </c>
      <c r="H1013" s="6" t="str">
        <f aca="false">IF(F1013=0,"NOT FOUND",INDEX('All Song Rankings'!$B:$B,F1013))</f>
        <v>Bastille</v>
      </c>
      <c r="I1013" s="6" t="str">
        <f aca="false">IF(F1013=0,"NOT FOUND",INDEX('All Song Rankings'!$D:$D,F1013))</f>
        <v>Merita</v>
      </c>
      <c r="J1013" s="7" t="str">
        <f aca="false">IF(F1013=0,"NOT FOUND",IF(C1013=I1013,"SELF-VOTE",IF(COUNTIF($K:$K,K1013)&gt;1,"DUPLICATE","OK")))</f>
        <v>OK</v>
      </c>
      <c r="K1013" s="6" t="str">
        <f aca="false">A1013&amp;"|"&amp;B1013&amp;"|"&amp;C1013&amp;"|"&amp;D1013</f>
        <v>2|6|Nicole|spotify:track:3gbBpTdY8lnQwqxNCcf795</v>
      </c>
    </row>
    <row r="1014" customFormat="false" ht="15" hidden="false" customHeight="false" outlineLevel="0" collapsed="false">
      <c r="A1014" s="5" t="n">
        <v>2</v>
      </c>
      <c r="B1014" s="5" t="n">
        <v>6</v>
      </c>
      <c r="C1014" s="5" t="s">
        <v>92</v>
      </c>
      <c r="D1014" s="5" t="s">
        <v>593</v>
      </c>
      <c r="E1014" s="5" t="n">
        <v>1</v>
      </c>
      <c r="F1014" s="6" t="n">
        <f aca="false">IFERROR(MATCH(A1014&amp;"|"&amp;B1014&amp;"|"&amp;D1014,'All Song Rankings'!$T:$T,0),0)</f>
        <v>161</v>
      </c>
      <c r="G1014" s="6" t="str">
        <f aca="false">IF(F1014=0,"NOT FOUND",INDEX('All Song Rankings'!$A:$A,F1014))</f>
        <v>Butterfly</v>
      </c>
      <c r="H1014" s="6" t="str">
        <f aca="false">IF(F1014=0,"NOT FOUND",INDEX('All Song Rankings'!$B:$B,F1014))</f>
        <v>Crazy Town</v>
      </c>
      <c r="I1014" s="6" t="str">
        <f aca="false">IF(F1014=0,"NOT FOUND",INDEX('All Song Rankings'!$D:$D,F1014))</f>
        <v>Leah</v>
      </c>
      <c r="J1014" s="7" t="str">
        <f aca="false">IF(F1014=0,"NOT FOUND",IF(C1014=I1014,"SELF-VOTE",IF(COUNTIF($K:$K,K1014)&gt;1,"DUPLICATE","OK")))</f>
        <v>OK</v>
      </c>
      <c r="K1014" s="6" t="str">
        <f aca="false">A1014&amp;"|"&amp;B1014&amp;"|"&amp;C1014&amp;"|"&amp;D1014</f>
        <v>2|6|Nicole|spotify:track:4BggEwLhGfrbrl7JBhC8EC</v>
      </c>
    </row>
    <row r="1015" customFormat="false" ht="15" hidden="false" customHeight="false" outlineLevel="0" collapsed="false">
      <c r="A1015" s="5" t="n">
        <v>2</v>
      </c>
      <c r="B1015" s="5" t="n">
        <v>6</v>
      </c>
      <c r="C1015" s="5" t="s">
        <v>92</v>
      </c>
      <c r="D1015" s="5" t="s">
        <v>596</v>
      </c>
      <c r="E1015" s="5" t="n">
        <v>1</v>
      </c>
      <c r="F1015" s="6" t="n">
        <f aca="false">IFERROR(MATCH(A1015&amp;"|"&amp;B1015&amp;"|"&amp;D1015,'All Song Rankings'!$T:$T,0),0)</f>
        <v>162</v>
      </c>
      <c r="G1015" s="6" t="str">
        <f aca="false">IF(F1015=0,"NOT FOUND",INDEX('All Song Rankings'!$A:$A,F1015))</f>
        <v>Somebody That I Used To Know</v>
      </c>
      <c r="H1015" s="6" t="str">
        <f aca="false">IF(F1015=0,"NOT FOUND",INDEX('All Song Rankings'!$B:$B,F1015))</f>
        <v>Gotye, Kimbra</v>
      </c>
      <c r="I1015" s="6" t="str">
        <f aca="false">IF(F1015=0,"NOT FOUND",INDEX('All Song Rankings'!$D:$D,F1015))</f>
        <v>Kristen</v>
      </c>
      <c r="J1015" s="7" t="str">
        <f aca="false">IF(F1015=0,"NOT FOUND",IF(C1015=I1015,"SELF-VOTE",IF(COUNTIF($K:$K,K1015)&gt;1,"DUPLICATE","OK")))</f>
        <v>OK</v>
      </c>
      <c r="K1015" s="6" t="str">
        <f aca="false">A1015&amp;"|"&amp;B1015&amp;"|"&amp;C1015&amp;"|"&amp;D1015</f>
        <v>2|6|Nicole|spotify:track:4wCmqSrbyCgxEXROQE6vtV</v>
      </c>
    </row>
    <row r="1016" customFormat="false" ht="15" hidden="false" customHeight="false" outlineLevel="0" collapsed="false">
      <c r="A1016" s="5" t="n">
        <v>2</v>
      </c>
      <c r="B1016" s="5" t="n">
        <v>6</v>
      </c>
      <c r="C1016" s="5" t="s">
        <v>92</v>
      </c>
      <c r="D1016" s="5" t="s">
        <v>590</v>
      </c>
      <c r="E1016" s="5" t="n">
        <v>3</v>
      </c>
      <c r="F1016" s="6" t="n">
        <f aca="false">IFERROR(MATCH(A1016&amp;"|"&amp;B1016&amp;"|"&amp;D1016,'All Song Rankings'!$T:$T,0),0)</f>
        <v>160</v>
      </c>
      <c r="G1016" s="6" t="str">
        <f aca="false">IF(F1016=0,"NOT FOUND",INDEX('All Song Rankings'!$A:$A,F1016))</f>
        <v>Shake It</v>
      </c>
      <c r="H1016" s="6" t="str">
        <f aca="false">IF(F1016=0,"NOT FOUND",INDEX('All Song Rankings'!$B:$B,F1016))</f>
        <v>Metro Station</v>
      </c>
      <c r="I1016" s="6" t="str">
        <f aca="false">IF(F1016=0,"NOT FOUND",INDEX('All Song Rankings'!$D:$D,F1016))</f>
        <v>Makenzie</v>
      </c>
      <c r="J1016" s="7" t="str">
        <f aca="false">IF(F1016=0,"NOT FOUND",IF(C1016=I1016,"SELF-VOTE",IF(COUNTIF($K:$K,K1016)&gt;1,"DUPLICATE","OK")))</f>
        <v>OK</v>
      </c>
      <c r="K1016" s="6" t="str">
        <f aca="false">A1016&amp;"|"&amp;B1016&amp;"|"&amp;C1016&amp;"|"&amp;D1016</f>
        <v>2|6|Nicole|spotify:track:5619Ojc6t9evEEs3B7Drhe</v>
      </c>
    </row>
    <row r="1017" customFormat="false" ht="15" hidden="false" customHeight="false" outlineLevel="0" collapsed="false">
      <c r="A1017" s="5" t="n">
        <v>2</v>
      </c>
      <c r="B1017" s="5" t="n">
        <v>6</v>
      </c>
      <c r="C1017" s="5" t="s">
        <v>92</v>
      </c>
      <c r="D1017" s="5" t="s">
        <v>605</v>
      </c>
      <c r="E1017" s="5" t="n">
        <v>1</v>
      </c>
      <c r="F1017" s="6" t="n">
        <f aca="false">IFERROR(MATCH(A1017&amp;"|"&amp;B1017&amp;"|"&amp;D1017,'All Song Rankings'!$T:$T,0),0)</f>
        <v>165</v>
      </c>
      <c r="G1017" s="6" t="str">
        <f aca="false">IF(F1017=0,"NOT FOUND",INDEX('All Song Rankings'!$A:$A,F1017))</f>
        <v>Chains</v>
      </c>
      <c r="H1017" s="6" t="str">
        <f aca="false">IF(F1017=0,"NOT FOUND",INDEX('All Song Rankings'!$B:$B,F1017))</f>
        <v>Nick Jonas</v>
      </c>
      <c r="I1017" s="6" t="str">
        <f aca="false">IF(F1017=0,"NOT FOUND",INDEX('All Song Rankings'!$D:$D,F1017))</f>
        <v>Stephanie</v>
      </c>
      <c r="J1017" s="7" t="str">
        <f aca="false">IF(F1017=0,"NOT FOUND",IF(C1017=I1017,"SELF-VOTE",IF(COUNTIF($K:$K,K1017)&gt;1,"DUPLICATE","OK")))</f>
        <v>OK</v>
      </c>
      <c r="K1017" s="6" t="str">
        <f aca="false">A1017&amp;"|"&amp;B1017&amp;"|"&amp;C1017&amp;"|"&amp;D1017</f>
        <v>2|6|Nicole|spotify:track:5Eg4TsPcqNbIjd8ADMZosg</v>
      </c>
    </row>
    <row r="1018" customFormat="false" ht="15" hidden="false" customHeight="false" outlineLevel="0" collapsed="false">
      <c r="A1018" s="5" t="n">
        <v>2</v>
      </c>
      <c r="B1018" s="5" t="n">
        <v>6</v>
      </c>
      <c r="C1018" s="5" t="s">
        <v>92</v>
      </c>
      <c r="D1018" s="5" t="s">
        <v>579</v>
      </c>
      <c r="E1018" s="5" t="n">
        <v>2</v>
      </c>
      <c r="F1018" s="6" t="n">
        <f aca="false">IFERROR(MATCH(A1018&amp;"|"&amp;B1018&amp;"|"&amp;D1018,'All Song Rankings'!$T:$T,0),0)</f>
        <v>156</v>
      </c>
      <c r="G1018" s="6" t="str">
        <f aca="false">IF(F1018=0,"NOT FOUND",INDEX('All Song Rankings'!$A:$A,F1018))</f>
        <v>Everytime We Touch</v>
      </c>
      <c r="H1018" s="6" t="str">
        <f aca="false">IF(F1018=0,"NOT FOUND",INDEX('All Song Rankings'!$B:$B,F1018))</f>
        <v>Cascada</v>
      </c>
      <c r="I1018" s="6" t="str">
        <f aca="false">IF(F1018=0,"NOT FOUND",INDEX('All Song Rankings'!$D:$D,F1018))</f>
        <v>Kelsey</v>
      </c>
      <c r="J1018" s="7" t="str">
        <f aca="false">IF(F1018=0,"NOT FOUND",IF(C1018=I1018,"SELF-VOTE",IF(COUNTIF($K:$K,K1018)&gt;1,"DUPLICATE","OK")))</f>
        <v>OK</v>
      </c>
      <c r="K1018" s="6" t="str">
        <f aca="false">A1018&amp;"|"&amp;B1018&amp;"|"&amp;C1018&amp;"|"&amp;D1018</f>
        <v>2|6|Nicole|spotify:track:5YJtMNWKe55yr49cyJgxva</v>
      </c>
    </row>
    <row r="1019" customFormat="false" ht="15" hidden="false" customHeight="false" outlineLevel="0" collapsed="false">
      <c r="A1019" s="5" t="n">
        <v>2</v>
      </c>
      <c r="B1019" s="5" t="n">
        <v>6</v>
      </c>
      <c r="C1019" s="5" t="s">
        <v>484</v>
      </c>
      <c r="D1019" s="5" t="s">
        <v>587</v>
      </c>
      <c r="E1019" s="5" t="n">
        <v>2</v>
      </c>
      <c r="F1019" s="6" t="n">
        <f aca="false">IFERROR(MATCH(A1019&amp;"|"&amp;B1019&amp;"|"&amp;D1019,'All Song Rankings'!$T:$T,0),0)</f>
        <v>159</v>
      </c>
      <c r="G1019" s="6" t="str">
        <f aca="false">IF(F1019=0,"NOT FOUND",INDEX('All Song Rankings'!$A:$A,F1019))</f>
        <v>I Love You Always Forever</v>
      </c>
      <c r="H1019" s="6" t="str">
        <f aca="false">IF(F1019=0,"NOT FOUND",INDEX('All Song Rankings'!$B:$B,F1019))</f>
        <v>Donna Lewis</v>
      </c>
      <c r="I1019" s="6" t="str">
        <f aca="false">IF(F1019=0,"NOT FOUND",INDEX('All Song Rankings'!$D:$D,F1019))</f>
        <v>Logan</v>
      </c>
      <c r="J1019" s="7" t="str">
        <f aca="false">IF(F1019=0,"NOT FOUND",IF(C1019=I1019,"SELF-VOTE",IF(COUNTIF($K:$K,K1019)&gt;1,"DUPLICATE","OK")))</f>
        <v>OK</v>
      </c>
      <c r="K1019" s="6" t="str">
        <f aca="false">A1019&amp;"|"&amp;B1019&amp;"|"&amp;C1019&amp;"|"&amp;D1019</f>
        <v>2|6|Scott|spotify:track:1PEqh7awkpuepLBSq8ZwqD</v>
      </c>
    </row>
    <row r="1020" customFormat="false" ht="15" hidden="false" customHeight="false" outlineLevel="0" collapsed="false">
      <c r="A1020" s="5" t="n">
        <v>2</v>
      </c>
      <c r="B1020" s="5" t="n">
        <v>6</v>
      </c>
      <c r="C1020" s="5" t="s">
        <v>484</v>
      </c>
      <c r="D1020" s="5" t="s">
        <v>581</v>
      </c>
      <c r="E1020" s="5" t="n">
        <v>1</v>
      </c>
      <c r="F1020" s="6" t="n">
        <f aca="false">IFERROR(MATCH(A1020&amp;"|"&amp;B1020&amp;"|"&amp;D1020,'All Song Rankings'!$T:$T,0),0)</f>
        <v>157</v>
      </c>
      <c r="G1020" s="6" t="str">
        <f aca="false">IF(F1020=0,"NOT FOUND",INDEX('All Song Rankings'!$A:$A,F1020))</f>
        <v>Sugar, We're Goin Down</v>
      </c>
      <c r="H1020" s="6" t="str">
        <f aca="false">IF(F1020=0,"NOT FOUND",INDEX('All Song Rankings'!$B:$B,F1020))</f>
        <v>Fall Out Boy</v>
      </c>
      <c r="I1020" s="6" t="str">
        <f aca="false">IF(F1020=0,"NOT FOUND",INDEX('All Song Rankings'!$D:$D,F1020))</f>
        <v>Nicole</v>
      </c>
      <c r="J1020" s="7" t="str">
        <f aca="false">IF(F1020=0,"NOT FOUND",IF(C1020=I1020,"SELF-VOTE",IF(COUNTIF($K:$K,K1020)&gt;1,"DUPLICATE","OK")))</f>
        <v>OK</v>
      </c>
      <c r="K1020" s="6" t="str">
        <f aca="false">A1020&amp;"|"&amp;B1020&amp;"|"&amp;C1020&amp;"|"&amp;D1020</f>
        <v>2|6|Scott|spotify:track:2TfSHkHiFO4gRztVIkggkE</v>
      </c>
    </row>
    <row r="1021" customFormat="false" ht="15" hidden="false" customHeight="false" outlineLevel="0" collapsed="false">
      <c r="A1021" s="5" t="n">
        <v>2</v>
      </c>
      <c r="B1021" s="5" t="n">
        <v>6</v>
      </c>
      <c r="C1021" s="5" t="s">
        <v>484</v>
      </c>
      <c r="D1021" s="5" t="s">
        <v>593</v>
      </c>
      <c r="E1021" s="5" t="n">
        <v>2</v>
      </c>
      <c r="F1021" s="6" t="n">
        <f aca="false">IFERROR(MATCH(A1021&amp;"|"&amp;B1021&amp;"|"&amp;D1021,'All Song Rankings'!$T:$T,0),0)</f>
        <v>161</v>
      </c>
      <c r="G1021" s="6" t="str">
        <f aca="false">IF(F1021=0,"NOT FOUND",INDEX('All Song Rankings'!$A:$A,F1021))</f>
        <v>Butterfly</v>
      </c>
      <c r="H1021" s="6" t="str">
        <f aca="false">IF(F1021=0,"NOT FOUND",INDEX('All Song Rankings'!$B:$B,F1021))</f>
        <v>Crazy Town</v>
      </c>
      <c r="I1021" s="6" t="str">
        <f aca="false">IF(F1021=0,"NOT FOUND",INDEX('All Song Rankings'!$D:$D,F1021))</f>
        <v>Leah</v>
      </c>
      <c r="J1021" s="7" t="str">
        <f aca="false">IF(F1021=0,"NOT FOUND",IF(C1021=I1021,"SELF-VOTE",IF(COUNTIF($K:$K,K1021)&gt;1,"DUPLICATE","OK")))</f>
        <v>OK</v>
      </c>
      <c r="K1021" s="6" t="str">
        <f aca="false">A1021&amp;"|"&amp;B1021&amp;"|"&amp;C1021&amp;"|"&amp;D1021</f>
        <v>2|6|Scott|spotify:track:4BggEwLhGfrbrl7JBhC8EC</v>
      </c>
    </row>
    <row r="1022" customFormat="false" ht="15" hidden="false" customHeight="false" outlineLevel="0" collapsed="false">
      <c r="A1022" s="5" t="n">
        <v>2</v>
      </c>
      <c r="B1022" s="5" t="n">
        <v>6</v>
      </c>
      <c r="C1022" s="5" t="s">
        <v>484</v>
      </c>
      <c r="D1022" s="5" t="s">
        <v>596</v>
      </c>
      <c r="E1022" s="5" t="n">
        <v>1</v>
      </c>
      <c r="F1022" s="6" t="n">
        <f aca="false">IFERROR(MATCH(A1022&amp;"|"&amp;B1022&amp;"|"&amp;D1022,'All Song Rankings'!$T:$T,0),0)</f>
        <v>162</v>
      </c>
      <c r="G1022" s="6" t="str">
        <f aca="false">IF(F1022=0,"NOT FOUND",INDEX('All Song Rankings'!$A:$A,F1022))</f>
        <v>Somebody That I Used To Know</v>
      </c>
      <c r="H1022" s="6" t="str">
        <f aca="false">IF(F1022=0,"NOT FOUND",INDEX('All Song Rankings'!$B:$B,F1022))</f>
        <v>Gotye, Kimbra</v>
      </c>
      <c r="I1022" s="6" t="str">
        <f aca="false">IF(F1022=0,"NOT FOUND",INDEX('All Song Rankings'!$D:$D,F1022))</f>
        <v>Kristen</v>
      </c>
      <c r="J1022" s="7" t="str">
        <f aca="false">IF(F1022=0,"NOT FOUND",IF(C1022=I1022,"SELF-VOTE",IF(COUNTIF($K:$K,K1022)&gt;1,"DUPLICATE","OK")))</f>
        <v>OK</v>
      </c>
      <c r="K1022" s="6" t="str">
        <f aca="false">A1022&amp;"|"&amp;B1022&amp;"|"&amp;C1022&amp;"|"&amp;D1022</f>
        <v>2|6|Scott|spotify:track:4wCmqSrbyCgxEXROQE6vtV</v>
      </c>
    </row>
    <row r="1023" customFormat="false" ht="15" hidden="false" customHeight="false" outlineLevel="0" collapsed="false">
      <c r="A1023" s="5" t="n">
        <v>2</v>
      </c>
      <c r="B1023" s="5" t="n">
        <v>6</v>
      </c>
      <c r="C1023" s="5" t="s">
        <v>484</v>
      </c>
      <c r="D1023" s="5" t="s">
        <v>590</v>
      </c>
      <c r="E1023" s="5" t="n">
        <v>1</v>
      </c>
      <c r="F1023" s="6" t="n">
        <f aca="false">IFERROR(MATCH(A1023&amp;"|"&amp;B1023&amp;"|"&amp;D1023,'All Song Rankings'!$T:$T,0),0)</f>
        <v>160</v>
      </c>
      <c r="G1023" s="6" t="str">
        <f aca="false">IF(F1023=0,"NOT FOUND",INDEX('All Song Rankings'!$A:$A,F1023))</f>
        <v>Shake It</v>
      </c>
      <c r="H1023" s="6" t="str">
        <f aca="false">IF(F1023=0,"NOT FOUND",INDEX('All Song Rankings'!$B:$B,F1023))</f>
        <v>Metro Station</v>
      </c>
      <c r="I1023" s="6" t="str">
        <f aca="false">IF(F1023=0,"NOT FOUND",INDEX('All Song Rankings'!$D:$D,F1023))</f>
        <v>Makenzie</v>
      </c>
      <c r="J1023" s="7" t="str">
        <f aca="false">IF(F1023=0,"NOT FOUND",IF(C1023=I1023,"SELF-VOTE",IF(COUNTIF($K:$K,K1023)&gt;1,"DUPLICATE","OK")))</f>
        <v>OK</v>
      </c>
      <c r="K1023" s="6" t="str">
        <f aca="false">A1023&amp;"|"&amp;B1023&amp;"|"&amp;C1023&amp;"|"&amp;D1023</f>
        <v>2|6|Scott|spotify:track:5619Ojc6t9evEEs3B7Drhe</v>
      </c>
    </row>
    <row r="1024" customFormat="false" ht="15" hidden="false" customHeight="false" outlineLevel="0" collapsed="false">
      <c r="A1024" s="5" t="n">
        <v>2</v>
      </c>
      <c r="B1024" s="5" t="n">
        <v>6</v>
      </c>
      <c r="C1024" s="5" t="s">
        <v>484</v>
      </c>
      <c r="D1024" s="5" t="s">
        <v>579</v>
      </c>
      <c r="E1024" s="5" t="n">
        <v>2</v>
      </c>
      <c r="F1024" s="6" t="n">
        <f aca="false">IFERROR(MATCH(A1024&amp;"|"&amp;B1024&amp;"|"&amp;D1024,'All Song Rankings'!$T:$T,0),0)</f>
        <v>156</v>
      </c>
      <c r="G1024" s="6" t="str">
        <f aca="false">IF(F1024=0,"NOT FOUND",INDEX('All Song Rankings'!$A:$A,F1024))</f>
        <v>Everytime We Touch</v>
      </c>
      <c r="H1024" s="6" t="str">
        <f aca="false">IF(F1024=0,"NOT FOUND",INDEX('All Song Rankings'!$B:$B,F1024))</f>
        <v>Cascada</v>
      </c>
      <c r="I1024" s="6" t="str">
        <f aca="false">IF(F1024=0,"NOT FOUND",INDEX('All Song Rankings'!$D:$D,F1024))</f>
        <v>Kelsey</v>
      </c>
      <c r="J1024" s="7" t="str">
        <f aca="false">IF(F1024=0,"NOT FOUND",IF(C1024=I1024,"SELF-VOTE",IF(COUNTIF($K:$K,K1024)&gt;1,"DUPLICATE","OK")))</f>
        <v>OK</v>
      </c>
      <c r="K1024" s="6" t="str">
        <f aca="false">A1024&amp;"|"&amp;B1024&amp;"|"&amp;C1024&amp;"|"&amp;D1024</f>
        <v>2|6|Scott|spotify:track:5YJtMNWKe55yr49cyJgxva</v>
      </c>
    </row>
    <row r="1025" customFormat="false" ht="15" hidden="false" customHeight="false" outlineLevel="0" collapsed="false">
      <c r="A1025" s="5" t="n">
        <v>2</v>
      </c>
      <c r="B1025" s="5" t="n">
        <v>6</v>
      </c>
      <c r="C1025" s="5" t="s">
        <v>484</v>
      </c>
      <c r="D1025" s="5" t="s">
        <v>599</v>
      </c>
      <c r="E1025" s="5" t="n">
        <v>1</v>
      </c>
      <c r="F1025" s="6" t="n">
        <f aca="false">IFERROR(MATCH(A1025&amp;"|"&amp;B1025&amp;"|"&amp;D1025,'All Song Rankings'!$T:$T,0),0)</f>
        <v>163</v>
      </c>
      <c r="G1025" s="6" t="str">
        <f aca="false">IF(F1025=0,"NOT FOUND",INDEX('All Song Rankings'!$A:$A,F1025))</f>
        <v>Crazy</v>
      </c>
      <c r="H1025" s="6" t="str">
        <f aca="false">IF(F1025=0,"NOT FOUND",INDEX('All Song Rankings'!$B:$B,F1025))</f>
        <v>Gnarls Barkley, CeeLo Green, Danger Mouse</v>
      </c>
      <c r="I1025" s="6" t="str">
        <f aca="false">IF(F1025=0,"NOT FOUND",INDEX('All Song Rankings'!$D:$D,F1025))</f>
        <v>Matt</v>
      </c>
      <c r="J1025" s="7" t="str">
        <f aca="false">IF(F1025=0,"NOT FOUND",IF(C1025=I1025,"SELF-VOTE",IF(COUNTIF($K:$K,K1025)&gt;1,"DUPLICATE","OK")))</f>
        <v>OK</v>
      </c>
      <c r="K1025" s="6" t="str">
        <f aca="false">A1025&amp;"|"&amp;B1025&amp;"|"&amp;C1025&amp;"|"&amp;D1025</f>
        <v>2|6|Scott|spotify:track:6o1l9I0faXJN2iqulHrdCQ</v>
      </c>
    </row>
    <row r="1026" customFormat="false" ht="15" hidden="false" customHeight="false" outlineLevel="0" collapsed="false">
      <c r="A1026" s="5" t="n">
        <v>2</v>
      </c>
      <c r="B1026" s="5" t="n">
        <v>6</v>
      </c>
      <c r="C1026" s="5" t="s">
        <v>97</v>
      </c>
      <c r="D1026" s="5" t="s">
        <v>587</v>
      </c>
      <c r="E1026" s="5" t="n">
        <v>3</v>
      </c>
      <c r="F1026" s="6" t="n">
        <f aca="false">IFERROR(MATCH(A1026&amp;"|"&amp;B1026&amp;"|"&amp;D1026,'All Song Rankings'!$T:$T,0),0)</f>
        <v>159</v>
      </c>
      <c r="G1026" s="6" t="str">
        <f aca="false">IF(F1026=0,"NOT FOUND",INDEX('All Song Rankings'!$A:$A,F1026))</f>
        <v>I Love You Always Forever</v>
      </c>
      <c r="H1026" s="6" t="str">
        <f aca="false">IF(F1026=0,"NOT FOUND",INDEX('All Song Rankings'!$B:$B,F1026))</f>
        <v>Donna Lewis</v>
      </c>
      <c r="I1026" s="6" t="str">
        <f aca="false">IF(F1026=0,"NOT FOUND",INDEX('All Song Rankings'!$D:$D,F1026))</f>
        <v>Logan</v>
      </c>
      <c r="J1026" s="7" t="str">
        <f aca="false">IF(F1026=0,"NOT FOUND",IF(C1026=I1026,"SELF-VOTE",IF(COUNTIF($K:$K,K1026)&gt;1,"DUPLICATE","OK")))</f>
        <v>OK</v>
      </c>
      <c r="K1026" s="6" t="str">
        <f aca="false">A1026&amp;"|"&amp;B1026&amp;"|"&amp;C1026&amp;"|"&amp;D1026</f>
        <v>2|6|Stephanie|spotify:track:1PEqh7awkpuepLBSq8ZwqD</v>
      </c>
    </row>
    <row r="1027" customFormat="false" ht="15" hidden="false" customHeight="false" outlineLevel="0" collapsed="false">
      <c r="A1027" s="5" t="n">
        <v>2</v>
      </c>
      <c r="B1027" s="5" t="n">
        <v>6</v>
      </c>
      <c r="C1027" s="5" t="s">
        <v>97</v>
      </c>
      <c r="D1027" s="5" t="s">
        <v>608</v>
      </c>
      <c r="E1027" s="5" t="n">
        <v>1</v>
      </c>
      <c r="F1027" s="6" t="n">
        <f aca="false">IFERROR(MATCH(A1027&amp;"|"&amp;B1027&amp;"|"&amp;D1027,'All Song Rankings'!$T:$T,0),0)</f>
        <v>166</v>
      </c>
      <c r="G1027" s="6" t="str">
        <f aca="false">IF(F1027=0,"NOT FOUND",INDEX('All Song Rankings'!$A:$A,F1027))</f>
        <v>Pompeii</v>
      </c>
      <c r="H1027" s="6" t="str">
        <f aca="false">IF(F1027=0,"NOT FOUND",INDEX('All Song Rankings'!$B:$B,F1027))</f>
        <v>Bastille</v>
      </c>
      <c r="I1027" s="6" t="str">
        <f aca="false">IF(F1027=0,"NOT FOUND",INDEX('All Song Rankings'!$D:$D,F1027))</f>
        <v>Merita</v>
      </c>
      <c r="J1027" s="7" t="str">
        <f aca="false">IF(F1027=0,"NOT FOUND",IF(C1027=I1027,"SELF-VOTE",IF(COUNTIF($K:$K,K1027)&gt;1,"DUPLICATE","OK")))</f>
        <v>OK</v>
      </c>
      <c r="K1027" s="6" t="str">
        <f aca="false">A1027&amp;"|"&amp;B1027&amp;"|"&amp;C1027&amp;"|"&amp;D1027</f>
        <v>2|6|Stephanie|spotify:track:3gbBpTdY8lnQwqxNCcf795</v>
      </c>
    </row>
    <row r="1028" customFormat="false" ht="15" hidden="false" customHeight="false" outlineLevel="0" collapsed="false">
      <c r="A1028" s="5" t="n">
        <v>2</v>
      </c>
      <c r="B1028" s="5" t="n">
        <v>6</v>
      </c>
      <c r="C1028" s="5" t="s">
        <v>97</v>
      </c>
      <c r="D1028" s="5" t="s">
        <v>590</v>
      </c>
      <c r="E1028" s="5" t="n">
        <v>1</v>
      </c>
      <c r="F1028" s="6" t="n">
        <f aca="false">IFERROR(MATCH(A1028&amp;"|"&amp;B1028&amp;"|"&amp;D1028,'All Song Rankings'!$T:$T,0),0)</f>
        <v>160</v>
      </c>
      <c r="G1028" s="6" t="str">
        <f aca="false">IF(F1028=0,"NOT FOUND",INDEX('All Song Rankings'!$A:$A,F1028))</f>
        <v>Shake It</v>
      </c>
      <c r="H1028" s="6" t="str">
        <f aca="false">IF(F1028=0,"NOT FOUND",INDEX('All Song Rankings'!$B:$B,F1028))</f>
        <v>Metro Station</v>
      </c>
      <c r="I1028" s="6" t="str">
        <f aca="false">IF(F1028=0,"NOT FOUND",INDEX('All Song Rankings'!$D:$D,F1028))</f>
        <v>Makenzie</v>
      </c>
      <c r="J1028" s="7" t="str">
        <f aca="false">IF(F1028=0,"NOT FOUND",IF(C1028=I1028,"SELF-VOTE",IF(COUNTIF($K:$K,K1028)&gt;1,"DUPLICATE","OK")))</f>
        <v>OK</v>
      </c>
      <c r="K1028" s="6" t="str">
        <f aca="false">A1028&amp;"|"&amp;B1028&amp;"|"&amp;C1028&amp;"|"&amp;D1028</f>
        <v>2|6|Stephanie|spotify:track:5619Ojc6t9evEEs3B7Drhe</v>
      </c>
    </row>
    <row r="1029" customFormat="false" ht="15" hidden="false" customHeight="false" outlineLevel="0" collapsed="false">
      <c r="A1029" s="5" t="n">
        <v>2</v>
      </c>
      <c r="B1029" s="5" t="n">
        <v>6</v>
      </c>
      <c r="C1029" s="5" t="s">
        <v>97</v>
      </c>
      <c r="D1029" s="5" t="s">
        <v>579</v>
      </c>
      <c r="E1029" s="5" t="n">
        <v>2</v>
      </c>
      <c r="F1029" s="6" t="n">
        <f aca="false">IFERROR(MATCH(A1029&amp;"|"&amp;B1029&amp;"|"&amp;D1029,'All Song Rankings'!$T:$T,0),0)</f>
        <v>156</v>
      </c>
      <c r="G1029" s="6" t="str">
        <f aca="false">IF(F1029=0,"NOT FOUND",INDEX('All Song Rankings'!$A:$A,F1029))</f>
        <v>Everytime We Touch</v>
      </c>
      <c r="H1029" s="6" t="str">
        <f aca="false">IF(F1029=0,"NOT FOUND",INDEX('All Song Rankings'!$B:$B,F1029))</f>
        <v>Cascada</v>
      </c>
      <c r="I1029" s="6" t="str">
        <f aca="false">IF(F1029=0,"NOT FOUND",INDEX('All Song Rankings'!$D:$D,F1029))</f>
        <v>Kelsey</v>
      </c>
      <c r="J1029" s="7" t="str">
        <f aca="false">IF(F1029=0,"NOT FOUND",IF(C1029=I1029,"SELF-VOTE",IF(COUNTIF($K:$K,K1029)&gt;1,"DUPLICATE","OK")))</f>
        <v>OK</v>
      </c>
      <c r="K1029" s="6" t="str">
        <f aca="false">A1029&amp;"|"&amp;B1029&amp;"|"&amp;C1029&amp;"|"&amp;D1029</f>
        <v>2|6|Stephanie|spotify:track:5YJtMNWKe55yr49cyJgxva</v>
      </c>
    </row>
    <row r="1030" customFormat="false" ht="15" hidden="false" customHeight="false" outlineLevel="0" collapsed="false">
      <c r="A1030" s="5" t="n">
        <v>2</v>
      </c>
      <c r="B1030" s="5" t="n">
        <v>6</v>
      </c>
      <c r="C1030" s="5" t="s">
        <v>97</v>
      </c>
      <c r="D1030" s="5" t="s">
        <v>584</v>
      </c>
      <c r="E1030" s="5" t="n">
        <v>3</v>
      </c>
      <c r="F1030" s="6" t="n">
        <f aca="false">IFERROR(MATCH(A1030&amp;"|"&amp;B1030&amp;"|"&amp;D1030,'All Song Rankings'!$T:$T,0),0)</f>
        <v>158</v>
      </c>
      <c r="G1030" s="6" t="str">
        <f aca="false">IF(F1030=0,"NOT FOUND",INDEX('All Song Rankings'!$A:$A,F1030))</f>
        <v>I Believe in a Thing Called Love</v>
      </c>
      <c r="H1030" s="6" t="str">
        <f aca="false">IF(F1030=0,"NOT FOUND",INDEX('All Song Rankings'!$B:$B,F1030))</f>
        <v>The Darkness</v>
      </c>
      <c r="I1030" s="6" t="str">
        <f aca="false">IF(F1030=0,"NOT FOUND",INDEX('All Song Rankings'!$D:$D,F1030))</f>
        <v>Scott</v>
      </c>
      <c r="J1030" s="7" t="str">
        <f aca="false">IF(F1030=0,"NOT FOUND",IF(C1030=I1030,"SELF-VOTE",IF(COUNTIF($K:$K,K1030)&gt;1,"DUPLICATE","OK")))</f>
        <v>OK</v>
      </c>
      <c r="K1030" s="6" t="str">
        <f aca="false">A1030&amp;"|"&amp;B1030&amp;"|"&amp;C1030&amp;"|"&amp;D1030</f>
        <v>2|6|Stephanie|spotify:track:756CJtQRFSxEx9jV4P9hpA</v>
      </c>
    </row>
    <row r="1031" customFormat="false" ht="15" hidden="false" customHeight="false" outlineLevel="0" collapsed="false">
      <c r="A1031" s="5" t="n">
        <v>2</v>
      </c>
      <c r="B1031" s="5" t="n">
        <v>7</v>
      </c>
      <c r="C1031" s="5" t="s">
        <v>85</v>
      </c>
      <c r="D1031" s="5" t="s">
        <v>638</v>
      </c>
      <c r="E1031" s="5" t="n">
        <v>3</v>
      </c>
      <c r="F1031" s="6" t="n">
        <f aca="false">IFERROR(MATCH(A1031&amp;"|"&amp;B1031&amp;"|"&amp;D1031,'All Song Rankings'!$T:$T,0),0)</f>
        <v>176</v>
      </c>
      <c r="G1031" s="6" t="str">
        <f aca="false">IF(F1031=0,"NOT FOUND",INDEX('All Song Rankings'!$A:$A,F1031))</f>
        <v>cliché - Jonas Brothers remix</v>
      </c>
      <c r="H1031" s="6" t="str">
        <f aca="false">IF(F1031=0,"NOT FOUND",INDEX('All Song Rankings'!$B:$B,F1031))</f>
        <v>mgk</v>
      </c>
      <c r="I1031" s="6" t="str">
        <f aca="false">IF(F1031=0,"NOT FOUND",INDEX('All Song Rankings'!$D:$D,F1031))</f>
        <v>Colleen</v>
      </c>
      <c r="J1031" s="7" t="str">
        <f aca="false">IF(F1031=0,"NOT FOUND",IF(C1031=I1031,"SELF-VOTE",IF(COUNTIF($K:$K,K1031)&gt;1,"DUPLICATE","OK")))</f>
        <v>OK</v>
      </c>
      <c r="K1031" s="6" t="str">
        <f aca="false">A1031&amp;"|"&amp;B1031&amp;"|"&amp;C1031&amp;"|"&amp;D1031</f>
        <v>2|7|Kelsey|spotify:track:3sqySB5Pxon72vDIdduez4</v>
      </c>
    </row>
    <row r="1032" customFormat="false" ht="15" hidden="false" customHeight="false" outlineLevel="0" collapsed="false">
      <c r="A1032" s="5" t="n">
        <v>2</v>
      </c>
      <c r="B1032" s="5" t="n">
        <v>7</v>
      </c>
      <c r="C1032" s="5" t="s">
        <v>85</v>
      </c>
      <c r="D1032" s="5" t="s">
        <v>620</v>
      </c>
      <c r="E1032" s="5" t="n">
        <v>2</v>
      </c>
      <c r="F1032" s="6" t="n">
        <f aca="false">IFERROR(MATCH(A1032&amp;"|"&amp;B1032&amp;"|"&amp;D1032,'All Song Rankings'!$T:$T,0),0)</f>
        <v>170</v>
      </c>
      <c r="G1032" s="6" t="str">
        <f aca="false">IF(F1032=0,"NOT FOUND",INDEX('All Song Rankings'!$A:$A,F1032))</f>
        <v>Bad Blood (feat. Kendrick Lamar) (Taylor's Version)</v>
      </c>
      <c r="H1032" s="6" t="str">
        <f aca="false">IF(F1032=0,"NOT FOUND",INDEX('All Song Rankings'!$B:$B,F1032))</f>
        <v>Taylor Swift</v>
      </c>
      <c r="I1032" s="6" t="str">
        <f aca="false">IF(F1032=0,"NOT FOUND",INDEX('All Song Rankings'!$D:$D,F1032))</f>
        <v>Logan</v>
      </c>
      <c r="J1032" s="7" t="str">
        <f aca="false">IF(F1032=0,"NOT FOUND",IF(C1032=I1032,"SELF-VOTE",IF(COUNTIF($K:$K,K1032)&gt;1,"DUPLICATE","OK")))</f>
        <v>OK</v>
      </c>
      <c r="K1032" s="6" t="str">
        <f aca="false">A1032&amp;"|"&amp;B1032&amp;"|"&amp;C1032&amp;"|"&amp;D1032</f>
        <v>2|7|Kelsey|spotify:track:6qAcApH8obo8eqatCKUHd9</v>
      </c>
    </row>
    <row r="1033" customFormat="false" ht="15" hidden="false" customHeight="false" outlineLevel="0" collapsed="false">
      <c r="A1033" s="5" t="n">
        <v>2</v>
      </c>
      <c r="B1033" s="5" t="n">
        <v>7</v>
      </c>
      <c r="C1033" s="5" t="s">
        <v>85</v>
      </c>
      <c r="D1033" s="5" t="s">
        <v>612</v>
      </c>
      <c r="E1033" s="5" t="n">
        <v>2</v>
      </c>
      <c r="F1033" s="6" t="n">
        <f aca="false">IFERROR(MATCH(A1033&amp;"|"&amp;B1033&amp;"|"&amp;D1033,'All Song Rankings'!$T:$T,0),0)</f>
        <v>167</v>
      </c>
      <c r="G1033" s="6" t="str">
        <f aca="false">IF(F1033=0,"NOT FOUND",INDEX('All Song Rankings'!$A:$A,F1033))</f>
        <v>Walk This Way (feat. Aerosmith)</v>
      </c>
      <c r="H1033" s="6" t="str">
        <f aca="false">IF(F1033=0,"NOT FOUND",INDEX('All Song Rankings'!$B:$B,F1033))</f>
        <v>Run-D.M.C., Aerosmith</v>
      </c>
      <c r="I1033" s="6" t="str">
        <f aca="false">IF(F1033=0,"NOT FOUND",INDEX('All Song Rankings'!$D:$D,F1033))</f>
        <v>Scott</v>
      </c>
      <c r="J1033" s="7" t="str">
        <f aca="false">IF(F1033=0,"NOT FOUND",IF(C1033=I1033,"SELF-VOTE",IF(COUNTIF($K:$K,K1033)&gt;1,"DUPLICATE","OK")))</f>
        <v>OK</v>
      </c>
      <c r="K1033" s="6" t="str">
        <f aca="false">A1033&amp;"|"&amp;B1033&amp;"|"&amp;C1033&amp;"|"&amp;D1033</f>
        <v>2|7|Kelsey|spotify:track:6qUEOWqOzu1rLPUPQ1ECpx</v>
      </c>
    </row>
    <row r="1034" customFormat="false" ht="15" hidden="false" customHeight="false" outlineLevel="0" collapsed="false">
      <c r="A1034" s="5" t="n">
        <v>2</v>
      </c>
      <c r="B1034" s="5" t="n">
        <v>7</v>
      </c>
      <c r="C1034" s="5" t="s">
        <v>85</v>
      </c>
      <c r="D1034" s="5" t="s">
        <v>631</v>
      </c>
      <c r="E1034" s="5" t="n">
        <v>1</v>
      </c>
      <c r="F1034" s="6" t="n">
        <f aca="false">IFERROR(MATCH(A1034&amp;"|"&amp;B1034&amp;"|"&amp;D1034,'All Song Rankings'!$T:$T,0),0)</f>
        <v>174</v>
      </c>
      <c r="G1034" s="6" t="str">
        <f aca="false">IF(F1034=0,"NOT FOUND",INDEX('All Song Rankings'!$A:$A,F1034))</f>
        <v>All The Way (feat. Bailey Zimmerman)</v>
      </c>
      <c r="H1034" s="6" t="str">
        <f aca="false">IF(F1034=0,"NOT FOUND",INDEX('All Song Rankings'!$B:$B,F1034))</f>
        <v>BigXthaPlug</v>
      </c>
      <c r="I1034" s="6" t="str">
        <f aca="false">IF(F1034=0,"NOT FOUND",INDEX('All Song Rankings'!$D:$D,F1034))</f>
        <v>Nicole</v>
      </c>
      <c r="J1034" s="7" t="str">
        <f aca="false">IF(F1034=0,"NOT FOUND",IF(C1034=I1034,"SELF-VOTE",IF(COUNTIF($K:$K,K1034)&gt;1,"DUPLICATE","OK")))</f>
        <v>OK</v>
      </c>
      <c r="K1034" s="6" t="str">
        <f aca="false">A1034&amp;"|"&amp;B1034&amp;"|"&amp;C1034&amp;"|"&amp;D1034</f>
        <v>2|7|Kelsey|spotify:track:73kIKvg65QWieOKXIwyLJP</v>
      </c>
    </row>
    <row r="1035" customFormat="false" ht="15" hidden="false" customHeight="false" outlineLevel="0" collapsed="false">
      <c r="A1035" s="5" t="n">
        <v>2</v>
      </c>
      <c r="B1035" s="5" t="n">
        <v>7</v>
      </c>
      <c r="C1035" s="5" t="s">
        <v>85</v>
      </c>
      <c r="D1035" s="5" t="s">
        <v>641</v>
      </c>
      <c r="E1035" s="5" t="n">
        <v>2</v>
      </c>
      <c r="F1035" s="6" t="n">
        <f aca="false">IFERROR(MATCH(A1035&amp;"|"&amp;B1035&amp;"|"&amp;D1035,'All Song Rankings'!$T:$T,0),0)</f>
        <v>177</v>
      </c>
      <c r="G1035" s="6" t="str">
        <f aca="false">IF(F1035=0,"NOT FOUND",INDEX('All Song Rankings'!$A:$A,F1035))</f>
        <v>FourFiveSeconds</v>
      </c>
      <c r="H1035" s="6" t="str">
        <f aca="false">IF(F1035=0,"NOT FOUND",INDEX('All Song Rankings'!$B:$B,F1035))</f>
        <v>Rihanna</v>
      </c>
      <c r="I1035" s="6" t="str">
        <f aca="false">IF(F1035=0,"NOT FOUND",INDEX('All Song Rankings'!$D:$D,F1035))</f>
        <v>Grace</v>
      </c>
      <c r="J1035" s="7" t="str">
        <f aca="false">IF(F1035=0,"NOT FOUND",IF(C1035=I1035,"SELF-VOTE",IF(COUNTIF($K:$K,K1035)&gt;1,"DUPLICATE","OK")))</f>
        <v>OK</v>
      </c>
      <c r="K1035" s="6" t="str">
        <f aca="false">A1035&amp;"|"&amp;B1035&amp;"|"&amp;C1035&amp;"|"&amp;D1035</f>
        <v>2|7|Kelsey|spotify:track:78TTtXnFQPzwqlbtbwqN0y</v>
      </c>
    </row>
    <row r="1036" customFormat="false" ht="15" hidden="false" customHeight="false" outlineLevel="0" collapsed="false">
      <c r="A1036" s="5" t="n">
        <v>2</v>
      </c>
      <c r="B1036" s="5" t="n">
        <v>7</v>
      </c>
      <c r="C1036" s="5" t="s">
        <v>106</v>
      </c>
      <c r="D1036" s="5" t="s">
        <v>615</v>
      </c>
      <c r="E1036" s="5" t="n">
        <v>2</v>
      </c>
      <c r="F1036" s="6" t="n">
        <f aca="false">IFERROR(MATCH(A1036&amp;"|"&amp;B1036&amp;"|"&amp;D1036,'All Song Rankings'!$T:$T,0),0)</f>
        <v>168</v>
      </c>
      <c r="G1036" s="6" t="str">
        <f aca="false">IF(F1036=0,"NOT FOUND",INDEX('All Song Rankings'!$A:$A,F1036))</f>
        <v>My Only Angel</v>
      </c>
      <c r="H1036" s="6" t="str">
        <f aca="false">IF(F1036=0,"NOT FOUND",INDEX('All Song Rankings'!$B:$B,F1036))</f>
        <v>Aerosmith</v>
      </c>
      <c r="I1036" s="6" t="str">
        <f aca="false">IF(F1036=0,"NOT FOUND",INDEX('All Song Rankings'!$D:$D,F1036))</f>
        <v>Leah</v>
      </c>
      <c r="J1036" s="7" t="str">
        <f aca="false">IF(F1036=0,"NOT FOUND",IF(C1036=I1036,"SELF-VOTE",IF(COUNTIF($K:$K,K1036)&gt;1,"DUPLICATE","OK")))</f>
        <v>OK</v>
      </c>
      <c r="K1036" s="6" t="str">
        <f aca="false">A1036&amp;"|"&amp;B1036&amp;"|"&amp;C1036&amp;"|"&amp;D1036</f>
        <v>2|7|Kristen|spotify:track:0A7f6oQxCkzzRMA3oaTqaU</v>
      </c>
    </row>
    <row r="1037" customFormat="false" ht="15" hidden="false" customHeight="false" outlineLevel="0" collapsed="false">
      <c r="A1037" s="5" t="n">
        <v>2</v>
      </c>
      <c r="B1037" s="5" t="n">
        <v>7</v>
      </c>
      <c r="C1037" s="5" t="s">
        <v>106</v>
      </c>
      <c r="D1037" s="5" t="s">
        <v>638</v>
      </c>
      <c r="E1037" s="5" t="n">
        <v>2</v>
      </c>
      <c r="F1037" s="6" t="n">
        <f aca="false">IFERROR(MATCH(A1037&amp;"|"&amp;B1037&amp;"|"&amp;D1037,'All Song Rankings'!$T:$T,0),0)</f>
        <v>176</v>
      </c>
      <c r="G1037" s="6" t="str">
        <f aca="false">IF(F1037=0,"NOT FOUND",INDEX('All Song Rankings'!$A:$A,F1037))</f>
        <v>cliché - Jonas Brothers remix</v>
      </c>
      <c r="H1037" s="6" t="str">
        <f aca="false">IF(F1037=0,"NOT FOUND",INDEX('All Song Rankings'!$B:$B,F1037))</f>
        <v>mgk</v>
      </c>
      <c r="I1037" s="6" t="str">
        <f aca="false">IF(F1037=0,"NOT FOUND",INDEX('All Song Rankings'!$D:$D,F1037))</f>
        <v>Colleen</v>
      </c>
      <c r="J1037" s="7" t="str">
        <f aca="false">IF(F1037=0,"NOT FOUND",IF(C1037=I1037,"SELF-VOTE",IF(COUNTIF($K:$K,K1037)&gt;1,"DUPLICATE","OK")))</f>
        <v>OK</v>
      </c>
      <c r="K1037" s="6" t="str">
        <f aca="false">A1037&amp;"|"&amp;B1037&amp;"|"&amp;C1037&amp;"|"&amp;D1037</f>
        <v>2|7|Kristen|spotify:track:3sqySB5Pxon72vDIdduez4</v>
      </c>
    </row>
    <row r="1038" customFormat="false" ht="15" hidden="false" customHeight="false" outlineLevel="0" collapsed="false">
      <c r="A1038" s="5" t="n">
        <v>2</v>
      </c>
      <c r="B1038" s="5" t="n">
        <v>7</v>
      </c>
      <c r="C1038" s="5" t="s">
        <v>106</v>
      </c>
      <c r="D1038" s="5" t="s">
        <v>612</v>
      </c>
      <c r="E1038" s="5" t="n">
        <v>1</v>
      </c>
      <c r="F1038" s="6" t="n">
        <f aca="false">IFERROR(MATCH(A1038&amp;"|"&amp;B1038&amp;"|"&amp;D1038,'All Song Rankings'!$T:$T,0),0)</f>
        <v>167</v>
      </c>
      <c r="G1038" s="6" t="str">
        <f aca="false">IF(F1038=0,"NOT FOUND",INDEX('All Song Rankings'!$A:$A,F1038))</f>
        <v>Walk This Way (feat. Aerosmith)</v>
      </c>
      <c r="H1038" s="6" t="str">
        <f aca="false">IF(F1038=0,"NOT FOUND",INDEX('All Song Rankings'!$B:$B,F1038))</f>
        <v>Run-D.M.C., Aerosmith</v>
      </c>
      <c r="I1038" s="6" t="str">
        <f aca="false">IF(F1038=0,"NOT FOUND",INDEX('All Song Rankings'!$D:$D,F1038))</f>
        <v>Scott</v>
      </c>
      <c r="J1038" s="7" t="str">
        <f aca="false">IF(F1038=0,"NOT FOUND",IF(C1038=I1038,"SELF-VOTE",IF(COUNTIF($K:$K,K1038)&gt;1,"DUPLICATE","OK")))</f>
        <v>OK</v>
      </c>
      <c r="K1038" s="6" t="str">
        <f aca="false">A1038&amp;"|"&amp;B1038&amp;"|"&amp;C1038&amp;"|"&amp;D1038</f>
        <v>2|7|Kristen|spotify:track:6qUEOWqOzu1rLPUPQ1ECpx</v>
      </c>
    </row>
    <row r="1039" customFormat="false" ht="15" hidden="false" customHeight="false" outlineLevel="0" collapsed="false">
      <c r="A1039" s="5" t="n">
        <v>2</v>
      </c>
      <c r="B1039" s="5" t="n">
        <v>7</v>
      </c>
      <c r="C1039" s="5" t="s">
        <v>106</v>
      </c>
      <c r="D1039" s="5" t="s">
        <v>631</v>
      </c>
      <c r="E1039" s="5" t="n">
        <v>1</v>
      </c>
      <c r="F1039" s="6" t="n">
        <f aca="false">IFERROR(MATCH(A1039&amp;"|"&amp;B1039&amp;"|"&amp;D1039,'All Song Rankings'!$T:$T,0),0)</f>
        <v>174</v>
      </c>
      <c r="G1039" s="6" t="str">
        <f aca="false">IF(F1039=0,"NOT FOUND",INDEX('All Song Rankings'!$A:$A,F1039))</f>
        <v>All The Way (feat. Bailey Zimmerman)</v>
      </c>
      <c r="H1039" s="6" t="str">
        <f aca="false">IF(F1039=0,"NOT FOUND",INDEX('All Song Rankings'!$B:$B,F1039))</f>
        <v>BigXthaPlug</v>
      </c>
      <c r="I1039" s="6" t="str">
        <f aca="false">IF(F1039=0,"NOT FOUND",INDEX('All Song Rankings'!$D:$D,F1039))</f>
        <v>Nicole</v>
      </c>
      <c r="J1039" s="7" t="str">
        <f aca="false">IF(F1039=0,"NOT FOUND",IF(C1039=I1039,"SELF-VOTE",IF(COUNTIF($K:$K,K1039)&gt;1,"DUPLICATE","OK")))</f>
        <v>OK</v>
      </c>
      <c r="K1039" s="6" t="str">
        <f aca="false">A1039&amp;"|"&amp;B1039&amp;"|"&amp;C1039&amp;"|"&amp;D1039</f>
        <v>2|7|Kristen|spotify:track:73kIKvg65QWieOKXIwyLJP</v>
      </c>
    </row>
    <row r="1040" customFormat="false" ht="15" hidden="false" customHeight="false" outlineLevel="0" collapsed="false">
      <c r="A1040" s="5" t="n">
        <v>2</v>
      </c>
      <c r="B1040" s="5" t="n">
        <v>7</v>
      </c>
      <c r="C1040" s="5" t="s">
        <v>106</v>
      </c>
      <c r="D1040" s="5" t="s">
        <v>641</v>
      </c>
      <c r="E1040" s="5" t="n">
        <v>2</v>
      </c>
      <c r="F1040" s="6" t="n">
        <f aca="false">IFERROR(MATCH(A1040&amp;"|"&amp;B1040&amp;"|"&amp;D1040,'All Song Rankings'!$T:$T,0),0)</f>
        <v>177</v>
      </c>
      <c r="G1040" s="6" t="str">
        <f aca="false">IF(F1040=0,"NOT FOUND",INDEX('All Song Rankings'!$A:$A,F1040))</f>
        <v>FourFiveSeconds</v>
      </c>
      <c r="H1040" s="6" t="str">
        <f aca="false">IF(F1040=0,"NOT FOUND",INDEX('All Song Rankings'!$B:$B,F1040))</f>
        <v>Rihanna</v>
      </c>
      <c r="I1040" s="6" t="str">
        <f aca="false">IF(F1040=0,"NOT FOUND",INDEX('All Song Rankings'!$D:$D,F1040))</f>
        <v>Grace</v>
      </c>
      <c r="J1040" s="7" t="str">
        <f aca="false">IF(F1040=0,"NOT FOUND",IF(C1040=I1040,"SELF-VOTE",IF(COUNTIF($K:$K,K1040)&gt;1,"DUPLICATE","OK")))</f>
        <v>OK</v>
      </c>
      <c r="K1040" s="6" t="str">
        <f aca="false">A1040&amp;"|"&amp;B1040&amp;"|"&amp;C1040&amp;"|"&amp;D1040</f>
        <v>2|7|Kristen|spotify:track:78TTtXnFQPzwqlbtbwqN0y</v>
      </c>
    </row>
    <row r="1041" customFormat="false" ht="15" hidden="false" customHeight="false" outlineLevel="0" collapsed="false">
      <c r="A1041" s="5" t="n">
        <v>2</v>
      </c>
      <c r="B1041" s="5" t="n">
        <v>7</v>
      </c>
      <c r="C1041" s="5" t="s">
        <v>106</v>
      </c>
      <c r="D1041" s="5" t="s">
        <v>625</v>
      </c>
      <c r="E1041" s="5" t="n">
        <v>2</v>
      </c>
      <c r="F1041" s="6" t="n">
        <f aca="false">IFERROR(MATCH(A1041&amp;"|"&amp;B1041&amp;"|"&amp;D1041,'All Song Rankings'!$T:$T,0),0)</f>
        <v>172</v>
      </c>
      <c r="G1041" s="6" t="str">
        <f aca="false">IF(F1041=0,"NOT FOUND",INDEX('All Song Rankings'!$A:$A,F1041))</f>
        <v>BLOW (with Chris Stapleton &amp; Bruno Mars)</v>
      </c>
      <c r="H1041" s="6" t="str">
        <f aca="false">IF(F1041=0,"NOT FOUND",INDEX('All Song Rankings'!$B:$B,F1041))</f>
        <v>Ed Sheeran</v>
      </c>
      <c r="I1041" s="6" t="str">
        <f aca="false">IF(F1041=0,"NOT FOUND",INDEX('All Song Rankings'!$D:$D,F1041))</f>
        <v>Stephanie</v>
      </c>
      <c r="J1041" s="7" t="str">
        <f aca="false">IF(F1041=0,"NOT FOUND",IF(C1041=I1041,"SELF-VOTE",IF(COUNTIF($K:$K,K1041)&gt;1,"DUPLICATE","OK")))</f>
        <v>OK</v>
      </c>
      <c r="K1041" s="6" t="str">
        <f aca="false">A1041&amp;"|"&amp;B1041&amp;"|"&amp;C1041&amp;"|"&amp;D1041</f>
        <v>2|7|Kristen|spotify:track:7hvO2qCwJVZxiyoA7c9i5d</v>
      </c>
    </row>
    <row r="1042" customFormat="false" ht="15" hidden="false" customHeight="false" outlineLevel="0" collapsed="false">
      <c r="A1042" s="5" t="n">
        <v>2</v>
      </c>
      <c r="B1042" s="5" t="n">
        <v>7</v>
      </c>
      <c r="C1042" s="5" t="s">
        <v>119</v>
      </c>
      <c r="D1042" s="5" t="s">
        <v>628</v>
      </c>
      <c r="E1042" s="5" t="n">
        <v>2</v>
      </c>
      <c r="F1042" s="6" t="n">
        <f aca="false">IFERROR(MATCH(A1042&amp;"|"&amp;B1042&amp;"|"&amp;D1042,'All Song Rankings'!$T:$T,0),0)</f>
        <v>173</v>
      </c>
      <c r="G1042" s="6" t="str">
        <f aca="false">IF(F1042=0,"NOT FOUND",INDEX('All Song Rankings'!$A:$A,F1042))</f>
        <v>Over And Over</v>
      </c>
      <c r="H1042" s="6" t="str">
        <f aca="false">IF(F1042=0,"NOT FOUND",INDEX('All Song Rankings'!$B:$B,F1042))</f>
        <v>Nelly</v>
      </c>
      <c r="I1042" s="6" t="str">
        <f aca="false">IF(F1042=0,"NOT FOUND",INDEX('All Song Rankings'!$D:$D,F1042))</f>
        <v>Makenzie</v>
      </c>
      <c r="J1042" s="7" t="str">
        <f aca="false">IF(F1042=0,"NOT FOUND",IF(C1042=I1042,"SELF-VOTE",IF(COUNTIF($K:$K,K1042)&gt;1,"DUPLICATE","OK")))</f>
        <v>OK</v>
      </c>
      <c r="K1042" s="6" t="str">
        <f aca="false">A1042&amp;"|"&amp;B1042&amp;"|"&amp;C1042&amp;"|"&amp;D1042</f>
        <v>2|7|Leah|spotify:track:2b8QQqf8Vwb7bfz22ja8Fk</v>
      </c>
    </row>
    <row r="1043" customFormat="false" ht="15" hidden="false" customHeight="false" outlineLevel="0" collapsed="false">
      <c r="A1043" s="5" t="n">
        <v>2</v>
      </c>
      <c r="B1043" s="5" t="n">
        <v>7</v>
      </c>
      <c r="C1043" s="5" t="s">
        <v>119</v>
      </c>
      <c r="D1043" s="5" t="s">
        <v>638</v>
      </c>
      <c r="E1043" s="5" t="n">
        <v>2</v>
      </c>
      <c r="F1043" s="6" t="n">
        <f aca="false">IFERROR(MATCH(A1043&amp;"|"&amp;B1043&amp;"|"&amp;D1043,'All Song Rankings'!$T:$T,0),0)</f>
        <v>176</v>
      </c>
      <c r="G1043" s="6" t="str">
        <f aca="false">IF(F1043=0,"NOT FOUND",INDEX('All Song Rankings'!$A:$A,F1043))</f>
        <v>cliché - Jonas Brothers remix</v>
      </c>
      <c r="H1043" s="6" t="str">
        <f aca="false">IF(F1043=0,"NOT FOUND",INDEX('All Song Rankings'!$B:$B,F1043))</f>
        <v>mgk</v>
      </c>
      <c r="I1043" s="6" t="str">
        <f aca="false">IF(F1043=0,"NOT FOUND",INDEX('All Song Rankings'!$D:$D,F1043))</f>
        <v>Colleen</v>
      </c>
      <c r="J1043" s="7" t="str">
        <f aca="false">IF(F1043=0,"NOT FOUND",IF(C1043=I1043,"SELF-VOTE",IF(COUNTIF($K:$K,K1043)&gt;1,"DUPLICATE","OK")))</f>
        <v>OK</v>
      </c>
      <c r="K1043" s="6" t="str">
        <f aca="false">A1043&amp;"|"&amp;B1043&amp;"|"&amp;C1043&amp;"|"&amp;D1043</f>
        <v>2|7|Leah|spotify:track:3sqySB5Pxon72vDIdduez4</v>
      </c>
    </row>
    <row r="1044" customFormat="false" ht="15" hidden="false" customHeight="false" outlineLevel="0" collapsed="false">
      <c r="A1044" s="5" t="n">
        <v>2</v>
      </c>
      <c r="B1044" s="5" t="n">
        <v>7</v>
      </c>
      <c r="C1044" s="5" t="s">
        <v>119</v>
      </c>
      <c r="D1044" s="5" t="s">
        <v>618</v>
      </c>
      <c r="E1044" s="5" t="n">
        <v>1</v>
      </c>
      <c r="F1044" s="6" t="n">
        <f aca="false">IFERROR(MATCH(A1044&amp;"|"&amp;B1044&amp;"|"&amp;D1044,'All Song Rankings'!$T:$T,0),0)</f>
        <v>169</v>
      </c>
      <c r="G1044" s="6" t="str">
        <f aca="false">IF(F1044=0,"NOT FOUND",INDEX('All Song Rankings'!$A:$A,F1044))</f>
        <v>Pour Me A Drink (Feat. Blake Shelton)</v>
      </c>
      <c r="H1044" s="6" t="str">
        <f aca="false">IF(F1044=0,"NOT FOUND",INDEX('All Song Rankings'!$B:$B,F1044))</f>
        <v>Post Malone</v>
      </c>
      <c r="I1044" s="6" t="str">
        <f aca="false">IF(F1044=0,"NOT FOUND",INDEX('All Song Rankings'!$D:$D,F1044))</f>
        <v>Kelsey</v>
      </c>
      <c r="J1044" s="7" t="str">
        <f aca="false">IF(F1044=0,"NOT FOUND",IF(C1044=I1044,"SELF-VOTE",IF(COUNTIF($K:$K,K1044)&gt;1,"DUPLICATE","OK")))</f>
        <v>OK</v>
      </c>
      <c r="K1044" s="6" t="str">
        <f aca="false">A1044&amp;"|"&amp;B1044&amp;"|"&amp;C1044&amp;"|"&amp;D1044</f>
        <v>2|7|Leah|spotify:track:5ZLL6wYXeqg0k35ZkDRfhZ</v>
      </c>
    </row>
    <row r="1045" customFormat="false" ht="15" hidden="false" customHeight="false" outlineLevel="0" collapsed="false">
      <c r="A1045" s="5" t="n">
        <v>2</v>
      </c>
      <c r="B1045" s="5" t="n">
        <v>7</v>
      </c>
      <c r="C1045" s="5" t="s">
        <v>119</v>
      </c>
      <c r="D1045" s="5" t="s">
        <v>612</v>
      </c>
      <c r="E1045" s="5" t="n">
        <v>1</v>
      </c>
      <c r="F1045" s="6" t="n">
        <f aca="false">IFERROR(MATCH(A1045&amp;"|"&amp;B1045&amp;"|"&amp;D1045,'All Song Rankings'!$T:$T,0),0)</f>
        <v>167</v>
      </c>
      <c r="G1045" s="6" t="str">
        <f aca="false">IF(F1045=0,"NOT FOUND",INDEX('All Song Rankings'!$A:$A,F1045))</f>
        <v>Walk This Way (feat. Aerosmith)</v>
      </c>
      <c r="H1045" s="6" t="str">
        <f aca="false">IF(F1045=0,"NOT FOUND",INDEX('All Song Rankings'!$B:$B,F1045))</f>
        <v>Run-D.M.C., Aerosmith</v>
      </c>
      <c r="I1045" s="6" t="str">
        <f aca="false">IF(F1045=0,"NOT FOUND",INDEX('All Song Rankings'!$D:$D,F1045))</f>
        <v>Scott</v>
      </c>
      <c r="J1045" s="7" t="str">
        <f aca="false">IF(F1045=0,"NOT FOUND",IF(C1045=I1045,"SELF-VOTE",IF(COUNTIF($K:$K,K1045)&gt;1,"DUPLICATE","OK")))</f>
        <v>OK</v>
      </c>
      <c r="K1045" s="6" t="str">
        <f aca="false">A1045&amp;"|"&amp;B1045&amp;"|"&amp;C1045&amp;"|"&amp;D1045</f>
        <v>2|7|Leah|spotify:track:6qUEOWqOzu1rLPUPQ1ECpx</v>
      </c>
    </row>
    <row r="1046" customFormat="false" ht="15" hidden="false" customHeight="false" outlineLevel="0" collapsed="false">
      <c r="A1046" s="5" t="n">
        <v>2</v>
      </c>
      <c r="B1046" s="5" t="n">
        <v>7</v>
      </c>
      <c r="C1046" s="5" t="s">
        <v>119</v>
      </c>
      <c r="D1046" s="5" t="s">
        <v>631</v>
      </c>
      <c r="E1046" s="5" t="n">
        <v>2</v>
      </c>
      <c r="F1046" s="6" t="n">
        <f aca="false">IFERROR(MATCH(A1046&amp;"|"&amp;B1046&amp;"|"&amp;D1046,'All Song Rankings'!$T:$T,0),0)</f>
        <v>174</v>
      </c>
      <c r="G1046" s="6" t="str">
        <f aca="false">IF(F1046=0,"NOT FOUND",INDEX('All Song Rankings'!$A:$A,F1046))</f>
        <v>All The Way (feat. Bailey Zimmerman)</v>
      </c>
      <c r="H1046" s="6" t="str">
        <f aca="false">IF(F1046=0,"NOT FOUND",INDEX('All Song Rankings'!$B:$B,F1046))</f>
        <v>BigXthaPlug</v>
      </c>
      <c r="I1046" s="6" t="str">
        <f aca="false">IF(F1046=0,"NOT FOUND",INDEX('All Song Rankings'!$D:$D,F1046))</f>
        <v>Nicole</v>
      </c>
      <c r="J1046" s="7" t="str">
        <f aca="false">IF(F1046=0,"NOT FOUND",IF(C1046=I1046,"SELF-VOTE",IF(COUNTIF($K:$K,K1046)&gt;1,"DUPLICATE","OK")))</f>
        <v>OK</v>
      </c>
      <c r="K1046" s="6" t="str">
        <f aca="false">A1046&amp;"|"&amp;B1046&amp;"|"&amp;C1046&amp;"|"&amp;D1046</f>
        <v>2|7|Leah|spotify:track:73kIKvg65QWieOKXIwyLJP</v>
      </c>
    </row>
    <row r="1047" customFormat="false" ht="15" hidden="false" customHeight="false" outlineLevel="0" collapsed="false">
      <c r="A1047" s="5" t="n">
        <v>2</v>
      </c>
      <c r="B1047" s="5" t="n">
        <v>7</v>
      </c>
      <c r="C1047" s="5" t="s">
        <v>119</v>
      </c>
      <c r="D1047" s="5" t="s">
        <v>625</v>
      </c>
      <c r="E1047" s="5" t="n">
        <v>2</v>
      </c>
      <c r="F1047" s="6" t="n">
        <f aca="false">IFERROR(MATCH(A1047&amp;"|"&amp;B1047&amp;"|"&amp;D1047,'All Song Rankings'!$T:$T,0),0)</f>
        <v>172</v>
      </c>
      <c r="G1047" s="6" t="str">
        <f aca="false">IF(F1047=0,"NOT FOUND",INDEX('All Song Rankings'!$A:$A,F1047))</f>
        <v>BLOW (with Chris Stapleton &amp; Bruno Mars)</v>
      </c>
      <c r="H1047" s="6" t="str">
        <f aca="false">IF(F1047=0,"NOT FOUND",INDEX('All Song Rankings'!$B:$B,F1047))</f>
        <v>Ed Sheeran</v>
      </c>
      <c r="I1047" s="6" t="str">
        <f aca="false">IF(F1047=0,"NOT FOUND",INDEX('All Song Rankings'!$D:$D,F1047))</f>
        <v>Stephanie</v>
      </c>
      <c r="J1047" s="7" t="str">
        <f aca="false">IF(F1047=0,"NOT FOUND",IF(C1047=I1047,"SELF-VOTE",IF(COUNTIF($K:$K,K1047)&gt;1,"DUPLICATE","OK")))</f>
        <v>OK</v>
      </c>
      <c r="K1047" s="6" t="str">
        <f aca="false">A1047&amp;"|"&amp;B1047&amp;"|"&amp;C1047&amp;"|"&amp;D1047</f>
        <v>2|7|Leah|spotify:track:7hvO2qCwJVZxiyoA7c9i5d</v>
      </c>
    </row>
    <row r="1048" customFormat="false" ht="15" hidden="false" customHeight="false" outlineLevel="0" collapsed="false">
      <c r="A1048" s="5" t="n">
        <v>2</v>
      </c>
      <c r="B1048" s="5" t="n">
        <v>7</v>
      </c>
      <c r="C1048" s="5" t="s">
        <v>128</v>
      </c>
      <c r="D1048" s="5" t="s">
        <v>615</v>
      </c>
      <c r="E1048" s="5" t="n">
        <v>3</v>
      </c>
      <c r="F1048" s="6" t="n">
        <f aca="false">IFERROR(MATCH(A1048&amp;"|"&amp;B1048&amp;"|"&amp;D1048,'All Song Rankings'!$T:$T,0),0)</f>
        <v>168</v>
      </c>
      <c r="G1048" s="6" t="str">
        <f aca="false">IF(F1048=0,"NOT FOUND",INDEX('All Song Rankings'!$A:$A,F1048))</f>
        <v>My Only Angel</v>
      </c>
      <c r="H1048" s="6" t="str">
        <f aca="false">IF(F1048=0,"NOT FOUND",INDEX('All Song Rankings'!$B:$B,F1048))</f>
        <v>Aerosmith</v>
      </c>
      <c r="I1048" s="6" t="str">
        <f aca="false">IF(F1048=0,"NOT FOUND",INDEX('All Song Rankings'!$D:$D,F1048))</f>
        <v>Leah</v>
      </c>
      <c r="J1048" s="7" t="str">
        <f aca="false">IF(F1048=0,"NOT FOUND",IF(C1048=I1048,"SELF-VOTE",IF(COUNTIF($K:$K,K1048)&gt;1,"DUPLICATE","OK")))</f>
        <v>OK</v>
      </c>
      <c r="K1048" s="6" t="str">
        <f aca="false">A1048&amp;"|"&amp;B1048&amp;"|"&amp;C1048&amp;"|"&amp;D1048</f>
        <v>2|7|Logan|spotify:track:0A7f6oQxCkzzRMA3oaTqaU</v>
      </c>
    </row>
    <row r="1049" customFormat="false" ht="15" hidden="false" customHeight="false" outlineLevel="0" collapsed="false">
      <c r="A1049" s="5" t="n">
        <v>2</v>
      </c>
      <c r="B1049" s="5" t="n">
        <v>7</v>
      </c>
      <c r="C1049" s="5" t="s">
        <v>128</v>
      </c>
      <c r="D1049" s="5" t="s">
        <v>623</v>
      </c>
      <c r="E1049" s="5" t="n">
        <v>2</v>
      </c>
      <c r="F1049" s="6" t="n">
        <f aca="false">IFERROR(MATCH(A1049&amp;"|"&amp;B1049&amp;"|"&amp;D1049,'All Song Rankings'!$T:$T,0),0)</f>
        <v>171</v>
      </c>
      <c r="G1049" s="6" t="str">
        <f aca="false">IF(F1049=0,"NOT FOUND",INDEX('All Song Rankings'!$A:$A,F1049))</f>
        <v>LEVII'S JEANS</v>
      </c>
      <c r="H1049" s="6" t="str">
        <f aca="false">IF(F1049=0,"NOT FOUND",INDEX('All Song Rankings'!$B:$B,F1049))</f>
        <v>Beyoncé</v>
      </c>
      <c r="I1049" s="6" t="str">
        <f aca="false">IF(F1049=0,"NOT FOUND",INDEX('All Song Rankings'!$D:$D,F1049))</f>
        <v>Matt</v>
      </c>
      <c r="J1049" s="7" t="str">
        <f aca="false">IF(F1049=0,"NOT FOUND",IF(C1049=I1049,"SELF-VOTE",IF(COUNTIF($K:$K,K1049)&gt;1,"DUPLICATE","OK")))</f>
        <v>OK</v>
      </c>
      <c r="K1049" s="6" t="str">
        <f aca="false">A1049&amp;"|"&amp;B1049&amp;"|"&amp;C1049&amp;"|"&amp;D1049</f>
        <v>2|7|Logan|spotify:track:2UDARQiksl207HcSduDpov</v>
      </c>
    </row>
    <row r="1050" customFormat="false" ht="15" hidden="false" customHeight="false" outlineLevel="0" collapsed="false">
      <c r="A1050" s="5" t="n">
        <v>2</v>
      </c>
      <c r="B1050" s="5" t="n">
        <v>7</v>
      </c>
      <c r="C1050" s="5" t="s">
        <v>128</v>
      </c>
      <c r="D1050" s="5" t="s">
        <v>644</v>
      </c>
      <c r="E1050" s="5" t="n">
        <v>1</v>
      </c>
      <c r="F1050" s="6" t="n">
        <f aca="false">IFERROR(MATCH(A1050&amp;"|"&amp;B1050&amp;"|"&amp;D1050,'All Song Rankings'!$T:$T,0),0)</f>
        <v>178</v>
      </c>
      <c r="G1050" s="6" t="str">
        <f aca="false">IF(F1050=0,"NOT FOUND",INDEX('All Song Rankings'!$A:$A,F1050))</f>
        <v>The Kiss Of Venus (Dominic Fike)</v>
      </c>
      <c r="H1050" s="6" t="str">
        <f aca="false">IF(F1050=0,"NOT FOUND",INDEX('All Song Rankings'!$B:$B,F1050))</f>
        <v>Paul McCartney</v>
      </c>
      <c r="I1050" s="6" t="str">
        <f aca="false">IF(F1050=0,"NOT FOUND",INDEX('All Song Rankings'!$D:$D,F1050))</f>
        <v>Merita</v>
      </c>
      <c r="J1050" s="7" t="str">
        <f aca="false">IF(F1050=0,"NOT FOUND",IF(C1050=I1050,"SELF-VOTE",IF(COUNTIF($K:$K,K1050)&gt;1,"DUPLICATE","OK")))</f>
        <v>OK</v>
      </c>
      <c r="K1050" s="6" t="str">
        <f aca="false">A1050&amp;"|"&amp;B1050&amp;"|"&amp;C1050&amp;"|"&amp;D1050</f>
        <v>2|7|Logan|spotify:track:3gCYle76USfbHa7VDTDg5V</v>
      </c>
    </row>
    <row r="1051" customFormat="false" ht="15" hidden="false" customHeight="false" outlineLevel="0" collapsed="false">
      <c r="A1051" s="5" t="n">
        <v>2</v>
      </c>
      <c r="B1051" s="5" t="n">
        <v>7</v>
      </c>
      <c r="C1051" s="5" t="s">
        <v>128</v>
      </c>
      <c r="D1051" s="5" t="s">
        <v>618</v>
      </c>
      <c r="E1051" s="5" t="n">
        <v>1</v>
      </c>
      <c r="F1051" s="6" t="n">
        <f aca="false">IFERROR(MATCH(A1051&amp;"|"&amp;B1051&amp;"|"&amp;D1051,'All Song Rankings'!$T:$T,0),0)</f>
        <v>169</v>
      </c>
      <c r="G1051" s="6" t="str">
        <f aca="false">IF(F1051=0,"NOT FOUND",INDEX('All Song Rankings'!$A:$A,F1051))</f>
        <v>Pour Me A Drink (Feat. Blake Shelton)</v>
      </c>
      <c r="H1051" s="6" t="str">
        <f aca="false">IF(F1051=0,"NOT FOUND",INDEX('All Song Rankings'!$B:$B,F1051))</f>
        <v>Post Malone</v>
      </c>
      <c r="I1051" s="6" t="str">
        <f aca="false">IF(F1051=0,"NOT FOUND",INDEX('All Song Rankings'!$D:$D,F1051))</f>
        <v>Kelsey</v>
      </c>
      <c r="J1051" s="7" t="str">
        <f aca="false">IF(F1051=0,"NOT FOUND",IF(C1051=I1051,"SELF-VOTE",IF(COUNTIF($K:$K,K1051)&gt;1,"DUPLICATE","OK")))</f>
        <v>OK</v>
      </c>
      <c r="K1051" s="6" t="str">
        <f aca="false">A1051&amp;"|"&amp;B1051&amp;"|"&amp;C1051&amp;"|"&amp;D1051</f>
        <v>2|7|Logan|spotify:track:5ZLL6wYXeqg0k35ZkDRfhZ</v>
      </c>
    </row>
    <row r="1052" customFormat="false" ht="15" hidden="false" customHeight="false" outlineLevel="0" collapsed="false">
      <c r="A1052" s="5" t="n">
        <v>2</v>
      </c>
      <c r="B1052" s="5" t="n">
        <v>7</v>
      </c>
      <c r="C1052" s="5" t="s">
        <v>128</v>
      </c>
      <c r="D1052" s="5" t="s">
        <v>612</v>
      </c>
      <c r="E1052" s="5" t="n">
        <v>2</v>
      </c>
      <c r="F1052" s="6" t="n">
        <f aca="false">IFERROR(MATCH(A1052&amp;"|"&amp;B1052&amp;"|"&amp;D1052,'All Song Rankings'!$T:$T,0),0)</f>
        <v>167</v>
      </c>
      <c r="G1052" s="6" t="str">
        <f aca="false">IF(F1052=0,"NOT FOUND",INDEX('All Song Rankings'!$A:$A,F1052))</f>
        <v>Walk This Way (feat. Aerosmith)</v>
      </c>
      <c r="H1052" s="6" t="str">
        <f aca="false">IF(F1052=0,"NOT FOUND",INDEX('All Song Rankings'!$B:$B,F1052))</f>
        <v>Run-D.M.C., Aerosmith</v>
      </c>
      <c r="I1052" s="6" t="str">
        <f aca="false">IF(F1052=0,"NOT FOUND",INDEX('All Song Rankings'!$D:$D,F1052))</f>
        <v>Scott</v>
      </c>
      <c r="J1052" s="7" t="str">
        <f aca="false">IF(F1052=0,"NOT FOUND",IF(C1052=I1052,"SELF-VOTE",IF(COUNTIF($K:$K,K1052)&gt;1,"DUPLICATE","OK")))</f>
        <v>OK</v>
      </c>
      <c r="K1052" s="6" t="str">
        <f aca="false">A1052&amp;"|"&amp;B1052&amp;"|"&amp;C1052&amp;"|"&amp;D1052</f>
        <v>2|7|Logan|spotify:track:6qUEOWqOzu1rLPUPQ1ECpx</v>
      </c>
    </row>
    <row r="1053" customFormat="false" ht="15" hidden="false" customHeight="false" outlineLevel="0" collapsed="false">
      <c r="A1053" s="5" t="n">
        <v>2</v>
      </c>
      <c r="B1053" s="5" t="n">
        <v>7</v>
      </c>
      <c r="C1053" s="5" t="s">
        <v>128</v>
      </c>
      <c r="D1053" s="5" t="s">
        <v>625</v>
      </c>
      <c r="E1053" s="5" t="n">
        <v>1</v>
      </c>
      <c r="F1053" s="6" t="n">
        <f aca="false">IFERROR(MATCH(A1053&amp;"|"&amp;B1053&amp;"|"&amp;D1053,'All Song Rankings'!$T:$T,0),0)</f>
        <v>172</v>
      </c>
      <c r="G1053" s="6" t="str">
        <f aca="false">IF(F1053=0,"NOT FOUND",INDEX('All Song Rankings'!$A:$A,F1053))</f>
        <v>BLOW (with Chris Stapleton &amp; Bruno Mars)</v>
      </c>
      <c r="H1053" s="6" t="str">
        <f aca="false">IF(F1053=0,"NOT FOUND",INDEX('All Song Rankings'!$B:$B,F1053))</f>
        <v>Ed Sheeran</v>
      </c>
      <c r="I1053" s="6" t="str">
        <f aca="false">IF(F1053=0,"NOT FOUND",INDEX('All Song Rankings'!$D:$D,F1053))</f>
        <v>Stephanie</v>
      </c>
      <c r="J1053" s="7" t="str">
        <f aca="false">IF(F1053=0,"NOT FOUND",IF(C1053=I1053,"SELF-VOTE",IF(COUNTIF($K:$K,K1053)&gt;1,"DUPLICATE","OK")))</f>
        <v>OK</v>
      </c>
      <c r="K1053" s="6" t="str">
        <f aca="false">A1053&amp;"|"&amp;B1053&amp;"|"&amp;C1053&amp;"|"&amp;D1053</f>
        <v>2|7|Logan|spotify:track:7hvO2qCwJVZxiyoA7c9i5d</v>
      </c>
    </row>
    <row r="1054" customFormat="false" ht="15" hidden="false" customHeight="false" outlineLevel="0" collapsed="false">
      <c r="A1054" s="5" t="n">
        <v>2</v>
      </c>
      <c r="B1054" s="5" t="n">
        <v>7</v>
      </c>
      <c r="C1054" s="5" t="s">
        <v>395</v>
      </c>
      <c r="D1054" s="5" t="s">
        <v>638</v>
      </c>
      <c r="E1054" s="5" t="n">
        <v>4</v>
      </c>
      <c r="F1054" s="6" t="n">
        <f aca="false">IFERROR(MATCH(A1054&amp;"|"&amp;B1054&amp;"|"&amp;D1054,'All Song Rankings'!$T:$T,0),0)</f>
        <v>176</v>
      </c>
      <c r="G1054" s="6" t="str">
        <f aca="false">IF(F1054=0,"NOT FOUND",INDEX('All Song Rankings'!$A:$A,F1054))</f>
        <v>cliché - Jonas Brothers remix</v>
      </c>
      <c r="H1054" s="6" t="str">
        <f aca="false">IF(F1054=0,"NOT FOUND",INDEX('All Song Rankings'!$B:$B,F1054))</f>
        <v>mgk</v>
      </c>
      <c r="I1054" s="6" t="str">
        <f aca="false">IF(F1054=0,"NOT FOUND",INDEX('All Song Rankings'!$D:$D,F1054))</f>
        <v>Colleen</v>
      </c>
      <c r="J1054" s="7" t="str">
        <f aca="false">IF(F1054=0,"NOT FOUND",IF(C1054=I1054,"SELF-VOTE",IF(COUNTIF($K:$K,K1054)&gt;1,"DUPLICATE","OK")))</f>
        <v>OK</v>
      </c>
      <c r="K1054" s="6" t="str">
        <f aca="false">A1054&amp;"|"&amp;B1054&amp;"|"&amp;C1054&amp;"|"&amp;D1054</f>
        <v>2|7|Makenzie|spotify:track:3sqySB5Pxon72vDIdduez4</v>
      </c>
    </row>
    <row r="1055" customFormat="false" ht="15" hidden="false" customHeight="false" outlineLevel="0" collapsed="false">
      <c r="A1055" s="5" t="n">
        <v>2</v>
      </c>
      <c r="B1055" s="5" t="n">
        <v>7</v>
      </c>
      <c r="C1055" s="5" t="s">
        <v>395</v>
      </c>
      <c r="D1055" s="5" t="s">
        <v>618</v>
      </c>
      <c r="E1055" s="5" t="n">
        <v>4</v>
      </c>
      <c r="F1055" s="6" t="n">
        <f aca="false">IFERROR(MATCH(A1055&amp;"|"&amp;B1055&amp;"|"&amp;D1055,'All Song Rankings'!$T:$T,0),0)</f>
        <v>169</v>
      </c>
      <c r="G1055" s="6" t="str">
        <f aca="false">IF(F1055=0,"NOT FOUND",INDEX('All Song Rankings'!$A:$A,F1055))</f>
        <v>Pour Me A Drink (Feat. Blake Shelton)</v>
      </c>
      <c r="H1055" s="6" t="str">
        <f aca="false">IF(F1055=0,"NOT FOUND",INDEX('All Song Rankings'!$B:$B,F1055))</f>
        <v>Post Malone</v>
      </c>
      <c r="I1055" s="6" t="str">
        <f aca="false">IF(F1055=0,"NOT FOUND",INDEX('All Song Rankings'!$D:$D,F1055))</f>
        <v>Kelsey</v>
      </c>
      <c r="J1055" s="7" t="str">
        <f aca="false">IF(F1055=0,"NOT FOUND",IF(C1055=I1055,"SELF-VOTE",IF(COUNTIF($K:$K,K1055)&gt;1,"DUPLICATE","OK")))</f>
        <v>OK</v>
      </c>
      <c r="K1055" s="6" t="str">
        <f aca="false">A1055&amp;"|"&amp;B1055&amp;"|"&amp;C1055&amp;"|"&amp;D1055</f>
        <v>2|7|Makenzie|spotify:track:5ZLL6wYXeqg0k35ZkDRfhZ</v>
      </c>
    </row>
    <row r="1056" customFormat="false" ht="15" hidden="false" customHeight="false" outlineLevel="0" collapsed="false">
      <c r="A1056" s="5" t="n">
        <v>2</v>
      </c>
      <c r="B1056" s="5" t="n">
        <v>7</v>
      </c>
      <c r="C1056" s="5" t="s">
        <v>395</v>
      </c>
      <c r="D1056" s="5" t="s">
        <v>612</v>
      </c>
      <c r="E1056" s="5" t="n">
        <v>2</v>
      </c>
      <c r="F1056" s="6" t="n">
        <f aca="false">IFERROR(MATCH(A1056&amp;"|"&amp;B1056&amp;"|"&amp;D1056,'All Song Rankings'!$T:$T,0),0)</f>
        <v>167</v>
      </c>
      <c r="G1056" s="6" t="str">
        <f aca="false">IF(F1056=0,"NOT FOUND",INDEX('All Song Rankings'!$A:$A,F1056))</f>
        <v>Walk This Way (feat. Aerosmith)</v>
      </c>
      <c r="H1056" s="6" t="str">
        <f aca="false">IF(F1056=0,"NOT FOUND",INDEX('All Song Rankings'!$B:$B,F1056))</f>
        <v>Run-D.M.C., Aerosmith</v>
      </c>
      <c r="I1056" s="6" t="str">
        <f aca="false">IF(F1056=0,"NOT FOUND",INDEX('All Song Rankings'!$D:$D,F1056))</f>
        <v>Scott</v>
      </c>
      <c r="J1056" s="7" t="str">
        <f aca="false">IF(F1056=0,"NOT FOUND",IF(C1056=I1056,"SELF-VOTE",IF(COUNTIF($K:$K,K1056)&gt;1,"DUPLICATE","OK")))</f>
        <v>OK</v>
      </c>
      <c r="K1056" s="6" t="str">
        <f aca="false">A1056&amp;"|"&amp;B1056&amp;"|"&amp;C1056&amp;"|"&amp;D1056</f>
        <v>2|7|Makenzie|spotify:track:6qUEOWqOzu1rLPUPQ1ECpx</v>
      </c>
    </row>
    <row r="1057" customFormat="false" ht="15" hidden="false" customHeight="false" outlineLevel="0" collapsed="false">
      <c r="A1057" s="5" t="n">
        <v>2</v>
      </c>
      <c r="B1057" s="5" t="n">
        <v>7</v>
      </c>
      <c r="C1057" s="5" t="s">
        <v>116</v>
      </c>
      <c r="D1057" s="5" t="s">
        <v>615</v>
      </c>
      <c r="E1057" s="5" t="n">
        <v>1</v>
      </c>
      <c r="F1057" s="6" t="n">
        <f aca="false">IFERROR(MATCH(A1057&amp;"|"&amp;B1057&amp;"|"&amp;D1057,'All Song Rankings'!$T:$T,0),0)</f>
        <v>168</v>
      </c>
      <c r="G1057" s="6" t="str">
        <f aca="false">IF(F1057=0,"NOT FOUND",INDEX('All Song Rankings'!$A:$A,F1057))</f>
        <v>My Only Angel</v>
      </c>
      <c r="H1057" s="6" t="str">
        <f aca="false">IF(F1057=0,"NOT FOUND",INDEX('All Song Rankings'!$B:$B,F1057))</f>
        <v>Aerosmith</v>
      </c>
      <c r="I1057" s="6" t="str">
        <f aca="false">IF(F1057=0,"NOT FOUND",INDEX('All Song Rankings'!$D:$D,F1057))</f>
        <v>Leah</v>
      </c>
      <c r="J1057" s="7" t="str">
        <f aca="false">IF(F1057=0,"NOT FOUND",IF(C1057=I1057,"SELF-VOTE",IF(COUNTIF($K:$K,K1057)&gt;1,"DUPLICATE","OK")))</f>
        <v>OK</v>
      </c>
      <c r="K1057" s="6" t="str">
        <f aca="false">A1057&amp;"|"&amp;B1057&amp;"|"&amp;C1057&amp;"|"&amp;D1057</f>
        <v>2|7|Matt|spotify:track:0A7f6oQxCkzzRMA3oaTqaU</v>
      </c>
    </row>
    <row r="1058" customFormat="false" ht="15" hidden="false" customHeight="false" outlineLevel="0" collapsed="false">
      <c r="A1058" s="5" t="n">
        <v>2</v>
      </c>
      <c r="B1058" s="5" t="n">
        <v>7</v>
      </c>
      <c r="C1058" s="5" t="s">
        <v>116</v>
      </c>
      <c r="D1058" s="5" t="s">
        <v>628</v>
      </c>
      <c r="E1058" s="5" t="n">
        <v>1</v>
      </c>
      <c r="F1058" s="6" t="n">
        <f aca="false">IFERROR(MATCH(A1058&amp;"|"&amp;B1058&amp;"|"&amp;D1058,'All Song Rankings'!$T:$T,0),0)</f>
        <v>173</v>
      </c>
      <c r="G1058" s="6" t="str">
        <f aca="false">IF(F1058=0,"NOT FOUND",INDEX('All Song Rankings'!$A:$A,F1058))</f>
        <v>Over And Over</v>
      </c>
      <c r="H1058" s="6" t="str">
        <f aca="false">IF(F1058=0,"NOT FOUND",INDEX('All Song Rankings'!$B:$B,F1058))</f>
        <v>Nelly</v>
      </c>
      <c r="I1058" s="6" t="str">
        <f aca="false">IF(F1058=0,"NOT FOUND",INDEX('All Song Rankings'!$D:$D,F1058))</f>
        <v>Makenzie</v>
      </c>
      <c r="J1058" s="7" t="str">
        <f aca="false">IF(F1058=0,"NOT FOUND",IF(C1058=I1058,"SELF-VOTE",IF(COUNTIF($K:$K,K1058)&gt;1,"DUPLICATE","OK")))</f>
        <v>OK</v>
      </c>
      <c r="K1058" s="6" t="str">
        <f aca="false">A1058&amp;"|"&amp;B1058&amp;"|"&amp;C1058&amp;"|"&amp;D1058</f>
        <v>2|7|Matt|spotify:track:2b8QQqf8Vwb7bfz22ja8Fk</v>
      </c>
    </row>
    <row r="1059" customFormat="false" ht="15" hidden="false" customHeight="false" outlineLevel="0" collapsed="false">
      <c r="A1059" s="5" t="n">
        <v>2</v>
      </c>
      <c r="B1059" s="5" t="n">
        <v>7</v>
      </c>
      <c r="C1059" s="5" t="s">
        <v>116</v>
      </c>
      <c r="D1059" s="5" t="s">
        <v>644</v>
      </c>
      <c r="E1059" s="5" t="n">
        <v>1</v>
      </c>
      <c r="F1059" s="6" t="n">
        <f aca="false">IFERROR(MATCH(A1059&amp;"|"&amp;B1059&amp;"|"&amp;D1059,'All Song Rankings'!$T:$T,0),0)</f>
        <v>178</v>
      </c>
      <c r="G1059" s="6" t="str">
        <f aca="false">IF(F1059=0,"NOT FOUND",INDEX('All Song Rankings'!$A:$A,F1059))</f>
        <v>The Kiss Of Venus (Dominic Fike)</v>
      </c>
      <c r="H1059" s="6" t="str">
        <f aca="false">IF(F1059=0,"NOT FOUND",INDEX('All Song Rankings'!$B:$B,F1059))</f>
        <v>Paul McCartney</v>
      </c>
      <c r="I1059" s="6" t="str">
        <f aca="false">IF(F1059=0,"NOT FOUND",INDEX('All Song Rankings'!$D:$D,F1059))</f>
        <v>Merita</v>
      </c>
      <c r="J1059" s="7" t="str">
        <f aca="false">IF(F1059=0,"NOT FOUND",IF(C1059=I1059,"SELF-VOTE",IF(COUNTIF($K:$K,K1059)&gt;1,"DUPLICATE","OK")))</f>
        <v>OK</v>
      </c>
      <c r="K1059" s="6" t="str">
        <f aca="false">A1059&amp;"|"&amp;B1059&amp;"|"&amp;C1059&amp;"|"&amp;D1059</f>
        <v>2|7|Matt|spotify:track:3gCYle76USfbHa7VDTDg5V</v>
      </c>
    </row>
    <row r="1060" customFormat="false" ht="15" hidden="false" customHeight="false" outlineLevel="0" collapsed="false">
      <c r="A1060" s="5" t="n">
        <v>2</v>
      </c>
      <c r="B1060" s="5" t="n">
        <v>7</v>
      </c>
      <c r="C1060" s="5" t="s">
        <v>116</v>
      </c>
      <c r="D1060" s="5" t="s">
        <v>638</v>
      </c>
      <c r="E1060" s="5" t="n">
        <v>1</v>
      </c>
      <c r="F1060" s="6" t="n">
        <f aca="false">IFERROR(MATCH(A1060&amp;"|"&amp;B1060&amp;"|"&amp;D1060,'All Song Rankings'!$T:$T,0),0)</f>
        <v>176</v>
      </c>
      <c r="G1060" s="6" t="str">
        <f aca="false">IF(F1060=0,"NOT FOUND",INDEX('All Song Rankings'!$A:$A,F1060))</f>
        <v>cliché - Jonas Brothers remix</v>
      </c>
      <c r="H1060" s="6" t="str">
        <f aca="false">IF(F1060=0,"NOT FOUND",INDEX('All Song Rankings'!$B:$B,F1060))</f>
        <v>mgk</v>
      </c>
      <c r="I1060" s="6" t="str">
        <f aca="false">IF(F1060=0,"NOT FOUND",INDEX('All Song Rankings'!$D:$D,F1060))</f>
        <v>Colleen</v>
      </c>
      <c r="J1060" s="7" t="str">
        <f aca="false">IF(F1060=0,"NOT FOUND",IF(C1060=I1060,"SELF-VOTE",IF(COUNTIF($K:$K,K1060)&gt;1,"DUPLICATE","OK")))</f>
        <v>OK</v>
      </c>
      <c r="K1060" s="6" t="str">
        <f aca="false">A1060&amp;"|"&amp;B1060&amp;"|"&amp;C1060&amp;"|"&amp;D1060</f>
        <v>2|7|Matt|spotify:track:3sqySB5Pxon72vDIdduez4</v>
      </c>
    </row>
    <row r="1061" customFormat="false" ht="15" hidden="false" customHeight="false" outlineLevel="0" collapsed="false">
      <c r="A1061" s="5" t="n">
        <v>2</v>
      </c>
      <c r="B1061" s="5" t="n">
        <v>7</v>
      </c>
      <c r="C1061" s="5" t="s">
        <v>116</v>
      </c>
      <c r="D1061" s="5" t="s">
        <v>618</v>
      </c>
      <c r="E1061" s="5" t="n">
        <v>1</v>
      </c>
      <c r="F1061" s="6" t="n">
        <f aca="false">IFERROR(MATCH(A1061&amp;"|"&amp;B1061&amp;"|"&amp;D1061,'All Song Rankings'!$T:$T,0),0)</f>
        <v>169</v>
      </c>
      <c r="G1061" s="6" t="str">
        <f aca="false">IF(F1061=0,"NOT FOUND",INDEX('All Song Rankings'!$A:$A,F1061))</f>
        <v>Pour Me A Drink (Feat. Blake Shelton)</v>
      </c>
      <c r="H1061" s="6" t="str">
        <f aca="false">IF(F1061=0,"NOT FOUND",INDEX('All Song Rankings'!$B:$B,F1061))</f>
        <v>Post Malone</v>
      </c>
      <c r="I1061" s="6" t="str">
        <f aca="false">IF(F1061=0,"NOT FOUND",INDEX('All Song Rankings'!$D:$D,F1061))</f>
        <v>Kelsey</v>
      </c>
      <c r="J1061" s="7" t="str">
        <f aca="false">IF(F1061=0,"NOT FOUND",IF(C1061=I1061,"SELF-VOTE",IF(COUNTIF($K:$K,K1061)&gt;1,"DUPLICATE","OK")))</f>
        <v>OK</v>
      </c>
      <c r="K1061" s="6" t="str">
        <f aca="false">A1061&amp;"|"&amp;B1061&amp;"|"&amp;C1061&amp;"|"&amp;D1061</f>
        <v>2|7|Matt|spotify:track:5ZLL6wYXeqg0k35ZkDRfhZ</v>
      </c>
    </row>
    <row r="1062" customFormat="false" ht="15" hidden="false" customHeight="false" outlineLevel="0" collapsed="false">
      <c r="A1062" s="5" t="n">
        <v>2</v>
      </c>
      <c r="B1062" s="5" t="n">
        <v>7</v>
      </c>
      <c r="C1062" s="5" t="s">
        <v>116</v>
      </c>
      <c r="D1062" s="5" t="s">
        <v>620</v>
      </c>
      <c r="E1062" s="5" t="n">
        <v>1</v>
      </c>
      <c r="F1062" s="6" t="n">
        <f aca="false">IFERROR(MATCH(A1062&amp;"|"&amp;B1062&amp;"|"&amp;D1062,'All Song Rankings'!$T:$T,0),0)</f>
        <v>170</v>
      </c>
      <c r="G1062" s="6" t="str">
        <f aca="false">IF(F1062=0,"NOT FOUND",INDEX('All Song Rankings'!$A:$A,F1062))</f>
        <v>Bad Blood (feat. Kendrick Lamar) (Taylor's Version)</v>
      </c>
      <c r="H1062" s="6" t="str">
        <f aca="false">IF(F1062=0,"NOT FOUND",INDEX('All Song Rankings'!$B:$B,F1062))</f>
        <v>Taylor Swift</v>
      </c>
      <c r="I1062" s="6" t="str">
        <f aca="false">IF(F1062=0,"NOT FOUND",INDEX('All Song Rankings'!$D:$D,F1062))</f>
        <v>Logan</v>
      </c>
      <c r="J1062" s="7" t="str">
        <f aca="false">IF(F1062=0,"NOT FOUND",IF(C1062=I1062,"SELF-VOTE",IF(COUNTIF($K:$K,K1062)&gt;1,"DUPLICATE","OK")))</f>
        <v>OK</v>
      </c>
      <c r="K1062" s="6" t="str">
        <f aca="false">A1062&amp;"|"&amp;B1062&amp;"|"&amp;C1062&amp;"|"&amp;D1062</f>
        <v>2|7|Matt|spotify:track:6qAcApH8obo8eqatCKUHd9</v>
      </c>
    </row>
    <row r="1063" customFormat="false" ht="15" hidden="false" customHeight="false" outlineLevel="0" collapsed="false">
      <c r="A1063" s="5" t="n">
        <v>2</v>
      </c>
      <c r="B1063" s="5" t="n">
        <v>7</v>
      </c>
      <c r="C1063" s="5" t="s">
        <v>116</v>
      </c>
      <c r="D1063" s="5" t="s">
        <v>612</v>
      </c>
      <c r="E1063" s="5" t="n">
        <v>2</v>
      </c>
      <c r="F1063" s="6" t="n">
        <f aca="false">IFERROR(MATCH(A1063&amp;"|"&amp;B1063&amp;"|"&amp;D1063,'All Song Rankings'!$T:$T,0),0)</f>
        <v>167</v>
      </c>
      <c r="G1063" s="6" t="str">
        <f aca="false">IF(F1063=0,"NOT FOUND",INDEX('All Song Rankings'!$A:$A,F1063))</f>
        <v>Walk This Way (feat. Aerosmith)</v>
      </c>
      <c r="H1063" s="6" t="str">
        <f aca="false">IF(F1063=0,"NOT FOUND",INDEX('All Song Rankings'!$B:$B,F1063))</f>
        <v>Run-D.M.C., Aerosmith</v>
      </c>
      <c r="I1063" s="6" t="str">
        <f aca="false">IF(F1063=0,"NOT FOUND",INDEX('All Song Rankings'!$D:$D,F1063))</f>
        <v>Scott</v>
      </c>
      <c r="J1063" s="7" t="str">
        <f aca="false">IF(F1063=0,"NOT FOUND",IF(C1063=I1063,"SELF-VOTE",IF(COUNTIF($K:$K,K1063)&gt;1,"DUPLICATE","OK")))</f>
        <v>OK</v>
      </c>
      <c r="K1063" s="6" t="str">
        <f aca="false">A1063&amp;"|"&amp;B1063&amp;"|"&amp;C1063&amp;"|"&amp;D1063</f>
        <v>2|7|Matt|spotify:track:6qUEOWqOzu1rLPUPQ1ECpx</v>
      </c>
    </row>
    <row r="1064" customFormat="false" ht="15" hidden="false" customHeight="false" outlineLevel="0" collapsed="false">
      <c r="A1064" s="5" t="n">
        <v>2</v>
      </c>
      <c r="B1064" s="5" t="n">
        <v>7</v>
      </c>
      <c r="C1064" s="5" t="s">
        <v>116</v>
      </c>
      <c r="D1064" s="5" t="s">
        <v>641</v>
      </c>
      <c r="E1064" s="5" t="n">
        <v>1</v>
      </c>
      <c r="F1064" s="6" t="n">
        <f aca="false">IFERROR(MATCH(A1064&amp;"|"&amp;B1064&amp;"|"&amp;D1064,'All Song Rankings'!$T:$T,0),0)</f>
        <v>177</v>
      </c>
      <c r="G1064" s="6" t="str">
        <f aca="false">IF(F1064=0,"NOT FOUND",INDEX('All Song Rankings'!$A:$A,F1064))</f>
        <v>FourFiveSeconds</v>
      </c>
      <c r="H1064" s="6" t="str">
        <f aca="false">IF(F1064=0,"NOT FOUND",INDEX('All Song Rankings'!$B:$B,F1064))</f>
        <v>Rihanna</v>
      </c>
      <c r="I1064" s="6" t="str">
        <f aca="false">IF(F1064=0,"NOT FOUND",INDEX('All Song Rankings'!$D:$D,F1064))</f>
        <v>Grace</v>
      </c>
      <c r="J1064" s="7" t="str">
        <f aca="false">IF(F1064=0,"NOT FOUND",IF(C1064=I1064,"SELF-VOTE",IF(COUNTIF($K:$K,K1064)&gt;1,"DUPLICATE","OK")))</f>
        <v>OK</v>
      </c>
      <c r="K1064" s="6" t="str">
        <f aca="false">A1064&amp;"|"&amp;B1064&amp;"|"&amp;C1064&amp;"|"&amp;D1064</f>
        <v>2|7|Matt|spotify:track:78TTtXnFQPzwqlbtbwqN0y</v>
      </c>
    </row>
    <row r="1065" customFormat="false" ht="15" hidden="false" customHeight="false" outlineLevel="0" collapsed="false">
      <c r="A1065" s="5" t="n">
        <v>2</v>
      </c>
      <c r="B1065" s="5" t="n">
        <v>7</v>
      </c>
      <c r="C1065" s="5" t="s">
        <v>116</v>
      </c>
      <c r="D1065" s="5" t="s">
        <v>635</v>
      </c>
      <c r="E1065" s="5" t="n">
        <v>1</v>
      </c>
      <c r="F1065" s="6" t="n">
        <f aca="false">IFERROR(MATCH(A1065&amp;"|"&amp;B1065&amp;"|"&amp;D1065,'All Song Rankings'!$T:$T,0),0)</f>
        <v>175</v>
      </c>
      <c r="G1065" s="6" t="str">
        <f aca="false">IF(F1065=0,"NOT FOUND",INDEX('All Song Rankings'!$A:$A,F1065))</f>
        <v>Up to the Roof (feat. Tracy Bonham)</v>
      </c>
      <c r="H1065" s="6" t="str">
        <f aca="false">IF(F1065=0,"NOT FOUND",INDEX('All Song Rankings'!$B:$B,F1065))</f>
        <v>Blue Man Group</v>
      </c>
      <c r="I1065" s="6" t="str">
        <f aca="false">IF(F1065=0,"NOT FOUND",INDEX('All Song Rankings'!$D:$D,F1065))</f>
        <v>Kristen</v>
      </c>
      <c r="J1065" s="7" t="str">
        <f aca="false">IF(F1065=0,"NOT FOUND",IF(C1065=I1065,"SELF-VOTE",IF(COUNTIF($K:$K,K1065)&gt;1,"DUPLICATE","OK")))</f>
        <v>OK</v>
      </c>
      <c r="K1065" s="6" t="str">
        <f aca="false">A1065&amp;"|"&amp;B1065&amp;"|"&amp;C1065&amp;"|"&amp;D1065</f>
        <v>2|7|Matt|spotify:track:7nhF3XTCM2CUMCYPu8v6uw</v>
      </c>
    </row>
    <row r="1066" customFormat="false" ht="15" hidden="false" customHeight="false" outlineLevel="0" collapsed="false">
      <c r="A1066" s="5" t="n">
        <v>2</v>
      </c>
      <c r="B1066" s="5" t="n">
        <v>7</v>
      </c>
      <c r="C1066" s="5" t="s">
        <v>92</v>
      </c>
      <c r="D1066" s="5" t="s">
        <v>615</v>
      </c>
      <c r="E1066" s="5" t="n">
        <v>2</v>
      </c>
      <c r="F1066" s="6" t="n">
        <f aca="false">IFERROR(MATCH(A1066&amp;"|"&amp;B1066&amp;"|"&amp;D1066,'All Song Rankings'!$T:$T,0),0)</f>
        <v>168</v>
      </c>
      <c r="G1066" s="6" t="str">
        <f aca="false">IF(F1066=0,"NOT FOUND",INDEX('All Song Rankings'!$A:$A,F1066))</f>
        <v>My Only Angel</v>
      </c>
      <c r="H1066" s="6" t="str">
        <f aca="false">IF(F1066=0,"NOT FOUND",INDEX('All Song Rankings'!$B:$B,F1066))</f>
        <v>Aerosmith</v>
      </c>
      <c r="I1066" s="6" t="str">
        <f aca="false">IF(F1066=0,"NOT FOUND",INDEX('All Song Rankings'!$D:$D,F1066))</f>
        <v>Leah</v>
      </c>
      <c r="J1066" s="7" t="str">
        <f aca="false">IF(F1066=0,"NOT FOUND",IF(C1066=I1066,"SELF-VOTE",IF(COUNTIF($K:$K,K1066)&gt;1,"DUPLICATE","OK")))</f>
        <v>OK</v>
      </c>
      <c r="K1066" s="6" t="str">
        <f aca="false">A1066&amp;"|"&amp;B1066&amp;"|"&amp;C1066&amp;"|"&amp;D1066</f>
        <v>2|7|Nicole|spotify:track:0A7f6oQxCkzzRMA3oaTqaU</v>
      </c>
    </row>
    <row r="1067" customFormat="false" ht="15" hidden="false" customHeight="false" outlineLevel="0" collapsed="false">
      <c r="A1067" s="5" t="n">
        <v>2</v>
      </c>
      <c r="B1067" s="5" t="n">
        <v>7</v>
      </c>
      <c r="C1067" s="5" t="s">
        <v>92</v>
      </c>
      <c r="D1067" s="5" t="s">
        <v>628</v>
      </c>
      <c r="E1067" s="5" t="n">
        <v>1</v>
      </c>
      <c r="F1067" s="6" t="n">
        <f aca="false">IFERROR(MATCH(A1067&amp;"|"&amp;B1067&amp;"|"&amp;D1067,'All Song Rankings'!$T:$T,0),0)</f>
        <v>173</v>
      </c>
      <c r="G1067" s="6" t="str">
        <f aca="false">IF(F1067=0,"NOT FOUND",INDEX('All Song Rankings'!$A:$A,F1067))</f>
        <v>Over And Over</v>
      </c>
      <c r="H1067" s="6" t="str">
        <f aca="false">IF(F1067=0,"NOT FOUND",INDEX('All Song Rankings'!$B:$B,F1067))</f>
        <v>Nelly</v>
      </c>
      <c r="I1067" s="6" t="str">
        <f aca="false">IF(F1067=0,"NOT FOUND",INDEX('All Song Rankings'!$D:$D,F1067))</f>
        <v>Makenzie</v>
      </c>
      <c r="J1067" s="7" t="str">
        <f aca="false">IF(F1067=0,"NOT FOUND",IF(C1067=I1067,"SELF-VOTE",IF(COUNTIF($K:$K,K1067)&gt;1,"DUPLICATE","OK")))</f>
        <v>OK</v>
      </c>
      <c r="K1067" s="6" t="str">
        <f aca="false">A1067&amp;"|"&amp;B1067&amp;"|"&amp;C1067&amp;"|"&amp;D1067</f>
        <v>2|7|Nicole|spotify:track:2b8QQqf8Vwb7bfz22ja8Fk</v>
      </c>
    </row>
    <row r="1068" customFormat="false" ht="15" hidden="false" customHeight="false" outlineLevel="0" collapsed="false">
      <c r="A1068" s="5" t="n">
        <v>2</v>
      </c>
      <c r="B1068" s="5" t="n">
        <v>7</v>
      </c>
      <c r="C1068" s="5" t="s">
        <v>92</v>
      </c>
      <c r="D1068" s="5" t="s">
        <v>638</v>
      </c>
      <c r="E1068" s="5" t="n">
        <v>2</v>
      </c>
      <c r="F1068" s="6" t="n">
        <f aca="false">IFERROR(MATCH(A1068&amp;"|"&amp;B1068&amp;"|"&amp;D1068,'All Song Rankings'!$T:$T,0),0)</f>
        <v>176</v>
      </c>
      <c r="G1068" s="6" t="str">
        <f aca="false">IF(F1068=0,"NOT FOUND",INDEX('All Song Rankings'!$A:$A,F1068))</f>
        <v>cliché - Jonas Brothers remix</v>
      </c>
      <c r="H1068" s="6" t="str">
        <f aca="false">IF(F1068=0,"NOT FOUND",INDEX('All Song Rankings'!$B:$B,F1068))</f>
        <v>mgk</v>
      </c>
      <c r="I1068" s="6" t="str">
        <f aca="false">IF(F1068=0,"NOT FOUND",INDEX('All Song Rankings'!$D:$D,F1068))</f>
        <v>Colleen</v>
      </c>
      <c r="J1068" s="7" t="str">
        <f aca="false">IF(F1068=0,"NOT FOUND",IF(C1068=I1068,"SELF-VOTE",IF(COUNTIF($K:$K,K1068)&gt;1,"DUPLICATE","OK")))</f>
        <v>OK</v>
      </c>
      <c r="K1068" s="6" t="str">
        <f aca="false">A1068&amp;"|"&amp;B1068&amp;"|"&amp;C1068&amp;"|"&amp;D1068</f>
        <v>2|7|Nicole|spotify:track:3sqySB5Pxon72vDIdduez4</v>
      </c>
    </row>
    <row r="1069" customFormat="false" ht="15" hidden="false" customHeight="false" outlineLevel="0" collapsed="false">
      <c r="A1069" s="5" t="n">
        <v>2</v>
      </c>
      <c r="B1069" s="5" t="n">
        <v>7</v>
      </c>
      <c r="C1069" s="5" t="s">
        <v>92</v>
      </c>
      <c r="D1069" s="5" t="s">
        <v>618</v>
      </c>
      <c r="E1069" s="5" t="n">
        <v>1</v>
      </c>
      <c r="F1069" s="6" t="n">
        <f aca="false">IFERROR(MATCH(A1069&amp;"|"&amp;B1069&amp;"|"&amp;D1069,'All Song Rankings'!$T:$T,0),0)</f>
        <v>169</v>
      </c>
      <c r="G1069" s="6" t="str">
        <f aca="false">IF(F1069=0,"NOT FOUND",INDEX('All Song Rankings'!$A:$A,F1069))</f>
        <v>Pour Me A Drink (Feat. Blake Shelton)</v>
      </c>
      <c r="H1069" s="6" t="str">
        <f aca="false">IF(F1069=0,"NOT FOUND",INDEX('All Song Rankings'!$B:$B,F1069))</f>
        <v>Post Malone</v>
      </c>
      <c r="I1069" s="6" t="str">
        <f aca="false">IF(F1069=0,"NOT FOUND",INDEX('All Song Rankings'!$D:$D,F1069))</f>
        <v>Kelsey</v>
      </c>
      <c r="J1069" s="7" t="str">
        <f aca="false">IF(F1069=0,"NOT FOUND",IF(C1069=I1069,"SELF-VOTE",IF(COUNTIF($K:$K,K1069)&gt;1,"DUPLICATE","OK")))</f>
        <v>OK</v>
      </c>
      <c r="K1069" s="6" t="str">
        <f aca="false">A1069&amp;"|"&amp;B1069&amp;"|"&amp;C1069&amp;"|"&amp;D1069</f>
        <v>2|7|Nicole|spotify:track:5ZLL6wYXeqg0k35ZkDRfhZ</v>
      </c>
    </row>
    <row r="1070" customFormat="false" ht="15" hidden="false" customHeight="false" outlineLevel="0" collapsed="false">
      <c r="A1070" s="5" t="n">
        <v>2</v>
      </c>
      <c r="B1070" s="5" t="n">
        <v>7</v>
      </c>
      <c r="C1070" s="5" t="s">
        <v>92</v>
      </c>
      <c r="D1070" s="5" t="s">
        <v>620</v>
      </c>
      <c r="E1070" s="5" t="n">
        <v>1</v>
      </c>
      <c r="F1070" s="6" t="n">
        <f aca="false">IFERROR(MATCH(A1070&amp;"|"&amp;B1070&amp;"|"&amp;D1070,'All Song Rankings'!$T:$T,0),0)</f>
        <v>170</v>
      </c>
      <c r="G1070" s="6" t="str">
        <f aca="false">IF(F1070=0,"NOT FOUND",INDEX('All Song Rankings'!$A:$A,F1070))</f>
        <v>Bad Blood (feat. Kendrick Lamar) (Taylor's Version)</v>
      </c>
      <c r="H1070" s="6" t="str">
        <f aca="false">IF(F1070=0,"NOT FOUND",INDEX('All Song Rankings'!$B:$B,F1070))</f>
        <v>Taylor Swift</v>
      </c>
      <c r="I1070" s="6" t="str">
        <f aca="false">IF(F1070=0,"NOT FOUND",INDEX('All Song Rankings'!$D:$D,F1070))</f>
        <v>Logan</v>
      </c>
      <c r="J1070" s="7" t="str">
        <f aca="false">IF(F1070=0,"NOT FOUND",IF(C1070=I1070,"SELF-VOTE",IF(COUNTIF($K:$K,K1070)&gt;1,"DUPLICATE","OK")))</f>
        <v>OK</v>
      </c>
      <c r="K1070" s="6" t="str">
        <f aca="false">A1070&amp;"|"&amp;B1070&amp;"|"&amp;C1070&amp;"|"&amp;D1070</f>
        <v>2|7|Nicole|spotify:track:6qAcApH8obo8eqatCKUHd9</v>
      </c>
    </row>
    <row r="1071" customFormat="false" ht="15" hidden="false" customHeight="false" outlineLevel="0" collapsed="false">
      <c r="A1071" s="5" t="n">
        <v>2</v>
      </c>
      <c r="B1071" s="5" t="n">
        <v>7</v>
      </c>
      <c r="C1071" s="5" t="s">
        <v>92</v>
      </c>
      <c r="D1071" s="5" t="s">
        <v>612</v>
      </c>
      <c r="E1071" s="5" t="n">
        <v>1</v>
      </c>
      <c r="F1071" s="6" t="n">
        <f aca="false">IFERROR(MATCH(A1071&amp;"|"&amp;B1071&amp;"|"&amp;D1071,'All Song Rankings'!$T:$T,0),0)</f>
        <v>167</v>
      </c>
      <c r="G1071" s="6" t="str">
        <f aca="false">IF(F1071=0,"NOT FOUND",INDEX('All Song Rankings'!$A:$A,F1071))</f>
        <v>Walk This Way (feat. Aerosmith)</v>
      </c>
      <c r="H1071" s="6" t="str">
        <f aca="false">IF(F1071=0,"NOT FOUND",INDEX('All Song Rankings'!$B:$B,F1071))</f>
        <v>Run-D.M.C., Aerosmith</v>
      </c>
      <c r="I1071" s="6" t="str">
        <f aca="false">IF(F1071=0,"NOT FOUND",INDEX('All Song Rankings'!$D:$D,F1071))</f>
        <v>Scott</v>
      </c>
      <c r="J1071" s="7" t="str">
        <f aca="false">IF(F1071=0,"NOT FOUND",IF(C1071=I1071,"SELF-VOTE",IF(COUNTIF($K:$K,K1071)&gt;1,"DUPLICATE","OK")))</f>
        <v>OK</v>
      </c>
      <c r="K1071" s="6" t="str">
        <f aca="false">A1071&amp;"|"&amp;B1071&amp;"|"&amp;C1071&amp;"|"&amp;D1071</f>
        <v>2|7|Nicole|spotify:track:6qUEOWqOzu1rLPUPQ1ECpx</v>
      </c>
    </row>
    <row r="1072" customFormat="false" ht="15" hidden="false" customHeight="false" outlineLevel="0" collapsed="false">
      <c r="A1072" s="5" t="n">
        <v>2</v>
      </c>
      <c r="B1072" s="5" t="n">
        <v>7</v>
      </c>
      <c r="C1072" s="5" t="s">
        <v>92</v>
      </c>
      <c r="D1072" s="5" t="s">
        <v>641</v>
      </c>
      <c r="E1072" s="5" t="n">
        <v>1</v>
      </c>
      <c r="F1072" s="6" t="n">
        <f aca="false">IFERROR(MATCH(A1072&amp;"|"&amp;B1072&amp;"|"&amp;D1072,'All Song Rankings'!$T:$T,0),0)</f>
        <v>177</v>
      </c>
      <c r="G1072" s="6" t="str">
        <f aca="false">IF(F1072=0,"NOT FOUND",INDEX('All Song Rankings'!$A:$A,F1072))</f>
        <v>FourFiveSeconds</v>
      </c>
      <c r="H1072" s="6" t="str">
        <f aca="false">IF(F1072=0,"NOT FOUND",INDEX('All Song Rankings'!$B:$B,F1072))</f>
        <v>Rihanna</v>
      </c>
      <c r="I1072" s="6" t="str">
        <f aca="false">IF(F1072=0,"NOT FOUND",INDEX('All Song Rankings'!$D:$D,F1072))</f>
        <v>Grace</v>
      </c>
      <c r="J1072" s="7" t="str">
        <f aca="false">IF(F1072=0,"NOT FOUND",IF(C1072=I1072,"SELF-VOTE",IF(COUNTIF($K:$K,K1072)&gt;1,"DUPLICATE","OK")))</f>
        <v>OK</v>
      </c>
      <c r="K1072" s="6" t="str">
        <f aca="false">A1072&amp;"|"&amp;B1072&amp;"|"&amp;C1072&amp;"|"&amp;D1072</f>
        <v>2|7|Nicole|spotify:track:78TTtXnFQPzwqlbtbwqN0y</v>
      </c>
    </row>
    <row r="1073" customFormat="false" ht="15" hidden="false" customHeight="false" outlineLevel="0" collapsed="false">
      <c r="A1073" s="5" t="n">
        <v>2</v>
      </c>
      <c r="B1073" s="5" t="n">
        <v>7</v>
      </c>
      <c r="C1073" s="5" t="s">
        <v>92</v>
      </c>
      <c r="D1073" s="5" t="s">
        <v>625</v>
      </c>
      <c r="E1073" s="5" t="n">
        <v>1</v>
      </c>
      <c r="F1073" s="6" t="n">
        <f aca="false">IFERROR(MATCH(A1073&amp;"|"&amp;B1073&amp;"|"&amp;D1073,'All Song Rankings'!$T:$T,0),0)</f>
        <v>172</v>
      </c>
      <c r="G1073" s="6" t="str">
        <f aca="false">IF(F1073=0,"NOT FOUND",INDEX('All Song Rankings'!$A:$A,F1073))</f>
        <v>BLOW (with Chris Stapleton &amp; Bruno Mars)</v>
      </c>
      <c r="H1073" s="6" t="str">
        <f aca="false">IF(F1073=0,"NOT FOUND",INDEX('All Song Rankings'!$B:$B,F1073))</f>
        <v>Ed Sheeran</v>
      </c>
      <c r="I1073" s="6" t="str">
        <f aca="false">IF(F1073=0,"NOT FOUND",INDEX('All Song Rankings'!$D:$D,F1073))</f>
        <v>Stephanie</v>
      </c>
      <c r="J1073" s="7" t="str">
        <f aca="false">IF(F1073=0,"NOT FOUND",IF(C1073=I1073,"SELF-VOTE",IF(COUNTIF($K:$K,K1073)&gt;1,"DUPLICATE","OK")))</f>
        <v>OK</v>
      </c>
      <c r="K1073" s="6" t="str">
        <f aca="false">A1073&amp;"|"&amp;B1073&amp;"|"&amp;C1073&amp;"|"&amp;D1073</f>
        <v>2|7|Nicole|spotify:track:7hvO2qCwJVZxiyoA7c9i5d</v>
      </c>
    </row>
    <row r="1074" customFormat="false" ht="15" hidden="false" customHeight="false" outlineLevel="0" collapsed="false">
      <c r="A1074" s="5" t="n">
        <v>2</v>
      </c>
      <c r="B1074" s="5" t="n">
        <v>7</v>
      </c>
      <c r="C1074" s="5" t="s">
        <v>484</v>
      </c>
      <c r="D1074" s="5" t="s">
        <v>615</v>
      </c>
      <c r="E1074" s="5" t="n">
        <v>1</v>
      </c>
      <c r="F1074" s="6" t="n">
        <f aca="false">IFERROR(MATCH(A1074&amp;"|"&amp;B1074&amp;"|"&amp;D1074,'All Song Rankings'!$T:$T,0),0)</f>
        <v>168</v>
      </c>
      <c r="G1074" s="6" t="str">
        <f aca="false">IF(F1074=0,"NOT FOUND",INDEX('All Song Rankings'!$A:$A,F1074))</f>
        <v>My Only Angel</v>
      </c>
      <c r="H1074" s="6" t="str">
        <f aca="false">IF(F1074=0,"NOT FOUND",INDEX('All Song Rankings'!$B:$B,F1074))</f>
        <v>Aerosmith</v>
      </c>
      <c r="I1074" s="6" t="str">
        <f aca="false">IF(F1074=0,"NOT FOUND",INDEX('All Song Rankings'!$D:$D,F1074))</f>
        <v>Leah</v>
      </c>
      <c r="J1074" s="7" t="str">
        <f aca="false">IF(F1074=0,"NOT FOUND",IF(C1074=I1074,"SELF-VOTE",IF(COUNTIF($K:$K,K1074)&gt;1,"DUPLICATE","OK")))</f>
        <v>OK</v>
      </c>
      <c r="K1074" s="6" t="str">
        <f aca="false">A1074&amp;"|"&amp;B1074&amp;"|"&amp;C1074&amp;"|"&amp;D1074</f>
        <v>2|7|Scott|spotify:track:0A7f6oQxCkzzRMA3oaTqaU</v>
      </c>
    </row>
    <row r="1075" customFormat="false" ht="15" hidden="false" customHeight="false" outlineLevel="0" collapsed="false">
      <c r="A1075" s="5" t="n">
        <v>2</v>
      </c>
      <c r="B1075" s="5" t="n">
        <v>7</v>
      </c>
      <c r="C1075" s="5" t="s">
        <v>484</v>
      </c>
      <c r="D1075" s="5" t="s">
        <v>623</v>
      </c>
      <c r="E1075" s="5" t="n">
        <v>2</v>
      </c>
      <c r="F1075" s="6" t="n">
        <f aca="false">IFERROR(MATCH(A1075&amp;"|"&amp;B1075&amp;"|"&amp;D1075,'All Song Rankings'!$T:$T,0),0)</f>
        <v>171</v>
      </c>
      <c r="G1075" s="6" t="str">
        <f aca="false">IF(F1075=0,"NOT FOUND",INDEX('All Song Rankings'!$A:$A,F1075))</f>
        <v>LEVII'S JEANS</v>
      </c>
      <c r="H1075" s="6" t="str">
        <f aca="false">IF(F1075=0,"NOT FOUND",INDEX('All Song Rankings'!$B:$B,F1075))</f>
        <v>Beyoncé</v>
      </c>
      <c r="I1075" s="6" t="str">
        <f aca="false">IF(F1075=0,"NOT FOUND",INDEX('All Song Rankings'!$D:$D,F1075))</f>
        <v>Matt</v>
      </c>
      <c r="J1075" s="7" t="str">
        <f aca="false">IF(F1075=0,"NOT FOUND",IF(C1075=I1075,"SELF-VOTE",IF(COUNTIF($K:$K,K1075)&gt;1,"DUPLICATE","OK")))</f>
        <v>OK</v>
      </c>
      <c r="K1075" s="6" t="str">
        <f aca="false">A1075&amp;"|"&amp;B1075&amp;"|"&amp;C1075&amp;"|"&amp;D1075</f>
        <v>2|7|Scott|spotify:track:2UDARQiksl207HcSduDpov</v>
      </c>
    </row>
    <row r="1076" customFormat="false" ht="15" hidden="false" customHeight="false" outlineLevel="0" collapsed="false">
      <c r="A1076" s="5" t="n">
        <v>2</v>
      </c>
      <c r="B1076" s="5" t="n">
        <v>7</v>
      </c>
      <c r="C1076" s="5" t="s">
        <v>484</v>
      </c>
      <c r="D1076" s="5" t="s">
        <v>628</v>
      </c>
      <c r="E1076" s="5" t="n">
        <v>2</v>
      </c>
      <c r="F1076" s="6" t="n">
        <f aca="false">IFERROR(MATCH(A1076&amp;"|"&amp;B1076&amp;"|"&amp;D1076,'All Song Rankings'!$T:$T,0),0)</f>
        <v>173</v>
      </c>
      <c r="G1076" s="6" t="str">
        <f aca="false">IF(F1076=0,"NOT FOUND",INDEX('All Song Rankings'!$A:$A,F1076))</f>
        <v>Over And Over</v>
      </c>
      <c r="H1076" s="6" t="str">
        <f aca="false">IF(F1076=0,"NOT FOUND",INDEX('All Song Rankings'!$B:$B,F1076))</f>
        <v>Nelly</v>
      </c>
      <c r="I1076" s="6" t="str">
        <f aca="false">IF(F1076=0,"NOT FOUND",INDEX('All Song Rankings'!$D:$D,F1076))</f>
        <v>Makenzie</v>
      </c>
      <c r="J1076" s="7" t="str">
        <f aca="false">IF(F1076=0,"NOT FOUND",IF(C1076=I1076,"SELF-VOTE",IF(COUNTIF($K:$K,K1076)&gt;1,"DUPLICATE","OK")))</f>
        <v>OK</v>
      </c>
      <c r="K1076" s="6" t="str">
        <f aca="false">A1076&amp;"|"&amp;B1076&amp;"|"&amp;C1076&amp;"|"&amp;D1076</f>
        <v>2|7|Scott|spotify:track:2b8QQqf8Vwb7bfz22ja8Fk</v>
      </c>
    </row>
    <row r="1077" customFormat="false" ht="15" hidden="false" customHeight="false" outlineLevel="0" collapsed="false">
      <c r="A1077" s="5" t="n">
        <v>2</v>
      </c>
      <c r="B1077" s="5" t="n">
        <v>7</v>
      </c>
      <c r="C1077" s="5" t="s">
        <v>484</v>
      </c>
      <c r="D1077" s="5" t="s">
        <v>638</v>
      </c>
      <c r="E1077" s="5" t="n">
        <v>1</v>
      </c>
      <c r="F1077" s="6" t="n">
        <f aca="false">IFERROR(MATCH(A1077&amp;"|"&amp;B1077&amp;"|"&amp;D1077,'All Song Rankings'!$T:$T,0),0)</f>
        <v>176</v>
      </c>
      <c r="G1077" s="6" t="str">
        <f aca="false">IF(F1077=0,"NOT FOUND",INDEX('All Song Rankings'!$A:$A,F1077))</f>
        <v>cliché - Jonas Brothers remix</v>
      </c>
      <c r="H1077" s="6" t="str">
        <f aca="false">IF(F1077=0,"NOT FOUND",INDEX('All Song Rankings'!$B:$B,F1077))</f>
        <v>mgk</v>
      </c>
      <c r="I1077" s="6" t="str">
        <f aca="false">IF(F1077=0,"NOT FOUND",INDEX('All Song Rankings'!$D:$D,F1077))</f>
        <v>Colleen</v>
      </c>
      <c r="J1077" s="7" t="str">
        <f aca="false">IF(F1077=0,"NOT FOUND",IF(C1077=I1077,"SELF-VOTE",IF(COUNTIF($K:$K,K1077)&gt;1,"DUPLICATE","OK")))</f>
        <v>OK</v>
      </c>
      <c r="K1077" s="6" t="str">
        <f aca="false">A1077&amp;"|"&amp;B1077&amp;"|"&amp;C1077&amp;"|"&amp;D1077</f>
        <v>2|7|Scott|spotify:track:3sqySB5Pxon72vDIdduez4</v>
      </c>
    </row>
    <row r="1078" customFormat="false" ht="15" hidden="false" customHeight="false" outlineLevel="0" collapsed="false">
      <c r="A1078" s="5" t="n">
        <v>2</v>
      </c>
      <c r="B1078" s="5" t="n">
        <v>7</v>
      </c>
      <c r="C1078" s="5" t="s">
        <v>484</v>
      </c>
      <c r="D1078" s="5" t="s">
        <v>631</v>
      </c>
      <c r="E1078" s="5" t="n">
        <v>1</v>
      </c>
      <c r="F1078" s="6" t="n">
        <f aca="false">IFERROR(MATCH(A1078&amp;"|"&amp;B1078&amp;"|"&amp;D1078,'All Song Rankings'!$T:$T,0),0)</f>
        <v>174</v>
      </c>
      <c r="G1078" s="6" t="str">
        <f aca="false">IF(F1078=0,"NOT FOUND",INDEX('All Song Rankings'!$A:$A,F1078))</f>
        <v>All The Way (feat. Bailey Zimmerman)</v>
      </c>
      <c r="H1078" s="6" t="str">
        <f aca="false">IF(F1078=0,"NOT FOUND",INDEX('All Song Rankings'!$B:$B,F1078))</f>
        <v>BigXthaPlug</v>
      </c>
      <c r="I1078" s="6" t="str">
        <f aca="false">IF(F1078=0,"NOT FOUND",INDEX('All Song Rankings'!$D:$D,F1078))</f>
        <v>Nicole</v>
      </c>
      <c r="J1078" s="7" t="str">
        <f aca="false">IF(F1078=0,"NOT FOUND",IF(C1078=I1078,"SELF-VOTE",IF(COUNTIF($K:$K,K1078)&gt;1,"DUPLICATE","OK")))</f>
        <v>OK</v>
      </c>
      <c r="K1078" s="6" t="str">
        <f aca="false">A1078&amp;"|"&amp;B1078&amp;"|"&amp;C1078&amp;"|"&amp;D1078</f>
        <v>2|7|Scott|spotify:track:73kIKvg65QWieOKXIwyLJP</v>
      </c>
    </row>
    <row r="1079" customFormat="false" ht="15" hidden="false" customHeight="false" outlineLevel="0" collapsed="false">
      <c r="A1079" s="5" t="n">
        <v>2</v>
      </c>
      <c r="B1079" s="5" t="n">
        <v>7</v>
      </c>
      <c r="C1079" s="5" t="s">
        <v>484</v>
      </c>
      <c r="D1079" s="5" t="s">
        <v>641</v>
      </c>
      <c r="E1079" s="5" t="n">
        <v>2</v>
      </c>
      <c r="F1079" s="6" t="n">
        <f aca="false">IFERROR(MATCH(A1079&amp;"|"&amp;B1079&amp;"|"&amp;D1079,'All Song Rankings'!$T:$T,0),0)</f>
        <v>177</v>
      </c>
      <c r="G1079" s="6" t="str">
        <f aca="false">IF(F1079=0,"NOT FOUND",INDEX('All Song Rankings'!$A:$A,F1079))</f>
        <v>FourFiveSeconds</v>
      </c>
      <c r="H1079" s="6" t="str">
        <f aca="false">IF(F1079=0,"NOT FOUND",INDEX('All Song Rankings'!$B:$B,F1079))</f>
        <v>Rihanna</v>
      </c>
      <c r="I1079" s="6" t="str">
        <f aca="false">IF(F1079=0,"NOT FOUND",INDEX('All Song Rankings'!$D:$D,F1079))</f>
        <v>Grace</v>
      </c>
      <c r="J1079" s="7" t="str">
        <f aca="false">IF(F1079=0,"NOT FOUND",IF(C1079=I1079,"SELF-VOTE",IF(COUNTIF($K:$K,K1079)&gt;1,"DUPLICATE","OK")))</f>
        <v>OK</v>
      </c>
      <c r="K1079" s="6" t="str">
        <f aca="false">A1079&amp;"|"&amp;B1079&amp;"|"&amp;C1079&amp;"|"&amp;D1079</f>
        <v>2|7|Scott|spotify:track:78TTtXnFQPzwqlbtbwqN0y</v>
      </c>
    </row>
    <row r="1080" customFormat="false" ht="15" hidden="false" customHeight="false" outlineLevel="0" collapsed="false">
      <c r="A1080" s="5" t="n">
        <v>2</v>
      </c>
      <c r="B1080" s="5" t="n">
        <v>7</v>
      </c>
      <c r="C1080" s="5" t="s">
        <v>484</v>
      </c>
      <c r="D1080" s="5" t="s">
        <v>635</v>
      </c>
      <c r="E1080" s="5" t="n">
        <v>1</v>
      </c>
      <c r="F1080" s="6" t="n">
        <f aca="false">IFERROR(MATCH(A1080&amp;"|"&amp;B1080&amp;"|"&amp;D1080,'All Song Rankings'!$T:$T,0),0)</f>
        <v>175</v>
      </c>
      <c r="G1080" s="6" t="str">
        <f aca="false">IF(F1080=0,"NOT FOUND",INDEX('All Song Rankings'!$A:$A,F1080))</f>
        <v>Up to the Roof (feat. Tracy Bonham)</v>
      </c>
      <c r="H1080" s="6" t="str">
        <f aca="false">IF(F1080=0,"NOT FOUND",INDEX('All Song Rankings'!$B:$B,F1080))</f>
        <v>Blue Man Group</v>
      </c>
      <c r="I1080" s="6" t="str">
        <f aca="false">IF(F1080=0,"NOT FOUND",INDEX('All Song Rankings'!$D:$D,F1080))</f>
        <v>Kristen</v>
      </c>
      <c r="J1080" s="7" t="str">
        <f aca="false">IF(F1080=0,"NOT FOUND",IF(C1080=I1080,"SELF-VOTE",IF(COUNTIF($K:$K,K1080)&gt;1,"DUPLICATE","OK")))</f>
        <v>OK</v>
      </c>
      <c r="K1080" s="6" t="str">
        <f aca="false">A1080&amp;"|"&amp;B1080&amp;"|"&amp;C1080&amp;"|"&amp;D1080</f>
        <v>2|7|Scott|spotify:track:7nhF3XTCM2CUMCYPu8v6uw</v>
      </c>
    </row>
    <row r="1081" customFormat="false" ht="15" hidden="false" customHeight="false" outlineLevel="0" collapsed="false">
      <c r="A1081" s="5" t="n">
        <v>2</v>
      </c>
      <c r="B1081" s="5" t="n">
        <v>7</v>
      </c>
      <c r="C1081" s="5" t="s">
        <v>97</v>
      </c>
      <c r="D1081" s="5" t="s">
        <v>623</v>
      </c>
      <c r="E1081" s="5" t="n">
        <v>3</v>
      </c>
      <c r="F1081" s="6" t="n">
        <f aca="false">IFERROR(MATCH(A1081&amp;"|"&amp;B1081&amp;"|"&amp;D1081,'All Song Rankings'!$T:$T,0),0)</f>
        <v>171</v>
      </c>
      <c r="G1081" s="6" t="str">
        <f aca="false">IF(F1081=0,"NOT FOUND",INDEX('All Song Rankings'!$A:$A,F1081))</f>
        <v>LEVII'S JEANS</v>
      </c>
      <c r="H1081" s="6" t="str">
        <f aca="false">IF(F1081=0,"NOT FOUND",INDEX('All Song Rankings'!$B:$B,F1081))</f>
        <v>Beyoncé</v>
      </c>
      <c r="I1081" s="6" t="str">
        <f aca="false">IF(F1081=0,"NOT FOUND",INDEX('All Song Rankings'!$D:$D,F1081))</f>
        <v>Matt</v>
      </c>
      <c r="J1081" s="7" t="str">
        <f aca="false">IF(F1081=0,"NOT FOUND",IF(C1081=I1081,"SELF-VOTE",IF(COUNTIF($K:$K,K1081)&gt;1,"DUPLICATE","OK")))</f>
        <v>OK</v>
      </c>
      <c r="K1081" s="6" t="str">
        <f aca="false">A1081&amp;"|"&amp;B1081&amp;"|"&amp;C1081&amp;"|"&amp;D1081</f>
        <v>2|7|Stephanie|spotify:track:2UDARQiksl207HcSduDpov</v>
      </c>
    </row>
    <row r="1082" customFormat="false" ht="15" hidden="false" customHeight="false" outlineLevel="0" collapsed="false">
      <c r="A1082" s="5" t="n">
        <v>2</v>
      </c>
      <c r="B1082" s="5" t="n">
        <v>7</v>
      </c>
      <c r="C1082" s="5" t="s">
        <v>97</v>
      </c>
      <c r="D1082" s="5" t="s">
        <v>644</v>
      </c>
      <c r="E1082" s="5" t="n">
        <v>1</v>
      </c>
      <c r="F1082" s="6" t="n">
        <f aca="false">IFERROR(MATCH(A1082&amp;"|"&amp;B1082&amp;"|"&amp;D1082,'All Song Rankings'!$T:$T,0),0)</f>
        <v>178</v>
      </c>
      <c r="G1082" s="6" t="str">
        <f aca="false">IF(F1082=0,"NOT FOUND",INDEX('All Song Rankings'!$A:$A,F1082))</f>
        <v>The Kiss Of Venus (Dominic Fike)</v>
      </c>
      <c r="H1082" s="6" t="str">
        <f aca="false">IF(F1082=0,"NOT FOUND",INDEX('All Song Rankings'!$B:$B,F1082))</f>
        <v>Paul McCartney</v>
      </c>
      <c r="I1082" s="6" t="str">
        <f aca="false">IF(F1082=0,"NOT FOUND",INDEX('All Song Rankings'!$D:$D,F1082))</f>
        <v>Merita</v>
      </c>
      <c r="J1082" s="7" t="str">
        <f aca="false">IF(F1082=0,"NOT FOUND",IF(C1082=I1082,"SELF-VOTE",IF(COUNTIF($K:$K,K1082)&gt;1,"DUPLICATE","OK")))</f>
        <v>OK</v>
      </c>
      <c r="K1082" s="6" t="str">
        <f aca="false">A1082&amp;"|"&amp;B1082&amp;"|"&amp;C1082&amp;"|"&amp;D1082</f>
        <v>2|7|Stephanie|spotify:track:3gCYle76USfbHa7VDTDg5V</v>
      </c>
    </row>
    <row r="1083" customFormat="false" ht="15" hidden="false" customHeight="false" outlineLevel="0" collapsed="false">
      <c r="A1083" s="5" t="n">
        <v>2</v>
      </c>
      <c r="B1083" s="5" t="n">
        <v>7</v>
      </c>
      <c r="C1083" s="5" t="s">
        <v>97</v>
      </c>
      <c r="D1083" s="5" t="s">
        <v>620</v>
      </c>
      <c r="E1083" s="5" t="n">
        <v>3</v>
      </c>
      <c r="F1083" s="6" t="n">
        <f aca="false">IFERROR(MATCH(A1083&amp;"|"&amp;B1083&amp;"|"&amp;D1083,'All Song Rankings'!$T:$T,0),0)</f>
        <v>170</v>
      </c>
      <c r="G1083" s="6" t="str">
        <f aca="false">IF(F1083=0,"NOT FOUND",INDEX('All Song Rankings'!$A:$A,F1083))</f>
        <v>Bad Blood (feat. Kendrick Lamar) (Taylor's Version)</v>
      </c>
      <c r="H1083" s="6" t="str">
        <f aca="false">IF(F1083=0,"NOT FOUND",INDEX('All Song Rankings'!$B:$B,F1083))</f>
        <v>Taylor Swift</v>
      </c>
      <c r="I1083" s="6" t="str">
        <f aca="false">IF(F1083=0,"NOT FOUND",INDEX('All Song Rankings'!$D:$D,F1083))</f>
        <v>Logan</v>
      </c>
      <c r="J1083" s="7" t="str">
        <f aca="false">IF(F1083=0,"NOT FOUND",IF(C1083=I1083,"SELF-VOTE",IF(COUNTIF($K:$K,K1083)&gt;1,"DUPLICATE","OK")))</f>
        <v>OK</v>
      </c>
      <c r="K1083" s="6" t="str">
        <f aca="false">A1083&amp;"|"&amp;B1083&amp;"|"&amp;C1083&amp;"|"&amp;D1083</f>
        <v>2|7|Stephanie|spotify:track:6qAcApH8obo8eqatCKUHd9</v>
      </c>
    </row>
    <row r="1084" customFormat="false" ht="15" hidden="false" customHeight="false" outlineLevel="0" collapsed="false">
      <c r="A1084" s="5" t="n">
        <v>2</v>
      </c>
      <c r="B1084" s="5" t="n">
        <v>7</v>
      </c>
      <c r="C1084" s="5" t="s">
        <v>97</v>
      </c>
      <c r="D1084" s="5" t="s">
        <v>612</v>
      </c>
      <c r="E1084" s="5" t="n">
        <v>3</v>
      </c>
      <c r="F1084" s="6" t="n">
        <f aca="false">IFERROR(MATCH(A1084&amp;"|"&amp;B1084&amp;"|"&amp;D1084,'All Song Rankings'!$T:$T,0),0)</f>
        <v>167</v>
      </c>
      <c r="G1084" s="6" t="str">
        <f aca="false">IF(F1084=0,"NOT FOUND",INDEX('All Song Rankings'!$A:$A,F1084))</f>
        <v>Walk This Way (feat. Aerosmith)</v>
      </c>
      <c r="H1084" s="6" t="str">
        <f aca="false">IF(F1084=0,"NOT FOUND",INDEX('All Song Rankings'!$B:$B,F1084))</f>
        <v>Run-D.M.C., Aerosmith</v>
      </c>
      <c r="I1084" s="6" t="str">
        <f aca="false">IF(F1084=0,"NOT FOUND",INDEX('All Song Rankings'!$D:$D,F1084))</f>
        <v>Scott</v>
      </c>
      <c r="J1084" s="7" t="str">
        <f aca="false">IF(F1084=0,"NOT FOUND",IF(C1084=I1084,"SELF-VOTE",IF(COUNTIF($K:$K,K1084)&gt;1,"DUPLICATE","OK")))</f>
        <v>OK</v>
      </c>
      <c r="K1084" s="6" t="str">
        <f aca="false">A1084&amp;"|"&amp;B1084&amp;"|"&amp;C1084&amp;"|"&amp;D1084</f>
        <v>2|7|Stephanie|spotify:track:6qUEOWqOzu1rLPUPQ1ECpx</v>
      </c>
    </row>
    <row r="1085" customFormat="false" ht="15" hidden="false" customHeight="false" outlineLevel="0" collapsed="false">
      <c r="A1085" s="5" t="n">
        <v>2</v>
      </c>
      <c r="B1085" s="5" t="n">
        <v>8</v>
      </c>
      <c r="C1085" s="5" t="s">
        <v>637</v>
      </c>
      <c r="D1085" s="5" t="s">
        <v>650</v>
      </c>
      <c r="E1085" s="5" t="n">
        <v>2</v>
      </c>
      <c r="F1085" s="6" t="n">
        <f aca="false">IFERROR(MATCH(A1085&amp;"|"&amp;B1085&amp;"|"&amp;D1085,'All Song Rankings'!$T:$T,0),0)</f>
        <v>180</v>
      </c>
      <c r="G1085" s="6" t="str">
        <f aca="false">IF(F1085=0,"NOT FOUND",INDEX('All Song Rankings'!$A:$A,F1085))</f>
        <v>you should see me in a crown</v>
      </c>
      <c r="H1085" s="6" t="str">
        <f aca="false">IF(F1085=0,"NOT FOUND",INDEX('All Song Rankings'!$B:$B,F1085))</f>
        <v>Billie Eilish</v>
      </c>
      <c r="I1085" s="6" t="str">
        <f aca="false">IF(F1085=0,"NOT FOUND",INDEX('All Song Rankings'!$D:$D,F1085))</f>
        <v>Makenzie</v>
      </c>
      <c r="J1085" s="7" t="str">
        <f aca="false">IF(F1085=0,"NOT FOUND",IF(C1085=I1085,"SELF-VOTE",IF(COUNTIF($K:$K,K1085)&gt;1,"DUPLICATE","OK")))</f>
        <v>OK</v>
      </c>
      <c r="K1085" s="6" t="str">
        <f aca="false">A1085&amp;"|"&amp;B1085&amp;"|"&amp;C1085&amp;"|"&amp;D1085</f>
        <v>2|8|Colleen|spotify:track:3XF5xLJHOQQRbWya6hBp7d</v>
      </c>
    </row>
    <row r="1086" customFormat="false" ht="15" hidden="false" customHeight="false" outlineLevel="0" collapsed="false">
      <c r="A1086" s="5" t="n">
        <v>2</v>
      </c>
      <c r="B1086" s="5" t="n">
        <v>8</v>
      </c>
      <c r="C1086" s="5" t="s">
        <v>637</v>
      </c>
      <c r="D1086" s="5" t="s">
        <v>659</v>
      </c>
      <c r="E1086" s="5" t="n">
        <v>4</v>
      </c>
      <c r="F1086" s="6" t="n">
        <f aca="false">IFERROR(MATCH(A1086&amp;"|"&amp;B1086&amp;"|"&amp;D1086,'All Song Rankings'!$T:$T,0),0)</f>
        <v>183</v>
      </c>
      <c r="G1086" s="6" t="str">
        <f aca="false">IF(F1086=0,"NOT FOUND",INDEX('All Song Rankings'!$A:$A,F1086))</f>
        <v>Maneater</v>
      </c>
      <c r="H1086" s="6" t="str">
        <f aca="false">IF(F1086=0,"NOT FOUND",INDEX('All Song Rankings'!$B:$B,F1086))</f>
        <v>Nelly Furtado</v>
      </c>
      <c r="I1086" s="6" t="str">
        <f aca="false">IF(F1086=0,"NOT FOUND",INDEX('All Song Rankings'!$D:$D,F1086))</f>
        <v>Stephanie</v>
      </c>
      <c r="J1086" s="7" t="str">
        <f aca="false">IF(F1086=0,"NOT FOUND",IF(C1086=I1086,"SELF-VOTE",IF(COUNTIF($K:$K,K1086)&gt;1,"DUPLICATE","OK")))</f>
        <v>OK</v>
      </c>
      <c r="K1086" s="6" t="str">
        <f aca="false">A1086&amp;"|"&amp;B1086&amp;"|"&amp;C1086&amp;"|"&amp;D1086</f>
        <v>2|8|Colleen|spotify:track:4wH4dJgrsxONID6KS2tDQM</v>
      </c>
    </row>
    <row r="1087" customFormat="false" ht="15" hidden="false" customHeight="false" outlineLevel="0" collapsed="false">
      <c r="A1087" s="5" t="n">
        <v>2</v>
      </c>
      <c r="B1087" s="5" t="n">
        <v>8</v>
      </c>
      <c r="C1087" s="5" t="s">
        <v>637</v>
      </c>
      <c r="D1087" s="5" t="s">
        <v>653</v>
      </c>
      <c r="E1087" s="5" t="n">
        <v>2</v>
      </c>
      <c r="F1087" s="6" t="n">
        <f aca="false">IFERROR(MATCH(A1087&amp;"|"&amp;B1087&amp;"|"&amp;D1087,'All Song Rankings'!$T:$T,0),0)</f>
        <v>181</v>
      </c>
      <c r="G1087" s="6" t="str">
        <f aca="false">IF(F1087=0,"NOT FOUND",INDEX('All Song Rankings'!$A:$A,F1087))</f>
        <v>Insane</v>
      </c>
      <c r="H1087" s="6" t="str">
        <f aca="false">IF(F1087=0,"NOT FOUND",INDEX('All Song Rankings'!$B:$B,F1087))</f>
        <v>Black Gryph0n</v>
      </c>
      <c r="I1087" s="6" t="str">
        <f aca="false">IF(F1087=0,"NOT FOUND",INDEX('All Song Rankings'!$D:$D,F1087))</f>
        <v>Matt</v>
      </c>
      <c r="J1087" s="7" t="str">
        <f aca="false">IF(F1087=0,"NOT FOUND",IF(C1087=I1087,"SELF-VOTE",IF(COUNTIF($K:$K,K1087)&gt;1,"DUPLICATE","OK")))</f>
        <v>OK</v>
      </c>
      <c r="K1087" s="6" t="str">
        <f aca="false">A1087&amp;"|"&amp;B1087&amp;"|"&amp;C1087&amp;"|"&amp;D1087</f>
        <v>2|8|Colleen|spotify:track:5flerg6aEao2VayZezVlgu</v>
      </c>
    </row>
    <row r="1088" customFormat="false" ht="15" hidden="false" customHeight="false" outlineLevel="0" collapsed="false">
      <c r="A1088" s="5" t="n">
        <v>2</v>
      </c>
      <c r="B1088" s="5" t="n">
        <v>8</v>
      </c>
      <c r="C1088" s="5" t="s">
        <v>637</v>
      </c>
      <c r="D1088" s="5" t="s">
        <v>667</v>
      </c>
      <c r="E1088" s="5" t="n">
        <v>2</v>
      </c>
      <c r="F1088" s="6" t="n">
        <f aca="false">IFERROR(MATCH(A1088&amp;"|"&amp;B1088&amp;"|"&amp;D1088,'All Song Rankings'!$T:$T,0),0)</f>
        <v>186</v>
      </c>
      <c r="G1088" s="6" t="str">
        <f aca="false">IF(F1088=0,"NOT FOUND",INDEX('All Song Rankings'!$A:$A,F1088))</f>
        <v>Bad Guy</v>
      </c>
      <c r="H1088" s="6" t="str">
        <f aca="false">IF(F1088=0,"NOT FOUND",INDEX('All Song Rankings'!$B:$B,F1088))</f>
        <v>Falling In Reverse</v>
      </c>
      <c r="I1088" s="6" t="str">
        <f aca="false">IF(F1088=0,"NOT FOUND",INDEX('All Song Rankings'!$D:$D,F1088))</f>
        <v>Nicole</v>
      </c>
      <c r="J1088" s="7" t="str">
        <f aca="false">IF(F1088=0,"NOT FOUND",IF(C1088=I1088,"SELF-VOTE",IF(COUNTIF($K:$K,K1088)&gt;1,"DUPLICATE","OK")))</f>
        <v>OK</v>
      </c>
      <c r="K1088" s="6" t="str">
        <f aca="false">A1088&amp;"|"&amp;B1088&amp;"|"&amp;C1088&amp;"|"&amp;D1088</f>
        <v>2|8|Colleen|spotify:track:7uAWPqXthO4pO2Exc8V90t</v>
      </c>
    </row>
    <row r="1089" customFormat="false" ht="15" hidden="false" customHeight="false" outlineLevel="0" collapsed="false">
      <c r="A1089" s="5" t="n">
        <v>2</v>
      </c>
      <c r="B1089" s="5" t="n">
        <v>8</v>
      </c>
      <c r="C1089" s="5" t="s">
        <v>382</v>
      </c>
      <c r="D1089" s="5" t="s">
        <v>664</v>
      </c>
      <c r="E1089" s="5" t="n">
        <v>1</v>
      </c>
      <c r="F1089" s="6" t="n">
        <f aca="false">IFERROR(MATCH(A1089&amp;"|"&amp;B1089&amp;"|"&amp;D1089,'All Song Rankings'!$T:$T,0),0)</f>
        <v>185</v>
      </c>
      <c r="G1089" s="6" t="str">
        <f aca="false">IF(F1089=0,"NOT FOUND",INDEX('All Song Rankings'!$A:$A,F1089))</f>
        <v>Shatter Me Featuring Lzzy Hale</v>
      </c>
      <c r="H1089" s="6" t="str">
        <f aca="false">IF(F1089=0,"NOT FOUND",INDEX('All Song Rankings'!$B:$B,F1089))</f>
        <v>Lindsey Stirling</v>
      </c>
      <c r="I1089" s="6" t="str">
        <f aca="false">IF(F1089=0,"NOT FOUND",INDEX('All Song Rankings'!$D:$D,F1089))</f>
        <v>Leah</v>
      </c>
      <c r="J1089" s="7" t="str">
        <f aca="false">IF(F1089=0,"NOT FOUND",IF(C1089=I1089,"SELF-VOTE",IF(COUNTIF($K:$K,K1089)&gt;1,"DUPLICATE","OK")))</f>
        <v>OK</v>
      </c>
      <c r="K1089" s="6" t="str">
        <f aca="false">A1089&amp;"|"&amp;B1089&amp;"|"&amp;C1089&amp;"|"&amp;D1089</f>
        <v>2|8|Grace|spotify:track:2K7j4xrQENCi5r3Hii4cVe</v>
      </c>
    </row>
    <row r="1090" customFormat="false" ht="15" hidden="false" customHeight="false" outlineLevel="0" collapsed="false">
      <c r="A1090" s="5" t="n">
        <v>2</v>
      </c>
      <c r="B1090" s="5" t="n">
        <v>8</v>
      </c>
      <c r="C1090" s="5" t="s">
        <v>382</v>
      </c>
      <c r="D1090" s="5" t="s">
        <v>650</v>
      </c>
      <c r="E1090" s="5" t="n">
        <v>1</v>
      </c>
      <c r="F1090" s="6" t="n">
        <f aca="false">IFERROR(MATCH(A1090&amp;"|"&amp;B1090&amp;"|"&amp;D1090,'All Song Rankings'!$T:$T,0),0)</f>
        <v>180</v>
      </c>
      <c r="G1090" s="6" t="str">
        <f aca="false">IF(F1090=0,"NOT FOUND",INDEX('All Song Rankings'!$A:$A,F1090))</f>
        <v>you should see me in a crown</v>
      </c>
      <c r="H1090" s="6" t="str">
        <f aca="false">IF(F1090=0,"NOT FOUND",INDEX('All Song Rankings'!$B:$B,F1090))</f>
        <v>Billie Eilish</v>
      </c>
      <c r="I1090" s="6" t="str">
        <f aca="false">IF(F1090=0,"NOT FOUND",INDEX('All Song Rankings'!$D:$D,F1090))</f>
        <v>Makenzie</v>
      </c>
      <c r="J1090" s="7" t="str">
        <f aca="false">IF(F1090=0,"NOT FOUND",IF(C1090=I1090,"SELF-VOTE",IF(COUNTIF($K:$K,K1090)&gt;1,"DUPLICATE","OK")))</f>
        <v>OK</v>
      </c>
      <c r="K1090" s="6" t="str">
        <f aca="false">A1090&amp;"|"&amp;B1090&amp;"|"&amp;C1090&amp;"|"&amp;D1090</f>
        <v>2|8|Grace|spotify:track:3XF5xLJHOQQRbWya6hBp7d</v>
      </c>
    </row>
    <row r="1091" customFormat="false" ht="15" hidden="false" customHeight="false" outlineLevel="0" collapsed="false">
      <c r="A1091" s="5" t="n">
        <v>2</v>
      </c>
      <c r="B1091" s="5" t="n">
        <v>8</v>
      </c>
      <c r="C1091" s="5" t="s">
        <v>382</v>
      </c>
      <c r="D1091" s="5" t="s">
        <v>662</v>
      </c>
      <c r="E1091" s="5" t="n">
        <v>4</v>
      </c>
      <c r="F1091" s="6" t="n">
        <f aca="false">IFERROR(MATCH(A1091&amp;"|"&amp;B1091&amp;"|"&amp;D1091,'All Song Rankings'!$T:$T,0),0)</f>
        <v>184</v>
      </c>
      <c r="G1091" s="6" t="str">
        <f aca="false">IF(F1091=0,"NOT FOUND",INDEX('All Song Rankings'!$A:$A,F1091))</f>
        <v>Seven Nation Army</v>
      </c>
      <c r="H1091" s="6" t="str">
        <f aca="false">IF(F1091=0,"NOT FOUND",INDEX('All Song Rankings'!$B:$B,F1091))</f>
        <v>The White Stripes</v>
      </c>
      <c r="I1091" s="6" t="str">
        <f aca="false">IF(F1091=0,"NOT FOUND",INDEX('All Song Rankings'!$D:$D,F1091))</f>
        <v>Kelsey</v>
      </c>
      <c r="J1091" s="7" t="str">
        <f aca="false">IF(F1091=0,"NOT FOUND",IF(C1091=I1091,"SELF-VOTE",IF(COUNTIF($K:$K,K1091)&gt;1,"DUPLICATE","OK")))</f>
        <v>OK</v>
      </c>
      <c r="K1091" s="6" t="str">
        <f aca="false">A1091&amp;"|"&amp;B1091&amp;"|"&amp;C1091&amp;"|"&amp;D1091</f>
        <v>2|8|Grace|spotify:track:3dPQuX8Gs42Y7b454ybpMR</v>
      </c>
    </row>
    <row r="1092" customFormat="false" ht="15" hidden="false" customHeight="false" outlineLevel="0" collapsed="false">
      <c r="A1092" s="5" t="n">
        <v>2</v>
      </c>
      <c r="B1092" s="5" t="n">
        <v>8</v>
      </c>
      <c r="C1092" s="5" t="s">
        <v>382</v>
      </c>
      <c r="D1092" s="5" t="s">
        <v>659</v>
      </c>
      <c r="E1092" s="5" t="n">
        <v>1</v>
      </c>
      <c r="F1092" s="6" t="n">
        <f aca="false">IFERROR(MATCH(A1092&amp;"|"&amp;B1092&amp;"|"&amp;D1092,'All Song Rankings'!$T:$T,0),0)</f>
        <v>183</v>
      </c>
      <c r="G1092" s="6" t="str">
        <f aca="false">IF(F1092=0,"NOT FOUND",INDEX('All Song Rankings'!$A:$A,F1092))</f>
        <v>Maneater</v>
      </c>
      <c r="H1092" s="6" t="str">
        <f aca="false">IF(F1092=0,"NOT FOUND",INDEX('All Song Rankings'!$B:$B,F1092))</f>
        <v>Nelly Furtado</v>
      </c>
      <c r="I1092" s="6" t="str">
        <f aca="false">IF(F1092=0,"NOT FOUND",INDEX('All Song Rankings'!$D:$D,F1092))</f>
        <v>Stephanie</v>
      </c>
      <c r="J1092" s="7" t="str">
        <f aca="false">IF(F1092=0,"NOT FOUND",IF(C1092=I1092,"SELF-VOTE",IF(COUNTIF($K:$K,K1092)&gt;1,"DUPLICATE","OK")))</f>
        <v>OK</v>
      </c>
      <c r="K1092" s="6" t="str">
        <f aca="false">A1092&amp;"|"&amp;B1092&amp;"|"&amp;C1092&amp;"|"&amp;D1092</f>
        <v>2|8|Grace|spotify:track:4wH4dJgrsxONID6KS2tDQM</v>
      </c>
    </row>
    <row r="1093" customFormat="false" ht="15" hidden="false" customHeight="false" outlineLevel="0" collapsed="false">
      <c r="A1093" s="5" t="n">
        <v>2</v>
      </c>
      <c r="B1093" s="5" t="n">
        <v>8</v>
      </c>
      <c r="C1093" s="5" t="s">
        <v>382</v>
      </c>
      <c r="D1093" s="5" t="s">
        <v>653</v>
      </c>
      <c r="E1093" s="5" t="n">
        <v>3</v>
      </c>
      <c r="F1093" s="6" t="n">
        <f aca="false">IFERROR(MATCH(A1093&amp;"|"&amp;B1093&amp;"|"&amp;D1093,'All Song Rankings'!$T:$T,0),0)</f>
        <v>181</v>
      </c>
      <c r="G1093" s="6" t="str">
        <f aca="false">IF(F1093=0,"NOT FOUND",INDEX('All Song Rankings'!$A:$A,F1093))</f>
        <v>Insane</v>
      </c>
      <c r="H1093" s="6" t="str">
        <f aca="false">IF(F1093=0,"NOT FOUND",INDEX('All Song Rankings'!$B:$B,F1093))</f>
        <v>Black Gryph0n</v>
      </c>
      <c r="I1093" s="6" t="str">
        <f aca="false">IF(F1093=0,"NOT FOUND",INDEX('All Song Rankings'!$D:$D,F1093))</f>
        <v>Matt</v>
      </c>
      <c r="J1093" s="7" t="str">
        <f aca="false">IF(F1093=0,"NOT FOUND",IF(C1093=I1093,"SELF-VOTE",IF(COUNTIF($K:$K,K1093)&gt;1,"DUPLICATE","OK")))</f>
        <v>OK</v>
      </c>
      <c r="K1093" s="6" t="str">
        <f aca="false">A1093&amp;"|"&amp;B1093&amp;"|"&amp;C1093&amp;"|"&amp;D1093</f>
        <v>2|8|Grace|spotify:track:5flerg6aEao2VayZezVlgu</v>
      </c>
    </row>
    <row r="1094" customFormat="false" ht="15" hidden="false" customHeight="false" outlineLevel="0" collapsed="false">
      <c r="A1094" s="5" t="n">
        <v>2</v>
      </c>
      <c r="B1094" s="5" t="n">
        <v>8</v>
      </c>
      <c r="C1094" s="5" t="s">
        <v>85</v>
      </c>
      <c r="D1094" s="5" t="s">
        <v>671</v>
      </c>
      <c r="E1094" s="5" t="n">
        <v>2</v>
      </c>
      <c r="F1094" s="6" t="n">
        <f aca="false">IFERROR(MATCH(A1094&amp;"|"&amp;B1094&amp;"|"&amp;D1094,'All Song Rankings'!$T:$T,0),0)</f>
        <v>187</v>
      </c>
      <c r="G1094" s="6" t="str">
        <f aca="false">IF(F1094=0,"NOT FOUND",INDEX('All Song Rankings'!$A:$A,F1094))</f>
        <v>Livin' in the Sunlight, Lovin' in the Moon Light</v>
      </c>
      <c r="H1094" s="6" t="str">
        <f aca="false">IF(F1094=0,"NOT FOUND",INDEX('All Song Rankings'!$B:$B,F1094))</f>
        <v>Tiny Tim</v>
      </c>
      <c r="I1094" s="6" t="str">
        <f aca="false">IF(F1094=0,"NOT FOUND",INDEX('All Song Rankings'!$D:$D,F1094))</f>
        <v>Grace</v>
      </c>
      <c r="J1094" s="7" t="str">
        <f aca="false">IF(F1094=0,"NOT FOUND",IF(C1094=I1094,"SELF-VOTE",IF(COUNTIF($K:$K,K1094)&gt;1,"DUPLICATE","OK")))</f>
        <v>OK</v>
      </c>
      <c r="K1094" s="6" t="str">
        <f aca="false">A1094&amp;"|"&amp;B1094&amp;"|"&amp;C1094&amp;"|"&amp;D1094</f>
        <v>2|8|Kelsey|spotify:track:1PmXm1881bonBI1AlG5uaH</v>
      </c>
    </row>
    <row r="1095" customFormat="false" ht="15" hidden="false" customHeight="false" outlineLevel="0" collapsed="false">
      <c r="A1095" s="5" t="n">
        <v>2</v>
      </c>
      <c r="B1095" s="5" t="n">
        <v>8</v>
      </c>
      <c r="C1095" s="5" t="s">
        <v>85</v>
      </c>
      <c r="D1095" s="5" t="s">
        <v>664</v>
      </c>
      <c r="E1095" s="5" t="n">
        <v>1</v>
      </c>
      <c r="F1095" s="6" t="n">
        <f aca="false">IFERROR(MATCH(A1095&amp;"|"&amp;B1095&amp;"|"&amp;D1095,'All Song Rankings'!$T:$T,0),0)</f>
        <v>185</v>
      </c>
      <c r="G1095" s="6" t="str">
        <f aca="false">IF(F1095=0,"NOT FOUND",INDEX('All Song Rankings'!$A:$A,F1095))</f>
        <v>Shatter Me Featuring Lzzy Hale</v>
      </c>
      <c r="H1095" s="6" t="str">
        <f aca="false">IF(F1095=0,"NOT FOUND",INDEX('All Song Rankings'!$B:$B,F1095))</f>
        <v>Lindsey Stirling</v>
      </c>
      <c r="I1095" s="6" t="str">
        <f aca="false">IF(F1095=0,"NOT FOUND",INDEX('All Song Rankings'!$D:$D,F1095))</f>
        <v>Leah</v>
      </c>
      <c r="J1095" s="7" t="str">
        <f aca="false">IF(F1095=0,"NOT FOUND",IF(C1095=I1095,"SELF-VOTE",IF(COUNTIF($K:$K,K1095)&gt;1,"DUPLICATE","OK")))</f>
        <v>OK</v>
      </c>
      <c r="K1095" s="6" t="str">
        <f aca="false">A1095&amp;"|"&amp;B1095&amp;"|"&amp;C1095&amp;"|"&amp;D1095</f>
        <v>2|8|Kelsey|spotify:track:2K7j4xrQENCi5r3Hii4cVe</v>
      </c>
    </row>
    <row r="1096" customFormat="false" ht="15" hidden="false" customHeight="false" outlineLevel="0" collapsed="false">
      <c r="A1096" s="5" t="n">
        <v>2</v>
      </c>
      <c r="B1096" s="5" t="n">
        <v>8</v>
      </c>
      <c r="C1096" s="5" t="s">
        <v>85</v>
      </c>
      <c r="D1096" s="5" t="s">
        <v>656</v>
      </c>
      <c r="E1096" s="5" t="n">
        <v>1</v>
      </c>
      <c r="F1096" s="6" t="n">
        <f aca="false">IFERROR(MATCH(A1096&amp;"|"&amp;B1096&amp;"|"&amp;D1096,'All Song Rankings'!$T:$T,0),0)</f>
        <v>182</v>
      </c>
      <c r="G1096" s="6" t="str">
        <f aca="false">IF(F1096=0,"NOT FOUND",INDEX('All Song Rankings'!$A:$A,F1096))</f>
        <v>PARAMOUR (feat. AURORA)</v>
      </c>
      <c r="H1096" s="6" t="str">
        <f aca="false">IF(F1096=0,"NOT FOUND",INDEX('All Song Rankings'!$B:$B,F1096))</f>
        <v>Sub Urban</v>
      </c>
      <c r="I1096" s="6" t="str">
        <f aca="false">IF(F1096=0,"NOT FOUND",INDEX('All Song Rankings'!$D:$D,F1096))</f>
        <v>Merita</v>
      </c>
      <c r="J1096" s="7" t="str">
        <f aca="false">IF(F1096=0,"NOT FOUND",IF(C1096=I1096,"SELF-VOTE",IF(COUNTIF($K:$K,K1096)&gt;1,"DUPLICATE","OK")))</f>
        <v>OK</v>
      </c>
      <c r="K1096" s="6" t="str">
        <f aca="false">A1096&amp;"|"&amp;B1096&amp;"|"&amp;C1096&amp;"|"&amp;D1096</f>
        <v>2|8|Kelsey|spotify:track:3PIla3hOLQxw5l6GW2jdZu</v>
      </c>
    </row>
    <row r="1097" customFormat="false" ht="15" hidden="false" customHeight="false" outlineLevel="0" collapsed="false">
      <c r="A1097" s="5" t="n">
        <v>2</v>
      </c>
      <c r="B1097" s="5" t="n">
        <v>8</v>
      </c>
      <c r="C1097" s="5" t="s">
        <v>85</v>
      </c>
      <c r="D1097" s="5" t="s">
        <v>650</v>
      </c>
      <c r="E1097" s="5" t="n">
        <v>2</v>
      </c>
      <c r="F1097" s="6" t="n">
        <f aca="false">IFERROR(MATCH(A1097&amp;"|"&amp;B1097&amp;"|"&amp;D1097,'All Song Rankings'!$T:$T,0),0)</f>
        <v>180</v>
      </c>
      <c r="G1097" s="6" t="str">
        <f aca="false">IF(F1097=0,"NOT FOUND",INDEX('All Song Rankings'!$A:$A,F1097))</f>
        <v>you should see me in a crown</v>
      </c>
      <c r="H1097" s="6" t="str">
        <f aca="false">IF(F1097=0,"NOT FOUND",INDEX('All Song Rankings'!$B:$B,F1097))</f>
        <v>Billie Eilish</v>
      </c>
      <c r="I1097" s="6" t="str">
        <f aca="false">IF(F1097=0,"NOT FOUND",INDEX('All Song Rankings'!$D:$D,F1097))</f>
        <v>Makenzie</v>
      </c>
      <c r="J1097" s="7" t="str">
        <f aca="false">IF(F1097=0,"NOT FOUND",IF(C1097=I1097,"SELF-VOTE",IF(COUNTIF($K:$K,K1097)&gt;1,"DUPLICATE","OK")))</f>
        <v>OK</v>
      </c>
      <c r="K1097" s="6" t="str">
        <f aca="false">A1097&amp;"|"&amp;B1097&amp;"|"&amp;C1097&amp;"|"&amp;D1097</f>
        <v>2|8|Kelsey|spotify:track:3XF5xLJHOQQRbWya6hBp7d</v>
      </c>
    </row>
    <row r="1098" customFormat="false" ht="15" hidden="false" customHeight="false" outlineLevel="0" collapsed="false">
      <c r="A1098" s="5" t="n">
        <v>2</v>
      </c>
      <c r="B1098" s="5" t="n">
        <v>8</v>
      </c>
      <c r="C1098" s="5" t="s">
        <v>85</v>
      </c>
      <c r="D1098" s="5" t="s">
        <v>659</v>
      </c>
      <c r="E1098" s="5" t="n">
        <v>1</v>
      </c>
      <c r="F1098" s="6" t="n">
        <f aca="false">IFERROR(MATCH(A1098&amp;"|"&amp;B1098&amp;"|"&amp;D1098,'All Song Rankings'!$T:$T,0),0)</f>
        <v>183</v>
      </c>
      <c r="G1098" s="6" t="str">
        <f aca="false">IF(F1098=0,"NOT FOUND",INDEX('All Song Rankings'!$A:$A,F1098))</f>
        <v>Maneater</v>
      </c>
      <c r="H1098" s="6" t="str">
        <f aca="false">IF(F1098=0,"NOT FOUND",INDEX('All Song Rankings'!$B:$B,F1098))</f>
        <v>Nelly Furtado</v>
      </c>
      <c r="I1098" s="6" t="str">
        <f aca="false">IF(F1098=0,"NOT FOUND",INDEX('All Song Rankings'!$D:$D,F1098))</f>
        <v>Stephanie</v>
      </c>
      <c r="J1098" s="7" t="str">
        <f aca="false">IF(F1098=0,"NOT FOUND",IF(C1098=I1098,"SELF-VOTE",IF(COUNTIF($K:$K,K1098)&gt;1,"DUPLICATE","OK")))</f>
        <v>OK</v>
      </c>
      <c r="K1098" s="6" t="str">
        <f aca="false">A1098&amp;"|"&amp;B1098&amp;"|"&amp;C1098&amp;"|"&amp;D1098</f>
        <v>2|8|Kelsey|spotify:track:4wH4dJgrsxONID6KS2tDQM</v>
      </c>
    </row>
    <row r="1099" customFormat="false" ht="15" hidden="false" customHeight="false" outlineLevel="0" collapsed="false">
      <c r="A1099" s="5" t="n">
        <v>2</v>
      </c>
      <c r="B1099" s="5" t="n">
        <v>8</v>
      </c>
      <c r="C1099" s="5" t="s">
        <v>85</v>
      </c>
      <c r="D1099" s="5" t="s">
        <v>653</v>
      </c>
      <c r="E1099" s="5" t="n">
        <v>3</v>
      </c>
      <c r="F1099" s="6" t="n">
        <f aca="false">IFERROR(MATCH(A1099&amp;"|"&amp;B1099&amp;"|"&amp;D1099,'All Song Rankings'!$T:$T,0),0)</f>
        <v>181</v>
      </c>
      <c r="G1099" s="6" t="str">
        <f aca="false">IF(F1099=0,"NOT FOUND",INDEX('All Song Rankings'!$A:$A,F1099))</f>
        <v>Insane</v>
      </c>
      <c r="H1099" s="6" t="str">
        <f aca="false">IF(F1099=0,"NOT FOUND",INDEX('All Song Rankings'!$B:$B,F1099))</f>
        <v>Black Gryph0n</v>
      </c>
      <c r="I1099" s="6" t="str">
        <f aca="false">IF(F1099=0,"NOT FOUND",INDEX('All Song Rankings'!$D:$D,F1099))</f>
        <v>Matt</v>
      </c>
      <c r="J1099" s="7" t="str">
        <f aca="false">IF(F1099=0,"NOT FOUND",IF(C1099=I1099,"SELF-VOTE",IF(COUNTIF($K:$K,K1099)&gt;1,"DUPLICATE","OK")))</f>
        <v>OK</v>
      </c>
      <c r="K1099" s="6" t="str">
        <f aca="false">A1099&amp;"|"&amp;B1099&amp;"|"&amp;C1099&amp;"|"&amp;D1099</f>
        <v>2|8|Kelsey|spotify:track:5flerg6aEao2VayZezVlgu</v>
      </c>
    </row>
    <row r="1100" customFormat="false" ht="15" hidden="false" customHeight="false" outlineLevel="0" collapsed="false">
      <c r="A1100" s="5" t="n">
        <v>2</v>
      </c>
      <c r="B1100" s="5" t="n">
        <v>8</v>
      </c>
      <c r="C1100" s="5" t="s">
        <v>106</v>
      </c>
      <c r="D1100" s="5" t="s">
        <v>674</v>
      </c>
      <c r="E1100" s="5" t="n">
        <v>2</v>
      </c>
      <c r="F1100" s="6" t="n">
        <f aca="false">IFERROR(MATCH(A1100&amp;"|"&amp;B1100&amp;"|"&amp;D1100,'All Song Rankings'!$T:$T,0),0)</f>
        <v>188</v>
      </c>
      <c r="G1100" s="6" t="str">
        <f aca="false">IF(F1100=0,"NOT FOUND",INDEX('All Song Rankings'!$A:$A,F1100))</f>
        <v>Mount Everest</v>
      </c>
      <c r="H1100" s="6" t="str">
        <f aca="false">IF(F1100=0,"NOT FOUND",INDEX('All Song Rankings'!$B:$B,F1100))</f>
        <v>Labrinth</v>
      </c>
      <c r="I1100" s="6" t="str">
        <f aca="false">IF(F1100=0,"NOT FOUND",INDEX('All Song Rankings'!$D:$D,F1100))</f>
        <v>Logan</v>
      </c>
      <c r="J1100" s="7" t="str">
        <f aca="false">IF(F1100=0,"NOT FOUND",IF(C1100=I1100,"SELF-VOTE",IF(COUNTIF($K:$K,K1100)&gt;1,"DUPLICATE","OK")))</f>
        <v>OK</v>
      </c>
      <c r="K1100" s="6" t="str">
        <f aca="false">A1100&amp;"|"&amp;B1100&amp;"|"&amp;C1100&amp;"|"&amp;D1100</f>
        <v>2|8|Kristen|spotify:track:1ZdhOMWyFR8Iv9eylMGYg2</v>
      </c>
    </row>
    <row r="1101" customFormat="false" ht="15" hidden="false" customHeight="false" outlineLevel="0" collapsed="false">
      <c r="A1101" s="5" t="n">
        <v>2</v>
      </c>
      <c r="B1101" s="5" t="n">
        <v>8</v>
      </c>
      <c r="C1101" s="5" t="s">
        <v>106</v>
      </c>
      <c r="D1101" s="5" t="s">
        <v>664</v>
      </c>
      <c r="E1101" s="5" t="n">
        <v>1</v>
      </c>
      <c r="F1101" s="6" t="n">
        <f aca="false">IFERROR(MATCH(A1101&amp;"|"&amp;B1101&amp;"|"&amp;D1101,'All Song Rankings'!$T:$T,0),0)</f>
        <v>185</v>
      </c>
      <c r="G1101" s="6" t="str">
        <f aca="false">IF(F1101=0,"NOT FOUND",INDEX('All Song Rankings'!$A:$A,F1101))</f>
        <v>Shatter Me Featuring Lzzy Hale</v>
      </c>
      <c r="H1101" s="6" t="str">
        <f aca="false">IF(F1101=0,"NOT FOUND",INDEX('All Song Rankings'!$B:$B,F1101))</f>
        <v>Lindsey Stirling</v>
      </c>
      <c r="I1101" s="6" t="str">
        <f aca="false">IF(F1101=0,"NOT FOUND",INDEX('All Song Rankings'!$D:$D,F1101))</f>
        <v>Leah</v>
      </c>
      <c r="J1101" s="7" t="str">
        <f aca="false">IF(F1101=0,"NOT FOUND",IF(C1101=I1101,"SELF-VOTE",IF(COUNTIF($K:$K,K1101)&gt;1,"DUPLICATE","OK")))</f>
        <v>OK</v>
      </c>
      <c r="K1101" s="6" t="str">
        <f aca="false">A1101&amp;"|"&amp;B1101&amp;"|"&amp;C1101&amp;"|"&amp;D1101</f>
        <v>2|8|Kristen|spotify:track:2K7j4xrQENCi5r3Hii4cVe</v>
      </c>
    </row>
    <row r="1102" customFormat="false" ht="15" hidden="false" customHeight="false" outlineLevel="0" collapsed="false">
      <c r="A1102" s="5" t="n">
        <v>2</v>
      </c>
      <c r="B1102" s="5" t="n">
        <v>8</v>
      </c>
      <c r="C1102" s="5" t="s">
        <v>106</v>
      </c>
      <c r="D1102" s="5" t="s">
        <v>656</v>
      </c>
      <c r="E1102" s="5" t="n">
        <v>1</v>
      </c>
      <c r="F1102" s="6" t="n">
        <f aca="false">IFERROR(MATCH(A1102&amp;"|"&amp;B1102&amp;"|"&amp;D1102,'All Song Rankings'!$T:$T,0),0)</f>
        <v>182</v>
      </c>
      <c r="G1102" s="6" t="str">
        <f aca="false">IF(F1102=0,"NOT FOUND",INDEX('All Song Rankings'!$A:$A,F1102))</f>
        <v>PARAMOUR (feat. AURORA)</v>
      </c>
      <c r="H1102" s="6" t="str">
        <f aca="false">IF(F1102=0,"NOT FOUND",INDEX('All Song Rankings'!$B:$B,F1102))</f>
        <v>Sub Urban</v>
      </c>
      <c r="I1102" s="6" t="str">
        <f aca="false">IF(F1102=0,"NOT FOUND",INDEX('All Song Rankings'!$D:$D,F1102))</f>
        <v>Merita</v>
      </c>
      <c r="J1102" s="7" t="str">
        <f aca="false">IF(F1102=0,"NOT FOUND",IF(C1102=I1102,"SELF-VOTE",IF(COUNTIF($K:$K,K1102)&gt;1,"DUPLICATE","OK")))</f>
        <v>OK</v>
      </c>
      <c r="K1102" s="6" t="str">
        <f aca="false">A1102&amp;"|"&amp;B1102&amp;"|"&amp;C1102&amp;"|"&amp;D1102</f>
        <v>2|8|Kristen|spotify:track:3PIla3hOLQxw5l6GW2jdZu</v>
      </c>
    </row>
    <row r="1103" customFormat="false" ht="15" hidden="false" customHeight="false" outlineLevel="0" collapsed="false">
      <c r="A1103" s="5" t="n">
        <v>2</v>
      </c>
      <c r="B1103" s="5" t="n">
        <v>8</v>
      </c>
      <c r="C1103" s="5" t="s">
        <v>106</v>
      </c>
      <c r="D1103" s="5" t="s">
        <v>650</v>
      </c>
      <c r="E1103" s="5" t="n">
        <v>2</v>
      </c>
      <c r="F1103" s="6" t="n">
        <f aca="false">IFERROR(MATCH(A1103&amp;"|"&amp;B1103&amp;"|"&amp;D1103,'All Song Rankings'!$T:$T,0),0)</f>
        <v>180</v>
      </c>
      <c r="G1103" s="6" t="str">
        <f aca="false">IF(F1103=0,"NOT FOUND",INDEX('All Song Rankings'!$A:$A,F1103))</f>
        <v>you should see me in a crown</v>
      </c>
      <c r="H1103" s="6" t="str">
        <f aca="false">IF(F1103=0,"NOT FOUND",INDEX('All Song Rankings'!$B:$B,F1103))</f>
        <v>Billie Eilish</v>
      </c>
      <c r="I1103" s="6" t="str">
        <f aca="false">IF(F1103=0,"NOT FOUND",INDEX('All Song Rankings'!$D:$D,F1103))</f>
        <v>Makenzie</v>
      </c>
      <c r="J1103" s="7" t="str">
        <f aca="false">IF(F1103=0,"NOT FOUND",IF(C1103=I1103,"SELF-VOTE",IF(COUNTIF($K:$K,K1103)&gt;1,"DUPLICATE","OK")))</f>
        <v>OK</v>
      </c>
      <c r="K1103" s="6" t="str">
        <f aca="false">A1103&amp;"|"&amp;B1103&amp;"|"&amp;C1103&amp;"|"&amp;D1103</f>
        <v>2|8|Kristen|spotify:track:3XF5xLJHOQQRbWya6hBp7d</v>
      </c>
    </row>
    <row r="1104" customFormat="false" ht="15" hidden="false" customHeight="false" outlineLevel="0" collapsed="false">
      <c r="A1104" s="5" t="n">
        <v>2</v>
      </c>
      <c r="B1104" s="5" t="n">
        <v>8</v>
      </c>
      <c r="C1104" s="5" t="s">
        <v>106</v>
      </c>
      <c r="D1104" s="5" t="s">
        <v>662</v>
      </c>
      <c r="E1104" s="5" t="n">
        <v>1</v>
      </c>
      <c r="F1104" s="6" t="n">
        <f aca="false">IFERROR(MATCH(A1104&amp;"|"&amp;B1104&amp;"|"&amp;D1104,'All Song Rankings'!$T:$T,0),0)</f>
        <v>184</v>
      </c>
      <c r="G1104" s="6" t="str">
        <f aca="false">IF(F1104=0,"NOT FOUND",INDEX('All Song Rankings'!$A:$A,F1104))</f>
        <v>Seven Nation Army</v>
      </c>
      <c r="H1104" s="6" t="str">
        <f aca="false">IF(F1104=0,"NOT FOUND",INDEX('All Song Rankings'!$B:$B,F1104))</f>
        <v>The White Stripes</v>
      </c>
      <c r="I1104" s="6" t="str">
        <f aca="false">IF(F1104=0,"NOT FOUND",INDEX('All Song Rankings'!$D:$D,F1104))</f>
        <v>Kelsey</v>
      </c>
      <c r="J1104" s="7" t="str">
        <f aca="false">IF(F1104=0,"NOT FOUND",IF(C1104=I1104,"SELF-VOTE",IF(COUNTIF($K:$K,K1104)&gt;1,"DUPLICATE","OK")))</f>
        <v>OK</v>
      </c>
      <c r="K1104" s="6" t="str">
        <f aca="false">A1104&amp;"|"&amp;B1104&amp;"|"&amp;C1104&amp;"|"&amp;D1104</f>
        <v>2|8|Kristen|spotify:track:3dPQuX8Gs42Y7b454ybpMR</v>
      </c>
    </row>
    <row r="1105" customFormat="false" ht="15" hidden="false" customHeight="false" outlineLevel="0" collapsed="false">
      <c r="A1105" s="5" t="n">
        <v>2</v>
      </c>
      <c r="B1105" s="5" t="n">
        <v>8</v>
      </c>
      <c r="C1105" s="5" t="s">
        <v>106</v>
      </c>
      <c r="D1105" s="5" t="s">
        <v>653</v>
      </c>
      <c r="E1105" s="5" t="n">
        <v>1</v>
      </c>
      <c r="F1105" s="6" t="n">
        <f aca="false">IFERROR(MATCH(A1105&amp;"|"&amp;B1105&amp;"|"&amp;D1105,'All Song Rankings'!$T:$T,0),0)</f>
        <v>181</v>
      </c>
      <c r="G1105" s="6" t="str">
        <f aca="false">IF(F1105=0,"NOT FOUND",INDEX('All Song Rankings'!$A:$A,F1105))</f>
        <v>Insane</v>
      </c>
      <c r="H1105" s="6" t="str">
        <f aca="false">IF(F1105=0,"NOT FOUND",INDEX('All Song Rankings'!$B:$B,F1105))</f>
        <v>Black Gryph0n</v>
      </c>
      <c r="I1105" s="6" t="str">
        <f aca="false">IF(F1105=0,"NOT FOUND",INDEX('All Song Rankings'!$D:$D,F1105))</f>
        <v>Matt</v>
      </c>
      <c r="J1105" s="7" t="str">
        <f aca="false">IF(F1105=0,"NOT FOUND",IF(C1105=I1105,"SELF-VOTE",IF(COUNTIF($K:$K,K1105)&gt;1,"DUPLICATE","OK")))</f>
        <v>OK</v>
      </c>
      <c r="K1105" s="6" t="str">
        <f aca="false">A1105&amp;"|"&amp;B1105&amp;"|"&amp;C1105&amp;"|"&amp;D1105</f>
        <v>2|8|Kristen|spotify:track:5flerg6aEao2VayZezVlgu</v>
      </c>
    </row>
    <row r="1106" customFormat="false" ht="15" hidden="false" customHeight="false" outlineLevel="0" collapsed="false">
      <c r="A1106" s="5" t="n">
        <v>2</v>
      </c>
      <c r="B1106" s="5" t="n">
        <v>8</v>
      </c>
      <c r="C1106" s="5" t="s">
        <v>106</v>
      </c>
      <c r="D1106" s="5" t="s">
        <v>683</v>
      </c>
      <c r="E1106" s="5" t="n">
        <v>1</v>
      </c>
      <c r="F1106" s="6" t="n">
        <f aca="false">IFERROR(MATCH(A1106&amp;"|"&amp;B1106&amp;"|"&amp;D1106,'All Song Rankings'!$T:$T,0),0)</f>
        <v>192</v>
      </c>
      <c r="G1106" s="6" t="str">
        <f aca="false">IF(F1106=0,"NOT FOUND",INDEX('All Song Rankings'!$A:$A,F1106))</f>
        <v>Bow Down</v>
      </c>
      <c r="H1106" s="6" t="str">
        <f aca="false">IF(F1106=0,"NOT FOUND",INDEX('All Song Rankings'!$B:$B,F1106))</f>
        <v>I Prevail</v>
      </c>
      <c r="I1106" s="6" t="str">
        <f aca="false">IF(F1106=0,"NOT FOUND",INDEX('All Song Rankings'!$D:$D,F1106))</f>
        <v>Scott</v>
      </c>
      <c r="J1106" s="7" t="str">
        <f aca="false">IF(F1106=0,"NOT FOUND",IF(C1106=I1106,"SELF-VOTE",IF(COUNTIF($K:$K,K1106)&gt;1,"DUPLICATE","OK")))</f>
        <v>OK</v>
      </c>
      <c r="K1106" s="6" t="str">
        <f aca="false">A1106&amp;"|"&amp;B1106&amp;"|"&amp;C1106&amp;"|"&amp;D1106</f>
        <v>2|8|Kristen|spotify:track:5qD3Qv8Wu3r5uRD0DahcZy</v>
      </c>
    </row>
    <row r="1107" customFormat="false" ht="15" hidden="false" customHeight="false" outlineLevel="0" collapsed="false">
      <c r="A1107" s="5" t="n">
        <v>2</v>
      </c>
      <c r="B1107" s="5" t="n">
        <v>8</v>
      </c>
      <c r="C1107" s="5" t="s">
        <v>106</v>
      </c>
      <c r="D1107" s="5" t="s">
        <v>667</v>
      </c>
      <c r="E1107" s="5" t="n">
        <v>1</v>
      </c>
      <c r="F1107" s="6" t="n">
        <f aca="false">IFERROR(MATCH(A1107&amp;"|"&amp;B1107&amp;"|"&amp;D1107,'All Song Rankings'!$T:$T,0),0)</f>
        <v>186</v>
      </c>
      <c r="G1107" s="6" t="str">
        <f aca="false">IF(F1107=0,"NOT FOUND",INDEX('All Song Rankings'!$A:$A,F1107))</f>
        <v>Bad Guy</v>
      </c>
      <c r="H1107" s="6" t="str">
        <f aca="false">IF(F1107=0,"NOT FOUND",INDEX('All Song Rankings'!$B:$B,F1107))</f>
        <v>Falling In Reverse</v>
      </c>
      <c r="I1107" s="6" t="str">
        <f aca="false">IF(F1107=0,"NOT FOUND",INDEX('All Song Rankings'!$D:$D,F1107))</f>
        <v>Nicole</v>
      </c>
      <c r="J1107" s="7" t="str">
        <f aca="false">IF(F1107=0,"NOT FOUND",IF(C1107=I1107,"SELF-VOTE",IF(COUNTIF($K:$K,K1107)&gt;1,"DUPLICATE","OK")))</f>
        <v>OK</v>
      </c>
      <c r="K1107" s="6" t="str">
        <f aca="false">A1107&amp;"|"&amp;B1107&amp;"|"&amp;C1107&amp;"|"&amp;D1107</f>
        <v>2|8|Kristen|spotify:track:7uAWPqXthO4pO2Exc8V90t</v>
      </c>
    </row>
    <row r="1108" customFormat="false" ht="15" hidden="false" customHeight="false" outlineLevel="0" collapsed="false">
      <c r="A1108" s="5" t="n">
        <v>2</v>
      </c>
      <c r="B1108" s="5" t="n">
        <v>8</v>
      </c>
      <c r="C1108" s="5" t="s">
        <v>119</v>
      </c>
      <c r="D1108" s="5" t="s">
        <v>680</v>
      </c>
      <c r="E1108" s="5" t="n">
        <v>1</v>
      </c>
      <c r="F1108" s="6" t="n">
        <f aca="false">IFERROR(MATCH(A1108&amp;"|"&amp;B1108&amp;"|"&amp;D1108,'All Song Rankings'!$T:$T,0),0)</f>
        <v>190</v>
      </c>
      <c r="G1108" s="6" t="str">
        <f aca="false">IF(F1108=0,"NOT FOUND",INDEX('All Song Rankings'!$A:$A,F1108))</f>
        <v>Killing Strangers</v>
      </c>
      <c r="H1108" s="6" t="str">
        <f aca="false">IF(F1108=0,"NOT FOUND",INDEX('All Song Rankings'!$B:$B,F1108))</f>
        <v>Marilyn Manson</v>
      </c>
      <c r="I1108" s="6" t="str">
        <f aca="false">IF(F1108=0,"NOT FOUND",INDEX('All Song Rankings'!$D:$D,F1108))</f>
        <v>Kristen</v>
      </c>
      <c r="J1108" s="7" t="str">
        <f aca="false">IF(F1108=0,"NOT FOUND",IF(C1108=I1108,"SELF-VOTE",IF(COUNTIF($K:$K,K1108)&gt;1,"DUPLICATE","OK")))</f>
        <v>OK</v>
      </c>
      <c r="K1108" s="6" t="str">
        <f aca="false">A1108&amp;"|"&amp;B1108&amp;"|"&amp;C1108&amp;"|"&amp;D1108</f>
        <v>2|8|Leah|spotify:track:2naBVHNHinneXOYmczG7xE</v>
      </c>
    </row>
    <row r="1109" customFormat="false" ht="15" hidden="false" customHeight="false" outlineLevel="0" collapsed="false">
      <c r="A1109" s="5" t="n">
        <v>2</v>
      </c>
      <c r="B1109" s="5" t="n">
        <v>8</v>
      </c>
      <c r="C1109" s="5" t="s">
        <v>119</v>
      </c>
      <c r="D1109" s="5" t="s">
        <v>656</v>
      </c>
      <c r="E1109" s="5" t="n">
        <v>1</v>
      </c>
      <c r="F1109" s="6" t="n">
        <f aca="false">IFERROR(MATCH(A1109&amp;"|"&amp;B1109&amp;"|"&amp;D1109,'All Song Rankings'!$T:$T,0),0)</f>
        <v>182</v>
      </c>
      <c r="G1109" s="6" t="str">
        <f aca="false">IF(F1109=0,"NOT FOUND",INDEX('All Song Rankings'!$A:$A,F1109))</f>
        <v>PARAMOUR (feat. AURORA)</v>
      </c>
      <c r="H1109" s="6" t="str">
        <f aca="false">IF(F1109=0,"NOT FOUND",INDEX('All Song Rankings'!$B:$B,F1109))</f>
        <v>Sub Urban</v>
      </c>
      <c r="I1109" s="6" t="str">
        <f aca="false">IF(F1109=0,"NOT FOUND",INDEX('All Song Rankings'!$D:$D,F1109))</f>
        <v>Merita</v>
      </c>
      <c r="J1109" s="7" t="str">
        <f aca="false">IF(F1109=0,"NOT FOUND",IF(C1109=I1109,"SELF-VOTE",IF(COUNTIF($K:$K,K1109)&gt;1,"DUPLICATE","OK")))</f>
        <v>OK</v>
      </c>
      <c r="K1109" s="6" t="str">
        <f aca="false">A1109&amp;"|"&amp;B1109&amp;"|"&amp;C1109&amp;"|"&amp;D1109</f>
        <v>2|8|Leah|spotify:track:3PIla3hOLQxw5l6GW2jdZu</v>
      </c>
    </row>
    <row r="1110" customFormat="false" ht="15" hidden="false" customHeight="false" outlineLevel="0" collapsed="false">
      <c r="A1110" s="5" t="n">
        <v>2</v>
      </c>
      <c r="B1110" s="5" t="n">
        <v>8</v>
      </c>
      <c r="C1110" s="5" t="s">
        <v>119</v>
      </c>
      <c r="D1110" s="5" t="s">
        <v>650</v>
      </c>
      <c r="E1110" s="5" t="n">
        <v>1</v>
      </c>
      <c r="F1110" s="6" t="n">
        <f aca="false">IFERROR(MATCH(A1110&amp;"|"&amp;B1110&amp;"|"&amp;D1110,'All Song Rankings'!$T:$T,0),0)</f>
        <v>180</v>
      </c>
      <c r="G1110" s="6" t="str">
        <f aca="false">IF(F1110=0,"NOT FOUND",INDEX('All Song Rankings'!$A:$A,F1110))</f>
        <v>you should see me in a crown</v>
      </c>
      <c r="H1110" s="6" t="str">
        <f aca="false">IF(F1110=0,"NOT FOUND",INDEX('All Song Rankings'!$B:$B,F1110))</f>
        <v>Billie Eilish</v>
      </c>
      <c r="I1110" s="6" t="str">
        <f aca="false">IF(F1110=0,"NOT FOUND",INDEX('All Song Rankings'!$D:$D,F1110))</f>
        <v>Makenzie</v>
      </c>
      <c r="J1110" s="7" t="str">
        <f aca="false">IF(F1110=0,"NOT FOUND",IF(C1110=I1110,"SELF-VOTE",IF(COUNTIF($K:$K,K1110)&gt;1,"DUPLICATE","OK")))</f>
        <v>OK</v>
      </c>
      <c r="K1110" s="6" t="str">
        <f aca="false">A1110&amp;"|"&amp;B1110&amp;"|"&amp;C1110&amp;"|"&amp;D1110</f>
        <v>2|8|Leah|spotify:track:3XF5xLJHOQQRbWya6hBp7d</v>
      </c>
    </row>
    <row r="1111" customFormat="false" ht="15" hidden="false" customHeight="false" outlineLevel="0" collapsed="false">
      <c r="A1111" s="5" t="n">
        <v>2</v>
      </c>
      <c r="B1111" s="5" t="n">
        <v>8</v>
      </c>
      <c r="C1111" s="5" t="s">
        <v>119</v>
      </c>
      <c r="D1111" s="5" t="s">
        <v>659</v>
      </c>
      <c r="E1111" s="5" t="n">
        <v>1</v>
      </c>
      <c r="F1111" s="6" t="n">
        <f aca="false">IFERROR(MATCH(A1111&amp;"|"&amp;B1111&amp;"|"&amp;D1111,'All Song Rankings'!$T:$T,0),0)</f>
        <v>183</v>
      </c>
      <c r="G1111" s="6" t="str">
        <f aca="false">IF(F1111=0,"NOT FOUND",INDEX('All Song Rankings'!$A:$A,F1111))</f>
        <v>Maneater</v>
      </c>
      <c r="H1111" s="6" t="str">
        <f aca="false">IF(F1111=0,"NOT FOUND",INDEX('All Song Rankings'!$B:$B,F1111))</f>
        <v>Nelly Furtado</v>
      </c>
      <c r="I1111" s="6" t="str">
        <f aca="false">IF(F1111=0,"NOT FOUND",INDEX('All Song Rankings'!$D:$D,F1111))</f>
        <v>Stephanie</v>
      </c>
      <c r="J1111" s="7" t="str">
        <f aca="false">IF(F1111=0,"NOT FOUND",IF(C1111=I1111,"SELF-VOTE",IF(COUNTIF($K:$K,K1111)&gt;1,"DUPLICATE","OK")))</f>
        <v>OK</v>
      </c>
      <c r="K1111" s="6" t="str">
        <f aca="false">A1111&amp;"|"&amp;B1111&amp;"|"&amp;C1111&amp;"|"&amp;D1111</f>
        <v>2|8|Leah|spotify:track:4wH4dJgrsxONID6KS2tDQM</v>
      </c>
    </row>
    <row r="1112" customFormat="false" ht="15" hidden="false" customHeight="false" outlineLevel="0" collapsed="false">
      <c r="A1112" s="5" t="n">
        <v>2</v>
      </c>
      <c r="B1112" s="5" t="n">
        <v>8</v>
      </c>
      <c r="C1112" s="5" t="s">
        <v>119</v>
      </c>
      <c r="D1112" s="5" t="s">
        <v>653</v>
      </c>
      <c r="E1112" s="5" t="n">
        <v>2</v>
      </c>
      <c r="F1112" s="6" t="n">
        <f aca="false">IFERROR(MATCH(A1112&amp;"|"&amp;B1112&amp;"|"&amp;D1112,'All Song Rankings'!$T:$T,0),0)</f>
        <v>181</v>
      </c>
      <c r="G1112" s="6" t="str">
        <f aca="false">IF(F1112=0,"NOT FOUND",INDEX('All Song Rankings'!$A:$A,F1112))</f>
        <v>Insane</v>
      </c>
      <c r="H1112" s="6" t="str">
        <f aca="false">IF(F1112=0,"NOT FOUND",INDEX('All Song Rankings'!$B:$B,F1112))</f>
        <v>Black Gryph0n</v>
      </c>
      <c r="I1112" s="6" t="str">
        <f aca="false">IF(F1112=0,"NOT FOUND",INDEX('All Song Rankings'!$D:$D,F1112))</f>
        <v>Matt</v>
      </c>
      <c r="J1112" s="7" t="str">
        <f aca="false">IF(F1112=0,"NOT FOUND",IF(C1112=I1112,"SELF-VOTE",IF(COUNTIF($K:$K,K1112)&gt;1,"DUPLICATE","OK")))</f>
        <v>OK</v>
      </c>
      <c r="K1112" s="6" t="str">
        <f aca="false">A1112&amp;"|"&amp;B1112&amp;"|"&amp;C1112&amp;"|"&amp;D1112</f>
        <v>2|8|Leah|spotify:track:5flerg6aEao2VayZezVlgu</v>
      </c>
    </row>
    <row r="1113" customFormat="false" ht="15" hidden="false" customHeight="false" outlineLevel="0" collapsed="false">
      <c r="A1113" s="5" t="n">
        <v>2</v>
      </c>
      <c r="B1113" s="5" t="n">
        <v>8</v>
      </c>
      <c r="C1113" s="5" t="s">
        <v>119</v>
      </c>
      <c r="D1113" s="5" t="s">
        <v>683</v>
      </c>
      <c r="E1113" s="5" t="n">
        <v>2</v>
      </c>
      <c r="F1113" s="6" t="n">
        <f aca="false">IFERROR(MATCH(A1113&amp;"|"&amp;B1113&amp;"|"&amp;D1113,'All Song Rankings'!$T:$T,0),0)</f>
        <v>192</v>
      </c>
      <c r="G1113" s="6" t="str">
        <f aca="false">IF(F1113=0,"NOT FOUND",INDEX('All Song Rankings'!$A:$A,F1113))</f>
        <v>Bow Down</v>
      </c>
      <c r="H1113" s="6" t="str">
        <f aca="false">IF(F1113=0,"NOT FOUND",INDEX('All Song Rankings'!$B:$B,F1113))</f>
        <v>I Prevail</v>
      </c>
      <c r="I1113" s="6" t="str">
        <f aca="false">IF(F1113=0,"NOT FOUND",INDEX('All Song Rankings'!$D:$D,F1113))</f>
        <v>Scott</v>
      </c>
      <c r="J1113" s="7" t="str">
        <f aca="false">IF(F1113=0,"NOT FOUND",IF(C1113=I1113,"SELF-VOTE",IF(COUNTIF($K:$K,K1113)&gt;1,"DUPLICATE","OK")))</f>
        <v>OK</v>
      </c>
      <c r="K1113" s="6" t="str">
        <f aca="false">A1113&amp;"|"&amp;B1113&amp;"|"&amp;C1113&amp;"|"&amp;D1113</f>
        <v>2|8|Leah|spotify:track:5qD3Qv8Wu3r5uRD0DahcZy</v>
      </c>
    </row>
    <row r="1114" customFormat="false" ht="15" hidden="false" customHeight="false" outlineLevel="0" collapsed="false">
      <c r="A1114" s="5" t="n">
        <v>2</v>
      </c>
      <c r="B1114" s="5" t="n">
        <v>8</v>
      </c>
      <c r="C1114" s="5" t="s">
        <v>119</v>
      </c>
      <c r="D1114" s="5" t="s">
        <v>667</v>
      </c>
      <c r="E1114" s="5" t="n">
        <v>2</v>
      </c>
      <c r="F1114" s="6" t="n">
        <f aca="false">IFERROR(MATCH(A1114&amp;"|"&amp;B1114&amp;"|"&amp;D1114,'All Song Rankings'!$T:$T,0),0)</f>
        <v>186</v>
      </c>
      <c r="G1114" s="6" t="str">
        <f aca="false">IF(F1114=0,"NOT FOUND",INDEX('All Song Rankings'!$A:$A,F1114))</f>
        <v>Bad Guy</v>
      </c>
      <c r="H1114" s="6" t="str">
        <f aca="false">IF(F1114=0,"NOT FOUND",INDEX('All Song Rankings'!$B:$B,F1114))</f>
        <v>Falling In Reverse</v>
      </c>
      <c r="I1114" s="6" t="str">
        <f aca="false">IF(F1114=0,"NOT FOUND",INDEX('All Song Rankings'!$D:$D,F1114))</f>
        <v>Nicole</v>
      </c>
      <c r="J1114" s="7" t="str">
        <f aca="false">IF(F1114=0,"NOT FOUND",IF(C1114=I1114,"SELF-VOTE",IF(COUNTIF($K:$K,K1114)&gt;1,"DUPLICATE","OK")))</f>
        <v>OK</v>
      </c>
      <c r="K1114" s="6" t="str">
        <f aca="false">A1114&amp;"|"&amp;B1114&amp;"|"&amp;C1114&amp;"|"&amp;D1114</f>
        <v>2|8|Leah|spotify:track:7uAWPqXthO4pO2Exc8V90t</v>
      </c>
    </row>
    <row r="1115" customFormat="false" ht="15" hidden="false" customHeight="false" outlineLevel="0" collapsed="false">
      <c r="A1115" s="5" t="n">
        <v>2</v>
      </c>
      <c r="B1115" s="5" t="n">
        <v>8</v>
      </c>
      <c r="C1115" s="5" t="s">
        <v>128</v>
      </c>
      <c r="D1115" s="5" t="s">
        <v>664</v>
      </c>
      <c r="E1115" s="5" t="n">
        <v>1</v>
      </c>
      <c r="F1115" s="6" t="n">
        <f aca="false">IFERROR(MATCH(A1115&amp;"|"&amp;B1115&amp;"|"&amp;D1115,'All Song Rankings'!$T:$T,0),0)</f>
        <v>185</v>
      </c>
      <c r="G1115" s="6" t="str">
        <f aca="false">IF(F1115=0,"NOT FOUND",INDEX('All Song Rankings'!$A:$A,F1115))</f>
        <v>Shatter Me Featuring Lzzy Hale</v>
      </c>
      <c r="H1115" s="6" t="str">
        <f aca="false">IF(F1115=0,"NOT FOUND",INDEX('All Song Rankings'!$B:$B,F1115))</f>
        <v>Lindsey Stirling</v>
      </c>
      <c r="I1115" s="6" t="str">
        <f aca="false">IF(F1115=0,"NOT FOUND",INDEX('All Song Rankings'!$D:$D,F1115))</f>
        <v>Leah</v>
      </c>
      <c r="J1115" s="7" t="str">
        <f aca="false">IF(F1115=0,"NOT FOUND",IF(C1115=I1115,"SELF-VOTE",IF(COUNTIF($K:$K,K1115)&gt;1,"DUPLICATE","OK")))</f>
        <v>OK</v>
      </c>
      <c r="K1115" s="6" t="str">
        <f aca="false">A1115&amp;"|"&amp;B1115&amp;"|"&amp;C1115&amp;"|"&amp;D1115</f>
        <v>2|8|Logan|spotify:track:2K7j4xrQENCi5r3Hii4cVe</v>
      </c>
    </row>
    <row r="1116" customFormat="false" ht="15" hidden="false" customHeight="false" outlineLevel="0" collapsed="false">
      <c r="A1116" s="5" t="n">
        <v>2</v>
      </c>
      <c r="B1116" s="5" t="n">
        <v>8</v>
      </c>
      <c r="C1116" s="5" t="s">
        <v>128</v>
      </c>
      <c r="D1116" s="5" t="s">
        <v>656</v>
      </c>
      <c r="E1116" s="5" t="n">
        <v>3</v>
      </c>
      <c r="F1116" s="6" t="n">
        <f aca="false">IFERROR(MATCH(A1116&amp;"|"&amp;B1116&amp;"|"&amp;D1116,'All Song Rankings'!$T:$T,0),0)</f>
        <v>182</v>
      </c>
      <c r="G1116" s="6" t="str">
        <f aca="false">IF(F1116=0,"NOT FOUND",INDEX('All Song Rankings'!$A:$A,F1116))</f>
        <v>PARAMOUR (feat. AURORA)</v>
      </c>
      <c r="H1116" s="6" t="str">
        <f aca="false">IF(F1116=0,"NOT FOUND",INDEX('All Song Rankings'!$B:$B,F1116))</f>
        <v>Sub Urban</v>
      </c>
      <c r="I1116" s="6" t="str">
        <f aca="false">IF(F1116=0,"NOT FOUND",INDEX('All Song Rankings'!$D:$D,F1116))</f>
        <v>Merita</v>
      </c>
      <c r="J1116" s="7" t="str">
        <f aca="false">IF(F1116=0,"NOT FOUND",IF(C1116=I1116,"SELF-VOTE",IF(COUNTIF($K:$K,K1116)&gt;1,"DUPLICATE","OK")))</f>
        <v>OK</v>
      </c>
      <c r="K1116" s="6" t="str">
        <f aca="false">A1116&amp;"|"&amp;B1116&amp;"|"&amp;C1116&amp;"|"&amp;D1116</f>
        <v>2|8|Logan|spotify:track:3PIla3hOLQxw5l6GW2jdZu</v>
      </c>
    </row>
    <row r="1117" customFormat="false" ht="15" hidden="false" customHeight="false" outlineLevel="0" collapsed="false">
      <c r="A1117" s="5" t="n">
        <v>2</v>
      </c>
      <c r="B1117" s="5" t="n">
        <v>8</v>
      </c>
      <c r="C1117" s="5" t="s">
        <v>128</v>
      </c>
      <c r="D1117" s="5" t="s">
        <v>650</v>
      </c>
      <c r="E1117" s="5" t="n">
        <v>4</v>
      </c>
      <c r="F1117" s="6" t="n">
        <f aca="false">IFERROR(MATCH(A1117&amp;"|"&amp;B1117&amp;"|"&amp;D1117,'All Song Rankings'!$T:$T,0),0)</f>
        <v>180</v>
      </c>
      <c r="G1117" s="6" t="str">
        <f aca="false">IF(F1117=0,"NOT FOUND",INDEX('All Song Rankings'!$A:$A,F1117))</f>
        <v>you should see me in a crown</v>
      </c>
      <c r="H1117" s="6" t="str">
        <f aca="false">IF(F1117=0,"NOT FOUND",INDEX('All Song Rankings'!$B:$B,F1117))</f>
        <v>Billie Eilish</v>
      </c>
      <c r="I1117" s="6" t="str">
        <f aca="false">IF(F1117=0,"NOT FOUND",INDEX('All Song Rankings'!$D:$D,F1117))</f>
        <v>Makenzie</v>
      </c>
      <c r="J1117" s="7" t="str">
        <f aca="false">IF(F1117=0,"NOT FOUND",IF(C1117=I1117,"SELF-VOTE",IF(COUNTIF($K:$K,K1117)&gt;1,"DUPLICATE","OK")))</f>
        <v>OK</v>
      </c>
      <c r="K1117" s="6" t="str">
        <f aca="false">A1117&amp;"|"&amp;B1117&amp;"|"&amp;C1117&amp;"|"&amp;D1117</f>
        <v>2|8|Logan|spotify:track:3XF5xLJHOQQRbWya6hBp7d</v>
      </c>
    </row>
    <row r="1118" customFormat="false" ht="15" hidden="false" customHeight="false" outlineLevel="0" collapsed="false">
      <c r="A1118" s="5" t="n">
        <v>2</v>
      </c>
      <c r="B1118" s="5" t="n">
        <v>8</v>
      </c>
      <c r="C1118" s="5" t="s">
        <v>128</v>
      </c>
      <c r="D1118" s="5" t="s">
        <v>386</v>
      </c>
      <c r="E1118" s="5" t="n">
        <v>1</v>
      </c>
      <c r="F1118" s="6" t="n">
        <f aca="false">IFERROR(MATCH(A1118&amp;"|"&amp;B1118&amp;"|"&amp;D1118,'All Song Rankings'!$T:$T,0),0)</f>
        <v>191</v>
      </c>
      <c r="G1118" s="6" t="str">
        <f aca="false">IF(F1118=0,"NOT FOUND",INDEX('All Song Rankings'!$A:$A,F1118))</f>
        <v>Misery Business</v>
      </c>
      <c r="H1118" s="6" t="str">
        <f aca="false">IF(F1118=0,"NOT FOUND",INDEX('All Song Rankings'!$B:$B,F1118))</f>
        <v>Paramore</v>
      </c>
      <c r="I1118" s="6" t="str">
        <f aca="false">IF(F1118=0,"NOT FOUND",INDEX('All Song Rankings'!$D:$D,F1118))</f>
        <v>Colleen</v>
      </c>
      <c r="J1118" s="7" t="str">
        <f aca="false">IF(F1118=0,"NOT FOUND",IF(C1118=I1118,"SELF-VOTE",IF(COUNTIF($K:$K,K1118)&gt;1,"DUPLICATE","OK")))</f>
        <v>OK</v>
      </c>
      <c r="K1118" s="6" t="str">
        <f aca="false">A1118&amp;"|"&amp;B1118&amp;"|"&amp;C1118&amp;"|"&amp;D1118</f>
        <v>2|8|Logan|spotify:track:6SpLc7EXZIPpy0sVko0aoU</v>
      </c>
    </row>
    <row r="1119" customFormat="false" ht="15" hidden="false" customHeight="false" outlineLevel="0" collapsed="false">
      <c r="A1119" s="5" t="n">
        <v>2</v>
      </c>
      <c r="B1119" s="5" t="n">
        <v>8</v>
      </c>
      <c r="C1119" s="5" t="s">
        <v>128</v>
      </c>
      <c r="D1119" s="5" t="s">
        <v>667</v>
      </c>
      <c r="E1119" s="5" t="n">
        <v>1</v>
      </c>
      <c r="F1119" s="6" t="n">
        <f aca="false">IFERROR(MATCH(A1119&amp;"|"&amp;B1119&amp;"|"&amp;D1119,'All Song Rankings'!$T:$T,0),0)</f>
        <v>186</v>
      </c>
      <c r="G1119" s="6" t="str">
        <f aca="false">IF(F1119=0,"NOT FOUND",INDEX('All Song Rankings'!$A:$A,F1119))</f>
        <v>Bad Guy</v>
      </c>
      <c r="H1119" s="6" t="str">
        <f aca="false">IF(F1119=0,"NOT FOUND",INDEX('All Song Rankings'!$B:$B,F1119))</f>
        <v>Falling In Reverse</v>
      </c>
      <c r="I1119" s="6" t="str">
        <f aca="false">IF(F1119=0,"NOT FOUND",INDEX('All Song Rankings'!$D:$D,F1119))</f>
        <v>Nicole</v>
      </c>
      <c r="J1119" s="7" t="str">
        <f aca="false">IF(F1119=0,"NOT FOUND",IF(C1119=I1119,"SELF-VOTE",IF(COUNTIF($K:$K,K1119)&gt;1,"DUPLICATE","OK")))</f>
        <v>OK</v>
      </c>
      <c r="K1119" s="6" t="str">
        <f aca="false">A1119&amp;"|"&amp;B1119&amp;"|"&amp;C1119&amp;"|"&amp;D1119</f>
        <v>2|8|Logan|spotify:track:7uAWPqXthO4pO2Exc8V90t</v>
      </c>
    </row>
    <row r="1120" customFormat="false" ht="15" hidden="false" customHeight="false" outlineLevel="0" collapsed="false">
      <c r="A1120" s="5" t="n">
        <v>2</v>
      </c>
      <c r="B1120" s="5" t="n">
        <v>8</v>
      </c>
      <c r="C1120" s="5" t="s">
        <v>395</v>
      </c>
      <c r="D1120" s="5" t="s">
        <v>656</v>
      </c>
      <c r="E1120" s="5" t="n">
        <v>2</v>
      </c>
      <c r="F1120" s="6" t="n">
        <f aca="false">IFERROR(MATCH(A1120&amp;"|"&amp;B1120&amp;"|"&amp;D1120,'All Song Rankings'!$T:$T,0),0)</f>
        <v>182</v>
      </c>
      <c r="G1120" s="6" t="str">
        <f aca="false">IF(F1120=0,"NOT FOUND",INDEX('All Song Rankings'!$A:$A,F1120))</f>
        <v>PARAMOUR (feat. AURORA)</v>
      </c>
      <c r="H1120" s="6" t="str">
        <f aca="false">IF(F1120=0,"NOT FOUND",INDEX('All Song Rankings'!$B:$B,F1120))</f>
        <v>Sub Urban</v>
      </c>
      <c r="I1120" s="6" t="str">
        <f aca="false">IF(F1120=0,"NOT FOUND",INDEX('All Song Rankings'!$D:$D,F1120))</f>
        <v>Merita</v>
      </c>
      <c r="J1120" s="7" t="str">
        <f aca="false">IF(F1120=0,"NOT FOUND",IF(C1120=I1120,"SELF-VOTE",IF(COUNTIF($K:$K,K1120)&gt;1,"DUPLICATE","OK")))</f>
        <v>OK</v>
      </c>
      <c r="K1120" s="6" t="str">
        <f aca="false">A1120&amp;"|"&amp;B1120&amp;"|"&amp;C1120&amp;"|"&amp;D1120</f>
        <v>2|8|Makenzie|spotify:track:3PIla3hOLQxw5l6GW2jdZu</v>
      </c>
    </row>
    <row r="1121" customFormat="false" ht="15" hidden="false" customHeight="false" outlineLevel="0" collapsed="false">
      <c r="A1121" s="5" t="n">
        <v>2</v>
      </c>
      <c r="B1121" s="5" t="n">
        <v>8</v>
      </c>
      <c r="C1121" s="5" t="s">
        <v>395</v>
      </c>
      <c r="D1121" s="5" t="s">
        <v>662</v>
      </c>
      <c r="E1121" s="5" t="n">
        <v>3</v>
      </c>
      <c r="F1121" s="6" t="n">
        <f aca="false">IFERROR(MATCH(A1121&amp;"|"&amp;B1121&amp;"|"&amp;D1121,'All Song Rankings'!$T:$T,0),0)</f>
        <v>184</v>
      </c>
      <c r="G1121" s="6" t="str">
        <f aca="false">IF(F1121=0,"NOT FOUND",INDEX('All Song Rankings'!$A:$A,F1121))</f>
        <v>Seven Nation Army</v>
      </c>
      <c r="H1121" s="6" t="str">
        <f aca="false">IF(F1121=0,"NOT FOUND",INDEX('All Song Rankings'!$B:$B,F1121))</f>
        <v>The White Stripes</v>
      </c>
      <c r="I1121" s="6" t="str">
        <f aca="false">IF(F1121=0,"NOT FOUND",INDEX('All Song Rankings'!$D:$D,F1121))</f>
        <v>Kelsey</v>
      </c>
      <c r="J1121" s="7" t="str">
        <f aca="false">IF(F1121=0,"NOT FOUND",IF(C1121=I1121,"SELF-VOTE",IF(COUNTIF($K:$K,K1121)&gt;1,"DUPLICATE","OK")))</f>
        <v>OK</v>
      </c>
      <c r="K1121" s="6" t="str">
        <f aca="false">A1121&amp;"|"&amp;B1121&amp;"|"&amp;C1121&amp;"|"&amp;D1121</f>
        <v>2|8|Makenzie|spotify:track:3dPQuX8Gs42Y7b454ybpMR</v>
      </c>
    </row>
    <row r="1122" customFormat="false" ht="15" hidden="false" customHeight="false" outlineLevel="0" collapsed="false">
      <c r="A1122" s="5" t="n">
        <v>2</v>
      </c>
      <c r="B1122" s="5" t="n">
        <v>8</v>
      </c>
      <c r="C1122" s="5" t="s">
        <v>395</v>
      </c>
      <c r="D1122" s="5" t="s">
        <v>653</v>
      </c>
      <c r="E1122" s="5" t="n">
        <v>2</v>
      </c>
      <c r="F1122" s="6" t="n">
        <f aca="false">IFERROR(MATCH(A1122&amp;"|"&amp;B1122&amp;"|"&amp;D1122,'All Song Rankings'!$T:$T,0),0)</f>
        <v>181</v>
      </c>
      <c r="G1122" s="6" t="str">
        <f aca="false">IF(F1122=0,"NOT FOUND",INDEX('All Song Rankings'!$A:$A,F1122))</f>
        <v>Insane</v>
      </c>
      <c r="H1122" s="6" t="str">
        <f aca="false">IF(F1122=0,"NOT FOUND",INDEX('All Song Rankings'!$B:$B,F1122))</f>
        <v>Black Gryph0n</v>
      </c>
      <c r="I1122" s="6" t="str">
        <f aca="false">IF(F1122=0,"NOT FOUND",INDEX('All Song Rankings'!$D:$D,F1122))</f>
        <v>Matt</v>
      </c>
      <c r="J1122" s="7" t="str">
        <f aca="false">IF(F1122=0,"NOT FOUND",IF(C1122=I1122,"SELF-VOTE",IF(COUNTIF($K:$K,K1122)&gt;1,"DUPLICATE","OK")))</f>
        <v>OK</v>
      </c>
      <c r="K1122" s="6" t="str">
        <f aca="false">A1122&amp;"|"&amp;B1122&amp;"|"&amp;C1122&amp;"|"&amp;D1122</f>
        <v>2|8|Makenzie|spotify:track:5flerg6aEao2VayZezVlgu</v>
      </c>
    </row>
    <row r="1123" customFormat="false" ht="15" hidden="false" customHeight="false" outlineLevel="0" collapsed="false">
      <c r="A1123" s="5" t="n">
        <v>2</v>
      </c>
      <c r="B1123" s="5" t="n">
        <v>8</v>
      </c>
      <c r="C1123" s="5" t="s">
        <v>395</v>
      </c>
      <c r="D1123" s="5" t="s">
        <v>386</v>
      </c>
      <c r="E1123" s="5" t="n">
        <v>3</v>
      </c>
      <c r="F1123" s="6" t="n">
        <f aca="false">IFERROR(MATCH(A1123&amp;"|"&amp;B1123&amp;"|"&amp;D1123,'All Song Rankings'!$T:$T,0),0)</f>
        <v>191</v>
      </c>
      <c r="G1123" s="6" t="str">
        <f aca="false">IF(F1123=0,"NOT FOUND",INDEX('All Song Rankings'!$A:$A,F1123))</f>
        <v>Misery Business</v>
      </c>
      <c r="H1123" s="6" t="str">
        <f aca="false">IF(F1123=0,"NOT FOUND",INDEX('All Song Rankings'!$B:$B,F1123))</f>
        <v>Paramore</v>
      </c>
      <c r="I1123" s="6" t="str">
        <f aca="false">IF(F1123=0,"NOT FOUND",INDEX('All Song Rankings'!$D:$D,F1123))</f>
        <v>Colleen</v>
      </c>
      <c r="J1123" s="7" t="str">
        <f aca="false">IF(F1123=0,"NOT FOUND",IF(C1123=I1123,"SELF-VOTE",IF(COUNTIF($K:$K,K1123)&gt;1,"DUPLICATE","OK")))</f>
        <v>OK</v>
      </c>
      <c r="K1123" s="6" t="str">
        <f aca="false">A1123&amp;"|"&amp;B1123&amp;"|"&amp;C1123&amp;"|"&amp;D1123</f>
        <v>2|8|Makenzie|spotify:track:6SpLc7EXZIPpy0sVko0aoU</v>
      </c>
    </row>
    <row r="1124" customFormat="false" ht="15" hidden="false" customHeight="false" outlineLevel="0" collapsed="false">
      <c r="A1124" s="5" t="n">
        <v>2</v>
      </c>
      <c r="B1124" s="5" t="n">
        <v>8</v>
      </c>
      <c r="C1124" s="5" t="s">
        <v>116</v>
      </c>
      <c r="D1124" s="5" t="s">
        <v>671</v>
      </c>
      <c r="E1124" s="5" t="n">
        <v>1</v>
      </c>
      <c r="F1124" s="6" t="n">
        <f aca="false">IFERROR(MATCH(A1124&amp;"|"&amp;B1124&amp;"|"&amp;D1124,'All Song Rankings'!$T:$T,0),0)</f>
        <v>187</v>
      </c>
      <c r="G1124" s="6" t="str">
        <f aca="false">IF(F1124=0,"NOT FOUND",INDEX('All Song Rankings'!$A:$A,F1124))</f>
        <v>Livin' in the Sunlight, Lovin' in the Moon Light</v>
      </c>
      <c r="H1124" s="6" t="str">
        <f aca="false">IF(F1124=0,"NOT FOUND",INDEX('All Song Rankings'!$B:$B,F1124))</f>
        <v>Tiny Tim</v>
      </c>
      <c r="I1124" s="6" t="str">
        <f aca="false">IF(F1124=0,"NOT FOUND",INDEX('All Song Rankings'!$D:$D,F1124))</f>
        <v>Grace</v>
      </c>
      <c r="J1124" s="7" t="str">
        <f aca="false">IF(F1124=0,"NOT FOUND",IF(C1124=I1124,"SELF-VOTE",IF(COUNTIF($K:$K,K1124)&gt;1,"DUPLICATE","OK")))</f>
        <v>OK</v>
      </c>
      <c r="K1124" s="6" t="str">
        <f aca="false">A1124&amp;"|"&amp;B1124&amp;"|"&amp;C1124&amp;"|"&amp;D1124</f>
        <v>2|8|Matt|spotify:track:1PmXm1881bonBI1AlG5uaH</v>
      </c>
    </row>
    <row r="1125" customFormat="false" ht="15" hidden="false" customHeight="false" outlineLevel="0" collapsed="false">
      <c r="A1125" s="5" t="n">
        <v>2</v>
      </c>
      <c r="B1125" s="5" t="n">
        <v>8</v>
      </c>
      <c r="C1125" s="5" t="s">
        <v>116</v>
      </c>
      <c r="D1125" s="5" t="s">
        <v>674</v>
      </c>
      <c r="E1125" s="5" t="n">
        <v>1</v>
      </c>
      <c r="F1125" s="6" t="n">
        <f aca="false">IFERROR(MATCH(A1125&amp;"|"&amp;B1125&amp;"|"&amp;D1125,'All Song Rankings'!$T:$T,0),0)</f>
        <v>188</v>
      </c>
      <c r="G1125" s="6" t="str">
        <f aca="false">IF(F1125=0,"NOT FOUND",INDEX('All Song Rankings'!$A:$A,F1125))</f>
        <v>Mount Everest</v>
      </c>
      <c r="H1125" s="6" t="str">
        <f aca="false">IF(F1125=0,"NOT FOUND",INDEX('All Song Rankings'!$B:$B,F1125))</f>
        <v>Labrinth</v>
      </c>
      <c r="I1125" s="6" t="str">
        <f aca="false">IF(F1125=0,"NOT FOUND",INDEX('All Song Rankings'!$D:$D,F1125))</f>
        <v>Logan</v>
      </c>
      <c r="J1125" s="7" t="str">
        <f aca="false">IF(F1125=0,"NOT FOUND",IF(C1125=I1125,"SELF-VOTE",IF(COUNTIF($K:$K,K1125)&gt;1,"DUPLICATE","OK")))</f>
        <v>OK</v>
      </c>
      <c r="K1125" s="6" t="str">
        <f aca="false">A1125&amp;"|"&amp;B1125&amp;"|"&amp;C1125&amp;"|"&amp;D1125</f>
        <v>2|8|Matt|spotify:track:1ZdhOMWyFR8Iv9eylMGYg2</v>
      </c>
    </row>
    <row r="1126" customFormat="false" ht="15" hidden="false" customHeight="false" outlineLevel="0" collapsed="false">
      <c r="A1126" s="5" t="n">
        <v>2</v>
      </c>
      <c r="B1126" s="5" t="n">
        <v>8</v>
      </c>
      <c r="C1126" s="5" t="s">
        <v>116</v>
      </c>
      <c r="D1126" s="5" t="s">
        <v>677</v>
      </c>
      <c r="E1126" s="5" t="n">
        <v>4</v>
      </c>
      <c r="F1126" s="6" t="n">
        <f aca="false">IFERROR(MATCH(A1126&amp;"|"&amp;B1126&amp;"|"&amp;D1126,'All Song Rankings'!$T:$T,0),0)</f>
        <v>189</v>
      </c>
      <c r="G1126" s="6" t="str">
        <f aca="false">IF(F1126=0,"NOT FOUND",INDEX('All Song Rankings'!$A:$A,F1126))</f>
        <v>The Future Soon</v>
      </c>
      <c r="H1126" s="6" t="str">
        <f aca="false">IF(F1126=0,"NOT FOUND",INDEX('All Song Rankings'!$B:$B,F1126))</f>
        <v>Jonathan Coulton</v>
      </c>
      <c r="I1126" s="6" t="str">
        <f aca="false">IF(F1126=0,"NOT FOUND",INDEX('All Song Rankings'!$D:$D,F1126))</f>
        <v>Shayne</v>
      </c>
      <c r="J1126" s="7" t="str">
        <f aca="false">IF(F1126=0,"NOT FOUND",IF(C1126=I1126,"SELF-VOTE",IF(COUNTIF($K:$K,K1126)&gt;1,"DUPLICATE","OK")))</f>
        <v>OK</v>
      </c>
      <c r="K1126" s="6" t="str">
        <f aca="false">A1126&amp;"|"&amp;B1126&amp;"|"&amp;C1126&amp;"|"&amp;D1126</f>
        <v>2|8|Matt|spotify:track:2chEZfdAqJvlw9dM3hAU6p</v>
      </c>
    </row>
    <row r="1127" customFormat="false" ht="15" hidden="false" customHeight="false" outlineLevel="0" collapsed="false">
      <c r="A1127" s="5" t="n">
        <v>2</v>
      </c>
      <c r="B1127" s="5" t="n">
        <v>8</v>
      </c>
      <c r="C1127" s="5" t="s">
        <v>116</v>
      </c>
      <c r="D1127" s="5" t="s">
        <v>656</v>
      </c>
      <c r="E1127" s="5" t="n">
        <v>1</v>
      </c>
      <c r="F1127" s="6" t="n">
        <f aca="false">IFERROR(MATCH(A1127&amp;"|"&amp;B1127&amp;"|"&amp;D1127,'All Song Rankings'!$T:$T,0),0)</f>
        <v>182</v>
      </c>
      <c r="G1127" s="6" t="str">
        <f aca="false">IF(F1127=0,"NOT FOUND",INDEX('All Song Rankings'!$A:$A,F1127))</f>
        <v>PARAMOUR (feat. AURORA)</v>
      </c>
      <c r="H1127" s="6" t="str">
        <f aca="false">IF(F1127=0,"NOT FOUND",INDEX('All Song Rankings'!$B:$B,F1127))</f>
        <v>Sub Urban</v>
      </c>
      <c r="I1127" s="6" t="str">
        <f aca="false">IF(F1127=0,"NOT FOUND",INDEX('All Song Rankings'!$D:$D,F1127))</f>
        <v>Merita</v>
      </c>
      <c r="J1127" s="7" t="str">
        <f aca="false">IF(F1127=0,"NOT FOUND",IF(C1127=I1127,"SELF-VOTE",IF(COUNTIF($K:$K,K1127)&gt;1,"DUPLICATE","OK")))</f>
        <v>OK</v>
      </c>
      <c r="K1127" s="6" t="str">
        <f aca="false">A1127&amp;"|"&amp;B1127&amp;"|"&amp;C1127&amp;"|"&amp;D1127</f>
        <v>2|8|Matt|spotify:track:3PIla3hOLQxw5l6GW2jdZu</v>
      </c>
    </row>
    <row r="1128" customFormat="false" ht="15" hidden="false" customHeight="false" outlineLevel="0" collapsed="false">
      <c r="A1128" s="5" t="n">
        <v>2</v>
      </c>
      <c r="B1128" s="5" t="n">
        <v>8</v>
      </c>
      <c r="C1128" s="5" t="s">
        <v>116</v>
      </c>
      <c r="D1128" s="5" t="s">
        <v>650</v>
      </c>
      <c r="E1128" s="5" t="n">
        <v>2</v>
      </c>
      <c r="F1128" s="6" t="n">
        <f aca="false">IFERROR(MATCH(A1128&amp;"|"&amp;B1128&amp;"|"&amp;D1128,'All Song Rankings'!$T:$T,0),0)</f>
        <v>180</v>
      </c>
      <c r="G1128" s="6" t="str">
        <f aca="false">IF(F1128=0,"NOT FOUND",INDEX('All Song Rankings'!$A:$A,F1128))</f>
        <v>you should see me in a crown</v>
      </c>
      <c r="H1128" s="6" t="str">
        <f aca="false">IF(F1128=0,"NOT FOUND",INDEX('All Song Rankings'!$B:$B,F1128))</f>
        <v>Billie Eilish</v>
      </c>
      <c r="I1128" s="6" t="str">
        <f aca="false">IF(F1128=0,"NOT FOUND",INDEX('All Song Rankings'!$D:$D,F1128))</f>
        <v>Makenzie</v>
      </c>
      <c r="J1128" s="7" t="str">
        <f aca="false">IF(F1128=0,"NOT FOUND",IF(C1128=I1128,"SELF-VOTE",IF(COUNTIF($K:$K,K1128)&gt;1,"DUPLICATE","OK")))</f>
        <v>OK</v>
      </c>
      <c r="K1128" s="6" t="str">
        <f aca="false">A1128&amp;"|"&amp;B1128&amp;"|"&amp;C1128&amp;"|"&amp;D1128</f>
        <v>2|8|Matt|spotify:track:3XF5xLJHOQQRbWya6hBp7d</v>
      </c>
    </row>
    <row r="1129" customFormat="false" ht="15" hidden="false" customHeight="false" outlineLevel="0" collapsed="false">
      <c r="A1129" s="5" t="n">
        <v>2</v>
      </c>
      <c r="B1129" s="5" t="n">
        <v>8</v>
      </c>
      <c r="C1129" s="5" t="s">
        <v>116</v>
      </c>
      <c r="D1129" s="5" t="s">
        <v>386</v>
      </c>
      <c r="E1129" s="5" t="n">
        <v>1</v>
      </c>
      <c r="F1129" s="6" t="n">
        <f aca="false">IFERROR(MATCH(A1129&amp;"|"&amp;B1129&amp;"|"&amp;D1129,'All Song Rankings'!$T:$T,0),0)</f>
        <v>191</v>
      </c>
      <c r="G1129" s="6" t="str">
        <f aca="false">IF(F1129=0,"NOT FOUND",INDEX('All Song Rankings'!$A:$A,F1129))</f>
        <v>Misery Business</v>
      </c>
      <c r="H1129" s="6" t="str">
        <f aca="false">IF(F1129=0,"NOT FOUND",INDEX('All Song Rankings'!$B:$B,F1129))</f>
        <v>Paramore</v>
      </c>
      <c r="I1129" s="6" t="str">
        <f aca="false">IF(F1129=0,"NOT FOUND",INDEX('All Song Rankings'!$D:$D,F1129))</f>
        <v>Colleen</v>
      </c>
      <c r="J1129" s="7" t="str">
        <f aca="false">IF(F1129=0,"NOT FOUND",IF(C1129=I1129,"SELF-VOTE",IF(COUNTIF($K:$K,K1129)&gt;1,"DUPLICATE","OK")))</f>
        <v>OK</v>
      </c>
      <c r="K1129" s="6" t="str">
        <f aca="false">A1129&amp;"|"&amp;B1129&amp;"|"&amp;C1129&amp;"|"&amp;D1129</f>
        <v>2|8|Matt|spotify:track:6SpLc7EXZIPpy0sVko0aoU</v>
      </c>
    </row>
    <row r="1130" customFormat="false" ht="15" hidden="false" customHeight="false" outlineLevel="0" collapsed="false">
      <c r="A1130" s="5" t="n">
        <v>2</v>
      </c>
      <c r="B1130" s="5" t="n">
        <v>8</v>
      </c>
      <c r="C1130" s="5" t="s">
        <v>101</v>
      </c>
      <c r="D1130" s="5" t="s">
        <v>671</v>
      </c>
      <c r="E1130" s="5" t="n">
        <v>1</v>
      </c>
      <c r="F1130" s="6" t="n">
        <f aca="false">IFERROR(MATCH(A1130&amp;"|"&amp;B1130&amp;"|"&amp;D1130,'All Song Rankings'!$T:$T,0),0)</f>
        <v>187</v>
      </c>
      <c r="G1130" s="6" t="str">
        <f aca="false">IF(F1130=0,"NOT FOUND",INDEX('All Song Rankings'!$A:$A,F1130))</f>
        <v>Livin' in the Sunlight, Lovin' in the Moon Light</v>
      </c>
      <c r="H1130" s="6" t="str">
        <f aca="false">IF(F1130=0,"NOT FOUND",INDEX('All Song Rankings'!$B:$B,F1130))</f>
        <v>Tiny Tim</v>
      </c>
      <c r="I1130" s="6" t="str">
        <f aca="false">IF(F1130=0,"NOT FOUND",INDEX('All Song Rankings'!$D:$D,F1130))</f>
        <v>Grace</v>
      </c>
      <c r="J1130" s="7" t="str">
        <f aca="false">IF(F1130=0,"NOT FOUND",IF(C1130=I1130,"SELF-VOTE",IF(COUNTIF($K:$K,K1130)&gt;1,"DUPLICATE","OK")))</f>
        <v>OK</v>
      </c>
      <c r="K1130" s="6" t="str">
        <f aca="false">A1130&amp;"|"&amp;B1130&amp;"|"&amp;C1130&amp;"|"&amp;D1130</f>
        <v>2|8|Merita|spotify:track:1PmXm1881bonBI1AlG5uaH</v>
      </c>
    </row>
    <row r="1131" customFormat="false" ht="15" hidden="false" customHeight="false" outlineLevel="0" collapsed="false">
      <c r="A1131" s="5" t="n">
        <v>2</v>
      </c>
      <c r="B1131" s="5" t="n">
        <v>8</v>
      </c>
      <c r="C1131" s="5" t="s">
        <v>101</v>
      </c>
      <c r="D1131" s="5" t="s">
        <v>674</v>
      </c>
      <c r="E1131" s="5" t="n">
        <v>2</v>
      </c>
      <c r="F1131" s="6" t="n">
        <f aca="false">IFERROR(MATCH(A1131&amp;"|"&amp;B1131&amp;"|"&amp;D1131,'All Song Rankings'!$T:$T,0),0)</f>
        <v>188</v>
      </c>
      <c r="G1131" s="6" t="str">
        <f aca="false">IF(F1131=0,"NOT FOUND",INDEX('All Song Rankings'!$A:$A,F1131))</f>
        <v>Mount Everest</v>
      </c>
      <c r="H1131" s="6" t="str">
        <f aca="false">IF(F1131=0,"NOT FOUND",INDEX('All Song Rankings'!$B:$B,F1131))</f>
        <v>Labrinth</v>
      </c>
      <c r="I1131" s="6" t="str">
        <f aca="false">IF(F1131=0,"NOT FOUND",INDEX('All Song Rankings'!$D:$D,F1131))</f>
        <v>Logan</v>
      </c>
      <c r="J1131" s="7" t="str">
        <f aca="false">IF(F1131=0,"NOT FOUND",IF(C1131=I1131,"SELF-VOTE",IF(COUNTIF($K:$K,K1131)&gt;1,"DUPLICATE","OK")))</f>
        <v>OK</v>
      </c>
      <c r="K1131" s="6" t="str">
        <f aca="false">A1131&amp;"|"&amp;B1131&amp;"|"&amp;C1131&amp;"|"&amp;D1131</f>
        <v>2|8|Merita|spotify:track:1ZdhOMWyFR8Iv9eylMGYg2</v>
      </c>
    </row>
    <row r="1132" customFormat="false" ht="15" hidden="false" customHeight="false" outlineLevel="0" collapsed="false">
      <c r="A1132" s="5" t="n">
        <v>2</v>
      </c>
      <c r="B1132" s="5" t="n">
        <v>8</v>
      </c>
      <c r="C1132" s="5" t="s">
        <v>101</v>
      </c>
      <c r="D1132" s="5" t="s">
        <v>680</v>
      </c>
      <c r="E1132" s="5" t="n">
        <v>2</v>
      </c>
      <c r="F1132" s="6" t="n">
        <f aca="false">IFERROR(MATCH(A1132&amp;"|"&amp;B1132&amp;"|"&amp;D1132,'All Song Rankings'!$T:$T,0),0)</f>
        <v>190</v>
      </c>
      <c r="G1132" s="6" t="str">
        <f aca="false">IF(F1132=0,"NOT FOUND",INDEX('All Song Rankings'!$A:$A,F1132))</f>
        <v>Killing Strangers</v>
      </c>
      <c r="H1132" s="6" t="str">
        <f aca="false">IF(F1132=0,"NOT FOUND",INDEX('All Song Rankings'!$B:$B,F1132))</f>
        <v>Marilyn Manson</v>
      </c>
      <c r="I1132" s="6" t="str">
        <f aca="false">IF(F1132=0,"NOT FOUND",INDEX('All Song Rankings'!$D:$D,F1132))</f>
        <v>Kristen</v>
      </c>
      <c r="J1132" s="7" t="str">
        <f aca="false">IF(F1132=0,"NOT FOUND",IF(C1132=I1132,"SELF-VOTE",IF(COUNTIF($K:$K,K1132)&gt;1,"DUPLICATE","OK")))</f>
        <v>OK</v>
      </c>
      <c r="K1132" s="6" t="str">
        <f aca="false">A1132&amp;"|"&amp;B1132&amp;"|"&amp;C1132&amp;"|"&amp;D1132</f>
        <v>2|8|Merita|spotify:track:2naBVHNHinneXOYmczG7xE</v>
      </c>
    </row>
    <row r="1133" customFormat="false" ht="15" hidden="false" customHeight="false" outlineLevel="0" collapsed="false">
      <c r="A1133" s="5" t="n">
        <v>2</v>
      </c>
      <c r="B1133" s="5" t="n">
        <v>8</v>
      </c>
      <c r="C1133" s="5" t="s">
        <v>101</v>
      </c>
      <c r="D1133" s="5" t="s">
        <v>650</v>
      </c>
      <c r="E1133" s="5" t="n">
        <v>1</v>
      </c>
      <c r="F1133" s="6" t="n">
        <f aca="false">IFERROR(MATCH(A1133&amp;"|"&amp;B1133&amp;"|"&amp;D1133,'All Song Rankings'!$T:$T,0),0)</f>
        <v>180</v>
      </c>
      <c r="G1133" s="6" t="str">
        <f aca="false">IF(F1133=0,"NOT FOUND",INDEX('All Song Rankings'!$A:$A,F1133))</f>
        <v>you should see me in a crown</v>
      </c>
      <c r="H1133" s="6" t="str">
        <f aca="false">IF(F1133=0,"NOT FOUND",INDEX('All Song Rankings'!$B:$B,F1133))</f>
        <v>Billie Eilish</v>
      </c>
      <c r="I1133" s="6" t="str">
        <f aca="false">IF(F1133=0,"NOT FOUND",INDEX('All Song Rankings'!$D:$D,F1133))</f>
        <v>Makenzie</v>
      </c>
      <c r="J1133" s="7" t="str">
        <f aca="false">IF(F1133=0,"NOT FOUND",IF(C1133=I1133,"SELF-VOTE",IF(COUNTIF($K:$K,K1133)&gt;1,"DUPLICATE","OK")))</f>
        <v>OK</v>
      </c>
      <c r="K1133" s="6" t="str">
        <f aca="false">A1133&amp;"|"&amp;B1133&amp;"|"&amp;C1133&amp;"|"&amp;D1133</f>
        <v>2|8|Merita|spotify:track:3XF5xLJHOQQRbWya6hBp7d</v>
      </c>
    </row>
    <row r="1134" customFormat="false" ht="15" hidden="false" customHeight="false" outlineLevel="0" collapsed="false">
      <c r="A1134" s="5" t="n">
        <v>2</v>
      </c>
      <c r="B1134" s="5" t="n">
        <v>8</v>
      </c>
      <c r="C1134" s="5" t="s">
        <v>101</v>
      </c>
      <c r="D1134" s="5" t="s">
        <v>662</v>
      </c>
      <c r="E1134" s="5" t="n">
        <v>1</v>
      </c>
      <c r="F1134" s="6" t="n">
        <f aca="false">IFERROR(MATCH(A1134&amp;"|"&amp;B1134&amp;"|"&amp;D1134,'All Song Rankings'!$T:$T,0),0)</f>
        <v>184</v>
      </c>
      <c r="G1134" s="6" t="str">
        <f aca="false">IF(F1134=0,"NOT FOUND",INDEX('All Song Rankings'!$A:$A,F1134))</f>
        <v>Seven Nation Army</v>
      </c>
      <c r="H1134" s="6" t="str">
        <f aca="false">IF(F1134=0,"NOT FOUND",INDEX('All Song Rankings'!$B:$B,F1134))</f>
        <v>The White Stripes</v>
      </c>
      <c r="I1134" s="6" t="str">
        <f aca="false">IF(F1134=0,"NOT FOUND",INDEX('All Song Rankings'!$D:$D,F1134))</f>
        <v>Kelsey</v>
      </c>
      <c r="J1134" s="7" t="str">
        <f aca="false">IF(F1134=0,"NOT FOUND",IF(C1134=I1134,"SELF-VOTE",IF(COUNTIF($K:$K,K1134)&gt;1,"DUPLICATE","OK")))</f>
        <v>OK</v>
      </c>
      <c r="K1134" s="6" t="str">
        <f aca="false">A1134&amp;"|"&amp;B1134&amp;"|"&amp;C1134&amp;"|"&amp;D1134</f>
        <v>2|8|Merita|spotify:track:3dPQuX8Gs42Y7b454ybpMR</v>
      </c>
    </row>
    <row r="1135" customFormat="false" ht="15" hidden="false" customHeight="false" outlineLevel="0" collapsed="false">
      <c r="A1135" s="5" t="n">
        <v>2</v>
      </c>
      <c r="B1135" s="5" t="n">
        <v>8</v>
      </c>
      <c r="C1135" s="5" t="s">
        <v>101</v>
      </c>
      <c r="D1135" s="5" t="s">
        <v>659</v>
      </c>
      <c r="E1135" s="5" t="n">
        <v>1</v>
      </c>
      <c r="F1135" s="6" t="n">
        <f aca="false">IFERROR(MATCH(A1135&amp;"|"&amp;B1135&amp;"|"&amp;D1135,'All Song Rankings'!$T:$T,0),0)</f>
        <v>183</v>
      </c>
      <c r="G1135" s="6" t="str">
        <f aca="false">IF(F1135=0,"NOT FOUND",INDEX('All Song Rankings'!$A:$A,F1135))</f>
        <v>Maneater</v>
      </c>
      <c r="H1135" s="6" t="str">
        <f aca="false">IF(F1135=0,"NOT FOUND",INDEX('All Song Rankings'!$B:$B,F1135))</f>
        <v>Nelly Furtado</v>
      </c>
      <c r="I1135" s="6" t="str">
        <f aca="false">IF(F1135=0,"NOT FOUND",INDEX('All Song Rankings'!$D:$D,F1135))</f>
        <v>Stephanie</v>
      </c>
      <c r="J1135" s="7" t="str">
        <f aca="false">IF(F1135=0,"NOT FOUND",IF(C1135=I1135,"SELF-VOTE",IF(COUNTIF($K:$K,K1135)&gt;1,"DUPLICATE","OK")))</f>
        <v>OK</v>
      </c>
      <c r="K1135" s="6" t="str">
        <f aca="false">A1135&amp;"|"&amp;B1135&amp;"|"&amp;C1135&amp;"|"&amp;D1135</f>
        <v>2|8|Merita|spotify:track:4wH4dJgrsxONID6KS2tDQM</v>
      </c>
    </row>
    <row r="1136" customFormat="false" ht="15" hidden="false" customHeight="false" outlineLevel="0" collapsed="false">
      <c r="A1136" s="5" t="n">
        <v>2</v>
      </c>
      <c r="B1136" s="5" t="n">
        <v>8</v>
      </c>
      <c r="C1136" s="5" t="s">
        <v>101</v>
      </c>
      <c r="D1136" s="5" t="s">
        <v>683</v>
      </c>
      <c r="E1136" s="5" t="n">
        <v>1</v>
      </c>
      <c r="F1136" s="6" t="n">
        <f aca="false">IFERROR(MATCH(A1136&amp;"|"&amp;B1136&amp;"|"&amp;D1136,'All Song Rankings'!$T:$T,0),0)</f>
        <v>192</v>
      </c>
      <c r="G1136" s="6" t="str">
        <f aca="false">IF(F1136=0,"NOT FOUND",INDEX('All Song Rankings'!$A:$A,F1136))</f>
        <v>Bow Down</v>
      </c>
      <c r="H1136" s="6" t="str">
        <f aca="false">IF(F1136=0,"NOT FOUND",INDEX('All Song Rankings'!$B:$B,F1136))</f>
        <v>I Prevail</v>
      </c>
      <c r="I1136" s="6" t="str">
        <f aca="false">IF(F1136=0,"NOT FOUND",INDEX('All Song Rankings'!$D:$D,F1136))</f>
        <v>Scott</v>
      </c>
      <c r="J1136" s="7" t="str">
        <f aca="false">IF(F1136=0,"NOT FOUND",IF(C1136=I1136,"SELF-VOTE",IF(COUNTIF($K:$K,K1136)&gt;1,"DUPLICATE","OK")))</f>
        <v>OK</v>
      </c>
      <c r="K1136" s="6" t="str">
        <f aca="false">A1136&amp;"|"&amp;B1136&amp;"|"&amp;C1136&amp;"|"&amp;D1136</f>
        <v>2|8|Merita|spotify:track:5qD3Qv8Wu3r5uRD0DahcZy</v>
      </c>
    </row>
    <row r="1137" customFormat="false" ht="15" hidden="false" customHeight="false" outlineLevel="0" collapsed="false">
      <c r="A1137" s="5" t="n">
        <v>2</v>
      </c>
      <c r="B1137" s="5" t="n">
        <v>8</v>
      </c>
      <c r="C1137" s="5" t="s">
        <v>101</v>
      </c>
      <c r="D1137" s="5" t="s">
        <v>667</v>
      </c>
      <c r="E1137" s="5" t="n">
        <v>1</v>
      </c>
      <c r="F1137" s="6" t="n">
        <f aca="false">IFERROR(MATCH(A1137&amp;"|"&amp;B1137&amp;"|"&amp;D1137,'All Song Rankings'!$T:$T,0),0)</f>
        <v>186</v>
      </c>
      <c r="G1137" s="6" t="str">
        <f aca="false">IF(F1137=0,"NOT FOUND",INDEX('All Song Rankings'!$A:$A,F1137))</f>
        <v>Bad Guy</v>
      </c>
      <c r="H1137" s="6" t="str">
        <f aca="false">IF(F1137=0,"NOT FOUND",INDEX('All Song Rankings'!$B:$B,F1137))</f>
        <v>Falling In Reverse</v>
      </c>
      <c r="I1137" s="6" t="str">
        <f aca="false">IF(F1137=0,"NOT FOUND",INDEX('All Song Rankings'!$D:$D,F1137))</f>
        <v>Nicole</v>
      </c>
      <c r="J1137" s="7" t="str">
        <f aca="false">IF(F1137=0,"NOT FOUND",IF(C1137=I1137,"SELF-VOTE",IF(COUNTIF($K:$K,K1137)&gt;1,"DUPLICATE","OK")))</f>
        <v>OK</v>
      </c>
      <c r="K1137" s="6" t="str">
        <f aca="false">A1137&amp;"|"&amp;B1137&amp;"|"&amp;C1137&amp;"|"&amp;D1137</f>
        <v>2|8|Merita|spotify:track:7uAWPqXthO4pO2Exc8V90t</v>
      </c>
    </row>
    <row r="1138" customFormat="false" ht="15" hidden="false" customHeight="false" outlineLevel="0" collapsed="false">
      <c r="A1138" s="5" t="n">
        <v>2</v>
      </c>
      <c r="B1138" s="5" t="n">
        <v>8</v>
      </c>
      <c r="C1138" s="5" t="s">
        <v>92</v>
      </c>
      <c r="D1138" s="5" t="s">
        <v>664</v>
      </c>
      <c r="E1138" s="5" t="n">
        <v>1</v>
      </c>
      <c r="F1138" s="6" t="n">
        <f aca="false">IFERROR(MATCH(A1138&amp;"|"&amp;B1138&amp;"|"&amp;D1138,'All Song Rankings'!$T:$T,0),0)</f>
        <v>185</v>
      </c>
      <c r="G1138" s="6" t="str">
        <f aca="false">IF(F1138=0,"NOT FOUND",INDEX('All Song Rankings'!$A:$A,F1138))</f>
        <v>Shatter Me Featuring Lzzy Hale</v>
      </c>
      <c r="H1138" s="6" t="str">
        <f aca="false">IF(F1138=0,"NOT FOUND",INDEX('All Song Rankings'!$B:$B,F1138))</f>
        <v>Lindsey Stirling</v>
      </c>
      <c r="I1138" s="6" t="str">
        <f aca="false">IF(F1138=0,"NOT FOUND",INDEX('All Song Rankings'!$D:$D,F1138))</f>
        <v>Leah</v>
      </c>
      <c r="J1138" s="7" t="str">
        <f aca="false">IF(F1138=0,"NOT FOUND",IF(C1138=I1138,"SELF-VOTE",IF(COUNTIF($K:$K,K1138)&gt;1,"DUPLICATE","OK")))</f>
        <v>OK</v>
      </c>
      <c r="K1138" s="6" t="str">
        <f aca="false">A1138&amp;"|"&amp;B1138&amp;"|"&amp;C1138&amp;"|"&amp;D1138</f>
        <v>2|8|Nicole|spotify:track:2K7j4xrQENCi5r3Hii4cVe</v>
      </c>
    </row>
    <row r="1139" customFormat="false" ht="15" hidden="false" customHeight="false" outlineLevel="0" collapsed="false">
      <c r="A1139" s="5" t="n">
        <v>2</v>
      </c>
      <c r="B1139" s="5" t="n">
        <v>8</v>
      </c>
      <c r="C1139" s="5" t="s">
        <v>92</v>
      </c>
      <c r="D1139" s="5" t="s">
        <v>677</v>
      </c>
      <c r="E1139" s="5" t="n">
        <v>1</v>
      </c>
      <c r="F1139" s="6" t="n">
        <f aca="false">IFERROR(MATCH(A1139&amp;"|"&amp;B1139&amp;"|"&amp;D1139,'All Song Rankings'!$T:$T,0),0)</f>
        <v>189</v>
      </c>
      <c r="G1139" s="6" t="str">
        <f aca="false">IF(F1139=0,"NOT FOUND",INDEX('All Song Rankings'!$A:$A,F1139))</f>
        <v>The Future Soon</v>
      </c>
      <c r="H1139" s="6" t="str">
        <f aca="false">IF(F1139=0,"NOT FOUND",INDEX('All Song Rankings'!$B:$B,F1139))</f>
        <v>Jonathan Coulton</v>
      </c>
      <c r="I1139" s="6" t="str">
        <f aca="false">IF(F1139=0,"NOT FOUND",INDEX('All Song Rankings'!$D:$D,F1139))</f>
        <v>Shayne</v>
      </c>
      <c r="J1139" s="7" t="str">
        <f aca="false">IF(F1139=0,"NOT FOUND",IF(C1139=I1139,"SELF-VOTE",IF(COUNTIF($K:$K,K1139)&gt;1,"DUPLICATE","OK")))</f>
        <v>OK</v>
      </c>
      <c r="K1139" s="6" t="str">
        <f aca="false">A1139&amp;"|"&amp;B1139&amp;"|"&amp;C1139&amp;"|"&amp;D1139</f>
        <v>2|8|Nicole|spotify:track:2chEZfdAqJvlw9dM3hAU6p</v>
      </c>
    </row>
    <row r="1140" customFormat="false" ht="15" hidden="false" customHeight="false" outlineLevel="0" collapsed="false">
      <c r="A1140" s="5" t="n">
        <v>2</v>
      </c>
      <c r="B1140" s="5" t="n">
        <v>8</v>
      </c>
      <c r="C1140" s="5" t="s">
        <v>92</v>
      </c>
      <c r="D1140" s="5" t="s">
        <v>680</v>
      </c>
      <c r="E1140" s="5" t="n">
        <v>1</v>
      </c>
      <c r="F1140" s="6" t="n">
        <f aca="false">IFERROR(MATCH(A1140&amp;"|"&amp;B1140&amp;"|"&amp;D1140,'All Song Rankings'!$T:$T,0),0)</f>
        <v>190</v>
      </c>
      <c r="G1140" s="6" t="str">
        <f aca="false">IF(F1140=0,"NOT FOUND",INDEX('All Song Rankings'!$A:$A,F1140))</f>
        <v>Killing Strangers</v>
      </c>
      <c r="H1140" s="6" t="str">
        <f aca="false">IF(F1140=0,"NOT FOUND",INDEX('All Song Rankings'!$B:$B,F1140))</f>
        <v>Marilyn Manson</v>
      </c>
      <c r="I1140" s="6" t="str">
        <f aca="false">IF(F1140=0,"NOT FOUND",INDEX('All Song Rankings'!$D:$D,F1140))</f>
        <v>Kristen</v>
      </c>
      <c r="J1140" s="7" t="str">
        <f aca="false">IF(F1140=0,"NOT FOUND",IF(C1140=I1140,"SELF-VOTE",IF(COUNTIF($K:$K,K1140)&gt;1,"DUPLICATE","OK")))</f>
        <v>OK</v>
      </c>
      <c r="K1140" s="6" t="str">
        <f aca="false">A1140&amp;"|"&amp;B1140&amp;"|"&amp;C1140&amp;"|"&amp;D1140</f>
        <v>2|8|Nicole|spotify:track:2naBVHNHinneXOYmczG7xE</v>
      </c>
    </row>
    <row r="1141" customFormat="false" ht="15" hidden="false" customHeight="false" outlineLevel="0" collapsed="false">
      <c r="A1141" s="5" t="n">
        <v>2</v>
      </c>
      <c r="B1141" s="5" t="n">
        <v>8</v>
      </c>
      <c r="C1141" s="5" t="s">
        <v>92</v>
      </c>
      <c r="D1141" s="5" t="s">
        <v>656</v>
      </c>
      <c r="E1141" s="5" t="n">
        <v>1</v>
      </c>
      <c r="F1141" s="6" t="n">
        <f aca="false">IFERROR(MATCH(A1141&amp;"|"&amp;B1141&amp;"|"&amp;D1141,'All Song Rankings'!$T:$T,0),0)</f>
        <v>182</v>
      </c>
      <c r="G1141" s="6" t="str">
        <f aca="false">IF(F1141=0,"NOT FOUND",INDEX('All Song Rankings'!$A:$A,F1141))</f>
        <v>PARAMOUR (feat. AURORA)</v>
      </c>
      <c r="H1141" s="6" t="str">
        <f aca="false">IF(F1141=0,"NOT FOUND",INDEX('All Song Rankings'!$B:$B,F1141))</f>
        <v>Sub Urban</v>
      </c>
      <c r="I1141" s="6" t="str">
        <f aca="false">IF(F1141=0,"NOT FOUND",INDEX('All Song Rankings'!$D:$D,F1141))</f>
        <v>Merita</v>
      </c>
      <c r="J1141" s="7" t="str">
        <f aca="false">IF(F1141=0,"NOT FOUND",IF(C1141=I1141,"SELF-VOTE",IF(COUNTIF($K:$K,K1141)&gt;1,"DUPLICATE","OK")))</f>
        <v>OK</v>
      </c>
      <c r="K1141" s="6" t="str">
        <f aca="false">A1141&amp;"|"&amp;B1141&amp;"|"&amp;C1141&amp;"|"&amp;D1141</f>
        <v>2|8|Nicole|spotify:track:3PIla3hOLQxw5l6GW2jdZu</v>
      </c>
    </row>
    <row r="1142" customFormat="false" ht="15" hidden="false" customHeight="false" outlineLevel="0" collapsed="false">
      <c r="A1142" s="5" t="n">
        <v>2</v>
      </c>
      <c r="B1142" s="5" t="n">
        <v>8</v>
      </c>
      <c r="C1142" s="5" t="s">
        <v>92</v>
      </c>
      <c r="D1142" s="5" t="s">
        <v>650</v>
      </c>
      <c r="E1142" s="5" t="n">
        <v>1</v>
      </c>
      <c r="F1142" s="6" t="n">
        <f aca="false">IFERROR(MATCH(A1142&amp;"|"&amp;B1142&amp;"|"&amp;D1142,'All Song Rankings'!$T:$T,0),0)</f>
        <v>180</v>
      </c>
      <c r="G1142" s="6" t="str">
        <f aca="false">IF(F1142=0,"NOT FOUND",INDEX('All Song Rankings'!$A:$A,F1142))</f>
        <v>you should see me in a crown</v>
      </c>
      <c r="H1142" s="6" t="str">
        <f aca="false">IF(F1142=0,"NOT FOUND",INDEX('All Song Rankings'!$B:$B,F1142))</f>
        <v>Billie Eilish</v>
      </c>
      <c r="I1142" s="6" t="str">
        <f aca="false">IF(F1142=0,"NOT FOUND",INDEX('All Song Rankings'!$D:$D,F1142))</f>
        <v>Makenzie</v>
      </c>
      <c r="J1142" s="7" t="str">
        <f aca="false">IF(F1142=0,"NOT FOUND",IF(C1142=I1142,"SELF-VOTE",IF(COUNTIF($K:$K,K1142)&gt;1,"DUPLICATE","OK")))</f>
        <v>OK</v>
      </c>
      <c r="K1142" s="6" t="str">
        <f aca="false">A1142&amp;"|"&amp;B1142&amp;"|"&amp;C1142&amp;"|"&amp;D1142</f>
        <v>2|8|Nicole|spotify:track:3XF5xLJHOQQRbWya6hBp7d</v>
      </c>
    </row>
    <row r="1143" customFormat="false" ht="15" hidden="false" customHeight="false" outlineLevel="0" collapsed="false">
      <c r="A1143" s="5" t="n">
        <v>2</v>
      </c>
      <c r="B1143" s="5" t="n">
        <v>8</v>
      </c>
      <c r="C1143" s="5" t="s">
        <v>92</v>
      </c>
      <c r="D1143" s="5" t="s">
        <v>662</v>
      </c>
      <c r="E1143" s="5" t="n">
        <v>1</v>
      </c>
      <c r="F1143" s="6" t="n">
        <f aca="false">IFERROR(MATCH(A1143&amp;"|"&amp;B1143&amp;"|"&amp;D1143,'All Song Rankings'!$T:$T,0),0)</f>
        <v>184</v>
      </c>
      <c r="G1143" s="6" t="str">
        <f aca="false">IF(F1143=0,"NOT FOUND",INDEX('All Song Rankings'!$A:$A,F1143))</f>
        <v>Seven Nation Army</v>
      </c>
      <c r="H1143" s="6" t="str">
        <f aca="false">IF(F1143=0,"NOT FOUND",INDEX('All Song Rankings'!$B:$B,F1143))</f>
        <v>The White Stripes</v>
      </c>
      <c r="I1143" s="6" t="str">
        <f aca="false">IF(F1143=0,"NOT FOUND",INDEX('All Song Rankings'!$D:$D,F1143))</f>
        <v>Kelsey</v>
      </c>
      <c r="J1143" s="7" t="str">
        <f aca="false">IF(F1143=0,"NOT FOUND",IF(C1143=I1143,"SELF-VOTE",IF(COUNTIF($K:$K,K1143)&gt;1,"DUPLICATE","OK")))</f>
        <v>OK</v>
      </c>
      <c r="K1143" s="6" t="str">
        <f aca="false">A1143&amp;"|"&amp;B1143&amp;"|"&amp;C1143&amp;"|"&amp;D1143</f>
        <v>2|8|Nicole|spotify:track:3dPQuX8Gs42Y7b454ybpMR</v>
      </c>
    </row>
    <row r="1144" customFormat="false" ht="15" hidden="false" customHeight="false" outlineLevel="0" collapsed="false">
      <c r="A1144" s="5" t="n">
        <v>2</v>
      </c>
      <c r="B1144" s="5" t="n">
        <v>8</v>
      </c>
      <c r="C1144" s="5" t="s">
        <v>92</v>
      </c>
      <c r="D1144" s="5" t="s">
        <v>659</v>
      </c>
      <c r="E1144" s="5" t="n">
        <v>1</v>
      </c>
      <c r="F1144" s="6" t="n">
        <f aca="false">IFERROR(MATCH(A1144&amp;"|"&amp;B1144&amp;"|"&amp;D1144,'All Song Rankings'!$T:$T,0),0)</f>
        <v>183</v>
      </c>
      <c r="G1144" s="6" t="str">
        <f aca="false">IF(F1144=0,"NOT FOUND",INDEX('All Song Rankings'!$A:$A,F1144))</f>
        <v>Maneater</v>
      </c>
      <c r="H1144" s="6" t="str">
        <f aca="false">IF(F1144=0,"NOT FOUND",INDEX('All Song Rankings'!$B:$B,F1144))</f>
        <v>Nelly Furtado</v>
      </c>
      <c r="I1144" s="6" t="str">
        <f aca="false">IF(F1144=0,"NOT FOUND",INDEX('All Song Rankings'!$D:$D,F1144))</f>
        <v>Stephanie</v>
      </c>
      <c r="J1144" s="7" t="str">
        <f aca="false">IF(F1144=0,"NOT FOUND",IF(C1144=I1144,"SELF-VOTE",IF(COUNTIF($K:$K,K1144)&gt;1,"DUPLICATE","OK")))</f>
        <v>OK</v>
      </c>
      <c r="K1144" s="6" t="str">
        <f aca="false">A1144&amp;"|"&amp;B1144&amp;"|"&amp;C1144&amp;"|"&amp;D1144</f>
        <v>2|8|Nicole|spotify:track:4wH4dJgrsxONID6KS2tDQM</v>
      </c>
    </row>
    <row r="1145" customFormat="false" ht="15" hidden="false" customHeight="false" outlineLevel="0" collapsed="false">
      <c r="A1145" s="5" t="n">
        <v>2</v>
      </c>
      <c r="B1145" s="5" t="n">
        <v>8</v>
      </c>
      <c r="C1145" s="5" t="s">
        <v>92</v>
      </c>
      <c r="D1145" s="5" t="s">
        <v>653</v>
      </c>
      <c r="E1145" s="5" t="n">
        <v>1</v>
      </c>
      <c r="F1145" s="6" t="n">
        <f aca="false">IFERROR(MATCH(A1145&amp;"|"&amp;B1145&amp;"|"&amp;D1145,'All Song Rankings'!$T:$T,0),0)</f>
        <v>181</v>
      </c>
      <c r="G1145" s="6" t="str">
        <f aca="false">IF(F1145=0,"NOT FOUND",INDEX('All Song Rankings'!$A:$A,F1145))</f>
        <v>Insane</v>
      </c>
      <c r="H1145" s="6" t="str">
        <f aca="false">IF(F1145=0,"NOT FOUND",INDEX('All Song Rankings'!$B:$B,F1145))</f>
        <v>Black Gryph0n</v>
      </c>
      <c r="I1145" s="6" t="str">
        <f aca="false">IF(F1145=0,"NOT FOUND",INDEX('All Song Rankings'!$D:$D,F1145))</f>
        <v>Matt</v>
      </c>
      <c r="J1145" s="7" t="str">
        <f aca="false">IF(F1145=0,"NOT FOUND",IF(C1145=I1145,"SELF-VOTE",IF(COUNTIF($K:$K,K1145)&gt;1,"DUPLICATE","OK")))</f>
        <v>OK</v>
      </c>
      <c r="K1145" s="6" t="str">
        <f aca="false">A1145&amp;"|"&amp;B1145&amp;"|"&amp;C1145&amp;"|"&amp;D1145</f>
        <v>2|8|Nicole|spotify:track:5flerg6aEao2VayZezVlgu</v>
      </c>
    </row>
    <row r="1146" customFormat="false" ht="15" hidden="false" customHeight="false" outlineLevel="0" collapsed="false">
      <c r="A1146" s="5" t="n">
        <v>2</v>
      </c>
      <c r="B1146" s="5" t="n">
        <v>8</v>
      </c>
      <c r="C1146" s="5" t="s">
        <v>92</v>
      </c>
      <c r="D1146" s="5" t="s">
        <v>683</v>
      </c>
      <c r="E1146" s="5" t="n">
        <v>1</v>
      </c>
      <c r="F1146" s="6" t="n">
        <f aca="false">IFERROR(MATCH(A1146&amp;"|"&amp;B1146&amp;"|"&amp;D1146,'All Song Rankings'!$T:$T,0),0)</f>
        <v>192</v>
      </c>
      <c r="G1146" s="6" t="str">
        <f aca="false">IF(F1146=0,"NOT FOUND",INDEX('All Song Rankings'!$A:$A,F1146))</f>
        <v>Bow Down</v>
      </c>
      <c r="H1146" s="6" t="str">
        <f aca="false">IF(F1146=0,"NOT FOUND",INDEX('All Song Rankings'!$B:$B,F1146))</f>
        <v>I Prevail</v>
      </c>
      <c r="I1146" s="6" t="str">
        <f aca="false">IF(F1146=0,"NOT FOUND",INDEX('All Song Rankings'!$D:$D,F1146))</f>
        <v>Scott</v>
      </c>
      <c r="J1146" s="7" t="str">
        <f aca="false">IF(F1146=0,"NOT FOUND",IF(C1146=I1146,"SELF-VOTE",IF(COUNTIF($K:$K,K1146)&gt;1,"DUPLICATE","OK")))</f>
        <v>OK</v>
      </c>
      <c r="K1146" s="6" t="str">
        <f aca="false">A1146&amp;"|"&amp;B1146&amp;"|"&amp;C1146&amp;"|"&amp;D1146</f>
        <v>2|8|Nicole|spotify:track:5qD3Qv8Wu3r5uRD0DahcZy</v>
      </c>
    </row>
    <row r="1147" customFormat="false" ht="15" hidden="false" customHeight="false" outlineLevel="0" collapsed="false">
      <c r="A1147" s="5" t="n">
        <v>2</v>
      </c>
      <c r="B1147" s="5" t="n">
        <v>8</v>
      </c>
      <c r="C1147" s="5" t="s">
        <v>92</v>
      </c>
      <c r="D1147" s="5" t="s">
        <v>386</v>
      </c>
      <c r="E1147" s="5" t="n">
        <v>1</v>
      </c>
      <c r="F1147" s="6" t="n">
        <f aca="false">IFERROR(MATCH(A1147&amp;"|"&amp;B1147&amp;"|"&amp;D1147,'All Song Rankings'!$T:$T,0),0)</f>
        <v>191</v>
      </c>
      <c r="G1147" s="6" t="str">
        <f aca="false">IF(F1147=0,"NOT FOUND",INDEX('All Song Rankings'!$A:$A,F1147))</f>
        <v>Misery Business</v>
      </c>
      <c r="H1147" s="6" t="str">
        <f aca="false">IF(F1147=0,"NOT FOUND",INDEX('All Song Rankings'!$B:$B,F1147))</f>
        <v>Paramore</v>
      </c>
      <c r="I1147" s="6" t="str">
        <f aca="false">IF(F1147=0,"NOT FOUND",INDEX('All Song Rankings'!$D:$D,F1147))</f>
        <v>Colleen</v>
      </c>
      <c r="J1147" s="7" t="str">
        <f aca="false">IF(F1147=0,"NOT FOUND",IF(C1147=I1147,"SELF-VOTE",IF(COUNTIF($K:$K,K1147)&gt;1,"DUPLICATE","OK")))</f>
        <v>OK</v>
      </c>
      <c r="K1147" s="6" t="str">
        <f aca="false">A1147&amp;"|"&amp;B1147&amp;"|"&amp;C1147&amp;"|"&amp;D1147</f>
        <v>2|8|Nicole|spotify:track:6SpLc7EXZIPpy0sVko0aoU</v>
      </c>
    </row>
    <row r="1148" customFormat="false" ht="15" hidden="false" customHeight="false" outlineLevel="0" collapsed="false">
      <c r="A1148" s="5" t="n">
        <v>2</v>
      </c>
      <c r="B1148" s="5" t="n">
        <v>8</v>
      </c>
      <c r="C1148" s="5" t="s">
        <v>484</v>
      </c>
      <c r="D1148" s="5" t="s">
        <v>671</v>
      </c>
      <c r="E1148" s="5" t="n">
        <v>2</v>
      </c>
      <c r="F1148" s="6" t="n">
        <f aca="false">IFERROR(MATCH(A1148&amp;"|"&amp;B1148&amp;"|"&amp;D1148,'All Song Rankings'!$T:$T,0),0)</f>
        <v>187</v>
      </c>
      <c r="G1148" s="6" t="str">
        <f aca="false">IF(F1148=0,"NOT FOUND",INDEX('All Song Rankings'!$A:$A,F1148))</f>
        <v>Livin' in the Sunlight, Lovin' in the Moon Light</v>
      </c>
      <c r="H1148" s="6" t="str">
        <f aca="false">IF(F1148=0,"NOT FOUND",INDEX('All Song Rankings'!$B:$B,F1148))</f>
        <v>Tiny Tim</v>
      </c>
      <c r="I1148" s="6" t="str">
        <f aca="false">IF(F1148=0,"NOT FOUND",INDEX('All Song Rankings'!$D:$D,F1148))</f>
        <v>Grace</v>
      </c>
      <c r="J1148" s="7" t="str">
        <f aca="false">IF(F1148=0,"NOT FOUND",IF(C1148=I1148,"SELF-VOTE",IF(COUNTIF($K:$K,K1148)&gt;1,"DUPLICATE","OK")))</f>
        <v>OK</v>
      </c>
      <c r="K1148" s="6" t="str">
        <f aca="false">A1148&amp;"|"&amp;B1148&amp;"|"&amp;C1148&amp;"|"&amp;D1148</f>
        <v>2|8|Scott|spotify:track:1PmXm1881bonBI1AlG5uaH</v>
      </c>
    </row>
    <row r="1149" customFormat="false" ht="15" hidden="false" customHeight="false" outlineLevel="0" collapsed="false">
      <c r="A1149" s="5" t="n">
        <v>2</v>
      </c>
      <c r="B1149" s="5" t="n">
        <v>8</v>
      </c>
      <c r="C1149" s="5" t="s">
        <v>484</v>
      </c>
      <c r="D1149" s="5" t="s">
        <v>674</v>
      </c>
      <c r="E1149" s="5" t="n">
        <v>2</v>
      </c>
      <c r="F1149" s="6" t="n">
        <f aca="false">IFERROR(MATCH(A1149&amp;"|"&amp;B1149&amp;"|"&amp;D1149,'All Song Rankings'!$T:$T,0),0)</f>
        <v>188</v>
      </c>
      <c r="G1149" s="6" t="str">
        <f aca="false">IF(F1149=0,"NOT FOUND",INDEX('All Song Rankings'!$A:$A,F1149))</f>
        <v>Mount Everest</v>
      </c>
      <c r="H1149" s="6" t="str">
        <f aca="false">IF(F1149=0,"NOT FOUND",INDEX('All Song Rankings'!$B:$B,F1149))</f>
        <v>Labrinth</v>
      </c>
      <c r="I1149" s="6" t="str">
        <f aca="false">IF(F1149=0,"NOT FOUND",INDEX('All Song Rankings'!$D:$D,F1149))</f>
        <v>Logan</v>
      </c>
      <c r="J1149" s="7" t="str">
        <f aca="false">IF(F1149=0,"NOT FOUND",IF(C1149=I1149,"SELF-VOTE",IF(COUNTIF($K:$K,K1149)&gt;1,"DUPLICATE","OK")))</f>
        <v>OK</v>
      </c>
      <c r="K1149" s="6" t="str">
        <f aca="false">A1149&amp;"|"&amp;B1149&amp;"|"&amp;C1149&amp;"|"&amp;D1149</f>
        <v>2|8|Scott|spotify:track:1ZdhOMWyFR8Iv9eylMGYg2</v>
      </c>
    </row>
    <row r="1150" customFormat="false" ht="15" hidden="false" customHeight="false" outlineLevel="0" collapsed="false">
      <c r="A1150" s="5" t="n">
        <v>2</v>
      </c>
      <c r="B1150" s="5" t="n">
        <v>8</v>
      </c>
      <c r="C1150" s="5" t="s">
        <v>484</v>
      </c>
      <c r="D1150" s="5" t="s">
        <v>664</v>
      </c>
      <c r="E1150" s="5" t="n">
        <v>1</v>
      </c>
      <c r="F1150" s="6" t="n">
        <f aca="false">IFERROR(MATCH(A1150&amp;"|"&amp;B1150&amp;"|"&amp;D1150,'All Song Rankings'!$T:$T,0),0)</f>
        <v>185</v>
      </c>
      <c r="G1150" s="6" t="str">
        <f aca="false">IF(F1150=0,"NOT FOUND",INDEX('All Song Rankings'!$A:$A,F1150))</f>
        <v>Shatter Me Featuring Lzzy Hale</v>
      </c>
      <c r="H1150" s="6" t="str">
        <f aca="false">IF(F1150=0,"NOT FOUND",INDEX('All Song Rankings'!$B:$B,F1150))</f>
        <v>Lindsey Stirling</v>
      </c>
      <c r="I1150" s="6" t="str">
        <f aca="false">IF(F1150=0,"NOT FOUND",INDEX('All Song Rankings'!$D:$D,F1150))</f>
        <v>Leah</v>
      </c>
      <c r="J1150" s="7" t="str">
        <f aca="false">IF(F1150=0,"NOT FOUND",IF(C1150=I1150,"SELF-VOTE",IF(COUNTIF($K:$K,K1150)&gt;1,"DUPLICATE","OK")))</f>
        <v>OK</v>
      </c>
      <c r="K1150" s="6" t="str">
        <f aca="false">A1150&amp;"|"&amp;B1150&amp;"|"&amp;C1150&amp;"|"&amp;D1150</f>
        <v>2|8|Scott|spotify:track:2K7j4xrQENCi5r3Hii4cVe</v>
      </c>
    </row>
    <row r="1151" customFormat="false" ht="15" hidden="false" customHeight="false" outlineLevel="0" collapsed="false">
      <c r="A1151" s="5" t="n">
        <v>2</v>
      </c>
      <c r="B1151" s="5" t="n">
        <v>8</v>
      </c>
      <c r="C1151" s="5" t="s">
        <v>484</v>
      </c>
      <c r="D1151" s="5" t="s">
        <v>677</v>
      </c>
      <c r="E1151" s="5" t="n">
        <v>1</v>
      </c>
      <c r="F1151" s="6" t="n">
        <f aca="false">IFERROR(MATCH(A1151&amp;"|"&amp;B1151&amp;"|"&amp;D1151,'All Song Rankings'!$T:$T,0),0)</f>
        <v>189</v>
      </c>
      <c r="G1151" s="6" t="str">
        <f aca="false">IF(F1151=0,"NOT FOUND",INDEX('All Song Rankings'!$A:$A,F1151))</f>
        <v>The Future Soon</v>
      </c>
      <c r="H1151" s="6" t="str">
        <f aca="false">IF(F1151=0,"NOT FOUND",INDEX('All Song Rankings'!$B:$B,F1151))</f>
        <v>Jonathan Coulton</v>
      </c>
      <c r="I1151" s="6" t="str">
        <f aca="false">IF(F1151=0,"NOT FOUND",INDEX('All Song Rankings'!$D:$D,F1151))</f>
        <v>Shayne</v>
      </c>
      <c r="J1151" s="7" t="str">
        <f aca="false">IF(F1151=0,"NOT FOUND",IF(C1151=I1151,"SELF-VOTE",IF(COUNTIF($K:$K,K1151)&gt;1,"DUPLICATE","OK")))</f>
        <v>OK</v>
      </c>
      <c r="K1151" s="6" t="str">
        <f aca="false">A1151&amp;"|"&amp;B1151&amp;"|"&amp;C1151&amp;"|"&amp;D1151</f>
        <v>2|8|Scott|spotify:track:2chEZfdAqJvlw9dM3hAU6p</v>
      </c>
    </row>
    <row r="1152" customFormat="false" ht="15" hidden="false" customHeight="false" outlineLevel="0" collapsed="false">
      <c r="A1152" s="5" t="n">
        <v>2</v>
      </c>
      <c r="B1152" s="5" t="n">
        <v>8</v>
      </c>
      <c r="C1152" s="5" t="s">
        <v>484</v>
      </c>
      <c r="D1152" s="5" t="s">
        <v>680</v>
      </c>
      <c r="E1152" s="5" t="n">
        <v>1</v>
      </c>
      <c r="F1152" s="6" t="n">
        <f aca="false">IFERROR(MATCH(A1152&amp;"|"&amp;B1152&amp;"|"&amp;D1152,'All Song Rankings'!$T:$T,0),0)</f>
        <v>190</v>
      </c>
      <c r="G1152" s="6" t="str">
        <f aca="false">IF(F1152=0,"NOT FOUND",INDEX('All Song Rankings'!$A:$A,F1152))</f>
        <v>Killing Strangers</v>
      </c>
      <c r="H1152" s="6" t="str">
        <f aca="false">IF(F1152=0,"NOT FOUND",INDEX('All Song Rankings'!$B:$B,F1152))</f>
        <v>Marilyn Manson</v>
      </c>
      <c r="I1152" s="6" t="str">
        <f aca="false">IF(F1152=0,"NOT FOUND",INDEX('All Song Rankings'!$D:$D,F1152))</f>
        <v>Kristen</v>
      </c>
      <c r="J1152" s="7" t="str">
        <f aca="false">IF(F1152=0,"NOT FOUND",IF(C1152=I1152,"SELF-VOTE",IF(COUNTIF($K:$K,K1152)&gt;1,"DUPLICATE","OK")))</f>
        <v>OK</v>
      </c>
      <c r="K1152" s="6" t="str">
        <f aca="false">A1152&amp;"|"&amp;B1152&amp;"|"&amp;C1152&amp;"|"&amp;D1152</f>
        <v>2|8|Scott|spotify:track:2naBVHNHinneXOYmczG7xE</v>
      </c>
    </row>
    <row r="1153" customFormat="false" ht="15" hidden="false" customHeight="false" outlineLevel="0" collapsed="false">
      <c r="A1153" s="5" t="n">
        <v>2</v>
      </c>
      <c r="B1153" s="5" t="n">
        <v>8</v>
      </c>
      <c r="C1153" s="5" t="s">
        <v>484</v>
      </c>
      <c r="D1153" s="5" t="s">
        <v>650</v>
      </c>
      <c r="E1153" s="5" t="n">
        <v>2</v>
      </c>
      <c r="F1153" s="6" t="n">
        <f aca="false">IFERROR(MATCH(A1153&amp;"|"&amp;B1153&amp;"|"&amp;D1153,'All Song Rankings'!$T:$T,0),0)</f>
        <v>180</v>
      </c>
      <c r="G1153" s="6" t="str">
        <f aca="false">IF(F1153=0,"NOT FOUND",INDEX('All Song Rankings'!$A:$A,F1153))</f>
        <v>you should see me in a crown</v>
      </c>
      <c r="H1153" s="6" t="str">
        <f aca="false">IF(F1153=0,"NOT FOUND",INDEX('All Song Rankings'!$B:$B,F1153))</f>
        <v>Billie Eilish</v>
      </c>
      <c r="I1153" s="6" t="str">
        <f aca="false">IF(F1153=0,"NOT FOUND",INDEX('All Song Rankings'!$D:$D,F1153))</f>
        <v>Makenzie</v>
      </c>
      <c r="J1153" s="7" t="str">
        <f aca="false">IF(F1153=0,"NOT FOUND",IF(C1153=I1153,"SELF-VOTE",IF(COUNTIF($K:$K,K1153)&gt;1,"DUPLICATE","OK")))</f>
        <v>OK</v>
      </c>
      <c r="K1153" s="6" t="str">
        <f aca="false">A1153&amp;"|"&amp;B1153&amp;"|"&amp;C1153&amp;"|"&amp;D1153</f>
        <v>2|8|Scott|spotify:track:3XF5xLJHOQQRbWya6hBp7d</v>
      </c>
    </row>
    <row r="1154" customFormat="false" ht="15" hidden="false" customHeight="false" outlineLevel="0" collapsed="false">
      <c r="A1154" s="5" t="n">
        <v>2</v>
      </c>
      <c r="B1154" s="5" t="n">
        <v>8</v>
      </c>
      <c r="C1154" s="5" t="s">
        <v>484</v>
      </c>
      <c r="D1154" s="5" t="s">
        <v>653</v>
      </c>
      <c r="E1154" s="5" t="n">
        <v>1</v>
      </c>
      <c r="F1154" s="6" t="n">
        <f aca="false">IFERROR(MATCH(A1154&amp;"|"&amp;B1154&amp;"|"&amp;D1154,'All Song Rankings'!$T:$T,0),0)</f>
        <v>181</v>
      </c>
      <c r="G1154" s="6" t="str">
        <f aca="false">IF(F1154=0,"NOT FOUND",INDEX('All Song Rankings'!$A:$A,F1154))</f>
        <v>Insane</v>
      </c>
      <c r="H1154" s="6" t="str">
        <f aca="false">IF(F1154=0,"NOT FOUND",INDEX('All Song Rankings'!$B:$B,F1154))</f>
        <v>Black Gryph0n</v>
      </c>
      <c r="I1154" s="6" t="str">
        <f aca="false">IF(F1154=0,"NOT FOUND",INDEX('All Song Rankings'!$D:$D,F1154))</f>
        <v>Matt</v>
      </c>
      <c r="J1154" s="7" t="str">
        <f aca="false">IF(F1154=0,"NOT FOUND",IF(C1154=I1154,"SELF-VOTE",IF(COUNTIF($K:$K,K1154)&gt;1,"DUPLICATE","OK")))</f>
        <v>OK</v>
      </c>
      <c r="K1154" s="6" t="str">
        <f aca="false">A1154&amp;"|"&amp;B1154&amp;"|"&amp;C1154&amp;"|"&amp;D1154</f>
        <v>2|8|Scott|spotify:track:5flerg6aEao2VayZezVlgu</v>
      </c>
    </row>
    <row r="1155" customFormat="false" ht="15" hidden="false" customHeight="false" outlineLevel="0" collapsed="false">
      <c r="A1155" s="5" t="n">
        <v>2</v>
      </c>
      <c r="B1155" s="5" t="n">
        <v>8</v>
      </c>
      <c r="C1155" s="5" t="s">
        <v>378</v>
      </c>
      <c r="D1155" s="5" t="s">
        <v>674</v>
      </c>
      <c r="E1155" s="5" t="n">
        <v>1</v>
      </c>
      <c r="F1155" s="6" t="n">
        <f aca="false">IFERROR(MATCH(A1155&amp;"|"&amp;B1155&amp;"|"&amp;D1155,'All Song Rankings'!$T:$T,0),0)</f>
        <v>188</v>
      </c>
      <c r="G1155" s="6" t="str">
        <f aca="false">IF(F1155=0,"NOT FOUND",INDEX('All Song Rankings'!$A:$A,F1155))</f>
        <v>Mount Everest</v>
      </c>
      <c r="H1155" s="6" t="str">
        <f aca="false">IF(F1155=0,"NOT FOUND",INDEX('All Song Rankings'!$B:$B,F1155))</f>
        <v>Labrinth</v>
      </c>
      <c r="I1155" s="6" t="str">
        <f aca="false">IF(F1155=0,"NOT FOUND",INDEX('All Song Rankings'!$D:$D,F1155))</f>
        <v>Logan</v>
      </c>
      <c r="J1155" s="7" t="str">
        <f aca="false">IF(F1155=0,"NOT FOUND",IF(C1155=I1155,"SELF-VOTE",IF(COUNTIF($K:$K,K1155)&gt;1,"DUPLICATE","OK")))</f>
        <v>OK</v>
      </c>
      <c r="K1155" s="6" t="str">
        <f aca="false">A1155&amp;"|"&amp;B1155&amp;"|"&amp;C1155&amp;"|"&amp;D1155</f>
        <v>2|8|Shayne|spotify:track:1ZdhOMWyFR8Iv9eylMGYg2</v>
      </c>
    </row>
    <row r="1156" customFormat="false" ht="15" hidden="false" customHeight="false" outlineLevel="0" collapsed="false">
      <c r="A1156" s="5" t="n">
        <v>2</v>
      </c>
      <c r="B1156" s="5" t="n">
        <v>8</v>
      </c>
      <c r="C1156" s="5" t="s">
        <v>378</v>
      </c>
      <c r="D1156" s="5" t="s">
        <v>664</v>
      </c>
      <c r="E1156" s="5" t="n">
        <v>2</v>
      </c>
      <c r="F1156" s="6" t="n">
        <f aca="false">IFERROR(MATCH(A1156&amp;"|"&amp;B1156&amp;"|"&amp;D1156,'All Song Rankings'!$T:$T,0),0)</f>
        <v>185</v>
      </c>
      <c r="G1156" s="6" t="str">
        <f aca="false">IF(F1156=0,"NOT FOUND",INDEX('All Song Rankings'!$A:$A,F1156))</f>
        <v>Shatter Me Featuring Lzzy Hale</v>
      </c>
      <c r="H1156" s="6" t="str">
        <f aca="false">IF(F1156=0,"NOT FOUND",INDEX('All Song Rankings'!$B:$B,F1156))</f>
        <v>Lindsey Stirling</v>
      </c>
      <c r="I1156" s="6" t="str">
        <f aca="false">IF(F1156=0,"NOT FOUND",INDEX('All Song Rankings'!$D:$D,F1156))</f>
        <v>Leah</v>
      </c>
      <c r="J1156" s="7" t="str">
        <f aca="false">IF(F1156=0,"NOT FOUND",IF(C1156=I1156,"SELF-VOTE",IF(COUNTIF($K:$K,K1156)&gt;1,"DUPLICATE","OK")))</f>
        <v>OK</v>
      </c>
      <c r="K1156" s="6" t="str">
        <f aca="false">A1156&amp;"|"&amp;B1156&amp;"|"&amp;C1156&amp;"|"&amp;D1156</f>
        <v>2|8|Shayne|spotify:track:2K7j4xrQENCi5r3Hii4cVe</v>
      </c>
    </row>
    <row r="1157" customFormat="false" ht="15" hidden="false" customHeight="false" outlineLevel="0" collapsed="false">
      <c r="A1157" s="5" t="n">
        <v>2</v>
      </c>
      <c r="B1157" s="5" t="n">
        <v>8</v>
      </c>
      <c r="C1157" s="5" t="s">
        <v>378</v>
      </c>
      <c r="D1157" s="5" t="s">
        <v>680</v>
      </c>
      <c r="E1157" s="5" t="n">
        <v>1</v>
      </c>
      <c r="F1157" s="6" t="n">
        <f aca="false">IFERROR(MATCH(A1157&amp;"|"&amp;B1157&amp;"|"&amp;D1157,'All Song Rankings'!$T:$T,0),0)</f>
        <v>190</v>
      </c>
      <c r="G1157" s="6" t="str">
        <f aca="false">IF(F1157=0,"NOT FOUND",INDEX('All Song Rankings'!$A:$A,F1157))</f>
        <v>Killing Strangers</v>
      </c>
      <c r="H1157" s="6" t="str">
        <f aca="false">IF(F1157=0,"NOT FOUND",INDEX('All Song Rankings'!$B:$B,F1157))</f>
        <v>Marilyn Manson</v>
      </c>
      <c r="I1157" s="6" t="str">
        <f aca="false">IF(F1157=0,"NOT FOUND",INDEX('All Song Rankings'!$D:$D,F1157))</f>
        <v>Kristen</v>
      </c>
      <c r="J1157" s="7" t="str">
        <f aca="false">IF(F1157=0,"NOT FOUND",IF(C1157=I1157,"SELF-VOTE",IF(COUNTIF($K:$K,K1157)&gt;1,"DUPLICATE","OK")))</f>
        <v>OK</v>
      </c>
      <c r="K1157" s="6" t="str">
        <f aca="false">A1157&amp;"|"&amp;B1157&amp;"|"&amp;C1157&amp;"|"&amp;D1157</f>
        <v>2|8|Shayne|spotify:track:2naBVHNHinneXOYmczG7xE</v>
      </c>
    </row>
    <row r="1158" customFormat="false" ht="15" hidden="false" customHeight="false" outlineLevel="0" collapsed="false">
      <c r="A1158" s="5" t="n">
        <v>2</v>
      </c>
      <c r="B1158" s="5" t="n">
        <v>8</v>
      </c>
      <c r="C1158" s="5" t="s">
        <v>378</v>
      </c>
      <c r="D1158" s="5" t="s">
        <v>656</v>
      </c>
      <c r="E1158" s="5" t="n">
        <v>1</v>
      </c>
      <c r="F1158" s="6" t="n">
        <f aca="false">IFERROR(MATCH(A1158&amp;"|"&amp;B1158&amp;"|"&amp;D1158,'All Song Rankings'!$T:$T,0),0)</f>
        <v>182</v>
      </c>
      <c r="G1158" s="6" t="str">
        <f aca="false">IF(F1158=0,"NOT FOUND",INDEX('All Song Rankings'!$A:$A,F1158))</f>
        <v>PARAMOUR (feat. AURORA)</v>
      </c>
      <c r="H1158" s="6" t="str">
        <f aca="false">IF(F1158=0,"NOT FOUND",INDEX('All Song Rankings'!$B:$B,F1158))</f>
        <v>Sub Urban</v>
      </c>
      <c r="I1158" s="6" t="str">
        <f aca="false">IF(F1158=0,"NOT FOUND",INDEX('All Song Rankings'!$D:$D,F1158))</f>
        <v>Merita</v>
      </c>
      <c r="J1158" s="7" t="str">
        <f aca="false">IF(F1158=0,"NOT FOUND",IF(C1158=I1158,"SELF-VOTE",IF(COUNTIF($K:$K,K1158)&gt;1,"DUPLICATE","OK")))</f>
        <v>OK</v>
      </c>
      <c r="K1158" s="6" t="str">
        <f aca="false">A1158&amp;"|"&amp;B1158&amp;"|"&amp;C1158&amp;"|"&amp;D1158</f>
        <v>2|8|Shayne|spotify:track:3PIla3hOLQxw5l6GW2jdZu</v>
      </c>
    </row>
    <row r="1159" customFormat="false" ht="15" hidden="false" customHeight="false" outlineLevel="0" collapsed="false">
      <c r="A1159" s="5" t="n">
        <v>2</v>
      </c>
      <c r="B1159" s="5" t="n">
        <v>8</v>
      </c>
      <c r="C1159" s="5" t="s">
        <v>378</v>
      </c>
      <c r="D1159" s="5" t="s">
        <v>659</v>
      </c>
      <c r="E1159" s="5" t="n">
        <v>1</v>
      </c>
      <c r="F1159" s="6" t="n">
        <f aca="false">IFERROR(MATCH(A1159&amp;"|"&amp;B1159&amp;"|"&amp;D1159,'All Song Rankings'!$T:$T,0),0)</f>
        <v>183</v>
      </c>
      <c r="G1159" s="6" t="str">
        <f aca="false">IF(F1159=0,"NOT FOUND",INDEX('All Song Rankings'!$A:$A,F1159))</f>
        <v>Maneater</v>
      </c>
      <c r="H1159" s="6" t="str">
        <f aca="false">IF(F1159=0,"NOT FOUND",INDEX('All Song Rankings'!$B:$B,F1159))</f>
        <v>Nelly Furtado</v>
      </c>
      <c r="I1159" s="6" t="str">
        <f aca="false">IF(F1159=0,"NOT FOUND",INDEX('All Song Rankings'!$D:$D,F1159))</f>
        <v>Stephanie</v>
      </c>
      <c r="J1159" s="7" t="str">
        <f aca="false">IF(F1159=0,"NOT FOUND",IF(C1159=I1159,"SELF-VOTE",IF(COUNTIF($K:$K,K1159)&gt;1,"DUPLICATE","OK")))</f>
        <v>OK</v>
      </c>
      <c r="K1159" s="6" t="str">
        <f aca="false">A1159&amp;"|"&amp;B1159&amp;"|"&amp;C1159&amp;"|"&amp;D1159</f>
        <v>2|8|Shayne|spotify:track:4wH4dJgrsxONID6KS2tDQM</v>
      </c>
    </row>
    <row r="1160" customFormat="false" ht="15" hidden="false" customHeight="false" outlineLevel="0" collapsed="false">
      <c r="A1160" s="5" t="n">
        <v>2</v>
      </c>
      <c r="B1160" s="5" t="n">
        <v>8</v>
      </c>
      <c r="C1160" s="5" t="s">
        <v>378</v>
      </c>
      <c r="D1160" s="5" t="s">
        <v>653</v>
      </c>
      <c r="E1160" s="5" t="n">
        <v>1</v>
      </c>
      <c r="F1160" s="6" t="n">
        <f aca="false">IFERROR(MATCH(A1160&amp;"|"&amp;B1160&amp;"|"&amp;D1160,'All Song Rankings'!$T:$T,0),0)</f>
        <v>181</v>
      </c>
      <c r="G1160" s="6" t="str">
        <f aca="false">IF(F1160=0,"NOT FOUND",INDEX('All Song Rankings'!$A:$A,F1160))</f>
        <v>Insane</v>
      </c>
      <c r="H1160" s="6" t="str">
        <f aca="false">IF(F1160=0,"NOT FOUND",INDEX('All Song Rankings'!$B:$B,F1160))</f>
        <v>Black Gryph0n</v>
      </c>
      <c r="I1160" s="6" t="str">
        <f aca="false">IF(F1160=0,"NOT FOUND",INDEX('All Song Rankings'!$D:$D,F1160))</f>
        <v>Matt</v>
      </c>
      <c r="J1160" s="7" t="str">
        <f aca="false">IF(F1160=0,"NOT FOUND",IF(C1160=I1160,"SELF-VOTE",IF(COUNTIF($K:$K,K1160)&gt;1,"DUPLICATE","OK")))</f>
        <v>OK</v>
      </c>
      <c r="K1160" s="6" t="str">
        <f aca="false">A1160&amp;"|"&amp;B1160&amp;"|"&amp;C1160&amp;"|"&amp;D1160</f>
        <v>2|8|Shayne|spotify:track:5flerg6aEao2VayZezVlgu</v>
      </c>
    </row>
    <row r="1161" customFormat="false" ht="15" hidden="false" customHeight="false" outlineLevel="0" collapsed="false">
      <c r="A1161" s="5" t="n">
        <v>2</v>
      </c>
      <c r="B1161" s="5" t="n">
        <v>8</v>
      </c>
      <c r="C1161" s="5" t="s">
        <v>378</v>
      </c>
      <c r="D1161" s="5" t="s">
        <v>683</v>
      </c>
      <c r="E1161" s="5" t="n">
        <v>1</v>
      </c>
      <c r="F1161" s="6" t="n">
        <f aca="false">IFERROR(MATCH(A1161&amp;"|"&amp;B1161&amp;"|"&amp;D1161,'All Song Rankings'!$T:$T,0),0)</f>
        <v>192</v>
      </c>
      <c r="G1161" s="6" t="str">
        <f aca="false">IF(F1161=0,"NOT FOUND",INDEX('All Song Rankings'!$A:$A,F1161))</f>
        <v>Bow Down</v>
      </c>
      <c r="H1161" s="6" t="str">
        <f aca="false">IF(F1161=0,"NOT FOUND",INDEX('All Song Rankings'!$B:$B,F1161))</f>
        <v>I Prevail</v>
      </c>
      <c r="I1161" s="6" t="str">
        <f aca="false">IF(F1161=0,"NOT FOUND",INDEX('All Song Rankings'!$D:$D,F1161))</f>
        <v>Scott</v>
      </c>
      <c r="J1161" s="7" t="str">
        <f aca="false">IF(F1161=0,"NOT FOUND",IF(C1161=I1161,"SELF-VOTE",IF(COUNTIF($K:$K,K1161)&gt;1,"DUPLICATE","OK")))</f>
        <v>OK</v>
      </c>
      <c r="K1161" s="6" t="str">
        <f aca="false">A1161&amp;"|"&amp;B1161&amp;"|"&amp;C1161&amp;"|"&amp;D1161</f>
        <v>2|8|Shayne|spotify:track:5qD3Qv8Wu3r5uRD0DahcZy</v>
      </c>
    </row>
    <row r="1162" customFormat="false" ht="15" hidden="false" customHeight="false" outlineLevel="0" collapsed="false">
      <c r="A1162" s="5" t="n">
        <v>2</v>
      </c>
      <c r="B1162" s="5" t="n">
        <v>8</v>
      </c>
      <c r="C1162" s="5" t="s">
        <v>378</v>
      </c>
      <c r="D1162" s="5" t="s">
        <v>386</v>
      </c>
      <c r="E1162" s="5" t="n">
        <v>1</v>
      </c>
      <c r="F1162" s="6" t="n">
        <f aca="false">IFERROR(MATCH(A1162&amp;"|"&amp;B1162&amp;"|"&amp;D1162,'All Song Rankings'!$T:$T,0),0)</f>
        <v>191</v>
      </c>
      <c r="G1162" s="6" t="str">
        <f aca="false">IF(F1162=0,"NOT FOUND",INDEX('All Song Rankings'!$A:$A,F1162))</f>
        <v>Misery Business</v>
      </c>
      <c r="H1162" s="6" t="str">
        <f aca="false">IF(F1162=0,"NOT FOUND",INDEX('All Song Rankings'!$B:$B,F1162))</f>
        <v>Paramore</v>
      </c>
      <c r="I1162" s="6" t="str">
        <f aca="false">IF(F1162=0,"NOT FOUND",INDEX('All Song Rankings'!$D:$D,F1162))</f>
        <v>Colleen</v>
      </c>
      <c r="J1162" s="7" t="str">
        <f aca="false">IF(F1162=0,"NOT FOUND",IF(C1162=I1162,"SELF-VOTE",IF(COUNTIF($K:$K,K1162)&gt;1,"DUPLICATE","OK")))</f>
        <v>OK</v>
      </c>
      <c r="K1162" s="6" t="str">
        <f aca="false">A1162&amp;"|"&amp;B1162&amp;"|"&amp;C1162&amp;"|"&amp;D1162</f>
        <v>2|8|Shayne|spotify:track:6SpLc7EXZIPpy0sVko0aoU</v>
      </c>
    </row>
    <row r="1163" customFormat="false" ht="15" hidden="false" customHeight="false" outlineLevel="0" collapsed="false">
      <c r="A1163" s="5" t="n">
        <v>2</v>
      </c>
      <c r="B1163" s="5" t="n">
        <v>8</v>
      </c>
      <c r="C1163" s="5" t="s">
        <v>378</v>
      </c>
      <c r="D1163" s="5" t="s">
        <v>667</v>
      </c>
      <c r="E1163" s="5" t="n">
        <v>1</v>
      </c>
      <c r="F1163" s="6" t="n">
        <f aca="false">IFERROR(MATCH(A1163&amp;"|"&amp;B1163&amp;"|"&amp;D1163,'All Song Rankings'!$T:$T,0),0)</f>
        <v>186</v>
      </c>
      <c r="G1163" s="6" t="str">
        <f aca="false">IF(F1163=0,"NOT FOUND",INDEX('All Song Rankings'!$A:$A,F1163))</f>
        <v>Bad Guy</v>
      </c>
      <c r="H1163" s="6" t="str">
        <f aca="false">IF(F1163=0,"NOT FOUND",INDEX('All Song Rankings'!$B:$B,F1163))</f>
        <v>Falling In Reverse</v>
      </c>
      <c r="I1163" s="6" t="str">
        <f aca="false">IF(F1163=0,"NOT FOUND",INDEX('All Song Rankings'!$D:$D,F1163))</f>
        <v>Nicole</v>
      </c>
      <c r="J1163" s="7" t="str">
        <f aca="false">IF(F1163=0,"NOT FOUND",IF(C1163=I1163,"SELF-VOTE",IF(COUNTIF($K:$K,K1163)&gt;1,"DUPLICATE","OK")))</f>
        <v>OK</v>
      </c>
      <c r="K1163" s="6" t="str">
        <f aca="false">A1163&amp;"|"&amp;B1163&amp;"|"&amp;C1163&amp;"|"&amp;D1163</f>
        <v>2|8|Shayne|spotify:track:7uAWPqXthO4pO2Exc8V90t</v>
      </c>
    </row>
    <row r="1164" customFormat="false" ht="15" hidden="false" customHeight="false" outlineLevel="0" collapsed="false">
      <c r="A1164" s="5" t="n">
        <v>2</v>
      </c>
      <c r="B1164" s="5" t="n">
        <v>8</v>
      </c>
      <c r="C1164" s="5" t="s">
        <v>97</v>
      </c>
      <c r="D1164" s="5" t="s">
        <v>671</v>
      </c>
      <c r="E1164" s="5" t="n">
        <v>2</v>
      </c>
      <c r="F1164" s="6" t="n">
        <f aca="false">IFERROR(MATCH(A1164&amp;"|"&amp;B1164&amp;"|"&amp;D1164,'All Song Rankings'!$T:$T,0),0)</f>
        <v>187</v>
      </c>
      <c r="G1164" s="6" t="str">
        <f aca="false">IF(F1164=0,"NOT FOUND",INDEX('All Song Rankings'!$A:$A,F1164))</f>
        <v>Livin' in the Sunlight, Lovin' in the Moon Light</v>
      </c>
      <c r="H1164" s="6" t="str">
        <f aca="false">IF(F1164=0,"NOT FOUND",INDEX('All Song Rankings'!$B:$B,F1164))</f>
        <v>Tiny Tim</v>
      </c>
      <c r="I1164" s="6" t="str">
        <f aca="false">IF(F1164=0,"NOT FOUND",INDEX('All Song Rankings'!$D:$D,F1164))</f>
        <v>Grace</v>
      </c>
      <c r="J1164" s="7" t="str">
        <f aca="false">IF(F1164=0,"NOT FOUND",IF(C1164=I1164,"SELF-VOTE",IF(COUNTIF($K:$K,K1164)&gt;1,"DUPLICATE","OK")))</f>
        <v>OK</v>
      </c>
      <c r="K1164" s="6" t="str">
        <f aca="false">A1164&amp;"|"&amp;B1164&amp;"|"&amp;C1164&amp;"|"&amp;D1164</f>
        <v>2|8|Stephanie|spotify:track:1PmXm1881bonBI1AlG5uaH</v>
      </c>
    </row>
    <row r="1165" customFormat="false" ht="15" hidden="false" customHeight="false" outlineLevel="0" collapsed="false">
      <c r="A1165" s="5" t="n">
        <v>2</v>
      </c>
      <c r="B1165" s="5" t="n">
        <v>8</v>
      </c>
      <c r="C1165" s="5" t="s">
        <v>97</v>
      </c>
      <c r="D1165" s="5" t="s">
        <v>677</v>
      </c>
      <c r="E1165" s="5" t="n">
        <v>2</v>
      </c>
      <c r="F1165" s="6" t="n">
        <f aca="false">IFERROR(MATCH(A1165&amp;"|"&amp;B1165&amp;"|"&amp;D1165,'All Song Rankings'!$T:$T,0),0)</f>
        <v>189</v>
      </c>
      <c r="G1165" s="6" t="str">
        <f aca="false">IF(F1165=0,"NOT FOUND",INDEX('All Song Rankings'!$A:$A,F1165))</f>
        <v>The Future Soon</v>
      </c>
      <c r="H1165" s="6" t="str">
        <f aca="false">IF(F1165=0,"NOT FOUND",INDEX('All Song Rankings'!$B:$B,F1165))</f>
        <v>Jonathan Coulton</v>
      </c>
      <c r="I1165" s="6" t="str">
        <f aca="false">IF(F1165=0,"NOT FOUND",INDEX('All Song Rankings'!$D:$D,F1165))</f>
        <v>Shayne</v>
      </c>
      <c r="J1165" s="7" t="str">
        <f aca="false">IF(F1165=0,"NOT FOUND",IF(C1165=I1165,"SELF-VOTE",IF(COUNTIF($K:$K,K1165)&gt;1,"DUPLICATE","OK")))</f>
        <v>OK</v>
      </c>
      <c r="K1165" s="6" t="str">
        <f aca="false">A1165&amp;"|"&amp;B1165&amp;"|"&amp;C1165&amp;"|"&amp;D1165</f>
        <v>2|8|Stephanie|spotify:track:2chEZfdAqJvlw9dM3hAU6p</v>
      </c>
    </row>
    <row r="1166" customFormat="false" ht="15" hidden="false" customHeight="false" outlineLevel="0" collapsed="false">
      <c r="A1166" s="5" t="n">
        <v>2</v>
      </c>
      <c r="B1166" s="5" t="n">
        <v>8</v>
      </c>
      <c r="C1166" s="5" t="s">
        <v>97</v>
      </c>
      <c r="D1166" s="5" t="s">
        <v>680</v>
      </c>
      <c r="E1166" s="5" t="n">
        <v>1</v>
      </c>
      <c r="F1166" s="6" t="n">
        <f aca="false">IFERROR(MATCH(A1166&amp;"|"&amp;B1166&amp;"|"&amp;D1166,'All Song Rankings'!$T:$T,0),0)</f>
        <v>190</v>
      </c>
      <c r="G1166" s="6" t="str">
        <f aca="false">IF(F1166=0,"NOT FOUND",INDEX('All Song Rankings'!$A:$A,F1166))</f>
        <v>Killing Strangers</v>
      </c>
      <c r="H1166" s="6" t="str">
        <f aca="false">IF(F1166=0,"NOT FOUND",INDEX('All Song Rankings'!$B:$B,F1166))</f>
        <v>Marilyn Manson</v>
      </c>
      <c r="I1166" s="6" t="str">
        <f aca="false">IF(F1166=0,"NOT FOUND",INDEX('All Song Rankings'!$D:$D,F1166))</f>
        <v>Kristen</v>
      </c>
      <c r="J1166" s="7" t="str">
        <f aca="false">IF(F1166=0,"NOT FOUND",IF(C1166=I1166,"SELF-VOTE",IF(COUNTIF($K:$K,K1166)&gt;1,"DUPLICATE","OK")))</f>
        <v>OK</v>
      </c>
      <c r="K1166" s="6" t="str">
        <f aca="false">A1166&amp;"|"&amp;B1166&amp;"|"&amp;C1166&amp;"|"&amp;D1166</f>
        <v>2|8|Stephanie|spotify:track:2naBVHNHinneXOYmczG7xE</v>
      </c>
    </row>
    <row r="1167" customFormat="false" ht="15" hidden="false" customHeight="false" outlineLevel="0" collapsed="false">
      <c r="A1167" s="5" t="n">
        <v>2</v>
      </c>
      <c r="B1167" s="5" t="n">
        <v>8</v>
      </c>
      <c r="C1167" s="5" t="s">
        <v>97</v>
      </c>
      <c r="D1167" s="5" t="s">
        <v>650</v>
      </c>
      <c r="E1167" s="5" t="n">
        <v>3</v>
      </c>
      <c r="F1167" s="6" t="n">
        <f aca="false">IFERROR(MATCH(A1167&amp;"|"&amp;B1167&amp;"|"&amp;D1167,'All Song Rankings'!$T:$T,0),0)</f>
        <v>180</v>
      </c>
      <c r="G1167" s="6" t="str">
        <f aca="false">IF(F1167=0,"NOT FOUND",INDEX('All Song Rankings'!$A:$A,F1167))</f>
        <v>you should see me in a crown</v>
      </c>
      <c r="H1167" s="6" t="str">
        <f aca="false">IF(F1167=0,"NOT FOUND",INDEX('All Song Rankings'!$B:$B,F1167))</f>
        <v>Billie Eilish</v>
      </c>
      <c r="I1167" s="6" t="str">
        <f aca="false">IF(F1167=0,"NOT FOUND",INDEX('All Song Rankings'!$D:$D,F1167))</f>
        <v>Makenzie</v>
      </c>
      <c r="J1167" s="7" t="str">
        <f aca="false">IF(F1167=0,"NOT FOUND",IF(C1167=I1167,"SELF-VOTE",IF(COUNTIF($K:$K,K1167)&gt;1,"DUPLICATE","OK")))</f>
        <v>OK</v>
      </c>
      <c r="K1167" s="6" t="str">
        <f aca="false">A1167&amp;"|"&amp;B1167&amp;"|"&amp;C1167&amp;"|"&amp;D1167</f>
        <v>2|8|Stephanie|spotify:track:3XF5xLJHOQQRbWya6hBp7d</v>
      </c>
    </row>
    <row r="1168" customFormat="false" ht="15" hidden="false" customHeight="false" outlineLevel="0" collapsed="false">
      <c r="A1168" s="5" t="n">
        <v>2</v>
      </c>
      <c r="B1168" s="5" t="n">
        <v>8</v>
      </c>
      <c r="C1168" s="5" t="s">
        <v>97</v>
      </c>
      <c r="D1168" s="5" t="s">
        <v>653</v>
      </c>
      <c r="E1168" s="5" t="n">
        <v>2</v>
      </c>
      <c r="F1168" s="6" t="n">
        <f aca="false">IFERROR(MATCH(A1168&amp;"|"&amp;B1168&amp;"|"&amp;D1168,'All Song Rankings'!$T:$T,0),0)</f>
        <v>181</v>
      </c>
      <c r="G1168" s="6" t="str">
        <f aca="false">IF(F1168=0,"NOT FOUND",INDEX('All Song Rankings'!$A:$A,F1168))</f>
        <v>Insane</v>
      </c>
      <c r="H1168" s="6" t="str">
        <f aca="false">IF(F1168=0,"NOT FOUND",INDEX('All Song Rankings'!$B:$B,F1168))</f>
        <v>Black Gryph0n</v>
      </c>
      <c r="I1168" s="6" t="str">
        <f aca="false">IF(F1168=0,"NOT FOUND",INDEX('All Song Rankings'!$D:$D,F1168))</f>
        <v>Matt</v>
      </c>
      <c r="J1168" s="7" t="str">
        <f aca="false">IF(F1168=0,"NOT FOUND",IF(C1168=I1168,"SELF-VOTE",IF(COUNTIF($K:$K,K1168)&gt;1,"DUPLICATE","OK")))</f>
        <v>OK</v>
      </c>
      <c r="K1168" s="6" t="str">
        <f aca="false">A1168&amp;"|"&amp;B1168&amp;"|"&amp;C1168&amp;"|"&amp;D1168</f>
        <v>2|8|Stephanie|spotify:track:5flerg6aEao2VayZezVlgu</v>
      </c>
    </row>
    <row r="1169" customFormat="false" ht="15" hidden="false" customHeight="false" outlineLevel="0" collapsed="false">
      <c r="A1169" s="5" t="n">
        <v>3</v>
      </c>
      <c r="B1169" s="5" t="n">
        <v>1</v>
      </c>
      <c r="C1169" s="5" t="s">
        <v>375</v>
      </c>
      <c r="D1169" s="5" t="s">
        <v>726</v>
      </c>
      <c r="E1169" s="5" t="n">
        <v>3</v>
      </c>
      <c r="F1169" s="6" t="n">
        <f aca="false">IFERROR(MATCH(A1169&amp;"|"&amp;B1169&amp;"|"&amp;D1169,'All Song Rankings'!$T:$T,0),0)</f>
        <v>207</v>
      </c>
      <c r="G1169" s="6" t="str">
        <f aca="false">IF(F1169=0,"NOT FOUND",INDEX('All Song Rankings'!$A:$A,F1169))</f>
        <v>Favorite Country Song</v>
      </c>
      <c r="H1169" s="6" t="str">
        <f aca="false">IF(F1169=0,"NOT FOUND",INDEX('All Song Rankings'!$B:$B,F1169))</f>
        <v>HARDY</v>
      </c>
      <c r="I1169" s="6" t="str">
        <f aca="false">IF(F1169=0,"NOT FOUND",INDEX('All Song Rankings'!$D:$D,F1169))</f>
        <v>Nicole</v>
      </c>
      <c r="J1169" s="7" t="str">
        <f aca="false">IF(F1169=0,"NOT FOUND",IF(C1169=I1169,"SELF-VOTE",IF(COUNTIF($K:$K,K1169)&gt;1,"DUPLICATE","OK")))</f>
        <v>OK</v>
      </c>
      <c r="K1169" s="6" t="str">
        <f aca="false">A1169&amp;"|"&amp;B1169&amp;"|"&amp;C1169&amp;"|"&amp;D1169</f>
        <v>3|1|Aubrey|spotify:track:1ARmO8RudHPmloapraihD3</v>
      </c>
    </row>
    <row r="1170" customFormat="false" ht="15" hidden="false" customHeight="false" outlineLevel="0" collapsed="false">
      <c r="A1170" s="5" t="n">
        <v>3</v>
      </c>
      <c r="B1170" s="5" t="n">
        <v>1</v>
      </c>
      <c r="C1170" s="5" t="s">
        <v>375</v>
      </c>
      <c r="D1170" s="5" t="s">
        <v>336</v>
      </c>
      <c r="E1170" s="5" t="n">
        <v>1</v>
      </c>
      <c r="F1170" s="6" t="n">
        <f aca="false">IFERROR(MATCH(A1170&amp;"|"&amp;B1170&amp;"|"&amp;D1170,'All Song Rankings'!$T:$T,0),0)</f>
        <v>195</v>
      </c>
      <c r="G1170" s="6" t="str">
        <f aca="false">IF(F1170=0,"NOT FOUND",INDEX('All Song Rankings'!$A:$A,F1170))</f>
        <v>Golden</v>
      </c>
      <c r="H1170" s="6" t="str">
        <f aca="false">IF(F1170=0,"NOT FOUND",INDEX('All Song Rankings'!$B:$B,F1170))</f>
        <v>HUNTR/X</v>
      </c>
      <c r="I1170" s="6" t="str">
        <f aca="false">IF(F1170=0,"NOT FOUND",INDEX('All Song Rankings'!$D:$D,F1170))</f>
        <v>Leah</v>
      </c>
      <c r="J1170" s="7" t="str">
        <f aca="false">IF(F1170=0,"NOT FOUND",IF(C1170=I1170,"SELF-VOTE",IF(COUNTIF($K:$K,K1170)&gt;1,"DUPLICATE","OK")))</f>
        <v>OK</v>
      </c>
      <c r="K1170" s="6" t="str">
        <f aca="false">A1170&amp;"|"&amp;B1170&amp;"|"&amp;C1170&amp;"|"&amp;D1170</f>
        <v>3|1|Aubrey|spotify:track:1CPZ5BxNNd0n0nF4Orb9JS</v>
      </c>
    </row>
    <row r="1171" customFormat="false" ht="15" hidden="false" customHeight="false" outlineLevel="0" collapsed="false">
      <c r="A1171" s="5" t="n">
        <v>3</v>
      </c>
      <c r="B1171" s="5" t="n">
        <v>1</v>
      </c>
      <c r="C1171" s="5" t="s">
        <v>375</v>
      </c>
      <c r="D1171" s="5" t="s">
        <v>691</v>
      </c>
      <c r="E1171" s="5" t="n">
        <v>3</v>
      </c>
      <c r="F1171" s="6" t="n">
        <f aca="false">IFERROR(MATCH(A1171&amp;"|"&amp;B1171&amp;"|"&amp;D1171,'All Song Rankings'!$T:$T,0),0)</f>
        <v>194</v>
      </c>
      <c r="G1171" s="6" t="str">
        <f aca="false">IF(F1171=0,"NOT FOUND",INDEX('All Song Rankings'!$A:$A,F1171))</f>
        <v>Man I Need</v>
      </c>
      <c r="H1171" s="6" t="str">
        <f aca="false">IF(F1171=0,"NOT FOUND",INDEX('All Song Rankings'!$B:$B,F1171))</f>
        <v>Olivia Dean</v>
      </c>
      <c r="I1171" s="6" t="str">
        <f aca="false">IF(F1171=0,"NOT FOUND",INDEX('All Song Rankings'!$D:$D,F1171))</f>
        <v>Grace</v>
      </c>
      <c r="J1171" s="7" t="str">
        <f aca="false">IF(F1171=0,"NOT FOUND",IF(C1171=I1171,"SELF-VOTE",IF(COUNTIF($K:$K,K1171)&gt;1,"DUPLICATE","OK")))</f>
        <v>OK</v>
      </c>
      <c r="K1171" s="6" t="str">
        <f aca="false">A1171&amp;"|"&amp;B1171&amp;"|"&amp;C1171&amp;"|"&amp;D1171</f>
        <v>3|1|Aubrey|spotify:track:1qbmS6ep2hbBRaEZFpn7BX</v>
      </c>
    </row>
    <row r="1172" customFormat="false" ht="15" hidden="false" customHeight="false" outlineLevel="0" collapsed="false">
      <c r="A1172" s="5" t="n">
        <v>3</v>
      </c>
      <c r="B1172" s="5" t="n">
        <v>1</v>
      </c>
      <c r="C1172" s="5" t="s">
        <v>375</v>
      </c>
      <c r="D1172" s="5" t="s">
        <v>688</v>
      </c>
      <c r="E1172" s="5" t="n">
        <v>3</v>
      </c>
      <c r="F1172" s="6" t="n">
        <f aca="false">IFERROR(MATCH(A1172&amp;"|"&amp;B1172&amp;"|"&amp;D1172,'All Song Rankings'!$T:$T,0),0)</f>
        <v>193</v>
      </c>
      <c r="G1172" s="6" t="str">
        <f aca="false">IF(F1172=0,"NOT FOUND",INDEX('All Song Rankings'!$A:$A,F1172))</f>
        <v>Happen To Me (feat. Jonas Brothers)</v>
      </c>
      <c r="H1172" s="6" t="str">
        <f aca="false">IF(F1172=0,"NOT FOUND",INDEX('All Song Rankings'!$B:$B,F1172))</f>
        <v>Russell Dickerson, Jonas Brothers</v>
      </c>
      <c r="I1172" s="6" t="str">
        <f aca="false">IF(F1172=0,"NOT FOUND",INDEX('All Song Rankings'!$D:$D,F1172))</f>
        <v>Kelsey</v>
      </c>
      <c r="J1172" s="7" t="str">
        <f aca="false">IF(F1172=0,"NOT FOUND",IF(C1172=I1172,"SELF-VOTE",IF(COUNTIF($K:$K,K1172)&gt;1,"DUPLICATE","OK")))</f>
        <v>OK</v>
      </c>
      <c r="K1172" s="6" t="str">
        <f aca="false">A1172&amp;"|"&amp;B1172&amp;"|"&amp;C1172&amp;"|"&amp;D1172</f>
        <v>3|1|Aubrey|spotify:track:6XxFrC6s8An9ZZ52uAN4AV</v>
      </c>
    </row>
    <row r="1173" customFormat="false" ht="15" hidden="false" customHeight="false" outlineLevel="0" collapsed="false">
      <c r="A1173" s="5" t="n">
        <v>3</v>
      </c>
      <c r="B1173" s="5" t="n">
        <v>1</v>
      </c>
      <c r="C1173" s="5" t="s">
        <v>719</v>
      </c>
      <c r="D1173" s="5" t="s">
        <v>726</v>
      </c>
      <c r="E1173" s="5" t="n">
        <v>1</v>
      </c>
      <c r="F1173" s="6" t="n">
        <f aca="false">IFERROR(MATCH(A1173&amp;"|"&amp;B1173&amp;"|"&amp;D1173,'All Song Rankings'!$T:$T,0),0)</f>
        <v>207</v>
      </c>
      <c r="G1173" s="6" t="str">
        <f aca="false">IF(F1173=0,"NOT FOUND",INDEX('All Song Rankings'!$A:$A,F1173))</f>
        <v>Favorite Country Song</v>
      </c>
      <c r="H1173" s="6" t="str">
        <f aca="false">IF(F1173=0,"NOT FOUND",INDEX('All Song Rankings'!$B:$B,F1173))</f>
        <v>HARDY</v>
      </c>
      <c r="I1173" s="6" t="str">
        <f aca="false">IF(F1173=0,"NOT FOUND",INDEX('All Song Rankings'!$D:$D,F1173))</f>
        <v>Nicole</v>
      </c>
      <c r="J1173" s="7" t="str">
        <f aca="false">IF(F1173=0,"NOT FOUND",IF(C1173=I1173,"SELF-VOTE",IF(COUNTIF($K:$K,K1173)&gt;1,"DUPLICATE","OK")))</f>
        <v>OK</v>
      </c>
      <c r="K1173" s="6" t="str">
        <f aca="false">A1173&amp;"|"&amp;B1173&amp;"|"&amp;C1173&amp;"|"&amp;D1173</f>
        <v>3|1|Christine|spotify:track:1ARmO8RudHPmloapraihD3</v>
      </c>
    </row>
    <row r="1174" customFormat="false" ht="15" hidden="false" customHeight="false" outlineLevel="0" collapsed="false">
      <c r="A1174" s="5" t="n">
        <v>3</v>
      </c>
      <c r="B1174" s="5" t="n">
        <v>1</v>
      </c>
      <c r="C1174" s="5" t="s">
        <v>719</v>
      </c>
      <c r="D1174" s="5" t="s">
        <v>700</v>
      </c>
      <c r="E1174" s="5" t="n">
        <v>2</v>
      </c>
      <c r="F1174" s="6" t="n">
        <f aca="false">IFERROR(MATCH(A1174&amp;"|"&amp;B1174&amp;"|"&amp;D1174,'All Song Rankings'!$T:$T,0),0)</f>
        <v>199</v>
      </c>
      <c r="G1174" s="6" t="str">
        <f aca="false">IF(F1174=0,"NOT FOUND",INDEX('All Song Rankings'!$A:$A,F1174))</f>
        <v>Caramel</v>
      </c>
      <c r="H1174" s="6" t="str">
        <f aca="false">IF(F1174=0,"NOT FOUND",INDEX('All Song Rankings'!$B:$B,F1174))</f>
        <v>Sleep Token</v>
      </c>
      <c r="I1174" s="6" t="str">
        <f aca="false">IF(F1174=0,"NOT FOUND",INDEX('All Song Rankings'!$D:$D,F1174))</f>
        <v>Kristen</v>
      </c>
      <c r="J1174" s="7" t="str">
        <f aca="false">IF(F1174=0,"NOT FOUND",IF(C1174=I1174,"SELF-VOTE",IF(COUNTIF($K:$K,K1174)&gt;1,"DUPLICATE","OK")))</f>
        <v>OK</v>
      </c>
      <c r="K1174" s="6" t="str">
        <f aca="false">A1174&amp;"|"&amp;B1174&amp;"|"&amp;C1174&amp;"|"&amp;D1174</f>
        <v>3|1|Christine|spotify:track:1QrbZhFYlViXd60g130vw1</v>
      </c>
    </row>
    <row r="1175" customFormat="false" ht="15" hidden="false" customHeight="false" outlineLevel="0" collapsed="false">
      <c r="A1175" s="5" t="n">
        <v>3</v>
      </c>
      <c r="B1175" s="5" t="n">
        <v>1</v>
      </c>
      <c r="C1175" s="5" t="s">
        <v>719</v>
      </c>
      <c r="D1175" s="5" t="s">
        <v>715</v>
      </c>
      <c r="E1175" s="5" t="n">
        <v>1</v>
      </c>
      <c r="F1175" s="6" t="n">
        <f aca="false">IFERROR(MATCH(A1175&amp;"|"&amp;B1175&amp;"|"&amp;D1175,'All Song Rankings'!$T:$T,0),0)</f>
        <v>204</v>
      </c>
      <c r="G1175" s="6" t="str">
        <f aca="false">IF(F1175=0,"NOT FOUND",INDEX('All Song Rankings'!$A:$A,F1175))</f>
        <v>DtMF</v>
      </c>
      <c r="H1175" s="6" t="str">
        <f aca="false">IF(F1175=0,"NOT FOUND",INDEX('All Song Rankings'!$B:$B,F1175))</f>
        <v>Bad Bunny</v>
      </c>
      <c r="I1175" s="6" t="str">
        <f aca="false">IF(F1175=0,"NOT FOUND",INDEX('All Song Rankings'!$D:$D,F1175))</f>
        <v>Matt</v>
      </c>
      <c r="J1175" s="7" t="str">
        <f aca="false">IF(F1175=0,"NOT FOUND",IF(C1175=I1175,"SELF-VOTE",IF(COUNTIF($K:$K,K1175)&gt;1,"DUPLICATE","OK")))</f>
        <v>OK</v>
      </c>
      <c r="K1175" s="6" t="str">
        <f aca="false">A1175&amp;"|"&amp;B1175&amp;"|"&amp;C1175&amp;"|"&amp;D1175</f>
        <v>3|1|Christine|spotify:track:3sK8wGT43QFpWrvNQsrQya</v>
      </c>
    </row>
    <row r="1176" customFormat="false" ht="15" hidden="false" customHeight="false" outlineLevel="0" collapsed="false">
      <c r="A1176" s="5" t="n">
        <v>3</v>
      </c>
      <c r="B1176" s="5" t="n">
        <v>1</v>
      </c>
      <c r="C1176" s="5" t="s">
        <v>719</v>
      </c>
      <c r="D1176" s="5" t="s">
        <v>723</v>
      </c>
      <c r="E1176" s="5" t="n">
        <v>1</v>
      </c>
      <c r="F1176" s="6" t="n">
        <f aca="false">IFERROR(MATCH(A1176&amp;"|"&amp;B1176&amp;"|"&amp;D1176,'All Song Rankings'!$T:$T,0),0)</f>
        <v>206</v>
      </c>
      <c r="G1176" s="6" t="str">
        <f aca="false">IF(F1176=0,"NOT FOUND",INDEX('All Song Rankings'!$A:$A,F1176))</f>
        <v>Egg</v>
      </c>
      <c r="H1176" s="6" t="str">
        <f aca="false">IF(F1176=0,"NOT FOUND",INDEX('All Song Rankings'!$B:$B,F1176))</f>
        <v>Djo</v>
      </c>
      <c r="I1176" s="6" t="str">
        <f aca="false">IF(F1176=0,"NOT FOUND",INDEX('All Song Rankings'!$D:$D,F1176))</f>
        <v>Merita</v>
      </c>
      <c r="J1176" s="7" t="str">
        <f aca="false">IF(F1176=0,"NOT FOUND",IF(C1176=I1176,"SELF-VOTE",IF(COUNTIF($K:$K,K1176)&gt;1,"DUPLICATE","OK")))</f>
        <v>OK</v>
      </c>
      <c r="K1176" s="6" t="str">
        <f aca="false">A1176&amp;"|"&amp;B1176&amp;"|"&amp;C1176&amp;"|"&amp;D1176</f>
        <v>3|1|Christine|spotify:track:4JaOwgYNvkOARAwSHibV5B</v>
      </c>
    </row>
    <row r="1177" customFormat="false" ht="15" hidden="false" customHeight="false" outlineLevel="0" collapsed="false">
      <c r="A1177" s="5" t="n">
        <v>3</v>
      </c>
      <c r="B1177" s="5" t="n">
        <v>1</v>
      </c>
      <c r="C1177" s="5" t="s">
        <v>719</v>
      </c>
      <c r="D1177" s="5" t="s">
        <v>695</v>
      </c>
      <c r="E1177" s="5" t="n">
        <v>1</v>
      </c>
      <c r="F1177" s="6" t="n">
        <f aca="false">IFERROR(MATCH(A1177&amp;"|"&amp;B1177&amp;"|"&amp;D1177,'All Song Rankings'!$T:$T,0),0)</f>
        <v>197</v>
      </c>
      <c r="G1177" s="6" t="str">
        <f aca="false">IF(F1177=0,"NOT FOUND",INDEX('All Song Rankings'!$A:$A,F1177))</f>
        <v>Sapphire</v>
      </c>
      <c r="H1177" s="6" t="str">
        <f aca="false">IF(F1177=0,"NOT FOUND",INDEX('All Song Rankings'!$B:$B,F1177))</f>
        <v>Ed Sheeran</v>
      </c>
      <c r="I1177" s="6" t="str">
        <f aca="false">IF(F1177=0,"NOT FOUND",INDEX('All Song Rankings'!$D:$D,F1177))</f>
        <v>Makenzie</v>
      </c>
      <c r="J1177" s="7" t="str">
        <f aca="false">IF(F1177=0,"NOT FOUND",IF(C1177=I1177,"SELF-VOTE",IF(COUNTIF($K:$K,K1177)&gt;1,"DUPLICATE","OK")))</f>
        <v>OK</v>
      </c>
      <c r="K1177" s="6" t="str">
        <f aca="false">A1177&amp;"|"&amp;B1177&amp;"|"&amp;C1177&amp;"|"&amp;D1177</f>
        <v>3|1|Christine|spotify:track:4Q0qVhFQa7j6jRKzo3HDmP</v>
      </c>
    </row>
    <row r="1178" customFormat="false" ht="15" hidden="false" customHeight="false" outlineLevel="0" collapsed="false">
      <c r="A1178" s="5" t="n">
        <v>3</v>
      </c>
      <c r="B1178" s="5" t="n">
        <v>1</v>
      </c>
      <c r="C1178" s="5" t="s">
        <v>719</v>
      </c>
      <c r="D1178" s="5" t="s">
        <v>712</v>
      </c>
      <c r="E1178" s="5" t="n">
        <v>1</v>
      </c>
      <c r="F1178" s="6" t="n">
        <f aca="false">IFERROR(MATCH(A1178&amp;"|"&amp;B1178&amp;"|"&amp;D1178,'All Song Rankings'!$T:$T,0),0)</f>
        <v>203</v>
      </c>
      <c r="G1178" s="6" t="str">
        <f aca="false">IF(F1178=0,"NOT FOUND",INDEX('All Song Rankings'!$A:$A,F1178))</f>
        <v>The Weather</v>
      </c>
      <c r="H1178" s="6" t="str">
        <f aca="false">IF(F1178=0,"NOT FOUND",INDEX('All Song Rankings'!$B:$B,F1178))</f>
        <v>All Time Low</v>
      </c>
      <c r="I1178" s="6" t="str">
        <f aca="false">IF(F1178=0,"NOT FOUND",INDEX('All Song Rankings'!$D:$D,F1178))</f>
        <v>Colleen</v>
      </c>
      <c r="J1178" s="7" t="str">
        <f aca="false">IF(F1178=0,"NOT FOUND",IF(C1178=I1178,"SELF-VOTE",IF(COUNTIF($K:$K,K1178)&gt;1,"DUPLICATE","OK")))</f>
        <v>OK</v>
      </c>
      <c r="K1178" s="6" t="str">
        <f aca="false">A1178&amp;"|"&amp;B1178&amp;"|"&amp;C1178&amp;"|"&amp;D1178</f>
        <v>3|1|Christine|spotify:track:6LElFVShkmWQRVNBfj9Zsw</v>
      </c>
    </row>
    <row r="1179" customFormat="false" ht="15" hidden="false" customHeight="false" outlineLevel="0" collapsed="false">
      <c r="A1179" s="5" t="n">
        <v>3</v>
      </c>
      <c r="B1179" s="5" t="n">
        <v>1</v>
      </c>
      <c r="C1179" s="5" t="s">
        <v>719</v>
      </c>
      <c r="D1179" s="5" t="s">
        <v>688</v>
      </c>
      <c r="E1179" s="5" t="n">
        <v>1</v>
      </c>
      <c r="F1179" s="6" t="n">
        <f aca="false">IFERROR(MATCH(A1179&amp;"|"&amp;B1179&amp;"|"&amp;D1179,'All Song Rankings'!$T:$T,0),0)</f>
        <v>193</v>
      </c>
      <c r="G1179" s="6" t="str">
        <f aca="false">IF(F1179=0,"NOT FOUND",INDEX('All Song Rankings'!$A:$A,F1179))</f>
        <v>Happen To Me (feat. Jonas Brothers)</v>
      </c>
      <c r="H1179" s="6" t="str">
        <f aca="false">IF(F1179=0,"NOT FOUND",INDEX('All Song Rankings'!$B:$B,F1179))</f>
        <v>Russell Dickerson, Jonas Brothers</v>
      </c>
      <c r="I1179" s="6" t="str">
        <f aca="false">IF(F1179=0,"NOT FOUND",INDEX('All Song Rankings'!$D:$D,F1179))</f>
        <v>Kelsey</v>
      </c>
      <c r="J1179" s="7" t="str">
        <f aca="false">IF(F1179=0,"NOT FOUND",IF(C1179=I1179,"SELF-VOTE",IF(COUNTIF($K:$K,K1179)&gt;1,"DUPLICATE","OK")))</f>
        <v>OK</v>
      </c>
      <c r="K1179" s="6" t="str">
        <f aca="false">A1179&amp;"|"&amp;B1179&amp;"|"&amp;C1179&amp;"|"&amp;D1179</f>
        <v>3|1|Christine|spotify:track:6XxFrC6s8An9ZZ52uAN4AV</v>
      </c>
    </row>
    <row r="1180" customFormat="false" ht="15" hidden="false" customHeight="false" outlineLevel="0" collapsed="false">
      <c r="A1180" s="5" t="n">
        <v>3</v>
      </c>
      <c r="B1180" s="5" t="n">
        <v>1</v>
      </c>
      <c r="C1180" s="5" t="s">
        <v>719</v>
      </c>
      <c r="D1180" s="5" t="s">
        <v>698</v>
      </c>
      <c r="E1180" s="5" t="n">
        <v>2</v>
      </c>
      <c r="F1180" s="6" t="n">
        <f aca="false">IFERROR(MATCH(A1180&amp;"|"&amp;B1180&amp;"|"&amp;D1180,'All Song Rankings'!$T:$T,0),0)</f>
        <v>198</v>
      </c>
      <c r="G1180" s="6" t="str">
        <f aca="false">IF(F1180=0,"NOT FOUND",INDEX('All Song Rankings'!$A:$A,F1180))</f>
        <v>waste away</v>
      </c>
      <c r="H1180" s="6" t="str">
        <f aca="false">IF(F1180=0,"NOT FOUND",INDEX('All Song Rankings'!$B:$B,F1180))</f>
        <v>saturdays at your place</v>
      </c>
      <c r="I1180" s="6" t="str">
        <f aca="false">IF(F1180=0,"NOT FOUND",INDEX('All Song Rankings'!$D:$D,F1180))</f>
        <v>Scott</v>
      </c>
      <c r="J1180" s="7" t="str">
        <f aca="false">IF(F1180=0,"NOT FOUND",IF(C1180=I1180,"SELF-VOTE",IF(COUNTIF($K:$K,K1180)&gt;1,"DUPLICATE","OK")))</f>
        <v>OK</v>
      </c>
      <c r="K1180" s="6" t="str">
        <f aca="false">A1180&amp;"|"&amp;B1180&amp;"|"&amp;C1180&amp;"|"&amp;D1180</f>
        <v>3|1|Christine|spotify:track:7qscY7sKAaGZynXbDyeMH3</v>
      </c>
    </row>
    <row r="1181" customFormat="false" ht="15" hidden="false" customHeight="false" outlineLevel="0" collapsed="false">
      <c r="A1181" s="5" t="n">
        <v>3</v>
      </c>
      <c r="B1181" s="5" t="n">
        <v>1</v>
      </c>
      <c r="C1181" s="5" t="s">
        <v>637</v>
      </c>
      <c r="D1181" s="5" t="s">
        <v>336</v>
      </c>
      <c r="E1181" s="5" t="n">
        <v>1</v>
      </c>
      <c r="F1181" s="6" t="n">
        <f aca="false">IFERROR(MATCH(A1181&amp;"|"&amp;B1181&amp;"|"&amp;D1181,'All Song Rankings'!$T:$T,0),0)</f>
        <v>195</v>
      </c>
      <c r="G1181" s="6" t="str">
        <f aca="false">IF(F1181=0,"NOT FOUND",INDEX('All Song Rankings'!$A:$A,F1181))</f>
        <v>Golden</v>
      </c>
      <c r="H1181" s="6" t="str">
        <f aca="false">IF(F1181=0,"NOT FOUND",INDEX('All Song Rankings'!$B:$B,F1181))</f>
        <v>HUNTR/X</v>
      </c>
      <c r="I1181" s="6" t="str">
        <f aca="false">IF(F1181=0,"NOT FOUND",INDEX('All Song Rankings'!$D:$D,F1181))</f>
        <v>Leah</v>
      </c>
      <c r="J1181" s="7" t="str">
        <f aca="false">IF(F1181=0,"NOT FOUND",IF(C1181=I1181,"SELF-VOTE",IF(COUNTIF($K:$K,K1181)&gt;1,"DUPLICATE","OK")))</f>
        <v>OK</v>
      </c>
      <c r="K1181" s="6" t="str">
        <f aca="false">A1181&amp;"|"&amp;B1181&amp;"|"&amp;C1181&amp;"|"&amp;D1181</f>
        <v>3|1|Colleen|spotify:track:1CPZ5BxNNd0n0nF4Orb9JS</v>
      </c>
    </row>
    <row r="1182" customFormat="false" ht="15" hidden="false" customHeight="false" outlineLevel="0" collapsed="false">
      <c r="A1182" s="5" t="n">
        <v>3</v>
      </c>
      <c r="B1182" s="5" t="n">
        <v>1</v>
      </c>
      <c r="C1182" s="5" t="s">
        <v>637</v>
      </c>
      <c r="D1182" s="5" t="s">
        <v>703</v>
      </c>
      <c r="E1182" s="5" t="n">
        <v>1</v>
      </c>
      <c r="F1182" s="6" t="n">
        <f aca="false">IFERROR(MATCH(A1182&amp;"|"&amp;B1182&amp;"|"&amp;D1182,'All Song Rankings'!$T:$T,0),0)</f>
        <v>200</v>
      </c>
      <c r="G1182" s="6" t="str">
        <f aca="false">IF(F1182=0,"NOT FOUND",INDEX('All Song Rankings'!$A:$A,F1182))</f>
        <v>Sally, When The Wine Runs Out</v>
      </c>
      <c r="H1182" s="6" t="str">
        <f aca="false">IF(F1182=0,"NOT FOUND",INDEX('All Song Rankings'!$B:$B,F1182))</f>
        <v>ROLE MODEL</v>
      </c>
      <c r="I1182" s="6" t="str">
        <f aca="false">IF(F1182=0,"NOT FOUND",INDEX('All Song Rankings'!$D:$D,F1182))</f>
        <v>Logan</v>
      </c>
      <c r="J1182" s="7" t="str">
        <f aca="false">IF(F1182=0,"NOT FOUND",IF(C1182=I1182,"SELF-VOTE",IF(COUNTIF($K:$K,K1182)&gt;1,"DUPLICATE","OK")))</f>
        <v>OK</v>
      </c>
      <c r="K1182" s="6" t="str">
        <f aca="false">A1182&amp;"|"&amp;B1182&amp;"|"&amp;C1182&amp;"|"&amp;D1182</f>
        <v>3|1|Colleen|spotify:track:2J051fjLklkoPbzOoTAACZ</v>
      </c>
    </row>
    <row r="1183" customFormat="false" ht="15" hidden="false" customHeight="false" outlineLevel="0" collapsed="false">
      <c r="A1183" s="5" t="n">
        <v>3</v>
      </c>
      <c r="B1183" s="5" t="n">
        <v>1</v>
      </c>
      <c r="C1183" s="5" t="s">
        <v>637</v>
      </c>
      <c r="D1183" s="5" t="s">
        <v>695</v>
      </c>
      <c r="E1183" s="5" t="n">
        <v>3</v>
      </c>
      <c r="F1183" s="6" t="n">
        <f aca="false">IFERROR(MATCH(A1183&amp;"|"&amp;B1183&amp;"|"&amp;D1183,'All Song Rankings'!$T:$T,0),0)</f>
        <v>197</v>
      </c>
      <c r="G1183" s="6" t="str">
        <f aca="false">IF(F1183=0,"NOT FOUND",INDEX('All Song Rankings'!$A:$A,F1183))</f>
        <v>Sapphire</v>
      </c>
      <c r="H1183" s="6" t="str">
        <f aca="false">IF(F1183=0,"NOT FOUND",INDEX('All Song Rankings'!$B:$B,F1183))</f>
        <v>Ed Sheeran</v>
      </c>
      <c r="I1183" s="6" t="str">
        <f aca="false">IF(F1183=0,"NOT FOUND",INDEX('All Song Rankings'!$D:$D,F1183))</f>
        <v>Makenzie</v>
      </c>
      <c r="J1183" s="7" t="str">
        <f aca="false">IF(F1183=0,"NOT FOUND",IF(C1183=I1183,"SELF-VOTE",IF(COUNTIF($K:$K,K1183)&gt;1,"DUPLICATE","OK")))</f>
        <v>OK</v>
      </c>
      <c r="K1183" s="6" t="str">
        <f aca="false">A1183&amp;"|"&amp;B1183&amp;"|"&amp;C1183&amp;"|"&amp;D1183</f>
        <v>3|1|Colleen|spotify:track:4Q0qVhFQa7j6jRKzo3HDmP</v>
      </c>
    </row>
    <row r="1184" customFormat="false" ht="15" hidden="false" customHeight="false" outlineLevel="0" collapsed="false">
      <c r="A1184" s="5" t="n">
        <v>3</v>
      </c>
      <c r="B1184" s="5" t="n">
        <v>1</v>
      </c>
      <c r="C1184" s="5" t="s">
        <v>637</v>
      </c>
      <c r="D1184" s="5" t="s">
        <v>688</v>
      </c>
      <c r="E1184" s="5" t="n">
        <v>2</v>
      </c>
      <c r="F1184" s="6" t="n">
        <f aca="false">IFERROR(MATCH(A1184&amp;"|"&amp;B1184&amp;"|"&amp;D1184,'All Song Rankings'!$T:$T,0),0)</f>
        <v>193</v>
      </c>
      <c r="G1184" s="6" t="str">
        <f aca="false">IF(F1184=0,"NOT FOUND",INDEX('All Song Rankings'!$A:$A,F1184))</f>
        <v>Happen To Me (feat. Jonas Brothers)</v>
      </c>
      <c r="H1184" s="6" t="str">
        <f aca="false">IF(F1184=0,"NOT FOUND",INDEX('All Song Rankings'!$B:$B,F1184))</f>
        <v>Russell Dickerson, Jonas Brothers</v>
      </c>
      <c r="I1184" s="6" t="str">
        <f aca="false">IF(F1184=0,"NOT FOUND",INDEX('All Song Rankings'!$D:$D,F1184))</f>
        <v>Kelsey</v>
      </c>
      <c r="J1184" s="7" t="str">
        <f aca="false">IF(F1184=0,"NOT FOUND",IF(C1184=I1184,"SELF-VOTE",IF(COUNTIF($K:$K,K1184)&gt;1,"DUPLICATE","OK")))</f>
        <v>OK</v>
      </c>
      <c r="K1184" s="6" t="str">
        <f aca="false">A1184&amp;"|"&amp;B1184&amp;"|"&amp;C1184&amp;"|"&amp;D1184</f>
        <v>3|1|Colleen|spotify:track:6XxFrC6s8An9ZZ52uAN4AV</v>
      </c>
    </row>
    <row r="1185" customFormat="false" ht="15" hidden="false" customHeight="false" outlineLevel="0" collapsed="false">
      <c r="A1185" s="5" t="n">
        <v>3</v>
      </c>
      <c r="B1185" s="5" t="n">
        <v>1</v>
      </c>
      <c r="C1185" s="5" t="s">
        <v>637</v>
      </c>
      <c r="D1185" s="5" t="s">
        <v>693</v>
      </c>
      <c r="E1185" s="5" t="n">
        <v>2</v>
      </c>
      <c r="F1185" s="6" t="n">
        <f aca="false">IFERROR(MATCH(A1185&amp;"|"&amp;B1185&amp;"|"&amp;D1185,'All Song Rankings'!$T:$T,0),0)</f>
        <v>196</v>
      </c>
      <c r="G1185" s="6" t="str">
        <f aca="false">IF(F1185=0,"NOT FOUND",INDEX('All Song Rankings'!$A:$A,F1185))</f>
        <v>Ordinary</v>
      </c>
      <c r="H1185" s="6" t="str">
        <f aca="false">IF(F1185=0,"NOT FOUND",INDEX('All Song Rankings'!$B:$B,F1185))</f>
        <v>Alex Warren</v>
      </c>
      <c r="I1185" s="6" t="str">
        <f aca="false">IF(F1185=0,"NOT FOUND",INDEX('All Song Rankings'!$D:$D,F1185))</f>
        <v>Aubrey</v>
      </c>
      <c r="J1185" s="7" t="str">
        <f aca="false">IF(F1185=0,"NOT FOUND",IF(C1185=I1185,"SELF-VOTE",IF(COUNTIF($K:$K,K1185)&gt;1,"DUPLICATE","OK")))</f>
        <v>OK</v>
      </c>
      <c r="K1185" s="6" t="str">
        <f aca="false">A1185&amp;"|"&amp;B1185&amp;"|"&amp;C1185&amp;"|"&amp;D1185</f>
        <v>3|1|Colleen|spotify:track:6qqrTXSdwiJaq8SO0X2lSe</v>
      </c>
    </row>
    <row r="1186" customFormat="false" ht="15" hidden="false" customHeight="false" outlineLevel="0" collapsed="false">
      <c r="A1186" s="5" t="n">
        <v>3</v>
      </c>
      <c r="B1186" s="5" t="n">
        <v>1</v>
      </c>
      <c r="C1186" s="5" t="s">
        <v>637</v>
      </c>
      <c r="D1186" s="5" t="s">
        <v>698</v>
      </c>
      <c r="E1186" s="5" t="n">
        <v>1</v>
      </c>
      <c r="F1186" s="6" t="n">
        <f aca="false">IFERROR(MATCH(A1186&amp;"|"&amp;B1186&amp;"|"&amp;D1186,'All Song Rankings'!$T:$T,0),0)</f>
        <v>198</v>
      </c>
      <c r="G1186" s="6" t="str">
        <f aca="false">IF(F1186=0,"NOT FOUND",INDEX('All Song Rankings'!$A:$A,F1186))</f>
        <v>waste away</v>
      </c>
      <c r="H1186" s="6" t="str">
        <f aca="false">IF(F1186=0,"NOT FOUND",INDEX('All Song Rankings'!$B:$B,F1186))</f>
        <v>saturdays at your place</v>
      </c>
      <c r="I1186" s="6" t="str">
        <f aca="false">IF(F1186=0,"NOT FOUND",INDEX('All Song Rankings'!$D:$D,F1186))</f>
        <v>Scott</v>
      </c>
      <c r="J1186" s="7" t="str">
        <f aca="false">IF(F1186=0,"NOT FOUND",IF(C1186=I1186,"SELF-VOTE",IF(COUNTIF($K:$K,K1186)&gt;1,"DUPLICATE","OK")))</f>
        <v>OK</v>
      </c>
      <c r="K1186" s="6" t="str">
        <f aca="false">A1186&amp;"|"&amp;B1186&amp;"|"&amp;C1186&amp;"|"&amp;D1186</f>
        <v>3|1|Colleen|spotify:track:7qscY7sKAaGZynXbDyeMH3</v>
      </c>
    </row>
    <row r="1187" customFormat="false" ht="15" hidden="false" customHeight="false" outlineLevel="0" collapsed="false">
      <c r="A1187" s="5" t="n">
        <v>3</v>
      </c>
      <c r="B1187" s="5" t="n">
        <v>1</v>
      </c>
      <c r="C1187" s="5" t="s">
        <v>382</v>
      </c>
      <c r="D1187" s="5" t="s">
        <v>726</v>
      </c>
      <c r="E1187" s="5" t="n">
        <v>2</v>
      </c>
      <c r="F1187" s="6" t="n">
        <f aca="false">IFERROR(MATCH(A1187&amp;"|"&amp;B1187&amp;"|"&amp;D1187,'All Song Rankings'!$T:$T,0),0)</f>
        <v>207</v>
      </c>
      <c r="G1187" s="6" t="str">
        <f aca="false">IF(F1187=0,"NOT FOUND",INDEX('All Song Rankings'!$A:$A,F1187))</f>
        <v>Favorite Country Song</v>
      </c>
      <c r="H1187" s="6" t="str">
        <f aca="false">IF(F1187=0,"NOT FOUND",INDEX('All Song Rankings'!$B:$B,F1187))</f>
        <v>HARDY</v>
      </c>
      <c r="I1187" s="6" t="str">
        <f aca="false">IF(F1187=0,"NOT FOUND",INDEX('All Song Rankings'!$D:$D,F1187))</f>
        <v>Nicole</v>
      </c>
      <c r="J1187" s="7" t="str">
        <f aca="false">IF(F1187=0,"NOT FOUND",IF(C1187=I1187,"SELF-VOTE",IF(COUNTIF($K:$K,K1187)&gt;1,"DUPLICATE","OK")))</f>
        <v>OK</v>
      </c>
      <c r="K1187" s="6" t="str">
        <f aca="false">A1187&amp;"|"&amp;B1187&amp;"|"&amp;C1187&amp;"|"&amp;D1187</f>
        <v>3|1|Grace|spotify:track:1ARmO8RudHPmloapraihD3</v>
      </c>
    </row>
    <row r="1188" customFormat="false" ht="15" hidden="false" customHeight="false" outlineLevel="0" collapsed="false">
      <c r="A1188" s="5" t="n">
        <v>3</v>
      </c>
      <c r="B1188" s="5" t="n">
        <v>1</v>
      </c>
      <c r="C1188" s="5" t="s">
        <v>382</v>
      </c>
      <c r="D1188" s="5" t="s">
        <v>336</v>
      </c>
      <c r="E1188" s="5" t="n">
        <v>1</v>
      </c>
      <c r="F1188" s="6" t="n">
        <f aca="false">IFERROR(MATCH(A1188&amp;"|"&amp;B1188&amp;"|"&amp;D1188,'All Song Rankings'!$T:$T,0),0)</f>
        <v>195</v>
      </c>
      <c r="G1188" s="6" t="str">
        <f aca="false">IF(F1188=0,"NOT FOUND",INDEX('All Song Rankings'!$A:$A,F1188))</f>
        <v>Golden</v>
      </c>
      <c r="H1188" s="6" t="str">
        <f aca="false">IF(F1188=0,"NOT FOUND",INDEX('All Song Rankings'!$B:$B,F1188))</f>
        <v>HUNTR/X</v>
      </c>
      <c r="I1188" s="6" t="str">
        <f aca="false">IF(F1188=0,"NOT FOUND",INDEX('All Song Rankings'!$D:$D,F1188))</f>
        <v>Leah</v>
      </c>
      <c r="J1188" s="7" t="str">
        <f aca="false">IF(F1188=0,"NOT FOUND",IF(C1188=I1188,"SELF-VOTE",IF(COUNTIF($K:$K,K1188)&gt;1,"DUPLICATE","OK")))</f>
        <v>OK</v>
      </c>
      <c r="K1188" s="6" t="str">
        <f aca="false">A1188&amp;"|"&amp;B1188&amp;"|"&amp;C1188&amp;"|"&amp;D1188</f>
        <v>3|1|Grace|spotify:track:1CPZ5BxNNd0n0nF4Orb9JS</v>
      </c>
    </row>
    <row r="1189" customFormat="false" ht="15" hidden="false" customHeight="false" outlineLevel="0" collapsed="false">
      <c r="A1189" s="5" t="n">
        <v>3</v>
      </c>
      <c r="B1189" s="5" t="n">
        <v>1</v>
      </c>
      <c r="C1189" s="5" t="s">
        <v>382</v>
      </c>
      <c r="D1189" s="5" t="s">
        <v>720</v>
      </c>
      <c r="E1189" s="5" t="n">
        <v>1</v>
      </c>
      <c r="F1189" s="6" t="n">
        <f aca="false">IFERROR(MATCH(A1189&amp;"|"&amp;B1189&amp;"|"&amp;D1189,'All Song Rankings'!$T:$T,0),0)</f>
        <v>205</v>
      </c>
      <c r="G1189" s="6" t="str">
        <f aca="false">IF(F1189=0,"NOT FOUND",INDEX('All Song Rankings'!$A:$A,F1189))</f>
        <v>Politix</v>
      </c>
      <c r="H1189" s="6" t="str">
        <f aca="false">IF(F1189=0,"NOT FOUND",INDEX('All Song Rankings'!$B:$B,F1189))</f>
        <v>Balu Brigada</v>
      </c>
      <c r="I1189" s="6" t="str">
        <f aca="false">IF(F1189=0,"NOT FOUND",INDEX('All Song Rankings'!$D:$D,F1189))</f>
        <v>Christine</v>
      </c>
      <c r="J1189" s="7" t="str">
        <f aca="false">IF(F1189=0,"NOT FOUND",IF(C1189=I1189,"SELF-VOTE",IF(COUNTIF($K:$K,K1189)&gt;1,"DUPLICATE","OK")))</f>
        <v>OK</v>
      </c>
      <c r="K1189" s="6" t="str">
        <f aca="false">A1189&amp;"|"&amp;B1189&amp;"|"&amp;C1189&amp;"|"&amp;D1189</f>
        <v>3|1|Grace|spotify:track:2rSp12ZJ679lU7dalojvVZ</v>
      </c>
    </row>
    <row r="1190" customFormat="false" ht="15" hidden="false" customHeight="false" outlineLevel="0" collapsed="false">
      <c r="A1190" s="5" t="n">
        <v>3</v>
      </c>
      <c r="B1190" s="5" t="n">
        <v>1</v>
      </c>
      <c r="C1190" s="5" t="s">
        <v>382</v>
      </c>
      <c r="D1190" s="5" t="s">
        <v>695</v>
      </c>
      <c r="E1190" s="5" t="n">
        <v>3</v>
      </c>
      <c r="F1190" s="6" t="n">
        <f aca="false">IFERROR(MATCH(A1190&amp;"|"&amp;B1190&amp;"|"&amp;D1190,'All Song Rankings'!$T:$T,0),0)</f>
        <v>197</v>
      </c>
      <c r="G1190" s="6" t="str">
        <f aca="false">IF(F1190=0,"NOT FOUND",INDEX('All Song Rankings'!$A:$A,F1190))</f>
        <v>Sapphire</v>
      </c>
      <c r="H1190" s="6" t="str">
        <f aca="false">IF(F1190=0,"NOT FOUND",INDEX('All Song Rankings'!$B:$B,F1190))</f>
        <v>Ed Sheeran</v>
      </c>
      <c r="I1190" s="6" t="str">
        <f aca="false">IF(F1190=0,"NOT FOUND",INDEX('All Song Rankings'!$D:$D,F1190))</f>
        <v>Makenzie</v>
      </c>
      <c r="J1190" s="7" t="str">
        <f aca="false">IF(F1190=0,"NOT FOUND",IF(C1190=I1190,"SELF-VOTE",IF(COUNTIF($K:$K,K1190)&gt;1,"DUPLICATE","OK")))</f>
        <v>OK</v>
      </c>
      <c r="K1190" s="6" t="str">
        <f aca="false">A1190&amp;"|"&amp;B1190&amp;"|"&amp;C1190&amp;"|"&amp;D1190</f>
        <v>3|1|Grace|spotify:track:4Q0qVhFQa7j6jRKzo3HDmP</v>
      </c>
    </row>
    <row r="1191" customFormat="false" ht="15" hidden="false" customHeight="false" outlineLevel="0" collapsed="false">
      <c r="A1191" s="5" t="n">
        <v>3</v>
      </c>
      <c r="B1191" s="5" t="n">
        <v>1</v>
      </c>
      <c r="C1191" s="5" t="s">
        <v>382</v>
      </c>
      <c r="D1191" s="5" t="s">
        <v>688</v>
      </c>
      <c r="E1191" s="5" t="n">
        <v>2</v>
      </c>
      <c r="F1191" s="6" t="n">
        <f aca="false">IFERROR(MATCH(A1191&amp;"|"&amp;B1191&amp;"|"&amp;D1191,'All Song Rankings'!$T:$T,0),0)</f>
        <v>193</v>
      </c>
      <c r="G1191" s="6" t="str">
        <f aca="false">IF(F1191=0,"NOT FOUND",INDEX('All Song Rankings'!$A:$A,F1191))</f>
        <v>Happen To Me (feat. Jonas Brothers)</v>
      </c>
      <c r="H1191" s="6" t="str">
        <f aca="false">IF(F1191=0,"NOT FOUND",INDEX('All Song Rankings'!$B:$B,F1191))</f>
        <v>Russell Dickerson, Jonas Brothers</v>
      </c>
      <c r="I1191" s="6" t="str">
        <f aca="false">IF(F1191=0,"NOT FOUND",INDEX('All Song Rankings'!$D:$D,F1191))</f>
        <v>Kelsey</v>
      </c>
      <c r="J1191" s="7" t="str">
        <f aca="false">IF(F1191=0,"NOT FOUND",IF(C1191=I1191,"SELF-VOTE",IF(COUNTIF($K:$K,K1191)&gt;1,"DUPLICATE","OK")))</f>
        <v>OK</v>
      </c>
      <c r="K1191" s="6" t="str">
        <f aca="false">A1191&amp;"|"&amp;B1191&amp;"|"&amp;C1191&amp;"|"&amp;D1191</f>
        <v>3|1|Grace|spotify:track:6XxFrC6s8An9ZZ52uAN4AV</v>
      </c>
    </row>
    <row r="1192" customFormat="false" ht="15" hidden="false" customHeight="false" outlineLevel="0" collapsed="false">
      <c r="A1192" s="5" t="n">
        <v>3</v>
      </c>
      <c r="B1192" s="5" t="n">
        <v>1</v>
      </c>
      <c r="C1192" s="5" t="s">
        <v>382</v>
      </c>
      <c r="D1192" s="5" t="s">
        <v>698</v>
      </c>
      <c r="E1192" s="5" t="n">
        <v>1</v>
      </c>
      <c r="F1192" s="6" t="n">
        <f aca="false">IFERROR(MATCH(A1192&amp;"|"&amp;B1192&amp;"|"&amp;D1192,'All Song Rankings'!$T:$T,0),0)</f>
        <v>198</v>
      </c>
      <c r="G1192" s="6" t="str">
        <f aca="false">IF(F1192=0,"NOT FOUND",INDEX('All Song Rankings'!$A:$A,F1192))</f>
        <v>waste away</v>
      </c>
      <c r="H1192" s="6" t="str">
        <f aca="false">IF(F1192=0,"NOT FOUND",INDEX('All Song Rankings'!$B:$B,F1192))</f>
        <v>saturdays at your place</v>
      </c>
      <c r="I1192" s="6" t="str">
        <f aca="false">IF(F1192=0,"NOT FOUND",INDEX('All Song Rankings'!$D:$D,F1192))</f>
        <v>Scott</v>
      </c>
      <c r="J1192" s="7" t="str">
        <f aca="false">IF(F1192=0,"NOT FOUND",IF(C1192=I1192,"SELF-VOTE",IF(COUNTIF($K:$K,K1192)&gt;1,"DUPLICATE","OK")))</f>
        <v>OK</v>
      </c>
      <c r="K1192" s="6" t="str">
        <f aca="false">A1192&amp;"|"&amp;B1192&amp;"|"&amp;C1192&amp;"|"&amp;D1192</f>
        <v>3|1|Grace|spotify:track:7qscY7sKAaGZynXbDyeMH3</v>
      </c>
    </row>
    <row r="1193" customFormat="false" ht="15" hidden="false" customHeight="false" outlineLevel="0" collapsed="false">
      <c r="A1193" s="5" t="n">
        <v>3</v>
      </c>
      <c r="B1193" s="5" t="n">
        <v>1</v>
      </c>
      <c r="C1193" s="5" t="s">
        <v>85</v>
      </c>
      <c r="D1193" s="5" t="s">
        <v>336</v>
      </c>
      <c r="E1193" s="5" t="n">
        <v>1</v>
      </c>
      <c r="F1193" s="6" t="n">
        <f aca="false">IFERROR(MATCH(A1193&amp;"|"&amp;B1193&amp;"|"&amp;D1193,'All Song Rankings'!$T:$T,0),0)</f>
        <v>195</v>
      </c>
      <c r="G1193" s="6" t="str">
        <f aca="false">IF(F1193=0,"NOT FOUND",INDEX('All Song Rankings'!$A:$A,F1193))</f>
        <v>Golden</v>
      </c>
      <c r="H1193" s="6" t="str">
        <f aca="false">IF(F1193=0,"NOT FOUND",INDEX('All Song Rankings'!$B:$B,F1193))</f>
        <v>HUNTR/X</v>
      </c>
      <c r="I1193" s="6" t="str">
        <f aca="false">IF(F1193=0,"NOT FOUND",INDEX('All Song Rankings'!$D:$D,F1193))</f>
        <v>Leah</v>
      </c>
      <c r="J1193" s="7" t="str">
        <f aca="false">IF(F1193=0,"NOT FOUND",IF(C1193=I1193,"SELF-VOTE",IF(COUNTIF($K:$K,K1193)&gt;1,"DUPLICATE","OK")))</f>
        <v>OK</v>
      </c>
      <c r="K1193" s="6" t="str">
        <f aca="false">A1193&amp;"|"&amp;B1193&amp;"|"&amp;C1193&amp;"|"&amp;D1193</f>
        <v>3|1|Kelsey|spotify:track:1CPZ5BxNNd0n0nF4Orb9JS</v>
      </c>
    </row>
    <row r="1194" customFormat="false" ht="15" hidden="false" customHeight="false" outlineLevel="0" collapsed="false">
      <c r="A1194" s="5" t="n">
        <v>3</v>
      </c>
      <c r="B1194" s="5" t="n">
        <v>1</v>
      </c>
      <c r="C1194" s="5" t="s">
        <v>85</v>
      </c>
      <c r="D1194" s="5" t="s">
        <v>700</v>
      </c>
      <c r="E1194" s="5" t="n">
        <v>2</v>
      </c>
      <c r="F1194" s="6" t="n">
        <f aca="false">IFERROR(MATCH(A1194&amp;"|"&amp;B1194&amp;"|"&amp;D1194,'All Song Rankings'!$T:$T,0),0)</f>
        <v>199</v>
      </c>
      <c r="G1194" s="6" t="str">
        <f aca="false">IF(F1194=0,"NOT FOUND",INDEX('All Song Rankings'!$A:$A,F1194))</f>
        <v>Caramel</v>
      </c>
      <c r="H1194" s="6" t="str">
        <f aca="false">IF(F1194=0,"NOT FOUND",INDEX('All Song Rankings'!$B:$B,F1194))</f>
        <v>Sleep Token</v>
      </c>
      <c r="I1194" s="6" t="str">
        <f aca="false">IF(F1194=0,"NOT FOUND",INDEX('All Song Rankings'!$D:$D,F1194))</f>
        <v>Kristen</v>
      </c>
      <c r="J1194" s="7" t="str">
        <f aca="false">IF(F1194=0,"NOT FOUND",IF(C1194=I1194,"SELF-VOTE",IF(COUNTIF($K:$K,K1194)&gt;1,"DUPLICATE","OK")))</f>
        <v>OK</v>
      </c>
      <c r="K1194" s="6" t="str">
        <f aca="false">A1194&amp;"|"&amp;B1194&amp;"|"&amp;C1194&amp;"|"&amp;D1194</f>
        <v>3|1|Kelsey|spotify:track:1QrbZhFYlViXd60g130vw1</v>
      </c>
    </row>
    <row r="1195" customFormat="false" ht="15" hidden="false" customHeight="false" outlineLevel="0" collapsed="false">
      <c r="A1195" s="5" t="n">
        <v>3</v>
      </c>
      <c r="B1195" s="5" t="n">
        <v>1</v>
      </c>
      <c r="C1195" s="5" t="s">
        <v>85</v>
      </c>
      <c r="D1195" s="5" t="s">
        <v>691</v>
      </c>
      <c r="E1195" s="5" t="n">
        <v>1</v>
      </c>
      <c r="F1195" s="6" t="n">
        <f aca="false">IFERROR(MATCH(A1195&amp;"|"&amp;B1195&amp;"|"&amp;D1195,'All Song Rankings'!$T:$T,0),0)</f>
        <v>194</v>
      </c>
      <c r="G1195" s="6" t="str">
        <f aca="false">IF(F1195=0,"NOT FOUND",INDEX('All Song Rankings'!$A:$A,F1195))</f>
        <v>Man I Need</v>
      </c>
      <c r="H1195" s="6" t="str">
        <f aca="false">IF(F1195=0,"NOT FOUND",INDEX('All Song Rankings'!$B:$B,F1195))</f>
        <v>Olivia Dean</v>
      </c>
      <c r="I1195" s="6" t="str">
        <f aca="false">IF(F1195=0,"NOT FOUND",INDEX('All Song Rankings'!$D:$D,F1195))</f>
        <v>Grace</v>
      </c>
      <c r="J1195" s="7" t="str">
        <f aca="false">IF(F1195=0,"NOT FOUND",IF(C1195=I1195,"SELF-VOTE",IF(COUNTIF($K:$K,K1195)&gt;1,"DUPLICATE","OK")))</f>
        <v>OK</v>
      </c>
      <c r="K1195" s="6" t="str">
        <f aca="false">A1195&amp;"|"&amp;B1195&amp;"|"&amp;C1195&amp;"|"&amp;D1195</f>
        <v>3|1|Kelsey|spotify:track:1qbmS6ep2hbBRaEZFpn7BX</v>
      </c>
    </row>
    <row r="1196" customFormat="false" ht="15" hidden="false" customHeight="false" outlineLevel="0" collapsed="false">
      <c r="A1196" s="5" t="n">
        <v>3</v>
      </c>
      <c r="B1196" s="5" t="n">
        <v>1</v>
      </c>
      <c r="C1196" s="5" t="s">
        <v>85</v>
      </c>
      <c r="D1196" s="5" t="s">
        <v>709</v>
      </c>
      <c r="E1196" s="5" t="n">
        <v>1</v>
      </c>
      <c r="F1196" s="6" t="n">
        <f aca="false">IFERROR(MATCH(A1196&amp;"|"&amp;B1196&amp;"|"&amp;D1196,'All Song Rankings'!$T:$T,0),0)</f>
        <v>202</v>
      </c>
      <c r="G1196" s="6" t="str">
        <f aca="false">IF(F1196=0,"NOT FOUND",INDEX('All Song Rankings'!$A:$A,F1196))</f>
        <v>Gabriela</v>
      </c>
      <c r="H1196" s="6" t="str">
        <f aca="false">IF(F1196=0,"NOT FOUND",INDEX('All Song Rankings'!$B:$B,F1196))</f>
        <v>KATSEYE</v>
      </c>
      <c r="I1196" s="6" t="str">
        <f aca="false">IF(F1196=0,"NOT FOUND",INDEX('All Song Rankings'!$D:$D,F1196))</f>
        <v>Stephanie</v>
      </c>
      <c r="J1196" s="7" t="str">
        <f aca="false">IF(F1196=0,"NOT FOUND",IF(C1196=I1196,"SELF-VOTE",IF(COUNTIF($K:$K,K1196)&gt;1,"DUPLICATE","OK")))</f>
        <v>OK</v>
      </c>
      <c r="K1196" s="6" t="str">
        <f aca="false">A1196&amp;"|"&amp;B1196&amp;"|"&amp;C1196&amp;"|"&amp;D1196</f>
        <v>3|1|Kelsey|spotify:track:1xOqGUkyxGQRdCvGpvWKmL</v>
      </c>
    </row>
    <row r="1197" customFormat="false" ht="15" hidden="false" customHeight="false" outlineLevel="0" collapsed="false">
      <c r="A1197" s="5" t="n">
        <v>3</v>
      </c>
      <c r="B1197" s="5" t="n">
        <v>1</v>
      </c>
      <c r="C1197" s="5" t="s">
        <v>85</v>
      </c>
      <c r="D1197" s="5" t="s">
        <v>703</v>
      </c>
      <c r="E1197" s="5" t="n">
        <v>2</v>
      </c>
      <c r="F1197" s="6" t="n">
        <f aca="false">IFERROR(MATCH(A1197&amp;"|"&amp;B1197&amp;"|"&amp;D1197,'All Song Rankings'!$T:$T,0),0)</f>
        <v>200</v>
      </c>
      <c r="G1197" s="6" t="str">
        <f aca="false">IF(F1197=0,"NOT FOUND",INDEX('All Song Rankings'!$A:$A,F1197))</f>
        <v>Sally, When The Wine Runs Out</v>
      </c>
      <c r="H1197" s="6" t="str">
        <f aca="false">IF(F1197=0,"NOT FOUND",INDEX('All Song Rankings'!$B:$B,F1197))</f>
        <v>ROLE MODEL</v>
      </c>
      <c r="I1197" s="6" t="str">
        <f aca="false">IF(F1197=0,"NOT FOUND",INDEX('All Song Rankings'!$D:$D,F1197))</f>
        <v>Logan</v>
      </c>
      <c r="J1197" s="7" t="str">
        <f aca="false">IF(F1197=0,"NOT FOUND",IF(C1197=I1197,"SELF-VOTE",IF(COUNTIF($K:$K,K1197)&gt;1,"DUPLICATE","OK")))</f>
        <v>OK</v>
      </c>
      <c r="K1197" s="6" t="str">
        <f aca="false">A1197&amp;"|"&amp;B1197&amp;"|"&amp;C1197&amp;"|"&amp;D1197</f>
        <v>3|1|Kelsey|spotify:track:2J051fjLklkoPbzOoTAACZ</v>
      </c>
    </row>
    <row r="1198" customFormat="false" ht="15" hidden="false" customHeight="false" outlineLevel="0" collapsed="false">
      <c r="A1198" s="5" t="n">
        <v>3</v>
      </c>
      <c r="B1198" s="5" t="n">
        <v>1</v>
      </c>
      <c r="C1198" s="5" t="s">
        <v>85</v>
      </c>
      <c r="D1198" s="5" t="s">
        <v>695</v>
      </c>
      <c r="E1198" s="5" t="n">
        <v>1</v>
      </c>
      <c r="F1198" s="6" t="n">
        <f aca="false">IFERROR(MATCH(A1198&amp;"|"&amp;B1198&amp;"|"&amp;D1198,'All Song Rankings'!$T:$T,0),0)</f>
        <v>197</v>
      </c>
      <c r="G1198" s="6" t="str">
        <f aca="false">IF(F1198=0,"NOT FOUND",INDEX('All Song Rankings'!$A:$A,F1198))</f>
        <v>Sapphire</v>
      </c>
      <c r="H1198" s="6" t="str">
        <f aca="false">IF(F1198=0,"NOT FOUND",INDEX('All Song Rankings'!$B:$B,F1198))</f>
        <v>Ed Sheeran</v>
      </c>
      <c r="I1198" s="6" t="str">
        <f aca="false">IF(F1198=0,"NOT FOUND",INDEX('All Song Rankings'!$D:$D,F1198))</f>
        <v>Makenzie</v>
      </c>
      <c r="J1198" s="7" t="str">
        <f aca="false">IF(F1198=0,"NOT FOUND",IF(C1198=I1198,"SELF-VOTE",IF(COUNTIF($K:$K,K1198)&gt;1,"DUPLICATE","OK")))</f>
        <v>OK</v>
      </c>
      <c r="K1198" s="6" t="str">
        <f aca="false">A1198&amp;"|"&amp;B1198&amp;"|"&amp;C1198&amp;"|"&amp;D1198</f>
        <v>3|1|Kelsey|spotify:track:4Q0qVhFQa7j6jRKzo3HDmP</v>
      </c>
    </row>
    <row r="1199" customFormat="false" ht="15" hidden="false" customHeight="false" outlineLevel="0" collapsed="false">
      <c r="A1199" s="5" t="n">
        <v>3</v>
      </c>
      <c r="B1199" s="5" t="n">
        <v>1</v>
      </c>
      <c r="C1199" s="5" t="s">
        <v>85</v>
      </c>
      <c r="D1199" s="5" t="s">
        <v>693</v>
      </c>
      <c r="E1199" s="5" t="n">
        <v>2</v>
      </c>
      <c r="F1199" s="6" t="n">
        <f aca="false">IFERROR(MATCH(A1199&amp;"|"&amp;B1199&amp;"|"&amp;D1199,'All Song Rankings'!$T:$T,0),0)</f>
        <v>196</v>
      </c>
      <c r="G1199" s="6" t="str">
        <f aca="false">IF(F1199=0,"NOT FOUND",INDEX('All Song Rankings'!$A:$A,F1199))</f>
        <v>Ordinary</v>
      </c>
      <c r="H1199" s="6" t="str">
        <f aca="false">IF(F1199=0,"NOT FOUND",INDEX('All Song Rankings'!$B:$B,F1199))</f>
        <v>Alex Warren</v>
      </c>
      <c r="I1199" s="6" t="str">
        <f aca="false">IF(F1199=0,"NOT FOUND",INDEX('All Song Rankings'!$D:$D,F1199))</f>
        <v>Aubrey</v>
      </c>
      <c r="J1199" s="7" t="str">
        <f aca="false">IF(F1199=0,"NOT FOUND",IF(C1199=I1199,"SELF-VOTE",IF(COUNTIF($K:$K,K1199)&gt;1,"DUPLICATE","OK")))</f>
        <v>OK</v>
      </c>
      <c r="K1199" s="6" t="str">
        <f aca="false">A1199&amp;"|"&amp;B1199&amp;"|"&amp;C1199&amp;"|"&amp;D1199</f>
        <v>3|1|Kelsey|spotify:track:6qqrTXSdwiJaq8SO0X2lSe</v>
      </c>
    </row>
    <row r="1200" customFormat="false" ht="15" hidden="false" customHeight="false" outlineLevel="0" collapsed="false">
      <c r="A1200" s="5" t="n">
        <v>3</v>
      </c>
      <c r="B1200" s="5" t="n">
        <v>1</v>
      </c>
      <c r="C1200" s="5" t="s">
        <v>106</v>
      </c>
      <c r="D1200" s="5" t="s">
        <v>336</v>
      </c>
      <c r="E1200" s="5" t="n">
        <v>1</v>
      </c>
      <c r="F1200" s="6" t="n">
        <f aca="false">IFERROR(MATCH(A1200&amp;"|"&amp;B1200&amp;"|"&amp;D1200,'All Song Rankings'!$T:$T,0),0)</f>
        <v>195</v>
      </c>
      <c r="G1200" s="6" t="str">
        <f aca="false">IF(F1200=0,"NOT FOUND",INDEX('All Song Rankings'!$A:$A,F1200))</f>
        <v>Golden</v>
      </c>
      <c r="H1200" s="6" t="str">
        <f aca="false">IF(F1200=0,"NOT FOUND",INDEX('All Song Rankings'!$B:$B,F1200))</f>
        <v>HUNTR/X</v>
      </c>
      <c r="I1200" s="6" t="str">
        <f aca="false">IF(F1200=0,"NOT FOUND",INDEX('All Song Rankings'!$D:$D,F1200))</f>
        <v>Leah</v>
      </c>
      <c r="J1200" s="7" t="str">
        <f aca="false">IF(F1200=0,"NOT FOUND",IF(C1200=I1200,"SELF-VOTE",IF(COUNTIF($K:$K,K1200)&gt;1,"DUPLICATE","OK")))</f>
        <v>OK</v>
      </c>
      <c r="K1200" s="6" t="str">
        <f aca="false">A1200&amp;"|"&amp;B1200&amp;"|"&amp;C1200&amp;"|"&amp;D1200</f>
        <v>3|1|Kristen|spotify:track:1CPZ5BxNNd0n0nF4Orb9JS</v>
      </c>
    </row>
    <row r="1201" customFormat="false" ht="15" hidden="false" customHeight="false" outlineLevel="0" collapsed="false">
      <c r="A1201" s="5" t="n">
        <v>3</v>
      </c>
      <c r="B1201" s="5" t="n">
        <v>1</v>
      </c>
      <c r="C1201" s="5" t="s">
        <v>106</v>
      </c>
      <c r="D1201" s="5" t="s">
        <v>720</v>
      </c>
      <c r="E1201" s="5" t="n">
        <v>2</v>
      </c>
      <c r="F1201" s="6" t="n">
        <f aca="false">IFERROR(MATCH(A1201&amp;"|"&amp;B1201&amp;"|"&amp;D1201,'All Song Rankings'!$T:$T,0),0)</f>
        <v>205</v>
      </c>
      <c r="G1201" s="6" t="str">
        <f aca="false">IF(F1201=0,"NOT FOUND",INDEX('All Song Rankings'!$A:$A,F1201))</f>
        <v>Politix</v>
      </c>
      <c r="H1201" s="6" t="str">
        <f aca="false">IF(F1201=0,"NOT FOUND",INDEX('All Song Rankings'!$B:$B,F1201))</f>
        <v>Balu Brigada</v>
      </c>
      <c r="I1201" s="6" t="str">
        <f aca="false">IF(F1201=0,"NOT FOUND",INDEX('All Song Rankings'!$D:$D,F1201))</f>
        <v>Christine</v>
      </c>
      <c r="J1201" s="7" t="str">
        <f aca="false">IF(F1201=0,"NOT FOUND",IF(C1201=I1201,"SELF-VOTE",IF(COUNTIF($K:$K,K1201)&gt;1,"DUPLICATE","OK")))</f>
        <v>OK</v>
      </c>
      <c r="K1201" s="6" t="str">
        <f aca="false">A1201&amp;"|"&amp;B1201&amp;"|"&amp;C1201&amp;"|"&amp;D1201</f>
        <v>3|1|Kristen|spotify:track:2rSp12ZJ679lU7dalojvVZ</v>
      </c>
    </row>
    <row r="1202" customFormat="false" ht="15" hidden="false" customHeight="false" outlineLevel="0" collapsed="false">
      <c r="A1202" s="5" t="n">
        <v>3</v>
      </c>
      <c r="B1202" s="5" t="n">
        <v>1</v>
      </c>
      <c r="C1202" s="5" t="s">
        <v>106</v>
      </c>
      <c r="D1202" s="5" t="s">
        <v>715</v>
      </c>
      <c r="E1202" s="5" t="n">
        <v>1</v>
      </c>
      <c r="F1202" s="6" t="n">
        <f aca="false">IFERROR(MATCH(A1202&amp;"|"&amp;B1202&amp;"|"&amp;D1202,'All Song Rankings'!$T:$T,0),0)</f>
        <v>204</v>
      </c>
      <c r="G1202" s="6" t="str">
        <f aca="false">IF(F1202=0,"NOT FOUND",INDEX('All Song Rankings'!$A:$A,F1202))</f>
        <v>DtMF</v>
      </c>
      <c r="H1202" s="6" t="str">
        <f aca="false">IF(F1202=0,"NOT FOUND",INDEX('All Song Rankings'!$B:$B,F1202))</f>
        <v>Bad Bunny</v>
      </c>
      <c r="I1202" s="6" t="str">
        <f aca="false">IF(F1202=0,"NOT FOUND",INDEX('All Song Rankings'!$D:$D,F1202))</f>
        <v>Matt</v>
      </c>
      <c r="J1202" s="7" t="str">
        <f aca="false">IF(F1202=0,"NOT FOUND",IF(C1202=I1202,"SELF-VOTE",IF(COUNTIF($K:$K,K1202)&gt;1,"DUPLICATE","OK")))</f>
        <v>OK</v>
      </c>
      <c r="K1202" s="6" t="str">
        <f aca="false">A1202&amp;"|"&amp;B1202&amp;"|"&amp;C1202&amp;"|"&amp;D1202</f>
        <v>3|1|Kristen|spotify:track:3sK8wGT43QFpWrvNQsrQya</v>
      </c>
    </row>
    <row r="1203" customFormat="false" ht="15" hidden="false" customHeight="false" outlineLevel="0" collapsed="false">
      <c r="A1203" s="5" t="n">
        <v>3</v>
      </c>
      <c r="B1203" s="5" t="n">
        <v>1</v>
      </c>
      <c r="C1203" s="5" t="s">
        <v>106</v>
      </c>
      <c r="D1203" s="5" t="s">
        <v>695</v>
      </c>
      <c r="E1203" s="5" t="n">
        <v>2</v>
      </c>
      <c r="F1203" s="6" t="n">
        <f aca="false">IFERROR(MATCH(A1203&amp;"|"&amp;B1203&amp;"|"&amp;D1203,'All Song Rankings'!$T:$T,0),0)</f>
        <v>197</v>
      </c>
      <c r="G1203" s="6" t="str">
        <f aca="false">IF(F1203=0,"NOT FOUND",INDEX('All Song Rankings'!$A:$A,F1203))</f>
        <v>Sapphire</v>
      </c>
      <c r="H1203" s="6" t="str">
        <f aca="false">IF(F1203=0,"NOT FOUND",INDEX('All Song Rankings'!$B:$B,F1203))</f>
        <v>Ed Sheeran</v>
      </c>
      <c r="I1203" s="6" t="str">
        <f aca="false">IF(F1203=0,"NOT FOUND",INDEX('All Song Rankings'!$D:$D,F1203))</f>
        <v>Makenzie</v>
      </c>
      <c r="J1203" s="7" t="str">
        <f aca="false">IF(F1203=0,"NOT FOUND",IF(C1203=I1203,"SELF-VOTE",IF(COUNTIF($K:$K,K1203)&gt;1,"DUPLICATE","OK")))</f>
        <v>OK</v>
      </c>
      <c r="K1203" s="6" t="str">
        <f aca="false">A1203&amp;"|"&amp;B1203&amp;"|"&amp;C1203&amp;"|"&amp;D1203</f>
        <v>3|1|Kristen|spotify:track:4Q0qVhFQa7j6jRKzo3HDmP</v>
      </c>
    </row>
    <row r="1204" customFormat="false" ht="15" hidden="false" customHeight="false" outlineLevel="0" collapsed="false">
      <c r="A1204" s="5" t="n">
        <v>3</v>
      </c>
      <c r="B1204" s="5" t="n">
        <v>1</v>
      </c>
      <c r="C1204" s="5" t="s">
        <v>106</v>
      </c>
      <c r="D1204" s="5" t="s">
        <v>712</v>
      </c>
      <c r="E1204" s="5" t="n">
        <v>1</v>
      </c>
      <c r="F1204" s="6" t="n">
        <f aca="false">IFERROR(MATCH(A1204&amp;"|"&amp;B1204&amp;"|"&amp;D1204,'All Song Rankings'!$T:$T,0),0)</f>
        <v>203</v>
      </c>
      <c r="G1204" s="6" t="str">
        <f aca="false">IF(F1204=0,"NOT FOUND",INDEX('All Song Rankings'!$A:$A,F1204))</f>
        <v>The Weather</v>
      </c>
      <c r="H1204" s="6" t="str">
        <f aca="false">IF(F1204=0,"NOT FOUND",INDEX('All Song Rankings'!$B:$B,F1204))</f>
        <v>All Time Low</v>
      </c>
      <c r="I1204" s="6" t="str">
        <f aca="false">IF(F1204=0,"NOT FOUND",INDEX('All Song Rankings'!$D:$D,F1204))</f>
        <v>Colleen</v>
      </c>
      <c r="J1204" s="7" t="str">
        <f aca="false">IF(F1204=0,"NOT FOUND",IF(C1204=I1204,"SELF-VOTE",IF(COUNTIF($K:$K,K1204)&gt;1,"DUPLICATE","OK")))</f>
        <v>OK</v>
      </c>
      <c r="K1204" s="6" t="str">
        <f aca="false">A1204&amp;"|"&amp;B1204&amp;"|"&amp;C1204&amp;"|"&amp;D1204</f>
        <v>3|1|Kristen|spotify:track:6LElFVShkmWQRVNBfj9Zsw</v>
      </c>
    </row>
    <row r="1205" customFormat="false" ht="15" hidden="false" customHeight="false" outlineLevel="0" collapsed="false">
      <c r="A1205" s="5" t="n">
        <v>3</v>
      </c>
      <c r="B1205" s="5" t="n">
        <v>1</v>
      </c>
      <c r="C1205" s="5" t="s">
        <v>106</v>
      </c>
      <c r="D1205" s="5" t="s">
        <v>693</v>
      </c>
      <c r="E1205" s="5" t="n">
        <v>2</v>
      </c>
      <c r="F1205" s="6" t="n">
        <f aca="false">IFERROR(MATCH(A1205&amp;"|"&amp;B1205&amp;"|"&amp;D1205,'All Song Rankings'!$T:$T,0),0)</f>
        <v>196</v>
      </c>
      <c r="G1205" s="6" t="str">
        <f aca="false">IF(F1205=0,"NOT FOUND",INDEX('All Song Rankings'!$A:$A,F1205))</f>
        <v>Ordinary</v>
      </c>
      <c r="H1205" s="6" t="str">
        <f aca="false">IF(F1205=0,"NOT FOUND",INDEX('All Song Rankings'!$B:$B,F1205))</f>
        <v>Alex Warren</v>
      </c>
      <c r="I1205" s="6" t="str">
        <f aca="false">IF(F1205=0,"NOT FOUND",INDEX('All Song Rankings'!$D:$D,F1205))</f>
        <v>Aubrey</v>
      </c>
      <c r="J1205" s="7" t="str">
        <f aca="false">IF(F1205=0,"NOT FOUND",IF(C1205=I1205,"SELF-VOTE",IF(COUNTIF($K:$K,K1205)&gt;1,"DUPLICATE","OK")))</f>
        <v>OK</v>
      </c>
      <c r="K1205" s="6" t="str">
        <f aca="false">A1205&amp;"|"&amp;B1205&amp;"|"&amp;C1205&amp;"|"&amp;D1205</f>
        <v>3|1|Kristen|spotify:track:6qqrTXSdwiJaq8SO0X2lSe</v>
      </c>
    </row>
    <row r="1206" customFormat="false" ht="15" hidden="false" customHeight="false" outlineLevel="0" collapsed="false">
      <c r="A1206" s="5" t="n">
        <v>3</v>
      </c>
      <c r="B1206" s="5" t="n">
        <v>1</v>
      </c>
      <c r="C1206" s="5" t="s">
        <v>106</v>
      </c>
      <c r="D1206" s="5" t="s">
        <v>698</v>
      </c>
      <c r="E1206" s="5" t="n">
        <v>1</v>
      </c>
      <c r="F1206" s="6" t="n">
        <f aca="false">IFERROR(MATCH(A1206&amp;"|"&amp;B1206&amp;"|"&amp;D1206,'All Song Rankings'!$T:$T,0),0)</f>
        <v>198</v>
      </c>
      <c r="G1206" s="6" t="str">
        <f aca="false">IF(F1206=0,"NOT FOUND",INDEX('All Song Rankings'!$A:$A,F1206))</f>
        <v>waste away</v>
      </c>
      <c r="H1206" s="6" t="str">
        <f aca="false">IF(F1206=0,"NOT FOUND",INDEX('All Song Rankings'!$B:$B,F1206))</f>
        <v>saturdays at your place</v>
      </c>
      <c r="I1206" s="6" t="str">
        <f aca="false">IF(F1206=0,"NOT FOUND",INDEX('All Song Rankings'!$D:$D,F1206))</f>
        <v>Scott</v>
      </c>
      <c r="J1206" s="7" t="str">
        <f aca="false">IF(F1206=0,"NOT FOUND",IF(C1206=I1206,"SELF-VOTE",IF(COUNTIF($K:$K,K1206)&gt;1,"DUPLICATE","OK")))</f>
        <v>OK</v>
      </c>
      <c r="K1206" s="6" t="str">
        <f aca="false">A1206&amp;"|"&amp;B1206&amp;"|"&amp;C1206&amp;"|"&amp;D1206</f>
        <v>3|1|Kristen|spotify:track:7qscY7sKAaGZynXbDyeMH3</v>
      </c>
    </row>
    <row r="1207" customFormat="false" ht="15" hidden="false" customHeight="false" outlineLevel="0" collapsed="false">
      <c r="A1207" s="5" t="n">
        <v>3</v>
      </c>
      <c r="B1207" s="5" t="n">
        <v>1</v>
      </c>
      <c r="C1207" s="5" t="s">
        <v>119</v>
      </c>
      <c r="D1207" s="5" t="s">
        <v>700</v>
      </c>
      <c r="E1207" s="5" t="n">
        <v>2</v>
      </c>
      <c r="F1207" s="6" t="n">
        <f aca="false">IFERROR(MATCH(A1207&amp;"|"&amp;B1207&amp;"|"&amp;D1207,'All Song Rankings'!$T:$T,0),0)</f>
        <v>199</v>
      </c>
      <c r="G1207" s="6" t="str">
        <f aca="false">IF(F1207=0,"NOT FOUND",INDEX('All Song Rankings'!$A:$A,F1207))</f>
        <v>Caramel</v>
      </c>
      <c r="H1207" s="6" t="str">
        <f aca="false">IF(F1207=0,"NOT FOUND",INDEX('All Song Rankings'!$B:$B,F1207))</f>
        <v>Sleep Token</v>
      </c>
      <c r="I1207" s="6" t="str">
        <f aca="false">IF(F1207=0,"NOT FOUND",INDEX('All Song Rankings'!$D:$D,F1207))</f>
        <v>Kristen</v>
      </c>
      <c r="J1207" s="7" t="str">
        <f aca="false">IF(F1207=0,"NOT FOUND",IF(C1207=I1207,"SELF-VOTE",IF(COUNTIF($K:$K,K1207)&gt;1,"DUPLICATE","OK")))</f>
        <v>OK</v>
      </c>
      <c r="K1207" s="6" t="str">
        <f aca="false">A1207&amp;"|"&amp;B1207&amp;"|"&amp;C1207&amp;"|"&amp;D1207</f>
        <v>3|1|Leah|spotify:track:1QrbZhFYlViXd60g130vw1</v>
      </c>
    </row>
    <row r="1208" customFormat="false" ht="15" hidden="false" customHeight="false" outlineLevel="0" collapsed="false">
      <c r="A1208" s="5" t="n">
        <v>3</v>
      </c>
      <c r="B1208" s="5" t="n">
        <v>1</v>
      </c>
      <c r="C1208" s="5" t="s">
        <v>119</v>
      </c>
      <c r="D1208" s="5" t="s">
        <v>709</v>
      </c>
      <c r="E1208" s="5" t="n">
        <v>1</v>
      </c>
      <c r="F1208" s="6" t="n">
        <f aca="false">IFERROR(MATCH(A1208&amp;"|"&amp;B1208&amp;"|"&amp;D1208,'All Song Rankings'!$T:$T,0),0)</f>
        <v>202</v>
      </c>
      <c r="G1208" s="6" t="str">
        <f aca="false">IF(F1208=0,"NOT FOUND",INDEX('All Song Rankings'!$A:$A,F1208))</f>
        <v>Gabriela</v>
      </c>
      <c r="H1208" s="6" t="str">
        <f aca="false">IF(F1208=0,"NOT FOUND",INDEX('All Song Rankings'!$B:$B,F1208))</f>
        <v>KATSEYE</v>
      </c>
      <c r="I1208" s="6" t="str">
        <f aca="false">IF(F1208=0,"NOT FOUND",INDEX('All Song Rankings'!$D:$D,F1208))</f>
        <v>Stephanie</v>
      </c>
      <c r="J1208" s="7" t="str">
        <f aca="false">IF(F1208=0,"NOT FOUND",IF(C1208=I1208,"SELF-VOTE",IF(COUNTIF($K:$K,K1208)&gt;1,"DUPLICATE","OK")))</f>
        <v>OK</v>
      </c>
      <c r="K1208" s="6" t="str">
        <f aca="false">A1208&amp;"|"&amp;B1208&amp;"|"&amp;C1208&amp;"|"&amp;D1208</f>
        <v>3|1|Leah|spotify:track:1xOqGUkyxGQRdCvGpvWKmL</v>
      </c>
    </row>
    <row r="1209" customFormat="false" ht="15" hidden="false" customHeight="false" outlineLevel="0" collapsed="false">
      <c r="A1209" s="5" t="n">
        <v>3</v>
      </c>
      <c r="B1209" s="5" t="n">
        <v>1</v>
      </c>
      <c r="C1209" s="5" t="s">
        <v>119</v>
      </c>
      <c r="D1209" s="5" t="s">
        <v>720</v>
      </c>
      <c r="E1209" s="5" t="n">
        <v>1</v>
      </c>
      <c r="F1209" s="6" t="n">
        <f aca="false">IFERROR(MATCH(A1209&amp;"|"&amp;B1209&amp;"|"&amp;D1209,'All Song Rankings'!$T:$T,0),0)</f>
        <v>205</v>
      </c>
      <c r="G1209" s="6" t="str">
        <f aca="false">IF(F1209=0,"NOT FOUND",INDEX('All Song Rankings'!$A:$A,F1209))</f>
        <v>Politix</v>
      </c>
      <c r="H1209" s="6" t="str">
        <f aca="false">IF(F1209=0,"NOT FOUND",INDEX('All Song Rankings'!$B:$B,F1209))</f>
        <v>Balu Brigada</v>
      </c>
      <c r="I1209" s="6" t="str">
        <f aca="false">IF(F1209=0,"NOT FOUND",INDEX('All Song Rankings'!$D:$D,F1209))</f>
        <v>Christine</v>
      </c>
      <c r="J1209" s="7" t="str">
        <f aca="false">IF(F1209=0,"NOT FOUND",IF(C1209=I1209,"SELF-VOTE",IF(COUNTIF($K:$K,K1209)&gt;1,"DUPLICATE","OK")))</f>
        <v>OK</v>
      </c>
      <c r="K1209" s="6" t="str">
        <f aca="false">A1209&amp;"|"&amp;B1209&amp;"|"&amp;C1209&amp;"|"&amp;D1209</f>
        <v>3|1|Leah|spotify:track:2rSp12ZJ679lU7dalojvVZ</v>
      </c>
    </row>
    <row r="1210" customFormat="false" ht="15" hidden="false" customHeight="false" outlineLevel="0" collapsed="false">
      <c r="A1210" s="5" t="n">
        <v>3</v>
      </c>
      <c r="B1210" s="5" t="n">
        <v>1</v>
      </c>
      <c r="C1210" s="5" t="s">
        <v>119</v>
      </c>
      <c r="D1210" s="5" t="s">
        <v>723</v>
      </c>
      <c r="E1210" s="5" t="n">
        <v>2</v>
      </c>
      <c r="F1210" s="6" t="n">
        <f aca="false">IFERROR(MATCH(A1210&amp;"|"&amp;B1210&amp;"|"&amp;D1210,'All Song Rankings'!$T:$T,0),0)</f>
        <v>206</v>
      </c>
      <c r="G1210" s="6" t="str">
        <f aca="false">IF(F1210=0,"NOT FOUND",INDEX('All Song Rankings'!$A:$A,F1210))</f>
        <v>Egg</v>
      </c>
      <c r="H1210" s="6" t="str">
        <f aca="false">IF(F1210=0,"NOT FOUND",INDEX('All Song Rankings'!$B:$B,F1210))</f>
        <v>Djo</v>
      </c>
      <c r="I1210" s="6" t="str">
        <f aca="false">IF(F1210=0,"NOT FOUND",INDEX('All Song Rankings'!$D:$D,F1210))</f>
        <v>Merita</v>
      </c>
      <c r="J1210" s="7" t="str">
        <f aca="false">IF(F1210=0,"NOT FOUND",IF(C1210=I1210,"SELF-VOTE",IF(COUNTIF($K:$K,K1210)&gt;1,"DUPLICATE","OK")))</f>
        <v>OK</v>
      </c>
      <c r="K1210" s="6" t="str">
        <f aca="false">A1210&amp;"|"&amp;B1210&amp;"|"&amp;C1210&amp;"|"&amp;D1210</f>
        <v>3|1|Leah|spotify:track:4JaOwgYNvkOARAwSHibV5B</v>
      </c>
    </row>
    <row r="1211" customFormat="false" ht="15" hidden="false" customHeight="false" outlineLevel="0" collapsed="false">
      <c r="A1211" s="5" t="n">
        <v>3</v>
      </c>
      <c r="B1211" s="5" t="n">
        <v>1</v>
      </c>
      <c r="C1211" s="5" t="s">
        <v>119</v>
      </c>
      <c r="D1211" s="5" t="s">
        <v>688</v>
      </c>
      <c r="E1211" s="5" t="n">
        <v>2</v>
      </c>
      <c r="F1211" s="6" t="n">
        <f aca="false">IFERROR(MATCH(A1211&amp;"|"&amp;B1211&amp;"|"&amp;D1211,'All Song Rankings'!$T:$T,0),0)</f>
        <v>193</v>
      </c>
      <c r="G1211" s="6" t="str">
        <f aca="false">IF(F1211=0,"NOT FOUND",INDEX('All Song Rankings'!$A:$A,F1211))</f>
        <v>Happen To Me (feat. Jonas Brothers)</v>
      </c>
      <c r="H1211" s="6" t="str">
        <f aca="false">IF(F1211=0,"NOT FOUND",INDEX('All Song Rankings'!$B:$B,F1211))</f>
        <v>Russell Dickerson, Jonas Brothers</v>
      </c>
      <c r="I1211" s="6" t="str">
        <f aca="false">IF(F1211=0,"NOT FOUND",INDEX('All Song Rankings'!$D:$D,F1211))</f>
        <v>Kelsey</v>
      </c>
      <c r="J1211" s="7" t="str">
        <f aca="false">IF(F1211=0,"NOT FOUND",IF(C1211=I1211,"SELF-VOTE",IF(COUNTIF($K:$K,K1211)&gt;1,"DUPLICATE","OK")))</f>
        <v>OK</v>
      </c>
      <c r="K1211" s="6" t="str">
        <f aca="false">A1211&amp;"|"&amp;B1211&amp;"|"&amp;C1211&amp;"|"&amp;D1211</f>
        <v>3|1|Leah|spotify:track:6XxFrC6s8An9ZZ52uAN4AV</v>
      </c>
    </row>
    <row r="1212" customFormat="false" ht="15" hidden="false" customHeight="false" outlineLevel="0" collapsed="false">
      <c r="A1212" s="5" t="n">
        <v>3</v>
      </c>
      <c r="B1212" s="5" t="n">
        <v>1</v>
      </c>
      <c r="C1212" s="5" t="s">
        <v>119</v>
      </c>
      <c r="D1212" s="5" t="s">
        <v>693</v>
      </c>
      <c r="E1212" s="5" t="n">
        <v>1</v>
      </c>
      <c r="F1212" s="6" t="n">
        <f aca="false">IFERROR(MATCH(A1212&amp;"|"&amp;B1212&amp;"|"&amp;D1212,'All Song Rankings'!$T:$T,0),0)</f>
        <v>196</v>
      </c>
      <c r="G1212" s="6" t="str">
        <f aca="false">IF(F1212=0,"NOT FOUND",INDEX('All Song Rankings'!$A:$A,F1212))</f>
        <v>Ordinary</v>
      </c>
      <c r="H1212" s="6" t="str">
        <f aca="false">IF(F1212=0,"NOT FOUND",INDEX('All Song Rankings'!$B:$B,F1212))</f>
        <v>Alex Warren</v>
      </c>
      <c r="I1212" s="6" t="str">
        <f aca="false">IF(F1212=0,"NOT FOUND",INDEX('All Song Rankings'!$D:$D,F1212))</f>
        <v>Aubrey</v>
      </c>
      <c r="J1212" s="7" t="str">
        <f aca="false">IF(F1212=0,"NOT FOUND",IF(C1212=I1212,"SELF-VOTE",IF(COUNTIF($K:$K,K1212)&gt;1,"DUPLICATE","OK")))</f>
        <v>OK</v>
      </c>
      <c r="K1212" s="6" t="str">
        <f aca="false">A1212&amp;"|"&amp;B1212&amp;"|"&amp;C1212&amp;"|"&amp;D1212</f>
        <v>3|1|Leah|spotify:track:6qqrTXSdwiJaq8SO0X2lSe</v>
      </c>
    </row>
    <row r="1213" customFormat="false" ht="15" hidden="false" customHeight="false" outlineLevel="0" collapsed="false">
      <c r="A1213" s="5" t="n">
        <v>3</v>
      </c>
      <c r="B1213" s="5" t="n">
        <v>1</v>
      </c>
      <c r="C1213" s="5" t="s">
        <v>119</v>
      </c>
      <c r="D1213" s="5" t="s">
        <v>706</v>
      </c>
      <c r="E1213" s="5" t="n">
        <v>1</v>
      </c>
      <c r="F1213" s="6" t="n">
        <f aca="false">IFERROR(MATCH(A1213&amp;"|"&amp;B1213&amp;"|"&amp;D1213,'All Song Rankings'!$T:$T,0),0)</f>
        <v>201</v>
      </c>
      <c r="G1213" s="6" t="str">
        <f aca="false">IF(F1213=0,"NOT FOUND",INDEX('All Song Rankings'!$A:$A,F1213))</f>
        <v>Nice To Each Other</v>
      </c>
      <c r="H1213" s="6" t="str">
        <f aca="false">IF(F1213=0,"NOT FOUND",INDEX('All Song Rankings'!$B:$B,F1213))</f>
        <v>Olivia Dean</v>
      </c>
      <c r="I1213" s="6" t="str">
        <f aca="false">IF(F1213=0,"NOT FOUND",INDEX('All Song Rankings'!$D:$D,F1213))</f>
        <v>Lisa</v>
      </c>
      <c r="J1213" s="7" t="str">
        <f aca="false">IF(F1213=0,"NOT FOUND",IF(C1213=I1213,"SELF-VOTE",IF(COUNTIF($K:$K,K1213)&gt;1,"DUPLICATE","OK")))</f>
        <v>OK</v>
      </c>
      <c r="K1213" s="6" t="str">
        <f aca="false">A1213&amp;"|"&amp;B1213&amp;"|"&amp;C1213&amp;"|"&amp;D1213</f>
        <v>3|1|Leah|spotify:track:7gKxCvTDWwV9wBhdeBbr3l</v>
      </c>
    </row>
    <row r="1214" customFormat="false" ht="15" hidden="false" customHeight="false" outlineLevel="0" collapsed="false">
      <c r="A1214" s="5" t="n">
        <v>3</v>
      </c>
      <c r="B1214" s="5" t="n">
        <v>1</v>
      </c>
      <c r="C1214" s="5" t="s">
        <v>705</v>
      </c>
      <c r="D1214" s="5" t="s">
        <v>336</v>
      </c>
      <c r="E1214" s="5" t="n">
        <v>1</v>
      </c>
      <c r="F1214" s="6" t="n">
        <f aca="false">IFERROR(MATCH(A1214&amp;"|"&amp;B1214&amp;"|"&amp;D1214,'All Song Rankings'!$T:$T,0),0)</f>
        <v>195</v>
      </c>
      <c r="G1214" s="6" t="str">
        <f aca="false">IF(F1214=0,"NOT FOUND",INDEX('All Song Rankings'!$A:$A,F1214))</f>
        <v>Golden</v>
      </c>
      <c r="H1214" s="6" t="str">
        <f aca="false">IF(F1214=0,"NOT FOUND",INDEX('All Song Rankings'!$B:$B,F1214))</f>
        <v>HUNTR/X</v>
      </c>
      <c r="I1214" s="6" t="str">
        <f aca="false">IF(F1214=0,"NOT FOUND",INDEX('All Song Rankings'!$D:$D,F1214))</f>
        <v>Leah</v>
      </c>
      <c r="J1214" s="7" t="str">
        <f aca="false">IF(F1214=0,"NOT FOUND",IF(C1214=I1214,"SELF-VOTE",IF(COUNTIF($K:$K,K1214)&gt;1,"DUPLICATE","OK")))</f>
        <v>OK</v>
      </c>
      <c r="K1214" s="6" t="str">
        <f aca="false">A1214&amp;"|"&amp;B1214&amp;"|"&amp;C1214&amp;"|"&amp;D1214</f>
        <v>3|1|Lisa|spotify:track:1CPZ5BxNNd0n0nF4Orb9JS</v>
      </c>
    </row>
    <row r="1215" customFormat="false" ht="15" hidden="false" customHeight="false" outlineLevel="0" collapsed="false">
      <c r="A1215" s="5" t="n">
        <v>3</v>
      </c>
      <c r="B1215" s="5" t="n">
        <v>1</v>
      </c>
      <c r="C1215" s="5" t="s">
        <v>705</v>
      </c>
      <c r="D1215" s="5" t="s">
        <v>691</v>
      </c>
      <c r="E1215" s="5" t="n">
        <v>1</v>
      </c>
      <c r="F1215" s="6" t="n">
        <f aca="false">IFERROR(MATCH(A1215&amp;"|"&amp;B1215&amp;"|"&amp;D1215,'All Song Rankings'!$T:$T,0),0)</f>
        <v>194</v>
      </c>
      <c r="G1215" s="6" t="str">
        <f aca="false">IF(F1215=0,"NOT FOUND",INDEX('All Song Rankings'!$A:$A,F1215))</f>
        <v>Man I Need</v>
      </c>
      <c r="H1215" s="6" t="str">
        <f aca="false">IF(F1215=0,"NOT FOUND",INDEX('All Song Rankings'!$B:$B,F1215))</f>
        <v>Olivia Dean</v>
      </c>
      <c r="I1215" s="6" t="str">
        <f aca="false">IF(F1215=0,"NOT FOUND",INDEX('All Song Rankings'!$D:$D,F1215))</f>
        <v>Grace</v>
      </c>
      <c r="J1215" s="7" t="str">
        <f aca="false">IF(F1215=0,"NOT FOUND",IF(C1215=I1215,"SELF-VOTE",IF(COUNTIF($K:$K,K1215)&gt;1,"DUPLICATE","OK")))</f>
        <v>OK</v>
      </c>
      <c r="K1215" s="6" t="str">
        <f aca="false">A1215&amp;"|"&amp;B1215&amp;"|"&amp;C1215&amp;"|"&amp;D1215</f>
        <v>3|1|Lisa|spotify:track:1qbmS6ep2hbBRaEZFpn7BX</v>
      </c>
    </row>
    <row r="1216" customFormat="false" ht="15" hidden="false" customHeight="false" outlineLevel="0" collapsed="false">
      <c r="A1216" s="5" t="n">
        <v>3</v>
      </c>
      <c r="B1216" s="5" t="n">
        <v>1</v>
      </c>
      <c r="C1216" s="5" t="s">
        <v>705</v>
      </c>
      <c r="D1216" s="5" t="s">
        <v>703</v>
      </c>
      <c r="E1216" s="5" t="n">
        <v>2</v>
      </c>
      <c r="F1216" s="6" t="n">
        <f aca="false">IFERROR(MATCH(A1216&amp;"|"&amp;B1216&amp;"|"&amp;D1216,'All Song Rankings'!$T:$T,0),0)</f>
        <v>200</v>
      </c>
      <c r="G1216" s="6" t="str">
        <f aca="false">IF(F1216=0,"NOT FOUND",INDEX('All Song Rankings'!$A:$A,F1216))</f>
        <v>Sally, When The Wine Runs Out</v>
      </c>
      <c r="H1216" s="6" t="str">
        <f aca="false">IF(F1216=0,"NOT FOUND",INDEX('All Song Rankings'!$B:$B,F1216))</f>
        <v>ROLE MODEL</v>
      </c>
      <c r="I1216" s="6" t="str">
        <f aca="false">IF(F1216=0,"NOT FOUND",INDEX('All Song Rankings'!$D:$D,F1216))</f>
        <v>Logan</v>
      </c>
      <c r="J1216" s="7" t="str">
        <f aca="false">IF(F1216=0,"NOT FOUND",IF(C1216=I1216,"SELF-VOTE",IF(COUNTIF($K:$K,K1216)&gt;1,"DUPLICATE","OK")))</f>
        <v>OK</v>
      </c>
      <c r="K1216" s="6" t="str">
        <f aca="false">A1216&amp;"|"&amp;B1216&amp;"|"&amp;C1216&amp;"|"&amp;D1216</f>
        <v>3|1|Lisa|spotify:track:2J051fjLklkoPbzOoTAACZ</v>
      </c>
    </row>
    <row r="1217" customFormat="false" ht="15" hidden="false" customHeight="false" outlineLevel="0" collapsed="false">
      <c r="A1217" s="5" t="n">
        <v>3</v>
      </c>
      <c r="B1217" s="5" t="n">
        <v>1</v>
      </c>
      <c r="C1217" s="5" t="s">
        <v>705</v>
      </c>
      <c r="D1217" s="5" t="s">
        <v>720</v>
      </c>
      <c r="E1217" s="5" t="n">
        <v>1</v>
      </c>
      <c r="F1217" s="6" t="n">
        <f aca="false">IFERROR(MATCH(A1217&amp;"|"&amp;B1217&amp;"|"&amp;D1217,'All Song Rankings'!$T:$T,0),0)</f>
        <v>205</v>
      </c>
      <c r="G1217" s="6" t="str">
        <f aca="false">IF(F1217=0,"NOT FOUND",INDEX('All Song Rankings'!$A:$A,F1217))</f>
        <v>Politix</v>
      </c>
      <c r="H1217" s="6" t="str">
        <f aca="false">IF(F1217=0,"NOT FOUND",INDEX('All Song Rankings'!$B:$B,F1217))</f>
        <v>Balu Brigada</v>
      </c>
      <c r="I1217" s="6" t="str">
        <f aca="false">IF(F1217=0,"NOT FOUND",INDEX('All Song Rankings'!$D:$D,F1217))</f>
        <v>Christine</v>
      </c>
      <c r="J1217" s="7" t="str">
        <f aca="false">IF(F1217=0,"NOT FOUND",IF(C1217=I1217,"SELF-VOTE",IF(COUNTIF($K:$K,K1217)&gt;1,"DUPLICATE","OK")))</f>
        <v>OK</v>
      </c>
      <c r="K1217" s="6" t="str">
        <f aca="false">A1217&amp;"|"&amp;B1217&amp;"|"&amp;C1217&amp;"|"&amp;D1217</f>
        <v>3|1|Lisa|spotify:track:2rSp12ZJ679lU7dalojvVZ</v>
      </c>
    </row>
    <row r="1218" customFormat="false" ht="15" hidden="false" customHeight="false" outlineLevel="0" collapsed="false">
      <c r="A1218" s="5" t="n">
        <v>3</v>
      </c>
      <c r="B1218" s="5" t="n">
        <v>1</v>
      </c>
      <c r="C1218" s="5" t="s">
        <v>705</v>
      </c>
      <c r="D1218" s="5" t="s">
        <v>695</v>
      </c>
      <c r="E1218" s="5" t="n">
        <v>1</v>
      </c>
      <c r="F1218" s="6" t="n">
        <f aca="false">IFERROR(MATCH(A1218&amp;"|"&amp;B1218&amp;"|"&amp;D1218,'All Song Rankings'!$T:$T,0),0)</f>
        <v>197</v>
      </c>
      <c r="G1218" s="6" t="str">
        <f aca="false">IF(F1218=0,"NOT FOUND",INDEX('All Song Rankings'!$A:$A,F1218))</f>
        <v>Sapphire</v>
      </c>
      <c r="H1218" s="6" t="str">
        <f aca="false">IF(F1218=0,"NOT FOUND",INDEX('All Song Rankings'!$B:$B,F1218))</f>
        <v>Ed Sheeran</v>
      </c>
      <c r="I1218" s="6" t="str">
        <f aca="false">IF(F1218=0,"NOT FOUND",INDEX('All Song Rankings'!$D:$D,F1218))</f>
        <v>Makenzie</v>
      </c>
      <c r="J1218" s="7" t="str">
        <f aca="false">IF(F1218=0,"NOT FOUND",IF(C1218=I1218,"SELF-VOTE",IF(COUNTIF($K:$K,K1218)&gt;1,"DUPLICATE","OK")))</f>
        <v>OK</v>
      </c>
      <c r="K1218" s="6" t="str">
        <f aca="false">A1218&amp;"|"&amp;B1218&amp;"|"&amp;C1218&amp;"|"&amp;D1218</f>
        <v>3|1|Lisa|spotify:track:4Q0qVhFQa7j6jRKzo3HDmP</v>
      </c>
    </row>
    <row r="1219" customFormat="false" ht="15" hidden="false" customHeight="false" outlineLevel="0" collapsed="false">
      <c r="A1219" s="5" t="n">
        <v>3</v>
      </c>
      <c r="B1219" s="5" t="n">
        <v>1</v>
      </c>
      <c r="C1219" s="5" t="s">
        <v>705</v>
      </c>
      <c r="D1219" s="5" t="s">
        <v>688</v>
      </c>
      <c r="E1219" s="5" t="n">
        <v>1</v>
      </c>
      <c r="F1219" s="6" t="n">
        <f aca="false">IFERROR(MATCH(A1219&amp;"|"&amp;B1219&amp;"|"&amp;D1219,'All Song Rankings'!$T:$T,0),0)</f>
        <v>193</v>
      </c>
      <c r="G1219" s="6" t="str">
        <f aca="false">IF(F1219=0,"NOT FOUND",INDEX('All Song Rankings'!$A:$A,F1219))</f>
        <v>Happen To Me (feat. Jonas Brothers)</v>
      </c>
      <c r="H1219" s="6" t="str">
        <f aca="false">IF(F1219=0,"NOT FOUND",INDEX('All Song Rankings'!$B:$B,F1219))</f>
        <v>Russell Dickerson, Jonas Brothers</v>
      </c>
      <c r="I1219" s="6" t="str">
        <f aca="false">IF(F1219=0,"NOT FOUND",INDEX('All Song Rankings'!$D:$D,F1219))</f>
        <v>Kelsey</v>
      </c>
      <c r="J1219" s="7" t="str">
        <f aca="false">IF(F1219=0,"NOT FOUND",IF(C1219=I1219,"SELF-VOTE",IF(COUNTIF($K:$K,K1219)&gt;1,"DUPLICATE","OK")))</f>
        <v>OK</v>
      </c>
      <c r="K1219" s="6" t="str">
        <f aca="false">A1219&amp;"|"&amp;B1219&amp;"|"&amp;C1219&amp;"|"&amp;D1219</f>
        <v>3|1|Lisa|spotify:track:6XxFrC6s8An9ZZ52uAN4AV</v>
      </c>
    </row>
    <row r="1220" customFormat="false" ht="15" hidden="false" customHeight="false" outlineLevel="0" collapsed="false">
      <c r="A1220" s="5" t="n">
        <v>3</v>
      </c>
      <c r="B1220" s="5" t="n">
        <v>1</v>
      </c>
      <c r="C1220" s="5" t="s">
        <v>705</v>
      </c>
      <c r="D1220" s="5" t="s">
        <v>693</v>
      </c>
      <c r="E1220" s="5" t="n">
        <v>2</v>
      </c>
      <c r="F1220" s="6" t="n">
        <f aca="false">IFERROR(MATCH(A1220&amp;"|"&amp;B1220&amp;"|"&amp;D1220,'All Song Rankings'!$T:$T,0),0)</f>
        <v>196</v>
      </c>
      <c r="G1220" s="6" t="str">
        <f aca="false">IF(F1220=0,"NOT FOUND",INDEX('All Song Rankings'!$A:$A,F1220))</f>
        <v>Ordinary</v>
      </c>
      <c r="H1220" s="6" t="str">
        <f aca="false">IF(F1220=0,"NOT FOUND",INDEX('All Song Rankings'!$B:$B,F1220))</f>
        <v>Alex Warren</v>
      </c>
      <c r="I1220" s="6" t="str">
        <f aca="false">IF(F1220=0,"NOT FOUND",INDEX('All Song Rankings'!$D:$D,F1220))</f>
        <v>Aubrey</v>
      </c>
      <c r="J1220" s="7" t="str">
        <f aca="false">IF(F1220=0,"NOT FOUND",IF(C1220=I1220,"SELF-VOTE",IF(COUNTIF($K:$K,K1220)&gt;1,"DUPLICATE","OK")))</f>
        <v>OK</v>
      </c>
      <c r="K1220" s="6" t="str">
        <f aca="false">A1220&amp;"|"&amp;B1220&amp;"|"&amp;C1220&amp;"|"&amp;D1220</f>
        <v>3|1|Lisa|spotify:track:6qqrTXSdwiJaq8SO0X2lSe</v>
      </c>
    </row>
    <row r="1221" customFormat="false" ht="15" hidden="false" customHeight="false" outlineLevel="0" collapsed="false">
      <c r="A1221" s="5" t="n">
        <v>3</v>
      </c>
      <c r="B1221" s="5" t="n">
        <v>1</v>
      </c>
      <c r="C1221" s="5" t="s">
        <v>705</v>
      </c>
      <c r="D1221" s="5" t="s">
        <v>698</v>
      </c>
      <c r="E1221" s="5" t="n">
        <v>1</v>
      </c>
      <c r="F1221" s="6" t="n">
        <f aca="false">IFERROR(MATCH(A1221&amp;"|"&amp;B1221&amp;"|"&amp;D1221,'All Song Rankings'!$T:$T,0),0)</f>
        <v>198</v>
      </c>
      <c r="G1221" s="6" t="str">
        <f aca="false">IF(F1221=0,"NOT FOUND",INDEX('All Song Rankings'!$A:$A,F1221))</f>
        <v>waste away</v>
      </c>
      <c r="H1221" s="6" t="str">
        <f aca="false">IF(F1221=0,"NOT FOUND",INDEX('All Song Rankings'!$B:$B,F1221))</f>
        <v>saturdays at your place</v>
      </c>
      <c r="I1221" s="6" t="str">
        <f aca="false">IF(F1221=0,"NOT FOUND",INDEX('All Song Rankings'!$D:$D,F1221))</f>
        <v>Scott</v>
      </c>
      <c r="J1221" s="7" t="str">
        <f aca="false">IF(F1221=0,"NOT FOUND",IF(C1221=I1221,"SELF-VOTE",IF(COUNTIF($K:$K,K1221)&gt;1,"DUPLICATE","OK")))</f>
        <v>OK</v>
      </c>
      <c r="K1221" s="6" t="str">
        <f aca="false">A1221&amp;"|"&amp;B1221&amp;"|"&amp;C1221&amp;"|"&amp;D1221</f>
        <v>3|1|Lisa|spotify:track:7qscY7sKAaGZynXbDyeMH3</v>
      </c>
    </row>
    <row r="1222" customFormat="false" ht="15" hidden="false" customHeight="false" outlineLevel="0" collapsed="false">
      <c r="A1222" s="5" t="n">
        <v>3</v>
      </c>
      <c r="B1222" s="5" t="n">
        <v>1</v>
      </c>
      <c r="C1222" s="5" t="s">
        <v>128</v>
      </c>
      <c r="D1222" s="5" t="s">
        <v>700</v>
      </c>
      <c r="E1222" s="5" t="n">
        <v>2</v>
      </c>
      <c r="F1222" s="6" t="n">
        <f aca="false">IFERROR(MATCH(A1222&amp;"|"&amp;B1222&amp;"|"&amp;D1222,'All Song Rankings'!$T:$T,0),0)</f>
        <v>199</v>
      </c>
      <c r="G1222" s="6" t="str">
        <f aca="false">IF(F1222=0,"NOT FOUND",INDEX('All Song Rankings'!$A:$A,F1222))</f>
        <v>Caramel</v>
      </c>
      <c r="H1222" s="6" t="str">
        <f aca="false">IF(F1222=0,"NOT FOUND",INDEX('All Song Rankings'!$B:$B,F1222))</f>
        <v>Sleep Token</v>
      </c>
      <c r="I1222" s="6" t="str">
        <f aca="false">IF(F1222=0,"NOT FOUND",INDEX('All Song Rankings'!$D:$D,F1222))</f>
        <v>Kristen</v>
      </c>
      <c r="J1222" s="7" t="str">
        <f aca="false">IF(F1222=0,"NOT FOUND",IF(C1222=I1222,"SELF-VOTE",IF(COUNTIF($K:$K,K1222)&gt;1,"DUPLICATE","OK")))</f>
        <v>OK</v>
      </c>
      <c r="K1222" s="6" t="str">
        <f aca="false">A1222&amp;"|"&amp;B1222&amp;"|"&amp;C1222&amp;"|"&amp;D1222</f>
        <v>3|1|Logan|spotify:track:1QrbZhFYlViXd60g130vw1</v>
      </c>
    </row>
    <row r="1223" customFormat="false" ht="15" hidden="false" customHeight="false" outlineLevel="0" collapsed="false">
      <c r="A1223" s="5" t="n">
        <v>3</v>
      </c>
      <c r="B1223" s="5" t="n">
        <v>1</v>
      </c>
      <c r="C1223" s="5" t="s">
        <v>128</v>
      </c>
      <c r="D1223" s="5" t="s">
        <v>691</v>
      </c>
      <c r="E1223" s="5" t="n">
        <v>4</v>
      </c>
      <c r="F1223" s="6" t="n">
        <f aca="false">IFERROR(MATCH(A1223&amp;"|"&amp;B1223&amp;"|"&amp;D1223,'All Song Rankings'!$T:$T,0),0)</f>
        <v>194</v>
      </c>
      <c r="G1223" s="6" t="str">
        <f aca="false">IF(F1223=0,"NOT FOUND",INDEX('All Song Rankings'!$A:$A,F1223))</f>
        <v>Man I Need</v>
      </c>
      <c r="H1223" s="6" t="str">
        <f aca="false">IF(F1223=0,"NOT FOUND",INDEX('All Song Rankings'!$B:$B,F1223))</f>
        <v>Olivia Dean</v>
      </c>
      <c r="I1223" s="6" t="str">
        <f aca="false">IF(F1223=0,"NOT FOUND",INDEX('All Song Rankings'!$D:$D,F1223))</f>
        <v>Grace</v>
      </c>
      <c r="J1223" s="7" t="str">
        <f aca="false">IF(F1223=0,"NOT FOUND",IF(C1223=I1223,"SELF-VOTE",IF(COUNTIF($K:$K,K1223)&gt;1,"DUPLICATE","OK")))</f>
        <v>OK</v>
      </c>
      <c r="K1223" s="6" t="str">
        <f aca="false">A1223&amp;"|"&amp;B1223&amp;"|"&amp;C1223&amp;"|"&amp;D1223</f>
        <v>3|1|Logan|spotify:track:1qbmS6ep2hbBRaEZFpn7BX</v>
      </c>
    </row>
    <row r="1224" customFormat="false" ht="15" hidden="false" customHeight="false" outlineLevel="0" collapsed="false">
      <c r="A1224" s="5" t="n">
        <v>3</v>
      </c>
      <c r="B1224" s="5" t="n">
        <v>1</v>
      </c>
      <c r="C1224" s="5" t="s">
        <v>128</v>
      </c>
      <c r="D1224" s="5" t="s">
        <v>695</v>
      </c>
      <c r="E1224" s="5" t="n">
        <v>1</v>
      </c>
      <c r="F1224" s="6" t="n">
        <f aca="false">IFERROR(MATCH(A1224&amp;"|"&amp;B1224&amp;"|"&amp;D1224,'All Song Rankings'!$T:$T,0),0)</f>
        <v>197</v>
      </c>
      <c r="G1224" s="6" t="str">
        <f aca="false">IF(F1224=0,"NOT FOUND",INDEX('All Song Rankings'!$A:$A,F1224))</f>
        <v>Sapphire</v>
      </c>
      <c r="H1224" s="6" t="str">
        <f aca="false">IF(F1224=0,"NOT FOUND",INDEX('All Song Rankings'!$B:$B,F1224))</f>
        <v>Ed Sheeran</v>
      </c>
      <c r="I1224" s="6" t="str">
        <f aca="false">IF(F1224=0,"NOT FOUND",INDEX('All Song Rankings'!$D:$D,F1224))</f>
        <v>Makenzie</v>
      </c>
      <c r="J1224" s="7" t="str">
        <f aca="false">IF(F1224=0,"NOT FOUND",IF(C1224=I1224,"SELF-VOTE",IF(COUNTIF($K:$K,K1224)&gt;1,"DUPLICATE","OK")))</f>
        <v>OK</v>
      </c>
      <c r="K1224" s="6" t="str">
        <f aca="false">A1224&amp;"|"&amp;B1224&amp;"|"&amp;C1224&amp;"|"&amp;D1224</f>
        <v>3|1|Logan|spotify:track:4Q0qVhFQa7j6jRKzo3HDmP</v>
      </c>
    </row>
    <row r="1225" customFormat="false" ht="15" hidden="false" customHeight="false" outlineLevel="0" collapsed="false">
      <c r="A1225" s="5" t="n">
        <v>3</v>
      </c>
      <c r="B1225" s="5" t="n">
        <v>1</v>
      </c>
      <c r="C1225" s="5" t="s">
        <v>128</v>
      </c>
      <c r="D1225" s="5" t="s">
        <v>688</v>
      </c>
      <c r="E1225" s="5" t="n">
        <v>1</v>
      </c>
      <c r="F1225" s="6" t="n">
        <f aca="false">IFERROR(MATCH(A1225&amp;"|"&amp;B1225&amp;"|"&amp;D1225,'All Song Rankings'!$T:$T,0),0)</f>
        <v>193</v>
      </c>
      <c r="G1225" s="6" t="str">
        <f aca="false">IF(F1225=0,"NOT FOUND",INDEX('All Song Rankings'!$A:$A,F1225))</f>
        <v>Happen To Me (feat. Jonas Brothers)</v>
      </c>
      <c r="H1225" s="6" t="str">
        <f aca="false">IF(F1225=0,"NOT FOUND",INDEX('All Song Rankings'!$B:$B,F1225))</f>
        <v>Russell Dickerson, Jonas Brothers</v>
      </c>
      <c r="I1225" s="6" t="str">
        <f aca="false">IF(F1225=0,"NOT FOUND",INDEX('All Song Rankings'!$D:$D,F1225))</f>
        <v>Kelsey</v>
      </c>
      <c r="J1225" s="7" t="str">
        <f aca="false">IF(F1225=0,"NOT FOUND",IF(C1225=I1225,"SELF-VOTE",IF(COUNTIF($K:$K,K1225)&gt;1,"DUPLICATE","OK")))</f>
        <v>OK</v>
      </c>
      <c r="K1225" s="6" t="str">
        <f aca="false">A1225&amp;"|"&amp;B1225&amp;"|"&amp;C1225&amp;"|"&amp;D1225</f>
        <v>3|1|Logan|spotify:track:6XxFrC6s8An9ZZ52uAN4AV</v>
      </c>
    </row>
    <row r="1226" customFormat="false" ht="15" hidden="false" customHeight="false" outlineLevel="0" collapsed="false">
      <c r="A1226" s="5" t="n">
        <v>3</v>
      </c>
      <c r="B1226" s="5" t="n">
        <v>1</v>
      </c>
      <c r="C1226" s="5" t="s">
        <v>128</v>
      </c>
      <c r="D1226" s="5" t="s">
        <v>706</v>
      </c>
      <c r="E1226" s="5" t="n">
        <v>2</v>
      </c>
      <c r="F1226" s="6" t="n">
        <f aca="false">IFERROR(MATCH(A1226&amp;"|"&amp;B1226&amp;"|"&amp;D1226,'All Song Rankings'!$T:$T,0),0)</f>
        <v>201</v>
      </c>
      <c r="G1226" s="6" t="str">
        <f aca="false">IF(F1226=0,"NOT FOUND",INDEX('All Song Rankings'!$A:$A,F1226))</f>
        <v>Nice To Each Other</v>
      </c>
      <c r="H1226" s="6" t="str">
        <f aca="false">IF(F1226=0,"NOT FOUND",INDEX('All Song Rankings'!$B:$B,F1226))</f>
        <v>Olivia Dean</v>
      </c>
      <c r="I1226" s="6" t="str">
        <f aca="false">IF(F1226=0,"NOT FOUND",INDEX('All Song Rankings'!$D:$D,F1226))</f>
        <v>Lisa</v>
      </c>
      <c r="J1226" s="7" t="str">
        <f aca="false">IF(F1226=0,"NOT FOUND",IF(C1226=I1226,"SELF-VOTE",IF(COUNTIF($K:$K,K1226)&gt;1,"DUPLICATE","OK")))</f>
        <v>OK</v>
      </c>
      <c r="K1226" s="6" t="str">
        <f aca="false">A1226&amp;"|"&amp;B1226&amp;"|"&amp;C1226&amp;"|"&amp;D1226</f>
        <v>3|1|Logan|spotify:track:7gKxCvTDWwV9wBhdeBbr3l</v>
      </c>
    </row>
    <row r="1227" customFormat="false" ht="15" hidden="false" customHeight="false" outlineLevel="0" collapsed="false">
      <c r="A1227" s="5" t="n">
        <v>3</v>
      </c>
      <c r="B1227" s="5" t="n">
        <v>1</v>
      </c>
      <c r="C1227" s="5" t="s">
        <v>395</v>
      </c>
      <c r="D1227" s="5" t="s">
        <v>700</v>
      </c>
      <c r="E1227" s="5" t="n">
        <v>1</v>
      </c>
      <c r="F1227" s="6" t="n">
        <f aca="false">IFERROR(MATCH(A1227&amp;"|"&amp;B1227&amp;"|"&amp;D1227,'All Song Rankings'!$T:$T,0),0)</f>
        <v>199</v>
      </c>
      <c r="G1227" s="6" t="str">
        <f aca="false">IF(F1227=0,"NOT FOUND",INDEX('All Song Rankings'!$A:$A,F1227))</f>
        <v>Caramel</v>
      </c>
      <c r="H1227" s="6" t="str">
        <f aca="false">IF(F1227=0,"NOT FOUND",INDEX('All Song Rankings'!$B:$B,F1227))</f>
        <v>Sleep Token</v>
      </c>
      <c r="I1227" s="6" t="str">
        <f aca="false">IF(F1227=0,"NOT FOUND",INDEX('All Song Rankings'!$D:$D,F1227))</f>
        <v>Kristen</v>
      </c>
      <c r="J1227" s="7" t="str">
        <f aca="false">IF(F1227=0,"NOT FOUND",IF(C1227=I1227,"SELF-VOTE",IF(COUNTIF($K:$K,K1227)&gt;1,"DUPLICATE","OK")))</f>
        <v>OK</v>
      </c>
      <c r="K1227" s="6" t="str">
        <f aca="false">A1227&amp;"|"&amp;B1227&amp;"|"&amp;C1227&amp;"|"&amp;D1227</f>
        <v>3|1|Makenzie|spotify:track:1QrbZhFYlViXd60g130vw1</v>
      </c>
    </row>
    <row r="1228" customFormat="false" ht="15" hidden="false" customHeight="false" outlineLevel="0" collapsed="false">
      <c r="A1228" s="5" t="n">
        <v>3</v>
      </c>
      <c r="B1228" s="5" t="n">
        <v>1</v>
      </c>
      <c r="C1228" s="5" t="s">
        <v>395</v>
      </c>
      <c r="D1228" s="5" t="s">
        <v>691</v>
      </c>
      <c r="E1228" s="5" t="n">
        <v>1</v>
      </c>
      <c r="F1228" s="6" t="n">
        <f aca="false">IFERROR(MATCH(A1228&amp;"|"&amp;B1228&amp;"|"&amp;D1228,'All Song Rankings'!$T:$T,0),0)</f>
        <v>194</v>
      </c>
      <c r="G1228" s="6" t="str">
        <f aca="false">IF(F1228=0,"NOT FOUND",INDEX('All Song Rankings'!$A:$A,F1228))</f>
        <v>Man I Need</v>
      </c>
      <c r="H1228" s="6" t="str">
        <f aca="false">IF(F1228=0,"NOT FOUND",INDEX('All Song Rankings'!$B:$B,F1228))</f>
        <v>Olivia Dean</v>
      </c>
      <c r="I1228" s="6" t="str">
        <f aca="false">IF(F1228=0,"NOT FOUND",INDEX('All Song Rankings'!$D:$D,F1228))</f>
        <v>Grace</v>
      </c>
      <c r="J1228" s="7" t="str">
        <f aca="false">IF(F1228=0,"NOT FOUND",IF(C1228=I1228,"SELF-VOTE",IF(COUNTIF($K:$K,K1228)&gt;1,"DUPLICATE","OK")))</f>
        <v>OK</v>
      </c>
      <c r="K1228" s="6" t="str">
        <f aca="false">A1228&amp;"|"&amp;B1228&amp;"|"&amp;C1228&amp;"|"&amp;D1228</f>
        <v>3|1|Makenzie|spotify:track:1qbmS6ep2hbBRaEZFpn7BX</v>
      </c>
    </row>
    <row r="1229" customFormat="false" ht="15" hidden="false" customHeight="false" outlineLevel="0" collapsed="false">
      <c r="A1229" s="5" t="n">
        <v>3</v>
      </c>
      <c r="B1229" s="5" t="n">
        <v>1</v>
      </c>
      <c r="C1229" s="5" t="s">
        <v>395</v>
      </c>
      <c r="D1229" s="5" t="s">
        <v>709</v>
      </c>
      <c r="E1229" s="5" t="n">
        <v>1</v>
      </c>
      <c r="F1229" s="6" t="n">
        <f aca="false">IFERROR(MATCH(A1229&amp;"|"&amp;B1229&amp;"|"&amp;D1229,'All Song Rankings'!$T:$T,0),0)</f>
        <v>202</v>
      </c>
      <c r="G1229" s="6" t="str">
        <f aca="false">IF(F1229=0,"NOT FOUND",INDEX('All Song Rankings'!$A:$A,F1229))</f>
        <v>Gabriela</v>
      </c>
      <c r="H1229" s="6" t="str">
        <f aca="false">IF(F1229=0,"NOT FOUND",INDEX('All Song Rankings'!$B:$B,F1229))</f>
        <v>KATSEYE</v>
      </c>
      <c r="I1229" s="6" t="str">
        <f aca="false">IF(F1229=0,"NOT FOUND",INDEX('All Song Rankings'!$D:$D,F1229))</f>
        <v>Stephanie</v>
      </c>
      <c r="J1229" s="7" t="str">
        <f aca="false">IF(F1229=0,"NOT FOUND",IF(C1229=I1229,"SELF-VOTE",IF(COUNTIF($K:$K,K1229)&gt;1,"DUPLICATE","OK")))</f>
        <v>OK</v>
      </c>
      <c r="K1229" s="6" t="str">
        <f aca="false">A1229&amp;"|"&amp;B1229&amp;"|"&amp;C1229&amp;"|"&amp;D1229</f>
        <v>3|1|Makenzie|spotify:track:1xOqGUkyxGQRdCvGpvWKmL</v>
      </c>
    </row>
    <row r="1230" customFormat="false" ht="15" hidden="false" customHeight="false" outlineLevel="0" collapsed="false">
      <c r="A1230" s="5" t="n">
        <v>3</v>
      </c>
      <c r="B1230" s="5" t="n">
        <v>1</v>
      </c>
      <c r="C1230" s="5" t="s">
        <v>395</v>
      </c>
      <c r="D1230" s="5" t="s">
        <v>703</v>
      </c>
      <c r="E1230" s="5" t="n">
        <v>2</v>
      </c>
      <c r="F1230" s="6" t="n">
        <f aca="false">IFERROR(MATCH(A1230&amp;"|"&amp;B1230&amp;"|"&amp;D1230,'All Song Rankings'!$T:$T,0),0)</f>
        <v>200</v>
      </c>
      <c r="G1230" s="6" t="str">
        <f aca="false">IF(F1230=0,"NOT FOUND",INDEX('All Song Rankings'!$A:$A,F1230))</f>
        <v>Sally, When The Wine Runs Out</v>
      </c>
      <c r="H1230" s="6" t="str">
        <f aca="false">IF(F1230=0,"NOT FOUND",INDEX('All Song Rankings'!$B:$B,F1230))</f>
        <v>ROLE MODEL</v>
      </c>
      <c r="I1230" s="6" t="str">
        <f aca="false">IF(F1230=0,"NOT FOUND",INDEX('All Song Rankings'!$D:$D,F1230))</f>
        <v>Logan</v>
      </c>
      <c r="J1230" s="7" t="str">
        <f aca="false">IF(F1230=0,"NOT FOUND",IF(C1230=I1230,"SELF-VOTE",IF(COUNTIF($K:$K,K1230)&gt;1,"DUPLICATE","OK")))</f>
        <v>OK</v>
      </c>
      <c r="K1230" s="6" t="str">
        <f aca="false">A1230&amp;"|"&amp;B1230&amp;"|"&amp;C1230&amp;"|"&amp;D1230</f>
        <v>3|1|Makenzie|spotify:track:2J051fjLklkoPbzOoTAACZ</v>
      </c>
    </row>
    <row r="1231" customFormat="false" ht="15" hidden="false" customHeight="false" outlineLevel="0" collapsed="false">
      <c r="A1231" s="5" t="n">
        <v>3</v>
      </c>
      <c r="B1231" s="5" t="n">
        <v>1</v>
      </c>
      <c r="C1231" s="5" t="s">
        <v>395</v>
      </c>
      <c r="D1231" s="5" t="s">
        <v>723</v>
      </c>
      <c r="E1231" s="5" t="n">
        <v>1</v>
      </c>
      <c r="F1231" s="6" t="n">
        <f aca="false">IFERROR(MATCH(A1231&amp;"|"&amp;B1231&amp;"|"&amp;D1231,'All Song Rankings'!$T:$T,0),0)</f>
        <v>206</v>
      </c>
      <c r="G1231" s="6" t="str">
        <f aca="false">IF(F1231=0,"NOT FOUND",INDEX('All Song Rankings'!$A:$A,F1231))</f>
        <v>Egg</v>
      </c>
      <c r="H1231" s="6" t="str">
        <f aca="false">IF(F1231=0,"NOT FOUND",INDEX('All Song Rankings'!$B:$B,F1231))</f>
        <v>Djo</v>
      </c>
      <c r="I1231" s="6" t="str">
        <f aca="false">IF(F1231=0,"NOT FOUND",INDEX('All Song Rankings'!$D:$D,F1231))</f>
        <v>Merita</v>
      </c>
      <c r="J1231" s="7" t="str">
        <f aca="false">IF(F1231=0,"NOT FOUND",IF(C1231=I1231,"SELF-VOTE",IF(COUNTIF($K:$K,K1231)&gt;1,"DUPLICATE","OK")))</f>
        <v>OK</v>
      </c>
      <c r="K1231" s="6" t="str">
        <f aca="false">A1231&amp;"|"&amp;B1231&amp;"|"&amp;C1231&amp;"|"&amp;D1231</f>
        <v>3|1|Makenzie|spotify:track:4JaOwgYNvkOARAwSHibV5B</v>
      </c>
    </row>
    <row r="1232" customFormat="false" ht="15" hidden="false" customHeight="false" outlineLevel="0" collapsed="false">
      <c r="A1232" s="5" t="n">
        <v>3</v>
      </c>
      <c r="B1232" s="5" t="n">
        <v>1</v>
      </c>
      <c r="C1232" s="5" t="s">
        <v>395</v>
      </c>
      <c r="D1232" s="5" t="s">
        <v>688</v>
      </c>
      <c r="E1232" s="5" t="n">
        <v>1</v>
      </c>
      <c r="F1232" s="6" t="n">
        <f aca="false">IFERROR(MATCH(A1232&amp;"|"&amp;B1232&amp;"|"&amp;D1232,'All Song Rankings'!$T:$T,0),0)</f>
        <v>193</v>
      </c>
      <c r="G1232" s="6" t="str">
        <f aca="false">IF(F1232=0,"NOT FOUND",INDEX('All Song Rankings'!$A:$A,F1232))</f>
        <v>Happen To Me (feat. Jonas Brothers)</v>
      </c>
      <c r="H1232" s="6" t="str">
        <f aca="false">IF(F1232=0,"NOT FOUND",INDEX('All Song Rankings'!$B:$B,F1232))</f>
        <v>Russell Dickerson, Jonas Brothers</v>
      </c>
      <c r="I1232" s="6" t="str">
        <f aca="false">IF(F1232=0,"NOT FOUND",INDEX('All Song Rankings'!$D:$D,F1232))</f>
        <v>Kelsey</v>
      </c>
      <c r="J1232" s="7" t="str">
        <f aca="false">IF(F1232=0,"NOT FOUND",IF(C1232=I1232,"SELF-VOTE",IF(COUNTIF($K:$K,K1232)&gt;1,"DUPLICATE","OK")))</f>
        <v>OK</v>
      </c>
      <c r="K1232" s="6" t="str">
        <f aca="false">A1232&amp;"|"&amp;B1232&amp;"|"&amp;C1232&amp;"|"&amp;D1232</f>
        <v>3|1|Makenzie|spotify:track:6XxFrC6s8An9ZZ52uAN4AV</v>
      </c>
    </row>
    <row r="1233" customFormat="false" ht="15" hidden="false" customHeight="false" outlineLevel="0" collapsed="false">
      <c r="A1233" s="5" t="n">
        <v>3</v>
      </c>
      <c r="B1233" s="5" t="n">
        <v>1</v>
      </c>
      <c r="C1233" s="5" t="s">
        <v>395</v>
      </c>
      <c r="D1233" s="5" t="s">
        <v>693</v>
      </c>
      <c r="E1233" s="5" t="n">
        <v>1</v>
      </c>
      <c r="F1233" s="6" t="n">
        <f aca="false">IFERROR(MATCH(A1233&amp;"|"&amp;B1233&amp;"|"&amp;D1233,'All Song Rankings'!$T:$T,0),0)</f>
        <v>196</v>
      </c>
      <c r="G1233" s="6" t="str">
        <f aca="false">IF(F1233=0,"NOT FOUND",INDEX('All Song Rankings'!$A:$A,F1233))</f>
        <v>Ordinary</v>
      </c>
      <c r="H1233" s="6" t="str">
        <f aca="false">IF(F1233=0,"NOT FOUND",INDEX('All Song Rankings'!$B:$B,F1233))</f>
        <v>Alex Warren</v>
      </c>
      <c r="I1233" s="6" t="str">
        <f aca="false">IF(F1233=0,"NOT FOUND",INDEX('All Song Rankings'!$D:$D,F1233))</f>
        <v>Aubrey</v>
      </c>
      <c r="J1233" s="7" t="str">
        <f aca="false">IF(F1233=0,"NOT FOUND",IF(C1233=I1233,"SELF-VOTE",IF(COUNTIF($K:$K,K1233)&gt;1,"DUPLICATE","OK")))</f>
        <v>OK</v>
      </c>
      <c r="K1233" s="6" t="str">
        <f aca="false">A1233&amp;"|"&amp;B1233&amp;"|"&amp;C1233&amp;"|"&amp;D1233</f>
        <v>3|1|Makenzie|spotify:track:6qqrTXSdwiJaq8SO0X2lSe</v>
      </c>
    </row>
    <row r="1234" customFormat="false" ht="15" hidden="false" customHeight="false" outlineLevel="0" collapsed="false">
      <c r="A1234" s="5" t="n">
        <v>3</v>
      </c>
      <c r="B1234" s="5" t="n">
        <v>1</v>
      </c>
      <c r="C1234" s="5" t="s">
        <v>395</v>
      </c>
      <c r="D1234" s="5" t="s">
        <v>706</v>
      </c>
      <c r="E1234" s="5" t="n">
        <v>1</v>
      </c>
      <c r="F1234" s="6" t="n">
        <f aca="false">IFERROR(MATCH(A1234&amp;"|"&amp;B1234&amp;"|"&amp;D1234,'All Song Rankings'!$T:$T,0),0)</f>
        <v>201</v>
      </c>
      <c r="G1234" s="6" t="str">
        <f aca="false">IF(F1234=0,"NOT FOUND",INDEX('All Song Rankings'!$A:$A,F1234))</f>
        <v>Nice To Each Other</v>
      </c>
      <c r="H1234" s="6" t="str">
        <f aca="false">IF(F1234=0,"NOT FOUND",INDEX('All Song Rankings'!$B:$B,F1234))</f>
        <v>Olivia Dean</v>
      </c>
      <c r="I1234" s="6" t="str">
        <f aca="false">IF(F1234=0,"NOT FOUND",INDEX('All Song Rankings'!$D:$D,F1234))</f>
        <v>Lisa</v>
      </c>
      <c r="J1234" s="7" t="str">
        <f aca="false">IF(F1234=0,"NOT FOUND",IF(C1234=I1234,"SELF-VOTE",IF(COUNTIF($K:$K,K1234)&gt;1,"DUPLICATE","OK")))</f>
        <v>OK</v>
      </c>
      <c r="K1234" s="6" t="str">
        <f aca="false">A1234&amp;"|"&amp;B1234&amp;"|"&amp;C1234&amp;"|"&amp;D1234</f>
        <v>3|1|Makenzie|spotify:track:7gKxCvTDWwV9wBhdeBbr3l</v>
      </c>
    </row>
    <row r="1235" customFormat="false" ht="15" hidden="false" customHeight="false" outlineLevel="0" collapsed="false">
      <c r="A1235" s="5" t="n">
        <v>3</v>
      </c>
      <c r="B1235" s="5" t="n">
        <v>1</v>
      </c>
      <c r="C1235" s="5" t="s">
        <v>395</v>
      </c>
      <c r="D1235" s="5" t="s">
        <v>698</v>
      </c>
      <c r="E1235" s="5" t="n">
        <v>1</v>
      </c>
      <c r="F1235" s="6" t="n">
        <f aca="false">IFERROR(MATCH(A1235&amp;"|"&amp;B1235&amp;"|"&amp;D1235,'All Song Rankings'!$T:$T,0),0)</f>
        <v>198</v>
      </c>
      <c r="G1235" s="6" t="str">
        <f aca="false">IF(F1235=0,"NOT FOUND",INDEX('All Song Rankings'!$A:$A,F1235))</f>
        <v>waste away</v>
      </c>
      <c r="H1235" s="6" t="str">
        <f aca="false">IF(F1235=0,"NOT FOUND",INDEX('All Song Rankings'!$B:$B,F1235))</f>
        <v>saturdays at your place</v>
      </c>
      <c r="I1235" s="6" t="str">
        <f aca="false">IF(F1235=0,"NOT FOUND",INDEX('All Song Rankings'!$D:$D,F1235))</f>
        <v>Scott</v>
      </c>
      <c r="J1235" s="7" t="str">
        <f aca="false">IF(F1235=0,"NOT FOUND",IF(C1235=I1235,"SELF-VOTE",IF(COUNTIF($K:$K,K1235)&gt;1,"DUPLICATE","OK")))</f>
        <v>OK</v>
      </c>
      <c r="K1235" s="6" t="str">
        <f aca="false">A1235&amp;"|"&amp;B1235&amp;"|"&amp;C1235&amp;"|"&amp;D1235</f>
        <v>3|1|Makenzie|spotify:track:7qscY7sKAaGZynXbDyeMH3</v>
      </c>
    </row>
    <row r="1236" customFormat="false" ht="15" hidden="false" customHeight="false" outlineLevel="0" collapsed="false">
      <c r="A1236" s="5" t="n">
        <v>3</v>
      </c>
      <c r="B1236" s="5" t="n">
        <v>1</v>
      </c>
      <c r="C1236" s="5" t="s">
        <v>116</v>
      </c>
      <c r="D1236" s="5" t="s">
        <v>336</v>
      </c>
      <c r="E1236" s="5" t="n">
        <v>3</v>
      </c>
      <c r="F1236" s="6" t="n">
        <f aca="false">IFERROR(MATCH(A1236&amp;"|"&amp;B1236&amp;"|"&amp;D1236,'All Song Rankings'!$T:$T,0),0)</f>
        <v>195</v>
      </c>
      <c r="G1236" s="6" t="str">
        <f aca="false">IF(F1236=0,"NOT FOUND",INDEX('All Song Rankings'!$A:$A,F1236))</f>
        <v>Golden</v>
      </c>
      <c r="H1236" s="6" t="str">
        <f aca="false">IF(F1236=0,"NOT FOUND",INDEX('All Song Rankings'!$B:$B,F1236))</f>
        <v>HUNTR/X</v>
      </c>
      <c r="I1236" s="6" t="str">
        <f aca="false">IF(F1236=0,"NOT FOUND",INDEX('All Song Rankings'!$D:$D,F1236))</f>
        <v>Leah</v>
      </c>
      <c r="J1236" s="7" t="str">
        <f aca="false">IF(F1236=0,"NOT FOUND",IF(C1236=I1236,"SELF-VOTE",IF(COUNTIF($K:$K,K1236)&gt;1,"DUPLICATE","OK")))</f>
        <v>OK</v>
      </c>
      <c r="K1236" s="6" t="str">
        <f aca="false">A1236&amp;"|"&amp;B1236&amp;"|"&amp;C1236&amp;"|"&amp;D1236</f>
        <v>3|1|Matt|spotify:track:1CPZ5BxNNd0n0nF4Orb9JS</v>
      </c>
    </row>
    <row r="1237" customFormat="false" ht="15" hidden="false" customHeight="false" outlineLevel="0" collapsed="false">
      <c r="A1237" s="5" t="n">
        <v>3</v>
      </c>
      <c r="B1237" s="5" t="n">
        <v>1</v>
      </c>
      <c r="C1237" s="5" t="s">
        <v>116</v>
      </c>
      <c r="D1237" s="5" t="s">
        <v>709</v>
      </c>
      <c r="E1237" s="5" t="n">
        <v>1</v>
      </c>
      <c r="F1237" s="6" t="n">
        <f aca="false">IFERROR(MATCH(A1237&amp;"|"&amp;B1237&amp;"|"&amp;D1237,'All Song Rankings'!$T:$T,0),0)</f>
        <v>202</v>
      </c>
      <c r="G1237" s="6" t="str">
        <f aca="false">IF(F1237=0,"NOT FOUND",INDEX('All Song Rankings'!$A:$A,F1237))</f>
        <v>Gabriela</v>
      </c>
      <c r="H1237" s="6" t="str">
        <f aca="false">IF(F1237=0,"NOT FOUND",INDEX('All Song Rankings'!$B:$B,F1237))</f>
        <v>KATSEYE</v>
      </c>
      <c r="I1237" s="6" t="str">
        <f aca="false">IF(F1237=0,"NOT FOUND",INDEX('All Song Rankings'!$D:$D,F1237))</f>
        <v>Stephanie</v>
      </c>
      <c r="J1237" s="7" t="str">
        <f aca="false">IF(F1237=0,"NOT FOUND",IF(C1237=I1237,"SELF-VOTE",IF(COUNTIF($K:$K,K1237)&gt;1,"DUPLICATE","OK")))</f>
        <v>OK</v>
      </c>
      <c r="K1237" s="6" t="str">
        <f aca="false">A1237&amp;"|"&amp;B1237&amp;"|"&amp;C1237&amp;"|"&amp;D1237</f>
        <v>3|1|Matt|spotify:track:1xOqGUkyxGQRdCvGpvWKmL</v>
      </c>
    </row>
    <row r="1238" customFormat="false" ht="15" hidden="false" customHeight="false" outlineLevel="0" collapsed="false">
      <c r="A1238" s="5" t="n">
        <v>3</v>
      </c>
      <c r="B1238" s="5" t="n">
        <v>1</v>
      </c>
      <c r="C1238" s="5" t="s">
        <v>116</v>
      </c>
      <c r="D1238" s="5" t="s">
        <v>703</v>
      </c>
      <c r="E1238" s="5" t="n">
        <v>1</v>
      </c>
      <c r="F1238" s="6" t="n">
        <f aca="false">IFERROR(MATCH(A1238&amp;"|"&amp;B1238&amp;"|"&amp;D1238,'All Song Rankings'!$T:$T,0),0)</f>
        <v>200</v>
      </c>
      <c r="G1238" s="6" t="str">
        <f aca="false">IF(F1238=0,"NOT FOUND",INDEX('All Song Rankings'!$A:$A,F1238))</f>
        <v>Sally, When The Wine Runs Out</v>
      </c>
      <c r="H1238" s="6" t="str">
        <f aca="false">IF(F1238=0,"NOT FOUND",INDEX('All Song Rankings'!$B:$B,F1238))</f>
        <v>ROLE MODEL</v>
      </c>
      <c r="I1238" s="6" t="str">
        <f aca="false">IF(F1238=0,"NOT FOUND",INDEX('All Song Rankings'!$D:$D,F1238))</f>
        <v>Logan</v>
      </c>
      <c r="J1238" s="7" t="str">
        <f aca="false">IF(F1238=0,"NOT FOUND",IF(C1238=I1238,"SELF-VOTE",IF(COUNTIF($K:$K,K1238)&gt;1,"DUPLICATE","OK")))</f>
        <v>OK</v>
      </c>
      <c r="K1238" s="6" t="str">
        <f aca="false">A1238&amp;"|"&amp;B1238&amp;"|"&amp;C1238&amp;"|"&amp;D1238</f>
        <v>3|1|Matt|spotify:track:2J051fjLklkoPbzOoTAACZ</v>
      </c>
    </row>
    <row r="1239" customFormat="false" ht="15" hidden="false" customHeight="false" outlineLevel="0" collapsed="false">
      <c r="A1239" s="5" t="n">
        <v>3</v>
      </c>
      <c r="B1239" s="5" t="n">
        <v>1</v>
      </c>
      <c r="C1239" s="5" t="s">
        <v>116</v>
      </c>
      <c r="D1239" s="5" t="s">
        <v>720</v>
      </c>
      <c r="E1239" s="5" t="n">
        <v>1</v>
      </c>
      <c r="F1239" s="6" t="n">
        <f aca="false">IFERROR(MATCH(A1239&amp;"|"&amp;B1239&amp;"|"&amp;D1239,'All Song Rankings'!$T:$T,0),0)</f>
        <v>205</v>
      </c>
      <c r="G1239" s="6" t="str">
        <f aca="false">IF(F1239=0,"NOT FOUND",INDEX('All Song Rankings'!$A:$A,F1239))</f>
        <v>Politix</v>
      </c>
      <c r="H1239" s="6" t="str">
        <f aca="false">IF(F1239=0,"NOT FOUND",INDEX('All Song Rankings'!$B:$B,F1239))</f>
        <v>Balu Brigada</v>
      </c>
      <c r="I1239" s="6" t="str">
        <f aca="false">IF(F1239=0,"NOT FOUND",INDEX('All Song Rankings'!$D:$D,F1239))</f>
        <v>Christine</v>
      </c>
      <c r="J1239" s="7" t="str">
        <f aca="false">IF(F1239=0,"NOT FOUND",IF(C1239=I1239,"SELF-VOTE",IF(COUNTIF($K:$K,K1239)&gt;1,"DUPLICATE","OK")))</f>
        <v>OK</v>
      </c>
      <c r="K1239" s="6" t="str">
        <f aca="false">A1239&amp;"|"&amp;B1239&amp;"|"&amp;C1239&amp;"|"&amp;D1239</f>
        <v>3|1|Matt|spotify:track:2rSp12ZJ679lU7dalojvVZ</v>
      </c>
    </row>
    <row r="1240" customFormat="false" ht="15" hidden="false" customHeight="false" outlineLevel="0" collapsed="false">
      <c r="A1240" s="5" t="n">
        <v>3</v>
      </c>
      <c r="B1240" s="5" t="n">
        <v>1</v>
      </c>
      <c r="C1240" s="5" t="s">
        <v>116</v>
      </c>
      <c r="D1240" s="5" t="s">
        <v>712</v>
      </c>
      <c r="E1240" s="5" t="n">
        <v>1</v>
      </c>
      <c r="F1240" s="6" t="n">
        <f aca="false">IFERROR(MATCH(A1240&amp;"|"&amp;B1240&amp;"|"&amp;D1240,'All Song Rankings'!$T:$T,0),0)</f>
        <v>203</v>
      </c>
      <c r="G1240" s="6" t="str">
        <f aca="false">IF(F1240=0,"NOT FOUND",INDEX('All Song Rankings'!$A:$A,F1240))</f>
        <v>The Weather</v>
      </c>
      <c r="H1240" s="6" t="str">
        <f aca="false">IF(F1240=0,"NOT FOUND",INDEX('All Song Rankings'!$B:$B,F1240))</f>
        <v>All Time Low</v>
      </c>
      <c r="I1240" s="6" t="str">
        <f aca="false">IF(F1240=0,"NOT FOUND",INDEX('All Song Rankings'!$D:$D,F1240))</f>
        <v>Colleen</v>
      </c>
      <c r="J1240" s="7" t="str">
        <f aca="false">IF(F1240=0,"NOT FOUND",IF(C1240=I1240,"SELF-VOTE",IF(COUNTIF($K:$K,K1240)&gt;1,"DUPLICATE","OK")))</f>
        <v>OK</v>
      </c>
      <c r="K1240" s="6" t="str">
        <f aca="false">A1240&amp;"|"&amp;B1240&amp;"|"&amp;C1240&amp;"|"&amp;D1240</f>
        <v>3|1|Matt|spotify:track:6LElFVShkmWQRVNBfj9Zsw</v>
      </c>
    </row>
    <row r="1241" customFormat="false" ht="15" hidden="false" customHeight="false" outlineLevel="0" collapsed="false">
      <c r="A1241" s="5" t="n">
        <v>3</v>
      </c>
      <c r="B1241" s="5" t="n">
        <v>1</v>
      </c>
      <c r="C1241" s="5" t="s">
        <v>116</v>
      </c>
      <c r="D1241" s="5" t="s">
        <v>688</v>
      </c>
      <c r="E1241" s="5" t="n">
        <v>1</v>
      </c>
      <c r="F1241" s="6" t="n">
        <f aca="false">IFERROR(MATCH(A1241&amp;"|"&amp;B1241&amp;"|"&amp;D1241,'All Song Rankings'!$T:$T,0),0)</f>
        <v>193</v>
      </c>
      <c r="G1241" s="6" t="str">
        <f aca="false">IF(F1241=0,"NOT FOUND",INDEX('All Song Rankings'!$A:$A,F1241))</f>
        <v>Happen To Me (feat. Jonas Brothers)</v>
      </c>
      <c r="H1241" s="6" t="str">
        <f aca="false">IF(F1241=0,"NOT FOUND",INDEX('All Song Rankings'!$B:$B,F1241))</f>
        <v>Russell Dickerson, Jonas Brothers</v>
      </c>
      <c r="I1241" s="6" t="str">
        <f aca="false">IF(F1241=0,"NOT FOUND",INDEX('All Song Rankings'!$D:$D,F1241))</f>
        <v>Kelsey</v>
      </c>
      <c r="J1241" s="7" t="str">
        <f aca="false">IF(F1241=0,"NOT FOUND",IF(C1241=I1241,"SELF-VOTE",IF(COUNTIF($K:$K,K1241)&gt;1,"DUPLICATE","OK")))</f>
        <v>OK</v>
      </c>
      <c r="K1241" s="6" t="str">
        <f aca="false">A1241&amp;"|"&amp;B1241&amp;"|"&amp;C1241&amp;"|"&amp;D1241</f>
        <v>3|1|Matt|spotify:track:6XxFrC6s8An9ZZ52uAN4AV</v>
      </c>
    </row>
    <row r="1242" customFormat="false" ht="15" hidden="false" customHeight="false" outlineLevel="0" collapsed="false">
      <c r="A1242" s="5" t="n">
        <v>3</v>
      </c>
      <c r="B1242" s="5" t="n">
        <v>1</v>
      </c>
      <c r="C1242" s="5" t="s">
        <v>116</v>
      </c>
      <c r="D1242" s="5" t="s">
        <v>693</v>
      </c>
      <c r="E1242" s="5" t="n">
        <v>1</v>
      </c>
      <c r="F1242" s="6" t="n">
        <f aca="false">IFERROR(MATCH(A1242&amp;"|"&amp;B1242&amp;"|"&amp;D1242,'All Song Rankings'!$T:$T,0),0)</f>
        <v>196</v>
      </c>
      <c r="G1242" s="6" t="str">
        <f aca="false">IF(F1242=0,"NOT FOUND",INDEX('All Song Rankings'!$A:$A,F1242))</f>
        <v>Ordinary</v>
      </c>
      <c r="H1242" s="6" t="str">
        <f aca="false">IF(F1242=0,"NOT FOUND",INDEX('All Song Rankings'!$B:$B,F1242))</f>
        <v>Alex Warren</v>
      </c>
      <c r="I1242" s="6" t="str">
        <f aca="false">IF(F1242=0,"NOT FOUND",INDEX('All Song Rankings'!$D:$D,F1242))</f>
        <v>Aubrey</v>
      </c>
      <c r="J1242" s="7" t="str">
        <f aca="false">IF(F1242=0,"NOT FOUND",IF(C1242=I1242,"SELF-VOTE",IF(COUNTIF($K:$K,K1242)&gt;1,"DUPLICATE","OK")))</f>
        <v>OK</v>
      </c>
      <c r="K1242" s="6" t="str">
        <f aca="false">A1242&amp;"|"&amp;B1242&amp;"|"&amp;C1242&amp;"|"&amp;D1242</f>
        <v>3|1|Matt|spotify:track:6qqrTXSdwiJaq8SO0X2lSe</v>
      </c>
    </row>
    <row r="1243" customFormat="false" ht="15" hidden="false" customHeight="false" outlineLevel="0" collapsed="false">
      <c r="A1243" s="5" t="n">
        <v>3</v>
      </c>
      <c r="B1243" s="5" t="n">
        <v>1</v>
      </c>
      <c r="C1243" s="5" t="s">
        <v>116</v>
      </c>
      <c r="D1243" s="5" t="s">
        <v>698</v>
      </c>
      <c r="E1243" s="5" t="n">
        <v>1</v>
      </c>
      <c r="F1243" s="6" t="n">
        <f aca="false">IFERROR(MATCH(A1243&amp;"|"&amp;B1243&amp;"|"&amp;D1243,'All Song Rankings'!$T:$T,0),0)</f>
        <v>198</v>
      </c>
      <c r="G1243" s="6" t="str">
        <f aca="false">IF(F1243=0,"NOT FOUND",INDEX('All Song Rankings'!$A:$A,F1243))</f>
        <v>waste away</v>
      </c>
      <c r="H1243" s="6" t="str">
        <f aca="false">IF(F1243=0,"NOT FOUND",INDEX('All Song Rankings'!$B:$B,F1243))</f>
        <v>saturdays at your place</v>
      </c>
      <c r="I1243" s="6" t="str">
        <f aca="false">IF(F1243=0,"NOT FOUND",INDEX('All Song Rankings'!$D:$D,F1243))</f>
        <v>Scott</v>
      </c>
      <c r="J1243" s="7" t="str">
        <f aca="false">IF(F1243=0,"NOT FOUND",IF(C1243=I1243,"SELF-VOTE",IF(COUNTIF($K:$K,K1243)&gt;1,"DUPLICATE","OK")))</f>
        <v>OK</v>
      </c>
      <c r="K1243" s="6" t="str">
        <f aca="false">A1243&amp;"|"&amp;B1243&amp;"|"&amp;C1243&amp;"|"&amp;D1243</f>
        <v>3|1|Matt|spotify:track:7qscY7sKAaGZynXbDyeMH3</v>
      </c>
    </row>
    <row r="1244" customFormat="false" ht="15" hidden="false" customHeight="false" outlineLevel="0" collapsed="false">
      <c r="A1244" s="5" t="n">
        <v>3</v>
      </c>
      <c r="B1244" s="5" t="n">
        <v>1</v>
      </c>
      <c r="C1244" s="5" t="s">
        <v>101</v>
      </c>
      <c r="D1244" s="5" t="s">
        <v>700</v>
      </c>
      <c r="E1244" s="5" t="n">
        <v>1</v>
      </c>
      <c r="F1244" s="6" t="n">
        <f aca="false">IFERROR(MATCH(A1244&amp;"|"&amp;B1244&amp;"|"&amp;D1244,'All Song Rankings'!$T:$T,0),0)</f>
        <v>199</v>
      </c>
      <c r="G1244" s="6" t="str">
        <f aca="false">IF(F1244=0,"NOT FOUND",INDEX('All Song Rankings'!$A:$A,F1244))</f>
        <v>Caramel</v>
      </c>
      <c r="H1244" s="6" t="str">
        <f aca="false">IF(F1244=0,"NOT FOUND",INDEX('All Song Rankings'!$B:$B,F1244))</f>
        <v>Sleep Token</v>
      </c>
      <c r="I1244" s="6" t="str">
        <f aca="false">IF(F1244=0,"NOT FOUND",INDEX('All Song Rankings'!$D:$D,F1244))</f>
        <v>Kristen</v>
      </c>
      <c r="J1244" s="7" t="str">
        <f aca="false">IF(F1244=0,"NOT FOUND",IF(C1244=I1244,"SELF-VOTE",IF(COUNTIF($K:$K,K1244)&gt;1,"DUPLICATE","OK")))</f>
        <v>OK</v>
      </c>
      <c r="K1244" s="6" t="str">
        <f aca="false">A1244&amp;"|"&amp;B1244&amp;"|"&amp;C1244&amp;"|"&amp;D1244</f>
        <v>3|1|Merita|spotify:track:1QrbZhFYlViXd60g130vw1</v>
      </c>
    </row>
    <row r="1245" customFormat="false" ht="15" hidden="false" customHeight="false" outlineLevel="0" collapsed="false">
      <c r="A1245" s="5" t="n">
        <v>3</v>
      </c>
      <c r="B1245" s="5" t="n">
        <v>1</v>
      </c>
      <c r="C1245" s="5" t="s">
        <v>101</v>
      </c>
      <c r="D1245" s="5" t="s">
        <v>691</v>
      </c>
      <c r="E1245" s="5" t="n">
        <v>2</v>
      </c>
      <c r="F1245" s="6" t="n">
        <f aca="false">IFERROR(MATCH(A1245&amp;"|"&amp;B1245&amp;"|"&amp;D1245,'All Song Rankings'!$T:$T,0),0)</f>
        <v>194</v>
      </c>
      <c r="G1245" s="6" t="str">
        <f aca="false">IF(F1245=0,"NOT FOUND",INDEX('All Song Rankings'!$A:$A,F1245))</f>
        <v>Man I Need</v>
      </c>
      <c r="H1245" s="6" t="str">
        <f aca="false">IF(F1245=0,"NOT FOUND",INDEX('All Song Rankings'!$B:$B,F1245))</f>
        <v>Olivia Dean</v>
      </c>
      <c r="I1245" s="6" t="str">
        <f aca="false">IF(F1245=0,"NOT FOUND",INDEX('All Song Rankings'!$D:$D,F1245))</f>
        <v>Grace</v>
      </c>
      <c r="J1245" s="7" t="str">
        <f aca="false">IF(F1245=0,"NOT FOUND",IF(C1245=I1245,"SELF-VOTE",IF(COUNTIF($K:$K,K1245)&gt;1,"DUPLICATE","OK")))</f>
        <v>OK</v>
      </c>
      <c r="K1245" s="6" t="str">
        <f aca="false">A1245&amp;"|"&amp;B1245&amp;"|"&amp;C1245&amp;"|"&amp;D1245</f>
        <v>3|1|Merita|spotify:track:1qbmS6ep2hbBRaEZFpn7BX</v>
      </c>
    </row>
    <row r="1246" customFormat="false" ht="15" hidden="false" customHeight="false" outlineLevel="0" collapsed="false">
      <c r="A1246" s="5" t="n">
        <v>3</v>
      </c>
      <c r="B1246" s="5" t="n">
        <v>1</v>
      </c>
      <c r="C1246" s="5" t="s">
        <v>101</v>
      </c>
      <c r="D1246" s="5" t="s">
        <v>709</v>
      </c>
      <c r="E1246" s="5" t="n">
        <v>1</v>
      </c>
      <c r="F1246" s="6" t="n">
        <f aca="false">IFERROR(MATCH(A1246&amp;"|"&amp;B1246&amp;"|"&amp;D1246,'All Song Rankings'!$T:$T,0),0)</f>
        <v>202</v>
      </c>
      <c r="G1246" s="6" t="str">
        <f aca="false">IF(F1246=0,"NOT FOUND",INDEX('All Song Rankings'!$A:$A,F1246))</f>
        <v>Gabriela</v>
      </c>
      <c r="H1246" s="6" t="str">
        <f aca="false">IF(F1246=0,"NOT FOUND",INDEX('All Song Rankings'!$B:$B,F1246))</f>
        <v>KATSEYE</v>
      </c>
      <c r="I1246" s="6" t="str">
        <f aca="false">IF(F1246=0,"NOT FOUND",INDEX('All Song Rankings'!$D:$D,F1246))</f>
        <v>Stephanie</v>
      </c>
      <c r="J1246" s="7" t="str">
        <f aca="false">IF(F1246=0,"NOT FOUND",IF(C1246=I1246,"SELF-VOTE",IF(COUNTIF($K:$K,K1246)&gt;1,"DUPLICATE","OK")))</f>
        <v>OK</v>
      </c>
      <c r="K1246" s="6" t="str">
        <f aca="false">A1246&amp;"|"&amp;B1246&amp;"|"&amp;C1246&amp;"|"&amp;D1246</f>
        <v>3|1|Merita|spotify:track:1xOqGUkyxGQRdCvGpvWKmL</v>
      </c>
    </row>
    <row r="1247" customFormat="false" ht="15" hidden="false" customHeight="false" outlineLevel="0" collapsed="false">
      <c r="A1247" s="5" t="n">
        <v>3</v>
      </c>
      <c r="B1247" s="5" t="n">
        <v>1</v>
      </c>
      <c r="C1247" s="5" t="s">
        <v>101</v>
      </c>
      <c r="D1247" s="5" t="s">
        <v>715</v>
      </c>
      <c r="E1247" s="5" t="n">
        <v>1</v>
      </c>
      <c r="F1247" s="6" t="n">
        <f aca="false">IFERROR(MATCH(A1247&amp;"|"&amp;B1247&amp;"|"&amp;D1247,'All Song Rankings'!$T:$T,0),0)</f>
        <v>204</v>
      </c>
      <c r="G1247" s="6" t="str">
        <f aca="false">IF(F1247=0,"NOT FOUND",INDEX('All Song Rankings'!$A:$A,F1247))</f>
        <v>DtMF</v>
      </c>
      <c r="H1247" s="6" t="str">
        <f aca="false">IF(F1247=0,"NOT FOUND",INDEX('All Song Rankings'!$B:$B,F1247))</f>
        <v>Bad Bunny</v>
      </c>
      <c r="I1247" s="6" t="str">
        <f aca="false">IF(F1247=0,"NOT FOUND",INDEX('All Song Rankings'!$D:$D,F1247))</f>
        <v>Matt</v>
      </c>
      <c r="J1247" s="7" t="str">
        <f aca="false">IF(F1247=0,"NOT FOUND",IF(C1247=I1247,"SELF-VOTE",IF(COUNTIF($K:$K,K1247)&gt;1,"DUPLICATE","OK")))</f>
        <v>OK</v>
      </c>
      <c r="K1247" s="6" t="str">
        <f aca="false">A1247&amp;"|"&amp;B1247&amp;"|"&amp;C1247&amp;"|"&amp;D1247</f>
        <v>3|1|Merita|spotify:track:3sK8wGT43QFpWrvNQsrQya</v>
      </c>
    </row>
    <row r="1248" customFormat="false" ht="15" hidden="false" customHeight="false" outlineLevel="0" collapsed="false">
      <c r="A1248" s="5" t="n">
        <v>3</v>
      </c>
      <c r="B1248" s="5" t="n">
        <v>1</v>
      </c>
      <c r="C1248" s="5" t="s">
        <v>101</v>
      </c>
      <c r="D1248" s="5" t="s">
        <v>712</v>
      </c>
      <c r="E1248" s="5" t="n">
        <v>1</v>
      </c>
      <c r="F1248" s="6" t="n">
        <f aca="false">IFERROR(MATCH(A1248&amp;"|"&amp;B1248&amp;"|"&amp;D1248,'All Song Rankings'!$T:$T,0),0)</f>
        <v>203</v>
      </c>
      <c r="G1248" s="6" t="str">
        <f aca="false">IF(F1248=0,"NOT FOUND",INDEX('All Song Rankings'!$A:$A,F1248))</f>
        <v>The Weather</v>
      </c>
      <c r="H1248" s="6" t="str">
        <f aca="false">IF(F1248=0,"NOT FOUND",INDEX('All Song Rankings'!$B:$B,F1248))</f>
        <v>All Time Low</v>
      </c>
      <c r="I1248" s="6" t="str">
        <f aca="false">IF(F1248=0,"NOT FOUND",INDEX('All Song Rankings'!$D:$D,F1248))</f>
        <v>Colleen</v>
      </c>
      <c r="J1248" s="7" t="str">
        <f aca="false">IF(F1248=0,"NOT FOUND",IF(C1248=I1248,"SELF-VOTE",IF(COUNTIF($K:$K,K1248)&gt;1,"DUPLICATE","OK")))</f>
        <v>OK</v>
      </c>
      <c r="K1248" s="6" t="str">
        <f aca="false">A1248&amp;"|"&amp;B1248&amp;"|"&amp;C1248&amp;"|"&amp;D1248</f>
        <v>3|1|Merita|spotify:track:6LElFVShkmWQRVNBfj9Zsw</v>
      </c>
    </row>
    <row r="1249" customFormat="false" ht="15" hidden="false" customHeight="false" outlineLevel="0" collapsed="false">
      <c r="A1249" s="5" t="n">
        <v>3</v>
      </c>
      <c r="B1249" s="5" t="n">
        <v>1</v>
      </c>
      <c r="C1249" s="5" t="s">
        <v>101</v>
      </c>
      <c r="D1249" s="5" t="s">
        <v>688</v>
      </c>
      <c r="E1249" s="5" t="n">
        <v>1</v>
      </c>
      <c r="F1249" s="6" t="n">
        <f aca="false">IFERROR(MATCH(A1249&amp;"|"&amp;B1249&amp;"|"&amp;D1249,'All Song Rankings'!$T:$T,0),0)</f>
        <v>193</v>
      </c>
      <c r="G1249" s="6" t="str">
        <f aca="false">IF(F1249=0,"NOT FOUND",INDEX('All Song Rankings'!$A:$A,F1249))</f>
        <v>Happen To Me (feat. Jonas Brothers)</v>
      </c>
      <c r="H1249" s="6" t="str">
        <f aca="false">IF(F1249=0,"NOT FOUND",INDEX('All Song Rankings'!$B:$B,F1249))</f>
        <v>Russell Dickerson, Jonas Brothers</v>
      </c>
      <c r="I1249" s="6" t="str">
        <f aca="false">IF(F1249=0,"NOT FOUND",INDEX('All Song Rankings'!$D:$D,F1249))</f>
        <v>Kelsey</v>
      </c>
      <c r="J1249" s="7" t="str">
        <f aca="false">IF(F1249=0,"NOT FOUND",IF(C1249=I1249,"SELF-VOTE",IF(COUNTIF($K:$K,K1249)&gt;1,"DUPLICATE","OK")))</f>
        <v>OK</v>
      </c>
      <c r="K1249" s="6" t="str">
        <f aca="false">A1249&amp;"|"&amp;B1249&amp;"|"&amp;C1249&amp;"|"&amp;D1249</f>
        <v>3|1|Merita|spotify:track:6XxFrC6s8An9ZZ52uAN4AV</v>
      </c>
    </row>
    <row r="1250" customFormat="false" ht="15" hidden="false" customHeight="false" outlineLevel="0" collapsed="false">
      <c r="A1250" s="5" t="n">
        <v>3</v>
      </c>
      <c r="B1250" s="5" t="n">
        <v>1</v>
      </c>
      <c r="C1250" s="5" t="s">
        <v>101</v>
      </c>
      <c r="D1250" s="5" t="s">
        <v>693</v>
      </c>
      <c r="E1250" s="5" t="n">
        <v>1</v>
      </c>
      <c r="F1250" s="6" t="n">
        <f aca="false">IFERROR(MATCH(A1250&amp;"|"&amp;B1250&amp;"|"&amp;D1250,'All Song Rankings'!$T:$T,0),0)</f>
        <v>196</v>
      </c>
      <c r="G1250" s="6" t="str">
        <f aca="false">IF(F1250=0,"NOT FOUND",INDEX('All Song Rankings'!$A:$A,F1250))</f>
        <v>Ordinary</v>
      </c>
      <c r="H1250" s="6" t="str">
        <f aca="false">IF(F1250=0,"NOT FOUND",INDEX('All Song Rankings'!$B:$B,F1250))</f>
        <v>Alex Warren</v>
      </c>
      <c r="I1250" s="6" t="str">
        <f aca="false">IF(F1250=0,"NOT FOUND",INDEX('All Song Rankings'!$D:$D,F1250))</f>
        <v>Aubrey</v>
      </c>
      <c r="J1250" s="7" t="str">
        <f aca="false">IF(F1250=0,"NOT FOUND",IF(C1250=I1250,"SELF-VOTE",IF(COUNTIF($K:$K,K1250)&gt;1,"DUPLICATE","OK")))</f>
        <v>OK</v>
      </c>
      <c r="K1250" s="6" t="str">
        <f aca="false">A1250&amp;"|"&amp;B1250&amp;"|"&amp;C1250&amp;"|"&amp;D1250</f>
        <v>3|1|Merita|spotify:track:6qqrTXSdwiJaq8SO0X2lSe</v>
      </c>
    </row>
    <row r="1251" customFormat="false" ht="15" hidden="false" customHeight="false" outlineLevel="0" collapsed="false">
      <c r="A1251" s="5" t="n">
        <v>3</v>
      </c>
      <c r="B1251" s="5" t="n">
        <v>1</v>
      </c>
      <c r="C1251" s="5" t="s">
        <v>101</v>
      </c>
      <c r="D1251" s="5" t="s">
        <v>706</v>
      </c>
      <c r="E1251" s="5" t="n">
        <v>1</v>
      </c>
      <c r="F1251" s="6" t="n">
        <f aca="false">IFERROR(MATCH(A1251&amp;"|"&amp;B1251&amp;"|"&amp;D1251,'All Song Rankings'!$T:$T,0),0)</f>
        <v>201</v>
      </c>
      <c r="G1251" s="6" t="str">
        <f aca="false">IF(F1251=0,"NOT FOUND",INDEX('All Song Rankings'!$A:$A,F1251))</f>
        <v>Nice To Each Other</v>
      </c>
      <c r="H1251" s="6" t="str">
        <f aca="false">IF(F1251=0,"NOT FOUND",INDEX('All Song Rankings'!$B:$B,F1251))</f>
        <v>Olivia Dean</v>
      </c>
      <c r="I1251" s="6" t="str">
        <f aca="false">IF(F1251=0,"NOT FOUND",INDEX('All Song Rankings'!$D:$D,F1251))</f>
        <v>Lisa</v>
      </c>
      <c r="J1251" s="7" t="str">
        <f aca="false">IF(F1251=0,"NOT FOUND",IF(C1251=I1251,"SELF-VOTE",IF(COUNTIF($K:$K,K1251)&gt;1,"DUPLICATE","OK")))</f>
        <v>OK</v>
      </c>
      <c r="K1251" s="6" t="str">
        <f aca="false">A1251&amp;"|"&amp;B1251&amp;"|"&amp;C1251&amp;"|"&amp;D1251</f>
        <v>3|1|Merita|spotify:track:7gKxCvTDWwV9wBhdeBbr3l</v>
      </c>
    </row>
    <row r="1252" customFormat="false" ht="15" hidden="false" customHeight="false" outlineLevel="0" collapsed="false">
      <c r="A1252" s="5" t="n">
        <v>3</v>
      </c>
      <c r="B1252" s="5" t="n">
        <v>1</v>
      </c>
      <c r="C1252" s="5" t="s">
        <v>101</v>
      </c>
      <c r="D1252" s="5" t="s">
        <v>698</v>
      </c>
      <c r="E1252" s="5" t="n">
        <v>1</v>
      </c>
      <c r="F1252" s="6" t="n">
        <f aca="false">IFERROR(MATCH(A1252&amp;"|"&amp;B1252&amp;"|"&amp;D1252,'All Song Rankings'!$T:$T,0),0)</f>
        <v>198</v>
      </c>
      <c r="G1252" s="6" t="str">
        <f aca="false">IF(F1252=0,"NOT FOUND",INDEX('All Song Rankings'!$A:$A,F1252))</f>
        <v>waste away</v>
      </c>
      <c r="H1252" s="6" t="str">
        <f aca="false">IF(F1252=0,"NOT FOUND",INDEX('All Song Rankings'!$B:$B,F1252))</f>
        <v>saturdays at your place</v>
      </c>
      <c r="I1252" s="6" t="str">
        <f aca="false">IF(F1252=0,"NOT FOUND",INDEX('All Song Rankings'!$D:$D,F1252))</f>
        <v>Scott</v>
      </c>
      <c r="J1252" s="7" t="str">
        <f aca="false">IF(F1252=0,"NOT FOUND",IF(C1252=I1252,"SELF-VOTE",IF(COUNTIF($K:$K,K1252)&gt;1,"DUPLICATE","OK")))</f>
        <v>OK</v>
      </c>
      <c r="K1252" s="6" t="str">
        <f aca="false">A1252&amp;"|"&amp;B1252&amp;"|"&amp;C1252&amp;"|"&amp;D1252</f>
        <v>3|1|Merita|spotify:track:7qscY7sKAaGZynXbDyeMH3</v>
      </c>
    </row>
    <row r="1253" customFormat="false" ht="15" hidden="false" customHeight="false" outlineLevel="0" collapsed="false">
      <c r="A1253" s="5" t="n">
        <v>3</v>
      </c>
      <c r="B1253" s="5" t="n">
        <v>1</v>
      </c>
      <c r="C1253" s="5" t="s">
        <v>92</v>
      </c>
      <c r="D1253" s="5" t="s">
        <v>336</v>
      </c>
      <c r="E1253" s="5" t="n">
        <v>1</v>
      </c>
      <c r="F1253" s="6" t="n">
        <f aca="false">IFERROR(MATCH(A1253&amp;"|"&amp;B1253&amp;"|"&amp;D1253,'All Song Rankings'!$T:$T,0),0)</f>
        <v>195</v>
      </c>
      <c r="G1253" s="6" t="str">
        <f aca="false">IF(F1253=0,"NOT FOUND",INDEX('All Song Rankings'!$A:$A,F1253))</f>
        <v>Golden</v>
      </c>
      <c r="H1253" s="6" t="str">
        <f aca="false">IF(F1253=0,"NOT FOUND",INDEX('All Song Rankings'!$B:$B,F1253))</f>
        <v>HUNTR/X</v>
      </c>
      <c r="I1253" s="6" t="str">
        <f aca="false">IF(F1253=0,"NOT FOUND",INDEX('All Song Rankings'!$D:$D,F1253))</f>
        <v>Leah</v>
      </c>
      <c r="J1253" s="7" t="str">
        <f aca="false">IF(F1253=0,"NOT FOUND",IF(C1253=I1253,"SELF-VOTE",IF(COUNTIF($K:$K,K1253)&gt;1,"DUPLICATE","OK")))</f>
        <v>OK</v>
      </c>
      <c r="K1253" s="6" t="str">
        <f aca="false">A1253&amp;"|"&amp;B1253&amp;"|"&amp;C1253&amp;"|"&amp;D1253</f>
        <v>3|1|Nicole|spotify:track:1CPZ5BxNNd0n0nF4Orb9JS</v>
      </c>
    </row>
    <row r="1254" customFormat="false" ht="15" hidden="false" customHeight="false" outlineLevel="0" collapsed="false">
      <c r="A1254" s="5" t="n">
        <v>3</v>
      </c>
      <c r="B1254" s="5" t="n">
        <v>1</v>
      </c>
      <c r="C1254" s="5" t="s">
        <v>92</v>
      </c>
      <c r="D1254" s="5" t="s">
        <v>691</v>
      </c>
      <c r="E1254" s="5" t="n">
        <v>1</v>
      </c>
      <c r="F1254" s="6" t="n">
        <f aca="false">IFERROR(MATCH(A1254&amp;"|"&amp;B1254&amp;"|"&amp;D1254,'All Song Rankings'!$T:$T,0),0)</f>
        <v>194</v>
      </c>
      <c r="G1254" s="6" t="str">
        <f aca="false">IF(F1254=0,"NOT FOUND",INDEX('All Song Rankings'!$A:$A,F1254))</f>
        <v>Man I Need</v>
      </c>
      <c r="H1254" s="6" t="str">
        <f aca="false">IF(F1254=0,"NOT FOUND",INDEX('All Song Rankings'!$B:$B,F1254))</f>
        <v>Olivia Dean</v>
      </c>
      <c r="I1254" s="6" t="str">
        <f aca="false">IF(F1254=0,"NOT FOUND",INDEX('All Song Rankings'!$D:$D,F1254))</f>
        <v>Grace</v>
      </c>
      <c r="J1254" s="7" t="str">
        <f aca="false">IF(F1254=0,"NOT FOUND",IF(C1254=I1254,"SELF-VOTE",IF(COUNTIF($K:$K,K1254)&gt;1,"DUPLICATE","OK")))</f>
        <v>OK</v>
      </c>
      <c r="K1254" s="6" t="str">
        <f aca="false">A1254&amp;"|"&amp;B1254&amp;"|"&amp;C1254&amp;"|"&amp;D1254</f>
        <v>3|1|Nicole|spotify:track:1qbmS6ep2hbBRaEZFpn7BX</v>
      </c>
    </row>
    <row r="1255" customFormat="false" ht="15" hidden="false" customHeight="false" outlineLevel="0" collapsed="false">
      <c r="A1255" s="5" t="n">
        <v>3</v>
      </c>
      <c r="B1255" s="5" t="n">
        <v>1</v>
      </c>
      <c r="C1255" s="5" t="s">
        <v>92</v>
      </c>
      <c r="D1255" s="5" t="s">
        <v>709</v>
      </c>
      <c r="E1255" s="5" t="n">
        <v>1</v>
      </c>
      <c r="F1255" s="6" t="n">
        <f aca="false">IFERROR(MATCH(A1255&amp;"|"&amp;B1255&amp;"|"&amp;D1255,'All Song Rankings'!$T:$T,0),0)</f>
        <v>202</v>
      </c>
      <c r="G1255" s="6" t="str">
        <f aca="false">IF(F1255=0,"NOT FOUND",INDEX('All Song Rankings'!$A:$A,F1255))</f>
        <v>Gabriela</v>
      </c>
      <c r="H1255" s="6" t="str">
        <f aca="false">IF(F1255=0,"NOT FOUND",INDEX('All Song Rankings'!$B:$B,F1255))</f>
        <v>KATSEYE</v>
      </c>
      <c r="I1255" s="6" t="str">
        <f aca="false">IF(F1255=0,"NOT FOUND",INDEX('All Song Rankings'!$D:$D,F1255))</f>
        <v>Stephanie</v>
      </c>
      <c r="J1255" s="7" t="str">
        <f aca="false">IF(F1255=0,"NOT FOUND",IF(C1255=I1255,"SELF-VOTE",IF(COUNTIF($K:$K,K1255)&gt;1,"DUPLICATE","OK")))</f>
        <v>OK</v>
      </c>
      <c r="K1255" s="6" t="str">
        <f aca="false">A1255&amp;"|"&amp;B1255&amp;"|"&amp;C1255&amp;"|"&amp;D1255</f>
        <v>3|1|Nicole|spotify:track:1xOqGUkyxGQRdCvGpvWKmL</v>
      </c>
    </row>
    <row r="1256" customFormat="false" ht="15" hidden="false" customHeight="false" outlineLevel="0" collapsed="false">
      <c r="A1256" s="5" t="n">
        <v>3</v>
      </c>
      <c r="B1256" s="5" t="n">
        <v>1</v>
      </c>
      <c r="C1256" s="5" t="s">
        <v>92</v>
      </c>
      <c r="D1256" s="5" t="s">
        <v>703</v>
      </c>
      <c r="E1256" s="5" t="n">
        <v>1</v>
      </c>
      <c r="F1256" s="6" t="n">
        <f aca="false">IFERROR(MATCH(A1256&amp;"|"&amp;B1256&amp;"|"&amp;D1256,'All Song Rankings'!$T:$T,0),0)</f>
        <v>200</v>
      </c>
      <c r="G1256" s="6" t="str">
        <f aca="false">IF(F1256=0,"NOT FOUND",INDEX('All Song Rankings'!$A:$A,F1256))</f>
        <v>Sally, When The Wine Runs Out</v>
      </c>
      <c r="H1256" s="6" t="str">
        <f aca="false">IF(F1256=0,"NOT FOUND",INDEX('All Song Rankings'!$B:$B,F1256))</f>
        <v>ROLE MODEL</v>
      </c>
      <c r="I1256" s="6" t="str">
        <f aca="false">IF(F1256=0,"NOT FOUND",INDEX('All Song Rankings'!$D:$D,F1256))</f>
        <v>Logan</v>
      </c>
      <c r="J1256" s="7" t="str">
        <f aca="false">IF(F1256=0,"NOT FOUND",IF(C1256=I1256,"SELF-VOTE",IF(COUNTIF($K:$K,K1256)&gt;1,"DUPLICATE","OK")))</f>
        <v>OK</v>
      </c>
      <c r="K1256" s="6" t="str">
        <f aca="false">A1256&amp;"|"&amp;B1256&amp;"|"&amp;C1256&amp;"|"&amp;D1256</f>
        <v>3|1|Nicole|spotify:track:2J051fjLklkoPbzOoTAACZ</v>
      </c>
    </row>
    <row r="1257" customFormat="false" ht="15" hidden="false" customHeight="false" outlineLevel="0" collapsed="false">
      <c r="A1257" s="5" t="n">
        <v>3</v>
      </c>
      <c r="B1257" s="5" t="n">
        <v>1</v>
      </c>
      <c r="C1257" s="5" t="s">
        <v>92</v>
      </c>
      <c r="D1257" s="5" t="s">
        <v>695</v>
      </c>
      <c r="E1257" s="5" t="n">
        <v>1</v>
      </c>
      <c r="F1257" s="6" t="n">
        <f aca="false">IFERROR(MATCH(A1257&amp;"|"&amp;B1257&amp;"|"&amp;D1257,'All Song Rankings'!$T:$T,0),0)</f>
        <v>197</v>
      </c>
      <c r="G1257" s="6" t="str">
        <f aca="false">IF(F1257=0,"NOT FOUND",INDEX('All Song Rankings'!$A:$A,F1257))</f>
        <v>Sapphire</v>
      </c>
      <c r="H1257" s="6" t="str">
        <f aca="false">IF(F1257=0,"NOT FOUND",INDEX('All Song Rankings'!$B:$B,F1257))</f>
        <v>Ed Sheeran</v>
      </c>
      <c r="I1257" s="6" t="str">
        <f aca="false">IF(F1257=0,"NOT FOUND",INDEX('All Song Rankings'!$D:$D,F1257))</f>
        <v>Makenzie</v>
      </c>
      <c r="J1257" s="7" t="str">
        <f aca="false">IF(F1257=0,"NOT FOUND",IF(C1257=I1257,"SELF-VOTE",IF(COUNTIF($K:$K,K1257)&gt;1,"DUPLICATE","OK")))</f>
        <v>OK</v>
      </c>
      <c r="K1257" s="6" t="str">
        <f aca="false">A1257&amp;"|"&amp;B1257&amp;"|"&amp;C1257&amp;"|"&amp;D1257</f>
        <v>3|1|Nicole|spotify:track:4Q0qVhFQa7j6jRKzo3HDmP</v>
      </c>
    </row>
    <row r="1258" customFormat="false" ht="15" hidden="false" customHeight="false" outlineLevel="0" collapsed="false">
      <c r="A1258" s="5" t="n">
        <v>3</v>
      </c>
      <c r="B1258" s="5" t="n">
        <v>1</v>
      </c>
      <c r="C1258" s="5" t="s">
        <v>92</v>
      </c>
      <c r="D1258" s="5" t="s">
        <v>712</v>
      </c>
      <c r="E1258" s="5" t="n">
        <v>1</v>
      </c>
      <c r="F1258" s="6" t="n">
        <f aca="false">IFERROR(MATCH(A1258&amp;"|"&amp;B1258&amp;"|"&amp;D1258,'All Song Rankings'!$T:$T,0),0)</f>
        <v>203</v>
      </c>
      <c r="G1258" s="6" t="str">
        <f aca="false">IF(F1258=0,"NOT FOUND",INDEX('All Song Rankings'!$A:$A,F1258))</f>
        <v>The Weather</v>
      </c>
      <c r="H1258" s="6" t="str">
        <f aca="false">IF(F1258=0,"NOT FOUND",INDEX('All Song Rankings'!$B:$B,F1258))</f>
        <v>All Time Low</v>
      </c>
      <c r="I1258" s="6" t="str">
        <f aca="false">IF(F1258=0,"NOT FOUND",INDEX('All Song Rankings'!$D:$D,F1258))</f>
        <v>Colleen</v>
      </c>
      <c r="J1258" s="7" t="str">
        <f aca="false">IF(F1258=0,"NOT FOUND",IF(C1258=I1258,"SELF-VOTE",IF(COUNTIF($K:$K,K1258)&gt;1,"DUPLICATE","OK")))</f>
        <v>OK</v>
      </c>
      <c r="K1258" s="6" t="str">
        <f aca="false">A1258&amp;"|"&amp;B1258&amp;"|"&amp;C1258&amp;"|"&amp;D1258</f>
        <v>3|1|Nicole|spotify:track:6LElFVShkmWQRVNBfj9Zsw</v>
      </c>
    </row>
    <row r="1259" customFormat="false" ht="15" hidden="false" customHeight="false" outlineLevel="0" collapsed="false">
      <c r="A1259" s="5" t="n">
        <v>3</v>
      </c>
      <c r="B1259" s="5" t="n">
        <v>1</v>
      </c>
      <c r="C1259" s="5" t="s">
        <v>92</v>
      </c>
      <c r="D1259" s="5" t="s">
        <v>688</v>
      </c>
      <c r="E1259" s="5" t="n">
        <v>1</v>
      </c>
      <c r="F1259" s="6" t="n">
        <f aca="false">IFERROR(MATCH(A1259&amp;"|"&amp;B1259&amp;"|"&amp;D1259,'All Song Rankings'!$T:$T,0),0)</f>
        <v>193</v>
      </c>
      <c r="G1259" s="6" t="str">
        <f aca="false">IF(F1259=0,"NOT FOUND",INDEX('All Song Rankings'!$A:$A,F1259))</f>
        <v>Happen To Me (feat. Jonas Brothers)</v>
      </c>
      <c r="H1259" s="6" t="str">
        <f aca="false">IF(F1259=0,"NOT FOUND",INDEX('All Song Rankings'!$B:$B,F1259))</f>
        <v>Russell Dickerson, Jonas Brothers</v>
      </c>
      <c r="I1259" s="6" t="str">
        <f aca="false">IF(F1259=0,"NOT FOUND",INDEX('All Song Rankings'!$D:$D,F1259))</f>
        <v>Kelsey</v>
      </c>
      <c r="J1259" s="7" t="str">
        <f aca="false">IF(F1259=0,"NOT FOUND",IF(C1259=I1259,"SELF-VOTE",IF(COUNTIF($K:$K,K1259)&gt;1,"DUPLICATE","OK")))</f>
        <v>OK</v>
      </c>
      <c r="K1259" s="6" t="str">
        <f aca="false">A1259&amp;"|"&amp;B1259&amp;"|"&amp;C1259&amp;"|"&amp;D1259</f>
        <v>3|1|Nicole|spotify:track:6XxFrC6s8An9ZZ52uAN4AV</v>
      </c>
    </row>
    <row r="1260" customFormat="false" ht="15" hidden="false" customHeight="false" outlineLevel="0" collapsed="false">
      <c r="A1260" s="5" t="n">
        <v>3</v>
      </c>
      <c r="B1260" s="5" t="n">
        <v>1</v>
      </c>
      <c r="C1260" s="5" t="s">
        <v>92</v>
      </c>
      <c r="D1260" s="5" t="s">
        <v>693</v>
      </c>
      <c r="E1260" s="5" t="n">
        <v>1</v>
      </c>
      <c r="F1260" s="6" t="n">
        <f aca="false">IFERROR(MATCH(A1260&amp;"|"&amp;B1260&amp;"|"&amp;D1260,'All Song Rankings'!$T:$T,0),0)</f>
        <v>196</v>
      </c>
      <c r="G1260" s="6" t="str">
        <f aca="false">IF(F1260=0,"NOT FOUND",INDEX('All Song Rankings'!$A:$A,F1260))</f>
        <v>Ordinary</v>
      </c>
      <c r="H1260" s="6" t="str">
        <f aca="false">IF(F1260=0,"NOT FOUND",INDEX('All Song Rankings'!$B:$B,F1260))</f>
        <v>Alex Warren</v>
      </c>
      <c r="I1260" s="6" t="str">
        <f aca="false">IF(F1260=0,"NOT FOUND",INDEX('All Song Rankings'!$D:$D,F1260))</f>
        <v>Aubrey</v>
      </c>
      <c r="J1260" s="7" t="str">
        <f aca="false">IF(F1260=0,"NOT FOUND",IF(C1260=I1260,"SELF-VOTE",IF(COUNTIF($K:$K,K1260)&gt;1,"DUPLICATE","OK")))</f>
        <v>OK</v>
      </c>
      <c r="K1260" s="6" t="str">
        <f aca="false">A1260&amp;"|"&amp;B1260&amp;"|"&amp;C1260&amp;"|"&amp;D1260</f>
        <v>3|1|Nicole|spotify:track:6qqrTXSdwiJaq8SO0X2lSe</v>
      </c>
    </row>
    <row r="1261" customFormat="false" ht="15" hidden="false" customHeight="false" outlineLevel="0" collapsed="false">
      <c r="A1261" s="5" t="n">
        <v>3</v>
      </c>
      <c r="B1261" s="5" t="n">
        <v>1</v>
      </c>
      <c r="C1261" s="5" t="s">
        <v>92</v>
      </c>
      <c r="D1261" s="5" t="s">
        <v>706</v>
      </c>
      <c r="E1261" s="5" t="n">
        <v>1</v>
      </c>
      <c r="F1261" s="6" t="n">
        <f aca="false">IFERROR(MATCH(A1261&amp;"|"&amp;B1261&amp;"|"&amp;D1261,'All Song Rankings'!$T:$T,0),0)</f>
        <v>201</v>
      </c>
      <c r="G1261" s="6" t="str">
        <f aca="false">IF(F1261=0,"NOT FOUND",INDEX('All Song Rankings'!$A:$A,F1261))</f>
        <v>Nice To Each Other</v>
      </c>
      <c r="H1261" s="6" t="str">
        <f aca="false">IF(F1261=0,"NOT FOUND",INDEX('All Song Rankings'!$B:$B,F1261))</f>
        <v>Olivia Dean</v>
      </c>
      <c r="I1261" s="6" t="str">
        <f aca="false">IF(F1261=0,"NOT FOUND",INDEX('All Song Rankings'!$D:$D,F1261))</f>
        <v>Lisa</v>
      </c>
      <c r="J1261" s="7" t="str">
        <f aca="false">IF(F1261=0,"NOT FOUND",IF(C1261=I1261,"SELF-VOTE",IF(COUNTIF($K:$K,K1261)&gt;1,"DUPLICATE","OK")))</f>
        <v>OK</v>
      </c>
      <c r="K1261" s="6" t="str">
        <f aca="false">A1261&amp;"|"&amp;B1261&amp;"|"&amp;C1261&amp;"|"&amp;D1261</f>
        <v>3|1|Nicole|spotify:track:7gKxCvTDWwV9wBhdeBbr3l</v>
      </c>
    </row>
    <row r="1262" customFormat="false" ht="15" hidden="false" customHeight="false" outlineLevel="0" collapsed="false">
      <c r="A1262" s="5" t="n">
        <v>3</v>
      </c>
      <c r="B1262" s="5" t="n">
        <v>1</v>
      </c>
      <c r="C1262" s="5" t="s">
        <v>92</v>
      </c>
      <c r="D1262" s="5" t="s">
        <v>698</v>
      </c>
      <c r="E1262" s="5" t="n">
        <v>1</v>
      </c>
      <c r="F1262" s="6" t="n">
        <f aca="false">IFERROR(MATCH(A1262&amp;"|"&amp;B1262&amp;"|"&amp;D1262,'All Song Rankings'!$T:$T,0),0)</f>
        <v>198</v>
      </c>
      <c r="G1262" s="6" t="str">
        <f aca="false">IF(F1262=0,"NOT FOUND",INDEX('All Song Rankings'!$A:$A,F1262))</f>
        <v>waste away</v>
      </c>
      <c r="H1262" s="6" t="str">
        <f aca="false">IF(F1262=0,"NOT FOUND",INDEX('All Song Rankings'!$B:$B,F1262))</f>
        <v>saturdays at your place</v>
      </c>
      <c r="I1262" s="6" t="str">
        <f aca="false">IF(F1262=0,"NOT FOUND",INDEX('All Song Rankings'!$D:$D,F1262))</f>
        <v>Scott</v>
      </c>
      <c r="J1262" s="7" t="str">
        <f aca="false">IF(F1262=0,"NOT FOUND",IF(C1262=I1262,"SELF-VOTE",IF(COUNTIF($K:$K,K1262)&gt;1,"DUPLICATE","OK")))</f>
        <v>OK</v>
      </c>
      <c r="K1262" s="6" t="str">
        <f aca="false">A1262&amp;"|"&amp;B1262&amp;"|"&amp;C1262&amp;"|"&amp;D1262</f>
        <v>3|1|Nicole|spotify:track:7qscY7sKAaGZynXbDyeMH3</v>
      </c>
    </row>
    <row r="1263" customFormat="false" ht="15" hidden="false" customHeight="false" outlineLevel="0" collapsed="false">
      <c r="A1263" s="5" t="n">
        <v>3</v>
      </c>
      <c r="B1263" s="5" t="n">
        <v>1</v>
      </c>
      <c r="C1263" s="5" t="s">
        <v>484</v>
      </c>
      <c r="D1263" s="5" t="s">
        <v>336</v>
      </c>
      <c r="E1263" s="5" t="n">
        <v>2</v>
      </c>
      <c r="F1263" s="6" t="n">
        <f aca="false">IFERROR(MATCH(A1263&amp;"|"&amp;B1263&amp;"|"&amp;D1263,'All Song Rankings'!$T:$T,0),0)</f>
        <v>195</v>
      </c>
      <c r="G1263" s="6" t="str">
        <f aca="false">IF(F1263=0,"NOT FOUND",INDEX('All Song Rankings'!$A:$A,F1263))</f>
        <v>Golden</v>
      </c>
      <c r="H1263" s="6" t="str">
        <f aca="false">IF(F1263=0,"NOT FOUND",INDEX('All Song Rankings'!$B:$B,F1263))</f>
        <v>HUNTR/X</v>
      </c>
      <c r="I1263" s="6" t="str">
        <f aca="false">IF(F1263=0,"NOT FOUND",INDEX('All Song Rankings'!$D:$D,F1263))</f>
        <v>Leah</v>
      </c>
      <c r="J1263" s="7" t="str">
        <f aca="false">IF(F1263=0,"NOT FOUND",IF(C1263=I1263,"SELF-VOTE",IF(COUNTIF($K:$K,K1263)&gt;1,"DUPLICATE","OK")))</f>
        <v>OK</v>
      </c>
      <c r="K1263" s="6" t="str">
        <f aca="false">A1263&amp;"|"&amp;B1263&amp;"|"&amp;C1263&amp;"|"&amp;D1263</f>
        <v>3|1|Scott|spotify:track:1CPZ5BxNNd0n0nF4Orb9JS</v>
      </c>
    </row>
    <row r="1264" customFormat="false" ht="15" hidden="false" customHeight="false" outlineLevel="0" collapsed="false">
      <c r="A1264" s="5" t="n">
        <v>3</v>
      </c>
      <c r="B1264" s="5" t="n">
        <v>1</v>
      </c>
      <c r="C1264" s="5" t="s">
        <v>484</v>
      </c>
      <c r="D1264" s="5" t="s">
        <v>700</v>
      </c>
      <c r="E1264" s="5" t="n">
        <v>1</v>
      </c>
      <c r="F1264" s="6" t="n">
        <f aca="false">IFERROR(MATCH(A1264&amp;"|"&amp;B1264&amp;"|"&amp;D1264,'All Song Rankings'!$T:$T,0),0)</f>
        <v>199</v>
      </c>
      <c r="G1264" s="6" t="str">
        <f aca="false">IF(F1264=0,"NOT FOUND",INDEX('All Song Rankings'!$A:$A,F1264))</f>
        <v>Caramel</v>
      </c>
      <c r="H1264" s="6" t="str">
        <f aca="false">IF(F1264=0,"NOT FOUND",INDEX('All Song Rankings'!$B:$B,F1264))</f>
        <v>Sleep Token</v>
      </c>
      <c r="I1264" s="6" t="str">
        <f aca="false">IF(F1264=0,"NOT FOUND",INDEX('All Song Rankings'!$D:$D,F1264))</f>
        <v>Kristen</v>
      </c>
      <c r="J1264" s="7" t="str">
        <f aca="false">IF(F1264=0,"NOT FOUND",IF(C1264=I1264,"SELF-VOTE",IF(COUNTIF($K:$K,K1264)&gt;1,"DUPLICATE","OK")))</f>
        <v>OK</v>
      </c>
      <c r="K1264" s="6" t="str">
        <f aca="false">A1264&amp;"|"&amp;B1264&amp;"|"&amp;C1264&amp;"|"&amp;D1264</f>
        <v>3|1|Scott|spotify:track:1QrbZhFYlViXd60g130vw1</v>
      </c>
    </row>
    <row r="1265" customFormat="false" ht="15" hidden="false" customHeight="false" outlineLevel="0" collapsed="false">
      <c r="A1265" s="5" t="n">
        <v>3</v>
      </c>
      <c r="B1265" s="5" t="n">
        <v>1</v>
      </c>
      <c r="C1265" s="5" t="s">
        <v>484</v>
      </c>
      <c r="D1265" s="5" t="s">
        <v>703</v>
      </c>
      <c r="E1265" s="5" t="n">
        <v>2</v>
      </c>
      <c r="F1265" s="6" t="n">
        <f aca="false">IFERROR(MATCH(A1265&amp;"|"&amp;B1265&amp;"|"&amp;D1265,'All Song Rankings'!$T:$T,0),0)</f>
        <v>200</v>
      </c>
      <c r="G1265" s="6" t="str">
        <f aca="false">IF(F1265=0,"NOT FOUND",INDEX('All Song Rankings'!$A:$A,F1265))</f>
        <v>Sally, When The Wine Runs Out</v>
      </c>
      <c r="H1265" s="6" t="str">
        <f aca="false">IF(F1265=0,"NOT FOUND",INDEX('All Song Rankings'!$B:$B,F1265))</f>
        <v>ROLE MODEL</v>
      </c>
      <c r="I1265" s="6" t="str">
        <f aca="false">IF(F1265=0,"NOT FOUND",INDEX('All Song Rankings'!$D:$D,F1265))</f>
        <v>Logan</v>
      </c>
      <c r="J1265" s="7" t="str">
        <f aca="false">IF(F1265=0,"NOT FOUND",IF(C1265=I1265,"SELF-VOTE",IF(COUNTIF($K:$K,K1265)&gt;1,"DUPLICATE","OK")))</f>
        <v>OK</v>
      </c>
      <c r="K1265" s="6" t="str">
        <f aca="false">A1265&amp;"|"&amp;B1265&amp;"|"&amp;C1265&amp;"|"&amp;D1265</f>
        <v>3|1|Scott|spotify:track:2J051fjLklkoPbzOoTAACZ</v>
      </c>
    </row>
    <row r="1266" customFormat="false" ht="15" hidden="false" customHeight="false" outlineLevel="0" collapsed="false">
      <c r="A1266" s="5" t="n">
        <v>3</v>
      </c>
      <c r="B1266" s="5" t="n">
        <v>1</v>
      </c>
      <c r="C1266" s="5" t="s">
        <v>484</v>
      </c>
      <c r="D1266" s="5" t="s">
        <v>715</v>
      </c>
      <c r="E1266" s="5" t="n">
        <v>1</v>
      </c>
      <c r="F1266" s="6" t="n">
        <f aca="false">IFERROR(MATCH(A1266&amp;"|"&amp;B1266&amp;"|"&amp;D1266,'All Song Rankings'!$T:$T,0),0)</f>
        <v>204</v>
      </c>
      <c r="G1266" s="6" t="str">
        <f aca="false">IF(F1266=0,"NOT FOUND",INDEX('All Song Rankings'!$A:$A,F1266))</f>
        <v>DtMF</v>
      </c>
      <c r="H1266" s="6" t="str">
        <f aca="false">IF(F1266=0,"NOT FOUND",INDEX('All Song Rankings'!$B:$B,F1266))</f>
        <v>Bad Bunny</v>
      </c>
      <c r="I1266" s="6" t="str">
        <f aca="false">IF(F1266=0,"NOT FOUND",INDEX('All Song Rankings'!$D:$D,F1266))</f>
        <v>Matt</v>
      </c>
      <c r="J1266" s="7" t="str">
        <f aca="false">IF(F1266=0,"NOT FOUND",IF(C1266=I1266,"SELF-VOTE",IF(COUNTIF($K:$K,K1266)&gt;1,"DUPLICATE","OK")))</f>
        <v>OK</v>
      </c>
      <c r="K1266" s="6" t="str">
        <f aca="false">A1266&amp;"|"&amp;B1266&amp;"|"&amp;C1266&amp;"|"&amp;D1266</f>
        <v>3|1|Scott|spotify:track:3sK8wGT43QFpWrvNQsrQya</v>
      </c>
    </row>
    <row r="1267" customFormat="false" ht="15" hidden="false" customHeight="false" outlineLevel="0" collapsed="false">
      <c r="A1267" s="5" t="n">
        <v>3</v>
      </c>
      <c r="B1267" s="5" t="n">
        <v>1</v>
      </c>
      <c r="C1267" s="5" t="s">
        <v>484</v>
      </c>
      <c r="D1267" s="5" t="s">
        <v>723</v>
      </c>
      <c r="E1267" s="5" t="n">
        <v>2</v>
      </c>
      <c r="F1267" s="6" t="n">
        <f aca="false">IFERROR(MATCH(A1267&amp;"|"&amp;B1267&amp;"|"&amp;D1267,'All Song Rankings'!$T:$T,0),0)</f>
        <v>206</v>
      </c>
      <c r="G1267" s="6" t="str">
        <f aca="false">IF(F1267=0,"NOT FOUND",INDEX('All Song Rankings'!$A:$A,F1267))</f>
        <v>Egg</v>
      </c>
      <c r="H1267" s="6" t="str">
        <f aca="false">IF(F1267=0,"NOT FOUND",INDEX('All Song Rankings'!$B:$B,F1267))</f>
        <v>Djo</v>
      </c>
      <c r="I1267" s="6" t="str">
        <f aca="false">IF(F1267=0,"NOT FOUND",INDEX('All Song Rankings'!$D:$D,F1267))</f>
        <v>Merita</v>
      </c>
      <c r="J1267" s="7" t="str">
        <f aca="false">IF(F1267=0,"NOT FOUND",IF(C1267=I1267,"SELF-VOTE",IF(COUNTIF($K:$K,K1267)&gt;1,"DUPLICATE","OK")))</f>
        <v>OK</v>
      </c>
      <c r="K1267" s="6" t="str">
        <f aca="false">A1267&amp;"|"&amp;B1267&amp;"|"&amp;C1267&amp;"|"&amp;D1267</f>
        <v>3|1|Scott|spotify:track:4JaOwgYNvkOARAwSHibV5B</v>
      </c>
    </row>
    <row r="1268" customFormat="false" ht="15" hidden="false" customHeight="false" outlineLevel="0" collapsed="false">
      <c r="A1268" s="5" t="n">
        <v>3</v>
      </c>
      <c r="B1268" s="5" t="n">
        <v>1</v>
      </c>
      <c r="C1268" s="5" t="s">
        <v>484</v>
      </c>
      <c r="D1268" s="5" t="s">
        <v>712</v>
      </c>
      <c r="E1268" s="5" t="n">
        <v>1</v>
      </c>
      <c r="F1268" s="6" t="n">
        <f aca="false">IFERROR(MATCH(A1268&amp;"|"&amp;B1268&amp;"|"&amp;D1268,'All Song Rankings'!$T:$T,0),0)</f>
        <v>203</v>
      </c>
      <c r="G1268" s="6" t="str">
        <f aca="false">IF(F1268=0,"NOT FOUND",INDEX('All Song Rankings'!$A:$A,F1268))</f>
        <v>The Weather</v>
      </c>
      <c r="H1268" s="6" t="str">
        <f aca="false">IF(F1268=0,"NOT FOUND",INDEX('All Song Rankings'!$B:$B,F1268))</f>
        <v>All Time Low</v>
      </c>
      <c r="I1268" s="6" t="str">
        <f aca="false">IF(F1268=0,"NOT FOUND",INDEX('All Song Rankings'!$D:$D,F1268))</f>
        <v>Colleen</v>
      </c>
      <c r="J1268" s="7" t="str">
        <f aca="false">IF(F1268=0,"NOT FOUND",IF(C1268=I1268,"SELF-VOTE",IF(COUNTIF($K:$K,K1268)&gt;1,"DUPLICATE","OK")))</f>
        <v>OK</v>
      </c>
      <c r="K1268" s="6" t="str">
        <f aca="false">A1268&amp;"|"&amp;B1268&amp;"|"&amp;C1268&amp;"|"&amp;D1268</f>
        <v>3|1|Scott|spotify:track:6LElFVShkmWQRVNBfj9Zsw</v>
      </c>
    </row>
    <row r="1269" customFormat="false" ht="15" hidden="false" customHeight="false" outlineLevel="0" collapsed="false">
      <c r="A1269" s="5" t="n">
        <v>3</v>
      </c>
      <c r="B1269" s="5" t="n">
        <v>1</v>
      </c>
      <c r="C1269" s="5" t="s">
        <v>484</v>
      </c>
      <c r="D1269" s="5" t="s">
        <v>706</v>
      </c>
      <c r="E1269" s="5" t="n">
        <v>1</v>
      </c>
      <c r="F1269" s="6" t="n">
        <f aca="false">IFERROR(MATCH(A1269&amp;"|"&amp;B1269&amp;"|"&amp;D1269,'All Song Rankings'!$T:$T,0),0)</f>
        <v>201</v>
      </c>
      <c r="G1269" s="6" t="str">
        <f aca="false">IF(F1269=0,"NOT FOUND",INDEX('All Song Rankings'!$A:$A,F1269))</f>
        <v>Nice To Each Other</v>
      </c>
      <c r="H1269" s="6" t="str">
        <f aca="false">IF(F1269=0,"NOT FOUND",INDEX('All Song Rankings'!$B:$B,F1269))</f>
        <v>Olivia Dean</v>
      </c>
      <c r="I1269" s="6" t="str">
        <f aca="false">IF(F1269=0,"NOT FOUND",INDEX('All Song Rankings'!$D:$D,F1269))</f>
        <v>Lisa</v>
      </c>
      <c r="J1269" s="7" t="str">
        <f aca="false">IF(F1269=0,"NOT FOUND",IF(C1269=I1269,"SELF-VOTE",IF(COUNTIF($K:$K,K1269)&gt;1,"DUPLICATE","OK")))</f>
        <v>OK</v>
      </c>
      <c r="K1269" s="6" t="str">
        <f aca="false">A1269&amp;"|"&amp;B1269&amp;"|"&amp;C1269&amp;"|"&amp;D1269</f>
        <v>3|1|Scott|spotify:track:7gKxCvTDWwV9wBhdeBbr3l</v>
      </c>
    </row>
    <row r="1270" customFormat="false" ht="15" hidden="false" customHeight="false" outlineLevel="0" collapsed="false">
      <c r="A1270" s="5" t="n">
        <v>3</v>
      </c>
      <c r="B1270" s="5" t="n">
        <v>1</v>
      </c>
      <c r="C1270" s="5" t="s">
        <v>97</v>
      </c>
      <c r="D1270" s="5" t="s">
        <v>336</v>
      </c>
      <c r="E1270" s="5" t="n">
        <v>2</v>
      </c>
      <c r="F1270" s="6" t="n">
        <f aca="false">IFERROR(MATCH(A1270&amp;"|"&amp;B1270&amp;"|"&amp;D1270,'All Song Rankings'!$T:$T,0),0)</f>
        <v>195</v>
      </c>
      <c r="G1270" s="6" t="str">
        <f aca="false">IF(F1270=0,"NOT FOUND",INDEX('All Song Rankings'!$A:$A,F1270))</f>
        <v>Golden</v>
      </c>
      <c r="H1270" s="6" t="str">
        <f aca="false">IF(F1270=0,"NOT FOUND",INDEX('All Song Rankings'!$B:$B,F1270))</f>
        <v>HUNTR/X</v>
      </c>
      <c r="I1270" s="6" t="str">
        <f aca="false">IF(F1270=0,"NOT FOUND",INDEX('All Song Rankings'!$D:$D,F1270))</f>
        <v>Leah</v>
      </c>
      <c r="J1270" s="7" t="str">
        <f aca="false">IF(F1270=0,"NOT FOUND",IF(C1270=I1270,"SELF-VOTE",IF(COUNTIF($K:$K,K1270)&gt;1,"DUPLICATE","OK")))</f>
        <v>OK</v>
      </c>
      <c r="K1270" s="6" t="str">
        <f aca="false">A1270&amp;"|"&amp;B1270&amp;"|"&amp;C1270&amp;"|"&amp;D1270</f>
        <v>3|1|Stephanie|spotify:track:1CPZ5BxNNd0n0nF4Orb9JS</v>
      </c>
    </row>
    <row r="1271" customFormat="false" ht="15" hidden="false" customHeight="false" outlineLevel="0" collapsed="false">
      <c r="A1271" s="5" t="n">
        <v>3</v>
      </c>
      <c r="B1271" s="5" t="n">
        <v>1</v>
      </c>
      <c r="C1271" s="5" t="s">
        <v>97</v>
      </c>
      <c r="D1271" s="5" t="s">
        <v>700</v>
      </c>
      <c r="E1271" s="5" t="n">
        <v>1</v>
      </c>
      <c r="F1271" s="6" t="n">
        <f aca="false">IFERROR(MATCH(A1271&amp;"|"&amp;B1271&amp;"|"&amp;D1271,'All Song Rankings'!$T:$T,0),0)</f>
        <v>199</v>
      </c>
      <c r="G1271" s="6" t="str">
        <f aca="false">IF(F1271=0,"NOT FOUND",INDEX('All Song Rankings'!$A:$A,F1271))</f>
        <v>Caramel</v>
      </c>
      <c r="H1271" s="6" t="str">
        <f aca="false">IF(F1271=0,"NOT FOUND",INDEX('All Song Rankings'!$B:$B,F1271))</f>
        <v>Sleep Token</v>
      </c>
      <c r="I1271" s="6" t="str">
        <f aca="false">IF(F1271=0,"NOT FOUND",INDEX('All Song Rankings'!$D:$D,F1271))</f>
        <v>Kristen</v>
      </c>
      <c r="J1271" s="7" t="str">
        <f aca="false">IF(F1271=0,"NOT FOUND",IF(C1271=I1271,"SELF-VOTE",IF(COUNTIF($K:$K,K1271)&gt;1,"DUPLICATE","OK")))</f>
        <v>OK</v>
      </c>
      <c r="K1271" s="6" t="str">
        <f aca="false">A1271&amp;"|"&amp;B1271&amp;"|"&amp;C1271&amp;"|"&amp;D1271</f>
        <v>3|1|Stephanie|spotify:track:1QrbZhFYlViXd60g130vw1</v>
      </c>
    </row>
    <row r="1272" customFormat="false" ht="15" hidden="false" customHeight="false" outlineLevel="0" collapsed="false">
      <c r="A1272" s="5" t="n">
        <v>3</v>
      </c>
      <c r="B1272" s="5" t="n">
        <v>1</v>
      </c>
      <c r="C1272" s="5" t="s">
        <v>97</v>
      </c>
      <c r="D1272" s="5" t="s">
        <v>691</v>
      </c>
      <c r="E1272" s="5" t="n">
        <v>3</v>
      </c>
      <c r="F1272" s="6" t="n">
        <f aca="false">IFERROR(MATCH(A1272&amp;"|"&amp;B1272&amp;"|"&amp;D1272,'All Song Rankings'!$T:$T,0),0)</f>
        <v>194</v>
      </c>
      <c r="G1272" s="6" t="str">
        <f aca="false">IF(F1272=0,"NOT FOUND",INDEX('All Song Rankings'!$A:$A,F1272))</f>
        <v>Man I Need</v>
      </c>
      <c r="H1272" s="6" t="str">
        <f aca="false">IF(F1272=0,"NOT FOUND",INDEX('All Song Rankings'!$B:$B,F1272))</f>
        <v>Olivia Dean</v>
      </c>
      <c r="I1272" s="6" t="str">
        <f aca="false">IF(F1272=0,"NOT FOUND",INDEX('All Song Rankings'!$D:$D,F1272))</f>
        <v>Grace</v>
      </c>
      <c r="J1272" s="7" t="str">
        <f aca="false">IF(F1272=0,"NOT FOUND",IF(C1272=I1272,"SELF-VOTE",IF(COUNTIF($K:$K,K1272)&gt;1,"DUPLICATE","OK")))</f>
        <v>OK</v>
      </c>
      <c r="K1272" s="6" t="str">
        <f aca="false">A1272&amp;"|"&amp;B1272&amp;"|"&amp;C1272&amp;"|"&amp;D1272</f>
        <v>3|1|Stephanie|spotify:track:1qbmS6ep2hbBRaEZFpn7BX</v>
      </c>
    </row>
    <row r="1273" customFormat="false" ht="15" hidden="false" customHeight="false" outlineLevel="0" collapsed="false">
      <c r="A1273" s="5" t="n">
        <v>3</v>
      </c>
      <c r="B1273" s="5" t="n">
        <v>1</v>
      </c>
      <c r="C1273" s="5" t="s">
        <v>97</v>
      </c>
      <c r="D1273" s="5" t="s">
        <v>715</v>
      </c>
      <c r="E1273" s="5" t="n">
        <v>2</v>
      </c>
      <c r="F1273" s="6" t="n">
        <f aca="false">IFERROR(MATCH(A1273&amp;"|"&amp;B1273&amp;"|"&amp;D1273,'All Song Rankings'!$T:$T,0),0)</f>
        <v>204</v>
      </c>
      <c r="G1273" s="6" t="str">
        <f aca="false">IF(F1273=0,"NOT FOUND",INDEX('All Song Rankings'!$A:$A,F1273))</f>
        <v>DtMF</v>
      </c>
      <c r="H1273" s="6" t="str">
        <f aca="false">IF(F1273=0,"NOT FOUND",INDEX('All Song Rankings'!$B:$B,F1273))</f>
        <v>Bad Bunny</v>
      </c>
      <c r="I1273" s="6" t="str">
        <f aca="false">IF(F1273=0,"NOT FOUND",INDEX('All Song Rankings'!$D:$D,F1273))</f>
        <v>Matt</v>
      </c>
      <c r="J1273" s="7" t="str">
        <f aca="false">IF(F1273=0,"NOT FOUND",IF(C1273=I1273,"SELF-VOTE",IF(COUNTIF($K:$K,K1273)&gt;1,"DUPLICATE","OK")))</f>
        <v>OK</v>
      </c>
      <c r="K1273" s="6" t="str">
        <f aca="false">A1273&amp;"|"&amp;B1273&amp;"|"&amp;C1273&amp;"|"&amp;D1273</f>
        <v>3|1|Stephanie|spotify:track:3sK8wGT43QFpWrvNQsrQya</v>
      </c>
    </row>
    <row r="1274" customFormat="false" ht="15" hidden="false" customHeight="false" outlineLevel="0" collapsed="false">
      <c r="A1274" s="5" t="n">
        <v>3</v>
      </c>
      <c r="B1274" s="5" t="n">
        <v>1</v>
      </c>
      <c r="C1274" s="5" t="s">
        <v>97</v>
      </c>
      <c r="D1274" s="5" t="s">
        <v>698</v>
      </c>
      <c r="E1274" s="5" t="n">
        <v>2</v>
      </c>
      <c r="F1274" s="6" t="n">
        <f aca="false">IFERROR(MATCH(A1274&amp;"|"&amp;B1274&amp;"|"&amp;D1274,'All Song Rankings'!$T:$T,0),0)</f>
        <v>198</v>
      </c>
      <c r="G1274" s="6" t="str">
        <f aca="false">IF(F1274=0,"NOT FOUND",INDEX('All Song Rankings'!$A:$A,F1274))</f>
        <v>waste away</v>
      </c>
      <c r="H1274" s="6" t="str">
        <f aca="false">IF(F1274=0,"NOT FOUND",INDEX('All Song Rankings'!$B:$B,F1274))</f>
        <v>saturdays at your place</v>
      </c>
      <c r="I1274" s="6" t="str">
        <f aca="false">IF(F1274=0,"NOT FOUND",INDEX('All Song Rankings'!$D:$D,F1274))</f>
        <v>Scott</v>
      </c>
      <c r="J1274" s="7" t="str">
        <f aca="false">IF(F1274=0,"NOT FOUND",IF(C1274=I1274,"SELF-VOTE",IF(COUNTIF($K:$K,K1274)&gt;1,"DUPLICATE","OK")))</f>
        <v>OK</v>
      </c>
      <c r="K1274" s="6" t="str">
        <f aca="false">A1274&amp;"|"&amp;B1274&amp;"|"&amp;C1274&amp;"|"&amp;D1274</f>
        <v>3|1|Stephanie|spotify:track:7qscY7sKAaGZynXbDyeMH3</v>
      </c>
    </row>
    <row r="1275" customFormat="false" ht="15" hidden="false" customHeight="false" outlineLevel="0" collapsed="false">
      <c r="A1275" s="5" t="n">
        <v>3</v>
      </c>
      <c r="B1275" s="5" t="n">
        <v>2</v>
      </c>
      <c r="C1275" s="5" t="s">
        <v>375</v>
      </c>
      <c r="D1275" s="5" t="s">
        <v>764</v>
      </c>
      <c r="E1275" s="5" t="n">
        <v>2</v>
      </c>
      <c r="F1275" s="6" t="n">
        <f aca="false">IFERROR(MATCH(A1275&amp;"|"&amp;B1275&amp;"|"&amp;D1275,'All Song Rankings'!$T:$T,0),0)</f>
        <v>221</v>
      </c>
      <c r="G1275" s="6" t="str">
        <f aca="false">IF(F1275=0,"NOT FOUND",INDEX('All Song Rankings'!$A:$A,F1275))</f>
        <v>You and Tequila (feat. Grace Potter)</v>
      </c>
      <c r="H1275" s="6" t="str">
        <f aca="false">IF(F1275=0,"NOT FOUND",INDEX('All Song Rankings'!$B:$B,F1275))</f>
        <v>Kenny Chesney, Grace Potter</v>
      </c>
      <c r="I1275" s="6" t="str">
        <f aca="false">IF(F1275=0,"NOT FOUND",INDEX('All Song Rankings'!$D:$D,F1275))</f>
        <v>Christine</v>
      </c>
      <c r="J1275" s="7" t="str">
        <f aca="false">IF(F1275=0,"NOT FOUND",IF(C1275=I1275,"SELF-VOTE",IF(COUNTIF($K:$K,K1275)&gt;1,"DUPLICATE","OK")))</f>
        <v>OK</v>
      </c>
      <c r="K1275" s="6" t="str">
        <f aca="false">A1275&amp;"|"&amp;B1275&amp;"|"&amp;C1275&amp;"|"&amp;D1275</f>
        <v>3|2|Aubrey|spotify:track:1t2hJFgJyUPD2crOafMUEk</v>
      </c>
    </row>
    <row r="1276" customFormat="false" ht="15" hidden="false" customHeight="false" outlineLevel="0" collapsed="false">
      <c r="A1276" s="5" t="n">
        <v>3</v>
      </c>
      <c r="B1276" s="5" t="n">
        <v>2</v>
      </c>
      <c r="C1276" s="5" t="s">
        <v>375</v>
      </c>
      <c r="D1276" s="5" t="s">
        <v>741</v>
      </c>
      <c r="E1276" s="5" t="n">
        <v>3</v>
      </c>
      <c r="F1276" s="6" t="n">
        <f aca="false">IFERROR(MATCH(A1276&amp;"|"&amp;B1276&amp;"|"&amp;D1276,'All Song Rankings'!$T:$T,0),0)</f>
        <v>212</v>
      </c>
      <c r="G1276" s="6" t="str">
        <f aca="false">IF(F1276=0,"NOT FOUND",INDEX('All Song Rankings'!$A:$A,F1276))</f>
        <v>Because You Loved Me (Theme from "Up Close and Personal")</v>
      </c>
      <c r="H1276" s="6" t="str">
        <f aca="false">IF(F1276=0,"NOT FOUND",INDEX('All Song Rankings'!$B:$B,F1276))</f>
        <v>Céline Dion</v>
      </c>
      <c r="I1276" s="6" t="str">
        <f aca="false">IF(F1276=0,"NOT FOUND",INDEX('All Song Rankings'!$D:$D,F1276))</f>
        <v>Makenzie</v>
      </c>
      <c r="J1276" s="7" t="str">
        <f aca="false">IF(F1276=0,"NOT FOUND",IF(C1276=I1276,"SELF-VOTE",IF(COUNTIF($K:$K,K1276)&gt;1,"DUPLICATE","OK")))</f>
        <v>OK</v>
      </c>
      <c r="K1276" s="6" t="str">
        <f aca="false">A1276&amp;"|"&amp;B1276&amp;"|"&amp;C1276&amp;"|"&amp;D1276</f>
        <v>3|2|Aubrey|spotify:track:28UMiBhn383n9S7GL4tsxD</v>
      </c>
    </row>
    <row r="1277" customFormat="false" ht="15" hidden="false" customHeight="false" outlineLevel="0" collapsed="false">
      <c r="A1277" s="5" t="n">
        <v>3</v>
      </c>
      <c r="B1277" s="5" t="n">
        <v>2</v>
      </c>
      <c r="C1277" s="5" t="s">
        <v>375</v>
      </c>
      <c r="D1277" s="5" t="s">
        <v>730</v>
      </c>
      <c r="E1277" s="5" t="n">
        <v>2</v>
      </c>
      <c r="F1277" s="6" t="n">
        <f aca="false">IFERROR(MATCH(A1277&amp;"|"&amp;B1277&amp;"|"&amp;D1277,'All Song Rankings'!$T:$T,0),0)</f>
        <v>208</v>
      </c>
      <c r="G1277" s="6" t="str">
        <f aca="false">IF(F1277=0,"NOT FOUND",INDEX('All Song Rankings'!$A:$A,F1277))</f>
        <v>a thousand years</v>
      </c>
      <c r="H1277" s="6" t="str">
        <f aca="false">IF(F1277=0,"NOT FOUND",INDEX('All Song Rankings'!$B:$B,F1277))</f>
        <v>Christina Perri</v>
      </c>
      <c r="I1277" s="6" t="str">
        <f aca="false">IF(F1277=0,"NOT FOUND",INDEX('All Song Rankings'!$D:$D,F1277))</f>
        <v>Merita</v>
      </c>
      <c r="J1277" s="7" t="str">
        <f aca="false">IF(F1277=0,"NOT FOUND",IF(C1277=I1277,"SELF-VOTE",IF(COUNTIF($K:$K,K1277)&gt;1,"DUPLICATE","OK")))</f>
        <v>OK</v>
      </c>
      <c r="K1277" s="6" t="str">
        <f aca="false">A1277&amp;"|"&amp;B1277&amp;"|"&amp;C1277&amp;"|"&amp;D1277</f>
        <v>3|2|Aubrey|spotify:track:6lanRgr6wXibZr8KgzXxBl</v>
      </c>
    </row>
    <row r="1278" customFormat="false" ht="15" hidden="false" customHeight="false" outlineLevel="0" collapsed="false">
      <c r="A1278" s="5" t="n">
        <v>3</v>
      </c>
      <c r="B1278" s="5" t="n">
        <v>2</v>
      </c>
      <c r="C1278" s="5" t="s">
        <v>375</v>
      </c>
      <c r="D1278" s="5" t="s">
        <v>735</v>
      </c>
      <c r="E1278" s="5" t="n">
        <v>3</v>
      </c>
      <c r="F1278" s="6" t="n">
        <f aca="false">IFERROR(MATCH(A1278&amp;"|"&amp;B1278&amp;"|"&amp;D1278,'All Song Rankings'!$T:$T,0),0)</f>
        <v>210</v>
      </c>
      <c r="G1278" s="6" t="str">
        <f aca="false">IF(F1278=0,"NOT FOUND",INDEX('All Song Rankings'!$A:$A,F1278))</f>
        <v>Wonderful Tonight</v>
      </c>
      <c r="H1278" s="6" t="str">
        <f aca="false">IF(F1278=0,"NOT FOUND",INDEX('All Song Rankings'!$B:$B,F1278))</f>
        <v>Eric Clapton</v>
      </c>
      <c r="I1278" s="6" t="str">
        <f aca="false">IF(F1278=0,"NOT FOUND",INDEX('All Song Rankings'!$D:$D,F1278))</f>
        <v>Stephanie</v>
      </c>
      <c r="J1278" s="7" t="str">
        <f aca="false">IF(F1278=0,"NOT FOUND",IF(C1278=I1278,"SELF-VOTE",IF(COUNTIF($K:$K,K1278)&gt;1,"DUPLICATE","OK")))</f>
        <v>OK</v>
      </c>
      <c r="K1278" s="6" t="str">
        <f aca="false">A1278&amp;"|"&amp;B1278&amp;"|"&amp;C1278&amp;"|"&amp;D1278</f>
        <v>3|2|Aubrey|spotify:track:6zC0mpGYwbNTpk9SKwh08f</v>
      </c>
    </row>
    <row r="1279" customFormat="false" ht="15" hidden="false" customHeight="false" outlineLevel="0" collapsed="false">
      <c r="A1279" s="5" t="n">
        <v>3</v>
      </c>
      <c r="B1279" s="5" t="n">
        <v>2</v>
      </c>
      <c r="C1279" s="5" t="s">
        <v>719</v>
      </c>
      <c r="D1279" s="5" t="s">
        <v>750</v>
      </c>
      <c r="E1279" s="5" t="n">
        <v>1</v>
      </c>
      <c r="F1279" s="6" t="n">
        <f aca="false">IFERROR(MATCH(A1279&amp;"|"&amp;B1279&amp;"|"&amp;D1279,'All Song Rankings'!$T:$T,0),0)</f>
        <v>215</v>
      </c>
      <c r="G1279" s="6" t="str">
        <f aca="false">IF(F1279=0,"NOT FOUND",INDEX('All Song Rankings'!$A:$A,F1279))</f>
        <v>Color</v>
      </c>
      <c r="H1279" s="6" t="str">
        <f aca="false">IF(F1279=0,"NOT FOUND",INDEX('All Song Rankings'!$B:$B,F1279))</f>
        <v>Todrick Hall, Jay Armstrong Johnson</v>
      </c>
      <c r="I1279" s="6" t="str">
        <f aca="false">IF(F1279=0,"NOT FOUND",INDEX('All Song Rankings'!$D:$D,F1279))</f>
        <v>Logan</v>
      </c>
      <c r="J1279" s="7" t="str">
        <f aca="false">IF(F1279=0,"NOT FOUND",IF(C1279=I1279,"SELF-VOTE",IF(COUNTIF($K:$K,K1279)&gt;1,"DUPLICATE","OK")))</f>
        <v>OK</v>
      </c>
      <c r="K1279" s="6" t="str">
        <f aca="false">A1279&amp;"|"&amp;B1279&amp;"|"&amp;C1279&amp;"|"&amp;D1279</f>
        <v>3|2|Christine|spotify:track:1oSGSJdYt0Om26M5V6XR5Q</v>
      </c>
    </row>
    <row r="1280" customFormat="false" ht="15" hidden="false" customHeight="false" outlineLevel="0" collapsed="false">
      <c r="A1280" s="5" t="n">
        <v>3</v>
      </c>
      <c r="B1280" s="5" t="n">
        <v>2</v>
      </c>
      <c r="C1280" s="5" t="s">
        <v>719</v>
      </c>
      <c r="D1280" s="5" t="s">
        <v>767</v>
      </c>
      <c r="E1280" s="5" t="n">
        <v>1</v>
      </c>
      <c r="F1280" s="6" t="n">
        <f aca="false">IFERROR(MATCH(A1280&amp;"|"&amp;B1280&amp;"|"&amp;D1280,'All Song Rankings'!$T:$T,0),0)</f>
        <v>222</v>
      </c>
      <c r="G1280" s="6" t="str">
        <f aca="false">IF(F1280=0,"NOT FOUND",INDEX('All Song Rankings'!$A:$A,F1280))</f>
        <v>Your Deep Rest</v>
      </c>
      <c r="H1280" s="6" t="str">
        <f aca="false">IF(F1280=0,"NOT FOUND",INDEX('All Song Rankings'!$B:$B,F1280))</f>
        <v>The Hotelier</v>
      </c>
      <c r="I1280" s="6" t="str">
        <f aca="false">IF(F1280=0,"NOT FOUND",INDEX('All Song Rankings'!$D:$D,F1280))</f>
        <v>Scott</v>
      </c>
      <c r="J1280" s="7" t="str">
        <f aca="false">IF(F1280=0,"NOT FOUND",IF(C1280=I1280,"SELF-VOTE",IF(COUNTIF($K:$K,K1280)&gt;1,"DUPLICATE","OK")))</f>
        <v>OK</v>
      </c>
      <c r="K1280" s="6" t="str">
        <f aca="false">A1280&amp;"|"&amp;B1280&amp;"|"&amp;C1280&amp;"|"&amp;D1280</f>
        <v>3|2|Christine|spotify:track:21ACVHZc3K9lK0zleucFaJ</v>
      </c>
    </row>
    <row r="1281" customFormat="false" ht="15" hidden="false" customHeight="false" outlineLevel="0" collapsed="false">
      <c r="A1281" s="5" t="n">
        <v>3</v>
      </c>
      <c r="B1281" s="5" t="n">
        <v>2</v>
      </c>
      <c r="C1281" s="5" t="s">
        <v>719</v>
      </c>
      <c r="D1281" s="5" t="s">
        <v>744</v>
      </c>
      <c r="E1281" s="5" t="n">
        <v>2</v>
      </c>
      <c r="F1281" s="6" t="n">
        <f aca="false">IFERROR(MATCH(A1281&amp;"|"&amp;B1281&amp;"|"&amp;D1281,'All Song Rankings'!$T:$T,0),0)</f>
        <v>213</v>
      </c>
      <c r="G1281" s="6" t="str">
        <f aca="false">IF(F1281=0,"NOT FOUND",INDEX('All Song Rankings'!$A:$A,F1281))</f>
        <v>No Matter Where You Are</v>
      </c>
      <c r="H1281" s="6" t="str">
        <f aca="false">IF(F1281=0,"NOT FOUND",INDEX('All Song Rankings'!$B:$B,F1281))</f>
        <v>Us The Duo</v>
      </c>
      <c r="I1281" s="6" t="str">
        <f aca="false">IF(F1281=0,"NOT FOUND",INDEX('All Song Rankings'!$D:$D,F1281))</f>
        <v>Grace</v>
      </c>
      <c r="J1281" s="7" t="str">
        <f aca="false">IF(F1281=0,"NOT FOUND",IF(C1281=I1281,"SELF-VOTE",IF(COUNTIF($K:$K,K1281)&gt;1,"DUPLICATE","OK")))</f>
        <v>OK</v>
      </c>
      <c r="K1281" s="6" t="str">
        <f aca="false">A1281&amp;"|"&amp;B1281&amp;"|"&amp;C1281&amp;"|"&amp;D1281</f>
        <v>3|2|Christine|spotify:track:2XW4AAjfBQTzp7Oe1tU702</v>
      </c>
    </row>
    <row r="1282" customFormat="false" ht="15" hidden="false" customHeight="false" outlineLevel="0" collapsed="false">
      <c r="A1282" s="5" t="n">
        <v>3</v>
      </c>
      <c r="B1282" s="5" t="n">
        <v>2</v>
      </c>
      <c r="C1282" s="5" t="s">
        <v>719</v>
      </c>
      <c r="D1282" s="5" t="s">
        <v>747</v>
      </c>
      <c r="E1282" s="5" t="n">
        <v>2</v>
      </c>
      <c r="F1282" s="6" t="n">
        <f aca="false">IFERROR(MATCH(A1282&amp;"|"&amp;B1282&amp;"|"&amp;D1282,'All Song Rankings'!$T:$T,0),0)</f>
        <v>214</v>
      </c>
      <c r="G1282" s="6" t="str">
        <f aca="false">IF(F1282=0,"NOT FOUND",INDEX('All Song Rankings'!$A:$A,F1282))</f>
        <v>Question</v>
      </c>
      <c r="H1282" s="6" t="str">
        <f aca="false">IF(F1282=0,"NOT FOUND",INDEX('All Song Rankings'!$B:$B,F1282))</f>
        <v>Old 97's</v>
      </c>
      <c r="I1282" s="6" t="str">
        <f aca="false">IF(F1282=0,"NOT FOUND",INDEX('All Song Rankings'!$D:$D,F1282))</f>
        <v>Matt</v>
      </c>
      <c r="J1282" s="7" t="str">
        <f aca="false">IF(F1282=0,"NOT FOUND",IF(C1282=I1282,"SELF-VOTE",IF(COUNTIF($K:$K,K1282)&gt;1,"DUPLICATE","OK")))</f>
        <v>OK</v>
      </c>
      <c r="K1282" s="6" t="str">
        <f aca="false">A1282&amp;"|"&amp;B1282&amp;"|"&amp;C1282&amp;"|"&amp;D1282</f>
        <v>3|2|Christine|spotify:track:2m5ItG3IIMsaGYJjZOvUoE</v>
      </c>
    </row>
    <row r="1283" customFormat="false" ht="15" hidden="false" customHeight="false" outlineLevel="0" collapsed="false">
      <c r="A1283" s="5" t="n">
        <v>3</v>
      </c>
      <c r="B1283" s="5" t="n">
        <v>2</v>
      </c>
      <c r="C1283" s="5" t="s">
        <v>719</v>
      </c>
      <c r="D1283" s="5" t="s">
        <v>756</v>
      </c>
      <c r="E1283" s="5" t="n">
        <v>2</v>
      </c>
      <c r="F1283" s="6" t="n">
        <f aca="false">IFERROR(MATCH(A1283&amp;"|"&amp;B1283&amp;"|"&amp;D1283,'All Song Rankings'!$T:$T,0),0)</f>
        <v>217</v>
      </c>
      <c r="G1283" s="6" t="str">
        <f aca="false">IF(F1283=0,"NOT FOUND",INDEX('All Song Rankings'!$A:$A,F1283))</f>
        <v>Breathe For Me</v>
      </c>
      <c r="H1283" s="6" t="str">
        <f aca="false">IF(F1283=0,"NOT FOUND",INDEX('All Song Rankings'!$B:$B,F1283))</f>
        <v>UNSECRET, Lonas</v>
      </c>
      <c r="I1283" s="6" t="str">
        <f aca="false">IF(F1283=0,"NOT FOUND",INDEX('All Song Rankings'!$D:$D,F1283))</f>
        <v>Kristen</v>
      </c>
      <c r="J1283" s="7" t="str">
        <f aca="false">IF(F1283=0,"NOT FOUND",IF(C1283=I1283,"SELF-VOTE",IF(COUNTIF($K:$K,K1283)&gt;1,"DUPLICATE","OK")))</f>
        <v>OK</v>
      </c>
      <c r="K1283" s="6" t="str">
        <f aca="false">A1283&amp;"|"&amp;B1283&amp;"|"&amp;C1283&amp;"|"&amp;D1283</f>
        <v>3|2|Christine|spotify:track:40UoxIJtdEt0pGVy8TK0Fb</v>
      </c>
    </row>
    <row r="1284" customFormat="false" ht="15" hidden="false" customHeight="false" outlineLevel="0" collapsed="false">
      <c r="A1284" s="5" t="n">
        <v>3</v>
      </c>
      <c r="B1284" s="5" t="n">
        <v>2</v>
      </c>
      <c r="C1284" s="5" t="s">
        <v>719</v>
      </c>
      <c r="D1284" s="5" t="s">
        <v>738</v>
      </c>
      <c r="E1284" s="5" t="n">
        <v>1</v>
      </c>
      <c r="F1284" s="6" t="n">
        <f aca="false">IFERROR(MATCH(A1284&amp;"|"&amp;B1284&amp;"|"&amp;D1284,'All Song Rankings'!$T:$T,0),0)</f>
        <v>211</v>
      </c>
      <c r="G1284" s="6" t="str">
        <f aca="false">IF(F1284=0,"NOT FOUND",INDEX('All Song Rankings'!$A:$A,F1284))</f>
        <v>Dreams</v>
      </c>
      <c r="H1284" s="6" t="str">
        <f aca="false">IF(F1284=0,"NOT FOUND",INDEX('All Song Rankings'!$B:$B,F1284))</f>
        <v>The Cranberries</v>
      </c>
      <c r="I1284" s="6" t="str">
        <f aca="false">IF(F1284=0,"NOT FOUND",INDEX('All Song Rankings'!$D:$D,F1284))</f>
        <v>Lisa</v>
      </c>
      <c r="J1284" s="7" t="str">
        <f aca="false">IF(F1284=0,"NOT FOUND",IF(C1284=I1284,"SELF-VOTE",IF(COUNTIF($K:$K,K1284)&gt;1,"DUPLICATE","OK")))</f>
        <v>OK</v>
      </c>
      <c r="K1284" s="6" t="str">
        <f aca="false">A1284&amp;"|"&amp;B1284&amp;"|"&amp;C1284&amp;"|"&amp;D1284</f>
        <v>3|2|Christine|spotify:track:4JGKZS7h4Qa16gOU3oNETV</v>
      </c>
    </row>
    <row r="1285" customFormat="false" ht="15" hidden="false" customHeight="false" outlineLevel="0" collapsed="false">
      <c r="A1285" s="5" t="n">
        <v>3</v>
      </c>
      <c r="B1285" s="5" t="n">
        <v>2</v>
      </c>
      <c r="C1285" s="5" t="s">
        <v>719</v>
      </c>
      <c r="D1285" s="5" t="s">
        <v>761</v>
      </c>
      <c r="E1285" s="5" t="n">
        <v>1</v>
      </c>
      <c r="F1285" s="6" t="n">
        <f aca="false">IFERROR(MATCH(A1285&amp;"|"&amp;B1285&amp;"|"&amp;D1285,'All Song Rankings'!$T:$T,0),0)</f>
        <v>220</v>
      </c>
      <c r="G1285" s="6" t="str">
        <f aca="false">IF(F1285=0,"NOT FOUND",INDEX('All Song Rankings'!$A:$A,F1285))</f>
        <v>Who I Am</v>
      </c>
      <c r="H1285" s="6" t="str">
        <f aca="false">IF(F1285=0,"NOT FOUND",INDEX('All Song Rankings'!$B:$B,F1285))</f>
        <v>Wade Bowen</v>
      </c>
      <c r="I1285" s="6" t="str">
        <f aca="false">IF(F1285=0,"NOT FOUND",INDEX('All Song Rankings'!$D:$D,F1285))</f>
        <v>Colleen</v>
      </c>
      <c r="J1285" s="7" t="str">
        <f aca="false">IF(F1285=0,"NOT FOUND",IF(C1285=I1285,"SELF-VOTE",IF(COUNTIF($K:$K,K1285)&gt;1,"DUPLICATE","OK")))</f>
        <v>OK</v>
      </c>
      <c r="K1285" s="6" t="str">
        <f aca="false">A1285&amp;"|"&amp;B1285&amp;"|"&amp;C1285&amp;"|"&amp;D1285</f>
        <v>3|2|Christine|spotify:track:5XlN58Ay3R3cE7P7c9XjaC</v>
      </c>
    </row>
    <row r="1286" customFormat="false" ht="15" hidden="false" customHeight="false" outlineLevel="0" collapsed="false">
      <c r="A1286" s="5" t="n">
        <v>3</v>
      </c>
      <c r="B1286" s="5" t="n">
        <v>2</v>
      </c>
      <c r="C1286" s="5" t="s">
        <v>637</v>
      </c>
      <c r="D1286" s="5" t="s">
        <v>741</v>
      </c>
      <c r="E1286" s="5" t="n">
        <v>3</v>
      </c>
      <c r="F1286" s="6" t="n">
        <f aca="false">IFERROR(MATCH(A1286&amp;"|"&amp;B1286&amp;"|"&amp;D1286,'All Song Rankings'!$T:$T,0),0)</f>
        <v>212</v>
      </c>
      <c r="G1286" s="6" t="str">
        <f aca="false">IF(F1286=0,"NOT FOUND",INDEX('All Song Rankings'!$A:$A,F1286))</f>
        <v>Because You Loved Me (Theme from "Up Close and Personal")</v>
      </c>
      <c r="H1286" s="6" t="str">
        <f aca="false">IF(F1286=0,"NOT FOUND",INDEX('All Song Rankings'!$B:$B,F1286))</f>
        <v>Céline Dion</v>
      </c>
      <c r="I1286" s="6" t="str">
        <f aca="false">IF(F1286=0,"NOT FOUND",INDEX('All Song Rankings'!$D:$D,F1286))</f>
        <v>Makenzie</v>
      </c>
      <c r="J1286" s="7" t="str">
        <f aca="false">IF(F1286=0,"NOT FOUND",IF(C1286=I1286,"SELF-VOTE",IF(COUNTIF($K:$K,K1286)&gt;1,"DUPLICATE","OK")))</f>
        <v>OK</v>
      </c>
      <c r="K1286" s="6" t="str">
        <f aca="false">A1286&amp;"|"&amp;B1286&amp;"|"&amp;C1286&amp;"|"&amp;D1286</f>
        <v>3|2|Colleen|spotify:track:28UMiBhn383n9S7GL4tsxD</v>
      </c>
    </row>
    <row r="1287" customFormat="false" ht="15" hidden="false" customHeight="false" outlineLevel="0" collapsed="false">
      <c r="A1287" s="5" t="n">
        <v>3</v>
      </c>
      <c r="B1287" s="5" t="n">
        <v>2</v>
      </c>
      <c r="C1287" s="5" t="s">
        <v>637</v>
      </c>
      <c r="D1287" s="5" t="s">
        <v>732</v>
      </c>
      <c r="E1287" s="5" t="n">
        <v>3</v>
      </c>
      <c r="F1287" s="6" t="n">
        <f aca="false">IFERROR(MATCH(A1287&amp;"|"&amp;B1287&amp;"|"&amp;D1287,'All Song Rankings'!$T:$T,0),0)</f>
        <v>209</v>
      </c>
      <c r="G1287" s="6" t="str">
        <f aca="false">IF(F1287=0,"NOT FOUND",INDEX('All Song Rankings'!$A:$A,F1287))</f>
        <v>Thinking out Loud</v>
      </c>
      <c r="H1287" s="6" t="str">
        <f aca="false">IF(F1287=0,"NOT FOUND",INDEX('All Song Rankings'!$B:$B,F1287))</f>
        <v>Ed Sheeran</v>
      </c>
      <c r="I1287" s="6" t="str">
        <f aca="false">IF(F1287=0,"NOT FOUND",INDEX('All Song Rankings'!$D:$D,F1287))</f>
        <v>Leah</v>
      </c>
      <c r="J1287" s="7" t="str">
        <f aca="false">IF(F1287=0,"NOT FOUND",IF(C1287=I1287,"SELF-VOTE",IF(COUNTIF($K:$K,K1287)&gt;1,"DUPLICATE","OK")))</f>
        <v>OK</v>
      </c>
      <c r="K1287" s="6" t="str">
        <f aca="false">A1287&amp;"|"&amp;B1287&amp;"|"&amp;C1287&amp;"|"&amp;D1287</f>
        <v>3|2|Colleen|spotify:track:34gCuhDGsG4bRPIf9bb02f</v>
      </c>
    </row>
    <row r="1288" customFormat="false" ht="15" hidden="false" customHeight="false" outlineLevel="0" collapsed="false">
      <c r="A1288" s="5" t="n">
        <v>3</v>
      </c>
      <c r="B1288" s="5" t="n">
        <v>2</v>
      </c>
      <c r="C1288" s="5" t="s">
        <v>637</v>
      </c>
      <c r="D1288" s="5" t="s">
        <v>738</v>
      </c>
      <c r="E1288" s="5" t="n">
        <v>1</v>
      </c>
      <c r="F1288" s="6" t="n">
        <f aca="false">IFERROR(MATCH(A1288&amp;"|"&amp;B1288&amp;"|"&amp;D1288,'All Song Rankings'!$T:$T,0),0)</f>
        <v>211</v>
      </c>
      <c r="G1288" s="6" t="str">
        <f aca="false">IF(F1288=0,"NOT FOUND",INDEX('All Song Rankings'!$A:$A,F1288))</f>
        <v>Dreams</v>
      </c>
      <c r="H1288" s="6" t="str">
        <f aca="false">IF(F1288=0,"NOT FOUND",INDEX('All Song Rankings'!$B:$B,F1288))</f>
        <v>The Cranberries</v>
      </c>
      <c r="I1288" s="6" t="str">
        <f aca="false">IF(F1288=0,"NOT FOUND",INDEX('All Song Rankings'!$D:$D,F1288))</f>
        <v>Lisa</v>
      </c>
      <c r="J1288" s="7" t="str">
        <f aca="false">IF(F1288=0,"NOT FOUND",IF(C1288=I1288,"SELF-VOTE",IF(COUNTIF($K:$K,K1288)&gt;1,"DUPLICATE","OK")))</f>
        <v>OK</v>
      </c>
      <c r="K1288" s="6" t="str">
        <f aca="false">A1288&amp;"|"&amp;B1288&amp;"|"&amp;C1288&amp;"|"&amp;D1288</f>
        <v>3|2|Colleen|spotify:track:4JGKZS7h4Qa16gOU3oNETV</v>
      </c>
    </row>
    <row r="1289" customFormat="false" ht="15" hidden="false" customHeight="false" outlineLevel="0" collapsed="false">
      <c r="A1289" s="5" t="n">
        <v>3</v>
      </c>
      <c r="B1289" s="5" t="n">
        <v>2</v>
      </c>
      <c r="C1289" s="5" t="s">
        <v>637</v>
      </c>
      <c r="D1289" s="5" t="s">
        <v>542</v>
      </c>
      <c r="E1289" s="5" t="n">
        <v>1</v>
      </c>
      <c r="F1289" s="6" t="n">
        <f aca="false">IFERROR(MATCH(A1289&amp;"|"&amp;B1289&amp;"|"&amp;D1289,'All Song Rankings'!$T:$T,0),0)</f>
        <v>219</v>
      </c>
      <c r="G1289" s="6" t="str">
        <f aca="false">IF(F1289=0,"NOT FOUND",INDEX('All Song Rankings'!$A:$A,F1289))</f>
        <v>I Will Always Love You</v>
      </c>
      <c r="H1289" s="6" t="str">
        <f aca="false">IF(F1289=0,"NOT FOUND",INDEX('All Song Rankings'!$B:$B,F1289))</f>
        <v>Whitney Houston</v>
      </c>
      <c r="I1289" s="6" t="str">
        <f aca="false">IF(F1289=0,"NOT FOUND",INDEX('All Song Rankings'!$D:$D,F1289))</f>
        <v>Aubrey</v>
      </c>
      <c r="J1289" s="7" t="str">
        <f aca="false">IF(F1289=0,"NOT FOUND",IF(C1289=I1289,"SELF-VOTE",IF(COUNTIF($K:$K,K1289)&gt;1,"DUPLICATE","OK")))</f>
        <v>OK</v>
      </c>
      <c r="K1289" s="6" t="str">
        <f aca="false">A1289&amp;"|"&amp;B1289&amp;"|"&amp;C1289&amp;"|"&amp;D1289</f>
        <v>3|2|Colleen|spotify:track:4eHbdreAnSOrDDsFfc4Fpm</v>
      </c>
    </row>
    <row r="1290" customFormat="false" ht="15" hidden="false" customHeight="false" outlineLevel="0" collapsed="false">
      <c r="A1290" s="5" t="n">
        <v>3</v>
      </c>
      <c r="B1290" s="5" t="n">
        <v>2</v>
      </c>
      <c r="C1290" s="5" t="s">
        <v>637</v>
      </c>
      <c r="D1290" s="5" t="s">
        <v>758</v>
      </c>
      <c r="E1290" s="5" t="n">
        <v>2</v>
      </c>
      <c r="F1290" s="6" t="n">
        <f aca="false">IFERROR(MATCH(A1290&amp;"|"&amp;B1290&amp;"|"&amp;D1290,'All Song Rankings'!$T:$T,0),0)</f>
        <v>218</v>
      </c>
      <c r="G1290" s="6" t="str">
        <f aca="false">IF(F1290=0,"NOT FOUND",INDEX('All Song Rankings'!$A:$A,F1290))</f>
        <v>Lovebug</v>
      </c>
      <c r="H1290" s="6" t="str">
        <f aca="false">IF(F1290=0,"NOT FOUND",INDEX('All Song Rankings'!$B:$B,F1290))</f>
        <v>Jonas Brothers</v>
      </c>
      <c r="I1290" s="6" t="str">
        <f aca="false">IF(F1290=0,"NOT FOUND",INDEX('All Song Rankings'!$D:$D,F1290))</f>
        <v>Nicole</v>
      </c>
      <c r="J1290" s="7" t="str">
        <f aca="false">IF(F1290=0,"NOT FOUND",IF(C1290=I1290,"SELF-VOTE",IF(COUNTIF($K:$K,K1290)&gt;1,"DUPLICATE","OK")))</f>
        <v>OK</v>
      </c>
      <c r="K1290" s="6" t="str">
        <f aca="false">A1290&amp;"|"&amp;B1290&amp;"|"&amp;C1290&amp;"|"&amp;D1290</f>
        <v>3|2|Colleen|spotify:track:5ILmJ41lSsul2zSmJnqvAy</v>
      </c>
    </row>
    <row r="1291" customFormat="false" ht="15" hidden="false" customHeight="false" outlineLevel="0" collapsed="false">
      <c r="A1291" s="5" t="n">
        <v>3</v>
      </c>
      <c r="B1291" s="5" t="n">
        <v>2</v>
      </c>
      <c r="C1291" s="5" t="s">
        <v>382</v>
      </c>
      <c r="D1291" s="5" t="s">
        <v>750</v>
      </c>
      <c r="E1291" s="5" t="n">
        <v>1</v>
      </c>
      <c r="F1291" s="6" t="n">
        <f aca="false">IFERROR(MATCH(A1291&amp;"|"&amp;B1291&amp;"|"&amp;D1291,'All Song Rankings'!$T:$T,0),0)</f>
        <v>215</v>
      </c>
      <c r="G1291" s="6" t="str">
        <f aca="false">IF(F1291=0,"NOT FOUND",INDEX('All Song Rankings'!$A:$A,F1291))</f>
        <v>Color</v>
      </c>
      <c r="H1291" s="6" t="str">
        <f aca="false">IF(F1291=0,"NOT FOUND",INDEX('All Song Rankings'!$B:$B,F1291))</f>
        <v>Todrick Hall, Jay Armstrong Johnson</v>
      </c>
      <c r="I1291" s="6" t="str">
        <f aca="false">IF(F1291=0,"NOT FOUND",INDEX('All Song Rankings'!$D:$D,F1291))</f>
        <v>Logan</v>
      </c>
      <c r="J1291" s="7" t="str">
        <f aca="false">IF(F1291=0,"NOT FOUND",IF(C1291=I1291,"SELF-VOTE",IF(COUNTIF($K:$K,K1291)&gt;1,"DUPLICATE","OK")))</f>
        <v>OK</v>
      </c>
      <c r="K1291" s="6" t="str">
        <f aca="false">A1291&amp;"|"&amp;B1291&amp;"|"&amp;C1291&amp;"|"&amp;D1291</f>
        <v>3|2|Grace|spotify:track:1oSGSJdYt0Om26M5V6XR5Q</v>
      </c>
    </row>
    <row r="1292" customFormat="false" ht="15" hidden="false" customHeight="false" outlineLevel="0" collapsed="false">
      <c r="A1292" s="5" t="n">
        <v>3</v>
      </c>
      <c r="B1292" s="5" t="n">
        <v>2</v>
      </c>
      <c r="C1292" s="5" t="s">
        <v>382</v>
      </c>
      <c r="D1292" s="5" t="s">
        <v>741</v>
      </c>
      <c r="E1292" s="5" t="n">
        <v>2</v>
      </c>
      <c r="F1292" s="6" t="n">
        <f aca="false">IFERROR(MATCH(A1292&amp;"|"&amp;B1292&amp;"|"&amp;D1292,'All Song Rankings'!$T:$T,0),0)</f>
        <v>212</v>
      </c>
      <c r="G1292" s="6" t="str">
        <f aca="false">IF(F1292=0,"NOT FOUND",INDEX('All Song Rankings'!$A:$A,F1292))</f>
        <v>Because You Loved Me (Theme from "Up Close and Personal")</v>
      </c>
      <c r="H1292" s="6" t="str">
        <f aca="false">IF(F1292=0,"NOT FOUND",INDEX('All Song Rankings'!$B:$B,F1292))</f>
        <v>Céline Dion</v>
      </c>
      <c r="I1292" s="6" t="str">
        <f aca="false">IF(F1292=0,"NOT FOUND",INDEX('All Song Rankings'!$D:$D,F1292))</f>
        <v>Makenzie</v>
      </c>
      <c r="J1292" s="7" t="str">
        <f aca="false">IF(F1292=0,"NOT FOUND",IF(C1292=I1292,"SELF-VOTE",IF(COUNTIF($K:$K,K1292)&gt;1,"DUPLICATE","OK")))</f>
        <v>OK</v>
      </c>
      <c r="K1292" s="6" t="str">
        <f aca="false">A1292&amp;"|"&amp;B1292&amp;"|"&amp;C1292&amp;"|"&amp;D1292</f>
        <v>3|2|Grace|spotify:track:28UMiBhn383n9S7GL4tsxD</v>
      </c>
    </row>
    <row r="1293" customFormat="false" ht="15" hidden="false" customHeight="false" outlineLevel="0" collapsed="false">
      <c r="A1293" s="5" t="n">
        <v>3</v>
      </c>
      <c r="B1293" s="5" t="n">
        <v>2</v>
      </c>
      <c r="C1293" s="5" t="s">
        <v>382</v>
      </c>
      <c r="D1293" s="5" t="s">
        <v>747</v>
      </c>
      <c r="E1293" s="5" t="n">
        <v>1</v>
      </c>
      <c r="F1293" s="6" t="n">
        <f aca="false">IFERROR(MATCH(A1293&amp;"|"&amp;B1293&amp;"|"&amp;D1293,'All Song Rankings'!$T:$T,0),0)</f>
        <v>214</v>
      </c>
      <c r="G1293" s="6" t="str">
        <f aca="false">IF(F1293=0,"NOT FOUND",INDEX('All Song Rankings'!$A:$A,F1293))</f>
        <v>Question</v>
      </c>
      <c r="H1293" s="6" t="str">
        <f aca="false">IF(F1293=0,"NOT FOUND",INDEX('All Song Rankings'!$B:$B,F1293))</f>
        <v>Old 97's</v>
      </c>
      <c r="I1293" s="6" t="str">
        <f aca="false">IF(F1293=0,"NOT FOUND",INDEX('All Song Rankings'!$D:$D,F1293))</f>
        <v>Matt</v>
      </c>
      <c r="J1293" s="7" t="str">
        <f aca="false">IF(F1293=0,"NOT FOUND",IF(C1293=I1293,"SELF-VOTE",IF(COUNTIF($K:$K,K1293)&gt;1,"DUPLICATE","OK")))</f>
        <v>OK</v>
      </c>
      <c r="K1293" s="6" t="str">
        <f aca="false">A1293&amp;"|"&amp;B1293&amp;"|"&amp;C1293&amp;"|"&amp;D1293</f>
        <v>3|2|Grace|spotify:track:2m5ItG3IIMsaGYJjZOvUoE</v>
      </c>
    </row>
    <row r="1294" customFormat="false" ht="15" hidden="false" customHeight="false" outlineLevel="0" collapsed="false">
      <c r="A1294" s="5" t="n">
        <v>3</v>
      </c>
      <c r="B1294" s="5" t="n">
        <v>2</v>
      </c>
      <c r="C1294" s="5" t="s">
        <v>382</v>
      </c>
      <c r="D1294" s="5" t="s">
        <v>732</v>
      </c>
      <c r="E1294" s="5" t="n">
        <v>1</v>
      </c>
      <c r="F1294" s="6" t="n">
        <f aca="false">IFERROR(MATCH(A1294&amp;"|"&amp;B1294&amp;"|"&amp;D1294,'All Song Rankings'!$T:$T,0),0)</f>
        <v>209</v>
      </c>
      <c r="G1294" s="6" t="str">
        <f aca="false">IF(F1294=0,"NOT FOUND",INDEX('All Song Rankings'!$A:$A,F1294))</f>
        <v>Thinking out Loud</v>
      </c>
      <c r="H1294" s="6" t="str">
        <f aca="false">IF(F1294=0,"NOT FOUND",INDEX('All Song Rankings'!$B:$B,F1294))</f>
        <v>Ed Sheeran</v>
      </c>
      <c r="I1294" s="6" t="str">
        <f aca="false">IF(F1294=0,"NOT FOUND",INDEX('All Song Rankings'!$D:$D,F1294))</f>
        <v>Leah</v>
      </c>
      <c r="J1294" s="7" t="str">
        <f aca="false">IF(F1294=0,"NOT FOUND",IF(C1294=I1294,"SELF-VOTE",IF(COUNTIF($K:$K,K1294)&gt;1,"DUPLICATE","OK")))</f>
        <v>OK</v>
      </c>
      <c r="K1294" s="6" t="str">
        <f aca="false">A1294&amp;"|"&amp;B1294&amp;"|"&amp;C1294&amp;"|"&amp;D1294</f>
        <v>3|2|Grace|spotify:track:34gCuhDGsG4bRPIf9bb02f</v>
      </c>
    </row>
    <row r="1295" customFormat="false" ht="15" hidden="false" customHeight="false" outlineLevel="0" collapsed="false">
      <c r="A1295" s="5" t="n">
        <v>3</v>
      </c>
      <c r="B1295" s="5" t="n">
        <v>2</v>
      </c>
      <c r="C1295" s="5" t="s">
        <v>382</v>
      </c>
      <c r="D1295" s="5" t="s">
        <v>738</v>
      </c>
      <c r="E1295" s="5" t="n">
        <v>2</v>
      </c>
      <c r="F1295" s="6" t="n">
        <f aca="false">IFERROR(MATCH(A1295&amp;"|"&amp;B1295&amp;"|"&amp;D1295,'All Song Rankings'!$T:$T,0),0)</f>
        <v>211</v>
      </c>
      <c r="G1295" s="6" t="str">
        <f aca="false">IF(F1295=0,"NOT FOUND",INDEX('All Song Rankings'!$A:$A,F1295))</f>
        <v>Dreams</v>
      </c>
      <c r="H1295" s="6" t="str">
        <f aca="false">IF(F1295=0,"NOT FOUND",INDEX('All Song Rankings'!$B:$B,F1295))</f>
        <v>The Cranberries</v>
      </c>
      <c r="I1295" s="6" t="str">
        <f aca="false">IF(F1295=0,"NOT FOUND",INDEX('All Song Rankings'!$D:$D,F1295))</f>
        <v>Lisa</v>
      </c>
      <c r="J1295" s="7" t="str">
        <f aca="false">IF(F1295=0,"NOT FOUND",IF(C1295=I1295,"SELF-VOTE",IF(COUNTIF($K:$K,K1295)&gt;1,"DUPLICATE","OK")))</f>
        <v>OK</v>
      </c>
      <c r="K1295" s="6" t="str">
        <f aca="false">A1295&amp;"|"&amp;B1295&amp;"|"&amp;C1295&amp;"|"&amp;D1295</f>
        <v>3|2|Grace|spotify:track:4JGKZS7h4Qa16gOU3oNETV</v>
      </c>
    </row>
    <row r="1296" customFormat="false" ht="15" hidden="false" customHeight="false" outlineLevel="0" collapsed="false">
      <c r="A1296" s="5" t="n">
        <v>3</v>
      </c>
      <c r="B1296" s="5" t="n">
        <v>2</v>
      </c>
      <c r="C1296" s="5" t="s">
        <v>382</v>
      </c>
      <c r="D1296" s="5" t="s">
        <v>542</v>
      </c>
      <c r="E1296" s="5" t="n">
        <v>1</v>
      </c>
      <c r="F1296" s="6" t="n">
        <f aca="false">IFERROR(MATCH(A1296&amp;"|"&amp;B1296&amp;"|"&amp;D1296,'All Song Rankings'!$T:$T,0),0)</f>
        <v>219</v>
      </c>
      <c r="G1296" s="6" t="str">
        <f aca="false">IF(F1296=0,"NOT FOUND",INDEX('All Song Rankings'!$A:$A,F1296))</f>
        <v>I Will Always Love You</v>
      </c>
      <c r="H1296" s="6" t="str">
        <f aca="false">IF(F1296=0,"NOT FOUND",INDEX('All Song Rankings'!$B:$B,F1296))</f>
        <v>Whitney Houston</v>
      </c>
      <c r="I1296" s="6" t="str">
        <f aca="false">IF(F1296=0,"NOT FOUND",INDEX('All Song Rankings'!$D:$D,F1296))</f>
        <v>Aubrey</v>
      </c>
      <c r="J1296" s="7" t="str">
        <f aca="false">IF(F1296=0,"NOT FOUND",IF(C1296=I1296,"SELF-VOTE",IF(COUNTIF($K:$K,K1296)&gt;1,"DUPLICATE","OK")))</f>
        <v>OK</v>
      </c>
      <c r="K1296" s="6" t="str">
        <f aca="false">A1296&amp;"|"&amp;B1296&amp;"|"&amp;C1296&amp;"|"&amp;D1296</f>
        <v>3|2|Grace|spotify:track:4eHbdreAnSOrDDsFfc4Fpm</v>
      </c>
    </row>
    <row r="1297" customFormat="false" ht="15" hidden="false" customHeight="false" outlineLevel="0" collapsed="false">
      <c r="A1297" s="5" t="n">
        <v>3</v>
      </c>
      <c r="B1297" s="5" t="n">
        <v>2</v>
      </c>
      <c r="C1297" s="5" t="s">
        <v>382</v>
      </c>
      <c r="D1297" s="5" t="s">
        <v>735</v>
      </c>
      <c r="E1297" s="5" t="n">
        <v>2</v>
      </c>
      <c r="F1297" s="6" t="n">
        <f aca="false">IFERROR(MATCH(A1297&amp;"|"&amp;B1297&amp;"|"&amp;D1297,'All Song Rankings'!$T:$T,0),0)</f>
        <v>210</v>
      </c>
      <c r="G1297" s="6" t="str">
        <f aca="false">IF(F1297=0,"NOT FOUND",INDEX('All Song Rankings'!$A:$A,F1297))</f>
        <v>Wonderful Tonight</v>
      </c>
      <c r="H1297" s="6" t="str">
        <f aca="false">IF(F1297=0,"NOT FOUND",INDEX('All Song Rankings'!$B:$B,F1297))</f>
        <v>Eric Clapton</v>
      </c>
      <c r="I1297" s="6" t="str">
        <f aca="false">IF(F1297=0,"NOT FOUND",INDEX('All Song Rankings'!$D:$D,F1297))</f>
        <v>Stephanie</v>
      </c>
      <c r="J1297" s="7" t="str">
        <f aca="false">IF(F1297=0,"NOT FOUND",IF(C1297=I1297,"SELF-VOTE",IF(COUNTIF($K:$K,K1297)&gt;1,"DUPLICATE","OK")))</f>
        <v>OK</v>
      </c>
      <c r="K1297" s="6" t="str">
        <f aca="false">A1297&amp;"|"&amp;B1297&amp;"|"&amp;C1297&amp;"|"&amp;D1297</f>
        <v>3|2|Grace|spotify:track:6zC0mpGYwbNTpk9SKwh08f</v>
      </c>
    </row>
    <row r="1298" customFormat="false" ht="15" hidden="false" customHeight="false" outlineLevel="0" collapsed="false">
      <c r="A1298" s="5" t="n">
        <v>3</v>
      </c>
      <c r="B1298" s="5" t="n">
        <v>2</v>
      </c>
      <c r="C1298" s="5" t="s">
        <v>85</v>
      </c>
      <c r="D1298" s="5" t="s">
        <v>750</v>
      </c>
      <c r="E1298" s="5" t="n">
        <v>1</v>
      </c>
      <c r="F1298" s="6" t="n">
        <f aca="false">IFERROR(MATCH(A1298&amp;"|"&amp;B1298&amp;"|"&amp;D1298,'All Song Rankings'!$T:$T,0),0)</f>
        <v>215</v>
      </c>
      <c r="G1298" s="6" t="str">
        <f aca="false">IF(F1298=0,"NOT FOUND",INDEX('All Song Rankings'!$A:$A,F1298))</f>
        <v>Color</v>
      </c>
      <c r="H1298" s="6" t="str">
        <f aca="false">IF(F1298=0,"NOT FOUND",INDEX('All Song Rankings'!$B:$B,F1298))</f>
        <v>Todrick Hall, Jay Armstrong Johnson</v>
      </c>
      <c r="I1298" s="6" t="str">
        <f aca="false">IF(F1298=0,"NOT FOUND",INDEX('All Song Rankings'!$D:$D,F1298))</f>
        <v>Logan</v>
      </c>
      <c r="J1298" s="7" t="str">
        <f aca="false">IF(F1298=0,"NOT FOUND",IF(C1298=I1298,"SELF-VOTE",IF(COUNTIF($K:$K,K1298)&gt;1,"DUPLICATE","OK")))</f>
        <v>OK</v>
      </c>
      <c r="K1298" s="6" t="str">
        <f aca="false">A1298&amp;"|"&amp;B1298&amp;"|"&amp;C1298&amp;"|"&amp;D1298</f>
        <v>3|2|Kelsey|spotify:track:1oSGSJdYt0Om26M5V6XR5Q</v>
      </c>
    </row>
    <row r="1299" customFormat="false" ht="15" hidden="false" customHeight="false" outlineLevel="0" collapsed="false">
      <c r="A1299" s="5" t="n">
        <v>3</v>
      </c>
      <c r="B1299" s="5" t="n">
        <v>2</v>
      </c>
      <c r="C1299" s="5" t="s">
        <v>85</v>
      </c>
      <c r="D1299" s="5" t="s">
        <v>741</v>
      </c>
      <c r="E1299" s="5" t="n">
        <v>1</v>
      </c>
      <c r="F1299" s="6" t="n">
        <f aca="false">IFERROR(MATCH(A1299&amp;"|"&amp;B1299&amp;"|"&amp;D1299,'All Song Rankings'!$T:$T,0),0)</f>
        <v>212</v>
      </c>
      <c r="G1299" s="6" t="str">
        <f aca="false">IF(F1299=0,"NOT FOUND",INDEX('All Song Rankings'!$A:$A,F1299))</f>
        <v>Because You Loved Me (Theme from "Up Close and Personal")</v>
      </c>
      <c r="H1299" s="6" t="str">
        <f aca="false">IF(F1299=0,"NOT FOUND",INDEX('All Song Rankings'!$B:$B,F1299))</f>
        <v>Céline Dion</v>
      </c>
      <c r="I1299" s="6" t="str">
        <f aca="false">IF(F1299=0,"NOT FOUND",INDEX('All Song Rankings'!$D:$D,F1299))</f>
        <v>Makenzie</v>
      </c>
      <c r="J1299" s="7" t="str">
        <f aca="false">IF(F1299=0,"NOT FOUND",IF(C1299=I1299,"SELF-VOTE",IF(COUNTIF($K:$K,K1299)&gt;1,"DUPLICATE","OK")))</f>
        <v>OK</v>
      </c>
      <c r="K1299" s="6" t="str">
        <f aca="false">A1299&amp;"|"&amp;B1299&amp;"|"&amp;C1299&amp;"|"&amp;D1299</f>
        <v>3|2|Kelsey|spotify:track:28UMiBhn383n9S7GL4tsxD</v>
      </c>
    </row>
    <row r="1300" customFormat="false" ht="15" hidden="false" customHeight="false" outlineLevel="0" collapsed="false">
      <c r="A1300" s="5" t="n">
        <v>3</v>
      </c>
      <c r="B1300" s="5" t="n">
        <v>2</v>
      </c>
      <c r="C1300" s="5" t="s">
        <v>85</v>
      </c>
      <c r="D1300" s="5" t="s">
        <v>744</v>
      </c>
      <c r="E1300" s="5" t="n">
        <v>2</v>
      </c>
      <c r="F1300" s="6" t="n">
        <f aca="false">IFERROR(MATCH(A1300&amp;"|"&amp;B1300&amp;"|"&amp;D1300,'All Song Rankings'!$T:$T,0),0)</f>
        <v>213</v>
      </c>
      <c r="G1300" s="6" t="str">
        <f aca="false">IF(F1300=0,"NOT FOUND",INDEX('All Song Rankings'!$A:$A,F1300))</f>
        <v>No Matter Where You Are</v>
      </c>
      <c r="H1300" s="6" t="str">
        <f aca="false">IF(F1300=0,"NOT FOUND",INDEX('All Song Rankings'!$B:$B,F1300))</f>
        <v>Us The Duo</v>
      </c>
      <c r="I1300" s="6" t="str">
        <f aca="false">IF(F1300=0,"NOT FOUND",INDEX('All Song Rankings'!$D:$D,F1300))</f>
        <v>Grace</v>
      </c>
      <c r="J1300" s="7" t="str">
        <f aca="false">IF(F1300=0,"NOT FOUND",IF(C1300=I1300,"SELF-VOTE",IF(COUNTIF($K:$K,K1300)&gt;1,"DUPLICATE","OK")))</f>
        <v>OK</v>
      </c>
      <c r="K1300" s="6" t="str">
        <f aca="false">A1300&amp;"|"&amp;B1300&amp;"|"&amp;C1300&amp;"|"&amp;D1300</f>
        <v>3|2|Kelsey|spotify:track:2XW4AAjfBQTzp7Oe1tU702</v>
      </c>
    </row>
    <row r="1301" customFormat="false" ht="15" hidden="false" customHeight="false" outlineLevel="0" collapsed="false">
      <c r="A1301" s="5" t="n">
        <v>3</v>
      </c>
      <c r="B1301" s="5" t="n">
        <v>2</v>
      </c>
      <c r="C1301" s="5" t="s">
        <v>85</v>
      </c>
      <c r="D1301" s="5" t="s">
        <v>732</v>
      </c>
      <c r="E1301" s="5" t="n">
        <v>1</v>
      </c>
      <c r="F1301" s="6" t="n">
        <f aca="false">IFERROR(MATCH(A1301&amp;"|"&amp;B1301&amp;"|"&amp;D1301,'All Song Rankings'!$T:$T,0),0)</f>
        <v>209</v>
      </c>
      <c r="G1301" s="6" t="str">
        <f aca="false">IF(F1301=0,"NOT FOUND",INDEX('All Song Rankings'!$A:$A,F1301))</f>
        <v>Thinking out Loud</v>
      </c>
      <c r="H1301" s="6" t="str">
        <f aca="false">IF(F1301=0,"NOT FOUND",INDEX('All Song Rankings'!$B:$B,F1301))</f>
        <v>Ed Sheeran</v>
      </c>
      <c r="I1301" s="6" t="str">
        <f aca="false">IF(F1301=0,"NOT FOUND",INDEX('All Song Rankings'!$D:$D,F1301))</f>
        <v>Leah</v>
      </c>
      <c r="J1301" s="7" t="str">
        <f aca="false">IF(F1301=0,"NOT FOUND",IF(C1301=I1301,"SELF-VOTE",IF(COUNTIF($K:$K,K1301)&gt;1,"DUPLICATE","OK")))</f>
        <v>OK</v>
      </c>
      <c r="K1301" s="6" t="str">
        <f aca="false">A1301&amp;"|"&amp;B1301&amp;"|"&amp;C1301&amp;"|"&amp;D1301</f>
        <v>3|2|Kelsey|spotify:track:34gCuhDGsG4bRPIf9bb02f</v>
      </c>
    </row>
    <row r="1302" customFormat="false" ht="15" hidden="false" customHeight="false" outlineLevel="0" collapsed="false">
      <c r="A1302" s="5" t="n">
        <v>3</v>
      </c>
      <c r="B1302" s="5" t="n">
        <v>2</v>
      </c>
      <c r="C1302" s="5" t="s">
        <v>85</v>
      </c>
      <c r="D1302" s="5" t="s">
        <v>758</v>
      </c>
      <c r="E1302" s="5" t="n">
        <v>1</v>
      </c>
      <c r="F1302" s="6" t="n">
        <f aca="false">IFERROR(MATCH(A1302&amp;"|"&amp;B1302&amp;"|"&amp;D1302,'All Song Rankings'!$T:$T,0),0)</f>
        <v>218</v>
      </c>
      <c r="G1302" s="6" t="str">
        <f aca="false">IF(F1302=0,"NOT FOUND",INDEX('All Song Rankings'!$A:$A,F1302))</f>
        <v>Lovebug</v>
      </c>
      <c r="H1302" s="6" t="str">
        <f aca="false">IF(F1302=0,"NOT FOUND",INDEX('All Song Rankings'!$B:$B,F1302))</f>
        <v>Jonas Brothers</v>
      </c>
      <c r="I1302" s="6" t="str">
        <f aca="false">IF(F1302=0,"NOT FOUND",INDEX('All Song Rankings'!$D:$D,F1302))</f>
        <v>Nicole</v>
      </c>
      <c r="J1302" s="7" t="str">
        <f aca="false">IF(F1302=0,"NOT FOUND",IF(C1302=I1302,"SELF-VOTE",IF(COUNTIF($K:$K,K1302)&gt;1,"DUPLICATE","OK")))</f>
        <v>OK</v>
      </c>
      <c r="K1302" s="6" t="str">
        <f aca="false">A1302&amp;"|"&amp;B1302&amp;"|"&amp;C1302&amp;"|"&amp;D1302</f>
        <v>3|2|Kelsey|spotify:track:5ILmJ41lSsul2zSmJnqvAy</v>
      </c>
    </row>
    <row r="1303" customFormat="false" ht="15" hidden="false" customHeight="false" outlineLevel="0" collapsed="false">
      <c r="A1303" s="5" t="n">
        <v>3</v>
      </c>
      <c r="B1303" s="5" t="n">
        <v>2</v>
      </c>
      <c r="C1303" s="5" t="s">
        <v>85</v>
      </c>
      <c r="D1303" s="5" t="s">
        <v>761</v>
      </c>
      <c r="E1303" s="5" t="n">
        <v>1</v>
      </c>
      <c r="F1303" s="6" t="n">
        <f aca="false">IFERROR(MATCH(A1303&amp;"|"&amp;B1303&amp;"|"&amp;D1303,'All Song Rankings'!$T:$T,0),0)</f>
        <v>220</v>
      </c>
      <c r="G1303" s="6" t="str">
        <f aca="false">IF(F1303=0,"NOT FOUND",INDEX('All Song Rankings'!$A:$A,F1303))</f>
        <v>Who I Am</v>
      </c>
      <c r="H1303" s="6" t="str">
        <f aca="false">IF(F1303=0,"NOT FOUND",INDEX('All Song Rankings'!$B:$B,F1303))</f>
        <v>Wade Bowen</v>
      </c>
      <c r="I1303" s="6" t="str">
        <f aca="false">IF(F1303=0,"NOT FOUND",INDEX('All Song Rankings'!$D:$D,F1303))</f>
        <v>Colleen</v>
      </c>
      <c r="J1303" s="7" t="str">
        <f aca="false">IF(F1303=0,"NOT FOUND",IF(C1303=I1303,"SELF-VOTE",IF(COUNTIF($K:$K,K1303)&gt;1,"DUPLICATE","OK")))</f>
        <v>OK</v>
      </c>
      <c r="K1303" s="6" t="str">
        <f aca="false">A1303&amp;"|"&amp;B1303&amp;"|"&amp;C1303&amp;"|"&amp;D1303</f>
        <v>3|2|Kelsey|spotify:track:5XlN58Ay3R3cE7P7c9XjaC</v>
      </c>
    </row>
    <row r="1304" customFormat="false" ht="15" hidden="false" customHeight="false" outlineLevel="0" collapsed="false">
      <c r="A1304" s="5" t="n">
        <v>3</v>
      </c>
      <c r="B1304" s="5" t="n">
        <v>2</v>
      </c>
      <c r="C1304" s="5" t="s">
        <v>85</v>
      </c>
      <c r="D1304" s="5" t="s">
        <v>730</v>
      </c>
      <c r="E1304" s="5" t="n">
        <v>2</v>
      </c>
      <c r="F1304" s="6" t="n">
        <f aca="false">IFERROR(MATCH(A1304&amp;"|"&amp;B1304&amp;"|"&amp;D1304,'All Song Rankings'!$T:$T,0),0)</f>
        <v>208</v>
      </c>
      <c r="G1304" s="6" t="str">
        <f aca="false">IF(F1304=0,"NOT FOUND",INDEX('All Song Rankings'!$A:$A,F1304))</f>
        <v>a thousand years</v>
      </c>
      <c r="H1304" s="6" t="str">
        <f aca="false">IF(F1304=0,"NOT FOUND",INDEX('All Song Rankings'!$B:$B,F1304))</f>
        <v>Christina Perri</v>
      </c>
      <c r="I1304" s="6" t="str">
        <f aca="false">IF(F1304=0,"NOT FOUND",INDEX('All Song Rankings'!$D:$D,F1304))</f>
        <v>Merita</v>
      </c>
      <c r="J1304" s="7" t="str">
        <f aca="false">IF(F1304=0,"NOT FOUND",IF(C1304=I1304,"SELF-VOTE",IF(COUNTIF($K:$K,K1304)&gt;1,"DUPLICATE","OK")))</f>
        <v>OK</v>
      </c>
      <c r="K1304" s="6" t="str">
        <f aca="false">A1304&amp;"|"&amp;B1304&amp;"|"&amp;C1304&amp;"|"&amp;D1304</f>
        <v>3|2|Kelsey|spotify:track:6lanRgr6wXibZr8KgzXxBl</v>
      </c>
    </row>
    <row r="1305" customFormat="false" ht="15" hidden="false" customHeight="false" outlineLevel="0" collapsed="false">
      <c r="A1305" s="5" t="n">
        <v>3</v>
      </c>
      <c r="B1305" s="5" t="n">
        <v>2</v>
      </c>
      <c r="C1305" s="5" t="s">
        <v>85</v>
      </c>
      <c r="D1305" s="5" t="s">
        <v>735</v>
      </c>
      <c r="E1305" s="5" t="n">
        <v>1</v>
      </c>
      <c r="F1305" s="6" t="n">
        <f aca="false">IFERROR(MATCH(A1305&amp;"|"&amp;B1305&amp;"|"&amp;D1305,'All Song Rankings'!$T:$T,0),0)</f>
        <v>210</v>
      </c>
      <c r="G1305" s="6" t="str">
        <f aca="false">IF(F1305=0,"NOT FOUND",INDEX('All Song Rankings'!$A:$A,F1305))</f>
        <v>Wonderful Tonight</v>
      </c>
      <c r="H1305" s="6" t="str">
        <f aca="false">IF(F1305=0,"NOT FOUND",INDEX('All Song Rankings'!$B:$B,F1305))</f>
        <v>Eric Clapton</v>
      </c>
      <c r="I1305" s="6" t="str">
        <f aca="false">IF(F1305=0,"NOT FOUND",INDEX('All Song Rankings'!$D:$D,F1305))</f>
        <v>Stephanie</v>
      </c>
      <c r="J1305" s="7" t="str">
        <f aca="false">IF(F1305=0,"NOT FOUND",IF(C1305=I1305,"SELF-VOTE",IF(COUNTIF($K:$K,K1305)&gt;1,"DUPLICATE","OK")))</f>
        <v>OK</v>
      </c>
      <c r="K1305" s="6" t="str">
        <f aca="false">A1305&amp;"|"&amp;B1305&amp;"|"&amp;C1305&amp;"|"&amp;D1305</f>
        <v>3|2|Kelsey|spotify:track:6zC0mpGYwbNTpk9SKwh08f</v>
      </c>
    </row>
    <row r="1306" customFormat="false" ht="15" hidden="false" customHeight="false" outlineLevel="0" collapsed="false">
      <c r="A1306" s="5" t="n">
        <v>3</v>
      </c>
      <c r="B1306" s="5" t="n">
        <v>2</v>
      </c>
      <c r="C1306" s="5" t="s">
        <v>106</v>
      </c>
      <c r="D1306" s="5" t="s">
        <v>750</v>
      </c>
      <c r="E1306" s="5" t="n">
        <v>2</v>
      </c>
      <c r="F1306" s="6" t="n">
        <f aca="false">IFERROR(MATCH(A1306&amp;"|"&amp;B1306&amp;"|"&amp;D1306,'All Song Rankings'!$T:$T,0),0)</f>
        <v>215</v>
      </c>
      <c r="G1306" s="6" t="str">
        <f aca="false">IF(F1306=0,"NOT FOUND",INDEX('All Song Rankings'!$A:$A,F1306))</f>
        <v>Color</v>
      </c>
      <c r="H1306" s="6" t="str">
        <f aca="false">IF(F1306=0,"NOT FOUND",INDEX('All Song Rankings'!$B:$B,F1306))</f>
        <v>Todrick Hall, Jay Armstrong Johnson</v>
      </c>
      <c r="I1306" s="6" t="str">
        <f aca="false">IF(F1306=0,"NOT FOUND",INDEX('All Song Rankings'!$D:$D,F1306))</f>
        <v>Logan</v>
      </c>
      <c r="J1306" s="7" t="str">
        <f aca="false">IF(F1306=0,"NOT FOUND",IF(C1306=I1306,"SELF-VOTE",IF(COUNTIF($K:$K,K1306)&gt;1,"DUPLICATE","OK")))</f>
        <v>OK</v>
      </c>
      <c r="K1306" s="6" t="str">
        <f aca="false">A1306&amp;"|"&amp;B1306&amp;"|"&amp;C1306&amp;"|"&amp;D1306</f>
        <v>3|2|Kristen|spotify:track:1oSGSJdYt0Om26M5V6XR5Q</v>
      </c>
    </row>
    <row r="1307" customFormat="false" ht="15" hidden="false" customHeight="false" outlineLevel="0" collapsed="false">
      <c r="A1307" s="5" t="n">
        <v>3</v>
      </c>
      <c r="B1307" s="5" t="n">
        <v>2</v>
      </c>
      <c r="C1307" s="5" t="s">
        <v>106</v>
      </c>
      <c r="D1307" s="5" t="s">
        <v>744</v>
      </c>
      <c r="E1307" s="5" t="n">
        <v>1</v>
      </c>
      <c r="F1307" s="6" t="n">
        <f aca="false">IFERROR(MATCH(A1307&amp;"|"&amp;B1307&amp;"|"&amp;D1307,'All Song Rankings'!$T:$T,0),0)</f>
        <v>213</v>
      </c>
      <c r="G1307" s="6" t="str">
        <f aca="false">IF(F1307=0,"NOT FOUND",INDEX('All Song Rankings'!$A:$A,F1307))</f>
        <v>No Matter Where You Are</v>
      </c>
      <c r="H1307" s="6" t="str">
        <f aca="false">IF(F1307=0,"NOT FOUND",INDEX('All Song Rankings'!$B:$B,F1307))</f>
        <v>Us The Duo</v>
      </c>
      <c r="I1307" s="6" t="str">
        <f aca="false">IF(F1307=0,"NOT FOUND",INDEX('All Song Rankings'!$D:$D,F1307))</f>
        <v>Grace</v>
      </c>
      <c r="J1307" s="7" t="str">
        <f aca="false">IF(F1307=0,"NOT FOUND",IF(C1307=I1307,"SELF-VOTE",IF(COUNTIF($K:$K,K1307)&gt;1,"DUPLICATE","OK")))</f>
        <v>OK</v>
      </c>
      <c r="K1307" s="6" t="str">
        <f aca="false">A1307&amp;"|"&amp;B1307&amp;"|"&amp;C1307&amp;"|"&amp;D1307</f>
        <v>3|2|Kristen|spotify:track:2XW4AAjfBQTzp7Oe1tU702</v>
      </c>
    </row>
    <row r="1308" customFormat="false" ht="15" hidden="false" customHeight="false" outlineLevel="0" collapsed="false">
      <c r="A1308" s="5" t="n">
        <v>3</v>
      </c>
      <c r="B1308" s="5" t="n">
        <v>2</v>
      </c>
      <c r="C1308" s="5" t="s">
        <v>106</v>
      </c>
      <c r="D1308" s="5" t="s">
        <v>747</v>
      </c>
      <c r="E1308" s="5" t="n">
        <v>1</v>
      </c>
      <c r="F1308" s="6" t="n">
        <f aca="false">IFERROR(MATCH(A1308&amp;"|"&amp;B1308&amp;"|"&amp;D1308,'All Song Rankings'!$T:$T,0),0)</f>
        <v>214</v>
      </c>
      <c r="G1308" s="6" t="str">
        <f aca="false">IF(F1308=0,"NOT FOUND",INDEX('All Song Rankings'!$A:$A,F1308))</f>
        <v>Question</v>
      </c>
      <c r="H1308" s="6" t="str">
        <f aca="false">IF(F1308=0,"NOT FOUND",INDEX('All Song Rankings'!$B:$B,F1308))</f>
        <v>Old 97's</v>
      </c>
      <c r="I1308" s="6" t="str">
        <f aca="false">IF(F1308=0,"NOT FOUND",INDEX('All Song Rankings'!$D:$D,F1308))</f>
        <v>Matt</v>
      </c>
      <c r="J1308" s="7" t="str">
        <f aca="false">IF(F1308=0,"NOT FOUND",IF(C1308=I1308,"SELF-VOTE",IF(COUNTIF($K:$K,K1308)&gt;1,"DUPLICATE","OK")))</f>
        <v>OK</v>
      </c>
      <c r="K1308" s="6" t="str">
        <f aca="false">A1308&amp;"|"&amp;B1308&amp;"|"&amp;C1308&amp;"|"&amp;D1308</f>
        <v>3|2|Kristen|spotify:track:2m5ItG3IIMsaGYJjZOvUoE</v>
      </c>
    </row>
    <row r="1309" customFormat="false" ht="15" hidden="false" customHeight="false" outlineLevel="0" collapsed="false">
      <c r="A1309" s="5" t="n">
        <v>3</v>
      </c>
      <c r="B1309" s="5" t="n">
        <v>2</v>
      </c>
      <c r="C1309" s="5" t="s">
        <v>106</v>
      </c>
      <c r="D1309" s="5" t="s">
        <v>732</v>
      </c>
      <c r="E1309" s="5" t="n">
        <v>2</v>
      </c>
      <c r="F1309" s="6" t="n">
        <f aca="false">IFERROR(MATCH(A1309&amp;"|"&amp;B1309&amp;"|"&amp;D1309,'All Song Rankings'!$T:$T,0),0)</f>
        <v>209</v>
      </c>
      <c r="G1309" s="6" t="str">
        <f aca="false">IF(F1309=0,"NOT FOUND",INDEX('All Song Rankings'!$A:$A,F1309))</f>
        <v>Thinking out Loud</v>
      </c>
      <c r="H1309" s="6" t="str">
        <f aca="false">IF(F1309=0,"NOT FOUND",INDEX('All Song Rankings'!$B:$B,F1309))</f>
        <v>Ed Sheeran</v>
      </c>
      <c r="I1309" s="6" t="str">
        <f aca="false">IF(F1309=0,"NOT FOUND",INDEX('All Song Rankings'!$D:$D,F1309))</f>
        <v>Leah</v>
      </c>
      <c r="J1309" s="7" t="str">
        <f aca="false">IF(F1309=0,"NOT FOUND",IF(C1309=I1309,"SELF-VOTE",IF(COUNTIF($K:$K,K1309)&gt;1,"DUPLICATE","OK")))</f>
        <v>OK</v>
      </c>
      <c r="K1309" s="6" t="str">
        <f aca="false">A1309&amp;"|"&amp;B1309&amp;"|"&amp;C1309&amp;"|"&amp;D1309</f>
        <v>3|2|Kristen|spotify:track:34gCuhDGsG4bRPIf9bb02f</v>
      </c>
    </row>
    <row r="1310" customFormat="false" ht="15" hidden="false" customHeight="false" outlineLevel="0" collapsed="false">
      <c r="A1310" s="5" t="n">
        <v>3</v>
      </c>
      <c r="B1310" s="5" t="n">
        <v>2</v>
      </c>
      <c r="C1310" s="5" t="s">
        <v>106</v>
      </c>
      <c r="D1310" s="5" t="s">
        <v>738</v>
      </c>
      <c r="E1310" s="5" t="n">
        <v>2</v>
      </c>
      <c r="F1310" s="6" t="n">
        <f aca="false">IFERROR(MATCH(A1310&amp;"|"&amp;B1310&amp;"|"&amp;D1310,'All Song Rankings'!$T:$T,0),0)</f>
        <v>211</v>
      </c>
      <c r="G1310" s="6" t="str">
        <f aca="false">IF(F1310=0,"NOT FOUND",INDEX('All Song Rankings'!$A:$A,F1310))</f>
        <v>Dreams</v>
      </c>
      <c r="H1310" s="6" t="str">
        <f aca="false">IF(F1310=0,"NOT FOUND",INDEX('All Song Rankings'!$B:$B,F1310))</f>
        <v>The Cranberries</v>
      </c>
      <c r="I1310" s="6" t="str">
        <f aca="false">IF(F1310=0,"NOT FOUND",INDEX('All Song Rankings'!$D:$D,F1310))</f>
        <v>Lisa</v>
      </c>
      <c r="J1310" s="7" t="str">
        <f aca="false">IF(F1310=0,"NOT FOUND",IF(C1310=I1310,"SELF-VOTE",IF(COUNTIF($K:$K,K1310)&gt;1,"DUPLICATE","OK")))</f>
        <v>OK</v>
      </c>
      <c r="K1310" s="6" t="str">
        <f aca="false">A1310&amp;"|"&amp;B1310&amp;"|"&amp;C1310&amp;"|"&amp;D1310</f>
        <v>3|2|Kristen|spotify:track:4JGKZS7h4Qa16gOU3oNETV</v>
      </c>
    </row>
    <row r="1311" customFormat="false" ht="15" hidden="false" customHeight="false" outlineLevel="0" collapsed="false">
      <c r="A1311" s="5" t="n">
        <v>3</v>
      </c>
      <c r="B1311" s="5" t="n">
        <v>2</v>
      </c>
      <c r="C1311" s="5" t="s">
        <v>106</v>
      </c>
      <c r="D1311" s="5" t="s">
        <v>730</v>
      </c>
      <c r="E1311" s="5" t="n">
        <v>2</v>
      </c>
      <c r="F1311" s="6" t="n">
        <f aca="false">IFERROR(MATCH(A1311&amp;"|"&amp;B1311&amp;"|"&amp;D1311,'All Song Rankings'!$T:$T,0),0)</f>
        <v>208</v>
      </c>
      <c r="G1311" s="6" t="str">
        <f aca="false">IF(F1311=0,"NOT FOUND",INDEX('All Song Rankings'!$A:$A,F1311))</f>
        <v>a thousand years</v>
      </c>
      <c r="H1311" s="6" t="str">
        <f aca="false">IF(F1311=0,"NOT FOUND",INDEX('All Song Rankings'!$B:$B,F1311))</f>
        <v>Christina Perri</v>
      </c>
      <c r="I1311" s="6" t="str">
        <f aca="false">IF(F1311=0,"NOT FOUND",INDEX('All Song Rankings'!$D:$D,F1311))</f>
        <v>Merita</v>
      </c>
      <c r="J1311" s="7" t="str">
        <f aca="false">IF(F1311=0,"NOT FOUND",IF(C1311=I1311,"SELF-VOTE",IF(COUNTIF($K:$K,K1311)&gt;1,"DUPLICATE","OK")))</f>
        <v>OK</v>
      </c>
      <c r="K1311" s="6" t="str">
        <f aca="false">A1311&amp;"|"&amp;B1311&amp;"|"&amp;C1311&amp;"|"&amp;D1311</f>
        <v>3|2|Kristen|spotify:track:6lanRgr6wXibZr8KgzXxBl</v>
      </c>
    </row>
    <row r="1312" customFormat="false" ht="15" hidden="false" customHeight="false" outlineLevel="0" collapsed="false">
      <c r="A1312" s="5" t="n">
        <v>3</v>
      </c>
      <c r="B1312" s="5" t="n">
        <v>2</v>
      </c>
      <c r="C1312" s="5" t="s">
        <v>119</v>
      </c>
      <c r="D1312" s="5" t="s">
        <v>750</v>
      </c>
      <c r="E1312" s="5" t="n">
        <v>1</v>
      </c>
      <c r="F1312" s="6" t="n">
        <f aca="false">IFERROR(MATCH(A1312&amp;"|"&amp;B1312&amp;"|"&amp;D1312,'All Song Rankings'!$T:$T,0),0)</f>
        <v>215</v>
      </c>
      <c r="G1312" s="6" t="str">
        <f aca="false">IF(F1312=0,"NOT FOUND",INDEX('All Song Rankings'!$A:$A,F1312))</f>
        <v>Color</v>
      </c>
      <c r="H1312" s="6" t="str">
        <f aca="false">IF(F1312=0,"NOT FOUND",INDEX('All Song Rankings'!$B:$B,F1312))</f>
        <v>Todrick Hall, Jay Armstrong Johnson</v>
      </c>
      <c r="I1312" s="6" t="str">
        <f aca="false">IF(F1312=0,"NOT FOUND",INDEX('All Song Rankings'!$D:$D,F1312))</f>
        <v>Logan</v>
      </c>
      <c r="J1312" s="7" t="str">
        <f aca="false">IF(F1312=0,"NOT FOUND",IF(C1312=I1312,"SELF-VOTE",IF(COUNTIF($K:$K,K1312)&gt;1,"DUPLICATE","OK")))</f>
        <v>OK</v>
      </c>
      <c r="K1312" s="6" t="str">
        <f aca="false">A1312&amp;"|"&amp;B1312&amp;"|"&amp;C1312&amp;"|"&amp;D1312</f>
        <v>3|2|Leah|spotify:track:1oSGSJdYt0Om26M5V6XR5Q</v>
      </c>
    </row>
    <row r="1313" customFormat="false" ht="15" hidden="false" customHeight="false" outlineLevel="0" collapsed="false">
      <c r="A1313" s="5" t="n">
        <v>3</v>
      </c>
      <c r="B1313" s="5" t="n">
        <v>2</v>
      </c>
      <c r="C1313" s="5" t="s">
        <v>119</v>
      </c>
      <c r="D1313" s="5" t="s">
        <v>764</v>
      </c>
      <c r="E1313" s="5" t="n">
        <v>1</v>
      </c>
      <c r="F1313" s="6" t="n">
        <f aca="false">IFERROR(MATCH(A1313&amp;"|"&amp;B1313&amp;"|"&amp;D1313,'All Song Rankings'!$T:$T,0),0)</f>
        <v>221</v>
      </c>
      <c r="G1313" s="6" t="str">
        <f aca="false">IF(F1313=0,"NOT FOUND",INDEX('All Song Rankings'!$A:$A,F1313))</f>
        <v>You and Tequila (feat. Grace Potter)</v>
      </c>
      <c r="H1313" s="6" t="str">
        <f aca="false">IF(F1313=0,"NOT FOUND",INDEX('All Song Rankings'!$B:$B,F1313))</f>
        <v>Kenny Chesney, Grace Potter</v>
      </c>
      <c r="I1313" s="6" t="str">
        <f aca="false">IF(F1313=0,"NOT FOUND",INDEX('All Song Rankings'!$D:$D,F1313))</f>
        <v>Christine</v>
      </c>
      <c r="J1313" s="7" t="str">
        <f aca="false">IF(F1313=0,"NOT FOUND",IF(C1313=I1313,"SELF-VOTE",IF(COUNTIF($K:$K,K1313)&gt;1,"DUPLICATE","OK")))</f>
        <v>OK</v>
      </c>
      <c r="K1313" s="6" t="str">
        <f aca="false">A1313&amp;"|"&amp;B1313&amp;"|"&amp;C1313&amp;"|"&amp;D1313</f>
        <v>3|2|Leah|spotify:track:1t2hJFgJyUPD2crOafMUEk</v>
      </c>
    </row>
    <row r="1314" customFormat="false" ht="15" hidden="false" customHeight="false" outlineLevel="0" collapsed="false">
      <c r="A1314" s="5" t="n">
        <v>3</v>
      </c>
      <c r="B1314" s="5" t="n">
        <v>2</v>
      </c>
      <c r="C1314" s="5" t="s">
        <v>119</v>
      </c>
      <c r="D1314" s="5" t="s">
        <v>744</v>
      </c>
      <c r="E1314" s="5" t="n">
        <v>1</v>
      </c>
      <c r="F1314" s="6" t="n">
        <f aca="false">IFERROR(MATCH(A1314&amp;"|"&amp;B1314&amp;"|"&amp;D1314,'All Song Rankings'!$T:$T,0),0)</f>
        <v>213</v>
      </c>
      <c r="G1314" s="6" t="str">
        <f aca="false">IF(F1314=0,"NOT FOUND",INDEX('All Song Rankings'!$A:$A,F1314))</f>
        <v>No Matter Where You Are</v>
      </c>
      <c r="H1314" s="6" t="str">
        <f aca="false">IF(F1314=0,"NOT FOUND",INDEX('All Song Rankings'!$B:$B,F1314))</f>
        <v>Us The Duo</v>
      </c>
      <c r="I1314" s="6" t="str">
        <f aca="false">IF(F1314=0,"NOT FOUND",INDEX('All Song Rankings'!$D:$D,F1314))</f>
        <v>Grace</v>
      </c>
      <c r="J1314" s="7" t="str">
        <f aca="false">IF(F1314=0,"NOT FOUND",IF(C1314=I1314,"SELF-VOTE",IF(COUNTIF($K:$K,K1314)&gt;1,"DUPLICATE","OK")))</f>
        <v>OK</v>
      </c>
      <c r="K1314" s="6" t="str">
        <f aca="false">A1314&amp;"|"&amp;B1314&amp;"|"&amp;C1314&amp;"|"&amp;D1314</f>
        <v>3|2|Leah|spotify:track:2XW4AAjfBQTzp7Oe1tU702</v>
      </c>
    </row>
    <row r="1315" customFormat="false" ht="15" hidden="false" customHeight="false" outlineLevel="0" collapsed="false">
      <c r="A1315" s="5" t="n">
        <v>3</v>
      </c>
      <c r="B1315" s="5" t="n">
        <v>2</v>
      </c>
      <c r="C1315" s="5" t="s">
        <v>119</v>
      </c>
      <c r="D1315" s="5" t="s">
        <v>747</v>
      </c>
      <c r="E1315" s="5" t="n">
        <v>1</v>
      </c>
      <c r="F1315" s="6" t="n">
        <f aca="false">IFERROR(MATCH(A1315&amp;"|"&amp;B1315&amp;"|"&amp;D1315,'All Song Rankings'!$T:$T,0),0)</f>
        <v>214</v>
      </c>
      <c r="G1315" s="6" t="str">
        <f aca="false">IF(F1315=0,"NOT FOUND",INDEX('All Song Rankings'!$A:$A,F1315))</f>
        <v>Question</v>
      </c>
      <c r="H1315" s="6" t="str">
        <f aca="false">IF(F1315=0,"NOT FOUND",INDEX('All Song Rankings'!$B:$B,F1315))</f>
        <v>Old 97's</v>
      </c>
      <c r="I1315" s="6" t="str">
        <f aca="false">IF(F1315=0,"NOT FOUND",INDEX('All Song Rankings'!$D:$D,F1315))</f>
        <v>Matt</v>
      </c>
      <c r="J1315" s="7" t="str">
        <f aca="false">IF(F1315=0,"NOT FOUND",IF(C1315=I1315,"SELF-VOTE",IF(COUNTIF($K:$K,K1315)&gt;1,"DUPLICATE","OK")))</f>
        <v>OK</v>
      </c>
      <c r="K1315" s="6" t="str">
        <f aca="false">A1315&amp;"|"&amp;B1315&amp;"|"&amp;C1315&amp;"|"&amp;D1315</f>
        <v>3|2|Leah|spotify:track:2m5ItG3IIMsaGYJjZOvUoE</v>
      </c>
    </row>
    <row r="1316" customFormat="false" ht="15" hidden="false" customHeight="false" outlineLevel="0" collapsed="false">
      <c r="A1316" s="5" t="n">
        <v>3</v>
      </c>
      <c r="B1316" s="5" t="n">
        <v>2</v>
      </c>
      <c r="C1316" s="5" t="s">
        <v>119</v>
      </c>
      <c r="D1316" s="5" t="s">
        <v>738</v>
      </c>
      <c r="E1316" s="5" t="n">
        <v>1</v>
      </c>
      <c r="F1316" s="6" t="n">
        <f aca="false">IFERROR(MATCH(A1316&amp;"|"&amp;B1316&amp;"|"&amp;D1316,'All Song Rankings'!$T:$T,0),0)</f>
        <v>211</v>
      </c>
      <c r="G1316" s="6" t="str">
        <f aca="false">IF(F1316=0,"NOT FOUND",INDEX('All Song Rankings'!$A:$A,F1316))</f>
        <v>Dreams</v>
      </c>
      <c r="H1316" s="6" t="str">
        <f aca="false">IF(F1316=0,"NOT FOUND",INDEX('All Song Rankings'!$B:$B,F1316))</f>
        <v>The Cranberries</v>
      </c>
      <c r="I1316" s="6" t="str">
        <f aca="false">IF(F1316=0,"NOT FOUND",INDEX('All Song Rankings'!$D:$D,F1316))</f>
        <v>Lisa</v>
      </c>
      <c r="J1316" s="7" t="str">
        <f aca="false">IF(F1316=0,"NOT FOUND",IF(C1316=I1316,"SELF-VOTE",IF(COUNTIF($K:$K,K1316)&gt;1,"DUPLICATE","OK")))</f>
        <v>OK</v>
      </c>
      <c r="K1316" s="6" t="str">
        <f aca="false">A1316&amp;"|"&amp;B1316&amp;"|"&amp;C1316&amp;"|"&amp;D1316</f>
        <v>3|2|Leah|spotify:track:4JGKZS7h4Qa16gOU3oNETV</v>
      </c>
    </row>
    <row r="1317" customFormat="false" ht="15" hidden="false" customHeight="false" outlineLevel="0" collapsed="false">
      <c r="A1317" s="5" t="n">
        <v>3</v>
      </c>
      <c r="B1317" s="5" t="n">
        <v>2</v>
      </c>
      <c r="C1317" s="5" t="s">
        <v>119</v>
      </c>
      <c r="D1317" s="5" t="s">
        <v>758</v>
      </c>
      <c r="E1317" s="5" t="n">
        <v>1</v>
      </c>
      <c r="F1317" s="6" t="n">
        <f aca="false">IFERROR(MATCH(A1317&amp;"|"&amp;B1317&amp;"|"&amp;D1317,'All Song Rankings'!$T:$T,0),0)</f>
        <v>218</v>
      </c>
      <c r="G1317" s="6" t="str">
        <f aca="false">IF(F1317=0,"NOT FOUND",INDEX('All Song Rankings'!$A:$A,F1317))</f>
        <v>Lovebug</v>
      </c>
      <c r="H1317" s="6" t="str">
        <f aca="false">IF(F1317=0,"NOT FOUND",INDEX('All Song Rankings'!$B:$B,F1317))</f>
        <v>Jonas Brothers</v>
      </c>
      <c r="I1317" s="6" t="str">
        <f aca="false">IF(F1317=0,"NOT FOUND",INDEX('All Song Rankings'!$D:$D,F1317))</f>
        <v>Nicole</v>
      </c>
      <c r="J1317" s="7" t="str">
        <f aca="false">IF(F1317=0,"NOT FOUND",IF(C1317=I1317,"SELF-VOTE",IF(COUNTIF($K:$K,K1317)&gt;1,"DUPLICATE","OK")))</f>
        <v>OK</v>
      </c>
      <c r="K1317" s="6" t="str">
        <f aca="false">A1317&amp;"|"&amp;B1317&amp;"|"&amp;C1317&amp;"|"&amp;D1317</f>
        <v>3|2|Leah|spotify:track:5ILmJ41lSsul2zSmJnqvAy</v>
      </c>
    </row>
    <row r="1318" customFormat="false" ht="15" hidden="false" customHeight="false" outlineLevel="0" collapsed="false">
      <c r="A1318" s="5" t="n">
        <v>3</v>
      </c>
      <c r="B1318" s="5" t="n">
        <v>2</v>
      </c>
      <c r="C1318" s="5" t="s">
        <v>119</v>
      </c>
      <c r="D1318" s="5" t="s">
        <v>761</v>
      </c>
      <c r="E1318" s="5" t="n">
        <v>1</v>
      </c>
      <c r="F1318" s="6" t="n">
        <f aca="false">IFERROR(MATCH(A1318&amp;"|"&amp;B1318&amp;"|"&amp;D1318,'All Song Rankings'!$T:$T,0),0)</f>
        <v>220</v>
      </c>
      <c r="G1318" s="6" t="str">
        <f aca="false">IF(F1318=0,"NOT FOUND",INDEX('All Song Rankings'!$A:$A,F1318))</f>
        <v>Who I Am</v>
      </c>
      <c r="H1318" s="6" t="str">
        <f aca="false">IF(F1318=0,"NOT FOUND",INDEX('All Song Rankings'!$B:$B,F1318))</f>
        <v>Wade Bowen</v>
      </c>
      <c r="I1318" s="6" t="str">
        <f aca="false">IF(F1318=0,"NOT FOUND",INDEX('All Song Rankings'!$D:$D,F1318))</f>
        <v>Colleen</v>
      </c>
      <c r="J1318" s="7" t="str">
        <f aca="false">IF(F1318=0,"NOT FOUND",IF(C1318=I1318,"SELF-VOTE",IF(COUNTIF($K:$K,K1318)&gt;1,"DUPLICATE","OK")))</f>
        <v>OK</v>
      </c>
      <c r="K1318" s="6" t="str">
        <f aca="false">A1318&amp;"|"&amp;B1318&amp;"|"&amp;C1318&amp;"|"&amp;D1318</f>
        <v>3|2|Leah|spotify:track:5XlN58Ay3R3cE7P7c9XjaC</v>
      </c>
    </row>
    <row r="1319" customFormat="false" ht="15" hidden="false" customHeight="false" outlineLevel="0" collapsed="false">
      <c r="A1319" s="5" t="n">
        <v>3</v>
      </c>
      <c r="B1319" s="5" t="n">
        <v>2</v>
      </c>
      <c r="C1319" s="5" t="s">
        <v>119</v>
      </c>
      <c r="D1319" s="5" t="s">
        <v>730</v>
      </c>
      <c r="E1319" s="5" t="n">
        <v>2</v>
      </c>
      <c r="F1319" s="6" t="n">
        <f aca="false">IFERROR(MATCH(A1319&amp;"|"&amp;B1319&amp;"|"&amp;D1319,'All Song Rankings'!$T:$T,0),0)</f>
        <v>208</v>
      </c>
      <c r="G1319" s="6" t="str">
        <f aca="false">IF(F1319=0,"NOT FOUND",INDEX('All Song Rankings'!$A:$A,F1319))</f>
        <v>a thousand years</v>
      </c>
      <c r="H1319" s="6" t="str">
        <f aca="false">IF(F1319=0,"NOT FOUND",INDEX('All Song Rankings'!$B:$B,F1319))</f>
        <v>Christina Perri</v>
      </c>
      <c r="I1319" s="6" t="str">
        <f aca="false">IF(F1319=0,"NOT FOUND",INDEX('All Song Rankings'!$D:$D,F1319))</f>
        <v>Merita</v>
      </c>
      <c r="J1319" s="7" t="str">
        <f aca="false">IF(F1319=0,"NOT FOUND",IF(C1319=I1319,"SELF-VOTE",IF(COUNTIF($K:$K,K1319)&gt;1,"DUPLICATE","OK")))</f>
        <v>OK</v>
      </c>
      <c r="K1319" s="6" t="str">
        <f aca="false">A1319&amp;"|"&amp;B1319&amp;"|"&amp;C1319&amp;"|"&amp;D1319</f>
        <v>3|2|Leah|spotify:track:6lanRgr6wXibZr8KgzXxBl</v>
      </c>
    </row>
    <row r="1320" customFormat="false" ht="15" hidden="false" customHeight="false" outlineLevel="0" collapsed="false">
      <c r="A1320" s="5" t="n">
        <v>3</v>
      </c>
      <c r="B1320" s="5" t="n">
        <v>2</v>
      </c>
      <c r="C1320" s="5" t="s">
        <v>119</v>
      </c>
      <c r="D1320" s="5" t="s">
        <v>735</v>
      </c>
      <c r="E1320" s="5" t="n">
        <v>1</v>
      </c>
      <c r="F1320" s="6" t="n">
        <f aca="false">IFERROR(MATCH(A1320&amp;"|"&amp;B1320&amp;"|"&amp;D1320,'All Song Rankings'!$T:$T,0),0)</f>
        <v>210</v>
      </c>
      <c r="G1320" s="6" t="str">
        <f aca="false">IF(F1320=0,"NOT FOUND",INDEX('All Song Rankings'!$A:$A,F1320))</f>
        <v>Wonderful Tonight</v>
      </c>
      <c r="H1320" s="6" t="str">
        <f aca="false">IF(F1320=0,"NOT FOUND",INDEX('All Song Rankings'!$B:$B,F1320))</f>
        <v>Eric Clapton</v>
      </c>
      <c r="I1320" s="6" t="str">
        <f aca="false">IF(F1320=0,"NOT FOUND",INDEX('All Song Rankings'!$D:$D,F1320))</f>
        <v>Stephanie</v>
      </c>
      <c r="J1320" s="7" t="str">
        <f aca="false">IF(F1320=0,"NOT FOUND",IF(C1320=I1320,"SELF-VOTE",IF(COUNTIF($K:$K,K1320)&gt;1,"DUPLICATE","OK")))</f>
        <v>OK</v>
      </c>
      <c r="K1320" s="6" t="str">
        <f aca="false">A1320&amp;"|"&amp;B1320&amp;"|"&amp;C1320&amp;"|"&amp;D1320</f>
        <v>3|2|Leah|spotify:track:6zC0mpGYwbNTpk9SKwh08f</v>
      </c>
    </row>
    <row r="1321" customFormat="false" ht="15" hidden="false" customHeight="false" outlineLevel="0" collapsed="false">
      <c r="A1321" s="5" t="n">
        <v>3</v>
      </c>
      <c r="B1321" s="5" t="n">
        <v>2</v>
      </c>
      <c r="C1321" s="5" t="s">
        <v>705</v>
      </c>
      <c r="D1321" s="5" t="s">
        <v>750</v>
      </c>
      <c r="E1321" s="5" t="n">
        <v>1</v>
      </c>
      <c r="F1321" s="6" t="n">
        <f aca="false">IFERROR(MATCH(A1321&amp;"|"&amp;B1321&amp;"|"&amp;D1321,'All Song Rankings'!$T:$T,0),0)</f>
        <v>215</v>
      </c>
      <c r="G1321" s="6" t="str">
        <f aca="false">IF(F1321=0,"NOT FOUND",INDEX('All Song Rankings'!$A:$A,F1321))</f>
        <v>Color</v>
      </c>
      <c r="H1321" s="6" t="str">
        <f aca="false">IF(F1321=0,"NOT FOUND",INDEX('All Song Rankings'!$B:$B,F1321))</f>
        <v>Todrick Hall, Jay Armstrong Johnson</v>
      </c>
      <c r="I1321" s="6" t="str">
        <f aca="false">IF(F1321=0,"NOT FOUND",INDEX('All Song Rankings'!$D:$D,F1321))</f>
        <v>Logan</v>
      </c>
      <c r="J1321" s="7" t="str">
        <f aca="false">IF(F1321=0,"NOT FOUND",IF(C1321=I1321,"SELF-VOTE",IF(COUNTIF($K:$K,K1321)&gt;1,"DUPLICATE","OK")))</f>
        <v>OK</v>
      </c>
      <c r="K1321" s="6" t="str">
        <f aca="false">A1321&amp;"|"&amp;B1321&amp;"|"&amp;C1321&amp;"|"&amp;D1321</f>
        <v>3|2|Lisa|spotify:track:1oSGSJdYt0Om26M5V6XR5Q</v>
      </c>
    </row>
    <row r="1322" customFormat="false" ht="15" hidden="false" customHeight="false" outlineLevel="0" collapsed="false">
      <c r="A1322" s="5" t="n">
        <v>3</v>
      </c>
      <c r="B1322" s="5" t="n">
        <v>2</v>
      </c>
      <c r="C1322" s="5" t="s">
        <v>705</v>
      </c>
      <c r="D1322" s="5" t="s">
        <v>767</v>
      </c>
      <c r="E1322" s="5" t="n">
        <v>1</v>
      </c>
      <c r="F1322" s="6" t="n">
        <f aca="false">IFERROR(MATCH(A1322&amp;"|"&amp;B1322&amp;"|"&amp;D1322,'All Song Rankings'!$T:$T,0),0)</f>
        <v>222</v>
      </c>
      <c r="G1322" s="6" t="str">
        <f aca="false">IF(F1322=0,"NOT FOUND",INDEX('All Song Rankings'!$A:$A,F1322))</f>
        <v>Your Deep Rest</v>
      </c>
      <c r="H1322" s="6" t="str">
        <f aca="false">IF(F1322=0,"NOT FOUND",INDEX('All Song Rankings'!$B:$B,F1322))</f>
        <v>The Hotelier</v>
      </c>
      <c r="I1322" s="6" t="str">
        <f aca="false">IF(F1322=0,"NOT FOUND",INDEX('All Song Rankings'!$D:$D,F1322))</f>
        <v>Scott</v>
      </c>
      <c r="J1322" s="7" t="str">
        <f aca="false">IF(F1322=0,"NOT FOUND",IF(C1322=I1322,"SELF-VOTE",IF(COUNTIF($K:$K,K1322)&gt;1,"DUPLICATE","OK")))</f>
        <v>OK</v>
      </c>
      <c r="K1322" s="6" t="str">
        <f aca="false">A1322&amp;"|"&amp;B1322&amp;"|"&amp;C1322&amp;"|"&amp;D1322</f>
        <v>3|2|Lisa|spotify:track:21ACVHZc3K9lK0zleucFaJ</v>
      </c>
    </row>
    <row r="1323" customFormat="false" ht="15" hidden="false" customHeight="false" outlineLevel="0" collapsed="false">
      <c r="A1323" s="5" t="n">
        <v>3</v>
      </c>
      <c r="B1323" s="5" t="n">
        <v>2</v>
      </c>
      <c r="C1323" s="5" t="s">
        <v>705</v>
      </c>
      <c r="D1323" s="5" t="s">
        <v>747</v>
      </c>
      <c r="E1323" s="5" t="n">
        <v>1</v>
      </c>
      <c r="F1323" s="6" t="n">
        <f aca="false">IFERROR(MATCH(A1323&amp;"|"&amp;B1323&amp;"|"&amp;D1323,'All Song Rankings'!$T:$T,0),0)</f>
        <v>214</v>
      </c>
      <c r="G1323" s="6" t="str">
        <f aca="false">IF(F1323=0,"NOT FOUND",INDEX('All Song Rankings'!$A:$A,F1323))</f>
        <v>Question</v>
      </c>
      <c r="H1323" s="6" t="str">
        <f aca="false">IF(F1323=0,"NOT FOUND",INDEX('All Song Rankings'!$B:$B,F1323))</f>
        <v>Old 97's</v>
      </c>
      <c r="I1323" s="6" t="str">
        <f aca="false">IF(F1323=0,"NOT FOUND",INDEX('All Song Rankings'!$D:$D,F1323))</f>
        <v>Matt</v>
      </c>
      <c r="J1323" s="7" t="str">
        <f aca="false">IF(F1323=0,"NOT FOUND",IF(C1323=I1323,"SELF-VOTE",IF(COUNTIF($K:$K,K1323)&gt;1,"DUPLICATE","OK")))</f>
        <v>OK</v>
      </c>
      <c r="K1323" s="6" t="str">
        <f aca="false">A1323&amp;"|"&amp;B1323&amp;"|"&amp;C1323&amp;"|"&amp;D1323</f>
        <v>3|2|Lisa|spotify:track:2m5ItG3IIMsaGYJjZOvUoE</v>
      </c>
    </row>
    <row r="1324" customFormat="false" ht="15" hidden="false" customHeight="false" outlineLevel="0" collapsed="false">
      <c r="A1324" s="5" t="n">
        <v>3</v>
      </c>
      <c r="B1324" s="5" t="n">
        <v>2</v>
      </c>
      <c r="C1324" s="5" t="s">
        <v>705</v>
      </c>
      <c r="D1324" s="5" t="s">
        <v>732</v>
      </c>
      <c r="E1324" s="5" t="n">
        <v>1</v>
      </c>
      <c r="F1324" s="6" t="n">
        <f aca="false">IFERROR(MATCH(A1324&amp;"|"&amp;B1324&amp;"|"&amp;D1324,'All Song Rankings'!$T:$T,0),0)</f>
        <v>209</v>
      </c>
      <c r="G1324" s="6" t="str">
        <f aca="false">IF(F1324=0,"NOT FOUND",INDEX('All Song Rankings'!$A:$A,F1324))</f>
        <v>Thinking out Loud</v>
      </c>
      <c r="H1324" s="6" t="str">
        <f aca="false">IF(F1324=0,"NOT FOUND",INDEX('All Song Rankings'!$B:$B,F1324))</f>
        <v>Ed Sheeran</v>
      </c>
      <c r="I1324" s="6" t="str">
        <f aca="false">IF(F1324=0,"NOT FOUND",INDEX('All Song Rankings'!$D:$D,F1324))</f>
        <v>Leah</v>
      </c>
      <c r="J1324" s="7" t="str">
        <f aca="false">IF(F1324=0,"NOT FOUND",IF(C1324=I1324,"SELF-VOTE",IF(COUNTIF($K:$K,K1324)&gt;1,"DUPLICATE","OK")))</f>
        <v>OK</v>
      </c>
      <c r="K1324" s="6" t="str">
        <f aca="false">A1324&amp;"|"&amp;B1324&amp;"|"&amp;C1324&amp;"|"&amp;D1324</f>
        <v>3|2|Lisa|spotify:track:34gCuhDGsG4bRPIf9bb02f</v>
      </c>
    </row>
    <row r="1325" customFormat="false" ht="15" hidden="false" customHeight="false" outlineLevel="0" collapsed="false">
      <c r="A1325" s="5" t="n">
        <v>3</v>
      </c>
      <c r="B1325" s="5" t="n">
        <v>2</v>
      </c>
      <c r="C1325" s="5" t="s">
        <v>705</v>
      </c>
      <c r="D1325" s="5" t="s">
        <v>756</v>
      </c>
      <c r="E1325" s="5" t="n">
        <v>2</v>
      </c>
      <c r="F1325" s="6" t="n">
        <f aca="false">IFERROR(MATCH(A1325&amp;"|"&amp;B1325&amp;"|"&amp;D1325,'All Song Rankings'!$T:$T,0),0)</f>
        <v>217</v>
      </c>
      <c r="G1325" s="6" t="str">
        <f aca="false">IF(F1325=0,"NOT FOUND",INDEX('All Song Rankings'!$A:$A,F1325))</f>
        <v>Breathe For Me</v>
      </c>
      <c r="H1325" s="6" t="str">
        <f aca="false">IF(F1325=0,"NOT FOUND",INDEX('All Song Rankings'!$B:$B,F1325))</f>
        <v>UNSECRET, Lonas</v>
      </c>
      <c r="I1325" s="6" t="str">
        <f aca="false">IF(F1325=0,"NOT FOUND",INDEX('All Song Rankings'!$D:$D,F1325))</f>
        <v>Kristen</v>
      </c>
      <c r="J1325" s="7" t="str">
        <f aca="false">IF(F1325=0,"NOT FOUND",IF(C1325=I1325,"SELF-VOTE",IF(COUNTIF($K:$K,K1325)&gt;1,"DUPLICATE","OK")))</f>
        <v>OK</v>
      </c>
      <c r="K1325" s="6" t="str">
        <f aca="false">A1325&amp;"|"&amp;B1325&amp;"|"&amp;C1325&amp;"|"&amp;D1325</f>
        <v>3|2|Lisa|spotify:track:40UoxIJtdEt0pGVy8TK0Fb</v>
      </c>
    </row>
    <row r="1326" customFormat="false" ht="15" hidden="false" customHeight="false" outlineLevel="0" collapsed="false">
      <c r="A1326" s="5" t="n">
        <v>3</v>
      </c>
      <c r="B1326" s="5" t="n">
        <v>2</v>
      </c>
      <c r="C1326" s="5" t="s">
        <v>705</v>
      </c>
      <c r="D1326" s="5" t="s">
        <v>761</v>
      </c>
      <c r="E1326" s="5" t="n">
        <v>1</v>
      </c>
      <c r="F1326" s="6" t="n">
        <f aca="false">IFERROR(MATCH(A1326&amp;"|"&amp;B1326&amp;"|"&amp;D1326,'All Song Rankings'!$T:$T,0),0)</f>
        <v>220</v>
      </c>
      <c r="G1326" s="6" t="str">
        <f aca="false">IF(F1326=0,"NOT FOUND",INDEX('All Song Rankings'!$A:$A,F1326))</f>
        <v>Who I Am</v>
      </c>
      <c r="H1326" s="6" t="str">
        <f aca="false">IF(F1326=0,"NOT FOUND",INDEX('All Song Rankings'!$B:$B,F1326))</f>
        <v>Wade Bowen</v>
      </c>
      <c r="I1326" s="6" t="str">
        <f aca="false">IF(F1326=0,"NOT FOUND",INDEX('All Song Rankings'!$D:$D,F1326))</f>
        <v>Colleen</v>
      </c>
      <c r="J1326" s="7" t="str">
        <f aca="false">IF(F1326=0,"NOT FOUND",IF(C1326=I1326,"SELF-VOTE",IF(COUNTIF($K:$K,K1326)&gt;1,"DUPLICATE","OK")))</f>
        <v>OK</v>
      </c>
      <c r="K1326" s="6" t="str">
        <f aca="false">A1326&amp;"|"&amp;B1326&amp;"|"&amp;C1326&amp;"|"&amp;D1326</f>
        <v>3|2|Lisa|spotify:track:5XlN58Ay3R3cE7P7c9XjaC</v>
      </c>
    </row>
    <row r="1327" customFormat="false" ht="15" hidden="false" customHeight="false" outlineLevel="0" collapsed="false">
      <c r="A1327" s="5" t="n">
        <v>3</v>
      </c>
      <c r="B1327" s="5" t="n">
        <v>2</v>
      </c>
      <c r="C1327" s="5" t="s">
        <v>705</v>
      </c>
      <c r="D1327" s="5" t="s">
        <v>730</v>
      </c>
      <c r="E1327" s="5" t="n">
        <v>1</v>
      </c>
      <c r="F1327" s="6" t="n">
        <f aca="false">IFERROR(MATCH(A1327&amp;"|"&amp;B1327&amp;"|"&amp;D1327,'All Song Rankings'!$T:$T,0),0)</f>
        <v>208</v>
      </c>
      <c r="G1327" s="6" t="str">
        <f aca="false">IF(F1327=0,"NOT FOUND",INDEX('All Song Rankings'!$A:$A,F1327))</f>
        <v>a thousand years</v>
      </c>
      <c r="H1327" s="6" t="str">
        <f aca="false">IF(F1327=0,"NOT FOUND",INDEX('All Song Rankings'!$B:$B,F1327))</f>
        <v>Christina Perri</v>
      </c>
      <c r="I1327" s="6" t="str">
        <f aca="false">IF(F1327=0,"NOT FOUND",INDEX('All Song Rankings'!$D:$D,F1327))</f>
        <v>Merita</v>
      </c>
      <c r="J1327" s="7" t="str">
        <f aca="false">IF(F1327=0,"NOT FOUND",IF(C1327=I1327,"SELF-VOTE",IF(COUNTIF($K:$K,K1327)&gt;1,"DUPLICATE","OK")))</f>
        <v>OK</v>
      </c>
      <c r="K1327" s="6" t="str">
        <f aca="false">A1327&amp;"|"&amp;B1327&amp;"|"&amp;C1327&amp;"|"&amp;D1327</f>
        <v>3|2|Lisa|spotify:track:6lanRgr6wXibZr8KgzXxBl</v>
      </c>
    </row>
    <row r="1328" customFormat="false" ht="15" hidden="false" customHeight="false" outlineLevel="0" collapsed="false">
      <c r="A1328" s="5" t="n">
        <v>3</v>
      </c>
      <c r="B1328" s="5" t="n">
        <v>2</v>
      </c>
      <c r="C1328" s="5" t="s">
        <v>705</v>
      </c>
      <c r="D1328" s="5" t="s">
        <v>753</v>
      </c>
      <c r="E1328" s="5" t="n">
        <v>1</v>
      </c>
      <c r="F1328" s="6" t="n">
        <f aca="false">IFERROR(MATCH(A1328&amp;"|"&amp;B1328&amp;"|"&amp;D1328,'All Song Rankings'!$T:$T,0),0)</f>
        <v>216</v>
      </c>
      <c r="G1328" s="6" t="str">
        <f aca="false">IF(F1328=0,"NOT FOUND",INDEX('All Song Rankings'!$A:$A,F1328))</f>
        <v>Hang With Me</v>
      </c>
      <c r="H1328" s="6" t="str">
        <f aca="false">IF(F1328=0,"NOT FOUND",INDEX('All Song Rankings'!$B:$B,F1328))</f>
        <v>Robyn</v>
      </c>
      <c r="I1328" s="6" t="str">
        <f aca="false">IF(F1328=0,"NOT FOUND",INDEX('All Song Rankings'!$D:$D,F1328))</f>
        <v>Kelsey</v>
      </c>
      <c r="J1328" s="7" t="str">
        <f aca="false">IF(F1328=0,"NOT FOUND",IF(C1328=I1328,"SELF-VOTE",IF(COUNTIF($K:$K,K1328)&gt;1,"DUPLICATE","OK")))</f>
        <v>OK</v>
      </c>
      <c r="K1328" s="6" t="str">
        <f aca="false">A1328&amp;"|"&amp;B1328&amp;"|"&amp;C1328&amp;"|"&amp;D1328</f>
        <v>3|2|Lisa|spotify:track:6rW8q1p2GCjGMRAlnxBeo7</v>
      </c>
    </row>
    <row r="1329" customFormat="false" ht="15" hidden="false" customHeight="false" outlineLevel="0" collapsed="false">
      <c r="A1329" s="5" t="n">
        <v>3</v>
      </c>
      <c r="B1329" s="5" t="n">
        <v>2</v>
      </c>
      <c r="C1329" s="5" t="s">
        <v>705</v>
      </c>
      <c r="D1329" s="5" t="s">
        <v>735</v>
      </c>
      <c r="E1329" s="5" t="n">
        <v>1</v>
      </c>
      <c r="F1329" s="6" t="n">
        <f aca="false">IFERROR(MATCH(A1329&amp;"|"&amp;B1329&amp;"|"&amp;D1329,'All Song Rankings'!$T:$T,0),0)</f>
        <v>210</v>
      </c>
      <c r="G1329" s="6" t="str">
        <f aca="false">IF(F1329=0,"NOT FOUND",INDEX('All Song Rankings'!$A:$A,F1329))</f>
        <v>Wonderful Tonight</v>
      </c>
      <c r="H1329" s="6" t="str">
        <f aca="false">IF(F1329=0,"NOT FOUND",INDEX('All Song Rankings'!$B:$B,F1329))</f>
        <v>Eric Clapton</v>
      </c>
      <c r="I1329" s="6" t="str">
        <f aca="false">IF(F1329=0,"NOT FOUND",INDEX('All Song Rankings'!$D:$D,F1329))</f>
        <v>Stephanie</v>
      </c>
      <c r="J1329" s="7" t="str">
        <f aca="false">IF(F1329=0,"NOT FOUND",IF(C1329=I1329,"SELF-VOTE",IF(COUNTIF($K:$K,K1329)&gt;1,"DUPLICATE","OK")))</f>
        <v>OK</v>
      </c>
      <c r="K1329" s="6" t="str">
        <f aca="false">A1329&amp;"|"&amp;B1329&amp;"|"&amp;C1329&amp;"|"&amp;D1329</f>
        <v>3|2|Lisa|spotify:track:6zC0mpGYwbNTpk9SKwh08f</v>
      </c>
    </row>
    <row r="1330" customFormat="false" ht="15" hidden="false" customHeight="false" outlineLevel="0" collapsed="false">
      <c r="A1330" s="5" t="n">
        <v>3</v>
      </c>
      <c r="B1330" s="5" t="n">
        <v>2</v>
      </c>
      <c r="C1330" s="5" t="s">
        <v>128</v>
      </c>
      <c r="D1330" s="5" t="s">
        <v>767</v>
      </c>
      <c r="E1330" s="5" t="n">
        <v>1</v>
      </c>
      <c r="F1330" s="6" t="n">
        <f aca="false">IFERROR(MATCH(A1330&amp;"|"&amp;B1330&amp;"|"&amp;D1330,'All Song Rankings'!$T:$T,0),0)</f>
        <v>222</v>
      </c>
      <c r="G1330" s="6" t="str">
        <f aca="false">IF(F1330=0,"NOT FOUND",INDEX('All Song Rankings'!$A:$A,F1330))</f>
        <v>Your Deep Rest</v>
      </c>
      <c r="H1330" s="6" t="str">
        <f aca="false">IF(F1330=0,"NOT FOUND",INDEX('All Song Rankings'!$B:$B,F1330))</f>
        <v>The Hotelier</v>
      </c>
      <c r="I1330" s="6" t="str">
        <f aca="false">IF(F1330=0,"NOT FOUND",INDEX('All Song Rankings'!$D:$D,F1330))</f>
        <v>Scott</v>
      </c>
      <c r="J1330" s="7" t="str">
        <f aca="false">IF(F1330=0,"NOT FOUND",IF(C1330=I1330,"SELF-VOTE",IF(COUNTIF($K:$K,K1330)&gt;1,"DUPLICATE","OK")))</f>
        <v>OK</v>
      </c>
      <c r="K1330" s="6" t="str">
        <f aca="false">A1330&amp;"|"&amp;B1330&amp;"|"&amp;C1330&amp;"|"&amp;D1330</f>
        <v>3|2|Logan|spotify:track:21ACVHZc3K9lK0zleucFaJ</v>
      </c>
    </row>
    <row r="1331" customFormat="false" ht="15" hidden="false" customHeight="false" outlineLevel="0" collapsed="false">
      <c r="A1331" s="5" t="n">
        <v>3</v>
      </c>
      <c r="B1331" s="5" t="n">
        <v>2</v>
      </c>
      <c r="C1331" s="5" t="s">
        <v>128</v>
      </c>
      <c r="D1331" s="5" t="s">
        <v>744</v>
      </c>
      <c r="E1331" s="5" t="n">
        <v>1</v>
      </c>
      <c r="F1331" s="6" t="n">
        <f aca="false">IFERROR(MATCH(A1331&amp;"|"&amp;B1331&amp;"|"&amp;D1331,'All Song Rankings'!$T:$T,0),0)</f>
        <v>213</v>
      </c>
      <c r="G1331" s="6" t="str">
        <f aca="false">IF(F1331=0,"NOT FOUND",INDEX('All Song Rankings'!$A:$A,F1331))</f>
        <v>No Matter Where You Are</v>
      </c>
      <c r="H1331" s="6" t="str">
        <f aca="false">IF(F1331=0,"NOT FOUND",INDEX('All Song Rankings'!$B:$B,F1331))</f>
        <v>Us The Duo</v>
      </c>
      <c r="I1331" s="6" t="str">
        <f aca="false">IF(F1331=0,"NOT FOUND",INDEX('All Song Rankings'!$D:$D,F1331))</f>
        <v>Grace</v>
      </c>
      <c r="J1331" s="7" t="str">
        <f aca="false">IF(F1331=0,"NOT FOUND",IF(C1331=I1331,"SELF-VOTE",IF(COUNTIF($K:$K,K1331)&gt;1,"DUPLICATE","OK")))</f>
        <v>OK</v>
      </c>
      <c r="K1331" s="6" t="str">
        <f aca="false">A1331&amp;"|"&amp;B1331&amp;"|"&amp;C1331&amp;"|"&amp;D1331</f>
        <v>3|2|Logan|spotify:track:2XW4AAjfBQTzp7Oe1tU702</v>
      </c>
    </row>
    <row r="1332" customFormat="false" ht="15" hidden="false" customHeight="false" outlineLevel="0" collapsed="false">
      <c r="A1332" s="5" t="n">
        <v>3</v>
      </c>
      <c r="B1332" s="5" t="n">
        <v>2</v>
      </c>
      <c r="C1332" s="5" t="s">
        <v>128</v>
      </c>
      <c r="D1332" s="5" t="s">
        <v>732</v>
      </c>
      <c r="E1332" s="5" t="n">
        <v>1</v>
      </c>
      <c r="F1332" s="6" t="n">
        <f aca="false">IFERROR(MATCH(A1332&amp;"|"&amp;B1332&amp;"|"&amp;D1332,'All Song Rankings'!$T:$T,0),0)</f>
        <v>209</v>
      </c>
      <c r="G1332" s="6" t="str">
        <f aca="false">IF(F1332=0,"NOT FOUND",INDEX('All Song Rankings'!$A:$A,F1332))</f>
        <v>Thinking out Loud</v>
      </c>
      <c r="H1332" s="6" t="str">
        <f aca="false">IF(F1332=0,"NOT FOUND",INDEX('All Song Rankings'!$B:$B,F1332))</f>
        <v>Ed Sheeran</v>
      </c>
      <c r="I1332" s="6" t="str">
        <f aca="false">IF(F1332=0,"NOT FOUND",INDEX('All Song Rankings'!$D:$D,F1332))</f>
        <v>Leah</v>
      </c>
      <c r="J1332" s="7" t="str">
        <f aca="false">IF(F1332=0,"NOT FOUND",IF(C1332=I1332,"SELF-VOTE",IF(COUNTIF($K:$K,K1332)&gt;1,"DUPLICATE","OK")))</f>
        <v>OK</v>
      </c>
      <c r="K1332" s="6" t="str">
        <f aca="false">A1332&amp;"|"&amp;B1332&amp;"|"&amp;C1332&amp;"|"&amp;D1332</f>
        <v>3|2|Logan|spotify:track:34gCuhDGsG4bRPIf9bb02f</v>
      </c>
    </row>
    <row r="1333" customFormat="false" ht="15" hidden="false" customHeight="false" outlineLevel="0" collapsed="false">
      <c r="A1333" s="5" t="n">
        <v>3</v>
      </c>
      <c r="B1333" s="5" t="n">
        <v>2</v>
      </c>
      <c r="C1333" s="5" t="s">
        <v>128</v>
      </c>
      <c r="D1333" s="5" t="s">
        <v>756</v>
      </c>
      <c r="E1333" s="5" t="n">
        <v>3</v>
      </c>
      <c r="F1333" s="6" t="n">
        <f aca="false">IFERROR(MATCH(A1333&amp;"|"&amp;B1333&amp;"|"&amp;D1333,'All Song Rankings'!$T:$T,0),0)</f>
        <v>217</v>
      </c>
      <c r="G1333" s="6" t="str">
        <f aca="false">IF(F1333=0,"NOT FOUND",INDEX('All Song Rankings'!$A:$A,F1333))</f>
        <v>Breathe For Me</v>
      </c>
      <c r="H1333" s="6" t="str">
        <f aca="false">IF(F1333=0,"NOT FOUND",INDEX('All Song Rankings'!$B:$B,F1333))</f>
        <v>UNSECRET, Lonas</v>
      </c>
      <c r="I1333" s="6" t="str">
        <f aca="false">IF(F1333=0,"NOT FOUND",INDEX('All Song Rankings'!$D:$D,F1333))</f>
        <v>Kristen</v>
      </c>
      <c r="J1333" s="7" t="str">
        <f aca="false">IF(F1333=0,"NOT FOUND",IF(C1333=I1333,"SELF-VOTE",IF(COUNTIF($K:$K,K1333)&gt;1,"DUPLICATE","OK")))</f>
        <v>OK</v>
      </c>
      <c r="K1333" s="6" t="str">
        <f aca="false">A1333&amp;"|"&amp;B1333&amp;"|"&amp;C1333&amp;"|"&amp;D1333</f>
        <v>3|2|Logan|spotify:track:40UoxIJtdEt0pGVy8TK0Fb</v>
      </c>
    </row>
    <row r="1334" customFormat="false" ht="15" hidden="false" customHeight="false" outlineLevel="0" collapsed="false">
      <c r="A1334" s="5" t="n">
        <v>3</v>
      </c>
      <c r="B1334" s="5" t="n">
        <v>2</v>
      </c>
      <c r="C1334" s="5" t="s">
        <v>128</v>
      </c>
      <c r="D1334" s="5" t="s">
        <v>542</v>
      </c>
      <c r="E1334" s="5" t="n">
        <v>2</v>
      </c>
      <c r="F1334" s="6" t="n">
        <f aca="false">IFERROR(MATCH(A1334&amp;"|"&amp;B1334&amp;"|"&amp;D1334,'All Song Rankings'!$T:$T,0),0)</f>
        <v>219</v>
      </c>
      <c r="G1334" s="6" t="str">
        <f aca="false">IF(F1334=0,"NOT FOUND",INDEX('All Song Rankings'!$A:$A,F1334))</f>
        <v>I Will Always Love You</v>
      </c>
      <c r="H1334" s="6" t="str">
        <f aca="false">IF(F1334=0,"NOT FOUND",INDEX('All Song Rankings'!$B:$B,F1334))</f>
        <v>Whitney Houston</v>
      </c>
      <c r="I1334" s="6" t="str">
        <f aca="false">IF(F1334=0,"NOT FOUND",INDEX('All Song Rankings'!$D:$D,F1334))</f>
        <v>Aubrey</v>
      </c>
      <c r="J1334" s="7" t="str">
        <f aca="false">IF(F1334=0,"NOT FOUND",IF(C1334=I1334,"SELF-VOTE",IF(COUNTIF($K:$K,K1334)&gt;1,"DUPLICATE","OK")))</f>
        <v>OK</v>
      </c>
      <c r="K1334" s="6" t="str">
        <f aca="false">A1334&amp;"|"&amp;B1334&amp;"|"&amp;C1334&amp;"|"&amp;D1334</f>
        <v>3|2|Logan|spotify:track:4eHbdreAnSOrDDsFfc4Fpm</v>
      </c>
    </row>
    <row r="1335" customFormat="false" ht="15" hidden="false" customHeight="false" outlineLevel="0" collapsed="false">
      <c r="A1335" s="5" t="n">
        <v>3</v>
      </c>
      <c r="B1335" s="5" t="n">
        <v>2</v>
      </c>
      <c r="C1335" s="5" t="s">
        <v>128</v>
      </c>
      <c r="D1335" s="5" t="s">
        <v>753</v>
      </c>
      <c r="E1335" s="5" t="n">
        <v>2</v>
      </c>
      <c r="F1335" s="6" t="n">
        <f aca="false">IFERROR(MATCH(A1335&amp;"|"&amp;B1335&amp;"|"&amp;D1335,'All Song Rankings'!$T:$T,0),0)</f>
        <v>216</v>
      </c>
      <c r="G1335" s="6" t="str">
        <f aca="false">IF(F1335=0,"NOT FOUND",INDEX('All Song Rankings'!$A:$A,F1335))</f>
        <v>Hang With Me</v>
      </c>
      <c r="H1335" s="6" t="str">
        <f aca="false">IF(F1335=0,"NOT FOUND",INDEX('All Song Rankings'!$B:$B,F1335))</f>
        <v>Robyn</v>
      </c>
      <c r="I1335" s="6" t="str">
        <f aca="false">IF(F1335=0,"NOT FOUND",INDEX('All Song Rankings'!$D:$D,F1335))</f>
        <v>Kelsey</v>
      </c>
      <c r="J1335" s="7" t="str">
        <f aca="false">IF(F1335=0,"NOT FOUND",IF(C1335=I1335,"SELF-VOTE",IF(COUNTIF($K:$K,K1335)&gt;1,"DUPLICATE","OK")))</f>
        <v>OK</v>
      </c>
      <c r="K1335" s="6" t="str">
        <f aca="false">A1335&amp;"|"&amp;B1335&amp;"|"&amp;C1335&amp;"|"&amp;D1335</f>
        <v>3|2|Logan|spotify:track:6rW8q1p2GCjGMRAlnxBeo7</v>
      </c>
    </row>
    <row r="1336" customFormat="false" ht="15" hidden="false" customHeight="false" outlineLevel="0" collapsed="false">
      <c r="A1336" s="5" t="n">
        <v>3</v>
      </c>
      <c r="B1336" s="5" t="n">
        <v>2</v>
      </c>
      <c r="C1336" s="5" t="s">
        <v>395</v>
      </c>
      <c r="D1336" s="5" t="s">
        <v>744</v>
      </c>
      <c r="E1336" s="5" t="n">
        <v>2</v>
      </c>
      <c r="F1336" s="6" t="n">
        <f aca="false">IFERROR(MATCH(A1336&amp;"|"&amp;B1336&amp;"|"&amp;D1336,'All Song Rankings'!$T:$T,0),0)</f>
        <v>213</v>
      </c>
      <c r="G1336" s="6" t="str">
        <f aca="false">IF(F1336=0,"NOT FOUND",INDEX('All Song Rankings'!$A:$A,F1336))</f>
        <v>No Matter Where You Are</v>
      </c>
      <c r="H1336" s="6" t="str">
        <f aca="false">IF(F1336=0,"NOT FOUND",INDEX('All Song Rankings'!$B:$B,F1336))</f>
        <v>Us The Duo</v>
      </c>
      <c r="I1336" s="6" t="str">
        <f aca="false">IF(F1336=0,"NOT FOUND",INDEX('All Song Rankings'!$D:$D,F1336))</f>
        <v>Grace</v>
      </c>
      <c r="J1336" s="7" t="str">
        <f aca="false">IF(F1336=0,"NOT FOUND",IF(C1336=I1336,"SELF-VOTE",IF(COUNTIF($K:$K,K1336)&gt;1,"DUPLICATE","OK")))</f>
        <v>OK</v>
      </c>
      <c r="K1336" s="6" t="str">
        <f aca="false">A1336&amp;"|"&amp;B1336&amp;"|"&amp;C1336&amp;"|"&amp;D1336</f>
        <v>3|2|Makenzie|spotify:track:2XW4AAjfBQTzp7Oe1tU702</v>
      </c>
    </row>
    <row r="1337" customFormat="false" ht="15" hidden="false" customHeight="false" outlineLevel="0" collapsed="false">
      <c r="A1337" s="5" t="n">
        <v>3</v>
      </c>
      <c r="B1337" s="5" t="n">
        <v>2</v>
      </c>
      <c r="C1337" s="5" t="s">
        <v>395</v>
      </c>
      <c r="D1337" s="5" t="s">
        <v>758</v>
      </c>
      <c r="E1337" s="5" t="n">
        <v>2</v>
      </c>
      <c r="F1337" s="6" t="n">
        <f aca="false">IFERROR(MATCH(A1337&amp;"|"&amp;B1337&amp;"|"&amp;D1337,'All Song Rankings'!$T:$T,0),0)</f>
        <v>218</v>
      </c>
      <c r="G1337" s="6" t="str">
        <f aca="false">IF(F1337=0,"NOT FOUND",INDEX('All Song Rankings'!$A:$A,F1337))</f>
        <v>Lovebug</v>
      </c>
      <c r="H1337" s="6" t="str">
        <f aca="false">IF(F1337=0,"NOT FOUND",INDEX('All Song Rankings'!$B:$B,F1337))</f>
        <v>Jonas Brothers</v>
      </c>
      <c r="I1337" s="6" t="str">
        <f aca="false">IF(F1337=0,"NOT FOUND",INDEX('All Song Rankings'!$D:$D,F1337))</f>
        <v>Nicole</v>
      </c>
      <c r="J1337" s="7" t="str">
        <f aca="false">IF(F1337=0,"NOT FOUND",IF(C1337=I1337,"SELF-VOTE",IF(COUNTIF($K:$K,K1337)&gt;1,"DUPLICATE","OK")))</f>
        <v>OK</v>
      </c>
      <c r="K1337" s="6" t="str">
        <f aca="false">A1337&amp;"|"&amp;B1337&amp;"|"&amp;C1337&amp;"|"&amp;D1337</f>
        <v>3|2|Makenzie|spotify:track:5ILmJ41lSsul2zSmJnqvAy</v>
      </c>
    </row>
    <row r="1338" customFormat="false" ht="15" hidden="false" customHeight="false" outlineLevel="0" collapsed="false">
      <c r="A1338" s="5" t="n">
        <v>3</v>
      </c>
      <c r="B1338" s="5" t="n">
        <v>2</v>
      </c>
      <c r="C1338" s="5" t="s">
        <v>395</v>
      </c>
      <c r="D1338" s="5" t="s">
        <v>730</v>
      </c>
      <c r="E1338" s="5" t="n">
        <v>2</v>
      </c>
      <c r="F1338" s="6" t="n">
        <f aca="false">IFERROR(MATCH(A1338&amp;"|"&amp;B1338&amp;"|"&amp;D1338,'All Song Rankings'!$T:$T,0),0)</f>
        <v>208</v>
      </c>
      <c r="G1338" s="6" t="str">
        <f aca="false">IF(F1338=0,"NOT FOUND",INDEX('All Song Rankings'!$A:$A,F1338))</f>
        <v>a thousand years</v>
      </c>
      <c r="H1338" s="6" t="str">
        <f aca="false">IF(F1338=0,"NOT FOUND",INDEX('All Song Rankings'!$B:$B,F1338))</f>
        <v>Christina Perri</v>
      </c>
      <c r="I1338" s="6" t="str">
        <f aca="false">IF(F1338=0,"NOT FOUND",INDEX('All Song Rankings'!$D:$D,F1338))</f>
        <v>Merita</v>
      </c>
      <c r="J1338" s="7" t="str">
        <f aca="false">IF(F1338=0,"NOT FOUND",IF(C1338=I1338,"SELF-VOTE",IF(COUNTIF($K:$K,K1338)&gt;1,"DUPLICATE","OK")))</f>
        <v>OK</v>
      </c>
      <c r="K1338" s="6" t="str">
        <f aca="false">A1338&amp;"|"&amp;B1338&amp;"|"&amp;C1338&amp;"|"&amp;D1338</f>
        <v>3|2|Makenzie|spotify:track:6lanRgr6wXibZr8KgzXxBl</v>
      </c>
    </row>
    <row r="1339" customFormat="false" ht="15" hidden="false" customHeight="false" outlineLevel="0" collapsed="false">
      <c r="A1339" s="5" t="n">
        <v>3</v>
      </c>
      <c r="B1339" s="5" t="n">
        <v>2</v>
      </c>
      <c r="C1339" s="5" t="s">
        <v>395</v>
      </c>
      <c r="D1339" s="5" t="s">
        <v>753</v>
      </c>
      <c r="E1339" s="5" t="n">
        <v>2</v>
      </c>
      <c r="F1339" s="6" t="n">
        <f aca="false">IFERROR(MATCH(A1339&amp;"|"&amp;B1339&amp;"|"&amp;D1339,'All Song Rankings'!$T:$T,0),0)</f>
        <v>216</v>
      </c>
      <c r="G1339" s="6" t="str">
        <f aca="false">IF(F1339=0,"NOT FOUND",INDEX('All Song Rankings'!$A:$A,F1339))</f>
        <v>Hang With Me</v>
      </c>
      <c r="H1339" s="6" t="str">
        <f aca="false">IF(F1339=0,"NOT FOUND",INDEX('All Song Rankings'!$B:$B,F1339))</f>
        <v>Robyn</v>
      </c>
      <c r="I1339" s="6" t="str">
        <f aca="false">IF(F1339=0,"NOT FOUND",INDEX('All Song Rankings'!$D:$D,F1339))</f>
        <v>Kelsey</v>
      </c>
      <c r="J1339" s="7" t="str">
        <f aca="false">IF(F1339=0,"NOT FOUND",IF(C1339=I1339,"SELF-VOTE",IF(COUNTIF($K:$K,K1339)&gt;1,"DUPLICATE","OK")))</f>
        <v>OK</v>
      </c>
      <c r="K1339" s="6" t="str">
        <f aca="false">A1339&amp;"|"&amp;B1339&amp;"|"&amp;C1339&amp;"|"&amp;D1339</f>
        <v>3|2|Makenzie|spotify:track:6rW8q1p2GCjGMRAlnxBeo7</v>
      </c>
    </row>
    <row r="1340" customFormat="false" ht="15" hidden="false" customHeight="false" outlineLevel="0" collapsed="false">
      <c r="A1340" s="5" t="n">
        <v>3</v>
      </c>
      <c r="B1340" s="5" t="n">
        <v>2</v>
      </c>
      <c r="C1340" s="5" t="s">
        <v>395</v>
      </c>
      <c r="D1340" s="5" t="s">
        <v>735</v>
      </c>
      <c r="E1340" s="5" t="n">
        <v>2</v>
      </c>
      <c r="F1340" s="6" t="n">
        <f aca="false">IFERROR(MATCH(A1340&amp;"|"&amp;B1340&amp;"|"&amp;D1340,'All Song Rankings'!$T:$T,0),0)</f>
        <v>210</v>
      </c>
      <c r="G1340" s="6" t="str">
        <f aca="false">IF(F1340=0,"NOT FOUND",INDEX('All Song Rankings'!$A:$A,F1340))</f>
        <v>Wonderful Tonight</v>
      </c>
      <c r="H1340" s="6" t="str">
        <f aca="false">IF(F1340=0,"NOT FOUND",INDEX('All Song Rankings'!$B:$B,F1340))</f>
        <v>Eric Clapton</v>
      </c>
      <c r="I1340" s="6" t="str">
        <f aca="false">IF(F1340=0,"NOT FOUND",INDEX('All Song Rankings'!$D:$D,F1340))</f>
        <v>Stephanie</v>
      </c>
      <c r="J1340" s="7" t="str">
        <f aca="false">IF(F1340=0,"NOT FOUND",IF(C1340=I1340,"SELF-VOTE",IF(COUNTIF($K:$K,K1340)&gt;1,"DUPLICATE","OK")))</f>
        <v>OK</v>
      </c>
      <c r="K1340" s="6" t="str">
        <f aca="false">A1340&amp;"|"&amp;B1340&amp;"|"&amp;C1340&amp;"|"&amp;D1340</f>
        <v>3|2|Makenzie|spotify:track:6zC0mpGYwbNTpk9SKwh08f</v>
      </c>
    </row>
    <row r="1341" customFormat="false" ht="15" hidden="false" customHeight="false" outlineLevel="0" collapsed="false">
      <c r="A1341" s="5" t="n">
        <v>3</v>
      </c>
      <c r="B1341" s="5" t="n">
        <v>2</v>
      </c>
      <c r="C1341" s="5" t="s">
        <v>116</v>
      </c>
      <c r="D1341" s="5" t="s">
        <v>750</v>
      </c>
      <c r="E1341" s="5" t="n">
        <v>1</v>
      </c>
      <c r="F1341" s="6" t="n">
        <f aca="false">IFERROR(MATCH(A1341&amp;"|"&amp;B1341&amp;"|"&amp;D1341,'All Song Rankings'!$T:$T,0),0)</f>
        <v>215</v>
      </c>
      <c r="G1341" s="6" t="str">
        <f aca="false">IF(F1341=0,"NOT FOUND",INDEX('All Song Rankings'!$A:$A,F1341))</f>
        <v>Color</v>
      </c>
      <c r="H1341" s="6" t="str">
        <f aca="false">IF(F1341=0,"NOT FOUND",INDEX('All Song Rankings'!$B:$B,F1341))</f>
        <v>Todrick Hall, Jay Armstrong Johnson</v>
      </c>
      <c r="I1341" s="6" t="str">
        <f aca="false">IF(F1341=0,"NOT FOUND",INDEX('All Song Rankings'!$D:$D,F1341))</f>
        <v>Logan</v>
      </c>
      <c r="J1341" s="7" t="str">
        <f aca="false">IF(F1341=0,"NOT FOUND",IF(C1341=I1341,"SELF-VOTE",IF(COUNTIF($K:$K,K1341)&gt;1,"DUPLICATE","OK")))</f>
        <v>OK</v>
      </c>
      <c r="K1341" s="6" t="str">
        <f aca="false">A1341&amp;"|"&amp;B1341&amp;"|"&amp;C1341&amp;"|"&amp;D1341</f>
        <v>3|2|Matt|spotify:track:1oSGSJdYt0Om26M5V6XR5Q</v>
      </c>
    </row>
    <row r="1342" customFormat="false" ht="15" hidden="false" customHeight="false" outlineLevel="0" collapsed="false">
      <c r="A1342" s="5" t="n">
        <v>3</v>
      </c>
      <c r="B1342" s="5" t="n">
        <v>2</v>
      </c>
      <c r="C1342" s="5" t="s">
        <v>116</v>
      </c>
      <c r="D1342" s="5" t="s">
        <v>764</v>
      </c>
      <c r="E1342" s="5" t="n">
        <v>1</v>
      </c>
      <c r="F1342" s="6" t="n">
        <f aca="false">IFERROR(MATCH(A1342&amp;"|"&amp;B1342&amp;"|"&amp;D1342,'All Song Rankings'!$T:$T,0),0)</f>
        <v>221</v>
      </c>
      <c r="G1342" s="6" t="str">
        <f aca="false">IF(F1342=0,"NOT FOUND",INDEX('All Song Rankings'!$A:$A,F1342))</f>
        <v>You and Tequila (feat. Grace Potter)</v>
      </c>
      <c r="H1342" s="6" t="str">
        <f aca="false">IF(F1342=0,"NOT FOUND",INDEX('All Song Rankings'!$B:$B,F1342))</f>
        <v>Kenny Chesney, Grace Potter</v>
      </c>
      <c r="I1342" s="6" t="str">
        <f aca="false">IF(F1342=0,"NOT FOUND",INDEX('All Song Rankings'!$D:$D,F1342))</f>
        <v>Christine</v>
      </c>
      <c r="J1342" s="7" t="str">
        <f aca="false">IF(F1342=0,"NOT FOUND",IF(C1342=I1342,"SELF-VOTE",IF(COUNTIF($K:$K,K1342)&gt;1,"DUPLICATE","OK")))</f>
        <v>OK</v>
      </c>
      <c r="K1342" s="6" t="str">
        <f aca="false">A1342&amp;"|"&amp;B1342&amp;"|"&amp;C1342&amp;"|"&amp;D1342</f>
        <v>3|2|Matt|spotify:track:1t2hJFgJyUPD2crOafMUEk</v>
      </c>
    </row>
    <row r="1343" customFormat="false" ht="15" hidden="false" customHeight="false" outlineLevel="0" collapsed="false">
      <c r="A1343" s="5" t="n">
        <v>3</v>
      </c>
      <c r="B1343" s="5" t="n">
        <v>2</v>
      </c>
      <c r="C1343" s="5" t="s">
        <v>116</v>
      </c>
      <c r="D1343" s="5" t="s">
        <v>767</v>
      </c>
      <c r="E1343" s="5" t="n">
        <v>1</v>
      </c>
      <c r="F1343" s="6" t="n">
        <f aca="false">IFERROR(MATCH(A1343&amp;"|"&amp;B1343&amp;"|"&amp;D1343,'All Song Rankings'!$T:$T,0),0)</f>
        <v>222</v>
      </c>
      <c r="G1343" s="6" t="str">
        <f aca="false">IF(F1343=0,"NOT FOUND",INDEX('All Song Rankings'!$A:$A,F1343))</f>
        <v>Your Deep Rest</v>
      </c>
      <c r="H1343" s="6" t="str">
        <f aca="false">IF(F1343=0,"NOT FOUND",INDEX('All Song Rankings'!$B:$B,F1343))</f>
        <v>The Hotelier</v>
      </c>
      <c r="I1343" s="6" t="str">
        <f aca="false">IF(F1343=0,"NOT FOUND",INDEX('All Song Rankings'!$D:$D,F1343))</f>
        <v>Scott</v>
      </c>
      <c r="J1343" s="7" t="str">
        <f aca="false">IF(F1343=0,"NOT FOUND",IF(C1343=I1343,"SELF-VOTE",IF(COUNTIF($K:$K,K1343)&gt;1,"DUPLICATE","OK")))</f>
        <v>OK</v>
      </c>
      <c r="K1343" s="6" t="str">
        <f aca="false">A1343&amp;"|"&amp;B1343&amp;"|"&amp;C1343&amp;"|"&amp;D1343</f>
        <v>3|2|Matt|spotify:track:21ACVHZc3K9lK0zleucFaJ</v>
      </c>
    </row>
    <row r="1344" customFormat="false" ht="15" hidden="false" customHeight="false" outlineLevel="0" collapsed="false">
      <c r="A1344" s="5" t="n">
        <v>3</v>
      </c>
      <c r="B1344" s="5" t="n">
        <v>2</v>
      </c>
      <c r="C1344" s="5" t="s">
        <v>116</v>
      </c>
      <c r="D1344" s="5" t="s">
        <v>741</v>
      </c>
      <c r="E1344" s="5" t="n">
        <v>1</v>
      </c>
      <c r="F1344" s="6" t="n">
        <f aca="false">IFERROR(MATCH(A1344&amp;"|"&amp;B1344&amp;"|"&amp;D1344,'All Song Rankings'!$T:$T,0),0)</f>
        <v>212</v>
      </c>
      <c r="G1344" s="6" t="str">
        <f aca="false">IF(F1344=0,"NOT FOUND",INDEX('All Song Rankings'!$A:$A,F1344))</f>
        <v>Because You Loved Me (Theme from "Up Close and Personal")</v>
      </c>
      <c r="H1344" s="6" t="str">
        <f aca="false">IF(F1344=0,"NOT FOUND",INDEX('All Song Rankings'!$B:$B,F1344))</f>
        <v>Céline Dion</v>
      </c>
      <c r="I1344" s="6" t="str">
        <f aca="false">IF(F1344=0,"NOT FOUND",INDEX('All Song Rankings'!$D:$D,F1344))</f>
        <v>Makenzie</v>
      </c>
      <c r="J1344" s="7" t="str">
        <f aca="false">IF(F1344=0,"NOT FOUND",IF(C1344=I1344,"SELF-VOTE",IF(COUNTIF($K:$K,K1344)&gt;1,"DUPLICATE","OK")))</f>
        <v>OK</v>
      </c>
      <c r="K1344" s="6" t="str">
        <f aca="false">A1344&amp;"|"&amp;B1344&amp;"|"&amp;C1344&amp;"|"&amp;D1344</f>
        <v>3|2|Matt|spotify:track:28UMiBhn383n9S7GL4tsxD</v>
      </c>
    </row>
    <row r="1345" customFormat="false" ht="15" hidden="false" customHeight="false" outlineLevel="0" collapsed="false">
      <c r="A1345" s="5" t="n">
        <v>3</v>
      </c>
      <c r="B1345" s="5" t="n">
        <v>2</v>
      </c>
      <c r="C1345" s="5" t="s">
        <v>116</v>
      </c>
      <c r="D1345" s="5" t="s">
        <v>744</v>
      </c>
      <c r="E1345" s="5" t="n">
        <v>1</v>
      </c>
      <c r="F1345" s="6" t="n">
        <f aca="false">IFERROR(MATCH(A1345&amp;"|"&amp;B1345&amp;"|"&amp;D1345,'All Song Rankings'!$T:$T,0),0)</f>
        <v>213</v>
      </c>
      <c r="G1345" s="6" t="str">
        <f aca="false">IF(F1345=0,"NOT FOUND",INDEX('All Song Rankings'!$A:$A,F1345))</f>
        <v>No Matter Where You Are</v>
      </c>
      <c r="H1345" s="6" t="str">
        <f aca="false">IF(F1345=0,"NOT FOUND",INDEX('All Song Rankings'!$B:$B,F1345))</f>
        <v>Us The Duo</v>
      </c>
      <c r="I1345" s="6" t="str">
        <f aca="false">IF(F1345=0,"NOT FOUND",INDEX('All Song Rankings'!$D:$D,F1345))</f>
        <v>Grace</v>
      </c>
      <c r="J1345" s="7" t="str">
        <f aca="false">IF(F1345=0,"NOT FOUND",IF(C1345=I1345,"SELF-VOTE",IF(COUNTIF($K:$K,K1345)&gt;1,"DUPLICATE","OK")))</f>
        <v>OK</v>
      </c>
      <c r="K1345" s="6" t="str">
        <f aca="false">A1345&amp;"|"&amp;B1345&amp;"|"&amp;C1345&amp;"|"&amp;D1345</f>
        <v>3|2|Matt|spotify:track:2XW4AAjfBQTzp7Oe1tU702</v>
      </c>
    </row>
    <row r="1346" customFormat="false" ht="15" hidden="false" customHeight="false" outlineLevel="0" collapsed="false">
      <c r="A1346" s="5" t="n">
        <v>3</v>
      </c>
      <c r="B1346" s="5" t="n">
        <v>2</v>
      </c>
      <c r="C1346" s="5" t="s">
        <v>116</v>
      </c>
      <c r="D1346" s="5" t="s">
        <v>738</v>
      </c>
      <c r="E1346" s="5" t="n">
        <v>1</v>
      </c>
      <c r="F1346" s="6" t="n">
        <f aca="false">IFERROR(MATCH(A1346&amp;"|"&amp;B1346&amp;"|"&amp;D1346,'All Song Rankings'!$T:$T,0),0)</f>
        <v>211</v>
      </c>
      <c r="G1346" s="6" t="str">
        <f aca="false">IF(F1346=0,"NOT FOUND",INDEX('All Song Rankings'!$A:$A,F1346))</f>
        <v>Dreams</v>
      </c>
      <c r="H1346" s="6" t="str">
        <f aca="false">IF(F1346=0,"NOT FOUND",INDEX('All Song Rankings'!$B:$B,F1346))</f>
        <v>The Cranberries</v>
      </c>
      <c r="I1346" s="6" t="str">
        <f aca="false">IF(F1346=0,"NOT FOUND",INDEX('All Song Rankings'!$D:$D,F1346))</f>
        <v>Lisa</v>
      </c>
      <c r="J1346" s="7" t="str">
        <f aca="false">IF(F1346=0,"NOT FOUND",IF(C1346=I1346,"SELF-VOTE",IF(COUNTIF($K:$K,K1346)&gt;1,"DUPLICATE","OK")))</f>
        <v>OK</v>
      </c>
      <c r="K1346" s="6" t="str">
        <f aca="false">A1346&amp;"|"&amp;B1346&amp;"|"&amp;C1346&amp;"|"&amp;D1346</f>
        <v>3|2|Matt|spotify:track:4JGKZS7h4Qa16gOU3oNETV</v>
      </c>
    </row>
    <row r="1347" customFormat="false" ht="15" hidden="false" customHeight="false" outlineLevel="0" collapsed="false">
      <c r="A1347" s="5" t="n">
        <v>3</v>
      </c>
      <c r="B1347" s="5" t="n">
        <v>2</v>
      </c>
      <c r="C1347" s="5" t="s">
        <v>116</v>
      </c>
      <c r="D1347" s="5" t="s">
        <v>542</v>
      </c>
      <c r="E1347" s="5" t="n">
        <v>1</v>
      </c>
      <c r="F1347" s="6" t="n">
        <f aca="false">IFERROR(MATCH(A1347&amp;"|"&amp;B1347&amp;"|"&amp;D1347,'All Song Rankings'!$T:$T,0),0)</f>
        <v>219</v>
      </c>
      <c r="G1347" s="6" t="str">
        <f aca="false">IF(F1347=0,"NOT FOUND",INDEX('All Song Rankings'!$A:$A,F1347))</f>
        <v>I Will Always Love You</v>
      </c>
      <c r="H1347" s="6" t="str">
        <f aca="false">IF(F1347=0,"NOT FOUND",INDEX('All Song Rankings'!$B:$B,F1347))</f>
        <v>Whitney Houston</v>
      </c>
      <c r="I1347" s="6" t="str">
        <f aca="false">IF(F1347=0,"NOT FOUND",INDEX('All Song Rankings'!$D:$D,F1347))</f>
        <v>Aubrey</v>
      </c>
      <c r="J1347" s="7" t="str">
        <f aca="false">IF(F1347=0,"NOT FOUND",IF(C1347=I1347,"SELF-VOTE",IF(COUNTIF($K:$K,K1347)&gt;1,"DUPLICATE","OK")))</f>
        <v>OK</v>
      </c>
      <c r="K1347" s="6" t="str">
        <f aca="false">A1347&amp;"|"&amp;B1347&amp;"|"&amp;C1347&amp;"|"&amp;D1347</f>
        <v>3|2|Matt|spotify:track:4eHbdreAnSOrDDsFfc4Fpm</v>
      </c>
    </row>
    <row r="1348" customFormat="false" ht="15" hidden="false" customHeight="false" outlineLevel="0" collapsed="false">
      <c r="A1348" s="5" t="n">
        <v>3</v>
      </c>
      <c r="B1348" s="5" t="n">
        <v>2</v>
      </c>
      <c r="C1348" s="5" t="s">
        <v>116</v>
      </c>
      <c r="D1348" s="5" t="s">
        <v>730</v>
      </c>
      <c r="E1348" s="5" t="n">
        <v>1</v>
      </c>
      <c r="F1348" s="6" t="n">
        <f aca="false">IFERROR(MATCH(A1348&amp;"|"&amp;B1348&amp;"|"&amp;D1348,'All Song Rankings'!$T:$T,0),0)</f>
        <v>208</v>
      </c>
      <c r="G1348" s="6" t="str">
        <f aca="false">IF(F1348=0,"NOT FOUND",INDEX('All Song Rankings'!$A:$A,F1348))</f>
        <v>a thousand years</v>
      </c>
      <c r="H1348" s="6" t="str">
        <f aca="false">IF(F1348=0,"NOT FOUND",INDEX('All Song Rankings'!$B:$B,F1348))</f>
        <v>Christina Perri</v>
      </c>
      <c r="I1348" s="6" t="str">
        <f aca="false">IF(F1348=0,"NOT FOUND",INDEX('All Song Rankings'!$D:$D,F1348))</f>
        <v>Merita</v>
      </c>
      <c r="J1348" s="7" t="str">
        <f aca="false">IF(F1348=0,"NOT FOUND",IF(C1348=I1348,"SELF-VOTE",IF(COUNTIF($K:$K,K1348)&gt;1,"DUPLICATE","OK")))</f>
        <v>OK</v>
      </c>
      <c r="K1348" s="6" t="str">
        <f aca="false">A1348&amp;"|"&amp;B1348&amp;"|"&amp;C1348&amp;"|"&amp;D1348</f>
        <v>3|2|Matt|spotify:track:6lanRgr6wXibZr8KgzXxBl</v>
      </c>
    </row>
    <row r="1349" customFormat="false" ht="15" hidden="false" customHeight="false" outlineLevel="0" collapsed="false">
      <c r="A1349" s="5" t="n">
        <v>3</v>
      </c>
      <c r="B1349" s="5" t="n">
        <v>2</v>
      </c>
      <c r="C1349" s="5" t="s">
        <v>116</v>
      </c>
      <c r="D1349" s="5" t="s">
        <v>753</v>
      </c>
      <c r="E1349" s="5" t="n">
        <v>1</v>
      </c>
      <c r="F1349" s="6" t="n">
        <f aca="false">IFERROR(MATCH(A1349&amp;"|"&amp;B1349&amp;"|"&amp;D1349,'All Song Rankings'!$T:$T,0),0)</f>
        <v>216</v>
      </c>
      <c r="G1349" s="6" t="str">
        <f aca="false">IF(F1349=0,"NOT FOUND",INDEX('All Song Rankings'!$A:$A,F1349))</f>
        <v>Hang With Me</v>
      </c>
      <c r="H1349" s="6" t="str">
        <f aca="false">IF(F1349=0,"NOT FOUND",INDEX('All Song Rankings'!$B:$B,F1349))</f>
        <v>Robyn</v>
      </c>
      <c r="I1349" s="6" t="str">
        <f aca="false">IF(F1349=0,"NOT FOUND",INDEX('All Song Rankings'!$D:$D,F1349))</f>
        <v>Kelsey</v>
      </c>
      <c r="J1349" s="7" t="str">
        <f aca="false">IF(F1349=0,"NOT FOUND",IF(C1349=I1349,"SELF-VOTE",IF(COUNTIF($K:$K,K1349)&gt;1,"DUPLICATE","OK")))</f>
        <v>OK</v>
      </c>
      <c r="K1349" s="6" t="str">
        <f aca="false">A1349&amp;"|"&amp;B1349&amp;"|"&amp;C1349&amp;"|"&amp;D1349</f>
        <v>3|2|Matt|spotify:track:6rW8q1p2GCjGMRAlnxBeo7</v>
      </c>
    </row>
    <row r="1350" customFormat="false" ht="15" hidden="false" customHeight="false" outlineLevel="0" collapsed="false">
      <c r="A1350" s="5" t="n">
        <v>3</v>
      </c>
      <c r="B1350" s="5" t="n">
        <v>2</v>
      </c>
      <c r="C1350" s="5" t="s">
        <v>116</v>
      </c>
      <c r="D1350" s="5" t="s">
        <v>735</v>
      </c>
      <c r="E1350" s="5" t="n">
        <v>1</v>
      </c>
      <c r="F1350" s="6" t="n">
        <f aca="false">IFERROR(MATCH(A1350&amp;"|"&amp;B1350&amp;"|"&amp;D1350,'All Song Rankings'!$T:$T,0),0)</f>
        <v>210</v>
      </c>
      <c r="G1350" s="6" t="str">
        <f aca="false">IF(F1350=0,"NOT FOUND",INDEX('All Song Rankings'!$A:$A,F1350))</f>
        <v>Wonderful Tonight</v>
      </c>
      <c r="H1350" s="6" t="str">
        <f aca="false">IF(F1350=0,"NOT FOUND",INDEX('All Song Rankings'!$B:$B,F1350))</f>
        <v>Eric Clapton</v>
      </c>
      <c r="I1350" s="6" t="str">
        <f aca="false">IF(F1350=0,"NOT FOUND",INDEX('All Song Rankings'!$D:$D,F1350))</f>
        <v>Stephanie</v>
      </c>
      <c r="J1350" s="7" t="str">
        <f aca="false">IF(F1350=0,"NOT FOUND",IF(C1350=I1350,"SELF-VOTE",IF(COUNTIF($K:$K,K1350)&gt;1,"DUPLICATE","OK")))</f>
        <v>OK</v>
      </c>
      <c r="K1350" s="6" t="str">
        <f aca="false">A1350&amp;"|"&amp;B1350&amp;"|"&amp;C1350&amp;"|"&amp;D1350</f>
        <v>3|2|Matt|spotify:track:6zC0mpGYwbNTpk9SKwh08f</v>
      </c>
    </row>
    <row r="1351" customFormat="false" ht="15" hidden="false" customHeight="false" outlineLevel="0" collapsed="false">
      <c r="A1351" s="5" t="n">
        <v>3</v>
      </c>
      <c r="B1351" s="5" t="n">
        <v>2</v>
      </c>
      <c r="C1351" s="5" t="s">
        <v>101</v>
      </c>
      <c r="D1351" s="5" t="s">
        <v>750</v>
      </c>
      <c r="E1351" s="5" t="n">
        <v>2</v>
      </c>
      <c r="F1351" s="6" t="n">
        <f aca="false">IFERROR(MATCH(A1351&amp;"|"&amp;B1351&amp;"|"&amp;D1351,'All Song Rankings'!$T:$T,0),0)</f>
        <v>215</v>
      </c>
      <c r="G1351" s="6" t="str">
        <f aca="false">IF(F1351=0,"NOT FOUND",INDEX('All Song Rankings'!$A:$A,F1351))</f>
        <v>Color</v>
      </c>
      <c r="H1351" s="6" t="str">
        <f aca="false">IF(F1351=0,"NOT FOUND",INDEX('All Song Rankings'!$B:$B,F1351))</f>
        <v>Todrick Hall, Jay Armstrong Johnson</v>
      </c>
      <c r="I1351" s="6" t="str">
        <f aca="false">IF(F1351=0,"NOT FOUND",INDEX('All Song Rankings'!$D:$D,F1351))</f>
        <v>Logan</v>
      </c>
      <c r="J1351" s="7" t="str">
        <f aca="false">IF(F1351=0,"NOT FOUND",IF(C1351=I1351,"SELF-VOTE",IF(COUNTIF($K:$K,K1351)&gt;1,"DUPLICATE","OK")))</f>
        <v>OK</v>
      </c>
      <c r="K1351" s="6" t="str">
        <f aca="false">A1351&amp;"|"&amp;B1351&amp;"|"&amp;C1351&amp;"|"&amp;D1351</f>
        <v>3|2|Merita|spotify:track:1oSGSJdYt0Om26M5V6XR5Q</v>
      </c>
    </row>
    <row r="1352" customFormat="false" ht="15" hidden="false" customHeight="false" outlineLevel="0" collapsed="false">
      <c r="A1352" s="5" t="n">
        <v>3</v>
      </c>
      <c r="B1352" s="5" t="n">
        <v>2</v>
      </c>
      <c r="C1352" s="5" t="s">
        <v>101</v>
      </c>
      <c r="D1352" s="5" t="s">
        <v>747</v>
      </c>
      <c r="E1352" s="5" t="n">
        <v>1</v>
      </c>
      <c r="F1352" s="6" t="n">
        <f aca="false">IFERROR(MATCH(A1352&amp;"|"&amp;B1352&amp;"|"&amp;D1352,'All Song Rankings'!$T:$T,0),0)</f>
        <v>214</v>
      </c>
      <c r="G1352" s="6" t="str">
        <f aca="false">IF(F1352=0,"NOT FOUND",INDEX('All Song Rankings'!$A:$A,F1352))</f>
        <v>Question</v>
      </c>
      <c r="H1352" s="6" t="str">
        <f aca="false">IF(F1352=0,"NOT FOUND",INDEX('All Song Rankings'!$B:$B,F1352))</f>
        <v>Old 97's</v>
      </c>
      <c r="I1352" s="6" t="str">
        <f aca="false">IF(F1352=0,"NOT FOUND",INDEX('All Song Rankings'!$D:$D,F1352))</f>
        <v>Matt</v>
      </c>
      <c r="J1352" s="7" t="str">
        <f aca="false">IF(F1352=0,"NOT FOUND",IF(C1352=I1352,"SELF-VOTE",IF(COUNTIF($K:$K,K1352)&gt;1,"DUPLICATE","OK")))</f>
        <v>OK</v>
      </c>
      <c r="K1352" s="6" t="str">
        <f aca="false">A1352&amp;"|"&amp;B1352&amp;"|"&amp;C1352&amp;"|"&amp;D1352</f>
        <v>3|2|Merita|spotify:track:2m5ItG3IIMsaGYJjZOvUoE</v>
      </c>
    </row>
    <row r="1353" customFormat="false" ht="15" hidden="false" customHeight="false" outlineLevel="0" collapsed="false">
      <c r="A1353" s="5" t="n">
        <v>3</v>
      </c>
      <c r="B1353" s="5" t="n">
        <v>2</v>
      </c>
      <c r="C1353" s="5" t="s">
        <v>101</v>
      </c>
      <c r="D1353" s="5" t="s">
        <v>732</v>
      </c>
      <c r="E1353" s="5" t="n">
        <v>1</v>
      </c>
      <c r="F1353" s="6" t="n">
        <f aca="false">IFERROR(MATCH(A1353&amp;"|"&amp;B1353&amp;"|"&amp;D1353,'All Song Rankings'!$T:$T,0),0)</f>
        <v>209</v>
      </c>
      <c r="G1353" s="6" t="str">
        <f aca="false">IF(F1353=0,"NOT FOUND",INDEX('All Song Rankings'!$A:$A,F1353))</f>
        <v>Thinking out Loud</v>
      </c>
      <c r="H1353" s="6" t="str">
        <f aca="false">IF(F1353=0,"NOT FOUND",INDEX('All Song Rankings'!$B:$B,F1353))</f>
        <v>Ed Sheeran</v>
      </c>
      <c r="I1353" s="6" t="str">
        <f aca="false">IF(F1353=0,"NOT FOUND",INDEX('All Song Rankings'!$D:$D,F1353))</f>
        <v>Leah</v>
      </c>
      <c r="J1353" s="7" t="str">
        <f aca="false">IF(F1353=0,"NOT FOUND",IF(C1353=I1353,"SELF-VOTE",IF(COUNTIF($K:$K,K1353)&gt;1,"DUPLICATE","OK")))</f>
        <v>OK</v>
      </c>
      <c r="K1353" s="6" t="str">
        <f aca="false">A1353&amp;"|"&amp;B1353&amp;"|"&amp;C1353&amp;"|"&amp;D1353</f>
        <v>3|2|Merita|spotify:track:34gCuhDGsG4bRPIf9bb02f</v>
      </c>
    </row>
    <row r="1354" customFormat="false" ht="15" hidden="false" customHeight="false" outlineLevel="0" collapsed="false">
      <c r="A1354" s="5" t="n">
        <v>3</v>
      </c>
      <c r="B1354" s="5" t="n">
        <v>2</v>
      </c>
      <c r="C1354" s="5" t="s">
        <v>101</v>
      </c>
      <c r="D1354" s="5" t="s">
        <v>756</v>
      </c>
      <c r="E1354" s="5" t="n">
        <v>1</v>
      </c>
      <c r="F1354" s="6" t="n">
        <f aca="false">IFERROR(MATCH(A1354&amp;"|"&amp;B1354&amp;"|"&amp;D1354,'All Song Rankings'!$T:$T,0),0)</f>
        <v>217</v>
      </c>
      <c r="G1354" s="6" t="str">
        <f aca="false">IF(F1354=0,"NOT FOUND",INDEX('All Song Rankings'!$A:$A,F1354))</f>
        <v>Breathe For Me</v>
      </c>
      <c r="H1354" s="6" t="str">
        <f aca="false">IF(F1354=0,"NOT FOUND",INDEX('All Song Rankings'!$B:$B,F1354))</f>
        <v>UNSECRET, Lonas</v>
      </c>
      <c r="I1354" s="6" t="str">
        <f aca="false">IF(F1354=0,"NOT FOUND",INDEX('All Song Rankings'!$D:$D,F1354))</f>
        <v>Kristen</v>
      </c>
      <c r="J1354" s="7" t="str">
        <f aca="false">IF(F1354=0,"NOT FOUND",IF(C1354=I1354,"SELF-VOTE",IF(COUNTIF($K:$K,K1354)&gt;1,"DUPLICATE","OK")))</f>
        <v>OK</v>
      </c>
      <c r="K1354" s="6" t="str">
        <f aca="false">A1354&amp;"|"&amp;B1354&amp;"|"&amp;C1354&amp;"|"&amp;D1354</f>
        <v>3|2|Merita|spotify:track:40UoxIJtdEt0pGVy8TK0Fb</v>
      </c>
    </row>
    <row r="1355" customFormat="false" ht="15" hidden="false" customHeight="false" outlineLevel="0" collapsed="false">
      <c r="A1355" s="5" t="n">
        <v>3</v>
      </c>
      <c r="B1355" s="5" t="n">
        <v>2</v>
      </c>
      <c r="C1355" s="5" t="s">
        <v>101</v>
      </c>
      <c r="D1355" s="5" t="s">
        <v>738</v>
      </c>
      <c r="E1355" s="5" t="n">
        <v>1</v>
      </c>
      <c r="F1355" s="6" t="n">
        <f aca="false">IFERROR(MATCH(A1355&amp;"|"&amp;B1355&amp;"|"&amp;D1355,'All Song Rankings'!$T:$T,0),0)</f>
        <v>211</v>
      </c>
      <c r="G1355" s="6" t="str">
        <f aca="false">IF(F1355=0,"NOT FOUND",INDEX('All Song Rankings'!$A:$A,F1355))</f>
        <v>Dreams</v>
      </c>
      <c r="H1355" s="6" t="str">
        <f aca="false">IF(F1355=0,"NOT FOUND",INDEX('All Song Rankings'!$B:$B,F1355))</f>
        <v>The Cranberries</v>
      </c>
      <c r="I1355" s="6" t="str">
        <f aca="false">IF(F1355=0,"NOT FOUND",INDEX('All Song Rankings'!$D:$D,F1355))</f>
        <v>Lisa</v>
      </c>
      <c r="J1355" s="7" t="str">
        <f aca="false">IF(F1355=0,"NOT FOUND",IF(C1355=I1355,"SELF-VOTE",IF(COUNTIF($K:$K,K1355)&gt;1,"DUPLICATE","OK")))</f>
        <v>OK</v>
      </c>
      <c r="K1355" s="6" t="str">
        <f aca="false">A1355&amp;"|"&amp;B1355&amp;"|"&amp;C1355&amp;"|"&amp;D1355</f>
        <v>3|2|Merita|spotify:track:4JGKZS7h4Qa16gOU3oNETV</v>
      </c>
    </row>
    <row r="1356" customFormat="false" ht="15" hidden="false" customHeight="false" outlineLevel="0" collapsed="false">
      <c r="A1356" s="5" t="n">
        <v>3</v>
      </c>
      <c r="B1356" s="5" t="n">
        <v>2</v>
      </c>
      <c r="C1356" s="5" t="s">
        <v>101</v>
      </c>
      <c r="D1356" s="5" t="s">
        <v>542</v>
      </c>
      <c r="E1356" s="5" t="n">
        <v>1</v>
      </c>
      <c r="F1356" s="6" t="n">
        <f aca="false">IFERROR(MATCH(A1356&amp;"|"&amp;B1356&amp;"|"&amp;D1356,'All Song Rankings'!$T:$T,0),0)</f>
        <v>219</v>
      </c>
      <c r="G1356" s="6" t="str">
        <f aca="false">IF(F1356=0,"NOT FOUND",INDEX('All Song Rankings'!$A:$A,F1356))</f>
        <v>I Will Always Love You</v>
      </c>
      <c r="H1356" s="6" t="str">
        <f aca="false">IF(F1356=0,"NOT FOUND",INDEX('All Song Rankings'!$B:$B,F1356))</f>
        <v>Whitney Houston</v>
      </c>
      <c r="I1356" s="6" t="str">
        <f aca="false">IF(F1356=0,"NOT FOUND",INDEX('All Song Rankings'!$D:$D,F1356))</f>
        <v>Aubrey</v>
      </c>
      <c r="J1356" s="7" t="str">
        <f aca="false">IF(F1356=0,"NOT FOUND",IF(C1356=I1356,"SELF-VOTE",IF(COUNTIF($K:$K,K1356)&gt;1,"DUPLICATE","OK")))</f>
        <v>OK</v>
      </c>
      <c r="K1356" s="6" t="str">
        <f aca="false">A1356&amp;"|"&amp;B1356&amp;"|"&amp;C1356&amp;"|"&amp;D1356</f>
        <v>3|2|Merita|spotify:track:4eHbdreAnSOrDDsFfc4Fpm</v>
      </c>
    </row>
    <row r="1357" customFormat="false" ht="15" hidden="false" customHeight="false" outlineLevel="0" collapsed="false">
      <c r="A1357" s="5" t="n">
        <v>3</v>
      </c>
      <c r="B1357" s="5" t="n">
        <v>2</v>
      </c>
      <c r="C1357" s="5" t="s">
        <v>101</v>
      </c>
      <c r="D1357" s="5" t="s">
        <v>758</v>
      </c>
      <c r="E1357" s="5" t="n">
        <v>1</v>
      </c>
      <c r="F1357" s="6" t="n">
        <f aca="false">IFERROR(MATCH(A1357&amp;"|"&amp;B1357&amp;"|"&amp;D1357,'All Song Rankings'!$T:$T,0),0)</f>
        <v>218</v>
      </c>
      <c r="G1357" s="6" t="str">
        <f aca="false">IF(F1357=0,"NOT FOUND",INDEX('All Song Rankings'!$A:$A,F1357))</f>
        <v>Lovebug</v>
      </c>
      <c r="H1357" s="6" t="str">
        <f aca="false">IF(F1357=0,"NOT FOUND",INDEX('All Song Rankings'!$B:$B,F1357))</f>
        <v>Jonas Brothers</v>
      </c>
      <c r="I1357" s="6" t="str">
        <f aca="false">IF(F1357=0,"NOT FOUND",INDEX('All Song Rankings'!$D:$D,F1357))</f>
        <v>Nicole</v>
      </c>
      <c r="J1357" s="7" t="str">
        <f aca="false">IF(F1357=0,"NOT FOUND",IF(C1357=I1357,"SELF-VOTE",IF(COUNTIF($K:$K,K1357)&gt;1,"DUPLICATE","OK")))</f>
        <v>OK</v>
      </c>
      <c r="K1357" s="6" t="str">
        <f aca="false">A1357&amp;"|"&amp;B1357&amp;"|"&amp;C1357&amp;"|"&amp;D1357</f>
        <v>3|2|Merita|spotify:track:5ILmJ41lSsul2zSmJnqvAy</v>
      </c>
    </row>
    <row r="1358" customFormat="false" ht="15" hidden="false" customHeight="false" outlineLevel="0" collapsed="false">
      <c r="A1358" s="5" t="n">
        <v>3</v>
      </c>
      <c r="B1358" s="5" t="n">
        <v>2</v>
      </c>
      <c r="C1358" s="5" t="s">
        <v>101</v>
      </c>
      <c r="D1358" s="5" t="s">
        <v>761</v>
      </c>
      <c r="E1358" s="5" t="n">
        <v>1</v>
      </c>
      <c r="F1358" s="6" t="n">
        <f aca="false">IFERROR(MATCH(A1358&amp;"|"&amp;B1358&amp;"|"&amp;D1358,'All Song Rankings'!$T:$T,0),0)</f>
        <v>220</v>
      </c>
      <c r="G1358" s="6" t="str">
        <f aca="false">IF(F1358=0,"NOT FOUND",INDEX('All Song Rankings'!$A:$A,F1358))</f>
        <v>Who I Am</v>
      </c>
      <c r="H1358" s="6" t="str">
        <f aca="false">IF(F1358=0,"NOT FOUND",INDEX('All Song Rankings'!$B:$B,F1358))</f>
        <v>Wade Bowen</v>
      </c>
      <c r="I1358" s="6" t="str">
        <f aca="false">IF(F1358=0,"NOT FOUND",INDEX('All Song Rankings'!$D:$D,F1358))</f>
        <v>Colleen</v>
      </c>
      <c r="J1358" s="7" t="str">
        <f aca="false">IF(F1358=0,"NOT FOUND",IF(C1358=I1358,"SELF-VOTE",IF(COUNTIF($K:$K,K1358)&gt;1,"DUPLICATE","OK")))</f>
        <v>OK</v>
      </c>
      <c r="K1358" s="6" t="str">
        <f aca="false">A1358&amp;"|"&amp;B1358&amp;"|"&amp;C1358&amp;"|"&amp;D1358</f>
        <v>3|2|Merita|spotify:track:5XlN58Ay3R3cE7P7c9XjaC</v>
      </c>
    </row>
    <row r="1359" customFormat="false" ht="15" hidden="false" customHeight="false" outlineLevel="0" collapsed="false">
      <c r="A1359" s="5" t="n">
        <v>3</v>
      </c>
      <c r="B1359" s="5" t="n">
        <v>2</v>
      </c>
      <c r="C1359" s="5" t="s">
        <v>101</v>
      </c>
      <c r="D1359" s="5" t="s">
        <v>735</v>
      </c>
      <c r="E1359" s="5" t="n">
        <v>1</v>
      </c>
      <c r="F1359" s="6" t="n">
        <f aca="false">IFERROR(MATCH(A1359&amp;"|"&amp;B1359&amp;"|"&amp;D1359,'All Song Rankings'!$T:$T,0),0)</f>
        <v>210</v>
      </c>
      <c r="G1359" s="6" t="str">
        <f aca="false">IF(F1359=0,"NOT FOUND",INDEX('All Song Rankings'!$A:$A,F1359))</f>
        <v>Wonderful Tonight</v>
      </c>
      <c r="H1359" s="6" t="str">
        <f aca="false">IF(F1359=0,"NOT FOUND",INDEX('All Song Rankings'!$B:$B,F1359))</f>
        <v>Eric Clapton</v>
      </c>
      <c r="I1359" s="6" t="str">
        <f aca="false">IF(F1359=0,"NOT FOUND",INDEX('All Song Rankings'!$D:$D,F1359))</f>
        <v>Stephanie</v>
      </c>
      <c r="J1359" s="7" t="str">
        <f aca="false">IF(F1359=0,"NOT FOUND",IF(C1359=I1359,"SELF-VOTE",IF(COUNTIF($K:$K,K1359)&gt;1,"DUPLICATE","OK")))</f>
        <v>OK</v>
      </c>
      <c r="K1359" s="6" t="str">
        <f aca="false">A1359&amp;"|"&amp;B1359&amp;"|"&amp;C1359&amp;"|"&amp;D1359</f>
        <v>3|2|Merita|spotify:track:6zC0mpGYwbNTpk9SKwh08f</v>
      </c>
    </row>
    <row r="1360" customFormat="false" ht="15" hidden="false" customHeight="false" outlineLevel="0" collapsed="false">
      <c r="A1360" s="5" t="n">
        <v>3</v>
      </c>
      <c r="B1360" s="5" t="n">
        <v>2</v>
      </c>
      <c r="C1360" s="5" t="s">
        <v>92</v>
      </c>
      <c r="D1360" s="5" t="s">
        <v>741</v>
      </c>
      <c r="E1360" s="5" t="n">
        <v>1</v>
      </c>
      <c r="F1360" s="6" t="n">
        <f aca="false">IFERROR(MATCH(A1360&amp;"|"&amp;B1360&amp;"|"&amp;D1360,'All Song Rankings'!$T:$T,0),0)</f>
        <v>212</v>
      </c>
      <c r="G1360" s="6" t="str">
        <f aca="false">IF(F1360=0,"NOT FOUND",INDEX('All Song Rankings'!$A:$A,F1360))</f>
        <v>Because You Loved Me (Theme from "Up Close and Personal")</v>
      </c>
      <c r="H1360" s="6" t="str">
        <f aca="false">IF(F1360=0,"NOT FOUND",INDEX('All Song Rankings'!$B:$B,F1360))</f>
        <v>Céline Dion</v>
      </c>
      <c r="I1360" s="6" t="str">
        <f aca="false">IF(F1360=0,"NOT FOUND",INDEX('All Song Rankings'!$D:$D,F1360))</f>
        <v>Makenzie</v>
      </c>
      <c r="J1360" s="7" t="str">
        <f aca="false">IF(F1360=0,"NOT FOUND",IF(C1360=I1360,"SELF-VOTE",IF(COUNTIF($K:$K,K1360)&gt;1,"DUPLICATE","OK")))</f>
        <v>OK</v>
      </c>
      <c r="K1360" s="6" t="str">
        <f aca="false">A1360&amp;"|"&amp;B1360&amp;"|"&amp;C1360&amp;"|"&amp;D1360</f>
        <v>3|2|Nicole|spotify:track:28UMiBhn383n9S7GL4tsxD</v>
      </c>
    </row>
    <row r="1361" customFormat="false" ht="15" hidden="false" customHeight="false" outlineLevel="0" collapsed="false">
      <c r="A1361" s="5" t="n">
        <v>3</v>
      </c>
      <c r="B1361" s="5" t="n">
        <v>2</v>
      </c>
      <c r="C1361" s="5" t="s">
        <v>92</v>
      </c>
      <c r="D1361" s="5" t="s">
        <v>744</v>
      </c>
      <c r="E1361" s="5" t="n">
        <v>1</v>
      </c>
      <c r="F1361" s="6" t="n">
        <f aca="false">IFERROR(MATCH(A1361&amp;"|"&amp;B1361&amp;"|"&amp;D1361,'All Song Rankings'!$T:$T,0),0)</f>
        <v>213</v>
      </c>
      <c r="G1361" s="6" t="str">
        <f aca="false">IF(F1361=0,"NOT FOUND",INDEX('All Song Rankings'!$A:$A,F1361))</f>
        <v>No Matter Where You Are</v>
      </c>
      <c r="H1361" s="6" t="str">
        <f aca="false">IF(F1361=0,"NOT FOUND",INDEX('All Song Rankings'!$B:$B,F1361))</f>
        <v>Us The Duo</v>
      </c>
      <c r="I1361" s="6" t="str">
        <f aca="false">IF(F1361=0,"NOT FOUND",INDEX('All Song Rankings'!$D:$D,F1361))</f>
        <v>Grace</v>
      </c>
      <c r="J1361" s="7" t="str">
        <f aca="false">IF(F1361=0,"NOT FOUND",IF(C1361=I1361,"SELF-VOTE",IF(COUNTIF($K:$K,K1361)&gt;1,"DUPLICATE","OK")))</f>
        <v>OK</v>
      </c>
      <c r="K1361" s="6" t="str">
        <f aca="false">A1361&amp;"|"&amp;B1361&amp;"|"&amp;C1361&amp;"|"&amp;D1361</f>
        <v>3|2|Nicole|spotify:track:2XW4AAjfBQTzp7Oe1tU702</v>
      </c>
    </row>
    <row r="1362" customFormat="false" ht="15" hidden="false" customHeight="false" outlineLevel="0" collapsed="false">
      <c r="A1362" s="5" t="n">
        <v>3</v>
      </c>
      <c r="B1362" s="5" t="n">
        <v>2</v>
      </c>
      <c r="C1362" s="5" t="s">
        <v>92</v>
      </c>
      <c r="D1362" s="5" t="s">
        <v>747</v>
      </c>
      <c r="E1362" s="5" t="n">
        <v>2</v>
      </c>
      <c r="F1362" s="6" t="n">
        <f aca="false">IFERROR(MATCH(A1362&amp;"|"&amp;B1362&amp;"|"&amp;D1362,'All Song Rankings'!$T:$T,0),0)</f>
        <v>214</v>
      </c>
      <c r="G1362" s="6" t="str">
        <f aca="false">IF(F1362=0,"NOT FOUND",INDEX('All Song Rankings'!$A:$A,F1362))</f>
        <v>Question</v>
      </c>
      <c r="H1362" s="6" t="str">
        <f aca="false">IF(F1362=0,"NOT FOUND",INDEX('All Song Rankings'!$B:$B,F1362))</f>
        <v>Old 97's</v>
      </c>
      <c r="I1362" s="6" t="str">
        <f aca="false">IF(F1362=0,"NOT FOUND",INDEX('All Song Rankings'!$D:$D,F1362))</f>
        <v>Matt</v>
      </c>
      <c r="J1362" s="7" t="str">
        <f aca="false">IF(F1362=0,"NOT FOUND",IF(C1362=I1362,"SELF-VOTE",IF(COUNTIF($K:$K,K1362)&gt;1,"DUPLICATE","OK")))</f>
        <v>OK</v>
      </c>
      <c r="K1362" s="6" t="str">
        <f aca="false">A1362&amp;"|"&amp;B1362&amp;"|"&amp;C1362&amp;"|"&amp;D1362</f>
        <v>3|2|Nicole|spotify:track:2m5ItG3IIMsaGYJjZOvUoE</v>
      </c>
    </row>
    <row r="1363" customFormat="false" ht="15" hidden="false" customHeight="false" outlineLevel="0" collapsed="false">
      <c r="A1363" s="5" t="n">
        <v>3</v>
      </c>
      <c r="B1363" s="5" t="n">
        <v>2</v>
      </c>
      <c r="C1363" s="5" t="s">
        <v>92</v>
      </c>
      <c r="D1363" s="5" t="s">
        <v>732</v>
      </c>
      <c r="E1363" s="5" t="n">
        <v>2</v>
      </c>
      <c r="F1363" s="6" t="n">
        <f aca="false">IFERROR(MATCH(A1363&amp;"|"&amp;B1363&amp;"|"&amp;D1363,'All Song Rankings'!$T:$T,0),0)</f>
        <v>209</v>
      </c>
      <c r="G1363" s="6" t="str">
        <f aca="false">IF(F1363=0,"NOT FOUND",INDEX('All Song Rankings'!$A:$A,F1363))</f>
        <v>Thinking out Loud</v>
      </c>
      <c r="H1363" s="6" t="str">
        <f aca="false">IF(F1363=0,"NOT FOUND",INDEX('All Song Rankings'!$B:$B,F1363))</f>
        <v>Ed Sheeran</v>
      </c>
      <c r="I1363" s="6" t="str">
        <f aca="false">IF(F1363=0,"NOT FOUND",INDEX('All Song Rankings'!$D:$D,F1363))</f>
        <v>Leah</v>
      </c>
      <c r="J1363" s="7" t="str">
        <f aca="false">IF(F1363=0,"NOT FOUND",IF(C1363=I1363,"SELF-VOTE",IF(COUNTIF($K:$K,K1363)&gt;1,"DUPLICATE","OK")))</f>
        <v>OK</v>
      </c>
      <c r="K1363" s="6" t="str">
        <f aca="false">A1363&amp;"|"&amp;B1363&amp;"|"&amp;C1363&amp;"|"&amp;D1363</f>
        <v>3|2|Nicole|spotify:track:34gCuhDGsG4bRPIf9bb02f</v>
      </c>
    </row>
    <row r="1364" customFormat="false" ht="15" hidden="false" customHeight="false" outlineLevel="0" collapsed="false">
      <c r="A1364" s="5" t="n">
        <v>3</v>
      </c>
      <c r="B1364" s="5" t="n">
        <v>2</v>
      </c>
      <c r="C1364" s="5" t="s">
        <v>92</v>
      </c>
      <c r="D1364" s="5" t="s">
        <v>730</v>
      </c>
      <c r="E1364" s="5" t="n">
        <v>2</v>
      </c>
      <c r="F1364" s="6" t="n">
        <f aca="false">IFERROR(MATCH(A1364&amp;"|"&amp;B1364&amp;"|"&amp;D1364,'All Song Rankings'!$T:$T,0),0)</f>
        <v>208</v>
      </c>
      <c r="G1364" s="6" t="str">
        <f aca="false">IF(F1364=0,"NOT FOUND",INDEX('All Song Rankings'!$A:$A,F1364))</f>
        <v>a thousand years</v>
      </c>
      <c r="H1364" s="6" t="str">
        <f aca="false">IF(F1364=0,"NOT FOUND",INDEX('All Song Rankings'!$B:$B,F1364))</f>
        <v>Christina Perri</v>
      </c>
      <c r="I1364" s="6" t="str">
        <f aca="false">IF(F1364=0,"NOT FOUND",INDEX('All Song Rankings'!$D:$D,F1364))</f>
        <v>Merita</v>
      </c>
      <c r="J1364" s="7" t="str">
        <f aca="false">IF(F1364=0,"NOT FOUND",IF(C1364=I1364,"SELF-VOTE",IF(COUNTIF($K:$K,K1364)&gt;1,"DUPLICATE","OK")))</f>
        <v>OK</v>
      </c>
      <c r="K1364" s="6" t="str">
        <f aca="false">A1364&amp;"|"&amp;B1364&amp;"|"&amp;C1364&amp;"|"&amp;D1364</f>
        <v>3|2|Nicole|spotify:track:6lanRgr6wXibZr8KgzXxBl</v>
      </c>
    </row>
    <row r="1365" customFormat="false" ht="15" hidden="false" customHeight="false" outlineLevel="0" collapsed="false">
      <c r="A1365" s="5" t="n">
        <v>3</v>
      </c>
      <c r="B1365" s="5" t="n">
        <v>2</v>
      </c>
      <c r="C1365" s="5" t="s">
        <v>92</v>
      </c>
      <c r="D1365" s="5" t="s">
        <v>753</v>
      </c>
      <c r="E1365" s="5" t="n">
        <v>1</v>
      </c>
      <c r="F1365" s="6" t="n">
        <f aca="false">IFERROR(MATCH(A1365&amp;"|"&amp;B1365&amp;"|"&amp;D1365,'All Song Rankings'!$T:$T,0),0)</f>
        <v>216</v>
      </c>
      <c r="G1365" s="6" t="str">
        <f aca="false">IF(F1365=0,"NOT FOUND",INDEX('All Song Rankings'!$A:$A,F1365))</f>
        <v>Hang With Me</v>
      </c>
      <c r="H1365" s="6" t="str">
        <f aca="false">IF(F1365=0,"NOT FOUND",INDEX('All Song Rankings'!$B:$B,F1365))</f>
        <v>Robyn</v>
      </c>
      <c r="I1365" s="6" t="str">
        <f aca="false">IF(F1365=0,"NOT FOUND",INDEX('All Song Rankings'!$D:$D,F1365))</f>
        <v>Kelsey</v>
      </c>
      <c r="J1365" s="7" t="str">
        <f aca="false">IF(F1365=0,"NOT FOUND",IF(C1365=I1365,"SELF-VOTE",IF(COUNTIF($K:$K,K1365)&gt;1,"DUPLICATE","OK")))</f>
        <v>OK</v>
      </c>
      <c r="K1365" s="6" t="str">
        <f aca="false">A1365&amp;"|"&amp;B1365&amp;"|"&amp;C1365&amp;"|"&amp;D1365</f>
        <v>3|2|Nicole|spotify:track:6rW8q1p2GCjGMRAlnxBeo7</v>
      </c>
    </row>
    <row r="1366" customFormat="false" ht="15" hidden="false" customHeight="false" outlineLevel="0" collapsed="false">
      <c r="A1366" s="5" t="n">
        <v>3</v>
      </c>
      <c r="B1366" s="5" t="n">
        <v>2</v>
      </c>
      <c r="C1366" s="5" t="s">
        <v>92</v>
      </c>
      <c r="D1366" s="5" t="s">
        <v>735</v>
      </c>
      <c r="E1366" s="5" t="n">
        <v>1</v>
      </c>
      <c r="F1366" s="6" t="n">
        <f aca="false">IFERROR(MATCH(A1366&amp;"|"&amp;B1366&amp;"|"&amp;D1366,'All Song Rankings'!$T:$T,0),0)</f>
        <v>210</v>
      </c>
      <c r="G1366" s="6" t="str">
        <f aca="false">IF(F1366=0,"NOT FOUND",INDEX('All Song Rankings'!$A:$A,F1366))</f>
        <v>Wonderful Tonight</v>
      </c>
      <c r="H1366" s="6" t="str">
        <f aca="false">IF(F1366=0,"NOT FOUND",INDEX('All Song Rankings'!$B:$B,F1366))</f>
        <v>Eric Clapton</v>
      </c>
      <c r="I1366" s="6" t="str">
        <f aca="false">IF(F1366=0,"NOT FOUND",INDEX('All Song Rankings'!$D:$D,F1366))</f>
        <v>Stephanie</v>
      </c>
      <c r="J1366" s="7" t="str">
        <f aca="false">IF(F1366=0,"NOT FOUND",IF(C1366=I1366,"SELF-VOTE",IF(COUNTIF($K:$K,K1366)&gt;1,"DUPLICATE","OK")))</f>
        <v>OK</v>
      </c>
      <c r="K1366" s="6" t="str">
        <f aca="false">A1366&amp;"|"&amp;B1366&amp;"|"&amp;C1366&amp;"|"&amp;D1366</f>
        <v>3|2|Nicole|spotify:track:6zC0mpGYwbNTpk9SKwh08f</v>
      </c>
    </row>
    <row r="1367" customFormat="false" ht="15" hidden="false" customHeight="false" outlineLevel="0" collapsed="false">
      <c r="A1367" s="5" t="n">
        <v>3</v>
      </c>
      <c r="B1367" s="5" t="n">
        <v>2</v>
      </c>
      <c r="C1367" s="5" t="s">
        <v>97</v>
      </c>
      <c r="D1367" s="5" t="s">
        <v>741</v>
      </c>
      <c r="E1367" s="5" t="n">
        <v>1</v>
      </c>
      <c r="F1367" s="6" t="n">
        <f aca="false">IFERROR(MATCH(A1367&amp;"|"&amp;B1367&amp;"|"&amp;D1367,'All Song Rankings'!$T:$T,0),0)</f>
        <v>212</v>
      </c>
      <c r="G1367" s="6" t="str">
        <f aca="false">IF(F1367=0,"NOT FOUND",INDEX('All Song Rankings'!$A:$A,F1367))</f>
        <v>Because You Loved Me (Theme from "Up Close and Personal")</v>
      </c>
      <c r="H1367" s="6" t="str">
        <f aca="false">IF(F1367=0,"NOT FOUND",INDEX('All Song Rankings'!$B:$B,F1367))</f>
        <v>Céline Dion</v>
      </c>
      <c r="I1367" s="6" t="str">
        <f aca="false">IF(F1367=0,"NOT FOUND",INDEX('All Song Rankings'!$D:$D,F1367))</f>
        <v>Makenzie</v>
      </c>
      <c r="J1367" s="7" t="str">
        <f aca="false">IF(F1367=0,"NOT FOUND",IF(C1367=I1367,"SELF-VOTE",IF(COUNTIF($K:$K,K1367)&gt;1,"DUPLICATE","OK")))</f>
        <v>OK</v>
      </c>
      <c r="K1367" s="6" t="str">
        <f aca="false">A1367&amp;"|"&amp;B1367&amp;"|"&amp;C1367&amp;"|"&amp;D1367</f>
        <v>3|2|Stephanie|spotify:track:28UMiBhn383n9S7GL4tsxD</v>
      </c>
    </row>
    <row r="1368" customFormat="false" ht="15" hidden="false" customHeight="false" outlineLevel="0" collapsed="false">
      <c r="A1368" s="5" t="n">
        <v>3</v>
      </c>
      <c r="B1368" s="5" t="n">
        <v>2</v>
      </c>
      <c r="C1368" s="5" t="s">
        <v>97</v>
      </c>
      <c r="D1368" s="5" t="s">
        <v>747</v>
      </c>
      <c r="E1368" s="5" t="n">
        <v>2</v>
      </c>
      <c r="F1368" s="6" t="n">
        <f aca="false">IFERROR(MATCH(A1368&amp;"|"&amp;B1368&amp;"|"&amp;D1368,'All Song Rankings'!$T:$T,0),0)</f>
        <v>214</v>
      </c>
      <c r="G1368" s="6" t="str">
        <f aca="false">IF(F1368=0,"NOT FOUND",INDEX('All Song Rankings'!$A:$A,F1368))</f>
        <v>Question</v>
      </c>
      <c r="H1368" s="6" t="str">
        <f aca="false">IF(F1368=0,"NOT FOUND",INDEX('All Song Rankings'!$B:$B,F1368))</f>
        <v>Old 97's</v>
      </c>
      <c r="I1368" s="6" t="str">
        <f aca="false">IF(F1368=0,"NOT FOUND",INDEX('All Song Rankings'!$D:$D,F1368))</f>
        <v>Matt</v>
      </c>
      <c r="J1368" s="7" t="str">
        <f aca="false">IF(F1368=0,"NOT FOUND",IF(C1368=I1368,"SELF-VOTE",IF(COUNTIF($K:$K,K1368)&gt;1,"DUPLICATE","OK")))</f>
        <v>OK</v>
      </c>
      <c r="K1368" s="6" t="str">
        <f aca="false">A1368&amp;"|"&amp;B1368&amp;"|"&amp;C1368&amp;"|"&amp;D1368</f>
        <v>3|2|Stephanie|spotify:track:2m5ItG3IIMsaGYJjZOvUoE</v>
      </c>
    </row>
    <row r="1369" customFormat="false" ht="15" hidden="false" customHeight="false" outlineLevel="0" collapsed="false">
      <c r="A1369" s="5" t="n">
        <v>3</v>
      </c>
      <c r="B1369" s="5" t="n">
        <v>2</v>
      </c>
      <c r="C1369" s="5" t="s">
        <v>97</v>
      </c>
      <c r="D1369" s="5" t="s">
        <v>732</v>
      </c>
      <c r="E1369" s="5" t="n">
        <v>1</v>
      </c>
      <c r="F1369" s="6" t="n">
        <f aca="false">IFERROR(MATCH(A1369&amp;"|"&amp;B1369&amp;"|"&amp;D1369,'All Song Rankings'!$T:$T,0),0)</f>
        <v>209</v>
      </c>
      <c r="G1369" s="6" t="str">
        <f aca="false">IF(F1369=0,"NOT FOUND",INDEX('All Song Rankings'!$A:$A,F1369))</f>
        <v>Thinking out Loud</v>
      </c>
      <c r="H1369" s="6" t="str">
        <f aca="false">IF(F1369=0,"NOT FOUND",INDEX('All Song Rankings'!$B:$B,F1369))</f>
        <v>Ed Sheeran</v>
      </c>
      <c r="I1369" s="6" t="str">
        <f aca="false">IF(F1369=0,"NOT FOUND",INDEX('All Song Rankings'!$D:$D,F1369))</f>
        <v>Leah</v>
      </c>
      <c r="J1369" s="7" t="str">
        <f aca="false">IF(F1369=0,"NOT FOUND",IF(C1369=I1369,"SELF-VOTE",IF(COUNTIF($K:$K,K1369)&gt;1,"DUPLICATE","OK")))</f>
        <v>OK</v>
      </c>
      <c r="K1369" s="6" t="str">
        <f aca="false">A1369&amp;"|"&amp;B1369&amp;"|"&amp;C1369&amp;"|"&amp;D1369</f>
        <v>3|2|Stephanie|spotify:track:34gCuhDGsG4bRPIf9bb02f</v>
      </c>
    </row>
    <row r="1370" customFormat="false" ht="15" hidden="false" customHeight="false" outlineLevel="0" collapsed="false">
      <c r="A1370" s="5" t="n">
        <v>3</v>
      </c>
      <c r="B1370" s="5" t="n">
        <v>2</v>
      </c>
      <c r="C1370" s="5" t="s">
        <v>97</v>
      </c>
      <c r="D1370" s="5" t="s">
        <v>738</v>
      </c>
      <c r="E1370" s="5" t="n">
        <v>3</v>
      </c>
      <c r="F1370" s="6" t="n">
        <f aca="false">IFERROR(MATCH(A1370&amp;"|"&amp;B1370&amp;"|"&amp;D1370,'All Song Rankings'!$T:$T,0),0)</f>
        <v>211</v>
      </c>
      <c r="G1370" s="6" t="str">
        <f aca="false">IF(F1370=0,"NOT FOUND",INDEX('All Song Rankings'!$A:$A,F1370))</f>
        <v>Dreams</v>
      </c>
      <c r="H1370" s="6" t="str">
        <f aca="false">IF(F1370=0,"NOT FOUND",INDEX('All Song Rankings'!$B:$B,F1370))</f>
        <v>The Cranberries</v>
      </c>
      <c r="I1370" s="6" t="str">
        <f aca="false">IF(F1370=0,"NOT FOUND",INDEX('All Song Rankings'!$D:$D,F1370))</f>
        <v>Lisa</v>
      </c>
      <c r="J1370" s="7" t="str">
        <f aca="false">IF(F1370=0,"NOT FOUND",IF(C1370=I1370,"SELF-VOTE",IF(COUNTIF($K:$K,K1370)&gt;1,"DUPLICATE","OK")))</f>
        <v>OK</v>
      </c>
      <c r="K1370" s="6" t="str">
        <f aca="false">A1370&amp;"|"&amp;B1370&amp;"|"&amp;C1370&amp;"|"&amp;D1370</f>
        <v>3|2|Stephanie|spotify:track:4JGKZS7h4Qa16gOU3oNETV</v>
      </c>
    </row>
    <row r="1371" customFormat="false" ht="15" hidden="false" customHeight="false" outlineLevel="0" collapsed="false">
      <c r="A1371" s="5" t="n">
        <v>3</v>
      </c>
      <c r="B1371" s="5" t="n">
        <v>2</v>
      </c>
      <c r="C1371" s="5" t="s">
        <v>97</v>
      </c>
      <c r="D1371" s="5" t="s">
        <v>730</v>
      </c>
      <c r="E1371" s="5" t="n">
        <v>2</v>
      </c>
      <c r="F1371" s="6" t="n">
        <f aca="false">IFERROR(MATCH(A1371&amp;"|"&amp;B1371&amp;"|"&amp;D1371,'All Song Rankings'!$T:$T,0),0)</f>
        <v>208</v>
      </c>
      <c r="G1371" s="6" t="str">
        <f aca="false">IF(F1371=0,"NOT FOUND",INDEX('All Song Rankings'!$A:$A,F1371))</f>
        <v>a thousand years</v>
      </c>
      <c r="H1371" s="6" t="str">
        <f aca="false">IF(F1371=0,"NOT FOUND",INDEX('All Song Rankings'!$B:$B,F1371))</f>
        <v>Christina Perri</v>
      </c>
      <c r="I1371" s="6" t="str">
        <f aca="false">IF(F1371=0,"NOT FOUND",INDEX('All Song Rankings'!$D:$D,F1371))</f>
        <v>Merita</v>
      </c>
      <c r="J1371" s="7" t="str">
        <f aca="false">IF(F1371=0,"NOT FOUND",IF(C1371=I1371,"SELF-VOTE",IF(COUNTIF($K:$K,K1371)&gt;1,"DUPLICATE","OK")))</f>
        <v>OK</v>
      </c>
      <c r="K1371" s="6" t="str">
        <f aca="false">A1371&amp;"|"&amp;B1371&amp;"|"&amp;C1371&amp;"|"&amp;D1371</f>
        <v>3|2|Stephanie|spotify:track:6lanRgr6wXibZr8KgzXxBl</v>
      </c>
    </row>
    <row r="1372" customFormat="false" ht="15" hidden="false" customHeight="false" outlineLevel="0" collapsed="false">
      <c r="A1372" s="5" t="n">
        <v>3</v>
      </c>
      <c r="B1372" s="5" t="n">
        <v>2</v>
      </c>
      <c r="C1372" s="5" t="s">
        <v>97</v>
      </c>
      <c r="D1372" s="5" t="s">
        <v>753</v>
      </c>
      <c r="E1372" s="5" t="n">
        <v>1</v>
      </c>
      <c r="F1372" s="6" t="n">
        <f aca="false">IFERROR(MATCH(A1372&amp;"|"&amp;B1372&amp;"|"&amp;D1372,'All Song Rankings'!$T:$T,0),0)</f>
        <v>216</v>
      </c>
      <c r="G1372" s="6" t="str">
        <f aca="false">IF(F1372=0,"NOT FOUND",INDEX('All Song Rankings'!$A:$A,F1372))</f>
        <v>Hang With Me</v>
      </c>
      <c r="H1372" s="6" t="str">
        <f aca="false">IF(F1372=0,"NOT FOUND",INDEX('All Song Rankings'!$B:$B,F1372))</f>
        <v>Robyn</v>
      </c>
      <c r="I1372" s="6" t="str">
        <f aca="false">IF(F1372=0,"NOT FOUND",INDEX('All Song Rankings'!$D:$D,F1372))</f>
        <v>Kelsey</v>
      </c>
      <c r="J1372" s="7" t="str">
        <f aca="false">IF(F1372=0,"NOT FOUND",IF(C1372=I1372,"SELF-VOTE",IF(COUNTIF($K:$K,K1372)&gt;1,"DUPLICATE","OK")))</f>
        <v>OK</v>
      </c>
      <c r="K1372" s="6" t="str">
        <f aca="false">A1372&amp;"|"&amp;B1372&amp;"|"&amp;C1372&amp;"|"&amp;D1372</f>
        <v>3|2|Stephanie|spotify:track:6rW8q1p2GCjGMRAlnxBeo7</v>
      </c>
    </row>
    <row r="1373" customFormat="false" ht="15" hidden="false" customHeight="false" outlineLevel="0" collapsed="false">
      <c r="A1373" s="5" t="n">
        <v>3</v>
      </c>
      <c r="B1373" s="5" t="n">
        <v>3</v>
      </c>
      <c r="C1373" s="5" t="s">
        <v>375</v>
      </c>
      <c r="D1373" s="5" t="s">
        <v>785</v>
      </c>
      <c r="E1373" s="5" t="n">
        <v>1</v>
      </c>
      <c r="F1373" s="6" t="n">
        <f aca="false">IFERROR(MATCH(A1373&amp;"|"&amp;B1373&amp;"|"&amp;D1373,'All Song Rankings'!$T:$T,0),0)</f>
        <v>228</v>
      </c>
      <c r="G1373" s="6" t="str">
        <f aca="false">IF(F1373=0,"NOT FOUND",INDEX('All Song Rankings'!$A:$A,F1373))</f>
        <v>abcdefu (angrier)</v>
      </c>
      <c r="H1373" s="6" t="str">
        <f aca="false">IF(F1373=0,"NOT FOUND",INDEX('All Song Rankings'!$B:$B,F1373))</f>
        <v>GAYLE</v>
      </c>
      <c r="I1373" s="6" t="str">
        <f aca="false">IF(F1373=0,"NOT FOUND",INDEX('All Song Rankings'!$D:$D,F1373))</f>
        <v>Logan</v>
      </c>
      <c r="J1373" s="7" t="str">
        <f aca="false">IF(F1373=0,"NOT FOUND",IF(C1373=I1373,"SELF-VOTE",IF(COUNTIF($K:$K,K1373)&gt;1,"DUPLICATE","OK")))</f>
        <v>OK</v>
      </c>
      <c r="K1373" s="6" t="str">
        <f aca="false">A1373&amp;"|"&amp;B1373&amp;"|"&amp;C1373&amp;"|"&amp;D1373</f>
        <v>3|3|Aubrey|spotify:track:1EQFOouqdKYdpbNoOHRVO2</v>
      </c>
    </row>
    <row r="1374" customFormat="false" ht="15" hidden="false" customHeight="false" outlineLevel="0" collapsed="false">
      <c r="A1374" s="5" t="n">
        <v>3</v>
      </c>
      <c r="B1374" s="5" t="n">
        <v>3</v>
      </c>
      <c r="C1374" s="5" t="s">
        <v>375</v>
      </c>
      <c r="D1374" s="5" t="s">
        <v>773</v>
      </c>
      <c r="E1374" s="5" t="n">
        <v>1</v>
      </c>
      <c r="F1374" s="6" t="n">
        <f aca="false">IFERROR(MATCH(A1374&amp;"|"&amp;B1374&amp;"|"&amp;D1374,'All Song Rankings'!$T:$T,0),0)</f>
        <v>224</v>
      </c>
      <c r="G1374" s="6" t="str">
        <f aca="false">IF(F1374=0,"NOT FOUND",INDEX('All Song Rankings'!$A:$A,F1374))</f>
        <v>Amnesia</v>
      </c>
      <c r="H1374" s="6" t="str">
        <f aca="false">IF(F1374=0,"NOT FOUND",INDEX('All Song Rankings'!$B:$B,F1374))</f>
        <v>5 Seconds of Summer</v>
      </c>
      <c r="I1374" s="6" t="str">
        <f aca="false">IF(F1374=0,"NOT FOUND",INDEX('All Song Rankings'!$D:$D,F1374))</f>
        <v>Colleen</v>
      </c>
      <c r="J1374" s="7" t="str">
        <f aca="false">IF(F1374=0,"NOT FOUND",IF(C1374=I1374,"SELF-VOTE",IF(COUNTIF($K:$K,K1374)&gt;1,"DUPLICATE","OK")))</f>
        <v>OK</v>
      </c>
      <c r="K1374" s="6" t="str">
        <f aca="false">A1374&amp;"|"&amp;B1374&amp;"|"&amp;C1374&amp;"|"&amp;D1374</f>
        <v>3|3|Aubrey|spotify:track:1JCCdiru7fhstOIF4N7WJC</v>
      </c>
    </row>
    <row r="1375" customFormat="false" ht="15" hidden="false" customHeight="false" outlineLevel="0" collapsed="false">
      <c r="A1375" s="5" t="n">
        <v>3</v>
      </c>
      <c r="B1375" s="5" t="n">
        <v>3</v>
      </c>
      <c r="C1375" s="5" t="s">
        <v>375</v>
      </c>
      <c r="D1375" s="5" t="s">
        <v>793</v>
      </c>
      <c r="E1375" s="5" t="n">
        <v>2</v>
      </c>
      <c r="F1375" s="6" t="n">
        <f aca="false">IFERROR(MATCH(A1375&amp;"|"&amp;B1375&amp;"|"&amp;D1375,'All Song Rankings'!$T:$T,0),0)</f>
        <v>231</v>
      </c>
      <c r="G1375" s="6" t="str">
        <f aca="false">IF(F1375=0,"NOT FOUND",INDEX('All Song Rankings'!$A:$A,F1375))</f>
        <v>Glimpse of Us</v>
      </c>
      <c r="H1375" s="6" t="str">
        <f aca="false">IF(F1375=0,"NOT FOUND",INDEX('All Song Rankings'!$B:$B,F1375))</f>
        <v>Joji</v>
      </c>
      <c r="I1375" s="6" t="str">
        <f aca="false">IF(F1375=0,"NOT FOUND",INDEX('All Song Rankings'!$D:$D,F1375))</f>
        <v>Merita</v>
      </c>
      <c r="J1375" s="7" t="str">
        <f aca="false">IF(F1375=0,"NOT FOUND",IF(C1375=I1375,"SELF-VOTE",IF(COUNTIF($K:$K,K1375)&gt;1,"DUPLICATE","OK")))</f>
        <v>OK</v>
      </c>
      <c r="K1375" s="6" t="str">
        <f aca="false">A1375&amp;"|"&amp;B1375&amp;"|"&amp;C1375&amp;"|"&amp;D1375</f>
        <v>3|3|Aubrey|spotify:track:3aBGKDiAAvH2H7HLOyQ4US</v>
      </c>
    </row>
    <row r="1376" customFormat="false" ht="15" hidden="false" customHeight="false" outlineLevel="0" collapsed="false">
      <c r="A1376" s="5" t="n">
        <v>3</v>
      </c>
      <c r="B1376" s="5" t="n">
        <v>3</v>
      </c>
      <c r="C1376" s="5" t="s">
        <v>375</v>
      </c>
      <c r="D1376" s="5" t="s">
        <v>779</v>
      </c>
      <c r="E1376" s="5" t="n">
        <v>3</v>
      </c>
      <c r="F1376" s="6" t="n">
        <f aca="false">IFERROR(MATCH(A1376&amp;"|"&amp;B1376&amp;"|"&amp;D1376,'All Song Rankings'!$T:$T,0),0)</f>
        <v>226</v>
      </c>
      <c r="G1376" s="6" t="str">
        <f aca="false">IF(F1376=0,"NOT FOUND",INDEX('All Song Rankings'!$A:$A,F1376))</f>
        <v>The Winner Takes It All</v>
      </c>
      <c r="H1376" s="6" t="str">
        <f aca="false">IF(F1376=0,"NOT FOUND",INDEX('All Song Rankings'!$B:$B,F1376))</f>
        <v>ABBA</v>
      </c>
      <c r="I1376" s="6" t="str">
        <f aca="false">IF(F1376=0,"NOT FOUND",INDEX('All Song Rankings'!$D:$D,F1376))</f>
        <v>Lisa</v>
      </c>
      <c r="J1376" s="7" t="str">
        <f aca="false">IF(F1376=0,"NOT FOUND",IF(C1376=I1376,"SELF-VOTE",IF(COUNTIF($K:$K,K1376)&gt;1,"DUPLICATE","OK")))</f>
        <v>OK</v>
      </c>
      <c r="K1376" s="6" t="str">
        <f aca="false">A1376&amp;"|"&amp;B1376&amp;"|"&amp;C1376&amp;"|"&amp;D1376</f>
        <v>3|3|Aubrey|spotify:track:3oEkrIfXfSh9zGnE7eBzSV</v>
      </c>
    </row>
    <row r="1377" customFormat="false" ht="15" hidden="false" customHeight="false" outlineLevel="0" collapsed="false">
      <c r="A1377" s="5" t="n">
        <v>3</v>
      </c>
      <c r="B1377" s="5" t="n">
        <v>3</v>
      </c>
      <c r="C1377" s="5" t="s">
        <v>375</v>
      </c>
      <c r="D1377" s="5" t="s">
        <v>796</v>
      </c>
      <c r="E1377" s="5" t="n">
        <v>1</v>
      </c>
      <c r="F1377" s="6" t="n">
        <f aca="false">IFERROR(MATCH(A1377&amp;"|"&amp;B1377&amp;"|"&amp;D1377,'All Song Rankings'!$T:$T,0),0)</f>
        <v>232</v>
      </c>
      <c r="G1377" s="6" t="str">
        <f aca="false">IF(F1377=0,"NOT FOUND",INDEX('All Song Rankings'!$A:$A,F1377))</f>
        <v>Poison &amp; Wine</v>
      </c>
      <c r="H1377" s="6" t="str">
        <f aca="false">IF(F1377=0,"NOT FOUND",INDEX('All Song Rankings'!$B:$B,F1377))</f>
        <v>The Civil Wars</v>
      </c>
      <c r="I1377" s="6" t="str">
        <f aca="false">IF(F1377=0,"NOT FOUND",INDEX('All Song Rankings'!$D:$D,F1377))</f>
        <v>Matt</v>
      </c>
      <c r="J1377" s="7" t="str">
        <f aca="false">IF(F1377=0,"NOT FOUND",IF(C1377=I1377,"SELF-VOTE",IF(COUNTIF($K:$K,K1377)&gt;1,"DUPLICATE","OK")))</f>
        <v>OK</v>
      </c>
      <c r="K1377" s="6" t="str">
        <f aca="false">A1377&amp;"|"&amp;B1377&amp;"|"&amp;C1377&amp;"|"&amp;D1377</f>
        <v>3|3|Aubrey|spotify:track:4BFudy2Zbryi9a1KFad66B</v>
      </c>
    </row>
    <row r="1378" customFormat="false" ht="15" hidden="false" customHeight="false" outlineLevel="0" collapsed="false">
      <c r="A1378" s="5" t="n">
        <v>3</v>
      </c>
      <c r="B1378" s="5" t="n">
        <v>3</v>
      </c>
      <c r="C1378" s="5" t="s">
        <v>375</v>
      </c>
      <c r="D1378" s="5" t="s">
        <v>801</v>
      </c>
      <c r="E1378" s="5" t="n">
        <v>1</v>
      </c>
      <c r="F1378" s="6" t="n">
        <f aca="false">IFERROR(MATCH(A1378&amp;"|"&amp;B1378&amp;"|"&amp;D1378,'All Song Rankings'!$T:$T,0),0)</f>
        <v>234</v>
      </c>
      <c r="G1378" s="6" t="str">
        <f aca="false">IF(F1378=0,"NOT FOUND",INDEX('All Song Rankings'!$A:$A,F1378))</f>
        <v>Your Love Is a Lie</v>
      </c>
      <c r="H1378" s="6" t="str">
        <f aca="false">IF(F1378=0,"NOT FOUND",INDEX('All Song Rankings'!$B:$B,F1378))</f>
        <v>Simple Plan</v>
      </c>
      <c r="I1378" s="6" t="str">
        <f aca="false">IF(F1378=0,"NOT FOUND",INDEX('All Song Rankings'!$D:$D,F1378))</f>
        <v>Christine</v>
      </c>
      <c r="J1378" s="7" t="str">
        <f aca="false">IF(F1378=0,"NOT FOUND",IF(C1378=I1378,"SELF-VOTE",IF(COUNTIF($K:$K,K1378)&gt;1,"DUPLICATE","OK")))</f>
        <v>OK</v>
      </c>
      <c r="K1378" s="6" t="str">
        <f aca="false">A1378&amp;"|"&amp;B1378&amp;"|"&amp;C1378&amp;"|"&amp;D1378</f>
        <v>3|3|Aubrey|spotify:track:5veTPYnAviWwQ73hMVTwb5</v>
      </c>
    </row>
    <row r="1379" customFormat="false" ht="15" hidden="false" customHeight="false" outlineLevel="0" collapsed="false">
      <c r="A1379" s="5" t="n">
        <v>3</v>
      </c>
      <c r="B1379" s="5" t="n">
        <v>3</v>
      </c>
      <c r="C1379" s="5" t="s">
        <v>375</v>
      </c>
      <c r="D1379" s="5" t="s">
        <v>776</v>
      </c>
      <c r="E1379" s="5" t="n">
        <v>1</v>
      </c>
      <c r="F1379" s="6" t="n">
        <f aca="false">IFERROR(MATCH(A1379&amp;"|"&amp;B1379&amp;"|"&amp;D1379,'All Song Rankings'!$T:$T,0),0)</f>
        <v>225</v>
      </c>
      <c r="G1379" s="6" t="str">
        <f aca="false">IF(F1379=0,"NOT FOUND",INDEX('All Song Rankings'!$A:$A,F1379))</f>
        <v>Gives You Hell</v>
      </c>
      <c r="H1379" s="6" t="str">
        <f aca="false">IF(F1379=0,"NOT FOUND",INDEX('All Song Rankings'!$B:$B,F1379))</f>
        <v>The All-American Rejects</v>
      </c>
      <c r="I1379" s="6" t="str">
        <f aca="false">IF(F1379=0,"NOT FOUND",INDEX('All Song Rankings'!$D:$D,F1379))</f>
        <v>Nicole</v>
      </c>
      <c r="J1379" s="7" t="str">
        <f aca="false">IF(F1379=0,"NOT FOUND",IF(C1379=I1379,"SELF-VOTE",IF(COUNTIF($K:$K,K1379)&gt;1,"DUPLICATE","OK")))</f>
        <v>OK</v>
      </c>
      <c r="K1379" s="6" t="str">
        <f aca="false">A1379&amp;"|"&amp;B1379&amp;"|"&amp;C1379&amp;"|"&amp;D1379</f>
        <v>3|3|Aubrey|spotify:track:6ihL9TjfRjadfEePzXXyVF</v>
      </c>
    </row>
    <row r="1380" customFormat="false" ht="15" hidden="false" customHeight="false" outlineLevel="0" collapsed="false">
      <c r="A1380" s="5" t="n">
        <v>3</v>
      </c>
      <c r="B1380" s="5" t="n">
        <v>3</v>
      </c>
      <c r="C1380" s="5" t="s">
        <v>719</v>
      </c>
      <c r="D1380" s="5" t="s">
        <v>773</v>
      </c>
      <c r="E1380" s="5" t="n">
        <v>1</v>
      </c>
      <c r="F1380" s="6" t="n">
        <f aca="false">IFERROR(MATCH(A1380&amp;"|"&amp;B1380&amp;"|"&amp;D1380,'All Song Rankings'!$T:$T,0),0)</f>
        <v>224</v>
      </c>
      <c r="G1380" s="6" t="str">
        <f aca="false">IF(F1380=0,"NOT FOUND",INDEX('All Song Rankings'!$A:$A,F1380))</f>
        <v>Amnesia</v>
      </c>
      <c r="H1380" s="6" t="str">
        <f aca="false">IF(F1380=0,"NOT FOUND",INDEX('All Song Rankings'!$B:$B,F1380))</f>
        <v>5 Seconds of Summer</v>
      </c>
      <c r="I1380" s="6" t="str">
        <f aca="false">IF(F1380=0,"NOT FOUND",INDEX('All Song Rankings'!$D:$D,F1380))</f>
        <v>Colleen</v>
      </c>
      <c r="J1380" s="7" t="str">
        <f aca="false">IF(F1380=0,"NOT FOUND",IF(C1380=I1380,"SELF-VOTE",IF(COUNTIF($K:$K,K1380)&gt;1,"DUPLICATE","OK")))</f>
        <v>OK</v>
      </c>
      <c r="K1380" s="6" t="str">
        <f aca="false">A1380&amp;"|"&amp;B1380&amp;"|"&amp;C1380&amp;"|"&amp;D1380</f>
        <v>3|3|Christine|spotify:track:1JCCdiru7fhstOIF4N7WJC</v>
      </c>
    </row>
    <row r="1381" customFormat="false" ht="15" hidden="false" customHeight="false" outlineLevel="0" collapsed="false">
      <c r="A1381" s="5" t="n">
        <v>3</v>
      </c>
      <c r="B1381" s="5" t="n">
        <v>3</v>
      </c>
      <c r="C1381" s="5" t="s">
        <v>719</v>
      </c>
      <c r="D1381" s="5" t="s">
        <v>787</v>
      </c>
      <c r="E1381" s="5" t="n">
        <v>1</v>
      </c>
      <c r="F1381" s="6" t="n">
        <f aca="false">IFERROR(MATCH(A1381&amp;"|"&amp;B1381&amp;"|"&amp;D1381,'All Song Rankings'!$T:$T,0),0)</f>
        <v>229</v>
      </c>
      <c r="G1381" s="6" t="str">
        <f aca="false">IF(F1381=0,"NOT FOUND",INDEX('All Song Rankings'!$A:$A,F1381))</f>
        <v>Half A Man</v>
      </c>
      <c r="H1381" s="6" t="str">
        <f aca="false">IF(F1381=0,"NOT FOUND",INDEX('All Song Rankings'!$B:$B,F1381))</f>
        <v>Dean Lewis</v>
      </c>
      <c r="I1381" s="6" t="str">
        <f aca="false">IF(F1381=0,"NOT FOUND",INDEX('All Song Rankings'!$D:$D,F1381))</f>
        <v>Kristen</v>
      </c>
      <c r="J1381" s="7" t="str">
        <f aca="false">IF(F1381=0,"NOT FOUND",IF(C1381=I1381,"SELF-VOTE",IF(COUNTIF($K:$K,K1381)&gt;1,"DUPLICATE","OK")))</f>
        <v>OK</v>
      </c>
      <c r="K1381" s="6" t="str">
        <f aca="false">A1381&amp;"|"&amp;B1381&amp;"|"&amp;C1381&amp;"|"&amp;D1381</f>
        <v>3|3|Christine|spotify:track:1ugQtcwmKOXvKAYzhjncmv</v>
      </c>
    </row>
    <row r="1382" customFormat="false" ht="15" hidden="false" customHeight="false" outlineLevel="0" collapsed="false">
      <c r="A1382" s="5" t="n">
        <v>3</v>
      </c>
      <c r="B1382" s="5" t="n">
        <v>3</v>
      </c>
      <c r="C1382" s="5" t="s">
        <v>719</v>
      </c>
      <c r="D1382" s="5" t="s">
        <v>793</v>
      </c>
      <c r="E1382" s="5" t="n">
        <v>1</v>
      </c>
      <c r="F1382" s="6" t="n">
        <f aca="false">IFERROR(MATCH(A1382&amp;"|"&amp;B1382&amp;"|"&amp;D1382,'All Song Rankings'!$T:$T,0),0)</f>
        <v>231</v>
      </c>
      <c r="G1382" s="6" t="str">
        <f aca="false">IF(F1382=0,"NOT FOUND",INDEX('All Song Rankings'!$A:$A,F1382))</f>
        <v>Glimpse of Us</v>
      </c>
      <c r="H1382" s="6" t="str">
        <f aca="false">IF(F1382=0,"NOT FOUND",INDEX('All Song Rankings'!$B:$B,F1382))</f>
        <v>Joji</v>
      </c>
      <c r="I1382" s="6" t="str">
        <f aca="false">IF(F1382=0,"NOT FOUND",INDEX('All Song Rankings'!$D:$D,F1382))</f>
        <v>Merita</v>
      </c>
      <c r="J1382" s="7" t="str">
        <f aca="false">IF(F1382=0,"NOT FOUND",IF(C1382=I1382,"SELF-VOTE",IF(COUNTIF($K:$K,K1382)&gt;1,"DUPLICATE","OK")))</f>
        <v>OK</v>
      </c>
      <c r="K1382" s="6" t="str">
        <f aca="false">A1382&amp;"|"&amp;B1382&amp;"|"&amp;C1382&amp;"|"&amp;D1382</f>
        <v>3|3|Christine|spotify:track:3aBGKDiAAvH2H7HLOyQ4US</v>
      </c>
    </row>
    <row r="1383" customFormat="false" ht="15" hidden="false" customHeight="false" outlineLevel="0" collapsed="false">
      <c r="A1383" s="5" t="n">
        <v>3</v>
      </c>
      <c r="B1383" s="5" t="n">
        <v>3</v>
      </c>
      <c r="C1383" s="5" t="s">
        <v>719</v>
      </c>
      <c r="D1383" s="5" t="s">
        <v>779</v>
      </c>
      <c r="E1383" s="5" t="n">
        <v>2</v>
      </c>
      <c r="F1383" s="6" t="n">
        <f aca="false">IFERROR(MATCH(A1383&amp;"|"&amp;B1383&amp;"|"&amp;D1383,'All Song Rankings'!$T:$T,0),0)</f>
        <v>226</v>
      </c>
      <c r="G1383" s="6" t="str">
        <f aca="false">IF(F1383=0,"NOT FOUND",INDEX('All Song Rankings'!$A:$A,F1383))</f>
        <v>The Winner Takes It All</v>
      </c>
      <c r="H1383" s="6" t="str">
        <f aca="false">IF(F1383=0,"NOT FOUND",INDEX('All Song Rankings'!$B:$B,F1383))</f>
        <v>ABBA</v>
      </c>
      <c r="I1383" s="6" t="str">
        <f aca="false">IF(F1383=0,"NOT FOUND",INDEX('All Song Rankings'!$D:$D,F1383))</f>
        <v>Lisa</v>
      </c>
      <c r="J1383" s="7" t="str">
        <f aca="false">IF(F1383=0,"NOT FOUND",IF(C1383=I1383,"SELF-VOTE",IF(COUNTIF($K:$K,K1383)&gt;1,"DUPLICATE","OK")))</f>
        <v>OK</v>
      </c>
      <c r="K1383" s="6" t="str">
        <f aca="false">A1383&amp;"|"&amp;B1383&amp;"|"&amp;C1383&amp;"|"&amp;D1383</f>
        <v>3|3|Christine|spotify:track:3oEkrIfXfSh9zGnE7eBzSV</v>
      </c>
    </row>
    <row r="1384" customFormat="false" ht="15" hidden="false" customHeight="false" outlineLevel="0" collapsed="false">
      <c r="A1384" s="5" t="n">
        <v>3</v>
      </c>
      <c r="B1384" s="5" t="n">
        <v>3</v>
      </c>
      <c r="C1384" s="5" t="s">
        <v>719</v>
      </c>
      <c r="D1384" s="5" t="s">
        <v>796</v>
      </c>
      <c r="E1384" s="5" t="n">
        <v>1</v>
      </c>
      <c r="F1384" s="6" t="n">
        <f aca="false">IFERROR(MATCH(A1384&amp;"|"&amp;B1384&amp;"|"&amp;D1384,'All Song Rankings'!$T:$T,0),0)</f>
        <v>232</v>
      </c>
      <c r="G1384" s="6" t="str">
        <f aca="false">IF(F1384=0,"NOT FOUND",INDEX('All Song Rankings'!$A:$A,F1384))</f>
        <v>Poison &amp; Wine</v>
      </c>
      <c r="H1384" s="6" t="str">
        <f aca="false">IF(F1384=0,"NOT FOUND",INDEX('All Song Rankings'!$B:$B,F1384))</f>
        <v>The Civil Wars</v>
      </c>
      <c r="I1384" s="6" t="str">
        <f aca="false">IF(F1384=0,"NOT FOUND",INDEX('All Song Rankings'!$D:$D,F1384))</f>
        <v>Matt</v>
      </c>
      <c r="J1384" s="7" t="str">
        <f aca="false">IF(F1384=0,"NOT FOUND",IF(C1384=I1384,"SELF-VOTE",IF(COUNTIF($K:$K,K1384)&gt;1,"DUPLICATE","OK")))</f>
        <v>OK</v>
      </c>
      <c r="K1384" s="6" t="str">
        <f aca="false">A1384&amp;"|"&amp;B1384&amp;"|"&amp;C1384&amp;"|"&amp;D1384</f>
        <v>3|3|Christine|spotify:track:4BFudy2Zbryi9a1KFad66B</v>
      </c>
    </row>
    <row r="1385" customFormat="false" ht="15" hidden="false" customHeight="false" outlineLevel="0" collapsed="false">
      <c r="A1385" s="5" t="n">
        <v>3</v>
      </c>
      <c r="B1385" s="5" t="n">
        <v>3</v>
      </c>
      <c r="C1385" s="5" t="s">
        <v>719</v>
      </c>
      <c r="D1385" s="5" t="s">
        <v>596</v>
      </c>
      <c r="E1385" s="5" t="n">
        <v>1</v>
      </c>
      <c r="F1385" s="6" t="n">
        <f aca="false">IFERROR(MATCH(A1385&amp;"|"&amp;B1385&amp;"|"&amp;D1385,'All Song Rankings'!$T:$T,0),0)</f>
        <v>235</v>
      </c>
      <c r="G1385" s="6" t="str">
        <f aca="false">IF(F1385=0,"NOT FOUND",INDEX('All Song Rankings'!$A:$A,F1385))</f>
        <v>Somebody That I Used To Know</v>
      </c>
      <c r="H1385" s="6" t="str">
        <f aca="false">IF(F1385=0,"NOT FOUND",INDEX('All Song Rankings'!$B:$B,F1385))</f>
        <v>Gotye, Kimbra</v>
      </c>
      <c r="I1385" s="6" t="str">
        <f aca="false">IF(F1385=0,"NOT FOUND",INDEX('All Song Rankings'!$D:$D,F1385))</f>
        <v>Grace</v>
      </c>
      <c r="J1385" s="7" t="str">
        <f aca="false">IF(F1385=0,"NOT FOUND",IF(C1385=I1385,"SELF-VOTE",IF(COUNTIF($K:$K,K1385)&gt;1,"DUPLICATE","OK")))</f>
        <v>OK</v>
      </c>
      <c r="K1385" s="6" t="str">
        <f aca="false">A1385&amp;"|"&amp;B1385&amp;"|"&amp;C1385&amp;"|"&amp;D1385</f>
        <v>3|3|Christine|spotify:track:4wCmqSrbyCgxEXROQE6vtV</v>
      </c>
    </row>
    <row r="1386" customFormat="false" ht="15" hidden="false" customHeight="false" outlineLevel="0" collapsed="false">
      <c r="A1386" s="5" t="n">
        <v>3</v>
      </c>
      <c r="B1386" s="5" t="n">
        <v>3</v>
      </c>
      <c r="C1386" s="5" t="s">
        <v>719</v>
      </c>
      <c r="D1386" s="5" t="s">
        <v>776</v>
      </c>
      <c r="E1386" s="5" t="n">
        <v>1</v>
      </c>
      <c r="F1386" s="6" t="n">
        <f aca="false">IFERROR(MATCH(A1386&amp;"|"&amp;B1386&amp;"|"&amp;D1386,'All Song Rankings'!$T:$T,0),0)</f>
        <v>225</v>
      </c>
      <c r="G1386" s="6" t="str">
        <f aca="false">IF(F1386=0,"NOT FOUND",INDEX('All Song Rankings'!$A:$A,F1386))</f>
        <v>Gives You Hell</v>
      </c>
      <c r="H1386" s="6" t="str">
        <f aca="false">IF(F1386=0,"NOT FOUND",INDEX('All Song Rankings'!$B:$B,F1386))</f>
        <v>The All-American Rejects</v>
      </c>
      <c r="I1386" s="6" t="str">
        <f aca="false">IF(F1386=0,"NOT FOUND",INDEX('All Song Rankings'!$D:$D,F1386))</f>
        <v>Nicole</v>
      </c>
      <c r="J1386" s="7" t="str">
        <f aca="false">IF(F1386=0,"NOT FOUND",IF(C1386=I1386,"SELF-VOTE",IF(COUNTIF($K:$K,K1386)&gt;1,"DUPLICATE","OK")))</f>
        <v>OK</v>
      </c>
      <c r="K1386" s="6" t="str">
        <f aca="false">A1386&amp;"|"&amp;B1386&amp;"|"&amp;C1386&amp;"|"&amp;D1386</f>
        <v>3|3|Christine|spotify:track:6ihL9TjfRjadfEePzXXyVF</v>
      </c>
    </row>
    <row r="1387" customFormat="false" ht="15" hidden="false" customHeight="false" outlineLevel="0" collapsed="false">
      <c r="A1387" s="5" t="n">
        <v>3</v>
      </c>
      <c r="B1387" s="5" t="n">
        <v>3</v>
      </c>
      <c r="C1387" s="5" t="s">
        <v>719</v>
      </c>
      <c r="D1387" s="5" t="s">
        <v>790</v>
      </c>
      <c r="E1387" s="5" t="n">
        <v>2</v>
      </c>
      <c r="F1387" s="6" t="n">
        <f aca="false">IFERROR(MATCH(A1387&amp;"|"&amp;B1387&amp;"|"&amp;D1387,'All Song Rankings'!$T:$T,0),0)</f>
        <v>230</v>
      </c>
      <c r="G1387" s="6" t="str">
        <f aca="false">IF(F1387=0,"NOT FOUND",INDEX('All Song Rankings'!$A:$A,F1387))</f>
        <v>Karma</v>
      </c>
      <c r="H1387" s="6" t="str">
        <f aca="false">IF(F1387=0,"NOT FOUND",INDEX('All Song Rankings'!$B:$B,F1387))</f>
        <v>MOD SUN</v>
      </c>
      <c r="I1387" s="6" t="str">
        <f aca="false">IF(F1387=0,"NOT FOUND",INDEX('All Song Rankings'!$D:$D,F1387))</f>
        <v>Scott</v>
      </c>
      <c r="J1387" s="7" t="str">
        <f aca="false">IF(F1387=0,"NOT FOUND",IF(C1387=I1387,"SELF-VOTE",IF(COUNTIF($K:$K,K1387)&gt;1,"DUPLICATE","OK")))</f>
        <v>OK</v>
      </c>
      <c r="K1387" s="6" t="str">
        <f aca="false">A1387&amp;"|"&amp;B1387&amp;"|"&amp;C1387&amp;"|"&amp;D1387</f>
        <v>3|3|Christine|spotify:track:7vXtuHrqgzQi58ihUO7L2d</v>
      </c>
    </row>
    <row r="1388" customFormat="false" ht="15" hidden="false" customHeight="false" outlineLevel="0" collapsed="false">
      <c r="A1388" s="5" t="n">
        <v>3</v>
      </c>
      <c r="B1388" s="5" t="n">
        <v>3</v>
      </c>
      <c r="C1388" s="5" t="s">
        <v>637</v>
      </c>
      <c r="D1388" s="5" t="s">
        <v>771</v>
      </c>
      <c r="E1388" s="5" t="n">
        <v>3</v>
      </c>
      <c r="F1388" s="6" t="n">
        <f aca="false">IFERROR(MATCH(A1388&amp;"|"&amp;B1388&amp;"|"&amp;D1388,'All Song Rankings'!$T:$T,0),0)</f>
        <v>223</v>
      </c>
      <c r="G1388" s="6" t="str">
        <f aca="false">IF(F1388=0,"NOT FOUND",INDEX('All Song Rankings'!$A:$A,F1388))</f>
        <v>Part of Me</v>
      </c>
      <c r="H1388" s="6" t="str">
        <f aca="false">IF(F1388=0,"NOT FOUND",INDEX('All Song Rankings'!$B:$B,F1388))</f>
        <v>Noah Kahan</v>
      </c>
      <c r="I1388" s="6" t="str">
        <f aca="false">IF(F1388=0,"NOT FOUND",INDEX('All Song Rankings'!$D:$D,F1388))</f>
        <v>Leah</v>
      </c>
      <c r="J1388" s="7" t="str">
        <f aca="false">IF(F1388=0,"NOT FOUND",IF(C1388=I1388,"SELF-VOTE",IF(COUNTIF($K:$K,K1388)&gt;1,"DUPLICATE","OK")))</f>
        <v>OK</v>
      </c>
      <c r="K1388" s="6" t="str">
        <f aca="false">A1388&amp;"|"&amp;B1388&amp;"|"&amp;C1388&amp;"|"&amp;D1388</f>
        <v>3|3|Colleen|spotify:track:1o5WgxPWvoVgo20DQItKOE</v>
      </c>
    </row>
    <row r="1389" customFormat="false" ht="15" hidden="false" customHeight="false" outlineLevel="0" collapsed="false">
      <c r="A1389" s="5" t="n">
        <v>3</v>
      </c>
      <c r="B1389" s="5" t="n">
        <v>3</v>
      </c>
      <c r="C1389" s="5" t="s">
        <v>637</v>
      </c>
      <c r="D1389" s="5" t="s">
        <v>787</v>
      </c>
      <c r="E1389" s="5" t="n">
        <v>2</v>
      </c>
      <c r="F1389" s="6" t="n">
        <f aca="false">IFERROR(MATCH(A1389&amp;"|"&amp;B1389&amp;"|"&amp;D1389,'All Song Rankings'!$T:$T,0),0)</f>
        <v>229</v>
      </c>
      <c r="G1389" s="6" t="str">
        <f aca="false">IF(F1389=0,"NOT FOUND",INDEX('All Song Rankings'!$A:$A,F1389))</f>
        <v>Half A Man</v>
      </c>
      <c r="H1389" s="6" t="str">
        <f aca="false">IF(F1389=0,"NOT FOUND",INDEX('All Song Rankings'!$B:$B,F1389))</f>
        <v>Dean Lewis</v>
      </c>
      <c r="I1389" s="6" t="str">
        <f aca="false">IF(F1389=0,"NOT FOUND",INDEX('All Song Rankings'!$D:$D,F1389))</f>
        <v>Kristen</v>
      </c>
      <c r="J1389" s="7" t="str">
        <f aca="false">IF(F1389=0,"NOT FOUND",IF(C1389=I1389,"SELF-VOTE",IF(COUNTIF($K:$K,K1389)&gt;1,"DUPLICATE","OK")))</f>
        <v>OK</v>
      </c>
      <c r="K1389" s="6" t="str">
        <f aca="false">A1389&amp;"|"&amp;B1389&amp;"|"&amp;C1389&amp;"|"&amp;D1389</f>
        <v>3|3|Colleen|spotify:track:1ugQtcwmKOXvKAYzhjncmv</v>
      </c>
    </row>
    <row r="1390" customFormat="false" ht="15" hidden="false" customHeight="false" outlineLevel="0" collapsed="false">
      <c r="A1390" s="5" t="n">
        <v>3</v>
      </c>
      <c r="B1390" s="5" t="n">
        <v>3</v>
      </c>
      <c r="C1390" s="5" t="s">
        <v>637</v>
      </c>
      <c r="D1390" s="5" t="s">
        <v>801</v>
      </c>
      <c r="E1390" s="5" t="n">
        <v>1</v>
      </c>
      <c r="F1390" s="6" t="n">
        <f aca="false">IFERROR(MATCH(A1390&amp;"|"&amp;B1390&amp;"|"&amp;D1390,'All Song Rankings'!$T:$T,0),0)</f>
        <v>234</v>
      </c>
      <c r="G1390" s="6" t="str">
        <f aca="false">IF(F1390=0,"NOT FOUND",INDEX('All Song Rankings'!$A:$A,F1390))</f>
        <v>Your Love Is a Lie</v>
      </c>
      <c r="H1390" s="6" t="str">
        <f aca="false">IF(F1390=0,"NOT FOUND",INDEX('All Song Rankings'!$B:$B,F1390))</f>
        <v>Simple Plan</v>
      </c>
      <c r="I1390" s="6" t="str">
        <f aca="false">IF(F1390=0,"NOT FOUND",INDEX('All Song Rankings'!$D:$D,F1390))</f>
        <v>Christine</v>
      </c>
      <c r="J1390" s="7" t="str">
        <f aca="false">IF(F1390=0,"NOT FOUND",IF(C1390=I1390,"SELF-VOTE",IF(COUNTIF($K:$K,K1390)&gt;1,"DUPLICATE","OK")))</f>
        <v>OK</v>
      </c>
      <c r="K1390" s="6" t="str">
        <f aca="false">A1390&amp;"|"&amp;B1390&amp;"|"&amp;C1390&amp;"|"&amp;D1390</f>
        <v>3|3|Colleen|spotify:track:5veTPYnAviWwQ73hMVTwb5</v>
      </c>
    </row>
    <row r="1391" customFormat="false" ht="15" hidden="false" customHeight="false" outlineLevel="0" collapsed="false">
      <c r="A1391" s="5" t="n">
        <v>3</v>
      </c>
      <c r="B1391" s="5" t="n">
        <v>3</v>
      </c>
      <c r="C1391" s="5" t="s">
        <v>637</v>
      </c>
      <c r="D1391" s="5" t="s">
        <v>782</v>
      </c>
      <c r="E1391" s="5" t="n">
        <v>2</v>
      </c>
      <c r="F1391" s="6" t="n">
        <f aca="false">IFERROR(MATCH(A1391&amp;"|"&amp;B1391&amp;"|"&amp;D1391,'All Song Rankings'!$T:$T,0),0)</f>
        <v>227</v>
      </c>
      <c r="G1391" s="6" t="str">
        <f aca="false">IF(F1391=0,"NOT FOUND",INDEX('All Song Rankings'!$A:$A,F1391))</f>
        <v>hot girl bummer</v>
      </c>
      <c r="H1391" s="6" t="str">
        <f aca="false">IF(F1391=0,"NOT FOUND",INDEX('All Song Rankings'!$B:$B,F1391))</f>
        <v>blackbear</v>
      </c>
      <c r="I1391" s="6" t="str">
        <f aca="false">IF(F1391=0,"NOT FOUND",INDEX('All Song Rankings'!$D:$D,F1391))</f>
        <v>Makenzie</v>
      </c>
      <c r="J1391" s="7" t="str">
        <f aca="false">IF(F1391=0,"NOT FOUND",IF(C1391=I1391,"SELF-VOTE",IF(COUNTIF($K:$K,K1391)&gt;1,"DUPLICATE","OK")))</f>
        <v>OK</v>
      </c>
      <c r="K1391" s="6" t="str">
        <f aca="false">A1391&amp;"|"&amp;B1391&amp;"|"&amp;C1391&amp;"|"&amp;D1391</f>
        <v>3|3|Colleen|spotify:track:6jRq8gaZhMUyy5RclRPcAf</v>
      </c>
    </row>
    <row r="1392" customFormat="false" ht="15" hidden="false" customHeight="false" outlineLevel="0" collapsed="false">
      <c r="A1392" s="5" t="n">
        <v>3</v>
      </c>
      <c r="B1392" s="5" t="n">
        <v>3</v>
      </c>
      <c r="C1392" s="5" t="s">
        <v>637</v>
      </c>
      <c r="D1392" s="5" t="s">
        <v>790</v>
      </c>
      <c r="E1392" s="5" t="n">
        <v>2</v>
      </c>
      <c r="F1392" s="6" t="n">
        <f aca="false">IFERROR(MATCH(A1392&amp;"|"&amp;B1392&amp;"|"&amp;D1392,'All Song Rankings'!$T:$T,0),0)</f>
        <v>230</v>
      </c>
      <c r="G1392" s="6" t="str">
        <f aca="false">IF(F1392=0,"NOT FOUND",INDEX('All Song Rankings'!$A:$A,F1392))</f>
        <v>Karma</v>
      </c>
      <c r="H1392" s="6" t="str">
        <f aca="false">IF(F1392=0,"NOT FOUND",INDEX('All Song Rankings'!$B:$B,F1392))</f>
        <v>MOD SUN</v>
      </c>
      <c r="I1392" s="6" t="str">
        <f aca="false">IF(F1392=0,"NOT FOUND",INDEX('All Song Rankings'!$D:$D,F1392))</f>
        <v>Scott</v>
      </c>
      <c r="J1392" s="7" t="str">
        <f aca="false">IF(F1392=0,"NOT FOUND",IF(C1392=I1392,"SELF-VOTE",IF(COUNTIF($K:$K,K1392)&gt;1,"DUPLICATE","OK")))</f>
        <v>OK</v>
      </c>
      <c r="K1392" s="6" t="str">
        <f aca="false">A1392&amp;"|"&amp;B1392&amp;"|"&amp;C1392&amp;"|"&amp;D1392</f>
        <v>3|3|Colleen|spotify:track:7vXtuHrqgzQi58ihUO7L2d</v>
      </c>
    </row>
    <row r="1393" customFormat="false" ht="15" hidden="false" customHeight="false" outlineLevel="0" collapsed="false">
      <c r="A1393" s="5" t="n">
        <v>3</v>
      </c>
      <c r="B1393" s="5" t="n">
        <v>3</v>
      </c>
      <c r="C1393" s="5" t="s">
        <v>382</v>
      </c>
      <c r="D1393" s="5" t="s">
        <v>773</v>
      </c>
      <c r="E1393" s="5" t="n">
        <v>2</v>
      </c>
      <c r="F1393" s="6" t="n">
        <f aca="false">IFERROR(MATCH(A1393&amp;"|"&amp;B1393&amp;"|"&amp;D1393,'All Song Rankings'!$T:$T,0),0)</f>
        <v>224</v>
      </c>
      <c r="G1393" s="6" t="str">
        <f aca="false">IF(F1393=0,"NOT FOUND",INDEX('All Song Rankings'!$A:$A,F1393))</f>
        <v>Amnesia</v>
      </c>
      <c r="H1393" s="6" t="str">
        <f aca="false">IF(F1393=0,"NOT FOUND",INDEX('All Song Rankings'!$B:$B,F1393))</f>
        <v>5 Seconds of Summer</v>
      </c>
      <c r="I1393" s="6" t="str">
        <f aca="false">IF(F1393=0,"NOT FOUND",INDEX('All Song Rankings'!$D:$D,F1393))</f>
        <v>Colleen</v>
      </c>
      <c r="J1393" s="7" t="str">
        <f aca="false">IF(F1393=0,"NOT FOUND",IF(C1393=I1393,"SELF-VOTE",IF(COUNTIF($K:$K,K1393)&gt;1,"DUPLICATE","OK")))</f>
        <v>OK</v>
      </c>
      <c r="K1393" s="6" t="str">
        <f aca="false">A1393&amp;"|"&amp;B1393&amp;"|"&amp;C1393&amp;"|"&amp;D1393</f>
        <v>3|3|Grace|spotify:track:1JCCdiru7fhstOIF4N7WJC</v>
      </c>
    </row>
    <row r="1394" customFormat="false" ht="15" hidden="false" customHeight="false" outlineLevel="0" collapsed="false">
      <c r="A1394" s="5" t="n">
        <v>3</v>
      </c>
      <c r="B1394" s="5" t="n">
        <v>3</v>
      </c>
      <c r="C1394" s="5" t="s">
        <v>382</v>
      </c>
      <c r="D1394" s="5" t="s">
        <v>798</v>
      </c>
      <c r="E1394" s="5" t="n">
        <v>3</v>
      </c>
      <c r="F1394" s="6" t="n">
        <f aca="false">IFERROR(MATCH(A1394&amp;"|"&amp;B1394&amp;"|"&amp;D1394,'All Song Rankings'!$T:$T,0),0)</f>
        <v>233</v>
      </c>
      <c r="G1394" s="6" t="str">
        <f aca="false">IF(F1394=0,"NOT FOUND",INDEX('All Song Rankings'!$A:$A,F1394))</f>
        <v>thank u, next</v>
      </c>
      <c r="H1394" s="6" t="str">
        <f aca="false">IF(F1394=0,"NOT FOUND",INDEX('All Song Rankings'!$B:$B,F1394))</f>
        <v>Ariana Grande</v>
      </c>
      <c r="I1394" s="6" t="str">
        <f aca="false">IF(F1394=0,"NOT FOUND",INDEX('All Song Rankings'!$D:$D,F1394))</f>
        <v>Kelsey</v>
      </c>
      <c r="J1394" s="7" t="str">
        <f aca="false">IF(F1394=0,"NOT FOUND",IF(C1394=I1394,"SELF-VOTE",IF(COUNTIF($K:$K,K1394)&gt;1,"DUPLICATE","OK")))</f>
        <v>OK</v>
      </c>
      <c r="K1394" s="6" t="str">
        <f aca="false">A1394&amp;"|"&amp;B1394&amp;"|"&amp;C1394&amp;"|"&amp;D1394</f>
        <v>3|3|Grace|spotify:track:3e9HZxeyfWwjeyPAMmWSSQ</v>
      </c>
    </row>
    <row r="1395" customFormat="false" ht="15" hidden="false" customHeight="false" outlineLevel="0" collapsed="false">
      <c r="A1395" s="5" t="n">
        <v>3</v>
      </c>
      <c r="B1395" s="5" t="n">
        <v>3</v>
      </c>
      <c r="C1395" s="5" t="s">
        <v>382</v>
      </c>
      <c r="D1395" s="5" t="s">
        <v>290</v>
      </c>
      <c r="E1395" s="5" t="n">
        <v>1</v>
      </c>
      <c r="F1395" s="6" t="n">
        <f aca="false">IFERROR(MATCH(A1395&amp;"|"&amp;B1395&amp;"|"&amp;D1395,'All Song Rankings'!$T:$T,0),0)</f>
        <v>237</v>
      </c>
      <c r="G1395" s="6" t="str">
        <f aca="false">IF(F1395=0,"NOT FOUND",INDEX('All Song Rankings'!$A:$A,F1395))</f>
        <v>drivers license</v>
      </c>
      <c r="H1395" s="6" t="str">
        <f aca="false">IF(F1395=0,"NOT FOUND",INDEX('All Song Rankings'!$B:$B,F1395))</f>
        <v>Olivia Rodrigo</v>
      </c>
      <c r="I1395" s="6" t="str">
        <f aca="false">IF(F1395=0,"NOT FOUND",INDEX('All Song Rankings'!$D:$D,F1395))</f>
        <v>Aubrey</v>
      </c>
      <c r="J1395" s="7" t="str">
        <f aca="false">IF(F1395=0,"NOT FOUND",IF(C1395=I1395,"SELF-VOTE",IF(COUNTIF($K:$K,K1395)&gt;1,"DUPLICATE","OK")))</f>
        <v>OK</v>
      </c>
      <c r="K1395" s="6" t="str">
        <f aca="false">A1395&amp;"|"&amp;B1395&amp;"|"&amp;C1395&amp;"|"&amp;D1395</f>
        <v>3|3|Grace|spotify:track:5wANPM4fQCJwkGd4rN57mH</v>
      </c>
    </row>
    <row r="1396" customFormat="false" ht="15" hidden="false" customHeight="false" outlineLevel="0" collapsed="false">
      <c r="A1396" s="5" t="n">
        <v>3</v>
      </c>
      <c r="B1396" s="5" t="n">
        <v>3</v>
      </c>
      <c r="C1396" s="5" t="s">
        <v>382</v>
      </c>
      <c r="D1396" s="5" t="s">
        <v>776</v>
      </c>
      <c r="E1396" s="5" t="n">
        <v>4</v>
      </c>
      <c r="F1396" s="6" t="n">
        <f aca="false">IFERROR(MATCH(A1396&amp;"|"&amp;B1396&amp;"|"&amp;D1396,'All Song Rankings'!$T:$T,0),0)</f>
        <v>225</v>
      </c>
      <c r="G1396" s="6" t="str">
        <f aca="false">IF(F1396=0,"NOT FOUND",INDEX('All Song Rankings'!$A:$A,F1396))</f>
        <v>Gives You Hell</v>
      </c>
      <c r="H1396" s="6" t="str">
        <f aca="false">IF(F1396=0,"NOT FOUND",INDEX('All Song Rankings'!$B:$B,F1396))</f>
        <v>The All-American Rejects</v>
      </c>
      <c r="I1396" s="6" t="str">
        <f aca="false">IF(F1396=0,"NOT FOUND",INDEX('All Song Rankings'!$D:$D,F1396))</f>
        <v>Nicole</v>
      </c>
      <c r="J1396" s="7" t="str">
        <f aca="false">IF(F1396=0,"NOT FOUND",IF(C1396=I1396,"SELF-VOTE",IF(COUNTIF($K:$K,K1396)&gt;1,"DUPLICATE","OK")))</f>
        <v>OK</v>
      </c>
      <c r="K1396" s="6" t="str">
        <f aca="false">A1396&amp;"|"&amp;B1396&amp;"|"&amp;C1396&amp;"|"&amp;D1396</f>
        <v>3|3|Grace|spotify:track:6ihL9TjfRjadfEePzXXyVF</v>
      </c>
    </row>
    <row r="1397" customFormat="false" ht="15" hidden="false" customHeight="false" outlineLevel="0" collapsed="false">
      <c r="A1397" s="5" t="n">
        <v>3</v>
      </c>
      <c r="B1397" s="5" t="n">
        <v>3</v>
      </c>
      <c r="C1397" s="5" t="s">
        <v>85</v>
      </c>
      <c r="D1397" s="5" t="s">
        <v>785</v>
      </c>
      <c r="E1397" s="5" t="n">
        <v>1</v>
      </c>
      <c r="F1397" s="6" t="n">
        <f aca="false">IFERROR(MATCH(A1397&amp;"|"&amp;B1397&amp;"|"&amp;D1397,'All Song Rankings'!$T:$T,0),0)</f>
        <v>228</v>
      </c>
      <c r="G1397" s="6" t="str">
        <f aca="false">IF(F1397=0,"NOT FOUND",INDEX('All Song Rankings'!$A:$A,F1397))</f>
        <v>abcdefu (angrier)</v>
      </c>
      <c r="H1397" s="6" t="str">
        <f aca="false">IF(F1397=0,"NOT FOUND",INDEX('All Song Rankings'!$B:$B,F1397))</f>
        <v>GAYLE</v>
      </c>
      <c r="I1397" s="6" t="str">
        <f aca="false">IF(F1397=0,"NOT FOUND",INDEX('All Song Rankings'!$D:$D,F1397))</f>
        <v>Logan</v>
      </c>
      <c r="J1397" s="7" t="str">
        <f aca="false">IF(F1397=0,"NOT FOUND",IF(C1397=I1397,"SELF-VOTE",IF(COUNTIF($K:$K,K1397)&gt;1,"DUPLICATE","OK")))</f>
        <v>OK</v>
      </c>
      <c r="K1397" s="6" t="str">
        <f aca="false">A1397&amp;"|"&amp;B1397&amp;"|"&amp;C1397&amp;"|"&amp;D1397</f>
        <v>3|3|Kelsey|spotify:track:1EQFOouqdKYdpbNoOHRVO2</v>
      </c>
    </row>
    <row r="1398" customFormat="false" ht="15" hidden="false" customHeight="false" outlineLevel="0" collapsed="false">
      <c r="A1398" s="5" t="n">
        <v>3</v>
      </c>
      <c r="B1398" s="5" t="n">
        <v>3</v>
      </c>
      <c r="C1398" s="5" t="s">
        <v>85</v>
      </c>
      <c r="D1398" s="5" t="s">
        <v>773</v>
      </c>
      <c r="E1398" s="5" t="n">
        <v>1</v>
      </c>
      <c r="F1398" s="6" t="n">
        <f aca="false">IFERROR(MATCH(A1398&amp;"|"&amp;B1398&amp;"|"&amp;D1398,'All Song Rankings'!$T:$T,0),0)</f>
        <v>224</v>
      </c>
      <c r="G1398" s="6" t="str">
        <f aca="false">IF(F1398=0,"NOT FOUND",INDEX('All Song Rankings'!$A:$A,F1398))</f>
        <v>Amnesia</v>
      </c>
      <c r="H1398" s="6" t="str">
        <f aca="false">IF(F1398=0,"NOT FOUND",INDEX('All Song Rankings'!$B:$B,F1398))</f>
        <v>5 Seconds of Summer</v>
      </c>
      <c r="I1398" s="6" t="str">
        <f aca="false">IF(F1398=0,"NOT FOUND",INDEX('All Song Rankings'!$D:$D,F1398))</f>
        <v>Colleen</v>
      </c>
      <c r="J1398" s="7" t="str">
        <f aca="false">IF(F1398=0,"NOT FOUND",IF(C1398=I1398,"SELF-VOTE",IF(COUNTIF($K:$K,K1398)&gt;1,"DUPLICATE","OK")))</f>
        <v>OK</v>
      </c>
      <c r="K1398" s="6" t="str">
        <f aca="false">A1398&amp;"|"&amp;B1398&amp;"|"&amp;C1398&amp;"|"&amp;D1398</f>
        <v>3|3|Kelsey|spotify:track:1JCCdiru7fhstOIF4N7WJC</v>
      </c>
    </row>
    <row r="1399" customFormat="false" ht="15" hidden="false" customHeight="false" outlineLevel="0" collapsed="false">
      <c r="A1399" s="5" t="n">
        <v>3</v>
      </c>
      <c r="B1399" s="5" t="n">
        <v>3</v>
      </c>
      <c r="C1399" s="5" t="s">
        <v>85</v>
      </c>
      <c r="D1399" s="5" t="s">
        <v>771</v>
      </c>
      <c r="E1399" s="5" t="n">
        <v>1</v>
      </c>
      <c r="F1399" s="6" t="n">
        <f aca="false">IFERROR(MATCH(A1399&amp;"|"&amp;B1399&amp;"|"&amp;D1399,'All Song Rankings'!$T:$T,0),0)</f>
        <v>223</v>
      </c>
      <c r="G1399" s="6" t="str">
        <f aca="false">IF(F1399=0,"NOT FOUND",INDEX('All Song Rankings'!$A:$A,F1399))</f>
        <v>Part of Me</v>
      </c>
      <c r="H1399" s="6" t="str">
        <f aca="false">IF(F1399=0,"NOT FOUND",INDEX('All Song Rankings'!$B:$B,F1399))</f>
        <v>Noah Kahan</v>
      </c>
      <c r="I1399" s="6" t="str">
        <f aca="false">IF(F1399=0,"NOT FOUND",INDEX('All Song Rankings'!$D:$D,F1399))</f>
        <v>Leah</v>
      </c>
      <c r="J1399" s="7" t="str">
        <f aca="false">IF(F1399=0,"NOT FOUND",IF(C1399=I1399,"SELF-VOTE",IF(COUNTIF($K:$K,K1399)&gt;1,"DUPLICATE","OK")))</f>
        <v>OK</v>
      </c>
      <c r="K1399" s="6" t="str">
        <f aca="false">A1399&amp;"|"&amp;B1399&amp;"|"&amp;C1399&amp;"|"&amp;D1399</f>
        <v>3|3|Kelsey|spotify:track:1o5WgxPWvoVgo20DQItKOE</v>
      </c>
    </row>
    <row r="1400" customFormat="false" ht="15" hidden="false" customHeight="false" outlineLevel="0" collapsed="false">
      <c r="A1400" s="5" t="n">
        <v>3</v>
      </c>
      <c r="B1400" s="5" t="n">
        <v>3</v>
      </c>
      <c r="C1400" s="5" t="s">
        <v>85</v>
      </c>
      <c r="D1400" s="5" t="s">
        <v>793</v>
      </c>
      <c r="E1400" s="5" t="n">
        <v>3</v>
      </c>
      <c r="F1400" s="6" t="n">
        <f aca="false">IFERROR(MATCH(A1400&amp;"|"&amp;B1400&amp;"|"&amp;D1400,'All Song Rankings'!$T:$T,0),0)</f>
        <v>231</v>
      </c>
      <c r="G1400" s="6" t="str">
        <f aca="false">IF(F1400=0,"NOT FOUND",INDEX('All Song Rankings'!$A:$A,F1400))</f>
        <v>Glimpse of Us</v>
      </c>
      <c r="H1400" s="6" t="str">
        <f aca="false">IF(F1400=0,"NOT FOUND",INDEX('All Song Rankings'!$B:$B,F1400))</f>
        <v>Joji</v>
      </c>
      <c r="I1400" s="6" t="str">
        <f aca="false">IF(F1400=0,"NOT FOUND",INDEX('All Song Rankings'!$D:$D,F1400))</f>
        <v>Merita</v>
      </c>
      <c r="J1400" s="7" t="str">
        <f aca="false">IF(F1400=0,"NOT FOUND",IF(C1400=I1400,"SELF-VOTE",IF(COUNTIF($K:$K,K1400)&gt;1,"DUPLICATE","OK")))</f>
        <v>OK</v>
      </c>
      <c r="K1400" s="6" t="str">
        <f aca="false">A1400&amp;"|"&amp;B1400&amp;"|"&amp;C1400&amp;"|"&amp;D1400</f>
        <v>3|3|Kelsey|spotify:track:3aBGKDiAAvH2H7HLOyQ4US</v>
      </c>
    </row>
    <row r="1401" customFormat="false" ht="15" hidden="false" customHeight="false" outlineLevel="0" collapsed="false">
      <c r="A1401" s="5" t="n">
        <v>3</v>
      </c>
      <c r="B1401" s="5" t="n">
        <v>3</v>
      </c>
      <c r="C1401" s="5" t="s">
        <v>85</v>
      </c>
      <c r="D1401" s="5" t="s">
        <v>779</v>
      </c>
      <c r="E1401" s="5" t="n">
        <v>1</v>
      </c>
      <c r="F1401" s="6" t="n">
        <f aca="false">IFERROR(MATCH(A1401&amp;"|"&amp;B1401&amp;"|"&amp;D1401,'All Song Rankings'!$T:$T,0),0)</f>
        <v>226</v>
      </c>
      <c r="G1401" s="6" t="str">
        <f aca="false">IF(F1401=0,"NOT FOUND",INDEX('All Song Rankings'!$A:$A,F1401))</f>
        <v>The Winner Takes It All</v>
      </c>
      <c r="H1401" s="6" t="str">
        <f aca="false">IF(F1401=0,"NOT FOUND",INDEX('All Song Rankings'!$B:$B,F1401))</f>
        <v>ABBA</v>
      </c>
      <c r="I1401" s="6" t="str">
        <f aca="false">IF(F1401=0,"NOT FOUND",INDEX('All Song Rankings'!$D:$D,F1401))</f>
        <v>Lisa</v>
      </c>
      <c r="J1401" s="7" t="str">
        <f aca="false">IF(F1401=0,"NOT FOUND",IF(C1401=I1401,"SELF-VOTE",IF(COUNTIF($K:$K,K1401)&gt;1,"DUPLICATE","OK")))</f>
        <v>OK</v>
      </c>
      <c r="K1401" s="6" t="str">
        <f aca="false">A1401&amp;"|"&amp;B1401&amp;"|"&amp;C1401&amp;"|"&amp;D1401</f>
        <v>3|3|Kelsey|spotify:track:3oEkrIfXfSh9zGnE7eBzSV</v>
      </c>
    </row>
    <row r="1402" customFormat="false" ht="15" hidden="false" customHeight="false" outlineLevel="0" collapsed="false">
      <c r="A1402" s="5" t="n">
        <v>3</v>
      </c>
      <c r="B1402" s="5" t="n">
        <v>3</v>
      </c>
      <c r="C1402" s="5" t="s">
        <v>85</v>
      </c>
      <c r="D1402" s="5" t="s">
        <v>776</v>
      </c>
      <c r="E1402" s="5" t="n">
        <v>1</v>
      </c>
      <c r="F1402" s="6" t="n">
        <f aca="false">IFERROR(MATCH(A1402&amp;"|"&amp;B1402&amp;"|"&amp;D1402,'All Song Rankings'!$T:$T,0),0)</f>
        <v>225</v>
      </c>
      <c r="G1402" s="6" t="str">
        <f aca="false">IF(F1402=0,"NOT FOUND",INDEX('All Song Rankings'!$A:$A,F1402))</f>
        <v>Gives You Hell</v>
      </c>
      <c r="H1402" s="6" t="str">
        <f aca="false">IF(F1402=0,"NOT FOUND",INDEX('All Song Rankings'!$B:$B,F1402))</f>
        <v>The All-American Rejects</v>
      </c>
      <c r="I1402" s="6" t="str">
        <f aca="false">IF(F1402=0,"NOT FOUND",INDEX('All Song Rankings'!$D:$D,F1402))</f>
        <v>Nicole</v>
      </c>
      <c r="J1402" s="7" t="str">
        <f aca="false">IF(F1402=0,"NOT FOUND",IF(C1402=I1402,"SELF-VOTE",IF(COUNTIF($K:$K,K1402)&gt;1,"DUPLICATE","OK")))</f>
        <v>OK</v>
      </c>
      <c r="K1402" s="6" t="str">
        <f aca="false">A1402&amp;"|"&amp;B1402&amp;"|"&amp;C1402&amp;"|"&amp;D1402</f>
        <v>3|3|Kelsey|spotify:track:6ihL9TjfRjadfEePzXXyVF</v>
      </c>
    </row>
    <row r="1403" customFormat="false" ht="15" hidden="false" customHeight="false" outlineLevel="0" collapsed="false">
      <c r="A1403" s="5" t="n">
        <v>3</v>
      </c>
      <c r="B1403" s="5" t="n">
        <v>3</v>
      </c>
      <c r="C1403" s="5" t="s">
        <v>85</v>
      </c>
      <c r="D1403" s="5" t="s">
        <v>804</v>
      </c>
      <c r="E1403" s="5" t="n">
        <v>2</v>
      </c>
      <c r="F1403" s="6" t="n">
        <f aca="false">IFERROR(MATCH(A1403&amp;"|"&amp;B1403&amp;"|"&amp;D1403,'All Song Rankings'!$T:$T,0),0)</f>
        <v>236</v>
      </c>
      <c r="G1403" s="6" t="str">
        <f aca="false">IF(F1403=0,"NOT FOUND",INDEX('All Song Rankings'!$A:$A,F1403))</f>
        <v>IDGAF</v>
      </c>
      <c r="H1403" s="6" t="str">
        <f aca="false">IF(F1403=0,"NOT FOUND",INDEX('All Song Rankings'!$B:$B,F1403))</f>
        <v>Dua Lipa</v>
      </c>
      <c r="I1403" s="6" t="str">
        <f aca="false">IF(F1403=0,"NOT FOUND",INDEX('All Song Rankings'!$D:$D,F1403))</f>
        <v>Stephanie</v>
      </c>
      <c r="J1403" s="7" t="str">
        <f aca="false">IF(F1403=0,"NOT FOUND",IF(C1403=I1403,"SELF-VOTE",IF(COUNTIF($K:$K,K1403)&gt;1,"DUPLICATE","OK")))</f>
        <v>OK</v>
      </c>
      <c r="K1403" s="6" t="str">
        <f aca="false">A1403&amp;"|"&amp;B1403&amp;"|"&amp;C1403&amp;"|"&amp;D1403</f>
        <v>3|3|Kelsey|spotify:track:76cy1WJvNGJTj78UqeA5zr</v>
      </c>
    </row>
    <row r="1404" customFormat="false" ht="15" hidden="false" customHeight="false" outlineLevel="0" collapsed="false">
      <c r="A1404" s="5" t="n">
        <v>3</v>
      </c>
      <c r="B1404" s="5" t="n">
        <v>3</v>
      </c>
      <c r="C1404" s="5" t="s">
        <v>106</v>
      </c>
      <c r="D1404" s="5" t="s">
        <v>785</v>
      </c>
      <c r="E1404" s="5" t="n">
        <v>1</v>
      </c>
      <c r="F1404" s="6" t="n">
        <f aca="false">IFERROR(MATCH(A1404&amp;"|"&amp;B1404&amp;"|"&amp;D1404,'All Song Rankings'!$T:$T,0),0)</f>
        <v>228</v>
      </c>
      <c r="G1404" s="6" t="str">
        <f aca="false">IF(F1404=0,"NOT FOUND",INDEX('All Song Rankings'!$A:$A,F1404))</f>
        <v>abcdefu (angrier)</v>
      </c>
      <c r="H1404" s="6" t="str">
        <f aca="false">IF(F1404=0,"NOT FOUND",INDEX('All Song Rankings'!$B:$B,F1404))</f>
        <v>GAYLE</v>
      </c>
      <c r="I1404" s="6" t="str">
        <f aca="false">IF(F1404=0,"NOT FOUND",INDEX('All Song Rankings'!$D:$D,F1404))</f>
        <v>Logan</v>
      </c>
      <c r="J1404" s="7" t="str">
        <f aca="false">IF(F1404=0,"NOT FOUND",IF(C1404=I1404,"SELF-VOTE",IF(COUNTIF($K:$K,K1404)&gt;1,"DUPLICATE","OK")))</f>
        <v>OK</v>
      </c>
      <c r="K1404" s="6" t="str">
        <f aca="false">A1404&amp;"|"&amp;B1404&amp;"|"&amp;C1404&amp;"|"&amp;D1404</f>
        <v>3|3|Kristen|spotify:track:1EQFOouqdKYdpbNoOHRVO2</v>
      </c>
    </row>
    <row r="1405" customFormat="false" ht="15" hidden="false" customHeight="false" outlineLevel="0" collapsed="false">
      <c r="A1405" s="5" t="n">
        <v>3</v>
      </c>
      <c r="B1405" s="5" t="n">
        <v>3</v>
      </c>
      <c r="C1405" s="5" t="s">
        <v>106</v>
      </c>
      <c r="D1405" s="5" t="s">
        <v>773</v>
      </c>
      <c r="E1405" s="5" t="n">
        <v>1</v>
      </c>
      <c r="F1405" s="6" t="n">
        <f aca="false">IFERROR(MATCH(A1405&amp;"|"&amp;B1405&amp;"|"&amp;D1405,'All Song Rankings'!$T:$T,0),0)</f>
        <v>224</v>
      </c>
      <c r="G1405" s="6" t="str">
        <f aca="false">IF(F1405=0,"NOT FOUND",INDEX('All Song Rankings'!$A:$A,F1405))</f>
        <v>Amnesia</v>
      </c>
      <c r="H1405" s="6" t="str">
        <f aca="false">IF(F1405=0,"NOT FOUND",INDEX('All Song Rankings'!$B:$B,F1405))</f>
        <v>5 Seconds of Summer</v>
      </c>
      <c r="I1405" s="6" t="str">
        <f aca="false">IF(F1405=0,"NOT FOUND",INDEX('All Song Rankings'!$D:$D,F1405))</f>
        <v>Colleen</v>
      </c>
      <c r="J1405" s="7" t="str">
        <f aca="false">IF(F1405=0,"NOT FOUND",IF(C1405=I1405,"SELF-VOTE",IF(COUNTIF($K:$K,K1405)&gt;1,"DUPLICATE","OK")))</f>
        <v>OK</v>
      </c>
      <c r="K1405" s="6" t="str">
        <f aca="false">A1405&amp;"|"&amp;B1405&amp;"|"&amp;C1405&amp;"|"&amp;D1405</f>
        <v>3|3|Kristen|spotify:track:1JCCdiru7fhstOIF4N7WJC</v>
      </c>
    </row>
    <row r="1406" customFormat="false" ht="15" hidden="false" customHeight="false" outlineLevel="0" collapsed="false">
      <c r="A1406" s="5" t="n">
        <v>3</v>
      </c>
      <c r="B1406" s="5" t="n">
        <v>3</v>
      </c>
      <c r="C1406" s="5" t="s">
        <v>106</v>
      </c>
      <c r="D1406" s="5" t="s">
        <v>771</v>
      </c>
      <c r="E1406" s="5" t="n">
        <v>2</v>
      </c>
      <c r="F1406" s="6" t="n">
        <f aca="false">IFERROR(MATCH(A1406&amp;"|"&amp;B1406&amp;"|"&amp;D1406,'All Song Rankings'!$T:$T,0),0)</f>
        <v>223</v>
      </c>
      <c r="G1406" s="6" t="str">
        <f aca="false">IF(F1406=0,"NOT FOUND",INDEX('All Song Rankings'!$A:$A,F1406))</f>
        <v>Part of Me</v>
      </c>
      <c r="H1406" s="6" t="str">
        <f aca="false">IF(F1406=0,"NOT FOUND",INDEX('All Song Rankings'!$B:$B,F1406))</f>
        <v>Noah Kahan</v>
      </c>
      <c r="I1406" s="6" t="str">
        <f aca="false">IF(F1406=0,"NOT FOUND",INDEX('All Song Rankings'!$D:$D,F1406))</f>
        <v>Leah</v>
      </c>
      <c r="J1406" s="7" t="str">
        <f aca="false">IF(F1406=0,"NOT FOUND",IF(C1406=I1406,"SELF-VOTE",IF(COUNTIF($K:$K,K1406)&gt;1,"DUPLICATE","OK")))</f>
        <v>OK</v>
      </c>
      <c r="K1406" s="6" t="str">
        <f aca="false">A1406&amp;"|"&amp;B1406&amp;"|"&amp;C1406&amp;"|"&amp;D1406</f>
        <v>3|3|Kristen|spotify:track:1o5WgxPWvoVgo20DQItKOE</v>
      </c>
    </row>
    <row r="1407" customFormat="false" ht="15" hidden="false" customHeight="false" outlineLevel="0" collapsed="false">
      <c r="A1407" s="5" t="n">
        <v>3</v>
      </c>
      <c r="B1407" s="5" t="n">
        <v>3</v>
      </c>
      <c r="C1407" s="5" t="s">
        <v>106</v>
      </c>
      <c r="D1407" s="5" t="s">
        <v>793</v>
      </c>
      <c r="E1407" s="5" t="n">
        <v>1</v>
      </c>
      <c r="F1407" s="6" t="n">
        <f aca="false">IFERROR(MATCH(A1407&amp;"|"&amp;B1407&amp;"|"&amp;D1407,'All Song Rankings'!$T:$T,0),0)</f>
        <v>231</v>
      </c>
      <c r="G1407" s="6" t="str">
        <f aca="false">IF(F1407=0,"NOT FOUND",INDEX('All Song Rankings'!$A:$A,F1407))</f>
        <v>Glimpse of Us</v>
      </c>
      <c r="H1407" s="6" t="str">
        <f aca="false">IF(F1407=0,"NOT FOUND",INDEX('All Song Rankings'!$B:$B,F1407))</f>
        <v>Joji</v>
      </c>
      <c r="I1407" s="6" t="str">
        <f aca="false">IF(F1407=0,"NOT FOUND",INDEX('All Song Rankings'!$D:$D,F1407))</f>
        <v>Merita</v>
      </c>
      <c r="J1407" s="7" t="str">
        <f aca="false">IF(F1407=0,"NOT FOUND",IF(C1407=I1407,"SELF-VOTE",IF(COUNTIF($K:$K,K1407)&gt;1,"DUPLICATE","OK")))</f>
        <v>OK</v>
      </c>
      <c r="K1407" s="6" t="str">
        <f aca="false">A1407&amp;"|"&amp;B1407&amp;"|"&amp;C1407&amp;"|"&amp;D1407</f>
        <v>3|3|Kristen|spotify:track:3aBGKDiAAvH2H7HLOyQ4US</v>
      </c>
    </row>
    <row r="1408" customFormat="false" ht="15" hidden="false" customHeight="false" outlineLevel="0" collapsed="false">
      <c r="A1408" s="5" t="n">
        <v>3</v>
      </c>
      <c r="B1408" s="5" t="n">
        <v>3</v>
      </c>
      <c r="C1408" s="5" t="s">
        <v>106</v>
      </c>
      <c r="D1408" s="5" t="s">
        <v>596</v>
      </c>
      <c r="E1408" s="5" t="n">
        <v>1</v>
      </c>
      <c r="F1408" s="6" t="n">
        <f aca="false">IFERROR(MATCH(A1408&amp;"|"&amp;B1408&amp;"|"&amp;D1408,'All Song Rankings'!$T:$T,0),0)</f>
        <v>235</v>
      </c>
      <c r="G1408" s="6" t="str">
        <f aca="false">IF(F1408=0,"NOT FOUND",INDEX('All Song Rankings'!$A:$A,F1408))</f>
        <v>Somebody That I Used To Know</v>
      </c>
      <c r="H1408" s="6" t="str">
        <f aca="false">IF(F1408=0,"NOT FOUND",INDEX('All Song Rankings'!$B:$B,F1408))</f>
        <v>Gotye, Kimbra</v>
      </c>
      <c r="I1408" s="6" t="str">
        <f aca="false">IF(F1408=0,"NOT FOUND",INDEX('All Song Rankings'!$D:$D,F1408))</f>
        <v>Grace</v>
      </c>
      <c r="J1408" s="7" t="str">
        <f aca="false">IF(F1408=0,"NOT FOUND",IF(C1408=I1408,"SELF-VOTE",IF(COUNTIF($K:$K,K1408)&gt;1,"DUPLICATE","OK")))</f>
        <v>OK</v>
      </c>
      <c r="K1408" s="6" t="str">
        <f aca="false">A1408&amp;"|"&amp;B1408&amp;"|"&amp;C1408&amp;"|"&amp;D1408</f>
        <v>3|3|Kristen|spotify:track:4wCmqSrbyCgxEXROQE6vtV</v>
      </c>
    </row>
    <row r="1409" customFormat="false" ht="15" hidden="false" customHeight="false" outlineLevel="0" collapsed="false">
      <c r="A1409" s="5" t="n">
        <v>3</v>
      </c>
      <c r="B1409" s="5" t="n">
        <v>3</v>
      </c>
      <c r="C1409" s="5" t="s">
        <v>106</v>
      </c>
      <c r="D1409" s="5" t="s">
        <v>782</v>
      </c>
      <c r="E1409" s="5" t="n">
        <v>2</v>
      </c>
      <c r="F1409" s="6" t="n">
        <f aca="false">IFERROR(MATCH(A1409&amp;"|"&amp;B1409&amp;"|"&amp;D1409,'All Song Rankings'!$T:$T,0),0)</f>
        <v>227</v>
      </c>
      <c r="G1409" s="6" t="str">
        <f aca="false">IF(F1409=0,"NOT FOUND",INDEX('All Song Rankings'!$A:$A,F1409))</f>
        <v>hot girl bummer</v>
      </c>
      <c r="H1409" s="6" t="str">
        <f aca="false">IF(F1409=0,"NOT FOUND",INDEX('All Song Rankings'!$B:$B,F1409))</f>
        <v>blackbear</v>
      </c>
      <c r="I1409" s="6" t="str">
        <f aca="false">IF(F1409=0,"NOT FOUND",INDEX('All Song Rankings'!$D:$D,F1409))</f>
        <v>Makenzie</v>
      </c>
      <c r="J1409" s="7" t="str">
        <f aca="false">IF(F1409=0,"NOT FOUND",IF(C1409=I1409,"SELF-VOTE",IF(COUNTIF($K:$K,K1409)&gt;1,"DUPLICATE","OK")))</f>
        <v>OK</v>
      </c>
      <c r="K1409" s="6" t="str">
        <f aca="false">A1409&amp;"|"&amp;B1409&amp;"|"&amp;C1409&amp;"|"&amp;D1409</f>
        <v>3|3|Kristen|spotify:track:6jRq8gaZhMUyy5RclRPcAf</v>
      </c>
    </row>
    <row r="1410" customFormat="false" ht="15" hidden="false" customHeight="false" outlineLevel="0" collapsed="false">
      <c r="A1410" s="5" t="n">
        <v>3</v>
      </c>
      <c r="B1410" s="5" t="n">
        <v>3</v>
      </c>
      <c r="C1410" s="5" t="s">
        <v>106</v>
      </c>
      <c r="D1410" s="5" t="s">
        <v>804</v>
      </c>
      <c r="E1410" s="5" t="n">
        <v>1</v>
      </c>
      <c r="F1410" s="6" t="n">
        <f aca="false">IFERROR(MATCH(A1410&amp;"|"&amp;B1410&amp;"|"&amp;D1410,'All Song Rankings'!$T:$T,0),0)</f>
        <v>236</v>
      </c>
      <c r="G1410" s="6" t="str">
        <f aca="false">IF(F1410=0,"NOT FOUND",INDEX('All Song Rankings'!$A:$A,F1410))</f>
        <v>IDGAF</v>
      </c>
      <c r="H1410" s="6" t="str">
        <f aca="false">IF(F1410=0,"NOT FOUND",INDEX('All Song Rankings'!$B:$B,F1410))</f>
        <v>Dua Lipa</v>
      </c>
      <c r="I1410" s="6" t="str">
        <f aca="false">IF(F1410=0,"NOT FOUND",INDEX('All Song Rankings'!$D:$D,F1410))</f>
        <v>Stephanie</v>
      </c>
      <c r="J1410" s="7" t="str">
        <f aca="false">IF(F1410=0,"NOT FOUND",IF(C1410=I1410,"SELF-VOTE",IF(COUNTIF($K:$K,K1410)&gt;1,"DUPLICATE","OK")))</f>
        <v>OK</v>
      </c>
      <c r="K1410" s="6" t="str">
        <f aca="false">A1410&amp;"|"&amp;B1410&amp;"|"&amp;C1410&amp;"|"&amp;D1410</f>
        <v>3|3|Kristen|spotify:track:76cy1WJvNGJTj78UqeA5zr</v>
      </c>
    </row>
    <row r="1411" customFormat="false" ht="15" hidden="false" customHeight="false" outlineLevel="0" collapsed="false">
      <c r="A1411" s="5" t="n">
        <v>3</v>
      </c>
      <c r="B1411" s="5" t="n">
        <v>3</v>
      </c>
      <c r="C1411" s="5" t="s">
        <v>106</v>
      </c>
      <c r="D1411" s="5" t="s">
        <v>790</v>
      </c>
      <c r="E1411" s="5" t="n">
        <v>1</v>
      </c>
      <c r="F1411" s="6" t="n">
        <f aca="false">IFERROR(MATCH(A1411&amp;"|"&amp;B1411&amp;"|"&amp;D1411,'All Song Rankings'!$T:$T,0),0)</f>
        <v>230</v>
      </c>
      <c r="G1411" s="6" t="str">
        <f aca="false">IF(F1411=0,"NOT FOUND",INDEX('All Song Rankings'!$A:$A,F1411))</f>
        <v>Karma</v>
      </c>
      <c r="H1411" s="6" t="str">
        <f aca="false">IF(F1411=0,"NOT FOUND",INDEX('All Song Rankings'!$B:$B,F1411))</f>
        <v>MOD SUN</v>
      </c>
      <c r="I1411" s="6" t="str">
        <f aca="false">IF(F1411=0,"NOT FOUND",INDEX('All Song Rankings'!$D:$D,F1411))</f>
        <v>Scott</v>
      </c>
      <c r="J1411" s="7" t="str">
        <f aca="false">IF(F1411=0,"NOT FOUND",IF(C1411=I1411,"SELF-VOTE",IF(COUNTIF($K:$K,K1411)&gt;1,"DUPLICATE","OK")))</f>
        <v>OK</v>
      </c>
      <c r="K1411" s="6" t="str">
        <f aca="false">A1411&amp;"|"&amp;B1411&amp;"|"&amp;C1411&amp;"|"&amp;D1411</f>
        <v>3|3|Kristen|spotify:track:7vXtuHrqgzQi58ihUO7L2d</v>
      </c>
    </row>
    <row r="1412" customFormat="false" ht="15" hidden="false" customHeight="false" outlineLevel="0" collapsed="false">
      <c r="A1412" s="5" t="n">
        <v>3</v>
      </c>
      <c r="B1412" s="5" t="n">
        <v>3</v>
      </c>
      <c r="C1412" s="5" t="s">
        <v>119</v>
      </c>
      <c r="D1412" s="5" t="s">
        <v>785</v>
      </c>
      <c r="E1412" s="5" t="n">
        <v>1</v>
      </c>
      <c r="F1412" s="6" t="n">
        <f aca="false">IFERROR(MATCH(A1412&amp;"|"&amp;B1412&amp;"|"&amp;D1412,'All Song Rankings'!$T:$T,0),0)</f>
        <v>228</v>
      </c>
      <c r="G1412" s="6" t="str">
        <f aca="false">IF(F1412=0,"NOT FOUND",INDEX('All Song Rankings'!$A:$A,F1412))</f>
        <v>abcdefu (angrier)</v>
      </c>
      <c r="H1412" s="6" t="str">
        <f aca="false">IF(F1412=0,"NOT FOUND",INDEX('All Song Rankings'!$B:$B,F1412))</f>
        <v>GAYLE</v>
      </c>
      <c r="I1412" s="6" t="str">
        <f aca="false">IF(F1412=0,"NOT FOUND",INDEX('All Song Rankings'!$D:$D,F1412))</f>
        <v>Logan</v>
      </c>
      <c r="J1412" s="7" t="str">
        <f aca="false">IF(F1412=0,"NOT FOUND",IF(C1412=I1412,"SELF-VOTE",IF(COUNTIF($K:$K,K1412)&gt;1,"DUPLICATE","OK")))</f>
        <v>OK</v>
      </c>
      <c r="K1412" s="6" t="str">
        <f aca="false">A1412&amp;"|"&amp;B1412&amp;"|"&amp;C1412&amp;"|"&amp;D1412</f>
        <v>3|3|Leah|spotify:track:1EQFOouqdKYdpbNoOHRVO2</v>
      </c>
    </row>
    <row r="1413" customFormat="false" ht="15" hidden="false" customHeight="false" outlineLevel="0" collapsed="false">
      <c r="A1413" s="5" t="n">
        <v>3</v>
      </c>
      <c r="B1413" s="5" t="n">
        <v>3</v>
      </c>
      <c r="C1413" s="5" t="s">
        <v>119</v>
      </c>
      <c r="D1413" s="5" t="s">
        <v>773</v>
      </c>
      <c r="E1413" s="5" t="n">
        <v>1</v>
      </c>
      <c r="F1413" s="6" t="n">
        <f aca="false">IFERROR(MATCH(A1413&amp;"|"&amp;B1413&amp;"|"&amp;D1413,'All Song Rankings'!$T:$T,0),0)</f>
        <v>224</v>
      </c>
      <c r="G1413" s="6" t="str">
        <f aca="false">IF(F1413=0,"NOT FOUND",INDEX('All Song Rankings'!$A:$A,F1413))</f>
        <v>Amnesia</v>
      </c>
      <c r="H1413" s="6" t="str">
        <f aca="false">IF(F1413=0,"NOT FOUND",INDEX('All Song Rankings'!$B:$B,F1413))</f>
        <v>5 Seconds of Summer</v>
      </c>
      <c r="I1413" s="6" t="str">
        <f aca="false">IF(F1413=0,"NOT FOUND",INDEX('All Song Rankings'!$D:$D,F1413))</f>
        <v>Colleen</v>
      </c>
      <c r="J1413" s="7" t="str">
        <f aca="false">IF(F1413=0,"NOT FOUND",IF(C1413=I1413,"SELF-VOTE",IF(COUNTIF($K:$K,K1413)&gt;1,"DUPLICATE","OK")))</f>
        <v>OK</v>
      </c>
      <c r="K1413" s="6" t="str">
        <f aca="false">A1413&amp;"|"&amp;B1413&amp;"|"&amp;C1413&amp;"|"&amp;D1413</f>
        <v>3|3|Leah|spotify:track:1JCCdiru7fhstOIF4N7WJC</v>
      </c>
    </row>
    <row r="1414" customFormat="false" ht="15" hidden="false" customHeight="false" outlineLevel="0" collapsed="false">
      <c r="A1414" s="5" t="n">
        <v>3</v>
      </c>
      <c r="B1414" s="5" t="n">
        <v>3</v>
      </c>
      <c r="C1414" s="5" t="s">
        <v>119</v>
      </c>
      <c r="D1414" s="5" t="s">
        <v>787</v>
      </c>
      <c r="E1414" s="5" t="n">
        <v>1</v>
      </c>
      <c r="F1414" s="6" t="n">
        <f aca="false">IFERROR(MATCH(A1414&amp;"|"&amp;B1414&amp;"|"&amp;D1414,'All Song Rankings'!$T:$T,0),0)</f>
        <v>229</v>
      </c>
      <c r="G1414" s="6" t="str">
        <f aca="false">IF(F1414=0,"NOT FOUND",INDEX('All Song Rankings'!$A:$A,F1414))</f>
        <v>Half A Man</v>
      </c>
      <c r="H1414" s="6" t="str">
        <f aca="false">IF(F1414=0,"NOT FOUND",INDEX('All Song Rankings'!$B:$B,F1414))</f>
        <v>Dean Lewis</v>
      </c>
      <c r="I1414" s="6" t="str">
        <f aca="false">IF(F1414=0,"NOT FOUND",INDEX('All Song Rankings'!$D:$D,F1414))</f>
        <v>Kristen</v>
      </c>
      <c r="J1414" s="7" t="str">
        <f aca="false">IF(F1414=0,"NOT FOUND",IF(C1414=I1414,"SELF-VOTE",IF(COUNTIF($K:$K,K1414)&gt;1,"DUPLICATE","OK")))</f>
        <v>OK</v>
      </c>
      <c r="K1414" s="6" t="str">
        <f aca="false">A1414&amp;"|"&amp;B1414&amp;"|"&amp;C1414&amp;"|"&amp;D1414</f>
        <v>3|3|Leah|spotify:track:1ugQtcwmKOXvKAYzhjncmv</v>
      </c>
    </row>
    <row r="1415" customFormat="false" ht="15" hidden="false" customHeight="false" outlineLevel="0" collapsed="false">
      <c r="A1415" s="5" t="n">
        <v>3</v>
      </c>
      <c r="B1415" s="5" t="n">
        <v>3</v>
      </c>
      <c r="C1415" s="5" t="s">
        <v>119</v>
      </c>
      <c r="D1415" s="5" t="s">
        <v>796</v>
      </c>
      <c r="E1415" s="5" t="n">
        <v>1</v>
      </c>
      <c r="F1415" s="6" t="n">
        <f aca="false">IFERROR(MATCH(A1415&amp;"|"&amp;B1415&amp;"|"&amp;D1415,'All Song Rankings'!$T:$T,0),0)</f>
        <v>232</v>
      </c>
      <c r="G1415" s="6" t="str">
        <f aca="false">IF(F1415=0,"NOT FOUND",INDEX('All Song Rankings'!$A:$A,F1415))</f>
        <v>Poison &amp; Wine</v>
      </c>
      <c r="H1415" s="6" t="str">
        <f aca="false">IF(F1415=0,"NOT FOUND",INDEX('All Song Rankings'!$B:$B,F1415))</f>
        <v>The Civil Wars</v>
      </c>
      <c r="I1415" s="6" t="str">
        <f aca="false">IF(F1415=0,"NOT FOUND",INDEX('All Song Rankings'!$D:$D,F1415))</f>
        <v>Matt</v>
      </c>
      <c r="J1415" s="7" t="str">
        <f aca="false">IF(F1415=0,"NOT FOUND",IF(C1415=I1415,"SELF-VOTE",IF(COUNTIF($K:$K,K1415)&gt;1,"DUPLICATE","OK")))</f>
        <v>OK</v>
      </c>
      <c r="K1415" s="6" t="str">
        <f aca="false">A1415&amp;"|"&amp;B1415&amp;"|"&amp;C1415&amp;"|"&amp;D1415</f>
        <v>3|3|Leah|spotify:track:4BFudy2Zbryi9a1KFad66B</v>
      </c>
    </row>
    <row r="1416" customFormat="false" ht="15" hidden="false" customHeight="false" outlineLevel="0" collapsed="false">
      <c r="A1416" s="5" t="n">
        <v>3</v>
      </c>
      <c r="B1416" s="5" t="n">
        <v>3</v>
      </c>
      <c r="C1416" s="5" t="s">
        <v>119</v>
      </c>
      <c r="D1416" s="5" t="s">
        <v>596</v>
      </c>
      <c r="E1416" s="5" t="n">
        <v>1</v>
      </c>
      <c r="F1416" s="6" t="n">
        <f aca="false">IFERROR(MATCH(A1416&amp;"|"&amp;B1416&amp;"|"&amp;D1416,'All Song Rankings'!$T:$T,0),0)</f>
        <v>235</v>
      </c>
      <c r="G1416" s="6" t="str">
        <f aca="false">IF(F1416=0,"NOT FOUND",INDEX('All Song Rankings'!$A:$A,F1416))</f>
        <v>Somebody That I Used To Know</v>
      </c>
      <c r="H1416" s="6" t="str">
        <f aca="false">IF(F1416=0,"NOT FOUND",INDEX('All Song Rankings'!$B:$B,F1416))</f>
        <v>Gotye, Kimbra</v>
      </c>
      <c r="I1416" s="6" t="str">
        <f aca="false">IF(F1416=0,"NOT FOUND",INDEX('All Song Rankings'!$D:$D,F1416))</f>
        <v>Grace</v>
      </c>
      <c r="J1416" s="7" t="str">
        <f aca="false">IF(F1416=0,"NOT FOUND",IF(C1416=I1416,"SELF-VOTE",IF(COUNTIF($K:$K,K1416)&gt;1,"DUPLICATE","OK")))</f>
        <v>OK</v>
      </c>
      <c r="K1416" s="6" t="str">
        <f aca="false">A1416&amp;"|"&amp;B1416&amp;"|"&amp;C1416&amp;"|"&amp;D1416</f>
        <v>3|3|Leah|spotify:track:4wCmqSrbyCgxEXROQE6vtV</v>
      </c>
    </row>
    <row r="1417" customFormat="false" ht="15" hidden="false" customHeight="false" outlineLevel="0" collapsed="false">
      <c r="A1417" s="5" t="n">
        <v>3</v>
      </c>
      <c r="B1417" s="5" t="n">
        <v>3</v>
      </c>
      <c r="C1417" s="5" t="s">
        <v>119</v>
      </c>
      <c r="D1417" s="5" t="s">
        <v>801</v>
      </c>
      <c r="E1417" s="5" t="n">
        <v>2</v>
      </c>
      <c r="F1417" s="6" t="n">
        <f aca="false">IFERROR(MATCH(A1417&amp;"|"&amp;B1417&amp;"|"&amp;D1417,'All Song Rankings'!$T:$T,0),0)</f>
        <v>234</v>
      </c>
      <c r="G1417" s="6" t="str">
        <f aca="false">IF(F1417=0,"NOT FOUND",INDEX('All Song Rankings'!$A:$A,F1417))</f>
        <v>Your Love Is a Lie</v>
      </c>
      <c r="H1417" s="6" t="str">
        <f aca="false">IF(F1417=0,"NOT FOUND",INDEX('All Song Rankings'!$B:$B,F1417))</f>
        <v>Simple Plan</v>
      </c>
      <c r="I1417" s="6" t="str">
        <f aca="false">IF(F1417=0,"NOT FOUND",INDEX('All Song Rankings'!$D:$D,F1417))</f>
        <v>Christine</v>
      </c>
      <c r="J1417" s="7" t="str">
        <f aca="false">IF(F1417=0,"NOT FOUND",IF(C1417=I1417,"SELF-VOTE",IF(COUNTIF($K:$K,K1417)&gt;1,"DUPLICATE","OK")))</f>
        <v>OK</v>
      </c>
      <c r="K1417" s="6" t="str">
        <f aca="false">A1417&amp;"|"&amp;B1417&amp;"|"&amp;C1417&amp;"|"&amp;D1417</f>
        <v>3|3|Leah|spotify:track:5veTPYnAviWwQ73hMVTwb5</v>
      </c>
    </row>
    <row r="1418" customFormat="false" ht="15" hidden="false" customHeight="false" outlineLevel="0" collapsed="false">
      <c r="A1418" s="5" t="n">
        <v>3</v>
      </c>
      <c r="B1418" s="5" t="n">
        <v>3</v>
      </c>
      <c r="C1418" s="5" t="s">
        <v>119</v>
      </c>
      <c r="D1418" s="5" t="s">
        <v>776</v>
      </c>
      <c r="E1418" s="5" t="n">
        <v>1</v>
      </c>
      <c r="F1418" s="6" t="n">
        <f aca="false">IFERROR(MATCH(A1418&amp;"|"&amp;B1418&amp;"|"&amp;D1418,'All Song Rankings'!$T:$T,0),0)</f>
        <v>225</v>
      </c>
      <c r="G1418" s="6" t="str">
        <f aca="false">IF(F1418=0,"NOT FOUND",INDEX('All Song Rankings'!$A:$A,F1418))</f>
        <v>Gives You Hell</v>
      </c>
      <c r="H1418" s="6" t="str">
        <f aca="false">IF(F1418=0,"NOT FOUND",INDEX('All Song Rankings'!$B:$B,F1418))</f>
        <v>The All-American Rejects</v>
      </c>
      <c r="I1418" s="6" t="str">
        <f aca="false">IF(F1418=0,"NOT FOUND",INDEX('All Song Rankings'!$D:$D,F1418))</f>
        <v>Nicole</v>
      </c>
      <c r="J1418" s="7" t="str">
        <f aca="false">IF(F1418=0,"NOT FOUND",IF(C1418=I1418,"SELF-VOTE",IF(COUNTIF($K:$K,K1418)&gt;1,"DUPLICATE","OK")))</f>
        <v>OK</v>
      </c>
      <c r="K1418" s="6" t="str">
        <f aca="false">A1418&amp;"|"&amp;B1418&amp;"|"&amp;C1418&amp;"|"&amp;D1418</f>
        <v>3|3|Leah|spotify:track:6ihL9TjfRjadfEePzXXyVF</v>
      </c>
    </row>
    <row r="1419" customFormat="false" ht="15" hidden="false" customHeight="false" outlineLevel="0" collapsed="false">
      <c r="A1419" s="5" t="n">
        <v>3</v>
      </c>
      <c r="B1419" s="5" t="n">
        <v>3</v>
      </c>
      <c r="C1419" s="5" t="s">
        <v>119</v>
      </c>
      <c r="D1419" s="5" t="s">
        <v>782</v>
      </c>
      <c r="E1419" s="5" t="n">
        <v>1</v>
      </c>
      <c r="F1419" s="6" t="n">
        <f aca="false">IFERROR(MATCH(A1419&amp;"|"&amp;B1419&amp;"|"&amp;D1419,'All Song Rankings'!$T:$T,0),0)</f>
        <v>227</v>
      </c>
      <c r="G1419" s="6" t="str">
        <f aca="false">IF(F1419=0,"NOT FOUND",INDEX('All Song Rankings'!$A:$A,F1419))</f>
        <v>hot girl bummer</v>
      </c>
      <c r="H1419" s="6" t="str">
        <f aca="false">IF(F1419=0,"NOT FOUND",INDEX('All Song Rankings'!$B:$B,F1419))</f>
        <v>blackbear</v>
      </c>
      <c r="I1419" s="6" t="str">
        <f aca="false">IF(F1419=0,"NOT FOUND",INDEX('All Song Rankings'!$D:$D,F1419))</f>
        <v>Makenzie</v>
      </c>
      <c r="J1419" s="7" t="str">
        <f aca="false">IF(F1419=0,"NOT FOUND",IF(C1419=I1419,"SELF-VOTE",IF(COUNTIF($K:$K,K1419)&gt;1,"DUPLICATE","OK")))</f>
        <v>OK</v>
      </c>
      <c r="K1419" s="6" t="str">
        <f aca="false">A1419&amp;"|"&amp;B1419&amp;"|"&amp;C1419&amp;"|"&amp;D1419</f>
        <v>3|3|Leah|spotify:track:6jRq8gaZhMUyy5RclRPcAf</v>
      </c>
    </row>
    <row r="1420" customFormat="false" ht="15" hidden="false" customHeight="false" outlineLevel="0" collapsed="false">
      <c r="A1420" s="5" t="n">
        <v>3</v>
      </c>
      <c r="B1420" s="5" t="n">
        <v>3</v>
      </c>
      <c r="C1420" s="5" t="s">
        <v>119</v>
      </c>
      <c r="D1420" s="5" t="s">
        <v>790</v>
      </c>
      <c r="E1420" s="5" t="n">
        <v>1</v>
      </c>
      <c r="F1420" s="6" t="n">
        <f aca="false">IFERROR(MATCH(A1420&amp;"|"&amp;B1420&amp;"|"&amp;D1420,'All Song Rankings'!$T:$T,0),0)</f>
        <v>230</v>
      </c>
      <c r="G1420" s="6" t="str">
        <f aca="false">IF(F1420=0,"NOT FOUND",INDEX('All Song Rankings'!$A:$A,F1420))</f>
        <v>Karma</v>
      </c>
      <c r="H1420" s="6" t="str">
        <f aca="false">IF(F1420=0,"NOT FOUND",INDEX('All Song Rankings'!$B:$B,F1420))</f>
        <v>MOD SUN</v>
      </c>
      <c r="I1420" s="6" t="str">
        <f aca="false">IF(F1420=0,"NOT FOUND",INDEX('All Song Rankings'!$D:$D,F1420))</f>
        <v>Scott</v>
      </c>
      <c r="J1420" s="7" t="str">
        <f aca="false">IF(F1420=0,"NOT FOUND",IF(C1420=I1420,"SELF-VOTE",IF(COUNTIF($K:$K,K1420)&gt;1,"DUPLICATE","OK")))</f>
        <v>OK</v>
      </c>
      <c r="K1420" s="6" t="str">
        <f aca="false">A1420&amp;"|"&amp;B1420&amp;"|"&amp;C1420&amp;"|"&amp;D1420</f>
        <v>3|3|Leah|spotify:track:7vXtuHrqgzQi58ihUO7L2d</v>
      </c>
    </row>
    <row r="1421" customFormat="false" ht="15" hidden="false" customHeight="false" outlineLevel="0" collapsed="false">
      <c r="A1421" s="5" t="n">
        <v>3</v>
      </c>
      <c r="B1421" s="5" t="n">
        <v>3</v>
      </c>
      <c r="C1421" s="5" t="s">
        <v>705</v>
      </c>
      <c r="D1421" s="5" t="s">
        <v>773</v>
      </c>
      <c r="E1421" s="5" t="n">
        <v>2</v>
      </c>
      <c r="F1421" s="6" t="n">
        <f aca="false">IFERROR(MATCH(A1421&amp;"|"&amp;B1421&amp;"|"&amp;D1421,'All Song Rankings'!$T:$T,0),0)</f>
        <v>224</v>
      </c>
      <c r="G1421" s="6" t="str">
        <f aca="false">IF(F1421=0,"NOT FOUND",INDEX('All Song Rankings'!$A:$A,F1421))</f>
        <v>Amnesia</v>
      </c>
      <c r="H1421" s="6" t="str">
        <f aca="false">IF(F1421=0,"NOT FOUND",INDEX('All Song Rankings'!$B:$B,F1421))</f>
        <v>5 Seconds of Summer</v>
      </c>
      <c r="I1421" s="6" t="str">
        <f aca="false">IF(F1421=0,"NOT FOUND",INDEX('All Song Rankings'!$D:$D,F1421))</f>
        <v>Colleen</v>
      </c>
      <c r="J1421" s="7" t="str">
        <f aca="false">IF(F1421=0,"NOT FOUND",IF(C1421=I1421,"SELF-VOTE",IF(COUNTIF($K:$K,K1421)&gt;1,"DUPLICATE","OK")))</f>
        <v>OK</v>
      </c>
      <c r="K1421" s="6" t="str">
        <f aca="false">A1421&amp;"|"&amp;B1421&amp;"|"&amp;C1421&amp;"|"&amp;D1421</f>
        <v>3|3|Lisa|spotify:track:1JCCdiru7fhstOIF4N7WJC</v>
      </c>
    </row>
    <row r="1422" customFormat="false" ht="15" hidden="false" customHeight="false" outlineLevel="0" collapsed="false">
      <c r="A1422" s="5" t="n">
        <v>3</v>
      </c>
      <c r="B1422" s="5" t="n">
        <v>3</v>
      </c>
      <c r="C1422" s="5" t="s">
        <v>705</v>
      </c>
      <c r="D1422" s="5" t="s">
        <v>771</v>
      </c>
      <c r="E1422" s="5" t="n">
        <v>1</v>
      </c>
      <c r="F1422" s="6" t="n">
        <f aca="false">IFERROR(MATCH(A1422&amp;"|"&amp;B1422&amp;"|"&amp;D1422,'All Song Rankings'!$T:$T,0),0)</f>
        <v>223</v>
      </c>
      <c r="G1422" s="6" t="str">
        <f aca="false">IF(F1422=0,"NOT FOUND",INDEX('All Song Rankings'!$A:$A,F1422))</f>
        <v>Part of Me</v>
      </c>
      <c r="H1422" s="6" t="str">
        <f aca="false">IF(F1422=0,"NOT FOUND",INDEX('All Song Rankings'!$B:$B,F1422))</f>
        <v>Noah Kahan</v>
      </c>
      <c r="I1422" s="6" t="str">
        <f aca="false">IF(F1422=0,"NOT FOUND",INDEX('All Song Rankings'!$D:$D,F1422))</f>
        <v>Leah</v>
      </c>
      <c r="J1422" s="7" t="str">
        <f aca="false">IF(F1422=0,"NOT FOUND",IF(C1422=I1422,"SELF-VOTE",IF(COUNTIF($K:$K,K1422)&gt;1,"DUPLICATE","OK")))</f>
        <v>OK</v>
      </c>
      <c r="K1422" s="6" t="str">
        <f aca="false">A1422&amp;"|"&amp;B1422&amp;"|"&amp;C1422&amp;"|"&amp;D1422</f>
        <v>3|3|Lisa|spotify:track:1o5WgxPWvoVgo20DQItKOE</v>
      </c>
    </row>
    <row r="1423" customFormat="false" ht="15" hidden="false" customHeight="false" outlineLevel="0" collapsed="false">
      <c r="A1423" s="5" t="n">
        <v>3</v>
      </c>
      <c r="B1423" s="5" t="n">
        <v>3</v>
      </c>
      <c r="C1423" s="5" t="s">
        <v>705</v>
      </c>
      <c r="D1423" s="5" t="s">
        <v>787</v>
      </c>
      <c r="E1423" s="5" t="n">
        <v>1</v>
      </c>
      <c r="F1423" s="6" t="n">
        <f aca="false">IFERROR(MATCH(A1423&amp;"|"&amp;B1423&amp;"|"&amp;D1423,'All Song Rankings'!$T:$T,0),0)</f>
        <v>229</v>
      </c>
      <c r="G1423" s="6" t="str">
        <f aca="false">IF(F1423=0,"NOT FOUND",INDEX('All Song Rankings'!$A:$A,F1423))</f>
        <v>Half A Man</v>
      </c>
      <c r="H1423" s="6" t="str">
        <f aca="false">IF(F1423=0,"NOT FOUND",INDEX('All Song Rankings'!$B:$B,F1423))</f>
        <v>Dean Lewis</v>
      </c>
      <c r="I1423" s="6" t="str">
        <f aca="false">IF(F1423=0,"NOT FOUND",INDEX('All Song Rankings'!$D:$D,F1423))</f>
        <v>Kristen</v>
      </c>
      <c r="J1423" s="7" t="str">
        <f aca="false">IF(F1423=0,"NOT FOUND",IF(C1423=I1423,"SELF-VOTE",IF(COUNTIF($K:$K,K1423)&gt;1,"DUPLICATE","OK")))</f>
        <v>OK</v>
      </c>
      <c r="K1423" s="6" t="str">
        <f aca="false">A1423&amp;"|"&amp;B1423&amp;"|"&amp;C1423&amp;"|"&amp;D1423</f>
        <v>3|3|Lisa|spotify:track:1ugQtcwmKOXvKAYzhjncmv</v>
      </c>
    </row>
    <row r="1424" customFormat="false" ht="15" hidden="false" customHeight="false" outlineLevel="0" collapsed="false">
      <c r="A1424" s="5" t="n">
        <v>3</v>
      </c>
      <c r="B1424" s="5" t="n">
        <v>3</v>
      </c>
      <c r="C1424" s="5" t="s">
        <v>705</v>
      </c>
      <c r="D1424" s="5" t="s">
        <v>793</v>
      </c>
      <c r="E1424" s="5" t="n">
        <v>1</v>
      </c>
      <c r="F1424" s="6" t="n">
        <f aca="false">IFERROR(MATCH(A1424&amp;"|"&amp;B1424&amp;"|"&amp;D1424,'All Song Rankings'!$T:$T,0),0)</f>
        <v>231</v>
      </c>
      <c r="G1424" s="6" t="str">
        <f aca="false">IF(F1424=0,"NOT FOUND",INDEX('All Song Rankings'!$A:$A,F1424))</f>
        <v>Glimpse of Us</v>
      </c>
      <c r="H1424" s="6" t="str">
        <f aca="false">IF(F1424=0,"NOT FOUND",INDEX('All Song Rankings'!$B:$B,F1424))</f>
        <v>Joji</v>
      </c>
      <c r="I1424" s="6" t="str">
        <f aca="false">IF(F1424=0,"NOT FOUND",INDEX('All Song Rankings'!$D:$D,F1424))</f>
        <v>Merita</v>
      </c>
      <c r="J1424" s="7" t="str">
        <f aca="false">IF(F1424=0,"NOT FOUND",IF(C1424=I1424,"SELF-VOTE",IF(COUNTIF($K:$K,K1424)&gt;1,"DUPLICATE","OK")))</f>
        <v>OK</v>
      </c>
      <c r="K1424" s="6" t="str">
        <f aca="false">A1424&amp;"|"&amp;B1424&amp;"|"&amp;C1424&amp;"|"&amp;D1424</f>
        <v>3|3|Lisa|spotify:track:3aBGKDiAAvH2H7HLOyQ4US</v>
      </c>
    </row>
    <row r="1425" customFormat="false" ht="15" hidden="false" customHeight="false" outlineLevel="0" collapsed="false">
      <c r="A1425" s="5" t="n">
        <v>3</v>
      </c>
      <c r="B1425" s="5" t="n">
        <v>3</v>
      </c>
      <c r="C1425" s="5" t="s">
        <v>705</v>
      </c>
      <c r="D1425" s="5" t="s">
        <v>796</v>
      </c>
      <c r="E1425" s="5" t="n">
        <v>2</v>
      </c>
      <c r="F1425" s="6" t="n">
        <f aca="false">IFERROR(MATCH(A1425&amp;"|"&amp;B1425&amp;"|"&amp;D1425,'All Song Rankings'!$T:$T,0),0)</f>
        <v>232</v>
      </c>
      <c r="G1425" s="6" t="str">
        <f aca="false">IF(F1425=0,"NOT FOUND",INDEX('All Song Rankings'!$A:$A,F1425))</f>
        <v>Poison &amp; Wine</v>
      </c>
      <c r="H1425" s="6" t="str">
        <f aca="false">IF(F1425=0,"NOT FOUND",INDEX('All Song Rankings'!$B:$B,F1425))</f>
        <v>The Civil Wars</v>
      </c>
      <c r="I1425" s="6" t="str">
        <f aca="false">IF(F1425=0,"NOT FOUND",INDEX('All Song Rankings'!$D:$D,F1425))</f>
        <v>Matt</v>
      </c>
      <c r="J1425" s="7" t="str">
        <f aca="false">IF(F1425=0,"NOT FOUND",IF(C1425=I1425,"SELF-VOTE",IF(COUNTIF($K:$K,K1425)&gt;1,"DUPLICATE","OK")))</f>
        <v>OK</v>
      </c>
      <c r="K1425" s="6" t="str">
        <f aca="false">A1425&amp;"|"&amp;B1425&amp;"|"&amp;C1425&amp;"|"&amp;D1425</f>
        <v>3|3|Lisa|spotify:track:4BFudy2Zbryi9a1KFad66B</v>
      </c>
    </row>
    <row r="1426" customFormat="false" ht="15" hidden="false" customHeight="false" outlineLevel="0" collapsed="false">
      <c r="A1426" s="5" t="n">
        <v>3</v>
      </c>
      <c r="B1426" s="5" t="n">
        <v>3</v>
      </c>
      <c r="C1426" s="5" t="s">
        <v>705</v>
      </c>
      <c r="D1426" s="5" t="s">
        <v>596</v>
      </c>
      <c r="E1426" s="5" t="n">
        <v>1</v>
      </c>
      <c r="F1426" s="6" t="n">
        <f aca="false">IFERROR(MATCH(A1426&amp;"|"&amp;B1426&amp;"|"&amp;D1426,'All Song Rankings'!$T:$T,0),0)</f>
        <v>235</v>
      </c>
      <c r="G1426" s="6" t="str">
        <f aca="false">IF(F1426=0,"NOT FOUND",INDEX('All Song Rankings'!$A:$A,F1426))</f>
        <v>Somebody That I Used To Know</v>
      </c>
      <c r="H1426" s="6" t="str">
        <f aca="false">IF(F1426=0,"NOT FOUND",INDEX('All Song Rankings'!$B:$B,F1426))</f>
        <v>Gotye, Kimbra</v>
      </c>
      <c r="I1426" s="6" t="str">
        <f aca="false">IF(F1426=0,"NOT FOUND",INDEX('All Song Rankings'!$D:$D,F1426))</f>
        <v>Grace</v>
      </c>
      <c r="J1426" s="7" t="str">
        <f aca="false">IF(F1426=0,"NOT FOUND",IF(C1426=I1426,"SELF-VOTE",IF(COUNTIF($K:$K,K1426)&gt;1,"DUPLICATE","OK")))</f>
        <v>OK</v>
      </c>
      <c r="K1426" s="6" t="str">
        <f aca="false">A1426&amp;"|"&amp;B1426&amp;"|"&amp;C1426&amp;"|"&amp;D1426</f>
        <v>3|3|Lisa|spotify:track:4wCmqSrbyCgxEXROQE6vtV</v>
      </c>
    </row>
    <row r="1427" customFormat="false" ht="15" hidden="false" customHeight="false" outlineLevel="0" collapsed="false">
      <c r="A1427" s="5" t="n">
        <v>3</v>
      </c>
      <c r="B1427" s="5" t="n">
        <v>3</v>
      </c>
      <c r="C1427" s="5" t="s">
        <v>705</v>
      </c>
      <c r="D1427" s="5" t="s">
        <v>290</v>
      </c>
      <c r="E1427" s="5" t="n">
        <v>1</v>
      </c>
      <c r="F1427" s="6" t="n">
        <f aca="false">IFERROR(MATCH(A1427&amp;"|"&amp;B1427&amp;"|"&amp;D1427,'All Song Rankings'!$T:$T,0),0)</f>
        <v>237</v>
      </c>
      <c r="G1427" s="6" t="str">
        <f aca="false">IF(F1427=0,"NOT FOUND",INDEX('All Song Rankings'!$A:$A,F1427))</f>
        <v>drivers license</v>
      </c>
      <c r="H1427" s="6" t="str">
        <f aca="false">IF(F1427=0,"NOT FOUND",INDEX('All Song Rankings'!$B:$B,F1427))</f>
        <v>Olivia Rodrigo</v>
      </c>
      <c r="I1427" s="6" t="str">
        <f aca="false">IF(F1427=0,"NOT FOUND",INDEX('All Song Rankings'!$D:$D,F1427))</f>
        <v>Aubrey</v>
      </c>
      <c r="J1427" s="7" t="str">
        <f aca="false">IF(F1427=0,"NOT FOUND",IF(C1427=I1427,"SELF-VOTE",IF(COUNTIF($K:$K,K1427)&gt;1,"DUPLICATE","OK")))</f>
        <v>OK</v>
      </c>
      <c r="K1427" s="6" t="str">
        <f aca="false">A1427&amp;"|"&amp;B1427&amp;"|"&amp;C1427&amp;"|"&amp;D1427</f>
        <v>3|3|Lisa|spotify:track:5wANPM4fQCJwkGd4rN57mH</v>
      </c>
    </row>
    <row r="1428" customFormat="false" ht="15" hidden="false" customHeight="false" outlineLevel="0" collapsed="false">
      <c r="A1428" s="5" t="n">
        <v>3</v>
      </c>
      <c r="B1428" s="5" t="n">
        <v>3</v>
      </c>
      <c r="C1428" s="5" t="s">
        <v>705</v>
      </c>
      <c r="D1428" s="5" t="s">
        <v>776</v>
      </c>
      <c r="E1428" s="5" t="n">
        <v>1</v>
      </c>
      <c r="F1428" s="6" t="n">
        <f aca="false">IFERROR(MATCH(A1428&amp;"|"&amp;B1428&amp;"|"&amp;D1428,'All Song Rankings'!$T:$T,0),0)</f>
        <v>225</v>
      </c>
      <c r="G1428" s="6" t="str">
        <f aca="false">IF(F1428=0,"NOT FOUND",INDEX('All Song Rankings'!$A:$A,F1428))</f>
        <v>Gives You Hell</v>
      </c>
      <c r="H1428" s="6" t="str">
        <f aca="false">IF(F1428=0,"NOT FOUND",INDEX('All Song Rankings'!$B:$B,F1428))</f>
        <v>The All-American Rejects</v>
      </c>
      <c r="I1428" s="6" t="str">
        <f aca="false">IF(F1428=0,"NOT FOUND",INDEX('All Song Rankings'!$D:$D,F1428))</f>
        <v>Nicole</v>
      </c>
      <c r="J1428" s="7" t="str">
        <f aca="false">IF(F1428=0,"NOT FOUND",IF(C1428=I1428,"SELF-VOTE",IF(COUNTIF($K:$K,K1428)&gt;1,"DUPLICATE","OK")))</f>
        <v>OK</v>
      </c>
      <c r="K1428" s="6" t="str">
        <f aca="false">A1428&amp;"|"&amp;B1428&amp;"|"&amp;C1428&amp;"|"&amp;D1428</f>
        <v>3|3|Lisa|spotify:track:6ihL9TjfRjadfEePzXXyVF</v>
      </c>
    </row>
    <row r="1429" customFormat="false" ht="15" hidden="false" customHeight="false" outlineLevel="0" collapsed="false">
      <c r="A1429" s="5" t="n">
        <v>3</v>
      </c>
      <c r="B1429" s="5" t="n">
        <v>3</v>
      </c>
      <c r="C1429" s="5" t="s">
        <v>128</v>
      </c>
      <c r="D1429" s="5" t="s">
        <v>773</v>
      </c>
      <c r="E1429" s="5" t="n">
        <v>1</v>
      </c>
      <c r="F1429" s="6" t="n">
        <f aca="false">IFERROR(MATCH(A1429&amp;"|"&amp;B1429&amp;"|"&amp;D1429,'All Song Rankings'!$T:$T,0),0)</f>
        <v>224</v>
      </c>
      <c r="G1429" s="6" t="str">
        <f aca="false">IF(F1429=0,"NOT FOUND",INDEX('All Song Rankings'!$A:$A,F1429))</f>
        <v>Amnesia</v>
      </c>
      <c r="H1429" s="6" t="str">
        <f aca="false">IF(F1429=0,"NOT FOUND",INDEX('All Song Rankings'!$B:$B,F1429))</f>
        <v>5 Seconds of Summer</v>
      </c>
      <c r="I1429" s="6" t="str">
        <f aca="false">IF(F1429=0,"NOT FOUND",INDEX('All Song Rankings'!$D:$D,F1429))</f>
        <v>Colleen</v>
      </c>
      <c r="J1429" s="7" t="str">
        <f aca="false">IF(F1429=0,"NOT FOUND",IF(C1429=I1429,"SELF-VOTE",IF(COUNTIF($K:$K,K1429)&gt;1,"DUPLICATE","OK")))</f>
        <v>OK</v>
      </c>
      <c r="K1429" s="6" t="str">
        <f aca="false">A1429&amp;"|"&amp;B1429&amp;"|"&amp;C1429&amp;"|"&amp;D1429</f>
        <v>3|3|Logan|spotify:track:1JCCdiru7fhstOIF4N7WJC</v>
      </c>
    </row>
    <row r="1430" customFormat="false" ht="15" hidden="false" customHeight="false" outlineLevel="0" collapsed="false">
      <c r="A1430" s="5" t="n">
        <v>3</v>
      </c>
      <c r="B1430" s="5" t="n">
        <v>3</v>
      </c>
      <c r="C1430" s="5" t="s">
        <v>128</v>
      </c>
      <c r="D1430" s="5" t="s">
        <v>771</v>
      </c>
      <c r="E1430" s="5" t="n">
        <v>2</v>
      </c>
      <c r="F1430" s="6" t="n">
        <f aca="false">IFERROR(MATCH(A1430&amp;"|"&amp;B1430&amp;"|"&amp;D1430,'All Song Rankings'!$T:$T,0),0)</f>
        <v>223</v>
      </c>
      <c r="G1430" s="6" t="str">
        <f aca="false">IF(F1430=0,"NOT FOUND",INDEX('All Song Rankings'!$A:$A,F1430))</f>
        <v>Part of Me</v>
      </c>
      <c r="H1430" s="6" t="str">
        <f aca="false">IF(F1430=0,"NOT FOUND",INDEX('All Song Rankings'!$B:$B,F1430))</f>
        <v>Noah Kahan</v>
      </c>
      <c r="I1430" s="6" t="str">
        <f aca="false">IF(F1430=0,"NOT FOUND",INDEX('All Song Rankings'!$D:$D,F1430))</f>
        <v>Leah</v>
      </c>
      <c r="J1430" s="7" t="str">
        <f aca="false">IF(F1430=0,"NOT FOUND",IF(C1430=I1430,"SELF-VOTE",IF(COUNTIF($K:$K,K1430)&gt;1,"DUPLICATE","OK")))</f>
        <v>OK</v>
      </c>
      <c r="K1430" s="6" t="str">
        <f aca="false">A1430&amp;"|"&amp;B1430&amp;"|"&amp;C1430&amp;"|"&amp;D1430</f>
        <v>3|3|Logan|spotify:track:1o5WgxPWvoVgo20DQItKOE</v>
      </c>
    </row>
    <row r="1431" customFormat="false" ht="15" hidden="false" customHeight="false" outlineLevel="0" collapsed="false">
      <c r="A1431" s="5" t="n">
        <v>3</v>
      </c>
      <c r="B1431" s="5" t="n">
        <v>3</v>
      </c>
      <c r="C1431" s="5" t="s">
        <v>128</v>
      </c>
      <c r="D1431" s="5" t="s">
        <v>798</v>
      </c>
      <c r="E1431" s="5" t="n">
        <v>1</v>
      </c>
      <c r="F1431" s="6" t="n">
        <f aca="false">IFERROR(MATCH(A1431&amp;"|"&amp;B1431&amp;"|"&amp;D1431,'All Song Rankings'!$T:$T,0),0)</f>
        <v>233</v>
      </c>
      <c r="G1431" s="6" t="str">
        <f aca="false">IF(F1431=0,"NOT FOUND",INDEX('All Song Rankings'!$A:$A,F1431))</f>
        <v>thank u, next</v>
      </c>
      <c r="H1431" s="6" t="str">
        <f aca="false">IF(F1431=0,"NOT FOUND",INDEX('All Song Rankings'!$B:$B,F1431))</f>
        <v>Ariana Grande</v>
      </c>
      <c r="I1431" s="6" t="str">
        <f aca="false">IF(F1431=0,"NOT FOUND",INDEX('All Song Rankings'!$D:$D,F1431))</f>
        <v>Kelsey</v>
      </c>
      <c r="J1431" s="7" t="str">
        <f aca="false">IF(F1431=0,"NOT FOUND",IF(C1431=I1431,"SELF-VOTE",IF(COUNTIF($K:$K,K1431)&gt;1,"DUPLICATE","OK")))</f>
        <v>OK</v>
      </c>
      <c r="K1431" s="6" t="str">
        <f aca="false">A1431&amp;"|"&amp;B1431&amp;"|"&amp;C1431&amp;"|"&amp;D1431</f>
        <v>3|3|Logan|spotify:track:3e9HZxeyfWwjeyPAMmWSSQ</v>
      </c>
    </row>
    <row r="1432" customFormat="false" ht="15" hidden="false" customHeight="false" outlineLevel="0" collapsed="false">
      <c r="A1432" s="5" t="n">
        <v>3</v>
      </c>
      <c r="B1432" s="5" t="n">
        <v>3</v>
      </c>
      <c r="C1432" s="5" t="s">
        <v>128</v>
      </c>
      <c r="D1432" s="5" t="s">
        <v>779</v>
      </c>
      <c r="E1432" s="5" t="n">
        <v>3</v>
      </c>
      <c r="F1432" s="6" t="n">
        <f aca="false">IFERROR(MATCH(A1432&amp;"|"&amp;B1432&amp;"|"&amp;D1432,'All Song Rankings'!$T:$T,0),0)</f>
        <v>226</v>
      </c>
      <c r="G1432" s="6" t="str">
        <f aca="false">IF(F1432=0,"NOT FOUND",INDEX('All Song Rankings'!$A:$A,F1432))</f>
        <v>The Winner Takes It All</v>
      </c>
      <c r="H1432" s="6" t="str">
        <f aca="false">IF(F1432=0,"NOT FOUND",INDEX('All Song Rankings'!$B:$B,F1432))</f>
        <v>ABBA</v>
      </c>
      <c r="I1432" s="6" t="str">
        <f aca="false">IF(F1432=0,"NOT FOUND",INDEX('All Song Rankings'!$D:$D,F1432))</f>
        <v>Lisa</v>
      </c>
      <c r="J1432" s="7" t="str">
        <f aca="false">IF(F1432=0,"NOT FOUND",IF(C1432=I1432,"SELF-VOTE",IF(COUNTIF($K:$K,K1432)&gt;1,"DUPLICATE","OK")))</f>
        <v>OK</v>
      </c>
      <c r="K1432" s="6" t="str">
        <f aca="false">A1432&amp;"|"&amp;B1432&amp;"|"&amp;C1432&amp;"|"&amp;D1432</f>
        <v>3|3|Logan|spotify:track:3oEkrIfXfSh9zGnE7eBzSV</v>
      </c>
    </row>
    <row r="1433" customFormat="false" ht="15" hidden="false" customHeight="false" outlineLevel="0" collapsed="false">
      <c r="A1433" s="5" t="n">
        <v>3</v>
      </c>
      <c r="B1433" s="5" t="n">
        <v>3</v>
      </c>
      <c r="C1433" s="5" t="s">
        <v>128</v>
      </c>
      <c r="D1433" s="5" t="s">
        <v>596</v>
      </c>
      <c r="E1433" s="5" t="n">
        <v>1</v>
      </c>
      <c r="F1433" s="6" t="n">
        <f aca="false">IFERROR(MATCH(A1433&amp;"|"&amp;B1433&amp;"|"&amp;D1433,'All Song Rankings'!$T:$T,0),0)</f>
        <v>235</v>
      </c>
      <c r="G1433" s="6" t="str">
        <f aca="false">IF(F1433=0,"NOT FOUND",INDEX('All Song Rankings'!$A:$A,F1433))</f>
        <v>Somebody That I Used To Know</v>
      </c>
      <c r="H1433" s="6" t="str">
        <f aca="false">IF(F1433=0,"NOT FOUND",INDEX('All Song Rankings'!$B:$B,F1433))</f>
        <v>Gotye, Kimbra</v>
      </c>
      <c r="I1433" s="6" t="str">
        <f aca="false">IF(F1433=0,"NOT FOUND",INDEX('All Song Rankings'!$D:$D,F1433))</f>
        <v>Grace</v>
      </c>
      <c r="J1433" s="7" t="str">
        <f aca="false">IF(F1433=0,"NOT FOUND",IF(C1433=I1433,"SELF-VOTE",IF(COUNTIF($K:$K,K1433)&gt;1,"DUPLICATE","OK")))</f>
        <v>OK</v>
      </c>
      <c r="K1433" s="6" t="str">
        <f aca="false">A1433&amp;"|"&amp;B1433&amp;"|"&amp;C1433&amp;"|"&amp;D1433</f>
        <v>3|3|Logan|spotify:track:4wCmqSrbyCgxEXROQE6vtV</v>
      </c>
    </row>
    <row r="1434" customFormat="false" ht="15" hidden="false" customHeight="false" outlineLevel="0" collapsed="false">
      <c r="A1434" s="5" t="n">
        <v>3</v>
      </c>
      <c r="B1434" s="5" t="n">
        <v>3</v>
      </c>
      <c r="C1434" s="5" t="s">
        <v>128</v>
      </c>
      <c r="D1434" s="5" t="s">
        <v>782</v>
      </c>
      <c r="E1434" s="5" t="n">
        <v>1</v>
      </c>
      <c r="F1434" s="6" t="n">
        <f aca="false">IFERROR(MATCH(A1434&amp;"|"&amp;B1434&amp;"|"&amp;D1434,'All Song Rankings'!$T:$T,0),0)</f>
        <v>227</v>
      </c>
      <c r="G1434" s="6" t="str">
        <f aca="false">IF(F1434=0,"NOT FOUND",INDEX('All Song Rankings'!$A:$A,F1434))</f>
        <v>hot girl bummer</v>
      </c>
      <c r="H1434" s="6" t="str">
        <f aca="false">IF(F1434=0,"NOT FOUND",INDEX('All Song Rankings'!$B:$B,F1434))</f>
        <v>blackbear</v>
      </c>
      <c r="I1434" s="6" t="str">
        <f aca="false">IF(F1434=0,"NOT FOUND",INDEX('All Song Rankings'!$D:$D,F1434))</f>
        <v>Makenzie</v>
      </c>
      <c r="J1434" s="7" t="str">
        <f aca="false">IF(F1434=0,"NOT FOUND",IF(C1434=I1434,"SELF-VOTE",IF(COUNTIF($K:$K,K1434)&gt;1,"DUPLICATE","OK")))</f>
        <v>OK</v>
      </c>
      <c r="K1434" s="6" t="str">
        <f aca="false">A1434&amp;"|"&amp;B1434&amp;"|"&amp;C1434&amp;"|"&amp;D1434</f>
        <v>3|3|Logan|spotify:track:6jRq8gaZhMUyy5RclRPcAf</v>
      </c>
    </row>
    <row r="1435" customFormat="false" ht="15" hidden="false" customHeight="false" outlineLevel="0" collapsed="false">
      <c r="A1435" s="5" t="n">
        <v>3</v>
      </c>
      <c r="B1435" s="5" t="n">
        <v>3</v>
      </c>
      <c r="C1435" s="5" t="s">
        <v>128</v>
      </c>
      <c r="D1435" s="5" t="s">
        <v>790</v>
      </c>
      <c r="E1435" s="5" t="n">
        <v>1</v>
      </c>
      <c r="F1435" s="6" t="n">
        <f aca="false">IFERROR(MATCH(A1435&amp;"|"&amp;B1435&amp;"|"&amp;D1435,'All Song Rankings'!$T:$T,0),0)</f>
        <v>230</v>
      </c>
      <c r="G1435" s="6" t="str">
        <f aca="false">IF(F1435=0,"NOT FOUND",INDEX('All Song Rankings'!$A:$A,F1435))</f>
        <v>Karma</v>
      </c>
      <c r="H1435" s="6" t="str">
        <f aca="false">IF(F1435=0,"NOT FOUND",INDEX('All Song Rankings'!$B:$B,F1435))</f>
        <v>MOD SUN</v>
      </c>
      <c r="I1435" s="6" t="str">
        <f aca="false">IF(F1435=0,"NOT FOUND",INDEX('All Song Rankings'!$D:$D,F1435))</f>
        <v>Scott</v>
      </c>
      <c r="J1435" s="7" t="str">
        <f aca="false">IF(F1435=0,"NOT FOUND",IF(C1435=I1435,"SELF-VOTE",IF(COUNTIF($K:$K,K1435)&gt;1,"DUPLICATE","OK")))</f>
        <v>OK</v>
      </c>
      <c r="K1435" s="6" t="str">
        <f aca="false">A1435&amp;"|"&amp;B1435&amp;"|"&amp;C1435&amp;"|"&amp;D1435</f>
        <v>3|3|Logan|spotify:track:7vXtuHrqgzQi58ihUO7L2d</v>
      </c>
    </row>
    <row r="1436" customFormat="false" ht="15" hidden="false" customHeight="false" outlineLevel="0" collapsed="false">
      <c r="A1436" s="5" t="n">
        <v>3</v>
      </c>
      <c r="B1436" s="5" t="n">
        <v>3</v>
      </c>
      <c r="C1436" s="5" t="s">
        <v>395</v>
      </c>
      <c r="D1436" s="5" t="s">
        <v>771</v>
      </c>
      <c r="E1436" s="5" t="n">
        <v>2</v>
      </c>
      <c r="F1436" s="6" t="n">
        <f aca="false">IFERROR(MATCH(A1436&amp;"|"&amp;B1436&amp;"|"&amp;D1436,'All Song Rankings'!$T:$T,0),0)</f>
        <v>223</v>
      </c>
      <c r="G1436" s="6" t="str">
        <f aca="false">IF(F1436=0,"NOT FOUND",INDEX('All Song Rankings'!$A:$A,F1436))</f>
        <v>Part of Me</v>
      </c>
      <c r="H1436" s="6" t="str">
        <f aca="false">IF(F1436=0,"NOT FOUND",INDEX('All Song Rankings'!$B:$B,F1436))</f>
        <v>Noah Kahan</v>
      </c>
      <c r="I1436" s="6" t="str">
        <f aca="false">IF(F1436=0,"NOT FOUND",INDEX('All Song Rankings'!$D:$D,F1436))</f>
        <v>Leah</v>
      </c>
      <c r="J1436" s="7" t="str">
        <f aca="false">IF(F1436=0,"NOT FOUND",IF(C1436=I1436,"SELF-VOTE",IF(COUNTIF($K:$K,K1436)&gt;1,"DUPLICATE","OK")))</f>
        <v>OK</v>
      </c>
      <c r="K1436" s="6" t="str">
        <f aca="false">A1436&amp;"|"&amp;B1436&amp;"|"&amp;C1436&amp;"|"&amp;D1436</f>
        <v>3|3|Makenzie|spotify:track:1o5WgxPWvoVgo20DQItKOE</v>
      </c>
    </row>
    <row r="1437" customFormat="false" ht="15" hidden="false" customHeight="false" outlineLevel="0" collapsed="false">
      <c r="A1437" s="5" t="n">
        <v>3</v>
      </c>
      <c r="B1437" s="5" t="n">
        <v>3</v>
      </c>
      <c r="C1437" s="5" t="s">
        <v>395</v>
      </c>
      <c r="D1437" s="5" t="s">
        <v>787</v>
      </c>
      <c r="E1437" s="5" t="n">
        <v>2</v>
      </c>
      <c r="F1437" s="6" t="n">
        <f aca="false">IFERROR(MATCH(A1437&amp;"|"&amp;B1437&amp;"|"&amp;D1437,'All Song Rankings'!$T:$T,0),0)</f>
        <v>229</v>
      </c>
      <c r="G1437" s="6" t="str">
        <f aca="false">IF(F1437=0,"NOT FOUND",INDEX('All Song Rankings'!$A:$A,F1437))</f>
        <v>Half A Man</v>
      </c>
      <c r="H1437" s="6" t="str">
        <f aca="false">IF(F1437=0,"NOT FOUND",INDEX('All Song Rankings'!$B:$B,F1437))</f>
        <v>Dean Lewis</v>
      </c>
      <c r="I1437" s="6" t="str">
        <f aca="false">IF(F1437=0,"NOT FOUND",INDEX('All Song Rankings'!$D:$D,F1437))</f>
        <v>Kristen</v>
      </c>
      <c r="J1437" s="7" t="str">
        <f aca="false">IF(F1437=0,"NOT FOUND",IF(C1437=I1437,"SELF-VOTE",IF(COUNTIF($K:$K,K1437)&gt;1,"DUPLICATE","OK")))</f>
        <v>OK</v>
      </c>
      <c r="K1437" s="6" t="str">
        <f aca="false">A1437&amp;"|"&amp;B1437&amp;"|"&amp;C1437&amp;"|"&amp;D1437</f>
        <v>3|3|Makenzie|spotify:track:1ugQtcwmKOXvKAYzhjncmv</v>
      </c>
    </row>
    <row r="1438" customFormat="false" ht="15" hidden="false" customHeight="false" outlineLevel="0" collapsed="false">
      <c r="A1438" s="5" t="n">
        <v>3</v>
      </c>
      <c r="B1438" s="5" t="n">
        <v>3</v>
      </c>
      <c r="C1438" s="5" t="s">
        <v>395</v>
      </c>
      <c r="D1438" s="5" t="s">
        <v>793</v>
      </c>
      <c r="E1438" s="5" t="n">
        <v>1</v>
      </c>
      <c r="F1438" s="6" t="n">
        <f aca="false">IFERROR(MATCH(A1438&amp;"|"&amp;B1438&amp;"|"&amp;D1438,'All Song Rankings'!$T:$T,0),0)</f>
        <v>231</v>
      </c>
      <c r="G1438" s="6" t="str">
        <f aca="false">IF(F1438=0,"NOT FOUND",INDEX('All Song Rankings'!$A:$A,F1438))</f>
        <v>Glimpse of Us</v>
      </c>
      <c r="H1438" s="6" t="str">
        <f aca="false">IF(F1438=0,"NOT FOUND",INDEX('All Song Rankings'!$B:$B,F1438))</f>
        <v>Joji</v>
      </c>
      <c r="I1438" s="6" t="str">
        <f aca="false">IF(F1438=0,"NOT FOUND",INDEX('All Song Rankings'!$D:$D,F1438))</f>
        <v>Merita</v>
      </c>
      <c r="J1438" s="7" t="str">
        <f aca="false">IF(F1438=0,"NOT FOUND",IF(C1438=I1438,"SELF-VOTE",IF(COUNTIF($K:$K,K1438)&gt;1,"DUPLICATE","OK")))</f>
        <v>OK</v>
      </c>
      <c r="K1438" s="6" t="str">
        <f aca="false">A1438&amp;"|"&amp;B1438&amp;"|"&amp;C1438&amp;"|"&amp;D1438</f>
        <v>3|3|Makenzie|spotify:track:3aBGKDiAAvH2H7HLOyQ4US</v>
      </c>
    </row>
    <row r="1439" customFormat="false" ht="15" hidden="false" customHeight="false" outlineLevel="0" collapsed="false">
      <c r="A1439" s="5" t="n">
        <v>3</v>
      </c>
      <c r="B1439" s="5" t="n">
        <v>3</v>
      </c>
      <c r="C1439" s="5" t="s">
        <v>395</v>
      </c>
      <c r="D1439" s="5" t="s">
        <v>796</v>
      </c>
      <c r="E1439" s="5" t="n">
        <v>1</v>
      </c>
      <c r="F1439" s="6" t="n">
        <f aca="false">IFERROR(MATCH(A1439&amp;"|"&amp;B1439&amp;"|"&amp;D1439,'All Song Rankings'!$T:$T,0),0)</f>
        <v>232</v>
      </c>
      <c r="G1439" s="6" t="str">
        <f aca="false">IF(F1439=0,"NOT FOUND",INDEX('All Song Rankings'!$A:$A,F1439))</f>
        <v>Poison &amp; Wine</v>
      </c>
      <c r="H1439" s="6" t="str">
        <f aca="false">IF(F1439=0,"NOT FOUND",INDEX('All Song Rankings'!$B:$B,F1439))</f>
        <v>The Civil Wars</v>
      </c>
      <c r="I1439" s="6" t="str">
        <f aca="false">IF(F1439=0,"NOT FOUND",INDEX('All Song Rankings'!$D:$D,F1439))</f>
        <v>Matt</v>
      </c>
      <c r="J1439" s="7" t="str">
        <f aca="false">IF(F1439=0,"NOT FOUND",IF(C1439=I1439,"SELF-VOTE",IF(COUNTIF($K:$K,K1439)&gt;1,"DUPLICATE","OK")))</f>
        <v>OK</v>
      </c>
      <c r="K1439" s="6" t="str">
        <f aca="false">A1439&amp;"|"&amp;B1439&amp;"|"&amp;C1439&amp;"|"&amp;D1439</f>
        <v>3|3|Makenzie|spotify:track:4BFudy2Zbryi9a1KFad66B</v>
      </c>
    </row>
    <row r="1440" customFormat="false" ht="15" hidden="false" customHeight="false" outlineLevel="0" collapsed="false">
      <c r="A1440" s="5" t="n">
        <v>3</v>
      </c>
      <c r="B1440" s="5" t="n">
        <v>3</v>
      </c>
      <c r="C1440" s="5" t="s">
        <v>395</v>
      </c>
      <c r="D1440" s="5" t="s">
        <v>776</v>
      </c>
      <c r="E1440" s="5" t="n">
        <v>2</v>
      </c>
      <c r="F1440" s="6" t="n">
        <f aca="false">IFERROR(MATCH(A1440&amp;"|"&amp;B1440&amp;"|"&amp;D1440,'All Song Rankings'!$T:$T,0),0)</f>
        <v>225</v>
      </c>
      <c r="G1440" s="6" t="str">
        <f aca="false">IF(F1440=0,"NOT FOUND",INDEX('All Song Rankings'!$A:$A,F1440))</f>
        <v>Gives You Hell</v>
      </c>
      <c r="H1440" s="6" t="str">
        <f aca="false">IF(F1440=0,"NOT FOUND",INDEX('All Song Rankings'!$B:$B,F1440))</f>
        <v>The All-American Rejects</v>
      </c>
      <c r="I1440" s="6" t="str">
        <f aca="false">IF(F1440=0,"NOT FOUND",INDEX('All Song Rankings'!$D:$D,F1440))</f>
        <v>Nicole</v>
      </c>
      <c r="J1440" s="7" t="str">
        <f aca="false">IF(F1440=0,"NOT FOUND",IF(C1440=I1440,"SELF-VOTE",IF(COUNTIF($K:$K,K1440)&gt;1,"DUPLICATE","OK")))</f>
        <v>OK</v>
      </c>
      <c r="K1440" s="6" t="str">
        <f aca="false">A1440&amp;"|"&amp;B1440&amp;"|"&amp;C1440&amp;"|"&amp;D1440</f>
        <v>3|3|Makenzie|spotify:track:6ihL9TjfRjadfEePzXXyVF</v>
      </c>
    </row>
    <row r="1441" customFormat="false" ht="15" hidden="false" customHeight="false" outlineLevel="0" collapsed="false">
      <c r="A1441" s="5" t="n">
        <v>3</v>
      </c>
      <c r="B1441" s="5" t="n">
        <v>3</v>
      </c>
      <c r="C1441" s="5" t="s">
        <v>395</v>
      </c>
      <c r="D1441" s="5" t="s">
        <v>790</v>
      </c>
      <c r="E1441" s="5" t="n">
        <v>2</v>
      </c>
      <c r="F1441" s="6" t="n">
        <f aca="false">IFERROR(MATCH(A1441&amp;"|"&amp;B1441&amp;"|"&amp;D1441,'All Song Rankings'!$T:$T,0),0)</f>
        <v>230</v>
      </c>
      <c r="G1441" s="6" t="str">
        <f aca="false">IF(F1441=0,"NOT FOUND",INDEX('All Song Rankings'!$A:$A,F1441))</f>
        <v>Karma</v>
      </c>
      <c r="H1441" s="6" t="str">
        <f aca="false">IF(F1441=0,"NOT FOUND",INDEX('All Song Rankings'!$B:$B,F1441))</f>
        <v>MOD SUN</v>
      </c>
      <c r="I1441" s="6" t="str">
        <f aca="false">IF(F1441=0,"NOT FOUND",INDEX('All Song Rankings'!$D:$D,F1441))</f>
        <v>Scott</v>
      </c>
      <c r="J1441" s="7" t="str">
        <f aca="false">IF(F1441=0,"NOT FOUND",IF(C1441=I1441,"SELF-VOTE",IF(COUNTIF($K:$K,K1441)&gt;1,"DUPLICATE","OK")))</f>
        <v>OK</v>
      </c>
      <c r="K1441" s="6" t="str">
        <f aca="false">A1441&amp;"|"&amp;B1441&amp;"|"&amp;C1441&amp;"|"&amp;D1441</f>
        <v>3|3|Makenzie|spotify:track:7vXtuHrqgzQi58ihUO7L2d</v>
      </c>
    </row>
    <row r="1442" customFormat="false" ht="15" hidden="false" customHeight="false" outlineLevel="0" collapsed="false">
      <c r="A1442" s="5" t="n">
        <v>3</v>
      </c>
      <c r="B1442" s="5" t="n">
        <v>3</v>
      </c>
      <c r="C1442" s="5" t="s">
        <v>116</v>
      </c>
      <c r="D1442" s="5" t="s">
        <v>785</v>
      </c>
      <c r="E1442" s="5" t="n">
        <v>1</v>
      </c>
      <c r="F1442" s="6" t="n">
        <f aca="false">IFERROR(MATCH(A1442&amp;"|"&amp;B1442&amp;"|"&amp;D1442,'All Song Rankings'!$T:$T,0),0)</f>
        <v>228</v>
      </c>
      <c r="G1442" s="6" t="str">
        <f aca="false">IF(F1442=0,"NOT FOUND",INDEX('All Song Rankings'!$A:$A,F1442))</f>
        <v>abcdefu (angrier)</v>
      </c>
      <c r="H1442" s="6" t="str">
        <f aca="false">IF(F1442=0,"NOT FOUND",INDEX('All Song Rankings'!$B:$B,F1442))</f>
        <v>GAYLE</v>
      </c>
      <c r="I1442" s="6" t="str">
        <f aca="false">IF(F1442=0,"NOT FOUND",INDEX('All Song Rankings'!$D:$D,F1442))</f>
        <v>Logan</v>
      </c>
      <c r="J1442" s="7" t="str">
        <f aca="false">IF(F1442=0,"NOT FOUND",IF(C1442=I1442,"SELF-VOTE",IF(COUNTIF($K:$K,K1442)&gt;1,"DUPLICATE","OK")))</f>
        <v>OK</v>
      </c>
      <c r="K1442" s="6" t="str">
        <f aca="false">A1442&amp;"|"&amp;B1442&amp;"|"&amp;C1442&amp;"|"&amp;D1442</f>
        <v>3|3|Matt|spotify:track:1EQFOouqdKYdpbNoOHRVO2</v>
      </c>
    </row>
    <row r="1443" customFormat="false" ht="15" hidden="false" customHeight="false" outlineLevel="0" collapsed="false">
      <c r="A1443" s="5" t="n">
        <v>3</v>
      </c>
      <c r="B1443" s="5" t="n">
        <v>3</v>
      </c>
      <c r="C1443" s="5" t="s">
        <v>116</v>
      </c>
      <c r="D1443" s="5" t="s">
        <v>771</v>
      </c>
      <c r="E1443" s="5" t="n">
        <v>2</v>
      </c>
      <c r="F1443" s="6" t="n">
        <f aca="false">IFERROR(MATCH(A1443&amp;"|"&amp;B1443&amp;"|"&amp;D1443,'All Song Rankings'!$T:$T,0),0)</f>
        <v>223</v>
      </c>
      <c r="G1443" s="6" t="str">
        <f aca="false">IF(F1443=0,"NOT FOUND",INDEX('All Song Rankings'!$A:$A,F1443))</f>
        <v>Part of Me</v>
      </c>
      <c r="H1443" s="6" t="str">
        <f aca="false">IF(F1443=0,"NOT FOUND",INDEX('All Song Rankings'!$B:$B,F1443))</f>
        <v>Noah Kahan</v>
      </c>
      <c r="I1443" s="6" t="str">
        <f aca="false">IF(F1443=0,"NOT FOUND",INDEX('All Song Rankings'!$D:$D,F1443))</f>
        <v>Leah</v>
      </c>
      <c r="J1443" s="7" t="str">
        <f aca="false">IF(F1443=0,"NOT FOUND",IF(C1443=I1443,"SELF-VOTE",IF(COUNTIF($K:$K,K1443)&gt;1,"DUPLICATE","OK")))</f>
        <v>OK</v>
      </c>
      <c r="K1443" s="6" t="str">
        <f aca="false">A1443&amp;"|"&amp;B1443&amp;"|"&amp;C1443&amp;"|"&amp;D1443</f>
        <v>3|3|Matt|spotify:track:1o5WgxPWvoVgo20DQItKOE</v>
      </c>
    </row>
    <row r="1444" customFormat="false" ht="15" hidden="false" customHeight="false" outlineLevel="0" collapsed="false">
      <c r="A1444" s="5" t="n">
        <v>3</v>
      </c>
      <c r="B1444" s="5" t="n">
        <v>3</v>
      </c>
      <c r="C1444" s="5" t="s">
        <v>116</v>
      </c>
      <c r="D1444" s="5" t="s">
        <v>798</v>
      </c>
      <c r="E1444" s="5" t="n">
        <v>1</v>
      </c>
      <c r="F1444" s="6" t="n">
        <f aca="false">IFERROR(MATCH(A1444&amp;"|"&amp;B1444&amp;"|"&amp;D1444,'All Song Rankings'!$T:$T,0),0)</f>
        <v>233</v>
      </c>
      <c r="G1444" s="6" t="str">
        <f aca="false">IF(F1444=0,"NOT FOUND",INDEX('All Song Rankings'!$A:$A,F1444))</f>
        <v>thank u, next</v>
      </c>
      <c r="H1444" s="6" t="str">
        <f aca="false">IF(F1444=0,"NOT FOUND",INDEX('All Song Rankings'!$B:$B,F1444))</f>
        <v>Ariana Grande</v>
      </c>
      <c r="I1444" s="6" t="str">
        <f aca="false">IF(F1444=0,"NOT FOUND",INDEX('All Song Rankings'!$D:$D,F1444))</f>
        <v>Kelsey</v>
      </c>
      <c r="J1444" s="7" t="str">
        <f aca="false">IF(F1444=0,"NOT FOUND",IF(C1444=I1444,"SELF-VOTE",IF(COUNTIF($K:$K,K1444)&gt;1,"DUPLICATE","OK")))</f>
        <v>OK</v>
      </c>
      <c r="K1444" s="6" t="str">
        <f aca="false">A1444&amp;"|"&amp;B1444&amp;"|"&amp;C1444&amp;"|"&amp;D1444</f>
        <v>3|3|Matt|spotify:track:3e9HZxeyfWwjeyPAMmWSSQ</v>
      </c>
    </row>
    <row r="1445" customFormat="false" ht="15" hidden="false" customHeight="false" outlineLevel="0" collapsed="false">
      <c r="A1445" s="5" t="n">
        <v>3</v>
      </c>
      <c r="B1445" s="5" t="n">
        <v>3</v>
      </c>
      <c r="C1445" s="5" t="s">
        <v>116</v>
      </c>
      <c r="D1445" s="5" t="s">
        <v>779</v>
      </c>
      <c r="E1445" s="5" t="n">
        <v>1</v>
      </c>
      <c r="F1445" s="6" t="n">
        <f aca="false">IFERROR(MATCH(A1445&amp;"|"&amp;B1445&amp;"|"&amp;D1445,'All Song Rankings'!$T:$T,0),0)</f>
        <v>226</v>
      </c>
      <c r="G1445" s="6" t="str">
        <f aca="false">IF(F1445=0,"NOT FOUND",INDEX('All Song Rankings'!$A:$A,F1445))</f>
        <v>The Winner Takes It All</v>
      </c>
      <c r="H1445" s="6" t="str">
        <f aca="false">IF(F1445=0,"NOT FOUND",INDEX('All Song Rankings'!$B:$B,F1445))</f>
        <v>ABBA</v>
      </c>
      <c r="I1445" s="6" t="str">
        <f aca="false">IF(F1445=0,"NOT FOUND",INDEX('All Song Rankings'!$D:$D,F1445))</f>
        <v>Lisa</v>
      </c>
      <c r="J1445" s="7" t="str">
        <f aca="false">IF(F1445=0,"NOT FOUND",IF(C1445=I1445,"SELF-VOTE",IF(COUNTIF($K:$K,K1445)&gt;1,"DUPLICATE","OK")))</f>
        <v>OK</v>
      </c>
      <c r="K1445" s="6" t="str">
        <f aca="false">A1445&amp;"|"&amp;B1445&amp;"|"&amp;C1445&amp;"|"&amp;D1445</f>
        <v>3|3|Matt|spotify:track:3oEkrIfXfSh9zGnE7eBzSV</v>
      </c>
    </row>
    <row r="1446" customFormat="false" ht="15" hidden="false" customHeight="false" outlineLevel="0" collapsed="false">
      <c r="A1446" s="5" t="n">
        <v>3</v>
      </c>
      <c r="B1446" s="5" t="n">
        <v>3</v>
      </c>
      <c r="C1446" s="5" t="s">
        <v>116</v>
      </c>
      <c r="D1446" s="5" t="s">
        <v>596</v>
      </c>
      <c r="E1446" s="5" t="n">
        <v>1</v>
      </c>
      <c r="F1446" s="6" t="n">
        <f aca="false">IFERROR(MATCH(A1446&amp;"|"&amp;B1446&amp;"|"&amp;D1446,'All Song Rankings'!$T:$T,0),0)</f>
        <v>235</v>
      </c>
      <c r="G1446" s="6" t="str">
        <f aca="false">IF(F1446=0,"NOT FOUND",INDEX('All Song Rankings'!$A:$A,F1446))</f>
        <v>Somebody That I Used To Know</v>
      </c>
      <c r="H1446" s="6" t="str">
        <f aca="false">IF(F1446=0,"NOT FOUND",INDEX('All Song Rankings'!$B:$B,F1446))</f>
        <v>Gotye, Kimbra</v>
      </c>
      <c r="I1446" s="6" t="str">
        <f aca="false">IF(F1446=0,"NOT FOUND",INDEX('All Song Rankings'!$D:$D,F1446))</f>
        <v>Grace</v>
      </c>
      <c r="J1446" s="7" t="str">
        <f aca="false">IF(F1446=0,"NOT FOUND",IF(C1446=I1446,"SELF-VOTE",IF(COUNTIF($K:$K,K1446)&gt;1,"DUPLICATE","OK")))</f>
        <v>OK</v>
      </c>
      <c r="K1446" s="6" t="str">
        <f aca="false">A1446&amp;"|"&amp;B1446&amp;"|"&amp;C1446&amp;"|"&amp;D1446</f>
        <v>3|3|Matt|spotify:track:4wCmqSrbyCgxEXROQE6vtV</v>
      </c>
    </row>
    <row r="1447" customFormat="false" ht="15" hidden="false" customHeight="false" outlineLevel="0" collapsed="false">
      <c r="A1447" s="5" t="n">
        <v>3</v>
      </c>
      <c r="B1447" s="5" t="n">
        <v>3</v>
      </c>
      <c r="C1447" s="5" t="s">
        <v>116</v>
      </c>
      <c r="D1447" s="5" t="s">
        <v>801</v>
      </c>
      <c r="E1447" s="5" t="n">
        <v>1</v>
      </c>
      <c r="F1447" s="6" t="n">
        <f aca="false">IFERROR(MATCH(A1447&amp;"|"&amp;B1447&amp;"|"&amp;D1447,'All Song Rankings'!$T:$T,0),0)</f>
        <v>234</v>
      </c>
      <c r="G1447" s="6" t="str">
        <f aca="false">IF(F1447=0,"NOT FOUND",INDEX('All Song Rankings'!$A:$A,F1447))</f>
        <v>Your Love Is a Lie</v>
      </c>
      <c r="H1447" s="6" t="str">
        <f aca="false">IF(F1447=0,"NOT FOUND",INDEX('All Song Rankings'!$B:$B,F1447))</f>
        <v>Simple Plan</v>
      </c>
      <c r="I1447" s="6" t="str">
        <f aca="false">IF(F1447=0,"NOT FOUND",INDEX('All Song Rankings'!$D:$D,F1447))</f>
        <v>Christine</v>
      </c>
      <c r="J1447" s="7" t="str">
        <f aca="false">IF(F1447=0,"NOT FOUND",IF(C1447=I1447,"SELF-VOTE",IF(COUNTIF($K:$K,K1447)&gt;1,"DUPLICATE","OK")))</f>
        <v>OK</v>
      </c>
      <c r="K1447" s="6" t="str">
        <f aca="false">A1447&amp;"|"&amp;B1447&amp;"|"&amp;C1447&amp;"|"&amp;D1447</f>
        <v>3|3|Matt|spotify:track:5veTPYnAviWwQ73hMVTwb5</v>
      </c>
    </row>
    <row r="1448" customFormat="false" ht="15" hidden="false" customHeight="false" outlineLevel="0" collapsed="false">
      <c r="A1448" s="5" t="n">
        <v>3</v>
      </c>
      <c r="B1448" s="5" t="n">
        <v>3</v>
      </c>
      <c r="C1448" s="5" t="s">
        <v>116</v>
      </c>
      <c r="D1448" s="5" t="s">
        <v>290</v>
      </c>
      <c r="E1448" s="5" t="n">
        <v>2</v>
      </c>
      <c r="F1448" s="6" t="n">
        <f aca="false">IFERROR(MATCH(A1448&amp;"|"&amp;B1448&amp;"|"&amp;D1448,'All Song Rankings'!$T:$T,0),0)</f>
        <v>237</v>
      </c>
      <c r="G1448" s="6" t="str">
        <f aca="false">IF(F1448=0,"NOT FOUND",INDEX('All Song Rankings'!$A:$A,F1448))</f>
        <v>drivers license</v>
      </c>
      <c r="H1448" s="6" t="str">
        <f aca="false">IF(F1448=0,"NOT FOUND",INDEX('All Song Rankings'!$B:$B,F1448))</f>
        <v>Olivia Rodrigo</v>
      </c>
      <c r="I1448" s="6" t="str">
        <f aca="false">IF(F1448=0,"NOT FOUND",INDEX('All Song Rankings'!$D:$D,F1448))</f>
        <v>Aubrey</v>
      </c>
      <c r="J1448" s="7" t="str">
        <f aca="false">IF(F1448=0,"NOT FOUND",IF(C1448=I1448,"SELF-VOTE",IF(COUNTIF($K:$K,K1448)&gt;1,"DUPLICATE","OK")))</f>
        <v>OK</v>
      </c>
      <c r="K1448" s="6" t="str">
        <f aca="false">A1448&amp;"|"&amp;B1448&amp;"|"&amp;C1448&amp;"|"&amp;D1448</f>
        <v>3|3|Matt|spotify:track:5wANPM4fQCJwkGd4rN57mH</v>
      </c>
    </row>
    <row r="1449" customFormat="false" ht="15" hidden="false" customHeight="false" outlineLevel="0" collapsed="false">
      <c r="A1449" s="5" t="n">
        <v>3</v>
      </c>
      <c r="B1449" s="5" t="n">
        <v>3</v>
      </c>
      <c r="C1449" s="5" t="s">
        <v>116</v>
      </c>
      <c r="D1449" s="5" t="s">
        <v>776</v>
      </c>
      <c r="E1449" s="5" t="n">
        <v>1</v>
      </c>
      <c r="F1449" s="6" t="n">
        <f aca="false">IFERROR(MATCH(A1449&amp;"|"&amp;B1449&amp;"|"&amp;D1449,'All Song Rankings'!$T:$T,0),0)</f>
        <v>225</v>
      </c>
      <c r="G1449" s="6" t="str">
        <f aca="false">IF(F1449=0,"NOT FOUND",INDEX('All Song Rankings'!$A:$A,F1449))</f>
        <v>Gives You Hell</v>
      </c>
      <c r="H1449" s="6" t="str">
        <f aca="false">IF(F1449=0,"NOT FOUND",INDEX('All Song Rankings'!$B:$B,F1449))</f>
        <v>The All-American Rejects</v>
      </c>
      <c r="I1449" s="6" t="str">
        <f aca="false">IF(F1449=0,"NOT FOUND",INDEX('All Song Rankings'!$D:$D,F1449))</f>
        <v>Nicole</v>
      </c>
      <c r="J1449" s="7" t="str">
        <f aca="false">IF(F1449=0,"NOT FOUND",IF(C1449=I1449,"SELF-VOTE",IF(COUNTIF($K:$K,K1449)&gt;1,"DUPLICATE","OK")))</f>
        <v>OK</v>
      </c>
      <c r="K1449" s="6" t="str">
        <f aca="false">A1449&amp;"|"&amp;B1449&amp;"|"&amp;C1449&amp;"|"&amp;D1449</f>
        <v>3|3|Matt|spotify:track:6ihL9TjfRjadfEePzXXyVF</v>
      </c>
    </row>
    <row r="1450" customFormat="false" ht="15" hidden="false" customHeight="false" outlineLevel="0" collapsed="false">
      <c r="A1450" s="5" t="n">
        <v>3</v>
      </c>
      <c r="B1450" s="5" t="n">
        <v>3</v>
      </c>
      <c r="C1450" s="5" t="s">
        <v>101</v>
      </c>
      <c r="D1450" s="5" t="s">
        <v>785</v>
      </c>
      <c r="E1450" s="5" t="n">
        <v>2</v>
      </c>
      <c r="F1450" s="6" t="n">
        <f aca="false">IFERROR(MATCH(A1450&amp;"|"&amp;B1450&amp;"|"&amp;D1450,'All Song Rankings'!$T:$T,0),0)</f>
        <v>228</v>
      </c>
      <c r="G1450" s="6" t="str">
        <f aca="false">IF(F1450=0,"NOT FOUND",INDEX('All Song Rankings'!$A:$A,F1450))</f>
        <v>abcdefu (angrier)</v>
      </c>
      <c r="H1450" s="6" t="str">
        <f aca="false">IF(F1450=0,"NOT FOUND",INDEX('All Song Rankings'!$B:$B,F1450))</f>
        <v>GAYLE</v>
      </c>
      <c r="I1450" s="6" t="str">
        <f aca="false">IF(F1450=0,"NOT FOUND",INDEX('All Song Rankings'!$D:$D,F1450))</f>
        <v>Logan</v>
      </c>
      <c r="J1450" s="7" t="str">
        <f aca="false">IF(F1450=0,"NOT FOUND",IF(C1450=I1450,"SELF-VOTE",IF(COUNTIF($K:$K,K1450)&gt;1,"DUPLICATE","OK")))</f>
        <v>OK</v>
      </c>
      <c r="K1450" s="6" t="str">
        <f aca="false">A1450&amp;"|"&amp;B1450&amp;"|"&amp;C1450&amp;"|"&amp;D1450</f>
        <v>3|3|Merita|spotify:track:1EQFOouqdKYdpbNoOHRVO2</v>
      </c>
    </row>
    <row r="1451" customFormat="false" ht="15" hidden="false" customHeight="false" outlineLevel="0" collapsed="false">
      <c r="A1451" s="5" t="n">
        <v>3</v>
      </c>
      <c r="B1451" s="5" t="n">
        <v>3</v>
      </c>
      <c r="C1451" s="5" t="s">
        <v>101</v>
      </c>
      <c r="D1451" s="5" t="s">
        <v>773</v>
      </c>
      <c r="E1451" s="5" t="n">
        <v>2</v>
      </c>
      <c r="F1451" s="6" t="n">
        <f aca="false">IFERROR(MATCH(A1451&amp;"|"&amp;B1451&amp;"|"&amp;D1451,'All Song Rankings'!$T:$T,0),0)</f>
        <v>224</v>
      </c>
      <c r="G1451" s="6" t="str">
        <f aca="false">IF(F1451=0,"NOT FOUND",INDEX('All Song Rankings'!$A:$A,F1451))</f>
        <v>Amnesia</v>
      </c>
      <c r="H1451" s="6" t="str">
        <f aca="false">IF(F1451=0,"NOT FOUND",INDEX('All Song Rankings'!$B:$B,F1451))</f>
        <v>5 Seconds of Summer</v>
      </c>
      <c r="I1451" s="6" t="str">
        <f aca="false">IF(F1451=0,"NOT FOUND",INDEX('All Song Rankings'!$D:$D,F1451))</f>
        <v>Colleen</v>
      </c>
      <c r="J1451" s="7" t="str">
        <f aca="false">IF(F1451=0,"NOT FOUND",IF(C1451=I1451,"SELF-VOTE",IF(COUNTIF($K:$K,K1451)&gt;1,"DUPLICATE","OK")))</f>
        <v>OK</v>
      </c>
      <c r="K1451" s="6" t="str">
        <f aca="false">A1451&amp;"|"&amp;B1451&amp;"|"&amp;C1451&amp;"|"&amp;D1451</f>
        <v>3|3|Merita|spotify:track:1JCCdiru7fhstOIF4N7WJC</v>
      </c>
    </row>
    <row r="1452" customFormat="false" ht="15" hidden="false" customHeight="false" outlineLevel="0" collapsed="false">
      <c r="A1452" s="5" t="n">
        <v>3</v>
      </c>
      <c r="B1452" s="5" t="n">
        <v>3</v>
      </c>
      <c r="C1452" s="5" t="s">
        <v>101</v>
      </c>
      <c r="D1452" s="5" t="s">
        <v>771</v>
      </c>
      <c r="E1452" s="5" t="n">
        <v>1</v>
      </c>
      <c r="F1452" s="6" t="n">
        <f aca="false">IFERROR(MATCH(A1452&amp;"|"&amp;B1452&amp;"|"&amp;D1452,'All Song Rankings'!$T:$T,0),0)</f>
        <v>223</v>
      </c>
      <c r="G1452" s="6" t="str">
        <f aca="false">IF(F1452=0,"NOT FOUND",INDEX('All Song Rankings'!$A:$A,F1452))</f>
        <v>Part of Me</v>
      </c>
      <c r="H1452" s="6" t="str">
        <f aca="false">IF(F1452=0,"NOT FOUND",INDEX('All Song Rankings'!$B:$B,F1452))</f>
        <v>Noah Kahan</v>
      </c>
      <c r="I1452" s="6" t="str">
        <f aca="false">IF(F1452=0,"NOT FOUND",INDEX('All Song Rankings'!$D:$D,F1452))</f>
        <v>Leah</v>
      </c>
      <c r="J1452" s="7" t="str">
        <f aca="false">IF(F1452=0,"NOT FOUND",IF(C1452=I1452,"SELF-VOTE",IF(COUNTIF($K:$K,K1452)&gt;1,"DUPLICATE","OK")))</f>
        <v>OK</v>
      </c>
      <c r="K1452" s="6" t="str">
        <f aca="false">A1452&amp;"|"&amp;B1452&amp;"|"&amp;C1452&amp;"|"&amp;D1452</f>
        <v>3|3|Merita|spotify:track:1o5WgxPWvoVgo20DQItKOE</v>
      </c>
    </row>
    <row r="1453" customFormat="false" ht="15" hidden="false" customHeight="false" outlineLevel="0" collapsed="false">
      <c r="A1453" s="5" t="n">
        <v>3</v>
      </c>
      <c r="B1453" s="5" t="n">
        <v>3</v>
      </c>
      <c r="C1453" s="5" t="s">
        <v>101</v>
      </c>
      <c r="D1453" s="5" t="s">
        <v>787</v>
      </c>
      <c r="E1453" s="5" t="n">
        <v>1</v>
      </c>
      <c r="F1453" s="6" t="n">
        <f aca="false">IFERROR(MATCH(A1453&amp;"|"&amp;B1453&amp;"|"&amp;D1453,'All Song Rankings'!$T:$T,0),0)</f>
        <v>229</v>
      </c>
      <c r="G1453" s="6" t="str">
        <f aca="false">IF(F1453=0,"NOT FOUND",INDEX('All Song Rankings'!$A:$A,F1453))</f>
        <v>Half A Man</v>
      </c>
      <c r="H1453" s="6" t="str">
        <f aca="false">IF(F1453=0,"NOT FOUND",INDEX('All Song Rankings'!$B:$B,F1453))</f>
        <v>Dean Lewis</v>
      </c>
      <c r="I1453" s="6" t="str">
        <f aca="false">IF(F1453=0,"NOT FOUND",INDEX('All Song Rankings'!$D:$D,F1453))</f>
        <v>Kristen</v>
      </c>
      <c r="J1453" s="7" t="str">
        <f aca="false">IF(F1453=0,"NOT FOUND",IF(C1453=I1453,"SELF-VOTE",IF(COUNTIF($K:$K,K1453)&gt;1,"DUPLICATE","OK")))</f>
        <v>OK</v>
      </c>
      <c r="K1453" s="6" t="str">
        <f aca="false">A1453&amp;"|"&amp;B1453&amp;"|"&amp;C1453&amp;"|"&amp;D1453</f>
        <v>3|3|Merita|spotify:track:1ugQtcwmKOXvKAYzhjncmv</v>
      </c>
    </row>
    <row r="1454" customFormat="false" ht="15" hidden="false" customHeight="false" outlineLevel="0" collapsed="false">
      <c r="A1454" s="5" t="n">
        <v>3</v>
      </c>
      <c r="B1454" s="5" t="n">
        <v>3</v>
      </c>
      <c r="C1454" s="5" t="s">
        <v>101</v>
      </c>
      <c r="D1454" s="5" t="s">
        <v>779</v>
      </c>
      <c r="E1454" s="5" t="n">
        <v>1</v>
      </c>
      <c r="F1454" s="6" t="n">
        <f aca="false">IFERROR(MATCH(A1454&amp;"|"&amp;B1454&amp;"|"&amp;D1454,'All Song Rankings'!$T:$T,0),0)</f>
        <v>226</v>
      </c>
      <c r="G1454" s="6" t="str">
        <f aca="false">IF(F1454=0,"NOT FOUND",INDEX('All Song Rankings'!$A:$A,F1454))</f>
        <v>The Winner Takes It All</v>
      </c>
      <c r="H1454" s="6" t="str">
        <f aca="false">IF(F1454=0,"NOT FOUND",INDEX('All Song Rankings'!$B:$B,F1454))</f>
        <v>ABBA</v>
      </c>
      <c r="I1454" s="6" t="str">
        <f aca="false">IF(F1454=0,"NOT FOUND",INDEX('All Song Rankings'!$D:$D,F1454))</f>
        <v>Lisa</v>
      </c>
      <c r="J1454" s="7" t="str">
        <f aca="false">IF(F1454=0,"NOT FOUND",IF(C1454=I1454,"SELF-VOTE",IF(COUNTIF($K:$K,K1454)&gt;1,"DUPLICATE","OK")))</f>
        <v>OK</v>
      </c>
      <c r="K1454" s="6" t="str">
        <f aca="false">A1454&amp;"|"&amp;B1454&amp;"|"&amp;C1454&amp;"|"&amp;D1454</f>
        <v>3|3|Merita|spotify:track:3oEkrIfXfSh9zGnE7eBzSV</v>
      </c>
    </row>
    <row r="1455" customFormat="false" ht="15" hidden="false" customHeight="false" outlineLevel="0" collapsed="false">
      <c r="A1455" s="5" t="n">
        <v>3</v>
      </c>
      <c r="B1455" s="5" t="n">
        <v>3</v>
      </c>
      <c r="C1455" s="5" t="s">
        <v>101</v>
      </c>
      <c r="D1455" s="5" t="s">
        <v>796</v>
      </c>
      <c r="E1455" s="5" t="n">
        <v>1</v>
      </c>
      <c r="F1455" s="6" t="n">
        <f aca="false">IFERROR(MATCH(A1455&amp;"|"&amp;B1455&amp;"|"&amp;D1455,'All Song Rankings'!$T:$T,0),0)</f>
        <v>232</v>
      </c>
      <c r="G1455" s="6" t="str">
        <f aca="false">IF(F1455=0,"NOT FOUND",INDEX('All Song Rankings'!$A:$A,F1455))</f>
        <v>Poison &amp; Wine</v>
      </c>
      <c r="H1455" s="6" t="str">
        <f aca="false">IF(F1455=0,"NOT FOUND",INDEX('All Song Rankings'!$B:$B,F1455))</f>
        <v>The Civil Wars</v>
      </c>
      <c r="I1455" s="6" t="str">
        <f aca="false">IF(F1455=0,"NOT FOUND",INDEX('All Song Rankings'!$D:$D,F1455))</f>
        <v>Matt</v>
      </c>
      <c r="J1455" s="7" t="str">
        <f aca="false">IF(F1455=0,"NOT FOUND",IF(C1455=I1455,"SELF-VOTE",IF(COUNTIF($K:$K,K1455)&gt;1,"DUPLICATE","OK")))</f>
        <v>OK</v>
      </c>
      <c r="K1455" s="6" t="str">
        <f aca="false">A1455&amp;"|"&amp;B1455&amp;"|"&amp;C1455&amp;"|"&amp;D1455</f>
        <v>3|3|Merita|spotify:track:4BFudy2Zbryi9a1KFad66B</v>
      </c>
    </row>
    <row r="1456" customFormat="false" ht="15" hidden="false" customHeight="false" outlineLevel="0" collapsed="false">
      <c r="A1456" s="5" t="n">
        <v>3</v>
      </c>
      <c r="B1456" s="5" t="n">
        <v>3</v>
      </c>
      <c r="C1456" s="5" t="s">
        <v>101</v>
      </c>
      <c r="D1456" s="5" t="s">
        <v>801</v>
      </c>
      <c r="E1456" s="5" t="n">
        <v>1</v>
      </c>
      <c r="F1456" s="6" t="n">
        <f aca="false">IFERROR(MATCH(A1456&amp;"|"&amp;B1456&amp;"|"&amp;D1456,'All Song Rankings'!$T:$T,0),0)</f>
        <v>234</v>
      </c>
      <c r="G1456" s="6" t="str">
        <f aca="false">IF(F1456=0,"NOT FOUND",INDEX('All Song Rankings'!$A:$A,F1456))</f>
        <v>Your Love Is a Lie</v>
      </c>
      <c r="H1456" s="6" t="str">
        <f aca="false">IF(F1456=0,"NOT FOUND",INDEX('All Song Rankings'!$B:$B,F1456))</f>
        <v>Simple Plan</v>
      </c>
      <c r="I1456" s="6" t="str">
        <f aca="false">IF(F1456=0,"NOT FOUND",INDEX('All Song Rankings'!$D:$D,F1456))</f>
        <v>Christine</v>
      </c>
      <c r="J1456" s="7" t="str">
        <f aca="false">IF(F1456=0,"NOT FOUND",IF(C1456=I1456,"SELF-VOTE",IF(COUNTIF($K:$K,K1456)&gt;1,"DUPLICATE","OK")))</f>
        <v>OK</v>
      </c>
      <c r="K1456" s="6" t="str">
        <f aca="false">A1456&amp;"|"&amp;B1456&amp;"|"&amp;C1456&amp;"|"&amp;D1456</f>
        <v>3|3|Merita|spotify:track:5veTPYnAviWwQ73hMVTwb5</v>
      </c>
    </row>
    <row r="1457" customFormat="false" ht="15" hidden="false" customHeight="false" outlineLevel="0" collapsed="false">
      <c r="A1457" s="5" t="n">
        <v>3</v>
      </c>
      <c r="B1457" s="5" t="n">
        <v>3</v>
      </c>
      <c r="C1457" s="5" t="s">
        <v>101</v>
      </c>
      <c r="D1457" s="5" t="s">
        <v>782</v>
      </c>
      <c r="E1457" s="5" t="n">
        <v>1</v>
      </c>
      <c r="F1457" s="6" t="n">
        <f aca="false">IFERROR(MATCH(A1457&amp;"|"&amp;B1457&amp;"|"&amp;D1457,'All Song Rankings'!$T:$T,0),0)</f>
        <v>227</v>
      </c>
      <c r="G1457" s="6" t="str">
        <f aca="false">IF(F1457=0,"NOT FOUND",INDEX('All Song Rankings'!$A:$A,F1457))</f>
        <v>hot girl bummer</v>
      </c>
      <c r="H1457" s="6" t="str">
        <f aca="false">IF(F1457=0,"NOT FOUND",INDEX('All Song Rankings'!$B:$B,F1457))</f>
        <v>blackbear</v>
      </c>
      <c r="I1457" s="6" t="str">
        <f aca="false">IF(F1457=0,"NOT FOUND",INDEX('All Song Rankings'!$D:$D,F1457))</f>
        <v>Makenzie</v>
      </c>
      <c r="J1457" s="7" t="str">
        <f aca="false">IF(F1457=0,"NOT FOUND",IF(C1457=I1457,"SELF-VOTE",IF(COUNTIF($K:$K,K1457)&gt;1,"DUPLICATE","OK")))</f>
        <v>OK</v>
      </c>
      <c r="K1457" s="6" t="str">
        <f aca="false">A1457&amp;"|"&amp;B1457&amp;"|"&amp;C1457&amp;"|"&amp;D1457</f>
        <v>3|3|Merita|spotify:track:6jRq8gaZhMUyy5RclRPcAf</v>
      </c>
    </row>
    <row r="1458" customFormat="false" ht="15" hidden="false" customHeight="false" outlineLevel="0" collapsed="false">
      <c r="A1458" s="5" t="n">
        <v>3</v>
      </c>
      <c r="B1458" s="5" t="n">
        <v>3</v>
      </c>
      <c r="C1458" s="5" t="s">
        <v>92</v>
      </c>
      <c r="D1458" s="5" t="s">
        <v>785</v>
      </c>
      <c r="E1458" s="5" t="n">
        <v>3</v>
      </c>
      <c r="F1458" s="6" t="n">
        <f aca="false">IFERROR(MATCH(A1458&amp;"|"&amp;B1458&amp;"|"&amp;D1458,'All Song Rankings'!$T:$T,0),0)</f>
        <v>228</v>
      </c>
      <c r="G1458" s="6" t="str">
        <f aca="false">IF(F1458=0,"NOT FOUND",INDEX('All Song Rankings'!$A:$A,F1458))</f>
        <v>abcdefu (angrier)</v>
      </c>
      <c r="H1458" s="6" t="str">
        <f aca="false">IF(F1458=0,"NOT FOUND",INDEX('All Song Rankings'!$B:$B,F1458))</f>
        <v>GAYLE</v>
      </c>
      <c r="I1458" s="6" t="str">
        <f aca="false">IF(F1458=0,"NOT FOUND",INDEX('All Song Rankings'!$D:$D,F1458))</f>
        <v>Logan</v>
      </c>
      <c r="J1458" s="7" t="str">
        <f aca="false">IF(F1458=0,"NOT FOUND",IF(C1458=I1458,"SELF-VOTE",IF(COUNTIF($K:$K,K1458)&gt;1,"DUPLICATE","OK")))</f>
        <v>OK</v>
      </c>
      <c r="K1458" s="6" t="str">
        <f aca="false">A1458&amp;"|"&amp;B1458&amp;"|"&amp;C1458&amp;"|"&amp;D1458</f>
        <v>3|3|Nicole|spotify:track:1EQFOouqdKYdpbNoOHRVO2</v>
      </c>
    </row>
    <row r="1459" customFormat="false" ht="15" hidden="false" customHeight="false" outlineLevel="0" collapsed="false">
      <c r="A1459" s="5" t="n">
        <v>3</v>
      </c>
      <c r="B1459" s="5" t="n">
        <v>3</v>
      </c>
      <c r="C1459" s="5" t="s">
        <v>92</v>
      </c>
      <c r="D1459" s="5" t="s">
        <v>773</v>
      </c>
      <c r="E1459" s="5" t="n">
        <v>1</v>
      </c>
      <c r="F1459" s="6" t="n">
        <f aca="false">IFERROR(MATCH(A1459&amp;"|"&amp;B1459&amp;"|"&amp;D1459,'All Song Rankings'!$T:$T,0),0)</f>
        <v>224</v>
      </c>
      <c r="G1459" s="6" t="str">
        <f aca="false">IF(F1459=0,"NOT FOUND",INDEX('All Song Rankings'!$A:$A,F1459))</f>
        <v>Amnesia</v>
      </c>
      <c r="H1459" s="6" t="str">
        <f aca="false">IF(F1459=0,"NOT FOUND",INDEX('All Song Rankings'!$B:$B,F1459))</f>
        <v>5 Seconds of Summer</v>
      </c>
      <c r="I1459" s="6" t="str">
        <f aca="false">IF(F1459=0,"NOT FOUND",INDEX('All Song Rankings'!$D:$D,F1459))</f>
        <v>Colleen</v>
      </c>
      <c r="J1459" s="7" t="str">
        <f aca="false">IF(F1459=0,"NOT FOUND",IF(C1459=I1459,"SELF-VOTE",IF(COUNTIF($K:$K,K1459)&gt;1,"DUPLICATE","OK")))</f>
        <v>OK</v>
      </c>
      <c r="K1459" s="6" t="str">
        <f aca="false">A1459&amp;"|"&amp;B1459&amp;"|"&amp;C1459&amp;"|"&amp;D1459</f>
        <v>3|3|Nicole|spotify:track:1JCCdiru7fhstOIF4N7WJC</v>
      </c>
    </row>
    <row r="1460" customFormat="false" ht="15" hidden="false" customHeight="false" outlineLevel="0" collapsed="false">
      <c r="A1460" s="5" t="n">
        <v>3</v>
      </c>
      <c r="B1460" s="5" t="n">
        <v>3</v>
      </c>
      <c r="C1460" s="5" t="s">
        <v>92</v>
      </c>
      <c r="D1460" s="5" t="s">
        <v>798</v>
      </c>
      <c r="E1460" s="5" t="n">
        <v>1</v>
      </c>
      <c r="F1460" s="6" t="n">
        <f aca="false">IFERROR(MATCH(A1460&amp;"|"&amp;B1460&amp;"|"&amp;D1460,'All Song Rankings'!$T:$T,0),0)</f>
        <v>233</v>
      </c>
      <c r="G1460" s="6" t="str">
        <f aca="false">IF(F1460=0,"NOT FOUND",INDEX('All Song Rankings'!$A:$A,F1460))</f>
        <v>thank u, next</v>
      </c>
      <c r="H1460" s="6" t="str">
        <f aca="false">IF(F1460=0,"NOT FOUND",INDEX('All Song Rankings'!$B:$B,F1460))</f>
        <v>Ariana Grande</v>
      </c>
      <c r="I1460" s="6" t="str">
        <f aca="false">IF(F1460=0,"NOT FOUND",INDEX('All Song Rankings'!$D:$D,F1460))</f>
        <v>Kelsey</v>
      </c>
      <c r="J1460" s="7" t="str">
        <f aca="false">IF(F1460=0,"NOT FOUND",IF(C1460=I1460,"SELF-VOTE",IF(COUNTIF($K:$K,K1460)&gt;1,"DUPLICATE","OK")))</f>
        <v>OK</v>
      </c>
      <c r="K1460" s="6" t="str">
        <f aca="false">A1460&amp;"|"&amp;B1460&amp;"|"&amp;C1460&amp;"|"&amp;D1460</f>
        <v>3|3|Nicole|spotify:track:3e9HZxeyfWwjeyPAMmWSSQ</v>
      </c>
    </row>
    <row r="1461" customFormat="false" ht="15" hidden="false" customHeight="false" outlineLevel="0" collapsed="false">
      <c r="A1461" s="5" t="n">
        <v>3</v>
      </c>
      <c r="B1461" s="5" t="n">
        <v>3</v>
      </c>
      <c r="C1461" s="5" t="s">
        <v>92</v>
      </c>
      <c r="D1461" s="5" t="s">
        <v>801</v>
      </c>
      <c r="E1461" s="5" t="n">
        <v>1</v>
      </c>
      <c r="F1461" s="6" t="n">
        <f aca="false">IFERROR(MATCH(A1461&amp;"|"&amp;B1461&amp;"|"&amp;D1461,'All Song Rankings'!$T:$T,0),0)</f>
        <v>234</v>
      </c>
      <c r="G1461" s="6" t="str">
        <f aca="false">IF(F1461=0,"NOT FOUND",INDEX('All Song Rankings'!$A:$A,F1461))</f>
        <v>Your Love Is a Lie</v>
      </c>
      <c r="H1461" s="6" t="str">
        <f aca="false">IF(F1461=0,"NOT FOUND",INDEX('All Song Rankings'!$B:$B,F1461))</f>
        <v>Simple Plan</v>
      </c>
      <c r="I1461" s="6" t="str">
        <f aca="false">IF(F1461=0,"NOT FOUND",INDEX('All Song Rankings'!$D:$D,F1461))</f>
        <v>Christine</v>
      </c>
      <c r="J1461" s="7" t="str">
        <f aca="false">IF(F1461=0,"NOT FOUND",IF(C1461=I1461,"SELF-VOTE",IF(COUNTIF($K:$K,K1461)&gt;1,"DUPLICATE","OK")))</f>
        <v>OK</v>
      </c>
      <c r="K1461" s="6" t="str">
        <f aca="false">A1461&amp;"|"&amp;B1461&amp;"|"&amp;C1461&amp;"|"&amp;D1461</f>
        <v>3|3|Nicole|spotify:track:5veTPYnAviWwQ73hMVTwb5</v>
      </c>
    </row>
    <row r="1462" customFormat="false" ht="15" hidden="false" customHeight="false" outlineLevel="0" collapsed="false">
      <c r="A1462" s="5" t="n">
        <v>3</v>
      </c>
      <c r="B1462" s="5" t="n">
        <v>3</v>
      </c>
      <c r="C1462" s="5" t="s">
        <v>92</v>
      </c>
      <c r="D1462" s="5" t="s">
        <v>782</v>
      </c>
      <c r="E1462" s="5" t="n">
        <v>2</v>
      </c>
      <c r="F1462" s="6" t="n">
        <f aca="false">IFERROR(MATCH(A1462&amp;"|"&amp;B1462&amp;"|"&amp;D1462,'All Song Rankings'!$T:$T,0),0)</f>
        <v>227</v>
      </c>
      <c r="G1462" s="6" t="str">
        <f aca="false">IF(F1462=0,"NOT FOUND",INDEX('All Song Rankings'!$A:$A,F1462))</f>
        <v>hot girl bummer</v>
      </c>
      <c r="H1462" s="6" t="str">
        <f aca="false">IF(F1462=0,"NOT FOUND",INDEX('All Song Rankings'!$B:$B,F1462))</f>
        <v>blackbear</v>
      </c>
      <c r="I1462" s="6" t="str">
        <f aca="false">IF(F1462=0,"NOT FOUND",INDEX('All Song Rankings'!$D:$D,F1462))</f>
        <v>Makenzie</v>
      </c>
      <c r="J1462" s="7" t="str">
        <f aca="false">IF(F1462=0,"NOT FOUND",IF(C1462=I1462,"SELF-VOTE",IF(COUNTIF($K:$K,K1462)&gt;1,"DUPLICATE","OK")))</f>
        <v>OK</v>
      </c>
      <c r="K1462" s="6" t="str">
        <f aca="false">A1462&amp;"|"&amp;B1462&amp;"|"&amp;C1462&amp;"|"&amp;D1462</f>
        <v>3|3|Nicole|spotify:track:6jRq8gaZhMUyy5RclRPcAf</v>
      </c>
    </row>
    <row r="1463" customFormat="false" ht="15" hidden="false" customHeight="false" outlineLevel="0" collapsed="false">
      <c r="A1463" s="5" t="n">
        <v>3</v>
      </c>
      <c r="B1463" s="5" t="n">
        <v>3</v>
      </c>
      <c r="C1463" s="5" t="s">
        <v>92</v>
      </c>
      <c r="D1463" s="5" t="s">
        <v>804</v>
      </c>
      <c r="E1463" s="5" t="n">
        <v>1</v>
      </c>
      <c r="F1463" s="6" t="n">
        <f aca="false">IFERROR(MATCH(A1463&amp;"|"&amp;B1463&amp;"|"&amp;D1463,'All Song Rankings'!$T:$T,0),0)</f>
        <v>236</v>
      </c>
      <c r="G1463" s="6" t="str">
        <f aca="false">IF(F1463=0,"NOT FOUND",INDEX('All Song Rankings'!$A:$A,F1463))</f>
        <v>IDGAF</v>
      </c>
      <c r="H1463" s="6" t="str">
        <f aca="false">IF(F1463=0,"NOT FOUND",INDEX('All Song Rankings'!$B:$B,F1463))</f>
        <v>Dua Lipa</v>
      </c>
      <c r="I1463" s="6" t="str">
        <f aca="false">IF(F1463=0,"NOT FOUND",INDEX('All Song Rankings'!$D:$D,F1463))</f>
        <v>Stephanie</v>
      </c>
      <c r="J1463" s="7" t="str">
        <f aca="false">IF(F1463=0,"NOT FOUND",IF(C1463=I1463,"SELF-VOTE",IF(COUNTIF($K:$K,K1463)&gt;1,"DUPLICATE","OK")))</f>
        <v>OK</v>
      </c>
      <c r="K1463" s="6" t="str">
        <f aca="false">A1463&amp;"|"&amp;B1463&amp;"|"&amp;C1463&amp;"|"&amp;D1463</f>
        <v>3|3|Nicole|spotify:track:76cy1WJvNGJTj78UqeA5zr</v>
      </c>
    </row>
    <row r="1464" customFormat="false" ht="15" hidden="false" customHeight="false" outlineLevel="0" collapsed="false">
      <c r="A1464" s="5" t="n">
        <v>3</v>
      </c>
      <c r="B1464" s="5" t="n">
        <v>3</v>
      </c>
      <c r="C1464" s="5" t="s">
        <v>92</v>
      </c>
      <c r="D1464" s="5" t="s">
        <v>790</v>
      </c>
      <c r="E1464" s="5" t="n">
        <v>1</v>
      </c>
      <c r="F1464" s="6" t="n">
        <f aca="false">IFERROR(MATCH(A1464&amp;"|"&amp;B1464&amp;"|"&amp;D1464,'All Song Rankings'!$T:$T,0),0)</f>
        <v>230</v>
      </c>
      <c r="G1464" s="6" t="str">
        <f aca="false">IF(F1464=0,"NOT FOUND",INDEX('All Song Rankings'!$A:$A,F1464))</f>
        <v>Karma</v>
      </c>
      <c r="H1464" s="6" t="str">
        <f aca="false">IF(F1464=0,"NOT FOUND",INDEX('All Song Rankings'!$B:$B,F1464))</f>
        <v>MOD SUN</v>
      </c>
      <c r="I1464" s="6" t="str">
        <f aca="false">IF(F1464=0,"NOT FOUND",INDEX('All Song Rankings'!$D:$D,F1464))</f>
        <v>Scott</v>
      </c>
      <c r="J1464" s="7" t="str">
        <f aca="false">IF(F1464=0,"NOT FOUND",IF(C1464=I1464,"SELF-VOTE",IF(COUNTIF($K:$K,K1464)&gt;1,"DUPLICATE","OK")))</f>
        <v>OK</v>
      </c>
      <c r="K1464" s="6" t="str">
        <f aca="false">A1464&amp;"|"&amp;B1464&amp;"|"&amp;C1464&amp;"|"&amp;D1464</f>
        <v>3|3|Nicole|spotify:track:7vXtuHrqgzQi58ihUO7L2d</v>
      </c>
    </row>
    <row r="1465" customFormat="false" ht="15" hidden="false" customHeight="false" outlineLevel="0" collapsed="false">
      <c r="A1465" s="5" t="n">
        <v>3</v>
      </c>
      <c r="B1465" s="5" t="n">
        <v>3</v>
      </c>
      <c r="C1465" s="5" t="s">
        <v>484</v>
      </c>
      <c r="D1465" s="5" t="s">
        <v>771</v>
      </c>
      <c r="E1465" s="5" t="n">
        <v>1</v>
      </c>
      <c r="F1465" s="6" t="n">
        <f aca="false">IFERROR(MATCH(A1465&amp;"|"&amp;B1465&amp;"|"&amp;D1465,'All Song Rankings'!$T:$T,0),0)</f>
        <v>223</v>
      </c>
      <c r="G1465" s="6" t="str">
        <f aca="false">IF(F1465=0,"NOT FOUND",INDEX('All Song Rankings'!$A:$A,F1465))</f>
        <v>Part of Me</v>
      </c>
      <c r="H1465" s="6" t="str">
        <f aca="false">IF(F1465=0,"NOT FOUND",INDEX('All Song Rankings'!$B:$B,F1465))</f>
        <v>Noah Kahan</v>
      </c>
      <c r="I1465" s="6" t="str">
        <f aca="false">IF(F1465=0,"NOT FOUND",INDEX('All Song Rankings'!$D:$D,F1465))</f>
        <v>Leah</v>
      </c>
      <c r="J1465" s="7" t="str">
        <f aca="false">IF(F1465=0,"NOT FOUND",IF(C1465=I1465,"SELF-VOTE",IF(COUNTIF($K:$K,K1465)&gt;1,"DUPLICATE","OK")))</f>
        <v>OK</v>
      </c>
      <c r="K1465" s="6" t="str">
        <f aca="false">A1465&amp;"|"&amp;B1465&amp;"|"&amp;C1465&amp;"|"&amp;D1465</f>
        <v>3|3|Scott|spotify:track:1o5WgxPWvoVgo20DQItKOE</v>
      </c>
    </row>
    <row r="1466" customFormat="false" ht="15" hidden="false" customHeight="false" outlineLevel="0" collapsed="false">
      <c r="A1466" s="5" t="n">
        <v>3</v>
      </c>
      <c r="B1466" s="5" t="n">
        <v>3</v>
      </c>
      <c r="C1466" s="5" t="s">
        <v>484</v>
      </c>
      <c r="D1466" s="5" t="s">
        <v>787</v>
      </c>
      <c r="E1466" s="5" t="n">
        <v>1</v>
      </c>
      <c r="F1466" s="6" t="n">
        <f aca="false">IFERROR(MATCH(A1466&amp;"|"&amp;B1466&amp;"|"&amp;D1466,'All Song Rankings'!$T:$T,0),0)</f>
        <v>229</v>
      </c>
      <c r="G1466" s="6" t="str">
        <f aca="false">IF(F1466=0,"NOT FOUND",INDEX('All Song Rankings'!$A:$A,F1466))</f>
        <v>Half A Man</v>
      </c>
      <c r="H1466" s="6" t="str">
        <f aca="false">IF(F1466=0,"NOT FOUND",INDEX('All Song Rankings'!$B:$B,F1466))</f>
        <v>Dean Lewis</v>
      </c>
      <c r="I1466" s="6" t="str">
        <f aca="false">IF(F1466=0,"NOT FOUND",INDEX('All Song Rankings'!$D:$D,F1466))</f>
        <v>Kristen</v>
      </c>
      <c r="J1466" s="7" t="str">
        <f aca="false">IF(F1466=0,"NOT FOUND",IF(C1466=I1466,"SELF-VOTE",IF(COUNTIF($K:$K,K1466)&gt;1,"DUPLICATE","OK")))</f>
        <v>OK</v>
      </c>
      <c r="K1466" s="6" t="str">
        <f aca="false">A1466&amp;"|"&amp;B1466&amp;"|"&amp;C1466&amp;"|"&amp;D1466</f>
        <v>3|3|Scott|spotify:track:1ugQtcwmKOXvKAYzhjncmv</v>
      </c>
    </row>
    <row r="1467" customFormat="false" ht="15" hidden="false" customHeight="false" outlineLevel="0" collapsed="false">
      <c r="A1467" s="5" t="n">
        <v>3</v>
      </c>
      <c r="B1467" s="5" t="n">
        <v>3</v>
      </c>
      <c r="C1467" s="5" t="s">
        <v>484</v>
      </c>
      <c r="D1467" s="5" t="s">
        <v>798</v>
      </c>
      <c r="E1467" s="5" t="n">
        <v>1</v>
      </c>
      <c r="F1467" s="6" t="n">
        <f aca="false">IFERROR(MATCH(A1467&amp;"|"&amp;B1467&amp;"|"&amp;D1467,'All Song Rankings'!$T:$T,0),0)</f>
        <v>233</v>
      </c>
      <c r="G1467" s="6" t="str">
        <f aca="false">IF(F1467=0,"NOT FOUND",INDEX('All Song Rankings'!$A:$A,F1467))</f>
        <v>thank u, next</v>
      </c>
      <c r="H1467" s="6" t="str">
        <f aca="false">IF(F1467=0,"NOT FOUND",INDEX('All Song Rankings'!$B:$B,F1467))</f>
        <v>Ariana Grande</v>
      </c>
      <c r="I1467" s="6" t="str">
        <f aca="false">IF(F1467=0,"NOT FOUND",INDEX('All Song Rankings'!$D:$D,F1467))</f>
        <v>Kelsey</v>
      </c>
      <c r="J1467" s="7" t="str">
        <f aca="false">IF(F1467=0,"NOT FOUND",IF(C1467=I1467,"SELF-VOTE",IF(COUNTIF($K:$K,K1467)&gt;1,"DUPLICATE","OK")))</f>
        <v>OK</v>
      </c>
      <c r="K1467" s="6" t="str">
        <f aca="false">A1467&amp;"|"&amp;B1467&amp;"|"&amp;C1467&amp;"|"&amp;D1467</f>
        <v>3|3|Scott|spotify:track:3e9HZxeyfWwjeyPAMmWSSQ</v>
      </c>
    </row>
    <row r="1468" customFormat="false" ht="15" hidden="false" customHeight="false" outlineLevel="0" collapsed="false">
      <c r="A1468" s="5" t="n">
        <v>3</v>
      </c>
      <c r="B1468" s="5" t="n">
        <v>3</v>
      </c>
      <c r="C1468" s="5" t="s">
        <v>484</v>
      </c>
      <c r="D1468" s="5" t="s">
        <v>779</v>
      </c>
      <c r="E1468" s="5" t="n">
        <v>1</v>
      </c>
      <c r="F1468" s="6" t="n">
        <f aca="false">IFERROR(MATCH(A1468&amp;"|"&amp;B1468&amp;"|"&amp;D1468,'All Song Rankings'!$T:$T,0),0)</f>
        <v>226</v>
      </c>
      <c r="G1468" s="6" t="str">
        <f aca="false">IF(F1468=0,"NOT FOUND",INDEX('All Song Rankings'!$A:$A,F1468))</f>
        <v>The Winner Takes It All</v>
      </c>
      <c r="H1468" s="6" t="str">
        <f aca="false">IF(F1468=0,"NOT FOUND",INDEX('All Song Rankings'!$B:$B,F1468))</f>
        <v>ABBA</v>
      </c>
      <c r="I1468" s="6" t="str">
        <f aca="false">IF(F1468=0,"NOT FOUND",INDEX('All Song Rankings'!$D:$D,F1468))</f>
        <v>Lisa</v>
      </c>
      <c r="J1468" s="7" t="str">
        <f aca="false">IF(F1468=0,"NOT FOUND",IF(C1468=I1468,"SELF-VOTE",IF(COUNTIF($K:$K,K1468)&gt;1,"DUPLICATE","OK")))</f>
        <v>OK</v>
      </c>
      <c r="K1468" s="6" t="str">
        <f aca="false">A1468&amp;"|"&amp;B1468&amp;"|"&amp;C1468&amp;"|"&amp;D1468</f>
        <v>3|3|Scott|spotify:track:3oEkrIfXfSh9zGnE7eBzSV</v>
      </c>
    </row>
    <row r="1469" customFormat="false" ht="15" hidden="false" customHeight="false" outlineLevel="0" collapsed="false">
      <c r="A1469" s="5" t="n">
        <v>3</v>
      </c>
      <c r="B1469" s="5" t="n">
        <v>3</v>
      </c>
      <c r="C1469" s="5" t="s">
        <v>484</v>
      </c>
      <c r="D1469" s="5" t="s">
        <v>796</v>
      </c>
      <c r="E1469" s="5" t="n">
        <v>1</v>
      </c>
      <c r="F1469" s="6" t="n">
        <f aca="false">IFERROR(MATCH(A1469&amp;"|"&amp;B1469&amp;"|"&amp;D1469,'All Song Rankings'!$T:$T,0),0)</f>
        <v>232</v>
      </c>
      <c r="G1469" s="6" t="str">
        <f aca="false">IF(F1469=0,"NOT FOUND",INDEX('All Song Rankings'!$A:$A,F1469))</f>
        <v>Poison &amp; Wine</v>
      </c>
      <c r="H1469" s="6" t="str">
        <f aca="false">IF(F1469=0,"NOT FOUND",INDEX('All Song Rankings'!$B:$B,F1469))</f>
        <v>The Civil Wars</v>
      </c>
      <c r="I1469" s="6" t="str">
        <f aca="false">IF(F1469=0,"NOT FOUND",INDEX('All Song Rankings'!$D:$D,F1469))</f>
        <v>Matt</v>
      </c>
      <c r="J1469" s="7" t="str">
        <f aca="false">IF(F1469=0,"NOT FOUND",IF(C1469=I1469,"SELF-VOTE",IF(COUNTIF($K:$K,K1469)&gt;1,"DUPLICATE","OK")))</f>
        <v>OK</v>
      </c>
      <c r="K1469" s="6" t="str">
        <f aca="false">A1469&amp;"|"&amp;B1469&amp;"|"&amp;C1469&amp;"|"&amp;D1469</f>
        <v>3|3|Scott|spotify:track:4BFudy2Zbryi9a1KFad66B</v>
      </c>
    </row>
    <row r="1470" customFormat="false" ht="15" hidden="false" customHeight="false" outlineLevel="0" collapsed="false">
      <c r="A1470" s="5" t="n">
        <v>3</v>
      </c>
      <c r="B1470" s="5" t="n">
        <v>3</v>
      </c>
      <c r="C1470" s="5" t="s">
        <v>484</v>
      </c>
      <c r="D1470" s="5" t="s">
        <v>776</v>
      </c>
      <c r="E1470" s="5" t="n">
        <v>2</v>
      </c>
      <c r="F1470" s="6" t="n">
        <f aca="false">IFERROR(MATCH(A1470&amp;"|"&amp;B1470&amp;"|"&amp;D1470,'All Song Rankings'!$T:$T,0),0)</f>
        <v>225</v>
      </c>
      <c r="G1470" s="6" t="str">
        <f aca="false">IF(F1470=0,"NOT FOUND",INDEX('All Song Rankings'!$A:$A,F1470))</f>
        <v>Gives You Hell</v>
      </c>
      <c r="H1470" s="6" t="str">
        <f aca="false">IF(F1470=0,"NOT FOUND",INDEX('All Song Rankings'!$B:$B,F1470))</f>
        <v>The All-American Rejects</v>
      </c>
      <c r="I1470" s="6" t="str">
        <f aca="false">IF(F1470=0,"NOT FOUND",INDEX('All Song Rankings'!$D:$D,F1470))</f>
        <v>Nicole</v>
      </c>
      <c r="J1470" s="7" t="str">
        <f aca="false">IF(F1470=0,"NOT FOUND",IF(C1470=I1470,"SELF-VOTE",IF(COUNTIF($K:$K,K1470)&gt;1,"DUPLICATE","OK")))</f>
        <v>OK</v>
      </c>
      <c r="K1470" s="6" t="str">
        <f aca="false">A1470&amp;"|"&amp;B1470&amp;"|"&amp;C1470&amp;"|"&amp;D1470</f>
        <v>3|3|Scott|spotify:track:6ihL9TjfRjadfEePzXXyVF</v>
      </c>
    </row>
    <row r="1471" customFormat="false" ht="15" hidden="false" customHeight="false" outlineLevel="0" collapsed="false">
      <c r="A1471" s="5" t="n">
        <v>3</v>
      </c>
      <c r="B1471" s="5" t="n">
        <v>3</v>
      </c>
      <c r="C1471" s="5" t="s">
        <v>484</v>
      </c>
      <c r="D1471" s="5" t="s">
        <v>782</v>
      </c>
      <c r="E1471" s="5" t="n">
        <v>2</v>
      </c>
      <c r="F1471" s="6" t="n">
        <f aca="false">IFERROR(MATCH(A1471&amp;"|"&amp;B1471&amp;"|"&amp;D1471,'All Song Rankings'!$T:$T,0),0)</f>
        <v>227</v>
      </c>
      <c r="G1471" s="6" t="str">
        <f aca="false">IF(F1471=0,"NOT FOUND",INDEX('All Song Rankings'!$A:$A,F1471))</f>
        <v>hot girl bummer</v>
      </c>
      <c r="H1471" s="6" t="str">
        <f aca="false">IF(F1471=0,"NOT FOUND",INDEX('All Song Rankings'!$B:$B,F1471))</f>
        <v>blackbear</v>
      </c>
      <c r="I1471" s="6" t="str">
        <f aca="false">IF(F1471=0,"NOT FOUND",INDEX('All Song Rankings'!$D:$D,F1471))</f>
        <v>Makenzie</v>
      </c>
      <c r="J1471" s="7" t="str">
        <f aca="false">IF(F1471=0,"NOT FOUND",IF(C1471=I1471,"SELF-VOTE",IF(COUNTIF($K:$K,K1471)&gt;1,"DUPLICATE","OK")))</f>
        <v>OK</v>
      </c>
      <c r="K1471" s="6" t="str">
        <f aca="false">A1471&amp;"|"&amp;B1471&amp;"|"&amp;C1471&amp;"|"&amp;D1471</f>
        <v>3|3|Scott|spotify:track:6jRq8gaZhMUyy5RclRPcAf</v>
      </c>
    </row>
    <row r="1472" customFormat="false" ht="15" hidden="false" customHeight="false" outlineLevel="0" collapsed="false">
      <c r="A1472" s="5" t="n">
        <v>3</v>
      </c>
      <c r="B1472" s="5" t="n">
        <v>3</v>
      </c>
      <c r="C1472" s="5" t="s">
        <v>484</v>
      </c>
      <c r="D1472" s="5" t="s">
        <v>804</v>
      </c>
      <c r="E1472" s="5" t="n">
        <v>1</v>
      </c>
      <c r="F1472" s="6" t="n">
        <f aca="false">IFERROR(MATCH(A1472&amp;"|"&amp;B1472&amp;"|"&amp;D1472,'All Song Rankings'!$T:$T,0),0)</f>
        <v>236</v>
      </c>
      <c r="G1472" s="6" t="str">
        <f aca="false">IF(F1472=0,"NOT FOUND",INDEX('All Song Rankings'!$A:$A,F1472))</f>
        <v>IDGAF</v>
      </c>
      <c r="H1472" s="6" t="str">
        <f aca="false">IF(F1472=0,"NOT FOUND",INDEX('All Song Rankings'!$B:$B,F1472))</f>
        <v>Dua Lipa</v>
      </c>
      <c r="I1472" s="6" t="str">
        <f aca="false">IF(F1472=0,"NOT FOUND",INDEX('All Song Rankings'!$D:$D,F1472))</f>
        <v>Stephanie</v>
      </c>
      <c r="J1472" s="7" t="str">
        <f aca="false">IF(F1472=0,"NOT FOUND",IF(C1472=I1472,"SELF-VOTE",IF(COUNTIF($K:$K,K1472)&gt;1,"DUPLICATE","OK")))</f>
        <v>OK</v>
      </c>
      <c r="K1472" s="6" t="str">
        <f aca="false">A1472&amp;"|"&amp;B1472&amp;"|"&amp;C1472&amp;"|"&amp;D1472</f>
        <v>3|3|Scott|spotify:track:76cy1WJvNGJTj78UqeA5zr</v>
      </c>
    </row>
    <row r="1473" customFormat="false" ht="15" hidden="false" customHeight="false" outlineLevel="0" collapsed="false">
      <c r="A1473" s="5" t="n">
        <v>3</v>
      </c>
      <c r="B1473" s="5" t="n">
        <v>3</v>
      </c>
      <c r="C1473" s="5" t="s">
        <v>97</v>
      </c>
      <c r="D1473" s="5" t="s">
        <v>785</v>
      </c>
      <c r="E1473" s="5" t="n">
        <v>1</v>
      </c>
      <c r="F1473" s="6" t="n">
        <f aca="false">IFERROR(MATCH(A1473&amp;"|"&amp;B1473&amp;"|"&amp;D1473,'All Song Rankings'!$T:$T,0),0)</f>
        <v>228</v>
      </c>
      <c r="G1473" s="6" t="str">
        <f aca="false">IF(F1473=0,"NOT FOUND",INDEX('All Song Rankings'!$A:$A,F1473))</f>
        <v>abcdefu (angrier)</v>
      </c>
      <c r="H1473" s="6" t="str">
        <f aca="false">IF(F1473=0,"NOT FOUND",INDEX('All Song Rankings'!$B:$B,F1473))</f>
        <v>GAYLE</v>
      </c>
      <c r="I1473" s="6" t="str">
        <f aca="false">IF(F1473=0,"NOT FOUND",INDEX('All Song Rankings'!$D:$D,F1473))</f>
        <v>Logan</v>
      </c>
      <c r="J1473" s="7" t="str">
        <f aca="false">IF(F1473=0,"NOT FOUND",IF(C1473=I1473,"SELF-VOTE",IF(COUNTIF($K:$K,K1473)&gt;1,"DUPLICATE","OK")))</f>
        <v>OK</v>
      </c>
      <c r="K1473" s="6" t="str">
        <f aca="false">A1473&amp;"|"&amp;B1473&amp;"|"&amp;C1473&amp;"|"&amp;D1473</f>
        <v>3|3|Stephanie|spotify:track:1EQFOouqdKYdpbNoOHRVO2</v>
      </c>
    </row>
    <row r="1474" customFormat="false" ht="15" hidden="false" customHeight="false" outlineLevel="0" collapsed="false">
      <c r="A1474" s="5" t="n">
        <v>3</v>
      </c>
      <c r="B1474" s="5" t="n">
        <v>3</v>
      </c>
      <c r="C1474" s="5" t="s">
        <v>97</v>
      </c>
      <c r="D1474" s="5" t="s">
        <v>773</v>
      </c>
      <c r="E1474" s="5" t="n">
        <v>1</v>
      </c>
      <c r="F1474" s="6" t="n">
        <f aca="false">IFERROR(MATCH(A1474&amp;"|"&amp;B1474&amp;"|"&amp;D1474,'All Song Rankings'!$T:$T,0),0)</f>
        <v>224</v>
      </c>
      <c r="G1474" s="6" t="str">
        <f aca="false">IF(F1474=0,"NOT FOUND",INDEX('All Song Rankings'!$A:$A,F1474))</f>
        <v>Amnesia</v>
      </c>
      <c r="H1474" s="6" t="str">
        <f aca="false">IF(F1474=0,"NOT FOUND",INDEX('All Song Rankings'!$B:$B,F1474))</f>
        <v>5 Seconds of Summer</v>
      </c>
      <c r="I1474" s="6" t="str">
        <f aca="false">IF(F1474=0,"NOT FOUND",INDEX('All Song Rankings'!$D:$D,F1474))</f>
        <v>Colleen</v>
      </c>
      <c r="J1474" s="7" t="str">
        <f aca="false">IF(F1474=0,"NOT FOUND",IF(C1474=I1474,"SELF-VOTE",IF(COUNTIF($K:$K,K1474)&gt;1,"DUPLICATE","OK")))</f>
        <v>OK</v>
      </c>
      <c r="K1474" s="6" t="str">
        <f aca="false">A1474&amp;"|"&amp;B1474&amp;"|"&amp;C1474&amp;"|"&amp;D1474</f>
        <v>3|3|Stephanie|spotify:track:1JCCdiru7fhstOIF4N7WJC</v>
      </c>
    </row>
    <row r="1475" customFormat="false" ht="15" hidden="false" customHeight="false" outlineLevel="0" collapsed="false">
      <c r="A1475" s="5" t="n">
        <v>3</v>
      </c>
      <c r="B1475" s="5" t="n">
        <v>3</v>
      </c>
      <c r="C1475" s="5" t="s">
        <v>97</v>
      </c>
      <c r="D1475" s="5" t="s">
        <v>771</v>
      </c>
      <c r="E1475" s="5" t="n">
        <v>3</v>
      </c>
      <c r="F1475" s="6" t="n">
        <f aca="false">IFERROR(MATCH(A1475&amp;"|"&amp;B1475&amp;"|"&amp;D1475,'All Song Rankings'!$T:$T,0),0)</f>
        <v>223</v>
      </c>
      <c r="G1475" s="6" t="str">
        <f aca="false">IF(F1475=0,"NOT FOUND",INDEX('All Song Rankings'!$A:$A,F1475))</f>
        <v>Part of Me</v>
      </c>
      <c r="H1475" s="6" t="str">
        <f aca="false">IF(F1475=0,"NOT FOUND",INDEX('All Song Rankings'!$B:$B,F1475))</f>
        <v>Noah Kahan</v>
      </c>
      <c r="I1475" s="6" t="str">
        <f aca="false">IF(F1475=0,"NOT FOUND",INDEX('All Song Rankings'!$D:$D,F1475))</f>
        <v>Leah</v>
      </c>
      <c r="J1475" s="7" t="str">
        <f aca="false">IF(F1475=0,"NOT FOUND",IF(C1475=I1475,"SELF-VOTE",IF(COUNTIF($K:$K,K1475)&gt;1,"DUPLICATE","OK")))</f>
        <v>OK</v>
      </c>
      <c r="K1475" s="6" t="str">
        <f aca="false">A1475&amp;"|"&amp;B1475&amp;"|"&amp;C1475&amp;"|"&amp;D1475</f>
        <v>3|3|Stephanie|spotify:track:1o5WgxPWvoVgo20DQItKOE</v>
      </c>
    </row>
    <row r="1476" customFormat="false" ht="15" hidden="false" customHeight="false" outlineLevel="0" collapsed="false">
      <c r="A1476" s="5" t="n">
        <v>3</v>
      </c>
      <c r="B1476" s="5" t="n">
        <v>3</v>
      </c>
      <c r="C1476" s="5" t="s">
        <v>97</v>
      </c>
      <c r="D1476" s="5" t="s">
        <v>787</v>
      </c>
      <c r="E1476" s="5" t="n">
        <v>2</v>
      </c>
      <c r="F1476" s="6" t="n">
        <f aca="false">IFERROR(MATCH(A1476&amp;"|"&amp;B1476&amp;"|"&amp;D1476,'All Song Rankings'!$T:$T,0),0)</f>
        <v>229</v>
      </c>
      <c r="G1476" s="6" t="str">
        <f aca="false">IF(F1476=0,"NOT FOUND",INDEX('All Song Rankings'!$A:$A,F1476))</f>
        <v>Half A Man</v>
      </c>
      <c r="H1476" s="6" t="str">
        <f aca="false">IF(F1476=0,"NOT FOUND",INDEX('All Song Rankings'!$B:$B,F1476))</f>
        <v>Dean Lewis</v>
      </c>
      <c r="I1476" s="6" t="str">
        <f aca="false">IF(F1476=0,"NOT FOUND",INDEX('All Song Rankings'!$D:$D,F1476))</f>
        <v>Kristen</v>
      </c>
      <c r="J1476" s="7" t="str">
        <f aca="false">IF(F1476=0,"NOT FOUND",IF(C1476=I1476,"SELF-VOTE",IF(COUNTIF($K:$K,K1476)&gt;1,"DUPLICATE","OK")))</f>
        <v>OK</v>
      </c>
      <c r="K1476" s="6" t="str">
        <f aca="false">A1476&amp;"|"&amp;B1476&amp;"|"&amp;C1476&amp;"|"&amp;D1476</f>
        <v>3|3|Stephanie|spotify:track:1ugQtcwmKOXvKAYzhjncmv</v>
      </c>
    </row>
    <row r="1477" customFormat="false" ht="15" hidden="false" customHeight="false" outlineLevel="0" collapsed="false">
      <c r="A1477" s="5" t="n">
        <v>3</v>
      </c>
      <c r="B1477" s="5" t="n">
        <v>3</v>
      </c>
      <c r="C1477" s="5" t="s">
        <v>97</v>
      </c>
      <c r="D1477" s="5" t="s">
        <v>798</v>
      </c>
      <c r="E1477" s="5" t="n">
        <v>1</v>
      </c>
      <c r="F1477" s="6" t="n">
        <f aca="false">IFERROR(MATCH(A1477&amp;"|"&amp;B1477&amp;"|"&amp;D1477,'All Song Rankings'!$T:$T,0),0)</f>
        <v>233</v>
      </c>
      <c r="G1477" s="6" t="str">
        <f aca="false">IF(F1477=0,"NOT FOUND",INDEX('All Song Rankings'!$A:$A,F1477))</f>
        <v>thank u, next</v>
      </c>
      <c r="H1477" s="6" t="str">
        <f aca="false">IF(F1477=0,"NOT FOUND",INDEX('All Song Rankings'!$B:$B,F1477))</f>
        <v>Ariana Grande</v>
      </c>
      <c r="I1477" s="6" t="str">
        <f aca="false">IF(F1477=0,"NOT FOUND",INDEX('All Song Rankings'!$D:$D,F1477))</f>
        <v>Kelsey</v>
      </c>
      <c r="J1477" s="7" t="str">
        <f aca="false">IF(F1477=0,"NOT FOUND",IF(C1477=I1477,"SELF-VOTE",IF(COUNTIF($K:$K,K1477)&gt;1,"DUPLICATE","OK")))</f>
        <v>OK</v>
      </c>
      <c r="K1477" s="6" t="str">
        <f aca="false">A1477&amp;"|"&amp;B1477&amp;"|"&amp;C1477&amp;"|"&amp;D1477</f>
        <v>3|3|Stephanie|spotify:track:3e9HZxeyfWwjeyPAMmWSSQ</v>
      </c>
    </row>
    <row r="1478" customFormat="false" ht="15" hidden="false" customHeight="false" outlineLevel="0" collapsed="false">
      <c r="A1478" s="5" t="n">
        <v>3</v>
      </c>
      <c r="B1478" s="5" t="n">
        <v>3</v>
      </c>
      <c r="C1478" s="5" t="s">
        <v>97</v>
      </c>
      <c r="D1478" s="5" t="s">
        <v>779</v>
      </c>
      <c r="E1478" s="5" t="n">
        <v>1</v>
      </c>
      <c r="F1478" s="6" t="n">
        <f aca="false">IFERROR(MATCH(A1478&amp;"|"&amp;B1478&amp;"|"&amp;D1478,'All Song Rankings'!$T:$T,0),0)</f>
        <v>226</v>
      </c>
      <c r="G1478" s="6" t="str">
        <f aca="false">IF(F1478=0,"NOT FOUND",INDEX('All Song Rankings'!$A:$A,F1478))</f>
        <v>The Winner Takes It All</v>
      </c>
      <c r="H1478" s="6" t="str">
        <f aca="false">IF(F1478=0,"NOT FOUND",INDEX('All Song Rankings'!$B:$B,F1478))</f>
        <v>ABBA</v>
      </c>
      <c r="I1478" s="6" t="str">
        <f aca="false">IF(F1478=0,"NOT FOUND",INDEX('All Song Rankings'!$D:$D,F1478))</f>
        <v>Lisa</v>
      </c>
      <c r="J1478" s="7" t="str">
        <f aca="false">IF(F1478=0,"NOT FOUND",IF(C1478=I1478,"SELF-VOTE",IF(COUNTIF($K:$K,K1478)&gt;1,"DUPLICATE","OK")))</f>
        <v>OK</v>
      </c>
      <c r="K1478" s="6" t="str">
        <f aca="false">A1478&amp;"|"&amp;B1478&amp;"|"&amp;C1478&amp;"|"&amp;D1478</f>
        <v>3|3|Stephanie|spotify:track:3oEkrIfXfSh9zGnE7eBzSV</v>
      </c>
    </row>
    <row r="1479" customFormat="false" ht="15" hidden="false" customHeight="false" outlineLevel="0" collapsed="false">
      <c r="A1479" s="5" t="n">
        <v>3</v>
      </c>
      <c r="B1479" s="5" t="n">
        <v>3</v>
      </c>
      <c r="C1479" s="5" t="s">
        <v>97</v>
      </c>
      <c r="D1479" s="5" t="s">
        <v>782</v>
      </c>
      <c r="E1479" s="5" t="n">
        <v>1</v>
      </c>
      <c r="F1479" s="6" t="n">
        <f aca="false">IFERROR(MATCH(A1479&amp;"|"&amp;B1479&amp;"|"&amp;D1479,'All Song Rankings'!$T:$T,0),0)</f>
        <v>227</v>
      </c>
      <c r="G1479" s="6" t="str">
        <f aca="false">IF(F1479=0,"NOT FOUND",INDEX('All Song Rankings'!$A:$A,F1479))</f>
        <v>hot girl bummer</v>
      </c>
      <c r="H1479" s="6" t="str">
        <f aca="false">IF(F1479=0,"NOT FOUND",INDEX('All Song Rankings'!$B:$B,F1479))</f>
        <v>blackbear</v>
      </c>
      <c r="I1479" s="6" t="str">
        <f aca="false">IF(F1479=0,"NOT FOUND",INDEX('All Song Rankings'!$D:$D,F1479))</f>
        <v>Makenzie</v>
      </c>
      <c r="J1479" s="7" t="str">
        <f aca="false">IF(F1479=0,"NOT FOUND",IF(C1479=I1479,"SELF-VOTE",IF(COUNTIF($K:$K,K1479)&gt;1,"DUPLICATE","OK")))</f>
        <v>OK</v>
      </c>
      <c r="K1479" s="6" t="str">
        <f aca="false">A1479&amp;"|"&amp;B1479&amp;"|"&amp;C1479&amp;"|"&amp;D1479</f>
        <v>3|3|Stephanie|spotify:track:6jRq8gaZhMUyy5RclRPcAf</v>
      </c>
    </row>
    <row r="1480" customFormat="false" ht="15" hidden="false" customHeight="false" outlineLevel="0" collapsed="false">
      <c r="A1480" s="5" t="n">
        <v>3</v>
      </c>
      <c r="B1480" s="5" t="n">
        <v>4</v>
      </c>
      <c r="C1480" s="5" t="s">
        <v>375</v>
      </c>
      <c r="D1480" s="5" t="s">
        <v>840</v>
      </c>
      <c r="E1480" s="5" t="n">
        <v>1</v>
      </c>
      <c r="F1480" s="6" t="n">
        <f aca="false">IFERROR(MATCH(A1480&amp;"|"&amp;B1480&amp;"|"&amp;D1480,'All Song Rankings'!$T:$T,0),0)</f>
        <v>249</v>
      </c>
      <c r="G1480" s="6" t="str">
        <f aca="false">IF(F1480=0,"NOT FOUND",INDEX('All Song Rankings'!$A:$A,F1480))</f>
        <v>Stronger</v>
      </c>
      <c r="H1480" s="6" t="str">
        <f aca="false">IF(F1480=0,"NOT FOUND",INDEX('All Song Rankings'!$B:$B,F1480))</f>
        <v>Kanye West</v>
      </c>
      <c r="I1480" s="6" t="str">
        <f aca="false">IF(F1480=0,"NOT FOUND",INDEX('All Song Rankings'!$D:$D,F1480))</f>
        <v>Makenzie</v>
      </c>
      <c r="J1480" s="7" t="str">
        <f aca="false">IF(F1480=0,"NOT FOUND",IF(C1480=I1480,"SELF-VOTE",IF(COUNTIF($K:$K,K1480)&gt;1,"DUPLICATE","OK")))</f>
        <v>OK</v>
      </c>
      <c r="K1480" s="6" t="str">
        <f aca="false">A1480&amp;"|"&amp;B1480&amp;"|"&amp;C1480&amp;"|"&amp;D1480</f>
        <v>3|4|Aubrey|spotify:track:0j2T0R9dR9qdJYsB7ciXhf</v>
      </c>
    </row>
    <row r="1481" customFormat="false" ht="15" hidden="false" customHeight="false" outlineLevel="0" collapsed="false">
      <c r="A1481" s="5" t="n">
        <v>3</v>
      </c>
      <c r="B1481" s="5" t="n">
        <v>4</v>
      </c>
      <c r="C1481" s="5" t="s">
        <v>375</v>
      </c>
      <c r="D1481" s="5" t="s">
        <v>807</v>
      </c>
      <c r="E1481" s="5" t="n">
        <v>1</v>
      </c>
      <c r="F1481" s="6" t="n">
        <f aca="false">IFERROR(MATCH(A1481&amp;"|"&amp;B1481&amp;"|"&amp;D1481,'All Song Rankings'!$T:$T,0),0)</f>
        <v>238</v>
      </c>
      <c r="G1481" s="6" t="str">
        <f aca="false">IF(F1481=0,"NOT FOUND",INDEX('All Song Rankings'!$A:$A,F1481))</f>
        <v>Stick Season</v>
      </c>
      <c r="H1481" s="6" t="str">
        <f aca="false">IF(F1481=0,"NOT FOUND",INDEX('All Song Rankings'!$B:$B,F1481))</f>
        <v>Noah Kahan</v>
      </c>
      <c r="I1481" s="6" t="str">
        <f aca="false">IF(F1481=0,"NOT FOUND",INDEX('All Song Rankings'!$D:$D,F1481))</f>
        <v>Scott</v>
      </c>
      <c r="J1481" s="7" t="str">
        <f aca="false">IF(F1481=0,"NOT FOUND",IF(C1481=I1481,"SELF-VOTE",IF(COUNTIF($K:$K,K1481)&gt;1,"DUPLICATE","OK")))</f>
        <v>OK</v>
      </c>
      <c r="K1481" s="6" t="str">
        <f aca="false">A1481&amp;"|"&amp;B1481&amp;"|"&amp;C1481&amp;"|"&amp;D1481</f>
        <v>3|4|Aubrey|spotify:track:0mflMxspEfB0VbI1kyLiAv</v>
      </c>
    </row>
    <row r="1482" customFormat="false" ht="15" hidden="false" customHeight="false" outlineLevel="0" collapsed="false">
      <c r="A1482" s="5" t="n">
        <v>3</v>
      </c>
      <c r="B1482" s="5" t="n">
        <v>4</v>
      </c>
      <c r="C1482" s="5" t="s">
        <v>375</v>
      </c>
      <c r="D1482" s="5" t="s">
        <v>849</v>
      </c>
      <c r="E1482" s="5" t="n">
        <v>1</v>
      </c>
      <c r="F1482" s="6" t="n">
        <f aca="false">IFERROR(MATCH(A1482&amp;"|"&amp;B1482&amp;"|"&amp;D1482,'All Song Rankings'!$T:$T,0),0)</f>
        <v>252</v>
      </c>
      <c r="G1482" s="6" t="str">
        <f aca="false">IF(F1482=0,"NOT FOUND",INDEX('All Song Rankings'!$A:$A,F1482))</f>
        <v>Stressed Out</v>
      </c>
      <c r="H1482" s="6" t="str">
        <f aca="false">IF(F1482=0,"NOT FOUND",INDEX('All Song Rankings'!$B:$B,F1482))</f>
        <v>Twenty One Pilots</v>
      </c>
      <c r="I1482" s="6" t="str">
        <f aca="false">IF(F1482=0,"NOT FOUND",INDEX('All Song Rankings'!$D:$D,F1482))</f>
        <v>Grace</v>
      </c>
      <c r="J1482" s="7" t="str">
        <f aca="false">IF(F1482=0,"NOT FOUND",IF(C1482=I1482,"SELF-VOTE",IF(COUNTIF($K:$K,K1482)&gt;1,"DUPLICATE","OK")))</f>
        <v>OK</v>
      </c>
      <c r="K1482" s="6" t="str">
        <f aca="false">A1482&amp;"|"&amp;B1482&amp;"|"&amp;C1482&amp;"|"&amp;D1482</f>
        <v>3|4|Aubrey|spotify:track:3CRDbSIZ4r5MsZ0YwxuEkn</v>
      </c>
    </row>
    <row r="1483" customFormat="false" ht="15" hidden="false" customHeight="false" outlineLevel="0" collapsed="false">
      <c r="A1483" s="5" t="n">
        <v>3</v>
      </c>
      <c r="B1483" s="5" t="n">
        <v>4</v>
      </c>
      <c r="C1483" s="5" t="s">
        <v>375</v>
      </c>
      <c r="D1483" s="5" t="s">
        <v>810</v>
      </c>
      <c r="E1483" s="5" t="n">
        <v>1</v>
      </c>
      <c r="F1483" s="6" t="n">
        <f aca="false">IFERROR(MATCH(A1483&amp;"|"&amp;B1483&amp;"|"&amp;D1483,'All Song Rankings'!$T:$T,0),0)</f>
        <v>239</v>
      </c>
      <c r="G1483" s="6" t="str">
        <f aca="false">IF(F1483=0,"NOT FOUND",INDEX('All Song Rankings'!$A:$A,F1483))</f>
        <v>Northern Attitude (with Hozier)</v>
      </c>
      <c r="H1483" s="6" t="str">
        <f aca="false">IF(F1483=0,"NOT FOUND",INDEX('All Song Rankings'!$B:$B,F1483))</f>
        <v>Noah Kahan, Hozier</v>
      </c>
      <c r="I1483" s="6" t="str">
        <f aca="false">IF(F1483=0,"NOT FOUND",INDEX('All Song Rankings'!$D:$D,F1483))</f>
        <v>Colleen</v>
      </c>
      <c r="J1483" s="7" t="str">
        <f aca="false">IF(F1483=0,"NOT FOUND",IF(C1483=I1483,"SELF-VOTE",IF(COUNTIF($K:$K,K1483)&gt;1,"DUPLICATE","OK")))</f>
        <v>OK</v>
      </c>
      <c r="K1483" s="6" t="str">
        <f aca="false">A1483&amp;"|"&amp;B1483&amp;"|"&amp;C1483&amp;"|"&amp;D1483</f>
        <v>3|4|Aubrey|spotify:track:4oEf84vBYVftf6KmZexhVo</v>
      </c>
    </row>
    <row r="1484" customFormat="false" ht="15" hidden="false" customHeight="false" outlineLevel="0" collapsed="false">
      <c r="A1484" s="5" t="n">
        <v>3</v>
      </c>
      <c r="B1484" s="5" t="n">
        <v>4</v>
      </c>
      <c r="C1484" s="5" t="s">
        <v>375</v>
      </c>
      <c r="D1484" s="5" t="s">
        <v>813</v>
      </c>
      <c r="E1484" s="5" t="n">
        <v>2</v>
      </c>
      <c r="F1484" s="6" t="n">
        <f aca="false">IFERROR(MATCH(A1484&amp;"|"&amp;B1484&amp;"|"&amp;D1484,'All Song Rankings'!$T:$T,0),0)</f>
        <v>240</v>
      </c>
      <c r="G1484" s="6" t="str">
        <f aca="false">IF(F1484=0,"NOT FOUND",INDEX('All Song Rankings'!$A:$A,F1484))</f>
        <v>Feeling Good</v>
      </c>
      <c r="H1484" s="6" t="str">
        <f aca="false">IF(F1484=0,"NOT FOUND",INDEX('All Song Rankings'!$B:$B,F1484))</f>
        <v>Nina Simone</v>
      </c>
      <c r="I1484" s="6" t="str">
        <f aca="false">IF(F1484=0,"NOT FOUND",INDEX('All Song Rankings'!$D:$D,F1484))</f>
        <v>Logan</v>
      </c>
      <c r="J1484" s="7" t="str">
        <f aca="false">IF(F1484=0,"NOT FOUND",IF(C1484=I1484,"SELF-VOTE",IF(COUNTIF($K:$K,K1484)&gt;1,"DUPLICATE","OK")))</f>
        <v>OK</v>
      </c>
      <c r="K1484" s="6" t="str">
        <f aca="false">A1484&amp;"|"&amp;B1484&amp;"|"&amp;C1484&amp;"|"&amp;D1484</f>
        <v>3|4|Aubrey|spotify:track:6Rqn2GFlmvmV4w9Ala0I1e</v>
      </c>
    </row>
    <row r="1485" customFormat="false" ht="15" hidden="false" customHeight="false" outlineLevel="0" collapsed="false">
      <c r="A1485" s="5" t="n">
        <v>3</v>
      </c>
      <c r="B1485" s="5" t="n">
        <v>4</v>
      </c>
      <c r="C1485" s="5" t="s">
        <v>375</v>
      </c>
      <c r="D1485" s="5" t="s">
        <v>846</v>
      </c>
      <c r="E1485" s="5" t="n">
        <v>1</v>
      </c>
      <c r="F1485" s="6" t="n">
        <f aca="false">IFERROR(MATCH(A1485&amp;"|"&amp;B1485&amp;"|"&amp;D1485,'All Song Rankings'!$T:$T,0),0)</f>
        <v>251</v>
      </c>
      <c r="G1485" s="6" t="str">
        <f aca="false">IF(F1485=0,"NOT FOUND",INDEX('All Song Rankings'!$A:$A,F1485))</f>
        <v>Send Me On My Way</v>
      </c>
      <c r="H1485" s="6" t="str">
        <f aca="false">IF(F1485=0,"NOT FOUND",INDEX('All Song Rankings'!$B:$B,F1485))</f>
        <v>Rusted Root</v>
      </c>
      <c r="I1485" s="6" t="str">
        <f aca="false">IF(F1485=0,"NOT FOUND",INDEX('All Song Rankings'!$D:$D,F1485))</f>
        <v>Kristen</v>
      </c>
      <c r="J1485" s="7" t="str">
        <f aca="false">IF(F1485=0,"NOT FOUND",IF(C1485=I1485,"SELF-VOTE",IF(COUNTIF($K:$K,K1485)&gt;1,"DUPLICATE","OK")))</f>
        <v>OK</v>
      </c>
      <c r="K1485" s="6" t="str">
        <f aca="false">A1485&amp;"|"&amp;B1485&amp;"|"&amp;C1485&amp;"|"&amp;D1485</f>
        <v>3|4|Aubrey|spotify:track:6XK6Zw6JkFsHXzAcMWNiIr</v>
      </c>
    </row>
    <row r="1486" customFormat="false" ht="15" hidden="false" customHeight="false" outlineLevel="0" collapsed="false">
      <c r="A1486" s="5" t="n">
        <v>3</v>
      </c>
      <c r="B1486" s="5" t="n">
        <v>4</v>
      </c>
      <c r="C1486" s="5" t="s">
        <v>375</v>
      </c>
      <c r="D1486" s="5" t="s">
        <v>834</v>
      </c>
      <c r="E1486" s="5" t="n">
        <v>1</v>
      </c>
      <c r="F1486" s="6" t="n">
        <f aca="false">IFERROR(MATCH(A1486&amp;"|"&amp;B1486&amp;"|"&amp;D1486,'All Song Rankings'!$T:$T,0),0)</f>
        <v>247</v>
      </c>
      <c r="G1486" s="6" t="str">
        <f aca="false">IF(F1486=0,"NOT FOUND",INDEX('All Song Rankings'!$A:$A,F1486))</f>
        <v>New York State of Mind</v>
      </c>
      <c r="H1486" s="6" t="str">
        <f aca="false">IF(F1486=0,"NOT FOUND",INDEX('All Song Rankings'!$B:$B,F1486))</f>
        <v>Billy Joel</v>
      </c>
      <c r="I1486" s="6" t="str">
        <f aca="false">IF(F1486=0,"NOT FOUND",INDEX('All Song Rankings'!$D:$D,F1486))</f>
        <v>Christine</v>
      </c>
      <c r="J1486" s="7" t="str">
        <f aca="false">IF(F1486=0,"NOT FOUND",IF(C1486=I1486,"SELF-VOTE",IF(COUNTIF($K:$K,K1486)&gt;1,"DUPLICATE","OK")))</f>
        <v>OK</v>
      </c>
      <c r="K1486" s="6" t="str">
        <f aca="false">A1486&amp;"|"&amp;B1486&amp;"|"&amp;C1486&amp;"|"&amp;D1486</f>
        <v>3|4|Aubrey|spotify:track:6yjKlmm7vOszkXEUku1EM1</v>
      </c>
    </row>
    <row r="1487" customFormat="false" ht="15" hidden="false" customHeight="false" outlineLevel="0" collapsed="false">
      <c r="A1487" s="5" t="n">
        <v>3</v>
      </c>
      <c r="B1487" s="5" t="n">
        <v>4</v>
      </c>
      <c r="C1487" s="5" t="s">
        <v>375</v>
      </c>
      <c r="D1487" s="5" t="s">
        <v>829</v>
      </c>
      <c r="E1487" s="5" t="n">
        <v>1</v>
      </c>
      <c r="F1487" s="6" t="n">
        <f aca="false">IFERROR(MATCH(A1487&amp;"|"&amp;B1487&amp;"|"&amp;D1487,'All Song Rankings'!$T:$T,0),0)</f>
        <v>245</v>
      </c>
      <c r="G1487" s="6" t="str">
        <f aca="false">IF(F1487=0,"NOT FOUND",INDEX('All Song Rankings'!$A:$A,F1487))</f>
        <v>Simple Man</v>
      </c>
      <c r="H1487" s="6" t="str">
        <f aca="false">IF(F1487=0,"NOT FOUND",INDEX('All Song Rankings'!$B:$B,F1487))</f>
        <v>Shinedown</v>
      </c>
      <c r="I1487" s="6" t="str">
        <f aca="false">IF(F1487=0,"NOT FOUND",INDEX('All Song Rankings'!$D:$D,F1487))</f>
        <v>Lisa</v>
      </c>
      <c r="J1487" s="7" t="str">
        <f aca="false">IF(F1487=0,"NOT FOUND",IF(C1487=I1487,"SELF-VOTE",IF(COUNTIF($K:$K,K1487)&gt;1,"DUPLICATE","OK")))</f>
        <v>OK</v>
      </c>
      <c r="K1487" s="6" t="str">
        <f aca="false">A1487&amp;"|"&amp;B1487&amp;"|"&amp;C1487&amp;"|"&amp;D1487</f>
        <v>3|4|Aubrey|spotify:track:7gmfoXsjwQYn6HeHUYRpY2</v>
      </c>
    </row>
    <row r="1488" customFormat="false" ht="15" hidden="false" customHeight="false" outlineLevel="0" collapsed="false">
      <c r="A1488" s="5" t="n">
        <v>3</v>
      </c>
      <c r="B1488" s="5" t="n">
        <v>4</v>
      </c>
      <c r="C1488" s="5" t="s">
        <v>375</v>
      </c>
      <c r="D1488" s="5" t="s">
        <v>826</v>
      </c>
      <c r="E1488" s="5" t="n">
        <v>1</v>
      </c>
      <c r="F1488" s="6" t="n">
        <f aca="false">IFERROR(MATCH(A1488&amp;"|"&amp;B1488&amp;"|"&amp;D1488,'All Song Rankings'!$T:$T,0),0)</f>
        <v>244</v>
      </c>
      <c r="G1488" s="6" t="str">
        <f aca="false">IF(F1488=0,"NOT FOUND",INDEX('All Song Rankings'!$A:$A,F1488))</f>
        <v>Fighter</v>
      </c>
      <c r="H1488" s="6" t="str">
        <f aca="false">IF(F1488=0,"NOT FOUND",INDEX('All Song Rankings'!$B:$B,F1488))</f>
        <v>Christina Aguilera</v>
      </c>
      <c r="I1488" s="6" t="str">
        <f aca="false">IF(F1488=0,"NOT FOUND",INDEX('All Song Rankings'!$D:$D,F1488))</f>
        <v>Kelsey</v>
      </c>
      <c r="J1488" s="7" t="str">
        <f aca="false">IF(F1488=0,"NOT FOUND",IF(C1488=I1488,"SELF-VOTE",IF(COUNTIF($K:$K,K1488)&gt;1,"DUPLICATE","OK")))</f>
        <v>OK</v>
      </c>
      <c r="K1488" s="6" t="str">
        <f aca="false">A1488&amp;"|"&amp;B1488&amp;"|"&amp;C1488&amp;"|"&amp;D1488</f>
        <v>3|4|Aubrey|spotify:track:7nXq1vaZiz7PdbfojpPjW5</v>
      </c>
    </row>
    <row r="1489" customFormat="false" ht="15" hidden="false" customHeight="false" outlineLevel="0" collapsed="false">
      <c r="A1489" s="5" t="n">
        <v>3</v>
      </c>
      <c r="B1489" s="5" t="n">
        <v>4</v>
      </c>
      <c r="C1489" s="5" t="s">
        <v>719</v>
      </c>
      <c r="D1489" s="5" t="s">
        <v>843</v>
      </c>
      <c r="E1489" s="5" t="n">
        <v>1</v>
      </c>
      <c r="F1489" s="6" t="n">
        <f aca="false">IFERROR(MATCH(A1489&amp;"|"&amp;B1489&amp;"|"&amp;D1489,'All Song Rankings'!$T:$T,0),0)</f>
        <v>250</v>
      </c>
      <c r="G1489" s="6" t="str">
        <f aca="false">IF(F1489=0,"NOT FOUND",INDEX('All Song Rankings'!$A:$A,F1489))</f>
        <v>Sober</v>
      </c>
      <c r="H1489" s="6" t="str">
        <f aca="false">IF(F1489=0,"NOT FOUND",INDEX('All Song Rankings'!$B:$B,F1489))</f>
        <v>Gavin Adcock</v>
      </c>
      <c r="I1489" s="6" t="str">
        <f aca="false">IF(F1489=0,"NOT FOUND",INDEX('All Song Rankings'!$D:$D,F1489))</f>
        <v>Nicole</v>
      </c>
      <c r="J1489" s="7" t="str">
        <f aca="false">IF(F1489=0,"NOT FOUND",IF(C1489=I1489,"SELF-VOTE",IF(COUNTIF($K:$K,K1489)&gt;1,"DUPLICATE","OK")))</f>
        <v>OK</v>
      </c>
      <c r="K1489" s="6" t="str">
        <f aca="false">A1489&amp;"|"&amp;B1489&amp;"|"&amp;C1489&amp;"|"&amp;D1489</f>
        <v>3|4|Christine|spotify:track:0jLT7x0Q0MTtTNPGLwy8AK</v>
      </c>
    </row>
    <row r="1490" customFormat="false" ht="15" hidden="false" customHeight="false" outlineLevel="0" collapsed="false">
      <c r="A1490" s="5" t="n">
        <v>3</v>
      </c>
      <c r="B1490" s="5" t="n">
        <v>4</v>
      </c>
      <c r="C1490" s="5" t="s">
        <v>719</v>
      </c>
      <c r="D1490" s="5" t="s">
        <v>849</v>
      </c>
      <c r="E1490" s="5" t="n">
        <v>1</v>
      </c>
      <c r="F1490" s="6" t="n">
        <f aca="false">IFERROR(MATCH(A1490&amp;"|"&amp;B1490&amp;"|"&amp;D1490,'All Song Rankings'!$T:$T,0),0)</f>
        <v>252</v>
      </c>
      <c r="G1490" s="6" t="str">
        <f aca="false">IF(F1490=0,"NOT FOUND",INDEX('All Song Rankings'!$A:$A,F1490))</f>
        <v>Stressed Out</v>
      </c>
      <c r="H1490" s="6" t="str">
        <f aca="false">IF(F1490=0,"NOT FOUND",INDEX('All Song Rankings'!$B:$B,F1490))</f>
        <v>Twenty One Pilots</v>
      </c>
      <c r="I1490" s="6" t="str">
        <f aca="false">IF(F1490=0,"NOT FOUND",INDEX('All Song Rankings'!$D:$D,F1490))</f>
        <v>Grace</v>
      </c>
      <c r="J1490" s="7" t="str">
        <f aca="false">IF(F1490=0,"NOT FOUND",IF(C1490=I1490,"SELF-VOTE",IF(COUNTIF($K:$K,K1490)&gt;1,"DUPLICATE","OK")))</f>
        <v>OK</v>
      </c>
      <c r="K1490" s="6" t="str">
        <f aca="false">A1490&amp;"|"&amp;B1490&amp;"|"&amp;C1490&amp;"|"&amp;D1490</f>
        <v>3|4|Christine|spotify:track:3CRDbSIZ4r5MsZ0YwxuEkn</v>
      </c>
    </row>
    <row r="1491" customFormat="false" ht="15" hidden="false" customHeight="false" outlineLevel="0" collapsed="false">
      <c r="A1491" s="5" t="n">
        <v>3</v>
      </c>
      <c r="B1491" s="5" t="n">
        <v>4</v>
      </c>
      <c r="C1491" s="5" t="s">
        <v>719</v>
      </c>
      <c r="D1491" s="5" t="s">
        <v>837</v>
      </c>
      <c r="E1491" s="5" t="n">
        <v>1</v>
      </c>
      <c r="F1491" s="6" t="n">
        <f aca="false">IFERROR(MATCH(A1491&amp;"|"&amp;B1491&amp;"|"&amp;D1491,'All Song Rankings'!$T:$T,0),0)</f>
        <v>248</v>
      </c>
      <c r="G1491" s="6" t="str">
        <f aca="false">IF(F1491=0,"NOT FOUND",INDEX('All Song Rankings'!$A:$A,F1491))</f>
        <v>Torn to Pieces</v>
      </c>
      <c r="H1491" s="6" t="str">
        <f aca="false">IF(F1491=0,"NOT FOUND",INDEX('All Song Rankings'!$B:$B,F1491))</f>
        <v>Pop Evil</v>
      </c>
      <c r="I1491" s="6" t="str">
        <f aca="false">IF(F1491=0,"NOT FOUND",INDEX('All Song Rankings'!$D:$D,F1491))</f>
        <v>Leah</v>
      </c>
      <c r="J1491" s="7" t="str">
        <f aca="false">IF(F1491=0,"NOT FOUND",IF(C1491=I1491,"SELF-VOTE",IF(COUNTIF($K:$K,K1491)&gt;1,"DUPLICATE","OK")))</f>
        <v>OK</v>
      </c>
      <c r="K1491" s="6" t="str">
        <f aca="false">A1491&amp;"|"&amp;B1491&amp;"|"&amp;C1491&amp;"|"&amp;D1491</f>
        <v>3|4|Christine|spotify:track:3gLvDdJVhHLWWkgzTbYeJB</v>
      </c>
    </row>
    <row r="1492" customFormat="false" ht="15" hidden="false" customHeight="false" outlineLevel="0" collapsed="false">
      <c r="A1492" s="5" t="n">
        <v>3</v>
      </c>
      <c r="B1492" s="5" t="n">
        <v>4</v>
      </c>
      <c r="C1492" s="5" t="s">
        <v>719</v>
      </c>
      <c r="D1492" s="5" t="s">
        <v>823</v>
      </c>
      <c r="E1492" s="5" t="n">
        <v>1</v>
      </c>
      <c r="F1492" s="6" t="n">
        <f aca="false">IFERROR(MATCH(A1492&amp;"|"&amp;B1492&amp;"|"&amp;D1492,'All Song Rankings'!$T:$T,0),0)</f>
        <v>243</v>
      </c>
      <c r="G1492" s="6" t="str">
        <f aca="false">IF(F1492=0,"NOT FOUND",INDEX('All Song Rankings'!$A:$A,F1492))</f>
        <v>Barefoot Blue Jean Night</v>
      </c>
      <c r="H1492" s="6" t="str">
        <f aca="false">IF(F1492=0,"NOT FOUND",INDEX('All Song Rankings'!$B:$B,F1492))</f>
        <v>Jake Owen</v>
      </c>
      <c r="I1492" s="6" t="str">
        <f aca="false">IF(F1492=0,"NOT FOUND",INDEX('All Song Rankings'!$D:$D,F1492))</f>
        <v>Aubrey</v>
      </c>
      <c r="J1492" s="7" t="str">
        <f aca="false">IF(F1492=0,"NOT FOUND",IF(C1492=I1492,"SELF-VOTE",IF(COUNTIF($K:$K,K1492)&gt;1,"DUPLICATE","OK")))</f>
        <v>OK</v>
      </c>
      <c r="K1492" s="6" t="str">
        <f aca="false">A1492&amp;"|"&amp;B1492&amp;"|"&amp;C1492&amp;"|"&amp;D1492</f>
        <v>3|4|Christine|spotify:track:3ts6xK5GzfMAAriT9AIBmP</v>
      </c>
    </row>
    <row r="1493" customFormat="false" ht="15" hidden="false" customHeight="false" outlineLevel="0" collapsed="false">
      <c r="A1493" s="5" t="n">
        <v>3</v>
      </c>
      <c r="B1493" s="5" t="n">
        <v>4</v>
      </c>
      <c r="C1493" s="5" t="s">
        <v>719</v>
      </c>
      <c r="D1493" s="5" t="s">
        <v>820</v>
      </c>
      <c r="E1493" s="5" t="n">
        <v>1</v>
      </c>
      <c r="F1493" s="6" t="n">
        <f aca="false">IFERROR(MATCH(A1493&amp;"|"&amp;B1493&amp;"|"&amp;D1493,'All Song Rankings'!$T:$T,0),0)</f>
        <v>242</v>
      </c>
      <c r="G1493" s="6" t="str">
        <f aca="false">IF(F1493=0,"NOT FOUND",INDEX('All Song Rankings'!$A:$A,F1493))</f>
        <v>Doin' Time</v>
      </c>
      <c r="H1493" s="6" t="str">
        <f aca="false">IF(F1493=0,"NOT FOUND",INDEX('All Song Rankings'!$B:$B,F1493))</f>
        <v>Sublime</v>
      </c>
      <c r="I1493" s="6" t="str">
        <f aca="false">IF(F1493=0,"NOT FOUND",INDEX('All Song Rankings'!$D:$D,F1493))</f>
        <v>Matt</v>
      </c>
      <c r="J1493" s="7" t="str">
        <f aca="false">IF(F1493=0,"NOT FOUND",IF(C1493=I1493,"SELF-VOTE",IF(COUNTIF($K:$K,K1493)&gt;1,"DUPLICATE","OK")))</f>
        <v>OK</v>
      </c>
      <c r="K1493" s="6" t="str">
        <f aca="false">A1493&amp;"|"&amp;B1493&amp;"|"&amp;C1493&amp;"|"&amp;D1493</f>
        <v>3|4|Christine|spotify:track:4eamJr2k9YDH8j58RSTmSc</v>
      </c>
    </row>
    <row r="1494" customFormat="false" ht="15" hidden="false" customHeight="false" outlineLevel="0" collapsed="false">
      <c r="A1494" s="5" t="n">
        <v>3</v>
      </c>
      <c r="B1494" s="5" t="n">
        <v>4</v>
      </c>
      <c r="C1494" s="5" t="s">
        <v>719</v>
      </c>
      <c r="D1494" s="5" t="s">
        <v>810</v>
      </c>
      <c r="E1494" s="5" t="n">
        <v>1</v>
      </c>
      <c r="F1494" s="6" t="n">
        <f aca="false">IFERROR(MATCH(A1494&amp;"|"&amp;B1494&amp;"|"&amp;D1494,'All Song Rankings'!$T:$T,0),0)</f>
        <v>239</v>
      </c>
      <c r="G1494" s="6" t="str">
        <f aca="false">IF(F1494=0,"NOT FOUND",INDEX('All Song Rankings'!$A:$A,F1494))</f>
        <v>Northern Attitude (with Hozier)</v>
      </c>
      <c r="H1494" s="6" t="str">
        <f aca="false">IF(F1494=0,"NOT FOUND",INDEX('All Song Rankings'!$B:$B,F1494))</f>
        <v>Noah Kahan, Hozier</v>
      </c>
      <c r="I1494" s="6" t="str">
        <f aca="false">IF(F1494=0,"NOT FOUND",INDEX('All Song Rankings'!$D:$D,F1494))</f>
        <v>Colleen</v>
      </c>
      <c r="J1494" s="7" t="str">
        <f aca="false">IF(F1494=0,"NOT FOUND",IF(C1494=I1494,"SELF-VOTE",IF(COUNTIF($K:$K,K1494)&gt;1,"DUPLICATE","OK")))</f>
        <v>OK</v>
      </c>
      <c r="K1494" s="6" t="str">
        <f aca="false">A1494&amp;"|"&amp;B1494&amp;"|"&amp;C1494&amp;"|"&amp;D1494</f>
        <v>3|4|Christine|spotify:track:4oEf84vBYVftf6KmZexhVo</v>
      </c>
    </row>
    <row r="1495" customFormat="false" ht="15" hidden="false" customHeight="false" outlineLevel="0" collapsed="false">
      <c r="A1495" s="5" t="n">
        <v>3</v>
      </c>
      <c r="B1495" s="5" t="n">
        <v>4</v>
      </c>
      <c r="C1495" s="5" t="s">
        <v>719</v>
      </c>
      <c r="D1495" s="5" t="s">
        <v>813</v>
      </c>
      <c r="E1495" s="5" t="n">
        <v>1</v>
      </c>
      <c r="F1495" s="6" t="n">
        <f aca="false">IFERROR(MATCH(A1495&amp;"|"&amp;B1495&amp;"|"&amp;D1495,'All Song Rankings'!$T:$T,0),0)</f>
        <v>240</v>
      </c>
      <c r="G1495" s="6" t="str">
        <f aca="false">IF(F1495=0,"NOT FOUND",INDEX('All Song Rankings'!$A:$A,F1495))</f>
        <v>Feeling Good</v>
      </c>
      <c r="H1495" s="6" t="str">
        <f aca="false">IF(F1495=0,"NOT FOUND",INDEX('All Song Rankings'!$B:$B,F1495))</f>
        <v>Nina Simone</v>
      </c>
      <c r="I1495" s="6" t="str">
        <f aca="false">IF(F1495=0,"NOT FOUND",INDEX('All Song Rankings'!$D:$D,F1495))</f>
        <v>Logan</v>
      </c>
      <c r="J1495" s="7" t="str">
        <f aca="false">IF(F1495=0,"NOT FOUND",IF(C1495=I1495,"SELF-VOTE",IF(COUNTIF($K:$K,K1495)&gt;1,"DUPLICATE","OK")))</f>
        <v>OK</v>
      </c>
      <c r="K1495" s="6" t="str">
        <f aca="false">A1495&amp;"|"&amp;B1495&amp;"|"&amp;C1495&amp;"|"&amp;D1495</f>
        <v>3|4|Christine|spotify:track:6Rqn2GFlmvmV4w9Ala0I1e</v>
      </c>
    </row>
    <row r="1496" customFormat="false" ht="15" hidden="false" customHeight="false" outlineLevel="0" collapsed="false">
      <c r="A1496" s="5" t="n">
        <v>3</v>
      </c>
      <c r="B1496" s="5" t="n">
        <v>4</v>
      </c>
      <c r="C1496" s="5" t="s">
        <v>719</v>
      </c>
      <c r="D1496" s="5" t="s">
        <v>846</v>
      </c>
      <c r="E1496" s="5" t="n">
        <v>1</v>
      </c>
      <c r="F1496" s="6" t="n">
        <f aca="false">IFERROR(MATCH(A1496&amp;"|"&amp;B1496&amp;"|"&amp;D1496,'All Song Rankings'!$T:$T,0),0)</f>
        <v>251</v>
      </c>
      <c r="G1496" s="6" t="str">
        <f aca="false">IF(F1496=0,"NOT FOUND",INDEX('All Song Rankings'!$A:$A,F1496))</f>
        <v>Send Me On My Way</v>
      </c>
      <c r="H1496" s="6" t="str">
        <f aca="false">IF(F1496=0,"NOT FOUND",INDEX('All Song Rankings'!$B:$B,F1496))</f>
        <v>Rusted Root</v>
      </c>
      <c r="I1496" s="6" t="str">
        <f aca="false">IF(F1496=0,"NOT FOUND",INDEX('All Song Rankings'!$D:$D,F1496))</f>
        <v>Kristen</v>
      </c>
      <c r="J1496" s="7" t="str">
        <f aca="false">IF(F1496=0,"NOT FOUND",IF(C1496=I1496,"SELF-VOTE",IF(COUNTIF($K:$K,K1496)&gt;1,"DUPLICATE","OK")))</f>
        <v>OK</v>
      </c>
      <c r="K1496" s="6" t="str">
        <f aca="false">A1496&amp;"|"&amp;B1496&amp;"|"&amp;C1496&amp;"|"&amp;D1496</f>
        <v>3|4|Christine|spotify:track:6XK6Zw6JkFsHXzAcMWNiIr</v>
      </c>
    </row>
    <row r="1497" customFormat="false" ht="15" hidden="false" customHeight="false" outlineLevel="0" collapsed="false">
      <c r="A1497" s="5" t="n">
        <v>3</v>
      </c>
      <c r="B1497" s="5" t="n">
        <v>4</v>
      </c>
      <c r="C1497" s="5" t="s">
        <v>719</v>
      </c>
      <c r="D1497" s="5" t="s">
        <v>832</v>
      </c>
      <c r="E1497" s="5" t="n">
        <v>1</v>
      </c>
      <c r="F1497" s="6" t="n">
        <f aca="false">IFERROR(MATCH(A1497&amp;"|"&amp;B1497&amp;"|"&amp;D1497,'All Song Rankings'!$T:$T,0),0)</f>
        <v>246</v>
      </c>
      <c r="G1497" s="6" t="str">
        <f aca="false">IF(F1497=0,"NOT FOUND",INDEX('All Song Rankings'!$A:$A,F1497))</f>
        <v>Shattered (Turn The Car Around)</v>
      </c>
      <c r="H1497" s="6" t="str">
        <f aca="false">IF(F1497=0,"NOT FOUND",INDEX('All Song Rankings'!$B:$B,F1497))</f>
        <v>O.A.R.</v>
      </c>
      <c r="I1497" s="6" t="str">
        <f aca="false">IF(F1497=0,"NOT FOUND",INDEX('All Song Rankings'!$D:$D,F1497))</f>
        <v>Stephanie</v>
      </c>
      <c r="J1497" s="7" t="str">
        <f aca="false">IF(F1497=0,"NOT FOUND",IF(C1497=I1497,"SELF-VOTE",IF(COUNTIF($K:$K,K1497)&gt;1,"DUPLICATE","OK")))</f>
        <v>OK</v>
      </c>
      <c r="K1497" s="6" t="str">
        <f aca="false">A1497&amp;"|"&amp;B1497&amp;"|"&amp;C1497&amp;"|"&amp;D1497</f>
        <v>3|4|Christine|spotify:track:6jlqDfX8TQNxcaAz5oxYJA</v>
      </c>
    </row>
    <row r="1498" customFormat="false" ht="15" hidden="false" customHeight="false" outlineLevel="0" collapsed="false">
      <c r="A1498" s="5" t="n">
        <v>3</v>
      </c>
      <c r="B1498" s="5" t="n">
        <v>4</v>
      </c>
      <c r="C1498" s="5" t="s">
        <v>719</v>
      </c>
      <c r="D1498" s="5" t="s">
        <v>829</v>
      </c>
      <c r="E1498" s="5" t="n">
        <v>1</v>
      </c>
      <c r="F1498" s="6" t="n">
        <f aca="false">IFERROR(MATCH(A1498&amp;"|"&amp;B1498&amp;"|"&amp;D1498,'All Song Rankings'!$T:$T,0),0)</f>
        <v>245</v>
      </c>
      <c r="G1498" s="6" t="str">
        <f aca="false">IF(F1498=0,"NOT FOUND",INDEX('All Song Rankings'!$A:$A,F1498))</f>
        <v>Simple Man</v>
      </c>
      <c r="H1498" s="6" t="str">
        <f aca="false">IF(F1498=0,"NOT FOUND",INDEX('All Song Rankings'!$B:$B,F1498))</f>
        <v>Shinedown</v>
      </c>
      <c r="I1498" s="6" t="str">
        <f aca="false">IF(F1498=0,"NOT FOUND",INDEX('All Song Rankings'!$D:$D,F1498))</f>
        <v>Lisa</v>
      </c>
      <c r="J1498" s="7" t="str">
        <f aca="false">IF(F1498=0,"NOT FOUND",IF(C1498=I1498,"SELF-VOTE",IF(COUNTIF($K:$K,K1498)&gt;1,"DUPLICATE","OK")))</f>
        <v>OK</v>
      </c>
      <c r="K1498" s="6" t="str">
        <f aca="false">A1498&amp;"|"&amp;B1498&amp;"|"&amp;C1498&amp;"|"&amp;D1498</f>
        <v>3|4|Christine|spotify:track:7gmfoXsjwQYn6HeHUYRpY2</v>
      </c>
    </row>
    <row r="1499" customFormat="false" ht="15" hidden="false" customHeight="false" outlineLevel="0" collapsed="false">
      <c r="A1499" s="5" t="n">
        <v>3</v>
      </c>
      <c r="B1499" s="5" t="n">
        <v>4</v>
      </c>
      <c r="C1499" s="5" t="s">
        <v>637</v>
      </c>
      <c r="D1499" s="5" t="s">
        <v>843</v>
      </c>
      <c r="E1499" s="5" t="n">
        <v>1</v>
      </c>
      <c r="F1499" s="6" t="n">
        <f aca="false">IFERROR(MATCH(A1499&amp;"|"&amp;B1499&amp;"|"&amp;D1499,'All Song Rankings'!$T:$T,0),0)</f>
        <v>250</v>
      </c>
      <c r="G1499" s="6" t="str">
        <f aca="false">IF(F1499=0,"NOT FOUND",INDEX('All Song Rankings'!$A:$A,F1499))</f>
        <v>Sober</v>
      </c>
      <c r="H1499" s="6" t="str">
        <f aca="false">IF(F1499=0,"NOT FOUND",INDEX('All Song Rankings'!$B:$B,F1499))</f>
        <v>Gavin Adcock</v>
      </c>
      <c r="I1499" s="6" t="str">
        <f aca="false">IF(F1499=0,"NOT FOUND",INDEX('All Song Rankings'!$D:$D,F1499))</f>
        <v>Nicole</v>
      </c>
      <c r="J1499" s="7" t="str">
        <f aca="false">IF(F1499=0,"NOT FOUND",IF(C1499=I1499,"SELF-VOTE",IF(COUNTIF($K:$K,K1499)&gt;1,"DUPLICATE","OK")))</f>
        <v>OK</v>
      </c>
      <c r="K1499" s="6" t="str">
        <f aca="false">A1499&amp;"|"&amp;B1499&amp;"|"&amp;C1499&amp;"|"&amp;D1499</f>
        <v>3|4|Colleen|spotify:track:0jLT7x0Q0MTtTNPGLwy8AK</v>
      </c>
    </row>
    <row r="1500" customFormat="false" ht="15" hidden="false" customHeight="false" outlineLevel="0" collapsed="false">
      <c r="A1500" s="5" t="n">
        <v>3</v>
      </c>
      <c r="B1500" s="5" t="n">
        <v>4</v>
      </c>
      <c r="C1500" s="5" t="s">
        <v>637</v>
      </c>
      <c r="D1500" s="5" t="s">
        <v>807</v>
      </c>
      <c r="E1500" s="5" t="n">
        <v>1</v>
      </c>
      <c r="F1500" s="6" t="n">
        <f aca="false">IFERROR(MATCH(A1500&amp;"|"&amp;B1500&amp;"|"&amp;D1500,'All Song Rankings'!$T:$T,0),0)</f>
        <v>238</v>
      </c>
      <c r="G1500" s="6" t="str">
        <f aca="false">IF(F1500=0,"NOT FOUND",INDEX('All Song Rankings'!$A:$A,F1500))</f>
        <v>Stick Season</v>
      </c>
      <c r="H1500" s="6" t="str">
        <f aca="false">IF(F1500=0,"NOT FOUND",INDEX('All Song Rankings'!$B:$B,F1500))</f>
        <v>Noah Kahan</v>
      </c>
      <c r="I1500" s="6" t="str">
        <f aca="false">IF(F1500=0,"NOT FOUND",INDEX('All Song Rankings'!$D:$D,F1500))</f>
        <v>Scott</v>
      </c>
      <c r="J1500" s="7" t="str">
        <f aca="false">IF(F1500=0,"NOT FOUND",IF(C1500=I1500,"SELF-VOTE",IF(COUNTIF($K:$K,K1500)&gt;1,"DUPLICATE","OK")))</f>
        <v>OK</v>
      </c>
      <c r="K1500" s="6" t="str">
        <f aca="false">A1500&amp;"|"&amp;B1500&amp;"|"&amp;C1500&amp;"|"&amp;D1500</f>
        <v>3|4|Colleen|spotify:track:0mflMxspEfB0VbI1kyLiAv</v>
      </c>
    </row>
    <row r="1501" customFormat="false" ht="15" hidden="false" customHeight="false" outlineLevel="0" collapsed="false">
      <c r="A1501" s="5" t="n">
        <v>3</v>
      </c>
      <c r="B1501" s="5" t="n">
        <v>4</v>
      </c>
      <c r="C1501" s="5" t="s">
        <v>637</v>
      </c>
      <c r="D1501" s="5" t="s">
        <v>823</v>
      </c>
      <c r="E1501" s="5" t="n">
        <v>2</v>
      </c>
      <c r="F1501" s="6" t="n">
        <f aca="false">IFERROR(MATCH(A1501&amp;"|"&amp;B1501&amp;"|"&amp;D1501,'All Song Rankings'!$T:$T,0),0)</f>
        <v>243</v>
      </c>
      <c r="G1501" s="6" t="str">
        <f aca="false">IF(F1501=0,"NOT FOUND",INDEX('All Song Rankings'!$A:$A,F1501))</f>
        <v>Barefoot Blue Jean Night</v>
      </c>
      <c r="H1501" s="6" t="str">
        <f aca="false">IF(F1501=0,"NOT FOUND",INDEX('All Song Rankings'!$B:$B,F1501))</f>
        <v>Jake Owen</v>
      </c>
      <c r="I1501" s="6" t="str">
        <f aca="false">IF(F1501=0,"NOT FOUND",INDEX('All Song Rankings'!$D:$D,F1501))</f>
        <v>Aubrey</v>
      </c>
      <c r="J1501" s="7" t="str">
        <f aca="false">IF(F1501=0,"NOT FOUND",IF(C1501=I1501,"SELF-VOTE",IF(COUNTIF($K:$K,K1501)&gt;1,"DUPLICATE","OK")))</f>
        <v>OK</v>
      </c>
      <c r="K1501" s="6" t="str">
        <f aca="false">A1501&amp;"|"&amp;B1501&amp;"|"&amp;C1501&amp;"|"&amp;D1501</f>
        <v>3|4|Colleen|spotify:track:3ts6xK5GzfMAAriT9AIBmP</v>
      </c>
    </row>
    <row r="1502" customFormat="false" ht="15" hidden="false" customHeight="false" outlineLevel="0" collapsed="false">
      <c r="A1502" s="5" t="n">
        <v>3</v>
      </c>
      <c r="B1502" s="5" t="n">
        <v>4</v>
      </c>
      <c r="C1502" s="5" t="s">
        <v>637</v>
      </c>
      <c r="D1502" s="5" t="s">
        <v>813</v>
      </c>
      <c r="E1502" s="5" t="n">
        <v>1</v>
      </c>
      <c r="F1502" s="6" t="n">
        <f aca="false">IFERROR(MATCH(A1502&amp;"|"&amp;B1502&amp;"|"&amp;D1502,'All Song Rankings'!$T:$T,0),0)</f>
        <v>240</v>
      </c>
      <c r="G1502" s="6" t="str">
        <f aca="false">IF(F1502=0,"NOT FOUND",INDEX('All Song Rankings'!$A:$A,F1502))</f>
        <v>Feeling Good</v>
      </c>
      <c r="H1502" s="6" t="str">
        <f aca="false">IF(F1502=0,"NOT FOUND",INDEX('All Song Rankings'!$B:$B,F1502))</f>
        <v>Nina Simone</v>
      </c>
      <c r="I1502" s="6" t="str">
        <f aca="false">IF(F1502=0,"NOT FOUND",INDEX('All Song Rankings'!$D:$D,F1502))</f>
        <v>Logan</v>
      </c>
      <c r="J1502" s="7" t="str">
        <f aca="false">IF(F1502=0,"NOT FOUND",IF(C1502=I1502,"SELF-VOTE",IF(COUNTIF($K:$K,K1502)&gt;1,"DUPLICATE","OK")))</f>
        <v>OK</v>
      </c>
      <c r="K1502" s="6" t="str">
        <f aca="false">A1502&amp;"|"&amp;B1502&amp;"|"&amp;C1502&amp;"|"&amp;D1502</f>
        <v>3|4|Colleen|spotify:track:6Rqn2GFlmvmV4w9Ala0I1e</v>
      </c>
    </row>
    <row r="1503" customFormat="false" ht="15" hidden="false" customHeight="false" outlineLevel="0" collapsed="false">
      <c r="A1503" s="5" t="n">
        <v>3</v>
      </c>
      <c r="B1503" s="5" t="n">
        <v>4</v>
      </c>
      <c r="C1503" s="5" t="s">
        <v>637</v>
      </c>
      <c r="D1503" s="5" t="s">
        <v>846</v>
      </c>
      <c r="E1503" s="5" t="n">
        <v>1</v>
      </c>
      <c r="F1503" s="6" t="n">
        <f aca="false">IFERROR(MATCH(A1503&amp;"|"&amp;B1503&amp;"|"&amp;D1503,'All Song Rankings'!$T:$T,0),0)</f>
        <v>251</v>
      </c>
      <c r="G1503" s="6" t="str">
        <f aca="false">IF(F1503=0,"NOT FOUND",INDEX('All Song Rankings'!$A:$A,F1503))</f>
        <v>Send Me On My Way</v>
      </c>
      <c r="H1503" s="6" t="str">
        <f aca="false">IF(F1503=0,"NOT FOUND",INDEX('All Song Rankings'!$B:$B,F1503))</f>
        <v>Rusted Root</v>
      </c>
      <c r="I1503" s="6" t="str">
        <f aca="false">IF(F1503=0,"NOT FOUND",INDEX('All Song Rankings'!$D:$D,F1503))</f>
        <v>Kristen</v>
      </c>
      <c r="J1503" s="7" t="str">
        <f aca="false">IF(F1503=0,"NOT FOUND",IF(C1503=I1503,"SELF-VOTE",IF(COUNTIF($K:$K,K1503)&gt;1,"DUPLICATE","OK")))</f>
        <v>OK</v>
      </c>
      <c r="K1503" s="6" t="str">
        <f aca="false">A1503&amp;"|"&amp;B1503&amp;"|"&amp;C1503&amp;"|"&amp;D1503</f>
        <v>3|4|Colleen|spotify:track:6XK6Zw6JkFsHXzAcMWNiIr</v>
      </c>
    </row>
    <row r="1504" customFormat="false" ht="15" hidden="false" customHeight="false" outlineLevel="0" collapsed="false">
      <c r="A1504" s="5" t="n">
        <v>3</v>
      </c>
      <c r="B1504" s="5" t="n">
        <v>4</v>
      </c>
      <c r="C1504" s="5" t="s">
        <v>637</v>
      </c>
      <c r="D1504" s="5" t="s">
        <v>832</v>
      </c>
      <c r="E1504" s="5" t="n">
        <v>1</v>
      </c>
      <c r="F1504" s="6" t="n">
        <f aca="false">IFERROR(MATCH(A1504&amp;"|"&amp;B1504&amp;"|"&amp;D1504,'All Song Rankings'!$T:$T,0),0)</f>
        <v>246</v>
      </c>
      <c r="G1504" s="6" t="str">
        <f aca="false">IF(F1504=0,"NOT FOUND",INDEX('All Song Rankings'!$A:$A,F1504))</f>
        <v>Shattered (Turn The Car Around)</v>
      </c>
      <c r="H1504" s="6" t="str">
        <f aca="false">IF(F1504=0,"NOT FOUND",INDEX('All Song Rankings'!$B:$B,F1504))</f>
        <v>O.A.R.</v>
      </c>
      <c r="I1504" s="6" t="str">
        <f aca="false">IF(F1504=0,"NOT FOUND",INDEX('All Song Rankings'!$D:$D,F1504))</f>
        <v>Stephanie</v>
      </c>
      <c r="J1504" s="7" t="str">
        <f aca="false">IF(F1504=0,"NOT FOUND",IF(C1504=I1504,"SELF-VOTE",IF(COUNTIF($K:$K,K1504)&gt;1,"DUPLICATE","OK")))</f>
        <v>OK</v>
      </c>
      <c r="K1504" s="6" t="str">
        <f aca="false">A1504&amp;"|"&amp;B1504&amp;"|"&amp;C1504&amp;"|"&amp;D1504</f>
        <v>3|4|Colleen|spotify:track:6jlqDfX8TQNxcaAz5oxYJA</v>
      </c>
    </row>
    <row r="1505" customFormat="false" ht="15" hidden="false" customHeight="false" outlineLevel="0" collapsed="false">
      <c r="A1505" s="5" t="n">
        <v>3</v>
      </c>
      <c r="B1505" s="5" t="n">
        <v>4</v>
      </c>
      <c r="C1505" s="5" t="s">
        <v>637</v>
      </c>
      <c r="D1505" s="5" t="s">
        <v>817</v>
      </c>
      <c r="E1505" s="5" t="n">
        <v>1</v>
      </c>
      <c r="F1505" s="6" t="n">
        <f aca="false">IFERROR(MATCH(A1505&amp;"|"&amp;B1505&amp;"|"&amp;D1505,'All Song Rankings'!$T:$T,0),0)</f>
        <v>241</v>
      </c>
      <c r="G1505" s="6" t="str">
        <f aca="false">IF(F1505=0,"NOT FOUND",INDEX('All Song Rankings'!$A:$A,F1505))</f>
        <v>Thani Lokah Murakkaari (From "Lokah - Chapter 1: Chandra")</v>
      </c>
      <c r="H1505" s="6" t="str">
        <f aca="false">IF(F1505=0,"NOT FOUND",INDEX('All Song Rankings'!$B:$B,F1505))</f>
        <v>Jakes Bejoy, Jyoti Nooran, Reble, Mu.Ri</v>
      </c>
      <c r="I1505" s="6" t="str">
        <f aca="false">IF(F1505=0,"NOT FOUND",INDEX('All Song Rankings'!$D:$D,F1505))</f>
        <v>Merita</v>
      </c>
      <c r="J1505" s="7" t="str">
        <f aca="false">IF(F1505=0,"NOT FOUND",IF(C1505=I1505,"SELF-VOTE",IF(COUNTIF($K:$K,K1505)&gt;1,"DUPLICATE","OK")))</f>
        <v>OK</v>
      </c>
      <c r="K1505" s="6" t="str">
        <f aca="false">A1505&amp;"|"&amp;B1505&amp;"|"&amp;C1505&amp;"|"&amp;D1505</f>
        <v>3|4|Colleen|spotify:track:7gX2JJVKndYEVApM5GRtqZ</v>
      </c>
    </row>
    <row r="1506" customFormat="false" ht="15" hidden="false" customHeight="false" outlineLevel="0" collapsed="false">
      <c r="A1506" s="5" t="n">
        <v>3</v>
      </c>
      <c r="B1506" s="5" t="n">
        <v>4</v>
      </c>
      <c r="C1506" s="5" t="s">
        <v>637</v>
      </c>
      <c r="D1506" s="5" t="s">
        <v>829</v>
      </c>
      <c r="E1506" s="5" t="n">
        <v>1</v>
      </c>
      <c r="F1506" s="6" t="n">
        <f aca="false">IFERROR(MATCH(A1506&amp;"|"&amp;B1506&amp;"|"&amp;D1506,'All Song Rankings'!$T:$T,0),0)</f>
        <v>245</v>
      </c>
      <c r="G1506" s="6" t="str">
        <f aca="false">IF(F1506=0,"NOT FOUND",INDEX('All Song Rankings'!$A:$A,F1506))</f>
        <v>Simple Man</v>
      </c>
      <c r="H1506" s="6" t="str">
        <f aca="false">IF(F1506=0,"NOT FOUND",INDEX('All Song Rankings'!$B:$B,F1506))</f>
        <v>Shinedown</v>
      </c>
      <c r="I1506" s="6" t="str">
        <f aca="false">IF(F1506=0,"NOT FOUND",INDEX('All Song Rankings'!$D:$D,F1506))</f>
        <v>Lisa</v>
      </c>
      <c r="J1506" s="7" t="str">
        <f aca="false">IF(F1506=0,"NOT FOUND",IF(C1506=I1506,"SELF-VOTE",IF(COUNTIF($K:$K,K1506)&gt;1,"DUPLICATE","OK")))</f>
        <v>OK</v>
      </c>
      <c r="K1506" s="6" t="str">
        <f aca="false">A1506&amp;"|"&amp;B1506&amp;"|"&amp;C1506&amp;"|"&amp;D1506</f>
        <v>3|4|Colleen|spotify:track:7gmfoXsjwQYn6HeHUYRpY2</v>
      </c>
    </row>
    <row r="1507" customFormat="false" ht="15" hidden="false" customHeight="false" outlineLevel="0" collapsed="false">
      <c r="A1507" s="5" t="n">
        <v>3</v>
      </c>
      <c r="B1507" s="5" t="n">
        <v>4</v>
      </c>
      <c r="C1507" s="5" t="s">
        <v>637</v>
      </c>
      <c r="D1507" s="5" t="s">
        <v>826</v>
      </c>
      <c r="E1507" s="5" t="n">
        <v>1</v>
      </c>
      <c r="F1507" s="6" t="n">
        <f aca="false">IFERROR(MATCH(A1507&amp;"|"&amp;B1507&amp;"|"&amp;D1507,'All Song Rankings'!$T:$T,0),0)</f>
        <v>244</v>
      </c>
      <c r="G1507" s="6" t="str">
        <f aca="false">IF(F1507=0,"NOT FOUND",INDEX('All Song Rankings'!$A:$A,F1507))</f>
        <v>Fighter</v>
      </c>
      <c r="H1507" s="6" t="str">
        <f aca="false">IF(F1507=0,"NOT FOUND",INDEX('All Song Rankings'!$B:$B,F1507))</f>
        <v>Christina Aguilera</v>
      </c>
      <c r="I1507" s="6" t="str">
        <f aca="false">IF(F1507=0,"NOT FOUND",INDEX('All Song Rankings'!$D:$D,F1507))</f>
        <v>Kelsey</v>
      </c>
      <c r="J1507" s="7" t="str">
        <f aca="false">IF(F1507=0,"NOT FOUND",IF(C1507=I1507,"SELF-VOTE",IF(COUNTIF($K:$K,K1507)&gt;1,"DUPLICATE","OK")))</f>
        <v>OK</v>
      </c>
      <c r="K1507" s="6" t="str">
        <f aca="false">A1507&amp;"|"&amp;B1507&amp;"|"&amp;C1507&amp;"|"&amp;D1507</f>
        <v>3|4|Colleen|spotify:track:7nXq1vaZiz7PdbfojpPjW5</v>
      </c>
    </row>
    <row r="1508" customFormat="false" ht="15" hidden="false" customHeight="false" outlineLevel="0" collapsed="false">
      <c r="A1508" s="5" t="n">
        <v>3</v>
      </c>
      <c r="B1508" s="5" t="n">
        <v>4</v>
      </c>
      <c r="C1508" s="5" t="s">
        <v>85</v>
      </c>
      <c r="D1508" s="5" t="s">
        <v>840</v>
      </c>
      <c r="E1508" s="5" t="n">
        <v>1</v>
      </c>
      <c r="F1508" s="6" t="n">
        <f aca="false">IFERROR(MATCH(A1508&amp;"|"&amp;B1508&amp;"|"&amp;D1508,'All Song Rankings'!$T:$T,0),0)</f>
        <v>249</v>
      </c>
      <c r="G1508" s="6" t="str">
        <f aca="false">IF(F1508=0,"NOT FOUND",INDEX('All Song Rankings'!$A:$A,F1508))</f>
        <v>Stronger</v>
      </c>
      <c r="H1508" s="6" t="str">
        <f aca="false">IF(F1508=0,"NOT FOUND",INDEX('All Song Rankings'!$B:$B,F1508))</f>
        <v>Kanye West</v>
      </c>
      <c r="I1508" s="6" t="str">
        <f aca="false">IF(F1508=0,"NOT FOUND",INDEX('All Song Rankings'!$D:$D,F1508))</f>
        <v>Makenzie</v>
      </c>
      <c r="J1508" s="7" t="str">
        <f aca="false">IF(F1508=0,"NOT FOUND",IF(C1508=I1508,"SELF-VOTE",IF(COUNTIF($K:$K,K1508)&gt;1,"DUPLICATE","OK")))</f>
        <v>OK</v>
      </c>
      <c r="K1508" s="6" t="str">
        <f aca="false">A1508&amp;"|"&amp;B1508&amp;"|"&amp;C1508&amp;"|"&amp;D1508</f>
        <v>3|4|Kelsey|spotify:track:0j2T0R9dR9qdJYsB7ciXhf</v>
      </c>
    </row>
    <row r="1509" customFormat="false" ht="15" hidden="false" customHeight="false" outlineLevel="0" collapsed="false">
      <c r="A1509" s="5" t="n">
        <v>3</v>
      </c>
      <c r="B1509" s="5" t="n">
        <v>4</v>
      </c>
      <c r="C1509" s="5" t="s">
        <v>85</v>
      </c>
      <c r="D1509" s="5" t="s">
        <v>807</v>
      </c>
      <c r="E1509" s="5" t="n">
        <v>2</v>
      </c>
      <c r="F1509" s="6" t="n">
        <f aca="false">IFERROR(MATCH(A1509&amp;"|"&amp;B1509&amp;"|"&amp;D1509,'All Song Rankings'!$T:$T,0),0)</f>
        <v>238</v>
      </c>
      <c r="G1509" s="6" t="str">
        <f aca="false">IF(F1509=0,"NOT FOUND",INDEX('All Song Rankings'!$A:$A,F1509))</f>
        <v>Stick Season</v>
      </c>
      <c r="H1509" s="6" t="str">
        <f aca="false">IF(F1509=0,"NOT FOUND",INDEX('All Song Rankings'!$B:$B,F1509))</f>
        <v>Noah Kahan</v>
      </c>
      <c r="I1509" s="6" t="str">
        <f aca="false">IF(F1509=0,"NOT FOUND",INDEX('All Song Rankings'!$D:$D,F1509))</f>
        <v>Scott</v>
      </c>
      <c r="J1509" s="7" t="str">
        <f aca="false">IF(F1509=0,"NOT FOUND",IF(C1509=I1509,"SELF-VOTE",IF(COUNTIF($K:$K,K1509)&gt;1,"DUPLICATE","OK")))</f>
        <v>OK</v>
      </c>
      <c r="K1509" s="6" t="str">
        <f aca="false">A1509&amp;"|"&amp;B1509&amp;"|"&amp;C1509&amp;"|"&amp;D1509</f>
        <v>3|4|Kelsey|spotify:track:0mflMxspEfB0VbI1kyLiAv</v>
      </c>
    </row>
    <row r="1510" customFormat="false" ht="15" hidden="false" customHeight="false" outlineLevel="0" collapsed="false">
      <c r="A1510" s="5" t="n">
        <v>3</v>
      </c>
      <c r="B1510" s="5" t="n">
        <v>4</v>
      </c>
      <c r="C1510" s="5" t="s">
        <v>85</v>
      </c>
      <c r="D1510" s="5" t="s">
        <v>849</v>
      </c>
      <c r="E1510" s="5" t="n">
        <v>1</v>
      </c>
      <c r="F1510" s="6" t="n">
        <f aca="false">IFERROR(MATCH(A1510&amp;"|"&amp;B1510&amp;"|"&amp;D1510,'All Song Rankings'!$T:$T,0),0)</f>
        <v>252</v>
      </c>
      <c r="G1510" s="6" t="str">
        <f aca="false">IF(F1510=0,"NOT FOUND",INDEX('All Song Rankings'!$A:$A,F1510))</f>
        <v>Stressed Out</v>
      </c>
      <c r="H1510" s="6" t="str">
        <f aca="false">IF(F1510=0,"NOT FOUND",INDEX('All Song Rankings'!$B:$B,F1510))</f>
        <v>Twenty One Pilots</v>
      </c>
      <c r="I1510" s="6" t="str">
        <f aca="false">IF(F1510=0,"NOT FOUND",INDEX('All Song Rankings'!$D:$D,F1510))</f>
        <v>Grace</v>
      </c>
      <c r="J1510" s="7" t="str">
        <f aca="false">IF(F1510=0,"NOT FOUND",IF(C1510=I1510,"SELF-VOTE",IF(COUNTIF($K:$K,K1510)&gt;1,"DUPLICATE","OK")))</f>
        <v>OK</v>
      </c>
      <c r="K1510" s="6" t="str">
        <f aca="false">A1510&amp;"|"&amp;B1510&amp;"|"&amp;C1510&amp;"|"&amp;D1510</f>
        <v>3|4|Kelsey|spotify:track:3CRDbSIZ4r5MsZ0YwxuEkn</v>
      </c>
    </row>
    <row r="1511" customFormat="false" ht="15" hidden="false" customHeight="false" outlineLevel="0" collapsed="false">
      <c r="A1511" s="5" t="n">
        <v>3</v>
      </c>
      <c r="B1511" s="5" t="n">
        <v>4</v>
      </c>
      <c r="C1511" s="5" t="s">
        <v>85</v>
      </c>
      <c r="D1511" s="5" t="s">
        <v>823</v>
      </c>
      <c r="E1511" s="5" t="n">
        <v>2</v>
      </c>
      <c r="F1511" s="6" t="n">
        <f aca="false">IFERROR(MATCH(A1511&amp;"|"&amp;B1511&amp;"|"&amp;D1511,'All Song Rankings'!$T:$T,0),0)</f>
        <v>243</v>
      </c>
      <c r="G1511" s="6" t="str">
        <f aca="false">IF(F1511=0,"NOT FOUND",INDEX('All Song Rankings'!$A:$A,F1511))</f>
        <v>Barefoot Blue Jean Night</v>
      </c>
      <c r="H1511" s="6" t="str">
        <f aca="false">IF(F1511=0,"NOT FOUND",INDEX('All Song Rankings'!$B:$B,F1511))</f>
        <v>Jake Owen</v>
      </c>
      <c r="I1511" s="6" t="str">
        <f aca="false">IF(F1511=0,"NOT FOUND",INDEX('All Song Rankings'!$D:$D,F1511))</f>
        <v>Aubrey</v>
      </c>
      <c r="J1511" s="7" t="str">
        <f aca="false">IF(F1511=0,"NOT FOUND",IF(C1511=I1511,"SELF-VOTE",IF(COUNTIF($K:$K,K1511)&gt;1,"DUPLICATE","OK")))</f>
        <v>OK</v>
      </c>
      <c r="K1511" s="6" t="str">
        <f aca="false">A1511&amp;"|"&amp;B1511&amp;"|"&amp;C1511&amp;"|"&amp;D1511</f>
        <v>3|4|Kelsey|spotify:track:3ts6xK5GzfMAAriT9AIBmP</v>
      </c>
    </row>
    <row r="1512" customFormat="false" ht="15" hidden="false" customHeight="false" outlineLevel="0" collapsed="false">
      <c r="A1512" s="5" t="n">
        <v>3</v>
      </c>
      <c r="B1512" s="5" t="n">
        <v>4</v>
      </c>
      <c r="C1512" s="5" t="s">
        <v>85</v>
      </c>
      <c r="D1512" s="5" t="s">
        <v>810</v>
      </c>
      <c r="E1512" s="5" t="n">
        <v>1</v>
      </c>
      <c r="F1512" s="6" t="n">
        <f aca="false">IFERROR(MATCH(A1512&amp;"|"&amp;B1512&amp;"|"&amp;D1512,'All Song Rankings'!$T:$T,0),0)</f>
        <v>239</v>
      </c>
      <c r="G1512" s="6" t="str">
        <f aca="false">IF(F1512=0,"NOT FOUND",INDEX('All Song Rankings'!$A:$A,F1512))</f>
        <v>Northern Attitude (with Hozier)</v>
      </c>
      <c r="H1512" s="6" t="str">
        <f aca="false">IF(F1512=0,"NOT FOUND",INDEX('All Song Rankings'!$B:$B,F1512))</f>
        <v>Noah Kahan, Hozier</v>
      </c>
      <c r="I1512" s="6" t="str">
        <f aca="false">IF(F1512=0,"NOT FOUND",INDEX('All Song Rankings'!$D:$D,F1512))</f>
        <v>Colleen</v>
      </c>
      <c r="J1512" s="7" t="str">
        <f aca="false">IF(F1512=0,"NOT FOUND",IF(C1512=I1512,"SELF-VOTE",IF(COUNTIF($K:$K,K1512)&gt;1,"DUPLICATE","OK")))</f>
        <v>OK</v>
      </c>
      <c r="K1512" s="6" t="str">
        <f aca="false">A1512&amp;"|"&amp;B1512&amp;"|"&amp;C1512&amp;"|"&amp;D1512</f>
        <v>3|4|Kelsey|spotify:track:4oEf84vBYVftf6KmZexhVo</v>
      </c>
    </row>
    <row r="1513" customFormat="false" ht="15" hidden="false" customHeight="false" outlineLevel="0" collapsed="false">
      <c r="A1513" s="5" t="n">
        <v>3</v>
      </c>
      <c r="B1513" s="5" t="n">
        <v>4</v>
      </c>
      <c r="C1513" s="5" t="s">
        <v>85</v>
      </c>
      <c r="D1513" s="5" t="s">
        <v>846</v>
      </c>
      <c r="E1513" s="5" t="n">
        <v>2</v>
      </c>
      <c r="F1513" s="6" t="n">
        <f aca="false">IFERROR(MATCH(A1513&amp;"|"&amp;B1513&amp;"|"&amp;D1513,'All Song Rankings'!$T:$T,0),0)</f>
        <v>251</v>
      </c>
      <c r="G1513" s="6" t="str">
        <f aca="false">IF(F1513=0,"NOT FOUND",INDEX('All Song Rankings'!$A:$A,F1513))</f>
        <v>Send Me On My Way</v>
      </c>
      <c r="H1513" s="6" t="str">
        <f aca="false">IF(F1513=0,"NOT FOUND",INDEX('All Song Rankings'!$B:$B,F1513))</f>
        <v>Rusted Root</v>
      </c>
      <c r="I1513" s="6" t="str">
        <f aca="false">IF(F1513=0,"NOT FOUND",INDEX('All Song Rankings'!$D:$D,F1513))</f>
        <v>Kristen</v>
      </c>
      <c r="J1513" s="7" t="str">
        <f aca="false">IF(F1513=0,"NOT FOUND",IF(C1513=I1513,"SELF-VOTE",IF(COUNTIF($K:$K,K1513)&gt;1,"DUPLICATE","OK")))</f>
        <v>OK</v>
      </c>
      <c r="K1513" s="6" t="str">
        <f aca="false">A1513&amp;"|"&amp;B1513&amp;"|"&amp;C1513&amp;"|"&amp;D1513</f>
        <v>3|4|Kelsey|spotify:track:6XK6Zw6JkFsHXzAcMWNiIr</v>
      </c>
    </row>
    <row r="1514" customFormat="false" ht="15" hidden="false" customHeight="false" outlineLevel="0" collapsed="false">
      <c r="A1514" s="5" t="n">
        <v>3</v>
      </c>
      <c r="B1514" s="5" t="n">
        <v>4</v>
      </c>
      <c r="C1514" s="5" t="s">
        <v>85</v>
      </c>
      <c r="D1514" s="5" t="s">
        <v>817</v>
      </c>
      <c r="E1514" s="5" t="n">
        <v>1</v>
      </c>
      <c r="F1514" s="6" t="n">
        <f aca="false">IFERROR(MATCH(A1514&amp;"|"&amp;B1514&amp;"|"&amp;D1514,'All Song Rankings'!$T:$T,0),0)</f>
        <v>241</v>
      </c>
      <c r="G1514" s="6" t="str">
        <f aca="false">IF(F1514=0,"NOT FOUND",INDEX('All Song Rankings'!$A:$A,F1514))</f>
        <v>Thani Lokah Murakkaari (From "Lokah - Chapter 1: Chandra")</v>
      </c>
      <c r="H1514" s="6" t="str">
        <f aca="false">IF(F1514=0,"NOT FOUND",INDEX('All Song Rankings'!$B:$B,F1514))</f>
        <v>Jakes Bejoy, Jyoti Nooran, Reble, Mu.Ri</v>
      </c>
      <c r="I1514" s="6" t="str">
        <f aca="false">IF(F1514=0,"NOT FOUND",INDEX('All Song Rankings'!$D:$D,F1514))</f>
        <v>Merita</v>
      </c>
      <c r="J1514" s="7" t="str">
        <f aca="false">IF(F1514=0,"NOT FOUND",IF(C1514=I1514,"SELF-VOTE",IF(COUNTIF($K:$K,K1514)&gt;1,"DUPLICATE","OK")))</f>
        <v>OK</v>
      </c>
      <c r="K1514" s="6" t="str">
        <f aca="false">A1514&amp;"|"&amp;B1514&amp;"|"&amp;C1514&amp;"|"&amp;D1514</f>
        <v>3|4|Kelsey|spotify:track:7gX2JJVKndYEVApM5GRtqZ</v>
      </c>
    </row>
    <row r="1515" customFormat="false" ht="15" hidden="false" customHeight="false" outlineLevel="0" collapsed="false">
      <c r="A1515" s="5" t="n">
        <v>3</v>
      </c>
      <c r="B1515" s="5" t="n">
        <v>4</v>
      </c>
      <c r="C1515" s="5" t="s">
        <v>119</v>
      </c>
      <c r="D1515" s="5" t="s">
        <v>807</v>
      </c>
      <c r="E1515" s="5" t="n">
        <v>1</v>
      </c>
      <c r="F1515" s="6" t="n">
        <f aca="false">IFERROR(MATCH(A1515&amp;"|"&amp;B1515&amp;"|"&amp;D1515,'All Song Rankings'!$T:$T,0),0)</f>
        <v>238</v>
      </c>
      <c r="G1515" s="6" t="str">
        <f aca="false">IF(F1515=0,"NOT FOUND",INDEX('All Song Rankings'!$A:$A,F1515))</f>
        <v>Stick Season</v>
      </c>
      <c r="H1515" s="6" t="str">
        <f aca="false">IF(F1515=0,"NOT FOUND",INDEX('All Song Rankings'!$B:$B,F1515))</f>
        <v>Noah Kahan</v>
      </c>
      <c r="I1515" s="6" t="str">
        <f aca="false">IF(F1515=0,"NOT FOUND",INDEX('All Song Rankings'!$D:$D,F1515))</f>
        <v>Scott</v>
      </c>
      <c r="J1515" s="7" t="str">
        <f aca="false">IF(F1515=0,"NOT FOUND",IF(C1515=I1515,"SELF-VOTE",IF(COUNTIF($K:$K,K1515)&gt;1,"DUPLICATE","OK")))</f>
        <v>OK</v>
      </c>
      <c r="K1515" s="6" t="str">
        <f aca="false">A1515&amp;"|"&amp;B1515&amp;"|"&amp;C1515&amp;"|"&amp;D1515</f>
        <v>3|4|Leah|spotify:track:0mflMxspEfB0VbI1kyLiAv</v>
      </c>
    </row>
    <row r="1516" customFormat="false" ht="15" hidden="false" customHeight="false" outlineLevel="0" collapsed="false">
      <c r="A1516" s="5" t="n">
        <v>3</v>
      </c>
      <c r="B1516" s="5" t="n">
        <v>4</v>
      </c>
      <c r="C1516" s="5" t="s">
        <v>119</v>
      </c>
      <c r="D1516" s="5" t="s">
        <v>849</v>
      </c>
      <c r="E1516" s="5" t="n">
        <v>1</v>
      </c>
      <c r="F1516" s="6" t="n">
        <f aca="false">IFERROR(MATCH(A1516&amp;"|"&amp;B1516&amp;"|"&amp;D1516,'All Song Rankings'!$T:$T,0),0)</f>
        <v>252</v>
      </c>
      <c r="G1516" s="6" t="str">
        <f aca="false">IF(F1516=0,"NOT FOUND",INDEX('All Song Rankings'!$A:$A,F1516))</f>
        <v>Stressed Out</v>
      </c>
      <c r="H1516" s="6" t="str">
        <f aca="false">IF(F1516=0,"NOT FOUND",INDEX('All Song Rankings'!$B:$B,F1516))</f>
        <v>Twenty One Pilots</v>
      </c>
      <c r="I1516" s="6" t="str">
        <f aca="false">IF(F1516=0,"NOT FOUND",INDEX('All Song Rankings'!$D:$D,F1516))</f>
        <v>Grace</v>
      </c>
      <c r="J1516" s="7" t="str">
        <f aca="false">IF(F1516=0,"NOT FOUND",IF(C1516=I1516,"SELF-VOTE",IF(COUNTIF($K:$K,K1516)&gt;1,"DUPLICATE","OK")))</f>
        <v>OK</v>
      </c>
      <c r="K1516" s="6" t="str">
        <f aca="false">A1516&amp;"|"&amp;B1516&amp;"|"&amp;C1516&amp;"|"&amp;D1516</f>
        <v>3|4|Leah|spotify:track:3CRDbSIZ4r5MsZ0YwxuEkn</v>
      </c>
    </row>
    <row r="1517" customFormat="false" ht="15" hidden="false" customHeight="false" outlineLevel="0" collapsed="false">
      <c r="A1517" s="5" t="n">
        <v>3</v>
      </c>
      <c r="B1517" s="5" t="n">
        <v>4</v>
      </c>
      <c r="C1517" s="5" t="s">
        <v>119</v>
      </c>
      <c r="D1517" s="5" t="s">
        <v>823</v>
      </c>
      <c r="E1517" s="5" t="n">
        <v>1</v>
      </c>
      <c r="F1517" s="6" t="n">
        <f aca="false">IFERROR(MATCH(A1517&amp;"|"&amp;B1517&amp;"|"&amp;D1517,'All Song Rankings'!$T:$T,0),0)</f>
        <v>243</v>
      </c>
      <c r="G1517" s="6" t="str">
        <f aca="false">IF(F1517=0,"NOT FOUND",INDEX('All Song Rankings'!$A:$A,F1517))</f>
        <v>Barefoot Blue Jean Night</v>
      </c>
      <c r="H1517" s="6" t="str">
        <f aca="false">IF(F1517=0,"NOT FOUND",INDEX('All Song Rankings'!$B:$B,F1517))</f>
        <v>Jake Owen</v>
      </c>
      <c r="I1517" s="6" t="str">
        <f aca="false">IF(F1517=0,"NOT FOUND",INDEX('All Song Rankings'!$D:$D,F1517))</f>
        <v>Aubrey</v>
      </c>
      <c r="J1517" s="7" t="str">
        <f aca="false">IF(F1517=0,"NOT FOUND",IF(C1517=I1517,"SELF-VOTE",IF(COUNTIF($K:$K,K1517)&gt;1,"DUPLICATE","OK")))</f>
        <v>OK</v>
      </c>
      <c r="K1517" s="6" t="str">
        <f aca="false">A1517&amp;"|"&amp;B1517&amp;"|"&amp;C1517&amp;"|"&amp;D1517</f>
        <v>3|4|Leah|spotify:track:3ts6xK5GzfMAAriT9AIBmP</v>
      </c>
    </row>
    <row r="1518" customFormat="false" ht="15" hidden="false" customHeight="false" outlineLevel="0" collapsed="false">
      <c r="A1518" s="5" t="n">
        <v>3</v>
      </c>
      <c r="B1518" s="5" t="n">
        <v>4</v>
      </c>
      <c r="C1518" s="5" t="s">
        <v>119</v>
      </c>
      <c r="D1518" s="5" t="s">
        <v>820</v>
      </c>
      <c r="E1518" s="5" t="n">
        <v>1</v>
      </c>
      <c r="F1518" s="6" t="n">
        <f aca="false">IFERROR(MATCH(A1518&amp;"|"&amp;B1518&amp;"|"&amp;D1518,'All Song Rankings'!$T:$T,0),0)</f>
        <v>242</v>
      </c>
      <c r="G1518" s="6" t="str">
        <f aca="false">IF(F1518=0,"NOT FOUND",INDEX('All Song Rankings'!$A:$A,F1518))</f>
        <v>Doin' Time</v>
      </c>
      <c r="H1518" s="6" t="str">
        <f aca="false">IF(F1518=0,"NOT FOUND",INDEX('All Song Rankings'!$B:$B,F1518))</f>
        <v>Sublime</v>
      </c>
      <c r="I1518" s="6" t="str">
        <f aca="false">IF(F1518=0,"NOT FOUND",INDEX('All Song Rankings'!$D:$D,F1518))</f>
        <v>Matt</v>
      </c>
      <c r="J1518" s="7" t="str">
        <f aca="false">IF(F1518=0,"NOT FOUND",IF(C1518=I1518,"SELF-VOTE",IF(COUNTIF($K:$K,K1518)&gt;1,"DUPLICATE","OK")))</f>
        <v>OK</v>
      </c>
      <c r="K1518" s="6" t="str">
        <f aca="false">A1518&amp;"|"&amp;B1518&amp;"|"&amp;C1518&amp;"|"&amp;D1518</f>
        <v>3|4|Leah|spotify:track:4eamJr2k9YDH8j58RSTmSc</v>
      </c>
    </row>
    <row r="1519" customFormat="false" ht="15" hidden="false" customHeight="false" outlineLevel="0" collapsed="false">
      <c r="A1519" s="5" t="n">
        <v>3</v>
      </c>
      <c r="B1519" s="5" t="n">
        <v>4</v>
      </c>
      <c r="C1519" s="5" t="s">
        <v>119</v>
      </c>
      <c r="D1519" s="5" t="s">
        <v>813</v>
      </c>
      <c r="E1519" s="5" t="n">
        <v>1</v>
      </c>
      <c r="F1519" s="6" t="n">
        <f aca="false">IFERROR(MATCH(A1519&amp;"|"&amp;B1519&amp;"|"&amp;D1519,'All Song Rankings'!$T:$T,0),0)</f>
        <v>240</v>
      </c>
      <c r="G1519" s="6" t="str">
        <f aca="false">IF(F1519=0,"NOT FOUND",INDEX('All Song Rankings'!$A:$A,F1519))</f>
        <v>Feeling Good</v>
      </c>
      <c r="H1519" s="6" t="str">
        <f aca="false">IF(F1519=0,"NOT FOUND",INDEX('All Song Rankings'!$B:$B,F1519))</f>
        <v>Nina Simone</v>
      </c>
      <c r="I1519" s="6" t="str">
        <f aca="false">IF(F1519=0,"NOT FOUND",INDEX('All Song Rankings'!$D:$D,F1519))</f>
        <v>Logan</v>
      </c>
      <c r="J1519" s="7" t="str">
        <f aca="false">IF(F1519=0,"NOT FOUND",IF(C1519=I1519,"SELF-VOTE",IF(COUNTIF($K:$K,K1519)&gt;1,"DUPLICATE","OK")))</f>
        <v>OK</v>
      </c>
      <c r="K1519" s="6" t="str">
        <f aca="false">A1519&amp;"|"&amp;B1519&amp;"|"&amp;C1519&amp;"|"&amp;D1519</f>
        <v>3|4|Leah|spotify:track:6Rqn2GFlmvmV4w9Ala0I1e</v>
      </c>
    </row>
    <row r="1520" customFormat="false" ht="15" hidden="false" customHeight="false" outlineLevel="0" collapsed="false">
      <c r="A1520" s="5" t="n">
        <v>3</v>
      </c>
      <c r="B1520" s="5" t="n">
        <v>4</v>
      </c>
      <c r="C1520" s="5" t="s">
        <v>119</v>
      </c>
      <c r="D1520" s="5" t="s">
        <v>846</v>
      </c>
      <c r="E1520" s="5" t="n">
        <v>1</v>
      </c>
      <c r="F1520" s="6" t="n">
        <f aca="false">IFERROR(MATCH(A1520&amp;"|"&amp;B1520&amp;"|"&amp;D1520,'All Song Rankings'!$T:$T,0),0)</f>
        <v>251</v>
      </c>
      <c r="G1520" s="6" t="str">
        <f aca="false">IF(F1520=0,"NOT FOUND",INDEX('All Song Rankings'!$A:$A,F1520))</f>
        <v>Send Me On My Way</v>
      </c>
      <c r="H1520" s="6" t="str">
        <f aca="false">IF(F1520=0,"NOT FOUND",INDEX('All Song Rankings'!$B:$B,F1520))</f>
        <v>Rusted Root</v>
      </c>
      <c r="I1520" s="6" t="str">
        <f aca="false">IF(F1520=0,"NOT FOUND",INDEX('All Song Rankings'!$D:$D,F1520))</f>
        <v>Kristen</v>
      </c>
      <c r="J1520" s="7" t="str">
        <f aca="false">IF(F1520=0,"NOT FOUND",IF(C1520=I1520,"SELF-VOTE",IF(COUNTIF($K:$K,K1520)&gt;1,"DUPLICATE","OK")))</f>
        <v>OK</v>
      </c>
      <c r="K1520" s="6" t="str">
        <f aca="false">A1520&amp;"|"&amp;B1520&amp;"|"&amp;C1520&amp;"|"&amp;D1520</f>
        <v>3|4|Leah|spotify:track:6XK6Zw6JkFsHXzAcMWNiIr</v>
      </c>
    </row>
    <row r="1521" customFormat="false" ht="15" hidden="false" customHeight="false" outlineLevel="0" collapsed="false">
      <c r="A1521" s="5" t="n">
        <v>3</v>
      </c>
      <c r="B1521" s="5" t="n">
        <v>4</v>
      </c>
      <c r="C1521" s="5" t="s">
        <v>119</v>
      </c>
      <c r="D1521" s="5" t="s">
        <v>832</v>
      </c>
      <c r="E1521" s="5" t="n">
        <v>1</v>
      </c>
      <c r="F1521" s="6" t="n">
        <f aca="false">IFERROR(MATCH(A1521&amp;"|"&amp;B1521&amp;"|"&amp;D1521,'All Song Rankings'!$T:$T,0),0)</f>
        <v>246</v>
      </c>
      <c r="G1521" s="6" t="str">
        <f aca="false">IF(F1521=0,"NOT FOUND",INDEX('All Song Rankings'!$A:$A,F1521))</f>
        <v>Shattered (Turn The Car Around)</v>
      </c>
      <c r="H1521" s="6" t="str">
        <f aca="false">IF(F1521=0,"NOT FOUND",INDEX('All Song Rankings'!$B:$B,F1521))</f>
        <v>O.A.R.</v>
      </c>
      <c r="I1521" s="6" t="str">
        <f aca="false">IF(F1521=0,"NOT FOUND",INDEX('All Song Rankings'!$D:$D,F1521))</f>
        <v>Stephanie</v>
      </c>
      <c r="J1521" s="7" t="str">
        <f aca="false">IF(F1521=0,"NOT FOUND",IF(C1521=I1521,"SELF-VOTE",IF(COUNTIF($K:$K,K1521)&gt;1,"DUPLICATE","OK")))</f>
        <v>OK</v>
      </c>
      <c r="K1521" s="6" t="str">
        <f aca="false">A1521&amp;"|"&amp;B1521&amp;"|"&amp;C1521&amp;"|"&amp;D1521</f>
        <v>3|4|Leah|spotify:track:6jlqDfX8TQNxcaAz5oxYJA</v>
      </c>
    </row>
    <row r="1522" customFormat="false" ht="15" hidden="false" customHeight="false" outlineLevel="0" collapsed="false">
      <c r="A1522" s="5" t="n">
        <v>3</v>
      </c>
      <c r="B1522" s="5" t="n">
        <v>4</v>
      </c>
      <c r="C1522" s="5" t="s">
        <v>119</v>
      </c>
      <c r="D1522" s="5" t="s">
        <v>834</v>
      </c>
      <c r="E1522" s="5" t="n">
        <v>1</v>
      </c>
      <c r="F1522" s="6" t="n">
        <f aca="false">IFERROR(MATCH(A1522&amp;"|"&amp;B1522&amp;"|"&amp;D1522,'All Song Rankings'!$T:$T,0),0)</f>
        <v>247</v>
      </c>
      <c r="G1522" s="6" t="str">
        <f aca="false">IF(F1522=0,"NOT FOUND",INDEX('All Song Rankings'!$A:$A,F1522))</f>
        <v>New York State of Mind</v>
      </c>
      <c r="H1522" s="6" t="str">
        <f aca="false">IF(F1522=0,"NOT FOUND",INDEX('All Song Rankings'!$B:$B,F1522))</f>
        <v>Billy Joel</v>
      </c>
      <c r="I1522" s="6" t="str">
        <f aca="false">IF(F1522=0,"NOT FOUND",INDEX('All Song Rankings'!$D:$D,F1522))</f>
        <v>Christine</v>
      </c>
      <c r="J1522" s="7" t="str">
        <f aca="false">IF(F1522=0,"NOT FOUND",IF(C1522=I1522,"SELF-VOTE",IF(COUNTIF($K:$K,K1522)&gt;1,"DUPLICATE","OK")))</f>
        <v>OK</v>
      </c>
      <c r="K1522" s="6" t="str">
        <f aca="false">A1522&amp;"|"&amp;B1522&amp;"|"&amp;C1522&amp;"|"&amp;D1522</f>
        <v>3|4|Leah|spotify:track:6yjKlmm7vOszkXEUku1EM1</v>
      </c>
    </row>
    <row r="1523" customFormat="false" ht="15" hidden="false" customHeight="false" outlineLevel="0" collapsed="false">
      <c r="A1523" s="5" t="n">
        <v>3</v>
      </c>
      <c r="B1523" s="5" t="n">
        <v>4</v>
      </c>
      <c r="C1523" s="5" t="s">
        <v>119</v>
      </c>
      <c r="D1523" s="5" t="s">
        <v>817</v>
      </c>
      <c r="E1523" s="5" t="n">
        <v>1</v>
      </c>
      <c r="F1523" s="6" t="n">
        <f aca="false">IFERROR(MATCH(A1523&amp;"|"&amp;B1523&amp;"|"&amp;D1523,'All Song Rankings'!$T:$T,0),0)</f>
        <v>241</v>
      </c>
      <c r="G1523" s="6" t="str">
        <f aca="false">IF(F1523=0,"NOT FOUND",INDEX('All Song Rankings'!$A:$A,F1523))</f>
        <v>Thani Lokah Murakkaari (From "Lokah - Chapter 1: Chandra")</v>
      </c>
      <c r="H1523" s="6" t="str">
        <f aca="false">IF(F1523=0,"NOT FOUND",INDEX('All Song Rankings'!$B:$B,F1523))</f>
        <v>Jakes Bejoy, Jyoti Nooran, Reble, Mu.Ri</v>
      </c>
      <c r="I1523" s="6" t="str">
        <f aca="false">IF(F1523=0,"NOT FOUND",INDEX('All Song Rankings'!$D:$D,F1523))</f>
        <v>Merita</v>
      </c>
      <c r="J1523" s="7" t="str">
        <f aca="false">IF(F1523=0,"NOT FOUND",IF(C1523=I1523,"SELF-VOTE",IF(COUNTIF($K:$K,K1523)&gt;1,"DUPLICATE","OK")))</f>
        <v>OK</v>
      </c>
      <c r="K1523" s="6" t="str">
        <f aca="false">A1523&amp;"|"&amp;B1523&amp;"|"&amp;C1523&amp;"|"&amp;D1523</f>
        <v>3|4|Leah|spotify:track:7gX2JJVKndYEVApM5GRtqZ</v>
      </c>
    </row>
    <row r="1524" customFormat="false" ht="15" hidden="false" customHeight="false" outlineLevel="0" collapsed="false">
      <c r="A1524" s="5" t="n">
        <v>3</v>
      </c>
      <c r="B1524" s="5" t="n">
        <v>4</v>
      </c>
      <c r="C1524" s="5" t="s">
        <v>119</v>
      </c>
      <c r="D1524" s="5" t="s">
        <v>829</v>
      </c>
      <c r="E1524" s="5" t="n">
        <v>1</v>
      </c>
      <c r="F1524" s="6" t="n">
        <f aca="false">IFERROR(MATCH(A1524&amp;"|"&amp;B1524&amp;"|"&amp;D1524,'All Song Rankings'!$T:$T,0),0)</f>
        <v>245</v>
      </c>
      <c r="G1524" s="6" t="str">
        <f aca="false">IF(F1524=0,"NOT FOUND",INDEX('All Song Rankings'!$A:$A,F1524))</f>
        <v>Simple Man</v>
      </c>
      <c r="H1524" s="6" t="str">
        <f aca="false">IF(F1524=0,"NOT FOUND",INDEX('All Song Rankings'!$B:$B,F1524))</f>
        <v>Shinedown</v>
      </c>
      <c r="I1524" s="6" t="str">
        <f aca="false">IF(F1524=0,"NOT FOUND",INDEX('All Song Rankings'!$D:$D,F1524))</f>
        <v>Lisa</v>
      </c>
      <c r="J1524" s="7" t="str">
        <f aca="false">IF(F1524=0,"NOT FOUND",IF(C1524=I1524,"SELF-VOTE",IF(COUNTIF($K:$K,K1524)&gt;1,"DUPLICATE","OK")))</f>
        <v>OK</v>
      </c>
      <c r="K1524" s="6" t="str">
        <f aca="false">A1524&amp;"|"&amp;B1524&amp;"|"&amp;C1524&amp;"|"&amp;D1524</f>
        <v>3|4|Leah|spotify:track:7gmfoXsjwQYn6HeHUYRpY2</v>
      </c>
    </row>
    <row r="1525" customFormat="false" ht="15" hidden="false" customHeight="false" outlineLevel="0" collapsed="false">
      <c r="A1525" s="5" t="n">
        <v>3</v>
      </c>
      <c r="B1525" s="5" t="n">
        <v>4</v>
      </c>
      <c r="C1525" s="5" t="s">
        <v>705</v>
      </c>
      <c r="D1525" s="5" t="s">
        <v>807</v>
      </c>
      <c r="E1525" s="5" t="n">
        <v>1</v>
      </c>
      <c r="F1525" s="6" t="n">
        <f aca="false">IFERROR(MATCH(A1525&amp;"|"&amp;B1525&amp;"|"&amp;D1525,'All Song Rankings'!$T:$T,0),0)</f>
        <v>238</v>
      </c>
      <c r="G1525" s="6" t="str">
        <f aca="false">IF(F1525=0,"NOT FOUND",INDEX('All Song Rankings'!$A:$A,F1525))</f>
        <v>Stick Season</v>
      </c>
      <c r="H1525" s="6" t="str">
        <f aca="false">IF(F1525=0,"NOT FOUND",INDEX('All Song Rankings'!$B:$B,F1525))</f>
        <v>Noah Kahan</v>
      </c>
      <c r="I1525" s="6" t="str">
        <f aca="false">IF(F1525=0,"NOT FOUND",INDEX('All Song Rankings'!$D:$D,F1525))</f>
        <v>Scott</v>
      </c>
      <c r="J1525" s="7" t="str">
        <f aca="false">IF(F1525=0,"NOT FOUND",IF(C1525=I1525,"SELF-VOTE",IF(COUNTIF($K:$K,K1525)&gt;1,"DUPLICATE","OK")))</f>
        <v>OK</v>
      </c>
      <c r="K1525" s="6" t="str">
        <f aca="false">A1525&amp;"|"&amp;B1525&amp;"|"&amp;C1525&amp;"|"&amp;D1525</f>
        <v>3|4|Lisa|spotify:track:0mflMxspEfB0VbI1kyLiAv</v>
      </c>
    </row>
    <row r="1526" customFormat="false" ht="15" hidden="false" customHeight="false" outlineLevel="0" collapsed="false">
      <c r="A1526" s="5" t="n">
        <v>3</v>
      </c>
      <c r="B1526" s="5" t="n">
        <v>4</v>
      </c>
      <c r="C1526" s="5" t="s">
        <v>705</v>
      </c>
      <c r="D1526" s="5" t="s">
        <v>849</v>
      </c>
      <c r="E1526" s="5" t="n">
        <v>1</v>
      </c>
      <c r="F1526" s="6" t="n">
        <f aca="false">IFERROR(MATCH(A1526&amp;"|"&amp;B1526&amp;"|"&amp;D1526,'All Song Rankings'!$T:$T,0),0)</f>
        <v>252</v>
      </c>
      <c r="G1526" s="6" t="str">
        <f aca="false">IF(F1526=0,"NOT FOUND",INDEX('All Song Rankings'!$A:$A,F1526))</f>
        <v>Stressed Out</v>
      </c>
      <c r="H1526" s="6" t="str">
        <f aca="false">IF(F1526=0,"NOT FOUND",INDEX('All Song Rankings'!$B:$B,F1526))</f>
        <v>Twenty One Pilots</v>
      </c>
      <c r="I1526" s="6" t="str">
        <f aca="false">IF(F1526=0,"NOT FOUND",INDEX('All Song Rankings'!$D:$D,F1526))</f>
        <v>Grace</v>
      </c>
      <c r="J1526" s="7" t="str">
        <f aca="false">IF(F1526=0,"NOT FOUND",IF(C1526=I1526,"SELF-VOTE",IF(COUNTIF($K:$K,K1526)&gt;1,"DUPLICATE","OK")))</f>
        <v>OK</v>
      </c>
      <c r="K1526" s="6" t="str">
        <f aca="false">A1526&amp;"|"&amp;B1526&amp;"|"&amp;C1526&amp;"|"&amp;D1526</f>
        <v>3|4|Lisa|spotify:track:3CRDbSIZ4r5MsZ0YwxuEkn</v>
      </c>
    </row>
    <row r="1527" customFormat="false" ht="15" hidden="false" customHeight="false" outlineLevel="0" collapsed="false">
      <c r="A1527" s="5" t="n">
        <v>3</v>
      </c>
      <c r="B1527" s="5" t="n">
        <v>4</v>
      </c>
      <c r="C1527" s="5" t="s">
        <v>705</v>
      </c>
      <c r="D1527" s="5" t="s">
        <v>837</v>
      </c>
      <c r="E1527" s="5" t="n">
        <v>1</v>
      </c>
      <c r="F1527" s="6" t="n">
        <f aca="false">IFERROR(MATCH(A1527&amp;"|"&amp;B1527&amp;"|"&amp;D1527,'All Song Rankings'!$T:$T,0),0)</f>
        <v>248</v>
      </c>
      <c r="G1527" s="6" t="str">
        <f aca="false">IF(F1527=0,"NOT FOUND",INDEX('All Song Rankings'!$A:$A,F1527))</f>
        <v>Torn to Pieces</v>
      </c>
      <c r="H1527" s="6" t="str">
        <f aca="false">IF(F1527=0,"NOT FOUND",INDEX('All Song Rankings'!$B:$B,F1527))</f>
        <v>Pop Evil</v>
      </c>
      <c r="I1527" s="6" t="str">
        <f aca="false">IF(F1527=0,"NOT FOUND",INDEX('All Song Rankings'!$D:$D,F1527))</f>
        <v>Leah</v>
      </c>
      <c r="J1527" s="7" t="str">
        <f aca="false">IF(F1527=0,"NOT FOUND",IF(C1527=I1527,"SELF-VOTE",IF(COUNTIF($K:$K,K1527)&gt;1,"DUPLICATE","OK")))</f>
        <v>OK</v>
      </c>
      <c r="K1527" s="6" t="str">
        <f aca="false">A1527&amp;"|"&amp;B1527&amp;"|"&amp;C1527&amp;"|"&amp;D1527</f>
        <v>3|4|Lisa|spotify:track:3gLvDdJVhHLWWkgzTbYeJB</v>
      </c>
    </row>
    <row r="1528" customFormat="false" ht="15" hidden="false" customHeight="false" outlineLevel="0" collapsed="false">
      <c r="A1528" s="5" t="n">
        <v>3</v>
      </c>
      <c r="B1528" s="5" t="n">
        <v>4</v>
      </c>
      <c r="C1528" s="5" t="s">
        <v>705</v>
      </c>
      <c r="D1528" s="5" t="s">
        <v>820</v>
      </c>
      <c r="E1528" s="5" t="n">
        <v>1</v>
      </c>
      <c r="F1528" s="6" t="n">
        <f aca="false">IFERROR(MATCH(A1528&amp;"|"&amp;B1528&amp;"|"&amp;D1528,'All Song Rankings'!$T:$T,0),0)</f>
        <v>242</v>
      </c>
      <c r="G1528" s="6" t="str">
        <f aca="false">IF(F1528=0,"NOT FOUND",INDEX('All Song Rankings'!$A:$A,F1528))</f>
        <v>Doin' Time</v>
      </c>
      <c r="H1528" s="6" t="str">
        <f aca="false">IF(F1528=0,"NOT FOUND",INDEX('All Song Rankings'!$B:$B,F1528))</f>
        <v>Sublime</v>
      </c>
      <c r="I1528" s="6" t="str">
        <f aca="false">IF(F1528=0,"NOT FOUND",INDEX('All Song Rankings'!$D:$D,F1528))</f>
        <v>Matt</v>
      </c>
      <c r="J1528" s="7" t="str">
        <f aca="false">IF(F1528=0,"NOT FOUND",IF(C1528=I1528,"SELF-VOTE",IF(COUNTIF($K:$K,K1528)&gt;1,"DUPLICATE","OK")))</f>
        <v>OK</v>
      </c>
      <c r="K1528" s="6" t="str">
        <f aca="false">A1528&amp;"|"&amp;B1528&amp;"|"&amp;C1528&amp;"|"&amp;D1528</f>
        <v>3|4|Lisa|spotify:track:4eamJr2k9YDH8j58RSTmSc</v>
      </c>
    </row>
    <row r="1529" customFormat="false" ht="15" hidden="false" customHeight="false" outlineLevel="0" collapsed="false">
      <c r="A1529" s="5" t="n">
        <v>3</v>
      </c>
      <c r="B1529" s="5" t="n">
        <v>4</v>
      </c>
      <c r="C1529" s="5" t="s">
        <v>705</v>
      </c>
      <c r="D1529" s="5" t="s">
        <v>810</v>
      </c>
      <c r="E1529" s="5" t="n">
        <v>1</v>
      </c>
      <c r="F1529" s="6" t="n">
        <f aca="false">IFERROR(MATCH(A1529&amp;"|"&amp;B1529&amp;"|"&amp;D1529,'All Song Rankings'!$T:$T,0),0)</f>
        <v>239</v>
      </c>
      <c r="G1529" s="6" t="str">
        <f aca="false">IF(F1529=0,"NOT FOUND",INDEX('All Song Rankings'!$A:$A,F1529))</f>
        <v>Northern Attitude (with Hozier)</v>
      </c>
      <c r="H1529" s="6" t="str">
        <f aca="false">IF(F1529=0,"NOT FOUND",INDEX('All Song Rankings'!$B:$B,F1529))</f>
        <v>Noah Kahan, Hozier</v>
      </c>
      <c r="I1529" s="6" t="str">
        <f aca="false">IF(F1529=0,"NOT FOUND",INDEX('All Song Rankings'!$D:$D,F1529))</f>
        <v>Colleen</v>
      </c>
      <c r="J1529" s="7" t="str">
        <f aca="false">IF(F1529=0,"NOT FOUND",IF(C1529=I1529,"SELF-VOTE",IF(COUNTIF($K:$K,K1529)&gt;1,"DUPLICATE","OK")))</f>
        <v>OK</v>
      </c>
      <c r="K1529" s="6" t="str">
        <f aca="false">A1529&amp;"|"&amp;B1529&amp;"|"&amp;C1529&amp;"|"&amp;D1529</f>
        <v>3|4|Lisa|spotify:track:4oEf84vBYVftf6KmZexhVo</v>
      </c>
    </row>
    <row r="1530" customFormat="false" ht="15" hidden="false" customHeight="false" outlineLevel="0" collapsed="false">
      <c r="A1530" s="5" t="n">
        <v>3</v>
      </c>
      <c r="B1530" s="5" t="n">
        <v>4</v>
      </c>
      <c r="C1530" s="5" t="s">
        <v>705</v>
      </c>
      <c r="D1530" s="5" t="s">
        <v>813</v>
      </c>
      <c r="E1530" s="5" t="n">
        <v>1</v>
      </c>
      <c r="F1530" s="6" t="n">
        <f aca="false">IFERROR(MATCH(A1530&amp;"|"&amp;B1530&amp;"|"&amp;D1530,'All Song Rankings'!$T:$T,0),0)</f>
        <v>240</v>
      </c>
      <c r="G1530" s="6" t="str">
        <f aca="false">IF(F1530=0,"NOT FOUND",INDEX('All Song Rankings'!$A:$A,F1530))</f>
        <v>Feeling Good</v>
      </c>
      <c r="H1530" s="6" t="str">
        <f aca="false">IF(F1530=0,"NOT FOUND",INDEX('All Song Rankings'!$B:$B,F1530))</f>
        <v>Nina Simone</v>
      </c>
      <c r="I1530" s="6" t="str">
        <f aca="false">IF(F1530=0,"NOT FOUND",INDEX('All Song Rankings'!$D:$D,F1530))</f>
        <v>Logan</v>
      </c>
      <c r="J1530" s="7" t="str">
        <f aca="false">IF(F1530=0,"NOT FOUND",IF(C1530=I1530,"SELF-VOTE",IF(COUNTIF($K:$K,K1530)&gt;1,"DUPLICATE","OK")))</f>
        <v>OK</v>
      </c>
      <c r="K1530" s="6" t="str">
        <f aca="false">A1530&amp;"|"&amp;B1530&amp;"|"&amp;C1530&amp;"|"&amp;D1530</f>
        <v>3|4|Lisa|spotify:track:6Rqn2GFlmvmV4w9Ala0I1e</v>
      </c>
    </row>
    <row r="1531" customFormat="false" ht="15" hidden="false" customHeight="false" outlineLevel="0" collapsed="false">
      <c r="A1531" s="5" t="n">
        <v>3</v>
      </c>
      <c r="B1531" s="5" t="n">
        <v>4</v>
      </c>
      <c r="C1531" s="5" t="s">
        <v>705</v>
      </c>
      <c r="D1531" s="5" t="s">
        <v>846</v>
      </c>
      <c r="E1531" s="5" t="n">
        <v>1</v>
      </c>
      <c r="F1531" s="6" t="n">
        <f aca="false">IFERROR(MATCH(A1531&amp;"|"&amp;B1531&amp;"|"&amp;D1531,'All Song Rankings'!$T:$T,0),0)</f>
        <v>251</v>
      </c>
      <c r="G1531" s="6" t="str">
        <f aca="false">IF(F1531=0,"NOT FOUND",INDEX('All Song Rankings'!$A:$A,F1531))</f>
        <v>Send Me On My Way</v>
      </c>
      <c r="H1531" s="6" t="str">
        <f aca="false">IF(F1531=0,"NOT FOUND",INDEX('All Song Rankings'!$B:$B,F1531))</f>
        <v>Rusted Root</v>
      </c>
      <c r="I1531" s="6" t="str">
        <f aca="false">IF(F1531=0,"NOT FOUND",INDEX('All Song Rankings'!$D:$D,F1531))</f>
        <v>Kristen</v>
      </c>
      <c r="J1531" s="7" t="str">
        <f aca="false">IF(F1531=0,"NOT FOUND",IF(C1531=I1531,"SELF-VOTE",IF(COUNTIF($K:$K,K1531)&gt;1,"DUPLICATE","OK")))</f>
        <v>OK</v>
      </c>
      <c r="K1531" s="6" t="str">
        <f aca="false">A1531&amp;"|"&amp;B1531&amp;"|"&amp;C1531&amp;"|"&amp;D1531</f>
        <v>3|4|Lisa|spotify:track:6XK6Zw6JkFsHXzAcMWNiIr</v>
      </c>
    </row>
    <row r="1532" customFormat="false" ht="15" hidden="false" customHeight="false" outlineLevel="0" collapsed="false">
      <c r="A1532" s="5" t="n">
        <v>3</v>
      </c>
      <c r="B1532" s="5" t="n">
        <v>4</v>
      </c>
      <c r="C1532" s="5" t="s">
        <v>705</v>
      </c>
      <c r="D1532" s="5" t="s">
        <v>832</v>
      </c>
      <c r="E1532" s="5" t="n">
        <v>2</v>
      </c>
      <c r="F1532" s="6" t="n">
        <f aca="false">IFERROR(MATCH(A1532&amp;"|"&amp;B1532&amp;"|"&amp;D1532,'All Song Rankings'!$T:$T,0),0)</f>
        <v>246</v>
      </c>
      <c r="G1532" s="6" t="str">
        <f aca="false">IF(F1532=0,"NOT FOUND",INDEX('All Song Rankings'!$A:$A,F1532))</f>
        <v>Shattered (Turn The Car Around)</v>
      </c>
      <c r="H1532" s="6" t="str">
        <f aca="false">IF(F1532=0,"NOT FOUND",INDEX('All Song Rankings'!$B:$B,F1532))</f>
        <v>O.A.R.</v>
      </c>
      <c r="I1532" s="6" t="str">
        <f aca="false">IF(F1532=0,"NOT FOUND",INDEX('All Song Rankings'!$D:$D,F1532))</f>
        <v>Stephanie</v>
      </c>
      <c r="J1532" s="7" t="str">
        <f aca="false">IF(F1532=0,"NOT FOUND",IF(C1532=I1532,"SELF-VOTE",IF(COUNTIF($K:$K,K1532)&gt;1,"DUPLICATE","OK")))</f>
        <v>OK</v>
      </c>
      <c r="K1532" s="6" t="str">
        <f aca="false">A1532&amp;"|"&amp;B1532&amp;"|"&amp;C1532&amp;"|"&amp;D1532</f>
        <v>3|4|Lisa|spotify:track:6jlqDfX8TQNxcaAz5oxYJA</v>
      </c>
    </row>
    <row r="1533" customFormat="false" ht="15" hidden="false" customHeight="false" outlineLevel="0" collapsed="false">
      <c r="A1533" s="5" t="n">
        <v>3</v>
      </c>
      <c r="B1533" s="5" t="n">
        <v>4</v>
      </c>
      <c r="C1533" s="5" t="s">
        <v>705</v>
      </c>
      <c r="D1533" s="5" t="s">
        <v>817</v>
      </c>
      <c r="E1533" s="5" t="n">
        <v>1</v>
      </c>
      <c r="F1533" s="6" t="n">
        <f aca="false">IFERROR(MATCH(A1533&amp;"|"&amp;B1533&amp;"|"&amp;D1533,'All Song Rankings'!$T:$T,0),0)</f>
        <v>241</v>
      </c>
      <c r="G1533" s="6" t="str">
        <f aca="false">IF(F1533=0,"NOT FOUND",INDEX('All Song Rankings'!$A:$A,F1533))</f>
        <v>Thani Lokah Murakkaari (From "Lokah - Chapter 1: Chandra")</v>
      </c>
      <c r="H1533" s="6" t="str">
        <f aca="false">IF(F1533=0,"NOT FOUND",INDEX('All Song Rankings'!$B:$B,F1533))</f>
        <v>Jakes Bejoy, Jyoti Nooran, Reble, Mu.Ri</v>
      </c>
      <c r="I1533" s="6" t="str">
        <f aca="false">IF(F1533=0,"NOT FOUND",INDEX('All Song Rankings'!$D:$D,F1533))</f>
        <v>Merita</v>
      </c>
      <c r="J1533" s="7" t="str">
        <f aca="false">IF(F1533=0,"NOT FOUND",IF(C1533=I1533,"SELF-VOTE",IF(COUNTIF($K:$K,K1533)&gt;1,"DUPLICATE","OK")))</f>
        <v>OK</v>
      </c>
      <c r="K1533" s="6" t="str">
        <f aca="false">A1533&amp;"|"&amp;B1533&amp;"|"&amp;C1533&amp;"|"&amp;D1533</f>
        <v>3|4|Lisa|spotify:track:7gX2JJVKndYEVApM5GRtqZ</v>
      </c>
    </row>
    <row r="1534" customFormat="false" ht="15" hidden="false" customHeight="false" outlineLevel="0" collapsed="false">
      <c r="A1534" s="5" t="n">
        <v>3</v>
      </c>
      <c r="B1534" s="5" t="n">
        <v>4</v>
      </c>
      <c r="C1534" s="5" t="s">
        <v>128</v>
      </c>
      <c r="D1534" s="5" t="s">
        <v>807</v>
      </c>
      <c r="E1534" s="5" t="n">
        <v>1</v>
      </c>
      <c r="F1534" s="6" t="n">
        <f aca="false">IFERROR(MATCH(A1534&amp;"|"&amp;B1534&amp;"|"&amp;D1534,'All Song Rankings'!$T:$T,0),0)</f>
        <v>238</v>
      </c>
      <c r="G1534" s="6" t="str">
        <f aca="false">IF(F1534=0,"NOT FOUND",INDEX('All Song Rankings'!$A:$A,F1534))</f>
        <v>Stick Season</v>
      </c>
      <c r="H1534" s="6" t="str">
        <f aca="false">IF(F1534=0,"NOT FOUND",INDEX('All Song Rankings'!$B:$B,F1534))</f>
        <v>Noah Kahan</v>
      </c>
      <c r="I1534" s="6" t="str">
        <f aca="false">IF(F1534=0,"NOT FOUND",INDEX('All Song Rankings'!$D:$D,F1534))</f>
        <v>Scott</v>
      </c>
      <c r="J1534" s="7" t="str">
        <f aca="false">IF(F1534=0,"NOT FOUND",IF(C1534=I1534,"SELF-VOTE",IF(COUNTIF($K:$K,K1534)&gt;1,"DUPLICATE","OK")))</f>
        <v>OK</v>
      </c>
      <c r="K1534" s="6" t="str">
        <f aca="false">A1534&amp;"|"&amp;B1534&amp;"|"&amp;C1534&amp;"|"&amp;D1534</f>
        <v>3|4|Logan|spotify:track:0mflMxspEfB0VbI1kyLiAv</v>
      </c>
    </row>
    <row r="1535" customFormat="false" ht="15" hidden="false" customHeight="false" outlineLevel="0" collapsed="false">
      <c r="A1535" s="5" t="n">
        <v>3</v>
      </c>
      <c r="B1535" s="5" t="n">
        <v>4</v>
      </c>
      <c r="C1535" s="5" t="s">
        <v>128</v>
      </c>
      <c r="D1535" s="5" t="s">
        <v>837</v>
      </c>
      <c r="E1535" s="5" t="n">
        <v>1</v>
      </c>
      <c r="F1535" s="6" t="n">
        <f aca="false">IFERROR(MATCH(A1535&amp;"|"&amp;B1535&amp;"|"&amp;D1535,'All Song Rankings'!$T:$T,0),0)</f>
        <v>248</v>
      </c>
      <c r="G1535" s="6" t="str">
        <f aca="false">IF(F1535=0,"NOT FOUND",INDEX('All Song Rankings'!$A:$A,F1535))</f>
        <v>Torn to Pieces</v>
      </c>
      <c r="H1535" s="6" t="str">
        <f aca="false">IF(F1535=0,"NOT FOUND",INDEX('All Song Rankings'!$B:$B,F1535))</f>
        <v>Pop Evil</v>
      </c>
      <c r="I1535" s="6" t="str">
        <f aca="false">IF(F1535=0,"NOT FOUND",INDEX('All Song Rankings'!$D:$D,F1535))</f>
        <v>Leah</v>
      </c>
      <c r="J1535" s="7" t="str">
        <f aca="false">IF(F1535=0,"NOT FOUND",IF(C1535=I1535,"SELF-VOTE",IF(COUNTIF($K:$K,K1535)&gt;1,"DUPLICATE","OK")))</f>
        <v>OK</v>
      </c>
      <c r="K1535" s="6" t="str">
        <f aca="false">A1535&amp;"|"&amp;B1535&amp;"|"&amp;C1535&amp;"|"&amp;D1535</f>
        <v>3|4|Logan|spotify:track:3gLvDdJVhHLWWkgzTbYeJB</v>
      </c>
    </row>
    <row r="1536" customFormat="false" ht="15" hidden="false" customHeight="false" outlineLevel="0" collapsed="false">
      <c r="A1536" s="5" t="n">
        <v>3</v>
      </c>
      <c r="B1536" s="5" t="n">
        <v>4</v>
      </c>
      <c r="C1536" s="5" t="s">
        <v>128</v>
      </c>
      <c r="D1536" s="5" t="s">
        <v>823</v>
      </c>
      <c r="E1536" s="5" t="n">
        <v>1</v>
      </c>
      <c r="F1536" s="6" t="n">
        <f aca="false">IFERROR(MATCH(A1536&amp;"|"&amp;B1536&amp;"|"&amp;D1536,'All Song Rankings'!$T:$T,0),0)</f>
        <v>243</v>
      </c>
      <c r="G1536" s="6" t="str">
        <f aca="false">IF(F1536=0,"NOT FOUND",INDEX('All Song Rankings'!$A:$A,F1536))</f>
        <v>Barefoot Blue Jean Night</v>
      </c>
      <c r="H1536" s="6" t="str">
        <f aca="false">IF(F1536=0,"NOT FOUND",INDEX('All Song Rankings'!$B:$B,F1536))</f>
        <v>Jake Owen</v>
      </c>
      <c r="I1536" s="6" t="str">
        <f aca="false">IF(F1536=0,"NOT FOUND",INDEX('All Song Rankings'!$D:$D,F1536))</f>
        <v>Aubrey</v>
      </c>
      <c r="J1536" s="7" t="str">
        <f aca="false">IF(F1536=0,"NOT FOUND",IF(C1536=I1536,"SELF-VOTE",IF(COUNTIF($K:$K,K1536)&gt;1,"DUPLICATE","OK")))</f>
        <v>OK</v>
      </c>
      <c r="K1536" s="6" t="str">
        <f aca="false">A1536&amp;"|"&amp;B1536&amp;"|"&amp;C1536&amp;"|"&amp;D1536</f>
        <v>3|4|Logan|spotify:track:3ts6xK5GzfMAAriT9AIBmP</v>
      </c>
    </row>
    <row r="1537" customFormat="false" ht="15" hidden="false" customHeight="false" outlineLevel="0" collapsed="false">
      <c r="A1537" s="5" t="n">
        <v>3</v>
      </c>
      <c r="B1537" s="5" t="n">
        <v>4</v>
      </c>
      <c r="C1537" s="5" t="s">
        <v>128</v>
      </c>
      <c r="D1537" s="5" t="s">
        <v>820</v>
      </c>
      <c r="E1537" s="5" t="n">
        <v>1</v>
      </c>
      <c r="F1537" s="6" t="n">
        <f aca="false">IFERROR(MATCH(A1537&amp;"|"&amp;B1537&amp;"|"&amp;D1537,'All Song Rankings'!$T:$T,0),0)</f>
        <v>242</v>
      </c>
      <c r="G1537" s="6" t="str">
        <f aca="false">IF(F1537=0,"NOT FOUND",INDEX('All Song Rankings'!$A:$A,F1537))</f>
        <v>Doin' Time</v>
      </c>
      <c r="H1537" s="6" t="str">
        <f aca="false">IF(F1537=0,"NOT FOUND",INDEX('All Song Rankings'!$B:$B,F1537))</f>
        <v>Sublime</v>
      </c>
      <c r="I1537" s="6" t="str">
        <f aca="false">IF(F1537=0,"NOT FOUND",INDEX('All Song Rankings'!$D:$D,F1537))</f>
        <v>Matt</v>
      </c>
      <c r="J1537" s="7" t="str">
        <f aca="false">IF(F1537=0,"NOT FOUND",IF(C1537=I1537,"SELF-VOTE",IF(COUNTIF($K:$K,K1537)&gt;1,"DUPLICATE","OK")))</f>
        <v>OK</v>
      </c>
      <c r="K1537" s="6" t="str">
        <f aca="false">A1537&amp;"|"&amp;B1537&amp;"|"&amp;C1537&amp;"|"&amp;D1537</f>
        <v>3|4|Logan|spotify:track:4eamJr2k9YDH8j58RSTmSc</v>
      </c>
    </row>
    <row r="1538" customFormat="false" ht="15" hidden="false" customHeight="false" outlineLevel="0" collapsed="false">
      <c r="A1538" s="5" t="n">
        <v>3</v>
      </c>
      <c r="B1538" s="5" t="n">
        <v>4</v>
      </c>
      <c r="C1538" s="5" t="s">
        <v>128</v>
      </c>
      <c r="D1538" s="5" t="s">
        <v>810</v>
      </c>
      <c r="E1538" s="5" t="n">
        <v>1</v>
      </c>
      <c r="F1538" s="6" t="n">
        <f aca="false">IFERROR(MATCH(A1538&amp;"|"&amp;B1538&amp;"|"&amp;D1538,'All Song Rankings'!$T:$T,0),0)</f>
        <v>239</v>
      </c>
      <c r="G1538" s="6" t="str">
        <f aca="false">IF(F1538=0,"NOT FOUND",INDEX('All Song Rankings'!$A:$A,F1538))</f>
        <v>Northern Attitude (with Hozier)</v>
      </c>
      <c r="H1538" s="6" t="str">
        <f aca="false">IF(F1538=0,"NOT FOUND",INDEX('All Song Rankings'!$B:$B,F1538))</f>
        <v>Noah Kahan, Hozier</v>
      </c>
      <c r="I1538" s="6" t="str">
        <f aca="false">IF(F1538=0,"NOT FOUND",INDEX('All Song Rankings'!$D:$D,F1538))</f>
        <v>Colleen</v>
      </c>
      <c r="J1538" s="7" t="str">
        <f aca="false">IF(F1538=0,"NOT FOUND",IF(C1538=I1538,"SELF-VOTE",IF(COUNTIF($K:$K,K1538)&gt;1,"DUPLICATE","OK")))</f>
        <v>OK</v>
      </c>
      <c r="K1538" s="6" t="str">
        <f aca="false">A1538&amp;"|"&amp;B1538&amp;"|"&amp;C1538&amp;"|"&amp;D1538</f>
        <v>3|4|Logan|spotify:track:4oEf84vBYVftf6KmZexhVo</v>
      </c>
    </row>
    <row r="1539" customFormat="false" ht="15" hidden="false" customHeight="false" outlineLevel="0" collapsed="false">
      <c r="A1539" s="5" t="n">
        <v>3</v>
      </c>
      <c r="B1539" s="5" t="n">
        <v>4</v>
      </c>
      <c r="C1539" s="5" t="s">
        <v>128</v>
      </c>
      <c r="D1539" s="5" t="s">
        <v>834</v>
      </c>
      <c r="E1539" s="5" t="n">
        <v>2</v>
      </c>
      <c r="F1539" s="6" t="n">
        <f aca="false">IFERROR(MATCH(A1539&amp;"|"&amp;B1539&amp;"|"&amp;D1539,'All Song Rankings'!$T:$T,0),0)</f>
        <v>247</v>
      </c>
      <c r="G1539" s="6" t="str">
        <f aca="false">IF(F1539=0,"NOT FOUND",INDEX('All Song Rankings'!$A:$A,F1539))</f>
        <v>New York State of Mind</v>
      </c>
      <c r="H1539" s="6" t="str">
        <f aca="false">IF(F1539=0,"NOT FOUND",INDEX('All Song Rankings'!$B:$B,F1539))</f>
        <v>Billy Joel</v>
      </c>
      <c r="I1539" s="6" t="str">
        <f aca="false">IF(F1539=0,"NOT FOUND",INDEX('All Song Rankings'!$D:$D,F1539))</f>
        <v>Christine</v>
      </c>
      <c r="J1539" s="7" t="str">
        <f aca="false">IF(F1539=0,"NOT FOUND",IF(C1539=I1539,"SELF-VOTE",IF(COUNTIF($K:$K,K1539)&gt;1,"DUPLICATE","OK")))</f>
        <v>OK</v>
      </c>
      <c r="K1539" s="6" t="str">
        <f aca="false">A1539&amp;"|"&amp;B1539&amp;"|"&amp;C1539&amp;"|"&amp;D1539</f>
        <v>3|4|Logan|spotify:track:6yjKlmm7vOszkXEUku1EM1</v>
      </c>
    </row>
    <row r="1540" customFormat="false" ht="15" hidden="false" customHeight="false" outlineLevel="0" collapsed="false">
      <c r="A1540" s="5" t="n">
        <v>3</v>
      </c>
      <c r="B1540" s="5" t="n">
        <v>4</v>
      </c>
      <c r="C1540" s="5" t="s">
        <v>128</v>
      </c>
      <c r="D1540" s="5" t="s">
        <v>817</v>
      </c>
      <c r="E1540" s="5" t="n">
        <v>1</v>
      </c>
      <c r="F1540" s="6" t="n">
        <f aca="false">IFERROR(MATCH(A1540&amp;"|"&amp;B1540&amp;"|"&amp;D1540,'All Song Rankings'!$T:$T,0),0)</f>
        <v>241</v>
      </c>
      <c r="G1540" s="6" t="str">
        <f aca="false">IF(F1540=0,"NOT FOUND",INDEX('All Song Rankings'!$A:$A,F1540))</f>
        <v>Thani Lokah Murakkaari (From "Lokah - Chapter 1: Chandra")</v>
      </c>
      <c r="H1540" s="6" t="str">
        <f aca="false">IF(F1540=0,"NOT FOUND",INDEX('All Song Rankings'!$B:$B,F1540))</f>
        <v>Jakes Bejoy, Jyoti Nooran, Reble, Mu.Ri</v>
      </c>
      <c r="I1540" s="6" t="str">
        <f aca="false">IF(F1540=0,"NOT FOUND",INDEX('All Song Rankings'!$D:$D,F1540))</f>
        <v>Merita</v>
      </c>
      <c r="J1540" s="7" t="str">
        <f aca="false">IF(F1540=0,"NOT FOUND",IF(C1540=I1540,"SELF-VOTE",IF(COUNTIF($K:$K,K1540)&gt;1,"DUPLICATE","OK")))</f>
        <v>OK</v>
      </c>
      <c r="K1540" s="6" t="str">
        <f aca="false">A1540&amp;"|"&amp;B1540&amp;"|"&amp;C1540&amp;"|"&amp;D1540</f>
        <v>3|4|Logan|spotify:track:7gX2JJVKndYEVApM5GRtqZ</v>
      </c>
    </row>
    <row r="1541" customFormat="false" ht="15" hidden="false" customHeight="false" outlineLevel="0" collapsed="false">
      <c r="A1541" s="5" t="n">
        <v>3</v>
      </c>
      <c r="B1541" s="5" t="n">
        <v>4</v>
      </c>
      <c r="C1541" s="5" t="s">
        <v>128</v>
      </c>
      <c r="D1541" s="5" t="s">
        <v>829</v>
      </c>
      <c r="E1541" s="5" t="n">
        <v>1</v>
      </c>
      <c r="F1541" s="6" t="n">
        <f aca="false">IFERROR(MATCH(A1541&amp;"|"&amp;B1541&amp;"|"&amp;D1541,'All Song Rankings'!$T:$T,0),0)</f>
        <v>245</v>
      </c>
      <c r="G1541" s="6" t="str">
        <f aca="false">IF(F1541=0,"NOT FOUND",INDEX('All Song Rankings'!$A:$A,F1541))</f>
        <v>Simple Man</v>
      </c>
      <c r="H1541" s="6" t="str">
        <f aca="false">IF(F1541=0,"NOT FOUND",INDEX('All Song Rankings'!$B:$B,F1541))</f>
        <v>Shinedown</v>
      </c>
      <c r="I1541" s="6" t="str">
        <f aca="false">IF(F1541=0,"NOT FOUND",INDEX('All Song Rankings'!$D:$D,F1541))</f>
        <v>Lisa</v>
      </c>
      <c r="J1541" s="7" t="str">
        <f aca="false">IF(F1541=0,"NOT FOUND",IF(C1541=I1541,"SELF-VOTE",IF(COUNTIF($K:$K,K1541)&gt;1,"DUPLICATE","OK")))</f>
        <v>OK</v>
      </c>
      <c r="K1541" s="6" t="str">
        <f aca="false">A1541&amp;"|"&amp;B1541&amp;"|"&amp;C1541&amp;"|"&amp;D1541</f>
        <v>3|4|Logan|spotify:track:7gmfoXsjwQYn6HeHUYRpY2</v>
      </c>
    </row>
    <row r="1542" customFormat="false" ht="15" hidden="false" customHeight="false" outlineLevel="0" collapsed="false">
      <c r="A1542" s="5" t="n">
        <v>3</v>
      </c>
      <c r="B1542" s="5" t="n">
        <v>4</v>
      </c>
      <c r="C1542" s="5" t="s">
        <v>128</v>
      </c>
      <c r="D1542" s="5" t="s">
        <v>826</v>
      </c>
      <c r="E1542" s="5" t="n">
        <v>1</v>
      </c>
      <c r="F1542" s="6" t="n">
        <f aca="false">IFERROR(MATCH(A1542&amp;"|"&amp;B1542&amp;"|"&amp;D1542,'All Song Rankings'!$T:$T,0),0)</f>
        <v>244</v>
      </c>
      <c r="G1542" s="6" t="str">
        <f aca="false">IF(F1542=0,"NOT FOUND",INDEX('All Song Rankings'!$A:$A,F1542))</f>
        <v>Fighter</v>
      </c>
      <c r="H1542" s="6" t="str">
        <f aca="false">IF(F1542=0,"NOT FOUND",INDEX('All Song Rankings'!$B:$B,F1542))</f>
        <v>Christina Aguilera</v>
      </c>
      <c r="I1542" s="6" t="str">
        <f aca="false">IF(F1542=0,"NOT FOUND",INDEX('All Song Rankings'!$D:$D,F1542))</f>
        <v>Kelsey</v>
      </c>
      <c r="J1542" s="7" t="str">
        <f aca="false">IF(F1542=0,"NOT FOUND",IF(C1542=I1542,"SELF-VOTE",IF(COUNTIF($K:$K,K1542)&gt;1,"DUPLICATE","OK")))</f>
        <v>OK</v>
      </c>
      <c r="K1542" s="6" t="str">
        <f aca="false">A1542&amp;"|"&amp;B1542&amp;"|"&amp;C1542&amp;"|"&amp;D1542</f>
        <v>3|4|Logan|spotify:track:7nXq1vaZiz7PdbfojpPjW5</v>
      </c>
    </row>
    <row r="1543" customFormat="false" ht="15" hidden="false" customHeight="false" outlineLevel="0" collapsed="false">
      <c r="A1543" s="5" t="n">
        <v>3</v>
      </c>
      <c r="B1543" s="5" t="n">
        <v>4</v>
      </c>
      <c r="C1543" s="5" t="s">
        <v>395</v>
      </c>
      <c r="D1543" s="5" t="s">
        <v>807</v>
      </c>
      <c r="E1543" s="5" t="n">
        <v>2</v>
      </c>
      <c r="F1543" s="6" t="n">
        <f aca="false">IFERROR(MATCH(A1543&amp;"|"&amp;B1543&amp;"|"&amp;D1543,'All Song Rankings'!$T:$T,0),0)</f>
        <v>238</v>
      </c>
      <c r="G1543" s="6" t="str">
        <f aca="false">IF(F1543=0,"NOT FOUND",INDEX('All Song Rankings'!$A:$A,F1543))</f>
        <v>Stick Season</v>
      </c>
      <c r="H1543" s="6" t="str">
        <f aca="false">IF(F1543=0,"NOT FOUND",INDEX('All Song Rankings'!$B:$B,F1543))</f>
        <v>Noah Kahan</v>
      </c>
      <c r="I1543" s="6" t="str">
        <f aca="false">IF(F1543=0,"NOT FOUND",INDEX('All Song Rankings'!$D:$D,F1543))</f>
        <v>Scott</v>
      </c>
      <c r="J1543" s="7" t="str">
        <f aca="false">IF(F1543=0,"NOT FOUND",IF(C1543=I1543,"SELF-VOTE",IF(COUNTIF($K:$K,K1543)&gt;1,"DUPLICATE","OK")))</f>
        <v>OK</v>
      </c>
      <c r="K1543" s="6" t="str">
        <f aca="false">A1543&amp;"|"&amp;B1543&amp;"|"&amp;C1543&amp;"|"&amp;D1543</f>
        <v>3|4|Makenzie|spotify:track:0mflMxspEfB0VbI1kyLiAv</v>
      </c>
    </row>
    <row r="1544" customFormat="false" ht="15" hidden="false" customHeight="false" outlineLevel="0" collapsed="false">
      <c r="A1544" s="5" t="n">
        <v>3</v>
      </c>
      <c r="B1544" s="5" t="n">
        <v>4</v>
      </c>
      <c r="C1544" s="5" t="s">
        <v>395</v>
      </c>
      <c r="D1544" s="5" t="s">
        <v>849</v>
      </c>
      <c r="E1544" s="5" t="n">
        <v>1</v>
      </c>
      <c r="F1544" s="6" t="n">
        <f aca="false">IFERROR(MATCH(A1544&amp;"|"&amp;B1544&amp;"|"&amp;D1544,'All Song Rankings'!$T:$T,0),0)</f>
        <v>252</v>
      </c>
      <c r="G1544" s="6" t="str">
        <f aca="false">IF(F1544=0,"NOT FOUND",INDEX('All Song Rankings'!$A:$A,F1544))</f>
        <v>Stressed Out</v>
      </c>
      <c r="H1544" s="6" t="str">
        <f aca="false">IF(F1544=0,"NOT FOUND",INDEX('All Song Rankings'!$B:$B,F1544))</f>
        <v>Twenty One Pilots</v>
      </c>
      <c r="I1544" s="6" t="str">
        <f aca="false">IF(F1544=0,"NOT FOUND",INDEX('All Song Rankings'!$D:$D,F1544))</f>
        <v>Grace</v>
      </c>
      <c r="J1544" s="7" t="str">
        <f aca="false">IF(F1544=0,"NOT FOUND",IF(C1544=I1544,"SELF-VOTE",IF(COUNTIF($K:$K,K1544)&gt;1,"DUPLICATE","OK")))</f>
        <v>OK</v>
      </c>
      <c r="K1544" s="6" t="str">
        <f aca="false">A1544&amp;"|"&amp;B1544&amp;"|"&amp;C1544&amp;"|"&amp;D1544</f>
        <v>3|4|Makenzie|spotify:track:3CRDbSIZ4r5MsZ0YwxuEkn</v>
      </c>
    </row>
    <row r="1545" customFormat="false" ht="15" hidden="false" customHeight="false" outlineLevel="0" collapsed="false">
      <c r="A1545" s="5" t="n">
        <v>3</v>
      </c>
      <c r="B1545" s="5" t="n">
        <v>4</v>
      </c>
      <c r="C1545" s="5" t="s">
        <v>395</v>
      </c>
      <c r="D1545" s="5" t="s">
        <v>823</v>
      </c>
      <c r="E1545" s="5" t="n">
        <v>1</v>
      </c>
      <c r="F1545" s="6" t="n">
        <f aca="false">IFERROR(MATCH(A1545&amp;"|"&amp;B1545&amp;"|"&amp;D1545,'All Song Rankings'!$T:$T,0),0)</f>
        <v>243</v>
      </c>
      <c r="G1545" s="6" t="str">
        <f aca="false">IF(F1545=0,"NOT FOUND",INDEX('All Song Rankings'!$A:$A,F1545))</f>
        <v>Barefoot Blue Jean Night</v>
      </c>
      <c r="H1545" s="6" t="str">
        <f aca="false">IF(F1545=0,"NOT FOUND",INDEX('All Song Rankings'!$B:$B,F1545))</f>
        <v>Jake Owen</v>
      </c>
      <c r="I1545" s="6" t="str">
        <f aca="false">IF(F1545=0,"NOT FOUND",INDEX('All Song Rankings'!$D:$D,F1545))</f>
        <v>Aubrey</v>
      </c>
      <c r="J1545" s="7" t="str">
        <f aca="false">IF(F1545=0,"NOT FOUND",IF(C1545=I1545,"SELF-VOTE",IF(COUNTIF($K:$K,K1545)&gt;1,"DUPLICATE","OK")))</f>
        <v>OK</v>
      </c>
      <c r="K1545" s="6" t="str">
        <f aca="false">A1545&amp;"|"&amp;B1545&amp;"|"&amp;C1545&amp;"|"&amp;D1545</f>
        <v>3|4|Makenzie|spotify:track:3ts6xK5GzfMAAriT9AIBmP</v>
      </c>
    </row>
    <row r="1546" customFormat="false" ht="15" hidden="false" customHeight="false" outlineLevel="0" collapsed="false">
      <c r="A1546" s="5" t="n">
        <v>3</v>
      </c>
      <c r="B1546" s="5" t="n">
        <v>4</v>
      </c>
      <c r="C1546" s="5" t="s">
        <v>395</v>
      </c>
      <c r="D1546" s="5" t="s">
        <v>810</v>
      </c>
      <c r="E1546" s="5" t="n">
        <v>2</v>
      </c>
      <c r="F1546" s="6" t="n">
        <f aca="false">IFERROR(MATCH(A1546&amp;"|"&amp;B1546&amp;"|"&amp;D1546,'All Song Rankings'!$T:$T,0),0)</f>
        <v>239</v>
      </c>
      <c r="G1546" s="6" t="str">
        <f aca="false">IF(F1546=0,"NOT FOUND",INDEX('All Song Rankings'!$A:$A,F1546))</f>
        <v>Northern Attitude (with Hozier)</v>
      </c>
      <c r="H1546" s="6" t="str">
        <f aca="false">IF(F1546=0,"NOT FOUND",INDEX('All Song Rankings'!$B:$B,F1546))</f>
        <v>Noah Kahan, Hozier</v>
      </c>
      <c r="I1546" s="6" t="str">
        <f aca="false">IF(F1546=0,"NOT FOUND",INDEX('All Song Rankings'!$D:$D,F1546))</f>
        <v>Colleen</v>
      </c>
      <c r="J1546" s="7" t="str">
        <f aca="false">IF(F1546=0,"NOT FOUND",IF(C1546=I1546,"SELF-VOTE",IF(COUNTIF($K:$K,K1546)&gt;1,"DUPLICATE","OK")))</f>
        <v>OK</v>
      </c>
      <c r="K1546" s="6" t="str">
        <f aca="false">A1546&amp;"|"&amp;B1546&amp;"|"&amp;C1546&amp;"|"&amp;D1546</f>
        <v>3|4|Makenzie|spotify:track:4oEf84vBYVftf6KmZexhVo</v>
      </c>
    </row>
    <row r="1547" customFormat="false" ht="15" hidden="false" customHeight="false" outlineLevel="0" collapsed="false">
      <c r="A1547" s="5" t="n">
        <v>3</v>
      </c>
      <c r="B1547" s="5" t="n">
        <v>4</v>
      </c>
      <c r="C1547" s="5" t="s">
        <v>395</v>
      </c>
      <c r="D1547" s="5" t="s">
        <v>846</v>
      </c>
      <c r="E1547" s="5" t="n">
        <v>1</v>
      </c>
      <c r="F1547" s="6" t="n">
        <f aca="false">IFERROR(MATCH(A1547&amp;"|"&amp;B1547&amp;"|"&amp;D1547,'All Song Rankings'!$T:$T,0),0)</f>
        <v>251</v>
      </c>
      <c r="G1547" s="6" t="str">
        <f aca="false">IF(F1547=0,"NOT FOUND",INDEX('All Song Rankings'!$A:$A,F1547))</f>
        <v>Send Me On My Way</v>
      </c>
      <c r="H1547" s="6" t="str">
        <f aca="false">IF(F1547=0,"NOT FOUND",INDEX('All Song Rankings'!$B:$B,F1547))</f>
        <v>Rusted Root</v>
      </c>
      <c r="I1547" s="6" t="str">
        <f aca="false">IF(F1547=0,"NOT FOUND",INDEX('All Song Rankings'!$D:$D,F1547))</f>
        <v>Kristen</v>
      </c>
      <c r="J1547" s="7" t="str">
        <f aca="false">IF(F1547=0,"NOT FOUND",IF(C1547=I1547,"SELF-VOTE",IF(COUNTIF($K:$K,K1547)&gt;1,"DUPLICATE","OK")))</f>
        <v>OK</v>
      </c>
      <c r="K1547" s="6" t="str">
        <f aca="false">A1547&amp;"|"&amp;B1547&amp;"|"&amp;C1547&amp;"|"&amp;D1547</f>
        <v>3|4|Makenzie|spotify:track:6XK6Zw6JkFsHXzAcMWNiIr</v>
      </c>
    </row>
    <row r="1548" customFormat="false" ht="15" hidden="false" customHeight="false" outlineLevel="0" collapsed="false">
      <c r="A1548" s="5" t="n">
        <v>3</v>
      </c>
      <c r="B1548" s="5" t="n">
        <v>4</v>
      </c>
      <c r="C1548" s="5" t="s">
        <v>395</v>
      </c>
      <c r="D1548" s="5" t="s">
        <v>817</v>
      </c>
      <c r="E1548" s="5" t="n">
        <v>2</v>
      </c>
      <c r="F1548" s="6" t="n">
        <f aca="false">IFERROR(MATCH(A1548&amp;"|"&amp;B1548&amp;"|"&amp;D1548,'All Song Rankings'!$T:$T,0),0)</f>
        <v>241</v>
      </c>
      <c r="G1548" s="6" t="str">
        <f aca="false">IF(F1548=0,"NOT FOUND",INDEX('All Song Rankings'!$A:$A,F1548))</f>
        <v>Thani Lokah Murakkaari (From "Lokah - Chapter 1: Chandra")</v>
      </c>
      <c r="H1548" s="6" t="str">
        <f aca="false">IF(F1548=0,"NOT FOUND",INDEX('All Song Rankings'!$B:$B,F1548))</f>
        <v>Jakes Bejoy, Jyoti Nooran, Reble, Mu.Ri</v>
      </c>
      <c r="I1548" s="6" t="str">
        <f aca="false">IF(F1548=0,"NOT FOUND",INDEX('All Song Rankings'!$D:$D,F1548))</f>
        <v>Merita</v>
      </c>
      <c r="J1548" s="7" t="str">
        <f aca="false">IF(F1548=0,"NOT FOUND",IF(C1548=I1548,"SELF-VOTE",IF(COUNTIF($K:$K,K1548)&gt;1,"DUPLICATE","OK")))</f>
        <v>OK</v>
      </c>
      <c r="K1548" s="6" t="str">
        <f aca="false">A1548&amp;"|"&amp;B1548&amp;"|"&amp;C1548&amp;"|"&amp;D1548</f>
        <v>3|4|Makenzie|spotify:track:7gX2JJVKndYEVApM5GRtqZ</v>
      </c>
    </row>
    <row r="1549" customFormat="false" ht="15" hidden="false" customHeight="false" outlineLevel="0" collapsed="false">
      <c r="A1549" s="5" t="n">
        <v>3</v>
      </c>
      <c r="B1549" s="5" t="n">
        <v>4</v>
      </c>
      <c r="C1549" s="5" t="s">
        <v>395</v>
      </c>
      <c r="D1549" s="5" t="s">
        <v>826</v>
      </c>
      <c r="E1549" s="5" t="n">
        <v>1</v>
      </c>
      <c r="F1549" s="6" t="n">
        <f aca="false">IFERROR(MATCH(A1549&amp;"|"&amp;B1549&amp;"|"&amp;D1549,'All Song Rankings'!$T:$T,0),0)</f>
        <v>244</v>
      </c>
      <c r="G1549" s="6" t="str">
        <f aca="false">IF(F1549=0,"NOT FOUND",INDEX('All Song Rankings'!$A:$A,F1549))</f>
        <v>Fighter</v>
      </c>
      <c r="H1549" s="6" t="str">
        <f aca="false">IF(F1549=0,"NOT FOUND",INDEX('All Song Rankings'!$B:$B,F1549))</f>
        <v>Christina Aguilera</v>
      </c>
      <c r="I1549" s="6" t="str">
        <f aca="false">IF(F1549=0,"NOT FOUND",INDEX('All Song Rankings'!$D:$D,F1549))</f>
        <v>Kelsey</v>
      </c>
      <c r="J1549" s="7" t="str">
        <f aca="false">IF(F1549=0,"NOT FOUND",IF(C1549=I1549,"SELF-VOTE",IF(COUNTIF($K:$K,K1549)&gt;1,"DUPLICATE","OK")))</f>
        <v>OK</v>
      </c>
      <c r="K1549" s="6" t="str">
        <f aca="false">A1549&amp;"|"&amp;B1549&amp;"|"&amp;C1549&amp;"|"&amp;D1549</f>
        <v>3|4|Makenzie|spotify:track:7nXq1vaZiz7PdbfojpPjW5</v>
      </c>
    </row>
    <row r="1550" customFormat="false" ht="15" hidden="false" customHeight="false" outlineLevel="0" collapsed="false">
      <c r="A1550" s="5" t="n">
        <v>3</v>
      </c>
      <c r="B1550" s="5" t="n">
        <v>4</v>
      </c>
      <c r="C1550" s="5" t="s">
        <v>116</v>
      </c>
      <c r="D1550" s="5" t="s">
        <v>807</v>
      </c>
      <c r="E1550" s="5" t="n">
        <v>1</v>
      </c>
      <c r="F1550" s="6" t="n">
        <f aca="false">IFERROR(MATCH(A1550&amp;"|"&amp;B1550&amp;"|"&amp;D1550,'All Song Rankings'!$T:$T,0),0)</f>
        <v>238</v>
      </c>
      <c r="G1550" s="6" t="str">
        <f aca="false">IF(F1550=0,"NOT FOUND",INDEX('All Song Rankings'!$A:$A,F1550))</f>
        <v>Stick Season</v>
      </c>
      <c r="H1550" s="6" t="str">
        <f aca="false">IF(F1550=0,"NOT FOUND",INDEX('All Song Rankings'!$B:$B,F1550))</f>
        <v>Noah Kahan</v>
      </c>
      <c r="I1550" s="6" t="str">
        <f aca="false">IF(F1550=0,"NOT FOUND",INDEX('All Song Rankings'!$D:$D,F1550))</f>
        <v>Scott</v>
      </c>
      <c r="J1550" s="7" t="str">
        <f aca="false">IF(F1550=0,"NOT FOUND",IF(C1550=I1550,"SELF-VOTE",IF(COUNTIF($K:$K,K1550)&gt;1,"DUPLICATE","OK")))</f>
        <v>OK</v>
      </c>
      <c r="K1550" s="6" t="str">
        <f aca="false">A1550&amp;"|"&amp;B1550&amp;"|"&amp;C1550&amp;"|"&amp;D1550</f>
        <v>3|4|Matt|spotify:track:0mflMxspEfB0VbI1kyLiAv</v>
      </c>
    </row>
    <row r="1551" customFormat="false" ht="15" hidden="false" customHeight="false" outlineLevel="0" collapsed="false">
      <c r="A1551" s="5" t="n">
        <v>3</v>
      </c>
      <c r="B1551" s="5" t="n">
        <v>4</v>
      </c>
      <c r="C1551" s="5" t="s">
        <v>116</v>
      </c>
      <c r="D1551" s="5" t="s">
        <v>837</v>
      </c>
      <c r="E1551" s="5" t="n">
        <v>1</v>
      </c>
      <c r="F1551" s="6" t="n">
        <f aca="false">IFERROR(MATCH(A1551&amp;"|"&amp;B1551&amp;"|"&amp;D1551,'All Song Rankings'!$T:$T,0),0)</f>
        <v>248</v>
      </c>
      <c r="G1551" s="6" t="str">
        <f aca="false">IF(F1551=0,"NOT FOUND",INDEX('All Song Rankings'!$A:$A,F1551))</f>
        <v>Torn to Pieces</v>
      </c>
      <c r="H1551" s="6" t="str">
        <f aca="false">IF(F1551=0,"NOT FOUND",INDEX('All Song Rankings'!$B:$B,F1551))</f>
        <v>Pop Evil</v>
      </c>
      <c r="I1551" s="6" t="str">
        <f aca="false">IF(F1551=0,"NOT FOUND",INDEX('All Song Rankings'!$D:$D,F1551))</f>
        <v>Leah</v>
      </c>
      <c r="J1551" s="7" t="str">
        <f aca="false">IF(F1551=0,"NOT FOUND",IF(C1551=I1551,"SELF-VOTE",IF(COUNTIF($K:$K,K1551)&gt;1,"DUPLICATE","OK")))</f>
        <v>OK</v>
      </c>
      <c r="K1551" s="6" t="str">
        <f aca="false">A1551&amp;"|"&amp;B1551&amp;"|"&amp;C1551&amp;"|"&amp;D1551</f>
        <v>3|4|Matt|spotify:track:3gLvDdJVhHLWWkgzTbYeJB</v>
      </c>
    </row>
    <row r="1552" customFormat="false" ht="15" hidden="false" customHeight="false" outlineLevel="0" collapsed="false">
      <c r="A1552" s="5" t="n">
        <v>3</v>
      </c>
      <c r="B1552" s="5" t="n">
        <v>4</v>
      </c>
      <c r="C1552" s="5" t="s">
        <v>116</v>
      </c>
      <c r="D1552" s="5" t="s">
        <v>823</v>
      </c>
      <c r="E1552" s="5" t="n">
        <v>1</v>
      </c>
      <c r="F1552" s="6" t="n">
        <f aca="false">IFERROR(MATCH(A1552&amp;"|"&amp;B1552&amp;"|"&amp;D1552,'All Song Rankings'!$T:$T,0),0)</f>
        <v>243</v>
      </c>
      <c r="G1552" s="6" t="str">
        <f aca="false">IF(F1552=0,"NOT FOUND",INDEX('All Song Rankings'!$A:$A,F1552))</f>
        <v>Barefoot Blue Jean Night</v>
      </c>
      <c r="H1552" s="6" t="str">
        <f aca="false">IF(F1552=0,"NOT FOUND",INDEX('All Song Rankings'!$B:$B,F1552))</f>
        <v>Jake Owen</v>
      </c>
      <c r="I1552" s="6" t="str">
        <f aca="false">IF(F1552=0,"NOT FOUND",INDEX('All Song Rankings'!$D:$D,F1552))</f>
        <v>Aubrey</v>
      </c>
      <c r="J1552" s="7" t="str">
        <f aca="false">IF(F1552=0,"NOT FOUND",IF(C1552=I1552,"SELF-VOTE",IF(COUNTIF($K:$K,K1552)&gt;1,"DUPLICATE","OK")))</f>
        <v>OK</v>
      </c>
      <c r="K1552" s="6" t="str">
        <f aca="false">A1552&amp;"|"&amp;B1552&amp;"|"&amp;C1552&amp;"|"&amp;D1552</f>
        <v>3|4|Matt|spotify:track:3ts6xK5GzfMAAriT9AIBmP</v>
      </c>
    </row>
    <row r="1553" customFormat="false" ht="15" hidden="false" customHeight="false" outlineLevel="0" collapsed="false">
      <c r="A1553" s="5" t="n">
        <v>3</v>
      </c>
      <c r="B1553" s="5" t="n">
        <v>4</v>
      </c>
      <c r="C1553" s="5" t="s">
        <v>116</v>
      </c>
      <c r="D1553" s="5" t="s">
        <v>810</v>
      </c>
      <c r="E1553" s="5" t="n">
        <v>1</v>
      </c>
      <c r="F1553" s="6" t="n">
        <f aca="false">IFERROR(MATCH(A1553&amp;"|"&amp;B1553&amp;"|"&amp;D1553,'All Song Rankings'!$T:$T,0),0)</f>
        <v>239</v>
      </c>
      <c r="G1553" s="6" t="str">
        <f aca="false">IF(F1553=0,"NOT FOUND",INDEX('All Song Rankings'!$A:$A,F1553))</f>
        <v>Northern Attitude (with Hozier)</v>
      </c>
      <c r="H1553" s="6" t="str">
        <f aca="false">IF(F1553=0,"NOT FOUND",INDEX('All Song Rankings'!$B:$B,F1553))</f>
        <v>Noah Kahan, Hozier</v>
      </c>
      <c r="I1553" s="6" t="str">
        <f aca="false">IF(F1553=0,"NOT FOUND",INDEX('All Song Rankings'!$D:$D,F1553))</f>
        <v>Colleen</v>
      </c>
      <c r="J1553" s="7" t="str">
        <f aca="false">IF(F1553=0,"NOT FOUND",IF(C1553=I1553,"SELF-VOTE",IF(COUNTIF($K:$K,K1553)&gt;1,"DUPLICATE","OK")))</f>
        <v>OK</v>
      </c>
      <c r="K1553" s="6" t="str">
        <f aca="false">A1553&amp;"|"&amp;B1553&amp;"|"&amp;C1553&amp;"|"&amp;D1553</f>
        <v>3|4|Matt|spotify:track:4oEf84vBYVftf6KmZexhVo</v>
      </c>
    </row>
    <row r="1554" customFormat="false" ht="15" hidden="false" customHeight="false" outlineLevel="0" collapsed="false">
      <c r="A1554" s="5" t="n">
        <v>3</v>
      </c>
      <c r="B1554" s="5" t="n">
        <v>4</v>
      </c>
      <c r="C1554" s="5" t="s">
        <v>116</v>
      </c>
      <c r="D1554" s="5" t="s">
        <v>813</v>
      </c>
      <c r="E1554" s="5" t="n">
        <v>1</v>
      </c>
      <c r="F1554" s="6" t="n">
        <f aca="false">IFERROR(MATCH(A1554&amp;"|"&amp;B1554&amp;"|"&amp;D1554,'All Song Rankings'!$T:$T,0),0)</f>
        <v>240</v>
      </c>
      <c r="G1554" s="6" t="str">
        <f aca="false">IF(F1554=0,"NOT FOUND",INDEX('All Song Rankings'!$A:$A,F1554))</f>
        <v>Feeling Good</v>
      </c>
      <c r="H1554" s="6" t="str">
        <f aca="false">IF(F1554=0,"NOT FOUND",INDEX('All Song Rankings'!$B:$B,F1554))</f>
        <v>Nina Simone</v>
      </c>
      <c r="I1554" s="6" t="str">
        <f aca="false">IF(F1554=0,"NOT FOUND",INDEX('All Song Rankings'!$D:$D,F1554))</f>
        <v>Logan</v>
      </c>
      <c r="J1554" s="7" t="str">
        <f aca="false">IF(F1554=0,"NOT FOUND",IF(C1554=I1554,"SELF-VOTE",IF(COUNTIF($K:$K,K1554)&gt;1,"DUPLICATE","OK")))</f>
        <v>OK</v>
      </c>
      <c r="K1554" s="6" t="str">
        <f aca="false">A1554&amp;"|"&amp;B1554&amp;"|"&amp;C1554&amp;"|"&amp;D1554</f>
        <v>3|4|Matt|spotify:track:6Rqn2GFlmvmV4w9Ala0I1e</v>
      </c>
    </row>
    <row r="1555" customFormat="false" ht="15" hidden="false" customHeight="false" outlineLevel="0" collapsed="false">
      <c r="A1555" s="5" t="n">
        <v>3</v>
      </c>
      <c r="B1555" s="5" t="n">
        <v>4</v>
      </c>
      <c r="C1555" s="5" t="s">
        <v>116</v>
      </c>
      <c r="D1555" s="5" t="s">
        <v>846</v>
      </c>
      <c r="E1555" s="5" t="n">
        <v>1</v>
      </c>
      <c r="F1555" s="6" t="n">
        <f aca="false">IFERROR(MATCH(A1555&amp;"|"&amp;B1555&amp;"|"&amp;D1555,'All Song Rankings'!$T:$T,0),0)</f>
        <v>251</v>
      </c>
      <c r="G1555" s="6" t="str">
        <f aca="false">IF(F1555=0,"NOT FOUND",INDEX('All Song Rankings'!$A:$A,F1555))</f>
        <v>Send Me On My Way</v>
      </c>
      <c r="H1555" s="6" t="str">
        <f aca="false">IF(F1555=0,"NOT FOUND",INDEX('All Song Rankings'!$B:$B,F1555))</f>
        <v>Rusted Root</v>
      </c>
      <c r="I1555" s="6" t="str">
        <f aca="false">IF(F1555=0,"NOT FOUND",INDEX('All Song Rankings'!$D:$D,F1555))</f>
        <v>Kristen</v>
      </c>
      <c r="J1555" s="7" t="str">
        <f aca="false">IF(F1555=0,"NOT FOUND",IF(C1555=I1555,"SELF-VOTE",IF(COUNTIF($K:$K,K1555)&gt;1,"DUPLICATE","OK")))</f>
        <v>OK</v>
      </c>
      <c r="K1555" s="6" t="str">
        <f aca="false">A1555&amp;"|"&amp;B1555&amp;"|"&amp;C1555&amp;"|"&amp;D1555</f>
        <v>3|4|Matt|spotify:track:6XK6Zw6JkFsHXzAcMWNiIr</v>
      </c>
    </row>
    <row r="1556" customFormat="false" ht="15" hidden="false" customHeight="false" outlineLevel="0" collapsed="false">
      <c r="A1556" s="5" t="n">
        <v>3</v>
      </c>
      <c r="B1556" s="5" t="n">
        <v>4</v>
      </c>
      <c r="C1556" s="5" t="s">
        <v>116</v>
      </c>
      <c r="D1556" s="5" t="s">
        <v>832</v>
      </c>
      <c r="E1556" s="5" t="n">
        <v>1</v>
      </c>
      <c r="F1556" s="6" t="n">
        <f aca="false">IFERROR(MATCH(A1556&amp;"|"&amp;B1556&amp;"|"&amp;D1556,'All Song Rankings'!$T:$T,0),0)</f>
        <v>246</v>
      </c>
      <c r="G1556" s="6" t="str">
        <f aca="false">IF(F1556=0,"NOT FOUND",INDEX('All Song Rankings'!$A:$A,F1556))</f>
        <v>Shattered (Turn The Car Around)</v>
      </c>
      <c r="H1556" s="6" t="str">
        <f aca="false">IF(F1556=0,"NOT FOUND",INDEX('All Song Rankings'!$B:$B,F1556))</f>
        <v>O.A.R.</v>
      </c>
      <c r="I1556" s="6" t="str">
        <f aca="false">IF(F1556=0,"NOT FOUND",INDEX('All Song Rankings'!$D:$D,F1556))</f>
        <v>Stephanie</v>
      </c>
      <c r="J1556" s="7" t="str">
        <f aca="false">IF(F1556=0,"NOT FOUND",IF(C1556=I1556,"SELF-VOTE",IF(COUNTIF($K:$K,K1556)&gt;1,"DUPLICATE","OK")))</f>
        <v>OK</v>
      </c>
      <c r="K1556" s="6" t="str">
        <f aca="false">A1556&amp;"|"&amp;B1556&amp;"|"&amp;C1556&amp;"|"&amp;D1556</f>
        <v>3|4|Matt|spotify:track:6jlqDfX8TQNxcaAz5oxYJA</v>
      </c>
    </row>
    <row r="1557" customFormat="false" ht="15" hidden="false" customHeight="false" outlineLevel="0" collapsed="false">
      <c r="A1557" s="5" t="n">
        <v>3</v>
      </c>
      <c r="B1557" s="5" t="n">
        <v>4</v>
      </c>
      <c r="C1557" s="5" t="s">
        <v>116</v>
      </c>
      <c r="D1557" s="5" t="s">
        <v>817</v>
      </c>
      <c r="E1557" s="5" t="n">
        <v>2</v>
      </c>
      <c r="F1557" s="6" t="n">
        <f aca="false">IFERROR(MATCH(A1557&amp;"|"&amp;B1557&amp;"|"&amp;D1557,'All Song Rankings'!$T:$T,0),0)</f>
        <v>241</v>
      </c>
      <c r="G1557" s="6" t="str">
        <f aca="false">IF(F1557=0,"NOT FOUND",INDEX('All Song Rankings'!$A:$A,F1557))</f>
        <v>Thani Lokah Murakkaari (From "Lokah - Chapter 1: Chandra")</v>
      </c>
      <c r="H1557" s="6" t="str">
        <f aca="false">IF(F1557=0,"NOT FOUND",INDEX('All Song Rankings'!$B:$B,F1557))</f>
        <v>Jakes Bejoy, Jyoti Nooran, Reble, Mu.Ri</v>
      </c>
      <c r="I1557" s="6" t="str">
        <f aca="false">IF(F1557=0,"NOT FOUND",INDEX('All Song Rankings'!$D:$D,F1557))</f>
        <v>Merita</v>
      </c>
      <c r="J1557" s="7" t="str">
        <f aca="false">IF(F1557=0,"NOT FOUND",IF(C1557=I1557,"SELF-VOTE",IF(COUNTIF($K:$K,K1557)&gt;1,"DUPLICATE","OK")))</f>
        <v>OK</v>
      </c>
      <c r="K1557" s="6" t="str">
        <f aca="false">A1557&amp;"|"&amp;B1557&amp;"|"&amp;C1557&amp;"|"&amp;D1557</f>
        <v>3|4|Matt|spotify:track:7gX2JJVKndYEVApM5GRtqZ</v>
      </c>
    </row>
    <row r="1558" customFormat="false" ht="15" hidden="false" customHeight="false" outlineLevel="0" collapsed="false">
      <c r="A1558" s="5" t="n">
        <v>3</v>
      </c>
      <c r="B1558" s="5" t="n">
        <v>4</v>
      </c>
      <c r="C1558" s="5" t="s">
        <v>116</v>
      </c>
      <c r="D1558" s="5" t="s">
        <v>829</v>
      </c>
      <c r="E1558" s="5" t="n">
        <v>1</v>
      </c>
      <c r="F1558" s="6" t="n">
        <f aca="false">IFERROR(MATCH(A1558&amp;"|"&amp;B1558&amp;"|"&amp;D1558,'All Song Rankings'!$T:$T,0),0)</f>
        <v>245</v>
      </c>
      <c r="G1558" s="6" t="str">
        <f aca="false">IF(F1558=0,"NOT FOUND",INDEX('All Song Rankings'!$A:$A,F1558))</f>
        <v>Simple Man</v>
      </c>
      <c r="H1558" s="6" t="str">
        <f aca="false">IF(F1558=0,"NOT FOUND",INDEX('All Song Rankings'!$B:$B,F1558))</f>
        <v>Shinedown</v>
      </c>
      <c r="I1558" s="6" t="str">
        <f aca="false">IF(F1558=0,"NOT FOUND",INDEX('All Song Rankings'!$D:$D,F1558))</f>
        <v>Lisa</v>
      </c>
      <c r="J1558" s="7" t="str">
        <f aca="false">IF(F1558=0,"NOT FOUND",IF(C1558=I1558,"SELF-VOTE",IF(COUNTIF($K:$K,K1558)&gt;1,"DUPLICATE","OK")))</f>
        <v>OK</v>
      </c>
      <c r="K1558" s="6" t="str">
        <f aca="false">A1558&amp;"|"&amp;B1558&amp;"|"&amp;C1558&amp;"|"&amp;D1558</f>
        <v>3|4|Matt|spotify:track:7gmfoXsjwQYn6HeHUYRpY2</v>
      </c>
    </row>
    <row r="1559" customFormat="false" ht="15" hidden="false" customHeight="false" outlineLevel="0" collapsed="false">
      <c r="A1559" s="5" t="n">
        <v>3</v>
      </c>
      <c r="B1559" s="5" t="n">
        <v>4</v>
      </c>
      <c r="C1559" s="5" t="s">
        <v>101</v>
      </c>
      <c r="D1559" s="5" t="s">
        <v>840</v>
      </c>
      <c r="E1559" s="5" t="n">
        <v>1</v>
      </c>
      <c r="F1559" s="6" t="n">
        <f aca="false">IFERROR(MATCH(A1559&amp;"|"&amp;B1559&amp;"|"&amp;D1559,'All Song Rankings'!$T:$T,0),0)</f>
        <v>249</v>
      </c>
      <c r="G1559" s="6" t="str">
        <f aca="false">IF(F1559=0,"NOT FOUND",INDEX('All Song Rankings'!$A:$A,F1559))</f>
        <v>Stronger</v>
      </c>
      <c r="H1559" s="6" t="str">
        <f aca="false">IF(F1559=0,"NOT FOUND",INDEX('All Song Rankings'!$B:$B,F1559))</f>
        <v>Kanye West</v>
      </c>
      <c r="I1559" s="6" t="str">
        <f aca="false">IF(F1559=0,"NOT FOUND",INDEX('All Song Rankings'!$D:$D,F1559))</f>
        <v>Makenzie</v>
      </c>
      <c r="J1559" s="7" t="str">
        <f aca="false">IF(F1559=0,"NOT FOUND",IF(C1559=I1559,"SELF-VOTE",IF(COUNTIF($K:$K,K1559)&gt;1,"DUPLICATE","OK")))</f>
        <v>OK</v>
      </c>
      <c r="K1559" s="6" t="str">
        <f aca="false">A1559&amp;"|"&amp;B1559&amp;"|"&amp;C1559&amp;"|"&amp;D1559</f>
        <v>3|4|Merita|spotify:track:0j2T0R9dR9qdJYsB7ciXhf</v>
      </c>
    </row>
    <row r="1560" customFormat="false" ht="15" hidden="false" customHeight="false" outlineLevel="0" collapsed="false">
      <c r="A1560" s="5" t="n">
        <v>3</v>
      </c>
      <c r="B1560" s="5" t="n">
        <v>4</v>
      </c>
      <c r="C1560" s="5" t="s">
        <v>101</v>
      </c>
      <c r="D1560" s="5" t="s">
        <v>843</v>
      </c>
      <c r="E1560" s="5" t="n">
        <v>1</v>
      </c>
      <c r="F1560" s="6" t="n">
        <f aca="false">IFERROR(MATCH(A1560&amp;"|"&amp;B1560&amp;"|"&amp;D1560,'All Song Rankings'!$T:$T,0),0)</f>
        <v>250</v>
      </c>
      <c r="G1560" s="6" t="str">
        <f aca="false">IF(F1560=0,"NOT FOUND",INDEX('All Song Rankings'!$A:$A,F1560))</f>
        <v>Sober</v>
      </c>
      <c r="H1560" s="6" t="str">
        <f aca="false">IF(F1560=0,"NOT FOUND",INDEX('All Song Rankings'!$B:$B,F1560))</f>
        <v>Gavin Adcock</v>
      </c>
      <c r="I1560" s="6" t="str">
        <f aca="false">IF(F1560=0,"NOT FOUND",INDEX('All Song Rankings'!$D:$D,F1560))</f>
        <v>Nicole</v>
      </c>
      <c r="J1560" s="7" t="str">
        <f aca="false">IF(F1560=0,"NOT FOUND",IF(C1560=I1560,"SELF-VOTE",IF(COUNTIF($K:$K,K1560)&gt;1,"DUPLICATE","OK")))</f>
        <v>OK</v>
      </c>
      <c r="K1560" s="6" t="str">
        <f aca="false">A1560&amp;"|"&amp;B1560&amp;"|"&amp;C1560&amp;"|"&amp;D1560</f>
        <v>3|4|Merita|spotify:track:0jLT7x0Q0MTtTNPGLwy8AK</v>
      </c>
    </row>
    <row r="1561" customFormat="false" ht="15" hidden="false" customHeight="false" outlineLevel="0" collapsed="false">
      <c r="A1561" s="5" t="n">
        <v>3</v>
      </c>
      <c r="B1561" s="5" t="n">
        <v>4</v>
      </c>
      <c r="C1561" s="5" t="s">
        <v>101</v>
      </c>
      <c r="D1561" s="5" t="s">
        <v>849</v>
      </c>
      <c r="E1561" s="5" t="n">
        <v>1</v>
      </c>
      <c r="F1561" s="6" t="n">
        <f aca="false">IFERROR(MATCH(A1561&amp;"|"&amp;B1561&amp;"|"&amp;D1561,'All Song Rankings'!$T:$T,0),0)</f>
        <v>252</v>
      </c>
      <c r="G1561" s="6" t="str">
        <f aca="false">IF(F1561=0,"NOT FOUND",INDEX('All Song Rankings'!$A:$A,F1561))</f>
        <v>Stressed Out</v>
      </c>
      <c r="H1561" s="6" t="str">
        <f aca="false">IF(F1561=0,"NOT FOUND",INDEX('All Song Rankings'!$B:$B,F1561))</f>
        <v>Twenty One Pilots</v>
      </c>
      <c r="I1561" s="6" t="str">
        <f aca="false">IF(F1561=0,"NOT FOUND",INDEX('All Song Rankings'!$D:$D,F1561))</f>
        <v>Grace</v>
      </c>
      <c r="J1561" s="7" t="str">
        <f aca="false">IF(F1561=0,"NOT FOUND",IF(C1561=I1561,"SELF-VOTE",IF(COUNTIF($K:$K,K1561)&gt;1,"DUPLICATE","OK")))</f>
        <v>OK</v>
      </c>
      <c r="K1561" s="6" t="str">
        <f aca="false">A1561&amp;"|"&amp;B1561&amp;"|"&amp;C1561&amp;"|"&amp;D1561</f>
        <v>3|4|Merita|spotify:track:3CRDbSIZ4r5MsZ0YwxuEkn</v>
      </c>
    </row>
    <row r="1562" customFormat="false" ht="15" hidden="false" customHeight="false" outlineLevel="0" collapsed="false">
      <c r="A1562" s="5" t="n">
        <v>3</v>
      </c>
      <c r="B1562" s="5" t="n">
        <v>4</v>
      </c>
      <c r="C1562" s="5" t="s">
        <v>101</v>
      </c>
      <c r="D1562" s="5" t="s">
        <v>820</v>
      </c>
      <c r="E1562" s="5" t="n">
        <v>2</v>
      </c>
      <c r="F1562" s="6" t="n">
        <f aca="false">IFERROR(MATCH(A1562&amp;"|"&amp;B1562&amp;"|"&amp;D1562,'All Song Rankings'!$T:$T,0),0)</f>
        <v>242</v>
      </c>
      <c r="G1562" s="6" t="str">
        <f aca="false">IF(F1562=0,"NOT FOUND",INDEX('All Song Rankings'!$A:$A,F1562))</f>
        <v>Doin' Time</v>
      </c>
      <c r="H1562" s="6" t="str">
        <f aca="false">IF(F1562=0,"NOT FOUND",INDEX('All Song Rankings'!$B:$B,F1562))</f>
        <v>Sublime</v>
      </c>
      <c r="I1562" s="6" t="str">
        <f aca="false">IF(F1562=0,"NOT FOUND",INDEX('All Song Rankings'!$D:$D,F1562))</f>
        <v>Matt</v>
      </c>
      <c r="J1562" s="7" t="str">
        <f aca="false">IF(F1562=0,"NOT FOUND",IF(C1562=I1562,"SELF-VOTE",IF(COUNTIF($K:$K,K1562)&gt;1,"DUPLICATE","OK")))</f>
        <v>OK</v>
      </c>
      <c r="K1562" s="6" t="str">
        <f aca="false">A1562&amp;"|"&amp;B1562&amp;"|"&amp;C1562&amp;"|"&amp;D1562</f>
        <v>3|4|Merita|spotify:track:4eamJr2k9YDH8j58RSTmSc</v>
      </c>
    </row>
    <row r="1563" customFormat="false" ht="15" hidden="false" customHeight="false" outlineLevel="0" collapsed="false">
      <c r="A1563" s="5" t="n">
        <v>3</v>
      </c>
      <c r="B1563" s="5" t="n">
        <v>4</v>
      </c>
      <c r="C1563" s="5" t="s">
        <v>101</v>
      </c>
      <c r="D1563" s="5" t="s">
        <v>810</v>
      </c>
      <c r="E1563" s="5" t="n">
        <v>2</v>
      </c>
      <c r="F1563" s="6" t="n">
        <f aca="false">IFERROR(MATCH(A1563&amp;"|"&amp;B1563&amp;"|"&amp;D1563,'All Song Rankings'!$T:$T,0),0)</f>
        <v>239</v>
      </c>
      <c r="G1563" s="6" t="str">
        <f aca="false">IF(F1563=0,"NOT FOUND",INDEX('All Song Rankings'!$A:$A,F1563))</f>
        <v>Northern Attitude (with Hozier)</v>
      </c>
      <c r="H1563" s="6" t="str">
        <f aca="false">IF(F1563=0,"NOT FOUND",INDEX('All Song Rankings'!$B:$B,F1563))</f>
        <v>Noah Kahan, Hozier</v>
      </c>
      <c r="I1563" s="6" t="str">
        <f aca="false">IF(F1563=0,"NOT FOUND",INDEX('All Song Rankings'!$D:$D,F1563))</f>
        <v>Colleen</v>
      </c>
      <c r="J1563" s="7" t="str">
        <f aca="false">IF(F1563=0,"NOT FOUND",IF(C1563=I1563,"SELF-VOTE",IF(COUNTIF($K:$K,K1563)&gt;1,"DUPLICATE","OK")))</f>
        <v>OK</v>
      </c>
      <c r="K1563" s="6" t="str">
        <f aca="false">A1563&amp;"|"&amp;B1563&amp;"|"&amp;C1563&amp;"|"&amp;D1563</f>
        <v>3|4|Merita|spotify:track:4oEf84vBYVftf6KmZexhVo</v>
      </c>
    </row>
    <row r="1564" customFormat="false" ht="15" hidden="false" customHeight="false" outlineLevel="0" collapsed="false">
      <c r="A1564" s="5" t="n">
        <v>3</v>
      </c>
      <c r="B1564" s="5" t="n">
        <v>4</v>
      </c>
      <c r="C1564" s="5" t="s">
        <v>101</v>
      </c>
      <c r="D1564" s="5" t="s">
        <v>813</v>
      </c>
      <c r="E1564" s="5" t="n">
        <v>1</v>
      </c>
      <c r="F1564" s="6" t="n">
        <f aca="false">IFERROR(MATCH(A1564&amp;"|"&amp;B1564&amp;"|"&amp;D1564,'All Song Rankings'!$T:$T,0),0)</f>
        <v>240</v>
      </c>
      <c r="G1564" s="6" t="str">
        <f aca="false">IF(F1564=0,"NOT FOUND",INDEX('All Song Rankings'!$A:$A,F1564))</f>
        <v>Feeling Good</v>
      </c>
      <c r="H1564" s="6" t="str">
        <f aca="false">IF(F1564=0,"NOT FOUND",INDEX('All Song Rankings'!$B:$B,F1564))</f>
        <v>Nina Simone</v>
      </c>
      <c r="I1564" s="6" t="str">
        <f aca="false">IF(F1564=0,"NOT FOUND",INDEX('All Song Rankings'!$D:$D,F1564))</f>
        <v>Logan</v>
      </c>
      <c r="J1564" s="7" t="str">
        <f aca="false">IF(F1564=0,"NOT FOUND",IF(C1564=I1564,"SELF-VOTE",IF(COUNTIF($K:$K,K1564)&gt;1,"DUPLICATE","OK")))</f>
        <v>OK</v>
      </c>
      <c r="K1564" s="6" t="str">
        <f aca="false">A1564&amp;"|"&amp;B1564&amp;"|"&amp;C1564&amp;"|"&amp;D1564</f>
        <v>3|4|Merita|spotify:track:6Rqn2GFlmvmV4w9Ala0I1e</v>
      </c>
    </row>
    <row r="1565" customFormat="false" ht="15" hidden="false" customHeight="false" outlineLevel="0" collapsed="false">
      <c r="A1565" s="5" t="n">
        <v>3</v>
      </c>
      <c r="B1565" s="5" t="n">
        <v>4</v>
      </c>
      <c r="C1565" s="5" t="s">
        <v>101</v>
      </c>
      <c r="D1565" s="5" t="s">
        <v>834</v>
      </c>
      <c r="E1565" s="5" t="n">
        <v>1</v>
      </c>
      <c r="F1565" s="6" t="n">
        <f aca="false">IFERROR(MATCH(A1565&amp;"|"&amp;B1565&amp;"|"&amp;D1565,'All Song Rankings'!$T:$T,0),0)</f>
        <v>247</v>
      </c>
      <c r="G1565" s="6" t="str">
        <f aca="false">IF(F1565=0,"NOT FOUND",INDEX('All Song Rankings'!$A:$A,F1565))</f>
        <v>New York State of Mind</v>
      </c>
      <c r="H1565" s="6" t="str">
        <f aca="false">IF(F1565=0,"NOT FOUND",INDEX('All Song Rankings'!$B:$B,F1565))</f>
        <v>Billy Joel</v>
      </c>
      <c r="I1565" s="6" t="str">
        <f aca="false">IF(F1565=0,"NOT FOUND",INDEX('All Song Rankings'!$D:$D,F1565))</f>
        <v>Christine</v>
      </c>
      <c r="J1565" s="7" t="str">
        <f aca="false">IF(F1565=0,"NOT FOUND",IF(C1565=I1565,"SELF-VOTE",IF(COUNTIF($K:$K,K1565)&gt;1,"DUPLICATE","OK")))</f>
        <v>OK</v>
      </c>
      <c r="K1565" s="6" t="str">
        <f aca="false">A1565&amp;"|"&amp;B1565&amp;"|"&amp;C1565&amp;"|"&amp;D1565</f>
        <v>3|4|Merita|spotify:track:6yjKlmm7vOszkXEUku1EM1</v>
      </c>
    </row>
    <row r="1566" customFormat="false" ht="15" hidden="false" customHeight="false" outlineLevel="0" collapsed="false">
      <c r="A1566" s="5" t="n">
        <v>3</v>
      </c>
      <c r="B1566" s="5" t="n">
        <v>4</v>
      </c>
      <c r="C1566" s="5" t="s">
        <v>101</v>
      </c>
      <c r="D1566" s="5" t="s">
        <v>826</v>
      </c>
      <c r="E1566" s="5" t="n">
        <v>1</v>
      </c>
      <c r="F1566" s="6" t="n">
        <f aca="false">IFERROR(MATCH(A1566&amp;"|"&amp;B1566&amp;"|"&amp;D1566,'All Song Rankings'!$T:$T,0),0)</f>
        <v>244</v>
      </c>
      <c r="G1566" s="6" t="str">
        <f aca="false">IF(F1566=0,"NOT FOUND",INDEX('All Song Rankings'!$A:$A,F1566))</f>
        <v>Fighter</v>
      </c>
      <c r="H1566" s="6" t="str">
        <f aca="false">IF(F1566=0,"NOT FOUND",INDEX('All Song Rankings'!$B:$B,F1566))</f>
        <v>Christina Aguilera</v>
      </c>
      <c r="I1566" s="6" t="str">
        <f aca="false">IF(F1566=0,"NOT FOUND",INDEX('All Song Rankings'!$D:$D,F1566))</f>
        <v>Kelsey</v>
      </c>
      <c r="J1566" s="7" t="str">
        <f aca="false">IF(F1566=0,"NOT FOUND",IF(C1566=I1566,"SELF-VOTE",IF(COUNTIF($K:$K,K1566)&gt;1,"DUPLICATE","OK")))</f>
        <v>OK</v>
      </c>
      <c r="K1566" s="6" t="str">
        <f aca="false">A1566&amp;"|"&amp;B1566&amp;"|"&amp;C1566&amp;"|"&amp;D1566</f>
        <v>3|4|Merita|spotify:track:7nXq1vaZiz7PdbfojpPjW5</v>
      </c>
    </row>
    <row r="1567" customFormat="false" ht="15" hidden="false" customHeight="false" outlineLevel="0" collapsed="false">
      <c r="A1567" s="5" t="n">
        <v>3</v>
      </c>
      <c r="B1567" s="5" t="n">
        <v>4</v>
      </c>
      <c r="C1567" s="5" t="s">
        <v>92</v>
      </c>
      <c r="D1567" s="5" t="s">
        <v>840</v>
      </c>
      <c r="E1567" s="5" t="n">
        <v>1</v>
      </c>
      <c r="F1567" s="6" t="n">
        <f aca="false">IFERROR(MATCH(A1567&amp;"|"&amp;B1567&amp;"|"&amp;D1567,'All Song Rankings'!$T:$T,0),0)</f>
        <v>249</v>
      </c>
      <c r="G1567" s="6" t="str">
        <f aca="false">IF(F1567=0,"NOT FOUND",INDEX('All Song Rankings'!$A:$A,F1567))</f>
        <v>Stronger</v>
      </c>
      <c r="H1567" s="6" t="str">
        <f aca="false">IF(F1567=0,"NOT FOUND",INDEX('All Song Rankings'!$B:$B,F1567))</f>
        <v>Kanye West</v>
      </c>
      <c r="I1567" s="6" t="str">
        <f aca="false">IF(F1567=0,"NOT FOUND",INDEX('All Song Rankings'!$D:$D,F1567))</f>
        <v>Makenzie</v>
      </c>
      <c r="J1567" s="7" t="str">
        <f aca="false">IF(F1567=0,"NOT FOUND",IF(C1567=I1567,"SELF-VOTE",IF(COUNTIF($K:$K,K1567)&gt;1,"DUPLICATE","OK")))</f>
        <v>OK</v>
      </c>
      <c r="K1567" s="6" t="str">
        <f aca="false">A1567&amp;"|"&amp;B1567&amp;"|"&amp;C1567&amp;"|"&amp;D1567</f>
        <v>3|4|Nicole|spotify:track:0j2T0R9dR9qdJYsB7ciXhf</v>
      </c>
    </row>
    <row r="1568" customFormat="false" ht="15" hidden="false" customHeight="false" outlineLevel="0" collapsed="false">
      <c r="A1568" s="5" t="n">
        <v>3</v>
      </c>
      <c r="B1568" s="5" t="n">
        <v>4</v>
      </c>
      <c r="C1568" s="5" t="s">
        <v>92</v>
      </c>
      <c r="D1568" s="5" t="s">
        <v>807</v>
      </c>
      <c r="E1568" s="5" t="n">
        <v>2</v>
      </c>
      <c r="F1568" s="6" t="n">
        <f aca="false">IFERROR(MATCH(A1568&amp;"|"&amp;B1568&amp;"|"&amp;D1568,'All Song Rankings'!$T:$T,0),0)</f>
        <v>238</v>
      </c>
      <c r="G1568" s="6" t="str">
        <f aca="false">IF(F1568=0,"NOT FOUND",INDEX('All Song Rankings'!$A:$A,F1568))</f>
        <v>Stick Season</v>
      </c>
      <c r="H1568" s="6" t="str">
        <f aca="false">IF(F1568=0,"NOT FOUND",INDEX('All Song Rankings'!$B:$B,F1568))</f>
        <v>Noah Kahan</v>
      </c>
      <c r="I1568" s="6" t="str">
        <f aca="false">IF(F1568=0,"NOT FOUND",INDEX('All Song Rankings'!$D:$D,F1568))</f>
        <v>Scott</v>
      </c>
      <c r="J1568" s="7" t="str">
        <f aca="false">IF(F1568=0,"NOT FOUND",IF(C1568=I1568,"SELF-VOTE",IF(COUNTIF($K:$K,K1568)&gt;1,"DUPLICATE","OK")))</f>
        <v>OK</v>
      </c>
      <c r="K1568" s="6" t="str">
        <f aca="false">A1568&amp;"|"&amp;B1568&amp;"|"&amp;C1568&amp;"|"&amp;D1568</f>
        <v>3|4|Nicole|spotify:track:0mflMxspEfB0VbI1kyLiAv</v>
      </c>
    </row>
    <row r="1569" customFormat="false" ht="15" hidden="false" customHeight="false" outlineLevel="0" collapsed="false">
      <c r="A1569" s="5" t="n">
        <v>3</v>
      </c>
      <c r="B1569" s="5" t="n">
        <v>4</v>
      </c>
      <c r="C1569" s="5" t="s">
        <v>92</v>
      </c>
      <c r="D1569" s="5" t="s">
        <v>849</v>
      </c>
      <c r="E1569" s="5" t="n">
        <v>1</v>
      </c>
      <c r="F1569" s="6" t="n">
        <f aca="false">IFERROR(MATCH(A1569&amp;"|"&amp;B1569&amp;"|"&amp;D1569,'All Song Rankings'!$T:$T,0),0)</f>
        <v>252</v>
      </c>
      <c r="G1569" s="6" t="str">
        <f aca="false">IF(F1569=0,"NOT FOUND",INDEX('All Song Rankings'!$A:$A,F1569))</f>
        <v>Stressed Out</v>
      </c>
      <c r="H1569" s="6" t="str">
        <f aca="false">IF(F1569=0,"NOT FOUND",INDEX('All Song Rankings'!$B:$B,F1569))</f>
        <v>Twenty One Pilots</v>
      </c>
      <c r="I1569" s="6" t="str">
        <f aca="false">IF(F1569=0,"NOT FOUND",INDEX('All Song Rankings'!$D:$D,F1569))</f>
        <v>Grace</v>
      </c>
      <c r="J1569" s="7" t="str">
        <f aca="false">IF(F1569=0,"NOT FOUND",IF(C1569=I1569,"SELF-VOTE",IF(COUNTIF($K:$K,K1569)&gt;1,"DUPLICATE","OK")))</f>
        <v>OK</v>
      </c>
      <c r="K1569" s="6" t="str">
        <f aca="false">A1569&amp;"|"&amp;B1569&amp;"|"&amp;C1569&amp;"|"&amp;D1569</f>
        <v>3|4|Nicole|spotify:track:3CRDbSIZ4r5MsZ0YwxuEkn</v>
      </c>
    </row>
    <row r="1570" customFormat="false" ht="15" hidden="false" customHeight="false" outlineLevel="0" collapsed="false">
      <c r="A1570" s="5" t="n">
        <v>3</v>
      </c>
      <c r="B1570" s="5" t="n">
        <v>4</v>
      </c>
      <c r="C1570" s="5" t="s">
        <v>92</v>
      </c>
      <c r="D1570" s="5" t="s">
        <v>823</v>
      </c>
      <c r="E1570" s="5" t="n">
        <v>1</v>
      </c>
      <c r="F1570" s="6" t="n">
        <f aca="false">IFERROR(MATCH(A1570&amp;"|"&amp;B1570&amp;"|"&amp;D1570,'All Song Rankings'!$T:$T,0),0)</f>
        <v>243</v>
      </c>
      <c r="G1570" s="6" t="str">
        <f aca="false">IF(F1570=0,"NOT FOUND",INDEX('All Song Rankings'!$A:$A,F1570))</f>
        <v>Barefoot Blue Jean Night</v>
      </c>
      <c r="H1570" s="6" t="str">
        <f aca="false">IF(F1570=0,"NOT FOUND",INDEX('All Song Rankings'!$B:$B,F1570))</f>
        <v>Jake Owen</v>
      </c>
      <c r="I1570" s="6" t="str">
        <f aca="false">IF(F1570=0,"NOT FOUND",INDEX('All Song Rankings'!$D:$D,F1570))</f>
        <v>Aubrey</v>
      </c>
      <c r="J1570" s="7" t="str">
        <f aca="false">IF(F1570=0,"NOT FOUND",IF(C1570=I1570,"SELF-VOTE",IF(COUNTIF($K:$K,K1570)&gt;1,"DUPLICATE","OK")))</f>
        <v>OK</v>
      </c>
      <c r="K1570" s="6" t="str">
        <f aca="false">A1570&amp;"|"&amp;B1570&amp;"|"&amp;C1570&amp;"|"&amp;D1570</f>
        <v>3|4|Nicole|spotify:track:3ts6xK5GzfMAAriT9AIBmP</v>
      </c>
    </row>
    <row r="1571" customFormat="false" ht="15" hidden="false" customHeight="false" outlineLevel="0" collapsed="false">
      <c r="A1571" s="5" t="n">
        <v>3</v>
      </c>
      <c r="B1571" s="5" t="n">
        <v>4</v>
      </c>
      <c r="C1571" s="5" t="s">
        <v>92</v>
      </c>
      <c r="D1571" s="5" t="s">
        <v>810</v>
      </c>
      <c r="E1571" s="5" t="n">
        <v>1</v>
      </c>
      <c r="F1571" s="6" t="n">
        <f aca="false">IFERROR(MATCH(A1571&amp;"|"&amp;B1571&amp;"|"&amp;D1571,'All Song Rankings'!$T:$T,0),0)</f>
        <v>239</v>
      </c>
      <c r="G1571" s="6" t="str">
        <f aca="false">IF(F1571=0,"NOT FOUND",INDEX('All Song Rankings'!$A:$A,F1571))</f>
        <v>Northern Attitude (with Hozier)</v>
      </c>
      <c r="H1571" s="6" t="str">
        <f aca="false">IF(F1571=0,"NOT FOUND",INDEX('All Song Rankings'!$B:$B,F1571))</f>
        <v>Noah Kahan, Hozier</v>
      </c>
      <c r="I1571" s="6" t="str">
        <f aca="false">IF(F1571=0,"NOT FOUND",INDEX('All Song Rankings'!$D:$D,F1571))</f>
        <v>Colleen</v>
      </c>
      <c r="J1571" s="7" t="str">
        <f aca="false">IF(F1571=0,"NOT FOUND",IF(C1571=I1571,"SELF-VOTE",IF(COUNTIF($K:$K,K1571)&gt;1,"DUPLICATE","OK")))</f>
        <v>OK</v>
      </c>
      <c r="K1571" s="6" t="str">
        <f aca="false">A1571&amp;"|"&amp;B1571&amp;"|"&amp;C1571&amp;"|"&amp;D1571</f>
        <v>3|4|Nicole|spotify:track:4oEf84vBYVftf6KmZexhVo</v>
      </c>
    </row>
    <row r="1572" customFormat="false" ht="15" hidden="false" customHeight="false" outlineLevel="0" collapsed="false">
      <c r="A1572" s="5" t="n">
        <v>3</v>
      </c>
      <c r="B1572" s="5" t="n">
        <v>4</v>
      </c>
      <c r="C1572" s="5" t="s">
        <v>92</v>
      </c>
      <c r="D1572" s="5" t="s">
        <v>832</v>
      </c>
      <c r="E1572" s="5" t="n">
        <v>1</v>
      </c>
      <c r="F1572" s="6" t="n">
        <f aca="false">IFERROR(MATCH(A1572&amp;"|"&amp;B1572&amp;"|"&amp;D1572,'All Song Rankings'!$T:$T,0),0)</f>
        <v>246</v>
      </c>
      <c r="G1572" s="6" t="str">
        <f aca="false">IF(F1572=0,"NOT FOUND",INDEX('All Song Rankings'!$A:$A,F1572))</f>
        <v>Shattered (Turn The Car Around)</v>
      </c>
      <c r="H1572" s="6" t="str">
        <f aca="false">IF(F1572=0,"NOT FOUND",INDEX('All Song Rankings'!$B:$B,F1572))</f>
        <v>O.A.R.</v>
      </c>
      <c r="I1572" s="6" t="str">
        <f aca="false">IF(F1572=0,"NOT FOUND",INDEX('All Song Rankings'!$D:$D,F1572))</f>
        <v>Stephanie</v>
      </c>
      <c r="J1572" s="7" t="str">
        <f aca="false">IF(F1572=0,"NOT FOUND",IF(C1572=I1572,"SELF-VOTE",IF(COUNTIF($K:$K,K1572)&gt;1,"DUPLICATE","OK")))</f>
        <v>OK</v>
      </c>
      <c r="K1572" s="6" t="str">
        <f aca="false">A1572&amp;"|"&amp;B1572&amp;"|"&amp;C1572&amp;"|"&amp;D1572</f>
        <v>3|4|Nicole|spotify:track:6jlqDfX8TQNxcaAz5oxYJA</v>
      </c>
    </row>
    <row r="1573" customFormat="false" ht="15" hidden="false" customHeight="false" outlineLevel="0" collapsed="false">
      <c r="A1573" s="5" t="n">
        <v>3</v>
      </c>
      <c r="B1573" s="5" t="n">
        <v>4</v>
      </c>
      <c r="C1573" s="5" t="s">
        <v>92</v>
      </c>
      <c r="D1573" s="5" t="s">
        <v>834</v>
      </c>
      <c r="E1573" s="5" t="n">
        <v>1</v>
      </c>
      <c r="F1573" s="6" t="n">
        <f aca="false">IFERROR(MATCH(A1573&amp;"|"&amp;B1573&amp;"|"&amp;D1573,'All Song Rankings'!$T:$T,0),0)</f>
        <v>247</v>
      </c>
      <c r="G1573" s="6" t="str">
        <f aca="false">IF(F1573=0,"NOT FOUND",INDEX('All Song Rankings'!$A:$A,F1573))</f>
        <v>New York State of Mind</v>
      </c>
      <c r="H1573" s="6" t="str">
        <f aca="false">IF(F1573=0,"NOT FOUND",INDEX('All Song Rankings'!$B:$B,F1573))</f>
        <v>Billy Joel</v>
      </c>
      <c r="I1573" s="6" t="str">
        <f aca="false">IF(F1573=0,"NOT FOUND",INDEX('All Song Rankings'!$D:$D,F1573))</f>
        <v>Christine</v>
      </c>
      <c r="J1573" s="7" t="str">
        <f aca="false">IF(F1573=0,"NOT FOUND",IF(C1573=I1573,"SELF-VOTE",IF(COUNTIF($K:$K,K1573)&gt;1,"DUPLICATE","OK")))</f>
        <v>OK</v>
      </c>
      <c r="K1573" s="6" t="str">
        <f aca="false">A1573&amp;"|"&amp;B1573&amp;"|"&amp;C1573&amp;"|"&amp;D1573</f>
        <v>3|4|Nicole|spotify:track:6yjKlmm7vOszkXEUku1EM1</v>
      </c>
    </row>
    <row r="1574" customFormat="false" ht="15" hidden="false" customHeight="false" outlineLevel="0" collapsed="false">
      <c r="A1574" s="5" t="n">
        <v>3</v>
      </c>
      <c r="B1574" s="5" t="n">
        <v>4</v>
      </c>
      <c r="C1574" s="5" t="s">
        <v>92</v>
      </c>
      <c r="D1574" s="5" t="s">
        <v>829</v>
      </c>
      <c r="E1574" s="5" t="n">
        <v>1</v>
      </c>
      <c r="F1574" s="6" t="n">
        <f aca="false">IFERROR(MATCH(A1574&amp;"|"&amp;B1574&amp;"|"&amp;D1574,'All Song Rankings'!$T:$T,0),0)</f>
        <v>245</v>
      </c>
      <c r="G1574" s="6" t="str">
        <f aca="false">IF(F1574=0,"NOT FOUND",INDEX('All Song Rankings'!$A:$A,F1574))</f>
        <v>Simple Man</v>
      </c>
      <c r="H1574" s="6" t="str">
        <f aca="false">IF(F1574=0,"NOT FOUND",INDEX('All Song Rankings'!$B:$B,F1574))</f>
        <v>Shinedown</v>
      </c>
      <c r="I1574" s="6" t="str">
        <f aca="false">IF(F1574=0,"NOT FOUND",INDEX('All Song Rankings'!$D:$D,F1574))</f>
        <v>Lisa</v>
      </c>
      <c r="J1574" s="7" t="str">
        <f aca="false">IF(F1574=0,"NOT FOUND",IF(C1574=I1574,"SELF-VOTE",IF(COUNTIF($K:$K,K1574)&gt;1,"DUPLICATE","OK")))</f>
        <v>OK</v>
      </c>
      <c r="K1574" s="6" t="str">
        <f aca="false">A1574&amp;"|"&amp;B1574&amp;"|"&amp;C1574&amp;"|"&amp;D1574</f>
        <v>3|4|Nicole|spotify:track:7gmfoXsjwQYn6HeHUYRpY2</v>
      </c>
    </row>
    <row r="1575" customFormat="false" ht="15" hidden="false" customHeight="false" outlineLevel="0" collapsed="false">
      <c r="A1575" s="5" t="n">
        <v>3</v>
      </c>
      <c r="B1575" s="5" t="n">
        <v>4</v>
      </c>
      <c r="C1575" s="5" t="s">
        <v>92</v>
      </c>
      <c r="D1575" s="5" t="s">
        <v>826</v>
      </c>
      <c r="E1575" s="5" t="n">
        <v>1</v>
      </c>
      <c r="F1575" s="6" t="n">
        <f aca="false">IFERROR(MATCH(A1575&amp;"|"&amp;B1575&amp;"|"&amp;D1575,'All Song Rankings'!$T:$T,0),0)</f>
        <v>244</v>
      </c>
      <c r="G1575" s="6" t="str">
        <f aca="false">IF(F1575=0,"NOT FOUND",INDEX('All Song Rankings'!$A:$A,F1575))</f>
        <v>Fighter</v>
      </c>
      <c r="H1575" s="6" t="str">
        <f aca="false">IF(F1575=0,"NOT FOUND",INDEX('All Song Rankings'!$B:$B,F1575))</f>
        <v>Christina Aguilera</v>
      </c>
      <c r="I1575" s="6" t="str">
        <f aca="false">IF(F1575=0,"NOT FOUND",INDEX('All Song Rankings'!$D:$D,F1575))</f>
        <v>Kelsey</v>
      </c>
      <c r="J1575" s="7" t="str">
        <f aca="false">IF(F1575=0,"NOT FOUND",IF(C1575=I1575,"SELF-VOTE",IF(COUNTIF($K:$K,K1575)&gt;1,"DUPLICATE","OK")))</f>
        <v>OK</v>
      </c>
      <c r="K1575" s="6" t="str">
        <f aca="false">A1575&amp;"|"&amp;B1575&amp;"|"&amp;C1575&amp;"|"&amp;D1575</f>
        <v>3|4|Nicole|spotify:track:7nXq1vaZiz7PdbfojpPjW5</v>
      </c>
    </row>
    <row r="1576" customFormat="false" ht="15" hidden="false" customHeight="false" outlineLevel="0" collapsed="false">
      <c r="A1576" s="5" t="n">
        <v>3</v>
      </c>
      <c r="B1576" s="5" t="n">
        <v>4</v>
      </c>
      <c r="C1576" s="5" t="s">
        <v>484</v>
      </c>
      <c r="D1576" s="5" t="s">
        <v>840</v>
      </c>
      <c r="E1576" s="5" t="n">
        <v>1</v>
      </c>
      <c r="F1576" s="6" t="n">
        <f aca="false">IFERROR(MATCH(A1576&amp;"|"&amp;B1576&amp;"|"&amp;D1576,'All Song Rankings'!$T:$T,0),0)</f>
        <v>249</v>
      </c>
      <c r="G1576" s="6" t="str">
        <f aca="false">IF(F1576=0,"NOT FOUND",INDEX('All Song Rankings'!$A:$A,F1576))</f>
        <v>Stronger</v>
      </c>
      <c r="H1576" s="6" t="str">
        <f aca="false">IF(F1576=0,"NOT FOUND",INDEX('All Song Rankings'!$B:$B,F1576))</f>
        <v>Kanye West</v>
      </c>
      <c r="I1576" s="6" t="str">
        <f aca="false">IF(F1576=0,"NOT FOUND",INDEX('All Song Rankings'!$D:$D,F1576))</f>
        <v>Makenzie</v>
      </c>
      <c r="J1576" s="7" t="str">
        <f aca="false">IF(F1576=0,"NOT FOUND",IF(C1576=I1576,"SELF-VOTE",IF(COUNTIF($K:$K,K1576)&gt;1,"DUPLICATE","OK")))</f>
        <v>OK</v>
      </c>
      <c r="K1576" s="6" t="str">
        <f aca="false">A1576&amp;"|"&amp;B1576&amp;"|"&amp;C1576&amp;"|"&amp;D1576</f>
        <v>3|4|Scott|spotify:track:0j2T0R9dR9qdJYsB7ciXhf</v>
      </c>
    </row>
    <row r="1577" customFormat="false" ht="15" hidden="false" customHeight="false" outlineLevel="0" collapsed="false">
      <c r="A1577" s="5" t="n">
        <v>3</v>
      </c>
      <c r="B1577" s="5" t="n">
        <v>4</v>
      </c>
      <c r="C1577" s="5" t="s">
        <v>484</v>
      </c>
      <c r="D1577" s="5" t="s">
        <v>849</v>
      </c>
      <c r="E1577" s="5" t="n">
        <v>1</v>
      </c>
      <c r="F1577" s="6" t="n">
        <f aca="false">IFERROR(MATCH(A1577&amp;"|"&amp;B1577&amp;"|"&amp;D1577,'All Song Rankings'!$T:$T,0),0)</f>
        <v>252</v>
      </c>
      <c r="G1577" s="6" t="str">
        <f aca="false">IF(F1577=0,"NOT FOUND",INDEX('All Song Rankings'!$A:$A,F1577))</f>
        <v>Stressed Out</v>
      </c>
      <c r="H1577" s="6" t="str">
        <f aca="false">IF(F1577=0,"NOT FOUND",INDEX('All Song Rankings'!$B:$B,F1577))</f>
        <v>Twenty One Pilots</v>
      </c>
      <c r="I1577" s="6" t="str">
        <f aca="false">IF(F1577=0,"NOT FOUND",INDEX('All Song Rankings'!$D:$D,F1577))</f>
        <v>Grace</v>
      </c>
      <c r="J1577" s="7" t="str">
        <f aca="false">IF(F1577=0,"NOT FOUND",IF(C1577=I1577,"SELF-VOTE",IF(COUNTIF($K:$K,K1577)&gt;1,"DUPLICATE","OK")))</f>
        <v>OK</v>
      </c>
      <c r="K1577" s="6" t="str">
        <f aca="false">A1577&amp;"|"&amp;B1577&amp;"|"&amp;C1577&amp;"|"&amp;D1577</f>
        <v>3|4|Scott|spotify:track:3CRDbSIZ4r5MsZ0YwxuEkn</v>
      </c>
    </row>
    <row r="1578" customFormat="false" ht="15" hidden="false" customHeight="false" outlineLevel="0" collapsed="false">
      <c r="A1578" s="5" t="n">
        <v>3</v>
      </c>
      <c r="B1578" s="5" t="n">
        <v>4</v>
      </c>
      <c r="C1578" s="5" t="s">
        <v>484</v>
      </c>
      <c r="D1578" s="5" t="s">
        <v>820</v>
      </c>
      <c r="E1578" s="5" t="n">
        <v>2</v>
      </c>
      <c r="F1578" s="6" t="n">
        <f aca="false">IFERROR(MATCH(A1578&amp;"|"&amp;B1578&amp;"|"&amp;D1578,'All Song Rankings'!$T:$T,0),0)</f>
        <v>242</v>
      </c>
      <c r="G1578" s="6" t="str">
        <f aca="false">IF(F1578=0,"NOT FOUND",INDEX('All Song Rankings'!$A:$A,F1578))</f>
        <v>Doin' Time</v>
      </c>
      <c r="H1578" s="6" t="str">
        <f aca="false">IF(F1578=0,"NOT FOUND",INDEX('All Song Rankings'!$B:$B,F1578))</f>
        <v>Sublime</v>
      </c>
      <c r="I1578" s="6" t="str">
        <f aca="false">IF(F1578=0,"NOT FOUND",INDEX('All Song Rankings'!$D:$D,F1578))</f>
        <v>Matt</v>
      </c>
      <c r="J1578" s="7" t="str">
        <f aca="false">IF(F1578=0,"NOT FOUND",IF(C1578=I1578,"SELF-VOTE",IF(COUNTIF($K:$K,K1578)&gt;1,"DUPLICATE","OK")))</f>
        <v>OK</v>
      </c>
      <c r="K1578" s="6" t="str">
        <f aca="false">A1578&amp;"|"&amp;B1578&amp;"|"&amp;C1578&amp;"|"&amp;D1578</f>
        <v>3|4|Scott|spotify:track:4eamJr2k9YDH8j58RSTmSc</v>
      </c>
    </row>
    <row r="1579" customFormat="false" ht="15" hidden="false" customHeight="false" outlineLevel="0" collapsed="false">
      <c r="A1579" s="5" t="n">
        <v>3</v>
      </c>
      <c r="B1579" s="5" t="n">
        <v>4</v>
      </c>
      <c r="C1579" s="5" t="s">
        <v>484</v>
      </c>
      <c r="D1579" s="5" t="s">
        <v>810</v>
      </c>
      <c r="E1579" s="5" t="n">
        <v>1</v>
      </c>
      <c r="F1579" s="6" t="n">
        <f aca="false">IFERROR(MATCH(A1579&amp;"|"&amp;B1579&amp;"|"&amp;D1579,'All Song Rankings'!$T:$T,0),0)</f>
        <v>239</v>
      </c>
      <c r="G1579" s="6" t="str">
        <f aca="false">IF(F1579=0,"NOT FOUND",INDEX('All Song Rankings'!$A:$A,F1579))</f>
        <v>Northern Attitude (with Hozier)</v>
      </c>
      <c r="H1579" s="6" t="str">
        <f aca="false">IF(F1579=0,"NOT FOUND",INDEX('All Song Rankings'!$B:$B,F1579))</f>
        <v>Noah Kahan, Hozier</v>
      </c>
      <c r="I1579" s="6" t="str">
        <f aca="false">IF(F1579=0,"NOT FOUND",INDEX('All Song Rankings'!$D:$D,F1579))</f>
        <v>Colleen</v>
      </c>
      <c r="J1579" s="7" t="str">
        <f aca="false">IF(F1579=0,"NOT FOUND",IF(C1579=I1579,"SELF-VOTE",IF(COUNTIF($K:$K,K1579)&gt;1,"DUPLICATE","OK")))</f>
        <v>OK</v>
      </c>
      <c r="K1579" s="6" t="str">
        <f aca="false">A1579&amp;"|"&amp;B1579&amp;"|"&amp;C1579&amp;"|"&amp;D1579</f>
        <v>3|4|Scott|spotify:track:4oEf84vBYVftf6KmZexhVo</v>
      </c>
    </row>
    <row r="1580" customFormat="false" ht="15" hidden="false" customHeight="false" outlineLevel="0" collapsed="false">
      <c r="A1580" s="5" t="n">
        <v>3</v>
      </c>
      <c r="B1580" s="5" t="n">
        <v>4</v>
      </c>
      <c r="C1580" s="5" t="s">
        <v>484</v>
      </c>
      <c r="D1580" s="5" t="s">
        <v>813</v>
      </c>
      <c r="E1580" s="5" t="n">
        <v>2</v>
      </c>
      <c r="F1580" s="6" t="n">
        <f aca="false">IFERROR(MATCH(A1580&amp;"|"&amp;B1580&amp;"|"&amp;D1580,'All Song Rankings'!$T:$T,0),0)</f>
        <v>240</v>
      </c>
      <c r="G1580" s="6" t="str">
        <f aca="false">IF(F1580=0,"NOT FOUND",INDEX('All Song Rankings'!$A:$A,F1580))</f>
        <v>Feeling Good</v>
      </c>
      <c r="H1580" s="6" t="str">
        <f aca="false">IF(F1580=0,"NOT FOUND",INDEX('All Song Rankings'!$B:$B,F1580))</f>
        <v>Nina Simone</v>
      </c>
      <c r="I1580" s="6" t="str">
        <f aca="false">IF(F1580=0,"NOT FOUND",INDEX('All Song Rankings'!$D:$D,F1580))</f>
        <v>Logan</v>
      </c>
      <c r="J1580" s="7" t="str">
        <f aca="false">IF(F1580=0,"NOT FOUND",IF(C1580=I1580,"SELF-VOTE",IF(COUNTIF($K:$K,K1580)&gt;1,"DUPLICATE","OK")))</f>
        <v>OK</v>
      </c>
      <c r="K1580" s="6" t="str">
        <f aca="false">A1580&amp;"|"&amp;B1580&amp;"|"&amp;C1580&amp;"|"&amp;D1580</f>
        <v>3|4|Scott|spotify:track:6Rqn2GFlmvmV4w9Ala0I1e</v>
      </c>
    </row>
    <row r="1581" customFormat="false" ht="15" hidden="false" customHeight="false" outlineLevel="0" collapsed="false">
      <c r="A1581" s="5" t="n">
        <v>3</v>
      </c>
      <c r="B1581" s="5" t="n">
        <v>4</v>
      </c>
      <c r="C1581" s="5" t="s">
        <v>484</v>
      </c>
      <c r="D1581" s="5" t="s">
        <v>846</v>
      </c>
      <c r="E1581" s="5" t="n">
        <v>1</v>
      </c>
      <c r="F1581" s="6" t="n">
        <f aca="false">IFERROR(MATCH(A1581&amp;"|"&amp;B1581&amp;"|"&amp;D1581,'All Song Rankings'!$T:$T,0),0)</f>
        <v>251</v>
      </c>
      <c r="G1581" s="6" t="str">
        <f aca="false">IF(F1581=0,"NOT FOUND",INDEX('All Song Rankings'!$A:$A,F1581))</f>
        <v>Send Me On My Way</v>
      </c>
      <c r="H1581" s="6" t="str">
        <f aca="false">IF(F1581=0,"NOT FOUND",INDEX('All Song Rankings'!$B:$B,F1581))</f>
        <v>Rusted Root</v>
      </c>
      <c r="I1581" s="6" t="str">
        <f aca="false">IF(F1581=0,"NOT FOUND",INDEX('All Song Rankings'!$D:$D,F1581))</f>
        <v>Kristen</v>
      </c>
      <c r="J1581" s="7" t="str">
        <f aca="false">IF(F1581=0,"NOT FOUND",IF(C1581=I1581,"SELF-VOTE",IF(COUNTIF($K:$K,K1581)&gt;1,"DUPLICATE","OK")))</f>
        <v>OK</v>
      </c>
      <c r="K1581" s="6" t="str">
        <f aca="false">A1581&amp;"|"&amp;B1581&amp;"|"&amp;C1581&amp;"|"&amp;D1581</f>
        <v>3|4|Scott|spotify:track:6XK6Zw6JkFsHXzAcMWNiIr</v>
      </c>
    </row>
    <row r="1582" customFormat="false" ht="15" hidden="false" customHeight="false" outlineLevel="0" collapsed="false">
      <c r="A1582" s="5" t="n">
        <v>3</v>
      </c>
      <c r="B1582" s="5" t="n">
        <v>4</v>
      </c>
      <c r="C1582" s="5" t="s">
        <v>484</v>
      </c>
      <c r="D1582" s="5" t="s">
        <v>817</v>
      </c>
      <c r="E1582" s="5" t="n">
        <v>2</v>
      </c>
      <c r="F1582" s="6" t="n">
        <f aca="false">IFERROR(MATCH(A1582&amp;"|"&amp;B1582&amp;"|"&amp;D1582,'All Song Rankings'!$T:$T,0),0)</f>
        <v>241</v>
      </c>
      <c r="G1582" s="6" t="str">
        <f aca="false">IF(F1582=0,"NOT FOUND",INDEX('All Song Rankings'!$A:$A,F1582))</f>
        <v>Thani Lokah Murakkaari (From "Lokah - Chapter 1: Chandra")</v>
      </c>
      <c r="H1582" s="6" t="str">
        <f aca="false">IF(F1582=0,"NOT FOUND",INDEX('All Song Rankings'!$B:$B,F1582))</f>
        <v>Jakes Bejoy, Jyoti Nooran, Reble, Mu.Ri</v>
      </c>
      <c r="I1582" s="6" t="str">
        <f aca="false">IF(F1582=0,"NOT FOUND",INDEX('All Song Rankings'!$D:$D,F1582))</f>
        <v>Merita</v>
      </c>
      <c r="J1582" s="7" t="str">
        <f aca="false">IF(F1582=0,"NOT FOUND",IF(C1582=I1582,"SELF-VOTE",IF(COUNTIF($K:$K,K1582)&gt;1,"DUPLICATE","OK")))</f>
        <v>OK</v>
      </c>
      <c r="K1582" s="6" t="str">
        <f aca="false">A1582&amp;"|"&amp;B1582&amp;"|"&amp;C1582&amp;"|"&amp;D1582</f>
        <v>3|4|Scott|spotify:track:7gX2JJVKndYEVApM5GRtqZ</v>
      </c>
    </row>
    <row r="1583" customFormat="false" ht="15" hidden="false" customHeight="false" outlineLevel="0" collapsed="false">
      <c r="A1583" s="5" t="n">
        <v>3</v>
      </c>
      <c r="B1583" s="5" t="n">
        <v>4</v>
      </c>
      <c r="C1583" s="5" t="s">
        <v>97</v>
      </c>
      <c r="D1583" s="5" t="s">
        <v>807</v>
      </c>
      <c r="E1583" s="5" t="n">
        <v>2</v>
      </c>
      <c r="F1583" s="6" t="n">
        <f aca="false">IFERROR(MATCH(A1583&amp;"|"&amp;B1583&amp;"|"&amp;D1583,'All Song Rankings'!$T:$T,0),0)</f>
        <v>238</v>
      </c>
      <c r="G1583" s="6" t="str">
        <f aca="false">IF(F1583=0,"NOT FOUND",INDEX('All Song Rankings'!$A:$A,F1583))</f>
        <v>Stick Season</v>
      </c>
      <c r="H1583" s="6" t="str">
        <f aca="false">IF(F1583=0,"NOT FOUND",INDEX('All Song Rankings'!$B:$B,F1583))</f>
        <v>Noah Kahan</v>
      </c>
      <c r="I1583" s="6" t="str">
        <f aca="false">IF(F1583=0,"NOT FOUND",INDEX('All Song Rankings'!$D:$D,F1583))</f>
        <v>Scott</v>
      </c>
      <c r="J1583" s="7" t="str">
        <f aca="false">IF(F1583=0,"NOT FOUND",IF(C1583=I1583,"SELF-VOTE",IF(COUNTIF($K:$K,K1583)&gt;1,"DUPLICATE","OK")))</f>
        <v>OK</v>
      </c>
      <c r="K1583" s="6" t="str">
        <f aca="false">A1583&amp;"|"&amp;B1583&amp;"|"&amp;C1583&amp;"|"&amp;D1583</f>
        <v>3|4|Stephanie|spotify:track:0mflMxspEfB0VbI1kyLiAv</v>
      </c>
    </row>
    <row r="1584" customFormat="false" ht="15" hidden="false" customHeight="false" outlineLevel="0" collapsed="false">
      <c r="A1584" s="5" t="n">
        <v>3</v>
      </c>
      <c r="B1584" s="5" t="n">
        <v>4</v>
      </c>
      <c r="C1584" s="5" t="s">
        <v>97</v>
      </c>
      <c r="D1584" s="5" t="s">
        <v>837</v>
      </c>
      <c r="E1584" s="5" t="n">
        <v>2</v>
      </c>
      <c r="F1584" s="6" t="n">
        <f aca="false">IFERROR(MATCH(A1584&amp;"|"&amp;B1584&amp;"|"&amp;D1584,'All Song Rankings'!$T:$T,0),0)</f>
        <v>248</v>
      </c>
      <c r="G1584" s="6" t="str">
        <f aca="false">IF(F1584=0,"NOT FOUND",INDEX('All Song Rankings'!$A:$A,F1584))</f>
        <v>Torn to Pieces</v>
      </c>
      <c r="H1584" s="6" t="str">
        <f aca="false">IF(F1584=0,"NOT FOUND",INDEX('All Song Rankings'!$B:$B,F1584))</f>
        <v>Pop Evil</v>
      </c>
      <c r="I1584" s="6" t="str">
        <f aca="false">IF(F1584=0,"NOT FOUND",INDEX('All Song Rankings'!$D:$D,F1584))</f>
        <v>Leah</v>
      </c>
      <c r="J1584" s="7" t="str">
        <f aca="false">IF(F1584=0,"NOT FOUND",IF(C1584=I1584,"SELF-VOTE",IF(COUNTIF($K:$K,K1584)&gt;1,"DUPLICATE","OK")))</f>
        <v>OK</v>
      </c>
      <c r="K1584" s="6" t="str">
        <f aca="false">A1584&amp;"|"&amp;B1584&amp;"|"&amp;C1584&amp;"|"&amp;D1584</f>
        <v>3|4|Stephanie|spotify:track:3gLvDdJVhHLWWkgzTbYeJB</v>
      </c>
    </row>
    <row r="1585" customFormat="false" ht="15" hidden="false" customHeight="false" outlineLevel="0" collapsed="false">
      <c r="A1585" s="5" t="n">
        <v>3</v>
      </c>
      <c r="B1585" s="5" t="n">
        <v>4</v>
      </c>
      <c r="C1585" s="5" t="s">
        <v>97</v>
      </c>
      <c r="D1585" s="5" t="s">
        <v>820</v>
      </c>
      <c r="E1585" s="5" t="n">
        <v>3</v>
      </c>
      <c r="F1585" s="6" t="n">
        <f aca="false">IFERROR(MATCH(A1585&amp;"|"&amp;B1585&amp;"|"&amp;D1585,'All Song Rankings'!$T:$T,0),0)</f>
        <v>242</v>
      </c>
      <c r="G1585" s="6" t="str">
        <f aca="false">IF(F1585=0,"NOT FOUND",INDEX('All Song Rankings'!$A:$A,F1585))</f>
        <v>Doin' Time</v>
      </c>
      <c r="H1585" s="6" t="str">
        <f aca="false">IF(F1585=0,"NOT FOUND",INDEX('All Song Rankings'!$B:$B,F1585))</f>
        <v>Sublime</v>
      </c>
      <c r="I1585" s="6" t="str">
        <f aca="false">IF(F1585=0,"NOT FOUND",INDEX('All Song Rankings'!$D:$D,F1585))</f>
        <v>Matt</v>
      </c>
      <c r="J1585" s="7" t="str">
        <f aca="false">IF(F1585=0,"NOT FOUND",IF(C1585=I1585,"SELF-VOTE",IF(COUNTIF($K:$K,K1585)&gt;1,"DUPLICATE","OK")))</f>
        <v>OK</v>
      </c>
      <c r="K1585" s="6" t="str">
        <f aca="false">A1585&amp;"|"&amp;B1585&amp;"|"&amp;C1585&amp;"|"&amp;D1585</f>
        <v>3|4|Stephanie|spotify:track:4eamJr2k9YDH8j58RSTmSc</v>
      </c>
    </row>
    <row r="1586" customFormat="false" ht="15" hidden="false" customHeight="false" outlineLevel="0" collapsed="false">
      <c r="A1586" s="5" t="n">
        <v>3</v>
      </c>
      <c r="B1586" s="5" t="n">
        <v>4</v>
      </c>
      <c r="C1586" s="5" t="s">
        <v>97</v>
      </c>
      <c r="D1586" s="5" t="s">
        <v>813</v>
      </c>
      <c r="E1586" s="5" t="n">
        <v>1</v>
      </c>
      <c r="F1586" s="6" t="n">
        <f aca="false">IFERROR(MATCH(A1586&amp;"|"&amp;B1586&amp;"|"&amp;D1586,'All Song Rankings'!$T:$T,0),0)</f>
        <v>240</v>
      </c>
      <c r="G1586" s="6" t="str">
        <f aca="false">IF(F1586=0,"NOT FOUND",INDEX('All Song Rankings'!$A:$A,F1586))</f>
        <v>Feeling Good</v>
      </c>
      <c r="H1586" s="6" t="str">
        <f aca="false">IF(F1586=0,"NOT FOUND",INDEX('All Song Rankings'!$B:$B,F1586))</f>
        <v>Nina Simone</v>
      </c>
      <c r="I1586" s="6" t="str">
        <f aca="false">IF(F1586=0,"NOT FOUND",INDEX('All Song Rankings'!$D:$D,F1586))</f>
        <v>Logan</v>
      </c>
      <c r="J1586" s="7" t="str">
        <f aca="false">IF(F1586=0,"NOT FOUND",IF(C1586=I1586,"SELF-VOTE",IF(COUNTIF($K:$K,K1586)&gt;1,"DUPLICATE","OK")))</f>
        <v>OK</v>
      </c>
      <c r="K1586" s="6" t="str">
        <f aca="false">A1586&amp;"|"&amp;B1586&amp;"|"&amp;C1586&amp;"|"&amp;D1586</f>
        <v>3|4|Stephanie|spotify:track:6Rqn2GFlmvmV4w9Ala0I1e</v>
      </c>
    </row>
    <row r="1587" customFormat="false" ht="15" hidden="false" customHeight="false" outlineLevel="0" collapsed="false">
      <c r="A1587" s="5" t="n">
        <v>3</v>
      </c>
      <c r="B1587" s="5" t="n">
        <v>4</v>
      </c>
      <c r="C1587" s="5" t="s">
        <v>97</v>
      </c>
      <c r="D1587" s="5" t="s">
        <v>846</v>
      </c>
      <c r="E1587" s="5" t="n">
        <v>1</v>
      </c>
      <c r="F1587" s="6" t="n">
        <f aca="false">IFERROR(MATCH(A1587&amp;"|"&amp;B1587&amp;"|"&amp;D1587,'All Song Rankings'!$T:$T,0),0)</f>
        <v>251</v>
      </c>
      <c r="G1587" s="6" t="str">
        <f aca="false">IF(F1587=0,"NOT FOUND",INDEX('All Song Rankings'!$A:$A,F1587))</f>
        <v>Send Me On My Way</v>
      </c>
      <c r="H1587" s="6" t="str">
        <f aca="false">IF(F1587=0,"NOT FOUND",INDEX('All Song Rankings'!$B:$B,F1587))</f>
        <v>Rusted Root</v>
      </c>
      <c r="I1587" s="6" t="str">
        <f aca="false">IF(F1587=0,"NOT FOUND",INDEX('All Song Rankings'!$D:$D,F1587))</f>
        <v>Kristen</v>
      </c>
      <c r="J1587" s="7" t="str">
        <f aca="false">IF(F1587=0,"NOT FOUND",IF(C1587=I1587,"SELF-VOTE",IF(COUNTIF($K:$K,K1587)&gt;1,"DUPLICATE","OK")))</f>
        <v>OK</v>
      </c>
      <c r="K1587" s="6" t="str">
        <f aca="false">A1587&amp;"|"&amp;B1587&amp;"|"&amp;C1587&amp;"|"&amp;D1587</f>
        <v>3|4|Stephanie|spotify:track:6XK6Zw6JkFsHXzAcMWNiIr</v>
      </c>
    </row>
    <row r="1588" customFormat="false" ht="15" hidden="false" customHeight="false" outlineLevel="0" collapsed="false">
      <c r="A1588" s="5" t="n">
        <v>3</v>
      </c>
      <c r="B1588" s="5" t="n">
        <v>4</v>
      </c>
      <c r="C1588" s="5" t="s">
        <v>97</v>
      </c>
      <c r="D1588" s="5" t="s">
        <v>826</v>
      </c>
      <c r="E1588" s="5" t="n">
        <v>1</v>
      </c>
      <c r="F1588" s="6" t="n">
        <f aca="false">IFERROR(MATCH(A1588&amp;"|"&amp;B1588&amp;"|"&amp;D1588,'All Song Rankings'!$T:$T,0),0)</f>
        <v>244</v>
      </c>
      <c r="G1588" s="6" t="str">
        <f aca="false">IF(F1588=0,"NOT FOUND",INDEX('All Song Rankings'!$A:$A,F1588))</f>
        <v>Fighter</v>
      </c>
      <c r="H1588" s="6" t="str">
        <f aca="false">IF(F1588=0,"NOT FOUND",INDEX('All Song Rankings'!$B:$B,F1588))</f>
        <v>Christina Aguilera</v>
      </c>
      <c r="I1588" s="6" t="str">
        <f aca="false">IF(F1588=0,"NOT FOUND",INDEX('All Song Rankings'!$D:$D,F1588))</f>
        <v>Kelsey</v>
      </c>
      <c r="J1588" s="7" t="str">
        <f aca="false">IF(F1588=0,"NOT FOUND",IF(C1588=I1588,"SELF-VOTE",IF(COUNTIF($K:$K,K1588)&gt;1,"DUPLICATE","OK")))</f>
        <v>OK</v>
      </c>
      <c r="K1588" s="6" t="str">
        <f aca="false">A1588&amp;"|"&amp;B1588&amp;"|"&amp;C1588&amp;"|"&amp;D1588</f>
        <v>3|4|Stephanie|spotify:track:7nXq1vaZiz7PdbfojpPjW5</v>
      </c>
    </row>
    <row r="1589" customFormat="false" ht="15" hidden="false" customHeight="false" outlineLevel="0" collapsed="false">
      <c r="A1589" s="5" t="n">
        <v>3</v>
      </c>
      <c r="B1589" s="5" t="n">
        <v>5</v>
      </c>
      <c r="C1589" s="5" t="s">
        <v>375</v>
      </c>
      <c r="D1589" s="5" t="s">
        <v>859</v>
      </c>
      <c r="E1589" s="5" t="n">
        <v>1</v>
      </c>
      <c r="F1589" s="6" t="n">
        <f aca="false">IFERROR(MATCH(A1589&amp;"|"&amp;B1589&amp;"|"&amp;D1589,'All Song Rankings'!$T:$T,0),0)</f>
        <v>255</v>
      </c>
      <c r="G1589" s="6" t="str">
        <f aca="false">IF(F1589=0,"NOT FOUND",INDEX('All Song Rankings'!$A:$A,F1589))</f>
        <v>Falling</v>
      </c>
      <c r="H1589" s="6" t="str">
        <f aca="false">IF(F1589=0,"NOT FOUND",INDEX('All Song Rankings'!$B:$B,F1589))</f>
        <v>Harry Styles</v>
      </c>
      <c r="I1589" s="6" t="str">
        <f aca="false">IF(F1589=0,"NOT FOUND",INDEX('All Song Rankings'!$D:$D,F1589))</f>
        <v>Merita</v>
      </c>
      <c r="J1589" s="7" t="str">
        <f aca="false">IF(F1589=0,"NOT FOUND",IF(C1589=I1589,"SELF-VOTE",IF(COUNTIF($K:$K,K1589)&gt;1,"DUPLICATE","OK")))</f>
        <v>OK</v>
      </c>
      <c r="K1589" s="6" t="str">
        <f aca="false">A1589&amp;"|"&amp;B1589&amp;"|"&amp;C1589&amp;"|"&amp;D1589</f>
        <v>3|5|Aubrey|spotify:track:1ZMiCix7XSAbfAJlEZWMCp</v>
      </c>
    </row>
    <row r="1590" customFormat="false" ht="15" hidden="false" customHeight="false" outlineLevel="0" collapsed="false">
      <c r="A1590" s="5" t="n">
        <v>3</v>
      </c>
      <c r="B1590" s="5" t="n">
        <v>5</v>
      </c>
      <c r="C1590" s="5" t="s">
        <v>375</v>
      </c>
      <c r="D1590" s="5" t="s">
        <v>871</v>
      </c>
      <c r="E1590" s="5" t="n">
        <v>2</v>
      </c>
      <c r="F1590" s="6" t="n">
        <f aca="false">IFERROR(MATCH(A1590&amp;"|"&amp;B1590&amp;"|"&amp;D1590,'All Song Rankings'!$T:$T,0),0)</f>
        <v>259</v>
      </c>
      <c r="G1590" s="6" t="str">
        <f aca="false">IF(F1590=0,"NOT FOUND",INDEX('All Song Rankings'!$A:$A,F1590))</f>
        <v>Thriller</v>
      </c>
      <c r="H1590" s="6" t="str">
        <f aca="false">IF(F1590=0,"NOT FOUND",INDEX('All Song Rankings'!$B:$B,F1590))</f>
        <v>Michael Jackson</v>
      </c>
      <c r="I1590" s="6" t="str">
        <f aca="false">IF(F1590=0,"NOT FOUND",INDEX('All Song Rankings'!$D:$D,F1590))</f>
        <v>Lisa</v>
      </c>
      <c r="J1590" s="7" t="str">
        <f aca="false">IF(F1590=0,"NOT FOUND",IF(C1590=I1590,"SELF-VOTE",IF(COUNTIF($K:$K,K1590)&gt;1,"DUPLICATE","OK")))</f>
        <v>OK</v>
      </c>
      <c r="K1590" s="6" t="str">
        <f aca="false">A1590&amp;"|"&amp;B1590&amp;"|"&amp;C1590&amp;"|"&amp;D1590</f>
        <v>3|5|Aubrey|spotify:track:2LlQb7Uoj1kKyGhlkBf9aC</v>
      </c>
    </row>
    <row r="1591" customFormat="false" ht="15" hidden="false" customHeight="false" outlineLevel="0" collapsed="false">
      <c r="A1591" s="5" t="n">
        <v>3</v>
      </c>
      <c r="B1591" s="5" t="n">
        <v>5</v>
      </c>
      <c r="C1591" s="5" t="s">
        <v>375</v>
      </c>
      <c r="D1591" s="5" t="s">
        <v>877</v>
      </c>
      <c r="E1591" s="5" t="n">
        <v>1</v>
      </c>
      <c r="F1591" s="6" t="n">
        <f aca="false">IFERROR(MATCH(A1591&amp;"|"&amp;B1591&amp;"|"&amp;D1591,'All Song Rankings'!$T:$T,0),0)</f>
        <v>261</v>
      </c>
      <c r="G1591" s="6" t="str">
        <f aca="false">IF(F1591=0,"NOT FOUND",INDEX('All Song Rankings'!$A:$A,F1591))</f>
        <v>Is Anybody Out There</v>
      </c>
      <c r="H1591" s="6" t="str">
        <f aca="false">IF(F1591=0,"NOT FOUND",INDEX('All Song Rankings'!$B:$B,F1591))</f>
        <v>Joey McIntyre</v>
      </c>
      <c r="I1591" s="6" t="str">
        <f aca="false">IF(F1591=0,"NOT FOUND",INDEX('All Song Rankings'!$D:$D,F1591))</f>
        <v>Christine</v>
      </c>
      <c r="J1591" s="7" t="str">
        <f aca="false">IF(F1591=0,"NOT FOUND",IF(C1591=I1591,"SELF-VOTE",IF(COUNTIF($K:$K,K1591)&gt;1,"DUPLICATE","OK")))</f>
        <v>OK</v>
      </c>
      <c r="K1591" s="6" t="str">
        <f aca="false">A1591&amp;"|"&amp;B1591&amp;"|"&amp;C1591&amp;"|"&amp;D1591</f>
        <v>3|5|Aubrey|spotify:track:3HCIjTIRedmAYgFGEi8IAL</v>
      </c>
    </row>
    <row r="1592" customFormat="false" ht="15" hidden="false" customHeight="false" outlineLevel="0" collapsed="false">
      <c r="A1592" s="5" t="n">
        <v>3</v>
      </c>
      <c r="B1592" s="5" t="n">
        <v>5</v>
      </c>
      <c r="C1592" s="5" t="s">
        <v>375</v>
      </c>
      <c r="D1592" s="5" t="s">
        <v>882</v>
      </c>
      <c r="E1592" s="5" t="n">
        <v>1</v>
      </c>
      <c r="F1592" s="6" t="n">
        <f aca="false">IFERROR(MATCH(A1592&amp;"|"&amp;B1592&amp;"|"&amp;D1592,'All Song Rankings'!$T:$T,0),0)</f>
        <v>263</v>
      </c>
      <c r="G1592" s="6" t="str">
        <f aca="false">IF(F1592=0,"NOT FOUND",INDEX('All Song Rankings'!$A:$A,F1592))</f>
        <v>Glamorous</v>
      </c>
      <c r="H1592" s="6" t="str">
        <f aca="false">IF(F1592=0,"NOT FOUND",INDEX('All Song Rankings'!$B:$B,F1592))</f>
        <v>Fergie, Ludacris</v>
      </c>
      <c r="I1592" s="6" t="str">
        <f aca="false">IF(F1592=0,"NOT FOUND",INDEX('All Song Rankings'!$D:$D,F1592))</f>
        <v>Leah</v>
      </c>
      <c r="J1592" s="7" t="str">
        <f aca="false">IF(F1592=0,"NOT FOUND",IF(C1592=I1592,"SELF-VOTE",IF(COUNTIF($K:$K,K1592)&gt;1,"DUPLICATE","OK")))</f>
        <v>OK</v>
      </c>
      <c r="K1592" s="6" t="str">
        <f aca="false">A1592&amp;"|"&amp;B1592&amp;"|"&amp;C1592&amp;"|"&amp;D1592</f>
        <v>3|5|Aubrey|spotify:track:4KTtYhxFtFL7mBwnjkKfLm</v>
      </c>
    </row>
    <row r="1593" customFormat="false" ht="15" hidden="false" customHeight="false" outlineLevel="0" collapsed="false">
      <c r="A1593" s="5" t="n">
        <v>3</v>
      </c>
      <c r="B1593" s="5" t="n">
        <v>5</v>
      </c>
      <c r="C1593" s="5" t="s">
        <v>375</v>
      </c>
      <c r="D1593" s="5" t="s">
        <v>890</v>
      </c>
      <c r="E1593" s="5" t="n">
        <v>1</v>
      </c>
      <c r="F1593" s="6" t="n">
        <f aca="false">IFERROR(MATCH(A1593&amp;"|"&amp;B1593&amp;"|"&amp;D1593,'All Song Rankings'!$T:$T,0),0)</f>
        <v>266</v>
      </c>
      <c r="G1593" s="6" t="str">
        <f aca="false">IF(F1593=0,"NOT FOUND",INDEX('All Song Rankings'!$A:$A,F1593))</f>
        <v>I Don't Wanna Stop</v>
      </c>
      <c r="H1593" s="6" t="str">
        <f aca="false">IF(F1593=0,"NOT FOUND",INDEX('All Song Rankings'!$B:$B,F1593))</f>
        <v>Ozzy Osbourne</v>
      </c>
      <c r="I1593" s="6" t="str">
        <f aca="false">IF(F1593=0,"NOT FOUND",INDEX('All Song Rankings'!$D:$D,F1593))</f>
        <v>Scott</v>
      </c>
      <c r="J1593" s="7" t="str">
        <f aca="false">IF(F1593=0,"NOT FOUND",IF(C1593=I1593,"SELF-VOTE",IF(COUNTIF($K:$K,K1593)&gt;1,"DUPLICATE","OK")))</f>
        <v>OK</v>
      </c>
      <c r="K1593" s="6" t="str">
        <f aca="false">A1593&amp;"|"&amp;B1593&amp;"|"&amp;C1593&amp;"|"&amp;D1593</f>
        <v>3|5|Aubrey|spotify:track:5axOkQnmQmwtjr4bv1Xt7i</v>
      </c>
    </row>
    <row r="1594" customFormat="false" ht="15" hidden="false" customHeight="false" outlineLevel="0" collapsed="false">
      <c r="A1594" s="5" t="n">
        <v>3</v>
      </c>
      <c r="B1594" s="5" t="n">
        <v>5</v>
      </c>
      <c r="C1594" s="5" t="s">
        <v>375</v>
      </c>
      <c r="D1594" s="5" t="s">
        <v>874</v>
      </c>
      <c r="E1594" s="5" t="n">
        <v>2</v>
      </c>
      <c r="F1594" s="6" t="n">
        <f aca="false">IFERROR(MATCH(A1594&amp;"|"&amp;B1594&amp;"|"&amp;D1594,'All Song Rankings'!$T:$T,0),0)</f>
        <v>260</v>
      </c>
      <c r="G1594" s="6" t="str">
        <f aca="false">IF(F1594=0,"NOT FOUND",INDEX('All Song Rankings'!$A:$A,F1594))</f>
        <v>Messy (From F1 The Movie)</v>
      </c>
      <c r="H1594" s="6" t="str">
        <f aca="false">IF(F1594=0,"NOT FOUND",INDEX('All Song Rankings'!$B:$B,F1594))</f>
        <v>ROSĖ, F1 The Album</v>
      </c>
      <c r="I1594" s="6" t="str">
        <f aca="false">IF(F1594=0,"NOT FOUND",INDEX('All Song Rankings'!$D:$D,F1594))</f>
        <v>Matt</v>
      </c>
      <c r="J1594" s="7" t="str">
        <f aca="false">IF(F1594=0,"NOT FOUND",IF(C1594=I1594,"SELF-VOTE",IF(COUNTIF($K:$K,K1594)&gt;1,"DUPLICATE","OK")))</f>
        <v>OK</v>
      </c>
      <c r="K1594" s="6" t="str">
        <f aca="false">A1594&amp;"|"&amp;B1594&amp;"|"&amp;C1594&amp;"|"&amp;D1594</f>
        <v>3|5|Aubrey|spotify:track:6Wobsw9uZ0D0xkfOjxXSq9</v>
      </c>
    </row>
    <row r="1595" customFormat="false" ht="15" hidden="false" customHeight="false" outlineLevel="0" collapsed="false">
      <c r="A1595" s="5" t="n">
        <v>3</v>
      </c>
      <c r="B1595" s="5" t="n">
        <v>5</v>
      </c>
      <c r="C1595" s="5" t="s">
        <v>375</v>
      </c>
      <c r="D1595" s="5" t="s">
        <v>862</v>
      </c>
      <c r="E1595" s="5" t="n">
        <v>2</v>
      </c>
      <c r="F1595" s="6" t="n">
        <f aca="false">IFERROR(MATCH(A1595&amp;"|"&amp;B1595&amp;"|"&amp;D1595,'All Song Rankings'!$T:$T,0),0)</f>
        <v>256</v>
      </c>
      <c r="G1595" s="6" t="str">
        <f aca="false">IF(F1595=0,"NOT FOUND",INDEX('All Song Rankings'!$A:$A,F1595))</f>
        <v>Someday</v>
      </c>
      <c r="H1595" s="6" t="str">
        <f aca="false">IF(F1595=0,"NOT FOUND",INDEX('All Song Rankings'!$B:$B,F1595))</f>
        <v>Rob Thomas</v>
      </c>
      <c r="I1595" s="6" t="str">
        <f aca="false">IF(F1595=0,"NOT FOUND",INDEX('All Song Rankings'!$D:$D,F1595))</f>
        <v>Kristen</v>
      </c>
      <c r="J1595" s="7" t="str">
        <f aca="false">IF(F1595=0,"NOT FOUND",IF(C1595=I1595,"SELF-VOTE",IF(COUNTIF($K:$K,K1595)&gt;1,"DUPLICATE","OK")))</f>
        <v>OK</v>
      </c>
      <c r="K1595" s="6" t="str">
        <f aca="false">A1595&amp;"|"&amp;B1595&amp;"|"&amp;C1595&amp;"|"&amp;D1595</f>
        <v>3|5|Aubrey|spotify:track:7uPQU7uKvsZZ7T9XnpBpFg</v>
      </c>
    </row>
    <row r="1596" customFormat="false" ht="15" hidden="false" customHeight="false" outlineLevel="0" collapsed="false">
      <c r="A1596" s="5" t="n">
        <v>3</v>
      </c>
      <c r="B1596" s="5" t="n">
        <v>5</v>
      </c>
      <c r="C1596" s="5" t="s">
        <v>719</v>
      </c>
      <c r="D1596" s="5" t="s">
        <v>865</v>
      </c>
      <c r="E1596" s="5" t="n">
        <v>1</v>
      </c>
      <c r="F1596" s="6" t="n">
        <f aca="false">IFERROR(MATCH(A1596&amp;"|"&amp;B1596&amp;"|"&amp;D1596,'All Song Rankings'!$T:$T,0),0)</f>
        <v>257</v>
      </c>
      <c r="G1596" s="6" t="str">
        <f aca="false">IF(F1596=0,"NOT FOUND",INDEX('All Song Rankings'!$A:$A,F1596))</f>
        <v>This Town</v>
      </c>
      <c r="H1596" s="6" t="str">
        <f aca="false">IF(F1596=0,"NOT FOUND",INDEX('All Song Rankings'!$B:$B,F1596))</f>
        <v>Niall Horan</v>
      </c>
      <c r="I1596" s="6" t="str">
        <f aca="false">IF(F1596=0,"NOT FOUND",INDEX('All Song Rankings'!$D:$D,F1596))</f>
        <v>Nicole</v>
      </c>
      <c r="J1596" s="7" t="str">
        <f aca="false">IF(F1596=0,"NOT FOUND",IF(C1596=I1596,"SELF-VOTE",IF(COUNTIF($K:$K,K1596)&gt;1,"DUPLICATE","OK")))</f>
        <v>OK</v>
      </c>
      <c r="K1596" s="6" t="str">
        <f aca="false">A1596&amp;"|"&amp;B1596&amp;"|"&amp;C1596&amp;"|"&amp;D1596</f>
        <v>3|5|Christine|spotify:track:0qvzXomUDJVaUboy2wMfiS</v>
      </c>
    </row>
    <row r="1597" customFormat="false" ht="15" hidden="false" customHeight="false" outlineLevel="0" collapsed="false">
      <c r="A1597" s="5" t="n">
        <v>3</v>
      </c>
      <c r="B1597" s="5" t="n">
        <v>5</v>
      </c>
      <c r="C1597" s="5" t="s">
        <v>719</v>
      </c>
      <c r="D1597" s="5" t="s">
        <v>856</v>
      </c>
      <c r="E1597" s="5" t="n">
        <v>1</v>
      </c>
      <c r="F1597" s="6" t="n">
        <f aca="false">IFERROR(MATCH(A1597&amp;"|"&amp;B1597&amp;"|"&amp;D1597,'All Song Rankings'!$T:$T,0),0)</f>
        <v>254</v>
      </c>
      <c r="G1597" s="6" t="str">
        <f aca="false">IF(F1597=0,"NOT FOUND",INDEX('All Song Rankings'!$A:$A,F1597))</f>
        <v>In The Air Tonight - 2015 Remastered</v>
      </c>
      <c r="H1597" s="6" t="str">
        <f aca="false">IF(F1597=0,"NOT FOUND",INDEX('All Song Rankings'!$B:$B,F1597))</f>
        <v>Phil Collins</v>
      </c>
      <c r="I1597" s="6" t="str">
        <f aca="false">IF(F1597=0,"NOT FOUND",INDEX('All Song Rankings'!$D:$D,F1597))</f>
        <v>Aubrey</v>
      </c>
      <c r="J1597" s="7" t="str">
        <f aca="false">IF(F1597=0,"NOT FOUND",IF(C1597=I1597,"SELF-VOTE",IF(COUNTIF($K:$K,K1597)&gt;1,"DUPLICATE","OK")))</f>
        <v>OK</v>
      </c>
      <c r="K1597" s="6" t="str">
        <f aca="false">A1597&amp;"|"&amp;B1597&amp;"|"&amp;C1597&amp;"|"&amp;D1597</f>
        <v>3|5|Christine|spotify:track:18AXbzPzBS8Y3AkgSxzJPb</v>
      </c>
    </row>
    <row r="1598" customFormat="false" ht="15" hidden="false" customHeight="false" outlineLevel="0" collapsed="false">
      <c r="A1598" s="5" t="n">
        <v>3</v>
      </c>
      <c r="B1598" s="5" t="n">
        <v>5</v>
      </c>
      <c r="C1598" s="5" t="s">
        <v>719</v>
      </c>
      <c r="D1598" s="5" t="s">
        <v>868</v>
      </c>
      <c r="E1598" s="5" t="n">
        <v>1</v>
      </c>
      <c r="F1598" s="6" t="n">
        <f aca="false">IFERROR(MATCH(A1598&amp;"|"&amp;B1598&amp;"|"&amp;D1598,'All Song Rankings'!$T:$T,0),0)</f>
        <v>258</v>
      </c>
      <c r="G1598" s="6" t="str">
        <f aca="false">IF(F1598=0,"NOT FOUND",INDEX('All Song Rankings'!$A:$A,F1598))</f>
        <v>Beautiful Soul</v>
      </c>
      <c r="H1598" s="6" t="str">
        <f aca="false">IF(F1598=0,"NOT FOUND",INDEX('All Song Rankings'!$B:$B,F1598))</f>
        <v>Jesse McCartney</v>
      </c>
      <c r="I1598" s="6" t="str">
        <f aca="false">IF(F1598=0,"NOT FOUND",INDEX('All Song Rankings'!$D:$D,F1598))</f>
        <v>Colleen</v>
      </c>
      <c r="J1598" s="7" t="str">
        <f aca="false">IF(F1598=0,"NOT FOUND",IF(C1598=I1598,"SELF-VOTE",IF(COUNTIF($K:$K,K1598)&gt;1,"DUPLICATE","OK")))</f>
        <v>OK</v>
      </c>
      <c r="K1598" s="6" t="str">
        <f aca="false">A1598&amp;"|"&amp;B1598&amp;"|"&amp;C1598&amp;"|"&amp;D1598</f>
        <v>3|5|Christine|spotify:track:1HwpWwa6bnqqRhK8agG4RS</v>
      </c>
    </row>
    <row r="1599" customFormat="false" ht="15" hidden="false" customHeight="false" outlineLevel="0" collapsed="false">
      <c r="A1599" s="5" t="n">
        <v>3</v>
      </c>
      <c r="B1599" s="5" t="n">
        <v>5</v>
      </c>
      <c r="C1599" s="5" t="s">
        <v>719</v>
      </c>
      <c r="D1599" s="5" t="s">
        <v>879</v>
      </c>
      <c r="E1599" s="5" t="n">
        <v>1</v>
      </c>
      <c r="F1599" s="6" t="n">
        <f aca="false">IFERROR(MATCH(A1599&amp;"|"&amp;B1599&amp;"|"&amp;D1599,'All Song Rankings'!$T:$T,0),0)</f>
        <v>262</v>
      </c>
      <c r="G1599" s="6" t="str">
        <f aca="false">IF(F1599=0,"NOT FOUND",INDEX('All Song Rankings'!$A:$A,F1599))</f>
        <v>Maybe I'm Amazed - Remastered 2011</v>
      </c>
      <c r="H1599" s="6" t="str">
        <f aca="false">IF(F1599=0,"NOT FOUND",INDEX('All Song Rankings'!$B:$B,F1599))</f>
        <v>Paul McCartney</v>
      </c>
      <c r="I1599" s="6" t="str">
        <f aca="false">IF(F1599=0,"NOT FOUND",INDEX('All Song Rankings'!$D:$D,F1599))</f>
        <v>Logan</v>
      </c>
      <c r="J1599" s="7" t="str">
        <f aca="false">IF(F1599=0,"NOT FOUND",IF(C1599=I1599,"SELF-VOTE",IF(COUNTIF($K:$K,K1599)&gt;1,"DUPLICATE","OK")))</f>
        <v>OK</v>
      </c>
      <c r="K1599" s="6" t="str">
        <f aca="false">A1599&amp;"|"&amp;B1599&amp;"|"&amp;C1599&amp;"|"&amp;D1599</f>
        <v>3|5|Christine|spotify:track:1Qa0Y05al633fG8f9Peytc</v>
      </c>
    </row>
    <row r="1600" customFormat="false" ht="15" hidden="false" customHeight="false" outlineLevel="0" collapsed="false">
      <c r="A1600" s="5" t="n">
        <v>3</v>
      </c>
      <c r="B1600" s="5" t="n">
        <v>5</v>
      </c>
      <c r="C1600" s="5" t="s">
        <v>719</v>
      </c>
      <c r="D1600" s="5" t="s">
        <v>859</v>
      </c>
      <c r="E1600" s="5" t="n">
        <v>1</v>
      </c>
      <c r="F1600" s="6" t="n">
        <f aca="false">IFERROR(MATCH(A1600&amp;"|"&amp;B1600&amp;"|"&amp;D1600,'All Song Rankings'!$T:$T,0),0)</f>
        <v>255</v>
      </c>
      <c r="G1600" s="6" t="str">
        <f aca="false">IF(F1600=0,"NOT FOUND",INDEX('All Song Rankings'!$A:$A,F1600))</f>
        <v>Falling</v>
      </c>
      <c r="H1600" s="6" t="str">
        <f aca="false">IF(F1600=0,"NOT FOUND",INDEX('All Song Rankings'!$B:$B,F1600))</f>
        <v>Harry Styles</v>
      </c>
      <c r="I1600" s="6" t="str">
        <f aca="false">IF(F1600=0,"NOT FOUND",INDEX('All Song Rankings'!$D:$D,F1600))</f>
        <v>Merita</v>
      </c>
      <c r="J1600" s="7" t="str">
        <f aca="false">IF(F1600=0,"NOT FOUND",IF(C1600=I1600,"SELF-VOTE",IF(COUNTIF($K:$K,K1600)&gt;1,"DUPLICATE","OK")))</f>
        <v>OK</v>
      </c>
      <c r="K1600" s="6" t="str">
        <f aca="false">A1600&amp;"|"&amp;B1600&amp;"|"&amp;C1600&amp;"|"&amp;D1600</f>
        <v>3|5|Christine|spotify:track:1ZMiCix7XSAbfAJlEZWMCp</v>
      </c>
    </row>
    <row r="1601" customFormat="false" ht="15" hidden="false" customHeight="false" outlineLevel="0" collapsed="false">
      <c r="A1601" s="5" t="n">
        <v>3</v>
      </c>
      <c r="B1601" s="5" t="n">
        <v>5</v>
      </c>
      <c r="C1601" s="5" t="s">
        <v>719</v>
      </c>
      <c r="D1601" s="5" t="s">
        <v>871</v>
      </c>
      <c r="E1601" s="5" t="n">
        <v>1</v>
      </c>
      <c r="F1601" s="6" t="n">
        <f aca="false">IFERROR(MATCH(A1601&amp;"|"&amp;B1601&amp;"|"&amp;D1601,'All Song Rankings'!$T:$T,0),0)</f>
        <v>259</v>
      </c>
      <c r="G1601" s="6" t="str">
        <f aca="false">IF(F1601=0,"NOT FOUND",INDEX('All Song Rankings'!$A:$A,F1601))</f>
        <v>Thriller</v>
      </c>
      <c r="H1601" s="6" t="str">
        <f aca="false">IF(F1601=0,"NOT FOUND",INDEX('All Song Rankings'!$B:$B,F1601))</f>
        <v>Michael Jackson</v>
      </c>
      <c r="I1601" s="6" t="str">
        <f aca="false">IF(F1601=0,"NOT FOUND",INDEX('All Song Rankings'!$D:$D,F1601))</f>
        <v>Lisa</v>
      </c>
      <c r="J1601" s="7" t="str">
        <f aca="false">IF(F1601=0,"NOT FOUND",IF(C1601=I1601,"SELF-VOTE",IF(COUNTIF($K:$K,K1601)&gt;1,"DUPLICATE","OK")))</f>
        <v>OK</v>
      </c>
      <c r="K1601" s="6" t="str">
        <f aca="false">A1601&amp;"|"&amp;B1601&amp;"|"&amp;C1601&amp;"|"&amp;D1601</f>
        <v>3|5|Christine|spotify:track:2LlQb7Uoj1kKyGhlkBf9aC</v>
      </c>
    </row>
    <row r="1602" customFormat="false" ht="15" hidden="false" customHeight="false" outlineLevel="0" collapsed="false">
      <c r="A1602" s="5" t="n">
        <v>3</v>
      </c>
      <c r="B1602" s="5" t="n">
        <v>5</v>
      </c>
      <c r="C1602" s="5" t="s">
        <v>719</v>
      </c>
      <c r="D1602" s="5" t="s">
        <v>887</v>
      </c>
      <c r="E1602" s="5" t="n">
        <v>1</v>
      </c>
      <c r="F1602" s="6" t="n">
        <f aca="false">IFERROR(MATCH(A1602&amp;"|"&amp;B1602&amp;"|"&amp;D1602,'All Song Rankings'!$T:$T,0),0)</f>
        <v>265</v>
      </c>
      <c r="G1602" s="6" t="str">
        <f aca="false">IF(F1602=0,"NOT FOUND",INDEX('All Song Rankings'!$A:$A,F1602))</f>
        <v>Candy</v>
      </c>
      <c r="H1602" s="6" t="str">
        <f aca="false">IF(F1602=0,"NOT FOUND",INDEX('All Song Rankings'!$B:$B,F1602))</f>
        <v>Robbie Williams</v>
      </c>
      <c r="I1602" s="6" t="str">
        <f aca="false">IF(F1602=0,"NOT FOUND",INDEX('All Song Rankings'!$D:$D,F1602))</f>
        <v>Grace</v>
      </c>
      <c r="J1602" s="7" t="str">
        <f aca="false">IF(F1602=0,"NOT FOUND",IF(C1602=I1602,"SELF-VOTE",IF(COUNTIF($K:$K,K1602)&gt;1,"DUPLICATE","OK")))</f>
        <v>OK</v>
      </c>
      <c r="K1602" s="6" t="str">
        <f aca="false">A1602&amp;"|"&amp;B1602&amp;"|"&amp;C1602&amp;"|"&amp;D1602</f>
        <v>3|5|Christine|spotify:track:5NlFXQ0si6U87gXs6hq81B</v>
      </c>
    </row>
    <row r="1603" customFormat="false" ht="15" hidden="false" customHeight="false" outlineLevel="0" collapsed="false">
      <c r="A1603" s="5" t="n">
        <v>3</v>
      </c>
      <c r="B1603" s="5" t="n">
        <v>5</v>
      </c>
      <c r="C1603" s="5" t="s">
        <v>719</v>
      </c>
      <c r="D1603" s="5" t="s">
        <v>890</v>
      </c>
      <c r="E1603" s="5" t="n">
        <v>1</v>
      </c>
      <c r="F1603" s="6" t="n">
        <f aca="false">IFERROR(MATCH(A1603&amp;"|"&amp;B1603&amp;"|"&amp;D1603,'All Song Rankings'!$T:$T,0),0)</f>
        <v>266</v>
      </c>
      <c r="G1603" s="6" t="str">
        <f aca="false">IF(F1603=0,"NOT FOUND",INDEX('All Song Rankings'!$A:$A,F1603))</f>
        <v>I Don't Wanna Stop</v>
      </c>
      <c r="H1603" s="6" t="str">
        <f aca="false">IF(F1603=0,"NOT FOUND",INDEX('All Song Rankings'!$B:$B,F1603))</f>
        <v>Ozzy Osbourne</v>
      </c>
      <c r="I1603" s="6" t="str">
        <f aca="false">IF(F1603=0,"NOT FOUND",INDEX('All Song Rankings'!$D:$D,F1603))</f>
        <v>Scott</v>
      </c>
      <c r="J1603" s="7" t="str">
        <f aca="false">IF(F1603=0,"NOT FOUND",IF(C1603=I1603,"SELF-VOTE",IF(COUNTIF($K:$K,K1603)&gt;1,"DUPLICATE","OK")))</f>
        <v>OK</v>
      </c>
      <c r="K1603" s="6" t="str">
        <f aca="false">A1603&amp;"|"&amp;B1603&amp;"|"&amp;C1603&amp;"|"&amp;D1603</f>
        <v>3|5|Christine|spotify:track:5axOkQnmQmwtjr4bv1Xt7i</v>
      </c>
    </row>
    <row r="1604" customFormat="false" ht="15" hidden="false" customHeight="false" outlineLevel="0" collapsed="false">
      <c r="A1604" s="5" t="n">
        <v>3</v>
      </c>
      <c r="B1604" s="5" t="n">
        <v>5</v>
      </c>
      <c r="C1604" s="5" t="s">
        <v>719</v>
      </c>
      <c r="D1604" s="5" t="s">
        <v>853</v>
      </c>
      <c r="E1604" s="5" t="n">
        <v>1</v>
      </c>
      <c r="F1604" s="6" t="n">
        <f aca="false">IFERROR(MATCH(A1604&amp;"|"&amp;B1604&amp;"|"&amp;D1604,'All Song Rankings'!$T:$T,0),0)</f>
        <v>253</v>
      </c>
      <c r="G1604" s="6" t="str">
        <f aca="false">IF(F1604=0,"NOT FOUND",INDEX('All Song Rankings'!$A:$A,F1604))</f>
        <v>Zombie Lady</v>
      </c>
      <c r="H1604" s="6" t="str">
        <f aca="false">IF(F1604=0,"NOT FOUND",INDEX('All Song Rankings'!$B:$B,F1604))</f>
        <v>Damiano David</v>
      </c>
      <c r="I1604" s="6" t="str">
        <f aca="false">IF(F1604=0,"NOT FOUND",INDEX('All Song Rankings'!$D:$D,F1604))</f>
        <v>Makenzie</v>
      </c>
      <c r="J1604" s="7" t="str">
        <f aca="false">IF(F1604=0,"NOT FOUND",IF(C1604=I1604,"SELF-VOTE",IF(COUNTIF($K:$K,K1604)&gt;1,"DUPLICATE","OK")))</f>
        <v>OK</v>
      </c>
      <c r="K1604" s="6" t="str">
        <f aca="false">A1604&amp;"|"&amp;B1604&amp;"|"&amp;C1604&amp;"|"&amp;D1604</f>
        <v>3|5|Christine|spotify:track:5hYP7TDRmkJPrgYdIy500S</v>
      </c>
    </row>
    <row r="1605" customFormat="false" ht="15" hidden="false" customHeight="false" outlineLevel="0" collapsed="false">
      <c r="A1605" s="5" t="n">
        <v>3</v>
      </c>
      <c r="B1605" s="5" t="n">
        <v>5</v>
      </c>
      <c r="C1605" s="5" t="s">
        <v>719</v>
      </c>
      <c r="D1605" s="5" t="s">
        <v>862</v>
      </c>
      <c r="E1605" s="5" t="n">
        <v>1</v>
      </c>
      <c r="F1605" s="6" t="n">
        <f aca="false">IFERROR(MATCH(A1605&amp;"|"&amp;B1605&amp;"|"&amp;D1605,'All Song Rankings'!$T:$T,0),0)</f>
        <v>256</v>
      </c>
      <c r="G1605" s="6" t="str">
        <f aca="false">IF(F1605=0,"NOT FOUND",INDEX('All Song Rankings'!$A:$A,F1605))</f>
        <v>Someday</v>
      </c>
      <c r="H1605" s="6" t="str">
        <f aca="false">IF(F1605=0,"NOT FOUND",INDEX('All Song Rankings'!$B:$B,F1605))</f>
        <v>Rob Thomas</v>
      </c>
      <c r="I1605" s="6" t="str">
        <f aca="false">IF(F1605=0,"NOT FOUND",INDEX('All Song Rankings'!$D:$D,F1605))</f>
        <v>Kristen</v>
      </c>
      <c r="J1605" s="7" t="str">
        <f aca="false">IF(F1605=0,"NOT FOUND",IF(C1605=I1605,"SELF-VOTE",IF(COUNTIF($K:$K,K1605)&gt;1,"DUPLICATE","OK")))</f>
        <v>OK</v>
      </c>
      <c r="K1605" s="6" t="str">
        <f aca="false">A1605&amp;"|"&amp;B1605&amp;"|"&amp;C1605&amp;"|"&amp;D1605</f>
        <v>3|5|Christine|spotify:track:7uPQU7uKvsZZ7T9XnpBpFg</v>
      </c>
    </row>
    <row r="1606" customFormat="false" ht="15" hidden="false" customHeight="false" outlineLevel="0" collapsed="false">
      <c r="A1606" s="5" t="n">
        <v>3</v>
      </c>
      <c r="B1606" s="5" t="n">
        <v>5</v>
      </c>
      <c r="C1606" s="5" t="s">
        <v>637</v>
      </c>
      <c r="D1606" s="5" t="s">
        <v>884</v>
      </c>
      <c r="E1606" s="5" t="n">
        <v>1</v>
      </c>
      <c r="F1606" s="6" t="n">
        <f aca="false">IFERROR(MATCH(A1606&amp;"|"&amp;B1606&amp;"|"&amp;D1606,'All Song Rankings'!$T:$T,0),0)</f>
        <v>264</v>
      </c>
      <c r="G1606" s="6" t="str">
        <f aca="false">IF(F1606=0,"NOT FOUND",INDEX('All Song Rankings'!$A:$A,F1606))</f>
        <v>TEXAS HOLD 'EM</v>
      </c>
      <c r="H1606" s="6" t="str">
        <f aca="false">IF(F1606=0,"NOT FOUND",INDEX('All Song Rankings'!$B:$B,F1606))</f>
        <v>Beyoncé</v>
      </c>
      <c r="I1606" s="6" t="str">
        <f aca="false">IF(F1606=0,"NOT FOUND",INDEX('All Song Rankings'!$D:$D,F1606))</f>
        <v>Stephanie</v>
      </c>
      <c r="J1606" s="7" t="str">
        <f aca="false">IF(F1606=0,"NOT FOUND",IF(C1606=I1606,"SELF-VOTE",IF(COUNTIF($K:$K,K1606)&gt;1,"DUPLICATE","OK")))</f>
        <v>OK</v>
      </c>
      <c r="K1606" s="6" t="str">
        <f aca="false">A1606&amp;"|"&amp;B1606&amp;"|"&amp;C1606&amp;"|"&amp;D1606</f>
        <v>3|5|Colleen|spotify:track:0Z7nGFVCLfixWctgePsRk9</v>
      </c>
    </row>
    <row r="1607" customFormat="false" ht="15" hidden="false" customHeight="false" outlineLevel="0" collapsed="false">
      <c r="A1607" s="5" t="n">
        <v>3</v>
      </c>
      <c r="B1607" s="5" t="n">
        <v>5</v>
      </c>
      <c r="C1607" s="5" t="s">
        <v>637</v>
      </c>
      <c r="D1607" s="5" t="s">
        <v>865</v>
      </c>
      <c r="E1607" s="5" t="n">
        <v>2</v>
      </c>
      <c r="F1607" s="6" t="n">
        <f aca="false">IFERROR(MATCH(A1607&amp;"|"&amp;B1607&amp;"|"&amp;D1607,'All Song Rankings'!$T:$T,0),0)</f>
        <v>257</v>
      </c>
      <c r="G1607" s="6" t="str">
        <f aca="false">IF(F1607=0,"NOT FOUND",INDEX('All Song Rankings'!$A:$A,F1607))</f>
        <v>This Town</v>
      </c>
      <c r="H1607" s="6" t="str">
        <f aca="false">IF(F1607=0,"NOT FOUND",INDEX('All Song Rankings'!$B:$B,F1607))</f>
        <v>Niall Horan</v>
      </c>
      <c r="I1607" s="6" t="str">
        <f aca="false">IF(F1607=0,"NOT FOUND",INDEX('All Song Rankings'!$D:$D,F1607))</f>
        <v>Nicole</v>
      </c>
      <c r="J1607" s="7" t="str">
        <f aca="false">IF(F1607=0,"NOT FOUND",IF(C1607=I1607,"SELF-VOTE",IF(COUNTIF($K:$K,K1607)&gt;1,"DUPLICATE","OK")))</f>
        <v>OK</v>
      </c>
      <c r="K1607" s="6" t="str">
        <f aca="false">A1607&amp;"|"&amp;B1607&amp;"|"&amp;C1607&amp;"|"&amp;D1607</f>
        <v>3|5|Colleen|spotify:track:0qvzXomUDJVaUboy2wMfiS</v>
      </c>
    </row>
    <row r="1608" customFormat="false" ht="15" hidden="false" customHeight="false" outlineLevel="0" collapsed="false">
      <c r="A1608" s="5" t="n">
        <v>3</v>
      </c>
      <c r="B1608" s="5" t="n">
        <v>5</v>
      </c>
      <c r="C1608" s="5" t="s">
        <v>637</v>
      </c>
      <c r="D1608" s="5" t="s">
        <v>856</v>
      </c>
      <c r="E1608" s="5" t="n">
        <v>1</v>
      </c>
      <c r="F1608" s="6" t="n">
        <f aca="false">IFERROR(MATCH(A1608&amp;"|"&amp;B1608&amp;"|"&amp;D1608,'All Song Rankings'!$T:$T,0),0)</f>
        <v>254</v>
      </c>
      <c r="G1608" s="6" t="str">
        <f aca="false">IF(F1608=0,"NOT FOUND",INDEX('All Song Rankings'!$A:$A,F1608))</f>
        <v>In The Air Tonight - 2015 Remastered</v>
      </c>
      <c r="H1608" s="6" t="str">
        <f aca="false">IF(F1608=0,"NOT FOUND",INDEX('All Song Rankings'!$B:$B,F1608))</f>
        <v>Phil Collins</v>
      </c>
      <c r="I1608" s="6" t="str">
        <f aca="false">IF(F1608=0,"NOT FOUND",INDEX('All Song Rankings'!$D:$D,F1608))</f>
        <v>Aubrey</v>
      </c>
      <c r="J1608" s="7" t="str">
        <f aca="false">IF(F1608=0,"NOT FOUND",IF(C1608=I1608,"SELF-VOTE",IF(COUNTIF($K:$K,K1608)&gt;1,"DUPLICATE","OK")))</f>
        <v>OK</v>
      </c>
      <c r="K1608" s="6" t="str">
        <f aca="false">A1608&amp;"|"&amp;B1608&amp;"|"&amp;C1608&amp;"|"&amp;D1608</f>
        <v>3|5|Colleen|spotify:track:18AXbzPzBS8Y3AkgSxzJPb</v>
      </c>
    </row>
    <row r="1609" customFormat="false" ht="15" hidden="false" customHeight="false" outlineLevel="0" collapsed="false">
      <c r="A1609" s="5" t="n">
        <v>3</v>
      </c>
      <c r="B1609" s="5" t="n">
        <v>5</v>
      </c>
      <c r="C1609" s="5" t="s">
        <v>637</v>
      </c>
      <c r="D1609" s="5" t="s">
        <v>859</v>
      </c>
      <c r="E1609" s="5" t="n">
        <v>1</v>
      </c>
      <c r="F1609" s="6" t="n">
        <f aca="false">IFERROR(MATCH(A1609&amp;"|"&amp;B1609&amp;"|"&amp;D1609,'All Song Rankings'!$T:$T,0),0)</f>
        <v>255</v>
      </c>
      <c r="G1609" s="6" t="str">
        <f aca="false">IF(F1609=0,"NOT FOUND",INDEX('All Song Rankings'!$A:$A,F1609))</f>
        <v>Falling</v>
      </c>
      <c r="H1609" s="6" t="str">
        <f aca="false">IF(F1609=0,"NOT FOUND",INDEX('All Song Rankings'!$B:$B,F1609))</f>
        <v>Harry Styles</v>
      </c>
      <c r="I1609" s="6" t="str">
        <f aca="false">IF(F1609=0,"NOT FOUND",INDEX('All Song Rankings'!$D:$D,F1609))</f>
        <v>Merita</v>
      </c>
      <c r="J1609" s="7" t="str">
        <f aca="false">IF(F1609=0,"NOT FOUND",IF(C1609=I1609,"SELF-VOTE",IF(COUNTIF($K:$K,K1609)&gt;1,"DUPLICATE","OK")))</f>
        <v>OK</v>
      </c>
      <c r="K1609" s="6" t="str">
        <f aca="false">A1609&amp;"|"&amp;B1609&amp;"|"&amp;C1609&amp;"|"&amp;D1609</f>
        <v>3|5|Colleen|spotify:track:1ZMiCix7XSAbfAJlEZWMCp</v>
      </c>
    </row>
    <row r="1610" customFormat="false" ht="15" hidden="false" customHeight="false" outlineLevel="0" collapsed="false">
      <c r="A1610" s="5" t="n">
        <v>3</v>
      </c>
      <c r="B1610" s="5" t="n">
        <v>5</v>
      </c>
      <c r="C1610" s="5" t="s">
        <v>637</v>
      </c>
      <c r="D1610" s="5" t="s">
        <v>871</v>
      </c>
      <c r="E1610" s="5" t="n">
        <v>2</v>
      </c>
      <c r="F1610" s="6" t="n">
        <f aca="false">IFERROR(MATCH(A1610&amp;"|"&amp;B1610&amp;"|"&amp;D1610,'All Song Rankings'!$T:$T,0),0)</f>
        <v>259</v>
      </c>
      <c r="G1610" s="6" t="str">
        <f aca="false">IF(F1610=0,"NOT FOUND",INDEX('All Song Rankings'!$A:$A,F1610))</f>
        <v>Thriller</v>
      </c>
      <c r="H1610" s="6" t="str">
        <f aca="false">IF(F1610=0,"NOT FOUND",INDEX('All Song Rankings'!$B:$B,F1610))</f>
        <v>Michael Jackson</v>
      </c>
      <c r="I1610" s="6" t="str">
        <f aca="false">IF(F1610=0,"NOT FOUND",INDEX('All Song Rankings'!$D:$D,F1610))</f>
        <v>Lisa</v>
      </c>
      <c r="J1610" s="7" t="str">
        <f aca="false">IF(F1610=0,"NOT FOUND",IF(C1610=I1610,"SELF-VOTE",IF(COUNTIF($K:$K,K1610)&gt;1,"DUPLICATE","OK")))</f>
        <v>OK</v>
      </c>
      <c r="K1610" s="6" t="str">
        <f aca="false">A1610&amp;"|"&amp;B1610&amp;"|"&amp;C1610&amp;"|"&amp;D1610</f>
        <v>3|5|Colleen|spotify:track:2LlQb7Uoj1kKyGhlkBf9aC</v>
      </c>
    </row>
    <row r="1611" customFormat="false" ht="15" hidden="false" customHeight="false" outlineLevel="0" collapsed="false">
      <c r="A1611" s="5" t="n">
        <v>3</v>
      </c>
      <c r="B1611" s="5" t="n">
        <v>5</v>
      </c>
      <c r="C1611" s="5" t="s">
        <v>637</v>
      </c>
      <c r="D1611" s="5" t="s">
        <v>887</v>
      </c>
      <c r="E1611" s="5" t="n">
        <v>2</v>
      </c>
      <c r="F1611" s="6" t="n">
        <f aca="false">IFERROR(MATCH(A1611&amp;"|"&amp;B1611&amp;"|"&amp;D1611,'All Song Rankings'!$T:$T,0),0)</f>
        <v>265</v>
      </c>
      <c r="G1611" s="6" t="str">
        <f aca="false">IF(F1611=0,"NOT FOUND",INDEX('All Song Rankings'!$A:$A,F1611))</f>
        <v>Candy</v>
      </c>
      <c r="H1611" s="6" t="str">
        <f aca="false">IF(F1611=0,"NOT FOUND",INDEX('All Song Rankings'!$B:$B,F1611))</f>
        <v>Robbie Williams</v>
      </c>
      <c r="I1611" s="6" t="str">
        <f aca="false">IF(F1611=0,"NOT FOUND",INDEX('All Song Rankings'!$D:$D,F1611))</f>
        <v>Grace</v>
      </c>
      <c r="J1611" s="7" t="str">
        <f aca="false">IF(F1611=0,"NOT FOUND",IF(C1611=I1611,"SELF-VOTE",IF(COUNTIF($K:$K,K1611)&gt;1,"DUPLICATE","OK")))</f>
        <v>OK</v>
      </c>
      <c r="K1611" s="6" t="str">
        <f aca="false">A1611&amp;"|"&amp;B1611&amp;"|"&amp;C1611&amp;"|"&amp;D1611</f>
        <v>3|5|Colleen|spotify:track:5NlFXQ0si6U87gXs6hq81B</v>
      </c>
    </row>
    <row r="1612" customFormat="false" ht="15" hidden="false" customHeight="false" outlineLevel="0" collapsed="false">
      <c r="A1612" s="5" t="n">
        <v>3</v>
      </c>
      <c r="B1612" s="5" t="n">
        <v>5</v>
      </c>
      <c r="C1612" s="5" t="s">
        <v>637</v>
      </c>
      <c r="D1612" s="5" t="s">
        <v>862</v>
      </c>
      <c r="E1612" s="5" t="n">
        <v>1</v>
      </c>
      <c r="F1612" s="6" t="n">
        <f aca="false">IFERROR(MATCH(A1612&amp;"|"&amp;B1612&amp;"|"&amp;D1612,'All Song Rankings'!$T:$T,0),0)</f>
        <v>256</v>
      </c>
      <c r="G1612" s="6" t="str">
        <f aca="false">IF(F1612=0,"NOT FOUND",INDEX('All Song Rankings'!$A:$A,F1612))</f>
        <v>Someday</v>
      </c>
      <c r="H1612" s="6" t="str">
        <f aca="false">IF(F1612=0,"NOT FOUND",INDEX('All Song Rankings'!$B:$B,F1612))</f>
        <v>Rob Thomas</v>
      </c>
      <c r="I1612" s="6" t="str">
        <f aca="false">IF(F1612=0,"NOT FOUND",INDEX('All Song Rankings'!$D:$D,F1612))</f>
        <v>Kristen</v>
      </c>
      <c r="J1612" s="7" t="str">
        <f aca="false">IF(F1612=0,"NOT FOUND",IF(C1612=I1612,"SELF-VOTE",IF(COUNTIF($K:$K,K1612)&gt;1,"DUPLICATE","OK")))</f>
        <v>OK</v>
      </c>
      <c r="K1612" s="6" t="str">
        <f aca="false">A1612&amp;"|"&amp;B1612&amp;"|"&amp;C1612&amp;"|"&amp;D1612</f>
        <v>3|5|Colleen|spotify:track:7uPQU7uKvsZZ7T9XnpBpFg</v>
      </c>
    </row>
    <row r="1613" customFormat="false" ht="15" hidden="false" customHeight="false" outlineLevel="0" collapsed="false">
      <c r="A1613" s="5" t="n">
        <v>3</v>
      </c>
      <c r="B1613" s="5" t="n">
        <v>5</v>
      </c>
      <c r="C1613" s="5" t="s">
        <v>382</v>
      </c>
      <c r="D1613" s="5" t="s">
        <v>865</v>
      </c>
      <c r="E1613" s="5" t="n">
        <v>2</v>
      </c>
      <c r="F1613" s="6" t="n">
        <f aca="false">IFERROR(MATCH(A1613&amp;"|"&amp;B1613&amp;"|"&amp;D1613,'All Song Rankings'!$T:$T,0),0)</f>
        <v>257</v>
      </c>
      <c r="G1613" s="6" t="str">
        <f aca="false">IF(F1613=0,"NOT FOUND",INDEX('All Song Rankings'!$A:$A,F1613))</f>
        <v>This Town</v>
      </c>
      <c r="H1613" s="6" t="str">
        <f aca="false">IF(F1613=0,"NOT FOUND",INDEX('All Song Rankings'!$B:$B,F1613))</f>
        <v>Niall Horan</v>
      </c>
      <c r="I1613" s="6" t="str">
        <f aca="false">IF(F1613=0,"NOT FOUND",INDEX('All Song Rankings'!$D:$D,F1613))</f>
        <v>Nicole</v>
      </c>
      <c r="J1613" s="7" t="str">
        <f aca="false">IF(F1613=0,"NOT FOUND",IF(C1613=I1613,"SELF-VOTE",IF(COUNTIF($K:$K,K1613)&gt;1,"DUPLICATE","OK")))</f>
        <v>OK</v>
      </c>
      <c r="K1613" s="6" t="str">
        <f aca="false">A1613&amp;"|"&amp;B1613&amp;"|"&amp;C1613&amp;"|"&amp;D1613</f>
        <v>3|5|Grace|spotify:track:0qvzXomUDJVaUboy2wMfiS</v>
      </c>
    </row>
    <row r="1614" customFormat="false" ht="15" hidden="false" customHeight="false" outlineLevel="0" collapsed="false">
      <c r="A1614" s="5" t="n">
        <v>3</v>
      </c>
      <c r="B1614" s="5" t="n">
        <v>5</v>
      </c>
      <c r="C1614" s="5" t="s">
        <v>382</v>
      </c>
      <c r="D1614" s="5" t="s">
        <v>856</v>
      </c>
      <c r="E1614" s="5" t="n">
        <v>2</v>
      </c>
      <c r="F1614" s="6" t="n">
        <f aca="false">IFERROR(MATCH(A1614&amp;"|"&amp;B1614&amp;"|"&amp;D1614,'All Song Rankings'!$T:$T,0),0)</f>
        <v>254</v>
      </c>
      <c r="G1614" s="6" t="str">
        <f aca="false">IF(F1614=0,"NOT FOUND",INDEX('All Song Rankings'!$A:$A,F1614))</f>
        <v>In The Air Tonight - 2015 Remastered</v>
      </c>
      <c r="H1614" s="6" t="str">
        <f aca="false">IF(F1614=0,"NOT FOUND",INDEX('All Song Rankings'!$B:$B,F1614))</f>
        <v>Phil Collins</v>
      </c>
      <c r="I1614" s="6" t="str">
        <f aca="false">IF(F1614=0,"NOT FOUND",INDEX('All Song Rankings'!$D:$D,F1614))</f>
        <v>Aubrey</v>
      </c>
      <c r="J1614" s="7" t="str">
        <f aca="false">IF(F1614=0,"NOT FOUND",IF(C1614=I1614,"SELF-VOTE",IF(COUNTIF($K:$K,K1614)&gt;1,"DUPLICATE","OK")))</f>
        <v>OK</v>
      </c>
      <c r="K1614" s="6" t="str">
        <f aca="false">A1614&amp;"|"&amp;B1614&amp;"|"&amp;C1614&amp;"|"&amp;D1614</f>
        <v>3|5|Grace|spotify:track:18AXbzPzBS8Y3AkgSxzJPb</v>
      </c>
    </row>
    <row r="1615" customFormat="false" ht="15" hidden="false" customHeight="false" outlineLevel="0" collapsed="false">
      <c r="A1615" s="5" t="n">
        <v>3</v>
      </c>
      <c r="B1615" s="5" t="n">
        <v>5</v>
      </c>
      <c r="C1615" s="5" t="s">
        <v>382</v>
      </c>
      <c r="D1615" s="5" t="s">
        <v>868</v>
      </c>
      <c r="E1615" s="5" t="n">
        <v>1</v>
      </c>
      <c r="F1615" s="6" t="n">
        <f aca="false">IFERROR(MATCH(A1615&amp;"|"&amp;B1615&amp;"|"&amp;D1615,'All Song Rankings'!$T:$T,0),0)</f>
        <v>258</v>
      </c>
      <c r="G1615" s="6" t="str">
        <f aca="false">IF(F1615=0,"NOT FOUND",INDEX('All Song Rankings'!$A:$A,F1615))</f>
        <v>Beautiful Soul</v>
      </c>
      <c r="H1615" s="6" t="str">
        <f aca="false">IF(F1615=0,"NOT FOUND",INDEX('All Song Rankings'!$B:$B,F1615))</f>
        <v>Jesse McCartney</v>
      </c>
      <c r="I1615" s="6" t="str">
        <f aca="false">IF(F1615=0,"NOT FOUND",INDEX('All Song Rankings'!$D:$D,F1615))</f>
        <v>Colleen</v>
      </c>
      <c r="J1615" s="7" t="str">
        <f aca="false">IF(F1615=0,"NOT FOUND",IF(C1615=I1615,"SELF-VOTE",IF(COUNTIF($K:$K,K1615)&gt;1,"DUPLICATE","OK")))</f>
        <v>OK</v>
      </c>
      <c r="K1615" s="6" t="str">
        <f aca="false">A1615&amp;"|"&amp;B1615&amp;"|"&amp;C1615&amp;"|"&amp;D1615</f>
        <v>3|5|Grace|spotify:track:1HwpWwa6bnqqRhK8agG4RS</v>
      </c>
    </row>
    <row r="1616" customFormat="false" ht="15" hidden="false" customHeight="false" outlineLevel="0" collapsed="false">
      <c r="A1616" s="5" t="n">
        <v>3</v>
      </c>
      <c r="B1616" s="5" t="n">
        <v>5</v>
      </c>
      <c r="C1616" s="5" t="s">
        <v>382</v>
      </c>
      <c r="D1616" s="5" t="s">
        <v>859</v>
      </c>
      <c r="E1616" s="5" t="n">
        <v>1</v>
      </c>
      <c r="F1616" s="6" t="n">
        <f aca="false">IFERROR(MATCH(A1616&amp;"|"&amp;B1616&amp;"|"&amp;D1616,'All Song Rankings'!$T:$T,0),0)</f>
        <v>255</v>
      </c>
      <c r="G1616" s="6" t="str">
        <f aca="false">IF(F1616=0,"NOT FOUND",INDEX('All Song Rankings'!$A:$A,F1616))</f>
        <v>Falling</v>
      </c>
      <c r="H1616" s="6" t="str">
        <f aca="false">IF(F1616=0,"NOT FOUND",INDEX('All Song Rankings'!$B:$B,F1616))</f>
        <v>Harry Styles</v>
      </c>
      <c r="I1616" s="6" t="str">
        <f aca="false">IF(F1616=0,"NOT FOUND",INDEX('All Song Rankings'!$D:$D,F1616))</f>
        <v>Merita</v>
      </c>
      <c r="J1616" s="7" t="str">
        <f aca="false">IF(F1616=0,"NOT FOUND",IF(C1616=I1616,"SELF-VOTE",IF(COUNTIF($K:$K,K1616)&gt;1,"DUPLICATE","OK")))</f>
        <v>OK</v>
      </c>
      <c r="K1616" s="6" t="str">
        <f aca="false">A1616&amp;"|"&amp;B1616&amp;"|"&amp;C1616&amp;"|"&amp;D1616</f>
        <v>3|5|Grace|spotify:track:1ZMiCix7XSAbfAJlEZWMCp</v>
      </c>
    </row>
    <row r="1617" customFormat="false" ht="15" hidden="false" customHeight="false" outlineLevel="0" collapsed="false">
      <c r="A1617" s="5" t="n">
        <v>3</v>
      </c>
      <c r="B1617" s="5" t="n">
        <v>5</v>
      </c>
      <c r="C1617" s="5" t="s">
        <v>382</v>
      </c>
      <c r="D1617" s="5" t="s">
        <v>882</v>
      </c>
      <c r="E1617" s="5" t="n">
        <v>1</v>
      </c>
      <c r="F1617" s="6" t="n">
        <f aca="false">IFERROR(MATCH(A1617&amp;"|"&amp;B1617&amp;"|"&amp;D1617,'All Song Rankings'!$T:$T,0),0)</f>
        <v>263</v>
      </c>
      <c r="G1617" s="6" t="str">
        <f aca="false">IF(F1617=0,"NOT FOUND",INDEX('All Song Rankings'!$A:$A,F1617))</f>
        <v>Glamorous</v>
      </c>
      <c r="H1617" s="6" t="str">
        <f aca="false">IF(F1617=0,"NOT FOUND",INDEX('All Song Rankings'!$B:$B,F1617))</f>
        <v>Fergie, Ludacris</v>
      </c>
      <c r="I1617" s="6" t="str">
        <f aca="false">IF(F1617=0,"NOT FOUND",INDEX('All Song Rankings'!$D:$D,F1617))</f>
        <v>Leah</v>
      </c>
      <c r="J1617" s="7" t="str">
        <f aca="false">IF(F1617=0,"NOT FOUND",IF(C1617=I1617,"SELF-VOTE",IF(COUNTIF($K:$K,K1617)&gt;1,"DUPLICATE","OK")))</f>
        <v>OK</v>
      </c>
      <c r="K1617" s="6" t="str">
        <f aca="false">A1617&amp;"|"&amp;B1617&amp;"|"&amp;C1617&amp;"|"&amp;D1617</f>
        <v>3|5|Grace|spotify:track:4KTtYhxFtFL7mBwnjkKfLm</v>
      </c>
    </row>
    <row r="1618" customFormat="false" ht="15" hidden="false" customHeight="false" outlineLevel="0" collapsed="false">
      <c r="A1618" s="5" t="n">
        <v>3</v>
      </c>
      <c r="B1618" s="5" t="n">
        <v>5</v>
      </c>
      <c r="C1618" s="5" t="s">
        <v>382</v>
      </c>
      <c r="D1618" s="5" t="s">
        <v>853</v>
      </c>
      <c r="E1618" s="5" t="n">
        <v>3</v>
      </c>
      <c r="F1618" s="6" t="n">
        <f aca="false">IFERROR(MATCH(A1618&amp;"|"&amp;B1618&amp;"|"&amp;D1618,'All Song Rankings'!$T:$T,0),0)</f>
        <v>253</v>
      </c>
      <c r="G1618" s="6" t="str">
        <f aca="false">IF(F1618=0,"NOT FOUND",INDEX('All Song Rankings'!$A:$A,F1618))</f>
        <v>Zombie Lady</v>
      </c>
      <c r="H1618" s="6" t="str">
        <f aca="false">IF(F1618=0,"NOT FOUND",INDEX('All Song Rankings'!$B:$B,F1618))</f>
        <v>Damiano David</v>
      </c>
      <c r="I1618" s="6" t="str">
        <f aca="false">IF(F1618=0,"NOT FOUND",INDEX('All Song Rankings'!$D:$D,F1618))</f>
        <v>Makenzie</v>
      </c>
      <c r="J1618" s="7" t="str">
        <f aca="false">IF(F1618=0,"NOT FOUND",IF(C1618=I1618,"SELF-VOTE",IF(COUNTIF($K:$K,K1618)&gt;1,"DUPLICATE","OK")))</f>
        <v>OK</v>
      </c>
      <c r="K1618" s="6" t="str">
        <f aca="false">A1618&amp;"|"&amp;B1618&amp;"|"&amp;C1618&amp;"|"&amp;D1618</f>
        <v>3|5|Grace|spotify:track:5hYP7TDRmkJPrgYdIy500S</v>
      </c>
    </row>
    <row r="1619" customFormat="false" ht="15" hidden="false" customHeight="false" outlineLevel="0" collapsed="false">
      <c r="A1619" s="5" t="n">
        <v>3</v>
      </c>
      <c r="B1619" s="5" t="n">
        <v>5</v>
      </c>
      <c r="C1619" s="5" t="s">
        <v>106</v>
      </c>
      <c r="D1619" s="5" t="s">
        <v>865</v>
      </c>
      <c r="E1619" s="5" t="n">
        <v>1</v>
      </c>
      <c r="F1619" s="6" t="n">
        <f aca="false">IFERROR(MATCH(A1619&amp;"|"&amp;B1619&amp;"|"&amp;D1619,'All Song Rankings'!$T:$T,0),0)</f>
        <v>257</v>
      </c>
      <c r="G1619" s="6" t="str">
        <f aca="false">IF(F1619=0,"NOT FOUND",INDEX('All Song Rankings'!$A:$A,F1619))</f>
        <v>This Town</v>
      </c>
      <c r="H1619" s="6" t="str">
        <f aca="false">IF(F1619=0,"NOT FOUND",INDEX('All Song Rankings'!$B:$B,F1619))</f>
        <v>Niall Horan</v>
      </c>
      <c r="I1619" s="6" t="str">
        <f aca="false">IF(F1619=0,"NOT FOUND",INDEX('All Song Rankings'!$D:$D,F1619))</f>
        <v>Nicole</v>
      </c>
      <c r="J1619" s="7" t="str">
        <f aca="false">IF(F1619=0,"NOT FOUND",IF(C1619=I1619,"SELF-VOTE",IF(COUNTIF($K:$K,K1619)&gt;1,"DUPLICATE","OK")))</f>
        <v>OK</v>
      </c>
      <c r="K1619" s="6" t="str">
        <f aca="false">A1619&amp;"|"&amp;B1619&amp;"|"&amp;C1619&amp;"|"&amp;D1619</f>
        <v>3|5|Kristen|spotify:track:0qvzXomUDJVaUboy2wMfiS</v>
      </c>
    </row>
    <row r="1620" customFormat="false" ht="15" hidden="false" customHeight="false" outlineLevel="0" collapsed="false">
      <c r="A1620" s="5" t="n">
        <v>3</v>
      </c>
      <c r="B1620" s="5" t="n">
        <v>5</v>
      </c>
      <c r="C1620" s="5" t="s">
        <v>106</v>
      </c>
      <c r="D1620" s="5" t="s">
        <v>856</v>
      </c>
      <c r="E1620" s="5" t="n">
        <v>3</v>
      </c>
      <c r="F1620" s="6" t="n">
        <f aca="false">IFERROR(MATCH(A1620&amp;"|"&amp;B1620&amp;"|"&amp;D1620,'All Song Rankings'!$T:$T,0),0)</f>
        <v>254</v>
      </c>
      <c r="G1620" s="6" t="str">
        <f aca="false">IF(F1620=0,"NOT FOUND",INDEX('All Song Rankings'!$A:$A,F1620))</f>
        <v>In The Air Tonight - 2015 Remastered</v>
      </c>
      <c r="H1620" s="6" t="str">
        <f aca="false">IF(F1620=0,"NOT FOUND",INDEX('All Song Rankings'!$B:$B,F1620))</f>
        <v>Phil Collins</v>
      </c>
      <c r="I1620" s="6" t="str">
        <f aca="false">IF(F1620=0,"NOT FOUND",INDEX('All Song Rankings'!$D:$D,F1620))</f>
        <v>Aubrey</v>
      </c>
      <c r="J1620" s="7" t="str">
        <f aca="false">IF(F1620=0,"NOT FOUND",IF(C1620=I1620,"SELF-VOTE",IF(COUNTIF($K:$K,K1620)&gt;1,"DUPLICATE","OK")))</f>
        <v>OK</v>
      </c>
      <c r="K1620" s="6" t="str">
        <f aca="false">A1620&amp;"|"&amp;B1620&amp;"|"&amp;C1620&amp;"|"&amp;D1620</f>
        <v>3|5|Kristen|spotify:track:18AXbzPzBS8Y3AkgSxzJPb</v>
      </c>
    </row>
    <row r="1621" customFormat="false" ht="15" hidden="false" customHeight="false" outlineLevel="0" collapsed="false">
      <c r="A1621" s="5" t="n">
        <v>3</v>
      </c>
      <c r="B1621" s="5" t="n">
        <v>5</v>
      </c>
      <c r="C1621" s="5" t="s">
        <v>106</v>
      </c>
      <c r="D1621" s="5" t="s">
        <v>868</v>
      </c>
      <c r="E1621" s="5" t="n">
        <v>1</v>
      </c>
      <c r="F1621" s="6" t="n">
        <f aca="false">IFERROR(MATCH(A1621&amp;"|"&amp;B1621&amp;"|"&amp;D1621,'All Song Rankings'!$T:$T,0),0)</f>
        <v>258</v>
      </c>
      <c r="G1621" s="6" t="str">
        <f aca="false">IF(F1621=0,"NOT FOUND",INDEX('All Song Rankings'!$A:$A,F1621))</f>
        <v>Beautiful Soul</v>
      </c>
      <c r="H1621" s="6" t="str">
        <f aca="false">IF(F1621=0,"NOT FOUND",INDEX('All Song Rankings'!$B:$B,F1621))</f>
        <v>Jesse McCartney</v>
      </c>
      <c r="I1621" s="6" t="str">
        <f aca="false">IF(F1621=0,"NOT FOUND",INDEX('All Song Rankings'!$D:$D,F1621))</f>
        <v>Colleen</v>
      </c>
      <c r="J1621" s="7" t="str">
        <f aca="false">IF(F1621=0,"NOT FOUND",IF(C1621=I1621,"SELF-VOTE",IF(COUNTIF($K:$K,K1621)&gt;1,"DUPLICATE","OK")))</f>
        <v>OK</v>
      </c>
      <c r="K1621" s="6" t="str">
        <f aca="false">A1621&amp;"|"&amp;B1621&amp;"|"&amp;C1621&amp;"|"&amp;D1621</f>
        <v>3|5|Kristen|spotify:track:1HwpWwa6bnqqRhK8agG4RS</v>
      </c>
    </row>
    <row r="1622" customFormat="false" ht="15" hidden="false" customHeight="false" outlineLevel="0" collapsed="false">
      <c r="A1622" s="5" t="n">
        <v>3</v>
      </c>
      <c r="B1622" s="5" t="n">
        <v>5</v>
      </c>
      <c r="C1622" s="5" t="s">
        <v>106</v>
      </c>
      <c r="D1622" s="5" t="s">
        <v>859</v>
      </c>
      <c r="E1622" s="5" t="n">
        <v>1</v>
      </c>
      <c r="F1622" s="6" t="n">
        <f aca="false">IFERROR(MATCH(A1622&amp;"|"&amp;B1622&amp;"|"&amp;D1622,'All Song Rankings'!$T:$T,0),0)</f>
        <v>255</v>
      </c>
      <c r="G1622" s="6" t="str">
        <f aca="false">IF(F1622=0,"NOT FOUND",INDEX('All Song Rankings'!$A:$A,F1622))</f>
        <v>Falling</v>
      </c>
      <c r="H1622" s="6" t="str">
        <f aca="false">IF(F1622=0,"NOT FOUND",INDEX('All Song Rankings'!$B:$B,F1622))</f>
        <v>Harry Styles</v>
      </c>
      <c r="I1622" s="6" t="str">
        <f aca="false">IF(F1622=0,"NOT FOUND",INDEX('All Song Rankings'!$D:$D,F1622))</f>
        <v>Merita</v>
      </c>
      <c r="J1622" s="7" t="str">
        <f aca="false">IF(F1622=0,"NOT FOUND",IF(C1622=I1622,"SELF-VOTE",IF(COUNTIF($K:$K,K1622)&gt;1,"DUPLICATE","OK")))</f>
        <v>OK</v>
      </c>
      <c r="K1622" s="6" t="str">
        <f aca="false">A1622&amp;"|"&amp;B1622&amp;"|"&amp;C1622&amp;"|"&amp;D1622</f>
        <v>3|5|Kristen|spotify:track:1ZMiCix7XSAbfAJlEZWMCp</v>
      </c>
    </row>
    <row r="1623" customFormat="false" ht="15" hidden="false" customHeight="false" outlineLevel="0" collapsed="false">
      <c r="A1623" s="5" t="n">
        <v>3</v>
      </c>
      <c r="B1623" s="5" t="n">
        <v>5</v>
      </c>
      <c r="C1623" s="5" t="s">
        <v>106</v>
      </c>
      <c r="D1623" s="5" t="s">
        <v>871</v>
      </c>
      <c r="E1623" s="5" t="n">
        <v>3</v>
      </c>
      <c r="F1623" s="6" t="n">
        <f aca="false">IFERROR(MATCH(A1623&amp;"|"&amp;B1623&amp;"|"&amp;D1623,'All Song Rankings'!$T:$T,0),0)</f>
        <v>259</v>
      </c>
      <c r="G1623" s="6" t="str">
        <f aca="false">IF(F1623=0,"NOT FOUND",INDEX('All Song Rankings'!$A:$A,F1623))</f>
        <v>Thriller</v>
      </c>
      <c r="H1623" s="6" t="str">
        <f aca="false">IF(F1623=0,"NOT FOUND",INDEX('All Song Rankings'!$B:$B,F1623))</f>
        <v>Michael Jackson</v>
      </c>
      <c r="I1623" s="6" t="str">
        <f aca="false">IF(F1623=0,"NOT FOUND",INDEX('All Song Rankings'!$D:$D,F1623))</f>
        <v>Lisa</v>
      </c>
      <c r="J1623" s="7" t="str">
        <f aca="false">IF(F1623=0,"NOT FOUND",IF(C1623=I1623,"SELF-VOTE",IF(COUNTIF($K:$K,K1623)&gt;1,"DUPLICATE","OK")))</f>
        <v>OK</v>
      </c>
      <c r="K1623" s="6" t="str">
        <f aca="false">A1623&amp;"|"&amp;B1623&amp;"|"&amp;C1623&amp;"|"&amp;D1623</f>
        <v>3|5|Kristen|spotify:track:2LlQb7Uoj1kKyGhlkBf9aC</v>
      </c>
    </row>
    <row r="1624" customFormat="false" ht="15" hidden="false" customHeight="false" outlineLevel="0" collapsed="false">
      <c r="A1624" s="5" t="n">
        <v>3</v>
      </c>
      <c r="B1624" s="5" t="n">
        <v>5</v>
      </c>
      <c r="C1624" s="5" t="s">
        <v>106</v>
      </c>
      <c r="D1624" s="5" t="s">
        <v>877</v>
      </c>
      <c r="E1624" s="5" t="n">
        <v>1</v>
      </c>
      <c r="F1624" s="6" t="n">
        <f aca="false">IFERROR(MATCH(A1624&amp;"|"&amp;B1624&amp;"|"&amp;D1624,'All Song Rankings'!$T:$T,0),0)</f>
        <v>261</v>
      </c>
      <c r="G1624" s="6" t="str">
        <f aca="false">IF(F1624=0,"NOT FOUND",INDEX('All Song Rankings'!$A:$A,F1624))</f>
        <v>Is Anybody Out There</v>
      </c>
      <c r="H1624" s="6" t="str">
        <f aca="false">IF(F1624=0,"NOT FOUND",INDEX('All Song Rankings'!$B:$B,F1624))</f>
        <v>Joey McIntyre</v>
      </c>
      <c r="I1624" s="6" t="str">
        <f aca="false">IF(F1624=0,"NOT FOUND",INDEX('All Song Rankings'!$D:$D,F1624))</f>
        <v>Christine</v>
      </c>
      <c r="J1624" s="7" t="str">
        <f aca="false">IF(F1624=0,"NOT FOUND",IF(C1624=I1624,"SELF-VOTE",IF(COUNTIF($K:$K,K1624)&gt;1,"DUPLICATE","OK")))</f>
        <v>OK</v>
      </c>
      <c r="K1624" s="6" t="str">
        <f aca="false">A1624&amp;"|"&amp;B1624&amp;"|"&amp;C1624&amp;"|"&amp;D1624</f>
        <v>3|5|Kristen|spotify:track:3HCIjTIRedmAYgFGEi8IAL</v>
      </c>
    </row>
    <row r="1625" customFormat="false" ht="15" hidden="false" customHeight="false" outlineLevel="0" collapsed="false">
      <c r="A1625" s="5" t="n">
        <v>3</v>
      </c>
      <c r="B1625" s="5" t="n">
        <v>5</v>
      </c>
      <c r="C1625" s="5" t="s">
        <v>119</v>
      </c>
      <c r="D1625" s="5" t="s">
        <v>856</v>
      </c>
      <c r="E1625" s="5" t="n">
        <v>1</v>
      </c>
      <c r="F1625" s="6" t="n">
        <f aca="false">IFERROR(MATCH(A1625&amp;"|"&amp;B1625&amp;"|"&amp;D1625,'All Song Rankings'!$T:$T,0),0)</f>
        <v>254</v>
      </c>
      <c r="G1625" s="6" t="str">
        <f aca="false">IF(F1625=0,"NOT FOUND",INDEX('All Song Rankings'!$A:$A,F1625))</f>
        <v>In The Air Tonight - 2015 Remastered</v>
      </c>
      <c r="H1625" s="6" t="str">
        <f aca="false">IF(F1625=0,"NOT FOUND",INDEX('All Song Rankings'!$B:$B,F1625))</f>
        <v>Phil Collins</v>
      </c>
      <c r="I1625" s="6" t="str">
        <f aca="false">IF(F1625=0,"NOT FOUND",INDEX('All Song Rankings'!$D:$D,F1625))</f>
        <v>Aubrey</v>
      </c>
      <c r="J1625" s="7" t="str">
        <f aca="false">IF(F1625=0,"NOT FOUND",IF(C1625=I1625,"SELF-VOTE",IF(COUNTIF($K:$K,K1625)&gt;1,"DUPLICATE","OK")))</f>
        <v>OK</v>
      </c>
      <c r="K1625" s="6" t="str">
        <f aca="false">A1625&amp;"|"&amp;B1625&amp;"|"&amp;C1625&amp;"|"&amp;D1625</f>
        <v>3|5|Leah|spotify:track:18AXbzPzBS8Y3AkgSxzJPb</v>
      </c>
    </row>
    <row r="1626" customFormat="false" ht="15" hidden="false" customHeight="false" outlineLevel="0" collapsed="false">
      <c r="A1626" s="5" t="n">
        <v>3</v>
      </c>
      <c r="B1626" s="5" t="n">
        <v>5</v>
      </c>
      <c r="C1626" s="5" t="s">
        <v>119</v>
      </c>
      <c r="D1626" s="5" t="s">
        <v>868</v>
      </c>
      <c r="E1626" s="5" t="n">
        <v>1</v>
      </c>
      <c r="F1626" s="6" t="n">
        <f aca="false">IFERROR(MATCH(A1626&amp;"|"&amp;B1626&amp;"|"&amp;D1626,'All Song Rankings'!$T:$T,0),0)</f>
        <v>258</v>
      </c>
      <c r="G1626" s="6" t="str">
        <f aca="false">IF(F1626=0,"NOT FOUND",INDEX('All Song Rankings'!$A:$A,F1626))</f>
        <v>Beautiful Soul</v>
      </c>
      <c r="H1626" s="6" t="str">
        <f aca="false">IF(F1626=0,"NOT FOUND",INDEX('All Song Rankings'!$B:$B,F1626))</f>
        <v>Jesse McCartney</v>
      </c>
      <c r="I1626" s="6" t="str">
        <f aca="false">IF(F1626=0,"NOT FOUND",INDEX('All Song Rankings'!$D:$D,F1626))</f>
        <v>Colleen</v>
      </c>
      <c r="J1626" s="7" t="str">
        <f aca="false">IF(F1626=0,"NOT FOUND",IF(C1626=I1626,"SELF-VOTE",IF(COUNTIF($K:$K,K1626)&gt;1,"DUPLICATE","OK")))</f>
        <v>OK</v>
      </c>
      <c r="K1626" s="6" t="str">
        <f aca="false">A1626&amp;"|"&amp;B1626&amp;"|"&amp;C1626&amp;"|"&amp;D1626</f>
        <v>3|5|Leah|spotify:track:1HwpWwa6bnqqRhK8agG4RS</v>
      </c>
    </row>
    <row r="1627" customFormat="false" ht="15" hidden="false" customHeight="false" outlineLevel="0" collapsed="false">
      <c r="A1627" s="5" t="n">
        <v>3</v>
      </c>
      <c r="B1627" s="5" t="n">
        <v>5</v>
      </c>
      <c r="C1627" s="5" t="s">
        <v>119</v>
      </c>
      <c r="D1627" s="5" t="s">
        <v>879</v>
      </c>
      <c r="E1627" s="5" t="n">
        <v>1</v>
      </c>
      <c r="F1627" s="6" t="n">
        <f aca="false">IFERROR(MATCH(A1627&amp;"|"&amp;B1627&amp;"|"&amp;D1627,'All Song Rankings'!$T:$T,0),0)</f>
        <v>262</v>
      </c>
      <c r="G1627" s="6" t="str">
        <f aca="false">IF(F1627=0,"NOT FOUND",INDEX('All Song Rankings'!$A:$A,F1627))</f>
        <v>Maybe I'm Amazed - Remastered 2011</v>
      </c>
      <c r="H1627" s="6" t="str">
        <f aca="false">IF(F1627=0,"NOT FOUND",INDEX('All Song Rankings'!$B:$B,F1627))</f>
        <v>Paul McCartney</v>
      </c>
      <c r="I1627" s="6" t="str">
        <f aca="false">IF(F1627=0,"NOT FOUND",INDEX('All Song Rankings'!$D:$D,F1627))</f>
        <v>Logan</v>
      </c>
      <c r="J1627" s="7" t="str">
        <f aca="false">IF(F1627=0,"NOT FOUND",IF(C1627=I1627,"SELF-VOTE",IF(COUNTIF($K:$K,K1627)&gt;1,"DUPLICATE","OK")))</f>
        <v>OK</v>
      </c>
      <c r="K1627" s="6" t="str">
        <f aca="false">A1627&amp;"|"&amp;B1627&amp;"|"&amp;C1627&amp;"|"&amp;D1627</f>
        <v>3|5|Leah|spotify:track:1Qa0Y05al633fG8f9Peytc</v>
      </c>
    </row>
    <row r="1628" customFormat="false" ht="15" hidden="false" customHeight="false" outlineLevel="0" collapsed="false">
      <c r="A1628" s="5" t="n">
        <v>3</v>
      </c>
      <c r="B1628" s="5" t="n">
        <v>5</v>
      </c>
      <c r="C1628" s="5" t="s">
        <v>119</v>
      </c>
      <c r="D1628" s="5" t="s">
        <v>871</v>
      </c>
      <c r="E1628" s="5" t="n">
        <v>1</v>
      </c>
      <c r="F1628" s="6" t="n">
        <f aca="false">IFERROR(MATCH(A1628&amp;"|"&amp;B1628&amp;"|"&amp;D1628,'All Song Rankings'!$T:$T,0),0)</f>
        <v>259</v>
      </c>
      <c r="G1628" s="6" t="str">
        <f aca="false">IF(F1628=0,"NOT FOUND",INDEX('All Song Rankings'!$A:$A,F1628))</f>
        <v>Thriller</v>
      </c>
      <c r="H1628" s="6" t="str">
        <f aca="false">IF(F1628=0,"NOT FOUND",INDEX('All Song Rankings'!$B:$B,F1628))</f>
        <v>Michael Jackson</v>
      </c>
      <c r="I1628" s="6" t="str">
        <f aca="false">IF(F1628=0,"NOT FOUND",INDEX('All Song Rankings'!$D:$D,F1628))</f>
        <v>Lisa</v>
      </c>
      <c r="J1628" s="7" t="str">
        <f aca="false">IF(F1628=0,"NOT FOUND",IF(C1628=I1628,"SELF-VOTE",IF(COUNTIF($K:$K,K1628)&gt;1,"DUPLICATE","OK")))</f>
        <v>OK</v>
      </c>
      <c r="K1628" s="6" t="str">
        <f aca="false">A1628&amp;"|"&amp;B1628&amp;"|"&amp;C1628&amp;"|"&amp;D1628</f>
        <v>3|5|Leah|spotify:track:2LlQb7Uoj1kKyGhlkBf9aC</v>
      </c>
    </row>
    <row r="1629" customFormat="false" ht="15" hidden="false" customHeight="false" outlineLevel="0" collapsed="false">
      <c r="A1629" s="5" t="n">
        <v>3</v>
      </c>
      <c r="B1629" s="5" t="n">
        <v>5</v>
      </c>
      <c r="C1629" s="5" t="s">
        <v>119</v>
      </c>
      <c r="D1629" s="5" t="s">
        <v>877</v>
      </c>
      <c r="E1629" s="5" t="n">
        <v>1</v>
      </c>
      <c r="F1629" s="6" t="n">
        <f aca="false">IFERROR(MATCH(A1629&amp;"|"&amp;B1629&amp;"|"&amp;D1629,'All Song Rankings'!$T:$T,0),0)</f>
        <v>261</v>
      </c>
      <c r="G1629" s="6" t="str">
        <f aca="false">IF(F1629=0,"NOT FOUND",INDEX('All Song Rankings'!$A:$A,F1629))</f>
        <v>Is Anybody Out There</v>
      </c>
      <c r="H1629" s="6" t="str">
        <f aca="false">IF(F1629=0,"NOT FOUND",INDEX('All Song Rankings'!$B:$B,F1629))</f>
        <v>Joey McIntyre</v>
      </c>
      <c r="I1629" s="6" t="str">
        <f aca="false">IF(F1629=0,"NOT FOUND",INDEX('All Song Rankings'!$D:$D,F1629))</f>
        <v>Christine</v>
      </c>
      <c r="J1629" s="7" t="str">
        <f aca="false">IF(F1629=0,"NOT FOUND",IF(C1629=I1629,"SELF-VOTE",IF(COUNTIF($K:$K,K1629)&gt;1,"DUPLICATE","OK")))</f>
        <v>OK</v>
      </c>
      <c r="K1629" s="6" t="str">
        <f aca="false">A1629&amp;"|"&amp;B1629&amp;"|"&amp;C1629&amp;"|"&amp;D1629</f>
        <v>3|5|Leah|spotify:track:3HCIjTIRedmAYgFGEi8IAL</v>
      </c>
    </row>
    <row r="1630" customFormat="false" ht="15" hidden="false" customHeight="false" outlineLevel="0" collapsed="false">
      <c r="A1630" s="5" t="n">
        <v>3</v>
      </c>
      <c r="B1630" s="5" t="n">
        <v>5</v>
      </c>
      <c r="C1630" s="5" t="s">
        <v>119</v>
      </c>
      <c r="D1630" s="5" t="s">
        <v>890</v>
      </c>
      <c r="E1630" s="5" t="n">
        <v>1</v>
      </c>
      <c r="F1630" s="6" t="n">
        <f aca="false">IFERROR(MATCH(A1630&amp;"|"&amp;B1630&amp;"|"&amp;D1630,'All Song Rankings'!$T:$T,0),0)</f>
        <v>266</v>
      </c>
      <c r="G1630" s="6" t="str">
        <f aca="false">IF(F1630=0,"NOT FOUND",INDEX('All Song Rankings'!$A:$A,F1630))</f>
        <v>I Don't Wanna Stop</v>
      </c>
      <c r="H1630" s="6" t="str">
        <f aca="false">IF(F1630=0,"NOT FOUND",INDEX('All Song Rankings'!$B:$B,F1630))</f>
        <v>Ozzy Osbourne</v>
      </c>
      <c r="I1630" s="6" t="str">
        <f aca="false">IF(F1630=0,"NOT FOUND",INDEX('All Song Rankings'!$D:$D,F1630))</f>
        <v>Scott</v>
      </c>
      <c r="J1630" s="7" t="str">
        <f aca="false">IF(F1630=0,"NOT FOUND",IF(C1630=I1630,"SELF-VOTE",IF(COUNTIF($K:$K,K1630)&gt;1,"DUPLICATE","OK")))</f>
        <v>OK</v>
      </c>
      <c r="K1630" s="6" t="str">
        <f aca="false">A1630&amp;"|"&amp;B1630&amp;"|"&amp;C1630&amp;"|"&amp;D1630</f>
        <v>3|5|Leah|spotify:track:5axOkQnmQmwtjr4bv1Xt7i</v>
      </c>
    </row>
    <row r="1631" customFormat="false" ht="15" hidden="false" customHeight="false" outlineLevel="0" collapsed="false">
      <c r="A1631" s="5" t="n">
        <v>3</v>
      </c>
      <c r="B1631" s="5" t="n">
        <v>5</v>
      </c>
      <c r="C1631" s="5" t="s">
        <v>119</v>
      </c>
      <c r="D1631" s="5" t="s">
        <v>853</v>
      </c>
      <c r="E1631" s="5" t="n">
        <v>2</v>
      </c>
      <c r="F1631" s="6" t="n">
        <f aca="false">IFERROR(MATCH(A1631&amp;"|"&amp;B1631&amp;"|"&amp;D1631,'All Song Rankings'!$T:$T,0),0)</f>
        <v>253</v>
      </c>
      <c r="G1631" s="6" t="str">
        <f aca="false">IF(F1631=0,"NOT FOUND",INDEX('All Song Rankings'!$A:$A,F1631))</f>
        <v>Zombie Lady</v>
      </c>
      <c r="H1631" s="6" t="str">
        <f aca="false">IF(F1631=0,"NOT FOUND",INDEX('All Song Rankings'!$B:$B,F1631))</f>
        <v>Damiano David</v>
      </c>
      <c r="I1631" s="6" t="str">
        <f aca="false">IF(F1631=0,"NOT FOUND",INDEX('All Song Rankings'!$D:$D,F1631))</f>
        <v>Makenzie</v>
      </c>
      <c r="J1631" s="7" t="str">
        <f aca="false">IF(F1631=0,"NOT FOUND",IF(C1631=I1631,"SELF-VOTE",IF(COUNTIF($K:$K,K1631)&gt;1,"DUPLICATE","OK")))</f>
        <v>OK</v>
      </c>
      <c r="K1631" s="6" t="str">
        <f aca="false">A1631&amp;"|"&amp;B1631&amp;"|"&amp;C1631&amp;"|"&amp;D1631</f>
        <v>3|5|Leah|spotify:track:5hYP7TDRmkJPrgYdIy500S</v>
      </c>
    </row>
    <row r="1632" customFormat="false" ht="15" hidden="false" customHeight="false" outlineLevel="0" collapsed="false">
      <c r="A1632" s="5" t="n">
        <v>3</v>
      </c>
      <c r="B1632" s="5" t="n">
        <v>5</v>
      </c>
      <c r="C1632" s="5" t="s">
        <v>119</v>
      </c>
      <c r="D1632" s="5" t="s">
        <v>874</v>
      </c>
      <c r="E1632" s="5" t="n">
        <v>2</v>
      </c>
      <c r="F1632" s="6" t="n">
        <f aca="false">IFERROR(MATCH(A1632&amp;"|"&amp;B1632&amp;"|"&amp;D1632,'All Song Rankings'!$T:$T,0),0)</f>
        <v>260</v>
      </c>
      <c r="G1632" s="6" t="str">
        <f aca="false">IF(F1632=0,"NOT FOUND",INDEX('All Song Rankings'!$A:$A,F1632))</f>
        <v>Messy (From F1 The Movie)</v>
      </c>
      <c r="H1632" s="6" t="str">
        <f aca="false">IF(F1632=0,"NOT FOUND",INDEX('All Song Rankings'!$B:$B,F1632))</f>
        <v>ROSĖ, F1 The Album</v>
      </c>
      <c r="I1632" s="6" t="str">
        <f aca="false">IF(F1632=0,"NOT FOUND",INDEX('All Song Rankings'!$D:$D,F1632))</f>
        <v>Matt</v>
      </c>
      <c r="J1632" s="7" t="str">
        <f aca="false">IF(F1632=0,"NOT FOUND",IF(C1632=I1632,"SELF-VOTE",IF(COUNTIF($K:$K,K1632)&gt;1,"DUPLICATE","OK")))</f>
        <v>OK</v>
      </c>
      <c r="K1632" s="6" t="str">
        <f aca="false">A1632&amp;"|"&amp;B1632&amp;"|"&amp;C1632&amp;"|"&amp;D1632</f>
        <v>3|5|Leah|spotify:track:6Wobsw9uZ0D0xkfOjxXSq9</v>
      </c>
    </row>
    <row r="1633" customFormat="false" ht="15" hidden="false" customHeight="false" outlineLevel="0" collapsed="false">
      <c r="A1633" s="5" t="n">
        <v>3</v>
      </c>
      <c r="B1633" s="5" t="n">
        <v>5</v>
      </c>
      <c r="C1633" s="5" t="s">
        <v>705</v>
      </c>
      <c r="D1633" s="5" t="s">
        <v>884</v>
      </c>
      <c r="E1633" s="5" t="n">
        <v>1</v>
      </c>
      <c r="F1633" s="6" t="n">
        <f aca="false">IFERROR(MATCH(A1633&amp;"|"&amp;B1633&amp;"|"&amp;D1633,'All Song Rankings'!$T:$T,0),0)</f>
        <v>264</v>
      </c>
      <c r="G1633" s="6" t="str">
        <f aca="false">IF(F1633=0,"NOT FOUND",INDEX('All Song Rankings'!$A:$A,F1633))</f>
        <v>TEXAS HOLD 'EM</v>
      </c>
      <c r="H1633" s="6" t="str">
        <f aca="false">IF(F1633=0,"NOT FOUND",INDEX('All Song Rankings'!$B:$B,F1633))</f>
        <v>Beyoncé</v>
      </c>
      <c r="I1633" s="6" t="str">
        <f aca="false">IF(F1633=0,"NOT FOUND",INDEX('All Song Rankings'!$D:$D,F1633))</f>
        <v>Stephanie</v>
      </c>
      <c r="J1633" s="7" t="str">
        <f aca="false">IF(F1633=0,"NOT FOUND",IF(C1633=I1633,"SELF-VOTE",IF(COUNTIF($K:$K,K1633)&gt;1,"DUPLICATE","OK")))</f>
        <v>OK</v>
      </c>
      <c r="K1633" s="6" t="str">
        <f aca="false">A1633&amp;"|"&amp;B1633&amp;"|"&amp;C1633&amp;"|"&amp;D1633</f>
        <v>3|5|Lisa|spotify:track:0Z7nGFVCLfixWctgePsRk9</v>
      </c>
    </row>
    <row r="1634" customFormat="false" ht="15" hidden="false" customHeight="false" outlineLevel="0" collapsed="false">
      <c r="A1634" s="5" t="n">
        <v>3</v>
      </c>
      <c r="B1634" s="5" t="n">
        <v>5</v>
      </c>
      <c r="C1634" s="5" t="s">
        <v>705</v>
      </c>
      <c r="D1634" s="5" t="s">
        <v>865</v>
      </c>
      <c r="E1634" s="5" t="n">
        <v>1</v>
      </c>
      <c r="F1634" s="6" t="n">
        <f aca="false">IFERROR(MATCH(A1634&amp;"|"&amp;B1634&amp;"|"&amp;D1634,'All Song Rankings'!$T:$T,0),0)</f>
        <v>257</v>
      </c>
      <c r="G1634" s="6" t="str">
        <f aca="false">IF(F1634=0,"NOT FOUND",INDEX('All Song Rankings'!$A:$A,F1634))</f>
        <v>This Town</v>
      </c>
      <c r="H1634" s="6" t="str">
        <f aca="false">IF(F1634=0,"NOT FOUND",INDEX('All Song Rankings'!$B:$B,F1634))</f>
        <v>Niall Horan</v>
      </c>
      <c r="I1634" s="6" t="str">
        <f aca="false">IF(F1634=0,"NOT FOUND",INDEX('All Song Rankings'!$D:$D,F1634))</f>
        <v>Nicole</v>
      </c>
      <c r="J1634" s="7" t="str">
        <f aca="false">IF(F1634=0,"NOT FOUND",IF(C1634=I1634,"SELF-VOTE",IF(COUNTIF($K:$K,K1634)&gt;1,"DUPLICATE","OK")))</f>
        <v>OK</v>
      </c>
      <c r="K1634" s="6" t="str">
        <f aca="false">A1634&amp;"|"&amp;B1634&amp;"|"&amp;C1634&amp;"|"&amp;D1634</f>
        <v>3|5|Lisa|spotify:track:0qvzXomUDJVaUboy2wMfiS</v>
      </c>
    </row>
    <row r="1635" customFormat="false" ht="15" hidden="false" customHeight="false" outlineLevel="0" collapsed="false">
      <c r="A1635" s="5" t="n">
        <v>3</v>
      </c>
      <c r="B1635" s="5" t="n">
        <v>5</v>
      </c>
      <c r="C1635" s="5" t="s">
        <v>705</v>
      </c>
      <c r="D1635" s="5" t="s">
        <v>856</v>
      </c>
      <c r="E1635" s="5" t="n">
        <v>1</v>
      </c>
      <c r="F1635" s="6" t="n">
        <f aca="false">IFERROR(MATCH(A1635&amp;"|"&amp;B1635&amp;"|"&amp;D1635,'All Song Rankings'!$T:$T,0),0)</f>
        <v>254</v>
      </c>
      <c r="G1635" s="6" t="str">
        <f aca="false">IF(F1635=0,"NOT FOUND",INDEX('All Song Rankings'!$A:$A,F1635))</f>
        <v>In The Air Tonight - 2015 Remastered</v>
      </c>
      <c r="H1635" s="6" t="str">
        <f aca="false">IF(F1635=0,"NOT FOUND",INDEX('All Song Rankings'!$B:$B,F1635))</f>
        <v>Phil Collins</v>
      </c>
      <c r="I1635" s="6" t="str">
        <f aca="false">IF(F1635=0,"NOT FOUND",INDEX('All Song Rankings'!$D:$D,F1635))</f>
        <v>Aubrey</v>
      </c>
      <c r="J1635" s="7" t="str">
        <f aca="false">IF(F1635=0,"NOT FOUND",IF(C1635=I1635,"SELF-VOTE",IF(COUNTIF($K:$K,K1635)&gt;1,"DUPLICATE","OK")))</f>
        <v>OK</v>
      </c>
      <c r="K1635" s="6" t="str">
        <f aca="false">A1635&amp;"|"&amp;B1635&amp;"|"&amp;C1635&amp;"|"&amp;D1635</f>
        <v>3|5|Lisa|spotify:track:18AXbzPzBS8Y3AkgSxzJPb</v>
      </c>
    </row>
    <row r="1636" customFormat="false" ht="15" hidden="false" customHeight="false" outlineLevel="0" collapsed="false">
      <c r="A1636" s="5" t="n">
        <v>3</v>
      </c>
      <c r="B1636" s="5" t="n">
        <v>5</v>
      </c>
      <c r="C1636" s="5" t="s">
        <v>705</v>
      </c>
      <c r="D1636" s="5" t="s">
        <v>879</v>
      </c>
      <c r="E1636" s="5" t="n">
        <v>1</v>
      </c>
      <c r="F1636" s="6" t="n">
        <f aca="false">IFERROR(MATCH(A1636&amp;"|"&amp;B1636&amp;"|"&amp;D1636,'All Song Rankings'!$T:$T,0),0)</f>
        <v>262</v>
      </c>
      <c r="G1636" s="6" t="str">
        <f aca="false">IF(F1636=0,"NOT FOUND",INDEX('All Song Rankings'!$A:$A,F1636))</f>
        <v>Maybe I'm Amazed - Remastered 2011</v>
      </c>
      <c r="H1636" s="6" t="str">
        <f aca="false">IF(F1636=0,"NOT FOUND",INDEX('All Song Rankings'!$B:$B,F1636))</f>
        <v>Paul McCartney</v>
      </c>
      <c r="I1636" s="6" t="str">
        <f aca="false">IF(F1636=0,"NOT FOUND",INDEX('All Song Rankings'!$D:$D,F1636))</f>
        <v>Logan</v>
      </c>
      <c r="J1636" s="7" t="str">
        <f aca="false">IF(F1636=0,"NOT FOUND",IF(C1636=I1636,"SELF-VOTE",IF(COUNTIF($K:$K,K1636)&gt;1,"DUPLICATE","OK")))</f>
        <v>OK</v>
      </c>
      <c r="K1636" s="6" t="str">
        <f aca="false">A1636&amp;"|"&amp;B1636&amp;"|"&amp;C1636&amp;"|"&amp;D1636</f>
        <v>3|5|Lisa|spotify:track:1Qa0Y05al633fG8f9Peytc</v>
      </c>
    </row>
    <row r="1637" customFormat="false" ht="15" hidden="false" customHeight="false" outlineLevel="0" collapsed="false">
      <c r="A1637" s="5" t="n">
        <v>3</v>
      </c>
      <c r="B1637" s="5" t="n">
        <v>5</v>
      </c>
      <c r="C1637" s="5" t="s">
        <v>705</v>
      </c>
      <c r="D1637" s="5" t="s">
        <v>859</v>
      </c>
      <c r="E1637" s="5" t="n">
        <v>2</v>
      </c>
      <c r="F1637" s="6" t="n">
        <f aca="false">IFERROR(MATCH(A1637&amp;"|"&amp;B1637&amp;"|"&amp;D1637,'All Song Rankings'!$T:$T,0),0)</f>
        <v>255</v>
      </c>
      <c r="G1637" s="6" t="str">
        <f aca="false">IF(F1637=0,"NOT FOUND",INDEX('All Song Rankings'!$A:$A,F1637))</f>
        <v>Falling</v>
      </c>
      <c r="H1637" s="6" t="str">
        <f aca="false">IF(F1637=0,"NOT FOUND",INDEX('All Song Rankings'!$B:$B,F1637))</f>
        <v>Harry Styles</v>
      </c>
      <c r="I1637" s="6" t="str">
        <f aca="false">IF(F1637=0,"NOT FOUND",INDEX('All Song Rankings'!$D:$D,F1637))</f>
        <v>Merita</v>
      </c>
      <c r="J1637" s="7" t="str">
        <f aca="false">IF(F1637=0,"NOT FOUND",IF(C1637=I1637,"SELF-VOTE",IF(COUNTIF($K:$K,K1637)&gt;1,"DUPLICATE","OK")))</f>
        <v>OK</v>
      </c>
      <c r="K1637" s="6" t="str">
        <f aca="false">A1637&amp;"|"&amp;B1637&amp;"|"&amp;C1637&amp;"|"&amp;D1637</f>
        <v>3|5|Lisa|spotify:track:1ZMiCix7XSAbfAJlEZWMCp</v>
      </c>
    </row>
    <row r="1638" customFormat="false" ht="15" hidden="false" customHeight="false" outlineLevel="0" collapsed="false">
      <c r="A1638" s="5" t="n">
        <v>3</v>
      </c>
      <c r="B1638" s="5" t="n">
        <v>5</v>
      </c>
      <c r="C1638" s="5" t="s">
        <v>705</v>
      </c>
      <c r="D1638" s="5" t="s">
        <v>877</v>
      </c>
      <c r="E1638" s="5" t="n">
        <v>1</v>
      </c>
      <c r="F1638" s="6" t="n">
        <f aca="false">IFERROR(MATCH(A1638&amp;"|"&amp;B1638&amp;"|"&amp;D1638,'All Song Rankings'!$T:$T,0),0)</f>
        <v>261</v>
      </c>
      <c r="G1638" s="6" t="str">
        <f aca="false">IF(F1638=0,"NOT FOUND",INDEX('All Song Rankings'!$A:$A,F1638))</f>
        <v>Is Anybody Out There</v>
      </c>
      <c r="H1638" s="6" t="str">
        <f aca="false">IF(F1638=0,"NOT FOUND",INDEX('All Song Rankings'!$B:$B,F1638))</f>
        <v>Joey McIntyre</v>
      </c>
      <c r="I1638" s="6" t="str">
        <f aca="false">IF(F1638=0,"NOT FOUND",INDEX('All Song Rankings'!$D:$D,F1638))</f>
        <v>Christine</v>
      </c>
      <c r="J1638" s="7" t="str">
        <f aca="false">IF(F1638=0,"NOT FOUND",IF(C1638=I1638,"SELF-VOTE",IF(COUNTIF($K:$K,K1638)&gt;1,"DUPLICATE","OK")))</f>
        <v>OK</v>
      </c>
      <c r="K1638" s="6" t="str">
        <f aca="false">A1638&amp;"|"&amp;B1638&amp;"|"&amp;C1638&amp;"|"&amp;D1638</f>
        <v>3|5|Lisa|spotify:track:3HCIjTIRedmAYgFGEi8IAL</v>
      </c>
    </row>
    <row r="1639" customFormat="false" ht="15" hidden="false" customHeight="false" outlineLevel="0" collapsed="false">
      <c r="A1639" s="5" t="n">
        <v>3</v>
      </c>
      <c r="B1639" s="5" t="n">
        <v>5</v>
      </c>
      <c r="C1639" s="5" t="s">
        <v>705</v>
      </c>
      <c r="D1639" s="5" t="s">
        <v>853</v>
      </c>
      <c r="E1639" s="5" t="n">
        <v>2</v>
      </c>
      <c r="F1639" s="6" t="n">
        <f aca="false">IFERROR(MATCH(A1639&amp;"|"&amp;B1639&amp;"|"&amp;D1639,'All Song Rankings'!$T:$T,0),0)</f>
        <v>253</v>
      </c>
      <c r="G1639" s="6" t="str">
        <f aca="false">IF(F1639=0,"NOT FOUND",INDEX('All Song Rankings'!$A:$A,F1639))</f>
        <v>Zombie Lady</v>
      </c>
      <c r="H1639" s="6" t="str">
        <f aca="false">IF(F1639=0,"NOT FOUND",INDEX('All Song Rankings'!$B:$B,F1639))</f>
        <v>Damiano David</v>
      </c>
      <c r="I1639" s="6" t="str">
        <f aca="false">IF(F1639=0,"NOT FOUND",INDEX('All Song Rankings'!$D:$D,F1639))</f>
        <v>Makenzie</v>
      </c>
      <c r="J1639" s="7" t="str">
        <f aca="false">IF(F1639=0,"NOT FOUND",IF(C1639=I1639,"SELF-VOTE",IF(COUNTIF($K:$K,K1639)&gt;1,"DUPLICATE","OK")))</f>
        <v>OK</v>
      </c>
      <c r="K1639" s="6" t="str">
        <f aca="false">A1639&amp;"|"&amp;B1639&amp;"|"&amp;C1639&amp;"|"&amp;D1639</f>
        <v>3|5|Lisa|spotify:track:5hYP7TDRmkJPrgYdIy500S</v>
      </c>
    </row>
    <row r="1640" customFormat="false" ht="15" hidden="false" customHeight="false" outlineLevel="0" collapsed="false">
      <c r="A1640" s="5" t="n">
        <v>3</v>
      </c>
      <c r="B1640" s="5" t="n">
        <v>5</v>
      </c>
      <c r="C1640" s="5" t="s">
        <v>705</v>
      </c>
      <c r="D1640" s="5" t="s">
        <v>862</v>
      </c>
      <c r="E1640" s="5" t="n">
        <v>1</v>
      </c>
      <c r="F1640" s="6" t="n">
        <f aca="false">IFERROR(MATCH(A1640&amp;"|"&amp;B1640&amp;"|"&amp;D1640,'All Song Rankings'!$T:$T,0),0)</f>
        <v>256</v>
      </c>
      <c r="G1640" s="6" t="str">
        <f aca="false">IF(F1640=0,"NOT FOUND",INDEX('All Song Rankings'!$A:$A,F1640))</f>
        <v>Someday</v>
      </c>
      <c r="H1640" s="6" t="str">
        <f aca="false">IF(F1640=0,"NOT FOUND",INDEX('All Song Rankings'!$B:$B,F1640))</f>
        <v>Rob Thomas</v>
      </c>
      <c r="I1640" s="6" t="str">
        <f aca="false">IF(F1640=0,"NOT FOUND",INDEX('All Song Rankings'!$D:$D,F1640))</f>
        <v>Kristen</v>
      </c>
      <c r="J1640" s="7" t="str">
        <f aca="false">IF(F1640=0,"NOT FOUND",IF(C1640=I1640,"SELF-VOTE",IF(COUNTIF($K:$K,K1640)&gt;1,"DUPLICATE","OK")))</f>
        <v>OK</v>
      </c>
      <c r="K1640" s="6" t="str">
        <f aca="false">A1640&amp;"|"&amp;B1640&amp;"|"&amp;C1640&amp;"|"&amp;D1640</f>
        <v>3|5|Lisa|spotify:track:7uPQU7uKvsZZ7T9XnpBpFg</v>
      </c>
    </row>
    <row r="1641" customFormat="false" ht="15" hidden="false" customHeight="false" outlineLevel="0" collapsed="false">
      <c r="A1641" s="5" t="n">
        <v>3</v>
      </c>
      <c r="B1641" s="5" t="n">
        <v>5</v>
      </c>
      <c r="C1641" s="5" t="s">
        <v>128</v>
      </c>
      <c r="D1641" s="5" t="s">
        <v>856</v>
      </c>
      <c r="E1641" s="5" t="n">
        <v>1</v>
      </c>
      <c r="F1641" s="6" t="n">
        <f aca="false">IFERROR(MATCH(A1641&amp;"|"&amp;B1641&amp;"|"&amp;D1641,'All Song Rankings'!$T:$T,0),0)</f>
        <v>254</v>
      </c>
      <c r="G1641" s="6" t="str">
        <f aca="false">IF(F1641=0,"NOT FOUND",INDEX('All Song Rankings'!$A:$A,F1641))</f>
        <v>In The Air Tonight - 2015 Remastered</v>
      </c>
      <c r="H1641" s="6" t="str">
        <f aca="false">IF(F1641=0,"NOT FOUND",INDEX('All Song Rankings'!$B:$B,F1641))</f>
        <v>Phil Collins</v>
      </c>
      <c r="I1641" s="6" t="str">
        <f aca="false">IF(F1641=0,"NOT FOUND",INDEX('All Song Rankings'!$D:$D,F1641))</f>
        <v>Aubrey</v>
      </c>
      <c r="J1641" s="7" t="str">
        <f aca="false">IF(F1641=0,"NOT FOUND",IF(C1641=I1641,"SELF-VOTE",IF(COUNTIF($K:$K,K1641)&gt;1,"DUPLICATE","OK")))</f>
        <v>OK</v>
      </c>
      <c r="K1641" s="6" t="str">
        <f aca="false">A1641&amp;"|"&amp;B1641&amp;"|"&amp;C1641&amp;"|"&amp;D1641</f>
        <v>3|5|Logan|spotify:track:18AXbzPzBS8Y3AkgSxzJPb</v>
      </c>
    </row>
    <row r="1642" customFormat="false" ht="15" hidden="false" customHeight="false" outlineLevel="0" collapsed="false">
      <c r="A1642" s="5" t="n">
        <v>3</v>
      </c>
      <c r="B1642" s="5" t="n">
        <v>5</v>
      </c>
      <c r="C1642" s="5" t="s">
        <v>128</v>
      </c>
      <c r="D1642" s="5" t="s">
        <v>868</v>
      </c>
      <c r="E1642" s="5" t="n">
        <v>1</v>
      </c>
      <c r="F1642" s="6" t="n">
        <f aca="false">IFERROR(MATCH(A1642&amp;"|"&amp;B1642&amp;"|"&amp;D1642,'All Song Rankings'!$T:$T,0),0)</f>
        <v>258</v>
      </c>
      <c r="G1642" s="6" t="str">
        <f aca="false">IF(F1642=0,"NOT FOUND",INDEX('All Song Rankings'!$A:$A,F1642))</f>
        <v>Beautiful Soul</v>
      </c>
      <c r="H1642" s="6" t="str">
        <f aca="false">IF(F1642=0,"NOT FOUND",INDEX('All Song Rankings'!$B:$B,F1642))</f>
        <v>Jesse McCartney</v>
      </c>
      <c r="I1642" s="6" t="str">
        <f aca="false">IF(F1642=0,"NOT FOUND",INDEX('All Song Rankings'!$D:$D,F1642))</f>
        <v>Colleen</v>
      </c>
      <c r="J1642" s="7" t="str">
        <f aca="false">IF(F1642=0,"NOT FOUND",IF(C1642=I1642,"SELF-VOTE",IF(COUNTIF($K:$K,K1642)&gt;1,"DUPLICATE","OK")))</f>
        <v>OK</v>
      </c>
      <c r="K1642" s="6" t="str">
        <f aca="false">A1642&amp;"|"&amp;B1642&amp;"|"&amp;C1642&amp;"|"&amp;D1642</f>
        <v>3|5|Logan|spotify:track:1HwpWwa6bnqqRhK8agG4RS</v>
      </c>
    </row>
    <row r="1643" customFormat="false" ht="15" hidden="false" customHeight="false" outlineLevel="0" collapsed="false">
      <c r="A1643" s="5" t="n">
        <v>3</v>
      </c>
      <c r="B1643" s="5" t="n">
        <v>5</v>
      </c>
      <c r="C1643" s="5" t="s">
        <v>128</v>
      </c>
      <c r="D1643" s="5" t="s">
        <v>859</v>
      </c>
      <c r="E1643" s="5" t="n">
        <v>1</v>
      </c>
      <c r="F1643" s="6" t="n">
        <f aca="false">IFERROR(MATCH(A1643&amp;"|"&amp;B1643&amp;"|"&amp;D1643,'All Song Rankings'!$T:$T,0),0)</f>
        <v>255</v>
      </c>
      <c r="G1643" s="6" t="str">
        <f aca="false">IF(F1643=0,"NOT FOUND",INDEX('All Song Rankings'!$A:$A,F1643))</f>
        <v>Falling</v>
      </c>
      <c r="H1643" s="6" t="str">
        <f aca="false">IF(F1643=0,"NOT FOUND",INDEX('All Song Rankings'!$B:$B,F1643))</f>
        <v>Harry Styles</v>
      </c>
      <c r="I1643" s="6" t="str">
        <f aca="false">IF(F1643=0,"NOT FOUND",INDEX('All Song Rankings'!$D:$D,F1643))</f>
        <v>Merita</v>
      </c>
      <c r="J1643" s="7" t="str">
        <f aca="false">IF(F1643=0,"NOT FOUND",IF(C1643=I1643,"SELF-VOTE",IF(COUNTIF($K:$K,K1643)&gt;1,"DUPLICATE","OK")))</f>
        <v>OK</v>
      </c>
      <c r="K1643" s="6" t="str">
        <f aca="false">A1643&amp;"|"&amp;B1643&amp;"|"&amp;C1643&amp;"|"&amp;D1643</f>
        <v>3|5|Logan|spotify:track:1ZMiCix7XSAbfAJlEZWMCp</v>
      </c>
    </row>
    <row r="1644" customFormat="false" ht="15" hidden="false" customHeight="false" outlineLevel="0" collapsed="false">
      <c r="A1644" s="5" t="n">
        <v>3</v>
      </c>
      <c r="B1644" s="5" t="n">
        <v>5</v>
      </c>
      <c r="C1644" s="5" t="s">
        <v>128</v>
      </c>
      <c r="D1644" s="5" t="s">
        <v>853</v>
      </c>
      <c r="E1644" s="5" t="n">
        <v>4</v>
      </c>
      <c r="F1644" s="6" t="n">
        <f aca="false">IFERROR(MATCH(A1644&amp;"|"&amp;B1644&amp;"|"&amp;D1644,'All Song Rankings'!$T:$T,0),0)</f>
        <v>253</v>
      </c>
      <c r="G1644" s="6" t="str">
        <f aca="false">IF(F1644=0,"NOT FOUND",INDEX('All Song Rankings'!$A:$A,F1644))</f>
        <v>Zombie Lady</v>
      </c>
      <c r="H1644" s="6" t="str">
        <f aca="false">IF(F1644=0,"NOT FOUND",INDEX('All Song Rankings'!$B:$B,F1644))</f>
        <v>Damiano David</v>
      </c>
      <c r="I1644" s="6" t="str">
        <f aca="false">IF(F1644=0,"NOT FOUND",INDEX('All Song Rankings'!$D:$D,F1644))</f>
        <v>Makenzie</v>
      </c>
      <c r="J1644" s="7" t="str">
        <f aca="false">IF(F1644=0,"NOT FOUND",IF(C1644=I1644,"SELF-VOTE",IF(COUNTIF($K:$K,K1644)&gt;1,"DUPLICATE","OK")))</f>
        <v>OK</v>
      </c>
      <c r="K1644" s="6" t="str">
        <f aca="false">A1644&amp;"|"&amp;B1644&amp;"|"&amp;C1644&amp;"|"&amp;D1644</f>
        <v>3|5|Logan|spotify:track:5hYP7TDRmkJPrgYdIy500S</v>
      </c>
    </row>
    <row r="1645" customFormat="false" ht="15" hidden="false" customHeight="false" outlineLevel="0" collapsed="false">
      <c r="A1645" s="5" t="n">
        <v>3</v>
      </c>
      <c r="B1645" s="5" t="n">
        <v>5</v>
      </c>
      <c r="C1645" s="5" t="s">
        <v>128</v>
      </c>
      <c r="D1645" s="5" t="s">
        <v>874</v>
      </c>
      <c r="E1645" s="5" t="n">
        <v>1</v>
      </c>
      <c r="F1645" s="6" t="n">
        <f aca="false">IFERROR(MATCH(A1645&amp;"|"&amp;B1645&amp;"|"&amp;D1645,'All Song Rankings'!$T:$T,0),0)</f>
        <v>260</v>
      </c>
      <c r="G1645" s="6" t="str">
        <f aca="false">IF(F1645=0,"NOT FOUND",INDEX('All Song Rankings'!$A:$A,F1645))</f>
        <v>Messy (From F1 The Movie)</v>
      </c>
      <c r="H1645" s="6" t="str">
        <f aca="false">IF(F1645=0,"NOT FOUND",INDEX('All Song Rankings'!$B:$B,F1645))</f>
        <v>ROSĖ, F1 The Album</v>
      </c>
      <c r="I1645" s="6" t="str">
        <f aca="false">IF(F1645=0,"NOT FOUND",INDEX('All Song Rankings'!$D:$D,F1645))</f>
        <v>Matt</v>
      </c>
      <c r="J1645" s="7" t="str">
        <f aca="false">IF(F1645=0,"NOT FOUND",IF(C1645=I1645,"SELF-VOTE",IF(COUNTIF($K:$K,K1645)&gt;1,"DUPLICATE","OK")))</f>
        <v>OK</v>
      </c>
      <c r="K1645" s="6" t="str">
        <f aca="false">A1645&amp;"|"&amp;B1645&amp;"|"&amp;C1645&amp;"|"&amp;D1645</f>
        <v>3|5|Logan|spotify:track:6Wobsw9uZ0D0xkfOjxXSq9</v>
      </c>
    </row>
    <row r="1646" customFormat="false" ht="15" hidden="false" customHeight="false" outlineLevel="0" collapsed="false">
      <c r="A1646" s="5" t="n">
        <v>3</v>
      </c>
      <c r="B1646" s="5" t="n">
        <v>5</v>
      </c>
      <c r="C1646" s="5" t="s">
        <v>128</v>
      </c>
      <c r="D1646" s="5" t="s">
        <v>862</v>
      </c>
      <c r="E1646" s="5" t="n">
        <v>2</v>
      </c>
      <c r="F1646" s="6" t="n">
        <f aca="false">IFERROR(MATCH(A1646&amp;"|"&amp;B1646&amp;"|"&amp;D1646,'All Song Rankings'!$T:$T,0),0)</f>
        <v>256</v>
      </c>
      <c r="G1646" s="6" t="str">
        <f aca="false">IF(F1646=0,"NOT FOUND",INDEX('All Song Rankings'!$A:$A,F1646))</f>
        <v>Someday</v>
      </c>
      <c r="H1646" s="6" t="str">
        <f aca="false">IF(F1646=0,"NOT FOUND",INDEX('All Song Rankings'!$B:$B,F1646))</f>
        <v>Rob Thomas</v>
      </c>
      <c r="I1646" s="6" t="str">
        <f aca="false">IF(F1646=0,"NOT FOUND",INDEX('All Song Rankings'!$D:$D,F1646))</f>
        <v>Kristen</v>
      </c>
      <c r="J1646" s="7" t="str">
        <f aca="false">IF(F1646=0,"NOT FOUND",IF(C1646=I1646,"SELF-VOTE",IF(COUNTIF($K:$K,K1646)&gt;1,"DUPLICATE","OK")))</f>
        <v>OK</v>
      </c>
      <c r="K1646" s="6" t="str">
        <f aca="false">A1646&amp;"|"&amp;B1646&amp;"|"&amp;C1646&amp;"|"&amp;D1646</f>
        <v>3|5|Logan|spotify:track:7uPQU7uKvsZZ7T9XnpBpFg</v>
      </c>
    </row>
    <row r="1647" customFormat="false" ht="15" hidden="false" customHeight="false" outlineLevel="0" collapsed="false">
      <c r="A1647" s="5" t="n">
        <v>3</v>
      </c>
      <c r="B1647" s="5" t="n">
        <v>5</v>
      </c>
      <c r="C1647" s="5" t="s">
        <v>395</v>
      </c>
      <c r="D1647" s="5" t="s">
        <v>865</v>
      </c>
      <c r="E1647" s="5" t="n">
        <v>2</v>
      </c>
      <c r="F1647" s="6" t="n">
        <f aca="false">IFERROR(MATCH(A1647&amp;"|"&amp;B1647&amp;"|"&amp;D1647,'All Song Rankings'!$T:$T,0),0)</f>
        <v>257</v>
      </c>
      <c r="G1647" s="6" t="str">
        <f aca="false">IF(F1647=0,"NOT FOUND",INDEX('All Song Rankings'!$A:$A,F1647))</f>
        <v>This Town</v>
      </c>
      <c r="H1647" s="6" t="str">
        <f aca="false">IF(F1647=0,"NOT FOUND",INDEX('All Song Rankings'!$B:$B,F1647))</f>
        <v>Niall Horan</v>
      </c>
      <c r="I1647" s="6" t="str">
        <f aca="false">IF(F1647=0,"NOT FOUND",INDEX('All Song Rankings'!$D:$D,F1647))</f>
        <v>Nicole</v>
      </c>
      <c r="J1647" s="7" t="str">
        <f aca="false">IF(F1647=0,"NOT FOUND",IF(C1647=I1647,"SELF-VOTE",IF(COUNTIF($K:$K,K1647)&gt;1,"DUPLICATE","OK")))</f>
        <v>OK</v>
      </c>
      <c r="K1647" s="6" t="str">
        <f aca="false">A1647&amp;"|"&amp;B1647&amp;"|"&amp;C1647&amp;"|"&amp;D1647</f>
        <v>3|5|Makenzie|spotify:track:0qvzXomUDJVaUboy2wMfiS</v>
      </c>
    </row>
    <row r="1648" customFormat="false" ht="15" hidden="false" customHeight="false" outlineLevel="0" collapsed="false">
      <c r="A1648" s="5" t="n">
        <v>3</v>
      </c>
      <c r="B1648" s="5" t="n">
        <v>5</v>
      </c>
      <c r="C1648" s="5" t="s">
        <v>395</v>
      </c>
      <c r="D1648" s="5" t="s">
        <v>868</v>
      </c>
      <c r="E1648" s="5" t="n">
        <v>2</v>
      </c>
      <c r="F1648" s="6" t="n">
        <f aca="false">IFERROR(MATCH(A1648&amp;"|"&amp;B1648&amp;"|"&amp;D1648,'All Song Rankings'!$T:$T,0),0)</f>
        <v>258</v>
      </c>
      <c r="G1648" s="6" t="str">
        <f aca="false">IF(F1648=0,"NOT FOUND",INDEX('All Song Rankings'!$A:$A,F1648))</f>
        <v>Beautiful Soul</v>
      </c>
      <c r="H1648" s="6" t="str">
        <f aca="false">IF(F1648=0,"NOT FOUND",INDEX('All Song Rankings'!$B:$B,F1648))</f>
        <v>Jesse McCartney</v>
      </c>
      <c r="I1648" s="6" t="str">
        <f aca="false">IF(F1648=0,"NOT FOUND",INDEX('All Song Rankings'!$D:$D,F1648))</f>
        <v>Colleen</v>
      </c>
      <c r="J1648" s="7" t="str">
        <f aca="false">IF(F1648=0,"NOT FOUND",IF(C1648=I1648,"SELF-VOTE",IF(COUNTIF($K:$K,K1648)&gt;1,"DUPLICATE","OK")))</f>
        <v>OK</v>
      </c>
      <c r="K1648" s="6" t="str">
        <f aca="false">A1648&amp;"|"&amp;B1648&amp;"|"&amp;C1648&amp;"|"&amp;D1648</f>
        <v>3|5|Makenzie|spotify:track:1HwpWwa6bnqqRhK8agG4RS</v>
      </c>
    </row>
    <row r="1649" customFormat="false" ht="15" hidden="false" customHeight="false" outlineLevel="0" collapsed="false">
      <c r="A1649" s="5" t="n">
        <v>3</v>
      </c>
      <c r="B1649" s="5" t="n">
        <v>5</v>
      </c>
      <c r="C1649" s="5" t="s">
        <v>395</v>
      </c>
      <c r="D1649" s="5" t="s">
        <v>859</v>
      </c>
      <c r="E1649" s="5" t="n">
        <v>1</v>
      </c>
      <c r="F1649" s="6" t="n">
        <f aca="false">IFERROR(MATCH(A1649&amp;"|"&amp;B1649&amp;"|"&amp;D1649,'All Song Rankings'!$T:$T,0),0)</f>
        <v>255</v>
      </c>
      <c r="G1649" s="6" t="str">
        <f aca="false">IF(F1649=0,"NOT FOUND",INDEX('All Song Rankings'!$A:$A,F1649))</f>
        <v>Falling</v>
      </c>
      <c r="H1649" s="6" t="str">
        <f aca="false">IF(F1649=0,"NOT FOUND",INDEX('All Song Rankings'!$B:$B,F1649))</f>
        <v>Harry Styles</v>
      </c>
      <c r="I1649" s="6" t="str">
        <f aca="false">IF(F1649=0,"NOT FOUND",INDEX('All Song Rankings'!$D:$D,F1649))</f>
        <v>Merita</v>
      </c>
      <c r="J1649" s="7" t="str">
        <f aca="false">IF(F1649=0,"NOT FOUND",IF(C1649=I1649,"SELF-VOTE",IF(COUNTIF($K:$K,K1649)&gt;1,"DUPLICATE","OK")))</f>
        <v>OK</v>
      </c>
      <c r="K1649" s="6" t="str">
        <f aca="false">A1649&amp;"|"&amp;B1649&amp;"|"&amp;C1649&amp;"|"&amp;D1649</f>
        <v>3|5|Makenzie|spotify:track:1ZMiCix7XSAbfAJlEZWMCp</v>
      </c>
    </row>
    <row r="1650" customFormat="false" ht="15" hidden="false" customHeight="false" outlineLevel="0" collapsed="false">
      <c r="A1650" s="5" t="n">
        <v>3</v>
      </c>
      <c r="B1650" s="5" t="n">
        <v>5</v>
      </c>
      <c r="C1650" s="5" t="s">
        <v>395</v>
      </c>
      <c r="D1650" s="5" t="s">
        <v>871</v>
      </c>
      <c r="E1650" s="5" t="n">
        <v>1</v>
      </c>
      <c r="F1650" s="6" t="n">
        <f aca="false">IFERROR(MATCH(A1650&amp;"|"&amp;B1650&amp;"|"&amp;D1650,'All Song Rankings'!$T:$T,0),0)</f>
        <v>259</v>
      </c>
      <c r="G1650" s="6" t="str">
        <f aca="false">IF(F1650=0,"NOT FOUND",INDEX('All Song Rankings'!$A:$A,F1650))</f>
        <v>Thriller</v>
      </c>
      <c r="H1650" s="6" t="str">
        <f aca="false">IF(F1650=0,"NOT FOUND",INDEX('All Song Rankings'!$B:$B,F1650))</f>
        <v>Michael Jackson</v>
      </c>
      <c r="I1650" s="6" t="str">
        <f aca="false">IF(F1650=0,"NOT FOUND",INDEX('All Song Rankings'!$D:$D,F1650))</f>
        <v>Lisa</v>
      </c>
      <c r="J1650" s="7" t="str">
        <f aca="false">IF(F1650=0,"NOT FOUND",IF(C1650=I1650,"SELF-VOTE",IF(COUNTIF($K:$K,K1650)&gt;1,"DUPLICATE","OK")))</f>
        <v>OK</v>
      </c>
      <c r="K1650" s="6" t="str">
        <f aca="false">A1650&amp;"|"&amp;B1650&amp;"|"&amp;C1650&amp;"|"&amp;D1650</f>
        <v>3|5|Makenzie|spotify:track:2LlQb7Uoj1kKyGhlkBf9aC</v>
      </c>
    </row>
    <row r="1651" customFormat="false" ht="15" hidden="false" customHeight="false" outlineLevel="0" collapsed="false">
      <c r="A1651" s="5" t="n">
        <v>3</v>
      </c>
      <c r="B1651" s="5" t="n">
        <v>5</v>
      </c>
      <c r="C1651" s="5" t="s">
        <v>395</v>
      </c>
      <c r="D1651" s="5" t="s">
        <v>882</v>
      </c>
      <c r="E1651" s="5" t="n">
        <v>1</v>
      </c>
      <c r="F1651" s="6" t="n">
        <f aca="false">IFERROR(MATCH(A1651&amp;"|"&amp;B1651&amp;"|"&amp;D1651,'All Song Rankings'!$T:$T,0),0)</f>
        <v>263</v>
      </c>
      <c r="G1651" s="6" t="str">
        <f aca="false">IF(F1651=0,"NOT FOUND",INDEX('All Song Rankings'!$A:$A,F1651))</f>
        <v>Glamorous</v>
      </c>
      <c r="H1651" s="6" t="str">
        <f aca="false">IF(F1651=0,"NOT FOUND",INDEX('All Song Rankings'!$B:$B,F1651))</f>
        <v>Fergie, Ludacris</v>
      </c>
      <c r="I1651" s="6" t="str">
        <f aca="false">IF(F1651=0,"NOT FOUND",INDEX('All Song Rankings'!$D:$D,F1651))</f>
        <v>Leah</v>
      </c>
      <c r="J1651" s="7" t="str">
        <f aca="false">IF(F1651=0,"NOT FOUND",IF(C1651=I1651,"SELF-VOTE",IF(COUNTIF($K:$K,K1651)&gt;1,"DUPLICATE","OK")))</f>
        <v>OK</v>
      </c>
      <c r="K1651" s="6" t="str">
        <f aca="false">A1651&amp;"|"&amp;B1651&amp;"|"&amp;C1651&amp;"|"&amp;D1651</f>
        <v>3|5|Makenzie|spotify:track:4KTtYhxFtFL7mBwnjkKfLm</v>
      </c>
    </row>
    <row r="1652" customFormat="false" ht="15" hidden="false" customHeight="false" outlineLevel="0" collapsed="false">
      <c r="A1652" s="5" t="n">
        <v>3</v>
      </c>
      <c r="B1652" s="5" t="n">
        <v>5</v>
      </c>
      <c r="C1652" s="5" t="s">
        <v>395</v>
      </c>
      <c r="D1652" s="5" t="s">
        <v>874</v>
      </c>
      <c r="E1652" s="5" t="n">
        <v>2</v>
      </c>
      <c r="F1652" s="6" t="n">
        <f aca="false">IFERROR(MATCH(A1652&amp;"|"&amp;B1652&amp;"|"&amp;D1652,'All Song Rankings'!$T:$T,0),0)</f>
        <v>260</v>
      </c>
      <c r="G1652" s="6" t="str">
        <f aca="false">IF(F1652=0,"NOT FOUND",INDEX('All Song Rankings'!$A:$A,F1652))</f>
        <v>Messy (From F1 The Movie)</v>
      </c>
      <c r="H1652" s="6" t="str">
        <f aca="false">IF(F1652=0,"NOT FOUND",INDEX('All Song Rankings'!$B:$B,F1652))</f>
        <v>ROSĖ, F1 The Album</v>
      </c>
      <c r="I1652" s="6" t="str">
        <f aca="false">IF(F1652=0,"NOT FOUND",INDEX('All Song Rankings'!$D:$D,F1652))</f>
        <v>Matt</v>
      </c>
      <c r="J1652" s="7" t="str">
        <f aca="false">IF(F1652=0,"NOT FOUND",IF(C1652=I1652,"SELF-VOTE",IF(COUNTIF($K:$K,K1652)&gt;1,"DUPLICATE","OK")))</f>
        <v>OK</v>
      </c>
      <c r="K1652" s="6" t="str">
        <f aca="false">A1652&amp;"|"&amp;B1652&amp;"|"&amp;C1652&amp;"|"&amp;D1652</f>
        <v>3|5|Makenzie|spotify:track:6Wobsw9uZ0D0xkfOjxXSq9</v>
      </c>
    </row>
    <row r="1653" customFormat="false" ht="15" hidden="false" customHeight="false" outlineLevel="0" collapsed="false">
      <c r="A1653" s="5" t="n">
        <v>3</v>
      </c>
      <c r="B1653" s="5" t="n">
        <v>5</v>
      </c>
      <c r="C1653" s="5" t="s">
        <v>395</v>
      </c>
      <c r="D1653" s="5" t="s">
        <v>862</v>
      </c>
      <c r="E1653" s="5" t="n">
        <v>1</v>
      </c>
      <c r="F1653" s="6" t="n">
        <f aca="false">IFERROR(MATCH(A1653&amp;"|"&amp;B1653&amp;"|"&amp;D1653,'All Song Rankings'!$T:$T,0),0)</f>
        <v>256</v>
      </c>
      <c r="G1653" s="6" t="str">
        <f aca="false">IF(F1653=0,"NOT FOUND",INDEX('All Song Rankings'!$A:$A,F1653))</f>
        <v>Someday</v>
      </c>
      <c r="H1653" s="6" t="str">
        <f aca="false">IF(F1653=0,"NOT FOUND",INDEX('All Song Rankings'!$B:$B,F1653))</f>
        <v>Rob Thomas</v>
      </c>
      <c r="I1653" s="6" t="str">
        <f aca="false">IF(F1653=0,"NOT FOUND",INDEX('All Song Rankings'!$D:$D,F1653))</f>
        <v>Kristen</v>
      </c>
      <c r="J1653" s="7" t="str">
        <f aca="false">IF(F1653=0,"NOT FOUND",IF(C1653=I1653,"SELF-VOTE",IF(COUNTIF($K:$K,K1653)&gt;1,"DUPLICATE","OK")))</f>
        <v>OK</v>
      </c>
      <c r="K1653" s="6" t="str">
        <f aca="false">A1653&amp;"|"&amp;B1653&amp;"|"&amp;C1653&amp;"|"&amp;D1653</f>
        <v>3|5|Makenzie|spotify:track:7uPQU7uKvsZZ7T9XnpBpFg</v>
      </c>
    </row>
    <row r="1654" customFormat="false" ht="15" hidden="false" customHeight="false" outlineLevel="0" collapsed="false">
      <c r="A1654" s="5" t="n">
        <v>3</v>
      </c>
      <c r="B1654" s="5" t="n">
        <v>5</v>
      </c>
      <c r="C1654" s="5" t="s">
        <v>116</v>
      </c>
      <c r="D1654" s="5" t="s">
        <v>884</v>
      </c>
      <c r="E1654" s="5" t="n">
        <v>1</v>
      </c>
      <c r="F1654" s="6" t="n">
        <f aca="false">IFERROR(MATCH(A1654&amp;"|"&amp;B1654&amp;"|"&amp;D1654,'All Song Rankings'!$T:$T,0),0)</f>
        <v>264</v>
      </c>
      <c r="G1654" s="6" t="str">
        <f aca="false">IF(F1654=0,"NOT FOUND",INDEX('All Song Rankings'!$A:$A,F1654))</f>
        <v>TEXAS HOLD 'EM</v>
      </c>
      <c r="H1654" s="6" t="str">
        <f aca="false">IF(F1654=0,"NOT FOUND",INDEX('All Song Rankings'!$B:$B,F1654))</f>
        <v>Beyoncé</v>
      </c>
      <c r="I1654" s="6" t="str">
        <f aca="false">IF(F1654=0,"NOT FOUND",INDEX('All Song Rankings'!$D:$D,F1654))</f>
        <v>Stephanie</v>
      </c>
      <c r="J1654" s="7" t="str">
        <f aca="false">IF(F1654=0,"NOT FOUND",IF(C1654=I1654,"SELF-VOTE",IF(COUNTIF($K:$K,K1654)&gt;1,"DUPLICATE","OK")))</f>
        <v>OK</v>
      </c>
      <c r="K1654" s="6" t="str">
        <f aca="false">A1654&amp;"|"&amp;B1654&amp;"|"&amp;C1654&amp;"|"&amp;D1654</f>
        <v>3|5|Matt|spotify:track:0Z7nGFVCLfixWctgePsRk9</v>
      </c>
    </row>
    <row r="1655" customFormat="false" ht="15" hidden="false" customHeight="false" outlineLevel="0" collapsed="false">
      <c r="A1655" s="5" t="n">
        <v>3</v>
      </c>
      <c r="B1655" s="5" t="n">
        <v>5</v>
      </c>
      <c r="C1655" s="5" t="s">
        <v>116</v>
      </c>
      <c r="D1655" s="5" t="s">
        <v>865</v>
      </c>
      <c r="E1655" s="5" t="n">
        <v>1</v>
      </c>
      <c r="F1655" s="6" t="n">
        <f aca="false">IFERROR(MATCH(A1655&amp;"|"&amp;B1655&amp;"|"&amp;D1655,'All Song Rankings'!$T:$T,0),0)</f>
        <v>257</v>
      </c>
      <c r="G1655" s="6" t="str">
        <f aca="false">IF(F1655=0,"NOT FOUND",INDEX('All Song Rankings'!$A:$A,F1655))</f>
        <v>This Town</v>
      </c>
      <c r="H1655" s="6" t="str">
        <f aca="false">IF(F1655=0,"NOT FOUND",INDEX('All Song Rankings'!$B:$B,F1655))</f>
        <v>Niall Horan</v>
      </c>
      <c r="I1655" s="6" t="str">
        <f aca="false">IF(F1655=0,"NOT FOUND",INDEX('All Song Rankings'!$D:$D,F1655))</f>
        <v>Nicole</v>
      </c>
      <c r="J1655" s="7" t="str">
        <f aca="false">IF(F1655=0,"NOT FOUND",IF(C1655=I1655,"SELF-VOTE",IF(COUNTIF($K:$K,K1655)&gt;1,"DUPLICATE","OK")))</f>
        <v>OK</v>
      </c>
      <c r="K1655" s="6" t="str">
        <f aca="false">A1655&amp;"|"&amp;B1655&amp;"|"&amp;C1655&amp;"|"&amp;D1655</f>
        <v>3|5|Matt|spotify:track:0qvzXomUDJVaUboy2wMfiS</v>
      </c>
    </row>
    <row r="1656" customFormat="false" ht="15" hidden="false" customHeight="false" outlineLevel="0" collapsed="false">
      <c r="A1656" s="5" t="n">
        <v>3</v>
      </c>
      <c r="B1656" s="5" t="n">
        <v>5</v>
      </c>
      <c r="C1656" s="5" t="s">
        <v>116</v>
      </c>
      <c r="D1656" s="5" t="s">
        <v>856</v>
      </c>
      <c r="E1656" s="5" t="n">
        <v>1</v>
      </c>
      <c r="F1656" s="6" t="n">
        <f aca="false">IFERROR(MATCH(A1656&amp;"|"&amp;B1656&amp;"|"&amp;D1656,'All Song Rankings'!$T:$T,0),0)</f>
        <v>254</v>
      </c>
      <c r="G1656" s="6" t="str">
        <f aca="false">IF(F1656=0,"NOT FOUND",INDEX('All Song Rankings'!$A:$A,F1656))</f>
        <v>In The Air Tonight - 2015 Remastered</v>
      </c>
      <c r="H1656" s="6" t="str">
        <f aca="false">IF(F1656=0,"NOT FOUND",INDEX('All Song Rankings'!$B:$B,F1656))</f>
        <v>Phil Collins</v>
      </c>
      <c r="I1656" s="6" t="str">
        <f aca="false">IF(F1656=0,"NOT FOUND",INDEX('All Song Rankings'!$D:$D,F1656))</f>
        <v>Aubrey</v>
      </c>
      <c r="J1656" s="7" t="str">
        <f aca="false">IF(F1656=0,"NOT FOUND",IF(C1656=I1656,"SELF-VOTE",IF(COUNTIF($K:$K,K1656)&gt;1,"DUPLICATE","OK")))</f>
        <v>OK</v>
      </c>
      <c r="K1656" s="6" t="str">
        <f aca="false">A1656&amp;"|"&amp;B1656&amp;"|"&amp;C1656&amp;"|"&amp;D1656</f>
        <v>3|5|Matt|spotify:track:18AXbzPzBS8Y3AkgSxzJPb</v>
      </c>
    </row>
    <row r="1657" customFormat="false" ht="15" hidden="false" customHeight="false" outlineLevel="0" collapsed="false">
      <c r="A1657" s="5" t="n">
        <v>3</v>
      </c>
      <c r="B1657" s="5" t="n">
        <v>5</v>
      </c>
      <c r="C1657" s="5" t="s">
        <v>116</v>
      </c>
      <c r="D1657" s="5" t="s">
        <v>879</v>
      </c>
      <c r="E1657" s="5" t="n">
        <v>1</v>
      </c>
      <c r="F1657" s="6" t="n">
        <f aca="false">IFERROR(MATCH(A1657&amp;"|"&amp;B1657&amp;"|"&amp;D1657,'All Song Rankings'!$T:$T,0),0)</f>
        <v>262</v>
      </c>
      <c r="G1657" s="6" t="str">
        <f aca="false">IF(F1657=0,"NOT FOUND",INDEX('All Song Rankings'!$A:$A,F1657))</f>
        <v>Maybe I'm Amazed - Remastered 2011</v>
      </c>
      <c r="H1657" s="6" t="str">
        <f aca="false">IF(F1657=0,"NOT FOUND",INDEX('All Song Rankings'!$B:$B,F1657))</f>
        <v>Paul McCartney</v>
      </c>
      <c r="I1657" s="6" t="str">
        <f aca="false">IF(F1657=0,"NOT FOUND",INDEX('All Song Rankings'!$D:$D,F1657))</f>
        <v>Logan</v>
      </c>
      <c r="J1657" s="7" t="str">
        <f aca="false">IF(F1657=0,"NOT FOUND",IF(C1657=I1657,"SELF-VOTE",IF(COUNTIF($K:$K,K1657)&gt;1,"DUPLICATE","OK")))</f>
        <v>OK</v>
      </c>
      <c r="K1657" s="6" t="str">
        <f aca="false">A1657&amp;"|"&amp;B1657&amp;"|"&amp;C1657&amp;"|"&amp;D1657</f>
        <v>3|5|Matt|spotify:track:1Qa0Y05al633fG8f9Peytc</v>
      </c>
    </row>
    <row r="1658" customFormat="false" ht="15" hidden="false" customHeight="false" outlineLevel="0" collapsed="false">
      <c r="A1658" s="5" t="n">
        <v>3</v>
      </c>
      <c r="B1658" s="5" t="n">
        <v>5</v>
      </c>
      <c r="C1658" s="5" t="s">
        <v>116</v>
      </c>
      <c r="D1658" s="5" t="s">
        <v>859</v>
      </c>
      <c r="E1658" s="5" t="n">
        <v>1</v>
      </c>
      <c r="F1658" s="6" t="n">
        <f aca="false">IFERROR(MATCH(A1658&amp;"|"&amp;B1658&amp;"|"&amp;D1658,'All Song Rankings'!$T:$T,0),0)</f>
        <v>255</v>
      </c>
      <c r="G1658" s="6" t="str">
        <f aca="false">IF(F1658=0,"NOT FOUND",INDEX('All Song Rankings'!$A:$A,F1658))</f>
        <v>Falling</v>
      </c>
      <c r="H1658" s="6" t="str">
        <f aca="false">IF(F1658=0,"NOT FOUND",INDEX('All Song Rankings'!$B:$B,F1658))</f>
        <v>Harry Styles</v>
      </c>
      <c r="I1658" s="6" t="str">
        <f aca="false">IF(F1658=0,"NOT FOUND",INDEX('All Song Rankings'!$D:$D,F1658))</f>
        <v>Merita</v>
      </c>
      <c r="J1658" s="7" t="str">
        <f aca="false">IF(F1658=0,"NOT FOUND",IF(C1658=I1658,"SELF-VOTE",IF(COUNTIF($K:$K,K1658)&gt;1,"DUPLICATE","OK")))</f>
        <v>OK</v>
      </c>
      <c r="K1658" s="6" t="str">
        <f aca="false">A1658&amp;"|"&amp;B1658&amp;"|"&amp;C1658&amp;"|"&amp;D1658</f>
        <v>3|5|Matt|spotify:track:1ZMiCix7XSAbfAJlEZWMCp</v>
      </c>
    </row>
    <row r="1659" customFormat="false" ht="15" hidden="false" customHeight="false" outlineLevel="0" collapsed="false">
      <c r="A1659" s="5" t="n">
        <v>3</v>
      </c>
      <c r="B1659" s="5" t="n">
        <v>5</v>
      </c>
      <c r="C1659" s="5" t="s">
        <v>116</v>
      </c>
      <c r="D1659" s="5" t="s">
        <v>871</v>
      </c>
      <c r="E1659" s="5" t="n">
        <v>1</v>
      </c>
      <c r="F1659" s="6" t="n">
        <f aca="false">IFERROR(MATCH(A1659&amp;"|"&amp;B1659&amp;"|"&amp;D1659,'All Song Rankings'!$T:$T,0),0)</f>
        <v>259</v>
      </c>
      <c r="G1659" s="6" t="str">
        <f aca="false">IF(F1659=0,"NOT FOUND",INDEX('All Song Rankings'!$A:$A,F1659))</f>
        <v>Thriller</v>
      </c>
      <c r="H1659" s="6" t="str">
        <f aca="false">IF(F1659=0,"NOT FOUND",INDEX('All Song Rankings'!$B:$B,F1659))</f>
        <v>Michael Jackson</v>
      </c>
      <c r="I1659" s="6" t="str">
        <f aca="false">IF(F1659=0,"NOT FOUND",INDEX('All Song Rankings'!$D:$D,F1659))</f>
        <v>Lisa</v>
      </c>
      <c r="J1659" s="7" t="str">
        <f aca="false">IF(F1659=0,"NOT FOUND",IF(C1659=I1659,"SELF-VOTE",IF(COUNTIF($K:$K,K1659)&gt;1,"DUPLICATE","OK")))</f>
        <v>OK</v>
      </c>
      <c r="K1659" s="6" t="str">
        <f aca="false">A1659&amp;"|"&amp;B1659&amp;"|"&amp;C1659&amp;"|"&amp;D1659</f>
        <v>3|5|Matt|spotify:track:2LlQb7Uoj1kKyGhlkBf9aC</v>
      </c>
    </row>
    <row r="1660" customFormat="false" ht="15" hidden="false" customHeight="false" outlineLevel="0" collapsed="false">
      <c r="A1660" s="5" t="n">
        <v>3</v>
      </c>
      <c r="B1660" s="5" t="n">
        <v>5</v>
      </c>
      <c r="C1660" s="5" t="s">
        <v>116</v>
      </c>
      <c r="D1660" s="5" t="s">
        <v>877</v>
      </c>
      <c r="E1660" s="5" t="n">
        <v>1</v>
      </c>
      <c r="F1660" s="6" t="n">
        <f aca="false">IFERROR(MATCH(A1660&amp;"|"&amp;B1660&amp;"|"&amp;D1660,'All Song Rankings'!$T:$T,0),0)</f>
        <v>261</v>
      </c>
      <c r="G1660" s="6" t="str">
        <f aca="false">IF(F1660=0,"NOT FOUND",INDEX('All Song Rankings'!$A:$A,F1660))</f>
        <v>Is Anybody Out There</v>
      </c>
      <c r="H1660" s="6" t="str">
        <f aca="false">IF(F1660=0,"NOT FOUND",INDEX('All Song Rankings'!$B:$B,F1660))</f>
        <v>Joey McIntyre</v>
      </c>
      <c r="I1660" s="6" t="str">
        <f aca="false">IF(F1660=0,"NOT FOUND",INDEX('All Song Rankings'!$D:$D,F1660))</f>
        <v>Christine</v>
      </c>
      <c r="J1660" s="7" t="str">
        <f aca="false">IF(F1660=0,"NOT FOUND",IF(C1660=I1660,"SELF-VOTE",IF(COUNTIF($K:$K,K1660)&gt;1,"DUPLICATE","OK")))</f>
        <v>OK</v>
      </c>
      <c r="K1660" s="6" t="str">
        <f aca="false">A1660&amp;"|"&amp;B1660&amp;"|"&amp;C1660&amp;"|"&amp;D1660</f>
        <v>3|5|Matt|spotify:track:3HCIjTIRedmAYgFGEi8IAL</v>
      </c>
    </row>
    <row r="1661" customFormat="false" ht="15" hidden="false" customHeight="false" outlineLevel="0" collapsed="false">
      <c r="A1661" s="5" t="n">
        <v>3</v>
      </c>
      <c r="B1661" s="5" t="n">
        <v>5</v>
      </c>
      <c r="C1661" s="5" t="s">
        <v>116</v>
      </c>
      <c r="D1661" s="5" t="s">
        <v>890</v>
      </c>
      <c r="E1661" s="5" t="n">
        <v>1</v>
      </c>
      <c r="F1661" s="6" t="n">
        <f aca="false">IFERROR(MATCH(A1661&amp;"|"&amp;B1661&amp;"|"&amp;D1661,'All Song Rankings'!$T:$T,0),0)</f>
        <v>266</v>
      </c>
      <c r="G1661" s="6" t="str">
        <f aca="false">IF(F1661=0,"NOT FOUND",INDEX('All Song Rankings'!$A:$A,F1661))</f>
        <v>I Don't Wanna Stop</v>
      </c>
      <c r="H1661" s="6" t="str">
        <f aca="false">IF(F1661=0,"NOT FOUND",INDEX('All Song Rankings'!$B:$B,F1661))</f>
        <v>Ozzy Osbourne</v>
      </c>
      <c r="I1661" s="6" t="str">
        <f aca="false">IF(F1661=0,"NOT FOUND",INDEX('All Song Rankings'!$D:$D,F1661))</f>
        <v>Scott</v>
      </c>
      <c r="J1661" s="7" t="str">
        <f aca="false">IF(F1661=0,"NOT FOUND",IF(C1661=I1661,"SELF-VOTE",IF(COUNTIF($K:$K,K1661)&gt;1,"DUPLICATE","OK")))</f>
        <v>OK</v>
      </c>
      <c r="K1661" s="6" t="str">
        <f aca="false">A1661&amp;"|"&amp;B1661&amp;"|"&amp;C1661&amp;"|"&amp;D1661</f>
        <v>3|5|Matt|spotify:track:5axOkQnmQmwtjr4bv1Xt7i</v>
      </c>
    </row>
    <row r="1662" customFormat="false" ht="15" hidden="false" customHeight="false" outlineLevel="0" collapsed="false">
      <c r="A1662" s="5" t="n">
        <v>3</v>
      </c>
      <c r="B1662" s="5" t="n">
        <v>5</v>
      </c>
      <c r="C1662" s="5" t="s">
        <v>116</v>
      </c>
      <c r="D1662" s="5" t="s">
        <v>853</v>
      </c>
      <c r="E1662" s="5" t="n">
        <v>1</v>
      </c>
      <c r="F1662" s="6" t="n">
        <f aca="false">IFERROR(MATCH(A1662&amp;"|"&amp;B1662&amp;"|"&amp;D1662,'All Song Rankings'!$T:$T,0),0)</f>
        <v>253</v>
      </c>
      <c r="G1662" s="6" t="str">
        <f aca="false">IF(F1662=0,"NOT FOUND",INDEX('All Song Rankings'!$A:$A,F1662))</f>
        <v>Zombie Lady</v>
      </c>
      <c r="H1662" s="6" t="str">
        <f aca="false">IF(F1662=0,"NOT FOUND",INDEX('All Song Rankings'!$B:$B,F1662))</f>
        <v>Damiano David</v>
      </c>
      <c r="I1662" s="6" t="str">
        <f aca="false">IF(F1662=0,"NOT FOUND",INDEX('All Song Rankings'!$D:$D,F1662))</f>
        <v>Makenzie</v>
      </c>
      <c r="J1662" s="7" t="str">
        <f aca="false">IF(F1662=0,"NOT FOUND",IF(C1662=I1662,"SELF-VOTE",IF(COUNTIF($K:$K,K1662)&gt;1,"DUPLICATE","OK")))</f>
        <v>OK</v>
      </c>
      <c r="K1662" s="6" t="str">
        <f aca="false">A1662&amp;"|"&amp;B1662&amp;"|"&amp;C1662&amp;"|"&amp;D1662</f>
        <v>3|5|Matt|spotify:track:5hYP7TDRmkJPrgYdIy500S</v>
      </c>
    </row>
    <row r="1663" customFormat="false" ht="15" hidden="false" customHeight="false" outlineLevel="0" collapsed="false">
      <c r="A1663" s="5" t="n">
        <v>3</v>
      </c>
      <c r="B1663" s="5" t="n">
        <v>5</v>
      </c>
      <c r="C1663" s="5" t="s">
        <v>116</v>
      </c>
      <c r="D1663" s="5" t="s">
        <v>862</v>
      </c>
      <c r="E1663" s="5" t="n">
        <v>1</v>
      </c>
      <c r="F1663" s="6" t="n">
        <f aca="false">IFERROR(MATCH(A1663&amp;"|"&amp;B1663&amp;"|"&amp;D1663,'All Song Rankings'!$T:$T,0),0)</f>
        <v>256</v>
      </c>
      <c r="G1663" s="6" t="str">
        <f aca="false">IF(F1663=0,"NOT FOUND",INDEX('All Song Rankings'!$A:$A,F1663))</f>
        <v>Someday</v>
      </c>
      <c r="H1663" s="6" t="str">
        <f aca="false">IF(F1663=0,"NOT FOUND",INDEX('All Song Rankings'!$B:$B,F1663))</f>
        <v>Rob Thomas</v>
      </c>
      <c r="I1663" s="6" t="str">
        <f aca="false">IF(F1663=0,"NOT FOUND",INDEX('All Song Rankings'!$D:$D,F1663))</f>
        <v>Kristen</v>
      </c>
      <c r="J1663" s="7" t="str">
        <f aca="false">IF(F1663=0,"NOT FOUND",IF(C1663=I1663,"SELF-VOTE",IF(COUNTIF($K:$K,K1663)&gt;1,"DUPLICATE","OK")))</f>
        <v>OK</v>
      </c>
      <c r="K1663" s="6" t="str">
        <f aca="false">A1663&amp;"|"&amp;B1663&amp;"|"&amp;C1663&amp;"|"&amp;D1663</f>
        <v>3|5|Matt|spotify:track:7uPQU7uKvsZZ7T9XnpBpFg</v>
      </c>
    </row>
    <row r="1664" customFormat="false" ht="15" hidden="false" customHeight="false" outlineLevel="0" collapsed="false">
      <c r="A1664" s="5" t="n">
        <v>3</v>
      </c>
      <c r="B1664" s="5" t="n">
        <v>5</v>
      </c>
      <c r="C1664" s="5" t="s">
        <v>101</v>
      </c>
      <c r="D1664" s="5" t="s">
        <v>884</v>
      </c>
      <c r="E1664" s="5" t="n">
        <v>1</v>
      </c>
      <c r="F1664" s="6" t="n">
        <f aca="false">IFERROR(MATCH(A1664&amp;"|"&amp;B1664&amp;"|"&amp;D1664,'All Song Rankings'!$T:$T,0),0)</f>
        <v>264</v>
      </c>
      <c r="G1664" s="6" t="str">
        <f aca="false">IF(F1664=0,"NOT FOUND",INDEX('All Song Rankings'!$A:$A,F1664))</f>
        <v>TEXAS HOLD 'EM</v>
      </c>
      <c r="H1664" s="6" t="str">
        <f aca="false">IF(F1664=0,"NOT FOUND",INDEX('All Song Rankings'!$B:$B,F1664))</f>
        <v>Beyoncé</v>
      </c>
      <c r="I1664" s="6" t="str">
        <f aca="false">IF(F1664=0,"NOT FOUND",INDEX('All Song Rankings'!$D:$D,F1664))</f>
        <v>Stephanie</v>
      </c>
      <c r="J1664" s="7" t="str">
        <f aca="false">IF(F1664=0,"NOT FOUND",IF(C1664=I1664,"SELF-VOTE",IF(COUNTIF($K:$K,K1664)&gt;1,"DUPLICATE","OK")))</f>
        <v>OK</v>
      </c>
      <c r="K1664" s="6" t="str">
        <f aca="false">A1664&amp;"|"&amp;B1664&amp;"|"&amp;C1664&amp;"|"&amp;D1664</f>
        <v>3|5|Merita|spotify:track:0Z7nGFVCLfixWctgePsRk9</v>
      </c>
    </row>
    <row r="1665" customFormat="false" ht="15" hidden="false" customHeight="false" outlineLevel="0" collapsed="false">
      <c r="A1665" s="5" t="n">
        <v>3</v>
      </c>
      <c r="B1665" s="5" t="n">
        <v>5</v>
      </c>
      <c r="C1665" s="5" t="s">
        <v>101</v>
      </c>
      <c r="D1665" s="5" t="s">
        <v>865</v>
      </c>
      <c r="E1665" s="5" t="n">
        <v>2</v>
      </c>
      <c r="F1665" s="6" t="n">
        <f aca="false">IFERROR(MATCH(A1665&amp;"|"&amp;B1665&amp;"|"&amp;D1665,'All Song Rankings'!$T:$T,0),0)</f>
        <v>257</v>
      </c>
      <c r="G1665" s="6" t="str">
        <f aca="false">IF(F1665=0,"NOT FOUND",INDEX('All Song Rankings'!$A:$A,F1665))</f>
        <v>This Town</v>
      </c>
      <c r="H1665" s="6" t="str">
        <f aca="false">IF(F1665=0,"NOT FOUND",INDEX('All Song Rankings'!$B:$B,F1665))</f>
        <v>Niall Horan</v>
      </c>
      <c r="I1665" s="6" t="str">
        <f aca="false">IF(F1665=0,"NOT FOUND",INDEX('All Song Rankings'!$D:$D,F1665))</f>
        <v>Nicole</v>
      </c>
      <c r="J1665" s="7" t="str">
        <f aca="false">IF(F1665=0,"NOT FOUND",IF(C1665=I1665,"SELF-VOTE",IF(COUNTIF($K:$K,K1665)&gt;1,"DUPLICATE","OK")))</f>
        <v>OK</v>
      </c>
      <c r="K1665" s="6" t="str">
        <f aca="false">A1665&amp;"|"&amp;B1665&amp;"|"&amp;C1665&amp;"|"&amp;D1665</f>
        <v>3|5|Merita|spotify:track:0qvzXomUDJVaUboy2wMfiS</v>
      </c>
    </row>
    <row r="1666" customFormat="false" ht="15" hidden="false" customHeight="false" outlineLevel="0" collapsed="false">
      <c r="A1666" s="5" t="n">
        <v>3</v>
      </c>
      <c r="B1666" s="5" t="n">
        <v>5</v>
      </c>
      <c r="C1666" s="5" t="s">
        <v>101</v>
      </c>
      <c r="D1666" s="5" t="s">
        <v>868</v>
      </c>
      <c r="E1666" s="5" t="n">
        <v>1</v>
      </c>
      <c r="F1666" s="6" t="n">
        <f aca="false">IFERROR(MATCH(A1666&amp;"|"&amp;B1666&amp;"|"&amp;D1666,'All Song Rankings'!$T:$T,0),0)</f>
        <v>258</v>
      </c>
      <c r="G1666" s="6" t="str">
        <f aca="false">IF(F1666=0,"NOT FOUND",INDEX('All Song Rankings'!$A:$A,F1666))</f>
        <v>Beautiful Soul</v>
      </c>
      <c r="H1666" s="6" t="str">
        <f aca="false">IF(F1666=0,"NOT FOUND",INDEX('All Song Rankings'!$B:$B,F1666))</f>
        <v>Jesse McCartney</v>
      </c>
      <c r="I1666" s="6" t="str">
        <f aca="false">IF(F1666=0,"NOT FOUND",INDEX('All Song Rankings'!$D:$D,F1666))</f>
        <v>Colleen</v>
      </c>
      <c r="J1666" s="7" t="str">
        <f aca="false">IF(F1666=0,"NOT FOUND",IF(C1666=I1666,"SELF-VOTE",IF(COUNTIF($K:$K,K1666)&gt;1,"DUPLICATE","OK")))</f>
        <v>OK</v>
      </c>
      <c r="K1666" s="6" t="str">
        <f aca="false">A1666&amp;"|"&amp;B1666&amp;"|"&amp;C1666&amp;"|"&amp;D1666</f>
        <v>3|5|Merita|spotify:track:1HwpWwa6bnqqRhK8agG4RS</v>
      </c>
    </row>
    <row r="1667" customFormat="false" ht="15" hidden="false" customHeight="false" outlineLevel="0" collapsed="false">
      <c r="A1667" s="5" t="n">
        <v>3</v>
      </c>
      <c r="B1667" s="5" t="n">
        <v>5</v>
      </c>
      <c r="C1667" s="5" t="s">
        <v>101</v>
      </c>
      <c r="D1667" s="5" t="s">
        <v>879</v>
      </c>
      <c r="E1667" s="5" t="n">
        <v>1</v>
      </c>
      <c r="F1667" s="6" t="n">
        <f aca="false">IFERROR(MATCH(A1667&amp;"|"&amp;B1667&amp;"|"&amp;D1667,'All Song Rankings'!$T:$T,0),0)</f>
        <v>262</v>
      </c>
      <c r="G1667" s="6" t="str">
        <f aca="false">IF(F1667=0,"NOT FOUND",INDEX('All Song Rankings'!$A:$A,F1667))</f>
        <v>Maybe I'm Amazed - Remastered 2011</v>
      </c>
      <c r="H1667" s="6" t="str">
        <f aca="false">IF(F1667=0,"NOT FOUND",INDEX('All Song Rankings'!$B:$B,F1667))</f>
        <v>Paul McCartney</v>
      </c>
      <c r="I1667" s="6" t="str">
        <f aca="false">IF(F1667=0,"NOT FOUND",INDEX('All Song Rankings'!$D:$D,F1667))</f>
        <v>Logan</v>
      </c>
      <c r="J1667" s="7" t="str">
        <f aca="false">IF(F1667=0,"NOT FOUND",IF(C1667=I1667,"SELF-VOTE",IF(COUNTIF($K:$K,K1667)&gt;1,"DUPLICATE","OK")))</f>
        <v>OK</v>
      </c>
      <c r="K1667" s="6" t="str">
        <f aca="false">A1667&amp;"|"&amp;B1667&amp;"|"&amp;C1667&amp;"|"&amp;D1667</f>
        <v>3|5|Merita|spotify:track:1Qa0Y05al633fG8f9Peytc</v>
      </c>
    </row>
    <row r="1668" customFormat="false" ht="15" hidden="false" customHeight="false" outlineLevel="0" collapsed="false">
      <c r="A1668" s="5" t="n">
        <v>3</v>
      </c>
      <c r="B1668" s="5" t="n">
        <v>5</v>
      </c>
      <c r="C1668" s="5" t="s">
        <v>101</v>
      </c>
      <c r="D1668" s="5" t="s">
        <v>882</v>
      </c>
      <c r="E1668" s="5" t="n">
        <v>1</v>
      </c>
      <c r="F1668" s="6" t="n">
        <f aca="false">IFERROR(MATCH(A1668&amp;"|"&amp;B1668&amp;"|"&amp;D1668,'All Song Rankings'!$T:$T,0),0)</f>
        <v>263</v>
      </c>
      <c r="G1668" s="6" t="str">
        <f aca="false">IF(F1668=0,"NOT FOUND",INDEX('All Song Rankings'!$A:$A,F1668))</f>
        <v>Glamorous</v>
      </c>
      <c r="H1668" s="6" t="str">
        <f aca="false">IF(F1668=0,"NOT FOUND",INDEX('All Song Rankings'!$B:$B,F1668))</f>
        <v>Fergie, Ludacris</v>
      </c>
      <c r="I1668" s="6" t="str">
        <f aca="false">IF(F1668=0,"NOT FOUND",INDEX('All Song Rankings'!$D:$D,F1668))</f>
        <v>Leah</v>
      </c>
      <c r="J1668" s="7" t="str">
        <f aca="false">IF(F1668=0,"NOT FOUND",IF(C1668=I1668,"SELF-VOTE",IF(COUNTIF($K:$K,K1668)&gt;1,"DUPLICATE","OK")))</f>
        <v>OK</v>
      </c>
      <c r="K1668" s="6" t="str">
        <f aca="false">A1668&amp;"|"&amp;B1668&amp;"|"&amp;C1668&amp;"|"&amp;D1668</f>
        <v>3|5|Merita|spotify:track:4KTtYhxFtFL7mBwnjkKfLm</v>
      </c>
    </row>
    <row r="1669" customFormat="false" ht="15" hidden="false" customHeight="false" outlineLevel="0" collapsed="false">
      <c r="A1669" s="5" t="n">
        <v>3</v>
      </c>
      <c r="B1669" s="5" t="n">
        <v>5</v>
      </c>
      <c r="C1669" s="5" t="s">
        <v>101</v>
      </c>
      <c r="D1669" s="5" t="s">
        <v>887</v>
      </c>
      <c r="E1669" s="5" t="n">
        <v>1</v>
      </c>
      <c r="F1669" s="6" t="n">
        <f aca="false">IFERROR(MATCH(A1669&amp;"|"&amp;B1669&amp;"|"&amp;D1669,'All Song Rankings'!$T:$T,0),0)</f>
        <v>265</v>
      </c>
      <c r="G1669" s="6" t="str">
        <f aca="false">IF(F1669=0,"NOT FOUND",INDEX('All Song Rankings'!$A:$A,F1669))</f>
        <v>Candy</v>
      </c>
      <c r="H1669" s="6" t="str">
        <f aca="false">IF(F1669=0,"NOT FOUND",INDEX('All Song Rankings'!$B:$B,F1669))</f>
        <v>Robbie Williams</v>
      </c>
      <c r="I1669" s="6" t="str">
        <f aca="false">IF(F1669=0,"NOT FOUND",INDEX('All Song Rankings'!$D:$D,F1669))</f>
        <v>Grace</v>
      </c>
      <c r="J1669" s="7" t="str">
        <f aca="false">IF(F1669=0,"NOT FOUND",IF(C1669=I1669,"SELF-VOTE",IF(COUNTIF($K:$K,K1669)&gt;1,"DUPLICATE","OK")))</f>
        <v>OK</v>
      </c>
      <c r="K1669" s="6" t="str">
        <f aca="false">A1669&amp;"|"&amp;B1669&amp;"|"&amp;C1669&amp;"|"&amp;D1669</f>
        <v>3|5|Merita|spotify:track:5NlFXQ0si6U87gXs6hq81B</v>
      </c>
    </row>
    <row r="1670" customFormat="false" ht="15" hidden="false" customHeight="false" outlineLevel="0" collapsed="false">
      <c r="A1670" s="5" t="n">
        <v>3</v>
      </c>
      <c r="B1670" s="5" t="n">
        <v>5</v>
      </c>
      <c r="C1670" s="5" t="s">
        <v>101</v>
      </c>
      <c r="D1670" s="5" t="s">
        <v>853</v>
      </c>
      <c r="E1670" s="5" t="n">
        <v>2</v>
      </c>
      <c r="F1670" s="6" t="n">
        <f aca="false">IFERROR(MATCH(A1670&amp;"|"&amp;B1670&amp;"|"&amp;D1670,'All Song Rankings'!$T:$T,0),0)</f>
        <v>253</v>
      </c>
      <c r="G1670" s="6" t="str">
        <f aca="false">IF(F1670=0,"NOT FOUND",INDEX('All Song Rankings'!$A:$A,F1670))</f>
        <v>Zombie Lady</v>
      </c>
      <c r="H1670" s="6" t="str">
        <f aca="false">IF(F1670=0,"NOT FOUND",INDEX('All Song Rankings'!$B:$B,F1670))</f>
        <v>Damiano David</v>
      </c>
      <c r="I1670" s="6" t="str">
        <f aca="false">IF(F1670=0,"NOT FOUND",INDEX('All Song Rankings'!$D:$D,F1670))</f>
        <v>Makenzie</v>
      </c>
      <c r="J1670" s="7" t="str">
        <f aca="false">IF(F1670=0,"NOT FOUND",IF(C1670=I1670,"SELF-VOTE",IF(COUNTIF($K:$K,K1670)&gt;1,"DUPLICATE","OK")))</f>
        <v>OK</v>
      </c>
      <c r="K1670" s="6" t="str">
        <f aca="false">A1670&amp;"|"&amp;B1670&amp;"|"&amp;C1670&amp;"|"&amp;D1670</f>
        <v>3|5|Merita|spotify:track:5hYP7TDRmkJPrgYdIy500S</v>
      </c>
    </row>
    <row r="1671" customFormat="false" ht="15" hidden="false" customHeight="false" outlineLevel="0" collapsed="false">
      <c r="A1671" s="5" t="n">
        <v>3</v>
      </c>
      <c r="B1671" s="5" t="n">
        <v>5</v>
      </c>
      <c r="C1671" s="5" t="s">
        <v>101</v>
      </c>
      <c r="D1671" s="5" t="s">
        <v>874</v>
      </c>
      <c r="E1671" s="5" t="n">
        <v>1</v>
      </c>
      <c r="F1671" s="6" t="n">
        <f aca="false">IFERROR(MATCH(A1671&amp;"|"&amp;B1671&amp;"|"&amp;D1671,'All Song Rankings'!$T:$T,0),0)</f>
        <v>260</v>
      </c>
      <c r="G1671" s="6" t="str">
        <f aca="false">IF(F1671=0,"NOT FOUND",INDEX('All Song Rankings'!$A:$A,F1671))</f>
        <v>Messy (From F1 The Movie)</v>
      </c>
      <c r="H1671" s="6" t="str">
        <f aca="false">IF(F1671=0,"NOT FOUND",INDEX('All Song Rankings'!$B:$B,F1671))</f>
        <v>ROSĖ, F1 The Album</v>
      </c>
      <c r="I1671" s="6" t="str">
        <f aca="false">IF(F1671=0,"NOT FOUND",INDEX('All Song Rankings'!$D:$D,F1671))</f>
        <v>Matt</v>
      </c>
      <c r="J1671" s="7" t="str">
        <f aca="false">IF(F1671=0,"NOT FOUND",IF(C1671=I1671,"SELF-VOTE",IF(COUNTIF($K:$K,K1671)&gt;1,"DUPLICATE","OK")))</f>
        <v>OK</v>
      </c>
      <c r="K1671" s="6" t="str">
        <f aca="false">A1671&amp;"|"&amp;B1671&amp;"|"&amp;C1671&amp;"|"&amp;D1671</f>
        <v>3|5|Merita|spotify:track:6Wobsw9uZ0D0xkfOjxXSq9</v>
      </c>
    </row>
    <row r="1672" customFormat="false" ht="15" hidden="false" customHeight="false" outlineLevel="0" collapsed="false">
      <c r="A1672" s="5" t="n">
        <v>3</v>
      </c>
      <c r="B1672" s="5" t="n">
        <v>5</v>
      </c>
      <c r="C1672" s="5" t="s">
        <v>92</v>
      </c>
      <c r="D1672" s="5" t="s">
        <v>856</v>
      </c>
      <c r="E1672" s="5" t="n">
        <v>1</v>
      </c>
      <c r="F1672" s="6" t="n">
        <f aca="false">IFERROR(MATCH(A1672&amp;"|"&amp;B1672&amp;"|"&amp;D1672,'All Song Rankings'!$T:$T,0),0)</f>
        <v>254</v>
      </c>
      <c r="G1672" s="6" t="str">
        <f aca="false">IF(F1672=0,"NOT FOUND",INDEX('All Song Rankings'!$A:$A,F1672))</f>
        <v>In The Air Tonight - 2015 Remastered</v>
      </c>
      <c r="H1672" s="6" t="str">
        <f aca="false">IF(F1672=0,"NOT FOUND",INDEX('All Song Rankings'!$B:$B,F1672))</f>
        <v>Phil Collins</v>
      </c>
      <c r="I1672" s="6" t="str">
        <f aca="false">IF(F1672=0,"NOT FOUND",INDEX('All Song Rankings'!$D:$D,F1672))</f>
        <v>Aubrey</v>
      </c>
      <c r="J1672" s="7" t="str">
        <f aca="false">IF(F1672=0,"NOT FOUND",IF(C1672=I1672,"SELF-VOTE",IF(COUNTIF($K:$K,K1672)&gt;1,"DUPLICATE","OK")))</f>
        <v>OK</v>
      </c>
      <c r="K1672" s="6" t="str">
        <f aca="false">A1672&amp;"|"&amp;B1672&amp;"|"&amp;C1672&amp;"|"&amp;D1672</f>
        <v>3|5|Nicole|spotify:track:18AXbzPzBS8Y3AkgSxzJPb</v>
      </c>
    </row>
    <row r="1673" customFormat="false" ht="15" hidden="false" customHeight="false" outlineLevel="0" collapsed="false">
      <c r="A1673" s="5" t="n">
        <v>3</v>
      </c>
      <c r="B1673" s="5" t="n">
        <v>5</v>
      </c>
      <c r="C1673" s="5" t="s">
        <v>92</v>
      </c>
      <c r="D1673" s="5" t="s">
        <v>868</v>
      </c>
      <c r="E1673" s="5" t="n">
        <v>2</v>
      </c>
      <c r="F1673" s="6" t="n">
        <f aca="false">IFERROR(MATCH(A1673&amp;"|"&amp;B1673&amp;"|"&amp;D1673,'All Song Rankings'!$T:$T,0),0)</f>
        <v>258</v>
      </c>
      <c r="G1673" s="6" t="str">
        <f aca="false">IF(F1673=0,"NOT FOUND",INDEX('All Song Rankings'!$A:$A,F1673))</f>
        <v>Beautiful Soul</v>
      </c>
      <c r="H1673" s="6" t="str">
        <f aca="false">IF(F1673=0,"NOT FOUND",INDEX('All Song Rankings'!$B:$B,F1673))</f>
        <v>Jesse McCartney</v>
      </c>
      <c r="I1673" s="6" t="str">
        <f aca="false">IF(F1673=0,"NOT FOUND",INDEX('All Song Rankings'!$D:$D,F1673))</f>
        <v>Colleen</v>
      </c>
      <c r="J1673" s="7" t="str">
        <f aca="false">IF(F1673=0,"NOT FOUND",IF(C1673=I1673,"SELF-VOTE",IF(COUNTIF($K:$K,K1673)&gt;1,"DUPLICATE","OK")))</f>
        <v>OK</v>
      </c>
      <c r="K1673" s="6" t="str">
        <f aca="false">A1673&amp;"|"&amp;B1673&amp;"|"&amp;C1673&amp;"|"&amp;D1673</f>
        <v>3|5|Nicole|spotify:track:1HwpWwa6bnqqRhK8agG4RS</v>
      </c>
    </row>
    <row r="1674" customFormat="false" ht="15" hidden="false" customHeight="false" outlineLevel="0" collapsed="false">
      <c r="A1674" s="5" t="n">
        <v>3</v>
      </c>
      <c r="B1674" s="5" t="n">
        <v>5</v>
      </c>
      <c r="C1674" s="5" t="s">
        <v>92</v>
      </c>
      <c r="D1674" s="5" t="s">
        <v>879</v>
      </c>
      <c r="E1674" s="5" t="n">
        <v>1</v>
      </c>
      <c r="F1674" s="6" t="n">
        <f aca="false">IFERROR(MATCH(A1674&amp;"|"&amp;B1674&amp;"|"&amp;D1674,'All Song Rankings'!$T:$T,0),0)</f>
        <v>262</v>
      </c>
      <c r="G1674" s="6" t="str">
        <f aca="false">IF(F1674=0,"NOT FOUND",INDEX('All Song Rankings'!$A:$A,F1674))</f>
        <v>Maybe I'm Amazed - Remastered 2011</v>
      </c>
      <c r="H1674" s="6" t="str">
        <f aca="false">IF(F1674=0,"NOT FOUND",INDEX('All Song Rankings'!$B:$B,F1674))</f>
        <v>Paul McCartney</v>
      </c>
      <c r="I1674" s="6" t="str">
        <f aca="false">IF(F1674=0,"NOT FOUND",INDEX('All Song Rankings'!$D:$D,F1674))</f>
        <v>Logan</v>
      </c>
      <c r="J1674" s="7" t="str">
        <f aca="false">IF(F1674=0,"NOT FOUND",IF(C1674=I1674,"SELF-VOTE",IF(COUNTIF($K:$K,K1674)&gt;1,"DUPLICATE","OK")))</f>
        <v>OK</v>
      </c>
      <c r="K1674" s="6" t="str">
        <f aca="false">A1674&amp;"|"&amp;B1674&amp;"|"&amp;C1674&amp;"|"&amp;D1674</f>
        <v>3|5|Nicole|spotify:track:1Qa0Y05al633fG8f9Peytc</v>
      </c>
    </row>
    <row r="1675" customFormat="false" ht="15" hidden="false" customHeight="false" outlineLevel="0" collapsed="false">
      <c r="A1675" s="5" t="n">
        <v>3</v>
      </c>
      <c r="B1675" s="5" t="n">
        <v>5</v>
      </c>
      <c r="C1675" s="5" t="s">
        <v>92</v>
      </c>
      <c r="D1675" s="5" t="s">
        <v>859</v>
      </c>
      <c r="E1675" s="5" t="n">
        <v>3</v>
      </c>
      <c r="F1675" s="6" t="n">
        <f aca="false">IFERROR(MATCH(A1675&amp;"|"&amp;B1675&amp;"|"&amp;D1675,'All Song Rankings'!$T:$T,0),0)</f>
        <v>255</v>
      </c>
      <c r="G1675" s="6" t="str">
        <f aca="false">IF(F1675=0,"NOT FOUND",INDEX('All Song Rankings'!$A:$A,F1675))</f>
        <v>Falling</v>
      </c>
      <c r="H1675" s="6" t="str">
        <f aca="false">IF(F1675=0,"NOT FOUND",INDEX('All Song Rankings'!$B:$B,F1675))</f>
        <v>Harry Styles</v>
      </c>
      <c r="I1675" s="6" t="str">
        <f aca="false">IF(F1675=0,"NOT FOUND",INDEX('All Song Rankings'!$D:$D,F1675))</f>
        <v>Merita</v>
      </c>
      <c r="J1675" s="7" t="str">
        <f aca="false">IF(F1675=0,"NOT FOUND",IF(C1675=I1675,"SELF-VOTE",IF(COUNTIF($K:$K,K1675)&gt;1,"DUPLICATE","OK")))</f>
        <v>OK</v>
      </c>
      <c r="K1675" s="6" t="str">
        <f aca="false">A1675&amp;"|"&amp;B1675&amp;"|"&amp;C1675&amp;"|"&amp;D1675</f>
        <v>3|5|Nicole|spotify:track:1ZMiCix7XSAbfAJlEZWMCp</v>
      </c>
    </row>
    <row r="1676" customFormat="false" ht="15" hidden="false" customHeight="false" outlineLevel="0" collapsed="false">
      <c r="A1676" s="5" t="n">
        <v>3</v>
      </c>
      <c r="B1676" s="5" t="n">
        <v>5</v>
      </c>
      <c r="C1676" s="5" t="s">
        <v>92</v>
      </c>
      <c r="D1676" s="5" t="s">
        <v>882</v>
      </c>
      <c r="E1676" s="5" t="n">
        <v>1</v>
      </c>
      <c r="F1676" s="6" t="n">
        <f aca="false">IFERROR(MATCH(A1676&amp;"|"&amp;B1676&amp;"|"&amp;D1676,'All Song Rankings'!$T:$T,0),0)</f>
        <v>263</v>
      </c>
      <c r="G1676" s="6" t="str">
        <f aca="false">IF(F1676=0,"NOT FOUND",INDEX('All Song Rankings'!$A:$A,F1676))</f>
        <v>Glamorous</v>
      </c>
      <c r="H1676" s="6" t="str">
        <f aca="false">IF(F1676=0,"NOT FOUND",INDEX('All Song Rankings'!$B:$B,F1676))</f>
        <v>Fergie, Ludacris</v>
      </c>
      <c r="I1676" s="6" t="str">
        <f aca="false">IF(F1676=0,"NOT FOUND",INDEX('All Song Rankings'!$D:$D,F1676))</f>
        <v>Leah</v>
      </c>
      <c r="J1676" s="7" t="str">
        <f aca="false">IF(F1676=0,"NOT FOUND",IF(C1676=I1676,"SELF-VOTE",IF(COUNTIF($K:$K,K1676)&gt;1,"DUPLICATE","OK")))</f>
        <v>OK</v>
      </c>
      <c r="K1676" s="6" t="str">
        <f aca="false">A1676&amp;"|"&amp;B1676&amp;"|"&amp;C1676&amp;"|"&amp;D1676</f>
        <v>3|5|Nicole|spotify:track:4KTtYhxFtFL7mBwnjkKfLm</v>
      </c>
    </row>
    <row r="1677" customFormat="false" ht="15" hidden="false" customHeight="false" outlineLevel="0" collapsed="false">
      <c r="A1677" s="5" t="n">
        <v>3</v>
      </c>
      <c r="B1677" s="5" t="n">
        <v>5</v>
      </c>
      <c r="C1677" s="5" t="s">
        <v>92</v>
      </c>
      <c r="D1677" s="5" t="s">
        <v>890</v>
      </c>
      <c r="E1677" s="5" t="n">
        <v>1</v>
      </c>
      <c r="F1677" s="6" t="n">
        <f aca="false">IFERROR(MATCH(A1677&amp;"|"&amp;B1677&amp;"|"&amp;D1677,'All Song Rankings'!$T:$T,0),0)</f>
        <v>266</v>
      </c>
      <c r="G1677" s="6" t="str">
        <f aca="false">IF(F1677=0,"NOT FOUND",INDEX('All Song Rankings'!$A:$A,F1677))</f>
        <v>I Don't Wanna Stop</v>
      </c>
      <c r="H1677" s="6" t="str">
        <f aca="false">IF(F1677=0,"NOT FOUND",INDEX('All Song Rankings'!$B:$B,F1677))</f>
        <v>Ozzy Osbourne</v>
      </c>
      <c r="I1677" s="6" t="str">
        <f aca="false">IF(F1677=0,"NOT FOUND",INDEX('All Song Rankings'!$D:$D,F1677))</f>
        <v>Scott</v>
      </c>
      <c r="J1677" s="7" t="str">
        <f aca="false">IF(F1677=0,"NOT FOUND",IF(C1677=I1677,"SELF-VOTE",IF(COUNTIF($K:$K,K1677)&gt;1,"DUPLICATE","OK")))</f>
        <v>OK</v>
      </c>
      <c r="K1677" s="6" t="str">
        <f aca="false">A1677&amp;"|"&amp;B1677&amp;"|"&amp;C1677&amp;"|"&amp;D1677</f>
        <v>3|5|Nicole|spotify:track:5axOkQnmQmwtjr4bv1Xt7i</v>
      </c>
    </row>
    <row r="1678" customFormat="false" ht="15" hidden="false" customHeight="false" outlineLevel="0" collapsed="false">
      <c r="A1678" s="5" t="n">
        <v>3</v>
      </c>
      <c r="B1678" s="5" t="n">
        <v>5</v>
      </c>
      <c r="C1678" s="5" t="s">
        <v>92</v>
      </c>
      <c r="D1678" s="5" t="s">
        <v>853</v>
      </c>
      <c r="E1678" s="5" t="n">
        <v>1</v>
      </c>
      <c r="F1678" s="6" t="n">
        <f aca="false">IFERROR(MATCH(A1678&amp;"|"&amp;B1678&amp;"|"&amp;D1678,'All Song Rankings'!$T:$T,0),0)</f>
        <v>253</v>
      </c>
      <c r="G1678" s="6" t="str">
        <f aca="false">IF(F1678=0,"NOT FOUND",INDEX('All Song Rankings'!$A:$A,F1678))</f>
        <v>Zombie Lady</v>
      </c>
      <c r="H1678" s="6" t="str">
        <f aca="false">IF(F1678=0,"NOT FOUND",INDEX('All Song Rankings'!$B:$B,F1678))</f>
        <v>Damiano David</v>
      </c>
      <c r="I1678" s="6" t="str">
        <f aca="false">IF(F1678=0,"NOT FOUND",INDEX('All Song Rankings'!$D:$D,F1678))</f>
        <v>Makenzie</v>
      </c>
      <c r="J1678" s="7" t="str">
        <f aca="false">IF(F1678=0,"NOT FOUND",IF(C1678=I1678,"SELF-VOTE",IF(COUNTIF($K:$K,K1678)&gt;1,"DUPLICATE","OK")))</f>
        <v>OK</v>
      </c>
      <c r="K1678" s="6" t="str">
        <f aca="false">A1678&amp;"|"&amp;B1678&amp;"|"&amp;C1678&amp;"|"&amp;D1678</f>
        <v>3|5|Nicole|spotify:track:5hYP7TDRmkJPrgYdIy500S</v>
      </c>
    </row>
    <row r="1679" customFormat="false" ht="15" hidden="false" customHeight="false" outlineLevel="0" collapsed="false">
      <c r="A1679" s="5" t="n">
        <v>3</v>
      </c>
      <c r="B1679" s="5" t="n">
        <v>5</v>
      </c>
      <c r="C1679" s="5" t="s">
        <v>97</v>
      </c>
      <c r="D1679" s="5" t="s">
        <v>856</v>
      </c>
      <c r="E1679" s="5" t="n">
        <v>2</v>
      </c>
      <c r="F1679" s="6" t="n">
        <f aca="false">IFERROR(MATCH(A1679&amp;"|"&amp;B1679&amp;"|"&amp;D1679,'All Song Rankings'!$T:$T,0),0)</f>
        <v>254</v>
      </c>
      <c r="G1679" s="6" t="str">
        <f aca="false">IF(F1679=0,"NOT FOUND",INDEX('All Song Rankings'!$A:$A,F1679))</f>
        <v>In The Air Tonight - 2015 Remastered</v>
      </c>
      <c r="H1679" s="6" t="str">
        <f aca="false">IF(F1679=0,"NOT FOUND",INDEX('All Song Rankings'!$B:$B,F1679))</f>
        <v>Phil Collins</v>
      </c>
      <c r="I1679" s="6" t="str">
        <f aca="false">IF(F1679=0,"NOT FOUND",INDEX('All Song Rankings'!$D:$D,F1679))</f>
        <v>Aubrey</v>
      </c>
      <c r="J1679" s="7" t="str">
        <f aca="false">IF(F1679=0,"NOT FOUND",IF(C1679=I1679,"SELF-VOTE",IF(COUNTIF($K:$K,K1679)&gt;1,"DUPLICATE","OK")))</f>
        <v>OK</v>
      </c>
      <c r="K1679" s="6" t="str">
        <f aca="false">A1679&amp;"|"&amp;B1679&amp;"|"&amp;C1679&amp;"|"&amp;D1679</f>
        <v>3|5|Stephanie|spotify:track:18AXbzPzBS8Y3AkgSxzJPb</v>
      </c>
    </row>
    <row r="1680" customFormat="false" ht="15" hidden="false" customHeight="false" outlineLevel="0" collapsed="false">
      <c r="A1680" s="5" t="n">
        <v>3</v>
      </c>
      <c r="B1680" s="5" t="n">
        <v>5</v>
      </c>
      <c r="C1680" s="5" t="s">
        <v>97</v>
      </c>
      <c r="D1680" s="5" t="s">
        <v>868</v>
      </c>
      <c r="E1680" s="5" t="n">
        <v>1</v>
      </c>
      <c r="F1680" s="6" t="n">
        <f aca="false">IFERROR(MATCH(A1680&amp;"|"&amp;B1680&amp;"|"&amp;D1680,'All Song Rankings'!$T:$T,0),0)</f>
        <v>258</v>
      </c>
      <c r="G1680" s="6" t="str">
        <f aca="false">IF(F1680=0,"NOT FOUND",INDEX('All Song Rankings'!$A:$A,F1680))</f>
        <v>Beautiful Soul</v>
      </c>
      <c r="H1680" s="6" t="str">
        <f aca="false">IF(F1680=0,"NOT FOUND",INDEX('All Song Rankings'!$B:$B,F1680))</f>
        <v>Jesse McCartney</v>
      </c>
      <c r="I1680" s="6" t="str">
        <f aca="false">IF(F1680=0,"NOT FOUND",INDEX('All Song Rankings'!$D:$D,F1680))</f>
        <v>Colleen</v>
      </c>
      <c r="J1680" s="7" t="str">
        <f aca="false">IF(F1680=0,"NOT FOUND",IF(C1680=I1680,"SELF-VOTE",IF(COUNTIF($K:$K,K1680)&gt;1,"DUPLICATE","OK")))</f>
        <v>OK</v>
      </c>
      <c r="K1680" s="6" t="str">
        <f aca="false">A1680&amp;"|"&amp;B1680&amp;"|"&amp;C1680&amp;"|"&amp;D1680</f>
        <v>3|5|Stephanie|spotify:track:1HwpWwa6bnqqRhK8agG4RS</v>
      </c>
    </row>
    <row r="1681" customFormat="false" ht="15" hidden="false" customHeight="false" outlineLevel="0" collapsed="false">
      <c r="A1681" s="5" t="n">
        <v>3</v>
      </c>
      <c r="B1681" s="5" t="n">
        <v>5</v>
      </c>
      <c r="C1681" s="5" t="s">
        <v>97</v>
      </c>
      <c r="D1681" s="5" t="s">
        <v>877</v>
      </c>
      <c r="E1681" s="5" t="n">
        <v>1</v>
      </c>
      <c r="F1681" s="6" t="n">
        <f aca="false">IFERROR(MATCH(A1681&amp;"|"&amp;B1681&amp;"|"&amp;D1681,'All Song Rankings'!$T:$T,0),0)</f>
        <v>261</v>
      </c>
      <c r="G1681" s="6" t="str">
        <f aca="false">IF(F1681=0,"NOT FOUND",INDEX('All Song Rankings'!$A:$A,F1681))</f>
        <v>Is Anybody Out There</v>
      </c>
      <c r="H1681" s="6" t="str">
        <f aca="false">IF(F1681=0,"NOT FOUND",INDEX('All Song Rankings'!$B:$B,F1681))</f>
        <v>Joey McIntyre</v>
      </c>
      <c r="I1681" s="6" t="str">
        <f aca="false">IF(F1681=0,"NOT FOUND",INDEX('All Song Rankings'!$D:$D,F1681))</f>
        <v>Christine</v>
      </c>
      <c r="J1681" s="7" t="str">
        <f aca="false">IF(F1681=0,"NOT FOUND",IF(C1681=I1681,"SELF-VOTE",IF(COUNTIF($K:$K,K1681)&gt;1,"DUPLICATE","OK")))</f>
        <v>OK</v>
      </c>
      <c r="K1681" s="6" t="str">
        <f aca="false">A1681&amp;"|"&amp;B1681&amp;"|"&amp;C1681&amp;"|"&amp;D1681</f>
        <v>3|5|Stephanie|spotify:track:3HCIjTIRedmAYgFGEi8IAL</v>
      </c>
    </row>
    <row r="1682" customFormat="false" ht="15" hidden="false" customHeight="false" outlineLevel="0" collapsed="false">
      <c r="A1682" s="5" t="n">
        <v>3</v>
      </c>
      <c r="B1682" s="5" t="n">
        <v>5</v>
      </c>
      <c r="C1682" s="5" t="s">
        <v>97</v>
      </c>
      <c r="D1682" s="5" t="s">
        <v>890</v>
      </c>
      <c r="E1682" s="5" t="n">
        <v>1</v>
      </c>
      <c r="F1682" s="6" t="n">
        <f aca="false">IFERROR(MATCH(A1682&amp;"|"&amp;B1682&amp;"|"&amp;D1682,'All Song Rankings'!$T:$T,0),0)</f>
        <v>266</v>
      </c>
      <c r="G1682" s="6" t="str">
        <f aca="false">IF(F1682=0,"NOT FOUND",INDEX('All Song Rankings'!$A:$A,F1682))</f>
        <v>I Don't Wanna Stop</v>
      </c>
      <c r="H1682" s="6" t="str">
        <f aca="false">IF(F1682=0,"NOT FOUND",INDEX('All Song Rankings'!$B:$B,F1682))</f>
        <v>Ozzy Osbourne</v>
      </c>
      <c r="I1682" s="6" t="str">
        <f aca="false">IF(F1682=0,"NOT FOUND",INDEX('All Song Rankings'!$D:$D,F1682))</f>
        <v>Scott</v>
      </c>
      <c r="J1682" s="7" t="str">
        <f aca="false">IF(F1682=0,"NOT FOUND",IF(C1682=I1682,"SELF-VOTE",IF(COUNTIF($K:$K,K1682)&gt;1,"DUPLICATE","OK")))</f>
        <v>OK</v>
      </c>
      <c r="K1682" s="6" t="str">
        <f aca="false">A1682&amp;"|"&amp;B1682&amp;"|"&amp;C1682&amp;"|"&amp;D1682</f>
        <v>3|5|Stephanie|spotify:track:5axOkQnmQmwtjr4bv1Xt7i</v>
      </c>
    </row>
    <row r="1683" customFormat="false" ht="15" hidden="false" customHeight="false" outlineLevel="0" collapsed="false">
      <c r="A1683" s="5" t="n">
        <v>3</v>
      </c>
      <c r="B1683" s="5" t="n">
        <v>5</v>
      </c>
      <c r="C1683" s="5" t="s">
        <v>97</v>
      </c>
      <c r="D1683" s="5" t="s">
        <v>874</v>
      </c>
      <c r="E1683" s="5" t="n">
        <v>2</v>
      </c>
      <c r="F1683" s="6" t="n">
        <f aca="false">IFERROR(MATCH(A1683&amp;"|"&amp;B1683&amp;"|"&amp;D1683,'All Song Rankings'!$T:$T,0),0)</f>
        <v>260</v>
      </c>
      <c r="G1683" s="6" t="str">
        <f aca="false">IF(F1683=0,"NOT FOUND",INDEX('All Song Rankings'!$A:$A,F1683))</f>
        <v>Messy (From F1 The Movie)</v>
      </c>
      <c r="H1683" s="6" t="str">
        <f aca="false">IF(F1683=0,"NOT FOUND",INDEX('All Song Rankings'!$B:$B,F1683))</f>
        <v>ROSĖ, F1 The Album</v>
      </c>
      <c r="I1683" s="6" t="str">
        <f aca="false">IF(F1683=0,"NOT FOUND",INDEX('All Song Rankings'!$D:$D,F1683))</f>
        <v>Matt</v>
      </c>
      <c r="J1683" s="7" t="str">
        <f aca="false">IF(F1683=0,"NOT FOUND",IF(C1683=I1683,"SELF-VOTE",IF(COUNTIF($K:$K,K1683)&gt;1,"DUPLICATE","OK")))</f>
        <v>OK</v>
      </c>
      <c r="K1683" s="6" t="str">
        <f aca="false">A1683&amp;"|"&amp;B1683&amp;"|"&amp;C1683&amp;"|"&amp;D1683</f>
        <v>3|5|Stephanie|spotify:track:6Wobsw9uZ0D0xkfOjxXSq9</v>
      </c>
    </row>
    <row r="1684" customFormat="false" ht="15" hidden="false" customHeight="false" outlineLevel="0" collapsed="false">
      <c r="A1684" s="5" t="n">
        <v>3</v>
      </c>
      <c r="B1684" s="5" t="n">
        <v>5</v>
      </c>
      <c r="C1684" s="5" t="s">
        <v>97</v>
      </c>
      <c r="D1684" s="5" t="s">
        <v>862</v>
      </c>
      <c r="E1684" s="5" t="n">
        <v>3</v>
      </c>
      <c r="F1684" s="6" t="n">
        <f aca="false">IFERROR(MATCH(A1684&amp;"|"&amp;B1684&amp;"|"&amp;D1684,'All Song Rankings'!$T:$T,0),0)</f>
        <v>256</v>
      </c>
      <c r="G1684" s="6" t="str">
        <f aca="false">IF(F1684=0,"NOT FOUND",INDEX('All Song Rankings'!$A:$A,F1684))</f>
        <v>Someday</v>
      </c>
      <c r="H1684" s="6" t="str">
        <f aca="false">IF(F1684=0,"NOT FOUND",INDEX('All Song Rankings'!$B:$B,F1684))</f>
        <v>Rob Thomas</v>
      </c>
      <c r="I1684" s="6" t="str">
        <f aca="false">IF(F1684=0,"NOT FOUND",INDEX('All Song Rankings'!$D:$D,F1684))</f>
        <v>Kristen</v>
      </c>
      <c r="J1684" s="7" t="str">
        <f aca="false">IF(F1684=0,"NOT FOUND",IF(C1684=I1684,"SELF-VOTE",IF(COUNTIF($K:$K,K1684)&gt;1,"DUPLICATE","OK")))</f>
        <v>OK</v>
      </c>
      <c r="K1684" s="6" t="str">
        <f aca="false">A1684&amp;"|"&amp;B1684&amp;"|"&amp;C1684&amp;"|"&amp;D1684</f>
        <v>3|5|Stephanie|spotify:track:7uPQU7uKvsZZ7T9XnpBpFg</v>
      </c>
    </row>
    <row r="1685" customFormat="false" ht="15" hidden="false" customHeight="false" outlineLevel="0" collapsed="false">
      <c r="A1685" s="5" t="n">
        <v>3</v>
      </c>
      <c r="B1685" s="5" t="n">
        <v>6</v>
      </c>
      <c r="C1685" s="5" t="s">
        <v>375</v>
      </c>
      <c r="D1685" s="5" t="s">
        <v>905</v>
      </c>
      <c r="E1685" s="5" t="n">
        <v>1</v>
      </c>
      <c r="F1685" s="6" t="n">
        <f aca="false">IFERROR(MATCH(A1685&amp;"|"&amp;B1685&amp;"|"&amp;D1685,'All Song Rankings'!$T:$T,0),0)</f>
        <v>271</v>
      </c>
      <c r="G1685" s="6" t="str">
        <f aca="false">IF(F1685=0,"NOT FOUND",INDEX('All Song Rankings'!$A:$A,F1685))</f>
        <v>Arabian Nights</v>
      </c>
      <c r="H1685" s="6" t="str">
        <f aca="false">IF(F1685=0,"NOT FOUND",INDEX('All Song Rankings'!$B:$B,F1685))</f>
        <v>Bruce Adler, Disney</v>
      </c>
      <c r="I1685" s="6" t="str">
        <f aca="false">IF(F1685=0,"NOT FOUND",INDEX('All Song Rankings'!$D:$D,F1685))</f>
        <v>Grace</v>
      </c>
      <c r="J1685" s="7" t="str">
        <f aca="false">IF(F1685=0,"NOT FOUND",IF(C1685=I1685,"SELF-VOTE",IF(COUNTIF($K:$K,K1685)&gt;1,"DUPLICATE","OK")))</f>
        <v>OK</v>
      </c>
      <c r="K1685" s="6" t="str">
        <f aca="false">A1685&amp;"|"&amp;B1685&amp;"|"&amp;C1685&amp;"|"&amp;D1685</f>
        <v>3|6|Aubrey|spotify:track:0CKmN3Wwk8W4zjU0pqq2cv</v>
      </c>
    </row>
    <row r="1686" customFormat="false" ht="15" hidden="false" customHeight="false" outlineLevel="0" collapsed="false">
      <c r="A1686" s="5" t="n">
        <v>3</v>
      </c>
      <c r="B1686" s="5" t="n">
        <v>6</v>
      </c>
      <c r="C1686" s="5" t="s">
        <v>375</v>
      </c>
      <c r="D1686" s="5" t="s">
        <v>902</v>
      </c>
      <c r="E1686" s="5" t="n">
        <v>2</v>
      </c>
      <c r="F1686" s="6" t="n">
        <f aca="false">IFERROR(MATCH(A1686&amp;"|"&amp;B1686&amp;"|"&amp;D1686,'All Song Rankings'!$T:$T,0),0)</f>
        <v>270</v>
      </c>
      <c r="G1686" s="6" t="str">
        <f aca="false">IF(F1686=0,"NOT FOUND",INDEX('All Song Rankings'!$A:$A,F1686))</f>
        <v>Circle of Life</v>
      </c>
      <c r="H1686" s="6" t="str">
        <f aca="false">IF(F1686=0,"NOT FOUND",INDEX('All Song Rankings'!$B:$B,F1686))</f>
        <v>Carmen Twillie, Lebo M.</v>
      </c>
      <c r="I1686" s="6" t="str">
        <f aca="false">IF(F1686=0,"NOT FOUND",INDEX('All Song Rankings'!$D:$D,F1686))</f>
        <v>Kristen</v>
      </c>
      <c r="J1686" s="7" t="str">
        <f aca="false">IF(F1686=0,"NOT FOUND",IF(C1686=I1686,"SELF-VOTE",IF(COUNTIF($K:$K,K1686)&gt;1,"DUPLICATE","OK")))</f>
        <v>OK</v>
      </c>
      <c r="K1686" s="6" t="str">
        <f aca="false">A1686&amp;"|"&amp;B1686&amp;"|"&amp;C1686&amp;"|"&amp;D1686</f>
        <v>3|6|Aubrey|spotify:track:0HU5JnVaKNTWf6GykV9Zn8</v>
      </c>
    </row>
    <row r="1687" customFormat="false" ht="15" hidden="false" customHeight="false" outlineLevel="0" collapsed="false">
      <c r="A1687" s="5" t="n">
        <v>3</v>
      </c>
      <c r="B1687" s="5" t="n">
        <v>6</v>
      </c>
      <c r="C1687" s="5" t="s">
        <v>375</v>
      </c>
      <c r="D1687" s="5" t="s">
        <v>917</v>
      </c>
      <c r="E1687" s="5" t="n">
        <v>1</v>
      </c>
      <c r="F1687" s="6" t="n">
        <f aca="false">IFERROR(MATCH(A1687&amp;"|"&amp;B1687&amp;"|"&amp;D1687,'All Song Rankings'!$T:$T,0),0)</f>
        <v>275</v>
      </c>
      <c r="G1687" s="6" t="str">
        <f aca="false">IF(F1687=0,"NOT FOUND",INDEX('All Song Rankings'!$A:$A,F1687))</f>
        <v>Belle</v>
      </c>
      <c r="H1687" s="6" t="str">
        <f aca="false">IF(F1687=0,"NOT FOUND",INDEX('All Song Rankings'!$B:$B,F1687))</f>
        <v>Richard White, Paige O'Hara, Chorus - Beauty And the Beast, Disney</v>
      </c>
      <c r="I1687" s="6" t="str">
        <f aca="false">IF(F1687=0,"NOT FOUND",INDEX('All Song Rankings'!$D:$D,F1687))</f>
        <v>Makenzie</v>
      </c>
      <c r="J1687" s="7" t="str">
        <f aca="false">IF(F1687=0,"NOT FOUND",IF(C1687=I1687,"SELF-VOTE",IF(COUNTIF($K:$K,K1687)&gt;1,"DUPLICATE","OK")))</f>
        <v>OK</v>
      </c>
      <c r="K1687" s="6" t="str">
        <f aca="false">A1687&amp;"|"&amp;B1687&amp;"|"&amp;C1687&amp;"|"&amp;D1687</f>
        <v>3|6|Aubrey|spotify:track:0Q4a3PdGEME9w8Jgqa0Gf3</v>
      </c>
    </row>
    <row r="1688" customFormat="false" ht="15" hidden="false" customHeight="false" outlineLevel="0" collapsed="false">
      <c r="A1688" s="5" t="n">
        <v>3</v>
      </c>
      <c r="B1688" s="5" t="n">
        <v>6</v>
      </c>
      <c r="C1688" s="5" t="s">
        <v>375</v>
      </c>
      <c r="D1688" s="5" t="s">
        <v>908</v>
      </c>
      <c r="E1688" s="5" t="n">
        <v>1</v>
      </c>
      <c r="F1688" s="6" t="n">
        <f aca="false">IFERROR(MATCH(A1688&amp;"|"&amp;B1688&amp;"|"&amp;D1688,'All Song Rankings'!$T:$T,0),0)</f>
        <v>272</v>
      </c>
      <c r="G1688" s="6" t="str">
        <f aca="false">IF(F1688=0,"NOT FOUND",INDEX('All Song Rankings'!$A:$A,F1688))</f>
        <v>Ain't No Mountain High Enough</v>
      </c>
      <c r="H1688" s="6" t="str">
        <f aca="false">IF(F1688=0,"NOT FOUND",INDEX('All Song Rankings'!$B:$B,F1688))</f>
        <v>Marvin Gaye, Tammi Terrell</v>
      </c>
      <c r="I1688" s="6" t="str">
        <f aca="false">IF(F1688=0,"NOT FOUND",INDEX('All Song Rankings'!$D:$D,F1688))</f>
        <v>Lisa</v>
      </c>
      <c r="J1688" s="7" t="str">
        <f aca="false">IF(F1688=0,"NOT FOUND",IF(C1688=I1688,"SELF-VOTE",IF(COUNTIF($K:$K,K1688)&gt;1,"DUPLICATE","OK")))</f>
        <v>OK</v>
      </c>
      <c r="K1688" s="6" t="str">
        <f aca="false">A1688&amp;"|"&amp;B1688&amp;"|"&amp;C1688&amp;"|"&amp;D1688</f>
        <v>3|6|Aubrey|spotify:track:0Z5rLOv4Mqc4hKZ1dPjODv</v>
      </c>
    </row>
    <row r="1689" customFormat="false" ht="15" hidden="false" customHeight="false" outlineLevel="0" collapsed="false">
      <c r="A1689" s="5" t="n">
        <v>3</v>
      </c>
      <c r="B1689" s="5" t="n">
        <v>6</v>
      </c>
      <c r="C1689" s="5" t="s">
        <v>375</v>
      </c>
      <c r="D1689" s="5" t="s">
        <v>896</v>
      </c>
      <c r="E1689" s="5" t="n">
        <v>3</v>
      </c>
      <c r="F1689" s="6" t="n">
        <f aca="false">IFERROR(MATCH(A1689&amp;"|"&amp;B1689&amp;"|"&amp;D1689,'All Song Rankings'!$T:$T,0),0)</f>
        <v>268</v>
      </c>
      <c r="G1689" s="6" t="str">
        <f aca="false">IF(F1689=0,"NOT FOUND",INDEX('All Song Rankings'!$A:$A,F1689))</f>
        <v>Zoo</v>
      </c>
      <c r="H1689" s="6" t="str">
        <f aca="false">IF(F1689=0,"NOT FOUND",INDEX('All Song Rankings'!$B:$B,F1689))</f>
        <v>Disney, Shakira</v>
      </c>
      <c r="I1689" s="6" t="str">
        <f aca="false">IF(F1689=0,"NOT FOUND",INDEX('All Song Rankings'!$D:$D,F1689))</f>
        <v>Matt</v>
      </c>
      <c r="J1689" s="7" t="str">
        <f aca="false">IF(F1689=0,"NOT FOUND",IF(C1689=I1689,"SELF-VOTE",IF(COUNTIF($K:$K,K1689)&gt;1,"DUPLICATE","OK")))</f>
        <v>OK</v>
      </c>
      <c r="K1689" s="6" t="str">
        <f aca="false">A1689&amp;"|"&amp;B1689&amp;"|"&amp;C1689&amp;"|"&amp;D1689</f>
        <v>3|6|Aubrey|spotify:track:3vJIaiTIHxHhYafTSPNiH4</v>
      </c>
    </row>
    <row r="1690" customFormat="false" ht="15" hidden="false" customHeight="false" outlineLevel="0" collapsed="false">
      <c r="A1690" s="5" t="n">
        <v>3</v>
      </c>
      <c r="B1690" s="5" t="n">
        <v>6</v>
      </c>
      <c r="C1690" s="5" t="s">
        <v>375</v>
      </c>
      <c r="D1690" s="5" t="s">
        <v>920</v>
      </c>
      <c r="E1690" s="5" t="n">
        <v>1</v>
      </c>
      <c r="F1690" s="6" t="n">
        <f aca="false">IFERROR(MATCH(A1690&amp;"|"&amp;B1690&amp;"|"&amp;D1690,'All Song Rankings'!$T:$T,0),0)</f>
        <v>276</v>
      </c>
      <c r="G1690" s="6" t="str">
        <f aca="false">IF(F1690=0,"NOT FOUND",INDEX('All Song Rankings'!$A:$A,F1690))</f>
        <v>The Bells of Notre Dame</v>
      </c>
      <c r="H1690" s="6" t="str">
        <f aca="false">IF(F1690=0,"NOT FOUND",INDEX('All Song Rankings'!$B:$B,F1690))</f>
        <v>David Ogden Stiers, Tony Jay, Paul Kandel, Chorus - The Hunchback Of Notre Dame</v>
      </c>
      <c r="I1690" s="6" t="str">
        <f aca="false">IF(F1690=0,"NOT FOUND",INDEX('All Song Rankings'!$D:$D,F1690))</f>
        <v>Stephanie</v>
      </c>
      <c r="J1690" s="7" t="str">
        <f aca="false">IF(F1690=0,"NOT FOUND",IF(C1690=I1690,"SELF-VOTE",IF(COUNTIF($K:$K,K1690)&gt;1,"DUPLICATE","OK")))</f>
        <v>OK</v>
      </c>
      <c r="K1690" s="6" t="str">
        <f aca="false">A1690&amp;"|"&amp;B1690&amp;"|"&amp;C1690&amp;"|"&amp;D1690</f>
        <v>3|6|Aubrey|spotify:track:47Wo2LeGbzdZTdEFNRZXV0</v>
      </c>
    </row>
    <row r="1691" customFormat="false" ht="15" hidden="false" customHeight="false" outlineLevel="0" collapsed="false">
      <c r="A1691" s="5" t="n">
        <v>3</v>
      </c>
      <c r="B1691" s="5" t="n">
        <v>6</v>
      </c>
      <c r="C1691" s="5" t="s">
        <v>375</v>
      </c>
      <c r="D1691" s="5" t="s">
        <v>911</v>
      </c>
      <c r="E1691" s="5" t="n">
        <v>1</v>
      </c>
      <c r="F1691" s="6" t="n">
        <f aca="false">IFERROR(MATCH(A1691&amp;"|"&amp;B1691&amp;"|"&amp;D1691,'All Song Rankings'!$T:$T,0),0)</f>
        <v>273</v>
      </c>
      <c r="G1691" s="6" t="str">
        <f aca="false">IF(F1691=0,"NOT FOUND",INDEX('All Song Rankings'!$A:$A,F1691))</f>
        <v>The Gospel Truth I / Main Titles - Hercules</v>
      </c>
      <c r="H1691" s="6" t="str">
        <f aca="false">IF(F1691=0,"NOT FOUND",INDEX('All Song Rankings'!$B:$B,F1691))</f>
        <v>Cheryl Freeman, LaChanze, Vaneese Thomas, Lillias White, Roz Ryan, Disney</v>
      </c>
      <c r="I1691" s="6" t="str">
        <f aca="false">IF(F1691=0,"NOT FOUND",INDEX('All Song Rankings'!$D:$D,F1691))</f>
        <v>Christine</v>
      </c>
      <c r="J1691" s="7" t="str">
        <f aca="false">IF(F1691=0,"NOT FOUND",IF(C1691=I1691,"SELF-VOTE",IF(COUNTIF($K:$K,K1691)&gt;1,"DUPLICATE","OK")))</f>
        <v>OK</v>
      </c>
      <c r="K1691" s="6" t="str">
        <f aca="false">A1691&amp;"|"&amp;B1691&amp;"|"&amp;C1691&amp;"|"&amp;D1691</f>
        <v>3|6|Aubrey|spotify:track:6uW03WHG3qv2FzxPIW6SUP</v>
      </c>
    </row>
    <row r="1692" customFormat="false" ht="15" hidden="false" customHeight="false" outlineLevel="0" collapsed="false">
      <c r="A1692" s="5" t="n">
        <v>3</v>
      </c>
      <c r="B1692" s="5" t="n">
        <v>6</v>
      </c>
      <c r="C1692" s="5" t="s">
        <v>719</v>
      </c>
      <c r="D1692" s="5" t="s">
        <v>908</v>
      </c>
      <c r="E1692" s="5" t="n">
        <v>1</v>
      </c>
      <c r="F1692" s="6" t="n">
        <f aca="false">IFERROR(MATCH(A1692&amp;"|"&amp;B1692&amp;"|"&amp;D1692,'All Song Rankings'!$T:$T,0),0)</f>
        <v>272</v>
      </c>
      <c r="G1692" s="6" t="str">
        <f aca="false">IF(F1692=0,"NOT FOUND",INDEX('All Song Rankings'!$A:$A,F1692))</f>
        <v>Ain't No Mountain High Enough</v>
      </c>
      <c r="H1692" s="6" t="str">
        <f aca="false">IF(F1692=0,"NOT FOUND",INDEX('All Song Rankings'!$B:$B,F1692))</f>
        <v>Marvin Gaye, Tammi Terrell</v>
      </c>
      <c r="I1692" s="6" t="str">
        <f aca="false">IF(F1692=0,"NOT FOUND",INDEX('All Song Rankings'!$D:$D,F1692))</f>
        <v>Lisa</v>
      </c>
      <c r="J1692" s="7" t="str">
        <f aca="false">IF(F1692=0,"NOT FOUND",IF(C1692=I1692,"SELF-VOTE",IF(COUNTIF($K:$K,K1692)&gt;1,"DUPLICATE","OK")))</f>
        <v>OK</v>
      </c>
      <c r="K1692" s="6" t="str">
        <f aca="false">A1692&amp;"|"&amp;B1692&amp;"|"&amp;C1692&amp;"|"&amp;D1692</f>
        <v>3|6|Christine|spotify:track:0Z5rLOv4Mqc4hKZ1dPjODv</v>
      </c>
    </row>
    <row r="1693" customFormat="false" ht="15" hidden="false" customHeight="false" outlineLevel="0" collapsed="false">
      <c r="A1693" s="5" t="n">
        <v>3</v>
      </c>
      <c r="B1693" s="5" t="n">
        <v>6</v>
      </c>
      <c r="C1693" s="5" t="s">
        <v>719</v>
      </c>
      <c r="D1693" s="5" t="s">
        <v>923</v>
      </c>
      <c r="E1693" s="5" t="n">
        <v>1</v>
      </c>
      <c r="F1693" s="6" t="n">
        <f aca="false">IFERROR(MATCH(A1693&amp;"|"&amp;B1693&amp;"|"&amp;D1693,'All Song Rankings'!$T:$T,0),0)</f>
        <v>277</v>
      </c>
      <c r="G1693" s="6" t="str">
        <f aca="false">IF(F1693=0,"NOT FOUND",INDEX('All Song Rankings'!$A:$A,F1693))</f>
        <v>Good to Be Bad</v>
      </c>
      <c r="H1693" s="6" t="str">
        <f aca="false">IF(F1693=0,"NOT FOUND",INDEX('All Song Rankings'!$B:$B,F1693))</f>
        <v>Dove Cameron, Sofia Carson, Booboo Stewart, Carmeon Boyce, Jadah Marie, Anna Catchart, Disney</v>
      </c>
      <c r="I1693" s="6" t="str">
        <f aca="false">IF(F1693=0,"NOT FOUND",INDEX('All Song Rankings'!$D:$D,F1693))</f>
        <v>Leah</v>
      </c>
      <c r="J1693" s="7" t="str">
        <f aca="false">IF(F1693=0,"NOT FOUND",IF(C1693=I1693,"SELF-VOTE",IF(COUNTIF($K:$K,K1693)&gt;1,"DUPLICATE","OK")))</f>
        <v>OK</v>
      </c>
      <c r="K1693" s="6" t="str">
        <f aca="false">A1693&amp;"|"&amp;B1693&amp;"|"&amp;C1693&amp;"|"&amp;D1693</f>
        <v>3|6|Christine|spotify:track:1RIYF8NDIIWBvJe4vhQr6y</v>
      </c>
    </row>
    <row r="1694" customFormat="false" ht="15" hidden="false" customHeight="false" outlineLevel="0" collapsed="false">
      <c r="A1694" s="5" t="n">
        <v>3</v>
      </c>
      <c r="B1694" s="5" t="n">
        <v>6</v>
      </c>
      <c r="C1694" s="5" t="s">
        <v>719</v>
      </c>
      <c r="D1694" s="5" t="s">
        <v>926</v>
      </c>
      <c r="E1694" s="5" t="n">
        <v>1</v>
      </c>
      <c r="F1694" s="6" t="n">
        <f aca="false">IFERROR(MATCH(A1694&amp;"|"&amp;B1694&amp;"|"&amp;D1694,'All Song Rankings'!$T:$T,0),0)</f>
        <v>278</v>
      </c>
      <c r="G1694" s="6" t="str">
        <f aca="false">IF(F1694=0,"NOT FOUND",INDEX('All Song Rankings'!$A:$A,F1694))</f>
        <v>Fortuosity - From "The Happiest Millionaire"</v>
      </c>
      <c r="H1694" s="6" t="str">
        <f aca="false">IF(F1694=0,"NOT FOUND",INDEX('All Song Rankings'!$B:$B,F1694))</f>
        <v>Tommy Steele</v>
      </c>
      <c r="I1694" s="6" t="str">
        <f aca="false">IF(F1694=0,"NOT FOUND",INDEX('All Song Rankings'!$D:$D,F1694))</f>
        <v>Scott</v>
      </c>
      <c r="J1694" s="7" t="str">
        <f aca="false">IF(F1694=0,"NOT FOUND",IF(C1694=I1694,"SELF-VOTE",IF(COUNTIF($K:$K,K1694)&gt;1,"DUPLICATE","OK")))</f>
        <v>OK</v>
      </c>
      <c r="K1694" s="6" t="str">
        <f aca="false">A1694&amp;"|"&amp;B1694&amp;"|"&amp;C1694&amp;"|"&amp;D1694</f>
        <v>3|6|Christine|spotify:track:2hwh9Ezfef2NoBjiKyN8Sa</v>
      </c>
    </row>
    <row r="1695" customFormat="false" ht="15" hidden="false" customHeight="false" outlineLevel="0" collapsed="false">
      <c r="A1695" s="5" t="n">
        <v>3</v>
      </c>
      <c r="B1695" s="5" t="n">
        <v>6</v>
      </c>
      <c r="C1695" s="5" t="s">
        <v>719</v>
      </c>
      <c r="D1695" s="5" t="s">
        <v>893</v>
      </c>
      <c r="E1695" s="5" t="n">
        <v>1</v>
      </c>
      <c r="F1695" s="6" t="n">
        <f aca="false">IFERROR(MATCH(A1695&amp;"|"&amp;B1695&amp;"|"&amp;D1695,'All Song Rankings'!$T:$T,0),0)</f>
        <v>267</v>
      </c>
      <c r="G1695" s="6" t="str">
        <f aca="false">IF(F1695=0,"NOT FOUND",INDEX('All Song Rankings'!$A:$A,F1695))</f>
        <v>Two Worlds</v>
      </c>
      <c r="H1695" s="6" t="str">
        <f aca="false">IF(F1695=0,"NOT FOUND",INDEX('All Song Rankings'!$B:$B,F1695))</f>
        <v>Phil Collins</v>
      </c>
      <c r="I1695" s="6" t="str">
        <f aca="false">IF(F1695=0,"NOT FOUND",INDEX('All Song Rankings'!$D:$D,F1695))</f>
        <v>Logan</v>
      </c>
      <c r="J1695" s="7" t="str">
        <f aca="false">IF(F1695=0,"NOT FOUND",IF(C1695=I1695,"SELF-VOTE",IF(COUNTIF($K:$K,K1695)&gt;1,"DUPLICATE","OK")))</f>
        <v>OK</v>
      </c>
      <c r="K1695" s="6" t="str">
        <f aca="false">A1695&amp;"|"&amp;B1695&amp;"|"&amp;C1695&amp;"|"&amp;D1695</f>
        <v>3|6|Christine|spotify:track:3icOFPIciIN8FQSyVlpYSF</v>
      </c>
    </row>
    <row r="1696" customFormat="false" ht="15" hidden="false" customHeight="false" outlineLevel="0" collapsed="false">
      <c r="A1696" s="5" t="n">
        <v>3</v>
      </c>
      <c r="B1696" s="5" t="n">
        <v>6</v>
      </c>
      <c r="C1696" s="5" t="s">
        <v>719</v>
      </c>
      <c r="D1696" s="5" t="s">
        <v>896</v>
      </c>
      <c r="E1696" s="5" t="n">
        <v>2</v>
      </c>
      <c r="F1696" s="6" t="n">
        <f aca="false">IFERROR(MATCH(A1696&amp;"|"&amp;B1696&amp;"|"&amp;D1696,'All Song Rankings'!$T:$T,0),0)</f>
        <v>268</v>
      </c>
      <c r="G1696" s="6" t="str">
        <f aca="false">IF(F1696=0,"NOT FOUND",INDEX('All Song Rankings'!$A:$A,F1696))</f>
        <v>Zoo</v>
      </c>
      <c r="H1696" s="6" t="str">
        <f aca="false">IF(F1696=0,"NOT FOUND",INDEX('All Song Rankings'!$B:$B,F1696))</f>
        <v>Disney, Shakira</v>
      </c>
      <c r="I1696" s="6" t="str">
        <f aca="false">IF(F1696=0,"NOT FOUND",INDEX('All Song Rankings'!$D:$D,F1696))</f>
        <v>Matt</v>
      </c>
      <c r="J1696" s="7" t="str">
        <f aca="false">IF(F1696=0,"NOT FOUND",IF(C1696=I1696,"SELF-VOTE",IF(COUNTIF($K:$K,K1696)&gt;1,"DUPLICATE","OK")))</f>
        <v>OK</v>
      </c>
      <c r="K1696" s="6" t="str">
        <f aca="false">A1696&amp;"|"&amp;B1696&amp;"|"&amp;C1696&amp;"|"&amp;D1696</f>
        <v>3|6|Christine|spotify:track:3vJIaiTIHxHhYafTSPNiH4</v>
      </c>
    </row>
    <row r="1697" customFormat="false" ht="15" hidden="false" customHeight="false" outlineLevel="0" collapsed="false">
      <c r="A1697" s="5" t="n">
        <v>3</v>
      </c>
      <c r="B1697" s="5" t="n">
        <v>6</v>
      </c>
      <c r="C1697" s="5" t="s">
        <v>719</v>
      </c>
      <c r="D1697" s="5" t="s">
        <v>920</v>
      </c>
      <c r="E1697" s="5" t="n">
        <v>1</v>
      </c>
      <c r="F1697" s="6" t="n">
        <f aca="false">IFERROR(MATCH(A1697&amp;"|"&amp;B1697&amp;"|"&amp;D1697,'All Song Rankings'!$T:$T,0),0)</f>
        <v>276</v>
      </c>
      <c r="G1697" s="6" t="str">
        <f aca="false">IF(F1697=0,"NOT FOUND",INDEX('All Song Rankings'!$A:$A,F1697))</f>
        <v>The Bells of Notre Dame</v>
      </c>
      <c r="H1697" s="6" t="str">
        <f aca="false">IF(F1697=0,"NOT FOUND",INDEX('All Song Rankings'!$B:$B,F1697))</f>
        <v>David Ogden Stiers, Tony Jay, Paul Kandel, Chorus - The Hunchback Of Notre Dame</v>
      </c>
      <c r="I1697" s="6" t="str">
        <f aca="false">IF(F1697=0,"NOT FOUND",INDEX('All Song Rankings'!$D:$D,F1697))</f>
        <v>Stephanie</v>
      </c>
      <c r="J1697" s="7" t="str">
        <f aca="false">IF(F1697=0,"NOT FOUND",IF(C1697=I1697,"SELF-VOTE",IF(COUNTIF($K:$K,K1697)&gt;1,"DUPLICATE","OK")))</f>
        <v>OK</v>
      </c>
      <c r="K1697" s="6" t="str">
        <f aca="false">A1697&amp;"|"&amp;B1697&amp;"|"&amp;C1697&amp;"|"&amp;D1697</f>
        <v>3|6|Christine|spotify:track:47Wo2LeGbzdZTdEFNRZXV0</v>
      </c>
    </row>
    <row r="1698" customFormat="false" ht="15" hidden="false" customHeight="false" outlineLevel="0" collapsed="false">
      <c r="A1698" s="5" t="n">
        <v>3</v>
      </c>
      <c r="B1698" s="5" t="n">
        <v>6</v>
      </c>
      <c r="C1698" s="5" t="s">
        <v>719</v>
      </c>
      <c r="D1698" s="5" t="s">
        <v>929</v>
      </c>
      <c r="E1698" s="5" t="n">
        <v>1</v>
      </c>
      <c r="F1698" s="6" t="n">
        <f aca="false">IFERROR(MATCH(A1698&amp;"|"&amp;B1698&amp;"|"&amp;D1698,'All Song Rankings'!$T:$T,0),0)</f>
        <v>279</v>
      </c>
      <c r="G1698" s="6" t="str">
        <f aca="false">IF(F1698=0,"NOT FOUND",INDEX('All Song Rankings'!$A:$A,F1698))</f>
        <v>What Time Is It</v>
      </c>
      <c r="H1698" s="6" t="str">
        <f aca="false">IF(F1698=0,"NOT FOUND",INDEX('All Song Rankings'!$B:$B,F1698))</f>
        <v>Zac Efron, Vanessa Hudgens, Lucas Grabeel, Corbin Bleu, Ashley Tisdale, Monique Coleman, Disney</v>
      </c>
      <c r="I1698" s="6" t="str">
        <f aca="false">IF(F1698=0,"NOT FOUND",INDEX('All Song Rankings'!$D:$D,F1698))</f>
        <v>Kelsey</v>
      </c>
      <c r="J1698" s="7" t="str">
        <f aca="false">IF(F1698=0,"NOT FOUND",IF(C1698=I1698,"SELF-VOTE",IF(COUNTIF($K:$K,K1698)&gt;1,"DUPLICATE","OK")))</f>
        <v>OK</v>
      </c>
      <c r="K1698" s="6" t="str">
        <f aca="false">A1698&amp;"|"&amp;B1698&amp;"|"&amp;C1698&amp;"|"&amp;D1698</f>
        <v>3|6|Christine|spotify:track:6NqfslFfCCOyBQ0Xw8kN8E</v>
      </c>
    </row>
    <row r="1699" customFormat="false" ht="15" hidden="false" customHeight="false" outlineLevel="0" collapsed="false">
      <c r="A1699" s="5" t="n">
        <v>3</v>
      </c>
      <c r="B1699" s="5" t="n">
        <v>6</v>
      </c>
      <c r="C1699" s="5" t="s">
        <v>719</v>
      </c>
      <c r="D1699" s="5" t="s">
        <v>899</v>
      </c>
      <c r="E1699" s="5" t="n">
        <v>2</v>
      </c>
      <c r="F1699" s="6" t="n">
        <f aca="false">IFERROR(MATCH(A1699&amp;"|"&amp;B1699&amp;"|"&amp;D1699,'All Song Rankings'!$T:$T,0),0)</f>
        <v>269</v>
      </c>
      <c r="G1699" s="6" t="str">
        <f aca="false">IF(F1699=0,"NOT FOUND",INDEX('All Song Rankings'!$A:$A,F1699))</f>
        <v>I2I</v>
      </c>
      <c r="H1699" s="6" t="str">
        <f aca="false">IF(F1699=0,"NOT FOUND",INDEX('All Song Rankings'!$B:$B,F1699))</f>
        <v>Tevin Campbell, Rosie Gaines</v>
      </c>
      <c r="I1699" s="6" t="str">
        <f aca="false">IF(F1699=0,"NOT FOUND",INDEX('All Song Rankings'!$D:$D,F1699))</f>
        <v>Nicole</v>
      </c>
      <c r="J1699" s="7" t="str">
        <f aca="false">IF(F1699=0,"NOT FOUND",IF(C1699=I1699,"SELF-VOTE",IF(COUNTIF($K:$K,K1699)&gt;1,"DUPLICATE","OK")))</f>
        <v>OK</v>
      </c>
      <c r="K1699" s="6" t="str">
        <f aca="false">A1699&amp;"|"&amp;B1699&amp;"|"&amp;C1699&amp;"|"&amp;D1699</f>
        <v>3|6|Christine|spotify:track:7lPxGs556PD8H3bUd9LzHp</v>
      </c>
    </row>
    <row r="1700" customFormat="false" ht="15" hidden="false" customHeight="false" outlineLevel="0" collapsed="false">
      <c r="A1700" s="5" t="n">
        <v>3</v>
      </c>
      <c r="B1700" s="5" t="n">
        <v>6</v>
      </c>
      <c r="C1700" s="5" t="s">
        <v>637</v>
      </c>
      <c r="D1700" s="5" t="s">
        <v>908</v>
      </c>
      <c r="E1700" s="5" t="n">
        <v>3</v>
      </c>
      <c r="F1700" s="6" t="n">
        <f aca="false">IFERROR(MATCH(A1700&amp;"|"&amp;B1700&amp;"|"&amp;D1700,'All Song Rankings'!$T:$T,0),0)</f>
        <v>272</v>
      </c>
      <c r="G1700" s="6" t="str">
        <f aca="false">IF(F1700=0,"NOT FOUND",INDEX('All Song Rankings'!$A:$A,F1700))</f>
        <v>Ain't No Mountain High Enough</v>
      </c>
      <c r="H1700" s="6" t="str">
        <f aca="false">IF(F1700=0,"NOT FOUND",INDEX('All Song Rankings'!$B:$B,F1700))</f>
        <v>Marvin Gaye, Tammi Terrell</v>
      </c>
      <c r="I1700" s="6" t="str">
        <f aca="false">IF(F1700=0,"NOT FOUND",INDEX('All Song Rankings'!$D:$D,F1700))</f>
        <v>Lisa</v>
      </c>
      <c r="J1700" s="7" t="str">
        <f aca="false">IF(F1700=0,"NOT FOUND",IF(C1700=I1700,"SELF-VOTE",IF(COUNTIF($K:$K,K1700)&gt;1,"DUPLICATE","OK")))</f>
        <v>OK</v>
      </c>
      <c r="K1700" s="6" t="str">
        <f aca="false">A1700&amp;"|"&amp;B1700&amp;"|"&amp;C1700&amp;"|"&amp;D1700</f>
        <v>3|6|Colleen|spotify:track:0Z5rLOv4Mqc4hKZ1dPjODv</v>
      </c>
    </row>
    <row r="1701" customFormat="false" ht="15" hidden="false" customHeight="false" outlineLevel="0" collapsed="false">
      <c r="A1701" s="5" t="n">
        <v>3</v>
      </c>
      <c r="B1701" s="5" t="n">
        <v>6</v>
      </c>
      <c r="C1701" s="5" t="s">
        <v>637</v>
      </c>
      <c r="D1701" s="5" t="s">
        <v>926</v>
      </c>
      <c r="E1701" s="5" t="n">
        <v>1</v>
      </c>
      <c r="F1701" s="6" t="n">
        <f aca="false">IFERROR(MATCH(A1701&amp;"|"&amp;B1701&amp;"|"&amp;D1701,'All Song Rankings'!$T:$T,0),0)</f>
        <v>278</v>
      </c>
      <c r="G1701" s="6" t="str">
        <f aca="false">IF(F1701=0,"NOT FOUND",INDEX('All Song Rankings'!$A:$A,F1701))</f>
        <v>Fortuosity - From "The Happiest Millionaire"</v>
      </c>
      <c r="H1701" s="6" t="str">
        <f aca="false">IF(F1701=0,"NOT FOUND",INDEX('All Song Rankings'!$B:$B,F1701))</f>
        <v>Tommy Steele</v>
      </c>
      <c r="I1701" s="6" t="str">
        <f aca="false">IF(F1701=0,"NOT FOUND",INDEX('All Song Rankings'!$D:$D,F1701))</f>
        <v>Scott</v>
      </c>
      <c r="J1701" s="7" t="str">
        <f aca="false">IF(F1701=0,"NOT FOUND",IF(C1701=I1701,"SELF-VOTE",IF(COUNTIF($K:$K,K1701)&gt;1,"DUPLICATE","OK")))</f>
        <v>OK</v>
      </c>
      <c r="K1701" s="6" t="str">
        <f aca="false">A1701&amp;"|"&amp;B1701&amp;"|"&amp;C1701&amp;"|"&amp;D1701</f>
        <v>3|6|Colleen|spotify:track:2hwh9Ezfef2NoBjiKyN8Sa</v>
      </c>
    </row>
    <row r="1702" customFormat="false" ht="15" hidden="false" customHeight="false" outlineLevel="0" collapsed="false">
      <c r="A1702" s="5" t="n">
        <v>3</v>
      </c>
      <c r="B1702" s="5" t="n">
        <v>6</v>
      </c>
      <c r="C1702" s="5" t="s">
        <v>637</v>
      </c>
      <c r="D1702" s="5" t="s">
        <v>893</v>
      </c>
      <c r="E1702" s="5" t="n">
        <v>3</v>
      </c>
      <c r="F1702" s="6" t="n">
        <f aca="false">IFERROR(MATCH(A1702&amp;"|"&amp;B1702&amp;"|"&amp;D1702,'All Song Rankings'!$T:$T,0),0)</f>
        <v>267</v>
      </c>
      <c r="G1702" s="6" t="str">
        <f aca="false">IF(F1702=0,"NOT FOUND",INDEX('All Song Rankings'!$A:$A,F1702))</f>
        <v>Two Worlds</v>
      </c>
      <c r="H1702" s="6" t="str">
        <f aca="false">IF(F1702=0,"NOT FOUND",INDEX('All Song Rankings'!$B:$B,F1702))</f>
        <v>Phil Collins</v>
      </c>
      <c r="I1702" s="6" t="str">
        <f aca="false">IF(F1702=0,"NOT FOUND",INDEX('All Song Rankings'!$D:$D,F1702))</f>
        <v>Logan</v>
      </c>
      <c r="J1702" s="7" t="str">
        <f aca="false">IF(F1702=0,"NOT FOUND",IF(C1702=I1702,"SELF-VOTE",IF(COUNTIF($K:$K,K1702)&gt;1,"DUPLICATE","OK")))</f>
        <v>OK</v>
      </c>
      <c r="K1702" s="6" t="str">
        <f aca="false">A1702&amp;"|"&amp;B1702&amp;"|"&amp;C1702&amp;"|"&amp;D1702</f>
        <v>3|6|Colleen|spotify:track:3icOFPIciIN8FQSyVlpYSF</v>
      </c>
    </row>
    <row r="1703" customFormat="false" ht="15" hidden="false" customHeight="false" outlineLevel="0" collapsed="false">
      <c r="A1703" s="5" t="n">
        <v>3</v>
      </c>
      <c r="B1703" s="5" t="n">
        <v>6</v>
      </c>
      <c r="C1703" s="5" t="s">
        <v>637</v>
      </c>
      <c r="D1703" s="5" t="s">
        <v>911</v>
      </c>
      <c r="E1703" s="5" t="n">
        <v>1</v>
      </c>
      <c r="F1703" s="6" t="n">
        <f aca="false">IFERROR(MATCH(A1703&amp;"|"&amp;B1703&amp;"|"&amp;D1703,'All Song Rankings'!$T:$T,0),0)</f>
        <v>273</v>
      </c>
      <c r="G1703" s="6" t="str">
        <f aca="false">IF(F1703=0,"NOT FOUND",INDEX('All Song Rankings'!$A:$A,F1703))</f>
        <v>The Gospel Truth I / Main Titles - Hercules</v>
      </c>
      <c r="H1703" s="6" t="str">
        <f aca="false">IF(F1703=0,"NOT FOUND",INDEX('All Song Rankings'!$B:$B,F1703))</f>
        <v>Cheryl Freeman, LaChanze, Vaneese Thomas, Lillias White, Roz Ryan, Disney</v>
      </c>
      <c r="I1703" s="6" t="str">
        <f aca="false">IF(F1703=0,"NOT FOUND",INDEX('All Song Rankings'!$D:$D,F1703))</f>
        <v>Christine</v>
      </c>
      <c r="J1703" s="7" t="str">
        <f aca="false">IF(F1703=0,"NOT FOUND",IF(C1703=I1703,"SELF-VOTE",IF(COUNTIF($K:$K,K1703)&gt;1,"DUPLICATE","OK")))</f>
        <v>OK</v>
      </c>
      <c r="K1703" s="6" t="str">
        <f aca="false">A1703&amp;"|"&amp;B1703&amp;"|"&amp;C1703&amp;"|"&amp;D1703</f>
        <v>3|6|Colleen|spotify:track:6uW03WHG3qv2FzxPIW6SUP</v>
      </c>
    </row>
    <row r="1704" customFormat="false" ht="15" hidden="false" customHeight="false" outlineLevel="0" collapsed="false">
      <c r="A1704" s="5" t="n">
        <v>3</v>
      </c>
      <c r="B1704" s="5" t="n">
        <v>6</v>
      </c>
      <c r="C1704" s="5" t="s">
        <v>637</v>
      </c>
      <c r="D1704" s="5" t="s">
        <v>899</v>
      </c>
      <c r="E1704" s="5" t="n">
        <v>2</v>
      </c>
      <c r="F1704" s="6" t="n">
        <f aca="false">IFERROR(MATCH(A1704&amp;"|"&amp;B1704&amp;"|"&amp;D1704,'All Song Rankings'!$T:$T,0),0)</f>
        <v>269</v>
      </c>
      <c r="G1704" s="6" t="str">
        <f aca="false">IF(F1704=0,"NOT FOUND",INDEX('All Song Rankings'!$A:$A,F1704))</f>
        <v>I2I</v>
      </c>
      <c r="H1704" s="6" t="str">
        <f aca="false">IF(F1704=0,"NOT FOUND",INDEX('All Song Rankings'!$B:$B,F1704))</f>
        <v>Tevin Campbell, Rosie Gaines</v>
      </c>
      <c r="I1704" s="6" t="str">
        <f aca="false">IF(F1704=0,"NOT FOUND",INDEX('All Song Rankings'!$D:$D,F1704))</f>
        <v>Nicole</v>
      </c>
      <c r="J1704" s="7" t="str">
        <f aca="false">IF(F1704=0,"NOT FOUND",IF(C1704=I1704,"SELF-VOTE",IF(COUNTIF($K:$K,K1704)&gt;1,"DUPLICATE","OK")))</f>
        <v>OK</v>
      </c>
      <c r="K1704" s="6" t="str">
        <f aca="false">A1704&amp;"|"&amp;B1704&amp;"|"&amp;C1704&amp;"|"&amp;D1704</f>
        <v>3|6|Colleen|spotify:track:7lPxGs556PD8H3bUd9LzHp</v>
      </c>
    </row>
    <row r="1705" customFormat="false" ht="15" hidden="false" customHeight="false" outlineLevel="0" collapsed="false">
      <c r="A1705" s="5" t="n">
        <v>3</v>
      </c>
      <c r="B1705" s="5" t="n">
        <v>6</v>
      </c>
      <c r="C1705" s="5" t="s">
        <v>382</v>
      </c>
      <c r="D1705" s="5" t="s">
        <v>917</v>
      </c>
      <c r="E1705" s="5" t="n">
        <v>1</v>
      </c>
      <c r="F1705" s="6" t="n">
        <f aca="false">IFERROR(MATCH(A1705&amp;"|"&amp;B1705&amp;"|"&amp;D1705,'All Song Rankings'!$T:$T,0),0)</f>
        <v>275</v>
      </c>
      <c r="G1705" s="6" t="str">
        <f aca="false">IF(F1705=0,"NOT FOUND",INDEX('All Song Rankings'!$A:$A,F1705))</f>
        <v>Belle</v>
      </c>
      <c r="H1705" s="6" t="str">
        <f aca="false">IF(F1705=0,"NOT FOUND",INDEX('All Song Rankings'!$B:$B,F1705))</f>
        <v>Richard White, Paige O'Hara, Chorus - Beauty And the Beast, Disney</v>
      </c>
      <c r="I1705" s="6" t="str">
        <f aca="false">IF(F1705=0,"NOT FOUND",INDEX('All Song Rankings'!$D:$D,F1705))</f>
        <v>Makenzie</v>
      </c>
      <c r="J1705" s="7" t="str">
        <f aca="false">IF(F1705=0,"NOT FOUND",IF(C1705=I1705,"SELF-VOTE",IF(COUNTIF($K:$K,K1705)&gt;1,"DUPLICATE","OK")))</f>
        <v>OK</v>
      </c>
      <c r="K1705" s="6" t="str">
        <f aca="false">A1705&amp;"|"&amp;B1705&amp;"|"&amp;C1705&amp;"|"&amp;D1705</f>
        <v>3|6|Grace|spotify:track:0Q4a3PdGEME9w8Jgqa0Gf3</v>
      </c>
    </row>
    <row r="1706" customFormat="false" ht="15" hidden="false" customHeight="false" outlineLevel="0" collapsed="false">
      <c r="A1706" s="5" t="n">
        <v>3</v>
      </c>
      <c r="B1706" s="5" t="n">
        <v>6</v>
      </c>
      <c r="C1706" s="5" t="s">
        <v>382</v>
      </c>
      <c r="D1706" s="5" t="s">
        <v>923</v>
      </c>
      <c r="E1706" s="5" t="n">
        <v>1</v>
      </c>
      <c r="F1706" s="6" t="n">
        <f aca="false">IFERROR(MATCH(A1706&amp;"|"&amp;B1706&amp;"|"&amp;D1706,'All Song Rankings'!$T:$T,0),0)</f>
        <v>277</v>
      </c>
      <c r="G1706" s="6" t="str">
        <f aca="false">IF(F1706=0,"NOT FOUND",INDEX('All Song Rankings'!$A:$A,F1706))</f>
        <v>Good to Be Bad</v>
      </c>
      <c r="H1706" s="6" t="str">
        <f aca="false">IF(F1706=0,"NOT FOUND",INDEX('All Song Rankings'!$B:$B,F1706))</f>
        <v>Dove Cameron, Sofia Carson, Booboo Stewart, Carmeon Boyce, Jadah Marie, Anna Catchart, Disney</v>
      </c>
      <c r="I1706" s="6" t="str">
        <f aca="false">IF(F1706=0,"NOT FOUND",INDEX('All Song Rankings'!$D:$D,F1706))</f>
        <v>Leah</v>
      </c>
      <c r="J1706" s="7" t="str">
        <f aca="false">IF(F1706=0,"NOT FOUND",IF(C1706=I1706,"SELF-VOTE",IF(COUNTIF($K:$K,K1706)&gt;1,"DUPLICATE","OK")))</f>
        <v>OK</v>
      </c>
      <c r="K1706" s="6" t="str">
        <f aca="false">A1706&amp;"|"&amp;B1706&amp;"|"&amp;C1706&amp;"|"&amp;D1706</f>
        <v>3|6|Grace|spotify:track:1RIYF8NDIIWBvJe4vhQr6y</v>
      </c>
    </row>
    <row r="1707" customFormat="false" ht="15" hidden="false" customHeight="false" outlineLevel="0" collapsed="false">
      <c r="A1707" s="5" t="n">
        <v>3</v>
      </c>
      <c r="B1707" s="5" t="n">
        <v>6</v>
      </c>
      <c r="C1707" s="5" t="s">
        <v>382</v>
      </c>
      <c r="D1707" s="5" t="s">
        <v>893</v>
      </c>
      <c r="E1707" s="5" t="n">
        <v>2</v>
      </c>
      <c r="F1707" s="6" t="n">
        <f aca="false">IFERROR(MATCH(A1707&amp;"|"&amp;B1707&amp;"|"&amp;D1707,'All Song Rankings'!$T:$T,0),0)</f>
        <v>267</v>
      </c>
      <c r="G1707" s="6" t="str">
        <f aca="false">IF(F1707=0,"NOT FOUND",INDEX('All Song Rankings'!$A:$A,F1707))</f>
        <v>Two Worlds</v>
      </c>
      <c r="H1707" s="6" t="str">
        <f aca="false">IF(F1707=0,"NOT FOUND",INDEX('All Song Rankings'!$B:$B,F1707))</f>
        <v>Phil Collins</v>
      </c>
      <c r="I1707" s="6" t="str">
        <f aca="false">IF(F1707=0,"NOT FOUND",INDEX('All Song Rankings'!$D:$D,F1707))</f>
        <v>Logan</v>
      </c>
      <c r="J1707" s="7" t="str">
        <f aca="false">IF(F1707=0,"NOT FOUND",IF(C1707=I1707,"SELF-VOTE",IF(COUNTIF($K:$K,K1707)&gt;1,"DUPLICATE","OK")))</f>
        <v>OK</v>
      </c>
      <c r="K1707" s="6" t="str">
        <f aca="false">A1707&amp;"|"&amp;B1707&amp;"|"&amp;C1707&amp;"|"&amp;D1707</f>
        <v>3|6|Grace|spotify:track:3icOFPIciIN8FQSyVlpYSF</v>
      </c>
    </row>
    <row r="1708" customFormat="false" ht="15" hidden="false" customHeight="false" outlineLevel="0" collapsed="false">
      <c r="A1708" s="5" t="n">
        <v>3</v>
      </c>
      <c r="B1708" s="5" t="n">
        <v>6</v>
      </c>
      <c r="C1708" s="5" t="s">
        <v>382</v>
      </c>
      <c r="D1708" s="5" t="s">
        <v>896</v>
      </c>
      <c r="E1708" s="5" t="n">
        <v>3</v>
      </c>
      <c r="F1708" s="6" t="n">
        <f aca="false">IFERROR(MATCH(A1708&amp;"|"&amp;B1708&amp;"|"&amp;D1708,'All Song Rankings'!$T:$T,0),0)</f>
        <v>268</v>
      </c>
      <c r="G1708" s="6" t="str">
        <f aca="false">IF(F1708=0,"NOT FOUND",INDEX('All Song Rankings'!$A:$A,F1708))</f>
        <v>Zoo</v>
      </c>
      <c r="H1708" s="6" t="str">
        <f aca="false">IF(F1708=0,"NOT FOUND",INDEX('All Song Rankings'!$B:$B,F1708))</f>
        <v>Disney, Shakira</v>
      </c>
      <c r="I1708" s="6" t="str">
        <f aca="false">IF(F1708=0,"NOT FOUND",INDEX('All Song Rankings'!$D:$D,F1708))</f>
        <v>Matt</v>
      </c>
      <c r="J1708" s="7" t="str">
        <f aca="false">IF(F1708=0,"NOT FOUND",IF(C1708=I1708,"SELF-VOTE",IF(COUNTIF($K:$K,K1708)&gt;1,"DUPLICATE","OK")))</f>
        <v>OK</v>
      </c>
      <c r="K1708" s="6" t="str">
        <f aca="false">A1708&amp;"|"&amp;B1708&amp;"|"&amp;C1708&amp;"|"&amp;D1708</f>
        <v>3|6|Grace|spotify:track:3vJIaiTIHxHhYafTSPNiH4</v>
      </c>
    </row>
    <row r="1709" customFormat="false" ht="15" hidden="false" customHeight="false" outlineLevel="0" collapsed="false">
      <c r="A1709" s="5" t="n">
        <v>3</v>
      </c>
      <c r="B1709" s="5" t="n">
        <v>6</v>
      </c>
      <c r="C1709" s="5" t="s">
        <v>382</v>
      </c>
      <c r="D1709" s="5" t="s">
        <v>914</v>
      </c>
      <c r="E1709" s="5" t="n">
        <v>2</v>
      </c>
      <c r="F1709" s="6" t="n">
        <f aca="false">IFERROR(MATCH(A1709&amp;"|"&amp;B1709&amp;"|"&amp;D1709,'All Song Rankings'!$T:$T,0),0)</f>
        <v>274</v>
      </c>
      <c r="G1709" s="6" t="str">
        <f aca="false">IF(F1709=0,"NOT FOUND",INDEX('All Song Rankings'!$A:$A,F1709))</f>
        <v>Start of Something New</v>
      </c>
      <c r="H1709" s="6" t="str">
        <f aca="false">IF(F1709=0,"NOT FOUND",INDEX('All Song Rankings'!$B:$B,F1709))</f>
        <v>Troy, Gabriella, Disney</v>
      </c>
      <c r="I1709" s="6" t="str">
        <f aca="false">IF(F1709=0,"NOT FOUND",INDEX('All Song Rankings'!$D:$D,F1709))</f>
        <v>Colleen</v>
      </c>
      <c r="J1709" s="7" t="str">
        <f aca="false">IF(F1709=0,"NOT FOUND",IF(C1709=I1709,"SELF-VOTE",IF(COUNTIF($K:$K,K1709)&gt;1,"DUPLICATE","OK")))</f>
        <v>OK</v>
      </c>
      <c r="K1709" s="6" t="str">
        <f aca="false">A1709&amp;"|"&amp;B1709&amp;"|"&amp;C1709&amp;"|"&amp;D1709</f>
        <v>3|6|Grace|spotify:track:4LwrgltRSrddxeyhIPSoqa</v>
      </c>
    </row>
    <row r="1710" customFormat="false" ht="15" hidden="false" customHeight="false" outlineLevel="0" collapsed="false">
      <c r="A1710" s="5" t="n">
        <v>3</v>
      </c>
      <c r="B1710" s="5" t="n">
        <v>6</v>
      </c>
      <c r="C1710" s="5" t="s">
        <v>382</v>
      </c>
      <c r="D1710" s="5" t="s">
        <v>899</v>
      </c>
      <c r="E1710" s="5" t="n">
        <v>1</v>
      </c>
      <c r="F1710" s="6" t="n">
        <f aca="false">IFERROR(MATCH(A1710&amp;"|"&amp;B1710&amp;"|"&amp;D1710,'All Song Rankings'!$T:$T,0),0)</f>
        <v>269</v>
      </c>
      <c r="G1710" s="6" t="str">
        <f aca="false">IF(F1710=0,"NOT FOUND",INDEX('All Song Rankings'!$A:$A,F1710))</f>
        <v>I2I</v>
      </c>
      <c r="H1710" s="6" t="str">
        <f aca="false">IF(F1710=0,"NOT FOUND",INDEX('All Song Rankings'!$B:$B,F1710))</f>
        <v>Tevin Campbell, Rosie Gaines</v>
      </c>
      <c r="I1710" s="6" t="str">
        <f aca="false">IF(F1710=0,"NOT FOUND",INDEX('All Song Rankings'!$D:$D,F1710))</f>
        <v>Nicole</v>
      </c>
      <c r="J1710" s="7" t="str">
        <f aca="false">IF(F1710=0,"NOT FOUND",IF(C1710=I1710,"SELF-VOTE",IF(COUNTIF($K:$K,K1710)&gt;1,"DUPLICATE","OK")))</f>
        <v>OK</v>
      </c>
      <c r="K1710" s="6" t="str">
        <f aca="false">A1710&amp;"|"&amp;B1710&amp;"|"&amp;C1710&amp;"|"&amp;D1710</f>
        <v>3|6|Grace|spotify:track:7lPxGs556PD8H3bUd9LzHp</v>
      </c>
    </row>
    <row r="1711" customFormat="false" ht="15" hidden="false" customHeight="false" outlineLevel="0" collapsed="false">
      <c r="A1711" s="5" t="n">
        <v>3</v>
      </c>
      <c r="B1711" s="5" t="n">
        <v>6</v>
      </c>
      <c r="C1711" s="5" t="s">
        <v>85</v>
      </c>
      <c r="D1711" s="5" t="s">
        <v>905</v>
      </c>
      <c r="E1711" s="5" t="n">
        <v>1</v>
      </c>
      <c r="F1711" s="6" t="n">
        <f aca="false">IFERROR(MATCH(A1711&amp;"|"&amp;B1711&amp;"|"&amp;D1711,'All Song Rankings'!$T:$T,0),0)</f>
        <v>271</v>
      </c>
      <c r="G1711" s="6" t="str">
        <f aca="false">IF(F1711=0,"NOT FOUND",INDEX('All Song Rankings'!$A:$A,F1711))</f>
        <v>Arabian Nights</v>
      </c>
      <c r="H1711" s="6" t="str">
        <f aca="false">IF(F1711=0,"NOT FOUND",INDEX('All Song Rankings'!$B:$B,F1711))</f>
        <v>Bruce Adler, Disney</v>
      </c>
      <c r="I1711" s="6" t="str">
        <f aca="false">IF(F1711=0,"NOT FOUND",INDEX('All Song Rankings'!$D:$D,F1711))</f>
        <v>Grace</v>
      </c>
      <c r="J1711" s="7" t="str">
        <f aca="false">IF(F1711=0,"NOT FOUND",IF(C1711=I1711,"SELF-VOTE",IF(COUNTIF($K:$K,K1711)&gt;1,"DUPLICATE","OK")))</f>
        <v>OK</v>
      </c>
      <c r="K1711" s="6" t="str">
        <f aca="false">A1711&amp;"|"&amp;B1711&amp;"|"&amp;C1711&amp;"|"&amp;D1711</f>
        <v>3|6|Kelsey|spotify:track:0CKmN3Wwk8W4zjU0pqq2cv</v>
      </c>
    </row>
    <row r="1712" customFormat="false" ht="15" hidden="false" customHeight="false" outlineLevel="0" collapsed="false">
      <c r="A1712" s="5" t="n">
        <v>3</v>
      </c>
      <c r="B1712" s="5" t="n">
        <v>6</v>
      </c>
      <c r="C1712" s="5" t="s">
        <v>85</v>
      </c>
      <c r="D1712" s="5" t="s">
        <v>902</v>
      </c>
      <c r="E1712" s="5" t="n">
        <v>1</v>
      </c>
      <c r="F1712" s="6" t="n">
        <f aca="false">IFERROR(MATCH(A1712&amp;"|"&amp;B1712&amp;"|"&amp;D1712,'All Song Rankings'!$T:$T,0),0)</f>
        <v>270</v>
      </c>
      <c r="G1712" s="6" t="str">
        <f aca="false">IF(F1712=0,"NOT FOUND",INDEX('All Song Rankings'!$A:$A,F1712))</f>
        <v>Circle of Life</v>
      </c>
      <c r="H1712" s="6" t="str">
        <f aca="false">IF(F1712=0,"NOT FOUND",INDEX('All Song Rankings'!$B:$B,F1712))</f>
        <v>Carmen Twillie, Lebo M.</v>
      </c>
      <c r="I1712" s="6" t="str">
        <f aca="false">IF(F1712=0,"NOT FOUND",INDEX('All Song Rankings'!$D:$D,F1712))</f>
        <v>Kristen</v>
      </c>
      <c r="J1712" s="7" t="str">
        <f aca="false">IF(F1712=0,"NOT FOUND",IF(C1712=I1712,"SELF-VOTE",IF(COUNTIF($K:$K,K1712)&gt;1,"DUPLICATE","OK")))</f>
        <v>OK</v>
      </c>
      <c r="K1712" s="6" t="str">
        <f aca="false">A1712&amp;"|"&amp;B1712&amp;"|"&amp;C1712&amp;"|"&amp;D1712</f>
        <v>3|6|Kelsey|spotify:track:0HU5JnVaKNTWf6GykV9Zn8</v>
      </c>
    </row>
    <row r="1713" customFormat="false" ht="15" hidden="false" customHeight="false" outlineLevel="0" collapsed="false">
      <c r="A1713" s="5" t="n">
        <v>3</v>
      </c>
      <c r="B1713" s="5" t="n">
        <v>6</v>
      </c>
      <c r="C1713" s="5" t="s">
        <v>85</v>
      </c>
      <c r="D1713" s="5" t="s">
        <v>893</v>
      </c>
      <c r="E1713" s="5" t="n">
        <v>1</v>
      </c>
      <c r="F1713" s="6" t="n">
        <f aca="false">IFERROR(MATCH(A1713&amp;"|"&amp;B1713&amp;"|"&amp;D1713,'All Song Rankings'!$T:$T,0),0)</f>
        <v>267</v>
      </c>
      <c r="G1713" s="6" t="str">
        <f aca="false">IF(F1713=0,"NOT FOUND",INDEX('All Song Rankings'!$A:$A,F1713))</f>
        <v>Two Worlds</v>
      </c>
      <c r="H1713" s="6" t="str">
        <f aca="false">IF(F1713=0,"NOT FOUND",INDEX('All Song Rankings'!$B:$B,F1713))</f>
        <v>Phil Collins</v>
      </c>
      <c r="I1713" s="6" t="str">
        <f aca="false">IF(F1713=0,"NOT FOUND",INDEX('All Song Rankings'!$D:$D,F1713))</f>
        <v>Logan</v>
      </c>
      <c r="J1713" s="7" t="str">
        <f aca="false">IF(F1713=0,"NOT FOUND",IF(C1713=I1713,"SELF-VOTE",IF(COUNTIF($K:$K,K1713)&gt;1,"DUPLICATE","OK")))</f>
        <v>OK</v>
      </c>
      <c r="K1713" s="6" t="str">
        <f aca="false">A1713&amp;"|"&amp;B1713&amp;"|"&amp;C1713&amp;"|"&amp;D1713</f>
        <v>3|6|Kelsey|spotify:track:3icOFPIciIN8FQSyVlpYSF</v>
      </c>
    </row>
    <row r="1714" customFormat="false" ht="15" hidden="false" customHeight="false" outlineLevel="0" collapsed="false">
      <c r="A1714" s="5" t="n">
        <v>3</v>
      </c>
      <c r="B1714" s="5" t="n">
        <v>6</v>
      </c>
      <c r="C1714" s="5" t="s">
        <v>85</v>
      </c>
      <c r="D1714" s="5" t="s">
        <v>896</v>
      </c>
      <c r="E1714" s="5" t="n">
        <v>2</v>
      </c>
      <c r="F1714" s="6" t="n">
        <f aca="false">IFERROR(MATCH(A1714&amp;"|"&amp;B1714&amp;"|"&amp;D1714,'All Song Rankings'!$T:$T,0),0)</f>
        <v>268</v>
      </c>
      <c r="G1714" s="6" t="str">
        <f aca="false">IF(F1714=0,"NOT FOUND",INDEX('All Song Rankings'!$A:$A,F1714))</f>
        <v>Zoo</v>
      </c>
      <c r="H1714" s="6" t="str">
        <f aca="false">IF(F1714=0,"NOT FOUND",INDEX('All Song Rankings'!$B:$B,F1714))</f>
        <v>Disney, Shakira</v>
      </c>
      <c r="I1714" s="6" t="str">
        <f aca="false">IF(F1714=0,"NOT FOUND",INDEX('All Song Rankings'!$D:$D,F1714))</f>
        <v>Matt</v>
      </c>
      <c r="J1714" s="7" t="str">
        <f aca="false">IF(F1714=0,"NOT FOUND",IF(C1714=I1714,"SELF-VOTE",IF(COUNTIF($K:$K,K1714)&gt;1,"DUPLICATE","OK")))</f>
        <v>OK</v>
      </c>
      <c r="K1714" s="6" t="str">
        <f aca="false">A1714&amp;"|"&amp;B1714&amp;"|"&amp;C1714&amp;"|"&amp;D1714</f>
        <v>3|6|Kelsey|spotify:track:3vJIaiTIHxHhYafTSPNiH4</v>
      </c>
    </row>
    <row r="1715" customFormat="false" ht="15" hidden="false" customHeight="false" outlineLevel="0" collapsed="false">
      <c r="A1715" s="5" t="n">
        <v>3</v>
      </c>
      <c r="B1715" s="5" t="n">
        <v>6</v>
      </c>
      <c r="C1715" s="5" t="s">
        <v>85</v>
      </c>
      <c r="D1715" s="5" t="s">
        <v>914</v>
      </c>
      <c r="E1715" s="5" t="n">
        <v>1</v>
      </c>
      <c r="F1715" s="6" t="n">
        <f aca="false">IFERROR(MATCH(A1715&amp;"|"&amp;B1715&amp;"|"&amp;D1715,'All Song Rankings'!$T:$T,0),0)</f>
        <v>274</v>
      </c>
      <c r="G1715" s="6" t="str">
        <f aca="false">IF(F1715=0,"NOT FOUND",INDEX('All Song Rankings'!$A:$A,F1715))</f>
        <v>Start of Something New</v>
      </c>
      <c r="H1715" s="6" t="str">
        <f aca="false">IF(F1715=0,"NOT FOUND",INDEX('All Song Rankings'!$B:$B,F1715))</f>
        <v>Troy, Gabriella, Disney</v>
      </c>
      <c r="I1715" s="6" t="str">
        <f aca="false">IF(F1715=0,"NOT FOUND",INDEX('All Song Rankings'!$D:$D,F1715))</f>
        <v>Colleen</v>
      </c>
      <c r="J1715" s="7" t="str">
        <f aca="false">IF(F1715=0,"NOT FOUND",IF(C1715=I1715,"SELF-VOTE",IF(COUNTIF($K:$K,K1715)&gt;1,"DUPLICATE","OK")))</f>
        <v>OK</v>
      </c>
      <c r="K1715" s="6" t="str">
        <f aca="false">A1715&amp;"|"&amp;B1715&amp;"|"&amp;C1715&amp;"|"&amp;D1715</f>
        <v>3|6|Kelsey|spotify:track:4LwrgltRSrddxeyhIPSoqa</v>
      </c>
    </row>
    <row r="1716" customFormat="false" ht="15" hidden="false" customHeight="false" outlineLevel="0" collapsed="false">
      <c r="A1716" s="5" t="n">
        <v>3</v>
      </c>
      <c r="B1716" s="5" t="n">
        <v>6</v>
      </c>
      <c r="C1716" s="5" t="s">
        <v>85</v>
      </c>
      <c r="D1716" s="5" t="s">
        <v>911</v>
      </c>
      <c r="E1716" s="5" t="n">
        <v>2</v>
      </c>
      <c r="F1716" s="6" t="n">
        <f aca="false">IFERROR(MATCH(A1716&amp;"|"&amp;B1716&amp;"|"&amp;D1716,'All Song Rankings'!$T:$T,0),0)</f>
        <v>273</v>
      </c>
      <c r="G1716" s="6" t="str">
        <f aca="false">IF(F1716=0,"NOT FOUND",INDEX('All Song Rankings'!$A:$A,F1716))</f>
        <v>The Gospel Truth I / Main Titles - Hercules</v>
      </c>
      <c r="H1716" s="6" t="str">
        <f aca="false">IF(F1716=0,"NOT FOUND",INDEX('All Song Rankings'!$B:$B,F1716))</f>
        <v>Cheryl Freeman, LaChanze, Vaneese Thomas, Lillias White, Roz Ryan, Disney</v>
      </c>
      <c r="I1716" s="6" t="str">
        <f aca="false">IF(F1716=0,"NOT FOUND",INDEX('All Song Rankings'!$D:$D,F1716))</f>
        <v>Christine</v>
      </c>
      <c r="J1716" s="7" t="str">
        <f aca="false">IF(F1716=0,"NOT FOUND",IF(C1716=I1716,"SELF-VOTE",IF(COUNTIF($K:$K,K1716)&gt;1,"DUPLICATE","OK")))</f>
        <v>OK</v>
      </c>
      <c r="K1716" s="6" t="str">
        <f aca="false">A1716&amp;"|"&amp;B1716&amp;"|"&amp;C1716&amp;"|"&amp;D1716</f>
        <v>3|6|Kelsey|spotify:track:6uW03WHG3qv2FzxPIW6SUP</v>
      </c>
    </row>
    <row r="1717" customFormat="false" ht="15" hidden="false" customHeight="false" outlineLevel="0" collapsed="false">
      <c r="A1717" s="5" t="n">
        <v>3</v>
      </c>
      <c r="B1717" s="5" t="n">
        <v>6</v>
      </c>
      <c r="C1717" s="5" t="s">
        <v>85</v>
      </c>
      <c r="D1717" s="5" t="s">
        <v>899</v>
      </c>
      <c r="E1717" s="5" t="n">
        <v>2</v>
      </c>
      <c r="F1717" s="6" t="n">
        <f aca="false">IFERROR(MATCH(A1717&amp;"|"&amp;B1717&amp;"|"&amp;D1717,'All Song Rankings'!$T:$T,0),0)</f>
        <v>269</v>
      </c>
      <c r="G1717" s="6" t="str">
        <f aca="false">IF(F1717=0,"NOT FOUND",INDEX('All Song Rankings'!$A:$A,F1717))</f>
        <v>I2I</v>
      </c>
      <c r="H1717" s="6" t="str">
        <f aca="false">IF(F1717=0,"NOT FOUND",INDEX('All Song Rankings'!$B:$B,F1717))</f>
        <v>Tevin Campbell, Rosie Gaines</v>
      </c>
      <c r="I1717" s="6" t="str">
        <f aca="false">IF(F1717=0,"NOT FOUND",INDEX('All Song Rankings'!$D:$D,F1717))</f>
        <v>Nicole</v>
      </c>
      <c r="J1717" s="7" t="str">
        <f aca="false">IF(F1717=0,"NOT FOUND",IF(C1717=I1717,"SELF-VOTE",IF(COUNTIF($K:$K,K1717)&gt;1,"DUPLICATE","OK")))</f>
        <v>OK</v>
      </c>
      <c r="K1717" s="6" t="str">
        <f aca="false">A1717&amp;"|"&amp;B1717&amp;"|"&amp;C1717&amp;"|"&amp;D1717</f>
        <v>3|6|Kelsey|spotify:track:7lPxGs556PD8H3bUd9LzHp</v>
      </c>
    </row>
    <row r="1718" customFormat="false" ht="15" hidden="false" customHeight="false" outlineLevel="0" collapsed="false">
      <c r="A1718" s="5" t="n">
        <v>3</v>
      </c>
      <c r="B1718" s="5" t="n">
        <v>6</v>
      </c>
      <c r="C1718" s="5" t="s">
        <v>106</v>
      </c>
      <c r="D1718" s="5" t="s">
        <v>905</v>
      </c>
      <c r="E1718" s="5" t="n">
        <v>1</v>
      </c>
      <c r="F1718" s="6" t="n">
        <f aca="false">IFERROR(MATCH(A1718&amp;"|"&amp;B1718&amp;"|"&amp;D1718,'All Song Rankings'!$T:$T,0),0)</f>
        <v>271</v>
      </c>
      <c r="G1718" s="6" t="str">
        <f aca="false">IF(F1718=0,"NOT FOUND",INDEX('All Song Rankings'!$A:$A,F1718))</f>
        <v>Arabian Nights</v>
      </c>
      <c r="H1718" s="6" t="str">
        <f aca="false">IF(F1718=0,"NOT FOUND",INDEX('All Song Rankings'!$B:$B,F1718))</f>
        <v>Bruce Adler, Disney</v>
      </c>
      <c r="I1718" s="6" t="str">
        <f aca="false">IF(F1718=0,"NOT FOUND",INDEX('All Song Rankings'!$D:$D,F1718))</f>
        <v>Grace</v>
      </c>
      <c r="J1718" s="7" t="str">
        <f aca="false">IF(F1718=0,"NOT FOUND",IF(C1718=I1718,"SELF-VOTE",IF(COUNTIF($K:$K,K1718)&gt;1,"DUPLICATE","OK")))</f>
        <v>OK</v>
      </c>
      <c r="K1718" s="6" t="str">
        <f aca="false">A1718&amp;"|"&amp;B1718&amp;"|"&amp;C1718&amp;"|"&amp;D1718</f>
        <v>3|6|Kristen|spotify:track:0CKmN3Wwk8W4zjU0pqq2cv</v>
      </c>
    </row>
    <row r="1719" customFormat="false" ht="15" hidden="false" customHeight="false" outlineLevel="0" collapsed="false">
      <c r="A1719" s="5" t="n">
        <v>3</v>
      </c>
      <c r="B1719" s="5" t="n">
        <v>6</v>
      </c>
      <c r="C1719" s="5" t="s">
        <v>106</v>
      </c>
      <c r="D1719" s="5" t="s">
        <v>908</v>
      </c>
      <c r="E1719" s="5" t="n">
        <v>1</v>
      </c>
      <c r="F1719" s="6" t="n">
        <f aca="false">IFERROR(MATCH(A1719&amp;"|"&amp;B1719&amp;"|"&amp;D1719,'All Song Rankings'!$T:$T,0),0)</f>
        <v>272</v>
      </c>
      <c r="G1719" s="6" t="str">
        <f aca="false">IF(F1719=0,"NOT FOUND",INDEX('All Song Rankings'!$A:$A,F1719))</f>
        <v>Ain't No Mountain High Enough</v>
      </c>
      <c r="H1719" s="6" t="str">
        <f aca="false">IF(F1719=0,"NOT FOUND",INDEX('All Song Rankings'!$B:$B,F1719))</f>
        <v>Marvin Gaye, Tammi Terrell</v>
      </c>
      <c r="I1719" s="6" t="str">
        <f aca="false">IF(F1719=0,"NOT FOUND",INDEX('All Song Rankings'!$D:$D,F1719))</f>
        <v>Lisa</v>
      </c>
      <c r="J1719" s="7" t="str">
        <f aca="false">IF(F1719=0,"NOT FOUND",IF(C1719=I1719,"SELF-VOTE",IF(COUNTIF($K:$K,K1719)&gt;1,"DUPLICATE","OK")))</f>
        <v>OK</v>
      </c>
      <c r="K1719" s="6" t="str">
        <f aca="false">A1719&amp;"|"&amp;B1719&amp;"|"&amp;C1719&amp;"|"&amp;D1719</f>
        <v>3|6|Kristen|spotify:track:0Z5rLOv4Mqc4hKZ1dPjODv</v>
      </c>
    </row>
    <row r="1720" customFormat="false" ht="15" hidden="false" customHeight="false" outlineLevel="0" collapsed="false">
      <c r="A1720" s="5" t="n">
        <v>3</v>
      </c>
      <c r="B1720" s="5" t="n">
        <v>6</v>
      </c>
      <c r="C1720" s="5" t="s">
        <v>106</v>
      </c>
      <c r="D1720" s="5" t="s">
        <v>926</v>
      </c>
      <c r="E1720" s="5" t="n">
        <v>1</v>
      </c>
      <c r="F1720" s="6" t="n">
        <f aca="false">IFERROR(MATCH(A1720&amp;"|"&amp;B1720&amp;"|"&amp;D1720,'All Song Rankings'!$T:$T,0),0)</f>
        <v>278</v>
      </c>
      <c r="G1720" s="6" t="str">
        <f aca="false">IF(F1720=0,"NOT FOUND",INDEX('All Song Rankings'!$A:$A,F1720))</f>
        <v>Fortuosity - From "The Happiest Millionaire"</v>
      </c>
      <c r="H1720" s="6" t="str">
        <f aca="false">IF(F1720=0,"NOT FOUND",INDEX('All Song Rankings'!$B:$B,F1720))</f>
        <v>Tommy Steele</v>
      </c>
      <c r="I1720" s="6" t="str">
        <f aca="false">IF(F1720=0,"NOT FOUND",INDEX('All Song Rankings'!$D:$D,F1720))</f>
        <v>Scott</v>
      </c>
      <c r="J1720" s="7" t="str">
        <f aca="false">IF(F1720=0,"NOT FOUND",IF(C1720=I1720,"SELF-VOTE",IF(COUNTIF($K:$K,K1720)&gt;1,"DUPLICATE","OK")))</f>
        <v>OK</v>
      </c>
      <c r="K1720" s="6" t="str">
        <f aca="false">A1720&amp;"|"&amp;B1720&amp;"|"&amp;C1720&amp;"|"&amp;D1720</f>
        <v>3|6|Kristen|spotify:track:2hwh9Ezfef2NoBjiKyN8Sa</v>
      </c>
    </row>
    <row r="1721" customFormat="false" ht="15" hidden="false" customHeight="false" outlineLevel="0" collapsed="false">
      <c r="A1721" s="5" t="n">
        <v>3</v>
      </c>
      <c r="B1721" s="5" t="n">
        <v>6</v>
      </c>
      <c r="C1721" s="5" t="s">
        <v>106</v>
      </c>
      <c r="D1721" s="5" t="s">
        <v>893</v>
      </c>
      <c r="E1721" s="5" t="n">
        <v>2</v>
      </c>
      <c r="F1721" s="6" t="n">
        <f aca="false">IFERROR(MATCH(A1721&amp;"|"&amp;B1721&amp;"|"&amp;D1721,'All Song Rankings'!$T:$T,0),0)</f>
        <v>267</v>
      </c>
      <c r="G1721" s="6" t="str">
        <f aca="false">IF(F1721=0,"NOT FOUND",INDEX('All Song Rankings'!$A:$A,F1721))</f>
        <v>Two Worlds</v>
      </c>
      <c r="H1721" s="6" t="str">
        <f aca="false">IF(F1721=0,"NOT FOUND",INDEX('All Song Rankings'!$B:$B,F1721))</f>
        <v>Phil Collins</v>
      </c>
      <c r="I1721" s="6" t="str">
        <f aca="false">IF(F1721=0,"NOT FOUND",INDEX('All Song Rankings'!$D:$D,F1721))</f>
        <v>Logan</v>
      </c>
      <c r="J1721" s="7" t="str">
        <f aca="false">IF(F1721=0,"NOT FOUND",IF(C1721=I1721,"SELF-VOTE",IF(COUNTIF($K:$K,K1721)&gt;1,"DUPLICATE","OK")))</f>
        <v>OK</v>
      </c>
      <c r="K1721" s="6" t="str">
        <f aca="false">A1721&amp;"|"&amp;B1721&amp;"|"&amp;C1721&amp;"|"&amp;D1721</f>
        <v>3|6|Kristen|spotify:track:3icOFPIciIN8FQSyVlpYSF</v>
      </c>
    </row>
    <row r="1722" customFormat="false" ht="15" hidden="false" customHeight="false" outlineLevel="0" collapsed="false">
      <c r="A1722" s="5" t="n">
        <v>3</v>
      </c>
      <c r="B1722" s="5" t="n">
        <v>6</v>
      </c>
      <c r="C1722" s="5" t="s">
        <v>106</v>
      </c>
      <c r="D1722" s="5" t="s">
        <v>896</v>
      </c>
      <c r="E1722" s="5" t="n">
        <v>1</v>
      </c>
      <c r="F1722" s="6" t="n">
        <f aca="false">IFERROR(MATCH(A1722&amp;"|"&amp;B1722&amp;"|"&amp;D1722,'All Song Rankings'!$T:$T,0),0)</f>
        <v>268</v>
      </c>
      <c r="G1722" s="6" t="str">
        <f aca="false">IF(F1722=0,"NOT FOUND",INDEX('All Song Rankings'!$A:$A,F1722))</f>
        <v>Zoo</v>
      </c>
      <c r="H1722" s="6" t="str">
        <f aca="false">IF(F1722=0,"NOT FOUND",INDEX('All Song Rankings'!$B:$B,F1722))</f>
        <v>Disney, Shakira</v>
      </c>
      <c r="I1722" s="6" t="str">
        <f aca="false">IF(F1722=0,"NOT FOUND",INDEX('All Song Rankings'!$D:$D,F1722))</f>
        <v>Matt</v>
      </c>
      <c r="J1722" s="7" t="str">
        <f aca="false">IF(F1722=0,"NOT FOUND",IF(C1722=I1722,"SELF-VOTE",IF(COUNTIF($K:$K,K1722)&gt;1,"DUPLICATE","OK")))</f>
        <v>OK</v>
      </c>
      <c r="K1722" s="6" t="str">
        <f aca="false">A1722&amp;"|"&amp;B1722&amp;"|"&amp;C1722&amp;"|"&amp;D1722</f>
        <v>3|6|Kristen|spotify:track:3vJIaiTIHxHhYafTSPNiH4</v>
      </c>
    </row>
    <row r="1723" customFormat="false" ht="15" hidden="false" customHeight="false" outlineLevel="0" collapsed="false">
      <c r="A1723" s="5" t="n">
        <v>3</v>
      </c>
      <c r="B1723" s="5" t="n">
        <v>6</v>
      </c>
      <c r="C1723" s="5" t="s">
        <v>106</v>
      </c>
      <c r="D1723" s="5" t="s">
        <v>920</v>
      </c>
      <c r="E1723" s="5" t="n">
        <v>1</v>
      </c>
      <c r="F1723" s="6" t="n">
        <f aca="false">IFERROR(MATCH(A1723&amp;"|"&amp;B1723&amp;"|"&amp;D1723,'All Song Rankings'!$T:$T,0),0)</f>
        <v>276</v>
      </c>
      <c r="G1723" s="6" t="str">
        <f aca="false">IF(F1723=0,"NOT FOUND",INDEX('All Song Rankings'!$A:$A,F1723))</f>
        <v>The Bells of Notre Dame</v>
      </c>
      <c r="H1723" s="6" t="str">
        <f aca="false">IF(F1723=0,"NOT FOUND",INDEX('All Song Rankings'!$B:$B,F1723))</f>
        <v>David Ogden Stiers, Tony Jay, Paul Kandel, Chorus - The Hunchback Of Notre Dame</v>
      </c>
      <c r="I1723" s="6" t="str">
        <f aca="false">IF(F1723=0,"NOT FOUND",INDEX('All Song Rankings'!$D:$D,F1723))</f>
        <v>Stephanie</v>
      </c>
      <c r="J1723" s="7" t="str">
        <f aca="false">IF(F1723=0,"NOT FOUND",IF(C1723=I1723,"SELF-VOTE",IF(COUNTIF($K:$K,K1723)&gt;1,"DUPLICATE","OK")))</f>
        <v>OK</v>
      </c>
      <c r="K1723" s="6" t="str">
        <f aca="false">A1723&amp;"|"&amp;B1723&amp;"|"&amp;C1723&amp;"|"&amp;D1723</f>
        <v>3|6|Kristen|spotify:track:47Wo2LeGbzdZTdEFNRZXV0</v>
      </c>
    </row>
    <row r="1724" customFormat="false" ht="15" hidden="false" customHeight="false" outlineLevel="0" collapsed="false">
      <c r="A1724" s="5" t="n">
        <v>3</v>
      </c>
      <c r="B1724" s="5" t="n">
        <v>6</v>
      </c>
      <c r="C1724" s="5" t="s">
        <v>106</v>
      </c>
      <c r="D1724" s="5" t="s">
        <v>929</v>
      </c>
      <c r="E1724" s="5" t="n">
        <v>1</v>
      </c>
      <c r="F1724" s="6" t="n">
        <f aca="false">IFERROR(MATCH(A1724&amp;"|"&amp;B1724&amp;"|"&amp;D1724,'All Song Rankings'!$T:$T,0),0)</f>
        <v>279</v>
      </c>
      <c r="G1724" s="6" t="str">
        <f aca="false">IF(F1724=0,"NOT FOUND",INDEX('All Song Rankings'!$A:$A,F1724))</f>
        <v>What Time Is It</v>
      </c>
      <c r="H1724" s="6" t="str">
        <f aca="false">IF(F1724=0,"NOT FOUND",INDEX('All Song Rankings'!$B:$B,F1724))</f>
        <v>Zac Efron, Vanessa Hudgens, Lucas Grabeel, Corbin Bleu, Ashley Tisdale, Monique Coleman, Disney</v>
      </c>
      <c r="I1724" s="6" t="str">
        <f aca="false">IF(F1724=0,"NOT FOUND",INDEX('All Song Rankings'!$D:$D,F1724))</f>
        <v>Kelsey</v>
      </c>
      <c r="J1724" s="7" t="str">
        <f aca="false">IF(F1724=0,"NOT FOUND",IF(C1724=I1724,"SELF-VOTE",IF(COUNTIF($K:$K,K1724)&gt;1,"DUPLICATE","OK")))</f>
        <v>OK</v>
      </c>
      <c r="K1724" s="6" t="str">
        <f aca="false">A1724&amp;"|"&amp;B1724&amp;"|"&amp;C1724&amp;"|"&amp;D1724</f>
        <v>3|6|Kristen|spotify:track:6NqfslFfCCOyBQ0Xw8kN8E</v>
      </c>
    </row>
    <row r="1725" customFormat="false" ht="15" hidden="false" customHeight="false" outlineLevel="0" collapsed="false">
      <c r="A1725" s="5" t="n">
        <v>3</v>
      </c>
      <c r="B1725" s="5" t="n">
        <v>6</v>
      </c>
      <c r="C1725" s="5" t="s">
        <v>106</v>
      </c>
      <c r="D1725" s="5" t="s">
        <v>899</v>
      </c>
      <c r="E1725" s="5" t="n">
        <v>2</v>
      </c>
      <c r="F1725" s="6" t="n">
        <f aca="false">IFERROR(MATCH(A1725&amp;"|"&amp;B1725&amp;"|"&amp;D1725,'All Song Rankings'!$T:$T,0),0)</f>
        <v>269</v>
      </c>
      <c r="G1725" s="6" t="str">
        <f aca="false">IF(F1725=0,"NOT FOUND",INDEX('All Song Rankings'!$A:$A,F1725))</f>
        <v>I2I</v>
      </c>
      <c r="H1725" s="6" t="str">
        <f aca="false">IF(F1725=0,"NOT FOUND",INDEX('All Song Rankings'!$B:$B,F1725))</f>
        <v>Tevin Campbell, Rosie Gaines</v>
      </c>
      <c r="I1725" s="6" t="str">
        <f aca="false">IF(F1725=0,"NOT FOUND",INDEX('All Song Rankings'!$D:$D,F1725))</f>
        <v>Nicole</v>
      </c>
      <c r="J1725" s="7" t="str">
        <f aca="false">IF(F1725=0,"NOT FOUND",IF(C1725=I1725,"SELF-VOTE",IF(COUNTIF($K:$K,K1725)&gt;1,"DUPLICATE","OK")))</f>
        <v>OK</v>
      </c>
      <c r="K1725" s="6" t="str">
        <f aca="false">A1725&amp;"|"&amp;B1725&amp;"|"&amp;C1725&amp;"|"&amp;D1725</f>
        <v>3|6|Kristen|spotify:track:7lPxGs556PD8H3bUd9LzHp</v>
      </c>
    </row>
    <row r="1726" customFormat="false" ht="15" hidden="false" customHeight="false" outlineLevel="0" collapsed="false">
      <c r="A1726" s="5" t="n">
        <v>3</v>
      </c>
      <c r="B1726" s="5" t="n">
        <v>6</v>
      </c>
      <c r="C1726" s="5" t="s">
        <v>119</v>
      </c>
      <c r="D1726" s="5" t="s">
        <v>905</v>
      </c>
      <c r="E1726" s="5" t="n">
        <v>1</v>
      </c>
      <c r="F1726" s="6" t="n">
        <f aca="false">IFERROR(MATCH(A1726&amp;"|"&amp;B1726&amp;"|"&amp;D1726,'All Song Rankings'!$T:$T,0),0)</f>
        <v>271</v>
      </c>
      <c r="G1726" s="6" t="str">
        <f aca="false">IF(F1726=0,"NOT FOUND",INDEX('All Song Rankings'!$A:$A,F1726))</f>
        <v>Arabian Nights</v>
      </c>
      <c r="H1726" s="6" t="str">
        <f aca="false">IF(F1726=0,"NOT FOUND",INDEX('All Song Rankings'!$B:$B,F1726))</f>
        <v>Bruce Adler, Disney</v>
      </c>
      <c r="I1726" s="6" t="str">
        <f aca="false">IF(F1726=0,"NOT FOUND",INDEX('All Song Rankings'!$D:$D,F1726))</f>
        <v>Grace</v>
      </c>
      <c r="J1726" s="7" t="str">
        <f aca="false">IF(F1726=0,"NOT FOUND",IF(C1726=I1726,"SELF-VOTE",IF(COUNTIF($K:$K,K1726)&gt;1,"DUPLICATE","OK")))</f>
        <v>OK</v>
      </c>
      <c r="K1726" s="6" t="str">
        <f aca="false">A1726&amp;"|"&amp;B1726&amp;"|"&amp;C1726&amp;"|"&amp;D1726</f>
        <v>3|6|Leah|spotify:track:0CKmN3Wwk8W4zjU0pqq2cv</v>
      </c>
    </row>
    <row r="1727" customFormat="false" ht="15" hidden="false" customHeight="false" outlineLevel="0" collapsed="false">
      <c r="A1727" s="5" t="n">
        <v>3</v>
      </c>
      <c r="B1727" s="5" t="n">
        <v>6</v>
      </c>
      <c r="C1727" s="5" t="s">
        <v>119</v>
      </c>
      <c r="D1727" s="5" t="s">
        <v>902</v>
      </c>
      <c r="E1727" s="5" t="n">
        <v>1</v>
      </c>
      <c r="F1727" s="6" t="n">
        <f aca="false">IFERROR(MATCH(A1727&amp;"|"&amp;B1727&amp;"|"&amp;D1727,'All Song Rankings'!$T:$T,0),0)</f>
        <v>270</v>
      </c>
      <c r="G1727" s="6" t="str">
        <f aca="false">IF(F1727=0,"NOT FOUND",INDEX('All Song Rankings'!$A:$A,F1727))</f>
        <v>Circle of Life</v>
      </c>
      <c r="H1727" s="6" t="str">
        <f aca="false">IF(F1727=0,"NOT FOUND",INDEX('All Song Rankings'!$B:$B,F1727))</f>
        <v>Carmen Twillie, Lebo M.</v>
      </c>
      <c r="I1727" s="6" t="str">
        <f aca="false">IF(F1727=0,"NOT FOUND",INDEX('All Song Rankings'!$D:$D,F1727))</f>
        <v>Kristen</v>
      </c>
      <c r="J1727" s="7" t="str">
        <f aca="false">IF(F1727=0,"NOT FOUND",IF(C1727=I1727,"SELF-VOTE",IF(COUNTIF($K:$K,K1727)&gt;1,"DUPLICATE","OK")))</f>
        <v>OK</v>
      </c>
      <c r="K1727" s="6" t="str">
        <f aca="false">A1727&amp;"|"&amp;B1727&amp;"|"&amp;C1727&amp;"|"&amp;D1727</f>
        <v>3|6|Leah|spotify:track:0HU5JnVaKNTWf6GykV9Zn8</v>
      </c>
    </row>
    <row r="1728" customFormat="false" ht="15" hidden="false" customHeight="false" outlineLevel="0" collapsed="false">
      <c r="A1728" s="5" t="n">
        <v>3</v>
      </c>
      <c r="B1728" s="5" t="n">
        <v>6</v>
      </c>
      <c r="C1728" s="5" t="s">
        <v>119</v>
      </c>
      <c r="D1728" s="5" t="s">
        <v>917</v>
      </c>
      <c r="E1728" s="5" t="n">
        <v>2</v>
      </c>
      <c r="F1728" s="6" t="n">
        <f aca="false">IFERROR(MATCH(A1728&amp;"|"&amp;B1728&amp;"|"&amp;D1728,'All Song Rankings'!$T:$T,0),0)</f>
        <v>275</v>
      </c>
      <c r="G1728" s="6" t="str">
        <f aca="false">IF(F1728=0,"NOT FOUND",INDEX('All Song Rankings'!$A:$A,F1728))</f>
        <v>Belle</v>
      </c>
      <c r="H1728" s="6" t="str">
        <f aca="false">IF(F1728=0,"NOT FOUND",INDEX('All Song Rankings'!$B:$B,F1728))</f>
        <v>Richard White, Paige O'Hara, Chorus - Beauty And the Beast, Disney</v>
      </c>
      <c r="I1728" s="6" t="str">
        <f aca="false">IF(F1728=0,"NOT FOUND",INDEX('All Song Rankings'!$D:$D,F1728))</f>
        <v>Makenzie</v>
      </c>
      <c r="J1728" s="7" t="str">
        <f aca="false">IF(F1728=0,"NOT FOUND",IF(C1728=I1728,"SELF-VOTE",IF(COUNTIF($K:$K,K1728)&gt;1,"DUPLICATE","OK")))</f>
        <v>OK</v>
      </c>
      <c r="K1728" s="6" t="str">
        <f aca="false">A1728&amp;"|"&amp;B1728&amp;"|"&amp;C1728&amp;"|"&amp;D1728</f>
        <v>3|6|Leah|spotify:track:0Q4a3PdGEME9w8Jgqa0Gf3</v>
      </c>
    </row>
    <row r="1729" customFormat="false" ht="15" hidden="false" customHeight="false" outlineLevel="0" collapsed="false">
      <c r="A1729" s="5" t="n">
        <v>3</v>
      </c>
      <c r="B1729" s="5" t="n">
        <v>6</v>
      </c>
      <c r="C1729" s="5" t="s">
        <v>119</v>
      </c>
      <c r="D1729" s="5" t="s">
        <v>908</v>
      </c>
      <c r="E1729" s="5" t="n">
        <v>1</v>
      </c>
      <c r="F1729" s="6" t="n">
        <f aca="false">IFERROR(MATCH(A1729&amp;"|"&amp;B1729&amp;"|"&amp;D1729,'All Song Rankings'!$T:$T,0),0)</f>
        <v>272</v>
      </c>
      <c r="G1729" s="6" t="str">
        <f aca="false">IF(F1729=0,"NOT FOUND",INDEX('All Song Rankings'!$A:$A,F1729))</f>
        <v>Ain't No Mountain High Enough</v>
      </c>
      <c r="H1729" s="6" t="str">
        <f aca="false">IF(F1729=0,"NOT FOUND",INDEX('All Song Rankings'!$B:$B,F1729))</f>
        <v>Marvin Gaye, Tammi Terrell</v>
      </c>
      <c r="I1729" s="6" t="str">
        <f aca="false">IF(F1729=0,"NOT FOUND",INDEX('All Song Rankings'!$D:$D,F1729))</f>
        <v>Lisa</v>
      </c>
      <c r="J1729" s="7" t="str">
        <f aca="false">IF(F1729=0,"NOT FOUND",IF(C1729=I1729,"SELF-VOTE",IF(COUNTIF($K:$K,K1729)&gt;1,"DUPLICATE","OK")))</f>
        <v>OK</v>
      </c>
      <c r="K1729" s="6" t="str">
        <f aca="false">A1729&amp;"|"&amp;B1729&amp;"|"&amp;C1729&amp;"|"&amp;D1729</f>
        <v>3|6|Leah|spotify:track:0Z5rLOv4Mqc4hKZ1dPjODv</v>
      </c>
    </row>
    <row r="1730" customFormat="false" ht="15" hidden="false" customHeight="false" outlineLevel="0" collapsed="false">
      <c r="A1730" s="5" t="n">
        <v>3</v>
      </c>
      <c r="B1730" s="5" t="n">
        <v>6</v>
      </c>
      <c r="C1730" s="5" t="s">
        <v>119</v>
      </c>
      <c r="D1730" s="5" t="s">
        <v>926</v>
      </c>
      <c r="E1730" s="5" t="n">
        <v>1</v>
      </c>
      <c r="F1730" s="6" t="n">
        <f aca="false">IFERROR(MATCH(A1730&amp;"|"&amp;B1730&amp;"|"&amp;D1730,'All Song Rankings'!$T:$T,0),0)</f>
        <v>278</v>
      </c>
      <c r="G1730" s="6" t="str">
        <f aca="false">IF(F1730=0,"NOT FOUND",INDEX('All Song Rankings'!$A:$A,F1730))</f>
        <v>Fortuosity - From "The Happiest Millionaire"</v>
      </c>
      <c r="H1730" s="6" t="str">
        <f aca="false">IF(F1730=0,"NOT FOUND",INDEX('All Song Rankings'!$B:$B,F1730))</f>
        <v>Tommy Steele</v>
      </c>
      <c r="I1730" s="6" t="str">
        <f aca="false">IF(F1730=0,"NOT FOUND",INDEX('All Song Rankings'!$D:$D,F1730))</f>
        <v>Scott</v>
      </c>
      <c r="J1730" s="7" t="str">
        <f aca="false">IF(F1730=0,"NOT FOUND",IF(C1730=I1730,"SELF-VOTE",IF(COUNTIF($K:$K,K1730)&gt;1,"DUPLICATE","OK")))</f>
        <v>OK</v>
      </c>
      <c r="K1730" s="6" t="str">
        <f aca="false">A1730&amp;"|"&amp;B1730&amp;"|"&amp;C1730&amp;"|"&amp;D1730</f>
        <v>3|6|Leah|spotify:track:2hwh9Ezfef2NoBjiKyN8Sa</v>
      </c>
    </row>
    <row r="1731" customFormat="false" ht="15" hidden="false" customHeight="false" outlineLevel="0" collapsed="false">
      <c r="A1731" s="5" t="n">
        <v>3</v>
      </c>
      <c r="B1731" s="5" t="n">
        <v>6</v>
      </c>
      <c r="C1731" s="5" t="s">
        <v>119</v>
      </c>
      <c r="D1731" s="5" t="s">
        <v>896</v>
      </c>
      <c r="E1731" s="5" t="n">
        <v>1</v>
      </c>
      <c r="F1731" s="6" t="n">
        <f aca="false">IFERROR(MATCH(A1731&amp;"|"&amp;B1731&amp;"|"&amp;D1731,'All Song Rankings'!$T:$T,0),0)</f>
        <v>268</v>
      </c>
      <c r="G1731" s="6" t="str">
        <f aca="false">IF(F1731=0,"NOT FOUND",INDEX('All Song Rankings'!$A:$A,F1731))</f>
        <v>Zoo</v>
      </c>
      <c r="H1731" s="6" t="str">
        <f aca="false">IF(F1731=0,"NOT FOUND",INDEX('All Song Rankings'!$B:$B,F1731))</f>
        <v>Disney, Shakira</v>
      </c>
      <c r="I1731" s="6" t="str">
        <f aca="false">IF(F1731=0,"NOT FOUND",INDEX('All Song Rankings'!$D:$D,F1731))</f>
        <v>Matt</v>
      </c>
      <c r="J1731" s="7" t="str">
        <f aca="false">IF(F1731=0,"NOT FOUND",IF(C1731=I1731,"SELF-VOTE",IF(COUNTIF($K:$K,K1731)&gt;1,"DUPLICATE","OK")))</f>
        <v>OK</v>
      </c>
      <c r="K1731" s="6" t="str">
        <f aca="false">A1731&amp;"|"&amp;B1731&amp;"|"&amp;C1731&amp;"|"&amp;D1731</f>
        <v>3|6|Leah|spotify:track:3vJIaiTIHxHhYafTSPNiH4</v>
      </c>
    </row>
    <row r="1732" customFormat="false" ht="15" hidden="false" customHeight="false" outlineLevel="0" collapsed="false">
      <c r="A1732" s="5" t="n">
        <v>3</v>
      </c>
      <c r="B1732" s="5" t="n">
        <v>6</v>
      </c>
      <c r="C1732" s="5" t="s">
        <v>119</v>
      </c>
      <c r="D1732" s="5" t="s">
        <v>930</v>
      </c>
      <c r="E1732" s="5" t="n">
        <v>1</v>
      </c>
      <c r="F1732" s="6" t="n">
        <f aca="false">IFERROR(MATCH(A1732&amp;"|"&amp;B1732&amp;"|"&amp;D1732,'All Song Rankings'!$T:$T,0),0)</f>
        <v>280</v>
      </c>
      <c r="G1732" s="6" t="str">
        <f aca="false">IF(F1732=0,"NOT FOUND",INDEX('All Song Rankings'!$A:$A,F1732))</f>
        <v>Circle of Life</v>
      </c>
      <c r="H1732" s="6" t="str">
        <f aca="false">IF(F1732=0,"NOT FOUND",INDEX('All Song Rankings'!$B:$B,F1732))</f>
        <v>Elton John</v>
      </c>
      <c r="I1732" s="6" t="str">
        <f aca="false">IF(F1732=0,"NOT FOUND",INDEX('All Song Rankings'!$D:$D,F1732))</f>
        <v>Aubrey</v>
      </c>
      <c r="J1732" s="7" t="str">
        <f aca="false">IF(F1732=0,"NOT FOUND",IF(C1732=I1732,"SELF-VOTE",IF(COUNTIF($K:$K,K1732)&gt;1,"DUPLICATE","OK")))</f>
        <v>OK</v>
      </c>
      <c r="K1732" s="6" t="str">
        <f aca="false">A1732&amp;"|"&amp;B1732&amp;"|"&amp;C1732&amp;"|"&amp;D1732</f>
        <v>3|6|Leah|spotify:track:5vKkaZHPzuqQheytfKuXzp</v>
      </c>
    </row>
    <row r="1733" customFormat="false" ht="15" hidden="false" customHeight="false" outlineLevel="0" collapsed="false">
      <c r="A1733" s="5" t="n">
        <v>3</v>
      </c>
      <c r="B1733" s="5" t="n">
        <v>6</v>
      </c>
      <c r="C1733" s="5" t="s">
        <v>119</v>
      </c>
      <c r="D1733" s="5" t="s">
        <v>929</v>
      </c>
      <c r="E1733" s="5" t="n">
        <v>1</v>
      </c>
      <c r="F1733" s="6" t="n">
        <f aca="false">IFERROR(MATCH(A1733&amp;"|"&amp;B1733&amp;"|"&amp;D1733,'All Song Rankings'!$T:$T,0),0)</f>
        <v>279</v>
      </c>
      <c r="G1733" s="6" t="str">
        <f aca="false">IF(F1733=0,"NOT FOUND",INDEX('All Song Rankings'!$A:$A,F1733))</f>
        <v>What Time Is It</v>
      </c>
      <c r="H1733" s="6" t="str">
        <f aca="false">IF(F1733=0,"NOT FOUND",INDEX('All Song Rankings'!$B:$B,F1733))</f>
        <v>Zac Efron, Vanessa Hudgens, Lucas Grabeel, Corbin Bleu, Ashley Tisdale, Monique Coleman, Disney</v>
      </c>
      <c r="I1733" s="6" t="str">
        <f aca="false">IF(F1733=0,"NOT FOUND",INDEX('All Song Rankings'!$D:$D,F1733))</f>
        <v>Kelsey</v>
      </c>
      <c r="J1733" s="7" t="str">
        <f aca="false">IF(F1733=0,"NOT FOUND",IF(C1733=I1733,"SELF-VOTE",IF(COUNTIF($K:$K,K1733)&gt;1,"DUPLICATE","OK")))</f>
        <v>OK</v>
      </c>
      <c r="K1733" s="6" t="str">
        <f aca="false">A1733&amp;"|"&amp;B1733&amp;"|"&amp;C1733&amp;"|"&amp;D1733</f>
        <v>3|6|Leah|spotify:track:6NqfslFfCCOyBQ0Xw8kN8E</v>
      </c>
    </row>
    <row r="1734" customFormat="false" ht="15" hidden="false" customHeight="false" outlineLevel="0" collapsed="false">
      <c r="A1734" s="5" t="n">
        <v>3</v>
      </c>
      <c r="B1734" s="5" t="n">
        <v>6</v>
      </c>
      <c r="C1734" s="5" t="s">
        <v>119</v>
      </c>
      <c r="D1734" s="5" t="s">
        <v>899</v>
      </c>
      <c r="E1734" s="5" t="n">
        <v>1</v>
      </c>
      <c r="F1734" s="6" t="n">
        <f aca="false">IFERROR(MATCH(A1734&amp;"|"&amp;B1734&amp;"|"&amp;D1734,'All Song Rankings'!$T:$T,0),0)</f>
        <v>269</v>
      </c>
      <c r="G1734" s="6" t="str">
        <f aca="false">IF(F1734=0,"NOT FOUND",INDEX('All Song Rankings'!$A:$A,F1734))</f>
        <v>I2I</v>
      </c>
      <c r="H1734" s="6" t="str">
        <f aca="false">IF(F1734=0,"NOT FOUND",INDEX('All Song Rankings'!$B:$B,F1734))</f>
        <v>Tevin Campbell, Rosie Gaines</v>
      </c>
      <c r="I1734" s="6" t="str">
        <f aca="false">IF(F1734=0,"NOT FOUND",INDEX('All Song Rankings'!$D:$D,F1734))</f>
        <v>Nicole</v>
      </c>
      <c r="J1734" s="7" t="str">
        <f aca="false">IF(F1734=0,"NOT FOUND",IF(C1734=I1734,"SELF-VOTE",IF(COUNTIF($K:$K,K1734)&gt;1,"DUPLICATE","OK")))</f>
        <v>OK</v>
      </c>
      <c r="K1734" s="6" t="str">
        <f aca="false">A1734&amp;"|"&amp;B1734&amp;"|"&amp;C1734&amp;"|"&amp;D1734</f>
        <v>3|6|Leah|spotify:track:7lPxGs556PD8H3bUd9LzHp</v>
      </c>
    </row>
    <row r="1735" customFormat="false" ht="15" hidden="false" customHeight="false" outlineLevel="0" collapsed="false">
      <c r="A1735" s="5" t="n">
        <v>3</v>
      </c>
      <c r="B1735" s="5" t="n">
        <v>6</v>
      </c>
      <c r="C1735" s="5" t="s">
        <v>705</v>
      </c>
      <c r="D1735" s="5" t="s">
        <v>902</v>
      </c>
      <c r="E1735" s="5" t="n">
        <v>1</v>
      </c>
      <c r="F1735" s="6" t="n">
        <f aca="false">IFERROR(MATCH(A1735&amp;"|"&amp;B1735&amp;"|"&amp;D1735,'All Song Rankings'!$T:$T,0),0)</f>
        <v>270</v>
      </c>
      <c r="G1735" s="6" t="str">
        <f aca="false">IF(F1735=0,"NOT FOUND",INDEX('All Song Rankings'!$A:$A,F1735))</f>
        <v>Circle of Life</v>
      </c>
      <c r="H1735" s="6" t="str">
        <f aca="false">IF(F1735=0,"NOT FOUND",INDEX('All Song Rankings'!$B:$B,F1735))</f>
        <v>Carmen Twillie, Lebo M.</v>
      </c>
      <c r="I1735" s="6" t="str">
        <f aca="false">IF(F1735=0,"NOT FOUND",INDEX('All Song Rankings'!$D:$D,F1735))</f>
        <v>Kristen</v>
      </c>
      <c r="J1735" s="7" t="str">
        <f aca="false">IF(F1735=0,"NOT FOUND",IF(C1735=I1735,"SELF-VOTE",IF(COUNTIF($K:$K,K1735)&gt;1,"DUPLICATE","OK")))</f>
        <v>OK</v>
      </c>
      <c r="K1735" s="6" t="str">
        <f aca="false">A1735&amp;"|"&amp;B1735&amp;"|"&amp;C1735&amp;"|"&amp;D1735</f>
        <v>3|6|Lisa|spotify:track:0HU5JnVaKNTWf6GykV9Zn8</v>
      </c>
    </row>
    <row r="1736" customFormat="false" ht="15" hidden="false" customHeight="false" outlineLevel="0" collapsed="false">
      <c r="A1736" s="5" t="n">
        <v>3</v>
      </c>
      <c r="B1736" s="5" t="n">
        <v>6</v>
      </c>
      <c r="C1736" s="5" t="s">
        <v>705</v>
      </c>
      <c r="D1736" s="5" t="s">
        <v>923</v>
      </c>
      <c r="E1736" s="5" t="n">
        <v>1</v>
      </c>
      <c r="F1736" s="6" t="n">
        <f aca="false">IFERROR(MATCH(A1736&amp;"|"&amp;B1736&amp;"|"&amp;D1736,'All Song Rankings'!$T:$T,0),0)</f>
        <v>277</v>
      </c>
      <c r="G1736" s="6" t="str">
        <f aca="false">IF(F1736=0,"NOT FOUND",INDEX('All Song Rankings'!$A:$A,F1736))</f>
        <v>Good to Be Bad</v>
      </c>
      <c r="H1736" s="6" t="str">
        <f aca="false">IF(F1736=0,"NOT FOUND",INDEX('All Song Rankings'!$B:$B,F1736))</f>
        <v>Dove Cameron, Sofia Carson, Booboo Stewart, Carmeon Boyce, Jadah Marie, Anna Catchart, Disney</v>
      </c>
      <c r="I1736" s="6" t="str">
        <f aca="false">IF(F1736=0,"NOT FOUND",INDEX('All Song Rankings'!$D:$D,F1736))</f>
        <v>Leah</v>
      </c>
      <c r="J1736" s="7" t="str">
        <f aca="false">IF(F1736=0,"NOT FOUND",IF(C1736=I1736,"SELF-VOTE",IF(COUNTIF($K:$K,K1736)&gt;1,"DUPLICATE","OK")))</f>
        <v>OK</v>
      </c>
      <c r="K1736" s="6" t="str">
        <f aca="false">A1736&amp;"|"&amp;B1736&amp;"|"&amp;C1736&amp;"|"&amp;D1736</f>
        <v>3|6|Lisa|spotify:track:1RIYF8NDIIWBvJe4vhQr6y</v>
      </c>
    </row>
    <row r="1737" customFormat="false" ht="15" hidden="false" customHeight="false" outlineLevel="0" collapsed="false">
      <c r="A1737" s="5" t="n">
        <v>3</v>
      </c>
      <c r="B1737" s="5" t="n">
        <v>6</v>
      </c>
      <c r="C1737" s="5" t="s">
        <v>705</v>
      </c>
      <c r="D1737" s="5" t="s">
        <v>926</v>
      </c>
      <c r="E1737" s="5" t="n">
        <v>1</v>
      </c>
      <c r="F1737" s="6" t="n">
        <f aca="false">IFERROR(MATCH(A1737&amp;"|"&amp;B1737&amp;"|"&amp;D1737,'All Song Rankings'!$T:$T,0),0)</f>
        <v>278</v>
      </c>
      <c r="G1737" s="6" t="str">
        <f aca="false">IF(F1737=0,"NOT FOUND",INDEX('All Song Rankings'!$A:$A,F1737))</f>
        <v>Fortuosity - From "The Happiest Millionaire"</v>
      </c>
      <c r="H1737" s="6" t="str">
        <f aca="false">IF(F1737=0,"NOT FOUND",INDEX('All Song Rankings'!$B:$B,F1737))</f>
        <v>Tommy Steele</v>
      </c>
      <c r="I1737" s="6" t="str">
        <f aca="false">IF(F1737=0,"NOT FOUND",INDEX('All Song Rankings'!$D:$D,F1737))</f>
        <v>Scott</v>
      </c>
      <c r="J1737" s="7" t="str">
        <f aca="false">IF(F1737=0,"NOT FOUND",IF(C1737=I1737,"SELF-VOTE",IF(COUNTIF($K:$K,K1737)&gt;1,"DUPLICATE","OK")))</f>
        <v>OK</v>
      </c>
      <c r="K1737" s="6" t="str">
        <f aca="false">A1737&amp;"|"&amp;B1737&amp;"|"&amp;C1737&amp;"|"&amp;D1737</f>
        <v>3|6|Lisa|spotify:track:2hwh9Ezfef2NoBjiKyN8Sa</v>
      </c>
    </row>
    <row r="1738" customFormat="false" ht="15" hidden="false" customHeight="false" outlineLevel="0" collapsed="false">
      <c r="A1738" s="5" t="n">
        <v>3</v>
      </c>
      <c r="B1738" s="5" t="n">
        <v>6</v>
      </c>
      <c r="C1738" s="5" t="s">
        <v>705</v>
      </c>
      <c r="D1738" s="5" t="s">
        <v>893</v>
      </c>
      <c r="E1738" s="5" t="n">
        <v>1</v>
      </c>
      <c r="F1738" s="6" t="n">
        <f aca="false">IFERROR(MATCH(A1738&amp;"|"&amp;B1738&amp;"|"&amp;D1738,'All Song Rankings'!$T:$T,0),0)</f>
        <v>267</v>
      </c>
      <c r="G1738" s="6" t="str">
        <f aca="false">IF(F1738=0,"NOT FOUND",INDEX('All Song Rankings'!$A:$A,F1738))</f>
        <v>Two Worlds</v>
      </c>
      <c r="H1738" s="6" t="str">
        <f aca="false">IF(F1738=0,"NOT FOUND",INDEX('All Song Rankings'!$B:$B,F1738))</f>
        <v>Phil Collins</v>
      </c>
      <c r="I1738" s="6" t="str">
        <f aca="false">IF(F1738=0,"NOT FOUND",INDEX('All Song Rankings'!$D:$D,F1738))</f>
        <v>Logan</v>
      </c>
      <c r="J1738" s="7" t="str">
        <f aca="false">IF(F1738=0,"NOT FOUND",IF(C1738=I1738,"SELF-VOTE",IF(COUNTIF($K:$K,K1738)&gt;1,"DUPLICATE","OK")))</f>
        <v>OK</v>
      </c>
      <c r="K1738" s="6" t="str">
        <f aca="false">A1738&amp;"|"&amp;B1738&amp;"|"&amp;C1738&amp;"|"&amp;D1738</f>
        <v>3|6|Lisa|spotify:track:3icOFPIciIN8FQSyVlpYSF</v>
      </c>
    </row>
    <row r="1739" customFormat="false" ht="15" hidden="false" customHeight="false" outlineLevel="0" collapsed="false">
      <c r="A1739" s="5" t="n">
        <v>3</v>
      </c>
      <c r="B1739" s="5" t="n">
        <v>6</v>
      </c>
      <c r="C1739" s="5" t="s">
        <v>705</v>
      </c>
      <c r="D1739" s="5" t="s">
        <v>896</v>
      </c>
      <c r="E1739" s="5" t="n">
        <v>2</v>
      </c>
      <c r="F1739" s="6" t="n">
        <f aca="false">IFERROR(MATCH(A1739&amp;"|"&amp;B1739&amp;"|"&amp;D1739,'All Song Rankings'!$T:$T,0),0)</f>
        <v>268</v>
      </c>
      <c r="G1739" s="6" t="str">
        <f aca="false">IF(F1739=0,"NOT FOUND",INDEX('All Song Rankings'!$A:$A,F1739))</f>
        <v>Zoo</v>
      </c>
      <c r="H1739" s="6" t="str">
        <f aca="false">IF(F1739=0,"NOT FOUND",INDEX('All Song Rankings'!$B:$B,F1739))</f>
        <v>Disney, Shakira</v>
      </c>
      <c r="I1739" s="6" t="str">
        <f aca="false">IF(F1739=0,"NOT FOUND",INDEX('All Song Rankings'!$D:$D,F1739))</f>
        <v>Matt</v>
      </c>
      <c r="J1739" s="7" t="str">
        <f aca="false">IF(F1739=0,"NOT FOUND",IF(C1739=I1739,"SELF-VOTE",IF(COUNTIF($K:$K,K1739)&gt;1,"DUPLICATE","OK")))</f>
        <v>OK</v>
      </c>
      <c r="K1739" s="6" t="str">
        <f aca="false">A1739&amp;"|"&amp;B1739&amp;"|"&amp;C1739&amp;"|"&amp;D1739</f>
        <v>3|6|Lisa|spotify:track:3vJIaiTIHxHhYafTSPNiH4</v>
      </c>
    </row>
    <row r="1740" customFormat="false" ht="15" hidden="false" customHeight="false" outlineLevel="0" collapsed="false">
      <c r="A1740" s="5" t="n">
        <v>3</v>
      </c>
      <c r="B1740" s="5" t="n">
        <v>6</v>
      </c>
      <c r="C1740" s="5" t="s">
        <v>705</v>
      </c>
      <c r="D1740" s="5" t="s">
        <v>920</v>
      </c>
      <c r="E1740" s="5" t="n">
        <v>1</v>
      </c>
      <c r="F1740" s="6" t="n">
        <f aca="false">IFERROR(MATCH(A1740&amp;"|"&amp;B1740&amp;"|"&amp;D1740,'All Song Rankings'!$T:$T,0),0)</f>
        <v>276</v>
      </c>
      <c r="G1740" s="6" t="str">
        <f aca="false">IF(F1740=0,"NOT FOUND",INDEX('All Song Rankings'!$A:$A,F1740))</f>
        <v>The Bells of Notre Dame</v>
      </c>
      <c r="H1740" s="6" t="str">
        <f aca="false">IF(F1740=0,"NOT FOUND",INDEX('All Song Rankings'!$B:$B,F1740))</f>
        <v>David Ogden Stiers, Tony Jay, Paul Kandel, Chorus - The Hunchback Of Notre Dame</v>
      </c>
      <c r="I1740" s="6" t="str">
        <f aca="false">IF(F1740=0,"NOT FOUND",INDEX('All Song Rankings'!$D:$D,F1740))</f>
        <v>Stephanie</v>
      </c>
      <c r="J1740" s="7" t="str">
        <f aca="false">IF(F1740=0,"NOT FOUND",IF(C1740=I1740,"SELF-VOTE",IF(COUNTIF($K:$K,K1740)&gt;1,"DUPLICATE","OK")))</f>
        <v>OK</v>
      </c>
      <c r="K1740" s="6" t="str">
        <f aca="false">A1740&amp;"|"&amp;B1740&amp;"|"&amp;C1740&amp;"|"&amp;D1740</f>
        <v>3|6|Lisa|spotify:track:47Wo2LeGbzdZTdEFNRZXV0</v>
      </c>
    </row>
    <row r="1741" customFormat="false" ht="15" hidden="false" customHeight="false" outlineLevel="0" collapsed="false">
      <c r="A1741" s="5" t="n">
        <v>3</v>
      </c>
      <c r="B1741" s="5" t="n">
        <v>6</v>
      </c>
      <c r="C1741" s="5" t="s">
        <v>705</v>
      </c>
      <c r="D1741" s="5" t="s">
        <v>914</v>
      </c>
      <c r="E1741" s="5" t="n">
        <v>1</v>
      </c>
      <c r="F1741" s="6" t="n">
        <f aca="false">IFERROR(MATCH(A1741&amp;"|"&amp;B1741&amp;"|"&amp;D1741,'All Song Rankings'!$T:$T,0),0)</f>
        <v>274</v>
      </c>
      <c r="G1741" s="6" t="str">
        <f aca="false">IF(F1741=0,"NOT FOUND",INDEX('All Song Rankings'!$A:$A,F1741))</f>
        <v>Start of Something New</v>
      </c>
      <c r="H1741" s="6" t="str">
        <f aca="false">IF(F1741=0,"NOT FOUND",INDEX('All Song Rankings'!$B:$B,F1741))</f>
        <v>Troy, Gabriella, Disney</v>
      </c>
      <c r="I1741" s="6" t="str">
        <f aca="false">IF(F1741=0,"NOT FOUND",INDEX('All Song Rankings'!$D:$D,F1741))</f>
        <v>Colleen</v>
      </c>
      <c r="J1741" s="7" t="str">
        <f aca="false">IF(F1741=0,"NOT FOUND",IF(C1741=I1741,"SELF-VOTE",IF(COUNTIF($K:$K,K1741)&gt;1,"DUPLICATE","OK")))</f>
        <v>OK</v>
      </c>
      <c r="K1741" s="6" t="str">
        <f aca="false">A1741&amp;"|"&amp;B1741&amp;"|"&amp;C1741&amp;"|"&amp;D1741</f>
        <v>3|6|Lisa|spotify:track:4LwrgltRSrddxeyhIPSoqa</v>
      </c>
    </row>
    <row r="1742" customFormat="false" ht="15" hidden="false" customHeight="false" outlineLevel="0" collapsed="false">
      <c r="A1742" s="5" t="n">
        <v>3</v>
      </c>
      <c r="B1742" s="5" t="n">
        <v>6</v>
      </c>
      <c r="C1742" s="5" t="s">
        <v>705</v>
      </c>
      <c r="D1742" s="5" t="s">
        <v>930</v>
      </c>
      <c r="E1742" s="5" t="n">
        <v>1</v>
      </c>
      <c r="F1742" s="6" t="n">
        <f aca="false">IFERROR(MATCH(A1742&amp;"|"&amp;B1742&amp;"|"&amp;D1742,'All Song Rankings'!$T:$T,0),0)</f>
        <v>280</v>
      </c>
      <c r="G1742" s="6" t="str">
        <f aca="false">IF(F1742=0,"NOT FOUND",INDEX('All Song Rankings'!$A:$A,F1742))</f>
        <v>Circle of Life</v>
      </c>
      <c r="H1742" s="6" t="str">
        <f aca="false">IF(F1742=0,"NOT FOUND",INDEX('All Song Rankings'!$B:$B,F1742))</f>
        <v>Elton John</v>
      </c>
      <c r="I1742" s="6" t="str">
        <f aca="false">IF(F1742=0,"NOT FOUND",INDEX('All Song Rankings'!$D:$D,F1742))</f>
        <v>Aubrey</v>
      </c>
      <c r="J1742" s="7" t="str">
        <f aca="false">IF(F1742=0,"NOT FOUND",IF(C1742=I1742,"SELF-VOTE",IF(COUNTIF($K:$K,K1742)&gt;1,"DUPLICATE","OK")))</f>
        <v>OK</v>
      </c>
      <c r="K1742" s="6" t="str">
        <f aca="false">A1742&amp;"|"&amp;B1742&amp;"|"&amp;C1742&amp;"|"&amp;D1742</f>
        <v>3|6|Lisa|spotify:track:5vKkaZHPzuqQheytfKuXzp</v>
      </c>
    </row>
    <row r="1743" customFormat="false" ht="15" hidden="false" customHeight="false" outlineLevel="0" collapsed="false">
      <c r="A1743" s="5" t="n">
        <v>3</v>
      </c>
      <c r="B1743" s="5" t="n">
        <v>6</v>
      </c>
      <c r="C1743" s="5" t="s">
        <v>705</v>
      </c>
      <c r="D1743" s="5" t="s">
        <v>899</v>
      </c>
      <c r="E1743" s="5" t="n">
        <v>1</v>
      </c>
      <c r="F1743" s="6" t="n">
        <f aca="false">IFERROR(MATCH(A1743&amp;"|"&amp;B1743&amp;"|"&amp;D1743,'All Song Rankings'!$T:$T,0),0)</f>
        <v>269</v>
      </c>
      <c r="G1743" s="6" t="str">
        <f aca="false">IF(F1743=0,"NOT FOUND",INDEX('All Song Rankings'!$A:$A,F1743))</f>
        <v>I2I</v>
      </c>
      <c r="H1743" s="6" t="str">
        <f aca="false">IF(F1743=0,"NOT FOUND",INDEX('All Song Rankings'!$B:$B,F1743))</f>
        <v>Tevin Campbell, Rosie Gaines</v>
      </c>
      <c r="I1743" s="6" t="str">
        <f aca="false">IF(F1743=0,"NOT FOUND",INDEX('All Song Rankings'!$D:$D,F1743))</f>
        <v>Nicole</v>
      </c>
      <c r="J1743" s="7" t="str">
        <f aca="false">IF(F1743=0,"NOT FOUND",IF(C1743=I1743,"SELF-VOTE",IF(COUNTIF($K:$K,K1743)&gt;1,"DUPLICATE","OK")))</f>
        <v>OK</v>
      </c>
      <c r="K1743" s="6" t="str">
        <f aca="false">A1743&amp;"|"&amp;B1743&amp;"|"&amp;C1743&amp;"|"&amp;D1743</f>
        <v>3|6|Lisa|spotify:track:7lPxGs556PD8H3bUd9LzHp</v>
      </c>
    </row>
    <row r="1744" customFormat="false" ht="15" hidden="false" customHeight="false" outlineLevel="0" collapsed="false">
      <c r="A1744" s="5" t="n">
        <v>3</v>
      </c>
      <c r="B1744" s="5" t="n">
        <v>6</v>
      </c>
      <c r="C1744" s="5" t="s">
        <v>128</v>
      </c>
      <c r="D1744" s="5" t="s">
        <v>902</v>
      </c>
      <c r="E1744" s="5" t="n">
        <v>1</v>
      </c>
      <c r="F1744" s="6" t="n">
        <f aca="false">IFERROR(MATCH(A1744&amp;"|"&amp;B1744&amp;"|"&amp;D1744,'All Song Rankings'!$T:$T,0),0)</f>
        <v>270</v>
      </c>
      <c r="G1744" s="6" t="str">
        <f aca="false">IF(F1744=0,"NOT FOUND",INDEX('All Song Rankings'!$A:$A,F1744))</f>
        <v>Circle of Life</v>
      </c>
      <c r="H1744" s="6" t="str">
        <f aca="false">IF(F1744=0,"NOT FOUND",INDEX('All Song Rankings'!$B:$B,F1744))</f>
        <v>Carmen Twillie, Lebo M.</v>
      </c>
      <c r="I1744" s="6" t="str">
        <f aca="false">IF(F1744=0,"NOT FOUND",INDEX('All Song Rankings'!$D:$D,F1744))</f>
        <v>Kristen</v>
      </c>
      <c r="J1744" s="7" t="str">
        <f aca="false">IF(F1744=0,"NOT FOUND",IF(C1744=I1744,"SELF-VOTE",IF(COUNTIF($K:$K,K1744)&gt;1,"DUPLICATE","OK")))</f>
        <v>OK</v>
      </c>
      <c r="K1744" s="6" t="str">
        <f aca="false">A1744&amp;"|"&amp;B1744&amp;"|"&amp;C1744&amp;"|"&amp;D1744</f>
        <v>3|6|Logan|spotify:track:0HU5JnVaKNTWf6GykV9Zn8</v>
      </c>
    </row>
    <row r="1745" customFormat="false" ht="15" hidden="false" customHeight="false" outlineLevel="0" collapsed="false">
      <c r="A1745" s="5" t="n">
        <v>3</v>
      </c>
      <c r="B1745" s="5" t="n">
        <v>6</v>
      </c>
      <c r="C1745" s="5" t="s">
        <v>128</v>
      </c>
      <c r="D1745" s="5" t="s">
        <v>917</v>
      </c>
      <c r="E1745" s="5" t="n">
        <v>1</v>
      </c>
      <c r="F1745" s="6" t="n">
        <f aca="false">IFERROR(MATCH(A1745&amp;"|"&amp;B1745&amp;"|"&amp;D1745,'All Song Rankings'!$T:$T,0),0)</f>
        <v>275</v>
      </c>
      <c r="G1745" s="6" t="str">
        <f aca="false">IF(F1745=0,"NOT FOUND",INDEX('All Song Rankings'!$A:$A,F1745))</f>
        <v>Belle</v>
      </c>
      <c r="H1745" s="6" t="str">
        <f aca="false">IF(F1745=0,"NOT FOUND",INDEX('All Song Rankings'!$B:$B,F1745))</f>
        <v>Richard White, Paige O'Hara, Chorus - Beauty And the Beast, Disney</v>
      </c>
      <c r="I1745" s="6" t="str">
        <f aca="false">IF(F1745=0,"NOT FOUND",INDEX('All Song Rankings'!$D:$D,F1745))</f>
        <v>Makenzie</v>
      </c>
      <c r="J1745" s="7" t="str">
        <f aca="false">IF(F1745=0,"NOT FOUND",IF(C1745=I1745,"SELF-VOTE",IF(COUNTIF($K:$K,K1745)&gt;1,"DUPLICATE","OK")))</f>
        <v>OK</v>
      </c>
      <c r="K1745" s="6" t="str">
        <f aca="false">A1745&amp;"|"&amp;B1745&amp;"|"&amp;C1745&amp;"|"&amp;D1745</f>
        <v>3|6|Logan|spotify:track:0Q4a3PdGEME9w8Jgqa0Gf3</v>
      </c>
    </row>
    <row r="1746" customFormat="false" ht="15" hidden="false" customHeight="false" outlineLevel="0" collapsed="false">
      <c r="A1746" s="5" t="n">
        <v>3</v>
      </c>
      <c r="B1746" s="5" t="n">
        <v>6</v>
      </c>
      <c r="C1746" s="5" t="s">
        <v>128</v>
      </c>
      <c r="D1746" s="5" t="s">
        <v>908</v>
      </c>
      <c r="E1746" s="5" t="n">
        <v>2</v>
      </c>
      <c r="F1746" s="6" t="n">
        <f aca="false">IFERROR(MATCH(A1746&amp;"|"&amp;B1746&amp;"|"&amp;D1746,'All Song Rankings'!$T:$T,0),0)</f>
        <v>272</v>
      </c>
      <c r="G1746" s="6" t="str">
        <f aca="false">IF(F1746=0,"NOT FOUND",INDEX('All Song Rankings'!$A:$A,F1746))</f>
        <v>Ain't No Mountain High Enough</v>
      </c>
      <c r="H1746" s="6" t="str">
        <f aca="false">IF(F1746=0,"NOT FOUND",INDEX('All Song Rankings'!$B:$B,F1746))</f>
        <v>Marvin Gaye, Tammi Terrell</v>
      </c>
      <c r="I1746" s="6" t="str">
        <f aca="false">IF(F1746=0,"NOT FOUND",INDEX('All Song Rankings'!$D:$D,F1746))</f>
        <v>Lisa</v>
      </c>
      <c r="J1746" s="7" t="str">
        <f aca="false">IF(F1746=0,"NOT FOUND",IF(C1746=I1746,"SELF-VOTE",IF(COUNTIF($K:$K,K1746)&gt;1,"DUPLICATE","OK")))</f>
        <v>OK</v>
      </c>
      <c r="K1746" s="6" t="str">
        <f aca="false">A1746&amp;"|"&amp;B1746&amp;"|"&amp;C1746&amp;"|"&amp;D1746</f>
        <v>3|6|Logan|spotify:track:0Z5rLOv4Mqc4hKZ1dPjODv</v>
      </c>
    </row>
    <row r="1747" customFormat="false" ht="15" hidden="false" customHeight="false" outlineLevel="0" collapsed="false">
      <c r="A1747" s="5" t="n">
        <v>3</v>
      </c>
      <c r="B1747" s="5" t="n">
        <v>6</v>
      </c>
      <c r="C1747" s="5" t="s">
        <v>128</v>
      </c>
      <c r="D1747" s="5" t="s">
        <v>926</v>
      </c>
      <c r="E1747" s="5" t="n">
        <v>1</v>
      </c>
      <c r="F1747" s="6" t="n">
        <f aca="false">IFERROR(MATCH(A1747&amp;"|"&amp;B1747&amp;"|"&amp;D1747,'All Song Rankings'!$T:$T,0),0)</f>
        <v>278</v>
      </c>
      <c r="G1747" s="6" t="str">
        <f aca="false">IF(F1747=0,"NOT FOUND",INDEX('All Song Rankings'!$A:$A,F1747))</f>
        <v>Fortuosity - From "The Happiest Millionaire"</v>
      </c>
      <c r="H1747" s="6" t="str">
        <f aca="false">IF(F1747=0,"NOT FOUND",INDEX('All Song Rankings'!$B:$B,F1747))</f>
        <v>Tommy Steele</v>
      </c>
      <c r="I1747" s="6" t="str">
        <f aca="false">IF(F1747=0,"NOT FOUND",INDEX('All Song Rankings'!$D:$D,F1747))</f>
        <v>Scott</v>
      </c>
      <c r="J1747" s="7" t="str">
        <f aca="false">IF(F1747=0,"NOT FOUND",IF(C1747=I1747,"SELF-VOTE",IF(COUNTIF($K:$K,K1747)&gt;1,"DUPLICATE","OK")))</f>
        <v>OK</v>
      </c>
      <c r="K1747" s="6" t="str">
        <f aca="false">A1747&amp;"|"&amp;B1747&amp;"|"&amp;C1747&amp;"|"&amp;D1747</f>
        <v>3|6|Logan|spotify:track:2hwh9Ezfef2NoBjiKyN8Sa</v>
      </c>
    </row>
    <row r="1748" customFormat="false" ht="15" hidden="false" customHeight="false" outlineLevel="0" collapsed="false">
      <c r="A1748" s="5" t="n">
        <v>3</v>
      </c>
      <c r="B1748" s="5" t="n">
        <v>6</v>
      </c>
      <c r="C1748" s="5" t="s">
        <v>128</v>
      </c>
      <c r="D1748" s="5" t="s">
        <v>896</v>
      </c>
      <c r="E1748" s="5" t="n">
        <v>1</v>
      </c>
      <c r="F1748" s="6" t="n">
        <f aca="false">IFERROR(MATCH(A1748&amp;"|"&amp;B1748&amp;"|"&amp;D1748,'All Song Rankings'!$T:$T,0),0)</f>
        <v>268</v>
      </c>
      <c r="G1748" s="6" t="str">
        <f aca="false">IF(F1748=0,"NOT FOUND",INDEX('All Song Rankings'!$A:$A,F1748))</f>
        <v>Zoo</v>
      </c>
      <c r="H1748" s="6" t="str">
        <f aca="false">IF(F1748=0,"NOT FOUND",INDEX('All Song Rankings'!$B:$B,F1748))</f>
        <v>Disney, Shakira</v>
      </c>
      <c r="I1748" s="6" t="str">
        <f aca="false">IF(F1748=0,"NOT FOUND",INDEX('All Song Rankings'!$D:$D,F1748))</f>
        <v>Matt</v>
      </c>
      <c r="J1748" s="7" t="str">
        <f aca="false">IF(F1748=0,"NOT FOUND",IF(C1748=I1748,"SELF-VOTE",IF(COUNTIF($K:$K,K1748)&gt;1,"DUPLICATE","OK")))</f>
        <v>OK</v>
      </c>
      <c r="K1748" s="6" t="str">
        <f aca="false">A1748&amp;"|"&amp;B1748&amp;"|"&amp;C1748&amp;"|"&amp;D1748</f>
        <v>3|6|Logan|spotify:track:3vJIaiTIHxHhYafTSPNiH4</v>
      </c>
    </row>
    <row r="1749" customFormat="false" ht="15" hidden="false" customHeight="false" outlineLevel="0" collapsed="false">
      <c r="A1749" s="5" t="n">
        <v>3</v>
      </c>
      <c r="B1749" s="5" t="n">
        <v>6</v>
      </c>
      <c r="C1749" s="5" t="s">
        <v>128</v>
      </c>
      <c r="D1749" s="5" t="s">
        <v>929</v>
      </c>
      <c r="E1749" s="5" t="n">
        <v>1</v>
      </c>
      <c r="F1749" s="6" t="n">
        <f aca="false">IFERROR(MATCH(A1749&amp;"|"&amp;B1749&amp;"|"&amp;D1749,'All Song Rankings'!$T:$T,0),0)</f>
        <v>279</v>
      </c>
      <c r="G1749" s="6" t="str">
        <f aca="false">IF(F1749=0,"NOT FOUND",INDEX('All Song Rankings'!$A:$A,F1749))</f>
        <v>What Time Is It</v>
      </c>
      <c r="H1749" s="6" t="str">
        <f aca="false">IF(F1749=0,"NOT FOUND",INDEX('All Song Rankings'!$B:$B,F1749))</f>
        <v>Zac Efron, Vanessa Hudgens, Lucas Grabeel, Corbin Bleu, Ashley Tisdale, Monique Coleman, Disney</v>
      </c>
      <c r="I1749" s="6" t="str">
        <f aca="false">IF(F1749=0,"NOT FOUND",INDEX('All Song Rankings'!$D:$D,F1749))</f>
        <v>Kelsey</v>
      </c>
      <c r="J1749" s="7" t="str">
        <f aca="false">IF(F1749=0,"NOT FOUND",IF(C1749=I1749,"SELF-VOTE",IF(COUNTIF($K:$K,K1749)&gt;1,"DUPLICATE","OK")))</f>
        <v>OK</v>
      </c>
      <c r="K1749" s="6" t="str">
        <f aca="false">A1749&amp;"|"&amp;B1749&amp;"|"&amp;C1749&amp;"|"&amp;D1749</f>
        <v>3|6|Logan|spotify:track:6NqfslFfCCOyBQ0Xw8kN8E</v>
      </c>
    </row>
    <row r="1750" customFormat="false" ht="15" hidden="false" customHeight="false" outlineLevel="0" collapsed="false">
      <c r="A1750" s="5" t="n">
        <v>3</v>
      </c>
      <c r="B1750" s="5" t="n">
        <v>6</v>
      </c>
      <c r="C1750" s="5" t="s">
        <v>128</v>
      </c>
      <c r="D1750" s="5" t="s">
        <v>911</v>
      </c>
      <c r="E1750" s="5" t="n">
        <v>2</v>
      </c>
      <c r="F1750" s="6" t="n">
        <f aca="false">IFERROR(MATCH(A1750&amp;"|"&amp;B1750&amp;"|"&amp;D1750,'All Song Rankings'!$T:$T,0),0)</f>
        <v>273</v>
      </c>
      <c r="G1750" s="6" t="str">
        <f aca="false">IF(F1750=0,"NOT FOUND",INDEX('All Song Rankings'!$A:$A,F1750))</f>
        <v>The Gospel Truth I / Main Titles - Hercules</v>
      </c>
      <c r="H1750" s="6" t="str">
        <f aca="false">IF(F1750=0,"NOT FOUND",INDEX('All Song Rankings'!$B:$B,F1750))</f>
        <v>Cheryl Freeman, LaChanze, Vaneese Thomas, Lillias White, Roz Ryan, Disney</v>
      </c>
      <c r="I1750" s="6" t="str">
        <f aca="false">IF(F1750=0,"NOT FOUND",INDEX('All Song Rankings'!$D:$D,F1750))</f>
        <v>Christine</v>
      </c>
      <c r="J1750" s="7" t="str">
        <f aca="false">IF(F1750=0,"NOT FOUND",IF(C1750=I1750,"SELF-VOTE",IF(COUNTIF($K:$K,K1750)&gt;1,"DUPLICATE","OK")))</f>
        <v>OK</v>
      </c>
      <c r="K1750" s="6" t="str">
        <f aca="false">A1750&amp;"|"&amp;B1750&amp;"|"&amp;C1750&amp;"|"&amp;D1750</f>
        <v>3|6|Logan|spotify:track:6uW03WHG3qv2FzxPIW6SUP</v>
      </c>
    </row>
    <row r="1751" customFormat="false" ht="15" hidden="false" customHeight="false" outlineLevel="0" collapsed="false">
      <c r="A1751" s="5" t="n">
        <v>3</v>
      </c>
      <c r="B1751" s="5" t="n">
        <v>6</v>
      </c>
      <c r="C1751" s="5" t="s">
        <v>128</v>
      </c>
      <c r="D1751" s="5" t="s">
        <v>899</v>
      </c>
      <c r="E1751" s="5" t="n">
        <v>1</v>
      </c>
      <c r="F1751" s="6" t="n">
        <f aca="false">IFERROR(MATCH(A1751&amp;"|"&amp;B1751&amp;"|"&amp;D1751,'All Song Rankings'!$T:$T,0),0)</f>
        <v>269</v>
      </c>
      <c r="G1751" s="6" t="str">
        <f aca="false">IF(F1751=0,"NOT FOUND",INDEX('All Song Rankings'!$A:$A,F1751))</f>
        <v>I2I</v>
      </c>
      <c r="H1751" s="6" t="str">
        <f aca="false">IF(F1751=0,"NOT FOUND",INDEX('All Song Rankings'!$B:$B,F1751))</f>
        <v>Tevin Campbell, Rosie Gaines</v>
      </c>
      <c r="I1751" s="6" t="str">
        <f aca="false">IF(F1751=0,"NOT FOUND",INDEX('All Song Rankings'!$D:$D,F1751))</f>
        <v>Nicole</v>
      </c>
      <c r="J1751" s="7" t="str">
        <f aca="false">IF(F1751=0,"NOT FOUND",IF(C1751=I1751,"SELF-VOTE",IF(COUNTIF($K:$K,K1751)&gt;1,"DUPLICATE","OK")))</f>
        <v>OK</v>
      </c>
      <c r="K1751" s="6" t="str">
        <f aca="false">A1751&amp;"|"&amp;B1751&amp;"|"&amp;C1751&amp;"|"&amp;D1751</f>
        <v>3|6|Logan|spotify:track:7lPxGs556PD8H3bUd9LzHp</v>
      </c>
    </row>
    <row r="1752" customFormat="false" ht="15" hidden="false" customHeight="false" outlineLevel="0" collapsed="false">
      <c r="A1752" s="5" t="n">
        <v>3</v>
      </c>
      <c r="B1752" s="5" t="n">
        <v>6</v>
      </c>
      <c r="C1752" s="5" t="s">
        <v>395</v>
      </c>
      <c r="D1752" s="5" t="s">
        <v>905</v>
      </c>
      <c r="E1752" s="5" t="n">
        <v>2</v>
      </c>
      <c r="F1752" s="6" t="n">
        <f aca="false">IFERROR(MATCH(A1752&amp;"|"&amp;B1752&amp;"|"&amp;D1752,'All Song Rankings'!$T:$T,0),0)</f>
        <v>271</v>
      </c>
      <c r="G1752" s="6" t="str">
        <f aca="false">IF(F1752=0,"NOT FOUND",INDEX('All Song Rankings'!$A:$A,F1752))</f>
        <v>Arabian Nights</v>
      </c>
      <c r="H1752" s="6" t="str">
        <f aca="false">IF(F1752=0,"NOT FOUND",INDEX('All Song Rankings'!$B:$B,F1752))</f>
        <v>Bruce Adler, Disney</v>
      </c>
      <c r="I1752" s="6" t="str">
        <f aca="false">IF(F1752=0,"NOT FOUND",INDEX('All Song Rankings'!$D:$D,F1752))</f>
        <v>Grace</v>
      </c>
      <c r="J1752" s="7" t="str">
        <f aca="false">IF(F1752=0,"NOT FOUND",IF(C1752=I1752,"SELF-VOTE",IF(COUNTIF($K:$K,K1752)&gt;1,"DUPLICATE","OK")))</f>
        <v>OK</v>
      </c>
      <c r="K1752" s="6" t="str">
        <f aca="false">A1752&amp;"|"&amp;B1752&amp;"|"&amp;C1752&amp;"|"&amp;D1752</f>
        <v>3|6|Makenzie|spotify:track:0CKmN3Wwk8W4zjU0pqq2cv</v>
      </c>
    </row>
    <row r="1753" customFormat="false" ht="15" hidden="false" customHeight="false" outlineLevel="0" collapsed="false">
      <c r="A1753" s="5" t="n">
        <v>3</v>
      </c>
      <c r="B1753" s="5" t="n">
        <v>6</v>
      </c>
      <c r="C1753" s="5" t="s">
        <v>395</v>
      </c>
      <c r="D1753" s="5" t="s">
        <v>923</v>
      </c>
      <c r="E1753" s="5" t="n">
        <v>2</v>
      </c>
      <c r="F1753" s="6" t="n">
        <f aca="false">IFERROR(MATCH(A1753&amp;"|"&amp;B1753&amp;"|"&amp;D1753,'All Song Rankings'!$T:$T,0),0)</f>
        <v>277</v>
      </c>
      <c r="G1753" s="6" t="str">
        <f aca="false">IF(F1753=0,"NOT FOUND",INDEX('All Song Rankings'!$A:$A,F1753))</f>
        <v>Good to Be Bad</v>
      </c>
      <c r="H1753" s="6" t="str">
        <f aca="false">IF(F1753=0,"NOT FOUND",INDEX('All Song Rankings'!$B:$B,F1753))</f>
        <v>Dove Cameron, Sofia Carson, Booboo Stewart, Carmeon Boyce, Jadah Marie, Anna Catchart, Disney</v>
      </c>
      <c r="I1753" s="6" t="str">
        <f aca="false">IF(F1753=0,"NOT FOUND",INDEX('All Song Rankings'!$D:$D,F1753))</f>
        <v>Leah</v>
      </c>
      <c r="J1753" s="7" t="str">
        <f aca="false">IF(F1753=0,"NOT FOUND",IF(C1753=I1753,"SELF-VOTE",IF(COUNTIF($K:$K,K1753)&gt;1,"DUPLICATE","OK")))</f>
        <v>OK</v>
      </c>
      <c r="K1753" s="6" t="str">
        <f aca="false">A1753&amp;"|"&amp;B1753&amp;"|"&amp;C1753&amp;"|"&amp;D1753</f>
        <v>3|6|Makenzie|spotify:track:1RIYF8NDIIWBvJe4vhQr6y</v>
      </c>
    </row>
    <row r="1754" customFormat="false" ht="15" hidden="false" customHeight="false" outlineLevel="0" collapsed="false">
      <c r="A1754" s="5" t="n">
        <v>3</v>
      </c>
      <c r="B1754" s="5" t="n">
        <v>6</v>
      </c>
      <c r="C1754" s="5" t="s">
        <v>395</v>
      </c>
      <c r="D1754" s="5" t="s">
        <v>893</v>
      </c>
      <c r="E1754" s="5" t="n">
        <v>2</v>
      </c>
      <c r="F1754" s="6" t="n">
        <f aca="false">IFERROR(MATCH(A1754&amp;"|"&amp;B1754&amp;"|"&amp;D1754,'All Song Rankings'!$T:$T,0),0)</f>
        <v>267</v>
      </c>
      <c r="G1754" s="6" t="str">
        <f aca="false">IF(F1754=0,"NOT FOUND",INDEX('All Song Rankings'!$A:$A,F1754))</f>
        <v>Two Worlds</v>
      </c>
      <c r="H1754" s="6" t="str">
        <f aca="false">IF(F1754=0,"NOT FOUND",INDEX('All Song Rankings'!$B:$B,F1754))</f>
        <v>Phil Collins</v>
      </c>
      <c r="I1754" s="6" t="str">
        <f aca="false">IF(F1754=0,"NOT FOUND",INDEX('All Song Rankings'!$D:$D,F1754))</f>
        <v>Logan</v>
      </c>
      <c r="J1754" s="7" t="str">
        <f aca="false">IF(F1754=0,"NOT FOUND",IF(C1754=I1754,"SELF-VOTE",IF(COUNTIF($K:$K,K1754)&gt;1,"DUPLICATE","OK")))</f>
        <v>OK</v>
      </c>
      <c r="K1754" s="6" t="str">
        <f aca="false">A1754&amp;"|"&amp;B1754&amp;"|"&amp;C1754&amp;"|"&amp;D1754</f>
        <v>3|6|Makenzie|spotify:track:3icOFPIciIN8FQSyVlpYSF</v>
      </c>
    </row>
    <row r="1755" customFormat="false" ht="15" hidden="false" customHeight="false" outlineLevel="0" collapsed="false">
      <c r="A1755" s="5" t="n">
        <v>3</v>
      </c>
      <c r="B1755" s="5" t="n">
        <v>6</v>
      </c>
      <c r="C1755" s="5" t="s">
        <v>395</v>
      </c>
      <c r="D1755" s="5" t="s">
        <v>914</v>
      </c>
      <c r="E1755" s="5" t="n">
        <v>2</v>
      </c>
      <c r="F1755" s="6" t="n">
        <f aca="false">IFERROR(MATCH(A1755&amp;"|"&amp;B1755&amp;"|"&amp;D1755,'All Song Rankings'!$T:$T,0),0)</f>
        <v>274</v>
      </c>
      <c r="G1755" s="6" t="str">
        <f aca="false">IF(F1755=0,"NOT FOUND",INDEX('All Song Rankings'!$A:$A,F1755))</f>
        <v>Start of Something New</v>
      </c>
      <c r="H1755" s="6" t="str">
        <f aca="false">IF(F1755=0,"NOT FOUND",INDEX('All Song Rankings'!$B:$B,F1755))</f>
        <v>Troy, Gabriella, Disney</v>
      </c>
      <c r="I1755" s="6" t="str">
        <f aca="false">IF(F1755=0,"NOT FOUND",INDEX('All Song Rankings'!$D:$D,F1755))</f>
        <v>Colleen</v>
      </c>
      <c r="J1755" s="7" t="str">
        <f aca="false">IF(F1755=0,"NOT FOUND",IF(C1755=I1755,"SELF-VOTE",IF(COUNTIF($K:$K,K1755)&gt;1,"DUPLICATE","OK")))</f>
        <v>OK</v>
      </c>
      <c r="K1755" s="6" t="str">
        <f aca="false">A1755&amp;"|"&amp;B1755&amp;"|"&amp;C1755&amp;"|"&amp;D1755</f>
        <v>3|6|Makenzie|spotify:track:4LwrgltRSrddxeyhIPSoqa</v>
      </c>
    </row>
    <row r="1756" customFormat="false" ht="15" hidden="false" customHeight="false" outlineLevel="0" collapsed="false">
      <c r="A1756" s="5" t="n">
        <v>3</v>
      </c>
      <c r="B1756" s="5" t="n">
        <v>6</v>
      </c>
      <c r="C1756" s="5" t="s">
        <v>395</v>
      </c>
      <c r="D1756" s="5" t="s">
        <v>899</v>
      </c>
      <c r="E1756" s="5" t="n">
        <v>2</v>
      </c>
      <c r="F1756" s="6" t="n">
        <f aca="false">IFERROR(MATCH(A1756&amp;"|"&amp;B1756&amp;"|"&amp;D1756,'All Song Rankings'!$T:$T,0),0)</f>
        <v>269</v>
      </c>
      <c r="G1756" s="6" t="str">
        <f aca="false">IF(F1756=0,"NOT FOUND",INDEX('All Song Rankings'!$A:$A,F1756))</f>
        <v>I2I</v>
      </c>
      <c r="H1756" s="6" t="str">
        <f aca="false">IF(F1756=0,"NOT FOUND",INDEX('All Song Rankings'!$B:$B,F1756))</f>
        <v>Tevin Campbell, Rosie Gaines</v>
      </c>
      <c r="I1756" s="6" t="str">
        <f aca="false">IF(F1756=0,"NOT FOUND",INDEX('All Song Rankings'!$D:$D,F1756))</f>
        <v>Nicole</v>
      </c>
      <c r="J1756" s="7" t="str">
        <f aca="false">IF(F1756=0,"NOT FOUND",IF(C1756=I1756,"SELF-VOTE",IF(COUNTIF($K:$K,K1756)&gt;1,"DUPLICATE","OK")))</f>
        <v>OK</v>
      </c>
      <c r="K1756" s="6" t="str">
        <f aca="false">A1756&amp;"|"&amp;B1756&amp;"|"&amp;C1756&amp;"|"&amp;D1756</f>
        <v>3|6|Makenzie|spotify:track:7lPxGs556PD8H3bUd9LzHp</v>
      </c>
    </row>
    <row r="1757" customFormat="false" ht="15" hidden="false" customHeight="false" outlineLevel="0" collapsed="false">
      <c r="A1757" s="5" t="n">
        <v>3</v>
      </c>
      <c r="B1757" s="5" t="n">
        <v>6</v>
      </c>
      <c r="C1757" s="5" t="s">
        <v>116</v>
      </c>
      <c r="D1757" s="5" t="s">
        <v>905</v>
      </c>
      <c r="E1757" s="5" t="n">
        <v>1</v>
      </c>
      <c r="F1757" s="6" t="n">
        <f aca="false">IFERROR(MATCH(A1757&amp;"|"&amp;B1757&amp;"|"&amp;D1757,'All Song Rankings'!$T:$T,0),0)</f>
        <v>271</v>
      </c>
      <c r="G1757" s="6" t="str">
        <f aca="false">IF(F1757=0,"NOT FOUND",INDEX('All Song Rankings'!$A:$A,F1757))</f>
        <v>Arabian Nights</v>
      </c>
      <c r="H1757" s="6" t="str">
        <f aca="false">IF(F1757=0,"NOT FOUND",INDEX('All Song Rankings'!$B:$B,F1757))</f>
        <v>Bruce Adler, Disney</v>
      </c>
      <c r="I1757" s="6" t="str">
        <f aca="false">IF(F1757=0,"NOT FOUND",INDEX('All Song Rankings'!$D:$D,F1757))</f>
        <v>Grace</v>
      </c>
      <c r="J1757" s="7" t="str">
        <f aca="false">IF(F1757=0,"NOT FOUND",IF(C1757=I1757,"SELF-VOTE",IF(COUNTIF($K:$K,K1757)&gt;1,"DUPLICATE","OK")))</f>
        <v>OK</v>
      </c>
      <c r="K1757" s="6" t="str">
        <f aca="false">A1757&amp;"|"&amp;B1757&amp;"|"&amp;C1757&amp;"|"&amp;D1757</f>
        <v>3|6|Matt|spotify:track:0CKmN3Wwk8W4zjU0pqq2cv</v>
      </c>
    </row>
    <row r="1758" customFormat="false" ht="15" hidden="false" customHeight="false" outlineLevel="0" collapsed="false">
      <c r="A1758" s="5" t="n">
        <v>3</v>
      </c>
      <c r="B1758" s="5" t="n">
        <v>6</v>
      </c>
      <c r="C1758" s="5" t="s">
        <v>116</v>
      </c>
      <c r="D1758" s="5" t="s">
        <v>902</v>
      </c>
      <c r="E1758" s="5" t="n">
        <v>1</v>
      </c>
      <c r="F1758" s="6" t="n">
        <f aca="false">IFERROR(MATCH(A1758&amp;"|"&amp;B1758&amp;"|"&amp;D1758,'All Song Rankings'!$T:$T,0),0)</f>
        <v>270</v>
      </c>
      <c r="G1758" s="6" t="str">
        <f aca="false">IF(F1758=0,"NOT FOUND",INDEX('All Song Rankings'!$A:$A,F1758))</f>
        <v>Circle of Life</v>
      </c>
      <c r="H1758" s="6" t="str">
        <f aca="false">IF(F1758=0,"NOT FOUND",INDEX('All Song Rankings'!$B:$B,F1758))</f>
        <v>Carmen Twillie, Lebo M.</v>
      </c>
      <c r="I1758" s="6" t="str">
        <f aca="false">IF(F1758=0,"NOT FOUND",INDEX('All Song Rankings'!$D:$D,F1758))</f>
        <v>Kristen</v>
      </c>
      <c r="J1758" s="7" t="str">
        <f aca="false">IF(F1758=0,"NOT FOUND",IF(C1758=I1758,"SELF-VOTE",IF(COUNTIF($K:$K,K1758)&gt;1,"DUPLICATE","OK")))</f>
        <v>OK</v>
      </c>
      <c r="K1758" s="6" t="str">
        <f aca="false">A1758&amp;"|"&amp;B1758&amp;"|"&amp;C1758&amp;"|"&amp;D1758</f>
        <v>3|6|Matt|spotify:track:0HU5JnVaKNTWf6GykV9Zn8</v>
      </c>
    </row>
    <row r="1759" customFormat="false" ht="15" hidden="false" customHeight="false" outlineLevel="0" collapsed="false">
      <c r="A1759" s="5" t="n">
        <v>3</v>
      </c>
      <c r="B1759" s="5" t="n">
        <v>6</v>
      </c>
      <c r="C1759" s="5" t="s">
        <v>116</v>
      </c>
      <c r="D1759" s="5" t="s">
        <v>917</v>
      </c>
      <c r="E1759" s="5" t="n">
        <v>1</v>
      </c>
      <c r="F1759" s="6" t="n">
        <f aca="false">IFERROR(MATCH(A1759&amp;"|"&amp;B1759&amp;"|"&amp;D1759,'All Song Rankings'!$T:$T,0),0)</f>
        <v>275</v>
      </c>
      <c r="G1759" s="6" t="str">
        <f aca="false">IF(F1759=0,"NOT FOUND",INDEX('All Song Rankings'!$A:$A,F1759))</f>
        <v>Belle</v>
      </c>
      <c r="H1759" s="6" t="str">
        <f aca="false">IF(F1759=0,"NOT FOUND",INDEX('All Song Rankings'!$B:$B,F1759))</f>
        <v>Richard White, Paige O'Hara, Chorus - Beauty And the Beast, Disney</v>
      </c>
      <c r="I1759" s="6" t="str">
        <f aca="false">IF(F1759=0,"NOT FOUND",INDEX('All Song Rankings'!$D:$D,F1759))</f>
        <v>Makenzie</v>
      </c>
      <c r="J1759" s="7" t="str">
        <f aca="false">IF(F1759=0,"NOT FOUND",IF(C1759=I1759,"SELF-VOTE",IF(COUNTIF($K:$K,K1759)&gt;1,"DUPLICATE","OK")))</f>
        <v>OK</v>
      </c>
      <c r="K1759" s="6" t="str">
        <f aca="false">A1759&amp;"|"&amp;B1759&amp;"|"&amp;C1759&amp;"|"&amp;D1759</f>
        <v>3|6|Matt|spotify:track:0Q4a3PdGEME9w8Jgqa0Gf3</v>
      </c>
    </row>
    <row r="1760" customFormat="false" ht="15" hidden="false" customHeight="false" outlineLevel="0" collapsed="false">
      <c r="A1760" s="5" t="n">
        <v>3</v>
      </c>
      <c r="B1760" s="5" t="n">
        <v>6</v>
      </c>
      <c r="C1760" s="5" t="s">
        <v>116</v>
      </c>
      <c r="D1760" s="5" t="s">
        <v>908</v>
      </c>
      <c r="E1760" s="5" t="n">
        <v>1</v>
      </c>
      <c r="F1760" s="6" t="n">
        <f aca="false">IFERROR(MATCH(A1760&amp;"|"&amp;B1760&amp;"|"&amp;D1760,'All Song Rankings'!$T:$T,0),0)</f>
        <v>272</v>
      </c>
      <c r="G1760" s="6" t="str">
        <f aca="false">IF(F1760=0,"NOT FOUND",INDEX('All Song Rankings'!$A:$A,F1760))</f>
        <v>Ain't No Mountain High Enough</v>
      </c>
      <c r="H1760" s="6" t="str">
        <f aca="false">IF(F1760=0,"NOT FOUND",INDEX('All Song Rankings'!$B:$B,F1760))</f>
        <v>Marvin Gaye, Tammi Terrell</v>
      </c>
      <c r="I1760" s="6" t="str">
        <f aca="false">IF(F1760=0,"NOT FOUND",INDEX('All Song Rankings'!$D:$D,F1760))</f>
        <v>Lisa</v>
      </c>
      <c r="J1760" s="7" t="str">
        <f aca="false">IF(F1760=0,"NOT FOUND",IF(C1760=I1760,"SELF-VOTE",IF(COUNTIF($K:$K,K1760)&gt;1,"DUPLICATE","OK")))</f>
        <v>OK</v>
      </c>
      <c r="K1760" s="6" t="str">
        <f aca="false">A1760&amp;"|"&amp;B1760&amp;"|"&amp;C1760&amp;"|"&amp;D1760</f>
        <v>3|6|Matt|spotify:track:0Z5rLOv4Mqc4hKZ1dPjODv</v>
      </c>
    </row>
    <row r="1761" customFormat="false" ht="15" hidden="false" customHeight="false" outlineLevel="0" collapsed="false">
      <c r="A1761" s="5" t="n">
        <v>3</v>
      </c>
      <c r="B1761" s="5" t="n">
        <v>6</v>
      </c>
      <c r="C1761" s="5" t="s">
        <v>116</v>
      </c>
      <c r="D1761" s="5" t="s">
        <v>926</v>
      </c>
      <c r="E1761" s="5" t="n">
        <v>1</v>
      </c>
      <c r="F1761" s="6" t="n">
        <f aca="false">IFERROR(MATCH(A1761&amp;"|"&amp;B1761&amp;"|"&amp;D1761,'All Song Rankings'!$T:$T,0),0)</f>
        <v>278</v>
      </c>
      <c r="G1761" s="6" t="str">
        <f aca="false">IF(F1761=0,"NOT FOUND",INDEX('All Song Rankings'!$A:$A,F1761))</f>
        <v>Fortuosity - From "The Happiest Millionaire"</v>
      </c>
      <c r="H1761" s="6" t="str">
        <f aca="false">IF(F1761=0,"NOT FOUND",INDEX('All Song Rankings'!$B:$B,F1761))</f>
        <v>Tommy Steele</v>
      </c>
      <c r="I1761" s="6" t="str">
        <f aca="false">IF(F1761=0,"NOT FOUND",INDEX('All Song Rankings'!$D:$D,F1761))</f>
        <v>Scott</v>
      </c>
      <c r="J1761" s="7" t="str">
        <f aca="false">IF(F1761=0,"NOT FOUND",IF(C1761=I1761,"SELF-VOTE",IF(COUNTIF($K:$K,K1761)&gt;1,"DUPLICATE","OK")))</f>
        <v>OK</v>
      </c>
      <c r="K1761" s="6" t="str">
        <f aca="false">A1761&amp;"|"&amp;B1761&amp;"|"&amp;C1761&amp;"|"&amp;D1761</f>
        <v>3|6|Matt|spotify:track:2hwh9Ezfef2NoBjiKyN8Sa</v>
      </c>
    </row>
    <row r="1762" customFormat="false" ht="15" hidden="false" customHeight="false" outlineLevel="0" collapsed="false">
      <c r="A1762" s="5" t="n">
        <v>3</v>
      </c>
      <c r="B1762" s="5" t="n">
        <v>6</v>
      </c>
      <c r="C1762" s="5" t="s">
        <v>116</v>
      </c>
      <c r="D1762" s="5" t="s">
        <v>893</v>
      </c>
      <c r="E1762" s="5" t="n">
        <v>1</v>
      </c>
      <c r="F1762" s="6" t="n">
        <f aca="false">IFERROR(MATCH(A1762&amp;"|"&amp;B1762&amp;"|"&amp;D1762,'All Song Rankings'!$T:$T,0),0)</f>
        <v>267</v>
      </c>
      <c r="G1762" s="6" t="str">
        <f aca="false">IF(F1762=0,"NOT FOUND",INDEX('All Song Rankings'!$A:$A,F1762))</f>
        <v>Two Worlds</v>
      </c>
      <c r="H1762" s="6" t="str">
        <f aca="false">IF(F1762=0,"NOT FOUND",INDEX('All Song Rankings'!$B:$B,F1762))</f>
        <v>Phil Collins</v>
      </c>
      <c r="I1762" s="6" t="str">
        <f aca="false">IF(F1762=0,"NOT FOUND",INDEX('All Song Rankings'!$D:$D,F1762))</f>
        <v>Logan</v>
      </c>
      <c r="J1762" s="7" t="str">
        <f aca="false">IF(F1762=0,"NOT FOUND",IF(C1762=I1762,"SELF-VOTE",IF(COUNTIF($K:$K,K1762)&gt;1,"DUPLICATE","OK")))</f>
        <v>OK</v>
      </c>
      <c r="K1762" s="6" t="str">
        <f aca="false">A1762&amp;"|"&amp;B1762&amp;"|"&amp;C1762&amp;"|"&amp;D1762</f>
        <v>3|6|Matt|spotify:track:3icOFPIciIN8FQSyVlpYSF</v>
      </c>
    </row>
    <row r="1763" customFormat="false" ht="15" hidden="false" customHeight="false" outlineLevel="0" collapsed="false">
      <c r="A1763" s="5" t="n">
        <v>3</v>
      </c>
      <c r="B1763" s="5" t="n">
        <v>6</v>
      </c>
      <c r="C1763" s="5" t="s">
        <v>116</v>
      </c>
      <c r="D1763" s="5" t="s">
        <v>933</v>
      </c>
      <c r="E1763" s="5" t="n">
        <v>1</v>
      </c>
      <c r="F1763" s="6" t="n">
        <f aca="false">IFERROR(MATCH(A1763&amp;"|"&amp;B1763&amp;"|"&amp;D1763,'All Song Rankings'!$T:$T,0),0)</f>
        <v>281</v>
      </c>
      <c r="G1763" s="6" t="str">
        <f aca="false">IF(F1763=0,"NOT FOUND",INDEX('All Song Rankings'!$A:$A,F1763))</f>
        <v>Frozen Heart - From "Frozen"/Soundtrack Version</v>
      </c>
      <c r="H1763" s="6" t="str">
        <f aca="false">IF(F1763=0,"NOT FOUND",INDEX('All Song Rankings'!$B:$B,F1763))</f>
        <v>Cast - Frozen</v>
      </c>
      <c r="I1763" s="6" t="str">
        <f aca="false">IF(F1763=0,"NOT FOUND",INDEX('All Song Rankings'!$D:$D,F1763))</f>
        <v>Merita</v>
      </c>
      <c r="J1763" s="7" t="str">
        <f aca="false">IF(F1763=0,"NOT FOUND",IF(C1763=I1763,"SELF-VOTE",IF(COUNTIF($K:$K,K1763)&gt;1,"DUPLICATE","OK")))</f>
        <v>OK</v>
      </c>
      <c r="K1763" s="6" t="str">
        <f aca="false">A1763&amp;"|"&amp;B1763&amp;"|"&amp;C1763&amp;"|"&amp;D1763</f>
        <v>3|6|Matt|spotify:track:3xDVJcvcKedshWlT3qGSHk</v>
      </c>
    </row>
    <row r="1764" customFormat="false" ht="15" hidden="false" customHeight="false" outlineLevel="0" collapsed="false">
      <c r="A1764" s="5" t="n">
        <v>3</v>
      </c>
      <c r="B1764" s="5" t="n">
        <v>6</v>
      </c>
      <c r="C1764" s="5" t="s">
        <v>116</v>
      </c>
      <c r="D1764" s="5" t="s">
        <v>914</v>
      </c>
      <c r="E1764" s="5" t="n">
        <v>1</v>
      </c>
      <c r="F1764" s="6" t="n">
        <f aca="false">IFERROR(MATCH(A1764&amp;"|"&amp;B1764&amp;"|"&amp;D1764,'All Song Rankings'!$T:$T,0),0)</f>
        <v>274</v>
      </c>
      <c r="G1764" s="6" t="str">
        <f aca="false">IF(F1764=0,"NOT FOUND",INDEX('All Song Rankings'!$A:$A,F1764))</f>
        <v>Start of Something New</v>
      </c>
      <c r="H1764" s="6" t="str">
        <f aca="false">IF(F1764=0,"NOT FOUND",INDEX('All Song Rankings'!$B:$B,F1764))</f>
        <v>Troy, Gabriella, Disney</v>
      </c>
      <c r="I1764" s="6" t="str">
        <f aca="false">IF(F1764=0,"NOT FOUND",INDEX('All Song Rankings'!$D:$D,F1764))</f>
        <v>Colleen</v>
      </c>
      <c r="J1764" s="7" t="str">
        <f aca="false">IF(F1764=0,"NOT FOUND",IF(C1764=I1764,"SELF-VOTE",IF(COUNTIF($K:$K,K1764)&gt;1,"DUPLICATE","OK")))</f>
        <v>OK</v>
      </c>
      <c r="K1764" s="6" t="str">
        <f aca="false">A1764&amp;"|"&amp;B1764&amp;"|"&amp;C1764&amp;"|"&amp;D1764</f>
        <v>3|6|Matt|spotify:track:4LwrgltRSrddxeyhIPSoqa</v>
      </c>
    </row>
    <row r="1765" customFormat="false" ht="15" hidden="false" customHeight="false" outlineLevel="0" collapsed="false">
      <c r="A1765" s="5" t="n">
        <v>3</v>
      </c>
      <c r="B1765" s="5" t="n">
        <v>6</v>
      </c>
      <c r="C1765" s="5" t="s">
        <v>116</v>
      </c>
      <c r="D1765" s="5" t="s">
        <v>911</v>
      </c>
      <c r="E1765" s="5" t="n">
        <v>1</v>
      </c>
      <c r="F1765" s="6" t="n">
        <f aca="false">IFERROR(MATCH(A1765&amp;"|"&amp;B1765&amp;"|"&amp;D1765,'All Song Rankings'!$T:$T,0),0)</f>
        <v>273</v>
      </c>
      <c r="G1765" s="6" t="str">
        <f aca="false">IF(F1765=0,"NOT FOUND",INDEX('All Song Rankings'!$A:$A,F1765))</f>
        <v>The Gospel Truth I / Main Titles - Hercules</v>
      </c>
      <c r="H1765" s="6" t="str">
        <f aca="false">IF(F1765=0,"NOT FOUND",INDEX('All Song Rankings'!$B:$B,F1765))</f>
        <v>Cheryl Freeman, LaChanze, Vaneese Thomas, Lillias White, Roz Ryan, Disney</v>
      </c>
      <c r="I1765" s="6" t="str">
        <f aca="false">IF(F1765=0,"NOT FOUND",INDEX('All Song Rankings'!$D:$D,F1765))</f>
        <v>Christine</v>
      </c>
      <c r="J1765" s="7" t="str">
        <f aca="false">IF(F1765=0,"NOT FOUND",IF(C1765=I1765,"SELF-VOTE",IF(COUNTIF($K:$K,K1765)&gt;1,"DUPLICATE","OK")))</f>
        <v>OK</v>
      </c>
      <c r="K1765" s="6" t="str">
        <f aca="false">A1765&amp;"|"&amp;B1765&amp;"|"&amp;C1765&amp;"|"&amp;D1765</f>
        <v>3|6|Matt|spotify:track:6uW03WHG3qv2FzxPIW6SUP</v>
      </c>
    </row>
    <row r="1766" customFormat="false" ht="15" hidden="false" customHeight="false" outlineLevel="0" collapsed="false">
      <c r="A1766" s="5" t="n">
        <v>3</v>
      </c>
      <c r="B1766" s="5" t="n">
        <v>6</v>
      </c>
      <c r="C1766" s="5" t="s">
        <v>116</v>
      </c>
      <c r="D1766" s="5" t="s">
        <v>899</v>
      </c>
      <c r="E1766" s="5" t="n">
        <v>1</v>
      </c>
      <c r="F1766" s="6" t="n">
        <f aca="false">IFERROR(MATCH(A1766&amp;"|"&amp;B1766&amp;"|"&amp;D1766,'All Song Rankings'!$T:$T,0),0)</f>
        <v>269</v>
      </c>
      <c r="G1766" s="6" t="str">
        <f aca="false">IF(F1766=0,"NOT FOUND",INDEX('All Song Rankings'!$A:$A,F1766))</f>
        <v>I2I</v>
      </c>
      <c r="H1766" s="6" t="str">
        <f aca="false">IF(F1766=0,"NOT FOUND",INDEX('All Song Rankings'!$B:$B,F1766))</f>
        <v>Tevin Campbell, Rosie Gaines</v>
      </c>
      <c r="I1766" s="6" t="str">
        <f aca="false">IF(F1766=0,"NOT FOUND",INDEX('All Song Rankings'!$D:$D,F1766))</f>
        <v>Nicole</v>
      </c>
      <c r="J1766" s="7" t="str">
        <f aca="false">IF(F1766=0,"NOT FOUND",IF(C1766=I1766,"SELF-VOTE",IF(COUNTIF($K:$K,K1766)&gt;1,"DUPLICATE","OK")))</f>
        <v>OK</v>
      </c>
      <c r="K1766" s="6" t="str">
        <f aca="false">A1766&amp;"|"&amp;B1766&amp;"|"&amp;C1766&amp;"|"&amp;D1766</f>
        <v>3|6|Matt|spotify:track:7lPxGs556PD8H3bUd9LzHp</v>
      </c>
    </row>
    <row r="1767" customFormat="false" ht="15" hidden="false" customHeight="false" outlineLevel="0" collapsed="false">
      <c r="A1767" s="5" t="n">
        <v>3</v>
      </c>
      <c r="B1767" s="5" t="n">
        <v>6</v>
      </c>
      <c r="C1767" s="5" t="s">
        <v>101</v>
      </c>
      <c r="D1767" s="5" t="s">
        <v>905</v>
      </c>
      <c r="E1767" s="5" t="n">
        <v>2</v>
      </c>
      <c r="F1767" s="6" t="n">
        <f aca="false">IFERROR(MATCH(A1767&amp;"|"&amp;B1767&amp;"|"&amp;D1767,'All Song Rankings'!$T:$T,0),0)</f>
        <v>271</v>
      </c>
      <c r="G1767" s="6" t="str">
        <f aca="false">IF(F1767=0,"NOT FOUND",INDEX('All Song Rankings'!$A:$A,F1767))</f>
        <v>Arabian Nights</v>
      </c>
      <c r="H1767" s="6" t="str">
        <f aca="false">IF(F1767=0,"NOT FOUND",INDEX('All Song Rankings'!$B:$B,F1767))</f>
        <v>Bruce Adler, Disney</v>
      </c>
      <c r="I1767" s="6" t="str">
        <f aca="false">IF(F1767=0,"NOT FOUND",INDEX('All Song Rankings'!$D:$D,F1767))</f>
        <v>Grace</v>
      </c>
      <c r="J1767" s="7" t="str">
        <f aca="false">IF(F1767=0,"NOT FOUND",IF(C1767=I1767,"SELF-VOTE",IF(COUNTIF($K:$K,K1767)&gt;1,"DUPLICATE","OK")))</f>
        <v>OK</v>
      </c>
      <c r="K1767" s="6" t="str">
        <f aca="false">A1767&amp;"|"&amp;B1767&amp;"|"&amp;C1767&amp;"|"&amp;D1767</f>
        <v>3|6|Merita|spotify:track:0CKmN3Wwk8W4zjU0pqq2cv</v>
      </c>
    </row>
    <row r="1768" customFormat="false" ht="15" hidden="false" customHeight="false" outlineLevel="0" collapsed="false">
      <c r="A1768" s="5" t="n">
        <v>3</v>
      </c>
      <c r="B1768" s="5" t="n">
        <v>6</v>
      </c>
      <c r="C1768" s="5" t="s">
        <v>101</v>
      </c>
      <c r="D1768" s="5" t="s">
        <v>902</v>
      </c>
      <c r="E1768" s="5" t="n">
        <v>2</v>
      </c>
      <c r="F1768" s="6" t="n">
        <f aca="false">IFERROR(MATCH(A1768&amp;"|"&amp;B1768&amp;"|"&amp;D1768,'All Song Rankings'!$T:$T,0),0)</f>
        <v>270</v>
      </c>
      <c r="G1768" s="6" t="str">
        <f aca="false">IF(F1768=0,"NOT FOUND",INDEX('All Song Rankings'!$A:$A,F1768))</f>
        <v>Circle of Life</v>
      </c>
      <c r="H1768" s="6" t="str">
        <f aca="false">IF(F1768=0,"NOT FOUND",INDEX('All Song Rankings'!$B:$B,F1768))</f>
        <v>Carmen Twillie, Lebo M.</v>
      </c>
      <c r="I1768" s="6" t="str">
        <f aca="false">IF(F1768=0,"NOT FOUND",INDEX('All Song Rankings'!$D:$D,F1768))</f>
        <v>Kristen</v>
      </c>
      <c r="J1768" s="7" t="str">
        <f aca="false">IF(F1768=0,"NOT FOUND",IF(C1768=I1768,"SELF-VOTE",IF(COUNTIF($K:$K,K1768)&gt;1,"DUPLICATE","OK")))</f>
        <v>OK</v>
      </c>
      <c r="K1768" s="6" t="str">
        <f aca="false">A1768&amp;"|"&amp;B1768&amp;"|"&amp;C1768&amp;"|"&amp;D1768</f>
        <v>3|6|Merita|spotify:track:0HU5JnVaKNTWf6GykV9Zn8</v>
      </c>
    </row>
    <row r="1769" customFormat="false" ht="15" hidden="false" customHeight="false" outlineLevel="0" collapsed="false">
      <c r="A1769" s="5" t="n">
        <v>3</v>
      </c>
      <c r="B1769" s="5" t="n">
        <v>6</v>
      </c>
      <c r="C1769" s="5" t="s">
        <v>101</v>
      </c>
      <c r="D1769" s="5" t="s">
        <v>917</v>
      </c>
      <c r="E1769" s="5" t="n">
        <v>1</v>
      </c>
      <c r="F1769" s="6" t="n">
        <f aca="false">IFERROR(MATCH(A1769&amp;"|"&amp;B1769&amp;"|"&amp;D1769,'All Song Rankings'!$T:$T,0),0)</f>
        <v>275</v>
      </c>
      <c r="G1769" s="6" t="str">
        <f aca="false">IF(F1769=0,"NOT FOUND",INDEX('All Song Rankings'!$A:$A,F1769))</f>
        <v>Belle</v>
      </c>
      <c r="H1769" s="6" t="str">
        <f aca="false">IF(F1769=0,"NOT FOUND",INDEX('All Song Rankings'!$B:$B,F1769))</f>
        <v>Richard White, Paige O'Hara, Chorus - Beauty And the Beast, Disney</v>
      </c>
      <c r="I1769" s="6" t="str">
        <f aca="false">IF(F1769=0,"NOT FOUND",INDEX('All Song Rankings'!$D:$D,F1769))</f>
        <v>Makenzie</v>
      </c>
      <c r="J1769" s="7" t="str">
        <f aca="false">IF(F1769=0,"NOT FOUND",IF(C1769=I1769,"SELF-VOTE",IF(COUNTIF($K:$K,K1769)&gt;1,"DUPLICATE","OK")))</f>
        <v>OK</v>
      </c>
      <c r="K1769" s="6" t="str">
        <f aca="false">A1769&amp;"|"&amp;B1769&amp;"|"&amp;C1769&amp;"|"&amp;D1769</f>
        <v>3|6|Merita|spotify:track:0Q4a3PdGEME9w8Jgqa0Gf3</v>
      </c>
    </row>
    <row r="1770" customFormat="false" ht="15" hidden="false" customHeight="false" outlineLevel="0" collapsed="false">
      <c r="A1770" s="5" t="n">
        <v>3</v>
      </c>
      <c r="B1770" s="5" t="n">
        <v>6</v>
      </c>
      <c r="C1770" s="5" t="s">
        <v>101</v>
      </c>
      <c r="D1770" s="5" t="s">
        <v>923</v>
      </c>
      <c r="E1770" s="5" t="n">
        <v>2</v>
      </c>
      <c r="F1770" s="6" t="n">
        <f aca="false">IFERROR(MATCH(A1770&amp;"|"&amp;B1770&amp;"|"&amp;D1770,'All Song Rankings'!$T:$T,0),0)</f>
        <v>277</v>
      </c>
      <c r="G1770" s="6" t="str">
        <f aca="false">IF(F1770=0,"NOT FOUND",INDEX('All Song Rankings'!$A:$A,F1770))</f>
        <v>Good to Be Bad</v>
      </c>
      <c r="H1770" s="6" t="str">
        <f aca="false">IF(F1770=0,"NOT FOUND",INDEX('All Song Rankings'!$B:$B,F1770))</f>
        <v>Dove Cameron, Sofia Carson, Booboo Stewart, Carmeon Boyce, Jadah Marie, Anna Catchart, Disney</v>
      </c>
      <c r="I1770" s="6" t="str">
        <f aca="false">IF(F1770=0,"NOT FOUND",INDEX('All Song Rankings'!$D:$D,F1770))</f>
        <v>Leah</v>
      </c>
      <c r="J1770" s="7" t="str">
        <f aca="false">IF(F1770=0,"NOT FOUND",IF(C1770=I1770,"SELF-VOTE",IF(COUNTIF($K:$K,K1770)&gt;1,"DUPLICATE","OK")))</f>
        <v>OK</v>
      </c>
      <c r="K1770" s="6" t="str">
        <f aca="false">A1770&amp;"|"&amp;B1770&amp;"|"&amp;C1770&amp;"|"&amp;D1770</f>
        <v>3|6|Merita|spotify:track:1RIYF8NDIIWBvJe4vhQr6y</v>
      </c>
    </row>
    <row r="1771" customFormat="false" ht="15" hidden="false" customHeight="false" outlineLevel="0" collapsed="false">
      <c r="A1771" s="5" t="n">
        <v>3</v>
      </c>
      <c r="B1771" s="5" t="n">
        <v>6</v>
      </c>
      <c r="C1771" s="5" t="s">
        <v>101</v>
      </c>
      <c r="D1771" s="5" t="s">
        <v>920</v>
      </c>
      <c r="E1771" s="5" t="n">
        <v>1</v>
      </c>
      <c r="F1771" s="6" t="n">
        <f aca="false">IFERROR(MATCH(A1771&amp;"|"&amp;B1771&amp;"|"&amp;D1771,'All Song Rankings'!$T:$T,0),0)</f>
        <v>276</v>
      </c>
      <c r="G1771" s="6" t="str">
        <f aca="false">IF(F1771=0,"NOT FOUND",INDEX('All Song Rankings'!$A:$A,F1771))</f>
        <v>The Bells of Notre Dame</v>
      </c>
      <c r="H1771" s="6" t="str">
        <f aca="false">IF(F1771=0,"NOT FOUND",INDEX('All Song Rankings'!$B:$B,F1771))</f>
        <v>David Ogden Stiers, Tony Jay, Paul Kandel, Chorus - The Hunchback Of Notre Dame</v>
      </c>
      <c r="I1771" s="6" t="str">
        <f aca="false">IF(F1771=0,"NOT FOUND",INDEX('All Song Rankings'!$D:$D,F1771))</f>
        <v>Stephanie</v>
      </c>
      <c r="J1771" s="7" t="str">
        <f aca="false">IF(F1771=0,"NOT FOUND",IF(C1771=I1771,"SELF-VOTE",IF(COUNTIF($K:$K,K1771)&gt;1,"DUPLICATE","OK")))</f>
        <v>OK</v>
      </c>
      <c r="K1771" s="6" t="str">
        <f aca="false">A1771&amp;"|"&amp;B1771&amp;"|"&amp;C1771&amp;"|"&amp;D1771</f>
        <v>3|6|Merita|spotify:track:47Wo2LeGbzdZTdEFNRZXV0</v>
      </c>
    </row>
    <row r="1772" customFormat="false" ht="15" hidden="false" customHeight="false" outlineLevel="0" collapsed="false">
      <c r="A1772" s="5" t="n">
        <v>3</v>
      </c>
      <c r="B1772" s="5" t="n">
        <v>6</v>
      </c>
      <c r="C1772" s="5" t="s">
        <v>101</v>
      </c>
      <c r="D1772" s="5" t="s">
        <v>914</v>
      </c>
      <c r="E1772" s="5" t="n">
        <v>1</v>
      </c>
      <c r="F1772" s="6" t="n">
        <f aca="false">IFERROR(MATCH(A1772&amp;"|"&amp;B1772&amp;"|"&amp;D1772,'All Song Rankings'!$T:$T,0),0)</f>
        <v>274</v>
      </c>
      <c r="G1772" s="6" t="str">
        <f aca="false">IF(F1772=0,"NOT FOUND",INDEX('All Song Rankings'!$A:$A,F1772))</f>
        <v>Start of Something New</v>
      </c>
      <c r="H1772" s="6" t="str">
        <f aca="false">IF(F1772=0,"NOT FOUND",INDEX('All Song Rankings'!$B:$B,F1772))</f>
        <v>Troy, Gabriella, Disney</v>
      </c>
      <c r="I1772" s="6" t="str">
        <f aca="false">IF(F1772=0,"NOT FOUND",INDEX('All Song Rankings'!$D:$D,F1772))</f>
        <v>Colleen</v>
      </c>
      <c r="J1772" s="7" t="str">
        <f aca="false">IF(F1772=0,"NOT FOUND",IF(C1772=I1772,"SELF-VOTE",IF(COUNTIF($K:$K,K1772)&gt;1,"DUPLICATE","OK")))</f>
        <v>OK</v>
      </c>
      <c r="K1772" s="6" t="str">
        <f aca="false">A1772&amp;"|"&amp;B1772&amp;"|"&amp;C1772&amp;"|"&amp;D1772</f>
        <v>3|6|Merita|spotify:track:4LwrgltRSrddxeyhIPSoqa</v>
      </c>
    </row>
    <row r="1773" customFormat="false" ht="15" hidden="false" customHeight="false" outlineLevel="0" collapsed="false">
      <c r="A1773" s="5" t="n">
        <v>3</v>
      </c>
      <c r="B1773" s="5" t="n">
        <v>6</v>
      </c>
      <c r="C1773" s="5" t="s">
        <v>101</v>
      </c>
      <c r="D1773" s="5" t="s">
        <v>929</v>
      </c>
      <c r="E1773" s="5" t="n">
        <v>1</v>
      </c>
      <c r="F1773" s="6" t="n">
        <f aca="false">IFERROR(MATCH(A1773&amp;"|"&amp;B1773&amp;"|"&amp;D1773,'All Song Rankings'!$T:$T,0),0)</f>
        <v>279</v>
      </c>
      <c r="G1773" s="6" t="str">
        <f aca="false">IF(F1773=0,"NOT FOUND",INDEX('All Song Rankings'!$A:$A,F1773))</f>
        <v>What Time Is It</v>
      </c>
      <c r="H1773" s="6" t="str">
        <f aca="false">IF(F1773=0,"NOT FOUND",INDEX('All Song Rankings'!$B:$B,F1773))</f>
        <v>Zac Efron, Vanessa Hudgens, Lucas Grabeel, Corbin Bleu, Ashley Tisdale, Monique Coleman, Disney</v>
      </c>
      <c r="I1773" s="6" t="str">
        <f aca="false">IF(F1773=0,"NOT FOUND",INDEX('All Song Rankings'!$D:$D,F1773))</f>
        <v>Kelsey</v>
      </c>
      <c r="J1773" s="7" t="str">
        <f aca="false">IF(F1773=0,"NOT FOUND",IF(C1773=I1773,"SELF-VOTE",IF(COUNTIF($K:$K,K1773)&gt;1,"DUPLICATE","OK")))</f>
        <v>OK</v>
      </c>
      <c r="K1773" s="6" t="str">
        <f aca="false">A1773&amp;"|"&amp;B1773&amp;"|"&amp;C1773&amp;"|"&amp;D1773</f>
        <v>3|6|Merita|spotify:track:6NqfslFfCCOyBQ0Xw8kN8E</v>
      </c>
    </row>
    <row r="1774" customFormat="false" ht="15" hidden="false" customHeight="false" outlineLevel="0" collapsed="false">
      <c r="A1774" s="5" t="n">
        <v>3</v>
      </c>
      <c r="B1774" s="5" t="n">
        <v>6</v>
      </c>
      <c r="C1774" s="5" t="s">
        <v>92</v>
      </c>
      <c r="D1774" s="5" t="s">
        <v>902</v>
      </c>
      <c r="E1774" s="5" t="n">
        <v>1</v>
      </c>
      <c r="F1774" s="6" t="n">
        <f aca="false">IFERROR(MATCH(A1774&amp;"|"&amp;B1774&amp;"|"&amp;D1774,'All Song Rankings'!$T:$T,0),0)</f>
        <v>270</v>
      </c>
      <c r="G1774" s="6" t="str">
        <f aca="false">IF(F1774=0,"NOT FOUND",INDEX('All Song Rankings'!$A:$A,F1774))</f>
        <v>Circle of Life</v>
      </c>
      <c r="H1774" s="6" t="str">
        <f aca="false">IF(F1774=0,"NOT FOUND",INDEX('All Song Rankings'!$B:$B,F1774))</f>
        <v>Carmen Twillie, Lebo M.</v>
      </c>
      <c r="I1774" s="6" t="str">
        <f aca="false">IF(F1774=0,"NOT FOUND",INDEX('All Song Rankings'!$D:$D,F1774))</f>
        <v>Kristen</v>
      </c>
      <c r="J1774" s="7" t="str">
        <f aca="false">IF(F1774=0,"NOT FOUND",IF(C1774=I1774,"SELF-VOTE",IF(COUNTIF($K:$K,K1774)&gt;1,"DUPLICATE","OK")))</f>
        <v>OK</v>
      </c>
      <c r="K1774" s="6" t="str">
        <f aca="false">A1774&amp;"|"&amp;B1774&amp;"|"&amp;C1774&amp;"|"&amp;D1774</f>
        <v>3|6|Nicole|spotify:track:0HU5JnVaKNTWf6GykV9Zn8</v>
      </c>
    </row>
    <row r="1775" customFormat="false" ht="15" hidden="false" customHeight="false" outlineLevel="0" collapsed="false">
      <c r="A1775" s="5" t="n">
        <v>3</v>
      </c>
      <c r="B1775" s="5" t="n">
        <v>6</v>
      </c>
      <c r="C1775" s="5" t="s">
        <v>92</v>
      </c>
      <c r="D1775" s="5" t="s">
        <v>917</v>
      </c>
      <c r="E1775" s="5" t="n">
        <v>1</v>
      </c>
      <c r="F1775" s="6" t="n">
        <f aca="false">IFERROR(MATCH(A1775&amp;"|"&amp;B1775&amp;"|"&amp;D1775,'All Song Rankings'!$T:$T,0),0)</f>
        <v>275</v>
      </c>
      <c r="G1775" s="6" t="str">
        <f aca="false">IF(F1775=0,"NOT FOUND",INDEX('All Song Rankings'!$A:$A,F1775))</f>
        <v>Belle</v>
      </c>
      <c r="H1775" s="6" t="str">
        <f aca="false">IF(F1775=0,"NOT FOUND",INDEX('All Song Rankings'!$B:$B,F1775))</f>
        <v>Richard White, Paige O'Hara, Chorus - Beauty And the Beast, Disney</v>
      </c>
      <c r="I1775" s="6" t="str">
        <f aca="false">IF(F1775=0,"NOT FOUND",INDEX('All Song Rankings'!$D:$D,F1775))</f>
        <v>Makenzie</v>
      </c>
      <c r="J1775" s="7" t="str">
        <f aca="false">IF(F1775=0,"NOT FOUND",IF(C1775=I1775,"SELF-VOTE",IF(COUNTIF($K:$K,K1775)&gt;1,"DUPLICATE","OK")))</f>
        <v>OK</v>
      </c>
      <c r="K1775" s="6" t="str">
        <f aca="false">A1775&amp;"|"&amp;B1775&amp;"|"&amp;C1775&amp;"|"&amp;D1775</f>
        <v>3|6|Nicole|spotify:track:0Q4a3PdGEME9w8Jgqa0Gf3</v>
      </c>
    </row>
    <row r="1776" customFormat="false" ht="15" hidden="false" customHeight="false" outlineLevel="0" collapsed="false">
      <c r="A1776" s="5" t="n">
        <v>3</v>
      </c>
      <c r="B1776" s="5" t="n">
        <v>6</v>
      </c>
      <c r="C1776" s="5" t="s">
        <v>92</v>
      </c>
      <c r="D1776" s="5" t="s">
        <v>923</v>
      </c>
      <c r="E1776" s="5" t="n">
        <v>1</v>
      </c>
      <c r="F1776" s="6" t="n">
        <f aca="false">IFERROR(MATCH(A1776&amp;"|"&amp;B1776&amp;"|"&amp;D1776,'All Song Rankings'!$T:$T,0),0)</f>
        <v>277</v>
      </c>
      <c r="G1776" s="6" t="str">
        <f aca="false">IF(F1776=0,"NOT FOUND",INDEX('All Song Rankings'!$A:$A,F1776))</f>
        <v>Good to Be Bad</v>
      </c>
      <c r="H1776" s="6" t="str">
        <f aca="false">IF(F1776=0,"NOT FOUND",INDEX('All Song Rankings'!$B:$B,F1776))</f>
        <v>Dove Cameron, Sofia Carson, Booboo Stewart, Carmeon Boyce, Jadah Marie, Anna Catchart, Disney</v>
      </c>
      <c r="I1776" s="6" t="str">
        <f aca="false">IF(F1776=0,"NOT FOUND",INDEX('All Song Rankings'!$D:$D,F1776))</f>
        <v>Leah</v>
      </c>
      <c r="J1776" s="7" t="str">
        <f aca="false">IF(F1776=0,"NOT FOUND",IF(C1776=I1776,"SELF-VOTE",IF(COUNTIF($K:$K,K1776)&gt;1,"DUPLICATE","OK")))</f>
        <v>OK</v>
      </c>
      <c r="K1776" s="6" t="str">
        <f aca="false">A1776&amp;"|"&amp;B1776&amp;"|"&amp;C1776&amp;"|"&amp;D1776</f>
        <v>3|6|Nicole|spotify:track:1RIYF8NDIIWBvJe4vhQr6y</v>
      </c>
    </row>
    <row r="1777" customFormat="false" ht="15" hidden="false" customHeight="false" outlineLevel="0" collapsed="false">
      <c r="A1777" s="5" t="n">
        <v>3</v>
      </c>
      <c r="B1777" s="5" t="n">
        <v>6</v>
      </c>
      <c r="C1777" s="5" t="s">
        <v>92</v>
      </c>
      <c r="D1777" s="5" t="s">
        <v>893</v>
      </c>
      <c r="E1777" s="5" t="n">
        <v>2</v>
      </c>
      <c r="F1777" s="6" t="n">
        <f aca="false">IFERROR(MATCH(A1777&amp;"|"&amp;B1777&amp;"|"&amp;D1777,'All Song Rankings'!$T:$T,0),0)</f>
        <v>267</v>
      </c>
      <c r="G1777" s="6" t="str">
        <f aca="false">IF(F1777=0,"NOT FOUND",INDEX('All Song Rankings'!$A:$A,F1777))</f>
        <v>Two Worlds</v>
      </c>
      <c r="H1777" s="6" t="str">
        <f aca="false">IF(F1777=0,"NOT FOUND",INDEX('All Song Rankings'!$B:$B,F1777))</f>
        <v>Phil Collins</v>
      </c>
      <c r="I1777" s="6" t="str">
        <f aca="false">IF(F1777=0,"NOT FOUND",INDEX('All Song Rankings'!$D:$D,F1777))</f>
        <v>Logan</v>
      </c>
      <c r="J1777" s="7" t="str">
        <f aca="false">IF(F1777=0,"NOT FOUND",IF(C1777=I1777,"SELF-VOTE",IF(COUNTIF($K:$K,K1777)&gt;1,"DUPLICATE","OK")))</f>
        <v>OK</v>
      </c>
      <c r="K1777" s="6" t="str">
        <f aca="false">A1777&amp;"|"&amp;B1777&amp;"|"&amp;C1777&amp;"|"&amp;D1777</f>
        <v>3|6|Nicole|spotify:track:3icOFPIciIN8FQSyVlpYSF</v>
      </c>
    </row>
    <row r="1778" customFormat="false" ht="15" hidden="false" customHeight="false" outlineLevel="0" collapsed="false">
      <c r="A1778" s="5" t="n">
        <v>3</v>
      </c>
      <c r="B1778" s="5" t="n">
        <v>6</v>
      </c>
      <c r="C1778" s="5" t="s">
        <v>92</v>
      </c>
      <c r="D1778" s="5" t="s">
        <v>920</v>
      </c>
      <c r="E1778" s="5" t="n">
        <v>1</v>
      </c>
      <c r="F1778" s="6" t="n">
        <f aca="false">IFERROR(MATCH(A1778&amp;"|"&amp;B1778&amp;"|"&amp;D1778,'All Song Rankings'!$T:$T,0),0)</f>
        <v>276</v>
      </c>
      <c r="G1778" s="6" t="str">
        <f aca="false">IF(F1778=0,"NOT FOUND",INDEX('All Song Rankings'!$A:$A,F1778))</f>
        <v>The Bells of Notre Dame</v>
      </c>
      <c r="H1778" s="6" t="str">
        <f aca="false">IF(F1778=0,"NOT FOUND",INDEX('All Song Rankings'!$B:$B,F1778))</f>
        <v>David Ogden Stiers, Tony Jay, Paul Kandel, Chorus - The Hunchback Of Notre Dame</v>
      </c>
      <c r="I1778" s="6" t="str">
        <f aca="false">IF(F1778=0,"NOT FOUND",INDEX('All Song Rankings'!$D:$D,F1778))</f>
        <v>Stephanie</v>
      </c>
      <c r="J1778" s="7" t="str">
        <f aca="false">IF(F1778=0,"NOT FOUND",IF(C1778=I1778,"SELF-VOTE",IF(COUNTIF($K:$K,K1778)&gt;1,"DUPLICATE","OK")))</f>
        <v>OK</v>
      </c>
      <c r="K1778" s="6" t="str">
        <f aca="false">A1778&amp;"|"&amp;B1778&amp;"|"&amp;C1778&amp;"|"&amp;D1778</f>
        <v>3|6|Nicole|spotify:track:47Wo2LeGbzdZTdEFNRZXV0</v>
      </c>
    </row>
    <row r="1779" customFormat="false" ht="15" hidden="false" customHeight="false" outlineLevel="0" collapsed="false">
      <c r="A1779" s="5" t="n">
        <v>3</v>
      </c>
      <c r="B1779" s="5" t="n">
        <v>6</v>
      </c>
      <c r="C1779" s="5" t="s">
        <v>92</v>
      </c>
      <c r="D1779" s="5" t="s">
        <v>914</v>
      </c>
      <c r="E1779" s="5" t="n">
        <v>1</v>
      </c>
      <c r="F1779" s="6" t="n">
        <f aca="false">IFERROR(MATCH(A1779&amp;"|"&amp;B1779&amp;"|"&amp;D1779,'All Song Rankings'!$T:$T,0),0)</f>
        <v>274</v>
      </c>
      <c r="G1779" s="6" t="str">
        <f aca="false">IF(F1779=0,"NOT FOUND",INDEX('All Song Rankings'!$A:$A,F1779))</f>
        <v>Start of Something New</v>
      </c>
      <c r="H1779" s="6" t="str">
        <f aca="false">IF(F1779=0,"NOT FOUND",INDEX('All Song Rankings'!$B:$B,F1779))</f>
        <v>Troy, Gabriella, Disney</v>
      </c>
      <c r="I1779" s="6" t="str">
        <f aca="false">IF(F1779=0,"NOT FOUND",INDEX('All Song Rankings'!$D:$D,F1779))</f>
        <v>Colleen</v>
      </c>
      <c r="J1779" s="7" t="str">
        <f aca="false">IF(F1779=0,"NOT FOUND",IF(C1779=I1779,"SELF-VOTE",IF(COUNTIF($K:$K,K1779)&gt;1,"DUPLICATE","OK")))</f>
        <v>OK</v>
      </c>
      <c r="K1779" s="6" t="str">
        <f aca="false">A1779&amp;"|"&amp;B1779&amp;"|"&amp;C1779&amp;"|"&amp;D1779</f>
        <v>3|6|Nicole|spotify:track:4LwrgltRSrddxeyhIPSoqa</v>
      </c>
    </row>
    <row r="1780" customFormat="false" ht="15" hidden="false" customHeight="false" outlineLevel="0" collapsed="false">
      <c r="A1780" s="5" t="n">
        <v>3</v>
      </c>
      <c r="B1780" s="5" t="n">
        <v>6</v>
      </c>
      <c r="C1780" s="5" t="s">
        <v>92</v>
      </c>
      <c r="D1780" s="5" t="s">
        <v>929</v>
      </c>
      <c r="E1780" s="5" t="n">
        <v>1</v>
      </c>
      <c r="F1780" s="6" t="n">
        <f aca="false">IFERROR(MATCH(A1780&amp;"|"&amp;B1780&amp;"|"&amp;D1780,'All Song Rankings'!$T:$T,0),0)</f>
        <v>279</v>
      </c>
      <c r="G1780" s="6" t="str">
        <f aca="false">IF(F1780=0,"NOT FOUND",INDEX('All Song Rankings'!$A:$A,F1780))</f>
        <v>What Time Is It</v>
      </c>
      <c r="H1780" s="6" t="str">
        <f aca="false">IF(F1780=0,"NOT FOUND",INDEX('All Song Rankings'!$B:$B,F1780))</f>
        <v>Zac Efron, Vanessa Hudgens, Lucas Grabeel, Corbin Bleu, Ashley Tisdale, Monique Coleman, Disney</v>
      </c>
      <c r="I1780" s="6" t="str">
        <f aca="false">IF(F1780=0,"NOT FOUND",INDEX('All Song Rankings'!$D:$D,F1780))</f>
        <v>Kelsey</v>
      </c>
      <c r="J1780" s="7" t="str">
        <f aca="false">IF(F1780=0,"NOT FOUND",IF(C1780=I1780,"SELF-VOTE",IF(COUNTIF($K:$K,K1780)&gt;1,"DUPLICATE","OK")))</f>
        <v>OK</v>
      </c>
      <c r="K1780" s="6" t="str">
        <f aca="false">A1780&amp;"|"&amp;B1780&amp;"|"&amp;C1780&amp;"|"&amp;D1780</f>
        <v>3|6|Nicole|spotify:track:6NqfslFfCCOyBQ0Xw8kN8E</v>
      </c>
    </row>
    <row r="1781" customFormat="false" ht="15" hidden="false" customHeight="false" outlineLevel="0" collapsed="false">
      <c r="A1781" s="5" t="n">
        <v>3</v>
      </c>
      <c r="B1781" s="5" t="n">
        <v>6</v>
      </c>
      <c r="C1781" s="5" t="s">
        <v>92</v>
      </c>
      <c r="D1781" s="5" t="s">
        <v>911</v>
      </c>
      <c r="E1781" s="5" t="n">
        <v>2</v>
      </c>
      <c r="F1781" s="6" t="n">
        <f aca="false">IFERROR(MATCH(A1781&amp;"|"&amp;B1781&amp;"|"&amp;D1781,'All Song Rankings'!$T:$T,0),0)</f>
        <v>273</v>
      </c>
      <c r="G1781" s="6" t="str">
        <f aca="false">IF(F1781=0,"NOT FOUND",INDEX('All Song Rankings'!$A:$A,F1781))</f>
        <v>The Gospel Truth I / Main Titles - Hercules</v>
      </c>
      <c r="H1781" s="6" t="str">
        <f aca="false">IF(F1781=0,"NOT FOUND",INDEX('All Song Rankings'!$B:$B,F1781))</f>
        <v>Cheryl Freeman, LaChanze, Vaneese Thomas, Lillias White, Roz Ryan, Disney</v>
      </c>
      <c r="I1781" s="6" t="str">
        <f aca="false">IF(F1781=0,"NOT FOUND",INDEX('All Song Rankings'!$D:$D,F1781))</f>
        <v>Christine</v>
      </c>
      <c r="J1781" s="7" t="str">
        <f aca="false">IF(F1781=0,"NOT FOUND",IF(C1781=I1781,"SELF-VOTE",IF(COUNTIF($K:$K,K1781)&gt;1,"DUPLICATE","OK")))</f>
        <v>OK</v>
      </c>
      <c r="K1781" s="6" t="str">
        <f aca="false">A1781&amp;"|"&amp;B1781&amp;"|"&amp;C1781&amp;"|"&amp;D1781</f>
        <v>3|6|Nicole|spotify:track:6uW03WHG3qv2FzxPIW6SUP</v>
      </c>
    </row>
    <row r="1782" customFormat="false" ht="15" hidden="false" customHeight="false" outlineLevel="0" collapsed="false">
      <c r="A1782" s="5" t="n">
        <v>3</v>
      </c>
      <c r="B1782" s="5" t="n">
        <v>6</v>
      </c>
      <c r="C1782" s="5" t="s">
        <v>484</v>
      </c>
      <c r="D1782" s="5" t="s">
        <v>902</v>
      </c>
      <c r="E1782" s="5" t="n">
        <v>1</v>
      </c>
      <c r="F1782" s="6" t="n">
        <f aca="false">IFERROR(MATCH(A1782&amp;"|"&amp;B1782&amp;"|"&amp;D1782,'All Song Rankings'!$T:$T,0),0)</f>
        <v>270</v>
      </c>
      <c r="G1782" s="6" t="str">
        <f aca="false">IF(F1782=0,"NOT FOUND",INDEX('All Song Rankings'!$A:$A,F1782))</f>
        <v>Circle of Life</v>
      </c>
      <c r="H1782" s="6" t="str">
        <f aca="false">IF(F1782=0,"NOT FOUND",INDEX('All Song Rankings'!$B:$B,F1782))</f>
        <v>Carmen Twillie, Lebo M.</v>
      </c>
      <c r="I1782" s="6" t="str">
        <f aca="false">IF(F1782=0,"NOT FOUND",INDEX('All Song Rankings'!$D:$D,F1782))</f>
        <v>Kristen</v>
      </c>
      <c r="J1782" s="7" t="str">
        <f aca="false">IF(F1782=0,"NOT FOUND",IF(C1782=I1782,"SELF-VOTE",IF(COUNTIF($K:$K,K1782)&gt;1,"DUPLICATE","OK")))</f>
        <v>OK</v>
      </c>
      <c r="K1782" s="6" t="str">
        <f aca="false">A1782&amp;"|"&amp;B1782&amp;"|"&amp;C1782&amp;"|"&amp;D1782</f>
        <v>3|6|Scott|spotify:track:0HU5JnVaKNTWf6GykV9Zn8</v>
      </c>
    </row>
    <row r="1783" customFormat="false" ht="15" hidden="false" customHeight="false" outlineLevel="0" collapsed="false">
      <c r="A1783" s="5" t="n">
        <v>3</v>
      </c>
      <c r="B1783" s="5" t="n">
        <v>6</v>
      </c>
      <c r="C1783" s="5" t="s">
        <v>484</v>
      </c>
      <c r="D1783" s="5" t="s">
        <v>908</v>
      </c>
      <c r="E1783" s="5" t="n">
        <v>1</v>
      </c>
      <c r="F1783" s="6" t="n">
        <f aca="false">IFERROR(MATCH(A1783&amp;"|"&amp;B1783&amp;"|"&amp;D1783,'All Song Rankings'!$T:$T,0),0)</f>
        <v>272</v>
      </c>
      <c r="G1783" s="6" t="str">
        <f aca="false">IF(F1783=0,"NOT FOUND",INDEX('All Song Rankings'!$A:$A,F1783))</f>
        <v>Ain't No Mountain High Enough</v>
      </c>
      <c r="H1783" s="6" t="str">
        <f aca="false">IF(F1783=0,"NOT FOUND",INDEX('All Song Rankings'!$B:$B,F1783))</f>
        <v>Marvin Gaye, Tammi Terrell</v>
      </c>
      <c r="I1783" s="6" t="str">
        <f aca="false">IF(F1783=0,"NOT FOUND",INDEX('All Song Rankings'!$D:$D,F1783))</f>
        <v>Lisa</v>
      </c>
      <c r="J1783" s="7" t="str">
        <f aca="false">IF(F1783=0,"NOT FOUND",IF(C1783=I1783,"SELF-VOTE",IF(COUNTIF($K:$K,K1783)&gt;1,"DUPLICATE","OK")))</f>
        <v>OK</v>
      </c>
      <c r="K1783" s="6" t="str">
        <f aca="false">A1783&amp;"|"&amp;B1783&amp;"|"&amp;C1783&amp;"|"&amp;D1783</f>
        <v>3|6|Scott|spotify:track:0Z5rLOv4Mqc4hKZ1dPjODv</v>
      </c>
    </row>
    <row r="1784" customFormat="false" ht="15" hidden="false" customHeight="false" outlineLevel="0" collapsed="false">
      <c r="A1784" s="5" t="n">
        <v>3</v>
      </c>
      <c r="B1784" s="5" t="n">
        <v>6</v>
      </c>
      <c r="C1784" s="5" t="s">
        <v>484</v>
      </c>
      <c r="D1784" s="5" t="s">
        <v>893</v>
      </c>
      <c r="E1784" s="5" t="n">
        <v>3</v>
      </c>
      <c r="F1784" s="6" t="n">
        <f aca="false">IFERROR(MATCH(A1784&amp;"|"&amp;B1784&amp;"|"&amp;D1784,'All Song Rankings'!$T:$T,0),0)</f>
        <v>267</v>
      </c>
      <c r="G1784" s="6" t="str">
        <f aca="false">IF(F1784=0,"NOT FOUND",INDEX('All Song Rankings'!$A:$A,F1784))</f>
        <v>Two Worlds</v>
      </c>
      <c r="H1784" s="6" t="str">
        <f aca="false">IF(F1784=0,"NOT FOUND",INDEX('All Song Rankings'!$B:$B,F1784))</f>
        <v>Phil Collins</v>
      </c>
      <c r="I1784" s="6" t="str">
        <f aca="false">IF(F1784=0,"NOT FOUND",INDEX('All Song Rankings'!$D:$D,F1784))</f>
        <v>Logan</v>
      </c>
      <c r="J1784" s="7" t="str">
        <f aca="false">IF(F1784=0,"NOT FOUND",IF(C1784=I1784,"SELF-VOTE",IF(COUNTIF($K:$K,K1784)&gt;1,"DUPLICATE","OK")))</f>
        <v>OK</v>
      </c>
      <c r="K1784" s="6" t="str">
        <f aca="false">A1784&amp;"|"&amp;B1784&amp;"|"&amp;C1784&amp;"|"&amp;D1784</f>
        <v>3|6|Scott|spotify:track:3icOFPIciIN8FQSyVlpYSF</v>
      </c>
    </row>
    <row r="1785" customFormat="false" ht="15" hidden="false" customHeight="false" outlineLevel="0" collapsed="false">
      <c r="A1785" s="5" t="n">
        <v>3</v>
      </c>
      <c r="B1785" s="5" t="n">
        <v>6</v>
      </c>
      <c r="C1785" s="5" t="s">
        <v>484</v>
      </c>
      <c r="D1785" s="5" t="s">
        <v>920</v>
      </c>
      <c r="E1785" s="5" t="n">
        <v>2</v>
      </c>
      <c r="F1785" s="6" t="n">
        <f aca="false">IFERROR(MATCH(A1785&amp;"|"&amp;B1785&amp;"|"&amp;D1785,'All Song Rankings'!$T:$T,0),0)</f>
        <v>276</v>
      </c>
      <c r="G1785" s="6" t="str">
        <f aca="false">IF(F1785=0,"NOT FOUND",INDEX('All Song Rankings'!$A:$A,F1785))</f>
        <v>The Bells of Notre Dame</v>
      </c>
      <c r="H1785" s="6" t="str">
        <f aca="false">IF(F1785=0,"NOT FOUND",INDEX('All Song Rankings'!$B:$B,F1785))</f>
        <v>David Ogden Stiers, Tony Jay, Paul Kandel, Chorus - The Hunchback Of Notre Dame</v>
      </c>
      <c r="I1785" s="6" t="str">
        <f aca="false">IF(F1785=0,"NOT FOUND",INDEX('All Song Rankings'!$D:$D,F1785))</f>
        <v>Stephanie</v>
      </c>
      <c r="J1785" s="7" t="str">
        <f aca="false">IF(F1785=0,"NOT FOUND",IF(C1785=I1785,"SELF-VOTE",IF(COUNTIF($K:$K,K1785)&gt;1,"DUPLICATE","OK")))</f>
        <v>OK</v>
      </c>
      <c r="K1785" s="6" t="str">
        <f aca="false">A1785&amp;"|"&amp;B1785&amp;"|"&amp;C1785&amp;"|"&amp;D1785</f>
        <v>3|6|Scott|spotify:track:47Wo2LeGbzdZTdEFNRZXV0</v>
      </c>
    </row>
    <row r="1786" customFormat="false" ht="15" hidden="false" customHeight="false" outlineLevel="0" collapsed="false">
      <c r="A1786" s="5" t="n">
        <v>3</v>
      </c>
      <c r="B1786" s="5" t="n">
        <v>6</v>
      </c>
      <c r="C1786" s="5" t="s">
        <v>484</v>
      </c>
      <c r="D1786" s="5" t="s">
        <v>930</v>
      </c>
      <c r="E1786" s="5" t="n">
        <v>1</v>
      </c>
      <c r="F1786" s="6" t="n">
        <f aca="false">IFERROR(MATCH(A1786&amp;"|"&amp;B1786&amp;"|"&amp;D1786,'All Song Rankings'!$T:$T,0),0)</f>
        <v>280</v>
      </c>
      <c r="G1786" s="6" t="str">
        <f aca="false">IF(F1786=0,"NOT FOUND",INDEX('All Song Rankings'!$A:$A,F1786))</f>
        <v>Circle of Life</v>
      </c>
      <c r="H1786" s="6" t="str">
        <f aca="false">IF(F1786=0,"NOT FOUND",INDEX('All Song Rankings'!$B:$B,F1786))</f>
        <v>Elton John</v>
      </c>
      <c r="I1786" s="6" t="str">
        <f aca="false">IF(F1786=0,"NOT FOUND",INDEX('All Song Rankings'!$D:$D,F1786))</f>
        <v>Aubrey</v>
      </c>
      <c r="J1786" s="7" t="str">
        <f aca="false">IF(F1786=0,"NOT FOUND",IF(C1786=I1786,"SELF-VOTE",IF(COUNTIF($K:$K,K1786)&gt;1,"DUPLICATE","OK")))</f>
        <v>OK</v>
      </c>
      <c r="K1786" s="6" t="str">
        <f aca="false">A1786&amp;"|"&amp;B1786&amp;"|"&amp;C1786&amp;"|"&amp;D1786</f>
        <v>3|6|Scott|spotify:track:5vKkaZHPzuqQheytfKuXzp</v>
      </c>
    </row>
    <row r="1787" customFormat="false" ht="15" hidden="false" customHeight="false" outlineLevel="0" collapsed="false">
      <c r="A1787" s="5" t="n">
        <v>3</v>
      </c>
      <c r="B1787" s="5" t="n">
        <v>6</v>
      </c>
      <c r="C1787" s="5" t="s">
        <v>484</v>
      </c>
      <c r="D1787" s="5" t="s">
        <v>911</v>
      </c>
      <c r="E1787" s="5" t="n">
        <v>1</v>
      </c>
      <c r="F1787" s="6" t="n">
        <f aca="false">IFERROR(MATCH(A1787&amp;"|"&amp;B1787&amp;"|"&amp;D1787,'All Song Rankings'!$T:$T,0),0)</f>
        <v>273</v>
      </c>
      <c r="G1787" s="6" t="str">
        <f aca="false">IF(F1787=0,"NOT FOUND",INDEX('All Song Rankings'!$A:$A,F1787))</f>
        <v>The Gospel Truth I / Main Titles - Hercules</v>
      </c>
      <c r="H1787" s="6" t="str">
        <f aca="false">IF(F1787=0,"NOT FOUND",INDEX('All Song Rankings'!$B:$B,F1787))</f>
        <v>Cheryl Freeman, LaChanze, Vaneese Thomas, Lillias White, Roz Ryan, Disney</v>
      </c>
      <c r="I1787" s="6" t="str">
        <f aca="false">IF(F1787=0,"NOT FOUND",INDEX('All Song Rankings'!$D:$D,F1787))</f>
        <v>Christine</v>
      </c>
      <c r="J1787" s="7" t="str">
        <f aca="false">IF(F1787=0,"NOT FOUND",IF(C1787=I1787,"SELF-VOTE",IF(COUNTIF($K:$K,K1787)&gt;1,"DUPLICATE","OK")))</f>
        <v>OK</v>
      </c>
      <c r="K1787" s="6" t="str">
        <f aca="false">A1787&amp;"|"&amp;B1787&amp;"|"&amp;C1787&amp;"|"&amp;D1787</f>
        <v>3|6|Scott|spotify:track:6uW03WHG3qv2FzxPIW6SUP</v>
      </c>
    </row>
    <row r="1788" customFormat="false" ht="15" hidden="false" customHeight="false" outlineLevel="0" collapsed="false">
      <c r="A1788" s="5" t="n">
        <v>3</v>
      </c>
      <c r="B1788" s="5" t="n">
        <v>6</v>
      </c>
      <c r="C1788" s="5" t="s">
        <v>484</v>
      </c>
      <c r="D1788" s="5" t="s">
        <v>899</v>
      </c>
      <c r="E1788" s="5" t="n">
        <v>1</v>
      </c>
      <c r="F1788" s="6" t="n">
        <f aca="false">IFERROR(MATCH(A1788&amp;"|"&amp;B1788&amp;"|"&amp;D1788,'All Song Rankings'!$T:$T,0),0)</f>
        <v>269</v>
      </c>
      <c r="G1788" s="6" t="str">
        <f aca="false">IF(F1788=0,"NOT FOUND",INDEX('All Song Rankings'!$A:$A,F1788))</f>
        <v>I2I</v>
      </c>
      <c r="H1788" s="6" t="str">
        <f aca="false">IF(F1788=0,"NOT FOUND",INDEX('All Song Rankings'!$B:$B,F1788))</f>
        <v>Tevin Campbell, Rosie Gaines</v>
      </c>
      <c r="I1788" s="6" t="str">
        <f aca="false">IF(F1788=0,"NOT FOUND",INDEX('All Song Rankings'!$D:$D,F1788))</f>
        <v>Nicole</v>
      </c>
      <c r="J1788" s="7" t="str">
        <f aca="false">IF(F1788=0,"NOT FOUND",IF(C1788=I1788,"SELF-VOTE",IF(COUNTIF($K:$K,K1788)&gt;1,"DUPLICATE","OK")))</f>
        <v>OK</v>
      </c>
      <c r="K1788" s="6" t="str">
        <f aca="false">A1788&amp;"|"&amp;B1788&amp;"|"&amp;C1788&amp;"|"&amp;D1788</f>
        <v>3|6|Scott|spotify:track:7lPxGs556PD8H3bUd9LzHp</v>
      </c>
    </row>
    <row r="1789" customFormat="false" ht="15" hidden="false" customHeight="false" outlineLevel="0" collapsed="false">
      <c r="A1789" s="5" t="n">
        <v>3</v>
      </c>
      <c r="B1789" s="5" t="n">
        <v>6</v>
      </c>
      <c r="C1789" s="5" t="s">
        <v>97</v>
      </c>
      <c r="D1789" s="5" t="s">
        <v>905</v>
      </c>
      <c r="E1789" s="5" t="n">
        <v>3</v>
      </c>
      <c r="F1789" s="6" t="n">
        <f aca="false">IFERROR(MATCH(A1789&amp;"|"&amp;B1789&amp;"|"&amp;D1789,'All Song Rankings'!$T:$T,0),0)</f>
        <v>271</v>
      </c>
      <c r="G1789" s="6" t="str">
        <f aca="false">IF(F1789=0,"NOT FOUND",INDEX('All Song Rankings'!$A:$A,F1789))</f>
        <v>Arabian Nights</v>
      </c>
      <c r="H1789" s="6" t="str">
        <f aca="false">IF(F1789=0,"NOT FOUND",INDEX('All Song Rankings'!$B:$B,F1789))</f>
        <v>Bruce Adler, Disney</v>
      </c>
      <c r="I1789" s="6" t="str">
        <f aca="false">IF(F1789=0,"NOT FOUND",INDEX('All Song Rankings'!$D:$D,F1789))</f>
        <v>Grace</v>
      </c>
      <c r="J1789" s="7" t="str">
        <f aca="false">IF(F1789=0,"NOT FOUND",IF(C1789=I1789,"SELF-VOTE",IF(COUNTIF($K:$K,K1789)&gt;1,"DUPLICATE","OK")))</f>
        <v>OK</v>
      </c>
      <c r="K1789" s="6" t="str">
        <f aca="false">A1789&amp;"|"&amp;B1789&amp;"|"&amp;C1789&amp;"|"&amp;D1789</f>
        <v>3|6|Stephanie|spotify:track:0CKmN3Wwk8W4zjU0pqq2cv</v>
      </c>
    </row>
    <row r="1790" customFormat="false" ht="15" hidden="false" customHeight="false" outlineLevel="0" collapsed="false">
      <c r="A1790" s="5" t="n">
        <v>3</v>
      </c>
      <c r="B1790" s="5" t="n">
        <v>6</v>
      </c>
      <c r="C1790" s="5" t="s">
        <v>97</v>
      </c>
      <c r="D1790" s="5" t="s">
        <v>902</v>
      </c>
      <c r="E1790" s="5" t="n">
        <v>2</v>
      </c>
      <c r="F1790" s="6" t="n">
        <f aca="false">IFERROR(MATCH(A1790&amp;"|"&amp;B1790&amp;"|"&amp;D1790,'All Song Rankings'!$T:$T,0),0)</f>
        <v>270</v>
      </c>
      <c r="G1790" s="6" t="str">
        <f aca="false">IF(F1790=0,"NOT FOUND",INDEX('All Song Rankings'!$A:$A,F1790))</f>
        <v>Circle of Life</v>
      </c>
      <c r="H1790" s="6" t="str">
        <f aca="false">IF(F1790=0,"NOT FOUND",INDEX('All Song Rankings'!$B:$B,F1790))</f>
        <v>Carmen Twillie, Lebo M.</v>
      </c>
      <c r="I1790" s="6" t="str">
        <f aca="false">IF(F1790=0,"NOT FOUND",INDEX('All Song Rankings'!$D:$D,F1790))</f>
        <v>Kristen</v>
      </c>
      <c r="J1790" s="7" t="str">
        <f aca="false">IF(F1790=0,"NOT FOUND",IF(C1790=I1790,"SELF-VOTE",IF(COUNTIF($K:$K,K1790)&gt;1,"DUPLICATE","OK")))</f>
        <v>OK</v>
      </c>
      <c r="K1790" s="6" t="str">
        <f aca="false">A1790&amp;"|"&amp;B1790&amp;"|"&amp;C1790&amp;"|"&amp;D1790</f>
        <v>3|6|Stephanie|spotify:track:0HU5JnVaKNTWf6GykV9Zn8</v>
      </c>
    </row>
    <row r="1791" customFormat="false" ht="15" hidden="false" customHeight="false" outlineLevel="0" collapsed="false">
      <c r="A1791" s="5" t="n">
        <v>3</v>
      </c>
      <c r="B1791" s="5" t="n">
        <v>6</v>
      </c>
      <c r="C1791" s="5" t="s">
        <v>97</v>
      </c>
      <c r="D1791" s="5" t="s">
        <v>893</v>
      </c>
      <c r="E1791" s="5" t="n">
        <v>2</v>
      </c>
      <c r="F1791" s="6" t="n">
        <f aca="false">IFERROR(MATCH(A1791&amp;"|"&amp;B1791&amp;"|"&amp;D1791,'All Song Rankings'!$T:$T,0),0)</f>
        <v>267</v>
      </c>
      <c r="G1791" s="6" t="str">
        <f aca="false">IF(F1791=0,"NOT FOUND",INDEX('All Song Rankings'!$A:$A,F1791))</f>
        <v>Two Worlds</v>
      </c>
      <c r="H1791" s="6" t="str">
        <f aca="false">IF(F1791=0,"NOT FOUND",INDEX('All Song Rankings'!$B:$B,F1791))</f>
        <v>Phil Collins</v>
      </c>
      <c r="I1791" s="6" t="str">
        <f aca="false">IF(F1791=0,"NOT FOUND",INDEX('All Song Rankings'!$D:$D,F1791))</f>
        <v>Logan</v>
      </c>
      <c r="J1791" s="7" t="str">
        <f aca="false">IF(F1791=0,"NOT FOUND",IF(C1791=I1791,"SELF-VOTE",IF(COUNTIF($K:$K,K1791)&gt;1,"DUPLICATE","OK")))</f>
        <v>OK</v>
      </c>
      <c r="K1791" s="6" t="str">
        <f aca="false">A1791&amp;"|"&amp;B1791&amp;"|"&amp;C1791&amp;"|"&amp;D1791</f>
        <v>3|6|Stephanie|spotify:track:3icOFPIciIN8FQSyVlpYSF</v>
      </c>
    </row>
    <row r="1792" customFormat="false" ht="15" hidden="false" customHeight="false" outlineLevel="0" collapsed="false">
      <c r="A1792" s="5" t="n">
        <v>3</v>
      </c>
      <c r="B1792" s="5" t="n">
        <v>6</v>
      </c>
      <c r="C1792" s="5" t="s">
        <v>97</v>
      </c>
      <c r="D1792" s="5" t="s">
        <v>896</v>
      </c>
      <c r="E1792" s="5" t="n">
        <v>2</v>
      </c>
      <c r="F1792" s="6" t="n">
        <f aca="false">IFERROR(MATCH(A1792&amp;"|"&amp;B1792&amp;"|"&amp;D1792,'All Song Rankings'!$T:$T,0),0)</f>
        <v>268</v>
      </c>
      <c r="G1792" s="6" t="str">
        <f aca="false">IF(F1792=0,"NOT FOUND",INDEX('All Song Rankings'!$A:$A,F1792))</f>
        <v>Zoo</v>
      </c>
      <c r="H1792" s="6" t="str">
        <f aca="false">IF(F1792=0,"NOT FOUND",INDEX('All Song Rankings'!$B:$B,F1792))</f>
        <v>Disney, Shakira</v>
      </c>
      <c r="I1792" s="6" t="str">
        <f aca="false">IF(F1792=0,"NOT FOUND",INDEX('All Song Rankings'!$D:$D,F1792))</f>
        <v>Matt</v>
      </c>
      <c r="J1792" s="7" t="str">
        <f aca="false">IF(F1792=0,"NOT FOUND",IF(C1792=I1792,"SELF-VOTE",IF(COUNTIF($K:$K,K1792)&gt;1,"DUPLICATE","OK")))</f>
        <v>OK</v>
      </c>
      <c r="K1792" s="6" t="str">
        <f aca="false">A1792&amp;"|"&amp;B1792&amp;"|"&amp;C1792&amp;"|"&amp;D1792</f>
        <v>3|6|Stephanie|spotify:track:3vJIaiTIHxHhYafTSPNiH4</v>
      </c>
    </row>
    <row r="1793" customFormat="false" ht="15" hidden="false" customHeight="false" outlineLevel="0" collapsed="false">
      <c r="A1793" s="5" t="n">
        <v>3</v>
      </c>
      <c r="B1793" s="5" t="n">
        <v>6</v>
      </c>
      <c r="C1793" s="5" t="s">
        <v>97</v>
      </c>
      <c r="D1793" s="5" t="s">
        <v>929</v>
      </c>
      <c r="E1793" s="5" t="n">
        <v>1</v>
      </c>
      <c r="F1793" s="6" t="n">
        <f aca="false">IFERROR(MATCH(A1793&amp;"|"&amp;B1793&amp;"|"&amp;D1793,'All Song Rankings'!$T:$T,0),0)</f>
        <v>279</v>
      </c>
      <c r="G1793" s="6" t="str">
        <f aca="false">IF(F1793=0,"NOT FOUND",INDEX('All Song Rankings'!$A:$A,F1793))</f>
        <v>What Time Is It</v>
      </c>
      <c r="H1793" s="6" t="str">
        <f aca="false">IF(F1793=0,"NOT FOUND",INDEX('All Song Rankings'!$B:$B,F1793))</f>
        <v>Zac Efron, Vanessa Hudgens, Lucas Grabeel, Corbin Bleu, Ashley Tisdale, Monique Coleman, Disney</v>
      </c>
      <c r="I1793" s="6" t="str">
        <f aca="false">IF(F1793=0,"NOT FOUND",INDEX('All Song Rankings'!$D:$D,F1793))</f>
        <v>Kelsey</v>
      </c>
      <c r="J1793" s="7" t="str">
        <f aca="false">IF(F1793=0,"NOT FOUND",IF(C1793=I1793,"SELF-VOTE",IF(COUNTIF($K:$K,K1793)&gt;1,"DUPLICATE","OK")))</f>
        <v>OK</v>
      </c>
      <c r="K1793" s="6" t="str">
        <f aca="false">A1793&amp;"|"&amp;B1793&amp;"|"&amp;C1793&amp;"|"&amp;D1793</f>
        <v>3|6|Stephanie|spotify:track:6NqfslFfCCOyBQ0Xw8kN8E</v>
      </c>
    </row>
    <row r="1794" customFormat="false" ht="15" hidden="false" customHeight="false" outlineLevel="0" collapsed="false">
      <c r="A1794" s="5" t="n">
        <v>3</v>
      </c>
      <c r="B1794" s="5" t="n">
        <v>7</v>
      </c>
      <c r="C1794" s="5" t="s">
        <v>375</v>
      </c>
      <c r="D1794" s="5" t="s">
        <v>952</v>
      </c>
      <c r="E1794" s="5" t="n">
        <v>4</v>
      </c>
      <c r="F1794" s="6" t="n">
        <f aca="false">IFERROR(MATCH(A1794&amp;"|"&amp;B1794&amp;"|"&amp;D1794,'All Song Rankings'!$T:$T,0),0)</f>
        <v>287</v>
      </c>
      <c r="G1794" s="6" t="str">
        <f aca="false">IF(F1794=0,"NOT FOUND",INDEX('All Song Rankings'!$A:$A,F1794))</f>
        <v>Chicken Fried</v>
      </c>
      <c r="H1794" s="6" t="str">
        <f aca="false">IF(F1794=0,"NOT FOUND",INDEX('All Song Rankings'!$B:$B,F1794))</f>
        <v>Zac Brown Band</v>
      </c>
      <c r="I1794" s="6" t="str">
        <f aca="false">IF(F1794=0,"NOT FOUND",INDEX('All Song Rankings'!$D:$D,F1794))</f>
        <v>Stephanie</v>
      </c>
      <c r="J1794" s="7" t="str">
        <f aca="false">IF(F1794=0,"NOT FOUND",IF(C1794=I1794,"SELF-VOTE",IF(COUNTIF($K:$K,K1794)&gt;1,"DUPLICATE","OK")))</f>
        <v>OK</v>
      </c>
      <c r="K1794" s="6" t="str">
        <f aca="false">A1794&amp;"|"&amp;B1794&amp;"|"&amp;C1794&amp;"|"&amp;D1794</f>
        <v>3|7|Aubrey|spotify:track:0LQtEJt7x0s6knb6RKdRYc</v>
      </c>
    </row>
    <row r="1795" customFormat="false" ht="15" hidden="false" customHeight="false" outlineLevel="0" collapsed="false">
      <c r="A1795" s="5" t="n">
        <v>3</v>
      </c>
      <c r="B1795" s="5" t="n">
        <v>7</v>
      </c>
      <c r="C1795" s="5" t="s">
        <v>375</v>
      </c>
      <c r="D1795" s="5" t="s">
        <v>943</v>
      </c>
      <c r="E1795" s="5" t="n">
        <v>1</v>
      </c>
      <c r="F1795" s="6" t="n">
        <f aca="false">IFERROR(MATCH(A1795&amp;"|"&amp;B1795&amp;"|"&amp;D1795,'All Song Rankings'!$T:$T,0),0)</f>
        <v>284</v>
      </c>
      <c r="G1795" s="6" t="str">
        <f aca="false">IF(F1795=0,"NOT FOUND",INDEX('All Song Rankings'!$A:$A,F1795))</f>
        <v>Sunday Best</v>
      </c>
      <c r="H1795" s="6" t="str">
        <f aca="false">IF(F1795=0,"NOT FOUND",INDEX('All Song Rankings'!$B:$B,F1795))</f>
        <v>Surfaces</v>
      </c>
      <c r="I1795" s="6" t="str">
        <f aca="false">IF(F1795=0,"NOT FOUND",INDEX('All Song Rankings'!$D:$D,F1795))</f>
        <v>Nicole</v>
      </c>
      <c r="J1795" s="7" t="str">
        <f aca="false">IF(F1795=0,"NOT FOUND",IF(C1795=I1795,"SELF-VOTE",IF(COUNTIF($K:$K,K1795)&gt;1,"DUPLICATE","OK")))</f>
        <v>OK</v>
      </c>
      <c r="K1795" s="6" t="str">
        <f aca="false">A1795&amp;"|"&amp;B1795&amp;"|"&amp;C1795&amp;"|"&amp;D1795</f>
        <v>3|7|Aubrey|spotify:track:1qYKWcEOrh2tM8PlgIm8K1</v>
      </c>
    </row>
    <row r="1796" customFormat="false" ht="15" hidden="false" customHeight="false" outlineLevel="0" collapsed="false">
      <c r="A1796" s="5" t="n">
        <v>3</v>
      </c>
      <c r="B1796" s="5" t="n">
        <v>7</v>
      </c>
      <c r="C1796" s="5" t="s">
        <v>375</v>
      </c>
      <c r="D1796" s="5" t="s">
        <v>958</v>
      </c>
      <c r="E1796" s="5" t="n">
        <v>1</v>
      </c>
      <c r="F1796" s="6" t="n">
        <f aca="false">IFERROR(MATCH(A1796&amp;"|"&amp;B1796&amp;"|"&amp;D1796,'All Song Rankings'!$T:$T,0),0)</f>
        <v>289</v>
      </c>
      <c r="G1796" s="6" t="str">
        <f aca="false">IF(F1796=0,"NOT FOUND",INDEX('All Song Rankings'!$A:$A,F1796))</f>
        <v>Gone Gone Gone</v>
      </c>
      <c r="H1796" s="6" t="str">
        <f aca="false">IF(F1796=0,"NOT FOUND",INDEX('All Song Rankings'!$B:$B,F1796))</f>
        <v>David Guetta, Teddy Swims, Tones And I</v>
      </c>
      <c r="I1796" s="6" t="str">
        <f aca="false">IF(F1796=0,"NOT FOUND",INDEX('All Song Rankings'!$D:$D,F1796))</f>
        <v>Christine</v>
      </c>
      <c r="J1796" s="7" t="str">
        <f aca="false">IF(F1796=0,"NOT FOUND",IF(C1796=I1796,"SELF-VOTE",IF(COUNTIF($K:$K,K1796)&gt;1,"DUPLICATE","OK")))</f>
        <v>OK</v>
      </c>
      <c r="K1796" s="6" t="str">
        <f aca="false">A1796&amp;"|"&amp;B1796&amp;"|"&amp;C1796&amp;"|"&amp;D1796</f>
        <v>3|7|Aubrey|spotify:track:3Dy4xsff7c0fRaTJpA54yd</v>
      </c>
    </row>
    <row r="1797" customFormat="false" ht="15" hidden="false" customHeight="false" outlineLevel="0" collapsed="false">
      <c r="A1797" s="5" t="n">
        <v>3</v>
      </c>
      <c r="B1797" s="5" t="n">
        <v>7</v>
      </c>
      <c r="C1797" s="5" t="s">
        <v>375</v>
      </c>
      <c r="D1797" s="5" t="s">
        <v>962</v>
      </c>
      <c r="E1797" s="5" t="n">
        <v>1</v>
      </c>
      <c r="F1797" s="6" t="n">
        <f aca="false">IFERROR(MATCH(A1797&amp;"|"&amp;B1797&amp;"|"&amp;D1797,'All Song Rankings'!$T:$T,0),0)</f>
        <v>291</v>
      </c>
      <c r="G1797" s="6" t="str">
        <f aca="false">IF(F1797=0,"NOT FOUND",INDEX('All Song Rankings'!$A:$A,F1797))</f>
        <v>Alone</v>
      </c>
      <c r="H1797" s="6" t="str">
        <f aca="false">IF(F1797=0,"NOT FOUND",INDEX('All Song Rankings'!$B:$B,F1797))</f>
        <v>Marshmello</v>
      </c>
      <c r="I1797" s="6" t="str">
        <f aca="false">IF(F1797=0,"NOT FOUND",INDEX('All Song Rankings'!$D:$D,F1797))</f>
        <v>Makenzie</v>
      </c>
      <c r="J1797" s="7" t="str">
        <f aca="false">IF(F1797=0,"NOT FOUND",IF(C1797=I1797,"SELF-VOTE",IF(COUNTIF($K:$K,K1797)&gt;1,"DUPLICATE","OK")))</f>
        <v>OK</v>
      </c>
      <c r="K1797" s="6" t="str">
        <f aca="false">A1797&amp;"|"&amp;B1797&amp;"|"&amp;C1797&amp;"|"&amp;D1797</f>
        <v>3|7|Aubrey|spotify:track:3MEYFivt6bilQ9q9mFWZ4g</v>
      </c>
    </row>
    <row r="1798" customFormat="false" ht="15" hidden="false" customHeight="false" outlineLevel="0" collapsed="false">
      <c r="A1798" s="5" t="n">
        <v>3</v>
      </c>
      <c r="B1798" s="5" t="n">
        <v>7</v>
      </c>
      <c r="C1798" s="5" t="s">
        <v>375</v>
      </c>
      <c r="D1798" s="5" t="s">
        <v>977</v>
      </c>
      <c r="E1798" s="5" t="n">
        <v>1</v>
      </c>
      <c r="F1798" s="6" t="n">
        <f aca="false">IFERROR(MATCH(A1798&amp;"|"&amp;B1798&amp;"|"&amp;D1798,'All Song Rankings'!$T:$T,0),0)</f>
        <v>296</v>
      </c>
      <c r="G1798" s="6" t="str">
        <f aca="false">IF(F1798=0,"NOT FOUND",INDEX('All Song Rankings'!$A:$A,F1798))</f>
        <v>Only</v>
      </c>
      <c r="H1798" s="6" t="str">
        <f aca="false">IF(F1798=0,"NOT FOUND",INDEX('All Song Rankings'!$B:$B,F1798))</f>
        <v>NF, Sasha Alex Sloan</v>
      </c>
      <c r="I1798" s="6" t="str">
        <f aca="false">IF(F1798=0,"NOT FOUND",INDEX('All Song Rankings'!$D:$D,F1798))</f>
        <v>Merita</v>
      </c>
      <c r="J1798" s="7" t="str">
        <f aca="false">IF(F1798=0,"NOT FOUND",IF(C1798=I1798,"SELF-VOTE",IF(COUNTIF($K:$K,K1798)&gt;1,"DUPLICATE","OK")))</f>
        <v>OK</v>
      </c>
      <c r="K1798" s="6" t="str">
        <f aca="false">A1798&amp;"|"&amp;B1798&amp;"|"&amp;C1798&amp;"|"&amp;D1798</f>
        <v>3|7|Aubrey|spotify:track:5lehoWkVPujeOAwb8BO0uK</v>
      </c>
    </row>
    <row r="1799" customFormat="false" ht="15" hidden="false" customHeight="false" outlineLevel="0" collapsed="false">
      <c r="A1799" s="5" t="n">
        <v>3</v>
      </c>
      <c r="B1799" s="5" t="n">
        <v>7</v>
      </c>
      <c r="C1799" s="5" t="s">
        <v>375</v>
      </c>
      <c r="D1799" s="5" t="s">
        <v>968</v>
      </c>
      <c r="E1799" s="5" t="n">
        <v>1</v>
      </c>
      <c r="F1799" s="6" t="n">
        <f aca="false">IFERROR(MATCH(A1799&amp;"|"&amp;B1799&amp;"|"&amp;D1799,'All Song Rankings'!$T:$T,0),0)</f>
        <v>293</v>
      </c>
      <c r="G1799" s="6" t="str">
        <f aca="false">IF(F1799=0,"NOT FOUND",INDEX('All Song Rankings'!$A:$A,F1799))</f>
        <v>Taking Water</v>
      </c>
      <c r="H1799" s="6" t="str">
        <f aca="false">IF(F1799=0,"NOT FOUND",INDEX('All Song Rankings'!$B:$B,F1799))</f>
        <v>Billy Strings</v>
      </c>
      <c r="I1799" s="6" t="str">
        <f aca="false">IF(F1799=0,"NOT FOUND",INDEX('All Song Rankings'!$D:$D,F1799))</f>
        <v>Leah</v>
      </c>
      <c r="J1799" s="7" t="str">
        <f aca="false">IF(F1799=0,"NOT FOUND",IF(C1799=I1799,"SELF-VOTE",IF(COUNTIF($K:$K,K1799)&gt;1,"DUPLICATE","OK")))</f>
        <v>OK</v>
      </c>
      <c r="K1799" s="6" t="str">
        <f aca="false">A1799&amp;"|"&amp;B1799&amp;"|"&amp;C1799&amp;"|"&amp;D1799</f>
        <v>3|7|Aubrey|spotify:track:6CFWS3OAIybkmUQHOZt33S</v>
      </c>
    </row>
    <row r="1800" customFormat="false" ht="15" hidden="false" customHeight="false" outlineLevel="0" collapsed="false">
      <c r="A1800" s="5" t="n">
        <v>3</v>
      </c>
      <c r="B1800" s="5" t="n">
        <v>7</v>
      </c>
      <c r="C1800" s="5" t="s">
        <v>375</v>
      </c>
      <c r="D1800" s="5" t="s">
        <v>971</v>
      </c>
      <c r="E1800" s="5" t="n">
        <v>1</v>
      </c>
      <c r="F1800" s="6" t="n">
        <f aca="false">IFERROR(MATCH(A1800&amp;"|"&amp;B1800&amp;"|"&amp;D1800,'All Song Rankings'!$T:$T,0),0)</f>
        <v>294</v>
      </c>
      <c r="G1800" s="6" t="str">
        <f aca="false">IF(F1800=0,"NOT FOUND",INDEX('All Song Rankings'!$A:$A,F1800))</f>
        <v>Ticks</v>
      </c>
      <c r="H1800" s="6" t="str">
        <f aca="false">IF(F1800=0,"NOT FOUND",INDEX('All Song Rankings'!$B:$B,F1800))</f>
        <v>Brad Paisley</v>
      </c>
      <c r="I1800" s="6" t="str">
        <f aca="false">IF(F1800=0,"NOT FOUND",INDEX('All Song Rankings'!$D:$D,F1800))</f>
        <v>Scott</v>
      </c>
      <c r="J1800" s="7" t="str">
        <f aca="false">IF(F1800=0,"NOT FOUND",IF(C1800=I1800,"SELF-VOTE",IF(COUNTIF($K:$K,K1800)&gt;1,"DUPLICATE","OK")))</f>
        <v>OK</v>
      </c>
      <c r="K1800" s="6" t="str">
        <f aca="false">A1800&amp;"|"&amp;B1800&amp;"|"&amp;C1800&amp;"|"&amp;D1800</f>
        <v>3|7|Aubrey|spotify:track:736KP0gdltJQWPKk0wVL7l</v>
      </c>
    </row>
    <row r="1801" customFormat="false" ht="15" hidden="false" customHeight="false" outlineLevel="0" collapsed="false">
      <c r="A1801" s="5" t="n">
        <v>3</v>
      </c>
      <c r="B1801" s="5" t="n">
        <v>7</v>
      </c>
      <c r="C1801" s="5" t="s">
        <v>719</v>
      </c>
      <c r="D1801" s="5" t="s">
        <v>955</v>
      </c>
      <c r="E1801" s="5" t="n">
        <v>2</v>
      </c>
      <c r="F1801" s="6" t="n">
        <f aca="false">IFERROR(MATCH(A1801&amp;"|"&amp;B1801&amp;"|"&amp;D1801,'All Song Rankings'!$T:$T,0),0)</f>
        <v>288</v>
      </c>
      <c r="G1801" s="6" t="str">
        <f aca="false">IF(F1801=0,"NOT FOUND",INDEX('All Song Rankings'!$A:$A,F1801))</f>
        <v>Kick Drum Heart</v>
      </c>
      <c r="H1801" s="6" t="str">
        <f aca="false">IF(F1801=0,"NOT FOUND",INDEX('All Song Rankings'!$B:$B,F1801))</f>
        <v>The Avett Brothers</v>
      </c>
      <c r="I1801" s="6" t="str">
        <f aca="false">IF(F1801=0,"NOT FOUND",INDEX('All Song Rankings'!$D:$D,F1801))</f>
        <v>Grace</v>
      </c>
      <c r="J1801" s="7" t="str">
        <f aca="false">IF(F1801=0,"NOT FOUND",IF(C1801=I1801,"SELF-VOTE",IF(COUNTIF($K:$K,K1801)&gt;1,"DUPLICATE","OK")))</f>
        <v>OK</v>
      </c>
      <c r="K1801" s="6" t="str">
        <f aca="false">A1801&amp;"|"&amp;B1801&amp;"|"&amp;C1801&amp;"|"&amp;D1801</f>
        <v>3|7|Christine|spotify:track:0KKist1jJYO17nOqtO1sb2</v>
      </c>
    </row>
    <row r="1802" customFormat="false" ht="15" hidden="false" customHeight="false" outlineLevel="0" collapsed="false">
      <c r="A1802" s="5" t="n">
        <v>3</v>
      </c>
      <c r="B1802" s="5" t="n">
        <v>7</v>
      </c>
      <c r="C1802" s="5" t="s">
        <v>719</v>
      </c>
      <c r="D1802" s="5" t="s">
        <v>952</v>
      </c>
      <c r="E1802" s="5" t="n">
        <v>1</v>
      </c>
      <c r="F1802" s="6" t="n">
        <f aca="false">IFERROR(MATCH(A1802&amp;"|"&amp;B1802&amp;"|"&amp;D1802,'All Song Rankings'!$T:$T,0),0)</f>
        <v>287</v>
      </c>
      <c r="G1802" s="6" t="str">
        <f aca="false">IF(F1802=0,"NOT FOUND",INDEX('All Song Rankings'!$A:$A,F1802))</f>
        <v>Chicken Fried</v>
      </c>
      <c r="H1802" s="6" t="str">
        <f aca="false">IF(F1802=0,"NOT FOUND",INDEX('All Song Rankings'!$B:$B,F1802))</f>
        <v>Zac Brown Band</v>
      </c>
      <c r="I1802" s="6" t="str">
        <f aca="false">IF(F1802=0,"NOT FOUND",INDEX('All Song Rankings'!$D:$D,F1802))</f>
        <v>Stephanie</v>
      </c>
      <c r="J1802" s="7" t="str">
        <f aca="false">IF(F1802=0,"NOT FOUND",IF(C1802=I1802,"SELF-VOTE",IF(COUNTIF($K:$K,K1802)&gt;1,"DUPLICATE","OK")))</f>
        <v>OK</v>
      </c>
      <c r="K1802" s="6" t="str">
        <f aca="false">A1802&amp;"|"&amp;B1802&amp;"|"&amp;C1802&amp;"|"&amp;D1802</f>
        <v>3|7|Christine|spotify:track:0LQtEJt7x0s6knb6RKdRYc</v>
      </c>
    </row>
    <row r="1803" customFormat="false" ht="15" hidden="false" customHeight="false" outlineLevel="0" collapsed="false">
      <c r="A1803" s="5" t="n">
        <v>3</v>
      </c>
      <c r="B1803" s="5" t="n">
        <v>7</v>
      </c>
      <c r="C1803" s="5" t="s">
        <v>719</v>
      </c>
      <c r="D1803" s="5" t="s">
        <v>946</v>
      </c>
      <c r="E1803" s="5" t="n">
        <v>2</v>
      </c>
      <c r="F1803" s="6" t="n">
        <f aca="false">IFERROR(MATCH(A1803&amp;"|"&amp;B1803&amp;"|"&amp;D1803,'All Song Rankings'!$T:$T,0),0)</f>
        <v>285</v>
      </c>
      <c r="G1803" s="6" t="str">
        <f aca="false">IF(F1803=0,"NOT FOUND",INDEX('All Song Rankings'!$A:$A,F1803))</f>
        <v>Hard Place - Single Version</v>
      </c>
      <c r="H1803" s="6" t="str">
        <f aca="false">IF(F1803=0,"NOT FOUND",INDEX('All Song Rankings'!$B:$B,F1803))</f>
        <v>H.E.R.</v>
      </c>
      <c r="I1803" s="6" t="str">
        <f aca="false">IF(F1803=0,"NOT FOUND",INDEX('All Song Rankings'!$D:$D,F1803))</f>
        <v>Logan</v>
      </c>
      <c r="J1803" s="7" t="str">
        <f aca="false">IF(F1803=0,"NOT FOUND",IF(C1803=I1803,"SELF-VOTE",IF(COUNTIF($K:$K,K1803)&gt;1,"DUPLICATE","OK")))</f>
        <v>OK</v>
      </c>
      <c r="K1803" s="6" t="str">
        <f aca="false">A1803&amp;"|"&amp;B1803&amp;"|"&amp;C1803&amp;"|"&amp;D1803</f>
        <v>3|7|Christine|spotify:track:1sMJJQEvUXyxILW5sv3A2P</v>
      </c>
    </row>
    <row r="1804" customFormat="false" ht="15" hidden="false" customHeight="false" outlineLevel="0" collapsed="false">
      <c r="A1804" s="5" t="n">
        <v>3</v>
      </c>
      <c r="B1804" s="5" t="n">
        <v>7</v>
      </c>
      <c r="C1804" s="5" t="s">
        <v>719</v>
      </c>
      <c r="D1804" s="5" t="s">
        <v>949</v>
      </c>
      <c r="E1804" s="5" t="n">
        <v>1</v>
      </c>
      <c r="F1804" s="6" t="n">
        <f aca="false">IFERROR(MATCH(A1804&amp;"|"&amp;B1804&amp;"|"&amp;D1804,'All Song Rankings'!$T:$T,0),0)</f>
        <v>286</v>
      </c>
      <c r="G1804" s="6" t="str">
        <f aca="false">IF(F1804=0,"NOT FOUND",INDEX('All Song Rankings'!$A:$A,F1804))</f>
        <v>Home</v>
      </c>
      <c r="H1804" s="6" t="str">
        <f aca="false">IF(F1804=0,"NOT FOUND",INDEX('All Song Rankings'!$B:$B,F1804))</f>
        <v>Edward Sharpe &amp; The Magnetic Zeros</v>
      </c>
      <c r="I1804" s="6" t="str">
        <f aca="false">IF(F1804=0,"NOT FOUND",INDEX('All Song Rankings'!$D:$D,F1804))</f>
        <v>Kelsey</v>
      </c>
      <c r="J1804" s="7" t="str">
        <f aca="false">IF(F1804=0,"NOT FOUND",IF(C1804=I1804,"SELF-VOTE",IF(COUNTIF($K:$K,K1804)&gt;1,"DUPLICATE","OK")))</f>
        <v>OK</v>
      </c>
      <c r="K1804" s="6" t="str">
        <f aca="false">A1804&amp;"|"&amp;B1804&amp;"|"&amp;C1804&amp;"|"&amp;D1804</f>
        <v>3|7|Christine|spotify:track:2XJi8jbLnDBZ60gTPpdbrg</v>
      </c>
    </row>
    <row r="1805" customFormat="false" ht="15" hidden="false" customHeight="false" outlineLevel="0" collapsed="false">
      <c r="A1805" s="5" t="n">
        <v>3</v>
      </c>
      <c r="B1805" s="5" t="n">
        <v>7</v>
      </c>
      <c r="C1805" s="5" t="s">
        <v>719</v>
      </c>
      <c r="D1805" s="5" t="s">
        <v>937</v>
      </c>
      <c r="E1805" s="5" t="n">
        <v>1</v>
      </c>
      <c r="F1805" s="6" t="n">
        <f aca="false">IFERROR(MATCH(A1805&amp;"|"&amp;B1805&amp;"|"&amp;D1805,'All Song Rankings'!$T:$T,0),0)</f>
        <v>282</v>
      </c>
      <c r="G1805" s="6" t="str">
        <f aca="false">IF(F1805=0,"NOT FOUND",INDEX('All Song Rankings'!$A:$A,F1805))</f>
        <v>My Way - 2008 Remastered</v>
      </c>
      <c r="H1805" s="6" t="str">
        <f aca="false">IF(F1805=0,"NOT FOUND",INDEX('All Song Rankings'!$B:$B,F1805))</f>
        <v>Frank Sinatra</v>
      </c>
      <c r="I1805" s="6" t="str">
        <f aca="false">IF(F1805=0,"NOT FOUND",INDEX('All Song Rankings'!$D:$D,F1805))</f>
        <v>Aubrey</v>
      </c>
      <c r="J1805" s="7" t="str">
        <f aca="false">IF(F1805=0,"NOT FOUND",IF(C1805=I1805,"SELF-VOTE",IF(COUNTIF($K:$K,K1805)&gt;1,"DUPLICATE","OK")))</f>
        <v>OK</v>
      </c>
      <c r="K1805" s="6" t="str">
        <f aca="false">A1805&amp;"|"&amp;B1805&amp;"|"&amp;C1805&amp;"|"&amp;D1805</f>
        <v>3|7|Christine|spotify:track:2YkIDPL5lGhRhomCq4S2RO</v>
      </c>
    </row>
    <row r="1806" customFormat="false" ht="15" hidden="false" customHeight="false" outlineLevel="0" collapsed="false">
      <c r="A1806" s="5" t="n">
        <v>3</v>
      </c>
      <c r="B1806" s="5" t="n">
        <v>7</v>
      </c>
      <c r="C1806" s="5" t="s">
        <v>719</v>
      </c>
      <c r="D1806" s="5" t="s">
        <v>940</v>
      </c>
      <c r="E1806" s="5" t="n">
        <v>1</v>
      </c>
      <c r="F1806" s="6" t="n">
        <f aca="false">IFERROR(MATCH(A1806&amp;"|"&amp;B1806&amp;"|"&amp;D1806,'All Song Rankings'!$T:$T,0),0)</f>
        <v>283</v>
      </c>
      <c r="G1806" s="6" t="str">
        <f aca="false">IF(F1806=0,"NOT FOUND",INDEX('All Song Rankings'!$A:$A,F1806))</f>
        <v>Everything's Magic</v>
      </c>
      <c r="H1806" s="6" t="str">
        <f aca="false">IF(F1806=0,"NOT FOUND",INDEX('All Song Rankings'!$B:$B,F1806))</f>
        <v>Angels &amp; Airwaves</v>
      </c>
      <c r="I1806" s="6" t="str">
        <f aca="false">IF(F1806=0,"NOT FOUND",INDEX('All Song Rankings'!$D:$D,F1806))</f>
        <v>Lisa</v>
      </c>
      <c r="J1806" s="7" t="str">
        <f aca="false">IF(F1806=0,"NOT FOUND",IF(C1806=I1806,"SELF-VOTE",IF(COUNTIF($K:$K,K1806)&gt;1,"DUPLICATE","OK")))</f>
        <v>OK</v>
      </c>
      <c r="K1806" s="6" t="str">
        <f aca="false">A1806&amp;"|"&amp;B1806&amp;"|"&amp;C1806&amp;"|"&amp;D1806</f>
        <v>3|7|Christine|spotify:track:3I7IGPFe0DoNXZI9JDYa5P</v>
      </c>
    </row>
    <row r="1807" customFormat="false" ht="15" hidden="false" customHeight="false" outlineLevel="0" collapsed="false">
      <c r="A1807" s="5" t="n">
        <v>3</v>
      </c>
      <c r="B1807" s="5" t="n">
        <v>7</v>
      </c>
      <c r="C1807" s="5" t="s">
        <v>719</v>
      </c>
      <c r="D1807" s="5" t="s">
        <v>974</v>
      </c>
      <c r="E1807" s="5" t="n">
        <v>1</v>
      </c>
      <c r="F1807" s="6" t="n">
        <f aca="false">IFERROR(MATCH(A1807&amp;"|"&amp;B1807&amp;"|"&amp;D1807,'All Song Rankings'!$T:$T,0),0)</f>
        <v>295</v>
      </c>
      <c r="G1807" s="6" t="str">
        <f aca="false">IF(F1807=0,"NOT FOUND",INDEX('All Song Rankings'!$A:$A,F1807))</f>
        <v>Bridges</v>
      </c>
      <c r="H1807" s="6" t="str">
        <f aca="false">IF(F1807=0,"NOT FOUND",INDEX('All Song Rankings'!$B:$B,F1807))</f>
        <v>Rise Against</v>
      </c>
      <c r="I1807" s="6" t="str">
        <f aca="false">IF(F1807=0,"NOT FOUND",INDEX('All Song Rankings'!$D:$D,F1807))</f>
        <v>Kristen</v>
      </c>
      <c r="J1807" s="7" t="str">
        <f aca="false">IF(F1807=0,"NOT FOUND",IF(C1807=I1807,"SELF-VOTE",IF(COUNTIF($K:$K,K1807)&gt;1,"DUPLICATE","OK")))</f>
        <v>OK</v>
      </c>
      <c r="K1807" s="6" t="str">
        <f aca="false">A1807&amp;"|"&amp;B1807&amp;"|"&amp;C1807&amp;"|"&amp;D1807</f>
        <v>3|7|Christine|spotify:track:4NY0rkhWqRGCEnnJdYvZO1</v>
      </c>
    </row>
    <row r="1808" customFormat="false" ht="15" hidden="false" customHeight="false" outlineLevel="0" collapsed="false">
      <c r="A1808" s="5" t="n">
        <v>3</v>
      </c>
      <c r="B1808" s="5" t="n">
        <v>7</v>
      </c>
      <c r="C1808" s="5" t="s">
        <v>719</v>
      </c>
      <c r="D1808" s="5" t="s">
        <v>960</v>
      </c>
      <c r="E1808" s="5" t="n">
        <v>1</v>
      </c>
      <c r="F1808" s="6" t="n">
        <f aca="false">IFERROR(MATCH(A1808&amp;"|"&amp;B1808&amp;"|"&amp;D1808,'All Song Rankings'!$T:$T,0),0)</f>
        <v>290</v>
      </c>
      <c r="G1808" s="6" t="str">
        <f aca="false">IF(F1808=0,"NOT FOUND",INDEX('All Song Rankings'!$A:$A,F1808))</f>
        <v>Lose Yourself</v>
      </c>
      <c r="H1808" s="6" t="str">
        <f aca="false">IF(F1808=0,"NOT FOUND",INDEX('All Song Rankings'!$B:$B,F1808))</f>
        <v>Eminem</v>
      </c>
      <c r="I1808" s="6" t="str">
        <f aca="false">IF(F1808=0,"NOT FOUND",INDEX('All Song Rankings'!$D:$D,F1808))</f>
        <v>Colleen</v>
      </c>
      <c r="J1808" s="7" t="str">
        <f aca="false">IF(F1808=0,"NOT FOUND",IF(C1808=I1808,"SELF-VOTE",IF(COUNTIF($K:$K,K1808)&gt;1,"DUPLICATE","OK")))</f>
        <v>OK</v>
      </c>
      <c r="K1808" s="6" t="str">
        <f aca="false">A1808&amp;"|"&amp;B1808&amp;"|"&amp;C1808&amp;"|"&amp;D1808</f>
        <v>3|7|Christine|spotify:track:5Z01UMMf7V1o0MzF86s6WJ</v>
      </c>
    </row>
    <row r="1809" customFormat="false" ht="15" hidden="false" customHeight="false" outlineLevel="0" collapsed="false">
      <c r="A1809" s="5" t="n">
        <v>3</v>
      </c>
      <c r="B1809" s="5" t="n">
        <v>7</v>
      </c>
      <c r="C1809" s="5" t="s">
        <v>637</v>
      </c>
      <c r="D1809" s="5" t="s">
        <v>952</v>
      </c>
      <c r="E1809" s="5" t="n">
        <v>1</v>
      </c>
      <c r="F1809" s="6" t="n">
        <f aca="false">IFERROR(MATCH(A1809&amp;"|"&amp;B1809&amp;"|"&amp;D1809,'All Song Rankings'!$T:$T,0),0)</f>
        <v>287</v>
      </c>
      <c r="G1809" s="6" t="str">
        <f aca="false">IF(F1809=0,"NOT FOUND",INDEX('All Song Rankings'!$A:$A,F1809))</f>
        <v>Chicken Fried</v>
      </c>
      <c r="H1809" s="6" t="str">
        <f aca="false">IF(F1809=0,"NOT FOUND",INDEX('All Song Rankings'!$B:$B,F1809))</f>
        <v>Zac Brown Band</v>
      </c>
      <c r="I1809" s="6" t="str">
        <f aca="false">IF(F1809=0,"NOT FOUND",INDEX('All Song Rankings'!$D:$D,F1809))</f>
        <v>Stephanie</v>
      </c>
      <c r="J1809" s="7" t="str">
        <f aca="false">IF(F1809=0,"NOT FOUND",IF(C1809=I1809,"SELF-VOTE",IF(COUNTIF($K:$K,K1809)&gt;1,"DUPLICATE","OK")))</f>
        <v>OK</v>
      </c>
      <c r="K1809" s="6" t="str">
        <f aca="false">A1809&amp;"|"&amp;B1809&amp;"|"&amp;C1809&amp;"|"&amp;D1809</f>
        <v>3|7|Colleen|spotify:track:0LQtEJt7x0s6knb6RKdRYc</v>
      </c>
    </row>
    <row r="1810" customFormat="false" ht="15" hidden="false" customHeight="false" outlineLevel="0" collapsed="false">
      <c r="A1810" s="5" t="n">
        <v>3</v>
      </c>
      <c r="B1810" s="5" t="n">
        <v>7</v>
      </c>
      <c r="C1810" s="5" t="s">
        <v>637</v>
      </c>
      <c r="D1810" s="5" t="s">
        <v>943</v>
      </c>
      <c r="E1810" s="5" t="n">
        <v>2</v>
      </c>
      <c r="F1810" s="6" t="n">
        <f aca="false">IFERROR(MATCH(A1810&amp;"|"&amp;B1810&amp;"|"&amp;D1810,'All Song Rankings'!$T:$T,0),0)</f>
        <v>284</v>
      </c>
      <c r="G1810" s="6" t="str">
        <f aca="false">IF(F1810=0,"NOT FOUND",INDEX('All Song Rankings'!$A:$A,F1810))</f>
        <v>Sunday Best</v>
      </c>
      <c r="H1810" s="6" t="str">
        <f aca="false">IF(F1810=0,"NOT FOUND",INDEX('All Song Rankings'!$B:$B,F1810))</f>
        <v>Surfaces</v>
      </c>
      <c r="I1810" s="6" t="str">
        <f aca="false">IF(F1810=0,"NOT FOUND",INDEX('All Song Rankings'!$D:$D,F1810))</f>
        <v>Nicole</v>
      </c>
      <c r="J1810" s="7" t="str">
        <f aca="false">IF(F1810=0,"NOT FOUND",IF(C1810=I1810,"SELF-VOTE",IF(COUNTIF($K:$K,K1810)&gt;1,"DUPLICATE","OK")))</f>
        <v>OK</v>
      </c>
      <c r="K1810" s="6" t="str">
        <f aca="false">A1810&amp;"|"&amp;B1810&amp;"|"&amp;C1810&amp;"|"&amp;D1810</f>
        <v>3|7|Colleen|spotify:track:1qYKWcEOrh2tM8PlgIm8K1</v>
      </c>
    </row>
    <row r="1811" customFormat="false" ht="15" hidden="false" customHeight="false" outlineLevel="0" collapsed="false">
      <c r="A1811" s="5" t="n">
        <v>3</v>
      </c>
      <c r="B1811" s="5" t="n">
        <v>7</v>
      </c>
      <c r="C1811" s="5" t="s">
        <v>637</v>
      </c>
      <c r="D1811" s="5" t="s">
        <v>949</v>
      </c>
      <c r="E1811" s="5" t="n">
        <v>1</v>
      </c>
      <c r="F1811" s="6" t="n">
        <f aca="false">IFERROR(MATCH(A1811&amp;"|"&amp;B1811&amp;"|"&amp;D1811,'All Song Rankings'!$T:$T,0),0)</f>
        <v>286</v>
      </c>
      <c r="G1811" s="6" t="str">
        <f aca="false">IF(F1811=0,"NOT FOUND",INDEX('All Song Rankings'!$A:$A,F1811))</f>
        <v>Home</v>
      </c>
      <c r="H1811" s="6" t="str">
        <f aca="false">IF(F1811=0,"NOT FOUND",INDEX('All Song Rankings'!$B:$B,F1811))</f>
        <v>Edward Sharpe &amp; The Magnetic Zeros</v>
      </c>
      <c r="I1811" s="6" t="str">
        <f aca="false">IF(F1811=0,"NOT FOUND",INDEX('All Song Rankings'!$D:$D,F1811))</f>
        <v>Kelsey</v>
      </c>
      <c r="J1811" s="7" t="str">
        <f aca="false">IF(F1811=0,"NOT FOUND",IF(C1811=I1811,"SELF-VOTE",IF(COUNTIF($K:$K,K1811)&gt;1,"DUPLICATE","OK")))</f>
        <v>OK</v>
      </c>
      <c r="K1811" s="6" t="str">
        <f aca="false">A1811&amp;"|"&amp;B1811&amp;"|"&amp;C1811&amp;"|"&amp;D1811</f>
        <v>3|7|Colleen|spotify:track:2XJi8jbLnDBZ60gTPpdbrg</v>
      </c>
    </row>
    <row r="1812" customFormat="false" ht="15" hidden="false" customHeight="false" outlineLevel="0" collapsed="false">
      <c r="A1812" s="5" t="n">
        <v>3</v>
      </c>
      <c r="B1812" s="5" t="n">
        <v>7</v>
      </c>
      <c r="C1812" s="5" t="s">
        <v>637</v>
      </c>
      <c r="D1812" s="5" t="s">
        <v>937</v>
      </c>
      <c r="E1812" s="5" t="n">
        <v>2</v>
      </c>
      <c r="F1812" s="6" t="n">
        <f aca="false">IFERROR(MATCH(A1812&amp;"|"&amp;B1812&amp;"|"&amp;D1812,'All Song Rankings'!$T:$T,0),0)</f>
        <v>282</v>
      </c>
      <c r="G1812" s="6" t="str">
        <f aca="false">IF(F1812=0,"NOT FOUND",INDEX('All Song Rankings'!$A:$A,F1812))</f>
        <v>My Way - 2008 Remastered</v>
      </c>
      <c r="H1812" s="6" t="str">
        <f aca="false">IF(F1812=0,"NOT FOUND",INDEX('All Song Rankings'!$B:$B,F1812))</f>
        <v>Frank Sinatra</v>
      </c>
      <c r="I1812" s="6" t="str">
        <f aca="false">IF(F1812=0,"NOT FOUND",INDEX('All Song Rankings'!$D:$D,F1812))</f>
        <v>Aubrey</v>
      </c>
      <c r="J1812" s="7" t="str">
        <f aca="false">IF(F1812=0,"NOT FOUND",IF(C1812=I1812,"SELF-VOTE",IF(COUNTIF($K:$K,K1812)&gt;1,"DUPLICATE","OK")))</f>
        <v>OK</v>
      </c>
      <c r="K1812" s="6" t="str">
        <f aca="false">A1812&amp;"|"&amp;B1812&amp;"|"&amp;C1812&amp;"|"&amp;D1812</f>
        <v>3|7|Colleen|spotify:track:2YkIDPL5lGhRhomCq4S2RO</v>
      </c>
    </row>
    <row r="1813" customFormat="false" ht="15" hidden="false" customHeight="false" outlineLevel="0" collapsed="false">
      <c r="A1813" s="5" t="n">
        <v>3</v>
      </c>
      <c r="B1813" s="5" t="n">
        <v>7</v>
      </c>
      <c r="C1813" s="5" t="s">
        <v>637</v>
      </c>
      <c r="D1813" s="5" t="s">
        <v>958</v>
      </c>
      <c r="E1813" s="5" t="n">
        <v>1</v>
      </c>
      <c r="F1813" s="6" t="n">
        <f aca="false">IFERROR(MATCH(A1813&amp;"|"&amp;B1813&amp;"|"&amp;D1813,'All Song Rankings'!$T:$T,0),0)</f>
        <v>289</v>
      </c>
      <c r="G1813" s="6" t="str">
        <f aca="false">IF(F1813=0,"NOT FOUND",INDEX('All Song Rankings'!$A:$A,F1813))</f>
        <v>Gone Gone Gone</v>
      </c>
      <c r="H1813" s="6" t="str">
        <f aca="false">IF(F1813=0,"NOT FOUND",INDEX('All Song Rankings'!$B:$B,F1813))</f>
        <v>David Guetta, Teddy Swims, Tones And I</v>
      </c>
      <c r="I1813" s="6" t="str">
        <f aca="false">IF(F1813=0,"NOT FOUND",INDEX('All Song Rankings'!$D:$D,F1813))</f>
        <v>Christine</v>
      </c>
      <c r="J1813" s="7" t="str">
        <f aca="false">IF(F1813=0,"NOT FOUND",IF(C1813=I1813,"SELF-VOTE",IF(COUNTIF($K:$K,K1813)&gt;1,"DUPLICATE","OK")))</f>
        <v>OK</v>
      </c>
      <c r="K1813" s="6" t="str">
        <f aca="false">A1813&amp;"|"&amp;B1813&amp;"|"&amp;C1813&amp;"|"&amp;D1813</f>
        <v>3|7|Colleen|spotify:track:3Dy4xsff7c0fRaTJpA54yd</v>
      </c>
    </row>
    <row r="1814" customFormat="false" ht="15" hidden="false" customHeight="false" outlineLevel="0" collapsed="false">
      <c r="A1814" s="5" t="n">
        <v>3</v>
      </c>
      <c r="B1814" s="5" t="n">
        <v>7</v>
      </c>
      <c r="C1814" s="5" t="s">
        <v>637</v>
      </c>
      <c r="D1814" s="5" t="s">
        <v>940</v>
      </c>
      <c r="E1814" s="5" t="n">
        <v>1</v>
      </c>
      <c r="F1814" s="6" t="n">
        <f aca="false">IFERROR(MATCH(A1814&amp;"|"&amp;B1814&amp;"|"&amp;D1814,'All Song Rankings'!$T:$T,0),0)</f>
        <v>283</v>
      </c>
      <c r="G1814" s="6" t="str">
        <f aca="false">IF(F1814=0,"NOT FOUND",INDEX('All Song Rankings'!$A:$A,F1814))</f>
        <v>Everything's Magic</v>
      </c>
      <c r="H1814" s="6" t="str">
        <f aca="false">IF(F1814=0,"NOT FOUND",INDEX('All Song Rankings'!$B:$B,F1814))</f>
        <v>Angels &amp; Airwaves</v>
      </c>
      <c r="I1814" s="6" t="str">
        <f aca="false">IF(F1814=0,"NOT FOUND",INDEX('All Song Rankings'!$D:$D,F1814))</f>
        <v>Lisa</v>
      </c>
      <c r="J1814" s="7" t="str">
        <f aca="false">IF(F1814=0,"NOT FOUND",IF(C1814=I1814,"SELF-VOTE",IF(COUNTIF($K:$K,K1814)&gt;1,"DUPLICATE","OK")))</f>
        <v>OK</v>
      </c>
      <c r="K1814" s="6" t="str">
        <f aca="false">A1814&amp;"|"&amp;B1814&amp;"|"&amp;C1814&amp;"|"&amp;D1814</f>
        <v>3|7|Colleen|spotify:track:3I7IGPFe0DoNXZI9JDYa5P</v>
      </c>
    </row>
    <row r="1815" customFormat="false" ht="15" hidden="false" customHeight="false" outlineLevel="0" collapsed="false">
      <c r="A1815" s="5" t="n">
        <v>3</v>
      </c>
      <c r="B1815" s="5" t="n">
        <v>7</v>
      </c>
      <c r="C1815" s="5" t="s">
        <v>637</v>
      </c>
      <c r="D1815" s="5" t="s">
        <v>962</v>
      </c>
      <c r="E1815" s="5" t="n">
        <v>2</v>
      </c>
      <c r="F1815" s="6" t="n">
        <f aca="false">IFERROR(MATCH(A1815&amp;"|"&amp;B1815&amp;"|"&amp;D1815,'All Song Rankings'!$T:$T,0),0)</f>
        <v>291</v>
      </c>
      <c r="G1815" s="6" t="str">
        <f aca="false">IF(F1815=0,"NOT FOUND",INDEX('All Song Rankings'!$A:$A,F1815))</f>
        <v>Alone</v>
      </c>
      <c r="H1815" s="6" t="str">
        <f aca="false">IF(F1815=0,"NOT FOUND",INDEX('All Song Rankings'!$B:$B,F1815))</f>
        <v>Marshmello</v>
      </c>
      <c r="I1815" s="6" t="str">
        <f aca="false">IF(F1815=0,"NOT FOUND",INDEX('All Song Rankings'!$D:$D,F1815))</f>
        <v>Makenzie</v>
      </c>
      <c r="J1815" s="7" t="str">
        <f aca="false">IF(F1815=0,"NOT FOUND",IF(C1815=I1815,"SELF-VOTE",IF(COUNTIF($K:$K,K1815)&gt;1,"DUPLICATE","OK")))</f>
        <v>OK</v>
      </c>
      <c r="K1815" s="6" t="str">
        <f aca="false">A1815&amp;"|"&amp;B1815&amp;"|"&amp;C1815&amp;"|"&amp;D1815</f>
        <v>3|7|Colleen|spotify:track:3MEYFivt6bilQ9q9mFWZ4g</v>
      </c>
    </row>
    <row r="1816" customFormat="false" ht="15" hidden="false" customHeight="false" outlineLevel="0" collapsed="false">
      <c r="A1816" s="5" t="n">
        <v>3</v>
      </c>
      <c r="B1816" s="5" t="n">
        <v>7</v>
      </c>
      <c r="C1816" s="5" t="s">
        <v>382</v>
      </c>
      <c r="D1816" s="5" t="s">
        <v>965</v>
      </c>
      <c r="E1816" s="5" t="n">
        <v>1</v>
      </c>
      <c r="F1816" s="6" t="n">
        <f aca="false">IFERROR(MATCH(A1816&amp;"|"&amp;B1816&amp;"|"&amp;D1816,'All Song Rankings'!$T:$T,0),0)</f>
        <v>292</v>
      </c>
      <c r="G1816" s="6" t="str">
        <f aca="false">IF(F1816=0,"NOT FOUND",INDEX('All Song Rankings'!$A:$A,F1816))</f>
        <v>Deciduous - Live</v>
      </c>
      <c r="H1816" s="6" t="str">
        <f aca="false">IF(F1816=0,"NOT FOUND",INDEX('All Song Rankings'!$B:$B,F1816))</f>
        <v>Viet Cuong, 2023 FMEA All-State 11/12 Symphonic Band, Emily Threinen</v>
      </c>
      <c r="I1816" s="6" t="str">
        <f aca="false">IF(F1816=0,"NOT FOUND",INDEX('All Song Rankings'!$D:$D,F1816))</f>
        <v>Matt</v>
      </c>
      <c r="J1816" s="7" t="str">
        <f aca="false">IF(F1816=0,"NOT FOUND",IF(C1816=I1816,"SELF-VOTE",IF(COUNTIF($K:$K,K1816)&gt;1,"DUPLICATE","OK")))</f>
        <v>OK</v>
      </c>
      <c r="K1816" s="6" t="str">
        <f aca="false">A1816&amp;"|"&amp;B1816&amp;"|"&amp;C1816&amp;"|"&amp;D1816</f>
        <v>3|7|Grace|spotify:track:0FdK0iPOcDDgxVr3qJBAke</v>
      </c>
    </row>
    <row r="1817" customFormat="false" ht="15" hidden="false" customHeight="false" outlineLevel="0" collapsed="false">
      <c r="A1817" s="5" t="n">
        <v>3</v>
      </c>
      <c r="B1817" s="5" t="n">
        <v>7</v>
      </c>
      <c r="C1817" s="5" t="s">
        <v>382</v>
      </c>
      <c r="D1817" s="5" t="s">
        <v>943</v>
      </c>
      <c r="E1817" s="5" t="n">
        <v>2</v>
      </c>
      <c r="F1817" s="6" t="n">
        <f aca="false">IFERROR(MATCH(A1817&amp;"|"&amp;B1817&amp;"|"&amp;D1817,'All Song Rankings'!$T:$T,0),0)</f>
        <v>284</v>
      </c>
      <c r="G1817" s="6" t="str">
        <f aca="false">IF(F1817=0,"NOT FOUND",INDEX('All Song Rankings'!$A:$A,F1817))</f>
        <v>Sunday Best</v>
      </c>
      <c r="H1817" s="6" t="str">
        <f aca="false">IF(F1817=0,"NOT FOUND",INDEX('All Song Rankings'!$B:$B,F1817))</f>
        <v>Surfaces</v>
      </c>
      <c r="I1817" s="6" t="str">
        <f aca="false">IF(F1817=0,"NOT FOUND",INDEX('All Song Rankings'!$D:$D,F1817))</f>
        <v>Nicole</v>
      </c>
      <c r="J1817" s="7" t="str">
        <f aca="false">IF(F1817=0,"NOT FOUND",IF(C1817=I1817,"SELF-VOTE",IF(COUNTIF($K:$K,K1817)&gt;1,"DUPLICATE","OK")))</f>
        <v>OK</v>
      </c>
      <c r="K1817" s="6" t="str">
        <f aca="false">A1817&amp;"|"&amp;B1817&amp;"|"&amp;C1817&amp;"|"&amp;D1817</f>
        <v>3|7|Grace|spotify:track:1qYKWcEOrh2tM8PlgIm8K1</v>
      </c>
    </row>
    <row r="1818" customFormat="false" ht="15" hidden="false" customHeight="false" outlineLevel="0" collapsed="false">
      <c r="A1818" s="5" t="n">
        <v>3</v>
      </c>
      <c r="B1818" s="5" t="n">
        <v>7</v>
      </c>
      <c r="C1818" s="5" t="s">
        <v>382</v>
      </c>
      <c r="D1818" s="5" t="s">
        <v>949</v>
      </c>
      <c r="E1818" s="5" t="n">
        <v>1</v>
      </c>
      <c r="F1818" s="6" t="n">
        <f aca="false">IFERROR(MATCH(A1818&amp;"|"&amp;B1818&amp;"|"&amp;D1818,'All Song Rankings'!$T:$T,0),0)</f>
        <v>286</v>
      </c>
      <c r="G1818" s="6" t="str">
        <f aca="false">IF(F1818=0,"NOT FOUND",INDEX('All Song Rankings'!$A:$A,F1818))</f>
        <v>Home</v>
      </c>
      <c r="H1818" s="6" t="str">
        <f aca="false">IF(F1818=0,"NOT FOUND",INDEX('All Song Rankings'!$B:$B,F1818))</f>
        <v>Edward Sharpe &amp; The Magnetic Zeros</v>
      </c>
      <c r="I1818" s="6" t="str">
        <f aca="false">IF(F1818=0,"NOT FOUND",INDEX('All Song Rankings'!$D:$D,F1818))</f>
        <v>Kelsey</v>
      </c>
      <c r="J1818" s="7" t="str">
        <f aca="false">IF(F1818=0,"NOT FOUND",IF(C1818=I1818,"SELF-VOTE",IF(COUNTIF($K:$K,K1818)&gt;1,"DUPLICATE","OK")))</f>
        <v>OK</v>
      </c>
      <c r="K1818" s="6" t="str">
        <f aca="false">A1818&amp;"|"&amp;B1818&amp;"|"&amp;C1818&amp;"|"&amp;D1818</f>
        <v>3|7|Grace|spotify:track:2XJi8jbLnDBZ60gTPpdbrg</v>
      </c>
    </row>
    <row r="1819" customFormat="false" ht="15" hidden="false" customHeight="false" outlineLevel="0" collapsed="false">
      <c r="A1819" s="5" t="n">
        <v>3</v>
      </c>
      <c r="B1819" s="5" t="n">
        <v>7</v>
      </c>
      <c r="C1819" s="5" t="s">
        <v>382</v>
      </c>
      <c r="D1819" s="5" t="s">
        <v>937</v>
      </c>
      <c r="E1819" s="5" t="n">
        <v>2</v>
      </c>
      <c r="F1819" s="6" t="n">
        <f aca="false">IFERROR(MATCH(A1819&amp;"|"&amp;B1819&amp;"|"&amp;D1819,'All Song Rankings'!$T:$T,0),0)</f>
        <v>282</v>
      </c>
      <c r="G1819" s="6" t="str">
        <f aca="false">IF(F1819=0,"NOT FOUND",INDEX('All Song Rankings'!$A:$A,F1819))</f>
        <v>My Way - 2008 Remastered</v>
      </c>
      <c r="H1819" s="6" t="str">
        <f aca="false">IF(F1819=0,"NOT FOUND",INDEX('All Song Rankings'!$B:$B,F1819))</f>
        <v>Frank Sinatra</v>
      </c>
      <c r="I1819" s="6" t="str">
        <f aca="false">IF(F1819=0,"NOT FOUND",INDEX('All Song Rankings'!$D:$D,F1819))</f>
        <v>Aubrey</v>
      </c>
      <c r="J1819" s="7" t="str">
        <f aca="false">IF(F1819=0,"NOT FOUND",IF(C1819=I1819,"SELF-VOTE",IF(COUNTIF($K:$K,K1819)&gt;1,"DUPLICATE","OK")))</f>
        <v>OK</v>
      </c>
      <c r="K1819" s="6" t="str">
        <f aca="false">A1819&amp;"|"&amp;B1819&amp;"|"&amp;C1819&amp;"|"&amp;D1819</f>
        <v>3|7|Grace|spotify:track:2YkIDPL5lGhRhomCq4S2RO</v>
      </c>
    </row>
    <row r="1820" customFormat="false" ht="15" hidden="false" customHeight="false" outlineLevel="0" collapsed="false">
      <c r="A1820" s="5" t="n">
        <v>3</v>
      </c>
      <c r="B1820" s="5" t="n">
        <v>7</v>
      </c>
      <c r="C1820" s="5" t="s">
        <v>382</v>
      </c>
      <c r="D1820" s="5" t="s">
        <v>958</v>
      </c>
      <c r="E1820" s="5" t="n">
        <v>1</v>
      </c>
      <c r="F1820" s="6" t="n">
        <f aca="false">IFERROR(MATCH(A1820&amp;"|"&amp;B1820&amp;"|"&amp;D1820,'All Song Rankings'!$T:$T,0),0)</f>
        <v>289</v>
      </c>
      <c r="G1820" s="6" t="str">
        <f aca="false">IF(F1820=0,"NOT FOUND",INDEX('All Song Rankings'!$A:$A,F1820))</f>
        <v>Gone Gone Gone</v>
      </c>
      <c r="H1820" s="6" t="str">
        <f aca="false">IF(F1820=0,"NOT FOUND",INDEX('All Song Rankings'!$B:$B,F1820))</f>
        <v>David Guetta, Teddy Swims, Tones And I</v>
      </c>
      <c r="I1820" s="6" t="str">
        <f aca="false">IF(F1820=0,"NOT FOUND",INDEX('All Song Rankings'!$D:$D,F1820))</f>
        <v>Christine</v>
      </c>
      <c r="J1820" s="7" t="str">
        <f aca="false">IF(F1820=0,"NOT FOUND",IF(C1820=I1820,"SELF-VOTE",IF(COUNTIF($K:$K,K1820)&gt;1,"DUPLICATE","OK")))</f>
        <v>OK</v>
      </c>
      <c r="K1820" s="6" t="str">
        <f aca="false">A1820&amp;"|"&amp;B1820&amp;"|"&amp;C1820&amp;"|"&amp;D1820</f>
        <v>3|7|Grace|spotify:track:3Dy4xsff7c0fRaTJpA54yd</v>
      </c>
    </row>
    <row r="1821" customFormat="false" ht="15" hidden="false" customHeight="false" outlineLevel="0" collapsed="false">
      <c r="A1821" s="5" t="n">
        <v>3</v>
      </c>
      <c r="B1821" s="5" t="n">
        <v>7</v>
      </c>
      <c r="C1821" s="5" t="s">
        <v>382</v>
      </c>
      <c r="D1821" s="5" t="s">
        <v>940</v>
      </c>
      <c r="E1821" s="5" t="n">
        <v>3</v>
      </c>
      <c r="F1821" s="6" t="n">
        <f aca="false">IFERROR(MATCH(A1821&amp;"|"&amp;B1821&amp;"|"&amp;D1821,'All Song Rankings'!$T:$T,0),0)</f>
        <v>283</v>
      </c>
      <c r="G1821" s="6" t="str">
        <f aca="false">IF(F1821=0,"NOT FOUND",INDEX('All Song Rankings'!$A:$A,F1821))</f>
        <v>Everything's Magic</v>
      </c>
      <c r="H1821" s="6" t="str">
        <f aca="false">IF(F1821=0,"NOT FOUND",INDEX('All Song Rankings'!$B:$B,F1821))</f>
        <v>Angels &amp; Airwaves</v>
      </c>
      <c r="I1821" s="6" t="str">
        <f aca="false">IF(F1821=0,"NOT FOUND",INDEX('All Song Rankings'!$D:$D,F1821))</f>
        <v>Lisa</v>
      </c>
      <c r="J1821" s="7" t="str">
        <f aca="false">IF(F1821=0,"NOT FOUND",IF(C1821=I1821,"SELF-VOTE",IF(COUNTIF($K:$K,K1821)&gt;1,"DUPLICATE","OK")))</f>
        <v>OK</v>
      </c>
      <c r="K1821" s="6" t="str">
        <f aca="false">A1821&amp;"|"&amp;B1821&amp;"|"&amp;C1821&amp;"|"&amp;D1821</f>
        <v>3|7|Grace|spotify:track:3I7IGPFe0DoNXZI9JDYa5P</v>
      </c>
    </row>
    <row r="1822" customFormat="false" ht="15" hidden="false" customHeight="false" outlineLevel="0" collapsed="false">
      <c r="A1822" s="5" t="n">
        <v>3</v>
      </c>
      <c r="B1822" s="5" t="n">
        <v>7</v>
      </c>
      <c r="C1822" s="5" t="s">
        <v>85</v>
      </c>
      <c r="D1822" s="5" t="s">
        <v>955</v>
      </c>
      <c r="E1822" s="5" t="n">
        <v>1</v>
      </c>
      <c r="F1822" s="6" t="n">
        <f aca="false">IFERROR(MATCH(A1822&amp;"|"&amp;B1822&amp;"|"&amp;D1822,'All Song Rankings'!$T:$T,0),0)</f>
        <v>288</v>
      </c>
      <c r="G1822" s="6" t="str">
        <f aca="false">IF(F1822=0,"NOT FOUND",INDEX('All Song Rankings'!$A:$A,F1822))</f>
        <v>Kick Drum Heart</v>
      </c>
      <c r="H1822" s="6" t="str">
        <f aca="false">IF(F1822=0,"NOT FOUND",INDEX('All Song Rankings'!$B:$B,F1822))</f>
        <v>The Avett Brothers</v>
      </c>
      <c r="I1822" s="6" t="str">
        <f aca="false">IF(F1822=0,"NOT FOUND",INDEX('All Song Rankings'!$D:$D,F1822))</f>
        <v>Grace</v>
      </c>
      <c r="J1822" s="7" t="str">
        <f aca="false">IF(F1822=0,"NOT FOUND",IF(C1822=I1822,"SELF-VOTE",IF(COUNTIF($K:$K,K1822)&gt;1,"DUPLICATE","OK")))</f>
        <v>OK</v>
      </c>
      <c r="K1822" s="6" t="str">
        <f aca="false">A1822&amp;"|"&amp;B1822&amp;"|"&amp;C1822&amp;"|"&amp;D1822</f>
        <v>3|7|Kelsey|spotify:track:0KKist1jJYO17nOqtO1sb2</v>
      </c>
    </row>
    <row r="1823" customFormat="false" ht="15" hidden="false" customHeight="false" outlineLevel="0" collapsed="false">
      <c r="A1823" s="5" t="n">
        <v>3</v>
      </c>
      <c r="B1823" s="5" t="n">
        <v>7</v>
      </c>
      <c r="C1823" s="5" t="s">
        <v>85</v>
      </c>
      <c r="D1823" s="5" t="s">
        <v>952</v>
      </c>
      <c r="E1823" s="5" t="n">
        <v>2</v>
      </c>
      <c r="F1823" s="6" t="n">
        <f aca="false">IFERROR(MATCH(A1823&amp;"|"&amp;B1823&amp;"|"&amp;D1823,'All Song Rankings'!$T:$T,0),0)</f>
        <v>287</v>
      </c>
      <c r="G1823" s="6" t="str">
        <f aca="false">IF(F1823=0,"NOT FOUND",INDEX('All Song Rankings'!$A:$A,F1823))</f>
        <v>Chicken Fried</v>
      </c>
      <c r="H1823" s="6" t="str">
        <f aca="false">IF(F1823=0,"NOT FOUND",INDEX('All Song Rankings'!$B:$B,F1823))</f>
        <v>Zac Brown Band</v>
      </c>
      <c r="I1823" s="6" t="str">
        <f aca="false">IF(F1823=0,"NOT FOUND",INDEX('All Song Rankings'!$D:$D,F1823))</f>
        <v>Stephanie</v>
      </c>
      <c r="J1823" s="7" t="str">
        <f aca="false">IF(F1823=0,"NOT FOUND",IF(C1823=I1823,"SELF-VOTE",IF(COUNTIF($K:$K,K1823)&gt;1,"DUPLICATE","OK")))</f>
        <v>OK</v>
      </c>
      <c r="K1823" s="6" t="str">
        <f aca="false">A1823&amp;"|"&amp;B1823&amp;"|"&amp;C1823&amp;"|"&amp;D1823</f>
        <v>3|7|Kelsey|spotify:track:0LQtEJt7x0s6knb6RKdRYc</v>
      </c>
    </row>
    <row r="1824" customFormat="false" ht="15" hidden="false" customHeight="false" outlineLevel="0" collapsed="false">
      <c r="A1824" s="5" t="n">
        <v>3</v>
      </c>
      <c r="B1824" s="5" t="n">
        <v>7</v>
      </c>
      <c r="C1824" s="5" t="s">
        <v>85</v>
      </c>
      <c r="D1824" s="5" t="s">
        <v>943</v>
      </c>
      <c r="E1824" s="5" t="n">
        <v>1</v>
      </c>
      <c r="F1824" s="6" t="n">
        <f aca="false">IFERROR(MATCH(A1824&amp;"|"&amp;B1824&amp;"|"&amp;D1824,'All Song Rankings'!$T:$T,0),0)</f>
        <v>284</v>
      </c>
      <c r="G1824" s="6" t="str">
        <f aca="false">IF(F1824=0,"NOT FOUND",INDEX('All Song Rankings'!$A:$A,F1824))</f>
        <v>Sunday Best</v>
      </c>
      <c r="H1824" s="6" t="str">
        <f aca="false">IF(F1824=0,"NOT FOUND",INDEX('All Song Rankings'!$B:$B,F1824))</f>
        <v>Surfaces</v>
      </c>
      <c r="I1824" s="6" t="str">
        <f aca="false">IF(F1824=0,"NOT FOUND",INDEX('All Song Rankings'!$D:$D,F1824))</f>
        <v>Nicole</v>
      </c>
      <c r="J1824" s="7" t="str">
        <f aca="false">IF(F1824=0,"NOT FOUND",IF(C1824=I1824,"SELF-VOTE",IF(COUNTIF($K:$K,K1824)&gt;1,"DUPLICATE","OK")))</f>
        <v>OK</v>
      </c>
      <c r="K1824" s="6" t="str">
        <f aca="false">A1824&amp;"|"&amp;B1824&amp;"|"&amp;C1824&amp;"|"&amp;D1824</f>
        <v>3|7|Kelsey|spotify:track:1qYKWcEOrh2tM8PlgIm8K1</v>
      </c>
    </row>
    <row r="1825" customFormat="false" ht="15" hidden="false" customHeight="false" outlineLevel="0" collapsed="false">
      <c r="A1825" s="5" t="n">
        <v>3</v>
      </c>
      <c r="B1825" s="5" t="n">
        <v>7</v>
      </c>
      <c r="C1825" s="5" t="s">
        <v>85</v>
      </c>
      <c r="D1825" s="5" t="s">
        <v>946</v>
      </c>
      <c r="E1825" s="5" t="n">
        <v>1</v>
      </c>
      <c r="F1825" s="6" t="n">
        <f aca="false">IFERROR(MATCH(A1825&amp;"|"&amp;B1825&amp;"|"&amp;D1825,'All Song Rankings'!$T:$T,0),0)</f>
        <v>285</v>
      </c>
      <c r="G1825" s="6" t="str">
        <f aca="false">IF(F1825=0,"NOT FOUND",INDEX('All Song Rankings'!$A:$A,F1825))</f>
        <v>Hard Place - Single Version</v>
      </c>
      <c r="H1825" s="6" t="str">
        <f aca="false">IF(F1825=0,"NOT FOUND",INDEX('All Song Rankings'!$B:$B,F1825))</f>
        <v>H.E.R.</v>
      </c>
      <c r="I1825" s="6" t="str">
        <f aca="false">IF(F1825=0,"NOT FOUND",INDEX('All Song Rankings'!$D:$D,F1825))</f>
        <v>Logan</v>
      </c>
      <c r="J1825" s="7" t="str">
        <f aca="false">IF(F1825=0,"NOT FOUND",IF(C1825=I1825,"SELF-VOTE",IF(COUNTIF($K:$K,K1825)&gt;1,"DUPLICATE","OK")))</f>
        <v>OK</v>
      </c>
      <c r="K1825" s="6" t="str">
        <f aca="false">A1825&amp;"|"&amp;B1825&amp;"|"&amp;C1825&amp;"|"&amp;D1825</f>
        <v>3|7|Kelsey|spotify:track:1sMJJQEvUXyxILW5sv3A2P</v>
      </c>
    </row>
    <row r="1826" customFormat="false" ht="15" hidden="false" customHeight="false" outlineLevel="0" collapsed="false">
      <c r="A1826" s="5" t="n">
        <v>3</v>
      </c>
      <c r="B1826" s="5" t="n">
        <v>7</v>
      </c>
      <c r="C1826" s="5" t="s">
        <v>85</v>
      </c>
      <c r="D1826" s="5" t="s">
        <v>958</v>
      </c>
      <c r="E1826" s="5" t="n">
        <v>1</v>
      </c>
      <c r="F1826" s="6" t="n">
        <f aca="false">IFERROR(MATCH(A1826&amp;"|"&amp;B1826&amp;"|"&amp;D1826,'All Song Rankings'!$T:$T,0),0)</f>
        <v>289</v>
      </c>
      <c r="G1826" s="6" t="str">
        <f aca="false">IF(F1826=0,"NOT FOUND",INDEX('All Song Rankings'!$A:$A,F1826))</f>
        <v>Gone Gone Gone</v>
      </c>
      <c r="H1826" s="6" t="str">
        <f aca="false">IF(F1826=0,"NOT FOUND",INDEX('All Song Rankings'!$B:$B,F1826))</f>
        <v>David Guetta, Teddy Swims, Tones And I</v>
      </c>
      <c r="I1826" s="6" t="str">
        <f aca="false">IF(F1826=0,"NOT FOUND",INDEX('All Song Rankings'!$D:$D,F1826))</f>
        <v>Christine</v>
      </c>
      <c r="J1826" s="7" t="str">
        <f aca="false">IF(F1826=0,"NOT FOUND",IF(C1826=I1826,"SELF-VOTE",IF(COUNTIF($K:$K,K1826)&gt;1,"DUPLICATE","OK")))</f>
        <v>OK</v>
      </c>
      <c r="K1826" s="6" t="str">
        <f aca="false">A1826&amp;"|"&amp;B1826&amp;"|"&amp;C1826&amp;"|"&amp;D1826</f>
        <v>3|7|Kelsey|spotify:track:3Dy4xsff7c0fRaTJpA54yd</v>
      </c>
    </row>
    <row r="1827" customFormat="false" ht="15" hidden="false" customHeight="false" outlineLevel="0" collapsed="false">
      <c r="A1827" s="5" t="n">
        <v>3</v>
      </c>
      <c r="B1827" s="5" t="n">
        <v>7</v>
      </c>
      <c r="C1827" s="5" t="s">
        <v>85</v>
      </c>
      <c r="D1827" s="5" t="s">
        <v>940</v>
      </c>
      <c r="E1827" s="5" t="n">
        <v>2</v>
      </c>
      <c r="F1827" s="6" t="n">
        <f aca="false">IFERROR(MATCH(A1827&amp;"|"&amp;B1827&amp;"|"&amp;D1827,'All Song Rankings'!$T:$T,0),0)</f>
        <v>283</v>
      </c>
      <c r="G1827" s="6" t="str">
        <f aca="false">IF(F1827=0,"NOT FOUND",INDEX('All Song Rankings'!$A:$A,F1827))</f>
        <v>Everything's Magic</v>
      </c>
      <c r="H1827" s="6" t="str">
        <f aca="false">IF(F1827=0,"NOT FOUND",INDEX('All Song Rankings'!$B:$B,F1827))</f>
        <v>Angels &amp; Airwaves</v>
      </c>
      <c r="I1827" s="6" t="str">
        <f aca="false">IF(F1827=0,"NOT FOUND",INDEX('All Song Rankings'!$D:$D,F1827))</f>
        <v>Lisa</v>
      </c>
      <c r="J1827" s="7" t="str">
        <f aca="false">IF(F1827=0,"NOT FOUND",IF(C1827=I1827,"SELF-VOTE",IF(COUNTIF($K:$K,K1827)&gt;1,"DUPLICATE","OK")))</f>
        <v>OK</v>
      </c>
      <c r="K1827" s="6" t="str">
        <f aca="false">A1827&amp;"|"&amp;B1827&amp;"|"&amp;C1827&amp;"|"&amp;D1827</f>
        <v>3|7|Kelsey|spotify:track:3I7IGPFe0DoNXZI9JDYa5P</v>
      </c>
    </row>
    <row r="1828" customFormat="false" ht="15" hidden="false" customHeight="false" outlineLevel="0" collapsed="false">
      <c r="A1828" s="5" t="n">
        <v>3</v>
      </c>
      <c r="B1828" s="5" t="n">
        <v>7</v>
      </c>
      <c r="C1828" s="5" t="s">
        <v>85</v>
      </c>
      <c r="D1828" s="5" t="s">
        <v>962</v>
      </c>
      <c r="E1828" s="5" t="n">
        <v>1</v>
      </c>
      <c r="F1828" s="6" t="n">
        <f aca="false">IFERROR(MATCH(A1828&amp;"|"&amp;B1828&amp;"|"&amp;D1828,'All Song Rankings'!$T:$T,0),0)</f>
        <v>291</v>
      </c>
      <c r="G1828" s="6" t="str">
        <f aca="false">IF(F1828=0,"NOT FOUND",INDEX('All Song Rankings'!$A:$A,F1828))</f>
        <v>Alone</v>
      </c>
      <c r="H1828" s="6" t="str">
        <f aca="false">IF(F1828=0,"NOT FOUND",INDEX('All Song Rankings'!$B:$B,F1828))</f>
        <v>Marshmello</v>
      </c>
      <c r="I1828" s="6" t="str">
        <f aca="false">IF(F1828=0,"NOT FOUND",INDEX('All Song Rankings'!$D:$D,F1828))</f>
        <v>Makenzie</v>
      </c>
      <c r="J1828" s="7" t="str">
        <f aca="false">IF(F1828=0,"NOT FOUND",IF(C1828=I1828,"SELF-VOTE",IF(COUNTIF($K:$K,K1828)&gt;1,"DUPLICATE","OK")))</f>
        <v>OK</v>
      </c>
      <c r="K1828" s="6" t="str">
        <f aca="false">A1828&amp;"|"&amp;B1828&amp;"|"&amp;C1828&amp;"|"&amp;D1828</f>
        <v>3|7|Kelsey|spotify:track:3MEYFivt6bilQ9q9mFWZ4g</v>
      </c>
    </row>
    <row r="1829" customFormat="false" ht="15" hidden="false" customHeight="false" outlineLevel="0" collapsed="false">
      <c r="A1829" s="5" t="n">
        <v>3</v>
      </c>
      <c r="B1829" s="5" t="n">
        <v>7</v>
      </c>
      <c r="C1829" s="5" t="s">
        <v>85</v>
      </c>
      <c r="D1829" s="5" t="s">
        <v>971</v>
      </c>
      <c r="E1829" s="5" t="n">
        <v>1</v>
      </c>
      <c r="F1829" s="6" t="n">
        <f aca="false">IFERROR(MATCH(A1829&amp;"|"&amp;B1829&amp;"|"&amp;D1829,'All Song Rankings'!$T:$T,0),0)</f>
        <v>294</v>
      </c>
      <c r="G1829" s="6" t="str">
        <f aca="false">IF(F1829=0,"NOT FOUND",INDEX('All Song Rankings'!$A:$A,F1829))</f>
        <v>Ticks</v>
      </c>
      <c r="H1829" s="6" t="str">
        <f aca="false">IF(F1829=0,"NOT FOUND",INDEX('All Song Rankings'!$B:$B,F1829))</f>
        <v>Brad Paisley</v>
      </c>
      <c r="I1829" s="6" t="str">
        <f aca="false">IF(F1829=0,"NOT FOUND",INDEX('All Song Rankings'!$D:$D,F1829))</f>
        <v>Scott</v>
      </c>
      <c r="J1829" s="7" t="str">
        <f aca="false">IF(F1829=0,"NOT FOUND",IF(C1829=I1829,"SELF-VOTE",IF(COUNTIF($K:$K,K1829)&gt;1,"DUPLICATE","OK")))</f>
        <v>OK</v>
      </c>
      <c r="K1829" s="6" t="str">
        <f aca="false">A1829&amp;"|"&amp;B1829&amp;"|"&amp;C1829&amp;"|"&amp;D1829</f>
        <v>3|7|Kelsey|spotify:track:736KP0gdltJQWPKk0wVL7l</v>
      </c>
    </row>
    <row r="1830" customFormat="false" ht="15" hidden="false" customHeight="false" outlineLevel="0" collapsed="false">
      <c r="A1830" s="5" t="n">
        <v>3</v>
      </c>
      <c r="B1830" s="5" t="n">
        <v>7</v>
      </c>
      <c r="C1830" s="5" t="s">
        <v>106</v>
      </c>
      <c r="D1830" s="5" t="s">
        <v>965</v>
      </c>
      <c r="E1830" s="5" t="n">
        <v>1</v>
      </c>
      <c r="F1830" s="6" t="n">
        <f aca="false">IFERROR(MATCH(A1830&amp;"|"&amp;B1830&amp;"|"&amp;D1830,'All Song Rankings'!$T:$T,0),0)</f>
        <v>292</v>
      </c>
      <c r="G1830" s="6" t="str">
        <f aca="false">IF(F1830=0,"NOT FOUND",INDEX('All Song Rankings'!$A:$A,F1830))</f>
        <v>Deciduous - Live</v>
      </c>
      <c r="H1830" s="6" t="str">
        <f aca="false">IF(F1830=0,"NOT FOUND",INDEX('All Song Rankings'!$B:$B,F1830))</f>
        <v>Viet Cuong, 2023 FMEA All-State 11/12 Symphonic Band, Emily Threinen</v>
      </c>
      <c r="I1830" s="6" t="str">
        <f aca="false">IF(F1830=0,"NOT FOUND",INDEX('All Song Rankings'!$D:$D,F1830))</f>
        <v>Matt</v>
      </c>
      <c r="J1830" s="7" t="str">
        <f aca="false">IF(F1830=0,"NOT FOUND",IF(C1830=I1830,"SELF-VOTE",IF(COUNTIF($K:$K,K1830)&gt;1,"DUPLICATE","OK")))</f>
        <v>OK</v>
      </c>
      <c r="K1830" s="6" t="str">
        <f aca="false">A1830&amp;"|"&amp;B1830&amp;"|"&amp;C1830&amp;"|"&amp;D1830</f>
        <v>3|7|Kristen|spotify:track:0FdK0iPOcDDgxVr3qJBAke</v>
      </c>
    </row>
    <row r="1831" customFormat="false" ht="15" hidden="false" customHeight="false" outlineLevel="0" collapsed="false">
      <c r="A1831" s="5" t="n">
        <v>3</v>
      </c>
      <c r="B1831" s="5" t="n">
        <v>7</v>
      </c>
      <c r="C1831" s="5" t="s">
        <v>106</v>
      </c>
      <c r="D1831" s="5" t="s">
        <v>946</v>
      </c>
      <c r="E1831" s="5" t="n">
        <v>2</v>
      </c>
      <c r="F1831" s="6" t="n">
        <f aca="false">IFERROR(MATCH(A1831&amp;"|"&amp;B1831&amp;"|"&amp;D1831,'All Song Rankings'!$T:$T,0),0)</f>
        <v>285</v>
      </c>
      <c r="G1831" s="6" t="str">
        <f aca="false">IF(F1831=0,"NOT FOUND",INDEX('All Song Rankings'!$A:$A,F1831))</f>
        <v>Hard Place - Single Version</v>
      </c>
      <c r="H1831" s="6" t="str">
        <f aca="false">IF(F1831=0,"NOT FOUND",INDEX('All Song Rankings'!$B:$B,F1831))</f>
        <v>H.E.R.</v>
      </c>
      <c r="I1831" s="6" t="str">
        <f aca="false">IF(F1831=0,"NOT FOUND",INDEX('All Song Rankings'!$D:$D,F1831))</f>
        <v>Logan</v>
      </c>
      <c r="J1831" s="7" t="str">
        <f aca="false">IF(F1831=0,"NOT FOUND",IF(C1831=I1831,"SELF-VOTE",IF(COUNTIF($K:$K,K1831)&gt;1,"DUPLICATE","OK")))</f>
        <v>OK</v>
      </c>
      <c r="K1831" s="6" t="str">
        <f aca="false">A1831&amp;"|"&amp;B1831&amp;"|"&amp;C1831&amp;"|"&amp;D1831</f>
        <v>3|7|Kristen|spotify:track:1sMJJQEvUXyxILW5sv3A2P</v>
      </c>
    </row>
    <row r="1832" customFormat="false" ht="15" hidden="false" customHeight="false" outlineLevel="0" collapsed="false">
      <c r="A1832" s="5" t="n">
        <v>3</v>
      </c>
      <c r="B1832" s="5" t="n">
        <v>7</v>
      </c>
      <c r="C1832" s="5" t="s">
        <v>106</v>
      </c>
      <c r="D1832" s="5" t="s">
        <v>937</v>
      </c>
      <c r="E1832" s="5" t="n">
        <v>2</v>
      </c>
      <c r="F1832" s="6" t="n">
        <f aca="false">IFERROR(MATCH(A1832&amp;"|"&amp;B1832&amp;"|"&amp;D1832,'All Song Rankings'!$T:$T,0),0)</f>
        <v>282</v>
      </c>
      <c r="G1832" s="6" t="str">
        <f aca="false">IF(F1832=0,"NOT FOUND",INDEX('All Song Rankings'!$A:$A,F1832))</f>
        <v>My Way - 2008 Remastered</v>
      </c>
      <c r="H1832" s="6" t="str">
        <f aca="false">IF(F1832=0,"NOT FOUND",INDEX('All Song Rankings'!$B:$B,F1832))</f>
        <v>Frank Sinatra</v>
      </c>
      <c r="I1832" s="6" t="str">
        <f aca="false">IF(F1832=0,"NOT FOUND",INDEX('All Song Rankings'!$D:$D,F1832))</f>
        <v>Aubrey</v>
      </c>
      <c r="J1832" s="7" t="str">
        <f aca="false">IF(F1832=0,"NOT FOUND",IF(C1832=I1832,"SELF-VOTE",IF(COUNTIF($K:$K,K1832)&gt;1,"DUPLICATE","OK")))</f>
        <v>OK</v>
      </c>
      <c r="K1832" s="6" t="str">
        <f aca="false">A1832&amp;"|"&amp;B1832&amp;"|"&amp;C1832&amp;"|"&amp;D1832</f>
        <v>3|7|Kristen|spotify:track:2YkIDPL5lGhRhomCq4S2RO</v>
      </c>
    </row>
    <row r="1833" customFormat="false" ht="15" hidden="false" customHeight="false" outlineLevel="0" collapsed="false">
      <c r="A1833" s="5" t="n">
        <v>3</v>
      </c>
      <c r="B1833" s="5" t="n">
        <v>7</v>
      </c>
      <c r="C1833" s="5" t="s">
        <v>106</v>
      </c>
      <c r="D1833" s="5" t="s">
        <v>958</v>
      </c>
      <c r="E1833" s="5" t="n">
        <v>1</v>
      </c>
      <c r="F1833" s="6" t="n">
        <f aca="false">IFERROR(MATCH(A1833&amp;"|"&amp;B1833&amp;"|"&amp;D1833,'All Song Rankings'!$T:$T,0),0)</f>
        <v>289</v>
      </c>
      <c r="G1833" s="6" t="str">
        <f aca="false">IF(F1833=0,"NOT FOUND",INDEX('All Song Rankings'!$A:$A,F1833))</f>
        <v>Gone Gone Gone</v>
      </c>
      <c r="H1833" s="6" t="str">
        <f aca="false">IF(F1833=0,"NOT FOUND",INDEX('All Song Rankings'!$B:$B,F1833))</f>
        <v>David Guetta, Teddy Swims, Tones And I</v>
      </c>
      <c r="I1833" s="6" t="str">
        <f aca="false">IF(F1833=0,"NOT FOUND",INDEX('All Song Rankings'!$D:$D,F1833))</f>
        <v>Christine</v>
      </c>
      <c r="J1833" s="7" t="str">
        <f aca="false">IF(F1833=0,"NOT FOUND",IF(C1833=I1833,"SELF-VOTE",IF(COUNTIF($K:$K,K1833)&gt;1,"DUPLICATE","OK")))</f>
        <v>OK</v>
      </c>
      <c r="K1833" s="6" t="str">
        <f aca="false">A1833&amp;"|"&amp;B1833&amp;"|"&amp;C1833&amp;"|"&amp;D1833</f>
        <v>3|7|Kristen|spotify:track:3Dy4xsff7c0fRaTJpA54yd</v>
      </c>
    </row>
    <row r="1834" customFormat="false" ht="15" hidden="false" customHeight="false" outlineLevel="0" collapsed="false">
      <c r="A1834" s="5" t="n">
        <v>3</v>
      </c>
      <c r="B1834" s="5" t="n">
        <v>7</v>
      </c>
      <c r="C1834" s="5" t="s">
        <v>106</v>
      </c>
      <c r="D1834" s="5" t="s">
        <v>940</v>
      </c>
      <c r="E1834" s="5" t="n">
        <v>1</v>
      </c>
      <c r="F1834" s="6" t="n">
        <f aca="false">IFERROR(MATCH(A1834&amp;"|"&amp;B1834&amp;"|"&amp;D1834,'All Song Rankings'!$T:$T,0),0)</f>
        <v>283</v>
      </c>
      <c r="G1834" s="6" t="str">
        <f aca="false">IF(F1834=0,"NOT FOUND",INDEX('All Song Rankings'!$A:$A,F1834))</f>
        <v>Everything's Magic</v>
      </c>
      <c r="H1834" s="6" t="str">
        <f aca="false">IF(F1834=0,"NOT FOUND",INDEX('All Song Rankings'!$B:$B,F1834))</f>
        <v>Angels &amp; Airwaves</v>
      </c>
      <c r="I1834" s="6" t="str">
        <f aca="false">IF(F1834=0,"NOT FOUND",INDEX('All Song Rankings'!$D:$D,F1834))</f>
        <v>Lisa</v>
      </c>
      <c r="J1834" s="7" t="str">
        <f aca="false">IF(F1834=0,"NOT FOUND",IF(C1834=I1834,"SELF-VOTE",IF(COUNTIF($K:$K,K1834)&gt;1,"DUPLICATE","OK")))</f>
        <v>OK</v>
      </c>
      <c r="K1834" s="6" t="str">
        <f aca="false">A1834&amp;"|"&amp;B1834&amp;"|"&amp;C1834&amp;"|"&amp;D1834</f>
        <v>3|7|Kristen|spotify:track:3I7IGPFe0DoNXZI9JDYa5P</v>
      </c>
    </row>
    <row r="1835" customFormat="false" ht="15" hidden="false" customHeight="false" outlineLevel="0" collapsed="false">
      <c r="A1835" s="5" t="n">
        <v>3</v>
      </c>
      <c r="B1835" s="5" t="n">
        <v>7</v>
      </c>
      <c r="C1835" s="5" t="s">
        <v>106</v>
      </c>
      <c r="D1835" s="5" t="s">
        <v>977</v>
      </c>
      <c r="E1835" s="5" t="n">
        <v>3</v>
      </c>
      <c r="F1835" s="6" t="n">
        <f aca="false">IFERROR(MATCH(A1835&amp;"|"&amp;B1835&amp;"|"&amp;D1835,'All Song Rankings'!$T:$T,0),0)</f>
        <v>296</v>
      </c>
      <c r="G1835" s="6" t="str">
        <f aca="false">IF(F1835=0,"NOT FOUND",INDEX('All Song Rankings'!$A:$A,F1835))</f>
        <v>Only</v>
      </c>
      <c r="H1835" s="6" t="str">
        <f aca="false">IF(F1835=0,"NOT FOUND",INDEX('All Song Rankings'!$B:$B,F1835))</f>
        <v>NF, Sasha Alex Sloan</v>
      </c>
      <c r="I1835" s="6" t="str">
        <f aca="false">IF(F1835=0,"NOT FOUND",INDEX('All Song Rankings'!$D:$D,F1835))</f>
        <v>Merita</v>
      </c>
      <c r="J1835" s="7" t="str">
        <f aca="false">IF(F1835=0,"NOT FOUND",IF(C1835=I1835,"SELF-VOTE",IF(COUNTIF($K:$K,K1835)&gt;1,"DUPLICATE","OK")))</f>
        <v>OK</v>
      </c>
      <c r="K1835" s="6" t="str">
        <f aca="false">A1835&amp;"|"&amp;B1835&amp;"|"&amp;C1835&amp;"|"&amp;D1835</f>
        <v>3|7|Kristen|spotify:track:5lehoWkVPujeOAwb8BO0uK</v>
      </c>
    </row>
    <row r="1836" customFormat="false" ht="15" hidden="false" customHeight="false" outlineLevel="0" collapsed="false">
      <c r="A1836" s="5" t="n">
        <v>3</v>
      </c>
      <c r="B1836" s="5" t="n">
        <v>7</v>
      </c>
      <c r="C1836" s="5" t="s">
        <v>119</v>
      </c>
      <c r="D1836" s="5" t="s">
        <v>943</v>
      </c>
      <c r="E1836" s="5" t="n">
        <v>1</v>
      </c>
      <c r="F1836" s="6" t="n">
        <f aca="false">IFERROR(MATCH(A1836&amp;"|"&amp;B1836&amp;"|"&amp;D1836,'All Song Rankings'!$T:$T,0),0)</f>
        <v>284</v>
      </c>
      <c r="G1836" s="6" t="str">
        <f aca="false">IF(F1836=0,"NOT FOUND",INDEX('All Song Rankings'!$A:$A,F1836))</f>
        <v>Sunday Best</v>
      </c>
      <c r="H1836" s="6" t="str">
        <f aca="false">IF(F1836=0,"NOT FOUND",INDEX('All Song Rankings'!$B:$B,F1836))</f>
        <v>Surfaces</v>
      </c>
      <c r="I1836" s="6" t="str">
        <f aca="false">IF(F1836=0,"NOT FOUND",INDEX('All Song Rankings'!$D:$D,F1836))</f>
        <v>Nicole</v>
      </c>
      <c r="J1836" s="7" t="str">
        <f aca="false">IF(F1836=0,"NOT FOUND",IF(C1836=I1836,"SELF-VOTE",IF(COUNTIF($K:$K,K1836)&gt;1,"DUPLICATE","OK")))</f>
        <v>OK</v>
      </c>
      <c r="K1836" s="6" t="str">
        <f aca="false">A1836&amp;"|"&amp;B1836&amp;"|"&amp;C1836&amp;"|"&amp;D1836</f>
        <v>3|7|Leah|spotify:track:1qYKWcEOrh2tM8PlgIm8K1</v>
      </c>
    </row>
    <row r="1837" customFormat="false" ht="15" hidden="false" customHeight="false" outlineLevel="0" collapsed="false">
      <c r="A1837" s="5" t="n">
        <v>3</v>
      </c>
      <c r="B1837" s="5" t="n">
        <v>7</v>
      </c>
      <c r="C1837" s="5" t="s">
        <v>119</v>
      </c>
      <c r="D1837" s="5" t="s">
        <v>946</v>
      </c>
      <c r="E1837" s="5" t="n">
        <v>2</v>
      </c>
      <c r="F1837" s="6" t="n">
        <f aca="false">IFERROR(MATCH(A1837&amp;"|"&amp;B1837&amp;"|"&amp;D1837,'All Song Rankings'!$T:$T,0),0)</f>
        <v>285</v>
      </c>
      <c r="G1837" s="6" t="str">
        <f aca="false">IF(F1837=0,"NOT FOUND",INDEX('All Song Rankings'!$A:$A,F1837))</f>
        <v>Hard Place - Single Version</v>
      </c>
      <c r="H1837" s="6" t="str">
        <f aca="false">IF(F1837=0,"NOT FOUND",INDEX('All Song Rankings'!$B:$B,F1837))</f>
        <v>H.E.R.</v>
      </c>
      <c r="I1837" s="6" t="str">
        <f aca="false">IF(F1837=0,"NOT FOUND",INDEX('All Song Rankings'!$D:$D,F1837))</f>
        <v>Logan</v>
      </c>
      <c r="J1837" s="7" t="str">
        <f aca="false">IF(F1837=0,"NOT FOUND",IF(C1837=I1837,"SELF-VOTE",IF(COUNTIF($K:$K,K1837)&gt;1,"DUPLICATE","OK")))</f>
        <v>OK</v>
      </c>
      <c r="K1837" s="6" t="str">
        <f aca="false">A1837&amp;"|"&amp;B1837&amp;"|"&amp;C1837&amp;"|"&amp;D1837</f>
        <v>3|7|Leah|spotify:track:1sMJJQEvUXyxILW5sv3A2P</v>
      </c>
    </row>
    <row r="1838" customFormat="false" ht="15" hidden="false" customHeight="false" outlineLevel="0" collapsed="false">
      <c r="A1838" s="5" t="n">
        <v>3</v>
      </c>
      <c r="B1838" s="5" t="n">
        <v>7</v>
      </c>
      <c r="C1838" s="5" t="s">
        <v>119</v>
      </c>
      <c r="D1838" s="5" t="s">
        <v>937</v>
      </c>
      <c r="E1838" s="5" t="n">
        <v>1</v>
      </c>
      <c r="F1838" s="6" t="n">
        <f aca="false">IFERROR(MATCH(A1838&amp;"|"&amp;B1838&amp;"|"&amp;D1838,'All Song Rankings'!$T:$T,0),0)</f>
        <v>282</v>
      </c>
      <c r="G1838" s="6" t="str">
        <f aca="false">IF(F1838=0,"NOT FOUND",INDEX('All Song Rankings'!$A:$A,F1838))</f>
        <v>My Way - 2008 Remastered</v>
      </c>
      <c r="H1838" s="6" t="str">
        <f aca="false">IF(F1838=0,"NOT FOUND",INDEX('All Song Rankings'!$B:$B,F1838))</f>
        <v>Frank Sinatra</v>
      </c>
      <c r="I1838" s="6" t="str">
        <f aca="false">IF(F1838=0,"NOT FOUND",INDEX('All Song Rankings'!$D:$D,F1838))</f>
        <v>Aubrey</v>
      </c>
      <c r="J1838" s="7" t="str">
        <f aca="false">IF(F1838=0,"NOT FOUND",IF(C1838=I1838,"SELF-VOTE",IF(COUNTIF($K:$K,K1838)&gt;1,"DUPLICATE","OK")))</f>
        <v>OK</v>
      </c>
      <c r="K1838" s="6" t="str">
        <f aca="false">A1838&amp;"|"&amp;B1838&amp;"|"&amp;C1838&amp;"|"&amp;D1838</f>
        <v>3|7|Leah|spotify:track:2YkIDPL5lGhRhomCq4S2RO</v>
      </c>
    </row>
    <row r="1839" customFormat="false" ht="15" hidden="false" customHeight="false" outlineLevel="0" collapsed="false">
      <c r="A1839" s="5" t="n">
        <v>3</v>
      </c>
      <c r="B1839" s="5" t="n">
        <v>7</v>
      </c>
      <c r="C1839" s="5" t="s">
        <v>119</v>
      </c>
      <c r="D1839" s="5" t="s">
        <v>958</v>
      </c>
      <c r="E1839" s="5" t="n">
        <v>1</v>
      </c>
      <c r="F1839" s="6" t="n">
        <f aca="false">IFERROR(MATCH(A1839&amp;"|"&amp;B1839&amp;"|"&amp;D1839,'All Song Rankings'!$T:$T,0),0)</f>
        <v>289</v>
      </c>
      <c r="G1839" s="6" t="str">
        <f aca="false">IF(F1839=0,"NOT FOUND",INDEX('All Song Rankings'!$A:$A,F1839))</f>
        <v>Gone Gone Gone</v>
      </c>
      <c r="H1839" s="6" t="str">
        <f aca="false">IF(F1839=0,"NOT FOUND",INDEX('All Song Rankings'!$B:$B,F1839))</f>
        <v>David Guetta, Teddy Swims, Tones And I</v>
      </c>
      <c r="I1839" s="6" t="str">
        <f aca="false">IF(F1839=0,"NOT FOUND",INDEX('All Song Rankings'!$D:$D,F1839))</f>
        <v>Christine</v>
      </c>
      <c r="J1839" s="7" t="str">
        <f aca="false">IF(F1839=0,"NOT FOUND",IF(C1839=I1839,"SELF-VOTE",IF(COUNTIF($K:$K,K1839)&gt;1,"DUPLICATE","OK")))</f>
        <v>OK</v>
      </c>
      <c r="K1839" s="6" t="str">
        <f aca="false">A1839&amp;"|"&amp;B1839&amp;"|"&amp;C1839&amp;"|"&amp;D1839</f>
        <v>3|7|Leah|spotify:track:3Dy4xsff7c0fRaTJpA54yd</v>
      </c>
    </row>
    <row r="1840" customFormat="false" ht="15" hidden="false" customHeight="false" outlineLevel="0" collapsed="false">
      <c r="A1840" s="5" t="n">
        <v>3</v>
      </c>
      <c r="B1840" s="5" t="n">
        <v>7</v>
      </c>
      <c r="C1840" s="5" t="s">
        <v>119</v>
      </c>
      <c r="D1840" s="5" t="s">
        <v>940</v>
      </c>
      <c r="E1840" s="5" t="n">
        <v>1</v>
      </c>
      <c r="F1840" s="6" t="n">
        <f aca="false">IFERROR(MATCH(A1840&amp;"|"&amp;B1840&amp;"|"&amp;D1840,'All Song Rankings'!$T:$T,0),0)</f>
        <v>283</v>
      </c>
      <c r="G1840" s="6" t="str">
        <f aca="false">IF(F1840=0,"NOT FOUND",INDEX('All Song Rankings'!$A:$A,F1840))</f>
        <v>Everything's Magic</v>
      </c>
      <c r="H1840" s="6" t="str">
        <f aca="false">IF(F1840=0,"NOT FOUND",INDEX('All Song Rankings'!$B:$B,F1840))</f>
        <v>Angels &amp; Airwaves</v>
      </c>
      <c r="I1840" s="6" t="str">
        <f aca="false">IF(F1840=0,"NOT FOUND",INDEX('All Song Rankings'!$D:$D,F1840))</f>
        <v>Lisa</v>
      </c>
      <c r="J1840" s="7" t="str">
        <f aca="false">IF(F1840=0,"NOT FOUND",IF(C1840=I1840,"SELF-VOTE",IF(COUNTIF($K:$K,K1840)&gt;1,"DUPLICATE","OK")))</f>
        <v>OK</v>
      </c>
      <c r="K1840" s="6" t="str">
        <f aca="false">A1840&amp;"|"&amp;B1840&amp;"|"&amp;C1840&amp;"|"&amp;D1840</f>
        <v>3|7|Leah|spotify:track:3I7IGPFe0DoNXZI9JDYa5P</v>
      </c>
    </row>
    <row r="1841" customFormat="false" ht="15" hidden="false" customHeight="false" outlineLevel="0" collapsed="false">
      <c r="A1841" s="5" t="n">
        <v>3</v>
      </c>
      <c r="B1841" s="5" t="n">
        <v>7</v>
      </c>
      <c r="C1841" s="5" t="s">
        <v>119</v>
      </c>
      <c r="D1841" s="5" t="s">
        <v>974</v>
      </c>
      <c r="E1841" s="5" t="n">
        <v>1</v>
      </c>
      <c r="F1841" s="6" t="n">
        <f aca="false">IFERROR(MATCH(A1841&amp;"|"&amp;B1841&amp;"|"&amp;D1841,'All Song Rankings'!$T:$T,0),0)</f>
        <v>295</v>
      </c>
      <c r="G1841" s="6" t="str">
        <f aca="false">IF(F1841=0,"NOT FOUND",INDEX('All Song Rankings'!$A:$A,F1841))</f>
        <v>Bridges</v>
      </c>
      <c r="H1841" s="6" t="str">
        <f aca="false">IF(F1841=0,"NOT FOUND",INDEX('All Song Rankings'!$B:$B,F1841))</f>
        <v>Rise Against</v>
      </c>
      <c r="I1841" s="6" t="str">
        <f aca="false">IF(F1841=0,"NOT FOUND",INDEX('All Song Rankings'!$D:$D,F1841))</f>
        <v>Kristen</v>
      </c>
      <c r="J1841" s="7" t="str">
        <f aca="false">IF(F1841=0,"NOT FOUND",IF(C1841=I1841,"SELF-VOTE",IF(COUNTIF($K:$K,K1841)&gt;1,"DUPLICATE","OK")))</f>
        <v>OK</v>
      </c>
      <c r="K1841" s="6" t="str">
        <f aca="false">A1841&amp;"|"&amp;B1841&amp;"|"&amp;C1841&amp;"|"&amp;D1841</f>
        <v>3|7|Leah|spotify:track:4NY0rkhWqRGCEnnJdYvZO1</v>
      </c>
    </row>
    <row r="1842" customFormat="false" ht="15" hidden="false" customHeight="false" outlineLevel="0" collapsed="false">
      <c r="A1842" s="5" t="n">
        <v>3</v>
      </c>
      <c r="B1842" s="5" t="n">
        <v>7</v>
      </c>
      <c r="C1842" s="5" t="s">
        <v>119</v>
      </c>
      <c r="D1842" s="5" t="s">
        <v>960</v>
      </c>
      <c r="E1842" s="5" t="n">
        <v>1</v>
      </c>
      <c r="F1842" s="6" t="n">
        <f aca="false">IFERROR(MATCH(A1842&amp;"|"&amp;B1842&amp;"|"&amp;D1842,'All Song Rankings'!$T:$T,0),0)</f>
        <v>290</v>
      </c>
      <c r="G1842" s="6" t="str">
        <f aca="false">IF(F1842=0,"NOT FOUND",INDEX('All Song Rankings'!$A:$A,F1842))</f>
        <v>Lose Yourself</v>
      </c>
      <c r="H1842" s="6" t="str">
        <f aca="false">IF(F1842=0,"NOT FOUND",INDEX('All Song Rankings'!$B:$B,F1842))</f>
        <v>Eminem</v>
      </c>
      <c r="I1842" s="6" t="str">
        <f aca="false">IF(F1842=0,"NOT FOUND",INDEX('All Song Rankings'!$D:$D,F1842))</f>
        <v>Colleen</v>
      </c>
      <c r="J1842" s="7" t="str">
        <f aca="false">IF(F1842=0,"NOT FOUND",IF(C1842=I1842,"SELF-VOTE",IF(COUNTIF($K:$K,K1842)&gt;1,"DUPLICATE","OK")))</f>
        <v>OK</v>
      </c>
      <c r="K1842" s="6" t="str">
        <f aca="false">A1842&amp;"|"&amp;B1842&amp;"|"&amp;C1842&amp;"|"&amp;D1842</f>
        <v>3|7|Leah|spotify:track:5Z01UMMf7V1o0MzF86s6WJ</v>
      </c>
    </row>
    <row r="1843" customFormat="false" ht="15" hidden="false" customHeight="false" outlineLevel="0" collapsed="false">
      <c r="A1843" s="5" t="n">
        <v>3</v>
      </c>
      <c r="B1843" s="5" t="n">
        <v>7</v>
      </c>
      <c r="C1843" s="5" t="s">
        <v>119</v>
      </c>
      <c r="D1843" s="5" t="s">
        <v>977</v>
      </c>
      <c r="E1843" s="5" t="n">
        <v>2</v>
      </c>
      <c r="F1843" s="6" t="n">
        <f aca="false">IFERROR(MATCH(A1843&amp;"|"&amp;B1843&amp;"|"&amp;D1843,'All Song Rankings'!$T:$T,0),0)</f>
        <v>296</v>
      </c>
      <c r="G1843" s="6" t="str">
        <f aca="false">IF(F1843=0,"NOT FOUND",INDEX('All Song Rankings'!$A:$A,F1843))</f>
        <v>Only</v>
      </c>
      <c r="H1843" s="6" t="str">
        <f aca="false">IF(F1843=0,"NOT FOUND",INDEX('All Song Rankings'!$B:$B,F1843))</f>
        <v>NF, Sasha Alex Sloan</v>
      </c>
      <c r="I1843" s="6" t="str">
        <f aca="false">IF(F1843=0,"NOT FOUND",INDEX('All Song Rankings'!$D:$D,F1843))</f>
        <v>Merita</v>
      </c>
      <c r="J1843" s="7" t="str">
        <f aca="false">IF(F1843=0,"NOT FOUND",IF(C1843=I1843,"SELF-VOTE",IF(COUNTIF($K:$K,K1843)&gt;1,"DUPLICATE","OK")))</f>
        <v>OK</v>
      </c>
      <c r="K1843" s="6" t="str">
        <f aca="false">A1843&amp;"|"&amp;B1843&amp;"|"&amp;C1843&amp;"|"&amp;D1843</f>
        <v>3|7|Leah|spotify:track:5lehoWkVPujeOAwb8BO0uK</v>
      </c>
    </row>
    <row r="1844" customFormat="false" ht="15" hidden="false" customHeight="false" outlineLevel="0" collapsed="false">
      <c r="A1844" s="5" t="n">
        <v>3</v>
      </c>
      <c r="B1844" s="5" t="n">
        <v>7</v>
      </c>
      <c r="C1844" s="5" t="s">
        <v>705</v>
      </c>
      <c r="D1844" s="5" t="s">
        <v>965</v>
      </c>
      <c r="E1844" s="5" t="n">
        <v>1</v>
      </c>
      <c r="F1844" s="6" t="n">
        <f aca="false">IFERROR(MATCH(A1844&amp;"|"&amp;B1844&amp;"|"&amp;D1844,'All Song Rankings'!$T:$T,0),0)</f>
        <v>292</v>
      </c>
      <c r="G1844" s="6" t="str">
        <f aca="false">IF(F1844=0,"NOT FOUND",INDEX('All Song Rankings'!$A:$A,F1844))</f>
        <v>Deciduous - Live</v>
      </c>
      <c r="H1844" s="6" t="str">
        <f aca="false">IF(F1844=0,"NOT FOUND",INDEX('All Song Rankings'!$B:$B,F1844))</f>
        <v>Viet Cuong, 2023 FMEA All-State 11/12 Symphonic Band, Emily Threinen</v>
      </c>
      <c r="I1844" s="6" t="str">
        <f aca="false">IF(F1844=0,"NOT FOUND",INDEX('All Song Rankings'!$D:$D,F1844))</f>
        <v>Matt</v>
      </c>
      <c r="J1844" s="7" t="str">
        <f aca="false">IF(F1844=0,"NOT FOUND",IF(C1844=I1844,"SELF-VOTE",IF(COUNTIF($K:$K,K1844)&gt;1,"DUPLICATE","OK")))</f>
        <v>OK</v>
      </c>
      <c r="K1844" s="6" t="str">
        <f aca="false">A1844&amp;"|"&amp;B1844&amp;"|"&amp;C1844&amp;"|"&amp;D1844</f>
        <v>3|7|Lisa|spotify:track:0FdK0iPOcDDgxVr3qJBAke</v>
      </c>
    </row>
    <row r="1845" customFormat="false" ht="15" hidden="false" customHeight="false" outlineLevel="0" collapsed="false">
      <c r="A1845" s="5" t="n">
        <v>3</v>
      </c>
      <c r="B1845" s="5" t="n">
        <v>7</v>
      </c>
      <c r="C1845" s="5" t="s">
        <v>705</v>
      </c>
      <c r="D1845" s="5" t="s">
        <v>955</v>
      </c>
      <c r="E1845" s="5" t="n">
        <v>2</v>
      </c>
      <c r="F1845" s="6" t="n">
        <f aca="false">IFERROR(MATCH(A1845&amp;"|"&amp;B1845&amp;"|"&amp;D1845,'All Song Rankings'!$T:$T,0),0)</f>
        <v>288</v>
      </c>
      <c r="G1845" s="6" t="str">
        <f aca="false">IF(F1845=0,"NOT FOUND",INDEX('All Song Rankings'!$A:$A,F1845))</f>
        <v>Kick Drum Heart</v>
      </c>
      <c r="H1845" s="6" t="str">
        <f aca="false">IF(F1845=0,"NOT FOUND",INDEX('All Song Rankings'!$B:$B,F1845))</f>
        <v>The Avett Brothers</v>
      </c>
      <c r="I1845" s="6" t="str">
        <f aca="false">IF(F1845=0,"NOT FOUND",INDEX('All Song Rankings'!$D:$D,F1845))</f>
        <v>Grace</v>
      </c>
      <c r="J1845" s="7" t="str">
        <f aca="false">IF(F1845=0,"NOT FOUND",IF(C1845=I1845,"SELF-VOTE",IF(COUNTIF($K:$K,K1845)&gt;1,"DUPLICATE","OK")))</f>
        <v>OK</v>
      </c>
      <c r="K1845" s="6" t="str">
        <f aca="false">A1845&amp;"|"&amp;B1845&amp;"|"&amp;C1845&amp;"|"&amp;D1845</f>
        <v>3|7|Lisa|spotify:track:0KKist1jJYO17nOqtO1sb2</v>
      </c>
    </row>
    <row r="1846" customFormat="false" ht="15" hidden="false" customHeight="false" outlineLevel="0" collapsed="false">
      <c r="A1846" s="5" t="n">
        <v>3</v>
      </c>
      <c r="B1846" s="5" t="n">
        <v>7</v>
      </c>
      <c r="C1846" s="5" t="s">
        <v>705</v>
      </c>
      <c r="D1846" s="5" t="s">
        <v>943</v>
      </c>
      <c r="E1846" s="5" t="n">
        <v>1</v>
      </c>
      <c r="F1846" s="6" t="n">
        <f aca="false">IFERROR(MATCH(A1846&amp;"|"&amp;B1846&amp;"|"&amp;D1846,'All Song Rankings'!$T:$T,0),0)</f>
        <v>284</v>
      </c>
      <c r="G1846" s="6" t="str">
        <f aca="false">IF(F1846=0,"NOT FOUND",INDEX('All Song Rankings'!$A:$A,F1846))</f>
        <v>Sunday Best</v>
      </c>
      <c r="H1846" s="6" t="str">
        <f aca="false">IF(F1846=0,"NOT FOUND",INDEX('All Song Rankings'!$B:$B,F1846))</f>
        <v>Surfaces</v>
      </c>
      <c r="I1846" s="6" t="str">
        <f aca="false">IF(F1846=0,"NOT FOUND",INDEX('All Song Rankings'!$D:$D,F1846))</f>
        <v>Nicole</v>
      </c>
      <c r="J1846" s="7" t="str">
        <f aca="false">IF(F1846=0,"NOT FOUND",IF(C1846=I1846,"SELF-VOTE",IF(COUNTIF($K:$K,K1846)&gt;1,"DUPLICATE","OK")))</f>
        <v>OK</v>
      </c>
      <c r="K1846" s="6" t="str">
        <f aca="false">A1846&amp;"|"&amp;B1846&amp;"|"&amp;C1846&amp;"|"&amp;D1846</f>
        <v>3|7|Lisa|spotify:track:1qYKWcEOrh2tM8PlgIm8K1</v>
      </c>
    </row>
    <row r="1847" customFormat="false" ht="15" hidden="false" customHeight="false" outlineLevel="0" collapsed="false">
      <c r="A1847" s="5" t="n">
        <v>3</v>
      </c>
      <c r="B1847" s="5" t="n">
        <v>7</v>
      </c>
      <c r="C1847" s="5" t="s">
        <v>705</v>
      </c>
      <c r="D1847" s="5" t="s">
        <v>946</v>
      </c>
      <c r="E1847" s="5" t="n">
        <v>1</v>
      </c>
      <c r="F1847" s="6" t="n">
        <f aca="false">IFERROR(MATCH(A1847&amp;"|"&amp;B1847&amp;"|"&amp;D1847,'All Song Rankings'!$T:$T,0),0)</f>
        <v>285</v>
      </c>
      <c r="G1847" s="6" t="str">
        <f aca="false">IF(F1847=0,"NOT FOUND",INDEX('All Song Rankings'!$A:$A,F1847))</f>
        <v>Hard Place - Single Version</v>
      </c>
      <c r="H1847" s="6" t="str">
        <f aca="false">IF(F1847=0,"NOT FOUND",INDEX('All Song Rankings'!$B:$B,F1847))</f>
        <v>H.E.R.</v>
      </c>
      <c r="I1847" s="6" t="str">
        <f aca="false">IF(F1847=0,"NOT FOUND",INDEX('All Song Rankings'!$D:$D,F1847))</f>
        <v>Logan</v>
      </c>
      <c r="J1847" s="7" t="str">
        <f aca="false">IF(F1847=0,"NOT FOUND",IF(C1847=I1847,"SELF-VOTE",IF(COUNTIF($K:$K,K1847)&gt;1,"DUPLICATE","OK")))</f>
        <v>OK</v>
      </c>
      <c r="K1847" s="6" t="str">
        <f aca="false">A1847&amp;"|"&amp;B1847&amp;"|"&amp;C1847&amp;"|"&amp;D1847</f>
        <v>3|7|Lisa|spotify:track:1sMJJQEvUXyxILW5sv3A2P</v>
      </c>
    </row>
    <row r="1848" customFormat="false" ht="15" hidden="false" customHeight="false" outlineLevel="0" collapsed="false">
      <c r="A1848" s="5" t="n">
        <v>3</v>
      </c>
      <c r="B1848" s="5" t="n">
        <v>7</v>
      </c>
      <c r="C1848" s="5" t="s">
        <v>705</v>
      </c>
      <c r="D1848" s="5" t="s">
        <v>949</v>
      </c>
      <c r="E1848" s="5" t="n">
        <v>1</v>
      </c>
      <c r="F1848" s="6" t="n">
        <f aca="false">IFERROR(MATCH(A1848&amp;"|"&amp;B1848&amp;"|"&amp;D1848,'All Song Rankings'!$T:$T,0),0)</f>
        <v>286</v>
      </c>
      <c r="G1848" s="6" t="str">
        <f aca="false">IF(F1848=0,"NOT FOUND",INDEX('All Song Rankings'!$A:$A,F1848))</f>
        <v>Home</v>
      </c>
      <c r="H1848" s="6" t="str">
        <f aca="false">IF(F1848=0,"NOT FOUND",INDEX('All Song Rankings'!$B:$B,F1848))</f>
        <v>Edward Sharpe &amp; The Magnetic Zeros</v>
      </c>
      <c r="I1848" s="6" t="str">
        <f aca="false">IF(F1848=0,"NOT FOUND",INDEX('All Song Rankings'!$D:$D,F1848))</f>
        <v>Kelsey</v>
      </c>
      <c r="J1848" s="7" t="str">
        <f aca="false">IF(F1848=0,"NOT FOUND",IF(C1848=I1848,"SELF-VOTE",IF(COUNTIF($K:$K,K1848)&gt;1,"DUPLICATE","OK")))</f>
        <v>OK</v>
      </c>
      <c r="K1848" s="6" t="str">
        <f aca="false">A1848&amp;"|"&amp;B1848&amp;"|"&amp;C1848&amp;"|"&amp;D1848</f>
        <v>3|7|Lisa|spotify:track:2XJi8jbLnDBZ60gTPpdbrg</v>
      </c>
    </row>
    <row r="1849" customFormat="false" ht="15" hidden="false" customHeight="false" outlineLevel="0" collapsed="false">
      <c r="A1849" s="5" t="n">
        <v>3</v>
      </c>
      <c r="B1849" s="5" t="n">
        <v>7</v>
      </c>
      <c r="C1849" s="5" t="s">
        <v>705</v>
      </c>
      <c r="D1849" s="5" t="s">
        <v>958</v>
      </c>
      <c r="E1849" s="5" t="n">
        <v>1</v>
      </c>
      <c r="F1849" s="6" t="n">
        <f aca="false">IFERROR(MATCH(A1849&amp;"|"&amp;B1849&amp;"|"&amp;D1849,'All Song Rankings'!$T:$T,0),0)</f>
        <v>289</v>
      </c>
      <c r="G1849" s="6" t="str">
        <f aca="false">IF(F1849=0,"NOT FOUND",INDEX('All Song Rankings'!$A:$A,F1849))</f>
        <v>Gone Gone Gone</v>
      </c>
      <c r="H1849" s="6" t="str">
        <f aca="false">IF(F1849=0,"NOT FOUND",INDEX('All Song Rankings'!$B:$B,F1849))</f>
        <v>David Guetta, Teddy Swims, Tones And I</v>
      </c>
      <c r="I1849" s="6" t="str">
        <f aca="false">IF(F1849=0,"NOT FOUND",INDEX('All Song Rankings'!$D:$D,F1849))</f>
        <v>Christine</v>
      </c>
      <c r="J1849" s="7" t="str">
        <f aca="false">IF(F1849=0,"NOT FOUND",IF(C1849=I1849,"SELF-VOTE",IF(COUNTIF($K:$K,K1849)&gt;1,"DUPLICATE","OK")))</f>
        <v>OK</v>
      </c>
      <c r="K1849" s="6" t="str">
        <f aca="false">A1849&amp;"|"&amp;B1849&amp;"|"&amp;C1849&amp;"|"&amp;D1849</f>
        <v>3|7|Lisa|spotify:track:3Dy4xsff7c0fRaTJpA54yd</v>
      </c>
    </row>
    <row r="1850" customFormat="false" ht="15" hidden="false" customHeight="false" outlineLevel="0" collapsed="false">
      <c r="A1850" s="5" t="n">
        <v>3</v>
      </c>
      <c r="B1850" s="5" t="n">
        <v>7</v>
      </c>
      <c r="C1850" s="5" t="s">
        <v>705</v>
      </c>
      <c r="D1850" s="5" t="s">
        <v>974</v>
      </c>
      <c r="E1850" s="5" t="n">
        <v>1</v>
      </c>
      <c r="F1850" s="6" t="n">
        <f aca="false">IFERROR(MATCH(A1850&amp;"|"&amp;B1850&amp;"|"&amp;D1850,'All Song Rankings'!$T:$T,0),0)</f>
        <v>295</v>
      </c>
      <c r="G1850" s="6" t="str">
        <f aca="false">IF(F1850=0,"NOT FOUND",INDEX('All Song Rankings'!$A:$A,F1850))</f>
        <v>Bridges</v>
      </c>
      <c r="H1850" s="6" t="str">
        <f aca="false">IF(F1850=0,"NOT FOUND",INDEX('All Song Rankings'!$B:$B,F1850))</f>
        <v>Rise Against</v>
      </c>
      <c r="I1850" s="6" t="str">
        <f aca="false">IF(F1850=0,"NOT FOUND",INDEX('All Song Rankings'!$D:$D,F1850))</f>
        <v>Kristen</v>
      </c>
      <c r="J1850" s="7" t="str">
        <f aca="false">IF(F1850=0,"NOT FOUND",IF(C1850=I1850,"SELF-VOTE",IF(COUNTIF($K:$K,K1850)&gt;1,"DUPLICATE","OK")))</f>
        <v>OK</v>
      </c>
      <c r="K1850" s="6" t="str">
        <f aca="false">A1850&amp;"|"&amp;B1850&amp;"|"&amp;C1850&amp;"|"&amp;D1850</f>
        <v>3|7|Lisa|spotify:track:4NY0rkhWqRGCEnnJdYvZO1</v>
      </c>
    </row>
    <row r="1851" customFormat="false" ht="15" hidden="false" customHeight="false" outlineLevel="0" collapsed="false">
      <c r="A1851" s="5" t="n">
        <v>3</v>
      </c>
      <c r="B1851" s="5" t="n">
        <v>7</v>
      </c>
      <c r="C1851" s="5" t="s">
        <v>705</v>
      </c>
      <c r="D1851" s="5" t="s">
        <v>977</v>
      </c>
      <c r="E1851" s="5" t="n">
        <v>1</v>
      </c>
      <c r="F1851" s="6" t="n">
        <f aca="false">IFERROR(MATCH(A1851&amp;"|"&amp;B1851&amp;"|"&amp;D1851,'All Song Rankings'!$T:$T,0),0)</f>
        <v>296</v>
      </c>
      <c r="G1851" s="6" t="str">
        <f aca="false">IF(F1851=0,"NOT FOUND",INDEX('All Song Rankings'!$A:$A,F1851))</f>
        <v>Only</v>
      </c>
      <c r="H1851" s="6" t="str">
        <f aca="false">IF(F1851=0,"NOT FOUND",INDEX('All Song Rankings'!$B:$B,F1851))</f>
        <v>NF, Sasha Alex Sloan</v>
      </c>
      <c r="I1851" s="6" t="str">
        <f aca="false">IF(F1851=0,"NOT FOUND",INDEX('All Song Rankings'!$D:$D,F1851))</f>
        <v>Merita</v>
      </c>
      <c r="J1851" s="7" t="str">
        <f aca="false">IF(F1851=0,"NOT FOUND",IF(C1851=I1851,"SELF-VOTE",IF(COUNTIF($K:$K,K1851)&gt;1,"DUPLICATE","OK")))</f>
        <v>OK</v>
      </c>
      <c r="K1851" s="6" t="str">
        <f aca="false">A1851&amp;"|"&amp;B1851&amp;"|"&amp;C1851&amp;"|"&amp;D1851</f>
        <v>3|7|Lisa|spotify:track:5lehoWkVPujeOAwb8BO0uK</v>
      </c>
    </row>
    <row r="1852" customFormat="false" ht="15" hidden="false" customHeight="false" outlineLevel="0" collapsed="false">
      <c r="A1852" s="5" t="n">
        <v>3</v>
      </c>
      <c r="B1852" s="5" t="n">
        <v>7</v>
      </c>
      <c r="C1852" s="5" t="s">
        <v>705</v>
      </c>
      <c r="D1852" s="5" t="s">
        <v>968</v>
      </c>
      <c r="E1852" s="5" t="n">
        <v>1</v>
      </c>
      <c r="F1852" s="6" t="n">
        <f aca="false">IFERROR(MATCH(A1852&amp;"|"&amp;B1852&amp;"|"&amp;D1852,'All Song Rankings'!$T:$T,0),0)</f>
        <v>293</v>
      </c>
      <c r="G1852" s="6" t="str">
        <f aca="false">IF(F1852=0,"NOT FOUND",INDEX('All Song Rankings'!$A:$A,F1852))</f>
        <v>Taking Water</v>
      </c>
      <c r="H1852" s="6" t="str">
        <f aca="false">IF(F1852=0,"NOT FOUND",INDEX('All Song Rankings'!$B:$B,F1852))</f>
        <v>Billy Strings</v>
      </c>
      <c r="I1852" s="6" t="str">
        <f aca="false">IF(F1852=0,"NOT FOUND",INDEX('All Song Rankings'!$D:$D,F1852))</f>
        <v>Leah</v>
      </c>
      <c r="J1852" s="7" t="str">
        <f aca="false">IF(F1852=0,"NOT FOUND",IF(C1852=I1852,"SELF-VOTE",IF(COUNTIF($K:$K,K1852)&gt;1,"DUPLICATE","OK")))</f>
        <v>OK</v>
      </c>
      <c r="K1852" s="6" t="str">
        <f aca="false">A1852&amp;"|"&amp;B1852&amp;"|"&amp;C1852&amp;"|"&amp;D1852</f>
        <v>3|7|Lisa|spotify:track:6CFWS3OAIybkmUQHOZt33S</v>
      </c>
    </row>
    <row r="1853" customFormat="false" ht="15" hidden="false" customHeight="false" outlineLevel="0" collapsed="false">
      <c r="A1853" s="5" t="n">
        <v>3</v>
      </c>
      <c r="B1853" s="5" t="n">
        <v>7</v>
      </c>
      <c r="C1853" s="5" t="s">
        <v>128</v>
      </c>
      <c r="D1853" s="5" t="s">
        <v>965</v>
      </c>
      <c r="E1853" s="5" t="n">
        <v>3</v>
      </c>
      <c r="F1853" s="6" t="n">
        <f aca="false">IFERROR(MATCH(A1853&amp;"|"&amp;B1853&amp;"|"&amp;D1853,'All Song Rankings'!$T:$T,0),0)</f>
        <v>292</v>
      </c>
      <c r="G1853" s="6" t="str">
        <f aca="false">IF(F1853=0,"NOT FOUND",INDEX('All Song Rankings'!$A:$A,F1853))</f>
        <v>Deciduous - Live</v>
      </c>
      <c r="H1853" s="6" t="str">
        <f aca="false">IF(F1853=0,"NOT FOUND",INDEX('All Song Rankings'!$B:$B,F1853))</f>
        <v>Viet Cuong, 2023 FMEA All-State 11/12 Symphonic Band, Emily Threinen</v>
      </c>
      <c r="I1853" s="6" t="str">
        <f aca="false">IF(F1853=0,"NOT FOUND",INDEX('All Song Rankings'!$D:$D,F1853))</f>
        <v>Matt</v>
      </c>
      <c r="J1853" s="7" t="str">
        <f aca="false">IF(F1853=0,"NOT FOUND",IF(C1853=I1853,"SELF-VOTE",IF(COUNTIF($K:$K,K1853)&gt;1,"DUPLICATE","OK")))</f>
        <v>OK</v>
      </c>
      <c r="K1853" s="6" t="str">
        <f aca="false">A1853&amp;"|"&amp;B1853&amp;"|"&amp;C1853&amp;"|"&amp;D1853</f>
        <v>3|7|Logan|spotify:track:0FdK0iPOcDDgxVr3qJBAke</v>
      </c>
    </row>
    <row r="1854" customFormat="false" ht="15" hidden="false" customHeight="false" outlineLevel="0" collapsed="false">
      <c r="A1854" s="5" t="n">
        <v>3</v>
      </c>
      <c r="B1854" s="5" t="n">
        <v>7</v>
      </c>
      <c r="C1854" s="5" t="s">
        <v>128</v>
      </c>
      <c r="D1854" s="5" t="s">
        <v>943</v>
      </c>
      <c r="E1854" s="5" t="n">
        <v>1</v>
      </c>
      <c r="F1854" s="6" t="n">
        <f aca="false">IFERROR(MATCH(A1854&amp;"|"&amp;B1854&amp;"|"&amp;D1854,'All Song Rankings'!$T:$T,0),0)</f>
        <v>284</v>
      </c>
      <c r="G1854" s="6" t="str">
        <f aca="false">IF(F1854=0,"NOT FOUND",INDEX('All Song Rankings'!$A:$A,F1854))</f>
        <v>Sunday Best</v>
      </c>
      <c r="H1854" s="6" t="str">
        <f aca="false">IF(F1854=0,"NOT FOUND",INDEX('All Song Rankings'!$B:$B,F1854))</f>
        <v>Surfaces</v>
      </c>
      <c r="I1854" s="6" t="str">
        <f aca="false">IF(F1854=0,"NOT FOUND",INDEX('All Song Rankings'!$D:$D,F1854))</f>
        <v>Nicole</v>
      </c>
      <c r="J1854" s="7" t="str">
        <f aca="false">IF(F1854=0,"NOT FOUND",IF(C1854=I1854,"SELF-VOTE",IF(COUNTIF($K:$K,K1854)&gt;1,"DUPLICATE","OK")))</f>
        <v>OK</v>
      </c>
      <c r="K1854" s="6" t="str">
        <f aca="false">A1854&amp;"|"&amp;B1854&amp;"|"&amp;C1854&amp;"|"&amp;D1854</f>
        <v>3|7|Logan|spotify:track:1qYKWcEOrh2tM8PlgIm8K1</v>
      </c>
    </row>
    <row r="1855" customFormat="false" ht="15" hidden="false" customHeight="false" outlineLevel="0" collapsed="false">
      <c r="A1855" s="5" t="n">
        <v>3</v>
      </c>
      <c r="B1855" s="5" t="n">
        <v>7</v>
      </c>
      <c r="C1855" s="5" t="s">
        <v>128</v>
      </c>
      <c r="D1855" s="5" t="s">
        <v>937</v>
      </c>
      <c r="E1855" s="5" t="n">
        <v>2</v>
      </c>
      <c r="F1855" s="6" t="n">
        <f aca="false">IFERROR(MATCH(A1855&amp;"|"&amp;B1855&amp;"|"&amp;D1855,'All Song Rankings'!$T:$T,0),0)</f>
        <v>282</v>
      </c>
      <c r="G1855" s="6" t="str">
        <f aca="false">IF(F1855=0,"NOT FOUND",INDEX('All Song Rankings'!$A:$A,F1855))</f>
        <v>My Way - 2008 Remastered</v>
      </c>
      <c r="H1855" s="6" t="str">
        <f aca="false">IF(F1855=0,"NOT FOUND",INDEX('All Song Rankings'!$B:$B,F1855))</f>
        <v>Frank Sinatra</v>
      </c>
      <c r="I1855" s="6" t="str">
        <f aca="false">IF(F1855=0,"NOT FOUND",INDEX('All Song Rankings'!$D:$D,F1855))</f>
        <v>Aubrey</v>
      </c>
      <c r="J1855" s="7" t="str">
        <f aca="false">IF(F1855=0,"NOT FOUND",IF(C1855=I1855,"SELF-VOTE",IF(COUNTIF($K:$K,K1855)&gt;1,"DUPLICATE","OK")))</f>
        <v>OK</v>
      </c>
      <c r="K1855" s="6" t="str">
        <f aca="false">A1855&amp;"|"&amp;B1855&amp;"|"&amp;C1855&amp;"|"&amp;D1855</f>
        <v>3|7|Logan|spotify:track:2YkIDPL5lGhRhomCq4S2RO</v>
      </c>
    </row>
    <row r="1856" customFormat="false" ht="15" hidden="false" customHeight="false" outlineLevel="0" collapsed="false">
      <c r="A1856" s="5" t="n">
        <v>3</v>
      </c>
      <c r="B1856" s="5" t="n">
        <v>7</v>
      </c>
      <c r="C1856" s="5" t="s">
        <v>128</v>
      </c>
      <c r="D1856" s="5" t="s">
        <v>960</v>
      </c>
      <c r="E1856" s="5" t="n">
        <v>1</v>
      </c>
      <c r="F1856" s="6" t="n">
        <f aca="false">IFERROR(MATCH(A1856&amp;"|"&amp;B1856&amp;"|"&amp;D1856,'All Song Rankings'!$T:$T,0),0)</f>
        <v>290</v>
      </c>
      <c r="G1856" s="6" t="str">
        <f aca="false">IF(F1856=0,"NOT FOUND",INDEX('All Song Rankings'!$A:$A,F1856))</f>
        <v>Lose Yourself</v>
      </c>
      <c r="H1856" s="6" t="str">
        <f aca="false">IF(F1856=0,"NOT FOUND",INDEX('All Song Rankings'!$B:$B,F1856))</f>
        <v>Eminem</v>
      </c>
      <c r="I1856" s="6" t="str">
        <f aca="false">IF(F1856=0,"NOT FOUND",INDEX('All Song Rankings'!$D:$D,F1856))</f>
        <v>Colleen</v>
      </c>
      <c r="J1856" s="7" t="str">
        <f aca="false">IF(F1856=0,"NOT FOUND",IF(C1856=I1856,"SELF-VOTE",IF(COUNTIF($K:$K,K1856)&gt;1,"DUPLICATE","OK")))</f>
        <v>OK</v>
      </c>
      <c r="K1856" s="6" t="str">
        <f aca="false">A1856&amp;"|"&amp;B1856&amp;"|"&amp;C1856&amp;"|"&amp;D1856</f>
        <v>3|7|Logan|spotify:track:5Z01UMMf7V1o0MzF86s6WJ</v>
      </c>
    </row>
    <row r="1857" customFormat="false" ht="15" hidden="false" customHeight="false" outlineLevel="0" collapsed="false">
      <c r="A1857" s="5" t="n">
        <v>3</v>
      </c>
      <c r="B1857" s="5" t="n">
        <v>7</v>
      </c>
      <c r="C1857" s="5" t="s">
        <v>128</v>
      </c>
      <c r="D1857" s="5" t="s">
        <v>968</v>
      </c>
      <c r="E1857" s="5" t="n">
        <v>1</v>
      </c>
      <c r="F1857" s="6" t="n">
        <f aca="false">IFERROR(MATCH(A1857&amp;"|"&amp;B1857&amp;"|"&amp;D1857,'All Song Rankings'!$T:$T,0),0)</f>
        <v>293</v>
      </c>
      <c r="G1857" s="6" t="str">
        <f aca="false">IF(F1857=0,"NOT FOUND",INDEX('All Song Rankings'!$A:$A,F1857))</f>
        <v>Taking Water</v>
      </c>
      <c r="H1857" s="6" t="str">
        <f aca="false">IF(F1857=0,"NOT FOUND",INDEX('All Song Rankings'!$B:$B,F1857))</f>
        <v>Billy Strings</v>
      </c>
      <c r="I1857" s="6" t="str">
        <f aca="false">IF(F1857=0,"NOT FOUND",INDEX('All Song Rankings'!$D:$D,F1857))</f>
        <v>Leah</v>
      </c>
      <c r="J1857" s="7" t="str">
        <f aca="false">IF(F1857=0,"NOT FOUND",IF(C1857=I1857,"SELF-VOTE",IF(COUNTIF($K:$K,K1857)&gt;1,"DUPLICATE","OK")))</f>
        <v>OK</v>
      </c>
      <c r="K1857" s="6" t="str">
        <f aca="false">A1857&amp;"|"&amp;B1857&amp;"|"&amp;C1857&amp;"|"&amp;D1857</f>
        <v>3|7|Logan|spotify:track:6CFWS3OAIybkmUQHOZt33S</v>
      </c>
    </row>
    <row r="1858" customFormat="false" ht="15" hidden="false" customHeight="false" outlineLevel="0" collapsed="false">
      <c r="A1858" s="5" t="n">
        <v>3</v>
      </c>
      <c r="B1858" s="5" t="n">
        <v>7</v>
      </c>
      <c r="C1858" s="5" t="s">
        <v>128</v>
      </c>
      <c r="D1858" s="5" t="s">
        <v>971</v>
      </c>
      <c r="E1858" s="5" t="n">
        <v>2</v>
      </c>
      <c r="F1858" s="6" t="n">
        <f aca="false">IFERROR(MATCH(A1858&amp;"|"&amp;B1858&amp;"|"&amp;D1858,'All Song Rankings'!$T:$T,0),0)</f>
        <v>294</v>
      </c>
      <c r="G1858" s="6" t="str">
        <f aca="false">IF(F1858=0,"NOT FOUND",INDEX('All Song Rankings'!$A:$A,F1858))</f>
        <v>Ticks</v>
      </c>
      <c r="H1858" s="6" t="str">
        <f aca="false">IF(F1858=0,"NOT FOUND",INDEX('All Song Rankings'!$B:$B,F1858))</f>
        <v>Brad Paisley</v>
      </c>
      <c r="I1858" s="6" t="str">
        <f aca="false">IF(F1858=0,"NOT FOUND",INDEX('All Song Rankings'!$D:$D,F1858))</f>
        <v>Scott</v>
      </c>
      <c r="J1858" s="7" t="str">
        <f aca="false">IF(F1858=0,"NOT FOUND",IF(C1858=I1858,"SELF-VOTE",IF(COUNTIF($K:$K,K1858)&gt;1,"DUPLICATE","OK")))</f>
        <v>OK</v>
      </c>
      <c r="K1858" s="6" t="str">
        <f aca="false">A1858&amp;"|"&amp;B1858&amp;"|"&amp;C1858&amp;"|"&amp;D1858</f>
        <v>3|7|Logan|spotify:track:736KP0gdltJQWPKk0wVL7l</v>
      </c>
    </row>
    <row r="1859" customFormat="false" ht="15" hidden="false" customHeight="false" outlineLevel="0" collapsed="false">
      <c r="A1859" s="5" t="n">
        <v>3</v>
      </c>
      <c r="B1859" s="5" t="n">
        <v>7</v>
      </c>
      <c r="C1859" s="5" t="s">
        <v>395</v>
      </c>
      <c r="D1859" s="5" t="s">
        <v>955</v>
      </c>
      <c r="E1859" s="5" t="n">
        <v>2</v>
      </c>
      <c r="F1859" s="6" t="n">
        <f aca="false">IFERROR(MATCH(A1859&amp;"|"&amp;B1859&amp;"|"&amp;D1859,'All Song Rankings'!$T:$T,0),0)</f>
        <v>288</v>
      </c>
      <c r="G1859" s="6" t="str">
        <f aca="false">IF(F1859=0,"NOT FOUND",INDEX('All Song Rankings'!$A:$A,F1859))</f>
        <v>Kick Drum Heart</v>
      </c>
      <c r="H1859" s="6" t="str">
        <f aca="false">IF(F1859=0,"NOT FOUND",INDEX('All Song Rankings'!$B:$B,F1859))</f>
        <v>The Avett Brothers</v>
      </c>
      <c r="I1859" s="6" t="str">
        <f aca="false">IF(F1859=0,"NOT FOUND",INDEX('All Song Rankings'!$D:$D,F1859))</f>
        <v>Grace</v>
      </c>
      <c r="J1859" s="7" t="str">
        <f aca="false">IF(F1859=0,"NOT FOUND",IF(C1859=I1859,"SELF-VOTE",IF(COUNTIF($K:$K,K1859)&gt;1,"DUPLICATE","OK")))</f>
        <v>OK</v>
      </c>
      <c r="K1859" s="6" t="str">
        <f aca="false">A1859&amp;"|"&amp;B1859&amp;"|"&amp;C1859&amp;"|"&amp;D1859</f>
        <v>3|7|Makenzie|spotify:track:0KKist1jJYO17nOqtO1sb2</v>
      </c>
    </row>
    <row r="1860" customFormat="false" ht="15" hidden="false" customHeight="false" outlineLevel="0" collapsed="false">
      <c r="A1860" s="5" t="n">
        <v>3</v>
      </c>
      <c r="B1860" s="5" t="n">
        <v>7</v>
      </c>
      <c r="C1860" s="5" t="s">
        <v>395</v>
      </c>
      <c r="D1860" s="5" t="s">
        <v>943</v>
      </c>
      <c r="E1860" s="5" t="n">
        <v>1</v>
      </c>
      <c r="F1860" s="6" t="n">
        <f aca="false">IFERROR(MATCH(A1860&amp;"|"&amp;B1860&amp;"|"&amp;D1860,'All Song Rankings'!$T:$T,0),0)</f>
        <v>284</v>
      </c>
      <c r="G1860" s="6" t="str">
        <f aca="false">IF(F1860=0,"NOT FOUND",INDEX('All Song Rankings'!$A:$A,F1860))</f>
        <v>Sunday Best</v>
      </c>
      <c r="H1860" s="6" t="str">
        <f aca="false">IF(F1860=0,"NOT FOUND",INDEX('All Song Rankings'!$B:$B,F1860))</f>
        <v>Surfaces</v>
      </c>
      <c r="I1860" s="6" t="str">
        <f aca="false">IF(F1860=0,"NOT FOUND",INDEX('All Song Rankings'!$D:$D,F1860))</f>
        <v>Nicole</v>
      </c>
      <c r="J1860" s="7" t="str">
        <f aca="false">IF(F1860=0,"NOT FOUND",IF(C1860=I1860,"SELF-VOTE",IF(COUNTIF($K:$K,K1860)&gt;1,"DUPLICATE","OK")))</f>
        <v>OK</v>
      </c>
      <c r="K1860" s="6" t="str">
        <f aca="false">A1860&amp;"|"&amp;B1860&amp;"|"&amp;C1860&amp;"|"&amp;D1860</f>
        <v>3|7|Makenzie|spotify:track:1qYKWcEOrh2tM8PlgIm8K1</v>
      </c>
    </row>
    <row r="1861" customFormat="false" ht="15" hidden="false" customHeight="false" outlineLevel="0" collapsed="false">
      <c r="A1861" s="5" t="n">
        <v>3</v>
      </c>
      <c r="B1861" s="5" t="n">
        <v>7</v>
      </c>
      <c r="C1861" s="5" t="s">
        <v>395</v>
      </c>
      <c r="D1861" s="5" t="s">
        <v>949</v>
      </c>
      <c r="E1861" s="5" t="n">
        <v>1</v>
      </c>
      <c r="F1861" s="6" t="n">
        <f aca="false">IFERROR(MATCH(A1861&amp;"|"&amp;B1861&amp;"|"&amp;D1861,'All Song Rankings'!$T:$T,0),0)</f>
        <v>286</v>
      </c>
      <c r="G1861" s="6" t="str">
        <f aca="false">IF(F1861=0,"NOT FOUND",INDEX('All Song Rankings'!$A:$A,F1861))</f>
        <v>Home</v>
      </c>
      <c r="H1861" s="6" t="str">
        <f aca="false">IF(F1861=0,"NOT FOUND",INDEX('All Song Rankings'!$B:$B,F1861))</f>
        <v>Edward Sharpe &amp; The Magnetic Zeros</v>
      </c>
      <c r="I1861" s="6" t="str">
        <f aca="false">IF(F1861=0,"NOT FOUND",INDEX('All Song Rankings'!$D:$D,F1861))</f>
        <v>Kelsey</v>
      </c>
      <c r="J1861" s="7" t="str">
        <f aca="false">IF(F1861=0,"NOT FOUND",IF(C1861=I1861,"SELF-VOTE",IF(COUNTIF($K:$K,K1861)&gt;1,"DUPLICATE","OK")))</f>
        <v>OK</v>
      </c>
      <c r="K1861" s="6" t="str">
        <f aca="false">A1861&amp;"|"&amp;B1861&amp;"|"&amp;C1861&amp;"|"&amp;D1861</f>
        <v>3|7|Makenzie|spotify:track:2XJi8jbLnDBZ60gTPpdbrg</v>
      </c>
    </row>
    <row r="1862" customFormat="false" ht="15" hidden="false" customHeight="false" outlineLevel="0" collapsed="false">
      <c r="A1862" s="5" t="n">
        <v>3</v>
      </c>
      <c r="B1862" s="5" t="n">
        <v>7</v>
      </c>
      <c r="C1862" s="5" t="s">
        <v>395</v>
      </c>
      <c r="D1862" s="5" t="s">
        <v>937</v>
      </c>
      <c r="E1862" s="5" t="n">
        <v>1</v>
      </c>
      <c r="F1862" s="6" t="n">
        <f aca="false">IFERROR(MATCH(A1862&amp;"|"&amp;B1862&amp;"|"&amp;D1862,'All Song Rankings'!$T:$T,0),0)</f>
        <v>282</v>
      </c>
      <c r="G1862" s="6" t="str">
        <f aca="false">IF(F1862=0,"NOT FOUND",INDEX('All Song Rankings'!$A:$A,F1862))</f>
        <v>My Way - 2008 Remastered</v>
      </c>
      <c r="H1862" s="6" t="str">
        <f aca="false">IF(F1862=0,"NOT FOUND",INDEX('All Song Rankings'!$B:$B,F1862))</f>
        <v>Frank Sinatra</v>
      </c>
      <c r="I1862" s="6" t="str">
        <f aca="false">IF(F1862=0,"NOT FOUND",INDEX('All Song Rankings'!$D:$D,F1862))</f>
        <v>Aubrey</v>
      </c>
      <c r="J1862" s="7" t="str">
        <f aca="false">IF(F1862=0,"NOT FOUND",IF(C1862=I1862,"SELF-VOTE",IF(COUNTIF($K:$K,K1862)&gt;1,"DUPLICATE","OK")))</f>
        <v>OK</v>
      </c>
      <c r="K1862" s="6" t="str">
        <f aca="false">A1862&amp;"|"&amp;B1862&amp;"|"&amp;C1862&amp;"|"&amp;D1862</f>
        <v>3|7|Makenzie|spotify:track:2YkIDPL5lGhRhomCq4S2RO</v>
      </c>
    </row>
    <row r="1863" customFormat="false" ht="15" hidden="false" customHeight="false" outlineLevel="0" collapsed="false">
      <c r="A1863" s="5" t="n">
        <v>3</v>
      </c>
      <c r="B1863" s="5" t="n">
        <v>7</v>
      </c>
      <c r="C1863" s="5" t="s">
        <v>395</v>
      </c>
      <c r="D1863" s="5" t="s">
        <v>940</v>
      </c>
      <c r="E1863" s="5" t="n">
        <v>2</v>
      </c>
      <c r="F1863" s="6" t="n">
        <f aca="false">IFERROR(MATCH(A1863&amp;"|"&amp;B1863&amp;"|"&amp;D1863,'All Song Rankings'!$T:$T,0),0)</f>
        <v>283</v>
      </c>
      <c r="G1863" s="6" t="str">
        <f aca="false">IF(F1863=0,"NOT FOUND",INDEX('All Song Rankings'!$A:$A,F1863))</f>
        <v>Everything's Magic</v>
      </c>
      <c r="H1863" s="6" t="str">
        <f aca="false">IF(F1863=0,"NOT FOUND",INDEX('All Song Rankings'!$B:$B,F1863))</f>
        <v>Angels &amp; Airwaves</v>
      </c>
      <c r="I1863" s="6" t="str">
        <f aca="false">IF(F1863=0,"NOT FOUND",INDEX('All Song Rankings'!$D:$D,F1863))</f>
        <v>Lisa</v>
      </c>
      <c r="J1863" s="7" t="str">
        <f aca="false">IF(F1863=0,"NOT FOUND",IF(C1863=I1863,"SELF-VOTE",IF(COUNTIF($K:$K,K1863)&gt;1,"DUPLICATE","OK")))</f>
        <v>OK</v>
      </c>
      <c r="K1863" s="6" t="str">
        <f aca="false">A1863&amp;"|"&amp;B1863&amp;"|"&amp;C1863&amp;"|"&amp;D1863</f>
        <v>3|7|Makenzie|spotify:track:3I7IGPFe0DoNXZI9JDYa5P</v>
      </c>
    </row>
    <row r="1864" customFormat="false" ht="15" hidden="false" customHeight="false" outlineLevel="0" collapsed="false">
      <c r="A1864" s="5" t="n">
        <v>3</v>
      </c>
      <c r="B1864" s="5" t="n">
        <v>7</v>
      </c>
      <c r="C1864" s="5" t="s">
        <v>395</v>
      </c>
      <c r="D1864" s="5" t="s">
        <v>960</v>
      </c>
      <c r="E1864" s="5" t="n">
        <v>1</v>
      </c>
      <c r="F1864" s="6" t="n">
        <f aca="false">IFERROR(MATCH(A1864&amp;"|"&amp;B1864&amp;"|"&amp;D1864,'All Song Rankings'!$T:$T,0),0)</f>
        <v>290</v>
      </c>
      <c r="G1864" s="6" t="str">
        <f aca="false">IF(F1864=0,"NOT FOUND",INDEX('All Song Rankings'!$A:$A,F1864))</f>
        <v>Lose Yourself</v>
      </c>
      <c r="H1864" s="6" t="str">
        <f aca="false">IF(F1864=0,"NOT FOUND",INDEX('All Song Rankings'!$B:$B,F1864))</f>
        <v>Eminem</v>
      </c>
      <c r="I1864" s="6" t="str">
        <f aca="false">IF(F1864=0,"NOT FOUND",INDEX('All Song Rankings'!$D:$D,F1864))</f>
        <v>Colleen</v>
      </c>
      <c r="J1864" s="7" t="str">
        <f aca="false">IF(F1864=0,"NOT FOUND",IF(C1864=I1864,"SELF-VOTE",IF(COUNTIF($K:$K,K1864)&gt;1,"DUPLICATE","OK")))</f>
        <v>OK</v>
      </c>
      <c r="K1864" s="6" t="str">
        <f aca="false">A1864&amp;"|"&amp;B1864&amp;"|"&amp;C1864&amp;"|"&amp;D1864</f>
        <v>3|7|Makenzie|spotify:track:5Z01UMMf7V1o0MzF86s6WJ</v>
      </c>
    </row>
    <row r="1865" customFormat="false" ht="15" hidden="false" customHeight="false" outlineLevel="0" collapsed="false">
      <c r="A1865" s="5" t="n">
        <v>3</v>
      </c>
      <c r="B1865" s="5" t="n">
        <v>7</v>
      </c>
      <c r="C1865" s="5" t="s">
        <v>395</v>
      </c>
      <c r="D1865" s="5" t="s">
        <v>977</v>
      </c>
      <c r="E1865" s="5" t="n">
        <v>1</v>
      </c>
      <c r="F1865" s="6" t="n">
        <f aca="false">IFERROR(MATCH(A1865&amp;"|"&amp;B1865&amp;"|"&amp;D1865,'All Song Rankings'!$T:$T,0),0)</f>
        <v>296</v>
      </c>
      <c r="G1865" s="6" t="str">
        <f aca="false">IF(F1865=0,"NOT FOUND",INDEX('All Song Rankings'!$A:$A,F1865))</f>
        <v>Only</v>
      </c>
      <c r="H1865" s="6" t="str">
        <f aca="false">IF(F1865=0,"NOT FOUND",INDEX('All Song Rankings'!$B:$B,F1865))</f>
        <v>NF, Sasha Alex Sloan</v>
      </c>
      <c r="I1865" s="6" t="str">
        <f aca="false">IF(F1865=0,"NOT FOUND",INDEX('All Song Rankings'!$D:$D,F1865))</f>
        <v>Merita</v>
      </c>
      <c r="J1865" s="7" t="str">
        <f aca="false">IF(F1865=0,"NOT FOUND",IF(C1865=I1865,"SELF-VOTE",IF(COUNTIF($K:$K,K1865)&gt;1,"DUPLICATE","OK")))</f>
        <v>OK</v>
      </c>
      <c r="K1865" s="6" t="str">
        <f aca="false">A1865&amp;"|"&amp;B1865&amp;"|"&amp;C1865&amp;"|"&amp;D1865</f>
        <v>3|7|Makenzie|spotify:track:5lehoWkVPujeOAwb8BO0uK</v>
      </c>
    </row>
    <row r="1866" customFormat="false" ht="15" hidden="false" customHeight="false" outlineLevel="0" collapsed="false">
      <c r="A1866" s="5" t="n">
        <v>3</v>
      </c>
      <c r="B1866" s="5" t="n">
        <v>7</v>
      </c>
      <c r="C1866" s="5" t="s">
        <v>395</v>
      </c>
      <c r="D1866" s="5" t="s">
        <v>971</v>
      </c>
      <c r="E1866" s="5" t="n">
        <v>1</v>
      </c>
      <c r="F1866" s="6" t="n">
        <f aca="false">IFERROR(MATCH(A1866&amp;"|"&amp;B1866&amp;"|"&amp;D1866,'All Song Rankings'!$T:$T,0),0)</f>
        <v>294</v>
      </c>
      <c r="G1866" s="6" t="str">
        <f aca="false">IF(F1866=0,"NOT FOUND",INDEX('All Song Rankings'!$A:$A,F1866))</f>
        <v>Ticks</v>
      </c>
      <c r="H1866" s="6" t="str">
        <f aca="false">IF(F1866=0,"NOT FOUND",INDEX('All Song Rankings'!$B:$B,F1866))</f>
        <v>Brad Paisley</v>
      </c>
      <c r="I1866" s="6" t="str">
        <f aca="false">IF(F1866=0,"NOT FOUND",INDEX('All Song Rankings'!$D:$D,F1866))</f>
        <v>Scott</v>
      </c>
      <c r="J1866" s="7" t="str">
        <f aca="false">IF(F1866=0,"NOT FOUND",IF(C1866=I1866,"SELF-VOTE",IF(COUNTIF($K:$K,K1866)&gt;1,"DUPLICATE","OK")))</f>
        <v>OK</v>
      </c>
      <c r="K1866" s="6" t="str">
        <f aca="false">A1866&amp;"|"&amp;B1866&amp;"|"&amp;C1866&amp;"|"&amp;D1866</f>
        <v>3|7|Makenzie|spotify:track:736KP0gdltJQWPKk0wVL7l</v>
      </c>
    </row>
    <row r="1867" customFormat="false" ht="15" hidden="false" customHeight="false" outlineLevel="0" collapsed="false">
      <c r="A1867" s="5" t="n">
        <v>3</v>
      </c>
      <c r="B1867" s="5" t="n">
        <v>7</v>
      </c>
      <c r="C1867" s="5" t="s">
        <v>116</v>
      </c>
      <c r="D1867" s="5" t="s">
        <v>943</v>
      </c>
      <c r="E1867" s="5" t="n">
        <v>2</v>
      </c>
      <c r="F1867" s="6" t="n">
        <f aca="false">IFERROR(MATCH(A1867&amp;"|"&amp;B1867&amp;"|"&amp;D1867,'All Song Rankings'!$T:$T,0),0)</f>
        <v>284</v>
      </c>
      <c r="G1867" s="6" t="str">
        <f aca="false">IF(F1867=0,"NOT FOUND",INDEX('All Song Rankings'!$A:$A,F1867))</f>
        <v>Sunday Best</v>
      </c>
      <c r="H1867" s="6" t="str">
        <f aca="false">IF(F1867=0,"NOT FOUND",INDEX('All Song Rankings'!$B:$B,F1867))</f>
        <v>Surfaces</v>
      </c>
      <c r="I1867" s="6" t="str">
        <f aca="false">IF(F1867=0,"NOT FOUND",INDEX('All Song Rankings'!$D:$D,F1867))</f>
        <v>Nicole</v>
      </c>
      <c r="J1867" s="7" t="str">
        <f aca="false">IF(F1867=0,"NOT FOUND",IF(C1867=I1867,"SELF-VOTE",IF(COUNTIF($K:$K,K1867)&gt;1,"DUPLICATE","OK")))</f>
        <v>OK</v>
      </c>
      <c r="K1867" s="6" t="str">
        <f aca="false">A1867&amp;"|"&amp;B1867&amp;"|"&amp;C1867&amp;"|"&amp;D1867</f>
        <v>3|7|Matt|spotify:track:1qYKWcEOrh2tM8PlgIm8K1</v>
      </c>
    </row>
    <row r="1868" customFormat="false" ht="15" hidden="false" customHeight="false" outlineLevel="0" collapsed="false">
      <c r="A1868" s="5" t="n">
        <v>3</v>
      </c>
      <c r="B1868" s="5" t="n">
        <v>7</v>
      </c>
      <c r="C1868" s="5" t="s">
        <v>116</v>
      </c>
      <c r="D1868" s="5" t="s">
        <v>946</v>
      </c>
      <c r="E1868" s="5" t="n">
        <v>1</v>
      </c>
      <c r="F1868" s="6" t="n">
        <f aca="false">IFERROR(MATCH(A1868&amp;"|"&amp;B1868&amp;"|"&amp;D1868,'All Song Rankings'!$T:$T,0),0)</f>
        <v>285</v>
      </c>
      <c r="G1868" s="6" t="str">
        <f aca="false">IF(F1868=0,"NOT FOUND",INDEX('All Song Rankings'!$A:$A,F1868))</f>
        <v>Hard Place - Single Version</v>
      </c>
      <c r="H1868" s="6" t="str">
        <f aca="false">IF(F1868=0,"NOT FOUND",INDEX('All Song Rankings'!$B:$B,F1868))</f>
        <v>H.E.R.</v>
      </c>
      <c r="I1868" s="6" t="str">
        <f aca="false">IF(F1868=0,"NOT FOUND",INDEX('All Song Rankings'!$D:$D,F1868))</f>
        <v>Logan</v>
      </c>
      <c r="J1868" s="7" t="str">
        <f aca="false">IF(F1868=0,"NOT FOUND",IF(C1868=I1868,"SELF-VOTE",IF(COUNTIF($K:$K,K1868)&gt;1,"DUPLICATE","OK")))</f>
        <v>OK</v>
      </c>
      <c r="K1868" s="6" t="str">
        <f aca="false">A1868&amp;"|"&amp;B1868&amp;"|"&amp;C1868&amp;"|"&amp;D1868</f>
        <v>3|7|Matt|spotify:track:1sMJJQEvUXyxILW5sv3A2P</v>
      </c>
    </row>
    <row r="1869" customFormat="false" ht="15" hidden="false" customHeight="false" outlineLevel="0" collapsed="false">
      <c r="A1869" s="5" t="n">
        <v>3</v>
      </c>
      <c r="B1869" s="5" t="n">
        <v>7</v>
      </c>
      <c r="C1869" s="5" t="s">
        <v>116</v>
      </c>
      <c r="D1869" s="5" t="s">
        <v>949</v>
      </c>
      <c r="E1869" s="5" t="n">
        <v>1</v>
      </c>
      <c r="F1869" s="6" t="n">
        <f aca="false">IFERROR(MATCH(A1869&amp;"|"&amp;B1869&amp;"|"&amp;D1869,'All Song Rankings'!$T:$T,0),0)</f>
        <v>286</v>
      </c>
      <c r="G1869" s="6" t="str">
        <f aca="false">IF(F1869=0,"NOT FOUND",INDEX('All Song Rankings'!$A:$A,F1869))</f>
        <v>Home</v>
      </c>
      <c r="H1869" s="6" t="str">
        <f aca="false">IF(F1869=0,"NOT FOUND",INDEX('All Song Rankings'!$B:$B,F1869))</f>
        <v>Edward Sharpe &amp; The Magnetic Zeros</v>
      </c>
      <c r="I1869" s="6" t="str">
        <f aca="false">IF(F1869=0,"NOT FOUND",INDEX('All Song Rankings'!$D:$D,F1869))</f>
        <v>Kelsey</v>
      </c>
      <c r="J1869" s="7" t="str">
        <f aca="false">IF(F1869=0,"NOT FOUND",IF(C1869=I1869,"SELF-VOTE",IF(COUNTIF($K:$K,K1869)&gt;1,"DUPLICATE","OK")))</f>
        <v>OK</v>
      </c>
      <c r="K1869" s="6" t="str">
        <f aca="false">A1869&amp;"|"&amp;B1869&amp;"|"&amp;C1869&amp;"|"&amp;D1869</f>
        <v>3|7|Matt|spotify:track:2XJi8jbLnDBZ60gTPpdbrg</v>
      </c>
    </row>
    <row r="1870" customFormat="false" ht="15" hidden="false" customHeight="false" outlineLevel="0" collapsed="false">
      <c r="A1870" s="5" t="n">
        <v>3</v>
      </c>
      <c r="B1870" s="5" t="n">
        <v>7</v>
      </c>
      <c r="C1870" s="5" t="s">
        <v>116</v>
      </c>
      <c r="D1870" s="5" t="s">
        <v>937</v>
      </c>
      <c r="E1870" s="5" t="n">
        <v>1</v>
      </c>
      <c r="F1870" s="6" t="n">
        <f aca="false">IFERROR(MATCH(A1870&amp;"|"&amp;B1870&amp;"|"&amp;D1870,'All Song Rankings'!$T:$T,0),0)</f>
        <v>282</v>
      </c>
      <c r="G1870" s="6" t="str">
        <f aca="false">IF(F1870=0,"NOT FOUND",INDEX('All Song Rankings'!$A:$A,F1870))</f>
        <v>My Way - 2008 Remastered</v>
      </c>
      <c r="H1870" s="6" t="str">
        <f aca="false">IF(F1870=0,"NOT FOUND",INDEX('All Song Rankings'!$B:$B,F1870))</f>
        <v>Frank Sinatra</v>
      </c>
      <c r="I1870" s="6" t="str">
        <f aca="false">IF(F1870=0,"NOT FOUND",INDEX('All Song Rankings'!$D:$D,F1870))</f>
        <v>Aubrey</v>
      </c>
      <c r="J1870" s="7" t="str">
        <f aca="false">IF(F1870=0,"NOT FOUND",IF(C1870=I1870,"SELF-VOTE",IF(COUNTIF($K:$K,K1870)&gt;1,"DUPLICATE","OK")))</f>
        <v>OK</v>
      </c>
      <c r="K1870" s="6" t="str">
        <f aca="false">A1870&amp;"|"&amp;B1870&amp;"|"&amp;C1870&amp;"|"&amp;D1870</f>
        <v>3|7|Matt|spotify:track:2YkIDPL5lGhRhomCq4S2RO</v>
      </c>
    </row>
    <row r="1871" customFormat="false" ht="15" hidden="false" customHeight="false" outlineLevel="0" collapsed="false">
      <c r="A1871" s="5" t="n">
        <v>3</v>
      </c>
      <c r="B1871" s="5" t="n">
        <v>7</v>
      </c>
      <c r="C1871" s="5" t="s">
        <v>116</v>
      </c>
      <c r="D1871" s="5" t="s">
        <v>940</v>
      </c>
      <c r="E1871" s="5" t="n">
        <v>1</v>
      </c>
      <c r="F1871" s="6" t="n">
        <f aca="false">IFERROR(MATCH(A1871&amp;"|"&amp;B1871&amp;"|"&amp;D1871,'All Song Rankings'!$T:$T,0),0)</f>
        <v>283</v>
      </c>
      <c r="G1871" s="6" t="str">
        <f aca="false">IF(F1871=0,"NOT FOUND",INDEX('All Song Rankings'!$A:$A,F1871))</f>
        <v>Everything's Magic</v>
      </c>
      <c r="H1871" s="6" t="str">
        <f aca="false">IF(F1871=0,"NOT FOUND",INDEX('All Song Rankings'!$B:$B,F1871))</f>
        <v>Angels &amp; Airwaves</v>
      </c>
      <c r="I1871" s="6" t="str">
        <f aca="false">IF(F1871=0,"NOT FOUND",INDEX('All Song Rankings'!$D:$D,F1871))</f>
        <v>Lisa</v>
      </c>
      <c r="J1871" s="7" t="str">
        <f aca="false">IF(F1871=0,"NOT FOUND",IF(C1871=I1871,"SELF-VOTE",IF(COUNTIF($K:$K,K1871)&gt;1,"DUPLICATE","OK")))</f>
        <v>OK</v>
      </c>
      <c r="K1871" s="6" t="str">
        <f aca="false">A1871&amp;"|"&amp;B1871&amp;"|"&amp;C1871&amp;"|"&amp;D1871</f>
        <v>3|7|Matt|spotify:track:3I7IGPFe0DoNXZI9JDYa5P</v>
      </c>
    </row>
    <row r="1872" customFormat="false" ht="15" hidden="false" customHeight="false" outlineLevel="0" collapsed="false">
      <c r="A1872" s="5" t="n">
        <v>3</v>
      </c>
      <c r="B1872" s="5" t="n">
        <v>7</v>
      </c>
      <c r="C1872" s="5" t="s">
        <v>116</v>
      </c>
      <c r="D1872" s="5" t="s">
        <v>962</v>
      </c>
      <c r="E1872" s="5" t="n">
        <v>1</v>
      </c>
      <c r="F1872" s="6" t="n">
        <f aca="false">IFERROR(MATCH(A1872&amp;"|"&amp;B1872&amp;"|"&amp;D1872,'All Song Rankings'!$T:$T,0),0)</f>
        <v>291</v>
      </c>
      <c r="G1872" s="6" t="str">
        <f aca="false">IF(F1872=0,"NOT FOUND",INDEX('All Song Rankings'!$A:$A,F1872))</f>
        <v>Alone</v>
      </c>
      <c r="H1872" s="6" t="str">
        <f aca="false">IF(F1872=0,"NOT FOUND",INDEX('All Song Rankings'!$B:$B,F1872))</f>
        <v>Marshmello</v>
      </c>
      <c r="I1872" s="6" t="str">
        <f aca="false">IF(F1872=0,"NOT FOUND",INDEX('All Song Rankings'!$D:$D,F1872))</f>
        <v>Makenzie</v>
      </c>
      <c r="J1872" s="7" t="str">
        <f aca="false">IF(F1872=0,"NOT FOUND",IF(C1872=I1872,"SELF-VOTE",IF(COUNTIF($K:$K,K1872)&gt;1,"DUPLICATE","OK")))</f>
        <v>OK</v>
      </c>
      <c r="K1872" s="6" t="str">
        <f aca="false">A1872&amp;"|"&amp;B1872&amp;"|"&amp;C1872&amp;"|"&amp;D1872</f>
        <v>3|7|Matt|spotify:track:3MEYFivt6bilQ9q9mFWZ4g</v>
      </c>
    </row>
    <row r="1873" customFormat="false" ht="15" hidden="false" customHeight="false" outlineLevel="0" collapsed="false">
      <c r="A1873" s="5" t="n">
        <v>3</v>
      </c>
      <c r="B1873" s="5" t="n">
        <v>7</v>
      </c>
      <c r="C1873" s="5" t="s">
        <v>116</v>
      </c>
      <c r="D1873" s="5" t="s">
        <v>977</v>
      </c>
      <c r="E1873" s="5" t="n">
        <v>1</v>
      </c>
      <c r="F1873" s="6" t="n">
        <f aca="false">IFERROR(MATCH(A1873&amp;"|"&amp;B1873&amp;"|"&amp;D1873,'All Song Rankings'!$T:$T,0),0)</f>
        <v>296</v>
      </c>
      <c r="G1873" s="6" t="str">
        <f aca="false">IF(F1873=0,"NOT FOUND",INDEX('All Song Rankings'!$A:$A,F1873))</f>
        <v>Only</v>
      </c>
      <c r="H1873" s="6" t="str">
        <f aca="false">IF(F1873=0,"NOT FOUND",INDEX('All Song Rankings'!$B:$B,F1873))</f>
        <v>NF, Sasha Alex Sloan</v>
      </c>
      <c r="I1873" s="6" t="str">
        <f aca="false">IF(F1873=0,"NOT FOUND",INDEX('All Song Rankings'!$D:$D,F1873))</f>
        <v>Merita</v>
      </c>
      <c r="J1873" s="7" t="str">
        <f aca="false">IF(F1873=0,"NOT FOUND",IF(C1873=I1873,"SELF-VOTE",IF(COUNTIF($K:$K,K1873)&gt;1,"DUPLICATE","OK")))</f>
        <v>OK</v>
      </c>
      <c r="K1873" s="6" t="str">
        <f aca="false">A1873&amp;"|"&amp;B1873&amp;"|"&amp;C1873&amp;"|"&amp;D1873</f>
        <v>3|7|Matt|spotify:track:5lehoWkVPujeOAwb8BO0uK</v>
      </c>
    </row>
    <row r="1874" customFormat="false" ht="15" hidden="false" customHeight="false" outlineLevel="0" collapsed="false">
      <c r="A1874" s="5" t="n">
        <v>3</v>
      </c>
      <c r="B1874" s="5" t="n">
        <v>7</v>
      </c>
      <c r="C1874" s="5" t="s">
        <v>116</v>
      </c>
      <c r="D1874" s="5" t="s">
        <v>968</v>
      </c>
      <c r="E1874" s="5" t="n">
        <v>1</v>
      </c>
      <c r="F1874" s="6" t="n">
        <f aca="false">IFERROR(MATCH(A1874&amp;"|"&amp;B1874&amp;"|"&amp;D1874,'All Song Rankings'!$T:$T,0),0)</f>
        <v>293</v>
      </c>
      <c r="G1874" s="6" t="str">
        <f aca="false">IF(F1874=0,"NOT FOUND",INDEX('All Song Rankings'!$A:$A,F1874))</f>
        <v>Taking Water</v>
      </c>
      <c r="H1874" s="6" t="str">
        <f aca="false">IF(F1874=0,"NOT FOUND",INDEX('All Song Rankings'!$B:$B,F1874))</f>
        <v>Billy Strings</v>
      </c>
      <c r="I1874" s="6" t="str">
        <f aca="false">IF(F1874=0,"NOT FOUND",INDEX('All Song Rankings'!$D:$D,F1874))</f>
        <v>Leah</v>
      </c>
      <c r="J1874" s="7" t="str">
        <f aca="false">IF(F1874=0,"NOT FOUND",IF(C1874=I1874,"SELF-VOTE",IF(COUNTIF($K:$K,K1874)&gt;1,"DUPLICATE","OK")))</f>
        <v>OK</v>
      </c>
      <c r="K1874" s="6" t="str">
        <f aca="false">A1874&amp;"|"&amp;B1874&amp;"|"&amp;C1874&amp;"|"&amp;D1874</f>
        <v>3|7|Matt|spotify:track:6CFWS3OAIybkmUQHOZt33S</v>
      </c>
    </row>
    <row r="1875" customFormat="false" ht="15" hidden="false" customHeight="false" outlineLevel="0" collapsed="false">
      <c r="A1875" s="5" t="n">
        <v>3</v>
      </c>
      <c r="B1875" s="5" t="n">
        <v>7</v>
      </c>
      <c r="C1875" s="5" t="s">
        <v>116</v>
      </c>
      <c r="D1875" s="5" t="s">
        <v>971</v>
      </c>
      <c r="E1875" s="5" t="n">
        <v>1</v>
      </c>
      <c r="F1875" s="6" t="n">
        <f aca="false">IFERROR(MATCH(A1875&amp;"|"&amp;B1875&amp;"|"&amp;D1875,'All Song Rankings'!$T:$T,0),0)</f>
        <v>294</v>
      </c>
      <c r="G1875" s="6" t="str">
        <f aca="false">IF(F1875=0,"NOT FOUND",INDEX('All Song Rankings'!$A:$A,F1875))</f>
        <v>Ticks</v>
      </c>
      <c r="H1875" s="6" t="str">
        <f aca="false">IF(F1875=0,"NOT FOUND",INDEX('All Song Rankings'!$B:$B,F1875))</f>
        <v>Brad Paisley</v>
      </c>
      <c r="I1875" s="6" t="str">
        <f aca="false">IF(F1875=0,"NOT FOUND",INDEX('All Song Rankings'!$D:$D,F1875))</f>
        <v>Scott</v>
      </c>
      <c r="J1875" s="7" t="str">
        <f aca="false">IF(F1875=0,"NOT FOUND",IF(C1875=I1875,"SELF-VOTE",IF(COUNTIF($K:$K,K1875)&gt;1,"DUPLICATE","OK")))</f>
        <v>OK</v>
      </c>
      <c r="K1875" s="6" t="str">
        <f aca="false">A1875&amp;"|"&amp;B1875&amp;"|"&amp;C1875&amp;"|"&amp;D1875</f>
        <v>3|7|Matt|spotify:track:736KP0gdltJQWPKk0wVL7l</v>
      </c>
    </row>
    <row r="1876" customFormat="false" ht="15" hidden="false" customHeight="false" outlineLevel="0" collapsed="false">
      <c r="A1876" s="5" t="n">
        <v>3</v>
      </c>
      <c r="B1876" s="5" t="n">
        <v>7</v>
      </c>
      <c r="C1876" s="5" t="s">
        <v>92</v>
      </c>
      <c r="D1876" s="5" t="s">
        <v>952</v>
      </c>
      <c r="E1876" s="5" t="n">
        <v>1</v>
      </c>
      <c r="F1876" s="6" t="n">
        <f aca="false">IFERROR(MATCH(A1876&amp;"|"&amp;B1876&amp;"|"&amp;D1876,'All Song Rankings'!$T:$T,0),0)</f>
        <v>287</v>
      </c>
      <c r="G1876" s="6" t="str">
        <f aca="false">IF(F1876=0,"NOT FOUND",INDEX('All Song Rankings'!$A:$A,F1876))</f>
        <v>Chicken Fried</v>
      </c>
      <c r="H1876" s="6" t="str">
        <f aca="false">IF(F1876=0,"NOT FOUND",INDEX('All Song Rankings'!$B:$B,F1876))</f>
        <v>Zac Brown Band</v>
      </c>
      <c r="I1876" s="6" t="str">
        <f aca="false">IF(F1876=0,"NOT FOUND",INDEX('All Song Rankings'!$D:$D,F1876))</f>
        <v>Stephanie</v>
      </c>
      <c r="J1876" s="7" t="str">
        <f aca="false">IF(F1876=0,"NOT FOUND",IF(C1876=I1876,"SELF-VOTE",IF(COUNTIF($K:$K,K1876)&gt;1,"DUPLICATE","OK")))</f>
        <v>OK</v>
      </c>
      <c r="K1876" s="6" t="str">
        <f aca="false">A1876&amp;"|"&amp;B1876&amp;"|"&amp;C1876&amp;"|"&amp;D1876</f>
        <v>3|7|Nicole|spotify:track:0LQtEJt7x0s6knb6RKdRYc</v>
      </c>
    </row>
    <row r="1877" customFormat="false" ht="15" hidden="false" customHeight="false" outlineLevel="0" collapsed="false">
      <c r="A1877" s="5" t="n">
        <v>3</v>
      </c>
      <c r="B1877" s="5" t="n">
        <v>7</v>
      </c>
      <c r="C1877" s="5" t="s">
        <v>92</v>
      </c>
      <c r="D1877" s="5" t="s">
        <v>949</v>
      </c>
      <c r="E1877" s="5" t="n">
        <v>4</v>
      </c>
      <c r="F1877" s="6" t="n">
        <f aca="false">IFERROR(MATCH(A1877&amp;"|"&amp;B1877&amp;"|"&amp;D1877,'All Song Rankings'!$T:$T,0),0)</f>
        <v>286</v>
      </c>
      <c r="G1877" s="6" t="str">
        <f aca="false">IF(F1877=0,"NOT FOUND",INDEX('All Song Rankings'!$A:$A,F1877))</f>
        <v>Home</v>
      </c>
      <c r="H1877" s="6" t="str">
        <f aca="false">IF(F1877=0,"NOT FOUND",INDEX('All Song Rankings'!$B:$B,F1877))</f>
        <v>Edward Sharpe &amp; The Magnetic Zeros</v>
      </c>
      <c r="I1877" s="6" t="str">
        <f aca="false">IF(F1877=0,"NOT FOUND",INDEX('All Song Rankings'!$D:$D,F1877))</f>
        <v>Kelsey</v>
      </c>
      <c r="J1877" s="7" t="str">
        <f aca="false">IF(F1877=0,"NOT FOUND",IF(C1877=I1877,"SELF-VOTE",IF(COUNTIF($K:$K,K1877)&gt;1,"DUPLICATE","OK")))</f>
        <v>OK</v>
      </c>
      <c r="K1877" s="6" t="str">
        <f aca="false">A1877&amp;"|"&amp;B1877&amp;"|"&amp;C1877&amp;"|"&amp;D1877</f>
        <v>3|7|Nicole|spotify:track:2XJi8jbLnDBZ60gTPpdbrg</v>
      </c>
    </row>
    <row r="1878" customFormat="false" ht="15" hidden="false" customHeight="false" outlineLevel="0" collapsed="false">
      <c r="A1878" s="5" t="n">
        <v>3</v>
      </c>
      <c r="B1878" s="5" t="n">
        <v>7</v>
      </c>
      <c r="C1878" s="5" t="s">
        <v>92</v>
      </c>
      <c r="D1878" s="5" t="s">
        <v>974</v>
      </c>
      <c r="E1878" s="5" t="n">
        <v>1</v>
      </c>
      <c r="F1878" s="6" t="n">
        <f aca="false">IFERROR(MATCH(A1878&amp;"|"&amp;B1878&amp;"|"&amp;D1878,'All Song Rankings'!$T:$T,0),0)</f>
        <v>295</v>
      </c>
      <c r="G1878" s="6" t="str">
        <f aca="false">IF(F1878=0,"NOT FOUND",INDEX('All Song Rankings'!$A:$A,F1878))</f>
        <v>Bridges</v>
      </c>
      <c r="H1878" s="6" t="str">
        <f aca="false">IF(F1878=0,"NOT FOUND",INDEX('All Song Rankings'!$B:$B,F1878))</f>
        <v>Rise Against</v>
      </c>
      <c r="I1878" s="6" t="str">
        <f aca="false">IF(F1878=0,"NOT FOUND",INDEX('All Song Rankings'!$D:$D,F1878))</f>
        <v>Kristen</v>
      </c>
      <c r="J1878" s="7" t="str">
        <f aca="false">IF(F1878=0,"NOT FOUND",IF(C1878=I1878,"SELF-VOTE",IF(COUNTIF($K:$K,K1878)&gt;1,"DUPLICATE","OK")))</f>
        <v>OK</v>
      </c>
      <c r="K1878" s="6" t="str">
        <f aca="false">A1878&amp;"|"&amp;B1878&amp;"|"&amp;C1878&amp;"|"&amp;D1878</f>
        <v>3|7|Nicole|spotify:track:4NY0rkhWqRGCEnnJdYvZO1</v>
      </c>
    </row>
    <row r="1879" customFormat="false" ht="15" hidden="false" customHeight="false" outlineLevel="0" collapsed="false">
      <c r="A1879" s="5" t="n">
        <v>3</v>
      </c>
      <c r="B1879" s="5" t="n">
        <v>7</v>
      </c>
      <c r="C1879" s="5" t="s">
        <v>92</v>
      </c>
      <c r="D1879" s="5" t="s">
        <v>960</v>
      </c>
      <c r="E1879" s="5" t="n">
        <v>1</v>
      </c>
      <c r="F1879" s="6" t="n">
        <f aca="false">IFERROR(MATCH(A1879&amp;"|"&amp;B1879&amp;"|"&amp;D1879,'All Song Rankings'!$T:$T,0),0)</f>
        <v>290</v>
      </c>
      <c r="G1879" s="6" t="str">
        <f aca="false">IF(F1879=0,"NOT FOUND",INDEX('All Song Rankings'!$A:$A,F1879))</f>
        <v>Lose Yourself</v>
      </c>
      <c r="H1879" s="6" t="str">
        <f aca="false">IF(F1879=0,"NOT FOUND",INDEX('All Song Rankings'!$B:$B,F1879))</f>
        <v>Eminem</v>
      </c>
      <c r="I1879" s="6" t="str">
        <f aca="false">IF(F1879=0,"NOT FOUND",INDEX('All Song Rankings'!$D:$D,F1879))</f>
        <v>Colleen</v>
      </c>
      <c r="J1879" s="7" t="str">
        <f aca="false">IF(F1879=0,"NOT FOUND",IF(C1879=I1879,"SELF-VOTE",IF(COUNTIF($K:$K,K1879)&gt;1,"DUPLICATE","OK")))</f>
        <v>OK</v>
      </c>
      <c r="K1879" s="6" t="str">
        <f aca="false">A1879&amp;"|"&amp;B1879&amp;"|"&amp;C1879&amp;"|"&amp;D1879</f>
        <v>3|7|Nicole|spotify:track:5Z01UMMf7V1o0MzF86s6WJ</v>
      </c>
    </row>
    <row r="1880" customFormat="false" ht="15" hidden="false" customHeight="false" outlineLevel="0" collapsed="false">
      <c r="A1880" s="5" t="n">
        <v>3</v>
      </c>
      <c r="B1880" s="5" t="n">
        <v>7</v>
      </c>
      <c r="C1880" s="5" t="s">
        <v>92</v>
      </c>
      <c r="D1880" s="5" t="s">
        <v>977</v>
      </c>
      <c r="E1880" s="5" t="n">
        <v>1</v>
      </c>
      <c r="F1880" s="6" t="n">
        <f aca="false">IFERROR(MATCH(A1880&amp;"|"&amp;B1880&amp;"|"&amp;D1880,'All Song Rankings'!$T:$T,0),0)</f>
        <v>296</v>
      </c>
      <c r="G1880" s="6" t="str">
        <f aca="false">IF(F1880=0,"NOT FOUND",INDEX('All Song Rankings'!$A:$A,F1880))</f>
        <v>Only</v>
      </c>
      <c r="H1880" s="6" t="str">
        <f aca="false">IF(F1880=0,"NOT FOUND",INDEX('All Song Rankings'!$B:$B,F1880))</f>
        <v>NF, Sasha Alex Sloan</v>
      </c>
      <c r="I1880" s="6" t="str">
        <f aca="false">IF(F1880=0,"NOT FOUND",INDEX('All Song Rankings'!$D:$D,F1880))</f>
        <v>Merita</v>
      </c>
      <c r="J1880" s="7" t="str">
        <f aca="false">IF(F1880=0,"NOT FOUND",IF(C1880=I1880,"SELF-VOTE",IF(COUNTIF($K:$K,K1880)&gt;1,"DUPLICATE","OK")))</f>
        <v>OK</v>
      </c>
      <c r="K1880" s="6" t="str">
        <f aca="false">A1880&amp;"|"&amp;B1880&amp;"|"&amp;C1880&amp;"|"&amp;D1880</f>
        <v>3|7|Nicole|spotify:track:5lehoWkVPujeOAwb8BO0uK</v>
      </c>
    </row>
    <row r="1881" customFormat="false" ht="15" hidden="false" customHeight="false" outlineLevel="0" collapsed="false">
      <c r="A1881" s="5" t="n">
        <v>3</v>
      </c>
      <c r="B1881" s="5" t="n">
        <v>7</v>
      </c>
      <c r="C1881" s="5" t="s">
        <v>92</v>
      </c>
      <c r="D1881" s="5" t="s">
        <v>968</v>
      </c>
      <c r="E1881" s="5" t="n">
        <v>1</v>
      </c>
      <c r="F1881" s="6" t="n">
        <f aca="false">IFERROR(MATCH(A1881&amp;"|"&amp;B1881&amp;"|"&amp;D1881,'All Song Rankings'!$T:$T,0),0)</f>
        <v>293</v>
      </c>
      <c r="G1881" s="6" t="str">
        <f aca="false">IF(F1881=0,"NOT FOUND",INDEX('All Song Rankings'!$A:$A,F1881))</f>
        <v>Taking Water</v>
      </c>
      <c r="H1881" s="6" t="str">
        <f aca="false">IF(F1881=0,"NOT FOUND",INDEX('All Song Rankings'!$B:$B,F1881))</f>
        <v>Billy Strings</v>
      </c>
      <c r="I1881" s="6" t="str">
        <f aca="false">IF(F1881=0,"NOT FOUND",INDEX('All Song Rankings'!$D:$D,F1881))</f>
        <v>Leah</v>
      </c>
      <c r="J1881" s="7" t="str">
        <f aca="false">IF(F1881=0,"NOT FOUND",IF(C1881=I1881,"SELF-VOTE",IF(COUNTIF($K:$K,K1881)&gt;1,"DUPLICATE","OK")))</f>
        <v>OK</v>
      </c>
      <c r="K1881" s="6" t="str">
        <f aca="false">A1881&amp;"|"&amp;B1881&amp;"|"&amp;C1881&amp;"|"&amp;D1881</f>
        <v>3|7|Nicole|spotify:track:6CFWS3OAIybkmUQHOZt33S</v>
      </c>
    </row>
    <row r="1882" customFormat="false" ht="15" hidden="false" customHeight="false" outlineLevel="0" collapsed="false">
      <c r="A1882" s="5" t="n">
        <v>3</v>
      </c>
      <c r="B1882" s="5" t="n">
        <v>7</v>
      </c>
      <c r="C1882" s="5" t="s">
        <v>92</v>
      </c>
      <c r="D1882" s="5" t="s">
        <v>971</v>
      </c>
      <c r="E1882" s="5" t="n">
        <v>1</v>
      </c>
      <c r="F1882" s="6" t="n">
        <f aca="false">IFERROR(MATCH(A1882&amp;"|"&amp;B1882&amp;"|"&amp;D1882,'All Song Rankings'!$T:$T,0),0)</f>
        <v>294</v>
      </c>
      <c r="G1882" s="6" t="str">
        <f aca="false">IF(F1882=0,"NOT FOUND",INDEX('All Song Rankings'!$A:$A,F1882))</f>
        <v>Ticks</v>
      </c>
      <c r="H1882" s="6" t="str">
        <f aca="false">IF(F1882=0,"NOT FOUND",INDEX('All Song Rankings'!$B:$B,F1882))</f>
        <v>Brad Paisley</v>
      </c>
      <c r="I1882" s="6" t="str">
        <f aca="false">IF(F1882=0,"NOT FOUND",INDEX('All Song Rankings'!$D:$D,F1882))</f>
        <v>Scott</v>
      </c>
      <c r="J1882" s="7" t="str">
        <f aca="false">IF(F1882=0,"NOT FOUND",IF(C1882=I1882,"SELF-VOTE",IF(COUNTIF($K:$K,K1882)&gt;1,"DUPLICATE","OK")))</f>
        <v>OK</v>
      </c>
      <c r="K1882" s="6" t="str">
        <f aca="false">A1882&amp;"|"&amp;B1882&amp;"|"&amp;C1882&amp;"|"&amp;D1882</f>
        <v>3|7|Nicole|spotify:track:736KP0gdltJQWPKk0wVL7l</v>
      </c>
    </row>
    <row r="1883" customFormat="false" ht="15" hidden="false" customHeight="false" outlineLevel="0" collapsed="false">
      <c r="A1883" s="5" t="n">
        <v>3</v>
      </c>
      <c r="B1883" s="5" t="n">
        <v>7</v>
      </c>
      <c r="C1883" s="5" t="s">
        <v>484</v>
      </c>
      <c r="D1883" s="5" t="s">
        <v>965</v>
      </c>
      <c r="E1883" s="5" t="n">
        <v>2</v>
      </c>
      <c r="F1883" s="6" t="n">
        <f aca="false">IFERROR(MATCH(A1883&amp;"|"&amp;B1883&amp;"|"&amp;D1883,'All Song Rankings'!$T:$T,0),0)</f>
        <v>292</v>
      </c>
      <c r="G1883" s="6" t="str">
        <f aca="false">IF(F1883=0,"NOT FOUND",INDEX('All Song Rankings'!$A:$A,F1883))</f>
        <v>Deciduous - Live</v>
      </c>
      <c r="H1883" s="6" t="str">
        <f aca="false">IF(F1883=0,"NOT FOUND",INDEX('All Song Rankings'!$B:$B,F1883))</f>
        <v>Viet Cuong, 2023 FMEA All-State 11/12 Symphonic Band, Emily Threinen</v>
      </c>
      <c r="I1883" s="6" t="str">
        <f aca="false">IF(F1883=0,"NOT FOUND",INDEX('All Song Rankings'!$D:$D,F1883))</f>
        <v>Matt</v>
      </c>
      <c r="J1883" s="7" t="str">
        <f aca="false">IF(F1883=0,"NOT FOUND",IF(C1883=I1883,"SELF-VOTE",IF(COUNTIF($K:$K,K1883)&gt;1,"DUPLICATE","OK")))</f>
        <v>OK</v>
      </c>
      <c r="K1883" s="6" t="str">
        <f aca="false">A1883&amp;"|"&amp;B1883&amp;"|"&amp;C1883&amp;"|"&amp;D1883</f>
        <v>3|7|Scott|spotify:track:0FdK0iPOcDDgxVr3qJBAke</v>
      </c>
    </row>
    <row r="1884" customFormat="false" ht="15" hidden="false" customHeight="false" outlineLevel="0" collapsed="false">
      <c r="A1884" s="5" t="n">
        <v>3</v>
      </c>
      <c r="B1884" s="5" t="n">
        <v>7</v>
      </c>
      <c r="C1884" s="5" t="s">
        <v>484</v>
      </c>
      <c r="D1884" s="5" t="s">
        <v>955</v>
      </c>
      <c r="E1884" s="5" t="n">
        <v>2</v>
      </c>
      <c r="F1884" s="6" t="n">
        <f aca="false">IFERROR(MATCH(A1884&amp;"|"&amp;B1884&amp;"|"&amp;D1884,'All Song Rankings'!$T:$T,0),0)</f>
        <v>288</v>
      </c>
      <c r="G1884" s="6" t="str">
        <f aca="false">IF(F1884=0,"NOT FOUND",INDEX('All Song Rankings'!$A:$A,F1884))</f>
        <v>Kick Drum Heart</v>
      </c>
      <c r="H1884" s="6" t="str">
        <f aca="false">IF(F1884=0,"NOT FOUND",INDEX('All Song Rankings'!$B:$B,F1884))</f>
        <v>The Avett Brothers</v>
      </c>
      <c r="I1884" s="6" t="str">
        <f aca="false">IF(F1884=0,"NOT FOUND",INDEX('All Song Rankings'!$D:$D,F1884))</f>
        <v>Grace</v>
      </c>
      <c r="J1884" s="7" t="str">
        <f aca="false">IF(F1884=0,"NOT FOUND",IF(C1884=I1884,"SELF-VOTE",IF(COUNTIF($K:$K,K1884)&gt;1,"DUPLICATE","OK")))</f>
        <v>OK</v>
      </c>
      <c r="K1884" s="6" t="str">
        <f aca="false">A1884&amp;"|"&amp;B1884&amp;"|"&amp;C1884&amp;"|"&amp;D1884</f>
        <v>3|7|Scott|spotify:track:0KKist1jJYO17nOqtO1sb2</v>
      </c>
    </row>
    <row r="1885" customFormat="false" ht="15" hidden="false" customHeight="false" outlineLevel="0" collapsed="false">
      <c r="A1885" s="5" t="n">
        <v>3</v>
      </c>
      <c r="B1885" s="5" t="n">
        <v>7</v>
      </c>
      <c r="C1885" s="5" t="s">
        <v>484</v>
      </c>
      <c r="D1885" s="5" t="s">
        <v>949</v>
      </c>
      <c r="E1885" s="5" t="n">
        <v>1</v>
      </c>
      <c r="F1885" s="6" t="n">
        <f aca="false">IFERROR(MATCH(A1885&amp;"|"&amp;B1885&amp;"|"&amp;D1885,'All Song Rankings'!$T:$T,0),0)</f>
        <v>286</v>
      </c>
      <c r="G1885" s="6" t="str">
        <f aca="false">IF(F1885=0,"NOT FOUND",INDEX('All Song Rankings'!$A:$A,F1885))</f>
        <v>Home</v>
      </c>
      <c r="H1885" s="6" t="str">
        <f aca="false">IF(F1885=0,"NOT FOUND",INDEX('All Song Rankings'!$B:$B,F1885))</f>
        <v>Edward Sharpe &amp; The Magnetic Zeros</v>
      </c>
      <c r="I1885" s="6" t="str">
        <f aca="false">IF(F1885=0,"NOT FOUND",INDEX('All Song Rankings'!$D:$D,F1885))</f>
        <v>Kelsey</v>
      </c>
      <c r="J1885" s="7" t="str">
        <f aca="false">IF(F1885=0,"NOT FOUND",IF(C1885=I1885,"SELF-VOTE",IF(COUNTIF($K:$K,K1885)&gt;1,"DUPLICATE","OK")))</f>
        <v>OK</v>
      </c>
      <c r="K1885" s="6" t="str">
        <f aca="false">A1885&amp;"|"&amp;B1885&amp;"|"&amp;C1885&amp;"|"&amp;D1885</f>
        <v>3|7|Scott|spotify:track:2XJi8jbLnDBZ60gTPpdbrg</v>
      </c>
    </row>
    <row r="1886" customFormat="false" ht="15" hidden="false" customHeight="false" outlineLevel="0" collapsed="false">
      <c r="A1886" s="5" t="n">
        <v>3</v>
      </c>
      <c r="B1886" s="5" t="n">
        <v>7</v>
      </c>
      <c r="C1886" s="5" t="s">
        <v>484</v>
      </c>
      <c r="D1886" s="5" t="s">
        <v>940</v>
      </c>
      <c r="E1886" s="5" t="n">
        <v>1</v>
      </c>
      <c r="F1886" s="6" t="n">
        <f aca="false">IFERROR(MATCH(A1886&amp;"|"&amp;B1886&amp;"|"&amp;D1886,'All Song Rankings'!$T:$T,0),0)</f>
        <v>283</v>
      </c>
      <c r="G1886" s="6" t="str">
        <f aca="false">IF(F1886=0,"NOT FOUND",INDEX('All Song Rankings'!$A:$A,F1886))</f>
        <v>Everything's Magic</v>
      </c>
      <c r="H1886" s="6" t="str">
        <f aca="false">IF(F1886=0,"NOT FOUND",INDEX('All Song Rankings'!$B:$B,F1886))</f>
        <v>Angels &amp; Airwaves</v>
      </c>
      <c r="I1886" s="6" t="str">
        <f aca="false">IF(F1886=0,"NOT FOUND",INDEX('All Song Rankings'!$D:$D,F1886))</f>
        <v>Lisa</v>
      </c>
      <c r="J1886" s="7" t="str">
        <f aca="false">IF(F1886=0,"NOT FOUND",IF(C1886=I1886,"SELF-VOTE",IF(COUNTIF($K:$K,K1886)&gt;1,"DUPLICATE","OK")))</f>
        <v>OK</v>
      </c>
      <c r="K1886" s="6" t="str">
        <f aca="false">A1886&amp;"|"&amp;B1886&amp;"|"&amp;C1886&amp;"|"&amp;D1886</f>
        <v>3|7|Scott|spotify:track:3I7IGPFe0DoNXZI9JDYa5P</v>
      </c>
    </row>
    <row r="1887" customFormat="false" ht="15" hidden="false" customHeight="false" outlineLevel="0" collapsed="false">
      <c r="A1887" s="5" t="n">
        <v>3</v>
      </c>
      <c r="B1887" s="5" t="n">
        <v>7</v>
      </c>
      <c r="C1887" s="5" t="s">
        <v>484</v>
      </c>
      <c r="D1887" s="5" t="s">
        <v>962</v>
      </c>
      <c r="E1887" s="5" t="n">
        <v>1</v>
      </c>
      <c r="F1887" s="6" t="n">
        <f aca="false">IFERROR(MATCH(A1887&amp;"|"&amp;B1887&amp;"|"&amp;D1887,'All Song Rankings'!$T:$T,0),0)</f>
        <v>291</v>
      </c>
      <c r="G1887" s="6" t="str">
        <f aca="false">IF(F1887=0,"NOT FOUND",INDEX('All Song Rankings'!$A:$A,F1887))</f>
        <v>Alone</v>
      </c>
      <c r="H1887" s="6" t="str">
        <f aca="false">IF(F1887=0,"NOT FOUND",INDEX('All Song Rankings'!$B:$B,F1887))</f>
        <v>Marshmello</v>
      </c>
      <c r="I1887" s="6" t="str">
        <f aca="false">IF(F1887=0,"NOT FOUND",INDEX('All Song Rankings'!$D:$D,F1887))</f>
        <v>Makenzie</v>
      </c>
      <c r="J1887" s="7" t="str">
        <f aca="false">IF(F1887=0,"NOT FOUND",IF(C1887=I1887,"SELF-VOTE",IF(COUNTIF($K:$K,K1887)&gt;1,"DUPLICATE","OK")))</f>
        <v>OK</v>
      </c>
      <c r="K1887" s="6" t="str">
        <f aca="false">A1887&amp;"|"&amp;B1887&amp;"|"&amp;C1887&amp;"|"&amp;D1887</f>
        <v>3|7|Scott|spotify:track:3MEYFivt6bilQ9q9mFWZ4g</v>
      </c>
    </row>
    <row r="1888" customFormat="false" ht="15" hidden="false" customHeight="false" outlineLevel="0" collapsed="false">
      <c r="A1888" s="5" t="n">
        <v>3</v>
      </c>
      <c r="B1888" s="5" t="n">
        <v>7</v>
      </c>
      <c r="C1888" s="5" t="s">
        <v>484</v>
      </c>
      <c r="D1888" s="5" t="s">
        <v>960</v>
      </c>
      <c r="E1888" s="5" t="n">
        <v>1</v>
      </c>
      <c r="F1888" s="6" t="n">
        <f aca="false">IFERROR(MATCH(A1888&amp;"|"&amp;B1888&amp;"|"&amp;D1888,'All Song Rankings'!$T:$T,0),0)</f>
        <v>290</v>
      </c>
      <c r="G1888" s="6" t="str">
        <f aca="false">IF(F1888=0,"NOT FOUND",INDEX('All Song Rankings'!$A:$A,F1888))</f>
        <v>Lose Yourself</v>
      </c>
      <c r="H1888" s="6" t="str">
        <f aca="false">IF(F1888=0,"NOT FOUND",INDEX('All Song Rankings'!$B:$B,F1888))</f>
        <v>Eminem</v>
      </c>
      <c r="I1888" s="6" t="str">
        <f aca="false">IF(F1888=0,"NOT FOUND",INDEX('All Song Rankings'!$D:$D,F1888))</f>
        <v>Colleen</v>
      </c>
      <c r="J1888" s="7" t="str">
        <f aca="false">IF(F1888=0,"NOT FOUND",IF(C1888=I1888,"SELF-VOTE",IF(COUNTIF($K:$K,K1888)&gt;1,"DUPLICATE","OK")))</f>
        <v>OK</v>
      </c>
      <c r="K1888" s="6" t="str">
        <f aca="false">A1888&amp;"|"&amp;B1888&amp;"|"&amp;C1888&amp;"|"&amp;D1888</f>
        <v>3|7|Scott|spotify:track:5Z01UMMf7V1o0MzF86s6WJ</v>
      </c>
    </row>
    <row r="1889" customFormat="false" ht="15" hidden="false" customHeight="false" outlineLevel="0" collapsed="false">
      <c r="A1889" s="5" t="n">
        <v>3</v>
      </c>
      <c r="B1889" s="5" t="n">
        <v>7</v>
      </c>
      <c r="C1889" s="5" t="s">
        <v>484</v>
      </c>
      <c r="D1889" s="5" t="s">
        <v>968</v>
      </c>
      <c r="E1889" s="5" t="n">
        <v>2</v>
      </c>
      <c r="F1889" s="6" t="n">
        <f aca="false">IFERROR(MATCH(A1889&amp;"|"&amp;B1889&amp;"|"&amp;D1889,'All Song Rankings'!$T:$T,0),0)</f>
        <v>293</v>
      </c>
      <c r="G1889" s="6" t="str">
        <f aca="false">IF(F1889=0,"NOT FOUND",INDEX('All Song Rankings'!$A:$A,F1889))</f>
        <v>Taking Water</v>
      </c>
      <c r="H1889" s="6" t="str">
        <f aca="false">IF(F1889=0,"NOT FOUND",INDEX('All Song Rankings'!$B:$B,F1889))</f>
        <v>Billy Strings</v>
      </c>
      <c r="I1889" s="6" t="str">
        <f aca="false">IF(F1889=0,"NOT FOUND",INDEX('All Song Rankings'!$D:$D,F1889))</f>
        <v>Leah</v>
      </c>
      <c r="J1889" s="7" t="str">
        <f aca="false">IF(F1889=0,"NOT FOUND",IF(C1889=I1889,"SELF-VOTE",IF(COUNTIF($K:$K,K1889)&gt;1,"DUPLICATE","OK")))</f>
        <v>OK</v>
      </c>
      <c r="K1889" s="6" t="str">
        <f aca="false">A1889&amp;"|"&amp;B1889&amp;"|"&amp;C1889&amp;"|"&amp;D1889</f>
        <v>3|7|Scott|spotify:track:6CFWS3OAIybkmUQHOZt33S</v>
      </c>
    </row>
    <row r="1890" customFormat="false" ht="15" hidden="false" customHeight="false" outlineLevel="0" collapsed="false">
      <c r="A1890" s="5" t="n">
        <v>3</v>
      </c>
      <c r="B1890" s="5" t="n">
        <v>7</v>
      </c>
      <c r="C1890" s="5" t="s">
        <v>97</v>
      </c>
      <c r="D1890" s="5" t="s">
        <v>946</v>
      </c>
      <c r="E1890" s="5" t="n">
        <v>3</v>
      </c>
      <c r="F1890" s="6" t="n">
        <f aca="false">IFERROR(MATCH(A1890&amp;"|"&amp;B1890&amp;"|"&amp;D1890,'All Song Rankings'!$T:$T,0),0)</f>
        <v>285</v>
      </c>
      <c r="G1890" s="6" t="str">
        <f aca="false">IF(F1890=0,"NOT FOUND",INDEX('All Song Rankings'!$A:$A,F1890))</f>
        <v>Hard Place - Single Version</v>
      </c>
      <c r="H1890" s="6" t="str">
        <f aca="false">IF(F1890=0,"NOT FOUND",INDEX('All Song Rankings'!$B:$B,F1890))</f>
        <v>H.E.R.</v>
      </c>
      <c r="I1890" s="6" t="str">
        <f aca="false">IF(F1890=0,"NOT FOUND",INDEX('All Song Rankings'!$D:$D,F1890))</f>
        <v>Logan</v>
      </c>
      <c r="J1890" s="7" t="str">
        <f aca="false">IF(F1890=0,"NOT FOUND",IF(C1890=I1890,"SELF-VOTE",IF(COUNTIF($K:$K,K1890)&gt;1,"DUPLICATE","OK")))</f>
        <v>OK</v>
      </c>
      <c r="K1890" s="6" t="str">
        <f aca="false">A1890&amp;"|"&amp;B1890&amp;"|"&amp;C1890&amp;"|"&amp;D1890</f>
        <v>3|7|Stephanie|spotify:track:1sMJJQEvUXyxILW5sv3A2P</v>
      </c>
    </row>
    <row r="1891" customFormat="false" ht="15" hidden="false" customHeight="false" outlineLevel="0" collapsed="false">
      <c r="A1891" s="5" t="n">
        <v>3</v>
      </c>
      <c r="B1891" s="5" t="n">
        <v>7</v>
      </c>
      <c r="C1891" s="5" t="s">
        <v>97</v>
      </c>
      <c r="D1891" s="5" t="s">
        <v>937</v>
      </c>
      <c r="E1891" s="5" t="n">
        <v>2</v>
      </c>
      <c r="F1891" s="6" t="n">
        <f aca="false">IFERROR(MATCH(A1891&amp;"|"&amp;B1891&amp;"|"&amp;D1891,'All Song Rankings'!$T:$T,0),0)</f>
        <v>282</v>
      </c>
      <c r="G1891" s="6" t="str">
        <f aca="false">IF(F1891=0,"NOT FOUND",INDEX('All Song Rankings'!$A:$A,F1891))</f>
        <v>My Way - 2008 Remastered</v>
      </c>
      <c r="H1891" s="6" t="str">
        <f aca="false">IF(F1891=0,"NOT FOUND",INDEX('All Song Rankings'!$B:$B,F1891))</f>
        <v>Frank Sinatra</v>
      </c>
      <c r="I1891" s="6" t="str">
        <f aca="false">IF(F1891=0,"NOT FOUND",INDEX('All Song Rankings'!$D:$D,F1891))</f>
        <v>Aubrey</v>
      </c>
      <c r="J1891" s="7" t="str">
        <f aca="false">IF(F1891=0,"NOT FOUND",IF(C1891=I1891,"SELF-VOTE",IF(COUNTIF($K:$K,K1891)&gt;1,"DUPLICATE","OK")))</f>
        <v>OK</v>
      </c>
      <c r="K1891" s="6" t="str">
        <f aca="false">A1891&amp;"|"&amp;B1891&amp;"|"&amp;C1891&amp;"|"&amp;D1891</f>
        <v>3|7|Stephanie|spotify:track:2YkIDPL5lGhRhomCq4S2RO</v>
      </c>
    </row>
    <row r="1892" customFormat="false" ht="15" hidden="false" customHeight="false" outlineLevel="0" collapsed="false">
      <c r="A1892" s="5" t="n">
        <v>3</v>
      </c>
      <c r="B1892" s="5" t="n">
        <v>7</v>
      </c>
      <c r="C1892" s="5" t="s">
        <v>97</v>
      </c>
      <c r="D1892" s="5" t="s">
        <v>958</v>
      </c>
      <c r="E1892" s="5" t="n">
        <v>1</v>
      </c>
      <c r="F1892" s="6" t="n">
        <f aca="false">IFERROR(MATCH(A1892&amp;"|"&amp;B1892&amp;"|"&amp;D1892,'All Song Rankings'!$T:$T,0),0)</f>
        <v>289</v>
      </c>
      <c r="G1892" s="6" t="str">
        <f aca="false">IF(F1892=0,"NOT FOUND",INDEX('All Song Rankings'!$A:$A,F1892))</f>
        <v>Gone Gone Gone</v>
      </c>
      <c r="H1892" s="6" t="str">
        <f aca="false">IF(F1892=0,"NOT FOUND",INDEX('All Song Rankings'!$B:$B,F1892))</f>
        <v>David Guetta, Teddy Swims, Tones And I</v>
      </c>
      <c r="I1892" s="6" t="str">
        <f aca="false">IF(F1892=0,"NOT FOUND",INDEX('All Song Rankings'!$D:$D,F1892))</f>
        <v>Christine</v>
      </c>
      <c r="J1892" s="7" t="str">
        <f aca="false">IF(F1892=0,"NOT FOUND",IF(C1892=I1892,"SELF-VOTE",IF(COUNTIF($K:$K,K1892)&gt;1,"DUPLICATE","OK")))</f>
        <v>OK</v>
      </c>
      <c r="K1892" s="6" t="str">
        <f aca="false">A1892&amp;"|"&amp;B1892&amp;"|"&amp;C1892&amp;"|"&amp;D1892</f>
        <v>3|7|Stephanie|spotify:track:3Dy4xsff7c0fRaTJpA54yd</v>
      </c>
    </row>
    <row r="1893" customFormat="false" ht="15" hidden="false" customHeight="false" outlineLevel="0" collapsed="false">
      <c r="A1893" s="5" t="n">
        <v>3</v>
      </c>
      <c r="B1893" s="5" t="n">
        <v>7</v>
      </c>
      <c r="C1893" s="5" t="s">
        <v>97</v>
      </c>
      <c r="D1893" s="5" t="s">
        <v>962</v>
      </c>
      <c r="E1893" s="5" t="n">
        <v>2</v>
      </c>
      <c r="F1893" s="6" t="n">
        <f aca="false">IFERROR(MATCH(A1893&amp;"|"&amp;B1893&amp;"|"&amp;D1893,'All Song Rankings'!$T:$T,0),0)</f>
        <v>291</v>
      </c>
      <c r="G1893" s="6" t="str">
        <f aca="false">IF(F1893=0,"NOT FOUND",INDEX('All Song Rankings'!$A:$A,F1893))</f>
        <v>Alone</v>
      </c>
      <c r="H1893" s="6" t="str">
        <f aca="false">IF(F1893=0,"NOT FOUND",INDEX('All Song Rankings'!$B:$B,F1893))</f>
        <v>Marshmello</v>
      </c>
      <c r="I1893" s="6" t="str">
        <f aca="false">IF(F1893=0,"NOT FOUND",INDEX('All Song Rankings'!$D:$D,F1893))</f>
        <v>Makenzie</v>
      </c>
      <c r="J1893" s="7" t="str">
        <f aca="false">IF(F1893=0,"NOT FOUND",IF(C1893=I1893,"SELF-VOTE",IF(COUNTIF($K:$K,K1893)&gt;1,"DUPLICATE","OK")))</f>
        <v>OK</v>
      </c>
      <c r="K1893" s="6" t="str">
        <f aca="false">A1893&amp;"|"&amp;B1893&amp;"|"&amp;C1893&amp;"|"&amp;D1893</f>
        <v>3|7|Stephanie|spotify:track:3MEYFivt6bilQ9q9mFWZ4g</v>
      </c>
    </row>
    <row r="1894" customFormat="false" ht="15" hidden="false" customHeight="false" outlineLevel="0" collapsed="false">
      <c r="A1894" s="5" t="n">
        <v>3</v>
      </c>
      <c r="B1894" s="5" t="n">
        <v>7</v>
      </c>
      <c r="C1894" s="5" t="s">
        <v>97</v>
      </c>
      <c r="D1894" s="5" t="s">
        <v>960</v>
      </c>
      <c r="E1894" s="5" t="n">
        <v>2</v>
      </c>
      <c r="F1894" s="6" t="n">
        <f aca="false">IFERROR(MATCH(A1894&amp;"|"&amp;B1894&amp;"|"&amp;D1894,'All Song Rankings'!$T:$T,0),0)</f>
        <v>290</v>
      </c>
      <c r="G1894" s="6" t="str">
        <f aca="false">IF(F1894=0,"NOT FOUND",INDEX('All Song Rankings'!$A:$A,F1894))</f>
        <v>Lose Yourself</v>
      </c>
      <c r="H1894" s="6" t="str">
        <f aca="false">IF(F1894=0,"NOT FOUND",INDEX('All Song Rankings'!$B:$B,F1894))</f>
        <v>Eminem</v>
      </c>
      <c r="I1894" s="6" t="str">
        <f aca="false">IF(F1894=0,"NOT FOUND",INDEX('All Song Rankings'!$D:$D,F1894))</f>
        <v>Colleen</v>
      </c>
      <c r="J1894" s="7" t="str">
        <f aca="false">IF(F1894=0,"NOT FOUND",IF(C1894=I1894,"SELF-VOTE",IF(COUNTIF($K:$K,K1894)&gt;1,"DUPLICATE","OK")))</f>
        <v>OK</v>
      </c>
      <c r="K1894" s="6" t="str">
        <f aca="false">A1894&amp;"|"&amp;B1894&amp;"|"&amp;C1894&amp;"|"&amp;D1894</f>
        <v>3|7|Stephanie|spotify:track:5Z01UMMf7V1o0MzF86s6WJ</v>
      </c>
    </row>
    <row r="1895" customFormat="false" ht="15" hidden="false" customHeight="false" outlineLevel="0" collapsed="false">
      <c r="A1895" s="5" t="n">
        <v>3</v>
      </c>
      <c r="B1895" s="5" t="n">
        <v>8</v>
      </c>
      <c r="C1895" s="5" t="s">
        <v>375</v>
      </c>
      <c r="D1895" s="5" t="s">
        <v>992</v>
      </c>
      <c r="E1895" s="5" t="n">
        <v>1</v>
      </c>
      <c r="F1895" s="6" t="n">
        <f aca="false">IFERROR(MATCH(A1895&amp;"|"&amp;B1895&amp;"|"&amp;D1895,'All Song Rankings'!$T:$T,0),0)</f>
        <v>301</v>
      </c>
      <c r="G1895" s="6" t="str">
        <f aca="false">IF(F1895=0,"NOT FOUND",INDEX('All Song Rankings'!$A:$A,F1895))</f>
        <v>He's a Pirate</v>
      </c>
      <c r="H1895" s="6" t="str">
        <f aca="false">IF(F1895=0,"NOT FOUND",INDEX('All Song Rankings'!$B:$B,F1895))</f>
        <v>Klaus Badelt</v>
      </c>
      <c r="I1895" s="6" t="str">
        <f aca="false">IF(F1895=0,"NOT FOUND",INDEX('All Song Rankings'!$D:$D,F1895))</f>
        <v>Kelsey</v>
      </c>
      <c r="J1895" s="7" t="str">
        <f aca="false">IF(F1895=0,"NOT FOUND",IF(C1895=I1895,"SELF-VOTE",IF(COUNTIF($K:$K,K1895)&gt;1,"DUPLICATE","OK")))</f>
        <v>OK</v>
      </c>
      <c r="K1895" s="6" t="str">
        <f aca="false">A1895&amp;"|"&amp;B1895&amp;"|"&amp;C1895&amp;"|"&amp;D1895</f>
        <v>3|8|Aubrey|spotify:track:08QaHlMPWuO5PUxjl61bXn</v>
      </c>
    </row>
    <row r="1896" customFormat="false" ht="15" hidden="false" customHeight="false" outlineLevel="0" collapsed="false">
      <c r="A1896" s="5" t="n">
        <v>3</v>
      </c>
      <c r="B1896" s="5" t="n">
        <v>8</v>
      </c>
      <c r="C1896" s="5" t="s">
        <v>375</v>
      </c>
      <c r="D1896" s="5" t="s">
        <v>1015</v>
      </c>
      <c r="E1896" s="5" t="n">
        <v>1</v>
      </c>
      <c r="F1896" s="6" t="n">
        <f aca="false">IFERROR(MATCH(A1896&amp;"|"&amp;B1896&amp;"|"&amp;D1896,'All Song Rankings'!$T:$T,0),0)</f>
        <v>309</v>
      </c>
      <c r="G1896" s="6" t="str">
        <f aca="false">IF(F1896=0,"NOT FOUND",INDEX('All Song Rankings'!$A:$A,F1896))</f>
        <v>Hello There</v>
      </c>
      <c r="H1896" s="6" t="str">
        <f aca="false">IF(F1896=0,"NOT FOUND",INDEX('All Song Rankings'!$B:$B,F1896))</f>
        <v>Cheap Trick</v>
      </c>
      <c r="I1896" s="6" t="str">
        <f aca="false">IF(F1896=0,"NOT FOUND",INDEX('All Song Rankings'!$D:$D,F1896))</f>
        <v>Christine</v>
      </c>
      <c r="J1896" s="7" t="str">
        <f aca="false">IF(F1896=0,"NOT FOUND",IF(C1896=I1896,"SELF-VOTE",IF(COUNTIF($K:$K,K1896)&gt;1,"DUPLICATE","OK")))</f>
        <v>OK</v>
      </c>
      <c r="K1896" s="6" t="str">
        <f aca="false">A1896&amp;"|"&amp;B1896&amp;"|"&amp;C1896&amp;"|"&amp;D1896</f>
        <v>3|8|Aubrey|spotify:track:0P1jQfRErBjgOSTbVKtCW7</v>
      </c>
    </row>
    <row r="1897" customFormat="false" ht="15" hidden="false" customHeight="false" outlineLevel="0" collapsed="false">
      <c r="A1897" s="5" t="n">
        <v>3</v>
      </c>
      <c r="B1897" s="5" t="n">
        <v>8</v>
      </c>
      <c r="C1897" s="5" t="s">
        <v>375</v>
      </c>
      <c r="D1897" s="5" t="s">
        <v>998</v>
      </c>
      <c r="E1897" s="5" t="n">
        <v>1</v>
      </c>
      <c r="F1897" s="6" t="n">
        <f aca="false">IFERROR(MATCH(A1897&amp;"|"&amp;B1897&amp;"|"&amp;D1897,'All Song Rankings'!$T:$T,0),0)</f>
        <v>303</v>
      </c>
      <c r="G1897" s="6" t="str">
        <f aca="false">IF(F1897=0,"NOT FOUND",INDEX('All Song Rankings'!$A:$A,F1897))</f>
        <v>The 59th Street Bridge Song (Feelin' Groovy)</v>
      </c>
      <c r="H1897" s="6" t="str">
        <f aca="false">IF(F1897=0,"NOT FOUND",INDEX('All Song Rankings'!$B:$B,F1897))</f>
        <v>Simon &amp; Garfunkel</v>
      </c>
      <c r="I1897" s="6" t="str">
        <f aca="false">IF(F1897=0,"NOT FOUND",INDEX('All Song Rankings'!$D:$D,F1897))</f>
        <v>Lisa</v>
      </c>
      <c r="J1897" s="7" t="str">
        <f aca="false">IF(F1897=0,"NOT FOUND",IF(C1897=I1897,"SELF-VOTE",IF(COUNTIF($K:$K,K1897)&gt;1,"DUPLICATE","OK")))</f>
        <v>OK</v>
      </c>
      <c r="K1897" s="6" t="str">
        <f aca="false">A1897&amp;"|"&amp;B1897&amp;"|"&amp;C1897&amp;"|"&amp;D1897</f>
        <v>3|8|Aubrey|spotify:track:0dzbfio3qTYG9uk40SJNcr</v>
      </c>
    </row>
    <row r="1898" customFormat="false" ht="15" hidden="false" customHeight="false" outlineLevel="0" collapsed="false">
      <c r="A1898" s="5" t="n">
        <v>3</v>
      </c>
      <c r="B1898" s="5" t="n">
        <v>8</v>
      </c>
      <c r="C1898" s="5" t="s">
        <v>375</v>
      </c>
      <c r="D1898" s="5" t="s">
        <v>981</v>
      </c>
      <c r="E1898" s="5" t="n">
        <v>1</v>
      </c>
      <c r="F1898" s="6" t="n">
        <f aca="false">IFERROR(MATCH(A1898&amp;"|"&amp;B1898&amp;"|"&amp;D1898,'All Song Rankings'!$T:$T,0),0)</f>
        <v>297</v>
      </c>
      <c r="G1898" s="6" t="str">
        <f aca="false">IF(F1898=0,"NOT FOUND",INDEX('All Song Rankings'!$A:$A,F1898))</f>
        <v>Interlude</v>
      </c>
      <c r="H1898" s="6" t="str">
        <f aca="false">IF(F1898=0,"NOT FOUND",INDEX('All Song Rankings'!$B:$B,F1898))</f>
        <v>Kelsea Ballerini</v>
      </c>
      <c r="I1898" s="6" t="str">
        <f aca="false">IF(F1898=0,"NOT FOUND",INDEX('All Song Rankings'!$D:$D,F1898))</f>
        <v>Nicole</v>
      </c>
      <c r="J1898" s="7" t="str">
        <f aca="false">IF(F1898=0,"NOT FOUND",IF(C1898=I1898,"SELF-VOTE",IF(COUNTIF($K:$K,K1898)&gt;1,"DUPLICATE","OK")))</f>
        <v>OK</v>
      </c>
      <c r="K1898" s="6" t="str">
        <f aca="false">A1898&amp;"|"&amp;B1898&amp;"|"&amp;C1898&amp;"|"&amp;D1898</f>
        <v>3|8|Aubrey|spotify:track:0nkOSp2DLhgrElR8lPPteZ</v>
      </c>
    </row>
    <row r="1899" customFormat="false" ht="15" hidden="false" customHeight="false" outlineLevel="0" collapsed="false">
      <c r="A1899" s="5" t="n">
        <v>3</v>
      </c>
      <c r="B1899" s="5" t="n">
        <v>8</v>
      </c>
      <c r="C1899" s="5" t="s">
        <v>375</v>
      </c>
      <c r="D1899" s="5" t="s">
        <v>1004</v>
      </c>
      <c r="E1899" s="5" t="n">
        <v>1</v>
      </c>
      <c r="F1899" s="6" t="n">
        <f aca="false">IFERROR(MATCH(A1899&amp;"|"&amp;B1899&amp;"|"&amp;D1899,'All Song Rankings'!$T:$T,0),0)</f>
        <v>305</v>
      </c>
      <c r="G1899" s="6" t="str">
        <f aca="false">IF(F1899=0,"NOT FOUND",INDEX('All Song Rankings'!$A:$A,F1899))</f>
        <v>Walls Could Talk</v>
      </c>
      <c r="H1899" s="6" t="str">
        <f aca="false">IF(F1899=0,"NOT FOUND",INDEX('All Song Rankings'!$B:$B,F1899))</f>
        <v>Halsey</v>
      </c>
      <c r="I1899" s="6" t="str">
        <f aca="false">IF(F1899=0,"NOT FOUND",INDEX('All Song Rankings'!$D:$D,F1899))</f>
        <v>Merita</v>
      </c>
      <c r="J1899" s="7" t="str">
        <f aca="false">IF(F1899=0,"NOT FOUND",IF(C1899=I1899,"SELF-VOTE",IF(COUNTIF($K:$K,K1899)&gt;1,"DUPLICATE","OK")))</f>
        <v>OK</v>
      </c>
      <c r="K1899" s="6" t="str">
        <f aca="false">A1899&amp;"|"&amp;B1899&amp;"|"&amp;C1899&amp;"|"&amp;D1899</f>
        <v>3|8|Aubrey|spotify:track:1Ao5nOuAUm42ob1UVvOkgW</v>
      </c>
    </row>
    <row r="1900" customFormat="false" ht="15" hidden="false" customHeight="false" outlineLevel="0" collapsed="false">
      <c r="A1900" s="5" t="n">
        <v>3</v>
      </c>
      <c r="B1900" s="5" t="n">
        <v>8</v>
      </c>
      <c r="C1900" s="5" t="s">
        <v>375</v>
      </c>
      <c r="D1900" s="5" t="s">
        <v>1009</v>
      </c>
      <c r="E1900" s="5" t="n">
        <v>1</v>
      </c>
      <c r="F1900" s="6" t="n">
        <f aca="false">IFERROR(MATCH(A1900&amp;"|"&amp;B1900&amp;"|"&amp;D1900,'All Song Rankings'!$T:$T,0),0)</f>
        <v>307</v>
      </c>
      <c r="G1900" s="6" t="str">
        <f aca="false">IF(F1900=0,"NOT FOUND",INDEX('All Song Rankings'!$A:$A,F1900))</f>
        <v>Acoustic #3</v>
      </c>
      <c r="H1900" s="6" t="str">
        <f aca="false">IF(F1900=0,"NOT FOUND",INDEX('All Song Rankings'!$B:$B,F1900))</f>
        <v>The Goo Goo Dolls</v>
      </c>
      <c r="I1900" s="6" t="str">
        <f aca="false">IF(F1900=0,"NOT FOUND",INDEX('All Song Rankings'!$D:$D,F1900))</f>
        <v>Kristen</v>
      </c>
      <c r="J1900" s="7" t="str">
        <f aca="false">IF(F1900=0,"NOT FOUND",IF(C1900=I1900,"SELF-VOTE",IF(COUNTIF($K:$K,K1900)&gt;1,"DUPLICATE","OK")))</f>
        <v>OK</v>
      </c>
      <c r="K1900" s="6" t="str">
        <f aca="false">A1900&amp;"|"&amp;B1900&amp;"|"&amp;C1900&amp;"|"&amp;D1900</f>
        <v>3|8|Aubrey|spotify:track:1RC9slv335IfLce5vt9KTW</v>
      </c>
    </row>
    <row r="1901" customFormat="false" ht="15" hidden="false" customHeight="false" outlineLevel="0" collapsed="false">
      <c r="A1901" s="5" t="n">
        <v>3</v>
      </c>
      <c r="B1901" s="5" t="n">
        <v>8</v>
      </c>
      <c r="C1901" s="5" t="s">
        <v>375</v>
      </c>
      <c r="D1901" s="5" t="s">
        <v>989</v>
      </c>
      <c r="E1901" s="5" t="n">
        <v>2</v>
      </c>
      <c r="F1901" s="6" t="n">
        <f aca="false">IFERROR(MATCH(A1901&amp;"|"&amp;B1901&amp;"|"&amp;D1901,'All Song Rankings'!$T:$T,0),0)</f>
        <v>300</v>
      </c>
      <c r="G1901" s="6" t="str">
        <f aca="false">IF(F1901=0,"NOT FOUND",INDEX('All Song Rankings'!$A:$A,F1901))</f>
        <v>Great Balls of Fire</v>
      </c>
      <c r="H1901" s="6" t="str">
        <f aca="false">IF(F1901=0,"NOT FOUND",INDEX('All Song Rankings'!$B:$B,F1901))</f>
        <v>Jerry Lee Lewis</v>
      </c>
      <c r="I1901" s="6" t="str">
        <f aca="false">IF(F1901=0,"NOT FOUND",INDEX('All Song Rankings'!$D:$D,F1901))</f>
        <v>Logan</v>
      </c>
      <c r="J1901" s="7" t="str">
        <f aca="false">IF(F1901=0,"NOT FOUND",IF(C1901=I1901,"SELF-VOTE",IF(COUNTIF($K:$K,K1901)&gt;1,"DUPLICATE","OK")))</f>
        <v>OK</v>
      </c>
      <c r="K1901" s="6" t="str">
        <f aca="false">A1901&amp;"|"&amp;B1901&amp;"|"&amp;C1901&amp;"|"&amp;D1901</f>
        <v>3|8|Aubrey|spotify:track:64VP3skE86iTvdOlbzuIcO</v>
      </c>
    </row>
    <row r="1902" customFormat="false" ht="15" hidden="false" customHeight="false" outlineLevel="0" collapsed="false">
      <c r="A1902" s="5" t="n">
        <v>3</v>
      </c>
      <c r="B1902" s="5" t="n">
        <v>8</v>
      </c>
      <c r="C1902" s="5" t="s">
        <v>375</v>
      </c>
      <c r="D1902" s="5" t="s">
        <v>984</v>
      </c>
      <c r="E1902" s="5" t="n">
        <v>2</v>
      </c>
      <c r="F1902" s="6" t="n">
        <f aca="false">IFERROR(MATCH(A1902&amp;"|"&amp;B1902&amp;"|"&amp;D1902,'All Song Rankings'!$T:$T,0),0)</f>
        <v>298</v>
      </c>
      <c r="G1902" s="6" t="str">
        <f aca="false">IF(F1902=0,"NOT FOUND",INDEX('All Song Rankings'!$A:$A,F1902))</f>
        <v>Little Deuce Coupe - Remastered 2001</v>
      </c>
      <c r="H1902" s="6" t="str">
        <f aca="false">IF(F1902=0,"NOT FOUND",INDEX('All Song Rankings'!$B:$B,F1902))</f>
        <v>The Beach Boys</v>
      </c>
      <c r="I1902" s="6" t="str">
        <f aca="false">IF(F1902=0,"NOT FOUND",INDEX('All Song Rankings'!$D:$D,F1902))</f>
        <v>Stephanie</v>
      </c>
      <c r="J1902" s="7" t="str">
        <f aca="false">IF(F1902=0,"NOT FOUND",IF(C1902=I1902,"SELF-VOTE",IF(COUNTIF($K:$K,K1902)&gt;1,"DUPLICATE","OK")))</f>
        <v>OK</v>
      </c>
      <c r="K1902" s="6" t="str">
        <f aca="false">A1902&amp;"|"&amp;B1902&amp;"|"&amp;C1902&amp;"|"&amp;D1902</f>
        <v>3|8|Aubrey|spotify:track:75WMOzv7195ziyx0qEw1yE</v>
      </c>
    </row>
    <row r="1903" customFormat="false" ht="15" hidden="false" customHeight="false" outlineLevel="0" collapsed="false">
      <c r="A1903" s="5" t="n">
        <v>3</v>
      </c>
      <c r="B1903" s="5" t="n">
        <v>8</v>
      </c>
      <c r="C1903" s="5" t="s">
        <v>719</v>
      </c>
      <c r="D1903" s="5" t="s">
        <v>992</v>
      </c>
      <c r="E1903" s="5" t="n">
        <v>1</v>
      </c>
      <c r="F1903" s="6" t="n">
        <f aca="false">IFERROR(MATCH(A1903&amp;"|"&amp;B1903&amp;"|"&amp;D1903,'All Song Rankings'!$T:$T,0),0)</f>
        <v>301</v>
      </c>
      <c r="G1903" s="6" t="str">
        <f aca="false">IF(F1903=0,"NOT FOUND",INDEX('All Song Rankings'!$A:$A,F1903))</f>
        <v>He's a Pirate</v>
      </c>
      <c r="H1903" s="6" t="str">
        <f aca="false">IF(F1903=0,"NOT FOUND",INDEX('All Song Rankings'!$B:$B,F1903))</f>
        <v>Klaus Badelt</v>
      </c>
      <c r="I1903" s="6" t="str">
        <f aca="false">IF(F1903=0,"NOT FOUND",INDEX('All Song Rankings'!$D:$D,F1903))</f>
        <v>Kelsey</v>
      </c>
      <c r="J1903" s="7" t="str">
        <f aca="false">IF(F1903=0,"NOT FOUND",IF(C1903=I1903,"SELF-VOTE",IF(COUNTIF($K:$K,K1903)&gt;1,"DUPLICATE","OK")))</f>
        <v>OK</v>
      </c>
      <c r="K1903" s="6" t="str">
        <f aca="false">A1903&amp;"|"&amp;B1903&amp;"|"&amp;C1903&amp;"|"&amp;D1903</f>
        <v>3|8|Christine|spotify:track:08QaHlMPWuO5PUxjl61bXn</v>
      </c>
    </row>
    <row r="1904" customFormat="false" ht="15" hidden="false" customHeight="false" outlineLevel="0" collapsed="false">
      <c r="A1904" s="5" t="n">
        <v>3</v>
      </c>
      <c r="B1904" s="5" t="n">
        <v>8</v>
      </c>
      <c r="C1904" s="5" t="s">
        <v>719</v>
      </c>
      <c r="D1904" s="5" t="s">
        <v>998</v>
      </c>
      <c r="E1904" s="5" t="n">
        <v>1</v>
      </c>
      <c r="F1904" s="6" t="n">
        <f aca="false">IFERROR(MATCH(A1904&amp;"|"&amp;B1904&amp;"|"&amp;D1904,'All Song Rankings'!$T:$T,0),0)</f>
        <v>303</v>
      </c>
      <c r="G1904" s="6" t="str">
        <f aca="false">IF(F1904=0,"NOT FOUND",INDEX('All Song Rankings'!$A:$A,F1904))</f>
        <v>The 59th Street Bridge Song (Feelin' Groovy)</v>
      </c>
      <c r="H1904" s="6" t="str">
        <f aca="false">IF(F1904=0,"NOT FOUND",INDEX('All Song Rankings'!$B:$B,F1904))</f>
        <v>Simon &amp; Garfunkel</v>
      </c>
      <c r="I1904" s="6" t="str">
        <f aca="false">IF(F1904=0,"NOT FOUND",INDEX('All Song Rankings'!$D:$D,F1904))</f>
        <v>Lisa</v>
      </c>
      <c r="J1904" s="7" t="str">
        <f aca="false">IF(F1904=0,"NOT FOUND",IF(C1904=I1904,"SELF-VOTE",IF(COUNTIF($K:$K,K1904)&gt;1,"DUPLICATE","OK")))</f>
        <v>OK</v>
      </c>
      <c r="K1904" s="6" t="str">
        <f aca="false">A1904&amp;"|"&amp;B1904&amp;"|"&amp;C1904&amp;"|"&amp;D1904</f>
        <v>3|8|Christine|spotify:track:0dzbfio3qTYG9uk40SJNcr</v>
      </c>
    </row>
    <row r="1905" customFormat="false" ht="15" hidden="false" customHeight="false" outlineLevel="0" collapsed="false">
      <c r="A1905" s="5" t="n">
        <v>3</v>
      </c>
      <c r="B1905" s="5" t="n">
        <v>8</v>
      </c>
      <c r="C1905" s="5" t="s">
        <v>719</v>
      </c>
      <c r="D1905" s="5" t="s">
        <v>1004</v>
      </c>
      <c r="E1905" s="5" t="n">
        <v>1</v>
      </c>
      <c r="F1905" s="6" t="n">
        <f aca="false">IFERROR(MATCH(A1905&amp;"|"&amp;B1905&amp;"|"&amp;D1905,'All Song Rankings'!$T:$T,0),0)</f>
        <v>305</v>
      </c>
      <c r="G1905" s="6" t="str">
        <f aca="false">IF(F1905=0,"NOT FOUND",INDEX('All Song Rankings'!$A:$A,F1905))</f>
        <v>Walls Could Talk</v>
      </c>
      <c r="H1905" s="6" t="str">
        <f aca="false">IF(F1905=0,"NOT FOUND",INDEX('All Song Rankings'!$B:$B,F1905))</f>
        <v>Halsey</v>
      </c>
      <c r="I1905" s="6" t="str">
        <f aca="false">IF(F1905=0,"NOT FOUND",INDEX('All Song Rankings'!$D:$D,F1905))</f>
        <v>Merita</v>
      </c>
      <c r="J1905" s="7" t="str">
        <f aca="false">IF(F1905=0,"NOT FOUND",IF(C1905=I1905,"SELF-VOTE",IF(COUNTIF($K:$K,K1905)&gt;1,"DUPLICATE","OK")))</f>
        <v>OK</v>
      </c>
      <c r="K1905" s="6" t="str">
        <f aca="false">A1905&amp;"|"&amp;B1905&amp;"|"&amp;C1905&amp;"|"&amp;D1905</f>
        <v>3|8|Christine|spotify:track:1Ao5nOuAUm42ob1UVvOkgW</v>
      </c>
    </row>
    <row r="1906" customFormat="false" ht="15" hidden="false" customHeight="false" outlineLevel="0" collapsed="false">
      <c r="A1906" s="5" t="n">
        <v>3</v>
      </c>
      <c r="B1906" s="5" t="n">
        <v>8</v>
      </c>
      <c r="C1906" s="5" t="s">
        <v>719</v>
      </c>
      <c r="D1906" s="5" t="s">
        <v>1009</v>
      </c>
      <c r="E1906" s="5" t="n">
        <v>2</v>
      </c>
      <c r="F1906" s="6" t="n">
        <f aca="false">IFERROR(MATCH(A1906&amp;"|"&amp;B1906&amp;"|"&amp;D1906,'All Song Rankings'!$T:$T,0),0)</f>
        <v>307</v>
      </c>
      <c r="G1906" s="6" t="str">
        <f aca="false">IF(F1906=0,"NOT FOUND",INDEX('All Song Rankings'!$A:$A,F1906))</f>
        <v>Acoustic #3</v>
      </c>
      <c r="H1906" s="6" t="str">
        <f aca="false">IF(F1906=0,"NOT FOUND",INDEX('All Song Rankings'!$B:$B,F1906))</f>
        <v>The Goo Goo Dolls</v>
      </c>
      <c r="I1906" s="6" t="str">
        <f aca="false">IF(F1906=0,"NOT FOUND",INDEX('All Song Rankings'!$D:$D,F1906))</f>
        <v>Kristen</v>
      </c>
      <c r="J1906" s="7" t="str">
        <f aca="false">IF(F1906=0,"NOT FOUND",IF(C1906=I1906,"SELF-VOTE",IF(COUNTIF($K:$K,K1906)&gt;1,"DUPLICATE","OK")))</f>
        <v>OK</v>
      </c>
      <c r="K1906" s="6" t="str">
        <f aca="false">A1906&amp;"|"&amp;B1906&amp;"|"&amp;C1906&amp;"|"&amp;D1906</f>
        <v>3|8|Christine|spotify:track:1RC9slv335IfLce5vt9KTW</v>
      </c>
    </row>
    <row r="1907" customFormat="false" ht="15" hidden="false" customHeight="false" outlineLevel="0" collapsed="false">
      <c r="A1907" s="5" t="n">
        <v>3</v>
      </c>
      <c r="B1907" s="5" t="n">
        <v>8</v>
      </c>
      <c r="C1907" s="5" t="s">
        <v>719</v>
      </c>
      <c r="D1907" s="5" t="s">
        <v>1012</v>
      </c>
      <c r="E1907" s="5" t="n">
        <v>1</v>
      </c>
      <c r="F1907" s="6" t="n">
        <f aca="false">IFERROR(MATCH(A1907&amp;"|"&amp;B1907&amp;"|"&amp;D1907,'All Song Rankings'!$T:$T,0),0)</f>
        <v>308</v>
      </c>
      <c r="G1907" s="6" t="str">
        <f aca="false">IF(F1907=0,"NOT FOUND",INDEX('All Song Rankings'!$A:$A,F1907))</f>
        <v>(Let Me Be Your) Teddy Bear</v>
      </c>
      <c r="H1907" s="6" t="str">
        <f aca="false">IF(F1907=0,"NOT FOUND",INDEX('All Song Rankings'!$B:$B,F1907))</f>
        <v>Elvis Presley</v>
      </c>
      <c r="I1907" s="6" t="str">
        <f aca="false">IF(F1907=0,"NOT FOUND",INDEX('All Song Rankings'!$D:$D,F1907))</f>
        <v>Aubrey</v>
      </c>
      <c r="J1907" s="7" t="str">
        <f aca="false">IF(F1907=0,"NOT FOUND",IF(C1907=I1907,"SELF-VOTE",IF(COUNTIF($K:$K,K1907)&gt;1,"DUPLICATE","OK")))</f>
        <v>OK</v>
      </c>
      <c r="K1907" s="6" t="str">
        <f aca="false">A1907&amp;"|"&amp;B1907&amp;"|"&amp;C1907&amp;"|"&amp;D1907</f>
        <v>3|8|Christine|spotify:track:57j9wUmiHxii7VpbAdSkPQ</v>
      </c>
    </row>
    <row r="1908" customFormat="false" ht="15" hidden="false" customHeight="false" outlineLevel="0" collapsed="false">
      <c r="A1908" s="5" t="n">
        <v>3</v>
      </c>
      <c r="B1908" s="5" t="n">
        <v>8</v>
      </c>
      <c r="C1908" s="5" t="s">
        <v>719</v>
      </c>
      <c r="D1908" s="5" t="s">
        <v>1001</v>
      </c>
      <c r="E1908" s="5" t="n">
        <v>1</v>
      </c>
      <c r="F1908" s="6" t="n">
        <f aca="false">IFERROR(MATCH(A1908&amp;"|"&amp;B1908&amp;"|"&amp;D1908,'All Song Rankings'!$T:$T,0),0)</f>
        <v>304</v>
      </c>
      <c r="G1908" s="6" t="str">
        <f aca="false">IF(F1908=0,"NOT FOUND",INDEX('All Song Rankings'!$A:$A,F1908))</f>
        <v>Flowers In Your Hair</v>
      </c>
      <c r="H1908" s="6" t="str">
        <f aca="false">IF(F1908=0,"NOT FOUND",INDEX('All Song Rankings'!$B:$B,F1908))</f>
        <v>The Lumineers</v>
      </c>
      <c r="I1908" s="6" t="str">
        <f aca="false">IF(F1908=0,"NOT FOUND",INDEX('All Song Rankings'!$D:$D,F1908))</f>
        <v>Grace</v>
      </c>
      <c r="J1908" s="7" t="str">
        <f aca="false">IF(F1908=0,"NOT FOUND",IF(C1908=I1908,"SELF-VOTE",IF(COUNTIF($K:$K,K1908)&gt;1,"DUPLICATE","OK")))</f>
        <v>OK</v>
      </c>
      <c r="K1908" s="6" t="str">
        <f aca="false">A1908&amp;"|"&amp;B1908&amp;"|"&amp;C1908&amp;"|"&amp;D1908</f>
        <v>3|8|Christine|spotify:track:5PbdVk09VHHcvGa0pX86RP</v>
      </c>
    </row>
    <row r="1909" customFormat="false" ht="15" hidden="false" customHeight="false" outlineLevel="0" collapsed="false">
      <c r="A1909" s="5" t="n">
        <v>3</v>
      </c>
      <c r="B1909" s="5" t="n">
        <v>8</v>
      </c>
      <c r="C1909" s="5" t="s">
        <v>719</v>
      </c>
      <c r="D1909" s="5" t="s">
        <v>989</v>
      </c>
      <c r="E1909" s="5" t="n">
        <v>1</v>
      </c>
      <c r="F1909" s="6" t="n">
        <f aca="false">IFERROR(MATCH(A1909&amp;"|"&amp;B1909&amp;"|"&amp;D1909,'All Song Rankings'!$T:$T,0),0)</f>
        <v>300</v>
      </c>
      <c r="G1909" s="6" t="str">
        <f aca="false">IF(F1909=0,"NOT FOUND",INDEX('All Song Rankings'!$A:$A,F1909))</f>
        <v>Great Balls of Fire</v>
      </c>
      <c r="H1909" s="6" t="str">
        <f aca="false">IF(F1909=0,"NOT FOUND",INDEX('All Song Rankings'!$B:$B,F1909))</f>
        <v>Jerry Lee Lewis</v>
      </c>
      <c r="I1909" s="6" t="str">
        <f aca="false">IF(F1909=0,"NOT FOUND",INDEX('All Song Rankings'!$D:$D,F1909))</f>
        <v>Logan</v>
      </c>
      <c r="J1909" s="7" t="str">
        <f aca="false">IF(F1909=0,"NOT FOUND",IF(C1909=I1909,"SELF-VOTE",IF(COUNTIF($K:$K,K1909)&gt;1,"DUPLICATE","OK")))</f>
        <v>OK</v>
      </c>
      <c r="K1909" s="6" t="str">
        <f aca="false">A1909&amp;"|"&amp;B1909&amp;"|"&amp;C1909&amp;"|"&amp;D1909</f>
        <v>3|8|Christine|spotify:track:64VP3skE86iTvdOlbzuIcO</v>
      </c>
    </row>
    <row r="1910" customFormat="false" ht="15" hidden="false" customHeight="false" outlineLevel="0" collapsed="false">
      <c r="A1910" s="5" t="n">
        <v>3</v>
      </c>
      <c r="B1910" s="5" t="n">
        <v>8</v>
      </c>
      <c r="C1910" s="5" t="s">
        <v>719</v>
      </c>
      <c r="D1910" s="5" t="s">
        <v>984</v>
      </c>
      <c r="E1910" s="5" t="n">
        <v>2</v>
      </c>
      <c r="F1910" s="6" t="n">
        <f aca="false">IFERROR(MATCH(A1910&amp;"|"&amp;B1910&amp;"|"&amp;D1910,'All Song Rankings'!$T:$T,0),0)</f>
        <v>298</v>
      </c>
      <c r="G1910" s="6" t="str">
        <f aca="false">IF(F1910=0,"NOT FOUND",INDEX('All Song Rankings'!$A:$A,F1910))</f>
        <v>Little Deuce Coupe - Remastered 2001</v>
      </c>
      <c r="H1910" s="6" t="str">
        <f aca="false">IF(F1910=0,"NOT FOUND",INDEX('All Song Rankings'!$B:$B,F1910))</f>
        <v>The Beach Boys</v>
      </c>
      <c r="I1910" s="6" t="str">
        <f aca="false">IF(F1910=0,"NOT FOUND",INDEX('All Song Rankings'!$D:$D,F1910))</f>
        <v>Stephanie</v>
      </c>
      <c r="J1910" s="7" t="str">
        <f aca="false">IF(F1910=0,"NOT FOUND",IF(C1910=I1910,"SELF-VOTE",IF(COUNTIF($K:$K,K1910)&gt;1,"DUPLICATE","OK")))</f>
        <v>OK</v>
      </c>
      <c r="K1910" s="6" t="str">
        <f aca="false">A1910&amp;"|"&amp;B1910&amp;"|"&amp;C1910&amp;"|"&amp;D1910</f>
        <v>3|8|Christine|spotify:track:75WMOzv7195ziyx0qEw1yE</v>
      </c>
    </row>
    <row r="1911" customFormat="false" ht="15" hidden="false" customHeight="false" outlineLevel="0" collapsed="false">
      <c r="A1911" s="5" t="n">
        <v>3</v>
      </c>
      <c r="B1911" s="5" t="n">
        <v>8</v>
      </c>
      <c r="C1911" s="5" t="s">
        <v>382</v>
      </c>
      <c r="D1911" s="5" t="s">
        <v>992</v>
      </c>
      <c r="E1911" s="5" t="n">
        <v>1</v>
      </c>
      <c r="F1911" s="6" t="n">
        <f aca="false">IFERROR(MATCH(A1911&amp;"|"&amp;B1911&amp;"|"&amp;D1911,'All Song Rankings'!$T:$T,0),0)</f>
        <v>301</v>
      </c>
      <c r="G1911" s="6" t="str">
        <f aca="false">IF(F1911=0,"NOT FOUND",INDEX('All Song Rankings'!$A:$A,F1911))</f>
        <v>He's a Pirate</v>
      </c>
      <c r="H1911" s="6" t="str">
        <f aca="false">IF(F1911=0,"NOT FOUND",INDEX('All Song Rankings'!$B:$B,F1911))</f>
        <v>Klaus Badelt</v>
      </c>
      <c r="I1911" s="6" t="str">
        <f aca="false">IF(F1911=0,"NOT FOUND",INDEX('All Song Rankings'!$D:$D,F1911))</f>
        <v>Kelsey</v>
      </c>
      <c r="J1911" s="7" t="str">
        <f aca="false">IF(F1911=0,"NOT FOUND",IF(C1911=I1911,"SELF-VOTE",IF(COUNTIF($K:$K,K1911)&gt;1,"DUPLICATE","OK")))</f>
        <v>OK</v>
      </c>
      <c r="K1911" s="6" t="str">
        <f aca="false">A1911&amp;"|"&amp;B1911&amp;"|"&amp;C1911&amp;"|"&amp;D1911</f>
        <v>3|8|Grace|spotify:track:08QaHlMPWuO5PUxjl61bXn</v>
      </c>
    </row>
    <row r="1912" customFormat="false" ht="15" hidden="false" customHeight="false" outlineLevel="0" collapsed="false">
      <c r="A1912" s="5" t="n">
        <v>3</v>
      </c>
      <c r="B1912" s="5" t="n">
        <v>8</v>
      </c>
      <c r="C1912" s="5" t="s">
        <v>382</v>
      </c>
      <c r="D1912" s="5" t="s">
        <v>995</v>
      </c>
      <c r="E1912" s="5" t="n">
        <v>1</v>
      </c>
      <c r="F1912" s="6" t="n">
        <f aca="false">IFERROR(MATCH(A1912&amp;"|"&amp;B1912&amp;"|"&amp;D1912,'All Song Rankings'!$T:$T,0),0)</f>
        <v>302</v>
      </c>
      <c r="G1912" s="6" t="str">
        <f aca="false">IF(F1912=0,"NOT FOUND",INDEX('All Song Rankings'!$A:$A,F1912))</f>
        <v>The Story of Tonight</v>
      </c>
      <c r="H1912" s="6" t="str">
        <f aca="false">IF(F1912=0,"NOT FOUND",INDEX('All Song Rankings'!$B:$B,F1912))</f>
        <v>Lin-Manuel Miranda, Okieriete Onaodowan, Daveed Diggs, Original Broadway Cast of Hamilton</v>
      </c>
      <c r="I1912" s="6" t="str">
        <f aca="false">IF(F1912=0,"NOT FOUND",INDEX('All Song Rankings'!$D:$D,F1912))</f>
        <v>Leah</v>
      </c>
      <c r="J1912" s="7" t="str">
        <f aca="false">IF(F1912=0,"NOT FOUND",IF(C1912=I1912,"SELF-VOTE",IF(COUNTIF($K:$K,K1912)&gt;1,"DUPLICATE","OK")))</f>
        <v>OK</v>
      </c>
      <c r="K1912" s="6" t="str">
        <f aca="false">A1912&amp;"|"&amp;B1912&amp;"|"&amp;C1912&amp;"|"&amp;D1912</f>
        <v>3|8|Grace|spotify:track:0NJWhm3hUwIZSy5s0TGJ8q</v>
      </c>
    </row>
    <row r="1913" customFormat="false" ht="15" hidden="false" customHeight="false" outlineLevel="0" collapsed="false">
      <c r="A1913" s="5" t="n">
        <v>3</v>
      </c>
      <c r="B1913" s="5" t="n">
        <v>8</v>
      </c>
      <c r="C1913" s="5" t="s">
        <v>382</v>
      </c>
      <c r="D1913" s="5" t="s">
        <v>998</v>
      </c>
      <c r="E1913" s="5" t="n">
        <v>1</v>
      </c>
      <c r="F1913" s="6" t="n">
        <f aca="false">IFERROR(MATCH(A1913&amp;"|"&amp;B1913&amp;"|"&amp;D1913,'All Song Rankings'!$T:$T,0),0)</f>
        <v>303</v>
      </c>
      <c r="G1913" s="6" t="str">
        <f aca="false">IF(F1913=0,"NOT FOUND",INDEX('All Song Rankings'!$A:$A,F1913))</f>
        <v>The 59th Street Bridge Song (Feelin' Groovy)</v>
      </c>
      <c r="H1913" s="6" t="str">
        <f aca="false">IF(F1913=0,"NOT FOUND",INDEX('All Song Rankings'!$B:$B,F1913))</f>
        <v>Simon &amp; Garfunkel</v>
      </c>
      <c r="I1913" s="6" t="str">
        <f aca="false">IF(F1913=0,"NOT FOUND",INDEX('All Song Rankings'!$D:$D,F1913))</f>
        <v>Lisa</v>
      </c>
      <c r="J1913" s="7" t="str">
        <f aca="false">IF(F1913=0,"NOT FOUND",IF(C1913=I1913,"SELF-VOTE",IF(COUNTIF($K:$K,K1913)&gt;1,"DUPLICATE","OK")))</f>
        <v>OK</v>
      </c>
      <c r="K1913" s="6" t="str">
        <f aca="false">A1913&amp;"|"&amp;B1913&amp;"|"&amp;C1913&amp;"|"&amp;D1913</f>
        <v>3|8|Grace|spotify:track:0dzbfio3qTYG9uk40SJNcr</v>
      </c>
    </row>
    <row r="1914" customFormat="false" ht="15" hidden="false" customHeight="false" outlineLevel="0" collapsed="false">
      <c r="A1914" s="5" t="n">
        <v>3</v>
      </c>
      <c r="B1914" s="5" t="n">
        <v>8</v>
      </c>
      <c r="C1914" s="5" t="s">
        <v>382</v>
      </c>
      <c r="D1914" s="5" t="s">
        <v>1007</v>
      </c>
      <c r="E1914" s="5" t="n">
        <v>3</v>
      </c>
      <c r="F1914" s="6" t="n">
        <f aca="false">IFERROR(MATCH(A1914&amp;"|"&amp;B1914&amp;"|"&amp;D1914,'All Song Rankings'!$T:$T,0),0)</f>
        <v>306</v>
      </c>
      <c r="G1914" s="6" t="str">
        <f aca="false">IF(F1914=0,"NOT FOUND",INDEX('All Song Rankings'!$A:$A,F1914))</f>
        <v>Lust</v>
      </c>
      <c r="H1914" s="6" t="str">
        <f aca="false">IF(F1914=0,"NOT FOUND",INDEX('All Song Rankings'!$B:$B,F1914))</f>
        <v>Marino, Alexandria</v>
      </c>
      <c r="I1914" s="6" t="str">
        <f aca="false">IF(F1914=0,"NOT FOUND",INDEX('All Song Rankings'!$D:$D,F1914))</f>
        <v>Matt</v>
      </c>
      <c r="J1914" s="7" t="str">
        <f aca="false">IF(F1914=0,"NOT FOUND",IF(C1914=I1914,"SELF-VOTE",IF(COUNTIF($K:$K,K1914)&gt;1,"DUPLICATE","OK")))</f>
        <v>OK</v>
      </c>
      <c r="K1914" s="6" t="str">
        <f aca="false">A1914&amp;"|"&amp;B1914&amp;"|"&amp;C1914&amp;"|"&amp;D1914</f>
        <v>3|8|Grace|spotify:track:2Tf3o75XkU0IS06tYgEuvn</v>
      </c>
    </row>
    <row r="1915" customFormat="false" ht="15" hidden="false" customHeight="false" outlineLevel="0" collapsed="false">
      <c r="A1915" s="5" t="n">
        <v>3</v>
      </c>
      <c r="B1915" s="5" t="n">
        <v>8</v>
      </c>
      <c r="C1915" s="5" t="s">
        <v>382</v>
      </c>
      <c r="D1915" s="5" t="s">
        <v>984</v>
      </c>
      <c r="E1915" s="5" t="n">
        <v>2</v>
      </c>
      <c r="F1915" s="6" t="n">
        <f aca="false">IFERROR(MATCH(A1915&amp;"|"&amp;B1915&amp;"|"&amp;D1915,'All Song Rankings'!$T:$T,0),0)</f>
        <v>298</v>
      </c>
      <c r="G1915" s="6" t="str">
        <f aca="false">IF(F1915=0,"NOT FOUND",INDEX('All Song Rankings'!$A:$A,F1915))</f>
        <v>Little Deuce Coupe - Remastered 2001</v>
      </c>
      <c r="H1915" s="6" t="str">
        <f aca="false">IF(F1915=0,"NOT FOUND",INDEX('All Song Rankings'!$B:$B,F1915))</f>
        <v>The Beach Boys</v>
      </c>
      <c r="I1915" s="6" t="str">
        <f aca="false">IF(F1915=0,"NOT FOUND",INDEX('All Song Rankings'!$D:$D,F1915))</f>
        <v>Stephanie</v>
      </c>
      <c r="J1915" s="7" t="str">
        <f aca="false">IF(F1915=0,"NOT FOUND",IF(C1915=I1915,"SELF-VOTE",IF(COUNTIF($K:$K,K1915)&gt;1,"DUPLICATE","OK")))</f>
        <v>OK</v>
      </c>
      <c r="K1915" s="6" t="str">
        <f aca="false">A1915&amp;"|"&amp;B1915&amp;"|"&amp;C1915&amp;"|"&amp;D1915</f>
        <v>3|8|Grace|spotify:track:75WMOzv7195ziyx0qEw1yE</v>
      </c>
    </row>
    <row r="1916" customFormat="false" ht="15" hidden="false" customHeight="false" outlineLevel="0" collapsed="false">
      <c r="A1916" s="5" t="n">
        <v>3</v>
      </c>
      <c r="B1916" s="5" t="n">
        <v>8</v>
      </c>
      <c r="C1916" s="5" t="s">
        <v>382</v>
      </c>
      <c r="D1916" s="5" t="s">
        <v>986</v>
      </c>
      <c r="E1916" s="5" t="n">
        <v>2</v>
      </c>
      <c r="F1916" s="6" t="n">
        <f aca="false">IFERROR(MATCH(A1916&amp;"|"&amp;B1916&amp;"|"&amp;D1916,'All Song Rankings'!$T:$T,0),0)</f>
        <v>299</v>
      </c>
      <c r="G1916" s="6" t="str">
        <f aca="false">IF(F1916=0,"NOT FOUND",INDEX('All Song Rankings'!$A:$A,F1916))</f>
        <v>Wings</v>
      </c>
      <c r="H1916" s="6" t="str">
        <f aca="false">IF(F1916=0,"NOT FOUND",INDEX('All Song Rankings'!$B:$B,F1916))</f>
        <v>Jonas Brothers</v>
      </c>
      <c r="I1916" s="6" t="str">
        <f aca="false">IF(F1916=0,"NOT FOUND",INDEX('All Song Rankings'!$D:$D,F1916))</f>
        <v>Makenzie</v>
      </c>
      <c r="J1916" s="7" t="str">
        <f aca="false">IF(F1916=0,"NOT FOUND",IF(C1916=I1916,"SELF-VOTE",IF(COUNTIF($K:$K,K1916)&gt;1,"DUPLICATE","OK")))</f>
        <v>OK</v>
      </c>
      <c r="K1916" s="6" t="str">
        <f aca="false">A1916&amp;"|"&amp;B1916&amp;"|"&amp;C1916&amp;"|"&amp;D1916</f>
        <v>3|8|Grace|spotify:track:7DVcgqaCDXtwZIjRTPb8bm</v>
      </c>
    </row>
    <row r="1917" customFormat="false" ht="15" hidden="false" customHeight="false" outlineLevel="0" collapsed="false">
      <c r="A1917" s="5" t="n">
        <v>3</v>
      </c>
      <c r="B1917" s="5" t="n">
        <v>8</v>
      </c>
      <c r="C1917" s="5" t="s">
        <v>85</v>
      </c>
      <c r="D1917" s="5" t="s">
        <v>995</v>
      </c>
      <c r="E1917" s="5" t="n">
        <v>2</v>
      </c>
      <c r="F1917" s="6" t="n">
        <f aca="false">IFERROR(MATCH(A1917&amp;"|"&amp;B1917&amp;"|"&amp;D1917,'All Song Rankings'!$T:$T,0),0)</f>
        <v>302</v>
      </c>
      <c r="G1917" s="6" t="str">
        <f aca="false">IF(F1917=0,"NOT FOUND",INDEX('All Song Rankings'!$A:$A,F1917))</f>
        <v>The Story of Tonight</v>
      </c>
      <c r="H1917" s="6" t="str">
        <f aca="false">IF(F1917=0,"NOT FOUND",INDEX('All Song Rankings'!$B:$B,F1917))</f>
        <v>Lin-Manuel Miranda, Okieriete Onaodowan, Daveed Diggs, Original Broadway Cast of Hamilton</v>
      </c>
      <c r="I1917" s="6" t="str">
        <f aca="false">IF(F1917=0,"NOT FOUND",INDEX('All Song Rankings'!$D:$D,F1917))</f>
        <v>Leah</v>
      </c>
      <c r="J1917" s="7" t="str">
        <f aca="false">IF(F1917=0,"NOT FOUND",IF(C1917=I1917,"SELF-VOTE",IF(COUNTIF($K:$K,K1917)&gt;1,"DUPLICATE","OK")))</f>
        <v>OK</v>
      </c>
      <c r="K1917" s="6" t="str">
        <f aca="false">A1917&amp;"|"&amp;B1917&amp;"|"&amp;C1917&amp;"|"&amp;D1917</f>
        <v>3|8|Kelsey|spotify:track:0NJWhm3hUwIZSy5s0TGJ8q</v>
      </c>
    </row>
    <row r="1918" customFormat="false" ht="15" hidden="false" customHeight="false" outlineLevel="0" collapsed="false">
      <c r="A1918" s="5" t="n">
        <v>3</v>
      </c>
      <c r="B1918" s="5" t="n">
        <v>8</v>
      </c>
      <c r="C1918" s="5" t="s">
        <v>85</v>
      </c>
      <c r="D1918" s="5" t="s">
        <v>981</v>
      </c>
      <c r="E1918" s="5" t="n">
        <v>2</v>
      </c>
      <c r="F1918" s="6" t="n">
        <f aca="false">IFERROR(MATCH(A1918&amp;"|"&amp;B1918&amp;"|"&amp;D1918,'All Song Rankings'!$T:$T,0),0)</f>
        <v>297</v>
      </c>
      <c r="G1918" s="6" t="str">
        <f aca="false">IF(F1918=0,"NOT FOUND",INDEX('All Song Rankings'!$A:$A,F1918))</f>
        <v>Interlude</v>
      </c>
      <c r="H1918" s="6" t="str">
        <f aca="false">IF(F1918=0,"NOT FOUND",INDEX('All Song Rankings'!$B:$B,F1918))</f>
        <v>Kelsea Ballerini</v>
      </c>
      <c r="I1918" s="6" t="str">
        <f aca="false">IF(F1918=0,"NOT FOUND",INDEX('All Song Rankings'!$D:$D,F1918))</f>
        <v>Nicole</v>
      </c>
      <c r="J1918" s="7" t="str">
        <f aca="false">IF(F1918=0,"NOT FOUND",IF(C1918=I1918,"SELF-VOTE",IF(COUNTIF($K:$K,K1918)&gt;1,"DUPLICATE","OK")))</f>
        <v>OK</v>
      </c>
      <c r="K1918" s="6" t="str">
        <f aca="false">A1918&amp;"|"&amp;B1918&amp;"|"&amp;C1918&amp;"|"&amp;D1918</f>
        <v>3|8|Kelsey|spotify:track:0nkOSp2DLhgrElR8lPPteZ</v>
      </c>
    </row>
    <row r="1919" customFormat="false" ht="15" hidden="false" customHeight="false" outlineLevel="0" collapsed="false">
      <c r="A1919" s="5" t="n">
        <v>3</v>
      </c>
      <c r="B1919" s="5" t="n">
        <v>8</v>
      </c>
      <c r="C1919" s="5" t="s">
        <v>85</v>
      </c>
      <c r="D1919" s="5" t="s">
        <v>1004</v>
      </c>
      <c r="E1919" s="5" t="n">
        <v>1</v>
      </c>
      <c r="F1919" s="6" t="n">
        <f aca="false">IFERROR(MATCH(A1919&amp;"|"&amp;B1919&amp;"|"&amp;D1919,'All Song Rankings'!$T:$T,0),0)</f>
        <v>305</v>
      </c>
      <c r="G1919" s="6" t="str">
        <f aca="false">IF(F1919=0,"NOT FOUND",INDEX('All Song Rankings'!$A:$A,F1919))</f>
        <v>Walls Could Talk</v>
      </c>
      <c r="H1919" s="6" t="str">
        <f aca="false">IF(F1919=0,"NOT FOUND",INDEX('All Song Rankings'!$B:$B,F1919))</f>
        <v>Halsey</v>
      </c>
      <c r="I1919" s="6" t="str">
        <f aca="false">IF(F1919=0,"NOT FOUND",INDEX('All Song Rankings'!$D:$D,F1919))</f>
        <v>Merita</v>
      </c>
      <c r="J1919" s="7" t="str">
        <f aca="false">IF(F1919=0,"NOT FOUND",IF(C1919=I1919,"SELF-VOTE",IF(COUNTIF($K:$K,K1919)&gt;1,"DUPLICATE","OK")))</f>
        <v>OK</v>
      </c>
      <c r="K1919" s="6" t="str">
        <f aca="false">A1919&amp;"|"&amp;B1919&amp;"|"&amp;C1919&amp;"|"&amp;D1919</f>
        <v>3|8|Kelsey|spotify:track:1Ao5nOuAUm42ob1UVvOkgW</v>
      </c>
    </row>
    <row r="1920" customFormat="false" ht="15" hidden="false" customHeight="false" outlineLevel="0" collapsed="false">
      <c r="A1920" s="5" t="n">
        <v>3</v>
      </c>
      <c r="B1920" s="5" t="n">
        <v>8</v>
      </c>
      <c r="C1920" s="5" t="s">
        <v>85</v>
      </c>
      <c r="D1920" s="5" t="s">
        <v>1001</v>
      </c>
      <c r="E1920" s="5" t="n">
        <v>1</v>
      </c>
      <c r="F1920" s="6" t="n">
        <f aca="false">IFERROR(MATCH(A1920&amp;"|"&amp;B1920&amp;"|"&amp;D1920,'All Song Rankings'!$T:$T,0),0)</f>
        <v>304</v>
      </c>
      <c r="G1920" s="6" t="str">
        <f aca="false">IF(F1920=0,"NOT FOUND",INDEX('All Song Rankings'!$A:$A,F1920))</f>
        <v>Flowers In Your Hair</v>
      </c>
      <c r="H1920" s="6" t="str">
        <f aca="false">IF(F1920=0,"NOT FOUND",INDEX('All Song Rankings'!$B:$B,F1920))</f>
        <v>The Lumineers</v>
      </c>
      <c r="I1920" s="6" t="str">
        <f aca="false">IF(F1920=0,"NOT FOUND",INDEX('All Song Rankings'!$D:$D,F1920))</f>
        <v>Grace</v>
      </c>
      <c r="J1920" s="7" t="str">
        <f aca="false">IF(F1920=0,"NOT FOUND",IF(C1920=I1920,"SELF-VOTE",IF(COUNTIF($K:$K,K1920)&gt;1,"DUPLICATE","OK")))</f>
        <v>OK</v>
      </c>
      <c r="K1920" s="6" t="str">
        <f aca="false">A1920&amp;"|"&amp;B1920&amp;"|"&amp;C1920&amp;"|"&amp;D1920</f>
        <v>3|8|Kelsey|spotify:track:5PbdVk09VHHcvGa0pX86RP</v>
      </c>
    </row>
    <row r="1921" customFormat="false" ht="15" hidden="false" customHeight="false" outlineLevel="0" collapsed="false">
      <c r="A1921" s="5" t="n">
        <v>3</v>
      </c>
      <c r="B1921" s="5" t="n">
        <v>8</v>
      </c>
      <c r="C1921" s="5" t="s">
        <v>85</v>
      </c>
      <c r="D1921" s="5" t="s">
        <v>989</v>
      </c>
      <c r="E1921" s="5" t="n">
        <v>1</v>
      </c>
      <c r="F1921" s="6" t="n">
        <f aca="false">IFERROR(MATCH(A1921&amp;"|"&amp;B1921&amp;"|"&amp;D1921,'All Song Rankings'!$T:$T,0),0)</f>
        <v>300</v>
      </c>
      <c r="G1921" s="6" t="str">
        <f aca="false">IF(F1921=0,"NOT FOUND",INDEX('All Song Rankings'!$A:$A,F1921))</f>
        <v>Great Balls of Fire</v>
      </c>
      <c r="H1921" s="6" t="str">
        <f aca="false">IF(F1921=0,"NOT FOUND",INDEX('All Song Rankings'!$B:$B,F1921))</f>
        <v>Jerry Lee Lewis</v>
      </c>
      <c r="I1921" s="6" t="str">
        <f aca="false">IF(F1921=0,"NOT FOUND",INDEX('All Song Rankings'!$D:$D,F1921))</f>
        <v>Logan</v>
      </c>
      <c r="J1921" s="7" t="str">
        <f aca="false">IF(F1921=0,"NOT FOUND",IF(C1921=I1921,"SELF-VOTE",IF(COUNTIF($K:$K,K1921)&gt;1,"DUPLICATE","OK")))</f>
        <v>OK</v>
      </c>
      <c r="K1921" s="6" t="str">
        <f aca="false">A1921&amp;"|"&amp;B1921&amp;"|"&amp;C1921&amp;"|"&amp;D1921</f>
        <v>3|8|Kelsey|spotify:track:64VP3skE86iTvdOlbzuIcO</v>
      </c>
    </row>
    <row r="1922" customFormat="false" ht="15" hidden="false" customHeight="false" outlineLevel="0" collapsed="false">
      <c r="A1922" s="5" t="n">
        <v>3</v>
      </c>
      <c r="B1922" s="5" t="n">
        <v>8</v>
      </c>
      <c r="C1922" s="5" t="s">
        <v>85</v>
      </c>
      <c r="D1922" s="5" t="s">
        <v>984</v>
      </c>
      <c r="E1922" s="5" t="n">
        <v>1</v>
      </c>
      <c r="F1922" s="6" t="n">
        <f aca="false">IFERROR(MATCH(A1922&amp;"|"&amp;B1922&amp;"|"&amp;D1922,'All Song Rankings'!$T:$T,0),0)</f>
        <v>298</v>
      </c>
      <c r="G1922" s="6" t="str">
        <f aca="false">IF(F1922=0,"NOT FOUND",INDEX('All Song Rankings'!$A:$A,F1922))</f>
        <v>Little Deuce Coupe - Remastered 2001</v>
      </c>
      <c r="H1922" s="6" t="str">
        <f aca="false">IF(F1922=0,"NOT FOUND",INDEX('All Song Rankings'!$B:$B,F1922))</f>
        <v>The Beach Boys</v>
      </c>
      <c r="I1922" s="6" t="str">
        <f aca="false">IF(F1922=0,"NOT FOUND",INDEX('All Song Rankings'!$D:$D,F1922))</f>
        <v>Stephanie</v>
      </c>
      <c r="J1922" s="7" t="str">
        <f aca="false">IF(F1922=0,"NOT FOUND",IF(C1922=I1922,"SELF-VOTE",IF(COUNTIF($K:$K,K1922)&gt;1,"DUPLICATE","OK")))</f>
        <v>OK</v>
      </c>
      <c r="K1922" s="6" t="str">
        <f aca="false">A1922&amp;"|"&amp;B1922&amp;"|"&amp;C1922&amp;"|"&amp;D1922</f>
        <v>3|8|Kelsey|spotify:track:75WMOzv7195ziyx0qEw1yE</v>
      </c>
    </row>
    <row r="1923" customFormat="false" ht="15" hidden="false" customHeight="false" outlineLevel="0" collapsed="false">
      <c r="A1923" s="5" t="n">
        <v>3</v>
      </c>
      <c r="B1923" s="5" t="n">
        <v>8</v>
      </c>
      <c r="C1923" s="5" t="s">
        <v>85</v>
      </c>
      <c r="D1923" s="5" t="s">
        <v>986</v>
      </c>
      <c r="E1923" s="5" t="n">
        <v>2</v>
      </c>
      <c r="F1923" s="6" t="n">
        <f aca="false">IFERROR(MATCH(A1923&amp;"|"&amp;B1923&amp;"|"&amp;D1923,'All Song Rankings'!$T:$T,0),0)</f>
        <v>299</v>
      </c>
      <c r="G1923" s="6" t="str">
        <f aca="false">IF(F1923=0,"NOT FOUND",INDEX('All Song Rankings'!$A:$A,F1923))</f>
        <v>Wings</v>
      </c>
      <c r="H1923" s="6" t="str">
        <f aca="false">IF(F1923=0,"NOT FOUND",INDEX('All Song Rankings'!$B:$B,F1923))</f>
        <v>Jonas Brothers</v>
      </c>
      <c r="I1923" s="6" t="str">
        <f aca="false">IF(F1923=0,"NOT FOUND",INDEX('All Song Rankings'!$D:$D,F1923))</f>
        <v>Makenzie</v>
      </c>
      <c r="J1923" s="7" t="str">
        <f aca="false">IF(F1923=0,"NOT FOUND",IF(C1923=I1923,"SELF-VOTE",IF(COUNTIF($K:$K,K1923)&gt;1,"DUPLICATE","OK")))</f>
        <v>OK</v>
      </c>
      <c r="K1923" s="6" t="str">
        <f aca="false">A1923&amp;"|"&amp;B1923&amp;"|"&amp;C1923&amp;"|"&amp;D1923</f>
        <v>3|8|Kelsey|spotify:track:7DVcgqaCDXtwZIjRTPb8bm</v>
      </c>
    </row>
    <row r="1924" customFormat="false" ht="15" hidden="false" customHeight="false" outlineLevel="0" collapsed="false">
      <c r="A1924" s="5" t="n">
        <v>3</v>
      </c>
      <c r="B1924" s="5" t="n">
        <v>8</v>
      </c>
      <c r="C1924" s="5" t="s">
        <v>106</v>
      </c>
      <c r="D1924" s="5" t="s">
        <v>992</v>
      </c>
      <c r="E1924" s="5" t="n">
        <v>2</v>
      </c>
      <c r="F1924" s="6" t="n">
        <f aca="false">IFERROR(MATCH(A1924&amp;"|"&amp;B1924&amp;"|"&amp;D1924,'All Song Rankings'!$T:$T,0),0)</f>
        <v>301</v>
      </c>
      <c r="G1924" s="6" t="str">
        <f aca="false">IF(F1924=0,"NOT FOUND",INDEX('All Song Rankings'!$A:$A,F1924))</f>
        <v>He's a Pirate</v>
      </c>
      <c r="H1924" s="6" t="str">
        <f aca="false">IF(F1924=0,"NOT FOUND",INDEX('All Song Rankings'!$B:$B,F1924))</f>
        <v>Klaus Badelt</v>
      </c>
      <c r="I1924" s="6" t="str">
        <f aca="false">IF(F1924=0,"NOT FOUND",INDEX('All Song Rankings'!$D:$D,F1924))</f>
        <v>Kelsey</v>
      </c>
      <c r="J1924" s="7" t="str">
        <f aca="false">IF(F1924=0,"NOT FOUND",IF(C1924=I1924,"SELF-VOTE",IF(COUNTIF($K:$K,K1924)&gt;1,"DUPLICATE","OK")))</f>
        <v>OK</v>
      </c>
      <c r="K1924" s="6" t="str">
        <f aca="false">A1924&amp;"|"&amp;B1924&amp;"|"&amp;C1924&amp;"|"&amp;D1924</f>
        <v>3|8|Kristen|spotify:track:08QaHlMPWuO5PUxjl61bXn</v>
      </c>
    </row>
    <row r="1925" customFormat="false" ht="15" hidden="false" customHeight="false" outlineLevel="0" collapsed="false">
      <c r="A1925" s="5" t="n">
        <v>3</v>
      </c>
      <c r="B1925" s="5" t="n">
        <v>8</v>
      </c>
      <c r="C1925" s="5" t="s">
        <v>106</v>
      </c>
      <c r="D1925" s="5" t="s">
        <v>995</v>
      </c>
      <c r="E1925" s="5" t="n">
        <v>2</v>
      </c>
      <c r="F1925" s="6" t="n">
        <f aca="false">IFERROR(MATCH(A1925&amp;"|"&amp;B1925&amp;"|"&amp;D1925,'All Song Rankings'!$T:$T,0),0)</f>
        <v>302</v>
      </c>
      <c r="G1925" s="6" t="str">
        <f aca="false">IF(F1925=0,"NOT FOUND",INDEX('All Song Rankings'!$A:$A,F1925))</f>
        <v>The Story of Tonight</v>
      </c>
      <c r="H1925" s="6" t="str">
        <f aca="false">IF(F1925=0,"NOT FOUND",INDEX('All Song Rankings'!$B:$B,F1925))</f>
        <v>Lin-Manuel Miranda, Okieriete Onaodowan, Daveed Diggs, Original Broadway Cast of Hamilton</v>
      </c>
      <c r="I1925" s="6" t="str">
        <f aca="false">IF(F1925=0,"NOT FOUND",INDEX('All Song Rankings'!$D:$D,F1925))</f>
        <v>Leah</v>
      </c>
      <c r="J1925" s="7" t="str">
        <f aca="false">IF(F1925=0,"NOT FOUND",IF(C1925=I1925,"SELF-VOTE",IF(COUNTIF($K:$K,K1925)&gt;1,"DUPLICATE","OK")))</f>
        <v>OK</v>
      </c>
      <c r="K1925" s="6" t="str">
        <f aca="false">A1925&amp;"|"&amp;B1925&amp;"|"&amp;C1925&amp;"|"&amp;D1925</f>
        <v>3|8|Kristen|spotify:track:0NJWhm3hUwIZSy5s0TGJ8q</v>
      </c>
    </row>
    <row r="1926" customFormat="false" ht="15" hidden="false" customHeight="false" outlineLevel="0" collapsed="false">
      <c r="A1926" s="5" t="n">
        <v>3</v>
      </c>
      <c r="B1926" s="5" t="n">
        <v>8</v>
      </c>
      <c r="C1926" s="5" t="s">
        <v>106</v>
      </c>
      <c r="D1926" s="5" t="s">
        <v>998</v>
      </c>
      <c r="E1926" s="5" t="n">
        <v>1</v>
      </c>
      <c r="F1926" s="6" t="n">
        <f aca="false">IFERROR(MATCH(A1926&amp;"|"&amp;B1926&amp;"|"&amp;D1926,'All Song Rankings'!$T:$T,0),0)</f>
        <v>303</v>
      </c>
      <c r="G1926" s="6" t="str">
        <f aca="false">IF(F1926=0,"NOT FOUND",INDEX('All Song Rankings'!$A:$A,F1926))</f>
        <v>The 59th Street Bridge Song (Feelin' Groovy)</v>
      </c>
      <c r="H1926" s="6" t="str">
        <f aca="false">IF(F1926=0,"NOT FOUND",INDEX('All Song Rankings'!$B:$B,F1926))</f>
        <v>Simon &amp; Garfunkel</v>
      </c>
      <c r="I1926" s="6" t="str">
        <f aca="false">IF(F1926=0,"NOT FOUND",INDEX('All Song Rankings'!$D:$D,F1926))</f>
        <v>Lisa</v>
      </c>
      <c r="J1926" s="7" t="str">
        <f aca="false">IF(F1926=0,"NOT FOUND",IF(C1926=I1926,"SELF-VOTE",IF(COUNTIF($K:$K,K1926)&gt;1,"DUPLICATE","OK")))</f>
        <v>OK</v>
      </c>
      <c r="K1926" s="6" t="str">
        <f aca="false">A1926&amp;"|"&amp;B1926&amp;"|"&amp;C1926&amp;"|"&amp;D1926</f>
        <v>3|8|Kristen|spotify:track:0dzbfio3qTYG9uk40SJNcr</v>
      </c>
    </row>
    <row r="1927" customFormat="false" ht="15" hidden="false" customHeight="false" outlineLevel="0" collapsed="false">
      <c r="A1927" s="5" t="n">
        <v>3</v>
      </c>
      <c r="B1927" s="5" t="n">
        <v>8</v>
      </c>
      <c r="C1927" s="5" t="s">
        <v>106</v>
      </c>
      <c r="D1927" s="5" t="s">
        <v>981</v>
      </c>
      <c r="E1927" s="5" t="n">
        <v>2</v>
      </c>
      <c r="F1927" s="6" t="n">
        <f aca="false">IFERROR(MATCH(A1927&amp;"|"&amp;B1927&amp;"|"&amp;D1927,'All Song Rankings'!$T:$T,0),0)</f>
        <v>297</v>
      </c>
      <c r="G1927" s="6" t="str">
        <f aca="false">IF(F1927=0,"NOT FOUND",INDEX('All Song Rankings'!$A:$A,F1927))</f>
        <v>Interlude</v>
      </c>
      <c r="H1927" s="6" t="str">
        <f aca="false">IF(F1927=0,"NOT FOUND",INDEX('All Song Rankings'!$B:$B,F1927))</f>
        <v>Kelsea Ballerini</v>
      </c>
      <c r="I1927" s="6" t="str">
        <f aca="false">IF(F1927=0,"NOT FOUND",INDEX('All Song Rankings'!$D:$D,F1927))</f>
        <v>Nicole</v>
      </c>
      <c r="J1927" s="7" t="str">
        <f aca="false">IF(F1927=0,"NOT FOUND",IF(C1927=I1927,"SELF-VOTE",IF(COUNTIF($K:$K,K1927)&gt;1,"DUPLICATE","OK")))</f>
        <v>OK</v>
      </c>
      <c r="K1927" s="6" t="str">
        <f aca="false">A1927&amp;"|"&amp;B1927&amp;"|"&amp;C1927&amp;"|"&amp;D1927</f>
        <v>3|8|Kristen|spotify:track:0nkOSp2DLhgrElR8lPPteZ</v>
      </c>
    </row>
    <row r="1928" customFormat="false" ht="15" hidden="false" customHeight="false" outlineLevel="0" collapsed="false">
      <c r="A1928" s="5" t="n">
        <v>3</v>
      </c>
      <c r="B1928" s="5" t="n">
        <v>8</v>
      </c>
      <c r="C1928" s="5" t="s">
        <v>106</v>
      </c>
      <c r="D1928" s="5" t="s">
        <v>1007</v>
      </c>
      <c r="E1928" s="5" t="n">
        <v>1</v>
      </c>
      <c r="F1928" s="6" t="n">
        <f aca="false">IFERROR(MATCH(A1928&amp;"|"&amp;B1928&amp;"|"&amp;D1928,'All Song Rankings'!$T:$T,0),0)</f>
        <v>306</v>
      </c>
      <c r="G1928" s="6" t="str">
        <f aca="false">IF(F1928=0,"NOT FOUND",INDEX('All Song Rankings'!$A:$A,F1928))</f>
        <v>Lust</v>
      </c>
      <c r="H1928" s="6" t="str">
        <f aca="false">IF(F1928=0,"NOT FOUND",INDEX('All Song Rankings'!$B:$B,F1928))</f>
        <v>Marino, Alexandria</v>
      </c>
      <c r="I1928" s="6" t="str">
        <f aca="false">IF(F1928=0,"NOT FOUND",INDEX('All Song Rankings'!$D:$D,F1928))</f>
        <v>Matt</v>
      </c>
      <c r="J1928" s="7" t="str">
        <f aca="false">IF(F1928=0,"NOT FOUND",IF(C1928=I1928,"SELF-VOTE",IF(COUNTIF($K:$K,K1928)&gt;1,"DUPLICATE","OK")))</f>
        <v>OK</v>
      </c>
      <c r="K1928" s="6" t="str">
        <f aca="false">A1928&amp;"|"&amp;B1928&amp;"|"&amp;C1928&amp;"|"&amp;D1928</f>
        <v>3|8|Kristen|spotify:track:2Tf3o75XkU0IS06tYgEuvn</v>
      </c>
    </row>
    <row r="1929" customFormat="false" ht="15" hidden="false" customHeight="false" outlineLevel="0" collapsed="false">
      <c r="A1929" s="5" t="n">
        <v>3</v>
      </c>
      <c r="B1929" s="5" t="n">
        <v>8</v>
      </c>
      <c r="C1929" s="5" t="s">
        <v>106</v>
      </c>
      <c r="D1929" s="5" t="s">
        <v>1001</v>
      </c>
      <c r="E1929" s="5" t="n">
        <v>1</v>
      </c>
      <c r="F1929" s="6" t="n">
        <f aca="false">IFERROR(MATCH(A1929&amp;"|"&amp;B1929&amp;"|"&amp;D1929,'All Song Rankings'!$T:$T,0),0)</f>
        <v>304</v>
      </c>
      <c r="G1929" s="6" t="str">
        <f aca="false">IF(F1929=0,"NOT FOUND",INDEX('All Song Rankings'!$A:$A,F1929))</f>
        <v>Flowers In Your Hair</v>
      </c>
      <c r="H1929" s="6" t="str">
        <f aca="false">IF(F1929=0,"NOT FOUND",INDEX('All Song Rankings'!$B:$B,F1929))</f>
        <v>The Lumineers</v>
      </c>
      <c r="I1929" s="6" t="str">
        <f aca="false">IF(F1929=0,"NOT FOUND",INDEX('All Song Rankings'!$D:$D,F1929))</f>
        <v>Grace</v>
      </c>
      <c r="J1929" s="7" t="str">
        <f aca="false">IF(F1929=0,"NOT FOUND",IF(C1929=I1929,"SELF-VOTE",IF(COUNTIF($K:$K,K1929)&gt;1,"DUPLICATE","OK")))</f>
        <v>OK</v>
      </c>
      <c r="K1929" s="6" t="str">
        <f aca="false">A1929&amp;"|"&amp;B1929&amp;"|"&amp;C1929&amp;"|"&amp;D1929</f>
        <v>3|8|Kristen|spotify:track:5PbdVk09VHHcvGa0pX86RP</v>
      </c>
    </row>
    <row r="1930" customFormat="false" ht="15" hidden="false" customHeight="false" outlineLevel="0" collapsed="false">
      <c r="A1930" s="5" t="n">
        <v>3</v>
      </c>
      <c r="B1930" s="5" t="n">
        <v>8</v>
      </c>
      <c r="C1930" s="5" t="s">
        <v>106</v>
      </c>
      <c r="D1930" s="5" t="s">
        <v>989</v>
      </c>
      <c r="E1930" s="5" t="n">
        <v>1</v>
      </c>
      <c r="F1930" s="6" t="n">
        <f aca="false">IFERROR(MATCH(A1930&amp;"|"&amp;B1930&amp;"|"&amp;D1930,'All Song Rankings'!$T:$T,0),0)</f>
        <v>300</v>
      </c>
      <c r="G1930" s="6" t="str">
        <f aca="false">IF(F1930=0,"NOT FOUND",INDEX('All Song Rankings'!$A:$A,F1930))</f>
        <v>Great Balls of Fire</v>
      </c>
      <c r="H1930" s="6" t="str">
        <f aca="false">IF(F1930=0,"NOT FOUND",INDEX('All Song Rankings'!$B:$B,F1930))</f>
        <v>Jerry Lee Lewis</v>
      </c>
      <c r="I1930" s="6" t="str">
        <f aca="false">IF(F1930=0,"NOT FOUND",INDEX('All Song Rankings'!$D:$D,F1930))</f>
        <v>Logan</v>
      </c>
      <c r="J1930" s="7" t="str">
        <f aca="false">IF(F1930=0,"NOT FOUND",IF(C1930=I1930,"SELF-VOTE",IF(COUNTIF($K:$K,K1930)&gt;1,"DUPLICATE","OK")))</f>
        <v>OK</v>
      </c>
      <c r="K1930" s="6" t="str">
        <f aca="false">A1930&amp;"|"&amp;B1930&amp;"|"&amp;C1930&amp;"|"&amp;D1930</f>
        <v>3|8|Kristen|spotify:track:64VP3skE86iTvdOlbzuIcO</v>
      </c>
    </row>
    <row r="1931" customFormat="false" ht="15" hidden="false" customHeight="false" outlineLevel="0" collapsed="false">
      <c r="A1931" s="5" t="n">
        <v>3</v>
      </c>
      <c r="B1931" s="5" t="n">
        <v>8</v>
      </c>
      <c r="C1931" s="5" t="s">
        <v>119</v>
      </c>
      <c r="D1931" s="5" t="s">
        <v>992</v>
      </c>
      <c r="E1931" s="5" t="n">
        <v>1</v>
      </c>
      <c r="F1931" s="6" t="n">
        <f aca="false">IFERROR(MATCH(A1931&amp;"|"&amp;B1931&amp;"|"&amp;D1931,'All Song Rankings'!$T:$T,0),0)</f>
        <v>301</v>
      </c>
      <c r="G1931" s="6" t="str">
        <f aca="false">IF(F1931=0,"NOT FOUND",INDEX('All Song Rankings'!$A:$A,F1931))</f>
        <v>He's a Pirate</v>
      </c>
      <c r="H1931" s="6" t="str">
        <f aca="false">IF(F1931=0,"NOT FOUND",INDEX('All Song Rankings'!$B:$B,F1931))</f>
        <v>Klaus Badelt</v>
      </c>
      <c r="I1931" s="6" t="str">
        <f aca="false">IF(F1931=0,"NOT FOUND",INDEX('All Song Rankings'!$D:$D,F1931))</f>
        <v>Kelsey</v>
      </c>
      <c r="J1931" s="7" t="str">
        <f aca="false">IF(F1931=0,"NOT FOUND",IF(C1931=I1931,"SELF-VOTE",IF(COUNTIF($K:$K,K1931)&gt;1,"DUPLICATE","OK")))</f>
        <v>OK</v>
      </c>
      <c r="K1931" s="6" t="str">
        <f aca="false">A1931&amp;"|"&amp;B1931&amp;"|"&amp;C1931&amp;"|"&amp;D1931</f>
        <v>3|8|Leah|spotify:track:08QaHlMPWuO5PUxjl61bXn</v>
      </c>
    </row>
    <row r="1932" customFormat="false" ht="15" hidden="false" customHeight="false" outlineLevel="0" collapsed="false">
      <c r="A1932" s="5" t="n">
        <v>3</v>
      </c>
      <c r="B1932" s="5" t="n">
        <v>8</v>
      </c>
      <c r="C1932" s="5" t="s">
        <v>119</v>
      </c>
      <c r="D1932" s="5" t="s">
        <v>1015</v>
      </c>
      <c r="E1932" s="5" t="n">
        <v>1</v>
      </c>
      <c r="F1932" s="6" t="n">
        <f aca="false">IFERROR(MATCH(A1932&amp;"|"&amp;B1932&amp;"|"&amp;D1932,'All Song Rankings'!$T:$T,0),0)</f>
        <v>309</v>
      </c>
      <c r="G1932" s="6" t="str">
        <f aca="false">IF(F1932=0,"NOT FOUND",INDEX('All Song Rankings'!$A:$A,F1932))</f>
        <v>Hello There</v>
      </c>
      <c r="H1932" s="6" t="str">
        <f aca="false">IF(F1932=0,"NOT FOUND",INDEX('All Song Rankings'!$B:$B,F1932))</f>
        <v>Cheap Trick</v>
      </c>
      <c r="I1932" s="6" t="str">
        <f aca="false">IF(F1932=0,"NOT FOUND",INDEX('All Song Rankings'!$D:$D,F1932))</f>
        <v>Christine</v>
      </c>
      <c r="J1932" s="7" t="str">
        <f aca="false">IF(F1932=0,"NOT FOUND",IF(C1932=I1932,"SELF-VOTE",IF(COUNTIF($K:$K,K1932)&gt;1,"DUPLICATE","OK")))</f>
        <v>OK</v>
      </c>
      <c r="K1932" s="6" t="str">
        <f aca="false">A1932&amp;"|"&amp;B1932&amp;"|"&amp;C1932&amp;"|"&amp;D1932</f>
        <v>3|8|Leah|spotify:track:0P1jQfRErBjgOSTbVKtCW7</v>
      </c>
    </row>
    <row r="1933" customFormat="false" ht="15" hidden="false" customHeight="false" outlineLevel="0" collapsed="false">
      <c r="A1933" s="5" t="n">
        <v>3</v>
      </c>
      <c r="B1933" s="5" t="n">
        <v>8</v>
      </c>
      <c r="C1933" s="5" t="s">
        <v>119</v>
      </c>
      <c r="D1933" s="5" t="s">
        <v>998</v>
      </c>
      <c r="E1933" s="5" t="n">
        <v>1</v>
      </c>
      <c r="F1933" s="6" t="n">
        <f aca="false">IFERROR(MATCH(A1933&amp;"|"&amp;B1933&amp;"|"&amp;D1933,'All Song Rankings'!$T:$T,0),0)</f>
        <v>303</v>
      </c>
      <c r="G1933" s="6" t="str">
        <f aca="false">IF(F1933=0,"NOT FOUND",INDEX('All Song Rankings'!$A:$A,F1933))</f>
        <v>The 59th Street Bridge Song (Feelin' Groovy)</v>
      </c>
      <c r="H1933" s="6" t="str">
        <f aca="false">IF(F1933=0,"NOT FOUND",INDEX('All Song Rankings'!$B:$B,F1933))</f>
        <v>Simon &amp; Garfunkel</v>
      </c>
      <c r="I1933" s="6" t="str">
        <f aca="false">IF(F1933=0,"NOT FOUND",INDEX('All Song Rankings'!$D:$D,F1933))</f>
        <v>Lisa</v>
      </c>
      <c r="J1933" s="7" t="str">
        <f aca="false">IF(F1933=0,"NOT FOUND",IF(C1933=I1933,"SELF-VOTE",IF(COUNTIF($K:$K,K1933)&gt;1,"DUPLICATE","OK")))</f>
        <v>OK</v>
      </c>
      <c r="K1933" s="6" t="str">
        <f aca="false">A1933&amp;"|"&amp;B1933&amp;"|"&amp;C1933&amp;"|"&amp;D1933</f>
        <v>3|8|Leah|spotify:track:0dzbfio3qTYG9uk40SJNcr</v>
      </c>
    </row>
    <row r="1934" customFormat="false" ht="15" hidden="false" customHeight="false" outlineLevel="0" collapsed="false">
      <c r="A1934" s="5" t="n">
        <v>3</v>
      </c>
      <c r="B1934" s="5" t="n">
        <v>8</v>
      </c>
      <c r="C1934" s="5" t="s">
        <v>119</v>
      </c>
      <c r="D1934" s="5" t="s">
        <v>981</v>
      </c>
      <c r="E1934" s="5" t="n">
        <v>2</v>
      </c>
      <c r="F1934" s="6" t="n">
        <f aca="false">IFERROR(MATCH(A1934&amp;"|"&amp;B1934&amp;"|"&amp;D1934,'All Song Rankings'!$T:$T,0),0)</f>
        <v>297</v>
      </c>
      <c r="G1934" s="6" t="str">
        <f aca="false">IF(F1934=0,"NOT FOUND",INDEX('All Song Rankings'!$A:$A,F1934))</f>
        <v>Interlude</v>
      </c>
      <c r="H1934" s="6" t="str">
        <f aca="false">IF(F1934=0,"NOT FOUND",INDEX('All Song Rankings'!$B:$B,F1934))</f>
        <v>Kelsea Ballerini</v>
      </c>
      <c r="I1934" s="6" t="str">
        <f aca="false">IF(F1934=0,"NOT FOUND",INDEX('All Song Rankings'!$D:$D,F1934))</f>
        <v>Nicole</v>
      </c>
      <c r="J1934" s="7" t="str">
        <f aca="false">IF(F1934=0,"NOT FOUND",IF(C1934=I1934,"SELF-VOTE",IF(COUNTIF($K:$K,K1934)&gt;1,"DUPLICATE","OK")))</f>
        <v>OK</v>
      </c>
      <c r="K1934" s="6" t="str">
        <f aca="false">A1934&amp;"|"&amp;B1934&amp;"|"&amp;C1934&amp;"|"&amp;D1934</f>
        <v>3|8|Leah|spotify:track:0nkOSp2DLhgrElR8lPPteZ</v>
      </c>
    </row>
    <row r="1935" customFormat="false" ht="15" hidden="false" customHeight="false" outlineLevel="0" collapsed="false">
      <c r="A1935" s="5" t="n">
        <v>3</v>
      </c>
      <c r="B1935" s="5" t="n">
        <v>8</v>
      </c>
      <c r="C1935" s="5" t="s">
        <v>119</v>
      </c>
      <c r="D1935" s="5" t="s">
        <v>1004</v>
      </c>
      <c r="E1935" s="5" t="n">
        <v>2</v>
      </c>
      <c r="F1935" s="6" t="n">
        <f aca="false">IFERROR(MATCH(A1935&amp;"|"&amp;B1935&amp;"|"&amp;D1935,'All Song Rankings'!$T:$T,0),0)</f>
        <v>305</v>
      </c>
      <c r="G1935" s="6" t="str">
        <f aca="false">IF(F1935=0,"NOT FOUND",INDEX('All Song Rankings'!$A:$A,F1935))</f>
        <v>Walls Could Talk</v>
      </c>
      <c r="H1935" s="6" t="str">
        <f aca="false">IF(F1935=0,"NOT FOUND",INDEX('All Song Rankings'!$B:$B,F1935))</f>
        <v>Halsey</v>
      </c>
      <c r="I1935" s="6" t="str">
        <f aca="false">IF(F1935=0,"NOT FOUND",INDEX('All Song Rankings'!$D:$D,F1935))</f>
        <v>Merita</v>
      </c>
      <c r="J1935" s="7" t="str">
        <f aca="false">IF(F1935=0,"NOT FOUND",IF(C1935=I1935,"SELF-VOTE",IF(COUNTIF($K:$K,K1935)&gt;1,"DUPLICATE","OK")))</f>
        <v>OK</v>
      </c>
      <c r="K1935" s="6" t="str">
        <f aca="false">A1935&amp;"|"&amp;B1935&amp;"|"&amp;C1935&amp;"|"&amp;D1935</f>
        <v>3|8|Leah|spotify:track:1Ao5nOuAUm42ob1UVvOkgW</v>
      </c>
    </row>
    <row r="1936" customFormat="false" ht="15" hidden="false" customHeight="false" outlineLevel="0" collapsed="false">
      <c r="A1936" s="5" t="n">
        <v>3</v>
      </c>
      <c r="B1936" s="5" t="n">
        <v>8</v>
      </c>
      <c r="C1936" s="5" t="s">
        <v>119</v>
      </c>
      <c r="D1936" s="5" t="s">
        <v>1007</v>
      </c>
      <c r="E1936" s="5" t="n">
        <v>1</v>
      </c>
      <c r="F1936" s="6" t="n">
        <f aca="false">IFERROR(MATCH(A1936&amp;"|"&amp;B1936&amp;"|"&amp;D1936,'All Song Rankings'!$T:$T,0),0)</f>
        <v>306</v>
      </c>
      <c r="G1936" s="6" t="str">
        <f aca="false">IF(F1936=0,"NOT FOUND",INDEX('All Song Rankings'!$A:$A,F1936))</f>
        <v>Lust</v>
      </c>
      <c r="H1936" s="6" t="str">
        <f aca="false">IF(F1936=0,"NOT FOUND",INDEX('All Song Rankings'!$B:$B,F1936))</f>
        <v>Marino, Alexandria</v>
      </c>
      <c r="I1936" s="6" t="str">
        <f aca="false">IF(F1936=0,"NOT FOUND",INDEX('All Song Rankings'!$D:$D,F1936))</f>
        <v>Matt</v>
      </c>
      <c r="J1936" s="7" t="str">
        <f aca="false">IF(F1936=0,"NOT FOUND",IF(C1936=I1936,"SELF-VOTE",IF(COUNTIF($K:$K,K1936)&gt;1,"DUPLICATE","OK")))</f>
        <v>OK</v>
      </c>
      <c r="K1936" s="6" t="str">
        <f aca="false">A1936&amp;"|"&amp;B1936&amp;"|"&amp;C1936&amp;"|"&amp;D1936</f>
        <v>3|8|Leah|spotify:track:2Tf3o75XkU0IS06tYgEuvn</v>
      </c>
    </row>
    <row r="1937" customFormat="false" ht="15" hidden="false" customHeight="false" outlineLevel="0" collapsed="false">
      <c r="A1937" s="5" t="n">
        <v>3</v>
      </c>
      <c r="B1937" s="5" t="n">
        <v>8</v>
      </c>
      <c r="C1937" s="5" t="s">
        <v>119</v>
      </c>
      <c r="D1937" s="5" t="s">
        <v>984</v>
      </c>
      <c r="E1937" s="5" t="n">
        <v>1</v>
      </c>
      <c r="F1937" s="6" t="n">
        <f aca="false">IFERROR(MATCH(A1937&amp;"|"&amp;B1937&amp;"|"&amp;D1937,'All Song Rankings'!$T:$T,0),0)</f>
        <v>298</v>
      </c>
      <c r="G1937" s="6" t="str">
        <f aca="false">IF(F1937=0,"NOT FOUND",INDEX('All Song Rankings'!$A:$A,F1937))</f>
        <v>Little Deuce Coupe - Remastered 2001</v>
      </c>
      <c r="H1937" s="6" t="str">
        <f aca="false">IF(F1937=0,"NOT FOUND",INDEX('All Song Rankings'!$B:$B,F1937))</f>
        <v>The Beach Boys</v>
      </c>
      <c r="I1937" s="6" t="str">
        <f aca="false">IF(F1937=0,"NOT FOUND",INDEX('All Song Rankings'!$D:$D,F1937))</f>
        <v>Stephanie</v>
      </c>
      <c r="J1937" s="7" t="str">
        <f aca="false">IF(F1937=0,"NOT FOUND",IF(C1937=I1937,"SELF-VOTE",IF(COUNTIF($K:$K,K1937)&gt;1,"DUPLICATE","OK")))</f>
        <v>OK</v>
      </c>
      <c r="K1937" s="6" t="str">
        <f aca="false">A1937&amp;"|"&amp;B1937&amp;"|"&amp;C1937&amp;"|"&amp;D1937</f>
        <v>3|8|Leah|spotify:track:75WMOzv7195ziyx0qEw1yE</v>
      </c>
    </row>
    <row r="1938" customFormat="false" ht="15" hidden="false" customHeight="false" outlineLevel="0" collapsed="false">
      <c r="A1938" s="5" t="n">
        <v>3</v>
      </c>
      <c r="B1938" s="5" t="n">
        <v>8</v>
      </c>
      <c r="C1938" s="5" t="s">
        <v>119</v>
      </c>
      <c r="D1938" s="5" t="s">
        <v>986</v>
      </c>
      <c r="E1938" s="5" t="n">
        <v>1</v>
      </c>
      <c r="F1938" s="6" t="n">
        <f aca="false">IFERROR(MATCH(A1938&amp;"|"&amp;B1938&amp;"|"&amp;D1938,'All Song Rankings'!$T:$T,0),0)</f>
        <v>299</v>
      </c>
      <c r="G1938" s="6" t="str">
        <f aca="false">IF(F1938=0,"NOT FOUND",INDEX('All Song Rankings'!$A:$A,F1938))</f>
        <v>Wings</v>
      </c>
      <c r="H1938" s="6" t="str">
        <f aca="false">IF(F1938=0,"NOT FOUND",INDEX('All Song Rankings'!$B:$B,F1938))</f>
        <v>Jonas Brothers</v>
      </c>
      <c r="I1938" s="6" t="str">
        <f aca="false">IF(F1938=0,"NOT FOUND",INDEX('All Song Rankings'!$D:$D,F1938))</f>
        <v>Makenzie</v>
      </c>
      <c r="J1938" s="7" t="str">
        <f aca="false">IF(F1938=0,"NOT FOUND",IF(C1938=I1938,"SELF-VOTE",IF(COUNTIF($K:$K,K1938)&gt;1,"DUPLICATE","OK")))</f>
        <v>OK</v>
      </c>
      <c r="K1938" s="6" t="str">
        <f aca="false">A1938&amp;"|"&amp;B1938&amp;"|"&amp;C1938&amp;"|"&amp;D1938</f>
        <v>3|8|Leah|spotify:track:7DVcgqaCDXtwZIjRTPb8bm</v>
      </c>
    </row>
    <row r="1939" customFormat="false" ht="15" hidden="false" customHeight="false" outlineLevel="0" collapsed="false">
      <c r="A1939" s="5" t="n">
        <v>3</v>
      </c>
      <c r="B1939" s="5" t="n">
        <v>8</v>
      </c>
      <c r="C1939" s="5" t="s">
        <v>705</v>
      </c>
      <c r="D1939" s="5" t="s">
        <v>992</v>
      </c>
      <c r="E1939" s="5" t="n">
        <v>1</v>
      </c>
      <c r="F1939" s="6" t="n">
        <f aca="false">IFERROR(MATCH(A1939&amp;"|"&amp;B1939&amp;"|"&amp;D1939,'All Song Rankings'!$T:$T,0),0)</f>
        <v>301</v>
      </c>
      <c r="G1939" s="6" t="str">
        <f aca="false">IF(F1939=0,"NOT FOUND",INDEX('All Song Rankings'!$A:$A,F1939))</f>
        <v>He's a Pirate</v>
      </c>
      <c r="H1939" s="6" t="str">
        <f aca="false">IF(F1939=0,"NOT FOUND",INDEX('All Song Rankings'!$B:$B,F1939))</f>
        <v>Klaus Badelt</v>
      </c>
      <c r="I1939" s="6" t="str">
        <f aca="false">IF(F1939=0,"NOT FOUND",INDEX('All Song Rankings'!$D:$D,F1939))</f>
        <v>Kelsey</v>
      </c>
      <c r="J1939" s="7" t="str">
        <f aca="false">IF(F1939=0,"NOT FOUND",IF(C1939=I1939,"SELF-VOTE",IF(COUNTIF($K:$K,K1939)&gt;1,"DUPLICATE","OK")))</f>
        <v>OK</v>
      </c>
      <c r="K1939" s="6" t="str">
        <f aca="false">A1939&amp;"|"&amp;B1939&amp;"|"&amp;C1939&amp;"|"&amp;D1939</f>
        <v>3|8|Lisa|spotify:track:08QaHlMPWuO5PUxjl61bXn</v>
      </c>
    </row>
    <row r="1940" customFormat="false" ht="15" hidden="false" customHeight="false" outlineLevel="0" collapsed="false">
      <c r="A1940" s="5" t="n">
        <v>3</v>
      </c>
      <c r="B1940" s="5" t="n">
        <v>8</v>
      </c>
      <c r="C1940" s="5" t="s">
        <v>705</v>
      </c>
      <c r="D1940" s="5" t="s">
        <v>995</v>
      </c>
      <c r="E1940" s="5" t="n">
        <v>2</v>
      </c>
      <c r="F1940" s="6" t="n">
        <f aca="false">IFERROR(MATCH(A1940&amp;"|"&amp;B1940&amp;"|"&amp;D1940,'All Song Rankings'!$T:$T,0),0)</f>
        <v>302</v>
      </c>
      <c r="G1940" s="6" t="str">
        <f aca="false">IF(F1940=0,"NOT FOUND",INDEX('All Song Rankings'!$A:$A,F1940))</f>
        <v>The Story of Tonight</v>
      </c>
      <c r="H1940" s="6" t="str">
        <f aca="false">IF(F1940=0,"NOT FOUND",INDEX('All Song Rankings'!$B:$B,F1940))</f>
        <v>Lin-Manuel Miranda, Okieriete Onaodowan, Daveed Diggs, Original Broadway Cast of Hamilton</v>
      </c>
      <c r="I1940" s="6" t="str">
        <f aca="false">IF(F1940=0,"NOT FOUND",INDEX('All Song Rankings'!$D:$D,F1940))</f>
        <v>Leah</v>
      </c>
      <c r="J1940" s="7" t="str">
        <f aca="false">IF(F1940=0,"NOT FOUND",IF(C1940=I1940,"SELF-VOTE",IF(COUNTIF($K:$K,K1940)&gt;1,"DUPLICATE","OK")))</f>
        <v>OK</v>
      </c>
      <c r="K1940" s="6" t="str">
        <f aca="false">A1940&amp;"|"&amp;B1940&amp;"|"&amp;C1940&amp;"|"&amp;D1940</f>
        <v>3|8|Lisa|spotify:track:0NJWhm3hUwIZSy5s0TGJ8q</v>
      </c>
    </row>
    <row r="1941" customFormat="false" ht="15" hidden="false" customHeight="false" outlineLevel="0" collapsed="false">
      <c r="A1941" s="5" t="n">
        <v>3</v>
      </c>
      <c r="B1941" s="5" t="n">
        <v>8</v>
      </c>
      <c r="C1941" s="5" t="s">
        <v>705</v>
      </c>
      <c r="D1941" s="5" t="s">
        <v>981</v>
      </c>
      <c r="E1941" s="5" t="n">
        <v>1</v>
      </c>
      <c r="F1941" s="6" t="n">
        <f aca="false">IFERROR(MATCH(A1941&amp;"|"&amp;B1941&amp;"|"&amp;D1941,'All Song Rankings'!$T:$T,0),0)</f>
        <v>297</v>
      </c>
      <c r="G1941" s="6" t="str">
        <f aca="false">IF(F1941=0,"NOT FOUND",INDEX('All Song Rankings'!$A:$A,F1941))</f>
        <v>Interlude</v>
      </c>
      <c r="H1941" s="6" t="str">
        <f aca="false">IF(F1941=0,"NOT FOUND",INDEX('All Song Rankings'!$B:$B,F1941))</f>
        <v>Kelsea Ballerini</v>
      </c>
      <c r="I1941" s="6" t="str">
        <f aca="false">IF(F1941=0,"NOT FOUND",INDEX('All Song Rankings'!$D:$D,F1941))</f>
        <v>Nicole</v>
      </c>
      <c r="J1941" s="7" t="str">
        <f aca="false">IF(F1941=0,"NOT FOUND",IF(C1941=I1941,"SELF-VOTE",IF(COUNTIF($K:$K,K1941)&gt;1,"DUPLICATE","OK")))</f>
        <v>OK</v>
      </c>
      <c r="K1941" s="6" t="str">
        <f aca="false">A1941&amp;"|"&amp;B1941&amp;"|"&amp;C1941&amp;"|"&amp;D1941</f>
        <v>3|8|Lisa|spotify:track:0nkOSp2DLhgrElR8lPPteZ</v>
      </c>
    </row>
    <row r="1942" customFormat="false" ht="15" hidden="false" customHeight="false" outlineLevel="0" collapsed="false">
      <c r="A1942" s="5" t="n">
        <v>3</v>
      </c>
      <c r="B1942" s="5" t="n">
        <v>8</v>
      </c>
      <c r="C1942" s="5" t="s">
        <v>705</v>
      </c>
      <c r="D1942" s="5" t="s">
        <v>1009</v>
      </c>
      <c r="E1942" s="5" t="n">
        <v>2</v>
      </c>
      <c r="F1942" s="6" t="n">
        <f aca="false">IFERROR(MATCH(A1942&amp;"|"&amp;B1942&amp;"|"&amp;D1942,'All Song Rankings'!$T:$T,0),0)</f>
        <v>307</v>
      </c>
      <c r="G1942" s="6" t="str">
        <f aca="false">IF(F1942=0,"NOT FOUND",INDEX('All Song Rankings'!$A:$A,F1942))</f>
        <v>Acoustic #3</v>
      </c>
      <c r="H1942" s="6" t="str">
        <f aca="false">IF(F1942=0,"NOT FOUND",INDEX('All Song Rankings'!$B:$B,F1942))</f>
        <v>The Goo Goo Dolls</v>
      </c>
      <c r="I1942" s="6" t="str">
        <f aca="false">IF(F1942=0,"NOT FOUND",INDEX('All Song Rankings'!$D:$D,F1942))</f>
        <v>Kristen</v>
      </c>
      <c r="J1942" s="7" t="str">
        <f aca="false">IF(F1942=0,"NOT FOUND",IF(C1942=I1942,"SELF-VOTE",IF(COUNTIF($K:$K,K1942)&gt;1,"DUPLICATE","OK")))</f>
        <v>OK</v>
      </c>
      <c r="K1942" s="6" t="str">
        <f aca="false">A1942&amp;"|"&amp;B1942&amp;"|"&amp;C1942&amp;"|"&amp;D1942</f>
        <v>3|8|Lisa|spotify:track:1RC9slv335IfLce5vt9KTW</v>
      </c>
    </row>
    <row r="1943" customFormat="false" ht="15" hidden="false" customHeight="false" outlineLevel="0" collapsed="false">
      <c r="A1943" s="5" t="n">
        <v>3</v>
      </c>
      <c r="B1943" s="5" t="n">
        <v>8</v>
      </c>
      <c r="C1943" s="5" t="s">
        <v>705</v>
      </c>
      <c r="D1943" s="5" t="s">
        <v>1012</v>
      </c>
      <c r="E1943" s="5" t="n">
        <v>1</v>
      </c>
      <c r="F1943" s="6" t="n">
        <f aca="false">IFERROR(MATCH(A1943&amp;"|"&amp;B1943&amp;"|"&amp;D1943,'All Song Rankings'!$T:$T,0),0)</f>
        <v>308</v>
      </c>
      <c r="G1943" s="6" t="str">
        <f aca="false">IF(F1943=0,"NOT FOUND",INDEX('All Song Rankings'!$A:$A,F1943))</f>
        <v>(Let Me Be Your) Teddy Bear</v>
      </c>
      <c r="H1943" s="6" t="str">
        <f aca="false">IF(F1943=0,"NOT FOUND",INDEX('All Song Rankings'!$B:$B,F1943))</f>
        <v>Elvis Presley</v>
      </c>
      <c r="I1943" s="6" t="str">
        <f aca="false">IF(F1943=0,"NOT FOUND",INDEX('All Song Rankings'!$D:$D,F1943))</f>
        <v>Aubrey</v>
      </c>
      <c r="J1943" s="7" t="str">
        <f aca="false">IF(F1943=0,"NOT FOUND",IF(C1943=I1943,"SELF-VOTE",IF(COUNTIF($K:$K,K1943)&gt;1,"DUPLICATE","OK")))</f>
        <v>OK</v>
      </c>
      <c r="K1943" s="6" t="str">
        <f aca="false">A1943&amp;"|"&amp;B1943&amp;"|"&amp;C1943&amp;"|"&amp;D1943</f>
        <v>3|8|Lisa|spotify:track:57j9wUmiHxii7VpbAdSkPQ</v>
      </c>
    </row>
    <row r="1944" customFormat="false" ht="15" hidden="false" customHeight="false" outlineLevel="0" collapsed="false">
      <c r="A1944" s="5" t="n">
        <v>3</v>
      </c>
      <c r="B1944" s="5" t="n">
        <v>8</v>
      </c>
      <c r="C1944" s="5" t="s">
        <v>705</v>
      </c>
      <c r="D1944" s="5" t="s">
        <v>1001</v>
      </c>
      <c r="E1944" s="5" t="n">
        <v>2</v>
      </c>
      <c r="F1944" s="6" t="n">
        <f aca="false">IFERROR(MATCH(A1944&amp;"|"&amp;B1944&amp;"|"&amp;D1944,'All Song Rankings'!$T:$T,0),0)</f>
        <v>304</v>
      </c>
      <c r="G1944" s="6" t="str">
        <f aca="false">IF(F1944=0,"NOT FOUND",INDEX('All Song Rankings'!$A:$A,F1944))</f>
        <v>Flowers In Your Hair</v>
      </c>
      <c r="H1944" s="6" t="str">
        <f aca="false">IF(F1944=0,"NOT FOUND",INDEX('All Song Rankings'!$B:$B,F1944))</f>
        <v>The Lumineers</v>
      </c>
      <c r="I1944" s="6" t="str">
        <f aca="false">IF(F1944=0,"NOT FOUND",INDEX('All Song Rankings'!$D:$D,F1944))</f>
        <v>Grace</v>
      </c>
      <c r="J1944" s="7" t="str">
        <f aca="false">IF(F1944=0,"NOT FOUND",IF(C1944=I1944,"SELF-VOTE",IF(COUNTIF($K:$K,K1944)&gt;1,"DUPLICATE","OK")))</f>
        <v>OK</v>
      </c>
      <c r="K1944" s="6" t="str">
        <f aca="false">A1944&amp;"|"&amp;B1944&amp;"|"&amp;C1944&amp;"|"&amp;D1944</f>
        <v>3|8|Lisa|spotify:track:5PbdVk09VHHcvGa0pX86RP</v>
      </c>
    </row>
    <row r="1945" customFormat="false" ht="15" hidden="false" customHeight="false" outlineLevel="0" collapsed="false">
      <c r="A1945" s="5" t="n">
        <v>3</v>
      </c>
      <c r="B1945" s="5" t="n">
        <v>8</v>
      </c>
      <c r="C1945" s="5" t="s">
        <v>705</v>
      </c>
      <c r="D1945" s="5" t="s">
        <v>989</v>
      </c>
      <c r="E1945" s="5" t="n">
        <v>1</v>
      </c>
      <c r="F1945" s="6" t="n">
        <f aca="false">IFERROR(MATCH(A1945&amp;"|"&amp;B1945&amp;"|"&amp;D1945,'All Song Rankings'!$T:$T,0),0)</f>
        <v>300</v>
      </c>
      <c r="G1945" s="6" t="str">
        <f aca="false">IF(F1945=0,"NOT FOUND",INDEX('All Song Rankings'!$A:$A,F1945))</f>
        <v>Great Balls of Fire</v>
      </c>
      <c r="H1945" s="6" t="str">
        <f aca="false">IF(F1945=0,"NOT FOUND",INDEX('All Song Rankings'!$B:$B,F1945))</f>
        <v>Jerry Lee Lewis</v>
      </c>
      <c r="I1945" s="6" t="str">
        <f aca="false">IF(F1945=0,"NOT FOUND",INDEX('All Song Rankings'!$D:$D,F1945))</f>
        <v>Logan</v>
      </c>
      <c r="J1945" s="7" t="str">
        <f aca="false">IF(F1945=0,"NOT FOUND",IF(C1945=I1945,"SELF-VOTE",IF(COUNTIF($K:$K,K1945)&gt;1,"DUPLICATE","OK")))</f>
        <v>OK</v>
      </c>
      <c r="K1945" s="6" t="str">
        <f aca="false">A1945&amp;"|"&amp;B1945&amp;"|"&amp;C1945&amp;"|"&amp;D1945</f>
        <v>3|8|Lisa|spotify:track:64VP3skE86iTvdOlbzuIcO</v>
      </c>
    </row>
    <row r="1946" customFormat="false" ht="15" hidden="false" customHeight="false" outlineLevel="0" collapsed="false">
      <c r="A1946" s="5" t="n">
        <v>3</v>
      </c>
      <c r="B1946" s="5" t="n">
        <v>8</v>
      </c>
      <c r="C1946" s="5" t="s">
        <v>128</v>
      </c>
      <c r="D1946" s="5" t="s">
        <v>992</v>
      </c>
      <c r="E1946" s="5" t="n">
        <v>1</v>
      </c>
      <c r="F1946" s="6" t="n">
        <f aca="false">IFERROR(MATCH(A1946&amp;"|"&amp;B1946&amp;"|"&amp;D1946,'All Song Rankings'!$T:$T,0),0)</f>
        <v>301</v>
      </c>
      <c r="G1946" s="6" t="str">
        <f aca="false">IF(F1946=0,"NOT FOUND",INDEX('All Song Rankings'!$A:$A,F1946))</f>
        <v>He's a Pirate</v>
      </c>
      <c r="H1946" s="6" t="str">
        <f aca="false">IF(F1946=0,"NOT FOUND",INDEX('All Song Rankings'!$B:$B,F1946))</f>
        <v>Klaus Badelt</v>
      </c>
      <c r="I1946" s="6" t="str">
        <f aca="false">IF(F1946=0,"NOT FOUND",INDEX('All Song Rankings'!$D:$D,F1946))</f>
        <v>Kelsey</v>
      </c>
      <c r="J1946" s="7" t="str">
        <f aca="false">IF(F1946=0,"NOT FOUND",IF(C1946=I1946,"SELF-VOTE",IF(COUNTIF($K:$K,K1946)&gt;1,"DUPLICATE","OK")))</f>
        <v>OK</v>
      </c>
      <c r="K1946" s="6" t="str">
        <f aca="false">A1946&amp;"|"&amp;B1946&amp;"|"&amp;C1946&amp;"|"&amp;D1946</f>
        <v>3|8|Logan|spotify:track:08QaHlMPWuO5PUxjl61bXn</v>
      </c>
    </row>
    <row r="1947" customFormat="false" ht="15" hidden="false" customHeight="false" outlineLevel="0" collapsed="false">
      <c r="A1947" s="5" t="n">
        <v>3</v>
      </c>
      <c r="B1947" s="5" t="n">
        <v>8</v>
      </c>
      <c r="C1947" s="5" t="s">
        <v>128</v>
      </c>
      <c r="D1947" s="5" t="s">
        <v>995</v>
      </c>
      <c r="E1947" s="5" t="n">
        <v>1</v>
      </c>
      <c r="F1947" s="6" t="n">
        <f aca="false">IFERROR(MATCH(A1947&amp;"|"&amp;B1947&amp;"|"&amp;D1947,'All Song Rankings'!$T:$T,0),0)</f>
        <v>302</v>
      </c>
      <c r="G1947" s="6" t="str">
        <f aca="false">IF(F1947=0,"NOT FOUND",INDEX('All Song Rankings'!$A:$A,F1947))</f>
        <v>The Story of Tonight</v>
      </c>
      <c r="H1947" s="6" t="str">
        <f aca="false">IF(F1947=0,"NOT FOUND",INDEX('All Song Rankings'!$B:$B,F1947))</f>
        <v>Lin-Manuel Miranda, Okieriete Onaodowan, Daveed Diggs, Original Broadway Cast of Hamilton</v>
      </c>
      <c r="I1947" s="6" t="str">
        <f aca="false">IF(F1947=0,"NOT FOUND",INDEX('All Song Rankings'!$D:$D,F1947))</f>
        <v>Leah</v>
      </c>
      <c r="J1947" s="7" t="str">
        <f aca="false">IF(F1947=0,"NOT FOUND",IF(C1947=I1947,"SELF-VOTE",IF(COUNTIF($K:$K,K1947)&gt;1,"DUPLICATE","OK")))</f>
        <v>OK</v>
      </c>
      <c r="K1947" s="6" t="str">
        <f aca="false">A1947&amp;"|"&amp;B1947&amp;"|"&amp;C1947&amp;"|"&amp;D1947</f>
        <v>3|8|Logan|spotify:track:0NJWhm3hUwIZSy5s0TGJ8q</v>
      </c>
    </row>
    <row r="1948" customFormat="false" ht="15" hidden="false" customHeight="false" outlineLevel="0" collapsed="false">
      <c r="A1948" s="5" t="n">
        <v>3</v>
      </c>
      <c r="B1948" s="5" t="n">
        <v>8</v>
      </c>
      <c r="C1948" s="5" t="s">
        <v>128</v>
      </c>
      <c r="D1948" s="5" t="s">
        <v>998</v>
      </c>
      <c r="E1948" s="5" t="n">
        <v>3</v>
      </c>
      <c r="F1948" s="6" t="n">
        <f aca="false">IFERROR(MATCH(A1948&amp;"|"&amp;B1948&amp;"|"&amp;D1948,'All Song Rankings'!$T:$T,0),0)</f>
        <v>303</v>
      </c>
      <c r="G1948" s="6" t="str">
        <f aca="false">IF(F1948=0,"NOT FOUND",INDEX('All Song Rankings'!$A:$A,F1948))</f>
        <v>The 59th Street Bridge Song (Feelin' Groovy)</v>
      </c>
      <c r="H1948" s="6" t="str">
        <f aca="false">IF(F1948=0,"NOT FOUND",INDEX('All Song Rankings'!$B:$B,F1948))</f>
        <v>Simon &amp; Garfunkel</v>
      </c>
      <c r="I1948" s="6" t="str">
        <f aca="false">IF(F1948=0,"NOT FOUND",INDEX('All Song Rankings'!$D:$D,F1948))</f>
        <v>Lisa</v>
      </c>
      <c r="J1948" s="7" t="str">
        <f aca="false">IF(F1948=0,"NOT FOUND",IF(C1948=I1948,"SELF-VOTE",IF(COUNTIF($K:$K,K1948)&gt;1,"DUPLICATE","OK")))</f>
        <v>OK</v>
      </c>
      <c r="K1948" s="6" t="str">
        <f aca="false">A1948&amp;"|"&amp;B1948&amp;"|"&amp;C1948&amp;"|"&amp;D1948</f>
        <v>3|8|Logan|spotify:track:0dzbfio3qTYG9uk40SJNcr</v>
      </c>
    </row>
    <row r="1949" customFormat="false" ht="15" hidden="false" customHeight="false" outlineLevel="0" collapsed="false">
      <c r="A1949" s="5" t="n">
        <v>3</v>
      </c>
      <c r="B1949" s="5" t="n">
        <v>8</v>
      </c>
      <c r="C1949" s="5" t="s">
        <v>128</v>
      </c>
      <c r="D1949" s="5" t="s">
        <v>1009</v>
      </c>
      <c r="E1949" s="5" t="n">
        <v>1</v>
      </c>
      <c r="F1949" s="6" t="n">
        <f aca="false">IFERROR(MATCH(A1949&amp;"|"&amp;B1949&amp;"|"&amp;D1949,'All Song Rankings'!$T:$T,0),0)</f>
        <v>307</v>
      </c>
      <c r="G1949" s="6" t="str">
        <f aca="false">IF(F1949=0,"NOT FOUND",INDEX('All Song Rankings'!$A:$A,F1949))</f>
        <v>Acoustic #3</v>
      </c>
      <c r="H1949" s="6" t="str">
        <f aca="false">IF(F1949=0,"NOT FOUND",INDEX('All Song Rankings'!$B:$B,F1949))</f>
        <v>The Goo Goo Dolls</v>
      </c>
      <c r="I1949" s="6" t="str">
        <f aca="false">IF(F1949=0,"NOT FOUND",INDEX('All Song Rankings'!$D:$D,F1949))</f>
        <v>Kristen</v>
      </c>
      <c r="J1949" s="7" t="str">
        <f aca="false">IF(F1949=0,"NOT FOUND",IF(C1949=I1949,"SELF-VOTE",IF(COUNTIF($K:$K,K1949)&gt;1,"DUPLICATE","OK")))</f>
        <v>OK</v>
      </c>
      <c r="K1949" s="6" t="str">
        <f aca="false">A1949&amp;"|"&amp;B1949&amp;"|"&amp;C1949&amp;"|"&amp;D1949</f>
        <v>3|8|Logan|spotify:track:1RC9slv335IfLce5vt9KTW</v>
      </c>
    </row>
    <row r="1950" customFormat="false" ht="15" hidden="false" customHeight="false" outlineLevel="0" collapsed="false">
      <c r="A1950" s="5" t="n">
        <v>3</v>
      </c>
      <c r="B1950" s="5" t="n">
        <v>8</v>
      </c>
      <c r="C1950" s="5" t="s">
        <v>128</v>
      </c>
      <c r="D1950" s="5" t="s">
        <v>1007</v>
      </c>
      <c r="E1950" s="5" t="n">
        <v>2</v>
      </c>
      <c r="F1950" s="6" t="n">
        <f aca="false">IFERROR(MATCH(A1950&amp;"|"&amp;B1950&amp;"|"&amp;D1950,'All Song Rankings'!$T:$T,0),0)</f>
        <v>306</v>
      </c>
      <c r="G1950" s="6" t="str">
        <f aca="false">IF(F1950=0,"NOT FOUND",INDEX('All Song Rankings'!$A:$A,F1950))</f>
        <v>Lust</v>
      </c>
      <c r="H1950" s="6" t="str">
        <f aca="false">IF(F1950=0,"NOT FOUND",INDEX('All Song Rankings'!$B:$B,F1950))</f>
        <v>Marino, Alexandria</v>
      </c>
      <c r="I1950" s="6" t="str">
        <f aca="false">IF(F1950=0,"NOT FOUND",INDEX('All Song Rankings'!$D:$D,F1950))</f>
        <v>Matt</v>
      </c>
      <c r="J1950" s="7" t="str">
        <f aca="false">IF(F1950=0,"NOT FOUND",IF(C1950=I1950,"SELF-VOTE",IF(COUNTIF($K:$K,K1950)&gt;1,"DUPLICATE","OK")))</f>
        <v>OK</v>
      </c>
      <c r="K1950" s="6" t="str">
        <f aca="false">A1950&amp;"|"&amp;B1950&amp;"|"&amp;C1950&amp;"|"&amp;D1950</f>
        <v>3|8|Logan|spotify:track:2Tf3o75XkU0IS06tYgEuvn</v>
      </c>
    </row>
    <row r="1951" customFormat="false" ht="15" hidden="false" customHeight="false" outlineLevel="0" collapsed="false">
      <c r="A1951" s="5" t="n">
        <v>3</v>
      </c>
      <c r="B1951" s="5" t="n">
        <v>8</v>
      </c>
      <c r="C1951" s="5" t="s">
        <v>128</v>
      </c>
      <c r="D1951" s="5" t="s">
        <v>1012</v>
      </c>
      <c r="E1951" s="5" t="n">
        <v>1</v>
      </c>
      <c r="F1951" s="6" t="n">
        <f aca="false">IFERROR(MATCH(A1951&amp;"|"&amp;B1951&amp;"|"&amp;D1951,'All Song Rankings'!$T:$T,0),0)</f>
        <v>308</v>
      </c>
      <c r="G1951" s="6" t="str">
        <f aca="false">IF(F1951=0,"NOT FOUND",INDEX('All Song Rankings'!$A:$A,F1951))</f>
        <v>(Let Me Be Your) Teddy Bear</v>
      </c>
      <c r="H1951" s="6" t="str">
        <f aca="false">IF(F1951=0,"NOT FOUND",INDEX('All Song Rankings'!$B:$B,F1951))</f>
        <v>Elvis Presley</v>
      </c>
      <c r="I1951" s="6" t="str">
        <f aca="false">IF(F1951=0,"NOT FOUND",INDEX('All Song Rankings'!$D:$D,F1951))</f>
        <v>Aubrey</v>
      </c>
      <c r="J1951" s="7" t="str">
        <f aca="false">IF(F1951=0,"NOT FOUND",IF(C1951=I1951,"SELF-VOTE",IF(COUNTIF($K:$K,K1951)&gt;1,"DUPLICATE","OK")))</f>
        <v>OK</v>
      </c>
      <c r="K1951" s="6" t="str">
        <f aca="false">A1951&amp;"|"&amp;B1951&amp;"|"&amp;C1951&amp;"|"&amp;D1951</f>
        <v>3|8|Logan|spotify:track:57j9wUmiHxii7VpbAdSkPQ</v>
      </c>
    </row>
    <row r="1952" customFormat="false" ht="15" hidden="false" customHeight="false" outlineLevel="0" collapsed="false">
      <c r="A1952" s="5" t="n">
        <v>3</v>
      </c>
      <c r="B1952" s="5" t="n">
        <v>8</v>
      </c>
      <c r="C1952" s="5" t="s">
        <v>128</v>
      </c>
      <c r="D1952" s="5" t="s">
        <v>986</v>
      </c>
      <c r="E1952" s="5" t="n">
        <v>1</v>
      </c>
      <c r="F1952" s="6" t="n">
        <f aca="false">IFERROR(MATCH(A1952&amp;"|"&amp;B1952&amp;"|"&amp;D1952,'All Song Rankings'!$T:$T,0),0)</f>
        <v>299</v>
      </c>
      <c r="G1952" s="6" t="str">
        <f aca="false">IF(F1952=0,"NOT FOUND",INDEX('All Song Rankings'!$A:$A,F1952))</f>
        <v>Wings</v>
      </c>
      <c r="H1952" s="6" t="str">
        <f aca="false">IF(F1952=0,"NOT FOUND",INDEX('All Song Rankings'!$B:$B,F1952))</f>
        <v>Jonas Brothers</v>
      </c>
      <c r="I1952" s="6" t="str">
        <f aca="false">IF(F1952=0,"NOT FOUND",INDEX('All Song Rankings'!$D:$D,F1952))</f>
        <v>Makenzie</v>
      </c>
      <c r="J1952" s="7" t="str">
        <f aca="false">IF(F1952=0,"NOT FOUND",IF(C1952=I1952,"SELF-VOTE",IF(COUNTIF($K:$K,K1952)&gt;1,"DUPLICATE","OK")))</f>
        <v>OK</v>
      </c>
      <c r="K1952" s="6" t="str">
        <f aca="false">A1952&amp;"|"&amp;B1952&amp;"|"&amp;C1952&amp;"|"&amp;D1952</f>
        <v>3|8|Logan|spotify:track:7DVcgqaCDXtwZIjRTPb8bm</v>
      </c>
    </row>
    <row r="1953" customFormat="false" ht="15" hidden="false" customHeight="false" outlineLevel="0" collapsed="false">
      <c r="A1953" s="5" t="n">
        <v>3</v>
      </c>
      <c r="B1953" s="5" t="n">
        <v>8</v>
      </c>
      <c r="C1953" s="5" t="s">
        <v>395</v>
      </c>
      <c r="D1953" s="5" t="s">
        <v>992</v>
      </c>
      <c r="E1953" s="5" t="n">
        <v>1</v>
      </c>
      <c r="F1953" s="6" t="n">
        <f aca="false">IFERROR(MATCH(A1953&amp;"|"&amp;B1953&amp;"|"&amp;D1953,'All Song Rankings'!$T:$T,0),0)</f>
        <v>301</v>
      </c>
      <c r="G1953" s="6" t="str">
        <f aca="false">IF(F1953=0,"NOT FOUND",INDEX('All Song Rankings'!$A:$A,F1953))</f>
        <v>He's a Pirate</v>
      </c>
      <c r="H1953" s="6" t="str">
        <f aca="false">IF(F1953=0,"NOT FOUND",INDEX('All Song Rankings'!$B:$B,F1953))</f>
        <v>Klaus Badelt</v>
      </c>
      <c r="I1953" s="6" t="str">
        <f aca="false">IF(F1953=0,"NOT FOUND",INDEX('All Song Rankings'!$D:$D,F1953))</f>
        <v>Kelsey</v>
      </c>
      <c r="J1953" s="7" t="str">
        <f aca="false">IF(F1953=0,"NOT FOUND",IF(C1953=I1953,"SELF-VOTE",IF(COUNTIF($K:$K,K1953)&gt;1,"DUPLICATE","OK")))</f>
        <v>OK</v>
      </c>
      <c r="K1953" s="6" t="str">
        <f aca="false">A1953&amp;"|"&amp;B1953&amp;"|"&amp;C1953&amp;"|"&amp;D1953</f>
        <v>3|8|Makenzie|spotify:track:08QaHlMPWuO5PUxjl61bXn</v>
      </c>
    </row>
    <row r="1954" customFormat="false" ht="15" hidden="false" customHeight="false" outlineLevel="0" collapsed="false">
      <c r="A1954" s="5" t="n">
        <v>3</v>
      </c>
      <c r="B1954" s="5" t="n">
        <v>8</v>
      </c>
      <c r="C1954" s="5" t="s">
        <v>395</v>
      </c>
      <c r="D1954" s="5" t="s">
        <v>995</v>
      </c>
      <c r="E1954" s="5" t="n">
        <v>2</v>
      </c>
      <c r="F1954" s="6" t="n">
        <f aca="false">IFERROR(MATCH(A1954&amp;"|"&amp;B1954&amp;"|"&amp;D1954,'All Song Rankings'!$T:$T,0),0)</f>
        <v>302</v>
      </c>
      <c r="G1954" s="6" t="str">
        <f aca="false">IF(F1954=0,"NOT FOUND",INDEX('All Song Rankings'!$A:$A,F1954))</f>
        <v>The Story of Tonight</v>
      </c>
      <c r="H1954" s="6" t="str">
        <f aca="false">IF(F1954=0,"NOT FOUND",INDEX('All Song Rankings'!$B:$B,F1954))</f>
        <v>Lin-Manuel Miranda, Okieriete Onaodowan, Daveed Diggs, Original Broadway Cast of Hamilton</v>
      </c>
      <c r="I1954" s="6" t="str">
        <f aca="false">IF(F1954=0,"NOT FOUND",INDEX('All Song Rankings'!$D:$D,F1954))</f>
        <v>Leah</v>
      </c>
      <c r="J1954" s="7" t="str">
        <f aca="false">IF(F1954=0,"NOT FOUND",IF(C1954=I1954,"SELF-VOTE",IF(COUNTIF($K:$K,K1954)&gt;1,"DUPLICATE","OK")))</f>
        <v>OK</v>
      </c>
      <c r="K1954" s="6" t="str">
        <f aca="false">A1954&amp;"|"&amp;B1954&amp;"|"&amp;C1954&amp;"|"&amp;D1954</f>
        <v>3|8|Makenzie|spotify:track:0NJWhm3hUwIZSy5s0TGJ8q</v>
      </c>
    </row>
    <row r="1955" customFormat="false" ht="15" hidden="false" customHeight="false" outlineLevel="0" collapsed="false">
      <c r="A1955" s="5" t="n">
        <v>3</v>
      </c>
      <c r="B1955" s="5" t="n">
        <v>8</v>
      </c>
      <c r="C1955" s="5" t="s">
        <v>395</v>
      </c>
      <c r="D1955" s="5" t="s">
        <v>981</v>
      </c>
      <c r="E1955" s="5" t="n">
        <v>1</v>
      </c>
      <c r="F1955" s="6" t="n">
        <f aca="false">IFERROR(MATCH(A1955&amp;"|"&amp;B1955&amp;"|"&amp;D1955,'All Song Rankings'!$T:$T,0),0)</f>
        <v>297</v>
      </c>
      <c r="G1955" s="6" t="str">
        <f aca="false">IF(F1955=0,"NOT FOUND",INDEX('All Song Rankings'!$A:$A,F1955))</f>
        <v>Interlude</v>
      </c>
      <c r="H1955" s="6" t="str">
        <f aca="false">IF(F1955=0,"NOT FOUND",INDEX('All Song Rankings'!$B:$B,F1955))</f>
        <v>Kelsea Ballerini</v>
      </c>
      <c r="I1955" s="6" t="str">
        <f aca="false">IF(F1955=0,"NOT FOUND",INDEX('All Song Rankings'!$D:$D,F1955))</f>
        <v>Nicole</v>
      </c>
      <c r="J1955" s="7" t="str">
        <f aca="false">IF(F1955=0,"NOT FOUND",IF(C1955=I1955,"SELF-VOTE",IF(COUNTIF($K:$K,K1955)&gt;1,"DUPLICATE","OK")))</f>
        <v>OK</v>
      </c>
      <c r="K1955" s="6" t="str">
        <f aca="false">A1955&amp;"|"&amp;B1955&amp;"|"&amp;C1955&amp;"|"&amp;D1955</f>
        <v>3|8|Makenzie|spotify:track:0nkOSp2DLhgrElR8lPPteZ</v>
      </c>
    </row>
    <row r="1956" customFormat="false" ht="15" hidden="false" customHeight="false" outlineLevel="0" collapsed="false">
      <c r="A1956" s="5" t="n">
        <v>3</v>
      </c>
      <c r="B1956" s="5" t="n">
        <v>8</v>
      </c>
      <c r="C1956" s="5" t="s">
        <v>395</v>
      </c>
      <c r="D1956" s="5" t="s">
        <v>1012</v>
      </c>
      <c r="E1956" s="5" t="n">
        <v>2</v>
      </c>
      <c r="F1956" s="6" t="n">
        <f aca="false">IFERROR(MATCH(A1956&amp;"|"&amp;B1956&amp;"|"&amp;D1956,'All Song Rankings'!$T:$T,0),0)</f>
        <v>308</v>
      </c>
      <c r="G1956" s="6" t="str">
        <f aca="false">IF(F1956=0,"NOT FOUND",INDEX('All Song Rankings'!$A:$A,F1956))</f>
        <v>(Let Me Be Your) Teddy Bear</v>
      </c>
      <c r="H1956" s="6" t="str">
        <f aca="false">IF(F1956=0,"NOT FOUND",INDEX('All Song Rankings'!$B:$B,F1956))</f>
        <v>Elvis Presley</v>
      </c>
      <c r="I1956" s="6" t="str">
        <f aca="false">IF(F1956=0,"NOT FOUND",INDEX('All Song Rankings'!$D:$D,F1956))</f>
        <v>Aubrey</v>
      </c>
      <c r="J1956" s="7" t="str">
        <f aca="false">IF(F1956=0,"NOT FOUND",IF(C1956=I1956,"SELF-VOTE",IF(COUNTIF($K:$K,K1956)&gt;1,"DUPLICATE","OK")))</f>
        <v>OK</v>
      </c>
      <c r="K1956" s="6" t="str">
        <f aca="false">A1956&amp;"|"&amp;B1956&amp;"|"&amp;C1956&amp;"|"&amp;D1956</f>
        <v>3|8|Makenzie|spotify:track:57j9wUmiHxii7VpbAdSkPQ</v>
      </c>
    </row>
    <row r="1957" customFormat="false" ht="15" hidden="false" customHeight="false" outlineLevel="0" collapsed="false">
      <c r="A1957" s="5" t="n">
        <v>3</v>
      </c>
      <c r="B1957" s="5" t="n">
        <v>8</v>
      </c>
      <c r="C1957" s="5" t="s">
        <v>395</v>
      </c>
      <c r="D1957" s="5" t="s">
        <v>1001</v>
      </c>
      <c r="E1957" s="5" t="n">
        <v>2</v>
      </c>
      <c r="F1957" s="6" t="n">
        <f aca="false">IFERROR(MATCH(A1957&amp;"|"&amp;B1957&amp;"|"&amp;D1957,'All Song Rankings'!$T:$T,0),0)</f>
        <v>304</v>
      </c>
      <c r="G1957" s="6" t="str">
        <f aca="false">IF(F1957=0,"NOT FOUND",INDEX('All Song Rankings'!$A:$A,F1957))</f>
        <v>Flowers In Your Hair</v>
      </c>
      <c r="H1957" s="6" t="str">
        <f aca="false">IF(F1957=0,"NOT FOUND",INDEX('All Song Rankings'!$B:$B,F1957))</f>
        <v>The Lumineers</v>
      </c>
      <c r="I1957" s="6" t="str">
        <f aca="false">IF(F1957=0,"NOT FOUND",INDEX('All Song Rankings'!$D:$D,F1957))</f>
        <v>Grace</v>
      </c>
      <c r="J1957" s="7" t="str">
        <f aca="false">IF(F1957=0,"NOT FOUND",IF(C1957=I1957,"SELF-VOTE",IF(COUNTIF($K:$K,K1957)&gt;1,"DUPLICATE","OK")))</f>
        <v>OK</v>
      </c>
      <c r="K1957" s="6" t="str">
        <f aca="false">A1957&amp;"|"&amp;B1957&amp;"|"&amp;C1957&amp;"|"&amp;D1957</f>
        <v>3|8|Makenzie|spotify:track:5PbdVk09VHHcvGa0pX86RP</v>
      </c>
    </row>
    <row r="1958" customFormat="false" ht="15" hidden="false" customHeight="false" outlineLevel="0" collapsed="false">
      <c r="A1958" s="5" t="n">
        <v>3</v>
      </c>
      <c r="B1958" s="5" t="n">
        <v>8</v>
      </c>
      <c r="C1958" s="5" t="s">
        <v>395</v>
      </c>
      <c r="D1958" s="5" t="s">
        <v>989</v>
      </c>
      <c r="E1958" s="5" t="n">
        <v>2</v>
      </c>
      <c r="F1958" s="6" t="n">
        <f aca="false">IFERROR(MATCH(A1958&amp;"|"&amp;B1958&amp;"|"&amp;D1958,'All Song Rankings'!$T:$T,0),0)</f>
        <v>300</v>
      </c>
      <c r="G1958" s="6" t="str">
        <f aca="false">IF(F1958=0,"NOT FOUND",INDEX('All Song Rankings'!$A:$A,F1958))</f>
        <v>Great Balls of Fire</v>
      </c>
      <c r="H1958" s="6" t="str">
        <f aca="false">IF(F1958=0,"NOT FOUND",INDEX('All Song Rankings'!$B:$B,F1958))</f>
        <v>Jerry Lee Lewis</v>
      </c>
      <c r="I1958" s="6" t="str">
        <f aca="false">IF(F1958=0,"NOT FOUND",INDEX('All Song Rankings'!$D:$D,F1958))</f>
        <v>Logan</v>
      </c>
      <c r="J1958" s="7" t="str">
        <f aca="false">IF(F1958=0,"NOT FOUND",IF(C1958=I1958,"SELF-VOTE",IF(COUNTIF($K:$K,K1958)&gt;1,"DUPLICATE","OK")))</f>
        <v>OK</v>
      </c>
      <c r="K1958" s="6" t="str">
        <f aca="false">A1958&amp;"|"&amp;B1958&amp;"|"&amp;C1958&amp;"|"&amp;D1958</f>
        <v>3|8|Makenzie|spotify:track:64VP3skE86iTvdOlbzuIcO</v>
      </c>
    </row>
    <row r="1959" customFormat="false" ht="15" hidden="false" customHeight="false" outlineLevel="0" collapsed="false">
      <c r="A1959" s="5" t="n">
        <v>3</v>
      </c>
      <c r="B1959" s="5" t="n">
        <v>8</v>
      </c>
      <c r="C1959" s="5" t="s">
        <v>116</v>
      </c>
      <c r="D1959" s="5" t="s">
        <v>998</v>
      </c>
      <c r="E1959" s="5" t="n">
        <v>1</v>
      </c>
      <c r="F1959" s="6" t="n">
        <f aca="false">IFERROR(MATCH(A1959&amp;"|"&amp;B1959&amp;"|"&amp;D1959,'All Song Rankings'!$T:$T,0),0)</f>
        <v>303</v>
      </c>
      <c r="G1959" s="6" t="str">
        <f aca="false">IF(F1959=0,"NOT FOUND",INDEX('All Song Rankings'!$A:$A,F1959))</f>
        <v>The 59th Street Bridge Song (Feelin' Groovy)</v>
      </c>
      <c r="H1959" s="6" t="str">
        <f aca="false">IF(F1959=0,"NOT FOUND",INDEX('All Song Rankings'!$B:$B,F1959))</f>
        <v>Simon &amp; Garfunkel</v>
      </c>
      <c r="I1959" s="6" t="str">
        <f aca="false">IF(F1959=0,"NOT FOUND",INDEX('All Song Rankings'!$D:$D,F1959))</f>
        <v>Lisa</v>
      </c>
      <c r="J1959" s="7" t="str">
        <f aca="false">IF(F1959=0,"NOT FOUND",IF(C1959=I1959,"SELF-VOTE",IF(COUNTIF($K:$K,K1959)&gt;1,"DUPLICATE","OK")))</f>
        <v>OK</v>
      </c>
      <c r="K1959" s="6" t="str">
        <f aca="false">A1959&amp;"|"&amp;B1959&amp;"|"&amp;C1959&amp;"|"&amp;D1959</f>
        <v>3|8|Matt|spotify:track:0dzbfio3qTYG9uk40SJNcr</v>
      </c>
    </row>
    <row r="1960" customFormat="false" ht="15" hidden="false" customHeight="false" outlineLevel="0" collapsed="false">
      <c r="A1960" s="5" t="n">
        <v>3</v>
      </c>
      <c r="B1960" s="5" t="n">
        <v>8</v>
      </c>
      <c r="C1960" s="5" t="s">
        <v>116</v>
      </c>
      <c r="D1960" s="5" t="s">
        <v>981</v>
      </c>
      <c r="E1960" s="5" t="n">
        <v>3</v>
      </c>
      <c r="F1960" s="6" t="n">
        <f aca="false">IFERROR(MATCH(A1960&amp;"|"&amp;B1960&amp;"|"&amp;D1960,'All Song Rankings'!$T:$T,0),0)</f>
        <v>297</v>
      </c>
      <c r="G1960" s="6" t="str">
        <f aca="false">IF(F1960=0,"NOT FOUND",INDEX('All Song Rankings'!$A:$A,F1960))</f>
        <v>Interlude</v>
      </c>
      <c r="H1960" s="6" t="str">
        <f aca="false">IF(F1960=0,"NOT FOUND",INDEX('All Song Rankings'!$B:$B,F1960))</f>
        <v>Kelsea Ballerini</v>
      </c>
      <c r="I1960" s="6" t="str">
        <f aca="false">IF(F1960=0,"NOT FOUND",INDEX('All Song Rankings'!$D:$D,F1960))</f>
        <v>Nicole</v>
      </c>
      <c r="J1960" s="7" t="str">
        <f aca="false">IF(F1960=0,"NOT FOUND",IF(C1960=I1960,"SELF-VOTE",IF(COUNTIF($K:$K,K1960)&gt;1,"DUPLICATE","OK")))</f>
        <v>OK</v>
      </c>
      <c r="K1960" s="6" t="str">
        <f aca="false">A1960&amp;"|"&amp;B1960&amp;"|"&amp;C1960&amp;"|"&amp;D1960</f>
        <v>3|8|Matt|spotify:track:0nkOSp2DLhgrElR8lPPteZ</v>
      </c>
    </row>
    <row r="1961" customFormat="false" ht="15" hidden="false" customHeight="false" outlineLevel="0" collapsed="false">
      <c r="A1961" s="5" t="n">
        <v>3</v>
      </c>
      <c r="B1961" s="5" t="n">
        <v>8</v>
      </c>
      <c r="C1961" s="5" t="s">
        <v>116</v>
      </c>
      <c r="D1961" s="5" t="s">
        <v>1004</v>
      </c>
      <c r="E1961" s="5" t="n">
        <v>1</v>
      </c>
      <c r="F1961" s="6" t="n">
        <f aca="false">IFERROR(MATCH(A1961&amp;"|"&amp;B1961&amp;"|"&amp;D1961,'All Song Rankings'!$T:$T,0),0)</f>
        <v>305</v>
      </c>
      <c r="G1961" s="6" t="str">
        <f aca="false">IF(F1961=0,"NOT FOUND",INDEX('All Song Rankings'!$A:$A,F1961))</f>
        <v>Walls Could Talk</v>
      </c>
      <c r="H1961" s="6" t="str">
        <f aca="false">IF(F1961=0,"NOT FOUND",INDEX('All Song Rankings'!$B:$B,F1961))</f>
        <v>Halsey</v>
      </c>
      <c r="I1961" s="6" t="str">
        <f aca="false">IF(F1961=0,"NOT FOUND",INDEX('All Song Rankings'!$D:$D,F1961))</f>
        <v>Merita</v>
      </c>
      <c r="J1961" s="7" t="str">
        <f aca="false">IF(F1961=0,"NOT FOUND",IF(C1961=I1961,"SELF-VOTE",IF(COUNTIF($K:$K,K1961)&gt;1,"DUPLICATE","OK")))</f>
        <v>OK</v>
      </c>
      <c r="K1961" s="6" t="str">
        <f aca="false">A1961&amp;"|"&amp;B1961&amp;"|"&amp;C1961&amp;"|"&amp;D1961</f>
        <v>3|8|Matt|spotify:track:1Ao5nOuAUm42ob1UVvOkgW</v>
      </c>
    </row>
    <row r="1962" customFormat="false" ht="15" hidden="false" customHeight="false" outlineLevel="0" collapsed="false">
      <c r="A1962" s="5" t="n">
        <v>3</v>
      </c>
      <c r="B1962" s="5" t="n">
        <v>8</v>
      </c>
      <c r="C1962" s="5" t="s">
        <v>116</v>
      </c>
      <c r="D1962" s="5" t="s">
        <v>1001</v>
      </c>
      <c r="E1962" s="5" t="n">
        <v>2</v>
      </c>
      <c r="F1962" s="6" t="n">
        <f aca="false">IFERROR(MATCH(A1962&amp;"|"&amp;B1962&amp;"|"&amp;D1962,'All Song Rankings'!$T:$T,0),0)</f>
        <v>304</v>
      </c>
      <c r="G1962" s="6" t="str">
        <f aca="false">IF(F1962=0,"NOT FOUND",INDEX('All Song Rankings'!$A:$A,F1962))</f>
        <v>Flowers In Your Hair</v>
      </c>
      <c r="H1962" s="6" t="str">
        <f aca="false">IF(F1962=0,"NOT FOUND",INDEX('All Song Rankings'!$B:$B,F1962))</f>
        <v>The Lumineers</v>
      </c>
      <c r="I1962" s="6" t="str">
        <f aca="false">IF(F1962=0,"NOT FOUND",INDEX('All Song Rankings'!$D:$D,F1962))</f>
        <v>Grace</v>
      </c>
      <c r="J1962" s="7" t="str">
        <f aca="false">IF(F1962=0,"NOT FOUND",IF(C1962=I1962,"SELF-VOTE",IF(COUNTIF($K:$K,K1962)&gt;1,"DUPLICATE","OK")))</f>
        <v>OK</v>
      </c>
      <c r="K1962" s="6" t="str">
        <f aca="false">A1962&amp;"|"&amp;B1962&amp;"|"&amp;C1962&amp;"|"&amp;D1962</f>
        <v>3|8|Matt|spotify:track:5PbdVk09VHHcvGa0pX86RP</v>
      </c>
    </row>
    <row r="1963" customFormat="false" ht="15" hidden="false" customHeight="false" outlineLevel="0" collapsed="false">
      <c r="A1963" s="5" t="n">
        <v>3</v>
      </c>
      <c r="B1963" s="5" t="n">
        <v>8</v>
      </c>
      <c r="C1963" s="5" t="s">
        <v>116</v>
      </c>
      <c r="D1963" s="5" t="s">
        <v>989</v>
      </c>
      <c r="E1963" s="5" t="n">
        <v>1</v>
      </c>
      <c r="F1963" s="6" t="n">
        <f aca="false">IFERROR(MATCH(A1963&amp;"|"&amp;B1963&amp;"|"&amp;D1963,'All Song Rankings'!$T:$T,0),0)</f>
        <v>300</v>
      </c>
      <c r="G1963" s="6" t="str">
        <f aca="false">IF(F1963=0,"NOT FOUND",INDEX('All Song Rankings'!$A:$A,F1963))</f>
        <v>Great Balls of Fire</v>
      </c>
      <c r="H1963" s="6" t="str">
        <f aca="false">IF(F1963=0,"NOT FOUND",INDEX('All Song Rankings'!$B:$B,F1963))</f>
        <v>Jerry Lee Lewis</v>
      </c>
      <c r="I1963" s="6" t="str">
        <f aca="false">IF(F1963=0,"NOT FOUND",INDEX('All Song Rankings'!$D:$D,F1963))</f>
        <v>Logan</v>
      </c>
      <c r="J1963" s="7" t="str">
        <f aca="false">IF(F1963=0,"NOT FOUND",IF(C1963=I1963,"SELF-VOTE",IF(COUNTIF($K:$K,K1963)&gt;1,"DUPLICATE","OK")))</f>
        <v>OK</v>
      </c>
      <c r="K1963" s="6" t="str">
        <f aca="false">A1963&amp;"|"&amp;B1963&amp;"|"&amp;C1963&amp;"|"&amp;D1963</f>
        <v>3|8|Matt|spotify:track:64VP3skE86iTvdOlbzuIcO</v>
      </c>
    </row>
    <row r="1964" customFormat="false" ht="15" hidden="false" customHeight="false" outlineLevel="0" collapsed="false">
      <c r="A1964" s="5" t="n">
        <v>3</v>
      </c>
      <c r="B1964" s="5" t="n">
        <v>8</v>
      </c>
      <c r="C1964" s="5" t="s">
        <v>116</v>
      </c>
      <c r="D1964" s="5" t="s">
        <v>984</v>
      </c>
      <c r="E1964" s="5" t="n">
        <v>2</v>
      </c>
      <c r="F1964" s="6" t="n">
        <f aca="false">IFERROR(MATCH(A1964&amp;"|"&amp;B1964&amp;"|"&amp;D1964,'All Song Rankings'!$T:$T,0),0)</f>
        <v>298</v>
      </c>
      <c r="G1964" s="6" t="str">
        <f aca="false">IF(F1964=0,"NOT FOUND",INDEX('All Song Rankings'!$A:$A,F1964))</f>
        <v>Little Deuce Coupe - Remastered 2001</v>
      </c>
      <c r="H1964" s="6" t="str">
        <f aca="false">IF(F1964=0,"NOT FOUND",INDEX('All Song Rankings'!$B:$B,F1964))</f>
        <v>The Beach Boys</v>
      </c>
      <c r="I1964" s="6" t="str">
        <f aca="false">IF(F1964=0,"NOT FOUND",INDEX('All Song Rankings'!$D:$D,F1964))</f>
        <v>Stephanie</v>
      </c>
      <c r="J1964" s="7" t="str">
        <f aca="false">IF(F1964=0,"NOT FOUND",IF(C1964=I1964,"SELF-VOTE",IF(COUNTIF($K:$K,K1964)&gt;1,"DUPLICATE","OK")))</f>
        <v>OK</v>
      </c>
      <c r="K1964" s="6" t="str">
        <f aca="false">A1964&amp;"|"&amp;B1964&amp;"|"&amp;C1964&amp;"|"&amp;D1964</f>
        <v>3|8|Matt|spotify:track:75WMOzv7195ziyx0qEw1yE</v>
      </c>
    </row>
    <row r="1965" customFormat="false" ht="15" hidden="false" customHeight="false" outlineLevel="0" collapsed="false">
      <c r="A1965" s="5" t="n">
        <v>3</v>
      </c>
      <c r="B1965" s="5" t="n">
        <v>8</v>
      </c>
      <c r="C1965" s="5" t="s">
        <v>101</v>
      </c>
      <c r="D1965" s="5" t="s">
        <v>992</v>
      </c>
      <c r="E1965" s="5" t="n">
        <v>2</v>
      </c>
      <c r="F1965" s="6" t="n">
        <f aca="false">IFERROR(MATCH(A1965&amp;"|"&amp;B1965&amp;"|"&amp;D1965,'All Song Rankings'!$T:$T,0),0)</f>
        <v>301</v>
      </c>
      <c r="G1965" s="6" t="str">
        <f aca="false">IF(F1965=0,"NOT FOUND",INDEX('All Song Rankings'!$A:$A,F1965))</f>
        <v>He's a Pirate</v>
      </c>
      <c r="H1965" s="6" t="str">
        <f aca="false">IF(F1965=0,"NOT FOUND",INDEX('All Song Rankings'!$B:$B,F1965))</f>
        <v>Klaus Badelt</v>
      </c>
      <c r="I1965" s="6" t="str">
        <f aca="false">IF(F1965=0,"NOT FOUND",INDEX('All Song Rankings'!$D:$D,F1965))</f>
        <v>Kelsey</v>
      </c>
      <c r="J1965" s="7" t="str">
        <f aca="false">IF(F1965=0,"NOT FOUND",IF(C1965=I1965,"SELF-VOTE",IF(COUNTIF($K:$K,K1965)&gt;1,"DUPLICATE","OK")))</f>
        <v>OK</v>
      </c>
      <c r="K1965" s="6" t="str">
        <f aca="false">A1965&amp;"|"&amp;B1965&amp;"|"&amp;C1965&amp;"|"&amp;D1965</f>
        <v>3|8|Merita|spotify:track:08QaHlMPWuO5PUxjl61bXn</v>
      </c>
    </row>
    <row r="1966" customFormat="false" ht="15" hidden="false" customHeight="false" outlineLevel="0" collapsed="false">
      <c r="A1966" s="5" t="n">
        <v>3</v>
      </c>
      <c r="B1966" s="5" t="n">
        <v>8</v>
      </c>
      <c r="C1966" s="5" t="s">
        <v>101</v>
      </c>
      <c r="D1966" s="5" t="s">
        <v>995</v>
      </c>
      <c r="E1966" s="5" t="n">
        <v>1</v>
      </c>
      <c r="F1966" s="6" t="n">
        <f aca="false">IFERROR(MATCH(A1966&amp;"|"&amp;B1966&amp;"|"&amp;D1966,'All Song Rankings'!$T:$T,0),0)</f>
        <v>302</v>
      </c>
      <c r="G1966" s="6" t="str">
        <f aca="false">IF(F1966=0,"NOT FOUND",INDEX('All Song Rankings'!$A:$A,F1966))</f>
        <v>The Story of Tonight</v>
      </c>
      <c r="H1966" s="6" t="str">
        <f aca="false">IF(F1966=0,"NOT FOUND",INDEX('All Song Rankings'!$B:$B,F1966))</f>
        <v>Lin-Manuel Miranda, Okieriete Onaodowan, Daveed Diggs, Original Broadway Cast of Hamilton</v>
      </c>
      <c r="I1966" s="6" t="str">
        <f aca="false">IF(F1966=0,"NOT FOUND",INDEX('All Song Rankings'!$D:$D,F1966))</f>
        <v>Leah</v>
      </c>
      <c r="J1966" s="7" t="str">
        <f aca="false">IF(F1966=0,"NOT FOUND",IF(C1966=I1966,"SELF-VOTE",IF(COUNTIF($K:$K,K1966)&gt;1,"DUPLICATE","OK")))</f>
        <v>OK</v>
      </c>
      <c r="K1966" s="6" t="str">
        <f aca="false">A1966&amp;"|"&amp;B1966&amp;"|"&amp;C1966&amp;"|"&amp;D1966</f>
        <v>3|8|Merita|spotify:track:0NJWhm3hUwIZSy5s0TGJ8q</v>
      </c>
    </row>
    <row r="1967" customFormat="false" ht="15" hidden="false" customHeight="false" outlineLevel="0" collapsed="false">
      <c r="A1967" s="5" t="n">
        <v>3</v>
      </c>
      <c r="B1967" s="5" t="n">
        <v>8</v>
      </c>
      <c r="C1967" s="5" t="s">
        <v>101</v>
      </c>
      <c r="D1967" s="5" t="s">
        <v>1015</v>
      </c>
      <c r="E1967" s="5" t="n">
        <v>2</v>
      </c>
      <c r="F1967" s="6" t="n">
        <f aca="false">IFERROR(MATCH(A1967&amp;"|"&amp;B1967&amp;"|"&amp;D1967,'All Song Rankings'!$T:$T,0),0)</f>
        <v>309</v>
      </c>
      <c r="G1967" s="6" t="str">
        <f aca="false">IF(F1967=0,"NOT FOUND",INDEX('All Song Rankings'!$A:$A,F1967))</f>
        <v>Hello There</v>
      </c>
      <c r="H1967" s="6" t="str">
        <f aca="false">IF(F1967=0,"NOT FOUND",INDEX('All Song Rankings'!$B:$B,F1967))</f>
        <v>Cheap Trick</v>
      </c>
      <c r="I1967" s="6" t="str">
        <f aca="false">IF(F1967=0,"NOT FOUND",INDEX('All Song Rankings'!$D:$D,F1967))</f>
        <v>Christine</v>
      </c>
      <c r="J1967" s="7" t="str">
        <f aca="false">IF(F1967=0,"NOT FOUND",IF(C1967=I1967,"SELF-VOTE",IF(COUNTIF($K:$K,K1967)&gt;1,"DUPLICATE","OK")))</f>
        <v>OK</v>
      </c>
      <c r="K1967" s="6" t="str">
        <f aca="false">A1967&amp;"|"&amp;B1967&amp;"|"&amp;C1967&amp;"|"&amp;D1967</f>
        <v>3|8|Merita|spotify:track:0P1jQfRErBjgOSTbVKtCW7</v>
      </c>
    </row>
    <row r="1968" customFormat="false" ht="15" hidden="false" customHeight="false" outlineLevel="0" collapsed="false">
      <c r="A1968" s="5" t="n">
        <v>3</v>
      </c>
      <c r="B1968" s="5" t="n">
        <v>8</v>
      </c>
      <c r="C1968" s="5" t="s">
        <v>101</v>
      </c>
      <c r="D1968" s="5" t="s">
        <v>998</v>
      </c>
      <c r="E1968" s="5" t="n">
        <v>1</v>
      </c>
      <c r="F1968" s="6" t="n">
        <f aca="false">IFERROR(MATCH(A1968&amp;"|"&amp;B1968&amp;"|"&amp;D1968,'All Song Rankings'!$T:$T,0),0)</f>
        <v>303</v>
      </c>
      <c r="G1968" s="6" t="str">
        <f aca="false">IF(F1968=0,"NOT FOUND",INDEX('All Song Rankings'!$A:$A,F1968))</f>
        <v>The 59th Street Bridge Song (Feelin' Groovy)</v>
      </c>
      <c r="H1968" s="6" t="str">
        <f aca="false">IF(F1968=0,"NOT FOUND",INDEX('All Song Rankings'!$B:$B,F1968))</f>
        <v>Simon &amp; Garfunkel</v>
      </c>
      <c r="I1968" s="6" t="str">
        <f aca="false">IF(F1968=0,"NOT FOUND",INDEX('All Song Rankings'!$D:$D,F1968))</f>
        <v>Lisa</v>
      </c>
      <c r="J1968" s="7" t="str">
        <f aca="false">IF(F1968=0,"NOT FOUND",IF(C1968=I1968,"SELF-VOTE",IF(COUNTIF($K:$K,K1968)&gt;1,"DUPLICATE","OK")))</f>
        <v>OK</v>
      </c>
      <c r="K1968" s="6" t="str">
        <f aca="false">A1968&amp;"|"&amp;B1968&amp;"|"&amp;C1968&amp;"|"&amp;D1968</f>
        <v>3|8|Merita|spotify:track:0dzbfio3qTYG9uk40SJNcr</v>
      </c>
    </row>
    <row r="1969" customFormat="false" ht="15" hidden="false" customHeight="false" outlineLevel="0" collapsed="false">
      <c r="A1969" s="5" t="n">
        <v>3</v>
      </c>
      <c r="B1969" s="5" t="n">
        <v>8</v>
      </c>
      <c r="C1969" s="5" t="s">
        <v>101</v>
      </c>
      <c r="D1969" s="5" t="s">
        <v>981</v>
      </c>
      <c r="E1969" s="5" t="n">
        <v>1</v>
      </c>
      <c r="F1969" s="6" t="n">
        <f aca="false">IFERROR(MATCH(A1969&amp;"|"&amp;B1969&amp;"|"&amp;D1969,'All Song Rankings'!$T:$T,0),0)</f>
        <v>297</v>
      </c>
      <c r="G1969" s="6" t="str">
        <f aca="false">IF(F1969=0,"NOT FOUND",INDEX('All Song Rankings'!$A:$A,F1969))</f>
        <v>Interlude</v>
      </c>
      <c r="H1969" s="6" t="str">
        <f aca="false">IF(F1969=0,"NOT FOUND",INDEX('All Song Rankings'!$B:$B,F1969))</f>
        <v>Kelsea Ballerini</v>
      </c>
      <c r="I1969" s="6" t="str">
        <f aca="false">IF(F1969=0,"NOT FOUND",INDEX('All Song Rankings'!$D:$D,F1969))</f>
        <v>Nicole</v>
      </c>
      <c r="J1969" s="7" t="str">
        <f aca="false">IF(F1969=0,"NOT FOUND",IF(C1969=I1969,"SELF-VOTE",IF(COUNTIF($K:$K,K1969)&gt;1,"DUPLICATE","OK")))</f>
        <v>OK</v>
      </c>
      <c r="K1969" s="6" t="str">
        <f aca="false">A1969&amp;"|"&amp;B1969&amp;"|"&amp;C1969&amp;"|"&amp;D1969</f>
        <v>3|8|Merita|spotify:track:0nkOSp2DLhgrElR8lPPteZ</v>
      </c>
    </row>
    <row r="1970" customFormat="false" ht="15" hidden="false" customHeight="false" outlineLevel="0" collapsed="false">
      <c r="A1970" s="5" t="n">
        <v>3</v>
      </c>
      <c r="B1970" s="5" t="n">
        <v>8</v>
      </c>
      <c r="C1970" s="5" t="s">
        <v>101</v>
      </c>
      <c r="D1970" s="5" t="s">
        <v>1007</v>
      </c>
      <c r="E1970" s="5" t="n">
        <v>1</v>
      </c>
      <c r="F1970" s="6" t="n">
        <f aca="false">IFERROR(MATCH(A1970&amp;"|"&amp;B1970&amp;"|"&amp;D1970,'All Song Rankings'!$T:$T,0),0)</f>
        <v>306</v>
      </c>
      <c r="G1970" s="6" t="str">
        <f aca="false">IF(F1970=0,"NOT FOUND",INDEX('All Song Rankings'!$A:$A,F1970))</f>
        <v>Lust</v>
      </c>
      <c r="H1970" s="6" t="str">
        <f aca="false">IF(F1970=0,"NOT FOUND",INDEX('All Song Rankings'!$B:$B,F1970))</f>
        <v>Marino, Alexandria</v>
      </c>
      <c r="I1970" s="6" t="str">
        <f aca="false">IF(F1970=0,"NOT FOUND",INDEX('All Song Rankings'!$D:$D,F1970))</f>
        <v>Matt</v>
      </c>
      <c r="J1970" s="7" t="str">
        <f aca="false">IF(F1970=0,"NOT FOUND",IF(C1970=I1970,"SELF-VOTE",IF(COUNTIF($K:$K,K1970)&gt;1,"DUPLICATE","OK")))</f>
        <v>OK</v>
      </c>
      <c r="K1970" s="6" t="str">
        <f aca="false">A1970&amp;"|"&amp;B1970&amp;"|"&amp;C1970&amp;"|"&amp;D1970</f>
        <v>3|8|Merita|spotify:track:2Tf3o75XkU0IS06tYgEuvn</v>
      </c>
    </row>
    <row r="1971" customFormat="false" ht="15" hidden="false" customHeight="false" outlineLevel="0" collapsed="false">
      <c r="A1971" s="5" t="n">
        <v>3</v>
      </c>
      <c r="B1971" s="5" t="n">
        <v>8</v>
      </c>
      <c r="C1971" s="5" t="s">
        <v>101</v>
      </c>
      <c r="D1971" s="5" t="s">
        <v>989</v>
      </c>
      <c r="E1971" s="5" t="n">
        <v>1</v>
      </c>
      <c r="F1971" s="6" t="n">
        <f aca="false">IFERROR(MATCH(A1971&amp;"|"&amp;B1971&amp;"|"&amp;D1971,'All Song Rankings'!$T:$T,0),0)</f>
        <v>300</v>
      </c>
      <c r="G1971" s="6" t="str">
        <f aca="false">IF(F1971=0,"NOT FOUND",INDEX('All Song Rankings'!$A:$A,F1971))</f>
        <v>Great Balls of Fire</v>
      </c>
      <c r="H1971" s="6" t="str">
        <f aca="false">IF(F1971=0,"NOT FOUND",INDEX('All Song Rankings'!$B:$B,F1971))</f>
        <v>Jerry Lee Lewis</v>
      </c>
      <c r="I1971" s="6" t="str">
        <f aca="false">IF(F1971=0,"NOT FOUND",INDEX('All Song Rankings'!$D:$D,F1971))</f>
        <v>Logan</v>
      </c>
      <c r="J1971" s="7" t="str">
        <f aca="false">IF(F1971=0,"NOT FOUND",IF(C1971=I1971,"SELF-VOTE",IF(COUNTIF($K:$K,K1971)&gt;1,"DUPLICATE","OK")))</f>
        <v>OK</v>
      </c>
      <c r="K1971" s="6" t="str">
        <f aca="false">A1971&amp;"|"&amp;B1971&amp;"|"&amp;C1971&amp;"|"&amp;D1971</f>
        <v>3|8|Merita|spotify:track:64VP3skE86iTvdOlbzuIcO</v>
      </c>
    </row>
    <row r="1972" customFormat="false" ht="15" hidden="false" customHeight="false" outlineLevel="0" collapsed="false">
      <c r="A1972" s="5" t="n">
        <v>3</v>
      </c>
      <c r="B1972" s="5" t="n">
        <v>8</v>
      </c>
      <c r="C1972" s="5" t="s">
        <v>101</v>
      </c>
      <c r="D1972" s="5" t="s">
        <v>984</v>
      </c>
      <c r="E1972" s="5" t="n">
        <v>1</v>
      </c>
      <c r="F1972" s="6" t="n">
        <f aca="false">IFERROR(MATCH(A1972&amp;"|"&amp;B1972&amp;"|"&amp;D1972,'All Song Rankings'!$T:$T,0),0)</f>
        <v>298</v>
      </c>
      <c r="G1972" s="6" t="str">
        <f aca="false">IF(F1972=0,"NOT FOUND",INDEX('All Song Rankings'!$A:$A,F1972))</f>
        <v>Little Deuce Coupe - Remastered 2001</v>
      </c>
      <c r="H1972" s="6" t="str">
        <f aca="false">IF(F1972=0,"NOT FOUND",INDEX('All Song Rankings'!$B:$B,F1972))</f>
        <v>The Beach Boys</v>
      </c>
      <c r="I1972" s="6" t="str">
        <f aca="false">IF(F1972=0,"NOT FOUND",INDEX('All Song Rankings'!$D:$D,F1972))</f>
        <v>Stephanie</v>
      </c>
      <c r="J1972" s="7" t="str">
        <f aca="false">IF(F1972=0,"NOT FOUND",IF(C1972=I1972,"SELF-VOTE",IF(COUNTIF($K:$K,K1972)&gt;1,"DUPLICATE","OK")))</f>
        <v>OK</v>
      </c>
      <c r="K1972" s="6" t="str">
        <f aca="false">A1972&amp;"|"&amp;B1972&amp;"|"&amp;C1972&amp;"|"&amp;D1972</f>
        <v>3|8|Merita|spotify:track:75WMOzv7195ziyx0qEw1yE</v>
      </c>
    </row>
    <row r="1973" customFormat="false" ht="15" hidden="false" customHeight="false" outlineLevel="0" collapsed="false">
      <c r="A1973" s="5" t="n">
        <v>3</v>
      </c>
      <c r="B1973" s="5" t="n">
        <v>8</v>
      </c>
      <c r="C1973" s="5" t="s">
        <v>92</v>
      </c>
      <c r="D1973" s="5" t="s">
        <v>1004</v>
      </c>
      <c r="E1973" s="5" t="n">
        <v>2</v>
      </c>
      <c r="F1973" s="6" t="n">
        <f aca="false">IFERROR(MATCH(A1973&amp;"|"&amp;B1973&amp;"|"&amp;D1973,'All Song Rankings'!$T:$T,0),0)</f>
        <v>305</v>
      </c>
      <c r="G1973" s="6" t="str">
        <f aca="false">IF(F1973=0,"NOT FOUND",INDEX('All Song Rankings'!$A:$A,F1973))</f>
        <v>Walls Could Talk</v>
      </c>
      <c r="H1973" s="6" t="str">
        <f aca="false">IF(F1973=0,"NOT FOUND",INDEX('All Song Rankings'!$B:$B,F1973))</f>
        <v>Halsey</v>
      </c>
      <c r="I1973" s="6" t="str">
        <f aca="false">IF(F1973=0,"NOT FOUND",INDEX('All Song Rankings'!$D:$D,F1973))</f>
        <v>Merita</v>
      </c>
      <c r="J1973" s="7" t="str">
        <f aca="false">IF(F1973=0,"NOT FOUND",IF(C1973=I1973,"SELF-VOTE",IF(COUNTIF($K:$K,K1973)&gt;1,"DUPLICATE","OK")))</f>
        <v>OK</v>
      </c>
      <c r="K1973" s="6" t="str">
        <f aca="false">A1973&amp;"|"&amp;B1973&amp;"|"&amp;C1973&amp;"|"&amp;D1973</f>
        <v>3|8|Nicole|spotify:track:1Ao5nOuAUm42ob1UVvOkgW</v>
      </c>
    </row>
    <row r="1974" customFormat="false" ht="15" hidden="false" customHeight="false" outlineLevel="0" collapsed="false">
      <c r="A1974" s="5" t="n">
        <v>3</v>
      </c>
      <c r="B1974" s="5" t="n">
        <v>8</v>
      </c>
      <c r="C1974" s="5" t="s">
        <v>92</v>
      </c>
      <c r="D1974" s="5" t="s">
        <v>1009</v>
      </c>
      <c r="E1974" s="5" t="n">
        <v>1</v>
      </c>
      <c r="F1974" s="6" t="n">
        <f aca="false">IFERROR(MATCH(A1974&amp;"|"&amp;B1974&amp;"|"&amp;D1974,'All Song Rankings'!$T:$T,0),0)</f>
        <v>307</v>
      </c>
      <c r="G1974" s="6" t="str">
        <f aca="false">IF(F1974=0,"NOT FOUND",INDEX('All Song Rankings'!$A:$A,F1974))</f>
        <v>Acoustic #3</v>
      </c>
      <c r="H1974" s="6" t="str">
        <f aca="false">IF(F1974=0,"NOT FOUND",INDEX('All Song Rankings'!$B:$B,F1974))</f>
        <v>The Goo Goo Dolls</v>
      </c>
      <c r="I1974" s="6" t="str">
        <f aca="false">IF(F1974=0,"NOT FOUND",INDEX('All Song Rankings'!$D:$D,F1974))</f>
        <v>Kristen</v>
      </c>
      <c r="J1974" s="7" t="str">
        <f aca="false">IF(F1974=0,"NOT FOUND",IF(C1974=I1974,"SELF-VOTE",IF(COUNTIF($K:$K,K1974)&gt;1,"DUPLICATE","OK")))</f>
        <v>OK</v>
      </c>
      <c r="K1974" s="6" t="str">
        <f aca="false">A1974&amp;"|"&amp;B1974&amp;"|"&amp;C1974&amp;"|"&amp;D1974</f>
        <v>3|8|Nicole|spotify:track:1RC9slv335IfLce5vt9KTW</v>
      </c>
    </row>
    <row r="1975" customFormat="false" ht="15" hidden="false" customHeight="false" outlineLevel="0" collapsed="false">
      <c r="A1975" s="5" t="n">
        <v>3</v>
      </c>
      <c r="B1975" s="5" t="n">
        <v>8</v>
      </c>
      <c r="C1975" s="5" t="s">
        <v>92</v>
      </c>
      <c r="D1975" s="5" t="s">
        <v>1001</v>
      </c>
      <c r="E1975" s="5" t="n">
        <v>1</v>
      </c>
      <c r="F1975" s="6" t="n">
        <f aca="false">IFERROR(MATCH(A1975&amp;"|"&amp;B1975&amp;"|"&amp;D1975,'All Song Rankings'!$T:$T,0),0)</f>
        <v>304</v>
      </c>
      <c r="G1975" s="6" t="str">
        <f aca="false">IF(F1975=0,"NOT FOUND",INDEX('All Song Rankings'!$A:$A,F1975))</f>
        <v>Flowers In Your Hair</v>
      </c>
      <c r="H1975" s="6" t="str">
        <f aca="false">IF(F1975=0,"NOT FOUND",INDEX('All Song Rankings'!$B:$B,F1975))</f>
        <v>The Lumineers</v>
      </c>
      <c r="I1975" s="6" t="str">
        <f aca="false">IF(F1975=0,"NOT FOUND",INDEX('All Song Rankings'!$D:$D,F1975))</f>
        <v>Grace</v>
      </c>
      <c r="J1975" s="7" t="str">
        <f aca="false">IF(F1975=0,"NOT FOUND",IF(C1975=I1975,"SELF-VOTE",IF(COUNTIF($K:$K,K1975)&gt;1,"DUPLICATE","OK")))</f>
        <v>OK</v>
      </c>
      <c r="K1975" s="6" t="str">
        <f aca="false">A1975&amp;"|"&amp;B1975&amp;"|"&amp;C1975&amp;"|"&amp;D1975</f>
        <v>3|8|Nicole|spotify:track:5PbdVk09VHHcvGa0pX86RP</v>
      </c>
    </row>
    <row r="1976" customFormat="false" ht="15" hidden="false" customHeight="false" outlineLevel="0" collapsed="false">
      <c r="A1976" s="5" t="n">
        <v>3</v>
      </c>
      <c r="B1976" s="5" t="n">
        <v>8</v>
      </c>
      <c r="C1976" s="5" t="s">
        <v>92</v>
      </c>
      <c r="D1976" s="5" t="s">
        <v>989</v>
      </c>
      <c r="E1976" s="5" t="n">
        <v>1</v>
      </c>
      <c r="F1976" s="6" t="n">
        <f aca="false">IFERROR(MATCH(A1976&amp;"|"&amp;B1976&amp;"|"&amp;D1976,'All Song Rankings'!$T:$T,0),0)</f>
        <v>300</v>
      </c>
      <c r="G1976" s="6" t="str">
        <f aca="false">IF(F1976=0,"NOT FOUND",INDEX('All Song Rankings'!$A:$A,F1976))</f>
        <v>Great Balls of Fire</v>
      </c>
      <c r="H1976" s="6" t="str">
        <f aca="false">IF(F1976=0,"NOT FOUND",INDEX('All Song Rankings'!$B:$B,F1976))</f>
        <v>Jerry Lee Lewis</v>
      </c>
      <c r="I1976" s="6" t="str">
        <f aca="false">IF(F1976=0,"NOT FOUND",INDEX('All Song Rankings'!$D:$D,F1976))</f>
        <v>Logan</v>
      </c>
      <c r="J1976" s="7" t="str">
        <f aca="false">IF(F1976=0,"NOT FOUND",IF(C1976=I1976,"SELF-VOTE",IF(COUNTIF($K:$K,K1976)&gt;1,"DUPLICATE","OK")))</f>
        <v>OK</v>
      </c>
      <c r="K1976" s="6" t="str">
        <f aca="false">A1976&amp;"|"&amp;B1976&amp;"|"&amp;C1976&amp;"|"&amp;D1976</f>
        <v>3|8|Nicole|spotify:track:64VP3skE86iTvdOlbzuIcO</v>
      </c>
    </row>
    <row r="1977" customFormat="false" ht="15" hidden="false" customHeight="false" outlineLevel="0" collapsed="false">
      <c r="A1977" s="5" t="n">
        <v>3</v>
      </c>
      <c r="B1977" s="5" t="n">
        <v>8</v>
      </c>
      <c r="C1977" s="5" t="s">
        <v>92</v>
      </c>
      <c r="D1977" s="5" t="s">
        <v>984</v>
      </c>
      <c r="E1977" s="5" t="n">
        <v>2</v>
      </c>
      <c r="F1977" s="6" t="n">
        <f aca="false">IFERROR(MATCH(A1977&amp;"|"&amp;B1977&amp;"|"&amp;D1977,'All Song Rankings'!$T:$T,0),0)</f>
        <v>298</v>
      </c>
      <c r="G1977" s="6" t="str">
        <f aca="false">IF(F1977=0,"NOT FOUND",INDEX('All Song Rankings'!$A:$A,F1977))</f>
        <v>Little Deuce Coupe - Remastered 2001</v>
      </c>
      <c r="H1977" s="6" t="str">
        <f aca="false">IF(F1977=0,"NOT FOUND",INDEX('All Song Rankings'!$B:$B,F1977))</f>
        <v>The Beach Boys</v>
      </c>
      <c r="I1977" s="6" t="str">
        <f aca="false">IF(F1977=0,"NOT FOUND",INDEX('All Song Rankings'!$D:$D,F1977))</f>
        <v>Stephanie</v>
      </c>
      <c r="J1977" s="7" t="str">
        <f aca="false">IF(F1977=0,"NOT FOUND",IF(C1977=I1977,"SELF-VOTE",IF(COUNTIF($K:$K,K1977)&gt;1,"DUPLICATE","OK")))</f>
        <v>OK</v>
      </c>
      <c r="K1977" s="6" t="str">
        <f aca="false">A1977&amp;"|"&amp;B1977&amp;"|"&amp;C1977&amp;"|"&amp;D1977</f>
        <v>3|8|Nicole|spotify:track:75WMOzv7195ziyx0qEw1yE</v>
      </c>
    </row>
    <row r="1978" customFormat="false" ht="15" hidden="false" customHeight="false" outlineLevel="0" collapsed="false">
      <c r="A1978" s="5" t="n">
        <v>3</v>
      </c>
      <c r="B1978" s="5" t="n">
        <v>8</v>
      </c>
      <c r="C1978" s="5" t="s">
        <v>92</v>
      </c>
      <c r="D1978" s="5" t="s">
        <v>986</v>
      </c>
      <c r="E1978" s="5" t="n">
        <v>3</v>
      </c>
      <c r="F1978" s="6" t="n">
        <f aca="false">IFERROR(MATCH(A1978&amp;"|"&amp;B1978&amp;"|"&amp;D1978,'All Song Rankings'!$T:$T,0),0)</f>
        <v>299</v>
      </c>
      <c r="G1978" s="6" t="str">
        <f aca="false">IF(F1978=0,"NOT FOUND",INDEX('All Song Rankings'!$A:$A,F1978))</f>
        <v>Wings</v>
      </c>
      <c r="H1978" s="6" t="str">
        <f aca="false">IF(F1978=0,"NOT FOUND",INDEX('All Song Rankings'!$B:$B,F1978))</f>
        <v>Jonas Brothers</v>
      </c>
      <c r="I1978" s="6" t="str">
        <f aca="false">IF(F1978=0,"NOT FOUND",INDEX('All Song Rankings'!$D:$D,F1978))</f>
        <v>Makenzie</v>
      </c>
      <c r="J1978" s="7" t="str">
        <f aca="false">IF(F1978=0,"NOT FOUND",IF(C1978=I1978,"SELF-VOTE",IF(COUNTIF($K:$K,K1978)&gt;1,"DUPLICATE","OK")))</f>
        <v>OK</v>
      </c>
      <c r="K1978" s="6" t="str">
        <f aca="false">A1978&amp;"|"&amp;B1978&amp;"|"&amp;C1978&amp;"|"&amp;D1978</f>
        <v>3|8|Nicole|spotify:track:7DVcgqaCDXtwZIjRTPb8bm</v>
      </c>
    </row>
    <row r="1979" customFormat="false" ht="15" hidden="false" customHeight="false" outlineLevel="0" collapsed="false">
      <c r="A1979" s="5" t="n">
        <v>3</v>
      </c>
      <c r="B1979" s="5" t="n">
        <v>8</v>
      </c>
      <c r="C1979" s="5" t="s">
        <v>97</v>
      </c>
      <c r="D1979" s="5" t="s">
        <v>1015</v>
      </c>
      <c r="E1979" s="5" t="n">
        <v>1</v>
      </c>
      <c r="F1979" s="6" t="n">
        <f aca="false">IFERROR(MATCH(A1979&amp;"|"&amp;B1979&amp;"|"&amp;D1979,'All Song Rankings'!$T:$T,0),0)</f>
        <v>309</v>
      </c>
      <c r="G1979" s="6" t="str">
        <f aca="false">IF(F1979=0,"NOT FOUND",INDEX('All Song Rankings'!$A:$A,F1979))</f>
        <v>Hello There</v>
      </c>
      <c r="H1979" s="6" t="str">
        <f aca="false">IF(F1979=0,"NOT FOUND",INDEX('All Song Rankings'!$B:$B,F1979))</f>
        <v>Cheap Trick</v>
      </c>
      <c r="I1979" s="6" t="str">
        <f aca="false">IF(F1979=0,"NOT FOUND",INDEX('All Song Rankings'!$D:$D,F1979))</f>
        <v>Christine</v>
      </c>
      <c r="J1979" s="7" t="str">
        <f aca="false">IF(F1979=0,"NOT FOUND",IF(C1979=I1979,"SELF-VOTE",IF(COUNTIF($K:$K,K1979)&gt;1,"DUPLICATE","OK")))</f>
        <v>OK</v>
      </c>
      <c r="K1979" s="6" t="str">
        <f aca="false">A1979&amp;"|"&amp;B1979&amp;"|"&amp;C1979&amp;"|"&amp;D1979</f>
        <v>3|8|Stephanie|spotify:track:0P1jQfRErBjgOSTbVKtCW7</v>
      </c>
    </row>
    <row r="1980" customFormat="false" ht="15" hidden="false" customHeight="false" outlineLevel="0" collapsed="false">
      <c r="A1980" s="5" t="n">
        <v>3</v>
      </c>
      <c r="B1980" s="5" t="n">
        <v>8</v>
      </c>
      <c r="C1980" s="5" t="s">
        <v>97</v>
      </c>
      <c r="D1980" s="5" t="s">
        <v>981</v>
      </c>
      <c r="E1980" s="5" t="n">
        <v>1</v>
      </c>
      <c r="F1980" s="6" t="n">
        <f aca="false">IFERROR(MATCH(A1980&amp;"|"&amp;B1980&amp;"|"&amp;D1980,'All Song Rankings'!$T:$T,0),0)</f>
        <v>297</v>
      </c>
      <c r="G1980" s="6" t="str">
        <f aca="false">IF(F1980=0,"NOT FOUND",INDEX('All Song Rankings'!$A:$A,F1980))</f>
        <v>Interlude</v>
      </c>
      <c r="H1980" s="6" t="str">
        <f aca="false">IF(F1980=0,"NOT FOUND",INDEX('All Song Rankings'!$B:$B,F1980))</f>
        <v>Kelsea Ballerini</v>
      </c>
      <c r="I1980" s="6" t="str">
        <f aca="false">IF(F1980=0,"NOT FOUND",INDEX('All Song Rankings'!$D:$D,F1980))</f>
        <v>Nicole</v>
      </c>
      <c r="J1980" s="7" t="str">
        <f aca="false">IF(F1980=0,"NOT FOUND",IF(C1980=I1980,"SELF-VOTE",IF(COUNTIF($K:$K,K1980)&gt;1,"DUPLICATE","OK")))</f>
        <v>OK</v>
      </c>
      <c r="K1980" s="6" t="str">
        <f aca="false">A1980&amp;"|"&amp;B1980&amp;"|"&amp;C1980&amp;"|"&amp;D1980</f>
        <v>3|8|Stephanie|spotify:track:0nkOSp2DLhgrElR8lPPteZ</v>
      </c>
    </row>
    <row r="1981" customFormat="false" ht="15" hidden="false" customHeight="false" outlineLevel="0" collapsed="false">
      <c r="A1981" s="5" t="n">
        <v>3</v>
      </c>
      <c r="B1981" s="5" t="n">
        <v>8</v>
      </c>
      <c r="C1981" s="5" t="s">
        <v>97</v>
      </c>
      <c r="D1981" s="5" t="s">
        <v>1004</v>
      </c>
      <c r="E1981" s="5" t="n">
        <v>2</v>
      </c>
      <c r="F1981" s="6" t="n">
        <f aca="false">IFERROR(MATCH(A1981&amp;"|"&amp;B1981&amp;"|"&amp;D1981,'All Song Rankings'!$T:$T,0),0)</f>
        <v>305</v>
      </c>
      <c r="G1981" s="6" t="str">
        <f aca="false">IF(F1981=0,"NOT FOUND",INDEX('All Song Rankings'!$A:$A,F1981))</f>
        <v>Walls Could Talk</v>
      </c>
      <c r="H1981" s="6" t="str">
        <f aca="false">IF(F1981=0,"NOT FOUND",INDEX('All Song Rankings'!$B:$B,F1981))</f>
        <v>Halsey</v>
      </c>
      <c r="I1981" s="6" t="str">
        <f aca="false">IF(F1981=0,"NOT FOUND",INDEX('All Song Rankings'!$D:$D,F1981))</f>
        <v>Merita</v>
      </c>
      <c r="J1981" s="7" t="str">
        <f aca="false">IF(F1981=0,"NOT FOUND",IF(C1981=I1981,"SELF-VOTE",IF(COUNTIF($K:$K,K1981)&gt;1,"DUPLICATE","OK")))</f>
        <v>OK</v>
      </c>
      <c r="K1981" s="6" t="str">
        <f aca="false">A1981&amp;"|"&amp;B1981&amp;"|"&amp;C1981&amp;"|"&amp;D1981</f>
        <v>3|8|Stephanie|spotify:track:1Ao5nOuAUm42ob1UVvOkgW</v>
      </c>
    </row>
    <row r="1982" customFormat="false" ht="15" hidden="false" customHeight="false" outlineLevel="0" collapsed="false">
      <c r="A1982" s="5" t="n">
        <v>3</v>
      </c>
      <c r="B1982" s="5" t="n">
        <v>8</v>
      </c>
      <c r="C1982" s="5" t="s">
        <v>97</v>
      </c>
      <c r="D1982" s="5" t="s">
        <v>1009</v>
      </c>
      <c r="E1982" s="5" t="n">
        <v>1</v>
      </c>
      <c r="F1982" s="6" t="n">
        <f aca="false">IFERROR(MATCH(A1982&amp;"|"&amp;B1982&amp;"|"&amp;D1982,'All Song Rankings'!$T:$T,0),0)</f>
        <v>307</v>
      </c>
      <c r="G1982" s="6" t="str">
        <f aca="false">IF(F1982=0,"NOT FOUND",INDEX('All Song Rankings'!$A:$A,F1982))</f>
        <v>Acoustic #3</v>
      </c>
      <c r="H1982" s="6" t="str">
        <f aca="false">IF(F1982=0,"NOT FOUND",INDEX('All Song Rankings'!$B:$B,F1982))</f>
        <v>The Goo Goo Dolls</v>
      </c>
      <c r="I1982" s="6" t="str">
        <f aca="false">IF(F1982=0,"NOT FOUND",INDEX('All Song Rankings'!$D:$D,F1982))</f>
        <v>Kristen</v>
      </c>
      <c r="J1982" s="7" t="str">
        <f aca="false">IF(F1982=0,"NOT FOUND",IF(C1982=I1982,"SELF-VOTE",IF(COUNTIF($K:$K,K1982)&gt;1,"DUPLICATE","OK")))</f>
        <v>OK</v>
      </c>
      <c r="K1982" s="6" t="str">
        <f aca="false">A1982&amp;"|"&amp;B1982&amp;"|"&amp;C1982&amp;"|"&amp;D1982</f>
        <v>3|8|Stephanie|spotify:track:1RC9slv335IfLce5vt9KTW</v>
      </c>
    </row>
    <row r="1983" customFormat="false" ht="15" hidden="false" customHeight="false" outlineLevel="0" collapsed="false">
      <c r="A1983" s="5" t="n">
        <v>3</v>
      </c>
      <c r="B1983" s="5" t="n">
        <v>8</v>
      </c>
      <c r="C1983" s="5" t="s">
        <v>97</v>
      </c>
      <c r="D1983" s="5" t="s">
        <v>1007</v>
      </c>
      <c r="E1983" s="5" t="n">
        <v>2</v>
      </c>
      <c r="F1983" s="6" t="n">
        <f aca="false">IFERROR(MATCH(A1983&amp;"|"&amp;B1983&amp;"|"&amp;D1983,'All Song Rankings'!$T:$T,0),0)</f>
        <v>306</v>
      </c>
      <c r="G1983" s="6" t="str">
        <f aca="false">IF(F1983=0,"NOT FOUND",INDEX('All Song Rankings'!$A:$A,F1983))</f>
        <v>Lust</v>
      </c>
      <c r="H1983" s="6" t="str">
        <f aca="false">IF(F1983=0,"NOT FOUND",INDEX('All Song Rankings'!$B:$B,F1983))</f>
        <v>Marino, Alexandria</v>
      </c>
      <c r="I1983" s="6" t="str">
        <f aca="false">IF(F1983=0,"NOT FOUND",INDEX('All Song Rankings'!$D:$D,F1983))</f>
        <v>Matt</v>
      </c>
      <c r="J1983" s="7" t="str">
        <f aca="false">IF(F1983=0,"NOT FOUND",IF(C1983=I1983,"SELF-VOTE",IF(COUNTIF($K:$K,K1983)&gt;1,"DUPLICATE","OK")))</f>
        <v>OK</v>
      </c>
      <c r="K1983" s="6" t="str">
        <f aca="false">A1983&amp;"|"&amp;B1983&amp;"|"&amp;C1983&amp;"|"&amp;D1983</f>
        <v>3|8|Stephanie|spotify:track:2Tf3o75XkU0IS06tYgEuvn</v>
      </c>
    </row>
    <row r="1984" customFormat="false" ht="15" hidden="false" customHeight="false" outlineLevel="0" collapsed="false">
      <c r="A1984" s="5" t="n">
        <v>3</v>
      </c>
      <c r="B1984" s="5" t="n">
        <v>8</v>
      </c>
      <c r="C1984" s="5" t="s">
        <v>97</v>
      </c>
      <c r="D1984" s="5" t="s">
        <v>986</v>
      </c>
      <c r="E1984" s="5" t="n">
        <v>3</v>
      </c>
      <c r="F1984" s="6" t="n">
        <f aca="false">IFERROR(MATCH(A1984&amp;"|"&amp;B1984&amp;"|"&amp;D1984,'All Song Rankings'!$T:$T,0),0)</f>
        <v>299</v>
      </c>
      <c r="G1984" s="6" t="str">
        <f aca="false">IF(F1984=0,"NOT FOUND",INDEX('All Song Rankings'!$A:$A,F1984))</f>
        <v>Wings</v>
      </c>
      <c r="H1984" s="6" t="str">
        <f aca="false">IF(F1984=0,"NOT FOUND",INDEX('All Song Rankings'!$B:$B,F1984))</f>
        <v>Jonas Brothers</v>
      </c>
      <c r="I1984" s="6" t="str">
        <f aca="false">IF(F1984=0,"NOT FOUND",INDEX('All Song Rankings'!$D:$D,F1984))</f>
        <v>Makenzie</v>
      </c>
      <c r="J1984" s="7" t="str">
        <f aca="false">IF(F1984=0,"NOT FOUND",IF(C1984=I1984,"SELF-VOTE",IF(COUNTIF($K:$K,K1984)&gt;1,"DUPLICATE","OK")))</f>
        <v>OK</v>
      </c>
      <c r="K1984" s="6" t="str">
        <f aca="false">A1984&amp;"|"&amp;B1984&amp;"|"&amp;C1984&amp;"|"&amp;D1984</f>
        <v>3|8|Stephanie|spotify:track:7DVcgqaCDXtwZIjRTPb8bm</v>
      </c>
    </row>
    <row r="1985" customFormat="false" ht="15" hidden="false" customHeight="false" outlineLevel="0" collapsed="false">
      <c r="A1985" s="5" t="n">
        <v>4</v>
      </c>
      <c r="B1985" s="5" t="n">
        <v>1</v>
      </c>
      <c r="C1985" s="5" t="s">
        <v>719</v>
      </c>
      <c r="D1985" s="5" t="s">
        <v>1041</v>
      </c>
      <c r="E1985" s="5" t="n">
        <v>2</v>
      </c>
      <c r="F1985" s="6" t="n">
        <f aca="false">IFERROR(MATCH(A1985&amp;"|"&amp;B1985&amp;"|"&amp;D1985,'All Song Rankings'!$T:$T,0),0)</f>
        <v>318</v>
      </c>
      <c r="G1985" s="6" t="str">
        <f aca="false">IF(F1985=0,"NOT FOUND",INDEX('All Song Rankings'!$A:$A,F1985))</f>
        <v>The One I Love</v>
      </c>
      <c r="H1985" s="6" t="str">
        <f aca="false">IF(F1985=0,"NOT FOUND",INDEX('All Song Rankings'!$B:$B,F1985))</f>
        <v>David Gray</v>
      </c>
      <c r="I1985" s="6" t="str">
        <f aca="false">IF(F1985=0,"NOT FOUND",INDEX('All Song Rankings'!$D:$D,F1985))</f>
        <v>Lisa</v>
      </c>
      <c r="J1985" s="7" t="str">
        <f aca="false">IF(F1985=0,"NOT FOUND",IF(C1985=I1985,"SELF-VOTE",IF(COUNTIF($K:$K,K1985)&gt;1,"DUPLICATE","OK")))</f>
        <v>OK</v>
      </c>
      <c r="K1985" s="6" t="str">
        <f aca="false">A1985&amp;"|"&amp;B1985&amp;"|"&amp;C1985&amp;"|"&amp;D1985</f>
        <v>4|1|Christine|spotify:track:0hOYPh5Y8huTrLKxvQyxAh</v>
      </c>
    </row>
    <row r="1986" customFormat="false" ht="15" hidden="false" customHeight="false" outlineLevel="0" collapsed="false">
      <c r="A1986" s="5" t="n">
        <v>4</v>
      </c>
      <c r="B1986" s="5" t="n">
        <v>1</v>
      </c>
      <c r="C1986" s="5" t="s">
        <v>719</v>
      </c>
      <c r="D1986" s="5" t="s">
        <v>1020</v>
      </c>
      <c r="E1986" s="5" t="n">
        <v>1</v>
      </c>
      <c r="F1986" s="6" t="n">
        <f aca="false">IFERROR(MATCH(A1986&amp;"|"&amp;B1986&amp;"|"&amp;D1986,'All Song Rankings'!$T:$T,0),0)</f>
        <v>310</v>
      </c>
      <c r="G1986" s="6" t="str">
        <f aca="false">IF(F1986=0,"NOT FOUND",INDEX('All Song Rankings'!$A:$A,F1986))</f>
        <v>Caviar</v>
      </c>
      <c r="H1986" s="6" t="str">
        <f aca="false">IF(F1986=0,"NOT FOUND",INDEX('All Song Rankings'!$B:$B,F1986))</f>
        <v>JayDon</v>
      </c>
      <c r="I1986" s="6" t="str">
        <f aca="false">IF(F1986=0,"NOT FOUND",INDEX('All Song Rankings'!$D:$D,F1986))</f>
        <v>Merita</v>
      </c>
      <c r="J1986" s="7" t="str">
        <f aca="false">IF(F1986=0,"NOT FOUND",IF(C1986=I1986,"SELF-VOTE",IF(COUNTIF($K:$K,K1986)&gt;1,"DUPLICATE","OK")))</f>
        <v>OK</v>
      </c>
      <c r="K1986" s="6" t="str">
        <f aca="false">A1986&amp;"|"&amp;B1986&amp;"|"&amp;C1986&amp;"|"&amp;D1986</f>
        <v>4|1|Christine|spotify:track:1RKq0J03X61Mxsm4fXFTTe</v>
      </c>
    </row>
    <row r="1987" customFormat="false" ht="15" hidden="false" customHeight="false" outlineLevel="0" collapsed="false">
      <c r="A1987" s="5" t="n">
        <v>4</v>
      </c>
      <c r="B1987" s="5" t="n">
        <v>1</v>
      </c>
      <c r="C1987" s="5" t="s">
        <v>719</v>
      </c>
      <c r="D1987" s="5" t="s">
        <v>1029</v>
      </c>
      <c r="E1987" s="5" t="n">
        <v>2</v>
      </c>
      <c r="F1987" s="6" t="n">
        <f aca="false">IFERROR(MATCH(A1987&amp;"|"&amp;B1987&amp;"|"&amp;D1987,'All Song Rankings'!$T:$T,0),0)</f>
        <v>314</v>
      </c>
      <c r="G1987" s="6" t="str">
        <f aca="false">IF(F1987=0,"NOT FOUND",INDEX('All Song Rankings'!$A:$A,F1987))</f>
        <v>Waterloo</v>
      </c>
      <c r="H1987" s="6" t="str">
        <f aca="false">IF(F1987=0,"NOT FOUND",INDEX('All Song Rankings'!$B:$B,F1987))</f>
        <v>ABBA</v>
      </c>
      <c r="I1987" s="6" t="str">
        <f aca="false">IF(F1987=0,"NOT FOUND",INDEX('All Song Rankings'!$D:$D,F1987))</f>
        <v>Kelsey</v>
      </c>
      <c r="J1987" s="7" t="str">
        <f aca="false">IF(F1987=0,"NOT FOUND",IF(C1987=I1987,"SELF-VOTE",IF(COUNTIF($K:$K,K1987)&gt;1,"DUPLICATE","OK")))</f>
        <v>OK</v>
      </c>
      <c r="K1987" s="6" t="str">
        <f aca="false">A1987&amp;"|"&amp;B1987&amp;"|"&amp;C1987&amp;"|"&amp;D1987</f>
        <v>4|1|Christine|spotify:track:3Dy4REq8O09IlgiwuHQ3sk</v>
      </c>
    </row>
    <row r="1988" customFormat="false" ht="15" hidden="false" customHeight="false" outlineLevel="0" collapsed="false">
      <c r="A1988" s="5" t="n">
        <v>4</v>
      </c>
      <c r="B1988" s="5" t="n">
        <v>1</v>
      </c>
      <c r="C1988" s="5" t="s">
        <v>719</v>
      </c>
      <c r="D1988" s="5" t="s">
        <v>1052</v>
      </c>
      <c r="E1988" s="5" t="n">
        <v>1</v>
      </c>
      <c r="F1988" s="6" t="n">
        <f aca="false">IFERROR(MATCH(A1988&amp;"|"&amp;B1988&amp;"|"&amp;D1988,'All Song Rankings'!$T:$T,0),0)</f>
        <v>322</v>
      </c>
      <c r="G1988" s="6" t="str">
        <f aca="false">IF(F1988=0,"NOT FOUND",INDEX('All Song Rankings'!$A:$A,F1988))</f>
        <v>Come prima</v>
      </c>
      <c r="H1988" s="6" t="str">
        <f aca="false">IF(F1988=0,"NOT FOUND",INDEX('All Song Rankings'!$B:$B,F1988))</f>
        <v>Tony Dallara</v>
      </c>
      <c r="I1988" s="6" t="str">
        <f aca="false">IF(F1988=0,"NOT FOUND",INDEX('All Song Rankings'!$D:$D,F1988))</f>
        <v>Scott</v>
      </c>
      <c r="J1988" s="7" t="str">
        <f aca="false">IF(F1988=0,"NOT FOUND",IF(C1988=I1988,"SELF-VOTE",IF(COUNTIF($K:$K,K1988)&gt;1,"DUPLICATE","OK")))</f>
        <v>OK</v>
      </c>
      <c r="K1988" s="6" t="str">
        <f aca="false">A1988&amp;"|"&amp;B1988&amp;"|"&amp;C1988&amp;"|"&amp;D1988</f>
        <v>4|1|Christine|spotify:track:3OWFR95HjLDQKbzHl6oqjq</v>
      </c>
    </row>
    <row r="1989" customFormat="false" ht="15" hidden="false" customHeight="false" outlineLevel="0" collapsed="false">
      <c r="A1989" s="5" t="n">
        <v>4</v>
      </c>
      <c r="B1989" s="5" t="n">
        <v>1</v>
      </c>
      <c r="C1989" s="5" t="s">
        <v>719</v>
      </c>
      <c r="D1989" s="5" t="s">
        <v>1038</v>
      </c>
      <c r="E1989" s="5" t="n">
        <v>2</v>
      </c>
      <c r="F1989" s="6" t="n">
        <f aca="false">IFERROR(MATCH(A1989&amp;"|"&amp;B1989&amp;"|"&amp;D1989,'All Song Rankings'!$T:$T,0),0)</f>
        <v>317</v>
      </c>
      <c r="G1989" s="6" t="str">
        <f aca="false">IF(F1989=0,"NOT FOUND",INDEX('All Song Rankings'!$A:$A,F1989))</f>
        <v>Holy Water</v>
      </c>
      <c r="H1989" s="6" t="str">
        <f aca="false">IF(F1989=0,"NOT FOUND",INDEX('All Song Rankings'!$B:$B,F1989))</f>
        <v>Marshmello, Jelly Roll</v>
      </c>
      <c r="I1989" s="6" t="str">
        <f aca="false">IF(F1989=0,"NOT FOUND",INDEX('All Song Rankings'!$D:$D,F1989))</f>
        <v>Leah</v>
      </c>
      <c r="J1989" s="7" t="str">
        <f aca="false">IF(F1989=0,"NOT FOUND",IF(C1989=I1989,"SELF-VOTE",IF(COUNTIF($K:$K,K1989)&gt;1,"DUPLICATE","OK")))</f>
        <v>OK</v>
      </c>
      <c r="K1989" s="6" t="str">
        <f aca="false">A1989&amp;"|"&amp;B1989&amp;"|"&amp;C1989&amp;"|"&amp;D1989</f>
        <v>4|1|Christine|spotify:track:5Xnkr4b6swk6BA5IinCIlU</v>
      </c>
    </row>
    <row r="1990" customFormat="false" ht="15" hidden="false" customHeight="false" outlineLevel="0" collapsed="false">
      <c r="A1990" s="5" t="n">
        <v>4</v>
      </c>
      <c r="B1990" s="5" t="n">
        <v>1</v>
      </c>
      <c r="C1990" s="5" t="s">
        <v>719</v>
      </c>
      <c r="D1990" s="5" t="s">
        <v>1027</v>
      </c>
      <c r="E1990" s="5" t="n">
        <v>2</v>
      </c>
      <c r="F1990" s="6" t="n">
        <f aca="false">IFERROR(MATCH(A1990&amp;"|"&amp;B1990&amp;"|"&amp;D1990,'All Song Rankings'!$T:$T,0),0)</f>
        <v>313</v>
      </c>
      <c r="G1990" s="6" t="str">
        <f aca="false">IF(F1990=0,"NOT FOUND",INDEX('All Song Rankings'!$A:$A,F1990))</f>
        <v>Losing Myself</v>
      </c>
      <c r="H1990" s="6" t="str">
        <f aca="false">IF(F1990=0,"NOT FOUND",INDEX('All Song Rankings'!$B:$B,F1990))</f>
        <v>State Champs</v>
      </c>
      <c r="I1990" s="6" t="str">
        <f aca="false">IF(F1990=0,"NOT FOUND",INDEX('All Song Rankings'!$D:$D,F1990))</f>
        <v>Nicole</v>
      </c>
      <c r="J1990" s="7" t="str">
        <f aca="false">IF(F1990=0,"NOT FOUND",IF(C1990=I1990,"SELF-VOTE",IF(COUNTIF($K:$K,K1990)&gt;1,"DUPLICATE","OK")))</f>
        <v>OK</v>
      </c>
      <c r="K1990" s="6" t="str">
        <f aca="false">A1990&amp;"|"&amp;B1990&amp;"|"&amp;C1990&amp;"|"&amp;D1990</f>
        <v>4|1|Christine|spotify:track:74k5aYbmsRJqvuYY5p7in9</v>
      </c>
    </row>
    <row r="1991" customFormat="false" ht="15" hidden="false" customHeight="false" outlineLevel="0" collapsed="false">
      <c r="A1991" s="5" t="n">
        <v>4</v>
      </c>
      <c r="B1991" s="5" t="n">
        <v>1</v>
      </c>
      <c r="C1991" s="5" t="s">
        <v>637</v>
      </c>
      <c r="D1991" s="5" t="s">
        <v>1041</v>
      </c>
      <c r="E1991" s="5" t="n">
        <v>1</v>
      </c>
      <c r="F1991" s="6" t="n">
        <f aca="false">IFERROR(MATCH(A1991&amp;"|"&amp;B1991&amp;"|"&amp;D1991,'All Song Rankings'!$T:$T,0),0)</f>
        <v>318</v>
      </c>
      <c r="G1991" s="6" t="str">
        <f aca="false">IF(F1991=0,"NOT FOUND",INDEX('All Song Rankings'!$A:$A,F1991))</f>
        <v>The One I Love</v>
      </c>
      <c r="H1991" s="6" t="str">
        <f aca="false">IF(F1991=0,"NOT FOUND",INDEX('All Song Rankings'!$B:$B,F1991))</f>
        <v>David Gray</v>
      </c>
      <c r="I1991" s="6" t="str">
        <f aca="false">IF(F1991=0,"NOT FOUND",INDEX('All Song Rankings'!$D:$D,F1991))</f>
        <v>Lisa</v>
      </c>
      <c r="J1991" s="7" t="str">
        <f aca="false">IF(F1991=0,"NOT FOUND",IF(C1991=I1991,"SELF-VOTE",IF(COUNTIF($K:$K,K1991)&gt;1,"DUPLICATE","OK")))</f>
        <v>OK</v>
      </c>
      <c r="K1991" s="6" t="str">
        <f aca="false">A1991&amp;"|"&amp;B1991&amp;"|"&amp;C1991&amp;"|"&amp;D1991</f>
        <v>4|1|Colleen|spotify:track:0hOYPh5Y8huTrLKxvQyxAh</v>
      </c>
    </row>
    <row r="1992" customFormat="false" ht="15" hidden="false" customHeight="false" outlineLevel="0" collapsed="false">
      <c r="A1992" s="5" t="n">
        <v>4</v>
      </c>
      <c r="B1992" s="5" t="n">
        <v>1</v>
      </c>
      <c r="C1992" s="5" t="s">
        <v>637</v>
      </c>
      <c r="D1992" s="5" t="s">
        <v>1035</v>
      </c>
      <c r="E1992" s="5" t="n">
        <v>2</v>
      </c>
      <c r="F1992" s="6" t="n">
        <f aca="false">IFERROR(MATCH(A1992&amp;"|"&amp;B1992&amp;"|"&amp;D1992,'All Song Rankings'!$T:$T,0),0)</f>
        <v>316</v>
      </c>
      <c r="G1992" s="6" t="str">
        <f aca="false">IF(F1992=0,"NOT FOUND",INDEX('All Song Rankings'!$A:$A,F1992))</f>
        <v>Stateside + Zara Larsson</v>
      </c>
      <c r="H1992" s="6" t="str">
        <f aca="false">IF(F1992=0,"NOT FOUND",INDEX('All Song Rankings'!$B:$B,F1992))</f>
        <v>PinkPantheress, Zara Larsson</v>
      </c>
      <c r="I1992" s="6" t="str">
        <f aca="false">IF(F1992=0,"NOT FOUND",INDEX('All Song Rankings'!$D:$D,F1992))</f>
        <v>Stephanie</v>
      </c>
      <c r="J1992" s="7" t="str">
        <f aca="false">IF(F1992=0,"NOT FOUND",IF(C1992=I1992,"SELF-VOTE",IF(COUNTIF($K:$K,K1992)&gt;1,"DUPLICATE","OK")))</f>
        <v>OK</v>
      </c>
      <c r="K1992" s="6" t="str">
        <f aca="false">A1992&amp;"|"&amp;B1992&amp;"|"&amp;C1992&amp;"|"&amp;D1992</f>
        <v>4|1|Colleen|spotify:track:1DwscornXpj8fmOmYVlqZt</v>
      </c>
    </row>
    <row r="1993" customFormat="false" ht="15" hidden="false" customHeight="false" outlineLevel="0" collapsed="false">
      <c r="A1993" s="5" t="n">
        <v>4</v>
      </c>
      <c r="B1993" s="5" t="n">
        <v>1</v>
      </c>
      <c r="C1993" s="5" t="s">
        <v>637</v>
      </c>
      <c r="D1993" s="5" t="s">
        <v>1020</v>
      </c>
      <c r="E1993" s="5" t="n">
        <v>1</v>
      </c>
      <c r="F1993" s="6" t="n">
        <f aca="false">IFERROR(MATCH(A1993&amp;"|"&amp;B1993&amp;"|"&amp;D1993,'All Song Rankings'!$T:$T,0),0)</f>
        <v>310</v>
      </c>
      <c r="G1993" s="6" t="str">
        <f aca="false">IF(F1993=0,"NOT FOUND",INDEX('All Song Rankings'!$A:$A,F1993))</f>
        <v>Caviar</v>
      </c>
      <c r="H1993" s="6" t="str">
        <f aca="false">IF(F1993=0,"NOT FOUND",INDEX('All Song Rankings'!$B:$B,F1993))</f>
        <v>JayDon</v>
      </c>
      <c r="I1993" s="6" t="str">
        <f aca="false">IF(F1993=0,"NOT FOUND",INDEX('All Song Rankings'!$D:$D,F1993))</f>
        <v>Merita</v>
      </c>
      <c r="J1993" s="7" t="str">
        <f aca="false">IF(F1993=0,"NOT FOUND",IF(C1993=I1993,"SELF-VOTE",IF(COUNTIF($K:$K,K1993)&gt;1,"DUPLICATE","OK")))</f>
        <v>OK</v>
      </c>
      <c r="K1993" s="6" t="str">
        <f aca="false">A1993&amp;"|"&amp;B1993&amp;"|"&amp;C1993&amp;"|"&amp;D1993</f>
        <v>4|1|Colleen|spotify:track:1RKq0J03X61Mxsm4fXFTTe</v>
      </c>
    </row>
    <row r="1994" customFormat="false" ht="15" hidden="false" customHeight="false" outlineLevel="0" collapsed="false">
      <c r="A1994" s="5" t="n">
        <v>4</v>
      </c>
      <c r="B1994" s="5" t="n">
        <v>1</v>
      </c>
      <c r="C1994" s="5" t="s">
        <v>637</v>
      </c>
      <c r="D1994" s="5" t="s">
        <v>1029</v>
      </c>
      <c r="E1994" s="5" t="n">
        <v>1</v>
      </c>
      <c r="F1994" s="6" t="n">
        <f aca="false">IFERROR(MATCH(A1994&amp;"|"&amp;B1994&amp;"|"&amp;D1994,'All Song Rankings'!$T:$T,0),0)</f>
        <v>314</v>
      </c>
      <c r="G1994" s="6" t="str">
        <f aca="false">IF(F1994=0,"NOT FOUND",INDEX('All Song Rankings'!$A:$A,F1994))</f>
        <v>Waterloo</v>
      </c>
      <c r="H1994" s="6" t="str">
        <f aca="false">IF(F1994=0,"NOT FOUND",INDEX('All Song Rankings'!$B:$B,F1994))</f>
        <v>ABBA</v>
      </c>
      <c r="I1994" s="6" t="str">
        <f aca="false">IF(F1994=0,"NOT FOUND",INDEX('All Song Rankings'!$D:$D,F1994))</f>
        <v>Kelsey</v>
      </c>
      <c r="J1994" s="7" t="str">
        <f aca="false">IF(F1994=0,"NOT FOUND",IF(C1994=I1994,"SELF-VOTE",IF(COUNTIF($K:$K,K1994)&gt;1,"DUPLICATE","OK")))</f>
        <v>OK</v>
      </c>
      <c r="K1994" s="6" t="str">
        <f aca="false">A1994&amp;"|"&amp;B1994&amp;"|"&amp;C1994&amp;"|"&amp;D1994</f>
        <v>4|1|Colleen|spotify:track:3Dy4REq8O09IlgiwuHQ3sk</v>
      </c>
    </row>
    <row r="1995" customFormat="false" ht="15" hidden="false" customHeight="false" outlineLevel="0" collapsed="false">
      <c r="A1995" s="5" t="n">
        <v>4</v>
      </c>
      <c r="B1995" s="5" t="n">
        <v>1</v>
      </c>
      <c r="C1995" s="5" t="s">
        <v>637</v>
      </c>
      <c r="D1995" s="5" t="s">
        <v>1022</v>
      </c>
      <c r="E1995" s="5" t="n">
        <v>1</v>
      </c>
      <c r="F1995" s="6" t="n">
        <f aca="false">IFERROR(MATCH(A1995&amp;"|"&amp;B1995&amp;"|"&amp;D1995,'All Song Rankings'!$T:$T,0),0)</f>
        <v>311</v>
      </c>
      <c r="G1995" s="6" t="str">
        <f aca="false">IF(F1995=0,"NOT FOUND",INDEX('All Song Rankings'!$A:$A,F1995))</f>
        <v>Teeth</v>
      </c>
      <c r="H1995" s="6" t="str">
        <f aca="false">IF(F1995=0,"NOT FOUND",INDEX('All Song Rankings'!$B:$B,F1995))</f>
        <v>5 Seconds of Summer</v>
      </c>
      <c r="I1995" s="6" t="str">
        <f aca="false">IF(F1995=0,"NOT FOUND",INDEX('All Song Rankings'!$D:$D,F1995))</f>
        <v>Makenzie</v>
      </c>
      <c r="J1995" s="7" t="str">
        <f aca="false">IF(F1995=0,"NOT FOUND",IF(C1995=I1995,"SELF-VOTE",IF(COUNTIF($K:$K,K1995)&gt;1,"DUPLICATE","OK")))</f>
        <v>OK</v>
      </c>
      <c r="K1995" s="6" t="str">
        <f aca="false">A1995&amp;"|"&amp;B1995&amp;"|"&amp;C1995&amp;"|"&amp;D1995</f>
        <v>4|1|Colleen|spotify:track:3NxWJWftvkstyxvb1pZlFo</v>
      </c>
    </row>
    <row r="1996" customFormat="false" ht="15" hidden="false" customHeight="false" outlineLevel="0" collapsed="false">
      <c r="A1996" s="5" t="n">
        <v>4</v>
      </c>
      <c r="B1996" s="5" t="n">
        <v>1</v>
      </c>
      <c r="C1996" s="5" t="s">
        <v>637</v>
      </c>
      <c r="D1996" s="5" t="s">
        <v>1032</v>
      </c>
      <c r="E1996" s="5" t="n">
        <v>1</v>
      </c>
      <c r="F1996" s="6" t="n">
        <f aca="false">IFERROR(MATCH(A1996&amp;"|"&amp;B1996&amp;"|"&amp;D1996,'All Song Rankings'!$T:$T,0),0)</f>
        <v>315</v>
      </c>
      <c r="G1996" s="6" t="str">
        <f aca="false">IF(F1996=0,"NOT FOUND",INDEX('All Song Rankings'!$A:$A,F1996))</f>
        <v>Higher (feat. Alex Newell)</v>
      </c>
      <c r="H1996" s="6" t="str">
        <f aca="false">IF(F1996=0,"NOT FOUND",INDEX('All Song Rankings'!$B:$B,F1996))</f>
        <v>VINCINT, Alex Newell, Princess Precious</v>
      </c>
      <c r="I1996" s="6" t="str">
        <f aca="false">IF(F1996=0,"NOT FOUND",INDEX('All Song Rankings'!$D:$D,F1996))</f>
        <v>Logan</v>
      </c>
      <c r="J1996" s="7" t="str">
        <f aca="false">IF(F1996=0,"NOT FOUND",IF(C1996=I1996,"SELF-VOTE",IF(COUNTIF($K:$K,K1996)&gt;1,"DUPLICATE","OK")))</f>
        <v>OK</v>
      </c>
      <c r="K1996" s="6" t="str">
        <f aca="false">A1996&amp;"|"&amp;B1996&amp;"|"&amp;C1996&amp;"|"&amp;D1996</f>
        <v>4|1|Colleen|spotify:track:3x0oc9CVW5RwLx4EHW6JZk</v>
      </c>
    </row>
    <row r="1997" customFormat="false" ht="15" hidden="false" customHeight="false" outlineLevel="0" collapsed="false">
      <c r="A1997" s="5" t="n">
        <v>4</v>
      </c>
      <c r="B1997" s="5" t="n">
        <v>1</v>
      </c>
      <c r="C1997" s="5" t="s">
        <v>637</v>
      </c>
      <c r="D1997" s="5" t="s">
        <v>1038</v>
      </c>
      <c r="E1997" s="5" t="n">
        <v>1</v>
      </c>
      <c r="F1997" s="6" t="n">
        <f aca="false">IFERROR(MATCH(A1997&amp;"|"&amp;B1997&amp;"|"&amp;D1997,'All Song Rankings'!$T:$T,0),0)</f>
        <v>317</v>
      </c>
      <c r="G1997" s="6" t="str">
        <f aca="false">IF(F1997=0,"NOT FOUND",INDEX('All Song Rankings'!$A:$A,F1997))</f>
        <v>Holy Water</v>
      </c>
      <c r="H1997" s="6" t="str">
        <f aca="false">IF(F1997=0,"NOT FOUND",INDEX('All Song Rankings'!$B:$B,F1997))</f>
        <v>Marshmello, Jelly Roll</v>
      </c>
      <c r="I1997" s="6" t="str">
        <f aca="false">IF(F1997=0,"NOT FOUND",INDEX('All Song Rankings'!$D:$D,F1997))</f>
        <v>Leah</v>
      </c>
      <c r="J1997" s="7" t="str">
        <f aca="false">IF(F1997=0,"NOT FOUND",IF(C1997=I1997,"SELF-VOTE",IF(COUNTIF($K:$K,K1997)&gt;1,"DUPLICATE","OK")))</f>
        <v>OK</v>
      </c>
      <c r="K1997" s="6" t="str">
        <f aca="false">A1997&amp;"|"&amp;B1997&amp;"|"&amp;C1997&amp;"|"&amp;D1997</f>
        <v>4|1|Colleen|spotify:track:5Xnkr4b6swk6BA5IinCIlU</v>
      </c>
    </row>
    <row r="1998" customFormat="false" ht="15" hidden="false" customHeight="false" outlineLevel="0" collapsed="false">
      <c r="A1998" s="5" t="n">
        <v>4</v>
      </c>
      <c r="B1998" s="5" t="n">
        <v>1</v>
      </c>
      <c r="C1998" s="5" t="s">
        <v>637</v>
      </c>
      <c r="D1998" s="5" t="s">
        <v>1027</v>
      </c>
      <c r="E1998" s="5" t="n">
        <v>2</v>
      </c>
      <c r="F1998" s="6" t="n">
        <f aca="false">IFERROR(MATCH(A1998&amp;"|"&amp;B1998&amp;"|"&amp;D1998,'All Song Rankings'!$T:$T,0),0)</f>
        <v>313</v>
      </c>
      <c r="G1998" s="6" t="str">
        <f aca="false">IF(F1998=0,"NOT FOUND",INDEX('All Song Rankings'!$A:$A,F1998))</f>
        <v>Losing Myself</v>
      </c>
      <c r="H1998" s="6" t="str">
        <f aca="false">IF(F1998=0,"NOT FOUND",INDEX('All Song Rankings'!$B:$B,F1998))</f>
        <v>State Champs</v>
      </c>
      <c r="I1998" s="6" t="str">
        <f aca="false">IF(F1998=0,"NOT FOUND",INDEX('All Song Rankings'!$D:$D,F1998))</f>
        <v>Nicole</v>
      </c>
      <c r="J1998" s="7" t="str">
        <f aca="false">IF(F1998=0,"NOT FOUND",IF(C1998=I1998,"SELF-VOTE",IF(COUNTIF($K:$K,K1998)&gt;1,"DUPLICATE","OK")))</f>
        <v>OK</v>
      </c>
      <c r="K1998" s="6" t="str">
        <f aca="false">A1998&amp;"|"&amp;B1998&amp;"|"&amp;C1998&amp;"|"&amp;D1998</f>
        <v>4|1|Colleen|spotify:track:74k5aYbmsRJqvuYY5p7in9</v>
      </c>
    </row>
    <row r="1999" customFormat="false" ht="15" hidden="false" customHeight="false" outlineLevel="0" collapsed="false">
      <c r="A1999" s="5" t="n">
        <v>4</v>
      </c>
      <c r="B1999" s="5" t="n">
        <v>1</v>
      </c>
      <c r="C1999" s="5" t="s">
        <v>85</v>
      </c>
      <c r="D1999" s="5" t="s">
        <v>1041</v>
      </c>
      <c r="E1999" s="5" t="n">
        <v>1</v>
      </c>
      <c r="F1999" s="6" t="n">
        <f aca="false">IFERROR(MATCH(A1999&amp;"|"&amp;B1999&amp;"|"&amp;D1999,'All Song Rankings'!$T:$T,0),0)</f>
        <v>318</v>
      </c>
      <c r="G1999" s="6" t="str">
        <f aca="false">IF(F1999=0,"NOT FOUND",INDEX('All Song Rankings'!$A:$A,F1999))</f>
        <v>The One I Love</v>
      </c>
      <c r="H1999" s="6" t="str">
        <f aca="false">IF(F1999=0,"NOT FOUND",INDEX('All Song Rankings'!$B:$B,F1999))</f>
        <v>David Gray</v>
      </c>
      <c r="I1999" s="6" t="str">
        <f aca="false">IF(F1999=0,"NOT FOUND",INDEX('All Song Rankings'!$D:$D,F1999))</f>
        <v>Lisa</v>
      </c>
      <c r="J1999" s="7" t="str">
        <f aca="false">IF(F1999=0,"NOT FOUND",IF(C1999=I1999,"SELF-VOTE",IF(COUNTIF($K:$K,K1999)&gt;1,"DUPLICATE","OK")))</f>
        <v>OK</v>
      </c>
      <c r="K1999" s="6" t="str">
        <f aca="false">A1999&amp;"|"&amp;B1999&amp;"|"&amp;C1999&amp;"|"&amp;D1999</f>
        <v>4|1|Kelsey|spotify:track:0hOYPh5Y8huTrLKxvQyxAh</v>
      </c>
    </row>
    <row r="2000" customFormat="false" ht="15" hidden="false" customHeight="false" outlineLevel="0" collapsed="false">
      <c r="A2000" s="5" t="n">
        <v>4</v>
      </c>
      <c r="B2000" s="5" t="n">
        <v>1</v>
      </c>
      <c r="C2000" s="5" t="s">
        <v>85</v>
      </c>
      <c r="D2000" s="5" t="s">
        <v>1035</v>
      </c>
      <c r="E2000" s="5" t="n">
        <v>1</v>
      </c>
      <c r="F2000" s="6" t="n">
        <f aca="false">IFERROR(MATCH(A2000&amp;"|"&amp;B2000&amp;"|"&amp;D2000,'All Song Rankings'!$T:$T,0),0)</f>
        <v>316</v>
      </c>
      <c r="G2000" s="6" t="str">
        <f aca="false">IF(F2000=0,"NOT FOUND",INDEX('All Song Rankings'!$A:$A,F2000))</f>
        <v>Stateside + Zara Larsson</v>
      </c>
      <c r="H2000" s="6" t="str">
        <f aca="false">IF(F2000=0,"NOT FOUND",INDEX('All Song Rankings'!$B:$B,F2000))</f>
        <v>PinkPantheress, Zara Larsson</v>
      </c>
      <c r="I2000" s="6" t="str">
        <f aca="false">IF(F2000=0,"NOT FOUND",INDEX('All Song Rankings'!$D:$D,F2000))</f>
        <v>Stephanie</v>
      </c>
      <c r="J2000" s="7" t="str">
        <f aca="false">IF(F2000=0,"NOT FOUND",IF(C2000=I2000,"SELF-VOTE",IF(COUNTIF($K:$K,K2000)&gt;1,"DUPLICATE","OK")))</f>
        <v>OK</v>
      </c>
      <c r="K2000" s="6" t="str">
        <f aca="false">A2000&amp;"|"&amp;B2000&amp;"|"&amp;C2000&amp;"|"&amp;D2000</f>
        <v>4|1|Kelsey|spotify:track:1DwscornXpj8fmOmYVlqZt</v>
      </c>
    </row>
    <row r="2001" customFormat="false" ht="15" hidden="false" customHeight="false" outlineLevel="0" collapsed="false">
      <c r="A2001" s="5" t="n">
        <v>4</v>
      </c>
      <c r="B2001" s="5" t="n">
        <v>1</v>
      </c>
      <c r="C2001" s="5" t="s">
        <v>85</v>
      </c>
      <c r="D2001" s="5" t="s">
        <v>1020</v>
      </c>
      <c r="E2001" s="5" t="n">
        <v>1</v>
      </c>
      <c r="F2001" s="6" t="n">
        <f aca="false">IFERROR(MATCH(A2001&amp;"|"&amp;B2001&amp;"|"&amp;D2001,'All Song Rankings'!$T:$T,0),0)</f>
        <v>310</v>
      </c>
      <c r="G2001" s="6" t="str">
        <f aca="false">IF(F2001=0,"NOT FOUND",INDEX('All Song Rankings'!$A:$A,F2001))</f>
        <v>Caviar</v>
      </c>
      <c r="H2001" s="6" t="str">
        <f aca="false">IF(F2001=0,"NOT FOUND",INDEX('All Song Rankings'!$B:$B,F2001))</f>
        <v>JayDon</v>
      </c>
      <c r="I2001" s="6" t="str">
        <f aca="false">IF(F2001=0,"NOT FOUND",INDEX('All Song Rankings'!$D:$D,F2001))</f>
        <v>Merita</v>
      </c>
      <c r="J2001" s="7" t="str">
        <f aca="false">IF(F2001=0,"NOT FOUND",IF(C2001=I2001,"SELF-VOTE",IF(COUNTIF($K:$K,K2001)&gt;1,"DUPLICATE","OK")))</f>
        <v>OK</v>
      </c>
      <c r="K2001" s="6" t="str">
        <f aca="false">A2001&amp;"|"&amp;B2001&amp;"|"&amp;C2001&amp;"|"&amp;D2001</f>
        <v>4|1|Kelsey|spotify:track:1RKq0J03X61Mxsm4fXFTTe</v>
      </c>
    </row>
    <row r="2002" customFormat="false" ht="15" hidden="false" customHeight="false" outlineLevel="0" collapsed="false">
      <c r="A2002" s="5" t="n">
        <v>4</v>
      </c>
      <c r="B2002" s="5" t="n">
        <v>1</v>
      </c>
      <c r="C2002" s="5" t="s">
        <v>85</v>
      </c>
      <c r="D2002" s="5" t="s">
        <v>1022</v>
      </c>
      <c r="E2002" s="5" t="n">
        <v>1</v>
      </c>
      <c r="F2002" s="6" t="n">
        <f aca="false">IFERROR(MATCH(A2002&amp;"|"&amp;B2002&amp;"|"&amp;D2002,'All Song Rankings'!$T:$T,0),0)</f>
        <v>311</v>
      </c>
      <c r="G2002" s="6" t="str">
        <f aca="false">IF(F2002=0,"NOT FOUND",INDEX('All Song Rankings'!$A:$A,F2002))</f>
        <v>Teeth</v>
      </c>
      <c r="H2002" s="6" t="str">
        <f aca="false">IF(F2002=0,"NOT FOUND",INDEX('All Song Rankings'!$B:$B,F2002))</f>
        <v>5 Seconds of Summer</v>
      </c>
      <c r="I2002" s="6" t="str">
        <f aca="false">IF(F2002=0,"NOT FOUND",INDEX('All Song Rankings'!$D:$D,F2002))</f>
        <v>Makenzie</v>
      </c>
      <c r="J2002" s="7" t="str">
        <f aca="false">IF(F2002=0,"NOT FOUND",IF(C2002=I2002,"SELF-VOTE",IF(COUNTIF($K:$K,K2002)&gt;1,"DUPLICATE","OK")))</f>
        <v>OK</v>
      </c>
      <c r="K2002" s="6" t="str">
        <f aca="false">A2002&amp;"|"&amp;B2002&amp;"|"&amp;C2002&amp;"|"&amp;D2002</f>
        <v>4|1|Kelsey|spotify:track:3NxWJWftvkstyxvb1pZlFo</v>
      </c>
    </row>
    <row r="2003" customFormat="false" ht="15" hidden="false" customHeight="false" outlineLevel="0" collapsed="false">
      <c r="A2003" s="5" t="n">
        <v>4</v>
      </c>
      <c r="B2003" s="5" t="n">
        <v>1</v>
      </c>
      <c r="C2003" s="5" t="s">
        <v>85</v>
      </c>
      <c r="D2003" s="5" t="s">
        <v>1032</v>
      </c>
      <c r="E2003" s="5" t="n">
        <v>2</v>
      </c>
      <c r="F2003" s="6" t="n">
        <f aca="false">IFERROR(MATCH(A2003&amp;"|"&amp;B2003&amp;"|"&amp;D2003,'All Song Rankings'!$T:$T,0),0)</f>
        <v>315</v>
      </c>
      <c r="G2003" s="6" t="str">
        <f aca="false">IF(F2003=0,"NOT FOUND",INDEX('All Song Rankings'!$A:$A,F2003))</f>
        <v>Higher (feat. Alex Newell)</v>
      </c>
      <c r="H2003" s="6" t="str">
        <f aca="false">IF(F2003=0,"NOT FOUND",INDEX('All Song Rankings'!$B:$B,F2003))</f>
        <v>VINCINT, Alex Newell, Princess Precious</v>
      </c>
      <c r="I2003" s="6" t="str">
        <f aca="false">IF(F2003=0,"NOT FOUND",INDEX('All Song Rankings'!$D:$D,F2003))</f>
        <v>Logan</v>
      </c>
      <c r="J2003" s="7" t="str">
        <f aca="false">IF(F2003=0,"NOT FOUND",IF(C2003=I2003,"SELF-VOTE",IF(COUNTIF($K:$K,K2003)&gt;1,"DUPLICATE","OK")))</f>
        <v>OK</v>
      </c>
      <c r="K2003" s="6" t="str">
        <f aca="false">A2003&amp;"|"&amp;B2003&amp;"|"&amp;C2003&amp;"|"&amp;D2003</f>
        <v>4|1|Kelsey|spotify:track:3x0oc9CVW5RwLx4EHW6JZk</v>
      </c>
    </row>
    <row r="2004" customFormat="false" ht="15" hidden="false" customHeight="false" outlineLevel="0" collapsed="false">
      <c r="A2004" s="5" t="n">
        <v>4</v>
      </c>
      <c r="B2004" s="5" t="n">
        <v>1</v>
      </c>
      <c r="C2004" s="5" t="s">
        <v>85</v>
      </c>
      <c r="D2004" s="5" t="s">
        <v>1027</v>
      </c>
      <c r="E2004" s="5" t="n">
        <v>1</v>
      </c>
      <c r="F2004" s="6" t="n">
        <f aca="false">IFERROR(MATCH(A2004&amp;"|"&amp;B2004&amp;"|"&amp;D2004,'All Song Rankings'!$T:$T,0),0)</f>
        <v>313</v>
      </c>
      <c r="G2004" s="6" t="str">
        <f aca="false">IF(F2004=0,"NOT FOUND",INDEX('All Song Rankings'!$A:$A,F2004))</f>
        <v>Losing Myself</v>
      </c>
      <c r="H2004" s="6" t="str">
        <f aca="false">IF(F2004=0,"NOT FOUND",INDEX('All Song Rankings'!$B:$B,F2004))</f>
        <v>State Champs</v>
      </c>
      <c r="I2004" s="6" t="str">
        <f aca="false">IF(F2004=0,"NOT FOUND",INDEX('All Song Rankings'!$D:$D,F2004))</f>
        <v>Nicole</v>
      </c>
      <c r="J2004" s="7" t="str">
        <f aca="false">IF(F2004=0,"NOT FOUND",IF(C2004=I2004,"SELF-VOTE",IF(COUNTIF($K:$K,K2004)&gt;1,"DUPLICATE","OK")))</f>
        <v>OK</v>
      </c>
      <c r="K2004" s="6" t="str">
        <f aca="false">A2004&amp;"|"&amp;B2004&amp;"|"&amp;C2004&amp;"|"&amp;D2004</f>
        <v>4|1|Kelsey|spotify:track:74k5aYbmsRJqvuYY5p7in9</v>
      </c>
    </row>
    <row r="2005" customFormat="false" ht="15" hidden="false" customHeight="false" outlineLevel="0" collapsed="false">
      <c r="A2005" s="5" t="n">
        <v>4</v>
      </c>
      <c r="B2005" s="5" t="n">
        <v>1</v>
      </c>
      <c r="C2005" s="5" t="s">
        <v>85</v>
      </c>
      <c r="D2005" s="5" t="s">
        <v>1024</v>
      </c>
      <c r="E2005" s="5" t="n">
        <v>3</v>
      </c>
      <c r="F2005" s="6" t="n">
        <f aca="false">IFERROR(MATCH(A2005&amp;"|"&amp;B2005&amp;"|"&amp;D2005,'All Song Rankings'!$T:$T,0),0)</f>
        <v>312</v>
      </c>
      <c r="G2005" s="6" t="str">
        <f aca="false">IF(F2005=0,"NOT FOUND",INDEX('All Song Rankings'!$A:$A,F2005))</f>
        <v>FEVER DREAM</v>
      </c>
      <c r="H2005" s="6" t="str">
        <f aca="false">IF(F2005=0,"NOT FOUND",INDEX('All Song Rankings'!$B:$B,F2005))</f>
        <v>Alex Warren</v>
      </c>
      <c r="I2005" s="6" t="str">
        <f aca="false">IF(F2005=0,"NOT FOUND",INDEX('All Song Rankings'!$D:$D,F2005))</f>
        <v>Colleen</v>
      </c>
      <c r="J2005" s="7" t="str">
        <f aca="false">IF(F2005=0,"NOT FOUND",IF(C2005=I2005,"SELF-VOTE",IF(COUNTIF($K:$K,K2005)&gt;1,"DUPLICATE","OK")))</f>
        <v>OK</v>
      </c>
      <c r="K2005" s="6" t="str">
        <f aca="false">A2005&amp;"|"&amp;B2005&amp;"|"&amp;C2005&amp;"|"&amp;D2005</f>
        <v>4|1|Kelsey|spotify:track:7ogpGbKc4Io6NCU6ydxXwZ</v>
      </c>
    </row>
    <row r="2006" customFormat="false" ht="15" hidden="false" customHeight="false" outlineLevel="0" collapsed="false">
      <c r="A2006" s="5" t="n">
        <v>4</v>
      </c>
      <c r="B2006" s="5" t="n">
        <v>1</v>
      </c>
      <c r="C2006" s="5" t="s">
        <v>106</v>
      </c>
      <c r="D2006" s="5" t="s">
        <v>1041</v>
      </c>
      <c r="E2006" s="5" t="n">
        <v>2</v>
      </c>
      <c r="F2006" s="6" t="n">
        <f aca="false">IFERROR(MATCH(A2006&amp;"|"&amp;B2006&amp;"|"&amp;D2006,'All Song Rankings'!$T:$T,0),0)</f>
        <v>318</v>
      </c>
      <c r="G2006" s="6" t="str">
        <f aca="false">IF(F2006=0,"NOT FOUND",INDEX('All Song Rankings'!$A:$A,F2006))</f>
        <v>The One I Love</v>
      </c>
      <c r="H2006" s="6" t="str">
        <f aca="false">IF(F2006=0,"NOT FOUND",INDEX('All Song Rankings'!$B:$B,F2006))</f>
        <v>David Gray</v>
      </c>
      <c r="I2006" s="6" t="str">
        <f aca="false">IF(F2006=0,"NOT FOUND",INDEX('All Song Rankings'!$D:$D,F2006))</f>
        <v>Lisa</v>
      </c>
      <c r="J2006" s="7" t="str">
        <f aca="false">IF(F2006=0,"NOT FOUND",IF(C2006=I2006,"SELF-VOTE",IF(COUNTIF($K:$K,K2006)&gt;1,"DUPLICATE","OK")))</f>
        <v>OK</v>
      </c>
      <c r="K2006" s="6" t="str">
        <f aca="false">A2006&amp;"|"&amp;B2006&amp;"|"&amp;C2006&amp;"|"&amp;D2006</f>
        <v>4|1|Kristen|spotify:track:0hOYPh5Y8huTrLKxvQyxAh</v>
      </c>
    </row>
    <row r="2007" customFormat="false" ht="15" hidden="false" customHeight="false" outlineLevel="0" collapsed="false">
      <c r="A2007" s="5" t="n">
        <v>4</v>
      </c>
      <c r="B2007" s="5" t="n">
        <v>1</v>
      </c>
      <c r="C2007" s="5" t="s">
        <v>106</v>
      </c>
      <c r="D2007" s="5" t="s">
        <v>1020</v>
      </c>
      <c r="E2007" s="5" t="n">
        <v>2</v>
      </c>
      <c r="F2007" s="6" t="n">
        <f aca="false">IFERROR(MATCH(A2007&amp;"|"&amp;B2007&amp;"|"&amp;D2007,'All Song Rankings'!$T:$T,0),0)</f>
        <v>310</v>
      </c>
      <c r="G2007" s="6" t="str">
        <f aca="false">IF(F2007=0,"NOT FOUND",INDEX('All Song Rankings'!$A:$A,F2007))</f>
        <v>Caviar</v>
      </c>
      <c r="H2007" s="6" t="str">
        <f aca="false">IF(F2007=0,"NOT FOUND",INDEX('All Song Rankings'!$B:$B,F2007))</f>
        <v>JayDon</v>
      </c>
      <c r="I2007" s="6" t="str">
        <f aca="false">IF(F2007=0,"NOT FOUND",INDEX('All Song Rankings'!$D:$D,F2007))</f>
        <v>Merita</v>
      </c>
      <c r="J2007" s="7" t="str">
        <f aca="false">IF(F2007=0,"NOT FOUND",IF(C2007=I2007,"SELF-VOTE",IF(COUNTIF($K:$K,K2007)&gt;1,"DUPLICATE","OK")))</f>
        <v>OK</v>
      </c>
      <c r="K2007" s="6" t="str">
        <f aca="false">A2007&amp;"|"&amp;B2007&amp;"|"&amp;C2007&amp;"|"&amp;D2007</f>
        <v>4|1|Kristen|spotify:track:1RKq0J03X61Mxsm4fXFTTe</v>
      </c>
    </row>
    <row r="2008" customFormat="false" ht="15" hidden="false" customHeight="false" outlineLevel="0" collapsed="false">
      <c r="A2008" s="5" t="n">
        <v>4</v>
      </c>
      <c r="B2008" s="5" t="n">
        <v>1</v>
      </c>
      <c r="C2008" s="5" t="s">
        <v>106</v>
      </c>
      <c r="D2008" s="5" t="s">
        <v>1022</v>
      </c>
      <c r="E2008" s="5" t="n">
        <v>1</v>
      </c>
      <c r="F2008" s="6" t="n">
        <f aca="false">IFERROR(MATCH(A2008&amp;"|"&amp;B2008&amp;"|"&amp;D2008,'All Song Rankings'!$T:$T,0),0)</f>
        <v>311</v>
      </c>
      <c r="G2008" s="6" t="str">
        <f aca="false">IF(F2008=0,"NOT FOUND",INDEX('All Song Rankings'!$A:$A,F2008))</f>
        <v>Teeth</v>
      </c>
      <c r="H2008" s="6" t="str">
        <f aca="false">IF(F2008=0,"NOT FOUND",INDEX('All Song Rankings'!$B:$B,F2008))</f>
        <v>5 Seconds of Summer</v>
      </c>
      <c r="I2008" s="6" t="str">
        <f aca="false">IF(F2008=0,"NOT FOUND",INDEX('All Song Rankings'!$D:$D,F2008))</f>
        <v>Makenzie</v>
      </c>
      <c r="J2008" s="7" t="str">
        <f aca="false">IF(F2008=0,"NOT FOUND",IF(C2008=I2008,"SELF-VOTE",IF(COUNTIF($K:$K,K2008)&gt;1,"DUPLICATE","OK")))</f>
        <v>OK</v>
      </c>
      <c r="K2008" s="6" t="str">
        <f aca="false">A2008&amp;"|"&amp;B2008&amp;"|"&amp;C2008&amp;"|"&amp;D2008</f>
        <v>4|1|Kristen|spotify:track:3NxWJWftvkstyxvb1pZlFo</v>
      </c>
    </row>
    <row r="2009" customFormat="false" ht="15" hidden="false" customHeight="false" outlineLevel="0" collapsed="false">
      <c r="A2009" s="5" t="n">
        <v>4</v>
      </c>
      <c r="B2009" s="5" t="n">
        <v>1</v>
      </c>
      <c r="C2009" s="5" t="s">
        <v>106</v>
      </c>
      <c r="D2009" s="5" t="s">
        <v>1055</v>
      </c>
      <c r="E2009" s="5" t="n">
        <v>2</v>
      </c>
      <c r="F2009" s="6" t="n">
        <f aca="false">IFERROR(MATCH(A2009&amp;"|"&amp;B2009&amp;"|"&amp;D2009,'All Song Rankings'!$T:$T,0),0)</f>
        <v>323</v>
      </c>
      <c r="G2009" s="6" t="str">
        <f aca="false">IF(F2009=0,"NOT FOUND",INDEX('All Song Rankings'!$A:$A,F2009))</f>
        <v>Sunday (feat. Snoop Dogg)</v>
      </c>
      <c r="H2009" s="6" t="str">
        <f aca="false">IF(F2009=0,"NOT FOUND",INDEX('All Song Rankings'!$B:$B,F2009))</f>
        <v>Ben Rector, Snoop Dogg</v>
      </c>
      <c r="I2009" s="6" t="str">
        <f aca="false">IF(F2009=0,"NOT FOUND",INDEX('All Song Rankings'!$D:$D,F2009))</f>
        <v>Grace</v>
      </c>
      <c r="J2009" s="7" t="str">
        <f aca="false">IF(F2009=0,"NOT FOUND",IF(C2009=I2009,"SELF-VOTE",IF(COUNTIF($K:$K,K2009)&gt;1,"DUPLICATE","OK")))</f>
        <v>OK</v>
      </c>
      <c r="K2009" s="6" t="str">
        <f aca="false">A2009&amp;"|"&amp;B2009&amp;"|"&amp;C2009&amp;"|"&amp;D2009</f>
        <v>4|1|Kristen|spotify:track:4ztgjcOsR0HGsm1vkzh0Ky</v>
      </c>
    </row>
    <row r="2010" customFormat="false" ht="15" hidden="false" customHeight="false" outlineLevel="0" collapsed="false">
      <c r="A2010" s="5" t="n">
        <v>4</v>
      </c>
      <c r="B2010" s="5" t="n">
        <v>1</v>
      </c>
      <c r="C2010" s="5" t="s">
        <v>106</v>
      </c>
      <c r="D2010" s="5" t="s">
        <v>1044</v>
      </c>
      <c r="E2010" s="5" t="n">
        <v>1</v>
      </c>
      <c r="F2010" s="6" t="n">
        <f aca="false">IFERROR(MATCH(A2010&amp;"|"&amp;B2010&amp;"|"&amp;D2010,'All Song Rankings'!$T:$T,0),0)</f>
        <v>319</v>
      </c>
      <c r="G2010" s="6" t="str">
        <f aca="false">IF(F2010=0,"NOT FOUND",INDEX('All Song Rankings'!$A:$A,F2010))</f>
        <v>My Moon My Man</v>
      </c>
      <c r="H2010" s="6" t="str">
        <f aca="false">IF(F2010=0,"NOT FOUND",INDEX('All Song Rankings'!$B:$B,F2010))</f>
        <v>Feist</v>
      </c>
      <c r="I2010" s="6" t="str">
        <f aca="false">IF(F2010=0,"NOT FOUND",INDEX('All Song Rankings'!$D:$D,F2010))</f>
        <v>Matt</v>
      </c>
      <c r="J2010" s="7" t="str">
        <f aca="false">IF(F2010=0,"NOT FOUND",IF(C2010=I2010,"SELF-VOTE",IF(COUNTIF($K:$K,K2010)&gt;1,"DUPLICATE","OK")))</f>
        <v>OK</v>
      </c>
      <c r="K2010" s="6" t="str">
        <f aca="false">A2010&amp;"|"&amp;B2010&amp;"|"&amp;C2010&amp;"|"&amp;D2010</f>
        <v>4|1|Kristen|spotify:track:5FFQbvn7055P1DvgJDdCBP</v>
      </c>
    </row>
    <row r="2011" customFormat="false" ht="15" hidden="false" customHeight="false" outlineLevel="0" collapsed="false">
      <c r="A2011" s="5" t="n">
        <v>4</v>
      </c>
      <c r="B2011" s="5" t="n">
        <v>1</v>
      </c>
      <c r="C2011" s="5" t="s">
        <v>106</v>
      </c>
      <c r="D2011" s="5" t="s">
        <v>1038</v>
      </c>
      <c r="E2011" s="5" t="n">
        <v>2</v>
      </c>
      <c r="F2011" s="6" t="n">
        <f aca="false">IFERROR(MATCH(A2011&amp;"|"&amp;B2011&amp;"|"&amp;D2011,'All Song Rankings'!$T:$T,0),0)</f>
        <v>317</v>
      </c>
      <c r="G2011" s="6" t="str">
        <f aca="false">IF(F2011=0,"NOT FOUND",INDEX('All Song Rankings'!$A:$A,F2011))</f>
        <v>Holy Water</v>
      </c>
      <c r="H2011" s="6" t="str">
        <f aca="false">IF(F2011=0,"NOT FOUND",INDEX('All Song Rankings'!$B:$B,F2011))</f>
        <v>Marshmello, Jelly Roll</v>
      </c>
      <c r="I2011" s="6" t="str">
        <f aca="false">IF(F2011=0,"NOT FOUND",INDEX('All Song Rankings'!$D:$D,F2011))</f>
        <v>Leah</v>
      </c>
      <c r="J2011" s="7" t="str">
        <f aca="false">IF(F2011=0,"NOT FOUND",IF(C2011=I2011,"SELF-VOTE",IF(COUNTIF($K:$K,K2011)&gt;1,"DUPLICATE","OK")))</f>
        <v>OK</v>
      </c>
      <c r="K2011" s="6" t="str">
        <f aca="false">A2011&amp;"|"&amp;B2011&amp;"|"&amp;C2011&amp;"|"&amp;D2011</f>
        <v>4|1|Kristen|spotify:track:5Xnkr4b6swk6BA5IinCIlU</v>
      </c>
    </row>
    <row r="2012" customFormat="false" ht="15" hidden="false" customHeight="false" outlineLevel="0" collapsed="false">
      <c r="A2012" s="5" t="n">
        <v>4</v>
      </c>
      <c r="B2012" s="5" t="n">
        <v>1</v>
      </c>
      <c r="C2012" s="5" t="s">
        <v>119</v>
      </c>
      <c r="D2012" s="5" t="s">
        <v>1041</v>
      </c>
      <c r="E2012" s="5" t="n">
        <v>1</v>
      </c>
      <c r="F2012" s="6" t="n">
        <f aca="false">IFERROR(MATCH(A2012&amp;"|"&amp;B2012&amp;"|"&amp;D2012,'All Song Rankings'!$T:$T,0),0)</f>
        <v>318</v>
      </c>
      <c r="G2012" s="6" t="str">
        <f aca="false">IF(F2012=0,"NOT FOUND",INDEX('All Song Rankings'!$A:$A,F2012))</f>
        <v>The One I Love</v>
      </c>
      <c r="H2012" s="6" t="str">
        <f aca="false">IF(F2012=0,"NOT FOUND",INDEX('All Song Rankings'!$B:$B,F2012))</f>
        <v>David Gray</v>
      </c>
      <c r="I2012" s="6" t="str">
        <f aca="false">IF(F2012=0,"NOT FOUND",INDEX('All Song Rankings'!$D:$D,F2012))</f>
        <v>Lisa</v>
      </c>
      <c r="J2012" s="7" t="str">
        <f aca="false">IF(F2012=0,"NOT FOUND",IF(C2012=I2012,"SELF-VOTE",IF(COUNTIF($K:$K,K2012)&gt;1,"DUPLICATE","OK")))</f>
        <v>OK</v>
      </c>
      <c r="K2012" s="6" t="str">
        <f aca="false">A2012&amp;"|"&amp;B2012&amp;"|"&amp;C2012&amp;"|"&amp;D2012</f>
        <v>4|1|Leah|spotify:track:0hOYPh5Y8huTrLKxvQyxAh</v>
      </c>
    </row>
    <row r="2013" customFormat="false" ht="15" hidden="false" customHeight="false" outlineLevel="0" collapsed="false">
      <c r="A2013" s="5" t="n">
        <v>4</v>
      </c>
      <c r="B2013" s="5" t="n">
        <v>1</v>
      </c>
      <c r="C2013" s="5" t="s">
        <v>119</v>
      </c>
      <c r="D2013" s="5" t="s">
        <v>1020</v>
      </c>
      <c r="E2013" s="5" t="n">
        <v>3</v>
      </c>
      <c r="F2013" s="6" t="n">
        <f aca="false">IFERROR(MATCH(A2013&amp;"|"&amp;B2013&amp;"|"&amp;D2013,'All Song Rankings'!$T:$T,0),0)</f>
        <v>310</v>
      </c>
      <c r="G2013" s="6" t="str">
        <f aca="false">IF(F2013=0,"NOT FOUND",INDEX('All Song Rankings'!$A:$A,F2013))</f>
        <v>Caviar</v>
      </c>
      <c r="H2013" s="6" t="str">
        <f aca="false">IF(F2013=0,"NOT FOUND",INDEX('All Song Rankings'!$B:$B,F2013))</f>
        <v>JayDon</v>
      </c>
      <c r="I2013" s="6" t="str">
        <f aca="false">IF(F2013=0,"NOT FOUND",INDEX('All Song Rankings'!$D:$D,F2013))</f>
        <v>Merita</v>
      </c>
      <c r="J2013" s="7" t="str">
        <f aca="false">IF(F2013=0,"NOT FOUND",IF(C2013=I2013,"SELF-VOTE",IF(COUNTIF($K:$K,K2013)&gt;1,"DUPLICATE","OK")))</f>
        <v>OK</v>
      </c>
      <c r="K2013" s="6" t="str">
        <f aca="false">A2013&amp;"|"&amp;B2013&amp;"|"&amp;C2013&amp;"|"&amp;D2013</f>
        <v>4|1|Leah|spotify:track:1RKq0J03X61Mxsm4fXFTTe</v>
      </c>
    </row>
    <row r="2014" customFormat="false" ht="15" hidden="false" customHeight="false" outlineLevel="0" collapsed="false">
      <c r="A2014" s="5" t="n">
        <v>4</v>
      </c>
      <c r="B2014" s="5" t="n">
        <v>1</v>
      </c>
      <c r="C2014" s="5" t="s">
        <v>119</v>
      </c>
      <c r="D2014" s="5" t="s">
        <v>1022</v>
      </c>
      <c r="E2014" s="5" t="n">
        <v>1</v>
      </c>
      <c r="F2014" s="6" t="n">
        <f aca="false">IFERROR(MATCH(A2014&amp;"|"&amp;B2014&amp;"|"&amp;D2014,'All Song Rankings'!$T:$T,0),0)</f>
        <v>311</v>
      </c>
      <c r="G2014" s="6" t="str">
        <f aca="false">IF(F2014=0,"NOT FOUND",INDEX('All Song Rankings'!$A:$A,F2014))</f>
        <v>Teeth</v>
      </c>
      <c r="H2014" s="6" t="str">
        <f aca="false">IF(F2014=0,"NOT FOUND",INDEX('All Song Rankings'!$B:$B,F2014))</f>
        <v>5 Seconds of Summer</v>
      </c>
      <c r="I2014" s="6" t="str">
        <f aca="false">IF(F2014=0,"NOT FOUND",INDEX('All Song Rankings'!$D:$D,F2014))</f>
        <v>Makenzie</v>
      </c>
      <c r="J2014" s="7" t="str">
        <f aca="false">IF(F2014=0,"NOT FOUND",IF(C2014=I2014,"SELF-VOTE",IF(COUNTIF($K:$K,K2014)&gt;1,"DUPLICATE","OK")))</f>
        <v>OK</v>
      </c>
      <c r="K2014" s="6" t="str">
        <f aca="false">A2014&amp;"|"&amp;B2014&amp;"|"&amp;C2014&amp;"|"&amp;D2014</f>
        <v>4|1|Leah|spotify:track:3NxWJWftvkstyxvb1pZlFo</v>
      </c>
    </row>
    <row r="2015" customFormat="false" ht="15" hidden="false" customHeight="false" outlineLevel="0" collapsed="false">
      <c r="A2015" s="5" t="n">
        <v>4</v>
      </c>
      <c r="B2015" s="5" t="n">
        <v>1</v>
      </c>
      <c r="C2015" s="5" t="s">
        <v>119</v>
      </c>
      <c r="D2015" s="5" t="s">
        <v>1032</v>
      </c>
      <c r="E2015" s="5" t="n">
        <v>2</v>
      </c>
      <c r="F2015" s="6" t="n">
        <f aca="false">IFERROR(MATCH(A2015&amp;"|"&amp;B2015&amp;"|"&amp;D2015,'All Song Rankings'!$T:$T,0),0)</f>
        <v>315</v>
      </c>
      <c r="G2015" s="6" t="str">
        <f aca="false">IF(F2015=0,"NOT FOUND",INDEX('All Song Rankings'!$A:$A,F2015))</f>
        <v>Higher (feat. Alex Newell)</v>
      </c>
      <c r="H2015" s="6" t="str">
        <f aca="false">IF(F2015=0,"NOT FOUND",INDEX('All Song Rankings'!$B:$B,F2015))</f>
        <v>VINCINT, Alex Newell, Princess Precious</v>
      </c>
      <c r="I2015" s="6" t="str">
        <f aca="false">IF(F2015=0,"NOT FOUND",INDEX('All Song Rankings'!$D:$D,F2015))</f>
        <v>Logan</v>
      </c>
      <c r="J2015" s="7" t="str">
        <f aca="false">IF(F2015=0,"NOT FOUND",IF(C2015=I2015,"SELF-VOTE",IF(COUNTIF($K:$K,K2015)&gt;1,"DUPLICATE","OK")))</f>
        <v>OK</v>
      </c>
      <c r="K2015" s="6" t="str">
        <f aca="false">A2015&amp;"|"&amp;B2015&amp;"|"&amp;C2015&amp;"|"&amp;D2015</f>
        <v>4|1|Leah|spotify:track:3x0oc9CVW5RwLx4EHW6JZk</v>
      </c>
    </row>
    <row r="2016" customFormat="false" ht="15" hidden="false" customHeight="false" outlineLevel="0" collapsed="false">
      <c r="A2016" s="5" t="n">
        <v>4</v>
      </c>
      <c r="B2016" s="5" t="n">
        <v>1</v>
      </c>
      <c r="C2016" s="5" t="s">
        <v>119</v>
      </c>
      <c r="D2016" s="5" t="s">
        <v>1055</v>
      </c>
      <c r="E2016" s="5" t="n">
        <v>1</v>
      </c>
      <c r="F2016" s="6" t="n">
        <f aca="false">IFERROR(MATCH(A2016&amp;"|"&amp;B2016&amp;"|"&amp;D2016,'All Song Rankings'!$T:$T,0),0)</f>
        <v>323</v>
      </c>
      <c r="G2016" s="6" t="str">
        <f aca="false">IF(F2016=0,"NOT FOUND",INDEX('All Song Rankings'!$A:$A,F2016))</f>
        <v>Sunday (feat. Snoop Dogg)</v>
      </c>
      <c r="H2016" s="6" t="str">
        <f aca="false">IF(F2016=0,"NOT FOUND",INDEX('All Song Rankings'!$B:$B,F2016))</f>
        <v>Ben Rector, Snoop Dogg</v>
      </c>
      <c r="I2016" s="6" t="str">
        <f aca="false">IF(F2016=0,"NOT FOUND",INDEX('All Song Rankings'!$D:$D,F2016))</f>
        <v>Grace</v>
      </c>
      <c r="J2016" s="7" t="str">
        <f aca="false">IF(F2016=0,"NOT FOUND",IF(C2016=I2016,"SELF-VOTE",IF(COUNTIF($K:$K,K2016)&gt;1,"DUPLICATE","OK")))</f>
        <v>OK</v>
      </c>
      <c r="K2016" s="6" t="str">
        <f aca="false">A2016&amp;"|"&amp;B2016&amp;"|"&amp;C2016&amp;"|"&amp;D2016</f>
        <v>4|1|Leah|spotify:track:4ztgjcOsR0HGsm1vkzh0Ky</v>
      </c>
    </row>
    <row r="2017" customFormat="false" ht="15" hidden="false" customHeight="false" outlineLevel="0" collapsed="false">
      <c r="A2017" s="5" t="n">
        <v>4</v>
      </c>
      <c r="B2017" s="5" t="n">
        <v>1</v>
      </c>
      <c r="C2017" s="5" t="s">
        <v>119</v>
      </c>
      <c r="D2017" s="5" t="s">
        <v>1046</v>
      </c>
      <c r="E2017" s="5" t="n">
        <v>1</v>
      </c>
      <c r="F2017" s="6" t="n">
        <f aca="false">IFERROR(MATCH(A2017&amp;"|"&amp;B2017&amp;"|"&amp;D2017,'All Song Rankings'!$T:$T,0),0)</f>
        <v>320</v>
      </c>
      <c r="G2017" s="6" t="str">
        <f aca="false">IF(F2017=0,"NOT FOUND",INDEX('All Song Rankings'!$A:$A,F2017))</f>
        <v>Take Aim</v>
      </c>
      <c r="H2017" s="6" t="str">
        <f aca="false">IF(F2017=0,"NOT FOUND",INDEX('All Song Rankings'!$B:$B,F2017))</f>
        <v>Sleep Token</v>
      </c>
      <c r="I2017" s="6" t="str">
        <f aca="false">IF(F2017=0,"NOT FOUND",INDEX('All Song Rankings'!$D:$D,F2017))</f>
        <v>Kristen</v>
      </c>
      <c r="J2017" s="7" t="str">
        <f aca="false">IF(F2017=0,"NOT FOUND",IF(C2017=I2017,"SELF-VOTE",IF(COUNTIF($K:$K,K2017)&gt;1,"DUPLICATE","OK")))</f>
        <v>OK</v>
      </c>
      <c r="K2017" s="6" t="str">
        <f aca="false">A2017&amp;"|"&amp;B2017&amp;"|"&amp;C2017&amp;"|"&amp;D2017</f>
        <v>4|1|Leah|spotify:track:5SWDoIEpuAWJMuGYeVe3gI</v>
      </c>
    </row>
    <row r="2018" customFormat="false" ht="15" hidden="false" customHeight="false" outlineLevel="0" collapsed="false">
      <c r="A2018" s="5" t="n">
        <v>4</v>
      </c>
      <c r="B2018" s="5" t="n">
        <v>1</v>
      </c>
      <c r="C2018" s="5" t="s">
        <v>119</v>
      </c>
      <c r="D2018" s="5" t="s">
        <v>1024</v>
      </c>
      <c r="E2018" s="5" t="n">
        <v>1</v>
      </c>
      <c r="F2018" s="6" t="n">
        <f aca="false">IFERROR(MATCH(A2018&amp;"|"&amp;B2018&amp;"|"&amp;D2018,'All Song Rankings'!$T:$T,0),0)</f>
        <v>312</v>
      </c>
      <c r="G2018" s="6" t="str">
        <f aca="false">IF(F2018=0,"NOT FOUND",INDEX('All Song Rankings'!$A:$A,F2018))</f>
        <v>FEVER DREAM</v>
      </c>
      <c r="H2018" s="6" t="str">
        <f aca="false">IF(F2018=0,"NOT FOUND",INDEX('All Song Rankings'!$B:$B,F2018))</f>
        <v>Alex Warren</v>
      </c>
      <c r="I2018" s="6" t="str">
        <f aca="false">IF(F2018=0,"NOT FOUND",INDEX('All Song Rankings'!$D:$D,F2018))</f>
        <v>Colleen</v>
      </c>
      <c r="J2018" s="7" t="str">
        <f aca="false">IF(F2018=0,"NOT FOUND",IF(C2018=I2018,"SELF-VOTE",IF(COUNTIF($K:$K,K2018)&gt;1,"DUPLICATE","OK")))</f>
        <v>OK</v>
      </c>
      <c r="K2018" s="6" t="str">
        <f aca="false">A2018&amp;"|"&amp;B2018&amp;"|"&amp;C2018&amp;"|"&amp;D2018</f>
        <v>4|1|Leah|spotify:track:7ogpGbKc4Io6NCU6ydxXwZ</v>
      </c>
    </row>
    <row r="2019" customFormat="false" ht="15" hidden="false" customHeight="false" outlineLevel="0" collapsed="false">
      <c r="A2019" s="5" t="n">
        <v>4</v>
      </c>
      <c r="B2019" s="5" t="n">
        <v>1</v>
      </c>
      <c r="C2019" s="5" t="s">
        <v>705</v>
      </c>
      <c r="D2019" s="5" t="s">
        <v>1029</v>
      </c>
      <c r="E2019" s="5" t="n">
        <v>1</v>
      </c>
      <c r="F2019" s="6" t="n">
        <f aca="false">IFERROR(MATCH(A2019&amp;"|"&amp;B2019&amp;"|"&amp;D2019,'All Song Rankings'!$T:$T,0),0)</f>
        <v>314</v>
      </c>
      <c r="G2019" s="6" t="str">
        <f aca="false">IF(F2019=0,"NOT FOUND",INDEX('All Song Rankings'!$A:$A,F2019))</f>
        <v>Waterloo</v>
      </c>
      <c r="H2019" s="6" t="str">
        <f aca="false">IF(F2019=0,"NOT FOUND",INDEX('All Song Rankings'!$B:$B,F2019))</f>
        <v>ABBA</v>
      </c>
      <c r="I2019" s="6" t="str">
        <f aca="false">IF(F2019=0,"NOT FOUND",INDEX('All Song Rankings'!$D:$D,F2019))</f>
        <v>Kelsey</v>
      </c>
      <c r="J2019" s="7" t="str">
        <f aca="false">IF(F2019=0,"NOT FOUND",IF(C2019=I2019,"SELF-VOTE",IF(COUNTIF($K:$K,K2019)&gt;1,"DUPLICATE","OK")))</f>
        <v>OK</v>
      </c>
      <c r="K2019" s="6" t="str">
        <f aca="false">A2019&amp;"|"&amp;B2019&amp;"|"&amp;C2019&amp;"|"&amp;D2019</f>
        <v>4|1|Lisa|spotify:track:3Dy4REq8O09IlgiwuHQ3sk</v>
      </c>
    </row>
    <row r="2020" customFormat="false" ht="15" hidden="false" customHeight="false" outlineLevel="0" collapsed="false">
      <c r="A2020" s="5" t="n">
        <v>4</v>
      </c>
      <c r="B2020" s="5" t="n">
        <v>1</v>
      </c>
      <c r="C2020" s="5" t="s">
        <v>705</v>
      </c>
      <c r="D2020" s="5" t="s">
        <v>1052</v>
      </c>
      <c r="E2020" s="5" t="n">
        <v>1</v>
      </c>
      <c r="F2020" s="6" t="n">
        <f aca="false">IFERROR(MATCH(A2020&amp;"|"&amp;B2020&amp;"|"&amp;D2020,'All Song Rankings'!$T:$T,0),0)</f>
        <v>322</v>
      </c>
      <c r="G2020" s="6" t="str">
        <f aca="false">IF(F2020=0,"NOT FOUND",INDEX('All Song Rankings'!$A:$A,F2020))</f>
        <v>Come prima</v>
      </c>
      <c r="H2020" s="6" t="str">
        <f aca="false">IF(F2020=0,"NOT FOUND",INDEX('All Song Rankings'!$B:$B,F2020))</f>
        <v>Tony Dallara</v>
      </c>
      <c r="I2020" s="6" t="str">
        <f aca="false">IF(F2020=0,"NOT FOUND",INDEX('All Song Rankings'!$D:$D,F2020))</f>
        <v>Scott</v>
      </c>
      <c r="J2020" s="7" t="str">
        <f aca="false">IF(F2020=0,"NOT FOUND",IF(C2020=I2020,"SELF-VOTE",IF(COUNTIF($K:$K,K2020)&gt;1,"DUPLICATE","OK")))</f>
        <v>OK</v>
      </c>
      <c r="K2020" s="6" t="str">
        <f aca="false">A2020&amp;"|"&amp;B2020&amp;"|"&amp;C2020&amp;"|"&amp;D2020</f>
        <v>4|1|Lisa|spotify:track:3OWFR95HjLDQKbzHl6oqjq</v>
      </c>
    </row>
    <row r="2021" customFormat="false" ht="15" hidden="false" customHeight="false" outlineLevel="0" collapsed="false">
      <c r="A2021" s="5" t="n">
        <v>4</v>
      </c>
      <c r="B2021" s="5" t="n">
        <v>1</v>
      </c>
      <c r="C2021" s="5" t="s">
        <v>705</v>
      </c>
      <c r="D2021" s="5" t="s">
        <v>1032</v>
      </c>
      <c r="E2021" s="5" t="n">
        <v>1</v>
      </c>
      <c r="F2021" s="6" t="n">
        <f aca="false">IFERROR(MATCH(A2021&amp;"|"&amp;B2021&amp;"|"&amp;D2021,'All Song Rankings'!$T:$T,0),0)</f>
        <v>315</v>
      </c>
      <c r="G2021" s="6" t="str">
        <f aca="false">IF(F2021=0,"NOT FOUND",INDEX('All Song Rankings'!$A:$A,F2021))</f>
        <v>Higher (feat. Alex Newell)</v>
      </c>
      <c r="H2021" s="6" t="str">
        <f aca="false">IF(F2021=0,"NOT FOUND",INDEX('All Song Rankings'!$B:$B,F2021))</f>
        <v>VINCINT, Alex Newell, Princess Precious</v>
      </c>
      <c r="I2021" s="6" t="str">
        <f aca="false">IF(F2021=0,"NOT FOUND",INDEX('All Song Rankings'!$D:$D,F2021))</f>
        <v>Logan</v>
      </c>
      <c r="J2021" s="7" t="str">
        <f aca="false">IF(F2021=0,"NOT FOUND",IF(C2021=I2021,"SELF-VOTE",IF(COUNTIF($K:$K,K2021)&gt;1,"DUPLICATE","OK")))</f>
        <v>OK</v>
      </c>
      <c r="K2021" s="6" t="str">
        <f aca="false">A2021&amp;"|"&amp;B2021&amp;"|"&amp;C2021&amp;"|"&amp;D2021</f>
        <v>4|1|Lisa|spotify:track:3x0oc9CVW5RwLx4EHW6JZk</v>
      </c>
    </row>
    <row r="2022" customFormat="false" ht="15" hidden="false" customHeight="false" outlineLevel="0" collapsed="false">
      <c r="A2022" s="5" t="n">
        <v>4</v>
      </c>
      <c r="B2022" s="5" t="n">
        <v>1</v>
      </c>
      <c r="C2022" s="5" t="s">
        <v>705</v>
      </c>
      <c r="D2022" s="5" t="s">
        <v>1044</v>
      </c>
      <c r="E2022" s="5" t="n">
        <v>1</v>
      </c>
      <c r="F2022" s="6" t="n">
        <f aca="false">IFERROR(MATCH(A2022&amp;"|"&amp;B2022&amp;"|"&amp;D2022,'All Song Rankings'!$T:$T,0),0)</f>
        <v>319</v>
      </c>
      <c r="G2022" s="6" t="str">
        <f aca="false">IF(F2022=0,"NOT FOUND",INDEX('All Song Rankings'!$A:$A,F2022))</f>
        <v>My Moon My Man</v>
      </c>
      <c r="H2022" s="6" t="str">
        <f aca="false">IF(F2022=0,"NOT FOUND",INDEX('All Song Rankings'!$B:$B,F2022))</f>
        <v>Feist</v>
      </c>
      <c r="I2022" s="6" t="str">
        <f aca="false">IF(F2022=0,"NOT FOUND",INDEX('All Song Rankings'!$D:$D,F2022))</f>
        <v>Matt</v>
      </c>
      <c r="J2022" s="7" t="str">
        <f aca="false">IF(F2022=0,"NOT FOUND",IF(C2022=I2022,"SELF-VOTE",IF(COUNTIF($K:$K,K2022)&gt;1,"DUPLICATE","OK")))</f>
        <v>OK</v>
      </c>
      <c r="K2022" s="6" t="str">
        <f aca="false">A2022&amp;"|"&amp;B2022&amp;"|"&amp;C2022&amp;"|"&amp;D2022</f>
        <v>4|1|Lisa|spotify:track:5FFQbvn7055P1DvgJDdCBP</v>
      </c>
    </row>
    <row r="2023" customFormat="false" ht="15" hidden="false" customHeight="false" outlineLevel="0" collapsed="false">
      <c r="A2023" s="5" t="n">
        <v>4</v>
      </c>
      <c r="B2023" s="5" t="n">
        <v>1</v>
      </c>
      <c r="C2023" s="5" t="s">
        <v>705</v>
      </c>
      <c r="D2023" s="5" t="s">
        <v>1046</v>
      </c>
      <c r="E2023" s="5" t="n">
        <v>2</v>
      </c>
      <c r="F2023" s="6" t="n">
        <f aca="false">IFERROR(MATCH(A2023&amp;"|"&amp;B2023&amp;"|"&amp;D2023,'All Song Rankings'!$T:$T,0),0)</f>
        <v>320</v>
      </c>
      <c r="G2023" s="6" t="str">
        <f aca="false">IF(F2023=0,"NOT FOUND",INDEX('All Song Rankings'!$A:$A,F2023))</f>
        <v>Take Aim</v>
      </c>
      <c r="H2023" s="6" t="str">
        <f aca="false">IF(F2023=0,"NOT FOUND",INDEX('All Song Rankings'!$B:$B,F2023))</f>
        <v>Sleep Token</v>
      </c>
      <c r="I2023" s="6" t="str">
        <f aca="false">IF(F2023=0,"NOT FOUND",INDEX('All Song Rankings'!$D:$D,F2023))</f>
        <v>Kristen</v>
      </c>
      <c r="J2023" s="7" t="str">
        <f aca="false">IF(F2023=0,"NOT FOUND",IF(C2023=I2023,"SELF-VOTE",IF(COUNTIF($K:$K,K2023)&gt;1,"DUPLICATE","OK")))</f>
        <v>OK</v>
      </c>
      <c r="K2023" s="6" t="str">
        <f aca="false">A2023&amp;"|"&amp;B2023&amp;"|"&amp;C2023&amp;"|"&amp;D2023</f>
        <v>4|1|Lisa|spotify:track:5SWDoIEpuAWJMuGYeVe3gI</v>
      </c>
    </row>
    <row r="2024" customFormat="false" ht="15" hidden="false" customHeight="false" outlineLevel="0" collapsed="false">
      <c r="A2024" s="5" t="n">
        <v>4</v>
      </c>
      <c r="B2024" s="5" t="n">
        <v>1</v>
      </c>
      <c r="C2024" s="5" t="s">
        <v>705</v>
      </c>
      <c r="D2024" s="5" t="s">
        <v>1038</v>
      </c>
      <c r="E2024" s="5" t="n">
        <v>2</v>
      </c>
      <c r="F2024" s="6" t="n">
        <f aca="false">IFERROR(MATCH(A2024&amp;"|"&amp;B2024&amp;"|"&amp;D2024,'All Song Rankings'!$T:$T,0),0)</f>
        <v>317</v>
      </c>
      <c r="G2024" s="6" t="str">
        <f aca="false">IF(F2024=0,"NOT FOUND",INDEX('All Song Rankings'!$A:$A,F2024))</f>
        <v>Holy Water</v>
      </c>
      <c r="H2024" s="6" t="str">
        <f aca="false">IF(F2024=0,"NOT FOUND",INDEX('All Song Rankings'!$B:$B,F2024))</f>
        <v>Marshmello, Jelly Roll</v>
      </c>
      <c r="I2024" s="6" t="str">
        <f aca="false">IF(F2024=0,"NOT FOUND",INDEX('All Song Rankings'!$D:$D,F2024))</f>
        <v>Leah</v>
      </c>
      <c r="J2024" s="7" t="str">
        <f aca="false">IF(F2024=0,"NOT FOUND",IF(C2024=I2024,"SELF-VOTE",IF(COUNTIF($K:$K,K2024)&gt;1,"DUPLICATE","OK")))</f>
        <v>OK</v>
      </c>
      <c r="K2024" s="6" t="str">
        <f aca="false">A2024&amp;"|"&amp;B2024&amp;"|"&amp;C2024&amp;"|"&amp;D2024</f>
        <v>4|1|Lisa|spotify:track:5Xnkr4b6swk6BA5IinCIlU</v>
      </c>
    </row>
    <row r="2025" customFormat="false" ht="15" hidden="false" customHeight="false" outlineLevel="0" collapsed="false">
      <c r="A2025" s="5" t="n">
        <v>4</v>
      </c>
      <c r="B2025" s="5" t="n">
        <v>1</v>
      </c>
      <c r="C2025" s="5" t="s">
        <v>705</v>
      </c>
      <c r="D2025" s="5" t="s">
        <v>1024</v>
      </c>
      <c r="E2025" s="5" t="n">
        <v>1</v>
      </c>
      <c r="F2025" s="6" t="n">
        <f aca="false">IFERROR(MATCH(A2025&amp;"|"&amp;B2025&amp;"|"&amp;D2025,'All Song Rankings'!$T:$T,0),0)</f>
        <v>312</v>
      </c>
      <c r="G2025" s="6" t="str">
        <f aca="false">IF(F2025=0,"NOT FOUND",INDEX('All Song Rankings'!$A:$A,F2025))</f>
        <v>FEVER DREAM</v>
      </c>
      <c r="H2025" s="6" t="str">
        <f aca="false">IF(F2025=0,"NOT FOUND",INDEX('All Song Rankings'!$B:$B,F2025))</f>
        <v>Alex Warren</v>
      </c>
      <c r="I2025" s="6" t="str">
        <f aca="false">IF(F2025=0,"NOT FOUND",INDEX('All Song Rankings'!$D:$D,F2025))</f>
        <v>Colleen</v>
      </c>
      <c r="J2025" s="7" t="str">
        <f aca="false">IF(F2025=0,"NOT FOUND",IF(C2025=I2025,"SELF-VOTE",IF(COUNTIF($K:$K,K2025)&gt;1,"DUPLICATE","OK")))</f>
        <v>OK</v>
      </c>
      <c r="K2025" s="6" t="str">
        <f aca="false">A2025&amp;"|"&amp;B2025&amp;"|"&amp;C2025&amp;"|"&amp;D2025</f>
        <v>4|1|Lisa|spotify:track:7ogpGbKc4Io6NCU6ydxXwZ</v>
      </c>
    </row>
    <row r="2026" customFormat="false" ht="15" hidden="false" customHeight="false" outlineLevel="0" collapsed="false">
      <c r="A2026" s="5" t="n">
        <v>4</v>
      </c>
      <c r="B2026" s="5" t="n">
        <v>1</v>
      </c>
      <c r="C2026" s="5" t="s">
        <v>705</v>
      </c>
      <c r="D2026" s="5" t="s">
        <v>1049</v>
      </c>
      <c r="E2026" s="5" t="n">
        <v>1</v>
      </c>
      <c r="F2026" s="6" t="n">
        <f aca="false">IFERROR(MATCH(A2026&amp;"|"&amp;B2026&amp;"|"&amp;D2026,'All Song Rankings'!$T:$T,0),0)</f>
        <v>321</v>
      </c>
      <c r="G2026" s="6" t="str">
        <f aca="false">IF(F2026=0,"NOT FOUND",INDEX('All Song Rankings'!$A:$A,F2026))</f>
        <v>All In Now</v>
      </c>
      <c r="H2026" s="6" t="str">
        <f aca="false">IF(F2026=0,"NOT FOUND",INDEX('All Song Rankings'!$B:$B,F2026))</f>
        <v>Dogstar</v>
      </c>
      <c r="I2026" s="6" t="str">
        <f aca="false">IF(F2026=0,"NOT FOUND",INDEX('All Song Rankings'!$D:$D,F2026))</f>
        <v>Christine</v>
      </c>
      <c r="J2026" s="7" t="str">
        <f aca="false">IF(F2026=0,"NOT FOUND",IF(C2026=I2026,"SELF-VOTE",IF(COUNTIF($K:$K,K2026)&gt;1,"DUPLICATE","OK")))</f>
        <v>OK</v>
      </c>
      <c r="K2026" s="6" t="str">
        <f aca="false">A2026&amp;"|"&amp;B2026&amp;"|"&amp;C2026&amp;"|"&amp;D2026</f>
        <v>4|1|Lisa|spotify:track:7t6a7n23SZQ5A5OuXYu3uO</v>
      </c>
    </row>
    <row r="2027" customFormat="false" ht="15" hidden="false" customHeight="false" outlineLevel="0" collapsed="false">
      <c r="A2027" s="5" t="n">
        <v>4</v>
      </c>
      <c r="B2027" s="5" t="n">
        <v>1</v>
      </c>
      <c r="C2027" s="5" t="s">
        <v>128</v>
      </c>
      <c r="D2027" s="5" t="s">
        <v>1035</v>
      </c>
      <c r="E2027" s="5" t="n">
        <v>2</v>
      </c>
      <c r="F2027" s="6" t="n">
        <f aca="false">IFERROR(MATCH(A2027&amp;"|"&amp;B2027&amp;"|"&amp;D2027,'All Song Rankings'!$T:$T,0),0)</f>
        <v>316</v>
      </c>
      <c r="G2027" s="6" t="str">
        <f aca="false">IF(F2027=0,"NOT FOUND",INDEX('All Song Rankings'!$A:$A,F2027))</f>
        <v>Stateside + Zara Larsson</v>
      </c>
      <c r="H2027" s="6" t="str">
        <f aca="false">IF(F2027=0,"NOT FOUND",INDEX('All Song Rankings'!$B:$B,F2027))</f>
        <v>PinkPantheress, Zara Larsson</v>
      </c>
      <c r="I2027" s="6" t="str">
        <f aca="false">IF(F2027=0,"NOT FOUND",INDEX('All Song Rankings'!$D:$D,F2027))</f>
        <v>Stephanie</v>
      </c>
      <c r="J2027" s="7" t="str">
        <f aca="false">IF(F2027=0,"NOT FOUND",IF(C2027=I2027,"SELF-VOTE",IF(COUNTIF($K:$K,K2027)&gt;1,"DUPLICATE","OK")))</f>
        <v>OK</v>
      </c>
      <c r="K2027" s="6" t="str">
        <f aca="false">A2027&amp;"|"&amp;B2027&amp;"|"&amp;C2027&amp;"|"&amp;D2027</f>
        <v>4|1|Logan|spotify:track:1DwscornXpj8fmOmYVlqZt</v>
      </c>
    </row>
    <row r="2028" customFormat="false" ht="15" hidden="false" customHeight="false" outlineLevel="0" collapsed="false">
      <c r="A2028" s="5" t="n">
        <v>4</v>
      </c>
      <c r="B2028" s="5" t="n">
        <v>1</v>
      </c>
      <c r="C2028" s="5" t="s">
        <v>128</v>
      </c>
      <c r="D2028" s="5" t="s">
        <v>1020</v>
      </c>
      <c r="E2028" s="5" t="n">
        <v>2</v>
      </c>
      <c r="F2028" s="6" t="n">
        <f aca="false">IFERROR(MATCH(A2028&amp;"|"&amp;B2028&amp;"|"&amp;D2028,'All Song Rankings'!$T:$T,0),0)</f>
        <v>310</v>
      </c>
      <c r="G2028" s="6" t="str">
        <f aca="false">IF(F2028=0,"NOT FOUND",INDEX('All Song Rankings'!$A:$A,F2028))</f>
        <v>Caviar</v>
      </c>
      <c r="H2028" s="6" t="str">
        <f aca="false">IF(F2028=0,"NOT FOUND",INDEX('All Song Rankings'!$B:$B,F2028))</f>
        <v>JayDon</v>
      </c>
      <c r="I2028" s="6" t="str">
        <f aca="false">IF(F2028=0,"NOT FOUND",INDEX('All Song Rankings'!$D:$D,F2028))</f>
        <v>Merita</v>
      </c>
      <c r="J2028" s="7" t="str">
        <f aca="false">IF(F2028=0,"NOT FOUND",IF(C2028=I2028,"SELF-VOTE",IF(COUNTIF($K:$K,K2028)&gt;1,"DUPLICATE","OK")))</f>
        <v>OK</v>
      </c>
      <c r="K2028" s="6" t="str">
        <f aca="false">A2028&amp;"|"&amp;B2028&amp;"|"&amp;C2028&amp;"|"&amp;D2028</f>
        <v>4|1|Logan|spotify:track:1RKq0J03X61Mxsm4fXFTTe</v>
      </c>
    </row>
    <row r="2029" customFormat="false" ht="15" hidden="false" customHeight="false" outlineLevel="0" collapsed="false">
      <c r="A2029" s="5" t="n">
        <v>4</v>
      </c>
      <c r="B2029" s="5" t="n">
        <v>1</v>
      </c>
      <c r="C2029" s="5" t="s">
        <v>128</v>
      </c>
      <c r="D2029" s="5" t="s">
        <v>1029</v>
      </c>
      <c r="E2029" s="5" t="n">
        <v>2</v>
      </c>
      <c r="F2029" s="6" t="n">
        <f aca="false">IFERROR(MATCH(A2029&amp;"|"&amp;B2029&amp;"|"&amp;D2029,'All Song Rankings'!$T:$T,0),0)</f>
        <v>314</v>
      </c>
      <c r="G2029" s="6" t="str">
        <f aca="false">IF(F2029=0,"NOT FOUND",INDEX('All Song Rankings'!$A:$A,F2029))</f>
        <v>Waterloo</v>
      </c>
      <c r="H2029" s="6" t="str">
        <f aca="false">IF(F2029=0,"NOT FOUND",INDEX('All Song Rankings'!$B:$B,F2029))</f>
        <v>ABBA</v>
      </c>
      <c r="I2029" s="6" t="str">
        <f aca="false">IF(F2029=0,"NOT FOUND",INDEX('All Song Rankings'!$D:$D,F2029))</f>
        <v>Kelsey</v>
      </c>
      <c r="J2029" s="7" t="str">
        <f aca="false">IF(F2029=0,"NOT FOUND",IF(C2029=I2029,"SELF-VOTE",IF(COUNTIF($K:$K,K2029)&gt;1,"DUPLICATE","OK")))</f>
        <v>OK</v>
      </c>
      <c r="K2029" s="6" t="str">
        <f aca="false">A2029&amp;"|"&amp;B2029&amp;"|"&amp;C2029&amp;"|"&amp;D2029</f>
        <v>4|1|Logan|spotify:track:3Dy4REq8O09IlgiwuHQ3sk</v>
      </c>
    </row>
    <row r="2030" customFormat="false" ht="15" hidden="false" customHeight="false" outlineLevel="0" collapsed="false">
      <c r="A2030" s="5" t="n">
        <v>4</v>
      </c>
      <c r="B2030" s="5" t="n">
        <v>1</v>
      </c>
      <c r="C2030" s="5" t="s">
        <v>128</v>
      </c>
      <c r="D2030" s="5" t="s">
        <v>1022</v>
      </c>
      <c r="E2030" s="5" t="n">
        <v>3</v>
      </c>
      <c r="F2030" s="6" t="n">
        <f aca="false">IFERROR(MATCH(A2030&amp;"|"&amp;B2030&amp;"|"&amp;D2030,'All Song Rankings'!$T:$T,0),0)</f>
        <v>311</v>
      </c>
      <c r="G2030" s="6" t="str">
        <f aca="false">IF(F2030=0,"NOT FOUND",INDEX('All Song Rankings'!$A:$A,F2030))</f>
        <v>Teeth</v>
      </c>
      <c r="H2030" s="6" t="str">
        <f aca="false">IF(F2030=0,"NOT FOUND",INDEX('All Song Rankings'!$B:$B,F2030))</f>
        <v>5 Seconds of Summer</v>
      </c>
      <c r="I2030" s="6" t="str">
        <f aca="false">IF(F2030=0,"NOT FOUND",INDEX('All Song Rankings'!$D:$D,F2030))</f>
        <v>Makenzie</v>
      </c>
      <c r="J2030" s="7" t="str">
        <f aca="false">IF(F2030=0,"NOT FOUND",IF(C2030=I2030,"SELF-VOTE",IF(COUNTIF($K:$K,K2030)&gt;1,"DUPLICATE","OK")))</f>
        <v>OK</v>
      </c>
      <c r="K2030" s="6" t="str">
        <f aca="false">A2030&amp;"|"&amp;B2030&amp;"|"&amp;C2030&amp;"|"&amp;D2030</f>
        <v>4|1|Logan|spotify:track:3NxWJWftvkstyxvb1pZlFo</v>
      </c>
    </row>
    <row r="2031" customFormat="false" ht="15" hidden="false" customHeight="false" outlineLevel="0" collapsed="false">
      <c r="A2031" s="5" t="n">
        <v>4</v>
      </c>
      <c r="B2031" s="5" t="n">
        <v>1</v>
      </c>
      <c r="C2031" s="5" t="s">
        <v>128</v>
      </c>
      <c r="D2031" s="5" t="s">
        <v>1052</v>
      </c>
      <c r="E2031" s="5" t="n">
        <v>1</v>
      </c>
      <c r="F2031" s="6" t="n">
        <f aca="false">IFERROR(MATCH(A2031&amp;"|"&amp;B2031&amp;"|"&amp;D2031,'All Song Rankings'!$T:$T,0),0)</f>
        <v>322</v>
      </c>
      <c r="G2031" s="6" t="str">
        <f aca="false">IF(F2031=0,"NOT FOUND",INDEX('All Song Rankings'!$A:$A,F2031))</f>
        <v>Come prima</v>
      </c>
      <c r="H2031" s="6" t="str">
        <f aca="false">IF(F2031=0,"NOT FOUND",INDEX('All Song Rankings'!$B:$B,F2031))</f>
        <v>Tony Dallara</v>
      </c>
      <c r="I2031" s="6" t="str">
        <f aca="false">IF(F2031=0,"NOT FOUND",INDEX('All Song Rankings'!$D:$D,F2031))</f>
        <v>Scott</v>
      </c>
      <c r="J2031" s="7" t="str">
        <f aca="false">IF(F2031=0,"NOT FOUND",IF(C2031=I2031,"SELF-VOTE",IF(COUNTIF($K:$K,K2031)&gt;1,"DUPLICATE","OK")))</f>
        <v>OK</v>
      </c>
      <c r="K2031" s="6" t="str">
        <f aca="false">A2031&amp;"|"&amp;B2031&amp;"|"&amp;C2031&amp;"|"&amp;D2031</f>
        <v>4|1|Logan|spotify:track:3OWFR95HjLDQKbzHl6oqjq</v>
      </c>
    </row>
    <row r="2032" customFormat="false" ht="15" hidden="false" customHeight="false" outlineLevel="0" collapsed="false">
      <c r="A2032" s="5" t="n">
        <v>4</v>
      </c>
      <c r="B2032" s="5" t="n">
        <v>1</v>
      </c>
      <c r="C2032" s="5" t="s">
        <v>395</v>
      </c>
      <c r="D2032" s="5" t="s">
        <v>1035</v>
      </c>
      <c r="E2032" s="5" t="n">
        <v>1</v>
      </c>
      <c r="F2032" s="6" t="n">
        <f aca="false">IFERROR(MATCH(A2032&amp;"|"&amp;B2032&amp;"|"&amp;D2032,'All Song Rankings'!$T:$T,0),0)</f>
        <v>316</v>
      </c>
      <c r="G2032" s="6" t="str">
        <f aca="false">IF(F2032=0,"NOT FOUND",INDEX('All Song Rankings'!$A:$A,F2032))</f>
        <v>Stateside + Zara Larsson</v>
      </c>
      <c r="H2032" s="6" t="str">
        <f aca="false">IF(F2032=0,"NOT FOUND",INDEX('All Song Rankings'!$B:$B,F2032))</f>
        <v>PinkPantheress, Zara Larsson</v>
      </c>
      <c r="I2032" s="6" t="str">
        <f aca="false">IF(F2032=0,"NOT FOUND",INDEX('All Song Rankings'!$D:$D,F2032))</f>
        <v>Stephanie</v>
      </c>
      <c r="J2032" s="7" t="str">
        <f aca="false">IF(F2032=0,"NOT FOUND",IF(C2032=I2032,"SELF-VOTE",IF(COUNTIF($K:$K,K2032)&gt;1,"DUPLICATE","OK")))</f>
        <v>OK</v>
      </c>
      <c r="K2032" s="6" t="str">
        <f aca="false">A2032&amp;"|"&amp;B2032&amp;"|"&amp;C2032&amp;"|"&amp;D2032</f>
        <v>4|1|Makenzie|spotify:track:1DwscornXpj8fmOmYVlqZt</v>
      </c>
    </row>
    <row r="2033" customFormat="false" ht="15" hidden="false" customHeight="false" outlineLevel="0" collapsed="false">
      <c r="A2033" s="5" t="n">
        <v>4</v>
      </c>
      <c r="B2033" s="5" t="n">
        <v>1</v>
      </c>
      <c r="C2033" s="5" t="s">
        <v>395</v>
      </c>
      <c r="D2033" s="5" t="s">
        <v>1029</v>
      </c>
      <c r="E2033" s="5" t="n">
        <v>1</v>
      </c>
      <c r="F2033" s="6" t="n">
        <f aca="false">IFERROR(MATCH(A2033&amp;"|"&amp;B2033&amp;"|"&amp;D2033,'All Song Rankings'!$T:$T,0),0)</f>
        <v>314</v>
      </c>
      <c r="G2033" s="6" t="str">
        <f aca="false">IF(F2033=0,"NOT FOUND",INDEX('All Song Rankings'!$A:$A,F2033))</f>
        <v>Waterloo</v>
      </c>
      <c r="H2033" s="6" t="str">
        <f aca="false">IF(F2033=0,"NOT FOUND",INDEX('All Song Rankings'!$B:$B,F2033))</f>
        <v>ABBA</v>
      </c>
      <c r="I2033" s="6" t="str">
        <f aca="false">IF(F2033=0,"NOT FOUND",INDEX('All Song Rankings'!$D:$D,F2033))</f>
        <v>Kelsey</v>
      </c>
      <c r="J2033" s="7" t="str">
        <f aca="false">IF(F2033=0,"NOT FOUND",IF(C2033=I2033,"SELF-VOTE",IF(COUNTIF($K:$K,K2033)&gt;1,"DUPLICATE","OK")))</f>
        <v>OK</v>
      </c>
      <c r="K2033" s="6" t="str">
        <f aca="false">A2033&amp;"|"&amp;B2033&amp;"|"&amp;C2033&amp;"|"&amp;D2033</f>
        <v>4|1|Makenzie|spotify:track:3Dy4REq8O09IlgiwuHQ3sk</v>
      </c>
    </row>
    <row r="2034" customFormat="false" ht="15" hidden="false" customHeight="false" outlineLevel="0" collapsed="false">
      <c r="A2034" s="5" t="n">
        <v>4</v>
      </c>
      <c r="B2034" s="5" t="n">
        <v>1</v>
      </c>
      <c r="C2034" s="5" t="s">
        <v>395</v>
      </c>
      <c r="D2034" s="5" t="s">
        <v>1055</v>
      </c>
      <c r="E2034" s="5" t="n">
        <v>2</v>
      </c>
      <c r="F2034" s="6" t="n">
        <f aca="false">IFERROR(MATCH(A2034&amp;"|"&amp;B2034&amp;"|"&amp;D2034,'All Song Rankings'!$T:$T,0),0)</f>
        <v>323</v>
      </c>
      <c r="G2034" s="6" t="str">
        <f aca="false">IF(F2034=0,"NOT FOUND",INDEX('All Song Rankings'!$A:$A,F2034))</f>
        <v>Sunday (feat. Snoop Dogg)</v>
      </c>
      <c r="H2034" s="6" t="str">
        <f aca="false">IF(F2034=0,"NOT FOUND",INDEX('All Song Rankings'!$B:$B,F2034))</f>
        <v>Ben Rector, Snoop Dogg</v>
      </c>
      <c r="I2034" s="6" t="str">
        <f aca="false">IF(F2034=0,"NOT FOUND",INDEX('All Song Rankings'!$D:$D,F2034))</f>
        <v>Grace</v>
      </c>
      <c r="J2034" s="7" t="str">
        <f aca="false">IF(F2034=0,"NOT FOUND",IF(C2034=I2034,"SELF-VOTE",IF(COUNTIF($K:$K,K2034)&gt;1,"DUPLICATE","OK")))</f>
        <v>OK</v>
      </c>
      <c r="K2034" s="6" t="str">
        <f aca="false">A2034&amp;"|"&amp;B2034&amp;"|"&amp;C2034&amp;"|"&amp;D2034</f>
        <v>4|1|Makenzie|spotify:track:4ztgjcOsR0HGsm1vkzh0Ky</v>
      </c>
    </row>
    <row r="2035" customFormat="false" ht="15" hidden="false" customHeight="false" outlineLevel="0" collapsed="false">
      <c r="A2035" s="5" t="n">
        <v>4</v>
      </c>
      <c r="B2035" s="5" t="n">
        <v>1</v>
      </c>
      <c r="C2035" s="5" t="s">
        <v>395</v>
      </c>
      <c r="D2035" s="5" t="s">
        <v>1027</v>
      </c>
      <c r="E2035" s="5" t="n">
        <v>3</v>
      </c>
      <c r="F2035" s="6" t="n">
        <f aca="false">IFERROR(MATCH(A2035&amp;"|"&amp;B2035&amp;"|"&amp;D2035,'All Song Rankings'!$T:$T,0),0)</f>
        <v>313</v>
      </c>
      <c r="G2035" s="6" t="str">
        <f aca="false">IF(F2035=0,"NOT FOUND",INDEX('All Song Rankings'!$A:$A,F2035))</f>
        <v>Losing Myself</v>
      </c>
      <c r="H2035" s="6" t="str">
        <f aca="false">IF(F2035=0,"NOT FOUND",INDEX('All Song Rankings'!$B:$B,F2035))</f>
        <v>State Champs</v>
      </c>
      <c r="I2035" s="6" t="str">
        <f aca="false">IF(F2035=0,"NOT FOUND",INDEX('All Song Rankings'!$D:$D,F2035))</f>
        <v>Nicole</v>
      </c>
      <c r="J2035" s="7" t="str">
        <f aca="false">IF(F2035=0,"NOT FOUND",IF(C2035=I2035,"SELF-VOTE",IF(COUNTIF($K:$K,K2035)&gt;1,"DUPLICATE","OK")))</f>
        <v>OK</v>
      </c>
      <c r="K2035" s="6" t="str">
        <f aca="false">A2035&amp;"|"&amp;B2035&amp;"|"&amp;C2035&amp;"|"&amp;D2035</f>
        <v>4|1|Makenzie|spotify:track:74k5aYbmsRJqvuYY5p7in9</v>
      </c>
    </row>
    <row r="2036" customFormat="false" ht="15" hidden="false" customHeight="false" outlineLevel="0" collapsed="false">
      <c r="A2036" s="5" t="n">
        <v>4</v>
      </c>
      <c r="B2036" s="5" t="n">
        <v>1</v>
      </c>
      <c r="C2036" s="5" t="s">
        <v>395</v>
      </c>
      <c r="D2036" s="5" t="s">
        <v>1024</v>
      </c>
      <c r="E2036" s="5" t="n">
        <v>2</v>
      </c>
      <c r="F2036" s="6" t="n">
        <f aca="false">IFERROR(MATCH(A2036&amp;"|"&amp;B2036&amp;"|"&amp;D2036,'All Song Rankings'!$T:$T,0),0)</f>
        <v>312</v>
      </c>
      <c r="G2036" s="6" t="str">
        <f aca="false">IF(F2036=0,"NOT FOUND",INDEX('All Song Rankings'!$A:$A,F2036))</f>
        <v>FEVER DREAM</v>
      </c>
      <c r="H2036" s="6" t="str">
        <f aca="false">IF(F2036=0,"NOT FOUND",INDEX('All Song Rankings'!$B:$B,F2036))</f>
        <v>Alex Warren</v>
      </c>
      <c r="I2036" s="6" t="str">
        <f aca="false">IF(F2036=0,"NOT FOUND",INDEX('All Song Rankings'!$D:$D,F2036))</f>
        <v>Colleen</v>
      </c>
      <c r="J2036" s="7" t="str">
        <f aca="false">IF(F2036=0,"NOT FOUND",IF(C2036=I2036,"SELF-VOTE",IF(COUNTIF($K:$K,K2036)&gt;1,"DUPLICATE","OK")))</f>
        <v>OK</v>
      </c>
      <c r="K2036" s="6" t="str">
        <f aca="false">A2036&amp;"|"&amp;B2036&amp;"|"&amp;C2036&amp;"|"&amp;D2036</f>
        <v>4|1|Makenzie|spotify:track:7ogpGbKc4Io6NCU6ydxXwZ</v>
      </c>
    </row>
    <row r="2037" customFormat="false" ht="15" hidden="false" customHeight="false" outlineLevel="0" collapsed="false">
      <c r="A2037" s="5" t="n">
        <v>4</v>
      </c>
      <c r="B2037" s="5" t="n">
        <v>1</v>
      </c>
      <c r="C2037" s="5" t="s">
        <v>395</v>
      </c>
      <c r="D2037" s="5" t="s">
        <v>1049</v>
      </c>
      <c r="E2037" s="5" t="n">
        <v>1</v>
      </c>
      <c r="F2037" s="6" t="n">
        <f aca="false">IFERROR(MATCH(A2037&amp;"|"&amp;B2037&amp;"|"&amp;D2037,'All Song Rankings'!$T:$T,0),0)</f>
        <v>321</v>
      </c>
      <c r="G2037" s="6" t="str">
        <f aca="false">IF(F2037=0,"NOT FOUND",INDEX('All Song Rankings'!$A:$A,F2037))</f>
        <v>All In Now</v>
      </c>
      <c r="H2037" s="6" t="str">
        <f aca="false">IF(F2037=0,"NOT FOUND",INDEX('All Song Rankings'!$B:$B,F2037))</f>
        <v>Dogstar</v>
      </c>
      <c r="I2037" s="6" t="str">
        <f aca="false">IF(F2037=0,"NOT FOUND",INDEX('All Song Rankings'!$D:$D,F2037))</f>
        <v>Christine</v>
      </c>
      <c r="J2037" s="7" t="str">
        <f aca="false">IF(F2037=0,"NOT FOUND",IF(C2037=I2037,"SELF-VOTE",IF(COUNTIF($K:$K,K2037)&gt;1,"DUPLICATE","OK")))</f>
        <v>OK</v>
      </c>
      <c r="K2037" s="6" t="str">
        <f aca="false">A2037&amp;"|"&amp;B2037&amp;"|"&amp;C2037&amp;"|"&amp;D2037</f>
        <v>4|1|Makenzie|spotify:track:7t6a7n23SZQ5A5OuXYu3uO</v>
      </c>
    </row>
    <row r="2038" customFormat="false" ht="15" hidden="false" customHeight="false" outlineLevel="0" collapsed="false">
      <c r="A2038" s="5" t="n">
        <v>4</v>
      </c>
      <c r="B2038" s="5" t="n">
        <v>1</v>
      </c>
      <c r="C2038" s="5" t="s">
        <v>116</v>
      </c>
      <c r="D2038" s="5" t="s">
        <v>1041</v>
      </c>
      <c r="E2038" s="5" t="n">
        <v>1</v>
      </c>
      <c r="F2038" s="6" t="n">
        <f aca="false">IFERROR(MATCH(A2038&amp;"|"&amp;B2038&amp;"|"&amp;D2038,'All Song Rankings'!$T:$T,0),0)</f>
        <v>318</v>
      </c>
      <c r="G2038" s="6" t="str">
        <f aca="false">IF(F2038=0,"NOT FOUND",INDEX('All Song Rankings'!$A:$A,F2038))</f>
        <v>The One I Love</v>
      </c>
      <c r="H2038" s="6" t="str">
        <f aca="false">IF(F2038=0,"NOT FOUND",INDEX('All Song Rankings'!$B:$B,F2038))</f>
        <v>David Gray</v>
      </c>
      <c r="I2038" s="6" t="str">
        <f aca="false">IF(F2038=0,"NOT FOUND",INDEX('All Song Rankings'!$D:$D,F2038))</f>
        <v>Lisa</v>
      </c>
      <c r="J2038" s="7" t="str">
        <f aca="false">IF(F2038=0,"NOT FOUND",IF(C2038=I2038,"SELF-VOTE",IF(COUNTIF($K:$K,K2038)&gt;1,"DUPLICATE","OK")))</f>
        <v>OK</v>
      </c>
      <c r="K2038" s="6" t="str">
        <f aca="false">A2038&amp;"|"&amp;B2038&amp;"|"&amp;C2038&amp;"|"&amp;D2038</f>
        <v>4|1|Matt|spotify:track:0hOYPh5Y8huTrLKxvQyxAh</v>
      </c>
    </row>
    <row r="2039" customFormat="false" ht="15" hidden="false" customHeight="false" outlineLevel="0" collapsed="false">
      <c r="A2039" s="5" t="n">
        <v>4</v>
      </c>
      <c r="B2039" s="5" t="n">
        <v>1</v>
      </c>
      <c r="C2039" s="5" t="s">
        <v>116</v>
      </c>
      <c r="D2039" s="5" t="s">
        <v>1020</v>
      </c>
      <c r="E2039" s="5" t="n">
        <v>1</v>
      </c>
      <c r="F2039" s="6" t="n">
        <f aca="false">IFERROR(MATCH(A2039&amp;"|"&amp;B2039&amp;"|"&amp;D2039,'All Song Rankings'!$T:$T,0),0)</f>
        <v>310</v>
      </c>
      <c r="G2039" s="6" t="str">
        <f aca="false">IF(F2039=0,"NOT FOUND",INDEX('All Song Rankings'!$A:$A,F2039))</f>
        <v>Caviar</v>
      </c>
      <c r="H2039" s="6" t="str">
        <f aca="false">IF(F2039=0,"NOT FOUND",INDEX('All Song Rankings'!$B:$B,F2039))</f>
        <v>JayDon</v>
      </c>
      <c r="I2039" s="6" t="str">
        <f aca="false">IF(F2039=0,"NOT FOUND",INDEX('All Song Rankings'!$D:$D,F2039))</f>
        <v>Merita</v>
      </c>
      <c r="J2039" s="7" t="str">
        <f aca="false">IF(F2039=0,"NOT FOUND",IF(C2039=I2039,"SELF-VOTE",IF(COUNTIF($K:$K,K2039)&gt;1,"DUPLICATE","OK")))</f>
        <v>OK</v>
      </c>
      <c r="K2039" s="6" t="str">
        <f aca="false">A2039&amp;"|"&amp;B2039&amp;"|"&amp;C2039&amp;"|"&amp;D2039</f>
        <v>4|1|Matt|spotify:track:1RKq0J03X61Mxsm4fXFTTe</v>
      </c>
    </row>
    <row r="2040" customFormat="false" ht="15" hidden="false" customHeight="false" outlineLevel="0" collapsed="false">
      <c r="A2040" s="5" t="n">
        <v>4</v>
      </c>
      <c r="B2040" s="5" t="n">
        <v>1</v>
      </c>
      <c r="C2040" s="5" t="s">
        <v>116</v>
      </c>
      <c r="D2040" s="5" t="s">
        <v>1029</v>
      </c>
      <c r="E2040" s="5" t="n">
        <v>1</v>
      </c>
      <c r="F2040" s="6" t="n">
        <f aca="false">IFERROR(MATCH(A2040&amp;"|"&amp;B2040&amp;"|"&amp;D2040,'All Song Rankings'!$T:$T,0),0)</f>
        <v>314</v>
      </c>
      <c r="G2040" s="6" t="str">
        <f aca="false">IF(F2040=0,"NOT FOUND",INDEX('All Song Rankings'!$A:$A,F2040))</f>
        <v>Waterloo</v>
      </c>
      <c r="H2040" s="6" t="str">
        <f aca="false">IF(F2040=0,"NOT FOUND",INDEX('All Song Rankings'!$B:$B,F2040))</f>
        <v>ABBA</v>
      </c>
      <c r="I2040" s="6" t="str">
        <f aca="false">IF(F2040=0,"NOT FOUND",INDEX('All Song Rankings'!$D:$D,F2040))</f>
        <v>Kelsey</v>
      </c>
      <c r="J2040" s="7" t="str">
        <f aca="false">IF(F2040=0,"NOT FOUND",IF(C2040=I2040,"SELF-VOTE",IF(COUNTIF($K:$K,K2040)&gt;1,"DUPLICATE","OK")))</f>
        <v>OK</v>
      </c>
      <c r="K2040" s="6" t="str">
        <f aca="false">A2040&amp;"|"&amp;B2040&amp;"|"&amp;C2040&amp;"|"&amp;D2040</f>
        <v>4|1|Matt|spotify:track:3Dy4REq8O09IlgiwuHQ3sk</v>
      </c>
    </row>
    <row r="2041" customFormat="false" ht="15" hidden="false" customHeight="false" outlineLevel="0" collapsed="false">
      <c r="A2041" s="5" t="n">
        <v>4</v>
      </c>
      <c r="B2041" s="5" t="n">
        <v>1</v>
      </c>
      <c r="C2041" s="5" t="s">
        <v>116</v>
      </c>
      <c r="D2041" s="5" t="s">
        <v>1022</v>
      </c>
      <c r="E2041" s="5" t="n">
        <v>1</v>
      </c>
      <c r="F2041" s="6" t="n">
        <f aca="false">IFERROR(MATCH(A2041&amp;"|"&amp;B2041&amp;"|"&amp;D2041,'All Song Rankings'!$T:$T,0),0)</f>
        <v>311</v>
      </c>
      <c r="G2041" s="6" t="str">
        <f aca="false">IF(F2041=0,"NOT FOUND",INDEX('All Song Rankings'!$A:$A,F2041))</f>
        <v>Teeth</v>
      </c>
      <c r="H2041" s="6" t="str">
        <f aca="false">IF(F2041=0,"NOT FOUND",INDEX('All Song Rankings'!$B:$B,F2041))</f>
        <v>5 Seconds of Summer</v>
      </c>
      <c r="I2041" s="6" t="str">
        <f aca="false">IF(F2041=0,"NOT FOUND",INDEX('All Song Rankings'!$D:$D,F2041))</f>
        <v>Makenzie</v>
      </c>
      <c r="J2041" s="7" t="str">
        <f aca="false">IF(F2041=0,"NOT FOUND",IF(C2041=I2041,"SELF-VOTE",IF(COUNTIF($K:$K,K2041)&gt;1,"DUPLICATE","OK")))</f>
        <v>OK</v>
      </c>
      <c r="K2041" s="6" t="str">
        <f aca="false">A2041&amp;"|"&amp;B2041&amp;"|"&amp;C2041&amp;"|"&amp;D2041</f>
        <v>4|1|Matt|spotify:track:3NxWJWftvkstyxvb1pZlFo</v>
      </c>
    </row>
    <row r="2042" customFormat="false" ht="15" hidden="false" customHeight="false" outlineLevel="0" collapsed="false">
      <c r="A2042" s="5" t="n">
        <v>4</v>
      </c>
      <c r="B2042" s="5" t="n">
        <v>1</v>
      </c>
      <c r="C2042" s="5" t="s">
        <v>116</v>
      </c>
      <c r="D2042" s="5" t="s">
        <v>1052</v>
      </c>
      <c r="E2042" s="5" t="n">
        <v>1</v>
      </c>
      <c r="F2042" s="6" t="n">
        <f aca="false">IFERROR(MATCH(A2042&amp;"|"&amp;B2042&amp;"|"&amp;D2042,'All Song Rankings'!$T:$T,0),0)</f>
        <v>322</v>
      </c>
      <c r="G2042" s="6" t="str">
        <f aca="false">IF(F2042=0,"NOT FOUND",INDEX('All Song Rankings'!$A:$A,F2042))</f>
        <v>Come prima</v>
      </c>
      <c r="H2042" s="6" t="str">
        <f aca="false">IF(F2042=0,"NOT FOUND",INDEX('All Song Rankings'!$B:$B,F2042))</f>
        <v>Tony Dallara</v>
      </c>
      <c r="I2042" s="6" t="str">
        <f aca="false">IF(F2042=0,"NOT FOUND",INDEX('All Song Rankings'!$D:$D,F2042))</f>
        <v>Scott</v>
      </c>
      <c r="J2042" s="7" t="str">
        <f aca="false">IF(F2042=0,"NOT FOUND",IF(C2042=I2042,"SELF-VOTE",IF(COUNTIF($K:$K,K2042)&gt;1,"DUPLICATE","OK")))</f>
        <v>OK</v>
      </c>
      <c r="K2042" s="6" t="str">
        <f aca="false">A2042&amp;"|"&amp;B2042&amp;"|"&amp;C2042&amp;"|"&amp;D2042</f>
        <v>4|1|Matt|spotify:track:3OWFR95HjLDQKbzHl6oqjq</v>
      </c>
    </row>
    <row r="2043" customFormat="false" ht="15" hidden="false" customHeight="false" outlineLevel="0" collapsed="false">
      <c r="A2043" s="5" t="n">
        <v>4</v>
      </c>
      <c r="B2043" s="5" t="n">
        <v>1</v>
      </c>
      <c r="C2043" s="5" t="s">
        <v>116</v>
      </c>
      <c r="D2043" s="5" t="s">
        <v>1055</v>
      </c>
      <c r="E2043" s="5" t="n">
        <v>1</v>
      </c>
      <c r="F2043" s="6" t="n">
        <f aca="false">IFERROR(MATCH(A2043&amp;"|"&amp;B2043&amp;"|"&amp;D2043,'All Song Rankings'!$T:$T,0),0)</f>
        <v>323</v>
      </c>
      <c r="G2043" s="6" t="str">
        <f aca="false">IF(F2043=0,"NOT FOUND",INDEX('All Song Rankings'!$A:$A,F2043))</f>
        <v>Sunday (feat. Snoop Dogg)</v>
      </c>
      <c r="H2043" s="6" t="str">
        <f aca="false">IF(F2043=0,"NOT FOUND",INDEX('All Song Rankings'!$B:$B,F2043))</f>
        <v>Ben Rector, Snoop Dogg</v>
      </c>
      <c r="I2043" s="6" t="str">
        <f aca="false">IF(F2043=0,"NOT FOUND",INDEX('All Song Rankings'!$D:$D,F2043))</f>
        <v>Grace</v>
      </c>
      <c r="J2043" s="7" t="str">
        <f aca="false">IF(F2043=0,"NOT FOUND",IF(C2043=I2043,"SELF-VOTE",IF(COUNTIF($K:$K,K2043)&gt;1,"DUPLICATE","OK")))</f>
        <v>OK</v>
      </c>
      <c r="K2043" s="6" t="str">
        <f aca="false">A2043&amp;"|"&amp;B2043&amp;"|"&amp;C2043&amp;"|"&amp;D2043</f>
        <v>4|1|Matt|spotify:track:4ztgjcOsR0HGsm1vkzh0Ky</v>
      </c>
    </row>
    <row r="2044" customFormat="false" ht="15" hidden="false" customHeight="false" outlineLevel="0" collapsed="false">
      <c r="A2044" s="5" t="n">
        <v>4</v>
      </c>
      <c r="B2044" s="5" t="n">
        <v>1</v>
      </c>
      <c r="C2044" s="5" t="s">
        <v>116</v>
      </c>
      <c r="D2044" s="5" t="s">
        <v>1046</v>
      </c>
      <c r="E2044" s="5" t="n">
        <v>1</v>
      </c>
      <c r="F2044" s="6" t="n">
        <f aca="false">IFERROR(MATCH(A2044&amp;"|"&amp;B2044&amp;"|"&amp;D2044,'All Song Rankings'!$T:$T,0),0)</f>
        <v>320</v>
      </c>
      <c r="G2044" s="6" t="str">
        <f aca="false">IF(F2044=0,"NOT FOUND",INDEX('All Song Rankings'!$A:$A,F2044))</f>
        <v>Take Aim</v>
      </c>
      <c r="H2044" s="6" t="str">
        <f aca="false">IF(F2044=0,"NOT FOUND",INDEX('All Song Rankings'!$B:$B,F2044))</f>
        <v>Sleep Token</v>
      </c>
      <c r="I2044" s="6" t="str">
        <f aca="false">IF(F2044=0,"NOT FOUND",INDEX('All Song Rankings'!$D:$D,F2044))</f>
        <v>Kristen</v>
      </c>
      <c r="J2044" s="7" t="str">
        <f aca="false">IF(F2044=0,"NOT FOUND",IF(C2044=I2044,"SELF-VOTE",IF(COUNTIF($K:$K,K2044)&gt;1,"DUPLICATE","OK")))</f>
        <v>OK</v>
      </c>
      <c r="K2044" s="6" t="str">
        <f aca="false">A2044&amp;"|"&amp;B2044&amp;"|"&amp;C2044&amp;"|"&amp;D2044</f>
        <v>4|1|Matt|spotify:track:5SWDoIEpuAWJMuGYeVe3gI</v>
      </c>
    </row>
    <row r="2045" customFormat="false" ht="15" hidden="false" customHeight="false" outlineLevel="0" collapsed="false">
      <c r="A2045" s="5" t="n">
        <v>4</v>
      </c>
      <c r="B2045" s="5" t="n">
        <v>1</v>
      </c>
      <c r="C2045" s="5" t="s">
        <v>116</v>
      </c>
      <c r="D2045" s="5" t="s">
        <v>1027</v>
      </c>
      <c r="E2045" s="5" t="n">
        <v>1</v>
      </c>
      <c r="F2045" s="6" t="n">
        <f aca="false">IFERROR(MATCH(A2045&amp;"|"&amp;B2045&amp;"|"&amp;D2045,'All Song Rankings'!$T:$T,0),0)</f>
        <v>313</v>
      </c>
      <c r="G2045" s="6" t="str">
        <f aca="false">IF(F2045=0,"NOT FOUND",INDEX('All Song Rankings'!$A:$A,F2045))</f>
        <v>Losing Myself</v>
      </c>
      <c r="H2045" s="6" t="str">
        <f aca="false">IF(F2045=0,"NOT FOUND",INDEX('All Song Rankings'!$B:$B,F2045))</f>
        <v>State Champs</v>
      </c>
      <c r="I2045" s="6" t="str">
        <f aca="false">IF(F2045=0,"NOT FOUND",INDEX('All Song Rankings'!$D:$D,F2045))</f>
        <v>Nicole</v>
      </c>
      <c r="J2045" s="7" t="str">
        <f aca="false">IF(F2045=0,"NOT FOUND",IF(C2045=I2045,"SELF-VOTE",IF(COUNTIF($K:$K,K2045)&gt;1,"DUPLICATE","OK")))</f>
        <v>OK</v>
      </c>
      <c r="K2045" s="6" t="str">
        <f aca="false">A2045&amp;"|"&amp;B2045&amp;"|"&amp;C2045&amp;"|"&amp;D2045</f>
        <v>4|1|Matt|spotify:track:74k5aYbmsRJqvuYY5p7in9</v>
      </c>
    </row>
    <row r="2046" customFormat="false" ht="15" hidden="false" customHeight="false" outlineLevel="0" collapsed="false">
      <c r="A2046" s="5" t="n">
        <v>4</v>
      </c>
      <c r="B2046" s="5" t="n">
        <v>1</v>
      </c>
      <c r="C2046" s="5" t="s">
        <v>116</v>
      </c>
      <c r="D2046" s="5" t="s">
        <v>1024</v>
      </c>
      <c r="E2046" s="5" t="n">
        <v>1</v>
      </c>
      <c r="F2046" s="6" t="n">
        <f aca="false">IFERROR(MATCH(A2046&amp;"|"&amp;B2046&amp;"|"&amp;D2046,'All Song Rankings'!$T:$T,0),0)</f>
        <v>312</v>
      </c>
      <c r="G2046" s="6" t="str">
        <f aca="false">IF(F2046=0,"NOT FOUND",INDEX('All Song Rankings'!$A:$A,F2046))</f>
        <v>FEVER DREAM</v>
      </c>
      <c r="H2046" s="6" t="str">
        <f aca="false">IF(F2046=0,"NOT FOUND",INDEX('All Song Rankings'!$B:$B,F2046))</f>
        <v>Alex Warren</v>
      </c>
      <c r="I2046" s="6" t="str">
        <f aca="false">IF(F2046=0,"NOT FOUND",INDEX('All Song Rankings'!$D:$D,F2046))</f>
        <v>Colleen</v>
      </c>
      <c r="J2046" s="7" t="str">
        <f aca="false">IF(F2046=0,"NOT FOUND",IF(C2046=I2046,"SELF-VOTE",IF(COUNTIF($K:$K,K2046)&gt;1,"DUPLICATE","OK")))</f>
        <v>OK</v>
      </c>
      <c r="K2046" s="6" t="str">
        <f aca="false">A2046&amp;"|"&amp;B2046&amp;"|"&amp;C2046&amp;"|"&amp;D2046</f>
        <v>4|1|Matt|spotify:track:7ogpGbKc4Io6NCU6ydxXwZ</v>
      </c>
    </row>
    <row r="2047" customFormat="false" ht="15" hidden="false" customHeight="false" outlineLevel="0" collapsed="false">
      <c r="A2047" s="5" t="n">
        <v>4</v>
      </c>
      <c r="B2047" s="5" t="n">
        <v>1</v>
      </c>
      <c r="C2047" s="5" t="s">
        <v>116</v>
      </c>
      <c r="D2047" s="5" t="s">
        <v>1049</v>
      </c>
      <c r="E2047" s="5" t="n">
        <v>1</v>
      </c>
      <c r="F2047" s="6" t="n">
        <f aca="false">IFERROR(MATCH(A2047&amp;"|"&amp;B2047&amp;"|"&amp;D2047,'All Song Rankings'!$T:$T,0),0)</f>
        <v>321</v>
      </c>
      <c r="G2047" s="6" t="str">
        <f aca="false">IF(F2047=0,"NOT FOUND",INDEX('All Song Rankings'!$A:$A,F2047))</f>
        <v>All In Now</v>
      </c>
      <c r="H2047" s="6" t="str">
        <f aca="false">IF(F2047=0,"NOT FOUND",INDEX('All Song Rankings'!$B:$B,F2047))</f>
        <v>Dogstar</v>
      </c>
      <c r="I2047" s="6" t="str">
        <f aca="false">IF(F2047=0,"NOT FOUND",INDEX('All Song Rankings'!$D:$D,F2047))</f>
        <v>Christine</v>
      </c>
      <c r="J2047" s="7" t="str">
        <f aca="false">IF(F2047=0,"NOT FOUND",IF(C2047=I2047,"SELF-VOTE",IF(COUNTIF($K:$K,K2047)&gt;1,"DUPLICATE","OK")))</f>
        <v>OK</v>
      </c>
      <c r="K2047" s="6" t="str">
        <f aca="false">A2047&amp;"|"&amp;B2047&amp;"|"&amp;C2047&amp;"|"&amp;D2047</f>
        <v>4|1|Matt|spotify:track:7t6a7n23SZQ5A5OuXYu3uO</v>
      </c>
    </row>
    <row r="2048" customFormat="false" ht="15" hidden="false" customHeight="false" outlineLevel="0" collapsed="false">
      <c r="A2048" s="5" t="n">
        <v>4</v>
      </c>
      <c r="B2048" s="5" t="n">
        <v>1</v>
      </c>
      <c r="C2048" s="5" t="s">
        <v>101</v>
      </c>
      <c r="D2048" s="5" t="s">
        <v>1035</v>
      </c>
      <c r="E2048" s="5" t="n">
        <v>2</v>
      </c>
      <c r="F2048" s="6" t="n">
        <f aca="false">IFERROR(MATCH(A2048&amp;"|"&amp;B2048&amp;"|"&amp;D2048,'All Song Rankings'!$T:$T,0),0)</f>
        <v>316</v>
      </c>
      <c r="G2048" s="6" t="str">
        <f aca="false">IF(F2048=0,"NOT FOUND",INDEX('All Song Rankings'!$A:$A,F2048))</f>
        <v>Stateside + Zara Larsson</v>
      </c>
      <c r="H2048" s="6" t="str">
        <f aca="false">IF(F2048=0,"NOT FOUND",INDEX('All Song Rankings'!$B:$B,F2048))</f>
        <v>PinkPantheress, Zara Larsson</v>
      </c>
      <c r="I2048" s="6" t="str">
        <f aca="false">IF(F2048=0,"NOT FOUND",INDEX('All Song Rankings'!$D:$D,F2048))</f>
        <v>Stephanie</v>
      </c>
      <c r="J2048" s="7" t="str">
        <f aca="false">IF(F2048=0,"NOT FOUND",IF(C2048=I2048,"SELF-VOTE",IF(COUNTIF($K:$K,K2048)&gt;1,"DUPLICATE","OK")))</f>
        <v>OK</v>
      </c>
      <c r="K2048" s="6" t="str">
        <f aca="false">A2048&amp;"|"&amp;B2048&amp;"|"&amp;C2048&amp;"|"&amp;D2048</f>
        <v>4|1|Merita|spotify:track:1DwscornXpj8fmOmYVlqZt</v>
      </c>
    </row>
    <row r="2049" customFormat="false" ht="15" hidden="false" customHeight="false" outlineLevel="0" collapsed="false">
      <c r="A2049" s="5" t="n">
        <v>4</v>
      </c>
      <c r="B2049" s="5" t="n">
        <v>1</v>
      </c>
      <c r="C2049" s="5" t="s">
        <v>101</v>
      </c>
      <c r="D2049" s="5" t="s">
        <v>1022</v>
      </c>
      <c r="E2049" s="5" t="n">
        <v>1</v>
      </c>
      <c r="F2049" s="6" t="n">
        <f aca="false">IFERROR(MATCH(A2049&amp;"|"&amp;B2049&amp;"|"&amp;D2049,'All Song Rankings'!$T:$T,0),0)</f>
        <v>311</v>
      </c>
      <c r="G2049" s="6" t="str">
        <f aca="false">IF(F2049=0,"NOT FOUND",INDEX('All Song Rankings'!$A:$A,F2049))</f>
        <v>Teeth</v>
      </c>
      <c r="H2049" s="6" t="str">
        <f aca="false">IF(F2049=0,"NOT FOUND",INDEX('All Song Rankings'!$B:$B,F2049))</f>
        <v>5 Seconds of Summer</v>
      </c>
      <c r="I2049" s="6" t="str">
        <f aca="false">IF(F2049=0,"NOT FOUND",INDEX('All Song Rankings'!$D:$D,F2049))</f>
        <v>Makenzie</v>
      </c>
      <c r="J2049" s="7" t="str">
        <f aca="false">IF(F2049=0,"NOT FOUND",IF(C2049=I2049,"SELF-VOTE",IF(COUNTIF($K:$K,K2049)&gt;1,"DUPLICATE","OK")))</f>
        <v>OK</v>
      </c>
      <c r="K2049" s="6" t="str">
        <f aca="false">A2049&amp;"|"&amp;B2049&amp;"|"&amp;C2049&amp;"|"&amp;D2049</f>
        <v>4|1|Merita|spotify:track:3NxWJWftvkstyxvb1pZlFo</v>
      </c>
    </row>
    <row r="2050" customFormat="false" ht="15" hidden="false" customHeight="false" outlineLevel="0" collapsed="false">
      <c r="A2050" s="5" t="n">
        <v>4</v>
      </c>
      <c r="B2050" s="5" t="n">
        <v>1</v>
      </c>
      <c r="C2050" s="5" t="s">
        <v>101</v>
      </c>
      <c r="D2050" s="5" t="s">
        <v>1055</v>
      </c>
      <c r="E2050" s="5" t="n">
        <v>1</v>
      </c>
      <c r="F2050" s="6" t="n">
        <f aca="false">IFERROR(MATCH(A2050&amp;"|"&amp;B2050&amp;"|"&amp;D2050,'All Song Rankings'!$T:$T,0),0)</f>
        <v>323</v>
      </c>
      <c r="G2050" s="6" t="str">
        <f aca="false">IF(F2050=0,"NOT FOUND",INDEX('All Song Rankings'!$A:$A,F2050))</f>
        <v>Sunday (feat. Snoop Dogg)</v>
      </c>
      <c r="H2050" s="6" t="str">
        <f aca="false">IF(F2050=0,"NOT FOUND",INDEX('All Song Rankings'!$B:$B,F2050))</f>
        <v>Ben Rector, Snoop Dogg</v>
      </c>
      <c r="I2050" s="6" t="str">
        <f aca="false">IF(F2050=0,"NOT FOUND",INDEX('All Song Rankings'!$D:$D,F2050))</f>
        <v>Grace</v>
      </c>
      <c r="J2050" s="7" t="str">
        <f aca="false">IF(F2050=0,"NOT FOUND",IF(C2050=I2050,"SELF-VOTE",IF(COUNTIF($K:$K,K2050)&gt;1,"DUPLICATE","OK")))</f>
        <v>OK</v>
      </c>
      <c r="K2050" s="6" t="str">
        <f aca="false">A2050&amp;"|"&amp;B2050&amp;"|"&amp;C2050&amp;"|"&amp;D2050</f>
        <v>4|1|Merita|spotify:track:4ztgjcOsR0HGsm1vkzh0Ky</v>
      </c>
    </row>
    <row r="2051" customFormat="false" ht="15" hidden="false" customHeight="false" outlineLevel="0" collapsed="false">
      <c r="A2051" s="5" t="n">
        <v>4</v>
      </c>
      <c r="B2051" s="5" t="n">
        <v>1</v>
      </c>
      <c r="C2051" s="5" t="s">
        <v>101</v>
      </c>
      <c r="D2051" s="5" t="s">
        <v>1044</v>
      </c>
      <c r="E2051" s="5" t="n">
        <v>2</v>
      </c>
      <c r="F2051" s="6" t="n">
        <f aca="false">IFERROR(MATCH(A2051&amp;"|"&amp;B2051&amp;"|"&amp;D2051,'All Song Rankings'!$T:$T,0),0)</f>
        <v>319</v>
      </c>
      <c r="G2051" s="6" t="str">
        <f aca="false">IF(F2051=0,"NOT FOUND",INDEX('All Song Rankings'!$A:$A,F2051))</f>
        <v>My Moon My Man</v>
      </c>
      <c r="H2051" s="6" t="str">
        <f aca="false">IF(F2051=0,"NOT FOUND",INDEX('All Song Rankings'!$B:$B,F2051))</f>
        <v>Feist</v>
      </c>
      <c r="I2051" s="6" t="str">
        <f aca="false">IF(F2051=0,"NOT FOUND",INDEX('All Song Rankings'!$D:$D,F2051))</f>
        <v>Matt</v>
      </c>
      <c r="J2051" s="7" t="str">
        <f aca="false">IF(F2051=0,"NOT FOUND",IF(C2051=I2051,"SELF-VOTE",IF(COUNTIF($K:$K,K2051)&gt;1,"DUPLICATE","OK")))</f>
        <v>OK</v>
      </c>
      <c r="K2051" s="6" t="str">
        <f aca="false">A2051&amp;"|"&amp;B2051&amp;"|"&amp;C2051&amp;"|"&amp;D2051</f>
        <v>4|1|Merita|spotify:track:5FFQbvn7055P1DvgJDdCBP</v>
      </c>
    </row>
    <row r="2052" customFormat="false" ht="15" hidden="false" customHeight="false" outlineLevel="0" collapsed="false">
      <c r="A2052" s="5" t="n">
        <v>4</v>
      </c>
      <c r="B2052" s="5" t="n">
        <v>1</v>
      </c>
      <c r="C2052" s="5" t="s">
        <v>101</v>
      </c>
      <c r="D2052" s="5" t="s">
        <v>1046</v>
      </c>
      <c r="E2052" s="5" t="n">
        <v>1</v>
      </c>
      <c r="F2052" s="6" t="n">
        <f aca="false">IFERROR(MATCH(A2052&amp;"|"&amp;B2052&amp;"|"&amp;D2052,'All Song Rankings'!$T:$T,0),0)</f>
        <v>320</v>
      </c>
      <c r="G2052" s="6" t="str">
        <f aca="false">IF(F2052=0,"NOT FOUND",INDEX('All Song Rankings'!$A:$A,F2052))</f>
        <v>Take Aim</v>
      </c>
      <c r="H2052" s="6" t="str">
        <f aca="false">IF(F2052=0,"NOT FOUND",INDEX('All Song Rankings'!$B:$B,F2052))</f>
        <v>Sleep Token</v>
      </c>
      <c r="I2052" s="6" t="str">
        <f aca="false">IF(F2052=0,"NOT FOUND",INDEX('All Song Rankings'!$D:$D,F2052))</f>
        <v>Kristen</v>
      </c>
      <c r="J2052" s="7" t="str">
        <f aca="false">IF(F2052=0,"NOT FOUND",IF(C2052=I2052,"SELF-VOTE",IF(COUNTIF($K:$K,K2052)&gt;1,"DUPLICATE","OK")))</f>
        <v>OK</v>
      </c>
      <c r="K2052" s="6" t="str">
        <f aca="false">A2052&amp;"|"&amp;B2052&amp;"|"&amp;C2052&amp;"|"&amp;D2052</f>
        <v>4|1|Merita|spotify:track:5SWDoIEpuAWJMuGYeVe3gI</v>
      </c>
    </row>
    <row r="2053" customFormat="false" ht="15" hidden="false" customHeight="false" outlineLevel="0" collapsed="false">
      <c r="A2053" s="5" t="n">
        <v>4</v>
      </c>
      <c r="B2053" s="5" t="n">
        <v>1</v>
      </c>
      <c r="C2053" s="5" t="s">
        <v>101</v>
      </c>
      <c r="D2053" s="5" t="s">
        <v>1027</v>
      </c>
      <c r="E2053" s="5" t="n">
        <v>1</v>
      </c>
      <c r="F2053" s="6" t="n">
        <f aca="false">IFERROR(MATCH(A2053&amp;"|"&amp;B2053&amp;"|"&amp;D2053,'All Song Rankings'!$T:$T,0),0)</f>
        <v>313</v>
      </c>
      <c r="G2053" s="6" t="str">
        <f aca="false">IF(F2053=0,"NOT FOUND",INDEX('All Song Rankings'!$A:$A,F2053))</f>
        <v>Losing Myself</v>
      </c>
      <c r="H2053" s="6" t="str">
        <f aca="false">IF(F2053=0,"NOT FOUND",INDEX('All Song Rankings'!$B:$B,F2053))</f>
        <v>State Champs</v>
      </c>
      <c r="I2053" s="6" t="str">
        <f aca="false">IF(F2053=0,"NOT FOUND",INDEX('All Song Rankings'!$D:$D,F2053))</f>
        <v>Nicole</v>
      </c>
      <c r="J2053" s="7" t="str">
        <f aca="false">IF(F2053=0,"NOT FOUND",IF(C2053=I2053,"SELF-VOTE",IF(COUNTIF($K:$K,K2053)&gt;1,"DUPLICATE","OK")))</f>
        <v>OK</v>
      </c>
      <c r="K2053" s="6" t="str">
        <f aca="false">A2053&amp;"|"&amp;B2053&amp;"|"&amp;C2053&amp;"|"&amp;D2053</f>
        <v>4|1|Merita|spotify:track:74k5aYbmsRJqvuYY5p7in9</v>
      </c>
    </row>
    <row r="2054" customFormat="false" ht="15" hidden="false" customHeight="false" outlineLevel="0" collapsed="false">
      <c r="A2054" s="5" t="n">
        <v>4</v>
      </c>
      <c r="B2054" s="5" t="n">
        <v>1</v>
      </c>
      <c r="C2054" s="5" t="s">
        <v>101</v>
      </c>
      <c r="D2054" s="5" t="s">
        <v>1024</v>
      </c>
      <c r="E2054" s="5" t="n">
        <v>1</v>
      </c>
      <c r="F2054" s="6" t="n">
        <f aca="false">IFERROR(MATCH(A2054&amp;"|"&amp;B2054&amp;"|"&amp;D2054,'All Song Rankings'!$T:$T,0),0)</f>
        <v>312</v>
      </c>
      <c r="G2054" s="6" t="str">
        <f aca="false">IF(F2054=0,"NOT FOUND",INDEX('All Song Rankings'!$A:$A,F2054))</f>
        <v>FEVER DREAM</v>
      </c>
      <c r="H2054" s="6" t="str">
        <f aca="false">IF(F2054=0,"NOT FOUND",INDEX('All Song Rankings'!$B:$B,F2054))</f>
        <v>Alex Warren</v>
      </c>
      <c r="I2054" s="6" t="str">
        <f aca="false">IF(F2054=0,"NOT FOUND",INDEX('All Song Rankings'!$D:$D,F2054))</f>
        <v>Colleen</v>
      </c>
      <c r="J2054" s="7" t="str">
        <f aca="false">IF(F2054=0,"NOT FOUND",IF(C2054=I2054,"SELF-VOTE",IF(COUNTIF($K:$K,K2054)&gt;1,"DUPLICATE","OK")))</f>
        <v>OK</v>
      </c>
      <c r="K2054" s="6" t="str">
        <f aca="false">A2054&amp;"|"&amp;B2054&amp;"|"&amp;C2054&amp;"|"&amp;D2054</f>
        <v>4|1|Merita|spotify:track:7ogpGbKc4Io6NCU6ydxXwZ</v>
      </c>
    </row>
    <row r="2055" customFormat="false" ht="15" hidden="false" customHeight="false" outlineLevel="0" collapsed="false">
      <c r="A2055" s="5" t="n">
        <v>4</v>
      </c>
      <c r="B2055" s="5" t="n">
        <v>1</v>
      </c>
      <c r="C2055" s="5" t="s">
        <v>101</v>
      </c>
      <c r="D2055" s="5" t="s">
        <v>1049</v>
      </c>
      <c r="E2055" s="5" t="n">
        <v>1</v>
      </c>
      <c r="F2055" s="6" t="n">
        <f aca="false">IFERROR(MATCH(A2055&amp;"|"&amp;B2055&amp;"|"&amp;D2055,'All Song Rankings'!$T:$T,0),0)</f>
        <v>321</v>
      </c>
      <c r="G2055" s="6" t="str">
        <f aca="false">IF(F2055=0,"NOT FOUND",INDEX('All Song Rankings'!$A:$A,F2055))</f>
        <v>All In Now</v>
      </c>
      <c r="H2055" s="6" t="str">
        <f aca="false">IF(F2055=0,"NOT FOUND",INDEX('All Song Rankings'!$B:$B,F2055))</f>
        <v>Dogstar</v>
      </c>
      <c r="I2055" s="6" t="str">
        <f aca="false">IF(F2055=0,"NOT FOUND",INDEX('All Song Rankings'!$D:$D,F2055))</f>
        <v>Christine</v>
      </c>
      <c r="J2055" s="7" t="str">
        <f aca="false">IF(F2055=0,"NOT FOUND",IF(C2055=I2055,"SELF-VOTE",IF(COUNTIF($K:$K,K2055)&gt;1,"DUPLICATE","OK")))</f>
        <v>OK</v>
      </c>
      <c r="K2055" s="6" t="str">
        <f aca="false">A2055&amp;"|"&amp;B2055&amp;"|"&amp;C2055&amp;"|"&amp;D2055</f>
        <v>4|1|Merita|spotify:track:7t6a7n23SZQ5A5OuXYu3uO</v>
      </c>
    </row>
    <row r="2056" customFormat="false" ht="15" hidden="false" customHeight="false" outlineLevel="0" collapsed="false">
      <c r="A2056" s="5" t="n">
        <v>4</v>
      </c>
      <c r="B2056" s="5" t="n">
        <v>1</v>
      </c>
      <c r="C2056" s="5" t="s">
        <v>92</v>
      </c>
      <c r="D2056" s="5" t="s">
        <v>1035</v>
      </c>
      <c r="E2056" s="5" t="n">
        <v>1</v>
      </c>
      <c r="F2056" s="6" t="n">
        <f aca="false">IFERROR(MATCH(A2056&amp;"|"&amp;B2056&amp;"|"&amp;D2056,'All Song Rankings'!$T:$T,0),0)</f>
        <v>316</v>
      </c>
      <c r="G2056" s="6" t="str">
        <f aca="false">IF(F2056=0,"NOT FOUND",INDEX('All Song Rankings'!$A:$A,F2056))</f>
        <v>Stateside + Zara Larsson</v>
      </c>
      <c r="H2056" s="6" t="str">
        <f aca="false">IF(F2056=0,"NOT FOUND",INDEX('All Song Rankings'!$B:$B,F2056))</f>
        <v>PinkPantheress, Zara Larsson</v>
      </c>
      <c r="I2056" s="6" t="str">
        <f aca="false">IF(F2056=0,"NOT FOUND",INDEX('All Song Rankings'!$D:$D,F2056))</f>
        <v>Stephanie</v>
      </c>
      <c r="J2056" s="7" t="str">
        <f aca="false">IF(F2056=0,"NOT FOUND",IF(C2056=I2056,"SELF-VOTE",IF(COUNTIF($K:$K,K2056)&gt;1,"DUPLICATE","OK")))</f>
        <v>OK</v>
      </c>
      <c r="K2056" s="6" t="str">
        <f aca="false">A2056&amp;"|"&amp;B2056&amp;"|"&amp;C2056&amp;"|"&amp;D2056</f>
        <v>4|1|Nicole|spotify:track:1DwscornXpj8fmOmYVlqZt</v>
      </c>
    </row>
    <row r="2057" customFormat="false" ht="15" hidden="false" customHeight="false" outlineLevel="0" collapsed="false">
      <c r="A2057" s="5" t="n">
        <v>4</v>
      </c>
      <c r="B2057" s="5" t="n">
        <v>1</v>
      </c>
      <c r="C2057" s="5" t="s">
        <v>92</v>
      </c>
      <c r="D2057" s="5" t="s">
        <v>1020</v>
      </c>
      <c r="E2057" s="5" t="n">
        <v>1</v>
      </c>
      <c r="F2057" s="6" t="n">
        <f aca="false">IFERROR(MATCH(A2057&amp;"|"&amp;B2057&amp;"|"&amp;D2057,'All Song Rankings'!$T:$T,0),0)</f>
        <v>310</v>
      </c>
      <c r="G2057" s="6" t="str">
        <f aca="false">IF(F2057=0,"NOT FOUND",INDEX('All Song Rankings'!$A:$A,F2057))</f>
        <v>Caviar</v>
      </c>
      <c r="H2057" s="6" t="str">
        <f aca="false">IF(F2057=0,"NOT FOUND",INDEX('All Song Rankings'!$B:$B,F2057))</f>
        <v>JayDon</v>
      </c>
      <c r="I2057" s="6" t="str">
        <f aca="false">IF(F2057=0,"NOT FOUND",INDEX('All Song Rankings'!$D:$D,F2057))</f>
        <v>Merita</v>
      </c>
      <c r="J2057" s="7" t="str">
        <f aca="false">IF(F2057=0,"NOT FOUND",IF(C2057=I2057,"SELF-VOTE",IF(COUNTIF($K:$K,K2057)&gt;1,"DUPLICATE","OK")))</f>
        <v>OK</v>
      </c>
      <c r="K2057" s="6" t="str">
        <f aca="false">A2057&amp;"|"&amp;B2057&amp;"|"&amp;C2057&amp;"|"&amp;D2057</f>
        <v>4|1|Nicole|spotify:track:1RKq0J03X61Mxsm4fXFTTe</v>
      </c>
    </row>
    <row r="2058" customFormat="false" ht="15" hidden="false" customHeight="false" outlineLevel="0" collapsed="false">
      <c r="A2058" s="5" t="n">
        <v>4</v>
      </c>
      <c r="B2058" s="5" t="n">
        <v>1</v>
      </c>
      <c r="C2058" s="5" t="s">
        <v>92</v>
      </c>
      <c r="D2058" s="5" t="s">
        <v>1022</v>
      </c>
      <c r="E2058" s="5" t="n">
        <v>2</v>
      </c>
      <c r="F2058" s="6" t="n">
        <f aca="false">IFERROR(MATCH(A2058&amp;"|"&amp;B2058&amp;"|"&amp;D2058,'All Song Rankings'!$T:$T,0),0)</f>
        <v>311</v>
      </c>
      <c r="G2058" s="6" t="str">
        <f aca="false">IF(F2058=0,"NOT FOUND",INDEX('All Song Rankings'!$A:$A,F2058))</f>
        <v>Teeth</v>
      </c>
      <c r="H2058" s="6" t="str">
        <f aca="false">IF(F2058=0,"NOT FOUND",INDEX('All Song Rankings'!$B:$B,F2058))</f>
        <v>5 Seconds of Summer</v>
      </c>
      <c r="I2058" s="6" t="str">
        <f aca="false">IF(F2058=0,"NOT FOUND",INDEX('All Song Rankings'!$D:$D,F2058))</f>
        <v>Makenzie</v>
      </c>
      <c r="J2058" s="7" t="str">
        <f aca="false">IF(F2058=0,"NOT FOUND",IF(C2058=I2058,"SELF-VOTE",IF(COUNTIF($K:$K,K2058)&gt;1,"DUPLICATE","OK")))</f>
        <v>OK</v>
      </c>
      <c r="K2058" s="6" t="str">
        <f aca="false">A2058&amp;"|"&amp;B2058&amp;"|"&amp;C2058&amp;"|"&amp;D2058</f>
        <v>4|1|Nicole|spotify:track:3NxWJWftvkstyxvb1pZlFo</v>
      </c>
    </row>
    <row r="2059" customFormat="false" ht="15" hidden="false" customHeight="false" outlineLevel="0" collapsed="false">
      <c r="A2059" s="5" t="n">
        <v>4</v>
      </c>
      <c r="B2059" s="5" t="n">
        <v>1</v>
      </c>
      <c r="C2059" s="5" t="s">
        <v>92</v>
      </c>
      <c r="D2059" s="5" t="s">
        <v>1052</v>
      </c>
      <c r="E2059" s="5" t="n">
        <v>1</v>
      </c>
      <c r="F2059" s="6" t="n">
        <f aca="false">IFERROR(MATCH(A2059&amp;"|"&amp;B2059&amp;"|"&amp;D2059,'All Song Rankings'!$T:$T,0),0)</f>
        <v>322</v>
      </c>
      <c r="G2059" s="6" t="str">
        <f aca="false">IF(F2059=0,"NOT FOUND",INDEX('All Song Rankings'!$A:$A,F2059))</f>
        <v>Come prima</v>
      </c>
      <c r="H2059" s="6" t="str">
        <f aca="false">IF(F2059=0,"NOT FOUND",INDEX('All Song Rankings'!$B:$B,F2059))</f>
        <v>Tony Dallara</v>
      </c>
      <c r="I2059" s="6" t="str">
        <f aca="false">IF(F2059=0,"NOT FOUND",INDEX('All Song Rankings'!$D:$D,F2059))</f>
        <v>Scott</v>
      </c>
      <c r="J2059" s="7" t="str">
        <f aca="false">IF(F2059=0,"NOT FOUND",IF(C2059=I2059,"SELF-VOTE",IF(COUNTIF($K:$K,K2059)&gt;1,"DUPLICATE","OK")))</f>
        <v>OK</v>
      </c>
      <c r="K2059" s="6" t="str">
        <f aca="false">A2059&amp;"|"&amp;B2059&amp;"|"&amp;C2059&amp;"|"&amp;D2059</f>
        <v>4|1|Nicole|spotify:track:3OWFR95HjLDQKbzHl6oqjq</v>
      </c>
    </row>
    <row r="2060" customFormat="false" ht="15" hidden="false" customHeight="false" outlineLevel="0" collapsed="false">
      <c r="A2060" s="5" t="n">
        <v>4</v>
      </c>
      <c r="B2060" s="5" t="n">
        <v>1</v>
      </c>
      <c r="C2060" s="5" t="s">
        <v>92</v>
      </c>
      <c r="D2060" s="5" t="s">
        <v>1032</v>
      </c>
      <c r="E2060" s="5" t="n">
        <v>1</v>
      </c>
      <c r="F2060" s="6" t="n">
        <f aca="false">IFERROR(MATCH(A2060&amp;"|"&amp;B2060&amp;"|"&amp;D2060,'All Song Rankings'!$T:$T,0),0)</f>
        <v>315</v>
      </c>
      <c r="G2060" s="6" t="str">
        <f aca="false">IF(F2060=0,"NOT FOUND",INDEX('All Song Rankings'!$A:$A,F2060))</f>
        <v>Higher (feat. Alex Newell)</v>
      </c>
      <c r="H2060" s="6" t="str">
        <f aca="false">IF(F2060=0,"NOT FOUND",INDEX('All Song Rankings'!$B:$B,F2060))</f>
        <v>VINCINT, Alex Newell, Princess Precious</v>
      </c>
      <c r="I2060" s="6" t="str">
        <f aca="false">IF(F2060=0,"NOT FOUND",INDEX('All Song Rankings'!$D:$D,F2060))</f>
        <v>Logan</v>
      </c>
      <c r="J2060" s="7" t="str">
        <f aca="false">IF(F2060=0,"NOT FOUND",IF(C2060=I2060,"SELF-VOTE",IF(COUNTIF($K:$K,K2060)&gt;1,"DUPLICATE","OK")))</f>
        <v>OK</v>
      </c>
      <c r="K2060" s="6" t="str">
        <f aca="false">A2060&amp;"|"&amp;B2060&amp;"|"&amp;C2060&amp;"|"&amp;D2060</f>
        <v>4|1|Nicole|spotify:track:3x0oc9CVW5RwLx4EHW6JZk</v>
      </c>
    </row>
    <row r="2061" customFormat="false" ht="15" hidden="false" customHeight="false" outlineLevel="0" collapsed="false">
      <c r="A2061" s="5" t="n">
        <v>4</v>
      </c>
      <c r="B2061" s="5" t="n">
        <v>1</v>
      </c>
      <c r="C2061" s="5" t="s">
        <v>92</v>
      </c>
      <c r="D2061" s="5" t="s">
        <v>1038</v>
      </c>
      <c r="E2061" s="5" t="n">
        <v>2</v>
      </c>
      <c r="F2061" s="6" t="n">
        <f aca="false">IFERROR(MATCH(A2061&amp;"|"&amp;B2061&amp;"|"&amp;D2061,'All Song Rankings'!$T:$T,0),0)</f>
        <v>317</v>
      </c>
      <c r="G2061" s="6" t="str">
        <f aca="false">IF(F2061=0,"NOT FOUND",INDEX('All Song Rankings'!$A:$A,F2061))</f>
        <v>Holy Water</v>
      </c>
      <c r="H2061" s="6" t="str">
        <f aca="false">IF(F2061=0,"NOT FOUND",INDEX('All Song Rankings'!$B:$B,F2061))</f>
        <v>Marshmello, Jelly Roll</v>
      </c>
      <c r="I2061" s="6" t="str">
        <f aca="false">IF(F2061=0,"NOT FOUND",INDEX('All Song Rankings'!$D:$D,F2061))</f>
        <v>Leah</v>
      </c>
      <c r="J2061" s="7" t="str">
        <f aca="false">IF(F2061=0,"NOT FOUND",IF(C2061=I2061,"SELF-VOTE",IF(COUNTIF($K:$K,K2061)&gt;1,"DUPLICATE","OK")))</f>
        <v>OK</v>
      </c>
      <c r="K2061" s="6" t="str">
        <f aca="false">A2061&amp;"|"&amp;B2061&amp;"|"&amp;C2061&amp;"|"&amp;D2061</f>
        <v>4|1|Nicole|spotify:track:5Xnkr4b6swk6BA5IinCIlU</v>
      </c>
    </row>
    <row r="2062" customFormat="false" ht="15" hidden="false" customHeight="false" outlineLevel="0" collapsed="false">
      <c r="A2062" s="5" t="n">
        <v>4</v>
      </c>
      <c r="B2062" s="5" t="n">
        <v>1</v>
      </c>
      <c r="C2062" s="5" t="s">
        <v>92</v>
      </c>
      <c r="D2062" s="5" t="s">
        <v>1024</v>
      </c>
      <c r="E2062" s="5" t="n">
        <v>2</v>
      </c>
      <c r="F2062" s="6" t="n">
        <f aca="false">IFERROR(MATCH(A2062&amp;"|"&amp;B2062&amp;"|"&amp;D2062,'All Song Rankings'!$T:$T,0),0)</f>
        <v>312</v>
      </c>
      <c r="G2062" s="6" t="str">
        <f aca="false">IF(F2062=0,"NOT FOUND",INDEX('All Song Rankings'!$A:$A,F2062))</f>
        <v>FEVER DREAM</v>
      </c>
      <c r="H2062" s="6" t="str">
        <f aca="false">IF(F2062=0,"NOT FOUND",INDEX('All Song Rankings'!$B:$B,F2062))</f>
        <v>Alex Warren</v>
      </c>
      <c r="I2062" s="6" t="str">
        <f aca="false">IF(F2062=0,"NOT FOUND",INDEX('All Song Rankings'!$D:$D,F2062))</f>
        <v>Colleen</v>
      </c>
      <c r="J2062" s="7" t="str">
        <f aca="false">IF(F2062=0,"NOT FOUND",IF(C2062=I2062,"SELF-VOTE",IF(COUNTIF($K:$K,K2062)&gt;1,"DUPLICATE","OK")))</f>
        <v>OK</v>
      </c>
      <c r="K2062" s="6" t="str">
        <f aca="false">A2062&amp;"|"&amp;B2062&amp;"|"&amp;C2062&amp;"|"&amp;D2062</f>
        <v>4|1|Nicole|spotify:track:7ogpGbKc4Io6NCU6ydxXwZ</v>
      </c>
    </row>
    <row r="2063" customFormat="false" ht="15" hidden="false" customHeight="false" outlineLevel="0" collapsed="false">
      <c r="A2063" s="5" t="n">
        <v>4</v>
      </c>
      <c r="B2063" s="5" t="n">
        <v>1</v>
      </c>
      <c r="C2063" s="5" t="s">
        <v>97</v>
      </c>
      <c r="D2063" s="5" t="s">
        <v>1020</v>
      </c>
      <c r="E2063" s="5" t="n">
        <v>2</v>
      </c>
      <c r="F2063" s="6" t="n">
        <f aca="false">IFERROR(MATCH(A2063&amp;"|"&amp;B2063&amp;"|"&amp;D2063,'All Song Rankings'!$T:$T,0),0)</f>
        <v>310</v>
      </c>
      <c r="G2063" s="6" t="str">
        <f aca="false">IF(F2063=0,"NOT FOUND",INDEX('All Song Rankings'!$A:$A,F2063))</f>
        <v>Caviar</v>
      </c>
      <c r="H2063" s="6" t="str">
        <f aca="false">IF(F2063=0,"NOT FOUND",INDEX('All Song Rankings'!$B:$B,F2063))</f>
        <v>JayDon</v>
      </c>
      <c r="I2063" s="6" t="str">
        <f aca="false">IF(F2063=0,"NOT FOUND",INDEX('All Song Rankings'!$D:$D,F2063))</f>
        <v>Merita</v>
      </c>
      <c r="J2063" s="7" t="str">
        <f aca="false">IF(F2063=0,"NOT FOUND",IF(C2063=I2063,"SELF-VOTE",IF(COUNTIF($K:$K,K2063)&gt;1,"DUPLICATE","OK")))</f>
        <v>OK</v>
      </c>
      <c r="K2063" s="6" t="str">
        <f aca="false">A2063&amp;"|"&amp;B2063&amp;"|"&amp;C2063&amp;"|"&amp;D2063</f>
        <v>4|1|Stephanie|spotify:track:1RKq0J03X61Mxsm4fXFTTe</v>
      </c>
    </row>
    <row r="2064" customFormat="false" ht="15" hidden="false" customHeight="false" outlineLevel="0" collapsed="false">
      <c r="A2064" s="5" t="n">
        <v>4</v>
      </c>
      <c r="B2064" s="5" t="n">
        <v>1</v>
      </c>
      <c r="C2064" s="5" t="s">
        <v>97</v>
      </c>
      <c r="D2064" s="5" t="s">
        <v>1029</v>
      </c>
      <c r="E2064" s="5" t="n">
        <v>1</v>
      </c>
      <c r="F2064" s="6" t="n">
        <f aca="false">IFERROR(MATCH(A2064&amp;"|"&amp;B2064&amp;"|"&amp;D2064,'All Song Rankings'!$T:$T,0),0)</f>
        <v>314</v>
      </c>
      <c r="G2064" s="6" t="str">
        <f aca="false">IF(F2064=0,"NOT FOUND",INDEX('All Song Rankings'!$A:$A,F2064))</f>
        <v>Waterloo</v>
      </c>
      <c r="H2064" s="6" t="str">
        <f aca="false">IF(F2064=0,"NOT FOUND",INDEX('All Song Rankings'!$B:$B,F2064))</f>
        <v>ABBA</v>
      </c>
      <c r="I2064" s="6" t="str">
        <f aca="false">IF(F2064=0,"NOT FOUND",INDEX('All Song Rankings'!$D:$D,F2064))</f>
        <v>Kelsey</v>
      </c>
      <c r="J2064" s="7" t="str">
        <f aca="false">IF(F2064=0,"NOT FOUND",IF(C2064=I2064,"SELF-VOTE",IF(COUNTIF($K:$K,K2064)&gt;1,"DUPLICATE","OK")))</f>
        <v>OK</v>
      </c>
      <c r="K2064" s="6" t="str">
        <f aca="false">A2064&amp;"|"&amp;B2064&amp;"|"&amp;C2064&amp;"|"&amp;D2064</f>
        <v>4|1|Stephanie|spotify:track:3Dy4REq8O09IlgiwuHQ3sk</v>
      </c>
    </row>
    <row r="2065" customFormat="false" ht="15" hidden="false" customHeight="false" outlineLevel="0" collapsed="false">
      <c r="A2065" s="5" t="n">
        <v>4</v>
      </c>
      <c r="B2065" s="5" t="n">
        <v>1</v>
      </c>
      <c r="C2065" s="5" t="s">
        <v>97</v>
      </c>
      <c r="D2065" s="5" t="s">
        <v>1022</v>
      </c>
      <c r="E2065" s="5" t="n">
        <v>3</v>
      </c>
      <c r="F2065" s="6" t="n">
        <f aca="false">IFERROR(MATCH(A2065&amp;"|"&amp;B2065&amp;"|"&amp;D2065,'All Song Rankings'!$T:$T,0),0)</f>
        <v>311</v>
      </c>
      <c r="G2065" s="6" t="str">
        <f aca="false">IF(F2065=0,"NOT FOUND",INDEX('All Song Rankings'!$A:$A,F2065))</f>
        <v>Teeth</v>
      </c>
      <c r="H2065" s="6" t="str">
        <f aca="false">IF(F2065=0,"NOT FOUND",INDEX('All Song Rankings'!$B:$B,F2065))</f>
        <v>5 Seconds of Summer</v>
      </c>
      <c r="I2065" s="6" t="str">
        <f aca="false">IF(F2065=0,"NOT FOUND",INDEX('All Song Rankings'!$D:$D,F2065))</f>
        <v>Makenzie</v>
      </c>
      <c r="J2065" s="7" t="str">
        <f aca="false">IF(F2065=0,"NOT FOUND",IF(C2065=I2065,"SELF-VOTE",IF(COUNTIF($K:$K,K2065)&gt;1,"DUPLICATE","OK")))</f>
        <v>OK</v>
      </c>
      <c r="K2065" s="6" t="str">
        <f aca="false">A2065&amp;"|"&amp;B2065&amp;"|"&amp;C2065&amp;"|"&amp;D2065</f>
        <v>4|1|Stephanie|spotify:track:3NxWJWftvkstyxvb1pZlFo</v>
      </c>
    </row>
    <row r="2066" customFormat="false" ht="15" hidden="false" customHeight="false" outlineLevel="0" collapsed="false">
      <c r="A2066" s="5" t="n">
        <v>4</v>
      </c>
      <c r="B2066" s="5" t="n">
        <v>1</v>
      </c>
      <c r="C2066" s="5" t="s">
        <v>97</v>
      </c>
      <c r="D2066" s="5" t="s">
        <v>1032</v>
      </c>
      <c r="E2066" s="5" t="n">
        <v>2</v>
      </c>
      <c r="F2066" s="6" t="n">
        <f aca="false">IFERROR(MATCH(A2066&amp;"|"&amp;B2066&amp;"|"&amp;D2066,'All Song Rankings'!$T:$T,0),0)</f>
        <v>315</v>
      </c>
      <c r="G2066" s="6" t="str">
        <f aca="false">IF(F2066=0,"NOT FOUND",INDEX('All Song Rankings'!$A:$A,F2066))</f>
        <v>Higher (feat. Alex Newell)</v>
      </c>
      <c r="H2066" s="6" t="str">
        <f aca="false">IF(F2066=0,"NOT FOUND",INDEX('All Song Rankings'!$B:$B,F2066))</f>
        <v>VINCINT, Alex Newell, Princess Precious</v>
      </c>
      <c r="I2066" s="6" t="str">
        <f aca="false">IF(F2066=0,"NOT FOUND",INDEX('All Song Rankings'!$D:$D,F2066))</f>
        <v>Logan</v>
      </c>
      <c r="J2066" s="7" t="str">
        <f aca="false">IF(F2066=0,"NOT FOUND",IF(C2066=I2066,"SELF-VOTE",IF(COUNTIF($K:$K,K2066)&gt;1,"DUPLICATE","OK")))</f>
        <v>OK</v>
      </c>
      <c r="K2066" s="6" t="str">
        <f aca="false">A2066&amp;"|"&amp;B2066&amp;"|"&amp;C2066&amp;"|"&amp;D2066</f>
        <v>4|1|Stephanie|spotify:track:3x0oc9CVW5RwLx4EHW6JZk</v>
      </c>
    </row>
    <row r="2067" customFormat="false" ht="15" hidden="false" customHeight="false" outlineLevel="0" collapsed="false">
      <c r="A2067" s="5" t="n">
        <v>4</v>
      </c>
      <c r="B2067" s="5" t="n">
        <v>1</v>
      </c>
      <c r="C2067" s="5" t="s">
        <v>97</v>
      </c>
      <c r="D2067" s="5" t="s">
        <v>1044</v>
      </c>
      <c r="E2067" s="5" t="n">
        <v>1</v>
      </c>
      <c r="F2067" s="6" t="n">
        <f aca="false">IFERROR(MATCH(A2067&amp;"|"&amp;B2067&amp;"|"&amp;D2067,'All Song Rankings'!$T:$T,0),0)</f>
        <v>319</v>
      </c>
      <c r="G2067" s="6" t="str">
        <f aca="false">IF(F2067=0,"NOT FOUND",INDEX('All Song Rankings'!$A:$A,F2067))</f>
        <v>My Moon My Man</v>
      </c>
      <c r="H2067" s="6" t="str">
        <f aca="false">IF(F2067=0,"NOT FOUND",INDEX('All Song Rankings'!$B:$B,F2067))</f>
        <v>Feist</v>
      </c>
      <c r="I2067" s="6" t="str">
        <f aca="false">IF(F2067=0,"NOT FOUND",INDEX('All Song Rankings'!$D:$D,F2067))</f>
        <v>Matt</v>
      </c>
      <c r="J2067" s="7" t="str">
        <f aca="false">IF(F2067=0,"NOT FOUND",IF(C2067=I2067,"SELF-VOTE",IF(COUNTIF($K:$K,K2067)&gt;1,"DUPLICATE","OK")))</f>
        <v>OK</v>
      </c>
      <c r="K2067" s="6" t="str">
        <f aca="false">A2067&amp;"|"&amp;B2067&amp;"|"&amp;C2067&amp;"|"&amp;D2067</f>
        <v>4|1|Stephanie|spotify:track:5FFQbvn7055P1DvgJDdCBP</v>
      </c>
    </row>
    <row r="2068" customFormat="false" ht="15" hidden="false" customHeight="false" outlineLevel="0" collapsed="false">
      <c r="A2068" s="5" t="n">
        <v>4</v>
      </c>
      <c r="B2068" s="5" t="n">
        <v>1</v>
      </c>
      <c r="C2068" s="5" t="s">
        <v>97</v>
      </c>
      <c r="D2068" s="5" t="s">
        <v>1024</v>
      </c>
      <c r="E2068" s="5" t="n">
        <v>1</v>
      </c>
      <c r="F2068" s="6" t="n">
        <f aca="false">IFERROR(MATCH(A2068&amp;"|"&amp;B2068&amp;"|"&amp;D2068,'All Song Rankings'!$T:$T,0),0)</f>
        <v>312</v>
      </c>
      <c r="G2068" s="6" t="str">
        <f aca="false">IF(F2068=0,"NOT FOUND",INDEX('All Song Rankings'!$A:$A,F2068))</f>
        <v>FEVER DREAM</v>
      </c>
      <c r="H2068" s="6" t="str">
        <f aca="false">IF(F2068=0,"NOT FOUND",INDEX('All Song Rankings'!$B:$B,F2068))</f>
        <v>Alex Warren</v>
      </c>
      <c r="I2068" s="6" t="str">
        <f aca="false">IF(F2068=0,"NOT FOUND",INDEX('All Song Rankings'!$D:$D,F2068))</f>
        <v>Colleen</v>
      </c>
      <c r="J2068" s="7" t="str">
        <f aca="false">IF(F2068=0,"NOT FOUND",IF(C2068=I2068,"SELF-VOTE",IF(COUNTIF($K:$K,K2068)&gt;1,"DUPLICATE","OK")))</f>
        <v>OK</v>
      </c>
      <c r="K2068" s="6" t="str">
        <f aca="false">A2068&amp;"|"&amp;B2068&amp;"|"&amp;C2068&amp;"|"&amp;D2068</f>
        <v>4|1|Stephanie|spotify:track:7ogpGbKc4Io6NCU6ydxXwZ</v>
      </c>
    </row>
    <row r="2069" customFormat="false" ht="15" hidden="false" customHeight="false" outlineLevel="0" collapsed="false">
      <c r="A2069" s="5" t="n">
        <v>4</v>
      </c>
      <c r="B2069" s="5" t="n">
        <v>2</v>
      </c>
      <c r="C2069" s="5" t="s">
        <v>719</v>
      </c>
      <c r="D2069" s="5" t="s">
        <v>1065</v>
      </c>
      <c r="E2069" s="5" t="n">
        <v>2</v>
      </c>
      <c r="F2069" s="6" t="n">
        <f aca="false">IFERROR(MATCH(A2069&amp;"|"&amp;B2069&amp;"|"&amp;D2069,'All Song Rankings'!$T:$T,0),0)</f>
        <v>326</v>
      </c>
      <c r="G2069" s="6" t="str">
        <f aca="false">IF(F2069=0,"NOT FOUND",INDEX('All Song Rankings'!$A:$A,F2069))</f>
        <v>Closing Time</v>
      </c>
      <c r="H2069" s="6" t="str">
        <f aca="false">IF(F2069=0,"NOT FOUND",INDEX('All Song Rankings'!$B:$B,F2069))</f>
        <v>Semisonic</v>
      </c>
      <c r="I2069" s="6" t="str">
        <f aca="false">IF(F2069=0,"NOT FOUND",INDEX('All Song Rankings'!$D:$D,F2069))</f>
        <v>Scott</v>
      </c>
      <c r="J2069" s="7" t="str">
        <f aca="false">IF(F2069=0,"NOT FOUND",IF(C2069=I2069,"SELF-VOTE",IF(COUNTIF($K:$K,K2069)&gt;1,"DUPLICATE","OK")))</f>
        <v>OK</v>
      </c>
      <c r="K2069" s="6" t="str">
        <f aca="false">A2069&amp;"|"&amp;B2069&amp;"|"&amp;C2069&amp;"|"&amp;D2069</f>
        <v>4|2|Christine|spotify:track:087OBLtoeS3Q6j0k6tMNAI</v>
      </c>
    </row>
    <row r="2070" customFormat="false" ht="15" hidden="false" customHeight="false" outlineLevel="0" collapsed="false">
      <c r="A2070" s="5" t="n">
        <v>4</v>
      </c>
      <c r="B2070" s="5" t="n">
        <v>2</v>
      </c>
      <c r="C2070" s="5" t="s">
        <v>719</v>
      </c>
      <c r="D2070" s="5" t="s">
        <v>1090</v>
      </c>
      <c r="E2070" s="5" t="n">
        <v>1</v>
      </c>
      <c r="F2070" s="6" t="n">
        <f aca="false">IFERROR(MATCH(A2070&amp;"|"&amp;B2070&amp;"|"&amp;D2070,'All Song Rankings'!$T:$T,0),0)</f>
        <v>335</v>
      </c>
      <c r="G2070" s="6" t="str">
        <f aca="false">IF(F2070=0,"NOT FOUND",INDEX('All Song Rankings'!$A:$A,F2070))</f>
        <v>The Middle</v>
      </c>
      <c r="H2070" s="6" t="str">
        <f aca="false">IF(F2070=0,"NOT FOUND",INDEX('All Song Rankings'!$B:$B,F2070))</f>
        <v>Zedd, Maren Morris, Grey</v>
      </c>
      <c r="I2070" s="6" t="str">
        <f aca="false">IF(F2070=0,"NOT FOUND",INDEX('All Song Rankings'!$D:$D,F2070))</f>
        <v>Merita</v>
      </c>
      <c r="J2070" s="7" t="str">
        <f aca="false">IF(F2070=0,"NOT FOUND",IF(C2070=I2070,"SELF-VOTE",IF(COUNTIF($K:$K,K2070)&gt;1,"DUPLICATE","OK")))</f>
        <v>OK</v>
      </c>
      <c r="K2070" s="6" t="str">
        <f aca="false">A2070&amp;"|"&amp;B2070&amp;"|"&amp;C2070&amp;"|"&amp;D2070</f>
        <v>4|2|Christine|spotify:track:09IStsImFySgyp0pIQdqAc</v>
      </c>
    </row>
    <row r="2071" customFormat="false" ht="15" hidden="false" customHeight="false" outlineLevel="0" collapsed="false">
      <c r="A2071" s="5" t="n">
        <v>4</v>
      </c>
      <c r="B2071" s="5" t="n">
        <v>2</v>
      </c>
      <c r="C2071" s="5" t="s">
        <v>719</v>
      </c>
      <c r="D2071" s="5" t="s">
        <v>1068</v>
      </c>
      <c r="E2071" s="5" t="n">
        <v>1</v>
      </c>
      <c r="F2071" s="6" t="n">
        <f aca="false">IFERROR(MATCH(A2071&amp;"|"&amp;B2071&amp;"|"&amp;D2071,'All Song Rankings'!$T:$T,0),0)</f>
        <v>327</v>
      </c>
      <c r="G2071" s="6" t="str">
        <f aca="false">IF(F2071=0,"NOT FOUND",INDEX('All Song Rankings'!$A:$A,F2071))</f>
        <v>Two Princes</v>
      </c>
      <c r="H2071" s="6" t="str">
        <f aca="false">IF(F2071=0,"NOT FOUND",INDEX('All Song Rankings'!$B:$B,F2071))</f>
        <v>Spin Doctors</v>
      </c>
      <c r="I2071" s="6" t="str">
        <f aca="false">IF(F2071=0,"NOT FOUND",INDEX('All Song Rankings'!$D:$D,F2071))</f>
        <v>Grace</v>
      </c>
      <c r="J2071" s="7" t="str">
        <f aca="false">IF(F2071=0,"NOT FOUND",IF(C2071=I2071,"SELF-VOTE",IF(COUNTIF($K:$K,K2071)&gt;1,"DUPLICATE","OK")))</f>
        <v>OK</v>
      </c>
      <c r="K2071" s="6" t="str">
        <f aca="false">A2071&amp;"|"&amp;B2071&amp;"|"&amp;C2071&amp;"|"&amp;D2071</f>
        <v>4|2|Christine|spotify:track:0cuq829zRNq4AEdmDJA4aw</v>
      </c>
    </row>
    <row r="2072" customFormat="false" ht="15" hidden="false" customHeight="false" outlineLevel="0" collapsed="false">
      <c r="A2072" s="5" t="n">
        <v>4</v>
      </c>
      <c r="B2072" s="5" t="n">
        <v>2</v>
      </c>
      <c r="C2072" s="5" t="s">
        <v>719</v>
      </c>
      <c r="D2072" s="5" t="s">
        <v>1059</v>
      </c>
      <c r="E2072" s="5" t="n">
        <v>1</v>
      </c>
      <c r="F2072" s="6" t="n">
        <f aca="false">IFERROR(MATCH(A2072&amp;"|"&amp;B2072&amp;"|"&amp;D2072,'All Song Rankings'!$T:$T,0),0)</f>
        <v>324</v>
      </c>
      <c r="G2072" s="6" t="str">
        <f aca="false">IF(F2072=0,"NOT FOUND",INDEX('All Song Rankings'!$A:$A,F2072))</f>
        <v>The King of Wishful Thinking</v>
      </c>
      <c r="H2072" s="6" t="str">
        <f aca="false">IF(F2072=0,"NOT FOUND",INDEX('All Song Rankings'!$B:$B,F2072))</f>
        <v>Go West</v>
      </c>
      <c r="I2072" s="6" t="str">
        <f aca="false">IF(F2072=0,"NOT FOUND",INDEX('All Song Rankings'!$D:$D,F2072))</f>
        <v>Stephanie</v>
      </c>
      <c r="J2072" s="7" t="str">
        <f aca="false">IF(F2072=0,"NOT FOUND",IF(C2072=I2072,"SELF-VOTE",IF(COUNTIF($K:$K,K2072)&gt;1,"DUPLICATE","OK")))</f>
        <v>OK</v>
      </c>
      <c r="K2072" s="6" t="str">
        <f aca="false">A2072&amp;"|"&amp;B2072&amp;"|"&amp;C2072&amp;"|"&amp;D2072</f>
        <v>4|2|Christine|spotify:track:0gXTCSzaCOzNoRb9FeE62N</v>
      </c>
    </row>
    <row r="2073" customFormat="false" ht="15" hidden="false" customHeight="false" outlineLevel="0" collapsed="false">
      <c r="A2073" s="5" t="n">
        <v>4</v>
      </c>
      <c r="B2073" s="5" t="n">
        <v>2</v>
      </c>
      <c r="C2073" s="5" t="s">
        <v>719</v>
      </c>
      <c r="D2073" s="5" t="s">
        <v>1084</v>
      </c>
      <c r="E2073" s="5" t="n">
        <v>1</v>
      </c>
      <c r="F2073" s="6" t="n">
        <f aca="false">IFERROR(MATCH(A2073&amp;"|"&amp;B2073&amp;"|"&amp;D2073,'All Song Rankings'!$T:$T,0),0)</f>
        <v>333</v>
      </c>
      <c r="G2073" s="6" t="str">
        <f aca="false">IF(F2073=0,"NOT FOUND",INDEX('All Song Rankings'!$A:$A,F2073))</f>
        <v>Land of Confusion</v>
      </c>
      <c r="H2073" s="6" t="str">
        <f aca="false">IF(F2073=0,"NOT FOUND",INDEX('All Song Rankings'!$B:$B,F2073))</f>
        <v>Genesis</v>
      </c>
      <c r="I2073" s="6" t="str">
        <f aca="false">IF(F2073=0,"NOT FOUND",INDEX('All Song Rankings'!$D:$D,F2073))</f>
        <v>Kristen</v>
      </c>
      <c r="J2073" s="7" t="str">
        <f aca="false">IF(F2073=0,"NOT FOUND",IF(C2073=I2073,"SELF-VOTE",IF(COUNTIF($K:$K,K2073)&gt;1,"DUPLICATE","OK")))</f>
        <v>OK</v>
      </c>
      <c r="K2073" s="6" t="str">
        <f aca="false">A2073&amp;"|"&amp;B2073&amp;"|"&amp;C2073&amp;"|"&amp;D2073</f>
        <v>4|2|Christine|spotify:track:37T5HmPt4Qi9JHpcy7j1uU</v>
      </c>
    </row>
    <row r="2074" customFormat="false" ht="15" hidden="false" customHeight="false" outlineLevel="0" collapsed="false">
      <c r="A2074" s="5" t="n">
        <v>4</v>
      </c>
      <c r="B2074" s="5" t="n">
        <v>2</v>
      </c>
      <c r="C2074" s="5" t="s">
        <v>719</v>
      </c>
      <c r="D2074" s="5" t="s">
        <v>1074</v>
      </c>
      <c r="E2074" s="5" t="n">
        <v>1</v>
      </c>
      <c r="F2074" s="6" t="n">
        <f aca="false">IFERROR(MATCH(A2074&amp;"|"&amp;B2074&amp;"|"&amp;D2074,'All Song Rankings'!$T:$T,0),0)</f>
        <v>329</v>
      </c>
      <c r="G2074" s="6" t="str">
        <f aca="false">IF(F2074=0,"NOT FOUND",INDEX('All Song Rankings'!$A:$A,F2074))</f>
        <v>Fly</v>
      </c>
      <c r="H2074" s="6" t="str">
        <f aca="false">IF(F2074=0,"NOT FOUND",INDEX('All Song Rankings'!$B:$B,F2074))</f>
        <v>Sugar Ray</v>
      </c>
      <c r="I2074" s="6" t="str">
        <f aca="false">IF(F2074=0,"NOT FOUND",INDEX('All Song Rankings'!$D:$D,F2074))</f>
        <v>Makenzie</v>
      </c>
      <c r="J2074" s="7" t="str">
        <f aca="false">IF(F2074=0,"NOT FOUND",IF(C2074=I2074,"SELF-VOTE",IF(COUNTIF($K:$K,K2074)&gt;1,"DUPLICATE","OK")))</f>
        <v>OK</v>
      </c>
      <c r="K2074" s="6" t="str">
        <f aca="false">A2074&amp;"|"&amp;B2074&amp;"|"&amp;C2074&amp;"|"&amp;D2074</f>
        <v>4|2|Christine|spotify:track:3uPfVXcjnpOjyzI3jb3js4</v>
      </c>
    </row>
    <row r="2075" customFormat="false" ht="15" hidden="false" customHeight="false" outlineLevel="0" collapsed="false">
      <c r="A2075" s="5" t="n">
        <v>4</v>
      </c>
      <c r="B2075" s="5" t="n">
        <v>2</v>
      </c>
      <c r="C2075" s="5" t="s">
        <v>719</v>
      </c>
      <c r="D2075" s="5" t="s">
        <v>1071</v>
      </c>
      <c r="E2075" s="5" t="n">
        <v>1</v>
      </c>
      <c r="F2075" s="6" t="n">
        <f aca="false">IFERROR(MATCH(A2075&amp;"|"&amp;B2075&amp;"|"&amp;D2075,'All Song Rankings'!$T:$T,0),0)</f>
        <v>328</v>
      </c>
      <c r="G2075" s="6" t="str">
        <f aca="false">IF(F2075=0,"NOT FOUND",INDEX('All Song Rankings'!$A:$A,F2075))</f>
        <v>I Want It That Way</v>
      </c>
      <c r="H2075" s="6" t="str">
        <f aca="false">IF(F2075=0,"NOT FOUND",INDEX('All Song Rankings'!$B:$B,F2075))</f>
        <v>Backstreet Boys</v>
      </c>
      <c r="I2075" s="6" t="str">
        <f aca="false">IF(F2075=0,"NOT FOUND",INDEX('All Song Rankings'!$D:$D,F2075))</f>
        <v>Kelsey</v>
      </c>
      <c r="J2075" s="7" t="str">
        <f aca="false">IF(F2075=0,"NOT FOUND",IF(C2075=I2075,"SELF-VOTE",IF(COUNTIF($K:$K,K2075)&gt;1,"DUPLICATE","OK")))</f>
        <v>OK</v>
      </c>
      <c r="K2075" s="6" t="str">
        <f aca="false">A2075&amp;"|"&amp;B2075&amp;"|"&amp;C2075&amp;"|"&amp;D2075</f>
        <v>4|2|Christine|spotify:track:47BBI51FKFwOMlIiX6m8ya</v>
      </c>
    </row>
    <row r="2076" customFormat="false" ht="15" hidden="false" customHeight="false" outlineLevel="0" collapsed="false">
      <c r="A2076" s="5" t="n">
        <v>4</v>
      </c>
      <c r="B2076" s="5" t="n">
        <v>2</v>
      </c>
      <c r="C2076" s="5" t="s">
        <v>719</v>
      </c>
      <c r="D2076" s="5" t="s">
        <v>1095</v>
      </c>
      <c r="E2076" s="5" t="n">
        <v>1</v>
      </c>
      <c r="F2076" s="6" t="n">
        <f aca="false">IFERROR(MATCH(A2076&amp;"|"&amp;B2076&amp;"|"&amp;D2076,'All Song Rankings'!$T:$T,0),0)</f>
        <v>337</v>
      </c>
      <c r="G2076" s="6" t="str">
        <f aca="false">IF(F2076=0,"NOT FOUND",INDEX('All Song Rankings'!$A:$A,F2076))</f>
        <v>Peaches</v>
      </c>
      <c r="H2076" s="6" t="str">
        <f aca="false">IF(F2076=0,"NOT FOUND",INDEX('All Song Rankings'!$B:$B,F2076))</f>
        <v>Jack Black</v>
      </c>
      <c r="I2076" s="6" t="str">
        <f aca="false">IF(F2076=0,"NOT FOUND",INDEX('All Song Rankings'!$D:$D,F2076))</f>
        <v>Leah</v>
      </c>
      <c r="J2076" s="7" t="str">
        <f aca="false">IF(F2076=0,"NOT FOUND",IF(C2076=I2076,"SELF-VOTE",IF(COUNTIF($K:$K,K2076)&gt;1,"DUPLICATE","OK")))</f>
        <v>OK</v>
      </c>
      <c r="K2076" s="6" t="str">
        <f aca="false">A2076&amp;"|"&amp;B2076&amp;"|"&amp;C2076&amp;"|"&amp;D2076</f>
        <v>4|2|Christine|spotify:track:4w9soAM7IrmYDhSXLp14p6</v>
      </c>
    </row>
    <row r="2077" customFormat="false" ht="15" hidden="false" customHeight="false" outlineLevel="0" collapsed="false">
      <c r="A2077" s="5" t="n">
        <v>4</v>
      </c>
      <c r="B2077" s="5" t="n">
        <v>2</v>
      </c>
      <c r="C2077" s="5" t="s">
        <v>719</v>
      </c>
      <c r="D2077" s="5" t="s">
        <v>1077</v>
      </c>
      <c r="E2077" s="5" t="n">
        <v>1</v>
      </c>
      <c r="F2077" s="6" t="n">
        <f aca="false">IFERROR(MATCH(A2077&amp;"|"&amp;B2077&amp;"|"&amp;D2077,'All Song Rankings'!$T:$T,0),0)</f>
        <v>330</v>
      </c>
      <c r="G2077" s="6" t="str">
        <f aca="false">IF(F2077=0,"NOT FOUND",INDEX('All Song Rankings'!$A:$A,F2077))</f>
        <v>3AM</v>
      </c>
      <c r="H2077" s="6" t="str">
        <f aca="false">IF(F2077=0,"NOT FOUND",INDEX('All Song Rankings'!$B:$B,F2077))</f>
        <v>Matchbox Twenty</v>
      </c>
      <c r="I2077" s="6" t="str">
        <f aca="false">IF(F2077=0,"NOT FOUND",INDEX('All Song Rankings'!$D:$D,F2077))</f>
        <v>Matt</v>
      </c>
      <c r="J2077" s="7" t="str">
        <f aca="false">IF(F2077=0,"NOT FOUND",IF(C2077=I2077,"SELF-VOTE",IF(COUNTIF($K:$K,K2077)&gt;1,"DUPLICATE","OK")))</f>
        <v>OK</v>
      </c>
      <c r="K2077" s="6" t="str">
        <f aca="false">A2077&amp;"|"&amp;B2077&amp;"|"&amp;C2077&amp;"|"&amp;D2077</f>
        <v>4|2|Christine|spotify:track:5vYA1mW9g2Coh1HUFUSmlb</v>
      </c>
    </row>
    <row r="2078" customFormat="false" ht="15" hidden="false" customHeight="false" outlineLevel="0" collapsed="false">
      <c r="A2078" s="5" t="n">
        <v>4</v>
      </c>
      <c r="B2078" s="5" t="n">
        <v>2</v>
      </c>
      <c r="C2078" s="5" t="s">
        <v>637</v>
      </c>
      <c r="D2078" s="5" t="s">
        <v>1065</v>
      </c>
      <c r="E2078" s="5" t="n">
        <v>1</v>
      </c>
      <c r="F2078" s="6" t="n">
        <f aca="false">IFERROR(MATCH(A2078&amp;"|"&amp;B2078&amp;"|"&amp;D2078,'All Song Rankings'!$T:$T,0),0)</f>
        <v>326</v>
      </c>
      <c r="G2078" s="6" t="str">
        <f aca="false">IF(F2078=0,"NOT FOUND",INDEX('All Song Rankings'!$A:$A,F2078))</f>
        <v>Closing Time</v>
      </c>
      <c r="H2078" s="6" t="str">
        <f aca="false">IF(F2078=0,"NOT FOUND",INDEX('All Song Rankings'!$B:$B,F2078))</f>
        <v>Semisonic</v>
      </c>
      <c r="I2078" s="6" t="str">
        <f aca="false">IF(F2078=0,"NOT FOUND",INDEX('All Song Rankings'!$D:$D,F2078))</f>
        <v>Scott</v>
      </c>
      <c r="J2078" s="7" t="str">
        <f aca="false">IF(F2078=0,"NOT FOUND",IF(C2078=I2078,"SELF-VOTE",IF(COUNTIF($K:$K,K2078)&gt;1,"DUPLICATE","OK")))</f>
        <v>OK</v>
      </c>
      <c r="K2078" s="6" t="str">
        <f aca="false">A2078&amp;"|"&amp;B2078&amp;"|"&amp;C2078&amp;"|"&amp;D2078</f>
        <v>4|2|Colleen|spotify:track:087OBLtoeS3Q6j0k6tMNAI</v>
      </c>
    </row>
    <row r="2079" customFormat="false" ht="15" hidden="false" customHeight="false" outlineLevel="0" collapsed="false">
      <c r="A2079" s="5" t="n">
        <v>4</v>
      </c>
      <c r="B2079" s="5" t="n">
        <v>2</v>
      </c>
      <c r="C2079" s="5" t="s">
        <v>637</v>
      </c>
      <c r="D2079" s="5" t="s">
        <v>1068</v>
      </c>
      <c r="E2079" s="5" t="n">
        <v>2</v>
      </c>
      <c r="F2079" s="6" t="n">
        <f aca="false">IFERROR(MATCH(A2079&amp;"|"&amp;B2079&amp;"|"&amp;D2079,'All Song Rankings'!$T:$T,0),0)</f>
        <v>327</v>
      </c>
      <c r="G2079" s="6" t="str">
        <f aca="false">IF(F2079=0,"NOT FOUND",INDEX('All Song Rankings'!$A:$A,F2079))</f>
        <v>Two Princes</v>
      </c>
      <c r="H2079" s="6" t="str">
        <f aca="false">IF(F2079=0,"NOT FOUND",INDEX('All Song Rankings'!$B:$B,F2079))</f>
        <v>Spin Doctors</v>
      </c>
      <c r="I2079" s="6" t="str">
        <f aca="false">IF(F2079=0,"NOT FOUND",INDEX('All Song Rankings'!$D:$D,F2079))</f>
        <v>Grace</v>
      </c>
      <c r="J2079" s="7" t="str">
        <f aca="false">IF(F2079=0,"NOT FOUND",IF(C2079=I2079,"SELF-VOTE",IF(COUNTIF($K:$K,K2079)&gt;1,"DUPLICATE","OK")))</f>
        <v>OK</v>
      </c>
      <c r="K2079" s="6" t="str">
        <f aca="false">A2079&amp;"|"&amp;B2079&amp;"|"&amp;C2079&amp;"|"&amp;D2079</f>
        <v>4|2|Colleen|spotify:track:0cuq829zRNq4AEdmDJA4aw</v>
      </c>
    </row>
    <row r="2080" customFormat="false" ht="15" hidden="false" customHeight="false" outlineLevel="0" collapsed="false">
      <c r="A2080" s="5" t="n">
        <v>4</v>
      </c>
      <c r="B2080" s="5" t="n">
        <v>2</v>
      </c>
      <c r="C2080" s="5" t="s">
        <v>637</v>
      </c>
      <c r="D2080" s="5" t="s">
        <v>1059</v>
      </c>
      <c r="E2080" s="5" t="n">
        <v>1</v>
      </c>
      <c r="F2080" s="6" t="n">
        <f aca="false">IFERROR(MATCH(A2080&amp;"|"&amp;B2080&amp;"|"&amp;D2080,'All Song Rankings'!$T:$T,0),0)</f>
        <v>324</v>
      </c>
      <c r="G2080" s="6" t="str">
        <f aca="false">IF(F2080=0,"NOT FOUND",INDEX('All Song Rankings'!$A:$A,F2080))</f>
        <v>The King of Wishful Thinking</v>
      </c>
      <c r="H2080" s="6" t="str">
        <f aca="false">IF(F2080=0,"NOT FOUND",INDEX('All Song Rankings'!$B:$B,F2080))</f>
        <v>Go West</v>
      </c>
      <c r="I2080" s="6" t="str">
        <f aca="false">IF(F2080=0,"NOT FOUND",INDEX('All Song Rankings'!$D:$D,F2080))</f>
        <v>Stephanie</v>
      </c>
      <c r="J2080" s="7" t="str">
        <f aca="false">IF(F2080=0,"NOT FOUND",IF(C2080=I2080,"SELF-VOTE",IF(COUNTIF($K:$K,K2080)&gt;1,"DUPLICATE","OK")))</f>
        <v>OK</v>
      </c>
      <c r="K2080" s="6" t="str">
        <f aca="false">A2080&amp;"|"&amp;B2080&amp;"|"&amp;C2080&amp;"|"&amp;D2080</f>
        <v>4|2|Colleen|spotify:track:0gXTCSzaCOzNoRb9FeE62N</v>
      </c>
    </row>
    <row r="2081" customFormat="false" ht="15" hidden="false" customHeight="false" outlineLevel="0" collapsed="false">
      <c r="A2081" s="5" t="n">
        <v>4</v>
      </c>
      <c r="B2081" s="5" t="n">
        <v>2</v>
      </c>
      <c r="C2081" s="5" t="s">
        <v>637</v>
      </c>
      <c r="D2081" s="5" t="s">
        <v>1074</v>
      </c>
      <c r="E2081" s="5" t="n">
        <v>1</v>
      </c>
      <c r="F2081" s="6" t="n">
        <f aca="false">IFERROR(MATCH(A2081&amp;"|"&amp;B2081&amp;"|"&amp;D2081,'All Song Rankings'!$T:$T,0),0)</f>
        <v>329</v>
      </c>
      <c r="G2081" s="6" t="str">
        <f aca="false">IF(F2081=0,"NOT FOUND",INDEX('All Song Rankings'!$A:$A,F2081))</f>
        <v>Fly</v>
      </c>
      <c r="H2081" s="6" t="str">
        <f aca="false">IF(F2081=0,"NOT FOUND",INDEX('All Song Rankings'!$B:$B,F2081))</f>
        <v>Sugar Ray</v>
      </c>
      <c r="I2081" s="6" t="str">
        <f aca="false">IF(F2081=0,"NOT FOUND",INDEX('All Song Rankings'!$D:$D,F2081))</f>
        <v>Makenzie</v>
      </c>
      <c r="J2081" s="7" t="str">
        <f aca="false">IF(F2081=0,"NOT FOUND",IF(C2081=I2081,"SELF-VOTE",IF(COUNTIF($K:$K,K2081)&gt;1,"DUPLICATE","OK")))</f>
        <v>OK</v>
      </c>
      <c r="K2081" s="6" t="str">
        <f aca="false">A2081&amp;"|"&amp;B2081&amp;"|"&amp;C2081&amp;"|"&amp;D2081</f>
        <v>4|2|Colleen|spotify:track:3uPfVXcjnpOjyzI3jb3js4</v>
      </c>
    </row>
    <row r="2082" customFormat="false" ht="15" hidden="false" customHeight="false" outlineLevel="0" collapsed="false">
      <c r="A2082" s="5" t="n">
        <v>4</v>
      </c>
      <c r="B2082" s="5" t="n">
        <v>2</v>
      </c>
      <c r="C2082" s="5" t="s">
        <v>637</v>
      </c>
      <c r="D2082" s="5" t="s">
        <v>1071</v>
      </c>
      <c r="E2082" s="5" t="n">
        <v>1</v>
      </c>
      <c r="F2082" s="6" t="n">
        <f aca="false">IFERROR(MATCH(A2082&amp;"|"&amp;B2082&amp;"|"&amp;D2082,'All Song Rankings'!$T:$T,0),0)</f>
        <v>328</v>
      </c>
      <c r="G2082" s="6" t="str">
        <f aca="false">IF(F2082=0,"NOT FOUND",INDEX('All Song Rankings'!$A:$A,F2082))</f>
        <v>I Want It That Way</v>
      </c>
      <c r="H2082" s="6" t="str">
        <f aca="false">IF(F2082=0,"NOT FOUND",INDEX('All Song Rankings'!$B:$B,F2082))</f>
        <v>Backstreet Boys</v>
      </c>
      <c r="I2082" s="6" t="str">
        <f aca="false">IF(F2082=0,"NOT FOUND",INDEX('All Song Rankings'!$D:$D,F2082))</f>
        <v>Kelsey</v>
      </c>
      <c r="J2082" s="7" t="str">
        <f aca="false">IF(F2082=0,"NOT FOUND",IF(C2082=I2082,"SELF-VOTE",IF(COUNTIF($K:$K,K2082)&gt;1,"DUPLICATE","OK")))</f>
        <v>OK</v>
      </c>
      <c r="K2082" s="6" t="str">
        <f aca="false">A2082&amp;"|"&amp;B2082&amp;"|"&amp;C2082&amp;"|"&amp;D2082</f>
        <v>4|2|Colleen|spotify:track:47BBI51FKFwOMlIiX6m8ya</v>
      </c>
    </row>
    <row r="2083" customFormat="false" ht="15" hidden="false" customHeight="false" outlineLevel="0" collapsed="false">
      <c r="A2083" s="5" t="n">
        <v>4</v>
      </c>
      <c r="B2083" s="5" t="n">
        <v>2</v>
      </c>
      <c r="C2083" s="5" t="s">
        <v>637</v>
      </c>
      <c r="D2083" s="5" t="s">
        <v>1077</v>
      </c>
      <c r="E2083" s="5" t="n">
        <v>1</v>
      </c>
      <c r="F2083" s="6" t="n">
        <f aca="false">IFERROR(MATCH(A2083&amp;"|"&amp;B2083&amp;"|"&amp;D2083,'All Song Rankings'!$T:$T,0),0)</f>
        <v>330</v>
      </c>
      <c r="G2083" s="6" t="str">
        <f aca="false">IF(F2083=0,"NOT FOUND",INDEX('All Song Rankings'!$A:$A,F2083))</f>
        <v>3AM</v>
      </c>
      <c r="H2083" s="6" t="str">
        <f aca="false">IF(F2083=0,"NOT FOUND",INDEX('All Song Rankings'!$B:$B,F2083))</f>
        <v>Matchbox Twenty</v>
      </c>
      <c r="I2083" s="6" t="str">
        <f aca="false">IF(F2083=0,"NOT FOUND",INDEX('All Song Rankings'!$D:$D,F2083))</f>
        <v>Matt</v>
      </c>
      <c r="J2083" s="7" t="str">
        <f aca="false">IF(F2083=0,"NOT FOUND",IF(C2083=I2083,"SELF-VOTE",IF(COUNTIF($K:$K,K2083)&gt;1,"DUPLICATE","OK")))</f>
        <v>OK</v>
      </c>
      <c r="K2083" s="6" t="str">
        <f aca="false">A2083&amp;"|"&amp;B2083&amp;"|"&amp;C2083&amp;"|"&amp;D2083</f>
        <v>4|2|Colleen|spotify:track:5vYA1mW9g2Coh1HUFUSmlb</v>
      </c>
    </row>
    <row r="2084" customFormat="false" ht="15" hidden="false" customHeight="false" outlineLevel="0" collapsed="false">
      <c r="A2084" s="5" t="n">
        <v>4</v>
      </c>
      <c r="B2084" s="5" t="n">
        <v>2</v>
      </c>
      <c r="C2084" s="5" t="s">
        <v>637</v>
      </c>
      <c r="D2084" s="5" t="s">
        <v>1087</v>
      </c>
      <c r="E2084" s="5" t="n">
        <v>1</v>
      </c>
      <c r="F2084" s="6" t="n">
        <f aca="false">IFERROR(MATCH(A2084&amp;"|"&amp;B2084&amp;"|"&amp;D2084,'All Song Rankings'!$T:$T,0),0)</f>
        <v>334</v>
      </c>
      <c r="G2084" s="6" t="str">
        <f aca="false">IF(F2084=0,"NOT FOUND",INDEX('All Song Rankings'!$A:$A,F2084))</f>
        <v>Man! I Feel Like A Woman!</v>
      </c>
      <c r="H2084" s="6" t="str">
        <f aca="false">IF(F2084=0,"NOT FOUND",INDEX('All Song Rankings'!$B:$B,F2084))</f>
        <v>Shania Twain</v>
      </c>
      <c r="I2084" s="6" t="str">
        <f aca="false">IF(F2084=0,"NOT FOUND",INDEX('All Song Rankings'!$D:$D,F2084))</f>
        <v>Logan</v>
      </c>
      <c r="J2084" s="7" t="str">
        <f aca="false">IF(F2084=0,"NOT FOUND",IF(C2084=I2084,"SELF-VOTE",IF(COUNTIF($K:$K,K2084)&gt;1,"DUPLICATE","OK")))</f>
        <v>OK</v>
      </c>
      <c r="K2084" s="6" t="str">
        <f aca="false">A2084&amp;"|"&amp;B2084&amp;"|"&amp;C2084&amp;"|"&amp;D2084</f>
        <v>4|2|Colleen|spotify:track:6sxptembJVty4sNtcPMAVz</v>
      </c>
    </row>
    <row r="2085" customFormat="false" ht="15" hidden="false" customHeight="false" outlineLevel="0" collapsed="false">
      <c r="A2085" s="5" t="n">
        <v>4</v>
      </c>
      <c r="B2085" s="5" t="n">
        <v>2</v>
      </c>
      <c r="C2085" s="5" t="s">
        <v>637</v>
      </c>
      <c r="D2085" s="5" t="s">
        <v>1062</v>
      </c>
      <c r="E2085" s="5" t="n">
        <v>2</v>
      </c>
      <c r="F2085" s="6" t="n">
        <f aca="false">IFERROR(MATCH(A2085&amp;"|"&amp;B2085&amp;"|"&amp;D2085,'All Song Rankings'!$T:$T,0),0)</f>
        <v>325</v>
      </c>
      <c r="G2085" s="6" t="str">
        <f aca="false">IF(F2085=0,"NOT FOUND",INDEX('All Song Rankings'!$A:$A,F2085))</f>
        <v>Kiss Me</v>
      </c>
      <c r="H2085" s="6" t="str">
        <f aca="false">IF(F2085=0,"NOT FOUND",INDEX('All Song Rankings'!$B:$B,F2085))</f>
        <v>Sixpence None The Richer</v>
      </c>
      <c r="I2085" s="6" t="str">
        <f aca="false">IF(F2085=0,"NOT FOUND",INDEX('All Song Rankings'!$D:$D,F2085))</f>
        <v>Lisa</v>
      </c>
      <c r="J2085" s="7" t="str">
        <f aca="false">IF(F2085=0,"NOT FOUND",IF(C2085=I2085,"SELF-VOTE",IF(COUNTIF($K:$K,K2085)&gt;1,"DUPLICATE","OK")))</f>
        <v>OK</v>
      </c>
      <c r="K2085" s="6" t="str">
        <f aca="false">A2085&amp;"|"&amp;B2085&amp;"|"&amp;C2085&amp;"|"&amp;D2085</f>
        <v>4|2|Colleen|spotify:track:754kgU5rWscRTfvlsuEwFp</v>
      </c>
    </row>
    <row r="2086" customFormat="false" ht="15" hidden="false" customHeight="false" outlineLevel="0" collapsed="false">
      <c r="A2086" s="5" t="n">
        <v>4</v>
      </c>
      <c r="B2086" s="5" t="n">
        <v>2</v>
      </c>
      <c r="C2086" s="5" t="s">
        <v>382</v>
      </c>
      <c r="D2086" s="5" t="s">
        <v>1059</v>
      </c>
      <c r="E2086" s="5" t="n">
        <v>3</v>
      </c>
      <c r="F2086" s="6" t="n">
        <f aca="false">IFERROR(MATCH(A2086&amp;"|"&amp;B2086&amp;"|"&amp;D2086,'All Song Rankings'!$T:$T,0),0)</f>
        <v>324</v>
      </c>
      <c r="G2086" s="6" t="str">
        <f aca="false">IF(F2086=0,"NOT FOUND",INDEX('All Song Rankings'!$A:$A,F2086))</f>
        <v>The King of Wishful Thinking</v>
      </c>
      <c r="H2086" s="6" t="str">
        <f aca="false">IF(F2086=0,"NOT FOUND",INDEX('All Song Rankings'!$B:$B,F2086))</f>
        <v>Go West</v>
      </c>
      <c r="I2086" s="6" t="str">
        <f aca="false">IF(F2086=0,"NOT FOUND",INDEX('All Song Rankings'!$D:$D,F2086))</f>
        <v>Stephanie</v>
      </c>
      <c r="J2086" s="7" t="str">
        <f aca="false">IF(F2086=0,"NOT FOUND",IF(C2086=I2086,"SELF-VOTE",IF(COUNTIF($K:$K,K2086)&gt;1,"DUPLICATE","OK")))</f>
        <v>OK</v>
      </c>
      <c r="K2086" s="6" t="str">
        <f aca="false">A2086&amp;"|"&amp;B2086&amp;"|"&amp;C2086&amp;"|"&amp;D2086</f>
        <v>4|2|Grace|spotify:track:0gXTCSzaCOzNoRb9FeE62N</v>
      </c>
    </row>
    <row r="2087" customFormat="false" ht="15" hidden="false" customHeight="false" outlineLevel="0" collapsed="false">
      <c r="A2087" s="5" t="n">
        <v>4</v>
      </c>
      <c r="B2087" s="5" t="n">
        <v>2</v>
      </c>
      <c r="C2087" s="5" t="s">
        <v>382</v>
      </c>
      <c r="D2087" s="5" t="s">
        <v>1074</v>
      </c>
      <c r="E2087" s="5" t="n">
        <v>3</v>
      </c>
      <c r="F2087" s="6" t="n">
        <f aca="false">IFERROR(MATCH(A2087&amp;"|"&amp;B2087&amp;"|"&amp;D2087,'All Song Rankings'!$T:$T,0),0)</f>
        <v>329</v>
      </c>
      <c r="G2087" s="6" t="str">
        <f aca="false">IF(F2087=0,"NOT FOUND",INDEX('All Song Rankings'!$A:$A,F2087))</f>
        <v>Fly</v>
      </c>
      <c r="H2087" s="6" t="str">
        <f aca="false">IF(F2087=0,"NOT FOUND",INDEX('All Song Rankings'!$B:$B,F2087))</f>
        <v>Sugar Ray</v>
      </c>
      <c r="I2087" s="6" t="str">
        <f aca="false">IF(F2087=0,"NOT FOUND",INDEX('All Song Rankings'!$D:$D,F2087))</f>
        <v>Makenzie</v>
      </c>
      <c r="J2087" s="7" t="str">
        <f aca="false">IF(F2087=0,"NOT FOUND",IF(C2087=I2087,"SELF-VOTE",IF(COUNTIF($K:$K,K2087)&gt;1,"DUPLICATE","OK")))</f>
        <v>OK</v>
      </c>
      <c r="K2087" s="6" t="str">
        <f aca="false">A2087&amp;"|"&amp;B2087&amp;"|"&amp;C2087&amp;"|"&amp;D2087</f>
        <v>4|2|Grace|spotify:track:3uPfVXcjnpOjyzI3jb3js4</v>
      </c>
    </row>
    <row r="2088" customFormat="false" ht="15" hidden="false" customHeight="false" outlineLevel="0" collapsed="false">
      <c r="A2088" s="5" t="n">
        <v>4</v>
      </c>
      <c r="B2088" s="5" t="n">
        <v>2</v>
      </c>
      <c r="C2088" s="5" t="s">
        <v>382</v>
      </c>
      <c r="D2088" s="5" t="s">
        <v>1071</v>
      </c>
      <c r="E2088" s="5" t="n">
        <v>1</v>
      </c>
      <c r="F2088" s="6" t="n">
        <f aca="false">IFERROR(MATCH(A2088&amp;"|"&amp;B2088&amp;"|"&amp;D2088,'All Song Rankings'!$T:$T,0),0)</f>
        <v>328</v>
      </c>
      <c r="G2088" s="6" t="str">
        <f aca="false">IF(F2088=0,"NOT FOUND",INDEX('All Song Rankings'!$A:$A,F2088))</f>
        <v>I Want It That Way</v>
      </c>
      <c r="H2088" s="6" t="str">
        <f aca="false">IF(F2088=0,"NOT FOUND",INDEX('All Song Rankings'!$B:$B,F2088))</f>
        <v>Backstreet Boys</v>
      </c>
      <c r="I2088" s="6" t="str">
        <f aca="false">IF(F2088=0,"NOT FOUND",INDEX('All Song Rankings'!$D:$D,F2088))</f>
        <v>Kelsey</v>
      </c>
      <c r="J2088" s="7" t="str">
        <f aca="false">IF(F2088=0,"NOT FOUND",IF(C2088=I2088,"SELF-VOTE",IF(COUNTIF($K:$K,K2088)&gt;1,"DUPLICATE","OK")))</f>
        <v>OK</v>
      </c>
      <c r="K2088" s="6" t="str">
        <f aca="false">A2088&amp;"|"&amp;B2088&amp;"|"&amp;C2088&amp;"|"&amp;D2088</f>
        <v>4|2|Grace|spotify:track:47BBI51FKFwOMlIiX6m8ya</v>
      </c>
    </row>
    <row r="2089" customFormat="false" ht="15" hidden="false" customHeight="false" outlineLevel="0" collapsed="false">
      <c r="A2089" s="5" t="n">
        <v>4</v>
      </c>
      <c r="B2089" s="5" t="n">
        <v>2</v>
      </c>
      <c r="C2089" s="5" t="s">
        <v>382</v>
      </c>
      <c r="D2089" s="5" t="s">
        <v>1079</v>
      </c>
      <c r="E2089" s="5" t="n">
        <v>1</v>
      </c>
      <c r="F2089" s="6" t="n">
        <f aca="false">IFERROR(MATCH(A2089&amp;"|"&amp;B2089&amp;"|"&amp;D2089,'All Song Rankings'!$T:$T,0),0)</f>
        <v>331</v>
      </c>
      <c r="G2089" s="6" t="str">
        <f aca="false">IF(F2089=0,"NOT FOUND",INDEX('All Song Rankings'!$A:$A,F2089))</f>
        <v>Love Song</v>
      </c>
      <c r="H2089" s="6" t="str">
        <f aca="false">IF(F2089=0,"NOT FOUND",INDEX('All Song Rankings'!$B:$B,F2089))</f>
        <v>Sara Bareilles</v>
      </c>
      <c r="I2089" s="6" t="str">
        <f aca="false">IF(F2089=0,"NOT FOUND",INDEX('All Song Rankings'!$D:$D,F2089))</f>
        <v>Colleen</v>
      </c>
      <c r="J2089" s="7" t="str">
        <f aca="false">IF(F2089=0,"NOT FOUND",IF(C2089=I2089,"SELF-VOTE",IF(COUNTIF($K:$K,K2089)&gt;1,"DUPLICATE","OK")))</f>
        <v>OK</v>
      </c>
      <c r="K2089" s="6" t="str">
        <f aca="false">A2089&amp;"|"&amp;B2089&amp;"|"&amp;C2089&amp;"|"&amp;D2089</f>
        <v>4|2|Grace|spotify:track:4E6cwWJWZw2zWf7VFbH7wf</v>
      </c>
    </row>
    <row r="2090" customFormat="false" ht="15" hidden="false" customHeight="false" outlineLevel="0" collapsed="false">
      <c r="A2090" s="5" t="n">
        <v>4</v>
      </c>
      <c r="B2090" s="5" t="n">
        <v>2</v>
      </c>
      <c r="C2090" s="5" t="s">
        <v>382</v>
      </c>
      <c r="D2090" s="5" t="s">
        <v>1081</v>
      </c>
      <c r="E2090" s="5" t="n">
        <v>1</v>
      </c>
      <c r="F2090" s="6" t="n">
        <f aca="false">IFERROR(MATCH(A2090&amp;"|"&amp;B2090&amp;"|"&amp;D2090,'All Song Rankings'!$T:$T,0),0)</f>
        <v>332</v>
      </c>
      <c r="G2090" s="6" t="str">
        <f aca="false">IF(F2090=0,"NOT FOUND",INDEX('All Song Rankings'!$A:$A,F2090))</f>
        <v>What Makes You Beautiful</v>
      </c>
      <c r="H2090" s="6" t="str">
        <f aca="false">IF(F2090=0,"NOT FOUND",INDEX('All Song Rankings'!$B:$B,F2090))</f>
        <v>One Direction</v>
      </c>
      <c r="I2090" s="6" t="str">
        <f aca="false">IF(F2090=0,"NOT FOUND",INDEX('All Song Rankings'!$D:$D,F2090))</f>
        <v>Nicole</v>
      </c>
      <c r="J2090" s="7" t="str">
        <f aca="false">IF(F2090=0,"NOT FOUND",IF(C2090=I2090,"SELF-VOTE",IF(COUNTIF($K:$K,K2090)&gt;1,"DUPLICATE","OK")))</f>
        <v>OK</v>
      </c>
      <c r="K2090" s="6" t="str">
        <f aca="false">A2090&amp;"|"&amp;B2090&amp;"|"&amp;C2090&amp;"|"&amp;D2090</f>
        <v>4|2|Grace|spotify:track:4cluDES4hQEUhmXj6TXkSo</v>
      </c>
    </row>
    <row r="2091" customFormat="false" ht="15" hidden="false" customHeight="false" outlineLevel="0" collapsed="false">
      <c r="A2091" s="5" t="n">
        <v>4</v>
      </c>
      <c r="B2091" s="5" t="n">
        <v>2</v>
      </c>
      <c r="C2091" s="5" t="s">
        <v>382</v>
      </c>
      <c r="D2091" s="5" t="s">
        <v>1062</v>
      </c>
      <c r="E2091" s="5" t="n">
        <v>1</v>
      </c>
      <c r="F2091" s="6" t="n">
        <f aca="false">IFERROR(MATCH(A2091&amp;"|"&amp;B2091&amp;"|"&amp;D2091,'All Song Rankings'!$T:$T,0),0)</f>
        <v>325</v>
      </c>
      <c r="G2091" s="6" t="str">
        <f aca="false">IF(F2091=0,"NOT FOUND",INDEX('All Song Rankings'!$A:$A,F2091))</f>
        <v>Kiss Me</v>
      </c>
      <c r="H2091" s="6" t="str">
        <f aca="false">IF(F2091=0,"NOT FOUND",INDEX('All Song Rankings'!$B:$B,F2091))</f>
        <v>Sixpence None The Richer</v>
      </c>
      <c r="I2091" s="6" t="str">
        <f aca="false">IF(F2091=0,"NOT FOUND",INDEX('All Song Rankings'!$D:$D,F2091))</f>
        <v>Lisa</v>
      </c>
      <c r="J2091" s="7" t="str">
        <f aca="false">IF(F2091=0,"NOT FOUND",IF(C2091=I2091,"SELF-VOTE",IF(COUNTIF($K:$K,K2091)&gt;1,"DUPLICATE","OK")))</f>
        <v>OK</v>
      </c>
      <c r="K2091" s="6" t="str">
        <f aca="false">A2091&amp;"|"&amp;B2091&amp;"|"&amp;C2091&amp;"|"&amp;D2091</f>
        <v>4|2|Grace|spotify:track:754kgU5rWscRTfvlsuEwFp</v>
      </c>
    </row>
    <row r="2092" customFormat="false" ht="15" hidden="false" customHeight="false" outlineLevel="0" collapsed="false">
      <c r="A2092" s="5" t="n">
        <v>4</v>
      </c>
      <c r="B2092" s="5" t="n">
        <v>2</v>
      </c>
      <c r="C2092" s="5" t="s">
        <v>85</v>
      </c>
      <c r="D2092" s="5" t="s">
        <v>1065</v>
      </c>
      <c r="E2092" s="5" t="n">
        <v>1</v>
      </c>
      <c r="F2092" s="6" t="n">
        <f aca="false">IFERROR(MATCH(A2092&amp;"|"&amp;B2092&amp;"|"&amp;D2092,'All Song Rankings'!$T:$T,0),0)</f>
        <v>326</v>
      </c>
      <c r="G2092" s="6" t="str">
        <f aca="false">IF(F2092=0,"NOT FOUND",INDEX('All Song Rankings'!$A:$A,F2092))</f>
        <v>Closing Time</v>
      </c>
      <c r="H2092" s="6" t="str">
        <f aca="false">IF(F2092=0,"NOT FOUND",INDEX('All Song Rankings'!$B:$B,F2092))</f>
        <v>Semisonic</v>
      </c>
      <c r="I2092" s="6" t="str">
        <f aca="false">IF(F2092=0,"NOT FOUND",INDEX('All Song Rankings'!$D:$D,F2092))</f>
        <v>Scott</v>
      </c>
      <c r="J2092" s="7" t="str">
        <f aca="false">IF(F2092=0,"NOT FOUND",IF(C2092=I2092,"SELF-VOTE",IF(COUNTIF($K:$K,K2092)&gt;1,"DUPLICATE","OK")))</f>
        <v>OK</v>
      </c>
      <c r="K2092" s="6" t="str">
        <f aca="false">A2092&amp;"|"&amp;B2092&amp;"|"&amp;C2092&amp;"|"&amp;D2092</f>
        <v>4|2|Kelsey|spotify:track:087OBLtoeS3Q6j0k6tMNAI</v>
      </c>
    </row>
    <row r="2093" customFormat="false" ht="15" hidden="false" customHeight="false" outlineLevel="0" collapsed="false">
      <c r="A2093" s="5" t="n">
        <v>4</v>
      </c>
      <c r="B2093" s="5" t="n">
        <v>2</v>
      </c>
      <c r="C2093" s="5" t="s">
        <v>85</v>
      </c>
      <c r="D2093" s="5" t="s">
        <v>1090</v>
      </c>
      <c r="E2093" s="5" t="n">
        <v>1</v>
      </c>
      <c r="F2093" s="6" t="n">
        <f aca="false">IFERROR(MATCH(A2093&amp;"|"&amp;B2093&amp;"|"&amp;D2093,'All Song Rankings'!$T:$T,0),0)</f>
        <v>335</v>
      </c>
      <c r="G2093" s="6" t="str">
        <f aca="false">IF(F2093=0,"NOT FOUND",INDEX('All Song Rankings'!$A:$A,F2093))</f>
        <v>The Middle</v>
      </c>
      <c r="H2093" s="6" t="str">
        <f aca="false">IF(F2093=0,"NOT FOUND",INDEX('All Song Rankings'!$B:$B,F2093))</f>
        <v>Zedd, Maren Morris, Grey</v>
      </c>
      <c r="I2093" s="6" t="str">
        <f aca="false">IF(F2093=0,"NOT FOUND",INDEX('All Song Rankings'!$D:$D,F2093))</f>
        <v>Merita</v>
      </c>
      <c r="J2093" s="7" t="str">
        <f aca="false">IF(F2093=0,"NOT FOUND",IF(C2093=I2093,"SELF-VOTE",IF(COUNTIF($K:$K,K2093)&gt;1,"DUPLICATE","OK")))</f>
        <v>OK</v>
      </c>
      <c r="K2093" s="6" t="str">
        <f aca="false">A2093&amp;"|"&amp;B2093&amp;"|"&amp;C2093&amp;"|"&amp;D2093</f>
        <v>4|2|Kelsey|spotify:track:09IStsImFySgyp0pIQdqAc</v>
      </c>
    </row>
    <row r="2094" customFormat="false" ht="15" hidden="false" customHeight="false" outlineLevel="0" collapsed="false">
      <c r="A2094" s="5" t="n">
        <v>4</v>
      </c>
      <c r="B2094" s="5" t="n">
        <v>2</v>
      </c>
      <c r="C2094" s="5" t="s">
        <v>85</v>
      </c>
      <c r="D2094" s="5" t="s">
        <v>1059</v>
      </c>
      <c r="E2094" s="5" t="n">
        <v>2</v>
      </c>
      <c r="F2094" s="6" t="n">
        <f aca="false">IFERROR(MATCH(A2094&amp;"|"&amp;B2094&amp;"|"&amp;D2094,'All Song Rankings'!$T:$T,0),0)</f>
        <v>324</v>
      </c>
      <c r="G2094" s="6" t="str">
        <f aca="false">IF(F2094=0,"NOT FOUND",INDEX('All Song Rankings'!$A:$A,F2094))</f>
        <v>The King of Wishful Thinking</v>
      </c>
      <c r="H2094" s="6" t="str">
        <f aca="false">IF(F2094=0,"NOT FOUND",INDEX('All Song Rankings'!$B:$B,F2094))</f>
        <v>Go West</v>
      </c>
      <c r="I2094" s="6" t="str">
        <f aca="false">IF(F2094=0,"NOT FOUND",INDEX('All Song Rankings'!$D:$D,F2094))</f>
        <v>Stephanie</v>
      </c>
      <c r="J2094" s="7" t="str">
        <f aca="false">IF(F2094=0,"NOT FOUND",IF(C2094=I2094,"SELF-VOTE",IF(COUNTIF($K:$K,K2094)&gt;1,"DUPLICATE","OK")))</f>
        <v>OK</v>
      </c>
      <c r="K2094" s="6" t="str">
        <f aca="false">A2094&amp;"|"&amp;B2094&amp;"|"&amp;C2094&amp;"|"&amp;D2094</f>
        <v>4|2|Kelsey|spotify:track:0gXTCSzaCOzNoRb9FeE62N</v>
      </c>
    </row>
    <row r="2095" customFormat="false" ht="15" hidden="false" customHeight="false" outlineLevel="0" collapsed="false">
      <c r="A2095" s="5" t="n">
        <v>4</v>
      </c>
      <c r="B2095" s="5" t="n">
        <v>2</v>
      </c>
      <c r="C2095" s="5" t="s">
        <v>85</v>
      </c>
      <c r="D2095" s="5" t="s">
        <v>1074</v>
      </c>
      <c r="E2095" s="5" t="n">
        <v>1</v>
      </c>
      <c r="F2095" s="6" t="n">
        <f aca="false">IFERROR(MATCH(A2095&amp;"|"&amp;B2095&amp;"|"&amp;D2095,'All Song Rankings'!$T:$T,0),0)</f>
        <v>329</v>
      </c>
      <c r="G2095" s="6" t="str">
        <f aca="false">IF(F2095=0,"NOT FOUND",INDEX('All Song Rankings'!$A:$A,F2095))</f>
        <v>Fly</v>
      </c>
      <c r="H2095" s="6" t="str">
        <f aca="false">IF(F2095=0,"NOT FOUND",INDEX('All Song Rankings'!$B:$B,F2095))</f>
        <v>Sugar Ray</v>
      </c>
      <c r="I2095" s="6" t="str">
        <f aca="false">IF(F2095=0,"NOT FOUND",INDEX('All Song Rankings'!$D:$D,F2095))</f>
        <v>Makenzie</v>
      </c>
      <c r="J2095" s="7" t="str">
        <f aca="false">IF(F2095=0,"NOT FOUND",IF(C2095=I2095,"SELF-VOTE",IF(COUNTIF($K:$K,K2095)&gt;1,"DUPLICATE","OK")))</f>
        <v>OK</v>
      </c>
      <c r="K2095" s="6" t="str">
        <f aca="false">A2095&amp;"|"&amp;B2095&amp;"|"&amp;C2095&amp;"|"&amp;D2095</f>
        <v>4|2|Kelsey|spotify:track:3uPfVXcjnpOjyzI3jb3js4</v>
      </c>
    </row>
    <row r="2096" customFormat="false" ht="15" hidden="false" customHeight="false" outlineLevel="0" collapsed="false">
      <c r="A2096" s="5" t="n">
        <v>4</v>
      </c>
      <c r="B2096" s="5" t="n">
        <v>2</v>
      </c>
      <c r="C2096" s="5" t="s">
        <v>85</v>
      </c>
      <c r="D2096" s="5" t="s">
        <v>1079</v>
      </c>
      <c r="E2096" s="5" t="n">
        <v>1</v>
      </c>
      <c r="F2096" s="6" t="n">
        <f aca="false">IFERROR(MATCH(A2096&amp;"|"&amp;B2096&amp;"|"&amp;D2096,'All Song Rankings'!$T:$T,0),0)</f>
        <v>331</v>
      </c>
      <c r="G2096" s="6" t="str">
        <f aca="false">IF(F2096=0,"NOT FOUND",INDEX('All Song Rankings'!$A:$A,F2096))</f>
        <v>Love Song</v>
      </c>
      <c r="H2096" s="6" t="str">
        <f aca="false">IF(F2096=0,"NOT FOUND",INDEX('All Song Rankings'!$B:$B,F2096))</f>
        <v>Sara Bareilles</v>
      </c>
      <c r="I2096" s="6" t="str">
        <f aca="false">IF(F2096=0,"NOT FOUND",INDEX('All Song Rankings'!$D:$D,F2096))</f>
        <v>Colleen</v>
      </c>
      <c r="J2096" s="7" t="str">
        <f aca="false">IF(F2096=0,"NOT FOUND",IF(C2096=I2096,"SELF-VOTE",IF(COUNTIF($K:$K,K2096)&gt;1,"DUPLICATE","OK")))</f>
        <v>OK</v>
      </c>
      <c r="K2096" s="6" t="str">
        <f aca="false">A2096&amp;"|"&amp;B2096&amp;"|"&amp;C2096&amp;"|"&amp;D2096</f>
        <v>4|2|Kelsey|spotify:track:4E6cwWJWZw2zWf7VFbH7wf</v>
      </c>
    </row>
    <row r="2097" customFormat="false" ht="15" hidden="false" customHeight="false" outlineLevel="0" collapsed="false">
      <c r="A2097" s="5" t="n">
        <v>4</v>
      </c>
      <c r="B2097" s="5" t="n">
        <v>2</v>
      </c>
      <c r="C2097" s="5" t="s">
        <v>85</v>
      </c>
      <c r="D2097" s="5" t="s">
        <v>1081</v>
      </c>
      <c r="E2097" s="5" t="n">
        <v>1</v>
      </c>
      <c r="F2097" s="6" t="n">
        <f aca="false">IFERROR(MATCH(A2097&amp;"|"&amp;B2097&amp;"|"&amp;D2097,'All Song Rankings'!$T:$T,0),0)</f>
        <v>332</v>
      </c>
      <c r="G2097" s="6" t="str">
        <f aca="false">IF(F2097=0,"NOT FOUND",INDEX('All Song Rankings'!$A:$A,F2097))</f>
        <v>What Makes You Beautiful</v>
      </c>
      <c r="H2097" s="6" t="str">
        <f aca="false">IF(F2097=0,"NOT FOUND",INDEX('All Song Rankings'!$B:$B,F2097))</f>
        <v>One Direction</v>
      </c>
      <c r="I2097" s="6" t="str">
        <f aca="false">IF(F2097=0,"NOT FOUND",INDEX('All Song Rankings'!$D:$D,F2097))</f>
        <v>Nicole</v>
      </c>
      <c r="J2097" s="7" t="str">
        <f aca="false">IF(F2097=0,"NOT FOUND",IF(C2097=I2097,"SELF-VOTE",IF(COUNTIF($K:$K,K2097)&gt;1,"DUPLICATE","OK")))</f>
        <v>OK</v>
      </c>
      <c r="K2097" s="6" t="str">
        <f aca="false">A2097&amp;"|"&amp;B2097&amp;"|"&amp;C2097&amp;"|"&amp;D2097</f>
        <v>4|2|Kelsey|spotify:track:4cluDES4hQEUhmXj6TXkSo</v>
      </c>
    </row>
    <row r="2098" customFormat="false" ht="15" hidden="false" customHeight="false" outlineLevel="0" collapsed="false">
      <c r="A2098" s="5" t="n">
        <v>4</v>
      </c>
      <c r="B2098" s="5" t="n">
        <v>2</v>
      </c>
      <c r="C2098" s="5" t="s">
        <v>85</v>
      </c>
      <c r="D2098" s="5" t="s">
        <v>1087</v>
      </c>
      <c r="E2098" s="5" t="n">
        <v>2</v>
      </c>
      <c r="F2098" s="6" t="n">
        <f aca="false">IFERROR(MATCH(A2098&amp;"|"&amp;B2098&amp;"|"&amp;D2098,'All Song Rankings'!$T:$T,0),0)</f>
        <v>334</v>
      </c>
      <c r="G2098" s="6" t="str">
        <f aca="false">IF(F2098=0,"NOT FOUND",INDEX('All Song Rankings'!$A:$A,F2098))</f>
        <v>Man! I Feel Like A Woman!</v>
      </c>
      <c r="H2098" s="6" t="str">
        <f aca="false">IF(F2098=0,"NOT FOUND",INDEX('All Song Rankings'!$B:$B,F2098))</f>
        <v>Shania Twain</v>
      </c>
      <c r="I2098" s="6" t="str">
        <f aca="false">IF(F2098=0,"NOT FOUND",INDEX('All Song Rankings'!$D:$D,F2098))</f>
        <v>Logan</v>
      </c>
      <c r="J2098" s="7" t="str">
        <f aca="false">IF(F2098=0,"NOT FOUND",IF(C2098=I2098,"SELF-VOTE",IF(COUNTIF($K:$K,K2098)&gt;1,"DUPLICATE","OK")))</f>
        <v>OK</v>
      </c>
      <c r="K2098" s="6" t="str">
        <f aca="false">A2098&amp;"|"&amp;B2098&amp;"|"&amp;C2098&amp;"|"&amp;D2098</f>
        <v>4|2|Kelsey|spotify:track:6sxptembJVty4sNtcPMAVz</v>
      </c>
    </row>
    <row r="2099" customFormat="false" ht="15" hidden="false" customHeight="false" outlineLevel="0" collapsed="false">
      <c r="A2099" s="5" t="n">
        <v>4</v>
      </c>
      <c r="B2099" s="5" t="n">
        <v>2</v>
      </c>
      <c r="C2099" s="5" t="s">
        <v>85</v>
      </c>
      <c r="D2099" s="5" t="s">
        <v>1062</v>
      </c>
      <c r="E2099" s="5" t="n">
        <v>1</v>
      </c>
      <c r="F2099" s="6" t="n">
        <f aca="false">IFERROR(MATCH(A2099&amp;"|"&amp;B2099&amp;"|"&amp;D2099,'All Song Rankings'!$T:$T,0),0)</f>
        <v>325</v>
      </c>
      <c r="G2099" s="6" t="str">
        <f aca="false">IF(F2099=0,"NOT FOUND",INDEX('All Song Rankings'!$A:$A,F2099))</f>
        <v>Kiss Me</v>
      </c>
      <c r="H2099" s="6" t="str">
        <f aca="false">IF(F2099=0,"NOT FOUND",INDEX('All Song Rankings'!$B:$B,F2099))</f>
        <v>Sixpence None The Richer</v>
      </c>
      <c r="I2099" s="6" t="str">
        <f aca="false">IF(F2099=0,"NOT FOUND",INDEX('All Song Rankings'!$D:$D,F2099))</f>
        <v>Lisa</v>
      </c>
      <c r="J2099" s="7" t="str">
        <f aca="false">IF(F2099=0,"NOT FOUND",IF(C2099=I2099,"SELF-VOTE",IF(COUNTIF($K:$K,K2099)&gt;1,"DUPLICATE","OK")))</f>
        <v>OK</v>
      </c>
      <c r="K2099" s="6" t="str">
        <f aca="false">A2099&amp;"|"&amp;B2099&amp;"|"&amp;C2099&amp;"|"&amp;D2099</f>
        <v>4|2|Kelsey|spotify:track:754kgU5rWscRTfvlsuEwFp</v>
      </c>
    </row>
    <row r="2100" customFormat="false" ht="15" hidden="false" customHeight="false" outlineLevel="0" collapsed="false">
      <c r="A2100" s="5" t="n">
        <v>4</v>
      </c>
      <c r="B2100" s="5" t="n">
        <v>2</v>
      </c>
      <c r="C2100" s="5" t="s">
        <v>106</v>
      </c>
      <c r="D2100" s="5" t="s">
        <v>1065</v>
      </c>
      <c r="E2100" s="5" t="n">
        <v>1</v>
      </c>
      <c r="F2100" s="6" t="n">
        <f aca="false">IFERROR(MATCH(A2100&amp;"|"&amp;B2100&amp;"|"&amp;D2100,'All Song Rankings'!$T:$T,0),0)</f>
        <v>326</v>
      </c>
      <c r="G2100" s="6" t="str">
        <f aca="false">IF(F2100=0,"NOT FOUND",INDEX('All Song Rankings'!$A:$A,F2100))</f>
        <v>Closing Time</v>
      </c>
      <c r="H2100" s="6" t="str">
        <f aca="false">IF(F2100=0,"NOT FOUND",INDEX('All Song Rankings'!$B:$B,F2100))</f>
        <v>Semisonic</v>
      </c>
      <c r="I2100" s="6" t="str">
        <f aca="false">IF(F2100=0,"NOT FOUND",INDEX('All Song Rankings'!$D:$D,F2100))</f>
        <v>Scott</v>
      </c>
      <c r="J2100" s="7" t="str">
        <f aca="false">IF(F2100=0,"NOT FOUND",IF(C2100=I2100,"SELF-VOTE",IF(COUNTIF($K:$K,K2100)&gt;1,"DUPLICATE","OK")))</f>
        <v>OK</v>
      </c>
      <c r="K2100" s="6" t="str">
        <f aca="false">A2100&amp;"|"&amp;B2100&amp;"|"&amp;C2100&amp;"|"&amp;D2100</f>
        <v>4|2|Kristen|spotify:track:087OBLtoeS3Q6j0k6tMNAI</v>
      </c>
    </row>
    <row r="2101" customFormat="false" ht="15" hidden="false" customHeight="false" outlineLevel="0" collapsed="false">
      <c r="A2101" s="5" t="n">
        <v>4</v>
      </c>
      <c r="B2101" s="5" t="n">
        <v>2</v>
      </c>
      <c r="C2101" s="5" t="s">
        <v>106</v>
      </c>
      <c r="D2101" s="5" t="s">
        <v>1068</v>
      </c>
      <c r="E2101" s="5" t="n">
        <v>1</v>
      </c>
      <c r="F2101" s="6" t="n">
        <f aca="false">IFERROR(MATCH(A2101&amp;"|"&amp;B2101&amp;"|"&amp;D2101,'All Song Rankings'!$T:$T,0),0)</f>
        <v>327</v>
      </c>
      <c r="G2101" s="6" t="str">
        <f aca="false">IF(F2101=0,"NOT FOUND",INDEX('All Song Rankings'!$A:$A,F2101))</f>
        <v>Two Princes</v>
      </c>
      <c r="H2101" s="6" t="str">
        <f aca="false">IF(F2101=0,"NOT FOUND",INDEX('All Song Rankings'!$B:$B,F2101))</f>
        <v>Spin Doctors</v>
      </c>
      <c r="I2101" s="6" t="str">
        <f aca="false">IF(F2101=0,"NOT FOUND",INDEX('All Song Rankings'!$D:$D,F2101))</f>
        <v>Grace</v>
      </c>
      <c r="J2101" s="7" t="str">
        <f aca="false">IF(F2101=0,"NOT FOUND",IF(C2101=I2101,"SELF-VOTE",IF(COUNTIF($K:$K,K2101)&gt;1,"DUPLICATE","OK")))</f>
        <v>OK</v>
      </c>
      <c r="K2101" s="6" t="str">
        <f aca="false">A2101&amp;"|"&amp;B2101&amp;"|"&amp;C2101&amp;"|"&amp;D2101</f>
        <v>4|2|Kristen|spotify:track:0cuq829zRNq4AEdmDJA4aw</v>
      </c>
    </row>
    <row r="2102" customFormat="false" ht="15" hidden="false" customHeight="false" outlineLevel="0" collapsed="false">
      <c r="A2102" s="5" t="n">
        <v>4</v>
      </c>
      <c r="B2102" s="5" t="n">
        <v>2</v>
      </c>
      <c r="C2102" s="5" t="s">
        <v>106</v>
      </c>
      <c r="D2102" s="5" t="s">
        <v>1059</v>
      </c>
      <c r="E2102" s="5" t="n">
        <v>2</v>
      </c>
      <c r="F2102" s="6" t="n">
        <f aca="false">IFERROR(MATCH(A2102&amp;"|"&amp;B2102&amp;"|"&amp;D2102,'All Song Rankings'!$T:$T,0),0)</f>
        <v>324</v>
      </c>
      <c r="G2102" s="6" t="str">
        <f aca="false">IF(F2102=0,"NOT FOUND",INDEX('All Song Rankings'!$A:$A,F2102))</f>
        <v>The King of Wishful Thinking</v>
      </c>
      <c r="H2102" s="6" t="str">
        <f aca="false">IF(F2102=0,"NOT FOUND",INDEX('All Song Rankings'!$B:$B,F2102))</f>
        <v>Go West</v>
      </c>
      <c r="I2102" s="6" t="str">
        <f aca="false">IF(F2102=0,"NOT FOUND",INDEX('All Song Rankings'!$D:$D,F2102))</f>
        <v>Stephanie</v>
      </c>
      <c r="J2102" s="7" t="str">
        <f aca="false">IF(F2102=0,"NOT FOUND",IF(C2102=I2102,"SELF-VOTE",IF(COUNTIF($K:$K,K2102)&gt;1,"DUPLICATE","OK")))</f>
        <v>OK</v>
      </c>
      <c r="K2102" s="6" t="str">
        <f aca="false">A2102&amp;"|"&amp;B2102&amp;"|"&amp;C2102&amp;"|"&amp;D2102</f>
        <v>4|2|Kristen|spotify:track:0gXTCSzaCOzNoRb9FeE62N</v>
      </c>
    </row>
    <row r="2103" customFormat="false" ht="15" hidden="false" customHeight="false" outlineLevel="0" collapsed="false">
      <c r="A2103" s="5" t="n">
        <v>4</v>
      </c>
      <c r="B2103" s="5" t="n">
        <v>2</v>
      </c>
      <c r="C2103" s="5" t="s">
        <v>106</v>
      </c>
      <c r="D2103" s="5" t="s">
        <v>1092</v>
      </c>
      <c r="E2103" s="5" t="n">
        <v>1</v>
      </c>
      <c r="F2103" s="6" t="n">
        <f aca="false">IFERROR(MATCH(A2103&amp;"|"&amp;B2103&amp;"|"&amp;D2103,'All Song Rankings'!$T:$T,0),0)</f>
        <v>336</v>
      </c>
      <c r="G2103" s="6" t="str">
        <f aca="false">IF(F2103=0,"NOT FOUND",INDEX('All Song Rankings'!$A:$A,F2103))</f>
        <v>Crazy</v>
      </c>
      <c r="H2103" s="6" t="str">
        <f aca="false">IF(F2103=0,"NOT FOUND",INDEX('All Song Rankings'!$B:$B,F2103))</f>
        <v>Seal</v>
      </c>
      <c r="I2103" s="6" t="str">
        <f aca="false">IF(F2103=0,"NOT FOUND",INDEX('All Song Rankings'!$D:$D,F2103))</f>
        <v>Christine</v>
      </c>
      <c r="J2103" s="7" t="str">
        <f aca="false">IF(F2103=0,"NOT FOUND",IF(C2103=I2103,"SELF-VOTE",IF(COUNTIF($K:$K,K2103)&gt;1,"DUPLICATE","OK")))</f>
        <v>OK</v>
      </c>
      <c r="K2103" s="6" t="str">
        <f aca="false">A2103&amp;"|"&amp;B2103&amp;"|"&amp;C2103&amp;"|"&amp;D2103</f>
        <v>4|2|Kristen|spotify:track:10tdqQKFhddpkjzxllTVRj</v>
      </c>
    </row>
    <row r="2104" customFormat="false" ht="15" hidden="false" customHeight="false" outlineLevel="0" collapsed="false">
      <c r="A2104" s="5" t="n">
        <v>4</v>
      </c>
      <c r="B2104" s="5" t="n">
        <v>2</v>
      </c>
      <c r="C2104" s="5" t="s">
        <v>106</v>
      </c>
      <c r="D2104" s="5" t="s">
        <v>1071</v>
      </c>
      <c r="E2104" s="5" t="n">
        <v>1</v>
      </c>
      <c r="F2104" s="6" t="n">
        <f aca="false">IFERROR(MATCH(A2104&amp;"|"&amp;B2104&amp;"|"&amp;D2104,'All Song Rankings'!$T:$T,0),0)</f>
        <v>328</v>
      </c>
      <c r="G2104" s="6" t="str">
        <f aca="false">IF(F2104=0,"NOT FOUND",INDEX('All Song Rankings'!$A:$A,F2104))</f>
        <v>I Want It That Way</v>
      </c>
      <c r="H2104" s="6" t="str">
        <f aca="false">IF(F2104=0,"NOT FOUND",INDEX('All Song Rankings'!$B:$B,F2104))</f>
        <v>Backstreet Boys</v>
      </c>
      <c r="I2104" s="6" t="str">
        <f aca="false">IF(F2104=0,"NOT FOUND",INDEX('All Song Rankings'!$D:$D,F2104))</f>
        <v>Kelsey</v>
      </c>
      <c r="J2104" s="7" t="str">
        <f aca="false">IF(F2104=0,"NOT FOUND",IF(C2104=I2104,"SELF-VOTE",IF(COUNTIF($K:$K,K2104)&gt;1,"DUPLICATE","OK")))</f>
        <v>OK</v>
      </c>
      <c r="K2104" s="6" t="str">
        <f aca="false">A2104&amp;"|"&amp;B2104&amp;"|"&amp;C2104&amp;"|"&amp;D2104</f>
        <v>4|2|Kristen|spotify:track:47BBI51FKFwOMlIiX6m8ya</v>
      </c>
    </row>
    <row r="2105" customFormat="false" ht="15" hidden="false" customHeight="false" outlineLevel="0" collapsed="false">
      <c r="A2105" s="5" t="n">
        <v>4</v>
      </c>
      <c r="B2105" s="5" t="n">
        <v>2</v>
      </c>
      <c r="C2105" s="5" t="s">
        <v>106</v>
      </c>
      <c r="D2105" s="5" t="s">
        <v>1079</v>
      </c>
      <c r="E2105" s="5" t="n">
        <v>1</v>
      </c>
      <c r="F2105" s="6" t="n">
        <f aca="false">IFERROR(MATCH(A2105&amp;"|"&amp;B2105&amp;"|"&amp;D2105,'All Song Rankings'!$T:$T,0),0)</f>
        <v>331</v>
      </c>
      <c r="G2105" s="6" t="str">
        <f aca="false">IF(F2105=0,"NOT FOUND",INDEX('All Song Rankings'!$A:$A,F2105))</f>
        <v>Love Song</v>
      </c>
      <c r="H2105" s="6" t="str">
        <f aca="false">IF(F2105=0,"NOT FOUND",INDEX('All Song Rankings'!$B:$B,F2105))</f>
        <v>Sara Bareilles</v>
      </c>
      <c r="I2105" s="6" t="str">
        <f aca="false">IF(F2105=0,"NOT FOUND",INDEX('All Song Rankings'!$D:$D,F2105))</f>
        <v>Colleen</v>
      </c>
      <c r="J2105" s="7" t="str">
        <f aca="false">IF(F2105=0,"NOT FOUND",IF(C2105=I2105,"SELF-VOTE",IF(COUNTIF($K:$K,K2105)&gt;1,"DUPLICATE","OK")))</f>
        <v>OK</v>
      </c>
      <c r="K2105" s="6" t="str">
        <f aca="false">A2105&amp;"|"&amp;B2105&amp;"|"&amp;C2105&amp;"|"&amp;D2105</f>
        <v>4|2|Kristen|spotify:track:4E6cwWJWZw2zWf7VFbH7wf</v>
      </c>
    </row>
    <row r="2106" customFormat="false" ht="15" hidden="false" customHeight="false" outlineLevel="0" collapsed="false">
      <c r="A2106" s="5" t="n">
        <v>4</v>
      </c>
      <c r="B2106" s="5" t="n">
        <v>2</v>
      </c>
      <c r="C2106" s="5" t="s">
        <v>106</v>
      </c>
      <c r="D2106" s="5" t="s">
        <v>1077</v>
      </c>
      <c r="E2106" s="5" t="n">
        <v>1</v>
      </c>
      <c r="F2106" s="6" t="n">
        <f aca="false">IFERROR(MATCH(A2106&amp;"|"&amp;B2106&amp;"|"&amp;D2106,'All Song Rankings'!$T:$T,0),0)</f>
        <v>330</v>
      </c>
      <c r="G2106" s="6" t="str">
        <f aca="false">IF(F2106=0,"NOT FOUND",INDEX('All Song Rankings'!$A:$A,F2106))</f>
        <v>3AM</v>
      </c>
      <c r="H2106" s="6" t="str">
        <f aca="false">IF(F2106=0,"NOT FOUND",INDEX('All Song Rankings'!$B:$B,F2106))</f>
        <v>Matchbox Twenty</v>
      </c>
      <c r="I2106" s="6" t="str">
        <f aca="false">IF(F2106=0,"NOT FOUND",INDEX('All Song Rankings'!$D:$D,F2106))</f>
        <v>Matt</v>
      </c>
      <c r="J2106" s="7" t="str">
        <f aca="false">IF(F2106=0,"NOT FOUND",IF(C2106=I2106,"SELF-VOTE",IF(COUNTIF($K:$K,K2106)&gt;1,"DUPLICATE","OK")))</f>
        <v>OK</v>
      </c>
      <c r="K2106" s="6" t="str">
        <f aca="false">A2106&amp;"|"&amp;B2106&amp;"|"&amp;C2106&amp;"|"&amp;D2106</f>
        <v>4|2|Kristen|spotify:track:5vYA1mW9g2Coh1HUFUSmlb</v>
      </c>
    </row>
    <row r="2107" customFormat="false" ht="15" hidden="false" customHeight="false" outlineLevel="0" collapsed="false">
      <c r="A2107" s="5" t="n">
        <v>4</v>
      </c>
      <c r="B2107" s="5" t="n">
        <v>2</v>
      </c>
      <c r="C2107" s="5" t="s">
        <v>106</v>
      </c>
      <c r="D2107" s="5" t="s">
        <v>1087</v>
      </c>
      <c r="E2107" s="5" t="n">
        <v>1</v>
      </c>
      <c r="F2107" s="6" t="n">
        <f aca="false">IFERROR(MATCH(A2107&amp;"|"&amp;B2107&amp;"|"&amp;D2107,'All Song Rankings'!$T:$T,0),0)</f>
        <v>334</v>
      </c>
      <c r="G2107" s="6" t="str">
        <f aca="false">IF(F2107=0,"NOT FOUND",INDEX('All Song Rankings'!$A:$A,F2107))</f>
        <v>Man! I Feel Like A Woman!</v>
      </c>
      <c r="H2107" s="6" t="str">
        <f aca="false">IF(F2107=0,"NOT FOUND",INDEX('All Song Rankings'!$B:$B,F2107))</f>
        <v>Shania Twain</v>
      </c>
      <c r="I2107" s="6" t="str">
        <f aca="false">IF(F2107=0,"NOT FOUND",INDEX('All Song Rankings'!$D:$D,F2107))</f>
        <v>Logan</v>
      </c>
      <c r="J2107" s="7" t="str">
        <f aca="false">IF(F2107=0,"NOT FOUND",IF(C2107=I2107,"SELF-VOTE",IF(COUNTIF($K:$K,K2107)&gt;1,"DUPLICATE","OK")))</f>
        <v>OK</v>
      </c>
      <c r="K2107" s="6" t="str">
        <f aca="false">A2107&amp;"|"&amp;B2107&amp;"|"&amp;C2107&amp;"|"&amp;D2107</f>
        <v>4|2|Kristen|spotify:track:6sxptembJVty4sNtcPMAVz</v>
      </c>
    </row>
    <row r="2108" customFormat="false" ht="15" hidden="false" customHeight="false" outlineLevel="0" collapsed="false">
      <c r="A2108" s="5" t="n">
        <v>4</v>
      </c>
      <c r="B2108" s="5" t="n">
        <v>2</v>
      </c>
      <c r="C2108" s="5" t="s">
        <v>106</v>
      </c>
      <c r="D2108" s="5" t="s">
        <v>1062</v>
      </c>
      <c r="E2108" s="5" t="n">
        <v>1</v>
      </c>
      <c r="F2108" s="6" t="n">
        <f aca="false">IFERROR(MATCH(A2108&amp;"|"&amp;B2108&amp;"|"&amp;D2108,'All Song Rankings'!$T:$T,0),0)</f>
        <v>325</v>
      </c>
      <c r="G2108" s="6" t="str">
        <f aca="false">IF(F2108=0,"NOT FOUND",INDEX('All Song Rankings'!$A:$A,F2108))</f>
        <v>Kiss Me</v>
      </c>
      <c r="H2108" s="6" t="str">
        <f aca="false">IF(F2108=0,"NOT FOUND",INDEX('All Song Rankings'!$B:$B,F2108))</f>
        <v>Sixpence None The Richer</v>
      </c>
      <c r="I2108" s="6" t="str">
        <f aca="false">IF(F2108=0,"NOT FOUND",INDEX('All Song Rankings'!$D:$D,F2108))</f>
        <v>Lisa</v>
      </c>
      <c r="J2108" s="7" t="str">
        <f aca="false">IF(F2108=0,"NOT FOUND",IF(C2108=I2108,"SELF-VOTE",IF(COUNTIF($K:$K,K2108)&gt;1,"DUPLICATE","OK")))</f>
        <v>OK</v>
      </c>
      <c r="K2108" s="6" t="str">
        <f aca="false">A2108&amp;"|"&amp;B2108&amp;"|"&amp;C2108&amp;"|"&amp;D2108</f>
        <v>4|2|Kristen|spotify:track:754kgU5rWscRTfvlsuEwFp</v>
      </c>
    </row>
    <row r="2109" customFormat="false" ht="15" hidden="false" customHeight="false" outlineLevel="0" collapsed="false">
      <c r="A2109" s="5" t="n">
        <v>4</v>
      </c>
      <c r="B2109" s="5" t="n">
        <v>2</v>
      </c>
      <c r="C2109" s="5" t="s">
        <v>119</v>
      </c>
      <c r="D2109" s="5" t="s">
        <v>1065</v>
      </c>
      <c r="E2109" s="5" t="n">
        <v>1</v>
      </c>
      <c r="F2109" s="6" t="n">
        <f aca="false">IFERROR(MATCH(A2109&amp;"|"&amp;B2109&amp;"|"&amp;D2109,'All Song Rankings'!$T:$T,0),0)</f>
        <v>326</v>
      </c>
      <c r="G2109" s="6" t="str">
        <f aca="false">IF(F2109=0,"NOT FOUND",INDEX('All Song Rankings'!$A:$A,F2109))</f>
        <v>Closing Time</v>
      </c>
      <c r="H2109" s="6" t="str">
        <f aca="false">IF(F2109=0,"NOT FOUND",INDEX('All Song Rankings'!$B:$B,F2109))</f>
        <v>Semisonic</v>
      </c>
      <c r="I2109" s="6" t="str">
        <f aca="false">IF(F2109=0,"NOT FOUND",INDEX('All Song Rankings'!$D:$D,F2109))</f>
        <v>Scott</v>
      </c>
      <c r="J2109" s="7" t="str">
        <f aca="false">IF(F2109=0,"NOT FOUND",IF(C2109=I2109,"SELF-VOTE",IF(COUNTIF($K:$K,K2109)&gt;1,"DUPLICATE","OK")))</f>
        <v>OK</v>
      </c>
      <c r="K2109" s="6" t="str">
        <f aca="false">A2109&amp;"|"&amp;B2109&amp;"|"&amp;C2109&amp;"|"&amp;D2109</f>
        <v>4|2|Leah|spotify:track:087OBLtoeS3Q6j0k6tMNAI</v>
      </c>
    </row>
    <row r="2110" customFormat="false" ht="15" hidden="false" customHeight="false" outlineLevel="0" collapsed="false">
      <c r="A2110" s="5" t="n">
        <v>4</v>
      </c>
      <c r="B2110" s="5" t="n">
        <v>2</v>
      </c>
      <c r="C2110" s="5" t="s">
        <v>119</v>
      </c>
      <c r="D2110" s="5" t="s">
        <v>1090</v>
      </c>
      <c r="E2110" s="5" t="n">
        <v>1</v>
      </c>
      <c r="F2110" s="6" t="n">
        <f aca="false">IFERROR(MATCH(A2110&amp;"|"&amp;B2110&amp;"|"&amp;D2110,'All Song Rankings'!$T:$T,0),0)</f>
        <v>335</v>
      </c>
      <c r="G2110" s="6" t="str">
        <f aca="false">IF(F2110=0,"NOT FOUND",INDEX('All Song Rankings'!$A:$A,F2110))</f>
        <v>The Middle</v>
      </c>
      <c r="H2110" s="6" t="str">
        <f aca="false">IF(F2110=0,"NOT FOUND",INDEX('All Song Rankings'!$B:$B,F2110))</f>
        <v>Zedd, Maren Morris, Grey</v>
      </c>
      <c r="I2110" s="6" t="str">
        <f aca="false">IF(F2110=0,"NOT FOUND",INDEX('All Song Rankings'!$D:$D,F2110))</f>
        <v>Merita</v>
      </c>
      <c r="J2110" s="7" t="str">
        <f aca="false">IF(F2110=0,"NOT FOUND",IF(C2110=I2110,"SELF-VOTE",IF(COUNTIF($K:$K,K2110)&gt;1,"DUPLICATE","OK")))</f>
        <v>OK</v>
      </c>
      <c r="K2110" s="6" t="str">
        <f aca="false">A2110&amp;"|"&amp;B2110&amp;"|"&amp;C2110&amp;"|"&amp;D2110</f>
        <v>4|2|Leah|spotify:track:09IStsImFySgyp0pIQdqAc</v>
      </c>
    </row>
    <row r="2111" customFormat="false" ht="15" hidden="false" customHeight="false" outlineLevel="0" collapsed="false">
      <c r="A2111" s="5" t="n">
        <v>4</v>
      </c>
      <c r="B2111" s="5" t="n">
        <v>2</v>
      </c>
      <c r="C2111" s="5" t="s">
        <v>119</v>
      </c>
      <c r="D2111" s="5" t="s">
        <v>1068</v>
      </c>
      <c r="E2111" s="5" t="n">
        <v>1</v>
      </c>
      <c r="F2111" s="6" t="n">
        <f aca="false">IFERROR(MATCH(A2111&amp;"|"&amp;B2111&amp;"|"&amp;D2111,'All Song Rankings'!$T:$T,0),0)</f>
        <v>327</v>
      </c>
      <c r="G2111" s="6" t="str">
        <f aca="false">IF(F2111=0,"NOT FOUND",INDEX('All Song Rankings'!$A:$A,F2111))</f>
        <v>Two Princes</v>
      </c>
      <c r="H2111" s="6" t="str">
        <f aca="false">IF(F2111=0,"NOT FOUND",INDEX('All Song Rankings'!$B:$B,F2111))</f>
        <v>Spin Doctors</v>
      </c>
      <c r="I2111" s="6" t="str">
        <f aca="false">IF(F2111=0,"NOT FOUND",INDEX('All Song Rankings'!$D:$D,F2111))</f>
        <v>Grace</v>
      </c>
      <c r="J2111" s="7" t="str">
        <f aca="false">IF(F2111=0,"NOT FOUND",IF(C2111=I2111,"SELF-VOTE",IF(COUNTIF($K:$K,K2111)&gt;1,"DUPLICATE","OK")))</f>
        <v>OK</v>
      </c>
      <c r="K2111" s="6" t="str">
        <f aca="false">A2111&amp;"|"&amp;B2111&amp;"|"&amp;C2111&amp;"|"&amp;D2111</f>
        <v>4|2|Leah|spotify:track:0cuq829zRNq4AEdmDJA4aw</v>
      </c>
    </row>
    <row r="2112" customFormat="false" ht="15" hidden="false" customHeight="false" outlineLevel="0" collapsed="false">
      <c r="A2112" s="5" t="n">
        <v>4</v>
      </c>
      <c r="B2112" s="5" t="n">
        <v>2</v>
      </c>
      <c r="C2112" s="5" t="s">
        <v>119</v>
      </c>
      <c r="D2112" s="5" t="s">
        <v>1059</v>
      </c>
      <c r="E2112" s="5" t="n">
        <v>1</v>
      </c>
      <c r="F2112" s="6" t="n">
        <f aca="false">IFERROR(MATCH(A2112&amp;"|"&amp;B2112&amp;"|"&amp;D2112,'All Song Rankings'!$T:$T,0),0)</f>
        <v>324</v>
      </c>
      <c r="G2112" s="6" t="str">
        <f aca="false">IF(F2112=0,"NOT FOUND",INDEX('All Song Rankings'!$A:$A,F2112))</f>
        <v>The King of Wishful Thinking</v>
      </c>
      <c r="H2112" s="6" t="str">
        <f aca="false">IF(F2112=0,"NOT FOUND",INDEX('All Song Rankings'!$B:$B,F2112))</f>
        <v>Go West</v>
      </c>
      <c r="I2112" s="6" t="str">
        <f aca="false">IF(F2112=0,"NOT FOUND",INDEX('All Song Rankings'!$D:$D,F2112))</f>
        <v>Stephanie</v>
      </c>
      <c r="J2112" s="7" t="str">
        <f aca="false">IF(F2112=0,"NOT FOUND",IF(C2112=I2112,"SELF-VOTE",IF(COUNTIF($K:$K,K2112)&gt;1,"DUPLICATE","OK")))</f>
        <v>OK</v>
      </c>
      <c r="K2112" s="6" t="str">
        <f aca="false">A2112&amp;"|"&amp;B2112&amp;"|"&amp;C2112&amp;"|"&amp;D2112</f>
        <v>4|2|Leah|spotify:track:0gXTCSzaCOzNoRb9FeE62N</v>
      </c>
    </row>
    <row r="2113" customFormat="false" ht="15" hidden="false" customHeight="false" outlineLevel="0" collapsed="false">
      <c r="A2113" s="5" t="n">
        <v>4</v>
      </c>
      <c r="B2113" s="5" t="n">
        <v>2</v>
      </c>
      <c r="C2113" s="5" t="s">
        <v>119</v>
      </c>
      <c r="D2113" s="5" t="s">
        <v>1092</v>
      </c>
      <c r="E2113" s="5" t="n">
        <v>1</v>
      </c>
      <c r="F2113" s="6" t="n">
        <f aca="false">IFERROR(MATCH(A2113&amp;"|"&amp;B2113&amp;"|"&amp;D2113,'All Song Rankings'!$T:$T,0),0)</f>
        <v>336</v>
      </c>
      <c r="G2113" s="6" t="str">
        <f aca="false">IF(F2113=0,"NOT FOUND",INDEX('All Song Rankings'!$A:$A,F2113))</f>
        <v>Crazy</v>
      </c>
      <c r="H2113" s="6" t="str">
        <f aca="false">IF(F2113=0,"NOT FOUND",INDEX('All Song Rankings'!$B:$B,F2113))</f>
        <v>Seal</v>
      </c>
      <c r="I2113" s="6" t="str">
        <f aca="false">IF(F2113=0,"NOT FOUND",INDEX('All Song Rankings'!$D:$D,F2113))</f>
        <v>Christine</v>
      </c>
      <c r="J2113" s="7" t="str">
        <f aca="false">IF(F2113=0,"NOT FOUND",IF(C2113=I2113,"SELF-VOTE",IF(COUNTIF($K:$K,K2113)&gt;1,"DUPLICATE","OK")))</f>
        <v>OK</v>
      </c>
      <c r="K2113" s="6" t="str">
        <f aca="false">A2113&amp;"|"&amp;B2113&amp;"|"&amp;C2113&amp;"|"&amp;D2113</f>
        <v>4|2|Leah|spotify:track:10tdqQKFhddpkjzxllTVRj</v>
      </c>
    </row>
    <row r="2114" customFormat="false" ht="15" hidden="false" customHeight="false" outlineLevel="0" collapsed="false">
      <c r="A2114" s="5" t="n">
        <v>4</v>
      </c>
      <c r="B2114" s="5" t="n">
        <v>2</v>
      </c>
      <c r="C2114" s="5" t="s">
        <v>119</v>
      </c>
      <c r="D2114" s="5" t="s">
        <v>1084</v>
      </c>
      <c r="E2114" s="5" t="n">
        <v>1</v>
      </c>
      <c r="F2114" s="6" t="n">
        <f aca="false">IFERROR(MATCH(A2114&amp;"|"&amp;B2114&amp;"|"&amp;D2114,'All Song Rankings'!$T:$T,0),0)</f>
        <v>333</v>
      </c>
      <c r="G2114" s="6" t="str">
        <f aca="false">IF(F2114=0,"NOT FOUND",INDEX('All Song Rankings'!$A:$A,F2114))</f>
        <v>Land of Confusion</v>
      </c>
      <c r="H2114" s="6" t="str">
        <f aca="false">IF(F2114=0,"NOT FOUND",INDEX('All Song Rankings'!$B:$B,F2114))</f>
        <v>Genesis</v>
      </c>
      <c r="I2114" s="6" t="str">
        <f aca="false">IF(F2114=0,"NOT FOUND",INDEX('All Song Rankings'!$D:$D,F2114))</f>
        <v>Kristen</v>
      </c>
      <c r="J2114" s="7" t="str">
        <f aca="false">IF(F2114=0,"NOT FOUND",IF(C2114=I2114,"SELF-VOTE",IF(COUNTIF($K:$K,K2114)&gt;1,"DUPLICATE","OK")))</f>
        <v>OK</v>
      </c>
      <c r="K2114" s="6" t="str">
        <f aca="false">A2114&amp;"|"&amp;B2114&amp;"|"&amp;C2114&amp;"|"&amp;D2114</f>
        <v>4|2|Leah|spotify:track:37T5HmPt4Qi9JHpcy7j1uU</v>
      </c>
    </row>
    <row r="2115" customFormat="false" ht="15" hidden="false" customHeight="false" outlineLevel="0" collapsed="false">
      <c r="A2115" s="5" t="n">
        <v>4</v>
      </c>
      <c r="B2115" s="5" t="n">
        <v>2</v>
      </c>
      <c r="C2115" s="5" t="s">
        <v>119</v>
      </c>
      <c r="D2115" s="5" t="s">
        <v>1074</v>
      </c>
      <c r="E2115" s="5" t="n">
        <v>1</v>
      </c>
      <c r="F2115" s="6" t="n">
        <f aca="false">IFERROR(MATCH(A2115&amp;"|"&amp;B2115&amp;"|"&amp;D2115,'All Song Rankings'!$T:$T,0),0)</f>
        <v>329</v>
      </c>
      <c r="G2115" s="6" t="str">
        <f aca="false">IF(F2115=0,"NOT FOUND",INDEX('All Song Rankings'!$A:$A,F2115))</f>
        <v>Fly</v>
      </c>
      <c r="H2115" s="6" t="str">
        <f aca="false">IF(F2115=0,"NOT FOUND",INDEX('All Song Rankings'!$B:$B,F2115))</f>
        <v>Sugar Ray</v>
      </c>
      <c r="I2115" s="6" t="str">
        <f aca="false">IF(F2115=0,"NOT FOUND",INDEX('All Song Rankings'!$D:$D,F2115))</f>
        <v>Makenzie</v>
      </c>
      <c r="J2115" s="7" t="str">
        <f aca="false">IF(F2115=0,"NOT FOUND",IF(C2115=I2115,"SELF-VOTE",IF(COUNTIF($K:$K,K2115)&gt;1,"DUPLICATE","OK")))</f>
        <v>OK</v>
      </c>
      <c r="K2115" s="6" t="str">
        <f aca="false">A2115&amp;"|"&amp;B2115&amp;"|"&amp;C2115&amp;"|"&amp;D2115</f>
        <v>4|2|Leah|spotify:track:3uPfVXcjnpOjyzI3jb3js4</v>
      </c>
    </row>
    <row r="2116" customFormat="false" ht="15" hidden="false" customHeight="false" outlineLevel="0" collapsed="false">
      <c r="A2116" s="5" t="n">
        <v>4</v>
      </c>
      <c r="B2116" s="5" t="n">
        <v>2</v>
      </c>
      <c r="C2116" s="5" t="s">
        <v>119</v>
      </c>
      <c r="D2116" s="5" t="s">
        <v>1071</v>
      </c>
      <c r="E2116" s="5" t="n">
        <v>1</v>
      </c>
      <c r="F2116" s="6" t="n">
        <f aca="false">IFERROR(MATCH(A2116&amp;"|"&amp;B2116&amp;"|"&amp;D2116,'All Song Rankings'!$T:$T,0),0)</f>
        <v>328</v>
      </c>
      <c r="G2116" s="6" t="str">
        <f aca="false">IF(F2116=0,"NOT FOUND",INDEX('All Song Rankings'!$A:$A,F2116))</f>
        <v>I Want It That Way</v>
      </c>
      <c r="H2116" s="6" t="str">
        <f aca="false">IF(F2116=0,"NOT FOUND",INDEX('All Song Rankings'!$B:$B,F2116))</f>
        <v>Backstreet Boys</v>
      </c>
      <c r="I2116" s="6" t="str">
        <f aca="false">IF(F2116=0,"NOT FOUND",INDEX('All Song Rankings'!$D:$D,F2116))</f>
        <v>Kelsey</v>
      </c>
      <c r="J2116" s="7" t="str">
        <f aca="false">IF(F2116=0,"NOT FOUND",IF(C2116=I2116,"SELF-VOTE",IF(COUNTIF($K:$K,K2116)&gt;1,"DUPLICATE","OK")))</f>
        <v>OK</v>
      </c>
      <c r="K2116" s="6" t="str">
        <f aca="false">A2116&amp;"|"&amp;B2116&amp;"|"&amp;C2116&amp;"|"&amp;D2116</f>
        <v>4|2|Leah|spotify:track:47BBI51FKFwOMlIiX6m8ya</v>
      </c>
    </row>
    <row r="2117" customFormat="false" ht="15" hidden="false" customHeight="false" outlineLevel="0" collapsed="false">
      <c r="A2117" s="5" t="n">
        <v>4</v>
      </c>
      <c r="B2117" s="5" t="n">
        <v>2</v>
      </c>
      <c r="C2117" s="5" t="s">
        <v>119</v>
      </c>
      <c r="D2117" s="5" t="s">
        <v>1081</v>
      </c>
      <c r="E2117" s="5" t="n">
        <v>1</v>
      </c>
      <c r="F2117" s="6" t="n">
        <f aca="false">IFERROR(MATCH(A2117&amp;"|"&amp;B2117&amp;"|"&amp;D2117,'All Song Rankings'!$T:$T,0),0)</f>
        <v>332</v>
      </c>
      <c r="G2117" s="6" t="str">
        <f aca="false">IF(F2117=0,"NOT FOUND",INDEX('All Song Rankings'!$A:$A,F2117))</f>
        <v>What Makes You Beautiful</v>
      </c>
      <c r="H2117" s="6" t="str">
        <f aca="false">IF(F2117=0,"NOT FOUND",INDEX('All Song Rankings'!$B:$B,F2117))</f>
        <v>One Direction</v>
      </c>
      <c r="I2117" s="6" t="str">
        <f aca="false">IF(F2117=0,"NOT FOUND",INDEX('All Song Rankings'!$D:$D,F2117))</f>
        <v>Nicole</v>
      </c>
      <c r="J2117" s="7" t="str">
        <f aca="false">IF(F2117=0,"NOT FOUND",IF(C2117=I2117,"SELF-VOTE",IF(COUNTIF($K:$K,K2117)&gt;1,"DUPLICATE","OK")))</f>
        <v>OK</v>
      </c>
      <c r="K2117" s="6" t="str">
        <f aca="false">A2117&amp;"|"&amp;B2117&amp;"|"&amp;C2117&amp;"|"&amp;D2117</f>
        <v>4|2|Leah|spotify:track:4cluDES4hQEUhmXj6TXkSo</v>
      </c>
    </row>
    <row r="2118" customFormat="false" ht="15" hidden="false" customHeight="false" outlineLevel="0" collapsed="false">
      <c r="A2118" s="5" t="n">
        <v>4</v>
      </c>
      <c r="B2118" s="5" t="n">
        <v>2</v>
      </c>
      <c r="C2118" s="5" t="s">
        <v>119</v>
      </c>
      <c r="D2118" s="5" t="s">
        <v>1077</v>
      </c>
      <c r="E2118" s="5" t="n">
        <v>1</v>
      </c>
      <c r="F2118" s="6" t="n">
        <f aca="false">IFERROR(MATCH(A2118&amp;"|"&amp;B2118&amp;"|"&amp;D2118,'All Song Rankings'!$T:$T,0),0)</f>
        <v>330</v>
      </c>
      <c r="G2118" s="6" t="str">
        <f aca="false">IF(F2118=0,"NOT FOUND",INDEX('All Song Rankings'!$A:$A,F2118))</f>
        <v>3AM</v>
      </c>
      <c r="H2118" s="6" t="str">
        <f aca="false">IF(F2118=0,"NOT FOUND",INDEX('All Song Rankings'!$B:$B,F2118))</f>
        <v>Matchbox Twenty</v>
      </c>
      <c r="I2118" s="6" t="str">
        <f aca="false">IF(F2118=0,"NOT FOUND",INDEX('All Song Rankings'!$D:$D,F2118))</f>
        <v>Matt</v>
      </c>
      <c r="J2118" s="7" t="str">
        <f aca="false">IF(F2118=0,"NOT FOUND",IF(C2118=I2118,"SELF-VOTE",IF(COUNTIF($K:$K,K2118)&gt;1,"DUPLICATE","OK")))</f>
        <v>OK</v>
      </c>
      <c r="K2118" s="6" t="str">
        <f aca="false">A2118&amp;"|"&amp;B2118&amp;"|"&amp;C2118&amp;"|"&amp;D2118</f>
        <v>4|2|Leah|spotify:track:5vYA1mW9g2Coh1HUFUSmlb</v>
      </c>
    </row>
    <row r="2119" customFormat="false" ht="15" hidden="false" customHeight="false" outlineLevel="0" collapsed="false">
      <c r="A2119" s="5" t="n">
        <v>4</v>
      </c>
      <c r="B2119" s="5" t="n">
        <v>2</v>
      </c>
      <c r="C2119" s="5" t="s">
        <v>705</v>
      </c>
      <c r="D2119" s="5" t="s">
        <v>1065</v>
      </c>
      <c r="E2119" s="5" t="n">
        <v>2</v>
      </c>
      <c r="F2119" s="6" t="n">
        <f aca="false">IFERROR(MATCH(A2119&amp;"|"&amp;B2119&amp;"|"&amp;D2119,'All Song Rankings'!$T:$T,0),0)</f>
        <v>326</v>
      </c>
      <c r="G2119" s="6" t="str">
        <f aca="false">IF(F2119=0,"NOT FOUND",INDEX('All Song Rankings'!$A:$A,F2119))</f>
        <v>Closing Time</v>
      </c>
      <c r="H2119" s="6" t="str">
        <f aca="false">IF(F2119=0,"NOT FOUND",INDEX('All Song Rankings'!$B:$B,F2119))</f>
        <v>Semisonic</v>
      </c>
      <c r="I2119" s="6" t="str">
        <f aca="false">IF(F2119=0,"NOT FOUND",INDEX('All Song Rankings'!$D:$D,F2119))</f>
        <v>Scott</v>
      </c>
      <c r="J2119" s="7" t="str">
        <f aca="false">IF(F2119=0,"NOT FOUND",IF(C2119=I2119,"SELF-VOTE",IF(COUNTIF($K:$K,K2119)&gt;1,"DUPLICATE","OK")))</f>
        <v>OK</v>
      </c>
      <c r="K2119" s="6" t="str">
        <f aca="false">A2119&amp;"|"&amp;B2119&amp;"|"&amp;C2119&amp;"|"&amp;D2119</f>
        <v>4|2|Lisa|spotify:track:087OBLtoeS3Q6j0k6tMNAI</v>
      </c>
    </row>
    <row r="2120" customFormat="false" ht="15" hidden="false" customHeight="false" outlineLevel="0" collapsed="false">
      <c r="A2120" s="5" t="n">
        <v>4</v>
      </c>
      <c r="B2120" s="5" t="n">
        <v>2</v>
      </c>
      <c r="C2120" s="5" t="s">
        <v>705</v>
      </c>
      <c r="D2120" s="5" t="s">
        <v>1059</v>
      </c>
      <c r="E2120" s="5" t="n">
        <v>1</v>
      </c>
      <c r="F2120" s="6" t="n">
        <f aca="false">IFERROR(MATCH(A2120&amp;"|"&amp;B2120&amp;"|"&amp;D2120,'All Song Rankings'!$T:$T,0),0)</f>
        <v>324</v>
      </c>
      <c r="G2120" s="6" t="str">
        <f aca="false">IF(F2120=0,"NOT FOUND",INDEX('All Song Rankings'!$A:$A,F2120))</f>
        <v>The King of Wishful Thinking</v>
      </c>
      <c r="H2120" s="6" t="str">
        <f aca="false">IF(F2120=0,"NOT FOUND",INDEX('All Song Rankings'!$B:$B,F2120))</f>
        <v>Go West</v>
      </c>
      <c r="I2120" s="6" t="str">
        <f aca="false">IF(F2120=0,"NOT FOUND",INDEX('All Song Rankings'!$D:$D,F2120))</f>
        <v>Stephanie</v>
      </c>
      <c r="J2120" s="7" t="str">
        <f aca="false">IF(F2120=0,"NOT FOUND",IF(C2120=I2120,"SELF-VOTE",IF(COUNTIF($K:$K,K2120)&gt;1,"DUPLICATE","OK")))</f>
        <v>OK</v>
      </c>
      <c r="K2120" s="6" t="str">
        <f aca="false">A2120&amp;"|"&amp;B2120&amp;"|"&amp;C2120&amp;"|"&amp;D2120</f>
        <v>4|2|Lisa|spotify:track:0gXTCSzaCOzNoRb9FeE62N</v>
      </c>
    </row>
    <row r="2121" customFormat="false" ht="15" hidden="false" customHeight="false" outlineLevel="0" collapsed="false">
      <c r="A2121" s="5" t="n">
        <v>4</v>
      </c>
      <c r="B2121" s="5" t="n">
        <v>2</v>
      </c>
      <c r="C2121" s="5" t="s">
        <v>705</v>
      </c>
      <c r="D2121" s="5" t="s">
        <v>1092</v>
      </c>
      <c r="E2121" s="5" t="n">
        <v>1</v>
      </c>
      <c r="F2121" s="6" t="n">
        <f aca="false">IFERROR(MATCH(A2121&amp;"|"&amp;B2121&amp;"|"&amp;D2121,'All Song Rankings'!$T:$T,0),0)</f>
        <v>336</v>
      </c>
      <c r="G2121" s="6" t="str">
        <f aca="false">IF(F2121=0,"NOT FOUND",INDEX('All Song Rankings'!$A:$A,F2121))</f>
        <v>Crazy</v>
      </c>
      <c r="H2121" s="6" t="str">
        <f aca="false">IF(F2121=0,"NOT FOUND",INDEX('All Song Rankings'!$B:$B,F2121))</f>
        <v>Seal</v>
      </c>
      <c r="I2121" s="6" t="str">
        <f aca="false">IF(F2121=0,"NOT FOUND",INDEX('All Song Rankings'!$D:$D,F2121))</f>
        <v>Christine</v>
      </c>
      <c r="J2121" s="7" t="str">
        <f aca="false">IF(F2121=0,"NOT FOUND",IF(C2121=I2121,"SELF-VOTE",IF(COUNTIF($K:$K,K2121)&gt;1,"DUPLICATE","OK")))</f>
        <v>OK</v>
      </c>
      <c r="K2121" s="6" t="str">
        <f aca="false">A2121&amp;"|"&amp;B2121&amp;"|"&amp;C2121&amp;"|"&amp;D2121</f>
        <v>4|2|Lisa|spotify:track:10tdqQKFhddpkjzxllTVRj</v>
      </c>
    </row>
    <row r="2122" customFormat="false" ht="15" hidden="false" customHeight="false" outlineLevel="0" collapsed="false">
      <c r="A2122" s="5" t="n">
        <v>4</v>
      </c>
      <c r="B2122" s="5" t="n">
        <v>2</v>
      </c>
      <c r="C2122" s="5" t="s">
        <v>705</v>
      </c>
      <c r="D2122" s="5" t="s">
        <v>1084</v>
      </c>
      <c r="E2122" s="5" t="n">
        <v>1</v>
      </c>
      <c r="F2122" s="6" t="n">
        <f aca="false">IFERROR(MATCH(A2122&amp;"|"&amp;B2122&amp;"|"&amp;D2122,'All Song Rankings'!$T:$T,0),0)</f>
        <v>333</v>
      </c>
      <c r="G2122" s="6" t="str">
        <f aca="false">IF(F2122=0,"NOT FOUND",INDEX('All Song Rankings'!$A:$A,F2122))</f>
        <v>Land of Confusion</v>
      </c>
      <c r="H2122" s="6" t="str">
        <f aca="false">IF(F2122=0,"NOT FOUND",INDEX('All Song Rankings'!$B:$B,F2122))</f>
        <v>Genesis</v>
      </c>
      <c r="I2122" s="6" t="str">
        <f aca="false">IF(F2122=0,"NOT FOUND",INDEX('All Song Rankings'!$D:$D,F2122))</f>
        <v>Kristen</v>
      </c>
      <c r="J2122" s="7" t="str">
        <f aca="false">IF(F2122=0,"NOT FOUND",IF(C2122=I2122,"SELF-VOTE",IF(COUNTIF($K:$K,K2122)&gt;1,"DUPLICATE","OK")))</f>
        <v>OK</v>
      </c>
      <c r="K2122" s="6" t="str">
        <f aca="false">A2122&amp;"|"&amp;B2122&amp;"|"&amp;C2122&amp;"|"&amp;D2122</f>
        <v>4|2|Lisa|spotify:track:37T5HmPt4Qi9JHpcy7j1uU</v>
      </c>
    </row>
    <row r="2123" customFormat="false" ht="15" hidden="false" customHeight="false" outlineLevel="0" collapsed="false">
      <c r="A2123" s="5" t="n">
        <v>4</v>
      </c>
      <c r="B2123" s="5" t="n">
        <v>2</v>
      </c>
      <c r="C2123" s="5" t="s">
        <v>705</v>
      </c>
      <c r="D2123" s="5" t="s">
        <v>1079</v>
      </c>
      <c r="E2123" s="5" t="n">
        <v>2</v>
      </c>
      <c r="F2123" s="6" t="n">
        <f aca="false">IFERROR(MATCH(A2123&amp;"|"&amp;B2123&amp;"|"&amp;D2123,'All Song Rankings'!$T:$T,0),0)</f>
        <v>331</v>
      </c>
      <c r="G2123" s="6" t="str">
        <f aca="false">IF(F2123=0,"NOT FOUND",INDEX('All Song Rankings'!$A:$A,F2123))</f>
        <v>Love Song</v>
      </c>
      <c r="H2123" s="6" t="str">
        <f aca="false">IF(F2123=0,"NOT FOUND",INDEX('All Song Rankings'!$B:$B,F2123))</f>
        <v>Sara Bareilles</v>
      </c>
      <c r="I2123" s="6" t="str">
        <f aca="false">IF(F2123=0,"NOT FOUND",INDEX('All Song Rankings'!$D:$D,F2123))</f>
        <v>Colleen</v>
      </c>
      <c r="J2123" s="7" t="str">
        <f aca="false">IF(F2123=0,"NOT FOUND",IF(C2123=I2123,"SELF-VOTE",IF(COUNTIF($K:$K,K2123)&gt;1,"DUPLICATE","OK")))</f>
        <v>OK</v>
      </c>
      <c r="K2123" s="6" t="str">
        <f aca="false">A2123&amp;"|"&amp;B2123&amp;"|"&amp;C2123&amp;"|"&amp;D2123</f>
        <v>4|2|Lisa|spotify:track:4E6cwWJWZw2zWf7VFbH7wf</v>
      </c>
    </row>
    <row r="2124" customFormat="false" ht="15" hidden="false" customHeight="false" outlineLevel="0" collapsed="false">
      <c r="A2124" s="5" t="n">
        <v>4</v>
      </c>
      <c r="B2124" s="5" t="n">
        <v>2</v>
      </c>
      <c r="C2124" s="5" t="s">
        <v>705</v>
      </c>
      <c r="D2124" s="5" t="s">
        <v>1095</v>
      </c>
      <c r="E2124" s="5" t="n">
        <v>1</v>
      </c>
      <c r="F2124" s="6" t="n">
        <f aca="false">IFERROR(MATCH(A2124&amp;"|"&amp;B2124&amp;"|"&amp;D2124,'All Song Rankings'!$T:$T,0),0)</f>
        <v>337</v>
      </c>
      <c r="G2124" s="6" t="str">
        <f aca="false">IF(F2124=0,"NOT FOUND",INDEX('All Song Rankings'!$A:$A,F2124))</f>
        <v>Peaches</v>
      </c>
      <c r="H2124" s="6" t="str">
        <f aca="false">IF(F2124=0,"NOT FOUND",INDEX('All Song Rankings'!$B:$B,F2124))</f>
        <v>Jack Black</v>
      </c>
      <c r="I2124" s="6" t="str">
        <f aca="false">IF(F2124=0,"NOT FOUND",INDEX('All Song Rankings'!$D:$D,F2124))</f>
        <v>Leah</v>
      </c>
      <c r="J2124" s="7" t="str">
        <f aca="false">IF(F2124=0,"NOT FOUND",IF(C2124=I2124,"SELF-VOTE",IF(COUNTIF($K:$K,K2124)&gt;1,"DUPLICATE","OK")))</f>
        <v>OK</v>
      </c>
      <c r="K2124" s="6" t="str">
        <f aca="false">A2124&amp;"|"&amp;B2124&amp;"|"&amp;C2124&amp;"|"&amp;D2124</f>
        <v>4|2|Lisa|spotify:track:4w9soAM7IrmYDhSXLp14p6</v>
      </c>
    </row>
    <row r="2125" customFormat="false" ht="15" hidden="false" customHeight="false" outlineLevel="0" collapsed="false">
      <c r="A2125" s="5" t="n">
        <v>4</v>
      </c>
      <c r="B2125" s="5" t="n">
        <v>2</v>
      </c>
      <c r="C2125" s="5" t="s">
        <v>705</v>
      </c>
      <c r="D2125" s="5" t="s">
        <v>1087</v>
      </c>
      <c r="E2125" s="5" t="n">
        <v>2</v>
      </c>
      <c r="F2125" s="6" t="n">
        <f aca="false">IFERROR(MATCH(A2125&amp;"|"&amp;B2125&amp;"|"&amp;D2125,'All Song Rankings'!$T:$T,0),0)</f>
        <v>334</v>
      </c>
      <c r="G2125" s="6" t="str">
        <f aca="false">IF(F2125=0,"NOT FOUND",INDEX('All Song Rankings'!$A:$A,F2125))</f>
        <v>Man! I Feel Like A Woman!</v>
      </c>
      <c r="H2125" s="6" t="str">
        <f aca="false">IF(F2125=0,"NOT FOUND",INDEX('All Song Rankings'!$B:$B,F2125))</f>
        <v>Shania Twain</v>
      </c>
      <c r="I2125" s="6" t="str">
        <f aca="false">IF(F2125=0,"NOT FOUND",INDEX('All Song Rankings'!$D:$D,F2125))</f>
        <v>Logan</v>
      </c>
      <c r="J2125" s="7" t="str">
        <f aca="false">IF(F2125=0,"NOT FOUND",IF(C2125=I2125,"SELF-VOTE",IF(COUNTIF($K:$K,K2125)&gt;1,"DUPLICATE","OK")))</f>
        <v>OK</v>
      </c>
      <c r="K2125" s="6" t="str">
        <f aca="false">A2125&amp;"|"&amp;B2125&amp;"|"&amp;C2125&amp;"|"&amp;D2125</f>
        <v>4|2|Lisa|spotify:track:6sxptembJVty4sNtcPMAVz</v>
      </c>
    </row>
    <row r="2126" customFormat="false" ht="15" hidden="false" customHeight="false" outlineLevel="0" collapsed="false">
      <c r="A2126" s="5" t="n">
        <v>4</v>
      </c>
      <c r="B2126" s="5" t="n">
        <v>2</v>
      </c>
      <c r="C2126" s="5" t="s">
        <v>128</v>
      </c>
      <c r="D2126" s="5" t="s">
        <v>1090</v>
      </c>
      <c r="E2126" s="5" t="n">
        <v>1</v>
      </c>
      <c r="F2126" s="6" t="n">
        <f aca="false">IFERROR(MATCH(A2126&amp;"|"&amp;B2126&amp;"|"&amp;D2126,'All Song Rankings'!$T:$T,0),0)</f>
        <v>335</v>
      </c>
      <c r="G2126" s="6" t="str">
        <f aca="false">IF(F2126=0,"NOT FOUND",INDEX('All Song Rankings'!$A:$A,F2126))</f>
        <v>The Middle</v>
      </c>
      <c r="H2126" s="6" t="str">
        <f aca="false">IF(F2126=0,"NOT FOUND",INDEX('All Song Rankings'!$B:$B,F2126))</f>
        <v>Zedd, Maren Morris, Grey</v>
      </c>
      <c r="I2126" s="6" t="str">
        <f aca="false">IF(F2126=0,"NOT FOUND",INDEX('All Song Rankings'!$D:$D,F2126))</f>
        <v>Merita</v>
      </c>
      <c r="J2126" s="7" t="str">
        <f aca="false">IF(F2126=0,"NOT FOUND",IF(C2126=I2126,"SELF-VOTE",IF(COUNTIF($K:$K,K2126)&gt;1,"DUPLICATE","OK")))</f>
        <v>OK</v>
      </c>
      <c r="K2126" s="6" t="str">
        <f aca="false">A2126&amp;"|"&amp;B2126&amp;"|"&amp;C2126&amp;"|"&amp;D2126</f>
        <v>4|2|Logan|spotify:track:09IStsImFySgyp0pIQdqAc</v>
      </c>
    </row>
    <row r="2127" customFormat="false" ht="15" hidden="false" customHeight="false" outlineLevel="0" collapsed="false">
      <c r="A2127" s="5" t="n">
        <v>4</v>
      </c>
      <c r="B2127" s="5" t="n">
        <v>2</v>
      </c>
      <c r="C2127" s="5" t="s">
        <v>128</v>
      </c>
      <c r="D2127" s="5" t="s">
        <v>1068</v>
      </c>
      <c r="E2127" s="5" t="n">
        <v>1</v>
      </c>
      <c r="F2127" s="6" t="n">
        <f aca="false">IFERROR(MATCH(A2127&amp;"|"&amp;B2127&amp;"|"&amp;D2127,'All Song Rankings'!$T:$T,0),0)</f>
        <v>327</v>
      </c>
      <c r="G2127" s="6" t="str">
        <f aca="false">IF(F2127=0,"NOT FOUND",INDEX('All Song Rankings'!$A:$A,F2127))</f>
        <v>Two Princes</v>
      </c>
      <c r="H2127" s="6" t="str">
        <f aca="false">IF(F2127=0,"NOT FOUND",INDEX('All Song Rankings'!$B:$B,F2127))</f>
        <v>Spin Doctors</v>
      </c>
      <c r="I2127" s="6" t="str">
        <f aca="false">IF(F2127=0,"NOT FOUND",INDEX('All Song Rankings'!$D:$D,F2127))</f>
        <v>Grace</v>
      </c>
      <c r="J2127" s="7" t="str">
        <f aca="false">IF(F2127=0,"NOT FOUND",IF(C2127=I2127,"SELF-VOTE",IF(COUNTIF($K:$K,K2127)&gt;1,"DUPLICATE","OK")))</f>
        <v>OK</v>
      </c>
      <c r="K2127" s="6" t="str">
        <f aca="false">A2127&amp;"|"&amp;B2127&amp;"|"&amp;C2127&amp;"|"&amp;D2127</f>
        <v>4|2|Logan|spotify:track:0cuq829zRNq4AEdmDJA4aw</v>
      </c>
    </row>
    <row r="2128" customFormat="false" ht="15" hidden="false" customHeight="false" outlineLevel="0" collapsed="false">
      <c r="A2128" s="5" t="n">
        <v>4</v>
      </c>
      <c r="B2128" s="5" t="n">
        <v>2</v>
      </c>
      <c r="C2128" s="5" t="s">
        <v>128</v>
      </c>
      <c r="D2128" s="5" t="s">
        <v>1059</v>
      </c>
      <c r="E2128" s="5" t="n">
        <v>2</v>
      </c>
      <c r="F2128" s="6" t="n">
        <f aca="false">IFERROR(MATCH(A2128&amp;"|"&amp;B2128&amp;"|"&amp;D2128,'All Song Rankings'!$T:$T,0),0)</f>
        <v>324</v>
      </c>
      <c r="G2128" s="6" t="str">
        <f aca="false">IF(F2128=0,"NOT FOUND",INDEX('All Song Rankings'!$A:$A,F2128))</f>
        <v>The King of Wishful Thinking</v>
      </c>
      <c r="H2128" s="6" t="str">
        <f aca="false">IF(F2128=0,"NOT FOUND",INDEX('All Song Rankings'!$B:$B,F2128))</f>
        <v>Go West</v>
      </c>
      <c r="I2128" s="6" t="str">
        <f aca="false">IF(F2128=0,"NOT FOUND",INDEX('All Song Rankings'!$D:$D,F2128))</f>
        <v>Stephanie</v>
      </c>
      <c r="J2128" s="7" t="str">
        <f aca="false">IF(F2128=0,"NOT FOUND",IF(C2128=I2128,"SELF-VOTE",IF(COUNTIF($K:$K,K2128)&gt;1,"DUPLICATE","OK")))</f>
        <v>OK</v>
      </c>
      <c r="K2128" s="6" t="str">
        <f aca="false">A2128&amp;"|"&amp;B2128&amp;"|"&amp;C2128&amp;"|"&amp;D2128</f>
        <v>4|2|Logan|spotify:track:0gXTCSzaCOzNoRb9FeE62N</v>
      </c>
    </row>
    <row r="2129" customFormat="false" ht="15" hidden="false" customHeight="false" outlineLevel="0" collapsed="false">
      <c r="A2129" s="5" t="n">
        <v>4</v>
      </c>
      <c r="B2129" s="5" t="n">
        <v>2</v>
      </c>
      <c r="C2129" s="5" t="s">
        <v>128</v>
      </c>
      <c r="D2129" s="5" t="s">
        <v>1092</v>
      </c>
      <c r="E2129" s="5" t="n">
        <v>1</v>
      </c>
      <c r="F2129" s="6" t="n">
        <f aca="false">IFERROR(MATCH(A2129&amp;"|"&amp;B2129&amp;"|"&amp;D2129,'All Song Rankings'!$T:$T,0),0)</f>
        <v>336</v>
      </c>
      <c r="G2129" s="6" t="str">
        <f aca="false">IF(F2129=0,"NOT FOUND",INDEX('All Song Rankings'!$A:$A,F2129))</f>
        <v>Crazy</v>
      </c>
      <c r="H2129" s="6" t="str">
        <f aca="false">IF(F2129=0,"NOT FOUND",INDEX('All Song Rankings'!$B:$B,F2129))</f>
        <v>Seal</v>
      </c>
      <c r="I2129" s="6" t="str">
        <f aca="false">IF(F2129=0,"NOT FOUND",INDEX('All Song Rankings'!$D:$D,F2129))</f>
        <v>Christine</v>
      </c>
      <c r="J2129" s="7" t="str">
        <f aca="false">IF(F2129=0,"NOT FOUND",IF(C2129=I2129,"SELF-VOTE",IF(COUNTIF($K:$K,K2129)&gt;1,"DUPLICATE","OK")))</f>
        <v>OK</v>
      </c>
      <c r="K2129" s="6" t="str">
        <f aca="false">A2129&amp;"|"&amp;B2129&amp;"|"&amp;C2129&amp;"|"&amp;D2129</f>
        <v>4|2|Logan|spotify:track:10tdqQKFhddpkjzxllTVRj</v>
      </c>
    </row>
    <row r="2130" customFormat="false" ht="15" hidden="false" customHeight="false" outlineLevel="0" collapsed="false">
      <c r="A2130" s="5" t="n">
        <v>4</v>
      </c>
      <c r="B2130" s="5" t="n">
        <v>2</v>
      </c>
      <c r="C2130" s="5" t="s">
        <v>128</v>
      </c>
      <c r="D2130" s="5" t="s">
        <v>1074</v>
      </c>
      <c r="E2130" s="5" t="n">
        <v>1</v>
      </c>
      <c r="F2130" s="6" t="n">
        <f aca="false">IFERROR(MATCH(A2130&amp;"|"&amp;B2130&amp;"|"&amp;D2130,'All Song Rankings'!$T:$T,0),0)</f>
        <v>329</v>
      </c>
      <c r="G2130" s="6" t="str">
        <f aca="false">IF(F2130=0,"NOT FOUND",INDEX('All Song Rankings'!$A:$A,F2130))</f>
        <v>Fly</v>
      </c>
      <c r="H2130" s="6" t="str">
        <f aca="false">IF(F2130=0,"NOT FOUND",INDEX('All Song Rankings'!$B:$B,F2130))</f>
        <v>Sugar Ray</v>
      </c>
      <c r="I2130" s="6" t="str">
        <f aca="false">IF(F2130=0,"NOT FOUND",INDEX('All Song Rankings'!$D:$D,F2130))</f>
        <v>Makenzie</v>
      </c>
      <c r="J2130" s="7" t="str">
        <f aca="false">IF(F2130=0,"NOT FOUND",IF(C2130=I2130,"SELF-VOTE",IF(COUNTIF($K:$K,K2130)&gt;1,"DUPLICATE","OK")))</f>
        <v>OK</v>
      </c>
      <c r="K2130" s="6" t="str">
        <f aca="false">A2130&amp;"|"&amp;B2130&amp;"|"&amp;C2130&amp;"|"&amp;D2130</f>
        <v>4|2|Logan|spotify:track:3uPfVXcjnpOjyzI3jb3js4</v>
      </c>
    </row>
    <row r="2131" customFormat="false" ht="15" hidden="false" customHeight="false" outlineLevel="0" collapsed="false">
      <c r="A2131" s="5" t="n">
        <v>4</v>
      </c>
      <c r="B2131" s="5" t="n">
        <v>2</v>
      </c>
      <c r="C2131" s="5" t="s">
        <v>128</v>
      </c>
      <c r="D2131" s="5" t="s">
        <v>1079</v>
      </c>
      <c r="E2131" s="5" t="n">
        <v>1</v>
      </c>
      <c r="F2131" s="6" t="n">
        <f aca="false">IFERROR(MATCH(A2131&amp;"|"&amp;B2131&amp;"|"&amp;D2131,'All Song Rankings'!$T:$T,0),0)</f>
        <v>331</v>
      </c>
      <c r="G2131" s="6" t="str">
        <f aca="false">IF(F2131=0,"NOT FOUND",INDEX('All Song Rankings'!$A:$A,F2131))</f>
        <v>Love Song</v>
      </c>
      <c r="H2131" s="6" t="str">
        <f aca="false">IF(F2131=0,"NOT FOUND",INDEX('All Song Rankings'!$B:$B,F2131))</f>
        <v>Sara Bareilles</v>
      </c>
      <c r="I2131" s="6" t="str">
        <f aca="false">IF(F2131=0,"NOT FOUND",INDEX('All Song Rankings'!$D:$D,F2131))</f>
        <v>Colleen</v>
      </c>
      <c r="J2131" s="7" t="str">
        <f aca="false">IF(F2131=0,"NOT FOUND",IF(C2131=I2131,"SELF-VOTE",IF(COUNTIF($K:$K,K2131)&gt;1,"DUPLICATE","OK")))</f>
        <v>OK</v>
      </c>
      <c r="K2131" s="6" t="str">
        <f aca="false">A2131&amp;"|"&amp;B2131&amp;"|"&amp;C2131&amp;"|"&amp;D2131</f>
        <v>4|2|Logan|spotify:track:4E6cwWJWZw2zWf7VFbH7wf</v>
      </c>
    </row>
    <row r="2132" customFormat="false" ht="15" hidden="false" customHeight="false" outlineLevel="0" collapsed="false">
      <c r="A2132" s="5" t="n">
        <v>4</v>
      </c>
      <c r="B2132" s="5" t="n">
        <v>2</v>
      </c>
      <c r="C2132" s="5" t="s">
        <v>128</v>
      </c>
      <c r="D2132" s="5" t="s">
        <v>1081</v>
      </c>
      <c r="E2132" s="5" t="n">
        <v>1</v>
      </c>
      <c r="F2132" s="6" t="n">
        <f aca="false">IFERROR(MATCH(A2132&amp;"|"&amp;B2132&amp;"|"&amp;D2132,'All Song Rankings'!$T:$T,0),0)</f>
        <v>332</v>
      </c>
      <c r="G2132" s="6" t="str">
        <f aca="false">IF(F2132=0,"NOT FOUND",INDEX('All Song Rankings'!$A:$A,F2132))</f>
        <v>What Makes You Beautiful</v>
      </c>
      <c r="H2132" s="6" t="str">
        <f aca="false">IF(F2132=0,"NOT FOUND",INDEX('All Song Rankings'!$B:$B,F2132))</f>
        <v>One Direction</v>
      </c>
      <c r="I2132" s="6" t="str">
        <f aca="false">IF(F2132=0,"NOT FOUND",INDEX('All Song Rankings'!$D:$D,F2132))</f>
        <v>Nicole</v>
      </c>
      <c r="J2132" s="7" t="str">
        <f aca="false">IF(F2132=0,"NOT FOUND",IF(C2132=I2132,"SELF-VOTE",IF(COUNTIF($K:$K,K2132)&gt;1,"DUPLICATE","OK")))</f>
        <v>OK</v>
      </c>
      <c r="K2132" s="6" t="str">
        <f aca="false">A2132&amp;"|"&amp;B2132&amp;"|"&amp;C2132&amp;"|"&amp;D2132</f>
        <v>4|2|Logan|spotify:track:4cluDES4hQEUhmXj6TXkSo</v>
      </c>
    </row>
    <row r="2133" customFormat="false" ht="15" hidden="false" customHeight="false" outlineLevel="0" collapsed="false">
      <c r="A2133" s="5" t="n">
        <v>4</v>
      </c>
      <c r="B2133" s="5" t="n">
        <v>2</v>
      </c>
      <c r="C2133" s="5" t="s">
        <v>128</v>
      </c>
      <c r="D2133" s="5" t="s">
        <v>1077</v>
      </c>
      <c r="E2133" s="5" t="n">
        <v>1</v>
      </c>
      <c r="F2133" s="6" t="n">
        <f aca="false">IFERROR(MATCH(A2133&amp;"|"&amp;B2133&amp;"|"&amp;D2133,'All Song Rankings'!$T:$T,0),0)</f>
        <v>330</v>
      </c>
      <c r="G2133" s="6" t="str">
        <f aca="false">IF(F2133=0,"NOT FOUND",INDEX('All Song Rankings'!$A:$A,F2133))</f>
        <v>3AM</v>
      </c>
      <c r="H2133" s="6" t="str">
        <f aca="false">IF(F2133=0,"NOT FOUND",INDEX('All Song Rankings'!$B:$B,F2133))</f>
        <v>Matchbox Twenty</v>
      </c>
      <c r="I2133" s="6" t="str">
        <f aca="false">IF(F2133=0,"NOT FOUND",INDEX('All Song Rankings'!$D:$D,F2133))</f>
        <v>Matt</v>
      </c>
      <c r="J2133" s="7" t="str">
        <f aca="false">IF(F2133=0,"NOT FOUND",IF(C2133=I2133,"SELF-VOTE",IF(COUNTIF($K:$K,K2133)&gt;1,"DUPLICATE","OK")))</f>
        <v>OK</v>
      </c>
      <c r="K2133" s="6" t="str">
        <f aca="false">A2133&amp;"|"&amp;B2133&amp;"|"&amp;C2133&amp;"|"&amp;D2133</f>
        <v>4|2|Logan|spotify:track:5vYA1mW9g2Coh1HUFUSmlb</v>
      </c>
    </row>
    <row r="2134" customFormat="false" ht="15" hidden="false" customHeight="false" outlineLevel="0" collapsed="false">
      <c r="A2134" s="5" t="n">
        <v>4</v>
      </c>
      <c r="B2134" s="5" t="n">
        <v>2</v>
      </c>
      <c r="C2134" s="5" t="s">
        <v>128</v>
      </c>
      <c r="D2134" s="5" t="s">
        <v>1062</v>
      </c>
      <c r="E2134" s="5" t="n">
        <v>1</v>
      </c>
      <c r="F2134" s="6" t="n">
        <f aca="false">IFERROR(MATCH(A2134&amp;"|"&amp;B2134&amp;"|"&amp;D2134,'All Song Rankings'!$T:$T,0),0)</f>
        <v>325</v>
      </c>
      <c r="G2134" s="6" t="str">
        <f aca="false">IF(F2134=0,"NOT FOUND",INDEX('All Song Rankings'!$A:$A,F2134))</f>
        <v>Kiss Me</v>
      </c>
      <c r="H2134" s="6" t="str">
        <f aca="false">IF(F2134=0,"NOT FOUND",INDEX('All Song Rankings'!$B:$B,F2134))</f>
        <v>Sixpence None The Richer</v>
      </c>
      <c r="I2134" s="6" t="str">
        <f aca="false">IF(F2134=0,"NOT FOUND",INDEX('All Song Rankings'!$D:$D,F2134))</f>
        <v>Lisa</v>
      </c>
      <c r="J2134" s="7" t="str">
        <f aca="false">IF(F2134=0,"NOT FOUND",IF(C2134=I2134,"SELF-VOTE",IF(COUNTIF($K:$K,K2134)&gt;1,"DUPLICATE","OK")))</f>
        <v>OK</v>
      </c>
      <c r="K2134" s="6" t="str">
        <f aca="false">A2134&amp;"|"&amp;B2134&amp;"|"&amp;C2134&amp;"|"&amp;D2134</f>
        <v>4|2|Logan|spotify:track:754kgU5rWscRTfvlsuEwFp</v>
      </c>
    </row>
    <row r="2135" customFormat="false" ht="15" hidden="false" customHeight="false" outlineLevel="0" collapsed="false">
      <c r="A2135" s="5" t="n">
        <v>4</v>
      </c>
      <c r="B2135" s="5" t="n">
        <v>2</v>
      </c>
      <c r="C2135" s="5" t="s">
        <v>395</v>
      </c>
      <c r="D2135" s="5" t="s">
        <v>1065</v>
      </c>
      <c r="E2135" s="5" t="n">
        <v>2</v>
      </c>
      <c r="F2135" s="6" t="n">
        <f aca="false">IFERROR(MATCH(A2135&amp;"|"&amp;B2135&amp;"|"&amp;D2135,'All Song Rankings'!$T:$T,0),0)</f>
        <v>326</v>
      </c>
      <c r="G2135" s="6" t="str">
        <f aca="false">IF(F2135=0,"NOT FOUND",INDEX('All Song Rankings'!$A:$A,F2135))</f>
        <v>Closing Time</v>
      </c>
      <c r="H2135" s="6" t="str">
        <f aca="false">IF(F2135=0,"NOT FOUND",INDEX('All Song Rankings'!$B:$B,F2135))</f>
        <v>Semisonic</v>
      </c>
      <c r="I2135" s="6" t="str">
        <f aca="false">IF(F2135=0,"NOT FOUND",INDEX('All Song Rankings'!$D:$D,F2135))</f>
        <v>Scott</v>
      </c>
      <c r="J2135" s="7" t="str">
        <f aca="false">IF(F2135=0,"NOT FOUND",IF(C2135=I2135,"SELF-VOTE",IF(COUNTIF($K:$K,K2135)&gt;1,"DUPLICATE","OK")))</f>
        <v>OK</v>
      </c>
      <c r="K2135" s="6" t="str">
        <f aca="false">A2135&amp;"|"&amp;B2135&amp;"|"&amp;C2135&amp;"|"&amp;D2135</f>
        <v>4|2|Makenzie|spotify:track:087OBLtoeS3Q6j0k6tMNAI</v>
      </c>
    </row>
    <row r="2136" customFormat="false" ht="15" hidden="false" customHeight="false" outlineLevel="0" collapsed="false">
      <c r="A2136" s="5" t="n">
        <v>4</v>
      </c>
      <c r="B2136" s="5" t="n">
        <v>2</v>
      </c>
      <c r="C2136" s="5" t="s">
        <v>395</v>
      </c>
      <c r="D2136" s="5" t="s">
        <v>1068</v>
      </c>
      <c r="E2136" s="5" t="n">
        <v>2</v>
      </c>
      <c r="F2136" s="6" t="n">
        <f aca="false">IFERROR(MATCH(A2136&amp;"|"&amp;B2136&amp;"|"&amp;D2136,'All Song Rankings'!$T:$T,0),0)</f>
        <v>327</v>
      </c>
      <c r="G2136" s="6" t="str">
        <f aca="false">IF(F2136=0,"NOT FOUND",INDEX('All Song Rankings'!$A:$A,F2136))</f>
        <v>Two Princes</v>
      </c>
      <c r="H2136" s="6" t="str">
        <f aca="false">IF(F2136=0,"NOT FOUND",INDEX('All Song Rankings'!$B:$B,F2136))</f>
        <v>Spin Doctors</v>
      </c>
      <c r="I2136" s="6" t="str">
        <f aca="false">IF(F2136=0,"NOT FOUND",INDEX('All Song Rankings'!$D:$D,F2136))</f>
        <v>Grace</v>
      </c>
      <c r="J2136" s="7" t="str">
        <f aca="false">IF(F2136=0,"NOT FOUND",IF(C2136=I2136,"SELF-VOTE",IF(COUNTIF($K:$K,K2136)&gt;1,"DUPLICATE","OK")))</f>
        <v>OK</v>
      </c>
      <c r="K2136" s="6" t="str">
        <f aca="false">A2136&amp;"|"&amp;B2136&amp;"|"&amp;C2136&amp;"|"&amp;D2136</f>
        <v>4|2|Makenzie|spotify:track:0cuq829zRNq4AEdmDJA4aw</v>
      </c>
    </row>
    <row r="2137" customFormat="false" ht="15" hidden="false" customHeight="false" outlineLevel="0" collapsed="false">
      <c r="A2137" s="5" t="n">
        <v>4</v>
      </c>
      <c r="B2137" s="5" t="n">
        <v>2</v>
      </c>
      <c r="C2137" s="5" t="s">
        <v>395</v>
      </c>
      <c r="D2137" s="5" t="s">
        <v>1059</v>
      </c>
      <c r="E2137" s="5" t="n">
        <v>2</v>
      </c>
      <c r="F2137" s="6" t="n">
        <f aca="false">IFERROR(MATCH(A2137&amp;"|"&amp;B2137&amp;"|"&amp;D2137,'All Song Rankings'!$T:$T,0),0)</f>
        <v>324</v>
      </c>
      <c r="G2137" s="6" t="str">
        <f aca="false">IF(F2137=0,"NOT FOUND",INDEX('All Song Rankings'!$A:$A,F2137))</f>
        <v>The King of Wishful Thinking</v>
      </c>
      <c r="H2137" s="6" t="str">
        <f aca="false">IF(F2137=0,"NOT FOUND",INDEX('All Song Rankings'!$B:$B,F2137))</f>
        <v>Go West</v>
      </c>
      <c r="I2137" s="6" t="str">
        <f aca="false">IF(F2137=0,"NOT FOUND",INDEX('All Song Rankings'!$D:$D,F2137))</f>
        <v>Stephanie</v>
      </c>
      <c r="J2137" s="7" t="str">
        <f aca="false">IF(F2137=0,"NOT FOUND",IF(C2137=I2137,"SELF-VOTE",IF(COUNTIF($K:$K,K2137)&gt;1,"DUPLICATE","OK")))</f>
        <v>OK</v>
      </c>
      <c r="K2137" s="6" t="str">
        <f aca="false">A2137&amp;"|"&amp;B2137&amp;"|"&amp;C2137&amp;"|"&amp;D2137</f>
        <v>4|2|Makenzie|spotify:track:0gXTCSzaCOzNoRb9FeE62N</v>
      </c>
    </row>
    <row r="2138" customFormat="false" ht="15" hidden="false" customHeight="false" outlineLevel="0" collapsed="false">
      <c r="A2138" s="5" t="n">
        <v>4</v>
      </c>
      <c r="B2138" s="5" t="n">
        <v>2</v>
      </c>
      <c r="C2138" s="5" t="s">
        <v>395</v>
      </c>
      <c r="D2138" s="5" t="s">
        <v>1081</v>
      </c>
      <c r="E2138" s="5" t="n">
        <v>2</v>
      </c>
      <c r="F2138" s="6" t="n">
        <f aca="false">IFERROR(MATCH(A2138&amp;"|"&amp;B2138&amp;"|"&amp;D2138,'All Song Rankings'!$T:$T,0),0)</f>
        <v>332</v>
      </c>
      <c r="G2138" s="6" t="str">
        <f aca="false">IF(F2138=0,"NOT FOUND",INDEX('All Song Rankings'!$A:$A,F2138))</f>
        <v>What Makes You Beautiful</v>
      </c>
      <c r="H2138" s="6" t="str">
        <f aca="false">IF(F2138=0,"NOT FOUND",INDEX('All Song Rankings'!$B:$B,F2138))</f>
        <v>One Direction</v>
      </c>
      <c r="I2138" s="6" t="str">
        <f aca="false">IF(F2138=0,"NOT FOUND",INDEX('All Song Rankings'!$D:$D,F2138))</f>
        <v>Nicole</v>
      </c>
      <c r="J2138" s="7" t="str">
        <f aca="false">IF(F2138=0,"NOT FOUND",IF(C2138=I2138,"SELF-VOTE",IF(COUNTIF($K:$K,K2138)&gt;1,"DUPLICATE","OK")))</f>
        <v>OK</v>
      </c>
      <c r="K2138" s="6" t="str">
        <f aca="false">A2138&amp;"|"&amp;B2138&amp;"|"&amp;C2138&amp;"|"&amp;D2138</f>
        <v>4|2|Makenzie|spotify:track:4cluDES4hQEUhmXj6TXkSo</v>
      </c>
    </row>
    <row r="2139" customFormat="false" ht="15" hidden="false" customHeight="false" outlineLevel="0" collapsed="false">
      <c r="A2139" s="5" t="n">
        <v>4</v>
      </c>
      <c r="B2139" s="5" t="n">
        <v>2</v>
      </c>
      <c r="C2139" s="5" t="s">
        <v>395</v>
      </c>
      <c r="D2139" s="5" t="s">
        <v>1077</v>
      </c>
      <c r="E2139" s="5" t="n">
        <v>2</v>
      </c>
      <c r="F2139" s="6" t="n">
        <f aca="false">IFERROR(MATCH(A2139&amp;"|"&amp;B2139&amp;"|"&amp;D2139,'All Song Rankings'!$T:$T,0),0)</f>
        <v>330</v>
      </c>
      <c r="G2139" s="6" t="str">
        <f aca="false">IF(F2139=0,"NOT FOUND",INDEX('All Song Rankings'!$A:$A,F2139))</f>
        <v>3AM</v>
      </c>
      <c r="H2139" s="6" t="str">
        <f aca="false">IF(F2139=0,"NOT FOUND",INDEX('All Song Rankings'!$B:$B,F2139))</f>
        <v>Matchbox Twenty</v>
      </c>
      <c r="I2139" s="6" t="str">
        <f aca="false">IF(F2139=0,"NOT FOUND",INDEX('All Song Rankings'!$D:$D,F2139))</f>
        <v>Matt</v>
      </c>
      <c r="J2139" s="7" t="str">
        <f aca="false">IF(F2139=0,"NOT FOUND",IF(C2139=I2139,"SELF-VOTE",IF(COUNTIF($K:$K,K2139)&gt;1,"DUPLICATE","OK")))</f>
        <v>OK</v>
      </c>
      <c r="K2139" s="6" t="str">
        <f aca="false">A2139&amp;"|"&amp;B2139&amp;"|"&amp;C2139&amp;"|"&amp;D2139</f>
        <v>4|2|Makenzie|spotify:track:5vYA1mW9g2Coh1HUFUSmlb</v>
      </c>
    </row>
    <row r="2140" customFormat="false" ht="15" hidden="false" customHeight="false" outlineLevel="0" collapsed="false">
      <c r="A2140" s="5" t="n">
        <v>4</v>
      </c>
      <c r="B2140" s="5" t="n">
        <v>2</v>
      </c>
      <c r="C2140" s="5" t="s">
        <v>116</v>
      </c>
      <c r="D2140" s="5" t="s">
        <v>1065</v>
      </c>
      <c r="E2140" s="5" t="n">
        <v>1</v>
      </c>
      <c r="F2140" s="6" t="n">
        <f aca="false">IFERROR(MATCH(A2140&amp;"|"&amp;B2140&amp;"|"&amp;D2140,'All Song Rankings'!$T:$T,0),0)</f>
        <v>326</v>
      </c>
      <c r="G2140" s="6" t="str">
        <f aca="false">IF(F2140=0,"NOT FOUND",INDEX('All Song Rankings'!$A:$A,F2140))</f>
        <v>Closing Time</v>
      </c>
      <c r="H2140" s="6" t="str">
        <f aca="false">IF(F2140=0,"NOT FOUND",INDEX('All Song Rankings'!$B:$B,F2140))</f>
        <v>Semisonic</v>
      </c>
      <c r="I2140" s="6" t="str">
        <f aca="false">IF(F2140=0,"NOT FOUND",INDEX('All Song Rankings'!$D:$D,F2140))</f>
        <v>Scott</v>
      </c>
      <c r="J2140" s="7" t="str">
        <f aca="false">IF(F2140=0,"NOT FOUND",IF(C2140=I2140,"SELF-VOTE",IF(COUNTIF($K:$K,K2140)&gt;1,"DUPLICATE","OK")))</f>
        <v>OK</v>
      </c>
      <c r="K2140" s="6" t="str">
        <f aca="false">A2140&amp;"|"&amp;B2140&amp;"|"&amp;C2140&amp;"|"&amp;D2140</f>
        <v>4|2|Matt|spotify:track:087OBLtoeS3Q6j0k6tMNAI</v>
      </c>
    </row>
    <row r="2141" customFormat="false" ht="15" hidden="false" customHeight="false" outlineLevel="0" collapsed="false">
      <c r="A2141" s="5" t="n">
        <v>4</v>
      </c>
      <c r="B2141" s="5" t="n">
        <v>2</v>
      </c>
      <c r="C2141" s="5" t="s">
        <v>116</v>
      </c>
      <c r="D2141" s="5" t="s">
        <v>1068</v>
      </c>
      <c r="E2141" s="5" t="n">
        <v>1</v>
      </c>
      <c r="F2141" s="6" t="n">
        <f aca="false">IFERROR(MATCH(A2141&amp;"|"&amp;B2141&amp;"|"&amp;D2141,'All Song Rankings'!$T:$T,0),0)</f>
        <v>327</v>
      </c>
      <c r="G2141" s="6" t="str">
        <f aca="false">IF(F2141=0,"NOT FOUND",INDEX('All Song Rankings'!$A:$A,F2141))</f>
        <v>Two Princes</v>
      </c>
      <c r="H2141" s="6" t="str">
        <f aca="false">IF(F2141=0,"NOT FOUND",INDEX('All Song Rankings'!$B:$B,F2141))</f>
        <v>Spin Doctors</v>
      </c>
      <c r="I2141" s="6" t="str">
        <f aca="false">IF(F2141=0,"NOT FOUND",INDEX('All Song Rankings'!$D:$D,F2141))</f>
        <v>Grace</v>
      </c>
      <c r="J2141" s="7" t="str">
        <f aca="false">IF(F2141=0,"NOT FOUND",IF(C2141=I2141,"SELF-VOTE",IF(COUNTIF($K:$K,K2141)&gt;1,"DUPLICATE","OK")))</f>
        <v>OK</v>
      </c>
      <c r="K2141" s="6" t="str">
        <f aca="false">A2141&amp;"|"&amp;B2141&amp;"|"&amp;C2141&amp;"|"&amp;D2141</f>
        <v>4|2|Matt|spotify:track:0cuq829zRNq4AEdmDJA4aw</v>
      </c>
    </row>
    <row r="2142" customFormat="false" ht="15" hidden="false" customHeight="false" outlineLevel="0" collapsed="false">
      <c r="A2142" s="5" t="n">
        <v>4</v>
      </c>
      <c r="B2142" s="5" t="n">
        <v>2</v>
      </c>
      <c r="C2142" s="5" t="s">
        <v>116</v>
      </c>
      <c r="D2142" s="5" t="s">
        <v>1059</v>
      </c>
      <c r="E2142" s="5" t="n">
        <v>1</v>
      </c>
      <c r="F2142" s="6" t="n">
        <f aca="false">IFERROR(MATCH(A2142&amp;"|"&amp;B2142&amp;"|"&amp;D2142,'All Song Rankings'!$T:$T,0),0)</f>
        <v>324</v>
      </c>
      <c r="G2142" s="6" t="str">
        <f aca="false">IF(F2142=0,"NOT FOUND",INDEX('All Song Rankings'!$A:$A,F2142))</f>
        <v>The King of Wishful Thinking</v>
      </c>
      <c r="H2142" s="6" t="str">
        <f aca="false">IF(F2142=0,"NOT FOUND",INDEX('All Song Rankings'!$B:$B,F2142))</f>
        <v>Go West</v>
      </c>
      <c r="I2142" s="6" t="str">
        <f aca="false">IF(F2142=0,"NOT FOUND",INDEX('All Song Rankings'!$D:$D,F2142))</f>
        <v>Stephanie</v>
      </c>
      <c r="J2142" s="7" t="str">
        <f aca="false">IF(F2142=0,"NOT FOUND",IF(C2142=I2142,"SELF-VOTE",IF(COUNTIF($K:$K,K2142)&gt;1,"DUPLICATE","OK")))</f>
        <v>OK</v>
      </c>
      <c r="K2142" s="6" t="str">
        <f aca="false">A2142&amp;"|"&amp;B2142&amp;"|"&amp;C2142&amp;"|"&amp;D2142</f>
        <v>4|2|Matt|spotify:track:0gXTCSzaCOzNoRb9FeE62N</v>
      </c>
    </row>
    <row r="2143" customFormat="false" ht="15" hidden="false" customHeight="false" outlineLevel="0" collapsed="false">
      <c r="A2143" s="5" t="n">
        <v>4</v>
      </c>
      <c r="B2143" s="5" t="n">
        <v>2</v>
      </c>
      <c r="C2143" s="5" t="s">
        <v>116</v>
      </c>
      <c r="D2143" s="5" t="s">
        <v>1092</v>
      </c>
      <c r="E2143" s="5" t="n">
        <v>1</v>
      </c>
      <c r="F2143" s="6" t="n">
        <f aca="false">IFERROR(MATCH(A2143&amp;"|"&amp;B2143&amp;"|"&amp;D2143,'All Song Rankings'!$T:$T,0),0)</f>
        <v>336</v>
      </c>
      <c r="G2143" s="6" t="str">
        <f aca="false">IF(F2143=0,"NOT FOUND",INDEX('All Song Rankings'!$A:$A,F2143))</f>
        <v>Crazy</v>
      </c>
      <c r="H2143" s="6" t="str">
        <f aca="false">IF(F2143=0,"NOT FOUND",INDEX('All Song Rankings'!$B:$B,F2143))</f>
        <v>Seal</v>
      </c>
      <c r="I2143" s="6" t="str">
        <f aca="false">IF(F2143=0,"NOT FOUND",INDEX('All Song Rankings'!$D:$D,F2143))</f>
        <v>Christine</v>
      </c>
      <c r="J2143" s="7" t="str">
        <f aca="false">IF(F2143=0,"NOT FOUND",IF(C2143=I2143,"SELF-VOTE",IF(COUNTIF($K:$K,K2143)&gt;1,"DUPLICATE","OK")))</f>
        <v>OK</v>
      </c>
      <c r="K2143" s="6" t="str">
        <f aca="false">A2143&amp;"|"&amp;B2143&amp;"|"&amp;C2143&amp;"|"&amp;D2143</f>
        <v>4|2|Matt|spotify:track:10tdqQKFhddpkjzxllTVRj</v>
      </c>
    </row>
    <row r="2144" customFormat="false" ht="15" hidden="false" customHeight="false" outlineLevel="0" collapsed="false">
      <c r="A2144" s="5" t="n">
        <v>4</v>
      </c>
      <c r="B2144" s="5" t="n">
        <v>2</v>
      </c>
      <c r="C2144" s="5" t="s">
        <v>116</v>
      </c>
      <c r="D2144" s="5" t="s">
        <v>1084</v>
      </c>
      <c r="E2144" s="5" t="n">
        <v>2</v>
      </c>
      <c r="F2144" s="6" t="n">
        <f aca="false">IFERROR(MATCH(A2144&amp;"|"&amp;B2144&amp;"|"&amp;D2144,'All Song Rankings'!$T:$T,0),0)</f>
        <v>333</v>
      </c>
      <c r="G2144" s="6" t="str">
        <f aca="false">IF(F2144=0,"NOT FOUND",INDEX('All Song Rankings'!$A:$A,F2144))</f>
        <v>Land of Confusion</v>
      </c>
      <c r="H2144" s="6" t="str">
        <f aca="false">IF(F2144=0,"NOT FOUND",INDEX('All Song Rankings'!$B:$B,F2144))</f>
        <v>Genesis</v>
      </c>
      <c r="I2144" s="6" t="str">
        <f aca="false">IF(F2144=0,"NOT FOUND",INDEX('All Song Rankings'!$D:$D,F2144))</f>
        <v>Kristen</v>
      </c>
      <c r="J2144" s="7" t="str">
        <f aca="false">IF(F2144=0,"NOT FOUND",IF(C2144=I2144,"SELF-VOTE",IF(COUNTIF($K:$K,K2144)&gt;1,"DUPLICATE","OK")))</f>
        <v>OK</v>
      </c>
      <c r="K2144" s="6" t="str">
        <f aca="false">A2144&amp;"|"&amp;B2144&amp;"|"&amp;C2144&amp;"|"&amp;D2144</f>
        <v>4|2|Matt|spotify:track:37T5HmPt4Qi9JHpcy7j1uU</v>
      </c>
    </row>
    <row r="2145" customFormat="false" ht="15" hidden="false" customHeight="false" outlineLevel="0" collapsed="false">
      <c r="A2145" s="5" t="n">
        <v>4</v>
      </c>
      <c r="B2145" s="5" t="n">
        <v>2</v>
      </c>
      <c r="C2145" s="5" t="s">
        <v>116</v>
      </c>
      <c r="D2145" s="5" t="s">
        <v>1074</v>
      </c>
      <c r="E2145" s="5" t="n">
        <v>1</v>
      </c>
      <c r="F2145" s="6" t="n">
        <f aca="false">IFERROR(MATCH(A2145&amp;"|"&amp;B2145&amp;"|"&amp;D2145,'All Song Rankings'!$T:$T,0),0)</f>
        <v>329</v>
      </c>
      <c r="G2145" s="6" t="str">
        <f aca="false">IF(F2145=0,"NOT FOUND",INDEX('All Song Rankings'!$A:$A,F2145))</f>
        <v>Fly</v>
      </c>
      <c r="H2145" s="6" t="str">
        <f aca="false">IF(F2145=0,"NOT FOUND",INDEX('All Song Rankings'!$B:$B,F2145))</f>
        <v>Sugar Ray</v>
      </c>
      <c r="I2145" s="6" t="str">
        <f aca="false">IF(F2145=0,"NOT FOUND",INDEX('All Song Rankings'!$D:$D,F2145))</f>
        <v>Makenzie</v>
      </c>
      <c r="J2145" s="7" t="str">
        <f aca="false">IF(F2145=0,"NOT FOUND",IF(C2145=I2145,"SELF-VOTE",IF(COUNTIF($K:$K,K2145)&gt;1,"DUPLICATE","OK")))</f>
        <v>OK</v>
      </c>
      <c r="K2145" s="6" t="str">
        <f aca="false">A2145&amp;"|"&amp;B2145&amp;"|"&amp;C2145&amp;"|"&amp;D2145</f>
        <v>4|2|Matt|spotify:track:3uPfVXcjnpOjyzI3jb3js4</v>
      </c>
    </row>
    <row r="2146" customFormat="false" ht="15" hidden="false" customHeight="false" outlineLevel="0" collapsed="false">
      <c r="A2146" s="5" t="n">
        <v>4</v>
      </c>
      <c r="B2146" s="5" t="n">
        <v>2</v>
      </c>
      <c r="C2146" s="5" t="s">
        <v>116</v>
      </c>
      <c r="D2146" s="5" t="s">
        <v>1071</v>
      </c>
      <c r="E2146" s="5" t="n">
        <v>1</v>
      </c>
      <c r="F2146" s="6" t="n">
        <f aca="false">IFERROR(MATCH(A2146&amp;"|"&amp;B2146&amp;"|"&amp;D2146,'All Song Rankings'!$T:$T,0),0)</f>
        <v>328</v>
      </c>
      <c r="G2146" s="6" t="str">
        <f aca="false">IF(F2146=0,"NOT FOUND",INDEX('All Song Rankings'!$A:$A,F2146))</f>
        <v>I Want It That Way</v>
      </c>
      <c r="H2146" s="6" t="str">
        <f aca="false">IF(F2146=0,"NOT FOUND",INDEX('All Song Rankings'!$B:$B,F2146))</f>
        <v>Backstreet Boys</v>
      </c>
      <c r="I2146" s="6" t="str">
        <f aca="false">IF(F2146=0,"NOT FOUND",INDEX('All Song Rankings'!$D:$D,F2146))</f>
        <v>Kelsey</v>
      </c>
      <c r="J2146" s="7" t="str">
        <f aca="false">IF(F2146=0,"NOT FOUND",IF(C2146=I2146,"SELF-VOTE",IF(COUNTIF($K:$K,K2146)&gt;1,"DUPLICATE","OK")))</f>
        <v>OK</v>
      </c>
      <c r="K2146" s="6" t="str">
        <f aca="false">A2146&amp;"|"&amp;B2146&amp;"|"&amp;C2146&amp;"|"&amp;D2146</f>
        <v>4|2|Matt|spotify:track:47BBI51FKFwOMlIiX6m8ya</v>
      </c>
    </row>
    <row r="2147" customFormat="false" ht="15" hidden="false" customHeight="false" outlineLevel="0" collapsed="false">
      <c r="A2147" s="5" t="n">
        <v>4</v>
      </c>
      <c r="B2147" s="5" t="n">
        <v>2</v>
      </c>
      <c r="C2147" s="5" t="s">
        <v>116</v>
      </c>
      <c r="D2147" s="5" t="s">
        <v>1081</v>
      </c>
      <c r="E2147" s="5" t="n">
        <v>1</v>
      </c>
      <c r="F2147" s="6" t="n">
        <f aca="false">IFERROR(MATCH(A2147&amp;"|"&amp;B2147&amp;"|"&amp;D2147,'All Song Rankings'!$T:$T,0),0)</f>
        <v>332</v>
      </c>
      <c r="G2147" s="6" t="str">
        <f aca="false">IF(F2147=0,"NOT FOUND",INDEX('All Song Rankings'!$A:$A,F2147))</f>
        <v>What Makes You Beautiful</v>
      </c>
      <c r="H2147" s="6" t="str">
        <f aca="false">IF(F2147=0,"NOT FOUND",INDEX('All Song Rankings'!$B:$B,F2147))</f>
        <v>One Direction</v>
      </c>
      <c r="I2147" s="6" t="str">
        <f aca="false">IF(F2147=0,"NOT FOUND",INDEX('All Song Rankings'!$D:$D,F2147))</f>
        <v>Nicole</v>
      </c>
      <c r="J2147" s="7" t="str">
        <f aca="false">IF(F2147=0,"NOT FOUND",IF(C2147=I2147,"SELF-VOTE",IF(COUNTIF($K:$K,K2147)&gt;1,"DUPLICATE","OK")))</f>
        <v>OK</v>
      </c>
      <c r="K2147" s="6" t="str">
        <f aca="false">A2147&amp;"|"&amp;B2147&amp;"|"&amp;C2147&amp;"|"&amp;D2147</f>
        <v>4|2|Matt|spotify:track:4cluDES4hQEUhmXj6TXkSo</v>
      </c>
    </row>
    <row r="2148" customFormat="false" ht="15" hidden="false" customHeight="false" outlineLevel="0" collapsed="false">
      <c r="A2148" s="5" t="n">
        <v>4</v>
      </c>
      <c r="B2148" s="5" t="n">
        <v>2</v>
      </c>
      <c r="C2148" s="5" t="s">
        <v>116</v>
      </c>
      <c r="D2148" s="5" t="s">
        <v>1062</v>
      </c>
      <c r="E2148" s="5" t="n">
        <v>1</v>
      </c>
      <c r="F2148" s="6" t="n">
        <f aca="false">IFERROR(MATCH(A2148&amp;"|"&amp;B2148&amp;"|"&amp;D2148,'All Song Rankings'!$T:$T,0),0)</f>
        <v>325</v>
      </c>
      <c r="G2148" s="6" t="str">
        <f aca="false">IF(F2148=0,"NOT FOUND",INDEX('All Song Rankings'!$A:$A,F2148))</f>
        <v>Kiss Me</v>
      </c>
      <c r="H2148" s="6" t="str">
        <f aca="false">IF(F2148=0,"NOT FOUND",INDEX('All Song Rankings'!$B:$B,F2148))</f>
        <v>Sixpence None The Richer</v>
      </c>
      <c r="I2148" s="6" t="str">
        <f aca="false">IF(F2148=0,"NOT FOUND",INDEX('All Song Rankings'!$D:$D,F2148))</f>
        <v>Lisa</v>
      </c>
      <c r="J2148" s="7" t="str">
        <f aca="false">IF(F2148=0,"NOT FOUND",IF(C2148=I2148,"SELF-VOTE",IF(COUNTIF($K:$K,K2148)&gt;1,"DUPLICATE","OK")))</f>
        <v>OK</v>
      </c>
      <c r="K2148" s="6" t="str">
        <f aca="false">A2148&amp;"|"&amp;B2148&amp;"|"&amp;C2148&amp;"|"&amp;D2148</f>
        <v>4|2|Matt|spotify:track:754kgU5rWscRTfvlsuEwFp</v>
      </c>
    </row>
    <row r="2149" customFormat="false" ht="15" hidden="false" customHeight="false" outlineLevel="0" collapsed="false">
      <c r="A2149" s="5" t="n">
        <v>4</v>
      </c>
      <c r="B2149" s="5" t="n">
        <v>2</v>
      </c>
      <c r="C2149" s="5" t="s">
        <v>101</v>
      </c>
      <c r="D2149" s="5" t="s">
        <v>1065</v>
      </c>
      <c r="E2149" s="5" t="n">
        <v>1</v>
      </c>
      <c r="F2149" s="6" t="n">
        <f aca="false">IFERROR(MATCH(A2149&amp;"|"&amp;B2149&amp;"|"&amp;D2149,'All Song Rankings'!$T:$T,0),0)</f>
        <v>326</v>
      </c>
      <c r="G2149" s="6" t="str">
        <f aca="false">IF(F2149=0,"NOT FOUND",INDEX('All Song Rankings'!$A:$A,F2149))</f>
        <v>Closing Time</v>
      </c>
      <c r="H2149" s="6" t="str">
        <f aca="false">IF(F2149=0,"NOT FOUND",INDEX('All Song Rankings'!$B:$B,F2149))</f>
        <v>Semisonic</v>
      </c>
      <c r="I2149" s="6" t="str">
        <f aca="false">IF(F2149=0,"NOT FOUND",INDEX('All Song Rankings'!$D:$D,F2149))</f>
        <v>Scott</v>
      </c>
      <c r="J2149" s="7" t="str">
        <f aca="false">IF(F2149=0,"NOT FOUND",IF(C2149=I2149,"SELF-VOTE",IF(COUNTIF($K:$K,K2149)&gt;1,"DUPLICATE","OK")))</f>
        <v>OK</v>
      </c>
      <c r="K2149" s="6" t="str">
        <f aca="false">A2149&amp;"|"&amp;B2149&amp;"|"&amp;C2149&amp;"|"&amp;D2149</f>
        <v>4|2|Merita|spotify:track:087OBLtoeS3Q6j0k6tMNAI</v>
      </c>
    </row>
    <row r="2150" customFormat="false" ht="15" hidden="false" customHeight="false" outlineLevel="0" collapsed="false">
      <c r="A2150" s="5" t="n">
        <v>4</v>
      </c>
      <c r="B2150" s="5" t="n">
        <v>2</v>
      </c>
      <c r="C2150" s="5" t="s">
        <v>101</v>
      </c>
      <c r="D2150" s="5" t="s">
        <v>1068</v>
      </c>
      <c r="E2150" s="5" t="n">
        <v>1</v>
      </c>
      <c r="F2150" s="6" t="n">
        <f aca="false">IFERROR(MATCH(A2150&amp;"|"&amp;B2150&amp;"|"&amp;D2150,'All Song Rankings'!$T:$T,0),0)</f>
        <v>327</v>
      </c>
      <c r="G2150" s="6" t="str">
        <f aca="false">IF(F2150=0,"NOT FOUND",INDEX('All Song Rankings'!$A:$A,F2150))</f>
        <v>Two Princes</v>
      </c>
      <c r="H2150" s="6" t="str">
        <f aca="false">IF(F2150=0,"NOT FOUND",INDEX('All Song Rankings'!$B:$B,F2150))</f>
        <v>Spin Doctors</v>
      </c>
      <c r="I2150" s="6" t="str">
        <f aca="false">IF(F2150=0,"NOT FOUND",INDEX('All Song Rankings'!$D:$D,F2150))</f>
        <v>Grace</v>
      </c>
      <c r="J2150" s="7" t="str">
        <f aca="false">IF(F2150=0,"NOT FOUND",IF(C2150=I2150,"SELF-VOTE",IF(COUNTIF($K:$K,K2150)&gt;1,"DUPLICATE","OK")))</f>
        <v>OK</v>
      </c>
      <c r="K2150" s="6" t="str">
        <f aca="false">A2150&amp;"|"&amp;B2150&amp;"|"&amp;C2150&amp;"|"&amp;D2150</f>
        <v>4|2|Merita|spotify:track:0cuq829zRNq4AEdmDJA4aw</v>
      </c>
    </row>
    <row r="2151" customFormat="false" ht="15" hidden="false" customHeight="false" outlineLevel="0" collapsed="false">
      <c r="A2151" s="5" t="n">
        <v>4</v>
      </c>
      <c r="B2151" s="5" t="n">
        <v>2</v>
      </c>
      <c r="C2151" s="5" t="s">
        <v>101</v>
      </c>
      <c r="D2151" s="5" t="s">
        <v>1059</v>
      </c>
      <c r="E2151" s="5" t="n">
        <v>1</v>
      </c>
      <c r="F2151" s="6" t="n">
        <f aca="false">IFERROR(MATCH(A2151&amp;"|"&amp;B2151&amp;"|"&amp;D2151,'All Song Rankings'!$T:$T,0),0)</f>
        <v>324</v>
      </c>
      <c r="G2151" s="6" t="str">
        <f aca="false">IF(F2151=0,"NOT FOUND",INDEX('All Song Rankings'!$A:$A,F2151))</f>
        <v>The King of Wishful Thinking</v>
      </c>
      <c r="H2151" s="6" t="str">
        <f aca="false">IF(F2151=0,"NOT FOUND",INDEX('All Song Rankings'!$B:$B,F2151))</f>
        <v>Go West</v>
      </c>
      <c r="I2151" s="6" t="str">
        <f aca="false">IF(F2151=0,"NOT FOUND",INDEX('All Song Rankings'!$D:$D,F2151))</f>
        <v>Stephanie</v>
      </c>
      <c r="J2151" s="7" t="str">
        <f aca="false">IF(F2151=0,"NOT FOUND",IF(C2151=I2151,"SELF-VOTE",IF(COUNTIF($K:$K,K2151)&gt;1,"DUPLICATE","OK")))</f>
        <v>OK</v>
      </c>
      <c r="K2151" s="6" t="str">
        <f aca="false">A2151&amp;"|"&amp;B2151&amp;"|"&amp;C2151&amp;"|"&amp;D2151</f>
        <v>4|2|Merita|spotify:track:0gXTCSzaCOzNoRb9FeE62N</v>
      </c>
    </row>
    <row r="2152" customFormat="false" ht="15" hidden="false" customHeight="false" outlineLevel="0" collapsed="false">
      <c r="A2152" s="5" t="n">
        <v>4</v>
      </c>
      <c r="B2152" s="5" t="n">
        <v>2</v>
      </c>
      <c r="C2152" s="5" t="s">
        <v>101</v>
      </c>
      <c r="D2152" s="5" t="s">
        <v>1084</v>
      </c>
      <c r="E2152" s="5" t="n">
        <v>2</v>
      </c>
      <c r="F2152" s="6" t="n">
        <f aca="false">IFERROR(MATCH(A2152&amp;"|"&amp;B2152&amp;"|"&amp;D2152,'All Song Rankings'!$T:$T,0),0)</f>
        <v>333</v>
      </c>
      <c r="G2152" s="6" t="str">
        <f aca="false">IF(F2152=0,"NOT FOUND",INDEX('All Song Rankings'!$A:$A,F2152))</f>
        <v>Land of Confusion</v>
      </c>
      <c r="H2152" s="6" t="str">
        <f aca="false">IF(F2152=0,"NOT FOUND",INDEX('All Song Rankings'!$B:$B,F2152))</f>
        <v>Genesis</v>
      </c>
      <c r="I2152" s="6" t="str">
        <f aca="false">IF(F2152=0,"NOT FOUND",INDEX('All Song Rankings'!$D:$D,F2152))</f>
        <v>Kristen</v>
      </c>
      <c r="J2152" s="7" t="str">
        <f aca="false">IF(F2152=0,"NOT FOUND",IF(C2152=I2152,"SELF-VOTE",IF(COUNTIF($K:$K,K2152)&gt;1,"DUPLICATE","OK")))</f>
        <v>OK</v>
      </c>
      <c r="K2152" s="6" t="str">
        <f aca="false">A2152&amp;"|"&amp;B2152&amp;"|"&amp;C2152&amp;"|"&amp;D2152</f>
        <v>4|2|Merita|spotify:track:37T5HmPt4Qi9JHpcy7j1uU</v>
      </c>
    </row>
    <row r="2153" customFormat="false" ht="15" hidden="false" customHeight="false" outlineLevel="0" collapsed="false">
      <c r="A2153" s="5" t="n">
        <v>4</v>
      </c>
      <c r="B2153" s="5" t="n">
        <v>2</v>
      </c>
      <c r="C2153" s="5" t="s">
        <v>101</v>
      </c>
      <c r="D2153" s="5" t="s">
        <v>1071</v>
      </c>
      <c r="E2153" s="5" t="n">
        <v>1</v>
      </c>
      <c r="F2153" s="6" t="n">
        <f aca="false">IFERROR(MATCH(A2153&amp;"|"&amp;B2153&amp;"|"&amp;D2153,'All Song Rankings'!$T:$T,0),0)</f>
        <v>328</v>
      </c>
      <c r="G2153" s="6" t="str">
        <f aca="false">IF(F2153=0,"NOT FOUND",INDEX('All Song Rankings'!$A:$A,F2153))</f>
        <v>I Want It That Way</v>
      </c>
      <c r="H2153" s="6" t="str">
        <f aca="false">IF(F2153=0,"NOT FOUND",INDEX('All Song Rankings'!$B:$B,F2153))</f>
        <v>Backstreet Boys</v>
      </c>
      <c r="I2153" s="6" t="str">
        <f aca="false">IF(F2153=0,"NOT FOUND",INDEX('All Song Rankings'!$D:$D,F2153))</f>
        <v>Kelsey</v>
      </c>
      <c r="J2153" s="7" t="str">
        <f aca="false">IF(F2153=0,"NOT FOUND",IF(C2153=I2153,"SELF-VOTE",IF(COUNTIF($K:$K,K2153)&gt;1,"DUPLICATE","OK")))</f>
        <v>OK</v>
      </c>
      <c r="K2153" s="6" t="str">
        <f aca="false">A2153&amp;"|"&amp;B2153&amp;"|"&amp;C2153&amp;"|"&amp;D2153</f>
        <v>4|2|Merita|spotify:track:47BBI51FKFwOMlIiX6m8ya</v>
      </c>
    </row>
    <row r="2154" customFormat="false" ht="15" hidden="false" customHeight="false" outlineLevel="0" collapsed="false">
      <c r="A2154" s="5" t="n">
        <v>4</v>
      </c>
      <c r="B2154" s="5" t="n">
        <v>2</v>
      </c>
      <c r="C2154" s="5" t="s">
        <v>101</v>
      </c>
      <c r="D2154" s="5" t="s">
        <v>1081</v>
      </c>
      <c r="E2154" s="5" t="n">
        <v>1</v>
      </c>
      <c r="F2154" s="6" t="n">
        <f aca="false">IFERROR(MATCH(A2154&amp;"|"&amp;B2154&amp;"|"&amp;D2154,'All Song Rankings'!$T:$T,0),0)</f>
        <v>332</v>
      </c>
      <c r="G2154" s="6" t="str">
        <f aca="false">IF(F2154=0,"NOT FOUND",INDEX('All Song Rankings'!$A:$A,F2154))</f>
        <v>What Makes You Beautiful</v>
      </c>
      <c r="H2154" s="6" t="str">
        <f aca="false">IF(F2154=0,"NOT FOUND",INDEX('All Song Rankings'!$B:$B,F2154))</f>
        <v>One Direction</v>
      </c>
      <c r="I2154" s="6" t="str">
        <f aca="false">IF(F2154=0,"NOT FOUND",INDEX('All Song Rankings'!$D:$D,F2154))</f>
        <v>Nicole</v>
      </c>
      <c r="J2154" s="7" t="str">
        <f aca="false">IF(F2154=0,"NOT FOUND",IF(C2154=I2154,"SELF-VOTE",IF(COUNTIF($K:$K,K2154)&gt;1,"DUPLICATE","OK")))</f>
        <v>OK</v>
      </c>
      <c r="K2154" s="6" t="str">
        <f aca="false">A2154&amp;"|"&amp;B2154&amp;"|"&amp;C2154&amp;"|"&amp;D2154</f>
        <v>4|2|Merita|spotify:track:4cluDES4hQEUhmXj6TXkSo</v>
      </c>
    </row>
    <row r="2155" customFormat="false" ht="15" hidden="false" customHeight="false" outlineLevel="0" collapsed="false">
      <c r="A2155" s="5" t="n">
        <v>4</v>
      </c>
      <c r="B2155" s="5" t="n">
        <v>2</v>
      </c>
      <c r="C2155" s="5" t="s">
        <v>101</v>
      </c>
      <c r="D2155" s="5" t="s">
        <v>1077</v>
      </c>
      <c r="E2155" s="5" t="n">
        <v>1</v>
      </c>
      <c r="F2155" s="6" t="n">
        <f aca="false">IFERROR(MATCH(A2155&amp;"|"&amp;B2155&amp;"|"&amp;D2155,'All Song Rankings'!$T:$T,0),0)</f>
        <v>330</v>
      </c>
      <c r="G2155" s="6" t="str">
        <f aca="false">IF(F2155=0,"NOT FOUND",INDEX('All Song Rankings'!$A:$A,F2155))</f>
        <v>3AM</v>
      </c>
      <c r="H2155" s="6" t="str">
        <f aca="false">IF(F2155=0,"NOT FOUND",INDEX('All Song Rankings'!$B:$B,F2155))</f>
        <v>Matchbox Twenty</v>
      </c>
      <c r="I2155" s="6" t="str">
        <f aca="false">IF(F2155=0,"NOT FOUND",INDEX('All Song Rankings'!$D:$D,F2155))</f>
        <v>Matt</v>
      </c>
      <c r="J2155" s="7" t="str">
        <f aca="false">IF(F2155=0,"NOT FOUND",IF(C2155=I2155,"SELF-VOTE",IF(COUNTIF($K:$K,K2155)&gt;1,"DUPLICATE","OK")))</f>
        <v>OK</v>
      </c>
      <c r="K2155" s="6" t="str">
        <f aca="false">A2155&amp;"|"&amp;B2155&amp;"|"&amp;C2155&amp;"|"&amp;D2155</f>
        <v>4|2|Merita|spotify:track:5vYA1mW9g2Coh1HUFUSmlb</v>
      </c>
    </row>
    <row r="2156" customFormat="false" ht="15" hidden="false" customHeight="false" outlineLevel="0" collapsed="false">
      <c r="A2156" s="5" t="n">
        <v>4</v>
      </c>
      <c r="B2156" s="5" t="n">
        <v>2</v>
      </c>
      <c r="C2156" s="5" t="s">
        <v>101</v>
      </c>
      <c r="D2156" s="5" t="s">
        <v>1062</v>
      </c>
      <c r="E2156" s="5" t="n">
        <v>2</v>
      </c>
      <c r="F2156" s="6" t="n">
        <f aca="false">IFERROR(MATCH(A2156&amp;"|"&amp;B2156&amp;"|"&amp;D2156,'All Song Rankings'!$T:$T,0),0)</f>
        <v>325</v>
      </c>
      <c r="G2156" s="6" t="str">
        <f aca="false">IF(F2156=0,"NOT FOUND",INDEX('All Song Rankings'!$A:$A,F2156))</f>
        <v>Kiss Me</v>
      </c>
      <c r="H2156" s="6" t="str">
        <f aca="false">IF(F2156=0,"NOT FOUND",INDEX('All Song Rankings'!$B:$B,F2156))</f>
        <v>Sixpence None The Richer</v>
      </c>
      <c r="I2156" s="6" t="str">
        <f aca="false">IF(F2156=0,"NOT FOUND",INDEX('All Song Rankings'!$D:$D,F2156))</f>
        <v>Lisa</v>
      </c>
      <c r="J2156" s="7" t="str">
        <f aca="false">IF(F2156=0,"NOT FOUND",IF(C2156=I2156,"SELF-VOTE",IF(COUNTIF($K:$K,K2156)&gt;1,"DUPLICATE","OK")))</f>
        <v>OK</v>
      </c>
      <c r="K2156" s="6" t="str">
        <f aca="false">A2156&amp;"|"&amp;B2156&amp;"|"&amp;C2156&amp;"|"&amp;D2156</f>
        <v>4|2|Merita|spotify:track:754kgU5rWscRTfvlsuEwFp</v>
      </c>
    </row>
    <row r="2157" customFormat="false" ht="15" hidden="false" customHeight="false" outlineLevel="0" collapsed="false">
      <c r="A2157" s="5" t="n">
        <v>4</v>
      </c>
      <c r="B2157" s="5" t="n">
        <v>2</v>
      </c>
      <c r="C2157" s="5" t="s">
        <v>92</v>
      </c>
      <c r="D2157" s="5" t="s">
        <v>1090</v>
      </c>
      <c r="E2157" s="5" t="n">
        <v>2</v>
      </c>
      <c r="F2157" s="6" t="n">
        <f aca="false">IFERROR(MATCH(A2157&amp;"|"&amp;B2157&amp;"|"&amp;D2157,'All Song Rankings'!$T:$T,0),0)</f>
        <v>335</v>
      </c>
      <c r="G2157" s="6" t="str">
        <f aca="false">IF(F2157=0,"NOT FOUND",INDEX('All Song Rankings'!$A:$A,F2157))</f>
        <v>The Middle</v>
      </c>
      <c r="H2157" s="6" t="str">
        <f aca="false">IF(F2157=0,"NOT FOUND",INDEX('All Song Rankings'!$B:$B,F2157))</f>
        <v>Zedd, Maren Morris, Grey</v>
      </c>
      <c r="I2157" s="6" t="str">
        <f aca="false">IF(F2157=0,"NOT FOUND",INDEX('All Song Rankings'!$D:$D,F2157))</f>
        <v>Merita</v>
      </c>
      <c r="J2157" s="7" t="str">
        <f aca="false">IF(F2157=0,"NOT FOUND",IF(C2157=I2157,"SELF-VOTE",IF(COUNTIF($K:$K,K2157)&gt;1,"DUPLICATE","OK")))</f>
        <v>OK</v>
      </c>
      <c r="K2157" s="6" t="str">
        <f aca="false">A2157&amp;"|"&amp;B2157&amp;"|"&amp;C2157&amp;"|"&amp;D2157</f>
        <v>4|2|Nicole|spotify:track:09IStsImFySgyp0pIQdqAc</v>
      </c>
    </row>
    <row r="2158" customFormat="false" ht="15" hidden="false" customHeight="false" outlineLevel="0" collapsed="false">
      <c r="A2158" s="5" t="n">
        <v>4</v>
      </c>
      <c r="B2158" s="5" t="n">
        <v>2</v>
      </c>
      <c r="C2158" s="5" t="s">
        <v>92</v>
      </c>
      <c r="D2158" s="5" t="s">
        <v>1074</v>
      </c>
      <c r="E2158" s="5" t="n">
        <v>1</v>
      </c>
      <c r="F2158" s="6" t="n">
        <f aca="false">IFERROR(MATCH(A2158&amp;"|"&amp;B2158&amp;"|"&amp;D2158,'All Song Rankings'!$T:$T,0),0)</f>
        <v>329</v>
      </c>
      <c r="G2158" s="6" t="str">
        <f aca="false">IF(F2158=0,"NOT FOUND",INDEX('All Song Rankings'!$A:$A,F2158))</f>
        <v>Fly</v>
      </c>
      <c r="H2158" s="6" t="str">
        <f aca="false">IF(F2158=0,"NOT FOUND",INDEX('All Song Rankings'!$B:$B,F2158))</f>
        <v>Sugar Ray</v>
      </c>
      <c r="I2158" s="6" t="str">
        <f aca="false">IF(F2158=0,"NOT FOUND",INDEX('All Song Rankings'!$D:$D,F2158))</f>
        <v>Makenzie</v>
      </c>
      <c r="J2158" s="7" t="str">
        <f aca="false">IF(F2158=0,"NOT FOUND",IF(C2158=I2158,"SELF-VOTE",IF(COUNTIF($K:$K,K2158)&gt;1,"DUPLICATE","OK")))</f>
        <v>OK</v>
      </c>
      <c r="K2158" s="6" t="str">
        <f aca="false">A2158&amp;"|"&amp;B2158&amp;"|"&amp;C2158&amp;"|"&amp;D2158</f>
        <v>4|2|Nicole|spotify:track:3uPfVXcjnpOjyzI3jb3js4</v>
      </c>
    </row>
    <row r="2159" customFormat="false" ht="15" hidden="false" customHeight="false" outlineLevel="0" collapsed="false">
      <c r="A2159" s="5" t="n">
        <v>4</v>
      </c>
      <c r="B2159" s="5" t="n">
        <v>2</v>
      </c>
      <c r="C2159" s="5" t="s">
        <v>92</v>
      </c>
      <c r="D2159" s="5" t="s">
        <v>1071</v>
      </c>
      <c r="E2159" s="5" t="n">
        <v>2</v>
      </c>
      <c r="F2159" s="6" t="n">
        <f aca="false">IFERROR(MATCH(A2159&amp;"|"&amp;B2159&amp;"|"&amp;D2159,'All Song Rankings'!$T:$T,0),0)</f>
        <v>328</v>
      </c>
      <c r="G2159" s="6" t="str">
        <f aca="false">IF(F2159=0,"NOT FOUND",INDEX('All Song Rankings'!$A:$A,F2159))</f>
        <v>I Want It That Way</v>
      </c>
      <c r="H2159" s="6" t="str">
        <f aca="false">IF(F2159=0,"NOT FOUND",INDEX('All Song Rankings'!$B:$B,F2159))</f>
        <v>Backstreet Boys</v>
      </c>
      <c r="I2159" s="6" t="str">
        <f aca="false">IF(F2159=0,"NOT FOUND",INDEX('All Song Rankings'!$D:$D,F2159))</f>
        <v>Kelsey</v>
      </c>
      <c r="J2159" s="7" t="str">
        <f aca="false">IF(F2159=0,"NOT FOUND",IF(C2159=I2159,"SELF-VOTE",IF(COUNTIF($K:$K,K2159)&gt;1,"DUPLICATE","OK")))</f>
        <v>OK</v>
      </c>
      <c r="K2159" s="6" t="str">
        <f aca="false">A2159&amp;"|"&amp;B2159&amp;"|"&amp;C2159&amp;"|"&amp;D2159</f>
        <v>4|2|Nicole|spotify:track:47BBI51FKFwOMlIiX6m8ya</v>
      </c>
    </row>
    <row r="2160" customFormat="false" ht="15" hidden="false" customHeight="false" outlineLevel="0" collapsed="false">
      <c r="A2160" s="5" t="n">
        <v>4</v>
      </c>
      <c r="B2160" s="5" t="n">
        <v>2</v>
      </c>
      <c r="C2160" s="5" t="s">
        <v>92</v>
      </c>
      <c r="D2160" s="5" t="s">
        <v>1079</v>
      </c>
      <c r="E2160" s="5" t="n">
        <v>2</v>
      </c>
      <c r="F2160" s="6" t="n">
        <f aca="false">IFERROR(MATCH(A2160&amp;"|"&amp;B2160&amp;"|"&amp;D2160,'All Song Rankings'!$T:$T,0),0)</f>
        <v>331</v>
      </c>
      <c r="G2160" s="6" t="str">
        <f aca="false">IF(F2160=0,"NOT FOUND",INDEX('All Song Rankings'!$A:$A,F2160))</f>
        <v>Love Song</v>
      </c>
      <c r="H2160" s="6" t="str">
        <f aca="false">IF(F2160=0,"NOT FOUND",INDEX('All Song Rankings'!$B:$B,F2160))</f>
        <v>Sara Bareilles</v>
      </c>
      <c r="I2160" s="6" t="str">
        <f aca="false">IF(F2160=0,"NOT FOUND",INDEX('All Song Rankings'!$D:$D,F2160))</f>
        <v>Colleen</v>
      </c>
      <c r="J2160" s="7" t="str">
        <f aca="false">IF(F2160=0,"NOT FOUND",IF(C2160=I2160,"SELF-VOTE",IF(COUNTIF($K:$K,K2160)&gt;1,"DUPLICATE","OK")))</f>
        <v>OK</v>
      </c>
      <c r="K2160" s="6" t="str">
        <f aca="false">A2160&amp;"|"&amp;B2160&amp;"|"&amp;C2160&amp;"|"&amp;D2160</f>
        <v>4|2|Nicole|spotify:track:4E6cwWJWZw2zWf7VFbH7wf</v>
      </c>
    </row>
    <row r="2161" customFormat="false" ht="15" hidden="false" customHeight="false" outlineLevel="0" collapsed="false">
      <c r="A2161" s="5" t="n">
        <v>4</v>
      </c>
      <c r="B2161" s="5" t="n">
        <v>2</v>
      </c>
      <c r="C2161" s="5" t="s">
        <v>92</v>
      </c>
      <c r="D2161" s="5" t="s">
        <v>1095</v>
      </c>
      <c r="E2161" s="5" t="n">
        <v>1</v>
      </c>
      <c r="F2161" s="6" t="n">
        <f aca="false">IFERROR(MATCH(A2161&amp;"|"&amp;B2161&amp;"|"&amp;D2161,'All Song Rankings'!$T:$T,0),0)</f>
        <v>337</v>
      </c>
      <c r="G2161" s="6" t="str">
        <f aca="false">IF(F2161=0,"NOT FOUND",INDEX('All Song Rankings'!$A:$A,F2161))</f>
        <v>Peaches</v>
      </c>
      <c r="H2161" s="6" t="str">
        <f aca="false">IF(F2161=0,"NOT FOUND",INDEX('All Song Rankings'!$B:$B,F2161))</f>
        <v>Jack Black</v>
      </c>
      <c r="I2161" s="6" t="str">
        <f aca="false">IF(F2161=0,"NOT FOUND",INDEX('All Song Rankings'!$D:$D,F2161))</f>
        <v>Leah</v>
      </c>
      <c r="J2161" s="7" t="str">
        <f aca="false">IF(F2161=0,"NOT FOUND",IF(C2161=I2161,"SELF-VOTE",IF(COUNTIF($K:$K,K2161)&gt;1,"DUPLICATE","OK")))</f>
        <v>OK</v>
      </c>
      <c r="K2161" s="6" t="str">
        <f aca="false">A2161&amp;"|"&amp;B2161&amp;"|"&amp;C2161&amp;"|"&amp;D2161</f>
        <v>4|2|Nicole|spotify:track:4w9soAM7IrmYDhSXLp14p6</v>
      </c>
    </row>
    <row r="2162" customFormat="false" ht="15" hidden="false" customHeight="false" outlineLevel="0" collapsed="false">
      <c r="A2162" s="5" t="n">
        <v>4</v>
      </c>
      <c r="B2162" s="5" t="n">
        <v>2</v>
      </c>
      <c r="C2162" s="5" t="s">
        <v>92</v>
      </c>
      <c r="D2162" s="5" t="s">
        <v>1077</v>
      </c>
      <c r="E2162" s="5" t="n">
        <v>1</v>
      </c>
      <c r="F2162" s="6" t="n">
        <f aca="false">IFERROR(MATCH(A2162&amp;"|"&amp;B2162&amp;"|"&amp;D2162,'All Song Rankings'!$T:$T,0),0)</f>
        <v>330</v>
      </c>
      <c r="G2162" s="6" t="str">
        <f aca="false">IF(F2162=0,"NOT FOUND",INDEX('All Song Rankings'!$A:$A,F2162))</f>
        <v>3AM</v>
      </c>
      <c r="H2162" s="6" t="str">
        <f aca="false">IF(F2162=0,"NOT FOUND",INDEX('All Song Rankings'!$B:$B,F2162))</f>
        <v>Matchbox Twenty</v>
      </c>
      <c r="I2162" s="6" t="str">
        <f aca="false">IF(F2162=0,"NOT FOUND",INDEX('All Song Rankings'!$D:$D,F2162))</f>
        <v>Matt</v>
      </c>
      <c r="J2162" s="7" t="str">
        <f aca="false">IF(F2162=0,"NOT FOUND",IF(C2162=I2162,"SELF-VOTE",IF(COUNTIF($K:$K,K2162)&gt;1,"DUPLICATE","OK")))</f>
        <v>OK</v>
      </c>
      <c r="K2162" s="6" t="str">
        <f aca="false">A2162&amp;"|"&amp;B2162&amp;"|"&amp;C2162&amp;"|"&amp;D2162</f>
        <v>4|2|Nicole|spotify:track:5vYA1mW9g2Coh1HUFUSmlb</v>
      </c>
    </row>
    <row r="2163" customFormat="false" ht="15" hidden="false" customHeight="false" outlineLevel="0" collapsed="false">
      <c r="A2163" s="5" t="n">
        <v>4</v>
      </c>
      <c r="B2163" s="5" t="n">
        <v>2</v>
      </c>
      <c r="C2163" s="5" t="s">
        <v>92</v>
      </c>
      <c r="D2163" s="5" t="s">
        <v>1087</v>
      </c>
      <c r="E2163" s="5" t="n">
        <v>1</v>
      </c>
      <c r="F2163" s="6" t="n">
        <f aca="false">IFERROR(MATCH(A2163&amp;"|"&amp;B2163&amp;"|"&amp;D2163,'All Song Rankings'!$T:$T,0),0)</f>
        <v>334</v>
      </c>
      <c r="G2163" s="6" t="str">
        <f aca="false">IF(F2163=0,"NOT FOUND",INDEX('All Song Rankings'!$A:$A,F2163))</f>
        <v>Man! I Feel Like A Woman!</v>
      </c>
      <c r="H2163" s="6" t="str">
        <f aca="false">IF(F2163=0,"NOT FOUND",INDEX('All Song Rankings'!$B:$B,F2163))</f>
        <v>Shania Twain</v>
      </c>
      <c r="I2163" s="6" t="str">
        <f aca="false">IF(F2163=0,"NOT FOUND",INDEX('All Song Rankings'!$D:$D,F2163))</f>
        <v>Logan</v>
      </c>
      <c r="J2163" s="7" t="str">
        <f aca="false">IF(F2163=0,"NOT FOUND",IF(C2163=I2163,"SELF-VOTE",IF(COUNTIF($K:$K,K2163)&gt;1,"DUPLICATE","OK")))</f>
        <v>OK</v>
      </c>
      <c r="K2163" s="6" t="str">
        <f aca="false">A2163&amp;"|"&amp;B2163&amp;"|"&amp;C2163&amp;"|"&amp;D2163</f>
        <v>4|2|Nicole|spotify:track:6sxptembJVty4sNtcPMAVz</v>
      </c>
    </row>
    <row r="2164" customFormat="false" ht="15" hidden="false" customHeight="false" outlineLevel="0" collapsed="false">
      <c r="A2164" s="5" t="n">
        <v>4</v>
      </c>
      <c r="B2164" s="5" t="n">
        <v>2</v>
      </c>
      <c r="C2164" s="5" t="s">
        <v>484</v>
      </c>
      <c r="D2164" s="5" t="s">
        <v>1068</v>
      </c>
      <c r="E2164" s="5" t="n">
        <v>2</v>
      </c>
      <c r="F2164" s="6" t="n">
        <f aca="false">IFERROR(MATCH(A2164&amp;"|"&amp;B2164&amp;"|"&amp;D2164,'All Song Rankings'!$T:$T,0),0)</f>
        <v>327</v>
      </c>
      <c r="G2164" s="6" t="str">
        <f aca="false">IF(F2164=0,"NOT FOUND",INDEX('All Song Rankings'!$A:$A,F2164))</f>
        <v>Two Princes</v>
      </c>
      <c r="H2164" s="6" t="str">
        <f aca="false">IF(F2164=0,"NOT FOUND",INDEX('All Song Rankings'!$B:$B,F2164))</f>
        <v>Spin Doctors</v>
      </c>
      <c r="I2164" s="6" t="str">
        <f aca="false">IF(F2164=0,"NOT FOUND",INDEX('All Song Rankings'!$D:$D,F2164))</f>
        <v>Grace</v>
      </c>
      <c r="J2164" s="7" t="str">
        <f aca="false">IF(F2164=0,"NOT FOUND",IF(C2164=I2164,"SELF-VOTE",IF(COUNTIF($K:$K,K2164)&gt;1,"DUPLICATE","OK")))</f>
        <v>OK</v>
      </c>
      <c r="K2164" s="6" t="str">
        <f aca="false">A2164&amp;"|"&amp;B2164&amp;"|"&amp;C2164&amp;"|"&amp;D2164</f>
        <v>4|2|Scott|spotify:track:0cuq829zRNq4AEdmDJA4aw</v>
      </c>
    </row>
    <row r="2165" customFormat="false" ht="15" hidden="false" customHeight="false" outlineLevel="0" collapsed="false">
      <c r="A2165" s="5" t="n">
        <v>4</v>
      </c>
      <c r="B2165" s="5" t="n">
        <v>2</v>
      </c>
      <c r="C2165" s="5" t="s">
        <v>484</v>
      </c>
      <c r="D2165" s="5" t="s">
        <v>1059</v>
      </c>
      <c r="E2165" s="5" t="n">
        <v>1</v>
      </c>
      <c r="F2165" s="6" t="n">
        <f aca="false">IFERROR(MATCH(A2165&amp;"|"&amp;B2165&amp;"|"&amp;D2165,'All Song Rankings'!$T:$T,0),0)</f>
        <v>324</v>
      </c>
      <c r="G2165" s="6" t="str">
        <f aca="false">IF(F2165=0,"NOT FOUND",INDEX('All Song Rankings'!$A:$A,F2165))</f>
        <v>The King of Wishful Thinking</v>
      </c>
      <c r="H2165" s="6" t="str">
        <f aca="false">IF(F2165=0,"NOT FOUND",INDEX('All Song Rankings'!$B:$B,F2165))</f>
        <v>Go West</v>
      </c>
      <c r="I2165" s="6" t="str">
        <f aca="false">IF(F2165=0,"NOT FOUND",INDEX('All Song Rankings'!$D:$D,F2165))</f>
        <v>Stephanie</v>
      </c>
      <c r="J2165" s="7" t="str">
        <f aca="false">IF(F2165=0,"NOT FOUND",IF(C2165=I2165,"SELF-VOTE",IF(COUNTIF($K:$K,K2165)&gt;1,"DUPLICATE","OK")))</f>
        <v>OK</v>
      </c>
      <c r="K2165" s="6" t="str">
        <f aca="false">A2165&amp;"|"&amp;B2165&amp;"|"&amp;C2165&amp;"|"&amp;D2165</f>
        <v>4|2|Scott|spotify:track:0gXTCSzaCOzNoRb9FeE62N</v>
      </c>
    </row>
    <row r="2166" customFormat="false" ht="15" hidden="false" customHeight="false" outlineLevel="0" collapsed="false">
      <c r="A2166" s="5" t="n">
        <v>4</v>
      </c>
      <c r="B2166" s="5" t="n">
        <v>2</v>
      </c>
      <c r="C2166" s="5" t="s">
        <v>484</v>
      </c>
      <c r="D2166" s="5" t="s">
        <v>1092</v>
      </c>
      <c r="E2166" s="5" t="n">
        <v>1</v>
      </c>
      <c r="F2166" s="6" t="n">
        <f aca="false">IFERROR(MATCH(A2166&amp;"|"&amp;B2166&amp;"|"&amp;D2166,'All Song Rankings'!$T:$T,0),0)</f>
        <v>336</v>
      </c>
      <c r="G2166" s="6" t="str">
        <f aca="false">IF(F2166=0,"NOT FOUND",INDEX('All Song Rankings'!$A:$A,F2166))</f>
        <v>Crazy</v>
      </c>
      <c r="H2166" s="6" t="str">
        <f aca="false">IF(F2166=0,"NOT FOUND",INDEX('All Song Rankings'!$B:$B,F2166))</f>
        <v>Seal</v>
      </c>
      <c r="I2166" s="6" t="str">
        <f aca="false">IF(F2166=0,"NOT FOUND",INDEX('All Song Rankings'!$D:$D,F2166))</f>
        <v>Christine</v>
      </c>
      <c r="J2166" s="7" t="str">
        <f aca="false">IF(F2166=0,"NOT FOUND",IF(C2166=I2166,"SELF-VOTE",IF(COUNTIF($K:$K,K2166)&gt;1,"DUPLICATE","OK")))</f>
        <v>OK</v>
      </c>
      <c r="K2166" s="6" t="str">
        <f aca="false">A2166&amp;"|"&amp;B2166&amp;"|"&amp;C2166&amp;"|"&amp;D2166</f>
        <v>4|2|Scott|spotify:track:10tdqQKFhddpkjzxllTVRj</v>
      </c>
    </row>
    <row r="2167" customFormat="false" ht="15" hidden="false" customHeight="false" outlineLevel="0" collapsed="false">
      <c r="A2167" s="5" t="n">
        <v>4</v>
      </c>
      <c r="B2167" s="5" t="n">
        <v>2</v>
      </c>
      <c r="C2167" s="5" t="s">
        <v>484</v>
      </c>
      <c r="D2167" s="5" t="s">
        <v>1084</v>
      </c>
      <c r="E2167" s="5" t="n">
        <v>1</v>
      </c>
      <c r="F2167" s="6" t="n">
        <f aca="false">IFERROR(MATCH(A2167&amp;"|"&amp;B2167&amp;"|"&amp;D2167,'All Song Rankings'!$T:$T,0),0)</f>
        <v>333</v>
      </c>
      <c r="G2167" s="6" t="str">
        <f aca="false">IF(F2167=0,"NOT FOUND",INDEX('All Song Rankings'!$A:$A,F2167))</f>
        <v>Land of Confusion</v>
      </c>
      <c r="H2167" s="6" t="str">
        <f aca="false">IF(F2167=0,"NOT FOUND",INDEX('All Song Rankings'!$B:$B,F2167))</f>
        <v>Genesis</v>
      </c>
      <c r="I2167" s="6" t="str">
        <f aca="false">IF(F2167=0,"NOT FOUND",INDEX('All Song Rankings'!$D:$D,F2167))</f>
        <v>Kristen</v>
      </c>
      <c r="J2167" s="7" t="str">
        <f aca="false">IF(F2167=0,"NOT FOUND",IF(C2167=I2167,"SELF-VOTE",IF(COUNTIF($K:$K,K2167)&gt;1,"DUPLICATE","OK")))</f>
        <v>OK</v>
      </c>
      <c r="K2167" s="6" t="str">
        <f aca="false">A2167&amp;"|"&amp;B2167&amp;"|"&amp;C2167&amp;"|"&amp;D2167</f>
        <v>4|2|Scott|spotify:track:37T5HmPt4Qi9JHpcy7j1uU</v>
      </c>
    </row>
    <row r="2168" customFormat="false" ht="15" hidden="false" customHeight="false" outlineLevel="0" collapsed="false">
      <c r="A2168" s="5" t="n">
        <v>4</v>
      </c>
      <c r="B2168" s="5" t="n">
        <v>2</v>
      </c>
      <c r="C2168" s="5" t="s">
        <v>484</v>
      </c>
      <c r="D2168" s="5" t="s">
        <v>1074</v>
      </c>
      <c r="E2168" s="5" t="n">
        <v>1</v>
      </c>
      <c r="F2168" s="6" t="n">
        <f aca="false">IFERROR(MATCH(A2168&amp;"|"&amp;B2168&amp;"|"&amp;D2168,'All Song Rankings'!$T:$T,0),0)</f>
        <v>329</v>
      </c>
      <c r="G2168" s="6" t="str">
        <f aca="false">IF(F2168=0,"NOT FOUND",INDEX('All Song Rankings'!$A:$A,F2168))</f>
        <v>Fly</v>
      </c>
      <c r="H2168" s="6" t="str">
        <f aca="false">IF(F2168=0,"NOT FOUND",INDEX('All Song Rankings'!$B:$B,F2168))</f>
        <v>Sugar Ray</v>
      </c>
      <c r="I2168" s="6" t="str">
        <f aca="false">IF(F2168=0,"NOT FOUND",INDEX('All Song Rankings'!$D:$D,F2168))</f>
        <v>Makenzie</v>
      </c>
      <c r="J2168" s="7" t="str">
        <f aca="false">IF(F2168=0,"NOT FOUND",IF(C2168=I2168,"SELF-VOTE",IF(COUNTIF($K:$K,K2168)&gt;1,"DUPLICATE","OK")))</f>
        <v>OK</v>
      </c>
      <c r="K2168" s="6" t="str">
        <f aca="false">A2168&amp;"|"&amp;B2168&amp;"|"&amp;C2168&amp;"|"&amp;D2168</f>
        <v>4|2|Scott|spotify:track:3uPfVXcjnpOjyzI3jb3js4</v>
      </c>
    </row>
    <row r="2169" customFormat="false" ht="15" hidden="false" customHeight="false" outlineLevel="0" collapsed="false">
      <c r="A2169" s="5" t="n">
        <v>4</v>
      </c>
      <c r="B2169" s="5" t="n">
        <v>2</v>
      </c>
      <c r="C2169" s="5" t="s">
        <v>484</v>
      </c>
      <c r="D2169" s="5" t="s">
        <v>1071</v>
      </c>
      <c r="E2169" s="5" t="n">
        <v>1</v>
      </c>
      <c r="F2169" s="6" t="n">
        <f aca="false">IFERROR(MATCH(A2169&amp;"|"&amp;B2169&amp;"|"&amp;D2169,'All Song Rankings'!$T:$T,0),0)</f>
        <v>328</v>
      </c>
      <c r="G2169" s="6" t="str">
        <f aca="false">IF(F2169=0,"NOT FOUND",INDEX('All Song Rankings'!$A:$A,F2169))</f>
        <v>I Want It That Way</v>
      </c>
      <c r="H2169" s="6" t="str">
        <f aca="false">IF(F2169=0,"NOT FOUND",INDEX('All Song Rankings'!$B:$B,F2169))</f>
        <v>Backstreet Boys</v>
      </c>
      <c r="I2169" s="6" t="str">
        <f aca="false">IF(F2169=0,"NOT FOUND",INDEX('All Song Rankings'!$D:$D,F2169))</f>
        <v>Kelsey</v>
      </c>
      <c r="J2169" s="7" t="str">
        <f aca="false">IF(F2169=0,"NOT FOUND",IF(C2169=I2169,"SELF-VOTE",IF(COUNTIF($K:$K,K2169)&gt;1,"DUPLICATE","OK")))</f>
        <v>OK</v>
      </c>
      <c r="K2169" s="6" t="str">
        <f aca="false">A2169&amp;"|"&amp;B2169&amp;"|"&amp;C2169&amp;"|"&amp;D2169</f>
        <v>4|2|Scott|spotify:track:47BBI51FKFwOMlIiX6m8ya</v>
      </c>
    </row>
    <row r="2170" customFormat="false" ht="15" hidden="false" customHeight="false" outlineLevel="0" collapsed="false">
      <c r="A2170" s="5" t="n">
        <v>4</v>
      </c>
      <c r="B2170" s="5" t="n">
        <v>2</v>
      </c>
      <c r="C2170" s="5" t="s">
        <v>484</v>
      </c>
      <c r="D2170" s="5" t="s">
        <v>1087</v>
      </c>
      <c r="E2170" s="5" t="n">
        <v>1</v>
      </c>
      <c r="F2170" s="6" t="n">
        <f aca="false">IFERROR(MATCH(A2170&amp;"|"&amp;B2170&amp;"|"&amp;D2170,'All Song Rankings'!$T:$T,0),0)</f>
        <v>334</v>
      </c>
      <c r="G2170" s="6" t="str">
        <f aca="false">IF(F2170=0,"NOT FOUND",INDEX('All Song Rankings'!$A:$A,F2170))</f>
        <v>Man! I Feel Like A Woman!</v>
      </c>
      <c r="H2170" s="6" t="str">
        <f aca="false">IF(F2170=0,"NOT FOUND",INDEX('All Song Rankings'!$B:$B,F2170))</f>
        <v>Shania Twain</v>
      </c>
      <c r="I2170" s="6" t="str">
        <f aca="false">IF(F2170=0,"NOT FOUND",INDEX('All Song Rankings'!$D:$D,F2170))</f>
        <v>Logan</v>
      </c>
      <c r="J2170" s="7" t="str">
        <f aca="false">IF(F2170=0,"NOT FOUND",IF(C2170=I2170,"SELF-VOTE",IF(COUNTIF($K:$K,K2170)&gt;1,"DUPLICATE","OK")))</f>
        <v>OK</v>
      </c>
      <c r="K2170" s="6" t="str">
        <f aca="false">A2170&amp;"|"&amp;B2170&amp;"|"&amp;C2170&amp;"|"&amp;D2170</f>
        <v>4|2|Scott|spotify:track:6sxptembJVty4sNtcPMAVz</v>
      </c>
    </row>
    <row r="2171" customFormat="false" ht="15" hidden="false" customHeight="false" outlineLevel="0" collapsed="false">
      <c r="A2171" s="5" t="n">
        <v>4</v>
      </c>
      <c r="B2171" s="5" t="n">
        <v>2</v>
      </c>
      <c r="C2171" s="5" t="s">
        <v>484</v>
      </c>
      <c r="D2171" s="5" t="s">
        <v>1062</v>
      </c>
      <c r="E2171" s="5" t="n">
        <v>2</v>
      </c>
      <c r="F2171" s="6" t="n">
        <f aca="false">IFERROR(MATCH(A2171&amp;"|"&amp;B2171&amp;"|"&amp;D2171,'All Song Rankings'!$T:$T,0),0)</f>
        <v>325</v>
      </c>
      <c r="G2171" s="6" t="str">
        <f aca="false">IF(F2171=0,"NOT FOUND",INDEX('All Song Rankings'!$A:$A,F2171))</f>
        <v>Kiss Me</v>
      </c>
      <c r="H2171" s="6" t="str">
        <f aca="false">IF(F2171=0,"NOT FOUND",INDEX('All Song Rankings'!$B:$B,F2171))</f>
        <v>Sixpence None The Richer</v>
      </c>
      <c r="I2171" s="6" t="str">
        <f aca="false">IF(F2171=0,"NOT FOUND",INDEX('All Song Rankings'!$D:$D,F2171))</f>
        <v>Lisa</v>
      </c>
      <c r="J2171" s="7" t="str">
        <f aca="false">IF(F2171=0,"NOT FOUND",IF(C2171=I2171,"SELF-VOTE",IF(COUNTIF($K:$K,K2171)&gt;1,"DUPLICATE","OK")))</f>
        <v>OK</v>
      </c>
      <c r="K2171" s="6" t="str">
        <f aca="false">A2171&amp;"|"&amp;B2171&amp;"|"&amp;C2171&amp;"|"&amp;D2171</f>
        <v>4|2|Scott|spotify:track:754kgU5rWscRTfvlsuEwFp</v>
      </c>
    </row>
    <row r="2172" customFormat="false" ht="15" hidden="false" customHeight="false" outlineLevel="0" collapsed="false">
      <c r="A2172" s="5" t="n">
        <v>4</v>
      </c>
      <c r="B2172" s="5" t="n">
        <v>2</v>
      </c>
      <c r="C2172" s="5" t="s">
        <v>97</v>
      </c>
      <c r="D2172" s="5" t="s">
        <v>1090</v>
      </c>
      <c r="E2172" s="5" t="n">
        <v>2</v>
      </c>
      <c r="F2172" s="6" t="n">
        <f aca="false">IFERROR(MATCH(A2172&amp;"|"&amp;B2172&amp;"|"&amp;D2172,'All Song Rankings'!$T:$T,0),0)</f>
        <v>335</v>
      </c>
      <c r="G2172" s="6" t="str">
        <f aca="false">IF(F2172=0,"NOT FOUND",INDEX('All Song Rankings'!$A:$A,F2172))</f>
        <v>The Middle</v>
      </c>
      <c r="H2172" s="6" t="str">
        <f aca="false">IF(F2172=0,"NOT FOUND",INDEX('All Song Rankings'!$B:$B,F2172))</f>
        <v>Zedd, Maren Morris, Grey</v>
      </c>
      <c r="I2172" s="6" t="str">
        <f aca="false">IF(F2172=0,"NOT FOUND",INDEX('All Song Rankings'!$D:$D,F2172))</f>
        <v>Merita</v>
      </c>
      <c r="J2172" s="7" t="str">
        <f aca="false">IF(F2172=0,"NOT FOUND",IF(C2172=I2172,"SELF-VOTE",IF(COUNTIF($K:$K,K2172)&gt;1,"DUPLICATE","OK")))</f>
        <v>OK</v>
      </c>
      <c r="K2172" s="6" t="str">
        <f aca="false">A2172&amp;"|"&amp;B2172&amp;"|"&amp;C2172&amp;"|"&amp;D2172</f>
        <v>4|2|Stephanie|spotify:track:09IStsImFySgyp0pIQdqAc</v>
      </c>
    </row>
    <row r="2173" customFormat="false" ht="15" hidden="false" customHeight="false" outlineLevel="0" collapsed="false">
      <c r="A2173" s="5" t="n">
        <v>4</v>
      </c>
      <c r="B2173" s="5" t="n">
        <v>2</v>
      </c>
      <c r="C2173" s="5" t="s">
        <v>97</v>
      </c>
      <c r="D2173" s="5" t="s">
        <v>1092</v>
      </c>
      <c r="E2173" s="5" t="n">
        <v>1</v>
      </c>
      <c r="F2173" s="6" t="n">
        <f aca="false">IFERROR(MATCH(A2173&amp;"|"&amp;B2173&amp;"|"&amp;D2173,'All Song Rankings'!$T:$T,0),0)</f>
        <v>336</v>
      </c>
      <c r="G2173" s="6" t="str">
        <f aca="false">IF(F2173=0,"NOT FOUND",INDEX('All Song Rankings'!$A:$A,F2173))</f>
        <v>Crazy</v>
      </c>
      <c r="H2173" s="6" t="str">
        <f aca="false">IF(F2173=0,"NOT FOUND",INDEX('All Song Rankings'!$B:$B,F2173))</f>
        <v>Seal</v>
      </c>
      <c r="I2173" s="6" t="str">
        <f aca="false">IF(F2173=0,"NOT FOUND",INDEX('All Song Rankings'!$D:$D,F2173))</f>
        <v>Christine</v>
      </c>
      <c r="J2173" s="7" t="str">
        <f aca="false">IF(F2173=0,"NOT FOUND",IF(C2173=I2173,"SELF-VOTE",IF(COUNTIF($K:$K,K2173)&gt;1,"DUPLICATE","OK")))</f>
        <v>OK</v>
      </c>
      <c r="K2173" s="6" t="str">
        <f aca="false">A2173&amp;"|"&amp;B2173&amp;"|"&amp;C2173&amp;"|"&amp;D2173</f>
        <v>4|2|Stephanie|spotify:track:10tdqQKFhddpkjzxllTVRj</v>
      </c>
    </row>
    <row r="2174" customFormat="false" ht="15" hidden="false" customHeight="false" outlineLevel="0" collapsed="false">
      <c r="A2174" s="5" t="n">
        <v>4</v>
      </c>
      <c r="B2174" s="5" t="n">
        <v>2</v>
      </c>
      <c r="C2174" s="5" t="s">
        <v>97</v>
      </c>
      <c r="D2174" s="5" t="s">
        <v>1071</v>
      </c>
      <c r="E2174" s="5" t="n">
        <v>1</v>
      </c>
      <c r="F2174" s="6" t="n">
        <f aca="false">IFERROR(MATCH(A2174&amp;"|"&amp;B2174&amp;"|"&amp;D2174,'All Song Rankings'!$T:$T,0),0)</f>
        <v>328</v>
      </c>
      <c r="G2174" s="6" t="str">
        <f aca="false">IF(F2174=0,"NOT FOUND",INDEX('All Song Rankings'!$A:$A,F2174))</f>
        <v>I Want It That Way</v>
      </c>
      <c r="H2174" s="6" t="str">
        <f aca="false">IF(F2174=0,"NOT FOUND",INDEX('All Song Rankings'!$B:$B,F2174))</f>
        <v>Backstreet Boys</v>
      </c>
      <c r="I2174" s="6" t="str">
        <f aca="false">IF(F2174=0,"NOT FOUND",INDEX('All Song Rankings'!$D:$D,F2174))</f>
        <v>Kelsey</v>
      </c>
      <c r="J2174" s="7" t="str">
        <f aca="false">IF(F2174=0,"NOT FOUND",IF(C2174=I2174,"SELF-VOTE",IF(COUNTIF($K:$K,K2174)&gt;1,"DUPLICATE","OK")))</f>
        <v>OK</v>
      </c>
      <c r="K2174" s="6" t="str">
        <f aca="false">A2174&amp;"|"&amp;B2174&amp;"|"&amp;C2174&amp;"|"&amp;D2174</f>
        <v>4|2|Stephanie|spotify:track:47BBI51FKFwOMlIiX6m8ya</v>
      </c>
    </row>
    <row r="2175" customFormat="false" ht="15" hidden="false" customHeight="false" outlineLevel="0" collapsed="false">
      <c r="A2175" s="5" t="n">
        <v>4</v>
      </c>
      <c r="B2175" s="5" t="n">
        <v>2</v>
      </c>
      <c r="C2175" s="5" t="s">
        <v>97</v>
      </c>
      <c r="D2175" s="5" t="s">
        <v>1079</v>
      </c>
      <c r="E2175" s="5" t="n">
        <v>2</v>
      </c>
      <c r="F2175" s="6" t="n">
        <f aca="false">IFERROR(MATCH(A2175&amp;"|"&amp;B2175&amp;"|"&amp;D2175,'All Song Rankings'!$T:$T,0),0)</f>
        <v>331</v>
      </c>
      <c r="G2175" s="6" t="str">
        <f aca="false">IF(F2175=0,"NOT FOUND",INDEX('All Song Rankings'!$A:$A,F2175))</f>
        <v>Love Song</v>
      </c>
      <c r="H2175" s="6" t="str">
        <f aca="false">IF(F2175=0,"NOT FOUND",INDEX('All Song Rankings'!$B:$B,F2175))</f>
        <v>Sara Bareilles</v>
      </c>
      <c r="I2175" s="6" t="str">
        <f aca="false">IF(F2175=0,"NOT FOUND",INDEX('All Song Rankings'!$D:$D,F2175))</f>
        <v>Colleen</v>
      </c>
      <c r="J2175" s="7" t="str">
        <f aca="false">IF(F2175=0,"NOT FOUND",IF(C2175=I2175,"SELF-VOTE",IF(COUNTIF($K:$K,K2175)&gt;1,"DUPLICATE","OK")))</f>
        <v>OK</v>
      </c>
      <c r="K2175" s="6" t="str">
        <f aca="false">A2175&amp;"|"&amp;B2175&amp;"|"&amp;C2175&amp;"|"&amp;D2175</f>
        <v>4|2|Stephanie|spotify:track:4E6cwWJWZw2zWf7VFbH7wf</v>
      </c>
    </row>
    <row r="2176" customFormat="false" ht="15" hidden="false" customHeight="false" outlineLevel="0" collapsed="false">
      <c r="A2176" s="5" t="n">
        <v>4</v>
      </c>
      <c r="B2176" s="5" t="n">
        <v>2</v>
      </c>
      <c r="C2176" s="5" t="s">
        <v>97</v>
      </c>
      <c r="D2176" s="5" t="s">
        <v>1077</v>
      </c>
      <c r="E2176" s="5" t="n">
        <v>1</v>
      </c>
      <c r="F2176" s="6" t="n">
        <f aca="false">IFERROR(MATCH(A2176&amp;"|"&amp;B2176&amp;"|"&amp;D2176,'All Song Rankings'!$T:$T,0),0)</f>
        <v>330</v>
      </c>
      <c r="G2176" s="6" t="str">
        <f aca="false">IF(F2176=0,"NOT FOUND",INDEX('All Song Rankings'!$A:$A,F2176))</f>
        <v>3AM</v>
      </c>
      <c r="H2176" s="6" t="str">
        <f aca="false">IF(F2176=0,"NOT FOUND",INDEX('All Song Rankings'!$B:$B,F2176))</f>
        <v>Matchbox Twenty</v>
      </c>
      <c r="I2176" s="6" t="str">
        <f aca="false">IF(F2176=0,"NOT FOUND",INDEX('All Song Rankings'!$D:$D,F2176))</f>
        <v>Matt</v>
      </c>
      <c r="J2176" s="7" t="str">
        <f aca="false">IF(F2176=0,"NOT FOUND",IF(C2176=I2176,"SELF-VOTE",IF(COUNTIF($K:$K,K2176)&gt;1,"DUPLICATE","OK")))</f>
        <v>OK</v>
      </c>
      <c r="K2176" s="6" t="str">
        <f aca="false">A2176&amp;"|"&amp;B2176&amp;"|"&amp;C2176&amp;"|"&amp;D2176</f>
        <v>4|2|Stephanie|spotify:track:5vYA1mW9g2Coh1HUFUSmlb</v>
      </c>
    </row>
    <row r="2177" customFormat="false" ht="15" hidden="false" customHeight="false" outlineLevel="0" collapsed="false">
      <c r="A2177" s="5" t="n">
        <v>4</v>
      </c>
      <c r="B2177" s="5" t="n">
        <v>2</v>
      </c>
      <c r="C2177" s="5" t="s">
        <v>97</v>
      </c>
      <c r="D2177" s="5" t="s">
        <v>1062</v>
      </c>
      <c r="E2177" s="5" t="n">
        <v>3</v>
      </c>
      <c r="F2177" s="6" t="n">
        <f aca="false">IFERROR(MATCH(A2177&amp;"|"&amp;B2177&amp;"|"&amp;D2177,'All Song Rankings'!$T:$T,0),0)</f>
        <v>325</v>
      </c>
      <c r="G2177" s="6" t="str">
        <f aca="false">IF(F2177=0,"NOT FOUND",INDEX('All Song Rankings'!$A:$A,F2177))</f>
        <v>Kiss Me</v>
      </c>
      <c r="H2177" s="6" t="str">
        <f aca="false">IF(F2177=0,"NOT FOUND",INDEX('All Song Rankings'!$B:$B,F2177))</f>
        <v>Sixpence None The Richer</v>
      </c>
      <c r="I2177" s="6" t="str">
        <f aca="false">IF(F2177=0,"NOT FOUND",INDEX('All Song Rankings'!$D:$D,F2177))</f>
        <v>Lisa</v>
      </c>
      <c r="J2177" s="7" t="str">
        <f aca="false">IF(F2177=0,"NOT FOUND",IF(C2177=I2177,"SELF-VOTE",IF(COUNTIF($K:$K,K2177)&gt;1,"DUPLICATE","OK")))</f>
        <v>OK</v>
      </c>
      <c r="K2177" s="6" t="str">
        <f aca="false">A2177&amp;"|"&amp;B2177&amp;"|"&amp;C2177&amp;"|"&amp;D2177</f>
        <v>4|2|Stephanie|spotify:track:754kgU5rWscRTfvlsuEwFp</v>
      </c>
    </row>
    <row r="2178" customFormat="false" ht="15" hidden="false" customHeight="false" outlineLevel="0" collapsed="false">
      <c r="A2178" s="5" t="n">
        <v>4</v>
      </c>
      <c r="B2178" s="5" t="n">
        <v>3</v>
      </c>
      <c r="C2178" s="5" t="s">
        <v>719</v>
      </c>
      <c r="D2178" s="5" t="s">
        <v>1129</v>
      </c>
      <c r="E2178" s="5" t="n">
        <v>1</v>
      </c>
      <c r="F2178" s="6" t="n">
        <f aca="false">IFERROR(MATCH(A2178&amp;"|"&amp;B2178&amp;"|"&amp;D2178,'All Song Rankings'!$T:$T,0),0)</f>
        <v>348</v>
      </c>
      <c r="G2178" s="6" t="str">
        <f aca="false">IF(F2178=0,"NOT FOUND",INDEX('All Song Rankings'!$A:$A,F2178))</f>
        <v>Diva's Lament (What Ever Happened To My Part?)</v>
      </c>
      <c r="H2178" s="6" t="str">
        <f aca="false">IF(F2178=0,"NOT FOUND",INDEX('All Song Rankings'!$B:$B,F2178))</f>
        <v>Sara Ramirez, Todd Ellison</v>
      </c>
      <c r="I2178" s="6" t="str">
        <f aca="false">IF(F2178=0,"NOT FOUND",INDEX('All Song Rankings'!$D:$D,F2178))</f>
        <v>Scott</v>
      </c>
      <c r="J2178" s="7" t="str">
        <f aca="false">IF(F2178=0,"NOT FOUND",IF(C2178=I2178,"SELF-VOTE",IF(COUNTIF($K:$K,K2178)&gt;1,"DUPLICATE","OK")))</f>
        <v>OK</v>
      </c>
      <c r="K2178" s="6" t="str">
        <f aca="false">A2178&amp;"|"&amp;B2178&amp;"|"&amp;C2178&amp;"|"&amp;D2178</f>
        <v>4|3|Christine|spotify:track:0PEkZhThiOCTPk1NxnjjJe</v>
      </c>
    </row>
    <row r="2179" customFormat="false" ht="15" hidden="false" customHeight="false" outlineLevel="0" collapsed="false">
      <c r="A2179" s="5" t="n">
        <v>4</v>
      </c>
      <c r="B2179" s="5" t="n">
        <v>3</v>
      </c>
      <c r="C2179" s="5" t="s">
        <v>719</v>
      </c>
      <c r="D2179" s="5" t="s">
        <v>1120</v>
      </c>
      <c r="E2179" s="5" t="n">
        <v>1</v>
      </c>
      <c r="F2179" s="6" t="n">
        <f aca="false">IFERROR(MATCH(A2179&amp;"|"&amp;B2179&amp;"|"&amp;D2179,'All Song Rankings'!$T:$T,0),0)</f>
        <v>345</v>
      </c>
      <c r="G2179" s="6" t="str">
        <f aca="false">IF(F2179=0,"NOT FOUND",INDEX('All Song Rankings'!$A:$A,F2179))</f>
        <v>I'm Here</v>
      </c>
      <c r="H2179" s="6" t="str">
        <f aca="false">IF(F2179=0,"NOT FOUND",INDEX('All Song Rankings'!$B:$B,F2179))</f>
        <v>Cynthia Erivo</v>
      </c>
      <c r="I2179" s="6" t="str">
        <f aca="false">IF(F2179=0,"NOT FOUND",INDEX('All Song Rankings'!$D:$D,F2179))</f>
        <v>Logan</v>
      </c>
      <c r="J2179" s="7" t="str">
        <f aca="false">IF(F2179=0,"NOT FOUND",IF(C2179=I2179,"SELF-VOTE",IF(COUNTIF($K:$K,K2179)&gt;1,"DUPLICATE","OK")))</f>
        <v>OK</v>
      </c>
      <c r="K2179" s="6" t="str">
        <f aca="false">A2179&amp;"|"&amp;B2179&amp;"|"&amp;C2179&amp;"|"&amp;D2179</f>
        <v>4|3|Christine|spotify:track:1w2k1OOCSy3ez40D3TQs7L</v>
      </c>
    </row>
    <row r="2180" customFormat="false" ht="15" hidden="false" customHeight="false" outlineLevel="0" collapsed="false">
      <c r="A2180" s="5" t="n">
        <v>4</v>
      </c>
      <c r="B2180" s="5" t="n">
        <v>3</v>
      </c>
      <c r="C2180" s="5" t="s">
        <v>719</v>
      </c>
      <c r="D2180" s="5" t="s">
        <v>1111</v>
      </c>
      <c r="E2180" s="5" t="n">
        <v>2</v>
      </c>
      <c r="F2180" s="6" t="n">
        <f aca="false">IFERROR(MATCH(A2180&amp;"|"&amp;B2180&amp;"|"&amp;D2180,'All Song Rankings'!$T:$T,0),0)</f>
        <v>342</v>
      </c>
      <c r="G2180" s="6" t="str">
        <f aca="false">IF(F2180=0,"NOT FOUND",INDEX('All Song Rankings'!$A:$A,F2180))</f>
        <v>The Phantom of the Opera</v>
      </c>
      <c r="H2180" s="6" t="str">
        <f aca="false">IF(F2180=0,"NOT FOUND",INDEX('All Song Rankings'!$B:$B,F2180))</f>
        <v>Andrew Lloyd Webber, Michael Crawford, Phantom Of The Opera Original London Cast, Sarah Brightman</v>
      </c>
      <c r="I2180" s="6" t="str">
        <f aca="false">IF(F2180=0,"NOT FOUND",INDEX('All Song Rankings'!$D:$D,F2180))</f>
        <v>Makenzie</v>
      </c>
      <c r="J2180" s="7" t="str">
        <f aca="false">IF(F2180=0,"NOT FOUND",IF(C2180=I2180,"SELF-VOTE",IF(COUNTIF($K:$K,K2180)&gt;1,"DUPLICATE","OK")))</f>
        <v>OK</v>
      </c>
      <c r="K2180" s="6" t="str">
        <f aca="false">A2180&amp;"|"&amp;B2180&amp;"|"&amp;C2180&amp;"|"&amp;D2180</f>
        <v>4|3|Christine|spotify:track:3EBPGmqpZTMfOPQtUxfCXj</v>
      </c>
    </row>
    <row r="2181" customFormat="false" ht="15" hidden="false" customHeight="false" outlineLevel="0" collapsed="false">
      <c r="A2181" s="5" t="n">
        <v>4</v>
      </c>
      <c r="B2181" s="5" t="n">
        <v>3</v>
      </c>
      <c r="C2181" s="5" t="s">
        <v>719</v>
      </c>
      <c r="D2181" s="5" t="s">
        <v>1108</v>
      </c>
      <c r="E2181" s="5" t="n">
        <v>2</v>
      </c>
      <c r="F2181" s="6" t="n">
        <f aca="false">IFERROR(MATCH(A2181&amp;"|"&amp;B2181&amp;"|"&amp;D2181,'All Song Rankings'!$T:$T,0),0)</f>
        <v>341</v>
      </c>
      <c r="G2181" s="6" t="str">
        <f aca="false">IF(F2181=0,"NOT FOUND",INDEX('All Song Rankings'!$A:$A,F2181))</f>
        <v>Wait for It</v>
      </c>
      <c r="H2181" s="6" t="str">
        <f aca="false">IF(F2181=0,"NOT FOUND",INDEX('All Song Rankings'!$B:$B,F2181))</f>
        <v>Leslie Odom Jr., Original Broadway Cast of Hamilton</v>
      </c>
      <c r="I2181" s="6" t="str">
        <f aca="false">IF(F2181=0,"NOT FOUND",INDEX('All Song Rankings'!$D:$D,F2181))</f>
        <v>Kristen</v>
      </c>
      <c r="J2181" s="7" t="str">
        <f aca="false">IF(F2181=0,"NOT FOUND",IF(C2181=I2181,"SELF-VOTE",IF(COUNTIF($K:$K,K2181)&gt;1,"DUPLICATE","OK")))</f>
        <v>OK</v>
      </c>
      <c r="K2181" s="6" t="str">
        <f aca="false">A2181&amp;"|"&amp;B2181&amp;"|"&amp;C2181&amp;"|"&amp;D2181</f>
        <v>4|3|Christine|spotify:track:7EqpEBPOohgk7NnKvBGFWo</v>
      </c>
    </row>
    <row r="2182" customFormat="false" ht="15" hidden="false" customHeight="false" outlineLevel="0" collapsed="false">
      <c r="A2182" s="5" t="n">
        <v>4</v>
      </c>
      <c r="B2182" s="5" t="n">
        <v>3</v>
      </c>
      <c r="C2182" s="5" t="s">
        <v>719</v>
      </c>
      <c r="D2182" s="5" t="s">
        <v>1105</v>
      </c>
      <c r="E2182" s="5" t="n">
        <v>2</v>
      </c>
      <c r="F2182" s="6" t="n">
        <f aca="false">IFERROR(MATCH(A2182&amp;"|"&amp;B2182&amp;"|"&amp;D2182,'All Song Rankings'!$T:$T,0),0)</f>
        <v>340</v>
      </c>
      <c r="G2182" s="6" t="str">
        <f aca="false">IF(F2182=0,"NOT FOUND",INDEX('All Song Rankings'!$A:$A,F2182))</f>
        <v>Past is Catching Up to Me</v>
      </c>
      <c r="H2182" s="6" t="str">
        <f aca="false">IF(F2182=0,"NOT FOUND",INDEX('All Song Rankings'!$B:$B,F2182))</f>
        <v>Jeremy Jordan, Original Broadway Cast of The Great Gatsby - A New Musical</v>
      </c>
      <c r="I2182" s="6" t="str">
        <f aca="false">IF(F2182=0,"NOT FOUND",INDEX('All Song Rankings'!$D:$D,F2182))</f>
        <v>Kelsey</v>
      </c>
      <c r="J2182" s="7" t="str">
        <f aca="false">IF(F2182=0,"NOT FOUND",IF(C2182=I2182,"SELF-VOTE",IF(COUNTIF($K:$K,K2182)&gt;1,"DUPLICATE","OK")))</f>
        <v>OK</v>
      </c>
      <c r="K2182" s="6" t="str">
        <f aca="false">A2182&amp;"|"&amp;B2182&amp;"|"&amp;C2182&amp;"|"&amp;D2182</f>
        <v>4|3|Christine|spotify:track:7l6hD7JPcp4MTqcqpRPpsx</v>
      </c>
    </row>
    <row r="2183" customFormat="false" ht="15" hidden="false" customHeight="false" outlineLevel="0" collapsed="false">
      <c r="A2183" s="5" t="n">
        <v>4</v>
      </c>
      <c r="B2183" s="5" t="n">
        <v>3</v>
      </c>
      <c r="C2183" s="5" t="s">
        <v>719</v>
      </c>
      <c r="D2183" s="5" t="s">
        <v>1099</v>
      </c>
      <c r="E2183" s="5" t="n">
        <v>2</v>
      </c>
      <c r="F2183" s="6" t="n">
        <f aca="false">IFERROR(MATCH(A2183&amp;"|"&amp;B2183&amp;"|"&amp;D2183,'All Song Rankings'!$T:$T,0),0)</f>
        <v>338</v>
      </c>
      <c r="G2183" s="6" t="str">
        <f aca="false">IF(F2183=0,"NOT FOUND",INDEX('All Song Rankings'!$A:$A,F2183))</f>
        <v>Cell Block Tango</v>
      </c>
      <c r="H2183" s="6" t="str">
        <f aca="false">IF(F2183=0,"NOT FOUND",INDEX('All Song Rankings'!$B:$B,F2183))</f>
        <v>Michael Berresse, Bebe Neuwirth, Ensemble - Broadway Cast of Chicago The Musical (1997)</v>
      </c>
      <c r="I2183" s="6" t="str">
        <f aca="false">IF(F2183=0,"NOT FOUND",INDEX('All Song Rankings'!$D:$D,F2183))</f>
        <v>Lisa</v>
      </c>
      <c r="J2183" s="7" t="str">
        <f aca="false">IF(F2183=0,"NOT FOUND",IF(C2183=I2183,"SELF-VOTE",IF(COUNTIF($K:$K,K2183)&gt;1,"DUPLICATE","OK")))</f>
        <v>OK</v>
      </c>
      <c r="K2183" s="6" t="str">
        <f aca="false">A2183&amp;"|"&amp;B2183&amp;"|"&amp;C2183&amp;"|"&amp;D2183</f>
        <v>4|3|Christine|spotify:track:7nCwN0SjXZmEsp1KJrsELD</v>
      </c>
    </row>
    <row r="2184" customFormat="false" ht="15" hidden="false" customHeight="false" outlineLevel="0" collapsed="false">
      <c r="A2184" s="5" t="n">
        <v>4</v>
      </c>
      <c r="B2184" s="5" t="n">
        <v>3</v>
      </c>
      <c r="C2184" s="5" t="s">
        <v>637</v>
      </c>
      <c r="D2184" s="5" t="s">
        <v>1129</v>
      </c>
      <c r="E2184" s="5" t="n">
        <v>1</v>
      </c>
      <c r="F2184" s="6" t="n">
        <f aca="false">IFERROR(MATCH(A2184&amp;"|"&amp;B2184&amp;"|"&amp;D2184,'All Song Rankings'!$T:$T,0),0)</f>
        <v>348</v>
      </c>
      <c r="G2184" s="6" t="str">
        <f aca="false">IF(F2184=0,"NOT FOUND",INDEX('All Song Rankings'!$A:$A,F2184))</f>
        <v>Diva's Lament (What Ever Happened To My Part?)</v>
      </c>
      <c r="H2184" s="6" t="str">
        <f aca="false">IF(F2184=0,"NOT FOUND",INDEX('All Song Rankings'!$B:$B,F2184))</f>
        <v>Sara Ramirez, Todd Ellison</v>
      </c>
      <c r="I2184" s="6" t="str">
        <f aca="false">IF(F2184=0,"NOT FOUND",INDEX('All Song Rankings'!$D:$D,F2184))</f>
        <v>Scott</v>
      </c>
      <c r="J2184" s="7" t="str">
        <f aca="false">IF(F2184=0,"NOT FOUND",IF(C2184=I2184,"SELF-VOTE",IF(COUNTIF($K:$K,K2184)&gt;1,"DUPLICATE","OK")))</f>
        <v>OK</v>
      </c>
      <c r="K2184" s="6" t="str">
        <f aca="false">A2184&amp;"|"&amp;B2184&amp;"|"&amp;C2184&amp;"|"&amp;D2184</f>
        <v>4|3|Colleen|spotify:track:0PEkZhThiOCTPk1NxnjjJe</v>
      </c>
    </row>
    <row r="2185" customFormat="false" ht="15" hidden="false" customHeight="false" outlineLevel="0" collapsed="false">
      <c r="A2185" s="5" t="n">
        <v>4</v>
      </c>
      <c r="B2185" s="5" t="n">
        <v>3</v>
      </c>
      <c r="C2185" s="5" t="s">
        <v>637</v>
      </c>
      <c r="D2185" s="5" t="s">
        <v>1138</v>
      </c>
      <c r="E2185" s="5" t="n">
        <v>1</v>
      </c>
      <c r="F2185" s="6" t="n">
        <f aca="false">IFERROR(MATCH(A2185&amp;"|"&amp;B2185&amp;"|"&amp;D2185,'All Song Rankings'!$T:$T,0),0)</f>
        <v>351</v>
      </c>
      <c r="G2185" s="6" t="str">
        <f aca="false">IF(F2185=0,"NOT FOUND",INDEX('All Song Rankings'!$A:$A,F2185))</f>
        <v>A Million Dreams</v>
      </c>
      <c r="H2185" s="6" t="str">
        <f aca="false">IF(F2185=0,"NOT FOUND",INDEX('All Song Rankings'!$B:$B,F2185))</f>
        <v>Ziv Zaifman, Hugh Jackman, Michelle Williams</v>
      </c>
      <c r="I2185" s="6" t="str">
        <f aca="false">IF(F2185=0,"NOT FOUND",INDEX('All Song Rankings'!$D:$D,F2185))</f>
        <v>Merita</v>
      </c>
      <c r="J2185" s="7" t="str">
        <f aca="false">IF(F2185=0,"NOT FOUND",IF(C2185=I2185,"SELF-VOTE",IF(COUNTIF($K:$K,K2185)&gt;1,"DUPLICATE","OK")))</f>
        <v>OK</v>
      </c>
      <c r="K2185" s="6" t="str">
        <f aca="false">A2185&amp;"|"&amp;B2185&amp;"|"&amp;C2185&amp;"|"&amp;D2185</f>
        <v>4|3|Colleen|spotify:track:0RoA7ObU6phWpqhlC9zH4Z</v>
      </c>
    </row>
    <row r="2186" customFormat="false" ht="15" hidden="false" customHeight="false" outlineLevel="0" collapsed="false">
      <c r="A2186" s="5" t="n">
        <v>4</v>
      </c>
      <c r="B2186" s="5" t="n">
        <v>3</v>
      </c>
      <c r="C2186" s="5" t="s">
        <v>637</v>
      </c>
      <c r="D2186" s="5" t="s">
        <v>1102</v>
      </c>
      <c r="E2186" s="5" t="n">
        <v>1</v>
      </c>
      <c r="F2186" s="6" t="n">
        <f aca="false">IFERROR(MATCH(A2186&amp;"|"&amp;B2186&amp;"|"&amp;D2186,'All Song Rankings'!$T:$T,0),0)</f>
        <v>339</v>
      </c>
      <c r="G2186" s="6" t="str">
        <f aca="false">IF(F2186=0,"NOT FOUND",INDEX('All Song Rankings'!$A:$A,F2186))</f>
        <v>The Greatest Show</v>
      </c>
      <c r="H2186" s="6" t="str">
        <f aca="false">IF(F2186=0,"NOT FOUND",INDEX('All Song Rankings'!$B:$B,F2186))</f>
        <v>Hugh Jackman, Keala Settle, Zac Efron, Zendaya, The Greatest Showman Ensemble</v>
      </c>
      <c r="I2186" s="6" t="str">
        <f aca="false">IF(F2186=0,"NOT FOUND",INDEX('All Song Rankings'!$D:$D,F2186))</f>
        <v>Leah</v>
      </c>
      <c r="J2186" s="7" t="str">
        <f aca="false">IF(F2186=0,"NOT FOUND",IF(C2186=I2186,"SELF-VOTE",IF(COUNTIF($K:$K,K2186)&gt;1,"DUPLICATE","OK")))</f>
        <v>OK</v>
      </c>
      <c r="K2186" s="6" t="str">
        <f aca="false">A2186&amp;"|"&amp;B2186&amp;"|"&amp;C2186&amp;"|"&amp;D2186</f>
        <v>4|3|Colleen|spotify:track:4ylWMuGbMXNDgDd8lErEle</v>
      </c>
    </row>
    <row r="2187" customFormat="false" ht="15" hidden="false" customHeight="false" outlineLevel="0" collapsed="false">
      <c r="A2187" s="5" t="n">
        <v>4</v>
      </c>
      <c r="B2187" s="5" t="n">
        <v>3</v>
      </c>
      <c r="C2187" s="5" t="s">
        <v>637</v>
      </c>
      <c r="D2187" s="5" t="s">
        <v>1108</v>
      </c>
      <c r="E2187" s="5" t="n">
        <v>1</v>
      </c>
      <c r="F2187" s="6" t="n">
        <f aca="false">IFERROR(MATCH(A2187&amp;"|"&amp;B2187&amp;"|"&amp;D2187,'All Song Rankings'!$T:$T,0),0)</f>
        <v>341</v>
      </c>
      <c r="G2187" s="6" t="str">
        <f aca="false">IF(F2187=0,"NOT FOUND",INDEX('All Song Rankings'!$A:$A,F2187))</f>
        <v>Wait for It</v>
      </c>
      <c r="H2187" s="6" t="str">
        <f aca="false">IF(F2187=0,"NOT FOUND",INDEX('All Song Rankings'!$B:$B,F2187))</f>
        <v>Leslie Odom Jr., Original Broadway Cast of Hamilton</v>
      </c>
      <c r="I2187" s="6" t="str">
        <f aca="false">IF(F2187=0,"NOT FOUND",INDEX('All Song Rankings'!$D:$D,F2187))</f>
        <v>Kristen</v>
      </c>
      <c r="J2187" s="7" t="str">
        <f aca="false">IF(F2187=0,"NOT FOUND",IF(C2187=I2187,"SELF-VOTE",IF(COUNTIF($K:$K,K2187)&gt;1,"DUPLICATE","OK")))</f>
        <v>OK</v>
      </c>
      <c r="K2187" s="6" t="str">
        <f aca="false">A2187&amp;"|"&amp;B2187&amp;"|"&amp;C2187&amp;"|"&amp;D2187</f>
        <v>4|3|Colleen|spotify:track:7EqpEBPOohgk7NnKvBGFWo</v>
      </c>
    </row>
    <row r="2188" customFormat="false" ht="15" hidden="false" customHeight="false" outlineLevel="0" collapsed="false">
      <c r="A2188" s="5" t="n">
        <v>4</v>
      </c>
      <c r="B2188" s="5" t="n">
        <v>3</v>
      </c>
      <c r="C2188" s="5" t="s">
        <v>637</v>
      </c>
      <c r="D2188" s="5" t="s">
        <v>1135</v>
      </c>
      <c r="E2188" s="5" t="n">
        <v>1</v>
      </c>
      <c r="F2188" s="6" t="n">
        <f aca="false">IFERROR(MATCH(A2188&amp;"|"&amp;B2188&amp;"|"&amp;D2188,'All Song Rankings'!$T:$T,0),0)</f>
        <v>350</v>
      </c>
      <c r="G2188" s="6" t="str">
        <f aca="false">IF(F2188=0,"NOT FOUND",INDEX('All Song Rankings'!$A:$A,F2188))</f>
        <v>What Is This Feeling?</v>
      </c>
      <c r="H2188" s="6" t="str">
        <f aca="false">IF(F2188=0,"NOT FOUND",INDEX('All Song Rankings'!$B:$B,F2188))</f>
        <v>Ariana Grande, Cynthia Erivo</v>
      </c>
      <c r="I2188" s="6" t="str">
        <f aca="false">IF(F2188=0,"NOT FOUND",INDEX('All Song Rankings'!$D:$D,F2188))</f>
        <v>Grace</v>
      </c>
      <c r="J2188" s="7" t="str">
        <f aca="false">IF(F2188=0,"NOT FOUND",IF(C2188=I2188,"SELF-VOTE",IF(COUNTIF($K:$K,K2188)&gt;1,"DUPLICATE","OK")))</f>
        <v>OK</v>
      </c>
      <c r="K2188" s="6" t="str">
        <f aca="false">A2188&amp;"|"&amp;B2188&amp;"|"&amp;C2188&amp;"|"&amp;D2188</f>
        <v>4|3|Colleen|spotify:track:7eGuPhpdS8sBjPJNuAShUX</v>
      </c>
    </row>
    <row r="2189" customFormat="false" ht="15" hidden="false" customHeight="false" outlineLevel="0" collapsed="false">
      <c r="A2189" s="5" t="n">
        <v>4</v>
      </c>
      <c r="B2189" s="5" t="n">
        <v>3</v>
      </c>
      <c r="C2189" s="5" t="s">
        <v>637</v>
      </c>
      <c r="D2189" s="5" t="s">
        <v>1126</v>
      </c>
      <c r="E2189" s="5" t="n">
        <v>2</v>
      </c>
      <c r="F2189" s="6" t="n">
        <f aca="false">IFERROR(MATCH(A2189&amp;"|"&amp;B2189&amp;"|"&amp;D2189,'All Song Rankings'!$T:$T,0),0)</f>
        <v>347</v>
      </c>
      <c r="G2189" s="6" t="str">
        <f aca="false">IF(F2189=0,"NOT FOUND",INDEX('All Song Rankings'!$A:$A,F2189))</f>
        <v>You Can't Stop The Beat</v>
      </c>
      <c r="H2189" s="6" t="str">
        <f aca="false">IF(F2189=0,"NOT FOUND",INDEX('All Song Rankings'!$B:$B,F2189))</f>
        <v>Elijah Kelley, John Travolta, Queen Latifah, Nikki Blonsky, Zac Efron, Amanda Bynes, Motion Picture Cast of Hairspray</v>
      </c>
      <c r="I2189" s="6" t="str">
        <f aca="false">IF(F2189=0,"NOT FOUND",INDEX('All Song Rankings'!$D:$D,F2189))</f>
        <v>Stephanie</v>
      </c>
      <c r="J2189" s="7" t="str">
        <f aca="false">IF(F2189=0,"NOT FOUND",IF(C2189=I2189,"SELF-VOTE",IF(COUNTIF($K:$K,K2189)&gt;1,"DUPLICATE","OK")))</f>
        <v>OK</v>
      </c>
      <c r="K2189" s="6" t="str">
        <f aca="false">A2189&amp;"|"&amp;B2189&amp;"|"&amp;C2189&amp;"|"&amp;D2189</f>
        <v>4|3|Colleen|spotify:track:7goE6wDBvkZoeWrFm0EdCg</v>
      </c>
    </row>
    <row r="2190" customFormat="false" ht="15" hidden="false" customHeight="false" outlineLevel="0" collapsed="false">
      <c r="A2190" s="5" t="n">
        <v>4</v>
      </c>
      <c r="B2190" s="5" t="n">
        <v>3</v>
      </c>
      <c r="C2190" s="5" t="s">
        <v>637</v>
      </c>
      <c r="D2190" s="5" t="s">
        <v>1105</v>
      </c>
      <c r="E2190" s="5" t="n">
        <v>2</v>
      </c>
      <c r="F2190" s="6" t="n">
        <f aca="false">IFERROR(MATCH(A2190&amp;"|"&amp;B2190&amp;"|"&amp;D2190,'All Song Rankings'!$T:$T,0),0)</f>
        <v>340</v>
      </c>
      <c r="G2190" s="6" t="str">
        <f aca="false">IF(F2190=0,"NOT FOUND",INDEX('All Song Rankings'!$A:$A,F2190))</f>
        <v>Past is Catching Up to Me</v>
      </c>
      <c r="H2190" s="6" t="str">
        <f aca="false">IF(F2190=0,"NOT FOUND",INDEX('All Song Rankings'!$B:$B,F2190))</f>
        <v>Jeremy Jordan, Original Broadway Cast of The Great Gatsby - A New Musical</v>
      </c>
      <c r="I2190" s="6" t="str">
        <f aca="false">IF(F2190=0,"NOT FOUND",INDEX('All Song Rankings'!$D:$D,F2190))</f>
        <v>Kelsey</v>
      </c>
      <c r="J2190" s="7" t="str">
        <f aca="false">IF(F2190=0,"NOT FOUND",IF(C2190=I2190,"SELF-VOTE",IF(COUNTIF($K:$K,K2190)&gt;1,"DUPLICATE","OK")))</f>
        <v>OK</v>
      </c>
      <c r="K2190" s="6" t="str">
        <f aca="false">A2190&amp;"|"&amp;B2190&amp;"|"&amp;C2190&amp;"|"&amp;D2190</f>
        <v>4|3|Colleen|spotify:track:7l6hD7JPcp4MTqcqpRPpsx</v>
      </c>
    </row>
    <row r="2191" customFormat="false" ht="15" hidden="false" customHeight="false" outlineLevel="0" collapsed="false">
      <c r="A2191" s="5" t="n">
        <v>4</v>
      </c>
      <c r="B2191" s="5" t="n">
        <v>3</v>
      </c>
      <c r="C2191" s="5" t="s">
        <v>637</v>
      </c>
      <c r="D2191" s="5" t="s">
        <v>1099</v>
      </c>
      <c r="E2191" s="5" t="n">
        <v>1</v>
      </c>
      <c r="F2191" s="6" t="n">
        <f aca="false">IFERROR(MATCH(A2191&amp;"|"&amp;B2191&amp;"|"&amp;D2191,'All Song Rankings'!$T:$T,0),0)</f>
        <v>338</v>
      </c>
      <c r="G2191" s="6" t="str">
        <f aca="false">IF(F2191=0,"NOT FOUND",INDEX('All Song Rankings'!$A:$A,F2191))</f>
        <v>Cell Block Tango</v>
      </c>
      <c r="H2191" s="6" t="str">
        <f aca="false">IF(F2191=0,"NOT FOUND",INDEX('All Song Rankings'!$B:$B,F2191))</f>
        <v>Michael Berresse, Bebe Neuwirth, Ensemble - Broadway Cast of Chicago The Musical (1997)</v>
      </c>
      <c r="I2191" s="6" t="str">
        <f aca="false">IF(F2191=0,"NOT FOUND",INDEX('All Song Rankings'!$D:$D,F2191))</f>
        <v>Lisa</v>
      </c>
      <c r="J2191" s="7" t="str">
        <f aca="false">IF(F2191=0,"NOT FOUND",IF(C2191=I2191,"SELF-VOTE",IF(COUNTIF($K:$K,K2191)&gt;1,"DUPLICATE","OK")))</f>
        <v>OK</v>
      </c>
      <c r="K2191" s="6" t="str">
        <f aca="false">A2191&amp;"|"&amp;B2191&amp;"|"&amp;C2191&amp;"|"&amp;D2191</f>
        <v>4|3|Colleen|spotify:track:7nCwN0SjXZmEsp1KJrsELD</v>
      </c>
    </row>
    <row r="2192" customFormat="false" ht="15" hidden="false" customHeight="false" outlineLevel="0" collapsed="false">
      <c r="A2192" s="5" t="n">
        <v>4</v>
      </c>
      <c r="B2192" s="5" t="n">
        <v>3</v>
      </c>
      <c r="C2192" s="5" t="s">
        <v>382</v>
      </c>
      <c r="D2192" s="5" t="s">
        <v>1129</v>
      </c>
      <c r="E2192" s="5" t="n">
        <v>1</v>
      </c>
      <c r="F2192" s="6" t="n">
        <f aca="false">IFERROR(MATCH(A2192&amp;"|"&amp;B2192&amp;"|"&amp;D2192,'All Song Rankings'!$T:$T,0),0)</f>
        <v>348</v>
      </c>
      <c r="G2192" s="6" t="str">
        <f aca="false">IF(F2192=0,"NOT FOUND",INDEX('All Song Rankings'!$A:$A,F2192))</f>
        <v>Diva's Lament (What Ever Happened To My Part?)</v>
      </c>
      <c r="H2192" s="6" t="str">
        <f aca="false">IF(F2192=0,"NOT FOUND",INDEX('All Song Rankings'!$B:$B,F2192))</f>
        <v>Sara Ramirez, Todd Ellison</v>
      </c>
      <c r="I2192" s="6" t="str">
        <f aca="false">IF(F2192=0,"NOT FOUND",INDEX('All Song Rankings'!$D:$D,F2192))</f>
        <v>Scott</v>
      </c>
      <c r="J2192" s="7" t="str">
        <f aca="false">IF(F2192=0,"NOT FOUND",IF(C2192=I2192,"SELF-VOTE",IF(COUNTIF($K:$K,K2192)&gt;1,"DUPLICATE","OK")))</f>
        <v>OK</v>
      </c>
      <c r="K2192" s="6" t="str">
        <f aca="false">A2192&amp;"|"&amp;B2192&amp;"|"&amp;C2192&amp;"|"&amp;D2192</f>
        <v>4|3|Grace|spotify:track:0PEkZhThiOCTPk1NxnjjJe</v>
      </c>
    </row>
    <row r="2193" customFormat="false" ht="15" hidden="false" customHeight="false" outlineLevel="0" collapsed="false">
      <c r="A2193" s="5" t="n">
        <v>4</v>
      </c>
      <c r="B2193" s="5" t="n">
        <v>3</v>
      </c>
      <c r="C2193" s="5" t="s">
        <v>382</v>
      </c>
      <c r="D2193" s="5" t="s">
        <v>1123</v>
      </c>
      <c r="E2193" s="5" t="n">
        <v>2</v>
      </c>
      <c r="F2193" s="6" t="n">
        <f aca="false">IFERROR(MATCH(A2193&amp;"|"&amp;B2193&amp;"|"&amp;D2193,'All Song Rankings'!$T:$T,0),0)</f>
        <v>346</v>
      </c>
      <c r="G2193" s="6" t="str">
        <f aca="false">IF(F2193=0,"NOT FOUND",INDEX('All Song Rankings'!$A:$A,F2193))</f>
        <v>Let It Go - From "Frozen"/Soundtrack Version</v>
      </c>
      <c r="H2193" s="6" t="str">
        <f aca="false">IF(F2193=0,"NOT FOUND",INDEX('All Song Rankings'!$B:$B,F2193))</f>
        <v>Idina Menzel</v>
      </c>
      <c r="I2193" s="6" t="str">
        <f aca="false">IF(F2193=0,"NOT FOUND",INDEX('All Song Rankings'!$D:$D,F2193))</f>
        <v>Nicole</v>
      </c>
      <c r="J2193" s="7" t="str">
        <f aca="false">IF(F2193=0,"NOT FOUND",IF(C2193=I2193,"SELF-VOTE",IF(COUNTIF($K:$K,K2193)&gt;1,"DUPLICATE","OK")))</f>
        <v>OK</v>
      </c>
      <c r="K2193" s="6" t="str">
        <f aca="false">A2193&amp;"|"&amp;B2193&amp;"|"&amp;C2193&amp;"|"&amp;D2193</f>
        <v>4|3|Grace|spotify:track:0qcr5FMsEO85NAQjrlDRKo</v>
      </c>
    </row>
    <row r="2194" customFormat="false" ht="15" hidden="false" customHeight="false" outlineLevel="0" collapsed="false">
      <c r="A2194" s="5" t="n">
        <v>4</v>
      </c>
      <c r="B2194" s="5" t="n">
        <v>3</v>
      </c>
      <c r="C2194" s="5" t="s">
        <v>382</v>
      </c>
      <c r="D2194" s="5" t="s">
        <v>1120</v>
      </c>
      <c r="E2194" s="5" t="n">
        <v>1</v>
      </c>
      <c r="F2194" s="6" t="n">
        <f aca="false">IFERROR(MATCH(A2194&amp;"|"&amp;B2194&amp;"|"&amp;D2194,'All Song Rankings'!$T:$T,0),0)</f>
        <v>345</v>
      </c>
      <c r="G2194" s="6" t="str">
        <f aca="false">IF(F2194=0,"NOT FOUND",INDEX('All Song Rankings'!$A:$A,F2194))</f>
        <v>I'm Here</v>
      </c>
      <c r="H2194" s="6" t="str">
        <f aca="false">IF(F2194=0,"NOT FOUND",INDEX('All Song Rankings'!$B:$B,F2194))</f>
        <v>Cynthia Erivo</v>
      </c>
      <c r="I2194" s="6" t="str">
        <f aca="false">IF(F2194=0,"NOT FOUND",INDEX('All Song Rankings'!$D:$D,F2194))</f>
        <v>Logan</v>
      </c>
      <c r="J2194" s="7" t="str">
        <f aca="false">IF(F2194=0,"NOT FOUND",IF(C2194=I2194,"SELF-VOTE",IF(COUNTIF($K:$K,K2194)&gt;1,"DUPLICATE","OK")))</f>
        <v>OK</v>
      </c>
      <c r="K2194" s="6" t="str">
        <f aca="false">A2194&amp;"|"&amp;B2194&amp;"|"&amp;C2194&amp;"|"&amp;D2194</f>
        <v>4|3|Grace|spotify:track:1w2k1OOCSy3ez40D3TQs7L</v>
      </c>
    </row>
    <row r="2195" customFormat="false" ht="15" hidden="false" customHeight="false" outlineLevel="0" collapsed="false">
      <c r="A2195" s="5" t="n">
        <v>4</v>
      </c>
      <c r="B2195" s="5" t="n">
        <v>3</v>
      </c>
      <c r="C2195" s="5" t="s">
        <v>382</v>
      </c>
      <c r="D2195" s="5" t="s">
        <v>1111</v>
      </c>
      <c r="E2195" s="5" t="n">
        <v>1</v>
      </c>
      <c r="F2195" s="6" t="n">
        <f aca="false">IFERROR(MATCH(A2195&amp;"|"&amp;B2195&amp;"|"&amp;D2195,'All Song Rankings'!$T:$T,0),0)</f>
        <v>342</v>
      </c>
      <c r="G2195" s="6" t="str">
        <f aca="false">IF(F2195=0,"NOT FOUND",INDEX('All Song Rankings'!$A:$A,F2195))</f>
        <v>The Phantom of the Opera</v>
      </c>
      <c r="H2195" s="6" t="str">
        <f aca="false">IF(F2195=0,"NOT FOUND",INDEX('All Song Rankings'!$B:$B,F2195))</f>
        <v>Andrew Lloyd Webber, Michael Crawford, Phantom Of The Opera Original London Cast, Sarah Brightman</v>
      </c>
      <c r="I2195" s="6" t="str">
        <f aca="false">IF(F2195=0,"NOT FOUND",INDEX('All Song Rankings'!$D:$D,F2195))</f>
        <v>Makenzie</v>
      </c>
      <c r="J2195" s="7" t="str">
        <f aca="false">IF(F2195=0,"NOT FOUND",IF(C2195=I2195,"SELF-VOTE",IF(COUNTIF($K:$K,K2195)&gt;1,"DUPLICATE","OK")))</f>
        <v>OK</v>
      </c>
      <c r="K2195" s="6" t="str">
        <f aca="false">A2195&amp;"|"&amp;B2195&amp;"|"&amp;C2195&amp;"|"&amp;D2195</f>
        <v>4|3|Grace|spotify:track:3EBPGmqpZTMfOPQtUxfCXj</v>
      </c>
    </row>
    <row r="2196" customFormat="false" ht="15" hidden="false" customHeight="false" outlineLevel="0" collapsed="false">
      <c r="A2196" s="5" t="n">
        <v>4</v>
      </c>
      <c r="B2196" s="5" t="n">
        <v>3</v>
      </c>
      <c r="C2196" s="5" t="s">
        <v>382</v>
      </c>
      <c r="D2196" s="5" t="s">
        <v>1102</v>
      </c>
      <c r="E2196" s="5" t="n">
        <v>1</v>
      </c>
      <c r="F2196" s="6" t="n">
        <f aca="false">IFERROR(MATCH(A2196&amp;"|"&amp;B2196&amp;"|"&amp;D2196,'All Song Rankings'!$T:$T,0),0)</f>
        <v>339</v>
      </c>
      <c r="G2196" s="6" t="str">
        <f aca="false">IF(F2196=0,"NOT FOUND",INDEX('All Song Rankings'!$A:$A,F2196))</f>
        <v>The Greatest Show</v>
      </c>
      <c r="H2196" s="6" t="str">
        <f aca="false">IF(F2196=0,"NOT FOUND",INDEX('All Song Rankings'!$B:$B,F2196))</f>
        <v>Hugh Jackman, Keala Settle, Zac Efron, Zendaya, The Greatest Showman Ensemble</v>
      </c>
      <c r="I2196" s="6" t="str">
        <f aca="false">IF(F2196=0,"NOT FOUND",INDEX('All Song Rankings'!$D:$D,F2196))</f>
        <v>Leah</v>
      </c>
      <c r="J2196" s="7" t="str">
        <f aca="false">IF(F2196=0,"NOT FOUND",IF(C2196=I2196,"SELF-VOTE",IF(COUNTIF($K:$K,K2196)&gt;1,"DUPLICATE","OK")))</f>
        <v>OK</v>
      </c>
      <c r="K2196" s="6" t="str">
        <f aca="false">A2196&amp;"|"&amp;B2196&amp;"|"&amp;C2196&amp;"|"&amp;D2196</f>
        <v>4|3|Grace|spotify:track:4ylWMuGbMXNDgDd8lErEle</v>
      </c>
    </row>
    <row r="2197" customFormat="false" ht="15" hidden="false" customHeight="false" outlineLevel="0" collapsed="false">
      <c r="A2197" s="5" t="n">
        <v>4</v>
      </c>
      <c r="B2197" s="5" t="n">
        <v>3</v>
      </c>
      <c r="C2197" s="5" t="s">
        <v>382</v>
      </c>
      <c r="D2197" s="5" t="s">
        <v>1117</v>
      </c>
      <c r="E2197" s="5" t="n">
        <v>2</v>
      </c>
      <c r="F2197" s="6" t="n">
        <f aca="false">IFERROR(MATCH(A2197&amp;"|"&amp;B2197&amp;"|"&amp;D2197,'All Song Rankings'!$T:$T,0),0)</f>
        <v>344</v>
      </c>
      <c r="G2197" s="6" t="str">
        <f aca="false">IF(F2197=0,"NOT FOUND",INDEX('All Song Rankings'!$A:$A,F2197))</f>
        <v>Elephant Love Medley</v>
      </c>
      <c r="H2197" s="6" t="str">
        <f aca="false">IF(F2197=0,"NOT FOUND",INDEX('All Song Rankings'!$B:$B,F2197))</f>
        <v>Aaron Tveit, Karen Olivo, Original Broadway Cast of Moulin Rouge! The Musical</v>
      </c>
      <c r="I2197" s="6" t="str">
        <f aca="false">IF(F2197=0,"NOT FOUND",INDEX('All Song Rankings'!$D:$D,F2197))</f>
        <v>Colleen</v>
      </c>
      <c r="J2197" s="7" t="str">
        <f aca="false">IF(F2197=0,"NOT FOUND",IF(C2197=I2197,"SELF-VOTE",IF(COUNTIF($K:$K,K2197)&gt;1,"DUPLICATE","OK")))</f>
        <v>OK</v>
      </c>
      <c r="K2197" s="6" t="str">
        <f aca="false">A2197&amp;"|"&amp;B2197&amp;"|"&amp;C2197&amp;"|"&amp;D2197</f>
        <v>4|3|Grace|spotify:track:5JRgVMONxTRjC1g1d0XsvX</v>
      </c>
    </row>
    <row r="2198" customFormat="false" ht="15" hidden="false" customHeight="false" outlineLevel="0" collapsed="false">
      <c r="A2198" s="5" t="n">
        <v>4</v>
      </c>
      <c r="B2198" s="5" t="n">
        <v>3</v>
      </c>
      <c r="C2198" s="5" t="s">
        <v>382</v>
      </c>
      <c r="D2198" s="5" t="s">
        <v>1099</v>
      </c>
      <c r="E2198" s="5" t="n">
        <v>2</v>
      </c>
      <c r="F2198" s="6" t="n">
        <f aca="false">IFERROR(MATCH(A2198&amp;"|"&amp;B2198&amp;"|"&amp;D2198,'All Song Rankings'!$T:$T,0),0)</f>
        <v>338</v>
      </c>
      <c r="G2198" s="6" t="str">
        <f aca="false">IF(F2198=0,"NOT FOUND",INDEX('All Song Rankings'!$A:$A,F2198))</f>
        <v>Cell Block Tango</v>
      </c>
      <c r="H2198" s="6" t="str">
        <f aca="false">IF(F2198=0,"NOT FOUND",INDEX('All Song Rankings'!$B:$B,F2198))</f>
        <v>Michael Berresse, Bebe Neuwirth, Ensemble - Broadway Cast of Chicago The Musical (1997)</v>
      </c>
      <c r="I2198" s="6" t="str">
        <f aca="false">IF(F2198=0,"NOT FOUND",INDEX('All Song Rankings'!$D:$D,F2198))</f>
        <v>Lisa</v>
      </c>
      <c r="J2198" s="7" t="str">
        <f aca="false">IF(F2198=0,"NOT FOUND",IF(C2198=I2198,"SELF-VOTE",IF(COUNTIF($K:$K,K2198)&gt;1,"DUPLICATE","OK")))</f>
        <v>OK</v>
      </c>
      <c r="K2198" s="6" t="str">
        <f aca="false">A2198&amp;"|"&amp;B2198&amp;"|"&amp;C2198&amp;"|"&amp;D2198</f>
        <v>4|3|Grace|spotify:track:7nCwN0SjXZmEsp1KJrsELD</v>
      </c>
    </row>
    <row r="2199" customFormat="false" ht="15" hidden="false" customHeight="false" outlineLevel="0" collapsed="false">
      <c r="A2199" s="5" t="n">
        <v>4</v>
      </c>
      <c r="B2199" s="5" t="n">
        <v>3</v>
      </c>
      <c r="C2199" s="5" t="s">
        <v>85</v>
      </c>
      <c r="D2199" s="5" t="s">
        <v>1120</v>
      </c>
      <c r="E2199" s="5" t="n">
        <v>1</v>
      </c>
      <c r="F2199" s="6" t="n">
        <f aca="false">IFERROR(MATCH(A2199&amp;"|"&amp;B2199&amp;"|"&amp;D2199,'All Song Rankings'!$T:$T,0),0)</f>
        <v>345</v>
      </c>
      <c r="G2199" s="6" t="str">
        <f aca="false">IF(F2199=0,"NOT FOUND",INDEX('All Song Rankings'!$A:$A,F2199))</f>
        <v>I'm Here</v>
      </c>
      <c r="H2199" s="6" t="str">
        <f aca="false">IF(F2199=0,"NOT FOUND",INDEX('All Song Rankings'!$B:$B,F2199))</f>
        <v>Cynthia Erivo</v>
      </c>
      <c r="I2199" s="6" t="str">
        <f aca="false">IF(F2199=0,"NOT FOUND",INDEX('All Song Rankings'!$D:$D,F2199))</f>
        <v>Logan</v>
      </c>
      <c r="J2199" s="7" t="str">
        <f aca="false">IF(F2199=0,"NOT FOUND",IF(C2199=I2199,"SELF-VOTE",IF(COUNTIF($K:$K,K2199)&gt;1,"DUPLICATE","OK")))</f>
        <v>OK</v>
      </c>
      <c r="K2199" s="6" t="str">
        <f aca="false">A2199&amp;"|"&amp;B2199&amp;"|"&amp;C2199&amp;"|"&amp;D2199</f>
        <v>4|3|Kelsey|spotify:track:1w2k1OOCSy3ez40D3TQs7L</v>
      </c>
    </row>
    <row r="2200" customFormat="false" ht="15" hidden="false" customHeight="false" outlineLevel="0" collapsed="false">
      <c r="A2200" s="5" t="n">
        <v>4</v>
      </c>
      <c r="B2200" s="5" t="n">
        <v>3</v>
      </c>
      <c r="C2200" s="5" t="s">
        <v>85</v>
      </c>
      <c r="D2200" s="5" t="s">
        <v>1111</v>
      </c>
      <c r="E2200" s="5" t="n">
        <v>1</v>
      </c>
      <c r="F2200" s="6" t="n">
        <f aca="false">IFERROR(MATCH(A2200&amp;"|"&amp;B2200&amp;"|"&amp;D2200,'All Song Rankings'!$T:$T,0),0)</f>
        <v>342</v>
      </c>
      <c r="G2200" s="6" t="str">
        <f aca="false">IF(F2200=0,"NOT FOUND",INDEX('All Song Rankings'!$A:$A,F2200))</f>
        <v>The Phantom of the Opera</v>
      </c>
      <c r="H2200" s="6" t="str">
        <f aca="false">IF(F2200=0,"NOT FOUND",INDEX('All Song Rankings'!$B:$B,F2200))</f>
        <v>Andrew Lloyd Webber, Michael Crawford, Phantom Of The Opera Original London Cast, Sarah Brightman</v>
      </c>
      <c r="I2200" s="6" t="str">
        <f aca="false">IF(F2200=0,"NOT FOUND",INDEX('All Song Rankings'!$D:$D,F2200))</f>
        <v>Makenzie</v>
      </c>
      <c r="J2200" s="7" t="str">
        <f aca="false">IF(F2200=0,"NOT FOUND",IF(C2200=I2200,"SELF-VOTE",IF(COUNTIF($K:$K,K2200)&gt;1,"DUPLICATE","OK")))</f>
        <v>OK</v>
      </c>
      <c r="K2200" s="6" t="str">
        <f aca="false">A2200&amp;"|"&amp;B2200&amp;"|"&amp;C2200&amp;"|"&amp;D2200</f>
        <v>4|3|Kelsey|spotify:track:3EBPGmqpZTMfOPQtUxfCXj</v>
      </c>
    </row>
    <row r="2201" customFormat="false" ht="15" hidden="false" customHeight="false" outlineLevel="0" collapsed="false">
      <c r="A2201" s="5" t="n">
        <v>4</v>
      </c>
      <c r="B2201" s="5" t="n">
        <v>3</v>
      </c>
      <c r="C2201" s="5" t="s">
        <v>85</v>
      </c>
      <c r="D2201" s="5" t="s">
        <v>1114</v>
      </c>
      <c r="E2201" s="5" t="n">
        <v>1</v>
      </c>
      <c r="F2201" s="6" t="n">
        <f aca="false">IFERROR(MATCH(A2201&amp;"|"&amp;B2201&amp;"|"&amp;D2201,'All Song Rankings'!$T:$T,0),0)</f>
        <v>343</v>
      </c>
      <c r="G2201" s="6" t="str">
        <f aca="false">IF(F2201=0,"NOT FOUND",INDEX('All Song Rankings'!$A:$A,F2201))</f>
        <v>And I Am Telling You I'm Not Going - Original Broadway</v>
      </c>
      <c r="H2201" s="6" t="str">
        <f aca="false">IF(F2201=0,"NOT FOUND",INDEX('All Song Rankings'!$B:$B,F2201))</f>
        <v>Jennifer Holliday</v>
      </c>
      <c r="I2201" s="6" t="str">
        <f aca="false">IF(F2201=0,"NOT FOUND",INDEX('All Song Rankings'!$D:$D,F2201))</f>
        <v>Christine</v>
      </c>
      <c r="J2201" s="7" t="str">
        <f aca="false">IF(F2201=0,"NOT FOUND",IF(C2201=I2201,"SELF-VOTE",IF(COUNTIF($K:$K,K2201)&gt;1,"DUPLICATE","OK")))</f>
        <v>OK</v>
      </c>
      <c r="K2201" s="6" t="str">
        <f aca="false">A2201&amp;"|"&amp;B2201&amp;"|"&amp;C2201&amp;"|"&amp;D2201</f>
        <v>4|3|Kelsey|spotify:track:3ZPpFEandljtmTnz8D4trH</v>
      </c>
    </row>
    <row r="2202" customFormat="false" ht="15" hidden="false" customHeight="false" outlineLevel="0" collapsed="false">
      <c r="A2202" s="5" t="n">
        <v>4</v>
      </c>
      <c r="B2202" s="5" t="n">
        <v>3</v>
      </c>
      <c r="C2202" s="5" t="s">
        <v>85</v>
      </c>
      <c r="D2202" s="5" t="s">
        <v>1102</v>
      </c>
      <c r="E2202" s="5" t="n">
        <v>2</v>
      </c>
      <c r="F2202" s="6" t="n">
        <f aca="false">IFERROR(MATCH(A2202&amp;"|"&amp;B2202&amp;"|"&amp;D2202,'All Song Rankings'!$T:$T,0),0)</f>
        <v>339</v>
      </c>
      <c r="G2202" s="6" t="str">
        <f aca="false">IF(F2202=0,"NOT FOUND",INDEX('All Song Rankings'!$A:$A,F2202))</f>
        <v>The Greatest Show</v>
      </c>
      <c r="H2202" s="6" t="str">
        <f aca="false">IF(F2202=0,"NOT FOUND",INDEX('All Song Rankings'!$B:$B,F2202))</f>
        <v>Hugh Jackman, Keala Settle, Zac Efron, Zendaya, The Greatest Showman Ensemble</v>
      </c>
      <c r="I2202" s="6" t="str">
        <f aca="false">IF(F2202=0,"NOT FOUND",INDEX('All Song Rankings'!$D:$D,F2202))</f>
        <v>Leah</v>
      </c>
      <c r="J2202" s="7" t="str">
        <f aca="false">IF(F2202=0,"NOT FOUND",IF(C2202=I2202,"SELF-VOTE",IF(COUNTIF($K:$K,K2202)&gt;1,"DUPLICATE","OK")))</f>
        <v>OK</v>
      </c>
      <c r="K2202" s="6" t="str">
        <f aca="false">A2202&amp;"|"&amp;B2202&amp;"|"&amp;C2202&amp;"|"&amp;D2202</f>
        <v>4|3|Kelsey|spotify:track:4ylWMuGbMXNDgDd8lErEle</v>
      </c>
    </row>
    <row r="2203" customFormat="false" ht="15" hidden="false" customHeight="false" outlineLevel="0" collapsed="false">
      <c r="A2203" s="5" t="n">
        <v>4</v>
      </c>
      <c r="B2203" s="5" t="n">
        <v>3</v>
      </c>
      <c r="C2203" s="5" t="s">
        <v>85</v>
      </c>
      <c r="D2203" s="5" t="s">
        <v>1132</v>
      </c>
      <c r="E2203" s="5" t="n">
        <v>1</v>
      </c>
      <c r="F2203" s="6" t="n">
        <f aca="false">IFERROR(MATCH(A2203&amp;"|"&amp;B2203&amp;"|"&amp;D2203,'All Song Rankings'!$T:$T,0),0)</f>
        <v>349</v>
      </c>
      <c r="G2203" s="6" t="str">
        <f aca="false">IF(F2203=0,"NOT FOUND",INDEX('All Song Rankings'!$A:$A,F2203))</f>
        <v>Road to Hell</v>
      </c>
      <c r="H2203" s="6" t="str">
        <f aca="false">IF(F2203=0,"NOT FOUND",INDEX('All Song Rankings'!$B:$B,F2203))</f>
        <v>André De Shields, Hadestown Original Broadway Company, Anaïs Mitchell</v>
      </c>
      <c r="I2203" s="6" t="str">
        <f aca="false">IF(F2203=0,"NOT FOUND",INDEX('All Song Rankings'!$D:$D,F2203))</f>
        <v>Matt</v>
      </c>
      <c r="J2203" s="7" t="str">
        <f aca="false">IF(F2203=0,"NOT FOUND",IF(C2203=I2203,"SELF-VOTE",IF(COUNTIF($K:$K,K2203)&gt;1,"DUPLICATE","OK")))</f>
        <v>OK</v>
      </c>
      <c r="K2203" s="6" t="str">
        <f aca="false">A2203&amp;"|"&amp;B2203&amp;"|"&amp;C2203&amp;"|"&amp;D2203</f>
        <v>4|3|Kelsey|spotify:track:5S6O5UYDS2dxVTY7JSF9xy</v>
      </c>
    </row>
    <row r="2204" customFormat="false" ht="15" hidden="false" customHeight="false" outlineLevel="0" collapsed="false">
      <c r="A2204" s="5" t="n">
        <v>4</v>
      </c>
      <c r="B2204" s="5" t="n">
        <v>3</v>
      </c>
      <c r="C2204" s="5" t="s">
        <v>85</v>
      </c>
      <c r="D2204" s="5" t="s">
        <v>1108</v>
      </c>
      <c r="E2204" s="5" t="n">
        <v>3</v>
      </c>
      <c r="F2204" s="6" t="n">
        <f aca="false">IFERROR(MATCH(A2204&amp;"|"&amp;B2204&amp;"|"&amp;D2204,'All Song Rankings'!$T:$T,0),0)</f>
        <v>341</v>
      </c>
      <c r="G2204" s="6" t="str">
        <f aca="false">IF(F2204=0,"NOT FOUND",INDEX('All Song Rankings'!$A:$A,F2204))</f>
        <v>Wait for It</v>
      </c>
      <c r="H2204" s="6" t="str">
        <f aca="false">IF(F2204=0,"NOT FOUND",INDEX('All Song Rankings'!$B:$B,F2204))</f>
        <v>Leslie Odom Jr., Original Broadway Cast of Hamilton</v>
      </c>
      <c r="I2204" s="6" t="str">
        <f aca="false">IF(F2204=0,"NOT FOUND",INDEX('All Song Rankings'!$D:$D,F2204))</f>
        <v>Kristen</v>
      </c>
      <c r="J2204" s="7" t="str">
        <f aca="false">IF(F2204=0,"NOT FOUND",IF(C2204=I2204,"SELF-VOTE",IF(COUNTIF($K:$K,K2204)&gt;1,"DUPLICATE","OK")))</f>
        <v>OK</v>
      </c>
      <c r="K2204" s="6" t="str">
        <f aca="false">A2204&amp;"|"&amp;B2204&amp;"|"&amp;C2204&amp;"|"&amp;D2204</f>
        <v>4|3|Kelsey|spotify:track:7EqpEBPOohgk7NnKvBGFWo</v>
      </c>
    </row>
    <row r="2205" customFormat="false" ht="15" hidden="false" customHeight="false" outlineLevel="0" collapsed="false">
      <c r="A2205" s="5" t="n">
        <v>4</v>
      </c>
      <c r="B2205" s="5" t="n">
        <v>3</v>
      </c>
      <c r="C2205" s="5" t="s">
        <v>85</v>
      </c>
      <c r="D2205" s="5" t="s">
        <v>1135</v>
      </c>
      <c r="E2205" s="5" t="n">
        <v>1</v>
      </c>
      <c r="F2205" s="6" t="n">
        <f aca="false">IFERROR(MATCH(A2205&amp;"|"&amp;B2205&amp;"|"&amp;D2205,'All Song Rankings'!$T:$T,0),0)</f>
        <v>350</v>
      </c>
      <c r="G2205" s="6" t="str">
        <f aca="false">IF(F2205=0,"NOT FOUND",INDEX('All Song Rankings'!$A:$A,F2205))</f>
        <v>What Is This Feeling?</v>
      </c>
      <c r="H2205" s="6" t="str">
        <f aca="false">IF(F2205=0,"NOT FOUND",INDEX('All Song Rankings'!$B:$B,F2205))</f>
        <v>Ariana Grande, Cynthia Erivo</v>
      </c>
      <c r="I2205" s="6" t="str">
        <f aca="false">IF(F2205=0,"NOT FOUND",INDEX('All Song Rankings'!$D:$D,F2205))</f>
        <v>Grace</v>
      </c>
      <c r="J2205" s="7" t="str">
        <f aca="false">IF(F2205=0,"NOT FOUND",IF(C2205=I2205,"SELF-VOTE",IF(COUNTIF($K:$K,K2205)&gt;1,"DUPLICATE","OK")))</f>
        <v>OK</v>
      </c>
      <c r="K2205" s="6" t="str">
        <f aca="false">A2205&amp;"|"&amp;B2205&amp;"|"&amp;C2205&amp;"|"&amp;D2205</f>
        <v>4|3|Kelsey|spotify:track:7eGuPhpdS8sBjPJNuAShUX</v>
      </c>
    </row>
    <row r="2206" customFormat="false" ht="15" hidden="false" customHeight="false" outlineLevel="0" collapsed="false">
      <c r="A2206" s="5" t="n">
        <v>4</v>
      </c>
      <c r="B2206" s="5" t="n">
        <v>3</v>
      </c>
      <c r="C2206" s="5" t="s">
        <v>106</v>
      </c>
      <c r="D2206" s="5" t="s">
        <v>1129</v>
      </c>
      <c r="E2206" s="5" t="n">
        <v>1</v>
      </c>
      <c r="F2206" s="6" t="n">
        <f aca="false">IFERROR(MATCH(A2206&amp;"|"&amp;B2206&amp;"|"&amp;D2206,'All Song Rankings'!$T:$T,0),0)</f>
        <v>348</v>
      </c>
      <c r="G2206" s="6" t="str">
        <f aca="false">IF(F2206=0,"NOT FOUND",INDEX('All Song Rankings'!$A:$A,F2206))</f>
        <v>Diva's Lament (What Ever Happened To My Part?)</v>
      </c>
      <c r="H2206" s="6" t="str">
        <f aca="false">IF(F2206=0,"NOT FOUND",INDEX('All Song Rankings'!$B:$B,F2206))</f>
        <v>Sara Ramirez, Todd Ellison</v>
      </c>
      <c r="I2206" s="6" t="str">
        <f aca="false">IF(F2206=0,"NOT FOUND",INDEX('All Song Rankings'!$D:$D,F2206))</f>
        <v>Scott</v>
      </c>
      <c r="J2206" s="7" t="str">
        <f aca="false">IF(F2206=0,"NOT FOUND",IF(C2206=I2206,"SELF-VOTE",IF(COUNTIF($K:$K,K2206)&gt;1,"DUPLICATE","OK")))</f>
        <v>OK</v>
      </c>
      <c r="K2206" s="6" t="str">
        <f aca="false">A2206&amp;"|"&amp;B2206&amp;"|"&amp;C2206&amp;"|"&amp;D2206</f>
        <v>4|3|Kristen|spotify:track:0PEkZhThiOCTPk1NxnjjJe</v>
      </c>
    </row>
    <row r="2207" customFormat="false" ht="15" hidden="false" customHeight="false" outlineLevel="0" collapsed="false">
      <c r="A2207" s="5" t="n">
        <v>4</v>
      </c>
      <c r="B2207" s="5" t="n">
        <v>3</v>
      </c>
      <c r="C2207" s="5" t="s">
        <v>106</v>
      </c>
      <c r="D2207" s="5" t="s">
        <v>1123</v>
      </c>
      <c r="E2207" s="5" t="n">
        <v>1</v>
      </c>
      <c r="F2207" s="6" t="n">
        <f aca="false">IFERROR(MATCH(A2207&amp;"|"&amp;B2207&amp;"|"&amp;D2207,'All Song Rankings'!$T:$T,0),0)</f>
        <v>346</v>
      </c>
      <c r="G2207" s="6" t="str">
        <f aca="false">IF(F2207=0,"NOT FOUND",INDEX('All Song Rankings'!$A:$A,F2207))</f>
        <v>Let It Go - From "Frozen"/Soundtrack Version</v>
      </c>
      <c r="H2207" s="6" t="str">
        <f aca="false">IF(F2207=0,"NOT FOUND",INDEX('All Song Rankings'!$B:$B,F2207))</f>
        <v>Idina Menzel</v>
      </c>
      <c r="I2207" s="6" t="str">
        <f aca="false">IF(F2207=0,"NOT FOUND",INDEX('All Song Rankings'!$D:$D,F2207))</f>
        <v>Nicole</v>
      </c>
      <c r="J2207" s="7" t="str">
        <f aca="false">IF(F2207=0,"NOT FOUND",IF(C2207=I2207,"SELF-VOTE",IF(COUNTIF($K:$K,K2207)&gt;1,"DUPLICATE","OK")))</f>
        <v>OK</v>
      </c>
      <c r="K2207" s="6" t="str">
        <f aca="false">A2207&amp;"|"&amp;B2207&amp;"|"&amp;C2207&amp;"|"&amp;D2207</f>
        <v>4|3|Kristen|spotify:track:0qcr5FMsEO85NAQjrlDRKo</v>
      </c>
    </row>
    <row r="2208" customFormat="false" ht="15" hidden="false" customHeight="false" outlineLevel="0" collapsed="false">
      <c r="A2208" s="5" t="n">
        <v>4</v>
      </c>
      <c r="B2208" s="5" t="n">
        <v>3</v>
      </c>
      <c r="C2208" s="5" t="s">
        <v>106</v>
      </c>
      <c r="D2208" s="5" t="s">
        <v>1120</v>
      </c>
      <c r="E2208" s="5" t="n">
        <v>1</v>
      </c>
      <c r="F2208" s="6" t="n">
        <f aca="false">IFERROR(MATCH(A2208&amp;"|"&amp;B2208&amp;"|"&amp;D2208,'All Song Rankings'!$T:$T,0),0)</f>
        <v>345</v>
      </c>
      <c r="G2208" s="6" t="str">
        <f aca="false">IF(F2208=0,"NOT FOUND",INDEX('All Song Rankings'!$A:$A,F2208))</f>
        <v>I'm Here</v>
      </c>
      <c r="H2208" s="6" t="str">
        <f aca="false">IF(F2208=0,"NOT FOUND",INDEX('All Song Rankings'!$B:$B,F2208))</f>
        <v>Cynthia Erivo</v>
      </c>
      <c r="I2208" s="6" t="str">
        <f aca="false">IF(F2208=0,"NOT FOUND",INDEX('All Song Rankings'!$D:$D,F2208))</f>
        <v>Logan</v>
      </c>
      <c r="J2208" s="7" t="str">
        <f aca="false">IF(F2208=0,"NOT FOUND",IF(C2208=I2208,"SELF-VOTE",IF(COUNTIF($K:$K,K2208)&gt;1,"DUPLICATE","OK")))</f>
        <v>OK</v>
      </c>
      <c r="K2208" s="6" t="str">
        <f aca="false">A2208&amp;"|"&amp;B2208&amp;"|"&amp;C2208&amp;"|"&amp;D2208</f>
        <v>4|3|Kristen|spotify:track:1w2k1OOCSy3ez40D3TQs7L</v>
      </c>
    </row>
    <row r="2209" customFormat="false" ht="15" hidden="false" customHeight="false" outlineLevel="0" collapsed="false">
      <c r="A2209" s="5" t="n">
        <v>4</v>
      </c>
      <c r="B2209" s="5" t="n">
        <v>3</v>
      </c>
      <c r="C2209" s="5" t="s">
        <v>106</v>
      </c>
      <c r="D2209" s="5" t="s">
        <v>1111</v>
      </c>
      <c r="E2209" s="5" t="n">
        <v>1</v>
      </c>
      <c r="F2209" s="6" t="n">
        <f aca="false">IFERROR(MATCH(A2209&amp;"|"&amp;B2209&amp;"|"&amp;D2209,'All Song Rankings'!$T:$T,0),0)</f>
        <v>342</v>
      </c>
      <c r="G2209" s="6" t="str">
        <f aca="false">IF(F2209=0,"NOT FOUND",INDEX('All Song Rankings'!$A:$A,F2209))</f>
        <v>The Phantom of the Opera</v>
      </c>
      <c r="H2209" s="6" t="str">
        <f aca="false">IF(F2209=0,"NOT FOUND",INDEX('All Song Rankings'!$B:$B,F2209))</f>
        <v>Andrew Lloyd Webber, Michael Crawford, Phantom Of The Opera Original London Cast, Sarah Brightman</v>
      </c>
      <c r="I2209" s="6" t="str">
        <f aca="false">IF(F2209=0,"NOT FOUND",INDEX('All Song Rankings'!$D:$D,F2209))</f>
        <v>Makenzie</v>
      </c>
      <c r="J2209" s="7" t="str">
        <f aca="false">IF(F2209=0,"NOT FOUND",IF(C2209=I2209,"SELF-VOTE",IF(COUNTIF($K:$K,K2209)&gt;1,"DUPLICATE","OK")))</f>
        <v>OK</v>
      </c>
      <c r="K2209" s="6" t="str">
        <f aca="false">A2209&amp;"|"&amp;B2209&amp;"|"&amp;C2209&amp;"|"&amp;D2209</f>
        <v>4|3|Kristen|spotify:track:3EBPGmqpZTMfOPQtUxfCXj</v>
      </c>
    </row>
    <row r="2210" customFormat="false" ht="15" hidden="false" customHeight="false" outlineLevel="0" collapsed="false">
      <c r="A2210" s="5" t="n">
        <v>4</v>
      </c>
      <c r="B2210" s="5" t="n">
        <v>3</v>
      </c>
      <c r="C2210" s="5" t="s">
        <v>106</v>
      </c>
      <c r="D2210" s="5" t="s">
        <v>1102</v>
      </c>
      <c r="E2210" s="5" t="n">
        <v>2</v>
      </c>
      <c r="F2210" s="6" t="n">
        <f aca="false">IFERROR(MATCH(A2210&amp;"|"&amp;B2210&amp;"|"&amp;D2210,'All Song Rankings'!$T:$T,0),0)</f>
        <v>339</v>
      </c>
      <c r="G2210" s="6" t="str">
        <f aca="false">IF(F2210=0,"NOT FOUND",INDEX('All Song Rankings'!$A:$A,F2210))</f>
        <v>The Greatest Show</v>
      </c>
      <c r="H2210" s="6" t="str">
        <f aca="false">IF(F2210=0,"NOT FOUND",INDEX('All Song Rankings'!$B:$B,F2210))</f>
        <v>Hugh Jackman, Keala Settle, Zac Efron, Zendaya, The Greatest Showman Ensemble</v>
      </c>
      <c r="I2210" s="6" t="str">
        <f aca="false">IF(F2210=0,"NOT FOUND",INDEX('All Song Rankings'!$D:$D,F2210))</f>
        <v>Leah</v>
      </c>
      <c r="J2210" s="7" t="str">
        <f aca="false">IF(F2210=0,"NOT FOUND",IF(C2210=I2210,"SELF-VOTE",IF(COUNTIF($K:$K,K2210)&gt;1,"DUPLICATE","OK")))</f>
        <v>OK</v>
      </c>
      <c r="K2210" s="6" t="str">
        <f aca="false">A2210&amp;"|"&amp;B2210&amp;"|"&amp;C2210&amp;"|"&amp;D2210</f>
        <v>4|3|Kristen|spotify:track:4ylWMuGbMXNDgDd8lErEle</v>
      </c>
    </row>
    <row r="2211" customFormat="false" ht="15" hidden="false" customHeight="false" outlineLevel="0" collapsed="false">
      <c r="A2211" s="5" t="n">
        <v>4</v>
      </c>
      <c r="B2211" s="5" t="n">
        <v>3</v>
      </c>
      <c r="C2211" s="5" t="s">
        <v>106</v>
      </c>
      <c r="D2211" s="5" t="s">
        <v>1117</v>
      </c>
      <c r="E2211" s="5" t="n">
        <v>1</v>
      </c>
      <c r="F2211" s="6" t="n">
        <f aca="false">IFERROR(MATCH(A2211&amp;"|"&amp;B2211&amp;"|"&amp;D2211,'All Song Rankings'!$T:$T,0),0)</f>
        <v>344</v>
      </c>
      <c r="G2211" s="6" t="str">
        <f aca="false">IF(F2211=0,"NOT FOUND",INDEX('All Song Rankings'!$A:$A,F2211))</f>
        <v>Elephant Love Medley</v>
      </c>
      <c r="H2211" s="6" t="str">
        <f aca="false">IF(F2211=0,"NOT FOUND",INDEX('All Song Rankings'!$B:$B,F2211))</f>
        <v>Aaron Tveit, Karen Olivo, Original Broadway Cast of Moulin Rouge! The Musical</v>
      </c>
      <c r="I2211" s="6" t="str">
        <f aca="false">IF(F2211=0,"NOT FOUND",INDEX('All Song Rankings'!$D:$D,F2211))</f>
        <v>Colleen</v>
      </c>
      <c r="J2211" s="7" t="str">
        <f aca="false">IF(F2211=0,"NOT FOUND",IF(C2211=I2211,"SELF-VOTE",IF(COUNTIF($K:$K,K2211)&gt;1,"DUPLICATE","OK")))</f>
        <v>OK</v>
      </c>
      <c r="K2211" s="6" t="str">
        <f aca="false">A2211&amp;"|"&amp;B2211&amp;"|"&amp;C2211&amp;"|"&amp;D2211</f>
        <v>4|3|Kristen|spotify:track:5JRgVMONxTRjC1g1d0XsvX</v>
      </c>
    </row>
    <row r="2212" customFormat="false" ht="15" hidden="false" customHeight="false" outlineLevel="0" collapsed="false">
      <c r="A2212" s="5" t="n">
        <v>4</v>
      </c>
      <c r="B2212" s="5" t="n">
        <v>3</v>
      </c>
      <c r="C2212" s="5" t="s">
        <v>106</v>
      </c>
      <c r="D2212" s="5" t="s">
        <v>1132</v>
      </c>
      <c r="E2212" s="5" t="n">
        <v>1</v>
      </c>
      <c r="F2212" s="6" t="n">
        <f aca="false">IFERROR(MATCH(A2212&amp;"|"&amp;B2212&amp;"|"&amp;D2212,'All Song Rankings'!$T:$T,0),0)</f>
        <v>349</v>
      </c>
      <c r="G2212" s="6" t="str">
        <f aca="false">IF(F2212=0,"NOT FOUND",INDEX('All Song Rankings'!$A:$A,F2212))</f>
        <v>Road to Hell</v>
      </c>
      <c r="H2212" s="6" t="str">
        <f aca="false">IF(F2212=0,"NOT FOUND",INDEX('All Song Rankings'!$B:$B,F2212))</f>
        <v>André De Shields, Hadestown Original Broadway Company, Anaïs Mitchell</v>
      </c>
      <c r="I2212" s="6" t="str">
        <f aca="false">IF(F2212=0,"NOT FOUND",INDEX('All Song Rankings'!$D:$D,F2212))</f>
        <v>Matt</v>
      </c>
      <c r="J2212" s="7" t="str">
        <f aca="false">IF(F2212=0,"NOT FOUND",IF(C2212=I2212,"SELF-VOTE",IF(COUNTIF($K:$K,K2212)&gt;1,"DUPLICATE","OK")))</f>
        <v>OK</v>
      </c>
      <c r="K2212" s="6" t="str">
        <f aca="false">A2212&amp;"|"&amp;B2212&amp;"|"&amp;C2212&amp;"|"&amp;D2212</f>
        <v>4|3|Kristen|spotify:track:5S6O5UYDS2dxVTY7JSF9xy</v>
      </c>
    </row>
    <row r="2213" customFormat="false" ht="15" hidden="false" customHeight="false" outlineLevel="0" collapsed="false">
      <c r="A2213" s="5" t="n">
        <v>4</v>
      </c>
      <c r="B2213" s="5" t="n">
        <v>3</v>
      </c>
      <c r="C2213" s="5" t="s">
        <v>106</v>
      </c>
      <c r="D2213" s="5" t="s">
        <v>1105</v>
      </c>
      <c r="E2213" s="5" t="n">
        <v>1</v>
      </c>
      <c r="F2213" s="6" t="n">
        <f aca="false">IFERROR(MATCH(A2213&amp;"|"&amp;B2213&amp;"|"&amp;D2213,'All Song Rankings'!$T:$T,0),0)</f>
        <v>340</v>
      </c>
      <c r="G2213" s="6" t="str">
        <f aca="false">IF(F2213=0,"NOT FOUND",INDEX('All Song Rankings'!$A:$A,F2213))</f>
        <v>Past is Catching Up to Me</v>
      </c>
      <c r="H2213" s="6" t="str">
        <f aca="false">IF(F2213=0,"NOT FOUND",INDEX('All Song Rankings'!$B:$B,F2213))</f>
        <v>Jeremy Jordan, Original Broadway Cast of The Great Gatsby - A New Musical</v>
      </c>
      <c r="I2213" s="6" t="str">
        <f aca="false">IF(F2213=0,"NOT FOUND",INDEX('All Song Rankings'!$D:$D,F2213))</f>
        <v>Kelsey</v>
      </c>
      <c r="J2213" s="7" t="str">
        <f aca="false">IF(F2213=0,"NOT FOUND",IF(C2213=I2213,"SELF-VOTE",IF(COUNTIF($K:$K,K2213)&gt;1,"DUPLICATE","OK")))</f>
        <v>OK</v>
      </c>
      <c r="K2213" s="6" t="str">
        <f aca="false">A2213&amp;"|"&amp;B2213&amp;"|"&amp;C2213&amp;"|"&amp;D2213</f>
        <v>4|3|Kristen|spotify:track:7l6hD7JPcp4MTqcqpRPpsx</v>
      </c>
    </row>
    <row r="2214" customFormat="false" ht="15" hidden="false" customHeight="false" outlineLevel="0" collapsed="false">
      <c r="A2214" s="5" t="n">
        <v>4</v>
      </c>
      <c r="B2214" s="5" t="n">
        <v>3</v>
      </c>
      <c r="C2214" s="5" t="s">
        <v>106</v>
      </c>
      <c r="D2214" s="5" t="s">
        <v>1099</v>
      </c>
      <c r="E2214" s="5" t="n">
        <v>1</v>
      </c>
      <c r="F2214" s="6" t="n">
        <f aca="false">IFERROR(MATCH(A2214&amp;"|"&amp;B2214&amp;"|"&amp;D2214,'All Song Rankings'!$T:$T,0),0)</f>
        <v>338</v>
      </c>
      <c r="G2214" s="6" t="str">
        <f aca="false">IF(F2214=0,"NOT FOUND",INDEX('All Song Rankings'!$A:$A,F2214))</f>
        <v>Cell Block Tango</v>
      </c>
      <c r="H2214" s="6" t="str">
        <f aca="false">IF(F2214=0,"NOT FOUND",INDEX('All Song Rankings'!$B:$B,F2214))</f>
        <v>Michael Berresse, Bebe Neuwirth, Ensemble - Broadway Cast of Chicago The Musical (1997)</v>
      </c>
      <c r="I2214" s="6" t="str">
        <f aca="false">IF(F2214=0,"NOT FOUND",INDEX('All Song Rankings'!$D:$D,F2214))</f>
        <v>Lisa</v>
      </c>
      <c r="J2214" s="7" t="str">
        <f aca="false">IF(F2214=0,"NOT FOUND",IF(C2214=I2214,"SELF-VOTE",IF(COUNTIF($K:$K,K2214)&gt;1,"DUPLICATE","OK")))</f>
        <v>OK</v>
      </c>
      <c r="K2214" s="6" t="str">
        <f aca="false">A2214&amp;"|"&amp;B2214&amp;"|"&amp;C2214&amp;"|"&amp;D2214</f>
        <v>4|3|Kristen|spotify:track:7nCwN0SjXZmEsp1KJrsELD</v>
      </c>
    </row>
    <row r="2215" customFormat="false" ht="15" hidden="false" customHeight="false" outlineLevel="0" collapsed="false">
      <c r="A2215" s="5" t="n">
        <v>4</v>
      </c>
      <c r="B2215" s="5" t="n">
        <v>3</v>
      </c>
      <c r="C2215" s="5" t="s">
        <v>119</v>
      </c>
      <c r="D2215" s="5" t="s">
        <v>1129</v>
      </c>
      <c r="E2215" s="5" t="n">
        <v>1</v>
      </c>
      <c r="F2215" s="6" t="n">
        <f aca="false">IFERROR(MATCH(A2215&amp;"|"&amp;B2215&amp;"|"&amp;D2215,'All Song Rankings'!$T:$T,0),0)</f>
        <v>348</v>
      </c>
      <c r="G2215" s="6" t="str">
        <f aca="false">IF(F2215=0,"NOT FOUND",INDEX('All Song Rankings'!$A:$A,F2215))</f>
        <v>Diva's Lament (What Ever Happened To My Part?)</v>
      </c>
      <c r="H2215" s="6" t="str">
        <f aca="false">IF(F2215=0,"NOT FOUND",INDEX('All Song Rankings'!$B:$B,F2215))</f>
        <v>Sara Ramirez, Todd Ellison</v>
      </c>
      <c r="I2215" s="6" t="str">
        <f aca="false">IF(F2215=0,"NOT FOUND",INDEX('All Song Rankings'!$D:$D,F2215))</f>
        <v>Scott</v>
      </c>
      <c r="J2215" s="7" t="str">
        <f aca="false">IF(F2215=0,"NOT FOUND",IF(C2215=I2215,"SELF-VOTE",IF(COUNTIF($K:$K,K2215)&gt;1,"DUPLICATE","OK")))</f>
        <v>OK</v>
      </c>
      <c r="K2215" s="6" t="str">
        <f aca="false">A2215&amp;"|"&amp;B2215&amp;"|"&amp;C2215&amp;"|"&amp;D2215</f>
        <v>4|3|Leah|spotify:track:0PEkZhThiOCTPk1NxnjjJe</v>
      </c>
    </row>
    <row r="2216" customFormat="false" ht="15" hidden="false" customHeight="false" outlineLevel="0" collapsed="false">
      <c r="A2216" s="5" t="n">
        <v>4</v>
      </c>
      <c r="B2216" s="5" t="n">
        <v>3</v>
      </c>
      <c r="C2216" s="5" t="s">
        <v>119</v>
      </c>
      <c r="D2216" s="5" t="s">
        <v>1111</v>
      </c>
      <c r="E2216" s="5" t="n">
        <v>1</v>
      </c>
      <c r="F2216" s="6" t="n">
        <f aca="false">IFERROR(MATCH(A2216&amp;"|"&amp;B2216&amp;"|"&amp;D2216,'All Song Rankings'!$T:$T,0),0)</f>
        <v>342</v>
      </c>
      <c r="G2216" s="6" t="str">
        <f aca="false">IF(F2216=0,"NOT FOUND",INDEX('All Song Rankings'!$A:$A,F2216))</f>
        <v>The Phantom of the Opera</v>
      </c>
      <c r="H2216" s="6" t="str">
        <f aca="false">IF(F2216=0,"NOT FOUND",INDEX('All Song Rankings'!$B:$B,F2216))</f>
        <v>Andrew Lloyd Webber, Michael Crawford, Phantom Of The Opera Original London Cast, Sarah Brightman</v>
      </c>
      <c r="I2216" s="6" t="str">
        <f aca="false">IF(F2216=0,"NOT FOUND",INDEX('All Song Rankings'!$D:$D,F2216))</f>
        <v>Makenzie</v>
      </c>
      <c r="J2216" s="7" t="str">
        <f aca="false">IF(F2216=0,"NOT FOUND",IF(C2216=I2216,"SELF-VOTE",IF(COUNTIF($K:$K,K2216)&gt;1,"DUPLICATE","OK")))</f>
        <v>OK</v>
      </c>
      <c r="K2216" s="6" t="str">
        <f aca="false">A2216&amp;"|"&amp;B2216&amp;"|"&amp;C2216&amp;"|"&amp;D2216</f>
        <v>4|3|Leah|spotify:track:3EBPGmqpZTMfOPQtUxfCXj</v>
      </c>
    </row>
    <row r="2217" customFormat="false" ht="15" hidden="false" customHeight="false" outlineLevel="0" collapsed="false">
      <c r="A2217" s="5" t="n">
        <v>4</v>
      </c>
      <c r="B2217" s="5" t="n">
        <v>3</v>
      </c>
      <c r="C2217" s="5" t="s">
        <v>119</v>
      </c>
      <c r="D2217" s="5" t="s">
        <v>1114</v>
      </c>
      <c r="E2217" s="5" t="n">
        <v>1</v>
      </c>
      <c r="F2217" s="6" t="n">
        <f aca="false">IFERROR(MATCH(A2217&amp;"|"&amp;B2217&amp;"|"&amp;D2217,'All Song Rankings'!$T:$T,0),0)</f>
        <v>343</v>
      </c>
      <c r="G2217" s="6" t="str">
        <f aca="false">IF(F2217=0,"NOT FOUND",INDEX('All Song Rankings'!$A:$A,F2217))</f>
        <v>And I Am Telling You I'm Not Going - Original Broadway</v>
      </c>
      <c r="H2217" s="6" t="str">
        <f aca="false">IF(F2217=0,"NOT FOUND",INDEX('All Song Rankings'!$B:$B,F2217))</f>
        <v>Jennifer Holliday</v>
      </c>
      <c r="I2217" s="6" t="str">
        <f aca="false">IF(F2217=0,"NOT FOUND",INDEX('All Song Rankings'!$D:$D,F2217))</f>
        <v>Christine</v>
      </c>
      <c r="J2217" s="7" t="str">
        <f aca="false">IF(F2217=0,"NOT FOUND",IF(C2217=I2217,"SELF-VOTE",IF(COUNTIF($K:$K,K2217)&gt;1,"DUPLICATE","OK")))</f>
        <v>OK</v>
      </c>
      <c r="K2217" s="6" t="str">
        <f aca="false">A2217&amp;"|"&amp;B2217&amp;"|"&amp;C2217&amp;"|"&amp;D2217</f>
        <v>4|3|Leah|spotify:track:3ZPpFEandljtmTnz8D4trH</v>
      </c>
    </row>
    <row r="2218" customFormat="false" ht="15" hidden="false" customHeight="false" outlineLevel="0" collapsed="false">
      <c r="A2218" s="5" t="n">
        <v>4</v>
      </c>
      <c r="B2218" s="5" t="n">
        <v>3</v>
      </c>
      <c r="C2218" s="5" t="s">
        <v>119</v>
      </c>
      <c r="D2218" s="5" t="s">
        <v>1117</v>
      </c>
      <c r="E2218" s="5" t="n">
        <v>1</v>
      </c>
      <c r="F2218" s="6" t="n">
        <f aca="false">IFERROR(MATCH(A2218&amp;"|"&amp;B2218&amp;"|"&amp;D2218,'All Song Rankings'!$T:$T,0),0)</f>
        <v>344</v>
      </c>
      <c r="G2218" s="6" t="str">
        <f aca="false">IF(F2218=0,"NOT FOUND",INDEX('All Song Rankings'!$A:$A,F2218))</f>
        <v>Elephant Love Medley</v>
      </c>
      <c r="H2218" s="6" t="str">
        <f aca="false">IF(F2218=0,"NOT FOUND",INDEX('All Song Rankings'!$B:$B,F2218))</f>
        <v>Aaron Tveit, Karen Olivo, Original Broadway Cast of Moulin Rouge! The Musical</v>
      </c>
      <c r="I2218" s="6" t="str">
        <f aca="false">IF(F2218=0,"NOT FOUND",INDEX('All Song Rankings'!$D:$D,F2218))</f>
        <v>Colleen</v>
      </c>
      <c r="J2218" s="7" t="str">
        <f aca="false">IF(F2218=0,"NOT FOUND",IF(C2218=I2218,"SELF-VOTE",IF(COUNTIF($K:$K,K2218)&gt;1,"DUPLICATE","OK")))</f>
        <v>OK</v>
      </c>
      <c r="K2218" s="6" t="str">
        <f aca="false">A2218&amp;"|"&amp;B2218&amp;"|"&amp;C2218&amp;"|"&amp;D2218</f>
        <v>4|3|Leah|spotify:track:5JRgVMONxTRjC1g1d0XsvX</v>
      </c>
    </row>
    <row r="2219" customFormat="false" ht="15" hidden="false" customHeight="false" outlineLevel="0" collapsed="false">
      <c r="A2219" s="5" t="n">
        <v>4</v>
      </c>
      <c r="B2219" s="5" t="n">
        <v>3</v>
      </c>
      <c r="C2219" s="5" t="s">
        <v>119</v>
      </c>
      <c r="D2219" s="5" t="s">
        <v>1132</v>
      </c>
      <c r="E2219" s="5" t="n">
        <v>1</v>
      </c>
      <c r="F2219" s="6" t="n">
        <f aca="false">IFERROR(MATCH(A2219&amp;"|"&amp;B2219&amp;"|"&amp;D2219,'All Song Rankings'!$T:$T,0),0)</f>
        <v>349</v>
      </c>
      <c r="G2219" s="6" t="str">
        <f aca="false">IF(F2219=0,"NOT FOUND",INDEX('All Song Rankings'!$A:$A,F2219))</f>
        <v>Road to Hell</v>
      </c>
      <c r="H2219" s="6" t="str">
        <f aca="false">IF(F2219=0,"NOT FOUND",INDEX('All Song Rankings'!$B:$B,F2219))</f>
        <v>André De Shields, Hadestown Original Broadway Company, Anaïs Mitchell</v>
      </c>
      <c r="I2219" s="6" t="str">
        <f aca="false">IF(F2219=0,"NOT FOUND",INDEX('All Song Rankings'!$D:$D,F2219))</f>
        <v>Matt</v>
      </c>
      <c r="J2219" s="7" t="str">
        <f aca="false">IF(F2219=0,"NOT FOUND",IF(C2219=I2219,"SELF-VOTE",IF(COUNTIF($K:$K,K2219)&gt;1,"DUPLICATE","OK")))</f>
        <v>OK</v>
      </c>
      <c r="K2219" s="6" t="str">
        <f aca="false">A2219&amp;"|"&amp;B2219&amp;"|"&amp;C2219&amp;"|"&amp;D2219</f>
        <v>4|3|Leah|spotify:track:5S6O5UYDS2dxVTY7JSF9xy</v>
      </c>
    </row>
    <row r="2220" customFormat="false" ht="15" hidden="false" customHeight="false" outlineLevel="0" collapsed="false">
      <c r="A2220" s="5" t="n">
        <v>4</v>
      </c>
      <c r="B2220" s="5" t="n">
        <v>3</v>
      </c>
      <c r="C2220" s="5" t="s">
        <v>119</v>
      </c>
      <c r="D2220" s="5" t="s">
        <v>1108</v>
      </c>
      <c r="E2220" s="5" t="n">
        <v>2</v>
      </c>
      <c r="F2220" s="6" t="n">
        <f aca="false">IFERROR(MATCH(A2220&amp;"|"&amp;B2220&amp;"|"&amp;D2220,'All Song Rankings'!$T:$T,0),0)</f>
        <v>341</v>
      </c>
      <c r="G2220" s="6" t="str">
        <f aca="false">IF(F2220=0,"NOT FOUND",INDEX('All Song Rankings'!$A:$A,F2220))</f>
        <v>Wait for It</v>
      </c>
      <c r="H2220" s="6" t="str">
        <f aca="false">IF(F2220=0,"NOT FOUND",INDEX('All Song Rankings'!$B:$B,F2220))</f>
        <v>Leslie Odom Jr., Original Broadway Cast of Hamilton</v>
      </c>
      <c r="I2220" s="6" t="str">
        <f aca="false">IF(F2220=0,"NOT FOUND",INDEX('All Song Rankings'!$D:$D,F2220))</f>
        <v>Kristen</v>
      </c>
      <c r="J2220" s="7" t="str">
        <f aca="false">IF(F2220=0,"NOT FOUND",IF(C2220=I2220,"SELF-VOTE",IF(COUNTIF($K:$K,K2220)&gt;1,"DUPLICATE","OK")))</f>
        <v>OK</v>
      </c>
      <c r="K2220" s="6" t="str">
        <f aca="false">A2220&amp;"|"&amp;B2220&amp;"|"&amp;C2220&amp;"|"&amp;D2220</f>
        <v>4|3|Leah|spotify:track:7EqpEBPOohgk7NnKvBGFWo</v>
      </c>
    </row>
    <row r="2221" customFormat="false" ht="15" hidden="false" customHeight="false" outlineLevel="0" collapsed="false">
      <c r="A2221" s="5" t="n">
        <v>4</v>
      </c>
      <c r="B2221" s="5" t="n">
        <v>3</v>
      </c>
      <c r="C2221" s="5" t="s">
        <v>119</v>
      </c>
      <c r="D2221" s="5" t="s">
        <v>1126</v>
      </c>
      <c r="E2221" s="5" t="n">
        <v>1</v>
      </c>
      <c r="F2221" s="6" t="n">
        <f aca="false">IFERROR(MATCH(A2221&amp;"|"&amp;B2221&amp;"|"&amp;D2221,'All Song Rankings'!$T:$T,0),0)</f>
        <v>347</v>
      </c>
      <c r="G2221" s="6" t="str">
        <f aca="false">IF(F2221=0,"NOT FOUND",INDEX('All Song Rankings'!$A:$A,F2221))</f>
        <v>You Can't Stop The Beat</v>
      </c>
      <c r="H2221" s="6" t="str">
        <f aca="false">IF(F2221=0,"NOT FOUND",INDEX('All Song Rankings'!$B:$B,F2221))</f>
        <v>Elijah Kelley, John Travolta, Queen Latifah, Nikki Blonsky, Zac Efron, Amanda Bynes, Motion Picture Cast of Hairspray</v>
      </c>
      <c r="I2221" s="6" t="str">
        <f aca="false">IF(F2221=0,"NOT FOUND",INDEX('All Song Rankings'!$D:$D,F2221))</f>
        <v>Stephanie</v>
      </c>
      <c r="J2221" s="7" t="str">
        <f aca="false">IF(F2221=0,"NOT FOUND",IF(C2221=I2221,"SELF-VOTE",IF(COUNTIF($K:$K,K2221)&gt;1,"DUPLICATE","OK")))</f>
        <v>OK</v>
      </c>
      <c r="K2221" s="6" t="str">
        <f aca="false">A2221&amp;"|"&amp;B2221&amp;"|"&amp;C2221&amp;"|"&amp;D2221</f>
        <v>4|3|Leah|spotify:track:7goE6wDBvkZoeWrFm0EdCg</v>
      </c>
    </row>
    <row r="2222" customFormat="false" ht="15" hidden="false" customHeight="false" outlineLevel="0" collapsed="false">
      <c r="A2222" s="5" t="n">
        <v>4</v>
      </c>
      <c r="B2222" s="5" t="n">
        <v>3</v>
      </c>
      <c r="C2222" s="5" t="s">
        <v>119</v>
      </c>
      <c r="D2222" s="5" t="s">
        <v>1105</v>
      </c>
      <c r="E2222" s="5" t="n">
        <v>1</v>
      </c>
      <c r="F2222" s="6" t="n">
        <f aca="false">IFERROR(MATCH(A2222&amp;"|"&amp;B2222&amp;"|"&amp;D2222,'All Song Rankings'!$T:$T,0),0)</f>
        <v>340</v>
      </c>
      <c r="G2222" s="6" t="str">
        <f aca="false">IF(F2222=0,"NOT FOUND",INDEX('All Song Rankings'!$A:$A,F2222))</f>
        <v>Past is Catching Up to Me</v>
      </c>
      <c r="H2222" s="6" t="str">
        <f aca="false">IF(F2222=0,"NOT FOUND",INDEX('All Song Rankings'!$B:$B,F2222))</f>
        <v>Jeremy Jordan, Original Broadway Cast of The Great Gatsby - A New Musical</v>
      </c>
      <c r="I2222" s="6" t="str">
        <f aca="false">IF(F2222=0,"NOT FOUND",INDEX('All Song Rankings'!$D:$D,F2222))</f>
        <v>Kelsey</v>
      </c>
      <c r="J2222" s="7" t="str">
        <f aca="false">IF(F2222=0,"NOT FOUND",IF(C2222=I2222,"SELF-VOTE",IF(COUNTIF($K:$K,K2222)&gt;1,"DUPLICATE","OK")))</f>
        <v>OK</v>
      </c>
      <c r="K2222" s="6" t="str">
        <f aca="false">A2222&amp;"|"&amp;B2222&amp;"|"&amp;C2222&amp;"|"&amp;D2222</f>
        <v>4|3|Leah|spotify:track:7l6hD7JPcp4MTqcqpRPpsx</v>
      </c>
    </row>
    <row r="2223" customFormat="false" ht="15" hidden="false" customHeight="false" outlineLevel="0" collapsed="false">
      <c r="A2223" s="5" t="n">
        <v>4</v>
      </c>
      <c r="B2223" s="5" t="n">
        <v>3</v>
      </c>
      <c r="C2223" s="5" t="s">
        <v>119</v>
      </c>
      <c r="D2223" s="5" t="s">
        <v>1099</v>
      </c>
      <c r="E2223" s="5" t="n">
        <v>1</v>
      </c>
      <c r="F2223" s="6" t="n">
        <f aca="false">IFERROR(MATCH(A2223&amp;"|"&amp;B2223&amp;"|"&amp;D2223,'All Song Rankings'!$T:$T,0),0)</f>
        <v>338</v>
      </c>
      <c r="G2223" s="6" t="str">
        <f aca="false">IF(F2223=0,"NOT FOUND",INDEX('All Song Rankings'!$A:$A,F2223))</f>
        <v>Cell Block Tango</v>
      </c>
      <c r="H2223" s="6" t="str">
        <f aca="false">IF(F2223=0,"NOT FOUND",INDEX('All Song Rankings'!$B:$B,F2223))</f>
        <v>Michael Berresse, Bebe Neuwirth, Ensemble - Broadway Cast of Chicago The Musical (1997)</v>
      </c>
      <c r="I2223" s="6" t="str">
        <f aca="false">IF(F2223=0,"NOT FOUND",INDEX('All Song Rankings'!$D:$D,F2223))</f>
        <v>Lisa</v>
      </c>
      <c r="J2223" s="7" t="str">
        <f aca="false">IF(F2223=0,"NOT FOUND",IF(C2223=I2223,"SELF-VOTE",IF(COUNTIF($K:$K,K2223)&gt;1,"DUPLICATE","OK")))</f>
        <v>OK</v>
      </c>
      <c r="K2223" s="6" t="str">
        <f aca="false">A2223&amp;"|"&amp;B2223&amp;"|"&amp;C2223&amp;"|"&amp;D2223</f>
        <v>4|3|Leah|spotify:track:7nCwN0SjXZmEsp1KJrsELD</v>
      </c>
    </row>
    <row r="2224" customFormat="false" ht="15" hidden="false" customHeight="false" outlineLevel="0" collapsed="false">
      <c r="A2224" s="5" t="n">
        <v>4</v>
      </c>
      <c r="B2224" s="5" t="n">
        <v>3</v>
      </c>
      <c r="C2224" s="5" t="s">
        <v>705</v>
      </c>
      <c r="D2224" s="5" t="s">
        <v>1123</v>
      </c>
      <c r="E2224" s="5" t="n">
        <v>1</v>
      </c>
      <c r="F2224" s="6" t="n">
        <f aca="false">IFERROR(MATCH(A2224&amp;"|"&amp;B2224&amp;"|"&amp;D2224,'All Song Rankings'!$T:$T,0),0)</f>
        <v>346</v>
      </c>
      <c r="G2224" s="6" t="str">
        <f aca="false">IF(F2224=0,"NOT FOUND",INDEX('All Song Rankings'!$A:$A,F2224))</f>
        <v>Let It Go - From "Frozen"/Soundtrack Version</v>
      </c>
      <c r="H2224" s="6" t="str">
        <f aca="false">IF(F2224=0,"NOT FOUND",INDEX('All Song Rankings'!$B:$B,F2224))</f>
        <v>Idina Menzel</v>
      </c>
      <c r="I2224" s="6" t="str">
        <f aca="false">IF(F2224=0,"NOT FOUND",INDEX('All Song Rankings'!$D:$D,F2224))</f>
        <v>Nicole</v>
      </c>
      <c r="J2224" s="7" t="str">
        <f aca="false">IF(F2224=0,"NOT FOUND",IF(C2224=I2224,"SELF-VOTE",IF(COUNTIF($K:$K,K2224)&gt;1,"DUPLICATE","OK")))</f>
        <v>OK</v>
      </c>
      <c r="K2224" s="6" t="str">
        <f aca="false">A2224&amp;"|"&amp;B2224&amp;"|"&amp;C2224&amp;"|"&amp;D2224</f>
        <v>4|3|Lisa|spotify:track:0qcr5FMsEO85NAQjrlDRKo</v>
      </c>
    </row>
    <row r="2225" customFormat="false" ht="15" hidden="false" customHeight="false" outlineLevel="0" collapsed="false">
      <c r="A2225" s="5" t="n">
        <v>4</v>
      </c>
      <c r="B2225" s="5" t="n">
        <v>3</v>
      </c>
      <c r="C2225" s="5" t="s">
        <v>705</v>
      </c>
      <c r="D2225" s="5" t="s">
        <v>1114</v>
      </c>
      <c r="E2225" s="5" t="n">
        <v>2</v>
      </c>
      <c r="F2225" s="6" t="n">
        <f aca="false">IFERROR(MATCH(A2225&amp;"|"&amp;B2225&amp;"|"&amp;D2225,'All Song Rankings'!$T:$T,0),0)</f>
        <v>343</v>
      </c>
      <c r="G2225" s="6" t="str">
        <f aca="false">IF(F2225=0,"NOT FOUND",INDEX('All Song Rankings'!$A:$A,F2225))</f>
        <v>And I Am Telling You I'm Not Going - Original Broadway</v>
      </c>
      <c r="H2225" s="6" t="str">
        <f aca="false">IF(F2225=0,"NOT FOUND",INDEX('All Song Rankings'!$B:$B,F2225))</f>
        <v>Jennifer Holliday</v>
      </c>
      <c r="I2225" s="6" t="str">
        <f aca="false">IF(F2225=0,"NOT FOUND",INDEX('All Song Rankings'!$D:$D,F2225))</f>
        <v>Christine</v>
      </c>
      <c r="J2225" s="7" t="str">
        <f aca="false">IF(F2225=0,"NOT FOUND",IF(C2225=I2225,"SELF-VOTE",IF(COUNTIF($K:$K,K2225)&gt;1,"DUPLICATE","OK")))</f>
        <v>OK</v>
      </c>
      <c r="K2225" s="6" t="str">
        <f aca="false">A2225&amp;"|"&amp;B2225&amp;"|"&amp;C2225&amp;"|"&amp;D2225</f>
        <v>4|3|Lisa|spotify:track:3ZPpFEandljtmTnz8D4trH</v>
      </c>
    </row>
    <row r="2226" customFormat="false" ht="15" hidden="false" customHeight="false" outlineLevel="0" collapsed="false">
      <c r="A2226" s="5" t="n">
        <v>4</v>
      </c>
      <c r="B2226" s="5" t="n">
        <v>3</v>
      </c>
      <c r="C2226" s="5" t="s">
        <v>705</v>
      </c>
      <c r="D2226" s="5" t="s">
        <v>1102</v>
      </c>
      <c r="E2226" s="5" t="n">
        <v>2</v>
      </c>
      <c r="F2226" s="6" t="n">
        <f aca="false">IFERROR(MATCH(A2226&amp;"|"&amp;B2226&amp;"|"&amp;D2226,'All Song Rankings'!$T:$T,0),0)</f>
        <v>339</v>
      </c>
      <c r="G2226" s="6" t="str">
        <f aca="false">IF(F2226=0,"NOT FOUND",INDEX('All Song Rankings'!$A:$A,F2226))</f>
        <v>The Greatest Show</v>
      </c>
      <c r="H2226" s="6" t="str">
        <f aca="false">IF(F2226=0,"NOT FOUND",INDEX('All Song Rankings'!$B:$B,F2226))</f>
        <v>Hugh Jackman, Keala Settle, Zac Efron, Zendaya, The Greatest Showman Ensemble</v>
      </c>
      <c r="I2226" s="6" t="str">
        <f aca="false">IF(F2226=0,"NOT FOUND",INDEX('All Song Rankings'!$D:$D,F2226))</f>
        <v>Leah</v>
      </c>
      <c r="J2226" s="7" t="str">
        <f aca="false">IF(F2226=0,"NOT FOUND",IF(C2226=I2226,"SELF-VOTE",IF(COUNTIF($K:$K,K2226)&gt;1,"DUPLICATE","OK")))</f>
        <v>OK</v>
      </c>
      <c r="K2226" s="6" t="str">
        <f aca="false">A2226&amp;"|"&amp;B2226&amp;"|"&amp;C2226&amp;"|"&amp;D2226</f>
        <v>4|3|Lisa|spotify:track:4ylWMuGbMXNDgDd8lErEle</v>
      </c>
    </row>
    <row r="2227" customFormat="false" ht="15" hidden="false" customHeight="false" outlineLevel="0" collapsed="false">
      <c r="A2227" s="5" t="n">
        <v>4</v>
      </c>
      <c r="B2227" s="5" t="n">
        <v>3</v>
      </c>
      <c r="C2227" s="5" t="s">
        <v>705</v>
      </c>
      <c r="D2227" s="5" t="s">
        <v>1132</v>
      </c>
      <c r="E2227" s="5" t="n">
        <v>2</v>
      </c>
      <c r="F2227" s="6" t="n">
        <f aca="false">IFERROR(MATCH(A2227&amp;"|"&amp;B2227&amp;"|"&amp;D2227,'All Song Rankings'!$T:$T,0),0)</f>
        <v>349</v>
      </c>
      <c r="G2227" s="6" t="str">
        <f aca="false">IF(F2227=0,"NOT FOUND",INDEX('All Song Rankings'!$A:$A,F2227))</f>
        <v>Road to Hell</v>
      </c>
      <c r="H2227" s="6" t="str">
        <f aca="false">IF(F2227=0,"NOT FOUND",INDEX('All Song Rankings'!$B:$B,F2227))</f>
        <v>André De Shields, Hadestown Original Broadway Company, Anaïs Mitchell</v>
      </c>
      <c r="I2227" s="6" t="str">
        <f aca="false">IF(F2227=0,"NOT FOUND",INDEX('All Song Rankings'!$D:$D,F2227))</f>
        <v>Matt</v>
      </c>
      <c r="J2227" s="7" t="str">
        <f aca="false">IF(F2227=0,"NOT FOUND",IF(C2227=I2227,"SELF-VOTE",IF(COUNTIF($K:$K,K2227)&gt;1,"DUPLICATE","OK")))</f>
        <v>OK</v>
      </c>
      <c r="K2227" s="6" t="str">
        <f aca="false">A2227&amp;"|"&amp;B2227&amp;"|"&amp;C2227&amp;"|"&amp;D2227</f>
        <v>4|3|Lisa|spotify:track:5S6O5UYDS2dxVTY7JSF9xy</v>
      </c>
    </row>
    <row r="2228" customFormat="false" ht="15" hidden="false" customHeight="false" outlineLevel="0" collapsed="false">
      <c r="A2228" s="5" t="n">
        <v>4</v>
      </c>
      <c r="B2228" s="5" t="n">
        <v>3</v>
      </c>
      <c r="C2228" s="5" t="s">
        <v>705</v>
      </c>
      <c r="D2228" s="5" t="s">
        <v>1108</v>
      </c>
      <c r="E2228" s="5" t="n">
        <v>1</v>
      </c>
      <c r="F2228" s="6" t="n">
        <f aca="false">IFERROR(MATCH(A2228&amp;"|"&amp;B2228&amp;"|"&amp;D2228,'All Song Rankings'!$T:$T,0),0)</f>
        <v>341</v>
      </c>
      <c r="G2228" s="6" t="str">
        <f aca="false">IF(F2228=0,"NOT FOUND",INDEX('All Song Rankings'!$A:$A,F2228))</f>
        <v>Wait for It</v>
      </c>
      <c r="H2228" s="6" t="str">
        <f aca="false">IF(F2228=0,"NOT FOUND",INDEX('All Song Rankings'!$B:$B,F2228))</f>
        <v>Leslie Odom Jr., Original Broadway Cast of Hamilton</v>
      </c>
      <c r="I2228" s="6" t="str">
        <f aca="false">IF(F2228=0,"NOT FOUND",INDEX('All Song Rankings'!$D:$D,F2228))</f>
        <v>Kristen</v>
      </c>
      <c r="J2228" s="7" t="str">
        <f aca="false">IF(F2228=0,"NOT FOUND",IF(C2228=I2228,"SELF-VOTE",IF(COUNTIF($K:$K,K2228)&gt;1,"DUPLICATE","OK")))</f>
        <v>OK</v>
      </c>
      <c r="K2228" s="6" t="str">
        <f aca="false">A2228&amp;"|"&amp;B2228&amp;"|"&amp;C2228&amp;"|"&amp;D2228</f>
        <v>4|3|Lisa|spotify:track:7EqpEBPOohgk7NnKvBGFWo</v>
      </c>
    </row>
    <row r="2229" customFormat="false" ht="15" hidden="false" customHeight="false" outlineLevel="0" collapsed="false">
      <c r="A2229" s="5" t="n">
        <v>4</v>
      </c>
      <c r="B2229" s="5" t="n">
        <v>3</v>
      </c>
      <c r="C2229" s="5" t="s">
        <v>705</v>
      </c>
      <c r="D2229" s="5" t="s">
        <v>1135</v>
      </c>
      <c r="E2229" s="5" t="n">
        <v>1</v>
      </c>
      <c r="F2229" s="6" t="n">
        <f aca="false">IFERROR(MATCH(A2229&amp;"|"&amp;B2229&amp;"|"&amp;D2229,'All Song Rankings'!$T:$T,0),0)</f>
        <v>350</v>
      </c>
      <c r="G2229" s="6" t="str">
        <f aca="false">IF(F2229=0,"NOT FOUND",INDEX('All Song Rankings'!$A:$A,F2229))</f>
        <v>What Is This Feeling?</v>
      </c>
      <c r="H2229" s="6" t="str">
        <f aca="false">IF(F2229=0,"NOT FOUND",INDEX('All Song Rankings'!$B:$B,F2229))</f>
        <v>Ariana Grande, Cynthia Erivo</v>
      </c>
      <c r="I2229" s="6" t="str">
        <f aca="false">IF(F2229=0,"NOT FOUND",INDEX('All Song Rankings'!$D:$D,F2229))</f>
        <v>Grace</v>
      </c>
      <c r="J2229" s="7" t="str">
        <f aca="false">IF(F2229=0,"NOT FOUND",IF(C2229=I2229,"SELF-VOTE",IF(COUNTIF($K:$K,K2229)&gt;1,"DUPLICATE","OK")))</f>
        <v>OK</v>
      </c>
      <c r="K2229" s="6" t="str">
        <f aca="false">A2229&amp;"|"&amp;B2229&amp;"|"&amp;C2229&amp;"|"&amp;D2229</f>
        <v>4|3|Lisa|spotify:track:7eGuPhpdS8sBjPJNuAShUX</v>
      </c>
    </row>
    <row r="2230" customFormat="false" ht="15" hidden="false" customHeight="false" outlineLevel="0" collapsed="false">
      <c r="A2230" s="5" t="n">
        <v>4</v>
      </c>
      <c r="B2230" s="5" t="n">
        <v>3</v>
      </c>
      <c r="C2230" s="5" t="s">
        <v>705</v>
      </c>
      <c r="D2230" s="5" t="s">
        <v>1105</v>
      </c>
      <c r="E2230" s="5" t="n">
        <v>1</v>
      </c>
      <c r="F2230" s="6" t="n">
        <f aca="false">IFERROR(MATCH(A2230&amp;"|"&amp;B2230&amp;"|"&amp;D2230,'All Song Rankings'!$T:$T,0),0)</f>
        <v>340</v>
      </c>
      <c r="G2230" s="6" t="str">
        <f aca="false">IF(F2230=0,"NOT FOUND",INDEX('All Song Rankings'!$A:$A,F2230))</f>
        <v>Past is Catching Up to Me</v>
      </c>
      <c r="H2230" s="6" t="str">
        <f aca="false">IF(F2230=0,"NOT FOUND",INDEX('All Song Rankings'!$B:$B,F2230))</f>
        <v>Jeremy Jordan, Original Broadway Cast of The Great Gatsby - A New Musical</v>
      </c>
      <c r="I2230" s="6" t="str">
        <f aca="false">IF(F2230=0,"NOT FOUND",INDEX('All Song Rankings'!$D:$D,F2230))</f>
        <v>Kelsey</v>
      </c>
      <c r="J2230" s="7" t="str">
        <f aca="false">IF(F2230=0,"NOT FOUND",IF(C2230=I2230,"SELF-VOTE",IF(COUNTIF($K:$K,K2230)&gt;1,"DUPLICATE","OK")))</f>
        <v>OK</v>
      </c>
      <c r="K2230" s="6" t="str">
        <f aca="false">A2230&amp;"|"&amp;B2230&amp;"|"&amp;C2230&amp;"|"&amp;D2230</f>
        <v>4|3|Lisa|spotify:track:7l6hD7JPcp4MTqcqpRPpsx</v>
      </c>
    </row>
    <row r="2231" customFormat="false" ht="15" hidden="false" customHeight="false" outlineLevel="0" collapsed="false">
      <c r="A2231" s="5" t="n">
        <v>4</v>
      </c>
      <c r="B2231" s="5" t="n">
        <v>3</v>
      </c>
      <c r="C2231" s="5" t="s">
        <v>128</v>
      </c>
      <c r="D2231" s="5" t="s">
        <v>1129</v>
      </c>
      <c r="E2231" s="5" t="n">
        <v>1</v>
      </c>
      <c r="F2231" s="6" t="n">
        <f aca="false">IFERROR(MATCH(A2231&amp;"|"&amp;B2231&amp;"|"&amp;D2231,'All Song Rankings'!$T:$T,0),0)</f>
        <v>348</v>
      </c>
      <c r="G2231" s="6" t="str">
        <f aca="false">IF(F2231=0,"NOT FOUND",INDEX('All Song Rankings'!$A:$A,F2231))</f>
        <v>Diva's Lament (What Ever Happened To My Part?)</v>
      </c>
      <c r="H2231" s="6" t="str">
        <f aca="false">IF(F2231=0,"NOT FOUND",INDEX('All Song Rankings'!$B:$B,F2231))</f>
        <v>Sara Ramirez, Todd Ellison</v>
      </c>
      <c r="I2231" s="6" t="str">
        <f aca="false">IF(F2231=0,"NOT FOUND",INDEX('All Song Rankings'!$D:$D,F2231))</f>
        <v>Scott</v>
      </c>
      <c r="J2231" s="7" t="str">
        <f aca="false">IF(F2231=0,"NOT FOUND",IF(C2231=I2231,"SELF-VOTE",IF(COUNTIF($K:$K,K2231)&gt;1,"DUPLICATE","OK")))</f>
        <v>OK</v>
      </c>
      <c r="K2231" s="6" t="str">
        <f aca="false">A2231&amp;"|"&amp;B2231&amp;"|"&amp;C2231&amp;"|"&amp;D2231</f>
        <v>4|3|Logan|spotify:track:0PEkZhThiOCTPk1NxnjjJe</v>
      </c>
    </row>
    <row r="2232" customFormat="false" ht="15" hidden="false" customHeight="false" outlineLevel="0" collapsed="false">
      <c r="A2232" s="5" t="n">
        <v>4</v>
      </c>
      <c r="B2232" s="5" t="n">
        <v>3</v>
      </c>
      <c r="C2232" s="5" t="s">
        <v>128</v>
      </c>
      <c r="D2232" s="5" t="s">
        <v>1123</v>
      </c>
      <c r="E2232" s="5" t="n">
        <v>1</v>
      </c>
      <c r="F2232" s="6" t="n">
        <f aca="false">IFERROR(MATCH(A2232&amp;"|"&amp;B2232&amp;"|"&amp;D2232,'All Song Rankings'!$T:$T,0),0)</f>
        <v>346</v>
      </c>
      <c r="G2232" s="6" t="str">
        <f aca="false">IF(F2232=0,"NOT FOUND",INDEX('All Song Rankings'!$A:$A,F2232))</f>
        <v>Let It Go - From "Frozen"/Soundtrack Version</v>
      </c>
      <c r="H2232" s="6" t="str">
        <f aca="false">IF(F2232=0,"NOT FOUND",INDEX('All Song Rankings'!$B:$B,F2232))</f>
        <v>Idina Menzel</v>
      </c>
      <c r="I2232" s="6" t="str">
        <f aca="false">IF(F2232=0,"NOT FOUND",INDEX('All Song Rankings'!$D:$D,F2232))</f>
        <v>Nicole</v>
      </c>
      <c r="J2232" s="7" t="str">
        <f aca="false">IF(F2232=0,"NOT FOUND",IF(C2232=I2232,"SELF-VOTE",IF(COUNTIF($K:$K,K2232)&gt;1,"DUPLICATE","OK")))</f>
        <v>OK</v>
      </c>
      <c r="K2232" s="6" t="str">
        <f aca="false">A2232&amp;"|"&amp;B2232&amp;"|"&amp;C2232&amp;"|"&amp;D2232</f>
        <v>4|3|Logan|spotify:track:0qcr5FMsEO85NAQjrlDRKo</v>
      </c>
    </row>
    <row r="2233" customFormat="false" ht="15" hidden="false" customHeight="false" outlineLevel="0" collapsed="false">
      <c r="A2233" s="5" t="n">
        <v>4</v>
      </c>
      <c r="B2233" s="5" t="n">
        <v>3</v>
      </c>
      <c r="C2233" s="5" t="s">
        <v>128</v>
      </c>
      <c r="D2233" s="5" t="s">
        <v>1111</v>
      </c>
      <c r="E2233" s="5" t="n">
        <v>1</v>
      </c>
      <c r="F2233" s="6" t="n">
        <f aca="false">IFERROR(MATCH(A2233&amp;"|"&amp;B2233&amp;"|"&amp;D2233,'All Song Rankings'!$T:$T,0),0)</f>
        <v>342</v>
      </c>
      <c r="G2233" s="6" t="str">
        <f aca="false">IF(F2233=0,"NOT FOUND",INDEX('All Song Rankings'!$A:$A,F2233))</f>
        <v>The Phantom of the Opera</v>
      </c>
      <c r="H2233" s="6" t="str">
        <f aca="false">IF(F2233=0,"NOT FOUND",INDEX('All Song Rankings'!$B:$B,F2233))</f>
        <v>Andrew Lloyd Webber, Michael Crawford, Phantom Of The Opera Original London Cast, Sarah Brightman</v>
      </c>
      <c r="I2233" s="6" t="str">
        <f aca="false">IF(F2233=0,"NOT FOUND",INDEX('All Song Rankings'!$D:$D,F2233))</f>
        <v>Makenzie</v>
      </c>
      <c r="J2233" s="7" t="str">
        <f aca="false">IF(F2233=0,"NOT FOUND",IF(C2233=I2233,"SELF-VOTE",IF(COUNTIF($K:$K,K2233)&gt;1,"DUPLICATE","OK")))</f>
        <v>OK</v>
      </c>
      <c r="K2233" s="6" t="str">
        <f aca="false">A2233&amp;"|"&amp;B2233&amp;"|"&amp;C2233&amp;"|"&amp;D2233</f>
        <v>4|3|Logan|spotify:track:3EBPGmqpZTMfOPQtUxfCXj</v>
      </c>
    </row>
    <row r="2234" customFormat="false" ht="15" hidden="false" customHeight="false" outlineLevel="0" collapsed="false">
      <c r="A2234" s="5" t="n">
        <v>4</v>
      </c>
      <c r="B2234" s="5" t="n">
        <v>3</v>
      </c>
      <c r="C2234" s="5" t="s">
        <v>128</v>
      </c>
      <c r="D2234" s="5" t="s">
        <v>1114</v>
      </c>
      <c r="E2234" s="5" t="n">
        <v>2</v>
      </c>
      <c r="F2234" s="6" t="n">
        <f aca="false">IFERROR(MATCH(A2234&amp;"|"&amp;B2234&amp;"|"&amp;D2234,'All Song Rankings'!$T:$T,0),0)</f>
        <v>343</v>
      </c>
      <c r="G2234" s="6" t="str">
        <f aca="false">IF(F2234=0,"NOT FOUND",INDEX('All Song Rankings'!$A:$A,F2234))</f>
        <v>And I Am Telling You I'm Not Going - Original Broadway</v>
      </c>
      <c r="H2234" s="6" t="str">
        <f aca="false">IF(F2234=0,"NOT FOUND",INDEX('All Song Rankings'!$B:$B,F2234))</f>
        <v>Jennifer Holliday</v>
      </c>
      <c r="I2234" s="6" t="str">
        <f aca="false">IF(F2234=0,"NOT FOUND",INDEX('All Song Rankings'!$D:$D,F2234))</f>
        <v>Christine</v>
      </c>
      <c r="J2234" s="7" t="str">
        <f aca="false">IF(F2234=0,"NOT FOUND",IF(C2234=I2234,"SELF-VOTE",IF(COUNTIF($K:$K,K2234)&gt;1,"DUPLICATE","OK")))</f>
        <v>OK</v>
      </c>
      <c r="K2234" s="6" t="str">
        <f aca="false">A2234&amp;"|"&amp;B2234&amp;"|"&amp;C2234&amp;"|"&amp;D2234</f>
        <v>4|3|Logan|spotify:track:3ZPpFEandljtmTnz8D4trH</v>
      </c>
    </row>
    <row r="2235" customFormat="false" ht="15" hidden="false" customHeight="false" outlineLevel="0" collapsed="false">
      <c r="A2235" s="5" t="n">
        <v>4</v>
      </c>
      <c r="B2235" s="5" t="n">
        <v>3</v>
      </c>
      <c r="C2235" s="5" t="s">
        <v>128</v>
      </c>
      <c r="D2235" s="5" t="s">
        <v>1126</v>
      </c>
      <c r="E2235" s="5" t="n">
        <v>1</v>
      </c>
      <c r="F2235" s="6" t="n">
        <f aca="false">IFERROR(MATCH(A2235&amp;"|"&amp;B2235&amp;"|"&amp;D2235,'All Song Rankings'!$T:$T,0),0)</f>
        <v>347</v>
      </c>
      <c r="G2235" s="6" t="str">
        <f aca="false">IF(F2235=0,"NOT FOUND",INDEX('All Song Rankings'!$A:$A,F2235))</f>
        <v>You Can't Stop The Beat</v>
      </c>
      <c r="H2235" s="6" t="str">
        <f aca="false">IF(F2235=0,"NOT FOUND",INDEX('All Song Rankings'!$B:$B,F2235))</f>
        <v>Elijah Kelley, John Travolta, Queen Latifah, Nikki Blonsky, Zac Efron, Amanda Bynes, Motion Picture Cast of Hairspray</v>
      </c>
      <c r="I2235" s="6" t="str">
        <f aca="false">IF(F2235=0,"NOT FOUND",INDEX('All Song Rankings'!$D:$D,F2235))</f>
        <v>Stephanie</v>
      </c>
      <c r="J2235" s="7" t="str">
        <f aca="false">IF(F2235=0,"NOT FOUND",IF(C2235=I2235,"SELF-VOTE",IF(COUNTIF($K:$K,K2235)&gt;1,"DUPLICATE","OK")))</f>
        <v>OK</v>
      </c>
      <c r="K2235" s="6" t="str">
        <f aca="false">A2235&amp;"|"&amp;B2235&amp;"|"&amp;C2235&amp;"|"&amp;D2235</f>
        <v>4|3|Logan|spotify:track:7goE6wDBvkZoeWrFm0EdCg</v>
      </c>
    </row>
    <row r="2236" customFormat="false" ht="15" hidden="false" customHeight="false" outlineLevel="0" collapsed="false">
      <c r="A2236" s="5" t="n">
        <v>4</v>
      </c>
      <c r="B2236" s="5" t="n">
        <v>3</v>
      </c>
      <c r="C2236" s="5" t="s">
        <v>128</v>
      </c>
      <c r="D2236" s="5" t="s">
        <v>1105</v>
      </c>
      <c r="E2236" s="5" t="n">
        <v>3</v>
      </c>
      <c r="F2236" s="6" t="n">
        <f aca="false">IFERROR(MATCH(A2236&amp;"|"&amp;B2236&amp;"|"&amp;D2236,'All Song Rankings'!$T:$T,0),0)</f>
        <v>340</v>
      </c>
      <c r="G2236" s="6" t="str">
        <f aca="false">IF(F2236=0,"NOT FOUND",INDEX('All Song Rankings'!$A:$A,F2236))</f>
        <v>Past is Catching Up to Me</v>
      </c>
      <c r="H2236" s="6" t="str">
        <f aca="false">IF(F2236=0,"NOT FOUND",INDEX('All Song Rankings'!$B:$B,F2236))</f>
        <v>Jeremy Jordan, Original Broadway Cast of The Great Gatsby - A New Musical</v>
      </c>
      <c r="I2236" s="6" t="str">
        <f aca="false">IF(F2236=0,"NOT FOUND",INDEX('All Song Rankings'!$D:$D,F2236))</f>
        <v>Kelsey</v>
      </c>
      <c r="J2236" s="7" t="str">
        <f aca="false">IF(F2236=0,"NOT FOUND",IF(C2236=I2236,"SELF-VOTE",IF(COUNTIF($K:$K,K2236)&gt;1,"DUPLICATE","OK")))</f>
        <v>OK</v>
      </c>
      <c r="K2236" s="6" t="str">
        <f aca="false">A2236&amp;"|"&amp;B2236&amp;"|"&amp;C2236&amp;"|"&amp;D2236</f>
        <v>4|3|Logan|spotify:track:7l6hD7JPcp4MTqcqpRPpsx</v>
      </c>
    </row>
    <row r="2237" customFormat="false" ht="15" hidden="false" customHeight="false" outlineLevel="0" collapsed="false">
      <c r="A2237" s="5" t="n">
        <v>4</v>
      </c>
      <c r="B2237" s="5" t="n">
        <v>3</v>
      </c>
      <c r="C2237" s="5" t="s">
        <v>128</v>
      </c>
      <c r="D2237" s="5" t="s">
        <v>1099</v>
      </c>
      <c r="E2237" s="5" t="n">
        <v>1</v>
      </c>
      <c r="F2237" s="6" t="n">
        <f aca="false">IFERROR(MATCH(A2237&amp;"|"&amp;B2237&amp;"|"&amp;D2237,'All Song Rankings'!$T:$T,0),0)</f>
        <v>338</v>
      </c>
      <c r="G2237" s="6" t="str">
        <f aca="false">IF(F2237=0,"NOT FOUND",INDEX('All Song Rankings'!$A:$A,F2237))</f>
        <v>Cell Block Tango</v>
      </c>
      <c r="H2237" s="6" t="str">
        <f aca="false">IF(F2237=0,"NOT FOUND",INDEX('All Song Rankings'!$B:$B,F2237))</f>
        <v>Michael Berresse, Bebe Neuwirth, Ensemble - Broadway Cast of Chicago The Musical (1997)</v>
      </c>
      <c r="I2237" s="6" t="str">
        <f aca="false">IF(F2237=0,"NOT FOUND",INDEX('All Song Rankings'!$D:$D,F2237))</f>
        <v>Lisa</v>
      </c>
      <c r="J2237" s="7" t="str">
        <f aca="false">IF(F2237=0,"NOT FOUND",IF(C2237=I2237,"SELF-VOTE",IF(COUNTIF($K:$K,K2237)&gt;1,"DUPLICATE","OK")))</f>
        <v>OK</v>
      </c>
      <c r="K2237" s="6" t="str">
        <f aca="false">A2237&amp;"|"&amp;B2237&amp;"|"&amp;C2237&amp;"|"&amp;D2237</f>
        <v>4|3|Logan|spotify:track:7nCwN0SjXZmEsp1KJrsELD</v>
      </c>
    </row>
    <row r="2238" customFormat="false" ht="15" hidden="false" customHeight="false" outlineLevel="0" collapsed="false">
      <c r="A2238" s="5" t="n">
        <v>4</v>
      </c>
      <c r="B2238" s="5" t="n">
        <v>3</v>
      </c>
      <c r="C2238" s="5" t="s">
        <v>395</v>
      </c>
      <c r="D2238" s="5" t="s">
        <v>1138</v>
      </c>
      <c r="E2238" s="5" t="n">
        <v>1</v>
      </c>
      <c r="F2238" s="6" t="n">
        <f aca="false">IFERROR(MATCH(A2238&amp;"|"&amp;B2238&amp;"|"&amp;D2238,'All Song Rankings'!$T:$T,0),0)</f>
        <v>351</v>
      </c>
      <c r="G2238" s="6" t="str">
        <f aca="false">IF(F2238=0,"NOT FOUND",INDEX('All Song Rankings'!$A:$A,F2238))</f>
        <v>A Million Dreams</v>
      </c>
      <c r="H2238" s="6" t="str">
        <f aca="false">IF(F2238=0,"NOT FOUND",INDEX('All Song Rankings'!$B:$B,F2238))</f>
        <v>Ziv Zaifman, Hugh Jackman, Michelle Williams</v>
      </c>
      <c r="I2238" s="6" t="str">
        <f aca="false">IF(F2238=0,"NOT FOUND",INDEX('All Song Rankings'!$D:$D,F2238))</f>
        <v>Merita</v>
      </c>
      <c r="J2238" s="7" t="str">
        <f aca="false">IF(F2238=0,"NOT FOUND",IF(C2238=I2238,"SELF-VOTE",IF(COUNTIF($K:$K,K2238)&gt;1,"DUPLICATE","OK")))</f>
        <v>OK</v>
      </c>
      <c r="K2238" s="6" t="str">
        <f aca="false">A2238&amp;"|"&amp;B2238&amp;"|"&amp;C2238&amp;"|"&amp;D2238</f>
        <v>4|3|Makenzie|spotify:track:0RoA7ObU6phWpqhlC9zH4Z</v>
      </c>
    </row>
    <row r="2239" customFormat="false" ht="15" hidden="false" customHeight="false" outlineLevel="0" collapsed="false">
      <c r="A2239" s="5" t="n">
        <v>4</v>
      </c>
      <c r="B2239" s="5" t="n">
        <v>3</v>
      </c>
      <c r="C2239" s="5" t="s">
        <v>395</v>
      </c>
      <c r="D2239" s="5" t="s">
        <v>1123</v>
      </c>
      <c r="E2239" s="5" t="n">
        <v>1</v>
      </c>
      <c r="F2239" s="6" t="n">
        <f aca="false">IFERROR(MATCH(A2239&amp;"|"&amp;B2239&amp;"|"&amp;D2239,'All Song Rankings'!$T:$T,0),0)</f>
        <v>346</v>
      </c>
      <c r="G2239" s="6" t="str">
        <f aca="false">IF(F2239=0,"NOT FOUND",INDEX('All Song Rankings'!$A:$A,F2239))</f>
        <v>Let It Go - From "Frozen"/Soundtrack Version</v>
      </c>
      <c r="H2239" s="6" t="str">
        <f aca="false">IF(F2239=0,"NOT FOUND",INDEX('All Song Rankings'!$B:$B,F2239))</f>
        <v>Idina Menzel</v>
      </c>
      <c r="I2239" s="6" t="str">
        <f aca="false">IF(F2239=0,"NOT FOUND",INDEX('All Song Rankings'!$D:$D,F2239))</f>
        <v>Nicole</v>
      </c>
      <c r="J2239" s="7" t="str">
        <f aca="false">IF(F2239=0,"NOT FOUND",IF(C2239=I2239,"SELF-VOTE",IF(COUNTIF($K:$K,K2239)&gt;1,"DUPLICATE","OK")))</f>
        <v>OK</v>
      </c>
      <c r="K2239" s="6" t="str">
        <f aca="false">A2239&amp;"|"&amp;B2239&amp;"|"&amp;C2239&amp;"|"&amp;D2239</f>
        <v>4|3|Makenzie|spotify:track:0qcr5FMsEO85NAQjrlDRKo</v>
      </c>
    </row>
    <row r="2240" customFormat="false" ht="15" hidden="false" customHeight="false" outlineLevel="0" collapsed="false">
      <c r="A2240" s="5" t="n">
        <v>4</v>
      </c>
      <c r="B2240" s="5" t="n">
        <v>3</v>
      </c>
      <c r="C2240" s="5" t="s">
        <v>395</v>
      </c>
      <c r="D2240" s="5" t="s">
        <v>1102</v>
      </c>
      <c r="E2240" s="5" t="n">
        <v>2</v>
      </c>
      <c r="F2240" s="6" t="n">
        <f aca="false">IFERROR(MATCH(A2240&amp;"|"&amp;B2240&amp;"|"&amp;D2240,'All Song Rankings'!$T:$T,0),0)</f>
        <v>339</v>
      </c>
      <c r="G2240" s="6" t="str">
        <f aca="false">IF(F2240=0,"NOT FOUND",INDEX('All Song Rankings'!$A:$A,F2240))</f>
        <v>The Greatest Show</v>
      </c>
      <c r="H2240" s="6" t="str">
        <f aca="false">IF(F2240=0,"NOT FOUND",INDEX('All Song Rankings'!$B:$B,F2240))</f>
        <v>Hugh Jackman, Keala Settle, Zac Efron, Zendaya, The Greatest Showman Ensemble</v>
      </c>
      <c r="I2240" s="6" t="str">
        <f aca="false">IF(F2240=0,"NOT FOUND",INDEX('All Song Rankings'!$D:$D,F2240))</f>
        <v>Leah</v>
      </c>
      <c r="J2240" s="7" t="str">
        <f aca="false">IF(F2240=0,"NOT FOUND",IF(C2240=I2240,"SELF-VOTE",IF(COUNTIF($K:$K,K2240)&gt;1,"DUPLICATE","OK")))</f>
        <v>OK</v>
      </c>
      <c r="K2240" s="6" t="str">
        <f aca="false">A2240&amp;"|"&amp;B2240&amp;"|"&amp;C2240&amp;"|"&amp;D2240</f>
        <v>4|3|Makenzie|spotify:track:4ylWMuGbMXNDgDd8lErEle</v>
      </c>
    </row>
    <row r="2241" customFormat="false" ht="15" hidden="false" customHeight="false" outlineLevel="0" collapsed="false">
      <c r="A2241" s="5" t="n">
        <v>4</v>
      </c>
      <c r="B2241" s="5" t="n">
        <v>3</v>
      </c>
      <c r="C2241" s="5" t="s">
        <v>395</v>
      </c>
      <c r="D2241" s="5" t="s">
        <v>1117</v>
      </c>
      <c r="E2241" s="5" t="n">
        <v>1</v>
      </c>
      <c r="F2241" s="6" t="n">
        <f aca="false">IFERROR(MATCH(A2241&amp;"|"&amp;B2241&amp;"|"&amp;D2241,'All Song Rankings'!$T:$T,0),0)</f>
        <v>344</v>
      </c>
      <c r="G2241" s="6" t="str">
        <f aca="false">IF(F2241=0,"NOT FOUND",INDEX('All Song Rankings'!$A:$A,F2241))</f>
        <v>Elephant Love Medley</v>
      </c>
      <c r="H2241" s="6" t="str">
        <f aca="false">IF(F2241=0,"NOT FOUND",INDEX('All Song Rankings'!$B:$B,F2241))</f>
        <v>Aaron Tveit, Karen Olivo, Original Broadway Cast of Moulin Rouge! The Musical</v>
      </c>
      <c r="I2241" s="6" t="str">
        <f aca="false">IF(F2241=0,"NOT FOUND",INDEX('All Song Rankings'!$D:$D,F2241))</f>
        <v>Colleen</v>
      </c>
      <c r="J2241" s="7" t="str">
        <f aca="false">IF(F2241=0,"NOT FOUND",IF(C2241=I2241,"SELF-VOTE",IF(COUNTIF($K:$K,K2241)&gt;1,"DUPLICATE","OK")))</f>
        <v>OK</v>
      </c>
      <c r="K2241" s="6" t="str">
        <f aca="false">A2241&amp;"|"&amp;B2241&amp;"|"&amp;C2241&amp;"|"&amp;D2241</f>
        <v>4|3|Makenzie|spotify:track:5JRgVMONxTRjC1g1d0XsvX</v>
      </c>
    </row>
    <row r="2242" customFormat="false" ht="15" hidden="false" customHeight="false" outlineLevel="0" collapsed="false">
      <c r="A2242" s="5" t="n">
        <v>4</v>
      </c>
      <c r="B2242" s="5" t="n">
        <v>3</v>
      </c>
      <c r="C2242" s="5" t="s">
        <v>395</v>
      </c>
      <c r="D2242" s="5" t="s">
        <v>1108</v>
      </c>
      <c r="E2242" s="5" t="n">
        <v>1</v>
      </c>
      <c r="F2242" s="6" t="n">
        <f aca="false">IFERROR(MATCH(A2242&amp;"|"&amp;B2242&amp;"|"&amp;D2242,'All Song Rankings'!$T:$T,0),0)</f>
        <v>341</v>
      </c>
      <c r="G2242" s="6" t="str">
        <f aca="false">IF(F2242=0,"NOT FOUND",INDEX('All Song Rankings'!$A:$A,F2242))</f>
        <v>Wait for It</v>
      </c>
      <c r="H2242" s="6" t="str">
        <f aca="false">IF(F2242=0,"NOT FOUND",INDEX('All Song Rankings'!$B:$B,F2242))</f>
        <v>Leslie Odom Jr., Original Broadway Cast of Hamilton</v>
      </c>
      <c r="I2242" s="6" t="str">
        <f aca="false">IF(F2242=0,"NOT FOUND",INDEX('All Song Rankings'!$D:$D,F2242))</f>
        <v>Kristen</v>
      </c>
      <c r="J2242" s="7" t="str">
        <f aca="false">IF(F2242=0,"NOT FOUND",IF(C2242=I2242,"SELF-VOTE",IF(COUNTIF($K:$K,K2242)&gt;1,"DUPLICATE","OK")))</f>
        <v>OK</v>
      </c>
      <c r="K2242" s="6" t="str">
        <f aca="false">A2242&amp;"|"&amp;B2242&amp;"|"&amp;C2242&amp;"|"&amp;D2242</f>
        <v>4|3|Makenzie|spotify:track:7EqpEBPOohgk7NnKvBGFWo</v>
      </c>
    </row>
    <row r="2243" customFormat="false" ht="15" hidden="false" customHeight="false" outlineLevel="0" collapsed="false">
      <c r="A2243" s="5" t="n">
        <v>4</v>
      </c>
      <c r="B2243" s="5" t="n">
        <v>3</v>
      </c>
      <c r="C2243" s="5" t="s">
        <v>395</v>
      </c>
      <c r="D2243" s="5" t="s">
        <v>1135</v>
      </c>
      <c r="E2243" s="5" t="n">
        <v>1</v>
      </c>
      <c r="F2243" s="6" t="n">
        <f aca="false">IFERROR(MATCH(A2243&amp;"|"&amp;B2243&amp;"|"&amp;D2243,'All Song Rankings'!$T:$T,0),0)</f>
        <v>350</v>
      </c>
      <c r="G2243" s="6" t="str">
        <f aca="false">IF(F2243=0,"NOT FOUND",INDEX('All Song Rankings'!$A:$A,F2243))</f>
        <v>What Is This Feeling?</v>
      </c>
      <c r="H2243" s="6" t="str">
        <f aca="false">IF(F2243=0,"NOT FOUND",INDEX('All Song Rankings'!$B:$B,F2243))</f>
        <v>Ariana Grande, Cynthia Erivo</v>
      </c>
      <c r="I2243" s="6" t="str">
        <f aca="false">IF(F2243=0,"NOT FOUND",INDEX('All Song Rankings'!$D:$D,F2243))</f>
        <v>Grace</v>
      </c>
      <c r="J2243" s="7" t="str">
        <f aca="false">IF(F2243=0,"NOT FOUND",IF(C2243=I2243,"SELF-VOTE",IF(COUNTIF($K:$K,K2243)&gt;1,"DUPLICATE","OK")))</f>
        <v>OK</v>
      </c>
      <c r="K2243" s="6" t="str">
        <f aca="false">A2243&amp;"|"&amp;B2243&amp;"|"&amp;C2243&amp;"|"&amp;D2243</f>
        <v>4|3|Makenzie|spotify:track:7eGuPhpdS8sBjPJNuAShUX</v>
      </c>
    </row>
    <row r="2244" customFormat="false" ht="15" hidden="false" customHeight="false" outlineLevel="0" collapsed="false">
      <c r="A2244" s="5" t="n">
        <v>4</v>
      </c>
      <c r="B2244" s="5" t="n">
        <v>3</v>
      </c>
      <c r="C2244" s="5" t="s">
        <v>395</v>
      </c>
      <c r="D2244" s="5" t="s">
        <v>1126</v>
      </c>
      <c r="E2244" s="5" t="n">
        <v>2</v>
      </c>
      <c r="F2244" s="6" t="n">
        <f aca="false">IFERROR(MATCH(A2244&amp;"|"&amp;B2244&amp;"|"&amp;D2244,'All Song Rankings'!$T:$T,0),0)</f>
        <v>347</v>
      </c>
      <c r="G2244" s="6" t="str">
        <f aca="false">IF(F2244=0,"NOT FOUND",INDEX('All Song Rankings'!$A:$A,F2244))</f>
        <v>You Can't Stop The Beat</v>
      </c>
      <c r="H2244" s="6" t="str">
        <f aca="false">IF(F2244=0,"NOT FOUND",INDEX('All Song Rankings'!$B:$B,F2244))</f>
        <v>Elijah Kelley, John Travolta, Queen Latifah, Nikki Blonsky, Zac Efron, Amanda Bynes, Motion Picture Cast of Hairspray</v>
      </c>
      <c r="I2244" s="6" t="str">
        <f aca="false">IF(F2244=0,"NOT FOUND",INDEX('All Song Rankings'!$D:$D,F2244))</f>
        <v>Stephanie</v>
      </c>
      <c r="J2244" s="7" t="str">
        <f aca="false">IF(F2244=0,"NOT FOUND",IF(C2244=I2244,"SELF-VOTE",IF(COUNTIF($K:$K,K2244)&gt;1,"DUPLICATE","OK")))</f>
        <v>OK</v>
      </c>
      <c r="K2244" s="6" t="str">
        <f aca="false">A2244&amp;"|"&amp;B2244&amp;"|"&amp;C2244&amp;"|"&amp;D2244</f>
        <v>4|3|Makenzie|spotify:track:7goE6wDBvkZoeWrFm0EdCg</v>
      </c>
    </row>
    <row r="2245" customFormat="false" ht="15" hidden="false" customHeight="false" outlineLevel="0" collapsed="false">
      <c r="A2245" s="5" t="n">
        <v>4</v>
      </c>
      <c r="B2245" s="5" t="n">
        <v>3</v>
      </c>
      <c r="C2245" s="5" t="s">
        <v>395</v>
      </c>
      <c r="D2245" s="5" t="s">
        <v>1099</v>
      </c>
      <c r="E2245" s="5" t="n">
        <v>1</v>
      </c>
      <c r="F2245" s="6" t="n">
        <f aca="false">IFERROR(MATCH(A2245&amp;"|"&amp;B2245&amp;"|"&amp;D2245,'All Song Rankings'!$T:$T,0),0)</f>
        <v>338</v>
      </c>
      <c r="G2245" s="6" t="str">
        <f aca="false">IF(F2245=0,"NOT FOUND",INDEX('All Song Rankings'!$A:$A,F2245))</f>
        <v>Cell Block Tango</v>
      </c>
      <c r="H2245" s="6" t="str">
        <f aca="false">IF(F2245=0,"NOT FOUND",INDEX('All Song Rankings'!$B:$B,F2245))</f>
        <v>Michael Berresse, Bebe Neuwirth, Ensemble - Broadway Cast of Chicago The Musical (1997)</v>
      </c>
      <c r="I2245" s="6" t="str">
        <f aca="false">IF(F2245=0,"NOT FOUND",INDEX('All Song Rankings'!$D:$D,F2245))</f>
        <v>Lisa</v>
      </c>
      <c r="J2245" s="7" t="str">
        <f aca="false">IF(F2245=0,"NOT FOUND",IF(C2245=I2245,"SELF-VOTE",IF(COUNTIF($K:$K,K2245)&gt;1,"DUPLICATE","OK")))</f>
        <v>OK</v>
      </c>
      <c r="K2245" s="6" t="str">
        <f aca="false">A2245&amp;"|"&amp;B2245&amp;"|"&amp;C2245&amp;"|"&amp;D2245</f>
        <v>4|3|Makenzie|spotify:track:7nCwN0SjXZmEsp1KJrsELD</v>
      </c>
    </row>
    <row r="2246" customFormat="false" ht="15" hidden="false" customHeight="false" outlineLevel="0" collapsed="false">
      <c r="A2246" s="5" t="n">
        <v>4</v>
      </c>
      <c r="B2246" s="5" t="n">
        <v>3</v>
      </c>
      <c r="C2246" s="5" t="s">
        <v>116</v>
      </c>
      <c r="D2246" s="5" t="s">
        <v>1129</v>
      </c>
      <c r="E2246" s="5" t="n">
        <v>1</v>
      </c>
      <c r="F2246" s="6" t="n">
        <f aca="false">IFERROR(MATCH(A2246&amp;"|"&amp;B2246&amp;"|"&amp;D2246,'All Song Rankings'!$T:$T,0),0)</f>
        <v>348</v>
      </c>
      <c r="G2246" s="6" t="str">
        <f aca="false">IF(F2246=0,"NOT FOUND",INDEX('All Song Rankings'!$A:$A,F2246))</f>
        <v>Diva's Lament (What Ever Happened To My Part?)</v>
      </c>
      <c r="H2246" s="6" t="str">
        <f aca="false">IF(F2246=0,"NOT FOUND",INDEX('All Song Rankings'!$B:$B,F2246))</f>
        <v>Sara Ramirez, Todd Ellison</v>
      </c>
      <c r="I2246" s="6" t="str">
        <f aca="false">IF(F2246=0,"NOT FOUND",INDEX('All Song Rankings'!$D:$D,F2246))</f>
        <v>Scott</v>
      </c>
      <c r="J2246" s="7" t="str">
        <f aca="false">IF(F2246=0,"NOT FOUND",IF(C2246=I2246,"SELF-VOTE",IF(COUNTIF($K:$K,K2246)&gt;1,"DUPLICATE","OK")))</f>
        <v>OK</v>
      </c>
      <c r="K2246" s="6" t="str">
        <f aca="false">A2246&amp;"|"&amp;B2246&amp;"|"&amp;C2246&amp;"|"&amp;D2246</f>
        <v>4|3|Matt|spotify:track:0PEkZhThiOCTPk1NxnjjJe</v>
      </c>
    </row>
    <row r="2247" customFormat="false" ht="15" hidden="false" customHeight="false" outlineLevel="0" collapsed="false">
      <c r="A2247" s="5" t="n">
        <v>4</v>
      </c>
      <c r="B2247" s="5" t="n">
        <v>3</v>
      </c>
      <c r="C2247" s="5" t="s">
        <v>116</v>
      </c>
      <c r="D2247" s="5" t="s">
        <v>1111</v>
      </c>
      <c r="E2247" s="5" t="n">
        <v>1</v>
      </c>
      <c r="F2247" s="6" t="n">
        <f aca="false">IFERROR(MATCH(A2247&amp;"|"&amp;B2247&amp;"|"&amp;D2247,'All Song Rankings'!$T:$T,0),0)</f>
        <v>342</v>
      </c>
      <c r="G2247" s="6" t="str">
        <f aca="false">IF(F2247=0,"NOT FOUND",INDEX('All Song Rankings'!$A:$A,F2247))</f>
        <v>The Phantom of the Opera</v>
      </c>
      <c r="H2247" s="6" t="str">
        <f aca="false">IF(F2247=0,"NOT FOUND",INDEX('All Song Rankings'!$B:$B,F2247))</f>
        <v>Andrew Lloyd Webber, Michael Crawford, Phantom Of The Opera Original London Cast, Sarah Brightman</v>
      </c>
      <c r="I2247" s="6" t="str">
        <f aca="false">IF(F2247=0,"NOT FOUND",INDEX('All Song Rankings'!$D:$D,F2247))</f>
        <v>Makenzie</v>
      </c>
      <c r="J2247" s="7" t="str">
        <f aca="false">IF(F2247=0,"NOT FOUND",IF(C2247=I2247,"SELF-VOTE",IF(COUNTIF($K:$K,K2247)&gt;1,"DUPLICATE","OK")))</f>
        <v>OK</v>
      </c>
      <c r="K2247" s="6" t="str">
        <f aca="false">A2247&amp;"|"&amp;B2247&amp;"|"&amp;C2247&amp;"|"&amp;D2247</f>
        <v>4|3|Matt|spotify:track:3EBPGmqpZTMfOPQtUxfCXj</v>
      </c>
    </row>
    <row r="2248" customFormat="false" ht="15" hidden="false" customHeight="false" outlineLevel="0" collapsed="false">
      <c r="A2248" s="5" t="n">
        <v>4</v>
      </c>
      <c r="B2248" s="5" t="n">
        <v>3</v>
      </c>
      <c r="C2248" s="5" t="s">
        <v>116</v>
      </c>
      <c r="D2248" s="5" t="s">
        <v>1114</v>
      </c>
      <c r="E2248" s="5" t="n">
        <v>1</v>
      </c>
      <c r="F2248" s="6" t="n">
        <f aca="false">IFERROR(MATCH(A2248&amp;"|"&amp;B2248&amp;"|"&amp;D2248,'All Song Rankings'!$T:$T,0),0)</f>
        <v>343</v>
      </c>
      <c r="G2248" s="6" t="str">
        <f aca="false">IF(F2248=0,"NOT FOUND",INDEX('All Song Rankings'!$A:$A,F2248))</f>
        <v>And I Am Telling You I'm Not Going - Original Broadway</v>
      </c>
      <c r="H2248" s="6" t="str">
        <f aca="false">IF(F2248=0,"NOT FOUND",INDEX('All Song Rankings'!$B:$B,F2248))</f>
        <v>Jennifer Holliday</v>
      </c>
      <c r="I2248" s="6" t="str">
        <f aca="false">IF(F2248=0,"NOT FOUND",INDEX('All Song Rankings'!$D:$D,F2248))</f>
        <v>Christine</v>
      </c>
      <c r="J2248" s="7" t="str">
        <f aca="false">IF(F2248=0,"NOT FOUND",IF(C2248=I2248,"SELF-VOTE",IF(COUNTIF($K:$K,K2248)&gt;1,"DUPLICATE","OK")))</f>
        <v>OK</v>
      </c>
      <c r="K2248" s="6" t="str">
        <f aca="false">A2248&amp;"|"&amp;B2248&amp;"|"&amp;C2248&amp;"|"&amp;D2248</f>
        <v>4|3|Matt|spotify:track:3ZPpFEandljtmTnz8D4trH</v>
      </c>
    </row>
    <row r="2249" customFormat="false" ht="15" hidden="false" customHeight="false" outlineLevel="0" collapsed="false">
      <c r="A2249" s="5" t="n">
        <v>4</v>
      </c>
      <c r="B2249" s="5" t="n">
        <v>3</v>
      </c>
      <c r="C2249" s="5" t="s">
        <v>116</v>
      </c>
      <c r="D2249" s="5" t="s">
        <v>1117</v>
      </c>
      <c r="E2249" s="5" t="n">
        <v>1</v>
      </c>
      <c r="F2249" s="6" t="n">
        <f aca="false">IFERROR(MATCH(A2249&amp;"|"&amp;B2249&amp;"|"&amp;D2249,'All Song Rankings'!$T:$T,0),0)</f>
        <v>344</v>
      </c>
      <c r="G2249" s="6" t="str">
        <f aca="false">IF(F2249=0,"NOT FOUND",INDEX('All Song Rankings'!$A:$A,F2249))</f>
        <v>Elephant Love Medley</v>
      </c>
      <c r="H2249" s="6" t="str">
        <f aca="false">IF(F2249=0,"NOT FOUND",INDEX('All Song Rankings'!$B:$B,F2249))</f>
        <v>Aaron Tveit, Karen Olivo, Original Broadway Cast of Moulin Rouge! The Musical</v>
      </c>
      <c r="I2249" s="6" t="str">
        <f aca="false">IF(F2249=0,"NOT FOUND",INDEX('All Song Rankings'!$D:$D,F2249))</f>
        <v>Colleen</v>
      </c>
      <c r="J2249" s="7" t="str">
        <f aca="false">IF(F2249=0,"NOT FOUND",IF(C2249=I2249,"SELF-VOTE",IF(COUNTIF($K:$K,K2249)&gt;1,"DUPLICATE","OK")))</f>
        <v>OK</v>
      </c>
      <c r="K2249" s="6" t="str">
        <f aca="false">A2249&amp;"|"&amp;B2249&amp;"|"&amp;C2249&amp;"|"&amp;D2249</f>
        <v>4|3|Matt|spotify:track:5JRgVMONxTRjC1g1d0XsvX</v>
      </c>
    </row>
    <row r="2250" customFormat="false" ht="15" hidden="false" customHeight="false" outlineLevel="0" collapsed="false">
      <c r="A2250" s="5" t="n">
        <v>4</v>
      </c>
      <c r="B2250" s="5" t="n">
        <v>3</v>
      </c>
      <c r="C2250" s="5" t="s">
        <v>116</v>
      </c>
      <c r="D2250" s="5" t="s">
        <v>1108</v>
      </c>
      <c r="E2250" s="5" t="n">
        <v>2</v>
      </c>
      <c r="F2250" s="6" t="n">
        <f aca="false">IFERROR(MATCH(A2250&amp;"|"&amp;B2250&amp;"|"&amp;D2250,'All Song Rankings'!$T:$T,0),0)</f>
        <v>341</v>
      </c>
      <c r="G2250" s="6" t="str">
        <f aca="false">IF(F2250=0,"NOT FOUND",INDEX('All Song Rankings'!$A:$A,F2250))</f>
        <v>Wait for It</v>
      </c>
      <c r="H2250" s="6" t="str">
        <f aca="false">IF(F2250=0,"NOT FOUND",INDEX('All Song Rankings'!$B:$B,F2250))</f>
        <v>Leslie Odom Jr., Original Broadway Cast of Hamilton</v>
      </c>
      <c r="I2250" s="6" t="str">
        <f aca="false">IF(F2250=0,"NOT FOUND",INDEX('All Song Rankings'!$D:$D,F2250))</f>
        <v>Kristen</v>
      </c>
      <c r="J2250" s="7" t="str">
        <f aca="false">IF(F2250=0,"NOT FOUND",IF(C2250=I2250,"SELF-VOTE",IF(COUNTIF($K:$K,K2250)&gt;1,"DUPLICATE","OK")))</f>
        <v>OK</v>
      </c>
      <c r="K2250" s="6" t="str">
        <f aca="false">A2250&amp;"|"&amp;B2250&amp;"|"&amp;C2250&amp;"|"&amp;D2250</f>
        <v>4|3|Matt|spotify:track:7EqpEBPOohgk7NnKvBGFWo</v>
      </c>
    </row>
    <row r="2251" customFormat="false" ht="15" hidden="false" customHeight="false" outlineLevel="0" collapsed="false">
      <c r="A2251" s="5" t="n">
        <v>4</v>
      </c>
      <c r="B2251" s="5" t="n">
        <v>3</v>
      </c>
      <c r="C2251" s="5" t="s">
        <v>116</v>
      </c>
      <c r="D2251" s="5" t="s">
        <v>1105</v>
      </c>
      <c r="E2251" s="5" t="n">
        <v>1</v>
      </c>
      <c r="F2251" s="6" t="n">
        <f aca="false">IFERROR(MATCH(A2251&amp;"|"&amp;B2251&amp;"|"&amp;D2251,'All Song Rankings'!$T:$T,0),0)</f>
        <v>340</v>
      </c>
      <c r="G2251" s="6" t="str">
        <f aca="false">IF(F2251=0,"NOT FOUND",INDEX('All Song Rankings'!$A:$A,F2251))</f>
        <v>Past is Catching Up to Me</v>
      </c>
      <c r="H2251" s="6" t="str">
        <f aca="false">IF(F2251=0,"NOT FOUND",INDEX('All Song Rankings'!$B:$B,F2251))</f>
        <v>Jeremy Jordan, Original Broadway Cast of The Great Gatsby - A New Musical</v>
      </c>
      <c r="I2251" s="6" t="str">
        <f aca="false">IF(F2251=0,"NOT FOUND",INDEX('All Song Rankings'!$D:$D,F2251))</f>
        <v>Kelsey</v>
      </c>
      <c r="J2251" s="7" t="str">
        <f aca="false">IF(F2251=0,"NOT FOUND",IF(C2251=I2251,"SELF-VOTE",IF(COUNTIF($K:$K,K2251)&gt;1,"DUPLICATE","OK")))</f>
        <v>OK</v>
      </c>
      <c r="K2251" s="6" t="str">
        <f aca="false">A2251&amp;"|"&amp;B2251&amp;"|"&amp;C2251&amp;"|"&amp;D2251</f>
        <v>4|3|Matt|spotify:track:7l6hD7JPcp4MTqcqpRPpsx</v>
      </c>
    </row>
    <row r="2252" customFormat="false" ht="15" hidden="false" customHeight="false" outlineLevel="0" collapsed="false">
      <c r="A2252" s="5" t="n">
        <v>4</v>
      </c>
      <c r="B2252" s="5" t="n">
        <v>3</v>
      </c>
      <c r="C2252" s="5" t="s">
        <v>116</v>
      </c>
      <c r="D2252" s="5" t="s">
        <v>1099</v>
      </c>
      <c r="E2252" s="5" t="n">
        <v>3</v>
      </c>
      <c r="F2252" s="6" t="n">
        <f aca="false">IFERROR(MATCH(A2252&amp;"|"&amp;B2252&amp;"|"&amp;D2252,'All Song Rankings'!$T:$T,0),0)</f>
        <v>338</v>
      </c>
      <c r="G2252" s="6" t="str">
        <f aca="false">IF(F2252=0,"NOT FOUND",INDEX('All Song Rankings'!$A:$A,F2252))</f>
        <v>Cell Block Tango</v>
      </c>
      <c r="H2252" s="6" t="str">
        <f aca="false">IF(F2252=0,"NOT FOUND",INDEX('All Song Rankings'!$B:$B,F2252))</f>
        <v>Michael Berresse, Bebe Neuwirth, Ensemble - Broadway Cast of Chicago The Musical (1997)</v>
      </c>
      <c r="I2252" s="6" t="str">
        <f aca="false">IF(F2252=0,"NOT FOUND",INDEX('All Song Rankings'!$D:$D,F2252))</f>
        <v>Lisa</v>
      </c>
      <c r="J2252" s="7" t="str">
        <f aca="false">IF(F2252=0,"NOT FOUND",IF(C2252=I2252,"SELF-VOTE",IF(COUNTIF($K:$K,K2252)&gt;1,"DUPLICATE","OK")))</f>
        <v>OK</v>
      </c>
      <c r="K2252" s="6" t="str">
        <f aca="false">A2252&amp;"|"&amp;B2252&amp;"|"&amp;C2252&amp;"|"&amp;D2252</f>
        <v>4|3|Matt|spotify:track:7nCwN0SjXZmEsp1KJrsELD</v>
      </c>
    </row>
    <row r="2253" customFormat="false" ht="15" hidden="false" customHeight="false" outlineLevel="0" collapsed="false">
      <c r="A2253" s="5" t="n">
        <v>4</v>
      </c>
      <c r="B2253" s="5" t="n">
        <v>3</v>
      </c>
      <c r="C2253" s="5" t="s">
        <v>101</v>
      </c>
      <c r="D2253" s="5" t="s">
        <v>1123</v>
      </c>
      <c r="E2253" s="5" t="n">
        <v>1</v>
      </c>
      <c r="F2253" s="6" t="n">
        <f aca="false">IFERROR(MATCH(A2253&amp;"|"&amp;B2253&amp;"|"&amp;D2253,'All Song Rankings'!$T:$T,0),0)</f>
        <v>346</v>
      </c>
      <c r="G2253" s="6" t="str">
        <f aca="false">IF(F2253=0,"NOT FOUND",INDEX('All Song Rankings'!$A:$A,F2253))</f>
        <v>Let It Go - From "Frozen"/Soundtrack Version</v>
      </c>
      <c r="H2253" s="6" t="str">
        <f aca="false">IF(F2253=0,"NOT FOUND",INDEX('All Song Rankings'!$B:$B,F2253))</f>
        <v>Idina Menzel</v>
      </c>
      <c r="I2253" s="6" t="str">
        <f aca="false">IF(F2253=0,"NOT FOUND",INDEX('All Song Rankings'!$D:$D,F2253))</f>
        <v>Nicole</v>
      </c>
      <c r="J2253" s="7" t="str">
        <f aca="false">IF(F2253=0,"NOT FOUND",IF(C2253=I2253,"SELF-VOTE",IF(COUNTIF($K:$K,K2253)&gt;1,"DUPLICATE","OK")))</f>
        <v>OK</v>
      </c>
      <c r="K2253" s="6" t="str">
        <f aca="false">A2253&amp;"|"&amp;B2253&amp;"|"&amp;C2253&amp;"|"&amp;D2253</f>
        <v>4|3|Merita|spotify:track:0qcr5FMsEO85NAQjrlDRKo</v>
      </c>
    </row>
    <row r="2254" customFormat="false" ht="15" hidden="false" customHeight="false" outlineLevel="0" collapsed="false">
      <c r="A2254" s="5" t="n">
        <v>4</v>
      </c>
      <c r="B2254" s="5" t="n">
        <v>3</v>
      </c>
      <c r="C2254" s="5" t="s">
        <v>101</v>
      </c>
      <c r="D2254" s="5" t="s">
        <v>1120</v>
      </c>
      <c r="E2254" s="5" t="n">
        <v>1</v>
      </c>
      <c r="F2254" s="6" t="n">
        <f aca="false">IFERROR(MATCH(A2254&amp;"|"&amp;B2254&amp;"|"&amp;D2254,'All Song Rankings'!$T:$T,0),0)</f>
        <v>345</v>
      </c>
      <c r="G2254" s="6" t="str">
        <f aca="false">IF(F2254=0,"NOT FOUND",INDEX('All Song Rankings'!$A:$A,F2254))</f>
        <v>I'm Here</v>
      </c>
      <c r="H2254" s="6" t="str">
        <f aca="false">IF(F2254=0,"NOT FOUND",INDEX('All Song Rankings'!$B:$B,F2254))</f>
        <v>Cynthia Erivo</v>
      </c>
      <c r="I2254" s="6" t="str">
        <f aca="false">IF(F2254=0,"NOT FOUND",INDEX('All Song Rankings'!$D:$D,F2254))</f>
        <v>Logan</v>
      </c>
      <c r="J2254" s="7" t="str">
        <f aca="false">IF(F2254=0,"NOT FOUND",IF(C2254=I2254,"SELF-VOTE",IF(COUNTIF($K:$K,K2254)&gt;1,"DUPLICATE","OK")))</f>
        <v>OK</v>
      </c>
      <c r="K2254" s="6" t="str">
        <f aca="false">A2254&amp;"|"&amp;B2254&amp;"|"&amp;C2254&amp;"|"&amp;D2254</f>
        <v>4|3|Merita|spotify:track:1w2k1OOCSy3ez40D3TQs7L</v>
      </c>
    </row>
    <row r="2255" customFormat="false" ht="15" hidden="false" customHeight="false" outlineLevel="0" collapsed="false">
      <c r="A2255" s="5" t="n">
        <v>4</v>
      </c>
      <c r="B2255" s="5" t="n">
        <v>3</v>
      </c>
      <c r="C2255" s="5" t="s">
        <v>101</v>
      </c>
      <c r="D2255" s="5" t="s">
        <v>1111</v>
      </c>
      <c r="E2255" s="5" t="n">
        <v>1</v>
      </c>
      <c r="F2255" s="6" t="n">
        <f aca="false">IFERROR(MATCH(A2255&amp;"|"&amp;B2255&amp;"|"&amp;D2255,'All Song Rankings'!$T:$T,0),0)</f>
        <v>342</v>
      </c>
      <c r="G2255" s="6" t="str">
        <f aca="false">IF(F2255=0,"NOT FOUND",INDEX('All Song Rankings'!$A:$A,F2255))</f>
        <v>The Phantom of the Opera</v>
      </c>
      <c r="H2255" s="6" t="str">
        <f aca="false">IF(F2255=0,"NOT FOUND",INDEX('All Song Rankings'!$B:$B,F2255))</f>
        <v>Andrew Lloyd Webber, Michael Crawford, Phantom Of The Opera Original London Cast, Sarah Brightman</v>
      </c>
      <c r="I2255" s="6" t="str">
        <f aca="false">IF(F2255=0,"NOT FOUND",INDEX('All Song Rankings'!$D:$D,F2255))</f>
        <v>Makenzie</v>
      </c>
      <c r="J2255" s="7" t="str">
        <f aca="false">IF(F2255=0,"NOT FOUND",IF(C2255=I2255,"SELF-VOTE",IF(COUNTIF($K:$K,K2255)&gt;1,"DUPLICATE","OK")))</f>
        <v>OK</v>
      </c>
      <c r="K2255" s="6" t="str">
        <f aca="false">A2255&amp;"|"&amp;B2255&amp;"|"&amp;C2255&amp;"|"&amp;D2255</f>
        <v>4|3|Merita|spotify:track:3EBPGmqpZTMfOPQtUxfCXj</v>
      </c>
    </row>
    <row r="2256" customFormat="false" ht="15" hidden="false" customHeight="false" outlineLevel="0" collapsed="false">
      <c r="A2256" s="5" t="n">
        <v>4</v>
      </c>
      <c r="B2256" s="5" t="n">
        <v>3</v>
      </c>
      <c r="C2256" s="5" t="s">
        <v>101</v>
      </c>
      <c r="D2256" s="5" t="s">
        <v>1114</v>
      </c>
      <c r="E2256" s="5" t="n">
        <v>1</v>
      </c>
      <c r="F2256" s="6" t="n">
        <f aca="false">IFERROR(MATCH(A2256&amp;"|"&amp;B2256&amp;"|"&amp;D2256,'All Song Rankings'!$T:$T,0),0)</f>
        <v>343</v>
      </c>
      <c r="G2256" s="6" t="str">
        <f aca="false">IF(F2256=0,"NOT FOUND",INDEX('All Song Rankings'!$A:$A,F2256))</f>
        <v>And I Am Telling You I'm Not Going - Original Broadway</v>
      </c>
      <c r="H2256" s="6" t="str">
        <f aca="false">IF(F2256=0,"NOT FOUND",INDEX('All Song Rankings'!$B:$B,F2256))</f>
        <v>Jennifer Holliday</v>
      </c>
      <c r="I2256" s="6" t="str">
        <f aca="false">IF(F2256=0,"NOT FOUND",INDEX('All Song Rankings'!$D:$D,F2256))</f>
        <v>Christine</v>
      </c>
      <c r="J2256" s="7" t="str">
        <f aca="false">IF(F2256=0,"NOT FOUND",IF(C2256=I2256,"SELF-VOTE",IF(COUNTIF($K:$K,K2256)&gt;1,"DUPLICATE","OK")))</f>
        <v>OK</v>
      </c>
      <c r="K2256" s="6" t="str">
        <f aca="false">A2256&amp;"|"&amp;B2256&amp;"|"&amp;C2256&amp;"|"&amp;D2256</f>
        <v>4|3|Merita|spotify:track:3ZPpFEandljtmTnz8D4trH</v>
      </c>
    </row>
    <row r="2257" customFormat="false" ht="15" hidden="false" customHeight="false" outlineLevel="0" collapsed="false">
      <c r="A2257" s="5" t="n">
        <v>4</v>
      </c>
      <c r="B2257" s="5" t="n">
        <v>3</v>
      </c>
      <c r="C2257" s="5" t="s">
        <v>101</v>
      </c>
      <c r="D2257" s="5" t="s">
        <v>1102</v>
      </c>
      <c r="E2257" s="5" t="n">
        <v>1</v>
      </c>
      <c r="F2257" s="6" t="n">
        <f aca="false">IFERROR(MATCH(A2257&amp;"|"&amp;B2257&amp;"|"&amp;D2257,'All Song Rankings'!$T:$T,0),0)</f>
        <v>339</v>
      </c>
      <c r="G2257" s="6" t="str">
        <f aca="false">IF(F2257=0,"NOT FOUND",INDEX('All Song Rankings'!$A:$A,F2257))</f>
        <v>The Greatest Show</v>
      </c>
      <c r="H2257" s="6" t="str">
        <f aca="false">IF(F2257=0,"NOT FOUND",INDEX('All Song Rankings'!$B:$B,F2257))</f>
        <v>Hugh Jackman, Keala Settle, Zac Efron, Zendaya, The Greatest Showman Ensemble</v>
      </c>
      <c r="I2257" s="6" t="str">
        <f aca="false">IF(F2257=0,"NOT FOUND",INDEX('All Song Rankings'!$D:$D,F2257))</f>
        <v>Leah</v>
      </c>
      <c r="J2257" s="7" t="str">
        <f aca="false">IF(F2257=0,"NOT FOUND",IF(C2257=I2257,"SELF-VOTE",IF(COUNTIF($K:$K,K2257)&gt;1,"DUPLICATE","OK")))</f>
        <v>OK</v>
      </c>
      <c r="K2257" s="6" t="str">
        <f aca="false">A2257&amp;"|"&amp;B2257&amp;"|"&amp;C2257&amp;"|"&amp;D2257</f>
        <v>4|3|Merita|spotify:track:4ylWMuGbMXNDgDd8lErEle</v>
      </c>
    </row>
    <row r="2258" customFormat="false" ht="15" hidden="false" customHeight="false" outlineLevel="0" collapsed="false">
      <c r="A2258" s="5" t="n">
        <v>4</v>
      </c>
      <c r="B2258" s="5" t="n">
        <v>3</v>
      </c>
      <c r="C2258" s="5" t="s">
        <v>101</v>
      </c>
      <c r="D2258" s="5" t="s">
        <v>1117</v>
      </c>
      <c r="E2258" s="5" t="n">
        <v>2</v>
      </c>
      <c r="F2258" s="6" t="n">
        <f aca="false">IFERROR(MATCH(A2258&amp;"|"&amp;B2258&amp;"|"&amp;D2258,'All Song Rankings'!$T:$T,0),0)</f>
        <v>344</v>
      </c>
      <c r="G2258" s="6" t="str">
        <f aca="false">IF(F2258=0,"NOT FOUND",INDEX('All Song Rankings'!$A:$A,F2258))</f>
        <v>Elephant Love Medley</v>
      </c>
      <c r="H2258" s="6" t="str">
        <f aca="false">IF(F2258=0,"NOT FOUND",INDEX('All Song Rankings'!$B:$B,F2258))</f>
        <v>Aaron Tveit, Karen Olivo, Original Broadway Cast of Moulin Rouge! The Musical</v>
      </c>
      <c r="I2258" s="6" t="str">
        <f aca="false">IF(F2258=0,"NOT FOUND",INDEX('All Song Rankings'!$D:$D,F2258))</f>
        <v>Colleen</v>
      </c>
      <c r="J2258" s="7" t="str">
        <f aca="false">IF(F2258=0,"NOT FOUND",IF(C2258=I2258,"SELF-VOTE",IF(COUNTIF($K:$K,K2258)&gt;1,"DUPLICATE","OK")))</f>
        <v>OK</v>
      </c>
      <c r="K2258" s="6" t="str">
        <f aca="false">A2258&amp;"|"&amp;B2258&amp;"|"&amp;C2258&amp;"|"&amp;D2258</f>
        <v>4|3|Merita|spotify:track:5JRgVMONxTRjC1g1d0XsvX</v>
      </c>
    </row>
    <row r="2259" customFormat="false" ht="15" hidden="false" customHeight="false" outlineLevel="0" collapsed="false">
      <c r="A2259" s="5" t="n">
        <v>4</v>
      </c>
      <c r="B2259" s="5" t="n">
        <v>3</v>
      </c>
      <c r="C2259" s="5" t="s">
        <v>101</v>
      </c>
      <c r="D2259" s="5" t="s">
        <v>1108</v>
      </c>
      <c r="E2259" s="5" t="n">
        <v>1</v>
      </c>
      <c r="F2259" s="6" t="n">
        <f aca="false">IFERROR(MATCH(A2259&amp;"|"&amp;B2259&amp;"|"&amp;D2259,'All Song Rankings'!$T:$T,0),0)</f>
        <v>341</v>
      </c>
      <c r="G2259" s="6" t="str">
        <f aca="false">IF(F2259=0,"NOT FOUND",INDEX('All Song Rankings'!$A:$A,F2259))</f>
        <v>Wait for It</v>
      </c>
      <c r="H2259" s="6" t="str">
        <f aca="false">IF(F2259=0,"NOT FOUND",INDEX('All Song Rankings'!$B:$B,F2259))</f>
        <v>Leslie Odom Jr., Original Broadway Cast of Hamilton</v>
      </c>
      <c r="I2259" s="6" t="str">
        <f aca="false">IF(F2259=0,"NOT FOUND",INDEX('All Song Rankings'!$D:$D,F2259))</f>
        <v>Kristen</v>
      </c>
      <c r="J2259" s="7" t="str">
        <f aca="false">IF(F2259=0,"NOT FOUND",IF(C2259=I2259,"SELF-VOTE",IF(COUNTIF($K:$K,K2259)&gt;1,"DUPLICATE","OK")))</f>
        <v>OK</v>
      </c>
      <c r="K2259" s="6" t="str">
        <f aca="false">A2259&amp;"|"&amp;B2259&amp;"|"&amp;C2259&amp;"|"&amp;D2259</f>
        <v>4|3|Merita|spotify:track:7EqpEBPOohgk7NnKvBGFWo</v>
      </c>
    </row>
    <row r="2260" customFormat="false" ht="15" hidden="false" customHeight="false" outlineLevel="0" collapsed="false">
      <c r="A2260" s="5" t="n">
        <v>4</v>
      </c>
      <c r="B2260" s="5" t="n">
        <v>3</v>
      </c>
      <c r="C2260" s="5" t="s">
        <v>101</v>
      </c>
      <c r="D2260" s="5" t="s">
        <v>1099</v>
      </c>
      <c r="E2260" s="5" t="n">
        <v>2</v>
      </c>
      <c r="F2260" s="6" t="n">
        <f aca="false">IFERROR(MATCH(A2260&amp;"|"&amp;B2260&amp;"|"&amp;D2260,'All Song Rankings'!$T:$T,0),0)</f>
        <v>338</v>
      </c>
      <c r="G2260" s="6" t="str">
        <f aca="false">IF(F2260=0,"NOT FOUND",INDEX('All Song Rankings'!$A:$A,F2260))</f>
        <v>Cell Block Tango</v>
      </c>
      <c r="H2260" s="6" t="str">
        <f aca="false">IF(F2260=0,"NOT FOUND",INDEX('All Song Rankings'!$B:$B,F2260))</f>
        <v>Michael Berresse, Bebe Neuwirth, Ensemble - Broadway Cast of Chicago The Musical (1997)</v>
      </c>
      <c r="I2260" s="6" t="str">
        <f aca="false">IF(F2260=0,"NOT FOUND",INDEX('All Song Rankings'!$D:$D,F2260))</f>
        <v>Lisa</v>
      </c>
      <c r="J2260" s="7" t="str">
        <f aca="false">IF(F2260=0,"NOT FOUND",IF(C2260=I2260,"SELF-VOTE",IF(COUNTIF($K:$K,K2260)&gt;1,"DUPLICATE","OK")))</f>
        <v>OK</v>
      </c>
      <c r="K2260" s="6" t="str">
        <f aca="false">A2260&amp;"|"&amp;B2260&amp;"|"&amp;C2260&amp;"|"&amp;D2260</f>
        <v>4|3|Merita|spotify:track:7nCwN0SjXZmEsp1KJrsELD</v>
      </c>
    </row>
    <row r="2261" customFormat="false" ht="15" hidden="false" customHeight="false" outlineLevel="0" collapsed="false">
      <c r="A2261" s="5" t="n">
        <v>4</v>
      </c>
      <c r="B2261" s="5" t="n">
        <v>3</v>
      </c>
      <c r="C2261" s="5" t="s">
        <v>92</v>
      </c>
      <c r="D2261" s="5" t="s">
        <v>1138</v>
      </c>
      <c r="E2261" s="5" t="n">
        <v>2</v>
      </c>
      <c r="F2261" s="6" t="n">
        <f aca="false">IFERROR(MATCH(A2261&amp;"|"&amp;B2261&amp;"|"&amp;D2261,'All Song Rankings'!$T:$T,0),0)</f>
        <v>351</v>
      </c>
      <c r="G2261" s="6" t="str">
        <f aca="false">IF(F2261=0,"NOT FOUND",INDEX('All Song Rankings'!$A:$A,F2261))</f>
        <v>A Million Dreams</v>
      </c>
      <c r="H2261" s="6" t="str">
        <f aca="false">IF(F2261=0,"NOT FOUND",INDEX('All Song Rankings'!$B:$B,F2261))</f>
        <v>Ziv Zaifman, Hugh Jackman, Michelle Williams</v>
      </c>
      <c r="I2261" s="6" t="str">
        <f aca="false">IF(F2261=0,"NOT FOUND",INDEX('All Song Rankings'!$D:$D,F2261))</f>
        <v>Merita</v>
      </c>
      <c r="J2261" s="7" t="str">
        <f aca="false">IF(F2261=0,"NOT FOUND",IF(C2261=I2261,"SELF-VOTE",IF(COUNTIF($K:$K,K2261)&gt;1,"DUPLICATE","OK")))</f>
        <v>OK</v>
      </c>
      <c r="K2261" s="6" t="str">
        <f aca="false">A2261&amp;"|"&amp;B2261&amp;"|"&amp;C2261&amp;"|"&amp;D2261</f>
        <v>4|3|Nicole|spotify:track:0RoA7ObU6phWpqhlC9zH4Z</v>
      </c>
    </row>
    <row r="2262" customFormat="false" ht="15" hidden="false" customHeight="false" outlineLevel="0" collapsed="false">
      <c r="A2262" s="5" t="n">
        <v>4</v>
      </c>
      <c r="B2262" s="5" t="n">
        <v>3</v>
      </c>
      <c r="C2262" s="5" t="s">
        <v>92</v>
      </c>
      <c r="D2262" s="5" t="s">
        <v>1111</v>
      </c>
      <c r="E2262" s="5" t="n">
        <v>1</v>
      </c>
      <c r="F2262" s="6" t="n">
        <f aca="false">IFERROR(MATCH(A2262&amp;"|"&amp;B2262&amp;"|"&amp;D2262,'All Song Rankings'!$T:$T,0),0)</f>
        <v>342</v>
      </c>
      <c r="G2262" s="6" t="str">
        <f aca="false">IF(F2262=0,"NOT FOUND",INDEX('All Song Rankings'!$A:$A,F2262))</f>
        <v>The Phantom of the Opera</v>
      </c>
      <c r="H2262" s="6" t="str">
        <f aca="false">IF(F2262=0,"NOT FOUND",INDEX('All Song Rankings'!$B:$B,F2262))</f>
        <v>Andrew Lloyd Webber, Michael Crawford, Phantom Of The Opera Original London Cast, Sarah Brightman</v>
      </c>
      <c r="I2262" s="6" t="str">
        <f aca="false">IF(F2262=0,"NOT FOUND",INDEX('All Song Rankings'!$D:$D,F2262))</f>
        <v>Makenzie</v>
      </c>
      <c r="J2262" s="7" t="str">
        <f aca="false">IF(F2262=0,"NOT FOUND",IF(C2262=I2262,"SELF-VOTE",IF(COUNTIF($K:$K,K2262)&gt;1,"DUPLICATE","OK")))</f>
        <v>OK</v>
      </c>
      <c r="K2262" s="6" t="str">
        <f aca="false">A2262&amp;"|"&amp;B2262&amp;"|"&amp;C2262&amp;"|"&amp;D2262</f>
        <v>4|3|Nicole|spotify:track:3EBPGmqpZTMfOPQtUxfCXj</v>
      </c>
    </row>
    <row r="2263" customFormat="false" ht="15" hidden="false" customHeight="false" outlineLevel="0" collapsed="false">
      <c r="A2263" s="5" t="n">
        <v>4</v>
      </c>
      <c r="B2263" s="5" t="n">
        <v>3</v>
      </c>
      <c r="C2263" s="5" t="s">
        <v>92</v>
      </c>
      <c r="D2263" s="5" t="s">
        <v>1102</v>
      </c>
      <c r="E2263" s="5" t="n">
        <v>2</v>
      </c>
      <c r="F2263" s="6" t="n">
        <f aca="false">IFERROR(MATCH(A2263&amp;"|"&amp;B2263&amp;"|"&amp;D2263,'All Song Rankings'!$T:$T,0),0)</f>
        <v>339</v>
      </c>
      <c r="G2263" s="6" t="str">
        <f aca="false">IF(F2263=0,"NOT FOUND",INDEX('All Song Rankings'!$A:$A,F2263))</f>
        <v>The Greatest Show</v>
      </c>
      <c r="H2263" s="6" t="str">
        <f aca="false">IF(F2263=0,"NOT FOUND",INDEX('All Song Rankings'!$B:$B,F2263))</f>
        <v>Hugh Jackman, Keala Settle, Zac Efron, Zendaya, The Greatest Showman Ensemble</v>
      </c>
      <c r="I2263" s="6" t="str">
        <f aca="false">IF(F2263=0,"NOT FOUND",INDEX('All Song Rankings'!$D:$D,F2263))</f>
        <v>Leah</v>
      </c>
      <c r="J2263" s="7" t="str">
        <f aca="false">IF(F2263=0,"NOT FOUND",IF(C2263=I2263,"SELF-VOTE",IF(COUNTIF($K:$K,K2263)&gt;1,"DUPLICATE","OK")))</f>
        <v>OK</v>
      </c>
      <c r="K2263" s="6" t="str">
        <f aca="false">A2263&amp;"|"&amp;B2263&amp;"|"&amp;C2263&amp;"|"&amp;D2263</f>
        <v>4|3|Nicole|spotify:track:4ylWMuGbMXNDgDd8lErEle</v>
      </c>
    </row>
    <row r="2264" customFormat="false" ht="15" hidden="false" customHeight="false" outlineLevel="0" collapsed="false">
      <c r="A2264" s="5" t="n">
        <v>4</v>
      </c>
      <c r="B2264" s="5" t="n">
        <v>3</v>
      </c>
      <c r="C2264" s="5" t="s">
        <v>92</v>
      </c>
      <c r="D2264" s="5" t="s">
        <v>1117</v>
      </c>
      <c r="E2264" s="5" t="n">
        <v>1</v>
      </c>
      <c r="F2264" s="6" t="n">
        <f aca="false">IFERROR(MATCH(A2264&amp;"|"&amp;B2264&amp;"|"&amp;D2264,'All Song Rankings'!$T:$T,0),0)</f>
        <v>344</v>
      </c>
      <c r="G2264" s="6" t="str">
        <f aca="false">IF(F2264=0,"NOT FOUND",INDEX('All Song Rankings'!$A:$A,F2264))</f>
        <v>Elephant Love Medley</v>
      </c>
      <c r="H2264" s="6" t="str">
        <f aca="false">IF(F2264=0,"NOT FOUND",INDEX('All Song Rankings'!$B:$B,F2264))</f>
        <v>Aaron Tveit, Karen Olivo, Original Broadway Cast of Moulin Rouge! The Musical</v>
      </c>
      <c r="I2264" s="6" t="str">
        <f aca="false">IF(F2264=0,"NOT FOUND",INDEX('All Song Rankings'!$D:$D,F2264))</f>
        <v>Colleen</v>
      </c>
      <c r="J2264" s="7" t="str">
        <f aca="false">IF(F2264=0,"NOT FOUND",IF(C2264=I2264,"SELF-VOTE",IF(COUNTIF($K:$K,K2264)&gt;1,"DUPLICATE","OK")))</f>
        <v>OK</v>
      </c>
      <c r="K2264" s="6" t="str">
        <f aca="false">A2264&amp;"|"&amp;B2264&amp;"|"&amp;C2264&amp;"|"&amp;D2264</f>
        <v>4|3|Nicole|spotify:track:5JRgVMONxTRjC1g1d0XsvX</v>
      </c>
    </row>
    <row r="2265" customFormat="false" ht="15" hidden="false" customHeight="false" outlineLevel="0" collapsed="false">
      <c r="A2265" s="5" t="n">
        <v>4</v>
      </c>
      <c r="B2265" s="5" t="n">
        <v>3</v>
      </c>
      <c r="C2265" s="5" t="s">
        <v>92</v>
      </c>
      <c r="D2265" s="5" t="s">
        <v>1135</v>
      </c>
      <c r="E2265" s="5" t="n">
        <v>1</v>
      </c>
      <c r="F2265" s="6" t="n">
        <f aca="false">IFERROR(MATCH(A2265&amp;"|"&amp;B2265&amp;"|"&amp;D2265,'All Song Rankings'!$T:$T,0),0)</f>
        <v>350</v>
      </c>
      <c r="G2265" s="6" t="str">
        <f aca="false">IF(F2265=0,"NOT FOUND",INDEX('All Song Rankings'!$A:$A,F2265))</f>
        <v>What Is This Feeling?</v>
      </c>
      <c r="H2265" s="6" t="str">
        <f aca="false">IF(F2265=0,"NOT FOUND",INDEX('All Song Rankings'!$B:$B,F2265))</f>
        <v>Ariana Grande, Cynthia Erivo</v>
      </c>
      <c r="I2265" s="6" t="str">
        <f aca="false">IF(F2265=0,"NOT FOUND",INDEX('All Song Rankings'!$D:$D,F2265))</f>
        <v>Grace</v>
      </c>
      <c r="J2265" s="7" t="str">
        <f aca="false">IF(F2265=0,"NOT FOUND",IF(C2265=I2265,"SELF-VOTE",IF(COUNTIF($K:$K,K2265)&gt;1,"DUPLICATE","OK")))</f>
        <v>OK</v>
      </c>
      <c r="K2265" s="6" t="str">
        <f aca="false">A2265&amp;"|"&amp;B2265&amp;"|"&amp;C2265&amp;"|"&amp;D2265</f>
        <v>4|3|Nicole|spotify:track:7eGuPhpdS8sBjPJNuAShUX</v>
      </c>
    </row>
    <row r="2266" customFormat="false" ht="15" hidden="false" customHeight="false" outlineLevel="0" collapsed="false">
      <c r="A2266" s="5" t="n">
        <v>4</v>
      </c>
      <c r="B2266" s="5" t="n">
        <v>3</v>
      </c>
      <c r="C2266" s="5" t="s">
        <v>92</v>
      </c>
      <c r="D2266" s="5" t="s">
        <v>1126</v>
      </c>
      <c r="E2266" s="5" t="n">
        <v>1</v>
      </c>
      <c r="F2266" s="6" t="n">
        <f aca="false">IFERROR(MATCH(A2266&amp;"|"&amp;B2266&amp;"|"&amp;D2266,'All Song Rankings'!$T:$T,0),0)</f>
        <v>347</v>
      </c>
      <c r="G2266" s="6" t="str">
        <f aca="false">IF(F2266=0,"NOT FOUND",INDEX('All Song Rankings'!$A:$A,F2266))</f>
        <v>You Can't Stop The Beat</v>
      </c>
      <c r="H2266" s="6" t="str">
        <f aca="false">IF(F2266=0,"NOT FOUND",INDEX('All Song Rankings'!$B:$B,F2266))</f>
        <v>Elijah Kelley, John Travolta, Queen Latifah, Nikki Blonsky, Zac Efron, Amanda Bynes, Motion Picture Cast of Hairspray</v>
      </c>
      <c r="I2266" s="6" t="str">
        <f aca="false">IF(F2266=0,"NOT FOUND",INDEX('All Song Rankings'!$D:$D,F2266))</f>
        <v>Stephanie</v>
      </c>
      <c r="J2266" s="7" t="str">
        <f aca="false">IF(F2266=0,"NOT FOUND",IF(C2266=I2266,"SELF-VOTE",IF(COUNTIF($K:$K,K2266)&gt;1,"DUPLICATE","OK")))</f>
        <v>OK</v>
      </c>
      <c r="K2266" s="6" t="str">
        <f aca="false">A2266&amp;"|"&amp;B2266&amp;"|"&amp;C2266&amp;"|"&amp;D2266</f>
        <v>4|3|Nicole|spotify:track:7goE6wDBvkZoeWrFm0EdCg</v>
      </c>
    </row>
    <row r="2267" customFormat="false" ht="15" hidden="false" customHeight="false" outlineLevel="0" collapsed="false">
      <c r="A2267" s="5" t="n">
        <v>4</v>
      </c>
      <c r="B2267" s="5" t="n">
        <v>3</v>
      </c>
      <c r="C2267" s="5" t="s">
        <v>92</v>
      </c>
      <c r="D2267" s="5" t="s">
        <v>1105</v>
      </c>
      <c r="E2267" s="5" t="n">
        <v>1</v>
      </c>
      <c r="F2267" s="6" t="n">
        <f aca="false">IFERROR(MATCH(A2267&amp;"|"&amp;B2267&amp;"|"&amp;D2267,'All Song Rankings'!$T:$T,0),0)</f>
        <v>340</v>
      </c>
      <c r="G2267" s="6" t="str">
        <f aca="false">IF(F2267=0,"NOT FOUND",INDEX('All Song Rankings'!$A:$A,F2267))</f>
        <v>Past is Catching Up to Me</v>
      </c>
      <c r="H2267" s="6" t="str">
        <f aca="false">IF(F2267=0,"NOT FOUND",INDEX('All Song Rankings'!$B:$B,F2267))</f>
        <v>Jeremy Jordan, Original Broadway Cast of The Great Gatsby - A New Musical</v>
      </c>
      <c r="I2267" s="6" t="str">
        <f aca="false">IF(F2267=0,"NOT FOUND",INDEX('All Song Rankings'!$D:$D,F2267))</f>
        <v>Kelsey</v>
      </c>
      <c r="J2267" s="7" t="str">
        <f aca="false">IF(F2267=0,"NOT FOUND",IF(C2267=I2267,"SELF-VOTE",IF(COUNTIF($K:$K,K2267)&gt;1,"DUPLICATE","OK")))</f>
        <v>OK</v>
      </c>
      <c r="K2267" s="6" t="str">
        <f aca="false">A2267&amp;"|"&amp;B2267&amp;"|"&amp;C2267&amp;"|"&amp;D2267</f>
        <v>4|3|Nicole|spotify:track:7l6hD7JPcp4MTqcqpRPpsx</v>
      </c>
    </row>
    <row r="2268" customFormat="false" ht="15" hidden="false" customHeight="false" outlineLevel="0" collapsed="false">
      <c r="A2268" s="5" t="n">
        <v>4</v>
      </c>
      <c r="B2268" s="5" t="n">
        <v>3</v>
      </c>
      <c r="C2268" s="5" t="s">
        <v>92</v>
      </c>
      <c r="D2268" s="5" t="s">
        <v>1099</v>
      </c>
      <c r="E2268" s="5" t="n">
        <v>1</v>
      </c>
      <c r="F2268" s="6" t="n">
        <f aca="false">IFERROR(MATCH(A2268&amp;"|"&amp;B2268&amp;"|"&amp;D2268,'All Song Rankings'!$T:$T,0),0)</f>
        <v>338</v>
      </c>
      <c r="G2268" s="6" t="str">
        <f aca="false">IF(F2268=0,"NOT FOUND",INDEX('All Song Rankings'!$A:$A,F2268))</f>
        <v>Cell Block Tango</v>
      </c>
      <c r="H2268" s="6" t="str">
        <f aca="false">IF(F2268=0,"NOT FOUND",INDEX('All Song Rankings'!$B:$B,F2268))</f>
        <v>Michael Berresse, Bebe Neuwirth, Ensemble - Broadway Cast of Chicago The Musical (1997)</v>
      </c>
      <c r="I2268" s="6" t="str">
        <f aca="false">IF(F2268=0,"NOT FOUND",INDEX('All Song Rankings'!$D:$D,F2268))</f>
        <v>Lisa</v>
      </c>
      <c r="J2268" s="7" t="str">
        <f aca="false">IF(F2268=0,"NOT FOUND",IF(C2268=I2268,"SELF-VOTE",IF(COUNTIF($K:$K,K2268)&gt;1,"DUPLICATE","OK")))</f>
        <v>OK</v>
      </c>
      <c r="K2268" s="6" t="str">
        <f aca="false">A2268&amp;"|"&amp;B2268&amp;"|"&amp;C2268&amp;"|"&amp;D2268</f>
        <v>4|3|Nicole|spotify:track:7nCwN0SjXZmEsp1KJrsELD</v>
      </c>
    </row>
    <row r="2269" customFormat="false" ht="15" hidden="false" customHeight="false" outlineLevel="0" collapsed="false">
      <c r="A2269" s="5" t="n">
        <v>4</v>
      </c>
      <c r="B2269" s="5" t="n">
        <v>3</v>
      </c>
      <c r="C2269" s="5" t="s">
        <v>484</v>
      </c>
      <c r="D2269" s="5" t="s">
        <v>1120</v>
      </c>
      <c r="E2269" s="5" t="n">
        <v>2</v>
      </c>
      <c r="F2269" s="6" t="n">
        <f aca="false">IFERROR(MATCH(A2269&amp;"|"&amp;B2269&amp;"|"&amp;D2269,'All Song Rankings'!$T:$T,0),0)</f>
        <v>345</v>
      </c>
      <c r="G2269" s="6" t="str">
        <f aca="false">IF(F2269=0,"NOT FOUND",INDEX('All Song Rankings'!$A:$A,F2269))</f>
        <v>I'm Here</v>
      </c>
      <c r="H2269" s="6" t="str">
        <f aca="false">IF(F2269=0,"NOT FOUND",INDEX('All Song Rankings'!$B:$B,F2269))</f>
        <v>Cynthia Erivo</v>
      </c>
      <c r="I2269" s="6" t="str">
        <f aca="false">IF(F2269=0,"NOT FOUND",INDEX('All Song Rankings'!$D:$D,F2269))</f>
        <v>Logan</v>
      </c>
      <c r="J2269" s="7" t="str">
        <f aca="false">IF(F2269=0,"NOT FOUND",IF(C2269=I2269,"SELF-VOTE",IF(COUNTIF($K:$K,K2269)&gt;1,"DUPLICATE","OK")))</f>
        <v>OK</v>
      </c>
      <c r="K2269" s="6" t="str">
        <f aca="false">A2269&amp;"|"&amp;B2269&amp;"|"&amp;C2269&amp;"|"&amp;D2269</f>
        <v>4|3|Scott|spotify:track:1w2k1OOCSy3ez40D3TQs7L</v>
      </c>
    </row>
    <row r="2270" customFormat="false" ht="15" hidden="false" customHeight="false" outlineLevel="0" collapsed="false">
      <c r="A2270" s="5" t="n">
        <v>4</v>
      </c>
      <c r="B2270" s="5" t="n">
        <v>3</v>
      </c>
      <c r="C2270" s="5" t="s">
        <v>484</v>
      </c>
      <c r="D2270" s="5" t="s">
        <v>1111</v>
      </c>
      <c r="E2270" s="5" t="n">
        <v>1</v>
      </c>
      <c r="F2270" s="6" t="n">
        <f aca="false">IFERROR(MATCH(A2270&amp;"|"&amp;B2270&amp;"|"&amp;D2270,'All Song Rankings'!$T:$T,0),0)</f>
        <v>342</v>
      </c>
      <c r="G2270" s="6" t="str">
        <f aca="false">IF(F2270=0,"NOT FOUND",INDEX('All Song Rankings'!$A:$A,F2270))</f>
        <v>The Phantom of the Opera</v>
      </c>
      <c r="H2270" s="6" t="str">
        <f aca="false">IF(F2270=0,"NOT FOUND",INDEX('All Song Rankings'!$B:$B,F2270))</f>
        <v>Andrew Lloyd Webber, Michael Crawford, Phantom Of The Opera Original London Cast, Sarah Brightman</v>
      </c>
      <c r="I2270" s="6" t="str">
        <f aca="false">IF(F2270=0,"NOT FOUND",INDEX('All Song Rankings'!$D:$D,F2270))</f>
        <v>Makenzie</v>
      </c>
      <c r="J2270" s="7" t="str">
        <f aca="false">IF(F2270=0,"NOT FOUND",IF(C2270=I2270,"SELF-VOTE",IF(COUNTIF($K:$K,K2270)&gt;1,"DUPLICATE","OK")))</f>
        <v>OK</v>
      </c>
      <c r="K2270" s="6" t="str">
        <f aca="false">A2270&amp;"|"&amp;B2270&amp;"|"&amp;C2270&amp;"|"&amp;D2270</f>
        <v>4|3|Scott|spotify:track:3EBPGmqpZTMfOPQtUxfCXj</v>
      </c>
    </row>
    <row r="2271" customFormat="false" ht="15" hidden="false" customHeight="false" outlineLevel="0" collapsed="false">
      <c r="A2271" s="5" t="n">
        <v>4</v>
      </c>
      <c r="B2271" s="5" t="n">
        <v>3</v>
      </c>
      <c r="C2271" s="5" t="s">
        <v>484</v>
      </c>
      <c r="D2271" s="5" t="s">
        <v>1102</v>
      </c>
      <c r="E2271" s="5" t="n">
        <v>1</v>
      </c>
      <c r="F2271" s="6" t="n">
        <f aca="false">IFERROR(MATCH(A2271&amp;"|"&amp;B2271&amp;"|"&amp;D2271,'All Song Rankings'!$T:$T,0),0)</f>
        <v>339</v>
      </c>
      <c r="G2271" s="6" t="str">
        <f aca="false">IF(F2271=0,"NOT FOUND",INDEX('All Song Rankings'!$A:$A,F2271))</f>
        <v>The Greatest Show</v>
      </c>
      <c r="H2271" s="6" t="str">
        <f aca="false">IF(F2271=0,"NOT FOUND",INDEX('All Song Rankings'!$B:$B,F2271))</f>
        <v>Hugh Jackman, Keala Settle, Zac Efron, Zendaya, The Greatest Showman Ensemble</v>
      </c>
      <c r="I2271" s="6" t="str">
        <f aca="false">IF(F2271=0,"NOT FOUND",INDEX('All Song Rankings'!$D:$D,F2271))</f>
        <v>Leah</v>
      </c>
      <c r="J2271" s="7" t="str">
        <f aca="false">IF(F2271=0,"NOT FOUND",IF(C2271=I2271,"SELF-VOTE",IF(COUNTIF($K:$K,K2271)&gt;1,"DUPLICATE","OK")))</f>
        <v>OK</v>
      </c>
      <c r="K2271" s="6" t="str">
        <f aca="false">A2271&amp;"|"&amp;B2271&amp;"|"&amp;C2271&amp;"|"&amp;D2271</f>
        <v>4|3|Scott|spotify:track:4ylWMuGbMXNDgDd8lErEle</v>
      </c>
    </row>
    <row r="2272" customFormat="false" ht="15" hidden="false" customHeight="false" outlineLevel="0" collapsed="false">
      <c r="A2272" s="5" t="n">
        <v>4</v>
      </c>
      <c r="B2272" s="5" t="n">
        <v>3</v>
      </c>
      <c r="C2272" s="5" t="s">
        <v>484</v>
      </c>
      <c r="D2272" s="5" t="s">
        <v>1132</v>
      </c>
      <c r="E2272" s="5" t="n">
        <v>1</v>
      </c>
      <c r="F2272" s="6" t="n">
        <f aca="false">IFERROR(MATCH(A2272&amp;"|"&amp;B2272&amp;"|"&amp;D2272,'All Song Rankings'!$T:$T,0),0)</f>
        <v>349</v>
      </c>
      <c r="G2272" s="6" t="str">
        <f aca="false">IF(F2272=0,"NOT FOUND",INDEX('All Song Rankings'!$A:$A,F2272))</f>
        <v>Road to Hell</v>
      </c>
      <c r="H2272" s="6" t="str">
        <f aca="false">IF(F2272=0,"NOT FOUND",INDEX('All Song Rankings'!$B:$B,F2272))</f>
        <v>André De Shields, Hadestown Original Broadway Company, Anaïs Mitchell</v>
      </c>
      <c r="I2272" s="6" t="str">
        <f aca="false">IF(F2272=0,"NOT FOUND",INDEX('All Song Rankings'!$D:$D,F2272))</f>
        <v>Matt</v>
      </c>
      <c r="J2272" s="7" t="str">
        <f aca="false">IF(F2272=0,"NOT FOUND",IF(C2272=I2272,"SELF-VOTE",IF(COUNTIF($K:$K,K2272)&gt;1,"DUPLICATE","OK")))</f>
        <v>OK</v>
      </c>
      <c r="K2272" s="6" t="str">
        <f aca="false">A2272&amp;"|"&amp;B2272&amp;"|"&amp;C2272&amp;"|"&amp;D2272</f>
        <v>4|3|Scott|spotify:track:5S6O5UYDS2dxVTY7JSF9xy</v>
      </c>
    </row>
    <row r="2273" customFormat="false" ht="15" hidden="false" customHeight="false" outlineLevel="0" collapsed="false">
      <c r="A2273" s="5" t="n">
        <v>4</v>
      </c>
      <c r="B2273" s="5" t="n">
        <v>3</v>
      </c>
      <c r="C2273" s="5" t="s">
        <v>484</v>
      </c>
      <c r="D2273" s="5" t="s">
        <v>1126</v>
      </c>
      <c r="E2273" s="5" t="n">
        <v>1</v>
      </c>
      <c r="F2273" s="6" t="n">
        <f aca="false">IFERROR(MATCH(A2273&amp;"|"&amp;B2273&amp;"|"&amp;D2273,'All Song Rankings'!$T:$T,0),0)</f>
        <v>347</v>
      </c>
      <c r="G2273" s="6" t="str">
        <f aca="false">IF(F2273=0,"NOT FOUND",INDEX('All Song Rankings'!$A:$A,F2273))</f>
        <v>You Can't Stop The Beat</v>
      </c>
      <c r="H2273" s="6" t="str">
        <f aca="false">IF(F2273=0,"NOT FOUND",INDEX('All Song Rankings'!$B:$B,F2273))</f>
        <v>Elijah Kelley, John Travolta, Queen Latifah, Nikki Blonsky, Zac Efron, Amanda Bynes, Motion Picture Cast of Hairspray</v>
      </c>
      <c r="I2273" s="6" t="str">
        <f aca="false">IF(F2273=0,"NOT FOUND",INDEX('All Song Rankings'!$D:$D,F2273))</f>
        <v>Stephanie</v>
      </c>
      <c r="J2273" s="7" t="str">
        <f aca="false">IF(F2273=0,"NOT FOUND",IF(C2273=I2273,"SELF-VOTE",IF(COUNTIF($K:$K,K2273)&gt;1,"DUPLICATE","OK")))</f>
        <v>OK</v>
      </c>
      <c r="K2273" s="6" t="str">
        <f aca="false">A2273&amp;"|"&amp;B2273&amp;"|"&amp;C2273&amp;"|"&amp;D2273</f>
        <v>4|3|Scott|spotify:track:7goE6wDBvkZoeWrFm0EdCg</v>
      </c>
    </row>
    <row r="2274" customFormat="false" ht="15" hidden="false" customHeight="false" outlineLevel="0" collapsed="false">
      <c r="A2274" s="5" t="n">
        <v>4</v>
      </c>
      <c r="B2274" s="5" t="n">
        <v>3</v>
      </c>
      <c r="C2274" s="5" t="s">
        <v>484</v>
      </c>
      <c r="D2274" s="5" t="s">
        <v>1105</v>
      </c>
      <c r="E2274" s="5" t="n">
        <v>2</v>
      </c>
      <c r="F2274" s="6" t="n">
        <f aca="false">IFERROR(MATCH(A2274&amp;"|"&amp;B2274&amp;"|"&amp;D2274,'All Song Rankings'!$T:$T,0),0)</f>
        <v>340</v>
      </c>
      <c r="G2274" s="6" t="str">
        <f aca="false">IF(F2274=0,"NOT FOUND",INDEX('All Song Rankings'!$A:$A,F2274))</f>
        <v>Past is Catching Up to Me</v>
      </c>
      <c r="H2274" s="6" t="str">
        <f aca="false">IF(F2274=0,"NOT FOUND",INDEX('All Song Rankings'!$B:$B,F2274))</f>
        <v>Jeremy Jordan, Original Broadway Cast of The Great Gatsby - A New Musical</v>
      </c>
      <c r="I2274" s="6" t="str">
        <f aca="false">IF(F2274=0,"NOT FOUND",INDEX('All Song Rankings'!$D:$D,F2274))</f>
        <v>Kelsey</v>
      </c>
      <c r="J2274" s="7" t="str">
        <f aca="false">IF(F2274=0,"NOT FOUND",IF(C2274=I2274,"SELF-VOTE",IF(COUNTIF($K:$K,K2274)&gt;1,"DUPLICATE","OK")))</f>
        <v>OK</v>
      </c>
      <c r="K2274" s="6" t="str">
        <f aca="false">A2274&amp;"|"&amp;B2274&amp;"|"&amp;C2274&amp;"|"&amp;D2274</f>
        <v>4|3|Scott|spotify:track:7l6hD7JPcp4MTqcqpRPpsx</v>
      </c>
    </row>
    <row r="2275" customFormat="false" ht="15" hidden="false" customHeight="false" outlineLevel="0" collapsed="false">
      <c r="A2275" s="5" t="n">
        <v>4</v>
      </c>
      <c r="B2275" s="5" t="n">
        <v>3</v>
      </c>
      <c r="C2275" s="5" t="s">
        <v>484</v>
      </c>
      <c r="D2275" s="5" t="s">
        <v>1099</v>
      </c>
      <c r="E2275" s="5" t="n">
        <v>2</v>
      </c>
      <c r="F2275" s="6" t="n">
        <f aca="false">IFERROR(MATCH(A2275&amp;"|"&amp;B2275&amp;"|"&amp;D2275,'All Song Rankings'!$T:$T,0),0)</f>
        <v>338</v>
      </c>
      <c r="G2275" s="6" t="str">
        <f aca="false">IF(F2275=0,"NOT FOUND",INDEX('All Song Rankings'!$A:$A,F2275))</f>
        <v>Cell Block Tango</v>
      </c>
      <c r="H2275" s="6" t="str">
        <f aca="false">IF(F2275=0,"NOT FOUND",INDEX('All Song Rankings'!$B:$B,F2275))</f>
        <v>Michael Berresse, Bebe Neuwirth, Ensemble - Broadway Cast of Chicago The Musical (1997)</v>
      </c>
      <c r="I2275" s="6" t="str">
        <f aca="false">IF(F2275=0,"NOT FOUND",INDEX('All Song Rankings'!$D:$D,F2275))</f>
        <v>Lisa</v>
      </c>
      <c r="J2275" s="7" t="str">
        <f aca="false">IF(F2275=0,"NOT FOUND",IF(C2275=I2275,"SELF-VOTE",IF(COUNTIF($K:$K,K2275)&gt;1,"DUPLICATE","OK")))</f>
        <v>OK</v>
      </c>
      <c r="K2275" s="6" t="str">
        <f aca="false">A2275&amp;"|"&amp;B2275&amp;"|"&amp;C2275&amp;"|"&amp;D2275</f>
        <v>4|3|Scott|spotify:track:7nCwN0SjXZmEsp1KJrsELD</v>
      </c>
    </row>
    <row r="2276" customFormat="false" ht="15" hidden="false" customHeight="false" outlineLevel="0" collapsed="false">
      <c r="A2276" s="5" t="n">
        <v>4</v>
      </c>
      <c r="B2276" s="5" t="n">
        <v>3</v>
      </c>
      <c r="C2276" s="5" t="s">
        <v>97</v>
      </c>
      <c r="D2276" s="5" t="s">
        <v>1123</v>
      </c>
      <c r="E2276" s="5" t="n">
        <v>1</v>
      </c>
      <c r="F2276" s="6" t="n">
        <f aca="false">IFERROR(MATCH(A2276&amp;"|"&amp;B2276&amp;"|"&amp;D2276,'All Song Rankings'!$T:$T,0),0)</f>
        <v>346</v>
      </c>
      <c r="G2276" s="6" t="str">
        <f aca="false">IF(F2276=0,"NOT FOUND",INDEX('All Song Rankings'!$A:$A,F2276))</f>
        <v>Let It Go - From "Frozen"/Soundtrack Version</v>
      </c>
      <c r="H2276" s="6" t="str">
        <f aca="false">IF(F2276=0,"NOT FOUND",INDEX('All Song Rankings'!$B:$B,F2276))</f>
        <v>Idina Menzel</v>
      </c>
      <c r="I2276" s="6" t="str">
        <f aca="false">IF(F2276=0,"NOT FOUND",INDEX('All Song Rankings'!$D:$D,F2276))</f>
        <v>Nicole</v>
      </c>
      <c r="J2276" s="7" t="str">
        <f aca="false">IF(F2276=0,"NOT FOUND",IF(C2276=I2276,"SELF-VOTE",IF(COUNTIF($K:$K,K2276)&gt;1,"DUPLICATE","OK")))</f>
        <v>OK</v>
      </c>
      <c r="K2276" s="6" t="str">
        <f aca="false">A2276&amp;"|"&amp;B2276&amp;"|"&amp;C2276&amp;"|"&amp;D2276</f>
        <v>4|3|Stephanie|spotify:track:0qcr5FMsEO85NAQjrlDRKo</v>
      </c>
    </row>
    <row r="2277" customFormat="false" ht="15" hidden="false" customHeight="false" outlineLevel="0" collapsed="false">
      <c r="A2277" s="5" t="n">
        <v>4</v>
      </c>
      <c r="B2277" s="5" t="n">
        <v>3</v>
      </c>
      <c r="C2277" s="5" t="s">
        <v>97</v>
      </c>
      <c r="D2277" s="5" t="s">
        <v>1120</v>
      </c>
      <c r="E2277" s="5" t="n">
        <v>2</v>
      </c>
      <c r="F2277" s="6" t="n">
        <f aca="false">IFERROR(MATCH(A2277&amp;"|"&amp;B2277&amp;"|"&amp;D2277,'All Song Rankings'!$T:$T,0),0)</f>
        <v>345</v>
      </c>
      <c r="G2277" s="6" t="str">
        <f aca="false">IF(F2277=0,"NOT FOUND",INDEX('All Song Rankings'!$A:$A,F2277))</f>
        <v>I'm Here</v>
      </c>
      <c r="H2277" s="6" t="str">
        <f aca="false">IF(F2277=0,"NOT FOUND",INDEX('All Song Rankings'!$B:$B,F2277))</f>
        <v>Cynthia Erivo</v>
      </c>
      <c r="I2277" s="6" t="str">
        <f aca="false">IF(F2277=0,"NOT FOUND",INDEX('All Song Rankings'!$D:$D,F2277))</f>
        <v>Logan</v>
      </c>
      <c r="J2277" s="7" t="str">
        <f aca="false">IF(F2277=0,"NOT FOUND",IF(C2277=I2277,"SELF-VOTE",IF(COUNTIF($K:$K,K2277)&gt;1,"DUPLICATE","OK")))</f>
        <v>OK</v>
      </c>
      <c r="K2277" s="6" t="str">
        <f aca="false">A2277&amp;"|"&amp;B2277&amp;"|"&amp;C2277&amp;"|"&amp;D2277</f>
        <v>4|3|Stephanie|spotify:track:1w2k1OOCSy3ez40D3TQs7L</v>
      </c>
    </row>
    <row r="2278" customFormat="false" ht="15" hidden="false" customHeight="false" outlineLevel="0" collapsed="false">
      <c r="A2278" s="5" t="n">
        <v>4</v>
      </c>
      <c r="B2278" s="5" t="n">
        <v>3</v>
      </c>
      <c r="C2278" s="5" t="s">
        <v>97</v>
      </c>
      <c r="D2278" s="5" t="s">
        <v>1111</v>
      </c>
      <c r="E2278" s="5" t="n">
        <v>2</v>
      </c>
      <c r="F2278" s="6" t="n">
        <f aca="false">IFERROR(MATCH(A2278&amp;"|"&amp;B2278&amp;"|"&amp;D2278,'All Song Rankings'!$T:$T,0),0)</f>
        <v>342</v>
      </c>
      <c r="G2278" s="6" t="str">
        <f aca="false">IF(F2278=0,"NOT FOUND",INDEX('All Song Rankings'!$A:$A,F2278))</f>
        <v>The Phantom of the Opera</v>
      </c>
      <c r="H2278" s="6" t="str">
        <f aca="false">IF(F2278=0,"NOT FOUND",INDEX('All Song Rankings'!$B:$B,F2278))</f>
        <v>Andrew Lloyd Webber, Michael Crawford, Phantom Of The Opera Original London Cast, Sarah Brightman</v>
      </c>
      <c r="I2278" s="6" t="str">
        <f aca="false">IF(F2278=0,"NOT FOUND",INDEX('All Song Rankings'!$D:$D,F2278))</f>
        <v>Makenzie</v>
      </c>
      <c r="J2278" s="7" t="str">
        <f aca="false">IF(F2278=0,"NOT FOUND",IF(C2278=I2278,"SELF-VOTE",IF(COUNTIF($K:$K,K2278)&gt;1,"DUPLICATE","OK")))</f>
        <v>OK</v>
      </c>
      <c r="K2278" s="6" t="str">
        <f aca="false">A2278&amp;"|"&amp;B2278&amp;"|"&amp;C2278&amp;"|"&amp;D2278</f>
        <v>4|3|Stephanie|spotify:track:3EBPGmqpZTMfOPQtUxfCXj</v>
      </c>
    </row>
    <row r="2279" customFormat="false" ht="15" hidden="false" customHeight="false" outlineLevel="0" collapsed="false">
      <c r="A2279" s="5" t="n">
        <v>4</v>
      </c>
      <c r="B2279" s="5" t="n">
        <v>3</v>
      </c>
      <c r="C2279" s="5" t="s">
        <v>97</v>
      </c>
      <c r="D2279" s="5" t="s">
        <v>1114</v>
      </c>
      <c r="E2279" s="5" t="n">
        <v>1</v>
      </c>
      <c r="F2279" s="6" t="n">
        <f aca="false">IFERROR(MATCH(A2279&amp;"|"&amp;B2279&amp;"|"&amp;D2279,'All Song Rankings'!$T:$T,0),0)</f>
        <v>343</v>
      </c>
      <c r="G2279" s="6" t="str">
        <f aca="false">IF(F2279=0,"NOT FOUND",INDEX('All Song Rankings'!$A:$A,F2279))</f>
        <v>And I Am Telling You I'm Not Going - Original Broadway</v>
      </c>
      <c r="H2279" s="6" t="str">
        <f aca="false">IF(F2279=0,"NOT FOUND",INDEX('All Song Rankings'!$B:$B,F2279))</f>
        <v>Jennifer Holliday</v>
      </c>
      <c r="I2279" s="6" t="str">
        <f aca="false">IF(F2279=0,"NOT FOUND",INDEX('All Song Rankings'!$D:$D,F2279))</f>
        <v>Christine</v>
      </c>
      <c r="J2279" s="7" t="str">
        <f aca="false">IF(F2279=0,"NOT FOUND",IF(C2279=I2279,"SELF-VOTE",IF(COUNTIF($K:$K,K2279)&gt;1,"DUPLICATE","OK")))</f>
        <v>OK</v>
      </c>
      <c r="K2279" s="6" t="str">
        <f aca="false">A2279&amp;"|"&amp;B2279&amp;"|"&amp;C2279&amp;"|"&amp;D2279</f>
        <v>4|3|Stephanie|spotify:track:3ZPpFEandljtmTnz8D4trH</v>
      </c>
    </row>
    <row r="2280" customFormat="false" ht="15" hidden="false" customHeight="false" outlineLevel="0" collapsed="false">
      <c r="A2280" s="5" t="n">
        <v>4</v>
      </c>
      <c r="B2280" s="5" t="n">
        <v>3</v>
      </c>
      <c r="C2280" s="5" t="s">
        <v>97</v>
      </c>
      <c r="D2280" s="5" t="s">
        <v>1102</v>
      </c>
      <c r="E2280" s="5" t="n">
        <v>2</v>
      </c>
      <c r="F2280" s="6" t="n">
        <f aca="false">IFERROR(MATCH(A2280&amp;"|"&amp;B2280&amp;"|"&amp;D2280,'All Song Rankings'!$T:$T,0),0)</f>
        <v>339</v>
      </c>
      <c r="G2280" s="6" t="str">
        <f aca="false">IF(F2280=0,"NOT FOUND",INDEX('All Song Rankings'!$A:$A,F2280))</f>
        <v>The Greatest Show</v>
      </c>
      <c r="H2280" s="6" t="str">
        <f aca="false">IF(F2280=0,"NOT FOUND",INDEX('All Song Rankings'!$B:$B,F2280))</f>
        <v>Hugh Jackman, Keala Settle, Zac Efron, Zendaya, The Greatest Showman Ensemble</v>
      </c>
      <c r="I2280" s="6" t="str">
        <f aca="false">IF(F2280=0,"NOT FOUND",INDEX('All Song Rankings'!$D:$D,F2280))</f>
        <v>Leah</v>
      </c>
      <c r="J2280" s="7" t="str">
        <f aca="false">IF(F2280=0,"NOT FOUND",IF(C2280=I2280,"SELF-VOTE",IF(COUNTIF($K:$K,K2280)&gt;1,"DUPLICATE","OK")))</f>
        <v>OK</v>
      </c>
      <c r="K2280" s="6" t="str">
        <f aca="false">A2280&amp;"|"&amp;B2280&amp;"|"&amp;C2280&amp;"|"&amp;D2280</f>
        <v>4|3|Stephanie|spotify:track:4ylWMuGbMXNDgDd8lErEle</v>
      </c>
    </row>
    <row r="2281" customFormat="false" ht="15" hidden="false" customHeight="false" outlineLevel="0" collapsed="false">
      <c r="A2281" s="5" t="n">
        <v>4</v>
      </c>
      <c r="B2281" s="5" t="n">
        <v>3</v>
      </c>
      <c r="C2281" s="5" t="s">
        <v>97</v>
      </c>
      <c r="D2281" s="5" t="s">
        <v>1132</v>
      </c>
      <c r="E2281" s="5" t="n">
        <v>1</v>
      </c>
      <c r="F2281" s="6" t="n">
        <f aca="false">IFERROR(MATCH(A2281&amp;"|"&amp;B2281&amp;"|"&amp;D2281,'All Song Rankings'!$T:$T,0),0)</f>
        <v>349</v>
      </c>
      <c r="G2281" s="6" t="str">
        <f aca="false">IF(F2281=0,"NOT FOUND",INDEX('All Song Rankings'!$A:$A,F2281))</f>
        <v>Road to Hell</v>
      </c>
      <c r="H2281" s="6" t="str">
        <f aca="false">IF(F2281=0,"NOT FOUND",INDEX('All Song Rankings'!$B:$B,F2281))</f>
        <v>André De Shields, Hadestown Original Broadway Company, Anaïs Mitchell</v>
      </c>
      <c r="I2281" s="6" t="str">
        <f aca="false">IF(F2281=0,"NOT FOUND",INDEX('All Song Rankings'!$D:$D,F2281))</f>
        <v>Matt</v>
      </c>
      <c r="J2281" s="7" t="str">
        <f aca="false">IF(F2281=0,"NOT FOUND",IF(C2281=I2281,"SELF-VOTE",IF(COUNTIF($K:$K,K2281)&gt;1,"DUPLICATE","OK")))</f>
        <v>OK</v>
      </c>
      <c r="K2281" s="6" t="str">
        <f aca="false">A2281&amp;"|"&amp;B2281&amp;"|"&amp;C2281&amp;"|"&amp;D2281</f>
        <v>4|3|Stephanie|spotify:track:5S6O5UYDS2dxVTY7JSF9xy</v>
      </c>
    </row>
    <row r="2282" customFormat="false" ht="15" hidden="false" customHeight="false" outlineLevel="0" collapsed="false">
      <c r="A2282" s="5" t="n">
        <v>4</v>
      </c>
      <c r="B2282" s="5" t="n">
        <v>3</v>
      </c>
      <c r="C2282" s="5" t="s">
        <v>97</v>
      </c>
      <c r="D2282" s="5" t="s">
        <v>1108</v>
      </c>
      <c r="E2282" s="5" t="n">
        <v>1</v>
      </c>
      <c r="F2282" s="6" t="n">
        <f aca="false">IFERROR(MATCH(A2282&amp;"|"&amp;B2282&amp;"|"&amp;D2282,'All Song Rankings'!$T:$T,0),0)</f>
        <v>341</v>
      </c>
      <c r="G2282" s="6" t="str">
        <f aca="false">IF(F2282=0,"NOT FOUND",INDEX('All Song Rankings'!$A:$A,F2282))</f>
        <v>Wait for It</v>
      </c>
      <c r="H2282" s="6" t="str">
        <f aca="false">IF(F2282=0,"NOT FOUND",INDEX('All Song Rankings'!$B:$B,F2282))</f>
        <v>Leslie Odom Jr., Original Broadway Cast of Hamilton</v>
      </c>
      <c r="I2282" s="6" t="str">
        <f aca="false">IF(F2282=0,"NOT FOUND",INDEX('All Song Rankings'!$D:$D,F2282))</f>
        <v>Kristen</v>
      </c>
      <c r="J2282" s="7" t="str">
        <f aca="false">IF(F2282=0,"NOT FOUND",IF(C2282=I2282,"SELF-VOTE",IF(COUNTIF($K:$K,K2282)&gt;1,"DUPLICATE","OK")))</f>
        <v>OK</v>
      </c>
      <c r="K2282" s="6" t="str">
        <f aca="false">A2282&amp;"|"&amp;B2282&amp;"|"&amp;C2282&amp;"|"&amp;D2282</f>
        <v>4|3|Stephanie|spotify:track:7EqpEBPOohgk7NnKvBGFWo</v>
      </c>
    </row>
    <row r="2283" customFormat="false" ht="15" hidden="false" customHeight="false" outlineLevel="0" collapsed="false">
      <c r="A2283" s="5" t="n">
        <v>4</v>
      </c>
      <c r="B2283" s="5" t="n">
        <v>4</v>
      </c>
      <c r="C2283" s="5" t="s">
        <v>719</v>
      </c>
      <c r="D2283" s="5" t="s">
        <v>1168</v>
      </c>
      <c r="E2283" s="5" t="n">
        <v>1</v>
      </c>
      <c r="F2283" s="6" t="n">
        <f aca="false">IFERROR(MATCH(A2283&amp;"|"&amp;B2283&amp;"|"&amp;D2283,'All Song Rankings'!$T:$T,0),0)</f>
        <v>361</v>
      </c>
      <c r="G2283" s="6" t="str">
        <f aca="false">IF(F2283=0,"NOT FOUND",INDEX('All Song Rankings'!$A:$A,F2283))</f>
        <v>Mr. Brightside</v>
      </c>
      <c r="H2283" s="6" t="str">
        <f aca="false">IF(F2283=0,"NOT FOUND",INDEX('All Song Rankings'!$B:$B,F2283))</f>
        <v>The Killers</v>
      </c>
      <c r="I2283" s="6" t="str">
        <f aca="false">IF(F2283=0,"NOT FOUND",INDEX('All Song Rankings'!$D:$D,F2283))</f>
        <v>Nicole</v>
      </c>
      <c r="J2283" s="7" t="str">
        <f aca="false">IF(F2283=0,"NOT FOUND",IF(C2283=I2283,"SELF-VOTE",IF(COUNTIF($K:$K,K2283)&gt;1,"DUPLICATE","OK")))</f>
        <v>OK</v>
      </c>
      <c r="K2283" s="6" t="str">
        <f aca="false">A2283&amp;"|"&amp;B2283&amp;"|"&amp;C2283&amp;"|"&amp;D2283</f>
        <v>4|4|Christine|spotify:track:003vvx7Niy0yvhvHt4a68B</v>
      </c>
    </row>
    <row r="2284" customFormat="false" ht="15" hidden="false" customHeight="false" outlineLevel="0" collapsed="false">
      <c r="A2284" s="5" t="n">
        <v>4</v>
      </c>
      <c r="B2284" s="5" t="n">
        <v>4</v>
      </c>
      <c r="C2284" s="5" t="s">
        <v>719</v>
      </c>
      <c r="D2284" s="5" t="s">
        <v>1148</v>
      </c>
      <c r="E2284" s="5" t="n">
        <v>2</v>
      </c>
      <c r="F2284" s="6" t="n">
        <f aca="false">IFERROR(MATCH(A2284&amp;"|"&amp;B2284&amp;"|"&amp;D2284,'All Song Rankings'!$T:$T,0),0)</f>
        <v>354</v>
      </c>
      <c r="G2284" s="6" t="str">
        <f aca="false">IF(F2284=0,"NOT FOUND",INDEX('All Song Rankings'!$A:$A,F2284))</f>
        <v>Go Your Own Way</v>
      </c>
      <c r="H2284" s="6" t="str">
        <f aca="false">IF(F2284=0,"NOT FOUND",INDEX('All Song Rankings'!$B:$B,F2284))</f>
        <v>Fleetwood Mac</v>
      </c>
      <c r="I2284" s="6" t="str">
        <f aca="false">IF(F2284=0,"NOT FOUND",INDEX('All Song Rankings'!$D:$D,F2284))</f>
        <v>Kelsey</v>
      </c>
      <c r="J2284" s="7" t="str">
        <f aca="false">IF(F2284=0,"NOT FOUND",IF(C2284=I2284,"SELF-VOTE",IF(COUNTIF($K:$K,K2284)&gt;1,"DUPLICATE","OK")))</f>
        <v>OK</v>
      </c>
      <c r="K2284" s="6" t="str">
        <f aca="false">A2284&amp;"|"&amp;B2284&amp;"|"&amp;C2284&amp;"|"&amp;D2284</f>
        <v>4|4|Christine|spotify:track:15rjQH7nTcTomKwfVMd4xl</v>
      </c>
    </row>
    <row r="2285" customFormat="false" ht="15" hidden="false" customHeight="false" outlineLevel="0" collapsed="false">
      <c r="A2285" s="5" t="n">
        <v>4</v>
      </c>
      <c r="B2285" s="5" t="n">
        <v>4</v>
      </c>
      <c r="C2285" s="5" t="s">
        <v>719</v>
      </c>
      <c r="D2285" s="5" t="s">
        <v>1156</v>
      </c>
      <c r="E2285" s="5" t="n">
        <v>1</v>
      </c>
      <c r="F2285" s="6" t="n">
        <f aca="false">IFERROR(MATCH(A2285&amp;"|"&amp;B2285&amp;"|"&amp;D2285,'All Song Rankings'!$T:$T,0),0)</f>
        <v>357</v>
      </c>
      <c r="G2285" s="6" t="str">
        <f aca="false">IF(F2285=0,"NOT FOUND",INDEX('All Song Rankings'!$A:$A,F2285))</f>
        <v>Take Me Home, Country Roads - Original Version</v>
      </c>
      <c r="H2285" s="6" t="str">
        <f aca="false">IF(F2285=0,"NOT FOUND",INDEX('All Song Rankings'!$B:$B,F2285))</f>
        <v>John Denver</v>
      </c>
      <c r="I2285" s="6" t="str">
        <f aca="false">IF(F2285=0,"NOT FOUND",INDEX('All Song Rankings'!$D:$D,F2285))</f>
        <v>Stephanie</v>
      </c>
      <c r="J2285" s="7" t="str">
        <f aca="false">IF(F2285=0,"NOT FOUND",IF(C2285=I2285,"SELF-VOTE",IF(COUNTIF($K:$K,K2285)&gt;1,"DUPLICATE","OK")))</f>
        <v>OK</v>
      </c>
      <c r="K2285" s="6" t="str">
        <f aca="false">A2285&amp;"|"&amp;B2285&amp;"|"&amp;C2285&amp;"|"&amp;D2285</f>
        <v>4|4|Christine|spotify:track:1YYhDizHx7PnDhAhko6cDS</v>
      </c>
    </row>
    <row r="2286" customFormat="false" ht="15" hidden="false" customHeight="false" outlineLevel="0" collapsed="false">
      <c r="A2286" s="5" t="n">
        <v>4</v>
      </c>
      <c r="B2286" s="5" t="n">
        <v>4</v>
      </c>
      <c r="C2286" s="5" t="s">
        <v>719</v>
      </c>
      <c r="D2286" s="5" t="s">
        <v>1145</v>
      </c>
      <c r="E2286" s="5" t="n">
        <v>1</v>
      </c>
      <c r="F2286" s="6" t="n">
        <f aca="false">IFERROR(MATCH(A2286&amp;"|"&amp;B2286&amp;"|"&amp;D2286,'All Song Rankings'!$T:$T,0),0)</f>
        <v>353</v>
      </c>
      <c r="G2286" s="6" t="str">
        <f aca="false">IF(F2286=0,"NOT FOUND",INDEX('All Song Rankings'!$A:$A,F2286))</f>
        <v>Wild Heart</v>
      </c>
      <c r="H2286" s="6" t="str">
        <f aca="false">IF(F2286=0,"NOT FOUND",INDEX('All Song Rankings'!$B:$B,F2286))</f>
        <v>The Vamps</v>
      </c>
      <c r="I2286" s="6" t="str">
        <f aca="false">IF(F2286=0,"NOT FOUND",INDEX('All Song Rankings'!$D:$D,F2286))</f>
        <v>Merita</v>
      </c>
      <c r="J2286" s="7" t="str">
        <f aca="false">IF(F2286=0,"NOT FOUND",IF(C2286=I2286,"SELF-VOTE",IF(COUNTIF($K:$K,K2286)&gt;1,"DUPLICATE","OK")))</f>
        <v>OK</v>
      </c>
      <c r="K2286" s="6" t="str">
        <f aca="false">A2286&amp;"|"&amp;B2286&amp;"|"&amp;C2286&amp;"|"&amp;D2286</f>
        <v>4|4|Christine|spotify:track:2FTcOYcsSglWsS1zThQRh9</v>
      </c>
    </row>
    <row r="2287" customFormat="false" ht="15" hidden="false" customHeight="false" outlineLevel="0" collapsed="false">
      <c r="A2287" s="5" t="n">
        <v>4</v>
      </c>
      <c r="B2287" s="5" t="n">
        <v>4</v>
      </c>
      <c r="C2287" s="5" t="s">
        <v>719</v>
      </c>
      <c r="D2287" s="5" t="s">
        <v>1153</v>
      </c>
      <c r="E2287" s="5" t="n">
        <v>1</v>
      </c>
      <c r="F2287" s="6" t="n">
        <f aca="false">IFERROR(MATCH(A2287&amp;"|"&amp;B2287&amp;"|"&amp;D2287,'All Song Rankings'!$T:$T,0),0)</f>
        <v>356</v>
      </c>
      <c r="G2287" s="6" t="str">
        <f aca="false">IF(F2287=0,"NOT FOUND",INDEX('All Song Rankings'!$A:$A,F2287))</f>
        <v>Holiday Road - National Lampoon's Vacation</v>
      </c>
      <c r="H2287" s="6" t="str">
        <f aca="false">IF(F2287=0,"NOT FOUND",INDEX('All Song Rankings'!$B:$B,F2287))</f>
        <v>Lindsey Buckingham</v>
      </c>
      <c r="I2287" s="6" t="str">
        <f aca="false">IF(F2287=0,"NOT FOUND",INDEX('All Song Rankings'!$D:$D,F2287))</f>
        <v>Scott</v>
      </c>
      <c r="J2287" s="7" t="str">
        <f aca="false">IF(F2287=0,"NOT FOUND",IF(C2287=I2287,"SELF-VOTE",IF(COUNTIF($K:$K,K2287)&gt;1,"DUPLICATE","OK")))</f>
        <v>OK</v>
      </c>
      <c r="K2287" s="6" t="str">
        <f aca="false">A2287&amp;"|"&amp;B2287&amp;"|"&amp;C2287&amp;"|"&amp;D2287</f>
        <v>4|4|Christine|spotify:track:38i0QcGQ9hu8PMk4QObUTj</v>
      </c>
    </row>
    <row r="2288" customFormat="false" ht="15" hidden="false" customHeight="false" outlineLevel="0" collapsed="false">
      <c r="A2288" s="5" t="n">
        <v>4</v>
      </c>
      <c r="B2288" s="5" t="n">
        <v>4</v>
      </c>
      <c r="C2288" s="5" t="s">
        <v>719</v>
      </c>
      <c r="D2288" s="5" t="s">
        <v>1180</v>
      </c>
      <c r="E2288" s="5" t="n">
        <v>1</v>
      </c>
      <c r="F2288" s="6" t="n">
        <f aca="false">IFERROR(MATCH(A2288&amp;"|"&amp;B2288&amp;"|"&amp;D2288,'All Song Rankings'!$T:$T,0),0)</f>
        <v>365</v>
      </c>
      <c r="G2288" s="6" t="str">
        <f aca="false">IF(F2288=0,"NOT FOUND",INDEX('All Song Rankings'!$A:$A,F2288))</f>
        <v>The Boys Of Summer - Remastered 2024</v>
      </c>
      <c r="H2288" s="6" t="str">
        <f aca="false">IF(F2288=0,"NOT FOUND",INDEX('All Song Rankings'!$B:$B,F2288))</f>
        <v>Don Henley</v>
      </c>
      <c r="I2288" s="6" t="str">
        <f aca="false">IF(F2288=0,"NOT FOUND",INDEX('All Song Rankings'!$D:$D,F2288))</f>
        <v>Lisa</v>
      </c>
      <c r="J2288" s="7" t="str">
        <f aca="false">IF(F2288=0,"NOT FOUND",IF(C2288=I2288,"SELF-VOTE",IF(COUNTIF($K:$K,K2288)&gt;1,"DUPLICATE","OK")))</f>
        <v>OK</v>
      </c>
      <c r="K2288" s="6" t="str">
        <f aca="false">A2288&amp;"|"&amp;B2288&amp;"|"&amp;C2288&amp;"|"&amp;D2288</f>
        <v>4|4|Christine|spotify:track:4Q3ERWBrb4lhDvAPyANjY5</v>
      </c>
    </row>
    <row r="2289" customFormat="false" ht="15" hidden="false" customHeight="false" outlineLevel="0" collapsed="false">
      <c r="A2289" s="5" t="n">
        <v>4</v>
      </c>
      <c r="B2289" s="5" t="n">
        <v>4</v>
      </c>
      <c r="C2289" s="5" t="s">
        <v>719</v>
      </c>
      <c r="D2289" s="5" t="s">
        <v>1165</v>
      </c>
      <c r="E2289" s="5" t="n">
        <v>1</v>
      </c>
      <c r="F2289" s="6" t="n">
        <f aca="false">IFERROR(MATCH(A2289&amp;"|"&amp;B2289&amp;"|"&amp;D2289,'All Song Rankings'!$T:$T,0),0)</f>
        <v>360</v>
      </c>
      <c r="G2289" s="6" t="str">
        <f aca="false">IF(F2289=0,"NOT FOUND",INDEX('All Song Rankings'!$A:$A,F2289))</f>
        <v>A Thousand Miles</v>
      </c>
      <c r="H2289" s="6" t="str">
        <f aca="false">IF(F2289=0,"NOT FOUND",INDEX('All Song Rankings'!$B:$B,F2289))</f>
        <v>Vanessa Carlton</v>
      </c>
      <c r="I2289" s="6" t="str">
        <f aca="false">IF(F2289=0,"NOT FOUND",INDEX('All Song Rankings'!$D:$D,F2289))</f>
        <v>Colleen</v>
      </c>
      <c r="J2289" s="7" t="str">
        <f aca="false">IF(F2289=0,"NOT FOUND",IF(C2289=I2289,"SELF-VOTE",IF(COUNTIF($K:$K,K2289)&gt;1,"DUPLICATE","OK")))</f>
        <v>OK</v>
      </c>
      <c r="K2289" s="6" t="str">
        <f aca="false">A2289&amp;"|"&amp;B2289&amp;"|"&amp;C2289&amp;"|"&amp;D2289</f>
        <v>4|4|Christine|spotify:track:4w1lzcaoZ1IC2K5TwjalRP</v>
      </c>
    </row>
    <row r="2290" customFormat="false" ht="15" hidden="false" customHeight="false" outlineLevel="0" collapsed="false">
      <c r="A2290" s="5" t="n">
        <v>4</v>
      </c>
      <c r="B2290" s="5" t="n">
        <v>4</v>
      </c>
      <c r="C2290" s="5" t="s">
        <v>719</v>
      </c>
      <c r="D2290" s="5" t="s">
        <v>1150</v>
      </c>
      <c r="E2290" s="5" t="n">
        <v>1</v>
      </c>
      <c r="F2290" s="6" t="n">
        <f aca="false">IFERROR(MATCH(A2290&amp;"|"&amp;B2290&amp;"|"&amp;D2290,'All Song Rankings'!$T:$T,0),0)</f>
        <v>355</v>
      </c>
      <c r="G2290" s="6" t="str">
        <f aca="false">IF(F2290=0,"NOT FOUND",INDEX('All Song Rankings'!$A:$A,F2290))</f>
        <v>Take A Chance On Me</v>
      </c>
      <c r="H2290" s="6" t="str">
        <f aca="false">IF(F2290=0,"NOT FOUND",INDEX('All Song Rankings'!$B:$B,F2290))</f>
        <v>ABBA</v>
      </c>
      <c r="I2290" s="6" t="str">
        <f aca="false">IF(F2290=0,"NOT FOUND",INDEX('All Song Rankings'!$D:$D,F2290))</f>
        <v>Makenzie</v>
      </c>
      <c r="J2290" s="7" t="str">
        <f aca="false">IF(F2290=0,"NOT FOUND",IF(C2290=I2290,"SELF-VOTE",IF(COUNTIF($K:$K,K2290)&gt;1,"DUPLICATE","OK")))</f>
        <v>OK</v>
      </c>
      <c r="K2290" s="6" t="str">
        <f aca="false">A2290&amp;"|"&amp;B2290&amp;"|"&amp;C2290&amp;"|"&amp;D2290</f>
        <v>4|4|Christine|spotify:track:5BckPAYcKEJuYs1eV1BHHe</v>
      </c>
    </row>
    <row r="2291" customFormat="false" ht="15" hidden="false" customHeight="false" outlineLevel="0" collapsed="false">
      <c r="A2291" s="5" t="n">
        <v>4</v>
      </c>
      <c r="B2291" s="5" t="n">
        <v>4</v>
      </c>
      <c r="C2291" s="5" t="s">
        <v>719</v>
      </c>
      <c r="D2291" s="5" t="s">
        <v>1142</v>
      </c>
      <c r="E2291" s="5" t="n">
        <v>1</v>
      </c>
      <c r="F2291" s="6" t="n">
        <f aca="false">IFERROR(MATCH(A2291&amp;"|"&amp;B2291&amp;"|"&amp;D2291,'All Song Rankings'!$T:$T,0),0)</f>
        <v>352</v>
      </c>
      <c r="G2291" s="6" t="str">
        <f aca="false">IF(F2291=0,"NOT FOUND",INDEX('All Song Rankings'!$A:$A,F2291))</f>
        <v>I'm Gonna Be (500 Miles)</v>
      </c>
      <c r="H2291" s="6" t="str">
        <f aca="false">IF(F2291=0,"NOT FOUND",INDEX('All Song Rankings'!$B:$B,F2291))</f>
        <v>The Proclaimers</v>
      </c>
      <c r="I2291" s="6" t="str">
        <f aca="false">IF(F2291=0,"NOT FOUND",INDEX('All Song Rankings'!$D:$D,F2291))</f>
        <v>Grace</v>
      </c>
      <c r="J2291" s="7" t="str">
        <f aca="false">IF(F2291=0,"NOT FOUND",IF(C2291=I2291,"SELF-VOTE",IF(COUNTIF($K:$K,K2291)&gt;1,"DUPLICATE","OK")))</f>
        <v>OK</v>
      </c>
      <c r="K2291" s="6" t="str">
        <f aca="false">A2291&amp;"|"&amp;B2291&amp;"|"&amp;C2291&amp;"|"&amp;D2291</f>
        <v>4|4|Christine|spotify:track:67iAlVNDDdddxqSD2EZhFs</v>
      </c>
    </row>
    <row r="2292" customFormat="false" ht="15" hidden="false" customHeight="false" outlineLevel="0" collapsed="false">
      <c r="A2292" s="5" t="n">
        <v>4</v>
      </c>
      <c r="B2292" s="5" t="n">
        <v>4</v>
      </c>
      <c r="C2292" s="5" t="s">
        <v>637</v>
      </c>
      <c r="D2292" s="5" t="s">
        <v>1168</v>
      </c>
      <c r="E2292" s="5" t="n">
        <v>1</v>
      </c>
      <c r="F2292" s="6" t="n">
        <f aca="false">IFERROR(MATCH(A2292&amp;"|"&amp;B2292&amp;"|"&amp;D2292,'All Song Rankings'!$T:$T,0),0)</f>
        <v>361</v>
      </c>
      <c r="G2292" s="6" t="str">
        <f aca="false">IF(F2292=0,"NOT FOUND",INDEX('All Song Rankings'!$A:$A,F2292))</f>
        <v>Mr. Brightside</v>
      </c>
      <c r="H2292" s="6" t="str">
        <f aca="false">IF(F2292=0,"NOT FOUND",INDEX('All Song Rankings'!$B:$B,F2292))</f>
        <v>The Killers</v>
      </c>
      <c r="I2292" s="6" t="str">
        <f aca="false">IF(F2292=0,"NOT FOUND",INDEX('All Song Rankings'!$D:$D,F2292))</f>
        <v>Nicole</v>
      </c>
      <c r="J2292" s="7" t="str">
        <f aca="false">IF(F2292=0,"NOT FOUND",IF(C2292=I2292,"SELF-VOTE",IF(COUNTIF($K:$K,K2292)&gt;1,"DUPLICATE","OK")))</f>
        <v>OK</v>
      </c>
      <c r="K2292" s="6" t="str">
        <f aca="false">A2292&amp;"|"&amp;B2292&amp;"|"&amp;C2292&amp;"|"&amp;D2292</f>
        <v>4|4|Colleen|spotify:track:003vvx7Niy0yvhvHt4a68B</v>
      </c>
    </row>
    <row r="2293" customFormat="false" ht="15" hidden="false" customHeight="false" outlineLevel="0" collapsed="false">
      <c r="A2293" s="5" t="n">
        <v>4</v>
      </c>
      <c r="B2293" s="5" t="n">
        <v>4</v>
      </c>
      <c r="C2293" s="5" t="s">
        <v>637</v>
      </c>
      <c r="D2293" s="5" t="s">
        <v>1148</v>
      </c>
      <c r="E2293" s="5" t="n">
        <v>1</v>
      </c>
      <c r="F2293" s="6" t="n">
        <f aca="false">IFERROR(MATCH(A2293&amp;"|"&amp;B2293&amp;"|"&amp;D2293,'All Song Rankings'!$T:$T,0),0)</f>
        <v>354</v>
      </c>
      <c r="G2293" s="6" t="str">
        <f aca="false">IF(F2293=0,"NOT FOUND",INDEX('All Song Rankings'!$A:$A,F2293))</f>
        <v>Go Your Own Way</v>
      </c>
      <c r="H2293" s="6" t="str">
        <f aca="false">IF(F2293=0,"NOT FOUND",INDEX('All Song Rankings'!$B:$B,F2293))</f>
        <v>Fleetwood Mac</v>
      </c>
      <c r="I2293" s="6" t="str">
        <f aca="false">IF(F2293=0,"NOT FOUND",INDEX('All Song Rankings'!$D:$D,F2293))</f>
        <v>Kelsey</v>
      </c>
      <c r="J2293" s="7" t="str">
        <f aca="false">IF(F2293=0,"NOT FOUND",IF(C2293=I2293,"SELF-VOTE",IF(COUNTIF($K:$K,K2293)&gt;1,"DUPLICATE","OK")))</f>
        <v>OK</v>
      </c>
      <c r="K2293" s="6" t="str">
        <f aca="false">A2293&amp;"|"&amp;B2293&amp;"|"&amp;C2293&amp;"|"&amp;D2293</f>
        <v>4|4|Colleen|spotify:track:15rjQH7nTcTomKwfVMd4xl</v>
      </c>
    </row>
    <row r="2294" customFormat="false" ht="15" hidden="false" customHeight="false" outlineLevel="0" collapsed="false">
      <c r="A2294" s="5" t="n">
        <v>4</v>
      </c>
      <c r="B2294" s="5" t="n">
        <v>4</v>
      </c>
      <c r="C2294" s="5" t="s">
        <v>637</v>
      </c>
      <c r="D2294" s="5" t="s">
        <v>1156</v>
      </c>
      <c r="E2294" s="5" t="n">
        <v>1</v>
      </c>
      <c r="F2294" s="6" t="n">
        <f aca="false">IFERROR(MATCH(A2294&amp;"|"&amp;B2294&amp;"|"&amp;D2294,'All Song Rankings'!$T:$T,0),0)</f>
        <v>357</v>
      </c>
      <c r="G2294" s="6" t="str">
        <f aca="false">IF(F2294=0,"NOT FOUND",INDEX('All Song Rankings'!$A:$A,F2294))</f>
        <v>Take Me Home, Country Roads - Original Version</v>
      </c>
      <c r="H2294" s="6" t="str">
        <f aca="false">IF(F2294=0,"NOT FOUND",INDEX('All Song Rankings'!$B:$B,F2294))</f>
        <v>John Denver</v>
      </c>
      <c r="I2294" s="6" t="str">
        <f aca="false">IF(F2294=0,"NOT FOUND",INDEX('All Song Rankings'!$D:$D,F2294))</f>
        <v>Stephanie</v>
      </c>
      <c r="J2294" s="7" t="str">
        <f aca="false">IF(F2294=0,"NOT FOUND",IF(C2294=I2294,"SELF-VOTE",IF(COUNTIF($K:$K,K2294)&gt;1,"DUPLICATE","OK")))</f>
        <v>OK</v>
      </c>
      <c r="K2294" s="6" t="str">
        <f aca="false">A2294&amp;"|"&amp;B2294&amp;"|"&amp;C2294&amp;"|"&amp;D2294</f>
        <v>4|4|Colleen|spotify:track:1YYhDizHx7PnDhAhko6cDS</v>
      </c>
    </row>
    <row r="2295" customFormat="false" ht="15" hidden="false" customHeight="false" outlineLevel="0" collapsed="false">
      <c r="A2295" s="5" t="n">
        <v>4</v>
      </c>
      <c r="B2295" s="5" t="n">
        <v>4</v>
      </c>
      <c r="C2295" s="5" t="s">
        <v>637</v>
      </c>
      <c r="D2295" s="5" t="s">
        <v>1145</v>
      </c>
      <c r="E2295" s="5" t="n">
        <v>2</v>
      </c>
      <c r="F2295" s="6" t="n">
        <f aca="false">IFERROR(MATCH(A2295&amp;"|"&amp;B2295&amp;"|"&amp;D2295,'All Song Rankings'!$T:$T,0),0)</f>
        <v>353</v>
      </c>
      <c r="G2295" s="6" t="str">
        <f aca="false">IF(F2295=0,"NOT FOUND",INDEX('All Song Rankings'!$A:$A,F2295))</f>
        <v>Wild Heart</v>
      </c>
      <c r="H2295" s="6" t="str">
        <f aca="false">IF(F2295=0,"NOT FOUND",INDEX('All Song Rankings'!$B:$B,F2295))</f>
        <v>The Vamps</v>
      </c>
      <c r="I2295" s="6" t="str">
        <f aca="false">IF(F2295=0,"NOT FOUND",INDEX('All Song Rankings'!$D:$D,F2295))</f>
        <v>Merita</v>
      </c>
      <c r="J2295" s="7" t="str">
        <f aca="false">IF(F2295=0,"NOT FOUND",IF(C2295=I2295,"SELF-VOTE",IF(COUNTIF($K:$K,K2295)&gt;1,"DUPLICATE","OK")))</f>
        <v>OK</v>
      </c>
      <c r="K2295" s="6" t="str">
        <f aca="false">A2295&amp;"|"&amp;B2295&amp;"|"&amp;C2295&amp;"|"&amp;D2295</f>
        <v>4|4|Colleen|spotify:track:2FTcOYcsSglWsS1zThQRh9</v>
      </c>
    </row>
    <row r="2296" customFormat="false" ht="15" hidden="false" customHeight="false" outlineLevel="0" collapsed="false">
      <c r="A2296" s="5" t="n">
        <v>4</v>
      </c>
      <c r="B2296" s="5" t="n">
        <v>4</v>
      </c>
      <c r="C2296" s="5" t="s">
        <v>637</v>
      </c>
      <c r="D2296" s="5" t="s">
        <v>1159</v>
      </c>
      <c r="E2296" s="5" t="n">
        <v>1</v>
      </c>
      <c r="F2296" s="6" t="n">
        <f aca="false">IFERROR(MATCH(A2296&amp;"|"&amp;B2296&amp;"|"&amp;D2296,'All Song Rankings'!$T:$T,0),0)</f>
        <v>358</v>
      </c>
      <c r="G2296" s="6" t="str">
        <f aca="false">IF(F2296=0,"NOT FOUND",INDEX('All Song Rankings'!$A:$A,F2296))</f>
        <v>Come On Eileen</v>
      </c>
      <c r="H2296" s="6" t="str">
        <f aca="false">IF(F2296=0,"NOT FOUND",INDEX('All Song Rankings'!$B:$B,F2296))</f>
        <v>Dexys Midnight Runners</v>
      </c>
      <c r="I2296" s="6" t="str">
        <f aca="false">IF(F2296=0,"NOT FOUND",INDEX('All Song Rankings'!$D:$D,F2296))</f>
        <v>Matt</v>
      </c>
      <c r="J2296" s="7" t="str">
        <f aca="false">IF(F2296=0,"NOT FOUND",IF(C2296=I2296,"SELF-VOTE",IF(COUNTIF($K:$K,K2296)&gt;1,"DUPLICATE","OK")))</f>
        <v>OK</v>
      </c>
      <c r="K2296" s="6" t="str">
        <f aca="false">A2296&amp;"|"&amp;B2296&amp;"|"&amp;C2296&amp;"|"&amp;D2296</f>
        <v>4|4|Colleen|spotify:track:3MrWxJaD2AT0W9DjWF64Vm</v>
      </c>
    </row>
    <row r="2297" customFormat="false" ht="15" hidden="false" customHeight="false" outlineLevel="0" collapsed="false">
      <c r="A2297" s="5" t="n">
        <v>4</v>
      </c>
      <c r="B2297" s="5" t="n">
        <v>4</v>
      </c>
      <c r="C2297" s="5" t="s">
        <v>637</v>
      </c>
      <c r="D2297" s="5" t="s">
        <v>1162</v>
      </c>
      <c r="E2297" s="5" t="n">
        <v>1</v>
      </c>
      <c r="F2297" s="6" t="n">
        <f aca="false">IFERROR(MATCH(A2297&amp;"|"&amp;B2297&amp;"|"&amp;D2297,'All Song Rankings'!$T:$T,0),0)</f>
        <v>359</v>
      </c>
      <c r="G2297" s="6" t="str">
        <f aca="false">IF(F2297=0,"NOT FOUND",INDEX('All Song Rankings'!$A:$A,F2297))</f>
        <v>Nothing's Gonna Stop Us Now</v>
      </c>
      <c r="H2297" s="6" t="str">
        <f aca="false">IF(F2297=0,"NOT FOUND",INDEX('All Song Rankings'!$B:$B,F2297))</f>
        <v>Starship</v>
      </c>
      <c r="I2297" s="6" t="str">
        <f aca="false">IF(F2297=0,"NOT FOUND",INDEX('All Song Rankings'!$D:$D,F2297))</f>
        <v>Logan</v>
      </c>
      <c r="J2297" s="7" t="str">
        <f aca="false">IF(F2297=0,"NOT FOUND",IF(C2297=I2297,"SELF-VOTE",IF(COUNTIF($K:$K,K2297)&gt;1,"DUPLICATE","OK")))</f>
        <v>OK</v>
      </c>
      <c r="K2297" s="6" t="str">
        <f aca="false">A2297&amp;"|"&amp;B2297&amp;"|"&amp;C2297&amp;"|"&amp;D2297</f>
        <v>4|4|Colleen|spotify:track:3X7uFMzJrEE0sxn62qd8Ch</v>
      </c>
    </row>
    <row r="2298" customFormat="false" ht="15" hidden="false" customHeight="false" outlineLevel="0" collapsed="false">
      <c r="A2298" s="5" t="n">
        <v>4</v>
      </c>
      <c r="B2298" s="5" t="n">
        <v>4</v>
      </c>
      <c r="C2298" s="5" t="s">
        <v>637</v>
      </c>
      <c r="D2298" s="5" t="s">
        <v>1150</v>
      </c>
      <c r="E2298" s="5" t="n">
        <v>1</v>
      </c>
      <c r="F2298" s="6" t="n">
        <f aca="false">IFERROR(MATCH(A2298&amp;"|"&amp;B2298&amp;"|"&amp;D2298,'All Song Rankings'!$T:$T,0),0)</f>
        <v>355</v>
      </c>
      <c r="G2298" s="6" t="str">
        <f aca="false">IF(F2298=0,"NOT FOUND",INDEX('All Song Rankings'!$A:$A,F2298))</f>
        <v>Take A Chance On Me</v>
      </c>
      <c r="H2298" s="6" t="str">
        <f aca="false">IF(F2298=0,"NOT FOUND",INDEX('All Song Rankings'!$B:$B,F2298))</f>
        <v>ABBA</v>
      </c>
      <c r="I2298" s="6" t="str">
        <f aca="false">IF(F2298=0,"NOT FOUND",INDEX('All Song Rankings'!$D:$D,F2298))</f>
        <v>Makenzie</v>
      </c>
      <c r="J2298" s="7" t="str">
        <f aca="false">IF(F2298=0,"NOT FOUND",IF(C2298=I2298,"SELF-VOTE",IF(COUNTIF($K:$K,K2298)&gt;1,"DUPLICATE","OK")))</f>
        <v>OK</v>
      </c>
      <c r="K2298" s="6" t="str">
        <f aca="false">A2298&amp;"|"&amp;B2298&amp;"|"&amp;C2298&amp;"|"&amp;D2298</f>
        <v>4|4|Colleen|spotify:track:5BckPAYcKEJuYs1eV1BHHe</v>
      </c>
    </row>
    <row r="2299" customFormat="false" ht="15" hidden="false" customHeight="false" outlineLevel="0" collapsed="false">
      <c r="A2299" s="5" t="n">
        <v>4</v>
      </c>
      <c r="B2299" s="5" t="n">
        <v>4</v>
      </c>
      <c r="C2299" s="5" t="s">
        <v>637</v>
      </c>
      <c r="D2299" s="5" t="s">
        <v>1142</v>
      </c>
      <c r="E2299" s="5" t="n">
        <v>2</v>
      </c>
      <c r="F2299" s="6" t="n">
        <f aca="false">IFERROR(MATCH(A2299&amp;"|"&amp;B2299&amp;"|"&amp;D2299,'All Song Rankings'!$T:$T,0),0)</f>
        <v>352</v>
      </c>
      <c r="G2299" s="6" t="str">
        <f aca="false">IF(F2299=0,"NOT FOUND",INDEX('All Song Rankings'!$A:$A,F2299))</f>
        <v>I'm Gonna Be (500 Miles)</v>
      </c>
      <c r="H2299" s="6" t="str">
        <f aca="false">IF(F2299=0,"NOT FOUND",INDEX('All Song Rankings'!$B:$B,F2299))</f>
        <v>The Proclaimers</v>
      </c>
      <c r="I2299" s="6" t="str">
        <f aca="false">IF(F2299=0,"NOT FOUND",INDEX('All Song Rankings'!$D:$D,F2299))</f>
        <v>Grace</v>
      </c>
      <c r="J2299" s="7" t="str">
        <f aca="false">IF(F2299=0,"NOT FOUND",IF(C2299=I2299,"SELF-VOTE",IF(COUNTIF($K:$K,K2299)&gt;1,"DUPLICATE","OK")))</f>
        <v>OK</v>
      </c>
      <c r="K2299" s="6" t="str">
        <f aca="false">A2299&amp;"|"&amp;B2299&amp;"|"&amp;C2299&amp;"|"&amp;D2299</f>
        <v>4|4|Colleen|spotify:track:67iAlVNDDdddxqSD2EZhFs</v>
      </c>
    </row>
    <row r="2300" customFormat="false" ht="15" hidden="false" customHeight="false" outlineLevel="0" collapsed="false">
      <c r="A2300" s="5" t="n">
        <v>4</v>
      </c>
      <c r="B2300" s="5" t="n">
        <v>4</v>
      </c>
      <c r="C2300" s="5" t="s">
        <v>382</v>
      </c>
      <c r="D2300" s="5" t="s">
        <v>1168</v>
      </c>
      <c r="E2300" s="5" t="n">
        <v>2</v>
      </c>
      <c r="F2300" s="6" t="n">
        <f aca="false">IFERROR(MATCH(A2300&amp;"|"&amp;B2300&amp;"|"&amp;D2300,'All Song Rankings'!$T:$T,0),0)</f>
        <v>361</v>
      </c>
      <c r="G2300" s="6" t="str">
        <f aca="false">IF(F2300=0,"NOT FOUND",INDEX('All Song Rankings'!$A:$A,F2300))</f>
        <v>Mr. Brightside</v>
      </c>
      <c r="H2300" s="6" t="str">
        <f aca="false">IF(F2300=0,"NOT FOUND",INDEX('All Song Rankings'!$B:$B,F2300))</f>
        <v>The Killers</v>
      </c>
      <c r="I2300" s="6" t="str">
        <f aca="false">IF(F2300=0,"NOT FOUND",INDEX('All Song Rankings'!$D:$D,F2300))</f>
        <v>Nicole</v>
      </c>
      <c r="J2300" s="7" t="str">
        <f aca="false">IF(F2300=0,"NOT FOUND",IF(C2300=I2300,"SELF-VOTE",IF(COUNTIF($K:$K,K2300)&gt;1,"DUPLICATE","OK")))</f>
        <v>OK</v>
      </c>
      <c r="K2300" s="6" t="str">
        <f aca="false">A2300&amp;"|"&amp;B2300&amp;"|"&amp;C2300&amp;"|"&amp;D2300</f>
        <v>4|4|Grace|spotify:track:003vvx7Niy0yvhvHt4a68B</v>
      </c>
    </row>
    <row r="2301" customFormat="false" ht="15" hidden="false" customHeight="false" outlineLevel="0" collapsed="false">
      <c r="A2301" s="5" t="n">
        <v>4</v>
      </c>
      <c r="B2301" s="5" t="n">
        <v>4</v>
      </c>
      <c r="C2301" s="5" t="s">
        <v>382</v>
      </c>
      <c r="D2301" s="5" t="s">
        <v>1145</v>
      </c>
      <c r="E2301" s="5" t="n">
        <v>1</v>
      </c>
      <c r="F2301" s="6" t="n">
        <f aca="false">IFERROR(MATCH(A2301&amp;"|"&amp;B2301&amp;"|"&amp;D2301,'All Song Rankings'!$T:$T,0),0)</f>
        <v>353</v>
      </c>
      <c r="G2301" s="6" t="str">
        <f aca="false">IF(F2301=0,"NOT FOUND",INDEX('All Song Rankings'!$A:$A,F2301))</f>
        <v>Wild Heart</v>
      </c>
      <c r="H2301" s="6" t="str">
        <f aca="false">IF(F2301=0,"NOT FOUND",INDEX('All Song Rankings'!$B:$B,F2301))</f>
        <v>The Vamps</v>
      </c>
      <c r="I2301" s="6" t="str">
        <f aca="false">IF(F2301=0,"NOT FOUND",INDEX('All Song Rankings'!$D:$D,F2301))</f>
        <v>Merita</v>
      </c>
      <c r="J2301" s="7" t="str">
        <f aca="false">IF(F2301=0,"NOT FOUND",IF(C2301=I2301,"SELF-VOTE",IF(COUNTIF($K:$K,K2301)&gt;1,"DUPLICATE","OK")))</f>
        <v>OK</v>
      </c>
      <c r="K2301" s="6" t="str">
        <f aca="false">A2301&amp;"|"&amp;B2301&amp;"|"&amp;C2301&amp;"|"&amp;D2301</f>
        <v>4|4|Grace|spotify:track:2FTcOYcsSglWsS1zThQRh9</v>
      </c>
    </row>
    <row r="2302" customFormat="false" ht="15" hidden="false" customHeight="false" outlineLevel="0" collapsed="false">
      <c r="A2302" s="5" t="n">
        <v>4</v>
      </c>
      <c r="B2302" s="5" t="n">
        <v>4</v>
      </c>
      <c r="C2302" s="5" t="s">
        <v>382</v>
      </c>
      <c r="D2302" s="5" t="s">
        <v>1153</v>
      </c>
      <c r="E2302" s="5" t="n">
        <v>2</v>
      </c>
      <c r="F2302" s="6" t="n">
        <f aca="false">IFERROR(MATCH(A2302&amp;"|"&amp;B2302&amp;"|"&amp;D2302,'All Song Rankings'!$T:$T,0),0)</f>
        <v>356</v>
      </c>
      <c r="G2302" s="6" t="str">
        <f aca="false">IF(F2302=0,"NOT FOUND",INDEX('All Song Rankings'!$A:$A,F2302))</f>
        <v>Holiday Road - National Lampoon's Vacation</v>
      </c>
      <c r="H2302" s="6" t="str">
        <f aca="false">IF(F2302=0,"NOT FOUND",INDEX('All Song Rankings'!$B:$B,F2302))</f>
        <v>Lindsey Buckingham</v>
      </c>
      <c r="I2302" s="6" t="str">
        <f aca="false">IF(F2302=0,"NOT FOUND",INDEX('All Song Rankings'!$D:$D,F2302))</f>
        <v>Scott</v>
      </c>
      <c r="J2302" s="7" t="str">
        <f aca="false">IF(F2302=0,"NOT FOUND",IF(C2302=I2302,"SELF-VOTE",IF(COUNTIF($K:$K,K2302)&gt;1,"DUPLICATE","OK")))</f>
        <v>OK</v>
      </c>
      <c r="K2302" s="6" t="str">
        <f aca="false">A2302&amp;"|"&amp;B2302&amp;"|"&amp;C2302&amp;"|"&amp;D2302</f>
        <v>4|4|Grace|spotify:track:38i0QcGQ9hu8PMk4QObUTj</v>
      </c>
    </row>
    <row r="2303" customFormat="false" ht="15" hidden="false" customHeight="false" outlineLevel="0" collapsed="false">
      <c r="A2303" s="5" t="n">
        <v>4</v>
      </c>
      <c r="B2303" s="5" t="n">
        <v>4</v>
      </c>
      <c r="C2303" s="5" t="s">
        <v>382</v>
      </c>
      <c r="D2303" s="5" t="s">
        <v>1159</v>
      </c>
      <c r="E2303" s="5" t="n">
        <v>3</v>
      </c>
      <c r="F2303" s="6" t="n">
        <f aca="false">IFERROR(MATCH(A2303&amp;"|"&amp;B2303&amp;"|"&amp;D2303,'All Song Rankings'!$T:$T,0),0)</f>
        <v>358</v>
      </c>
      <c r="G2303" s="6" t="str">
        <f aca="false">IF(F2303=0,"NOT FOUND",INDEX('All Song Rankings'!$A:$A,F2303))</f>
        <v>Come On Eileen</v>
      </c>
      <c r="H2303" s="6" t="str">
        <f aca="false">IF(F2303=0,"NOT FOUND",INDEX('All Song Rankings'!$B:$B,F2303))</f>
        <v>Dexys Midnight Runners</v>
      </c>
      <c r="I2303" s="6" t="str">
        <f aca="false">IF(F2303=0,"NOT FOUND",INDEX('All Song Rankings'!$D:$D,F2303))</f>
        <v>Matt</v>
      </c>
      <c r="J2303" s="7" t="str">
        <f aca="false">IF(F2303=0,"NOT FOUND",IF(C2303=I2303,"SELF-VOTE",IF(COUNTIF($K:$K,K2303)&gt;1,"DUPLICATE","OK")))</f>
        <v>OK</v>
      </c>
      <c r="K2303" s="6" t="str">
        <f aca="false">A2303&amp;"|"&amp;B2303&amp;"|"&amp;C2303&amp;"|"&amp;D2303</f>
        <v>4|4|Grace|spotify:track:3MrWxJaD2AT0W9DjWF64Vm</v>
      </c>
    </row>
    <row r="2304" customFormat="false" ht="15" hidden="false" customHeight="false" outlineLevel="0" collapsed="false">
      <c r="A2304" s="5" t="n">
        <v>4</v>
      </c>
      <c r="B2304" s="5" t="n">
        <v>4</v>
      </c>
      <c r="C2304" s="5" t="s">
        <v>382</v>
      </c>
      <c r="D2304" s="5" t="s">
        <v>1150</v>
      </c>
      <c r="E2304" s="5" t="n">
        <v>2</v>
      </c>
      <c r="F2304" s="6" t="n">
        <f aca="false">IFERROR(MATCH(A2304&amp;"|"&amp;B2304&amp;"|"&amp;D2304,'All Song Rankings'!$T:$T,0),0)</f>
        <v>355</v>
      </c>
      <c r="G2304" s="6" t="str">
        <f aca="false">IF(F2304=0,"NOT FOUND",INDEX('All Song Rankings'!$A:$A,F2304))</f>
        <v>Take A Chance On Me</v>
      </c>
      <c r="H2304" s="6" t="str">
        <f aca="false">IF(F2304=0,"NOT FOUND",INDEX('All Song Rankings'!$B:$B,F2304))</f>
        <v>ABBA</v>
      </c>
      <c r="I2304" s="6" t="str">
        <f aca="false">IF(F2304=0,"NOT FOUND",INDEX('All Song Rankings'!$D:$D,F2304))</f>
        <v>Makenzie</v>
      </c>
      <c r="J2304" s="7" t="str">
        <f aca="false">IF(F2304=0,"NOT FOUND",IF(C2304=I2304,"SELF-VOTE",IF(COUNTIF($K:$K,K2304)&gt;1,"DUPLICATE","OK")))</f>
        <v>OK</v>
      </c>
      <c r="K2304" s="6" t="str">
        <f aca="false">A2304&amp;"|"&amp;B2304&amp;"|"&amp;C2304&amp;"|"&amp;D2304</f>
        <v>4|4|Grace|spotify:track:5BckPAYcKEJuYs1eV1BHHe</v>
      </c>
    </row>
    <row r="2305" customFormat="false" ht="15" hidden="false" customHeight="false" outlineLevel="0" collapsed="false">
      <c r="A2305" s="5" t="n">
        <v>4</v>
      </c>
      <c r="B2305" s="5" t="n">
        <v>4</v>
      </c>
      <c r="C2305" s="5" t="s">
        <v>85</v>
      </c>
      <c r="D2305" s="5" t="s">
        <v>1168</v>
      </c>
      <c r="E2305" s="5" t="n">
        <v>1</v>
      </c>
      <c r="F2305" s="6" t="n">
        <f aca="false">IFERROR(MATCH(A2305&amp;"|"&amp;B2305&amp;"|"&amp;D2305,'All Song Rankings'!$T:$T,0),0)</f>
        <v>361</v>
      </c>
      <c r="G2305" s="6" t="str">
        <f aca="false">IF(F2305=0,"NOT FOUND",INDEX('All Song Rankings'!$A:$A,F2305))</f>
        <v>Mr. Brightside</v>
      </c>
      <c r="H2305" s="6" t="str">
        <f aca="false">IF(F2305=0,"NOT FOUND",INDEX('All Song Rankings'!$B:$B,F2305))</f>
        <v>The Killers</v>
      </c>
      <c r="I2305" s="6" t="str">
        <f aca="false">IF(F2305=0,"NOT FOUND",INDEX('All Song Rankings'!$D:$D,F2305))</f>
        <v>Nicole</v>
      </c>
      <c r="J2305" s="7" t="str">
        <f aca="false">IF(F2305=0,"NOT FOUND",IF(C2305=I2305,"SELF-VOTE",IF(COUNTIF($K:$K,K2305)&gt;1,"DUPLICATE","OK")))</f>
        <v>OK</v>
      </c>
      <c r="K2305" s="6" t="str">
        <f aca="false">A2305&amp;"|"&amp;B2305&amp;"|"&amp;C2305&amp;"|"&amp;D2305</f>
        <v>4|4|Kelsey|spotify:track:003vvx7Niy0yvhvHt4a68B</v>
      </c>
    </row>
    <row r="2306" customFormat="false" ht="15" hidden="false" customHeight="false" outlineLevel="0" collapsed="false">
      <c r="A2306" s="5" t="n">
        <v>4</v>
      </c>
      <c r="B2306" s="5" t="n">
        <v>4</v>
      </c>
      <c r="C2306" s="5" t="s">
        <v>85</v>
      </c>
      <c r="D2306" s="5" t="s">
        <v>1156</v>
      </c>
      <c r="E2306" s="5" t="n">
        <v>1</v>
      </c>
      <c r="F2306" s="6" t="n">
        <f aca="false">IFERROR(MATCH(A2306&amp;"|"&amp;B2306&amp;"|"&amp;D2306,'All Song Rankings'!$T:$T,0),0)</f>
        <v>357</v>
      </c>
      <c r="G2306" s="6" t="str">
        <f aca="false">IF(F2306=0,"NOT FOUND",INDEX('All Song Rankings'!$A:$A,F2306))</f>
        <v>Take Me Home, Country Roads - Original Version</v>
      </c>
      <c r="H2306" s="6" t="str">
        <f aca="false">IF(F2306=0,"NOT FOUND",INDEX('All Song Rankings'!$B:$B,F2306))</f>
        <v>John Denver</v>
      </c>
      <c r="I2306" s="6" t="str">
        <f aca="false">IF(F2306=0,"NOT FOUND",INDEX('All Song Rankings'!$D:$D,F2306))</f>
        <v>Stephanie</v>
      </c>
      <c r="J2306" s="7" t="str">
        <f aca="false">IF(F2306=0,"NOT FOUND",IF(C2306=I2306,"SELF-VOTE",IF(COUNTIF($K:$K,K2306)&gt;1,"DUPLICATE","OK")))</f>
        <v>OK</v>
      </c>
      <c r="K2306" s="6" t="str">
        <f aca="false">A2306&amp;"|"&amp;B2306&amp;"|"&amp;C2306&amp;"|"&amp;D2306</f>
        <v>4|4|Kelsey|spotify:track:1YYhDizHx7PnDhAhko6cDS</v>
      </c>
    </row>
    <row r="2307" customFormat="false" ht="15" hidden="false" customHeight="false" outlineLevel="0" collapsed="false">
      <c r="A2307" s="5" t="n">
        <v>4</v>
      </c>
      <c r="B2307" s="5" t="n">
        <v>4</v>
      </c>
      <c r="C2307" s="5" t="s">
        <v>85</v>
      </c>
      <c r="D2307" s="5" t="s">
        <v>1145</v>
      </c>
      <c r="E2307" s="5" t="n">
        <v>2</v>
      </c>
      <c r="F2307" s="6" t="n">
        <f aca="false">IFERROR(MATCH(A2307&amp;"|"&amp;B2307&amp;"|"&amp;D2307,'All Song Rankings'!$T:$T,0),0)</f>
        <v>353</v>
      </c>
      <c r="G2307" s="6" t="str">
        <f aca="false">IF(F2307=0,"NOT FOUND",INDEX('All Song Rankings'!$A:$A,F2307))</f>
        <v>Wild Heart</v>
      </c>
      <c r="H2307" s="6" t="str">
        <f aca="false">IF(F2307=0,"NOT FOUND",INDEX('All Song Rankings'!$B:$B,F2307))</f>
        <v>The Vamps</v>
      </c>
      <c r="I2307" s="6" t="str">
        <f aca="false">IF(F2307=0,"NOT FOUND",INDEX('All Song Rankings'!$D:$D,F2307))</f>
        <v>Merita</v>
      </c>
      <c r="J2307" s="7" t="str">
        <f aca="false">IF(F2307=0,"NOT FOUND",IF(C2307=I2307,"SELF-VOTE",IF(COUNTIF($K:$K,K2307)&gt;1,"DUPLICATE","OK")))</f>
        <v>OK</v>
      </c>
      <c r="K2307" s="6" t="str">
        <f aca="false">A2307&amp;"|"&amp;B2307&amp;"|"&amp;C2307&amp;"|"&amp;D2307</f>
        <v>4|4|Kelsey|spotify:track:2FTcOYcsSglWsS1zThQRh9</v>
      </c>
    </row>
    <row r="2308" customFormat="false" ht="15" hidden="false" customHeight="false" outlineLevel="0" collapsed="false">
      <c r="A2308" s="5" t="n">
        <v>4</v>
      </c>
      <c r="B2308" s="5" t="n">
        <v>4</v>
      </c>
      <c r="C2308" s="5" t="s">
        <v>85</v>
      </c>
      <c r="D2308" s="5" t="s">
        <v>1159</v>
      </c>
      <c r="E2308" s="5" t="n">
        <v>2</v>
      </c>
      <c r="F2308" s="6" t="n">
        <f aca="false">IFERROR(MATCH(A2308&amp;"|"&amp;B2308&amp;"|"&amp;D2308,'All Song Rankings'!$T:$T,0),0)</f>
        <v>358</v>
      </c>
      <c r="G2308" s="6" t="str">
        <f aca="false">IF(F2308=0,"NOT FOUND",INDEX('All Song Rankings'!$A:$A,F2308))</f>
        <v>Come On Eileen</v>
      </c>
      <c r="H2308" s="6" t="str">
        <f aca="false">IF(F2308=0,"NOT FOUND",INDEX('All Song Rankings'!$B:$B,F2308))</f>
        <v>Dexys Midnight Runners</v>
      </c>
      <c r="I2308" s="6" t="str">
        <f aca="false">IF(F2308=0,"NOT FOUND",INDEX('All Song Rankings'!$D:$D,F2308))</f>
        <v>Matt</v>
      </c>
      <c r="J2308" s="7" t="str">
        <f aca="false">IF(F2308=0,"NOT FOUND",IF(C2308=I2308,"SELF-VOTE",IF(COUNTIF($K:$K,K2308)&gt;1,"DUPLICATE","OK")))</f>
        <v>OK</v>
      </c>
      <c r="K2308" s="6" t="str">
        <f aca="false">A2308&amp;"|"&amp;B2308&amp;"|"&amp;C2308&amp;"|"&amp;D2308</f>
        <v>4|4|Kelsey|spotify:track:3MrWxJaD2AT0W9DjWF64Vm</v>
      </c>
    </row>
    <row r="2309" customFormat="false" ht="15" hidden="false" customHeight="false" outlineLevel="0" collapsed="false">
      <c r="A2309" s="5" t="n">
        <v>4</v>
      </c>
      <c r="B2309" s="5" t="n">
        <v>4</v>
      </c>
      <c r="C2309" s="5" t="s">
        <v>85</v>
      </c>
      <c r="D2309" s="5" t="s">
        <v>1165</v>
      </c>
      <c r="E2309" s="5" t="n">
        <v>1</v>
      </c>
      <c r="F2309" s="6" t="n">
        <f aca="false">IFERROR(MATCH(A2309&amp;"|"&amp;B2309&amp;"|"&amp;D2309,'All Song Rankings'!$T:$T,0),0)</f>
        <v>360</v>
      </c>
      <c r="G2309" s="6" t="str">
        <f aca="false">IF(F2309=0,"NOT FOUND",INDEX('All Song Rankings'!$A:$A,F2309))</f>
        <v>A Thousand Miles</v>
      </c>
      <c r="H2309" s="6" t="str">
        <f aca="false">IF(F2309=0,"NOT FOUND",INDEX('All Song Rankings'!$B:$B,F2309))</f>
        <v>Vanessa Carlton</v>
      </c>
      <c r="I2309" s="6" t="str">
        <f aca="false">IF(F2309=0,"NOT FOUND",INDEX('All Song Rankings'!$D:$D,F2309))</f>
        <v>Colleen</v>
      </c>
      <c r="J2309" s="7" t="str">
        <f aca="false">IF(F2309=0,"NOT FOUND",IF(C2309=I2309,"SELF-VOTE",IF(COUNTIF($K:$K,K2309)&gt;1,"DUPLICATE","OK")))</f>
        <v>OK</v>
      </c>
      <c r="K2309" s="6" t="str">
        <f aca="false">A2309&amp;"|"&amp;B2309&amp;"|"&amp;C2309&amp;"|"&amp;D2309</f>
        <v>4|4|Kelsey|spotify:track:4w1lzcaoZ1IC2K5TwjalRP</v>
      </c>
    </row>
    <row r="2310" customFormat="false" ht="15" hidden="false" customHeight="false" outlineLevel="0" collapsed="false">
      <c r="A2310" s="5" t="n">
        <v>4</v>
      </c>
      <c r="B2310" s="5" t="n">
        <v>4</v>
      </c>
      <c r="C2310" s="5" t="s">
        <v>85</v>
      </c>
      <c r="D2310" s="5" t="s">
        <v>1177</v>
      </c>
      <c r="E2310" s="5" t="n">
        <v>1</v>
      </c>
      <c r="F2310" s="6" t="n">
        <f aca="false">IFERROR(MATCH(A2310&amp;"|"&amp;B2310&amp;"|"&amp;D2310,'All Song Rankings'!$T:$T,0),0)</f>
        <v>364</v>
      </c>
      <c r="G2310" s="6" t="str">
        <f aca="false">IF(F2310=0,"NOT FOUND",INDEX('All Song Rankings'!$A:$A,F2310))</f>
        <v>Party In The U.S.A.</v>
      </c>
      <c r="H2310" s="6" t="str">
        <f aca="false">IF(F2310=0,"NOT FOUND",INDEX('All Song Rankings'!$B:$B,F2310))</f>
        <v>Miley Cyrus</v>
      </c>
      <c r="I2310" s="6" t="str">
        <f aca="false">IF(F2310=0,"NOT FOUND",INDEX('All Song Rankings'!$D:$D,F2310))</f>
        <v>Kristen</v>
      </c>
      <c r="J2310" s="7" t="str">
        <f aca="false">IF(F2310=0,"NOT FOUND",IF(C2310=I2310,"SELF-VOTE",IF(COUNTIF($K:$K,K2310)&gt;1,"DUPLICATE","OK")))</f>
        <v>OK</v>
      </c>
      <c r="K2310" s="6" t="str">
        <f aca="false">A2310&amp;"|"&amp;B2310&amp;"|"&amp;C2310&amp;"|"&amp;D2310</f>
        <v>4|4|Kelsey|spotify:track:5Q0Nhxo0l2bP3pNjpGJwV1</v>
      </c>
    </row>
    <row r="2311" customFormat="false" ht="15" hidden="false" customHeight="false" outlineLevel="0" collapsed="false">
      <c r="A2311" s="5" t="n">
        <v>4</v>
      </c>
      <c r="B2311" s="5" t="n">
        <v>4</v>
      </c>
      <c r="C2311" s="5" t="s">
        <v>85</v>
      </c>
      <c r="D2311" s="5" t="s">
        <v>1142</v>
      </c>
      <c r="E2311" s="5" t="n">
        <v>2</v>
      </c>
      <c r="F2311" s="6" t="n">
        <f aca="false">IFERROR(MATCH(A2311&amp;"|"&amp;B2311&amp;"|"&amp;D2311,'All Song Rankings'!$T:$T,0),0)</f>
        <v>352</v>
      </c>
      <c r="G2311" s="6" t="str">
        <f aca="false">IF(F2311=0,"NOT FOUND",INDEX('All Song Rankings'!$A:$A,F2311))</f>
        <v>I'm Gonna Be (500 Miles)</v>
      </c>
      <c r="H2311" s="6" t="str">
        <f aca="false">IF(F2311=0,"NOT FOUND",INDEX('All Song Rankings'!$B:$B,F2311))</f>
        <v>The Proclaimers</v>
      </c>
      <c r="I2311" s="6" t="str">
        <f aca="false">IF(F2311=0,"NOT FOUND",INDEX('All Song Rankings'!$D:$D,F2311))</f>
        <v>Grace</v>
      </c>
      <c r="J2311" s="7" t="str">
        <f aca="false">IF(F2311=0,"NOT FOUND",IF(C2311=I2311,"SELF-VOTE",IF(COUNTIF($K:$K,K2311)&gt;1,"DUPLICATE","OK")))</f>
        <v>OK</v>
      </c>
      <c r="K2311" s="6" t="str">
        <f aca="false">A2311&amp;"|"&amp;B2311&amp;"|"&amp;C2311&amp;"|"&amp;D2311</f>
        <v>4|4|Kelsey|spotify:track:67iAlVNDDdddxqSD2EZhFs</v>
      </c>
    </row>
    <row r="2312" customFormat="false" ht="15" hidden="false" customHeight="false" outlineLevel="0" collapsed="false">
      <c r="A2312" s="5" t="n">
        <v>4</v>
      </c>
      <c r="B2312" s="5" t="n">
        <v>4</v>
      </c>
      <c r="C2312" s="5" t="s">
        <v>106</v>
      </c>
      <c r="D2312" s="5" t="s">
        <v>1168</v>
      </c>
      <c r="E2312" s="5" t="n">
        <v>1</v>
      </c>
      <c r="F2312" s="6" t="n">
        <f aca="false">IFERROR(MATCH(A2312&amp;"|"&amp;B2312&amp;"|"&amp;D2312,'All Song Rankings'!$T:$T,0),0)</f>
        <v>361</v>
      </c>
      <c r="G2312" s="6" t="str">
        <f aca="false">IF(F2312=0,"NOT FOUND",INDEX('All Song Rankings'!$A:$A,F2312))</f>
        <v>Mr. Brightside</v>
      </c>
      <c r="H2312" s="6" t="str">
        <f aca="false">IF(F2312=0,"NOT FOUND",INDEX('All Song Rankings'!$B:$B,F2312))</f>
        <v>The Killers</v>
      </c>
      <c r="I2312" s="6" t="str">
        <f aca="false">IF(F2312=0,"NOT FOUND",INDEX('All Song Rankings'!$D:$D,F2312))</f>
        <v>Nicole</v>
      </c>
      <c r="J2312" s="7" t="str">
        <f aca="false">IF(F2312=0,"NOT FOUND",IF(C2312=I2312,"SELF-VOTE",IF(COUNTIF($K:$K,K2312)&gt;1,"DUPLICATE","OK")))</f>
        <v>OK</v>
      </c>
      <c r="K2312" s="6" t="str">
        <f aca="false">A2312&amp;"|"&amp;B2312&amp;"|"&amp;C2312&amp;"|"&amp;D2312</f>
        <v>4|4|Kristen|spotify:track:003vvx7Niy0yvhvHt4a68B</v>
      </c>
    </row>
    <row r="2313" customFormat="false" ht="15" hidden="false" customHeight="false" outlineLevel="0" collapsed="false">
      <c r="A2313" s="5" t="n">
        <v>4</v>
      </c>
      <c r="B2313" s="5" t="n">
        <v>4</v>
      </c>
      <c r="C2313" s="5" t="s">
        <v>106</v>
      </c>
      <c r="D2313" s="5" t="s">
        <v>1148</v>
      </c>
      <c r="E2313" s="5" t="n">
        <v>2</v>
      </c>
      <c r="F2313" s="6" t="n">
        <f aca="false">IFERROR(MATCH(A2313&amp;"|"&amp;B2313&amp;"|"&amp;D2313,'All Song Rankings'!$T:$T,0),0)</f>
        <v>354</v>
      </c>
      <c r="G2313" s="6" t="str">
        <f aca="false">IF(F2313=0,"NOT FOUND",INDEX('All Song Rankings'!$A:$A,F2313))</f>
        <v>Go Your Own Way</v>
      </c>
      <c r="H2313" s="6" t="str">
        <f aca="false">IF(F2313=0,"NOT FOUND",INDEX('All Song Rankings'!$B:$B,F2313))</f>
        <v>Fleetwood Mac</v>
      </c>
      <c r="I2313" s="6" t="str">
        <f aca="false">IF(F2313=0,"NOT FOUND",INDEX('All Song Rankings'!$D:$D,F2313))</f>
        <v>Kelsey</v>
      </c>
      <c r="J2313" s="7" t="str">
        <f aca="false">IF(F2313=0,"NOT FOUND",IF(C2313=I2313,"SELF-VOTE",IF(COUNTIF($K:$K,K2313)&gt;1,"DUPLICATE","OK")))</f>
        <v>OK</v>
      </c>
      <c r="K2313" s="6" t="str">
        <f aca="false">A2313&amp;"|"&amp;B2313&amp;"|"&amp;C2313&amp;"|"&amp;D2313</f>
        <v>4|4|Kristen|spotify:track:15rjQH7nTcTomKwfVMd4xl</v>
      </c>
    </row>
    <row r="2314" customFormat="false" ht="15" hidden="false" customHeight="false" outlineLevel="0" collapsed="false">
      <c r="A2314" s="5" t="n">
        <v>4</v>
      </c>
      <c r="B2314" s="5" t="n">
        <v>4</v>
      </c>
      <c r="C2314" s="5" t="s">
        <v>106</v>
      </c>
      <c r="D2314" s="5" t="s">
        <v>1156</v>
      </c>
      <c r="E2314" s="5" t="n">
        <v>2</v>
      </c>
      <c r="F2314" s="6" t="n">
        <f aca="false">IFERROR(MATCH(A2314&amp;"|"&amp;B2314&amp;"|"&amp;D2314,'All Song Rankings'!$T:$T,0),0)</f>
        <v>357</v>
      </c>
      <c r="G2314" s="6" t="str">
        <f aca="false">IF(F2314=0,"NOT FOUND",INDEX('All Song Rankings'!$A:$A,F2314))</f>
        <v>Take Me Home, Country Roads - Original Version</v>
      </c>
      <c r="H2314" s="6" t="str">
        <f aca="false">IF(F2314=0,"NOT FOUND",INDEX('All Song Rankings'!$B:$B,F2314))</f>
        <v>John Denver</v>
      </c>
      <c r="I2314" s="6" t="str">
        <f aca="false">IF(F2314=0,"NOT FOUND",INDEX('All Song Rankings'!$D:$D,F2314))</f>
        <v>Stephanie</v>
      </c>
      <c r="J2314" s="7" t="str">
        <f aca="false">IF(F2314=0,"NOT FOUND",IF(C2314=I2314,"SELF-VOTE",IF(COUNTIF($K:$K,K2314)&gt;1,"DUPLICATE","OK")))</f>
        <v>OK</v>
      </c>
      <c r="K2314" s="6" t="str">
        <f aca="false">A2314&amp;"|"&amp;B2314&amp;"|"&amp;C2314&amp;"|"&amp;D2314</f>
        <v>4|4|Kristen|spotify:track:1YYhDizHx7PnDhAhko6cDS</v>
      </c>
    </row>
    <row r="2315" customFormat="false" ht="15" hidden="false" customHeight="false" outlineLevel="0" collapsed="false">
      <c r="A2315" s="5" t="n">
        <v>4</v>
      </c>
      <c r="B2315" s="5" t="n">
        <v>4</v>
      </c>
      <c r="C2315" s="5" t="s">
        <v>106</v>
      </c>
      <c r="D2315" s="5" t="s">
        <v>1153</v>
      </c>
      <c r="E2315" s="5" t="n">
        <v>1</v>
      </c>
      <c r="F2315" s="6" t="n">
        <f aca="false">IFERROR(MATCH(A2315&amp;"|"&amp;B2315&amp;"|"&amp;D2315,'All Song Rankings'!$T:$T,0),0)</f>
        <v>356</v>
      </c>
      <c r="G2315" s="6" t="str">
        <f aca="false">IF(F2315=0,"NOT FOUND",INDEX('All Song Rankings'!$A:$A,F2315))</f>
        <v>Holiday Road - National Lampoon's Vacation</v>
      </c>
      <c r="H2315" s="6" t="str">
        <f aca="false">IF(F2315=0,"NOT FOUND",INDEX('All Song Rankings'!$B:$B,F2315))</f>
        <v>Lindsey Buckingham</v>
      </c>
      <c r="I2315" s="6" t="str">
        <f aca="false">IF(F2315=0,"NOT FOUND",INDEX('All Song Rankings'!$D:$D,F2315))</f>
        <v>Scott</v>
      </c>
      <c r="J2315" s="7" t="str">
        <f aca="false">IF(F2315=0,"NOT FOUND",IF(C2315=I2315,"SELF-VOTE",IF(COUNTIF($K:$K,K2315)&gt;1,"DUPLICATE","OK")))</f>
        <v>OK</v>
      </c>
      <c r="K2315" s="6" t="str">
        <f aca="false">A2315&amp;"|"&amp;B2315&amp;"|"&amp;C2315&amp;"|"&amp;D2315</f>
        <v>4|4|Kristen|spotify:track:38i0QcGQ9hu8PMk4QObUTj</v>
      </c>
    </row>
    <row r="2316" customFormat="false" ht="15" hidden="false" customHeight="false" outlineLevel="0" collapsed="false">
      <c r="A2316" s="5" t="n">
        <v>4</v>
      </c>
      <c r="B2316" s="5" t="n">
        <v>4</v>
      </c>
      <c r="C2316" s="5" t="s">
        <v>106</v>
      </c>
      <c r="D2316" s="5" t="s">
        <v>1159</v>
      </c>
      <c r="E2316" s="5" t="n">
        <v>1</v>
      </c>
      <c r="F2316" s="6" t="n">
        <f aca="false">IFERROR(MATCH(A2316&amp;"|"&amp;B2316&amp;"|"&amp;D2316,'All Song Rankings'!$T:$T,0),0)</f>
        <v>358</v>
      </c>
      <c r="G2316" s="6" t="str">
        <f aca="false">IF(F2316=0,"NOT FOUND",INDEX('All Song Rankings'!$A:$A,F2316))</f>
        <v>Come On Eileen</v>
      </c>
      <c r="H2316" s="6" t="str">
        <f aca="false">IF(F2316=0,"NOT FOUND",INDEX('All Song Rankings'!$B:$B,F2316))</f>
        <v>Dexys Midnight Runners</v>
      </c>
      <c r="I2316" s="6" t="str">
        <f aca="false">IF(F2316=0,"NOT FOUND",INDEX('All Song Rankings'!$D:$D,F2316))</f>
        <v>Matt</v>
      </c>
      <c r="J2316" s="7" t="str">
        <f aca="false">IF(F2316=0,"NOT FOUND",IF(C2316=I2316,"SELF-VOTE",IF(COUNTIF($K:$K,K2316)&gt;1,"DUPLICATE","OK")))</f>
        <v>OK</v>
      </c>
      <c r="K2316" s="6" t="str">
        <f aca="false">A2316&amp;"|"&amp;B2316&amp;"|"&amp;C2316&amp;"|"&amp;D2316</f>
        <v>4|4|Kristen|spotify:track:3MrWxJaD2AT0W9DjWF64Vm</v>
      </c>
    </row>
    <row r="2317" customFormat="false" ht="15" hidden="false" customHeight="false" outlineLevel="0" collapsed="false">
      <c r="A2317" s="5" t="n">
        <v>4</v>
      </c>
      <c r="B2317" s="5" t="n">
        <v>4</v>
      </c>
      <c r="C2317" s="5" t="s">
        <v>106</v>
      </c>
      <c r="D2317" s="5" t="s">
        <v>1171</v>
      </c>
      <c r="E2317" s="5" t="n">
        <v>1</v>
      </c>
      <c r="F2317" s="6" t="n">
        <f aca="false">IFERROR(MATCH(A2317&amp;"|"&amp;B2317&amp;"|"&amp;D2317,'All Song Rankings'!$T:$T,0),0)</f>
        <v>362</v>
      </c>
      <c r="G2317" s="6" t="str">
        <f aca="false">IF(F2317=0,"NOT FOUND",INDEX('All Song Rankings'!$A:$A,F2317))</f>
        <v>Still Fly</v>
      </c>
      <c r="H2317" s="6" t="str">
        <f aca="false">IF(F2317=0,"NOT FOUND",INDEX('All Song Rankings'!$B:$B,F2317))</f>
        <v>Big Tymers</v>
      </c>
      <c r="I2317" s="6" t="str">
        <f aca="false">IF(F2317=0,"NOT FOUND",INDEX('All Song Rankings'!$D:$D,F2317))</f>
        <v>Leah</v>
      </c>
      <c r="J2317" s="7" t="str">
        <f aca="false">IF(F2317=0,"NOT FOUND",IF(C2317=I2317,"SELF-VOTE",IF(COUNTIF($K:$K,K2317)&gt;1,"DUPLICATE","OK")))</f>
        <v>OK</v>
      </c>
      <c r="K2317" s="6" t="str">
        <f aca="false">A2317&amp;"|"&amp;B2317&amp;"|"&amp;C2317&amp;"|"&amp;D2317</f>
        <v>4|4|Kristen|spotify:track:563vSy3HB5NHxel1VGQCW6</v>
      </c>
    </row>
    <row r="2318" customFormat="false" ht="15" hidden="false" customHeight="false" outlineLevel="0" collapsed="false">
      <c r="A2318" s="5" t="n">
        <v>4</v>
      </c>
      <c r="B2318" s="5" t="n">
        <v>4</v>
      </c>
      <c r="C2318" s="5" t="s">
        <v>106</v>
      </c>
      <c r="D2318" s="5" t="s">
        <v>1142</v>
      </c>
      <c r="E2318" s="5" t="n">
        <v>2</v>
      </c>
      <c r="F2318" s="6" t="n">
        <f aca="false">IFERROR(MATCH(A2318&amp;"|"&amp;B2318&amp;"|"&amp;D2318,'All Song Rankings'!$T:$T,0),0)</f>
        <v>352</v>
      </c>
      <c r="G2318" s="6" t="str">
        <f aca="false">IF(F2318=0,"NOT FOUND",INDEX('All Song Rankings'!$A:$A,F2318))</f>
        <v>I'm Gonna Be (500 Miles)</v>
      </c>
      <c r="H2318" s="6" t="str">
        <f aca="false">IF(F2318=0,"NOT FOUND",INDEX('All Song Rankings'!$B:$B,F2318))</f>
        <v>The Proclaimers</v>
      </c>
      <c r="I2318" s="6" t="str">
        <f aca="false">IF(F2318=0,"NOT FOUND",INDEX('All Song Rankings'!$D:$D,F2318))</f>
        <v>Grace</v>
      </c>
      <c r="J2318" s="7" t="str">
        <f aca="false">IF(F2318=0,"NOT FOUND",IF(C2318=I2318,"SELF-VOTE",IF(COUNTIF($K:$K,K2318)&gt;1,"DUPLICATE","OK")))</f>
        <v>OK</v>
      </c>
      <c r="K2318" s="6" t="str">
        <f aca="false">A2318&amp;"|"&amp;B2318&amp;"|"&amp;C2318&amp;"|"&amp;D2318</f>
        <v>4|4|Kristen|spotify:track:67iAlVNDDdddxqSD2EZhFs</v>
      </c>
    </row>
    <row r="2319" customFormat="false" ht="15" hidden="false" customHeight="false" outlineLevel="0" collapsed="false">
      <c r="A2319" s="5" t="n">
        <v>4</v>
      </c>
      <c r="B2319" s="5" t="n">
        <v>4</v>
      </c>
      <c r="C2319" s="5" t="s">
        <v>119</v>
      </c>
      <c r="D2319" s="5" t="s">
        <v>1148</v>
      </c>
      <c r="E2319" s="5" t="n">
        <v>2</v>
      </c>
      <c r="F2319" s="6" t="n">
        <f aca="false">IFERROR(MATCH(A2319&amp;"|"&amp;B2319&amp;"|"&amp;D2319,'All Song Rankings'!$T:$T,0),0)</f>
        <v>354</v>
      </c>
      <c r="G2319" s="6" t="str">
        <f aca="false">IF(F2319=0,"NOT FOUND",INDEX('All Song Rankings'!$A:$A,F2319))</f>
        <v>Go Your Own Way</v>
      </c>
      <c r="H2319" s="6" t="str">
        <f aca="false">IF(F2319=0,"NOT FOUND",INDEX('All Song Rankings'!$B:$B,F2319))</f>
        <v>Fleetwood Mac</v>
      </c>
      <c r="I2319" s="6" t="str">
        <f aca="false">IF(F2319=0,"NOT FOUND",INDEX('All Song Rankings'!$D:$D,F2319))</f>
        <v>Kelsey</v>
      </c>
      <c r="J2319" s="7" t="str">
        <f aca="false">IF(F2319=0,"NOT FOUND",IF(C2319=I2319,"SELF-VOTE",IF(COUNTIF($K:$K,K2319)&gt;1,"DUPLICATE","OK")))</f>
        <v>OK</v>
      </c>
      <c r="K2319" s="6" t="str">
        <f aca="false">A2319&amp;"|"&amp;B2319&amp;"|"&amp;C2319&amp;"|"&amp;D2319</f>
        <v>4|4|Leah|spotify:track:15rjQH7nTcTomKwfVMd4xl</v>
      </c>
    </row>
    <row r="2320" customFormat="false" ht="15" hidden="false" customHeight="false" outlineLevel="0" collapsed="false">
      <c r="A2320" s="5" t="n">
        <v>4</v>
      </c>
      <c r="B2320" s="5" t="n">
        <v>4</v>
      </c>
      <c r="C2320" s="5" t="s">
        <v>119</v>
      </c>
      <c r="D2320" s="5" t="s">
        <v>1156</v>
      </c>
      <c r="E2320" s="5" t="n">
        <v>1</v>
      </c>
      <c r="F2320" s="6" t="n">
        <f aca="false">IFERROR(MATCH(A2320&amp;"|"&amp;B2320&amp;"|"&amp;D2320,'All Song Rankings'!$T:$T,0),0)</f>
        <v>357</v>
      </c>
      <c r="G2320" s="6" t="str">
        <f aca="false">IF(F2320=0,"NOT FOUND",INDEX('All Song Rankings'!$A:$A,F2320))</f>
        <v>Take Me Home, Country Roads - Original Version</v>
      </c>
      <c r="H2320" s="6" t="str">
        <f aca="false">IF(F2320=0,"NOT FOUND",INDEX('All Song Rankings'!$B:$B,F2320))</f>
        <v>John Denver</v>
      </c>
      <c r="I2320" s="6" t="str">
        <f aca="false">IF(F2320=0,"NOT FOUND",INDEX('All Song Rankings'!$D:$D,F2320))</f>
        <v>Stephanie</v>
      </c>
      <c r="J2320" s="7" t="str">
        <f aca="false">IF(F2320=0,"NOT FOUND",IF(C2320=I2320,"SELF-VOTE",IF(COUNTIF($K:$K,K2320)&gt;1,"DUPLICATE","OK")))</f>
        <v>OK</v>
      </c>
      <c r="K2320" s="6" t="str">
        <f aca="false">A2320&amp;"|"&amp;B2320&amp;"|"&amp;C2320&amp;"|"&amp;D2320</f>
        <v>4|4|Leah|spotify:track:1YYhDizHx7PnDhAhko6cDS</v>
      </c>
    </row>
    <row r="2321" customFormat="false" ht="15" hidden="false" customHeight="false" outlineLevel="0" collapsed="false">
      <c r="A2321" s="5" t="n">
        <v>4</v>
      </c>
      <c r="B2321" s="5" t="n">
        <v>4</v>
      </c>
      <c r="C2321" s="5" t="s">
        <v>119</v>
      </c>
      <c r="D2321" s="5" t="s">
        <v>1145</v>
      </c>
      <c r="E2321" s="5" t="n">
        <v>1</v>
      </c>
      <c r="F2321" s="6" t="n">
        <f aca="false">IFERROR(MATCH(A2321&amp;"|"&amp;B2321&amp;"|"&amp;D2321,'All Song Rankings'!$T:$T,0),0)</f>
        <v>353</v>
      </c>
      <c r="G2321" s="6" t="str">
        <f aca="false">IF(F2321=0,"NOT FOUND",INDEX('All Song Rankings'!$A:$A,F2321))</f>
        <v>Wild Heart</v>
      </c>
      <c r="H2321" s="6" t="str">
        <f aca="false">IF(F2321=0,"NOT FOUND",INDEX('All Song Rankings'!$B:$B,F2321))</f>
        <v>The Vamps</v>
      </c>
      <c r="I2321" s="6" t="str">
        <f aca="false">IF(F2321=0,"NOT FOUND",INDEX('All Song Rankings'!$D:$D,F2321))</f>
        <v>Merita</v>
      </c>
      <c r="J2321" s="7" t="str">
        <f aca="false">IF(F2321=0,"NOT FOUND",IF(C2321=I2321,"SELF-VOTE",IF(COUNTIF($K:$K,K2321)&gt;1,"DUPLICATE","OK")))</f>
        <v>OK</v>
      </c>
      <c r="K2321" s="6" t="str">
        <f aca="false">A2321&amp;"|"&amp;B2321&amp;"|"&amp;C2321&amp;"|"&amp;D2321</f>
        <v>4|4|Leah|spotify:track:2FTcOYcsSglWsS1zThQRh9</v>
      </c>
    </row>
    <row r="2322" customFormat="false" ht="15" hidden="false" customHeight="false" outlineLevel="0" collapsed="false">
      <c r="A2322" s="5" t="n">
        <v>4</v>
      </c>
      <c r="B2322" s="5" t="n">
        <v>4</v>
      </c>
      <c r="C2322" s="5" t="s">
        <v>119</v>
      </c>
      <c r="D2322" s="5" t="s">
        <v>1153</v>
      </c>
      <c r="E2322" s="5" t="n">
        <v>1</v>
      </c>
      <c r="F2322" s="6" t="n">
        <f aca="false">IFERROR(MATCH(A2322&amp;"|"&amp;B2322&amp;"|"&amp;D2322,'All Song Rankings'!$T:$T,0),0)</f>
        <v>356</v>
      </c>
      <c r="G2322" s="6" t="str">
        <f aca="false">IF(F2322=0,"NOT FOUND",INDEX('All Song Rankings'!$A:$A,F2322))</f>
        <v>Holiday Road - National Lampoon's Vacation</v>
      </c>
      <c r="H2322" s="6" t="str">
        <f aca="false">IF(F2322=0,"NOT FOUND",INDEX('All Song Rankings'!$B:$B,F2322))</f>
        <v>Lindsey Buckingham</v>
      </c>
      <c r="I2322" s="6" t="str">
        <f aca="false">IF(F2322=0,"NOT FOUND",INDEX('All Song Rankings'!$D:$D,F2322))</f>
        <v>Scott</v>
      </c>
      <c r="J2322" s="7" t="str">
        <f aca="false">IF(F2322=0,"NOT FOUND",IF(C2322=I2322,"SELF-VOTE",IF(COUNTIF($K:$K,K2322)&gt;1,"DUPLICATE","OK")))</f>
        <v>OK</v>
      </c>
      <c r="K2322" s="6" t="str">
        <f aca="false">A2322&amp;"|"&amp;B2322&amp;"|"&amp;C2322&amp;"|"&amp;D2322</f>
        <v>4|4|Leah|spotify:track:38i0QcGQ9hu8PMk4QObUTj</v>
      </c>
    </row>
    <row r="2323" customFormat="false" ht="15" hidden="false" customHeight="false" outlineLevel="0" collapsed="false">
      <c r="A2323" s="5" t="n">
        <v>4</v>
      </c>
      <c r="B2323" s="5" t="n">
        <v>4</v>
      </c>
      <c r="C2323" s="5" t="s">
        <v>119</v>
      </c>
      <c r="D2323" s="5" t="s">
        <v>1162</v>
      </c>
      <c r="E2323" s="5" t="n">
        <v>2</v>
      </c>
      <c r="F2323" s="6" t="n">
        <f aca="false">IFERROR(MATCH(A2323&amp;"|"&amp;B2323&amp;"|"&amp;D2323,'All Song Rankings'!$T:$T,0),0)</f>
        <v>359</v>
      </c>
      <c r="G2323" s="6" t="str">
        <f aca="false">IF(F2323=0,"NOT FOUND",INDEX('All Song Rankings'!$A:$A,F2323))</f>
        <v>Nothing's Gonna Stop Us Now</v>
      </c>
      <c r="H2323" s="6" t="str">
        <f aca="false">IF(F2323=0,"NOT FOUND",INDEX('All Song Rankings'!$B:$B,F2323))</f>
        <v>Starship</v>
      </c>
      <c r="I2323" s="6" t="str">
        <f aca="false">IF(F2323=0,"NOT FOUND",INDEX('All Song Rankings'!$D:$D,F2323))</f>
        <v>Logan</v>
      </c>
      <c r="J2323" s="7" t="str">
        <f aca="false">IF(F2323=0,"NOT FOUND",IF(C2323=I2323,"SELF-VOTE",IF(COUNTIF($K:$K,K2323)&gt;1,"DUPLICATE","OK")))</f>
        <v>OK</v>
      </c>
      <c r="K2323" s="6" t="str">
        <f aca="false">A2323&amp;"|"&amp;B2323&amp;"|"&amp;C2323&amp;"|"&amp;D2323</f>
        <v>4|4|Leah|spotify:track:3X7uFMzJrEE0sxn62qd8Ch</v>
      </c>
    </row>
    <row r="2324" customFormat="false" ht="15" hidden="false" customHeight="false" outlineLevel="0" collapsed="false">
      <c r="A2324" s="5" t="n">
        <v>4</v>
      </c>
      <c r="B2324" s="5" t="n">
        <v>4</v>
      </c>
      <c r="C2324" s="5" t="s">
        <v>119</v>
      </c>
      <c r="D2324" s="5" t="s">
        <v>1174</v>
      </c>
      <c r="E2324" s="5" t="n">
        <v>1</v>
      </c>
      <c r="F2324" s="6" t="n">
        <f aca="false">IFERROR(MATCH(A2324&amp;"|"&amp;B2324&amp;"|"&amp;D2324,'All Song Rankings'!$T:$T,0),0)</f>
        <v>363</v>
      </c>
      <c r="G2324" s="6" t="str">
        <f aca="false">IF(F2324=0,"NOT FOUND",INDEX('All Song Rankings'!$A:$A,F2324))</f>
        <v>Runnin' Down A Dream</v>
      </c>
      <c r="H2324" s="6" t="str">
        <f aca="false">IF(F2324=0,"NOT FOUND",INDEX('All Song Rankings'!$B:$B,F2324))</f>
        <v>Tom Petty</v>
      </c>
      <c r="I2324" s="6" t="str">
        <f aca="false">IF(F2324=0,"NOT FOUND",INDEX('All Song Rankings'!$D:$D,F2324))</f>
        <v>Christine</v>
      </c>
      <c r="J2324" s="7" t="str">
        <f aca="false">IF(F2324=0,"NOT FOUND",IF(C2324=I2324,"SELF-VOTE",IF(COUNTIF($K:$K,K2324)&gt;1,"DUPLICATE","OK")))</f>
        <v>OK</v>
      </c>
      <c r="K2324" s="6" t="str">
        <f aca="false">A2324&amp;"|"&amp;B2324&amp;"|"&amp;C2324&amp;"|"&amp;D2324</f>
        <v>4|4|Leah|spotify:track:4AiMaeCXwsldpwvA5wu5gM</v>
      </c>
    </row>
    <row r="2325" customFormat="false" ht="15" hidden="false" customHeight="false" outlineLevel="0" collapsed="false">
      <c r="A2325" s="5" t="n">
        <v>4</v>
      </c>
      <c r="B2325" s="5" t="n">
        <v>4</v>
      </c>
      <c r="C2325" s="5" t="s">
        <v>119</v>
      </c>
      <c r="D2325" s="5" t="s">
        <v>1180</v>
      </c>
      <c r="E2325" s="5" t="n">
        <v>1</v>
      </c>
      <c r="F2325" s="6" t="n">
        <f aca="false">IFERROR(MATCH(A2325&amp;"|"&amp;B2325&amp;"|"&amp;D2325,'All Song Rankings'!$T:$T,0),0)</f>
        <v>365</v>
      </c>
      <c r="G2325" s="6" t="str">
        <f aca="false">IF(F2325=0,"NOT FOUND",INDEX('All Song Rankings'!$A:$A,F2325))</f>
        <v>The Boys Of Summer - Remastered 2024</v>
      </c>
      <c r="H2325" s="6" t="str">
        <f aca="false">IF(F2325=0,"NOT FOUND",INDEX('All Song Rankings'!$B:$B,F2325))</f>
        <v>Don Henley</v>
      </c>
      <c r="I2325" s="6" t="str">
        <f aca="false">IF(F2325=0,"NOT FOUND",INDEX('All Song Rankings'!$D:$D,F2325))</f>
        <v>Lisa</v>
      </c>
      <c r="J2325" s="7" t="str">
        <f aca="false">IF(F2325=0,"NOT FOUND",IF(C2325=I2325,"SELF-VOTE",IF(COUNTIF($K:$K,K2325)&gt;1,"DUPLICATE","OK")))</f>
        <v>OK</v>
      </c>
      <c r="K2325" s="6" t="str">
        <f aca="false">A2325&amp;"|"&amp;B2325&amp;"|"&amp;C2325&amp;"|"&amp;D2325</f>
        <v>4|4|Leah|spotify:track:4Q3ERWBrb4lhDvAPyANjY5</v>
      </c>
    </row>
    <row r="2326" customFormat="false" ht="15" hidden="false" customHeight="false" outlineLevel="0" collapsed="false">
      <c r="A2326" s="5" t="n">
        <v>4</v>
      </c>
      <c r="B2326" s="5" t="n">
        <v>4</v>
      </c>
      <c r="C2326" s="5" t="s">
        <v>119</v>
      </c>
      <c r="D2326" s="5" t="s">
        <v>1150</v>
      </c>
      <c r="E2326" s="5" t="n">
        <v>1</v>
      </c>
      <c r="F2326" s="6" t="n">
        <f aca="false">IFERROR(MATCH(A2326&amp;"|"&amp;B2326&amp;"|"&amp;D2326,'All Song Rankings'!$T:$T,0),0)</f>
        <v>355</v>
      </c>
      <c r="G2326" s="6" t="str">
        <f aca="false">IF(F2326=0,"NOT FOUND",INDEX('All Song Rankings'!$A:$A,F2326))</f>
        <v>Take A Chance On Me</v>
      </c>
      <c r="H2326" s="6" t="str">
        <f aca="false">IF(F2326=0,"NOT FOUND",INDEX('All Song Rankings'!$B:$B,F2326))</f>
        <v>ABBA</v>
      </c>
      <c r="I2326" s="6" t="str">
        <f aca="false">IF(F2326=0,"NOT FOUND",INDEX('All Song Rankings'!$D:$D,F2326))</f>
        <v>Makenzie</v>
      </c>
      <c r="J2326" s="7" t="str">
        <f aca="false">IF(F2326=0,"NOT FOUND",IF(C2326=I2326,"SELF-VOTE",IF(COUNTIF($K:$K,K2326)&gt;1,"DUPLICATE","OK")))</f>
        <v>OK</v>
      </c>
      <c r="K2326" s="6" t="str">
        <f aca="false">A2326&amp;"|"&amp;B2326&amp;"|"&amp;C2326&amp;"|"&amp;D2326</f>
        <v>4|4|Leah|spotify:track:5BckPAYcKEJuYs1eV1BHHe</v>
      </c>
    </row>
    <row r="2327" customFormat="false" ht="15" hidden="false" customHeight="false" outlineLevel="0" collapsed="false">
      <c r="A2327" s="5" t="n">
        <v>4</v>
      </c>
      <c r="B2327" s="5" t="n">
        <v>4</v>
      </c>
      <c r="C2327" s="5" t="s">
        <v>705</v>
      </c>
      <c r="D2327" s="5" t="s">
        <v>1148</v>
      </c>
      <c r="E2327" s="5" t="n">
        <v>1</v>
      </c>
      <c r="F2327" s="6" t="n">
        <f aca="false">IFERROR(MATCH(A2327&amp;"|"&amp;B2327&amp;"|"&amp;D2327,'All Song Rankings'!$T:$T,0),0)</f>
        <v>354</v>
      </c>
      <c r="G2327" s="6" t="str">
        <f aca="false">IF(F2327=0,"NOT FOUND",INDEX('All Song Rankings'!$A:$A,F2327))</f>
        <v>Go Your Own Way</v>
      </c>
      <c r="H2327" s="6" t="str">
        <f aca="false">IF(F2327=0,"NOT FOUND",INDEX('All Song Rankings'!$B:$B,F2327))</f>
        <v>Fleetwood Mac</v>
      </c>
      <c r="I2327" s="6" t="str">
        <f aca="false">IF(F2327=0,"NOT FOUND",INDEX('All Song Rankings'!$D:$D,F2327))</f>
        <v>Kelsey</v>
      </c>
      <c r="J2327" s="7" t="str">
        <f aca="false">IF(F2327=0,"NOT FOUND",IF(C2327=I2327,"SELF-VOTE",IF(COUNTIF($K:$K,K2327)&gt;1,"DUPLICATE","OK")))</f>
        <v>OK</v>
      </c>
      <c r="K2327" s="6" t="str">
        <f aca="false">A2327&amp;"|"&amp;B2327&amp;"|"&amp;C2327&amp;"|"&amp;D2327</f>
        <v>4|4|Lisa|spotify:track:15rjQH7nTcTomKwfVMd4xl</v>
      </c>
    </row>
    <row r="2328" customFormat="false" ht="15" hidden="false" customHeight="false" outlineLevel="0" collapsed="false">
      <c r="A2328" s="5" t="n">
        <v>4</v>
      </c>
      <c r="B2328" s="5" t="n">
        <v>4</v>
      </c>
      <c r="C2328" s="5" t="s">
        <v>705</v>
      </c>
      <c r="D2328" s="5" t="s">
        <v>1145</v>
      </c>
      <c r="E2328" s="5" t="n">
        <v>1</v>
      </c>
      <c r="F2328" s="6" t="n">
        <f aca="false">IFERROR(MATCH(A2328&amp;"|"&amp;B2328&amp;"|"&amp;D2328,'All Song Rankings'!$T:$T,0),0)</f>
        <v>353</v>
      </c>
      <c r="G2328" s="6" t="str">
        <f aca="false">IF(F2328=0,"NOT FOUND",INDEX('All Song Rankings'!$A:$A,F2328))</f>
        <v>Wild Heart</v>
      </c>
      <c r="H2328" s="6" t="str">
        <f aca="false">IF(F2328=0,"NOT FOUND",INDEX('All Song Rankings'!$B:$B,F2328))</f>
        <v>The Vamps</v>
      </c>
      <c r="I2328" s="6" t="str">
        <f aca="false">IF(F2328=0,"NOT FOUND",INDEX('All Song Rankings'!$D:$D,F2328))</f>
        <v>Merita</v>
      </c>
      <c r="J2328" s="7" t="str">
        <f aca="false">IF(F2328=0,"NOT FOUND",IF(C2328=I2328,"SELF-VOTE",IF(COUNTIF($K:$K,K2328)&gt;1,"DUPLICATE","OK")))</f>
        <v>OK</v>
      </c>
      <c r="K2328" s="6" t="str">
        <f aca="false">A2328&amp;"|"&amp;B2328&amp;"|"&amp;C2328&amp;"|"&amp;D2328</f>
        <v>4|4|Lisa|spotify:track:2FTcOYcsSglWsS1zThQRh9</v>
      </c>
    </row>
    <row r="2329" customFormat="false" ht="15" hidden="false" customHeight="false" outlineLevel="0" collapsed="false">
      <c r="A2329" s="5" t="n">
        <v>4</v>
      </c>
      <c r="B2329" s="5" t="n">
        <v>4</v>
      </c>
      <c r="C2329" s="5" t="s">
        <v>705</v>
      </c>
      <c r="D2329" s="5" t="s">
        <v>1153</v>
      </c>
      <c r="E2329" s="5" t="n">
        <v>1</v>
      </c>
      <c r="F2329" s="6" t="n">
        <f aca="false">IFERROR(MATCH(A2329&amp;"|"&amp;B2329&amp;"|"&amp;D2329,'All Song Rankings'!$T:$T,0),0)</f>
        <v>356</v>
      </c>
      <c r="G2329" s="6" t="str">
        <f aca="false">IF(F2329=0,"NOT FOUND",INDEX('All Song Rankings'!$A:$A,F2329))</f>
        <v>Holiday Road - National Lampoon's Vacation</v>
      </c>
      <c r="H2329" s="6" t="str">
        <f aca="false">IF(F2329=0,"NOT FOUND",INDEX('All Song Rankings'!$B:$B,F2329))</f>
        <v>Lindsey Buckingham</v>
      </c>
      <c r="I2329" s="6" t="str">
        <f aca="false">IF(F2329=0,"NOT FOUND",INDEX('All Song Rankings'!$D:$D,F2329))</f>
        <v>Scott</v>
      </c>
      <c r="J2329" s="7" t="str">
        <f aca="false">IF(F2329=0,"NOT FOUND",IF(C2329=I2329,"SELF-VOTE",IF(COUNTIF($K:$K,K2329)&gt;1,"DUPLICATE","OK")))</f>
        <v>OK</v>
      </c>
      <c r="K2329" s="6" t="str">
        <f aca="false">A2329&amp;"|"&amp;B2329&amp;"|"&amp;C2329&amp;"|"&amp;D2329</f>
        <v>4|4|Lisa|spotify:track:38i0QcGQ9hu8PMk4QObUTj</v>
      </c>
    </row>
    <row r="2330" customFormat="false" ht="15" hidden="false" customHeight="false" outlineLevel="0" collapsed="false">
      <c r="A2330" s="5" t="n">
        <v>4</v>
      </c>
      <c r="B2330" s="5" t="n">
        <v>4</v>
      </c>
      <c r="C2330" s="5" t="s">
        <v>705</v>
      </c>
      <c r="D2330" s="5" t="s">
        <v>1162</v>
      </c>
      <c r="E2330" s="5" t="n">
        <v>1</v>
      </c>
      <c r="F2330" s="6" t="n">
        <f aca="false">IFERROR(MATCH(A2330&amp;"|"&amp;B2330&amp;"|"&amp;D2330,'All Song Rankings'!$T:$T,0),0)</f>
        <v>359</v>
      </c>
      <c r="G2330" s="6" t="str">
        <f aca="false">IF(F2330=0,"NOT FOUND",INDEX('All Song Rankings'!$A:$A,F2330))</f>
        <v>Nothing's Gonna Stop Us Now</v>
      </c>
      <c r="H2330" s="6" t="str">
        <f aca="false">IF(F2330=0,"NOT FOUND",INDEX('All Song Rankings'!$B:$B,F2330))</f>
        <v>Starship</v>
      </c>
      <c r="I2330" s="6" t="str">
        <f aca="false">IF(F2330=0,"NOT FOUND",INDEX('All Song Rankings'!$D:$D,F2330))</f>
        <v>Logan</v>
      </c>
      <c r="J2330" s="7" t="str">
        <f aca="false">IF(F2330=0,"NOT FOUND",IF(C2330=I2330,"SELF-VOTE",IF(COUNTIF($K:$K,K2330)&gt;1,"DUPLICATE","OK")))</f>
        <v>OK</v>
      </c>
      <c r="K2330" s="6" t="str">
        <f aca="false">A2330&amp;"|"&amp;B2330&amp;"|"&amp;C2330&amp;"|"&amp;D2330</f>
        <v>4|4|Lisa|spotify:track:3X7uFMzJrEE0sxn62qd8Ch</v>
      </c>
    </row>
    <row r="2331" customFormat="false" ht="15" hidden="false" customHeight="false" outlineLevel="0" collapsed="false">
      <c r="A2331" s="5" t="n">
        <v>4</v>
      </c>
      <c r="B2331" s="5" t="n">
        <v>4</v>
      </c>
      <c r="C2331" s="5" t="s">
        <v>705</v>
      </c>
      <c r="D2331" s="5" t="s">
        <v>1174</v>
      </c>
      <c r="E2331" s="5" t="n">
        <v>2</v>
      </c>
      <c r="F2331" s="6" t="n">
        <f aca="false">IFERROR(MATCH(A2331&amp;"|"&amp;B2331&amp;"|"&amp;D2331,'All Song Rankings'!$T:$T,0),0)</f>
        <v>363</v>
      </c>
      <c r="G2331" s="6" t="str">
        <f aca="false">IF(F2331=0,"NOT FOUND",INDEX('All Song Rankings'!$A:$A,F2331))</f>
        <v>Runnin' Down A Dream</v>
      </c>
      <c r="H2331" s="6" t="str">
        <f aca="false">IF(F2331=0,"NOT FOUND",INDEX('All Song Rankings'!$B:$B,F2331))</f>
        <v>Tom Petty</v>
      </c>
      <c r="I2331" s="6" t="str">
        <f aca="false">IF(F2331=0,"NOT FOUND",INDEX('All Song Rankings'!$D:$D,F2331))</f>
        <v>Christine</v>
      </c>
      <c r="J2331" s="7" t="str">
        <f aca="false">IF(F2331=0,"NOT FOUND",IF(C2331=I2331,"SELF-VOTE",IF(COUNTIF($K:$K,K2331)&gt;1,"DUPLICATE","OK")))</f>
        <v>OK</v>
      </c>
      <c r="K2331" s="6" t="str">
        <f aca="false">A2331&amp;"|"&amp;B2331&amp;"|"&amp;C2331&amp;"|"&amp;D2331</f>
        <v>4|4|Lisa|spotify:track:4AiMaeCXwsldpwvA5wu5gM</v>
      </c>
    </row>
    <row r="2332" customFormat="false" ht="15" hidden="false" customHeight="false" outlineLevel="0" collapsed="false">
      <c r="A2332" s="5" t="n">
        <v>4</v>
      </c>
      <c r="B2332" s="5" t="n">
        <v>4</v>
      </c>
      <c r="C2332" s="5" t="s">
        <v>705</v>
      </c>
      <c r="D2332" s="5" t="s">
        <v>1165</v>
      </c>
      <c r="E2332" s="5" t="n">
        <v>1</v>
      </c>
      <c r="F2332" s="6" t="n">
        <f aca="false">IFERROR(MATCH(A2332&amp;"|"&amp;B2332&amp;"|"&amp;D2332,'All Song Rankings'!$T:$T,0),0)</f>
        <v>360</v>
      </c>
      <c r="G2332" s="6" t="str">
        <f aca="false">IF(F2332=0,"NOT FOUND",INDEX('All Song Rankings'!$A:$A,F2332))</f>
        <v>A Thousand Miles</v>
      </c>
      <c r="H2332" s="6" t="str">
        <f aca="false">IF(F2332=0,"NOT FOUND",INDEX('All Song Rankings'!$B:$B,F2332))</f>
        <v>Vanessa Carlton</v>
      </c>
      <c r="I2332" s="6" t="str">
        <f aca="false">IF(F2332=0,"NOT FOUND",INDEX('All Song Rankings'!$D:$D,F2332))</f>
        <v>Colleen</v>
      </c>
      <c r="J2332" s="7" t="str">
        <f aca="false">IF(F2332=0,"NOT FOUND",IF(C2332=I2332,"SELF-VOTE",IF(COUNTIF($K:$K,K2332)&gt;1,"DUPLICATE","OK")))</f>
        <v>OK</v>
      </c>
      <c r="K2332" s="6" t="str">
        <f aca="false">A2332&amp;"|"&amp;B2332&amp;"|"&amp;C2332&amp;"|"&amp;D2332</f>
        <v>4|4|Lisa|spotify:track:4w1lzcaoZ1IC2K5TwjalRP</v>
      </c>
    </row>
    <row r="2333" customFormat="false" ht="15" hidden="false" customHeight="false" outlineLevel="0" collapsed="false">
      <c r="A2333" s="5" t="n">
        <v>4</v>
      </c>
      <c r="B2333" s="5" t="n">
        <v>4</v>
      </c>
      <c r="C2333" s="5" t="s">
        <v>705</v>
      </c>
      <c r="D2333" s="5" t="s">
        <v>1150</v>
      </c>
      <c r="E2333" s="5" t="n">
        <v>2</v>
      </c>
      <c r="F2333" s="6" t="n">
        <f aca="false">IFERROR(MATCH(A2333&amp;"|"&amp;B2333&amp;"|"&amp;D2333,'All Song Rankings'!$T:$T,0),0)</f>
        <v>355</v>
      </c>
      <c r="G2333" s="6" t="str">
        <f aca="false">IF(F2333=0,"NOT FOUND",INDEX('All Song Rankings'!$A:$A,F2333))</f>
        <v>Take A Chance On Me</v>
      </c>
      <c r="H2333" s="6" t="str">
        <f aca="false">IF(F2333=0,"NOT FOUND",INDEX('All Song Rankings'!$B:$B,F2333))</f>
        <v>ABBA</v>
      </c>
      <c r="I2333" s="6" t="str">
        <f aca="false">IF(F2333=0,"NOT FOUND",INDEX('All Song Rankings'!$D:$D,F2333))</f>
        <v>Makenzie</v>
      </c>
      <c r="J2333" s="7" t="str">
        <f aca="false">IF(F2333=0,"NOT FOUND",IF(C2333=I2333,"SELF-VOTE",IF(COUNTIF($K:$K,K2333)&gt;1,"DUPLICATE","OK")))</f>
        <v>OK</v>
      </c>
      <c r="K2333" s="6" t="str">
        <f aca="false">A2333&amp;"|"&amp;B2333&amp;"|"&amp;C2333&amp;"|"&amp;D2333</f>
        <v>4|4|Lisa|spotify:track:5BckPAYcKEJuYs1eV1BHHe</v>
      </c>
    </row>
    <row r="2334" customFormat="false" ht="15" hidden="false" customHeight="false" outlineLevel="0" collapsed="false">
      <c r="A2334" s="5" t="n">
        <v>4</v>
      </c>
      <c r="B2334" s="5" t="n">
        <v>4</v>
      </c>
      <c r="C2334" s="5" t="s">
        <v>705</v>
      </c>
      <c r="D2334" s="5" t="s">
        <v>1142</v>
      </c>
      <c r="E2334" s="5" t="n">
        <v>1</v>
      </c>
      <c r="F2334" s="6" t="n">
        <f aca="false">IFERROR(MATCH(A2334&amp;"|"&amp;B2334&amp;"|"&amp;D2334,'All Song Rankings'!$T:$T,0),0)</f>
        <v>352</v>
      </c>
      <c r="G2334" s="6" t="str">
        <f aca="false">IF(F2334=0,"NOT FOUND",INDEX('All Song Rankings'!$A:$A,F2334))</f>
        <v>I'm Gonna Be (500 Miles)</v>
      </c>
      <c r="H2334" s="6" t="str">
        <f aca="false">IF(F2334=0,"NOT FOUND",INDEX('All Song Rankings'!$B:$B,F2334))</f>
        <v>The Proclaimers</v>
      </c>
      <c r="I2334" s="6" t="str">
        <f aca="false">IF(F2334=0,"NOT FOUND",INDEX('All Song Rankings'!$D:$D,F2334))</f>
        <v>Grace</v>
      </c>
      <c r="J2334" s="7" t="str">
        <f aca="false">IF(F2334=0,"NOT FOUND",IF(C2334=I2334,"SELF-VOTE",IF(COUNTIF($K:$K,K2334)&gt;1,"DUPLICATE","OK")))</f>
        <v>OK</v>
      </c>
      <c r="K2334" s="6" t="str">
        <f aca="false">A2334&amp;"|"&amp;B2334&amp;"|"&amp;C2334&amp;"|"&amp;D2334</f>
        <v>4|4|Lisa|spotify:track:67iAlVNDDdddxqSD2EZhFs</v>
      </c>
    </row>
    <row r="2335" customFormat="false" ht="15" hidden="false" customHeight="false" outlineLevel="0" collapsed="false">
      <c r="A2335" s="5" t="n">
        <v>4</v>
      </c>
      <c r="B2335" s="5" t="n">
        <v>4</v>
      </c>
      <c r="C2335" s="5" t="s">
        <v>128</v>
      </c>
      <c r="D2335" s="5" t="s">
        <v>1148</v>
      </c>
      <c r="E2335" s="5" t="n">
        <v>1</v>
      </c>
      <c r="F2335" s="6" t="n">
        <f aca="false">IFERROR(MATCH(A2335&amp;"|"&amp;B2335&amp;"|"&amp;D2335,'All Song Rankings'!$T:$T,0),0)</f>
        <v>354</v>
      </c>
      <c r="G2335" s="6" t="str">
        <f aca="false">IF(F2335=0,"NOT FOUND",INDEX('All Song Rankings'!$A:$A,F2335))</f>
        <v>Go Your Own Way</v>
      </c>
      <c r="H2335" s="6" t="str">
        <f aca="false">IF(F2335=0,"NOT FOUND",INDEX('All Song Rankings'!$B:$B,F2335))</f>
        <v>Fleetwood Mac</v>
      </c>
      <c r="I2335" s="6" t="str">
        <f aca="false">IF(F2335=0,"NOT FOUND",INDEX('All Song Rankings'!$D:$D,F2335))</f>
        <v>Kelsey</v>
      </c>
      <c r="J2335" s="7" t="str">
        <f aca="false">IF(F2335=0,"NOT FOUND",IF(C2335=I2335,"SELF-VOTE",IF(COUNTIF($K:$K,K2335)&gt;1,"DUPLICATE","OK")))</f>
        <v>OK</v>
      </c>
      <c r="K2335" s="6" t="str">
        <f aca="false">A2335&amp;"|"&amp;B2335&amp;"|"&amp;C2335&amp;"|"&amp;D2335</f>
        <v>4|4|Logan|spotify:track:15rjQH7nTcTomKwfVMd4xl</v>
      </c>
    </row>
    <row r="2336" customFormat="false" ht="15" hidden="false" customHeight="false" outlineLevel="0" collapsed="false">
      <c r="A2336" s="5" t="n">
        <v>4</v>
      </c>
      <c r="B2336" s="5" t="n">
        <v>4</v>
      </c>
      <c r="C2336" s="5" t="s">
        <v>128</v>
      </c>
      <c r="D2336" s="5" t="s">
        <v>1159</v>
      </c>
      <c r="E2336" s="5" t="n">
        <v>2</v>
      </c>
      <c r="F2336" s="6" t="n">
        <f aca="false">IFERROR(MATCH(A2336&amp;"|"&amp;B2336&amp;"|"&amp;D2336,'All Song Rankings'!$T:$T,0),0)</f>
        <v>358</v>
      </c>
      <c r="G2336" s="6" t="str">
        <f aca="false">IF(F2336=0,"NOT FOUND",INDEX('All Song Rankings'!$A:$A,F2336))</f>
        <v>Come On Eileen</v>
      </c>
      <c r="H2336" s="6" t="str">
        <f aca="false">IF(F2336=0,"NOT FOUND",INDEX('All Song Rankings'!$B:$B,F2336))</f>
        <v>Dexys Midnight Runners</v>
      </c>
      <c r="I2336" s="6" t="str">
        <f aca="false">IF(F2336=0,"NOT FOUND",INDEX('All Song Rankings'!$D:$D,F2336))</f>
        <v>Matt</v>
      </c>
      <c r="J2336" s="7" t="str">
        <f aca="false">IF(F2336=0,"NOT FOUND",IF(C2336=I2336,"SELF-VOTE",IF(COUNTIF($K:$K,K2336)&gt;1,"DUPLICATE","OK")))</f>
        <v>OK</v>
      </c>
      <c r="K2336" s="6" t="str">
        <f aca="false">A2336&amp;"|"&amp;B2336&amp;"|"&amp;C2336&amp;"|"&amp;D2336</f>
        <v>4|4|Logan|spotify:track:3MrWxJaD2AT0W9DjWF64Vm</v>
      </c>
    </row>
    <row r="2337" customFormat="false" ht="15" hidden="false" customHeight="false" outlineLevel="0" collapsed="false">
      <c r="A2337" s="5" t="n">
        <v>4</v>
      </c>
      <c r="B2337" s="5" t="n">
        <v>4</v>
      </c>
      <c r="C2337" s="5" t="s">
        <v>128</v>
      </c>
      <c r="D2337" s="5" t="s">
        <v>1180</v>
      </c>
      <c r="E2337" s="5" t="n">
        <v>2</v>
      </c>
      <c r="F2337" s="6" t="n">
        <f aca="false">IFERROR(MATCH(A2337&amp;"|"&amp;B2337&amp;"|"&amp;D2337,'All Song Rankings'!$T:$T,0),0)</f>
        <v>365</v>
      </c>
      <c r="G2337" s="6" t="str">
        <f aca="false">IF(F2337=0,"NOT FOUND",INDEX('All Song Rankings'!$A:$A,F2337))</f>
        <v>The Boys Of Summer - Remastered 2024</v>
      </c>
      <c r="H2337" s="6" t="str">
        <f aca="false">IF(F2337=0,"NOT FOUND",INDEX('All Song Rankings'!$B:$B,F2337))</f>
        <v>Don Henley</v>
      </c>
      <c r="I2337" s="6" t="str">
        <f aca="false">IF(F2337=0,"NOT FOUND",INDEX('All Song Rankings'!$D:$D,F2337))</f>
        <v>Lisa</v>
      </c>
      <c r="J2337" s="7" t="str">
        <f aca="false">IF(F2337=0,"NOT FOUND",IF(C2337=I2337,"SELF-VOTE",IF(COUNTIF($K:$K,K2337)&gt;1,"DUPLICATE","OK")))</f>
        <v>OK</v>
      </c>
      <c r="K2337" s="6" t="str">
        <f aca="false">A2337&amp;"|"&amp;B2337&amp;"|"&amp;C2337&amp;"|"&amp;D2337</f>
        <v>4|4|Logan|spotify:track:4Q3ERWBrb4lhDvAPyANjY5</v>
      </c>
    </row>
    <row r="2338" customFormat="false" ht="15" hidden="false" customHeight="false" outlineLevel="0" collapsed="false">
      <c r="A2338" s="5" t="n">
        <v>4</v>
      </c>
      <c r="B2338" s="5" t="n">
        <v>4</v>
      </c>
      <c r="C2338" s="5" t="s">
        <v>128</v>
      </c>
      <c r="D2338" s="5" t="s">
        <v>1171</v>
      </c>
      <c r="E2338" s="5" t="n">
        <v>1</v>
      </c>
      <c r="F2338" s="6" t="n">
        <f aca="false">IFERROR(MATCH(A2338&amp;"|"&amp;B2338&amp;"|"&amp;D2338,'All Song Rankings'!$T:$T,0),0)</f>
        <v>362</v>
      </c>
      <c r="G2338" s="6" t="str">
        <f aca="false">IF(F2338=0,"NOT FOUND",INDEX('All Song Rankings'!$A:$A,F2338))</f>
        <v>Still Fly</v>
      </c>
      <c r="H2338" s="6" t="str">
        <f aca="false">IF(F2338=0,"NOT FOUND",INDEX('All Song Rankings'!$B:$B,F2338))</f>
        <v>Big Tymers</v>
      </c>
      <c r="I2338" s="6" t="str">
        <f aca="false">IF(F2338=0,"NOT FOUND",INDEX('All Song Rankings'!$D:$D,F2338))</f>
        <v>Leah</v>
      </c>
      <c r="J2338" s="7" t="str">
        <f aca="false">IF(F2338=0,"NOT FOUND",IF(C2338=I2338,"SELF-VOTE",IF(COUNTIF($K:$K,K2338)&gt;1,"DUPLICATE","OK")))</f>
        <v>OK</v>
      </c>
      <c r="K2338" s="6" t="str">
        <f aca="false">A2338&amp;"|"&amp;B2338&amp;"|"&amp;C2338&amp;"|"&amp;D2338</f>
        <v>4|4|Logan|spotify:track:563vSy3HB5NHxel1VGQCW6</v>
      </c>
    </row>
    <row r="2339" customFormat="false" ht="15" hidden="false" customHeight="false" outlineLevel="0" collapsed="false">
      <c r="A2339" s="5" t="n">
        <v>4</v>
      </c>
      <c r="B2339" s="5" t="n">
        <v>4</v>
      </c>
      <c r="C2339" s="5" t="s">
        <v>128</v>
      </c>
      <c r="D2339" s="5" t="s">
        <v>1150</v>
      </c>
      <c r="E2339" s="5" t="n">
        <v>1</v>
      </c>
      <c r="F2339" s="6" t="n">
        <f aca="false">IFERROR(MATCH(A2339&amp;"|"&amp;B2339&amp;"|"&amp;D2339,'All Song Rankings'!$T:$T,0),0)</f>
        <v>355</v>
      </c>
      <c r="G2339" s="6" t="str">
        <f aca="false">IF(F2339=0,"NOT FOUND",INDEX('All Song Rankings'!$A:$A,F2339))</f>
        <v>Take A Chance On Me</v>
      </c>
      <c r="H2339" s="6" t="str">
        <f aca="false">IF(F2339=0,"NOT FOUND",INDEX('All Song Rankings'!$B:$B,F2339))</f>
        <v>ABBA</v>
      </c>
      <c r="I2339" s="6" t="str">
        <f aca="false">IF(F2339=0,"NOT FOUND",INDEX('All Song Rankings'!$D:$D,F2339))</f>
        <v>Makenzie</v>
      </c>
      <c r="J2339" s="7" t="str">
        <f aca="false">IF(F2339=0,"NOT FOUND",IF(C2339=I2339,"SELF-VOTE",IF(COUNTIF($K:$K,K2339)&gt;1,"DUPLICATE","OK")))</f>
        <v>OK</v>
      </c>
      <c r="K2339" s="6" t="str">
        <f aca="false">A2339&amp;"|"&amp;B2339&amp;"|"&amp;C2339&amp;"|"&amp;D2339</f>
        <v>4|4|Logan|spotify:track:5BckPAYcKEJuYs1eV1BHHe</v>
      </c>
    </row>
    <row r="2340" customFormat="false" ht="15" hidden="false" customHeight="false" outlineLevel="0" collapsed="false">
      <c r="A2340" s="5" t="n">
        <v>4</v>
      </c>
      <c r="B2340" s="5" t="n">
        <v>4</v>
      </c>
      <c r="C2340" s="5" t="s">
        <v>128</v>
      </c>
      <c r="D2340" s="5" t="s">
        <v>1177</v>
      </c>
      <c r="E2340" s="5" t="n">
        <v>1</v>
      </c>
      <c r="F2340" s="6" t="n">
        <f aca="false">IFERROR(MATCH(A2340&amp;"|"&amp;B2340&amp;"|"&amp;D2340,'All Song Rankings'!$T:$T,0),0)</f>
        <v>364</v>
      </c>
      <c r="G2340" s="6" t="str">
        <f aca="false">IF(F2340=0,"NOT FOUND",INDEX('All Song Rankings'!$A:$A,F2340))</f>
        <v>Party In The U.S.A.</v>
      </c>
      <c r="H2340" s="6" t="str">
        <f aca="false">IF(F2340=0,"NOT FOUND",INDEX('All Song Rankings'!$B:$B,F2340))</f>
        <v>Miley Cyrus</v>
      </c>
      <c r="I2340" s="6" t="str">
        <f aca="false">IF(F2340=0,"NOT FOUND",INDEX('All Song Rankings'!$D:$D,F2340))</f>
        <v>Kristen</v>
      </c>
      <c r="J2340" s="7" t="str">
        <f aca="false">IF(F2340=0,"NOT FOUND",IF(C2340=I2340,"SELF-VOTE",IF(COUNTIF($K:$K,K2340)&gt;1,"DUPLICATE","OK")))</f>
        <v>OK</v>
      </c>
      <c r="K2340" s="6" t="str">
        <f aca="false">A2340&amp;"|"&amp;B2340&amp;"|"&amp;C2340&amp;"|"&amp;D2340</f>
        <v>4|4|Logan|spotify:track:5Q0Nhxo0l2bP3pNjpGJwV1</v>
      </c>
    </row>
    <row r="2341" customFormat="false" ht="15" hidden="false" customHeight="false" outlineLevel="0" collapsed="false">
      <c r="A2341" s="5" t="n">
        <v>4</v>
      </c>
      <c r="B2341" s="5" t="n">
        <v>4</v>
      </c>
      <c r="C2341" s="5" t="s">
        <v>128</v>
      </c>
      <c r="D2341" s="5" t="s">
        <v>1142</v>
      </c>
      <c r="E2341" s="5" t="n">
        <v>2</v>
      </c>
      <c r="F2341" s="6" t="n">
        <f aca="false">IFERROR(MATCH(A2341&amp;"|"&amp;B2341&amp;"|"&amp;D2341,'All Song Rankings'!$T:$T,0),0)</f>
        <v>352</v>
      </c>
      <c r="G2341" s="6" t="str">
        <f aca="false">IF(F2341=0,"NOT FOUND",INDEX('All Song Rankings'!$A:$A,F2341))</f>
        <v>I'm Gonna Be (500 Miles)</v>
      </c>
      <c r="H2341" s="6" t="str">
        <f aca="false">IF(F2341=0,"NOT FOUND",INDEX('All Song Rankings'!$B:$B,F2341))</f>
        <v>The Proclaimers</v>
      </c>
      <c r="I2341" s="6" t="str">
        <f aca="false">IF(F2341=0,"NOT FOUND",INDEX('All Song Rankings'!$D:$D,F2341))</f>
        <v>Grace</v>
      </c>
      <c r="J2341" s="7" t="str">
        <f aca="false">IF(F2341=0,"NOT FOUND",IF(C2341=I2341,"SELF-VOTE",IF(COUNTIF($K:$K,K2341)&gt;1,"DUPLICATE","OK")))</f>
        <v>OK</v>
      </c>
      <c r="K2341" s="6" t="str">
        <f aca="false">A2341&amp;"|"&amp;B2341&amp;"|"&amp;C2341&amp;"|"&amp;D2341</f>
        <v>4|4|Logan|spotify:track:67iAlVNDDdddxqSD2EZhFs</v>
      </c>
    </row>
    <row r="2342" customFormat="false" ht="15" hidden="false" customHeight="false" outlineLevel="0" collapsed="false">
      <c r="A2342" s="5" t="n">
        <v>4</v>
      </c>
      <c r="B2342" s="5" t="n">
        <v>4</v>
      </c>
      <c r="C2342" s="5" t="s">
        <v>395</v>
      </c>
      <c r="D2342" s="5" t="s">
        <v>1156</v>
      </c>
      <c r="E2342" s="5" t="n">
        <v>2</v>
      </c>
      <c r="F2342" s="6" t="n">
        <f aca="false">IFERROR(MATCH(A2342&amp;"|"&amp;B2342&amp;"|"&amp;D2342,'All Song Rankings'!$T:$T,0),0)</f>
        <v>357</v>
      </c>
      <c r="G2342" s="6" t="str">
        <f aca="false">IF(F2342=0,"NOT FOUND",INDEX('All Song Rankings'!$A:$A,F2342))</f>
        <v>Take Me Home, Country Roads - Original Version</v>
      </c>
      <c r="H2342" s="6" t="str">
        <f aca="false">IF(F2342=0,"NOT FOUND",INDEX('All Song Rankings'!$B:$B,F2342))</f>
        <v>John Denver</v>
      </c>
      <c r="I2342" s="6" t="str">
        <f aca="false">IF(F2342=0,"NOT FOUND",INDEX('All Song Rankings'!$D:$D,F2342))</f>
        <v>Stephanie</v>
      </c>
      <c r="J2342" s="7" t="str">
        <f aca="false">IF(F2342=0,"NOT FOUND",IF(C2342=I2342,"SELF-VOTE",IF(COUNTIF($K:$K,K2342)&gt;1,"DUPLICATE","OK")))</f>
        <v>OK</v>
      </c>
      <c r="K2342" s="6" t="str">
        <f aca="false">A2342&amp;"|"&amp;B2342&amp;"|"&amp;C2342&amp;"|"&amp;D2342</f>
        <v>4|4|Makenzie|spotify:track:1YYhDizHx7PnDhAhko6cDS</v>
      </c>
    </row>
    <row r="2343" customFormat="false" ht="15" hidden="false" customHeight="false" outlineLevel="0" collapsed="false">
      <c r="A2343" s="5" t="n">
        <v>4</v>
      </c>
      <c r="B2343" s="5" t="n">
        <v>4</v>
      </c>
      <c r="C2343" s="5" t="s">
        <v>395</v>
      </c>
      <c r="D2343" s="5" t="s">
        <v>1145</v>
      </c>
      <c r="E2343" s="5" t="n">
        <v>2</v>
      </c>
      <c r="F2343" s="6" t="n">
        <f aca="false">IFERROR(MATCH(A2343&amp;"|"&amp;B2343&amp;"|"&amp;D2343,'All Song Rankings'!$T:$T,0),0)</f>
        <v>353</v>
      </c>
      <c r="G2343" s="6" t="str">
        <f aca="false">IF(F2343=0,"NOT FOUND",INDEX('All Song Rankings'!$A:$A,F2343))</f>
        <v>Wild Heart</v>
      </c>
      <c r="H2343" s="6" t="str">
        <f aca="false">IF(F2343=0,"NOT FOUND",INDEX('All Song Rankings'!$B:$B,F2343))</f>
        <v>The Vamps</v>
      </c>
      <c r="I2343" s="6" t="str">
        <f aca="false">IF(F2343=0,"NOT FOUND",INDEX('All Song Rankings'!$D:$D,F2343))</f>
        <v>Merita</v>
      </c>
      <c r="J2343" s="7" t="str">
        <f aca="false">IF(F2343=0,"NOT FOUND",IF(C2343=I2343,"SELF-VOTE",IF(COUNTIF($K:$K,K2343)&gt;1,"DUPLICATE","OK")))</f>
        <v>OK</v>
      </c>
      <c r="K2343" s="6" t="str">
        <f aca="false">A2343&amp;"|"&amp;B2343&amp;"|"&amp;C2343&amp;"|"&amp;D2343</f>
        <v>4|4|Makenzie|spotify:track:2FTcOYcsSglWsS1zThQRh9</v>
      </c>
    </row>
    <row r="2344" customFormat="false" ht="15" hidden="false" customHeight="false" outlineLevel="0" collapsed="false">
      <c r="A2344" s="5" t="n">
        <v>4</v>
      </c>
      <c r="B2344" s="5" t="n">
        <v>4</v>
      </c>
      <c r="C2344" s="5" t="s">
        <v>395</v>
      </c>
      <c r="D2344" s="5" t="s">
        <v>1162</v>
      </c>
      <c r="E2344" s="5" t="n">
        <v>1</v>
      </c>
      <c r="F2344" s="6" t="n">
        <f aca="false">IFERROR(MATCH(A2344&amp;"|"&amp;B2344&amp;"|"&amp;D2344,'All Song Rankings'!$T:$T,0),0)</f>
        <v>359</v>
      </c>
      <c r="G2344" s="6" t="str">
        <f aca="false">IF(F2344=0,"NOT FOUND",INDEX('All Song Rankings'!$A:$A,F2344))</f>
        <v>Nothing's Gonna Stop Us Now</v>
      </c>
      <c r="H2344" s="6" t="str">
        <f aca="false">IF(F2344=0,"NOT FOUND",INDEX('All Song Rankings'!$B:$B,F2344))</f>
        <v>Starship</v>
      </c>
      <c r="I2344" s="6" t="str">
        <f aca="false">IF(F2344=0,"NOT FOUND",INDEX('All Song Rankings'!$D:$D,F2344))</f>
        <v>Logan</v>
      </c>
      <c r="J2344" s="7" t="str">
        <f aca="false">IF(F2344=0,"NOT FOUND",IF(C2344=I2344,"SELF-VOTE",IF(COUNTIF($K:$K,K2344)&gt;1,"DUPLICATE","OK")))</f>
        <v>OK</v>
      </c>
      <c r="K2344" s="6" t="str">
        <f aca="false">A2344&amp;"|"&amp;B2344&amp;"|"&amp;C2344&amp;"|"&amp;D2344</f>
        <v>4|4|Makenzie|spotify:track:3X7uFMzJrEE0sxn62qd8Ch</v>
      </c>
    </row>
    <row r="2345" customFormat="false" ht="15" hidden="false" customHeight="false" outlineLevel="0" collapsed="false">
      <c r="A2345" s="5" t="n">
        <v>4</v>
      </c>
      <c r="B2345" s="5" t="n">
        <v>4</v>
      </c>
      <c r="C2345" s="5" t="s">
        <v>395</v>
      </c>
      <c r="D2345" s="5" t="s">
        <v>1177</v>
      </c>
      <c r="E2345" s="5" t="n">
        <v>2</v>
      </c>
      <c r="F2345" s="6" t="n">
        <f aca="false">IFERROR(MATCH(A2345&amp;"|"&amp;B2345&amp;"|"&amp;D2345,'All Song Rankings'!$T:$T,0),0)</f>
        <v>364</v>
      </c>
      <c r="G2345" s="6" t="str">
        <f aca="false">IF(F2345=0,"NOT FOUND",INDEX('All Song Rankings'!$A:$A,F2345))</f>
        <v>Party In The U.S.A.</v>
      </c>
      <c r="H2345" s="6" t="str">
        <f aca="false">IF(F2345=0,"NOT FOUND",INDEX('All Song Rankings'!$B:$B,F2345))</f>
        <v>Miley Cyrus</v>
      </c>
      <c r="I2345" s="6" t="str">
        <f aca="false">IF(F2345=0,"NOT FOUND",INDEX('All Song Rankings'!$D:$D,F2345))</f>
        <v>Kristen</v>
      </c>
      <c r="J2345" s="7" t="str">
        <f aca="false">IF(F2345=0,"NOT FOUND",IF(C2345=I2345,"SELF-VOTE",IF(COUNTIF($K:$K,K2345)&gt;1,"DUPLICATE","OK")))</f>
        <v>OK</v>
      </c>
      <c r="K2345" s="6" t="str">
        <f aca="false">A2345&amp;"|"&amp;B2345&amp;"|"&amp;C2345&amp;"|"&amp;D2345</f>
        <v>4|4|Makenzie|spotify:track:5Q0Nhxo0l2bP3pNjpGJwV1</v>
      </c>
    </row>
    <row r="2346" customFormat="false" ht="15" hidden="false" customHeight="false" outlineLevel="0" collapsed="false">
      <c r="A2346" s="5" t="n">
        <v>4</v>
      </c>
      <c r="B2346" s="5" t="n">
        <v>4</v>
      </c>
      <c r="C2346" s="5" t="s">
        <v>395</v>
      </c>
      <c r="D2346" s="5" t="s">
        <v>1142</v>
      </c>
      <c r="E2346" s="5" t="n">
        <v>3</v>
      </c>
      <c r="F2346" s="6" t="n">
        <f aca="false">IFERROR(MATCH(A2346&amp;"|"&amp;B2346&amp;"|"&amp;D2346,'All Song Rankings'!$T:$T,0),0)</f>
        <v>352</v>
      </c>
      <c r="G2346" s="6" t="str">
        <f aca="false">IF(F2346=0,"NOT FOUND",INDEX('All Song Rankings'!$A:$A,F2346))</f>
        <v>I'm Gonna Be (500 Miles)</v>
      </c>
      <c r="H2346" s="6" t="str">
        <f aca="false">IF(F2346=0,"NOT FOUND",INDEX('All Song Rankings'!$B:$B,F2346))</f>
        <v>The Proclaimers</v>
      </c>
      <c r="I2346" s="6" t="str">
        <f aca="false">IF(F2346=0,"NOT FOUND",INDEX('All Song Rankings'!$D:$D,F2346))</f>
        <v>Grace</v>
      </c>
      <c r="J2346" s="7" t="str">
        <f aca="false">IF(F2346=0,"NOT FOUND",IF(C2346=I2346,"SELF-VOTE",IF(COUNTIF($K:$K,K2346)&gt;1,"DUPLICATE","OK")))</f>
        <v>OK</v>
      </c>
      <c r="K2346" s="6" t="str">
        <f aca="false">A2346&amp;"|"&amp;B2346&amp;"|"&amp;C2346&amp;"|"&amp;D2346</f>
        <v>4|4|Makenzie|spotify:track:67iAlVNDDdddxqSD2EZhFs</v>
      </c>
    </row>
    <row r="2347" customFormat="false" ht="15" hidden="false" customHeight="false" outlineLevel="0" collapsed="false">
      <c r="A2347" s="5" t="n">
        <v>4</v>
      </c>
      <c r="B2347" s="5" t="n">
        <v>4</v>
      </c>
      <c r="C2347" s="5" t="s">
        <v>116</v>
      </c>
      <c r="D2347" s="5" t="s">
        <v>1156</v>
      </c>
      <c r="E2347" s="5" t="n">
        <v>1</v>
      </c>
      <c r="F2347" s="6" t="n">
        <f aca="false">IFERROR(MATCH(A2347&amp;"|"&amp;B2347&amp;"|"&amp;D2347,'All Song Rankings'!$T:$T,0),0)</f>
        <v>357</v>
      </c>
      <c r="G2347" s="6" t="str">
        <f aca="false">IF(F2347=0,"NOT FOUND",INDEX('All Song Rankings'!$A:$A,F2347))</f>
        <v>Take Me Home, Country Roads - Original Version</v>
      </c>
      <c r="H2347" s="6" t="str">
        <f aca="false">IF(F2347=0,"NOT FOUND",INDEX('All Song Rankings'!$B:$B,F2347))</f>
        <v>John Denver</v>
      </c>
      <c r="I2347" s="6" t="str">
        <f aca="false">IF(F2347=0,"NOT FOUND",INDEX('All Song Rankings'!$D:$D,F2347))</f>
        <v>Stephanie</v>
      </c>
      <c r="J2347" s="7" t="str">
        <f aca="false">IF(F2347=0,"NOT FOUND",IF(C2347=I2347,"SELF-VOTE",IF(COUNTIF($K:$K,K2347)&gt;1,"DUPLICATE","OK")))</f>
        <v>OK</v>
      </c>
      <c r="K2347" s="6" t="str">
        <f aca="false">A2347&amp;"|"&amp;B2347&amp;"|"&amp;C2347&amp;"|"&amp;D2347</f>
        <v>4|4|Matt|spotify:track:1YYhDizHx7PnDhAhko6cDS</v>
      </c>
    </row>
    <row r="2348" customFormat="false" ht="15" hidden="false" customHeight="false" outlineLevel="0" collapsed="false">
      <c r="A2348" s="5" t="n">
        <v>4</v>
      </c>
      <c r="B2348" s="5" t="n">
        <v>4</v>
      </c>
      <c r="C2348" s="5" t="s">
        <v>116</v>
      </c>
      <c r="D2348" s="5" t="s">
        <v>1145</v>
      </c>
      <c r="E2348" s="5" t="n">
        <v>1</v>
      </c>
      <c r="F2348" s="6" t="n">
        <f aca="false">IFERROR(MATCH(A2348&amp;"|"&amp;B2348&amp;"|"&amp;D2348,'All Song Rankings'!$T:$T,0),0)</f>
        <v>353</v>
      </c>
      <c r="G2348" s="6" t="str">
        <f aca="false">IF(F2348=0,"NOT FOUND",INDEX('All Song Rankings'!$A:$A,F2348))</f>
        <v>Wild Heart</v>
      </c>
      <c r="H2348" s="6" t="str">
        <f aca="false">IF(F2348=0,"NOT FOUND",INDEX('All Song Rankings'!$B:$B,F2348))</f>
        <v>The Vamps</v>
      </c>
      <c r="I2348" s="6" t="str">
        <f aca="false">IF(F2348=0,"NOT FOUND",INDEX('All Song Rankings'!$D:$D,F2348))</f>
        <v>Merita</v>
      </c>
      <c r="J2348" s="7" t="str">
        <f aca="false">IF(F2348=0,"NOT FOUND",IF(C2348=I2348,"SELF-VOTE",IF(COUNTIF($K:$K,K2348)&gt;1,"DUPLICATE","OK")))</f>
        <v>OK</v>
      </c>
      <c r="K2348" s="6" t="str">
        <f aca="false">A2348&amp;"|"&amp;B2348&amp;"|"&amp;C2348&amp;"|"&amp;D2348</f>
        <v>4|4|Matt|spotify:track:2FTcOYcsSglWsS1zThQRh9</v>
      </c>
    </row>
    <row r="2349" customFormat="false" ht="15" hidden="false" customHeight="false" outlineLevel="0" collapsed="false">
      <c r="A2349" s="5" t="n">
        <v>4</v>
      </c>
      <c r="B2349" s="5" t="n">
        <v>4</v>
      </c>
      <c r="C2349" s="5" t="s">
        <v>116</v>
      </c>
      <c r="D2349" s="5" t="s">
        <v>1153</v>
      </c>
      <c r="E2349" s="5" t="n">
        <v>2</v>
      </c>
      <c r="F2349" s="6" t="n">
        <f aca="false">IFERROR(MATCH(A2349&amp;"|"&amp;B2349&amp;"|"&amp;D2349,'All Song Rankings'!$T:$T,0),0)</f>
        <v>356</v>
      </c>
      <c r="G2349" s="6" t="str">
        <f aca="false">IF(F2349=0,"NOT FOUND",INDEX('All Song Rankings'!$A:$A,F2349))</f>
        <v>Holiday Road - National Lampoon's Vacation</v>
      </c>
      <c r="H2349" s="6" t="str">
        <f aca="false">IF(F2349=0,"NOT FOUND",INDEX('All Song Rankings'!$B:$B,F2349))</f>
        <v>Lindsey Buckingham</v>
      </c>
      <c r="I2349" s="6" t="str">
        <f aca="false">IF(F2349=0,"NOT FOUND",INDEX('All Song Rankings'!$D:$D,F2349))</f>
        <v>Scott</v>
      </c>
      <c r="J2349" s="7" t="str">
        <f aca="false">IF(F2349=0,"NOT FOUND",IF(C2349=I2349,"SELF-VOTE",IF(COUNTIF($K:$K,K2349)&gt;1,"DUPLICATE","OK")))</f>
        <v>OK</v>
      </c>
      <c r="K2349" s="6" t="str">
        <f aca="false">A2349&amp;"|"&amp;B2349&amp;"|"&amp;C2349&amp;"|"&amp;D2349</f>
        <v>4|4|Matt|spotify:track:38i0QcGQ9hu8PMk4QObUTj</v>
      </c>
    </row>
    <row r="2350" customFormat="false" ht="15" hidden="false" customHeight="false" outlineLevel="0" collapsed="false">
      <c r="A2350" s="5" t="n">
        <v>4</v>
      </c>
      <c r="B2350" s="5" t="n">
        <v>4</v>
      </c>
      <c r="C2350" s="5" t="s">
        <v>116</v>
      </c>
      <c r="D2350" s="5" t="s">
        <v>1174</v>
      </c>
      <c r="E2350" s="5" t="n">
        <v>2</v>
      </c>
      <c r="F2350" s="6" t="n">
        <f aca="false">IFERROR(MATCH(A2350&amp;"|"&amp;B2350&amp;"|"&amp;D2350,'All Song Rankings'!$T:$T,0),0)</f>
        <v>363</v>
      </c>
      <c r="G2350" s="6" t="str">
        <f aca="false">IF(F2350=0,"NOT FOUND",INDEX('All Song Rankings'!$A:$A,F2350))</f>
        <v>Runnin' Down A Dream</v>
      </c>
      <c r="H2350" s="6" t="str">
        <f aca="false">IF(F2350=0,"NOT FOUND",INDEX('All Song Rankings'!$B:$B,F2350))</f>
        <v>Tom Petty</v>
      </c>
      <c r="I2350" s="6" t="str">
        <f aca="false">IF(F2350=0,"NOT FOUND",INDEX('All Song Rankings'!$D:$D,F2350))</f>
        <v>Christine</v>
      </c>
      <c r="J2350" s="7" t="str">
        <f aca="false">IF(F2350=0,"NOT FOUND",IF(C2350=I2350,"SELF-VOTE",IF(COUNTIF($K:$K,K2350)&gt;1,"DUPLICATE","OK")))</f>
        <v>OK</v>
      </c>
      <c r="K2350" s="6" t="str">
        <f aca="false">A2350&amp;"|"&amp;B2350&amp;"|"&amp;C2350&amp;"|"&amp;D2350</f>
        <v>4|4|Matt|spotify:track:4AiMaeCXwsldpwvA5wu5gM</v>
      </c>
    </row>
    <row r="2351" customFormat="false" ht="15" hidden="false" customHeight="false" outlineLevel="0" collapsed="false">
      <c r="A2351" s="5" t="n">
        <v>4</v>
      </c>
      <c r="B2351" s="5" t="n">
        <v>4</v>
      </c>
      <c r="C2351" s="5" t="s">
        <v>116</v>
      </c>
      <c r="D2351" s="5" t="s">
        <v>1171</v>
      </c>
      <c r="E2351" s="5" t="n">
        <v>1</v>
      </c>
      <c r="F2351" s="6" t="n">
        <f aca="false">IFERROR(MATCH(A2351&amp;"|"&amp;B2351&amp;"|"&amp;D2351,'All Song Rankings'!$T:$T,0),0)</f>
        <v>362</v>
      </c>
      <c r="G2351" s="6" t="str">
        <f aca="false">IF(F2351=0,"NOT FOUND",INDEX('All Song Rankings'!$A:$A,F2351))</f>
        <v>Still Fly</v>
      </c>
      <c r="H2351" s="6" t="str">
        <f aca="false">IF(F2351=0,"NOT FOUND",INDEX('All Song Rankings'!$B:$B,F2351))</f>
        <v>Big Tymers</v>
      </c>
      <c r="I2351" s="6" t="str">
        <f aca="false">IF(F2351=0,"NOT FOUND",INDEX('All Song Rankings'!$D:$D,F2351))</f>
        <v>Leah</v>
      </c>
      <c r="J2351" s="7" t="str">
        <f aca="false">IF(F2351=0,"NOT FOUND",IF(C2351=I2351,"SELF-VOTE",IF(COUNTIF($K:$K,K2351)&gt;1,"DUPLICATE","OK")))</f>
        <v>OK</v>
      </c>
      <c r="K2351" s="6" t="str">
        <f aca="false">A2351&amp;"|"&amp;B2351&amp;"|"&amp;C2351&amp;"|"&amp;D2351</f>
        <v>4|4|Matt|spotify:track:563vSy3HB5NHxel1VGQCW6</v>
      </c>
    </row>
    <row r="2352" customFormat="false" ht="15" hidden="false" customHeight="false" outlineLevel="0" collapsed="false">
      <c r="A2352" s="5" t="n">
        <v>4</v>
      </c>
      <c r="B2352" s="5" t="n">
        <v>4</v>
      </c>
      <c r="C2352" s="5" t="s">
        <v>116</v>
      </c>
      <c r="D2352" s="5" t="s">
        <v>1150</v>
      </c>
      <c r="E2352" s="5" t="n">
        <v>1</v>
      </c>
      <c r="F2352" s="6" t="n">
        <f aca="false">IFERROR(MATCH(A2352&amp;"|"&amp;B2352&amp;"|"&amp;D2352,'All Song Rankings'!$T:$T,0),0)</f>
        <v>355</v>
      </c>
      <c r="G2352" s="6" t="str">
        <f aca="false">IF(F2352=0,"NOT FOUND",INDEX('All Song Rankings'!$A:$A,F2352))</f>
        <v>Take A Chance On Me</v>
      </c>
      <c r="H2352" s="6" t="str">
        <f aca="false">IF(F2352=0,"NOT FOUND",INDEX('All Song Rankings'!$B:$B,F2352))</f>
        <v>ABBA</v>
      </c>
      <c r="I2352" s="6" t="str">
        <f aca="false">IF(F2352=0,"NOT FOUND",INDEX('All Song Rankings'!$D:$D,F2352))</f>
        <v>Makenzie</v>
      </c>
      <c r="J2352" s="7" t="str">
        <f aca="false">IF(F2352=0,"NOT FOUND",IF(C2352=I2352,"SELF-VOTE",IF(COUNTIF($K:$K,K2352)&gt;1,"DUPLICATE","OK")))</f>
        <v>OK</v>
      </c>
      <c r="K2352" s="6" t="str">
        <f aca="false">A2352&amp;"|"&amp;B2352&amp;"|"&amp;C2352&amp;"|"&amp;D2352</f>
        <v>4|4|Matt|spotify:track:5BckPAYcKEJuYs1eV1BHHe</v>
      </c>
    </row>
    <row r="2353" customFormat="false" ht="15" hidden="false" customHeight="false" outlineLevel="0" collapsed="false">
      <c r="A2353" s="5" t="n">
        <v>4</v>
      </c>
      <c r="B2353" s="5" t="n">
        <v>4</v>
      </c>
      <c r="C2353" s="5" t="s">
        <v>116</v>
      </c>
      <c r="D2353" s="5" t="s">
        <v>1177</v>
      </c>
      <c r="E2353" s="5" t="n">
        <v>1</v>
      </c>
      <c r="F2353" s="6" t="n">
        <f aca="false">IFERROR(MATCH(A2353&amp;"|"&amp;B2353&amp;"|"&amp;D2353,'All Song Rankings'!$T:$T,0),0)</f>
        <v>364</v>
      </c>
      <c r="G2353" s="6" t="str">
        <f aca="false">IF(F2353=0,"NOT FOUND",INDEX('All Song Rankings'!$A:$A,F2353))</f>
        <v>Party In The U.S.A.</v>
      </c>
      <c r="H2353" s="6" t="str">
        <f aca="false">IF(F2353=0,"NOT FOUND",INDEX('All Song Rankings'!$B:$B,F2353))</f>
        <v>Miley Cyrus</v>
      </c>
      <c r="I2353" s="6" t="str">
        <f aca="false">IF(F2353=0,"NOT FOUND",INDEX('All Song Rankings'!$D:$D,F2353))</f>
        <v>Kristen</v>
      </c>
      <c r="J2353" s="7" t="str">
        <f aca="false">IF(F2353=0,"NOT FOUND",IF(C2353=I2353,"SELF-VOTE",IF(COUNTIF($K:$K,K2353)&gt;1,"DUPLICATE","OK")))</f>
        <v>OK</v>
      </c>
      <c r="K2353" s="6" t="str">
        <f aca="false">A2353&amp;"|"&amp;B2353&amp;"|"&amp;C2353&amp;"|"&amp;D2353</f>
        <v>4|4|Matt|spotify:track:5Q0Nhxo0l2bP3pNjpGJwV1</v>
      </c>
    </row>
    <row r="2354" customFormat="false" ht="15" hidden="false" customHeight="false" outlineLevel="0" collapsed="false">
      <c r="A2354" s="5" t="n">
        <v>4</v>
      </c>
      <c r="B2354" s="5" t="n">
        <v>4</v>
      </c>
      <c r="C2354" s="5" t="s">
        <v>116</v>
      </c>
      <c r="D2354" s="5" t="s">
        <v>1142</v>
      </c>
      <c r="E2354" s="5" t="n">
        <v>1</v>
      </c>
      <c r="F2354" s="6" t="n">
        <f aca="false">IFERROR(MATCH(A2354&amp;"|"&amp;B2354&amp;"|"&amp;D2354,'All Song Rankings'!$T:$T,0),0)</f>
        <v>352</v>
      </c>
      <c r="G2354" s="6" t="str">
        <f aca="false">IF(F2354=0,"NOT FOUND",INDEX('All Song Rankings'!$A:$A,F2354))</f>
        <v>I'm Gonna Be (500 Miles)</v>
      </c>
      <c r="H2354" s="6" t="str">
        <f aca="false">IF(F2354=0,"NOT FOUND",INDEX('All Song Rankings'!$B:$B,F2354))</f>
        <v>The Proclaimers</v>
      </c>
      <c r="I2354" s="6" t="str">
        <f aca="false">IF(F2354=0,"NOT FOUND",INDEX('All Song Rankings'!$D:$D,F2354))</f>
        <v>Grace</v>
      </c>
      <c r="J2354" s="7" t="str">
        <f aca="false">IF(F2354=0,"NOT FOUND",IF(C2354=I2354,"SELF-VOTE",IF(COUNTIF($K:$K,K2354)&gt;1,"DUPLICATE","OK")))</f>
        <v>OK</v>
      </c>
      <c r="K2354" s="6" t="str">
        <f aca="false">A2354&amp;"|"&amp;B2354&amp;"|"&amp;C2354&amp;"|"&amp;D2354</f>
        <v>4|4|Matt|spotify:track:67iAlVNDDdddxqSD2EZhFs</v>
      </c>
    </row>
    <row r="2355" customFormat="false" ht="15" hidden="false" customHeight="false" outlineLevel="0" collapsed="false">
      <c r="A2355" s="5" t="n">
        <v>4</v>
      </c>
      <c r="B2355" s="5" t="n">
        <v>4</v>
      </c>
      <c r="C2355" s="5" t="s">
        <v>101</v>
      </c>
      <c r="D2355" s="5" t="s">
        <v>1168</v>
      </c>
      <c r="E2355" s="5" t="n">
        <v>1</v>
      </c>
      <c r="F2355" s="6" t="n">
        <f aca="false">IFERROR(MATCH(A2355&amp;"|"&amp;B2355&amp;"|"&amp;D2355,'All Song Rankings'!$T:$T,0),0)</f>
        <v>361</v>
      </c>
      <c r="G2355" s="6" t="str">
        <f aca="false">IF(F2355=0,"NOT FOUND",INDEX('All Song Rankings'!$A:$A,F2355))</f>
        <v>Mr. Brightside</v>
      </c>
      <c r="H2355" s="6" t="str">
        <f aca="false">IF(F2355=0,"NOT FOUND",INDEX('All Song Rankings'!$B:$B,F2355))</f>
        <v>The Killers</v>
      </c>
      <c r="I2355" s="6" t="str">
        <f aca="false">IF(F2355=0,"NOT FOUND",INDEX('All Song Rankings'!$D:$D,F2355))</f>
        <v>Nicole</v>
      </c>
      <c r="J2355" s="7" t="str">
        <f aca="false">IF(F2355=0,"NOT FOUND",IF(C2355=I2355,"SELF-VOTE",IF(COUNTIF($K:$K,K2355)&gt;1,"DUPLICATE","OK")))</f>
        <v>OK</v>
      </c>
      <c r="K2355" s="6" t="str">
        <f aca="false">A2355&amp;"|"&amp;B2355&amp;"|"&amp;C2355&amp;"|"&amp;D2355</f>
        <v>4|4|Merita|spotify:track:003vvx7Niy0yvhvHt4a68B</v>
      </c>
    </row>
    <row r="2356" customFormat="false" ht="15" hidden="false" customHeight="false" outlineLevel="0" collapsed="false">
      <c r="A2356" s="5" t="n">
        <v>4</v>
      </c>
      <c r="B2356" s="5" t="n">
        <v>4</v>
      </c>
      <c r="C2356" s="5" t="s">
        <v>101</v>
      </c>
      <c r="D2356" s="5" t="s">
        <v>1156</v>
      </c>
      <c r="E2356" s="5" t="n">
        <v>1</v>
      </c>
      <c r="F2356" s="6" t="n">
        <f aca="false">IFERROR(MATCH(A2356&amp;"|"&amp;B2356&amp;"|"&amp;D2356,'All Song Rankings'!$T:$T,0),0)</f>
        <v>357</v>
      </c>
      <c r="G2356" s="6" t="str">
        <f aca="false">IF(F2356=0,"NOT FOUND",INDEX('All Song Rankings'!$A:$A,F2356))</f>
        <v>Take Me Home, Country Roads - Original Version</v>
      </c>
      <c r="H2356" s="6" t="str">
        <f aca="false">IF(F2356=0,"NOT FOUND",INDEX('All Song Rankings'!$B:$B,F2356))</f>
        <v>John Denver</v>
      </c>
      <c r="I2356" s="6" t="str">
        <f aca="false">IF(F2356=0,"NOT FOUND",INDEX('All Song Rankings'!$D:$D,F2356))</f>
        <v>Stephanie</v>
      </c>
      <c r="J2356" s="7" t="str">
        <f aca="false">IF(F2356=0,"NOT FOUND",IF(C2356=I2356,"SELF-VOTE",IF(COUNTIF($K:$K,K2356)&gt;1,"DUPLICATE","OK")))</f>
        <v>OK</v>
      </c>
      <c r="K2356" s="6" t="str">
        <f aca="false">A2356&amp;"|"&amp;B2356&amp;"|"&amp;C2356&amp;"|"&amp;D2356</f>
        <v>4|4|Merita|spotify:track:1YYhDizHx7PnDhAhko6cDS</v>
      </c>
    </row>
    <row r="2357" customFormat="false" ht="15" hidden="false" customHeight="false" outlineLevel="0" collapsed="false">
      <c r="A2357" s="5" t="n">
        <v>4</v>
      </c>
      <c r="B2357" s="5" t="n">
        <v>4</v>
      </c>
      <c r="C2357" s="5" t="s">
        <v>101</v>
      </c>
      <c r="D2357" s="5" t="s">
        <v>1153</v>
      </c>
      <c r="E2357" s="5" t="n">
        <v>2</v>
      </c>
      <c r="F2357" s="6" t="n">
        <f aca="false">IFERROR(MATCH(A2357&amp;"|"&amp;B2357&amp;"|"&amp;D2357,'All Song Rankings'!$T:$T,0),0)</f>
        <v>356</v>
      </c>
      <c r="G2357" s="6" t="str">
        <f aca="false">IF(F2357=0,"NOT FOUND",INDEX('All Song Rankings'!$A:$A,F2357))</f>
        <v>Holiday Road - National Lampoon's Vacation</v>
      </c>
      <c r="H2357" s="6" t="str">
        <f aca="false">IF(F2357=0,"NOT FOUND",INDEX('All Song Rankings'!$B:$B,F2357))</f>
        <v>Lindsey Buckingham</v>
      </c>
      <c r="I2357" s="6" t="str">
        <f aca="false">IF(F2357=0,"NOT FOUND",INDEX('All Song Rankings'!$D:$D,F2357))</f>
        <v>Scott</v>
      </c>
      <c r="J2357" s="7" t="str">
        <f aca="false">IF(F2357=0,"NOT FOUND",IF(C2357=I2357,"SELF-VOTE",IF(COUNTIF($K:$K,K2357)&gt;1,"DUPLICATE","OK")))</f>
        <v>OK</v>
      </c>
      <c r="K2357" s="6" t="str">
        <f aca="false">A2357&amp;"|"&amp;B2357&amp;"|"&amp;C2357&amp;"|"&amp;D2357</f>
        <v>4|4|Merita|spotify:track:38i0QcGQ9hu8PMk4QObUTj</v>
      </c>
    </row>
    <row r="2358" customFormat="false" ht="15" hidden="false" customHeight="false" outlineLevel="0" collapsed="false">
      <c r="A2358" s="5" t="n">
        <v>4</v>
      </c>
      <c r="B2358" s="5" t="n">
        <v>4</v>
      </c>
      <c r="C2358" s="5" t="s">
        <v>101</v>
      </c>
      <c r="D2358" s="5" t="s">
        <v>1162</v>
      </c>
      <c r="E2358" s="5" t="n">
        <v>1</v>
      </c>
      <c r="F2358" s="6" t="n">
        <f aca="false">IFERROR(MATCH(A2358&amp;"|"&amp;B2358&amp;"|"&amp;D2358,'All Song Rankings'!$T:$T,0),0)</f>
        <v>359</v>
      </c>
      <c r="G2358" s="6" t="str">
        <f aca="false">IF(F2358=0,"NOT FOUND",INDEX('All Song Rankings'!$A:$A,F2358))</f>
        <v>Nothing's Gonna Stop Us Now</v>
      </c>
      <c r="H2358" s="6" t="str">
        <f aca="false">IF(F2358=0,"NOT FOUND",INDEX('All Song Rankings'!$B:$B,F2358))</f>
        <v>Starship</v>
      </c>
      <c r="I2358" s="6" t="str">
        <f aca="false">IF(F2358=0,"NOT FOUND",INDEX('All Song Rankings'!$D:$D,F2358))</f>
        <v>Logan</v>
      </c>
      <c r="J2358" s="7" t="str">
        <f aca="false">IF(F2358=0,"NOT FOUND",IF(C2358=I2358,"SELF-VOTE",IF(COUNTIF($K:$K,K2358)&gt;1,"DUPLICATE","OK")))</f>
        <v>OK</v>
      </c>
      <c r="K2358" s="6" t="str">
        <f aca="false">A2358&amp;"|"&amp;B2358&amp;"|"&amp;C2358&amp;"|"&amp;D2358</f>
        <v>4|4|Merita|spotify:track:3X7uFMzJrEE0sxn62qd8Ch</v>
      </c>
    </row>
    <row r="2359" customFormat="false" ht="15" hidden="false" customHeight="false" outlineLevel="0" collapsed="false">
      <c r="A2359" s="5" t="n">
        <v>4</v>
      </c>
      <c r="B2359" s="5" t="n">
        <v>4</v>
      </c>
      <c r="C2359" s="5" t="s">
        <v>101</v>
      </c>
      <c r="D2359" s="5" t="s">
        <v>1165</v>
      </c>
      <c r="E2359" s="5" t="n">
        <v>2</v>
      </c>
      <c r="F2359" s="6" t="n">
        <f aca="false">IFERROR(MATCH(A2359&amp;"|"&amp;B2359&amp;"|"&amp;D2359,'All Song Rankings'!$T:$T,0),0)</f>
        <v>360</v>
      </c>
      <c r="G2359" s="6" t="str">
        <f aca="false">IF(F2359=0,"NOT FOUND",INDEX('All Song Rankings'!$A:$A,F2359))</f>
        <v>A Thousand Miles</v>
      </c>
      <c r="H2359" s="6" t="str">
        <f aca="false">IF(F2359=0,"NOT FOUND",INDEX('All Song Rankings'!$B:$B,F2359))</f>
        <v>Vanessa Carlton</v>
      </c>
      <c r="I2359" s="6" t="str">
        <f aca="false">IF(F2359=0,"NOT FOUND",INDEX('All Song Rankings'!$D:$D,F2359))</f>
        <v>Colleen</v>
      </c>
      <c r="J2359" s="7" t="str">
        <f aca="false">IF(F2359=0,"NOT FOUND",IF(C2359=I2359,"SELF-VOTE",IF(COUNTIF($K:$K,K2359)&gt;1,"DUPLICATE","OK")))</f>
        <v>OK</v>
      </c>
      <c r="K2359" s="6" t="str">
        <f aca="false">A2359&amp;"|"&amp;B2359&amp;"|"&amp;C2359&amp;"|"&amp;D2359</f>
        <v>4|4|Merita|spotify:track:4w1lzcaoZ1IC2K5TwjalRP</v>
      </c>
    </row>
    <row r="2360" customFormat="false" ht="15" hidden="false" customHeight="false" outlineLevel="0" collapsed="false">
      <c r="A2360" s="5" t="n">
        <v>4</v>
      </c>
      <c r="B2360" s="5" t="n">
        <v>4</v>
      </c>
      <c r="C2360" s="5" t="s">
        <v>101</v>
      </c>
      <c r="D2360" s="5" t="s">
        <v>1171</v>
      </c>
      <c r="E2360" s="5" t="n">
        <v>1</v>
      </c>
      <c r="F2360" s="6" t="n">
        <f aca="false">IFERROR(MATCH(A2360&amp;"|"&amp;B2360&amp;"|"&amp;D2360,'All Song Rankings'!$T:$T,0),0)</f>
        <v>362</v>
      </c>
      <c r="G2360" s="6" t="str">
        <f aca="false">IF(F2360=0,"NOT FOUND",INDEX('All Song Rankings'!$A:$A,F2360))</f>
        <v>Still Fly</v>
      </c>
      <c r="H2360" s="6" t="str">
        <f aca="false">IF(F2360=0,"NOT FOUND",INDEX('All Song Rankings'!$B:$B,F2360))</f>
        <v>Big Tymers</v>
      </c>
      <c r="I2360" s="6" t="str">
        <f aca="false">IF(F2360=0,"NOT FOUND",INDEX('All Song Rankings'!$D:$D,F2360))</f>
        <v>Leah</v>
      </c>
      <c r="J2360" s="7" t="str">
        <f aca="false">IF(F2360=0,"NOT FOUND",IF(C2360=I2360,"SELF-VOTE",IF(COUNTIF($K:$K,K2360)&gt;1,"DUPLICATE","OK")))</f>
        <v>OK</v>
      </c>
      <c r="K2360" s="6" t="str">
        <f aca="false">A2360&amp;"|"&amp;B2360&amp;"|"&amp;C2360&amp;"|"&amp;D2360</f>
        <v>4|4|Merita|spotify:track:563vSy3HB5NHxel1VGQCW6</v>
      </c>
    </row>
    <row r="2361" customFormat="false" ht="15" hidden="false" customHeight="false" outlineLevel="0" collapsed="false">
      <c r="A2361" s="5" t="n">
        <v>4</v>
      </c>
      <c r="B2361" s="5" t="n">
        <v>4</v>
      </c>
      <c r="C2361" s="5" t="s">
        <v>101</v>
      </c>
      <c r="D2361" s="5" t="s">
        <v>1150</v>
      </c>
      <c r="E2361" s="5" t="n">
        <v>1</v>
      </c>
      <c r="F2361" s="6" t="n">
        <f aca="false">IFERROR(MATCH(A2361&amp;"|"&amp;B2361&amp;"|"&amp;D2361,'All Song Rankings'!$T:$T,0),0)</f>
        <v>355</v>
      </c>
      <c r="G2361" s="6" t="str">
        <f aca="false">IF(F2361=0,"NOT FOUND",INDEX('All Song Rankings'!$A:$A,F2361))</f>
        <v>Take A Chance On Me</v>
      </c>
      <c r="H2361" s="6" t="str">
        <f aca="false">IF(F2361=0,"NOT FOUND",INDEX('All Song Rankings'!$B:$B,F2361))</f>
        <v>ABBA</v>
      </c>
      <c r="I2361" s="6" t="str">
        <f aca="false">IF(F2361=0,"NOT FOUND",INDEX('All Song Rankings'!$D:$D,F2361))</f>
        <v>Makenzie</v>
      </c>
      <c r="J2361" s="7" t="str">
        <f aca="false">IF(F2361=0,"NOT FOUND",IF(C2361=I2361,"SELF-VOTE",IF(COUNTIF($K:$K,K2361)&gt;1,"DUPLICATE","OK")))</f>
        <v>OK</v>
      </c>
      <c r="K2361" s="6" t="str">
        <f aca="false">A2361&amp;"|"&amp;B2361&amp;"|"&amp;C2361&amp;"|"&amp;D2361</f>
        <v>4|4|Merita|spotify:track:5BckPAYcKEJuYs1eV1BHHe</v>
      </c>
    </row>
    <row r="2362" customFormat="false" ht="15" hidden="false" customHeight="false" outlineLevel="0" collapsed="false">
      <c r="A2362" s="5" t="n">
        <v>4</v>
      </c>
      <c r="B2362" s="5" t="n">
        <v>4</v>
      </c>
      <c r="C2362" s="5" t="s">
        <v>101</v>
      </c>
      <c r="D2362" s="5" t="s">
        <v>1177</v>
      </c>
      <c r="E2362" s="5" t="n">
        <v>1</v>
      </c>
      <c r="F2362" s="6" t="n">
        <f aca="false">IFERROR(MATCH(A2362&amp;"|"&amp;B2362&amp;"|"&amp;D2362,'All Song Rankings'!$T:$T,0),0)</f>
        <v>364</v>
      </c>
      <c r="G2362" s="6" t="str">
        <f aca="false">IF(F2362=0,"NOT FOUND",INDEX('All Song Rankings'!$A:$A,F2362))</f>
        <v>Party In The U.S.A.</v>
      </c>
      <c r="H2362" s="6" t="str">
        <f aca="false">IF(F2362=0,"NOT FOUND",INDEX('All Song Rankings'!$B:$B,F2362))</f>
        <v>Miley Cyrus</v>
      </c>
      <c r="I2362" s="6" t="str">
        <f aca="false">IF(F2362=0,"NOT FOUND",INDEX('All Song Rankings'!$D:$D,F2362))</f>
        <v>Kristen</v>
      </c>
      <c r="J2362" s="7" t="str">
        <f aca="false">IF(F2362=0,"NOT FOUND",IF(C2362=I2362,"SELF-VOTE",IF(COUNTIF($K:$K,K2362)&gt;1,"DUPLICATE","OK")))</f>
        <v>OK</v>
      </c>
      <c r="K2362" s="6" t="str">
        <f aca="false">A2362&amp;"|"&amp;B2362&amp;"|"&amp;C2362&amp;"|"&amp;D2362</f>
        <v>4|4|Merita|spotify:track:5Q0Nhxo0l2bP3pNjpGJwV1</v>
      </c>
    </row>
    <row r="2363" customFormat="false" ht="15" hidden="false" customHeight="false" outlineLevel="0" collapsed="false">
      <c r="A2363" s="5" t="n">
        <v>4</v>
      </c>
      <c r="B2363" s="5" t="n">
        <v>4</v>
      </c>
      <c r="C2363" s="5" t="s">
        <v>92</v>
      </c>
      <c r="D2363" s="5" t="s">
        <v>1162</v>
      </c>
      <c r="E2363" s="5" t="n">
        <v>1</v>
      </c>
      <c r="F2363" s="6" t="n">
        <f aca="false">IFERROR(MATCH(A2363&amp;"|"&amp;B2363&amp;"|"&amp;D2363,'All Song Rankings'!$T:$T,0),0)</f>
        <v>359</v>
      </c>
      <c r="G2363" s="6" t="str">
        <f aca="false">IF(F2363=0,"NOT FOUND",INDEX('All Song Rankings'!$A:$A,F2363))</f>
        <v>Nothing's Gonna Stop Us Now</v>
      </c>
      <c r="H2363" s="6" t="str">
        <f aca="false">IF(F2363=0,"NOT FOUND",INDEX('All Song Rankings'!$B:$B,F2363))</f>
        <v>Starship</v>
      </c>
      <c r="I2363" s="6" t="str">
        <f aca="false">IF(F2363=0,"NOT FOUND",INDEX('All Song Rankings'!$D:$D,F2363))</f>
        <v>Logan</v>
      </c>
      <c r="J2363" s="7" t="str">
        <f aca="false">IF(F2363=0,"NOT FOUND",IF(C2363=I2363,"SELF-VOTE",IF(COUNTIF($K:$K,K2363)&gt;1,"DUPLICATE","OK")))</f>
        <v>OK</v>
      </c>
      <c r="K2363" s="6" t="str">
        <f aca="false">A2363&amp;"|"&amp;B2363&amp;"|"&amp;C2363&amp;"|"&amp;D2363</f>
        <v>4|4|Nicole|spotify:track:3X7uFMzJrEE0sxn62qd8Ch</v>
      </c>
    </row>
    <row r="2364" customFormat="false" ht="15" hidden="false" customHeight="false" outlineLevel="0" collapsed="false">
      <c r="A2364" s="5" t="n">
        <v>4</v>
      </c>
      <c r="B2364" s="5" t="n">
        <v>4</v>
      </c>
      <c r="C2364" s="5" t="s">
        <v>92</v>
      </c>
      <c r="D2364" s="5" t="s">
        <v>1174</v>
      </c>
      <c r="E2364" s="5" t="n">
        <v>1</v>
      </c>
      <c r="F2364" s="6" t="n">
        <f aca="false">IFERROR(MATCH(A2364&amp;"|"&amp;B2364&amp;"|"&amp;D2364,'All Song Rankings'!$T:$T,0),0)</f>
        <v>363</v>
      </c>
      <c r="G2364" s="6" t="str">
        <f aca="false">IF(F2364=0,"NOT FOUND",INDEX('All Song Rankings'!$A:$A,F2364))</f>
        <v>Runnin' Down A Dream</v>
      </c>
      <c r="H2364" s="6" t="str">
        <f aca="false">IF(F2364=0,"NOT FOUND",INDEX('All Song Rankings'!$B:$B,F2364))</f>
        <v>Tom Petty</v>
      </c>
      <c r="I2364" s="6" t="str">
        <f aca="false">IF(F2364=0,"NOT FOUND",INDEX('All Song Rankings'!$D:$D,F2364))</f>
        <v>Christine</v>
      </c>
      <c r="J2364" s="7" t="str">
        <f aca="false">IF(F2364=0,"NOT FOUND",IF(C2364=I2364,"SELF-VOTE",IF(COUNTIF($K:$K,K2364)&gt;1,"DUPLICATE","OK")))</f>
        <v>OK</v>
      </c>
      <c r="K2364" s="6" t="str">
        <f aca="false">A2364&amp;"|"&amp;B2364&amp;"|"&amp;C2364&amp;"|"&amp;D2364</f>
        <v>4|4|Nicole|spotify:track:4AiMaeCXwsldpwvA5wu5gM</v>
      </c>
    </row>
    <row r="2365" customFormat="false" ht="15" hidden="false" customHeight="false" outlineLevel="0" collapsed="false">
      <c r="A2365" s="5" t="n">
        <v>4</v>
      </c>
      <c r="B2365" s="5" t="n">
        <v>4</v>
      </c>
      <c r="C2365" s="5" t="s">
        <v>92</v>
      </c>
      <c r="D2365" s="5" t="s">
        <v>1180</v>
      </c>
      <c r="E2365" s="5" t="n">
        <v>2</v>
      </c>
      <c r="F2365" s="6" t="n">
        <f aca="false">IFERROR(MATCH(A2365&amp;"|"&amp;B2365&amp;"|"&amp;D2365,'All Song Rankings'!$T:$T,0),0)</f>
        <v>365</v>
      </c>
      <c r="G2365" s="6" t="str">
        <f aca="false">IF(F2365=0,"NOT FOUND",INDEX('All Song Rankings'!$A:$A,F2365))</f>
        <v>The Boys Of Summer - Remastered 2024</v>
      </c>
      <c r="H2365" s="6" t="str">
        <f aca="false">IF(F2365=0,"NOT FOUND",INDEX('All Song Rankings'!$B:$B,F2365))</f>
        <v>Don Henley</v>
      </c>
      <c r="I2365" s="6" t="str">
        <f aca="false">IF(F2365=0,"NOT FOUND",INDEX('All Song Rankings'!$D:$D,F2365))</f>
        <v>Lisa</v>
      </c>
      <c r="J2365" s="7" t="str">
        <f aca="false">IF(F2365=0,"NOT FOUND",IF(C2365=I2365,"SELF-VOTE",IF(COUNTIF($K:$K,K2365)&gt;1,"DUPLICATE","OK")))</f>
        <v>OK</v>
      </c>
      <c r="K2365" s="6" t="str">
        <f aca="false">A2365&amp;"|"&amp;B2365&amp;"|"&amp;C2365&amp;"|"&amp;D2365</f>
        <v>4|4|Nicole|spotify:track:4Q3ERWBrb4lhDvAPyANjY5</v>
      </c>
    </row>
    <row r="2366" customFormat="false" ht="15" hidden="false" customHeight="false" outlineLevel="0" collapsed="false">
      <c r="A2366" s="5" t="n">
        <v>4</v>
      </c>
      <c r="B2366" s="5" t="n">
        <v>4</v>
      </c>
      <c r="C2366" s="5" t="s">
        <v>92</v>
      </c>
      <c r="D2366" s="5" t="s">
        <v>1165</v>
      </c>
      <c r="E2366" s="5" t="n">
        <v>2</v>
      </c>
      <c r="F2366" s="6" t="n">
        <f aca="false">IFERROR(MATCH(A2366&amp;"|"&amp;B2366&amp;"|"&amp;D2366,'All Song Rankings'!$T:$T,0),0)</f>
        <v>360</v>
      </c>
      <c r="G2366" s="6" t="str">
        <f aca="false">IF(F2366=0,"NOT FOUND",INDEX('All Song Rankings'!$A:$A,F2366))</f>
        <v>A Thousand Miles</v>
      </c>
      <c r="H2366" s="6" t="str">
        <f aca="false">IF(F2366=0,"NOT FOUND",INDEX('All Song Rankings'!$B:$B,F2366))</f>
        <v>Vanessa Carlton</v>
      </c>
      <c r="I2366" s="6" t="str">
        <f aca="false">IF(F2366=0,"NOT FOUND",INDEX('All Song Rankings'!$D:$D,F2366))</f>
        <v>Colleen</v>
      </c>
      <c r="J2366" s="7" t="str">
        <f aca="false">IF(F2366=0,"NOT FOUND",IF(C2366=I2366,"SELF-VOTE",IF(COUNTIF($K:$K,K2366)&gt;1,"DUPLICATE","OK")))</f>
        <v>OK</v>
      </c>
      <c r="K2366" s="6" t="str">
        <f aca="false">A2366&amp;"|"&amp;B2366&amp;"|"&amp;C2366&amp;"|"&amp;D2366</f>
        <v>4|4|Nicole|spotify:track:4w1lzcaoZ1IC2K5TwjalRP</v>
      </c>
    </row>
    <row r="2367" customFormat="false" ht="15" hidden="false" customHeight="false" outlineLevel="0" collapsed="false">
      <c r="A2367" s="5" t="n">
        <v>4</v>
      </c>
      <c r="B2367" s="5" t="n">
        <v>4</v>
      </c>
      <c r="C2367" s="5" t="s">
        <v>92</v>
      </c>
      <c r="D2367" s="5" t="s">
        <v>1171</v>
      </c>
      <c r="E2367" s="5" t="n">
        <v>2</v>
      </c>
      <c r="F2367" s="6" t="n">
        <f aca="false">IFERROR(MATCH(A2367&amp;"|"&amp;B2367&amp;"|"&amp;D2367,'All Song Rankings'!$T:$T,0),0)</f>
        <v>362</v>
      </c>
      <c r="G2367" s="6" t="str">
        <f aca="false">IF(F2367=0,"NOT FOUND",INDEX('All Song Rankings'!$A:$A,F2367))</f>
        <v>Still Fly</v>
      </c>
      <c r="H2367" s="6" t="str">
        <f aca="false">IF(F2367=0,"NOT FOUND",INDEX('All Song Rankings'!$B:$B,F2367))</f>
        <v>Big Tymers</v>
      </c>
      <c r="I2367" s="6" t="str">
        <f aca="false">IF(F2367=0,"NOT FOUND",INDEX('All Song Rankings'!$D:$D,F2367))</f>
        <v>Leah</v>
      </c>
      <c r="J2367" s="7" t="str">
        <f aca="false">IF(F2367=0,"NOT FOUND",IF(C2367=I2367,"SELF-VOTE",IF(COUNTIF($K:$K,K2367)&gt;1,"DUPLICATE","OK")))</f>
        <v>OK</v>
      </c>
      <c r="K2367" s="6" t="str">
        <f aca="false">A2367&amp;"|"&amp;B2367&amp;"|"&amp;C2367&amp;"|"&amp;D2367</f>
        <v>4|4|Nicole|spotify:track:563vSy3HB5NHxel1VGQCW6</v>
      </c>
    </row>
    <row r="2368" customFormat="false" ht="15" hidden="false" customHeight="false" outlineLevel="0" collapsed="false">
      <c r="A2368" s="5" t="n">
        <v>4</v>
      </c>
      <c r="B2368" s="5" t="n">
        <v>4</v>
      </c>
      <c r="C2368" s="5" t="s">
        <v>92</v>
      </c>
      <c r="D2368" s="5" t="s">
        <v>1150</v>
      </c>
      <c r="E2368" s="5" t="n">
        <v>1</v>
      </c>
      <c r="F2368" s="6" t="n">
        <f aca="false">IFERROR(MATCH(A2368&amp;"|"&amp;B2368&amp;"|"&amp;D2368,'All Song Rankings'!$T:$T,0),0)</f>
        <v>355</v>
      </c>
      <c r="G2368" s="6" t="str">
        <f aca="false">IF(F2368=0,"NOT FOUND",INDEX('All Song Rankings'!$A:$A,F2368))</f>
        <v>Take A Chance On Me</v>
      </c>
      <c r="H2368" s="6" t="str">
        <f aca="false">IF(F2368=0,"NOT FOUND",INDEX('All Song Rankings'!$B:$B,F2368))</f>
        <v>ABBA</v>
      </c>
      <c r="I2368" s="6" t="str">
        <f aca="false">IF(F2368=0,"NOT FOUND",INDEX('All Song Rankings'!$D:$D,F2368))</f>
        <v>Makenzie</v>
      </c>
      <c r="J2368" s="7" t="str">
        <f aca="false">IF(F2368=0,"NOT FOUND",IF(C2368=I2368,"SELF-VOTE",IF(COUNTIF($K:$K,K2368)&gt;1,"DUPLICATE","OK")))</f>
        <v>OK</v>
      </c>
      <c r="K2368" s="6" t="str">
        <f aca="false">A2368&amp;"|"&amp;B2368&amp;"|"&amp;C2368&amp;"|"&amp;D2368</f>
        <v>4|4|Nicole|spotify:track:5BckPAYcKEJuYs1eV1BHHe</v>
      </c>
    </row>
    <row r="2369" customFormat="false" ht="15" hidden="false" customHeight="false" outlineLevel="0" collapsed="false">
      <c r="A2369" s="5" t="n">
        <v>4</v>
      </c>
      <c r="B2369" s="5" t="n">
        <v>4</v>
      </c>
      <c r="C2369" s="5" t="s">
        <v>92</v>
      </c>
      <c r="D2369" s="5" t="s">
        <v>1177</v>
      </c>
      <c r="E2369" s="5" t="n">
        <v>1</v>
      </c>
      <c r="F2369" s="6" t="n">
        <f aca="false">IFERROR(MATCH(A2369&amp;"|"&amp;B2369&amp;"|"&amp;D2369,'All Song Rankings'!$T:$T,0),0)</f>
        <v>364</v>
      </c>
      <c r="G2369" s="6" t="str">
        <f aca="false">IF(F2369=0,"NOT FOUND",INDEX('All Song Rankings'!$A:$A,F2369))</f>
        <v>Party In The U.S.A.</v>
      </c>
      <c r="H2369" s="6" t="str">
        <f aca="false">IF(F2369=0,"NOT FOUND",INDEX('All Song Rankings'!$B:$B,F2369))</f>
        <v>Miley Cyrus</v>
      </c>
      <c r="I2369" s="6" t="str">
        <f aca="false">IF(F2369=0,"NOT FOUND",INDEX('All Song Rankings'!$D:$D,F2369))</f>
        <v>Kristen</v>
      </c>
      <c r="J2369" s="7" t="str">
        <f aca="false">IF(F2369=0,"NOT FOUND",IF(C2369=I2369,"SELF-VOTE",IF(COUNTIF($K:$K,K2369)&gt;1,"DUPLICATE","OK")))</f>
        <v>OK</v>
      </c>
      <c r="K2369" s="6" t="str">
        <f aca="false">A2369&amp;"|"&amp;B2369&amp;"|"&amp;C2369&amp;"|"&amp;D2369</f>
        <v>4|4|Nicole|spotify:track:5Q0Nhxo0l2bP3pNjpGJwV1</v>
      </c>
    </row>
    <row r="2370" customFormat="false" ht="15" hidden="false" customHeight="false" outlineLevel="0" collapsed="false">
      <c r="A2370" s="5" t="n">
        <v>4</v>
      </c>
      <c r="B2370" s="5" t="n">
        <v>4</v>
      </c>
      <c r="C2370" s="5" t="s">
        <v>484</v>
      </c>
      <c r="D2370" s="5" t="s">
        <v>1168</v>
      </c>
      <c r="E2370" s="5" t="n">
        <v>1</v>
      </c>
      <c r="F2370" s="6" t="n">
        <f aca="false">IFERROR(MATCH(A2370&amp;"|"&amp;B2370&amp;"|"&amp;D2370,'All Song Rankings'!$T:$T,0),0)</f>
        <v>361</v>
      </c>
      <c r="G2370" s="6" t="str">
        <f aca="false">IF(F2370=0,"NOT FOUND",INDEX('All Song Rankings'!$A:$A,F2370))</f>
        <v>Mr. Brightside</v>
      </c>
      <c r="H2370" s="6" t="str">
        <f aca="false">IF(F2370=0,"NOT FOUND",INDEX('All Song Rankings'!$B:$B,F2370))</f>
        <v>The Killers</v>
      </c>
      <c r="I2370" s="6" t="str">
        <f aca="false">IF(F2370=0,"NOT FOUND",INDEX('All Song Rankings'!$D:$D,F2370))</f>
        <v>Nicole</v>
      </c>
      <c r="J2370" s="7" t="str">
        <f aca="false">IF(F2370=0,"NOT FOUND",IF(C2370=I2370,"SELF-VOTE",IF(COUNTIF($K:$K,K2370)&gt;1,"DUPLICATE","OK")))</f>
        <v>OK</v>
      </c>
      <c r="K2370" s="6" t="str">
        <f aca="false">A2370&amp;"|"&amp;B2370&amp;"|"&amp;C2370&amp;"|"&amp;D2370</f>
        <v>4|4|Scott|spotify:track:003vvx7Niy0yvhvHt4a68B</v>
      </c>
    </row>
    <row r="2371" customFormat="false" ht="15" hidden="false" customHeight="false" outlineLevel="0" collapsed="false">
      <c r="A2371" s="5" t="n">
        <v>4</v>
      </c>
      <c r="B2371" s="5" t="n">
        <v>4</v>
      </c>
      <c r="C2371" s="5" t="s">
        <v>484</v>
      </c>
      <c r="D2371" s="5" t="s">
        <v>1148</v>
      </c>
      <c r="E2371" s="5" t="n">
        <v>2</v>
      </c>
      <c r="F2371" s="6" t="n">
        <f aca="false">IFERROR(MATCH(A2371&amp;"|"&amp;B2371&amp;"|"&amp;D2371,'All Song Rankings'!$T:$T,0),0)</f>
        <v>354</v>
      </c>
      <c r="G2371" s="6" t="str">
        <f aca="false">IF(F2371=0,"NOT FOUND",INDEX('All Song Rankings'!$A:$A,F2371))</f>
        <v>Go Your Own Way</v>
      </c>
      <c r="H2371" s="6" t="str">
        <f aca="false">IF(F2371=0,"NOT FOUND",INDEX('All Song Rankings'!$B:$B,F2371))</f>
        <v>Fleetwood Mac</v>
      </c>
      <c r="I2371" s="6" t="str">
        <f aca="false">IF(F2371=0,"NOT FOUND",INDEX('All Song Rankings'!$D:$D,F2371))</f>
        <v>Kelsey</v>
      </c>
      <c r="J2371" s="7" t="str">
        <f aca="false">IF(F2371=0,"NOT FOUND",IF(C2371=I2371,"SELF-VOTE",IF(COUNTIF($K:$K,K2371)&gt;1,"DUPLICATE","OK")))</f>
        <v>OK</v>
      </c>
      <c r="K2371" s="6" t="str">
        <f aca="false">A2371&amp;"|"&amp;B2371&amp;"|"&amp;C2371&amp;"|"&amp;D2371</f>
        <v>4|4|Scott|spotify:track:15rjQH7nTcTomKwfVMd4xl</v>
      </c>
    </row>
    <row r="2372" customFormat="false" ht="15" hidden="false" customHeight="false" outlineLevel="0" collapsed="false">
      <c r="A2372" s="5" t="n">
        <v>4</v>
      </c>
      <c r="B2372" s="5" t="n">
        <v>4</v>
      </c>
      <c r="C2372" s="5" t="s">
        <v>484</v>
      </c>
      <c r="D2372" s="5" t="s">
        <v>1159</v>
      </c>
      <c r="E2372" s="5" t="n">
        <v>1</v>
      </c>
      <c r="F2372" s="6" t="n">
        <f aca="false">IFERROR(MATCH(A2372&amp;"|"&amp;B2372&amp;"|"&amp;D2372,'All Song Rankings'!$T:$T,0),0)</f>
        <v>358</v>
      </c>
      <c r="G2372" s="6" t="str">
        <f aca="false">IF(F2372=0,"NOT FOUND",INDEX('All Song Rankings'!$A:$A,F2372))</f>
        <v>Come On Eileen</v>
      </c>
      <c r="H2372" s="6" t="str">
        <f aca="false">IF(F2372=0,"NOT FOUND",INDEX('All Song Rankings'!$B:$B,F2372))</f>
        <v>Dexys Midnight Runners</v>
      </c>
      <c r="I2372" s="6" t="str">
        <f aca="false">IF(F2372=0,"NOT FOUND",INDEX('All Song Rankings'!$D:$D,F2372))</f>
        <v>Matt</v>
      </c>
      <c r="J2372" s="7" t="str">
        <f aca="false">IF(F2372=0,"NOT FOUND",IF(C2372=I2372,"SELF-VOTE",IF(COUNTIF($K:$K,K2372)&gt;1,"DUPLICATE","OK")))</f>
        <v>OK</v>
      </c>
      <c r="K2372" s="6" t="str">
        <f aca="false">A2372&amp;"|"&amp;B2372&amp;"|"&amp;C2372&amp;"|"&amp;D2372</f>
        <v>4|4|Scott|spotify:track:3MrWxJaD2AT0W9DjWF64Vm</v>
      </c>
    </row>
    <row r="2373" customFormat="false" ht="15" hidden="false" customHeight="false" outlineLevel="0" collapsed="false">
      <c r="A2373" s="5" t="n">
        <v>4</v>
      </c>
      <c r="B2373" s="5" t="n">
        <v>4</v>
      </c>
      <c r="C2373" s="5" t="s">
        <v>484</v>
      </c>
      <c r="D2373" s="5" t="s">
        <v>1174</v>
      </c>
      <c r="E2373" s="5" t="n">
        <v>2</v>
      </c>
      <c r="F2373" s="6" t="n">
        <f aca="false">IFERROR(MATCH(A2373&amp;"|"&amp;B2373&amp;"|"&amp;D2373,'All Song Rankings'!$T:$T,0),0)</f>
        <v>363</v>
      </c>
      <c r="G2373" s="6" t="str">
        <f aca="false">IF(F2373=0,"NOT FOUND",INDEX('All Song Rankings'!$A:$A,F2373))</f>
        <v>Runnin' Down A Dream</v>
      </c>
      <c r="H2373" s="6" t="str">
        <f aca="false">IF(F2373=0,"NOT FOUND",INDEX('All Song Rankings'!$B:$B,F2373))</f>
        <v>Tom Petty</v>
      </c>
      <c r="I2373" s="6" t="str">
        <f aca="false">IF(F2373=0,"NOT FOUND",INDEX('All Song Rankings'!$D:$D,F2373))</f>
        <v>Christine</v>
      </c>
      <c r="J2373" s="7" t="str">
        <f aca="false">IF(F2373=0,"NOT FOUND",IF(C2373=I2373,"SELF-VOTE",IF(COUNTIF($K:$K,K2373)&gt;1,"DUPLICATE","OK")))</f>
        <v>OK</v>
      </c>
      <c r="K2373" s="6" t="str">
        <f aca="false">A2373&amp;"|"&amp;B2373&amp;"|"&amp;C2373&amp;"|"&amp;D2373</f>
        <v>4|4|Scott|spotify:track:4AiMaeCXwsldpwvA5wu5gM</v>
      </c>
    </row>
    <row r="2374" customFormat="false" ht="15" hidden="false" customHeight="false" outlineLevel="0" collapsed="false">
      <c r="A2374" s="5" t="n">
        <v>4</v>
      </c>
      <c r="B2374" s="5" t="n">
        <v>4</v>
      </c>
      <c r="C2374" s="5" t="s">
        <v>484</v>
      </c>
      <c r="D2374" s="5" t="s">
        <v>1180</v>
      </c>
      <c r="E2374" s="5" t="n">
        <v>1</v>
      </c>
      <c r="F2374" s="6" t="n">
        <f aca="false">IFERROR(MATCH(A2374&amp;"|"&amp;B2374&amp;"|"&amp;D2374,'All Song Rankings'!$T:$T,0),0)</f>
        <v>365</v>
      </c>
      <c r="G2374" s="6" t="str">
        <f aca="false">IF(F2374=0,"NOT FOUND",INDEX('All Song Rankings'!$A:$A,F2374))</f>
        <v>The Boys Of Summer - Remastered 2024</v>
      </c>
      <c r="H2374" s="6" t="str">
        <f aca="false">IF(F2374=0,"NOT FOUND",INDEX('All Song Rankings'!$B:$B,F2374))</f>
        <v>Don Henley</v>
      </c>
      <c r="I2374" s="6" t="str">
        <f aca="false">IF(F2374=0,"NOT FOUND",INDEX('All Song Rankings'!$D:$D,F2374))</f>
        <v>Lisa</v>
      </c>
      <c r="J2374" s="7" t="str">
        <f aca="false">IF(F2374=0,"NOT FOUND",IF(C2374=I2374,"SELF-VOTE",IF(COUNTIF($K:$K,K2374)&gt;1,"DUPLICATE","OK")))</f>
        <v>OK</v>
      </c>
      <c r="K2374" s="6" t="str">
        <f aca="false">A2374&amp;"|"&amp;B2374&amp;"|"&amp;C2374&amp;"|"&amp;D2374</f>
        <v>4|4|Scott|spotify:track:4Q3ERWBrb4lhDvAPyANjY5</v>
      </c>
    </row>
    <row r="2375" customFormat="false" ht="15" hidden="false" customHeight="false" outlineLevel="0" collapsed="false">
      <c r="A2375" s="5" t="n">
        <v>4</v>
      </c>
      <c r="B2375" s="5" t="n">
        <v>4</v>
      </c>
      <c r="C2375" s="5" t="s">
        <v>484</v>
      </c>
      <c r="D2375" s="5" t="s">
        <v>1171</v>
      </c>
      <c r="E2375" s="5" t="n">
        <v>1</v>
      </c>
      <c r="F2375" s="6" t="n">
        <f aca="false">IFERROR(MATCH(A2375&amp;"|"&amp;B2375&amp;"|"&amp;D2375,'All Song Rankings'!$T:$T,0),0)</f>
        <v>362</v>
      </c>
      <c r="G2375" s="6" t="str">
        <f aca="false">IF(F2375=0,"NOT FOUND",INDEX('All Song Rankings'!$A:$A,F2375))</f>
        <v>Still Fly</v>
      </c>
      <c r="H2375" s="6" t="str">
        <f aca="false">IF(F2375=0,"NOT FOUND",INDEX('All Song Rankings'!$B:$B,F2375))</f>
        <v>Big Tymers</v>
      </c>
      <c r="I2375" s="6" t="str">
        <f aca="false">IF(F2375=0,"NOT FOUND",INDEX('All Song Rankings'!$D:$D,F2375))</f>
        <v>Leah</v>
      </c>
      <c r="J2375" s="7" t="str">
        <f aca="false">IF(F2375=0,"NOT FOUND",IF(C2375=I2375,"SELF-VOTE",IF(COUNTIF($K:$K,K2375)&gt;1,"DUPLICATE","OK")))</f>
        <v>OK</v>
      </c>
      <c r="K2375" s="6" t="str">
        <f aca="false">A2375&amp;"|"&amp;B2375&amp;"|"&amp;C2375&amp;"|"&amp;D2375</f>
        <v>4|4|Scott|spotify:track:563vSy3HB5NHxel1VGQCW6</v>
      </c>
    </row>
    <row r="2376" customFormat="false" ht="15" hidden="false" customHeight="false" outlineLevel="0" collapsed="false">
      <c r="A2376" s="5" t="n">
        <v>4</v>
      </c>
      <c r="B2376" s="5" t="n">
        <v>4</v>
      </c>
      <c r="C2376" s="5" t="s">
        <v>484</v>
      </c>
      <c r="D2376" s="5" t="s">
        <v>1142</v>
      </c>
      <c r="E2376" s="5" t="n">
        <v>2</v>
      </c>
      <c r="F2376" s="6" t="n">
        <f aca="false">IFERROR(MATCH(A2376&amp;"|"&amp;B2376&amp;"|"&amp;D2376,'All Song Rankings'!$T:$T,0),0)</f>
        <v>352</v>
      </c>
      <c r="G2376" s="6" t="str">
        <f aca="false">IF(F2376=0,"NOT FOUND",INDEX('All Song Rankings'!$A:$A,F2376))</f>
        <v>I'm Gonna Be (500 Miles)</v>
      </c>
      <c r="H2376" s="6" t="str">
        <f aca="false">IF(F2376=0,"NOT FOUND",INDEX('All Song Rankings'!$B:$B,F2376))</f>
        <v>The Proclaimers</v>
      </c>
      <c r="I2376" s="6" t="str">
        <f aca="false">IF(F2376=0,"NOT FOUND",INDEX('All Song Rankings'!$D:$D,F2376))</f>
        <v>Grace</v>
      </c>
      <c r="J2376" s="7" t="str">
        <f aca="false">IF(F2376=0,"NOT FOUND",IF(C2376=I2376,"SELF-VOTE",IF(COUNTIF($K:$K,K2376)&gt;1,"DUPLICATE","OK")))</f>
        <v>OK</v>
      </c>
      <c r="K2376" s="6" t="str">
        <f aca="false">A2376&amp;"|"&amp;B2376&amp;"|"&amp;C2376&amp;"|"&amp;D2376</f>
        <v>4|4|Scott|spotify:track:67iAlVNDDdddxqSD2EZhFs</v>
      </c>
    </row>
    <row r="2377" customFormat="false" ht="15" hidden="false" customHeight="false" outlineLevel="0" collapsed="false">
      <c r="A2377" s="5" t="n">
        <v>4</v>
      </c>
      <c r="B2377" s="5" t="n">
        <v>4</v>
      </c>
      <c r="C2377" s="5" t="s">
        <v>97</v>
      </c>
      <c r="D2377" s="5" t="s">
        <v>1148</v>
      </c>
      <c r="E2377" s="5" t="n">
        <v>1</v>
      </c>
      <c r="F2377" s="6" t="n">
        <f aca="false">IFERROR(MATCH(A2377&amp;"|"&amp;B2377&amp;"|"&amp;D2377,'All Song Rankings'!$T:$T,0),0)</f>
        <v>354</v>
      </c>
      <c r="G2377" s="6" t="str">
        <f aca="false">IF(F2377=0,"NOT FOUND",INDEX('All Song Rankings'!$A:$A,F2377))</f>
        <v>Go Your Own Way</v>
      </c>
      <c r="H2377" s="6" t="str">
        <f aca="false">IF(F2377=0,"NOT FOUND",INDEX('All Song Rankings'!$B:$B,F2377))</f>
        <v>Fleetwood Mac</v>
      </c>
      <c r="I2377" s="6" t="str">
        <f aca="false">IF(F2377=0,"NOT FOUND",INDEX('All Song Rankings'!$D:$D,F2377))</f>
        <v>Kelsey</v>
      </c>
      <c r="J2377" s="7" t="str">
        <f aca="false">IF(F2377=0,"NOT FOUND",IF(C2377=I2377,"SELF-VOTE",IF(COUNTIF($K:$K,K2377)&gt;1,"DUPLICATE","OK")))</f>
        <v>OK</v>
      </c>
      <c r="K2377" s="6" t="str">
        <f aca="false">A2377&amp;"|"&amp;B2377&amp;"|"&amp;C2377&amp;"|"&amp;D2377</f>
        <v>4|4|Stephanie|spotify:track:15rjQH7nTcTomKwfVMd4xl</v>
      </c>
    </row>
    <row r="2378" customFormat="false" ht="15" hidden="false" customHeight="false" outlineLevel="0" collapsed="false">
      <c r="A2378" s="5" t="n">
        <v>4</v>
      </c>
      <c r="B2378" s="5" t="n">
        <v>4</v>
      </c>
      <c r="C2378" s="5" t="s">
        <v>97</v>
      </c>
      <c r="D2378" s="5" t="s">
        <v>1145</v>
      </c>
      <c r="E2378" s="5" t="n">
        <v>2</v>
      </c>
      <c r="F2378" s="6" t="n">
        <f aca="false">IFERROR(MATCH(A2378&amp;"|"&amp;B2378&amp;"|"&amp;D2378,'All Song Rankings'!$T:$T,0),0)</f>
        <v>353</v>
      </c>
      <c r="G2378" s="6" t="str">
        <f aca="false">IF(F2378=0,"NOT FOUND",INDEX('All Song Rankings'!$A:$A,F2378))</f>
        <v>Wild Heart</v>
      </c>
      <c r="H2378" s="6" t="str">
        <f aca="false">IF(F2378=0,"NOT FOUND",INDEX('All Song Rankings'!$B:$B,F2378))</f>
        <v>The Vamps</v>
      </c>
      <c r="I2378" s="6" t="str">
        <f aca="false">IF(F2378=0,"NOT FOUND",INDEX('All Song Rankings'!$D:$D,F2378))</f>
        <v>Merita</v>
      </c>
      <c r="J2378" s="7" t="str">
        <f aca="false">IF(F2378=0,"NOT FOUND",IF(C2378=I2378,"SELF-VOTE",IF(COUNTIF($K:$K,K2378)&gt;1,"DUPLICATE","OK")))</f>
        <v>OK</v>
      </c>
      <c r="K2378" s="6" t="str">
        <f aca="false">A2378&amp;"|"&amp;B2378&amp;"|"&amp;C2378&amp;"|"&amp;D2378</f>
        <v>4|4|Stephanie|spotify:track:2FTcOYcsSglWsS1zThQRh9</v>
      </c>
    </row>
    <row r="2379" customFormat="false" ht="15" hidden="false" customHeight="false" outlineLevel="0" collapsed="false">
      <c r="A2379" s="5" t="n">
        <v>4</v>
      </c>
      <c r="B2379" s="5" t="n">
        <v>4</v>
      </c>
      <c r="C2379" s="5" t="s">
        <v>97</v>
      </c>
      <c r="D2379" s="5" t="s">
        <v>1153</v>
      </c>
      <c r="E2379" s="5" t="n">
        <v>1</v>
      </c>
      <c r="F2379" s="6" t="n">
        <f aca="false">IFERROR(MATCH(A2379&amp;"|"&amp;B2379&amp;"|"&amp;D2379,'All Song Rankings'!$T:$T,0),0)</f>
        <v>356</v>
      </c>
      <c r="G2379" s="6" t="str">
        <f aca="false">IF(F2379=0,"NOT FOUND",INDEX('All Song Rankings'!$A:$A,F2379))</f>
        <v>Holiday Road - National Lampoon's Vacation</v>
      </c>
      <c r="H2379" s="6" t="str">
        <f aca="false">IF(F2379=0,"NOT FOUND",INDEX('All Song Rankings'!$B:$B,F2379))</f>
        <v>Lindsey Buckingham</v>
      </c>
      <c r="I2379" s="6" t="str">
        <f aca="false">IF(F2379=0,"NOT FOUND",INDEX('All Song Rankings'!$D:$D,F2379))</f>
        <v>Scott</v>
      </c>
      <c r="J2379" s="7" t="str">
        <f aca="false">IF(F2379=0,"NOT FOUND",IF(C2379=I2379,"SELF-VOTE",IF(COUNTIF($K:$K,K2379)&gt;1,"DUPLICATE","OK")))</f>
        <v>OK</v>
      </c>
      <c r="K2379" s="6" t="str">
        <f aca="false">A2379&amp;"|"&amp;B2379&amp;"|"&amp;C2379&amp;"|"&amp;D2379</f>
        <v>4|4|Stephanie|spotify:track:38i0QcGQ9hu8PMk4QObUTj</v>
      </c>
    </row>
    <row r="2380" customFormat="false" ht="15" hidden="false" customHeight="false" outlineLevel="0" collapsed="false">
      <c r="A2380" s="5" t="n">
        <v>4</v>
      </c>
      <c r="B2380" s="5" t="n">
        <v>4</v>
      </c>
      <c r="C2380" s="5" t="s">
        <v>97</v>
      </c>
      <c r="D2380" s="5" t="s">
        <v>1162</v>
      </c>
      <c r="E2380" s="5" t="n">
        <v>2</v>
      </c>
      <c r="F2380" s="6" t="n">
        <f aca="false">IFERROR(MATCH(A2380&amp;"|"&amp;B2380&amp;"|"&amp;D2380,'All Song Rankings'!$T:$T,0),0)</f>
        <v>359</v>
      </c>
      <c r="G2380" s="6" t="str">
        <f aca="false">IF(F2380=0,"NOT FOUND",INDEX('All Song Rankings'!$A:$A,F2380))</f>
        <v>Nothing's Gonna Stop Us Now</v>
      </c>
      <c r="H2380" s="6" t="str">
        <f aca="false">IF(F2380=0,"NOT FOUND",INDEX('All Song Rankings'!$B:$B,F2380))</f>
        <v>Starship</v>
      </c>
      <c r="I2380" s="6" t="str">
        <f aca="false">IF(F2380=0,"NOT FOUND",INDEX('All Song Rankings'!$D:$D,F2380))</f>
        <v>Logan</v>
      </c>
      <c r="J2380" s="7" t="str">
        <f aca="false">IF(F2380=0,"NOT FOUND",IF(C2380=I2380,"SELF-VOTE",IF(COUNTIF($K:$K,K2380)&gt;1,"DUPLICATE","OK")))</f>
        <v>OK</v>
      </c>
      <c r="K2380" s="6" t="str">
        <f aca="false">A2380&amp;"|"&amp;B2380&amp;"|"&amp;C2380&amp;"|"&amp;D2380</f>
        <v>4|4|Stephanie|spotify:track:3X7uFMzJrEE0sxn62qd8Ch</v>
      </c>
    </row>
    <row r="2381" customFormat="false" ht="15" hidden="false" customHeight="false" outlineLevel="0" collapsed="false">
      <c r="A2381" s="5" t="n">
        <v>4</v>
      </c>
      <c r="B2381" s="5" t="n">
        <v>4</v>
      </c>
      <c r="C2381" s="5" t="s">
        <v>97</v>
      </c>
      <c r="D2381" s="5" t="s">
        <v>1165</v>
      </c>
      <c r="E2381" s="5" t="n">
        <v>2</v>
      </c>
      <c r="F2381" s="6" t="n">
        <f aca="false">IFERROR(MATCH(A2381&amp;"|"&amp;B2381&amp;"|"&amp;D2381,'All Song Rankings'!$T:$T,0),0)</f>
        <v>360</v>
      </c>
      <c r="G2381" s="6" t="str">
        <f aca="false">IF(F2381=0,"NOT FOUND",INDEX('All Song Rankings'!$A:$A,F2381))</f>
        <v>A Thousand Miles</v>
      </c>
      <c r="H2381" s="6" t="str">
        <f aca="false">IF(F2381=0,"NOT FOUND",INDEX('All Song Rankings'!$B:$B,F2381))</f>
        <v>Vanessa Carlton</v>
      </c>
      <c r="I2381" s="6" t="str">
        <f aca="false">IF(F2381=0,"NOT FOUND",INDEX('All Song Rankings'!$D:$D,F2381))</f>
        <v>Colleen</v>
      </c>
      <c r="J2381" s="7" t="str">
        <f aca="false">IF(F2381=0,"NOT FOUND",IF(C2381=I2381,"SELF-VOTE",IF(COUNTIF($K:$K,K2381)&gt;1,"DUPLICATE","OK")))</f>
        <v>OK</v>
      </c>
      <c r="K2381" s="6" t="str">
        <f aca="false">A2381&amp;"|"&amp;B2381&amp;"|"&amp;C2381&amp;"|"&amp;D2381</f>
        <v>4|4|Stephanie|spotify:track:4w1lzcaoZ1IC2K5TwjalRP</v>
      </c>
    </row>
    <row r="2382" customFormat="false" ht="15" hidden="false" customHeight="false" outlineLevel="0" collapsed="false">
      <c r="A2382" s="5" t="n">
        <v>4</v>
      </c>
      <c r="B2382" s="5" t="n">
        <v>4</v>
      </c>
      <c r="C2382" s="5" t="s">
        <v>97</v>
      </c>
      <c r="D2382" s="5" t="s">
        <v>1171</v>
      </c>
      <c r="E2382" s="5" t="n">
        <v>1</v>
      </c>
      <c r="F2382" s="6" t="n">
        <f aca="false">IFERROR(MATCH(A2382&amp;"|"&amp;B2382&amp;"|"&amp;D2382,'All Song Rankings'!$T:$T,0),0)</f>
        <v>362</v>
      </c>
      <c r="G2382" s="6" t="str">
        <f aca="false">IF(F2382=0,"NOT FOUND",INDEX('All Song Rankings'!$A:$A,F2382))</f>
        <v>Still Fly</v>
      </c>
      <c r="H2382" s="6" t="str">
        <f aca="false">IF(F2382=0,"NOT FOUND",INDEX('All Song Rankings'!$B:$B,F2382))</f>
        <v>Big Tymers</v>
      </c>
      <c r="I2382" s="6" t="str">
        <f aca="false">IF(F2382=0,"NOT FOUND",INDEX('All Song Rankings'!$D:$D,F2382))</f>
        <v>Leah</v>
      </c>
      <c r="J2382" s="7" t="str">
        <f aca="false">IF(F2382=0,"NOT FOUND",IF(C2382=I2382,"SELF-VOTE",IF(COUNTIF($K:$K,K2382)&gt;1,"DUPLICATE","OK")))</f>
        <v>OK</v>
      </c>
      <c r="K2382" s="6" t="str">
        <f aca="false">A2382&amp;"|"&amp;B2382&amp;"|"&amp;C2382&amp;"|"&amp;D2382</f>
        <v>4|4|Stephanie|spotify:track:563vSy3HB5NHxel1VGQCW6</v>
      </c>
    </row>
    <row r="2383" customFormat="false" ht="15" hidden="false" customHeight="false" outlineLevel="0" collapsed="false">
      <c r="A2383" s="5" t="n">
        <v>4</v>
      </c>
      <c r="B2383" s="5" t="n">
        <v>4</v>
      </c>
      <c r="C2383" s="5" t="s">
        <v>97</v>
      </c>
      <c r="D2383" s="5" t="s">
        <v>1142</v>
      </c>
      <c r="E2383" s="5" t="n">
        <v>1</v>
      </c>
      <c r="F2383" s="6" t="n">
        <f aca="false">IFERROR(MATCH(A2383&amp;"|"&amp;B2383&amp;"|"&amp;D2383,'All Song Rankings'!$T:$T,0),0)</f>
        <v>352</v>
      </c>
      <c r="G2383" s="6" t="str">
        <f aca="false">IF(F2383=0,"NOT FOUND",INDEX('All Song Rankings'!$A:$A,F2383))</f>
        <v>I'm Gonna Be (500 Miles)</v>
      </c>
      <c r="H2383" s="6" t="str">
        <f aca="false">IF(F2383=0,"NOT FOUND",INDEX('All Song Rankings'!$B:$B,F2383))</f>
        <v>The Proclaimers</v>
      </c>
      <c r="I2383" s="6" t="str">
        <f aca="false">IF(F2383=0,"NOT FOUND",INDEX('All Song Rankings'!$D:$D,F2383))</f>
        <v>Grace</v>
      </c>
      <c r="J2383" s="7" t="str">
        <f aca="false">IF(F2383=0,"NOT FOUND",IF(C2383=I2383,"SELF-VOTE",IF(COUNTIF($K:$K,K2383)&gt;1,"DUPLICATE","OK")))</f>
        <v>OK</v>
      </c>
      <c r="K2383" s="6" t="str">
        <f aca="false">A2383&amp;"|"&amp;B2383&amp;"|"&amp;C2383&amp;"|"&amp;D2383</f>
        <v>4|4|Stephanie|spotify:track:67iAlVNDDdddxqSD2EZhFs</v>
      </c>
    </row>
    <row r="2384" customFormat="false" ht="15" hidden="false" customHeight="false" outlineLevel="0" collapsed="false">
      <c r="A2384" s="5" t="n">
        <v>4</v>
      </c>
      <c r="B2384" s="5" t="n">
        <v>5</v>
      </c>
      <c r="C2384" s="5" t="s">
        <v>719</v>
      </c>
      <c r="D2384" s="5" t="s">
        <v>1206</v>
      </c>
      <c r="E2384" s="5" t="n">
        <v>1</v>
      </c>
      <c r="F2384" s="6" t="n">
        <f aca="false">IFERROR(MATCH(A2384&amp;"|"&amp;B2384&amp;"|"&amp;D2384,'All Song Rankings'!$T:$T,0),0)</f>
        <v>374</v>
      </c>
      <c r="G2384" s="6" t="str">
        <f aca="false">IF(F2384=0,"NOT FOUND",INDEX('All Song Rankings'!$A:$A,F2384))</f>
        <v>Say It Ain't So - The Kitchen Tape Demo - August 1, 1992</v>
      </c>
      <c r="H2384" s="6" t="str">
        <f aca="false">IF(F2384=0,"NOT FOUND",INDEX('All Song Rankings'!$B:$B,F2384))</f>
        <v>Weezer</v>
      </c>
      <c r="I2384" s="6" t="str">
        <f aca="false">IF(F2384=0,"NOT FOUND",INDEX('All Song Rankings'!$D:$D,F2384))</f>
        <v>Nicole</v>
      </c>
      <c r="J2384" s="7" t="str">
        <f aca="false">IF(F2384=0,"NOT FOUND",IF(C2384=I2384,"SELF-VOTE",IF(COUNTIF($K:$K,K2384)&gt;1,"DUPLICATE","OK")))</f>
        <v>OK</v>
      </c>
      <c r="K2384" s="6" t="str">
        <f aca="false">A2384&amp;"|"&amp;B2384&amp;"|"&amp;C2384&amp;"|"&amp;D2384</f>
        <v>4|5|Christine|spotify:track:0OslHiqg2d7lIcb4mzFkyA</v>
      </c>
    </row>
    <row r="2385" customFormat="false" ht="15" hidden="false" customHeight="false" outlineLevel="0" collapsed="false">
      <c r="A2385" s="5" t="n">
        <v>4</v>
      </c>
      <c r="B2385" s="5" t="n">
        <v>5</v>
      </c>
      <c r="C2385" s="5" t="s">
        <v>719</v>
      </c>
      <c r="D2385" s="5" t="s">
        <v>1218</v>
      </c>
      <c r="E2385" s="5" t="n">
        <v>2</v>
      </c>
      <c r="F2385" s="6" t="n">
        <f aca="false">IFERROR(MATCH(A2385&amp;"|"&amp;B2385&amp;"|"&amp;D2385,'All Song Rankings'!$T:$T,0),0)</f>
        <v>379</v>
      </c>
      <c r="G2385" s="6" t="str">
        <f aca="false">IF(F2385=0,"NOT FOUND",INDEX('All Song Rankings'!$A:$A,F2385))</f>
        <v>Learning To Fly</v>
      </c>
      <c r="H2385" s="6" t="str">
        <f aca="false">IF(F2385=0,"NOT FOUND",INDEX('All Song Rankings'!$B:$B,F2385))</f>
        <v>Tom Petty</v>
      </c>
      <c r="I2385" s="6" t="str">
        <f aca="false">IF(F2385=0,"NOT FOUND",INDEX('All Song Rankings'!$D:$D,F2385))</f>
        <v>Colleen</v>
      </c>
      <c r="J2385" s="7" t="str">
        <f aca="false">IF(F2385=0,"NOT FOUND",IF(C2385=I2385,"SELF-VOTE",IF(COUNTIF($K:$K,K2385)&gt;1,"DUPLICATE","OK")))</f>
        <v>OK</v>
      </c>
      <c r="K2385" s="6" t="str">
        <f aca="false">A2385&amp;"|"&amp;B2385&amp;"|"&amp;C2385&amp;"|"&amp;D2385</f>
        <v>4|5|Christine|spotify:track:17S4XrLvF5jlGvGCJHgF51</v>
      </c>
    </row>
    <row r="2386" customFormat="false" ht="15" hidden="false" customHeight="false" outlineLevel="0" collapsed="false">
      <c r="A2386" s="5" t="n">
        <v>4</v>
      </c>
      <c r="B2386" s="5" t="n">
        <v>5</v>
      </c>
      <c r="C2386" s="5" t="s">
        <v>719</v>
      </c>
      <c r="D2386" s="5" t="s">
        <v>1212</v>
      </c>
      <c r="E2386" s="5" t="n">
        <v>1</v>
      </c>
      <c r="F2386" s="6" t="n">
        <f aca="false">IFERROR(MATCH(A2386&amp;"|"&amp;B2386&amp;"|"&amp;D2386,'All Song Rankings'!$T:$T,0),0)</f>
        <v>376</v>
      </c>
      <c r="G2386" s="6" t="str">
        <f aca="false">IF(F2386=0,"NOT FOUND",INDEX('All Song Rankings'!$A:$A,F2386))</f>
        <v>Fall On Me</v>
      </c>
      <c r="H2386" s="6" t="str">
        <f aca="false">IF(F2386=0,"NOT FOUND",INDEX('All Song Rankings'!$B:$B,F2386))</f>
        <v>R.E.M.</v>
      </c>
      <c r="I2386" s="6" t="str">
        <f aca="false">IF(F2386=0,"NOT FOUND",INDEX('All Song Rankings'!$D:$D,F2386))</f>
        <v>Leah</v>
      </c>
      <c r="J2386" s="7" t="str">
        <f aca="false">IF(F2386=0,"NOT FOUND",IF(C2386=I2386,"SELF-VOTE",IF(COUNTIF($K:$K,K2386)&gt;1,"DUPLICATE","OK")))</f>
        <v>OK</v>
      </c>
      <c r="K2386" s="6" t="str">
        <f aca="false">A2386&amp;"|"&amp;B2386&amp;"|"&amp;C2386&amp;"|"&amp;D2386</f>
        <v>4|5|Christine|spotify:track:181ERlg2wowFuRobnrMZJ2</v>
      </c>
    </row>
    <row r="2387" customFormat="false" ht="15" hidden="false" customHeight="false" outlineLevel="0" collapsed="false">
      <c r="A2387" s="5" t="n">
        <v>4</v>
      </c>
      <c r="B2387" s="5" t="n">
        <v>5</v>
      </c>
      <c r="C2387" s="5" t="s">
        <v>719</v>
      </c>
      <c r="D2387" s="5" t="s">
        <v>1195</v>
      </c>
      <c r="E2387" s="5" t="n">
        <v>1</v>
      </c>
      <c r="F2387" s="6" t="n">
        <f aca="false">IFERROR(MATCH(A2387&amp;"|"&amp;B2387&amp;"|"&amp;D2387,'All Song Rankings'!$T:$T,0),0)</f>
        <v>370</v>
      </c>
      <c r="G2387" s="6" t="str">
        <f aca="false">IF(F2387=0,"NOT FOUND",INDEX('All Song Rankings'!$A:$A,F2387))</f>
        <v>This Is Halloween</v>
      </c>
      <c r="H2387" s="6" t="str">
        <f aca="false">IF(F2387=0,"NOT FOUND",INDEX('All Song Rankings'!$B:$B,F2387))</f>
        <v>The Citizens of Halloween</v>
      </c>
      <c r="I2387" s="6" t="str">
        <f aca="false">IF(F2387=0,"NOT FOUND",INDEX('All Song Rankings'!$D:$D,F2387))</f>
        <v>Makenzie</v>
      </c>
      <c r="J2387" s="7" t="str">
        <f aca="false">IF(F2387=0,"NOT FOUND",IF(C2387=I2387,"SELF-VOTE",IF(COUNTIF($K:$K,K2387)&gt;1,"DUPLICATE","OK")))</f>
        <v>OK</v>
      </c>
      <c r="K2387" s="6" t="str">
        <f aca="false">A2387&amp;"|"&amp;B2387&amp;"|"&amp;C2387&amp;"|"&amp;D2387</f>
        <v>4|5|Christine|spotify:track:3mhsDyQpX2L8sJMdWUHOi3</v>
      </c>
    </row>
    <row r="2388" customFormat="false" ht="15" hidden="false" customHeight="false" outlineLevel="0" collapsed="false">
      <c r="A2388" s="5" t="n">
        <v>4</v>
      </c>
      <c r="B2388" s="5" t="n">
        <v>5</v>
      </c>
      <c r="C2388" s="5" t="s">
        <v>719</v>
      </c>
      <c r="D2388" s="5" t="s">
        <v>1189</v>
      </c>
      <c r="E2388" s="5" t="n">
        <v>1</v>
      </c>
      <c r="F2388" s="6" t="n">
        <f aca="false">IFERROR(MATCH(A2388&amp;"|"&amp;B2388&amp;"|"&amp;D2388,'All Song Rankings'!$T:$T,0),0)</f>
        <v>368</v>
      </c>
      <c r="G2388" s="6" t="str">
        <f aca="false">IF(F2388=0,"NOT FOUND",INDEX('All Song Rankings'!$A:$A,F2388))</f>
        <v>That Thing You Do!</v>
      </c>
      <c r="H2388" s="6" t="str">
        <f aca="false">IF(F2388=0,"NOT FOUND",INDEX('All Song Rankings'!$B:$B,F2388))</f>
        <v>The Wonders</v>
      </c>
      <c r="I2388" s="6" t="str">
        <f aca="false">IF(F2388=0,"NOT FOUND",INDEX('All Song Rankings'!$D:$D,F2388))</f>
        <v>Logan</v>
      </c>
      <c r="J2388" s="7" t="str">
        <f aca="false">IF(F2388=0,"NOT FOUND",IF(C2388=I2388,"SELF-VOTE",IF(COUNTIF($K:$K,K2388)&gt;1,"DUPLICATE","OK")))</f>
        <v>OK</v>
      </c>
      <c r="K2388" s="6" t="str">
        <f aca="false">A2388&amp;"|"&amp;B2388&amp;"|"&amp;C2388&amp;"|"&amp;D2388</f>
        <v>4|5|Christine|spotify:track:4O6ZaZrRCFfiZZKjnrXqlk</v>
      </c>
    </row>
    <row r="2389" customFormat="false" ht="15" hidden="false" customHeight="false" outlineLevel="0" collapsed="false">
      <c r="A2389" s="5" t="n">
        <v>4</v>
      </c>
      <c r="B2389" s="5" t="n">
        <v>5</v>
      </c>
      <c r="C2389" s="5" t="s">
        <v>719</v>
      </c>
      <c r="D2389" s="5" t="s">
        <v>1216</v>
      </c>
      <c r="E2389" s="5" t="n">
        <v>1</v>
      </c>
      <c r="F2389" s="6" t="n">
        <f aca="false">IFERROR(MATCH(A2389&amp;"|"&amp;B2389&amp;"|"&amp;D2389,'All Song Rankings'!$T:$T,0),0)</f>
        <v>378</v>
      </c>
      <c r="G2389" s="6" t="str">
        <f aca="false">IF(F2389=0,"NOT FOUND",INDEX('All Song Rankings'!$A:$A,F2389))</f>
        <v>(Everything I Do) I Do It For You</v>
      </c>
      <c r="H2389" s="6" t="str">
        <f aca="false">IF(F2389=0,"NOT FOUND",INDEX('All Song Rankings'!$B:$B,F2389))</f>
        <v>Bryan Adams</v>
      </c>
      <c r="I2389" s="6" t="str">
        <f aca="false">IF(F2389=0,"NOT FOUND",INDEX('All Song Rankings'!$D:$D,F2389))</f>
        <v>Scott</v>
      </c>
      <c r="J2389" s="7" t="str">
        <f aca="false">IF(F2389=0,"NOT FOUND",IF(C2389=I2389,"SELF-VOTE",IF(COUNTIF($K:$K,K2389)&gt;1,"DUPLICATE","OK")))</f>
        <v>OK</v>
      </c>
      <c r="K2389" s="6" t="str">
        <f aca="false">A2389&amp;"|"&amp;B2389&amp;"|"&amp;C2389&amp;"|"&amp;D2389</f>
        <v>4|5|Christine|spotify:track:5HQ6AUDMbMuwktvcNPuV1y</v>
      </c>
    </row>
    <row r="2390" customFormat="false" ht="15" hidden="false" customHeight="false" outlineLevel="0" collapsed="false">
      <c r="A2390" s="5" t="n">
        <v>4</v>
      </c>
      <c r="B2390" s="5" t="n">
        <v>5</v>
      </c>
      <c r="C2390" s="5" t="s">
        <v>719</v>
      </c>
      <c r="D2390" s="5" t="s">
        <v>1184</v>
      </c>
      <c r="E2390" s="5" t="n">
        <v>1</v>
      </c>
      <c r="F2390" s="6" t="n">
        <f aca="false">IFERROR(MATCH(A2390&amp;"|"&amp;B2390&amp;"|"&amp;D2390,'All Song Rankings'!$T:$T,0),0)</f>
        <v>366</v>
      </c>
      <c r="G2390" s="6" t="str">
        <f aca="false">IF(F2390=0,"NOT FOUND",INDEX('All Song Rankings'!$A:$A,F2390))</f>
        <v>I Want To Hold Your Hand</v>
      </c>
      <c r="H2390" s="6" t="str">
        <f aca="false">IF(F2390=0,"NOT FOUND",INDEX('All Song Rankings'!$B:$B,F2390))</f>
        <v>The Beatles</v>
      </c>
      <c r="I2390" s="6" t="str">
        <f aca="false">IF(F2390=0,"NOT FOUND",INDEX('All Song Rankings'!$D:$D,F2390))</f>
        <v>Lisa</v>
      </c>
      <c r="J2390" s="7" t="str">
        <f aca="false">IF(F2390=0,"NOT FOUND",IF(C2390=I2390,"SELF-VOTE",IF(COUNTIF($K:$K,K2390)&gt;1,"DUPLICATE","OK")))</f>
        <v>OK</v>
      </c>
      <c r="K2390" s="6" t="str">
        <f aca="false">A2390&amp;"|"&amp;B2390&amp;"|"&amp;C2390&amp;"|"&amp;D2390</f>
        <v>4|5|Christine|spotify:track:5J3Mf6dyqeGy67yuQ7ql9B</v>
      </c>
    </row>
    <row r="2391" customFormat="false" ht="15" hidden="false" customHeight="false" outlineLevel="0" collapsed="false">
      <c r="A2391" s="5" t="n">
        <v>4</v>
      </c>
      <c r="B2391" s="5" t="n">
        <v>5</v>
      </c>
      <c r="C2391" s="5" t="s">
        <v>719</v>
      </c>
      <c r="D2391" s="5" t="s">
        <v>1198</v>
      </c>
      <c r="E2391" s="5" t="n">
        <v>2</v>
      </c>
      <c r="F2391" s="6" t="n">
        <f aca="false">IFERROR(MATCH(A2391&amp;"|"&amp;B2391&amp;"|"&amp;D2391,'All Song Rankings'!$T:$T,0),0)</f>
        <v>371</v>
      </c>
      <c r="G2391" s="6" t="str">
        <f aca="false">IF(F2391=0,"NOT FOUND",INDEX('All Song Rankings'!$A:$A,F2391))</f>
        <v>London Calling - Remastered</v>
      </c>
      <c r="H2391" s="6" t="str">
        <f aca="false">IF(F2391=0,"NOT FOUND",INDEX('All Song Rankings'!$B:$B,F2391))</f>
        <v>The Clash</v>
      </c>
      <c r="I2391" s="6" t="str">
        <f aca="false">IF(F2391=0,"NOT FOUND",INDEX('All Song Rankings'!$D:$D,F2391))</f>
        <v>Matt</v>
      </c>
      <c r="J2391" s="7" t="str">
        <f aca="false">IF(F2391=0,"NOT FOUND",IF(C2391=I2391,"SELF-VOTE",IF(COUNTIF($K:$K,K2391)&gt;1,"DUPLICATE","OK")))</f>
        <v>OK</v>
      </c>
      <c r="K2391" s="6" t="str">
        <f aca="false">A2391&amp;"|"&amp;B2391&amp;"|"&amp;C2391&amp;"|"&amp;D2391</f>
        <v>4|5|Christine|spotify:track:5jzma6gCzYtKB1DbEwFZKH</v>
      </c>
    </row>
    <row r="2392" customFormat="false" ht="15" hidden="false" customHeight="false" outlineLevel="0" collapsed="false">
      <c r="A2392" s="5" t="n">
        <v>4</v>
      </c>
      <c r="B2392" s="5" t="n">
        <v>5</v>
      </c>
      <c r="C2392" s="5" t="s">
        <v>382</v>
      </c>
      <c r="D2392" s="5" t="s">
        <v>1218</v>
      </c>
      <c r="E2392" s="5" t="n">
        <v>1</v>
      </c>
      <c r="F2392" s="6" t="n">
        <f aca="false">IFERROR(MATCH(A2392&amp;"|"&amp;B2392&amp;"|"&amp;D2392,'All Song Rankings'!$T:$T,0),0)</f>
        <v>379</v>
      </c>
      <c r="G2392" s="6" t="str">
        <f aca="false">IF(F2392=0,"NOT FOUND",INDEX('All Song Rankings'!$A:$A,F2392))</f>
        <v>Learning To Fly</v>
      </c>
      <c r="H2392" s="6" t="str">
        <f aca="false">IF(F2392=0,"NOT FOUND",INDEX('All Song Rankings'!$B:$B,F2392))</f>
        <v>Tom Petty</v>
      </c>
      <c r="I2392" s="6" t="str">
        <f aca="false">IF(F2392=0,"NOT FOUND",INDEX('All Song Rankings'!$D:$D,F2392))</f>
        <v>Colleen</v>
      </c>
      <c r="J2392" s="7" t="str">
        <f aca="false">IF(F2392=0,"NOT FOUND",IF(C2392=I2392,"SELF-VOTE",IF(COUNTIF($K:$K,K2392)&gt;1,"DUPLICATE","OK")))</f>
        <v>OK</v>
      </c>
      <c r="K2392" s="6" t="str">
        <f aca="false">A2392&amp;"|"&amp;B2392&amp;"|"&amp;C2392&amp;"|"&amp;D2392</f>
        <v>4|5|Grace|spotify:track:17S4XrLvF5jlGvGCJHgF51</v>
      </c>
    </row>
    <row r="2393" customFormat="false" ht="15" hidden="false" customHeight="false" outlineLevel="0" collapsed="false">
      <c r="A2393" s="5" t="n">
        <v>4</v>
      </c>
      <c r="B2393" s="5" t="n">
        <v>5</v>
      </c>
      <c r="C2393" s="5" t="s">
        <v>382</v>
      </c>
      <c r="D2393" s="5" t="s">
        <v>1192</v>
      </c>
      <c r="E2393" s="5" t="n">
        <v>2</v>
      </c>
      <c r="F2393" s="6" t="n">
        <f aca="false">IFERROR(MATCH(A2393&amp;"|"&amp;B2393&amp;"|"&amp;D2393,'All Song Rankings'!$T:$T,0),0)</f>
        <v>369</v>
      </c>
      <c r="G2393" s="6" t="str">
        <f aca="false">IF(F2393=0,"NOT FOUND",INDEX('All Song Rankings'!$A:$A,F2393))</f>
        <v>Ghostbusters</v>
      </c>
      <c r="H2393" s="6" t="str">
        <f aca="false">IF(F2393=0,"NOT FOUND",INDEX('All Song Rankings'!$B:$B,F2393))</f>
        <v>Ray Parker Jr.</v>
      </c>
      <c r="I2393" s="6" t="str">
        <f aca="false">IF(F2393=0,"NOT FOUND",INDEX('All Song Rankings'!$D:$D,F2393))</f>
        <v>Stephanie</v>
      </c>
      <c r="J2393" s="7" t="str">
        <f aca="false">IF(F2393=0,"NOT FOUND",IF(C2393=I2393,"SELF-VOTE",IF(COUNTIF($K:$K,K2393)&gt;1,"DUPLICATE","OK")))</f>
        <v>OK</v>
      </c>
      <c r="K2393" s="6" t="str">
        <f aca="false">A2393&amp;"|"&amp;B2393&amp;"|"&amp;C2393&amp;"|"&amp;D2393</f>
        <v>4|5|Grace|spotify:track:3m0y8qLoznUYi73SUBP8GI</v>
      </c>
    </row>
    <row r="2394" customFormat="false" ht="15" hidden="false" customHeight="false" outlineLevel="0" collapsed="false">
      <c r="A2394" s="5" t="n">
        <v>4</v>
      </c>
      <c r="B2394" s="5" t="n">
        <v>5</v>
      </c>
      <c r="C2394" s="5" t="s">
        <v>382</v>
      </c>
      <c r="D2394" s="5" t="s">
        <v>1189</v>
      </c>
      <c r="E2394" s="5" t="n">
        <v>2</v>
      </c>
      <c r="F2394" s="6" t="n">
        <f aca="false">IFERROR(MATCH(A2394&amp;"|"&amp;B2394&amp;"|"&amp;D2394,'All Song Rankings'!$T:$T,0),0)</f>
        <v>368</v>
      </c>
      <c r="G2394" s="6" t="str">
        <f aca="false">IF(F2394=0,"NOT FOUND",INDEX('All Song Rankings'!$A:$A,F2394))</f>
        <v>That Thing You Do!</v>
      </c>
      <c r="H2394" s="6" t="str">
        <f aca="false">IF(F2394=0,"NOT FOUND",INDEX('All Song Rankings'!$B:$B,F2394))</f>
        <v>The Wonders</v>
      </c>
      <c r="I2394" s="6" t="str">
        <f aca="false">IF(F2394=0,"NOT FOUND",INDEX('All Song Rankings'!$D:$D,F2394))</f>
        <v>Logan</v>
      </c>
      <c r="J2394" s="7" t="str">
        <f aca="false">IF(F2394=0,"NOT FOUND",IF(C2394=I2394,"SELF-VOTE",IF(COUNTIF($K:$K,K2394)&gt;1,"DUPLICATE","OK")))</f>
        <v>OK</v>
      </c>
      <c r="K2394" s="6" t="str">
        <f aca="false">A2394&amp;"|"&amp;B2394&amp;"|"&amp;C2394&amp;"|"&amp;D2394</f>
        <v>4|5|Grace|spotify:track:4O6ZaZrRCFfiZZKjnrXqlk</v>
      </c>
    </row>
    <row r="2395" customFormat="false" ht="15" hidden="false" customHeight="false" outlineLevel="0" collapsed="false">
      <c r="A2395" s="5" t="n">
        <v>4</v>
      </c>
      <c r="B2395" s="5" t="n">
        <v>5</v>
      </c>
      <c r="C2395" s="5" t="s">
        <v>382</v>
      </c>
      <c r="D2395" s="5" t="s">
        <v>1184</v>
      </c>
      <c r="E2395" s="5" t="n">
        <v>3</v>
      </c>
      <c r="F2395" s="6" t="n">
        <f aca="false">IFERROR(MATCH(A2395&amp;"|"&amp;B2395&amp;"|"&amp;D2395,'All Song Rankings'!$T:$T,0),0)</f>
        <v>366</v>
      </c>
      <c r="G2395" s="6" t="str">
        <f aca="false">IF(F2395=0,"NOT FOUND",INDEX('All Song Rankings'!$A:$A,F2395))</f>
        <v>I Want To Hold Your Hand</v>
      </c>
      <c r="H2395" s="6" t="str">
        <f aca="false">IF(F2395=0,"NOT FOUND",INDEX('All Song Rankings'!$B:$B,F2395))</f>
        <v>The Beatles</v>
      </c>
      <c r="I2395" s="6" t="str">
        <f aca="false">IF(F2395=0,"NOT FOUND",INDEX('All Song Rankings'!$D:$D,F2395))</f>
        <v>Lisa</v>
      </c>
      <c r="J2395" s="7" t="str">
        <f aca="false">IF(F2395=0,"NOT FOUND",IF(C2395=I2395,"SELF-VOTE",IF(COUNTIF($K:$K,K2395)&gt;1,"DUPLICATE","OK")))</f>
        <v>OK</v>
      </c>
      <c r="K2395" s="6" t="str">
        <f aca="false">A2395&amp;"|"&amp;B2395&amp;"|"&amp;C2395&amp;"|"&amp;D2395</f>
        <v>4|5|Grace|spotify:track:5J3Mf6dyqeGy67yuQ7ql9B</v>
      </c>
    </row>
    <row r="2396" customFormat="false" ht="15" hidden="false" customHeight="false" outlineLevel="0" collapsed="false">
      <c r="A2396" s="5" t="n">
        <v>4</v>
      </c>
      <c r="B2396" s="5" t="n">
        <v>5</v>
      </c>
      <c r="C2396" s="5" t="s">
        <v>382</v>
      </c>
      <c r="D2396" s="5" t="s">
        <v>1198</v>
      </c>
      <c r="E2396" s="5" t="n">
        <v>1</v>
      </c>
      <c r="F2396" s="6" t="n">
        <f aca="false">IFERROR(MATCH(A2396&amp;"|"&amp;B2396&amp;"|"&amp;D2396,'All Song Rankings'!$T:$T,0),0)</f>
        <v>371</v>
      </c>
      <c r="G2396" s="6" t="str">
        <f aca="false">IF(F2396=0,"NOT FOUND",INDEX('All Song Rankings'!$A:$A,F2396))</f>
        <v>London Calling - Remastered</v>
      </c>
      <c r="H2396" s="6" t="str">
        <f aca="false">IF(F2396=0,"NOT FOUND",INDEX('All Song Rankings'!$B:$B,F2396))</f>
        <v>The Clash</v>
      </c>
      <c r="I2396" s="6" t="str">
        <f aca="false">IF(F2396=0,"NOT FOUND",INDEX('All Song Rankings'!$D:$D,F2396))</f>
        <v>Matt</v>
      </c>
      <c r="J2396" s="7" t="str">
        <f aca="false">IF(F2396=0,"NOT FOUND",IF(C2396=I2396,"SELF-VOTE",IF(COUNTIF($K:$K,K2396)&gt;1,"DUPLICATE","OK")))</f>
        <v>OK</v>
      </c>
      <c r="K2396" s="6" t="str">
        <f aca="false">A2396&amp;"|"&amp;B2396&amp;"|"&amp;C2396&amp;"|"&amp;D2396</f>
        <v>4|5|Grace|spotify:track:5jzma6gCzYtKB1DbEwFZKH</v>
      </c>
    </row>
    <row r="2397" customFormat="false" ht="15" hidden="false" customHeight="false" outlineLevel="0" collapsed="false">
      <c r="A2397" s="5" t="n">
        <v>4</v>
      </c>
      <c r="B2397" s="5" t="n">
        <v>5</v>
      </c>
      <c r="C2397" s="5" t="s">
        <v>382</v>
      </c>
      <c r="D2397" s="5" t="s">
        <v>1186</v>
      </c>
      <c r="E2397" s="5" t="n">
        <v>1</v>
      </c>
      <c r="F2397" s="6" t="n">
        <f aca="false">IFERROR(MATCH(A2397&amp;"|"&amp;B2397&amp;"|"&amp;D2397,'All Song Rankings'!$T:$T,0),0)</f>
        <v>367</v>
      </c>
      <c r="G2397" s="6" t="str">
        <f aca="false">IF(F2397=0,"NOT FOUND",INDEX('All Song Rankings'!$A:$A,F2397))</f>
        <v>Suspicious Minds</v>
      </c>
      <c r="H2397" s="6" t="str">
        <f aca="false">IF(F2397=0,"NOT FOUND",INDEX('All Song Rankings'!$B:$B,F2397))</f>
        <v>Elvis Presley</v>
      </c>
      <c r="I2397" s="6" t="str">
        <f aca="false">IF(F2397=0,"NOT FOUND",INDEX('All Song Rankings'!$D:$D,F2397))</f>
        <v>Christine</v>
      </c>
      <c r="J2397" s="7" t="str">
        <f aca="false">IF(F2397=0,"NOT FOUND",IF(C2397=I2397,"SELF-VOTE",IF(COUNTIF($K:$K,K2397)&gt;1,"DUPLICATE","OK")))</f>
        <v>OK</v>
      </c>
      <c r="K2397" s="6" t="str">
        <f aca="false">A2397&amp;"|"&amp;B2397&amp;"|"&amp;C2397&amp;"|"&amp;D2397</f>
        <v>4|5|Grace|spotify:track:6KDG8vvFerlCU63IXdw1zb</v>
      </c>
    </row>
    <row r="2398" customFormat="false" ht="15" hidden="false" customHeight="false" outlineLevel="0" collapsed="false">
      <c r="A2398" s="5" t="n">
        <v>4</v>
      </c>
      <c r="B2398" s="5" t="n">
        <v>5</v>
      </c>
      <c r="C2398" s="5" t="s">
        <v>85</v>
      </c>
      <c r="D2398" s="5" t="s">
        <v>1192</v>
      </c>
      <c r="E2398" s="5" t="n">
        <v>3</v>
      </c>
      <c r="F2398" s="6" t="n">
        <f aca="false">IFERROR(MATCH(A2398&amp;"|"&amp;B2398&amp;"|"&amp;D2398,'All Song Rankings'!$T:$T,0),0)</f>
        <v>369</v>
      </c>
      <c r="G2398" s="6" t="str">
        <f aca="false">IF(F2398=0,"NOT FOUND",INDEX('All Song Rankings'!$A:$A,F2398))</f>
        <v>Ghostbusters</v>
      </c>
      <c r="H2398" s="6" t="str">
        <f aca="false">IF(F2398=0,"NOT FOUND",INDEX('All Song Rankings'!$B:$B,F2398))</f>
        <v>Ray Parker Jr.</v>
      </c>
      <c r="I2398" s="6" t="str">
        <f aca="false">IF(F2398=0,"NOT FOUND",INDEX('All Song Rankings'!$D:$D,F2398))</f>
        <v>Stephanie</v>
      </c>
      <c r="J2398" s="7" t="str">
        <f aca="false">IF(F2398=0,"NOT FOUND",IF(C2398=I2398,"SELF-VOTE",IF(COUNTIF($K:$K,K2398)&gt;1,"DUPLICATE","OK")))</f>
        <v>OK</v>
      </c>
      <c r="K2398" s="6" t="str">
        <f aca="false">A2398&amp;"|"&amp;B2398&amp;"|"&amp;C2398&amp;"|"&amp;D2398</f>
        <v>4|5|Kelsey|spotify:track:3m0y8qLoznUYi73SUBP8GI</v>
      </c>
    </row>
    <row r="2399" customFormat="false" ht="15" hidden="false" customHeight="false" outlineLevel="0" collapsed="false">
      <c r="A2399" s="5" t="n">
        <v>4</v>
      </c>
      <c r="B2399" s="5" t="n">
        <v>5</v>
      </c>
      <c r="C2399" s="5" t="s">
        <v>85</v>
      </c>
      <c r="D2399" s="5" t="s">
        <v>1195</v>
      </c>
      <c r="E2399" s="5" t="n">
        <v>2</v>
      </c>
      <c r="F2399" s="6" t="n">
        <f aca="false">IFERROR(MATCH(A2399&amp;"|"&amp;B2399&amp;"|"&amp;D2399,'All Song Rankings'!$T:$T,0),0)</f>
        <v>370</v>
      </c>
      <c r="G2399" s="6" t="str">
        <f aca="false">IF(F2399=0,"NOT FOUND",INDEX('All Song Rankings'!$A:$A,F2399))</f>
        <v>This Is Halloween</v>
      </c>
      <c r="H2399" s="6" t="str">
        <f aca="false">IF(F2399=0,"NOT FOUND",INDEX('All Song Rankings'!$B:$B,F2399))</f>
        <v>The Citizens of Halloween</v>
      </c>
      <c r="I2399" s="6" t="str">
        <f aca="false">IF(F2399=0,"NOT FOUND",INDEX('All Song Rankings'!$D:$D,F2399))</f>
        <v>Makenzie</v>
      </c>
      <c r="J2399" s="7" t="str">
        <f aca="false">IF(F2399=0,"NOT FOUND",IF(C2399=I2399,"SELF-VOTE",IF(COUNTIF($K:$K,K2399)&gt;1,"DUPLICATE","OK")))</f>
        <v>OK</v>
      </c>
      <c r="K2399" s="6" t="str">
        <f aca="false">A2399&amp;"|"&amp;B2399&amp;"|"&amp;C2399&amp;"|"&amp;D2399</f>
        <v>4|5|Kelsey|spotify:track:3mhsDyQpX2L8sJMdWUHOi3</v>
      </c>
    </row>
    <row r="2400" customFormat="false" ht="15" hidden="false" customHeight="false" outlineLevel="0" collapsed="false">
      <c r="A2400" s="5" t="n">
        <v>4</v>
      </c>
      <c r="B2400" s="5" t="n">
        <v>5</v>
      </c>
      <c r="C2400" s="5" t="s">
        <v>85</v>
      </c>
      <c r="D2400" s="5" t="s">
        <v>1189</v>
      </c>
      <c r="E2400" s="5" t="n">
        <v>1</v>
      </c>
      <c r="F2400" s="6" t="n">
        <f aca="false">IFERROR(MATCH(A2400&amp;"|"&amp;B2400&amp;"|"&amp;D2400,'All Song Rankings'!$T:$T,0),0)</f>
        <v>368</v>
      </c>
      <c r="G2400" s="6" t="str">
        <f aca="false">IF(F2400=0,"NOT FOUND",INDEX('All Song Rankings'!$A:$A,F2400))</f>
        <v>That Thing You Do!</v>
      </c>
      <c r="H2400" s="6" t="str">
        <f aca="false">IF(F2400=0,"NOT FOUND",INDEX('All Song Rankings'!$B:$B,F2400))</f>
        <v>The Wonders</v>
      </c>
      <c r="I2400" s="6" t="str">
        <f aca="false">IF(F2400=0,"NOT FOUND",INDEX('All Song Rankings'!$D:$D,F2400))</f>
        <v>Logan</v>
      </c>
      <c r="J2400" s="7" t="str">
        <f aca="false">IF(F2400=0,"NOT FOUND",IF(C2400=I2400,"SELF-VOTE",IF(COUNTIF($K:$K,K2400)&gt;1,"DUPLICATE","OK")))</f>
        <v>OK</v>
      </c>
      <c r="K2400" s="6" t="str">
        <f aca="false">A2400&amp;"|"&amp;B2400&amp;"|"&amp;C2400&amp;"|"&amp;D2400</f>
        <v>4|5|Kelsey|spotify:track:4O6ZaZrRCFfiZZKjnrXqlk</v>
      </c>
    </row>
    <row r="2401" customFormat="false" ht="15" hidden="false" customHeight="false" outlineLevel="0" collapsed="false">
      <c r="A2401" s="5" t="n">
        <v>4</v>
      </c>
      <c r="B2401" s="5" t="n">
        <v>5</v>
      </c>
      <c r="C2401" s="5" t="s">
        <v>85</v>
      </c>
      <c r="D2401" s="5" t="s">
        <v>1216</v>
      </c>
      <c r="E2401" s="5" t="n">
        <v>1</v>
      </c>
      <c r="F2401" s="6" t="n">
        <f aca="false">IFERROR(MATCH(A2401&amp;"|"&amp;B2401&amp;"|"&amp;D2401,'All Song Rankings'!$T:$T,0),0)</f>
        <v>378</v>
      </c>
      <c r="G2401" s="6" t="str">
        <f aca="false">IF(F2401=0,"NOT FOUND",INDEX('All Song Rankings'!$A:$A,F2401))</f>
        <v>(Everything I Do) I Do It For You</v>
      </c>
      <c r="H2401" s="6" t="str">
        <f aca="false">IF(F2401=0,"NOT FOUND",INDEX('All Song Rankings'!$B:$B,F2401))</f>
        <v>Bryan Adams</v>
      </c>
      <c r="I2401" s="6" t="str">
        <f aca="false">IF(F2401=0,"NOT FOUND",INDEX('All Song Rankings'!$D:$D,F2401))</f>
        <v>Scott</v>
      </c>
      <c r="J2401" s="7" t="str">
        <f aca="false">IF(F2401=0,"NOT FOUND",IF(C2401=I2401,"SELF-VOTE",IF(COUNTIF($K:$K,K2401)&gt;1,"DUPLICATE","OK")))</f>
        <v>OK</v>
      </c>
      <c r="K2401" s="6" t="str">
        <f aca="false">A2401&amp;"|"&amp;B2401&amp;"|"&amp;C2401&amp;"|"&amp;D2401</f>
        <v>4|5|Kelsey|spotify:track:5HQ6AUDMbMuwktvcNPuV1y</v>
      </c>
    </row>
    <row r="2402" customFormat="false" ht="15" hidden="false" customHeight="false" outlineLevel="0" collapsed="false">
      <c r="A2402" s="5" t="n">
        <v>4</v>
      </c>
      <c r="B2402" s="5" t="n">
        <v>5</v>
      </c>
      <c r="C2402" s="5" t="s">
        <v>85</v>
      </c>
      <c r="D2402" s="5" t="s">
        <v>1184</v>
      </c>
      <c r="E2402" s="5" t="n">
        <v>1</v>
      </c>
      <c r="F2402" s="6" t="n">
        <f aca="false">IFERROR(MATCH(A2402&amp;"|"&amp;B2402&amp;"|"&amp;D2402,'All Song Rankings'!$T:$T,0),0)</f>
        <v>366</v>
      </c>
      <c r="G2402" s="6" t="str">
        <f aca="false">IF(F2402=0,"NOT FOUND",INDEX('All Song Rankings'!$A:$A,F2402))</f>
        <v>I Want To Hold Your Hand</v>
      </c>
      <c r="H2402" s="6" t="str">
        <f aca="false">IF(F2402=0,"NOT FOUND",INDEX('All Song Rankings'!$B:$B,F2402))</f>
        <v>The Beatles</v>
      </c>
      <c r="I2402" s="6" t="str">
        <f aca="false">IF(F2402=0,"NOT FOUND",INDEX('All Song Rankings'!$D:$D,F2402))</f>
        <v>Lisa</v>
      </c>
      <c r="J2402" s="7" t="str">
        <f aca="false">IF(F2402=0,"NOT FOUND",IF(C2402=I2402,"SELF-VOTE",IF(COUNTIF($K:$K,K2402)&gt;1,"DUPLICATE","OK")))</f>
        <v>OK</v>
      </c>
      <c r="K2402" s="6" t="str">
        <f aca="false">A2402&amp;"|"&amp;B2402&amp;"|"&amp;C2402&amp;"|"&amp;D2402</f>
        <v>4|5|Kelsey|spotify:track:5J3Mf6dyqeGy67yuQ7ql9B</v>
      </c>
    </row>
    <row r="2403" customFormat="false" ht="15" hidden="false" customHeight="false" outlineLevel="0" collapsed="false">
      <c r="A2403" s="5" t="n">
        <v>4</v>
      </c>
      <c r="B2403" s="5" t="n">
        <v>5</v>
      </c>
      <c r="C2403" s="5" t="s">
        <v>85</v>
      </c>
      <c r="D2403" s="5" t="s">
        <v>1198</v>
      </c>
      <c r="E2403" s="5" t="n">
        <v>1</v>
      </c>
      <c r="F2403" s="6" t="n">
        <f aca="false">IFERROR(MATCH(A2403&amp;"|"&amp;B2403&amp;"|"&amp;D2403,'All Song Rankings'!$T:$T,0),0)</f>
        <v>371</v>
      </c>
      <c r="G2403" s="6" t="str">
        <f aca="false">IF(F2403=0,"NOT FOUND",INDEX('All Song Rankings'!$A:$A,F2403))</f>
        <v>London Calling - Remastered</v>
      </c>
      <c r="H2403" s="6" t="str">
        <f aca="false">IF(F2403=0,"NOT FOUND",INDEX('All Song Rankings'!$B:$B,F2403))</f>
        <v>The Clash</v>
      </c>
      <c r="I2403" s="6" t="str">
        <f aca="false">IF(F2403=0,"NOT FOUND",INDEX('All Song Rankings'!$D:$D,F2403))</f>
        <v>Matt</v>
      </c>
      <c r="J2403" s="7" t="str">
        <f aca="false">IF(F2403=0,"NOT FOUND",IF(C2403=I2403,"SELF-VOTE",IF(COUNTIF($K:$K,K2403)&gt;1,"DUPLICATE","OK")))</f>
        <v>OK</v>
      </c>
      <c r="K2403" s="6" t="str">
        <f aca="false">A2403&amp;"|"&amp;B2403&amp;"|"&amp;C2403&amp;"|"&amp;D2403</f>
        <v>4|5|Kelsey|spotify:track:5jzma6gCzYtKB1DbEwFZKH</v>
      </c>
    </row>
    <row r="2404" customFormat="false" ht="15" hidden="false" customHeight="false" outlineLevel="0" collapsed="false">
      <c r="A2404" s="5" t="n">
        <v>4</v>
      </c>
      <c r="B2404" s="5" t="n">
        <v>5</v>
      </c>
      <c r="C2404" s="5" t="s">
        <v>85</v>
      </c>
      <c r="D2404" s="5" t="s">
        <v>1186</v>
      </c>
      <c r="E2404" s="5" t="n">
        <v>1</v>
      </c>
      <c r="F2404" s="6" t="n">
        <f aca="false">IFERROR(MATCH(A2404&amp;"|"&amp;B2404&amp;"|"&amp;D2404,'All Song Rankings'!$T:$T,0),0)</f>
        <v>367</v>
      </c>
      <c r="G2404" s="6" t="str">
        <f aca="false">IF(F2404=0,"NOT FOUND",INDEX('All Song Rankings'!$A:$A,F2404))</f>
        <v>Suspicious Minds</v>
      </c>
      <c r="H2404" s="6" t="str">
        <f aca="false">IF(F2404=0,"NOT FOUND",INDEX('All Song Rankings'!$B:$B,F2404))</f>
        <v>Elvis Presley</v>
      </c>
      <c r="I2404" s="6" t="str">
        <f aca="false">IF(F2404=0,"NOT FOUND",INDEX('All Song Rankings'!$D:$D,F2404))</f>
        <v>Christine</v>
      </c>
      <c r="J2404" s="7" t="str">
        <f aca="false">IF(F2404=0,"NOT FOUND",IF(C2404=I2404,"SELF-VOTE",IF(COUNTIF($K:$K,K2404)&gt;1,"DUPLICATE","OK")))</f>
        <v>OK</v>
      </c>
      <c r="K2404" s="6" t="str">
        <f aca="false">A2404&amp;"|"&amp;B2404&amp;"|"&amp;C2404&amp;"|"&amp;D2404</f>
        <v>4|5|Kelsey|spotify:track:6KDG8vvFerlCU63IXdw1zb</v>
      </c>
    </row>
    <row r="2405" customFormat="false" ht="15" hidden="false" customHeight="false" outlineLevel="0" collapsed="false">
      <c r="A2405" s="5" t="n">
        <v>4</v>
      </c>
      <c r="B2405" s="5" t="n">
        <v>5</v>
      </c>
      <c r="C2405" s="5" t="s">
        <v>106</v>
      </c>
      <c r="D2405" s="5" t="s">
        <v>1218</v>
      </c>
      <c r="E2405" s="5" t="n">
        <v>2</v>
      </c>
      <c r="F2405" s="6" t="n">
        <f aca="false">IFERROR(MATCH(A2405&amp;"|"&amp;B2405&amp;"|"&amp;D2405,'All Song Rankings'!$T:$T,0),0)</f>
        <v>379</v>
      </c>
      <c r="G2405" s="6" t="str">
        <f aca="false">IF(F2405=0,"NOT FOUND",INDEX('All Song Rankings'!$A:$A,F2405))</f>
        <v>Learning To Fly</v>
      </c>
      <c r="H2405" s="6" t="str">
        <f aca="false">IF(F2405=0,"NOT FOUND",INDEX('All Song Rankings'!$B:$B,F2405))</f>
        <v>Tom Petty</v>
      </c>
      <c r="I2405" s="6" t="str">
        <f aca="false">IF(F2405=0,"NOT FOUND",INDEX('All Song Rankings'!$D:$D,F2405))</f>
        <v>Colleen</v>
      </c>
      <c r="J2405" s="7" t="str">
        <f aca="false">IF(F2405=0,"NOT FOUND",IF(C2405=I2405,"SELF-VOTE",IF(COUNTIF($K:$K,K2405)&gt;1,"DUPLICATE","OK")))</f>
        <v>OK</v>
      </c>
      <c r="K2405" s="6" t="str">
        <f aca="false">A2405&amp;"|"&amp;B2405&amp;"|"&amp;C2405&amp;"|"&amp;D2405</f>
        <v>4|5|Kristen|spotify:track:17S4XrLvF5jlGvGCJHgF51</v>
      </c>
    </row>
    <row r="2406" customFormat="false" ht="15" hidden="false" customHeight="false" outlineLevel="0" collapsed="false">
      <c r="A2406" s="5" t="n">
        <v>4</v>
      </c>
      <c r="B2406" s="5" t="n">
        <v>5</v>
      </c>
      <c r="C2406" s="5" t="s">
        <v>106</v>
      </c>
      <c r="D2406" s="5" t="s">
        <v>1212</v>
      </c>
      <c r="E2406" s="5" t="n">
        <v>2</v>
      </c>
      <c r="F2406" s="6" t="n">
        <f aca="false">IFERROR(MATCH(A2406&amp;"|"&amp;B2406&amp;"|"&amp;D2406,'All Song Rankings'!$T:$T,0),0)</f>
        <v>376</v>
      </c>
      <c r="G2406" s="6" t="str">
        <f aca="false">IF(F2406=0,"NOT FOUND",INDEX('All Song Rankings'!$A:$A,F2406))</f>
        <v>Fall On Me</v>
      </c>
      <c r="H2406" s="6" t="str">
        <f aca="false">IF(F2406=0,"NOT FOUND",INDEX('All Song Rankings'!$B:$B,F2406))</f>
        <v>R.E.M.</v>
      </c>
      <c r="I2406" s="6" t="str">
        <f aca="false">IF(F2406=0,"NOT FOUND",INDEX('All Song Rankings'!$D:$D,F2406))</f>
        <v>Leah</v>
      </c>
      <c r="J2406" s="7" t="str">
        <f aca="false">IF(F2406=0,"NOT FOUND",IF(C2406=I2406,"SELF-VOTE",IF(COUNTIF($K:$K,K2406)&gt;1,"DUPLICATE","OK")))</f>
        <v>OK</v>
      </c>
      <c r="K2406" s="6" t="str">
        <f aca="false">A2406&amp;"|"&amp;B2406&amp;"|"&amp;C2406&amp;"|"&amp;D2406</f>
        <v>4|5|Kristen|spotify:track:181ERlg2wowFuRobnrMZJ2</v>
      </c>
    </row>
    <row r="2407" customFormat="false" ht="15" hidden="false" customHeight="false" outlineLevel="0" collapsed="false">
      <c r="A2407" s="5" t="n">
        <v>4</v>
      </c>
      <c r="B2407" s="5" t="n">
        <v>5</v>
      </c>
      <c r="C2407" s="5" t="s">
        <v>106</v>
      </c>
      <c r="D2407" s="5" t="s">
        <v>1192</v>
      </c>
      <c r="E2407" s="5" t="n">
        <v>1</v>
      </c>
      <c r="F2407" s="6" t="n">
        <f aca="false">IFERROR(MATCH(A2407&amp;"|"&amp;B2407&amp;"|"&amp;D2407,'All Song Rankings'!$T:$T,0),0)</f>
        <v>369</v>
      </c>
      <c r="G2407" s="6" t="str">
        <f aca="false">IF(F2407=0,"NOT FOUND",INDEX('All Song Rankings'!$A:$A,F2407))</f>
        <v>Ghostbusters</v>
      </c>
      <c r="H2407" s="6" t="str">
        <f aca="false">IF(F2407=0,"NOT FOUND",INDEX('All Song Rankings'!$B:$B,F2407))</f>
        <v>Ray Parker Jr.</v>
      </c>
      <c r="I2407" s="6" t="str">
        <f aca="false">IF(F2407=0,"NOT FOUND",INDEX('All Song Rankings'!$D:$D,F2407))</f>
        <v>Stephanie</v>
      </c>
      <c r="J2407" s="7" t="str">
        <f aca="false">IF(F2407=0,"NOT FOUND",IF(C2407=I2407,"SELF-VOTE",IF(COUNTIF($K:$K,K2407)&gt;1,"DUPLICATE","OK")))</f>
        <v>OK</v>
      </c>
      <c r="K2407" s="6" t="str">
        <f aca="false">A2407&amp;"|"&amp;B2407&amp;"|"&amp;C2407&amp;"|"&amp;D2407</f>
        <v>4|5|Kristen|spotify:track:3m0y8qLoznUYi73SUBP8GI</v>
      </c>
    </row>
    <row r="2408" customFormat="false" ht="15" hidden="false" customHeight="false" outlineLevel="0" collapsed="false">
      <c r="A2408" s="5" t="n">
        <v>4</v>
      </c>
      <c r="B2408" s="5" t="n">
        <v>5</v>
      </c>
      <c r="C2408" s="5" t="s">
        <v>106</v>
      </c>
      <c r="D2408" s="5" t="s">
        <v>1195</v>
      </c>
      <c r="E2408" s="5" t="n">
        <v>1</v>
      </c>
      <c r="F2408" s="6" t="n">
        <f aca="false">IFERROR(MATCH(A2408&amp;"|"&amp;B2408&amp;"|"&amp;D2408,'All Song Rankings'!$T:$T,0),0)</f>
        <v>370</v>
      </c>
      <c r="G2408" s="6" t="str">
        <f aca="false">IF(F2408=0,"NOT FOUND",INDEX('All Song Rankings'!$A:$A,F2408))</f>
        <v>This Is Halloween</v>
      </c>
      <c r="H2408" s="6" t="str">
        <f aca="false">IF(F2408=0,"NOT FOUND",INDEX('All Song Rankings'!$B:$B,F2408))</f>
        <v>The Citizens of Halloween</v>
      </c>
      <c r="I2408" s="6" t="str">
        <f aca="false">IF(F2408=0,"NOT FOUND",INDEX('All Song Rankings'!$D:$D,F2408))</f>
        <v>Makenzie</v>
      </c>
      <c r="J2408" s="7" t="str">
        <f aca="false">IF(F2408=0,"NOT FOUND",IF(C2408=I2408,"SELF-VOTE",IF(COUNTIF($K:$K,K2408)&gt;1,"DUPLICATE","OK")))</f>
        <v>OK</v>
      </c>
      <c r="K2408" s="6" t="str">
        <f aca="false">A2408&amp;"|"&amp;B2408&amp;"|"&amp;C2408&amp;"|"&amp;D2408</f>
        <v>4|5|Kristen|spotify:track:3mhsDyQpX2L8sJMdWUHOi3</v>
      </c>
    </row>
    <row r="2409" customFormat="false" ht="15" hidden="false" customHeight="false" outlineLevel="0" collapsed="false">
      <c r="A2409" s="5" t="n">
        <v>4</v>
      </c>
      <c r="B2409" s="5" t="n">
        <v>5</v>
      </c>
      <c r="C2409" s="5" t="s">
        <v>106</v>
      </c>
      <c r="D2409" s="5" t="s">
        <v>1189</v>
      </c>
      <c r="E2409" s="5" t="n">
        <v>1</v>
      </c>
      <c r="F2409" s="6" t="n">
        <f aca="false">IFERROR(MATCH(A2409&amp;"|"&amp;B2409&amp;"|"&amp;D2409,'All Song Rankings'!$T:$T,0),0)</f>
        <v>368</v>
      </c>
      <c r="G2409" s="6" t="str">
        <f aca="false">IF(F2409=0,"NOT FOUND",INDEX('All Song Rankings'!$A:$A,F2409))</f>
        <v>That Thing You Do!</v>
      </c>
      <c r="H2409" s="6" t="str">
        <f aca="false">IF(F2409=0,"NOT FOUND",INDEX('All Song Rankings'!$B:$B,F2409))</f>
        <v>The Wonders</v>
      </c>
      <c r="I2409" s="6" t="str">
        <f aca="false">IF(F2409=0,"NOT FOUND",INDEX('All Song Rankings'!$D:$D,F2409))</f>
        <v>Logan</v>
      </c>
      <c r="J2409" s="7" t="str">
        <f aca="false">IF(F2409=0,"NOT FOUND",IF(C2409=I2409,"SELF-VOTE",IF(COUNTIF($K:$K,K2409)&gt;1,"DUPLICATE","OK")))</f>
        <v>OK</v>
      </c>
      <c r="K2409" s="6" t="str">
        <f aca="false">A2409&amp;"|"&amp;B2409&amp;"|"&amp;C2409&amp;"|"&amp;D2409</f>
        <v>4|5|Kristen|spotify:track:4O6ZaZrRCFfiZZKjnrXqlk</v>
      </c>
    </row>
    <row r="2410" customFormat="false" ht="15" hidden="false" customHeight="false" outlineLevel="0" collapsed="false">
      <c r="A2410" s="5" t="n">
        <v>4</v>
      </c>
      <c r="B2410" s="5" t="n">
        <v>5</v>
      </c>
      <c r="C2410" s="5" t="s">
        <v>106</v>
      </c>
      <c r="D2410" s="5" t="s">
        <v>1184</v>
      </c>
      <c r="E2410" s="5" t="n">
        <v>1</v>
      </c>
      <c r="F2410" s="6" t="n">
        <f aca="false">IFERROR(MATCH(A2410&amp;"|"&amp;B2410&amp;"|"&amp;D2410,'All Song Rankings'!$T:$T,0),0)</f>
        <v>366</v>
      </c>
      <c r="G2410" s="6" t="str">
        <f aca="false">IF(F2410=0,"NOT FOUND",INDEX('All Song Rankings'!$A:$A,F2410))</f>
        <v>I Want To Hold Your Hand</v>
      </c>
      <c r="H2410" s="6" t="str">
        <f aca="false">IF(F2410=0,"NOT FOUND",INDEX('All Song Rankings'!$B:$B,F2410))</f>
        <v>The Beatles</v>
      </c>
      <c r="I2410" s="6" t="str">
        <f aca="false">IF(F2410=0,"NOT FOUND",INDEX('All Song Rankings'!$D:$D,F2410))</f>
        <v>Lisa</v>
      </c>
      <c r="J2410" s="7" t="str">
        <f aca="false">IF(F2410=0,"NOT FOUND",IF(C2410=I2410,"SELF-VOTE",IF(COUNTIF($K:$K,K2410)&gt;1,"DUPLICATE","OK")))</f>
        <v>OK</v>
      </c>
      <c r="K2410" s="6" t="str">
        <f aca="false">A2410&amp;"|"&amp;B2410&amp;"|"&amp;C2410&amp;"|"&amp;D2410</f>
        <v>4|5|Kristen|spotify:track:5J3Mf6dyqeGy67yuQ7ql9B</v>
      </c>
    </row>
    <row r="2411" customFormat="false" ht="15" hidden="false" customHeight="false" outlineLevel="0" collapsed="false">
      <c r="A2411" s="5" t="n">
        <v>4</v>
      </c>
      <c r="B2411" s="5" t="n">
        <v>5</v>
      </c>
      <c r="C2411" s="5" t="s">
        <v>106</v>
      </c>
      <c r="D2411" s="5" t="s">
        <v>1186</v>
      </c>
      <c r="E2411" s="5" t="n">
        <v>1</v>
      </c>
      <c r="F2411" s="6" t="n">
        <f aca="false">IFERROR(MATCH(A2411&amp;"|"&amp;B2411&amp;"|"&amp;D2411,'All Song Rankings'!$T:$T,0),0)</f>
        <v>367</v>
      </c>
      <c r="G2411" s="6" t="str">
        <f aca="false">IF(F2411=0,"NOT FOUND",INDEX('All Song Rankings'!$A:$A,F2411))</f>
        <v>Suspicious Minds</v>
      </c>
      <c r="H2411" s="6" t="str">
        <f aca="false">IF(F2411=0,"NOT FOUND",INDEX('All Song Rankings'!$B:$B,F2411))</f>
        <v>Elvis Presley</v>
      </c>
      <c r="I2411" s="6" t="str">
        <f aca="false">IF(F2411=0,"NOT FOUND",INDEX('All Song Rankings'!$D:$D,F2411))</f>
        <v>Christine</v>
      </c>
      <c r="J2411" s="7" t="str">
        <f aca="false">IF(F2411=0,"NOT FOUND",IF(C2411=I2411,"SELF-VOTE",IF(COUNTIF($K:$K,K2411)&gt;1,"DUPLICATE","OK")))</f>
        <v>OK</v>
      </c>
      <c r="K2411" s="6" t="str">
        <f aca="false">A2411&amp;"|"&amp;B2411&amp;"|"&amp;C2411&amp;"|"&amp;D2411</f>
        <v>4|5|Kristen|spotify:track:6KDG8vvFerlCU63IXdw1zb</v>
      </c>
    </row>
    <row r="2412" customFormat="false" ht="15" hidden="false" customHeight="false" outlineLevel="0" collapsed="false">
      <c r="A2412" s="5" t="n">
        <v>4</v>
      </c>
      <c r="B2412" s="5" t="n">
        <v>5</v>
      </c>
      <c r="C2412" s="5" t="s">
        <v>106</v>
      </c>
      <c r="D2412" s="5" t="s">
        <v>1201</v>
      </c>
      <c r="E2412" s="5" t="n">
        <v>1</v>
      </c>
      <c r="F2412" s="6" t="n">
        <f aca="false">IFERROR(MATCH(A2412&amp;"|"&amp;B2412&amp;"|"&amp;D2412,'All Song Rankings'!$T:$T,0),0)</f>
        <v>372</v>
      </c>
      <c r="G2412" s="6" t="str">
        <f aca="false">IF(F2412=0,"NOT FOUND",INDEX('All Song Rankings'!$A:$A,F2412))</f>
        <v>Hero (feat. Josey Scott)</v>
      </c>
      <c r="H2412" s="6" t="str">
        <f aca="false">IF(F2412=0,"NOT FOUND",INDEX('All Song Rankings'!$B:$B,F2412))</f>
        <v>Chad Kroeger, Josey Scott</v>
      </c>
      <c r="I2412" s="6" t="str">
        <f aca="false">IF(F2412=0,"NOT FOUND",INDEX('All Song Rankings'!$D:$D,F2412))</f>
        <v>Merita</v>
      </c>
      <c r="J2412" s="7" t="str">
        <f aca="false">IF(F2412=0,"NOT FOUND",IF(C2412=I2412,"SELF-VOTE",IF(COUNTIF($K:$K,K2412)&gt;1,"DUPLICATE","OK")))</f>
        <v>OK</v>
      </c>
      <c r="K2412" s="6" t="str">
        <f aca="false">A2412&amp;"|"&amp;B2412&amp;"|"&amp;C2412&amp;"|"&amp;D2412</f>
        <v>4|5|Kristen|spotify:track:779ooI3rBd0CLqCiiJmtVo</v>
      </c>
    </row>
    <row r="2413" customFormat="false" ht="15" hidden="false" customHeight="false" outlineLevel="0" collapsed="false">
      <c r="A2413" s="5" t="n">
        <v>4</v>
      </c>
      <c r="B2413" s="5" t="n">
        <v>5</v>
      </c>
      <c r="C2413" s="5" t="s">
        <v>119</v>
      </c>
      <c r="D2413" s="5" t="s">
        <v>1218</v>
      </c>
      <c r="E2413" s="5" t="n">
        <v>1</v>
      </c>
      <c r="F2413" s="6" t="n">
        <f aca="false">IFERROR(MATCH(A2413&amp;"|"&amp;B2413&amp;"|"&amp;D2413,'All Song Rankings'!$T:$T,0),0)</f>
        <v>379</v>
      </c>
      <c r="G2413" s="6" t="str">
        <f aca="false">IF(F2413=0,"NOT FOUND",INDEX('All Song Rankings'!$A:$A,F2413))</f>
        <v>Learning To Fly</v>
      </c>
      <c r="H2413" s="6" t="str">
        <f aca="false">IF(F2413=0,"NOT FOUND",INDEX('All Song Rankings'!$B:$B,F2413))</f>
        <v>Tom Petty</v>
      </c>
      <c r="I2413" s="6" t="str">
        <f aca="false">IF(F2413=0,"NOT FOUND",INDEX('All Song Rankings'!$D:$D,F2413))</f>
        <v>Colleen</v>
      </c>
      <c r="J2413" s="7" t="str">
        <f aca="false">IF(F2413=0,"NOT FOUND",IF(C2413=I2413,"SELF-VOTE",IF(COUNTIF($K:$K,K2413)&gt;1,"DUPLICATE","OK")))</f>
        <v>OK</v>
      </c>
      <c r="K2413" s="6" t="str">
        <f aca="false">A2413&amp;"|"&amp;B2413&amp;"|"&amp;C2413&amp;"|"&amp;D2413</f>
        <v>4|5|Leah|spotify:track:17S4XrLvF5jlGvGCJHgF51</v>
      </c>
    </row>
    <row r="2414" customFormat="false" ht="15" hidden="false" customHeight="false" outlineLevel="0" collapsed="false">
      <c r="A2414" s="5" t="n">
        <v>4</v>
      </c>
      <c r="B2414" s="5" t="n">
        <v>5</v>
      </c>
      <c r="C2414" s="5" t="s">
        <v>119</v>
      </c>
      <c r="D2414" s="5" t="s">
        <v>1192</v>
      </c>
      <c r="E2414" s="5" t="n">
        <v>1</v>
      </c>
      <c r="F2414" s="6" t="n">
        <f aca="false">IFERROR(MATCH(A2414&amp;"|"&amp;B2414&amp;"|"&amp;D2414,'All Song Rankings'!$T:$T,0),0)</f>
        <v>369</v>
      </c>
      <c r="G2414" s="6" t="str">
        <f aca="false">IF(F2414=0,"NOT FOUND",INDEX('All Song Rankings'!$A:$A,F2414))</f>
        <v>Ghostbusters</v>
      </c>
      <c r="H2414" s="6" t="str">
        <f aca="false">IF(F2414=0,"NOT FOUND",INDEX('All Song Rankings'!$B:$B,F2414))</f>
        <v>Ray Parker Jr.</v>
      </c>
      <c r="I2414" s="6" t="str">
        <f aca="false">IF(F2414=0,"NOT FOUND",INDEX('All Song Rankings'!$D:$D,F2414))</f>
        <v>Stephanie</v>
      </c>
      <c r="J2414" s="7" t="str">
        <f aca="false">IF(F2414=0,"NOT FOUND",IF(C2414=I2414,"SELF-VOTE",IF(COUNTIF($K:$K,K2414)&gt;1,"DUPLICATE","OK")))</f>
        <v>OK</v>
      </c>
      <c r="K2414" s="6" t="str">
        <f aca="false">A2414&amp;"|"&amp;B2414&amp;"|"&amp;C2414&amp;"|"&amp;D2414</f>
        <v>4|5|Leah|spotify:track:3m0y8qLoznUYi73SUBP8GI</v>
      </c>
    </row>
    <row r="2415" customFormat="false" ht="15" hidden="false" customHeight="false" outlineLevel="0" collapsed="false">
      <c r="A2415" s="5" t="n">
        <v>4</v>
      </c>
      <c r="B2415" s="5" t="n">
        <v>5</v>
      </c>
      <c r="C2415" s="5" t="s">
        <v>119</v>
      </c>
      <c r="D2415" s="5" t="s">
        <v>1195</v>
      </c>
      <c r="E2415" s="5" t="n">
        <v>1</v>
      </c>
      <c r="F2415" s="6" t="n">
        <f aca="false">IFERROR(MATCH(A2415&amp;"|"&amp;B2415&amp;"|"&amp;D2415,'All Song Rankings'!$T:$T,0),0)</f>
        <v>370</v>
      </c>
      <c r="G2415" s="6" t="str">
        <f aca="false">IF(F2415=0,"NOT FOUND",INDEX('All Song Rankings'!$A:$A,F2415))</f>
        <v>This Is Halloween</v>
      </c>
      <c r="H2415" s="6" t="str">
        <f aca="false">IF(F2415=0,"NOT FOUND",INDEX('All Song Rankings'!$B:$B,F2415))</f>
        <v>The Citizens of Halloween</v>
      </c>
      <c r="I2415" s="6" t="str">
        <f aca="false">IF(F2415=0,"NOT FOUND",INDEX('All Song Rankings'!$D:$D,F2415))</f>
        <v>Makenzie</v>
      </c>
      <c r="J2415" s="7" t="str">
        <f aca="false">IF(F2415=0,"NOT FOUND",IF(C2415=I2415,"SELF-VOTE",IF(COUNTIF($K:$K,K2415)&gt;1,"DUPLICATE","OK")))</f>
        <v>OK</v>
      </c>
      <c r="K2415" s="6" t="str">
        <f aca="false">A2415&amp;"|"&amp;B2415&amp;"|"&amp;C2415&amp;"|"&amp;D2415</f>
        <v>4|5|Leah|spotify:track:3mhsDyQpX2L8sJMdWUHOi3</v>
      </c>
    </row>
    <row r="2416" customFormat="false" ht="15" hidden="false" customHeight="false" outlineLevel="0" collapsed="false">
      <c r="A2416" s="5" t="n">
        <v>4</v>
      </c>
      <c r="B2416" s="5" t="n">
        <v>5</v>
      </c>
      <c r="C2416" s="5" t="s">
        <v>119</v>
      </c>
      <c r="D2416" s="5" t="s">
        <v>1189</v>
      </c>
      <c r="E2416" s="5" t="n">
        <v>1</v>
      </c>
      <c r="F2416" s="6" t="n">
        <f aca="false">IFERROR(MATCH(A2416&amp;"|"&amp;B2416&amp;"|"&amp;D2416,'All Song Rankings'!$T:$T,0),0)</f>
        <v>368</v>
      </c>
      <c r="G2416" s="6" t="str">
        <f aca="false">IF(F2416=0,"NOT FOUND",INDEX('All Song Rankings'!$A:$A,F2416))</f>
        <v>That Thing You Do!</v>
      </c>
      <c r="H2416" s="6" t="str">
        <f aca="false">IF(F2416=0,"NOT FOUND",INDEX('All Song Rankings'!$B:$B,F2416))</f>
        <v>The Wonders</v>
      </c>
      <c r="I2416" s="6" t="str">
        <f aca="false">IF(F2416=0,"NOT FOUND",INDEX('All Song Rankings'!$D:$D,F2416))</f>
        <v>Logan</v>
      </c>
      <c r="J2416" s="7" t="str">
        <f aca="false">IF(F2416=0,"NOT FOUND",IF(C2416=I2416,"SELF-VOTE",IF(COUNTIF($K:$K,K2416)&gt;1,"DUPLICATE","OK")))</f>
        <v>OK</v>
      </c>
      <c r="K2416" s="6" t="str">
        <f aca="false">A2416&amp;"|"&amp;B2416&amp;"|"&amp;C2416&amp;"|"&amp;D2416</f>
        <v>4|5|Leah|spotify:track:4O6ZaZrRCFfiZZKjnrXqlk</v>
      </c>
    </row>
    <row r="2417" customFormat="false" ht="15" hidden="false" customHeight="false" outlineLevel="0" collapsed="false">
      <c r="A2417" s="5" t="n">
        <v>4</v>
      </c>
      <c r="B2417" s="5" t="n">
        <v>5</v>
      </c>
      <c r="C2417" s="5" t="s">
        <v>119</v>
      </c>
      <c r="D2417" s="5" t="s">
        <v>1216</v>
      </c>
      <c r="E2417" s="5" t="n">
        <v>1</v>
      </c>
      <c r="F2417" s="6" t="n">
        <f aca="false">IFERROR(MATCH(A2417&amp;"|"&amp;B2417&amp;"|"&amp;D2417,'All Song Rankings'!$T:$T,0),0)</f>
        <v>378</v>
      </c>
      <c r="G2417" s="6" t="str">
        <f aca="false">IF(F2417=0,"NOT FOUND",INDEX('All Song Rankings'!$A:$A,F2417))</f>
        <v>(Everything I Do) I Do It For You</v>
      </c>
      <c r="H2417" s="6" t="str">
        <f aca="false">IF(F2417=0,"NOT FOUND",INDEX('All Song Rankings'!$B:$B,F2417))</f>
        <v>Bryan Adams</v>
      </c>
      <c r="I2417" s="6" t="str">
        <f aca="false">IF(F2417=0,"NOT FOUND",INDEX('All Song Rankings'!$D:$D,F2417))</f>
        <v>Scott</v>
      </c>
      <c r="J2417" s="7" t="str">
        <f aca="false">IF(F2417=0,"NOT FOUND",IF(C2417=I2417,"SELF-VOTE",IF(COUNTIF($K:$K,K2417)&gt;1,"DUPLICATE","OK")))</f>
        <v>OK</v>
      </c>
      <c r="K2417" s="6" t="str">
        <f aca="false">A2417&amp;"|"&amp;B2417&amp;"|"&amp;C2417&amp;"|"&amp;D2417</f>
        <v>4|5|Leah|spotify:track:5HQ6AUDMbMuwktvcNPuV1y</v>
      </c>
    </row>
    <row r="2418" customFormat="false" ht="15" hidden="false" customHeight="false" outlineLevel="0" collapsed="false">
      <c r="A2418" s="5" t="n">
        <v>4</v>
      </c>
      <c r="B2418" s="5" t="n">
        <v>5</v>
      </c>
      <c r="C2418" s="5" t="s">
        <v>119</v>
      </c>
      <c r="D2418" s="5" t="s">
        <v>1184</v>
      </c>
      <c r="E2418" s="5" t="n">
        <v>1</v>
      </c>
      <c r="F2418" s="6" t="n">
        <f aca="false">IFERROR(MATCH(A2418&amp;"|"&amp;B2418&amp;"|"&amp;D2418,'All Song Rankings'!$T:$T,0),0)</f>
        <v>366</v>
      </c>
      <c r="G2418" s="6" t="str">
        <f aca="false">IF(F2418=0,"NOT FOUND",INDEX('All Song Rankings'!$A:$A,F2418))</f>
        <v>I Want To Hold Your Hand</v>
      </c>
      <c r="H2418" s="6" t="str">
        <f aca="false">IF(F2418=0,"NOT FOUND",INDEX('All Song Rankings'!$B:$B,F2418))</f>
        <v>The Beatles</v>
      </c>
      <c r="I2418" s="6" t="str">
        <f aca="false">IF(F2418=0,"NOT FOUND",INDEX('All Song Rankings'!$D:$D,F2418))</f>
        <v>Lisa</v>
      </c>
      <c r="J2418" s="7" t="str">
        <f aca="false">IF(F2418=0,"NOT FOUND",IF(C2418=I2418,"SELF-VOTE",IF(COUNTIF($K:$K,K2418)&gt;1,"DUPLICATE","OK")))</f>
        <v>OK</v>
      </c>
      <c r="K2418" s="6" t="str">
        <f aca="false">A2418&amp;"|"&amp;B2418&amp;"|"&amp;C2418&amp;"|"&amp;D2418</f>
        <v>4|5|Leah|spotify:track:5J3Mf6dyqeGy67yuQ7ql9B</v>
      </c>
    </row>
    <row r="2419" customFormat="false" ht="15" hidden="false" customHeight="false" outlineLevel="0" collapsed="false">
      <c r="A2419" s="5" t="n">
        <v>4</v>
      </c>
      <c r="B2419" s="5" t="n">
        <v>5</v>
      </c>
      <c r="C2419" s="5" t="s">
        <v>119</v>
      </c>
      <c r="D2419" s="5" t="s">
        <v>1198</v>
      </c>
      <c r="E2419" s="5" t="n">
        <v>1</v>
      </c>
      <c r="F2419" s="6" t="n">
        <f aca="false">IFERROR(MATCH(A2419&amp;"|"&amp;B2419&amp;"|"&amp;D2419,'All Song Rankings'!$T:$T,0),0)</f>
        <v>371</v>
      </c>
      <c r="G2419" s="6" t="str">
        <f aca="false">IF(F2419=0,"NOT FOUND",INDEX('All Song Rankings'!$A:$A,F2419))</f>
        <v>London Calling - Remastered</v>
      </c>
      <c r="H2419" s="6" t="str">
        <f aca="false">IF(F2419=0,"NOT FOUND",INDEX('All Song Rankings'!$B:$B,F2419))</f>
        <v>The Clash</v>
      </c>
      <c r="I2419" s="6" t="str">
        <f aca="false">IF(F2419=0,"NOT FOUND",INDEX('All Song Rankings'!$D:$D,F2419))</f>
        <v>Matt</v>
      </c>
      <c r="J2419" s="7" t="str">
        <f aca="false">IF(F2419=0,"NOT FOUND",IF(C2419=I2419,"SELF-VOTE",IF(COUNTIF($K:$K,K2419)&gt;1,"DUPLICATE","OK")))</f>
        <v>OK</v>
      </c>
      <c r="K2419" s="6" t="str">
        <f aca="false">A2419&amp;"|"&amp;B2419&amp;"|"&amp;C2419&amp;"|"&amp;D2419</f>
        <v>4|5|Leah|spotify:track:5jzma6gCzYtKB1DbEwFZKH</v>
      </c>
    </row>
    <row r="2420" customFormat="false" ht="15" hidden="false" customHeight="false" outlineLevel="0" collapsed="false">
      <c r="A2420" s="5" t="n">
        <v>4</v>
      </c>
      <c r="B2420" s="5" t="n">
        <v>5</v>
      </c>
      <c r="C2420" s="5" t="s">
        <v>119</v>
      </c>
      <c r="D2420" s="5" t="s">
        <v>1203</v>
      </c>
      <c r="E2420" s="5" t="n">
        <v>1</v>
      </c>
      <c r="F2420" s="6" t="n">
        <f aca="false">IFERROR(MATCH(A2420&amp;"|"&amp;B2420&amp;"|"&amp;D2420,'All Song Rankings'!$T:$T,0),0)</f>
        <v>373</v>
      </c>
      <c r="G2420" s="6" t="str">
        <f aca="false">IF(F2420=0,"NOT FOUND",INDEX('All Song Rankings'!$A:$A,F2420))</f>
        <v>Hero</v>
      </c>
      <c r="H2420" s="6" t="str">
        <f aca="false">IF(F2420=0,"NOT FOUND",INDEX('All Song Rankings'!$B:$B,F2420))</f>
        <v>Mariah Carey</v>
      </c>
      <c r="I2420" s="6" t="str">
        <f aca="false">IF(F2420=0,"NOT FOUND",INDEX('All Song Rankings'!$D:$D,F2420))</f>
        <v>Kelsey</v>
      </c>
      <c r="J2420" s="7" t="str">
        <f aca="false">IF(F2420=0,"NOT FOUND",IF(C2420=I2420,"SELF-VOTE",IF(COUNTIF($K:$K,K2420)&gt;1,"DUPLICATE","OK")))</f>
        <v>OK</v>
      </c>
      <c r="K2420" s="6" t="str">
        <f aca="false">A2420&amp;"|"&amp;B2420&amp;"|"&amp;C2420&amp;"|"&amp;D2420</f>
        <v>4|5|Leah|spotify:track:5mgCMlxQW7fmHbrdJuowbB</v>
      </c>
    </row>
    <row r="2421" customFormat="false" ht="15" hidden="false" customHeight="false" outlineLevel="0" collapsed="false">
      <c r="A2421" s="5" t="n">
        <v>4</v>
      </c>
      <c r="B2421" s="5" t="n">
        <v>5</v>
      </c>
      <c r="C2421" s="5" t="s">
        <v>119</v>
      </c>
      <c r="D2421" s="5" t="s">
        <v>1201</v>
      </c>
      <c r="E2421" s="5" t="n">
        <v>1</v>
      </c>
      <c r="F2421" s="6" t="n">
        <f aca="false">IFERROR(MATCH(A2421&amp;"|"&amp;B2421&amp;"|"&amp;D2421,'All Song Rankings'!$T:$T,0),0)</f>
        <v>372</v>
      </c>
      <c r="G2421" s="6" t="str">
        <f aca="false">IF(F2421=0,"NOT FOUND",INDEX('All Song Rankings'!$A:$A,F2421))</f>
        <v>Hero (feat. Josey Scott)</v>
      </c>
      <c r="H2421" s="6" t="str">
        <f aca="false">IF(F2421=0,"NOT FOUND",INDEX('All Song Rankings'!$B:$B,F2421))</f>
        <v>Chad Kroeger, Josey Scott</v>
      </c>
      <c r="I2421" s="6" t="str">
        <f aca="false">IF(F2421=0,"NOT FOUND",INDEX('All Song Rankings'!$D:$D,F2421))</f>
        <v>Merita</v>
      </c>
      <c r="J2421" s="7" t="str">
        <f aca="false">IF(F2421=0,"NOT FOUND",IF(C2421=I2421,"SELF-VOTE",IF(COUNTIF($K:$K,K2421)&gt;1,"DUPLICATE","OK")))</f>
        <v>OK</v>
      </c>
      <c r="K2421" s="6" t="str">
        <f aca="false">A2421&amp;"|"&amp;B2421&amp;"|"&amp;C2421&amp;"|"&amp;D2421</f>
        <v>4|5|Leah|spotify:track:779ooI3rBd0CLqCiiJmtVo</v>
      </c>
    </row>
    <row r="2422" customFormat="false" ht="15" hidden="false" customHeight="false" outlineLevel="0" collapsed="false">
      <c r="A2422" s="5" t="n">
        <v>4</v>
      </c>
      <c r="B2422" s="5" t="n">
        <v>5</v>
      </c>
      <c r="C2422" s="5" t="s">
        <v>119</v>
      </c>
      <c r="D2422" s="5" t="s">
        <v>1209</v>
      </c>
      <c r="E2422" s="5" t="n">
        <v>1</v>
      </c>
      <c r="F2422" s="6" t="n">
        <f aca="false">IFERROR(MATCH(A2422&amp;"|"&amp;B2422&amp;"|"&amp;D2422,'All Song Rankings'!$T:$T,0),0)</f>
        <v>375</v>
      </c>
      <c r="G2422" s="6" t="str">
        <f aca="false">IF(F2422=0,"NOT FOUND",INDEX('All Song Rankings'!$A:$A,F2422))</f>
        <v>Word Up</v>
      </c>
      <c r="H2422" s="6" t="str">
        <f aca="false">IF(F2422=0,"NOT FOUND",INDEX('All Song Rankings'!$B:$B,F2422))</f>
        <v>Cameo</v>
      </c>
      <c r="I2422" s="6" t="str">
        <f aca="false">IF(F2422=0,"NOT FOUND",INDEX('All Song Rankings'!$D:$D,F2422))</f>
        <v>Kristen</v>
      </c>
      <c r="J2422" s="7" t="str">
        <f aca="false">IF(F2422=0,"NOT FOUND",IF(C2422=I2422,"SELF-VOTE",IF(COUNTIF($K:$K,K2422)&gt;1,"DUPLICATE","OK")))</f>
        <v>OK</v>
      </c>
      <c r="K2422" s="6" t="str">
        <f aca="false">A2422&amp;"|"&amp;B2422&amp;"|"&amp;C2422&amp;"|"&amp;D2422</f>
        <v>4|5|Leah|spotify:track:7LoGfKBAaOl0nxhodJ1240</v>
      </c>
    </row>
    <row r="2423" customFormat="false" ht="15" hidden="false" customHeight="false" outlineLevel="0" collapsed="false">
      <c r="A2423" s="5" t="n">
        <v>4</v>
      </c>
      <c r="B2423" s="5" t="n">
        <v>5</v>
      </c>
      <c r="C2423" s="5" t="s">
        <v>705</v>
      </c>
      <c r="D2423" s="5" t="s">
        <v>1218</v>
      </c>
      <c r="E2423" s="5" t="n">
        <v>1</v>
      </c>
      <c r="F2423" s="6" t="n">
        <f aca="false">IFERROR(MATCH(A2423&amp;"|"&amp;B2423&amp;"|"&amp;D2423,'All Song Rankings'!$T:$T,0),0)</f>
        <v>379</v>
      </c>
      <c r="G2423" s="6" t="str">
        <f aca="false">IF(F2423=0,"NOT FOUND",INDEX('All Song Rankings'!$A:$A,F2423))</f>
        <v>Learning To Fly</v>
      </c>
      <c r="H2423" s="6" t="str">
        <f aca="false">IF(F2423=0,"NOT FOUND",INDEX('All Song Rankings'!$B:$B,F2423))</f>
        <v>Tom Petty</v>
      </c>
      <c r="I2423" s="6" t="str">
        <f aca="false">IF(F2423=0,"NOT FOUND",INDEX('All Song Rankings'!$D:$D,F2423))</f>
        <v>Colleen</v>
      </c>
      <c r="J2423" s="7" t="str">
        <f aca="false">IF(F2423=0,"NOT FOUND",IF(C2423=I2423,"SELF-VOTE",IF(COUNTIF($K:$K,K2423)&gt;1,"DUPLICATE","OK")))</f>
        <v>OK</v>
      </c>
      <c r="K2423" s="6" t="str">
        <f aca="false">A2423&amp;"|"&amp;B2423&amp;"|"&amp;C2423&amp;"|"&amp;D2423</f>
        <v>4|5|Lisa|spotify:track:17S4XrLvF5jlGvGCJHgF51</v>
      </c>
    </row>
    <row r="2424" customFormat="false" ht="15" hidden="false" customHeight="false" outlineLevel="0" collapsed="false">
      <c r="A2424" s="5" t="n">
        <v>4</v>
      </c>
      <c r="B2424" s="5" t="n">
        <v>5</v>
      </c>
      <c r="C2424" s="5" t="s">
        <v>705</v>
      </c>
      <c r="D2424" s="5" t="s">
        <v>1212</v>
      </c>
      <c r="E2424" s="5" t="n">
        <v>1</v>
      </c>
      <c r="F2424" s="6" t="n">
        <f aca="false">IFERROR(MATCH(A2424&amp;"|"&amp;B2424&amp;"|"&amp;D2424,'All Song Rankings'!$T:$T,0),0)</f>
        <v>376</v>
      </c>
      <c r="G2424" s="6" t="str">
        <f aca="false">IF(F2424=0,"NOT FOUND",INDEX('All Song Rankings'!$A:$A,F2424))</f>
        <v>Fall On Me</v>
      </c>
      <c r="H2424" s="6" t="str">
        <f aca="false">IF(F2424=0,"NOT FOUND",INDEX('All Song Rankings'!$B:$B,F2424))</f>
        <v>R.E.M.</v>
      </c>
      <c r="I2424" s="6" t="str">
        <f aca="false">IF(F2424=0,"NOT FOUND",INDEX('All Song Rankings'!$D:$D,F2424))</f>
        <v>Leah</v>
      </c>
      <c r="J2424" s="7" t="str">
        <f aca="false">IF(F2424=0,"NOT FOUND",IF(C2424=I2424,"SELF-VOTE",IF(COUNTIF($K:$K,K2424)&gt;1,"DUPLICATE","OK")))</f>
        <v>OK</v>
      </c>
      <c r="K2424" s="6" t="str">
        <f aca="false">A2424&amp;"|"&amp;B2424&amp;"|"&amp;C2424&amp;"|"&amp;D2424</f>
        <v>4|5|Lisa|spotify:track:181ERlg2wowFuRobnrMZJ2</v>
      </c>
    </row>
    <row r="2425" customFormat="false" ht="15" hidden="false" customHeight="false" outlineLevel="0" collapsed="false">
      <c r="A2425" s="5" t="n">
        <v>4</v>
      </c>
      <c r="B2425" s="5" t="n">
        <v>5</v>
      </c>
      <c r="C2425" s="5" t="s">
        <v>705</v>
      </c>
      <c r="D2425" s="5" t="s">
        <v>1195</v>
      </c>
      <c r="E2425" s="5" t="n">
        <v>1</v>
      </c>
      <c r="F2425" s="6" t="n">
        <f aca="false">IFERROR(MATCH(A2425&amp;"|"&amp;B2425&amp;"|"&amp;D2425,'All Song Rankings'!$T:$T,0),0)</f>
        <v>370</v>
      </c>
      <c r="G2425" s="6" t="str">
        <f aca="false">IF(F2425=0,"NOT FOUND",INDEX('All Song Rankings'!$A:$A,F2425))</f>
        <v>This Is Halloween</v>
      </c>
      <c r="H2425" s="6" t="str">
        <f aca="false">IF(F2425=0,"NOT FOUND",INDEX('All Song Rankings'!$B:$B,F2425))</f>
        <v>The Citizens of Halloween</v>
      </c>
      <c r="I2425" s="6" t="str">
        <f aca="false">IF(F2425=0,"NOT FOUND",INDEX('All Song Rankings'!$D:$D,F2425))</f>
        <v>Makenzie</v>
      </c>
      <c r="J2425" s="7" t="str">
        <f aca="false">IF(F2425=0,"NOT FOUND",IF(C2425=I2425,"SELF-VOTE",IF(COUNTIF($K:$K,K2425)&gt;1,"DUPLICATE","OK")))</f>
        <v>OK</v>
      </c>
      <c r="K2425" s="6" t="str">
        <f aca="false">A2425&amp;"|"&amp;B2425&amp;"|"&amp;C2425&amp;"|"&amp;D2425</f>
        <v>4|5|Lisa|spotify:track:3mhsDyQpX2L8sJMdWUHOi3</v>
      </c>
    </row>
    <row r="2426" customFormat="false" ht="15" hidden="false" customHeight="false" outlineLevel="0" collapsed="false">
      <c r="A2426" s="5" t="n">
        <v>4</v>
      </c>
      <c r="B2426" s="5" t="n">
        <v>5</v>
      </c>
      <c r="C2426" s="5" t="s">
        <v>705</v>
      </c>
      <c r="D2426" s="5" t="s">
        <v>1216</v>
      </c>
      <c r="E2426" s="5" t="n">
        <v>2</v>
      </c>
      <c r="F2426" s="6" t="n">
        <f aca="false">IFERROR(MATCH(A2426&amp;"|"&amp;B2426&amp;"|"&amp;D2426,'All Song Rankings'!$T:$T,0),0)</f>
        <v>378</v>
      </c>
      <c r="G2426" s="6" t="str">
        <f aca="false">IF(F2426=0,"NOT FOUND",INDEX('All Song Rankings'!$A:$A,F2426))</f>
        <v>(Everything I Do) I Do It For You</v>
      </c>
      <c r="H2426" s="6" t="str">
        <f aca="false">IF(F2426=0,"NOT FOUND",INDEX('All Song Rankings'!$B:$B,F2426))</f>
        <v>Bryan Adams</v>
      </c>
      <c r="I2426" s="6" t="str">
        <f aca="false">IF(F2426=0,"NOT FOUND",INDEX('All Song Rankings'!$D:$D,F2426))</f>
        <v>Scott</v>
      </c>
      <c r="J2426" s="7" t="str">
        <f aca="false">IF(F2426=0,"NOT FOUND",IF(C2426=I2426,"SELF-VOTE",IF(COUNTIF($K:$K,K2426)&gt;1,"DUPLICATE","OK")))</f>
        <v>OK</v>
      </c>
      <c r="K2426" s="6" t="str">
        <f aca="false">A2426&amp;"|"&amp;B2426&amp;"|"&amp;C2426&amp;"|"&amp;D2426</f>
        <v>4|5|Lisa|spotify:track:5HQ6AUDMbMuwktvcNPuV1y</v>
      </c>
    </row>
    <row r="2427" customFormat="false" ht="15" hidden="false" customHeight="false" outlineLevel="0" collapsed="false">
      <c r="A2427" s="5" t="n">
        <v>4</v>
      </c>
      <c r="B2427" s="5" t="n">
        <v>5</v>
      </c>
      <c r="C2427" s="5" t="s">
        <v>705</v>
      </c>
      <c r="D2427" s="5" t="s">
        <v>1186</v>
      </c>
      <c r="E2427" s="5" t="n">
        <v>2</v>
      </c>
      <c r="F2427" s="6" t="n">
        <f aca="false">IFERROR(MATCH(A2427&amp;"|"&amp;B2427&amp;"|"&amp;D2427,'All Song Rankings'!$T:$T,0),0)</f>
        <v>367</v>
      </c>
      <c r="G2427" s="6" t="str">
        <f aca="false">IF(F2427=0,"NOT FOUND",INDEX('All Song Rankings'!$A:$A,F2427))</f>
        <v>Suspicious Minds</v>
      </c>
      <c r="H2427" s="6" t="str">
        <f aca="false">IF(F2427=0,"NOT FOUND",INDEX('All Song Rankings'!$B:$B,F2427))</f>
        <v>Elvis Presley</v>
      </c>
      <c r="I2427" s="6" t="str">
        <f aca="false">IF(F2427=0,"NOT FOUND",INDEX('All Song Rankings'!$D:$D,F2427))</f>
        <v>Christine</v>
      </c>
      <c r="J2427" s="7" t="str">
        <f aca="false">IF(F2427=0,"NOT FOUND",IF(C2427=I2427,"SELF-VOTE",IF(COUNTIF($K:$K,K2427)&gt;1,"DUPLICATE","OK")))</f>
        <v>OK</v>
      </c>
      <c r="K2427" s="6" t="str">
        <f aca="false">A2427&amp;"|"&amp;B2427&amp;"|"&amp;C2427&amp;"|"&amp;D2427</f>
        <v>4|5|Lisa|spotify:track:6KDG8vvFerlCU63IXdw1zb</v>
      </c>
    </row>
    <row r="2428" customFormat="false" ht="15" hidden="false" customHeight="false" outlineLevel="0" collapsed="false">
      <c r="A2428" s="5" t="n">
        <v>4</v>
      </c>
      <c r="B2428" s="5" t="n">
        <v>5</v>
      </c>
      <c r="C2428" s="5" t="s">
        <v>705</v>
      </c>
      <c r="D2428" s="5" t="s">
        <v>1201</v>
      </c>
      <c r="E2428" s="5" t="n">
        <v>2</v>
      </c>
      <c r="F2428" s="6" t="n">
        <f aca="false">IFERROR(MATCH(A2428&amp;"|"&amp;B2428&amp;"|"&amp;D2428,'All Song Rankings'!$T:$T,0),0)</f>
        <v>372</v>
      </c>
      <c r="G2428" s="6" t="str">
        <f aca="false">IF(F2428=0,"NOT FOUND",INDEX('All Song Rankings'!$A:$A,F2428))</f>
        <v>Hero (feat. Josey Scott)</v>
      </c>
      <c r="H2428" s="6" t="str">
        <f aca="false">IF(F2428=0,"NOT FOUND",INDEX('All Song Rankings'!$B:$B,F2428))</f>
        <v>Chad Kroeger, Josey Scott</v>
      </c>
      <c r="I2428" s="6" t="str">
        <f aca="false">IF(F2428=0,"NOT FOUND",INDEX('All Song Rankings'!$D:$D,F2428))</f>
        <v>Merita</v>
      </c>
      <c r="J2428" s="7" t="str">
        <f aca="false">IF(F2428=0,"NOT FOUND",IF(C2428=I2428,"SELF-VOTE",IF(COUNTIF($K:$K,K2428)&gt;1,"DUPLICATE","OK")))</f>
        <v>OK</v>
      </c>
      <c r="K2428" s="6" t="str">
        <f aca="false">A2428&amp;"|"&amp;B2428&amp;"|"&amp;C2428&amp;"|"&amp;D2428</f>
        <v>4|5|Lisa|spotify:track:779ooI3rBd0CLqCiiJmtVo</v>
      </c>
    </row>
    <row r="2429" customFormat="false" ht="15" hidden="false" customHeight="false" outlineLevel="0" collapsed="false">
      <c r="A2429" s="5" t="n">
        <v>4</v>
      </c>
      <c r="B2429" s="5" t="n">
        <v>5</v>
      </c>
      <c r="C2429" s="5" t="s">
        <v>705</v>
      </c>
      <c r="D2429" s="5" t="s">
        <v>1209</v>
      </c>
      <c r="E2429" s="5" t="n">
        <v>1</v>
      </c>
      <c r="F2429" s="6" t="n">
        <f aca="false">IFERROR(MATCH(A2429&amp;"|"&amp;B2429&amp;"|"&amp;D2429,'All Song Rankings'!$T:$T,0),0)</f>
        <v>375</v>
      </c>
      <c r="G2429" s="6" t="str">
        <f aca="false">IF(F2429=0,"NOT FOUND",INDEX('All Song Rankings'!$A:$A,F2429))</f>
        <v>Word Up</v>
      </c>
      <c r="H2429" s="6" t="str">
        <f aca="false">IF(F2429=0,"NOT FOUND",INDEX('All Song Rankings'!$B:$B,F2429))</f>
        <v>Cameo</v>
      </c>
      <c r="I2429" s="6" t="str">
        <f aca="false">IF(F2429=0,"NOT FOUND",INDEX('All Song Rankings'!$D:$D,F2429))</f>
        <v>Kristen</v>
      </c>
      <c r="J2429" s="7" t="str">
        <f aca="false">IF(F2429=0,"NOT FOUND",IF(C2429=I2429,"SELF-VOTE",IF(COUNTIF($K:$K,K2429)&gt;1,"DUPLICATE","OK")))</f>
        <v>OK</v>
      </c>
      <c r="K2429" s="6" t="str">
        <f aca="false">A2429&amp;"|"&amp;B2429&amp;"|"&amp;C2429&amp;"|"&amp;D2429</f>
        <v>4|5|Lisa|spotify:track:7LoGfKBAaOl0nxhodJ1240</v>
      </c>
    </row>
    <row r="2430" customFormat="false" ht="15" hidden="false" customHeight="false" outlineLevel="0" collapsed="false">
      <c r="A2430" s="5" t="n">
        <v>4</v>
      </c>
      <c r="B2430" s="5" t="n">
        <v>5</v>
      </c>
      <c r="C2430" s="5" t="s">
        <v>128</v>
      </c>
      <c r="D2430" s="5" t="s">
        <v>1206</v>
      </c>
      <c r="E2430" s="5" t="n">
        <v>1</v>
      </c>
      <c r="F2430" s="6" t="n">
        <f aca="false">IFERROR(MATCH(A2430&amp;"|"&amp;B2430&amp;"|"&amp;D2430,'All Song Rankings'!$T:$T,0),0)</f>
        <v>374</v>
      </c>
      <c r="G2430" s="6" t="str">
        <f aca="false">IF(F2430=0,"NOT FOUND",INDEX('All Song Rankings'!$A:$A,F2430))</f>
        <v>Say It Ain't So - The Kitchen Tape Demo - August 1, 1992</v>
      </c>
      <c r="H2430" s="6" t="str">
        <f aca="false">IF(F2430=0,"NOT FOUND",INDEX('All Song Rankings'!$B:$B,F2430))</f>
        <v>Weezer</v>
      </c>
      <c r="I2430" s="6" t="str">
        <f aca="false">IF(F2430=0,"NOT FOUND",INDEX('All Song Rankings'!$D:$D,F2430))</f>
        <v>Nicole</v>
      </c>
      <c r="J2430" s="7" t="str">
        <f aca="false">IF(F2430=0,"NOT FOUND",IF(C2430=I2430,"SELF-VOTE",IF(COUNTIF($K:$K,K2430)&gt;1,"DUPLICATE","OK")))</f>
        <v>OK</v>
      </c>
      <c r="K2430" s="6" t="str">
        <f aca="false">A2430&amp;"|"&amp;B2430&amp;"|"&amp;C2430&amp;"|"&amp;D2430</f>
        <v>4|5|Logan|spotify:track:0OslHiqg2d7lIcb4mzFkyA</v>
      </c>
    </row>
    <row r="2431" customFormat="false" ht="15" hidden="false" customHeight="false" outlineLevel="0" collapsed="false">
      <c r="A2431" s="5" t="n">
        <v>4</v>
      </c>
      <c r="B2431" s="5" t="n">
        <v>5</v>
      </c>
      <c r="C2431" s="5" t="s">
        <v>128</v>
      </c>
      <c r="D2431" s="5" t="s">
        <v>1192</v>
      </c>
      <c r="E2431" s="5" t="n">
        <v>1</v>
      </c>
      <c r="F2431" s="6" t="n">
        <f aca="false">IFERROR(MATCH(A2431&amp;"|"&amp;B2431&amp;"|"&amp;D2431,'All Song Rankings'!$T:$T,0),0)</f>
        <v>369</v>
      </c>
      <c r="G2431" s="6" t="str">
        <f aca="false">IF(F2431=0,"NOT FOUND",INDEX('All Song Rankings'!$A:$A,F2431))</f>
        <v>Ghostbusters</v>
      </c>
      <c r="H2431" s="6" t="str">
        <f aca="false">IF(F2431=0,"NOT FOUND",INDEX('All Song Rankings'!$B:$B,F2431))</f>
        <v>Ray Parker Jr.</v>
      </c>
      <c r="I2431" s="6" t="str">
        <f aca="false">IF(F2431=0,"NOT FOUND",INDEX('All Song Rankings'!$D:$D,F2431))</f>
        <v>Stephanie</v>
      </c>
      <c r="J2431" s="7" t="str">
        <f aca="false">IF(F2431=0,"NOT FOUND",IF(C2431=I2431,"SELF-VOTE",IF(COUNTIF($K:$K,K2431)&gt;1,"DUPLICATE","OK")))</f>
        <v>OK</v>
      </c>
      <c r="K2431" s="6" t="str">
        <f aca="false">A2431&amp;"|"&amp;B2431&amp;"|"&amp;C2431&amp;"|"&amp;D2431</f>
        <v>4|5|Logan|spotify:track:3m0y8qLoznUYi73SUBP8GI</v>
      </c>
    </row>
    <row r="2432" customFormat="false" ht="15" hidden="false" customHeight="false" outlineLevel="0" collapsed="false">
      <c r="A2432" s="5" t="n">
        <v>4</v>
      </c>
      <c r="B2432" s="5" t="n">
        <v>5</v>
      </c>
      <c r="C2432" s="5" t="s">
        <v>128</v>
      </c>
      <c r="D2432" s="5" t="s">
        <v>1216</v>
      </c>
      <c r="E2432" s="5" t="n">
        <v>1</v>
      </c>
      <c r="F2432" s="6" t="n">
        <f aca="false">IFERROR(MATCH(A2432&amp;"|"&amp;B2432&amp;"|"&amp;D2432,'All Song Rankings'!$T:$T,0),0)</f>
        <v>378</v>
      </c>
      <c r="G2432" s="6" t="str">
        <f aca="false">IF(F2432=0,"NOT FOUND",INDEX('All Song Rankings'!$A:$A,F2432))</f>
        <v>(Everything I Do) I Do It For You</v>
      </c>
      <c r="H2432" s="6" t="str">
        <f aca="false">IF(F2432=0,"NOT FOUND",INDEX('All Song Rankings'!$B:$B,F2432))</f>
        <v>Bryan Adams</v>
      </c>
      <c r="I2432" s="6" t="str">
        <f aca="false">IF(F2432=0,"NOT FOUND",INDEX('All Song Rankings'!$D:$D,F2432))</f>
        <v>Scott</v>
      </c>
      <c r="J2432" s="7" t="str">
        <f aca="false">IF(F2432=0,"NOT FOUND",IF(C2432=I2432,"SELF-VOTE",IF(COUNTIF($K:$K,K2432)&gt;1,"DUPLICATE","OK")))</f>
        <v>OK</v>
      </c>
      <c r="K2432" s="6" t="str">
        <f aca="false">A2432&amp;"|"&amp;B2432&amp;"|"&amp;C2432&amp;"|"&amp;D2432</f>
        <v>4|5|Logan|spotify:track:5HQ6AUDMbMuwktvcNPuV1y</v>
      </c>
    </row>
    <row r="2433" customFormat="false" ht="15" hidden="false" customHeight="false" outlineLevel="0" collapsed="false">
      <c r="A2433" s="5" t="n">
        <v>4</v>
      </c>
      <c r="B2433" s="5" t="n">
        <v>5</v>
      </c>
      <c r="C2433" s="5" t="s">
        <v>128</v>
      </c>
      <c r="D2433" s="5" t="s">
        <v>1203</v>
      </c>
      <c r="E2433" s="5" t="n">
        <v>3</v>
      </c>
      <c r="F2433" s="6" t="n">
        <f aca="false">IFERROR(MATCH(A2433&amp;"|"&amp;B2433&amp;"|"&amp;D2433,'All Song Rankings'!$T:$T,0),0)</f>
        <v>373</v>
      </c>
      <c r="G2433" s="6" t="str">
        <f aca="false">IF(F2433=0,"NOT FOUND",INDEX('All Song Rankings'!$A:$A,F2433))</f>
        <v>Hero</v>
      </c>
      <c r="H2433" s="6" t="str">
        <f aca="false">IF(F2433=0,"NOT FOUND",INDEX('All Song Rankings'!$B:$B,F2433))</f>
        <v>Mariah Carey</v>
      </c>
      <c r="I2433" s="6" t="str">
        <f aca="false">IF(F2433=0,"NOT FOUND",INDEX('All Song Rankings'!$D:$D,F2433))</f>
        <v>Kelsey</v>
      </c>
      <c r="J2433" s="7" t="str">
        <f aca="false">IF(F2433=0,"NOT FOUND",IF(C2433=I2433,"SELF-VOTE",IF(COUNTIF($K:$K,K2433)&gt;1,"DUPLICATE","OK")))</f>
        <v>OK</v>
      </c>
      <c r="K2433" s="6" t="str">
        <f aca="false">A2433&amp;"|"&amp;B2433&amp;"|"&amp;C2433&amp;"|"&amp;D2433</f>
        <v>4|5|Logan|spotify:track:5mgCMlxQW7fmHbrdJuowbB</v>
      </c>
    </row>
    <row r="2434" customFormat="false" ht="15" hidden="false" customHeight="false" outlineLevel="0" collapsed="false">
      <c r="A2434" s="5" t="n">
        <v>4</v>
      </c>
      <c r="B2434" s="5" t="n">
        <v>5</v>
      </c>
      <c r="C2434" s="5" t="s">
        <v>128</v>
      </c>
      <c r="D2434" s="5" t="s">
        <v>1186</v>
      </c>
      <c r="E2434" s="5" t="n">
        <v>2</v>
      </c>
      <c r="F2434" s="6" t="n">
        <f aca="false">IFERROR(MATCH(A2434&amp;"|"&amp;B2434&amp;"|"&amp;D2434,'All Song Rankings'!$T:$T,0),0)</f>
        <v>367</v>
      </c>
      <c r="G2434" s="6" t="str">
        <f aca="false">IF(F2434=0,"NOT FOUND",INDEX('All Song Rankings'!$A:$A,F2434))</f>
        <v>Suspicious Minds</v>
      </c>
      <c r="H2434" s="6" t="str">
        <f aca="false">IF(F2434=0,"NOT FOUND",INDEX('All Song Rankings'!$B:$B,F2434))</f>
        <v>Elvis Presley</v>
      </c>
      <c r="I2434" s="6" t="str">
        <f aca="false">IF(F2434=0,"NOT FOUND",INDEX('All Song Rankings'!$D:$D,F2434))</f>
        <v>Christine</v>
      </c>
      <c r="J2434" s="7" t="str">
        <f aca="false">IF(F2434=0,"NOT FOUND",IF(C2434=I2434,"SELF-VOTE",IF(COUNTIF($K:$K,K2434)&gt;1,"DUPLICATE","OK")))</f>
        <v>OK</v>
      </c>
      <c r="K2434" s="6" t="str">
        <f aca="false">A2434&amp;"|"&amp;B2434&amp;"|"&amp;C2434&amp;"|"&amp;D2434</f>
        <v>4|5|Logan|spotify:track:6KDG8vvFerlCU63IXdw1zb</v>
      </c>
    </row>
    <row r="2435" customFormat="false" ht="15" hidden="false" customHeight="false" outlineLevel="0" collapsed="false">
      <c r="A2435" s="5" t="n">
        <v>4</v>
      </c>
      <c r="B2435" s="5" t="n">
        <v>5</v>
      </c>
      <c r="C2435" s="5" t="s">
        <v>128</v>
      </c>
      <c r="D2435" s="5" t="s">
        <v>1201</v>
      </c>
      <c r="E2435" s="5" t="n">
        <v>1</v>
      </c>
      <c r="F2435" s="6" t="n">
        <f aca="false">IFERROR(MATCH(A2435&amp;"|"&amp;B2435&amp;"|"&amp;D2435,'All Song Rankings'!$T:$T,0),0)</f>
        <v>372</v>
      </c>
      <c r="G2435" s="6" t="str">
        <f aca="false">IF(F2435=0,"NOT FOUND",INDEX('All Song Rankings'!$A:$A,F2435))</f>
        <v>Hero (feat. Josey Scott)</v>
      </c>
      <c r="H2435" s="6" t="str">
        <f aca="false">IF(F2435=0,"NOT FOUND",INDEX('All Song Rankings'!$B:$B,F2435))</f>
        <v>Chad Kroeger, Josey Scott</v>
      </c>
      <c r="I2435" s="6" t="str">
        <f aca="false">IF(F2435=0,"NOT FOUND",INDEX('All Song Rankings'!$D:$D,F2435))</f>
        <v>Merita</v>
      </c>
      <c r="J2435" s="7" t="str">
        <f aca="false">IF(F2435=0,"NOT FOUND",IF(C2435=I2435,"SELF-VOTE",IF(COUNTIF($K:$K,K2435)&gt;1,"DUPLICATE","OK")))</f>
        <v>OK</v>
      </c>
      <c r="K2435" s="6" t="str">
        <f aca="false">A2435&amp;"|"&amp;B2435&amp;"|"&amp;C2435&amp;"|"&amp;D2435</f>
        <v>4|5|Logan|spotify:track:779ooI3rBd0CLqCiiJmtVo</v>
      </c>
    </row>
    <row r="2436" customFormat="false" ht="15" hidden="false" customHeight="false" outlineLevel="0" collapsed="false">
      <c r="A2436" s="5" t="n">
        <v>4</v>
      </c>
      <c r="B2436" s="5" t="n">
        <v>5</v>
      </c>
      <c r="C2436" s="5" t="s">
        <v>128</v>
      </c>
      <c r="D2436" s="5" t="s">
        <v>1209</v>
      </c>
      <c r="E2436" s="5" t="n">
        <v>1</v>
      </c>
      <c r="F2436" s="6" t="n">
        <f aca="false">IFERROR(MATCH(A2436&amp;"|"&amp;B2436&amp;"|"&amp;D2436,'All Song Rankings'!$T:$T,0),0)</f>
        <v>375</v>
      </c>
      <c r="G2436" s="6" t="str">
        <f aca="false">IF(F2436=0,"NOT FOUND",INDEX('All Song Rankings'!$A:$A,F2436))</f>
        <v>Word Up</v>
      </c>
      <c r="H2436" s="6" t="str">
        <f aca="false">IF(F2436=0,"NOT FOUND",INDEX('All Song Rankings'!$B:$B,F2436))</f>
        <v>Cameo</v>
      </c>
      <c r="I2436" s="6" t="str">
        <f aca="false">IF(F2436=0,"NOT FOUND",INDEX('All Song Rankings'!$D:$D,F2436))</f>
        <v>Kristen</v>
      </c>
      <c r="J2436" s="7" t="str">
        <f aca="false">IF(F2436=0,"NOT FOUND",IF(C2436=I2436,"SELF-VOTE",IF(COUNTIF($K:$K,K2436)&gt;1,"DUPLICATE","OK")))</f>
        <v>OK</v>
      </c>
      <c r="K2436" s="6" t="str">
        <f aca="false">A2436&amp;"|"&amp;B2436&amp;"|"&amp;C2436&amp;"|"&amp;D2436</f>
        <v>4|5|Logan|spotify:track:7LoGfKBAaOl0nxhodJ1240</v>
      </c>
    </row>
    <row r="2437" customFormat="false" ht="15" hidden="false" customHeight="false" outlineLevel="0" collapsed="false">
      <c r="A2437" s="5" t="n">
        <v>4</v>
      </c>
      <c r="B2437" s="5" t="n">
        <v>5</v>
      </c>
      <c r="C2437" s="5" t="s">
        <v>395</v>
      </c>
      <c r="D2437" s="5" t="s">
        <v>1206</v>
      </c>
      <c r="E2437" s="5" t="n">
        <v>1</v>
      </c>
      <c r="F2437" s="6" t="n">
        <f aca="false">IFERROR(MATCH(A2437&amp;"|"&amp;B2437&amp;"|"&amp;D2437,'All Song Rankings'!$T:$T,0),0)</f>
        <v>374</v>
      </c>
      <c r="G2437" s="6" t="str">
        <f aca="false">IF(F2437=0,"NOT FOUND",INDEX('All Song Rankings'!$A:$A,F2437))</f>
        <v>Say It Ain't So - The Kitchen Tape Demo - August 1, 1992</v>
      </c>
      <c r="H2437" s="6" t="str">
        <f aca="false">IF(F2437=0,"NOT FOUND",INDEX('All Song Rankings'!$B:$B,F2437))</f>
        <v>Weezer</v>
      </c>
      <c r="I2437" s="6" t="str">
        <f aca="false">IF(F2437=0,"NOT FOUND",INDEX('All Song Rankings'!$D:$D,F2437))</f>
        <v>Nicole</v>
      </c>
      <c r="J2437" s="7" t="str">
        <f aca="false">IF(F2437=0,"NOT FOUND",IF(C2437=I2437,"SELF-VOTE",IF(COUNTIF($K:$K,K2437)&gt;1,"DUPLICATE","OK")))</f>
        <v>OK</v>
      </c>
      <c r="K2437" s="6" t="str">
        <f aca="false">A2437&amp;"|"&amp;B2437&amp;"|"&amp;C2437&amp;"|"&amp;D2437</f>
        <v>4|5|Makenzie|spotify:track:0OslHiqg2d7lIcb4mzFkyA</v>
      </c>
    </row>
    <row r="2438" customFormat="false" ht="15" hidden="false" customHeight="false" outlineLevel="0" collapsed="false">
      <c r="A2438" s="5" t="n">
        <v>4</v>
      </c>
      <c r="B2438" s="5" t="n">
        <v>5</v>
      </c>
      <c r="C2438" s="5" t="s">
        <v>395</v>
      </c>
      <c r="D2438" s="5" t="s">
        <v>1192</v>
      </c>
      <c r="E2438" s="5" t="n">
        <v>1</v>
      </c>
      <c r="F2438" s="6" t="n">
        <f aca="false">IFERROR(MATCH(A2438&amp;"|"&amp;B2438&amp;"|"&amp;D2438,'All Song Rankings'!$T:$T,0),0)</f>
        <v>369</v>
      </c>
      <c r="G2438" s="6" t="str">
        <f aca="false">IF(F2438=0,"NOT FOUND",INDEX('All Song Rankings'!$A:$A,F2438))</f>
        <v>Ghostbusters</v>
      </c>
      <c r="H2438" s="6" t="str">
        <f aca="false">IF(F2438=0,"NOT FOUND",INDEX('All Song Rankings'!$B:$B,F2438))</f>
        <v>Ray Parker Jr.</v>
      </c>
      <c r="I2438" s="6" t="str">
        <f aca="false">IF(F2438=0,"NOT FOUND",INDEX('All Song Rankings'!$D:$D,F2438))</f>
        <v>Stephanie</v>
      </c>
      <c r="J2438" s="7" t="str">
        <f aca="false">IF(F2438=0,"NOT FOUND",IF(C2438=I2438,"SELF-VOTE",IF(COUNTIF($K:$K,K2438)&gt;1,"DUPLICATE","OK")))</f>
        <v>OK</v>
      </c>
      <c r="K2438" s="6" t="str">
        <f aca="false">A2438&amp;"|"&amp;B2438&amp;"|"&amp;C2438&amp;"|"&amp;D2438</f>
        <v>4|5|Makenzie|spotify:track:3m0y8qLoznUYi73SUBP8GI</v>
      </c>
    </row>
    <row r="2439" customFormat="false" ht="15" hidden="false" customHeight="false" outlineLevel="0" collapsed="false">
      <c r="A2439" s="5" t="n">
        <v>4</v>
      </c>
      <c r="B2439" s="5" t="n">
        <v>5</v>
      </c>
      <c r="C2439" s="5" t="s">
        <v>395</v>
      </c>
      <c r="D2439" s="5" t="s">
        <v>1189</v>
      </c>
      <c r="E2439" s="5" t="n">
        <v>1</v>
      </c>
      <c r="F2439" s="6" t="n">
        <f aca="false">IFERROR(MATCH(A2439&amp;"|"&amp;B2439&amp;"|"&amp;D2439,'All Song Rankings'!$T:$T,0),0)</f>
        <v>368</v>
      </c>
      <c r="G2439" s="6" t="str">
        <f aca="false">IF(F2439=0,"NOT FOUND",INDEX('All Song Rankings'!$A:$A,F2439))</f>
        <v>That Thing You Do!</v>
      </c>
      <c r="H2439" s="6" t="str">
        <f aca="false">IF(F2439=0,"NOT FOUND",INDEX('All Song Rankings'!$B:$B,F2439))</f>
        <v>The Wonders</v>
      </c>
      <c r="I2439" s="6" t="str">
        <f aca="false">IF(F2439=0,"NOT FOUND",INDEX('All Song Rankings'!$D:$D,F2439))</f>
        <v>Logan</v>
      </c>
      <c r="J2439" s="7" t="str">
        <f aca="false">IF(F2439=0,"NOT FOUND",IF(C2439=I2439,"SELF-VOTE",IF(COUNTIF($K:$K,K2439)&gt;1,"DUPLICATE","OK")))</f>
        <v>OK</v>
      </c>
      <c r="K2439" s="6" t="str">
        <f aca="false">A2439&amp;"|"&amp;B2439&amp;"|"&amp;C2439&amp;"|"&amp;D2439</f>
        <v>4|5|Makenzie|spotify:track:4O6ZaZrRCFfiZZKjnrXqlk</v>
      </c>
    </row>
    <row r="2440" customFormat="false" ht="15" hidden="false" customHeight="false" outlineLevel="0" collapsed="false">
      <c r="A2440" s="5" t="n">
        <v>4</v>
      </c>
      <c r="B2440" s="5" t="n">
        <v>5</v>
      </c>
      <c r="C2440" s="5" t="s">
        <v>395</v>
      </c>
      <c r="D2440" s="5" t="s">
        <v>1216</v>
      </c>
      <c r="E2440" s="5" t="n">
        <v>1</v>
      </c>
      <c r="F2440" s="6" t="n">
        <f aca="false">IFERROR(MATCH(A2440&amp;"|"&amp;B2440&amp;"|"&amp;D2440,'All Song Rankings'!$T:$T,0),0)</f>
        <v>378</v>
      </c>
      <c r="G2440" s="6" t="str">
        <f aca="false">IF(F2440=0,"NOT FOUND",INDEX('All Song Rankings'!$A:$A,F2440))</f>
        <v>(Everything I Do) I Do It For You</v>
      </c>
      <c r="H2440" s="6" t="str">
        <f aca="false">IF(F2440=0,"NOT FOUND",INDEX('All Song Rankings'!$B:$B,F2440))</f>
        <v>Bryan Adams</v>
      </c>
      <c r="I2440" s="6" t="str">
        <f aca="false">IF(F2440=0,"NOT FOUND",INDEX('All Song Rankings'!$D:$D,F2440))</f>
        <v>Scott</v>
      </c>
      <c r="J2440" s="7" t="str">
        <f aca="false">IF(F2440=0,"NOT FOUND",IF(C2440=I2440,"SELF-VOTE",IF(COUNTIF($K:$K,K2440)&gt;1,"DUPLICATE","OK")))</f>
        <v>OK</v>
      </c>
      <c r="K2440" s="6" t="str">
        <f aca="false">A2440&amp;"|"&amp;B2440&amp;"|"&amp;C2440&amp;"|"&amp;D2440</f>
        <v>4|5|Makenzie|spotify:track:5HQ6AUDMbMuwktvcNPuV1y</v>
      </c>
    </row>
    <row r="2441" customFormat="false" ht="15" hidden="false" customHeight="false" outlineLevel="0" collapsed="false">
      <c r="A2441" s="5" t="n">
        <v>4</v>
      </c>
      <c r="B2441" s="5" t="n">
        <v>5</v>
      </c>
      <c r="C2441" s="5" t="s">
        <v>395</v>
      </c>
      <c r="D2441" s="5" t="s">
        <v>1184</v>
      </c>
      <c r="E2441" s="5" t="n">
        <v>1</v>
      </c>
      <c r="F2441" s="6" t="n">
        <f aca="false">IFERROR(MATCH(A2441&amp;"|"&amp;B2441&amp;"|"&amp;D2441,'All Song Rankings'!$T:$T,0),0)</f>
        <v>366</v>
      </c>
      <c r="G2441" s="6" t="str">
        <f aca="false">IF(F2441=0,"NOT FOUND",INDEX('All Song Rankings'!$A:$A,F2441))</f>
        <v>I Want To Hold Your Hand</v>
      </c>
      <c r="H2441" s="6" t="str">
        <f aca="false">IF(F2441=0,"NOT FOUND",INDEX('All Song Rankings'!$B:$B,F2441))</f>
        <v>The Beatles</v>
      </c>
      <c r="I2441" s="6" t="str">
        <f aca="false">IF(F2441=0,"NOT FOUND",INDEX('All Song Rankings'!$D:$D,F2441))</f>
        <v>Lisa</v>
      </c>
      <c r="J2441" s="7" t="str">
        <f aca="false">IF(F2441=0,"NOT FOUND",IF(C2441=I2441,"SELF-VOTE",IF(COUNTIF($K:$K,K2441)&gt;1,"DUPLICATE","OK")))</f>
        <v>OK</v>
      </c>
      <c r="K2441" s="6" t="str">
        <f aca="false">A2441&amp;"|"&amp;B2441&amp;"|"&amp;C2441&amp;"|"&amp;D2441</f>
        <v>4|5|Makenzie|spotify:track:5J3Mf6dyqeGy67yuQ7ql9B</v>
      </c>
    </row>
    <row r="2442" customFormat="false" ht="15" hidden="false" customHeight="false" outlineLevel="0" collapsed="false">
      <c r="A2442" s="5" t="n">
        <v>4</v>
      </c>
      <c r="B2442" s="5" t="n">
        <v>5</v>
      </c>
      <c r="C2442" s="5" t="s">
        <v>395</v>
      </c>
      <c r="D2442" s="5" t="s">
        <v>1198</v>
      </c>
      <c r="E2442" s="5" t="n">
        <v>2</v>
      </c>
      <c r="F2442" s="6" t="n">
        <f aca="false">IFERROR(MATCH(A2442&amp;"|"&amp;B2442&amp;"|"&amp;D2442,'All Song Rankings'!$T:$T,0),0)</f>
        <v>371</v>
      </c>
      <c r="G2442" s="6" t="str">
        <f aca="false">IF(F2442=0,"NOT FOUND",INDEX('All Song Rankings'!$A:$A,F2442))</f>
        <v>London Calling - Remastered</v>
      </c>
      <c r="H2442" s="6" t="str">
        <f aca="false">IF(F2442=0,"NOT FOUND",INDEX('All Song Rankings'!$B:$B,F2442))</f>
        <v>The Clash</v>
      </c>
      <c r="I2442" s="6" t="str">
        <f aca="false">IF(F2442=0,"NOT FOUND",INDEX('All Song Rankings'!$D:$D,F2442))</f>
        <v>Matt</v>
      </c>
      <c r="J2442" s="7" t="str">
        <f aca="false">IF(F2442=0,"NOT FOUND",IF(C2442=I2442,"SELF-VOTE",IF(COUNTIF($K:$K,K2442)&gt;1,"DUPLICATE","OK")))</f>
        <v>OK</v>
      </c>
      <c r="K2442" s="6" t="str">
        <f aca="false">A2442&amp;"|"&amp;B2442&amp;"|"&amp;C2442&amp;"|"&amp;D2442</f>
        <v>4|5|Makenzie|spotify:track:5jzma6gCzYtKB1DbEwFZKH</v>
      </c>
    </row>
    <row r="2443" customFormat="false" ht="15" hidden="false" customHeight="false" outlineLevel="0" collapsed="false">
      <c r="A2443" s="5" t="n">
        <v>4</v>
      </c>
      <c r="B2443" s="5" t="n">
        <v>5</v>
      </c>
      <c r="C2443" s="5" t="s">
        <v>395</v>
      </c>
      <c r="D2443" s="5" t="s">
        <v>1186</v>
      </c>
      <c r="E2443" s="5" t="n">
        <v>2</v>
      </c>
      <c r="F2443" s="6" t="n">
        <f aca="false">IFERROR(MATCH(A2443&amp;"|"&amp;B2443&amp;"|"&amp;D2443,'All Song Rankings'!$T:$T,0),0)</f>
        <v>367</v>
      </c>
      <c r="G2443" s="6" t="str">
        <f aca="false">IF(F2443=0,"NOT FOUND",INDEX('All Song Rankings'!$A:$A,F2443))</f>
        <v>Suspicious Minds</v>
      </c>
      <c r="H2443" s="6" t="str">
        <f aca="false">IF(F2443=0,"NOT FOUND",INDEX('All Song Rankings'!$B:$B,F2443))</f>
        <v>Elvis Presley</v>
      </c>
      <c r="I2443" s="6" t="str">
        <f aca="false">IF(F2443=0,"NOT FOUND",INDEX('All Song Rankings'!$D:$D,F2443))</f>
        <v>Christine</v>
      </c>
      <c r="J2443" s="7" t="str">
        <f aca="false">IF(F2443=0,"NOT FOUND",IF(C2443=I2443,"SELF-VOTE",IF(COUNTIF($K:$K,K2443)&gt;1,"DUPLICATE","OK")))</f>
        <v>OK</v>
      </c>
      <c r="K2443" s="6" t="str">
        <f aca="false">A2443&amp;"|"&amp;B2443&amp;"|"&amp;C2443&amp;"|"&amp;D2443</f>
        <v>4|5|Makenzie|spotify:track:6KDG8vvFerlCU63IXdw1zb</v>
      </c>
    </row>
    <row r="2444" customFormat="false" ht="15" hidden="false" customHeight="false" outlineLevel="0" collapsed="false">
      <c r="A2444" s="5" t="n">
        <v>4</v>
      </c>
      <c r="B2444" s="5" t="n">
        <v>5</v>
      </c>
      <c r="C2444" s="5" t="s">
        <v>395</v>
      </c>
      <c r="D2444" s="5" t="s">
        <v>1201</v>
      </c>
      <c r="E2444" s="5" t="n">
        <v>1</v>
      </c>
      <c r="F2444" s="6" t="n">
        <f aca="false">IFERROR(MATCH(A2444&amp;"|"&amp;B2444&amp;"|"&amp;D2444,'All Song Rankings'!$T:$T,0),0)</f>
        <v>372</v>
      </c>
      <c r="G2444" s="6" t="str">
        <f aca="false">IF(F2444=0,"NOT FOUND",INDEX('All Song Rankings'!$A:$A,F2444))</f>
        <v>Hero (feat. Josey Scott)</v>
      </c>
      <c r="H2444" s="6" t="str">
        <f aca="false">IF(F2444=0,"NOT FOUND",INDEX('All Song Rankings'!$B:$B,F2444))</f>
        <v>Chad Kroeger, Josey Scott</v>
      </c>
      <c r="I2444" s="6" t="str">
        <f aca="false">IF(F2444=0,"NOT FOUND",INDEX('All Song Rankings'!$D:$D,F2444))</f>
        <v>Merita</v>
      </c>
      <c r="J2444" s="7" t="str">
        <f aca="false">IF(F2444=0,"NOT FOUND",IF(C2444=I2444,"SELF-VOTE",IF(COUNTIF($K:$K,K2444)&gt;1,"DUPLICATE","OK")))</f>
        <v>OK</v>
      </c>
      <c r="K2444" s="6" t="str">
        <f aca="false">A2444&amp;"|"&amp;B2444&amp;"|"&amp;C2444&amp;"|"&amp;D2444</f>
        <v>4|5|Makenzie|spotify:track:779ooI3rBd0CLqCiiJmtVo</v>
      </c>
    </row>
    <row r="2445" customFormat="false" ht="15" hidden="false" customHeight="false" outlineLevel="0" collapsed="false">
      <c r="A2445" s="5" t="n">
        <v>4</v>
      </c>
      <c r="B2445" s="5" t="n">
        <v>5</v>
      </c>
      <c r="C2445" s="5" t="s">
        <v>116</v>
      </c>
      <c r="D2445" s="5" t="s">
        <v>1206</v>
      </c>
      <c r="E2445" s="5" t="n">
        <v>1</v>
      </c>
      <c r="F2445" s="6" t="n">
        <f aca="false">IFERROR(MATCH(A2445&amp;"|"&amp;B2445&amp;"|"&amp;D2445,'All Song Rankings'!$T:$T,0),0)</f>
        <v>374</v>
      </c>
      <c r="G2445" s="6" t="str">
        <f aca="false">IF(F2445=0,"NOT FOUND",INDEX('All Song Rankings'!$A:$A,F2445))</f>
        <v>Say It Ain't So - The Kitchen Tape Demo - August 1, 1992</v>
      </c>
      <c r="H2445" s="6" t="str">
        <f aca="false">IF(F2445=0,"NOT FOUND",INDEX('All Song Rankings'!$B:$B,F2445))</f>
        <v>Weezer</v>
      </c>
      <c r="I2445" s="6" t="str">
        <f aca="false">IF(F2445=0,"NOT FOUND",INDEX('All Song Rankings'!$D:$D,F2445))</f>
        <v>Nicole</v>
      </c>
      <c r="J2445" s="7" t="str">
        <f aca="false">IF(F2445=0,"NOT FOUND",IF(C2445=I2445,"SELF-VOTE",IF(COUNTIF($K:$K,K2445)&gt;1,"DUPLICATE","OK")))</f>
        <v>OK</v>
      </c>
      <c r="K2445" s="6" t="str">
        <f aca="false">A2445&amp;"|"&amp;B2445&amp;"|"&amp;C2445&amp;"|"&amp;D2445</f>
        <v>4|5|Matt|spotify:track:0OslHiqg2d7lIcb4mzFkyA</v>
      </c>
    </row>
    <row r="2446" customFormat="false" ht="15" hidden="false" customHeight="false" outlineLevel="0" collapsed="false">
      <c r="A2446" s="5" t="n">
        <v>4</v>
      </c>
      <c r="B2446" s="5" t="n">
        <v>5</v>
      </c>
      <c r="C2446" s="5" t="s">
        <v>116</v>
      </c>
      <c r="D2446" s="5" t="s">
        <v>1218</v>
      </c>
      <c r="E2446" s="5" t="n">
        <v>2</v>
      </c>
      <c r="F2446" s="6" t="n">
        <f aca="false">IFERROR(MATCH(A2446&amp;"|"&amp;B2446&amp;"|"&amp;D2446,'All Song Rankings'!$T:$T,0),0)</f>
        <v>379</v>
      </c>
      <c r="G2446" s="6" t="str">
        <f aca="false">IF(F2446=0,"NOT FOUND",INDEX('All Song Rankings'!$A:$A,F2446))</f>
        <v>Learning To Fly</v>
      </c>
      <c r="H2446" s="6" t="str">
        <f aca="false">IF(F2446=0,"NOT FOUND",INDEX('All Song Rankings'!$B:$B,F2446))</f>
        <v>Tom Petty</v>
      </c>
      <c r="I2446" s="6" t="str">
        <f aca="false">IF(F2446=0,"NOT FOUND",INDEX('All Song Rankings'!$D:$D,F2446))</f>
        <v>Colleen</v>
      </c>
      <c r="J2446" s="7" t="str">
        <f aca="false">IF(F2446=0,"NOT FOUND",IF(C2446=I2446,"SELF-VOTE",IF(COUNTIF($K:$K,K2446)&gt;1,"DUPLICATE","OK")))</f>
        <v>OK</v>
      </c>
      <c r="K2446" s="6" t="str">
        <f aca="false">A2446&amp;"|"&amp;B2446&amp;"|"&amp;C2446&amp;"|"&amp;D2446</f>
        <v>4|5|Matt|spotify:track:17S4XrLvF5jlGvGCJHgF51</v>
      </c>
    </row>
    <row r="2447" customFormat="false" ht="15" hidden="false" customHeight="false" outlineLevel="0" collapsed="false">
      <c r="A2447" s="5" t="n">
        <v>4</v>
      </c>
      <c r="B2447" s="5" t="n">
        <v>5</v>
      </c>
      <c r="C2447" s="5" t="s">
        <v>116</v>
      </c>
      <c r="D2447" s="5" t="s">
        <v>1212</v>
      </c>
      <c r="E2447" s="5" t="n">
        <v>1</v>
      </c>
      <c r="F2447" s="6" t="n">
        <f aca="false">IFERROR(MATCH(A2447&amp;"|"&amp;B2447&amp;"|"&amp;D2447,'All Song Rankings'!$T:$T,0),0)</f>
        <v>376</v>
      </c>
      <c r="G2447" s="6" t="str">
        <f aca="false">IF(F2447=0,"NOT FOUND",INDEX('All Song Rankings'!$A:$A,F2447))</f>
        <v>Fall On Me</v>
      </c>
      <c r="H2447" s="6" t="str">
        <f aca="false">IF(F2447=0,"NOT FOUND",INDEX('All Song Rankings'!$B:$B,F2447))</f>
        <v>R.E.M.</v>
      </c>
      <c r="I2447" s="6" t="str">
        <f aca="false">IF(F2447=0,"NOT FOUND",INDEX('All Song Rankings'!$D:$D,F2447))</f>
        <v>Leah</v>
      </c>
      <c r="J2447" s="7" t="str">
        <f aca="false">IF(F2447=0,"NOT FOUND",IF(C2447=I2447,"SELF-VOTE",IF(COUNTIF($K:$K,K2447)&gt;1,"DUPLICATE","OK")))</f>
        <v>OK</v>
      </c>
      <c r="K2447" s="6" t="str">
        <f aca="false">A2447&amp;"|"&amp;B2447&amp;"|"&amp;C2447&amp;"|"&amp;D2447</f>
        <v>4|5|Matt|spotify:track:181ERlg2wowFuRobnrMZJ2</v>
      </c>
    </row>
    <row r="2448" customFormat="false" ht="15" hidden="false" customHeight="false" outlineLevel="0" collapsed="false">
      <c r="A2448" s="5" t="n">
        <v>4</v>
      </c>
      <c r="B2448" s="5" t="n">
        <v>5</v>
      </c>
      <c r="C2448" s="5" t="s">
        <v>116</v>
      </c>
      <c r="D2448" s="5" t="s">
        <v>1216</v>
      </c>
      <c r="E2448" s="5" t="n">
        <v>1</v>
      </c>
      <c r="F2448" s="6" t="n">
        <f aca="false">IFERROR(MATCH(A2448&amp;"|"&amp;B2448&amp;"|"&amp;D2448,'All Song Rankings'!$T:$T,0),0)</f>
        <v>378</v>
      </c>
      <c r="G2448" s="6" t="str">
        <f aca="false">IF(F2448=0,"NOT FOUND",INDEX('All Song Rankings'!$A:$A,F2448))</f>
        <v>(Everything I Do) I Do It For You</v>
      </c>
      <c r="H2448" s="6" t="str">
        <f aca="false">IF(F2448=0,"NOT FOUND",INDEX('All Song Rankings'!$B:$B,F2448))</f>
        <v>Bryan Adams</v>
      </c>
      <c r="I2448" s="6" t="str">
        <f aca="false">IF(F2448=0,"NOT FOUND",INDEX('All Song Rankings'!$D:$D,F2448))</f>
        <v>Scott</v>
      </c>
      <c r="J2448" s="7" t="str">
        <f aca="false">IF(F2448=0,"NOT FOUND",IF(C2448=I2448,"SELF-VOTE",IF(COUNTIF($K:$K,K2448)&gt;1,"DUPLICATE","OK")))</f>
        <v>OK</v>
      </c>
      <c r="K2448" s="6" t="str">
        <f aca="false">A2448&amp;"|"&amp;B2448&amp;"|"&amp;C2448&amp;"|"&amp;D2448</f>
        <v>4|5|Matt|spotify:track:5HQ6AUDMbMuwktvcNPuV1y</v>
      </c>
    </row>
    <row r="2449" customFormat="false" ht="15" hidden="false" customHeight="false" outlineLevel="0" collapsed="false">
      <c r="A2449" s="5" t="n">
        <v>4</v>
      </c>
      <c r="B2449" s="5" t="n">
        <v>5</v>
      </c>
      <c r="C2449" s="5" t="s">
        <v>116</v>
      </c>
      <c r="D2449" s="5" t="s">
        <v>1184</v>
      </c>
      <c r="E2449" s="5" t="n">
        <v>3</v>
      </c>
      <c r="F2449" s="6" t="n">
        <f aca="false">IFERROR(MATCH(A2449&amp;"|"&amp;B2449&amp;"|"&amp;D2449,'All Song Rankings'!$T:$T,0),0)</f>
        <v>366</v>
      </c>
      <c r="G2449" s="6" t="str">
        <f aca="false">IF(F2449=0,"NOT FOUND",INDEX('All Song Rankings'!$A:$A,F2449))</f>
        <v>I Want To Hold Your Hand</v>
      </c>
      <c r="H2449" s="6" t="str">
        <f aca="false">IF(F2449=0,"NOT FOUND",INDEX('All Song Rankings'!$B:$B,F2449))</f>
        <v>The Beatles</v>
      </c>
      <c r="I2449" s="6" t="str">
        <f aca="false">IF(F2449=0,"NOT FOUND",INDEX('All Song Rankings'!$D:$D,F2449))</f>
        <v>Lisa</v>
      </c>
      <c r="J2449" s="7" t="str">
        <f aca="false">IF(F2449=0,"NOT FOUND",IF(C2449=I2449,"SELF-VOTE",IF(COUNTIF($K:$K,K2449)&gt;1,"DUPLICATE","OK")))</f>
        <v>OK</v>
      </c>
      <c r="K2449" s="6" t="str">
        <f aca="false">A2449&amp;"|"&amp;B2449&amp;"|"&amp;C2449&amp;"|"&amp;D2449</f>
        <v>4|5|Matt|spotify:track:5J3Mf6dyqeGy67yuQ7ql9B</v>
      </c>
    </row>
    <row r="2450" customFormat="false" ht="15" hidden="false" customHeight="false" outlineLevel="0" collapsed="false">
      <c r="A2450" s="5" t="n">
        <v>4</v>
      </c>
      <c r="B2450" s="5" t="n">
        <v>5</v>
      </c>
      <c r="C2450" s="5" t="s">
        <v>116</v>
      </c>
      <c r="D2450" s="5" t="s">
        <v>1186</v>
      </c>
      <c r="E2450" s="5" t="n">
        <v>2</v>
      </c>
      <c r="F2450" s="6" t="n">
        <f aca="false">IFERROR(MATCH(A2450&amp;"|"&amp;B2450&amp;"|"&amp;D2450,'All Song Rankings'!$T:$T,0),0)</f>
        <v>367</v>
      </c>
      <c r="G2450" s="6" t="str">
        <f aca="false">IF(F2450=0,"NOT FOUND",INDEX('All Song Rankings'!$A:$A,F2450))</f>
        <v>Suspicious Minds</v>
      </c>
      <c r="H2450" s="6" t="str">
        <f aca="false">IF(F2450=0,"NOT FOUND",INDEX('All Song Rankings'!$B:$B,F2450))</f>
        <v>Elvis Presley</v>
      </c>
      <c r="I2450" s="6" t="str">
        <f aca="false">IF(F2450=0,"NOT FOUND",INDEX('All Song Rankings'!$D:$D,F2450))</f>
        <v>Christine</v>
      </c>
      <c r="J2450" s="7" t="str">
        <f aca="false">IF(F2450=0,"NOT FOUND",IF(C2450=I2450,"SELF-VOTE",IF(COUNTIF($K:$K,K2450)&gt;1,"DUPLICATE","OK")))</f>
        <v>OK</v>
      </c>
      <c r="K2450" s="6" t="str">
        <f aca="false">A2450&amp;"|"&amp;B2450&amp;"|"&amp;C2450&amp;"|"&amp;D2450</f>
        <v>4|5|Matt|spotify:track:6KDG8vvFerlCU63IXdw1zb</v>
      </c>
    </row>
    <row r="2451" customFormat="false" ht="15" hidden="false" customHeight="false" outlineLevel="0" collapsed="false">
      <c r="A2451" s="5" t="n">
        <v>4</v>
      </c>
      <c r="B2451" s="5" t="n">
        <v>5</v>
      </c>
      <c r="C2451" s="5" t="s">
        <v>101</v>
      </c>
      <c r="D2451" s="5" t="s">
        <v>1206</v>
      </c>
      <c r="E2451" s="5" t="n">
        <v>1</v>
      </c>
      <c r="F2451" s="6" t="n">
        <f aca="false">IFERROR(MATCH(A2451&amp;"|"&amp;B2451&amp;"|"&amp;D2451,'All Song Rankings'!$T:$T,0),0)</f>
        <v>374</v>
      </c>
      <c r="G2451" s="6" t="str">
        <f aca="false">IF(F2451=0,"NOT FOUND",INDEX('All Song Rankings'!$A:$A,F2451))</f>
        <v>Say It Ain't So - The Kitchen Tape Demo - August 1, 1992</v>
      </c>
      <c r="H2451" s="6" t="str">
        <f aca="false">IF(F2451=0,"NOT FOUND",INDEX('All Song Rankings'!$B:$B,F2451))</f>
        <v>Weezer</v>
      </c>
      <c r="I2451" s="6" t="str">
        <f aca="false">IF(F2451=0,"NOT FOUND",INDEX('All Song Rankings'!$D:$D,F2451))</f>
        <v>Nicole</v>
      </c>
      <c r="J2451" s="7" t="str">
        <f aca="false">IF(F2451=0,"NOT FOUND",IF(C2451=I2451,"SELF-VOTE",IF(COUNTIF($K:$K,K2451)&gt;1,"DUPLICATE","OK")))</f>
        <v>OK</v>
      </c>
      <c r="K2451" s="6" t="str">
        <f aca="false">A2451&amp;"|"&amp;B2451&amp;"|"&amp;C2451&amp;"|"&amp;D2451</f>
        <v>4|5|Merita|spotify:track:0OslHiqg2d7lIcb4mzFkyA</v>
      </c>
    </row>
    <row r="2452" customFormat="false" ht="15" hidden="false" customHeight="false" outlineLevel="0" collapsed="false">
      <c r="A2452" s="5" t="n">
        <v>4</v>
      </c>
      <c r="B2452" s="5" t="n">
        <v>5</v>
      </c>
      <c r="C2452" s="5" t="s">
        <v>101</v>
      </c>
      <c r="D2452" s="5" t="s">
        <v>1218</v>
      </c>
      <c r="E2452" s="5" t="n">
        <v>1</v>
      </c>
      <c r="F2452" s="6" t="n">
        <f aca="false">IFERROR(MATCH(A2452&amp;"|"&amp;B2452&amp;"|"&amp;D2452,'All Song Rankings'!$T:$T,0),0)</f>
        <v>379</v>
      </c>
      <c r="G2452" s="6" t="str">
        <f aca="false">IF(F2452=0,"NOT FOUND",INDEX('All Song Rankings'!$A:$A,F2452))</f>
        <v>Learning To Fly</v>
      </c>
      <c r="H2452" s="6" t="str">
        <f aca="false">IF(F2452=0,"NOT FOUND",INDEX('All Song Rankings'!$B:$B,F2452))</f>
        <v>Tom Petty</v>
      </c>
      <c r="I2452" s="6" t="str">
        <f aca="false">IF(F2452=0,"NOT FOUND",INDEX('All Song Rankings'!$D:$D,F2452))</f>
        <v>Colleen</v>
      </c>
      <c r="J2452" s="7" t="str">
        <f aca="false">IF(F2452=0,"NOT FOUND",IF(C2452=I2452,"SELF-VOTE",IF(COUNTIF($K:$K,K2452)&gt;1,"DUPLICATE","OK")))</f>
        <v>OK</v>
      </c>
      <c r="K2452" s="6" t="str">
        <f aca="false">A2452&amp;"|"&amp;B2452&amp;"|"&amp;C2452&amp;"|"&amp;D2452</f>
        <v>4|5|Merita|spotify:track:17S4XrLvF5jlGvGCJHgF51</v>
      </c>
    </row>
    <row r="2453" customFormat="false" ht="15" hidden="false" customHeight="false" outlineLevel="0" collapsed="false">
      <c r="A2453" s="5" t="n">
        <v>4</v>
      </c>
      <c r="B2453" s="5" t="n">
        <v>5</v>
      </c>
      <c r="C2453" s="5" t="s">
        <v>101</v>
      </c>
      <c r="D2453" s="5" t="s">
        <v>1192</v>
      </c>
      <c r="E2453" s="5" t="n">
        <v>1</v>
      </c>
      <c r="F2453" s="6" t="n">
        <f aca="false">IFERROR(MATCH(A2453&amp;"|"&amp;B2453&amp;"|"&amp;D2453,'All Song Rankings'!$T:$T,0),0)</f>
        <v>369</v>
      </c>
      <c r="G2453" s="6" t="str">
        <f aca="false">IF(F2453=0,"NOT FOUND",INDEX('All Song Rankings'!$A:$A,F2453))</f>
        <v>Ghostbusters</v>
      </c>
      <c r="H2453" s="6" t="str">
        <f aca="false">IF(F2453=0,"NOT FOUND",INDEX('All Song Rankings'!$B:$B,F2453))</f>
        <v>Ray Parker Jr.</v>
      </c>
      <c r="I2453" s="6" t="str">
        <f aca="false">IF(F2453=0,"NOT FOUND",INDEX('All Song Rankings'!$D:$D,F2453))</f>
        <v>Stephanie</v>
      </c>
      <c r="J2453" s="7" t="str">
        <f aca="false">IF(F2453=0,"NOT FOUND",IF(C2453=I2453,"SELF-VOTE",IF(COUNTIF($K:$K,K2453)&gt;1,"DUPLICATE","OK")))</f>
        <v>OK</v>
      </c>
      <c r="K2453" s="6" t="str">
        <f aca="false">A2453&amp;"|"&amp;B2453&amp;"|"&amp;C2453&amp;"|"&amp;D2453</f>
        <v>4|5|Merita|spotify:track:3m0y8qLoznUYi73SUBP8GI</v>
      </c>
    </row>
    <row r="2454" customFormat="false" ht="15" hidden="false" customHeight="false" outlineLevel="0" collapsed="false">
      <c r="A2454" s="5" t="n">
        <v>4</v>
      </c>
      <c r="B2454" s="5" t="n">
        <v>5</v>
      </c>
      <c r="C2454" s="5" t="s">
        <v>101</v>
      </c>
      <c r="D2454" s="5" t="s">
        <v>1189</v>
      </c>
      <c r="E2454" s="5" t="n">
        <v>2</v>
      </c>
      <c r="F2454" s="6" t="n">
        <f aca="false">IFERROR(MATCH(A2454&amp;"|"&amp;B2454&amp;"|"&amp;D2454,'All Song Rankings'!$T:$T,0),0)</f>
        <v>368</v>
      </c>
      <c r="G2454" s="6" t="str">
        <f aca="false">IF(F2454=0,"NOT FOUND",INDEX('All Song Rankings'!$A:$A,F2454))</f>
        <v>That Thing You Do!</v>
      </c>
      <c r="H2454" s="6" t="str">
        <f aca="false">IF(F2454=0,"NOT FOUND",INDEX('All Song Rankings'!$B:$B,F2454))</f>
        <v>The Wonders</v>
      </c>
      <c r="I2454" s="6" t="str">
        <f aca="false">IF(F2454=0,"NOT FOUND",INDEX('All Song Rankings'!$D:$D,F2454))</f>
        <v>Logan</v>
      </c>
      <c r="J2454" s="7" t="str">
        <f aca="false">IF(F2454=0,"NOT FOUND",IF(C2454=I2454,"SELF-VOTE",IF(COUNTIF($K:$K,K2454)&gt;1,"DUPLICATE","OK")))</f>
        <v>OK</v>
      </c>
      <c r="K2454" s="6" t="str">
        <f aca="false">A2454&amp;"|"&amp;B2454&amp;"|"&amp;C2454&amp;"|"&amp;D2454</f>
        <v>4|5|Merita|spotify:track:4O6ZaZrRCFfiZZKjnrXqlk</v>
      </c>
    </row>
    <row r="2455" customFormat="false" ht="15" hidden="false" customHeight="false" outlineLevel="0" collapsed="false">
      <c r="A2455" s="5" t="n">
        <v>4</v>
      </c>
      <c r="B2455" s="5" t="n">
        <v>5</v>
      </c>
      <c r="C2455" s="5" t="s">
        <v>101</v>
      </c>
      <c r="D2455" s="5" t="s">
        <v>1216</v>
      </c>
      <c r="E2455" s="5" t="n">
        <v>1</v>
      </c>
      <c r="F2455" s="6" t="n">
        <f aca="false">IFERROR(MATCH(A2455&amp;"|"&amp;B2455&amp;"|"&amp;D2455,'All Song Rankings'!$T:$T,0),0)</f>
        <v>378</v>
      </c>
      <c r="G2455" s="6" t="str">
        <f aca="false">IF(F2455=0,"NOT FOUND",INDEX('All Song Rankings'!$A:$A,F2455))</f>
        <v>(Everything I Do) I Do It For You</v>
      </c>
      <c r="H2455" s="6" t="str">
        <f aca="false">IF(F2455=0,"NOT FOUND",INDEX('All Song Rankings'!$B:$B,F2455))</f>
        <v>Bryan Adams</v>
      </c>
      <c r="I2455" s="6" t="str">
        <f aca="false">IF(F2455=0,"NOT FOUND",INDEX('All Song Rankings'!$D:$D,F2455))</f>
        <v>Scott</v>
      </c>
      <c r="J2455" s="7" t="str">
        <f aca="false">IF(F2455=0,"NOT FOUND",IF(C2455=I2455,"SELF-VOTE",IF(COUNTIF($K:$K,K2455)&gt;1,"DUPLICATE","OK")))</f>
        <v>OK</v>
      </c>
      <c r="K2455" s="6" t="str">
        <f aca="false">A2455&amp;"|"&amp;B2455&amp;"|"&amp;C2455&amp;"|"&amp;D2455</f>
        <v>4|5|Merita|spotify:track:5HQ6AUDMbMuwktvcNPuV1y</v>
      </c>
    </row>
    <row r="2456" customFormat="false" ht="15" hidden="false" customHeight="false" outlineLevel="0" collapsed="false">
      <c r="A2456" s="5" t="n">
        <v>4</v>
      </c>
      <c r="B2456" s="5" t="n">
        <v>5</v>
      </c>
      <c r="C2456" s="5" t="s">
        <v>101</v>
      </c>
      <c r="D2456" s="5" t="s">
        <v>1203</v>
      </c>
      <c r="E2456" s="5" t="n">
        <v>1</v>
      </c>
      <c r="F2456" s="6" t="n">
        <f aca="false">IFERROR(MATCH(A2456&amp;"|"&amp;B2456&amp;"|"&amp;D2456,'All Song Rankings'!$T:$T,0),0)</f>
        <v>373</v>
      </c>
      <c r="G2456" s="6" t="str">
        <f aca="false">IF(F2456=0,"NOT FOUND",INDEX('All Song Rankings'!$A:$A,F2456))</f>
        <v>Hero</v>
      </c>
      <c r="H2456" s="6" t="str">
        <f aca="false">IF(F2456=0,"NOT FOUND",INDEX('All Song Rankings'!$B:$B,F2456))</f>
        <v>Mariah Carey</v>
      </c>
      <c r="I2456" s="6" t="str">
        <f aca="false">IF(F2456=0,"NOT FOUND",INDEX('All Song Rankings'!$D:$D,F2456))</f>
        <v>Kelsey</v>
      </c>
      <c r="J2456" s="7" t="str">
        <f aca="false">IF(F2456=0,"NOT FOUND",IF(C2456=I2456,"SELF-VOTE",IF(COUNTIF($K:$K,K2456)&gt;1,"DUPLICATE","OK")))</f>
        <v>OK</v>
      </c>
      <c r="K2456" s="6" t="str">
        <f aca="false">A2456&amp;"|"&amp;B2456&amp;"|"&amp;C2456&amp;"|"&amp;D2456</f>
        <v>4|5|Merita|spotify:track:5mgCMlxQW7fmHbrdJuowbB</v>
      </c>
    </row>
    <row r="2457" customFormat="false" ht="15" hidden="false" customHeight="false" outlineLevel="0" collapsed="false">
      <c r="A2457" s="5" t="n">
        <v>4</v>
      </c>
      <c r="B2457" s="5" t="n">
        <v>5</v>
      </c>
      <c r="C2457" s="5" t="s">
        <v>101</v>
      </c>
      <c r="D2457" s="5" t="s">
        <v>1213</v>
      </c>
      <c r="E2457" s="5" t="n">
        <v>2</v>
      </c>
      <c r="F2457" s="6" t="n">
        <f aca="false">IFERROR(MATCH(A2457&amp;"|"&amp;B2457&amp;"|"&amp;D2457,'All Song Rankings'!$T:$T,0),0)</f>
        <v>377</v>
      </c>
      <c r="G2457" s="6" t="str">
        <f aca="false">IF(F2457=0,"NOT FOUND",INDEX('All Song Rankings'!$A:$A,F2457))</f>
        <v>Someday</v>
      </c>
      <c r="H2457" s="6" t="str">
        <f aca="false">IF(F2457=0,"NOT FOUND",INDEX('All Song Rankings'!$B:$B,F2457))</f>
        <v>Mariah Carey</v>
      </c>
      <c r="I2457" s="6" t="str">
        <f aca="false">IF(F2457=0,"NOT FOUND",INDEX('All Song Rankings'!$D:$D,F2457))</f>
        <v>Grace</v>
      </c>
      <c r="J2457" s="7" t="str">
        <f aca="false">IF(F2457=0,"NOT FOUND",IF(C2457=I2457,"SELF-VOTE",IF(COUNTIF($K:$K,K2457)&gt;1,"DUPLICATE","OK")))</f>
        <v>OK</v>
      </c>
      <c r="K2457" s="6" t="str">
        <f aca="false">A2457&amp;"|"&amp;B2457&amp;"|"&amp;C2457&amp;"|"&amp;D2457</f>
        <v>4|5|Merita|spotify:track:6TSM5vkz0WzyZsNAKKYDcw</v>
      </c>
    </row>
    <row r="2458" customFormat="false" ht="15" hidden="false" customHeight="false" outlineLevel="0" collapsed="false">
      <c r="A2458" s="5" t="n">
        <v>4</v>
      </c>
      <c r="B2458" s="5" t="n">
        <v>5</v>
      </c>
      <c r="C2458" s="5" t="s">
        <v>101</v>
      </c>
      <c r="D2458" s="5" t="s">
        <v>1209</v>
      </c>
      <c r="E2458" s="5" t="n">
        <v>1</v>
      </c>
      <c r="F2458" s="6" t="n">
        <f aca="false">IFERROR(MATCH(A2458&amp;"|"&amp;B2458&amp;"|"&amp;D2458,'All Song Rankings'!$T:$T,0),0)</f>
        <v>375</v>
      </c>
      <c r="G2458" s="6" t="str">
        <f aca="false">IF(F2458=0,"NOT FOUND",INDEX('All Song Rankings'!$A:$A,F2458))</f>
        <v>Word Up</v>
      </c>
      <c r="H2458" s="6" t="str">
        <f aca="false">IF(F2458=0,"NOT FOUND",INDEX('All Song Rankings'!$B:$B,F2458))</f>
        <v>Cameo</v>
      </c>
      <c r="I2458" s="6" t="str">
        <f aca="false">IF(F2458=0,"NOT FOUND",INDEX('All Song Rankings'!$D:$D,F2458))</f>
        <v>Kristen</v>
      </c>
      <c r="J2458" s="7" t="str">
        <f aca="false">IF(F2458=0,"NOT FOUND",IF(C2458=I2458,"SELF-VOTE",IF(COUNTIF($K:$K,K2458)&gt;1,"DUPLICATE","OK")))</f>
        <v>OK</v>
      </c>
      <c r="K2458" s="6" t="str">
        <f aca="false">A2458&amp;"|"&amp;B2458&amp;"|"&amp;C2458&amp;"|"&amp;D2458</f>
        <v>4|5|Merita|spotify:track:7LoGfKBAaOl0nxhodJ1240</v>
      </c>
    </row>
    <row r="2459" customFormat="false" ht="15" hidden="false" customHeight="false" outlineLevel="0" collapsed="false">
      <c r="A2459" s="5" t="n">
        <v>4</v>
      </c>
      <c r="B2459" s="5" t="n">
        <v>5</v>
      </c>
      <c r="C2459" s="5" t="s">
        <v>92</v>
      </c>
      <c r="D2459" s="5" t="s">
        <v>1218</v>
      </c>
      <c r="E2459" s="5" t="n">
        <v>1</v>
      </c>
      <c r="F2459" s="6" t="n">
        <f aca="false">IFERROR(MATCH(A2459&amp;"|"&amp;B2459&amp;"|"&amp;D2459,'All Song Rankings'!$T:$T,0),0)</f>
        <v>379</v>
      </c>
      <c r="G2459" s="6" t="str">
        <f aca="false">IF(F2459=0,"NOT FOUND",INDEX('All Song Rankings'!$A:$A,F2459))</f>
        <v>Learning To Fly</v>
      </c>
      <c r="H2459" s="6" t="str">
        <f aca="false">IF(F2459=0,"NOT FOUND",INDEX('All Song Rankings'!$B:$B,F2459))</f>
        <v>Tom Petty</v>
      </c>
      <c r="I2459" s="6" t="str">
        <f aca="false">IF(F2459=0,"NOT FOUND",INDEX('All Song Rankings'!$D:$D,F2459))</f>
        <v>Colleen</v>
      </c>
      <c r="J2459" s="7" t="str">
        <f aca="false">IF(F2459=0,"NOT FOUND",IF(C2459=I2459,"SELF-VOTE",IF(COUNTIF($K:$K,K2459)&gt;1,"DUPLICATE","OK")))</f>
        <v>OK</v>
      </c>
      <c r="K2459" s="6" t="str">
        <f aca="false">A2459&amp;"|"&amp;B2459&amp;"|"&amp;C2459&amp;"|"&amp;D2459</f>
        <v>4|5|Nicole|spotify:track:17S4XrLvF5jlGvGCJHgF51</v>
      </c>
    </row>
    <row r="2460" customFormat="false" ht="15" hidden="false" customHeight="false" outlineLevel="0" collapsed="false">
      <c r="A2460" s="5" t="n">
        <v>4</v>
      </c>
      <c r="B2460" s="5" t="n">
        <v>5</v>
      </c>
      <c r="C2460" s="5" t="s">
        <v>92</v>
      </c>
      <c r="D2460" s="5" t="s">
        <v>1192</v>
      </c>
      <c r="E2460" s="5" t="n">
        <v>1</v>
      </c>
      <c r="F2460" s="6" t="n">
        <f aca="false">IFERROR(MATCH(A2460&amp;"|"&amp;B2460&amp;"|"&amp;D2460,'All Song Rankings'!$T:$T,0),0)</f>
        <v>369</v>
      </c>
      <c r="G2460" s="6" t="str">
        <f aca="false">IF(F2460=0,"NOT FOUND",INDEX('All Song Rankings'!$A:$A,F2460))</f>
        <v>Ghostbusters</v>
      </c>
      <c r="H2460" s="6" t="str">
        <f aca="false">IF(F2460=0,"NOT FOUND",INDEX('All Song Rankings'!$B:$B,F2460))</f>
        <v>Ray Parker Jr.</v>
      </c>
      <c r="I2460" s="6" t="str">
        <f aca="false">IF(F2460=0,"NOT FOUND",INDEX('All Song Rankings'!$D:$D,F2460))</f>
        <v>Stephanie</v>
      </c>
      <c r="J2460" s="7" t="str">
        <f aca="false">IF(F2460=0,"NOT FOUND",IF(C2460=I2460,"SELF-VOTE",IF(COUNTIF($K:$K,K2460)&gt;1,"DUPLICATE","OK")))</f>
        <v>OK</v>
      </c>
      <c r="K2460" s="6" t="str">
        <f aca="false">A2460&amp;"|"&amp;B2460&amp;"|"&amp;C2460&amp;"|"&amp;D2460</f>
        <v>4|5|Nicole|spotify:track:3m0y8qLoznUYi73SUBP8GI</v>
      </c>
    </row>
    <row r="2461" customFormat="false" ht="15" hidden="false" customHeight="false" outlineLevel="0" collapsed="false">
      <c r="A2461" s="5" t="n">
        <v>4</v>
      </c>
      <c r="B2461" s="5" t="n">
        <v>5</v>
      </c>
      <c r="C2461" s="5" t="s">
        <v>92</v>
      </c>
      <c r="D2461" s="5" t="s">
        <v>1195</v>
      </c>
      <c r="E2461" s="5" t="n">
        <v>1</v>
      </c>
      <c r="F2461" s="6" t="n">
        <f aca="false">IFERROR(MATCH(A2461&amp;"|"&amp;B2461&amp;"|"&amp;D2461,'All Song Rankings'!$T:$T,0),0)</f>
        <v>370</v>
      </c>
      <c r="G2461" s="6" t="str">
        <f aca="false">IF(F2461=0,"NOT FOUND",INDEX('All Song Rankings'!$A:$A,F2461))</f>
        <v>This Is Halloween</v>
      </c>
      <c r="H2461" s="6" t="str">
        <f aca="false">IF(F2461=0,"NOT FOUND",INDEX('All Song Rankings'!$B:$B,F2461))</f>
        <v>The Citizens of Halloween</v>
      </c>
      <c r="I2461" s="6" t="str">
        <f aca="false">IF(F2461=0,"NOT FOUND",INDEX('All Song Rankings'!$D:$D,F2461))</f>
        <v>Makenzie</v>
      </c>
      <c r="J2461" s="7" t="str">
        <f aca="false">IF(F2461=0,"NOT FOUND",IF(C2461=I2461,"SELF-VOTE",IF(COUNTIF($K:$K,K2461)&gt;1,"DUPLICATE","OK")))</f>
        <v>OK</v>
      </c>
      <c r="K2461" s="6" t="str">
        <f aca="false">A2461&amp;"|"&amp;B2461&amp;"|"&amp;C2461&amp;"|"&amp;D2461</f>
        <v>4|5|Nicole|spotify:track:3mhsDyQpX2L8sJMdWUHOi3</v>
      </c>
    </row>
    <row r="2462" customFormat="false" ht="15" hidden="false" customHeight="false" outlineLevel="0" collapsed="false">
      <c r="A2462" s="5" t="n">
        <v>4</v>
      </c>
      <c r="B2462" s="5" t="n">
        <v>5</v>
      </c>
      <c r="C2462" s="5" t="s">
        <v>92</v>
      </c>
      <c r="D2462" s="5" t="s">
        <v>1184</v>
      </c>
      <c r="E2462" s="5" t="n">
        <v>3</v>
      </c>
      <c r="F2462" s="6" t="n">
        <f aca="false">IFERROR(MATCH(A2462&amp;"|"&amp;B2462&amp;"|"&amp;D2462,'All Song Rankings'!$T:$T,0),0)</f>
        <v>366</v>
      </c>
      <c r="G2462" s="6" t="str">
        <f aca="false">IF(F2462=0,"NOT FOUND",INDEX('All Song Rankings'!$A:$A,F2462))</f>
        <v>I Want To Hold Your Hand</v>
      </c>
      <c r="H2462" s="6" t="str">
        <f aca="false">IF(F2462=0,"NOT FOUND",INDEX('All Song Rankings'!$B:$B,F2462))</f>
        <v>The Beatles</v>
      </c>
      <c r="I2462" s="6" t="str">
        <f aca="false">IF(F2462=0,"NOT FOUND",INDEX('All Song Rankings'!$D:$D,F2462))</f>
        <v>Lisa</v>
      </c>
      <c r="J2462" s="7" t="str">
        <f aca="false">IF(F2462=0,"NOT FOUND",IF(C2462=I2462,"SELF-VOTE",IF(COUNTIF($K:$K,K2462)&gt;1,"DUPLICATE","OK")))</f>
        <v>OK</v>
      </c>
      <c r="K2462" s="6" t="str">
        <f aca="false">A2462&amp;"|"&amp;B2462&amp;"|"&amp;C2462&amp;"|"&amp;D2462</f>
        <v>4|5|Nicole|spotify:track:5J3Mf6dyqeGy67yuQ7ql9B</v>
      </c>
    </row>
    <row r="2463" customFormat="false" ht="15" hidden="false" customHeight="false" outlineLevel="0" collapsed="false">
      <c r="A2463" s="5" t="n">
        <v>4</v>
      </c>
      <c r="B2463" s="5" t="n">
        <v>5</v>
      </c>
      <c r="C2463" s="5" t="s">
        <v>92</v>
      </c>
      <c r="D2463" s="5" t="s">
        <v>1198</v>
      </c>
      <c r="E2463" s="5" t="n">
        <v>1</v>
      </c>
      <c r="F2463" s="6" t="n">
        <f aca="false">IFERROR(MATCH(A2463&amp;"|"&amp;B2463&amp;"|"&amp;D2463,'All Song Rankings'!$T:$T,0),0)</f>
        <v>371</v>
      </c>
      <c r="G2463" s="6" t="str">
        <f aca="false">IF(F2463=0,"NOT FOUND",INDEX('All Song Rankings'!$A:$A,F2463))</f>
        <v>London Calling - Remastered</v>
      </c>
      <c r="H2463" s="6" t="str">
        <f aca="false">IF(F2463=0,"NOT FOUND",INDEX('All Song Rankings'!$B:$B,F2463))</f>
        <v>The Clash</v>
      </c>
      <c r="I2463" s="6" t="str">
        <f aca="false">IF(F2463=0,"NOT FOUND",INDEX('All Song Rankings'!$D:$D,F2463))</f>
        <v>Matt</v>
      </c>
      <c r="J2463" s="7" t="str">
        <f aca="false">IF(F2463=0,"NOT FOUND",IF(C2463=I2463,"SELF-VOTE",IF(COUNTIF($K:$K,K2463)&gt;1,"DUPLICATE","OK")))</f>
        <v>OK</v>
      </c>
      <c r="K2463" s="6" t="str">
        <f aca="false">A2463&amp;"|"&amp;B2463&amp;"|"&amp;C2463&amp;"|"&amp;D2463</f>
        <v>4|5|Nicole|spotify:track:5jzma6gCzYtKB1DbEwFZKH</v>
      </c>
    </row>
    <row r="2464" customFormat="false" ht="15" hidden="false" customHeight="false" outlineLevel="0" collapsed="false">
      <c r="A2464" s="5" t="n">
        <v>4</v>
      </c>
      <c r="B2464" s="5" t="n">
        <v>5</v>
      </c>
      <c r="C2464" s="5" t="s">
        <v>92</v>
      </c>
      <c r="D2464" s="5" t="s">
        <v>1186</v>
      </c>
      <c r="E2464" s="5" t="n">
        <v>1</v>
      </c>
      <c r="F2464" s="6" t="n">
        <f aca="false">IFERROR(MATCH(A2464&amp;"|"&amp;B2464&amp;"|"&amp;D2464,'All Song Rankings'!$T:$T,0),0)</f>
        <v>367</v>
      </c>
      <c r="G2464" s="6" t="str">
        <f aca="false">IF(F2464=0,"NOT FOUND",INDEX('All Song Rankings'!$A:$A,F2464))</f>
        <v>Suspicious Minds</v>
      </c>
      <c r="H2464" s="6" t="str">
        <f aca="false">IF(F2464=0,"NOT FOUND",INDEX('All Song Rankings'!$B:$B,F2464))</f>
        <v>Elvis Presley</v>
      </c>
      <c r="I2464" s="6" t="str">
        <f aca="false">IF(F2464=0,"NOT FOUND",INDEX('All Song Rankings'!$D:$D,F2464))</f>
        <v>Christine</v>
      </c>
      <c r="J2464" s="7" t="str">
        <f aca="false">IF(F2464=0,"NOT FOUND",IF(C2464=I2464,"SELF-VOTE",IF(COUNTIF($K:$K,K2464)&gt;1,"DUPLICATE","OK")))</f>
        <v>OK</v>
      </c>
      <c r="K2464" s="6" t="str">
        <f aca="false">A2464&amp;"|"&amp;B2464&amp;"|"&amp;C2464&amp;"|"&amp;D2464</f>
        <v>4|5|Nicole|spotify:track:6KDG8vvFerlCU63IXdw1zb</v>
      </c>
    </row>
    <row r="2465" customFormat="false" ht="15" hidden="false" customHeight="false" outlineLevel="0" collapsed="false">
      <c r="A2465" s="5" t="n">
        <v>4</v>
      </c>
      <c r="B2465" s="5" t="n">
        <v>5</v>
      </c>
      <c r="C2465" s="5" t="s">
        <v>92</v>
      </c>
      <c r="D2465" s="5" t="s">
        <v>1201</v>
      </c>
      <c r="E2465" s="5" t="n">
        <v>1</v>
      </c>
      <c r="F2465" s="6" t="n">
        <f aca="false">IFERROR(MATCH(A2465&amp;"|"&amp;B2465&amp;"|"&amp;D2465,'All Song Rankings'!$T:$T,0),0)</f>
        <v>372</v>
      </c>
      <c r="G2465" s="6" t="str">
        <f aca="false">IF(F2465=0,"NOT FOUND",INDEX('All Song Rankings'!$A:$A,F2465))</f>
        <v>Hero (feat. Josey Scott)</v>
      </c>
      <c r="H2465" s="6" t="str">
        <f aca="false">IF(F2465=0,"NOT FOUND",INDEX('All Song Rankings'!$B:$B,F2465))</f>
        <v>Chad Kroeger, Josey Scott</v>
      </c>
      <c r="I2465" s="6" t="str">
        <f aca="false">IF(F2465=0,"NOT FOUND",INDEX('All Song Rankings'!$D:$D,F2465))</f>
        <v>Merita</v>
      </c>
      <c r="J2465" s="7" t="str">
        <f aca="false">IF(F2465=0,"NOT FOUND",IF(C2465=I2465,"SELF-VOTE",IF(COUNTIF($K:$K,K2465)&gt;1,"DUPLICATE","OK")))</f>
        <v>OK</v>
      </c>
      <c r="K2465" s="6" t="str">
        <f aca="false">A2465&amp;"|"&amp;B2465&amp;"|"&amp;C2465&amp;"|"&amp;D2465</f>
        <v>4|5|Nicole|spotify:track:779ooI3rBd0CLqCiiJmtVo</v>
      </c>
    </row>
    <row r="2466" customFormat="false" ht="15" hidden="false" customHeight="false" outlineLevel="0" collapsed="false">
      <c r="A2466" s="5" t="n">
        <v>4</v>
      </c>
      <c r="B2466" s="5" t="n">
        <v>5</v>
      </c>
      <c r="C2466" s="5" t="s">
        <v>92</v>
      </c>
      <c r="D2466" s="5" t="s">
        <v>1209</v>
      </c>
      <c r="E2466" s="5" t="n">
        <v>1</v>
      </c>
      <c r="F2466" s="6" t="n">
        <f aca="false">IFERROR(MATCH(A2466&amp;"|"&amp;B2466&amp;"|"&amp;D2466,'All Song Rankings'!$T:$T,0),0)</f>
        <v>375</v>
      </c>
      <c r="G2466" s="6" t="str">
        <f aca="false">IF(F2466=0,"NOT FOUND",INDEX('All Song Rankings'!$A:$A,F2466))</f>
        <v>Word Up</v>
      </c>
      <c r="H2466" s="6" t="str">
        <f aca="false">IF(F2466=0,"NOT FOUND",INDEX('All Song Rankings'!$B:$B,F2466))</f>
        <v>Cameo</v>
      </c>
      <c r="I2466" s="6" t="str">
        <f aca="false">IF(F2466=0,"NOT FOUND",INDEX('All Song Rankings'!$D:$D,F2466))</f>
        <v>Kristen</v>
      </c>
      <c r="J2466" s="7" t="str">
        <f aca="false">IF(F2466=0,"NOT FOUND",IF(C2466=I2466,"SELF-VOTE",IF(COUNTIF($K:$K,K2466)&gt;1,"DUPLICATE","OK")))</f>
        <v>OK</v>
      </c>
      <c r="K2466" s="6" t="str">
        <f aca="false">A2466&amp;"|"&amp;B2466&amp;"|"&amp;C2466&amp;"|"&amp;D2466</f>
        <v>4|5|Nicole|spotify:track:7LoGfKBAaOl0nxhodJ1240</v>
      </c>
    </row>
    <row r="2467" customFormat="false" ht="15" hidden="false" customHeight="false" outlineLevel="0" collapsed="false">
      <c r="A2467" s="5" t="n">
        <v>4</v>
      </c>
      <c r="B2467" s="5" t="n">
        <v>5</v>
      </c>
      <c r="C2467" s="5" t="s">
        <v>97</v>
      </c>
      <c r="D2467" s="5" t="s">
        <v>1218</v>
      </c>
      <c r="E2467" s="5" t="n">
        <v>1</v>
      </c>
      <c r="F2467" s="6" t="n">
        <f aca="false">IFERROR(MATCH(A2467&amp;"|"&amp;B2467&amp;"|"&amp;D2467,'All Song Rankings'!$T:$T,0),0)</f>
        <v>379</v>
      </c>
      <c r="G2467" s="6" t="str">
        <f aca="false">IF(F2467=0,"NOT FOUND",INDEX('All Song Rankings'!$A:$A,F2467))</f>
        <v>Learning To Fly</v>
      </c>
      <c r="H2467" s="6" t="str">
        <f aca="false">IF(F2467=0,"NOT FOUND",INDEX('All Song Rankings'!$B:$B,F2467))</f>
        <v>Tom Petty</v>
      </c>
      <c r="I2467" s="6" t="str">
        <f aca="false">IF(F2467=0,"NOT FOUND",INDEX('All Song Rankings'!$D:$D,F2467))</f>
        <v>Colleen</v>
      </c>
      <c r="J2467" s="7" t="str">
        <f aca="false">IF(F2467=0,"NOT FOUND",IF(C2467=I2467,"SELF-VOTE",IF(COUNTIF($K:$K,K2467)&gt;1,"DUPLICATE","OK")))</f>
        <v>OK</v>
      </c>
      <c r="K2467" s="6" t="str">
        <f aca="false">A2467&amp;"|"&amp;B2467&amp;"|"&amp;C2467&amp;"|"&amp;D2467</f>
        <v>4|5|Stephanie|spotify:track:17S4XrLvF5jlGvGCJHgF51</v>
      </c>
    </row>
    <row r="2468" customFormat="false" ht="15" hidden="false" customHeight="false" outlineLevel="0" collapsed="false">
      <c r="A2468" s="5" t="n">
        <v>4</v>
      </c>
      <c r="B2468" s="5" t="n">
        <v>5</v>
      </c>
      <c r="C2468" s="5" t="s">
        <v>97</v>
      </c>
      <c r="D2468" s="5" t="s">
        <v>1195</v>
      </c>
      <c r="E2468" s="5" t="n">
        <v>1</v>
      </c>
      <c r="F2468" s="6" t="n">
        <f aca="false">IFERROR(MATCH(A2468&amp;"|"&amp;B2468&amp;"|"&amp;D2468,'All Song Rankings'!$T:$T,0),0)</f>
        <v>370</v>
      </c>
      <c r="G2468" s="6" t="str">
        <f aca="false">IF(F2468=0,"NOT FOUND",INDEX('All Song Rankings'!$A:$A,F2468))</f>
        <v>This Is Halloween</v>
      </c>
      <c r="H2468" s="6" t="str">
        <f aca="false">IF(F2468=0,"NOT FOUND",INDEX('All Song Rankings'!$B:$B,F2468))</f>
        <v>The Citizens of Halloween</v>
      </c>
      <c r="I2468" s="6" t="str">
        <f aca="false">IF(F2468=0,"NOT FOUND",INDEX('All Song Rankings'!$D:$D,F2468))</f>
        <v>Makenzie</v>
      </c>
      <c r="J2468" s="7" t="str">
        <f aca="false">IF(F2468=0,"NOT FOUND",IF(C2468=I2468,"SELF-VOTE",IF(COUNTIF($K:$K,K2468)&gt;1,"DUPLICATE","OK")))</f>
        <v>OK</v>
      </c>
      <c r="K2468" s="6" t="str">
        <f aca="false">A2468&amp;"|"&amp;B2468&amp;"|"&amp;C2468&amp;"|"&amp;D2468</f>
        <v>4|5|Stephanie|spotify:track:3mhsDyQpX2L8sJMdWUHOi3</v>
      </c>
    </row>
    <row r="2469" customFormat="false" ht="15" hidden="false" customHeight="false" outlineLevel="0" collapsed="false">
      <c r="A2469" s="5" t="n">
        <v>4</v>
      </c>
      <c r="B2469" s="5" t="n">
        <v>5</v>
      </c>
      <c r="C2469" s="5" t="s">
        <v>97</v>
      </c>
      <c r="D2469" s="5" t="s">
        <v>1189</v>
      </c>
      <c r="E2469" s="5" t="n">
        <v>3</v>
      </c>
      <c r="F2469" s="6" t="n">
        <f aca="false">IFERROR(MATCH(A2469&amp;"|"&amp;B2469&amp;"|"&amp;D2469,'All Song Rankings'!$T:$T,0),0)</f>
        <v>368</v>
      </c>
      <c r="G2469" s="6" t="str">
        <f aca="false">IF(F2469=0,"NOT FOUND",INDEX('All Song Rankings'!$A:$A,F2469))</f>
        <v>That Thing You Do!</v>
      </c>
      <c r="H2469" s="6" t="str">
        <f aca="false">IF(F2469=0,"NOT FOUND",INDEX('All Song Rankings'!$B:$B,F2469))</f>
        <v>The Wonders</v>
      </c>
      <c r="I2469" s="6" t="str">
        <f aca="false">IF(F2469=0,"NOT FOUND",INDEX('All Song Rankings'!$D:$D,F2469))</f>
        <v>Logan</v>
      </c>
      <c r="J2469" s="7" t="str">
        <f aca="false">IF(F2469=0,"NOT FOUND",IF(C2469=I2469,"SELF-VOTE",IF(COUNTIF($K:$K,K2469)&gt;1,"DUPLICATE","OK")))</f>
        <v>OK</v>
      </c>
      <c r="K2469" s="6" t="str">
        <f aca="false">A2469&amp;"|"&amp;B2469&amp;"|"&amp;C2469&amp;"|"&amp;D2469</f>
        <v>4|5|Stephanie|spotify:track:4O6ZaZrRCFfiZZKjnrXqlk</v>
      </c>
    </row>
    <row r="2470" customFormat="false" ht="15" hidden="false" customHeight="false" outlineLevel="0" collapsed="false">
      <c r="A2470" s="5" t="n">
        <v>4</v>
      </c>
      <c r="B2470" s="5" t="n">
        <v>5</v>
      </c>
      <c r="C2470" s="5" t="s">
        <v>97</v>
      </c>
      <c r="D2470" s="5" t="s">
        <v>1216</v>
      </c>
      <c r="E2470" s="5" t="n">
        <v>2</v>
      </c>
      <c r="F2470" s="6" t="n">
        <f aca="false">IFERROR(MATCH(A2470&amp;"|"&amp;B2470&amp;"|"&amp;D2470,'All Song Rankings'!$T:$T,0),0)</f>
        <v>378</v>
      </c>
      <c r="G2470" s="6" t="str">
        <f aca="false">IF(F2470=0,"NOT FOUND",INDEX('All Song Rankings'!$A:$A,F2470))</f>
        <v>(Everything I Do) I Do It For You</v>
      </c>
      <c r="H2470" s="6" t="str">
        <f aca="false">IF(F2470=0,"NOT FOUND",INDEX('All Song Rankings'!$B:$B,F2470))</f>
        <v>Bryan Adams</v>
      </c>
      <c r="I2470" s="6" t="str">
        <f aca="false">IF(F2470=0,"NOT FOUND",INDEX('All Song Rankings'!$D:$D,F2470))</f>
        <v>Scott</v>
      </c>
      <c r="J2470" s="7" t="str">
        <f aca="false">IF(F2470=0,"NOT FOUND",IF(C2470=I2470,"SELF-VOTE",IF(COUNTIF($K:$K,K2470)&gt;1,"DUPLICATE","OK")))</f>
        <v>OK</v>
      </c>
      <c r="K2470" s="6" t="str">
        <f aca="false">A2470&amp;"|"&amp;B2470&amp;"|"&amp;C2470&amp;"|"&amp;D2470</f>
        <v>4|5|Stephanie|spotify:track:5HQ6AUDMbMuwktvcNPuV1y</v>
      </c>
    </row>
    <row r="2471" customFormat="false" ht="15" hidden="false" customHeight="false" outlineLevel="0" collapsed="false">
      <c r="A2471" s="5" t="n">
        <v>4</v>
      </c>
      <c r="B2471" s="5" t="n">
        <v>5</v>
      </c>
      <c r="C2471" s="5" t="s">
        <v>97</v>
      </c>
      <c r="D2471" s="5" t="s">
        <v>1184</v>
      </c>
      <c r="E2471" s="5" t="n">
        <v>1</v>
      </c>
      <c r="F2471" s="6" t="n">
        <f aca="false">IFERROR(MATCH(A2471&amp;"|"&amp;B2471&amp;"|"&amp;D2471,'All Song Rankings'!$T:$T,0),0)</f>
        <v>366</v>
      </c>
      <c r="G2471" s="6" t="str">
        <f aca="false">IF(F2471=0,"NOT FOUND",INDEX('All Song Rankings'!$A:$A,F2471))</f>
        <v>I Want To Hold Your Hand</v>
      </c>
      <c r="H2471" s="6" t="str">
        <f aca="false">IF(F2471=0,"NOT FOUND",INDEX('All Song Rankings'!$B:$B,F2471))</f>
        <v>The Beatles</v>
      </c>
      <c r="I2471" s="6" t="str">
        <f aca="false">IF(F2471=0,"NOT FOUND",INDEX('All Song Rankings'!$D:$D,F2471))</f>
        <v>Lisa</v>
      </c>
      <c r="J2471" s="7" t="str">
        <f aca="false">IF(F2471=0,"NOT FOUND",IF(C2471=I2471,"SELF-VOTE",IF(COUNTIF($K:$K,K2471)&gt;1,"DUPLICATE","OK")))</f>
        <v>OK</v>
      </c>
      <c r="K2471" s="6" t="str">
        <f aca="false">A2471&amp;"|"&amp;B2471&amp;"|"&amp;C2471&amp;"|"&amp;D2471</f>
        <v>4|5|Stephanie|spotify:track:5J3Mf6dyqeGy67yuQ7ql9B</v>
      </c>
    </row>
    <row r="2472" customFormat="false" ht="15" hidden="false" customHeight="false" outlineLevel="0" collapsed="false">
      <c r="A2472" s="5" t="n">
        <v>4</v>
      </c>
      <c r="B2472" s="5" t="n">
        <v>5</v>
      </c>
      <c r="C2472" s="5" t="s">
        <v>97</v>
      </c>
      <c r="D2472" s="5" t="s">
        <v>1203</v>
      </c>
      <c r="E2472" s="5" t="n">
        <v>2</v>
      </c>
      <c r="F2472" s="6" t="n">
        <f aca="false">IFERROR(MATCH(A2472&amp;"|"&amp;B2472&amp;"|"&amp;D2472,'All Song Rankings'!$T:$T,0),0)</f>
        <v>373</v>
      </c>
      <c r="G2472" s="6" t="str">
        <f aca="false">IF(F2472=0,"NOT FOUND",INDEX('All Song Rankings'!$A:$A,F2472))</f>
        <v>Hero</v>
      </c>
      <c r="H2472" s="6" t="str">
        <f aca="false">IF(F2472=0,"NOT FOUND",INDEX('All Song Rankings'!$B:$B,F2472))</f>
        <v>Mariah Carey</v>
      </c>
      <c r="I2472" s="6" t="str">
        <f aca="false">IF(F2472=0,"NOT FOUND",INDEX('All Song Rankings'!$D:$D,F2472))</f>
        <v>Kelsey</v>
      </c>
      <c r="J2472" s="7" t="str">
        <f aca="false">IF(F2472=0,"NOT FOUND",IF(C2472=I2472,"SELF-VOTE",IF(COUNTIF($K:$K,K2472)&gt;1,"DUPLICATE","OK")))</f>
        <v>OK</v>
      </c>
      <c r="K2472" s="6" t="str">
        <f aca="false">A2472&amp;"|"&amp;B2472&amp;"|"&amp;C2472&amp;"|"&amp;D2472</f>
        <v>4|5|Stephanie|spotify:track:5mgCMlxQW7fmHbrdJuowbB</v>
      </c>
    </row>
    <row r="2473" customFormat="false" ht="15" hidden="false" customHeight="false" outlineLevel="0" collapsed="false">
      <c r="A2473" s="5" t="n">
        <v>4</v>
      </c>
      <c r="B2473" s="5" t="n">
        <v>6</v>
      </c>
      <c r="C2473" s="5" t="s">
        <v>719</v>
      </c>
      <c r="D2473" s="5" t="s">
        <v>1233</v>
      </c>
      <c r="E2473" s="5" t="n">
        <v>2</v>
      </c>
      <c r="F2473" s="6" t="n">
        <f aca="false">IFERROR(MATCH(A2473&amp;"|"&amp;B2473&amp;"|"&amp;D2473,'All Song Rankings'!$T:$T,0),0)</f>
        <v>384</v>
      </c>
      <c r="G2473" s="6" t="str">
        <f aca="false">IF(F2473=0,"NOT FOUND",INDEX('All Song Rankings'!$A:$A,F2473))</f>
        <v>How You Remind Me</v>
      </c>
      <c r="H2473" s="6" t="str">
        <f aca="false">IF(F2473=0,"NOT FOUND",INDEX('All Song Rankings'!$B:$B,F2473))</f>
        <v>Nickelback</v>
      </c>
      <c r="I2473" s="6" t="str">
        <f aca="false">IF(F2473=0,"NOT FOUND",INDEX('All Song Rankings'!$D:$D,F2473))</f>
        <v>Colleen</v>
      </c>
      <c r="J2473" s="7" t="str">
        <f aca="false">IF(F2473=0,"NOT FOUND",IF(C2473=I2473,"SELF-VOTE",IF(COUNTIF($K:$K,K2473)&gt;1,"DUPLICATE","OK")))</f>
        <v>OK</v>
      </c>
      <c r="K2473" s="6" t="str">
        <f aca="false">A2473&amp;"|"&amp;B2473&amp;"|"&amp;C2473&amp;"|"&amp;D2473</f>
        <v>4|6|Christine|spotify:track:0gmbgwZ8iqyMPmXefof8Yf</v>
      </c>
    </row>
    <row r="2474" customFormat="false" ht="15" hidden="false" customHeight="false" outlineLevel="0" collapsed="false">
      <c r="A2474" s="5" t="n">
        <v>4</v>
      </c>
      <c r="B2474" s="5" t="n">
        <v>6</v>
      </c>
      <c r="C2474" s="5" t="s">
        <v>719</v>
      </c>
      <c r="D2474" s="5" t="s">
        <v>1227</v>
      </c>
      <c r="E2474" s="5" t="n">
        <v>2</v>
      </c>
      <c r="F2474" s="6" t="n">
        <f aca="false">IFERROR(MATCH(A2474&amp;"|"&amp;B2474&amp;"|"&amp;D2474,'All Song Rankings'!$T:$T,0),0)</f>
        <v>382</v>
      </c>
      <c r="G2474" s="6" t="str">
        <f aca="false">IF(F2474=0,"NOT FOUND",INDEX('All Song Rankings'!$A:$A,F2474))</f>
        <v>My Sacrifice</v>
      </c>
      <c r="H2474" s="6" t="str">
        <f aca="false">IF(F2474=0,"NOT FOUND",INDEX('All Song Rankings'!$B:$B,F2474))</f>
        <v>Creed</v>
      </c>
      <c r="I2474" s="6" t="str">
        <f aca="false">IF(F2474=0,"NOT FOUND",INDEX('All Song Rankings'!$D:$D,F2474))</f>
        <v>Logan</v>
      </c>
      <c r="J2474" s="7" t="str">
        <f aca="false">IF(F2474=0,"NOT FOUND",IF(C2474=I2474,"SELF-VOTE",IF(COUNTIF($K:$K,K2474)&gt;1,"DUPLICATE","OK")))</f>
        <v>OK</v>
      </c>
      <c r="K2474" s="6" t="str">
        <f aca="false">A2474&amp;"|"&amp;B2474&amp;"|"&amp;C2474&amp;"|"&amp;D2474</f>
        <v>4|6|Christine|spotify:track:2VSbEXqs6NbNiZSTcHlIDR</v>
      </c>
    </row>
    <row r="2475" customFormat="false" ht="15" hidden="false" customHeight="false" outlineLevel="0" collapsed="false">
      <c r="A2475" s="5" t="n">
        <v>4</v>
      </c>
      <c r="B2475" s="5" t="n">
        <v>6</v>
      </c>
      <c r="C2475" s="5" t="s">
        <v>719</v>
      </c>
      <c r="D2475" s="5" t="s">
        <v>1222</v>
      </c>
      <c r="E2475" s="5" t="n">
        <v>1</v>
      </c>
      <c r="F2475" s="6" t="n">
        <f aca="false">IFERROR(MATCH(A2475&amp;"|"&amp;B2475&amp;"|"&amp;D2475,'All Song Rankings'!$T:$T,0),0)</f>
        <v>380</v>
      </c>
      <c r="G2475" s="6" t="str">
        <f aca="false">IF(F2475=0,"NOT FOUND",INDEX('All Song Rankings'!$A:$A,F2475))</f>
        <v>Buy U a Drank (Shawty Snappin') (feat. Yung Joc)</v>
      </c>
      <c r="H2475" s="6" t="str">
        <f aca="false">IF(F2475=0,"NOT FOUND",INDEX('All Song Rankings'!$B:$B,F2475))</f>
        <v>T-Pain, Yung Joc</v>
      </c>
      <c r="I2475" s="6" t="str">
        <f aca="false">IF(F2475=0,"NOT FOUND",INDEX('All Song Rankings'!$D:$D,F2475))</f>
        <v>Grace</v>
      </c>
      <c r="J2475" s="7" t="str">
        <f aca="false">IF(F2475=0,"NOT FOUND",IF(C2475=I2475,"SELF-VOTE",IF(COUNTIF($K:$K,K2475)&gt;1,"DUPLICATE","OK")))</f>
        <v>OK</v>
      </c>
      <c r="K2475" s="6" t="str">
        <f aca="false">A2475&amp;"|"&amp;B2475&amp;"|"&amp;C2475&amp;"|"&amp;D2475</f>
        <v>4|6|Christine|spotify:track:2aIdVb8v9KTpEZnftkz2mD</v>
      </c>
    </row>
    <row r="2476" customFormat="false" ht="15" hidden="false" customHeight="false" outlineLevel="0" collapsed="false">
      <c r="A2476" s="5" t="n">
        <v>4</v>
      </c>
      <c r="B2476" s="5" t="n">
        <v>6</v>
      </c>
      <c r="C2476" s="5" t="s">
        <v>719</v>
      </c>
      <c r="D2476" s="5" t="s">
        <v>1236</v>
      </c>
      <c r="E2476" s="5" t="n">
        <v>2</v>
      </c>
      <c r="F2476" s="6" t="n">
        <f aca="false">IFERROR(MATCH(A2476&amp;"|"&amp;B2476&amp;"|"&amp;D2476,'All Song Rankings'!$T:$T,0),0)</f>
        <v>385</v>
      </c>
      <c r="G2476" s="6" t="str">
        <f aca="false">IF(F2476=0,"NOT FOUND",INDEX('All Song Rankings'!$A:$A,F2476))</f>
        <v>It Wasn't Me</v>
      </c>
      <c r="H2476" s="6" t="str">
        <f aca="false">IF(F2476=0,"NOT FOUND",INDEX('All Song Rankings'!$B:$B,F2476))</f>
        <v>Shaggy, Rik Rok</v>
      </c>
      <c r="I2476" s="6" t="str">
        <f aca="false">IF(F2476=0,"NOT FOUND",INDEX('All Song Rankings'!$D:$D,F2476))</f>
        <v>Kelsey</v>
      </c>
      <c r="J2476" s="7" t="str">
        <f aca="false">IF(F2476=0,"NOT FOUND",IF(C2476=I2476,"SELF-VOTE",IF(COUNTIF($K:$K,K2476)&gt;1,"DUPLICATE","OK")))</f>
        <v>OK</v>
      </c>
      <c r="K2476" s="6" t="str">
        <f aca="false">A2476&amp;"|"&amp;B2476&amp;"|"&amp;C2476&amp;"|"&amp;D2476</f>
        <v>4|6|Christine|spotify:track:3WkibOpDF7cQ5xntM1epyf</v>
      </c>
    </row>
    <row r="2477" customFormat="false" ht="15" hidden="false" customHeight="false" outlineLevel="0" collapsed="false">
      <c r="A2477" s="5" t="n">
        <v>4</v>
      </c>
      <c r="B2477" s="5" t="n">
        <v>6</v>
      </c>
      <c r="C2477" s="5" t="s">
        <v>719</v>
      </c>
      <c r="D2477" s="5" t="s">
        <v>1242</v>
      </c>
      <c r="E2477" s="5" t="n">
        <v>2</v>
      </c>
      <c r="F2477" s="6" t="n">
        <f aca="false">IFERROR(MATCH(A2477&amp;"|"&amp;B2477&amp;"|"&amp;D2477,'All Song Rankings'!$T:$T,0),0)</f>
        <v>387</v>
      </c>
      <c r="G2477" s="6" t="str">
        <f aca="false">IF(F2477=0,"NOT FOUND",INDEX('All Song Rankings'!$A:$A,F2477))</f>
        <v>Never Say Never</v>
      </c>
      <c r="H2477" s="6" t="str">
        <f aca="false">IF(F2477=0,"NOT FOUND",INDEX('All Song Rankings'!$B:$B,F2477))</f>
        <v>Justin Bieber, Jaden</v>
      </c>
      <c r="I2477" s="6" t="str">
        <f aca="false">IF(F2477=0,"NOT FOUND",INDEX('All Song Rankings'!$D:$D,F2477))</f>
        <v>Nicole</v>
      </c>
      <c r="J2477" s="7" t="str">
        <f aca="false">IF(F2477=0,"NOT FOUND",IF(C2477=I2477,"SELF-VOTE",IF(COUNTIF($K:$K,K2477)&gt;1,"DUPLICATE","OK")))</f>
        <v>OK</v>
      </c>
      <c r="K2477" s="6" t="str">
        <f aca="false">A2477&amp;"|"&amp;B2477&amp;"|"&amp;C2477&amp;"|"&amp;D2477</f>
        <v>4|6|Christine|spotify:track:5GYbkDveRD2I8M5ZJ14hWn</v>
      </c>
    </row>
    <row r="2478" customFormat="false" ht="15" hidden="false" customHeight="false" outlineLevel="0" collapsed="false">
      <c r="A2478" s="5" t="n">
        <v>4</v>
      </c>
      <c r="B2478" s="5" t="n">
        <v>6</v>
      </c>
      <c r="C2478" s="5" t="s">
        <v>719</v>
      </c>
      <c r="D2478" s="5" t="s">
        <v>1239</v>
      </c>
      <c r="E2478" s="5" t="n">
        <v>1</v>
      </c>
      <c r="F2478" s="6" t="n">
        <f aca="false">IFERROR(MATCH(A2478&amp;"|"&amp;B2478&amp;"|"&amp;D2478,'All Song Rankings'!$T:$T,0),0)</f>
        <v>386</v>
      </c>
      <c r="G2478" s="6" t="str">
        <f aca="false">IF(F2478=0,"NOT FOUND",INDEX('All Song Rankings'!$A:$A,F2478))</f>
        <v>Cups (Pitch Perfect's "When I'm Gone") - Pop Version</v>
      </c>
      <c r="H2478" s="6" t="str">
        <f aca="false">IF(F2478=0,"NOT FOUND",INDEX('All Song Rankings'!$B:$B,F2478))</f>
        <v>Anna Kendrick</v>
      </c>
      <c r="I2478" s="6" t="str">
        <f aca="false">IF(F2478=0,"NOT FOUND",INDEX('All Song Rankings'!$D:$D,F2478))</f>
        <v>Merita</v>
      </c>
      <c r="J2478" s="7" t="str">
        <f aca="false">IF(F2478=0,"NOT FOUND",IF(C2478=I2478,"SELF-VOTE",IF(COUNTIF($K:$K,K2478)&gt;1,"DUPLICATE","OK")))</f>
        <v>OK</v>
      </c>
      <c r="K2478" s="6" t="str">
        <f aca="false">A2478&amp;"|"&amp;B2478&amp;"|"&amp;C2478&amp;"|"&amp;D2478</f>
        <v>4|6|Christine|spotify:track:6mH3qVIeOsnQIAho5eWwhH</v>
      </c>
    </row>
    <row r="2479" customFormat="false" ht="15" hidden="false" customHeight="false" outlineLevel="0" collapsed="false">
      <c r="A2479" s="5" t="n">
        <v>4</v>
      </c>
      <c r="B2479" s="5" t="n">
        <v>6</v>
      </c>
      <c r="C2479" s="5" t="s">
        <v>637</v>
      </c>
      <c r="D2479" s="5" t="s">
        <v>1230</v>
      </c>
      <c r="E2479" s="5" t="n">
        <v>1</v>
      </c>
      <c r="F2479" s="6" t="n">
        <f aca="false">IFERROR(MATCH(A2479&amp;"|"&amp;B2479&amp;"|"&amp;D2479,'All Song Rankings'!$T:$T,0),0)</f>
        <v>383</v>
      </c>
      <c r="G2479" s="6" t="str">
        <f aca="false">IF(F2479=0,"NOT FOUND",INDEX('All Song Rankings'!$A:$A,F2479))</f>
        <v>Scotty Doesn't Know</v>
      </c>
      <c r="H2479" s="6" t="str">
        <f aca="false">IF(F2479=0,"NOT FOUND",INDEX('All Song Rankings'!$B:$B,F2479))</f>
        <v>Lustra</v>
      </c>
      <c r="I2479" s="6" t="str">
        <f aca="false">IF(F2479=0,"NOT FOUND",INDEX('All Song Rankings'!$D:$D,F2479))</f>
        <v>Makenzie</v>
      </c>
      <c r="J2479" s="7" t="str">
        <f aca="false">IF(F2479=0,"NOT FOUND",IF(C2479=I2479,"SELF-VOTE",IF(COUNTIF($K:$K,K2479)&gt;1,"DUPLICATE","OK")))</f>
        <v>OK</v>
      </c>
      <c r="K2479" s="6" t="str">
        <f aca="false">A2479&amp;"|"&amp;B2479&amp;"|"&amp;C2479&amp;"|"&amp;D2479</f>
        <v>4|6|Colleen|spotify:track:1LkoYGxmYpO6QSEvY5C0Zl</v>
      </c>
    </row>
    <row r="2480" customFormat="false" ht="15" hidden="false" customHeight="false" outlineLevel="0" collapsed="false">
      <c r="A2480" s="5" t="n">
        <v>4</v>
      </c>
      <c r="B2480" s="5" t="n">
        <v>6</v>
      </c>
      <c r="C2480" s="5" t="s">
        <v>637</v>
      </c>
      <c r="D2480" s="5" t="s">
        <v>1224</v>
      </c>
      <c r="E2480" s="5" t="n">
        <v>2</v>
      </c>
      <c r="F2480" s="6" t="n">
        <f aca="false">IFERROR(MATCH(A2480&amp;"|"&amp;B2480&amp;"|"&amp;D2480,'All Song Rankings'!$T:$T,0),0)</f>
        <v>381</v>
      </c>
      <c r="G2480" s="6" t="str">
        <f aca="false">IF(F2480=0,"NOT FOUND",INDEX('All Song Rankings'!$A:$A,F2480))</f>
        <v>Hero</v>
      </c>
      <c r="H2480" s="6" t="str">
        <f aca="false">IF(F2480=0,"NOT FOUND",INDEX('All Song Rankings'!$B:$B,F2480))</f>
        <v>Enrique Iglesias</v>
      </c>
      <c r="I2480" s="6" t="str">
        <f aca="false">IF(F2480=0,"NOT FOUND",INDEX('All Song Rankings'!$D:$D,F2480))</f>
        <v>Kristen</v>
      </c>
      <c r="J2480" s="7" t="str">
        <f aca="false">IF(F2480=0,"NOT FOUND",IF(C2480=I2480,"SELF-VOTE",IF(COUNTIF($K:$K,K2480)&gt;1,"DUPLICATE","OK")))</f>
        <v>OK</v>
      </c>
      <c r="K2480" s="6" t="str">
        <f aca="false">A2480&amp;"|"&amp;B2480&amp;"|"&amp;C2480&amp;"|"&amp;D2480</f>
        <v>4|6|Colleen|spotify:track:24Gxm7Eh7tO83E26LG0CsY</v>
      </c>
    </row>
    <row r="2481" customFormat="false" ht="15" hidden="false" customHeight="false" outlineLevel="0" collapsed="false">
      <c r="A2481" s="5" t="n">
        <v>4</v>
      </c>
      <c r="B2481" s="5" t="n">
        <v>6</v>
      </c>
      <c r="C2481" s="5" t="s">
        <v>637</v>
      </c>
      <c r="D2481" s="5" t="s">
        <v>1227</v>
      </c>
      <c r="E2481" s="5" t="n">
        <v>1</v>
      </c>
      <c r="F2481" s="6" t="n">
        <f aca="false">IFERROR(MATCH(A2481&amp;"|"&amp;B2481&amp;"|"&amp;D2481,'All Song Rankings'!$T:$T,0),0)</f>
        <v>382</v>
      </c>
      <c r="G2481" s="6" t="str">
        <f aca="false">IF(F2481=0,"NOT FOUND",INDEX('All Song Rankings'!$A:$A,F2481))</f>
        <v>My Sacrifice</v>
      </c>
      <c r="H2481" s="6" t="str">
        <f aca="false">IF(F2481=0,"NOT FOUND",INDEX('All Song Rankings'!$B:$B,F2481))</f>
        <v>Creed</v>
      </c>
      <c r="I2481" s="6" t="str">
        <f aca="false">IF(F2481=0,"NOT FOUND",INDEX('All Song Rankings'!$D:$D,F2481))</f>
        <v>Logan</v>
      </c>
      <c r="J2481" s="7" t="str">
        <f aca="false">IF(F2481=0,"NOT FOUND",IF(C2481=I2481,"SELF-VOTE",IF(COUNTIF($K:$K,K2481)&gt;1,"DUPLICATE","OK")))</f>
        <v>OK</v>
      </c>
      <c r="K2481" s="6" t="str">
        <f aca="false">A2481&amp;"|"&amp;B2481&amp;"|"&amp;C2481&amp;"|"&amp;D2481</f>
        <v>4|6|Colleen|spotify:track:2VSbEXqs6NbNiZSTcHlIDR</v>
      </c>
    </row>
    <row r="2482" customFormat="false" ht="15" hidden="false" customHeight="false" outlineLevel="0" collapsed="false">
      <c r="A2482" s="5" t="n">
        <v>4</v>
      </c>
      <c r="B2482" s="5" t="n">
        <v>6</v>
      </c>
      <c r="C2482" s="5" t="s">
        <v>637</v>
      </c>
      <c r="D2482" s="5" t="s">
        <v>1222</v>
      </c>
      <c r="E2482" s="5" t="n">
        <v>1</v>
      </c>
      <c r="F2482" s="6" t="n">
        <f aca="false">IFERROR(MATCH(A2482&amp;"|"&amp;B2482&amp;"|"&amp;D2482,'All Song Rankings'!$T:$T,0),0)</f>
        <v>380</v>
      </c>
      <c r="G2482" s="6" t="str">
        <f aca="false">IF(F2482=0,"NOT FOUND",INDEX('All Song Rankings'!$A:$A,F2482))</f>
        <v>Buy U a Drank (Shawty Snappin') (feat. Yung Joc)</v>
      </c>
      <c r="H2482" s="6" t="str">
        <f aca="false">IF(F2482=0,"NOT FOUND",INDEX('All Song Rankings'!$B:$B,F2482))</f>
        <v>T-Pain, Yung Joc</v>
      </c>
      <c r="I2482" s="6" t="str">
        <f aca="false">IF(F2482=0,"NOT FOUND",INDEX('All Song Rankings'!$D:$D,F2482))</f>
        <v>Grace</v>
      </c>
      <c r="J2482" s="7" t="str">
        <f aca="false">IF(F2482=0,"NOT FOUND",IF(C2482=I2482,"SELF-VOTE",IF(COUNTIF($K:$K,K2482)&gt;1,"DUPLICATE","OK")))</f>
        <v>OK</v>
      </c>
      <c r="K2482" s="6" t="str">
        <f aca="false">A2482&amp;"|"&amp;B2482&amp;"|"&amp;C2482&amp;"|"&amp;D2482</f>
        <v>4|6|Colleen|spotify:track:2aIdVb8v9KTpEZnftkz2mD</v>
      </c>
    </row>
    <row r="2483" customFormat="false" ht="15" hidden="false" customHeight="false" outlineLevel="0" collapsed="false">
      <c r="A2483" s="5" t="n">
        <v>4</v>
      </c>
      <c r="B2483" s="5" t="n">
        <v>6</v>
      </c>
      <c r="C2483" s="5" t="s">
        <v>637</v>
      </c>
      <c r="D2483" s="5" t="s">
        <v>1236</v>
      </c>
      <c r="E2483" s="5" t="n">
        <v>1</v>
      </c>
      <c r="F2483" s="6" t="n">
        <f aca="false">IFERROR(MATCH(A2483&amp;"|"&amp;B2483&amp;"|"&amp;D2483,'All Song Rankings'!$T:$T,0),0)</f>
        <v>385</v>
      </c>
      <c r="G2483" s="6" t="str">
        <f aca="false">IF(F2483=0,"NOT FOUND",INDEX('All Song Rankings'!$A:$A,F2483))</f>
        <v>It Wasn't Me</v>
      </c>
      <c r="H2483" s="6" t="str">
        <f aca="false">IF(F2483=0,"NOT FOUND",INDEX('All Song Rankings'!$B:$B,F2483))</f>
        <v>Shaggy, Rik Rok</v>
      </c>
      <c r="I2483" s="6" t="str">
        <f aca="false">IF(F2483=0,"NOT FOUND",INDEX('All Song Rankings'!$D:$D,F2483))</f>
        <v>Kelsey</v>
      </c>
      <c r="J2483" s="7" t="str">
        <f aca="false">IF(F2483=0,"NOT FOUND",IF(C2483=I2483,"SELF-VOTE",IF(COUNTIF($K:$K,K2483)&gt;1,"DUPLICATE","OK")))</f>
        <v>OK</v>
      </c>
      <c r="K2483" s="6" t="str">
        <f aca="false">A2483&amp;"|"&amp;B2483&amp;"|"&amp;C2483&amp;"|"&amp;D2483</f>
        <v>4|6|Colleen|spotify:track:3WkibOpDF7cQ5xntM1epyf</v>
      </c>
    </row>
    <row r="2484" customFormat="false" ht="15" hidden="false" customHeight="false" outlineLevel="0" collapsed="false">
      <c r="A2484" s="5" t="n">
        <v>4</v>
      </c>
      <c r="B2484" s="5" t="n">
        <v>6</v>
      </c>
      <c r="C2484" s="5" t="s">
        <v>637</v>
      </c>
      <c r="D2484" s="5" t="s">
        <v>1242</v>
      </c>
      <c r="E2484" s="5" t="n">
        <v>2</v>
      </c>
      <c r="F2484" s="6" t="n">
        <f aca="false">IFERROR(MATCH(A2484&amp;"|"&amp;B2484&amp;"|"&amp;D2484,'All Song Rankings'!$T:$T,0),0)</f>
        <v>387</v>
      </c>
      <c r="G2484" s="6" t="str">
        <f aca="false">IF(F2484=0,"NOT FOUND",INDEX('All Song Rankings'!$A:$A,F2484))</f>
        <v>Never Say Never</v>
      </c>
      <c r="H2484" s="6" t="str">
        <f aca="false">IF(F2484=0,"NOT FOUND",INDEX('All Song Rankings'!$B:$B,F2484))</f>
        <v>Justin Bieber, Jaden</v>
      </c>
      <c r="I2484" s="6" t="str">
        <f aca="false">IF(F2484=0,"NOT FOUND",INDEX('All Song Rankings'!$D:$D,F2484))</f>
        <v>Nicole</v>
      </c>
      <c r="J2484" s="7" t="str">
        <f aca="false">IF(F2484=0,"NOT FOUND",IF(C2484=I2484,"SELF-VOTE",IF(COUNTIF($K:$K,K2484)&gt;1,"DUPLICATE","OK")))</f>
        <v>OK</v>
      </c>
      <c r="K2484" s="6" t="str">
        <f aca="false">A2484&amp;"|"&amp;B2484&amp;"|"&amp;C2484&amp;"|"&amp;D2484</f>
        <v>4|6|Colleen|spotify:track:5GYbkDveRD2I8M5ZJ14hWn</v>
      </c>
    </row>
    <row r="2485" customFormat="false" ht="15" hidden="false" customHeight="false" outlineLevel="0" collapsed="false">
      <c r="A2485" s="5" t="n">
        <v>4</v>
      </c>
      <c r="B2485" s="5" t="n">
        <v>6</v>
      </c>
      <c r="C2485" s="5" t="s">
        <v>637</v>
      </c>
      <c r="D2485" s="5" t="s">
        <v>1239</v>
      </c>
      <c r="E2485" s="5" t="n">
        <v>1</v>
      </c>
      <c r="F2485" s="6" t="n">
        <f aca="false">IFERROR(MATCH(A2485&amp;"|"&amp;B2485&amp;"|"&amp;D2485,'All Song Rankings'!$T:$T,0),0)</f>
        <v>386</v>
      </c>
      <c r="G2485" s="6" t="str">
        <f aca="false">IF(F2485=0,"NOT FOUND",INDEX('All Song Rankings'!$A:$A,F2485))</f>
        <v>Cups (Pitch Perfect's "When I'm Gone") - Pop Version</v>
      </c>
      <c r="H2485" s="6" t="str">
        <f aca="false">IF(F2485=0,"NOT FOUND",INDEX('All Song Rankings'!$B:$B,F2485))</f>
        <v>Anna Kendrick</v>
      </c>
      <c r="I2485" s="6" t="str">
        <f aca="false">IF(F2485=0,"NOT FOUND",INDEX('All Song Rankings'!$D:$D,F2485))</f>
        <v>Merita</v>
      </c>
      <c r="J2485" s="7" t="str">
        <f aca="false">IF(F2485=0,"NOT FOUND",IF(C2485=I2485,"SELF-VOTE",IF(COUNTIF($K:$K,K2485)&gt;1,"DUPLICATE","OK")))</f>
        <v>OK</v>
      </c>
      <c r="K2485" s="6" t="str">
        <f aca="false">A2485&amp;"|"&amp;B2485&amp;"|"&amp;C2485&amp;"|"&amp;D2485</f>
        <v>4|6|Colleen|spotify:track:6mH3qVIeOsnQIAho5eWwhH</v>
      </c>
    </row>
    <row r="2486" customFormat="false" ht="15" hidden="false" customHeight="false" outlineLevel="0" collapsed="false">
      <c r="A2486" s="5" t="n">
        <v>4</v>
      </c>
      <c r="B2486" s="5" t="n">
        <v>6</v>
      </c>
      <c r="C2486" s="5" t="s">
        <v>637</v>
      </c>
      <c r="D2486" s="5" t="s">
        <v>1245</v>
      </c>
      <c r="E2486" s="5" t="n">
        <v>1</v>
      </c>
      <c r="F2486" s="6" t="n">
        <f aca="false">IFERROR(MATCH(A2486&amp;"|"&amp;B2486&amp;"|"&amp;D2486,'All Song Rankings'!$T:$T,0),0)</f>
        <v>388</v>
      </c>
      <c r="G2486" s="6" t="str">
        <f aca="false">IF(F2486=0,"NOT FOUND",INDEX('All Song Rankings'!$A:$A,F2486))</f>
        <v>Stars Are Blind</v>
      </c>
      <c r="H2486" s="6" t="str">
        <f aca="false">IF(F2486=0,"NOT FOUND",INDEX('All Song Rankings'!$B:$B,F2486))</f>
        <v>Paris Hilton</v>
      </c>
      <c r="I2486" s="6" t="str">
        <f aca="false">IF(F2486=0,"NOT FOUND",INDEX('All Song Rankings'!$D:$D,F2486))</f>
        <v>Stephanie</v>
      </c>
      <c r="J2486" s="7" t="str">
        <f aca="false">IF(F2486=0,"NOT FOUND",IF(C2486=I2486,"SELF-VOTE",IF(COUNTIF($K:$K,K2486)&gt;1,"DUPLICATE","OK")))</f>
        <v>OK</v>
      </c>
      <c r="K2486" s="6" t="str">
        <f aca="false">A2486&amp;"|"&amp;B2486&amp;"|"&amp;C2486&amp;"|"&amp;D2486</f>
        <v>4|6|Colleen|spotify:track:71V89tJj9CboDyzncO6ZN2</v>
      </c>
    </row>
    <row r="2487" customFormat="false" ht="15" hidden="false" customHeight="false" outlineLevel="0" collapsed="false">
      <c r="A2487" s="5" t="n">
        <v>4</v>
      </c>
      <c r="B2487" s="5" t="n">
        <v>6</v>
      </c>
      <c r="C2487" s="5" t="s">
        <v>382</v>
      </c>
      <c r="D2487" s="5" t="s">
        <v>1233</v>
      </c>
      <c r="E2487" s="5" t="n">
        <v>2</v>
      </c>
      <c r="F2487" s="6" t="n">
        <f aca="false">IFERROR(MATCH(A2487&amp;"|"&amp;B2487&amp;"|"&amp;D2487,'All Song Rankings'!$T:$T,0),0)</f>
        <v>384</v>
      </c>
      <c r="G2487" s="6" t="str">
        <f aca="false">IF(F2487=0,"NOT FOUND",INDEX('All Song Rankings'!$A:$A,F2487))</f>
        <v>How You Remind Me</v>
      </c>
      <c r="H2487" s="6" t="str">
        <f aca="false">IF(F2487=0,"NOT FOUND",INDEX('All Song Rankings'!$B:$B,F2487))</f>
        <v>Nickelback</v>
      </c>
      <c r="I2487" s="6" t="str">
        <f aca="false">IF(F2487=0,"NOT FOUND",INDEX('All Song Rankings'!$D:$D,F2487))</f>
        <v>Colleen</v>
      </c>
      <c r="J2487" s="7" t="str">
        <f aca="false">IF(F2487=0,"NOT FOUND",IF(C2487=I2487,"SELF-VOTE",IF(COUNTIF($K:$K,K2487)&gt;1,"DUPLICATE","OK")))</f>
        <v>OK</v>
      </c>
      <c r="K2487" s="6" t="str">
        <f aca="false">A2487&amp;"|"&amp;B2487&amp;"|"&amp;C2487&amp;"|"&amp;D2487</f>
        <v>4|6|Grace|spotify:track:0gmbgwZ8iqyMPmXefof8Yf</v>
      </c>
    </row>
    <row r="2488" customFormat="false" ht="15" hidden="false" customHeight="false" outlineLevel="0" collapsed="false">
      <c r="A2488" s="5" t="n">
        <v>4</v>
      </c>
      <c r="B2488" s="5" t="n">
        <v>6</v>
      </c>
      <c r="C2488" s="5" t="s">
        <v>382</v>
      </c>
      <c r="D2488" s="5" t="s">
        <v>1230</v>
      </c>
      <c r="E2488" s="5" t="n">
        <v>2</v>
      </c>
      <c r="F2488" s="6" t="n">
        <f aca="false">IFERROR(MATCH(A2488&amp;"|"&amp;B2488&amp;"|"&amp;D2488,'All Song Rankings'!$T:$T,0),0)</f>
        <v>383</v>
      </c>
      <c r="G2488" s="6" t="str">
        <f aca="false">IF(F2488=0,"NOT FOUND",INDEX('All Song Rankings'!$A:$A,F2488))</f>
        <v>Scotty Doesn't Know</v>
      </c>
      <c r="H2488" s="6" t="str">
        <f aca="false">IF(F2488=0,"NOT FOUND",INDEX('All Song Rankings'!$B:$B,F2488))</f>
        <v>Lustra</v>
      </c>
      <c r="I2488" s="6" t="str">
        <f aca="false">IF(F2488=0,"NOT FOUND",INDEX('All Song Rankings'!$D:$D,F2488))</f>
        <v>Makenzie</v>
      </c>
      <c r="J2488" s="7" t="str">
        <f aca="false">IF(F2488=0,"NOT FOUND",IF(C2488=I2488,"SELF-VOTE",IF(COUNTIF($K:$K,K2488)&gt;1,"DUPLICATE","OK")))</f>
        <v>OK</v>
      </c>
      <c r="K2488" s="6" t="str">
        <f aca="false">A2488&amp;"|"&amp;B2488&amp;"|"&amp;C2488&amp;"|"&amp;D2488</f>
        <v>4|6|Grace|spotify:track:1LkoYGxmYpO6QSEvY5C0Zl</v>
      </c>
    </row>
    <row r="2489" customFormat="false" ht="15" hidden="false" customHeight="false" outlineLevel="0" collapsed="false">
      <c r="A2489" s="5" t="n">
        <v>4</v>
      </c>
      <c r="B2489" s="5" t="n">
        <v>6</v>
      </c>
      <c r="C2489" s="5" t="s">
        <v>382</v>
      </c>
      <c r="D2489" s="5" t="s">
        <v>1224</v>
      </c>
      <c r="E2489" s="5" t="n">
        <v>2</v>
      </c>
      <c r="F2489" s="6" t="n">
        <f aca="false">IFERROR(MATCH(A2489&amp;"|"&amp;B2489&amp;"|"&amp;D2489,'All Song Rankings'!$T:$T,0),0)</f>
        <v>381</v>
      </c>
      <c r="G2489" s="6" t="str">
        <f aca="false">IF(F2489=0,"NOT FOUND",INDEX('All Song Rankings'!$A:$A,F2489))</f>
        <v>Hero</v>
      </c>
      <c r="H2489" s="6" t="str">
        <f aca="false">IF(F2489=0,"NOT FOUND",INDEX('All Song Rankings'!$B:$B,F2489))</f>
        <v>Enrique Iglesias</v>
      </c>
      <c r="I2489" s="6" t="str">
        <f aca="false">IF(F2489=0,"NOT FOUND",INDEX('All Song Rankings'!$D:$D,F2489))</f>
        <v>Kristen</v>
      </c>
      <c r="J2489" s="7" t="str">
        <f aca="false">IF(F2489=0,"NOT FOUND",IF(C2489=I2489,"SELF-VOTE",IF(COUNTIF($K:$K,K2489)&gt;1,"DUPLICATE","OK")))</f>
        <v>OK</v>
      </c>
      <c r="K2489" s="6" t="str">
        <f aca="false">A2489&amp;"|"&amp;B2489&amp;"|"&amp;C2489&amp;"|"&amp;D2489</f>
        <v>4|6|Grace|spotify:track:24Gxm7Eh7tO83E26LG0CsY</v>
      </c>
    </row>
    <row r="2490" customFormat="false" ht="15" hidden="false" customHeight="false" outlineLevel="0" collapsed="false">
      <c r="A2490" s="5" t="n">
        <v>4</v>
      </c>
      <c r="B2490" s="5" t="n">
        <v>6</v>
      </c>
      <c r="C2490" s="5" t="s">
        <v>382</v>
      </c>
      <c r="D2490" s="5" t="s">
        <v>1227</v>
      </c>
      <c r="E2490" s="5" t="n">
        <v>4</v>
      </c>
      <c r="F2490" s="6" t="n">
        <f aca="false">IFERROR(MATCH(A2490&amp;"|"&amp;B2490&amp;"|"&amp;D2490,'All Song Rankings'!$T:$T,0),0)</f>
        <v>382</v>
      </c>
      <c r="G2490" s="6" t="str">
        <f aca="false">IF(F2490=0,"NOT FOUND",INDEX('All Song Rankings'!$A:$A,F2490))</f>
        <v>My Sacrifice</v>
      </c>
      <c r="H2490" s="6" t="str">
        <f aca="false">IF(F2490=0,"NOT FOUND",INDEX('All Song Rankings'!$B:$B,F2490))</f>
        <v>Creed</v>
      </c>
      <c r="I2490" s="6" t="str">
        <f aca="false">IF(F2490=0,"NOT FOUND",INDEX('All Song Rankings'!$D:$D,F2490))</f>
        <v>Logan</v>
      </c>
      <c r="J2490" s="7" t="str">
        <f aca="false">IF(F2490=0,"NOT FOUND",IF(C2490=I2490,"SELF-VOTE",IF(COUNTIF($K:$K,K2490)&gt;1,"DUPLICATE","OK")))</f>
        <v>OK</v>
      </c>
      <c r="K2490" s="6" t="str">
        <f aca="false">A2490&amp;"|"&amp;B2490&amp;"|"&amp;C2490&amp;"|"&amp;D2490</f>
        <v>4|6|Grace|spotify:track:2VSbEXqs6NbNiZSTcHlIDR</v>
      </c>
    </row>
    <row r="2491" customFormat="false" ht="15" hidden="false" customHeight="false" outlineLevel="0" collapsed="false">
      <c r="A2491" s="5" t="n">
        <v>4</v>
      </c>
      <c r="B2491" s="5" t="n">
        <v>6</v>
      </c>
      <c r="C2491" s="5" t="s">
        <v>85</v>
      </c>
      <c r="D2491" s="5" t="s">
        <v>1230</v>
      </c>
      <c r="E2491" s="5" t="n">
        <v>3</v>
      </c>
      <c r="F2491" s="6" t="n">
        <f aca="false">IFERROR(MATCH(A2491&amp;"|"&amp;B2491&amp;"|"&amp;D2491,'All Song Rankings'!$T:$T,0),0)</f>
        <v>383</v>
      </c>
      <c r="G2491" s="6" t="str">
        <f aca="false">IF(F2491=0,"NOT FOUND",INDEX('All Song Rankings'!$A:$A,F2491))</f>
        <v>Scotty Doesn't Know</v>
      </c>
      <c r="H2491" s="6" t="str">
        <f aca="false">IF(F2491=0,"NOT FOUND",INDEX('All Song Rankings'!$B:$B,F2491))</f>
        <v>Lustra</v>
      </c>
      <c r="I2491" s="6" t="str">
        <f aca="false">IF(F2491=0,"NOT FOUND",INDEX('All Song Rankings'!$D:$D,F2491))</f>
        <v>Makenzie</v>
      </c>
      <c r="J2491" s="7" t="str">
        <f aca="false">IF(F2491=0,"NOT FOUND",IF(C2491=I2491,"SELF-VOTE",IF(COUNTIF($K:$K,K2491)&gt;1,"DUPLICATE","OK")))</f>
        <v>OK</v>
      </c>
      <c r="K2491" s="6" t="str">
        <f aca="false">A2491&amp;"|"&amp;B2491&amp;"|"&amp;C2491&amp;"|"&amp;D2491</f>
        <v>4|6|Kelsey|spotify:track:1LkoYGxmYpO6QSEvY5C0Zl</v>
      </c>
    </row>
    <row r="2492" customFormat="false" ht="15" hidden="false" customHeight="false" outlineLevel="0" collapsed="false">
      <c r="A2492" s="5" t="n">
        <v>4</v>
      </c>
      <c r="B2492" s="5" t="n">
        <v>6</v>
      </c>
      <c r="C2492" s="5" t="s">
        <v>85</v>
      </c>
      <c r="D2492" s="5" t="s">
        <v>1224</v>
      </c>
      <c r="E2492" s="5" t="n">
        <v>2</v>
      </c>
      <c r="F2492" s="6" t="n">
        <f aca="false">IFERROR(MATCH(A2492&amp;"|"&amp;B2492&amp;"|"&amp;D2492,'All Song Rankings'!$T:$T,0),0)</f>
        <v>381</v>
      </c>
      <c r="G2492" s="6" t="str">
        <f aca="false">IF(F2492=0,"NOT FOUND",INDEX('All Song Rankings'!$A:$A,F2492))</f>
        <v>Hero</v>
      </c>
      <c r="H2492" s="6" t="str">
        <f aca="false">IF(F2492=0,"NOT FOUND",INDEX('All Song Rankings'!$B:$B,F2492))</f>
        <v>Enrique Iglesias</v>
      </c>
      <c r="I2492" s="6" t="str">
        <f aca="false">IF(F2492=0,"NOT FOUND",INDEX('All Song Rankings'!$D:$D,F2492))</f>
        <v>Kristen</v>
      </c>
      <c r="J2492" s="7" t="str">
        <f aca="false">IF(F2492=0,"NOT FOUND",IF(C2492=I2492,"SELF-VOTE",IF(COUNTIF($K:$K,K2492)&gt;1,"DUPLICATE","OK")))</f>
        <v>OK</v>
      </c>
      <c r="K2492" s="6" t="str">
        <f aca="false">A2492&amp;"|"&amp;B2492&amp;"|"&amp;C2492&amp;"|"&amp;D2492</f>
        <v>4|6|Kelsey|spotify:track:24Gxm7Eh7tO83E26LG0CsY</v>
      </c>
    </row>
    <row r="2493" customFormat="false" ht="15" hidden="false" customHeight="false" outlineLevel="0" collapsed="false">
      <c r="A2493" s="5" t="n">
        <v>4</v>
      </c>
      <c r="B2493" s="5" t="n">
        <v>6</v>
      </c>
      <c r="C2493" s="5" t="s">
        <v>85</v>
      </c>
      <c r="D2493" s="5" t="s">
        <v>1222</v>
      </c>
      <c r="E2493" s="5" t="n">
        <v>1</v>
      </c>
      <c r="F2493" s="6" t="n">
        <f aca="false">IFERROR(MATCH(A2493&amp;"|"&amp;B2493&amp;"|"&amp;D2493,'All Song Rankings'!$T:$T,0),0)</f>
        <v>380</v>
      </c>
      <c r="G2493" s="6" t="str">
        <f aca="false">IF(F2493=0,"NOT FOUND",INDEX('All Song Rankings'!$A:$A,F2493))</f>
        <v>Buy U a Drank (Shawty Snappin') (feat. Yung Joc)</v>
      </c>
      <c r="H2493" s="6" t="str">
        <f aca="false">IF(F2493=0,"NOT FOUND",INDEX('All Song Rankings'!$B:$B,F2493))</f>
        <v>T-Pain, Yung Joc</v>
      </c>
      <c r="I2493" s="6" t="str">
        <f aca="false">IF(F2493=0,"NOT FOUND",INDEX('All Song Rankings'!$D:$D,F2493))</f>
        <v>Grace</v>
      </c>
      <c r="J2493" s="7" t="str">
        <f aca="false">IF(F2493=0,"NOT FOUND",IF(C2493=I2493,"SELF-VOTE",IF(COUNTIF($K:$K,K2493)&gt;1,"DUPLICATE","OK")))</f>
        <v>OK</v>
      </c>
      <c r="K2493" s="6" t="str">
        <f aca="false">A2493&amp;"|"&amp;B2493&amp;"|"&amp;C2493&amp;"|"&amp;D2493</f>
        <v>4|6|Kelsey|spotify:track:2aIdVb8v9KTpEZnftkz2mD</v>
      </c>
    </row>
    <row r="2494" customFormat="false" ht="15" hidden="false" customHeight="false" outlineLevel="0" collapsed="false">
      <c r="A2494" s="5" t="n">
        <v>4</v>
      </c>
      <c r="B2494" s="5" t="n">
        <v>6</v>
      </c>
      <c r="C2494" s="5" t="s">
        <v>85</v>
      </c>
      <c r="D2494" s="5" t="s">
        <v>1242</v>
      </c>
      <c r="E2494" s="5" t="n">
        <v>1</v>
      </c>
      <c r="F2494" s="6" t="n">
        <f aca="false">IFERROR(MATCH(A2494&amp;"|"&amp;B2494&amp;"|"&amp;D2494,'All Song Rankings'!$T:$T,0),0)</f>
        <v>387</v>
      </c>
      <c r="G2494" s="6" t="str">
        <f aca="false">IF(F2494=0,"NOT FOUND",INDEX('All Song Rankings'!$A:$A,F2494))</f>
        <v>Never Say Never</v>
      </c>
      <c r="H2494" s="6" t="str">
        <f aca="false">IF(F2494=0,"NOT FOUND",INDEX('All Song Rankings'!$B:$B,F2494))</f>
        <v>Justin Bieber, Jaden</v>
      </c>
      <c r="I2494" s="6" t="str">
        <f aca="false">IF(F2494=0,"NOT FOUND",INDEX('All Song Rankings'!$D:$D,F2494))</f>
        <v>Nicole</v>
      </c>
      <c r="J2494" s="7" t="str">
        <f aca="false">IF(F2494=0,"NOT FOUND",IF(C2494=I2494,"SELF-VOTE",IF(COUNTIF($K:$K,K2494)&gt;1,"DUPLICATE","OK")))</f>
        <v>OK</v>
      </c>
      <c r="K2494" s="6" t="str">
        <f aca="false">A2494&amp;"|"&amp;B2494&amp;"|"&amp;C2494&amp;"|"&amp;D2494</f>
        <v>4|6|Kelsey|spotify:track:5GYbkDveRD2I8M5ZJ14hWn</v>
      </c>
    </row>
    <row r="2495" customFormat="false" ht="15" hidden="false" customHeight="false" outlineLevel="0" collapsed="false">
      <c r="A2495" s="5" t="n">
        <v>4</v>
      </c>
      <c r="B2495" s="5" t="n">
        <v>6</v>
      </c>
      <c r="C2495" s="5" t="s">
        <v>85</v>
      </c>
      <c r="D2495" s="5" t="s">
        <v>1239</v>
      </c>
      <c r="E2495" s="5" t="n">
        <v>1</v>
      </c>
      <c r="F2495" s="6" t="n">
        <f aca="false">IFERROR(MATCH(A2495&amp;"|"&amp;B2495&amp;"|"&amp;D2495,'All Song Rankings'!$T:$T,0),0)</f>
        <v>386</v>
      </c>
      <c r="G2495" s="6" t="str">
        <f aca="false">IF(F2495=0,"NOT FOUND",INDEX('All Song Rankings'!$A:$A,F2495))</f>
        <v>Cups (Pitch Perfect's "When I'm Gone") - Pop Version</v>
      </c>
      <c r="H2495" s="6" t="str">
        <f aca="false">IF(F2495=0,"NOT FOUND",INDEX('All Song Rankings'!$B:$B,F2495))</f>
        <v>Anna Kendrick</v>
      </c>
      <c r="I2495" s="6" t="str">
        <f aca="false">IF(F2495=0,"NOT FOUND",INDEX('All Song Rankings'!$D:$D,F2495))</f>
        <v>Merita</v>
      </c>
      <c r="J2495" s="7" t="str">
        <f aca="false">IF(F2495=0,"NOT FOUND",IF(C2495=I2495,"SELF-VOTE",IF(COUNTIF($K:$K,K2495)&gt;1,"DUPLICATE","OK")))</f>
        <v>OK</v>
      </c>
      <c r="K2495" s="6" t="str">
        <f aca="false">A2495&amp;"|"&amp;B2495&amp;"|"&amp;C2495&amp;"|"&amp;D2495</f>
        <v>4|6|Kelsey|spotify:track:6mH3qVIeOsnQIAho5eWwhH</v>
      </c>
    </row>
    <row r="2496" customFormat="false" ht="15" hidden="false" customHeight="false" outlineLevel="0" collapsed="false">
      <c r="A2496" s="5" t="n">
        <v>4</v>
      </c>
      <c r="B2496" s="5" t="n">
        <v>6</v>
      </c>
      <c r="C2496" s="5" t="s">
        <v>85</v>
      </c>
      <c r="D2496" s="5" t="s">
        <v>1245</v>
      </c>
      <c r="E2496" s="5" t="n">
        <v>2</v>
      </c>
      <c r="F2496" s="6" t="n">
        <f aca="false">IFERROR(MATCH(A2496&amp;"|"&amp;B2496&amp;"|"&amp;D2496,'All Song Rankings'!$T:$T,0),0)</f>
        <v>388</v>
      </c>
      <c r="G2496" s="6" t="str">
        <f aca="false">IF(F2496=0,"NOT FOUND",INDEX('All Song Rankings'!$A:$A,F2496))</f>
        <v>Stars Are Blind</v>
      </c>
      <c r="H2496" s="6" t="str">
        <f aca="false">IF(F2496=0,"NOT FOUND",INDEX('All Song Rankings'!$B:$B,F2496))</f>
        <v>Paris Hilton</v>
      </c>
      <c r="I2496" s="6" t="str">
        <f aca="false">IF(F2496=0,"NOT FOUND",INDEX('All Song Rankings'!$D:$D,F2496))</f>
        <v>Stephanie</v>
      </c>
      <c r="J2496" s="7" t="str">
        <f aca="false">IF(F2496=0,"NOT FOUND",IF(C2496=I2496,"SELF-VOTE",IF(COUNTIF($K:$K,K2496)&gt;1,"DUPLICATE","OK")))</f>
        <v>OK</v>
      </c>
      <c r="K2496" s="6" t="str">
        <f aca="false">A2496&amp;"|"&amp;B2496&amp;"|"&amp;C2496&amp;"|"&amp;D2496</f>
        <v>4|6|Kelsey|spotify:track:71V89tJj9CboDyzncO6ZN2</v>
      </c>
    </row>
    <row r="2497" customFormat="false" ht="15" hidden="false" customHeight="false" outlineLevel="0" collapsed="false">
      <c r="A2497" s="5" t="n">
        <v>4</v>
      </c>
      <c r="B2497" s="5" t="n">
        <v>6</v>
      </c>
      <c r="C2497" s="5" t="s">
        <v>106</v>
      </c>
      <c r="D2497" s="5" t="s">
        <v>1233</v>
      </c>
      <c r="E2497" s="5" t="n">
        <v>2</v>
      </c>
      <c r="F2497" s="6" t="n">
        <f aca="false">IFERROR(MATCH(A2497&amp;"|"&amp;B2497&amp;"|"&amp;D2497,'All Song Rankings'!$T:$T,0),0)</f>
        <v>384</v>
      </c>
      <c r="G2497" s="6" t="str">
        <f aca="false">IF(F2497=0,"NOT FOUND",INDEX('All Song Rankings'!$A:$A,F2497))</f>
        <v>How You Remind Me</v>
      </c>
      <c r="H2497" s="6" t="str">
        <f aca="false">IF(F2497=0,"NOT FOUND",INDEX('All Song Rankings'!$B:$B,F2497))</f>
        <v>Nickelback</v>
      </c>
      <c r="I2497" s="6" t="str">
        <f aca="false">IF(F2497=0,"NOT FOUND",INDEX('All Song Rankings'!$D:$D,F2497))</f>
        <v>Colleen</v>
      </c>
      <c r="J2497" s="7" t="str">
        <f aca="false">IF(F2497=0,"NOT FOUND",IF(C2497=I2497,"SELF-VOTE",IF(COUNTIF($K:$K,K2497)&gt;1,"DUPLICATE","OK")))</f>
        <v>OK</v>
      </c>
      <c r="K2497" s="6" t="str">
        <f aca="false">A2497&amp;"|"&amp;B2497&amp;"|"&amp;C2497&amp;"|"&amp;D2497</f>
        <v>4|6|Kristen|spotify:track:0gmbgwZ8iqyMPmXefof8Yf</v>
      </c>
    </row>
    <row r="2498" customFormat="false" ht="15" hidden="false" customHeight="false" outlineLevel="0" collapsed="false">
      <c r="A2498" s="5" t="n">
        <v>4</v>
      </c>
      <c r="B2498" s="5" t="n">
        <v>6</v>
      </c>
      <c r="C2498" s="5" t="s">
        <v>106</v>
      </c>
      <c r="D2498" s="5" t="s">
        <v>1227</v>
      </c>
      <c r="E2498" s="5" t="n">
        <v>2</v>
      </c>
      <c r="F2498" s="6" t="n">
        <f aca="false">IFERROR(MATCH(A2498&amp;"|"&amp;B2498&amp;"|"&amp;D2498,'All Song Rankings'!$T:$T,0),0)</f>
        <v>382</v>
      </c>
      <c r="G2498" s="6" t="str">
        <f aca="false">IF(F2498=0,"NOT FOUND",INDEX('All Song Rankings'!$A:$A,F2498))</f>
        <v>My Sacrifice</v>
      </c>
      <c r="H2498" s="6" t="str">
        <f aca="false">IF(F2498=0,"NOT FOUND",INDEX('All Song Rankings'!$B:$B,F2498))</f>
        <v>Creed</v>
      </c>
      <c r="I2498" s="6" t="str">
        <f aca="false">IF(F2498=0,"NOT FOUND",INDEX('All Song Rankings'!$D:$D,F2498))</f>
        <v>Logan</v>
      </c>
      <c r="J2498" s="7" t="str">
        <f aca="false">IF(F2498=0,"NOT FOUND",IF(C2498=I2498,"SELF-VOTE",IF(COUNTIF($K:$K,K2498)&gt;1,"DUPLICATE","OK")))</f>
        <v>OK</v>
      </c>
      <c r="K2498" s="6" t="str">
        <f aca="false">A2498&amp;"|"&amp;B2498&amp;"|"&amp;C2498&amp;"|"&amp;D2498</f>
        <v>4|6|Kristen|spotify:track:2VSbEXqs6NbNiZSTcHlIDR</v>
      </c>
    </row>
    <row r="2499" customFormat="false" ht="15" hidden="false" customHeight="false" outlineLevel="0" collapsed="false">
      <c r="A2499" s="5" t="n">
        <v>4</v>
      </c>
      <c r="B2499" s="5" t="n">
        <v>6</v>
      </c>
      <c r="C2499" s="5" t="s">
        <v>106</v>
      </c>
      <c r="D2499" s="5" t="s">
        <v>1222</v>
      </c>
      <c r="E2499" s="5" t="n">
        <v>1</v>
      </c>
      <c r="F2499" s="6" t="n">
        <f aca="false">IFERROR(MATCH(A2499&amp;"|"&amp;B2499&amp;"|"&amp;D2499,'All Song Rankings'!$T:$T,0),0)</f>
        <v>380</v>
      </c>
      <c r="G2499" s="6" t="str">
        <f aca="false">IF(F2499=0,"NOT FOUND",INDEX('All Song Rankings'!$A:$A,F2499))</f>
        <v>Buy U a Drank (Shawty Snappin') (feat. Yung Joc)</v>
      </c>
      <c r="H2499" s="6" t="str">
        <f aca="false">IF(F2499=0,"NOT FOUND",INDEX('All Song Rankings'!$B:$B,F2499))</f>
        <v>T-Pain, Yung Joc</v>
      </c>
      <c r="I2499" s="6" t="str">
        <f aca="false">IF(F2499=0,"NOT FOUND",INDEX('All Song Rankings'!$D:$D,F2499))</f>
        <v>Grace</v>
      </c>
      <c r="J2499" s="7" t="str">
        <f aca="false">IF(F2499=0,"NOT FOUND",IF(C2499=I2499,"SELF-VOTE",IF(COUNTIF($K:$K,K2499)&gt;1,"DUPLICATE","OK")))</f>
        <v>OK</v>
      </c>
      <c r="K2499" s="6" t="str">
        <f aca="false">A2499&amp;"|"&amp;B2499&amp;"|"&amp;C2499&amp;"|"&amp;D2499</f>
        <v>4|6|Kristen|spotify:track:2aIdVb8v9KTpEZnftkz2mD</v>
      </c>
    </row>
    <row r="2500" customFormat="false" ht="15" hidden="false" customHeight="false" outlineLevel="0" collapsed="false">
      <c r="A2500" s="5" t="n">
        <v>4</v>
      </c>
      <c r="B2500" s="5" t="n">
        <v>6</v>
      </c>
      <c r="C2500" s="5" t="s">
        <v>106</v>
      </c>
      <c r="D2500" s="5" t="s">
        <v>1236</v>
      </c>
      <c r="E2500" s="5" t="n">
        <v>1</v>
      </c>
      <c r="F2500" s="6" t="n">
        <f aca="false">IFERROR(MATCH(A2500&amp;"|"&amp;B2500&amp;"|"&amp;D2500,'All Song Rankings'!$T:$T,0),0)</f>
        <v>385</v>
      </c>
      <c r="G2500" s="6" t="str">
        <f aca="false">IF(F2500=0,"NOT FOUND",INDEX('All Song Rankings'!$A:$A,F2500))</f>
        <v>It Wasn't Me</v>
      </c>
      <c r="H2500" s="6" t="str">
        <f aca="false">IF(F2500=0,"NOT FOUND",INDEX('All Song Rankings'!$B:$B,F2500))</f>
        <v>Shaggy, Rik Rok</v>
      </c>
      <c r="I2500" s="6" t="str">
        <f aca="false">IF(F2500=0,"NOT FOUND",INDEX('All Song Rankings'!$D:$D,F2500))</f>
        <v>Kelsey</v>
      </c>
      <c r="J2500" s="7" t="str">
        <f aca="false">IF(F2500=0,"NOT FOUND",IF(C2500=I2500,"SELF-VOTE",IF(COUNTIF($K:$K,K2500)&gt;1,"DUPLICATE","OK")))</f>
        <v>OK</v>
      </c>
      <c r="K2500" s="6" t="str">
        <f aca="false">A2500&amp;"|"&amp;B2500&amp;"|"&amp;C2500&amp;"|"&amp;D2500</f>
        <v>4|6|Kristen|spotify:track:3WkibOpDF7cQ5xntM1epyf</v>
      </c>
    </row>
    <row r="2501" customFormat="false" ht="15" hidden="false" customHeight="false" outlineLevel="0" collapsed="false">
      <c r="A2501" s="5" t="n">
        <v>4</v>
      </c>
      <c r="B2501" s="5" t="n">
        <v>6</v>
      </c>
      <c r="C2501" s="5" t="s">
        <v>106</v>
      </c>
      <c r="D2501" s="5" t="s">
        <v>1248</v>
      </c>
      <c r="E2501" s="5" t="n">
        <v>2</v>
      </c>
      <c r="F2501" s="6" t="n">
        <f aca="false">IFERROR(MATCH(A2501&amp;"|"&amp;B2501&amp;"|"&amp;D2501,'All Song Rankings'!$T:$T,0),0)</f>
        <v>389</v>
      </c>
      <c r="G2501" s="6" t="str">
        <f aca="false">IF(F2501=0,"NOT FOUND",INDEX('All Song Rankings'!$A:$A,F2501))</f>
        <v>The Bad Touch</v>
      </c>
      <c r="H2501" s="6" t="str">
        <f aca="false">IF(F2501=0,"NOT FOUND",INDEX('All Song Rankings'!$B:$B,F2501))</f>
        <v>Bloodhound Gang</v>
      </c>
      <c r="I2501" s="6" t="str">
        <f aca="false">IF(F2501=0,"NOT FOUND",INDEX('All Song Rankings'!$D:$D,F2501))</f>
        <v>Matt</v>
      </c>
      <c r="J2501" s="7" t="str">
        <f aca="false">IF(F2501=0,"NOT FOUND",IF(C2501=I2501,"SELF-VOTE",IF(COUNTIF($K:$K,K2501)&gt;1,"DUPLICATE","OK")))</f>
        <v>OK</v>
      </c>
      <c r="K2501" s="6" t="str">
        <f aca="false">A2501&amp;"|"&amp;B2501&amp;"|"&amp;C2501&amp;"|"&amp;D2501</f>
        <v>4|6|Kristen|spotify:track:5EYdTPdJD74r9EVZBztqGG</v>
      </c>
    </row>
    <row r="2502" customFormat="false" ht="15" hidden="false" customHeight="false" outlineLevel="0" collapsed="false">
      <c r="A2502" s="5" t="n">
        <v>4</v>
      </c>
      <c r="B2502" s="5" t="n">
        <v>6</v>
      </c>
      <c r="C2502" s="5" t="s">
        <v>106</v>
      </c>
      <c r="D2502" s="5" t="s">
        <v>1242</v>
      </c>
      <c r="E2502" s="5" t="n">
        <v>1</v>
      </c>
      <c r="F2502" s="6" t="n">
        <f aca="false">IFERROR(MATCH(A2502&amp;"|"&amp;B2502&amp;"|"&amp;D2502,'All Song Rankings'!$T:$T,0),0)</f>
        <v>387</v>
      </c>
      <c r="G2502" s="6" t="str">
        <f aca="false">IF(F2502=0,"NOT FOUND",INDEX('All Song Rankings'!$A:$A,F2502))</f>
        <v>Never Say Never</v>
      </c>
      <c r="H2502" s="6" t="str">
        <f aca="false">IF(F2502=0,"NOT FOUND",INDEX('All Song Rankings'!$B:$B,F2502))</f>
        <v>Justin Bieber, Jaden</v>
      </c>
      <c r="I2502" s="6" t="str">
        <f aca="false">IF(F2502=0,"NOT FOUND",INDEX('All Song Rankings'!$D:$D,F2502))</f>
        <v>Nicole</v>
      </c>
      <c r="J2502" s="7" t="str">
        <f aca="false">IF(F2502=0,"NOT FOUND",IF(C2502=I2502,"SELF-VOTE",IF(COUNTIF($K:$K,K2502)&gt;1,"DUPLICATE","OK")))</f>
        <v>OK</v>
      </c>
      <c r="K2502" s="6" t="str">
        <f aca="false">A2502&amp;"|"&amp;B2502&amp;"|"&amp;C2502&amp;"|"&amp;D2502</f>
        <v>4|6|Kristen|spotify:track:5GYbkDveRD2I8M5ZJ14hWn</v>
      </c>
    </row>
    <row r="2503" customFormat="false" ht="15" hidden="false" customHeight="false" outlineLevel="0" collapsed="false">
      <c r="A2503" s="5" t="n">
        <v>4</v>
      </c>
      <c r="B2503" s="5" t="n">
        <v>6</v>
      </c>
      <c r="C2503" s="5" t="s">
        <v>106</v>
      </c>
      <c r="D2503" s="5" t="s">
        <v>1254</v>
      </c>
      <c r="E2503" s="5" t="n">
        <v>1</v>
      </c>
      <c r="F2503" s="6" t="n">
        <f aca="false">IFERROR(MATCH(A2503&amp;"|"&amp;B2503&amp;"|"&amp;D2503,'All Song Rankings'!$T:$T,0),0)</f>
        <v>391</v>
      </c>
      <c r="G2503" s="6" t="str">
        <f aca="false">IF(F2503=0,"NOT FOUND",INDEX('All Song Rankings'!$A:$A,F2503))</f>
        <v>Good Vibrations</v>
      </c>
      <c r="H2503" s="6" t="str">
        <f aca="false">IF(F2503=0,"NOT FOUND",INDEX('All Song Rankings'!$B:$B,F2503))</f>
        <v>Marky Mark And The Funky Bunch, Loleatta Holloway</v>
      </c>
      <c r="I2503" s="6" t="str">
        <f aca="false">IF(F2503=0,"NOT FOUND",INDEX('All Song Rankings'!$D:$D,F2503))</f>
        <v>Christine</v>
      </c>
      <c r="J2503" s="7" t="str">
        <f aca="false">IF(F2503=0,"NOT FOUND",IF(C2503=I2503,"SELF-VOTE",IF(COUNTIF($K:$K,K2503)&gt;1,"DUPLICATE","OK")))</f>
        <v>OK</v>
      </c>
      <c r="K2503" s="6" t="str">
        <f aca="false">A2503&amp;"|"&amp;B2503&amp;"|"&amp;C2503&amp;"|"&amp;D2503</f>
        <v>4|6|Kristen|spotify:track:5hWdgGVcfTeLPAiHM6EZG9</v>
      </c>
    </row>
    <row r="2504" customFormat="false" ht="15" hidden="false" customHeight="false" outlineLevel="0" collapsed="false">
      <c r="A2504" s="5" t="n">
        <v>4</v>
      </c>
      <c r="B2504" s="5" t="n">
        <v>6</v>
      </c>
      <c r="C2504" s="5" t="s">
        <v>119</v>
      </c>
      <c r="D2504" s="5" t="s">
        <v>1233</v>
      </c>
      <c r="E2504" s="5" t="n">
        <v>1</v>
      </c>
      <c r="F2504" s="6" t="n">
        <f aca="false">IFERROR(MATCH(A2504&amp;"|"&amp;B2504&amp;"|"&amp;D2504,'All Song Rankings'!$T:$T,0),0)</f>
        <v>384</v>
      </c>
      <c r="G2504" s="6" t="str">
        <f aca="false">IF(F2504=0,"NOT FOUND",INDEX('All Song Rankings'!$A:$A,F2504))</f>
        <v>How You Remind Me</v>
      </c>
      <c r="H2504" s="6" t="str">
        <f aca="false">IF(F2504=0,"NOT FOUND",INDEX('All Song Rankings'!$B:$B,F2504))</f>
        <v>Nickelback</v>
      </c>
      <c r="I2504" s="6" t="str">
        <f aca="false">IF(F2504=0,"NOT FOUND",INDEX('All Song Rankings'!$D:$D,F2504))</f>
        <v>Colleen</v>
      </c>
      <c r="J2504" s="7" t="str">
        <f aca="false">IF(F2504=0,"NOT FOUND",IF(C2504=I2504,"SELF-VOTE",IF(COUNTIF($K:$K,K2504)&gt;1,"DUPLICATE","OK")))</f>
        <v>OK</v>
      </c>
      <c r="K2504" s="6" t="str">
        <f aca="false">A2504&amp;"|"&amp;B2504&amp;"|"&amp;C2504&amp;"|"&amp;D2504</f>
        <v>4|6|Leah|spotify:track:0gmbgwZ8iqyMPmXefof8Yf</v>
      </c>
    </row>
    <row r="2505" customFormat="false" ht="15" hidden="false" customHeight="false" outlineLevel="0" collapsed="false">
      <c r="A2505" s="5" t="n">
        <v>4</v>
      </c>
      <c r="B2505" s="5" t="n">
        <v>6</v>
      </c>
      <c r="C2505" s="5" t="s">
        <v>119</v>
      </c>
      <c r="D2505" s="5" t="s">
        <v>1230</v>
      </c>
      <c r="E2505" s="5" t="n">
        <v>2</v>
      </c>
      <c r="F2505" s="6" t="n">
        <f aca="false">IFERROR(MATCH(A2505&amp;"|"&amp;B2505&amp;"|"&amp;D2505,'All Song Rankings'!$T:$T,0),0)</f>
        <v>383</v>
      </c>
      <c r="G2505" s="6" t="str">
        <f aca="false">IF(F2505=0,"NOT FOUND",INDEX('All Song Rankings'!$A:$A,F2505))</f>
        <v>Scotty Doesn't Know</v>
      </c>
      <c r="H2505" s="6" t="str">
        <f aca="false">IF(F2505=0,"NOT FOUND",INDEX('All Song Rankings'!$B:$B,F2505))</f>
        <v>Lustra</v>
      </c>
      <c r="I2505" s="6" t="str">
        <f aca="false">IF(F2505=0,"NOT FOUND",INDEX('All Song Rankings'!$D:$D,F2505))</f>
        <v>Makenzie</v>
      </c>
      <c r="J2505" s="7" t="str">
        <f aca="false">IF(F2505=0,"NOT FOUND",IF(C2505=I2505,"SELF-VOTE",IF(COUNTIF($K:$K,K2505)&gt;1,"DUPLICATE","OK")))</f>
        <v>OK</v>
      </c>
      <c r="K2505" s="6" t="str">
        <f aca="false">A2505&amp;"|"&amp;B2505&amp;"|"&amp;C2505&amp;"|"&amp;D2505</f>
        <v>4|6|Leah|spotify:track:1LkoYGxmYpO6QSEvY5C0Zl</v>
      </c>
    </row>
    <row r="2506" customFormat="false" ht="15" hidden="false" customHeight="false" outlineLevel="0" collapsed="false">
      <c r="A2506" s="5" t="n">
        <v>4</v>
      </c>
      <c r="B2506" s="5" t="n">
        <v>6</v>
      </c>
      <c r="C2506" s="5" t="s">
        <v>119</v>
      </c>
      <c r="D2506" s="5" t="s">
        <v>1227</v>
      </c>
      <c r="E2506" s="5" t="n">
        <v>1</v>
      </c>
      <c r="F2506" s="6" t="n">
        <f aca="false">IFERROR(MATCH(A2506&amp;"|"&amp;B2506&amp;"|"&amp;D2506,'All Song Rankings'!$T:$T,0),0)</f>
        <v>382</v>
      </c>
      <c r="G2506" s="6" t="str">
        <f aca="false">IF(F2506=0,"NOT FOUND",INDEX('All Song Rankings'!$A:$A,F2506))</f>
        <v>My Sacrifice</v>
      </c>
      <c r="H2506" s="6" t="str">
        <f aca="false">IF(F2506=0,"NOT FOUND",INDEX('All Song Rankings'!$B:$B,F2506))</f>
        <v>Creed</v>
      </c>
      <c r="I2506" s="6" t="str">
        <f aca="false">IF(F2506=0,"NOT FOUND",INDEX('All Song Rankings'!$D:$D,F2506))</f>
        <v>Logan</v>
      </c>
      <c r="J2506" s="7" t="str">
        <f aca="false">IF(F2506=0,"NOT FOUND",IF(C2506=I2506,"SELF-VOTE",IF(COUNTIF($K:$K,K2506)&gt;1,"DUPLICATE","OK")))</f>
        <v>OK</v>
      </c>
      <c r="K2506" s="6" t="str">
        <f aca="false">A2506&amp;"|"&amp;B2506&amp;"|"&amp;C2506&amp;"|"&amp;D2506</f>
        <v>4|6|Leah|spotify:track:2VSbEXqs6NbNiZSTcHlIDR</v>
      </c>
    </row>
    <row r="2507" customFormat="false" ht="15" hidden="false" customHeight="false" outlineLevel="0" collapsed="false">
      <c r="A2507" s="5" t="n">
        <v>4</v>
      </c>
      <c r="B2507" s="5" t="n">
        <v>6</v>
      </c>
      <c r="C2507" s="5" t="s">
        <v>119</v>
      </c>
      <c r="D2507" s="5" t="s">
        <v>1222</v>
      </c>
      <c r="E2507" s="5" t="n">
        <v>1</v>
      </c>
      <c r="F2507" s="6" t="n">
        <f aca="false">IFERROR(MATCH(A2507&amp;"|"&amp;B2507&amp;"|"&amp;D2507,'All Song Rankings'!$T:$T,0),0)</f>
        <v>380</v>
      </c>
      <c r="G2507" s="6" t="str">
        <f aca="false">IF(F2507=0,"NOT FOUND",INDEX('All Song Rankings'!$A:$A,F2507))</f>
        <v>Buy U a Drank (Shawty Snappin') (feat. Yung Joc)</v>
      </c>
      <c r="H2507" s="6" t="str">
        <f aca="false">IF(F2507=0,"NOT FOUND",INDEX('All Song Rankings'!$B:$B,F2507))</f>
        <v>T-Pain, Yung Joc</v>
      </c>
      <c r="I2507" s="6" t="str">
        <f aca="false">IF(F2507=0,"NOT FOUND",INDEX('All Song Rankings'!$D:$D,F2507))</f>
        <v>Grace</v>
      </c>
      <c r="J2507" s="7" t="str">
        <f aca="false">IF(F2507=0,"NOT FOUND",IF(C2507=I2507,"SELF-VOTE",IF(COUNTIF($K:$K,K2507)&gt;1,"DUPLICATE","OK")))</f>
        <v>OK</v>
      </c>
      <c r="K2507" s="6" t="str">
        <f aca="false">A2507&amp;"|"&amp;B2507&amp;"|"&amp;C2507&amp;"|"&amp;D2507</f>
        <v>4|6|Leah|spotify:track:2aIdVb8v9KTpEZnftkz2mD</v>
      </c>
    </row>
    <row r="2508" customFormat="false" ht="15" hidden="false" customHeight="false" outlineLevel="0" collapsed="false">
      <c r="A2508" s="5" t="n">
        <v>4</v>
      </c>
      <c r="B2508" s="5" t="n">
        <v>6</v>
      </c>
      <c r="C2508" s="5" t="s">
        <v>119</v>
      </c>
      <c r="D2508" s="5" t="s">
        <v>1236</v>
      </c>
      <c r="E2508" s="5" t="n">
        <v>2</v>
      </c>
      <c r="F2508" s="6" t="n">
        <f aca="false">IFERROR(MATCH(A2508&amp;"|"&amp;B2508&amp;"|"&amp;D2508,'All Song Rankings'!$T:$T,0),0)</f>
        <v>385</v>
      </c>
      <c r="G2508" s="6" t="str">
        <f aca="false">IF(F2508=0,"NOT FOUND",INDEX('All Song Rankings'!$A:$A,F2508))</f>
        <v>It Wasn't Me</v>
      </c>
      <c r="H2508" s="6" t="str">
        <f aca="false">IF(F2508=0,"NOT FOUND",INDEX('All Song Rankings'!$B:$B,F2508))</f>
        <v>Shaggy, Rik Rok</v>
      </c>
      <c r="I2508" s="6" t="str">
        <f aca="false">IF(F2508=0,"NOT FOUND",INDEX('All Song Rankings'!$D:$D,F2508))</f>
        <v>Kelsey</v>
      </c>
      <c r="J2508" s="7" t="str">
        <f aca="false">IF(F2508=0,"NOT FOUND",IF(C2508=I2508,"SELF-VOTE",IF(COUNTIF($K:$K,K2508)&gt;1,"DUPLICATE","OK")))</f>
        <v>OK</v>
      </c>
      <c r="K2508" s="6" t="str">
        <f aca="false">A2508&amp;"|"&amp;B2508&amp;"|"&amp;C2508&amp;"|"&amp;D2508</f>
        <v>4|6|Leah|spotify:track:3WkibOpDF7cQ5xntM1epyf</v>
      </c>
    </row>
    <row r="2509" customFormat="false" ht="15" hidden="false" customHeight="false" outlineLevel="0" collapsed="false">
      <c r="A2509" s="5" t="n">
        <v>4</v>
      </c>
      <c r="B2509" s="5" t="n">
        <v>6</v>
      </c>
      <c r="C2509" s="5" t="s">
        <v>119</v>
      </c>
      <c r="D2509" s="5" t="s">
        <v>1248</v>
      </c>
      <c r="E2509" s="5" t="n">
        <v>3</v>
      </c>
      <c r="F2509" s="6" t="n">
        <f aca="false">IFERROR(MATCH(A2509&amp;"|"&amp;B2509&amp;"|"&amp;D2509,'All Song Rankings'!$T:$T,0),0)</f>
        <v>389</v>
      </c>
      <c r="G2509" s="6" t="str">
        <f aca="false">IF(F2509=0,"NOT FOUND",INDEX('All Song Rankings'!$A:$A,F2509))</f>
        <v>The Bad Touch</v>
      </c>
      <c r="H2509" s="6" t="str">
        <f aca="false">IF(F2509=0,"NOT FOUND",INDEX('All Song Rankings'!$B:$B,F2509))</f>
        <v>Bloodhound Gang</v>
      </c>
      <c r="I2509" s="6" t="str">
        <f aca="false">IF(F2509=0,"NOT FOUND",INDEX('All Song Rankings'!$D:$D,F2509))</f>
        <v>Matt</v>
      </c>
      <c r="J2509" s="7" t="str">
        <f aca="false">IF(F2509=0,"NOT FOUND",IF(C2509=I2509,"SELF-VOTE",IF(COUNTIF($K:$K,K2509)&gt;1,"DUPLICATE","OK")))</f>
        <v>OK</v>
      </c>
      <c r="K2509" s="6" t="str">
        <f aca="false">A2509&amp;"|"&amp;B2509&amp;"|"&amp;C2509&amp;"|"&amp;D2509</f>
        <v>4|6|Leah|spotify:track:5EYdTPdJD74r9EVZBztqGG</v>
      </c>
    </row>
    <row r="2510" customFormat="false" ht="15" hidden="false" customHeight="false" outlineLevel="0" collapsed="false">
      <c r="A2510" s="5" t="n">
        <v>4</v>
      </c>
      <c r="B2510" s="5" t="n">
        <v>6</v>
      </c>
      <c r="C2510" s="5" t="s">
        <v>705</v>
      </c>
      <c r="D2510" s="5" t="s">
        <v>1233</v>
      </c>
      <c r="E2510" s="5" t="n">
        <v>1</v>
      </c>
      <c r="F2510" s="6" t="n">
        <f aca="false">IFERROR(MATCH(A2510&amp;"|"&amp;B2510&amp;"|"&amp;D2510,'All Song Rankings'!$T:$T,0),0)</f>
        <v>384</v>
      </c>
      <c r="G2510" s="6" t="str">
        <f aca="false">IF(F2510=0,"NOT FOUND",INDEX('All Song Rankings'!$A:$A,F2510))</f>
        <v>How You Remind Me</v>
      </c>
      <c r="H2510" s="6" t="str">
        <f aca="false">IF(F2510=0,"NOT FOUND",INDEX('All Song Rankings'!$B:$B,F2510))</f>
        <v>Nickelback</v>
      </c>
      <c r="I2510" s="6" t="str">
        <f aca="false">IF(F2510=0,"NOT FOUND",INDEX('All Song Rankings'!$D:$D,F2510))</f>
        <v>Colleen</v>
      </c>
      <c r="J2510" s="7" t="str">
        <f aca="false">IF(F2510=0,"NOT FOUND",IF(C2510=I2510,"SELF-VOTE",IF(COUNTIF($K:$K,K2510)&gt;1,"DUPLICATE","OK")))</f>
        <v>OK</v>
      </c>
      <c r="K2510" s="6" t="str">
        <f aca="false">A2510&amp;"|"&amp;B2510&amp;"|"&amp;C2510&amp;"|"&amp;D2510</f>
        <v>4|6|Lisa|spotify:track:0gmbgwZ8iqyMPmXefof8Yf</v>
      </c>
    </row>
    <row r="2511" customFormat="false" ht="15" hidden="false" customHeight="false" outlineLevel="0" collapsed="false">
      <c r="A2511" s="5" t="n">
        <v>4</v>
      </c>
      <c r="B2511" s="5" t="n">
        <v>6</v>
      </c>
      <c r="C2511" s="5" t="s">
        <v>705</v>
      </c>
      <c r="D2511" s="5" t="s">
        <v>1224</v>
      </c>
      <c r="E2511" s="5" t="n">
        <v>2</v>
      </c>
      <c r="F2511" s="6" t="n">
        <f aca="false">IFERROR(MATCH(A2511&amp;"|"&amp;B2511&amp;"|"&amp;D2511,'All Song Rankings'!$T:$T,0),0)</f>
        <v>381</v>
      </c>
      <c r="G2511" s="6" t="str">
        <f aca="false">IF(F2511=0,"NOT FOUND",INDEX('All Song Rankings'!$A:$A,F2511))</f>
        <v>Hero</v>
      </c>
      <c r="H2511" s="6" t="str">
        <f aca="false">IF(F2511=0,"NOT FOUND",INDEX('All Song Rankings'!$B:$B,F2511))</f>
        <v>Enrique Iglesias</v>
      </c>
      <c r="I2511" s="6" t="str">
        <f aca="false">IF(F2511=0,"NOT FOUND",INDEX('All Song Rankings'!$D:$D,F2511))</f>
        <v>Kristen</v>
      </c>
      <c r="J2511" s="7" t="str">
        <f aca="false">IF(F2511=0,"NOT FOUND",IF(C2511=I2511,"SELF-VOTE",IF(COUNTIF($K:$K,K2511)&gt;1,"DUPLICATE","OK")))</f>
        <v>OK</v>
      </c>
      <c r="K2511" s="6" t="str">
        <f aca="false">A2511&amp;"|"&amp;B2511&amp;"|"&amp;C2511&amp;"|"&amp;D2511</f>
        <v>4|6|Lisa|spotify:track:24Gxm7Eh7tO83E26LG0CsY</v>
      </c>
    </row>
    <row r="2512" customFormat="false" ht="15" hidden="false" customHeight="false" outlineLevel="0" collapsed="false">
      <c r="A2512" s="5" t="n">
        <v>4</v>
      </c>
      <c r="B2512" s="5" t="n">
        <v>6</v>
      </c>
      <c r="C2512" s="5" t="s">
        <v>705</v>
      </c>
      <c r="D2512" s="5" t="s">
        <v>1227</v>
      </c>
      <c r="E2512" s="5" t="n">
        <v>1</v>
      </c>
      <c r="F2512" s="6" t="n">
        <f aca="false">IFERROR(MATCH(A2512&amp;"|"&amp;B2512&amp;"|"&amp;D2512,'All Song Rankings'!$T:$T,0),0)</f>
        <v>382</v>
      </c>
      <c r="G2512" s="6" t="str">
        <f aca="false">IF(F2512=0,"NOT FOUND",INDEX('All Song Rankings'!$A:$A,F2512))</f>
        <v>My Sacrifice</v>
      </c>
      <c r="H2512" s="6" t="str">
        <f aca="false">IF(F2512=0,"NOT FOUND",INDEX('All Song Rankings'!$B:$B,F2512))</f>
        <v>Creed</v>
      </c>
      <c r="I2512" s="6" t="str">
        <f aca="false">IF(F2512=0,"NOT FOUND",INDEX('All Song Rankings'!$D:$D,F2512))</f>
        <v>Logan</v>
      </c>
      <c r="J2512" s="7" t="str">
        <f aca="false">IF(F2512=0,"NOT FOUND",IF(C2512=I2512,"SELF-VOTE",IF(COUNTIF($K:$K,K2512)&gt;1,"DUPLICATE","OK")))</f>
        <v>OK</v>
      </c>
      <c r="K2512" s="6" t="str">
        <f aca="false">A2512&amp;"|"&amp;B2512&amp;"|"&amp;C2512&amp;"|"&amp;D2512</f>
        <v>4|6|Lisa|spotify:track:2VSbEXqs6NbNiZSTcHlIDR</v>
      </c>
    </row>
    <row r="2513" customFormat="false" ht="15" hidden="false" customHeight="false" outlineLevel="0" collapsed="false">
      <c r="A2513" s="5" t="n">
        <v>4</v>
      </c>
      <c r="B2513" s="5" t="n">
        <v>6</v>
      </c>
      <c r="C2513" s="5" t="s">
        <v>705</v>
      </c>
      <c r="D2513" s="5" t="s">
        <v>1254</v>
      </c>
      <c r="E2513" s="5" t="n">
        <v>2</v>
      </c>
      <c r="F2513" s="6" t="n">
        <f aca="false">IFERROR(MATCH(A2513&amp;"|"&amp;B2513&amp;"|"&amp;D2513,'All Song Rankings'!$T:$T,0),0)</f>
        <v>391</v>
      </c>
      <c r="G2513" s="6" t="str">
        <f aca="false">IF(F2513=0,"NOT FOUND",INDEX('All Song Rankings'!$A:$A,F2513))</f>
        <v>Good Vibrations</v>
      </c>
      <c r="H2513" s="6" t="str">
        <f aca="false">IF(F2513=0,"NOT FOUND",INDEX('All Song Rankings'!$B:$B,F2513))</f>
        <v>Marky Mark And The Funky Bunch, Loleatta Holloway</v>
      </c>
      <c r="I2513" s="6" t="str">
        <f aca="false">IF(F2513=0,"NOT FOUND",INDEX('All Song Rankings'!$D:$D,F2513))</f>
        <v>Christine</v>
      </c>
      <c r="J2513" s="7" t="str">
        <f aca="false">IF(F2513=0,"NOT FOUND",IF(C2513=I2513,"SELF-VOTE",IF(COUNTIF($K:$K,K2513)&gt;1,"DUPLICATE","OK")))</f>
        <v>OK</v>
      </c>
      <c r="K2513" s="6" t="str">
        <f aca="false">A2513&amp;"|"&amp;B2513&amp;"|"&amp;C2513&amp;"|"&amp;D2513</f>
        <v>4|6|Lisa|spotify:track:5hWdgGVcfTeLPAiHM6EZG9</v>
      </c>
    </row>
    <row r="2514" customFormat="false" ht="15" hidden="false" customHeight="false" outlineLevel="0" collapsed="false">
      <c r="A2514" s="5" t="n">
        <v>4</v>
      </c>
      <c r="B2514" s="5" t="n">
        <v>6</v>
      </c>
      <c r="C2514" s="5" t="s">
        <v>705</v>
      </c>
      <c r="D2514" s="5" t="s">
        <v>1239</v>
      </c>
      <c r="E2514" s="5" t="n">
        <v>2</v>
      </c>
      <c r="F2514" s="6" t="n">
        <f aca="false">IFERROR(MATCH(A2514&amp;"|"&amp;B2514&amp;"|"&amp;D2514,'All Song Rankings'!$T:$T,0),0)</f>
        <v>386</v>
      </c>
      <c r="G2514" s="6" t="str">
        <f aca="false">IF(F2514=0,"NOT FOUND",INDEX('All Song Rankings'!$A:$A,F2514))</f>
        <v>Cups (Pitch Perfect's "When I'm Gone") - Pop Version</v>
      </c>
      <c r="H2514" s="6" t="str">
        <f aca="false">IF(F2514=0,"NOT FOUND",INDEX('All Song Rankings'!$B:$B,F2514))</f>
        <v>Anna Kendrick</v>
      </c>
      <c r="I2514" s="6" t="str">
        <f aca="false">IF(F2514=0,"NOT FOUND",INDEX('All Song Rankings'!$D:$D,F2514))</f>
        <v>Merita</v>
      </c>
      <c r="J2514" s="7" t="str">
        <f aca="false">IF(F2514=0,"NOT FOUND",IF(C2514=I2514,"SELF-VOTE",IF(COUNTIF($K:$K,K2514)&gt;1,"DUPLICATE","OK")))</f>
        <v>OK</v>
      </c>
      <c r="K2514" s="6" t="str">
        <f aca="false">A2514&amp;"|"&amp;B2514&amp;"|"&amp;C2514&amp;"|"&amp;D2514</f>
        <v>4|6|Lisa|spotify:track:6mH3qVIeOsnQIAho5eWwhH</v>
      </c>
    </row>
    <row r="2515" customFormat="false" ht="15" hidden="false" customHeight="false" outlineLevel="0" collapsed="false">
      <c r="A2515" s="5" t="n">
        <v>4</v>
      </c>
      <c r="B2515" s="5" t="n">
        <v>6</v>
      </c>
      <c r="C2515" s="5" t="s">
        <v>705</v>
      </c>
      <c r="D2515" s="5" t="s">
        <v>1251</v>
      </c>
      <c r="E2515" s="5" t="n">
        <v>2</v>
      </c>
      <c r="F2515" s="6" t="n">
        <f aca="false">IFERROR(MATCH(A2515&amp;"|"&amp;B2515&amp;"|"&amp;D2515,'All Song Rankings'!$T:$T,0),0)</f>
        <v>390</v>
      </c>
      <c r="G2515" s="6" t="str">
        <f aca="false">IF(F2515=0,"NOT FOUND",INDEX('All Song Rankings'!$A:$A,F2515))</f>
        <v>Blue Strips</v>
      </c>
      <c r="H2515" s="6" t="str">
        <f aca="false">IF(F2515=0,"NOT FOUND",INDEX('All Song Rankings'!$B:$B,F2515))</f>
        <v>Jessie Murph</v>
      </c>
      <c r="I2515" s="6" t="str">
        <f aca="false">IF(F2515=0,"NOT FOUND",INDEX('All Song Rankings'!$D:$D,F2515))</f>
        <v>Leah</v>
      </c>
      <c r="J2515" s="7" t="str">
        <f aca="false">IF(F2515=0,"NOT FOUND",IF(C2515=I2515,"SELF-VOTE",IF(COUNTIF($K:$K,K2515)&gt;1,"DUPLICATE","OK")))</f>
        <v>OK</v>
      </c>
      <c r="K2515" s="6" t="str">
        <f aca="false">A2515&amp;"|"&amp;B2515&amp;"|"&amp;C2515&amp;"|"&amp;D2515</f>
        <v>4|6|Lisa|spotify:track:7u7IqryLFAygWFz6bsEB7y</v>
      </c>
    </row>
    <row r="2516" customFormat="false" ht="15" hidden="false" customHeight="false" outlineLevel="0" collapsed="false">
      <c r="A2516" s="5" t="n">
        <v>4</v>
      </c>
      <c r="B2516" s="5" t="n">
        <v>6</v>
      </c>
      <c r="C2516" s="5" t="s">
        <v>128</v>
      </c>
      <c r="D2516" s="5" t="s">
        <v>1224</v>
      </c>
      <c r="E2516" s="5" t="n">
        <v>2</v>
      </c>
      <c r="F2516" s="6" t="n">
        <f aca="false">IFERROR(MATCH(A2516&amp;"|"&amp;B2516&amp;"|"&amp;D2516,'All Song Rankings'!$T:$T,0),0)</f>
        <v>381</v>
      </c>
      <c r="G2516" s="6" t="str">
        <f aca="false">IF(F2516=0,"NOT FOUND",INDEX('All Song Rankings'!$A:$A,F2516))</f>
        <v>Hero</v>
      </c>
      <c r="H2516" s="6" t="str">
        <f aca="false">IF(F2516=0,"NOT FOUND",INDEX('All Song Rankings'!$B:$B,F2516))</f>
        <v>Enrique Iglesias</v>
      </c>
      <c r="I2516" s="6" t="str">
        <f aca="false">IF(F2516=0,"NOT FOUND",INDEX('All Song Rankings'!$D:$D,F2516))</f>
        <v>Kristen</v>
      </c>
      <c r="J2516" s="7" t="str">
        <f aca="false">IF(F2516=0,"NOT FOUND",IF(C2516=I2516,"SELF-VOTE",IF(COUNTIF($K:$K,K2516)&gt;1,"DUPLICATE","OK")))</f>
        <v>OK</v>
      </c>
      <c r="K2516" s="6" t="str">
        <f aca="false">A2516&amp;"|"&amp;B2516&amp;"|"&amp;C2516&amp;"|"&amp;D2516</f>
        <v>4|6|Logan|spotify:track:24Gxm7Eh7tO83E26LG0CsY</v>
      </c>
    </row>
    <row r="2517" customFormat="false" ht="15" hidden="false" customHeight="false" outlineLevel="0" collapsed="false">
      <c r="A2517" s="5" t="n">
        <v>4</v>
      </c>
      <c r="B2517" s="5" t="n">
        <v>6</v>
      </c>
      <c r="C2517" s="5" t="s">
        <v>128</v>
      </c>
      <c r="D2517" s="5" t="s">
        <v>1222</v>
      </c>
      <c r="E2517" s="5" t="n">
        <v>2</v>
      </c>
      <c r="F2517" s="6" t="n">
        <f aca="false">IFERROR(MATCH(A2517&amp;"|"&amp;B2517&amp;"|"&amp;D2517,'All Song Rankings'!$T:$T,0),0)</f>
        <v>380</v>
      </c>
      <c r="G2517" s="6" t="str">
        <f aca="false">IF(F2517=0,"NOT FOUND",INDEX('All Song Rankings'!$A:$A,F2517))</f>
        <v>Buy U a Drank (Shawty Snappin') (feat. Yung Joc)</v>
      </c>
      <c r="H2517" s="6" t="str">
        <f aca="false">IF(F2517=0,"NOT FOUND",INDEX('All Song Rankings'!$B:$B,F2517))</f>
        <v>T-Pain, Yung Joc</v>
      </c>
      <c r="I2517" s="6" t="str">
        <f aca="false">IF(F2517=0,"NOT FOUND",INDEX('All Song Rankings'!$D:$D,F2517))</f>
        <v>Grace</v>
      </c>
      <c r="J2517" s="7" t="str">
        <f aca="false">IF(F2517=0,"NOT FOUND",IF(C2517=I2517,"SELF-VOTE",IF(COUNTIF($K:$K,K2517)&gt;1,"DUPLICATE","OK")))</f>
        <v>OK</v>
      </c>
      <c r="K2517" s="6" t="str">
        <f aca="false">A2517&amp;"|"&amp;B2517&amp;"|"&amp;C2517&amp;"|"&amp;D2517</f>
        <v>4|6|Logan|spotify:track:2aIdVb8v9KTpEZnftkz2mD</v>
      </c>
    </row>
    <row r="2518" customFormat="false" ht="15" hidden="false" customHeight="false" outlineLevel="0" collapsed="false">
      <c r="A2518" s="5" t="n">
        <v>4</v>
      </c>
      <c r="B2518" s="5" t="n">
        <v>6</v>
      </c>
      <c r="C2518" s="5" t="s">
        <v>128</v>
      </c>
      <c r="D2518" s="5" t="s">
        <v>1248</v>
      </c>
      <c r="E2518" s="5" t="n">
        <v>1</v>
      </c>
      <c r="F2518" s="6" t="n">
        <f aca="false">IFERROR(MATCH(A2518&amp;"|"&amp;B2518&amp;"|"&amp;D2518,'All Song Rankings'!$T:$T,0),0)</f>
        <v>389</v>
      </c>
      <c r="G2518" s="6" t="str">
        <f aca="false">IF(F2518=0,"NOT FOUND",INDEX('All Song Rankings'!$A:$A,F2518))</f>
        <v>The Bad Touch</v>
      </c>
      <c r="H2518" s="6" t="str">
        <f aca="false">IF(F2518=0,"NOT FOUND",INDEX('All Song Rankings'!$B:$B,F2518))</f>
        <v>Bloodhound Gang</v>
      </c>
      <c r="I2518" s="6" t="str">
        <f aca="false">IF(F2518=0,"NOT FOUND",INDEX('All Song Rankings'!$D:$D,F2518))</f>
        <v>Matt</v>
      </c>
      <c r="J2518" s="7" t="str">
        <f aca="false">IF(F2518=0,"NOT FOUND",IF(C2518=I2518,"SELF-VOTE",IF(COUNTIF($K:$K,K2518)&gt;1,"DUPLICATE","OK")))</f>
        <v>OK</v>
      </c>
      <c r="K2518" s="6" t="str">
        <f aca="false">A2518&amp;"|"&amp;B2518&amp;"|"&amp;C2518&amp;"|"&amp;D2518</f>
        <v>4|6|Logan|spotify:track:5EYdTPdJD74r9EVZBztqGG</v>
      </c>
    </row>
    <row r="2519" customFormat="false" ht="15" hidden="false" customHeight="false" outlineLevel="0" collapsed="false">
      <c r="A2519" s="5" t="n">
        <v>4</v>
      </c>
      <c r="B2519" s="5" t="n">
        <v>6</v>
      </c>
      <c r="C2519" s="5" t="s">
        <v>128</v>
      </c>
      <c r="D2519" s="5" t="s">
        <v>1242</v>
      </c>
      <c r="E2519" s="5" t="n">
        <v>1</v>
      </c>
      <c r="F2519" s="6" t="n">
        <f aca="false">IFERROR(MATCH(A2519&amp;"|"&amp;B2519&amp;"|"&amp;D2519,'All Song Rankings'!$T:$T,0),0)</f>
        <v>387</v>
      </c>
      <c r="G2519" s="6" t="str">
        <f aca="false">IF(F2519=0,"NOT FOUND",INDEX('All Song Rankings'!$A:$A,F2519))</f>
        <v>Never Say Never</v>
      </c>
      <c r="H2519" s="6" t="str">
        <f aca="false">IF(F2519=0,"NOT FOUND",INDEX('All Song Rankings'!$B:$B,F2519))</f>
        <v>Justin Bieber, Jaden</v>
      </c>
      <c r="I2519" s="6" t="str">
        <f aca="false">IF(F2519=0,"NOT FOUND",INDEX('All Song Rankings'!$D:$D,F2519))</f>
        <v>Nicole</v>
      </c>
      <c r="J2519" s="7" t="str">
        <f aca="false">IF(F2519=0,"NOT FOUND",IF(C2519=I2519,"SELF-VOTE",IF(COUNTIF($K:$K,K2519)&gt;1,"DUPLICATE","OK")))</f>
        <v>OK</v>
      </c>
      <c r="K2519" s="6" t="str">
        <f aca="false">A2519&amp;"|"&amp;B2519&amp;"|"&amp;C2519&amp;"|"&amp;D2519</f>
        <v>4|6|Logan|spotify:track:5GYbkDveRD2I8M5ZJ14hWn</v>
      </c>
    </row>
    <row r="2520" customFormat="false" ht="15" hidden="false" customHeight="false" outlineLevel="0" collapsed="false">
      <c r="A2520" s="5" t="n">
        <v>4</v>
      </c>
      <c r="B2520" s="5" t="n">
        <v>6</v>
      </c>
      <c r="C2520" s="5" t="s">
        <v>128</v>
      </c>
      <c r="D2520" s="5" t="s">
        <v>1257</v>
      </c>
      <c r="E2520" s="5" t="n">
        <v>1</v>
      </c>
      <c r="F2520" s="6" t="n">
        <f aca="false">IFERROR(MATCH(A2520&amp;"|"&amp;B2520&amp;"|"&amp;D2520,'All Song Rankings'!$T:$T,0),0)</f>
        <v>392</v>
      </c>
      <c r="G2520" s="6" t="str">
        <f aca="false">IF(F2520=0,"NOT FOUND",INDEX('All Song Rankings'!$A:$A,F2520))</f>
        <v>Keep Your Hands to Yourself</v>
      </c>
      <c r="H2520" s="6" t="str">
        <f aca="false">IF(F2520=0,"NOT FOUND",INDEX('All Song Rankings'!$B:$B,F2520))</f>
        <v>The Georgia Satellites</v>
      </c>
      <c r="I2520" s="6" t="str">
        <f aca="false">IF(F2520=0,"NOT FOUND",INDEX('All Song Rankings'!$D:$D,F2520))</f>
        <v>Lisa</v>
      </c>
      <c r="J2520" s="7" t="str">
        <f aca="false">IF(F2520=0,"NOT FOUND",IF(C2520=I2520,"SELF-VOTE",IF(COUNTIF($K:$K,K2520)&gt;1,"DUPLICATE","OK")))</f>
        <v>OK</v>
      </c>
      <c r="K2520" s="6" t="str">
        <f aca="false">A2520&amp;"|"&amp;B2520&amp;"|"&amp;C2520&amp;"|"&amp;D2520</f>
        <v>4|6|Logan|spotify:track:5tORtBzHUAnNrIw5Ql3kHZ</v>
      </c>
    </row>
    <row r="2521" customFormat="false" ht="15" hidden="false" customHeight="false" outlineLevel="0" collapsed="false">
      <c r="A2521" s="5" t="n">
        <v>4</v>
      </c>
      <c r="B2521" s="5" t="n">
        <v>6</v>
      </c>
      <c r="C2521" s="5" t="s">
        <v>128</v>
      </c>
      <c r="D2521" s="5" t="s">
        <v>1239</v>
      </c>
      <c r="E2521" s="5" t="n">
        <v>1</v>
      </c>
      <c r="F2521" s="6" t="n">
        <f aca="false">IFERROR(MATCH(A2521&amp;"|"&amp;B2521&amp;"|"&amp;D2521,'All Song Rankings'!$T:$T,0),0)</f>
        <v>386</v>
      </c>
      <c r="G2521" s="6" t="str">
        <f aca="false">IF(F2521=0,"NOT FOUND",INDEX('All Song Rankings'!$A:$A,F2521))</f>
        <v>Cups (Pitch Perfect's "When I'm Gone") - Pop Version</v>
      </c>
      <c r="H2521" s="6" t="str">
        <f aca="false">IF(F2521=0,"NOT FOUND",INDEX('All Song Rankings'!$B:$B,F2521))</f>
        <v>Anna Kendrick</v>
      </c>
      <c r="I2521" s="6" t="str">
        <f aca="false">IF(F2521=0,"NOT FOUND",INDEX('All Song Rankings'!$D:$D,F2521))</f>
        <v>Merita</v>
      </c>
      <c r="J2521" s="7" t="str">
        <f aca="false">IF(F2521=0,"NOT FOUND",IF(C2521=I2521,"SELF-VOTE",IF(COUNTIF($K:$K,K2521)&gt;1,"DUPLICATE","OK")))</f>
        <v>OK</v>
      </c>
      <c r="K2521" s="6" t="str">
        <f aca="false">A2521&amp;"|"&amp;B2521&amp;"|"&amp;C2521&amp;"|"&amp;D2521</f>
        <v>4|6|Logan|spotify:track:6mH3qVIeOsnQIAho5eWwhH</v>
      </c>
    </row>
    <row r="2522" customFormat="false" ht="15" hidden="false" customHeight="false" outlineLevel="0" collapsed="false">
      <c r="A2522" s="5" t="n">
        <v>4</v>
      </c>
      <c r="B2522" s="5" t="n">
        <v>6</v>
      </c>
      <c r="C2522" s="5" t="s">
        <v>128</v>
      </c>
      <c r="D2522" s="5" t="s">
        <v>1245</v>
      </c>
      <c r="E2522" s="5" t="n">
        <v>2</v>
      </c>
      <c r="F2522" s="6" t="n">
        <f aca="false">IFERROR(MATCH(A2522&amp;"|"&amp;B2522&amp;"|"&amp;D2522,'All Song Rankings'!$T:$T,0),0)</f>
        <v>388</v>
      </c>
      <c r="G2522" s="6" t="str">
        <f aca="false">IF(F2522=0,"NOT FOUND",INDEX('All Song Rankings'!$A:$A,F2522))</f>
        <v>Stars Are Blind</v>
      </c>
      <c r="H2522" s="6" t="str">
        <f aca="false">IF(F2522=0,"NOT FOUND",INDEX('All Song Rankings'!$B:$B,F2522))</f>
        <v>Paris Hilton</v>
      </c>
      <c r="I2522" s="6" t="str">
        <f aca="false">IF(F2522=0,"NOT FOUND",INDEX('All Song Rankings'!$D:$D,F2522))</f>
        <v>Stephanie</v>
      </c>
      <c r="J2522" s="7" t="str">
        <f aca="false">IF(F2522=0,"NOT FOUND",IF(C2522=I2522,"SELF-VOTE",IF(COUNTIF($K:$K,K2522)&gt;1,"DUPLICATE","OK")))</f>
        <v>OK</v>
      </c>
      <c r="K2522" s="6" t="str">
        <f aca="false">A2522&amp;"|"&amp;B2522&amp;"|"&amp;C2522&amp;"|"&amp;D2522</f>
        <v>4|6|Logan|spotify:track:71V89tJj9CboDyzncO6ZN2</v>
      </c>
    </row>
    <row r="2523" customFormat="false" ht="15" hidden="false" customHeight="false" outlineLevel="0" collapsed="false">
      <c r="A2523" s="5" t="n">
        <v>4</v>
      </c>
      <c r="B2523" s="5" t="n">
        <v>6</v>
      </c>
      <c r="C2523" s="5" t="s">
        <v>395</v>
      </c>
      <c r="D2523" s="5" t="s">
        <v>1222</v>
      </c>
      <c r="E2523" s="5" t="n">
        <v>2</v>
      </c>
      <c r="F2523" s="6" t="n">
        <f aca="false">IFERROR(MATCH(A2523&amp;"|"&amp;B2523&amp;"|"&amp;D2523,'All Song Rankings'!$T:$T,0),0)</f>
        <v>380</v>
      </c>
      <c r="G2523" s="6" t="str">
        <f aca="false">IF(F2523=0,"NOT FOUND",INDEX('All Song Rankings'!$A:$A,F2523))</f>
        <v>Buy U a Drank (Shawty Snappin') (feat. Yung Joc)</v>
      </c>
      <c r="H2523" s="6" t="str">
        <f aca="false">IF(F2523=0,"NOT FOUND",INDEX('All Song Rankings'!$B:$B,F2523))</f>
        <v>T-Pain, Yung Joc</v>
      </c>
      <c r="I2523" s="6" t="str">
        <f aca="false">IF(F2523=0,"NOT FOUND",INDEX('All Song Rankings'!$D:$D,F2523))</f>
        <v>Grace</v>
      </c>
      <c r="J2523" s="7" t="str">
        <f aca="false">IF(F2523=0,"NOT FOUND",IF(C2523=I2523,"SELF-VOTE",IF(COUNTIF($K:$K,K2523)&gt;1,"DUPLICATE","OK")))</f>
        <v>OK</v>
      </c>
      <c r="K2523" s="6" t="str">
        <f aca="false">A2523&amp;"|"&amp;B2523&amp;"|"&amp;C2523&amp;"|"&amp;D2523</f>
        <v>4|6|Makenzie|spotify:track:2aIdVb8v9KTpEZnftkz2mD</v>
      </c>
    </row>
    <row r="2524" customFormat="false" ht="15" hidden="false" customHeight="false" outlineLevel="0" collapsed="false">
      <c r="A2524" s="5" t="n">
        <v>4</v>
      </c>
      <c r="B2524" s="5" t="n">
        <v>6</v>
      </c>
      <c r="C2524" s="5" t="s">
        <v>395</v>
      </c>
      <c r="D2524" s="5" t="s">
        <v>1236</v>
      </c>
      <c r="E2524" s="5" t="n">
        <v>2</v>
      </c>
      <c r="F2524" s="6" t="n">
        <f aca="false">IFERROR(MATCH(A2524&amp;"|"&amp;B2524&amp;"|"&amp;D2524,'All Song Rankings'!$T:$T,0),0)</f>
        <v>385</v>
      </c>
      <c r="G2524" s="6" t="str">
        <f aca="false">IF(F2524=0,"NOT FOUND",INDEX('All Song Rankings'!$A:$A,F2524))</f>
        <v>It Wasn't Me</v>
      </c>
      <c r="H2524" s="6" t="str">
        <f aca="false">IF(F2524=0,"NOT FOUND",INDEX('All Song Rankings'!$B:$B,F2524))</f>
        <v>Shaggy, Rik Rok</v>
      </c>
      <c r="I2524" s="6" t="str">
        <f aca="false">IF(F2524=0,"NOT FOUND",INDEX('All Song Rankings'!$D:$D,F2524))</f>
        <v>Kelsey</v>
      </c>
      <c r="J2524" s="7" t="str">
        <f aca="false">IF(F2524=0,"NOT FOUND",IF(C2524=I2524,"SELF-VOTE",IF(COUNTIF($K:$K,K2524)&gt;1,"DUPLICATE","OK")))</f>
        <v>OK</v>
      </c>
      <c r="K2524" s="6" t="str">
        <f aca="false">A2524&amp;"|"&amp;B2524&amp;"|"&amp;C2524&amp;"|"&amp;D2524</f>
        <v>4|6|Makenzie|spotify:track:3WkibOpDF7cQ5xntM1epyf</v>
      </c>
    </row>
    <row r="2525" customFormat="false" ht="15" hidden="false" customHeight="false" outlineLevel="0" collapsed="false">
      <c r="A2525" s="5" t="n">
        <v>4</v>
      </c>
      <c r="B2525" s="5" t="n">
        <v>6</v>
      </c>
      <c r="C2525" s="5" t="s">
        <v>395</v>
      </c>
      <c r="D2525" s="5" t="s">
        <v>1248</v>
      </c>
      <c r="E2525" s="5" t="n">
        <v>1</v>
      </c>
      <c r="F2525" s="6" t="n">
        <f aca="false">IFERROR(MATCH(A2525&amp;"|"&amp;B2525&amp;"|"&amp;D2525,'All Song Rankings'!$T:$T,0),0)</f>
        <v>389</v>
      </c>
      <c r="G2525" s="6" t="str">
        <f aca="false">IF(F2525=0,"NOT FOUND",INDEX('All Song Rankings'!$A:$A,F2525))</f>
        <v>The Bad Touch</v>
      </c>
      <c r="H2525" s="6" t="str">
        <f aca="false">IF(F2525=0,"NOT FOUND",INDEX('All Song Rankings'!$B:$B,F2525))</f>
        <v>Bloodhound Gang</v>
      </c>
      <c r="I2525" s="6" t="str">
        <f aca="false">IF(F2525=0,"NOT FOUND",INDEX('All Song Rankings'!$D:$D,F2525))</f>
        <v>Matt</v>
      </c>
      <c r="J2525" s="7" t="str">
        <f aca="false">IF(F2525=0,"NOT FOUND",IF(C2525=I2525,"SELF-VOTE",IF(COUNTIF($K:$K,K2525)&gt;1,"DUPLICATE","OK")))</f>
        <v>OK</v>
      </c>
      <c r="K2525" s="6" t="str">
        <f aca="false">A2525&amp;"|"&amp;B2525&amp;"|"&amp;C2525&amp;"|"&amp;D2525</f>
        <v>4|6|Makenzie|spotify:track:5EYdTPdJD74r9EVZBztqGG</v>
      </c>
    </row>
    <row r="2526" customFormat="false" ht="15" hidden="false" customHeight="false" outlineLevel="0" collapsed="false">
      <c r="A2526" s="5" t="n">
        <v>4</v>
      </c>
      <c r="B2526" s="5" t="n">
        <v>6</v>
      </c>
      <c r="C2526" s="5" t="s">
        <v>395</v>
      </c>
      <c r="D2526" s="5" t="s">
        <v>1242</v>
      </c>
      <c r="E2526" s="5" t="n">
        <v>1</v>
      </c>
      <c r="F2526" s="6" t="n">
        <f aca="false">IFERROR(MATCH(A2526&amp;"|"&amp;B2526&amp;"|"&amp;D2526,'All Song Rankings'!$T:$T,0),0)</f>
        <v>387</v>
      </c>
      <c r="G2526" s="6" t="str">
        <f aca="false">IF(F2526=0,"NOT FOUND",INDEX('All Song Rankings'!$A:$A,F2526))</f>
        <v>Never Say Never</v>
      </c>
      <c r="H2526" s="6" t="str">
        <f aca="false">IF(F2526=0,"NOT FOUND",INDEX('All Song Rankings'!$B:$B,F2526))</f>
        <v>Justin Bieber, Jaden</v>
      </c>
      <c r="I2526" s="6" t="str">
        <f aca="false">IF(F2526=0,"NOT FOUND",INDEX('All Song Rankings'!$D:$D,F2526))</f>
        <v>Nicole</v>
      </c>
      <c r="J2526" s="7" t="str">
        <f aca="false">IF(F2526=0,"NOT FOUND",IF(C2526=I2526,"SELF-VOTE",IF(COUNTIF($K:$K,K2526)&gt;1,"DUPLICATE","OK")))</f>
        <v>OK</v>
      </c>
      <c r="K2526" s="6" t="str">
        <f aca="false">A2526&amp;"|"&amp;B2526&amp;"|"&amp;C2526&amp;"|"&amp;D2526</f>
        <v>4|6|Makenzie|spotify:track:5GYbkDveRD2I8M5ZJ14hWn</v>
      </c>
    </row>
    <row r="2527" customFormat="false" ht="15" hidden="false" customHeight="false" outlineLevel="0" collapsed="false">
      <c r="A2527" s="5" t="n">
        <v>4</v>
      </c>
      <c r="B2527" s="5" t="n">
        <v>6</v>
      </c>
      <c r="C2527" s="5" t="s">
        <v>395</v>
      </c>
      <c r="D2527" s="5" t="s">
        <v>1254</v>
      </c>
      <c r="E2527" s="5" t="n">
        <v>1</v>
      </c>
      <c r="F2527" s="6" t="n">
        <f aca="false">IFERROR(MATCH(A2527&amp;"|"&amp;B2527&amp;"|"&amp;D2527,'All Song Rankings'!$T:$T,0),0)</f>
        <v>391</v>
      </c>
      <c r="G2527" s="6" t="str">
        <f aca="false">IF(F2527=0,"NOT FOUND",INDEX('All Song Rankings'!$A:$A,F2527))</f>
        <v>Good Vibrations</v>
      </c>
      <c r="H2527" s="6" t="str">
        <f aca="false">IF(F2527=0,"NOT FOUND",INDEX('All Song Rankings'!$B:$B,F2527))</f>
        <v>Marky Mark And The Funky Bunch, Loleatta Holloway</v>
      </c>
      <c r="I2527" s="6" t="str">
        <f aca="false">IF(F2527=0,"NOT FOUND",INDEX('All Song Rankings'!$D:$D,F2527))</f>
        <v>Christine</v>
      </c>
      <c r="J2527" s="7" t="str">
        <f aca="false">IF(F2527=0,"NOT FOUND",IF(C2527=I2527,"SELF-VOTE",IF(COUNTIF($K:$K,K2527)&gt;1,"DUPLICATE","OK")))</f>
        <v>OK</v>
      </c>
      <c r="K2527" s="6" t="str">
        <f aca="false">A2527&amp;"|"&amp;B2527&amp;"|"&amp;C2527&amp;"|"&amp;D2527</f>
        <v>4|6|Makenzie|spotify:track:5hWdgGVcfTeLPAiHM6EZG9</v>
      </c>
    </row>
    <row r="2528" customFormat="false" ht="15" hidden="false" customHeight="false" outlineLevel="0" collapsed="false">
      <c r="A2528" s="5" t="n">
        <v>4</v>
      </c>
      <c r="B2528" s="5" t="n">
        <v>6</v>
      </c>
      <c r="C2528" s="5" t="s">
        <v>395</v>
      </c>
      <c r="D2528" s="5" t="s">
        <v>1239</v>
      </c>
      <c r="E2528" s="5" t="n">
        <v>1</v>
      </c>
      <c r="F2528" s="6" t="n">
        <f aca="false">IFERROR(MATCH(A2528&amp;"|"&amp;B2528&amp;"|"&amp;D2528,'All Song Rankings'!$T:$T,0),0)</f>
        <v>386</v>
      </c>
      <c r="G2528" s="6" t="str">
        <f aca="false">IF(F2528=0,"NOT FOUND",INDEX('All Song Rankings'!$A:$A,F2528))</f>
        <v>Cups (Pitch Perfect's "When I'm Gone") - Pop Version</v>
      </c>
      <c r="H2528" s="6" t="str">
        <f aca="false">IF(F2528=0,"NOT FOUND",INDEX('All Song Rankings'!$B:$B,F2528))</f>
        <v>Anna Kendrick</v>
      </c>
      <c r="I2528" s="6" t="str">
        <f aca="false">IF(F2528=0,"NOT FOUND",INDEX('All Song Rankings'!$D:$D,F2528))</f>
        <v>Merita</v>
      </c>
      <c r="J2528" s="7" t="str">
        <f aca="false">IF(F2528=0,"NOT FOUND",IF(C2528=I2528,"SELF-VOTE",IF(COUNTIF($K:$K,K2528)&gt;1,"DUPLICATE","OK")))</f>
        <v>OK</v>
      </c>
      <c r="K2528" s="6" t="str">
        <f aca="false">A2528&amp;"|"&amp;B2528&amp;"|"&amp;C2528&amp;"|"&amp;D2528</f>
        <v>4|6|Makenzie|spotify:track:6mH3qVIeOsnQIAho5eWwhH</v>
      </c>
    </row>
    <row r="2529" customFormat="false" ht="15" hidden="false" customHeight="false" outlineLevel="0" collapsed="false">
      <c r="A2529" s="5" t="n">
        <v>4</v>
      </c>
      <c r="B2529" s="5" t="n">
        <v>6</v>
      </c>
      <c r="C2529" s="5" t="s">
        <v>395</v>
      </c>
      <c r="D2529" s="5" t="s">
        <v>1245</v>
      </c>
      <c r="E2529" s="5" t="n">
        <v>1</v>
      </c>
      <c r="F2529" s="6" t="n">
        <f aca="false">IFERROR(MATCH(A2529&amp;"|"&amp;B2529&amp;"|"&amp;D2529,'All Song Rankings'!$T:$T,0),0)</f>
        <v>388</v>
      </c>
      <c r="G2529" s="6" t="str">
        <f aca="false">IF(F2529=0,"NOT FOUND",INDEX('All Song Rankings'!$A:$A,F2529))</f>
        <v>Stars Are Blind</v>
      </c>
      <c r="H2529" s="6" t="str">
        <f aca="false">IF(F2529=0,"NOT FOUND",INDEX('All Song Rankings'!$B:$B,F2529))</f>
        <v>Paris Hilton</v>
      </c>
      <c r="I2529" s="6" t="str">
        <f aca="false">IF(F2529=0,"NOT FOUND",INDEX('All Song Rankings'!$D:$D,F2529))</f>
        <v>Stephanie</v>
      </c>
      <c r="J2529" s="7" t="str">
        <f aca="false">IF(F2529=0,"NOT FOUND",IF(C2529=I2529,"SELF-VOTE",IF(COUNTIF($K:$K,K2529)&gt;1,"DUPLICATE","OK")))</f>
        <v>OK</v>
      </c>
      <c r="K2529" s="6" t="str">
        <f aca="false">A2529&amp;"|"&amp;B2529&amp;"|"&amp;C2529&amp;"|"&amp;D2529</f>
        <v>4|6|Makenzie|spotify:track:71V89tJj9CboDyzncO6ZN2</v>
      </c>
    </row>
    <row r="2530" customFormat="false" ht="15" hidden="false" customHeight="false" outlineLevel="0" collapsed="false">
      <c r="A2530" s="5" t="n">
        <v>4</v>
      </c>
      <c r="B2530" s="5" t="n">
        <v>6</v>
      </c>
      <c r="C2530" s="5" t="s">
        <v>395</v>
      </c>
      <c r="D2530" s="5" t="s">
        <v>1251</v>
      </c>
      <c r="E2530" s="5" t="n">
        <v>1</v>
      </c>
      <c r="F2530" s="6" t="n">
        <f aca="false">IFERROR(MATCH(A2530&amp;"|"&amp;B2530&amp;"|"&amp;D2530,'All Song Rankings'!$T:$T,0),0)</f>
        <v>390</v>
      </c>
      <c r="G2530" s="6" t="str">
        <f aca="false">IF(F2530=0,"NOT FOUND",INDEX('All Song Rankings'!$A:$A,F2530))</f>
        <v>Blue Strips</v>
      </c>
      <c r="H2530" s="6" t="str">
        <f aca="false">IF(F2530=0,"NOT FOUND",INDEX('All Song Rankings'!$B:$B,F2530))</f>
        <v>Jessie Murph</v>
      </c>
      <c r="I2530" s="6" t="str">
        <f aca="false">IF(F2530=0,"NOT FOUND",INDEX('All Song Rankings'!$D:$D,F2530))</f>
        <v>Leah</v>
      </c>
      <c r="J2530" s="7" t="str">
        <f aca="false">IF(F2530=0,"NOT FOUND",IF(C2530=I2530,"SELF-VOTE",IF(COUNTIF($K:$K,K2530)&gt;1,"DUPLICATE","OK")))</f>
        <v>OK</v>
      </c>
      <c r="K2530" s="6" t="str">
        <f aca="false">A2530&amp;"|"&amp;B2530&amp;"|"&amp;C2530&amp;"|"&amp;D2530</f>
        <v>4|6|Makenzie|spotify:track:7u7IqryLFAygWFz6bsEB7y</v>
      </c>
    </row>
    <row r="2531" customFormat="false" ht="15" hidden="false" customHeight="false" outlineLevel="0" collapsed="false">
      <c r="A2531" s="5" t="n">
        <v>4</v>
      </c>
      <c r="B2531" s="5" t="n">
        <v>6</v>
      </c>
      <c r="C2531" s="5" t="s">
        <v>116</v>
      </c>
      <c r="D2531" s="5" t="s">
        <v>1233</v>
      </c>
      <c r="E2531" s="5" t="n">
        <v>1</v>
      </c>
      <c r="F2531" s="6" t="n">
        <f aca="false">IFERROR(MATCH(A2531&amp;"|"&amp;B2531&amp;"|"&amp;D2531,'All Song Rankings'!$T:$T,0),0)</f>
        <v>384</v>
      </c>
      <c r="G2531" s="6" t="str">
        <f aca="false">IF(F2531=0,"NOT FOUND",INDEX('All Song Rankings'!$A:$A,F2531))</f>
        <v>How You Remind Me</v>
      </c>
      <c r="H2531" s="6" t="str">
        <f aca="false">IF(F2531=0,"NOT FOUND",INDEX('All Song Rankings'!$B:$B,F2531))</f>
        <v>Nickelback</v>
      </c>
      <c r="I2531" s="6" t="str">
        <f aca="false">IF(F2531=0,"NOT FOUND",INDEX('All Song Rankings'!$D:$D,F2531))</f>
        <v>Colleen</v>
      </c>
      <c r="J2531" s="7" t="str">
        <f aca="false">IF(F2531=0,"NOT FOUND",IF(C2531=I2531,"SELF-VOTE",IF(COUNTIF($K:$K,K2531)&gt;1,"DUPLICATE","OK")))</f>
        <v>OK</v>
      </c>
      <c r="K2531" s="6" t="str">
        <f aca="false">A2531&amp;"|"&amp;B2531&amp;"|"&amp;C2531&amp;"|"&amp;D2531</f>
        <v>4|6|Matt|spotify:track:0gmbgwZ8iqyMPmXefof8Yf</v>
      </c>
    </row>
    <row r="2532" customFormat="false" ht="15" hidden="false" customHeight="false" outlineLevel="0" collapsed="false">
      <c r="A2532" s="5" t="n">
        <v>4</v>
      </c>
      <c r="B2532" s="5" t="n">
        <v>6</v>
      </c>
      <c r="C2532" s="5" t="s">
        <v>116</v>
      </c>
      <c r="D2532" s="5" t="s">
        <v>1230</v>
      </c>
      <c r="E2532" s="5" t="n">
        <v>1</v>
      </c>
      <c r="F2532" s="6" t="n">
        <f aca="false">IFERROR(MATCH(A2532&amp;"|"&amp;B2532&amp;"|"&amp;D2532,'All Song Rankings'!$T:$T,0),0)</f>
        <v>383</v>
      </c>
      <c r="G2532" s="6" t="str">
        <f aca="false">IF(F2532=0,"NOT FOUND",INDEX('All Song Rankings'!$A:$A,F2532))</f>
        <v>Scotty Doesn't Know</v>
      </c>
      <c r="H2532" s="6" t="str">
        <f aca="false">IF(F2532=0,"NOT FOUND",INDEX('All Song Rankings'!$B:$B,F2532))</f>
        <v>Lustra</v>
      </c>
      <c r="I2532" s="6" t="str">
        <f aca="false">IF(F2532=0,"NOT FOUND",INDEX('All Song Rankings'!$D:$D,F2532))</f>
        <v>Makenzie</v>
      </c>
      <c r="J2532" s="7" t="str">
        <f aca="false">IF(F2532=0,"NOT FOUND",IF(C2532=I2532,"SELF-VOTE",IF(COUNTIF($K:$K,K2532)&gt;1,"DUPLICATE","OK")))</f>
        <v>OK</v>
      </c>
      <c r="K2532" s="6" t="str">
        <f aca="false">A2532&amp;"|"&amp;B2532&amp;"|"&amp;C2532&amp;"|"&amp;D2532</f>
        <v>4|6|Matt|spotify:track:1LkoYGxmYpO6QSEvY5C0Zl</v>
      </c>
    </row>
    <row r="2533" customFormat="false" ht="15" hidden="false" customHeight="false" outlineLevel="0" collapsed="false">
      <c r="A2533" s="5" t="n">
        <v>4</v>
      </c>
      <c r="B2533" s="5" t="n">
        <v>6</v>
      </c>
      <c r="C2533" s="5" t="s">
        <v>116</v>
      </c>
      <c r="D2533" s="5" t="s">
        <v>1224</v>
      </c>
      <c r="E2533" s="5" t="n">
        <v>1</v>
      </c>
      <c r="F2533" s="6" t="n">
        <f aca="false">IFERROR(MATCH(A2533&amp;"|"&amp;B2533&amp;"|"&amp;D2533,'All Song Rankings'!$T:$T,0),0)</f>
        <v>381</v>
      </c>
      <c r="G2533" s="6" t="str">
        <f aca="false">IF(F2533=0,"NOT FOUND",INDEX('All Song Rankings'!$A:$A,F2533))</f>
        <v>Hero</v>
      </c>
      <c r="H2533" s="6" t="str">
        <f aca="false">IF(F2533=0,"NOT FOUND",INDEX('All Song Rankings'!$B:$B,F2533))</f>
        <v>Enrique Iglesias</v>
      </c>
      <c r="I2533" s="6" t="str">
        <f aca="false">IF(F2533=0,"NOT FOUND",INDEX('All Song Rankings'!$D:$D,F2533))</f>
        <v>Kristen</v>
      </c>
      <c r="J2533" s="7" t="str">
        <f aca="false">IF(F2533=0,"NOT FOUND",IF(C2533=I2533,"SELF-VOTE",IF(COUNTIF($K:$K,K2533)&gt;1,"DUPLICATE","OK")))</f>
        <v>OK</v>
      </c>
      <c r="K2533" s="6" t="str">
        <f aca="false">A2533&amp;"|"&amp;B2533&amp;"|"&amp;C2533&amp;"|"&amp;D2533</f>
        <v>4|6|Matt|spotify:track:24Gxm7Eh7tO83E26LG0CsY</v>
      </c>
    </row>
    <row r="2534" customFormat="false" ht="15" hidden="false" customHeight="false" outlineLevel="0" collapsed="false">
      <c r="A2534" s="5" t="n">
        <v>4</v>
      </c>
      <c r="B2534" s="5" t="n">
        <v>6</v>
      </c>
      <c r="C2534" s="5" t="s">
        <v>116</v>
      </c>
      <c r="D2534" s="5" t="s">
        <v>1227</v>
      </c>
      <c r="E2534" s="5" t="n">
        <v>1</v>
      </c>
      <c r="F2534" s="6" t="n">
        <f aca="false">IFERROR(MATCH(A2534&amp;"|"&amp;B2534&amp;"|"&amp;D2534,'All Song Rankings'!$T:$T,0),0)</f>
        <v>382</v>
      </c>
      <c r="G2534" s="6" t="str">
        <f aca="false">IF(F2534=0,"NOT FOUND",INDEX('All Song Rankings'!$A:$A,F2534))</f>
        <v>My Sacrifice</v>
      </c>
      <c r="H2534" s="6" t="str">
        <f aca="false">IF(F2534=0,"NOT FOUND",INDEX('All Song Rankings'!$B:$B,F2534))</f>
        <v>Creed</v>
      </c>
      <c r="I2534" s="6" t="str">
        <f aca="false">IF(F2534=0,"NOT FOUND",INDEX('All Song Rankings'!$D:$D,F2534))</f>
        <v>Logan</v>
      </c>
      <c r="J2534" s="7" t="str">
        <f aca="false">IF(F2534=0,"NOT FOUND",IF(C2534=I2534,"SELF-VOTE",IF(COUNTIF($K:$K,K2534)&gt;1,"DUPLICATE","OK")))</f>
        <v>OK</v>
      </c>
      <c r="K2534" s="6" t="str">
        <f aca="false">A2534&amp;"|"&amp;B2534&amp;"|"&amp;C2534&amp;"|"&amp;D2534</f>
        <v>4|6|Matt|spotify:track:2VSbEXqs6NbNiZSTcHlIDR</v>
      </c>
    </row>
    <row r="2535" customFormat="false" ht="15" hidden="false" customHeight="false" outlineLevel="0" collapsed="false">
      <c r="A2535" s="5" t="n">
        <v>4</v>
      </c>
      <c r="B2535" s="5" t="n">
        <v>6</v>
      </c>
      <c r="C2535" s="5" t="s">
        <v>116</v>
      </c>
      <c r="D2535" s="5" t="s">
        <v>1222</v>
      </c>
      <c r="E2535" s="5" t="n">
        <v>1</v>
      </c>
      <c r="F2535" s="6" t="n">
        <f aca="false">IFERROR(MATCH(A2535&amp;"|"&amp;B2535&amp;"|"&amp;D2535,'All Song Rankings'!$T:$T,0),0)</f>
        <v>380</v>
      </c>
      <c r="G2535" s="6" t="str">
        <f aca="false">IF(F2535=0,"NOT FOUND",INDEX('All Song Rankings'!$A:$A,F2535))</f>
        <v>Buy U a Drank (Shawty Snappin') (feat. Yung Joc)</v>
      </c>
      <c r="H2535" s="6" t="str">
        <f aca="false">IF(F2535=0,"NOT FOUND",INDEX('All Song Rankings'!$B:$B,F2535))</f>
        <v>T-Pain, Yung Joc</v>
      </c>
      <c r="I2535" s="6" t="str">
        <f aca="false">IF(F2535=0,"NOT FOUND",INDEX('All Song Rankings'!$D:$D,F2535))</f>
        <v>Grace</v>
      </c>
      <c r="J2535" s="7" t="str">
        <f aca="false">IF(F2535=0,"NOT FOUND",IF(C2535=I2535,"SELF-VOTE",IF(COUNTIF($K:$K,K2535)&gt;1,"DUPLICATE","OK")))</f>
        <v>OK</v>
      </c>
      <c r="K2535" s="6" t="str">
        <f aca="false">A2535&amp;"|"&amp;B2535&amp;"|"&amp;C2535&amp;"|"&amp;D2535</f>
        <v>4|6|Matt|spotify:track:2aIdVb8v9KTpEZnftkz2mD</v>
      </c>
    </row>
    <row r="2536" customFormat="false" ht="15" hidden="false" customHeight="false" outlineLevel="0" collapsed="false">
      <c r="A2536" s="5" t="n">
        <v>4</v>
      </c>
      <c r="B2536" s="5" t="n">
        <v>6</v>
      </c>
      <c r="C2536" s="5" t="s">
        <v>116</v>
      </c>
      <c r="D2536" s="5" t="s">
        <v>1236</v>
      </c>
      <c r="E2536" s="5" t="n">
        <v>1</v>
      </c>
      <c r="F2536" s="6" t="n">
        <f aca="false">IFERROR(MATCH(A2536&amp;"|"&amp;B2536&amp;"|"&amp;D2536,'All Song Rankings'!$T:$T,0),0)</f>
        <v>385</v>
      </c>
      <c r="G2536" s="6" t="str">
        <f aca="false">IF(F2536=0,"NOT FOUND",INDEX('All Song Rankings'!$A:$A,F2536))</f>
        <v>It Wasn't Me</v>
      </c>
      <c r="H2536" s="6" t="str">
        <f aca="false">IF(F2536=0,"NOT FOUND",INDEX('All Song Rankings'!$B:$B,F2536))</f>
        <v>Shaggy, Rik Rok</v>
      </c>
      <c r="I2536" s="6" t="str">
        <f aca="false">IF(F2536=0,"NOT FOUND",INDEX('All Song Rankings'!$D:$D,F2536))</f>
        <v>Kelsey</v>
      </c>
      <c r="J2536" s="7" t="str">
        <f aca="false">IF(F2536=0,"NOT FOUND",IF(C2536=I2536,"SELF-VOTE",IF(COUNTIF($K:$K,K2536)&gt;1,"DUPLICATE","OK")))</f>
        <v>OK</v>
      </c>
      <c r="K2536" s="6" t="str">
        <f aca="false">A2536&amp;"|"&amp;B2536&amp;"|"&amp;C2536&amp;"|"&amp;D2536</f>
        <v>4|6|Matt|spotify:track:3WkibOpDF7cQ5xntM1epyf</v>
      </c>
    </row>
    <row r="2537" customFormat="false" ht="15" hidden="false" customHeight="false" outlineLevel="0" collapsed="false">
      <c r="A2537" s="5" t="n">
        <v>4</v>
      </c>
      <c r="B2537" s="5" t="n">
        <v>6</v>
      </c>
      <c r="C2537" s="5" t="s">
        <v>116</v>
      </c>
      <c r="D2537" s="5" t="s">
        <v>1257</v>
      </c>
      <c r="E2537" s="5" t="n">
        <v>1</v>
      </c>
      <c r="F2537" s="6" t="n">
        <f aca="false">IFERROR(MATCH(A2537&amp;"|"&amp;B2537&amp;"|"&amp;D2537,'All Song Rankings'!$T:$T,0),0)</f>
        <v>392</v>
      </c>
      <c r="G2537" s="6" t="str">
        <f aca="false">IF(F2537=0,"NOT FOUND",INDEX('All Song Rankings'!$A:$A,F2537))</f>
        <v>Keep Your Hands to Yourself</v>
      </c>
      <c r="H2537" s="6" t="str">
        <f aca="false">IF(F2537=0,"NOT FOUND",INDEX('All Song Rankings'!$B:$B,F2537))</f>
        <v>The Georgia Satellites</v>
      </c>
      <c r="I2537" s="6" t="str">
        <f aca="false">IF(F2537=0,"NOT FOUND",INDEX('All Song Rankings'!$D:$D,F2537))</f>
        <v>Lisa</v>
      </c>
      <c r="J2537" s="7" t="str">
        <f aca="false">IF(F2537=0,"NOT FOUND",IF(C2537=I2537,"SELF-VOTE",IF(COUNTIF($K:$K,K2537)&gt;1,"DUPLICATE","OK")))</f>
        <v>OK</v>
      </c>
      <c r="K2537" s="6" t="str">
        <f aca="false">A2537&amp;"|"&amp;B2537&amp;"|"&amp;C2537&amp;"|"&amp;D2537</f>
        <v>4|6|Matt|spotify:track:5tORtBzHUAnNrIw5Ql3kHZ</v>
      </c>
    </row>
    <row r="2538" customFormat="false" ht="15" hidden="false" customHeight="false" outlineLevel="0" collapsed="false">
      <c r="A2538" s="5" t="n">
        <v>4</v>
      </c>
      <c r="B2538" s="5" t="n">
        <v>6</v>
      </c>
      <c r="C2538" s="5" t="s">
        <v>116</v>
      </c>
      <c r="D2538" s="5" t="s">
        <v>1239</v>
      </c>
      <c r="E2538" s="5" t="n">
        <v>1</v>
      </c>
      <c r="F2538" s="6" t="n">
        <f aca="false">IFERROR(MATCH(A2538&amp;"|"&amp;B2538&amp;"|"&amp;D2538,'All Song Rankings'!$T:$T,0),0)</f>
        <v>386</v>
      </c>
      <c r="G2538" s="6" t="str">
        <f aca="false">IF(F2538=0,"NOT FOUND",INDEX('All Song Rankings'!$A:$A,F2538))</f>
        <v>Cups (Pitch Perfect's "When I'm Gone") - Pop Version</v>
      </c>
      <c r="H2538" s="6" t="str">
        <f aca="false">IF(F2538=0,"NOT FOUND",INDEX('All Song Rankings'!$B:$B,F2538))</f>
        <v>Anna Kendrick</v>
      </c>
      <c r="I2538" s="6" t="str">
        <f aca="false">IF(F2538=0,"NOT FOUND",INDEX('All Song Rankings'!$D:$D,F2538))</f>
        <v>Merita</v>
      </c>
      <c r="J2538" s="7" t="str">
        <f aca="false">IF(F2538=0,"NOT FOUND",IF(C2538=I2538,"SELF-VOTE",IF(COUNTIF($K:$K,K2538)&gt;1,"DUPLICATE","OK")))</f>
        <v>OK</v>
      </c>
      <c r="K2538" s="6" t="str">
        <f aca="false">A2538&amp;"|"&amp;B2538&amp;"|"&amp;C2538&amp;"|"&amp;D2538</f>
        <v>4|6|Matt|spotify:track:6mH3qVIeOsnQIAho5eWwhH</v>
      </c>
    </row>
    <row r="2539" customFormat="false" ht="15" hidden="false" customHeight="false" outlineLevel="0" collapsed="false">
      <c r="A2539" s="5" t="n">
        <v>4</v>
      </c>
      <c r="B2539" s="5" t="n">
        <v>6</v>
      </c>
      <c r="C2539" s="5" t="s">
        <v>116</v>
      </c>
      <c r="D2539" s="5" t="s">
        <v>1245</v>
      </c>
      <c r="E2539" s="5" t="n">
        <v>1</v>
      </c>
      <c r="F2539" s="6" t="n">
        <f aca="false">IFERROR(MATCH(A2539&amp;"|"&amp;B2539&amp;"|"&amp;D2539,'All Song Rankings'!$T:$T,0),0)</f>
        <v>388</v>
      </c>
      <c r="G2539" s="6" t="str">
        <f aca="false">IF(F2539=0,"NOT FOUND",INDEX('All Song Rankings'!$A:$A,F2539))</f>
        <v>Stars Are Blind</v>
      </c>
      <c r="H2539" s="6" t="str">
        <f aca="false">IF(F2539=0,"NOT FOUND",INDEX('All Song Rankings'!$B:$B,F2539))</f>
        <v>Paris Hilton</v>
      </c>
      <c r="I2539" s="6" t="str">
        <f aca="false">IF(F2539=0,"NOT FOUND",INDEX('All Song Rankings'!$D:$D,F2539))</f>
        <v>Stephanie</v>
      </c>
      <c r="J2539" s="7" t="str">
        <f aca="false">IF(F2539=0,"NOT FOUND",IF(C2539=I2539,"SELF-VOTE",IF(COUNTIF($K:$K,K2539)&gt;1,"DUPLICATE","OK")))</f>
        <v>OK</v>
      </c>
      <c r="K2539" s="6" t="str">
        <f aca="false">A2539&amp;"|"&amp;B2539&amp;"|"&amp;C2539&amp;"|"&amp;D2539</f>
        <v>4|6|Matt|spotify:track:71V89tJj9CboDyzncO6ZN2</v>
      </c>
    </row>
    <row r="2540" customFormat="false" ht="15" hidden="false" customHeight="false" outlineLevel="0" collapsed="false">
      <c r="A2540" s="5" t="n">
        <v>4</v>
      </c>
      <c r="B2540" s="5" t="n">
        <v>6</v>
      </c>
      <c r="C2540" s="5" t="s">
        <v>116</v>
      </c>
      <c r="D2540" s="5" t="s">
        <v>1251</v>
      </c>
      <c r="E2540" s="5" t="n">
        <v>1</v>
      </c>
      <c r="F2540" s="6" t="n">
        <f aca="false">IFERROR(MATCH(A2540&amp;"|"&amp;B2540&amp;"|"&amp;D2540,'All Song Rankings'!$T:$T,0),0)</f>
        <v>390</v>
      </c>
      <c r="G2540" s="6" t="str">
        <f aca="false">IF(F2540=0,"NOT FOUND",INDEX('All Song Rankings'!$A:$A,F2540))</f>
        <v>Blue Strips</v>
      </c>
      <c r="H2540" s="6" t="str">
        <f aca="false">IF(F2540=0,"NOT FOUND",INDEX('All Song Rankings'!$B:$B,F2540))</f>
        <v>Jessie Murph</v>
      </c>
      <c r="I2540" s="6" t="str">
        <f aca="false">IF(F2540=0,"NOT FOUND",INDEX('All Song Rankings'!$D:$D,F2540))</f>
        <v>Leah</v>
      </c>
      <c r="J2540" s="7" t="str">
        <f aca="false">IF(F2540=0,"NOT FOUND",IF(C2540=I2540,"SELF-VOTE",IF(COUNTIF($K:$K,K2540)&gt;1,"DUPLICATE","OK")))</f>
        <v>OK</v>
      </c>
      <c r="K2540" s="6" t="str">
        <f aca="false">A2540&amp;"|"&amp;B2540&amp;"|"&amp;C2540&amp;"|"&amp;D2540</f>
        <v>4|6|Matt|spotify:track:7u7IqryLFAygWFz6bsEB7y</v>
      </c>
    </row>
    <row r="2541" customFormat="false" ht="15" hidden="false" customHeight="false" outlineLevel="0" collapsed="false">
      <c r="A2541" s="5" t="n">
        <v>4</v>
      </c>
      <c r="B2541" s="5" t="n">
        <v>6</v>
      </c>
      <c r="C2541" s="5" t="s">
        <v>101</v>
      </c>
      <c r="D2541" s="5" t="s">
        <v>1233</v>
      </c>
      <c r="E2541" s="5" t="n">
        <v>1</v>
      </c>
      <c r="F2541" s="6" t="n">
        <f aca="false">IFERROR(MATCH(A2541&amp;"|"&amp;B2541&amp;"|"&amp;D2541,'All Song Rankings'!$T:$T,0),0)</f>
        <v>384</v>
      </c>
      <c r="G2541" s="6" t="str">
        <f aca="false">IF(F2541=0,"NOT FOUND",INDEX('All Song Rankings'!$A:$A,F2541))</f>
        <v>How You Remind Me</v>
      </c>
      <c r="H2541" s="6" t="str">
        <f aca="false">IF(F2541=0,"NOT FOUND",INDEX('All Song Rankings'!$B:$B,F2541))</f>
        <v>Nickelback</v>
      </c>
      <c r="I2541" s="6" t="str">
        <f aca="false">IF(F2541=0,"NOT FOUND",INDEX('All Song Rankings'!$D:$D,F2541))</f>
        <v>Colleen</v>
      </c>
      <c r="J2541" s="7" t="str">
        <f aca="false">IF(F2541=0,"NOT FOUND",IF(C2541=I2541,"SELF-VOTE",IF(COUNTIF($K:$K,K2541)&gt;1,"DUPLICATE","OK")))</f>
        <v>OK</v>
      </c>
      <c r="K2541" s="6" t="str">
        <f aca="false">A2541&amp;"|"&amp;B2541&amp;"|"&amp;C2541&amp;"|"&amp;D2541</f>
        <v>4|6|Merita|spotify:track:0gmbgwZ8iqyMPmXefof8Yf</v>
      </c>
    </row>
    <row r="2542" customFormat="false" ht="15" hidden="false" customHeight="false" outlineLevel="0" collapsed="false">
      <c r="A2542" s="5" t="n">
        <v>4</v>
      </c>
      <c r="B2542" s="5" t="n">
        <v>6</v>
      </c>
      <c r="C2542" s="5" t="s">
        <v>101</v>
      </c>
      <c r="D2542" s="5" t="s">
        <v>1230</v>
      </c>
      <c r="E2542" s="5" t="n">
        <v>1</v>
      </c>
      <c r="F2542" s="6" t="n">
        <f aca="false">IFERROR(MATCH(A2542&amp;"|"&amp;B2542&amp;"|"&amp;D2542,'All Song Rankings'!$T:$T,0),0)</f>
        <v>383</v>
      </c>
      <c r="G2542" s="6" t="str">
        <f aca="false">IF(F2542=0,"NOT FOUND",INDEX('All Song Rankings'!$A:$A,F2542))</f>
        <v>Scotty Doesn't Know</v>
      </c>
      <c r="H2542" s="6" t="str">
        <f aca="false">IF(F2542=0,"NOT FOUND",INDEX('All Song Rankings'!$B:$B,F2542))</f>
        <v>Lustra</v>
      </c>
      <c r="I2542" s="6" t="str">
        <f aca="false">IF(F2542=0,"NOT FOUND",INDEX('All Song Rankings'!$D:$D,F2542))</f>
        <v>Makenzie</v>
      </c>
      <c r="J2542" s="7" t="str">
        <f aca="false">IF(F2542=0,"NOT FOUND",IF(C2542=I2542,"SELF-VOTE",IF(COUNTIF($K:$K,K2542)&gt;1,"DUPLICATE","OK")))</f>
        <v>OK</v>
      </c>
      <c r="K2542" s="6" t="str">
        <f aca="false">A2542&amp;"|"&amp;B2542&amp;"|"&amp;C2542&amp;"|"&amp;D2542</f>
        <v>4|6|Merita|spotify:track:1LkoYGxmYpO6QSEvY5C0Zl</v>
      </c>
    </row>
    <row r="2543" customFormat="false" ht="15" hidden="false" customHeight="false" outlineLevel="0" collapsed="false">
      <c r="A2543" s="5" t="n">
        <v>4</v>
      </c>
      <c r="B2543" s="5" t="n">
        <v>6</v>
      </c>
      <c r="C2543" s="5" t="s">
        <v>101</v>
      </c>
      <c r="D2543" s="5" t="s">
        <v>1224</v>
      </c>
      <c r="E2543" s="5" t="n">
        <v>1</v>
      </c>
      <c r="F2543" s="6" t="n">
        <f aca="false">IFERROR(MATCH(A2543&amp;"|"&amp;B2543&amp;"|"&amp;D2543,'All Song Rankings'!$T:$T,0),0)</f>
        <v>381</v>
      </c>
      <c r="G2543" s="6" t="str">
        <f aca="false">IF(F2543=0,"NOT FOUND",INDEX('All Song Rankings'!$A:$A,F2543))</f>
        <v>Hero</v>
      </c>
      <c r="H2543" s="6" t="str">
        <f aca="false">IF(F2543=0,"NOT FOUND",INDEX('All Song Rankings'!$B:$B,F2543))</f>
        <v>Enrique Iglesias</v>
      </c>
      <c r="I2543" s="6" t="str">
        <f aca="false">IF(F2543=0,"NOT FOUND",INDEX('All Song Rankings'!$D:$D,F2543))</f>
        <v>Kristen</v>
      </c>
      <c r="J2543" s="7" t="str">
        <f aca="false">IF(F2543=0,"NOT FOUND",IF(C2543=I2543,"SELF-VOTE",IF(COUNTIF($K:$K,K2543)&gt;1,"DUPLICATE","OK")))</f>
        <v>OK</v>
      </c>
      <c r="K2543" s="6" t="str">
        <f aca="false">A2543&amp;"|"&amp;B2543&amp;"|"&amp;C2543&amp;"|"&amp;D2543</f>
        <v>4|6|Merita|spotify:track:24Gxm7Eh7tO83E26LG0CsY</v>
      </c>
    </row>
    <row r="2544" customFormat="false" ht="15" hidden="false" customHeight="false" outlineLevel="0" collapsed="false">
      <c r="A2544" s="5" t="n">
        <v>4</v>
      </c>
      <c r="B2544" s="5" t="n">
        <v>6</v>
      </c>
      <c r="C2544" s="5" t="s">
        <v>101</v>
      </c>
      <c r="D2544" s="5" t="s">
        <v>1222</v>
      </c>
      <c r="E2544" s="5" t="n">
        <v>1</v>
      </c>
      <c r="F2544" s="6" t="n">
        <f aca="false">IFERROR(MATCH(A2544&amp;"|"&amp;B2544&amp;"|"&amp;D2544,'All Song Rankings'!$T:$T,0),0)</f>
        <v>380</v>
      </c>
      <c r="G2544" s="6" t="str">
        <f aca="false">IF(F2544=0,"NOT FOUND",INDEX('All Song Rankings'!$A:$A,F2544))</f>
        <v>Buy U a Drank (Shawty Snappin') (feat. Yung Joc)</v>
      </c>
      <c r="H2544" s="6" t="str">
        <f aca="false">IF(F2544=0,"NOT FOUND",INDEX('All Song Rankings'!$B:$B,F2544))</f>
        <v>T-Pain, Yung Joc</v>
      </c>
      <c r="I2544" s="6" t="str">
        <f aca="false">IF(F2544=0,"NOT FOUND",INDEX('All Song Rankings'!$D:$D,F2544))</f>
        <v>Grace</v>
      </c>
      <c r="J2544" s="7" t="str">
        <f aca="false">IF(F2544=0,"NOT FOUND",IF(C2544=I2544,"SELF-VOTE",IF(COUNTIF($K:$K,K2544)&gt;1,"DUPLICATE","OK")))</f>
        <v>OK</v>
      </c>
      <c r="K2544" s="6" t="str">
        <f aca="false">A2544&amp;"|"&amp;B2544&amp;"|"&amp;C2544&amp;"|"&amp;D2544</f>
        <v>4|6|Merita|spotify:track:2aIdVb8v9KTpEZnftkz2mD</v>
      </c>
    </row>
    <row r="2545" customFormat="false" ht="15" hidden="false" customHeight="false" outlineLevel="0" collapsed="false">
      <c r="A2545" s="5" t="n">
        <v>4</v>
      </c>
      <c r="B2545" s="5" t="n">
        <v>6</v>
      </c>
      <c r="C2545" s="5" t="s">
        <v>101</v>
      </c>
      <c r="D2545" s="5" t="s">
        <v>1236</v>
      </c>
      <c r="E2545" s="5" t="n">
        <v>1</v>
      </c>
      <c r="F2545" s="6" t="n">
        <f aca="false">IFERROR(MATCH(A2545&amp;"|"&amp;B2545&amp;"|"&amp;D2545,'All Song Rankings'!$T:$T,0),0)</f>
        <v>385</v>
      </c>
      <c r="G2545" s="6" t="str">
        <f aca="false">IF(F2545=0,"NOT FOUND",INDEX('All Song Rankings'!$A:$A,F2545))</f>
        <v>It Wasn't Me</v>
      </c>
      <c r="H2545" s="6" t="str">
        <f aca="false">IF(F2545=0,"NOT FOUND",INDEX('All Song Rankings'!$B:$B,F2545))</f>
        <v>Shaggy, Rik Rok</v>
      </c>
      <c r="I2545" s="6" t="str">
        <f aca="false">IF(F2545=0,"NOT FOUND",INDEX('All Song Rankings'!$D:$D,F2545))</f>
        <v>Kelsey</v>
      </c>
      <c r="J2545" s="7" t="str">
        <f aca="false">IF(F2545=0,"NOT FOUND",IF(C2545=I2545,"SELF-VOTE",IF(COUNTIF($K:$K,K2545)&gt;1,"DUPLICATE","OK")))</f>
        <v>OK</v>
      </c>
      <c r="K2545" s="6" t="str">
        <f aca="false">A2545&amp;"|"&amp;B2545&amp;"|"&amp;C2545&amp;"|"&amp;D2545</f>
        <v>4|6|Merita|spotify:track:3WkibOpDF7cQ5xntM1epyf</v>
      </c>
    </row>
    <row r="2546" customFormat="false" ht="15" hidden="false" customHeight="false" outlineLevel="0" collapsed="false">
      <c r="A2546" s="5" t="n">
        <v>4</v>
      </c>
      <c r="B2546" s="5" t="n">
        <v>6</v>
      </c>
      <c r="C2546" s="5" t="s">
        <v>101</v>
      </c>
      <c r="D2546" s="5" t="s">
        <v>1242</v>
      </c>
      <c r="E2546" s="5" t="n">
        <v>2</v>
      </c>
      <c r="F2546" s="6" t="n">
        <f aca="false">IFERROR(MATCH(A2546&amp;"|"&amp;B2546&amp;"|"&amp;D2546,'All Song Rankings'!$T:$T,0),0)</f>
        <v>387</v>
      </c>
      <c r="G2546" s="6" t="str">
        <f aca="false">IF(F2546=0,"NOT FOUND",INDEX('All Song Rankings'!$A:$A,F2546))</f>
        <v>Never Say Never</v>
      </c>
      <c r="H2546" s="6" t="str">
        <f aca="false">IF(F2546=0,"NOT FOUND",INDEX('All Song Rankings'!$B:$B,F2546))</f>
        <v>Justin Bieber, Jaden</v>
      </c>
      <c r="I2546" s="6" t="str">
        <f aca="false">IF(F2546=0,"NOT FOUND",INDEX('All Song Rankings'!$D:$D,F2546))</f>
        <v>Nicole</v>
      </c>
      <c r="J2546" s="7" t="str">
        <f aca="false">IF(F2546=0,"NOT FOUND",IF(C2546=I2546,"SELF-VOTE",IF(COUNTIF($K:$K,K2546)&gt;1,"DUPLICATE","OK")))</f>
        <v>OK</v>
      </c>
      <c r="K2546" s="6" t="str">
        <f aca="false">A2546&amp;"|"&amp;B2546&amp;"|"&amp;C2546&amp;"|"&amp;D2546</f>
        <v>4|6|Merita|spotify:track:5GYbkDveRD2I8M5ZJ14hWn</v>
      </c>
    </row>
    <row r="2547" customFormat="false" ht="15" hidden="false" customHeight="false" outlineLevel="0" collapsed="false">
      <c r="A2547" s="5" t="n">
        <v>4</v>
      </c>
      <c r="B2547" s="5" t="n">
        <v>6</v>
      </c>
      <c r="C2547" s="5" t="s">
        <v>101</v>
      </c>
      <c r="D2547" s="5" t="s">
        <v>1245</v>
      </c>
      <c r="E2547" s="5" t="n">
        <v>2</v>
      </c>
      <c r="F2547" s="6" t="n">
        <f aca="false">IFERROR(MATCH(A2547&amp;"|"&amp;B2547&amp;"|"&amp;D2547,'All Song Rankings'!$T:$T,0),0)</f>
        <v>388</v>
      </c>
      <c r="G2547" s="6" t="str">
        <f aca="false">IF(F2547=0,"NOT FOUND",INDEX('All Song Rankings'!$A:$A,F2547))</f>
        <v>Stars Are Blind</v>
      </c>
      <c r="H2547" s="6" t="str">
        <f aca="false">IF(F2547=0,"NOT FOUND",INDEX('All Song Rankings'!$B:$B,F2547))</f>
        <v>Paris Hilton</v>
      </c>
      <c r="I2547" s="6" t="str">
        <f aca="false">IF(F2547=0,"NOT FOUND",INDEX('All Song Rankings'!$D:$D,F2547))</f>
        <v>Stephanie</v>
      </c>
      <c r="J2547" s="7" t="str">
        <f aca="false">IF(F2547=0,"NOT FOUND",IF(C2547=I2547,"SELF-VOTE",IF(COUNTIF($K:$K,K2547)&gt;1,"DUPLICATE","OK")))</f>
        <v>OK</v>
      </c>
      <c r="K2547" s="6" t="str">
        <f aca="false">A2547&amp;"|"&amp;B2547&amp;"|"&amp;C2547&amp;"|"&amp;D2547</f>
        <v>4|6|Merita|spotify:track:71V89tJj9CboDyzncO6ZN2</v>
      </c>
    </row>
    <row r="2548" customFormat="false" ht="15" hidden="false" customHeight="false" outlineLevel="0" collapsed="false">
      <c r="A2548" s="5" t="n">
        <v>4</v>
      </c>
      <c r="B2548" s="5" t="n">
        <v>6</v>
      </c>
      <c r="C2548" s="5" t="s">
        <v>101</v>
      </c>
      <c r="D2548" s="5" t="s">
        <v>1251</v>
      </c>
      <c r="E2548" s="5" t="n">
        <v>1</v>
      </c>
      <c r="F2548" s="6" t="n">
        <f aca="false">IFERROR(MATCH(A2548&amp;"|"&amp;B2548&amp;"|"&amp;D2548,'All Song Rankings'!$T:$T,0),0)</f>
        <v>390</v>
      </c>
      <c r="G2548" s="6" t="str">
        <f aca="false">IF(F2548=0,"NOT FOUND",INDEX('All Song Rankings'!$A:$A,F2548))</f>
        <v>Blue Strips</v>
      </c>
      <c r="H2548" s="6" t="str">
        <f aca="false">IF(F2548=0,"NOT FOUND",INDEX('All Song Rankings'!$B:$B,F2548))</f>
        <v>Jessie Murph</v>
      </c>
      <c r="I2548" s="6" t="str">
        <f aca="false">IF(F2548=0,"NOT FOUND",INDEX('All Song Rankings'!$D:$D,F2548))</f>
        <v>Leah</v>
      </c>
      <c r="J2548" s="7" t="str">
        <f aca="false">IF(F2548=0,"NOT FOUND",IF(C2548=I2548,"SELF-VOTE",IF(COUNTIF($K:$K,K2548)&gt;1,"DUPLICATE","OK")))</f>
        <v>OK</v>
      </c>
      <c r="K2548" s="6" t="str">
        <f aca="false">A2548&amp;"|"&amp;B2548&amp;"|"&amp;C2548&amp;"|"&amp;D2548</f>
        <v>4|6|Merita|spotify:track:7u7IqryLFAygWFz6bsEB7y</v>
      </c>
    </row>
    <row r="2549" customFormat="false" ht="15" hidden="false" customHeight="false" outlineLevel="0" collapsed="false">
      <c r="A2549" s="5" t="n">
        <v>4</v>
      </c>
      <c r="B2549" s="5" t="n">
        <v>6</v>
      </c>
      <c r="C2549" s="5" t="s">
        <v>92</v>
      </c>
      <c r="D2549" s="5" t="s">
        <v>1233</v>
      </c>
      <c r="E2549" s="5" t="n">
        <v>1</v>
      </c>
      <c r="F2549" s="6" t="n">
        <f aca="false">IFERROR(MATCH(A2549&amp;"|"&amp;B2549&amp;"|"&amp;D2549,'All Song Rankings'!$T:$T,0),0)</f>
        <v>384</v>
      </c>
      <c r="G2549" s="6" t="str">
        <f aca="false">IF(F2549=0,"NOT FOUND",INDEX('All Song Rankings'!$A:$A,F2549))</f>
        <v>How You Remind Me</v>
      </c>
      <c r="H2549" s="6" t="str">
        <f aca="false">IF(F2549=0,"NOT FOUND",INDEX('All Song Rankings'!$B:$B,F2549))</f>
        <v>Nickelback</v>
      </c>
      <c r="I2549" s="6" t="str">
        <f aca="false">IF(F2549=0,"NOT FOUND",INDEX('All Song Rankings'!$D:$D,F2549))</f>
        <v>Colleen</v>
      </c>
      <c r="J2549" s="7" t="str">
        <f aca="false">IF(F2549=0,"NOT FOUND",IF(C2549=I2549,"SELF-VOTE",IF(COUNTIF($K:$K,K2549)&gt;1,"DUPLICATE","OK")))</f>
        <v>OK</v>
      </c>
      <c r="K2549" s="6" t="str">
        <f aca="false">A2549&amp;"|"&amp;B2549&amp;"|"&amp;C2549&amp;"|"&amp;D2549</f>
        <v>4|6|Nicole|spotify:track:0gmbgwZ8iqyMPmXefof8Yf</v>
      </c>
    </row>
    <row r="2550" customFormat="false" ht="15" hidden="false" customHeight="false" outlineLevel="0" collapsed="false">
      <c r="A2550" s="5" t="n">
        <v>4</v>
      </c>
      <c r="B2550" s="5" t="n">
        <v>6</v>
      </c>
      <c r="C2550" s="5" t="s">
        <v>92</v>
      </c>
      <c r="D2550" s="5" t="s">
        <v>1230</v>
      </c>
      <c r="E2550" s="5" t="n">
        <v>1</v>
      </c>
      <c r="F2550" s="6" t="n">
        <f aca="false">IFERROR(MATCH(A2550&amp;"|"&amp;B2550&amp;"|"&amp;D2550,'All Song Rankings'!$T:$T,0),0)</f>
        <v>383</v>
      </c>
      <c r="G2550" s="6" t="str">
        <f aca="false">IF(F2550=0,"NOT FOUND",INDEX('All Song Rankings'!$A:$A,F2550))</f>
        <v>Scotty Doesn't Know</v>
      </c>
      <c r="H2550" s="6" t="str">
        <f aca="false">IF(F2550=0,"NOT FOUND",INDEX('All Song Rankings'!$B:$B,F2550))</f>
        <v>Lustra</v>
      </c>
      <c r="I2550" s="6" t="str">
        <f aca="false">IF(F2550=0,"NOT FOUND",INDEX('All Song Rankings'!$D:$D,F2550))</f>
        <v>Makenzie</v>
      </c>
      <c r="J2550" s="7" t="str">
        <f aca="false">IF(F2550=0,"NOT FOUND",IF(C2550=I2550,"SELF-VOTE",IF(COUNTIF($K:$K,K2550)&gt;1,"DUPLICATE","OK")))</f>
        <v>OK</v>
      </c>
      <c r="K2550" s="6" t="str">
        <f aca="false">A2550&amp;"|"&amp;B2550&amp;"|"&amp;C2550&amp;"|"&amp;D2550</f>
        <v>4|6|Nicole|spotify:track:1LkoYGxmYpO6QSEvY5C0Zl</v>
      </c>
    </row>
    <row r="2551" customFormat="false" ht="15" hidden="false" customHeight="false" outlineLevel="0" collapsed="false">
      <c r="A2551" s="5" t="n">
        <v>4</v>
      </c>
      <c r="B2551" s="5" t="n">
        <v>6</v>
      </c>
      <c r="C2551" s="5" t="s">
        <v>92</v>
      </c>
      <c r="D2551" s="5" t="s">
        <v>1222</v>
      </c>
      <c r="E2551" s="5" t="n">
        <v>2</v>
      </c>
      <c r="F2551" s="6" t="n">
        <f aca="false">IFERROR(MATCH(A2551&amp;"|"&amp;B2551&amp;"|"&amp;D2551,'All Song Rankings'!$T:$T,0),0)</f>
        <v>380</v>
      </c>
      <c r="G2551" s="6" t="str">
        <f aca="false">IF(F2551=0,"NOT FOUND",INDEX('All Song Rankings'!$A:$A,F2551))</f>
        <v>Buy U a Drank (Shawty Snappin') (feat. Yung Joc)</v>
      </c>
      <c r="H2551" s="6" t="str">
        <f aca="false">IF(F2551=0,"NOT FOUND",INDEX('All Song Rankings'!$B:$B,F2551))</f>
        <v>T-Pain, Yung Joc</v>
      </c>
      <c r="I2551" s="6" t="str">
        <f aca="false">IF(F2551=0,"NOT FOUND",INDEX('All Song Rankings'!$D:$D,F2551))</f>
        <v>Grace</v>
      </c>
      <c r="J2551" s="7" t="str">
        <f aca="false">IF(F2551=0,"NOT FOUND",IF(C2551=I2551,"SELF-VOTE",IF(COUNTIF($K:$K,K2551)&gt;1,"DUPLICATE","OK")))</f>
        <v>OK</v>
      </c>
      <c r="K2551" s="6" t="str">
        <f aca="false">A2551&amp;"|"&amp;B2551&amp;"|"&amp;C2551&amp;"|"&amp;D2551</f>
        <v>4|6|Nicole|spotify:track:2aIdVb8v9KTpEZnftkz2mD</v>
      </c>
    </row>
    <row r="2552" customFormat="false" ht="15" hidden="false" customHeight="false" outlineLevel="0" collapsed="false">
      <c r="A2552" s="5" t="n">
        <v>4</v>
      </c>
      <c r="B2552" s="5" t="n">
        <v>6</v>
      </c>
      <c r="C2552" s="5" t="s">
        <v>92</v>
      </c>
      <c r="D2552" s="5" t="s">
        <v>1236</v>
      </c>
      <c r="E2552" s="5" t="n">
        <v>1</v>
      </c>
      <c r="F2552" s="6" t="n">
        <f aca="false">IFERROR(MATCH(A2552&amp;"|"&amp;B2552&amp;"|"&amp;D2552,'All Song Rankings'!$T:$T,0),0)</f>
        <v>385</v>
      </c>
      <c r="G2552" s="6" t="str">
        <f aca="false">IF(F2552=0,"NOT FOUND",INDEX('All Song Rankings'!$A:$A,F2552))</f>
        <v>It Wasn't Me</v>
      </c>
      <c r="H2552" s="6" t="str">
        <f aca="false">IF(F2552=0,"NOT FOUND",INDEX('All Song Rankings'!$B:$B,F2552))</f>
        <v>Shaggy, Rik Rok</v>
      </c>
      <c r="I2552" s="6" t="str">
        <f aca="false">IF(F2552=0,"NOT FOUND",INDEX('All Song Rankings'!$D:$D,F2552))</f>
        <v>Kelsey</v>
      </c>
      <c r="J2552" s="7" t="str">
        <f aca="false">IF(F2552=0,"NOT FOUND",IF(C2552=I2552,"SELF-VOTE",IF(COUNTIF($K:$K,K2552)&gt;1,"DUPLICATE","OK")))</f>
        <v>OK</v>
      </c>
      <c r="K2552" s="6" t="str">
        <f aca="false">A2552&amp;"|"&amp;B2552&amp;"|"&amp;C2552&amp;"|"&amp;D2552</f>
        <v>4|6|Nicole|spotify:track:3WkibOpDF7cQ5xntM1epyf</v>
      </c>
    </row>
    <row r="2553" customFormat="false" ht="15" hidden="false" customHeight="false" outlineLevel="0" collapsed="false">
      <c r="A2553" s="5" t="n">
        <v>4</v>
      </c>
      <c r="B2553" s="5" t="n">
        <v>6</v>
      </c>
      <c r="C2553" s="5" t="s">
        <v>92</v>
      </c>
      <c r="D2553" s="5" t="s">
        <v>1239</v>
      </c>
      <c r="E2553" s="5" t="n">
        <v>2</v>
      </c>
      <c r="F2553" s="6" t="n">
        <f aca="false">IFERROR(MATCH(A2553&amp;"|"&amp;B2553&amp;"|"&amp;D2553,'All Song Rankings'!$T:$T,0),0)</f>
        <v>386</v>
      </c>
      <c r="G2553" s="6" t="str">
        <f aca="false">IF(F2553=0,"NOT FOUND",INDEX('All Song Rankings'!$A:$A,F2553))</f>
        <v>Cups (Pitch Perfect's "When I'm Gone") - Pop Version</v>
      </c>
      <c r="H2553" s="6" t="str">
        <f aca="false">IF(F2553=0,"NOT FOUND",INDEX('All Song Rankings'!$B:$B,F2553))</f>
        <v>Anna Kendrick</v>
      </c>
      <c r="I2553" s="6" t="str">
        <f aca="false">IF(F2553=0,"NOT FOUND",INDEX('All Song Rankings'!$D:$D,F2553))</f>
        <v>Merita</v>
      </c>
      <c r="J2553" s="7" t="str">
        <f aca="false">IF(F2553=0,"NOT FOUND",IF(C2553=I2553,"SELF-VOTE",IF(COUNTIF($K:$K,K2553)&gt;1,"DUPLICATE","OK")))</f>
        <v>OK</v>
      </c>
      <c r="K2553" s="6" t="str">
        <f aca="false">A2553&amp;"|"&amp;B2553&amp;"|"&amp;C2553&amp;"|"&amp;D2553</f>
        <v>4|6|Nicole|spotify:track:6mH3qVIeOsnQIAho5eWwhH</v>
      </c>
    </row>
    <row r="2554" customFormat="false" ht="15" hidden="false" customHeight="false" outlineLevel="0" collapsed="false">
      <c r="A2554" s="5" t="n">
        <v>4</v>
      </c>
      <c r="B2554" s="5" t="n">
        <v>6</v>
      </c>
      <c r="C2554" s="5" t="s">
        <v>92</v>
      </c>
      <c r="D2554" s="5" t="s">
        <v>1245</v>
      </c>
      <c r="E2554" s="5" t="n">
        <v>1</v>
      </c>
      <c r="F2554" s="6" t="n">
        <f aca="false">IFERROR(MATCH(A2554&amp;"|"&amp;B2554&amp;"|"&amp;D2554,'All Song Rankings'!$T:$T,0),0)</f>
        <v>388</v>
      </c>
      <c r="G2554" s="6" t="str">
        <f aca="false">IF(F2554=0,"NOT FOUND",INDEX('All Song Rankings'!$A:$A,F2554))</f>
        <v>Stars Are Blind</v>
      </c>
      <c r="H2554" s="6" t="str">
        <f aca="false">IF(F2554=0,"NOT FOUND",INDEX('All Song Rankings'!$B:$B,F2554))</f>
        <v>Paris Hilton</v>
      </c>
      <c r="I2554" s="6" t="str">
        <f aca="false">IF(F2554=0,"NOT FOUND",INDEX('All Song Rankings'!$D:$D,F2554))</f>
        <v>Stephanie</v>
      </c>
      <c r="J2554" s="7" t="str">
        <f aca="false">IF(F2554=0,"NOT FOUND",IF(C2554=I2554,"SELF-VOTE",IF(COUNTIF($K:$K,K2554)&gt;1,"DUPLICATE","OK")))</f>
        <v>OK</v>
      </c>
      <c r="K2554" s="6" t="str">
        <f aca="false">A2554&amp;"|"&amp;B2554&amp;"|"&amp;C2554&amp;"|"&amp;D2554</f>
        <v>4|6|Nicole|spotify:track:71V89tJj9CboDyzncO6ZN2</v>
      </c>
    </row>
    <row r="2555" customFormat="false" ht="15" hidden="false" customHeight="false" outlineLevel="0" collapsed="false">
      <c r="A2555" s="5" t="n">
        <v>4</v>
      </c>
      <c r="B2555" s="5" t="n">
        <v>6</v>
      </c>
      <c r="C2555" s="5" t="s">
        <v>92</v>
      </c>
      <c r="D2555" s="5" t="s">
        <v>1251</v>
      </c>
      <c r="E2555" s="5" t="n">
        <v>2</v>
      </c>
      <c r="F2555" s="6" t="n">
        <f aca="false">IFERROR(MATCH(A2555&amp;"|"&amp;B2555&amp;"|"&amp;D2555,'All Song Rankings'!$T:$T,0),0)</f>
        <v>390</v>
      </c>
      <c r="G2555" s="6" t="str">
        <f aca="false">IF(F2555=0,"NOT FOUND",INDEX('All Song Rankings'!$A:$A,F2555))</f>
        <v>Blue Strips</v>
      </c>
      <c r="H2555" s="6" t="str">
        <f aca="false">IF(F2555=0,"NOT FOUND",INDEX('All Song Rankings'!$B:$B,F2555))</f>
        <v>Jessie Murph</v>
      </c>
      <c r="I2555" s="6" t="str">
        <f aca="false">IF(F2555=0,"NOT FOUND",INDEX('All Song Rankings'!$D:$D,F2555))</f>
        <v>Leah</v>
      </c>
      <c r="J2555" s="7" t="str">
        <f aca="false">IF(F2555=0,"NOT FOUND",IF(C2555=I2555,"SELF-VOTE",IF(COUNTIF($K:$K,K2555)&gt;1,"DUPLICATE","OK")))</f>
        <v>OK</v>
      </c>
      <c r="K2555" s="6" t="str">
        <f aca="false">A2555&amp;"|"&amp;B2555&amp;"|"&amp;C2555&amp;"|"&amp;D2555</f>
        <v>4|6|Nicole|spotify:track:7u7IqryLFAygWFz6bsEB7y</v>
      </c>
    </row>
    <row r="2556" customFormat="false" ht="15" hidden="false" customHeight="false" outlineLevel="0" collapsed="false">
      <c r="A2556" s="5" t="n">
        <v>4</v>
      </c>
      <c r="B2556" s="5" t="n">
        <v>6</v>
      </c>
      <c r="C2556" s="5" t="s">
        <v>97</v>
      </c>
      <c r="D2556" s="5" t="s">
        <v>1230</v>
      </c>
      <c r="E2556" s="5" t="n">
        <v>1</v>
      </c>
      <c r="F2556" s="6" t="n">
        <f aca="false">IFERROR(MATCH(A2556&amp;"|"&amp;B2556&amp;"|"&amp;D2556,'All Song Rankings'!$T:$T,0),0)</f>
        <v>383</v>
      </c>
      <c r="G2556" s="6" t="str">
        <f aca="false">IF(F2556=0,"NOT FOUND",INDEX('All Song Rankings'!$A:$A,F2556))</f>
        <v>Scotty Doesn't Know</v>
      </c>
      <c r="H2556" s="6" t="str">
        <f aca="false">IF(F2556=0,"NOT FOUND",INDEX('All Song Rankings'!$B:$B,F2556))</f>
        <v>Lustra</v>
      </c>
      <c r="I2556" s="6" t="str">
        <f aca="false">IF(F2556=0,"NOT FOUND",INDEX('All Song Rankings'!$D:$D,F2556))</f>
        <v>Makenzie</v>
      </c>
      <c r="J2556" s="7" t="str">
        <f aca="false">IF(F2556=0,"NOT FOUND",IF(C2556=I2556,"SELF-VOTE",IF(COUNTIF($K:$K,K2556)&gt;1,"DUPLICATE","OK")))</f>
        <v>OK</v>
      </c>
      <c r="K2556" s="6" t="str">
        <f aca="false">A2556&amp;"|"&amp;B2556&amp;"|"&amp;C2556&amp;"|"&amp;D2556</f>
        <v>4|6|Stephanie|spotify:track:1LkoYGxmYpO6QSEvY5C0Zl</v>
      </c>
    </row>
    <row r="2557" customFormat="false" ht="15" hidden="false" customHeight="false" outlineLevel="0" collapsed="false">
      <c r="A2557" s="5" t="n">
        <v>4</v>
      </c>
      <c r="B2557" s="5" t="n">
        <v>6</v>
      </c>
      <c r="C2557" s="5" t="s">
        <v>97</v>
      </c>
      <c r="D2557" s="5" t="s">
        <v>1224</v>
      </c>
      <c r="E2557" s="5" t="n">
        <v>2</v>
      </c>
      <c r="F2557" s="6" t="n">
        <f aca="false">IFERROR(MATCH(A2557&amp;"|"&amp;B2557&amp;"|"&amp;D2557,'All Song Rankings'!$T:$T,0),0)</f>
        <v>381</v>
      </c>
      <c r="G2557" s="6" t="str">
        <f aca="false">IF(F2557=0,"NOT FOUND",INDEX('All Song Rankings'!$A:$A,F2557))</f>
        <v>Hero</v>
      </c>
      <c r="H2557" s="6" t="str">
        <f aca="false">IF(F2557=0,"NOT FOUND",INDEX('All Song Rankings'!$B:$B,F2557))</f>
        <v>Enrique Iglesias</v>
      </c>
      <c r="I2557" s="6" t="str">
        <f aca="false">IF(F2557=0,"NOT FOUND",INDEX('All Song Rankings'!$D:$D,F2557))</f>
        <v>Kristen</v>
      </c>
      <c r="J2557" s="7" t="str">
        <f aca="false">IF(F2557=0,"NOT FOUND",IF(C2557=I2557,"SELF-VOTE",IF(COUNTIF($K:$K,K2557)&gt;1,"DUPLICATE","OK")))</f>
        <v>OK</v>
      </c>
      <c r="K2557" s="6" t="str">
        <f aca="false">A2557&amp;"|"&amp;B2557&amp;"|"&amp;C2557&amp;"|"&amp;D2557</f>
        <v>4|6|Stephanie|spotify:track:24Gxm7Eh7tO83E26LG0CsY</v>
      </c>
    </row>
    <row r="2558" customFormat="false" ht="15" hidden="false" customHeight="false" outlineLevel="0" collapsed="false">
      <c r="A2558" s="5" t="n">
        <v>4</v>
      </c>
      <c r="B2558" s="5" t="n">
        <v>6</v>
      </c>
      <c r="C2558" s="5" t="s">
        <v>97</v>
      </c>
      <c r="D2558" s="5" t="s">
        <v>1227</v>
      </c>
      <c r="E2558" s="5" t="n">
        <v>1</v>
      </c>
      <c r="F2558" s="6" t="n">
        <f aca="false">IFERROR(MATCH(A2558&amp;"|"&amp;B2558&amp;"|"&amp;D2558,'All Song Rankings'!$T:$T,0),0)</f>
        <v>382</v>
      </c>
      <c r="G2558" s="6" t="str">
        <f aca="false">IF(F2558=0,"NOT FOUND",INDEX('All Song Rankings'!$A:$A,F2558))</f>
        <v>My Sacrifice</v>
      </c>
      <c r="H2558" s="6" t="str">
        <f aca="false">IF(F2558=0,"NOT FOUND",INDEX('All Song Rankings'!$B:$B,F2558))</f>
        <v>Creed</v>
      </c>
      <c r="I2558" s="6" t="str">
        <f aca="false">IF(F2558=0,"NOT FOUND",INDEX('All Song Rankings'!$D:$D,F2558))</f>
        <v>Logan</v>
      </c>
      <c r="J2558" s="7" t="str">
        <f aca="false">IF(F2558=0,"NOT FOUND",IF(C2558=I2558,"SELF-VOTE",IF(COUNTIF($K:$K,K2558)&gt;1,"DUPLICATE","OK")))</f>
        <v>OK</v>
      </c>
      <c r="K2558" s="6" t="str">
        <f aca="false">A2558&amp;"|"&amp;B2558&amp;"|"&amp;C2558&amp;"|"&amp;D2558</f>
        <v>4|6|Stephanie|spotify:track:2VSbEXqs6NbNiZSTcHlIDR</v>
      </c>
    </row>
    <row r="2559" customFormat="false" ht="15" hidden="false" customHeight="false" outlineLevel="0" collapsed="false">
      <c r="A2559" s="5" t="n">
        <v>4</v>
      </c>
      <c r="B2559" s="5" t="n">
        <v>6</v>
      </c>
      <c r="C2559" s="5" t="s">
        <v>97</v>
      </c>
      <c r="D2559" s="5" t="s">
        <v>1222</v>
      </c>
      <c r="E2559" s="5" t="n">
        <v>1</v>
      </c>
      <c r="F2559" s="6" t="n">
        <f aca="false">IFERROR(MATCH(A2559&amp;"|"&amp;B2559&amp;"|"&amp;D2559,'All Song Rankings'!$T:$T,0),0)</f>
        <v>380</v>
      </c>
      <c r="G2559" s="6" t="str">
        <f aca="false">IF(F2559=0,"NOT FOUND",INDEX('All Song Rankings'!$A:$A,F2559))</f>
        <v>Buy U a Drank (Shawty Snappin') (feat. Yung Joc)</v>
      </c>
      <c r="H2559" s="6" t="str">
        <f aca="false">IF(F2559=0,"NOT FOUND",INDEX('All Song Rankings'!$B:$B,F2559))</f>
        <v>T-Pain, Yung Joc</v>
      </c>
      <c r="I2559" s="6" t="str">
        <f aca="false">IF(F2559=0,"NOT FOUND",INDEX('All Song Rankings'!$D:$D,F2559))</f>
        <v>Grace</v>
      </c>
      <c r="J2559" s="7" t="str">
        <f aca="false">IF(F2559=0,"NOT FOUND",IF(C2559=I2559,"SELF-VOTE",IF(COUNTIF($K:$K,K2559)&gt;1,"DUPLICATE","OK")))</f>
        <v>OK</v>
      </c>
      <c r="K2559" s="6" t="str">
        <f aca="false">A2559&amp;"|"&amp;B2559&amp;"|"&amp;C2559&amp;"|"&amp;D2559</f>
        <v>4|6|Stephanie|spotify:track:2aIdVb8v9KTpEZnftkz2mD</v>
      </c>
    </row>
    <row r="2560" customFormat="false" ht="15" hidden="false" customHeight="false" outlineLevel="0" collapsed="false">
      <c r="A2560" s="5" t="n">
        <v>4</v>
      </c>
      <c r="B2560" s="5" t="n">
        <v>6</v>
      </c>
      <c r="C2560" s="5" t="s">
        <v>97</v>
      </c>
      <c r="D2560" s="5" t="s">
        <v>1248</v>
      </c>
      <c r="E2560" s="5" t="n">
        <v>2</v>
      </c>
      <c r="F2560" s="6" t="n">
        <f aca="false">IFERROR(MATCH(A2560&amp;"|"&amp;B2560&amp;"|"&amp;D2560,'All Song Rankings'!$T:$T,0),0)</f>
        <v>389</v>
      </c>
      <c r="G2560" s="6" t="str">
        <f aca="false">IF(F2560=0,"NOT FOUND",INDEX('All Song Rankings'!$A:$A,F2560))</f>
        <v>The Bad Touch</v>
      </c>
      <c r="H2560" s="6" t="str">
        <f aca="false">IF(F2560=0,"NOT FOUND",INDEX('All Song Rankings'!$B:$B,F2560))</f>
        <v>Bloodhound Gang</v>
      </c>
      <c r="I2560" s="6" t="str">
        <f aca="false">IF(F2560=0,"NOT FOUND",INDEX('All Song Rankings'!$D:$D,F2560))</f>
        <v>Matt</v>
      </c>
      <c r="J2560" s="7" t="str">
        <f aca="false">IF(F2560=0,"NOT FOUND",IF(C2560=I2560,"SELF-VOTE",IF(COUNTIF($K:$K,K2560)&gt;1,"DUPLICATE","OK")))</f>
        <v>OK</v>
      </c>
      <c r="K2560" s="6" t="str">
        <f aca="false">A2560&amp;"|"&amp;B2560&amp;"|"&amp;C2560&amp;"|"&amp;D2560</f>
        <v>4|6|Stephanie|spotify:track:5EYdTPdJD74r9EVZBztqGG</v>
      </c>
    </row>
    <row r="2561" customFormat="false" ht="15" hidden="false" customHeight="false" outlineLevel="0" collapsed="false">
      <c r="A2561" s="5" t="n">
        <v>4</v>
      </c>
      <c r="B2561" s="5" t="n">
        <v>6</v>
      </c>
      <c r="C2561" s="5" t="s">
        <v>97</v>
      </c>
      <c r="D2561" s="5" t="s">
        <v>1254</v>
      </c>
      <c r="E2561" s="5" t="n">
        <v>2</v>
      </c>
      <c r="F2561" s="6" t="n">
        <f aca="false">IFERROR(MATCH(A2561&amp;"|"&amp;B2561&amp;"|"&amp;D2561,'All Song Rankings'!$T:$T,0),0)</f>
        <v>391</v>
      </c>
      <c r="G2561" s="6" t="str">
        <f aca="false">IF(F2561=0,"NOT FOUND",INDEX('All Song Rankings'!$A:$A,F2561))</f>
        <v>Good Vibrations</v>
      </c>
      <c r="H2561" s="6" t="str">
        <f aca="false">IF(F2561=0,"NOT FOUND",INDEX('All Song Rankings'!$B:$B,F2561))</f>
        <v>Marky Mark And The Funky Bunch, Loleatta Holloway</v>
      </c>
      <c r="I2561" s="6" t="str">
        <f aca="false">IF(F2561=0,"NOT FOUND",INDEX('All Song Rankings'!$D:$D,F2561))</f>
        <v>Christine</v>
      </c>
      <c r="J2561" s="7" t="str">
        <f aca="false">IF(F2561=0,"NOT FOUND",IF(C2561=I2561,"SELF-VOTE",IF(COUNTIF($K:$K,K2561)&gt;1,"DUPLICATE","OK")))</f>
        <v>OK</v>
      </c>
      <c r="K2561" s="6" t="str">
        <f aca="false">A2561&amp;"|"&amp;B2561&amp;"|"&amp;C2561&amp;"|"&amp;D2561</f>
        <v>4|6|Stephanie|spotify:track:5hWdgGVcfTeLPAiHM6EZG9</v>
      </c>
    </row>
    <row r="2562" customFormat="false" ht="15" hidden="false" customHeight="false" outlineLevel="0" collapsed="false">
      <c r="A2562" s="5" t="n">
        <v>4</v>
      </c>
      <c r="B2562" s="5" t="n">
        <v>6</v>
      </c>
      <c r="C2562" s="5" t="s">
        <v>97</v>
      </c>
      <c r="D2562" s="5" t="s">
        <v>1257</v>
      </c>
      <c r="E2562" s="5" t="n">
        <v>1</v>
      </c>
      <c r="F2562" s="6" t="n">
        <f aca="false">IFERROR(MATCH(A2562&amp;"|"&amp;B2562&amp;"|"&amp;D2562,'All Song Rankings'!$T:$T,0),0)</f>
        <v>392</v>
      </c>
      <c r="G2562" s="6" t="str">
        <f aca="false">IF(F2562=0,"NOT FOUND",INDEX('All Song Rankings'!$A:$A,F2562))</f>
        <v>Keep Your Hands to Yourself</v>
      </c>
      <c r="H2562" s="6" t="str">
        <f aca="false">IF(F2562=0,"NOT FOUND",INDEX('All Song Rankings'!$B:$B,F2562))</f>
        <v>The Georgia Satellites</v>
      </c>
      <c r="I2562" s="6" t="str">
        <f aca="false">IF(F2562=0,"NOT FOUND",INDEX('All Song Rankings'!$D:$D,F2562))</f>
        <v>Lisa</v>
      </c>
      <c r="J2562" s="7" t="str">
        <f aca="false">IF(F2562=0,"NOT FOUND",IF(C2562=I2562,"SELF-VOTE",IF(COUNTIF($K:$K,K2562)&gt;1,"DUPLICATE","OK")))</f>
        <v>OK</v>
      </c>
      <c r="K2562" s="6" t="str">
        <f aca="false">A2562&amp;"|"&amp;B2562&amp;"|"&amp;C2562&amp;"|"&amp;D2562</f>
        <v>4|6|Stephanie|spotify:track:5tORtBzHUAnNrIw5Ql3kHZ</v>
      </c>
    </row>
    <row r="2563" customFormat="false" ht="15" hidden="false" customHeight="false" outlineLevel="0" collapsed="false">
      <c r="A2563" s="5" t="n">
        <v>4</v>
      </c>
      <c r="B2563" s="5" t="n">
        <v>7</v>
      </c>
      <c r="C2563" s="5" t="s">
        <v>719</v>
      </c>
      <c r="D2563" s="5" t="s">
        <v>1274</v>
      </c>
      <c r="E2563" s="5" t="n">
        <v>2</v>
      </c>
      <c r="F2563" s="6" t="n">
        <f aca="false">IFERROR(MATCH(A2563&amp;"|"&amp;B2563&amp;"|"&amp;D2563,'All Song Rankings'!$T:$T,0),0)</f>
        <v>397</v>
      </c>
      <c r="G2563" s="6" t="str">
        <f aca="false">IF(F2563=0,"NOT FOUND",INDEX('All Song Rankings'!$A:$A,F2563))</f>
        <v>The Crane Wife 3</v>
      </c>
      <c r="H2563" s="6" t="str">
        <f aca="false">IF(F2563=0,"NOT FOUND",INDEX('All Song Rankings'!$B:$B,F2563))</f>
        <v>The Decemberists</v>
      </c>
      <c r="I2563" s="6" t="str">
        <f aca="false">IF(F2563=0,"NOT FOUND",INDEX('All Song Rankings'!$D:$D,F2563))</f>
        <v>Lisa</v>
      </c>
      <c r="J2563" s="7" t="str">
        <f aca="false">IF(F2563=0,"NOT FOUND",IF(C2563=I2563,"SELF-VOTE",IF(COUNTIF($K:$K,K2563)&gt;1,"DUPLICATE","OK")))</f>
        <v>OK</v>
      </c>
      <c r="K2563" s="6" t="str">
        <f aca="false">A2563&amp;"|"&amp;B2563&amp;"|"&amp;C2563&amp;"|"&amp;D2563</f>
        <v>4|7|Christine|spotify:track:0IwXp8V7wgFCIthRh2z8Ot</v>
      </c>
    </row>
    <row r="2564" customFormat="false" ht="15" hidden="false" customHeight="false" outlineLevel="0" collapsed="false">
      <c r="A2564" s="5" t="n">
        <v>4</v>
      </c>
      <c r="B2564" s="5" t="n">
        <v>7</v>
      </c>
      <c r="C2564" s="5" t="s">
        <v>719</v>
      </c>
      <c r="D2564" s="5" t="s">
        <v>1262</v>
      </c>
      <c r="E2564" s="5" t="n">
        <v>2</v>
      </c>
      <c r="F2564" s="6" t="n">
        <f aca="false">IFERROR(MATCH(A2564&amp;"|"&amp;B2564&amp;"|"&amp;D2564,'All Song Rankings'!$T:$T,0),0)</f>
        <v>393</v>
      </c>
      <c r="G2564" s="6" t="str">
        <f aca="false">IF(F2564=0,"NOT FOUND",INDEX('All Song Rankings'!$A:$A,F2564))</f>
        <v>The Way That I Fiddle</v>
      </c>
      <c r="H2564" s="6" t="str">
        <f aca="false">IF(F2564=0,"NOT FOUND",INDEX('All Song Rankings'!$B:$B,F2564))</f>
        <v>Clejan</v>
      </c>
      <c r="I2564" s="6" t="str">
        <f aca="false">IF(F2564=0,"NOT FOUND",INDEX('All Song Rankings'!$D:$D,F2564))</f>
        <v>Leah</v>
      </c>
      <c r="J2564" s="7" t="str">
        <f aca="false">IF(F2564=0,"NOT FOUND",IF(C2564=I2564,"SELF-VOTE",IF(COUNTIF($K:$K,K2564)&gt;1,"DUPLICATE","OK")))</f>
        <v>OK</v>
      </c>
      <c r="K2564" s="6" t="str">
        <f aca="false">A2564&amp;"|"&amp;B2564&amp;"|"&amp;C2564&amp;"|"&amp;D2564</f>
        <v>4|7|Christine|spotify:track:0oHG32IK45iVgoiVcnYNBx</v>
      </c>
    </row>
    <row r="2565" customFormat="false" ht="15" hidden="false" customHeight="false" outlineLevel="0" collapsed="false">
      <c r="A2565" s="5" t="n">
        <v>4</v>
      </c>
      <c r="B2565" s="5" t="n">
        <v>7</v>
      </c>
      <c r="C2565" s="5" t="s">
        <v>719</v>
      </c>
      <c r="D2565" s="5" t="s">
        <v>1271</v>
      </c>
      <c r="E2565" s="5" t="n">
        <v>1</v>
      </c>
      <c r="F2565" s="6" t="n">
        <f aca="false">IFERROR(MATCH(A2565&amp;"|"&amp;B2565&amp;"|"&amp;D2565,'All Song Rankings'!$T:$T,0),0)</f>
        <v>396</v>
      </c>
      <c r="G2565" s="6" t="str">
        <f aca="false">IF(F2565=0,"NOT FOUND",INDEX('All Song Rankings'!$A:$A,F2565))</f>
        <v>Heart's Content</v>
      </c>
      <c r="H2565" s="6" t="str">
        <f aca="false">IF(F2565=0,"NOT FOUND",INDEX('All Song Rankings'!$B:$B,F2565))</f>
        <v>Brandi Carlile</v>
      </c>
      <c r="I2565" s="6" t="str">
        <f aca="false">IF(F2565=0,"NOT FOUND",INDEX('All Song Rankings'!$D:$D,F2565))</f>
        <v>Grace</v>
      </c>
      <c r="J2565" s="7" t="str">
        <f aca="false">IF(F2565=0,"NOT FOUND",IF(C2565=I2565,"SELF-VOTE",IF(COUNTIF($K:$K,K2565)&gt;1,"DUPLICATE","OK")))</f>
        <v>OK</v>
      </c>
      <c r="K2565" s="6" t="str">
        <f aca="false">A2565&amp;"|"&amp;B2565&amp;"|"&amp;C2565&amp;"|"&amp;D2565</f>
        <v>4|7|Christine|spotify:track:0pegFWSUOTiG0sLVEfxtvA</v>
      </c>
    </row>
    <row r="2566" customFormat="false" ht="15" hidden="false" customHeight="false" outlineLevel="0" collapsed="false">
      <c r="A2566" s="5" t="n">
        <v>4</v>
      </c>
      <c r="B2566" s="5" t="n">
        <v>7</v>
      </c>
      <c r="C2566" s="5" t="s">
        <v>719</v>
      </c>
      <c r="D2566" s="5" t="s">
        <v>1295</v>
      </c>
      <c r="E2566" s="5" t="n">
        <v>1</v>
      </c>
      <c r="F2566" s="6" t="n">
        <f aca="false">IFERROR(MATCH(A2566&amp;"|"&amp;B2566&amp;"|"&amp;D2566,'All Song Rankings'!$T:$T,0),0)</f>
        <v>404</v>
      </c>
      <c r="G2566" s="6" t="str">
        <f aca="false">IF(F2566=0,"NOT FOUND",INDEX('All Song Rankings'!$A:$A,F2566))</f>
        <v>Language</v>
      </c>
      <c r="H2566" s="6" t="str">
        <f aca="false">IF(F2566=0,"NOT FOUND",INDEX('All Song Rankings'!$B:$B,F2566))</f>
        <v>Tori Kelly</v>
      </c>
      <c r="I2566" s="6" t="str">
        <f aca="false">IF(F2566=0,"NOT FOUND",INDEX('All Song Rankings'!$D:$D,F2566))</f>
        <v>Logan</v>
      </c>
      <c r="J2566" s="7" t="str">
        <f aca="false">IF(F2566=0,"NOT FOUND",IF(C2566=I2566,"SELF-VOTE",IF(COUNTIF($K:$K,K2566)&gt;1,"DUPLICATE","OK")))</f>
        <v>OK</v>
      </c>
      <c r="K2566" s="6" t="str">
        <f aca="false">A2566&amp;"|"&amp;B2566&amp;"|"&amp;C2566&amp;"|"&amp;D2566</f>
        <v>4|7|Christine|spotify:track:1afewsMym3BFlFDTDiuMyt</v>
      </c>
    </row>
    <row r="2567" customFormat="false" ht="15" hidden="false" customHeight="false" outlineLevel="0" collapsed="false">
      <c r="A2567" s="5" t="n">
        <v>4</v>
      </c>
      <c r="B2567" s="5" t="n">
        <v>7</v>
      </c>
      <c r="C2567" s="5" t="s">
        <v>719</v>
      </c>
      <c r="D2567" s="5" t="s">
        <v>1265</v>
      </c>
      <c r="E2567" s="5" t="n">
        <v>1</v>
      </c>
      <c r="F2567" s="6" t="n">
        <f aca="false">IFERROR(MATCH(A2567&amp;"|"&amp;B2567&amp;"|"&amp;D2567,'All Song Rankings'!$T:$T,0),0)</f>
        <v>394</v>
      </c>
      <c r="G2567" s="6" t="str">
        <f aca="false">IF(F2567=0,"NOT FOUND",INDEX('All Song Rankings'!$A:$A,F2567))</f>
        <v>The Funeral</v>
      </c>
      <c r="H2567" s="6" t="str">
        <f aca="false">IF(F2567=0,"NOT FOUND",INDEX('All Song Rankings'!$B:$B,F2567))</f>
        <v>YUNGBLUD</v>
      </c>
      <c r="I2567" s="6" t="str">
        <f aca="false">IF(F2567=0,"NOT FOUND",INDEX('All Song Rankings'!$D:$D,F2567))</f>
        <v>Makenzie</v>
      </c>
      <c r="J2567" s="7" t="str">
        <f aca="false">IF(F2567=0,"NOT FOUND",IF(C2567=I2567,"SELF-VOTE",IF(COUNTIF($K:$K,K2567)&gt;1,"DUPLICATE","OK")))</f>
        <v>OK</v>
      </c>
      <c r="K2567" s="6" t="str">
        <f aca="false">A2567&amp;"|"&amp;B2567&amp;"|"&amp;C2567&amp;"|"&amp;D2567</f>
        <v>4|7|Christine|spotify:track:3t4zZ2SxXgQRIhc5N6a6oZ</v>
      </c>
    </row>
    <row r="2568" customFormat="false" ht="15" hidden="false" customHeight="false" outlineLevel="0" collapsed="false">
      <c r="A2568" s="5" t="n">
        <v>4</v>
      </c>
      <c r="B2568" s="5" t="n">
        <v>7</v>
      </c>
      <c r="C2568" s="5" t="s">
        <v>719</v>
      </c>
      <c r="D2568" s="5" t="s">
        <v>1280</v>
      </c>
      <c r="E2568" s="5" t="n">
        <v>1</v>
      </c>
      <c r="F2568" s="6" t="n">
        <f aca="false">IFERROR(MATCH(A2568&amp;"|"&amp;B2568&amp;"|"&amp;D2568,'All Song Rankings'!$T:$T,0),0)</f>
        <v>399</v>
      </c>
      <c r="G2568" s="6" t="str">
        <f aca="false">IF(F2568=0,"NOT FOUND",INDEX('All Song Rankings'!$A:$A,F2568))</f>
        <v>ALL GAS (feat. Mitchell Tenpenny)</v>
      </c>
      <c r="H2568" s="6" t="str">
        <f aca="false">IF(F2568=0,"NOT FOUND",INDEX('All Song Rankings'!$B:$B,F2568))</f>
        <v>Bilmuri</v>
      </c>
      <c r="I2568" s="6" t="str">
        <f aca="false">IF(F2568=0,"NOT FOUND",INDEX('All Song Rankings'!$D:$D,F2568))</f>
        <v>Colleen</v>
      </c>
      <c r="J2568" s="7" t="str">
        <f aca="false">IF(F2568=0,"NOT FOUND",IF(C2568=I2568,"SELF-VOTE",IF(COUNTIF($K:$K,K2568)&gt;1,"DUPLICATE","OK")))</f>
        <v>OK</v>
      </c>
      <c r="K2568" s="6" t="str">
        <f aca="false">A2568&amp;"|"&amp;B2568&amp;"|"&amp;C2568&amp;"|"&amp;D2568</f>
        <v>4|7|Christine|spotify:track:4L4PGyC3YQ5kSNKugK1gLc</v>
      </c>
    </row>
    <row r="2569" customFormat="false" ht="15" hidden="false" customHeight="false" outlineLevel="0" collapsed="false">
      <c r="A2569" s="5" t="n">
        <v>4</v>
      </c>
      <c r="B2569" s="5" t="n">
        <v>7</v>
      </c>
      <c r="C2569" s="5" t="s">
        <v>719</v>
      </c>
      <c r="D2569" s="5" t="s">
        <v>1277</v>
      </c>
      <c r="E2569" s="5" t="n">
        <v>1</v>
      </c>
      <c r="F2569" s="6" t="n">
        <f aca="false">IFERROR(MATCH(A2569&amp;"|"&amp;B2569&amp;"|"&amp;D2569,'All Song Rankings'!$T:$T,0),0)</f>
        <v>398</v>
      </c>
      <c r="G2569" s="6" t="str">
        <f aca="false">IF(F2569=0,"NOT FOUND",INDEX('All Song Rankings'!$A:$A,F2569))</f>
        <v>Choosin' Texas</v>
      </c>
      <c r="H2569" s="6" t="str">
        <f aca="false">IF(F2569=0,"NOT FOUND",INDEX('All Song Rankings'!$B:$B,F2569))</f>
        <v>Ella Langley</v>
      </c>
      <c r="I2569" s="6" t="str">
        <f aca="false">IF(F2569=0,"NOT FOUND",INDEX('All Song Rankings'!$D:$D,F2569))</f>
        <v>Kelsey</v>
      </c>
      <c r="J2569" s="7" t="str">
        <f aca="false">IF(F2569=0,"NOT FOUND",IF(C2569=I2569,"SELF-VOTE",IF(COUNTIF($K:$K,K2569)&gt;1,"DUPLICATE","OK")))</f>
        <v>OK</v>
      </c>
      <c r="K2569" s="6" t="str">
        <f aca="false">A2569&amp;"|"&amp;B2569&amp;"|"&amp;C2569&amp;"|"&amp;D2569</f>
        <v>4|7|Christine|spotify:track:65DbTqJKhbwqYbZ1Okr0rc</v>
      </c>
    </row>
    <row r="2570" customFormat="false" ht="15" hidden="false" customHeight="false" outlineLevel="0" collapsed="false">
      <c r="A2570" s="5" t="n">
        <v>4</v>
      </c>
      <c r="B2570" s="5" t="n">
        <v>7</v>
      </c>
      <c r="C2570" s="5" t="s">
        <v>719</v>
      </c>
      <c r="D2570" s="5" t="s">
        <v>1288</v>
      </c>
      <c r="E2570" s="5" t="n">
        <v>1</v>
      </c>
      <c r="F2570" s="6" t="n">
        <f aca="false">IFERROR(MATCH(A2570&amp;"|"&amp;B2570&amp;"|"&amp;D2570,'All Song Rankings'!$T:$T,0),0)</f>
        <v>402</v>
      </c>
      <c r="G2570" s="6" t="str">
        <f aca="false">IF(F2570=0,"NOT FOUND",INDEX('All Song Rankings'!$A:$A,F2570))</f>
        <v>THINK ABOUT ME</v>
      </c>
      <c r="H2570" s="6" t="str">
        <f aca="false">IF(F2570=0,"NOT FOUND",INDEX('All Song Rankings'!$B:$B,F2570))</f>
        <v>jxdn</v>
      </c>
      <c r="I2570" s="6" t="str">
        <f aca="false">IF(F2570=0,"NOT FOUND",INDEX('All Song Rankings'!$D:$D,F2570))</f>
        <v>Nicole</v>
      </c>
      <c r="J2570" s="7" t="str">
        <f aca="false">IF(F2570=0,"NOT FOUND",IF(C2570=I2570,"SELF-VOTE",IF(COUNTIF($K:$K,K2570)&gt;1,"DUPLICATE","OK")))</f>
        <v>OK</v>
      </c>
      <c r="K2570" s="6" t="str">
        <f aca="false">A2570&amp;"|"&amp;B2570&amp;"|"&amp;C2570&amp;"|"&amp;D2570</f>
        <v>4|7|Christine|spotify:track:6HNtT20hmFvswMN53jIRv1</v>
      </c>
    </row>
    <row r="2571" customFormat="false" ht="15" hidden="false" customHeight="false" outlineLevel="0" collapsed="false">
      <c r="A2571" s="5" t="n">
        <v>4</v>
      </c>
      <c r="B2571" s="5" t="n">
        <v>7</v>
      </c>
      <c r="C2571" s="5" t="s">
        <v>637</v>
      </c>
      <c r="D2571" s="5" t="s">
        <v>1274</v>
      </c>
      <c r="E2571" s="5" t="n">
        <v>1</v>
      </c>
      <c r="F2571" s="6" t="n">
        <f aca="false">IFERROR(MATCH(A2571&amp;"|"&amp;B2571&amp;"|"&amp;D2571,'All Song Rankings'!$T:$T,0),0)</f>
        <v>397</v>
      </c>
      <c r="G2571" s="6" t="str">
        <f aca="false">IF(F2571=0,"NOT FOUND",INDEX('All Song Rankings'!$A:$A,F2571))</f>
        <v>The Crane Wife 3</v>
      </c>
      <c r="H2571" s="6" t="str">
        <f aca="false">IF(F2571=0,"NOT FOUND",INDEX('All Song Rankings'!$B:$B,F2571))</f>
        <v>The Decemberists</v>
      </c>
      <c r="I2571" s="6" t="str">
        <f aca="false">IF(F2571=0,"NOT FOUND",INDEX('All Song Rankings'!$D:$D,F2571))</f>
        <v>Lisa</v>
      </c>
      <c r="J2571" s="7" t="str">
        <f aca="false">IF(F2571=0,"NOT FOUND",IF(C2571=I2571,"SELF-VOTE",IF(COUNTIF($K:$K,K2571)&gt;1,"DUPLICATE","OK")))</f>
        <v>OK</v>
      </c>
      <c r="K2571" s="6" t="str">
        <f aca="false">A2571&amp;"|"&amp;B2571&amp;"|"&amp;C2571&amp;"|"&amp;D2571</f>
        <v>4|7|Colleen|spotify:track:0IwXp8V7wgFCIthRh2z8Ot</v>
      </c>
    </row>
    <row r="2572" customFormat="false" ht="15" hidden="false" customHeight="false" outlineLevel="0" collapsed="false">
      <c r="A2572" s="5" t="n">
        <v>4</v>
      </c>
      <c r="B2572" s="5" t="n">
        <v>7</v>
      </c>
      <c r="C2572" s="5" t="s">
        <v>637</v>
      </c>
      <c r="D2572" s="5" t="s">
        <v>1262</v>
      </c>
      <c r="E2572" s="5" t="n">
        <v>1</v>
      </c>
      <c r="F2572" s="6" t="n">
        <f aca="false">IFERROR(MATCH(A2572&amp;"|"&amp;B2572&amp;"|"&amp;D2572,'All Song Rankings'!$T:$T,0),0)</f>
        <v>393</v>
      </c>
      <c r="G2572" s="6" t="str">
        <f aca="false">IF(F2572=0,"NOT FOUND",INDEX('All Song Rankings'!$A:$A,F2572))</f>
        <v>The Way That I Fiddle</v>
      </c>
      <c r="H2572" s="6" t="str">
        <f aca="false">IF(F2572=0,"NOT FOUND",INDEX('All Song Rankings'!$B:$B,F2572))</f>
        <v>Clejan</v>
      </c>
      <c r="I2572" s="6" t="str">
        <f aca="false">IF(F2572=0,"NOT FOUND",INDEX('All Song Rankings'!$D:$D,F2572))</f>
        <v>Leah</v>
      </c>
      <c r="J2572" s="7" t="str">
        <f aca="false">IF(F2572=0,"NOT FOUND",IF(C2572=I2572,"SELF-VOTE",IF(COUNTIF($K:$K,K2572)&gt;1,"DUPLICATE","OK")))</f>
        <v>OK</v>
      </c>
      <c r="K2572" s="6" t="str">
        <f aca="false">A2572&amp;"|"&amp;B2572&amp;"|"&amp;C2572&amp;"|"&amp;D2572</f>
        <v>4|7|Colleen|spotify:track:0oHG32IK45iVgoiVcnYNBx</v>
      </c>
    </row>
    <row r="2573" customFormat="false" ht="15" hidden="false" customHeight="false" outlineLevel="0" collapsed="false">
      <c r="A2573" s="5" t="n">
        <v>4</v>
      </c>
      <c r="B2573" s="5" t="n">
        <v>7</v>
      </c>
      <c r="C2573" s="5" t="s">
        <v>637</v>
      </c>
      <c r="D2573" s="5" t="s">
        <v>1271</v>
      </c>
      <c r="E2573" s="5" t="n">
        <v>1</v>
      </c>
      <c r="F2573" s="6" t="n">
        <f aca="false">IFERROR(MATCH(A2573&amp;"|"&amp;B2573&amp;"|"&amp;D2573,'All Song Rankings'!$T:$T,0),0)</f>
        <v>396</v>
      </c>
      <c r="G2573" s="6" t="str">
        <f aca="false">IF(F2573=0,"NOT FOUND",INDEX('All Song Rankings'!$A:$A,F2573))</f>
        <v>Heart's Content</v>
      </c>
      <c r="H2573" s="6" t="str">
        <f aca="false">IF(F2573=0,"NOT FOUND",INDEX('All Song Rankings'!$B:$B,F2573))</f>
        <v>Brandi Carlile</v>
      </c>
      <c r="I2573" s="6" t="str">
        <f aca="false">IF(F2573=0,"NOT FOUND",INDEX('All Song Rankings'!$D:$D,F2573))</f>
        <v>Grace</v>
      </c>
      <c r="J2573" s="7" t="str">
        <f aca="false">IF(F2573=0,"NOT FOUND",IF(C2573=I2573,"SELF-VOTE",IF(COUNTIF($K:$K,K2573)&gt;1,"DUPLICATE","OK")))</f>
        <v>OK</v>
      </c>
      <c r="K2573" s="6" t="str">
        <f aca="false">A2573&amp;"|"&amp;B2573&amp;"|"&amp;C2573&amp;"|"&amp;D2573</f>
        <v>4|7|Colleen|spotify:track:0pegFWSUOTiG0sLVEfxtvA</v>
      </c>
    </row>
    <row r="2574" customFormat="false" ht="15" hidden="false" customHeight="false" outlineLevel="0" collapsed="false">
      <c r="A2574" s="5" t="n">
        <v>4</v>
      </c>
      <c r="B2574" s="5" t="n">
        <v>7</v>
      </c>
      <c r="C2574" s="5" t="s">
        <v>637</v>
      </c>
      <c r="D2574" s="5" t="s">
        <v>1285</v>
      </c>
      <c r="E2574" s="5" t="n">
        <v>1</v>
      </c>
      <c r="F2574" s="6" t="n">
        <f aca="false">IFERROR(MATCH(A2574&amp;"|"&amp;B2574&amp;"|"&amp;D2574,'All Song Rankings'!$T:$T,0),0)</f>
        <v>401</v>
      </c>
      <c r="G2574" s="6" t="str">
        <f aca="false">IF(F2574=0,"NOT FOUND",INDEX('All Song Rankings'!$A:$A,F2574))</f>
        <v>Searchlight</v>
      </c>
      <c r="H2574" s="6" t="str">
        <f aca="false">IF(F2574=0,"NOT FOUND",INDEX('All Song Rankings'!$B:$B,F2574))</f>
        <v>Shinedown</v>
      </c>
      <c r="I2574" s="6" t="str">
        <f aca="false">IF(F2574=0,"NOT FOUND",INDEX('All Song Rankings'!$D:$D,F2574))</f>
        <v>Christine</v>
      </c>
      <c r="J2574" s="7" t="str">
        <f aca="false">IF(F2574=0,"NOT FOUND",IF(C2574=I2574,"SELF-VOTE",IF(COUNTIF($K:$K,K2574)&gt;1,"DUPLICATE","OK")))</f>
        <v>OK</v>
      </c>
      <c r="K2574" s="6" t="str">
        <f aca="false">A2574&amp;"|"&amp;B2574&amp;"|"&amp;C2574&amp;"|"&amp;D2574</f>
        <v>4|7|Colleen|spotify:track:20fm2tV8FUuonX96Db1bGo</v>
      </c>
    </row>
    <row r="2575" customFormat="false" ht="15" hidden="false" customHeight="false" outlineLevel="0" collapsed="false">
      <c r="A2575" s="5" t="n">
        <v>4</v>
      </c>
      <c r="B2575" s="5" t="n">
        <v>7</v>
      </c>
      <c r="C2575" s="5" t="s">
        <v>637</v>
      </c>
      <c r="D2575" s="5" t="s">
        <v>1265</v>
      </c>
      <c r="E2575" s="5" t="n">
        <v>1</v>
      </c>
      <c r="F2575" s="6" t="n">
        <f aca="false">IFERROR(MATCH(A2575&amp;"|"&amp;B2575&amp;"|"&amp;D2575,'All Song Rankings'!$T:$T,0),0)</f>
        <v>394</v>
      </c>
      <c r="G2575" s="6" t="str">
        <f aca="false">IF(F2575=0,"NOT FOUND",INDEX('All Song Rankings'!$A:$A,F2575))</f>
        <v>The Funeral</v>
      </c>
      <c r="H2575" s="6" t="str">
        <f aca="false">IF(F2575=0,"NOT FOUND",INDEX('All Song Rankings'!$B:$B,F2575))</f>
        <v>YUNGBLUD</v>
      </c>
      <c r="I2575" s="6" t="str">
        <f aca="false">IF(F2575=0,"NOT FOUND",INDEX('All Song Rankings'!$D:$D,F2575))</f>
        <v>Makenzie</v>
      </c>
      <c r="J2575" s="7" t="str">
        <f aca="false">IF(F2575=0,"NOT FOUND",IF(C2575=I2575,"SELF-VOTE",IF(COUNTIF($K:$K,K2575)&gt;1,"DUPLICATE","OK")))</f>
        <v>OK</v>
      </c>
      <c r="K2575" s="6" t="str">
        <f aca="false">A2575&amp;"|"&amp;B2575&amp;"|"&amp;C2575&amp;"|"&amp;D2575</f>
        <v>4|7|Colleen|spotify:track:3t4zZ2SxXgQRIhc5N6a6oZ</v>
      </c>
    </row>
    <row r="2576" customFormat="false" ht="15" hidden="false" customHeight="false" outlineLevel="0" collapsed="false">
      <c r="A2576" s="5" t="n">
        <v>4</v>
      </c>
      <c r="B2576" s="5" t="n">
        <v>7</v>
      </c>
      <c r="C2576" s="5" t="s">
        <v>637</v>
      </c>
      <c r="D2576" s="5" t="s">
        <v>1277</v>
      </c>
      <c r="E2576" s="5" t="n">
        <v>2</v>
      </c>
      <c r="F2576" s="6" t="n">
        <f aca="false">IFERROR(MATCH(A2576&amp;"|"&amp;B2576&amp;"|"&amp;D2576,'All Song Rankings'!$T:$T,0),0)</f>
        <v>398</v>
      </c>
      <c r="G2576" s="6" t="str">
        <f aca="false">IF(F2576=0,"NOT FOUND",INDEX('All Song Rankings'!$A:$A,F2576))</f>
        <v>Choosin' Texas</v>
      </c>
      <c r="H2576" s="6" t="str">
        <f aca="false">IF(F2576=0,"NOT FOUND",INDEX('All Song Rankings'!$B:$B,F2576))</f>
        <v>Ella Langley</v>
      </c>
      <c r="I2576" s="6" t="str">
        <f aca="false">IF(F2576=0,"NOT FOUND",INDEX('All Song Rankings'!$D:$D,F2576))</f>
        <v>Kelsey</v>
      </c>
      <c r="J2576" s="7" t="str">
        <f aca="false">IF(F2576=0,"NOT FOUND",IF(C2576=I2576,"SELF-VOTE",IF(COUNTIF($K:$K,K2576)&gt;1,"DUPLICATE","OK")))</f>
        <v>OK</v>
      </c>
      <c r="K2576" s="6" t="str">
        <f aca="false">A2576&amp;"|"&amp;B2576&amp;"|"&amp;C2576&amp;"|"&amp;D2576</f>
        <v>4|7|Colleen|spotify:track:65DbTqJKhbwqYbZ1Okr0rc</v>
      </c>
    </row>
    <row r="2577" customFormat="false" ht="15" hidden="false" customHeight="false" outlineLevel="0" collapsed="false">
      <c r="A2577" s="5" t="n">
        <v>4</v>
      </c>
      <c r="B2577" s="5" t="n">
        <v>7</v>
      </c>
      <c r="C2577" s="5" t="s">
        <v>637</v>
      </c>
      <c r="D2577" s="5" t="s">
        <v>1288</v>
      </c>
      <c r="E2577" s="5" t="n">
        <v>2</v>
      </c>
      <c r="F2577" s="6" t="n">
        <f aca="false">IFERROR(MATCH(A2577&amp;"|"&amp;B2577&amp;"|"&amp;D2577,'All Song Rankings'!$T:$T,0),0)</f>
        <v>402</v>
      </c>
      <c r="G2577" s="6" t="str">
        <f aca="false">IF(F2577=0,"NOT FOUND",INDEX('All Song Rankings'!$A:$A,F2577))</f>
        <v>THINK ABOUT ME</v>
      </c>
      <c r="H2577" s="6" t="str">
        <f aca="false">IF(F2577=0,"NOT FOUND",INDEX('All Song Rankings'!$B:$B,F2577))</f>
        <v>jxdn</v>
      </c>
      <c r="I2577" s="6" t="str">
        <f aca="false">IF(F2577=0,"NOT FOUND",INDEX('All Song Rankings'!$D:$D,F2577))</f>
        <v>Nicole</v>
      </c>
      <c r="J2577" s="7" t="str">
        <f aca="false">IF(F2577=0,"NOT FOUND",IF(C2577=I2577,"SELF-VOTE",IF(COUNTIF($K:$K,K2577)&gt;1,"DUPLICATE","OK")))</f>
        <v>OK</v>
      </c>
      <c r="K2577" s="6" t="str">
        <f aca="false">A2577&amp;"|"&amp;B2577&amp;"|"&amp;C2577&amp;"|"&amp;D2577</f>
        <v>4|7|Colleen|spotify:track:6HNtT20hmFvswMN53jIRv1</v>
      </c>
    </row>
    <row r="2578" customFormat="false" ht="15" hidden="false" customHeight="false" outlineLevel="0" collapsed="false">
      <c r="A2578" s="5" t="n">
        <v>4</v>
      </c>
      <c r="B2578" s="5" t="n">
        <v>7</v>
      </c>
      <c r="C2578" s="5" t="s">
        <v>637</v>
      </c>
      <c r="D2578" s="5" t="s">
        <v>1268</v>
      </c>
      <c r="E2578" s="5" t="n">
        <v>1</v>
      </c>
      <c r="F2578" s="6" t="n">
        <f aca="false">IFERROR(MATCH(A2578&amp;"|"&amp;B2578&amp;"|"&amp;D2578,'All Song Rankings'!$T:$T,0),0)</f>
        <v>395</v>
      </c>
      <c r="G2578" s="6" t="str">
        <f aca="false">IF(F2578=0,"NOT FOUND",INDEX('All Song Rankings'!$A:$A,F2578))</f>
        <v>Sandstorm</v>
      </c>
      <c r="H2578" s="6" t="str">
        <f aca="false">IF(F2578=0,"NOT FOUND",INDEX('All Song Rankings'!$B:$B,F2578))</f>
        <v>Darude</v>
      </c>
      <c r="I2578" s="6" t="str">
        <f aca="false">IF(F2578=0,"NOT FOUND",INDEX('All Song Rankings'!$D:$D,F2578))</f>
        <v>Stephanie</v>
      </c>
      <c r="J2578" s="7" t="str">
        <f aca="false">IF(F2578=0,"NOT FOUND",IF(C2578=I2578,"SELF-VOTE",IF(COUNTIF($K:$K,K2578)&gt;1,"DUPLICATE","OK")))</f>
        <v>OK</v>
      </c>
      <c r="K2578" s="6" t="str">
        <f aca="false">A2578&amp;"|"&amp;B2578&amp;"|"&amp;C2578&amp;"|"&amp;D2578</f>
        <v>4|7|Colleen|spotify:track:6Sy9BUbgFse0n0LPA5lwy5</v>
      </c>
    </row>
    <row r="2579" customFormat="false" ht="15" hidden="false" customHeight="false" outlineLevel="0" collapsed="false">
      <c r="A2579" s="5" t="n">
        <v>4</v>
      </c>
      <c r="B2579" s="5" t="n">
        <v>7</v>
      </c>
      <c r="C2579" s="5" t="s">
        <v>382</v>
      </c>
      <c r="D2579" s="5" t="s">
        <v>1274</v>
      </c>
      <c r="E2579" s="5" t="n">
        <v>3</v>
      </c>
      <c r="F2579" s="6" t="n">
        <f aca="false">IFERROR(MATCH(A2579&amp;"|"&amp;B2579&amp;"|"&amp;D2579,'All Song Rankings'!$T:$T,0),0)</f>
        <v>397</v>
      </c>
      <c r="G2579" s="6" t="str">
        <f aca="false">IF(F2579=0,"NOT FOUND",INDEX('All Song Rankings'!$A:$A,F2579))</f>
        <v>The Crane Wife 3</v>
      </c>
      <c r="H2579" s="6" t="str">
        <f aca="false">IF(F2579=0,"NOT FOUND",INDEX('All Song Rankings'!$B:$B,F2579))</f>
        <v>The Decemberists</v>
      </c>
      <c r="I2579" s="6" t="str">
        <f aca="false">IF(F2579=0,"NOT FOUND",INDEX('All Song Rankings'!$D:$D,F2579))</f>
        <v>Lisa</v>
      </c>
      <c r="J2579" s="7" t="str">
        <f aca="false">IF(F2579=0,"NOT FOUND",IF(C2579=I2579,"SELF-VOTE",IF(COUNTIF($K:$K,K2579)&gt;1,"DUPLICATE","OK")))</f>
        <v>OK</v>
      </c>
      <c r="K2579" s="6" t="str">
        <f aca="false">A2579&amp;"|"&amp;B2579&amp;"|"&amp;C2579&amp;"|"&amp;D2579</f>
        <v>4|7|Grace|spotify:track:0IwXp8V7wgFCIthRh2z8Ot</v>
      </c>
    </row>
    <row r="2580" customFormat="false" ht="15" hidden="false" customHeight="false" outlineLevel="0" collapsed="false">
      <c r="A2580" s="5" t="n">
        <v>4</v>
      </c>
      <c r="B2580" s="5" t="n">
        <v>7</v>
      </c>
      <c r="C2580" s="5" t="s">
        <v>382</v>
      </c>
      <c r="D2580" s="5" t="s">
        <v>1262</v>
      </c>
      <c r="E2580" s="5" t="n">
        <v>1</v>
      </c>
      <c r="F2580" s="6" t="n">
        <f aca="false">IFERROR(MATCH(A2580&amp;"|"&amp;B2580&amp;"|"&amp;D2580,'All Song Rankings'!$T:$T,0),0)</f>
        <v>393</v>
      </c>
      <c r="G2580" s="6" t="str">
        <f aca="false">IF(F2580=0,"NOT FOUND",INDEX('All Song Rankings'!$A:$A,F2580))</f>
        <v>The Way That I Fiddle</v>
      </c>
      <c r="H2580" s="6" t="str">
        <f aca="false">IF(F2580=0,"NOT FOUND",INDEX('All Song Rankings'!$B:$B,F2580))</f>
        <v>Clejan</v>
      </c>
      <c r="I2580" s="6" t="str">
        <f aca="false">IF(F2580=0,"NOT FOUND",INDEX('All Song Rankings'!$D:$D,F2580))</f>
        <v>Leah</v>
      </c>
      <c r="J2580" s="7" t="str">
        <f aca="false">IF(F2580=0,"NOT FOUND",IF(C2580=I2580,"SELF-VOTE",IF(COUNTIF($K:$K,K2580)&gt;1,"DUPLICATE","OK")))</f>
        <v>OK</v>
      </c>
      <c r="K2580" s="6" t="str">
        <f aca="false">A2580&amp;"|"&amp;B2580&amp;"|"&amp;C2580&amp;"|"&amp;D2580</f>
        <v>4|7|Grace|spotify:track:0oHG32IK45iVgoiVcnYNBx</v>
      </c>
    </row>
    <row r="2581" customFormat="false" ht="15" hidden="false" customHeight="false" outlineLevel="0" collapsed="false">
      <c r="A2581" s="5" t="n">
        <v>4</v>
      </c>
      <c r="B2581" s="5" t="n">
        <v>7</v>
      </c>
      <c r="C2581" s="5" t="s">
        <v>382</v>
      </c>
      <c r="D2581" s="5" t="s">
        <v>1295</v>
      </c>
      <c r="E2581" s="5" t="n">
        <v>1</v>
      </c>
      <c r="F2581" s="6" t="n">
        <f aca="false">IFERROR(MATCH(A2581&amp;"|"&amp;B2581&amp;"|"&amp;D2581,'All Song Rankings'!$T:$T,0),0)</f>
        <v>404</v>
      </c>
      <c r="G2581" s="6" t="str">
        <f aca="false">IF(F2581=0,"NOT FOUND",INDEX('All Song Rankings'!$A:$A,F2581))</f>
        <v>Language</v>
      </c>
      <c r="H2581" s="6" t="str">
        <f aca="false">IF(F2581=0,"NOT FOUND",INDEX('All Song Rankings'!$B:$B,F2581))</f>
        <v>Tori Kelly</v>
      </c>
      <c r="I2581" s="6" t="str">
        <f aca="false">IF(F2581=0,"NOT FOUND",INDEX('All Song Rankings'!$D:$D,F2581))</f>
        <v>Logan</v>
      </c>
      <c r="J2581" s="7" t="str">
        <f aca="false">IF(F2581=0,"NOT FOUND",IF(C2581=I2581,"SELF-VOTE",IF(COUNTIF($K:$K,K2581)&gt;1,"DUPLICATE","OK")))</f>
        <v>OK</v>
      </c>
      <c r="K2581" s="6" t="str">
        <f aca="false">A2581&amp;"|"&amp;B2581&amp;"|"&amp;C2581&amp;"|"&amp;D2581</f>
        <v>4|7|Grace|spotify:track:1afewsMym3BFlFDTDiuMyt</v>
      </c>
    </row>
    <row r="2582" customFormat="false" ht="15" hidden="false" customHeight="false" outlineLevel="0" collapsed="false">
      <c r="A2582" s="5" t="n">
        <v>4</v>
      </c>
      <c r="B2582" s="5" t="n">
        <v>7</v>
      </c>
      <c r="C2582" s="5" t="s">
        <v>382</v>
      </c>
      <c r="D2582" s="5" t="s">
        <v>1300</v>
      </c>
      <c r="E2582" s="5" t="n">
        <v>2</v>
      </c>
      <c r="F2582" s="6" t="n">
        <f aca="false">IFERROR(MATCH(A2582&amp;"|"&amp;B2582&amp;"|"&amp;D2582,'All Song Rankings'!$T:$T,0),0)</f>
        <v>406</v>
      </c>
      <c r="G2582" s="6" t="str">
        <f aca="false">IF(F2582=0,"NOT FOUND",INDEX('All Song Rankings'!$A:$A,F2582))</f>
        <v>Rock 'n' Roll Lifestyle</v>
      </c>
      <c r="H2582" s="6" t="str">
        <f aca="false">IF(F2582=0,"NOT FOUND",INDEX('All Song Rankings'!$B:$B,F2582))</f>
        <v>CAKE</v>
      </c>
      <c r="I2582" s="6" t="str">
        <f aca="false">IF(F2582=0,"NOT FOUND",INDEX('All Song Rankings'!$D:$D,F2582))</f>
        <v>Scott</v>
      </c>
      <c r="J2582" s="7" t="str">
        <f aca="false">IF(F2582=0,"NOT FOUND",IF(C2582=I2582,"SELF-VOTE",IF(COUNTIF($K:$K,K2582)&gt;1,"DUPLICATE","OK")))</f>
        <v>OK</v>
      </c>
      <c r="K2582" s="6" t="str">
        <f aca="false">A2582&amp;"|"&amp;B2582&amp;"|"&amp;C2582&amp;"|"&amp;D2582</f>
        <v>4|7|Grace|spotify:track:4tRkMAL93DFmaMDUHOHuBH</v>
      </c>
    </row>
    <row r="2583" customFormat="false" ht="15" hidden="false" customHeight="false" outlineLevel="0" collapsed="false">
      <c r="A2583" s="5" t="n">
        <v>4</v>
      </c>
      <c r="B2583" s="5" t="n">
        <v>7</v>
      </c>
      <c r="C2583" s="5" t="s">
        <v>382</v>
      </c>
      <c r="D2583" s="5" t="s">
        <v>1277</v>
      </c>
      <c r="E2583" s="5" t="n">
        <v>3</v>
      </c>
      <c r="F2583" s="6" t="n">
        <f aca="false">IFERROR(MATCH(A2583&amp;"|"&amp;B2583&amp;"|"&amp;D2583,'All Song Rankings'!$T:$T,0),0)</f>
        <v>398</v>
      </c>
      <c r="G2583" s="6" t="str">
        <f aca="false">IF(F2583=0,"NOT FOUND",INDEX('All Song Rankings'!$A:$A,F2583))</f>
        <v>Choosin' Texas</v>
      </c>
      <c r="H2583" s="6" t="str">
        <f aca="false">IF(F2583=0,"NOT FOUND",INDEX('All Song Rankings'!$B:$B,F2583))</f>
        <v>Ella Langley</v>
      </c>
      <c r="I2583" s="6" t="str">
        <f aca="false">IF(F2583=0,"NOT FOUND",INDEX('All Song Rankings'!$D:$D,F2583))</f>
        <v>Kelsey</v>
      </c>
      <c r="J2583" s="7" t="str">
        <f aca="false">IF(F2583=0,"NOT FOUND",IF(C2583=I2583,"SELF-VOTE",IF(COUNTIF($K:$K,K2583)&gt;1,"DUPLICATE","OK")))</f>
        <v>OK</v>
      </c>
      <c r="K2583" s="6" t="str">
        <f aca="false">A2583&amp;"|"&amp;B2583&amp;"|"&amp;C2583&amp;"|"&amp;D2583</f>
        <v>4|7|Grace|spotify:track:65DbTqJKhbwqYbZ1Okr0rc</v>
      </c>
    </row>
    <row r="2584" customFormat="false" ht="15" hidden="false" customHeight="false" outlineLevel="0" collapsed="false">
      <c r="A2584" s="5" t="n">
        <v>4</v>
      </c>
      <c r="B2584" s="5" t="n">
        <v>7</v>
      </c>
      <c r="C2584" s="5" t="s">
        <v>85</v>
      </c>
      <c r="D2584" s="5" t="s">
        <v>1283</v>
      </c>
      <c r="E2584" s="5" t="n">
        <v>1</v>
      </c>
      <c r="F2584" s="6" t="n">
        <f aca="false">IFERROR(MATCH(A2584&amp;"|"&amp;B2584&amp;"|"&amp;D2584,'All Song Rankings'!$T:$T,0),0)</f>
        <v>400</v>
      </c>
      <c r="G2584" s="6" t="str">
        <f aca="false">IF(F2584=0,"NOT FOUND",INDEX('All Song Rankings'!$A:$A,F2584))</f>
        <v>King Kunta</v>
      </c>
      <c r="H2584" s="6" t="str">
        <f aca="false">IF(F2584=0,"NOT FOUND",INDEX('All Song Rankings'!$B:$B,F2584))</f>
        <v>Kendrick Lamar</v>
      </c>
      <c r="I2584" s="6" t="str">
        <f aca="false">IF(F2584=0,"NOT FOUND",INDEX('All Song Rankings'!$D:$D,F2584))</f>
        <v>Matt</v>
      </c>
      <c r="J2584" s="7" t="str">
        <f aca="false">IF(F2584=0,"NOT FOUND",IF(C2584=I2584,"SELF-VOTE",IF(COUNTIF($K:$K,K2584)&gt;1,"DUPLICATE","OK")))</f>
        <v>OK</v>
      </c>
      <c r="K2584" s="6" t="str">
        <f aca="false">A2584&amp;"|"&amp;B2584&amp;"|"&amp;C2584&amp;"|"&amp;D2584</f>
        <v>4|7|Kelsey|spotify:track:0N3W5peJUQtI4eyR6GJT5O</v>
      </c>
    </row>
    <row r="2585" customFormat="false" ht="15" hidden="false" customHeight="false" outlineLevel="0" collapsed="false">
      <c r="A2585" s="5" t="n">
        <v>4</v>
      </c>
      <c r="B2585" s="5" t="n">
        <v>7</v>
      </c>
      <c r="C2585" s="5" t="s">
        <v>85</v>
      </c>
      <c r="D2585" s="5" t="s">
        <v>1262</v>
      </c>
      <c r="E2585" s="5" t="n">
        <v>1</v>
      </c>
      <c r="F2585" s="6" t="n">
        <f aca="false">IFERROR(MATCH(A2585&amp;"|"&amp;B2585&amp;"|"&amp;D2585,'All Song Rankings'!$T:$T,0),0)</f>
        <v>393</v>
      </c>
      <c r="G2585" s="6" t="str">
        <f aca="false">IF(F2585=0,"NOT FOUND",INDEX('All Song Rankings'!$A:$A,F2585))</f>
        <v>The Way That I Fiddle</v>
      </c>
      <c r="H2585" s="6" t="str">
        <f aca="false">IF(F2585=0,"NOT FOUND",INDEX('All Song Rankings'!$B:$B,F2585))</f>
        <v>Clejan</v>
      </c>
      <c r="I2585" s="6" t="str">
        <f aca="false">IF(F2585=0,"NOT FOUND",INDEX('All Song Rankings'!$D:$D,F2585))</f>
        <v>Leah</v>
      </c>
      <c r="J2585" s="7" t="str">
        <f aca="false">IF(F2585=0,"NOT FOUND",IF(C2585=I2585,"SELF-VOTE",IF(COUNTIF($K:$K,K2585)&gt;1,"DUPLICATE","OK")))</f>
        <v>OK</v>
      </c>
      <c r="K2585" s="6" t="str">
        <f aca="false">A2585&amp;"|"&amp;B2585&amp;"|"&amp;C2585&amp;"|"&amp;D2585</f>
        <v>4|7|Kelsey|spotify:track:0oHG32IK45iVgoiVcnYNBx</v>
      </c>
    </row>
    <row r="2586" customFormat="false" ht="15" hidden="false" customHeight="false" outlineLevel="0" collapsed="false">
      <c r="A2586" s="5" t="n">
        <v>4</v>
      </c>
      <c r="B2586" s="5" t="n">
        <v>7</v>
      </c>
      <c r="C2586" s="5" t="s">
        <v>85</v>
      </c>
      <c r="D2586" s="5" t="s">
        <v>1271</v>
      </c>
      <c r="E2586" s="5" t="n">
        <v>3</v>
      </c>
      <c r="F2586" s="6" t="n">
        <f aca="false">IFERROR(MATCH(A2586&amp;"|"&amp;B2586&amp;"|"&amp;D2586,'All Song Rankings'!$T:$T,0),0)</f>
        <v>396</v>
      </c>
      <c r="G2586" s="6" t="str">
        <f aca="false">IF(F2586=0,"NOT FOUND",INDEX('All Song Rankings'!$A:$A,F2586))</f>
        <v>Heart's Content</v>
      </c>
      <c r="H2586" s="6" t="str">
        <f aca="false">IF(F2586=0,"NOT FOUND",INDEX('All Song Rankings'!$B:$B,F2586))</f>
        <v>Brandi Carlile</v>
      </c>
      <c r="I2586" s="6" t="str">
        <f aca="false">IF(F2586=0,"NOT FOUND",INDEX('All Song Rankings'!$D:$D,F2586))</f>
        <v>Grace</v>
      </c>
      <c r="J2586" s="7" t="str">
        <f aca="false">IF(F2586=0,"NOT FOUND",IF(C2586=I2586,"SELF-VOTE",IF(COUNTIF($K:$K,K2586)&gt;1,"DUPLICATE","OK")))</f>
        <v>OK</v>
      </c>
      <c r="K2586" s="6" t="str">
        <f aca="false">A2586&amp;"|"&amp;B2586&amp;"|"&amp;C2586&amp;"|"&amp;D2586</f>
        <v>4|7|Kelsey|spotify:track:0pegFWSUOTiG0sLVEfxtvA</v>
      </c>
    </row>
    <row r="2587" customFormat="false" ht="15" hidden="false" customHeight="false" outlineLevel="0" collapsed="false">
      <c r="A2587" s="5" t="n">
        <v>4</v>
      </c>
      <c r="B2587" s="5" t="n">
        <v>7</v>
      </c>
      <c r="C2587" s="5" t="s">
        <v>85</v>
      </c>
      <c r="D2587" s="5" t="s">
        <v>1295</v>
      </c>
      <c r="E2587" s="5" t="n">
        <v>1</v>
      </c>
      <c r="F2587" s="6" t="n">
        <f aca="false">IFERROR(MATCH(A2587&amp;"|"&amp;B2587&amp;"|"&amp;D2587,'All Song Rankings'!$T:$T,0),0)</f>
        <v>404</v>
      </c>
      <c r="G2587" s="6" t="str">
        <f aca="false">IF(F2587=0,"NOT FOUND",INDEX('All Song Rankings'!$A:$A,F2587))</f>
        <v>Language</v>
      </c>
      <c r="H2587" s="6" t="str">
        <f aca="false">IF(F2587=0,"NOT FOUND",INDEX('All Song Rankings'!$B:$B,F2587))</f>
        <v>Tori Kelly</v>
      </c>
      <c r="I2587" s="6" t="str">
        <f aca="false">IF(F2587=0,"NOT FOUND",INDEX('All Song Rankings'!$D:$D,F2587))</f>
        <v>Logan</v>
      </c>
      <c r="J2587" s="7" t="str">
        <f aca="false">IF(F2587=0,"NOT FOUND",IF(C2587=I2587,"SELF-VOTE",IF(COUNTIF($K:$K,K2587)&gt;1,"DUPLICATE","OK")))</f>
        <v>OK</v>
      </c>
      <c r="K2587" s="6" t="str">
        <f aca="false">A2587&amp;"|"&amp;B2587&amp;"|"&amp;C2587&amp;"|"&amp;D2587</f>
        <v>4|7|Kelsey|spotify:track:1afewsMym3BFlFDTDiuMyt</v>
      </c>
    </row>
    <row r="2588" customFormat="false" ht="15" hidden="false" customHeight="false" outlineLevel="0" collapsed="false">
      <c r="A2588" s="5" t="n">
        <v>4</v>
      </c>
      <c r="B2588" s="5" t="n">
        <v>7</v>
      </c>
      <c r="C2588" s="5" t="s">
        <v>85</v>
      </c>
      <c r="D2588" s="5" t="s">
        <v>1265</v>
      </c>
      <c r="E2588" s="5" t="n">
        <v>1</v>
      </c>
      <c r="F2588" s="6" t="n">
        <f aca="false">IFERROR(MATCH(A2588&amp;"|"&amp;B2588&amp;"|"&amp;D2588,'All Song Rankings'!$T:$T,0),0)</f>
        <v>394</v>
      </c>
      <c r="G2588" s="6" t="str">
        <f aca="false">IF(F2588=0,"NOT FOUND",INDEX('All Song Rankings'!$A:$A,F2588))</f>
        <v>The Funeral</v>
      </c>
      <c r="H2588" s="6" t="str">
        <f aca="false">IF(F2588=0,"NOT FOUND",INDEX('All Song Rankings'!$B:$B,F2588))</f>
        <v>YUNGBLUD</v>
      </c>
      <c r="I2588" s="6" t="str">
        <f aca="false">IF(F2588=0,"NOT FOUND",INDEX('All Song Rankings'!$D:$D,F2588))</f>
        <v>Makenzie</v>
      </c>
      <c r="J2588" s="7" t="str">
        <f aca="false">IF(F2588=0,"NOT FOUND",IF(C2588=I2588,"SELF-VOTE",IF(COUNTIF($K:$K,K2588)&gt;1,"DUPLICATE","OK")))</f>
        <v>OK</v>
      </c>
      <c r="K2588" s="6" t="str">
        <f aca="false">A2588&amp;"|"&amp;B2588&amp;"|"&amp;C2588&amp;"|"&amp;D2588</f>
        <v>4|7|Kelsey|spotify:track:3t4zZ2SxXgQRIhc5N6a6oZ</v>
      </c>
    </row>
    <row r="2589" customFormat="false" ht="15" hidden="false" customHeight="false" outlineLevel="0" collapsed="false">
      <c r="A2589" s="5" t="n">
        <v>4</v>
      </c>
      <c r="B2589" s="5" t="n">
        <v>7</v>
      </c>
      <c r="C2589" s="5" t="s">
        <v>85</v>
      </c>
      <c r="D2589" s="5" t="s">
        <v>1280</v>
      </c>
      <c r="E2589" s="5" t="n">
        <v>1</v>
      </c>
      <c r="F2589" s="6" t="n">
        <f aca="false">IFERROR(MATCH(A2589&amp;"|"&amp;B2589&amp;"|"&amp;D2589,'All Song Rankings'!$T:$T,0),0)</f>
        <v>399</v>
      </c>
      <c r="G2589" s="6" t="str">
        <f aca="false">IF(F2589=0,"NOT FOUND",INDEX('All Song Rankings'!$A:$A,F2589))</f>
        <v>ALL GAS (feat. Mitchell Tenpenny)</v>
      </c>
      <c r="H2589" s="6" t="str">
        <f aca="false">IF(F2589=0,"NOT FOUND",INDEX('All Song Rankings'!$B:$B,F2589))</f>
        <v>Bilmuri</v>
      </c>
      <c r="I2589" s="6" t="str">
        <f aca="false">IF(F2589=0,"NOT FOUND",INDEX('All Song Rankings'!$D:$D,F2589))</f>
        <v>Colleen</v>
      </c>
      <c r="J2589" s="7" t="str">
        <f aca="false">IF(F2589=0,"NOT FOUND",IF(C2589=I2589,"SELF-VOTE",IF(COUNTIF($K:$K,K2589)&gt;1,"DUPLICATE","OK")))</f>
        <v>OK</v>
      </c>
      <c r="K2589" s="6" t="str">
        <f aca="false">A2589&amp;"|"&amp;B2589&amp;"|"&amp;C2589&amp;"|"&amp;D2589</f>
        <v>4|7|Kelsey|spotify:track:4L4PGyC3YQ5kSNKugK1gLc</v>
      </c>
    </row>
    <row r="2590" customFormat="false" ht="15" hidden="false" customHeight="false" outlineLevel="0" collapsed="false">
      <c r="A2590" s="5" t="n">
        <v>4</v>
      </c>
      <c r="B2590" s="5" t="n">
        <v>7</v>
      </c>
      <c r="C2590" s="5" t="s">
        <v>85</v>
      </c>
      <c r="D2590" s="5" t="s">
        <v>1268</v>
      </c>
      <c r="E2590" s="5" t="n">
        <v>2</v>
      </c>
      <c r="F2590" s="6" t="n">
        <f aca="false">IFERROR(MATCH(A2590&amp;"|"&amp;B2590&amp;"|"&amp;D2590,'All Song Rankings'!$T:$T,0),0)</f>
        <v>395</v>
      </c>
      <c r="G2590" s="6" t="str">
        <f aca="false">IF(F2590=0,"NOT FOUND",INDEX('All Song Rankings'!$A:$A,F2590))</f>
        <v>Sandstorm</v>
      </c>
      <c r="H2590" s="6" t="str">
        <f aca="false">IF(F2590=0,"NOT FOUND",INDEX('All Song Rankings'!$B:$B,F2590))</f>
        <v>Darude</v>
      </c>
      <c r="I2590" s="6" t="str">
        <f aca="false">IF(F2590=0,"NOT FOUND",INDEX('All Song Rankings'!$D:$D,F2590))</f>
        <v>Stephanie</v>
      </c>
      <c r="J2590" s="7" t="str">
        <f aca="false">IF(F2590=0,"NOT FOUND",IF(C2590=I2590,"SELF-VOTE",IF(COUNTIF($K:$K,K2590)&gt;1,"DUPLICATE","OK")))</f>
        <v>OK</v>
      </c>
      <c r="K2590" s="6" t="str">
        <f aca="false">A2590&amp;"|"&amp;B2590&amp;"|"&amp;C2590&amp;"|"&amp;D2590</f>
        <v>4|7|Kelsey|spotify:track:6Sy9BUbgFse0n0LPA5lwy5</v>
      </c>
    </row>
    <row r="2591" customFormat="false" ht="15" hidden="false" customHeight="false" outlineLevel="0" collapsed="false">
      <c r="A2591" s="5" t="n">
        <v>4</v>
      </c>
      <c r="B2591" s="5" t="n">
        <v>7</v>
      </c>
      <c r="C2591" s="5" t="s">
        <v>106</v>
      </c>
      <c r="D2591" s="5" t="s">
        <v>1274</v>
      </c>
      <c r="E2591" s="5" t="n">
        <v>1</v>
      </c>
      <c r="F2591" s="6" t="n">
        <f aca="false">IFERROR(MATCH(A2591&amp;"|"&amp;B2591&amp;"|"&amp;D2591,'All Song Rankings'!$T:$T,0),0)</f>
        <v>397</v>
      </c>
      <c r="G2591" s="6" t="str">
        <f aca="false">IF(F2591=0,"NOT FOUND",INDEX('All Song Rankings'!$A:$A,F2591))</f>
        <v>The Crane Wife 3</v>
      </c>
      <c r="H2591" s="6" t="str">
        <f aca="false">IF(F2591=0,"NOT FOUND",INDEX('All Song Rankings'!$B:$B,F2591))</f>
        <v>The Decemberists</v>
      </c>
      <c r="I2591" s="6" t="str">
        <f aca="false">IF(F2591=0,"NOT FOUND",INDEX('All Song Rankings'!$D:$D,F2591))</f>
        <v>Lisa</v>
      </c>
      <c r="J2591" s="7" t="str">
        <f aca="false">IF(F2591=0,"NOT FOUND",IF(C2591=I2591,"SELF-VOTE",IF(COUNTIF($K:$K,K2591)&gt;1,"DUPLICATE","OK")))</f>
        <v>OK</v>
      </c>
      <c r="K2591" s="6" t="str">
        <f aca="false">A2591&amp;"|"&amp;B2591&amp;"|"&amp;C2591&amp;"|"&amp;D2591</f>
        <v>4|7|Kristen|spotify:track:0IwXp8V7wgFCIthRh2z8Ot</v>
      </c>
    </row>
    <row r="2592" customFormat="false" ht="15" hidden="false" customHeight="false" outlineLevel="0" collapsed="false">
      <c r="A2592" s="5" t="n">
        <v>4</v>
      </c>
      <c r="B2592" s="5" t="n">
        <v>7</v>
      </c>
      <c r="C2592" s="5" t="s">
        <v>106</v>
      </c>
      <c r="D2592" s="5" t="s">
        <v>1283</v>
      </c>
      <c r="E2592" s="5" t="n">
        <v>1</v>
      </c>
      <c r="F2592" s="6" t="n">
        <f aca="false">IFERROR(MATCH(A2592&amp;"|"&amp;B2592&amp;"|"&amp;D2592,'All Song Rankings'!$T:$T,0),0)</f>
        <v>400</v>
      </c>
      <c r="G2592" s="6" t="str">
        <f aca="false">IF(F2592=0,"NOT FOUND",INDEX('All Song Rankings'!$A:$A,F2592))</f>
        <v>King Kunta</v>
      </c>
      <c r="H2592" s="6" t="str">
        <f aca="false">IF(F2592=0,"NOT FOUND",INDEX('All Song Rankings'!$B:$B,F2592))</f>
        <v>Kendrick Lamar</v>
      </c>
      <c r="I2592" s="6" t="str">
        <f aca="false">IF(F2592=0,"NOT FOUND",INDEX('All Song Rankings'!$D:$D,F2592))</f>
        <v>Matt</v>
      </c>
      <c r="J2592" s="7" t="str">
        <f aca="false">IF(F2592=0,"NOT FOUND",IF(C2592=I2592,"SELF-VOTE",IF(COUNTIF($K:$K,K2592)&gt;1,"DUPLICATE","OK")))</f>
        <v>OK</v>
      </c>
      <c r="K2592" s="6" t="str">
        <f aca="false">A2592&amp;"|"&amp;B2592&amp;"|"&amp;C2592&amp;"|"&amp;D2592</f>
        <v>4|7|Kristen|spotify:track:0N3W5peJUQtI4eyR6GJT5O</v>
      </c>
    </row>
    <row r="2593" customFormat="false" ht="15" hidden="false" customHeight="false" outlineLevel="0" collapsed="false">
      <c r="A2593" s="5" t="n">
        <v>4</v>
      </c>
      <c r="B2593" s="5" t="n">
        <v>7</v>
      </c>
      <c r="C2593" s="5" t="s">
        <v>106</v>
      </c>
      <c r="D2593" s="5" t="s">
        <v>1262</v>
      </c>
      <c r="E2593" s="5" t="n">
        <v>1</v>
      </c>
      <c r="F2593" s="6" t="n">
        <f aca="false">IFERROR(MATCH(A2593&amp;"|"&amp;B2593&amp;"|"&amp;D2593,'All Song Rankings'!$T:$T,0),0)</f>
        <v>393</v>
      </c>
      <c r="G2593" s="6" t="str">
        <f aca="false">IF(F2593=0,"NOT FOUND",INDEX('All Song Rankings'!$A:$A,F2593))</f>
        <v>The Way That I Fiddle</v>
      </c>
      <c r="H2593" s="6" t="str">
        <f aca="false">IF(F2593=0,"NOT FOUND",INDEX('All Song Rankings'!$B:$B,F2593))</f>
        <v>Clejan</v>
      </c>
      <c r="I2593" s="6" t="str">
        <f aca="false">IF(F2593=0,"NOT FOUND",INDEX('All Song Rankings'!$D:$D,F2593))</f>
        <v>Leah</v>
      </c>
      <c r="J2593" s="7" t="str">
        <f aca="false">IF(F2593=0,"NOT FOUND",IF(C2593=I2593,"SELF-VOTE",IF(COUNTIF($K:$K,K2593)&gt;1,"DUPLICATE","OK")))</f>
        <v>OK</v>
      </c>
      <c r="K2593" s="6" t="str">
        <f aca="false">A2593&amp;"|"&amp;B2593&amp;"|"&amp;C2593&amp;"|"&amp;D2593</f>
        <v>4|7|Kristen|spotify:track:0oHG32IK45iVgoiVcnYNBx</v>
      </c>
    </row>
    <row r="2594" customFormat="false" ht="15" hidden="false" customHeight="false" outlineLevel="0" collapsed="false">
      <c r="A2594" s="5" t="n">
        <v>4</v>
      </c>
      <c r="B2594" s="5" t="n">
        <v>7</v>
      </c>
      <c r="C2594" s="5" t="s">
        <v>106</v>
      </c>
      <c r="D2594" s="5" t="s">
        <v>1285</v>
      </c>
      <c r="E2594" s="5" t="n">
        <v>1</v>
      </c>
      <c r="F2594" s="6" t="n">
        <f aca="false">IFERROR(MATCH(A2594&amp;"|"&amp;B2594&amp;"|"&amp;D2594,'All Song Rankings'!$T:$T,0),0)</f>
        <v>401</v>
      </c>
      <c r="G2594" s="6" t="str">
        <f aca="false">IF(F2594=0,"NOT FOUND",INDEX('All Song Rankings'!$A:$A,F2594))</f>
        <v>Searchlight</v>
      </c>
      <c r="H2594" s="6" t="str">
        <f aca="false">IF(F2594=0,"NOT FOUND",INDEX('All Song Rankings'!$B:$B,F2594))</f>
        <v>Shinedown</v>
      </c>
      <c r="I2594" s="6" t="str">
        <f aca="false">IF(F2594=0,"NOT FOUND",INDEX('All Song Rankings'!$D:$D,F2594))</f>
        <v>Christine</v>
      </c>
      <c r="J2594" s="7" t="str">
        <f aca="false">IF(F2594=0,"NOT FOUND",IF(C2594=I2594,"SELF-VOTE",IF(COUNTIF($K:$K,K2594)&gt;1,"DUPLICATE","OK")))</f>
        <v>OK</v>
      </c>
      <c r="K2594" s="6" t="str">
        <f aca="false">A2594&amp;"|"&amp;B2594&amp;"|"&amp;C2594&amp;"|"&amp;D2594</f>
        <v>4|7|Kristen|spotify:track:20fm2tV8FUuonX96Db1bGo</v>
      </c>
    </row>
    <row r="2595" customFormat="false" ht="15" hidden="false" customHeight="false" outlineLevel="0" collapsed="false">
      <c r="A2595" s="5" t="n">
        <v>4</v>
      </c>
      <c r="B2595" s="5" t="n">
        <v>7</v>
      </c>
      <c r="C2595" s="5" t="s">
        <v>106</v>
      </c>
      <c r="D2595" s="5" t="s">
        <v>1265</v>
      </c>
      <c r="E2595" s="5" t="n">
        <v>1</v>
      </c>
      <c r="F2595" s="6" t="n">
        <f aca="false">IFERROR(MATCH(A2595&amp;"|"&amp;B2595&amp;"|"&amp;D2595,'All Song Rankings'!$T:$T,0),0)</f>
        <v>394</v>
      </c>
      <c r="G2595" s="6" t="str">
        <f aca="false">IF(F2595=0,"NOT FOUND",INDEX('All Song Rankings'!$A:$A,F2595))</f>
        <v>The Funeral</v>
      </c>
      <c r="H2595" s="6" t="str">
        <f aca="false">IF(F2595=0,"NOT FOUND",INDEX('All Song Rankings'!$B:$B,F2595))</f>
        <v>YUNGBLUD</v>
      </c>
      <c r="I2595" s="6" t="str">
        <f aca="false">IF(F2595=0,"NOT FOUND",INDEX('All Song Rankings'!$D:$D,F2595))</f>
        <v>Makenzie</v>
      </c>
      <c r="J2595" s="7" t="str">
        <f aca="false">IF(F2595=0,"NOT FOUND",IF(C2595=I2595,"SELF-VOTE",IF(COUNTIF($K:$K,K2595)&gt;1,"DUPLICATE","OK")))</f>
        <v>OK</v>
      </c>
      <c r="K2595" s="6" t="str">
        <f aca="false">A2595&amp;"|"&amp;B2595&amp;"|"&amp;C2595&amp;"|"&amp;D2595</f>
        <v>4|7|Kristen|spotify:track:3t4zZ2SxXgQRIhc5N6a6oZ</v>
      </c>
    </row>
    <row r="2596" customFormat="false" ht="15" hidden="false" customHeight="false" outlineLevel="0" collapsed="false">
      <c r="A2596" s="5" t="n">
        <v>4</v>
      </c>
      <c r="B2596" s="5" t="n">
        <v>7</v>
      </c>
      <c r="C2596" s="5" t="s">
        <v>106</v>
      </c>
      <c r="D2596" s="5" t="s">
        <v>1280</v>
      </c>
      <c r="E2596" s="5" t="n">
        <v>1</v>
      </c>
      <c r="F2596" s="6" t="n">
        <f aca="false">IFERROR(MATCH(A2596&amp;"|"&amp;B2596&amp;"|"&amp;D2596,'All Song Rankings'!$T:$T,0),0)</f>
        <v>399</v>
      </c>
      <c r="G2596" s="6" t="str">
        <f aca="false">IF(F2596=0,"NOT FOUND",INDEX('All Song Rankings'!$A:$A,F2596))</f>
        <v>ALL GAS (feat. Mitchell Tenpenny)</v>
      </c>
      <c r="H2596" s="6" t="str">
        <f aca="false">IF(F2596=0,"NOT FOUND",INDEX('All Song Rankings'!$B:$B,F2596))</f>
        <v>Bilmuri</v>
      </c>
      <c r="I2596" s="6" t="str">
        <f aca="false">IF(F2596=0,"NOT FOUND",INDEX('All Song Rankings'!$D:$D,F2596))</f>
        <v>Colleen</v>
      </c>
      <c r="J2596" s="7" t="str">
        <f aca="false">IF(F2596=0,"NOT FOUND",IF(C2596=I2596,"SELF-VOTE",IF(COUNTIF($K:$K,K2596)&gt;1,"DUPLICATE","OK")))</f>
        <v>OK</v>
      </c>
      <c r="K2596" s="6" t="str">
        <f aca="false">A2596&amp;"|"&amp;B2596&amp;"|"&amp;C2596&amp;"|"&amp;D2596</f>
        <v>4|7|Kristen|spotify:track:4L4PGyC3YQ5kSNKugK1gLc</v>
      </c>
    </row>
    <row r="2597" customFormat="false" ht="15" hidden="false" customHeight="false" outlineLevel="0" collapsed="false">
      <c r="A2597" s="5" t="n">
        <v>4</v>
      </c>
      <c r="B2597" s="5" t="n">
        <v>7</v>
      </c>
      <c r="C2597" s="5" t="s">
        <v>106</v>
      </c>
      <c r="D2597" s="5" t="s">
        <v>1300</v>
      </c>
      <c r="E2597" s="5" t="n">
        <v>2</v>
      </c>
      <c r="F2597" s="6" t="n">
        <f aca="false">IFERROR(MATCH(A2597&amp;"|"&amp;B2597&amp;"|"&amp;D2597,'All Song Rankings'!$T:$T,0),0)</f>
        <v>406</v>
      </c>
      <c r="G2597" s="6" t="str">
        <f aca="false">IF(F2597=0,"NOT FOUND",INDEX('All Song Rankings'!$A:$A,F2597))</f>
        <v>Rock 'n' Roll Lifestyle</v>
      </c>
      <c r="H2597" s="6" t="str">
        <f aca="false">IF(F2597=0,"NOT FOUND",INDEX('All Song Rankings'!$B:$B,F2597))</f>
        <v>CAKE</v>
      </c>
      <c r="I2597" s="6" t="str">
        <f aca="false">IF(F2597=0,"NOT FOUND",INDEX('All Song Rankings'!$D:$D,F2597))</f>
        <v>Scott</v>
      </c>
      <c r="J2597" s="7" t="str">
        <f aca="false">IF(F2597=0,"NOT FOUND",IF(C2597=I2597,"SELF-VOTE",IF(COUNTIF($K:$K,K2597)&gt;1,"DUPLICATE","OK")))</f>
        <v>OK</v>
      </c>
      <c r="K2597" s="6" t="str">
        <f aca="false">A2597&amp;"|"&amp;B2597&amp;"|"&amp;C2597&amp;"|"&amp;D2597</f>
        <v>4|7|Kristen|spotify:track:4tRkMAL93DFmaMDUHOHuBH</v>
      </c>
    </row>
    <row r="2598" customFormat="false" ht="15" hidden="false" customHeight="false" outlineLevel="0" collapsed="false">
      <c r="A2598" s="5" t="n">
        <v>4</v>
      </c>
      <c r="B2598" s="5" t="n">
        <v>7</v>
      </c>
      <c r="C2598" s="5" t="s">
        <v>106</v>
      </c>
      <c r="D2598" s="5" t="s">
        <v>1288</v>
      </c>
      <c r="E2598" s="5" t="n">
        <v>1</v>
      </c>
      <c r="F2598" s="6" t="n">
        <f aca="false">IFERROR(MATCH(A2598&amp;"|"&amp;B2598&amp;"|"&amp;D2598,'All Song Rankings'!$T:$T,0),0)</f>
        <v>402</v>
      </c>
      <c r="G2598" s="6" t="str">
        <f aca="false">IF(F2598=0,"NOT FOUND",INDEX('All Song Rankings'!$A:$A,F2598))</f>
        <v>THINK ABOUT ME</v>
      </c>
      <c r="H2598" s="6" t="str">
        <f aca="false">IF(F2598=0,"NOT FOUND",INDEX('All Song Rankings'!$B:$B,F2598))</f>
        <v>jxdn</v>
      </c>
      <c r="I2598" s="6" t="str">
        <f aca="false">IF(F2598=0,"NOT FOUND",INDEX('All Song Rankings'!$D:$D,F2598))</f>
        <v>Nicole</v>
      </c>
      <c r="J2598" s="7" t="str">
        <f aca="false">IF(F2598=0,"NOT FOUND",IF(C2598=I2598,"SELF-VOTE",IF(COUNTIF($K:$K,K2598)&gt;1,"DUPLICATE","OK")))</f>
        <v>OK</v>
      </c>
      <c r="K2598" s="6" t="str">
        <f aca="false">A2598&amp;"|"&amp;B2598&amp;"|"&amp;C2598&amp;"|"&amp;D2598</f>
        <v>4|7|Kristen|spotify:track:6HNtT20hmFvswMN53jIRv1</v>
      </c>
    </row>
    <row r="2599" customFormat="false" ht="15" hidden="false" customHeight="false" outlineLevel="0" collapsed="false">
      <c r="A2599" s="5" t="n">
        <v>4</v>
      </c>
      <c r="B2599" s="5" t="n">
        <v>7</v>
      </c>
      <c r="C2599" s="5" t="s">
        <v>106</v>
      </c>
      <c r="D2599" s="5" t="s">
        <v>1268</v>
      </c>
      <c r="E2599" s="5" t="n">
        <v>1</v>
      </c>
      <c r="F2599" s="6" t="n">
        <f aca="false">IFERROR(MATCH(A2599&amp;"|"&amp;B2599&amp;"|"&amp;D2599,'All Song Rankings'!$T:$T,0),0)</f>
        <v>395</v>
      </c>
      <c r="G2599" s="6" t="str">
        <f aca="false">IF(F2599=0,"NOT FOUND",INDEX('All Song Rankings'!$A:$A,F2599))</f>
        <v>Sandstorm</v>
      </c>
      <c r="H2599" s="6" t="str">
        <f aca="false">IF(F2599=0,"NOT FOUND",INDEX('All Song Rankings'!$B:$B,F2599))</f>
        <v>Darude</v>
      </c>
      <c r="I2599" s="6" t="str">
        <f aca="false">IF(F2599=0,"NOT FOUND",INDEX('All Song Rankings'!$D:$D,F2599))</f>
        <v>Stephanie</v>
      </c>
      <c r="J2599" s="7" t="str">
        <f aca="false">IF(F2599=0,"NOT FOUND",IF(C2599=I2599,"SELF-VOTE",IF(COUNTIF($K:$K,K2599)&gt;1,"DUPLICATE","OK")))</f>
        <v>OK</v>
      </c>
      <c r="K2599" s="6" t="str">
        <f aca="false">A2599&amp;"|"&amp;B2599&amp;"|"&amp;C2599&amp;"|"&amp;D2599</f>
        <v>4|7|Kristen|spotify:track:6Sy9BUbgFse0n0LPA5lwy5</v>
      </c>
    </row>
    <row r="2600" customFormat="false" ht="15" hidden="false" customHeight="false" outlineLevel="0" collapsed="false">
      <c r="A2600" s="5" t="n">
        <v>4</v>
      </c>
      <c r="B2600" s="5" t="n">
        <v>7</v>
      </c>
      <c r="C2600" s="5" t="s">
        <v>119</v>
      </c>
      <c r="D2600" s="5" t="s">
        <v>1274</v>
      </c>
      <c r="E2600" s="5" t="n">
        <v>1</v>
      </c>
      <c r="F2600" s="6" t="n">
        <f aca="false">IFERROR(MATCH(A2600&amp;"|"&amp;B2600&amp;"|"&amp;D2600,'All Song Rankings'!$T:$T,0),0)</f>
        <v>397</v>
      </c>
      <c r="G2600" s="6" t="str">
        <f aca="false">IF(F2600=0,"NOT FOUND",INDEX('All Song Rankings'!$A:$A,F2600))</f>
        <v>The Crane Wife 3</v>
      </c>
      <c r="H2600" s="6" t="str">
        <f aca="false">IF(F2600=0,"NOT FOUND",INDEX('All Song Rankings'!$B:$B,F2600))</f>
        <v>The Decemberists</v>
      </c>
      <c r="I2600" s="6" t="str">
        <f aca="false">IF(F2600=0,"NOT FOUND",INDEX('All Song Rankings'!$D:$D,F2600))</f>
        <v>Lisa</v>
      </c>
      <c r="J2600" s="7" t="str">
        <f aca="false">IF(F2600=0,"NOT FOUND",IF(C2600=I2600,"SELF-VOTE",IF(COUNTIF($K:$K,K2600)&gt;1,"DUPLICATE","OK")))</f>
        <v>OK</v>
      </c>
      <c r="K2600" s="6" t="str">
        <f aca="false">A2600&amp;"|"&amp;B2600&amp;"|"&amp;C2600&amp;"|"&amp;D2600</f>
        <v>4|7|Leah|spotify:track:0IwXp8V7wgFCIthRh2z8Ot</v>
      </c>
    </row>
    <row r="2601" customFormat="false" ht="15" hidden="false" customHeight="false" outlineLevel="0" collapsed="false">
      <c r="A2601" s="5" t="n">
        <v>4</v>
      </c>
      <c r="B2601" s="5" t="n">
        <v>7</v>
      </c>
      <c r="C2601" s="5" t="s">
        <v>119</v>
      </c>
      <c r="D2601" s="5" t="s">
        <v>1285</v>
      </c>
      <c r="E2601" s="5" t="n">
        <v>1</v>
      </c>
      <c r="F2601" s="6" t="n">
        <f aca="false">IFERROR(MATCH(A2601&amp;"|"&amp;B2601&amp;"|"&amp;D2601,'All Song Rankings'!$T:$T,0),0)</f>
        <v>401</v>
      </c>
      <c r="G2601" s="6" t="str">
        <f aca="false">IF(F2601=0,"NOT FOUND",INDEX('All Song Rankings'!$A:$A,F2601))</f>
        <v>Searchlight</v>
      </c>
      <c r="H2601" s="6" t="str">
        <f aca="false">IF(F2601=0,"NOT FOUND",INDEX('All Song Rankings'!$B:$B,F2601))</f>
        <v>Shinedown</v>
      </c>
      <c r="I2601" s="6" t="str">
        <f aca="false">IF(F2601=0,"NOT FOUND",INDEX('All Song Rankings'!$D:$D,F2601))</f>
        <v>Christine</v>
      </c>
      <c r="J2601" s="7" t="str">
        <f aca="false">IF(F2601=0,"NOT FOUND",IF(C2601=I2601,"SELF-VOTE",IF(COUNTIF($K:$K,K2601)&gt;1,"DUPLICATE","OK")))</f>
        <v>OK</v>
      </c>
      <c r="K2601" s="6" t="str">
        <f aca="false">A2601&amp;"|"&amp;B2601&amp;"|"&amp;C2601&amp;"|"&amp;D2601</f>
        <v>4|7|Leah|spotify:track:20fm2tV8FUuonX96Db1bGo</v>
      </c>
    </row>
    <row r="2602" customFormat="false" ht="15" hidden="false" customHeight="false" outlineLevel="0" collapsed="false">
      <c r="A2602" s="5" t="n">
        <v>4</v>
      </c>
      <c r="B2602" s="5" t="n">
        <v>7</v>
      </c>
      <c r="C2602" s="5" t="s">
        <v>119</v>
      </c>
      <c r="D2602" s="5" t="s">
        <v>1265</v>
      </c>
      <c r="E2602" s="5" t="n">
        <v>2</v>
      </c>
      <c r="F2602" s="6" t="n">
        <f aca="false">IFERROR(MATCH(A2602&amp;"|"&amp;B2602&amp;"|"&amp;D2602,'All Song Rankings'!$T:$T,0),0)</f>
        <v>394</v>
      </c>
      <c r="G2602" s="6" t="str">
        <f aca="false">IF(F2602=0,"NOT FOUND",INDEX('All Song Rankings'!$A:$A,F2602))</f>
        <v>The Funeral</v>
      </c>
      <c r="H2602" s="6" t="str">
        <f aca="false">IF(F2602=0,"NOT FOUND",INDEX('All Song Rankings'!$B:$B,F2602))</f>
        <v>YUNGBLUD</v>
      </c>
      <c r="I2602" s="6" t="str">
        <f aca="false">IF(F2602=0,"NOT FOUND",INDEX('All Song Rankings'!$D:$D,F2602))</f>
        <v>Makenzie</v>
      </c>
      <c r="J2602" s="7" t="str">
        <f aca="false">IF(F2602=0,"NOT FOUND",IF(C2602=I2602,"SELF-VOTE",IF(COUNTIF($K:$K,K2602)&gt;1,"DUPLICATE","OK")))</f>
        <v>OK</v>
      </c>
      <c r="K2602" s="6" t="str">
        <f aca="false">A2602&amp;"|"&amp;B2602&amp;"|"&amp;C2602&amp;"|"&amp;D2602</f>
        <v>4|7|Leah|spotify:track:3t4zZ2SxXgQRIhc5N6a6oZ</v>
      </c>
    </row>
    <row r="2603" customFormat="false" ht="15" hidden="false" customHeight="false" outlineLevel="0" collapsed="false">
      <c r="A2603" s="5" t="n">
        <v>4</v>
      </c>
      <c r="B2603" s="5" t="n">
        <v>7</v>
      </c>
      <c r="C2603" s="5" t="s">
        <v>119</v>
      </c>
      <c r="D2603" s="5" t="s">
        <v>1297</v>
      </c>
      <c r="E2603" s="5" t="n">
        <v>2</v>
      </c>
      <c r="F2603" s="6" t="n">
        <f aca="false">IFERROR(MATCH(A2603&amp;"|"&amp;B2603&amp;"|"&amp;D2603,'All Song Rankings'!$T:$T,0),0)</f>
        <v>405</v>
      </c>
      <c r="G2603" s="6" t="str">
        <f aca="false">IF(F2603=0,"NOT FOUND",INDEX('All Song Rankings'!$A:$A,F2603))</f>
        <v>Even in Arcadia</v>
      </c>
      <c r="H2603" s="6" t="str">
        <f aca="false">IF(F2603=0,"NOT FOUND",INDEX('All Song Rankings'!$B:$B,F2603))</f>
        <v>Sleep Token</v>
      </c>
      <c r="I2603" s="6" t="str">
        <f aca="false">IF(F2603=0,"NOT FOUND",INDEX('All Song Rankings'!$D:$D,F2603))</f>
        <v>Kristen</v>
      </c>
      <c r="J2603" s="7" t="str">
        <f aca="false">IF(F2603=0,"NOT FOUND",IF(C2603=I2603,"SELF-VOTE",IF(COUNTIF($K:$K,K2603)&gt;1,"DUPLICATE","OK")))</f>
        <v>OK</v>
      </c>
      <c r="K2603" s="6" t="str">
        <f aca="false">A2603&amp;"|"&amp;B2603&amp;"|"&amp;C2603&amp;"|"&amp;D2603</f>
        <v>4|7|Leah|spotify:track:4IixOTCzviJgIigKleiVbo</v>
      </c>
    </row>
    <row r="2604" customFormat="false" ht="15" hidden="false" customHeight="false" outlineLevel="0" collapsed="false">
      <c r="A2604" s="5" t="n">
        <v>4</v>
      </c>
      <c r="B2604" s="5" t="n">
        <v>7</v>
      </c>
      <c r="C2604" s="5" t="s">
        <v>119</v>
      </c>
      <c r="D2604" s="5" t="s">
        <v>1280</v>
      </c>
      <c r="E2604" s="5" t="n">
        <v>1</v>
      </c>
      <c r="F2604" s="6" t="n">
        <f aca="false">IFERROR(MATCH(A2604&amp;"|"&amp;B2604&amp;"|"&amp;D2604,'All Song Rankings'!$T:$T,0),0)</f>
        <v>399</v>
      </c>
      <c r="G2604" s="6" t="str">
        <f aca="false">IF(F2604=0,"NOT FOUND",INDEX('All Song Rankings'!$A:$A,F2604))</f>
        <v>ALL GAS (feat. Mitchell Tenpenny)</v>
      </c>
      <c r="H2604" s="6" t="str">
        <f aca="false">IF(F2604=0,"NOT FOUND",INDEX('All Song Rankings'!$B:$B,F2604))</f>
        <v>Bilmuri</v>
      </c>
      <c r="I2604" s="6" t="str">
        <f aca="false">IF(F2604=0,"NOT FOUND",INDEX('All Song Rankings'!$D:$D,F2604))</f>
        <v>Colleen</v>
      </c>
      <c r="J2604" s="7" t="str">
        <f aca="false">IF(F2604=0,"NOT FOUND",IF(C2604=I2604,"SELF-VOTE",IF(COUNTIF($K:$K,K2604)&gt;1,"DUPLICATE","OK")))</f>
        <v>OK</v>
      </c>
      <c r="K2604" s="6" t="str">
        <f aca="false">A2604&amp;"|"&amp;B2604&amp;"|"&amp;C2604&amp;"|"&amp;D2604</f>
        <v>4|7|Leah|spotify:track:4L4PGyC3YQ5kSNKugK1gLc</v>
      </c>
    </row>
    <row r="2605" customFormat="false" ht="15" hidden="false" customHeight="false" outlineLevel="0" collapsed="false">
      <c r="A2605" s="5" t="n">
        <v>4</v>
      </c>
      <c r="B2605" s="5" t="n">
        <v>7</v>
      </c>
      <c r="C2605" s="5" t="s">
        <v>119</v>
      </c>
      <c r="D2605" s="5" t="s">
        <v>1291</v>
      </c>
      <c r="E2605" s="5" t="n">
        <v>3</v>
      </c>
      <c r="F2605" s="6" t="n">
        <f aca="false">IFERROR(MATCH(A2605&amp;"|"&amp;B2605&amp;"|"&amp;D2605,'All Song Rankings'!$T:$T,0),0)</f>
        <v>403</v>
      </c>
      <c r="G2605" s="6" t="str">
        <f aca="false">IF(F2605=0,"NOT FOUND",INDEX('All Song Rankings'!$A:$A,F2605))</f>
        <v>Tadow</v>
      </c>
      <c r="H2605" s="6" t="str">
        <f aca="false">IF(F2605=0,"NOT FOUND",INDEX('All Song Rankings'!$B:$B,F2605))</f>
        <v>Masego</v>
      </c>
      <c r="I2605" s="6" t="str">
        <f aca="false">IF(F2605=0,"NOT FOUND",INDEX('All Song Rankings'!$D:$D,F2605))</f>
        <v>Merita</v>
      </c>
      <c r="J2605" s="7" t="str">
        <f aca="false">IF(F2605=0,"NOT FOUND",IF(C2605=I2605,"SELF-VOTE",IF(COUNTIF($K:$K,K2605)&gt;1,"DUPLICATE","OK")))</f>
        <v>OK</v>
      </c>
      <c r="K2605" s="6" t="str">
        <f aca="false">A2605&amp;"|"&amp;B2605&amp;"|"&amp;C2605&amp;"|"&amp;D2605</f>
        <v>4|7|Leah|spotify:track:6FMMd1fixOMmhplCevpjL7</v>
      </c>
    </row>
    <row r="2606" customFormat="false" ht="15" hidden="false" customHeight="false" outlineLevel="0" collapsed="false">
      <c r="A2606" s="5" t="n">
        <v>4</v>
      </c>
      <c r="B2606" s="5" t="n">
        <v>7</v>
      </c>
      <c r="C2606" s="5" t="s">
        <v>705</v>
      </c>
      <c r="D2606" s="5" t="s">
        <v>1262</v>
      </c>
      <c r="E2606" s="5" t="n">
        <v>2</v>
      </c>
      <c r="F2606" s="6" t="n">
        <f aca="false">IFERROR(MATCH(A2606&amp;"|"&amp;B2606&amp;"|"&amp;D2606,'All Song Rankings'!$T:$T,0),0)</f>
        <v>393</v>
      </c>
      <c r="G2606" s="6" t="str">
        <f aca="false">IF(F2606=0,"NOT FOUND",INDEX('All Song Rankings'!$A:$A,F2606))</f>
        <v>The Way That I Fiddle</v>
      </c>
      <c r="H2606" s="6" t="str">
        <f aca="false">IF(F2606=0,"NOT FOUND",INDEX('All Song Rankings'!$B:$B,F2606))</f>
        <v>Clejan</v>
      </c>
      <c r="I2606" s="6" t="str">
        <f aca="false">IF(F2606=0,"NOT FOUND",INDEX('All Song Rankings'!$D:$D,F2606))</f>
        <v>Leah</v>
      </c>
      <c r="J2606" s="7" t="str">
        <f aca="false">IF(F2606=0,"NOT FOUND",IF(C2606=I2606,"SELF-VOTE",IF(COUNTIF($K:$K,K2606)&gt;1,"DUPLICATE","OK")))</f>
        <v>OK</v>
      </c>
      <c r="K2606" s="6" t="str">
        <f aca="false">A2606&amp;"|"&amp;B2606&amp;"|"&amp;C2606&amp;"|"&amp;D2606</f>
        <v>4|7|Lisa|spotify:track:0oHG32IK45iVgoiVcnYNBx</v>
      </c>
    </row>
    <row r="2607" customFormat="false" ht="15" hidden="false" customHeight="false" outlineLevel="0" collapsed="false">
      <c r="A2607" s="5" t="n">
        <v>4</v>
      </c>
      <c r="B2607" s="5" t="n">
        <v>7</v>
      </c>
      <c r="C2607" s="5" t="s">
        <v>705</v>
      </c>
      <c r="D2607" s="5" t="s">
        <v>1271</v>
      </c>
      <c r="E2607" s="5" t="n">
        <v>1</v>
      </c>
      <c r="F2607" s="6" t="n">
        <f aca="false">IFERROR(MATCH(A2607&amp;"|"&amp;B2607&amp;"|"&amp;D2607,'All Song Rankings'!$T:$T,0),0)</f>
        <v>396</v>
      </c>
      <c r="G2607" s="6" t="str">
        <f aca="false">IF(F2607=0,"NOT FOUND",INDEX('All Song Rankings'!$A:$A,F2607))</f>
        <v>Heart's Content</v>
      </c>
      <c r="H2607" s="6" t="str">
        <f aca="false">IF(F2607=0,"NOT FOUND",INDEX('All Song Rankings'!$B:$B,F2607))</f>
        <v>Brandi Carlile</v>
      </c>
      <c r="I2607" s="6" t="str">
        <f aca="false">IF(F2607=0,"NOT FOUND",INDEX('All Song Rankings'!$D:$D,F2607))</f>
        <v>Grace</v>
      </c>
      <c r="J2607" s="7" t="str">
        <f aca="false">IF(F2607=0,"NOT FOUND",IF(C2607=I2607,"SELF-VOTE",IF(COUNTIF($K:$K,K2607)&gt;1,"DUPLICATE","OK")))</f>
        <v>OK</v>
      </c>
      <c r="K2607" s="6" t="str">
        <f aca="false">A2607&amp;"|"&amp;B2607&amp;"|"&amp;C2607&amp;"|"&amp;D2607</f>
        <v>4|7|Lisa|spotify:track:0pegFWSUOTiG0sLVEfxtvA</v>
      </c>
    </row>
    <row r="2608" customFormat="false" ht="15" hidden="false" customHeight="false" outlineLevel="0" collapsed="false">
      <c r="A2608" s="5" t="n">
        <v>4</v>
      </c>
      <c r="B2608" s="5" t="n">
        <v>7</v>
      </c>
      <c r="C2608" s="5" t="s">
        <v>705</v>
      </c>
      <c r="D2608" s="5" t="s">
        <v>1295</v>
      </c>
      <c r="E2608" s="5" t="n">
        <v>1</v>
      </c>
      <c r="F2608" s="6" t="n">
        <f aca="false">IFERROR(MATCH(A2608&amp;"|"&amp;B2608&amp;"|"&amp;D2608,'All Song Rankings'!$T:$T,0),0)</f>
        <v>404</v>
      </c>
      <c r="G2608" s="6" t="str">
        <f aca="false">IF(F2608=0,"NOT FOUND",INDEX('All Song Rankings'!$A:$A,F2608))</f>
        <v>Language</v>
      </c>
      <c r="H2608" s="6" t="str">
        <f aca="false">IF(F2608=0,"NOT FOUND",INDEX('All Song Rankings'!$B:$B,F2608))</f>
        <v>Tori Kelly</v>
      </c>
      <c r="I2608" s="6" t="str">
        <f aca="false">IF(F2608=0,"NOT FOUND",INDEX('All Song Rankings'!$D:$D,F2608))</f>
        <v>Logan</v>
      </c>
      <c r="J2608" s="7" t="str">
        <f aca="false">IF(F2608=0,"NOT FOUND",IF(C2608=I2608,"SELF-VOTE",IF(COUNTIF($K:$K,K2608)&gt;1,"DUPLICATE","OK")))</f>
        <v>OK</v>
      </c>
      <c r="K2608" s="6" t="str">
        <f aca="false">A2608&amp;"|"&amp;B2608&amp;"|"&amp;C2608&amp;"|"&amp;D2608</f>
        <v>4|7|Lisa|spotify:track:1afewsMym3BFlFDTDiuMyt</v>
      </c>
    </row>
    <row r="2609" customFormat="false" ht="15" hidden="false" customHeight="false" outlineLevel="0" collapsed="false">
      <c r="A2609" s="5" t="n">
        <v>4</v>
      </c>
      <c r="B2609" s="5" t="n">
        <v>7</v>
      </c>
      <c r="C2609" s="5" t="s">
        <v>705</v>
      </c>
      <c r="D2609" s="5" t="s">
        <v>1285</v>
      </c>
      <c r="E2609" s="5" t="n">
        <v>1</v>
      </c>
      <c r="F2609" s="6" t="n">
        <f aca="false">IFERROR(MATCH(A2609&amp;"|"&amp;B2609&amp;"|"&amp;D2609,'All Song Rankings'!$T:$T,0),0)</f>
        <v>401</v>
      </c>
      <c r="G2609" s="6" t="str">
        <f aca="false">IF(F2609=0,"NOT FOUND",INDEX('All Song Rankings'!$A:$A,F2609))</f>
        <v>Searchlight</v>
      </c>
      <c r="H2609" s="6" t="str">
        <f aca="false">IF(F2609=0,"NOT FOUND",INDEX('All Song Rankings'!$B:$B,F2609))</f>
        <v>Shinedown</v>
      </c>
      <c r="I2609" s="6" t="str">
        <f aca="false">IF(F2609=0,"NOT FOUND",INDEX('All Song Rankings'!$D:$D,F2609))</f>
        <v>Christine</v>
      </c>
      <c r="J2609" s="7" t="str">
        <f aca="false">IF(F2609=0,"NOT FOUND",IF(C2609=I2609,"SELF-VOTE",IF(COUNTIF($K:$K,K2609)&gt;1,"DUPLICATE","OK")))</f>
        <v>OK</v>
      </c>
      <c r="K2609" s="6" t="str">
        <f aca="false">A2609&amp;"|"&amp;B2609&amp;"|"&amp;C2609&amp;"|"&amp;D2609</f>
        <v>4|7|Lisa|spotify:track:20fm2tV8FUuonX96Db1bGo</v>
      </c>
    </row>
    <row r="2610" customFormat="false" ht="15" hidden="false" customHeight="false" outlineLevel="0" collapsed="false">
      <c r="A2610" s="5" t="n">
        <v>4</v>
      </c>
      <c r="B2610" s="5" t="n">
        <v>7</v>
      </c>
      <c r="C2610" s="5" t="s">
        <v>705</v>
      </c>
      <c r="D2610" s="5" t="s">
        <v>1265</v>
      </c>
      <c r="E2610" s="5" t="n">
        <v>3</v>
      </c>
      <c r="F2610" s="6" t="n">
        <f aca="false">IFERROR(MATCH(A2610&amp;"|"&amp;B2610&amp;"|"&amp;D2610,'All Song Rankings'!$T:$T,0),0)</f>
        <v>394</v>
      </c>
      <c r="G2610" s="6" t="str">
        <f aca="false">IF(F2610=0,"NOT FOUND",INDEX('All Song Rankings'!$A:$A,F2610))</f>
        <v>The Funeral</v>
      </c>
      <c r="H2610" s="6" t="str">
        <f aca="false">IF(F2610=0,"NOT FOUND",INDEX('All Song Rankings'!$B:$B,F2610))</f>
        <v>YUNGBLUD</v>
      </c>
      <c r="I2610" s="6" t="str">
        <f aca="false">IF(F2610=0,"NOT FOUND",INDEX('All Song Rankings'!$D:$D,F2610))</f>
        <v>Makenzie</v>
      </c>
      <c r="J2610" s="7" t="str">
        <f aca="false">IF(F2610=0,"NOT FOUND",IF(C2610=I2610,"SELF-VOTE",IF(COUNTIF($K:$K,K2610)&gt;1,"DUPLICATE","OK")))</f>
        <v>OK</v>
      </c>
      <c r="K2610" s="6" t="str">
        <f aca="false">A2610&amp;"|"&amp;B2610&amp;"|"&amp;C2610&amp;"|"&amp;D2610</f>
        <v>4|7|Lisa|spotify:track:3t4zZ2SxXgQRIhc5N6a6oZ</v>
      </c>
    </row>
    <row r="2611" customFormat="false" ht="15" hidden="false" customHeight="false" outlineLevel="0" collapsed="false">
      <c r="A2611" s="5" t="n">
        <v>4</v>
      </c>
      <c r="B2611" s="5" t="n">
        <v>7</v>
      </c>
      <c r="C2611" s="5" t="s">
        <v>705</v>
      </c>
      <c r="D2611" s="5" t="s">
        <v>1300</v>
      </c>
      <c r="E2611" s="5" t="n">
        <v>1</v>
      </c>
      <c r="F2611" s="6" t="n">
        <f aca="false">IFERROR(MATCH(A2611&amp;"|"&amp;B2611&amp;"|"&amp;D2611,'All Song Rankings'!$T:$T,0),0)</f>
        <v>406</v>
      </c>
      <c r="G2611" s="6" t="str">
        <f aca="false">IF(F2611=0,"NOT FOUND",INDEX('All Song Rankings'!$A:$A,F2611))</f>
        <v>Rock 'n' Roll Lifestyle</v>
      </c>
      <c r="H2611" s="6" t="str">
        <f aca="false">IF(F2611=0,"NOT FOUND",INDEX('All Song Rankings'!$B:$B,F2611))</f>
        <v>CAKE</v>
      </c>
      <c r="I2611" s="6" t="str">
        <f aca="false">IF(F2611=0,"NOT FOUND",INDEX('All Song Rankings'!$D:$D,F2611))</f>
        <v>Scott</v>
      </c>
      <c r="J2611" s="7" t="str">
        <f aca="false">IF(F2611=0,"NOT FOUND",IF(C2611=I2611,"SELF-VOTE",IF(COUNTIF($K:$K,K2611)&gt;1,"DUPLICATE","OK")))</f>
        <v>OK</v>
      </c>
      <c r="K2611" s="6" t="str">
        <f aca="false">A2611&amp;"|"&amp;B2611&amp;"|"&amp;C2611&amp;"|"&amp;D2611</f>
        <v>4|7|Lisa|spotify:track:4tRkMAL93DFmaMDUHOHuBH</v>
      </c>
    </row>
    <row r="2612" customFormat="false" ht="15" hidden="false" customHeight="false" outlineLevel="0" collapsed="false">
      <c r="A2612" s="5" t="n">
        <v>4</v>
      </c>
      <c r="B2612" s="5" t="n">
        <v>7</v>
      </c>
      <c r="C2612" s="5" t="s">
        <v>705</v>
      </c>
      <c r="D2612" s="5" t="s">
        <v>1268</v>
      </c>
      <c r="E2612" s="5" t="n">
        <v>1</v>
      </c>
      <c r="F2612" s="6" t="n">
        <f aca="false">IFERROR(MATCH(A2612&amp;"|"&amp;B2612&amp;"|"&amp;D2612,'All Song Rankings'!$T:$T,0),0)</f>
        <v>395</v>
      </c>
      <c r="G2612" s="6" t="str">
        <f aca="false">IF(F2612=0,"NOT FOUND",INDEX('All Song Rankings'!$A:$A,F2612))</f>
        <v>Sandstorm</v>
      </c>
      <c r="H2612" s="6" t="str">
        <f aca="false">IF(F2612=0,"NOT FOUND",INDEX('All Song Rankings'!$B:$B,F2612))</f>
        <v>Darude</v>
      </c>
      <c r="I2612" s="6" t="str">
        <f aca="false">IF(F2612=0,"NOT FOUND",INDEX('All Song Rankings'!$D:$D,F2612))</f>
        <v>Stephanie</v>
      </c>
      <c r="J2612" s="7" t="str">
        <f aca="false">IF(F2612=0,"NOT FOUND",IF(C2612=I2612,"SELF-VOTE",IF(COUNTIF($K:$K,K2612)&gt;1,"DUPLICATE","OK")))</f>
        <v>OK</v>
      </c>
      <c r="K2612" s="6" t="str">
        <f aca="false">A2612&amp;"|"&amp;B2612&amp;"|"&amp;C2612&amp;"|"&amp;D2612</f>
        <v>4|7|Lisa|spotify:track:6Sy9BUbgFse0n0LPA5lwy5</v>
      </c>
    </row>
    <row r="2613" customFormat="false" ht="15" hidden="false" customHeight="false" outlineLevel="0" collapsed="false">
      <c r="A2613" s="5" t="n">
        <v>4</v>
      </c>
      <c r="B2613" s="5" t="n">
        <v>7</v>
      </c>
      <c r="C2613" s="5" t="s">
        <v>128</v>
      </c>
      <c r="D2613" s="5" t="s">
        <v>1283</v>
      </c>
      <c r="E2613" s="5" t="n">
        <v>2</v>
      </c>
      <c r="F2613" s="6" t="n">
        <f aca="false">IFERROR(MATCH(A2613&amp;"|"&amp;B2613&amp;"|"&amp;D2613,'All Song Rankings'!$T:$T,0),0)</f>
        <v>400</v>
      </c>
      <c r="G2613" s="6" t="str">
        <f aca="false">IF(F2613=0,"NOT FOUND",INDEX('All Song Rankings'!$A:$A,F2613))</f>
        <v>King Kunta</v>
      </c>
      <c r="H2613" s="6" t="str">
        <f aca="false">IF(F2613=0,"NOT FOUND",INDEX('All Song Rankings'!$B:$B,F2613))</f>
        <v>Kendrick Lamar</v>
      </c>
      <c r="I2613" s="6" t="str">
        <f aca="false">IF(F2613=0,"NOT FOUND",INDEX('All Song Rankings'!$D:$D,F2613))</f>
        <v>Matt</v>
      </c>
      <c r="J2613" s="7" t="str">
        <f aca="false">IF(F2613=0,"NOT FOUND",IF(C2613=I2613,"SELF-VOTE",IF(COUNTIF($K:$K,K2613)&gt;1,"DUPLICATE","OK")))</f>
        <v>OK</v>
      </c>
      <c r="K2613" s="6" t="str">
        <f aca="false">A2613&amp;"|"&amp;B2613&amp;"|"&amp;C2613&amp;"|"&amp;D2613</f>
        <v>4|7|Logan|spotify:track:0N3W5peJUQtI4eyR6GJT5O</v>
      </c>
    </row>
    <row r="2614" customFormat="false" ht="15" hidden="false" customHeight="false" outlineLevel="0" collapsed="false">
      <c r="A2614" s="5" t="n">
        <v>4</v>
      </c>
      <c r="B2614" s="5" t="n">
        <v>7</v>
      </c>
      <c r="C2614" s="5" t="s">
        <v>128</v>
      </c>
      <c r="D2614" s="5" t="s">
        <v>1262</v>
      </c>
      <c r="E2614" s="5" t="n">
        <v>3</v>
      </c>
      <c r="F2614" s="6" t="n">
        <f aca="false">IFERROR(MATCH(A2614&amp;"|"&amp;B2614&amp;"|"&amp;D2614,'All Song Rankings'!$T:$T,0),0)</f>
        <v>393</v>
      </c>
      <c r="G2614" s="6" t="str">
        <f aca="false">IF(F2614=0,"NOT FOUND",INDEX('All Song Rankings'!$A:$A,F2614))</f>
        <v>The Way That I Fiddle</v>
      </c>
      <c r="H2614" s="6" t="str">
        <f aca="false">IF(F2614=0,"NOT FOUND",INDEX('All Song Rankings'!$B:$B,F2614))</f>
        <v>Clejan</v>
      </c>
      <c r="I2614" s="6" t="str">
        <f aca="false">IF(F2614=0,"NOT FOUND",INDEX('All Song Rankings'!$D:$D,F2614))</f>
        <v>Leah</v>
      </c>
      <c r="J2614" s="7" t="str">
        <f aca="false">IF(F2614=0,"NOT FOUND",IF(C2614=I2614,"SELF-VOTE",IF(COUNTIF($K:$K,K2614)&gt;1,"DUPLICATE","OK")))</f>
        <v>OK</v>
      </c>
      <c r="K2614" s="6" t="str">
        <f aca="false">A2614&amp;"|"&amp;B2614&amp;"|"&amp;C2614&amp;"|"&amp;D2614</f>
        <v>4|7|Logan|spotify:track:0oHG32IK45iVgoiVcnYNBx</v>
      </c>
    </row>
    <row r="2615" customFormat="false" ht="15" hidden="false" customHeight="false" outlineLevel="0" collapsed="false">
      <c r="A2615" s="5" t="n">
        <v>4</v>
      </c>
      <c r="B2615" s="5" t="n">
        <v>7</v>
      </c>
      <c r="C2615" s="5" t="s">
        <v>128</v>
      </c>
      <c r="D2615" s="5" t="s">
        <v>1271</v>
      </c>
      <c r="E2615" s="5" t="n">
        <v>2</v>
      </c>
      <c r="F2615" s="6" t="n">
        <f aca="false">IFERROR(MATCH(A2615&amp;"|"&amp;B2615&amp;"|"&amp;D2615,'All Song Rankings'!$T:$T,0),0)</f>
        <v>396</v>
      </c>
      <c r="G2615" s="6" t="str">
        <f aca="false">IF(F2615=0,"NOT FOUND",INDEX('All Song Rankings'!$A:$A,F2615))</f>
        <v>Heart's Content</v>
      </c>
      <c r="H2615" s="6" t="str">
        <f aca="false">IF(F2615=0,"NOT FOUND",INDEX('All Song Rankings'!$B:$B,F2615))</f>
        <v>Brandi Carlile</v>
      </c>
      <c r="I2615" s="6" t="str">
        <f aca="false">IF(F2615=0,"NOT FOUND",INDEX('All Song Rankings'!$D:$D,F2615))</f>
        <v>Grace</v>
      </c>
      <c r="J2615" s="7" t="str">
        <f aca="false">IF(F2615=0,"NOT FOUND",IF(C2615=I2615,"SELF-VOTE",IF(COUNTIF($K:$K,K2615)&gt;1,"DUPLICATE","OK")))</f>
        <v>OK</v>
      </c>
      <c r="K2615" s="6" t="str">
        <f aca="false">A2615&amp;"|"&amp;B2615&amp;"|"&amp;C2615&amp;"|"&amp;D2615</f>
        <v>4|7|Logan|spotify:track:0pegFWSUOTiG0sLVEfxtvA</v>
      </c>
    </row>
    <row r="2616" customFormat="false" ht="15" hidden="false" customHeight="false" outlineLevel="0" collapsed="false">
      <c r="A2616" s="5" t="n">
        <v>4</v>
      </c>
      <c r="B2616" s="5" t="n">
        <v>7</v>
      </c>
      <c r="C2616" s="5" t="s">
        <v>128</v>
      </c>
      <c r="D2616" s="5" t="s">
        <v>1291</v>
      </c>
      <c r="E2616" s="5" t="n">
        <v>2</v>
      </c>
      <c r="F2616" s="6" t="n">
        <f aca="false">IFERROR(MATCH(A2616&amp;"|"&amp;B2616&amp;"|"&amp;D2616,'All Song Rankings'!$T:$T,0),0)</f>
        <v>403</v>
      </c>
      <c r="G2616" s="6" t="str">
        <f aca="false">IF(F2616=0,"NOT FOUND",INDEX('All Song Rankings'!$A:$A,F2616))</f>
        <v>Tadow</v>
      </c>
      <c r="H2616" s="6" t="str">
        <f aca="false">IF(F2616=0,"NOT FOUND",INDEX('All Song Rankings'!$B:$B,F2616))</f>
        <v>Masego</v>
      </c>
      <c r="I2616" s="6" t="str">
        <f aca="false">IF(F2616=0,"NOT FOUND",INDEX('All Song Rankings'!$D:$D,F2616))</f>
        <v>Merita</v>
      </c>
      <c r="J2616" s="7" t="str">
        <f aca="false">IF(F2616=0,"NOT FOUND",IF(C2616=I2616,"SELF-VOTE",IF(COUNTIF($K:$K,K2616)&gt;1,"DUPLICATE","OK")))</f>
        <v>OK</v>
      </c>
      <c r="K2616" s="6" t="str">
        <f aca="false">A2616&amp;"|"&amp;B2616&amp;"|"&amp;C2616&amp;"|"&amp;D2616</f>
        <v>4|7|Logan|spotify:track:6FMMd1fixOMmhplCevpjL7</v>
      </c>
    </row>
    <row r="2617" customFormat="false" ht="15" hidden="false" customHeight="false" outlineLevel="0" collapsed="false">
      <c r="A2617" s="5" t="n">
        <v>4</v>
      </c>
      <c r="B2617" s="5" t="n">
        <v>7</v>
      </c>
      <c r="C2617" s="5" t="s">
        <v>128</v>
      </c>
      <c r="D2617" s="5" t="s">
        <v>1268</v>
      </c>
      <c r="E2617" s="5" t="n">
        <v>1</v>
      </c>
      <c r="F2617" s="6" t="n">
        <f aca="false">IFERROR(MATCH(A2617&amp;"|"&amp;B2617&amp;"|"&amp;D2617,'All Song Rankings'!$T:$T,0),0)</f>
        <v>395</v>
      </c>
      <c r="G2617" s="6" t="str">
        <f aca="false">IF(F2617=0,"NOT FOUND",INDEX('All Song Rankings'!$A:$A,F2617))</f>
        <v>Sandstorm</v>
      </c>
      <c r="H2617" s="6" t="str">
        <f aca="false">IF(F2617=0,"NOT FOUND",INDEX('All Song Rankings'!$B:$B,F2617))</f>
        <v>Darude</v>
      </c>
      <c r="I2617" s="6" t="str">
        <f aca="false">IF(F2617=0,"NOT FOUND",INDEX('All Song Rankings'!$D:$D,F2617))</f>
        <v>Stephanie</v>
      </c>
      <c r="J2617" s="7" t="str">
        <f aca="false">IF(F2617=0,"NOT FOUND",IF(C2617=I2617,"SELF-VOTE",IF(COUNTIF($K:$K,K2617)&gt;1,"DUPLICATE","OK")))</f>
        <v>OK</v>
      </c>
      <c r="K2617" s="6" t="str">
        <f aca="false">A2617&amp;"|"&amp;B2617&amp;"|"&amp;C2617&amp;"|"&amp;D2617</f>
        <v>4|7|Logan|spotify:track:6Sy9BUbgFse0n0LPA5lwy5</v>
      </c>
    </row>
    <row r="2618" customFormat="false" ht="15" hidden="false" customHeight="false" outlineLevel="0" collapsed="false">
      <c r="A2618" s="5" t="n">
        <v>4</v>
      </c>
      <c r="B2618" s="5" t="n">
        <v>7</v>
      </c>
      <c r="C2618" s="5" t="s">
        <v>395</v>
      </c>
      <c r="D2618" s="5" t="s">
        <v>1262</v>
      </c>
      <c r="E2618" s="5" t="n">
        <v>2</v>
      </c>
      <c r="F2618" s="6" t="n">
        <f aca="false">IFERROR(MATCH(A2618&amp;"|"&amp;B2618&amp;"|"&amp;D2618,'All Song Rankings'!$T:$T,0),0)</f>
        <v>393</v>
      </c>
      <c r="G2618" s="6" t="str">
        <f aca="false">IF(F2618=0,"NOT FOUND",INDEX('All Song Rankings'!$A:$A,F2618))</f>
        <v>The Way That I Fiddle</v>
      </c>
      <c r="H2618" s="6" t="str">
        <f aca="false">IF(F2618=0,"NOT FOUND",INDEX('All Song Rankings'!$B:$B,F2618))</f>
        <v>Clejan</v>
      </c>
      <c r="I2618" s="6" t="str">
        <f aca="false">IF(F2618=0,"NOT FOUND",INDEX('All Song Rankings'!$D:$D,F2618))</f>
        <v>Leah</v>
      </c>
      <c r="J2618" s="7" t="str">
        <f aca="false">IF(F2618=0,"NOT FOUND",IF(C2618=I2618,"SELF-VOTE",IF(COUNTIF($K:$K,K2618)&gt;1,"DUPLICATE","OK")))</f>
        <v>OK</v>
      </c>
      <c r="K2618" s="6" t="str">
        <f aca="false">A2618&amp;"|"&amp;B2618&amp;"|"&amp;C2618&amp;"|"&amp;D2618</f>
        <v>4|7|Makenzie|spotify:track:0oHG32IK45iVgoiVcnYNBx</v>
      </c>
    </row>
    <row r="2619" customFormat="false" ht="15" hidden="false" customHeight="false" outlineLevel="0" collapsed="false">
      <c r="A2619" s="5" t="n">
        <v>4</v>
      </c>
      <c r="B2619" s="5" t="n">
        <v>7</v>
      </c>
      <c r="C2619" s="5" t="s">
        <v>395</v>
      </c>
      <c r="D2619" s="5" t="s">
        <v>1271</v>
      </c>
      <c r="E2619" s="5" t="n">
        <v>1</v>
      </c>
      <c r="F2619" s="6" t="n">
        <f aca="false">IFERROR(MATCH(A2619&amp;"|"&amp;B2619&amp;"|"&amp;D2619,'All Song Rankings'!$T:$T,0),0)</f>
        <v>396</v>
      </c>
      <c r="G2619" s="6" t="str">
        <f aca="false">IF(F2619=0,"NOT FOUND",INDEX('All Song Rankings'!$A:$A,F2619))</f>
        <v>Heart's Content</v>
      </c>
      <c r="H2619" s="6" t="str">
        <f aca="false">IF(F2619=0,"NOT FOUND",INDEX('All Song Rankings'!$B:$B,F2619))</f>
        <v>Brandi Carlile</v>
      </c>
      <c r="I2619" s="6" t="str">
        <f aca="false">IF(F2619=0,"NOT FOUND",INDEX('All Song Rankings'!$D:$D,F2619))</f>
        <v>Grace</v>
      </c>
      <c r="J2619" s="7" t="str">
        <f aca="false">IF(F2619=0,"NOT FOUND",IF(C2619=I2619,"SELF-VOTE",IF(COUNTIF($K:$K,K2619)&gt;1,"DUPLICATE","OK")))</f>
        <v>OK</v>
      </c>
      <c r="K2619" s="6" t="str">
        <f aca="false">A2619&amp;"|"&amp;B2619&amp;"|"&amp;C2619&amp;"|"&amp;D2619</f>
        <v>4|7|Makenzie|spotify:track:0pegFWSUOTiG0sLVEfxtvA</v>
      </c>
    </row>
    <row r="2620" customFormat="false" ht="15" hidden="false" customHeight="false" outlineLevel="0" collapsed="false">
      <c r="A2620" s="5" t="n">
        <v>4</v>
      </c>
      <c r="B2620" s="5" t="n">
        <v>7</v>
      </c>
      <c r="C2620" s="5" t="s">
        <v>395</v>
      </c>
      <c r="D2620" s="5" t="s">
        <v>1280</v>
      </c>
      <c r="E2620" s="5" t="n">
        <v>1</v>
      </c>
      <c r="F2620" s="6" t="n">
        <f aca="false">IFERROR(MATCH(A2620&amp;"|"&amp;B2620&amp;"|"&amp;D2620,'All Song Rankings'!$T:$T,0),0)</f>
        <v>399</v>
      </c>
      <c r="G2620" s="6" t="str">
        <f aca="false">IF(F2620=0,"NOT FOUND",INDEX('All Song Rankings'!$A:$A,F2620))</f>
        <v>ALL GAS (feat. Mitchell Tenpenny)</v>
      </c>
      <c r="H2620" s="6" t="str">
        <f aca="false">IF(F2620=0,"NOT FOUND",INDEX('All Song Rankings'!$B:$B,F2620))</f>
        <v>Bilmuri</v>
      </c>
      <c r="I2620" s="6" t="str">
        <f aca="false">IF(F2620=0,"NOT FOUND",INDEX('All Song Rankings'!$D:$D,F2620))</f>
        <v>Colleen</v>
      </c>
      <c r="J2620" s="7" t="str">
        <f aca="false">IF(F2620=0,"NOT FOUND",IF(C2620=I2620,"SELF-VOTE",IF(COUNTIF($K:$K,K2620)&gt;1,"DUPLICATE","OK")))</f>
        <v>OK</v>
      </c>
      <c r="K2620" s="6" t="str">
        <f aca="false">A2620&amp;"|"&amp;B2620&amp;"|"&amp;C2620&amp;"|"&amp;D2620</f>
        <v>4|7|Makenzie|spotify:track:4L4PGyC3YQ5kSNKugK1gLc</v>
      </c>
    </row>
    <row r="2621" customFormat="false" ht="15" hidden="false" customHeight="false" outlineLevel="0" collapsed="false">
      <c r="A2621" s="5" t="n">
        <v>4</v>
      </c>
      <c r="B2621" s="5" t="n">
        <v>7</v>
      </c>
      <c r="C2621" s="5" t="s">
        <v>395</v>
      </c>
      <c r="D2621" s="5" t="s">
        <v>1277</v>
      </c>
      <c r="E2621" s="5" t="n">
        <v>1</v>
      </c>
      <c r="F2621" s="6" t="n">
        <f aca="false">IFERROR(MATCH(A2621&amp;"|"&amp;B2621&amp;"|"&amp;D2621,'All Song Rankings'!$T:$T,0),0)</f>
        <v>398</v>
      </c>
      <c r="G2621" s="6" t="str">
        <f aca="false">IF(F2621=0,"NOT FOUND",INDEX('All Song Rankings'!$A:$A,F2621))</f>
        <v>Choosin' Texas</v>
      </c>
      <c r="H2621" s="6" t="str">
        <f aca="false">IF(F2621=0,"NOT FOUND",INDEX('All Song Rankings'!$B:$B,F2621))</f>
        <v>Ella Langley</v>
      </c>
      <c r="I2621" s="6" t="str">
        <f aca="false">IF(F2621=0,"NOT FOUND",INDEX('All Song Rankings'!$D:$D,F2621))</f>
        <v>Kelsey</v>
      </c>
      <c r="J2621" s="7" t="str">
        <f aca="false">IF(F2621=0,"NOT FOUND",IF(C2621=I2621,"SELF-VOTE",IF(COUNTIF($K:$K,K2621)&gt;1,"DUPLICATE","OK")))</f>
        <v>OK</v>
      </c>
      <c r="K2621" s="6" t="str">
        <f aca="false">A2621&amp;"|"&amp;B2621&amp;"|"&amp;C2621&amp;"|"&amp;D2621</f>
        <v>4|7|Makenzie|spotify:track:65DbTqJKhbwqYbZ1Okr0rc</v>
      </c>
    </row>
    <row r="2622" customFormat="false" ht="15" hidden="false" customHeight="false" outlineLevel="0" collapsed="false">
      <c r="A2622" s="5" t="n">
        <v>4</v>
      </c>
      <c r="B2622" s="5" t="n">
        <v>7</v>
      </c>
      <c r="C2622" s="5" t="s">
        <v>395</v>
      </c>
      <c r="D2622" s="5" t="s">
        <v>1291</v>
      </c>
      <c r="E2622" s="5" t="n">
        <v>1</v>
      </c>
      <c r="F2622" s="6" t="n">
        <f aca="false">IFERROR(MATCH(A2622&amp;"|"&amp;B2622&amp;"|"&amp;D2622,'All Song Rankings'!$T:$T,0),0)</f>
        <v>403</v>
      </c>
      <c r="G2622" s="6" t="str">
        <f aca="false">IF(F2622=0,"NOT FOUND",INDEX('All Song Rankings'!$A:$A,F2622))</f>
        <v>Tadow</v>
      </c>
      <c r="H2622" s="6" t="str">
        <f aca="false">IF(F2622=0,"NOT FOUND",INDEX('All Song Rankings'!$B:$B,F2622))</f>
        <v>Masego</v>
      </c>
      <c r="I2622" s="6" t="str">
        <f aca="false">IF(F2622=0,"NOT FOUND",INDEX('All Song Rankings'!$D:$D,F2622))</f>
        <v>Merita</v>
      </c>
      <c r="J2622" s="7" t="str">
        <f aca="false">IF(F2622=0,"NOT FOUND",IF(C2622=I2622,"SELF-VOTE",IF(COUNTIF($K:$K,K2622)&gt;1,"DUPLICATE","OK")))</f>
        <v>OK</v>
      </c>
      <c r="K2622" s="6" t="str">
        <f aca="false">A2622&amp;"|"&amp;B2622&amp;"|"&amp;C2622&amp;"|"&amp;D2622</f>
        <v>4|7|Makenzie|spotify:track:6FMMd1fixOMmhplCevpjL7</v>
      </c>
    </row>
    <row r="2623" customFormat="false" ht="15" hidden="false" customHeight="false" outlineLevel="0" collapsed="false">
      <c r="A2623" s="5" t="n">
        <v>4</v>
      </c>
      <c r="B2623" s="5" t="n">
        <v>7</v>
      </c>
      <c r="C2623" s="5" t="s">
        <v>395</v>
      </c>
      <c r="D2623" s="5" t="s">
        <v>1288</v>
      </c>
      <c r="E2623" s="5" t="n">
        <v>3</v>
      </c>
      <c r="F2623" s="6" t="n">
        <f aca="false">IFERROR(MATCH(A2623&amp;"|"&amp;B2623&amp;"|"&amp;D2623,'All Song Rankings'!$T:$T,0),0)</f>
        <v>402</v>
      </c>
      <c r="G2623" s="6" t="str">
        <f aca="false">IF(F2623=0,"NOT FOUND",INDEX('All Song Rankings'!$A:$A,F2623))</f>
        <v>THINK ABOUT ME</v>
      </c>
      <c r="H2623" s="6" t="str">
        <f aca="false">IF(F2623=0,"NOT FOUND",INDEX('All Song Rankings'!$B:$B,F2623))</f>
        <v>jxdn</v>
      </c>
      <c r="I2623" s="6" t="str">
        <f aca="false">IF(F2623=0,"NOT FOUND",INDEX('All Song Rankings'!$D:$D,F2623))</f>
        <v>Nicole</v>
      </c>
      <c r="J2623" s="7" t="str">
        <f aca="false">IF(F2623=0,"NOT FOUND",IF(C2623=I2623,"SELF-VOTE",IF(COUNTIF($K:$K,K2623)&gt;1,"DUPLICATE","OK")))</f>
        <v>OK</v>
      </c>
      <c r="K2623" s="6" t="str">
        <f aca="false">A2623&amp;"|"&amp;B2623&amp;"|"&amp;C2623&amp;"|"&amp;D2623</f>
        <v>4|7|Makenzie|spotify:track:6HNtT20hmFvswMN53jIRv1</v>
      </c>
    </row>
    <row r="2624" customFormat="false" ht="15" hidden="false" customHeight="false" outlineLevel="0" collapsed="false">
      <c r="A2624" s="5" t="n">
        <v>4</v>
      </c>
      <c r="B2624" s="5" t="n">
        <v>7</v>
      </c>
      <c r="C2624" s="5" t="s">
        <v>395</v>
      </c>
      <c r="D2624" s="5" t="s">
        <v>1268</v>
      </c>
      <c r="E2624" s="5" t="n">
        <v>1</v>
      </c>
      <c r="F2624" s="6" t="n">
        <f aca="false">IFERROR(MATCH(A2624&amp;"|"&amp;B2624&amp;"|"&amp;D2624,'All Song Rankings'!$T:$T,0),0)</f>
        <v>395</v>
      </c>
      <c r="G2624" s="6" t="str">
        <f aca="false">IF(F2624=0,"NOT FOUND",INDEX('All Song Rankings'!$A:$A,F2624))</f>
        <v>Sandstorm</v>
      </c>
      <c r="H2624" s="6" t="str">
        <f aca="false">IF(F2624=0,"NOT FOUND",INDEX('All Song Rankings'!$B:$B,F2624))</f>
        <v>Darude</v>
      </c>
      <c r="I2624" s="6" t="str">
        <f aca="false">IF(F2624=0,"NOT FOUND",INDEX('All Song Rankings'!$D:$D,F2624))</f>
        <v>Stephanie</v>
      </c>
      <c r="J2624" s="7" t="str">
        <f aca="false">IF(F2624=0,"NOT FOUND",IF(C2624=I2624,"SELF-VOTE",IF(COUNTIF($K:$K,K2624)&gt;1,"DUPLICATE","OK")))</f>
        <v>OK</v>
      </c>
      <c r="K2624" s="6" t="str">
        <f aca="false">A2624&amp;"|"&amp;B2624&amp;"|"&amp;C2624&amp;"|"&amp;D2624</f>
        <v>4|7|Makenzie|spotify:track:6Sy9BUbgFse0n0LPA5lwy5</v>
      </c>
    </row>
    <row r="2625" customFormat="false" ht="15" hidden="false" customHeight="false" outlineLevel="0" collapsed="false">
      <c r="A2625" s="5" t="n">
        <v>4</v>
      </c>
      <c r="B2625" s="5" t="n">
        <v>7</v>
      </c>
      <c r="C2625" s="5" t="s">
        <v>116</v>
      </c>
      <c r="D2625" s="5" t="s">
        <v>1274</v>
      </c>
      <c r="E2625" s="5" t="n">
        <v>1</v>
      </c>
      <c r="F2625" s="6" t="n">
        <f aca="false">IFERROR(MATCH(A2625&amp;"|"&amp;B2625&amp;"|"&amp;D2625,'All Song Rankings'!$T:$T,0),0)</f>
        <v>397</v>
      </c>
      <c r="G2625" s="6" t="str">
        <f aca="false">IF(F2625=0,"NOT FOUND",INDEX('All Song Rankings'!$A:$A,F2625))</f>
        <v>The Crane Wife 3</v>
      </c>
      <c r="H2625" s="6" t="str">
        <f aca="false">IF(F2625=0,"NOT FOUND",INDEX('All Song Rankings'!$B:$B,F2625))</f>
        <v>The Decemberists</v>
      </c>
      <c r="I2625" s="6" t="str">
        <f aca="false">IF(F2625=0,"NOT FOUND",INDEX('All Song Rankings'!$D:$D,F2625))</f>
        <v>Lisa</v>
      </c>
      <c r="J2625" s="7" t="str">
        <f aca="false">IF(F2625=0,"NOT FOUND",IF(C2625=I2625,"SELF-VOTE",IF(COUNTIF($K:$K,K2625)&gt;1,"DUPLICATE","OK")))</f>
        <v>OK</v>
      </c>
      <c r="K2625" s="6" t="str">
        <f aca="false">A2625&amp;"|"&amp;B2625&amp;"|"&amp;C2625&amp;"|"&amp;D2625</f>
        <v>4|7|Matt|spotify:track:0IwXp8V7wgFCIthRh2z8Ot</v>
      </c>
    </row>
    <row r="2626" customFormat="false" ht="15" hidden="false" customHeight="false" outlineLevel="0" collapsed="false">
      <c r="A2626" s="5" t="n">
        <v>4</v>
      </c>
      <c r="B2626" s="5" t="n">
        <v>7</v>
      </c>
      <c r="C2626" s="5" t="s">
        <v>116</v>
      </c>
      <c r="D2626" s="5" t="s">
        <v>1262</v>
      </c>
      <c r="E2626" s="5" t="n">
        <v>1</v>
      </c>
      <c r="F2626" s="6" t="n">
        <f aca="false">IFERROR(MATCH(A2626&amp;"|"&amp;B2626&amp;"|"&amp;D2626,'All Song Rankings'!$T:$T,0),0)</f>
        <v>393</v>
      </c>
      <c r="G2626" s="6" t="str">
        <f aca="false">IF(F2626=0,"NOT FOUND",INDEX('All Song Rankings'!$A:$A,F2626))</f>
        <v>The Way That I Fiddle</v>
      </c>
      <c r="H2626" s="6" t="str">
        <f aca="false">IF(F2626=0,"NOT FOUND",INDEX('All Song Rankings'!$B:$B,F2626))</f>
        <v>Clejan</v>
      </c>
      <c r="I2626" s="6" t="str">
        <f aca="false">IF(F2626=0,"NOT FOUND",INDEX('All Song Rankings'!$D:$D,F2626))</f>
        <v>Leah</v>
      </c>
      <c r="J2626" s="7" t="str">
        <f aca="false">IF(F2626=0,"NOT FOUND",IF(C2626=I2626,"SELF-VOTE",IF(COUNTIF($K:$K,K2626)&gt;1,"DUPLICATE","OK")))</f>
        <v>OK</v>
      </c>
      <c r="K2626" s="6" t="str">
        <f aca="false">A2626&amp;"|"&amp;B2626&amp;"|"&amp;C2626&amp;"|"&amp;D2626</f>
        <v>4|7|Matt|spotify:track:0oHG32IK45iVgoiVcnYNBx</v>
      </c>
    </row>
    <row r="2627" customFormat="false" ht="15" hidden="false" customHeight="false" outlineLevel="0" collapsed="false">
      <c r="A2627" s="5" t="n">
        <v>4</v>
      </c>
      <c r="B2627" s="5" t="n">
        <v>7</v>
      </c>
      <c r="C2627" s="5" t="s">
        <v>116</v>
      </c>
      <c r="D2627" s="5" t="s">
        <v>1271</v>
      </c>
      <c r="E2627" s="5" t="n">
        <v>1</v>
      </c>
      <c r="F2627" s="6" t="n">
        <f aca="false">IFERROR(MATCH(A2627&amp;"|"&amp;B2627&amp;"|"&amp;D2627,'All Song Rankings'!$T:$T,0),0)</f>
        <v>396</v>
      </c>
      <c r="G2627" s="6" t="str">
        <f aca="false">IF(F2627=0,"NOT FOUND",INDEX('All Song Rankings'!$A:$A,F2627))</f>
        <v>Heart's Content</v>
      </c>
      <c r="H2627" s="6" t="str">
        <f aca="false">IF(F2627=0,"NOT FOUND",INDEX('All Song Rankings'!$B:$B,F2627))</f>
        <v>Brandi Carlile</v>
      </c>
      <c r="I2627" s="6" t="str">
        <f aca="false">IF(F2627=0,"NOT FOUND",INDEX('All Song Rankings'!$D:$D,F2627))</f>
        <v>Grace</v>
      </c>
      <c r="J2627" s="7" t="str">
        <f aca="false">IF(F2627=0,"NOT FOUND",IF(C2627=I2627,"SELF-VOTE",IF(COUNTIF($K:$K,K2627)&gt;1,"DUPLICATE","OK")))</f>
        <v>OK</v>
      </c>
      <c r="K2627" s="6" t="str">
        <f aca="false">A2627&amp;"|"&amp;B2627&amp;"|"&amp;C2627&amp;"|"&amp;D2627</f>
        <v>4|7|Matt|spotify:track:0pegFWSUOTiG0sLVEfxtvA</v>
      </c>
    </row>
    <row r="2628" customFormat="false" ht="15" hidden="false" customHeight="false" outlineLevel="0" collapsed="false">
      <c r="A2628" s="5" t="n">
        <v>4</v>
      </c>
      <c r="B2628" s="5" t="n">
        <v>7</v>
      </c>
      <c r="C2628" s="5" t="s">
        <v>116</v>
      </c>
      <c r="D2628" s="5" t="s">
        <v>1295</v>
      </c>
      <c r="E2628" s="5" t="n">
        <v>1</v>
      </c>
      <c r="F2628" s="6" t="n">
        <f aca="false">IFERROR(MATCH(A2628&amp;"|"&amp;B2628&amp;"|"&amp;D2628,'All Song Rankings'!$T:$T,0),0)</f>
        <v>404</v>
      </c>
      <c r="G2628" s="6" t="str">
        <f aca="false">IF(F2628=0,"NOT FOUND",INDEX('All Song Rankings'!$A:$A,F2628))</f>
        <v>Language</v>
      </c>
      <c r="H2628" s="6" t="str">
        <f aca="false">IF(F2628=0,"NOT FOUND",INDEX('All Song Rankings'!$B:$B,F2628))</f>
        <v>Tori Kelly</v>
      </c>
      <c r="I2628" s="6" t="str">
        <f aca="false">IF(F2628=0,"NOT FOUND",INDEX('All Song Rankings'!$D:$D,F2628))</f>
        <v>Logan</v>
      </c>
      <c r="J2628" s="7" t="str">
        <f aca="false">IF(F2628=0,"NOT FOUND",IF(C2628=I2628,"SELF-VOTE",IF(COUNTIF($K:$K,K2628)&gt;1,"DUPLICATE","OK")))</f>
        <v>OK</v>
      </c>
      <c r="K2628" s="6" t="str">
        <f aca="false">A2628&amp;"|"&amp;B2628&amp;"|"&amp;C2628&amp;"|"&amp;D2628</f>
        <v>4|7|Matt|spotify:track:1afewsMym3BFlFDTDiuMyt</v>
      </c>
    </row>
    <row r="2629" customFormat="false" ht="15" hidden="false" customHeight="false" outlineLevel="0" collapsed="false">
      <c r="A2629" s="5" t="n">
        <v>4</v>
      </c>
      <c r="B2629" s="5" t="n">
        <v>7</v>
      </c>
      <c r="C2629" s="5" t="s">
        <v>116</v>
      </c>
      <c r="D2629" s="5" t="s">
        <v>1285</v>
      </c>
      <c r="E2629" s="5" t="n">
        <v>1</v>
      </c>
      <c r="F2629" s="6" t="n">
        <f aca="false">IFERROR(MATCH(A2629&amp;"|"&amp;B2629&amp;"|"&amp;D2629,'All Song Rankings'!$T:$T,0),0)</f>
        <v>401</v>
      </c>
      <c r="G2629" s="6" t="str">
        <f aca="false">IF(F2629=0,"NOT FOUND",INDEX('All Song Rankings'!$A:$A,F2629))</f>
        <v>Searchlight</v>
      </c>
      <c r="H2629" s="6" t="str">
        <f aca="false">IF(F2629=0,"NOT FOUND",INDEX('All Song Rankings'!$B:$B,F2629))</f>
        <v>Shinedown</v>
      </c>
      <c r="I2629" s="6" t="str">
        <f aca="false">IF(F2629=0,"NOT FOUND",INDEX('All Song Rankings'!$D:$D,F2629))</f>
        <v>Christine</v>
      </c>
      <c r="J2629" s="7" t="str">
        <f aca="false">IF(F2629=0,"NOT FOUND",IF(C2629=I2629,"SELF-VOTE",IF(COUNTIF($K:$K,K2629)&gt;1,"DUPLICATE","OK")))</f>
        <v>OK</v>
      </c>
      <c r="K2629" s="6" t="str">
        <f aca="false">A2629&amp;"|"&amp;B2629&amp;"|"&amp;C2629&amp;"|"&amp;D2629</f>
        <v>4|7|Matt|spotify:track:20fm2tV8FUuonX96Db1bGo</v>
      </c>
    </row>
    <row r="2630" customFormat="false" ht="15" hidden="false" customHeight="false" outlineLevel="0" collapsed="false">
      <c r="A2630" s="5" t="n">
        <v>4</v>
      </c>
      <c r="B2630" s="5" t="n">
        <v>7</v>
      </c>
      <c r="C2630" s="5" t="s">
        <v>116</v>
      </c>
      <c r="D2630" s="5" t="s">
        <v>1265</v>
      </c>
      <c r="E2630" s="5" t="n">
        <v>1</v>
      </c>
      <c r="F2630" s="6" t="n">
        <f aca="false">IFERROR(MATCH(A2630&amp;"|"&amp;B2630&amp;"|"&amp;D2630,'All Song Rankings'!$T:$T,0),0)</f>
        <v>394</v>
      </c>
      <c r="G2630" s="6" t="str">
        <f aca="false">IF(F2630=0,"NOT FOUND",INDEX('All Song Rankings'!$A:$A,F2630))</f>
        <v>The Funeral</v>
      </c>
      <c r="H2630" s="6" t="str">
        <f aca="false">IF(F2630=0,"NOT FOUND",INDEX('All Song Rankings'!$B:$B,F2630))</f>
        <v>YUNGBLUD</v>
      </c>
      <c r="I2630" s="6" t="str">
        <f aca="false">IF(F2630=0,"NOT FOUND",INDEX('All Song Rankings'!$D:$D,F2630))</f>
        <v>Makenzie</v>
      </c>
      <c r="J2630" s="7" t="str">
        <f aca="false">IF(F2630=0,"NOT FOUND",IF(C2630=I2630,"SELF-VOTE",IF(COUNTIF($K:$K,K2630)&gt;1,"DUPLICATE","OK")))</f>
        <v>OK</v>
      </c>
      <c r="K2630" s="6" t="str">
        <f aca="false">A2630&amp;"|"&amp;B2630&amp;"|"&amp;C2630&amp;"|"&amp;D2630</f>
        <v>4|7|Matt|spotify:track:3t4zZ2SxXgQRIhc5N6a6oZ</v>
      </c>
    </row>
    <row r="2631" customFormat="false" ht="15" hidden="false" customHeight="false" outlineLevel="0" collapsed="false">
      <c r="A2631" s="5" t="n">
        <v>4</v>
      </c>
      <c r="B2631" s="5" t="n">
        <v>7</v>
      </c>
      <c r="C2631" s="5" t="s">
        <v>116</v>
      </c>
      <c r="D2631" s="5" t="s">
        <v>1297</v>
      </c>
      <c r="E2631" s="5" t="n">
        <v>1</v>
      </c>
      <c r="F2631" s="6" t="n">
        <f aca="false">IFERROR(MATCH(A2631&amp;"|"&amp;B2631&amp;"|"&amp;D2631,'All Song Rankings'!$T:$T,0),0)</f>
        <v>405</v>
      </c>
      <c r="G2631" s="6" t="str">
        <f aca="false">IF(F2631=0,"NOT FOUND",INDEX('All Song Rankings'!$A:$A,F2631))</f>
        <v>Even in Arcadia</v>
      </c>
      <c r="H2631" s="6" t="str">
        <f aca="false">IF(F2631=0,"NOT FOUND",INDEX('All Song Rankings'!$B:$B,F2631))</f>
        <v>Sleep Token</v>
      </c>
      <c r="I2631" s="6" t="str">
        <f aca="false">IF(F2631=0,"NOT FOUND",INDEX('All Song Rankings'!$D:$D,F2631))</f>
        <v>Kristen</v>
      </c>
      <c r="J2631" s="7" t="str">
        <f aca="false">IF(F2631=0,"NOT FOUND",IF(C2631=I2631,"SELF-VOTE",IF(COUNTIF($K:$K,K2631)&gt;1,"DUPLICATE","OK")))</f>
        <v>OK</v>
      </c>
      <c r="K2631" s="6" t="str">
        <f aca="false">A2631&amp;"|"&amp;B2631&amp;"|"&amp;C2631&amp;"|"&amp;D2631</f>
        <v>4|7|Matt|spotify:track:4IixOTCzviJgIigKleiVbo</v>
      </c>
    </row>
    <row r="2632" customFormat="false" ht="15" hidden="false" customHeight="false" outlineLevel="0" collapsed="false">
      <c r="A2632" s="5" t="n">
        <v>4</v>
      </c>
      <c r="B2632" s="5" t="n">
        <v>7</v>
      </c>
      <c r="C2632" s="5" t="s">
        <v>116</v>
      </c>
      <c r="D2632" s="5" t="s">
        <v>1300</v>
      </c>
      <c r="E2632" s="5" t="n">
        <v>1</v>
      </c>
      <c r="F2632" s="6" t="n">
        <f aca="false">IFERROR(MATCH(A2632&amp;"|"&amp;B2632&amp;"|"&amp;D2632,'All Song Rankings'!$T:$T,0),0)</f>
        <v>406</v>
      </c>
      <c r="G2632" s="6" t="str">
        <f aca="false">IF(F2632=0,"NOT FOUND",INDEX('All Song Rankings'!$A:$A,F2632))</f>
        <v>Rock 'n' Roll Lifestyle</v>
      </c>
      <c r="H2632" s="6" t="str">
        <f aca="false">IF(F2632=0,"NOT FOUND",INDEX('All Song Rankings'!$B:$B,F2632))</f>
        <v>CAKE</v>
      </c>
      <c r="I2632" s="6" t="str">
        <f aca="false">IF(F2632=0,"NOT FOUND",INDEX('All Song Rankings'!$D:$D,F2632))</f>
        <v>Scott</v>
      </c>
      <c r="J2632" s="7" t="str">
        <f aca="false">IF(F2632=0,"NOT FOUND",IF(C2632=I2632,"SELF-VOTE",IF(COUNTIF($K:$K,K2632)&gt;1,"DUPLICATE","OK")))</f>
        <v>OK</v>
      </c>
      <c r="K2632" s="6" t="str">
        <f aca="false">A2632&amp;"|"&amp;B2632&amp;"|"&amp;C2632&amp;"|"&amp;D2632</f>
        <v>4|7|Matt|spotify:track:4tRkMAL93DFmaMDUHOHuBH</v>
      </c>
    </row>
    <row r="2633" customFormat="false" ht="15" hidden="false" customHeight="false" outlineLevel="0" collapsed="false">
      <c r="A2633" s="5" t="n">
        <v>4</v>
      </c>
      <c r="B2633" s="5" t="n">
        <v>7</v>
      </c>
      <c r="C2633" s="5" t="s">
        <v>116</v>
      </c>
      <c r="D2633" s="5" t="s">
        <v>1291</v>
      </c>
      <c r="E2633" s="5" t="n">
        <v>1</v>
      </c>
      <c r="F2633" s="6" t="n">
        <f aca="false">IFERROR(MATCH(A2633&amp;"|"&amp;B2633&amp;"|"&amp;D2633,'All Song Rankings'!$T:$T,0),0)</f>
        <v>403</v>
      </c>
      <c r="G2633" s="6" t="str">
        <f aca="false">IF(F2633=0,"NOT FOUND",INDEX('All Song Rankings'!$A:$A,F2633))</f>
        <v>Tadow</v>
      </c>
      <c r="H2633" s="6" t="str">
        <f aca="false">IF(F2633=0,"NOT FOUND",INDEX('All Song Rankings'!$B:$B,F2633))</f>
        <v>Masego</v>
      </c>
      <c r="I2633" s="6" t="str">
        <f aca="false">IF(F2633=0,"NOT FOUND",INDEX('All Song Rankings'!$D:$D,F2633))</f>
        <v>Merita</v>
      </c>
      <c r="J2633" s="7" t="str">
        <f aca="false">IF(F2633=0,"NOT FOUND",IF(C2633=I2633,"SELF-VOTE",IF(COUNTIF($K:$K,K2633)&gt;1,"DUPLICATE","OK")))</f>
        <v>OK</v>
      </c>
      <c r="K2633" s="6" t="str">
        <f aca="false">A2633&amp;"|"&amp;B2633&amp;"|"&amp;C2633&amp;"|"&amp;D2633</f>
        <v>4|7|Matt|spotify:track:6FMMd1fixOMmhplCevpjL7</v>
      </c>
    </row>
    <row r="2634" customFormat="false" ht="15" hidden="false" customHeight="false" outlineLevel="0" collapsed="false">
      <c r="A2634" s="5" t="n">
        <v>4</v>
      </c>
      <c r="B2634" s="5" t="n">
        <v>7</v>
      </c>
      <c r="C2634" s="5" t="s">
        <v>116</v>
      </c>
      <c r="D2634" s="5" t="s">
        <v>1268</v>
      </c>
      <c r="E2634" s="5" t="n">
        <v>1</v>
      </c>
      <c r="F2634" s="6" t="n">
        <f aca="false">IFERROR(MATCH(A2634&amp;"|"&amp;B2634&amp;"|"&amp;D2634,'All Song Rankings'!$T:$T,0),0)</f>
        <v>395</v>
      </c>
      <c r="G2634" s="6" t="str">
        <f aca="false">IF(F2634=0,"NOT FOUND",INDEX('All Song Rankings'!$A:$A,F2634))</f>
        <v>Sandstorm</v>
      </c>
      <c r="H2634" s="6" t="str">
        <f aca="false">IF(F2634=0,"NOT FOUND",INDEX('All Song Rankings'!$B:$B,F2634))</f>
        <v>Darude</v>
      </c>
      <c r="I2634" s="6" t="str">
        <f aca="false">IF(F2634=0,"NOT FOUND",INDEX('All Song Rankings'!$D:$D,F2634))</f>
        <v>Stephanie</v>
      </c>
      <c r="J2634" s="7" t="str">
        <f aca="false">IF(F2634=0,"NOT FOUND",IF(C2634=I2634,"SELF-VOTE",IF(COUNTIF($K:$K,K2634)&gt;1,"DUPLICATE","OK")))</f>
        <v>OK</v>
      </c>
      <c r="K2634" s="6" t="str">
        <f aca="false">A2634&amp;"|"&amp;B2634&amp;"|"&amp;C2634&amp;"|"&amp;D2634</f>
        <v>4|7|Matt|spotify:track:6Sy9BUbgFse0n0LPA5lwy5</v>
      </c>
    </row>
    <row r="2635" customFormat="false" ht="15" hidden="false" customHeight="false" outlineLevel="0" collapsed="false">
      <c r="A2635" s="5" t="n">
        <v>4</v>
      </c>
      <c r="B2635" s="5" t="n">
        <v>7</v>
      </c>
      <c r="C2635" s="5" t="s">
        <v>101</v>
      </c>
      <c r="D2635" s="5" t="s">
        <v>1283</v>
      </c>
      <c r="E2635" s="5" t="n">
        <v>1</v>
      </c>
      <c r="F2635" s="6" t="n">
        <f aca="false">IFERROR(MATCH(A2635&amp;"|"&amp;B2635&amp;"|"&amp;D2635,'All Song Rankings'!$T:$T,0),0)</f>
        <v>400</v>
      </c>
      <c r="G2635" s="6" t="str">
        <f aca="false">IF(F2635=0,"NOT FOUND",INDEX('All Song Rankings'!$A:$A,F2635))</f>
        <v>King Kunta</v>
      </c>
      <c r="H2635" s="6" t="str">
        <f aca="false">IF(F2635=0,"NOT FOUND",INDEX('All Song Rankings'!$B:$B,F2635))</f>
        <v>Kendrick Lamar</v>
      </c>
      <c r="I2635" s="6" t="str">
        <f aca="false">IF(F2635=0,"NOT FOUND",INDEX('All Song Rankings'!$D:$D,F2635))</f>
        <v>Matt</v>
      </c>
      <c r="J2635" s="7" t="str">
        <f aca="false">IF(F2635=0,"NOT FOUND",IF(C2635=I2635,"SELF-VOTE",IF(COUNTIF($K:$K,K2635)&gt;1,"DUPLICATE","OK")))</f>
        <v>OK</v>
      </c>
      <c r="K2635" s="6" t="str">
        <f aca="false">A2635&amp;"|"&amp;B2635&amp;"|"&amp;C2635&amp;"|"&amp;D2635</f>
        <v>4|7|Merita|spotify:track:0N3W5peJUQtI4eyR6GJT5O</v>
      </c>
    </row>
    <row r="2636" customFormat="false" ht="15" hidden="false" customHeight="false" outlineLevel="0" collapsed="false">
      <c r="A2636" s="5" t="n">
        <v>4</v>
      </c>
      <c r="B2636" s="5" t="n">
        <v>7</v>
      </c>
      <c r="C2636" s="5" t="s">
        <v>101</v>
      </c>
      <c r="D2636" s="5" t="s">
        <v>1262</v>
      </c>
      <c r="E2636" s="5" t="n">
        <v>2</v>
      </c>
      <c r="F2636" s="6" t="n">
        <f aca="false">IFERROR(MATCH(A2636&amp;"|"&amp;B2636&amp;"|"&amp;D2636,'All Song Rankings'!$T:$T,0),0)</f>
        <v>393</v>
      </c>
      <c r="G2636" s="6" t="str">
        <f aca="false">IF(F2636=0,"NOT FOUND",INDEX('All Song Rankings'!$A:$A,F2636))</f>
        <v>The Way That I Fiddle</v>
      </c>
      <c r="H2636" s="6" t="str">
        <f aca="false">IF(F2636=0,"NOT FOUND",INDEX('All Song Rankings'!$B:$B,F2636))</f>
        <v>Clejan</v>
      </c>
      <c r="I2636" s="6" t="str">
        <f aca="false">IF(F2636=0,"NOT FOUND",INDEX('All Song Rankings'!$D:$D,F2636))</f>
        <v>Leah</v>
      </c>
      <c r="J2636" s="7" t="str">
        <f aca="false">IF(F2636=0,"NOT FOUND",IF(C2636=I2636,"SELF-VOTE",IF(COUNTIF($K:$K,K2636)&gt;1,"DUPLICATE","OK")))</f>
        <v>OK</v>
      </c>
      <c r="K2636" s="6" t="str">
        <f aca="false">A2636&amp;"|"&amp;B2636&amp;"|"&amp;C2636&amp;"|"&amp;D2636</f>
        <v>4|7|Merita|spotify:track:0oHG32IK45iVgoiVcnYNBx</v>
      </c>
    </row>
    <row r="2637" customFormat="false" ht="15" hidden="false" customHeight="false" outlineLevel="0" collapsed="false">
      <c r="A2637" s="5" t="n">
        <v>4</v>
      </c>
      <c r="B2637" s="5" t="n">
        <v>7</v>
      </c>
      <c r="C2637" s="5" t="s">
        <v>101</v>
      </c>
      <c r="D2637" s="5" t="s">
        <v>1295</v>
      </c>
      <c r="E2637" s="5" t="n">
        <v>1</v>
      </c>
      <c r="F2637" s="6" t="n">
        <f aca="false">IFERROR(MATCH(A2637&amp;"|"&amp;B2637&amp;"|"&amp;D2637,'All Song Rankings'!$T:$T,0),0)</f>
        <v>404</v>
      </c>
      <c r="G2637" s="6" t="str">
        <f aca="false">IF(F2637=0,"NOT FOUND",INDEX('All Song Rankings'!$A:$A,F2637))</f>
        <v>Language</v>
      </c>
      <c r="H2637" s="6" t="str">
        <f aca="false">IF(F2637=0,"NOT FOUND",INDEX('All Song Rankings'!$B:$B,F2637))</f>
        <v>Tori Kelly</v>
      </c>
      <c r="I2637" s="6" t="str">
        <f aca="false">IF(F2637=0,"NOT FOUND",INDEX('All Song Rankings'!$D:$D,F2637))</f>
        <v>Logan</v>
      </c>
      <c r="J2637" s="7" t="str">
        <f aca="false">IF(F2637=0,"NOT FOUND",IF(C2637=I2637,"SELF-VOTE",IF(COUNTIF($K:$K,K2637)&gt;1,"DUPLICATE","OK")))</f>
        <v>OK</v>
      </c>
      <c r="K2637" s="6" t="str">
        <f aca="false">A2637&amp;"|"&amp;B2637&amp;"|"&amp;C2637&amp;"|"&amp;D2637</f>
        <v>4|7|Merita|spotify:track:1afewsMym3BFlFDTDiuMyt</v>
      </c>
    </row>
    <row r="2638" customFormat="false" ht="15" hidden="false" customHeight="false" outlineLevel="0" collapsed="false">
      <c r="A2638" s="5" t="n">
        <v>4</v>
      </c>
      <c r="B2638" s="5" t="n">
        <v>7</v>
      </c>
      <c r="C2638" s="5" t="s">
        <v>101</v>
      </c>
      <c r="D2638" s="5" t="s">
        <v>1285</v>
      </c>
      <c r="E2638" s="5" t="n">
        <v>1</v>
      </c>
      <c r="F2638" s="6" t="n">
        <f aca="false">IFERROR(MATCH(A2638&amp;"|"&amp;B2638&amp;"|"&amp;D2638,'All Song Rankings'!$T:$T,0),0)</f>
        <v>401</v>
      </c>
      <c r="G2638" s="6" t="str">
        <f aca="false">IF(F2638=0,"NOT FOUND",INDEX('All Song Rankings'!$A:$A,F2638))</f>
        <v>Searchlight</v>
      </c>
      <c r="H2638" s="6" t="str">
        <f aca="false">IF(F2638=0,"NOT FOUND",INDEX('All Song Rankings'!$B:$B,F2638))</f>
        <v>Shinedown</v>
      </c>
      <c r="I2638" s="6" t="str">
        <f aca="false">IF(F2638=0,"NOT FOUND",INDEX('All Song Rankings'!$D:$D,F2638))</f>
        <v>Christine</v>
      </c>
      <c r="J2638" s="7" t="str">
        <f aca="false">IF(F2638=0,"NOT FOUND",IF(C2638=I2638,"SELF-VOTE",IF(COUNTIF($K:$K,K2638)&gt;1,"DUPLICATE","OK")))</f>
        <v>OK</v>
      </c>
      <c r="K2638" s="6" t="str">
        <f aca="false">A2638&amp;"|"&amp;B2638&amp;"|"&amp;C2638&amp;"|"&amp;D2638</f>
        <v>4|7|Merita|spotify:track:20fm2tV8FUuonX96Db1bGo</v>
      </c>
    </row>
    <row r="2639" customFormat="false" ht="15" hidden="false" customHeight="false" outlineLevel="0" collapsed="false">
      <c r="A2639" s="5" t="n">
        <v>4</v>
      </c>
      <c r="B2639" s="5" t="n">
        <v>7</v>
      </c>
      <c r="C2639" s="5" t="s">
        <v>101</v>
      </c>
      <c r="D2639" s="5" t="s">
        <v>1265</v>
      </c>
      <c r="E2639" s="5" t="n">
        <v>2</v>
      </c>
      <c r="F2639" s="6" t="n">
        <f aca="false">IFERROR(MATCH(A2639&amp;"|"&amp;B2639&amp;"|"&amp;D2639,'All Song Rankings'!$T:$T,0),0)</f>
        <v>394</v>
      </c>
      <c r="G2639" s="6" t="str">
        <f aca="false">IF(F2639=0,"NOT FOUND",INDEX('All Song Rankings'!$A:$A,F2639))</f>
        <v>The Funeral</v>
      </c>
      <c r="H2639" s="6" t="str">
        <f aca="false">IF(F2639=0,"NOT FOUND",INDEX('All Song Rankings'!$B:$B,F2639))</f>
        <v>YUNGBLUD</v>
      </c>
      <c r="I2639" s="6" t="str">
        <f aca="false">IF(F2639=0,"NOT FOUND",INDEX('All Song Rankings'!$D:$D,F2639))</f>
        <v>Makenzie</v>
      </c>
      <c r="J2639" s="7" t="str">
        <f aca="false">IF(F2639=0,"NOT FOUND",IF(C2639=I2639,"SELF-VOTE",IF(COUNTIF($K:$K,K2639)&gt;1,"DUPLICATE","OK")))</f>
        <v>OK</v>
      </c>
      <c r="K2639" s="6" t="str">
        <f aca="false">A2639&amp;"|"&amp;B2639&amp;"|"&amp;C2639&amp;"|"&amp;D2639</f>
        <v>4|7|Merita|spotify:track:3t4zZ2SxXgQRIhc5N6a6oZ</v>
      </c>
    </row>
    <row r="2640" customFormat="false" ht="15" hidden="false" customHeight="false" outlineLevel="0" collapsed="false">
      <c r="A2640" s="5" t="n">
        <v>4</v>
      </c>
      <c r="B2640" s="5" t="n">
        <v>7</v>
      </c>
      <c r="C2640" s="5" t="s">
        <v>101</v>
      </c>
      <c r="D2640" s="5" t="s">
        <v>1297</v>
      </c>
      <c r="E2640" s="5" t="n">
        <v>1</v>
      </c>
      <c r="F2640" s="6" t="n">
        <f aca="false">IFERROR(MATCH(A2640&amp;"|"&amp;B2640&amp;"|"&amp;D2640,'All Song Rankings'!$T:$T,0),0)</f>
        <v>405</v>
      </c>
      <c r="G2640" s="6" t="str">
        <f aca="false">IF(F2640=0,"NOT FOUND",INDEX('All Song Rankings'!$A:$A,F2640))</f>
        <v>Even in Arcadia</v>
      </c>
      <c r="H2640" s="6" t="str">
        <f aca="false">IF(F2640=0,"NOT FOUND",INDEX('All Song Rankings'!$B:$B,F2640))</f>
        <v>Sleep Token</v>
      </c>
      <c r="I2640" s="6" t="str">
        <f aca="false">IF(F2640=0,"NOT FOUND",INDEX('All Song Rankings'!$D:$D,F2640))</f>
        <v>Kristen</v>
      </c>
      <c r="J2640" s="7" t="str">
        <f aca="false">IF(F2640=0,"NOT FOUND",IF(C2640=I2640,"SELF-VOTE",IF(COUNTIF($K:$K,K2640)&gt;1,"DUPLICATE","OK")))</f>
        <v>OK</v>
      </c>
      <c r="K2640" s="6" t="str">
        <f aca="false">A2640&amp;"|"&amp;B2640&amp;"|"&amp;C2640&amp;"|"&amp;D2640</f>
        <v>4|7|Merita|spotify:track:4IixOTCzviJgIigKleiVbo</v>
      </c>
    </row>
    <row r="2641" customFormat="false" ht="15" hidden="false" customHeight="false" outlineLevel="0" collapsed="false">
      <c r="A2641" s="5" t="n">
        <v>4</v>
      </c>
      <c r="B2641" s="5" t="n">
        <v>7</v>
      </c>
      <c r="C2641" s="5" t="s">
        <v>101</v>
      </c>
      <c r="D2641" s="5" t="s">
        <v>1288</v>
      </c>
      <c r="E2641" s="5" t="n">
        <v>1</v>
      </c>
      <c r="F2641" s="6" t="n">
        <f aca="false">IFERROR(MATCH(A2641&amp;"|"&amp;B2641&amp;"|"&amp;D2641,'All Song Rankings'!$T:$T,0),0)</f>
        <v>402</v>
      </c>
      <c r="G2641" s="6" t="str">
        <f aca="false">IF(F2641=0,"NOT FOUND",INDEX('All Song Rankings'!$A:$A,F2641))</f>
        <v>THINK ABOUT ME</v>
      </c>
      <c r="H2641" s="6" t="str">
        <f aca="false">IF(F2641=0,"NOT FOUND",INDEX('All Song Rankings'!$B:$B,F2641))</f>
        <v>jxdn</v>
      </c>
      <c r="I2641" s="6" t="str">
        <f aca="false">IF(F2641=0,"NOT FOUND",INDEX('All Song Rankings'!$D:$D,F2641))</f>
        <v>Nicole</v>
      </c>
      <c r="J2641" s="7" t="str">
        <f aca="false">IF(F2641=0,"NOT FOUND",IF(C2641=I2641,"SELF-VOTE",IF(COUNTIF($K:$K,K2641)&gt;1,"DUPLICATE","OK")))</f>
        <v>OK</v>
      </c>
      <c r="K2641" s="6" t="str">
        <f aca="false">A2641&amp;"|"&amp;B2641&amp;"|"&amp;C2641&amp;"|"&amp;D2641</f>
        <v>4|7|Merita|spotify:track:6HNtT20hmFvswMN53jIRv1</v>
      </c>
    </row>
    <row r="2642" customFormat="false" ht="15" hidden="false" customHeight="false" outlineLevel="0" collapsed="false">
      <c r="A2642" s="5" t="n">
        <v>4</v>
      </c>
      <c r="B2642" s="5" t="n">
        <v>7</v>
      </c>
      <c r="C2642" s="5" t="s">
        <v>101</v>
      </c>
      <c r="D2642" s="5" t="s">
        <v>1268</v>
      </c>
      <c r="E2642" s="5" t="n">
        <v>1</v>
      </c>
      <c r="F2642" s="6" t="n">
        <f aca="false">IFERROR(MATCH(A2642&amp;"|"&amp;B2642&amp;"|"&amp;D2642,'All Song Rankings'!$T:$T,0),0)</f>
        <v>395</v>
      </c>
      <c r="G2642" s="6" t="str">
        <f aca="false">IF(F2642=0,"NOT FOUND",INDEX('All Song Rankings'!$A:$A,F2642))</f>
        <v>Sandstorm</v>
      </c>
      <c r="H2642" s="6" t="str">
        <f aca="false">IF(F2642=0,"NOT FOUND",INDEX('All Song Rankings'!$B:$B,F2642))</f>
        <v>Darude</v>
      </c>
      <c r="I2642" s="6" t="str">
        <f aca="false">IF(F2642=0,"NOT FOUND",INDEX('All Song Rankings'!$D:$D,F2642))</f>
        <v>Stephanie</v>
      </c>
      <c r="J2642" s="7" t="str">
        <f aca="false">IF(F2642=0,"NOT FOUND",IF(C2642=I2642,"SELF-VOTE",IF(COUNTIF($K:$K,K2642)&gt;1,"DUPLICATE","OK")))</f>
        <v>OK</v>
      </c>
      <c r="K2642" s="6" t="str">
        <f aca="false">A2642&amp;"|"&amp;B2642&amp;"|"&amp;C2642&amp;"|"&amp;D2642</f>
        <v>4|7|Merita|spotify:track:6Sy9BUbgFse0n0LPA5lwy5</v>
      </c>
    </row>
    <row r="2643" customFormat="false" ht="15" hidden="false" customHeight="false" outlineLevel="0" collapsed="false">
      <c r="A2643" s="5" t="n">
        <v>4</v>
      </c>
      <c r="B2643" s="5" t="n">
        <v>7</v>
      </c>
      <c r="C2643" s="5" t="s">
        <v>92</v>
      </c>
      <c r="D2643" s="5" t="s">
        <v>1283</v>
      </c>
      <c r="E2643" s="5" t="n">
        <v>2</v>
      </c>
      <c r="F2643" s="6" t="n">
        <f aca="false">IFERROR(MATCH(A2643&amp;"|"&amp;B2643&amp;"|"&amp;D2643,'All Song Rankings'!$T:$T,0),0)</f>
        <v>400</v>
      </c>
      <c r="G2643" s="6" t="str">
        <f aca="false">IF(F2643=0,"NOT FOUND",INDEX('All Song Rankings'!$A:$A,F2643))</f>
        <v>King Kunta</v>
      </c>
      <c r="H2643" s="6" t="str">
        <f aca="false">IF(F2643=0,"NOT FOUND",INDEX('All Song Rankings'!$B:$B,F2643))</f>
        <v>Kendrick Lamar</v>
      </c>
      <c r="I2643" s="6" t="str">
        <f aca="false">IF(F2643=0,"NOT FOUND",INDEX('All Song Rankings'!$D:$D,F2643))</f>
        <v>Matt</v>
      </c>
      <c r="J2643" s="7" t="str">
        <f aca="false">IF(F2643=0,"NOT FOUND",IF(C2643=I2643,"SELF-VOTE",IF(COUNTIF($K:$K,K2643)&gt;1,"DUPLICATE","OK")))</f>
        <v>OK</v>
      </c>
      <c r="K2643" s="6" t="str">
        <f aca="false">A2643&amp;"|"&amp;B2643&amp;"|"&amp;C2643&amp;"|"&amp;D2643</f>
        <v>4|7|Nicole|spotify:track:0N3W5peJUQtI4eyR6GJT5O</v>
      </c>
    </row>
    <row r="2644" customFormat="false" ht="15" hidden="false" customHeight="false" outlineLevel="0" collapsed="false">
      <c r="A2644" s="5" t="n">
        <v>4</v>
      </c>
      <c r="B2644" s="5" t="n">
        <v>7</v>
      </c>
      <c r="C2644" s="5" t="s">
        <v>92</v>
      </c>
      <c r="D2644" s="5" t="s">
        <v>1262</v>
      </c>
      <c r="E2644" s="5" t="n">
        <v>1</v>
      </c>
      <c r="F2644" s="6" t="n">
        <f aca="false">IFERROR(MATCH(A2644&amp;"|"&amp;B2644&amp;"|"&amp;D2644,'All Song Rankings'!$T:$T,0),0)</f>
        <v>393</v>
      </c>
      <c r="G2644" s="6" t="str">
        <f aca="false">IF(F2644=0,"NOT FOUND",INDEX('All Song Rankings'!$A:$A,F2644))</f>
        <v>The Way That I Fiddle</v>
      </c>
      <c r="H2644" s="6" t="str">
        <f aca="false">IF(F2644=0,"NOT FOUND",INDEX('All Song Rankings'!$B:$B,F2644))</f>
        <v>Clejan</v>
      </c>
      <c r="I2644" s="6" t="str">
        <f aca="false">IF(F2644=0,"NOT FOUND",INDEX('All Song Rankings'!$D:$D,F2644))</f>
        <v>Leah</v>
      </c>
      <c r="J2644" s="7" t="str">
        <f aca="false">IF(F2644=0,"NOT FOUND",IF(C2644=I2644,"SELF-VOTE",IF(COUNTIF($K:$K,K2644)&gt;1,"DUPLICATE","OK")))</f>
        <v>OK</v>
      </c>
      <c r="K2644" s="6" t="str">
        <f aca="false">A2644&amp;"|"&amp;B2644&amp;"|"&amp;C2644&amp;"|"&amp;D2644</f>
        <v>4|7|Nicole|spotify:track:0oHG32IK45iVgoiVcnYNBx</v>
      </c>
    </row>
    <row r="2645" customFormat="false" ht="15" hidden="false" customHeight="false" outlineLevel="0" collapsed="false">
      <c r="A2645" s="5" t="n">
        <v>4</v>
      </c>
      <c r="B2645" s="5" t="n">
        <v>7</v>
      </c>
      <c r="C2645" s="5" t="s">
        <v>92</v>
      </c>
      <c r="D2645" s="5" t="s">
        <v>1285</v>
      </c>
      <c r="E2645" s="5" t="n">
        <v>1</v>
      </c>
      <c r="F2645" s="6" t="n">
        <f aca="false">IFERROR(MATCH(A2645&amp;"|"&amp;B2645&amp;"|"&amp;D2645,'All Song Rankings'!$T:$T,0),0)</f>
        <v>401</v>
      </c>
      <c r="G2645" s="6" t="str">
        <f aca="false">IF(F2645=0,"NOT FOUND",INDEX('All Song Rankings'!$A:$A,F2645))</f>
        <v>Searchlight</v>
      </c>
      <c r="H2645" s="6" t="str">
        <f aca="false">IF(F2645=0,"NOT FOUND",INDEX('All Song Rankings'!$B:$B,F2645))</f>
        <v>Shinedown</v>
      </c>
      <c r="I2645" s="6" t="str">
        <f aca="false">IF(F2645=0,"NOT FOUND",INDEX('All Song Rankings'!$D:$D,F2645))</f>
        <v>Christine</v>
      </c>
      <c r="J2645" s="7" t="str">
        <f aca="false">IF(F2645=0,"NOT FOUND",IF(C2645=I2645,"SELF-VOTE",IF(COUNTIF($K:$K,K2645)&gt;1,"DUPLICATE","OK")))</f>
        <v>OK</v>
      </c>
      <c r="K2645" s="6" t="str">
        <f aca="false">A2645&amp;"|"&amp;B2645&amp;"|"&amp;C2645&amp;"|"&amp;D2645</f>
        <v>4|7|Nicole|spotify:track:20fm2tV8FUuonX96Db1bGo</v>
      </c>
    </row>
    <row r="2646" customFormat="false" ht="15" hidden="false" customHeight="false" outlineLevel="0" collapsed="false">
      <c r="A2646" s="5" t="n">
        <v>4</v>
      </c>
      <c r="B2646" s="5" t="n">
        <v>7</v>
      </c>
      <c r="C2646" s="5" t="s">
        <v>92</v>
      </c>
      <c r="D2646" s="5" t="s">
        <v>1265</v>
      </c>
      <c r="E2646" s="5" t="n">
        <v>2</v>
      </c>
      <c r="F2646" s="6" t="n">
        <f aca="false">IFERROR(MATCH(A2646&amp;"|"&amp;B2646&amp;"|"&amp;D2646,'All Song Rankings'!$T:$T,0),0)</f>
        <v>394</v>
      </c>
      <c r="G2646" s="6" t="str">
        <f aca="false">IF(F2646=0,"NOT FOUND",INDEX('All Song Rankings'!$A:$A,F2646))</f>
        <v>The Funeral</v>
      </c>
      <c r="H2646" s="6" t="str">
        <f aca="false">IF(F2646=0,"NOT FOUND",INDEX('All Song Rankings'!$B:$B,F2646))</f>
        <v>YUNGBLUD</v>
      </c>
      <c r="I2646" s="6" t="str">
        <f aca="false">IF(F2646=0,"NOT FOUND",INDEX('All Song Rankings'!$D:$D,F2646))</f>
        <v>Makenzie</v>
      </c>
      <c r="J2646" s="7" t="str">
        <f aca="false">IF(F2646=0,"NOT FOUND",IF(C2646=I2646,"SELF-VOTE",IF(COUNTIF($K:$K,K2646)&gt;1,"DUPLICATE","OK")))</f>
        <v>OK</v>
      </c>
      <c r="K2646" s="6" t="str">
        <f aca="false">A2646&amp;"|"&amp;B2646&amp;"|"&amp;C2646&amp;"|"&amp;D2646</f>
        <v>4|7|Nicole|spotify:track:3t4zZ2SxXgQRIhc5N6a6oZ</v>
      </c>
    </row>
    <row r="2647" customFormat="false" ht="15" hidden="false" customHeight="false" outlineLevel="0" collapsed="false">
      <c r="A2647" s="5" t="n">
        <v>4</v>
      </c>
      <c r="B2647" s="5" t="n">
        <v>7</v>
      </c>
      <c r="C2647" s="5" t="s">
        <v>92</v>
      </c>
      <c r="D2647" s="5" t="s">
        <v>1280</v>
      </c>
      <c r="E2647" s="5" t="n">
        <v>1</v>
      </c>
      <c r="F2647" s="6" t="n">
        <f aca="false">IFERROR(MATCH(A2647&amp;"|"&amp;B2647&amp;"|"&amp;D2647,'All Song Rankings'!$T:$T,0),0)</f>
        <v>399</v>
      </c>
      <c r="G2647" s="6" t="str">
        <f aca="false">IF(F2647=0,"NOT FOUND",INDEX('All Song Rankings'!$A:$A,F2647))</f>
        <v>ALL GAS (feat. Mitchell Tenpenny)</v>
      </c>
      <c r="H2647" s="6" t="str">
        <f aca="false">IF(F2647=0,"NOT FOUND",INDEX('All Song Rankings'!$B:$B,F2647))</f>
        <v>Bilmuri</v>
      </c>
      <c r="I2647" s="6" t="str">
        <f aca="false">IF(F2647=0,"NOT FOUND",INDEX('All Song Rankings'!$D:$D,F2647))</f>
        <v>Colleen</v>
      </c>
      <c r="J2647" s="7" t="str">
        <f aca="false">IF(F2647=0,"NOT FOUND",IF(C2647=I2647,"SELF-VOTE",IF(COUNTIF($K:$K,K2647)&gt;1,"DUPLICATE","OK")))</f>
        <v>OK</v>
      </c>
      <c r="K2647" s="6" t="str">
        <f aca="false">A2647&amp;"|"&amp;B2647&amp;"|"&amp;C2647&amp;"|"&amp;D2647</f>
        <v>4|7|Nicole|spotify:track:4L4PGyC3YQ5kSNKugK1gLc</v>
      </c>
    </row>
    <row r="2648" customFormat="false" ht="15" hidden="false" customHeight="false" outlineLevel="0" collapsed="false">
      <c r="A2648" s="5" t="n">
        <v>4</v>
      </c>
      <c r="B2648" s="5" t="n">
        <v>7</v>
      </c>
      <c r="C2648" s="5" t="s">
        <v>92</v>
      </c>
      <c r="D2648" s="5" t="s">
        <v>1277</v>
      </c>
      <c r="E2648" s="5" t="n">
        <v>2</v>
      </c>
      <c r="F2648" s="6" t="n">
        <f aca="false">IFERROR(MATCH(A2648&amp;"|"&amp;B2648&amp;"|"&amp;D2648,'All Song Rankings'!$T:$T,0),0)</f>
        <v>398</v>
      </c>
      <c r="G2648" s="6" t="str">
        <f aca="false">IF(F2648=0,"NOT FOUND",INDEX('All Song Rankings'!$A:$A,F2648))</f>
        <v>Choosin' Texas</v>
      </c>
      <c r="H2648" s="6" t="str">
        <f aca="false">IF(F2648=0,"NOT FOUND",INDEX('All Song Rankings'!$B:$B,F2648))</f>
        <v>Ella Langley</v>
      </c>
      <c r="I2648" s="6" t="str">
        <f aca="false">IF(F2648=0,"NOT FOUND",INDEX('All Song Rankings'!$D:$D,F2648))</f>
        <v>Kelsey</v>
      </c>
      <c r="J2648" s="7" t="str">
        <f aca="false">IF(F2648=0,"NOT FOUND",IF(C2648=I2648,"SELF-VOTE",IF(COUNTIF($K:$K,K2648)&gt;1,"DUPLICATE","OK")))</f>
        <v>OK</v>
      </c>
      <c r="K2648" s="6" t="str">
        <f aca="false">A2648&amp;"|"&amp;B2648&amp;"|"&amp;C2648&amp;"|"&amp;D2648</f>
        <v>4|7|Nicole|spotify:track:65DbTqJKhbwqYbZ1Okr0rc</v>
      </c>
    </row>
    <row r="2649" customFormat="false" ht="15" hidden="false" customHeight="false" outlineLevel="0" collapsed="false">
      <c r="A2649" s="5" t="n">
        <v>4</v>
      </c>
      <c r="B2649" s="5" t="n">
        <v>7</v>
      </c>
      <c r="C2649" s="5" t="s">
        <v>92</v>
      </c>
      <c r="D2649" s="5" t="s">
        <v>1268</v>
      </c>
      <c r="E2649" s="5" t="n">
        <v>1</v>
      </c>
      <c r="F2649" s="6" t="n">
        <f aca="false">IFERROR(MATCH(A2649&amp;"|"&amp;B2649&amp;"|"&amp;D2649,'All Song Rankings'!$T:$T,0),0)</f>
        <v>395</v>
      </c>
      <c r="G2649" s="6" t="str">
        <f aca="false">IF(F2649=0,"NOT FOUND",INDEX('All Song Rankings'!$A:$A,F2649))</f>
        <v>Sandstorm</v>
      </c>
      <c r="H2649" s="6" t="str">
        <f aca="false">IF(F2649=0,"NOT FOUND",INDEX('All Song Rankings'!$B:$B,F2649))</f>
        <v>Darude</v>
      </c>
      <c r="I2649" s="6" t="str">
        <f aca="false">IF(F2649=0,"NOT FOUND",INDEX('All Song Rankings'!$D:$D,F2649))</f>
        <v>Stephanie</v>
      </c>
      <c r="J2649" s="7" t="str">
        <f aca="false">IF(F2649=0,"NOT FOUND",IF(C2649=I2649,"SELF-VOTE",IF(COUNTIF($K:$K,K2649)&gt;1,"DUPLICATE","OK")))</f>
        <v>OK</v>
      </c>
      <c r="K2649" s="6" t="str">
        <f aca="false">A2649&amp;"|"&amp;B2649&amp;"|"&amp;C2649&amp;"|"&amp;D2649</f>
        <v>4|7|Nicole|spotify:track:6Sy9BUbgFse0n0LPA5lwy5</v>
      </c>
    </row>
    <row r="2650" customFormat="false" ht="15" hidden="false" customHeight="false" outlineLevel="0" collapsed="false">
      <c r="A2650" s="5" t="n">
        <v>4</v>
      </c>
      <c r="B2650" s="5" t="n">
        <v>7</v>
      </c>
      <c r="C2650" s="5" t="s">
        <v>97</v>
      </c>
      <c r="D2650" s="5" t="s">
        <v>1274</v>
      </c>
      <c r="E2650" s="5" t="n">
        <v>1</v>
      </c>
      <c r="F2650" s="6" t="n">
        <f aca="false">IFERROR(MATCH(A2650&amp;"|"&amp;B2650&amp;"|"&amp;D2650,'All Song Rankings'!$T:$T,0),0)</f>
        <v>397</v>
      </c>
      <c r="G2650" s="6" t="str">
        <f aca="false">IF(F2650=0,"NOT FOUND",INDEX('All Song Rankings'!$A:$A,F2650))</f>
        <v>The Crane Wife 3</v>
      </c>
      <c r="H2650" s="6" t="str">
        <f aca="false">IF(F2650=0,"NOT FOUND",INDEX('All Song Rankings'!$B:$B,F2650))</f>
        <v>The Decemberists</v>
      </c>
      <c r="I2650" s="6" t="str">
        <f aca="false">IF(F2650=0,"NOT FOUND",INDEX('All Song Rankings'!$D:$D,F2650))</f>
        <v>Lisa</v>
      </c>
      <c r="J2650" s="7" t="str">
        <f aca="false">IF(F2650=0,"NOT FOUND",IF(C2650=I2650,"SELF-VOTE",IF(COUNTIF($K:$K,K2650)&gt;1,"DUPLICATE","OK")))</f>
        <v>OK</v>
      </c>
      <c r="K2650" s="6" t="str">
        <f aca="false">A2650&amp;"|"&amp;B2650&amp;"|"&amp;C2650&amp;"|"&amp;D2650</f>
        <v>4|7|Stephanie|spotify:track:0IwXp8V7wgFCIthRh2z8Ot</v>
      </c>
    </row>
    <row r="2651" customFormat="false" ht="15" hidden="false" customHeight="false" outlineLevel="0" collapsed="false">
      <c r="A2651" s="5" t="n">
        <v>4</v>
      </c>
      <c r="B2651" s="5" t="n">
        <v>7</v>
      </c>
      <c r="C2651" s="5" t="s">
        <v>97</v>
      </c>
      <c r="D2651" s="5" t="s">
        <v>1283</v>
      </c>
      <c r="E2651" s="5" t="n">
        <v>2</v>
      </c>
      <c r="F2651" s="6" t="n">
        <f aca="false">IFERROR(MATCH(A2651&amp;"|"&amp;B2651&amp;"|"&amp;D2651,'All Song Rankings'!$T:$T,0),0)</f>
        <v>400</v>
      </c>
      <c r="G2651" s="6" t="str">
        <f aca="false">IF(F2651=0,"NOT FOUND",INDEX('All Song Rankings'!$A:$A,F2651))</f>
        <v>King Kunta</v>
      </c>
      <c r="H2651" s="6" t="str">
        <f aca="false">IF(F2651=0,"NOT FOUND",INDEX('All Song Rankings'!$B:$B,F2651))</f>
        <v>Kendrick Lamar</v>
      </c>
      <c r="I2651" s="6" t="str">
        <f aca="false">IF(F2651=0,"NOT FOUND",INDEX('All Song Rankings'!$D:$D,F2651))</f>
        <v>Matt</v>
      </c>
      <c r="J2651" s="7" t="str">
        <f aca="false">IF(F2651=0,"NOT FOUND",IF(C2651=I2651,"SELF-VOTE",IF(COUNTIF($K:$K,K2651)&gt;1,"DUPLICATE","OK")))</f>
        <v>OK</v>
      </c>
      <c r="K2651" s="6" t="str">
        <f aca="false">A2651&amp;"|"&amp;B2651&amp;"|"&amp;C2651&amp;"|"&amp;D2651</f>
        <v>4|7|Stephanie|spotify:track:0N3W5peJUQtI4eyR6GJT5O</v>
      </c>
    </row>
    <row r="2652" customFormat="false" ht="15" hidden="false" customHeight="false" outlineLevel="0" collapsed="false">
      <c r="A2652" s="5" t="n">
        <v>4</v>
      </c>
      <c r="B2652" s="5" t="n">
        <v>7</v>
      </c>
      <c r="C2652" s="5" t="s">
        <v>97</v>
      </c>
      <c r="D2652" s="5" t="s">
        <v>1285</v>
      </c>
      <c r="E2652" s="5" t="n">
        <v>1</v>
      </c>
      <c r="F2652" s="6" t="n">
        <f aca="false">IFERROR(MATCH(A2652&amp;"|"&amp;B2652&amp;"|"&amp;D2652,'All Song Rankings'!$T:$T,0),0)</f>
        <v>401</v>
      </c>
      <c r="G2652" s="6" t="str">
        <f aca="false">IF(F2652=0,"NOT FOUND",INDEX('All Song Rankings'!$A:$A,F2652))</f>
        <v>Searchlight</v>
      </c>
      <c r="H2652" s="6" t="str">
        <f aca="false">IF(F2652=0,"NOT FOUND",INDEX('All Song Rankings'!$B:$B,F2652))</f>
        <v>Shinedown</v>
      </c>
      <c r="I2652" s="6" t="str">
        <f aca="false">IF(F2652=0,"NOT FOUND",INDEX('All Song Rankings'!$D:$D,F2652))</f>
        <v>Christine</v>
      </c>
      <c r="J2652" s="7" t="str">
        <f aca="false">IF(F2652=0,"NOT FOUND",IF(C2652=I2652,"SELF-VOTE",IF(COUNTIF($K:$K,K2652)&gt;1,"DUPLICATE","OK")))</f>
        <v>OK</v>
      </c>
      <c r="K2652" s="6" t="str">
        <f aca="false">A2652&amp;"|"&amp;B2652&amp;"|"&amp;C2652&amp;"|"&amp;D2652</f>
        <v>4|7|Stephanie|spotify:track:20fm2tV8FUuonX96Db1bGo</v>
      </c>
    </row>
    <row r="2653" customFormat="false" ht="15" hidden="false" customHeight="false" outlineLevel="0" collapsed="false">
      <c r="A2653" s="5" t="n">
        <v>4</v>
      </c>
      <c r="B2653" s="5" t="n">
        <v>7</v>
      </c>
      <c r="C2653" s="5" t="s">
        <v>97</v>
      </c>
      <c r="D2653" s="5" t="s">
        <v>1280</v>
      </c>
      <c r="E2653" s="5" t="n">
        <v>3</v>
      </c>
      <c r="F2653" s="6" t="n">
        <f aca="false">IFERROR(MATCH(A2653&amp;"|"&amp;B2653&amp;"|"&amp;D2653,'All Song Rankings'!$T:$T,0),0)</f>
        <v>399</v>
      </c>
      <c r="G2653" s="6" t="str">
        <f aca="false">IF(F2653=0,"NOT FOUND",INDEX('All Song Rankings'!$A:$A,F2653))</f>
        <v>ALL GAS (feat. Mitchell Tenpenny)</v>
      </c>
      <c r="H2653" s="6" t="str">
        <f aca="false">IF(F2653=0,"NOT FOUND",INDEX('All Song Rankings'!$B:$B,F2653))</f>
        <v>Bilmuri</v>
      </c>
      <c r="I2653" s="6" t="str">
        <f aca="false">IF(F2653=0,"NOT FOUND",INDEX('All Song Rankings'!$D:$D,F2653))</f>
        <v>Colleen</v>
      </c>
      <c r="J2653" s="7" t="str">
        <f aca="false">IF(F2653=0,"NOT FOUND",IF(C2653=I2653,"SELF-VOTE",IF(COUNTIF($K:$K,K2653)&gt;1,"DUPLICATE","OK")))</f>
        <v>OK</v>
      </c>
      <c r="K2653" s="6" t="str">
        <f aca="false">A2653&amp;"|"&amp;B2653&amp;"|"&amp;C2653&amp;"|"&amp;D2653</f>
        <v>4|7|Stephanie|spotify:track:4L4PGyC3YQ5kSNKugK1gLc</v>
      </c>
    </row>
    <row r="2654" customFormat="false" ht="15" hidden="false" customHeight="false" outlineLevel="0" collapsed="false">
      <c r="A2654" s="5" t="n">
        <v>4</v>
      </c>
      <c r="B2654" s="5" t="n">
        <v>7</v>
      </c>
      <c r="C2654" s="5" t="s">
        <v>97</v>
      </c>
      <c r="D2654" s="5" t="s">
        <v>1300</v>
      </c>
      <c r="E2654" s="5" t="n">
        <v>2</v>
      </c>
      <c r="F2654" s="6" t="n">
        <f aca="false">IFERROR(MATCH(A2654&amp;"|"&amp;B2654&amp;"|"&amp;D2654,'All Song Rankings'!$T:$T,0),0)</f>
        <v>406</v>
      </c>
      <c r="G2654" s="6" t="str">
        <f aca="false">IF(F2654=0,"NOT FOUND",INDEX('All Song Rankings'!$A:$A,F2654))</f>
        <v>Rock 'n' Roll Lifestyle</v>
      </c>
      <c r="H2654" s="6" t="str">
        <f aca="false">IF(F2654=0,"NOT FOUND",INDEX('All Song Rankings'!$B:$B,F2654))</f>
        <v>CAKE</v>
      </c>
      <c r="I2654" s="6" t="str">
        <f aca="false">IF(F2654=0,"NOT FOUND",INDEX('All Song Rankings'!$D:$D,F2654))</f>
        <v>Scott</v>
      </c>
      <c r="J2654" s="7" t="str">
        <f aca="false">IF(F2654=0,"NOT FOUND",IF(C2654=I2654,"SELF-VOTE",IF(COUNTIF($K:$K,K2654)&gt;1,"DUPLICATE","OK")))</f>
        <v>OK</v>
      </c>
      <c r="K2654" s="6" t="str">
        <f aca="false">A2654&amp;"|"&amp;B2654&amp;"|"&amp;C2654&amp;"|"&amp;D2654</f>
        <v>4|7|Stephanie|spotify:track:4tRkMAL93DFmaMDUHOHuBH</v>
      </c>
    </row>
    <row r="2655" customFormat="false" ht="15" hidden="false" customHeight="false" outlineLevel="0" collapsed="false">
      <c r="A2655" s="5" t="n">
        <v>4</v>
      </c>
      <c r="B2655" s="5" t="n">
        <v>7</v>
      </c>
      <c r="C2655" s="5" t="s">
        <v>97</v>
      </c>
      <c r="D2655" s="5" t="s">
        <v>1277</v>
      </c>
      <c r="E2655" s="5" t="n">
        <v>1</v>
      </c>
      <c r="F2655" s="6" t="n">
        <f aca="false">IFERROR(MATCH(A2655&amp;"|"&amp;B2655&amp;"|"&amp;D2655,'All Song Rankings'!$T:$T,0),0)</f>
        <v>398</v>
      </c>
      <c r="G2655" s="6" t="str">
        <f aca="false">IF(F2655=0,"NOT FOUND",INDEX('All Song Rankings'!$A:$A,F2655))</f>
        <v>Choosin' Texas</v>
      </c>
      <c r="H2655" s="6" t="str">
        <f aca="false">IF(F2655=0,"NOT FOUND",INDEX('All Song Rankings'!$B:$B,F2655))</f>
        <v>Ella Langley</v>
      </c>
      <c r="I2655" s="6" t="str">
        <f aca="false">IF(F2655=0,"NOT FOUND",INDEX('All Song Rankings'!$D:$D,F2655))</f>
        <v>Kelsey</v>
      </c>
      <c r="J2655" s="7" t="str">
        <f aca="false">IF(F2655=0,"NOT FOUND",IF(C2655=I2655,"SELF-VOTE",IF(COUNTIF($K:$K,K2655)&gt;1,"DUPLICATE","OK")))</f>
        <v>OK</v>
      </c>
      <c r="K2655" s="6" t="str">
        <f aca="false">A2655&amp;"|"&amp;B2655&amp;"|"&amp;C2655&amp;"|"&amp;D2655</f>
        <v>4|7|Stephanie|spotify:track:65DbTqJKhbwqYbZ1Okr0rc</v>
      </c>
    </row>
    <row r="2656" customFormat="false" ht="15" hidden="false" customHeight="false" outlineLevel="0" collapsed="false">
      <c r="A2656" s="5" t="n">
        <v>4</v>
      </c>
      <c r="B2656" s="5" t="n">
        <v>8</v>
      </c>
      <c r="C2656" s="5" t="s">
        <v>719</v>
      </c>
      <c r="D2656" s="5" t="s">
        <v>1308</v>
      </c>
      <c r="E2656" s="5" t="n">
        <v>5</v>
      </c>
      <c r="F2656" s="6" t="n">
        <f aca="false">IFERROR(MATCH(A2656&amp;"|"&amp;B2656&amp;"|"&amp;D2656,'All Song Rankings'!$T:$T,0),0)</f>
        <v>409</v>
      </c>
      <c r="G2656" s="6" t="str">
        <f aca="false">IF(F2656=0,"NOT FOUND",INDEX('All Song Rankings'!$A:$A,F2656))</f>
        <v>Rapper's Delight</v>
      </c>
      <c r="H2656" s="6" t="str">
        <f aca="false">IF(F2656=0,"NOT FOUND",INDEX('All Song Rankings'!$B:$B,F2656))</f>
        <v>The Sugarhill Gang</v>
      </c>
      <c r="I2656" s="6" t="str">
        <f aca="false">IF(F2656=0,"NOT FOUND",INDEX('All Song Rankings'!$D:$D,F2656))</f>
        <v>Kristen</v>
      </c>
      <c r="J2656" s="7" t="str">
        <f aca="false">IF(F2656=0,"NOT FOUND",IF(C2656=I2656,"SELF-VOTE",IF(COUNTIF($K:$K,K2656)&gt;1,"DUPLICATE","OK")))</f>
        <v>OK</v>
      </c>
      <c r="K2656" s="6" t="str">
        <f aca="false">A2656&amp;"|"&amp;B2656&amp;"|"&amp;C2656&amp;"|"&amp;D2656</f>
        <v>4|8|Christine|spotify:track:7sZDbHZiuHEzS00vzCuhqS</v>
      </c>
    </row>
    <row r="2657" customFormat="false" ht="15" hidden="false" customHeight="false" outlineLevel="0" collapsed="false">
      <c r="A2657" s="5" t="n">
        <v>4</v>
      </c>
      <c r="B2657" s="5" t="n">
        <v>8</v>
      </c>
      <c r="C2657" s="5" t="s">
        <v>637</v>
      </c>
      <c r="D2657" s="5" t="s">
        <v>1303</v>
      </c>
      <c r="E2657" s="5" t="n">
        <v>5</v>
      </c>
      <c r="F2657" s="6" t="n">
        <f aca="false">IFERROR(MATCH(A2657&amp;"|"&amp;B2657&amp;"|"&amp;D2657,'All Song Rankings'!$T:$T,0),0)</f>
        <v>407</v>
      </c>
      <c r="G2657" s="6" t="str">
        <f aca="false">IF(F2657=0,"NOT FOUND",INDEX('All Song Rankings'!$A:$A,F2657))</f>
        <v>Bohemian Rhapsody - Remastered</v>
      </c>
      <c r="H2657" s="6" t="str">
        <f aca="false">IF(F2657=0,"NOT FOUND",INDEX('All Song Rankings'!$B:$B,F2657))</f>
        <v>Queen</v>
      </c>
      <c r="I2657" s="6" t="str">
        <f aca="false">IF(F2657=0,"NOT FOUND",INDEX('All Song Rankings'!$D:$D,F2657))</f>
        <v>Kelsey</v>
      </c>
      <c r="J2657" s="7" t="str">
        <f aca="false">IF(F2657=0,"NOT FOUND",IF(C2657=I2657,"SELF-VOTE",IF(COUNTIF($K:$K,K2657)&gt;1,"DUPLICATE","OK")))</f>
        <v>OK</v>
      </c>
      <c r="K2657" s="6" t="str">
        <f aca="false">A2657&amp;"|"&amp;B2657&amp;"|"&amp;C2657&amp;"|"&amp;D2657</f>
        <v>4|8|Colleen|spotify:track:6vLaKD0HUJ5UtIADG61Fa9</v>
      </c>
    </row>
    <row r="2658" customFormat="false" ht="15" hidden="false" customHeight="false" outlineLevel="0" collapsed="false">
      <c r="A2658" s="5" t="n">
        <v>4</v>
      </c>
      <c r="B2658" s="5" t="n">
        <v>8</v>
      </c>
      <c r="C2658" s="5" t="s">
        <v>382</v>
      </c>
      <c r="D2658" s="5" t="s">
        <v>1317</v>
      </c>
      <c r="E2658" s="5" t="n">
        <v>5</v>
      </c>
      <c r="F2658" s="6" t="n">
        <f aca="false">IFERROR(MATCH(A2658&amp;"|"&amp;B2658&amp;"|"&amp;D2658,'All Song Rankings'!$T:$T,0),0)</f>
        <v>412</v>
      </c>
      <c r="G2658" s="6" t="str">
        <f aca="false">IF(F2658=0,"NOT FOUND",INDEX('All Song Rankings'!$A:$A,F2658))</f>
        <v>…Baby One More Time</v>
      </c>
      <c r="H2658" s="6" t="str">
        <f aca="false">IF(F2658=0,"NOT FOUND",INDEX('All Song Rankings'!$B:$B,F2658))</f>
        <v>Britney Spears</v>
      </c>
      <c r="I2658" s="6" t="str">
        <f aca="false">IF(F2658=0,"NOT FOUND",INDEX('All Song Rankings'!$D:$D,F2658))</f>
        <v>Colleen</v>
      </c>
      <c r="J2658" s="7" t="str">
        <f aca="false">IF(F2658=0,"NOT FOUND",IF(C2658=I2658,"SELF-VOTE",IF(COUNTIF($K:$K,K2658)&gt;1,"DUPLICATE","OK")))</f>
        <v>OK</v>
      </c>
      <c r="K2658" s="6" t="str">
        <f aca="false">A2658&amp;"|"&amp;B2658&amp;"|"&amp;C2658&amp;"|"&amp;D2658</f>
        <v>4|8|Grace|spotify:track:3MjUtNVVq3C8Fn0MP3zhXa</v>
      </c>
    </row>
    <row r="2659" customFormat="false" ht="15" hidden="false" customHeight="false" outlineLevel="0" collapsed="false">
      <c r="A2659" s="5" t="n">
        <v>4</v>
      </c>
      <c r="B2659" s="5" t="n">
        <v>8</v>
      </c>
      <c r="C2659" s="5" t="s">
        <v>85</v>
      </c>
      <c r="D2659" s="5" t="s">
        <v>1311</v>
      </c>
      <c r="E2659" s="5" t="n">
        <v>5</v>
      </c>
      <c r="F2659" s="6" t="n">
        <f aca="false">IFERROR(MATCH(A2659&amp;"|"&amp;B2659&amp;"|"&amp;D2659,'All Song Rankings'!$T:$T,0),0)</f>
        <v>410</v>
      </c>
      <c r="G2659" s="6" t="str">
        <f aca="false">IF(F2659=0,"NOT FOUND",INDEX('All Song Rankings'!$A:$A,F2659))</f>
        <v>One Love</v>
      </c>
      <c r="H2659" s="6" t="str">
        <f aca="false">IF(F2659=0,"NOT FOUND",INDEX('All Song Rankings'!$B:$B,F2659))</f>
        <v>Bob Marley &amp; The Wailers</v>
      </c>
      <c r="I2659" s="6" t="str">
        <f aca="false">IF(F2659=0,"NOT FOUND",INDEX('All Song Rankings'!$D:$D,F2659))</f>
        <v>Lisa</v>
      </c>
      <c r="J2659" s="7" t="str">
        <f aca="false">IF(F2659=0,"NOT FOUND",IF(C2659=I2659,"SELF-VOTE",IF(COUNTIF($K:$K,K2659)&gt;1,"DUPLICATE","OK")))</f>
        <v>OK</v>
      </c>
      <c r="K2659" s="6" t="str">
        <f aca="false">A2659&amp;"|"&amp;B2659&amp;"|"&amp;C2659&amp;"|"&amp;D2659</f>
        <v>4|8|Kelsey|spotify:track:2V2by56rK60UxMHPtG02OJ</v>
      </c>
    </row>
    <row r="2660" customFormat="false" ht="15" hidden="false" customHeight="false" outlineLevel="0" collapsed="false">
      <c r="A2660" s="5" t="n">
        <v>4</v>
      </c>
      <c r="B2660" s="5" t="n">
        <v>8</v>
      </c>
      <c r="C2660" s="5" t="s">
        <v>106</v>
      </c>
      <c r="D2660" s="5" t="s">
        <v>1311</v>
      </c>
      <c r="E2660" s="5" t="n">
        <v>1</v>
      </c>
      <c r="F2660" s="6" t="n">
        <f aca="false">IFERROR(MATCH(A2660&amp;"|"&amp;B2660&amp;"|"&amp;D2660,'All Song Rankings'!$T:$T,0),0)</f>
        <v>410</v>
      </c>
      <c r="G2660" s="6" t="str">
        <f aca="false">IF(F2660=0,"NOT FOUND",INDEX('All Song Rankings'!$A:$A,F2660))</f>
        <v>One Love</v>
      </c>
      <c r="H2660" s="6" t="str">
        <f aca="false">IF(F2660=0,"NOT FOUND",INDEX('All Song Rankings'!$B:$B,F2660))</f>
        <v>Bob Marley &amp; The Wailers</v>
      </c>
      <c r="I2660" s="6" t="str">
        <f aca="false">IF(F2660=0,"NOT FOUND",INDEX('All Song Rankings'!$D:$D,F2660))</f>
        <v>Lisa</v>
      </c>
      <c r="J2660" s="7" t="str">
        <f aca="false">IF(F2660=0,"NOT FOUND",IF(C2660=I2660,"SELF-VOTE",IF(COUNTIF($K:$K,K2660)&gt;1,"DUPLICATE","OK")))</f>
        <v>OK</v>
      </c>
      <c r="K2660" s="6" t="str">
        <f aca="false">A2660&amp;"|"&amp;B2660&amp;"|"&amp;C2660&amp;"|"&amp;D2660</f>
        <v>4|8|Kristen|spotify:track:2V2by56rK60UxMHPtG02OJ</v>
      </c>
    </row>
    <row r="2661" customFormat="false" ht="15" hidden="false" customHeight="false" outlineLevel="0" collapsed="false">
      <c r="A2661" s="5" t="n">
        <v>4</v>
      </c>
      <c r="B2661" s="5" t="n">
        <v>8</v>
      </c>
      <c r="C2661" s="5" t="s">
        <v>106</v>
      </c>
      <c r="D2661" s="5" t="s">
        <v>1320</v>
      </c>
      <c r="E2661" s="5" t="n">
        <v>1</v>
      </c>
      <c r="F2661" s="6" t="n">
        <f aca="false">IFERROR(MATCH(A2661&amp;"|"&amp;B2661&amp;"|"&amp;D2661,'All Song Rankings'!$T:$T,0),0)</f>
        <v>413</v>
      </c>
      <c r="G2661" s="6" t="str">
        <f aca="false">IF(F2661=0,"NOT FOUND",INDEX('All Song Rankings'!$A:$A,F2661))</f>
        <v>Paranoid</v>
      </c>
      <c r="H2661" s="6" t="str">
        <f aca="false">IF(F2661=0,"NOT FOUND",INDEX('All Song Rankings'!$B:$B,F2661))</f>
        <v>Black Sabbath</v>
      </c>
      <c r="I2661" s="6" t="str">
        <f aca="false">IF(F2661=0,"NOT FOUND",INDEX('All Song Rankings'!$D:$D,F2661))</f>
        <v>Christine</v>
      </c>
      <c r="J2661" s="7" t="str">
        <f aca="false">IF(F2661=0,"NOT FOUND",IF(C2661=I2661,"SELF-VOTE",IF(COUNTIF($K:$K,K2661)&gt;1,"DUPLICATE","OK")))</f>
        <v>OK</v>
      </c>
      <c r="K2661" s="6" t="str">
        <f aca="false">A2661&amp;"|"&amp;B2661&amp;"|"&amp;C2661&amp;"|"&amp;D2661</f>
        <v>4|8|Kristen|spotify:track:4MSqgoFS7e8LpsxeeMMVMu</v>
      </c>
    </row>
    <row r="2662" customFormat="false" ht="15" hidden="false" customHeight="false" outlineLevel="0" collapsed="false">
      <c r="A2662" s="5" t="n">
        <v>4</v>
      </c>
      <c r="B2662" s="5" t="n">
        <v>8</v>
      </c>
      <c r="C2662" s="5" t="s">
        <v>106</v>
      </c>
      <c r="D2662" s="5" t="s">
        <v>1314</v>
      </c>
      <c r="E2662" s="5" t="n">
        <v>1</v>
      </c>
      <c r="F2662" s="6" t="n">
        <f aca="false">IFERROR(MATCH(A2662&amp;"|"&amp;B2662&amp;"|"&amp;D2662,'All Song Rankings'!$T:$T,0),0)</f>
        <v>411</v>
      </c>
      <c r="G2662" s="6" t="str">
        <f aca="false">IF(F2662=0,"NOT FOUND",INDEX('All Song Rankings'!$A:$A,F2662))</f>
        <v>Smells Like Teen Spirit</v>
      </c>
      <c r="H2662" s="6" t="str">
        <f aca="false">IF(F2662=0,"NOT FOUND",INDEX('All Song Rankings'!$B:$B,F2662))</f>
        <v>Nirvana</v>
      </c>
      <c r="I2662" s="6" t="str">
        <f aca="false">IF(F2662=0,"NOT FOUND",INDEX('All Song Rankings'!$D:$D,F2662))</f>
        <v>Makenzie</v>
      </c>
      <c r="J2662" s="7" t="str">
        <f aca="false">IF(F2662=0,"NOT FOUND",IF(C2662=I2662,"SELF-VOTE",IF(COUNTIF($K:$K,K2662)&gt;1,"DUPLICATE","OK")))</f>
        <v>OK</v>
      </c>
      <c r="K2662" s="6" t="str">
        <f aca="false">A2662&amp;"|"&amp;B2662&amp;"|"&amp;C2662&amp;"|"&amp;D2662</f>
        <v>4|8|Kristen|spotify:track:5ghIJDpPoe3CfHMGu71E6T</v>
      </c>
    </row>
    <row r="2663" customFormat="false" ht="15" hidden="false" customHeight="false" outlineLevel="0" collapsed="false">
      <c r="A2663" s="5" t="n">
        <v>4</v>
      </c>
      <c r="B2663" s="5" t="n">
        <v>8</v>
      </c>
      <c r="C2663" s="5" t="s">
        <v>106</v>
      </c>
      <c r="D2663" s="5" t="s">
        <v>612</v>
      </c>
      <c r="E2663" s="5" t="n">
        <v>1</v>
      </c>
      <c r="F2663" s="6" t="n">
        <f aca="false">IFERROR(MATCH(A2663&amp;"|"&amp;B2663&amp;"|"&amp;D2663,'All Song Rankings'!$T:$T,0),0)</f>
        <v>414</v>
      </c>
      <c r="G2663" s="6" t="str">
        <f aca="false">IF(F2663=0,"NOT FOUND",INDEX('All Song Rankings'!$A:$A,F2663))</f>
        <v>Walk This Way (feat. Aerosmith)</v>
      </c>
      <c r="H2663" s="6" t="str">
        <f aca="false">IF(F2663=0,"NOT FOUND",INDEX('All Song Rankings'!$B:$B,F2663))</f>
        <v>Run-D.M.C., Aerosmith</v>
      </c>
      <c r="I2663" s="6" t="str">
        <f aca="false">IF(F2663=0,"NOT FOUND",INDEX('All Song Rankings'!$D:$D,F2663))</f>
        <v>Stephanie</v>
      </c>
      <c r="J2663" s="7" t="str">
        <f aca="false">IF(F2663=0,"NOT FOUND",IF(C2663=I2663,"SELF-VOTE",IF(COUNTIF($K:$K,K2663)&gt;1,"DUPLICATE","OK")))</f>
        <v>OK</v>
      </c>
      <c r="K2663" s="6" t="str">
        <f aca="false">A2663&amp;"|"&amp;B2663&amp;"|"&amp;C2663&amp;"|"&amp;D2663</f>
        <v>4|8|Kristen|spotify:track:6qUEOWqOzu1rLPUPQ1ECpx</v>
      </c>
    </row>
    <row r="2664" customFormat="false" ht="15" hidden="false" customHeight="false" outlineLevel="0" collapsed="false">
      <c r="A2664" s="5" t="n">
        <v>4</v>
      </c>
      <c r="B2664" s="5" t="n">
        <v>8</v>
      </c>
      <c r="C2664" s="5" t="s">
        <v>106</v>
      </c>
      <c r="D2664" s="5" t="s">
        <v>1303</v>
      </c>
      <c r="E2664" s="5" t="n">
        <v>1</v>
      </c>
      <c r="F2664" s="6" t="n">
        <f aca="false">IFERROR(MATCH(A2664&amp;"|"&amp;B2664&amp;"|"&amp;D2664,'All Song Rankings'!$T:$T,0),0)</f>
        <v>407</v>
      </c>
      <c r="G2664" s="6" t="str">
        <f aca="false">IF(F2664=0,"NOT FOUND",INDEX('All Song Rankings'!$A:$A,F2664))</f>
        <v>Bohemian Rhapsody - Remastered</v>
      </c>
      <c r="H2664" s="6" t="str">
        <f aca="false">IF(F2664=0,"NOT FOUND",INDEX('All Song Rankings'!$B:$B,F2664))</f>
        <v>Queen</v>
      </c>
      <c r="I2664" s="6" t="str">
        <f aca="false">IF(F2664=0,"NOT FOUND",INDEX('All Song Rankings'!$D:$D,F2664))</f>
        <v>Kelsey</v>
      </c>
      <c r="J2664" s="7" t="str">
        <f aca="false">IF(F2664=0,"NOT FOUND",IF(C2664=I2664,"SELF-VOTE",IF(COUNTIF($K:$K,K2664)&gt;1,"DUPLICATE","OK")))</f>
        <v>OK</v>
      </c>
      <c r="K2664" s="6" t="str">
        <f aca="false">A2664&amp;"|"&amp;B2664&amp;"|"&amp;C2664&amp;"|"&amp;D2664</f>
        <v>4|8|Kristen|spotify:track:6vLaKD0HUJ5UtIADG61Fa9</v>
      </c>
    </row>
    <row r="2665" customFormat="false" ht="15" hidden="false" customHeight="false" outlineLevel="0" collapsed="false">
      <c r="A2665" s="5" t="n">
        <v>4</v>
      </c>
      <c r="B2665" s="5" t="n">
        <v>8</v>
      </c>
      <c r="C2665" s="5" t="s">
        <v>119</v>
      </c>
      <c r="D2665" s="5" t="s">
        <v>1314</v>
      </c>
      <c r="E2665" s="5" t="n">
        <v>5</v>
      </c>
      <c r="F2665" s="6" t="n">
        <f aca="false">IFERROR(MATCH(A2665&amp;"|"&amp;B2665&amp;"|"&amp;D2665,'All Song Rankings'!$T:$T,0),0)</f>
        <v>411</v>
      </c>
      <c r="G2665" s="6" t="str">
        <f aca="false">IF(F2665=0,"NOT FOUND",INDEX('All Song Rankings'!$A:$A,F2665))</f>
        <v>Smells Like Teen Spirit</v>
      </c>
      <c r="H2665" s="6" t="str">
        <f aca="false">IF(F2665=0,"NOT FOUND",INDEX('All Song Rankings'!$B:$B,F2665))</f>
        <v>Nirvana</v>
      </c>
      <c r="I2665" s="6" t="str">
        <f aca="false">IF(F2665=0,"NOT FOUND",INDEX('All Song Rankings'!$D:$D,F2665))</f>
        <v>Makenzie</v>
      </c>
      <c r="J2665" s="7" t="str">
        <f aca="false">IF(F2665=0,"NOT FOUND",IF(C2665=I2665,"SELF-VOTE",IF(COUNTIF($K:$K,K2665)&gt;1,"DUPLICATE","OK")))</f>
        <v>OK</v>
      </c>
      <c r="K2665" s="6" t="str">
        <f aca="false">A2665&amp;"|"&amp;B2665&amp;"|"&amp;C2665&amp;"|"&amp;D2665</f>
        <v>4|8|Leah|spotify:track:5ghIJDpPoe3CfHMGu71E6T</v>
      </c>
    </row>
    <row r="2666" customFormat="false" ht="15" hidden="false" customHeight="false" outlineLevel="0" collapsed="false">
      <c r="A2666" s="5" t="n">
        <v>4</v>
      </c>
      <c r="B2666" s="5" t="n">
        <v>8</v>
      </c>
      <c r="C2666" s="5" t="s">
        <v>705</v>
      </c>
      <c r="D2666" s="5" t="s">
        <v>1308</v>
      </c>
      <c r="E2666" s="5" t="n">
        <v>5</v>
      </c>
      <c r="F2666" s="6" t="n">
        <f aca="false">IFERROR(MATCH(A2666&amp;"|"&amp;B2666&amp;"|"&amp;D2666,'All Song Rankings'!$T:$T,0),0)</f>
        <v>409</v>
      </c>
      <c r="G2666" s="6" t="str">
        <f aca="false">IF(F2666=0,"NOT FOUND",INDEX('All Song Rankings'!$A:$A,F2666))</f>
        <v>Rapper's Delight</v>
      </c>
      <c r="H2666" s="6" t="str">
        <f aca="false">IF(F2666=0,"NOT FOUND",INDEX('All Song Rankings'!$B:$B,F2666))</f>
        <v>The Sugarhill Gang</v>
      </c>
      <c r="I2666" s="6" t="str">
        <f aca="false">IF(F2666=0,"NOT FOUND",INDEX('All Song Rankings'!$D:$D,F2666))</f>
        <v>Kristen</v>
      </c>
      <c r="J2666" s="7" t="str">
        <f aca="false">IF(F2666=0,"NOT FOUND",IF(C2666=I2666,"SELF-VOTE",IF(COUNTIF($K:$K,K2666)&gt;1,"DUPLICATE","OK")))</f>
        <v>OK</v>
      </c>
      <c r="K2666" s="6" t="str">
        <f aca="false">A2666&amp;"|"&amp;B2666&amp;"|"&amp;C2666&amp;"|"&amp;D2666</f>
        <v>4|8|Lisa|spotify:track:7sZDbHZiuHEzS00vzCuhqS</v>
      </c>
    </row>
    <row r="2667" customFormat="false" ht="15" hidden="false" customHeight="false" outlineLevel="0" collapsed="false">
      <c r="A2667" s="5" t="n">
        <v>4</v>
      </c>
      <c r="B2667" s="5" t="n">
        <v>8</v>
      </c>
      <c r="C2667" s="5" t="s">
        <v>128</v>
      </c>
      <c r="D2667" s="5" t="s">
        <v>1305</v>
      </c>
      <c r="E2667" s="5" t="n">
        <v>5</v>
      </c>
      <c r="F2667" s="6" t="n">
        <f aca="false">IFERROR(MATCH(A2667&amp;"|"&amp;B2667&amp;"|"&amp;D2667,'All Song Rankings'!$T:$T,0),0)</f>
        <v>408</v>
      </c>
      <c r="G2667" s="6" t="str">
        <f aca="false">IF(F2667=0,"NOT FOUND",INDEX('All Song Rankings'!$A:$A,F2667))</f>
        <v>Billie Jean</v>
      </c>
      <c r="H2667" s="6" t="str">
        <f aca="false">IF(F2667=0,"NOT FOUND",INDEX('All Song Rankings'!$B:$B,F2667))</f>
        <v>Michael Jackson</v>
      </c>
      <c r="I2667" s="6" t="str">
        <f aca="false">IF(F2667=0,"NOT FOUND",INDEX('All Song Rankings'!$D:$D,F2667))</f>
        <v>Leah</v>
      </c>
      <c r="J2667" s="7" t="str">
        <f aca="false">IF(F2667=0,"NOT FOUND",IF(C2667=I2667,"SELF-VOTE",IF(COUNTIF($K:$K,K2667)&gt;1,"DUPLICATE","OK")))</f>
        <v>OK</v>
      </c>
      <c r="K2667" s="6" t="str">
        <f aca="false">A2667&amp;"|"&amp;B2667&amp;"|"&amp;C2667&amp;"|"&amp;D2667</f>
        <v>4|8|Logan|spotify:track:7J1uxwnxfQLu4APicE5Rnj</v>
      </c>
    </row>
    <row r="2668" customFormat="false" ht="15" hidden="false" customHeight="false" outlineLevel="0" collapsed="false">
      <c r="A2668" s="5" t="n">
        <v>4</v>
      </c>
      <c r="B2668" s="5" t="n">
        <v>8</v>
      </c>
      <c r="C2668" s="5" t="s">
        <v>395</v>
      </c>
      <c r="D2668" s="5" t="s">
        <v>1303</v>
      </c>
      <c r="E2668" s="5" t="n">
        <v>5</v>
      </c>
      <c r="F2668" s="6" t="n">
        <f aca="false">IFERROR(MATCH(A2668&amp;"|"&amp;B2668&amp;"|"&amp;D2668,'All Song Rankings'!$T:$T,0),0)</f>
        <v>407</v>
      </c>
      <c r="G2668" s="6" t="str">
        <f aca="false">IF(F2668=0,"NOT FOUND",INDEX('All Song Rankings'!$A:$A,F2668))</f>
        <v>Bohemian Rhapsody - Remastered</v>
      </c>
      <c r="H2668" s="6" t="str">
        <f aca="false">IF(F2668=0,"NOT FOUND",INDEX('All Song Rankings'!$B:$B,F2668))</f>
        <v>Queen</v>
      </c>
      <c r="I2668" s="6" t="str">
        <f aca="false">IF(F2668=0,"NOT FOUND",INDEX('All Song Rankings'!$D:$D,F2668))</f>
        <v>Kelsey</v>
      </c>
      <c r="J2668" s="7" t="str">
        <f aca="false">IF(F2668=0,"NOT FOUND",IF(C2668=I2668,"SELF-VOTE",IF(COUNTIF($K:$K,K2668)&gt;1,"DUPLICATE","OK")))</f>
        <v>OK</v>
      </c>
      <c r="K2668" s="6" t="str">
        <f aca="false">A2668&amp;"|"&amp;B2668&amp;"|"&amp;C2668&amp;"|"&amp;D2668</f>
        <v>4|8|Makenzie|spotify:track:6vLaKD0HUJ5UtIADG61Fa9</v>
      </c>
    </row>
    <row r="2669" customFormat="false" ht="15" hidden="false" customHeight="false" outlineLevel="0" collapsed="false">
      <c r="A2669" s="5" t="n">
        <v>4</v>
      </c>
      <c r="B2669" s="5" t="n">
        <v>8</v>
      </c>
      <c r="C2669" s="5" t="s">
        <v>116</v>
      </c>
      <c r="D2669" s="5" t="s">
        <v>1305</v>
      </c>
      <c r="E2669" s="5" t="n">
        <v>5</v>
      </c>
      <c r="F2669" s="6" t="n">
        <f aca="false">IFERROR(MATCH(A2669&amp;"|"&amp;B2669&amp;"|"&amp;D2669,'All Song Rankings'!$T:$T,0),0)</f>
        <v>408</v>
      </c>
      <c r="G2669" s="6" t="str">
        <f aca="false">IF(F2669=0,"NOT FOUND",INDEX('All Song Rankings'!$A:$A,F2669))</f>
        <v>Billie Jean</v>
      </c>
      <c r="H2669" s="6" t="str">
        <f aca="false">IF(F2669=0,"NOT FOUND",INDEX('All Song Rankings'!$B:$B,F2669))</f>
        <v>Michael Jackson</v>
      </c>
      <c r="I2669" s="6" t="str">
        <f aca="false">IF(F2669=0,"NOT FOUND",INDEX('All Song Rankings'!$D:$D,F2669))</f>
        <v>Leah</v>
      </c>
      <c r="J2669" s="7" t="str">
        <f aca="false">IF(F2669=0,"NOT FOUND",IF(C2669=I2669,"SELF-VOTE",IF(COUNTIF($K:$K,K2669)&gt;1,"DUPLICATE","OK")))</f>
        <v>OK</v>
      </c>
      <c r="K2669" s="6" t="str">
        <f aca="false">A2669&amp;"|"&amp;B2669&amp;"|"&amp;C2669&amp;"|"&amp;D2669</f>
        <v>4|8|Matt|spotify:track:7J1uxwnxfQLu4APicE5Rnj</v>
      </c>
    </row>
    <row r="2670" customFormat="false" ht="15" hidden="false" customHeight="false" outlineLevel="0" collapsed="false">
      <c r="A2670" s="5" t="n">
        <v>4</v>
      </c>
      <c r="B2670" s="5" t="n">
        <v>8</v>
      </c>
      <c r="C2670" s="5" t="s">
        <v>101</v>
      </c>
      <c r="D2670" s="5" t="s">
        <v>1303</v>
      </c>
      <c r="E2670" s="5" t="n">
        <v>5</v>
      </c>
      <c r="F2670" s="6" t="n">
        <f aca="false">IFERROR(MATCH(A2670&amp;"|"&amp;B2670&amp;"|"&amp;D2670,'All Song Rankings'!$T:$T,0),0)</f>
        <v>407</v>
      </c>
      <c r="G2670" s="6" t="str">
        <f aca="false">IF(F2670=0,"NOT FOUND",INDEX('All Song Rankings'!$A:$A,F2670))</f>
        <v>Bohemian Rhapsody - Remastered</v>
      </c>
      <c r="H2670" s="6" t="str">
        <f aca="false">IF(F2670=0,"NOT FOUND",INDEX('All Song Rankings'!$B:$B,F2670))</f>
        <v>Queen</v>
      </c>
      <c r="I2670" s="6" t="str">
        <f aca="false">IF(F2670=0,"NOT FOUND",INDEX('All Song Rankings'!$D:$D,F2670))</f>
        <v>Kelsey</v>
      </c>
      <c r="J2670" s="7" t="str">
        <f aca="false">IF(F2670=0,"NOT FOUND",IF(C2670=I2670,"SELF-VOTE",IF(COUNTIF($K:$K,K2670)&gt;1,"DUPLICATE","OK")))</f>
        <v>OK</v>
      </c>
      <c r="K2670" s="6" t="str">
        <f aca="false">A2670&amp;"|"&amp;B2670&amp;"|"&amp;C2670&amp;"|"&amp;D2670</f>
        <v>4|8|Merita|spotify:track:6vLaKD0HUJ5UtIADG61Fa9</v>
      </c>
    </row>
    <row r="2671" customFormat="false" ht="15" hidden="false" customHeight="false" outlineLevel="0" collapsed="false">
      <c r="A2671" s="5" t="n">
        <v>4</v>
      </c>
      <c r="B2671" s="5" t="n">
        <v>8</v>
      </c>
      <c r="C2671" s="5" t="s">
        <v>92</v>
      </c>
      <c r="D2671" s="5" t="s">
        <v>1305</v>
      </c>
      <c r="E2671" s="5" t="n">
        <v>5</v>
      </c>
      <c r="F2671" s="6" t="n">
        <f aca="false">IFERROR(MATCH(A2671&amp;"|"&amp;B2671&amp;"|"&amp;D2671,'All Song Rankings'!$T:$T,0),0)</f>
        <v>408</v>
      </c>
      <c r="G2671" s="6" t="str">
        <f aca="false">IF(F2671=0,"NOT FOUND",INDEX('All Song Rankings'!$A:$A,F2671))</f>
        <v>Billie Jean</v>
      </c>
      <c r="H2671" s="6" t="str">
        <f aca="false">IF(F2671=0,"NOT FOUND",INDEX('All Song Rankings'!$B:$B,F2671))</f>
        <v>Michael Jackson</v>
      </c>
      <c r="I2671" s="6" t="str">
        <f aca="false">IF(F2671=0,"NOT FOUND",INDEX('All Song Rankings'!$D:$D,F2671))</f>
        <v>Leah</v>
      </c>
      <c r="J2671" s="7" t="str">
        <f aca="false">IF(F2671=0,"NOT FOUND",IF(C2671=I2671,"SELF-VOTE",IF(COUNTIF($K:$K,K2671)&gt;1,"DUPLICATE","OK")))</f>
        <v>OK</v>
      </c>
      <c r="K2671" s="6" t="str">
        <f aca="false">A2671&amp;"|"&amp;B2671&amp;"|"&amp;C2671&amp;"|"&amp;D2671</f>
        <v>4|8|Nicole|spotify:track:7J1uxwnxfQLu4APicE5Rnj</v>
      </c>
    </row>
    <row r="2672" customFormat="false" ht="15" hidden="false" customHeight="false" outlineLevel="0" collapsed="false">
      <c r="A2672" s="5" t="n">
        <v>4</v>
      </c>
      <c r="B2672" s="5" t="n">
        <v>8</v>
      </c>
      <c r="C2672" s="5" t="s">
        <v>97</v>
      </c>
      <c r="D2672" s="5" t="s">
        <v>1308</v>
      </c>
      <c r="E2672" s="5" t="n">
        <v>5</v>
      </c>
      <c r="F2672" s="6" t="n">
        <f aca="false">IFERROR(MATCH(A2672&amp;"|"&amp;B2672&amp;"|"&amp;D2672,'All Song Rankings'!$T:$T,0),0)</f>
        <v>409</v>
      </c>
      <c r="G2672" s="6" t="str">
        <f aca="false">IF(F2672=0,"NOT FOUND",INDEX('All Song Rankings'!$A:$A,F2672))</f>
        <v>Rapper's Delight</v>
      </c>
      <c r="H2672" s="6" t="str">
        <f aca="false">IF(F2672=0,"NOT FOUND",INDEX('All Song Rankings'!$B:$B,F2672))</f>
        <v>The Sugarhill Gang</v>
      </c>
      <c r="I2672" s="6" t="str">
        <f aca="false">IF(F2672=0,"NOT FOUND",INDEX('All Song Rankings'!$D:$D,F2672))</f>
        <v>Kristen</v>
      </c>
      <c r="J2672" s="7" t="str">
        <f aca="false">IF(F2672=0,"NOT FOUND",IF(C2672=I2672,"SELF-VOTE",IF(COUNTIF($K:$K,K2672)&gt;1,"DUPLICATE","OK")))</f>
        <v>OK</v>
      </c>
      <c r="K2672" s="6" t="str">
        <f aca="false">A2672&amp;"|"&amp;B2672&amp;"|"&amp;C2672&amp;"|"&amp;D2672</f>
        <v>4|8|Stephanie|spotify:track:7sZDbHZiuHEzS00vzCuhqS</v>
      </c>
    </row>
    <row r="2673" customFormat="false" ht="15" hidden="false" customHeight="false" outlineLevel="0" collapsed="false">
      <c r="A2673" s="5" t="n">
        <v>5</v>
      </c>
      <c r="B2673" s="5" t="n">
        <v>1</v>
      </c>
      <c r="C2673" s="5" t="s">
        <v>375</v>
      </c>
      <c r="D2673" s="5" t="s">
        <v>1357</v>
      </c>
      <c r="E2673" s="5" t="n">
        <v>2</v>
      </c>
      <c r="F2673" s="6" t="n">
        <f aca="false">IFERROR(MATCH(A2673&amp;"|"&amp;B2673&amp;"|"&amp;D2673,'All Song Rankings'!$T:$T,0),0)</f>
        <v>427</v>
      </c>
      <c r="G2673" s="6" t="str">
        <f aca="false">IF(F2673=0,"NOT FOUND",INDEX('All Song Rankings'!$A:$A,F2673))</f>
        <v>Last Kiss</v>
      </c>
      <c r="H2673" s="6" t="str">
        <f aca="false">IF(F2673=0,"NOT FOUND",INDEX('All Song Rankings'!$B:$B,F2673))</f>
        <v>Pearl Jam</v>
      </c>
      <c r="I2673" s="6" t="str">
        <f aca="false">IF(F2673=0,"NOT FOUND",INDEX('All Song Rankings'!$D:$D,F2673))</f>
        <v>Stephanie</v>
      </c>
      <c r="J2673" s="7" t="str">
        <f aca="false">IF(F2673=0,"NOT FOUND",IF(C2673=I2673,"SELF-VOTE",IF(COUNTIF($K:$K,K2673)&gt;1,"DUPLICATE","OK")))</f>
        <v>OK</v>
      </c>
      <c r="K2673" s="6" t="str">
        <f aca="false">A2673&amp;"|"&amp;B2673&amp;"|"&amp;C2673&amp;"|"&amp;D2673</f>
        <v>5|1|Aubrey|spotify:track:0QnONzv3TvHAWk294h6DaQ</v>
      </c>
    </row>
    <row r="2674" customFormat="false" ht="15" hidden="false" customHeight="false" outlineLevel="0" collapsed="false">
      <c r="A2674" s="5" t="n">
        <v>5</v>
      </c>
      <c r="B2674" s="5" t="n">
        <v>1</v>
      </c>
      <c r="C2674" s="5" t="s">
        <v>375</v>
      </c>
      <c r="D2674" s="5" t="s">
        <v>1339</v>
      </c>
      <c r="E2674" s="5" t="n">
        <v>2</v>
      </c>
      <c r="F2674" s="6" t="n">
        <f aca="false">IFERROR(MATCH(A2674&amp;"|"&amp;B2674&amp;"|"&amp;D2674,'All Song Rankings'!$T:$T,0),0)</f>
        <v>421</v>
      </c>
      <c r="G2674" s="6" t="str">
        <f aca="false">IF(F2674=0,"NOT FOUND",INDEX('All Song Rankings'!$A:$A,F2674))</f>
        <v>Something In The Heavens</v>
      </c>
      <c r="H2674" s="6" t="str">
        <f aca="false">IF(F2674=0,"NOT FOUND",INDEX('All Song Rankings'!$B:$B,F2674))</f>
        <v>Lewis Capaldi</v>
      </c>
      <c r="I2674" s="6" t="str">
        <f aca="false">IF(F2674=0,"NOT FOUND",INDEX('All Song Rankings'!$D:$D,F2674))</f>
        <v>Kelsey</v>
      </c>
      <c r="J2674" s="7" t="str">
        <f aca="false">IF(F2674=0,"NOT FOUND",IF(C2674=I2674,"SELF-VOTE",IF(COUNTIF($K:$K,K2674)&gt;1,"DUPLICATE","OK")))</f>
        <v>OK</v>
      </c>
      <c r="K2674" s="6" t="str">
        <f aca="false">A2674&amp;"|"&amp;B2674&amp;"|"&amp;C2674&amp;"|"&amp;D2674</f>
        <v>5|1|Aubrey|spotify:track:4MHORmGs8oN7AASfGmApcM</v>
      </c>
    </row>
    <row r="2675" customFormat="false" ht="15" hidden="false" customHeight="false" outlineLevel="0" collapsed="false">
      <c r="A2675" s="5" t="n">
        <v>5</v>
      </c>
      <c r="B2675" s="5" t="n">
        <v>1</v>
      </c>
      <c r="C2675" s="5" t="s">
        <v>375</v>
      </c>
      <c r="D2675" s="5" t="s">
        <v>1336</v>
      </c>
      <c r="E2675" s="5" t="n">
        <v>2</v>
      </c>
      <c r="F2675" s="6" t="n">
        <f aca="false">IFERROR(MATCH(A2675&amp;"|"&amp;B2675&amp;"|"&amp;D2675,'All Song Rankings'!$T:$T,0),0)</f>
        <v>420</v>
      </c>
      <c r="G2675" s="6" t="str">
        <f aca="false">IF(F2675=0,"NOT FOUND",INDEX('All Song Rankings'!$A:$A,F2675))</f>
        <v>Supermarket Flowers</v>
      </c>
      <c r="H2675" s="6" t="str">
        <f aca="false">IF(F2675=0,"NOT FOUND",INDEX('All Song Rankings'!$B:$B,F2675))</f>
        <v>Ed Sheeran</v>
      </c>
      <c r="I2675" s="6" t="str">
        <f aca="false">IF(F2675=0,"NOT FOUND",INDEX('All Song Rankings'!$D:$D,F2675))</f>
        <v>Merita</v>
      </c>
      <c r="J2675" s="7" t="str">
        <f aca="false">IF(F2675=0,"NOT FOUND",IF(C2675=I2675,"SELF-VOTE",IF(COUNTIF($K:$K,K2675)&gt;1,"DUPLICATE","OK")))</f>
        <v>OK</v>
      </c>
      <c r="K2675" s="6" t="str">
        <f aca="false">A2675&amp;"|"&amp;B2675&amp;"|"&amp;C2675&amp;"|"&amp;D2675</f>
        <v>5|1|Aubrey|spotify:track:4VuS959DSpr82t3qBqCrWG</v>
      </c>
    </row>
    <row r="2676" customFormat="false" ht="15" hidden="false" customHeight="false" outlineLevel="0" collapsed="false">
      <c r="A2676" s="5" t="n">
        <v>5</v>
      </c>
      <c r="B2676" s="5" t="n">
        <v>1</v>
      </c>
      <c r="C2676" s="5" t="s">
        <v>375</v>
      </c>
      <c r="D2676" s="5" t="s">
        <v>1372</v>
      </c>
      <c r="E2676" s="5" t="n">
        <v>1</v>
      </c>
      <c r="F2676" s="6" t="n">
        <f aca="false">IFERROR(MATCH(A2676&amp;"|"&amp;B2676&amp;"|"&amp;D2676,'All Song Rankings'!$T:$T,0),0)</f>
        <v>432</v>
      </c>
      <c r="G2676" s="6" t="str">
        <f aca="false">IF(F2676=0,"NOT FOUND",INDEX('All Song Rankings'!$A:$A,F2676))</f>
        <v>Delicate</v>
      </c>
      <c r="H2676" s="6" t="str">
        <f aca="false">IF(F2676=0,"NOT FOUND",INDEX('All Song Rankings'!$B:$B,F2676))</f>
        <v>Damien Rice</v>
      </c>
      <c r="I2676" s="6" t="str">
        <f aca="false">IF(F2676=0,"NOT FOUND",INDEX('All Song Rankings'!$D:$D,F2676))</f>
        <v>Kristen</v>
      </c>
      <c r="J2676" s="7" t="str">
        <f aca="false">IF(F2676=0,"NOT FOUND",IF(C2676=I2676,"SELF-VOTE",IF(COUNTIF($K:$K,K2676)&gt;1,"DUPLICATE","OK")))</f>
        <v>OK</v>
      </c>
      <c r="K2676" s="6" t="str">
        <f aca="false">A2676&amp;"|"&amp;B2676&amp;"|"&amp;C2676&amp;"|"&amp;D2676</f>
        <v>5|1|Aubrey|spotify:track:5mb6SzBnxv1ywFSH9V3uxd</v>
      </c>
    </row>
    <row r="2677" customFormat="false" ht="15" hidden="false" customHeight="false" outlineLevel="0" collapsed="false">
      <c r="A2677" s="5" t="n">
        <v>5</v>
      </c>
      <c r="B2677" s="5" t="n">
        <v>1</v>
      </c>
      <c r="C2677" s="5" t="s">
        <v>375</v>
      </c>
      <c r="D2677" s="5" t="s">
        <v>1360</v>
      </c>
      <c r="E2677" s="5" t="n">
        <v>1</v>
      </c>
      <c r="F2677" s="6" t="n">
        <f aca="false">IFERROR(MATCH(A2677&amp;"|"&amp;B2677&amp;"|"&amp;D2677,'All Song Rankings'!$T:$T,0),0)</f>
        <v>428</v>
      </c>
      <c r="G2677" s="6" t="str">
        <f aca="false">IF(F2677=0,"NOT FOUND",INDEX('All Song Rankings'!$A:$A,F2677))</f>
        <v>See You Again (feat. Charlie Puth)</v>
      </c>
      <c r="H2677" s="6" t="str">
        <f aca="false">IF(F2677=0,"NOT FOUND",INDEX('All Song Rankings'!$B:$B,F2677))</f>
        <v>Wiz Khalifa, Charlie Puth</v>
      </c>
      <c r="I2677" s="6" t="str">
        <f aca="false">IF(F2677=0,"NOT FOUND",INDEX('All Song Rankings'!$D:$D,F2677))</f>
        <v>Nicole</v>
      </c>
      <c r="J2677" s="7" t="str">
        <f aca="false">IF(F2677=0,"NOT FOUND",IF(C2677=I2677,"SELF-VOTE",IF(COUNTIF($K:$K,K2677)&gt;1,"DUPLICATE","OK")))</f>
        <v>OK</v>
      </c>
      <c r="K2677" s="6" t="str">
        <f aca="false">A2677&amp;"|"&amp;B2677&amp;"|"&amp;C2677&amp;"|"&amp;D2677</f>
        <v>5|1|Aubrey|spotify:track:6IcrwGdIvRsrImOnoYfG9Z</v>
      </c>
    </row>
    <row r="2678" customFormat="false" ht="15" hidden="false" customHeight="false" outlineLevel="0" collapsed="false">
      <c r="A2678" s="5" t="n">
        <v>5</v>
      </c>
      <c r="B2678" s="5" t="n">
        <v>1</v>
      </c>
      <c r="C2678" s="5" t="s">
        <v>375</v>
      </c>
      <c r="D2678" s="5" t="s">
        <v>1342</v>
      </c>
      <c r="E2678" s="5" t="n">
        <v>1</v>
      </c>
      <c r="F2678" s="6" t="n">
        <f aca="false">IFERROR(MATCH(A2678&amp;"|"&amp;B2678&amp;"|"&amp;D2678,'All Song Rankings'!$T:$T,0),0)</f>
        <v>422</v>
      </c>
      <c r="G2678" s="6" t="str">
        <f aca="false">IF(F2678=0,"NOT FOUND",INDEX('All Song Rankings'!$A:$A,F2678))</f>
        <v>something to remember</v>
      </c>
      <c r="H2678" s="6" t="str">
        <f aca="false">IF(F2678=0,"NOT FOUND",INDEX('All Song Rankings'!$B:$B,F2678))</f>
        <v>Matt Hansen</v>
      </c>
      <c r="I2678" s="6" t="str">
        <f aca="false">IF(F2678=0,"NOT FOUND",INDEX('All Song Rankings'!$D:$D,F2678))</f>
        <v>Leah</v>
      </c>
      <c r="J2678" s="7" t="str">
        <f aca="false">IF(F2678=0,"NOT FOUND",IF(C2678=I2678,"SELF-VOTE",IF(COUNTIF($K:$K,K2678)&gt;1,"DUPLICATE","OK")))</f>
        <v>OK</v>
      </c>
      <c r="K2678" s="6" t="str">
        <f aca="false">A2678&amp;"|"&amp;B2678&amp;"|"&amp;C2678&amp;"|"&amp;D2678</f>
        <v>5|1|Aubrey|spotify:track:6eI8B3QW20P68MCYMb4Etd</v>
      </c>
    </row>
    <row r="2679" customFormat="false" ht="15" hidden="false" customHeight="false" outlineLevel="0" collapsed="false">
      <c r="A2679" s="5" t="n">
        <v>5</v>
      </c>
      <c r="B2679" s="5" t="n">
        <v>1</v>
      </c>
      <c r="C2679" s="5" t="s">
        <v>375</v>
      </c>
      <c r="D2679" s="5" t="s">
        <v>1363</v>
      </c>
      <c r="E2679" s="5" t="n">
        <v>1</v>
      </c>
      <c r="F2679" s="6" t="n">
        <f aca="false">IFERROR(MATCH(A2679&amp;"|"&amp;B2679&amp;"|"&amp;D2679,'All Song Rankings'!$T:$T,0),0)</f>
        <v>429</v>
      </c>
      <c r="G2679" s="6" t="str">
        <f aca="false">IF(F2679=0,"NOT FOUND",INDEX('All Song Rankings'!$A:$A,F2679))</f>
        <v>Strange</v>
      </c>
      <c r="H2679" s="6" t="str">
        <f aca="false">IF(F2679=0,"NOT FOUND",INDEX('All Song Rankings'!$B:$B,F2679))</f>
        <v>Celeste</v>
      </c>
      <c r="I2679" s="6" t="str">
        <f aca="false">IF(F2679=0,"NOT FOUND",INDEX('All Song Rankings'!$D:$D,F2679))</f>
        <v>Matt</v>
      </c>
      <c r="J2679" s="7" t="str">
        <f aca="false">IF(F2679=0,"NOT FOUND",IF(C2679=I2679,"SELF-VOTE",IF(COUNTIF($K:$K,K2679)&gt;1,"DUPLICATE","OK")))</f>
        <v>OK</v>
      </c>
      <c r="K2679" s="6" t="str">
        <f aca="false">A2679&amp;"|"&amp;B2679&amp;"|"&amp;C2679&amp;"|"&amp;D2679</f>
        <v>5|1|Aubrey|spotify:track:7sq2z9oX2S0CvgTqCZ0ko4</v>
      </c>
    </row>
    <row r="2680" customFormat="false" ht="15" hidden="false" customHeight="false" outlineLevel="0" collapsed="false">
      <c r="A2680" s="5" t="n">
        <v>5</v>
      </c>
      <c r="B2680" s="5" t="n">
        <v>1</v>
      </c>
      <c r="C2680" s="5" t="s">
        <v>719</v>
      </c>
      <c r="D2680" s="5" t="s">
        <v>1357</v>
      </c>
      <c r="E2680" s="5" t="n">
        <v>1</v>
      </c>
      <c r="F2680" s="6" t="n">
        <f aca="false">IFERROR(MATCH(A2680&amp;"|"&amp;B2680&amp;"|"&amp;D2680,'All Song Rankings'!$T:$T,0),0)</f>
        <v>427</v>
      </c>
      <c r="G2680" s="6" t="str">
        <f aca="false">IF(F2680=0,"NOT FOUND",INDEX('All Song Rankings'!$A:$A,F2680))</f>
        <v>Last Kiss</v>
      </c>
      <c r="H2680" s="6" t="str">
        <f aca="false">IF(F2680=0,"NOT FOUND",INDEX('All Song Rankings'!$B:$B,F2680))</f>
        <v>Pearl Jam</v>
      </c>
      <c r="I2680" s="6" t="str">
        <f aca="false">IF(F2680=0,"NOT FOUND",INDEX('All Song Rankings'!$D:$D,F2680))</f>
        <v>Stephanie</v>
      </c>
      <c r="J2680" s="7" t="str">
        <f aca="false">IF(F2680=0,"NOT FOUND",IF(C2680=I2680,"SELF-VOTE",IF(COUNTIF($K:$K,K2680)&gt;1,"DUPLICATE","OK")))</f>
        <v>OK</v>
      </c>
      <c r="K2680" s="6" t="str">
        <f aca="false">A2680&amp;"|"&amp;B2680&amp;"|"&amp;C2680&amp;"|"&amp;D2680</f>
        <v>5|1|Christine|spotify:track:0QnONzv3TvHAWk294h6DaQ</v>
      </c>
    </row>
    <row r="2681" customFormat="false" ht="15" hidden="false" customHeight="false" outlineLevel="0" collapsed="false">
      <c r="A2681" s="5" t="n">
        <v>5</v>
      </c>
      <c r="B2681" s="5" t="n">
        <v>1</v>
      </c>
      <c r="C2681" s="5" t="s">
        <v>719</v>
      </c>
      <c r="D2681" s="5" t="s">
        <v>1369</v>
      </c>
      <c r="E2681" s="5" t="n">
        <v>1</v>
      </c>
      <c r="F2681" s="6" t="n">
        <f aca="false">IFERROR(MATCH(A2681&amp;"|"&amp;B2681&amp;"|"&amp;D2681,'All Song Rankings'!$T:$T,0),0)</f>
        <v>431</v>
      </c>
      <c r="G2681" s="6" t="str">
        <f aca="false">IF(F2681=0,"NOT FOUND",INDEX('All Song Rankings'!$A:$A,F2681))</f>
        <v>Samson</v>
      </c>
      <c r="H2681" s="6" t="str">
        <f aca="false">IF(F2681=0,"NOT FOUND",INDEX('All Song Rankings'!$B:$B,F2681))</f>
        <v>Regina Spektor</v>
      </c>
      <c r="I2681" s="6" t="str">
        <f aca="false">IF(F2681=0,"NOT FOUND",INDEX('All Song Rankings'!$D:$D,F2681))</f>
        <v>Lisa</v>
      </c>
      <c r="J2681" s="7" t="str">
        <f aca="false">IF(F2681=0,"NOT FOUND",IF(C2681=I2681,"SELF-VOTE",IF(COUNTIF($K:$K,K2681)&gt;1,"DUPLICATE","OK")))</f>
        <v>OK</v>
      </c>
      <c r="K2681" s="6" t="str">
        <f aca="false">A2681&amp;"|"&amp;B2681&amp;"|"&amp;C2681&amp;"|"&amp;D2681</f>
        <v>5|1|Christine|spotify:track:2JAUBPBVkimRLc5BGhAkfJ</v>
      </c>
    </row>
    <row r="2682" customFormat="false" ht="15" hidden="false" customHeight="false" outlineLevel="0" collapsed="false">
      <c r="A2682" s="5" t="n">
        <v>5</v>
      </c>
      <c r="B2682" s="5" t="n">
        <v>1</v>
      </c>
      <c r="C2682" s="5" t="s">
        <v>719</v>
      </c>
      <c r="D2682" s="5" t="s">
        <v>1348</v>
      </c>
      <c r="E2682" s="5" t="n">
        <v>2</v>
      </c>
      <c r="F2682" s="6" t="n">
        <f aca="false">IFERROR(MATCH(A2682&amp;"|"&amp;B2682&amp;"|"&amp;D2682,'All Song Rankings'!$T:$T,0),0)</f>
        <v>424</v>
      </c>
      <c r="G2682" s="6" t="str">
        <f aca="false">IF(F2682=0,"NOT FOUND",INDEX('All Song Rankings'!$A:$A,F2682))</f>
        <v>Concrete Angel</v>
      </c>
      <c r="H2682" s="6" t="str">
        <f aca="false">IF(F2682=0,"NOT FOUND",INDEX('All Song Rankings'!$B:$B,F2682))</f>
        <v>Martina McBride</v>
      </c>
      <c r="I2682" s="6" t="str">
        <f aca="false">IF(F2682=0,"NOT FOUND",INDEX('All Song Rankings'!$D:$D,F2682))</f>
        <v>Colleen</v>
      </c>
      <c r="J2682" s="7" t="str">
        <f aca="false">IF(F2682=0,"NOT FOUND",IF(C2682=I2682,"SELF-VOTE",IF(COUNTIF($K:$K,K2682)&gt;1,"DUPLICATE","OK")))</f>
        <v>OK</v>
      </c>
      <c r="K2682" s="6" t="str">
        <f aca="false">A2682&amp;"|"&amp;B2682&amp;"|"&amp;C2682&amp;"|"&amp;D2682</f>
        <v>5|1|Christine|spotify:track:2LLcI3oU4CedCQDV5tJ1SK</v>
      </c>
    </row>
    <row r="2683" customFormat="false" ht="15" hidden="false" customHeight="false" outlineLevel="0" collapsed="false">
      <c r="A2683" s="5" t="n">
        <v>5</v>
      </c>
      <c r="B2683" s="5" t="n">
        <v>1</v>
      </c>
      <c r="C2683" s="5" t="s">
        <v>719</v>
      </c>
      <c r="D2683" s="5" t="s">
        <v>1375</v>
      </c>
      <c r="E2683" s="5" t="n">
        <v>2</v>
      </c>
      <c r="F2683" s="6" t="n">
        <f aca="false">IFERROR(MATCH(A2683&amp;"|"&amp;B2683&amp;"|"&amp;D2683,'All Song Rankings'!$T:$T,0),0)</f>
        <v>433</v>
      </c>
      <c r="G2683" s="6" t="str">
        <f aca="false">IF(F2683=0,"NOT FOUND",INDEX('All Song Rankings'!$A:$A,F2683))</f>
        <v>Untitled (How Could This Happen to Me?)</v>
      </c>
      <c r="H2683" s="6" t="str">
        <f aca="false">IF(F2683=0,"NOT FOUND",INDEX('All Song Rankings'!$B:$B,F2683))</f>
        <v>Simple Plan</v>
      </c>
      <c r="I2683" s="6" t="str">
        <f aca="false">IF(F2683=0,"NOT FOUND",INDEX('All Song Rankings'!$D:$D,F2683))</f>
        <v>Natasha</v>
      </c>
      <c r="J2683" s="7" t="str">
        <f aca="false">IF(F2683=0,"NOT FOUND",IF(C2683=I2683,"SELF-VOTE",IF(COUNTIF($K:$K,K2683)&gt;1,"DUPLICATE","OK")))</f>
        <v>OK</v>
      </c>
      <c r="K2683" s="6" t="str">
        <f aca="false">A2683&amp;"|"&amp;B2683&amp;"|"&amp;C2683&amp;"|"&amp;D2683</f>
        <v>5|1|Christine|spotify:track:3eRLKD1Lgc2OrYGxRxX62s</v>
      </c>
    </row>
    <row r="2684" customFormat="false" ht="15" hidden="false" customHeight="false" outlineLevel="0" collapsed="false">
      <c r="A2684" s="5" t="n">
        <v>5</v>
      </c>
      <c r="B2684" s="5" t="n">
        <v>1</v>
      </c>
      <c r="C2684" s="5" t="s">
        <v>719</v>
      </c>
      <c r="D2684" s="5" t="s">
        <v>1345</v>
      </c>
      <c r="E2684" s="5" t="n">
        <v>1</v>
      </c>
      <c r="F2684" s="6" t="n">
        <f aca="false">IFERROR(MATCH(A2684&amp;"|"&amp;B2684&amp;"|"&amp;D2684,'All Song Rankings'!$T:$T,0),0)</f>
        <v>423</v>
      </c>
      <c r="G2684" s="6" t="str">
        <f aca="false">IF(F2684=0,"NOT FOUND",INDEX('All Song Rankings'!$A:$A,F2684))</f>
        <v>Five More Minutes</v>
      </c>
      <c r="H2684" s="6" t="str">
        <f aca="false">IF(F2684=0,"NOT FOUND",INDEX('All Song Rankings'!$B:$B,F2684))</f>
        <v>Scotty McCreery</v>
      </c>
      <c r="I2684" s="6" t="str">
        <f aca="false">IF(F2684=0,"NOT FOUND",INDEX('All Song Rankings'!$D:$D,F2684))</f>
        <v>Aubrey</v>
      </c>
      <c r="J2684" s="7" t="str">
        <f aca="false">IF(F2684=0,"NOT FOUND",IF(C2684=I2684,"SELF-VOTE",IF(COUNTIF($K:$K,K2684)&gt;1,"DUPLICATE","OK")))</f>
        <v>OK</v>
      </c>
      <c r="K2684" s="6" t="str">
        <f aca="false">A2684&amp;"|"&amp;B2684&amp;"|"&amp;C2684&amp;"|"&amp;D2684</f>
        <v>5|1|Christine|spotify:track:3qTmB5HxP9ilJaiM6B1yuk</v>
      </c>
    </row>
    <row r="2685" customFormat="false" ht="15" hidden="false" customHeight="false" outlineLevel="0" collapsed="false">
      <c r="A2685" s="5" t="n">
        <v>5</v>
      </c>
      <c r="B2685" s="5" t="n">
        <v>1</v>
      </c>
      <c r="C2685" s="5" t="s">
        <v>719</v>
      </c>
      <c r="D2685" s="5" t="s">
        <v>1339</v>
      </c>
      <c r="E2685" s="5" t="n">
        <v>1</v>
      </c>
      <c r="F2685" s="6" t="n">
        <f aca="false">IFERROR(MATCH(A2685&amp;"|"&amp;B2685&amp;"|"&amp;D2685,'All Song Rankings'!$T:$T,0),0)</f>
        <v>421</v>
      </c>
      <c r="G2685" s="6" t="str">
        <f aca="false">IF(F2685=0,"NOT FOUND",INDEX('All Song Rankings'!$A:$A,F2685))</f>
        <v>Something In The Heavens</v>
      </c>
      <c r="H2685" s="6" t="str">
        <f aca="false">IF(F2685=0,"NOT FOUND",INDEX('All Song Rankings'!$B:$B,F2685))</f>
        <v>Lewis Capaldi</v>
      </c>
      <c r="I2685" s="6" t="str">
        <f aca="false">IF(F2685=0,"NOT FOUND",INDEX('All Song Rankings'!$D:$D,F2685))</f>
        <v>Kelsey</v>
      </c>
      <c r="J2685" s="7" t="str">
        <f aca="false">IF(F2685=0,"NOT FOUND",IF(C2685=I2685,"SELF-VOTE",IF(COUNTIF($K:$K,K2685)&gt;1,"DUPLICATE","OK")))</f>
        <v>OK</v>
      </c>
      <c r="K2685" s="6" t="str">
        <f aca="false">A2685&amp;"|"&amp;B2685&amp;"|"&amp;C2685&amp;"|"&amp;D2685</f>
        <v>5|1|Christine|spotify:track:4MHORmGs8oN7AASfGmApcM</v>
      </c>
    </row>
    <row r="2686" customFormat="false" ht="15" hidden="false" customHeight="false" outlineLevel="0" collapsed="false">
      <c r="A2686" s="5" t="n">
        <v>5</v>
      </c>
      <c r="B2686" s="5" t="n">
        <v>1</v>
      </c>
      <c r="C2686" s="5" t="s">
        <v>719</v>
      </c>
      <c r="D2686" s="5" t="s">
        <v>1336</v>
      </c>
      <c r="E2686" s="5" t="n">
        <v>1</v>
      </c>
      <c r="F2686" s="6" t="n">
        <f aca="false">IFERROR(MATCH(A2686&amp;"|"&amp;B2686&amp;"|"&amp;D2686,'All Song Rankings'!$T:$T,0),0)</f>
        <v>420</v>
      </c>
      <c r="G2686" s="6" t="str">
        <f aca="false">IF(F2686=0,"NOT FOUND",INDEX('All Song Rankings'!$A:$A,F2686))</f>
        <v>Supermarket Flowers</v>
      </c>
      <c r="H2686" s="6" t="str">
        <f aca="false">IF(F2686=0,"NOT FOUND",INDEX('All Song Rankings'!$B:$B,F2686))</f>
        <v>Ed Sheeran</v>
      </c>
      <c r="I2686" s="6" t="str">
        <f aca="false">IF(F2686=0,"NOT FOUND",INDEX('All Song Rankings'!$D:$D,F2686))</f>
        <v>Merita</v>
      </c>
      <c r="J2686" s="7" t="str">
        <f aca="false">IF(F2686=0,"NOT FOUND",IF(C2686=I2686,"SELF-VOTE",IF(COUNTIF($K:$K,K2686)&gt;1,"DUPLICATE","OK")))</f>
        <v>OK</v>
      </c>
      <c r="K2686" s="6" t="str">
        <f aca="false">A2686&amp;"|"&amp;B2686&amp;"|"&amp;C2686&amp;"|"&amp;D2686</f>
        <v>5|1|Christine|spotify:track:4VuS959DSpr82t3qBqCrWG</v>
      </c>
    </row>
    <row r="2687" customFormat="false" ht="15" hidden="false" customHeight="false" outlineLevel="0" collapsed="false">
      <c r="A2687" s="5" t="n">
        <v>5</v>
      </c>
      <c r="B2687" s="5" t="n">
        <v>1</v>
      </c>
      <c r="C2687" s="5" t="s">
        <v>719</v>
      </c>
      <c r="D2687" s="5" t="s">
        <v>1342</v>
      </c>
      <c r="E2687" s="5" t="n">
        <v>1</v>
      </c>
      <c r="F2687" s="6" t="n">
        <f aca="false">IFERROR(MATCH(A2687&amp;"|"&amp;B2687&amp;"|"&amp;D2687,'All Song Rankings'!$T:$T,0),0)</f>
        <v>422</v>
      </c>
      <c r="G2687" s="6" t="str">
        <f aca="false">IF(F2687=0,"NOT FOUND",INDEX('All Song Rankings'!$A:$A,F2687))</f>
        <v>something to remember</v>
      </c>
      <c r="H2687" s="6" t="str">
        <f aca="false">IF(F2687=0,"NOT FOUND",INDEX('All Song Rankings'!$B:$B,F2687))</f>
        <v>Matt Hansen</v>
      </c>
      <c r="I2687" s="6" t="str">
        <f aca="false">IF(F2687=0,"NOT FOUND",INDEX('All Song Rankings'!$D:$D,F2687))</f>
        <v>Leah</v>
      </c>
      <c r="J2687" s="7" t="str">
        <f aca="false">IF(F2687=0,"NOT FOUND",IF(C2687=I2687,"SELF-VOTE",IF(COUNTIF($K:$K,K2687)&gt;1,"DUPLICATE","OK")))</f>
        <v>OK</v>
      </c>
      <c r="K2687" s="6" t="str">
        <f aca="false">A2687&amp;"|"&amp;B2687&amp;"|"&amp;C2687&amp;"|"&amp;D2687</f>
        <v>5|1|Christine|spotify:track:6eI8B3QW20P68MCYMb4Etd</v>
      </c>
    </row>
    <row r="2688" customFormat="false" ht="15" hidden="false" customHeight="false" outlineLevel="0" collapsed="false">
      <c r="A2688" s="5" t="n">
        <v>5</v>
      </c>
      <c r="B2688" s="5" t="n">
        <v>1</v>
      </c>
      <c r="C2688" s="5" t="s">
        <v>637</v>
      </c>
      <c r="D2688" s="5" t="s">
        <v>1375</v>
      </c>
      <c r="E2688" s="5" t="n">
        <v>2</v>
      </c>
      <c r="F2688" s="6" t="n">
        <f aca="false">IFERROR(MATCH(A2688&amp;"|"&amp;B2688&amp;"|"&amp;D2688,'All Song Rankings'!$T:$T,0),0)</f>
        <v>433</v>
      </c>
      <c r="G2688" s="6" t="str">
        <f aca="false">IF(F2688=0,"NOT FOUND",INDEX('All Song Rankings'!$A:$A,F2688))</f>
        <v>Untitled (How Could This Happen to Me?)</v>
      </c>
      <c r="H2688" s="6" t="str">
        <f aca="false">IF(F2688=0,"NOT FOUND",INDEX('All Song Rankings'!$B:$B,F2688))</f>
        <v>Simple Plan</v>
      </c>
      <c r="I2688" s="6" t="str">
        <f aca="false">IF(F2688=0,"NOT FOUND",INDEX('All Song Rankings'!$D:$D,F2688))</f>
        <v>Natasha</v>
      </c>
      <c r="J2688" s="7" t="str">
        <f aca="false">IF(F2688=0,"NOT FOUND",IF(C2688=I2688,"SELF-VOTE",IF(COUNTIF($K:$K,K2688)&gt;1,"DUPLICATE","OK")))</f>
        <v>OK</v>
      </c>
      <c r="K2688" s="6" t="str">
        <f aca="false">A2688&amp;"|"&amp;B2688&amp;"|"&amp;C2688&amp;"|"&amp;D2688</f>
        <v>5|1|Colleen|spotify:track:3eRLKD1Lgc2OrYGxRxX62s</v>
      </c>
    </row>
    <row r="2689" customFormat="false" ht="15" hidden="false" customHeight="false" outlineLevel="0" collapsed="false">
      <c r="A2689" s="5" t="n">
        <v>5</v>
      </c>
      <c r="B2689" s="5" t="n">
        <v>1</v>
      </c>
      <c r="C2689" s="5" t="s">
        <v>637</v>
      </c>
      <c r="D2689" s="5" t="s">
        <v>1345</v>
      </c>
      <c r="E2689" s="5" t="n">
        <v>1</v>
      </c>
      <c r="F2689" s="6" t="n">
        <f aca="false">IFERROR(MATCH(A2689&amp;"|"&amp;B2689&amp;"|"&amp;D2689,'All Song Rankings'!$T:$T,0),0)</f>
        <v>423</v>
      </c>
      <c r="G2689" s="6" t="str">
        <f aca="false">IF(F2689=0,"NOT FOUND",INDEX('All Song Rankings'!$A:$A,F2689))</f>
        <v>Five More Minutes</v>
      </c>
      <c r="H2689" s="6" t="str">
        <f aca="false">IF(F2689=0,"NOT FOUND",INDEX('All Song Rankings'!$B:$B,F2689))</f>
        <v>Scotty McCreery</v>
      </c>
      <c r="I2689" s="6" t="str">
        <f aca="false">IF(F2689=0,"NOT FOUND",INDEX('All Song Rankings'!$D:$D,F2689))</f>
        <v>Aubrey</v>
      </c>
      <c r="J2689" s="7" t="str">
        <f aca="false">IF(F2689=0,"NOT FOUND",IF(C2689=I2689,"SELF-VOTE",IF(COUNTIF($K:$K,K2689)&gt;1,"DUPLICATE","OK")))</f>
        <v>OK</v>
      </c>
      <c r="K2689" s="6" t="str">
        <f aca="false">A2689&amp;"|"&amp;B2689&amp;"|"&amp;C2689&amp;"|"&amp;D2689</f>
        <v>5|1|Colleen|spotify:track:3qTmB5HxP9ilJaiM6B1yuk</v>
      </c>
    </row>
    <row r="2690" customFormat="false" ht="15" hidden="false" customHeight="false" outlineLevel="0" collapsed="false">
      <c r="A2690" s="5" t="n">
        <v>5</v>
      </c>
      <c r="B2690" s="5" t="n">
        <v>1</v>
      </c>
      <c r="C2690" s="5" t="s">
        <v>637</v>
      </c>
      <c r="D2690" s="5" t="s">
        <v>1339</v>
      </c>
      <c r="E2690" s="5" t="n">
        <v>1</v>
      </c>
      <c r="F2690" s="6" t="n">
        <f aca="false">IFERROR(MATCH(A2690&amp;"|"&amp;B2690&amp;"|"&amp;D2690,'All Song Rankings'!$T:$T,0),0)</f>
        <v>421</v>
      </c>
      <c r="G2690" s="6" t="str">
        <f aca="false">IF(F2690=0,"NOT FOUND",INDEX('All Song Rankings'!$A:$A,F2690))</f>
        <v>Something In The Heavens</v>
      </c>
      <c r="H2690" s="6" t="str">
        <f aca="false">IF(F2690=0,"NOT FOUND",INDEX('All Song Rankings'!$B:$B,F2690))</f>
        <v>Lewis Capaldi</v>
      </c>
      <c r="I2690" s="6" t="str">
        <f aca="false">IF(F2690=0,"NOT FOUND",INDEX('All Song Rankings'!$D:$D,F2690))</f>
        <v>Kelsey</v>
      </c>
      <c r="J2690" s="7" t="str">
        <f aca="false">IF(F2690=0,"NOT FOUND",IF(C2690=I2690,"SELF-VOTE",IF(COUNTIF($K:$K,K2690)&gt;1,"DUPLICATE","OK")))</f>
        <v>OK</v>
      </c>
      <c r="K2690" s="6" t="str">
        <f aca="false">A2690&amp;"|"&amp;B2690&amp;"|"&amp;C2690&amp;"|"&amp;D2690</f>
        <v>5|1|Colleen|spotify:track:4MHORmGs8oN7AASfGmApcM</v>
      </c>
    </row>
    <row r="2691" customFormat="false" ht="15" hidden="false" customHeight="false" outlineLevel="0" collapsed="false">
      <c r="A2691" s="5" t="n">
        <v>5</v>
      </c>
      <c r="B2691" s="5" t="n">
        <v>1</v>
      </c>
      <c r="C2691" s="5" t="s">
        <v>637</v>
      </c>
      <c r="D2691" s="5" t="s">
        <v>1336</v>
      </c>
      <c r="E2691" s="5" t="n">
        <v>2</v>
      </c>
      <c r="F2691" s="6" t="n">
        <f aca="false">IFERROR(MATCH(A2691&amp;"|"&amp;B2691&amp;"|"&amp;D2691,'All Song Rankings'!$T:$T,0),0)</f>
        <v>420</v>
      </c>
      <c r="G2691" s="6" t="str">
        <f aca="false">IF(F2691=0,"NOT FOUND",INDEX('All Song Rankings'!$A:$A,F2691))</f>
        <v>Supermarket Flowers</v>
      </c>
      <c r="H2691" s="6" t="str">
        <f aca="false">IF(F2691=0,"NOT FOUND",INDEX('All Song Rankings'!$B:$B,F2691))</f>
        <v>Ed Sheeran</v>
      </c>
      <c r="I2691" s="6" t="str">
        <f aca="false">IF(F2691=0,"NOT FOUND",INDEX('All Song Rankings'!$D:$D,F2691))</f>
        <v>Merita</v>
      </c>
      <c r="J2691" s="7" t="str">
        <f aca="false">IF(F2691=0,"NOT FOUND",IF(C2691=I2691,"SELF-VOTE",IF(COUNTIF($K:$K,K2691)&gt;1,"DUPLICATE","OK")))</f>
        <v>OK</v>
      </c>
      <c r="K2691" s="6" t="str">
        <f aca="false">A2691&amp;"|"&amp;B2691&amp;"|"&amp;C2691&amp;"|"&amp;D2691</f>
        <v>5|1|Colleen|spotify:track:4VuS959DSpr82t3qBqCrWG</v>
      </c>
    </row>
    <row r="2692" customFormat="false" ht="15" hidden="false" customHeight="false" outlineLevel="0" collapsed="false">
      <c r="A2692" s="5" t="n">
        <v>5</v>
      </c>
      <c r="B2692" s="5" t="n">
        <v>1</v>
      </c>
      <c r="C2692" s="5" t="s">
        <v>637</v>
      </c>
      <c r="D2692" s="5" t="s">
        <v>1354</v>
      </c>
      <c r="E2692" s="5" t="n">
        <v>1</v>
      </c>
      <c r="F2692" s="6" t="n">
        <f aca="false">IFERROR(MATCH(A2692&amp;"|"&amp;B2692&amp;"|"&amp;D2692,'All Song Rankings'!$T:$T,0),0)</f>
        <v>426</v>
      </c>
      <c r="G2692" s="6" t="str">
        <f aca="false">IF(F2692=0,"NOT FOUND",INDEX('All Song Rankings'!$A:$A,F2692))</f>
        <v>A Drop in the Ocean</v>
      </c>
      <c r="H2692" s="6" t="str">
        <f aca="false">IF(F2692=0,"NOT FOUND",INDEX('All Song Rankings'!$B:$B,F2692))</f>
        <v>Ron Pope</v>
      </c>
      <c r="I2692" s="6" t="str">
        <f aca="false">IF(F2692=0,"NOT FOUND",INDEX('All Song Rankings'!$D:$D,F2692))</f>
        <v>Makenzie</v>
      </c>
      <c r="J2692" s="7" t="str">
        <f aca="false">IF(F2692=0,"NOT FOUND",IF(C2692=I2692,"SELF-VOTE",IF(COUNTIF($K:$K,K2692)&gt;1,"DUPLICATE","OK")))</f>
        <v>OK</v>
      </c>
      <c r="K2692" s="6" t="str">
        <f aca="false">A2692&amp;"|"&amp;B2692&amp;"|"&amp;C2692&amp;"|"&amp;D2692</f>
        <v>5|1|Colleen|spotify:track:5JDcQAztvZTIkrWoZihgvC</v>
      </c>
    </row>
    <row r="2693" customFormat="false" ht="15" hidden="false" customHeight="false" outlineLevel="0" collapsed="false">
      <c r="A2693" s="5" t="n">
        <v>5</v>
      </c>
      <c r="B2693" s="5" t="n">
        <v>1</v>
      </c>
      <c r="C2693" s="5" t="s">
        <v>637</v>
      </c>
      <c r="D2693" s="5" t="s">
        <v>1360</v>
      </c>
      <c r="E2693" s="5" t="n">
        <v>1</v>
      </c>
      <c r="F2693" s="6" t="n">
        <f aca="false">IFERROR(MATCH(A2693&amp;"|"&amp;B2693&amp;"|"&amp;D2693,'All Song Rankings'!$T:$T,0),0)</f>
        <v>428</v>
      </c>
      <c r="G2693" s="6" t="str">
        <f aca="false">IF(F2693=0,"NOT FOUND",INDEX('All Song Rankings'!$A:$A,F2693))</f>
        <v>See You Again (feat. Charlie Puth)</v>
      </c>
      <c r="H2693" s="6" t="str">
        <f aca="false">IF(F2693=0,"NOT FOUND",INDEX('All Song Rankings'!$B:$B,F2693))</f>
        <v>Wiz Khalifa, Charlie Puth</v>
      </c>
      <c r="I2693" s="6" t="str">
        <f aca="false">IF(F2693=0,"NOT FOUND",INDEX('All Song Rankings'!$D:$D,F2693))</f>
        <v>Nicole</v>
      </c>
      <c r="J2693" s="7" t="str">
        <f aca="false">IF(F2693=0,"NOT FOUND",IF(C2693=I2693,"SELF-VOTE",IF(COUNTIF($K:$K,K2693)&gt;1,"DUPLICATE","OK")))</f>
        <v>OK</v>
      </c>
      <c r="K2693" s="6" t="str">
        <f aca="false">A2693&amp;"|"&amp;B2693&amp;"|"&amp;C2693&amp;"|"&amp;D2693</f>
        <v>5|1|Colleen|spotify:track:6IcrwGdIvRsrImOnoYfG9Z</v>
      </c>
    </row>
    <row r="2694" customFormat="false" ht="15" hidden="false" customHeight="false" outlineLevel="0" collapsed="false">
      <c r="A2694" s="5" t="n">
        <v>5</v>
      </c>
      <c r="B2694" s="5" t="n">
        <v>1</v>
      </c>
      <c r="C2694" s="5" t="s">
        <v>637</v>
      </c>
      <c r="D2694" s="5" t="s">
        <v>1351</v>
      </c>
      <c r="E2694" s="5" t="n">
        <v>1</v>
      </c>
      <c r="F2694" s="6" t="n">
        <f aca="false">IFERROR(MATCH(A2694&amp;"|"&amp;B2694&amp;"|"&amp;D2694,'All Song Rankings'!$T:$T,0),0)</f>
        <v>425</v>
      </c>
      <c r="G2694" s="6" t="str">
        <f aca="false">IF(F2694=0,"NOT FOUND",INDEX('All Song Rankings'!$A:$A,F2694))</f>
        <v>Stay Gold</v>
      </c>
      <c r="H2694" s="6" t="str">
        <f aca="false">IF(F2694=0,"NOT FOUND",INDEX('All Song Rankings'!$B:$B,F2694))</f>
        <v>Sky Lakota-Lynch, Brody Grant, Original Broadway Cast of The Outsiders - A New Musical</v>
      </c>
      <c r="I2694" s="6" t="str">
        <f aca="false">IF(F2694=0,"NOT FOUND",INDEX('All Song Rankings'!$D:$D,F2694))</f>
        <v>Logan</v>
      </c>
      <c r="J2694" s="7" t="str">
        <f aca="false">IF(F2694=0,"NOT FOUND",IF(C2694=I2694,"SELF-VOTE",IF(COUNTIF($K:$K,K2694)&gt;1,"DUPLICATE","OK")))</f>
        <v>OK</v>
      </c>
      <c r="K2694" s="6" t="str">
        <f aca="false">A2694&amp;"|"&amp;B2694&amp;"|"&amp;C2694&amp;"|"&amp;D2694</f>
        <v>5|1|Colleen|spotify:track:6QMYeuubL00KcXBXxS5Zhn</v>
      </c>
    </row>
    <row r="2695" customFormat="false" ht="15" hidden="false" customHeight="false" outlineLevel="0" collapsed="false">
      <c r="A2695" s="5" t="n">
        <v>5</v>
      </c>
      <c r="B2695" s="5" t="n">
        <v>1</v>
      </c>
      <c r="C2695" s="5" t="s">
        <v>637</v>
      </c>
      <c r="D2695" s="5" t="s">
        <v>1342</v>
      </c>
      <c r="E2695" s="5" t="n">
        <v>1</v>
      </c>
      <c r="F2695" s="6" t="n">
        <f aca="false">IFERROR(MATCH(A2695&amp;"|"&amp;B2695&amp;"|"&amp;D2695,'All Song Rankings'!$T:$T,0),0)</f>
        <v>422</v>
      </c>
      <c r="G2695" s="6" t="str">
        <f aca="false">IF(F2695=0,"NOT FOUND",INDEX('All Song Rankings'!$A:$A,F2695))</f>
        <v>something to remember</v>
      </c>
      <c r="H2695" s="6" t="str">
        <f aca="false">IF(F2695=0,"NOT FOUND",INDEX('All Song Rankings'!$B:$B,F2695))</f>
        <v>Matt Hansen</v>
      </c>
      <c r="I2695" s="6" t="str">
        <f aca="false">IF(F2695=0,"NOT FOUND",INDEX('All Song Rankings'!$D:$D,F2695))</f>
        <v>Leah</v>
      </c>
      <c r="J2695" s="7" t="str">
        <f aca="false">IF(F2695=0,"NOT FOUND",IF(C2695=I2695,"SELF-VOTE",IF(COUNTIF($K:$K,K2695)&gt;1,"DUPLICATE","OK")))</f>
        <v>OK</v>
      </c>
      <c r="K2695" s="6" t="str">
        <f aca="false">A2695&amp;"|"&amp;B2695&amp;"|"&amp;C2695&amp;"|"&amp;D2695</f>
        <v>5|1|Colleen|spotify:track:6eI8B3QW20P68MCYMb4Etd</v>
      </c>
    </row>
    <row r="2696" customFormat="false" ht="15" hidden="false" customHeight="false" outlineLevel="0" collapsed="false">
      <c r="A2696" s="5" t="n">
        <v>5</v>
      </c>
      <c r="B2696" s="5" t="n">
        <v>1</v>
      </c>
      <c r="C2696" s="5" t="s">
        <v>382</v>
      </c>
      <c r="D2696" s="5" t="s">
        <v>1348</v>
      </c>
      <c r="E2696" s="5" t="n">
        <v>2</v>
      </c>
      <c r="F2696" s="6" t="n">
        <f aca="false">IFERROR(MATCH(A2696&amp;"|"&amp;B2696&amp;"|"&amp;D2696,'All Song Rankings'!$T:$T,0),0)</f>
        <v>424</v>
      </c>
      <c r="G2696" s="6" t="str">
        <f aca="false">IF(F2696=0,"NOT FOUND",INDEX('All Song Rankings'!$A:$A,F2696))</f>
        <v>Concrete Angel</v>
      </c>
      <c r="H2696" s="6" t="str">
        <f aca="false">IF(F2696=0,"NOT FOUND",INDEX('All Song Rankings'!$B:$B,F2696))</f>
        <v>Martina McBride</v>
      </c>
      <c r="I2696" s="6" t="str">
        <f aca="false">IF(F2696=0,"NOT FOUND",INDEX('All Song Rankings'!$D:$D,F2696))</f>
        <v>Colleen</v>
      </c>
      <c r="J2696" s="7" t="str">
        <f aca="false">IF(F2696=0,"NOT FOUND",IF(C2696=I2696,"SELF-VOTE",IF(COUNTIF($K:$K,K2696)&gt;1,"DUPLICATE","OK")))</f>
        <v>OK</v>
      </c>
      <c r="K2696" s="6" t="str">
        <f aca="false">A2696&amp;"|"&amp;B2696&amp;"|"&amp;C2696&amp;"|"&amp;D2696</f>
        <v>5|1|Grace|spotify:track:2LLcI3oU4CedCQDV5tJ1SK</v>
      </c>
    </row>
    <row r="2697" customFormat="false" ht="15" hidden="false" customHeight="false" outlineLevel="0" collapsed="false">
      <c r="A2697" s="5" t="n">
        <v>5</v>
      </c>
      <c r="B2697" s="5" t="n">
        <v>1</v>
      </c>
      <c r="C2697" s="5" t="s">
        <v>382</v>
      </c>
      <c r="D2697" s="5" t="s">
        <v>1345</v>
      </c>
      <c r="E2697" s="5" t="n">
        <v>3</v>
      </c>
      <c r="F2697" s="6" t="n">
        <f aca="false">IFERROR(MATCH(A2697&amp;"|"&amp;B2697&amp;"|"&amp;D2697,'All Song Rankings'!$T:$T,0),0)</f>
        <v>423</v>
      </c>
      <c r="G2697" s="6" t="str">
        <f aca="false">IF(F2697=0,"NOT FOUND",INDEX('All Song Rankings'!$A:$A,F2697))</f>
        <v>Five More Minutes</v>
      </c>
      <c r="H2697" s="6" t="str">
        <f aca="false">IF(F2697=0,"NOT FOUND",INDEX('All Song Rankings'!$B:$B,F2697))</f>
        <v>Scotty McCreery</v>
      </c>
      <c r="I2697" s="6" t="str">
        <f aca="false">IF(F2697=0,"NOT FOUND",INDEX('All Song Rankings'!$D:$D,F2697))</f>
        <v>Aubrey</v>
      </c>
      <c r="J2697" s="7" t="str">
        <f aca="false">IF(F2697=0,"NOT FOUND",IF(C2697=I2697,"SELF-VOTE",IF(COUNTIF($K:$K,K2697)&gt;1,"DUPLICATE","OK")))</f>
        <v>OK</v>
      </c>
      <c r="K2697" s="6" t="str">
        <f aca="false">A2697&amp;"|"&amp;B2697&amp;"|"&amp;C2697&amp;"|"&amp;D2697</f>
        <v>5|1|Grace|spotify:track:3qTmB5HxP9ilJaiM6B1yuk</v>
      </c>
    </row>
    <row r="2698" customFormat="false" ht="15" hidden="false" customHeight="false" outlineLevel="0" collapsed="false">
      <c r="A2698" s="5" t="n">
        <v>5</v>
      </c>
      <c r="B2698" s="5" t="n">
        <v>1</v>
      </c>
      <c r="C2698" s="5" t="s">
        <v>382</v>
      </c>
      <c r="D2698" s="5" t="s">
        <v>1336</v>
      </c>
      <c r="E2698" s="5" t="n">
        <v>4</v>
      </c>
      <c r="F2698" s="6" t="n">
        <f aca="false">IFERROR(MATCH(A2698&amp;"|"&amp;B2698&amp;"|"&amp;D2698,'All Song Rankings'!$T:$T,0),0)</f>
        <v>420</v>
      </c>
      <c r="G2698" s="6" t="str">
        <f aca="false">IF(F2698=0,"NOT FOUND",INDEX('All Song Rankings'!$A:$A,F2698))</f>
        <v>Supermarket Flowers</v>
      </c>
      <c r="H2698" s="6" t="str">
        <f aca="false">IF(F2698=0,"NOT FOUND",INDEX('All Song Rankings'!$B:$B,F2698))</f>
        <v>Ed Sheeran</v>
      </c>
      <c r="I2698" s="6" t="str">
        <f aca="false">IF(F2698=0,"NOT FOUND",INDEX('All Song Rankings'!$D:$D,F2698))</f>
        <v>Merita</v>
      </c>
      <c r="J2698" s="7" t="str">
        <f aca="false">IF(F2698=0,"NOT FOUND",IF(C2698=I2698,"SELF-VOTE",IF(COUNTIF($K:$K,K2698)&gt;1,"DUPLICATE","OK")))</f>
        <v>OK</v>
      </c>
      <c r="K2698" s="6" t="str">
        <f aca="false">A2698&amp;"|"&amp;B2698&amp;"|"&amp;C2698&amp;"|"&amp;D2698</f>
        <v>5|1|Grace|spotify:track:4VuS959DSpr82t3qBqCrWG</v>
      </c>
    </row>
    <row r="2699" customFormat="false" ht="15" hidden="false" customHeight="false" outlineLevel="0" collapsed="false">
      <c r="A2699" s="5" t="n">
        <v>5</v>
      </c>
      <c r="B2699" s="5" t="n">
        <v>1</v>
      </c>
      <c r="C2699" s="5" t="s">
        <v>382</v>
      </c>
      <c r="D2699" s="5" t="s">
        <v>1377</v>
      </c>
      <c r="E2699" s="5" t="n">
        <v>1</v>
      </c>
      <c r="F2699" s="6" t="n">
        <f aca="false">IFERROR(MATCH(A2699&amp;"|"&amp;B2699&amp;"|"&amp;D2699,'All Song Rankings'!$T:$T,0),0)</f>
        <v>434</v>
      </c>
      <c r="G2699" s="6" t="str">
        <f aca="false">IF(F2699=0,"NOT FOUND",INDEX('All Song Rankings'!$A:$A,F2699))</f>
        <v>Housebroken</v>
      </c>
      <c r="H2699" s="6" t="str">
        <f aca="false">IF(F2699=0,"NOT FOUND",INDEX('All Song Rankings'!$B:$B,F2699))</f>
        <v>The Hotelier</v>
      </c>
      <c r="I2699" s="6" t="str">
        <f aca="false">IF(F2699=0,"NOT FOUND",INDEX('All Song Rankings'!$D:$D,F2699))</f>
        <v>Scott</v>
      </c>
      <c r="J2699" s="7" t="str">
        <f aca="false">IF(F2699=0,"NOT FOUND",IF(C2699=I2699,"SELF-VOTE",IF(COUNTIF($K:$K,K2699)&gt;1,"DUPLICATE","OK")))</f>
        <v>OK</v>
      </c>
      <c r="K2699" s="6" t="str">
        <f aca="false">A2699&amp;"|"&amp;B2699&amp;"|"&amp;C2699&amp;"|"&amp;D2699</f>
        <v>5|1|Grace|spotify:track:58R1SG4RgVE5eHApvNvFae</v>
      </c>
    </row>
    <row r="2700" customFormat="false" ht="15" hidden="false" customHeight="false" outlineLevel="0" collapsed="false">
      <c r="A2700" s="5" t="n">
        <v>5</v>
      </c>
      <c r="B2700" s="5" t="n">
        <v>1</v>
      </c>
      <c r="C2700" s="5" t="s">
        <v>85</v>
      </c>
      <c r="D2700" s="5" t="s">
        <v>1348</v>
      </c>
      <c r="E2700" s="5" t="n">
        <v>2</v>
      </c>
      <c r="F2700" s="6" t="n">
        <f aca="false">IFERROR(MATCH(A2700&amp;"|"&amp;B2700&amp;"|"&amp;D2700,'All Song Rankings'!$T:$T,0),0)</f>
        <v>424</v>
      </c>
      <c r="G2700" s="6" t="str">
        <f aca="false">IF(F2700=0,"NOT FOUND",INDEX('All Song Rankings'!$A:$A,F2700))</f>
        <v>Concrete Angel</v>
      </c>
      <c r="H2700" s="6" t="str">
        <f aca="false">IF(F2700=0,"NOT FOUND",INDEX('All Song Rankings'!$B:$B,F2700))</f>
        <v>Martina McBride</v>
      </c>
      <c r="I2700" s="6" t="str">
        <f aca="false">IF(F2700=0,"NOT FOUND",INDEX('All Song Rankings'!$D:$D,F2700))</f>
        <v>Colleen</v>
      </c>
      <c r="J2700" s="7" t="str">
        <f aca="false">IF(F2700=0,"NOT FOUND",IF(C2700=I2700,"SELF-VOTE",IF(COUNTIF($K:$K,K2700)&gt;1,"DUPLICATE","OK")))</f>
        <v>OK</v>
      </c>
      <c r="K2700" s="6" t="str">
        <f aca="false">A2700&amp;"|"&amp;B2700&amp;"|"&amp;C2700&amp;"|"&amp;D2700</f>
        <v>5|1|Kelsey|spotify:track:2LLcI3oU4CedCQDV5tJ1SK</v>
      </c>
    </row>
    <row r="2701" customFormat="false" ht="15" hidden="false" customHeight="false" outlineLevel="0" collapsed="false">
      <c r="A2701" s="5" t="n">
        <v>5</v>
      </c>
      <c r="B2701" s="5" t="n">
        <v>1</v>
      </c>
      <c r="C2701" s="5" t="s">
        <v>85</v>
      </c>
      <c r="D2701" s="5" t="s">
        <v>1345</v>
      </c>
      <c r="E2701" s="5" t="n">
        <v>2</v>
      </c>
      <c r="F2701" s="6" t="n">
        <f aca="false">IFERROR(MATCH(A2701&amp;"|"&amp;B2701&amp;"|"&amp;D2701,'All Song Rankings'!$T:$T,0),0)</f>
        <v>423</v>
      </c>
      <c r="G2701" s="6" t="str">
        <f aca="false">IF(F2701=0,"NOT FOUND",INDEX('All Song Rankings'!$A:$A,F2701))</f>
        <v>Five More Minutes</v>
      </c>
      <c r="H2701" s="6" t="str">
        <f aca="false">IF(F2701=0,"NOT FOUND",INDEX('All Song Rankings'!$B:$B,F2701))</f>
        <v>Scotty McCreery</v>
      </c>
      <c r="I2701" s="6" t="str">
        <f aca="false">IF(F2701=0,"NOT FOUND",INDEX('All Song Rankings'!$D:$D,F2701))</f>
        <v>Aubrey</v>
      </c>
      <c r="J2701" s="7" t="str">
        <f aca="false">IF(F2701=0,"NOT FOUND",IF(C2701=I2701,"SELF-VOTE",IF(COUNTIF($K:$K,K2701)&gt;1,"DUPLICATE","OK")))</f>
        <v>OK</v>
      </c>
      <c r="K2701" s="6" t="str">
        <f aca="false">A2701&amp;"|"&amp;B2701&amp;"|"&amp;C2701&amp;"|"&amp;D2701</f>
        <v>5|1|Kelsey|spotify:track:3qTmB5HxP9ilJaiM6B1yuk</v>
      </c>
    </row>
    <row r="2702" customFormat="false" ht="15" hidden="false" customHeight="false" outlineLevel="0" collapsed="false">
      <c r="A2702" s="5" t="n">
        <v>5</v>
      </c>
      <c r="B2702" s="5" t="n">
        <v>1</v>
      </c>
      <c r="C2702" s="5" t="s">
        <v>85</v>
      </c>
      <c r="D2702" s="5" t="s">
        <v>1336</v>
      </c>
      <c r="E2702" s="5" t="n">
        <v>2</v>
      </c>
      <c r="F2702" s="6" t="n">
        <f aca="false">IFERROR(MATCH(A2702&amp;"|"&amp;B2702&amp;"|"&amp;D2702,'All Song Rankings'!$T:$T,0),0)</f>
        <v>420</v>
      </c>
      <c r="G2702" s="6" t="str">
        <f aca="false">IF(F2702=0,"NOT FOUND",INDEX('All Song Rankings'!$A:$A,F2702))</f>
        <v>Supermarket Flowers</v>
      </c>
      <c r="H2702" s="6" t="str">
        <f aca="false">IF(F2702=0,"NOT FOUND",INDEX('All Song Rankings'!$B:$B,F2702))</f>
        <v>Ed Sheeran</v>
      </c>
      <c r="I2702" s="6" t="str">
        <f aca="false">IF(F2702=0,"NOT FOUND",INDEX('All Song Rankings'!$D:$D,F2702))</f>
        <v>Merita</v>
      </c>
      <c r="J2702" s="7" t="str">
        <f aca="false">IF(F2702=0,"NOT FOUND",IF(C2702=I2702,"SELF-VOTE",IF(COUNTIF($K:$K,K2702)&gt;1,"DUPLICATE","OK")))</f>
        <v>OK</v>
      </c>
      <c r="K2702" s="6" t="str">
        <f aca="false">A2702&amp;"|"&amp;B2702&amp;"|"&amp;C2702&amp;"|"&amp;D2702</f>
        <v>5|1|Kelsey|spotify:track:4VuS959DSpr82t3qBqCrWG</v>
      </c>
    </row>
    <row r="2703" customFormat="false" ht="15" hidden="false" customHeight="false" outlineLevel="0" collapsed="false">
      <c r="A2703" s="5" t="n">
        <v>5</v>
      </c>
      <c r="B2703" s="5" t="n">
        <v>1</v>
      </c>
      <c r="C2703" s="5" t="s">
        <v>85</v>
      </c>
      <c r="D2703" s="5" t="s">
        <v>1354</v>
      </c>
      <c r="E2703" s="5" t="n">
        <v>1</v>
      </c>
      <c r="F2703" s="6" t="n">
        <f aca="false">IFERROR(MATCH(A2703&amp;"|"&amp;B2703&amp;"|"&amp;D2703,'All Song Rankings'!$T:$T,0),0)</f>
        <v>426</v>
      </c>
      <c r="G2703" s="6" t="str">
        <f aca="false">IF(F2703=0,"NOT FOUND",INDEX('All Song Rankings'!$A:$A,F2703))</f>
        <v>A Drop in the Ocean</v>
      </c>
      <c r="H2703" s="6" t="str">
        <f aca="false">IF(F2703=0,"NOT FOUND",INDEX('All Song Rankings'!$B:$B,F2703))</f>
        <v>Ron Pope</v>
      </c>
      <c r="I2703" s="6" t="str">
        <f aca="false">IF(F2703=0,"NOT FOUND",INDEX('All Song Rankings'!$D:$D,F2703))</f>
        <v>Makenzie</v>
      </c>
      <c r="J2703" s="7" t="str">
        <f aca="false">IF(F2703=0,"NOT FOUND",IF(C2703=I2703,"SELF-VOTE",IF(COUNTIF($K:$K,K2703)&gt;1,"DUPLICATE","OK")))</f>
        <v>OK</v>
      </c>
      <c r="K2703" s="6" t="str">
        <f aca="false">A2703&amp;"|"&amp;B2703&amp;"|"&amp;C2703&amp;"|"&amp;D2703</f>
        <v>5|1|Kelsey|spotify:track:5JDcQAztvZTIkrWoZihgvC</v>
      </c>
    </row>
    <row r="2704" customFormat="false" ht="15" hidden="false" customHeight="false" outlineLevel="0" collapsed="false">
      <c r="A2704" s="5" t="n">
        <v>5</v>
      </c>
      <c r="B2704" s="5" t="n">
        <v>1</v>
      </c>
      <c r="C2704" s="5" t="s">
        <v>85</v>
      </c>
      <c r="D2704" s="5" t="s">
        <v>1351</v>
      </c>
      <c r="E2704" s="5" t="n">
        <v>1</v>
      </c>
      <c r="F2704" s="6" t="n">
        <f aca="false">IFERROR(MATCH(A2704&amp;"|"&amp;B2704&amp;"|"&amp;D2704,'All Song Rankings'!$T:$T,0),0)</f>
        <v>425</v>
      </c>
      <c r="G2704" s="6" t="str">
        <f aca="false">IF(F2704=0,"NOT FOUND",INDEX('All Song Rankings'!$A:$A,F2704))</f>
        <v>Stay Gold</v>
      </c>
      <c r="H2704" s="6" t="str">
        <f aca="false">IF(F2704=0,"NOT FOUND",INDEX('All Song Rankings'!$B:$B,F2704))</f>
        <v>Sky Lakota-Lynch, Brody Grant, Original Broadway Cast of The Outsiders - A New Musical</v>
      </c>
      <c r="I2704" s="6" t="str">
        <f aca="false">IF(F2704=0,"NOT FOUND",INDEX('All Song Rankings'!$D:$D,F2704))</f>
        <v>Logan</v>
      </c>
      <c r="J2704" s="7" t="str">
        <f aca="false">IF(F2704=0,"NOT FOUND",IF(C2704=I2704,"SELF-VOTE",IF(COUNTIF($K:$K,K2704)&gt;1,"DUPLICATE","OK")))</f>
        <v>OK</v>
      </c>
      <c r="K2704" s="6" t="str">
        <f aca="false">A2704&amp;"|"&amp;B2704&amp;"|"&amp;C2704&amp;"|"&amp;D2704</f>
        <v>5|1|Kelsey|spotify:track:6QMYeuubL00KcXBXxS5Zhn</v>
      </c>
    </row>
    <row r="2705" customFormat="false" ht="15" hidden="false" customHeight="false" outlineLevel="0" collapsed="false">
      <c r="A2705" s="5" t="n">
        <v>5</v>
      </c>
      <c r="B2705" s="5" t="n">
        <v>1</v>
      </c>
      <c r="C2705" s="5" t="s">
        <v>85</v>
      </c>
      <c r="D2705" s="5" t="s">
        <v>1342</v>
      </c>
      <c r="E2705" s="5" t="n">
        <v>2</v>
      </c>
      <c r="F2705" s="6" t="n">
        <f aca="false">IFERROR(MATCH(A2705&amp;"|"&amp;B2705&amp;"|"&amp;D2705,'All Song Rankings'!$T:$T,0),0)</f>
        <v>422</v>
      </c>
      <c r="G2705" s="6" t="str">
        <f aca="false">IF(F2705=0,"NOT FOUND",INDEX('All Song Rankings'!$A:$A,F2705))</f>
        <v>something to remember</v>
      </c>
      <c r="H2705" s="6" t="str">
        <f aca="false">IF(F2705=0,"NOT FOUND",INDEX('All Song Rankings'!$B:$B,F2705))</f>
        <v>Matt Hansen</v>
      </c>
      <c r="I2705" s="6" t="str">
        <f aca="false">IF(F2705=0,"NOT FOUND",INDEX('All Song Rankings'!$D:$D,F2705))</f>
        <v>Leah</v>
      </c>
      <c r="J2705" s="7" t="str">
        <f aca="false">IF(F2705=0,"NOT FOUND",IF(C2705=I2705,"SELF-VOTE",IF(COUNTIF($K:$K,K2705)&gt;1,"DUPLICATE","OK")))</f>
        <v>OK</v>
      </c>
      <c r="K2705" s="6" t="str">
        <f aca="false">A2705&amp;"|"&amp;B2705&amp;"|"&amp;C2705&amp;"|"&amp;D2705</f>
        <v>5|1|Kelsey|spotify:track:6eI8B3QW20P68MCYMb4Etd</v>
      </c>
    </row>
    <row r="2706" customFormat="false" ht="15" hidden="false" customHeight="false" outlineLevel="0" collapsed="false">
      <c r="A2706" s="5" t="n">
        <v>5</v>
      </c>
      <c r="B2706" s="5" t="n">
        <v>1</v>
      </c>
      <c r="C2706" s="5" t="s">
        <v>106</v>
      </c>
      <c r="D2706" s="5" t="s">
        <v>1357</v>
      </c>
      <c r="E2706" s="5" t="n">
        <v>1</v>
      </c>
      <c r="F2706" s="6" t="n">
        <f aca="false">IFERROR(MATCH(A2706&amp;"|"&amp;B2706&amp;"|"&amp;D2706,'All Song Rankings'!$T:$T,0),0)</f>
        <v>427</v>
      </c>
      <c r="G2706" s="6" t="str">
        <f aca="false">IF(F2706=0,"NOT FOUND",INDEX('All Song Rankings'!$A:$A,F2706))</f>
        <v>Last Kiss</v>
      </c>
      <c r="H2706" s="6" t="str">
        <f aca="false">IF(F2706=0,"NOT FOUND",INDEX('All Song Rankings'!$B:$B,F2706))</f>
        <v>Pearl Jam</v>
      </c>
      <c r="I2706" s="6" t="str">
        <f aca="false">IF(F2706=0,"NOT FOUND",INDEX('All Song Rankings'!$D:$D,F2706))</f>
        <v>Stephanie</v>
      </c>
      <c r="J2706" s="7" t="str">
        <f aca="false">IF(F2706=0,"NOT FOUND",IF(C2706=I2706,"SELF-VOTE",IF(COUNTIF($K:$K,K2706)&gt;1,"DUPLICATE","OK")))</f>
        <v>OK</v>
      </c>
      <c r="K2706" s="6" t="str">
        <f aca="false">A2706&amp;"|"&amp;B2706&amp;"|"&amp;C2706&amp;"|"&amp;D2706</f>
        <v>5|1|Kristen|spotify:track:0QnONzv3TvHAWk294h6DaQ</v>
      </c>
    </row>
    <row r="2707" customFormat="false" ht="15" hidden="false" customHeight="false" outlineLevel="0" collapsed="false">
      <c r="A2707" s="5" t="n">
        <v>5</v>
      </c>
      <c r="B2707" s="5" t="n">
        <v>1</v>
      </c>
      <c r="C2707" s="5" t="s">
        <v>106</v>
      </c>
      <c r="D2707" s="5" t="s">
        <v>1369</v>
      </c>
      <c r="E2707" s="5" t="n">
        <v>1</v>
      </c>
      <c r="F2707" s="6" t="n">
        <f aca="false">IFERROR(MATCH(A2707&amp;"|"&amp;B2707&amp;"|"&amp;D2707,'All Song Rankings'!$T:$T,0),0)</f>
        <v>431</v>
      </c>
      <c r="G2707" s="6" t="str">
        <f aca="false">IF(F2707=0,"NOT FOUND",INDEX('All Song Rankings'!$A:$A,F2707))</f>
        <v>Samson</v>
      </c>
      <c r="H2707" s="6" t="str">
        <f aca="false">IF(F2707=0,"NOT FOUND",INDEX('All Song Rankings'!$B:$B,F2707))</f>
        <v>Regina Spektor</v>
      </c>
      <c r="I2707" s="6" t="str">
        <f aca="false">IF(F2707=0,"NOT FOUND",INDEX('All Song Rankings'!$D:$D,F2707))</f>
        <v>Lisa</v>
      </c>
      <c r="J2707" s="7" t="str">
        <f aca="false">IF(F2707=0,"NOT FOUND",IF(C2707=I2707,"SELF-VOTE",IF(COUNTIF($K:$K,K2707)&gt;1,"DUPLICATE","OK")))</f>
        <v>OK</v>
      </c>
      <c r="K2707" s="6" t="str">
        <f aca="false">A2707&amp;"|"&amp;B2707&amp;"|"&amp;C2707&amp;"|"&amp;D2707</f>
        <v>5|1|Kristen|spotify:track:2JAUBPBVkimRLc5BGhAkfJ</v>
      </c>
    </row>
    <row r="2708" customFormat="false" ht="15" hidden="false" customHeight="false" outlineLevel="0" collapsed="false">
      <c r="A2708" s="5" t="n">
        <v>5</v>
      </c>
      <c r="B2708" s="5" t="n">
        <v>1</v>
      </c>
      <c r="C2708" s="5" t="s">
        <v>106</v>
      </c>
      <c r="D2708" s="5" t="s">
        <v>1339</v>
      </c>
      <c r="E2708" s="5" t="n">
        <v>2</v>
      </c>
      <c r="F2708" s="6" t="n">
        <f aca="false">IFERROR(MATCH(A2708&amp;"|"&amp;B2708&amp;"|"&amp;D2708,'All Song Rankings'!$T:$T,0),0)</f>
        <v>421</v>
      </c>
      <c r="G2708" s="6" t="str">
        <f aca="false">IF(F2708=0,"NOT FOUND",INDEX('All Song Rankings'!$A:$A,F2708))</f>
        <v>Something In The Heavens</v>
      </c>
      <c r="H2708" s="6" t="str">
        <f aca="false">IF(F2708=0,"NOT FOUND",INDEX('All Song Rankings'!$B:$B,F2708))</f>
        <v>Lewis Capaldi</v>
      </c>
      <c r="I2708" s="6" t="str">
        <f aca="false">IF(F2708=0,"NOT FOUND",INDEX('All Song Rankings'!$D:$D,F2708))</f>
        <v>Kelsey</v>
      </c>
      <c r="J2708" s="7" t="str">
        <f aca="false">IF(F2708=0,"NOT FOUND",IF(C2708=I2708,"SELF-VOTE",IF(COUNTIF($K:$K,K2708)&gt;1,"DUPLICATE","OK")))</f>
        <v>OK</v>
      </c>
      <c r="K2708" s="6" t="str">
        <f aca="false">A2708&amp;"|"&amp;B2708&amp;"|"&amp;C2708&amp;"|"&amp;D2708</f>
        <v>5|1|Kristen|spotify:track:4MHORmGs8oN7AASfGmApcM</v>
      </c>
    </row>
    <row r="2709" customFormat="false" ht="15" hidden="false" customHeight="false" outlineLevel="0" collapsed="false">
      <c r="A2709" s="5" t="n">
        <v>5</v>
      </c>
      <c r="B2709" s="5" t="n">
        <v>1</v>
      </c>
      <c r="C2709" s="5" t="s">
        <v>106</v>
      </c>
      <c r="D2709" s="5" t="s">
        <v>1336</v>
      </c>
      <c r="E2709" s="5" t="n">
        <v>1</v>
      </c>
      <c r="F2709" s="6" t="n">
        <f aca="false">IFERROR(MATCH(A2709&amp;"|"&amp;B2709&amp;"|"&amp;D2709,'All Song Rankings'!$T:$T,0),0)</f>
        <v>420</v>
      </c>
      <c r="G2709" s="6" t="str">
        <f aca="false">IF(F2709=0,"NOT FOUND",INDEX('All Song Rankings'!$A:$A,F2709))</f>
        <v>Supermarket Flowers</v>
      </c>
      <c r="H2709" s="6" t="str">
        <f aca="false">IF(F2709=0,"NOT FOUND",INDEX('All Song Rankings'!$B:$B,F2709))</f>
        <v>Ed Sheeran</v>
      </c>
      <c r="I2709" s="6" t="str">
        <f aca="false">IF(F2709=0,"NOT FOUND",INDEX('All Song Rankings'!$D:$D,F2709))</f>
        <v>Merita</v>
      </c>
      <c r="J2709" s="7" t="str">
        <f aca="false">IF(F2709=0,"NOT FOUND",IF(C2709=I2709,"SELF-VOTE",IF(COUNTIF($K:$K,K2709)&gt;1,"DUPLICATE","OK")))</f>
        <v>OK</v>
      </c>
      <c r="K2709" s="6" t="str">
        <f aca="false">A2709&amp;"|"&amp;B2709&amp;"|"&amp;C2709&amp;"|"&amp;D2709</f>
        <v>5|1|Kristen|spotify:track:4VuS959DSpr82t3qBqCrWG</v>
      </c>
    </row>
    <row r="2710" customFormat="false" ht="15" hidden="false" customHeight="false" outlineLevel="0" collapsed="false">
      <c r="A2710" s="5" t="n">
        <v>5</v>
      </c>
      <c r="B2710" s="5" t="n">
        <v>1</v>
      </c>
      <c r="C2710" s="5" t="s">
        <v>106</v>
      </c>
      <c r="D2710" s="5" t="s">
        <v>1354</v>
      </c>
      <c r="E2710" s="5" t="n">
        <v>1</v>
      </c>
      <c r="F2710" s="6" t="n">
        <f aca="false">IFERROR(MATCH(A2710&amp;"|"&amp;B2710&amp;"|"&amp;D2710,'All Song Rankings'!$T:$T,0),0)</f>
        <v>426</v>
      </c>
      <c r="G2710" s="6" t="str">
        <f aca="false">IF(F2710=0,"NOT FOUND",INDEX('All Song Rankings'!$A:$A,F2710))</f>
        <v>A Drop in the Ocean</v>
      </c>
      <c r="H2710" s="6" t="str">
        <f aca="false">IF(F2710=0,"NOT FOUND",INDEX('All Song Rankings'!$B:$B,F2710))</f>
        <v>Ron Pope</v>
      </c>
      <c r="I2710" s="6" t="str">
        <f aca="false">IF(F2710=0,"NOT FOUND",INDEX('All Song Rankings'!$D:$D,F2710))</f>
        <v>Makenzie</v>
      </c>
      <c r="J2710" s="7" t="str">
        <f aca="false">IF(F2710=0,"NOT FOUND",IF(C2710=I2710,"SELF-VOTE",IF(COUNTIF($K:$K,K2710)&gt;1,"DUPLICATE","OK")))</f>
        <v>OK</v>
      </c>
      <c r="K2710" s="6" t="str">
        <f aca="false">A2710&amp;"|"&amp;B2710&amp;"|"&amp;C2710&amp;"|"&amp;D2710</f>
        <v>5|1|Kristen|spotify:track:5JDcQAztvZTIkrWoZihgvC</v>
      </c>
    </row>
    <row r="2711" customFormat="false" ht="15" hidden="false" customHeight="false" outlineLevel="0" collapsed="false">
      <c r="A2711" s="5" t="n">
        <v>5</v>
      </c>
      <c r="B2711" s="5" t="n">
        <v>1</v>
      </c>
      <c r="C2711" s="5" t="s">
        <v>106</v>
      </c>
      <c r="D2711" s="5" t="s">
        <v>1360</v>
      </c>
      <c r="E2711" s="5" t="n">
        <v>1</v>
      </c>
      <c r="F2711" s="6" t="n">
        <f aca="false">IFERROR(MATCH(A2711&amp;"|"&amp;B2711&amp;"|"&amp;D2711,'All Song Rankings'!$T:$T,0),0)</f>
        <v>428</v>
      </c>
      <c r="G2711" s="6" t="str">
        <f aca="false">IF(F2711=0,"NOT FOUND",INDEX('All Song Rankings'!$A:$A,F2711))</f>
        <v>See You Again (feat. Charlie Puth)</v>
      </c>
      <c r="H2711" s="6" t="str">
        <f aca="false">IF(F2711=0,"NOT FOUND",INDEX('All Song Rankings'!$B:$B,F2711))</f>
        <v>Wiz Khalifa, Charlie Puth</v>
      </c>
      <c r="I2711" s="6" t="str">
        <f aca="false">IF(F2711=0,"NOT FOUND",INDEX('All Song Rankings'!$D:$D,F2711))</f>
        <v>Nicole</v>
      </c>
      <c r="J2711" s="7" t="str">
        <f aca="false">IF(F2711=0,"NOT FOUND",IF(C2711=I2711,"SELF-VOTE",IF(COUNTIF($K:$K,K2711)&gt;1,"DUPLICATE","OK")))</f>
        <v>OK</v>
      </c>
      <c r="K2711" s="6" t="str">
        <f aca="false">A2711&amp;"|"&amp;B2711&amp;"|"&amp;C2711&amp;"|"&amp;D2711</f>
        <v>5|1|Kristen|spotify:track:6IcrwGdIvRsrImOnoYfG9Z</v>
      </c>
    </row>
    <row r="2712" customFormat="false" ht="15" hidden="false" customHeight="false" outlineLevel="0" collapsed="false">
      <c r="A2712" s="5" t="n">
        <v>5</v>
      </c>
      <c r="B2712" s="5" t="n">
        <v>1</v>
      </c>
      <c r="C2712" s="5" t="s">
        <v>106</v>
      </c>
      <c r="D2712" s="5" t="s">
        <v>1342</v>
      </c>
      <c r="E2712" s="5" t="n">
        <v>2</v>
      </c>
      <c r="F2712" s="6" t="n">
        <f aca="false">IFERROR(MATCH(A2712&amp;"|"&amp;B2712&amp;"|"&amp;D2712,'All Song Rankings'!$T:$T,0),0)</f>
        <v>422</v>
      </c>
      <c r="G2712" s="6" t="str">
        <f aca="false">IF(F2712=0,"NOT FOUND",INDEX('All Song Rankings'!$A:$A,F2712))</f>
        <v>something to remember</v>
      </c>
      <c r="H2712" s="6" t="str">
        <f aca="false">IF(F2712=0,"NOT FOUND",INDEX('All Song Rankings'!$B:$B,F2712))</f>
        <v>Matt Hansen</v>
      </c>
      <c r="I2712" s="6" t="str">
        <f aca="false">IF(F2712=0,"NOT FOUND",INDEX('All Song Rankings'!$D:$D,F2712))</f>
        <v>Leah</v>
      </c>
      <c r="J2712" s="7" t="str">
        <f aca="false">IF(F2712=0,"NOT FOUND",IF(C2712=I2712,"SELF-VOTE",IF(COUNTIF($K:$K,K2712)&gt;1,"DUPLICATE","OK")))</f>
        <v>OK</v>
      </c>
      <c r="K2712" s="6" t="str">
        <f aca="false">A2712&amp;"|"&amp;B2712&amp;"|"&amp;C2712&amp;"|"&amp;D2712</f>
        <v>5|1|Kristen|spotify:track:6eI8B3QW20P68MCYMb4Etd</v>
      </c>
    </row>
    <row r="2713" customFormat="false" ht="15" hidden="false" customHeight="false" outlineLevel="0" collapsed="false">
      <c r="A2713" s="5" t="n">
        <v>5</v>
      </c>
      <c r="B2713" s="5" t="n">
        <v>1</v>
      </c>
      <c r="C2713" s="5" t="s">
        <v>106</v>
      </c>
      <c r="D2713" s="5" t="s">
        <v>1363</v>
      </c>
      <c r="E2713" s="5" t="n">
        <v>1</v>
      </c>
      <c r="F2713" s="6" t="n">
        <f aca="false">IFERROR(MATCH(A2713&amp;"|"&amp;B2713&amp;"|"&amp;D2713,'All Song Rankings'!$T:$T,0),0)</f>
        <v>429</v>
      </c>
      <c r="G2713" s="6" t="str">
        <f aca="false">IF(F2713=0,"NOT FOUND",INDEX('All Song Rankings'!$A:$A,F2713))</f>
        <v>Strange</v>
      </c>
      <c r="H2713" s="6" t="str">
        <f aca="false">IF(F2713=0,"NOT FOUND",INDEX('All Song Rankings'!$B:$B,F2713))</f>
        <v>Celeste</v>
      </c>
      <c r="I2713" s="6" t="str">
        <f aca="false">IF(F2713=0,"NOT FOUND",INDEX('All Song Rankings'!$D:$D,F2713))</f>
        <v>Matt</v>
      </c>
      <c r="J2713" s="7" t="str">
        <f aca="false">IF(F2713=0,"NOT FOUND",IF(C2713=I2713,"SELF-VOTE",IF(COUNTIF($K:$K,K2713)&gt;1,"DUPLICATE","OK")))</f>
        <v>OK</v>
      </c>
      <c r="K2713" s="6" t="str">
        <f aca="false">A2713&amp;"|"&amp;B2713&amp;"|"&amp;C2713&amp;"|"&amp;D2713</f>
        <v>5|1|Kristen|spotify:track:7sq2z9oX2S0CvgTqCZ0ko4</v>
      </c>
    </row>
    <row r="2714" customFormat="false" ht="15" hidden="false" customHeight="false" outlineLevel="0" collapsed="false">
      <c r="A2714" s="5" t="n">
        <v>5</v>
      </c>
      <c r="B2714" s="5" t="n">
        <v>1</v>
      </c>
      <c r="C2714" s="5" t="s">
        <v>119</v>
      </c>
      <c r="D2714" s="5" t="s">
        <v>1357</v>
      </c>
      <c r="E2714" s="5" t="n">
        <v>1</v>
      </c>
      <c r="F2714" s="6" t="n">
        <f aca="false">IFERROR(MATCH(A2714&amp;"|"&amp;B2714&amp;"|"&amp;D2714,'All Song Rankings'!$T:$T,0),0)</f>
        <v>427</v>
      </c>
      <c r="G2714" s="6" t="str">
        <f aca="false">IF(F2714=0,"NOT FOUND",INDEX('All Song Rankings'!$A:$A,F2714))</f>
        <v>Last Kiss</v>
      </c>
      <c r="H2714" s="6" t="str">
        <f aca="false">IF(F2714=0,"NOT FOUND",INDEX('All Song Rankings'!$B:$B,F2714))</f>
        <v>Pearl Jam</v>
      </c>
      <c r="I2714" s="6" t="str">
        <f aca="false">IF(F2714=0,"NOT FOUND",INDEX('All Song Rankings'!$D:$D,F2714))</f>
        <v>Stephanie</v>
      </c>
      <c r="J2714" s="7" t="str">
        <f aca="false">IF(F2714=0,"NOT FOUND",IF(C2714=I2714,"SELF-VOTE",IF(COUNTIF($K:$K,K2714)&gt;1,"DUPLICATE","OK")))</f>
        <v>OK</v>
      </c>
      <c r="K2714" s="6" t="str">
        <f aca="false">A2714&amp;"|"&amp;B2714&amp;"|"&amp;C2714&amp;"|"&amp;D2714</f>
        <v>5|1|Leah|spotify:track:0QnONzv3TvHAWk294h6DaQ</v>
      </c>
    </row>
    <row r="2715" customFormat="false" ht="15" hidden="false" customHeight="false" outlineLevel="0" collapsed="false">
      <c r="A2715" s="5" t="n">
        <v>5</v>
      </c>
      <c r="B2715" s="5" t="n">
        <v>1</v>
      </c>
      <c r="C2715" s="5" t="s">
        <v>119</v>
      </c>
      <c r="D2715" s="5" t="s">
        <v>1348</v>
      </c>
      <c r="E2715" s="5" t="n">
        <v>1</v>
      </c>
      <c r="F2715" s="6" t="n">
        <f aca="false">IFERROR(MATCH(A2715&amp;"|"&amp;B2715&amp;"|"&amp;D2715,'All Song Rankings'!$T:$T,0),0)</f>
        <v>424</v>
      </c>
      <c r="G2715" s="6" t="str">
        <f aca="false">IF(F2715=0,"NOT FOUND",INDEX('All Song Rankings'!$A:$A,F2715))</f>
        <v>Concrete Angel</v>
      </c>
      <c r="H2715" s="6" t="str">
        <f aca="false">IF(F2715=0,"NOT FOUND",INDEX('All Song Rankings'!$B:$B,F2715))</f>
        <v>Martina McBride</v>
      </c>
      <c r="I2715" s="6" t="str">
        <f aca="false">IF(F2715=0,"NOT FOUND",INDEX('All Song Rankings'!$D:$D,F2715))</f>
        <v>Colleen</v>
      </c>
      <c r="J2715" s="7" t="str">
        <f aca="false">IF(F2715=0,"NOT FOUND",IF(C2715=I2715,"SELF-VOTE",IF(COUNTIF($K:$K,K2715)&gt;1,"DUPLICATE","OK")))</f>
        <v>OK</v>
      </c>
      <c r="K2715" s="6" t="str">
        <f aca="false">A2715&amp;"|"&amp;B2715&amp;"|"&amp;C2715&amp;"|"&amp;D2715</f>
        <v>5|1|Leah|spotify:track:2LLcI3oU4CedCQDV5tJ1SK</v>
      </c>
    </row>
    <row r="2716" customFormat="false" ht="15" hidden="false" customHeight="false" outlineLevel="0" collapsed="false">
      <c r="A2716" s="5" t="n">
        <v>5</v>
      </c>
      <c r="B2716" s="5" t="n">
        <v>1</v>
      </c>
      <c r="C2716" s="5" t="s">
        <v>119</v>
      </c>
      <c r="D2716" s="5" t="s">
        <v>1345</v>
      </c>
      <c r="E2716" s="5" t="n">
        <v>1</v>
      </c>
      <c r="F2716" s="6" t="n">
        <f aca="false">IFERROR(MATCH(A2716&amp;"|"&amp;B2716&amp;"|"&amp;D2716,'All Song Rankings'!$T:$T,0),0)</f>
        <v>423</v>
      </c>
      <c r="G2716" s="6" t="str">
        <f aca="false">IF(F2716=0,"NOT FOUND",INDEX('All Song Rankings'!$A:$A,F2716))</f>
        <v>Five More Minutes</v>
      </c>
      <c r="H2716" s="6" t="str">
        <f aca="false">IF(F2716=0,"NOT FOUND",INDEX('All Song Rankings'!$B:$B,F2716))</f>
        <v>Scotty McCreery</v>
      </c>
      <c r="I2716" s="6" t="str">
        <f aca="false">IF(F2716=0,"NOT FOUND",INDEX('All Song Rankings'!$D:$D,F2716))</f>
        <v>Aubrey</v>
      </c>
      <c r="J2716" s="7" t="str">
        <f aca="false">IF(F2716=0,"NOT FOUND",IF(C2716=I2716,"SELF-VOTE",IF(COUNTIF($K:$K,K2716)&gt;1,"DUPLICATE","OK")))</f>
        <v>OK</v>
      </c>
      <c r="K2716" s="6" t="str">
        <f aca="false">A2716&amp;"|"&amp;B2716&amp;"|"&amp;C2716&amp;"|"&amp;D2716</f>
        <v>5|1|Leah|spotify:track:3qTmB5HxP9ilJaiM6B1yuk</v>
      </c>
    </row>
    <row r="2717" customFormat="false" ht="15" hidden="false" customHeight="false" outlineLevel="0" collapsed="false">
      <c r="A2717" s="5" t="n">
        <v>5</v>
      </c>
      <c r="B2717" s="5" t="n">
        <v>1</v>
      </c>
      <c r="C2717" s="5" t="s">
        <v>119</v>
      </c>
      <c r="D2717" s="5" t="s">
        <v>1339</v>
      </c>
      <c r="E2717" s="5" t="n">
        <v>2</v>
      </c>
      <c r="F2717" s="6" t="n">
        <f aca="false">IFERROR(MATCH(A2717&amp;"|"&amp;B2717&amp;"|"&amp;D2717,'All Song Rankings'!$T:$T,0),0)</f>
        <v>421</v>
      </c>
      <c r="G2717" s="6" t="str">
        <f aca="false">IF(F2717=0,"NOT FOUND",INDEX('All Song Rankings'!$A:$A,F2717))</f>
        <v>Something In The Heavens</v>
      </c>
      <c r="H2717" s="6" t="str">
        <f aca="false">IF(F2717=0,"NOT FOUND",INDEX('All Song Rankings'!$B:$B,F2717))</f>
        <v>Lewis Capaldi</v>
      </c>
      <c r="I2717" s="6" t="str">
        <f aca="false">IF(F2717=0,"NOT FOUND",INDEX('All Song Rankings'!$D:$D,F2717))</f>
        <v>Kelsey</v>
      </c>
      <c r="J2717" s="7" t="str">
        <f aca="false">IF(F2717=0,"NOT FOUND",IF(C2717=I2717,"SELF-VOTE",IF(COUNTIF($K:$K,K2717)&gt;1,"DUPLICATE","OK")))</f>
        <v>OK</v>
      </c>
      <c r="K2717" s="6" t="str">
        <f aca="false">A2717&amp;"|"&amp;B2717&amp;"|"&amp;C2717&amp;"|"&amp;D2717</f>
        <v>5|1|Leah|spotify:track:4MHORmGs8oN7AASfGmApcM</v>
      </c>
    </row>
    <row r="2718" customFormat="false" ht="15" hidden="false" customHeight="false" outlineLevel="0" collapsed="false">
      <c r="A2718" s="5" t="n">
        <v>5</v>
      </c>
      <c r="B2718" s="5" t="n">
        <v>1</v>
      </c>
      <c r="C2718" s="5" t="s">
        <v>119</v>
      </c>
      <c r="D2718" s="5" t="s">
        <v>1354</v>
      </c>
      <c r="E2718" s="5" t="n">
        <v>1</v>
      </c>
      <c r="F2718" s="6" t="n">
        <f aca="false">IFERROR(MATCH(A2718&amp;"|"&amp;B2718&amp;"|"&amp;D2718,'All Song Rankings'!$T:$T,0),0)</f>
        <v>426</v>
      </c>
      <c r="G2718" s="6" t="str">
        <f aca="false">IF(F2718=0,"NOT FOUND",INDEX('All Song Rankings'!$A:$A,F2718))</f>
        <v>A Drop in the Ocean</v>
      </c>
      <c r="H2718" s="6" t="str">
        <f aca="false">IF(F2718=0,"NOT FOUND",INDEX('All Song Rankings'!$B:$B,F2718))</f>
        <v>Ron Pope</v>
      </c>
      <c r="I2718" s="6" t="str">
        <f aca="false">IF(F2718=0,"NOT FOUND",INDEX('All Song Rankings'!$D:$D,F2718))</f>
        <v>Makenzie</v>
      </c>
      <c r="J2718" s="7" t="str">
        <f aca="false">IF(F2718=0,"NOT FOUND",IF(C2718=I2718,"SELF-VOTE",IF(COUNTIF($K:$K,K2718)&gt;1,"DUPLICATE","OK")))</f>
        <v>OK</v>
      </c>
      <c r="K2718" s="6" t="str">
        <f aca="false">A2718&amp;"|"&amp;B2718&amp;"|"&amp;C2718&amp;"|"&amp;D2718</f>
        <v>5|1|Leah|spotify:track:5JDcQAztvZTIkrWoZihgvC</v>
      </c>
    </row>
    <row r="2719" customFormat="false" ht="15" hidden="false" customHeight="false" outlineLevel="0" collapsed="false">
      <c r="A2719" s="5" t="n">
        <v>5</v>
      </c>
      <c r="B2719" s="5" t="n">
        <v>1</v>
      </c>
      <c r="C2719" s="5" t="s">
        <v>119</v>
      </c>
      <c r="D2719" s="5" t="s">
        <v>1360</v>
      </c>
      <c r="E2719" s="5" t="n">
        <v>1</v>
      </c>
      <c r="F2719" s="6" t="n">
        <f aca="false">IFERROR(MATCH(A2719&amp;"|"&amp;B2719&amp;"|"&amp;D2719,'All Song Rankings'!$T:$T,0),0)</f>
        <v>428</v>
      </c>
      <c r="G2719" s="6" t="str">
        <f aca="false">IF(F2719=0,"NOT FOUND",INDEX('All Song Rankings'!$A:$A,F2719))</f>
        <v>See You Again (feat. Charlie Puth)</v>
      </c>
      <c r="H2719" s="6" t="str">
        <f aca="false">IF(F2719=0,"NOT FOUND",INDEX('All Song Rankings'!$B:$B,F2719))</f>
        <v>Wiz Khalifa, Charlie Puth</v>
      </c>
      <c r="I2719" s="6" t="str">
        <f aca="false">IF(F2719=0,"NOT FOUND",INDEX('All Song Rankings'!$D:$D,F2719))</f>
        <v>Nicole</v>
      </c>
      <c r="J2719" s="7" t="str">
        <f aca="false">IF(F2719=0,"NOT FOUND",IF(C2719=I2719,"SELF-VOTE",IF(COUNTIF($K:$K,K2719)&gt;1,"DUPLICATE","OK")))</f>
        <v>OK</v>
      </c>
      <c r="K2719" s="6" t="str">
        <f aca="false">A2719&amp;"|"&amp;B2719&amp;"|"&amp;C2719&amp;"|"&amp;D2719</f>
        <v>5|1|Leah|spotify:track:6IcrwGdIvRsrImOnoYfG9Z</v>
      </c>
    </row>
    <row r="2720" customFormat="false" ht="15" hidden="false" customHeight="false" outlineLevel="0" collapsed="false">
      <c r="A2720" s="5" t="n">
        <v>5</v>
      </c>
      <c r="B2720" s="5" t="n">
        <v>1</v>
      </c>
      <c r="C2720" s="5" t="s">
        <v>119</v>
      </c>
      <c r="D2720" s="5" t="s">
        <v>1351</v>
      </c>
      <c r="E2720" s="5" t="n">
        <v>1</v>
      </c>
      <c r="F2720" s="6" t="n">
        <f aca="false">IFERROR(MATCH(A2720&amp;"|"&amp;B2720&amp;"|"&amp;D2720,'All Song Rankings'!$T:$T,0),0)</f>
        <v>425</v>
      </c>
      <c r="G2720" s="6" t="str">
        <f aca="false">IF(F2720=0,"NOT FOUND",INDEX('All Song Rankings'!$A:$A,F2720))</f>
        <v>Stay Gold</v>
      </c>
      <c r="H2720" s="6" t="str">
        <f aca="false">IF(F2720=0,"NOT FOUND",INDEX('All Song Rankings'!$B:$B,F2720))</f>
        <v>Sky Lakota-Lynch, Brody Grant, Original Broadway Cast of The Outsiders - A New Musical</v>
      </c>
      <c r="I2720" s="6" t="str">
        <f aca="false">IF(F2720=0,"NOT FOUND",INDEX('All Song Rankings'!$D:$D,F2720))</f>
        <v>Logan</v>
      </c>
      <c r="J2720" s="7" t="str">
        <f aca="false">IF(F2720=0,"NOT FOUND",IF(C2720=I2720,"SELF-VOTE",IF(COUNTIF($K:$K,K2720)&gt;1,"DUPLICATE","OK")))</f>
        <v>OK</v>
      </c>
      <c r="K2720" s="6" t="str">
        <f aca="false">A2720&amp;"|"&amp;B2720&amp;"|"&amp;C2720&amp;"|"&amp;D2720</f>
        <v>5|1|Leah|spotify:track:6QMYeuubL00KcXBXxS5Zhn</v>
      </c>
    </row>
    <row r="2721" customFormat="false" ht="15" hidden="false" customHeight="false" outlineLevel="0" collapsed="false">
      <c r="A2721" s="5" t="n">
        <v>5</v>
      </c>
      <c r="B2721" s="5" t="n">
        <v>1</v>
      </c>
      <c r="C2721" s="5" t="s">
        <v>119</v>
      </c>
      <c r="D2721" s="5" t="s">
        <v>1366</v>
      </c>
      <c r="E2721" s="5" t="n">
        <v>1</v>
      </c>
      <c r="F2721" s="6" t="n">
        <f aca="false">IFERROR(MATCH(A2721&amp;"|"&amp;B2721&amp;"|"&amp;D2721,'All Song Rankings'!$T:$T,0),0)</f>
        <v>430</v>
      </c>
      <c r="G2721" s="6" t="str">
        <f aca="false">IF(F2721=0,"NOT FOUND",INDEX('All Song Rankings'!$A:$A,F2721))</f>
        <v>This Woman's Work - 2018 Remaster</v>
      </c>
      <c r="H2721" s="6" t="str">
        <f aca="false">IF(F2721=0,"NOT FOUND",INDEX('All Song Rankings'!$B:$B,F2721))</f>
        <v>Kate Bush</v>
      </c>
      <c r="I2721" s="6" t="str">
        <f aca="false">IF(F2721=0,"NOT FOUND",INDEX('All Song Rankings'!$D:$D,F2721))</f>
        <v>Christine</v>
      </c>
      <c r="J2721" s="7" t="str">
        <f aca="false">IF(F2721=0,"NOT FOUND",IF(C2721=I2721,"SELF-VOTE",IF(COUNTIF($K:$K,K2721)&gt;1,"DUPLICATE","OK")))</f>
        <v>OK</v>
      </c>
      <c r="K2721" s="6" t="str">
        <f aca="false">A2721&amp;"|"&amp;B2721&amp;"|"&amp;C2721&amp;"|"&amp;D2721</f>
        <v>5|1|Leah|spotify:track:7ijKen7rccf56qOMGkS22e</v>
      </c>
    </row>
    <row r="2722" customFormat="false" ht="15" hidden="false" customHeight="false" outlineLevel="0" collapsed="false">
      <c r="A2722" s="5" t="n">
        <v>5</v>
      </c>
      <c r="B2722" s="5" t="n">
        <v>1</v>
      </c>
      <c r="C2722" s="5" t="s">
        <v>119</v>
      </c>
      <c r="D2722" s="5" t="s">
        <v>1363</v>
      </c>
      <c r="E2722" s="5" t="n">
        <v>1</v>
      </c>
      <c r="F2722" s="6" t="n">
        <f aca="false">IFERROR(MATCH(A2722&amp;"|"&amp;B2722&amp;"|"&amp;D2722,'All Song Rankings'!$T:$T,0),0)</f>
        <v>429</v>
      </c>
      <c r="G2722" s="6" t="str">
        <f aca="false">IF(F2722=0,"NOT FOUND",INDEX('All Song Rankings'!$A:$A,F2722))</f>
        <v>Strange</v>
      </c>
      <c r="H2722" s="6" t="str">
        <f aca="false">IF(F2722=0,"NOT FOUND",INDEX('All Song Rankings'!$B:$B,F2722))</f>
        <v>Celeste</v>
      </c>
      <c r="I2722" s="6" t="str">
        <f aca="false">IF(F2722=0,"NOT FOUND",INDEX('All Song Rankings'!$D:$D,F2722))</f>
        <v>Matt</v>
      </c>
      <c r="J2722" s="7" t="str">
        <f aca="false">IF(F2722=0,"NOT FOUND",IF(C2722=I2722,"SELF-VOTE",IF(COUNTIF($K:$K,K2722)&gt;1,"DUPLICATE","OK")))</f>
        <v>OK</v>
      </c>
      <c r="K2722" s="6" t="str">
        <f aca="false">A2722&amp;"|"&amp;B2722&amp;"|"&amp;C2722&amp;"|"&amp;D2722</f>
        <v>5|1|Leah|spotify:track:7sq2z9oX2S0CvgTqCZ0ko4</v>
      </c>
    </row>
    <row r="2723" customFormat="false" ht="15" hidden="false" customHeight="false" outlineLevel="0" collapsed="false">
      <c r="A2723" s="5" t="n">
        <v>5</v>
      </c>
      <c r="B2723" s="5" t="n">
        <v>1</v>
      </c>
      <c r="C2723" s="5" t="s">
        <v>705</v>
      </c>
      <c r="D2723" s="5" t="s">
        <v>1357</v>
      </c>
      <c r="E2723" s="5" t="n">
        <v>1</v>
      </c>
      <c r="F2723" s="6" t="n">
        <f aca="false">IFERROR(MATCH(A2723&amp;"|"&amp;B2723&amp;"|"&amp;D2723,'All Song Rankings'!$T:$T,0),0)</f>
        <v>427</v>
      </c>
      <c r="G2723" s="6" t="str">
        <f aca="false">IF(F2723=0,"NOT FOUND",INDEX('All Song Rankings'!$A:$A,F2723))</f>
        <v>Last Kiss</v>
      </c>
      <c r="H2723" s="6" t="str">
        <f aca="false">IF(F2723=0,"NOT FOUND",INDEX('All Song Rankings'!$B:$B,F2723))</f>
        <v>Pearl Jam</v>
      </c>
      <c r="I2723" s="6" t="str">
        <f aca="false">IF(F2723=0,"NOT FOUND",INDEX('All Song Rankings'!$D:$D,F2723))</f>
        <v>Stephanie</v>
      </c>
      <c r="J2723" s="7" t="str">
        <f aca="false">IF(F2723=0,"NOT FOUND",IF(C2723=I2723,"SELF-VOTE",IF(COUNTIF($K:$K,K2723)&gt;1,"DUPLICATE","OK")))</f>
        <v>OK</v>
      </c>
      <c r="K2723" s="6" t="str">
        <f aca="false">A2723&amp;"|"&amp;B2723&amp;"|"&amp;C2723&amp;"|"&amp;D2723</f>
        <v>5|1|Lisa|spotify:track:0QnONzv3TvHAWk294h6DaQ</v>
      </c>
    </row>
    <row r="2724" customFormat="false" ht="15" hidden="false" customHeight="false" outlineLevel="0" collapsed="false">
      <c r="A2724" s="5" t="n">
        <v>5</v>
      </c>
      <c r="B2724" s="5" t="n">
        <v>1</v>
      </c>
      <c r="C2724" s="5" t="s">
        <v>705</v>
      </c>
      <c r="D2724" s="5" t="s">
        <v>1339</v>
      </c>
      <c r="E2724" s="5" t="n">
        <v>2</v>
      </c>
      <c r="F2724" s="6" t="n">
        <f aca="false">IFERROR(MATCH(A2724&amp;"|"&amp;B2724&amp;"|"&amp;D2724,'All Song Rankings'!$T:$T,0),0)</f>
        <v>421</v>
      </c>
      <c r="G2724" s="6" t="str">
        <f aca="false">IF(F2724=0,"NOT FOUND",INDEX('All Song Rankings'!$A:$A,F2724))</f>
        <v>Something In The Heavens</v>
      </c>
      <c r="H2724" s="6" t="str">
        <f aca="false">IF(F2724=0,"NOT FOUND",INDEX('All Song Rankings'!$B:$B,F2724))</f>
        <v>Lewis Capaldi</v>
      </c>
      <c r="I2724" s="6" t="str">
        <f aca="false">IF(F2724=0,"NOT FOUND",INDEX('All Song Rankings'!$D:$D,F2724))</f>
        <v>Kelsey</v>
      </c>
      <c r="J2724" s="7" t="str">
        <f aca="false">IF(F2724=0,"NOT FOUND",IF(C2724=I2724,"SELF-VOTE",IF(COUNTIF($K:$K,K2724)&gt;1,"DUPLICATE","OK")))</f>
        <v>OK</v>
      </c>
      <c r="K2724" s="6" t="str">
        <f aca="false">A2724&amp;"|"&amp;B2724&amp;"|"&amp;C2724&amp;"|"&amp;D2724</f>
        <v>5|1|Lisa|spotify:track:4MHORmGs8oN7AASfGmApcM</v>
      </c>
    </row>
    <row r="2725" customFormat="false" ht="15" hidden="false" customHeight="false" outlineLevel="0" collapsed="false">
      <c r="A2725" s="5" t="n">
        <v>5</v>
      </c>
      <c r="B2725" s="5" t="n">
        <v>1</v>
      </c>
      <c r="C2725" s="5" t="s">
        <v>705</v>
      </c>
      <c r="D2725" s="5" t="s">
        <v>1336</v>
      </c>
      <c r="E2725" s="5" t="n">
        <v>1</v>
      </c>
      <c r="F2725" s="6" t="n">
        <f aca="false">IFERROR(MATCH(A2725&amp;"|"&amp;B2725&amp;"|"&amp;D2725,'All Song Rankings'!$T:$T,0),0)</f>
        <v>420</v>
      </c>
      <c r="G2725" s="6" t="str">
        <f aca="false">IF(F2725=0,"NOT FOUND",INDEX('All Song Rankings'!$A:$A,F2725))</f>
        <v>Supermarket Flowers</v>
      </c>
      <c r="H2725" s="6" t="str">
        <f aca="false">IF(F2725=0,"NOT FOUND",INDEX('All Song Rankings'!$B:$B,F2725))</f>
        <v>Ed Sheeran</v>
      </c>
      <c r="I2725" s="6" t="str">
        <f aca="false">IF(F2725=0,"NOT FOUND",INDEX('All Song Rankings'!$D:$D,F2725))</f>
        <v>Merita</v>
      </c>
      <c r="J2725" s="7" t="str">
        <f aca="false">IF(F2725=0,"NOT FOUND",IF(C2725=I2725,"SELF-VOTE",IF(COUNTIF($K:$K,K2725)&gt;1,"DUPLICATE","OK")))</f>
        <v>OK</v>
      </c>
      <c r="K2725" s="6" t="str">
        <f aca="false">A2725&amp;"|"&amp;B2725&amp;"|"&amp;C2725&amp;"|"&amp;D2725</f>
        <v>5|1|Lisa|spotify:track:4VuS959DSpr82t3qBqCrWG</v>
      </c>
    </row>
    <row r="2726" customFormat="false" ht="15" hidden="false" customHeight="false" outlineLevel="0" collapsed="false">
      <c r="A2726" s="5" t="n">
        <v>5</v>
      </c>
      <c r="B2726" s="5" t="n">
        <v>1</v>
      </c>
      <c r="C2726" s="5" t="s">
        <v>705</v>
      </c>
      <c r="D2726" s="5" t="s">
        <v>1372</v>
      </c>
      <c r="E2726" s="5" t="n">
        <v>1</v>
      </c>
      <c r="F2726" s="6" t="n">
        <f aca="false">IFERROR(MATCH(A2726&amp;"|"&amp;B2726&amp;"|"&amp;D2726,'All Song Rankings'!$T:$T,0),0)</f>
        <v>432</v>
      </c>
      <c r="G2726" s="6" t="str">
        <f aca="false">IF(F2726=0,"NOT FOUND",INDEX('All Song Rankings'!$A:$A,F2726))</f>
        <v>Delicate</v>
      </c>
      <c r="H2726" s="6" t="str">
        <f aca="false">IF(F2726=0,"NOT FOUND",INDEX('All Song Rankings'!$B:$B,F2726))</f>
        <v>Damien Rice</v>
      </c>
      <c r="I2726" s="6" t="str">
        <f aca="false">IF(F2726=0,"NOT FOUND",INDEX('All Song Rankings'!$D:$D,F2726))</f>
        <v>Kristen</v>
      </c>
      <c r="J2726" s="7" t="str">
        <f aca="false">IF(F2726=0,"NOT FOUND",IF(C2726=I2726,"SELF-VOTE",IF(COUNTIF($K:$K,K2726)&gt;1,"DUPLICATE","OK")))</f>
        <v>OK</v>
      </c>
      <c r="K2726" s="6" t="str">
        <f aca="false">A2726&amp;"|"&amp;B2726&amp;"|"&amp;C2726&amp;"|"&amp;D2726</f>
        <v>5|1|Lisa|spotify:track:5mb6SzBnxv1ywFSH9V3uxd</v>
      </c>
    </row>
    <row r="2727" customFormat="false" ht="15" hidden="false" customHeight="false" outlineLevel="0" collapsed="false">
      <c r="A2727" s="5" t="n">
        <v>5</v>
      </c>
      <c r="B2727" s="5" t="n">
        <v>1</v>
      </c>
      <c r="C2727" s="5" t="s">
        <v>705</v>
      </c>
      <c r="D2727" s="5" t="s">
        <v>1351</v>
      </c>
      <c r="E2727" s="5" t="n">
        <v>2</v>
      </c>
      <c r="F2727" s="6" t="n">
        <f aca="false">IFERROR(MATCH(A2727&amp;"|"&amp;B2727&amp;"|"&amp;D2727,'All Song Rankings'!$T:$T,0),0)</f>
        <v>425</v>
      </c>
      <c r="G2727" s="6" t="str">
        <f aca="false">IF(F2727=0,"NOT FOUND",INDEX('All Song Rankings'!$A:$A,F2727))</f>
        <v>Stay Gold</v>
      </c>
      <c r="H2727" s="6" t="str">
        <f aca="false">IF(F2727=0,"NOT FOUND",INDEX('All Song Rankings'!$B:$B,F2727))</f>
        <v>Sky Lakota-Lynch, Brody Grant, Original Broadway Cast of The Outsiders - A New Musical</v>
      </c>
      <c r="I2727" s="6" t="str">
        <f aca="false">IF(F2727=0,"NOT FOUND",INDEX('All Song Rankings'!$D:$D,F2727))</f>
        <v>Logan</v>
      </c>
      <c r="J2727" s="7" t="str">
        <f aca="false">IF(F2727=0,"NOT FOUND",IF(C2727=I2727,"SELF-VOTE",IF(COUNTIF($K:$K,K2727)&gt;1,"DUPLICATE","OK")))</f>
        <v>OK</v>
      </c>
      <c r="K2727" s="6" t="str">
        <f aca="false">A2727&amp;"|"&amp;B2727&amp;"|"&amp;C2727&amp;"|"&amp;D2727</f>
        <v>5|1|Lisa|spotify:track:6QMYeuubL00KcXBXxS5Zhn</v>
      </c>
    </row>
    <row r="2728" customFormat="false" ht="15" hidden="false" customHeight="false" outlineLevel="0" collapsed="false">
      <c r="A2728" s="5" t="n">
        <v>5</v>
      </c>
      <c r="B2728" s="5" t="n">
        <v>1</v>
      </c>
      <c r="C2728" s="5" t="s">
        <v>705</v>
      </c>
      <c r="D2728" s="5" t="s">
        <v>1342</v>
      </c>
      <c r="E2728" s="5" t="n">
        <v>1</v>
      </c>
      <c r="F2728" s="6" t="n">
        <f aca="false">IFERROR(MATCH(A2728&amp;"|"&amp;B2728&amp;"|"&amp;D2728,'All Song Rankings'!$T:$T,0),0)</f>
        <v>422</v>
      </c>
      <c r="G2728" s="6" t="str">
        <f aca="false">IF(F2728=0,"NOT FOUND",INDEX('All Song Rankings'!$A:$A,F2728))</f>
        <v>something to remember</v>
      </c>
      <c r="H2728" s="6" t="str">
        <f aca="false">IF(F2728=0,"NOT FOUND",INDEX('All Song Rankings'!$B:$B,F2728))</f>
        <v>Matt Hansen</v>
      </c>
      <c r="I2728" s="6" t="str">
        <f aca="false">IF(F2728=0,"NOT FOUND",INDEX('All Song Rankings'!$D:$D,F2728))</f>
        <v>Leah</v>
      </c>
      <c r="J2728" s="7" t="str">
        <f aca="false">IF(F2728=0,"NOT FOUND",IF(C2728=I2728,"SELF-VOTE",IF(COUNTIF($K:$K,K2728)&gt;1,"DUPLICATE","OK")))</f>
        <v>OK</v>
      </c>
      <c r="K2728" s="6" t="str">
        <f aca="false">A2728&amp;"|"&amp;B2728&amp;"|"&amp;C2728&amp;"|"&amp;D2728</f>
        <v>5|1|Lisa|spotify:track:6eI8B3QW20P68MCYMb4Etd</v>
      </c>
    </row>
    <row r="2729" customFormat="false" ht="15" hidden="false" customHeight="false" outlineLevel="0" collapsed="false">
      <c r="A2729" s="5" t="n">
        <v>5</v>
      </c>
      <c r="B2729" s="5" t="n">
        <v>1</v>
      </c>
      <c r="C2729" s="5" t="s">
        <v>705</v>
      </c>
      <c r="D2729" s="5" t="s">
        <v>1366</v>
      </c>
      <c r="E2729" s="5" t="n">
        <v>2</v>
      </c>
      <c r="F2729" s="6" t="n">
        <f aca="false">IFERROR(MATCH(A2729&amp;"|"&amp;B2729&amp;"|"&amp;D2729,'All Song Rankings'!$T:$T,0),0)</f>
        <v>430</v>
      </c>
      <c r="G2729" s="6" t="str">
        <f aca="false">IF(F2729=0,"NOT FOUND",INDEX('All Song Rankings'!$A:$A,F2729))</f>
        <v>This Woman's Work - 2018 Remaster</v>
      </c>
      <c r="H2729" s="6" t="str">
        <f aca="false">IF(F2729=0,"NOT FOUND",INDEX('All Song Rankings'!$B:$B,F2729))</f>
        <v>Kate Bush</v>
      </c>
      <c r="I2729" s="6" t="str">
        <f aca="false">IF(F2729=0,"NOT FOUND",INDEX('All Song Rankings'!$D:$D,F2729))</f>
        <v>Christine</v>
      </c>
      <c r="J2729" s="7" t="str">
        <f aca="false">IF(F2729=0,"NOT FOUND",IF(C2729=I2729,"SELF-VOTE",IF(COUNTIF($K:$K,K2729)&gt;1,"DUPLICATE","OK")))</f>
        <v>OK</v>
      </c>
      <c r="K2729" s="6" t="str">
        <f aca="false">A2729&amp;"|"&amp;B2729&amp;"|"&amp;C2729&amp;"|"&amp;D2729</f>
        <v>5|1|Lisa|spotify:track:7ijKen7rccf56qOMGkS22e</v>
      </c>
    </row>
    <row r="2730" customFormat="false" ht="15" hidden="false" customHeight="false" outlineLevel="0" collapsed="false">
      <c r="A2730" s="5" t="n">
        <v>5</v>
      </c>
      <c r="B2730" s="5" t="n">
        <v>1</v>
      </c>
      <c r="C2730" s="5" t="s">
        <v>128</v>
      </c>
      <c r="D2730" s="5" t="s">
        <v>1348</v>
      </c>
      <c r="E2730" s="5" t="n">
        <v>4</v>
      </c>
      <c r="F2730" s="6" t="n">
        <f aca="false">IFERROR(MATCH(A2730&amp;"|"&amp;B2730&amp;"|"&amp;D2730,'All Song Rankings'!$T:$T,0),0)</f>
        <v>424</v>
      </c>
      <c r="G2730" s="6" t="str">
        <f aca="false">IF(F2730=0,"NOT FOUND",INDEX('All Song Rankings'!$A:$A,F2730))</f>
        <v>Concrete Angel</v>
      </c>
      <c r="H2730" s="6" t="str">
        <f aca="false">IF(F2730=0,"NOT FOUND",INDEX('All Song Rankings'!$B:$B,F2730))</f>
        <v>Martina McBride</v>
      </c>
      <c r="I2730" s="6" t="str">
        <f aca="false">IF(F2730=0,"NOT FOUND",INDEX('All Song Rankings'!$D:$D,F2730))</f>
        <v>Colleen</v>
      </c>
      <c r="J2730" s="7" t="str">
        <f aca="false">IF(F2730=0,"NOT FOUND",IF(C2730=I2730,"SELF-VOTE",IF(COUNTIF($K:$K,K2730)&gt;1,"DUPLICATE","OK")))</f>
        <v>OK</v>
      </c>
      <c r="K2730" s="6" t="str">
        <f aca="false">A2730&amp;"|"&amp;B2730&amp;"|"&amp;C2730&amp;"|"&amp;D2730</f>
        <v>5|1|Logan|spotify:track:2LLcI3oU4CedCQDV5tJ1SK</v>
      </c>
    </row>
    <row r="2731" customFormat="false" ht="15" hidden="false" customHeight="false" outlineLevel="0" collapsed="false">
      <c r="A2731" s="5" t="n">
        <v>5</v>
      </c>
      <c r="B2731" s="5" t="n">
        <v>1</v>
      </c>
      <c r="C2731" s="5" t="s">
        <v>128</v>
      </c>
      <c r="D2731" s="5" t="s">
        <v>1339</v>
      </c>
      <c r="E2731" s="5" t="n">
        <v>3</v>
      </c>
      <c r="F2731" s="6" t="n">
        <f aca="false">IFERROR(MATCH(A2731&amp;"|"&amp;B2731&amp;"|"&amp;D2731,'All Song Rankings'!$T:$T,0),0)</f>
        <v>421</v>
      </c>
      <c r="G2731" s="6" t="str">
        <f aca="false">IF(F2731=0,"NOT FOUND",INDEX('All Song Rankings'!$A:$A,F2731))</f>
        <v>Something In The Heavens</v>
      </c>
      <c r="H2731" s="6" t="str">
        <f aca="false">IF(F2731=0,"NOT FOUND",INDEX('All Song Rankings'!$B:$B,F2731))</f>
        <v>Lewis Capaldi</v>
      </c>
      <c r="I2731" s="6" t="str">
        <f aca="false">IF(F2731=0,"NOT FOUND",INDEX('All Song Rankings'!$D:$D,F2731))</f>
        <v>Kelsey</v>
      </c>
      <c r="J2731" s="7" t="str">
        <f aca="false">IF(F2731=0,"NOT FOUND",IF(C2731=I2731,"SELF-VOTE",IF(COUNTIF($K:$K,K2731)&gt;1,"DUPLICATE","OK")))</f>
        <v>OK</v>
      </c>
      <c r="K2731" s="6" t="str">
        <f aca="false">A2731&amp;"|"&amp;B2731&amp;"|"&amp;C2731&amp;"|"&amp;D2731</f>
        <v>5|1|Logan|spotify:track:4MHORmGs8oN7AASfGmApcM</v>
      </c>
    </row>
    <row r="2732" customFormat="false" ht="15" hidden="false" customHeight="false" outlineLevel="0" collapsed="false">
      <c r="A2732" s="5" t="n">
        <v>5</v>
      </c>
      <c r="B2732" s="5" t="n">
        <v>1</v>
      </c>
      <c r="C2732" s="5" t="s">
        <v>128</v>
      </c>
      <c r="D2732" s="5" t="s">
        <v>1336</v>
      </c>
      <c r="E2732" s="5" t="n">
        <v>2</v>
      </c>
      <c r="F2732" s="6" t="n">
        <f aca="false">IFERROR(MATCH(A2732&amp;"|"&amp;B2732&amp;"|"&amp;D2732,'All Song Rankings'!$T:$T,0),0)</f>
        <v>420</v>
      </c>
      <c r="G2732" s="6" t="str">
        <f aca="false">IF(F2732=0,"NOT FOUND",INDEX('All Song Rankings'!$A:$A,F2732))</f>
        <v>Supermarket Flowers</v>
      </c>
      <c r="H2732" s="6" t="str">
        <f aca="false">IF(F2732=0,"NOT FOUND",INDEX('All Song Rankings'!$B:$B,F2732))</f>
        <v>Ed Sheeran</v>
      </c>
      <c r="I2732" s="6" t="str">
        <f aca="false">IF(F2732=0,"NOT FOUND",INDEX('All Song Rankings'!$D:$D,F2732))</f>
        <v>Merita</v>
      </c>
      <c r="J2732" s="7" t="str">
        <f aca="false">IF(F2732=0,"NOT FOUND",IF(C2732=I2732,"SELF-VOTE",IF(COUNTIF($K:$K,K2732)&gt;1,"DUPLICATE","OK")))</f>
        <v>OK</v>
      </c>
      <c r="K2732" s="6" t="str">
        <f aca="false">A2732&amp;"|"&amp;B2732&amp;"|"&amp;C2732&amp;"|"&amp;D2732</f>
        <v>5|1|Logan|spotify:track:4VuS959DSpr82t3qBqCrWG</v>
      </c>
    </row>
    <row r="2733" customFormat="false" ht="15" hidden="false" customHeight="false" outlineLevel="0" collapsed="false">
      <c r="A2733" s="5" t="n">
        <v>5</v>
      </c>
      <c r="B2733" s="5" t="n">
        <v>1</v>
      </c>
      <c r="C2733" s="5" t="s">
        <v>128</v>
      </c>
      <c r="D2733" s="5" t="s">
        <v>1342</v>
      </c>
      <c r="E2733" s="5" t="n">
        <v>1</v>
      </c>
      <c r="F2733" s="6" t="n">
        <f aca="false">IFERROR(MATCH(A2733&amp;"|"&amp;B2733&amp;"|"&amp;D2733,'All Song Rankings'!$T:$T,0),0)</f>
        <v>422</v>
      </c>
      <c r="G2733" s="6" t="str">
        <f aca="false">IF(F2733=0,"NOT FOUND",INDEX('All Song Rankings'!$A:$A,F2733))</f>
        <v>something to remember</v>
      </c>
      <c r="H2733" s="6" t="str">
        <f aca="false">IF(F2733=0,"NOT FOUND",INDEX('All Song Rankings'!$B:$B,F2733))</f>
        <v>Matt Hansen</v>
      </c>
      <c r="I2733" s="6" t="str">
        <f aca="false">IF(F2733=0,"NOT FOUND",INDEX('All Song Rankings'!$D:$D,F2733))</f>
        <v>Leah</v>
      </c>
      <c r="J2733" s="7" t="str">
        <f aca="false">IF(F2733=0,"NOT FOUND",IF(C2733=I2733,"SELF-VOTE",IF(COUNTIF($K:$K,K2733)&gt;1,"DUPLICATE","OK")))</f>
        <v>OK</v>
      </c>
      <c r="K2733" s="6" t="str">
        <f aca="false">A2733&amp;"|"&amp;B2733&amp;"|"&amp;C2733&amp;"|"&amp;D2733</f>
        <v>5|1|Logan|spotify:track:6eI8B3QW20P68MCYMb4Etd</v>
      </c>
    </row>
    <row r="2734" customFormat="false" ht="15" hidden="false" customHeight="false" outlineLevel="0" collapsed="false">
      <c r="A2734" s="5" t="n">
        <v>5</v>
      </c>
      <c r="B2734" s="5" t="n">
        <v>1</v>
      </c>
      <c r="C2734" s="5" t="s">
        <v>395</v>
      </c>
      <c r="D2734" s="5" t="s">
        <v>1345</v>
      </c>
      <c r="E2734" s="5" t="n">
        <v>2</v>
      </c>
      <c r="F2734" s="6" t="n">
        <f aca="false">IFERROR(MATCH(A2734&amp;"|"&amp;B2734&amp;"|"&amp;D2734,'All Song Rankings'!$T:$T,0),0)</f>
        <v>423</v>
      </c>
      <c r="G2734" s="6" t="str">
        <f aca="false">IF(F2734=0,"NOT FOUND",INDEX('All Song Rankings'!$A:$A,F2734))</f>
        <v>Five More Minutes</v>
      </c>
      <c r="H2734" s="6" t="str">
        <f aca="false">IF(F2734=0,"NOT FOUND",INDEX('All Song Rankings'!$B:$B,F2734))</f>
        <v>Scotty McCreery</v>
      </c>
      <c r="I2734" s="6" t="str">
        <f aca="false">IF(F2734=0,"NOT FOUND",INDEX('All Song Rankings'!$D:$D,F2734))</f>
        <v>Aubrey</v>
      </c>
      <c r="J2734" s="7" t="str">
        <f aca="false">IF(F2734=0,"NOT FOUND",IF(C2734=I2734,"SELF-VOTE",IF(COUNTIF($K:$K,K2734)&gt;1,"DUPLICATE","OK")))</f>
        <v>OK</v>
      </c>
      <c r="K2734" s="6" t="str">
        <f aca="false">A2734&amp;"|"&amp;B2734&amp;"|"&amp;C2734&amp;"|"&amp;D2734</f>
        <v>5|1|Makenzie|spotify:track:3qTmB5HxP9ilJaiM6B1yuk</v>
      </c>
    </row>
    <row r="2735" customFormat="false" ht="15" hidden="false" customHeight="false" outlineLevel="0" collapsed="false">
      <c r="A2735" s="5" t="n">
        <v>5</v>
      </c>
      <c r="B2735" s="5" t="n">
        <v>1</v>
      </c>
      <c r="C2735" s="5" t="s">
        <v>395</v>
      </c>
      <c r="D2735" s="5" t="s">
        <v>1339</v>
      </c>
      <c r="E2735" s="5" t="n">
        <v>2</v>
      </c>
      <c r="F2735" s="6" t="n">
        <f aca="false">IFERROR(MATCH(A2735&amp;"|"&amp;B2735&amp;"|"&amp;D2735,'All Song Rankings'!$T:$T,0),0)</f>
        <v>421</v>
      </c>
      <c r="G2735" s="6" t="str">
        <f aca="false">IF(F2735=0,"NOT FOUND",INDEX('All Song Rankings'!$A:$A,F2735))</f>
        <v>Something In The Heavens</v>
      </c>
      <c r="H2735" s="6" t="str">
        <f aca="false">IF(F2735=0,"NOT FOUND",INDEX('All Song Rankings'!$B:$B,F2735))</f>
        <v>Lewis Capaldi</v>
      </c>
      <c r="I2735" s="6" t="str">
        <f aca="false">IF(F2735=0,"NOT FOUND",INDEX('All Song Rankings'!$D:$D,F2735))</f>
        <v>Kelsey</v>
      </c>
      <c r="J2735" s="7" t="str">
        <f aca="false">IF(F2735=0,"NOT FOUND",IF(C2735=I2735,"SELF-VOTE",IF(COUNTIF($K:$K,K2735)&gt;1,"DUPLICATE","OK")))</f>
        <v>OK</v>
      </c>
      <c r="K2735" s="6" t="str">
        <f aca="false">A2735&amp;"|"&amp;B2735&amp;"|"&amp;C2735&amp;"|"&amp;D2735</f>
        <v>5|1|Makenzie|spotify:track:4MHORmGs8oN7AASfGmApcM</v>
      </c>
    </row>
    <row r="2736" customFormat="false" ht="15" hidden="false" customHeight="false" outlineLevel="0" collapsed="false">
      <c r="A2736" s="5" t="n">
        <v>5</v>
      </c>
      <c r="B2736" s="5" t="n">
        <v>1</v>
      </c>
      <c r="C2736" s="5" t="s">
        <v>395</v>
      </c>
      <c r="D2736" s="5" t="s">
        <v>1336</v>
      </c>
      <c r="E2736" s="5" t="n">
        <v>1</v>
      </c>
      <c r="F2736" s="6" t="n">
        <f aca="false">IFERROR(MATCH(A2736&amp;"|"&amp;B2736&amp;"|"&amp;D2736,'All Song Rankings'!$T:$T,0),0)</f>
        <v>420</v>
      </c>
      <c r="G2736" s="6" t="str">
        <f aca="false">IF(F2736=0,"NOT FOUND",INDEX('All Song Rankings'!$A:$A,F2736))</f>
        <v>Supermarket Flowers</v>
      </c>
      <c r="H2736" s="6" t="str">
        <f aca="false">IF(F2736=0,"NOT FOUND",INDEX('All Song Rankings'!$B:$B,F2736))</f>
        <v>Ed Sheeran</v>
      </c>
      <c r="I2736" s="6" t="str">
        <f aca="false">IF(F2736=0,"NOT FOUND",INDEX('All Song Rankings'!$D:$D,F2736))</f>
        <v>Merita</v>
      </c>
      <c r="J2736" s="7" t="str">
        <f aca="false">IF(F2736=0,"NOT FOUND",IF(C2736=I2736,"SELF-VOTE",IF(COUNTIF($K:$K,K2736)&gt;1,"DUPLICATE","OK")))</f>
        <v>OK</v>
      </c>
      <c r="K2736" s="6" t="str">
        <f aca="false">A2736&amp;"|"&amp;B2736&amp;"|"&amp;C2736&amp;"|"&amp;D2736</f>
        <v>5|1|Makenzie|spotify:track:4VuS959DSpr82t3qBqCrWG</v>
      </c>
    </row>
    <row r="2737" customFormat="false" ht="15" hidden="false" customHeight="false" outlineLevel="0" collapsed="false">
      <c r="A2737" s="5" t="n">
        <v>5</v>
      </c>
      <c r="B2737" s="5" t="n">
        <v>1</v>
      </c>
      <c r="C2737" s="5" t="s">
        <v>395</v>
      </c>
      <c r="D2737" s="5" t="s">
        <v>1351</v>
      </c>
      <c r="E2737" s="5" t="n">
        <v>3</v>
      </c>
      <c r="F2737" s="6" t="n">
        <f aca="false">IFERROR(MATCH(A2737&amp;"|"&amp;B2737&amp;"|"&amp;D2737,'All Song Rankings'!$T:$T,0),0)</f>
        <v>425</v>
      </c>
      <c r="G2737" s="6" t="str">
        <f aca="false">IF(F2737=0,"NOT FOUND",INDEX('All Song Rankings'!$A:$A,F2737))</f>
        <v>Stay Gold</v>
      </c>
      <c r="H2737" s="6" t="str">
        <f aca="false">IF(F2737=0,"NOT FOUND",INDEX('All Song Rankings'!$B:$B,F2737))</f>
        <v>Sky Lakota-Lynch, Brody Grant, Original Broadway Cast of The Outsiders - A New Musical</v>
      </c>
      <c r="I2737" s="6" t="str">
        <f aca="false">IF(F2737=0,"NOT FOUND",INDEX('All Song Rankings'!$D:$D,F2737))</f>
        <v>Logan</v>
      </c>
      <c r="J2737" s="7" t="str">
        <f aca="false">IF(F2737=0,"NOT FOUND",IF(C2737=I2737,"SELF-VOTE",IF(COUNTIF($K:$K,K2737)&gt;1,"DUPLICATE","OK")))</f>
        <v>OK</v>
      </c>
      <c r="K2737" s="6" t="str">
        <f aca="false">A2737&amp;"|"&amp;B2737&amp;"|"&amp;C2737&amp;"|"&amp;D2737</f>
        <v>5|1|Makenzie|spotify:track:6QMYeuubL00KcXBXxS5Zhn</v>
      </c>
    </row>
    <row r="2738" customFormat="false" ht="15" hidden="false" customHeight="false" outlineLevel="0" collapsed="false">
      <c r="A2738" s="5" t="n">
        <v>5</v>
      </c>
      <c r="B2738" s="5" t="n">
        <v>1</v>
      </c>
      <c r="C2738" s="5" t="s">
        <v>395</v>
      </c>
      <c r="D2738" s="5" t="s">
        <v>1342</v>
      </c>
      <c r="E2738" s="5" t="n">
        <v>2</v>
      </c>
      <c r="F2738" s="6" t="n">
        <f aca="false">IFERROR(MATCH(A2738&amp;"|"&amp;B2738&amp;"|"&amp;D2738,'All Song Rankings'!$T:$T,0),0)</f>
        <v>422</v>
      </c>
      <c r="G2738" s="6" t="str">
        <f aca="false">IF(F2738=0,"NOT FOUND",INDEX('All Song Rankings'!$A:$A,F2738))</f>
        <v>something to remember</v>
      </c>
      <c r="H2738" s="6" t="str">
        <f aca="false">IF(F2738=0,"NOT FOUND",INDEX('All Song Rankings'!$B:$B,F2738))</f>
        <v>Matt Hansen</v>
      </c>
      <c r="I2738" s="6" t="str">
        <f aca="false">IF(F2738=0,"NOT FOUND",INDEX('All Song Rankings'!$D:$D,F2738))</f>
        <v>Leah</v>
      </c>
      <c r="J2738" s="7" t="str">
        <f aca="false">IF(F2738=0,"NOT FOUND",IF(C2738=I2738,"SELF-VOTE",IF(COUNTIF($K:$K,K2738)&gt;1,"DUPLICATE","OK")))</f>
        <v>OK</v>
      </c>
      <c r="K2738" s="6" t="str">
        <f aca="false">A2738&amp;"|"&amp;B2738&amp;"|"&amp;C2738&amp;"|"&amp;D2738</f>
        <v>5|1|Makenzie|spotify:track:6eI8B3QW20P68MCYMb4Etd</v>
      </c>
    </row>
    <row r="2739" customFormat="false" ht="15" hidden="false" customHeight="false" outlineLevel="0" collapsed="false">
      <c r="A2739" s="5" t="n">
        <v>5</v>
      </c>
      <c r="B2739" s="5" t="n">
        <v>1</v>
      </c>
      <c r="C2739" s="5" t="s">
        <v>116</v>
      </c>
      <c r="D2739" s="5" t="s">
        <v>1357</v>
      </c>
      <c r="E2739" s="5" t="n">
        <v>2</v>
      </c>
      <c r="F2739" s="6" t="n">
        <f aca="false">IFERROR(MATCH(A2739&amp;"|"&amp;B2739&amp;"|"&amp;D2739,'All Song Rankings'!$T:$T,0),0)</f>
        <v>427</v>
      </c>
      <c r="G2739" s="6" t="str">
        <f aca="false">IF(F2739=0,"NOT FOUND",INDEX('All Song Rankings'!$A:$A,F2739))</f>
        <v>Last Kiss</v>
      </c>
      <c r="H2739" s="6" t="str">
        <f aca="false">IF(F2739=0,"NOT FOUND",INDEX('All Song Rankings'!$B:$B,F2739))</f>
        <v>Pearl Jam</v>
      </c>
      <c r="I2739" s="6" t="str">
        <f aca="false">IF(F2739=0,"NOT FOUND",INDEX('All Song Rankings'!$D:$D,F2739))</f>
        <v>Stephanie</v>
      </c>
      <c r="J2739" s="7" t="str">
        <f aca="false">IF(F2739=0,"NOT FOUND",IF(C2739=I2739,"SELF-VOTE",IF(COUNTIF($K:$K,K2739)&gt;1,"DUPLICATE","OK")))</f>
        <v>OK</v>
      </c>
      <c r="K2739" s="6" t="str">
        <f aca="false">A2739&amp;"|"&amp;B2739&amp;"|"&amp;C2739&amp;"|"&amp;D2739</f>
        <v>5|1|Matt|spotify:track:0QnONzv3TvHAWk294h6DaQ</v>
      </c>
    </row>
    <row r="2740" customFormat="false" ht="15" hidden="false" customHeight="false" outlineLevel="0" collapsed="false">
      <c r="A2740" s="5" t="n">
        <v>5</v>
      </c>
      <c r="B2740" s="5" t="n">
        <v>1</v>
      </c>
      <c r="C2740" s="5" t="s">
        <v>116</v>
      </c>
      <c r="D2740" s="5" t="s">
        <v>1369</v>
      </c>
      <c r="E2740" s="5" t="n">
        <v>1</v>
      </c>
      <c r="F2740" s="6" t="n">
        <f aca="false">IFERROR(MATCH(A2740&amp;"|"&amp;B2740&amp;"|"&amp;D2740,'All Song Rankings'!$T:$T,0),0)</f>
        <v>431</v>
      </c>
      <c r="G2740" s="6" t="str">
        <f aca="false">IF(F2740=0,"NOT FOUND",INDEX('All Song Rankings'!$A:$A,F2740))</f>
        <v>Samson</v>
      </c>
      <c r="H2740" s="6" t="str">
        <f aca="false">IF(F2740=0,"NOT FOUND",INDEX('All Song Rankings'!$B:$B,F2740))</f>
        <v>Regina Spektor</v>
      </c>
      <c r="I2740" s="6" t="str">
        <f aca="false">IF(F2740=0,"NOT FOUND",INDEX('All Song Rankings'!$D:$D,F2740))</f>
        <v>Lisa</v>
      </c>
      <c r="J2740" s="7" t="str">
        <f aca="false">IF(F2740=0,"NOT FOUND",IF(C2740=I2740,"SELF-VOTE",IF(COUNTIF($K:$K,K2740)&gt;1,"DUPLICATE","OK")))</f>
        <v>OK</v>
      </c>
      <c r="K2740" s="6" t="str">
        <f aca="false">A2740&amp;"|"&amp;B2740&amp;"|"&amp;C2740&amp;"|"&amp;D2740</f>
        <v>5|1|Matt|spotify:track:2JAUBPBVkimRLc5BGhAkfJ</v>
      </c>
    </row>
    <row r="2741" customFormat="false" ht="15" hidden="false" customHeight="false" outlineLevel="0" collapsed="false">
      <c r="A2741" s="5" t="n">
        <v>5</v>
      </c>
      <c r="B2741" s="5" t="n">
        <v>1</v>
      </c>
      <c r="C2741" s="5" t="s">
        <v>116</v>
      </c>
      <c r="D2741" s="5" t="s">
        <v>1336</v>
      </c>
      <c r="E2741" s="5" t="n">
        <v>1</v>
      </c>
      <c r="F2741" s="6" t="n">
        <f aca="false">IFERROR(MATCH(A2741&amp;"|"&amp;B2741&amp;"|"&amp;D2741,'All Song Rankings'!$T:$T,0),0)</f>
        <v>420</v>
      </c>
      <c r="G2741" s="6" t="str">
        <f aca="false">IF(F2741=0,"NOT FOUND",INDEX('All Song Rankings'!$A:$A,F2741))</f>
        <v>Supermarket Flowers</v>
      </c>
      <c r="H2741" s="6" t="str">
        <f aca="false">IF(F2741=0,"NOT FOUND",INDEX('All Song Rankings'!$B:$B,F2741))</f>
        <v>Ed Sheeran</v>
      </c>
      <c r="I2741" s="6" t="str">
        <f aca="false">IF(F2741=0,"NOT FOUND",INDEX('All Song Rankings'!$D:$D,F2741))</f>
        <v>Merita</v>
      </c>
      <c r="J2741" s="7" t="str">
        <f aca="false">IF(F2741=0,"NOT FOUND",IF(C2741=I2741,"SELF-VOTE",IF(COUNTIF($K:$K,K2741)&gt;1,"DUPLICATE","OK")))</f>
        <v>OK</v>
      </c>
      <c r="K2741" s="6" t="str">
        <f aca="false">A2741&amp;"|"&amp;B2741&amp;"|"&amp;C2741&amp;"|"&amp;D2741</f>
        <v>5|1|Matt|spotify:track:4VuS959DSpr82t3qBqCrWG</v>
      </c>
    </row>
    <row r="2742" customFormat="false" ht="15" hidden="false" customHeight="false" outlineLevel="0" collapsed="false">
      <c r="A2742" s="5" t="n">
        <v>5</v>
      </c>
      <c r="B2742" s="5" t="n">
        <v>1</v>
      </c>
      <c r="C2742" s="5" t="s">
        <v>116</v>
      </c>
      <c r="D2742" s="5" t="s">
        <v>1377</v>
      </c>
      <c r="E2742" s="5" t="n">
        <v>1</v>
      </c>
      <c r="F2742" s="6" t="n">
        <f aca="false">IFERROR(MATCH(A2742&amp;"|"&amp;B2742&amp;"|"&amp;D2742,'All Song Rankings'!$T:$T,0),0)</f>
        <v>434</v>
      </c>
      <c r="G2742" s="6" t="str">
        <f aca="false">IF(F2742=0,"NOT FOUND",INDEX('All Song Rankings'!$A:$A,F2742))</f>
        <v>Housebroken</v>
      </c>
      <c r="H2742" s="6" t="str">
        <f aca="false">IF(F2742=0,"NOT FOUND",INDEX('All Song Rankings'!$B:$B,F2742))</f>
        <v>The Hotelier</v>
      </c>
      <c r="I2742" s="6" t="str">
        <f aca="false">IF(F2742=0,"NOT FOUND",INDEX('All Song Rankings'!$D:$D,F2742))</f>
        <v>Scott</v>
      </c>
      <c r="J2742" s="7" t="str">
        <f aca="false">IF(F2742=0,"NOT FOUND",IF(C2742=I2742,"SELF-VOTE",IF(COUNTIF($K:$K,K2742)&gt;1,"DUPLICATE","OK")))</f>
        <v>OK</v>
      </c>
      <c r="K2742" s="6" t="str">
        <f aca="false">A2742&amp;"|"&amp;B2742&amp;"|"&amp;C2742&amp;"|"&amp;D2742</f>
        <v>5|1|Matt|spotify:track:58R1SG4RgVE5eHApvNvFae</v>
      </c>
    </row>
    <row r="2743" customFormat="false" ht="15" hidden="false" customHeight="false" outlineLevel="0" collapsed="false">
      <c r="A2743" s="5" t="n">
        <v>5</v>
      </c>
      <c r="B2743" s="5" t="n">
        <v>1</v>
      </c>
      <c r="C2743" s="5" t="s">
        <v>116</v>
      </c>
      <c r="D2743" s="5" t="s">
        <v>1354</v>
      </c>
      <c r="E2743" s="5" t="n">
        <v>1</v>
      </c>
      <c r="F2743" s="6" t="n">
        <f aca="false">IFERROR(MATCH(A2743&amp;"|"&amp;B2743&amp;"|"&amp;D2743,'All Song Rankings'!$T:$T,0),0)</f>
        <v>426</v>
      </c>
      <c r="G2743" s="6" t="str">
        <f aca="false">IF(F2743=0,"NOT FOUND",INDEX('All Song Rankings'!$A:$A,F2743))</f>
        <v>A Drop in the Ocean</v>
      </c>
      <c r="H2743" s="6" t="str">
        <f aca="false">IF(F2743=0,"NOT FOUND",INDEX('All Song Rankings'!$B:$B,F2743))</f>
        <v>Ron Pope</v>
      </c>
      <c r="I2743" s="6" t="str">
        <f aca="false">IF(F2743=0,"NOT FOUND",INDEX('All Song Rankings'!$D:$D,F2743))</f>
        <v>Makenzie</v>
      </c>
      <c r="J2743" s="7" t="str">
        <f aca="false">IF(F2743=0,"NOT FOUND",IF(C2743=I2743,"SELF-VOTE",IF(COUNTIF($K:$K,K2743)&gt;1,"DUPLICATE","OK")))</f>
        <v>OK</v>
      </c>
      <c r="K2743" s="6" t="str">
        <f aca="false">A2743&amp;"|"&amp;B2743&amp;"|"&amp;C2743&amp;"|"&amp;D2743</f>
        <v>5|1|Matt|spotify:track:5JDcQAztvZTIkrWoZihgvC</v>
      </c>
    </row>
    <row r="2744" customFormat="false" ht="15" hidden="false" customHeight="false" outlineLevel="0" collapsed="false">
      <c r="A2744" s="5" t="n">
        <v>5</v>
      </c>
      <c r="B2744" s="5" t="n">
        <v>1</v>
      </c>
      <c r="C2744" s="5" t="s">
        <v>116</v>
      </c>
      <c r="D2744" s="5" t="s">
        <v>1360</v>
      </c>
      <c r="E2744" s="5" t="n">
        <v>1</v>
      </c>
      <c r="F2744" s="6" t="n">
        <f aca="false">IFERROR(MATCH(A2744&amp;"|"&amp;B2744&amp;"|"&amp;D2744,'All Song Rankings'!$T:$T,0),0)</f>
        <v>428</v>
      </c>
      <c r="G2744" s="6" t="str">
        <f aca="false">IF(F2744=0,"NOT FOUND",INDEX('All Song Rankings'!$A:$A,F2744))</f>
        <v>See You Again (feat. Charlie Puth)</v>
      </c>
      <c r="H2744" s="6" t="str">
        <f aca="false">IF(F2744=0,"NOT FOUND",INDEX('All Song Rankings'!$B:$B,F2744))</f>
        <v>Wiz Khalifa, Charlie Puth</v>
      </c>
      <c r="I2744" s="6" t="str">
        <f aca="false">IF(F2744=0,"NOT FOUND",INDEX('All Song Rankings'!$D:$D,F2744))</f>
        <v>Nicole</v>
      </c>
      <c r="J2744" s="7" t="str">
        <f aca="false">IF(F2744=0,"NOT FOUND",IF(C2744=I2744,"SELF-VOTE",IF(COUNTIF($K:$K,K2744)&gt;1,"DUPLICATE","OK")))</f>
        <v>OK</v>
      </c>
      <c r="K2744" s="6" t="str">
        <f aca="false">A2744&amp;"|"&amp;B2744&amp;"|"&amp;C2744&amp;"|"&amp;D2744</f>
        <v>5|1|Matt|spotify:track:6IcrwGdIvRsrImOnoYfG9Z</v>
      </c>
    </row>
    <row r="2745" customFormat="false" ht="15" hidden="false" customHeight="false" outlineLevel="0" collapsed="false">
      <c r="A2745" s="5" t="n">
        <v>5</v>
      </c>
      <c r="B2745" s="5" t="n">
        <v>1</v>
      </c>
      <c r="C2745" s="5" t="s">
        <v>116</v>
      </c>
      <c r="D2745" s="5" t="s">
        <v>1351</v>
      </c>
      <c r="E2745" s="5" t="n">
        <v>1</v>
      </c>
      <c r="F2745" s="6" t="n">
        <f aca="false">IFERROR(MATCH(A2745&amp;"|"&amp;B2745&amp;"|"&amp;D2745,'All Song Rankings'!$T:$T,0),0)</f>
        <v>425</v>
      </c>
      <c r="G2745" s="6" t="str">
        <f aca="false">IF(F2745=0,"NOT FOUND",INDEX('All Song Rankings'!$A:$A,F2745))</f>
        <v>Stay Gold</v>
      </c>
      <c r="H2745" s="6" t="str">
        <f aca="false">IF(F2745=0,"NOT FOUND",INDEX('All Song Rankings'!$B:$B,F2745))</f>
        <v>Sky Lakota-Lynch, Brody Grant, Original Broadway Cast of The Outsiders - A New Musical</v>
      </c>
      <c r="I2745" s="6" t="str">
        <f aca="false">IF(F2745=0,"NOT FOUND",INDEX('All Song Rankings'!$D:$D,F2745))</f>
        <v>Logan</v>
      </c>
      <c r="J2745" s="7" t="str">
        <f aca="false">IF(F2745=0,"NOT FOUND",IF(C2745=I2745,"SELF-VOTE",IF(COUNTIF($K:$K,K2745)&gt;1,"DUPLICATE","OK")))</f>
        <v>OK</v>
      </c>
      <c r="K2745" s="6" t="str">
        <f aca="false">A2745&amp;"|"&amp;B2745&amp;"|"&amp;C2745&amp;"|"&amp;D2745</f>
        <v>5|1|Matt|spotify:track:6QMYeuubL00KcXBXxS5Zhn</v>
      </c>
    </row>
    <row r="2746" customFormat="false" ht="15" hidden="false" customHeight="false" outlineLevel="0" collapsed="false">
      <c r="A2746" s="5" t="n">
        <v>5</v>
      </c>
      <c r="B2746" s="5" t="n">
        <v>1</v>
      </c>
      <c r="C2746" s="5" t="s">
        <v>116</v>
      </c>
      <c r="D2746" s="5" t="s">
        <v>1342</v>
      </c>
      <c r="E2746" s="5" t="n">
        <v>1</v>
      </c>
      <c r="F2746" s="6" t="n">
        <f aca="false">IFERROR(MATCH(A2746&amp;"|"&amp;B2746&amp;"|"&amp;D2746,'All Song Rankings'!$T:$T,0),0)</f>
        <v>422</v>
      </c>
      <c r="G2746" s="6" t="str">
        <f aca="false">IF(F2746=0,"NOT FOUND",INDEX('All Song Rankings'!$A:$A,F2746))</f>
        <v>something to remember</v>
      </c>
      <c r="H2746" s="6" t="str">
        <f aca="false">IF(F2746=0,"NOT FOUND",INDEX('All Song Rankings'!$B:$B,F2746))</f>
        <v>Matt Hansen</v>
      </c>
      <c r="I2746" s="6" t="str">
        <f aca="false">IF(F2746=0,"NOT FOUND",INDEX('All Song Rankings'!$D:$D,F2746))</f>
        <v>Leah</v>
      </c>
      <c r="J2746" s="7" t="str">
        <f aca="false">IF(F2746=0,"NOT FOUND",IF(C2746=I2746,"SELF-VOTE",IF(COUNTIF($K:$K,K2746)&gt;1,"DUPLICATE","OK")))</f>
        <v>OK</v>
      </c>
      <c r="K2746" s="6" t="str">
        <f aca="false">A2746&amp;"|"&amp;B2746&amp;"|"&amp;C2746&amp;"|"&amp;D2746</f>
        <v>5|1|Matt|spotify:track:6eI8B3QW20P68MCYMb4Etd</v>
      </c>
    </row>
    <row r="2747" customFormat="false" ht="15" hidden="false" customHeight="false" outlineLevel="0" collapsed="false">
      <c r="A2747" s="5" t="n">
        <v>5</v>
      </c>
      <c r="B2747" s="5" t="n">
        <v>1</v>
      </c>
      <c r="C2747" s="5" t="s">
        <v>116</v>
      </c>
      <c r="D2747" s="5" t="s">
        <v>1366</v>
      </c>
      <c r="E2747" s="5" t="n">
        <v>1</v>
      </c>
      <c r="F2747" s="6" t="n">
        <f aca="false">IFERROR(MATCH(A2747&amp;"|"&amp;B2747&amp;"|"&amp;D2747,'All Song Rankings'!$T:$T,0),0)</f>
        <v>430</v>
      </c>
      <c r="G2747" s="6" t="str">
        <f aca="false">IF(F2747=0,"NOT FOUND",INDEX('All Song Rankings'!$A:$A,F2747))</f>
        <v>This Woman's Work - 2018 Remaster</v>
      </c>
      <c r="H2747" s="6" t="str">
        <f aca="false">IF(F2747=0,"NOT FOUND",INDEX('All Song Rankings'!$B:$B,F2747))</f>
        <v>Kate Bush</v>
      </c>
      <c r="I2747" s="6" t="str">
        <f aca="false">IF(F2747=0,"NOT FOUND",INDEX('All Song Rankings'!$D:$D,F2747))</f>
        <v>Christine</v>
      </c>
      <c r="J2747" s="7" t="str">
        <f aca="false">IF(F2747=0,"NOT FOUND",IF(C2747=I2747,"SELF-VOTE",IF(COUNTIF($K:$K,K2747)&gt;1,"DUPLICATE","OK")))</f>
        <v>OK</v>
      </c>
      <c r="K2747" s="6" t="str">
        <f aca="false">A2747&amp;"|"&amp;B2747&amp;"|"&amp;C2747&amp;"|"&amp;D2747</f>
        <v>5|1|Matt|spotify:track:7ijKen7rccf56qOMGkS22e</v>
      </c>
    </row>
    <row r="2748" customFormat="false" ht="15" hidden="false" customHeight="false" outlineLevel="0" collapsed="false">
      <c r="A2748" s="5" t="n">
        <v>5</v>
      </c>
      <c r="B2748" s="5" t="n">
        <v>1</v>
      </c>
      <c r="C2748" s="5" t="s">
        <v>101</v>
      </c>
      <c r="D2748" s="5" t="s">
        <v>1369</v>
      </c>
      <c r="E2748" s="5" t="n">
        <v>1</v>
      </c>
      <c r="F2748" s="6" t="n">
        <f aca="false">IFERROR(MATCH(A2748&amp;"|"&amp;B2748&amp;"|"&amp;D2748,'All Song Rankings'!$T:$T,0),0)</f>
        <v>431</v>
      </c>
      <c r="G2748" s="6" t="str">
        <f aca="false">IF(F2748=0,"NOT FOUND",INDEX('All Song Rankings'!$A:$A,F2748))</f>
        <v>Samson</v>
      </c>
      <c r="H2748" s="6" t="str">
        <f aca="false">IF(F2748=0,"NOT FOUND",INDEX('All Song Rankings'!$B:$B,F2748))</f>
        <v>Regina Spektor</v>
      </c>
      <c r="I2748" s="6" t="str">
        <f aca="false">IF(F2748=0,"NOT FOUND",INDEX('All Song Rankings'!$D:$D,F2748))</f>
        <v>Lisa</v>
      </c>
      <c r="J2748" s="7" t="str">
        <f aca="false">IF(F2748=0,"NOT FOUND",IF(C2748=I2748,"SELF-VOTE",IF(COUNTIF($K:$K,K2748)&gt;1,"DUPLICATE","OK")))</f>
        <v>OK</v>
      </c>
      <c r="K2748" s="6" t="str">
        <f aca="false">A2748&amp;"|"&amp;B2748&amp;"|"&amp;C2748&amp;"|"&amp;D2748</f>
        <v>5|1|Merita|spotify:track:2JAUBPBVkimRLc5BGhAkfJ</v>
      </c>
    </row>
    <row r="2749" customFormat="false" ht="15" hidden="false" customHeight="false" outlineLevel="0" collapsed="false">
      <c r="A2749" s="5" t="n">
        <v>5</v>
      </c>
      <c r="B2749" s="5" t="n">
        <v>1</v>
      </c>
      <c r="C2749" s="5" t="s">
        <v>101</v>
      </c>
      <c r="D2749" s="5" t="s">
        <v>1339</v>
      </c>
      <c r="E2749" s="5" t="n">
        <v>2</v>
      </c>
      <c r="F2749" s="6" t="n">
        <f aca="false">IFERROR(MATCH(A2749&amp;"|"&amp;B2749&amp;"|"&amp;D2749,'All Song Rankings'!$T:$T,0),0)</f>
        <v>421</v>
      </c>
      <c r="G2749" s="6" t="str">
        <f aca="false">IF(F2749=0,"NOT FOUND",INDEX('All Song Rankings'!$A:$A,F2749))</f>
        <v>Something In The Heavens</v>
      </c>
      <c r="H2749" s="6" t="str">
        <f aca="false">IF(F2749=0,"NOT FOUND",INDEX('All Song Rankings'!$B:$B,F2749))</f>
        <v>Lewis Capaldi</v>
      </c>
      <c r="I2749" s="6" t="str">
        <f aca="false">IF(F2749=0,"NOT FOUND",INDEX('All Song Rankings'!$D:$D,F2749))</f>
        <v>Kelsey</v>
      </c>
      <c r="J2749" s="7" t="str">
        <f aca="false">IF(F2749=0,"NOT FOUND",IF(C2749=I2749,"SELF-VOTE",IF(COUNTIF($K:$K,K2749)&gt;1,"DUPLICATE","OK")))</f>
        <v>OK</v>
      </c>
      <c r="K2749" s="6" t="str">
        <f aca="false">A2749&amp;"|"&amp;B2749&amp;"|"&amp;C2749&amp;"|"&amp;D2749</f>
        <v>5|1|Merita|spotify:track:4MHORmGs8oN7AASfGmApcM</v>
      </c>
    </row>
    <row r="2750" customFormat="false" ht="15" hidden="false" customHeight="false" outlineLevel="0" collapsed="false">
      <c r="A2750" s="5" t="n">
        <v>5</v>
      </c>
      <c r="B2750" s="5" t="n">
        <v>1</v>
      </c>
      <c r="C2750" s="5" t="s">
        <v>101</v>
      </c>
      <c r="D2750" s="5" t="s">
        <v>1354</v>
      </c>
      <c r="E2750" s="5" t="n">
        <v>1</v>
      </c>
      <c r="F2750" s="6" t="n">
        <f aca="false">IFERROR(MATCH(A2750&amp;"|"&amp;B2750&amp;"|"&amp;D2750,'All Song Rankings'!$T:$T,0),0)</f>
        <v>426</v>
      </c>
      <c r="G2750" s="6" t="str">
        <f aca="false">IF(F2750=0,"NOT FOUND",INDEX('All Song Rankings'!$A:$A,F2750))</f>
        <v>A Drop in the Ocean</v>
      </c>
      <c r="H2750" s="6" t="str">
        <f aca="false">IF(F2750=0,"NOT FOUND",INDEX('All Song Rankings'!$B:$B,F2750))</f>
        <v>Ron Pope</v>
      </c>
      <c r="I2750" s="6" t="str">
        <f aca="false">IF(F2750=0,"NOT FOUND",INDEX('All Song Rankings'!$D:$D,F2750))</f>
        <v>Makenzie</v>
      </c>
      <c r="J2750" s="7" t="str">
        <f aca="false">IF(F2750=0,"NOT FOUND",IF(C2750=I2750,"SELF-VOTE",IF(COUNTIF($K:$K,K2750)&gt;1,"DUPLICATE","OK")))</f>
        <v>OK</v>
      </c>
      <c r="K2750" s="6" t="str">
        <f aca="false">A2750&amp;"|"&amp;B2750&amp;"|"&amp;C2750&amp;"|"&amp;D2750</f>
        <v>5|1|Merita|spotify:track:5JDcQAztvZTIkrWoZihgvC</v>
      </c>
    </row>
    <row r="2751" customFormat="false" ht="15" hidden="false" customHeight="false" outlineLevel="0" collapsed="false">
      <c r="A2751" s="5" t="n">
        <v>5</v>
      </c>
      <c r="B2751" s="5" t="n">
        <v>1</v>
      </c>
      <c r="C2751" s="5" t="s">
        <v>101</v>
      </c>
      <c r="D2751" s="5" t="s">
        <v>1372</v>
      </c>
      <c r="E2751" s="5" t="n">
        <v>1</v>
      </c>
      <c r="F2751" s="6" t="n">
        <f aca="false">IFERROR(MATCH(A2751&amp;"|"&amp;B2751&amp;"|"&amp;D2751,'All Song Rankings'!$T:$T,0),0)</f>
        <v>432</v>
      </c>
      <c r="G2751" s="6" t="str">
        <f aca="false">IF(F2751=0,"NOT FOUND",INDEX('All Song Rankings'!$A:$A,F2751))</f>
        <v>Delicate</v>
      </c>
      <c r="H2751" s="6" t="str">
        <f aca="false">IF(F2751=0,"NOT FOUND",INDEX('All Song Rankings'!$B:$B,F2751))</f>
        <v>Damien Rice</v>
      </c>
      <c r="I2751" s="6" t="str">
        <f aca="false">IF(F2751=0,"NOT FOUND",INDEX('All Song Rankings'!$D:$D,F2751))</f>
        <v>Kristen</v>
      </c>
      <c r="J2751" s="7" t="str">
        <f aca="false">IF(F2751=0,"NOT FOUND",IF(C2751=I2751,"SELF-VOTE",IF(COUNTIF($K:$K,K2751)&gt;1,"DUPLICATE","OK")))</f>
        <v>OK</v>
      </c>
      <c r="K2751" s="6" t="str">
        <f aca="false">A2751&amp;"|"&amp;B2751&amp;"|"&amp;C2751&amp;"|"&amp;D2751</f>
        <v>5|1|Merita|spotify:track:5mb6SzBnxv1ywFSH9V3uxd</v>
      </c>
    </row>
    <row r="2752" customFormat="false" ht="15" hidden="false" customHeight="false" outlineLevel="0" collapsed="false">
      <c r="A2752" s="5" t="n">
        <v>5</v>
      </c>
      <c r="B2752" s="5" t="n">
        <v>1</v>
      </c>
      <c r="C2752" s="5" t="s">
        <v>101</v>
      </c>
      <c r="D2752" s="5" t="s">
        <v>1360</v>
      </c>
      <c r="E2752" s="5" t="n">
        <v>1</v>
      </c>
      <c r="F2752" s="6" t="n">
        <f aca="false">IFERROR(MATCH(A2752&amp;"|"&amp;B2752&amp;"|"&amp;D2752,'All Song Rankings'!$T:$T,0),0)</f>
        <v>428</v>
      </c>
      <c r="G2752" s="6" t="str">
        <f aca="false">IF(F2752=0,"NOT FOUND",INDEX('All Song Rankings'!$A:$A,F2752))</f>
        <v>See You Again (feat. Charlie Puth)</v>
      </c>
      <c r="H2752" s="6" t="str">
        <f aca="false">IF(F2752=0,"NOT FOUND",INDEX('All Song Rankings'!$B:$B,F2752))</f>
        <v>Wiz Khalifa, Charlie Puth</v>
      </c>
      <c r="I2752" s="6" t="str">
        <f aca="false">IF(F2752=0,"NOT FOUND",INDEX('All Song Rankings'!$D:$D,F2752))</f>
        <v>Nicole</v>
      </c>
      <c r="J2752" s="7" t="str">
        <f aca="false">IF(F2752=0,"NOT FOUND",IF(C2752=I2752,"SELF-VOTE",IF(COUNTIF($K:$K,K2752)&gt;1,"DUPLICATE","OK")))</f>
        <v>OK</v>
      </c>
      <c r="K2752" s="6" t="str">
        <f aca="false">A2752&amp;"|"&amp;B2752&amp;"|"&amp;C2752&amp;"|"&amp;D2752</f>
        <v>5|1|Merita|spotify:track:6IcrwGdIvRsrImOnoYfG9Z</v>
      </c>
    </row>
    <row r="2753" customFormat="false" ht="15" hidden="false" customHeight="false" outlineLevel="0" collapsed="false">
      <c r="A2753" s="5" t="n">
        <v>5</v>
      </c>
      <c r="B2753" s="5" t="n">
        <v>1</v>
      </c>
      <c r="C2753" s="5" t="s">
        <v>101</v>
      </c>
      <c r="D2753" s="5" t="s">
        <v>1342</v>
      </c>
      <c r="E2753" s="5" t="n">
        <v>1</v>
      </c>
      <c r="F2753" s="6" t="n">
        <f aca="false">IFERROR(MATCH(A2753&amp;"|"&amp;B2753&amp;"|"&amp;D2753,'All Song Rankings'!$T:$T,0),0)</f>
        <v>422</v>
      </c>
      <c r="G2753" s="6" t="str">
        <f aca="false">IF(F2753=0,"NOT FOUND",INDEX('All Song Rankings'!$A:$A,F2753))</f>
        <v>something to remember</v>
      </c>
      <c r="H2753" s="6" t="str">
        <f aca="false">IF(F2753=0,"NOT FOUND",INDEX('All Song Rankings'!$B:$B,F2753))</f>
        <v>Matt Hansen</v>
      </c>
      <c r="I2753" s="6" t="str">
        <f aca="false">IF(F2753=0,"NOT FOUND",INDEX('All Song Rankings'!$D:$D,F2753))</f>
        <v>Leah</v>
      </c>
      <c r="J2753" s="7" t="str">
        <f aca="false">IF(F2753=0,"NOT FOUND",IF(C2753=I2753,"SELF-VOTE",IF(COUNTIF($K:$K,K2753)&gt;1,"DUPLICATE","OK")))</f>
        <v>OK</v>
      </c>
      <c r="K2753" s="6" t="str">
        <f aca="false">A2753&amp;"|"&amp;B2753&amp;"|"&amp;C2753&amp;"|"&amp;D2753</f>
        <v>5|1|Merita|spotify:track:6eI8B3QW20P68MCYMb4Etd</v>
      </c>
    </row>
    <row r="2754" customFormat="false" ht="15" hidden="false" customHeight="false" outlineLevel="0" collapsed="false">
      <c r="A2754" s="5" t="n">
        <v>5</v>
      </c>
      <c r="B2754" s="5" t="n">
        <v>1</v>
      </c>
      <c r="C2754" s="5" t="s">
        <v>101</v>
      </c>
      <c r="D2754" s="5" t="s">
        <v>1366</v>
      </c>
      <c r="E2754" s="5" t="n">
        <v>1</v>
      </c>
      <c r="F2754" s="6" t="n">
        <f aca="false">IFERROR(MATCH(A2754&amp;"|"&amp;B2754&amp;"|"&amp;D2754,'All Song Rankings'!$T:$T,0),0)</f>
        <v>430</v>
      </c>
      <c r="G2754" s="6" t="str">
        <f aca="false">IF(F2754=0,"NOT FOUND",INDEX('All Song Rankings'!$A:$A,F2754))</f>
        <v>This Woman's Work - 2018 Remaster</v>
      </c>
      <c r="H2754" s="6" t="str">
        <f aca="false">IF(F2754=0,"NOT FOUND",INDEX('All Song Rankings'!$B:$B,F2754))</f>
        <v>Kate Bush</v>
      </c>
      <c r="I2754" s="6" t="str">
        <f aca="false">IF(F2754=0,"NOT FOUND",INDEX('All Song Rankings'!$D:$D,F2754))</f>
        <v>Christine</v>
      </c>
      <c r="J2754" s="7" t="str">
        <f aca="false">IF(F2754=0,"NOT FOUND",IF(C2754=I2754,"SELF-VOTE",IF(COUNTIF($K:$K,K2754)&gt;1,"DUPLICATE","OK")))</f>
        <v>OK</v>
      </c>
      <c r="K2754" s="6" t="str">
        <f aca="false">A2754&amp;"|"&amp;B2754&amp;"|"&amp;C2754&amp;"|"&amp;D2754</f>
        <v>5|1|Merita|spotify:track:7ijKen7rccf56qOMGkS22e</v>
      </c>
    </row>
    <row r="2755" customFormat="false" ht="15" hidden="false" customHeight="false" outlineLevel="0" collapsed="false">
      <c r="A2755" s="5" t="n">
        <v>5</v>
      </c>
      <c r="B2755" s="5" t="n">
        <v>1</v>
      </c>
      <c r="C2755" s="5" t="s">
        <v>101</v>
      </c>
      <c r="D2755" s="5" t="s">
        <v>1363</v>
      </c>
      <c r="E2755" s="5" t="n">
        <v>2</v>
      </c>
      <c r="F2755" s="6" t="n">
        <f aca="false">IFERROR(MATCH(A2755&amp;"|"&amp;B2755&amp;"|"&amp;D2755,'All Song Rankings'!$T:$T,0),0)</f>
        <v>429</v>
      </c>
      <c r="G2755" s="6" t="str">
        <f aca="false">IF(F2755=0,"NOT FOUND",INDEX('All Song Rankings'!$A:$A,F2755))</f>
        <v>Strange</v>
      </c>
      <c r="H2755" s="6" t="str">
        <f aca="false">IF(F2755=0,"NOT FOUND",INDEX('All Song Rankings'!$B:$B,F2755))</f>
        <v>Celeste</v>
      </c>
      <c r="I2755" s="6" t="str">
        <f aca="false">IF(F2755=0,"NOT FOUND",INDEX('All Song Rankings'!$D:$D,F2755))</f>
        <v>Matt</v>
      </c>
      <c r="J2755" s="7" t="str">
        <f aca="false">IF(F2755=0,"NOT FOUND",IF(C2755=I2755,"SELF-VOTE",IF(COUNTIF($K:$K,K2755)&gt;1,"DUPLICATE","OK")))</f>
        <v>OK</v>
      </c>
      <c r="K2755" s="6" t="str">
        <f aca="false">A2755&amp;"|"&amp;B2755&amp;"|"&amp;C2755&amp;"|"&amp;D2755</f>
        <v>5|1|Merita|spotify:track:7sq2z9oX2S0CvgTqCZ0ko4</v>
      </c>
    </row>
    <row r="2756" customFormat="false" ht="15" hidden="false" customHeight="false" outlineLevel="0" collapsed="false">
      <c r="A2756" s="5" t="n">
        <v>5</v>
      </c>
      <c r="B2756" s="5" t="n">
        <v>1</v>
      </c>
      <c r="C2756" s="5" t="s">
        <v>92</v>
      </c>
      <c r="D2756" s="5" t="s">
        <v>1375</v>
      </c>
      <c r="E2756" s="5" t="n">
        <v>2</v>
      </c>
      <c r="F2756" s="6" t="n">
        <f aca="false">IFERROR(MATCH(A2756&amp;"|"&amp;B2756&amp;"|"&amp;D2756,'All Song Rankings'!$T:$T,0),0)</f>
        <v>433</v>
      </c>
      <c r="G2756" s="6" t="str">
        <f aca="false">IF(F2756=0,"NOT FOUND",INDEX('All Song Rankings'!$A:$A,F2756))</f>
        <v>Untitled (How Could This Happen to Me?)</v>
      </c>
      <c r="H2756" s="6" t="str">
        <f aca="false">IF(F2756=0,"NOT FOUND",INDEX('All Song Rankings'!$B:$B,F2756))</f>
        <v>Simple Plan</v>
      </c>
      <c r="I2756" s="6" t="str">
        <f aca="false">IF(F2756=0,"NOT FOUND",INDEX('All Song Rankings'!$D:$D,F2756))</f>
        <v>Natasha</v>
      </c>
      <c r="J2756" s="7" t="str">
        <f aca="false">IF(F2756=0,"NOT FOUND",IF(C2756=I2756,"SELF-VOTE",IF(COUNTIF($K:$K,K2756)&gt;1,"DUPLICATE","OK")))</f>
        <v>OK</v>
      </c>
      <c r="K2756" s="6" t="str">
        <f aca="false">A2756&amp;"|"&amp;B2756&amp;"|"&amp;C2756&amp;"|"&amp;D2756</f>
        <v>5|1|Nicole|spotify:track:3eRLKD1Lgc2OrYGxRxX62s</v>
      </c>
    </row>
    <row r="2757" customFormat="false" ht="15" hidden="false" customHeight="false" outlineLevel="0" collapsed="false">
      <c r="A2757" s="5" t="n">
        <v>5</v>
      </c>
      <c r="B2757" s="5" t="n">
        <v>1</v>
      </c>
      <c r="C2757" s="5" t="s">
        <v>92</v>
      </c>
      <c r="D2757" s="5" t="s">
        <v>1339</v>
      </c>
      <c r="E2757" s="5" t="n">
        <v>1</v>
      </c>
      <c r="F2757" s="6" t="n">
        <f aca="false">IFERROR(MATCH(A2757&amp;"|"&amp;B2757&amp;"|"&amp;D2757,'All Song Rankings'!$T:$T,0),0)</f>
        <v>421</v>
      </c>
      <c r="G2757" s="6" t="str">
        <f aca="false">IF(F2757=0,"NOT FOUND",INDEX('All Song Rankings'!$A:$A,F2757))</f>
        <v>Something In The Heavens</v>
      </c>
      <c r="H2757" s="6" t="str">
        <f aca="false">IF(F2757=0,"NOT FOUND",INDEX('All Song Rankings'!$B:$B,F2757))</f>
        <v>Lewis Capaldi</v>
      </c>
      <c r="I2757" s="6" t="str">
        <f aca="false">IF(F2757=0,"NOT FOUND",INDEX('All Song Rankings'!$D:$D,F2757))</f>
        <v>Kelsey</v>
      </c>
      <c r="J2757" s="7" t="str">
        <f aca="false">IF(F2757=0,"NOT FOUND",IF(C2757=I2757,"SELF-VOTE",IF(COUNTIF($K:$K,K2757)&gt;1,"DUPLICATE","OK")))</f>
        <v>OK</v>
      </c>
      <c r="K2757" s="6" t="str">
        <f aca="false">A2757&amp;"|"&amp;B2757&amp;"|"&amp;C2757&amp;"|"&amp;D2757</f>
        <v>5|1|Nicole|spotify:track:4MHORmGs8oN7AASfGmApcM</v>
      </c>
    </row>
    <row r="2758" customFormat="false" ht="15" hidden="false" customHeight="false" outlineLevel="0" collapsed="false">
      <c r="A2758" s="5" t="n">
        <v>5</v>
      </c>
      <c r="B2758" s="5" t="n">
        <v>1</v>
      </c>
      <c r="C2758" s="5" t="s">
        <v>92</v>
      </c>
      <c r="D2758" s="5" t="s">
        <v>1336</v>
      </c>
      <c r="E2758" s="5" t="n">
        <v>1</v>
      </c>
      <c r="F2758" s="6" t="n">
        <f aca="false">IFERROR(MATCH(A2758&amp;"|"&amp;B2758&amp;"|"&amp;D2758,'All Song Rankings'!$T:$T,0),0)</f>
        <v>420</v>
      </c>
      <c r="G2758" s="6" t="str">
        <f aca="false">IF(F2758=0,"NOT FOUND",INDEX('All Song Rankings'!$A:$A,F2758))</f>
        <v>Supermarket Flowers</v>
      </c>
      <c r="H2758" s="6" t="str">
        <f aca="false">IF(F2758=0,"NOT FOUND",INDEX('All Song Rankings'!$B:$B,F2758))</f>
        <v>Ed Sheeran</v>
      </c>
      <c r="I2758" s="6" t="str">
        <f aca="false">IF(F2758=0,"NOT FOUND",INDEX('All Song Rankings'!$D:$D,F2758))</f>
        <v>Merita</v>
      </c>
      <c r="J2758" s="7" t="str">
        <f aca="false">IF(F2758=0,"NOT FOUND",IF(C2758=I2758,"SELF-VOTE",IF(COUNTIF($K:$K,K2758)&gt;1,"DUPLICATE","OK")))</f>
        <v>OK</v>
      </c>
      <c r="K2758" s="6" t="str">
        <f aca="false">A2758&amp;"|"&amp;B2758&amp;"|"&amp;C2758&amp;"|"&amp;D2758</f>
        <v>5|1|Nicole|spotify:track:4VuS959DSpr82t3qBqCrWG</v>
      </c>
    </row>
    <row r="2759" customFormat="false" ht="15" hidden="false" customHeight="false" outlineLevel="0" collapsed="false">
      <c r="A2759" s="5" t="n">
        <v>5</v>
      </c>
      <c r="B2759" s="5" t="n">
        <v>1</v>
      </c>
      <c r="C2759" s="5" t="s">
        <v>92</v>
      </c>
      <c r="D2759" s="5" t="s">
        <v>1354</v>
      </c>
      <c r="E2759" s="5" t="n">
        <v>2</v>
      </c>
      <c r="F2759" s="6" t="n">
        <f aca="false">IFERROR(MATCH(A2759&amp;"|"&amp;B2759&amp;"|"&amp;D2759,'All Song Rankings'!$T:$T,0),0)</f>
        <v>426</v>
      </c>
      <c r="G2759" s="6" t="str">
        <f aca="false">IF(F2759=0,"NOT FOUND",INDEX('All Song Rankings'!$A:$A,F2759))</f>
        <v>A Drop in the Ocean</v>
      </c>
      <c r="H2759" s="6" t="str">
        <f aca="false">IF(F2759=0,"NOT FOUND",INDEX('All Song Rankings'!$B:$B,F2759))</f>
        <v>Ron Pope</v>
      </c>
      <c r="I2759" s="6" t="str">
        <f aca="false">IF(F2759=0,"NOT FOUND",INDEX('All Song Rankings'!$D:$D,F2759))</f>
        <v>Makenzie</v>
      </c>
      <c r="J2759" s="7" t="str">
        <f aca="false">IF(F2759=0,"NOT FOUND",IF(C2759=I2759,"SELF-VOTE",IF(COUNTIF($K:$K,K2759)&gt;1,"DUPLICATE","OK")))</f>
        <v>OK</v>
      </c>
      <c r="K2759" s="6" t="str">
        <f aca="false">A2759&amp;"|"&amp;B2759&amp;"|"&amp;C2759&amp;"|"&amp;D2759</f>
        <v>5|1|Nicole|spotify:track:5JDcQAztvZTIkrWoZihgvC</v>
      </c>
    </row>
    <row r="2760" customFormat="false" ht="15" hidden="false" customHeight="false" outlineLevel="0" collapsed="false">
      <c r="A2760" s="5" t="n">
        <v>5</v>
      </c>
      <c r="B2760" s="5" t="n">
        <v>1</v>
      </c>
      <c r="C2760" s="5" t="s">
        <v>92</v>
      </c>
      <c r="D2760" s="5" t="s">
        <v>1351</v>
      </c>
      <c r="E2760" s="5" t="n">
        <v>1</v>
      </c>
      <c r="F2760" s="6" t="n">
        <f aca="false">IFERROR(MATCH(A2760&amp;"|"&amp;B2760&amp;"|"&amp;D2760,'All Song Rankings'!$T:$T,0),0)</f>
        <v>425</v>
      </c>
      <c r="G2760" s="6" t="str">
        <f aca="false">IF(F2760=0,"NOT FOUND",INDEX('All Song Rankings'!$A:$A,F2760))</f>
        <v>Stay Gold</v>
      </c>
      <c r="H2760" s="6" t="str">
        <f aca="false">IF(F2760=0,"NOT FOUND",INDEX('All Song Rankings'!$B:$B,F2760))</f>
        <v>Sky Lakota-Lynch, Brody Grant, Original Broadway Cast of The Outsiders - A New Musical</v>
      </c>
      <c r="I2760" s="6" t="str">
        <f aca="false">IF(F2760=0,"NOT FOUND",INDEX('All Song Rankings'!$D:$D,F2760))</f>
        <v>Logan</v>
      </c>
      <c r="J2760" s="7" t="str">
        <f aca="false">IF(F2760=0,"NOT FOUND",IF(C2760=I2760,"SELF-VOTE",IF(COUNTIF($K:$K,K2760)&gt;1,"DUPLICATE","OK")))</f>
        <v>OK</v>
      </c>
      <c r="K2760" s="6" t="str">
        <f aca="false">A2760&amp;"|"&amp;B2760&amp;"|"&amp;C2760&amp;"|"&amp;D2760</f>
        <v>5|1|Nicole|spotify:track:6QMYeuubL00KcXBXxS5Zhn</v>
      </c>
    </row>
    <row r="2761" customFormat="false" ht="15" hidden="false" customHeight="false" outlineLevel="0" collapsed="false">
      <c r="A2761" s="5" t="n">
        <v>5</v>
      </c>
      <c r="B2761" s="5" t="n">
        <v>1</v>
      </c>
      <c r="C2761" s="5" t="s">
        <v>92</v>
      </c>
      <c r="D2761" s="5" t="s">
        <v>1342</v>
      </c>
      <c r="E2761" s="5" t="n">
        <v>3</v>
      </c>
      <c r="F2761" s="6" t="n">
        <f aca="false">IFERROR(MATCH(A2761&amp;"|"&amp;B2761&amp;"|"&amp;D2761,'All Song Rankings'!$T:$T,0),0)</f>
        <v>422</v>
      </c>
      <c r="G2761" s="6" t="str">
        <f aca="false">IF(F2761=0,"NOT FOUND",INDEX('All Song Rankings'!$A:$A,F2761))</f>
        <v>something to remember</v>
      </c>
      <c r="H2761" s="6" t="str">
        <f aca="false">IF(F2761=0,"NOT FOUND",INDEX('All Song Rankings'!$B:$B,F2761))</f>
        <v>Matt Hansen</v>
      </c>
      <c r="I2761" s="6" t="str">
        <f aca="false">IF(F2761=0,"NOT FOUND",INDEX('All Song Rankings'!$D:$D,F2761))</f>
        <v>Leah</v>
      </c>
      <c r="J2761" s="7" t="str">
        <f aca="false">IF(F2761=0,"NOT FOUND",IF(C2761=I2761,"SELF-VOTE",IF(COUNTIF($K:$K,K2761)&gt;1,"DUPLICATE","OK")))</f>
        <v>OK</v>
      </c>
      <c r="K2761" s="6" t="str">
        <f aca="false">A2761&amp;"|"&amp;B2761&amp;"|"&amp;C2761&amp;"|"&amp;D2761</f>
        <v>5|1|Nicole|spotify:track:6eI8B3QW20P68MCYMb4Etd</v>
      </c>
    </row>
    <row r="2762" customFormat="false" ht="15" hidden="false" customHeight="false" outlineLevel="0" collapsed="false">
      <c r="A2762" s="5" t="n">
        <v>5</v>
      </c>
      <c r="B2762" s="5" t="n">
        <v>1</v>
      </c>
      <c r="C2762" s="5" t="s">
        <v>97</v>
      </c>
      <c r="D2762" s="5" t="s">
        <v>1348</v>
      </c>
      <c r="E2762" s="5" t="n">
        <v>2</v>
      </c>
      <c r="F2762" s="6" t="n">
        <f aca="false">IFERROR(MATCH(A2762&amp;"|"&amp;B2762&amp;"|"&amp;D2762,'All Song Rankings'!$T:$T,0),0)</f>
        <v>424</v>
      </c>
      <c r="G2762" s="6" t="str">
        <f aca="false">IF(F2762=0,"NOT FOUND",INDEX('All Song Rankings'!$A:$A,F2762))</f>
        <v>Concrete Angel</v>
      </c>
      <c r="H2762" s="6" t="str">
        <f aca="false">IF(F2762=0,"NOT FOUND",INDEX('All Song Rankings'!$B:$B,F2762))</f>
        <v>Martina McBride</v>
      </c>
      <c r="I2762" s="6" t="str">
        <f aca="false">IF(F2762=0,"NOT FOUND",INDEX('All Song Rankings'!$D:$D,F2762))</f>
        <v>Colleen</v>
      </c>
      <c r="J2762" s="7" t="str">
        <f aca="false">IF(F2762=0,"NOT FOUND",IF(C2762=I2762,"SELF-VOTE",IF(COUNTIF($K:$K,K2762)&gt;1,"DUPLICATE","OK")))</f>
        <v>OK</v>
      </c>
      <c r="K2762" s="6" t="str">
        <f aca="false">A2762&amp;"|"&amp;B2762&amp;"|"&amp;C2762&amp;"|"&amp;D2762</f>
        <v>5|1|Stephanie|spotify:track:2LLcI3oU4CedCQDV5tJ1SK</v>
      </c>
    </row>
    <row r="2763" customFormat="false" ht="15" hidden="false" customHeight="false" outlineLevel="0" collapsed="false">
      <c r="A2763" s="5" t="n">
        <v>5</v>
      </c>
      <c r="B2763" s="5" t="n">
        <v>1</v>
      </c>
      <c r="C2763" s="5" t="s">
        <v>97</v>
      </c>
      <c r="D2763" s="5" t="s">
        <v>1345</v>
      </c>
      <c r="E2763" s="5" t="n">
        <v>3</v>
      </c>
      <c r="F2763" s="6" t="n">
        <f aca="false">IFERROR(MATCH(A2763&amp;"|"&amp;B2763&amp;"|"&amp;D2763,'All Song Rankings'!$T:$T,0),0)</f>
        <v>423</v>
      </c>
      <c r="G2763" s="6" t="str">
        <f aca="false">IF(F2763=0,"NOT FOUND",INDEX('All Song Rankings'!$A:$A,F2763))</f>
        <v>Five More Minutes</v>
      </c>
      <c r="H2763" s="6" t="str">
        <f aca="false">IF(F2763=0,"NOT FOUND",INDEX('All Song Rankings'!$B:$B,F2763))</f>
        <v>Scotty McCreery</v>
      </c>
      <c r="I2763" s="6" t="str">
        <f aca="false">IF(F2763=0,"NOT FOUND",INDEX('All Song Rankings'!$D:$D,F2763))</f>
        <v>Aubrey</v>
      </c>
      <c r="J2763" s="7" t="str">
        <f aca="false">IF(F2763=0,"NOT FOUND",IF(C2763=I2763,"SELF-VOTE",IF(COUNTIF($K:$K,K2763)&gt;1,"DUPLICATE","OK")))</f>
        <v>OK</v>
      </c>
      <c r="K2763" s="6" t="str">
        <f aca="false">A2763&amp;"|"&amp;B2763&amp;"|"&amp;C2763&amp;"|"&amp;D2763</f>
        <v>5|1|Stephanie|spotify:track:3qTmB5HxP9ilJaiM6B1yuk</v>
      </c>
    </row>
    <row r="2764" customFormat="false" ht="15" hidden="false" customHeight="false" outlineLevel="0" collapsed="false">
      <c r="A2764" s="5" t="n">
        <v>5</v>
      </c>
      <c r="B2764" s="5" t="n">
        <v>1</v>
      </c>
      <c r="C2764" s="5" t="s">
        <v>97</v>
      </c>
      <c r="D2764" s="5" t="s">
        <v>1336</v>
      </c>
      <c r="E2764" s="5" t="n">
        <v>3</v>
      </c>
      <c r="F2764" s="6" t="n">
        <f aca="false">IFERROR(MATCH(A2764&amp;"|"&amp;B2764&amp;"|"&amp;D2764,'All Song Rankings'!$T:$T,0),0)</f>
        <v>420</v>
      </c>
      <c r="G2764" s="6" t="str">
        <f aca="false">IF(F2764=0,"NOT FOUND",INDEX('All Song Rankings'!$A:$A,F2764))</f>
        <v>Supermarket Flowers</v>
      </c>
      <c r="H2764" s="6" t="str">
        <f aca="false">IF(F2764=0,"NOT FOUND",INDEX('All Song Rankings'!$B:$B,F2764))</f>
        <v>Ed Sheeran</v>
      </c>
      <c r="I2764" s="6" t="str">
        <f aca="false">IF(F2764=0,"NOT FOUND",INDEX('All Song Rankings'!$D:$D,F2764))</f>
        <v>Merita</v>
      </c>
      <c r="J2764" s="7" t="str">
        <f aca="false">IF(F2764=0,"NOT FOUND",IF(C2764=I2764,"SELF-VOTE",IF(COUNTIF($K:$K,K2764)&gt;1,"DUPLICATE","OK")))</f>
        <v>OK</v>
      </c>
      <c r="K2764" s="6" t="str">
        <f aca="false">A2764&amp;"|"&amp;B2764&amp;"|"&amp;C2764&amp;"|"&amp;D2764</f>
        <v>5|1|Stephanie|spotify:track:4VuS959DSpr82t3qBqCrWG</v>
      </c>
    </row>
    <row r="2765" customFormat="false" ht="15" hidden="false" customHeight="false" outlineLevel="0" collapsed="false">
      <c r="A2765" s="5" t="n">
        <v>5</v>
      </c>
      <c r="B2765" s="5" t="n">
        <v>1</v>
      </c>
      <c r="C2765" s="5" t="s">
        <v>97</v>
      </c>
      <c r="D2765" s="5" t="s">
        <v>1360</v>
      </c>
      <c r="E2765" s="5" t="n">
        <v>1</v>
      </c>
      <c r="F2765" s="6" t="n">
        <f aca="false">IFERROR(MATCH(A2765&amp;"|"&amp;B2765&amp;"|"&amp;D2765,'All Song Rankings'!$T:$T,0),0)</f>
        <v>428</v>
      </c>
      <c r="G2765" s="6" t="str">
        <f aca="false">IF(F2765=0,"NOT FOUND",INDEX('All Song Rankings'!$A:$A,F2765))</f>
        <v>See You Again (feat. Charlie Puth)</v>
      </c>
      <c r="H2765" s="6" t="str">
        <f aca="false">IF(F2765=0,"NOT FOUND",INDEX('All Song Rankings'!$B:$B,F2765))</f>
        <v>Wiz Khalifa, Charlie Puth</v>
      </c>
      <c r="I2765" s="6" t="str">
        <f aca="false">IF(F2765=0,"NOT FOUND",INDEX('All Song Rankings'!$D:$D,F2765))</f>
        <v>Nicole</v>
      </c>
      <c r="J2765" s="7" t="str">
        <f aca="false">IF(F2765=0,"NOT FOUND",IF(C2765=I2765,"SELF-VOTE",IF(COUNTIF($K:$K,K2765)&gt;1,"DUPLICATE","OK")))</f>
        <v>OK</v>
      </c>
      <c r="K2765" s="6" t="str">
        <f aca="false">A2765&amp;"|"&amp;B2765&amp;"|"&amp;C2765&amp;"|"&amp;D2765</f>
        <v>5|1|Stephanie|spotify:track:6IcrwGdIvRsrImOnoYfG9Z</v>
      </c>
    </row>
    <row r="2766" customFormat="false" ht="15" hidden="false" customHeight="false" outlineLevel="0" collapsed="false">
      <c r="A2766" s="5" t="n">
        <v>5</v>
      </c>
      <c r="B2766" s="5" t="n">
        <v>1</v>
      </c>
      <c r="C2766" s="5" t="s">
        <v>97</v>
      </c>
      <c r="D2766" s="5" t="s">
        <v>1351</v>
      </c>
      <c r="E2766" s="5" t="n">
        <v>1</v>
      </c>
      <c r="F2766" s="6" t="n">
        <f aca="false">IFERROR(MATCH(A2766&amp;"|"&amp;B2766&amp;"|"&amp;D2766,'All Song Rankings'!$T:$T,0),0)</f>
        <v>425</v>
      </c>
      <c r="G2766" s="6" t="str">
        <f aca="false">IF(F2766=0,"NOT FOUND",INDEX('All Song Rankings'!$A:$A,F2766))</f>
        <v>Stay Gold</v>
      </c>
      <c r="H2766" s="6" t="str">
        <f aca="false">IF(F2766=0,"NOT FOUND",INDEX('All Song Rankings'!$B:$B,F2766))</f>
        <v>Sky Lakota-Lynch, Brody Grant, Original Broadway Cast of The Outsiders - A New Musical</v>
      </c>
      <c r="I2766" s="6" t="str">
        <f aca="false">IF(F2766=0,"NOT FOUND",INDEX('All Song Rankings'!$D:$D,F2766))</f>
        <v>Logan</v>
      </c>
      <c r="J2766" s="7" t="str">
        <f aca="false">IF(F2766=0,"NOT FOUND",IF(C2766=I2766,"SELF-VOTE",IF(COUNTIF($K:$K,K2766)&gt;1,"DUPLICATE","OK")))</f>
        <v>OK</v>
      </c>
      <c r="K2766" s="6" t="str">
        <f aca="false">A2766&amp;"|"&amp;B2766&amp;"|"&amp;C2766&amp;"|"&amp;D2766</f>
        <v>5|1|Stephanie|spotify:track:6QMYeuubL00KcXBXxS5Zhn</v>
      </c>
    </row>
    <row r="2767" customFormat="false" ht="15" hidden="false" customHeight="false" outlineLevel="0" collapsed="false">
      <c r="A2767" s="5" t="n">
        <v>5</v>
      </c>
      <c r="B2767" s="5" t="n">
        <v>2</v>
      </c>
      <c r="C2767" s="5" t="s">
        <v>375</v>
      </c>
      <c r="D2767" s="5" t="s">
        <v>1400</v>
      </c>
      <c r="E2767" s="5" t="n">
        <v>1</v>
      </c>
      <c r="F2767" s="6" t="n">
        <f aca="false">IFERROR(MATCH(A2767&amp;"|"&amp;B2767&amp;"|"&amp;D2767,'All Song Rankings'!$T:$T,0),0)</f>
        <v>442</v>
      </c>
      <c r="G2767" s="6" t="str">
        <f aca="false">IF(F2767=0,"NOT FOUND",INDEX('All Song Rankings'!$A:$A,F2767))</f>
        <v>Gangsta's Paradise</v>
      </c>
      <c r="H2767" s="6" t="str">
        <f aca="false">IF(F2767=0,"NOT FOUND",INDEX('All Song Rankings'!$B:$B,F2767))</f>
        <v>Coolio, L.V.</v>
      </c>
      <c r="I2767" s="6" t="str">
        <f aca="false">IF(F2767=0,"NOT FOUND",INDEX('All Song Rankings'!$D:$D,F2767))</f>
        <v>Grace</v>
      </c>
      <c r="J2767" s="7" t="str">
        <f aca="false">IF(F2767=0,"NOT FOUND",IF(C2767=I2767,"SELF-VOTE",IF(COUNTIF($K:$K,K2767)&gt;1,"DUPLICATE","OK")))</f>
        <v>OK</v>
      </c>
      <c r="K2767" s="6" t="str">
        <f aca="false">A2767&amp;"|"&amp;B2767&amp;"|"&amp;C2767&amp;"|"&amp;D2767</f>
        <v>5|2|Aubrey|spotify:track:1DIXPcTDzTj8ZMHt3PDt8p</v>
      </c>
    </row>
    <row r="2768" customFormat="false" ht="15" hidden="false" customHeight="false" outlineLevel="0" collapsed="false">
      <c r="A2768" s="5" t="n">
        <v>5</v>
      </c>
      <c r="B2768" s="5" t="n">
        <v>2</v>
      </c>
      <c r="C2768" s="5" t="s">
        <v>375</v>
      </c>
      <c r="D2768" s="5" t="s">
        <v>1405</v>
      </c>
      <c r="E2768" s="5" t="n">
        <v>1</v>
      </c>
      <c r="F2768" s="6" t="n">
        <f aca="false">IFERROR(MATCH(A2768&amp;"|"&amp;B2768&amp;"|"&amp;D2768,'All Song Rankings'!$T:$T,0),0)</f>
        <v>444</v>
      </c>
      <c r="G2768" s="6" t="str">
        <f aca="false">IF(F2768=0,"NOT FOUND",INDEX('All Song Rankings'!$A:$A,F2768))</f>
        <v>Eye of the Tiger</v>
      </c>
      <c r="H2768" s="6" t="str">
        <f aca="false">IF(F2768=0,"NOT FOUND",INDEX('All Song Rankings'!$B:$B,F2768))</f>
        <v>Survivor</v>
      </c>
      <c r="I2768" s="6" t="str">
        <f aca="false">IF(F2768=0,"NOT FOUND",INDEX('All Song Rankings'!$D:$D,F2768))</f>
        <v>Lisa</v>
      </c>
      <c r="J2768" s="7" t="str">
        <f aca="false">IF(F2768=0,"NOT FOUND",IF(C2768=I2768,"SELF-VOTE",IF(COUNTIF($K:$K,K2768)&gt;1,"DUPLICATE","OK")))</f>
        <v>OK</v>
      </c>
      <c r="K2768" s="6" t="str">
        <f aca="false">A2768&amp;"|"&amp;B2768&amp;"|"&amp;C2768&amp;"|"&amp;D2768</f>
        <v>5|2|Aubrey|spotify:track:2KH16WveTQWT6KOG9Rg6e2</v>
      </c>
    </row>
    <row r="2769" customFormat="false" ht="15" hidden="false" customHeight="false" outlineLevel="0" collapsed="false">
      <c r="A2769" s="5" t="n">
        <v>5</v>
      </c>
      <c r="B2769" s="5" t="n">
        <v>2</v>
      </c>
      <c r="C2769" s="5" t="s">
        <v>375</v>
      </c>
      <c r="D2769" s="5" t="s">
        <v>1386</v>
      </c>
      <c r="E2769" s="5" t="n">
        <v>1</v>
      </c>
      <c r="F2769" s="6" t="n">
        <f aca="false">IFERROR(MATCH(A2769&amp;"|"&amp;B2769&amp;"|"&amp;D2769,'All Song Rankings'!$T:$T,0),0)</f>
        <v>437</v>
      </c>
      <c r="G2769" s="6" t="str">
        <f aca="false">IF(F2769=0,"NOT FOUND",INDEX('All Song Rankings'!$A:$A,F2769))</f>
        <v>Danger Zone - From "Top Gun" Original Soundtrack</v>
      </c>
      <c r="H2769" s="6" t="str">
        <f aca="false">IF(F2769=0,"NOT FOUND",INDEX('All Song Rankings'!$B:$B,F2769))</f>
        <v>Kenny Loggins</v>
      </c>
      <c r="I2769" s="6" t="str">
        <f aca="false">IF(F2769=0,"NOT FOUND",INDEX('All Song Rankings'!$D:$D,F2769))</f>
        <v>Kelsey</v>
      </c>
      <c r="J2769" s="7" t="str">
        <f aca="false">IF(F2769=0,"NOT FOUND",IF(C2769=I2769,"SELF-VOTE",IF(COUNTIF($K:$K,K2769)&gt;1,"DUPLICATE","OK")))</f>
        <v>OK</v>
      </c>
      <c r="K2769" s="6" t="str">
        <f aca="false">A2769&amp;"|"&amp;B2769&amp;"|"&amp;C2769&amp;"|"&amp;D2769</f>
        <v>5|2|Aubrey|spotify:track:3hMHG6lx9QHVcfYSUr5PoM</v>
      </c>
    </row>
    <row r="2770" customFormat="false" ht="15" hidden="false" customHeight="false" outlineLevel="0" collapsed="false">
      <c r="A2770" s="5" t="n">
        <v>5</v>
      </c>
      <c r="B2770" s="5" t="n">
        <v>2</v>
      </c>
      <c r="C2770" s="5" t="s">
        <v>375</v>
      </c>
      <c r="D2770" s="5" t="s">
        <v>1389</v>
      </c>
      <c r="E2770" s="5" t="n">
        <v>2</v>
      </c>
      <c r="F2770" s="6" t="n">
        <f aca="false">IFERROR(MATCH(A2770&amp;"|"&amp;B2770&amp;"|"&amp;D2770,'All Song Rankings'!$T:$T,0),0)</f>
        <v>438</v>
      </c>
      <c r="G2770" s="6" t="str">
        <f aca="false">IF(F2770=0,"NOT FOUND",INDEX('All Song Rankings'!$A:$A,F2770))</f>
        <v>Accidentally in Love</v>
      </c>
      <c r="H2770" s="6" t="str">
        <f aca="false">IF(F2770=0,"NOT FOUND",INDEX('All Song Rankings'!$B:$B,F2770))</f>
        <v>Counting Crows</v>
      </c>
      <c r="I2770" s="6" t="str">
        <f aca="false">IF(F2770=0,"NOT FOUND",INDEX('All Song Rankings'!$D:$D,F2770))</f>
        <v>Stephanie</v>
      </c>
      <c r="J2770" s="7" t="str">
        <f aca="false">IF(F2770=0,"NOT FOUND",IF(C2770=I2770,"SELF-VOTE",IF(COUNTIF($K:$K,K2770)&gt;1,"DUPLICATE","OK")))</f>
        <v>OK</v>
      </c>
      <c r="K2770" s="6" t="str">
        <f aca="false">A2770&amp;"|"&amp;B2770&amp;"|"&amp;C2770&amp;"|"&amp;D2770</f>
        <v>5|2|Aubrey|spotify:track:4ccM2xBxicGigjLqt6A0YY</v>
      </c>
    </row>
    <row r="2771" customFormat="false" ht="15" hidden="false" customHeight="false" outlineLevel="0" collapsed="false">
      <c r="A2771" s="5" t="n">
        <v>5</v>
      </c>
      <c r="B2771" s="5" t="n">
        <v>2</v>
      </c>
      <c r="C2771" s="5" t="s">
        <v>375</v>
      </c>
      <c r="D2771" s="5" t="s">
        <v>1410</v>
      </c>
      <c r="E2771" s="5" t="n">
        <v>1</v>
      </c>
      <c r="F2771" s="6" t="n">
        <f aca="false">IFERROR(MATCH(A2771&amp;"|"&amp;B2771&amp;"|"&amp;D2771,'All Song Rankings'!$T:$T,0),0)</f>
        <v>446</v>
      </c>
      <c r="G2771" s="6" t="str">
        <f aca="false">IF(F2771=0,"NOT FOUND",INDEX('All Song Rankings'!$A:$A,F2771))</f>
        <v>I Ain't Worried</v>
      </c>
      <c r="H2771" s="6" t="str">
        <f aca="false">IF(F2771=0,"NOT FOUND",INDEX('All Song Rankings'!$B:$B,F2771))</f>
        <v>OneRepublic</v>
      </c>
      <c r="I2771" s="6" t="str">
        <f aca="false">IF(F2771=0,"NOT FOUND",INDEX('All Song Rankings'!$D:$D,F2771))</f>
        <v>Makenzie</v>
      </c>
      <c r="J2771" s="7" t="str">
        <f aca="false">IF(F2771=0,"NOT FOUND",IF(C2771=I2771,"SELF-VOTE",IF(COUNTIF($K:$K,K2771)&gt;1,"DUPLICATE","OK")))</f>
        <v>OK</v>
      </c>
      <c r="K2771" s="6" t="str">
        <f aca="false">A2771&amp;"|"&amp;B2771&amp;"|"&amp;C2771&amp;"|"&amp;D2771</f>
        <v>5|2|Aubrey|spotify:track:4h9wh7iOZ0GGn8QVp4RAOB</v>
      </c>
    </row>
    <row r="2772" customFormat="false" ht="15" hidden="false" customHeight="false" outlineLevel="0" collapsed="false">
      <c r="A2772" s="5" t="n">
        <v>5</v>
      </c>
      <c r="B2772" s="5" t="n">
        <v>2</v>
      </c>
      <c r="C2772" s="5" t="s">
        <v>375</v>
      </c>
      <c r="D2772" s="5" t="s">
        <v>1383</v>
      </c>
      <c r="E2772" s="5" t="n">
        <v>1</v>
      </c>
      <c r="F2772" s="6" t="n">
        <f aca="false">IFERROR(MATCH(A2772&amp;"|"&amp;B2772&amp;"|"&amp;D2772,'All Song Rankings'!$T:$T,0),0)</f>
        <v>436</v>
      </c>
      <c r="G2772" s="6" t="str">
        <f aca="false">IF(F2772=0,"NOT FOUND",INDEX('All Song Rankings'!$A:$A,F2772))</f>
        <v>Skyfall</v>
      </c>
      <c r="H2772" s="6" t="str">
        <f aca="false">IF(F2772=0,"NOT FOUND",INDEX('All Song Rankings'!$B:$B,F2772))</f>
        <v>Adele</v>
      </c>
      <c r="I2772" s="6" t="str">
        <f aca="false">IF(F2772=0,"NOT FOUND",INDEX('All Song Rankings'!$D:$D,F2772))</f>
        <v>Leah</v>
      </c>
      <c r="J2772" s="7" t="str">
        <f aca="false">IF(F2772=0,"NOT FOUND",IF(C2772=I2772,"SELF-VOTE",IF(COUNTIF($K:$K,K2772)&gt;1,"DUPLICATE","OK")))</f>
        <v>OK</v>
      </c>
      <c r="K2772" s="6" t="str">
        <f aca="false">A2772&amp;"|"&amp;B2772&amp;"|"&amp;C2772&amp;"|"&amp;D2772</f>
        <v>5|2|Aubrey|spotify:track:6VObnIkLVruX4UVyxWhlqm</v>
      </c>
    </row>
    <row r="2773" customFormat="false" ht="15" hidden="false" customHeight="false" outlineLevel="0" collapsed="false">
      <c r="A2773" s="5" t="n">
        <v>5</v>
      </c>
      <c r="B2773" s="5" t="n">
        <v>2</v>
      </c>
      <c r="C2773" s="5" t="s">
        <v>375</v>
      </c>
      <c r="D2773" s="5" t="s">
        <v>1413</v>
      </c>
      <c r="E2773" s="5" t="n">
        <v>1</v>
      </c>
      <c r="F2773" s="6" t="n">
        <f aca="false">IFERROR(MATCH(A2773&amp;"|"&amp;B2773&amp;"|"&amp;D2773,'All Song Rankings'!$T:$T,0),0)</f>
        <v>447</v>
      </c>
      <c r="G2773" s="6" t="str">
        <f aca="false">IF(F2773=0,"NOT FOUND",INDEX('All Song Rankings'!$A:$A,F2773))</f>
        <v>Can't Take My Eyes off You</v>
      </c>
      <c r="H2773" s="6" t="str">
        <f aca="false">IF(F2773=0,"NOT FOUND",INDEX('All Song Rankings'!$B:$B,F2773))</f>
        <v>Frankie Valli</v>
      </c>
      <c r="I2773" s="6" t="str">
        <f aca="false">IF(F2773=0,"NOT FOUND",INDEX('All Song Rankings'!$D:$D,F2773))</f>
        <v>Colleen</v>
      </c>
      <c r="J2773" s="7" t="str">
        <f aca="false">IF(F2773=0,"NOT FOUND",IF(C2773=I2773,"SELF-VOTE",IF(COUNTIF($K:$K,K2773)&gt;1,"DUPLICATE","OK")))</f>
        <v>OK</v>
      </c>
      <c r="K2773" s="6" t="str">
        <f aca="false">A2773&amp;"|"&amp;B2773&amp;"|"&amp;C2773&amp;"|"&amp;D2773</f>
        <v>5|2|Aubrey|spotify:track:6ft9PAgNOjmZ2kFVP7LGqb</v>
      </c>
    </row>
    <row r="2774" customFormat="false" ht="15" hidden="false" customHeight="false" outlineLevel="0" collapsed="false">
      <c r="A2774" s="5" t="n">
        <v>5</v>
      </c>
      <c r="B2774" s="5" t="n">
        <v>2</v>
      </c>
      <c r="C2774" s="5" t="s">
        <v>375</v>
      </c>
      <c r="D2774" s="5" t="s">
        <v>1394</v>
      </c>
      <c r="E2774" s="5" t="n">
        <v>1</v>
      </c>
      <c r="F2774" s="6" t="n">
        <f aca="false">IFERROR(MATCH(A2774&amp;"|"&amp;B2774&amp;"|"&amp;D2774,'All Song Rankings'!$T:$T,0),0)</f>
        <v>440</v>
      </c>
      <c r="G2774" s="6" t="str">
        <f aca="false">IF(F2774=0,"NOT FOUND",INDEX('All Song Rankings'!$A:$A,F2774))</f>
        <v>Don't You (Forget About Me)</v>
      </c>
      <c r="H2774" s="6" t="str">
        <f aca="false">IF(F2774=0,"NOT FOUND",INDEX('All Song Rankings'!$B:$B,F2774))</f>
        <v>Simple Minds</v>
      </c>
      <c r="I2774" s="6" t="str">
        <f aca="false">IF(F2774=0,"NOT FOUND",INDEX('All Song Rankings'!$D:$D,F2774))</f>
        <v>Logan</v>
      </c>
      <c r="J2774" s="7" t="str">
        <f aca="false">IF(F2774=0,"NOT FOUND",IF(C2774=I2774,"SELF-VOTE",IF(COUNTIF($K:$K,K2774)&gt;1,"DUPLICATE","OK")))</f>
        <v>OK</v>
      </c>
      <c r="K2774" s="6" t="str">
        <f aca="false">A2774&amp;"|"&amp;B2774&amp;"|"&amp;C2774&amp;"|"&amp;D2774</f>
        <v>5|2|Aubrey|spotify:track:6yEAAIEHu4GcUFptg5W9kI</v>
      </c>
    </row>
    <row r="2775" customFormat="false" ht="15" hidden="false" customHeight="false" outlineLevel="0" collapsed="false">
      <c r="A2775" s="5" t="n">
        <v>5</v>
      </c>
      <c r="B2775" s="5" t="n">
        <v>2</v>
      </c>
      <c r="C2775" s="5" t="s">
        <v>375</v>
      </c>
      <c r="D2775" s="5" t="s">
        <v>1419</v>
      </c>
      <c r="E2775" s="5" t="n">
        <v>1</v>
      </c>
      <c r="F2775" s="6" t="n">
        <f aca="false">IFERROR(MATCH(A2775&amp;"|"&amp;B2775&amp;"|"&amp;D2775,'All Song Rankings'!$T:$T,0),0)</f>
        <v>449</v>
      </c>
      <c r="G2775" s="6" t="str">
        <f aca="false">IF(F2775=0,"NOT FOUND",INDEX('All Song Rankings'!$A:$A,F2775))</f>
        <v>Miracles Happen</v>
      </c>
      <c r="H2775" s="6" t="str">
        <f aca="false">IF(F2775=0,"NOT FOUND",INDEX('All Song Rankings'!$B:$B,F2775))</f>
        <v>Myra</v>
      </c>
      <c r="I2775" s="6" t="str">
        <f aca="false">IF(F2775=0,"NOT FOUND",INDEX('All Song Rankings'!$D:$D,F2775))</f>
        <v>Natasha</v>
      </c>
      <c r="J2775" s="7" t="str">
        <f aca="false">IF(F2775=0,"NOT FOUND",IF(C2775=I2775,"SELF-VOTE",IF(COUNTIF($K:$K,K2775)&gt;1,"DUPLICATE","OK")))</f>
        <v>OK</v>
      </c>
      <c r="K2775" s="6" t="str">
        <f aca="false">A2775&amp;"|"&amp;B2775&amp;"|"&amp;C2775&amp;"|"&amp;D2775</f>
        <v>5|2|Aubrey|spotify:track:77mnUPdjFBDZuBnSLgOEgb</v>
      </c>
    </row>
    <row r="2776" customFormat="false" ht="15" hidden="false" customHeight="false" outlineLevel="0" collapsed="false">
      <c r="A2776" s="5" t="n">
        <v>5</v>
      </c>
      <c r="B2776" s="5" t="n">
        <v>2</v>
      </c>
      <c r="C2776" s="5" t="s">
        <v>719</v>
      </c>
      <c r="D2776" s="5" t="s">
        <v>1422</v>
      </c>
      <c r="E2776" s="5" t="n">
        <v>1</v>
      </c>
      <c r="F2776" s="6" t="n">
        <f aca="false">IFERROR(MATCH(A2776&amp;"|"&amp;B2776&amp;"|"&amp;D2776,'All Song Rankings'!$T:$T,0),0)</f>
        <v>450</v>
      </c>
      <c r="G2776" s="6" t="str">
        <f aca="false">IF(F2776=0,"NOT FOUND",INDEX('All Song Rankings'!$A:$A,F2776))</f>
        <v>Mystery of Love</v>
      </c>
      <c r="H2776" s="6" t="str">
        <f aca="false">IF(F2776=0,"NOT FOUND",INDEX('All Song Rankings'!$B:$B,F2776))</f>
        <v>Sufjan Stevens</v>
      </c>
      <c r="I2776" s="6" t="str">
        <f aca="false">IF(F2776=0,"NOT FOUND",INDEX('All Song Rankings'!$D:$D,F2776))</f>
        <v>Merita</v>
      </c>
      <c r="J2776" s="7" t="str">
        <f aca="false">IF(F2776=0,"NOT FOUND",IF(C2776=I2776,"SELF-VOTE",IF(COUNTIF($K:$K,K2776)&gt;1,"DUPLICATE","OK")))</f>
        <v>OK</v>
      </c>
      <c r="K2776" s="6" t="str">
        <f aca="false">A2776&amp;"|"&amp;B2776&amp;"|"&amp;C2776&amp;"|"&amp;D2776</f>
        <v>5|2|Christine|spotify:track:0MNNKSUU9OOQ8DSGWduw79</v>
      </c>
    </row>
    <row r="2777" customFormat="false" ht="15" hidden="false" customHeight="false" outlineLevel="0" collapsed="false">
      <c r="A2777" s="5" t="n">
        <v>5</v>
      </c>
      <c r="B2777" s="5" t="n">
        <v>2</v>
      </c>
      <c r="C2777" s="5" t="s">
        <v>719</v>
      </c>
      <c r="D2777" s="5" t="s">
        <v>1400</v>
      </c>
      <c r="E2777" s="5" t="n">
        <v>1</v>
      </c>
      <c r="F2777" s="6" t="n">
        <f aca="false">IFERROR(MATCH(A2777&amp;"|"&amp;B2777&amp;"|"&amp;D2777,'All Song Rankings'!$T:$T,0),0)</f>
        <v>442</v>
      </c>
      <c r="G2777" s="6" t="str">
        <f aca="false">IF(F2777=0,"NOT FOUND",INDEX('All Song Rankings'!$A:$A,F2777))</f>
        <v>Gangsta's Paradise</v>
      </c>
      <c r="H2777" s="6" t="str">
        <f aca="false">IF(F2777=0,"NOT FOUND",INDEX('All Song Rankings'!$B:$B,F2777))</f>
        <v>Coolio, L.V.</v>
      </c>
      <c r="I2777" s="6" t="str">
        <f aca="false">IF(F2777=0,"NOT FOUND",INDEX('All Song Rankings'!$D:$D,F2777))</f>
        <v>Grace</v>
      </c>
      <c r="J2777" s="7" t="str">
        <f aca="false">IF(F2777=0,"NOT FOUND",IF(C2777=I2777,"SELF-VOTE",IF(COUNTIF($K:$K,K2777)&gt;1,"DUPLICATE","OK")))</f>
        <v>OK</v>
      </c>
      <c r="K2777" s="6" t="str">
        <f aca="false">A2777&amp;"|"&amp;B2777&amp;"|"&amp;C2777&amp;"|"&amp;D2777</f>
        <v>5|2|Christine|spotify:track:1DIXPcTDzTj8ZMHt3PDt8p</v>
      </c>
    </row>
    <row r="2778" customFormat="false" ht="15" hidden="false" customHeight="false" outlineLevel="0" collapsed="false">
      <c r="A2778" s="5" t="n">
        <v>5</v>
      </c>
      <c r="B2778" s="5" t="n">
        <v>2</v>
      </c>
      <c r="C2778" s="5" t="s">
        <v>719</v>
      </c>
      <c r="D2778" s="5" t="s">
        <v>1408</v>
      </c>
      <c r="E2778" s="5" t="n">
        <v>1</v>
      </c>
      <c r="F2778" s="6" t="n">
        <f aca="false">IFERROR(MATCH(A2778&amp;"|"&amp;B2778&amp;"|"&amp;D2778,'All Song Rankings'!$T:$T,0),0)</f>
        <v>445</v>
      </c>
      <c r="G2778" s="6" t="str">
        <f aca="false">IF(F2778=0,"NOT FOUND",INDEX('All Song Rankings'!$A:$A,F2778))</f>
        <v>When Your Mind's Made Up</v>
      </c>
      <c r="H2778" s="6" t="str">
        <f aca="false">IF(F2778=0,"NOT FOUND",INDEX('All Song Rankings'!$B:$B,F2778))</f>
        <v>Glen Hansard, Markéta Irglová</v>
      </c>
      <c r="I2778" s="6" t="str">
        <f aca="false">IF(F2778=0,"NOT FOUND",INDEX('All Song Rankings'!$D:$D,F2778))</f>
        <v>Matt</v>
      </c>
      <c r="J2778" s="7" t="str">
        <f aca="false">IF(F2778=0,"NOT FOUND",IF(C2778=I2778,"SELF-VOTE",IF(COUNTIF($K:$K,K2778)&gt;1,"DUPLICATE","OK")))</f>
        <v>OK</v>
      </c>
      <c r="K2778" s="6" t="str">
        <f aca="false">A2778&amp;"|"&amp;B2778&amp;"|"&amp;C2778&amp;"|"&amp;D2778</f>
        <v>5|2|Christine|spotify:track:1aAfiBF8ftfkONfzc0GTWz</v>
      </c>
    </row>
    <row r="2779" customFormat="false" ht="15" hidden="false" customHeight="false" outlineLevel="0" collapsed="false">
      <c r="A2779" s="5" t="n">
        <v>5</v>
      </c>
      <c r="B2779" s="5" t="n">
        <v>2</v>
      </c>
      <c r="C2779" s="5" t="s">
        <v>719</v>
      </c>
      <c r="D2779" s="5" t="s">
        <v>1402</v>
      </c>
      <c r="E2779" s="5" t="n">
        <v>1</v>
      </c>
      <c r="F2779" s="6" t="n">
        <f aca="false">IFERROR(MATCH(A2779&amp;"|"&amp;B2779&amp;"|"&amp;D2779,'All Song Rankings'!$T:$T,0),0)</f>
        <v>443</v>
      </c>
      <c r="G2779" s="6" t="str">
        <f aca="false">IF(F2779=0,"NOT FOUND",INDEX('All Song Rankings'!$A:$A,F2779))</f>
        <v>Hold My Hand</v>
      </c>
      <c r="H2779" s="6" t="str">
        <f aca="false">IF(F2779=0,"NOT FOUND",INDEX('All Song Rankings'!$B:$B,F2779))</f>
        <v>Lady Gaga</v>
      </c>
      <c r="I2779" s="6" t="str">
        <f aca="false">IF(F2779=0,"NOT FOUND",INDEX('All Song Rankings'!$D:$D,F2779))</f>
        <v>Aubrey</v>
      </c>
      <c r="J2779" s="7" t="str">
        <f aca="false">IF(F2779=0,"NOT FOUND",IF(C2779=I2779,"SELF-VOTE",IF(COUNTIF($K:$K,K2779)&gt;1,"DUPLICATE","OK")))</f>
        <v>OK</v>
      </c>
      <c r="K2779" s="6" t="str">
        <f aca="false">A2779&amp;"|"&amp;B2779&amp;"|"&amp;C2779&amp;"|"&amp;D2779</f>
        <v>5|2|Christine|spotify:track:1c2hJSwcCfoPEw1su83Sw0</v>
      </c>
    </row>
    <row r="2780" customFormat="false" ht="15" hidden="false" customHeight="false" outlineLevel="0" collapsed="false">
      <c r="A2780" s="5" t="n">
        <v>5</v>
      </c>
      <c r="B2780" s="5" t="n">
        <v>2</v>
      </c>
      <c r="C2780" s="5" t="s">
        <v>719</v>
      </c>
      <c r="D2780" s="5" t="s">
        <v>1397</v>
      </c>
      <c r="E2780" s="5" t="n">
        <v>1</v>
      </c>
      <c r="F2780" s="6" t="n">
        <f aca="false">IFERROR(MATCH(A2780&amp;"|"&amp;B2780&amp;"|"&amp;D2780,'All Song Rankings'!$T:$T,0),0)</f>
        <v>441</v>
      </c>
      <c r="G2780" s="6" t="str">
        <f aca="false">IF(F2780=0,"NOT FOUND",INDEX('All Song Rankings'!$A:$A,F2780))</f>
        <v>Sunflower - Spider-Man: Into the Spider-Verse</v>
      </c>
      <c r="H2780" s="6" t="str">
        <f aca="false">IF(F2780=0,"NOT FOUND",INDEX('All Song Rankings'!$B:$B,F2780))</f>
        <v>Post Malone, Swae Lee</v>
      </c>
      <c r="I2780" s="6" t="str">
        <f aca="false">IF(F2780=0,"NOT FOUND",INDEX('All Song Rankings'!$D:$D,F2780))</f>
        <v>Nicole</v>
      </c>
      <c r="J2780" s="7" t="str">
        <f aca="false">IF(F2780=0,"NOT FOUND",IF(C2780=I2780,"SELF-VOTE",IF(COUNTIF($K:$K,K2780)&gt;1,"DUPLICATE","OK")))</f>
        <v>OK</v>
      </c>
      <c r="K2780" s="6" t="str">
        <f aca="false">A2780&amp;"|"&amp;B2780&amp;"|"&amp;C2780&amp;"|"&amp;D2780</f>
        <v>5|2|Christine|spotify:track:3KkXRkHbMCARz0aVfEt68P</v>
      </c>
    </row>
    <row r="2781" customFormat="false" ht="15" hidden="false" customHeight="false" outlineLevel="0" collapsed="false">
      <c r="A2781" s="5" t="n">
        <v>5</v>
      </c>
      <c r="B2781" s="5" t="n">
        <v>2</v>
      </c>
      <c r="C2781" s="5" t="s">
        <v>719</v>
      </c>
      <c r="D2781" s="5" t="s">
        <v>1386</v>
      </c>
      <c r="E2781" s="5" t="n">
        <v>1</v>
      </c>
      <c r="F2781" s="6" t="n">
        <f aca="false">IFERROR(MATCH(A2781&amp;"|"&amp;B2781&amp;"|"&amp;D2781,'All Song Rankings'!$T:$T,0),0)</f>
        <v>437</v>
      </c>
      <c r="G2781" s="6" t="str">
        <f aca="false">IF(F2781=0,"NOT FOUND",INDEX('All Song Rankings'!$A:$A,F2781))</f>
        <v>Danger Zone - From "Top Gun" Original Soundtrack</v>
      </c>
      <c r="H2781" s="6" t="str">
        <f aca="false">IF(F2781=0,"NOT FOUND",INDEX('All Song Rankings'!$B:$B,F2781))</f>
        <v>Kenny Loggins</v>
      </c>
      <c r="I2781" s="6" t="str">
        <f aca="false">IF(F2781=0,"NOT FOUND",INDEX('All Song Rankings'!$D:$D,F2781))</f>
        <v>Kelsey</v>
      </c>
      <c r="J2781" s="7" t="str">
        <f aca="false">IF(F2781=0,"NOT FOUND",IF(C2781=I2781,"SELF-VOTE",IF(COUNTIF($K:$K,K2781)&gt;1,"DUPLICATE","OK")))</f>
        <v>OK</v>
      </c>
      <c r="K2781" s="6" t="str">
        <f aca="false">A2781&amp;"|"&amp;B2781&amp;"|"&amp;C2781&amp;"|"&amp;D2781</f>
        <v>5|2|Christine|spotify:track:3hMHG6lx9QHVcfYSUr5PoM</v>
      </c>
    </row>
    <row r="2782" customFormat="false" ht="15" hidden="false" customHeight="false" outlineLevel="0" collapsed="false">
      <c r="A2782" s="5" t="n">
        <v>5</v>
      </c>
      <c r="B2782" s="5" t="n">
        <v>2</v>
      </c>
      <c r="C2782" s="5" t="s">
        <v>719</v>
      </c>
      <c r="D2782" s="5" t="s">
        <v>1389</v>
      </c>
      <c r="E2782" s="5" t="n">
        <v>1</v>
      </c>
      <c r="F2782" s="6" t="n">
        <f aca="false">IFERROR(MATCH(A2782&amp;"|"&amp;B2782&amp;"|"&amp;D2782,'All Song Rankings'!$T:$T,0),0)</f>
        <v>438</v>
      </c>
      <c r="G2782" s="6" t="str">
        <f aca="false">IF(F2782=0,"NOT FOUND",INDEX('All Song Rankings'!$A:$A,F2782))</f>
        <v>Accidentally in Love</v>
      </c>
      <c r="H2782" s="6" t="str">
        <f aca="false">IF(F2782=0,"NOT FOUND",INDEX('All Song Rankings'!$B:$B,F2782))</f>
        <v>Counting Crows</v>
      </c>
      <c r="I2782" s="6" t="str">
        <f aca="false">IF(F2782=0,"NOT FOUND",INDEX('All Song Rankings'!$D:$D,F2782))</f>
        <v>Stephanie</v>
      </c>
      <c r="J2782" s="7" t="str">
        <f aca="false">IF(F2782=0,"NOT FOUND",IF(C2782=I2782,"SELF-VOTE",IF(COUNTIF($K:$K,K2782)&gt;1,"DUPLICATE","OK")))</f>
        <v>OK</v>
      </c>
      <c r="K2782" s="6" t="str">
        <f aca="false">A2782&amp;"|"&amp;B2782&amp;"|"&amp;C2782&amp;"|"&amp;D2782</f>
        <v>5|2|Christine|spotify:track:4ccM2xBxicGigjLqt6A0YY</v>
      </c>
    </row>
    <row r="2783" customFormat="false" ht="15" hidden="false" customHeight="false" outlineLevel="0" collapsed="false">
      <c r="A2783" s="5" t="n">
        <v>5</v>
      </c>
      <c r="B2783" s="5" t="n">
        <v>2</v>
      </c>
      <c r="C2783" s="5" t="s">
        <v>719</v>
      </c>
      <c r="D2783" s="5" t="s">
        <v>1410</v>
      </c>
      <c r="E2783" s="5" t="n">
        <v>1</v>
      </c>
      <c r="F2783" s="6" t="n">
        <f aca="false">IFERROR(MATCH(A2783&amp;"|"&amp;B2783&amp;"|"&amp;D2783,'All Song Rankings'!$T:$T,0),0)</f>
        <v>446</v>
      </c>
      <c r="G2783" s="6" t="str">
        <f aca="false">IF(F2783=0,"NOT FOUND",INDEX('All Song Rankings'!$A:$A,F2783))</f>
        <v>I Ain't Worried</v>
      </c>
      <c r="H2783" s="6" t="str">
        <f aca="false">IF(F2783=0,"NOT FOUND",INDEX('All Song Rankings'!$B:$B,F2783))</f>
        <v>OneRepublic</v>
      </c>
      <c r="I2783" s="6" t="str">
        <f aca="false">IF(F2783=0,"NOT FOUND",INDEX('All Song Rankings'!$D:$D,F2783))</f>
        <v>Makenzie</v>
      </c>
      <c r="J2783" s="7" t="str">
        <f aca="false">IF(F2783=0,"NOT FOUND",IF(C2783=I2783,"SELF-VOTE",IF(COUNTIF($K:$K,K2783)&gt;1,"DUPLICATE","OK")))</f>
        <v>OK</v>
      </c>
      <c r="K2783" s="6" t="str">
        <f aca="false">A2783&amp;"|"&amp;B2783&amp;"|"&amp;C2783&amp;"|"&amp;D2783</f>
        <v>5|2|Christine|spotify:track:4h9wh7iOZ0GGn8QVp4RAOB</v>
      </c>
    </row>
    <row r="2784" customFormat="false" ht="15" hidden="false" customHeight="false" outlineLevel="0" collapsed="false">
      <c r="A2784" s="5" t="n">
        <v>5</v>
      </c>
      <c r="B2784" s="5" t="n">
        <v>2</v>
      </c>
      <c r="C2784" s="5" t="s">
        <v>719</v>
      </c>
      <c r="D2784" s="5" t="s">
        <v>1383</v>
      </c>
      <c r="E2784" s="5" t="n">
        <v>1</v>
      </c>
      <c r="F2784" s="6" t="n">
        <f aca="false">IFERROR(MATCH(A2784&amp;"|"&amp;B2784&amp;"|"&amp;D2784,'All Song Rankings'!$T:$T,0),0)</f>
        <v>436</v>
      </c>
      <c r="G2784" s="6" t="str">
        <f aca="false">IF(F2784=0,"NOT FOUND",INDEX('All Song Rankings'!$A:$A,F2784))</f>
        <v>Skyfall</v>
      </c>
      <c r="H2784" s="6" t="str">
        <f aca="false">IF(F2784=0,"NOT FOUND",INDEX('All Song Rankings'!$B:$B,F2784))</f>
        <v>Adele</v>
      </c>
      <c r="I2784" s="6" t="str">
        <f aca="false">IF(F2784=0,"NOT FOUND",INDEX('All Song Rankings'!$D:$D,F2784))</f>
        <v>Leah</v>
      </c>
      <c r="J2784" s="7" t="str">
        <f aca="false">IF(F2784=0,"NOT FOUND",IF(C2784=I2784,"SELF-VOTE",IF(COUNTIF($K:$K,K2784)&gt;1,"DUPLICATE","OK")))</f>
        <v>OK</v>
      </c>
      <c r="K2784" s="6" t="str">
        <f aca="false">A2784&amp;"|"&amp;B2784&amp;"|"&amp;C2784&amp;"|"&amp;D2784</f>
        <v>5|2|Christine|spotify:track:6VObnIkLVruX4UVyxWhlqm</v>
      </c>
    </row>
    <row r="2785" customFormat="false" ht="15" hidden="false" customHeight="false" outlineLevel="0" collapsed="false">
      <c r="A2785" s="5" t="n">
        <v>5</v>
      </c>
      <c r="B2785" s="5" t="n">
        <v>2</v>
      </c>
      <c r="C2785" s="5" t="s">
        <v>719</v>
      </c>
      <c r="D2785" s="5" t="s">
        <v>1394</v>
      </c>
      <c r="E2785" s="5" t="n">
        <v>1</v>
      </c>
      <c r="F2785" s="6" t="n">
        <f aca="false">IFERROR(MATCH(A2785&amp;"|"&amp;B2785&amp;"|"&amp;D2785,'All Song Rankings'!$T:$T,0),0)</f>
        <v>440</v>
      </c>
      <c r="G2785" s="6" t="str">
        <f aca="false">IF(F2785=0,"NOT FOUND",INDEX('All Song Rankings'!$A:$A,F2785))</f>
        <v>Don't You (Forget About Me)</v>
      </c>
      <c r="H2785" s="6" t="str">
        <f aca="false">IF(F2785=0,"NOT FOUND",INDEX('All Song Rankings'!$B:$B,F2785))</f>
        <v>Simple Minds</v>
      </c>
      <c r="I2785" s="6" t="str">
        <f aca="false">IF(F2785=0,"NOT FOUND",INDEX('All Song Rankings'!$D:$D,F2785))</f>
        <v>Logan</v>
      </c>
      <c r="J2785" s="7" t="str">
        <f aca="false">IF(F2785=0,"NOT FOUND",IF(C2785=I2785,"SELF-VOTE",IF(COUNTIF($K:$K,K2785)&gt;1,"DUPLICATE","OK")))</f>
        <v>OK</v>
      </c>
      <c r="K2785" s="6" t="str">
        <f aca="false">A2785&amp;"|"&amp;B2785&amp;"|"&amp;C2785&amp;"|"&amp;D2785</f>
        <v>5|2|Christine|spotify:track:6yEAAIEHu4GcUFptg5W9kI</v>
      </c>
    </row>
    <row r="2786" customFormat="false" ht="15" hidden="false" customHeight="false" outlineLevel="0" collapsed="false">
      <c r="A2786" s="5" t="n">
        <v>5</v>
      </c>
      <c r="B2786" s="5" t="n">
        <v>2</v>
      </c>
      <c r="C2786" s="5" t="s">
        <v>637</v>
      </c>
      <c r="D2786" s="5" t="s">
        <v>1402</v>
      </c>
      <c r="E2786" s="5" t="n">
        <v>1</v>
      </c>
      <c r="F2786" s="6" t="n">
        <f aca="false">IFERROR(MATCH(A2786&amp;"|"&amp;B2786&amp;"|"&amp;D2786,'All Song Rankings'!$T:$T,0),0)</f>
        <v>443</v>
      </c>
      <c r="G2786" s="6" t="str">
        <f aca="false">IF(F2786=0,"NOT FOUND",INDEX('All Song Rankings'!$A:$A,F2786))</f>
        <v>Hold My Hand</v>
      </c>
      <c r="H2786" s="6" t="str">
        <f aca="false">IF(F2786=0,"NOT FOUND",INDEX('All Song Rankings'!$B:$B,F2786))</f>
        <v>Lady Gaga</v>
      </c>
      <c r="I2786" s="6" t="str">
        <f aca="false">IF(F2786=0,"NOT FOUND",INDEX('All Song Rankings'!$D:$D,F2786))</f>
        <v>Aubrey</v>
      </c>
      <c r="J2786" s="7" t="str">
        <f aca="false">IF(F2786=0,"NOT FOUND",IF(C2786=I2786,"SELF-VOTE",IF(COUNTIF($K:$K,K2786)&gt;1,"DUPLICATE","OK")))</f>
        <v>OK</v>
      </c>
      <c r="K2786" s="6" t="str">
        <f aca="false">A2786&amp;"|"&amp;B2786&amp;"|"&amp;C2786&amp;"|"&amp;D2786</f>
        <v>5|2|Colleen|spotify:track:1c2hJSwcCfoPEw1su83Sw0</v>
      </c>
    </row>
    <row r="2787" customFormat="false" ht="15" hidden="false" customHeight="false" outlineLevel="0" collapsed="false">
      <c r="A2787" s="5" t="n">
        <v>5</v>
      </c>
      <c r="B2787" s="5" t="n">
        <v>2</v>
      </c>
      <c r="C2787" s="5" t="s">
        <v>637</v>
      </c>
      <c r="D2787" s="5" t="s">
        <v>1405</v>
      </c>
      <c r="E2787" s="5" t="n">
        <v>1</v>
      </c>
      <c r="F2787" s="6" t="n">
        <f aca="false">IFERROR(MATCH(A2787&amp;"|"&amp;B2787&amp;"|"&amp;D2787,'All Song Rankings'!$T:$T,0),0)</f>
        <v>444</v>
      </c>
      <c r="G2787" s="6" t="str">
        <f aca="false">IF(F2787=0,"NOT FOUND",INDEX('All Song Rankings'!$A:$A,F2787))</f>
        <v>Eye of the Tiger</v>
      </c>
      <c r="H2787" s="6" t="str">
        <f aca="false">IF(F2787=0,"NOT FOUND",INDEX('All Song Rankings'!$B:$B,F2787))</f>
        <v>Survivor</v>
      </c>
      <c r="I2787" s="6" t="str">
        <f aca="false">IF(F2787=0,"NOT FOUND",INDEX('All Song Rankings'!$D:$D,F2787))</f>
        <v>Lisa</v>
      </c>
      <c r="J2787" s="7" t="str">
        <f aca="false">IF(F2787=0,"NOT FOUND",IF(C2787=I2787,"SELF-VOTE",IF(COUNTIF($K:$K,K2787)&gt;1,"DUPLICATE","OK")))</f>
        <v>OK</v>
      </c>
      <c r="K2787" s="6" t="str">
        <f aca="false">A2787&amp;"|"&amp;B2787&amp;"|"&amp;C2787&amp;"|"&amp;D2787</f>
        <v>5|2|Colleen|spotify:track:2KH16WveTQWT6KOG9Rg6e2</v>
      </c>
    </row>
    <row r="2788" customFormat="false" ht="15" hidden="false" customHeight="false" outlineLevel="0" collapsed="false">
      <c r="A2788" s="5" t="n">
        <v>5</v>
      </c>
      <c r="B2788" s="5" t="n">
        <v>2</v>
      </c>
      <c r="C2788" s="5" t="s">
        <v>637</v>
      </c>
      <c r="D2788" s="5" t="s">
        <v>1397</v>
      </c>
      <c r="E2788" s="5" t="n">
        <v>1</v>
      </c>
      <c r="F2788" s="6" t="n">
        <f aca="false">IFERROR(MATCH(A2788&amp;"|"&amp;B2788&amp;"|"&amp;D2788,'All Song Rankings'!$T:$T,0),0)</f>
        <v>441</v>
      </c>
      <c r="G2788" s="6" t="str">
        <f aca="false">IF(F2788=0,"NOT FOUND",INDEX('All Song Rankings'!$A:$A,F2788))</f>
        <v>Sunflower - Spider-Man: Into the Spider-Verse</v>
      </c>
      <c r="H2788" s="6" t="str">
        <f aca="false">IF(F2788=0,"NOT FOUND",INDEX('All Song Rankings'!$B:$B,F2788))</f>
        <v>Post Malone, Swae Lee</v>
      </c>
      <c r="I2788" s="6" t="str">
        <f aca="false">IF(F2788=0,"NOT FOUND",INDEX('All Song Rankings'!$D:$D,F2788))</f>
        <v>Nicole</v>
      </c>
      <c r="J2788" s="7" t="str">
        <f aca="false">IF(F2788=0,"NOT FOUND",IF(C2788=I2788,"SELF-VOTE",IF(COUNTIF($K:$K,K2788)&gt;1,"DUPLICATE","OK")))</f>
        <v>OK</v>
      </c>
      <c r="K2788" s="6" t="str">
        <f aca="false">A2788&amp;"|"&amp;B2788&amp;"|"&amp;C2788&amp;"|"&amp;D2788</f>
        <v>5|2|Colleen|spotify:track:3KkXRkHbMCARz0aVfEt68P</v>
      </c>
    </row>
    <row r="2789" customFormat="false" ht="15" hidden="false" customHeight="false" outlineLevel="0" collapsed="false">
      <c r="A2789" s="5" t="n">
        <v>5</v>
      </c>
      <c r="B2789" s="5" t="n">
        <v>2</v>
      </c>
      <c r="C2789" s="5" t="s">
        <v>637</v>
      </c>
      <c r="D2789" s="5" t="s">
        <v>1386</v>
      </c>
      <c r="E2789" s="5" t="n">
        <v>1</v>
      </c>
      <c r="F2789" s="6" t="n">
        <f aca="false">IFERROR(MATCH(A2789&amp;"|"&amp;B2789&amp;"|"&amp;D2789,'All Song Rankings'!$T:$T,0),0)</f>
        <v>437</v>
      </c>
      <c r="G2789" s="6" t="str">
        <f aca="false">IF(F2789=0,"NOT FOUND",INDEX('All Song Rankings'!$A:$A,F2789))</f>
        <v>Danger Zone - From "Top Gun" Original Soundtrack</v>
      </c>
      <c r="H2789" s="6" t="str">
        <f aca="false">IF(F2789=0,"NOT FOUND",INDEX('All Song Rankings'!$B:$B,F2789))</f>
        <v>Kenny Loggins</v>
      </c>
      <c r="I2789" s="6" t="str">
        <f aca="false">IF(F2789=0,"NOT FOUND",INDEX('All Song Rankings'!$D:$D,F2789))</f>
        <v>Kelsey</v>
      </c>
      <c r="J2789" s="7" t="str">
        <f aca="false">IF(F2789=0,"NOT FOUND",IF(C2789=I2789,"SELF-VOTE",IF(COUNTIF($K:$K,K2789)&gt;1,"DUPLICATE","OK")))</f>
        <v>OK</v>
      </c>
      <c r="K2789" s="6" t="str">
        <f aca="false">A2789&amp;"|"&amp;B2789&amp;"|"&amp;C2789&amp;"|"&amp;D2789</f>
        <v>5|2|Colleen|spotify:track:3hMHG6lx9QHVcfYSUr5PoM</v>
      </c>
    </row>
    <row r="2790" customFormat="false" ht="15" hidden="false" customHeight="false" outlineLevel="0" collapsed="false">
      <c r="A2790" s="5" t="n">
        <v>5</v>
      </c>
      <c r="B2790" s="5" t="n">
        <v>2</v>
      </c>
      <c r="C2790" s="5" t="s">
        <v>637</v>
      </c>
      <c r="D2790" s="5" t="s">
        <v>1389</v>
      </c>
      <c r="E2790" s="5" t="n">
        <v>1</v>
      </c>
      <c r="F2790" s="6" t="n">
        <f aca="false">IFERROR(MATCH(A2790&amp;"|"&amp;B2790&amp;"|"&amp;D2790,'All Song Rankings'!$T:$T,0),0)</f>
        <v>438</v>
      </c>
      <c r="G2790" s="6" t="str">
        <f aca="false">IF(F2790=0,"NOT FOUND",INDEX('All Song Rankings'!$A:$A,F2790))</f>
        <v>Accidentally in Love</v>
      </c>
      <c r="H2790" s="6" t="str">
        <f aca="false">IF(F2790=0,"NOT FOUND",INDEX('All Song Rankings'!$B:$B,F2790))</f>
        <v>Counting Crows</v>
      </c>
      <c r="I2790" s="6" t="str">
        <f aca="false">IF(F2790=0,"NOT FOUND",INDEX('All Song Rankings'!$D:$D,F2790))</f>
        <v>Stephanie</v>
      </c>
      <c r="J2790" s="7" t="str">
        <f aca="false">IF(F2790=0,"NOT FOUND",IF(C2790=I2790,"SELF-VOTE",IF(COUNTIF($K:$K,K2790)&gt;1,"DUPLICATE","OK")))</f>
        <v>OK</v>
      </c>
      <c r="K2790" s="6" t="str">
        <f aca="false">A2790&amp;"|"&amp;B2790&amp;"|"&amp;C2790&amp;"|"&amp;D2790</f>
        <v>5|2|Colleen|spotify:track:4ccM2xBxicGigjLqt6A0YY</v>
      </c>
    </row>
    <row r="2791" customFormat="false" ht="15" hidden="false" customHeight="false" outlineLevel="0" collapsed="false">
      <c r="A2791" s="5" t="n">
        <v>5</v>
      </c>
      <c r="B2791" s="5" t="n">
        <v>2</v>
      </c>
      <c r="C2791" s="5" t="s">
        <v>637</v>
      </c>
      <c r="D2791" s="5" t="s">
        <v>1410</v>
      </c>
      <c r="E2791" s="5" t="n">
        <v>1</v>
      </c>
      <c r="F2791" s="6" t="n">
        <f aca="false">IFERROR(MATCH(A2791&amp;"|"&amp;B2791&amp;"|"&amp;D2791,'All Song Rankings'!$T:$T,0),0)</f>
        <v>446</v>
      </c>
      <c r="G2791" s="6" t="str">
        <f aca="false">IF(F2791=0,"NOT FOUND",INDEX('All Song Rankings'!$A:$A,F2791))</f>
        <v>I Ain't Worried</v>
      </c>
      <c r="H2791" s="6" t="str">
        <f aca="false">IF(F2791=0,"NOT FOUND",INDEX('All Song Rankings'!$B:$B,F2791))</f>
        <v>OneRepublic</v>
      </c>
      <c r="I2791" s="6" t="str">
        <f aca="false">IF(F2791=0,"NOT FOUND",INDEX('All Song Rankings'!$D:$D,F2791))</f>
        <v>Makenzie</v>
      </c>
      <c r="J2791" s="7" t="str">
        <f aca="false">IF(F2791=0,"NOT FOUND",IF(C2791=I2791,"SELF-VOTE",IF(COUNTIF($K:$K,K2791)&gt;1,"DUPLICATE","OK")))</f>
        <v>OK</v>
      </c>
      <c r="K2791" s="6" t="str">
        <f aca="false">A2791&amp;"|"&amp;B2791&amp;"|"&amp;C2791&amp;"|"&amp;D2791</f>
        <v>5|2|Colleen|spotify:track:4h9wh7iOZ0GGn8QVp4RAOB</v>
      </c>
    </row>
    <row r="2792" customFormat="false" ht="15" hidden="false" customHeight="false" outlineLevel="0" collapsed="false">
      <c r="A2792" s="5" t="n">
        <v>5</v>
      </c>
      <c r="B2792" s="5" t="n">
        <v>2</v>
      </c>
      <c r="C2792" s="5" t="s">
        <v>637</v>
      </c>
      <c r="D2792" s="5" t="s">
        <v>1416</v>
      </c>
      <c r="E2792" s="5" t="n">
        <v>1</v>
      </c>
      <c r="F2792" s="6" t="n">
        <f aca="false">IFERROR(MATCH(A2792&amp;"|"&amp;B2792&amp;"|"&amp;D2792,'All Song Rankings'!$T:$T,0),0)</f>
        <v>448</v>
      </c>
      <c r="G2792" s="6" t="str">
        <f aca="false">IF(F2792=0,"NOT FOUND",INDEX('All Song Rankings'!$A:$A,F2792))</f>
        <v>Elevate (feat. Denzel Curry, YBN Cordae, SwaVay, Trevor Rich)</v>
      </c>
      <c r="H2792" s="6" t="str">
        <f aca="false">IF(F2792=0,"NOT FOUND",INDEX('All Song Rankings'!$B:$B,F2792))</f>
        <v>DJ Khalil, Denzel Curry, Cordae, SWAVAY, Trevor Rich</v>
      </c>
      <c r="I2792" s="6" t="str">
        <f aca="false">IF(F2792=0,"NOT FOUND",INDEX('All Song Rankings'!$D:$D,F2792))</f>
        <v>Kristen</v>
      </c>
      <c r="J2792" s="7" t="str">
        <f aca="false">IF(F2792=0,"NOT FOUND",IF(C2792=I2792,"SELF-VOTE",IF(COUNTIF($K:$K,K2792)&gt;1,"DUPLICATE","OK")))</f>
        <v>OK</v>
      </c>
      <c r="K2792" s="6" t="str">
        <f aca="false">A2792&amp;"|"&amp;B2792&amp;"|"&amp;C2792&amp;"|"&amp;D2792</f>
        <v>5|2|Colleen|spotify:track:6kiauSlWtddVQx4JwJx51p</v>
      </c>
    </row>
    <row r="2793" customFormat="false" ht="15" hidden="false" customHeight="false" outlineLevel="0" collapsed="false">
      <c r="A2793" s="5" t="n">
        <v>5</v>
      </c>
      <c r="B2793" s="5" t="n">
        <v>2</v>
      </c>
      <c r="C2793" s="5" t="s">
        <v>637</v>
      </c>
      <c r="D2793" s="5" t="s">
        <v>1394</v>
      </c>
      <c r="E2793" s="5" t="n">
        <v>2</v>
      </c>
      <c r="F2793" s="6" t="n">
        <f aca="false">IFERROR(MATCH(A2793&amp;"|"&amp;B2793&amp;"|"&amp;D2793,'All Song Rankings'!$T:$T,0),0)</f>
        <v>440</v>
      </c>
      <c r="G2793" s="6" t="str">
        <f aca="false">IF(F2793=0,"NOT FOUND",INDEX('All Song Rankings'!$A:$A,F2793))</f>
        <v>Don't You (Forget About Me)</v>
      </c>
      <c r="H2793" s="6" t="str">
        <f aca="false">IF(F2793=0,"NOT FOUND",INDEX('All Song Rankings'!$B:$B,F2793))</f>
        <v>Simple Minds</v>
      </c>
      <c r="I2793" s="6" t="str">
        <f aca="false">IF(F2793=0,"NOT FOUND",INDEX('All Song Rankings'!$D:$D,F2793))</f>
        <v>Logan</v>
      </c>
      <c r="J2793" s="7" t="str">
        <f aca="false">IF(F2793=0,"NOT FOUND",IF(C2793=I2793,"SELF-VOTE",IF(COUNTIF($K:$K,K2793)&gt;1,"DUPLICATE","OK")))</f>
        <v>OK</v>
      </c>
      <c r="K2793" s="6" t="str">
        <f aca="false">A2793&amp;"|"&amp;B2793&amp;"|"&amp;C2793&amp;"|"&amp;D2793</f>
        <v>5|2|Colleen|spotify:track:6yEAAIEHu4GcUFptg5W9kI</v>
      </c>
    </row>
    <row r="2794" customFormat="false" ht="15" hidden="false" customHeight="false" outlineLevel="0" collapsed="false">
      <c r="A2794" s="5" t="n">
        <v>5</v>
      </c>
      <c r="B2794" s="5" t="n">
        <v>2</v>
      </c>
      <c r="C2794" s="5" t="s">
        <v>637</v>
      </c>
      <c r="D2794" s="5" t="s">
        <v>1419</v>
      </c>
      <c r="E2794" s="5" t="n">
        <v>1</v>
      </c>
      <c r="F2794" s="6" t="n">
        <f aca="false">IFERROR(MATCH(A2794&amp;"|"&amp;B2794&amp;"|"&amp;D2794,'All Song Rankings'!$T:$T,0),0)</f>
        <v>449</v>
      </c>
      <c r="G2794" s="6" t="str">
        <f aca="false">IF(F2794=0,"NOT FOUND",INDEX('All Song Rankings'!$A:$A,F2794))</f>
        <v>Miracles Happen</v>
      </c>
      <c r="H2794" s="6" t="str">
        <f aca="false">IF(F2794=0,"NOT FOUND",INDEX('All Song Rankings'!$B:$B,F2794))</f>
        <v>Myra</v>
      </c>
      <c r="I2794" s="6" t="str">
        <f aca="false">IF(F2794=0,"NOT FOUND",INDEX('All Song Rankings'!$D:$D,F2794))</f>
        <v>Natasha</v>
      </c>
      <c r="J2794" s="7" t="str">
        <f aca="false">IF(F2794=0,"NOT FOUND",IF(C2794=I2794,"SELF-VOTE",IF(COUNTIF($K:$K,K2794)&gt;1,"DUPLICATE","OK")))</f>
        <v>OK</v>
      </c>
      <c r="K2794" s="6" t="str">
        <f aca="false">A2794&amp;"|"&amp;B2794&amp;"|"&amp;C2794&amp;"|"&amp;D2794</f>
        <v>5|2|Colleen|spotify:track:77mnUPdjFBDZuBnSLgOEgb</v>
      </c>
    </row>
    <row r="2795" customFormat="false" ht="15" hidden="false" customHeight="false" outlineLevel="0" collapsed="false">
      <c r="A2795" s="5" t="n">
        <v>5</v>
      </c>
      <c r="B2795" s="5" t="n">
        <v>2</v>
      </c>
      <c r="C2795" s="5" t="s">
        <v>382</v>
      </c>
      <c r="D2795" s="5" t="s">
        <v>1408</v>
      </c>
      <c r="E2795" s="5" t="n">
        <v>1</v>
      </c>
      <c r="F2795" s="6" t="n">
        <f aca="false">IFERROR(MATCH(A2795&amp;"|"&amp;B2795&amp;"|"&amp;D2795,'All Song Rankings'!$T:$T,0),0)</f>
        <v>445</v>
      </c>
      <c r="G2795" s="6" t="str">
        <f aca="false">IF(F2795=0,"NOT FOUND",INDEX('All Song Rankings'!$A:$A,F2795))</f>
        <v>When Your Mind's Made Up</v>
      </c>
      <c r="H2795" s="6" t="str">
        <f aca="false">IF(F2795=0,"NOT FOUND",INDEX('All Song Rankings'!$B:$B,F2795))</f>
        <v>Glen Hansard, Markéta Irglová</v>
      </c>
      <c r="I2795" s="6" t="str">
        <f aca="false">IF(F2795=0,"NOT FOUND",INDEX('All Song Rankings'!$D:$D,F2795))</f>
        <v>Matt</v>
      </c>
      <c r="J2795" s="7" t="str">
        <f aca="false">IF(F2795=0,"NOT FOUND",IF(C2795=I2795,"SELF-VOTE",IF(COUNTIF($K:$K,K2795)&gt;1,"DUPLICATE","OK")))</f>
        <v>OK</v>
      </c>
      <c r="K2795" s="6" t="str">
        <f aca="false">A2795&amp;"|"&amp;B2795&amp;"|"&amp;C2795&amp;"|"&amp;D2795</f>
        <v>5|2|Grace|spotify:track:1aAfiBF8ftfkONfzc0GTWz</v>
      </c>
    </row>
    <row r="2796" customFormat="false" ht="15" hidden="false" customHeight="false" outlineLevel="0" collapsed="false">
      <c r="A2796" s="5" t="n">
        <v>5</v>
      </c>
      <c r="B2796" s="5" t="n">
        <v>2</v>
      </c>
      <c r="C2796" s="5" t="s">
        <v>382</v>
      </c>
      <c r="D2796" s="5" t="s">
        <v>1397</v>
      </c>
      <c r="E2796" s="5" t="n">
        <v>2</v>
      </c>
      <c r="F2796" s="6" t="n">
        <f aca="false">IFERROR(MATCH(A2796&amp;"|"&amp;B2796&amp;"|"&amp;D2796,'All Song Rankings'!$T:$T,0),0)</f>
        <v>441</v>
      </c>
      <c r="G2796" s="6" t="str">
        <f aca="false">IF(F2796=0,"NOT FOUND",INDEX('All Song Rankings'!$A:$A,F2796))</f>
        <v>Sunflower - Spider-Man: Into the Spider-Verse</v>
      </c>
      <c r="H2796" s="6" t="str">
        <f aca="false">IF(F2796=0,"NOT FOUND",INDEX('All Song Rankings'!$B:$B,F2796))</f>
        <v>Post Malone, Swae Lee</v>
      </c>
      <c r="I2796" s="6" t="str">
        <f aca="false">IF(F2796=0,"NOT FOUND",INDEX('All Song Rankings'!$D:$D,F2796))</f>
        <v>Nicole</v>
      </c>
      <c r="J2796" s="7" t="str">
        <f aca="false">IF(F2796=0,"NOT FOUND",IF(C2796=I2796,"SELF-VOTE",IF(COUNTIF($K:$K,K2796)&gt;1,"DUPLICATE","OK")))</f>
        <v>OK</v>
      </c>
      <c r="K2796" s="6" t="str">
        <f aca="false">A2796&amp;"|"&amp;B2796&amp;"|"&amp;C2796&amp;"|"&amp;D2796</f>
        <v>5|2|Grace|spotify:track:3KkXRkHbMCARz0aVfEt68P</v>
      </c>
    </row>
    <row r="2797" customFormat="false" ht="15" hidden="false" customHeight="false" outlineLevel="0" collapsed="false">
      <c r="A2797" s="5" t="n">
        <v>5</v>
      </c>
      <c r="B2797" s="5" t="n">
        <v>2</v>
      </c>
      <c r="C2797" s="5" t="s">
        <v>382</v>
      </c>
      <c r="D2797" s="5" t="s">
        <v>1386</v>
      </c>
      <c r="E2797" s="5" t="n">
        <v>1</v>
      </c>
      <c r="F2797" s="6" t="n">
        <f aca="false">IFERROR(MATCH(A2797&amp;"|"&amp;B2797&amp;"|"&amp;D2797,'All Song Rankings'!$T:$T,0),0)</f>
        <v>437</v>
      </c>
      <c r="G2797" s="6" t="str">
        <f aca="false">IF(F2797=0,"NOT FOUND",INDEX('All Song Rankings'!$A:$A,F2797))</f>
        <v>Danger Zone - From "Top Gun" Original Soundtrack</v>
      </c>
      <c r="H2797" s="6" t="str">
        <f aca="false">IF(F2797=0,"NOT FOUND",INDEX('All Song Rankings'!$B:$B,F2797))</f>
        <v>Kenny Loggins</v>
      </c>
      <c r="I2797" s="6" t="str">
        <f aca="false">IF(F2797=0,"NOT FOUND",INDEX('All Song Rankings'!$D:$D,F2797))</f>
        <v>Kelsey</v>
      </c>
      <c r="J2797" s="7" t="str">
        <f aca="false">IF(F2797=0,"NOT FOUND",IF(C2797=I2797,"SELF-VOTE",IF(COUNTIF($K:$K,K2797)&gt;1,"DUPLICATE","OK")))</f>
        <v>OK</v>
      </c>
      <c r="K2797" s="6" t="str">
        <f aca="false">A2797&amp;"|"&amp;B2797&amp;"|"&amp;C2797&amp;"|"&amp;D2797</f>
        <v>5|2|Grace|spotify:track:3hMHG6lx9QHVcfYSUr5PoM</v>
      </c>
    </row>
    <row r="2798" customFormat="false" ht="15" hidden="false" customHeight="false" outlineLevel="0" collapsed="false">
      <c r="A2798" s="5" t="n">
        <v>5</v>
      </c>
      <c r="B2798" s="5" t="n">
        <v>2</v>
      </c>
      <c r="C2798" s="5" t="s">
        <v>382</v>
      </c>
      <c r="D2798" s="5" t="s">
        <v>1389</v>
      </c>
      <c r="E2798" s="5" t="n">
        <v>3</v>
      </c>
      <c r="F2798" s="6" t="n">
        <f aca="false">IFERROR(MATCH(A2798&amp;"|"&amp;B2798&amp;"|"&amp;D2798,'All Song Rankings'!$T:$T,0),0)</f>
        <v>438</v>
      </c>
      <c r="G2798" s="6" t="str">
        <f aca="false">IF(F2798=0,"NOT FOUND",INDEX('All Song Rankings'!$A:$A,F2798))</f>
        <v>Accidentally in Love</v>
      </c>
      <c r="H2798" s="6" t="str">
        <f aca="false">IF(F2798=0,"NOT FOUND",INDEX('All Song Rankings'!$B:$B,F2798))</f>
        <v>Counting Crows</v>
      </c>
      <c r="I2798" s="6" t="str">
        <f aca="false">IF(F2798=0,"NOT FOUND",INDEX('All Song Rankings'!$D:$D,F2798))</f>
        <v>Stephanie</v>
      </c>
      <c r="J2798" s="7" t="str">
        <f aca="false">IF(F2798=0,"NOT FOUND",IF(C2798=I2798,"SELF-VOTE",IF(COUNTIF($K:$K,K2798)&gt;1,"DUPLICATE","OK")))</f>
        <v>OK</v>
      </c>
      <c r="K2798" s="6" t="str">
        <f aca="false">A2798&amp;"|"&amp;B2798&amp;"|"&amp;C2798&amp;"|"&amp;D2798</f>
        <v>5|2|Grace|spotify:track:4ccM2xBxicGigjLqt6A0YY</v>
      </c>
    </row>
    <row r="2799" customFormat="false" ht="15" hidden="false" customHeight="false" outlineLevel="0" collapsed="false">
      <c r="A2799" s="5" t="n">
        <v>5</v>
      </c>
      <c r="B2799" s="5" t="n">
        <v>2</v>
      </c>
      <c r="C2799" s="5" t="s">
        <v>382</v>
      </c>
      <c r="D2799" s="5" t="s">
        <v>1383</v>
      </c>
      <c r="E2799" s="5" t="n">
        <v>3</v>
      </c>
      <c r="F2799" s="6" t="n">
        <f aca="false">IFERROR(MATCH(A2799&amp;"|"&amp;B2799&amp;"|"&amp;D2799,'All Song Rankings'!$T:$T,0),0)</f>
        <v>436</v>
      </c>
      <c r="G2799" s="6" t="str">
        <f aca="false">IF(F2799=0,"NOT FOUND",INDEX('All Song Rankings'!$A:$A,F2799))</f>
        <v>Skyfall</v>
      </c>
      <c r="H2799" s="6" t="str">
        <f aca="false">IF(F2799=0,"NOT FOUND",INDEX('All Song Rankings'!$B:$B,F2799))</f>
        <v>Adele</v>
      </c>
      <c r="I2799" s="6" t="str">
        <f aca="false">IF(F2799=0,"NOT FOUND",INDEX('All Song Rankings'!$D:$D,F2799))</f>
        <v>Leah</v>
      </c>
      <c r="J2799" s="7" t="str">
        <f aca="false">IF(F2799=0,"NOT FOUND",IF(C2799=I2799,"SELF-VOTE",IF(COUNTIF($K:$K,K2799)&gt;1,"DUPLICATE","OK")))</f>
        <v>OK</v>
      </c>
      <c r="K2799" s="6" t="str">
        <f aca="false">A2799&amp;"|"&amp;B2799&amp;"|"&amp;C2799&amp;"|"&amp;D2799</f>
        <v>5|2|Grace|spotify:track:6VObnIkLVruX4UVyxWhlqm</v>
      </c>
    </row>
    <row r="2800" customFormat="false" ht="15" hidden="false" customHeight="false" outlineLevel="0" collapsed="false">
      <c r="A2800" s="5" t="n">
        <v>5</v>
      </c>
      <c r="B2800" s="5" t="n">
        <v>2</v>
      </c>
      <c r="C2800" s="5" t="s">
        <v>85</v>
      </c>
      <c r="D2800" s="5" t="s">
        <v>1400</v>
      </c>
      <c r="E2800" s="5" t="n">
        <v>1</v>
      </c>
      <c r="F2800" s="6" t="n">
        <f aca="false">IFERROR(MATCH(A2800&amp;"|"&amp;B2800&amp;"|"&amp;D2800,'All Song Rankings'!$T:$T,0),0)</f>
        <v>442</v>
      </c>
      <c r="G2800" s="6" t="str">
        <f aca="false">IF(F2800=0,"NOT FOUND",INDEX('All Song Rankings'!$A:$A,F2800))</f>
        <v>Gangsta's Paradise</v>
      </c>
      <c r="H2800" s="6" t="str">
        <f aca="false">IF(F2800=0,"NOT FOUND",INDEX('All Song Rankings'!$B:$B,F2800))</f>
        <v>Coolio, L.V.</v>
      </c>
      <c r="I2800" s="6" t="str">
        <f aca="false">IF(F2800=0,"NOT FOUND",INDEX('All Song Rankings'!$D:$D,F2800))</f>
        <v>Grace</v>
      </c>
      <c r="J2800" s="7" t="str">
        <f aca="false">IF(F2800=0,"NOT FOUND",IF(C2800=I2800,"SELF-VOTE",IF(COUNTIF($K:$K,K2800)&gt;1,"DUPLICATE","OK")))</f>
        <v>OK</v>
      </c>
      <c r="K2800" s="6" t="str">
        <f aca="false">A2800&amp;"|"&amp;B2800&amp;"|"&amp;C2800&amp;"|"&amp;D2800</f>
        <v>5|2|Kelsey|spotify:track:1DIXPcTDzTj8ZMHt3PDt8p</v>
      </c>
    </row>
    <row r="2801" customFormat="false" ht="15" hidden="false" customHeight="false" outlineLevel="0" collapsed="false">
      <c r="A2801" s="5" t="n">
        <v>5</v>
      </c>
      <c r="B2801" s="5" t="n">
        <v>2</v>
      </c>
      <c r="C2801" s="5" t="s">
        <v>85</v>
      </c>
      <c r="D2801" s="5" t="s">
        <v>1408</v>
      </c>
      <c r="E2801" s="5" t="n">
        <v>1</v>
      </c>
      <c r="F2801" s="6" t="n">
        <f aca="false">IFERROR(MATCH(A2801&amp;"|"&amp;B2801&amp;"|"&amp;D2801,'All Song Rankings'!$T:$T,0),0)</f>
        <v>445</v>
      </c>
      <c r="G2801" s="6" t="str">
        <f aca="false">IF(F2801=0,"NOT FOUND",INDEX('All Song Rankings'!$A:$A,F2801))</f>
        <v>When Your Mind's Made Up</v>
      </c>
      <c r="H2801" s="6" t="str">
        <f aca="false">IF(F2801=0,"NOT FOUND",INDEX('All Song Rankings'!$B:$B,F2801))</f>
        <v>Glen Hansard, Markéta Irglová</v>
      </c>
      <c r="I2801" s="6" t="str">
        <f aca="false">IF(F2801=0,"NOT FOUND",INDEX('All Song Rankings'!$D:$D,F2801))</f>
        <v>Matt</v>
      </c>
      <c r="J2801" s="7" t="str">
        <f aca="false">IF(F2801=0,"NOT FOUND",IF(C2801=I2801,"SELF-VOTE",IF(COUNTIF($K:$K,K2801)&gt;1,"DUPLICATE","OK")))</f>
        <v>OK</v>
      </c>
      <c r="K2801" s="6" t="str">
        <f aca="false">A2801&amp;"|"&amp;B2801&amp;"|"&amp;C2801&amp;"|"&amp;D2801</f>
        <v>5|2|Kelsey|spotify:track:1aAfiBF8ftfkONfzc0GTWz</v>
      </c>
    </row>
    <row r="2802" customFormat="false" ht="15" hidden="false" customHeight="false" outlineLevel="0" collapsed="false">
      <c r="A2802" s="5" t="n">
        <v>5</v>
      </c>
      <c r="B2802" s="5" t="n">
        <v>2</v>
      </c>
      <c r="C2802" s="5" t="s">
        <v>85</v>
      </c>
      <c r="D2802" s="5" t="s">
        <v>1402</v>
      </c>
      <c r="E2802" s="5" t="n">
        <v>1</v>
      </c>
      <c r="F2802" s="6" t="n">
        <f aca="false">IFERROR(MATCH(A2802&amp;"|"&amp;B2802&amp;"|"&amp;D2802,'All Song Rankings'!$T:$T,0),0)</f>
        <v>443</v>
      </c>
      <c r="G2802" s="6" t="str">
        <f aca="false">IF(F2802=0,"NOT FOUND",INDEX('All Song Rankings'!$A:$A,F2802))</f>
        <v>Hold My Hand</v>
      </c>
      <c r="H2802" s="6" t="str">
        <f aca="false">IF(F2802=0,"NOT FOUND",INDEX('All Song Rankings'!$B:$B,F2802))</f>
        <v>Lady Gaga</v>
      </c>
      <c r="I2802" s="6" t="str">
        <f aca="false">IF(F2802=0,"NOT FOUND",INDEX('All Song Rankings'!$D:$D,F2802))</f>
        <v>Aubrey</v>
      </c>
      <c r="J2802" s="7" t="str">
        <f aca="false">IF(F2802=0,"NOT FOUND",IF(C2802=I2802,"SELF-VOTE",IF(COUNTIF($K:$K,K2802)&gt;1,"DUPLICATE","OK")))</f>
        <v>OK</v>
      </c>
      <c r="K2802" s="6" t="str">
        <f aca="false">A2802&amp;"|"&amp;B2802&amp;"|"&amp;C2802&amp;"|"&amp;D2802</f>
        <v>5|2|Kelsey|spotify:track:1c2hJSwcCfoPEw1su83Sw0</v>
      </c>
    </row>
    <row r="2803" customFormat="false" ht="15" hidden="false" customHeight="false" outlineLevel="0" collapsed="false">
      <c r="A2803" s="5" t="n">
        <v>5</v>
      </c>
      <c r="B2803" s="5" t="n">
        <v>2</v>
      </c>
      <c r="C2803" s="5" t="s">
        <v>85</v>
      </c>
      <c r="D2803" s="5" t="s">
        <v>1405</v>
      </c>
      <c r="E2803" s="5" t="n">
        <v>1</v>
      </c>
      <c r="F2803" s="6" t="n">
        <f aca="false">IFERROR(MATCH(A2803&amp;"|"&amp;B2803&amp;"|"&amp;D2803,'All Song Rankings'!$T:$T,0),0)</f>
        <v>444</v>
      </c>
      <c r="G2803" s="6" t="str">
        <f aca="false">IF(F2803=0,"NOT FOUND",INDEX('All Song Rankings'!$A:$A,F2803))</f>
        <v>Eye of the Tiger</v>
      </c>
      <c r="H2803" s="6" t="str">
        <f aca="false">IF(F2803=0,"NOT FOUND",INDEX('All Song Rankings'!$B:$B,F2803))</f>
        <v>Survivor</v>
      </c>
      <c r="I2803" s="6" t="str">
        <f aca="false">IF(F2803=0,"NOT FOUND",INDEX('All Song Rankings'!$D:$D,F2803))</f>
        <v>Lisa</v>
      </c>
      <c r="J2803" s="7" t="str">
        <f aca="false">IF(F2803=0,"NOT FOUND",IF(C2803=I2803,"SELF-VOTE",IF(COUNTIF($K:$K,K2803)&gt;1,"DUPLICATE","OK")))</f>
        <v>OK</v>
      </c>
      <c r="K2803" s="6" t="str">
        <f aca="false">A2803&amp;"|"&amp;B2803&amp;"|"&amp;C2803&amp;"|"&amp;D2803</f>
        <v>5|2|Kelsey|spotify:track:2KH16WveTQWT6KOG9Rg6e2</v>
      </c>
    </row>
    <row r="2804" customFormat="false" ht="15" hidden="false" customHeight="false" outlineLevel="0" collapsed="false">
      <c r="A2804" s="5" t="n">
        <v>5</v>
      </c>
      <c r="B2804" s="5" t="n">
        <v>2</v>
      </c>
      <c r="C2804" s="5" t="s">
        <v>85</v>
      </c>
      <c r="D2804" s="5" t="s">
        <v>1397</v>
      </c>
      <c r="E2804" s="5" t="n">
        <v>1</v>
      </c>
      <c r="F2804" s="6" t="n">
        <f aca="false">IFERROR(MATCH(A2804&amp;"|"&amp;B2804&amp;"|"&amp;D2804,'All Song Rankings'!$T:$T,0),0)</f>
        <v>441</v>
      </c>
      <c r="G2804" s="6" t="str">
        <f aca="false">IF(F2804=0,"NOT FOUND",INDEX('All Song Rankings'!$A:$A,F2804))</f>
        <v>Sunflower - Spider-Man: Into the Spider-Verse</v>
      </c>
      <c r="H2804" s="6" t="str">
        <f aca="false">IF(F2804=0,"NOT FOUND",INDEX('All Song Rankings'!$B:$B,F2804))</f>
        <v>Post Malone, Swae Lee</v>
      </c>
      <c r="I2804" s="6" t="str">
        <f aca="false">IF(F2804=0,"NOT FOUND",INDEX('All Song Rankings'!$D:$D,F2804))</f>
        <v>Nicole</v>
      </c>
      <c r="J2804" s="7" t="str">
        <f aca="false">IF(F2804=0,"NOT FOUND",IF(C2804=I2804,"SELF-VOTE",IF(COUNTIF($K:$K,K2804)&gt;1,"DUPLICATE","OK")))</f>
        <v>OK</v>
      </c>
      <c r="K2804" s="6" t="str">
        <f aca="false">A2804&amp;"|"&amp;B2804&amp;"|"&amp;C2804&amp;"|"&amp;D2804</f>
        <v>5|2|Kelsey|spotify:track:3KkXRkHbMCARz0aVfEt68P</v>
      </c>
    </row>
    <row r="2805" customFormat="false" ht="15" hidden="false" customHeight="false" outlineLevel="0" collapsed="false">
      <c r="A2805" s="5" t="n">
        <v>5</v>
      </c>
      <c r="B2805" s="5" t="n">
        <v>2</v>
      </c>
      <c r="C2805" s="5" t="s">
        <v>85</v>
      </c>
      <c r="D2805" s="5" t="s">
        <v>1389</v>
      </c>
      <c r="E2805" s="5" t="n">
        <v>2</v>
      </c>
      <c r="F2805" s="6" t="n">
        <f aca="false">IFERROR(MATCH(A2805&amp;"|"&amp;B2805&amp;"|"&amp;D2805,'All Song Rankings'!$T:$T,0),0)</f>
        <v>438</v>
      </c>
      <c r="G2805" s="6" t="str">
        <f aca="false">IF(F2805=0,"NOT FOUND",INDEX('All Song Rankings'!$A:$A,F2805))</f>
        <v>Accidentally in Love</v>
      </c>
      <c r="H2805" s="6" t="str">
        <f aca="false">IF(F2805=0,"NOT FOUND",INDEX('All Song Rankings'!$B:$B,F2805))</f>
        <v>Counting Crows</v>
      </c>
      <c r="I2805" s="6" t="str">
        <f aca="false">IF(F2805=0,"NOT FOUND",INDEX('All Song Rankings'!$D:$D,F2805))</f>
        <v>Stephanie</v>
      </c>
      <c r="J2805" s="7" t="str">
        <f aca="false">IF(F2805=0,"NOT FOUND",IF(C2805=I2805,"SELF-VOTE",IF(COUNTIF($K:$K,K2805)&gt;1,"DUPLICATE","OK")))</f>
        <v>OK</v>
      </c>
      <c r="K2805" s="6" t="str">
        <f aca="false">A2805&amp;"|"&amp;B2805&amp;"|"&amp;C2805&amp;"|"&amp;D2805</f>
        <v>5|2|Kelsey|spotify:track:4ccM2xBxicGigjLqt6A0YY</v>
      </c>
    </row>
    <row r="2806" customFormat="false" ht="15" hidden="false" customHeight="false" outlineLevel="0" collapsed="false">
      <c r="A2806" s="5" t="n">
        <v>5</v>
      </c>
      <c r="B2806" s="5" t="n">
        <v>2</v>
      </c>
      <c r="C2806" s="5" t="s">
        <v>85</v>
      </c>
      <c r="D2806" s="5" t="s">
        <v>1410</v>
      </c>
      <c r="E2806" s="5" t="n">
        <v>1</v>
      </c>
      <c r="F2806" s="6" t="n">
        <f aca="false">IFERROR(MATCH(A2806&amp;"|"&amp;B2806&amp;"|"&amp;D2806,'All Song Rankings'!$T:$T,0),0)</f>
        <v>446</v>
      </c>
      <c r="G2806" s="6" t="str">
        <f aca="false">IF(F2806=0,"NOT FOUND",INDEX('All Song Rankings'!$A:$A,F2806))</f>
        <v>I Ain't Worried</v>
      </c>
      <c r="H2806" s="6" t="str">
        <f aca="false">IF(F2806=0,"NOT FOUND",INDEX('All Song Rankings'!$B:$B,F2806))</f>
        <v>OneRepublic</v>
      </c>
      <c r="I2806" s="6" t="str">
        <f aca="false">IF(F2806=0,"NOT FOUND",INDEX('All Song Rankings'!$D:$D,F2806))</f>
        <v>Makenzie</v>
      </c>
      <c r="J2806" s="7" t="str">
        <f aca="false">IF(F2806=0,"NOT FOUND",IF(C2806=I2806,"SELF-VOTE",IF(COUNTIF($K:$K,K2806)&gt;1,"DUPLICATE","OK")))</f>
        <v>OK</v>
      </c>
      <c r="K2806" s="6" t="str">
        <f aca="false">A2806&amp;"|"&amp;B2806&amp;"|"&amp;C2806&amp;"|"&amp;D2806</f>
        <v>5|2|Kelsey|spotify:track:4h9wh7iOZ0GGn8QVp4RAOB</v>
      </c>
    </row>
    <row r="2807" customFormat="false" ht="15" hidden="false" customHeight="false" outlineLevel="0" collapsed="false">
      <c r="A2807" s="5" t="n">
        <v>5</v>
      </c>
      <c r="B2807" s="5" t="n">
        <v>2</v>
      </c>
      <c r="C2807" s="5" t="s">
        <v>85</v>
      </c>
      <c r="D2807" s="5" t="s">
        <v>1383</v>
      </c>
      <c r="E2807" s="5" t="n">
        <v>1</v>
      </c>
      <c r="F2807" s="6" t="n">
        <f aca="false">IFERROR(MATCH(A2807&amp;"|"&amp;B2807&amp;"|"&amp;D2807,'All Song Rankings'!$T:$T,0),0)</f>
        <v>436</v>
      </c>
      <c r="G2807" s="6" t="str">
        <f aca="false">IF(F2807=0,"NOT FOUND",INDEX('All Song Rankings'!$A:$A,F2807))</f>
        <v>Skyfall</v>
      </c>
      <c r="H2807" s="6" t="str">
        <f aca="false">IF(F2807=0,"NOT FOUND",INDEX('All Song Rankings'!$B:$B,F2807))</f>
        <v>Adele</v>
      </c>
      <c r="I2807" s="6" t="str">
        <f aca="false">IF(F2807=0,"NOT FOUND",INDEX('All Song Rankings'!$D:$D,F2807))</f>
        <v>Leah</v>
      </c>
      <c r="J2807" s="7" t="str">
        <f aca="false">IF(F2807=0,"NOT FOUND",IF(C2807=I2807,"SELF-VOTE",IF(COUNTIF($K:$K,K2807)&gt;1,"DUPLICATE","OK")))</f>
        <v>OK</v>
      </c>
      <c r="K2807" s="6" t="str">
        <f aca="false">A2807&amp;"|"&amp;B2807&amp;"|"&amp;C2807&amp;"|"&amp;D2807</f>
        <v>5|2|Kelsey|spotify:track:6VObnIkLVruX4UVyxWhlqm</v>
      </c>
    </row>
    <row r="2808" customFormat="false" ht="15" hidden="false" customHeight="false" outlineLevel="0" collapsed="false">
      <c r="A2808" s="5" t="n">
        <v>5</v>
      </c>
      <c r="B2808" s="5" t="n">
        <v>2</v>
      </c>
      <c r="C2808" s="5" t="s">
        <v>85</v>
      </c>
      <c r="D2808" s="5" t="s">
        <v>1394</v>
      </c>
      <c r="E2808" s="5" t="n">
        <v>1</v>
      </c>
      <c r="F2808" s="6" t="n">
        <f aca="false">IFERROR(MATCH(A2808&amp;"|"&amp;B2808&amp;"|"&amp;D2808,'All Song Rankings'!$T:$T,0),0)</f>
        <v>440</v>
      </c>
      <c r="G2808" s="6" t="str">
        <f aca="false">IF(F2808=0,"NOT FOUND",INDEX('All Song Rankings'!$A:$A,F2808))</f>
        <v>Don't You (Forget About Me)</v>
      </c>
      <c r="H2808" s="6" t="str">
        <f aca="false">IF(F2808=0,"NOT FOUND",INDEX('All Song Rankings'!$B:$B,F2808))</f>
        <v>Simple Minds</v>
      </c>
      <c r="I2808" s="6" t="str">
        <f aca="false">IF(F2808=0,"NOT FOUND",INDEX('All Song Rankings'!$D:$D,F2808))</f>
        <v>Logan</v>
      </c>
      <c r="J2808" s="7" t="str">
        <f aca="false">IF(F2808=0,"NOT FOUND",IF(C2808=I2808,"SELF-VOTE",IF(COUNTIF($K:$K,K2808)&gt;1,"DUPLICATE","OK")))</f>
        <v>OK</v>
      </c>
      <c r="K2808" s="6" t="str">
        <f aca="false">A2808&amp;"|"&amp;B2808&amp;"|"&amp;C2808&amp;"|"&amp;D2808</f>
        <v>5|2|Kelsey|spotify:track:6yEAAIEHu4GcUFptg5W9kI</v>
      </c>
    </row>
    <row r="2809" customFormat="false" ht="15" hidden="false" customHeight="false" outlineLevel="0" collapsed="false">
      <c r="A2809" s="5" t="n">
        <v>5</v>
      </c>
      <c r="B2809" s="5" t="n">
        <v>2</v>
      </c>
      <c r="C2809" s="5" t="s">
        <v>106</v>
      </c>
      <c r="D2809" s="5" t="s">
        <v>1400</v>
      </c>
      <c r="E2809" s="5" t="n">
        <v>2</v>
      </c>
      <c r="F2809" s="6" t="n">
        <f aca="false">IFERROR(MATCH(A2809&amp;"|"&amp;B2809&amp;"|"&amp;D2809,'All Song Rankings'!$T:$T,0),0)</f>
        <v>442</v>
      </c>
      <c r="G2809" s="6" t="str">
        <f aca="false">IF(F2809=0,"NOT FOUND",INDEX('All Song Rankings'!$A:$A,F2809))</f>
        <v>Gangsta's Paradise</v>
      </c>
      <c r="H2809" s="6" t="str">
        <f aca="false">IF(F2809=0,"NOT FOUND",INDEX('All Song Rankings'!$B:$B,F2809))</f>
        <v>Coolio, L.V.</v>
      </c>
      <c r="I2809" s="6" t="str">
        <f aca="false">IF(F2809=0,"NOT FOUND",INDEX('All Song Rankings'!$D:$D,F2809))</f>
        <v>Grace</v>
      </c>
      <c r="J2809" s="7" t="str">
        <f aca="false">IF(F2809=0,"NOT FOUND",IF(C2809=I2809,"SELF-VOTE",IF(COUNTIF($K:$K,K2809)&gt;1,"DUPLICATE","OK")))</f>
        <v>OK</v>
      </c>
      <c r="K2809" s="6" t="str">
        <f aca="false">A2809&amp;"|"&amp;B2809&amp;"|"&amp;C2809&amp;"|"&amp;D2809</f>
        <v>5|2|Kristen|spotify:track:1DIXPcTDzTj8ZMHt3PDt8p</v>
      </c>
    </row>
    <row r="2810" customFormat="false" ht="15" hidden="false" customHeight="false" outlineLevel="0" collapsed="false">
      <c r="A2810" s="5" t="n">
        <v>5</v>
      </c>
      <c r="B2810" s="5" t="n">
        <v>2</v>
      </c>
      <c r="C2810" s="5" t="s">
        <v>106</v>
      </c>
      <c r="D2810" s="5" t="s">
        <v>1402</v>
      </c>
      <c r="E2810" s="5" t="n">
        <v>1</v>
      </c>
      <c r="F2810" s="6" t="n">
        <f aca="false">IFERROR(MATCH(A2810&amp;"|"&amp;B2810&amp;"|"&amp;D2810,'All Song Rankings'!$T:$T,0),0)</f>
        <v>443</v>
      </c>
      <c r="G2810" s="6" t="str">
        <f aca="false">IF(F2810=0,"NOT FOUND",INDEX('All Song Rankings'!$A:$A,F2810))</f>
        <v>Hold My Hand</v>
      </c>
      <c r="H2810" s="6" t="str">
        <f aca="false">IF(F2810=0,"NOT FOUND",INDEX('All Song Rankings'!$B:$B,F2810))</f>
        <v>Lady Gaga</v>
      </c>
      <c r="I2810" s="6" t="str">
        <f aca="false">IF(F2810=0,"NOT FOUND",INDEX('All Song Rankings'!$D:$D,F2810))</f>
        <v>Aubrey</v>
      </c>
      <c r="J2810" s="7" t="str">
        <f aca="false">IF(F2810=0,"NOT FOUND",IF(C2810=I2810,"SELF-VOTE",IF(COUNTIF($K:$K,K2810)&gt;1,"DUPLICATE","OK")))</f>
        <v>OK</v>
      </c>
      <c r="K2810" s="6" t="str">
        <f aca="false">A2810&amp;"|"&amp;B2810&amp;"|"&amp;C2810&amp;"|"&amp;D2810</f>
        <v>5|2|Kristen|spotify:track:1c2hJSwcCfoPEw1su83Sw0</v>
      </c>
    </row>
    <row r="2811" customFormat="false" ht="15" hidden="false" customHeight="false" outlineLevel="0" collapsed="false">
      <c r="A2811" s="5" t="n">
        <v>5</v>
      </c>
      <c r="B2811" s="5" t="n">
        <v>2</v>
      </c>
      <c r="C2811" s="5" t="s">
        <v>106</v>
      </c>
      <c r="D2811" s="5" t="s">
        <v>1391</v>
      </c>
      <c r="E2811" s="5" t="n">
        <v>1</v>
      </c>
      <c r="F2811" s="6" t="n">
        <f aca="false">IFERROR(MATCH(A2811&amp;"|"&amp;B2811&amp;"|"&amp;D2811,'All Song Rankings'!$T:$T,0),0)</f>
        <v>439</v>
      </c>
      <c r="G2811" s="6" t="str">
        <f aca="false">IF(F2811=0,"NOT FOUND",INDEX('All Song Rankings'!$A:$A,F2811))</f>
        <v>Here I Am</v>
      </c>
      <c r="H2811" s="6" t="str">
        <f aca="false">IF(F2811=0,"NOT FOUND",INDEX('All Song Rankings'!$B:$B,F2811))</f>
        <v>Bryan Adams</v>
      </c>
      <c r="I2811" s="6" t="str">
        <f aca="false">IF(F2811=0,"NOT FOUND",INDEX('All Song Rankings'!$D:$D,F2811))</f>
        <v>Christine</v>
      </c>
      <c r="J2811" s="7" t="str">
        <f aca="false">IF(F2811=0,"NOT FOUND",IF(C2811=I2811,"SELF-VOTE",IF(COUNTIF($K:$K,K2811)&gt;1,"DUPLICATE","OK")))</f>
        <v>OK</v>
      </c>
      <c r="K2811" s="6" t="str">
        <f aca="false">A2811&amp;"|"&amp;B2811&amp;"|"&amp;C2811&amp;"|"&amp;D2811</f>
        <v>5|2|Kristen|spotify:track:2pGH58HmgqdOcZTTO9Po7t</v>
      </c>
    </row>
    <row r="2812" customFormat="false" ht="15" hidden="false" customHeight="false" outlineLevel="0" collapsed="false">
      <c r="A2812" s="5" t="n">
        <v>5</v>
      </c>
      <c r="B2812" s="5" t="n">
        <v>2</v>
      </c>
      <c r="C2812" s="5" t="s">
        <v>106</v>
      </c>
      <c r="D2812" s="5" t="s">
        <v>1397</v>
      </c>
      <c r="E2812" s="5" t="n">
        <v>1</v>
      </c>
      <c r="F2812" s="6" t="n">
        <f aca="false">IFERROR(MATCH(A2812&amp;"|"&amp;B2812&amp;"|"&amp;D2812,'All Song Rankings'!$T:$T,0),0)</f>
        <v>441</v>
      </c>
      <c r="G2812" s="6" t="str">
        <f aca="false">IF(F2812=0,"NOT FOUND",INDEX('All Song Rankings'!$A:$A,F2812))</f>
        <v>Sunflower - Spider-Man: Into the Spider-Verse</v>
      </c>
      <c r="H2812" s="6" t="str">
        <f aca="false">IF(F2812=0,"NOT FOUND",INDEX('All Song Rankings'!$B:$B,F2812))</f>
        <v>Post Malone, Swae Lee</v>
      </c>
      <c r="I2812" s="6" t="str">
        <f aca="false">IF(F2812=0,"NOT FOUND",INDEX('All Song Rankings'!$D:$D,F2812))</f>
        <v>Nicole</v>
      </c>
      <c r="J2812" s="7" t="str">
        <f aca="false">IF(F2812=0,"NOT FOUND",IF(C2812=I2812,"SELF-VOTE",IF(COUNTIF($K:$K,K2812)&gt;1,"DUPLICATE","OK")))</f>
        <v>OK</v>
      </c>
      <c r="K2812" s="6" t="str">
        <f aca="false">A2812&amp;"|"&amp;B2812&amp;"|"&amp;C2812&amp;"|"&amp;D2812</f>
        <v>5|2|Kristen|spotify:track:3KkXRkHbMCARz0aVfEt68P</v>
      </c>
    </row>
    <row r="2813" customFormat="false" ht="15" hidden="false" customHeight="false" outlineLevel="0" collapsed="false">
      <c r="A2813" s="5" t="n">
        <v>5</v>
      </c>
      <c r="B2813" s="5" t="n">
        <v>2</v>
      </c>
      <c r="C2813" s="5" t="s">
        <v>106</v>
      </c>
      <c r="D2813" s="5" t="s">
        <v>1386</v>
      </c>
      <c r="E2813" s="5" t="n">
        <v>1</v>
      </c>
      <c r="F2813" s="6" t="n">
        <f aca="false">IFERROR(MATCH(A2813&amp;"|"&amp;B2813&amp;"|"&amp;D2813,'All Song Rankings'!$T:$T,0),0)</f>
        <v>437</v>
      </c>
      <c r="G2813" s="6" t="str">
        <f aca="false">IF(F2813=0,"NOT FOUND",INDEX('All Song Rankings'!$A:$A,F2813))</f>
        <v>Danger Zone - From "Top Gun" Original Soundtrack</v>
      </c>
      <c r="H2813" s="6" t="str">
        <f aca="false">IF(F2813=0,"NOT FOUND",INDEX('All Song Rankings'!$B:$B,F2813))</f>
        <v>Kenny Loggins</v>
      </c>
      <c r="I2813" s="6" t="str">
        <f aca="false">IF(F2813=0,"NOT FOUND",INDEX('All Song Rankings'!$D:$D,F2813))</f>
        <v>Kelsey</v>
      </c>
      <c r="J2813" s="7" t="str">
        <f aca="false">IF(F2813=0,"NOT FOUND",IF(C2813=I2813,"SELF-VOTE",IF(COUNTIF($K:$K,K2813)&gt;1,"DUPLICATE","OK")))</f>
        <v>OK</v>
      </c>
      <c r="K2813" s="6" t="str">
        <f aca="false">A2813&amp;"|"&amp;B2813&amp;"|"&amp;C2813&amp;"|"&amp;D2813</f>
        <v>5|2|Kristen|spotify:track:3hMHG6lx9QHVcfYSUr5PoM</v>
      </c>
    </row>
    <row r="2814" customFormat="false" ht="15" hidden="false" customHeight="false" outlineLevel="0" collapsed="false">
      <c r="A2814" s="5" t="n">
        <v>5</v>
      </c>
      <c r="B2814" s="5" t="n">
        <v>2</v>
      </c>
      <c r="C2814" s="5" t="s">
        <v>106</v>
      </c>
      <c r="D2814" s="5" t="s">
        <v>1389</v>
      </c>
      <c r="E2814" s="5" t="n">
        <v>1</v>
      </c>
      <c r="F2814" s="6" t="n">
        <f aca="false">IFERROR(MATCH(A2814&amp;"|"&amp;B2814&amp;"|"&amp;D2814,'All Song Rankings'!$T:$T,0),0)</f>
        <v>438</v>
      </c>
      <c r="G2814" s="6" t="str">
        <f aca="false">IF(F2814=0,"NOT FOUND",INDEX('All Song Rankings'!$A:$A,F2814))</f>
        <v>Accidentally in Love</v>
      </c>
      <c r="H2814" s="6" t="str">
        <f aca="false">IF(F2814=0,"NOT FOUND",INDEX('All Song Rankings'!$B:$B,F2814))</f>
        <v>Counting Crows</v>
      </c>
      <c r="I2814" s="6" t="str">
        <f aca="false">IF(F2814=0,"NOT FOUND",INDEX('All Song Rankings'!$D:$D,F2814))</f>
        <v>Stephanie</v>
      </c>
      <c r="J2814" s="7" t="str">
        <f aca="false">IF(F2814=0,"NOT FOUND",IF(C2814=I2814,"SELF-VOTE",IF(COUNTIF($K:$K,K2814)&gt;1,"DUPLICATE","OK")))</f>
        <v>OK</v>
      </c>
      <c r="K2814" s="6" t="str">
        <f aca="false">A2814&amp;"|"&amp;B2814&amp;"|"&amp;C2814&amp;"|"&amp;D2814</f>
        <v>5|2|Kristen|spotify:track:4ccM2xBxicGigjLqt6A0YY</v>
      </c>
    </row>
    <row r="2815" customFormat="false" ht="15" hidden="false" customHeight="false" outlineLevel="0" collapsed="false">
      <c r="A2815" s="5" t="n">
        <v>5</v>
      </c>
      <c r="B2815" s="5" t="n">
        <v>2</v>
      </c>
      <c r="C2815" s="5" t="s">
        <v>106</v>
      </c>
      <c r="D2815" s="5" t="s">
        <v>1410</v>
      </c>
      <c r="E2815" s="5" t="n">
        <v>1</v>
      </c>
      <c r="F2815" s="6" t="n">
        <f aca="false">IFERROR(MATCH(A2815&amp;"|"&amp;B2815&amp;"|"&amp;D2815,'All Song Rankings'!$T:$T,0),0)</f>
        <v>446</v>
      </c>
      <c r="G2815" s="6" t="str">
        <f aca="false">IF(F2815=0,"NOT FOUND",INDEX('All Song Rankings'!$A:$A,F2815))</f>
        <v>I Ain't Worried</v>
      </c>
      <c r="H2815" s="6" t="str">
        <f aca="false">IF(F2815=0,"NOT FOUND",INDEX('All Song Rankings'!$B:$B,F2815))</f>
        <v>OneRepublic</v>
      </c>
      <c r="I2815" s="6" t="str">
        <f aca="false">IF(F2815=0,"NOT FOUND",INDEX('All Song Rankings'!$D:$D,F2815))</f>
        <v>Makenzie</v>
      </c>
      <c r="J2815" s="7" t="str">
        <f aca="false">IF(F2815=0,"NOT FOUND",IF(C2815=I2815,"SELF-VOTE",IF(COUNTIF($K:$K,K2815)&gt;1,"DUPLICATE","OK")))</f>
        <v>OK</v>
      </c>
      <c r="K2815" s="6" t="str">
        <f aca="false">A2815&amp;"|"&amp;B2815&amp;"|"&amp;C2815&amp;"|"&amp;D2815</f>
        <v>5|2|Kristen|spotify:track:4h9wh7iOZ0GGn8QVp4RAOB</v>
      </c>
    </row>
    <row r="2816" customFormat="false" ht="15" hidden="false" customHeight="false" outlineLevel="0" collapsed="false">
      <c r="A2816" s="5" t="n">
        <v>5</v>
      </c>
      <c r="B2816" s="5" t="n">
        <v>2</v>
      </c>
      <c r="C2816" s="5" t="s">
        <v>106</v>
      </c>
      <c r="D2816" s="5" t="s">
        <v>1413</v>
      </c>
      <c r="E2816" s="5" t="n">
        <v>1</v>
      </c>
      <c r="F2816" s="6" t="n">
        <f aca="false">IFERROR(MATCH(A2816&amp;"|"&amp;B2816&amp;"|"&amp;D2816,'All Song Rankings'!$T:$T,0),0)</f>
        <v>447</v>
      </c>
      <c r="G2816" s="6" t="str">
        <f aca="false">IF(F2816=0,"NOT FOUND",INDEX('All Song Rankings'!$A:$A,F2816))</f>
        <v>Can't Take My Eyes off You</v>
      </c>
      <c r="H2816" s="6" t="str">
        <f aca="false">IF(F2816=0,"NOT FOUND",INDEX('All Song Rankings'!$B:$B,F2816))</f>
        <v>Frankie Valli</v>
      </c>
      <c r="I2816" s="6" t="str">
        <f aca="false">IF(F2816=0,"NOT FOUND",INDEX('All Song Rankings'!$D:$D,F2816))</f>
        <v>Colleen</v>
      </c>
      <c r="J2816" s="7" t="str">
        <f aca="false">IF(F2816=0,"NOT FOUND",IF(C2816=I2816,"SELF-VOTE",IF(COUNTIF($K:$K,K2816)&gt;1,"DUPLICATE","OK")))</f>
        <v>OK</v>
      </c>
      <c r="K2816" s="6" t="str">
        <f aca="false">A2816&amp;"|"&amp;B2816&amp;"|"&amp;C2816&amp;"|"&amp;D2816</f>
        <v>5|2|Kristen|spotify:track:6ft9PAgNOjmZ2kFVP7LGqb</v>
      </c>
    </row>
    <row r="2817" customFormat="false" ht="15" hidden="false" customHeight="false" outlineLevel="0" collapsed="false">
      <c r="A2817" s="5" t="n">
        <v>5</v>
      </c>
      <c r="B2817" s="5" t="n">
        <v>2</v>
      </c>
      <c r="C2817" s="5" t="s">
        <v>106</v>
      </c>
      <c r="D2817" s="5" t="s">
        <v>1394</v>
      </c>
      <c r="E2817" s="5" t="n">
        <v>1</v>
      </c>
      <c r="F2817" s="6" t="n">
        <f aca="false">IFERROR(MATCH(A2817&amp;"|"&amp;B2817&amp;"|"&amp;D2817,'All Song Rankings'!$T:$T,0),0)</f>
        <v>440</v>
      </c>
      <c r="G2817" s="6" t="str">
        <f aca="false">IF(F2817=0,"NOT FOUND",INDEX('All Song Rankings'!$A:$A,F2817))</f>
        <v>Don't You (Forget About Me)</v>
      </c>
      <c r="H2817" s="6" t="str">
        <f aca="false">IF(F2817=0,"NOT FOUND",INDEX('All Song Rankings'!$B:$B,F2817))</f>
        <v>Simple Minds</v>
      </c>
      <c r="I2817" s="6" t="str">
        <f aca="false">IF(F2817=0,"NOT FOUND",INDEX('All Song Rankings'!$D:$D,F2817))</f>
        <v>Logan</v>
      </c>
      <c r="J2817" s="7" t="str">
        <f aca="false">IF(F2817=0,"NOT FOUND",IF(C2817=I2817,"SELF-VOTE",IF(COUNTIF($K:$K,K2817)&gt;1,"DUPLICATE","OK")))</f>
        <v>OK</v>
      </c>
      <c r="K2817" s="6" t="str">
        <f aca="false">A2817&amp;"|"&amp;B2817&amp;"|"&amp;C2817&amp;"|"&amp;D2817</f>
        <v>5|2|Kristen|spotify:track:6yEAAIEHu4GcUFptg5W9kI</v>
      </c>
    </row>
    <row r="2818" customFormat="false" ht="15" hidden="false" customHeight="false" outlineLevel="0" collapsed="false">
      <c r="A2818" s="5" t="n">
        <v>5</v>
      </c>
      <c r="B2818" s="5" t="n">
        <v>2</v>
      </c>
      <c r="C2818" s="5" t="s">
        <v>119</v>
      </c>
      <c r="D2818" s="5" t="s">
        <v>1400</v>
      </c>
      <c r="E2818" s="5" t="n">
        <v>1</v>
      </c>
      <c r="F2818" s="6" t="n">
        <f aca="false">IFERROR(MATCH(A2818&amp;"|"&amp;B2818&amp;"|"&amp;D2818,'All Song Rankings'!$T:$T,0),0)</f>
        <v>442</v>
      </c>
      <c r="G2818" s="6" t="str">
        <f aca="false">IF(F2818=0,"NOT FOUND",INDEX('All Song Rankings'!$A:$A,F2818))</f>
        <v>Gangsta's Paradise</v>
      </c>
      <c r="H2818" s="6" t="str">
        <f aca="false">IF(F2818=0,"NOT FOUND",INDEX('All Song Rankings'!$B:$B,F2818))</f>
        <v>Coolio, L.V.</v>
      </c>
      <c r="I2818" s="6" t="str">
        <f aca="false">IF(F2818=0,"NOT FOUND",INDEX('All Song Rankings'!$D:$D,F2818))</f>
        <v>Grace</v>
      </c>
      <c r="J2818" s="7" t="str">
        <f aca="false">IF(F2818=0,"NOT FOUND",IF(C2818=I2818,"SELF-VOTE",IF(COUNTIF($K:$K,K2818)&gt;1,"DUPLICATE","OK")))</f>
        <v>OK</v>
      </c>
      <c r="K2818" s="6" t="str">
        <f aca="false">A2818&amp;"|"&amp;B2818&amp;"|"&amp;C2818&amp;"|"&amp;D2818</f>
        <v>5|2|Leah|spotify:track:1DIXPcTDzTj8ZMHt3PDt8p</v>
      </c>
    </row>
    <row r="2819" customFormat="false" ht="15" hidden="false" customHeight="false" outlineLevel="0" collapsed="false">
      <c r="A2819" s="5" t="n">
        <v>5</v>
      </c>
      <c r="B2819" s="5" t="n">
        <v>2</v>
      </c>
      <c r="C2819" s="5" t="s">
        <v>119</v>
      </c>
      <c r="D2819" s="5" t="s">
        <v>1408</v>
      </c>
      <c r="E2819" s="5" t="n">
        <v>1</v>
      </c>
      <c r="F2819" s="6" t="n">
        <f aca="false">IFERROR(MATCH(A2819&amp;"|"&amp;B2819&amp;"|"&amp;D2819,'All Song Rankings'!$T:$T,0),0)</f>
        <v>445</v>
      </c>
      <c r="G2819" s="6" t="str">
        <f aca="false">IF(F2819=0,"NOT FOUND",INDEX('All Song Rankings'!$A:$A,F2819))</f>
        <v>When Your Mind's Made Up</v>
      </c>
      <c r="H2819" s="6" t="str">
        <f aca="false">IF(F2819=0,"NOT FOUND",INDEX('All Song Rankings'!$B:$B,F2819))</f>
        <v>Glen Hansard, Markéta Irglová</v>
      </c>
      <c r="I2819" s="6" t="str">
        <f aca="false">IF(F2819=0,"NOT FOUND",INDEX('All Song Rankings'!$D:$D,F2819))</f>
        <v>Matt</v>
      </c>
      <c r="J2819" s="7" t="str">
        <f aca="false">IF(F2819=0,"NOT FOUND",IF(C2819=I2819,"SELF-VOTE",IF(COUNTIF($K:$K,K2819)&gt;1,"DUPLICATE","OK")))</f>
        <v>OK</v>
      </c>
      <c r="K2819" s="6" t="str">
        <f aca="false">A2819&amp;"|"&amp;B2819&amp;"|"&amp;C2819&amp;"|"&amp;D2819</f>
        <v>5|2|Leah|spotify:track:1aAfiBF8ftfkONfzc0GTWz</v>
      </c>
    </row>
    <row r="2820" customFormat="false" ht="15" hidden="false" customHeight="false" outlineLevel="0" collapsed="false">
      <c r="A2820" s="5" t="n">
        <v>5</v>
      </c>
      <c r="B2820" s="5" t="n">
        <v>2</v>
      </c>
      <c r="C2820" s="5" t="s">
        <v>119</v>
      </c>
      <c r="D2820" s="5" t="s">
        <v>1402</v>
      </c>
      <c r="E2820" s="5" t="n">
        <v>1</v>
      </c>
      <c r="F2820" s="6" t="n">
        <f aca="false">IFERROR(MATCH(A2820&amp;"|"&amp;B2820&amp;"|"&amp;D2820,'All Song Rankings'!$T:$T,0),0)</f>
        <v>443</v>
      </c>
      <c r="G2820" s="6" t="str">
        <f aca="false">IF(F2820=0,"NOT FOUND",INDEX('All Song Rankings'!$A:$A,F2820))</f>
        <v>Hold My Hand</v>
      </c>
      <c r="H2820" s="6" t="str">
        <f aca="false">IF(F2820=0,"NOT FOUND",INDEX('All Song Rankings'!$B:$B,F2820))</f>
        <v>Lady Gaga</v>
      </c>
      <c r="I2820" s="6" t="str">
        <f aca="false">IF(F2820=0,"NOT FOUND",INDEX('All Song Rankings'!$D:$D,F2820))</f>
        <v>Aubrey</v>
      </c>
      <c r="J2820" s="7" t="str">
        <f aca="false">IF(F2820=0,"NOT FOUND",IF(C2820=I2820,"SELF-VOTE",IF(COUNTIF($K:$K,K2820)&gt;1,"DUPLICATE","OK")))</f>
        <v>OK</v>
      </c>
      <c r="K2820" s="6" t="str">
        <f aca="false">A2820&amp;"|"&amp;B2820&amp;"|"&amp;C2820&amp;"|"&amp;D2820</f>
        <v>5|2|Leah|spotify:track:1c2hJSwcCfoPEw1su83Sw0</v>
      </c>
    </row>
    <row r="2821" customFormat="false" ht="15" hidden="false" customHeight="false" outlineLevel="0" collapsed="false">
      <c r="A2821" s="5" t="n">
        <v>5</v>
      </c>
      <c r="B2821" s="5" t="n">
        <v>2</v>
      </c>
      <c r="C2821" s="5" t="s">
        <v>119</v>
      </c>
      <c r="D2821" s="5" t="s">
        <v>1405</v>
      </c>
      <c r="E2821" s="5" t="n">
        <v>2</v>
      </c>
      <c r="F2821" s="6" t="n">
        <f aca="false">IFERROR(MATCH(A2821&amp;"|"&amp;B2821&amp;"|"&amp;D2821,'All Song Rankings'!$T:$T,0),0)</f>
        <v>444</v>
      </c>
      <c r="G2821" s="6" t="str">
        <f aca="false">IF(F2821=0,"NOT FOUND",INDEX('All Song Rankings'!$A:$A,F2821))</f>
        <v>Eye of the Tiger</v>
      </c>
      <c r="H2821" s="6" t="str">
        <f aca="false">IF(F2821=0,"NOT FOUND",INDEX('All Song Rankings'!$B:$B,F2821))</f>
        <v>Survivor</v>
      </c>
      <c r="I2821" s="6" t="str">
        <f aca="false">IF(F2821=0,"NOT FOUND",INDEX('All Song Rankings'!$D:$D,F2821))</f>
        <v>Lisa</v>
      </c>
      <c r="J2821" s="7" t="str">
        <f aca="false">IF(F2821=0,"NOT FOUND",IF(C2821=I2821,"SELF-VOTE",IF(COUNTIF($K:$K,K2821)&gt;1,"DUPLICATE","OK")))</f>
        <v>OK</v>
      </c>
      <c r="K2821" s="6" t="str">
        <f aca="false">A2821&amp;"|"&amp;B2821&amp;"|"&amp;C2821&amp;"|"&amp;D2821</f>
        <v>5|2|Leah|spotify:track:2KH16WveTQWT6KOG9Rg6e2</v>
      </c>
    </row>
    <row r="2822" customFormat="false" ht="15" hidden="false" customHeight="false" outlineLevel="0" collapsed="false">
      <c r="A2822" s="5" t="n">
        <v>5</v>
      </c>
      <c r="B2822" s="5" t="n">
        <v>2</v>
      </c>
      <c r="C2822" s="5" t="s">
        <v>119</v>
      </c>
      <c r="D2822" s="5" t="s">
        <v>1391</v>
      </c>
      <c r="E2822" s="5" t="n">
        <v>1</v>
      </c>
      <c r="F2822" s="6" t="n">
        <f aca="false">IFERROR(MATCH(A2822&amp;"|"&amp;B2822&amp;"|"&amp;D2822,'All Song Rankings'!$T:$T,0),0)</f>
        <v>439</v>
      </c>
      <c r="G2822" s="6" t="str">
        <f aca="false">IF(F2822=0,"NOT FOUND",INDEX('All Song Rankings'!$A:$A,F2822))</f>
        <v>Here I Am</v>
      </c>
      <c r="H2822" s="6" t="str">
        <f aca="false">IF(F2822=0,"NOT FOUND",INDEX('All Song Rankings'!$B:$B,F2822))</f>
        <v>Bryan Adams</v>
      </c>
      <c r="I2822" s="6" t="str">
        <f aca="false">IF(F2822=0,"NOT FOUND",INDEX('All Song Rankings'!$D:$D,F2822))</f>
        <v>Christine</v>
      </c>
      <c r="J2822" s="7" t="str">
        <f aca="false">IF(F2822=0,"NOT FOUND",IF(C2822=I2822,"SELF-VOTE",IF(COUNTIF($K:$K,K2822)&gt;1,"DUPLICATE","OK")))</f>
        <v>OK</v>
      </c>
      <c r="K2822" s="6" t="str">
        <f aca="false">A2822&amp;"|"&amp;B2822&amp;"|"&amp;C2822&amp;"|"&amp;D2822</f>
        <v>5|2|Leah|spotify:track:2pGH58HmgqdOcZTTO9Po7t</v>
      </c>
    </row>
    <row r="2823" customFormat="false" ht="15" hidden="false" customHeight="false" outlineLevel="0" collapsed="false">
      <c r="A2823" s="5" t="n">
        <v>5</v>
      </c>
      <c r="B2823" s="5" t="n">
        <v>2</v>
      </c>
      <c r="C2823" s="5" t="s">
        <v>119</v>
      </c>
      <c r="D2823" s="5" t="s">
        <v>1386</v>
      </c>
      <c r="E2823" s="5" t="n">
        <v>2</v>
      </c>
      <c r="F2823" s="6" t="n">
        <f aca="false">IFERROR(MATCH(A2823&amp;"|"&amp;B2823&amp;"|"&amp;D2823,'All Song Rankings'!$T:$T,0),0)</f>
        <v>437</v>
      </c>
      <c r="G2823" s="6" t="str">
        <f aca="false">IF(F2823=0,"NOT FOUND",INDEX('All Song Rankings'!$A:$A,F2823))</f>
        <v>Danger Zone - From "Top Gun" Original Soundtrack</v>
      </c>
      <c r="H2823" s="6" t="str">
        <f aca="false">IF(F2823=0,"NOT FOUND",INDEX('All Song Rankings'!$B:$B,F2823))</f>
        <v>Kenny Loggins</v>
      </c>
      <c r="I2823" s="6" t="str">
        <f aca="false">IF(F2823=0,"NOT FOUND",INDEX('All Song Rankings'!$D:$D,F2823))</f>
        <v>Kelsey</v>
      </c>
      <c r="J2823" s="7" t="str">
        <f aca="false">IF(F2823=0,"NOT FOUND",IF(C2823=I2823,"SELF-VOTE",IF(COUNTIF($K:$K,K2823)&gt;1,"DUPLICATE","OK")))</f>
        <v>OK</v>
      </c>
      <c r="K2823" s="6" t="str">
        <f aca="false">A2823&amp;"|"&amp;B2823&amp;"|"&amp;C2823&amp;"|"&amp;D2823</f>
        <v>5|2|Leah|spotify:track:3hMHG6lx9QHVcfYSUr5PoM</v>
      </c>
    </row>
    <row r="2824" customFormat="false" ht="15" hidden="false" customHeight="false" outlineLevel="0" collapsed="false">
      <c r="A2824" s="5" t="n">
        <v>5</v>
      </c>
      <c r="B2824" s="5" t="n">
        <v>2</v>
      </c>
      <c r="C2824" s="5" t="s">
        <v>119</v>
      </c>
      <c r="D2824" s="5" t="s">
        <v>1413</v>
      </c>
      <c r="E2824" s="5" t="n">
        <v>1</v>
      </c>
      <c r="F2824" s="6" t="n">
        <f aca="false">IFERROR(MATCH(A2824&amp;"|"&amp;B2824&amp;"|"&amp;D2824,'All Song Rankings'!$T:$T,0),0)</f>
        <v>447</v>
      </c>
      <c r="G2824" s="6" t="str">
        <f aca="false">IF(F2824=0,"NOT FOUND",INDEX('All Song Rankings'!$A:$A,F2824))</f>
        <v>Can't Take My Eyes off You</v>
      </c>
      <c r="H2824" s="6" t="str">
        <f aca="false">IF(F2824=0,"NOT FOUND",INDEX('All Song Rankings'!$B:$B,F2824))</f>
        <v>Frankie Valli</v>
      </c>
      <c r="I2824" s="6" t="str">
        <f aca="false">IF(F2824=0,"NOT FOUND",INDEX('All Song Rankings'!$D:$D,F2824))</f>
        <v>Colleen</v>
      </c>
      <c r="J2824" s="7" t="str">
        <f aca="false">IF(F2824=0,"NOT FOUND",IF(C2824=I2824,"SELF-VOTE",IF(COUNTIF($K:$K,K2824)&gt;1,"DUPLICATE","OK")))</f>
        <v>OK</v>
      </c>
      <c r="K2824" s="6" t="str">
        <f aca="false">A2824&amp;"|"&amp;B2824&amp;"|"&amp;C2824&amp;"|"&amp;D2824</f>
        <v>5|2|Leah|spotify:track:6ft9PAgNOjmZ2kFVP7LGqb</v>
      </c>
    </row>
    <row r="2825" customFormat="false" ht="15" hidden="false" customHeight="false" outlineLevel="0" collapsed="false">
      <c r="A2825" s="5" t="n">
        <v>5</v>
      </c>
      <c r="B2825" s="5" t="n">
        <v>2</v>
      </c>
      <c r="C2825" s="5" t="s">
        <v>119</v>
      </c>
      <c r="D2825" s="5" t="s">
        <v>1394</v>
      </c>
      <c r="E2825" s="5" t="n">
        <v>1</v>
      </c>
      <c r="F2825" s="6" t="n">
        <f aca="false">IFERROR(MATCH(A2825&amp;"|"&amp;B2825&amp;"|"&amp;D2825,'All Song Rankings'!$T:$T,0),0)</f>
        <v>440</v>
      </c>
      <c r="G2825" s="6" t="str">
        <f aca="false">IF(F2825=0,"NOT FOUND",INDEX('All Song Rankings'!$A:$A,F2825))</f>
        <v>Don't You (Forget About Me)</v>
      </c>
      <c r="H2825" s="6" t="str">
        <f aca="false">IF(F2825=0,"NOT FOUND",INDEX('All Song Rankings'!$B:$B,F2825))</f>
        <v>Simple Minds</v>
      </c>
      <c r="I2825" s="6" t="str">
        <f aca="false">IF(F2825=0,"NOT FOUND",INDEX('All Song Rankings'!$D:$D,F2825))</f>
        <v>Logan</v>
      </c>
      <c r="J2825" s="7" t="str">
        <f aca="false">IF(F2825=0,"NOT FOUND",IF(C2825=I2825,"SELF-VOTE",IF(COUNTIF($K:$K,K2825)&gt;1,"DUPLICATE","OK")))</f>
        <v>OK</v>
      </c>
      <c r="K2825" s="6" t="str">
        <f aca="false">A2825&amp;"|"&amp;B2825&amp;"|"&amp;C2825&amp;"|"&amp;D2825</f>
        <v>5|2|Leah|spotify:track:6yEAAIEHu4GcUFptg5W9kI</v>
      </c>
    </row>
    <row r="2826" customFormat="false" ht="15" hidden="false" customHeight="false" outlineLevel="0" collapsed="false">
      <c r="A2826" s="5" t="n">
        <v>5</v>
      </c>
      <c r="B2826" s="5" t="n">
        <v>2</v>
      </c>
      <c r="C2826" s="5" t="s">
        <v>705</v>
      </c>
      <c r="D2826" s="5" t="s">
        <v>1400</v>
      </c>
      <c r="E2826" s="5" t="n">
        <v>2</v>
      </c>
      <c r="F2826" s="6" t="n">
        <f aca="false">IFERROR(MATCH(A2826&amp;"|"&amp;B2826&amp;"|"&amp;D2826,'All Song Rankings'!$T:$T,0),0)</f>
        <v>442</v>
      </c>
      <c r="G2826" s="6" t="str">
        <f aca="false">IF(F2826=0,"NOT FOUND",INDEX('All Song Rankings'!$A:$A,F2826))</f>
        <v>Gangsta's Paradise</v>
      </c>
      <c r="H2826" s="6" t="str">
        <f aca="false">IF(F2826=0,"NOT FOUND",INDEX('All Song Rankings'!$B:$B,F2826))</f>
        <v>Coolio, L.V.</v>
      </c>
      <c r="I2826" s="6" t="str">
        <f aca="false">IF(F2826=0,"NOT FOUND",INDEX('All Song Rankings'!$D:$D,F2826))</f>
        <v>Grace</v>
      </c>
      <c r="J2826" s="7" t="str">
        <f aca="false">IF(F2826=0,"NOT FOUND",IF(C2826=I2826,"SELF-VOTE",IF(COUNTIF($K:$K,K2826)&gt;1,"DUPLICATE","OK")))</f>
        <v>OK</v>
      </c>
      <c r="K2826" s="6" t="str">
        <f aca="false">A2826&amp;"|"&amp;B2826&amp;"|"&amp;C2826&amp;"|"&amp;D2826</f>
        <v>5|2|Lisa|spotify:track:1DIXPcTDzTj8ZMHt3PDt8p</v>
      </c>
    </row>
    <row r="2827" customFormat="false" ht="15" hidden="false" customHeight="false" outlineLevel="0" collapsed="false">
      <c r="A2827" s="5" t="n">
        <v>5</v>
      </c>
      <c r="B2827" s="5" t="n">
        <v>2</v>
      </c>
      <c r="C2827" s="5" t="s">
        <v>705</v>
      </c>
      <c r="D2827" s="5" t="s">
        <v>1408</v>
      </c>
      <c r="E2827" s="5" t="n">
        <v>1</v>
      </c>
      <c r="F2827" s="6" t="n">
        <f aca="false">IFERROR(MATCH(A2827&amp;"|"&amp;B2827&amp;"|"&amp;D2827,'All Song Rankings'!$T:$T,0),0)</f>
        <v>445</v>
      </c>
      <c r="G2827" s="6" t="str">
        <f aca="false">IF(F2827=0,"NOT FOUND",INDEX('All Song Rankings'!$A:$A,F2827))</f>
        <v>When Your Mind's Made Up</v>
      </c>
      <c r="H2827" s="6" t="str">
        <f aca="false">IF(F2827=0,"NOT FOUND",INDEX('All Song Rankings'!$B:$B,F2827))</f>
        <v>Glen Hansard, Markéta Irglová</v>
      </c>
      <c r="I2827" s="6" t="str">
        <f aca="false">IF(F2827=0,"NOT FOUND",INDEX('All Song Rankings'!$D:$D,F2827))</f>
        <v>Matt</v>
      </c>
      <c r="J2827" s="7" t="str">
        <f aca="false">IF(F2827=0,"NOT FOUND",IF(C2827=I2827,"SELF-VOTE",IF(COUNTIF($K:$K,K2827)&gt;1,"DUPLICATE","OK")))</f>
        <v>OK</v>
      </c>
      <c r="K2827" s="6" t="str">
        <f aca="false">A2827&amp;"|"&amp;B2827&amp;"|"&amp;C2827&amp;"|"&amp;D2827</f>
        <v>5|2|Lisa|spotify:track:1aAfiBF8ftfkONfzc0GTWz</v>
      </c>
    </row>
    <row r="2828" customFormat="false" ht="15" hidden="false" customHeight="false" outlineLevel="0" collapsed="false">
      <c r="A2828" s="5" t="n">
        <v>5</v>
      </c>
      <c r="B2828" s="5" t="n">
        <v>2</v>
      </c>
      <c r="C2828" s="5" t="s">
        <v>705</v>
      </c>
      <c r="D2828" s="5" t="s">
        <v>1402</v>
      </c>
      <c r="E2828" s="5" t="n">
        <v>3</v>
      </c>
      <c r="F2828" s="6" t="n">
        <f aca="false">IFERROR(MATCH(A2828&amp;"|"&amp;B2828&amp;"|"&amp;D2828,'All Song Rankings'!$T:$T,0),0)</f>
        <v>443</v>
      </c>
      <c r="G2828" s="6" t="str">
        <f aca="false">IF(F2828=0,"NOT FOUND",INDEX('All Song Rankings'!$A:$A,F2828))</f>
        <v>Hold My Hand</v>
      </c>
      <c r="H2828" s="6" t="str">
        <f aca="false">IF(F2828=0,"NOT FOUND",INDEX('All Song Rankings'!$B:$B,F2828))</f>
        <v>Lady Gaga</v>
      </c>
      <c r="I2828" s="6" t="str">
        <f aca="false">IF(F2828=0,"NOT FOUND",INDEX('All Song Rankings'!$D:$D,F2828))</f>
        <v>Aubrey</v>
      </c>
      <c r="J2828" s="7" t="str">
        <f aca="false">IF(F2828=0,"NOT FOUND",IF(C2828=I2828,"SELF-VOTE",IF(COUNTIF($K:$K,K2828)&gt;1,"DUPLICATE","OK")))</f>
        <v>OK</v>
      </c>
      <c r="K2828" s="6" t="str">
        <f aca="false">A2828&amp;"|"&amp;B2828&amp;"|"&amp;C2828&amp;"|"&amp;D2828</f>
        <v>5|2|Lisa|spotify:track:1c2hJSwcCfoPEw1su83Sw0</v>
      </c>
    </row>
    <row r="2829" customFormat="false" ht="15" hidden="false" customHeight="false" outlineLevel="0" collapsed="false">
      <c r="A2829" s="5" t="n">
        <v>5</v>
      </c>
      <c r="B2829" s="5" t="n">
        <v>2</v>
      </c>
      <c r="C2829" s="5" t="s">
        <v>705</v>
      </c>
      <c r="D2829" s="5" t="s">
        <v>1391</v>
      </c>
      <c r="E2829" s="5" t="n">
        <v>2</v>
      </c>
      <c r="F2829" s="6" t="n">
        <f aca="false">IFERROR(MATCH(A2829&amp;"|"&amp;B2829&amp;"|"&amp;D2829,'All Song Rankings'!$T:$T,0),0)</f>
        <v>439</v>
      </c>
      <c r="G2829" s="6" t="str">
        <f aca="false">IF(F2829=0,"NOT FOUND",INDEX('All Song Rankings'!$A:$A,F2829))</f>
        <v>Here I Am</v>
      </c>
      <c r="H2829" s="6" t="str">
        <f aca="false">IF(F2829=0,"NOT FOUND",INDEX('All Song Rankings'!$B:$B,F2829))</f>
        <v>Bryan Adams</v>
      </c>
      <c r="I2829" s="6" t="str">
        <f aca="false">IF(F2829=0,"NOT FOUND",INDEX('All Song Rankings'!$D:$D,F2829))</f>
        <v>Christine</v>
      </c>
      <c r="J2829" s="7" t="str">
        <f aca="false">IF(F2829=0,"NOT FOUND",IF(C2829=I2829,"SELF-VOTE",IF(COUNTIF($K:$K,K2829)&gt;1,"DUPLICATE","OK")))</f>
        <v>OK</v>
      </c>
      <c r="K2829" s="6" t="str">
        <f aca="false">A2829&amp;"|"&amp;B2829&amp;"|"&amp;C2829&amp;"|"&amp;D2829</f>
        <v>5|2|Lisa|spotify:track:2pGH58HmgqdOcZTTO9Po7t</v>
      </c>
    </row>
    <row r="2830" customFormat="false" ht="15" hidden="false" customHeight="false" outlineLevel="0" collapsed="false">
      <c r="A2830" s="5" t="n">
        <v>5</v>
      </c>
      <c r="B2830" s="5" t="n">
        <v>2</v>
      </c>
      <c r="C2830" s="5" t="s">
        <v>705</v>
      </c>
      <c r="D2830" s="5" t="s">
        <v>1383</v>
      </c>
      <c r="E2830" s="5" t="n">
        <v>1</v>
      </c>
      <c r="F2830" s="6" t="n">
        <f aca="false">IFERROR(MATCH(A2830&amp;"|"&amp;B2830&amp;"|"&amp;D2830,'All Song Rankings'!$T:$T,0),0)</f>
        <v>436</v>
      </c>
      <c r="G2830" s="6" t="str">
        <f aca="false">IF(F2830=0,"NOT FOUND",INDEX('All Song Rankings'!$A:$A,F2830))</f>
        <v>Skyfall</v>
      </c>
      <c r="H2830" s="6" t="str">
        <f aca="false">IF(F2830=0,"NOT FOUND",INDEX('All Song Rankings'!$B:$B,F2830))</f>
        <v>Adele</v>
      </c>
      <c r="I2830" s="6" t="str">
        <f aca="false">IF(F2830=0,"NOT FOUND",INDEX('All Song Rankings'!$D:$D,F2830))</f>
        <v>Leah</v>
      </c>
      <c r="J2830" s="7" t="str">
        <f aca="false">IF(F2830=0,"NOT FOUND",IF(C2830=I2830,"SELF-VOTE",IF(COUNTIF($K:$K,K2830)&gt;1,"DUPLICATE","OK")))</f>
        <v>OK</v>
      </c>
      <c r="K2830" s="6" t="str">
        <f aca="false">A2830&amp;"|"&amp;B2830&amp;"|"&amp;C2830&amp;"|"&amp;D2830</f>
        <v>5|2|Lisa|spotify:track:6VObnIkLVruX4UVyxWhlqm</v>
      </c>
    </row>
    <row r="2831" customFormat="false" ht="15" hidden="false" customHeight="false" outlineLevel="0" collapsed="false">
      <c r="A2831" s="5" t="n">
        <v>5</v>
      </c>
      <c r="B2831" s="5" t="n">
        <v>2</v>
      </c>
      <c r="C2831" s="5" t="s">
        <v>705</v>
      </c>
      <c r="D2831" s="5" t="s">
        <v>1394</v>
      </c>
      <c r="E2831" s="5" t="n">
        <v>1</v>
      </c>
      <c r="F2831" s="6" t="n">
        <f aca="false">IFERROR(MATCH(A2831&amp;"|"&amp;B2831&amp;"|"&amp;D2831,'All Song Rankings'!$T:$T,0),0)</f>
        <v>440</v>
      </c>
      <c r="G2831" s="6" t="str">
        <f aca="false">IF(F2831=0,"NOT FOUND",INDEX('All Song Rankings'!$A:$A,F2831))</f>
        <v>Don't You (Forget About Me)</v>
      </c>
      <c r="H2831" s="6" t="str">
        <f aca="false">IF(F2831=0,"NOT FOUND",INDEX('All Song Rankings'!$B:$B,F2831))</f>
        <v>Simple Minds</v>
      </c>
      <c r="I2831" s="6" t="str">
        <f aca="false">IF(F2831=0,"NOT FOUND",INDEX('All Song Rankings'!$D:$D,F2831))</f>
        <v>Logan</v>
      </c>
      <c r="J2831" s="7" t="str">
        <f aca="false">IF(F2831=0,"NOT FOUND",IF(C2831=I2831,"SELF-VOTE",IF(COUNTIF($K:$K,K2831)&gt;1,"DUPLICATE","OK")))</f>
        <v>OK</v>
      </c>
      <c r="K2831" s="6" t="str">
        <f aca="false">A2831&amp;"|"&amp;B2831&amp;"|"&amp;C2831&amp;"|"&amp;D2831</f>
        <v>5|2|Lisa|spotify:track:6yEAAIEHu4GcUFptg5W9kI</v>
      </c>
    </row>
    <row r="2832" customFormat="false" ht="15" hidden="false" customHeight="false" outlineLevel="0" collapsed="false">
      <c r="A2832" s="5" t="n">
        <v>5</v>
      </c>
      <c r="B2832" s="5" t="n">
        <v>2</v>
      </c>
      <c r="C2832" s="5" t="s">
        <v>128</v>
      </c>
      <c r="D2832" s="5" t="s">
        <v>1422</v>
      </c>
      <c r="E2832" s="5" t="n">
        <v>1</v>
      </c>
      <c r="F2832" s="6" t="n">
        <f aca="false">IFERROR(MATCH(A2832&amp;"|"&amp;B2832&amp;"|"&amp;D2832,'All Song Rankings'!$T:$T,0),0)</f>
        <v>450</v>
      </c>
      <c r="G2832" s="6" t="str">
        <f aca="false">IF(F2832=0,"NOT FOUND",INDEX('All Song Rankings'!$A:$A,F2832))</f>
        <v>Mystery of Love</v>
      </c>
      <c r="H2832" s="6" t="str">
        <f aca="false">IF(F2832=0,"NOT FOUND",INDEX('All Song Rankings'!$B:$B,F2832))</f>
        <v>Sufjan Stevens</v>
      </c>
      <c r="I2832" s="6" t="str">
        <f aca="false">IF(F2832=0,"NOT FOUND",INDEX('All Song Rankings'!$D:$D,F2832))</f>
        <v>Merita</v>
      </c>
      <c r="J2832" s="7" t="str">
        <f aca="false">IF(F2832=0,"NOT FOUND",IF(C2832=I2832,"SELF-VOTE",IF(COUNTIF($K:$K,K2832)&gt;1,"DUPLICATE","OK")))</f>
        <v>OK</v>
      </c>
      <c r="K2832" s="6" t="str">
        <f aca="false">A2832&amp;"|"&amp;B2832&amp;"|"&amp;C2832&amp;"|"&amp;D2832</f>
        <v>5|2|Logan|spotify:track:0MNNKSUU9OOQ8DSGWduw79</v>
      </c>
    </row>
    <row r="2833" customFormat="false" ht="15" hidden="false" customHeight="false" outlineLevel="0" collapsed="false">
      <c r="A2833" s="5" t="n">
        <v>5</v>
      </c>
      <c r="B2833" s="5" t="n">
        <v>2</v>
      </c>
      <c r="C2833" s="5" t="s">
        <v>128</v>
      </c>
      <c r="D2833" s="5" t="s">
        <v>1400</v>
      </c>
      <c r="E2833" s="5" t="n">
        <v>1</v>
      </c>
      <c r="F2833" s="6" t="n">
        <f aca="false">IFERROR(MATCH(A2833&amp;"|"&amp;B2833&amp;"|"&amp;D2833,'All Song Rankings'!$T:$T,0),0)</f>
        <v>442</v>
      </c>
      <c r="G2833" s="6" t="str">
        <f aca="false">IF(F2833=0,"NOT FOUND",INDEX('All Song Rankings'!$A:$A,F2833))</f>
        <v>Gangsta's Paradise</v>
      </c>
      <c r="H2833" s="6" t="str">
        <f aca="false">IF(F2833=0,"NOT FOUND",INDEX('All Song Rankings'!$B:$B,F2833))</f>
        <v>Coolio, L.V.</v>
      </c>
      <c r="I2833" s="6" t="str">
        <f aca="false">IF(F2833=0,"NOT FOUND",INDEX('All Song Rankings'!$D:$D,F2833))</f>
        <v>Grace</v>
      </c>
      <c r="J2833" s="7" t="str">
        <f aca="false">IF(F2833=0,"NOT FOUND",IF(C2833=I2833,"SELF-VOTE",IF(COUNTIF($K:$K,K2833)&gt;1,"DUPLICATE","OK")))</f>
        <v>OK</v>
      </c>
      <c r="K2833" s="6" t="str">
        <f aca="false">A2833&amp;"|"&amp;B2833&amp;"|"&amp;C2833&amp;"|"&amp;D2833</f>
        <v>5|2|Logan|spotify:track:1DIXPcTDzTj8ZMHt3PDt8p</v>
      </c>
    </row>
    <row r="2834" customFormat="false" ht="15" hidden="false" customHeight="false" outlineLevel="0" collapsed="false">
      <c r="A2834" s="5" t="n">
        <v>5</v>
      </c>
      <c r="B2834" s="5" t="n">
        <v>2</v>
      </c>
      <c r="C2834" s="5" t="s">
        <v>128</v>
      </c>
      <c r="D2834" s="5" t="s">
        <v>1408</v>
      </c>
      <c r="E2834" s="5" t="n">
        <v>1</v>
      </c>
      <c r="F2834" s="6" t="n">
        <f aca="false">IFERROR(MATCH(A2834&amp;"|"&amp;B2834&amp;"|"&amp;D2834,'All Song Rankings'!$T:$T,0),0)</f>
        <v>445</v>
      </c>
      <c r="G2834" s="6" t="str">
        <f aca="false">IF(F2834=0,"NOT FOUND",INDEX('All Song Rankings'!$A:$A,F2834))</f>
        <v>When Your Mind's Made Up</v>
      </c>
      <c r="H2834" s="6" t="str">
        <f aca="false">IF(F2834=0,"NOT FOUND",INDEX('All Song Rankings'!$B:$B,F2834))</f>
        <v>Glen Hansard, Markéta Irglová</v>
      </c>
      <c r="I2834" s="6" t="str">
        <f aca="false">IF(F2834=0,"NOT FOUND",INDEX('All Song Rankings'!$D:$D,F2834))</f>
        <v>Matt</v>
      </c>
      <c r="J2834" s="7" t="str">
        <f aca="false">IF(F2834=0,"NOT FOUND",IF(C2834=I2834,"SELF-VOTE",IF(COUNTIF($K:$K,K2834)&gt;1,"DUPLICATE","OK")))</f>
        <v>OK</v>
      </c>
      <c r="K2834" s="6" t="str">
        <f aca="false">A2834&amp;"|"&amp;B2834&amp;"|"&amp;C2834&amp;"|"&amp;D2834</f>
        <v>5|2|Logan|spotify:track:1aAfiBF8ftfkONfzc0GTWz</v>
      </c>
    </row>
    <row r="2835" customFormat="false" ht="15" hidden="false" customHeight="false" outlineLevel="0" collapsed="false">
      <c r="A2835" s="5" t="n">
        <v>5</v>
      </c>
      <c r="B2835" s="5" t="n">
        <v>2</v>
      </c>
      <c r="C2835" s="5" t="s">
        <v>128</v>
      </c>
      <c r="D2835" s="5" t="s">
        <v>1402</v>
      </c>
      <c r="E2835" s="5" t="n">
        <v>1</v>
      </c>
      <c r="F2835" s="6" t="n">
        <f aca="false">IFERROR(MATCH(A2835&amp;"|"&amp;B2835&amp;"|"&amp;D2835,'All Song Rankings'!$T:$T,0),0)</f>
        <v>443</v>
      </c>
      <c r="G2835" s="6" t="str">
        <f aca="false">IF(F2835=0,"NOT FOUND",INDEX('All Song Rankings'!$A:$A,F2835))</f>
        <v>Hold My Hand</v>
      </c>
      <c r="H2835" s="6" t="str">
        <f aca="false">IF(F2835=0,"NOT FOUND",INDEX('All Song Rankings'!$B:$B,F2835))</f>
        <v>Lady Gaga</v>
      </c>
      <c r="I2835" s="6" t="str">
        <f aca="false">IF(F2835=0,"NOT FOUND",INDEX('All Song Rankings'!$D:$D,F2835))</f>
        <v>Aubrey</v>
      </c>
      <c r="J2835" s="7" t="str">
        <f aca="false">IF(F2835=0,"NOT FOUND",IF(C2835=I2835,"SELF-VOTE",IF(COUNTIF($K:$K,K2835)&gt;1,"DUPLICATE","OK")))</f>
        <v>OK</v>
      </c>
      <c r="K2835" s="6" t="str">
        <f aca="false">A2835&amp;"|"&amp;B2835&amp;"|"&amp;C2835&amp;"|"&amp;D2835</f>
        <v>5|2|Logan|spotify:track:1c2hJSwcCfoPEw1su83Sw0</v>
      </c>
    </row>
    <row r="2836" customFormat="false" ht="15" hidden="false" customHeight="false" outlineLevel="0" collapsed="false">
      <c r="A2836" s="5" t="n">
        <v>5</v>
      </c>
      <c r="B2836" s="5" t="n">
        <v>2</v>
      </c>
      <c r="C2836" s="5" t="s">
        <v>128</v>
      </c>
      <c r="D2836" s="5" t="s">
        <v>1405</v>
      </c>
      <c r="E2836" s="5" t="n">
        <v>1</v>
      </c>
      <c r="F2836" s="6" t="n">
        <f aca="false">IFERROR(MATCH(A2836&amp;"|"&amp;B2836&amp;"|"&amp;D2836,'All Song Rankings'!$T:$T,0),0)</f>
        <v>444</v>
      </c>
      <c r="G2836" s="6" t="str">
        <f aca="false">IF(F2836=0,"NOT FOUND",INDEX('All Song Rankings'!$A:$A,F2836))</f>
        <v>Eye of the Tiger</v>
      </c>
      <c r="H2836" s="6" t="str">
        <f aca="false">IF(F2836=0,"NOT FOUND",INDEX('All Song Rankings'!$B:$B,F2836))</f>
        <v>Survivor</v>
      </c>
      <c r="I2836" s="6" t="str">
        <f aca="false">IF(F2836=0,"NOT FOUND",INDEX('All Song Rankings'!$D:$D,F2836))</f>
        <v>Lisa</v>
      </c>
      <c r="J2836" s="7" t="str">
        <f aca="false">IF(F2836=0,"NOT FOUND",IF(C2836=I2836,"SELF-VOTE",IF(COUNTIF($K:$K,K2836)&gt;1,"DUPLICATE","OK")))</f>
        <v>OK</v>
      </c>
      <c r="K2836" s="6" t="str">
        <f aca="false">A2836&amp;"|"&amp;B2836&amp;"|"&amp;C2836&amp;"|"&amp;D2836</f>
        <v>5|2|Logan|spotify:track:2KH16WveTQWT6KOG9Rg6e2</v>
      </c>
    </row>
    <row r="2837" customFormat="false" ht="15" hidden="false" customHeight="false" outlineLevel="0" collapsed="false">
      <c r="A2837" s="5" t="n">
        <v>5</v>
      </c>
      <c r="B2837" s="5" t="n">
        <v>2</v>
      </c>
      <c r="C2837" s="5" t="s">
        <v>128</v>
      </c>
      <c r="D2837" s="5" t="s">
        <v>1391</v>
      </c>
      <c r="E2837" s="5" t="n">
        <v>1</v>
      </c>
      <c r="F2837" s="6" t="n">
        <f aca="false">IFERROR(MATCH(A2837&amp;"|"&amp;B2837&amp;"|"&amp;D2837,'All Song Rankings'!$T:$T,0),0)</f>
        <v>439</v>
      </c>
      <c r="G2837" s="6" t="str">
        <f aca="false">IF(F2837=0,"NOT FOUND",INDEX('All Song Rankings'!$A:$A,F2837))</f>
        <v>Here I Am</v>
      </c>
      <c r="H2837" s="6" t="str">
        <f aca="false">IF(F2837=0,"NOT FOUND",INDEX('All Song Rankings'!$B:$B,F2837))</f>
        <v>Bryan Adams</v>
      </c>
      <c r="I2837" s="6" t="str">
        <f aca="false">IF(F2837=0,"NOT FOUND",INDEX('All Song Rankings'!$D:$D,F2837))</f>
        <v>Christine</v>
      </c>
      <c r="J2837" s="7" t="str">
        <f aca="false">IF(F2837=0,"NOT FOUND",IF(C2837=I2837,"SELF-VOTE",IF(COUNTIF($K:$K,K2837)&gt;1,"DUPLICATE","OK")))</f>
        <v>OK</v>
      </c>
      <c r="K2837" s="6" t="str">
        <f aca="false">A2837&amp;"|"&amp;B2837&amp;"|"&amp;C2837&amp;"|"&amp;D2837</f>
        <v>5|2|Logan|spotify:track:2pGH58HmgqdOcZTTO9Po7t</v>
      </c>
    </row>
    <row r="2838" customFormat="false" ht="15" hidden="false" customHeight="false" outlineLevel="0" collapsed="false">
      <c r="A2838" s="5" t="n">
        <v>5</v>
      </c>
      <c r="B2838" s="5" t="n">
        <v>2</v>
      </c>
      <c r="C2838" s="5" t="s">
        <v>128</v>
      </c>
      <c r="D2838" s="5" t="s">
        <v>1397</v>
      </c>
      <c r="E2838" s="5" t="n">
        <v>1</v>
      </c>
      <c r="F2838" s="6" t="n">
        <f aca="false">IFERROR(MATCH(A2838&amp;"|"&amp;B2838&amp;"|"&amp;D2838,'All Song Rankings'!$T:$T,0),0)</f>
        <v>441</v>
      </c>
      <c r="G2838" s="6" t="str">
        <f aca="false">IF(F2838=0,"NOT FOUND",INDEX('All Song Rankings'!$A:$A,F2838))</f>
        <v>Sunflower - Spider-Man: Into the Spider-Verse</v>
      </c>
      <c r="H2838" s="6" t="str">
        <f aca="false">IF(F2838=0,"NOT FOUND",INDEX('All Song Rankings'!$B:$B,F2838))</f>
        <v>Post Malone, Swae Lee</v>
      </c>
      <c r="I2838" s="6" t="str">
        <f aca="false">IF(F2838=0,"NOT FOUND",INDEX('All Song Rankings'!$D:$D,F2838))</f>
        <v>Nicole</v>
      </c>
      <c r="J2838" s="7" t="str">
        <f aca="false">IF(F2838=0,"NOT FOUND",IF(C2838=I2838,"SELF-VOTE",IF(COUNTIF($K:$K,K2838)&gt;1,"DUPLICATE","OK")))</f>
        <v>OK</v>
      </c>
      <c r="K2838" s="6" t="str">
        <f aca="false">A2838&amp;"|"&amp;B2838&amp;"|"&amp;C2838&amp;"|"&amp;D2838</f>
        <v>5|2|Logan|spotify:track:3KkXRkHbMCARz0aVfEt68P</v>
      </c>
    </row>
    <row r="2839" customFormat="false" ht="15" hidden="false" customHeight="false" outlineLevel="0" collapsed="false">
      <c r="A2839" s="5" t="n">
        <v>5</v>
      </c>
      <c r="B2839" s="5" t="n">
        <v>2</v>
      </c>
      <c r="C2839" s="5" t="s">
        <v>128</v>
      </c>
      <c r="D2839" s="5" t="s">
        <v>1386</v>
      </c>
      <c r="E2839" s="5" t="n">
        <v>1</v>
      </c>
      <c r="F2839" s="6" t="n">
        <f aca="false">IFERROR(MATCH(A2839&amp;"|"&amp;B2839&amp;"|"&amp;D2839,'All Song Rankings'!$T:$T,0),0)</f>
        <v>437</v>
      </c>
      <c r="G2839" s="6" t="str">
        <f aca="false">IF(F2839=0,"NOT FOUND",INDEX('All Song Rankings'!$A:$A,F2839))</f>
        <v>Danger Zone - From "Top Gun" Original Soundtrack</v>
      </c>
      <c r="H2839" s="6" t="str">
        <f aca="false">IF(F2839=0,"NOT FOUND",INDEX('All Song Rankings'!$B:$B,F2839))</f>
        <v>Kenny Loggins</v>
      </c>
      <c r="I2839" s="6" t="str">
        <f aca="false">IF(F2839=0,"NOT FOUND",INDEX('All Song Rankings'!$D:$D,F2839))</f>
        <v>Kelsey</v>
      </c>
      <c r="J2839" s="7" t="str">
        <f aca="false">IF(F2839=0,"NOT FOUND",IF(C2839=I2839,"SELF-VOTE",IF(COUNTIF($K:$K,K2839)&gt;1,"DUPLICATE","OK")))</f>
        <v>OK</v>
      </c>
      <c r="K2839" s="6" t="str">
        <f aca="false">A2839&amp;"|"&amp;B2839&amp;"|"&amp;C2839&amp;"|"&amp;D2839</f>
        <v>5|2|Logan|spotify:track:3hMHG6lx9QHVcfYSUr5PoM</v>
      </c>
    </row>
    <row r="2840" customFormat="false" ht="15" hidden="false" customHeight="false" outlineLevel="0" collapsed="false">
      <c r="A2840" s="5" t="n">
        <v>5</v>
      </c>
      <c r="B2840" s="5" t="n">
        <v>2</v>
      </c>
      <c r="C2840" s="5" t="s">
        <v>128</v>
      </c>
      <c r="D2840" s="5" t="s">
        <v>1389</v>
      </c>
      <c r="E2840" s="5" t="n">
        <v>1</v>
      </c>
      <c r="F2840" s="6" t="n">
        <f aca="false">IFERROR(MATCH(A2840&amp;"|"&amp;B2840&amp;"|"&amp;D2840,'All Song Rankings'!$T:$T,0),0)</f>
        <v>438</v>
      </c>
      <c r="G2840" s="6" t="str">
        <f aca="false">IF(F2840=0,"NOT FOUND",INDEX('All Song Rankings'!$A:$A,F2840))</f>
        <v>Accidentally in Love</v>
      </c>
      <c r="H2840" s="6" t="str">
        <f aca="false">IF(F2840=0,"NOT FOUND",INDEX('All Song Rankings'!$B:$B,F2840))</f>
        <v>Counting Crows</v>
      </c>
      <c r="I2840" s="6" t="str">
        <f aca="false">IF(F2840=0,"NOT FOUND",INDEX('All Song Rankings'!$D:$D,F2840))</f>
        <v>Stephanie</v>
      </c>
      <c r="J2840" s="7" t="str">
        <f aca="false">IF(F2840=0,"NOT FOUND",IF(C2840=I2840,"SELF-VOTE",IF(COUNTIF($K:$K,K2840)&gt;1,"DUPLICATE","OK")))</f>
        <v>OK</v>
      </c>
      <c r="K2840" s="6" t="str">
        <f aca="false">A2840&amp;"|"&amp;B2840&amp;"|"&amp;C2840&amp;"|"&amp;D2840</f>
        <v>5|2|Logan|spotify:track:4ccM2xBxicGigjLqt6A0YY</v>
      </c>
    </row>
    <row r="2841" customFormat="false" ht="15" hidden="false" customHeight="false" outlineLevel="0" collapsed="false">
      <c r="A2841" s="5" t="n">
        <v>5</v>
      </c>
      <c r="B2841" s="5" t="n">
        <v>2</v>
      </c>
      <c r="C2841" s="5" t="s">
        <v>128</v>
      </c>
      <c r="D2841" s="5" t="s">
        <v>1383</v>
      </c>
      <c r="E2841" s="5" t="n">
        <v>1</v>
      </c>
      <c r="F2841" s="6" t="n">
        <f aca="false">IFERROR(MATCH(A2841&amp;"|"&amp;B2841&amp;"|"&amp;D2841,'All Song Rankings'!$T:$T,0),0)</f>
        <v>436</v>
      </c>
      <c r="G2841" s="6" t="str">
        <f aca="false">IF(F2841=0,"NOT FOUND",INDEX('All Song Rankings'!$A:$A,F2841))</f>
        <v>Skyfall</v>
      </c>
      <c r="H2841" s="6" t="str">
        <f aca="false">IF(F2841=0,"NOT FOUND",INDEX('All Song Rankings'!$B:$B,F2841))</f>
        <v>Adele</v>
      </c>
      <c r="I2841" s="6" t="str">
        <f aca="false">IF(F2841=0,"NOT FOUND",INDEX('All Song Rankings'!$D:$D,F2841))</f>
        <v>Leah</v>
      </c>
      <c r="J2841" s="7" t="str">
        <f aca="false">IF(F2841=0,"NOT FOUND",IF(C2841=I2841,"SELF-VOTE",IF(COUNTIF($K:$K,K2841)&gt;1,"DUPLICATE","OK")))</f>
        <v>OK</v>
      </c>
      <c r="K2841" s="6" t="str">
        <f aca="false">A2841&amp;"|"&amp;B2841&amp;"|"&amp;C2841&amp;"|"&amp;D2841</f>
        <v>5|2|Logan|spotify:track:6VObnIkLVruX4UVyxWhlqm</v>
      </c>
    </row>
    <row r="2842" customFormat="false" ht="15" hidden="false" customHeight="false" outlineLevel="0" collapsed="false">
      <c r="A2842" s="5" t="n">
        <v>5</v>
      </c>
      <c r="B2842" s="5" t="n">
        <v>2</v>
      </c>
      <c r="C2842" s="5" t="s">
        <v>395</v>
      </c>
      <c r="D2842" s="5" t="s">
        <v>1402</v>
      </c>
      <c r="E2842" s="5" t="n">
        <v>1</v>
      </c>
      <c r="F2842" s="6" t="n">
        <f aca="false">IFERROR(MATCH(A2842&amp;"|"&amp;B2842&amp;"|"&amp;D2842,'All Song Rankings'!$T:$T,0),0)</f>
        <v>443</v>
      </c>
      <c r="G2842" s="6" t="str">
        <f aca="false">IF(F2842=0,"NOT FOUND",INDEX('All Song Rankings'!$A:$A,F2842))</f>
        <v>Hold My Hand</v>
      </c>
      <c r="H2842" s="6" t="str">
        <f aca="false">IF(F2842=0,"NOT FOUND",INDEX('All Song Rankings'!$B:$B,F2842))</f>
        <v>Lady Gaga</v>
      </c>
      <c r="I2842" s="6" t="str">
        <f aca="false">IF(F2842=0,"NOT FOUND",INDEX('All Song Rankings'!$D:$D,F2842))</f>
        <v>Aubrey</v>
      </c>
      <c r="J2842" s="7" t="str">
        <f aca="false">IF(F2842=0,"NOT FOUND",IF(C2842=I2842,"SELF-VOTE",IF(COUNTIF($K:$K,K2842)&gt;1,"DUPLICATE","OK")))</f>
        <v>OK</v>
      </c>
      <c r="K2842" s="6" t="str">
        <f aca="false">A2842&amp;"|"&amp;B2842&amp;"|"&amp;C2842&amp;"|"&amp;D2842</f>
        <v>5|2|Makenzie|spotify:track:1c2hJSwcCfoPEw1su83Sw0</v>
      </c>
    </row>
    <row r="2843" customFormat="false" ht="15" hidden="false" customHeight="false" outlineLevel="0" collapsed="false">
      <c r="A2843" s="5" t="n">
        <v>5</v>
      </c>
      <c r="B2843" s="5" t="n">
        <v>2</v>
      </c>
      <c r="C2843" s="5" t="s">
        <v>395</v>
      </c>
      <c r="D2843" s="5" t="s">
        <v>1405</v>
      </c>
      <c r="E2843" s="5" t="n">
        <v>1</v>
      </c>
      <c r="F2843" s="6" t="n">
        <f aca="false">IFERROR(MATCH(A2843&amp;"|"&amp;B2843&amp;"|"&amp;D2843,'All Song Rankings'!$T:$T,0),0)</f>
        <v>444</v>
      </c>
      <c r="G2843" s="6" t="str">
        <f aca="false">IF(F2843=0,"NOT FOUND",INDEX('All Song Rankings'!$A:$A,F2843))</f>
        <v>Eye of the Tiger</v>
      </c>
      <c r="H2843" s="6" t="str">
        <f aca="false">IF(F2843=0,"NOT FOUND",INDEX('All Song Rankings'!$B:$B,F2843))</f>
        <v>Survivor</v>
      </c>
      <c r="I2843" s="6" t="str">
        <f aca="false">IF(F2843=0,"NOT FOUND",INDEX('All Song Rankings'!$D:$D,F2843))</f>
        <v>Lisa</v>
      </c>
      <c r="J2843" s="7" t="str">
        <f aca="false">IF(F2843=0,"NOT FOUND",IF(C2843=I2843,"SELF-VOTE",IF(COUNTIF($K:$K,K2843)&gt;1,"DUPLICATE","OK")))</f>
        <v>OK</v>
      </c>
      <c r="K2843" s="6" t="str">
        <f aca="false">A2843&amp;"|"&amp;B2843&amp;"|"&amp;C2843&amp;"|"&amp;D2843</f>
        <v>5|2|Makenzie|spotify:track:2KH16WveTQWT6KOG9Rg6e2</v>
      </c>
    </row>
    <row r="2844" customFormat="false" ht="15" hidden="false" customHeight="false" outlineLevel="0" collapsed="false">
      <c r="A2844" s="5" t="n">
        <v>5</v>
      </c>
      <c r="B2844" s="5" t="n">
        <v>2</v>
      </c>
      <c r="C2844" s="5" t="s">
        <v>395</v>
      </c>
      <c r="D2844" s="5" t="s">
        <v>1391</v>
      </c>
      <c r="E2844" s="5" t="n">
        <v>2</v>
      </c>
      <c r="F2844" s="6" t="n">
        <f aca="false">IFERROR(MATCH(A2844&amp;"|"&amp;B2844&amp;"|"&amp;D2844,'All Song Rankings'!$T:$T,0),0)</f>
        <v>439</v>
      </c>
      <c r="G2844" s="6" t="str">
        <f aca="false">IF(F2844=0,"NOT FOUND",INDEX('All Song Rankings'!$A:$A,F2844))</f>
        <v>Here I Am</v>
      </c>
      <c r="H2844" s="6" t="str">
        <f aca="false">IF(F2844=0,"NOT FOUND",INDEX('All Song Rankings'!$B:$B,F2844))</f>
        <v>Bryan Adams</v>
      </c>
      <c r="I2844" s="6" t="str">
        <f aca="false">IF(F2844=0,"NOT FOUND",INDEX('All Song Rankings'!$D:$D,F2844))</f>
        <v>Christine</v>
      </c>
      <c r="J2844" s="7" t="str">
        <f aca="false">IF(F2844=0,"NOT FOUND",IF(C2844=I2844,"SELF-VOTE",IF(COUNTIF($K:$K,K2844)&gt;1,"DUPLICATE","OK")))</f>
        <v>OK</v>
      </c>
      <c r="K2844" s="6" t="str">
        <f aca="false">A2844&amp;"|"&amp;B2844&amp;"|"&amp;C2844&amp;"|"&amp;D2844</f>
        <v>5|2|Makenzie|spotify:track:2pGH58HmgqdOcZTTO9Po7t</v>
      </c>
    </row>
    <row r="2845" customFormat="false" ht="15" hidden="false" customHeight="false" outlineLevel="0" collapsed="false">
      <c r="A2845" s="5" t="n">
        <v>5</v>
      </c>
      <c r="B2845" s="5" t="n">
        <v>2</v>
      </c>
      <c r="C2845" s="5" t="s">
        <v>395</v>
      </c>
      <c r="D2845" s="5" t="s">
        <v>1397</v>
      </c>
      <c r="E2845" s="5" t="n">
        <v>1</v>
      </c>
      <c r="F2845" s="6" t="n">
        <f aca="false">IFERROR(MATCH(A2845&amp;"|"&amp;B2845&amp;"|"&amp;D2845,'All Song Rankings'!$T:$T,0),0)</f>
        <v>441</v>
      </c>
      <c r="G2845" s="6" t="str">
        <f aca="false">IF(F2845=0,"NOT FOUND",INDEX('All Song Rankings'!$A:$A,F2845))</f>
        <v>Sunflower - Spider-Man: Into the Spider-Verse</v>
      </c>
      <c r="H2845" s="6" t="str">
        <f aca="false">IF(F2845=0,"NOT FOUND",INDEX('All Song Rankings'!$B:$B,F2845))</f>
        <v>Post Malone, Swae Lee</v>
      </c>
      <c r="I2845" s="6" t="str">
        <f aca="false">IF(F2845=0,"NOT FOUND",INDEX('All Song Rankings'!$D:$D,F2845))</f>
        <v>Nicole</v>
      </c>
      <c r="J2845" s="7" t="str">
        <f aca="false">IF(F2845=0,"NOT FOUND",IF(C2845=I2845,"SELF-VOTE",IF(COUNTIF($K:$K,K2845)&gt;1,"DUPLICATE","OK")))</f>
        <v>OK</v>
      </c>
      <c r="K2845" s="6" t="str">
        <f aca="false">A2845&amp;"|"&amp;B2845&amp;"|"&amp;C2845&amp;"|"&amp;D2845</f>
        <v>5|2|Makenzie|spotify:track:3KkXRkHbMCARz0aVfEt68P</v>
      </c>
    </row>
    <row r="2846" customFormat="false" ht="15" hidden="false" customHeight="false" outlineLevel="0" collapsed="false">
      <c r="A2846" s="5" t="n">
        <v>5</v>
      </c>
      <c r="B2846" s="5" t="n">
        <v>2</v>
      </c>
      <c r="C2846" s="5" t="s">
        <v>395</v>
      </c>
      <c r="D2846" s="5" t="s">
        <v>1386</v>
      </c>
      <c r="E2846" s="5" t="n">
        <v>2</v>
      </c>
      <c r="F2846" s="6" t="n">
        <f aca="false">IFERROR(MATCH(A2846&amp;"|"&amp;B2846&amp;"|"&amp;D2846,'All Song Rankings'!$T:$T,0),0)</f>
        <v>437</v>
      </c>
      <c r="G2846" s="6" t="str">
        <f aca="false">IF(F2846=0,"NOT FOUND",INDEX('All Song Rankings'!$A:$A,F2846))</f>
        <v>Danger Zone - From "Top Gun" Original Soundtrack</v>
      </c>
      <c r="H2846" s="6" t="str">
        <f aca="false">IF(F2846=0,"NOT FOUND",INDEX('All Song Rankings'!$B:$B,F2846))</f>
        <v>Kenny Loggins</v>
      </c>
      <c r="I2846" s="6" t="str">
        <f aca="false">IF(F2846=0,"NOT FOUND",INDEX('All Song Rankings'!$D:$D,F2846))</f>
        <v>Kelsey</v>
      </c>
      <c r="J2846" s="7" t="str">
        <f aca="false">IF(F2846=0,"NOT FOUND",IF(C2846=I2846,"SELF-VOTE",IF(COUNTIF($K:$K,K2846)&gt;1,"DUPLICATE","OK")))</f>
        <v>OK</v>
      </c>
      <c r="K2846" s="6" t="str">
        <f aca="false">A2846&amp;"|"&amp;B2846&amp;"|"&amp;C2846&amp;"|"&amp;D2846</f>
        <v>5|2|Makenzie|spotify:track:3hMHG6lx9QHVcfYSUr5PoM</v>
      </c>
    </row>
    <row r="2847" customFormat="false" ht="15" hidden="false" customHeight="false" outlineLevel="0" collapsed="false">
      <c r="A2847" s="5" t="n">
        <v>5</v>
      </c>
      <c r="B2847" s="5" t="n">
        <v>2</v>
      </c>
      <c r="C2847" s="5" t="s">
        <v>395</v>
      </c>
      <c r="D2847" s="5" t="s">
        <v>1389</v>
      </c>
      <c r="E2847" s="5" t="n">
        <v>1</v>
      </c>
      <c r="F2847" s="6" t="n">
        <f aca="false">IFERROR(MATCH(A2847&amp;"|"&amp;B2847&amp;"|"&amp;D2847,'All Song Rankings'!$T:$T,0),0)</f>
        <v>438</v>
      </c>
      <c r="G2847" s="6" t="str">
        <f aca="false">IF(F2847=0,"NOT FOUND",INDEX('All Song Rankings'!$A:$A,F2847))</f>
        <v>Accidentally in Love</v>
      </c>
      <c r="H2847" s="6" t="str">
        <f aca="false">IF(F2847=0,"NOT FOUND",INDEX('All Song Rankings'!$B:$B,F2847))</f>
        <v>Counting Crows</v>
      </c>
      <c r="I2847" s="6" t="str">
        <f aca="false">IF(F2847=0,"NOT FOUND",INDEX('All Song Rankings'!$D:$D,F2847))</f>
        <v>Stephanie</v>
      </c>
      <c r="J2847" s="7" t="str">
        <f aca="false">IF(F2847=0,"NOT FOUND",IF(C2847=I2847,"SELF-VOTE",IF(COUNTIF($K:$K,K2847)&gt;1,"DUPLICATE","OK")))</f>
        <v>OK</v>
      </c>
      <c r="K2847" s="6" t="str">
        <f aca="false">A2847&amp;"|"&amp;B2847&amp;"|"&amp;C2847&amp;"|"&amp;D2847</f>
        <v>5|2|Makenzie|spotify:track:4ccM2xBxicGigjLqt6A0YY</v>
      </c>
    </row>
    <row r="2848" customFormat="false" ht="15" hidden="false" customHeight="false" outlineLevel="0" collapsed="false">
      <c r="A2848" s="5" t="n">
        <v>5</v>
      </c>
      <c r="B2848" s="5" t="n">
        <v>2</v>
      </c>
      <c r="C2848" s="5" t="s">
        <v>395</v>
      </c>
      <c r="D2848" s="5" t="s">
        <v>1383</v>
      </c>
      <c r="E2848" s="5" t="n">
        <v>1</v>
      </c>
      <c r="F2848" s="6" t="n">
        <f aca="false">IFERROR(MATCH(A2848&amp;"|"&amp;B2848&amp;"|"&amp;D2848,'All Song Rankings'!$T:$T,0),0)</f>
        <v>436</v>
      </c>
      <c r="G2848" s="6" t="str">
        <f aca="false">IF(F2848=0,"NOT FOUND",INDEX('All Song Rankings'!$A:$A,F2848))</f>
        <v>Skyfall</v>
      </c>
      <c r="H2848" s="6" t="str">
        <f aca="false">IF(F2848=0,"NOT FOUND",INDEX('All Song Rankings'!$B:$B,F2848))</f>
        <v>Adele</v>
      </c>
      <c r="I2848" s="6" t="str">
        <f aca="false">IF(F2848=0,"NOT FOUND",INDEX('All Song Rankings'!$D:$D,F2848))</f>
        <v>Leah</v>
      </c>
      <c r="J2848" s="7" t="str">
        <f aca="false">IF(F2848=0,"NOT FOUND",IF(C2848=I2848,"SELF-VOTE",IF(COUNTIF($K:$K,K2848)&gt;1,"DUPLICATE","OK")))</f>
        <v>OK</v>
      </c>
      <c r="K2848" s="6" t="str">
        <f aca="false">A2848&amp;"|"&amp;B2848&amp;"|"&amp;C2848&amp;"|"&amp;D2848</f>
        <v>5|2|Makenzie|spotify:track:6VObnIkLVruX4UVyxWhlqm</v>
      </c>
    </row>
    <row r="2849" customFormat="false" ht="15" hidden="false" customHeight="false" outlineLevel="0" collapsed="false">
      <c r="A2849" s="5" t="n">
        <v>5</v>
      </c>
      <c r="B2849" s="5" t="n">
        <v>2</v>
      </c>
      <c r="C2849" s="5" t="s">
        <v>395</v>
      </c>
      <c r="D2849" s="5" t="s">
        <v>1394</v>
      </c>
      <c r="E2849" s="5" t="n">
        <v>1</v>
      </c>
      <c r="F2849" s="6" t="n">
        <f aca="false">IFERROR(MATCH(A2849&amp;"|"&amp;B2849&amp;"|"&amp;D2849,'All Song Rankings'!$T:$T,0),0)</f>
        <v>440</v>
      </c>
      <c r="G2849" s="6" t="str">
        <f aca="false">IF(F2849=0,"NOT FOUND",INDEX('All Song Rankings'!$A:$A,F2849))</f>
        <v>Don't You (Forget About Me)</v>
      </c>
      <c r="H2849" s="6" t="str">
        <f aca="false">IF(F2849=0,"NOT FOUND",INDEX('All Song Rankings'!$B:$B,F2849))</f>
        <v>Simple Minds</v>
      </c>
      <c r="I2849" s="6" t="str">
        <f aca="false">IF(F2849=0,"NOT FOUND",INDEX('All Song Rankings'!$D:$D,F2849))</f>
        <v>Logan</v>
      </c>
      <c r="J2849" s="7" t="str">
        <f aca="false">IF(F2849=0,"NOT FOUND",IF(C2849=I2849,"SELF-VOTE",IF(COUNTIF($K:$K,K2849)&gt;1,"DUPLICATE","OK")))</f>
        <v>OK</v>
      </c>
      <c r="K2849" s="6" t="str">
        <f aca="false">A2849&amp;"|"&amp;B2849&amp;"|"&amp;C2849&amp;"|"&amp;D2849</f>
        <v>5|2|Makenzie|spotify:track:6yEAAIEHu4GcUFptg5W9kI</v>
      </c>
    </row>
    <row r="2850" customFormat="false" ht="15" hidden="false" customHeight="false" outlineLevel="0" collapsed="false">
      <c r="A2850" s="5" t="n">
        <v>5</v>
      </c>
      <c r="B2850" s="5" t="n">
        <v>2</v>
      </c>
      <c r="C2850" s="5" t="s">
        <v>116</v>
      </c>
      <c r="D2850" s="5" t="s">
        <v>1400</v>
      </c>
      <c r="E2850" s="5" t="n">
        <v>1</v>
      </c>
      <c r="F2850" s="6" t="n">
        <f aca="false">IFERROR(MATCH(A2850&amp;"|"&amp;B2850&amp;"|"&amp;D2850,'All Song Rankings'!$T:$T,0),0)</f>
        <v>442</v>
      </c>
      <c r="G2850" s="6" t="str">
        <f aca="false">IF(F2850=0,"NOT FOUND",INDEX('All Song Rankings'!$A:$A,F2850))</f>
        <v>Gangsta's Paradise</v>
      </c>
      <c r="H2850" s="6" t="str">
        <f aca="false">IF(F2850=0,"NOT FOUND",INDEX('All Song Rankings'!$B:$B,F2850))</f>
        <v>Coolio, L.V.</v>
      </c>
      <c r="I2850" s="6" t="str">
        <f aca="false">IF(F2850=0,"NOT FOUND",INDEX('All Song Rankings'!$D:$D,F2850))</f>
        <v>Grace</v>
      </c>
      <c r="J2850" s="7" t="str">
        <f aca="false">IF(F2850=0,"NOT FOUND",IF(C2850=I2850,"SELF-VOTE",IF(COUNTIF($K:$K,K2850)&gt;1,"DUPLICATE","OK")))</f>
        <v>OK</v>
      </c>
      <c r="K2850" s="6" t="str">
        <f aca="false">A2850&amp;"|"&amp;B2850&amp;"|"&amp;C2850&amp;"|"&amp;D2850</f>
        <v>5|2|Matt|spotify:track:1DIXPcTDzTj8ZMHt3PDt8p</v>
      </c>
    </row>
    <row r="2851" customFormat="false" ht="15" hidden="false" customHeight="false" outlineLevel="0" collapsed="false">
      <c r="A2851" s="5" t="n">
        <v>5</v>
      </c>
      <c r="B2851" s="5" t="n">
        <v>2</v>
      </c>
      <c r="C2851" s="5" t="s">
        <v>116</v>
      </c>
      <c r="D2851" s="5" t="s">
        <v>1405</v>
      </c>
      <c r="E2851" s="5" t="n">
        <v>1</v>
      </c>
      <c r="F2851" s="6" t="n">
        <f aca="false">IFERROR(MATCH(A2851&amp;"|"&amp;B2851&amp;"|"&amp;D2851,'All Song Rankings'!$T:$T,0),0)</f>
        <v>444</v>
      </c>
      <c r="G2851" s="6" t="str">
        <f aca="false">IF(F2851=0,"NOT FOUND",INDEX('All Song Rankings'!$A:$A,F2851))</f>
        <v>Eye of the Tiger</v>
      </c>
      <c r="H2851" s="6" t="str">
        <f aca="false">IF(F2851=0,"NOT FOUND",INDEX('All Song Rankings'!$B:$B,F2851))</f>
        <v>Survivor</v>
      </c>
      <c r="I2851" s="6" t="str">
        <f aca="false">IF(F2851=0,"NOT FOUND",INDEX('All Song Rankings'!$D:$D,F2851))</f>
        <v>Lisa</v>
      </c>
      <c r="J2851" s="7" t="str">
        <f aca="false">IF(F2851=0,"NOT FOUND",IF(C2851=I2851,"SELF-VOTE",IF(COUNTIF($K:$K,K2851)&gt;1,"DUPLICATE","OK")))</f>
        <v>OK</v>
      </c>
      <c r="K2851" s="6" t="str">
        <f aca="false">A2851&amp;"|"&amp;B2851&amp;"|"&amp;C2851&amp;"|"&amp;D2851</f>
        <v>5|2|Matt|spotify:track:2KH16WveTQWT6KOG9Rg6e2</v>
      </c>
    </row>
    <row r="2852" customFormat="false" ht="15" hidden="false" customHeight="false" outlineLevel="0" collapsed="false">
      <c r="A2852" s="5" t="n">
        <v>5</v>
      </c>
      <c r="B2852" s="5" t="n">
        <v>2</v>
      </c>
      <c r="C2852" s="5" t="s">
        <v>116</v>
      </c>
      <c r="D2852" s="5" t="s">
        <v>1391</v>
      </c>
      <c r="E2852" s="5" t="n">
        <v>1</v>
      </c>
      <c r="F2852" s="6" t="n">
        <f aca="false">IFERROR(MATCH(A2852&amp;"|"&amp;B2852&amp;"|"&amp;D2852,'All Song Rankings'!$T:$T,0),0)</f>
        <v>439</v>
      </c>
      <c r="G2852" s="6" t="str">
        <f aca="false">IF(F2852=0,"NOT FOUND",INDEX('All Song Rankings'!$A:$A,F2852))</f>
        <v>Here I Am</v>
      </c>
      <c r="H2852" s="6" t="str">
        <f aca="false">IF(F2852=0,"NOT FOUND",INDEX('All Song Rankings'!$B:$B,F2852))</f>
        <v>Bryan Adams</v>
      </c>
      <c r="I2852" s="6" t="str">
        <f aca="false">IF(F2852=0,"NOT FOUND",INDEX('All Song Rankings'!$D:$D,F2852))</f>
        <v>Christine</v>
      </c>
      <c r="J2852" s="7" t="str">
        <f aca="false">IF(F2852=0,"NOT FOUND",IF(C2852=I2852,"SELF-VOTE",IF(COUNTIF($K:$K,K2852)&gt;1,"DUPLICATE","OK")))</f>
        <v>OK</v>
      </c>
      <c r="K2852" s="6" t="str">
        <f aca="false">A2852&amp;"|"&amp;B2852&amp;"|"&amp;C2852&amp;"|"&amp;D2852</f>
        <v>5|2|Matt|spotify:track:2pGH58HmgqdOcZTTO9Po7t</v>
      </c>
    </row>
    <row r="2853" customFormat="false" ht="15" hidden="false" customHeight="false" outlineLevel="0" collapsed="false">
      <c r="A2853" s="5" t="n">
        <v>5</v>
      </c>
      <c r="B2853" s="5" t="n">
        <v>2</v>
      </c>
      <c r="C2853" s="5" t="s">
        <v>116</v>
      </c>
      <c r="D2853" s="5" t="s">
        <v>1397</v>
      </c>
      <c r="E2853" s="5" t="n">
        <v>2</v>
      </c>
      <c r="F2853" s="6" t="n">
        <f aca="false">IFERROR(MATCH(A2853&amp;"|"&amp;B2853&amp;"|"&amp;D2853,'All Song Rankings'!$T:$T,0),0)</f>
        <v>441</v>
      </c>
      <c r="G2853" s="6" t="str">
        <f aca="false">IF(F2853=0,"NOT FOUND",INDEX('All Song Rankings'!$A:$A,F2853))</f>
        <v>Sunflower - Spider-Man: Into the Spider-Verse</v>
      </c>
      <c r="H2853" s="6" t="str">
        <f aca="false">IF(F2853=0,"NOT FOUND",INDEX('All Song Rankings'!$B:$B,F2853))</f>
        <v>Post Malone, Swae Lee</v>
      </c>
      <c r="I2853" s="6" t="str">
        <f aca="false">IF(F2853=0,"NOT FOUND",INDEX('All Song Rankings'!$D:$D,F2853))</f>
        <v>Nicole</v>
      </c>
      <c r="J2853" s="7" t="str">
        <f aca="false">IF(F2853=0,"NOT FOUND",IF(C2853=I2853,"SELF-VOTE",IF(COUNTIF($K:$K,K2853)&gt;1,"DUPLICATE","OK")))</f>
        <v>OK</v>
      </c>
      <c r="K2853" s="6" t="str">
        <f aca="false">A2853&amp;"|"&amp;B2853&amp;"|"&amp;C2853&amp;"|"&amp;D2853</f>
        <v>5|2|Matt|spotify:track:3KkXRkHbMCARz0aVfEt68P</v>
      </c>
    </row>
    <row r="2854" customFormat="false" ht="15" hidden="false" customHeight="false" outlineLevel="0" collapsed="false">
      <c r="A2854" s="5" t="n">
        <v>5</v>
      </c>
      <c r="B2854" s="5" t="n">
        <v>2</v>
      </c>
      <c r="C2854" s="5" t="s">
        <v>116</v>
      </c>
      <c r="D2854" s="5" t="s">
        <v>1386</v>
      </c>
      <c r="E2854" s="5" t="n">
        <v>1</v>
      </c>
      <c r="F2854" s="6" t="n">
        <f aca="false">IFERROR(MATCH(A2854&amp;"|"&amp;B2854&amp;"|"&amp;D2854,'All Song Rankings'!$T:$T,0),0)</f>
        <v>437</v>
      </c>
      <c r="G2854" s="6" t="str">
        <f aca="false">IF(F2854=0,"NOT FOUND",INDEX('All Song Rankings'!$A:$A,F2854))</f>
        <v>Danger Zone - From "Top Gun" Original Soundtrack</v>
      </c>
      <c r="H2854" s="6" t="str">
        <f aca="false">IF(F2854=0,"NOT FOUND",INDEX('All Song Rankings'!$B:$B,F2854))</f>
        <v>Kenny Loggins</v>
      </c>
      <c r="I2854" s="6" t="str">
        <f aca="false">IF(F2854=0,"NOT FOUND",INDEX('All Song Rankings'!$D:$D,F2854))</f>
        <v>Kelsey</v>
      </c>
      <c r="J2854" s="7" t="str">
        <f aca="false">IF(F2854=0,"NOT FOUND",IF(C2854=I2854,"SELF-VOTE",IF(COUNTIF($K:$K,K2854)&gt;1,"DUPLICATE","OK")))</f>
        <v>OK</v>
      </c>
      <c r="K2854" s="6" t="str">
        <f aca="false">A2854&amp;"|"&amp;B2854&amp;"|"&amp;C2854&amp;"|"&amp;D2854</f>
        <v>5|2|Matt|spotify:track:3hMHG6lx9QHVcfYSUr5PoM</v>
      </c>
    </row>
    <row r="2855" customFormat="false" ht="15" hidden="false" customHeight="false" outlineLevel="0" collapsed="false">
      <c r="A2855" s="5" t="n">
        <v>5</v>
      </c>
      <c r="B2855" s="5" t="n">
        <v>2</v>
      </c>
      <c r="C2855" s="5" t="s">
        <v>116</v>
      </c>
      <c r="D2855" s="5" t="s">
        <v>1410</v>
      </c>
      <c r="E2855" s="5" t="n">
        <v>1</v>
      </c>
      <c r="F2855" s="6" t="n">
        <f aca="false">IFERROR(MATCH(A2855&amp;"|"&amp;B2855&amp;"|"&amp;D2855,'All Song Rankings'!$T:$T,0),0)</f>
        <v>446</v>
      </c>
      <c r="G2855" s="6" t="str">
        <f aca="false">IF(F2855=0,"NOT FOUND",INDEX('All Song Rankings'!$A:$A,F2855))</f>
        <v>I Ain't Worried</v>
      </c>
      <c r="H2855" s="6" t="str">
        <f aca="false">IF(F2855=0,"NOT FOUND",INDEX('All Song Rankings'!$B:$B,F2855))</f>
        <v>OneRepublic</v>
      </c>
      <c r="I2855" s="6" t="str">
        <f aca="false">IF(F2855=0,"NOT FOUND",INDEX('All Song Rankings'!$D:$D,F2855))</f>
        <v>Makenzie</v>
      </c>
      <c r="J2855" s="7" t="str">
        <f aca="false">IF(F2855=0,"NOT FOUND",IF(C2855=I2855,"SELF-VOTE",IF(COUNTIF($K:$K,K2855)&gt;1,"DUPLICATE","OK")))</f>
        <v>OK</v>
      </c>
      <c r="K2855" s="6" t="str">
        <f aca="false">A2855&amp;"|"&amp;B2855&amp;"|"&amp;C2855&amp;"|"&amp;D2855</f>
        <v>5|2|Matt|spotify:track:4h9wh7iOZ0GGn8QVp4RAOB</v>
      </c>
    </row>
    <row r="2856" customFormat="false" ht="15" hidden="false" customHeight="false" outlineLevel="0" collapsed="false">
      <c r="A2856" s="5" t="n">
        <v>5</v>
      </c>
      <c r="B2856" s="5" t="n">
        <v>2</v>
      </c>
      <c r="C2856" s="5" t="s">
        <v>116</v>
      </c>
      <c r="D2856" s="5" t="s">
        <v>1383</v>
      </c>
      <c r="E2856" s="5" t="n">
        <v>3</v>
      </c>
      <c r="F2856" s="6" t="n">
        <f aca="false">IFERROR(MATCH(A2856&amp;"|"&amp;B2856&amp;"|"&amp;D2856,'All Song Rankings'!$T:$T,0),0)</f>
        <v>436</v>
      </c>
      <c r="G2856" s="6" t="str">
        <f aca="false">IF(F2856=0,"NOT FOUND",INDEX('All Song Rankings'!$A:$A,F2856))</f>
        <v>Skyfall</v>
      </c>
      <c r="H2856" s="6" t="str">
        <f aca="false">IF(F2856=0,"NOT FOUND",INDEX('All Song Rankings'!$B:$B,F2856))</f>
        <v>Adele</v>
      </c>
      <c r="I2856" s="6" t="str">
        <f aca="false">IF(F2856=0,"NOT FOUND",INDEX('All Song Rankings'!$D:$D,F2856))</f>
        <v>Leah</v>
      </c>
      <c r="J2856" s="7" t="str">
        <f aca="false">IF(F2856=0,"NOT FOUND",IF(C2856=I2856,"SELF-VOTE",IF(COUNTIF($K:$K,K2856)&gt;1,"DUPLICATE","OK")))</f>
        <v>OK</v>
      </c>
      <c r="K2856" s="6" t="str">
        <f aca="false">A2856&amp;"|"&amp;B2856&amp;"|"&amp;C2856&amp;"|"&amp;D2856</f>
        <v>5|2|Matt|spotify:track:6VObnIkLVruX4UVyxWhlqm</v>
      </c>
    </row>
    <row r="2857" customFormat="false" ht="15" hidden="false" customHeight="false" outlineLevel="0" collapsed="false">
      <c r="A2857" s="5" t="n">
        <v>5</v>
      </c>
      <c r="B2857" s="5" t="n">
        <v>2</v>
      </c>
      <c r="C2857" s="5" t="s">
        <v>101</v>
      </c>
      <c r="D2857" s="5" t="s">
        <v>1405</v>
      </c>
      <c r="E2857" s="5" t="n">
        <v>1</v>
      </c>
      <c r="F2857" s="6" t="n">
        <f aca="false">IFERROR(MATCH(A2857&amp;"|"&amp;B2857&amp;"|"&amp;D2857,'All Song Rankings'!$T:$T,0),0)</f>
        <v>444</v>
      </c>
      <c r="G2857" s="6" t="str">
        <f aca="false">IF(F2857=0,"NOT FOUND",INDEX('All Song Rankings'!$A:$A,F2857))</f>
        <v>Eye of the Tiger</v>
      </c>
      <c r="H2857" s="6" t="str">
        <f aca="false">IF(F2857=0,"NOT FOUND",INDEX('All Song Rankings'!$B:$B,F2857))</f>
        <v>Survivor</v>
      </c>
      <c r="I2857" s="6" t="str">
        <f aca="false">IF(F2857=0,"NOT FOUND",INDEX('All Song Rankings'!$D:$D,F2857))</f>
        <v>Lisa</v>
      </c>
      <c r="J2857" s="7" t="str">
        <f aca="false">IF(F2857=0,"NOT FOUND",IF(C2857=I2857,"SELF-VOTE",IF(COUNTIF($K:$K,K2857)&gt;1,"DUPLICATE","OK")))</f>
        <v>OK</v>
      </c>
      <c r="K2857" s="6" t="str">
        <f aca="false">A2857&amp;"|"&amp;B2857&amp;"|"&amp;C2857&amp;"|"&amp;D2857</f>
        <v>5|2|Merita|spotify:track:2KH16WveTQWT6KOG9Rg6e2</v>
      </c>
    </row>
    <row r="2858" customFormat="false" ht="15" hidden="false" customHeight="false" outlineLevel="0" collapsed="false">
      <c r="A2858" s="5" t="n">
        <v>5</v>
      </c>
      <c r="B2858" s="5" t="n">
        <v>2</v>
      </c>
      <c r="C2858" s="5" t="s">
        <v>101</v>
      </c>
      <c r="D2858" s="5" t="s">
        <v>1391</v>
      </c>
      <c r="E2858" s="5" t="n">
        <v>1</v>
      </c>
      <c r="F2858" s="6" t="n">
        <f aca="false">IFERROR(MATCH(A2858&amp;"|"&amp;B2858&amp;"|"&amp;D2858,'All Song Rankings'!$T:$T,0),0)</f>
        <v>439</v>
      </c>
      <c r="G2858" s="6" t="str">
        <f aca="false">IF(F2858=0,"NOT FOUND",INDEX('All Song Rankings'!$A:$A,F2858))</f>
        <v>Here I Am</v>
      </c>
      <c r="H2858" s="6" t="str">
        <f aca="false">IF(F2858=0,"NOT FOUND",INDEX('All Song Rankings'!$B:$B,F2858))</f>
        <v>Bryan Adams</v>
      </c>
      <c r="I2858" s="6" t="str">
        <f aca="false">IF(F2858=0,"NOT FOUND",INDEX('All Song Rankings'!$D:$D,F2858))</f>
        <v>Christine</v>
      </c>
      <c r="J2858" s="7" t="str">
        <f aca="false">IF(F2858=0,"NOT FOUND",IF(C2858=I2858,"SELF-VOTE",IF(COUNTIF($K:$K,K2858)&gt;1,"DUPLICATE","OK")))</f>
        <v>OK</v>
      </c>
      <c r="K2858" s="6" t="str">
        <f aca="false">A2858&amp;"|"&amp;B2858&amp;"|"&amp;C2858&amp;"|"&amp;D2858</f>
        <v>5|2|Merita|spotify:track:2pGH58HmgqdOcZTTO9Po7t</v>
      </c>
    </row>
    <row r="2859" customFormat="false" ht="15" hidden="false" customHeight="false" outlineLevel="0" collapsed="false">
      <c r="A2859" s="5" t="n">
        <v>5</v>
      </c>
      <c r="B2859" s="5" t="n">
        <v>2</v>
      </c>
      <c r="C2859" s="5" t="s">
        <v>101</v>
      </c>
      <c r="D2859" s="5" t="s">
        <v>1397</v>
      </c>
      <c r="E2859" s="5" t="n">
        <v>2</v>
      </c>
      <c r="F2859" s="6" t="n">
        <f aca="false">IFERROR(MATCH(A2859&amp;"|"&amp;B2859&amp;"|"&amp;D2859,'All Song Rankings'!$T:$T,0),0)</f>
        <v>441</v>
      </c>
      <c r="G2859" s="6" t="str">
        <f aca="false">IF(F2859=0,"NOT FOUND",INDEX('All Song Rankings'!$A:$A,F2859))</f>
        <v>Sunflower - Spider-Man: Into the Spider-Verse</v>
      </c>
      <c r="H2859" s="6" t="str">
        <f aca="false">IF(F2859=0,"NOT FOUND",INDEX('All Song Rankings'!$B:$B,F2859))</f>
        <v>Post Malone, Swae Lee</v>
      </c>
      <c r="I2859" s="6" t="str">
        <f aca="false">IF(F2859=0,"NOT FOUND",INDEX('All Song Rankings'!$D:$D,F2859))</f>
        <v>Nicole</v>
      </c>
      <c r="J2859" s="7" t="str">
        <f aca="false">IF(F2859=0,"NOT FOUND",IF(C2859=I2859,"SELF-VOTE",IF(COUNTIF($K:$K,K2859)&gt;1,"DUPLICATE","OK")))</f>
        <v>OK</v>
      </c>
      <c r="K2859" s="6" t="str">
        <f aca="false">A2859&amp;"|"&amp;B2859&amp;"|"&amp;C2859&amp;"|"&amp;D2859</f>
        <v>5|2|Merita|spotify:track:3KkXRkHbMCARz0aVfEt68P</v>
      </c>
    </row>
    <row r="2860" customFormat="false" ht="15" hidden="false" customHeight="false" outlineLevel="0" collapsed="false">
      <c r="A2860" s="5" t="n">
        <v>5</v>
      </c>
      <c r="B2860" s="5" t="n">
        <v>2</v>
      </c>
      <c r="C2860" s="5" t="s">
        <v>101</v>
      </c>
      <c r="D2860" s="5" t="s">
        <v>1386</v>
      </c>
      <c r="E2860" s="5" t="n">
        <v>1</v>
      </c>
      <c r="F2860" s="6" t="n">
        <f aca="false">IFERROR(MATCH(A2860&amp;"|"&amp;B2860&amp;"|"&amp;D2860,'All Song Rankings'!$T:$T,0),0)</f>
        <v>437</v>
      </c>
      <c r="G2860" s="6" t="str">
        <f aca="false">IF(F2860=0,"NOT FOUND",INDEX('All Song Rankings'!$A:$A,F2860))</f>
        <v>Danger Zone - From "Top Gun" Original Soundtrack</v>
      </c>
      <c r="H2860" s="6" t="str">
        <f aca="false">IF(F2860=0,"NOT FOUND",INDEX('All Song Rankings'!$B:$B,F2860))</f>
        <v>Kenny Loggins</v>
      </c>
      <c r="I2860" s="6" t="str">
        <f aca="false">IF(F2860=0,"NOT FOUND",INDEX('All Song Rankings'!$D:$D,F2860))</f>
        <v>Kelsey</v>
      </c>
      <c r="J2860" s="7" t="str">
        <f aca="false">IF(F2860=0,"NOT FOUND",IF(C2860=I2860,"SELF-VOTE",IF(COUNTIF($K:$K,K2860)&gt;1,"DUPLICATE","OK")))</f>
        <v>OK</v>
      </c>
      <c r="K2860" s="6" t="str">
        <f aca="false">A2860&amp;"|"&amp;B2860&amp;"|"&amp;C2860&amp;"|"&amp;D2860</f>
        <v>5|2|Merita|spotify:track:3hMHG6lx9QHVcfYSUr5PoM</v>
      </c>
    </row>
    <row r="2861" customFormat="false" ht="15" hidden="false" customHeight="false" outlineLevel="0" collapsed="false">
      <c r="A2861" s="5" t="n">
        <v>5</v>
      </c>
      <c r="B2861" s="5" t="n">
        <v>2</v>
      </c>
      <c r="C2861" s="5" t="s">
        <v>101</v>
      </c>
      <c r="D2861" s="5" t="s">
        <v>1389</v>
      </c>
      <c r="E2861" s="5" t="n">
        <v>1</v>
      </c>
      <c r="F2861" s="6" t="n">
        <f aca="false">IFERROR(MATCH(A2861&amp;"|"&amp;B2861&amp;"|"&amp;D2861,'All Song Rankings'!$T:$T,0),0)</f>
        <v>438</v>
      </c>
      <c r="G2861" s="6" t="str">
        <f aca="false">IF(F2861=0,"NOT FOUND",INDEX('All Song Rankings'!$A:$A,F2861))</f>
        <v>Accidentally in Love</v>
      </c>
      <c r="H2861" s="6" t="str">
        <f aca="false">IF(F2861=0,"NOT FOUND",INDEX('All Song Rankings'!$B:$B,F2861))</f>
        <v>Counting Crows</v>
      </c>
      <c r="I2861" s="6" t="str">
        <f aca="false">IF(F2861=0,"NOT FOUND",INDEX('All Song Rankings'!$D:$D,F2861))</f>
        <v>Stephanie</v>
      </c>
      <c r="J2861" s="7" t="str">
        <f aca="false">IF(F2861=0,"NOT FOUND",IF(C2861=I2861,"SELF-VOTE",IF(COUNTIF($K:$K,K2861)&gt;1,"DUPLICATE","OK")))</f>
        <v>OK</v>
      </c>
      <c r="K2861" s="6" t="str">
        <f aca="false">A2861&amp;"|"&amp;B2861&amp;"|"&amp;C2861&amp;"|"&amp;D2861</f>
        <v>5|2|Merita|spotify:track:4ccM2xBxicGigjLqt6A0YY</v>
      </c>
    </row>
    <row r="2862" customFormat="false" ht="15" hidden="false" customHeight="false" outlineLevel="0" collapsed="false">
      <c r="A2862" s="5" t="n">
        <v>5</v>
      </c>
      <c r="B2862" s="5" t="n">
        <v>2</v>
      </c>
      <c r="C2862" s="5" t="s">
        <v>101</v>
      </c>
      <c r="D2862" s="5" t="s">
        <v>1383</v>
      </c>
      <c r="E2862" s="5" t="n">
        <v>2</v>
      </c>
      <c r="F2862" s="6" t="n">
        <f aca="false">IFERROR(MATCH(A2862&amp;"|"&amp;B2862&amp;"|"&amp;D2862,'All Song Rankings'!$T:$T,0),0)</f>
        <v>436</v>
      </c>
      <c r="G2862" s="6" t="str">
        <f aca="false">IF(F2862=0,"NOT FOUND",INDEX('All Song Rankings'!$A:$A,F2862))</f>
        <v>Skyfall</v>
      </c>
      <c r="H2862" s="6" t="str">
        <f aca="false">IF(F2862=0,"NOT FOUND",INDEX('All Song Rankings'!$B:$B,F2862))</f>
        <v>Adele</v>
      </c>
      <c r="I2862" s="6" t="str">
        <f aca="false">IF(F2862=0,"NOT FOUND",INDEX('All Song Rankings'!$D:$D,F2862))</f>
        <v>Leah</v>
      </c>
      <c r="J2862" s="7" t="str">
        <f aca="false">IF(F2862=0,"NOT FOUND",IF(C2862=I2862,"SELF-VOTE",IF(COUNTIF($K:$K,K2862)&gt;1,"DUPLICATE","OK")))</f>
        <v>OK</v>
      </c>
      <c r="K2862" s="6" t="str">
        <f aca="false">A2862&amp;"|"&amp;B2862&amp;"|"&amp;C2862&amp;"|"&amp;D2862</f>
        <v>5|2|Merita|spotify:track:6VObnIkLVruX4UVyxWhlqm</v>
      </c>
    </row>
    <row r="2863" customFormat="false" ht="15" hidden="false" customHeight="false" outlineLevel="0" collapsed="false">
      <c r="A2863" s="5" t="n">
        <v>5</v>
      </c>
      <c r="B2863" s="5" t="n">
        <v>2</v>
      </c>
      <c r="C2863" s="5" t="s">
        <v>101</v>
      </c>
      <c r="D2863" s="5" t="s">
        <v>1413</v>
      </c>
      <c r="E2863" s="5" t="n">
        <v>1</v>
      </c>
      <c r="F2863" s="6" t="n">
        <f aca="false">IFERROR(MATCH(A2863&amp;"|"&amp;B2863&amp;"|"&amp;D2863,'All Song Rankings'!$T:$T,0),0)</f>
        <v>447</v>
      </c>
      <c r="G2863" s="6" t="str">
        <f aca="false">IF(F2863=0,"NOT FOUND",INDEX('All Song Rankings'!$A:$A,F2863))</f>
        <v>Can't Take My Eyes off You</v>
      </c>
      <c r="H2863" s="6" t="str">
        <f aca="false">IF(F2863=0,"NOT FOUND",INDEX('All Song Rankings'!$B:$B,F2863))</f>
        <v>Frankie Valli</v>
      </c>
      <c r="I2863" s="6" t="str">
        <f aca="false">IF(F2863=0,"NOT FOUND",INDEX('All Song Rankings'!$D:$D,F2863))</f>
        <v>Colleen</v>
      </c>
      <c r="J2863" s="7" t="str">
        <f aca="false">IF(F2863=0,"NOT FOUND",IF(C2863=I2863,"SELF-VOTE",IF(COUNTIF($K:$K,K2863)&gt;1,"DUPLICATE","OK")))</f>
        <v>OK</v>
      </c>
      <c r="K2863" s="6" t="str">
        <f aca="false">A2863&amp;"|"&amp;B2863&amp;"|"&amp;C2863&amp;"|"&amp;D2863</f>
        <v>5|2|Merita|spotify:track:6ft9PAgNOjmZ2kFVP7LGqb</v>
      </c>
    </row>
    <row r="2864" customFormat="false" ht="15" hidden="false" customHeight="false" outlineLevel="0" collapsed="false">
      <c r="A2864" s="5" t="n">
        <v>5</v>
      </c>
      <c r="B2864" s="5" t="n">
        <v>2</v>
      </c>
      <c r="C2864" s="5" t="s">
        <v>101</v>
      </c>
      <c r="D2864" s="5" t="s">
        <v>1416</v>
      </c>
      <c r="E2864" s="5" t="n">
        <v>1</v>
      </c>
      <c r="F2864" s="6" t="n">
        <f aca="false">IFERROR(MATCH(A2864&amp;"|"&amp;B2864&amp;"|"&amp;D2864,'All Song Rankings'!$T:$T,0),0)</f>
        <v>448</v>
      </c>
      <c r="G2864" s="6" t="str">
        <f aca="false">IF(F2864=0,"NOT FOUND",INDEX('All Song Rankings'!$A:$A,F2864))</f>
        <v>Elevate (feat. Denzel Curry, YBN Cordae, SwaVay, Trevor Rich)</v>
      </c>
      <c r="H2864" s="6" t="str">
        <f aca="false">IF(F2864=0,"NOT FOUND",INDEX('All Song Rankings'!$B:$B,F2864))</f>
        <v>DJ Khalil, Denzel Curry, Cordae, SWAVAY, Trevor Rich</v>
      </c>
      <c r="I2864" s="6" t="str">
        <f aca="false">IF(F2864=0,"NOT FOUND",INDEX('All Song Rankings'!$D:$D,F2864))</f>
        <v>Kristen</v>
      </c>
      <c r="J2864" s="7" t="str">
        <f aca="false">IF(F2864=0,"NOT FOUND",IF(C2864=I2864,"SELF-VOTE",IF(COUNTIF($K:$K,K2864)&gt;1,"DUPLICATE","OK")))</f>
        <v>OK</v>
      </c>
      <c r="K2864" s="6" t="str">
        <f aca="false">A2864&amp;"|"&amp;B2864&amp;"|"&amp;C2864&amp;"|"&amp;D2864</f>
        <v>5|2|Merita|spotify:track:6kiauSlWtddVQx4JwJx51p</v>
      </c>
    </row>
    <row r="2865" customFormat="false" ht="15" hidden="false" customHeight="false" outlineLevel="0" collapsed="false">
      <c r="A2865" s="5" t="n">
        <v>5</v>
      </c>
      <c r="B2865" s="5" t="n">
        <v>2</v>
      </c>
      <c r="C2865" s="5" t="s">
        <v>1374</v>
      </c>
      <c r="D2865" s="5" t="s">
        <v>1408</v>
      </c>
      <c r="E2865" s="5" t="n">
        <v>1</v>
      </c>
      <c r="F2865" s="6" t="n">
        <f aca="false">IFERROR(MATCH(A2865&amp;"|"&amp;B2865&amp;"|"&amp;D2865,'All Song Rankings'!$T:$T,0),0)</f>
        <v>445</v>
      </c>
      <c r="G2865" s="6" t="str">
        <f aca="false">IF(F2865=0,"NOT FOUND",INDEX('All Song Rankings'!$A:$A,F2865))</f>
        <v>When Your Mind's Made Up</v>
      </c>
      <c r="H2865" s="6" t="str">
        <f aca="false">IF(F2865=0,"NOT FOUND",INDEX('All Song Rankings'!$B:$B,F2865))</f>
        <v>Glen Hansard, Markéta Irglová</v>
      </c>
      <c r="I2865" s="6" t="str">
        <f aca="false">IF(F2865=0,"NOT FOUND",INDEX('All Song Rankings'!$D:$D,F2865))</f>
        <v>Matt</v>
      </c>
      <c r="J2865" s="7" t="str">
        <f aca="false">IF(F2865=0,"NOT FOUND",IF(C2865=I2865,"SELF-VOTE",IF(COUNTIF($K:$K,K2865)&gt;1,"DUPLICATE","OK")))</f>
        <v>OK</v>
      </c>
      <c r="K2865" s="6" t="str">
        <f aca="false">A2865&amp;"|"&amp;B2865&amp;"|"&amp;C2865&amp;"|"&amp;D2865</f>
        <v>5|2|Natasha|spotify:track:1aAfiBF8ftfkONfzc0GTWz</v>
      </c>
    </row>
    <row r="2866" customFormat="false" ht="15" hidden="false" customHeight="false" outlineLevel="0" collapsed="false">
      <c r="A2866" s="5" t="n">
        <v>5</v>
      </c>
      <c r="B2866" s="5" t="n">
        <v>2</v>
      </c>
      <c r="C2866" s="5" t="s">
        <v>1374</v>
      </c>
      <c r="D2866" s="5" t="s">
        <v>1402</v>
      </c>
      <c r="E2866" s="5" t="n">
        <v>1</v>
      </c>
      <c r="F2866" s="6" t="n">
        <f aca="false">IFERROR(MATCH(A2866&amp;"|"&amp;B2866&amp;"|"&amp;D2866,'All Song Rankings'!$T:$T,0),0)</f>
        <v>443</v>
      </c>
      <c r="G2866" s="6" t="str">
        <f aca="false">IF(F2866=0,"NOT FOUND",INDEX('All Song Rankings'!$A:$A,F2866))</f>
        <v>Hold My Hand</v>
      </c>
      <c r="H2866" s="6" t="str">
        <f aca="false">IF(F2866=0,"NOT FOUND",INDEX('All Song Rankings'!$B:$B,F2866))</f>
        <v>Lady Gaga</v>
      </c>
      <c r="I2866" s="6" t="str">
        <f aca="false">IF(F2866=0,"NOT FOUND",INDEX('All Song Rankings'!$D:$D,F2866))</f>
        <v>Aubrey</v>
      </c>
      <c r="J2866" s="7" t="str">
        <f aca="false">IF(F2866=0,"NOT FOUND",IF(C2866=I2866,"SELF-VOTE",IF(COUNTIF($K:$K,K2866)&gt;1,"DUPLICATE","OK")))</f>
        <v>OK</v>
      </c>
      <c r="K2866" s="6" t="str">
        <f aca="false">A2866&amp;"|"&amp;B2866&amp;"|"&amp;C2866&amp;"|"&amp;D2866</f>
        <v>5|2|Natasha|spotify:track:1c2hJSwcCfoPEw1su83Sw0</v>
      </c>
    </row>
    <row r="2867" customFormat="false" ht="15" hidden="false" customHeight="false" outlineLevel="0" collapsed="false">
      <c r="A2867" s="5" t="n">
        <v>5</v>
      </c>
      <c r="B2867" s="5" t="n">
        <v>2</v>
      </c>
      <c r="C2867" s="5" t="s">
        <v>1374</v>
      </c>
      <c r="D2867" s="5" t="s">
        <v>1405</v>
      </c>
      <c r="E2867" s="5" t="n">
        <v>1</v>
      </c>
      <c r="F2867" s="6" t="n">
        <f aca="false">IFERROR(MATCH(A2867&amp;"|"&amp;B2867&amp;"|"&amp;D2867,'All Song Rankings'!$T:$T,0),0)</f>
        <v>444</v>
      </c>
      <c r="G2867" s="6" t="str">
        <f aca="false">IF(F2867=0,"NOT FOUND",INDEX('All Song Rankings'!$A:$A,F2867))</f>
        <v>Eye of the Tiger</v>
      </c>
      <c r="H2867" s="6" t="str">
        <f aca="false">IF(F2867=0,"NOT FOUND",INDEX('All Song Rankings'!$B:$B,F2867))</f>
        <v>Survivor</v>
      </c>
      <c r="I2867" s="6" t="str">
        <f aca="false">IF(F2867=0,"NOT FOUND",INDEX('All Song Rankings'!$D:$D,F2867))</f>
        <v>Lisa</v>
      </c>
      <c r="J2867" s="7" t="str">
        <f aca="false">IF(F2867=0,"NOT FOUND",IF(C2867=I2867,"SELF-VOTE",IF(COUNTIF($K:$K,K2867)&gt;1,"DUPLICATE","OK")))</f>
        <v>OK</v>
      </c>
      <c r="K2867" s="6" t="str">
        <f aca="false">A2867&amp;"|"&amp;B2867&amp;"|"&amp;C2867&amp;"|"&amp;D2867</f>
        <v>5|2|Natasha|spotify:track:2KH16WveTQWT6KOG9Rg6e2</v>
      </c>
    </row>
    <row r="2868" customFormat="false" ht="15" hidden="false" customHeight="false" outlineLevel="0" collapsed="false">
      <c r="A2868" s="5" t="n">
        <v>5</v>
      </c>
      <c r="B2868" s="5" t="n">
        <v>2</v>
      </c>
      <c r="C2868" s="5" t="s">
        <v>1374</v>
      </c>
      <c r="D2868" s="5" t="s">
        <v>1397</v>
      </c>
      <c r="E2868" s="5" t="n">
        <v>1</v>
      </c>
      <c r="F2868" s="6" t="n">
        <f aca="false">IFERROR(MATCH(A2868&amp;"|"&amp;B2868&amp;"|"&amp;D2868,'All Song Rankings'!$T:$T,0),0)</f>
        <v>441</v>
      </c>
      <c r="G2868" s="6" t="str">
        <f aca="false">IF(F2868=0,"NOT FOUND",INDEX('All Song Rankings'!$A:$A,F2868))</f>
        <v>Sunflower - Spider-Man: Into the Spider-Verse</v>
      </c>
      <c r="H2868" s="6" t="str">
        <f aca="false">IF(F2868=0,"NOT FOUND",INDEX('All Song Rankings'!$B:$B,F2868))</f>
        <v>Post Malone, Swae Lee</v>
      </c>
      <c r="I2868" s="6" t="str">
        <f aca="false">IF(F2868=0,"NOT FOUND",INDEX('All Song Rankings'!$D:$D,F2868))</f>
        <v>Nicole</v>
      </c>
      <c r="J2868" s="7" t="str">
        <f aca="false">IF(F2868=0,"NOT FOUND",IF(C2868=I2868,"SELF-VOTE",IF(COUNTIF($K:$K,K2868)&gt;1,"DUPLICATE","OK")))</f>
        <v>OK</v>
      </c>
      <c r="K2868" s="6" t="str">
        <f aca="false">A2868&amp;"|"&amp;B2868&amp;"|"&amp;C2868&amp;"|"&amp;D2868</f>
        <v>5|2|Natasha|spotify:track:3KkXRkHbMCARz0aVfEt68P</v>
      </c>
    </row>
    <row r="2869" customFormat="false" ht="15" hidden="false" customHeight="false" outlineLevel="0" collapsed="false">
      <c r="A2869" s="5" t="n">
        <v>5</v>
      </c>
      <c r="B2869" s="5" t="n">
        <v>2</v>
      </c>
      <c r="C2869" s="5" t="s">
        <v>1374</v>
      </c>
      <c r="D2869" s="5" t="s">
        <v>1386</v>
      </c>
      <c r="E2869" s="5" t="n">
        <v>2</v>
      </c>
      <c r="F2869" s="6" t="n">
        <f aca="false">IFERROR(MATCH(A2869&amp;"|"&amp;B2869&amp;"|"&amp;D2869,'All Song Rankings'!$T:$T,0),0)</f>
        <v>437</v>
      </c>
      <c r="G2869" s="6" t="str">
        <f aca="false">IF(F2869=0,"NOT FOUND",INDEX('All Song Rankings'!$A:$A,F2869))</f>
        <v>Danger Zone - From "Top Gun" Original Soundtrack</v>
      </c>
      <c r="H2869" s="6" t="str">
        <f aca="false">IF(F2869=0,"NOT FOUND",INDEX('All Song Rankings'!$B:$B,F2869))</f>
        <v>Kenny Loggins</v>
      </c>
      <c r="I2869" s="6" t="str">
        <f aca="false">IF(F2869=0,"NOT FOUND",INDEX('All Song Rankings'!$D:$D,F2869))</f>
        <v>Kelsey</v>
      </c>
      <c r="J2869" s="7" t="str">
        <f aca="false">IF(F2869=0,"NOT FOUND",IF(C2869=I2869,"SELF-VOTE",IF(COUNTIF($K:$K,K2869)&gt;1,"DUPLICATE","OK")))</f>
        <v>OK</v>
      </c>
      <c r="K2869" s="6" t="str">
        <f aca="false">A2869&amp;"|"&amp;B2869&amp;"|"&amp;C2869&amp;"|"&amp;D2869</f>
        <v>5|2|Natasha|spotify:track:3hMHG6lx9QHVcfYSUr5PoM</v>
      </c>
    </row>
    <row r="2870" customFormat="false" ht="15" hidden="false" customHeight="false" outlineLevel="0" collapsed="false">
      <c r="A2870" s="5" t="n">
        <v>5</v>
      </c>
      <c r="B2870" s="5" t="n">
        <v>2</v>
      </c>
      <c r="C2870" s="5" t="s">
        <v>1374</v>
      </c>
      <c r="D2870" s="5" t="s">
        <v>1389</v>
      </c>
      <c r="E2870" s="5" t="n">
        <v>1</v>
      </c>
      <c r="F2870" s="6" t="n">
        <f aca="false">IFERROR(MATCH(A2870&amp;"|"&amp;B2870&amp;"|"&amp;D2870,'All Song Rankings'!$T:$T,0),0)</f>
        <v>438</v>
      </c>
      <c r="G2870" s="6" t="str">
        <f aca="false">IF(F2870=0,"NOT FOUND",INDEX('All Song Rankings'!$A:$A,F2870))</f>
        <v>Accidentally in Love</v>
      </c>
      <c r="H2870" s="6" t="str">
        <f aca="false">IF(F2870=0,"NOT FOUND",INDEX('All Song Rankings'!$B:$B,F2870))</f>
        <v>Counting Crows</v>
      </c>
      <c r="I2870" s="6" t="str">
        <f aca="false">IF(F2870=0,"NOT FOUND",INDEX('All Song Rankings'!$D:$D,F2870))</f>
        <v>Stephanie</v>
      </c>
      <c r="J2870" s="7" t="str">
        <f aca="false">IF(F2870=0,"NOT FOUND",IF(C2870=I2870,"SELF-VOTE",IF(COUNTIF($K:$K,K2870)&gt;1,"DUPLICATE","OK")))</f>
        <v>OK</v>
      </c>
      <c r="K2870" s="6" t="str">
        <f aca="false">A2870&amp;"|"&amp;B2870&amp;"|"&amp;C2870&amp;"|"&amp;D2870</f>
        <v>5|2|Natasha|spotify:track:4ccM2xBxicGigjLqt6A0YY</v>
      </c>
    </row>
    <row r="2871" customFormat="false" ht="15" hidden="false" customHeight="false" outlineLevel="0" collapsed="false">
      <c r="A2871" s="5" t="n">
        <v>5</v>
      </c>
      <c r="B2871" s="5" t="n">
        <v>2</v>
      </c>
      <c r="C2871" s="5" t="s">
        <v>1374</v>
      </c>
      <c r="D2871" s="5" t="s">
        <v>1383</v>
      </c>
      <c r="E2871" s="5" t="n">
        <v>1</v>
      </c>
      <c r="F2871" s="6" t="n">
        <f aca="false">IFERROR(MATCH(A2871&amp;"|"&amp;B2871&amp;"|"&amp;D2871,'All Song Rankings'!$T:$T,0),0)</f>
        <v>436</v>
      </c>
      <c r="G2871" s="6" t="str">
        <f aca="false">IF(F2871=0,"NOT FOUND",INDEX('All Song Rankings'!$A:$A,F2871))</f>
        <v>Skyfall</v>
      </c>
      <c r="H2871" s="6" t="str">
        <f aca="false">IF(F2871=0,"NOT FOUND",INDEX('All Song Rankings'!$B:$B,F2871))</f>
        <v>Adele</v>
      </c>
      <c r="I2871" s="6" t="str">
        <f aca="false">IF(F2871=0,"NOT FOUND",INDEX('All Song Rankings'!$D:$D,F2871))</f>
        <v>Leah</v>
      </c>
      <c r="J2871" s="7" t="str">
        <f aca="false">IF(F2871=0,"NOT FOUND",IF(C2871=I2871,"SELF-VOTE",IF(COUNTIF($K:$K,K2871)&gt;1,"DUPLICATE","OK")))</f>
        <v>OK</v>
      </c>
      <c r="K2871" s="6" t="str">
        <f aca="false">A2871&amp;"|"&amp;B2871&amp;"|"&amp;C2871&amp;"|"&amp;D2871</f>
        <v>5|2|Natasha|spotify:track:6VObnIkLVruX4UVyxWhlqm</v>
      </c>
    </row>
    <row r="2872" customFormat="false" ht="15" hidden="false" customHeight="false" outlineLevel="0" collapsed="false">
      <c r="A2872" s="5" t="n">
        <v>5</v>
      </c>
      <c r="B2872" s="5" t="n">
        <v>2</v>
      </c>
      <c r="C2872" s="5" t="s">
        <v>1374</v>
      </c>
      <c r="D2872" s="5" t="s">
        <v>1413</v>
      </c>
      <c r="E2872" s="5" t="n">
        <v>1</v>
      </c>
      <c r="F2872" s="6" t="n">
        <f aca="false">IFERROR(MATCH(A2872&amp;"|"&amp;B2872&amp;"|"&amp;D2872,'All Song Rankings'!$T:$T,0),0)</f>
        <v>447</v>
      </c>
      <c r="G2872" s="6" t="str">
        <f aca="false">IF(F2872=0,"NOT FOUND",INDEX('All Song Rankings'!$A:$A,F2872))</f>
        <v>Can't Take My Eyes off You</v>
      </c>
      <c r="H2872" s="6" t="str">
        <f aca="false">IF(F2872=0,"NOT FOUND",INDEX('All Song Rankings'!$B:$B,F2872))</f>
        <v>Frankie Valli</v>
      </c>
      <c r="I2872" s="6" t="str">
        <f aca="false">IF(F2872=0,"NOT FOUND",INDEX('All Song Rankings'!$D:$D,F2872))</f>
        <v>Colleen</v>
      </c>
      <c r="J2872" s="7" t="str">
        <f aca="false">IF(F2872=0,"NOT FOUND",IF(C2872=I2872,"SELF-VOTE",IF(COUNTIF($K:$K,K2872)&gt;1,"DUPLICATE","OK")))</f>
        <v>OK</v>
      </c>
      <c r="K2872" s="6" t="str">
        <f aca="false">A2872&amp;"|"&amp;B2872&amp;"|"&amp;C2872&amp;"|"&amp;D2872</f>
        <v>5|2|Natasha|spotify:track:6ft9PAgNOjmZ2kFVP7LGqb</v>
      </c>
    </row>
    <row r="2873" customFormat="false" ht="15" hidden="false" customHeight="false" outlineLevel="0" collapsed="false">
      <c r="A2873" s="5" t="n">
        <v>5</v>
      </c>
      <c r="B2873" s="5" t="n">
        <v>2</v>
      </c>
      <c r="C2873" s="5" t="s">
        <v>1374</v>
      </c>
      <c r="D2873" s="5" t="s">
        <v>1394</v>
      </c>
      <c r="E2873" s="5" t="n">
        <v>1</v>
      </c>
      <c r="F2873" s="6" t="n">
        <f aca="false">IFERROR(MATCH(A2873&amp;"|"&amp;B2873&amp;"|"&amp;D2873,'All Song Rankings'!$T:$T,0),0)</f>
        <v>440</v>
      </c>
      <c r="G2873" s="6" t="str">
        <f aca="false">IF(F2873=0,"NOT FOUND",INDEX('All Song Rankings'!$A:$A,F2873))</f>
        <v>Don't You (Forget About Me)</v>
      </c>
      <c r="H2873" s="6" t="str">
        <f aca="false">IF(F2873=0,"NOT FOUND",INDEX('All Song Rankings'!$B:$B,F2873))</f>
        <v>Simple Minds</v>
      </c>
      <c r="I2873" s="6" t="str">
        <f aca="false">IF(F2873=0,"NOT FOUND",INDEX('All Song Rankings'!$D:$D,F2873))</f>
        <v>Logan</v>
      </c>
      <c r="J2873" s="7" t="str">
        <f aca="false">IF(F2873=0,"NOT FOUND",IF(C2873=I2873,"SELF-VOTE",IF(COUNTIF($K:$K,K2873)&gt;1,"DUPLICATE","OK")))</f>
        <v>OK</v>
      </c>
      <c r="K2873" s="6" t="str">
        <f aca="false">A2873&amp;"|"&amp;B2873&amp;"|"&amp;C2873&amp;"|"&amp;D2873</f>
        <v>5|2|Natasha|spotify:track:6yEAAIEHu4GcUFptg5W9kI</v>
      </c>
    </row>
    <row r="2874" customFormat="false" ht="15" hidden="false" customHeight="false" outlineLevel="0" collapsed="false">
      <c r="A2874" s="5" t="n">
        <v>5</v>
      </c>
      <c r="B2874" s="5" t="n">
        <v>2</v>
      </c>
      <c r="C2874" s="5" t="s">
        <v>92</v>
      </c>
      <c r="D2874" s="5" t="s">
        <v>1391</v>
      </c>
      <c r="E2874" s="5" t="n">
        <v>1</v>
      </c>
      <c r="F2874" s="6" t="n">
        <f aca="false">IFERROR(MATCH(A2874&amp;"|"&amp;B2874&amp;"|"&amp;D2874,'All Song Rankings'!$T:$T,0),0)</f>
        <v>439</v>
      </c>
      <c r="G2874" s="6" t="str">
        <f aca="false">IF(F2874=0,"NOT FOUND",INDEX('All Song Rankings'!$A:$A,F2874))</f>
        <v>Here I Am</v>
      </c>
      <c r="H2874" s="6" t="str">
        <f aca="false">IF(F2874=0,"NOT FOUND",INDEX('All Song Rankings'!$B:$B,F2874))</f>
        <v>Bryan Adams</v>
      </c>
      <c r="I2874" s="6" t="str">
        <f aca="false">IF(F2874=0,"NOT FOUND",INDEX('All Song Rankings'!$D:$D,F2874))</f>
        <v>Christine</v>
      </c>
      <c r="J2874" s="7" t="str">
        <f aca="false">IF(F2874=0,"NOT FOUND",IF(C2874=I2874,"SELF-VOTE",IF(COUNTIF($K:$K,K2874)&gt;1,"DUPLICATE","OK")))</f>
        <v>OK</v>
      </c>
      <c r="K2874" s="6" t="str">
        <f aca="false">A2874&amp;"|"&amp;B2874&amp;"|"&amp;C2874&amp;"|"&amp;D2874</f>
        <v>5|2|Nicole|spotify:track:2pGH58HmgqdOcZTTO9Po7t</v>
      </c>
    </row>
    <row r="2875" customFormat="false" ht="15" hidden="false" customHeight="false" outlineLevel="0" collapsed="false">
      <c r="A2875" s="5" t="n">
        <v>5</v>
      </c>
      <c r="B2875" s="5" t="n">
        <v>2</v>
      </c>
      <c r="C2875" s="5" t="s">
        <v>92</v>
      </c>
      <c r="D2875" s="5" t="s">
        <v>1386</v>
      </c>
      <c r="E2875" s="5" t="n">
        <v>1</v>
      </c>
      <c r="F2875" s="6" t="n">
        <f aca="false">IFERROR(MATCH(A2875&amp;"|"&amp;B2875&amp;"|"&amp;D2875,'All Song Rankings'!$T:$T,0),0)</f>
        <v>437</v>
      </c>
      <c r="G2875" s="6" t="str">
        <f aca="false">IF(F2875=0,"NOT FOUND",INDEX('All Song Rankings'!$A:$A,F2875))</f>
        <v>Danger Zone - From "Top Gun" Original Soundtrack</v>
      </c>
      <c r="H2875" s="6" t="str">
        <f aca="false">IF(F2875=0,"NOT FOUND",INDEX('All Song Rankings'!$B:$B,F2875))</f>
        <v>Kenny Loggins</v>
      </c>
      <c r="I2875" s="6" t="str">
        <f aca="false">IF(F2875=0,"NOT FOUND",INDEX('All Song Rankings'!$D:$D,F2875))</f>
        <v>Kelsey</v>
      </c>
      <c r="J2875" s="7" t="str">
        <f aca="false">IF(F2875=0,"NOT FOUND",IF(C2875=I2875,"SELF-VOTE",IF(COUNTIF($K:$K,K2875)&gt;1,"DUPLICATE","OK")))</f>
        <v>OK</v>
      </c>
      <c r="K2875" s="6" t="str">
        <f aca="false">A2875&amp;"|"&amp;B2875&amp;"|"&amp;C2875&amp;"|"&amp;D2875</f>
        <v>5|2|Nicole|spotify:track:3hMHG6lx9QHVcfYSUr5PoM</v>
      </c>
    </row>
    <row r="2876" customFormat="false" ht="15" hidden="false" customHeight="false" outlineLevel="0" collapsed="false">
      <c r="A2876" s="5" t="n">
        <v>5</v>
      </c>
      <c r="B2876" s="5" t="n">
        <v>2</v>
      </c>
      <c r="C2876" s="5" t="s">
        <v>92</v>
      </c>
      <c r="D2876" s="5" t="s">
        <v>1389</v>
      </c>
      <c r="E2876" s="5" t="n">
        <v>2</v>
      </c>
      <c r="F2876" s="6" t="n">
        <f aca="false">IFERROR(MATCH(A2876&amp;"|"&amp;B2876&amp;"|"&amp;D2876,'All Song Rankings'!$T:$T,0),0)</f>
        <v>438</v>
      </c>
      <c r="G2876" s="6" t="str">
        <f aca="false">IF(F2876=0,"NOT FOUND",INDEX('All Song Rankings'!$A:$A,F2876))</f>
        <v>Accidentally in Love</v>
      </c>
      <c r="H2876" s="6" t="str">
        <f aca="false">IF(F2876=0,"NOT FOUND",INDEX('All Song Rankings'!$B:$B,F2876))</f>
        <v>Counting Crows</v>
      </c>
      <c r="I2876" s="6" t="str">
        <f aca="false">IF(F2876=0,"NOT FOUND",INDEX('All Song Rankings'!$D:$D,F2876))</f>
        <v>Stephanie</v>
      </c>
      <c r="J2876" s="7" t="str">
        <f aca="false">IF(F2876=0,"NOT FOUND",IF(C2876=I2876,"SELF-VOTE",IF(COUNTIF($K:$K,K2876)&gt;1,"DUPLICATE","OK")))</f>
        <v>OK</v>
      </c>
      <c r="K2876" s="6" t="str">
        <f aca="false">A2876&amp;"|"&amp;B2876&amp;"|"&amp;C2876&amp;"|"&amp;D2876</f>
        <v>5|2|Nicole|spotify:track:4ccM2xBxicGigjLqt6A0YY</v>
      </c>
    </row>
    <row r="2877" customFormat="false" ht="15" hidden="false" customHeight="false" outlineLevel="0" collapsed="false">
      <c r="A2877" s="5" t="n">
        <v>5</v>
      </c>
      <c r="B2877" s="5" t="n">
        <v>2</v>
      </c>
      <c r="C2877" s="5" t="s">
        <v>92</v>
      </c>
      <c r="D2877" s="5" t="s">
        <v>1416</v>
      </c>
      <c r="E2877" s="5" t="n">
        <v>1</v>
      </c>
      <c r="F2877" s="6" t="n">
        <f aca="false">IFERROR(MATCH(A2877&amp;"|"&amp;B2877&amp;"|"&amp;D2877,'All Song Rankings'!$T:$T,0),0)</f>
        <v>448</v>
      </c>
      <c r="G2877" s="6" t="str">
        <f aca="false">IF(F2877=0,"NOT FOUND",INDEX('All Song Rankings'!$A:$A,F2877))</f>
        <v>Elevate (feat. Denzel Curry, YBN Cordae, SwaVay, Trevor Rich)</v>
      </c>
      <c r="H2877" s="6" t="str">
        <f aca="false">IF(F2877=0,"NOT FOUND",INDEX('All Song Rankings'!$B:$B,F2877))</f>
        <v>DJ Khalil, Denzel Curry, Cordae, SWAVAY, Trevor Rich</v>
      </c>
      <c r="I2877" s="6" t="str">
        <f aca="false">IF(F2877=0,"NOT FOUND",INDEX('All Song Rankings'!$D:$D,F2877))</f>
        <v>Kristen</v>
      </c>
      <c r="J2877" s="7" t="str">
        <f aca="false">IF(F2877=0,"NOT FOUND",IF(C2877=I2877,"SELF-VOTE",IF(COUNTIF($K:$K,K2877)&gt;1,"DUPLICATE","OK")))</f>
        <v>OK</v>
      </c>
      <c r="K2877" s="6" t="str">
        <f aca="false">A2877&amp;"|"&amp;B2877&amp;"|"&amp;C2877&amp;"|"&amp;D2877</f>
        <v>5|2|Nicole|spotify:track:6kiauSlWtddVQx4JwJx51p</v>
      </c>
    </row>
    <row r="2878" customFormat="false" ht="15" hidden="false" customHeight="false" outlineLevel="0" collapsed="false">
      <c r="A2878" s="5" t="n">
        <v>5</v>
      </c>
      <c r="B2878" s="5" t="n">
        <v>2</v>
      </c>
      <c r="C2878" s="5" t="s">
        <v>92</v>
      </c>
      <c r="D2878" s="5" t="s">
        <v>1394</v>
      </c>
      <c r="E2878" s="5" t="n">
        <v>3</v>
      </c>
      <c r="F2878" s="6" t="n">
        <f aca="false">IFERROR(MATCH(A2878&amp;"|"&amp;B2878&amp;"|"&amp;D2878,'All Song Rankings'!$T:$T,0),0)</f>
        <v>440</v>
      </c>
      <c r="G2878" s="6" t="str">
        <f aca="false">IF(F2878=0,"NOT FOUND",INDEX('All Song Rankings'!$A:$A,F2878))</f>
        <v>Don't You (Forget About Me)</v>
      </c>
      <c r="H2878" s="6" t="str">
        <f aca="false">IF(F2878=0,"NOT FOUND",INDEX('All Song Rankings'!$B:$B,F2878))</f>
        <v>Simple Minds</v>
      </c>
      <c r="I2878" s="6" t="str">
        <f aca="false">IF(F2878=0,"NOT FOUND",INDEX('All Song Rankings'!$D:$D,F2878))</f>
        <v>Logan</v>
      </c>
      <c r="J2878" s="7" t="str">
        <f aca="false">IF(F2878=0,"NOT FOUND",IF(C2878=I2878,"SELF-VOTE",IF(COUNTIF($K:$K,K2878)&gt;1,"DUPLICATE","OK")))</f>
        <v>OK</v>
      </c>
      <c r="K2878" s="6" t="str">
        <f aca="false">A2878&amp;"|"&amp;B2878&amp;"|"&amp;C2878&amp;"|"&amp;D2878</f>
        <v>5|2|Nicole|spotify:track:6yEAAIEHu4GcUFptg5W9kI</v>
      </c>
    </row>
    <row r="2879" customFormat="false" ht="15" hidden="false" customHeight="false" outlineLevel="0" collapsed="false">
      <c r="A2879" s="5" t="n">
        <v>5</v>
      </c>
      <c r="B2879" s="5" t="n">
        <v>2</v>
      </c>
      <c r="C2879" s="5" t="s">
        <v>92</v>
      </c>
      <c r="D2879" s="5" t="s">
        <v>1419</v>
      </c>
      <c r="E2879" s="5" t="n">
        <v>2</v>
      </c>
      <c r="F2879" s="6" t="n">
        <f aca="false">IFERROR(MATCH(A2879&amp;"|"&amp;B2879&amp;"|"&amp;D2879,'All Song Rankings'!$T:$T,0),0)</f>
        <v>449</v>
      </c>
      <c r="G2879" s="6" t="str">
        <f aca="false">IF(F2879=0,"NOT FOUND",INDEX('All Song Rankings'!$A:$A,F2879))</f>
        <v>Miracles Happen</v>
      </c>
      <c r="H2879" s="6" t="str">
        <f aca="false">IF(F2879=0,"NOT FOUND",INDEX('All Song Rankings'!$B:$B,F2879))</f>
        <v>Myra</v>
      </c>
      <c r="I2879" s="6" t="str">
        <f aca="false">IF(F2879=0,"NOT FOUND",INDEX('All Song Rankings'!$D:$D,F2879))</f>
        <v>Natasha</v>
      </c>
      <c r="J2879" s="7" t="str">
        <f aca="false">IF(F2879=0,"NOT FOUND",IF(C2879=I2879,"SELF-VOTE",IF(COUNTIF($K:$K,K2879)&gt;1,"DUPLICATE","OK")))</f>
        <v>OK</v>
      </c>
      <c r="K2879" s="6" t="str">
        <f aca="false">A2879&amp;"|"&amp;B2879&amp;"|"&amp;C2879&amp;"|"&amp;D2879</f>
        <v>5|2|Nicole|spotify:track:77mnUPdjFBDZuBnSLgOEgb</v>
      </c>
    </row>
    <row r="2880" customFormat="false" ht="15" hidden="false" customHeight="false" outlineLevel="0" collapsed="false">
      <c r="A2880" s="5" t="n">
        <v>5</v>
      </c>
      <c r="B2880" s="5" t="n">
        <v>2</v>
      </c>
      <c r="C2880" s="5" t="s">
        <v>97</v>
      </c>
      <c r="D2880" s="5" t="s">
        <v>1400</v>
      </c>
      <c r="E2880" s="5" t="n">
        <v>2</v>
      </c>
      <c r="F2880" s="6" t="n">
        <f aca="false">IFERROR(MATCH(A2880&amp;"|"&amp;B2880&amp;"|"&amp;D2880,'All Song Rankings'!$T:$T,0),0)</f>
        <v>442</v>
      </c>
      <c r="G2880" s="6" t="str">
        <f aca="false">IF(F2880=0,"NOT FOUND",INDEX('All Song Rankings'!$A:$A,F2880))</f>
        <v>Gangsta's Paradise</v>
      </c>
      <c r="H2880" s="6" t="str">
        <f aca="false">IF(F2880=0,"NOT FOUND",INDEX('All Song Rankings'!$B:$B,F2880))</f>
        <v>Coolio, L.V.</v>
      </c>
      <c r="I2880" s="6" t="str">
        <f aca="false">IF(F2880=0,"NOT FOUND",INDEX('All Song Rankings'!$D:$D,F2880))</f>
        <v>Grace</v>
      </c>
      <c r="J2880" s="7" t="str">
        <f aca="false">IF(F2880=0,"NOT FOUND",IF(C2880=I2880,"SELF-VOTE",IF(COUNTIF($K:$K,K2880)&gt;1,"DUPLICATE","OK")))</f>
        <v>OK</v>
      </c>
      <c r="K2880" s="6" t="str">
        <f aca="false">A2880&amp;"|"&amp;B2880&amp;"|"&amp;C2880&amp;"|"&amp;D2880</f>
        <v>5|2|Stephanie|spotify:track:1DIXPcTDzTj8ZMHt3PDt8p</v>
      </c>
    </row>
    <row r="2881" customFormat="false" ht="15" hidden="false" customHeight="false" outlineLevel="0" collapsed="false">
      <c r="A2881" s="5" t="n">
        <v>5</v>
      </c>
      <c r="B2881" s="5" t="n">
        <v>2</v>
      </c>
      <c r="C2881" s="5" t="s">
        <v>97</v>
      </c>
      <c r="D2881" s="5" t="s">
        <v>1391</v>
      </c>
      <c r="E2881" s="5" t="n">
        <v>4</v>
      </c>
      <c r="F2881" s="6" t="n">
        <f aca="false">IFERROR(MATCH(A2881&amp;"|"&amp;B2881&amp;"|"&amp;D2881,'All Song Rankings'!$T:$T,0),0)</f>
        <v>439</v>
      </c>
      <c r="G2881" s="6" t="str">
        <f aca="false">IF(F2881=0,"NOT FOUND",INDEX('All Song Rankings'!$A:$A,F2881))</f>
        <v>Here I Am</v>
      </c>
      <c r="H2881" s="6" t="str">
        <f aca="false">IF(F2881=0,"NOT FOUND",INDEX('All Song Rankings'!$B:$B,F2881))</f>
        <v>Bryan Adams</v>
      </c>
      <c r="I2881" s="6" t="str">
        <f aca="false">IF(F2881=0,"NOT FOUND",INDEX('All Song Rankings'!$D:$D,F2881))</f>
        <v>Christine</v>
      </c>
      <c r="J2881" s="7" t="str">
        <f aca="false">IF(F2881=0,"NOT FOUND",IF(C2881=I2881,"SELF-VOTE",IF(COUNTIF($K:$K,K2881)&gt;1,"DUPLICATE","OK")))</f>
        <v>OK</v>
      </c>
      <c r="K2881" s="6" t="str">
        <f aca="false">A2881&amp;"|"&amp;B2881&amp;"|"&amp;C2881&amp;"|"&amp;D2881</f>
        <v>5|2|Stephanie|spotify:track:2pGH58HmgqdOcZTTO9Po7t</v>
      </c>
    </row>
    <row r="2882" customFormat="false" ht="15" hidden="false" customHeight="false" outlineLevel="0" collapsed="false">
      <c r="A2882" s="5" t="n">
        <v>5</v>
      </c>
      <c r="B2882" s="5" t="n">
        <v>2</v>
      </c>
      <c r="C2882" s="5" t="s">
        <v>97</v>
      </c>
      <c r="D2882" s="5" t="s">
        <v>1386</v>
      </c>
      <c r="E2882" s="5" t="n">
        <v>1</v>
      </c>
      <c r="F2882" s="6" t="n">
        <f aca="false">IFERROR(MATCH(A2882&amp;"|"&amp;B2882&amp;"|"&amp;D2882,'All Song Rankings'!$T:$T,0),0)</f>
        <v>437</v>
      </c>
      <c r="G2882" s="6" t="str">
        <f aca="false">IF(F2882=0,"NOT FOUND",INDEX('All Song Rankings'!$A:$A,F2882))</f>
        <v>Danger Zone - From "Top Gun" Original Soundtrack</v>
      </c>
      <c r="H2882" s="6" t="str">
        <f aca="false">IF(F2882=0,"NOT FOUND",INDEX('All Song Rankings'!$B:$B,F2882))</f>
        <v>Kenny Loggins</v>
      </c>
      <c r="I2882" s="6" t="str">
        <f aca="false">IF(F2882=0,"NOT FOUND",INDEX('All Song Rankings'!$D:$D,F2882))</f>
        <v>Kelsey</v>
      </c>
      <c r="J2882" s="7" t="str">
        <f aca="false">IF(F2882=0,"NOT FOUND",IF(C2882=I2882,"SELF-VOTE",IF(COUNTIF($K:$K,K2882)&gt;1,"DUPLICATE","OK")))</f>
        <v>OK</v>
      </c>
      <c r="K2882" s="6" t="str">
        <f aca="false">A2882&amp;"|"&amp;B2882&amp;"|"&amp;C2882&amp;"|"&amp;D2882</f>
        <v>5|2|Stephanie|spotify:track:3hMHG6lx9QHVcfYSUr5PoM</v>
      </c>
    </row>
    <row r="2883" customFormat="false" ht="15" hidden="false" customHeight="false" outlineLevel="0" collapsed="false">
      <c r="A2883" s="5" t="n">
        <v>5</v>
      </c>
      <c r="B2883" s="5" t="n">
        <v>2</v>
      </c>
      <c r="C2883" s="5" t="s">
        <v>97</v>
      </c>
      <c r="D2883" s="5" t="s">
        <v>1383</v>
      </c>
      <c r="E2883" s="5" t="n">
        <v>2</v>
      </c>
      <c r="F2883" s="6" t="n">
        <f aca="false">IFERROR(MATCH(A2883&amp;"|"&amp;B2883&amp;"|"&amp;D2883,'All Song Rankings'!$T:$T,0),0)</f>
        <v>436</v>
      </c>
      <c r="G2883" s="6" t="str">
        <f aca="false">IF(F2883=0,"NOT FOUND",INDEX('All Song Rankings'!$A:$A,F2883))</f>
        <v>Skyfall</v>
      </c>
      <c r="H2883" s="6" t="str">
        <f aca="false">IF(F2883=0,"NOT FOUND",INDEX('All Song Rankings'!$B:$B,F2883))</f>
        <v>Adele</v>
      </c>
      <c r="I2883" s="6" t="str">
        <f aca="false">IF(F2883=0,"NOT FOUND",INDEX('All Song Rankings'!$D:$D,F2883))</f>
        <v>Leah</v>
      </c>
      <c r="J2883" s="7" t="str">
        <f aca="false">IF(F2883=0,"NOT FOUND",IF(C2883=I2883,"SELF-VOTE",IF(COUNTIF($K:$K,K2883)&gt;1,"DUPLICATE","OK")))</f>
        <v>OK</v>
      </c>
      <c r="K2883" s="6" t="str">
        <f aca="false">A2883&amp;"|"&amp;B2883&amp;"|"&amp;C2883&amp;"|"&amp;D2883</f>
        <v>5|2|Stephanie|spotify:track:6VObnIkLVruX4UVyxWhlqm</v>
      </c>
    </row>
    <row r="2884" customFormat="false" ht="15" hidden="false" customHeight="false" outlineLevel="0" collapsed="false">
      <c r="A2884" s="5" t="n">
        <v>5</v>
      </c>
      <c r="B2884" s="5" t="n">
        <v>2</v>
      </c>
      <c r="C2884" s="5" t="s">
        <v>97</v>
      </c>
      <c r="D2884" s="5" t="s">
        <v>1416</v>
      </c>
      <c r="E2884" s="5" t="n">
        <v>1</v>
      </c>
      <c r="F2884" s="6" t="n">
        <f aca="false">IFERROR(MATCH(A2884&amp;"|"&amp;B2884&amp;"|"&amp;D2884,'All Song Rankings'!$T:$T,0),0)</f>
        <v>448</v>
      </c>
      <c r="G2884" s="6" t="str">
        <f aca="false">IF(F2884=0,"NOT FOUND",INDEX('All Song Rankings'!$A:$A,F2884))</f>
        <v>Elevate (feat. Denzel Curry, YBN Cordae, SwaVay, Trevor Rich)</v>
      </c>
      <c r="H2884" s="6" t="str">
        <f aca="false">IF(F2884=0,"NOT FOUND",INDEX('All Song Rankings'!$B:$B,F2884))</f>
        <v>DJ Khalil, Denzel Curry, Cordae, SWAVAY, Trevor Rich</v>
      </c>
      <c r="I2884" s="6" t="str">
        <f aca="false">IF(F2884=0,"NOT FOUND",INDEX('All Song Rankings'!$D:$D,F2884))</f>
        <v>Kristen</v>
      </c>
      <c r="J2884" s="7" t="str">
        <f aca="false">IF(F2884=0,"NOT FOUND",IF(C2884=I2884,"SELF-VOTE",IF(COUNTIF($K:$K,K2884)&gt;1,"DUPLICATE","OK")))</f>
        <v>OK</v>
      </c>
      <c r="K2884" s="6" t="str">
        <f aca="false">A2884&amp;"|"&amp;B2884&amp;"|"&amp;C2884&amp;"|"&amp;D2884</f>
        <v>5|2|Stephanie|spotify:track:6kiauSlWtddVQx4JwJx51p</v>
      </c>
    </row>
    <row r="2885" customFormat="false" ht="15" hidden="false" customHeight="false" outlineLevel="0" collapsed="false">
      <c r="A2885" s="5" t="n">
        <v>5</v>
      </c>
      <c r="B2885" s="5" t="n">
        <v>3</v>
      </c>
      <c r="C2885" s="5" t="s">
        <v>375</v>
      </c>
      <c r="D2885" s="5" t="s">
        <v>952</v>
      </c>
      <c r="E2885" s="5" t="n">
        <v>1</v>
      </c>
      <c r="F2885" s="6" t="n">
        <f aca="false">IFERROR(MATCH(A2885&amp;"|"&amp;B2885&amp;"|"&amp;D2885,'All Song Rankings'!$T:$T,0),0)</f>
        <v>462</v>
      </c>
      <c r="G2885" s="6" t="str">
        <f aca="false">IF(F2885=0,"NOT FOUND",INDEX('All Song Rankings'!$A:$A,F2885))</f>
        <v>Chicken Fried</v>
      </c>
      <c r="H2885" s="6" t="str">
        <f aca="false">IF(F2885=0,"NOT FOUND",INDEX('All Song Rankings'!$B:$B,F2885))</f>
        <v>Zac Brown Band</v>
      </c>
      <c r="I2885" s="6" t="str">
        <f aca="false">IF(F2885=0,"NOT FOUND",INDEX('All Song Rankings'!$D:$D,F2885))</f>
        <v>Colleen</v>
      </c>
      <c r="J2885" s="7" t="str">
        <f aca="false">IF(F2885=0,"NOT FOUND",IF(C2885=I2885,"SELF-VOTE",IF(COUNTIF($K:$K,K2885)&gt;1,"DUPLICATE","OK")))</f>
        <v>OK</v>
      </c>
      <c r="K2885" s="6" t="str">
        <f aca="false">A2885&amp;"|"&amp;B2885&amp;"|"&amp;C2885&amp;"|"&amp;D2885</f>
        <v>5|3|Aubrey|spotify:track:0LQtEJt7x0s6knb6RKdRYc</v>
      </c>
    </row>
    <row r="2886" customFormat="false" ht="15" hidden="false" customHeight="false" outlineLevel="0" collapsed="false">
      <c r="A2886" s="5" t="n">
        <v>5</v>
      </c>
      <c r="B2886" s="5" t="n">
        <v>3</v>
      </c>
      <c r="C2886" s="5" t="s">
        <v>375</v>
      </c>
      <c r="D2886" s="5" t="s">
        <v>1445</v>
      </c>
      <c r="E2886" s="5" t="n">
        <v>2</v>
      </c>
      <c r="F2886" s="6" t="n">
        <f aca="false">IFERROR(MATCH(A2886&amp;"|"&amp;B2886&amp;"|"&amp;D2886,'All Song Rankings'!$T:$T,0),0)</f>
        <v>458</v>
      </c>
      <c r="G2886" s="6" t="str">
        <f aca="false">IF(F2886=0,"NOT FOUND",INDEX('All Song Rankings'!$A:$A,F2886))</f>
        <v>American Pie</v>
      </c>
      <c r="H2886" s="6" t="str">
        <f aca="false">IF(F2886=0,"NOT FOUND",INDEX('All Song Rankings'!$B:$B,F2886))</f>
        <v>Don McLean</v>
      </c>
      <c r="I2886" s="6" t="str">
        <f aca="false">IF(F2886=0,"NOT FOUND",INDEX('All Song Rankings'!$D:$D,F2886))</f>
        <v>Lisa</v>
      </c>
      <c r="J2886" s="7" t="str">
        <f aca="false">IF(F2886=0,"NOT FOUND",IF(C2886=I2886,"SELF-VOTE",IF(COUNTIF($K:$K,K2886)&gt;1,"DUPLICATE","OK")))</f>
        <v>OK</v>
      </c>
      <c r="K2886" s="6" t="str">
        <f aca="false">A2886&amp;"|"&amp;B2886&amp;"|"&amp;C2886&amp;"|"&amp;D2886</f>
        <v>5|3|Aubrey|spotify:track:1fDsrQ23eTAVFElUMaf38X</v>
      </c>
    </row>
    <row r="2887" customFormat="false" ht="15" hidden="false" customHeight="false" outlineLevel="0" collapsed="false">
      <c r="A2887" s="5" t="n">
        <v>5</v>
      </c>
      <c r="B2887" s="5" t="n">
        <v>3</v>
      </c>
      <c r="C2887" s="5" t="s">
        <v>375</v>
      </c>
      <c r="D2887" s="5" t="s">
        <v>1432</v>
      </c>
      <c r="E2887" s="5" t="n">
        <v>1</v>
      </c>
      <c r="F2887" s="6" t="n">
        <f aca="false">IFERROR(MATCH(A2887&amp;"|"&amp;B2887&amp;"|"&amp;D2887,'All Song Rankings'!$T:$T,0),0)</f>
        <v>453</v>
      </c>
      <c r="G2887" s="6" t="str">
        <f aca="false">IF(F2887=0,"NOT FOUND",INDEX('All Song Rankings'!$A:$A,F2887))</f>
        <v>Raspberry Beret</v>
      </c>
      <c r="H2887" s="6" t="str">
        <f aca="false">IF(F2887=0,"NOT FOUND",INDEX('All Song Rankings'!$B:$B,F2887))</f>
        <v>Prince</v>
      </c>
      <c r="I2887" s="6" t="str">
        <f aca="false">IF(F2887=0,"NOT FOUND",INDEX('All Song Rankings'!$D:$D,F2887))</f>
        <v>Christine</v>
      </c>
      <c r="J2887" s="7" t="str">
        <f aca="false">IF(F2887=0,"NOT FOUND",IF(C2887=I2887,"SELF-VOTE",IF(COUNTIF($K:$K,K2887)&gt;1,"DUPLICATE","OK")))</f>
        <v>OK</v>
      </c>
      <c r="K2887" s="6" t="str">
        <f aca="false">A2887&amp;"|"&amp;B2887&amp;"|"&amp;C2887&amp;"|"&amp;D2887</f>
        <v>5|3|Aubrey|spotify:track:2I1W3hcSsPIsEJfD69pHrW</v>
      </c>
    </row>
    <row r="2888" customFormat="false" ht="15" hidden="false" customHeight="false" outlineLevel="0" collapsed="false">
      <c r="A2888" s="5" t="n">
        <v>5</v>
      </c>
      <c r="B2888" s="5" t="n">
        <v>3</v>
      </c>
      <c r="C2888" s="5" t="s">
        <v>375</v>
      </c>
      <c r="D2888" s="5" t="s">
        <v>1426</v>
      </c>
      <c r="E2888" s="5" t="n">
        <v>1</v>
      </c>
      <c r="F2888" s="6" t="n">
        <f aca="false">IFERROR(MATCH(A2888&amp;"|"&amp;B2888&amp;"|"&amp;D2888,'All Song Rankings'!$T:$T,0),0)</f>
        <v>451</v>
      </c>
      <c r="G2888" s="6" t="str">
        <f aca="false">IF(F2888=0,"NOT FOUND",INDEX('All Song Rankings'!$A:$A,F2888))</f>
        <v>Chocolate</v>
      </c>
      <c r="H2888" s="6" t="str">
        <f aca="false">IF(F2888=0,"NOT FOUND",INDEX('All Song Rankings'!$B:$B,F2888))</f>
        <v>The 1975</v>
      </c>
      <c r="I2888" s="6" t="str">
        <f aca="false">IF(F2888=0,"NOT FOUND",INDEX('All Song Rankings'!$D:$D,F2888))</f>
        <v>Stephanie</v>
      </c>
      <c r="J2888" s="7" t="str">
        <f aca="false">IF(F2888=0,"NOT FOUND",IF(C2888=I2888,"SELF-VOTE",IF(COUNTIF($K:$K,K2888)&gt;1,"DUPLICATE","OK")))</f>
        <v>OK</v>
      </c>
      <c r="K2888" s="6" t="str">
        <f aca="false">A2888&amp;"|"&amp;B2888&amp;"|"&amp;C2888&amp;"|"&amp;D2888</f>
        <v>5|3|Aubrey|spotify:track:44Ljlpy44mHvLJxcYUvTK0</v>
      </c>
    </row>
    <row r="2889" customFormat="false" ht="15" hidden="false" customHeight="false" outlineLevel="0" collapsed="false">
      <c r="A2889" s="5" t="n">
        <v>5</v>
      </c>
      <c r="B2889" s="5" t="n">
        <v>3</v>
      </c>
      <c r="C2889" s="5" t="s">
        <v>375</v>
      </c>
      <c r="D2889" s="5" t="s">
        <v>1455</v>
      </c>
      <c r="E2889" s="5" t="n">
        <v>1</v>
      </c>
      <c r="F2889" s="6" t="n">
        <f aca="false">IFERROR(MATCH(A2889&amp;"|"&amp;B2889&amp;"|"&amp;D2889,'All Song Rankings'!$T:$T,0),0)</f>
        <v>463</v>
      </c>
      <c r="G2889" s="6" t="str">
        <f aca="false">IF(F2889=0,"NOT FOUND",INDEX('All Song Rankings'!$A:$A,F2889))</f>
        <v>Waffle House</v>
      </c>
      <c r="H2889" s="6" t="str">
        <f aca="false">IF(F2889=0,"NOT FOUND",INDEX('All Song Rankings'!$B:$B,F2889))</f>
        <v>Jonas Brothers</v>
      </c>
      <c r="I2889" s="6" t="str">
        <f aca="false">IF(F2889=0,"NOT FOUND",INDEX('All Song Rankings'!$D:$D,F2889))</f>
        <v>Kelsey</v>
      </c>
      <c r="J2889" s="7" t="str">
        <f aca="false">IF(F2889=0,"NOT FOUND",IF(C2889=I2889,"SELF-VOTE",IF(COUNTIF($K:$K,K2889)&gt;1,"DUPLICATE","OK")))</f>
        <v>OK</v>
      </c>
      <c r="K2889" s="6" t="str">
        <f aca="false">A2889&amp;"|"&amp;B2889&amp;"|"&amp;C2889&amp;"|"&amp;D2889</f>
        <v>5|3|Aubrey|spotify:track:4inPxqHrj9VmjLx5JCDCV4</v>
      </c>
    </row>
    <row r="2890" customFormat="false" ht="15" hidden="false" customHeight="false" outlineLevel="0" collapsed="false">
      <c r="A2890" s="5" t="n">
        <v>5</v>
      </c>
      <c r="B2890" s="5" t="n">
        <v>3</v>
      </c>
      <c r="C2890" s="5" t="s">
        <v>375</v>
      </c>
      <c r="D2890" s="5" t="s">
        <v>1439</v>
      </c>
      <c r="E2890" s="5" t="n">
        <v>2</v>
      </c>
      <c r="F2890" s="6" t="n">
        <f aca="false">IFERROR(MATCH(A2890&amp;"|"&amp;B2890&amp;"|"&amp;D2890,'All Song Rankings'!$T:$T,0),0)</f>
        <v>456</v>
      </c>
      <c r="G2890" s="6" t="str">
        <f aca="false">IF(F2890=0,"NOT FOUND",INDEX('All Song Rankings'!$A:$A,F2890))</f>
        <v>Tequila</v>
      </c>
      <c r="H2890" s="6" t="str">
        <f aca="false">IF(F2890=0,"NOT FOUND",INDEX('All Song Rankings'!$B:$B,F2890))</f>
        <v>The Champs</v>
      </c>
      <c r="I2890" s="6" t="str">
        <f aca="false">IF(F2890=0,"NOT FOUND",INDEX('All Song Rankings'!$D:$D,F2890))</f>
        <v>Scott</v>
      </c>
      <c r="J2890" s="7" t="str">
        <f aca="false">IF(F2890=0,"NOT FOUND",IF(C2890=I2890,"SELF-VOTE",IF(COUNTIF($K:$K,K2890)&gt;1,"DUPLICATE","OK")))</f>
        <v>OK</v>
      </c>
      <c r="K2890" s="6" t="str">
        <f aca="false">A2890&amp;"|"&amp;B2890&amp;"|"&amp;C2890&amp;"|"&amp;D2890</f>
        <v>5|3|Aubrey|spotify:track:5gJKsGij5oGt5H5RSFYXPa</v>
      </c>
    </row>
    <row r="2891" customFormat="false" ht="15" hidden="false" customHeight="false" outlineLevel="0" collapsed="false">
      <c r="A2891" s="5" t="n">
        <v>5</v>
      </c>
      <c r="B2891" s="5" t="n">
        <v>3</v>
      </c>
      <c r="C2891" s="5" t="s">
        <v>375</v>
      </c>
      <c r="D2891" s="5" t="s">
        <v>1442</v>
      </c>
      <c r="E2891" s="5" t="n">
        <v>1</v>
      </c>
      <c r="F2891" s="6" t="n">
        <f aca="false">IFERROR(MATCH(A2891&amp;"|"&amp;B2891&amp;"|"&amp;D2891,'All Song Rankings'!$T:$T,0),0)</f>
        <v>457</v>
      </c>
      <c r="G2891" s="6" t="str">
        <f aca="false">IF(F2891=0,"NOT FOUND",INDEX('All Song Rankings'!$A:$A,F2891))</f>
        <v>I Can't Help Myself (Sugar Pie, Honey Bunch)</v>
      </c>
      <c r="H2891" s="6" t="str">
        <f aca="false">IF(F2891=0,"NOT FOUND",INDEX('All Song Rankings'!$B:$B,F2891))</f>
        <v>Four Tops</v>
      </c>
      <c r="I2891" s="6" t="str">
        <f aca="false">IF(F2891=0,"NOT FOUND",INDEX('All Song Rankings'!$D:$D,F2891))</f>
        <v>Logan</v>
      </c>
      <c r="J2891" s="7" t="str">
        <f aca="false">IF(F2891=0,"NOT FOUND",IF(C2891=I2891,"SELF-VOTE",IF(COUNTIF($K:$K,K2891)&gt;1,"DUPLICATE","OK")))</f>
        <v>OK</v>
      </c>
      <c r="K2891" s="6" t="str">
        <f aca="false">A2891&amp;"|"&amp;B2891&amp;"|"&amp;C2891&amp;"|"&amp;D2891</f>
        <v>5|3|Aubrey|spotify:track:6b6IMqP565TbtFFZg9iFf3</v>
      </c>
    </row>
    <row r="2892" customFormat="false" ht="15" hidden="false" customHeight="false" outlineLevel="0" collapsed="false">
      <c r="A2892" s="5" t="n">
        <v>5</v>
      </c>
      <c r="B2892" s="5" t="n">
        <v>3</v>
      </c>
      <c r="C2892" s="5" t="s">
        <v>375</v>
      </c>
      <c r="D2892" s="5" t="s">
        <v>1429</v>
      </c>
      <c r="E2892" s="5" t="n">
        <v>1</v>
      </c>
      <c r="F2892" s="6" t="n">
        <f aca="false">IFERROR(MATCH(A2892&amp;"|"&amp;B2892&amp;"|"&amp;D2892,'All Song Rankings'!$T:$T,0),0)</f>
        <v>452</v>
      </c>
      <c r="G2892" s="6" t="str">
        <f aca="false">IF(F2892=0,"NOT FOUND",INDEX('All Song Rankings'!$A:$A,F2892))</f>
        <v>Cake By The Ocean</v>
      </c>
      <c r="H2892" s="6" t="str">
        <f aca="false">IF(F2892=0,"NOT FOUND",INDEX('All Song Rankings'!$B:$B,F2892))</f>
        <v>DNCE</v>
      </c>
      <c r="I2892" s="6" t="str">
        <f aca="false">IF(F2892=0,"NOT FOUND",INDEX('All Song Rankings'!$D:$D,F2892))</f>
        <v>Matt</v>
      </c>
      <c r="J2892" s="7" t="str">
        <f aca="false">IF(F2892=0,"NOT FOUND",IF(C2892=I2892,"SELF-VOTE",IF(COUNTIF($K:$K,K2892)&gt;1,"DUPLICATE","OK")))</f>
        <v>OK</v>
      </c>
      <c r="K2892" s="6" t="str">
        <f aca="false">A2892&amp;"|"&amp;B2892&amp;"|"&amp;C2892&amp;"|"&amp;D2892</f>
        <v>5|3|Aubrey|spotify:track:76hfruVvmfQbw0eYn1nmeC</v>
      </c>
    </row>
    <row r="2893" customFormat="false" ht="15" hidden="false" customHeight="false" outlineLevel="0" collapsed="false">
      <c r="A2893" s="5" t="n">
        <v>5</v>
      </c>
      <c r="B2893" s="5" t="n">
        <v>3</v>
      </c>
      <c r="C2893" s="5" t="s">
        <v>719</v>
      </c>
      <c r="D2893" s="5" t="s">
        <v>952</v>
      </c>
      <c r="E2893" s="5" t="n">
        <v>1</v>
      </c>
      <c r="F2893" s="6" t="n">
        <f aca="false">IFERROR(MATCH(A2893&amp;"|"&amp;B2893&amp;"|"&amp;D2893,'All Song Rankings'!$T:$T,0),0)</f>
        <v>462</v>
      </c>
      <c r="G2893" s="6" t="str">
        <f aca="false">IF(F2893=0,"NOT FOUND",INDEX('All Song Rankings'!$A:$A,F2893))</f>
        <v>Chicken Fried</v>
      </c>
      <c r="H2893" s="6" t="str">
        <f aca="false">IF(F2893=0,"NOT FOUND",INDEX('All Song Rankings'!$B:$B,F2893))</f>
        <v>Zac Brown Band</v>
      </c>
      <c r="I2893" s="6" t="str">
        <f aca="false">IF(F2893=0,"NOT FOUND",INDEX('All Song Rankings'!$D:$D,F2893))</f>
        <v>Colleen</v>
      </c>
      <c r="J2893" s="7" t="str">
        <f aca="false">IF(F2893=0,"NOT FOUND",IF(C2893=I2893,"SELF-VOTE",IF(COUNTIF($K:$K,K2893)&gt;1,"DUPLICATE","OK")))</f>
        <v>OK</v>
      </c>
      <c r="K2893" s="6" t="str">
        <f aca="false">A2893&amp;"|"&amp;B2893&amp;"|"&amp;C2893&amp;"|"&amp;D2893</f>
        <v>5|3|Christine|spotify:track:0LQtEJt7x0s6knb6RKdRYc</v>
      </c>
    </row>
    <row r="2894" customFormat="false" ht="15" hidden="false" customHeight="false" outlineLevel="0" collapsed="false">
      <c r="A2894" s="5" t="n">
        <v>5</v>
      </c>
      <c r="B2894" s="5" t="n">
        <v>3</v>
      </c>
      <c r="C2894" s="5" t="s">
        <v>719</v>
      </c>
      <c r="D2894" s="5" t="s">
        <v>1445</v>
      </c>
      <c r="E2894" s="5" t="n">
        <v>1</v>
      </c>
      <c r="F2894" s="6" t="n">
        <f aca="false">IFERROR(MATCH(A2894&amp;"|"&amp;B2894&amp;"|"&amp;D2894,'All Song Rankings'!$T:$T,0),0)</f>
        <v>458</v>
      </c>
      <c r="G2894" s="6" t="str">
        <f aca="false">IF(F2894=0,"NOT FOUND",INDEX('All Song Rankings'!$A:$A,F2894))</f>
        <v>American Pie</v>
      </c>
      <c r="H2894" s="6" t="str">
        <f aca="false">IF(F2894=0,"NOT FOUND",INDEX('All Song Rankings'!$B:$B,F2894))</f>
        <v>Don McLean</v>
      </c>
      <c r="I2894" s="6" t="str">
        <f aca="false">IF(F2894=0,"NOT FOUND",INDEX('All Song Rankings'!$D:$D,F2894))</f>
        <v>Lisa</v>
      </c>
      <c r="J2894" s="7" t="str">
        <f aca="false">IF(F2894=0,"NOT FOUND",IF(C2894=I2894,"SELF-VOTE",IF(COUNTIF($K:$K,K2894)&gt;1,"DUPLICATE","OK")))</f>
        <v>OK</v>
      </c>
      <c r="K2894" s="6" t="str">
        <f aca="false">A2894&amp;"|"&amp;B2894&amp;"|"&amp;C2894&amp;"|"&amp;D2894</f>
        <v>5|3|Christine|spotify:track:1fDsrQ23eTAVFElUMaf38X</v>
      </c>
    </row>
    <row r="2895" customFormat="false" ht="15" hidden="false" customHeight="false" outlineLevel="0" collapsed="false">
      <c r="A2895" s="5" t="n">
        <v>5</v>
      </c>
      <c r="B2895" s="5" t="n">
        <v>3</v>
      </c>
      <c r="C2895" s="5" t="s">
        <v>719</v>
      </c>
      <c r="D2895" s="5" t="s">
        <v>1450</v>
      </c>
      <c r="E2895" s="5" t="n">
        <v>1</v>
      </c>
      <c r="F2895" s="6" t="n">
        <f aca="false">IFERROR(MATCH(A2895&amp;"|"&amp;B2895&amp;"|"&amp;D2895,'All Song Rankings'!$T:$T,0),0)</f>
        <v>460</v>
      </c>
      <c r="G2895" s="6" t="str">
        <f aca="false">IF(F2895=0,"NOT FOUND",INDEX('All Song Rankings'!$A:$A,F2895))</f>
        <v>Strawberries &amp; Cigarettes</v>
      </c>
      <c r="H2895" s="6" t="str">
        <f aca="false">IF(F2895=0,"NOT FOUND",INDEX('All Song Rankings'!$B:$B,F2895))</f>
        <v>Troye Sivan</v>
      </c>
      <c r="I2895" s="6" t="str">
        <f aca="false">IF(F2895=0,"NOT FOUND",INDEX('All Song Rankings'!$D:$D,F2895))</f>
        <v>Merita</v>
      </c>
      <c r="J2895" s="7" t="str">
        <f aca="false">IF(F2895=0,"NOT FOUND",IF(C2895=I2895,"SELF-VOTE",IF(COUNTIF($K:$K,K2895)&gt;1,"DUPLICATE","OK")))</f>
        <v>OK</v>
      </c>
      <c r="K2895" s="6" t="str">
        <f aca="false">A2895&amp;"|"&amp;B2895&amp;"|"&amp;C2895&amp;"|"&amp;D2895</f>
        <v>5|3|Christine|spotify:track:3afkJSKX0EAMsJXTZnDXXJ</v>
      </c>
    </row>
    <row r="2896" customFormat="false" ht="15" hidden="false" customHeight="false" outlineLevel="0" collapsed="false">
      <c r="A2896" s="5" t="n">
        <v>5</v>
      </c>
      <c r="B2896" s="5" t="n">
        <v>3</v>
      </c>
      <c r="C2896" s="5" t="s">
        <v>719</v>
      </c>
      <c r="D2896" s="5" t="s">
        <v>1426</v>
      </c>
      <c r="E2896" s="5" t="n">
        <v>1</v>
      </c>
      <c r="F2896" s="6" t="n">
        <f aca="false">IFERROR(MATCH(A2896&amp;"|"&amp;B2896&amp;"|"&amp;D2896,'All Song Rankings'!$T:$T,0),0)</f>
        <v>451</v>
      </c>
      <c r="G2896" s="6" t="str">
        <f aca="false">IF(F2896=0,"NOT FOUND",INDEX('All Song Rankings'!$A:$A,F2896))</f>
        <v>Chocolate</v>
      </c>
      <c r="H2896" s="6" t="str">
        <f aca="false">IF(F2896=0,"NOT FOUND",INDEX('All Song Rankings'!$B:$B,F2896))</f>
        <v>The 1975</v>
      </c>
      <c r="I2896" s="6" t="str">
        <f aca="false">IF(F2896=0,"NOT FOUND",INDEX('All Song Rankings'!$D:$D,F2896))</f>
        <v>Stephanie</v>
      </c>
      <c r="J2896" s="7" t="str">
        <f aca="false">IF(F2896=0,"NOT FOUND",IF(C2896=I2896,"SELF-VOTE",IF(COUNTIF($K:$K,K2896)&gt;1,"DUPLICATE","OK")))</f>
        <v>OK</v>
      </c>
      <c r="K2896" s="6" t="str">
        <f aca="false">A2896&amp;"|"&amp;B2896&amp;"|"&amp;C2896&amp;"|"&amp;D2896</f>
        <v>5|3|Christine|spotify:track:44Ljlpy44mHvLJxcYUvTK0</v>
      </c>
    </row>
    <row r="2897" customFormat="false" ht="15" hidden="false" customHeight="false" outlineLevel="0" collapsed="false">
      <c r="A2897" s="5" t="n">
        <v>5</v>
      </c>
      <c r="B2897" s="5" t="n">
        <v>3</v>
      </c>
      <c r="C2897" s="5" t="s">
        <v>719</v>
      </c>
      <c r="D2897" s="5" t="s">
        <v>1439</v>
      </c>
      <c r="E2897" s="5" t="n">
        <v>1</v>
      </c>
      <c r="F2897" s="6" t="n">
        <f aca="false">IFERROR(MATCH(A2897&amp;"|"&amp;B2897&amp;"|"&amp;D2897,'All Song Rankings'!$T:$T,0),0)</f>
        <v>456</v>
      </c>
      <c r="G2897" s="6" t="str">
        <f aca="false">IF(F2897=0,"NOT FOUND",INDEX('All Song Rankings'!$A:$A,F2897))</f>
        <v>Tequila</v>
      </c>
      <c r="H2897" s="6" t="str">
        <f aca="false">IF(F2897=0,"NOT FOUND",INDEX('All Song Rankings'!$B:$B,F2897))</f>
        <v>The Champs</v>
      </c>
      <c r="I2897" s="6" t="str">
        <f aca="false">IF(F2897=0,"NOT FOUND",INDEX('All Song Rankings'!$D:$D,F2897))</f>
        <v>Scott</v>
      </c>
      <c r="J2897" s="7" t="str">
        <f aca="false">IF(F2897=0,"NOT FOUND",IF(C2897=I2897,"SELF-VOTE",IF(COUNTIF($K:$K,K2897)&gt;1,"DUPLICATE","OK")))</f>
        <v>OK</v>
      </c>
      <c r="K2897" s="6" t="str">
        <f aca="false">A2897&amp;"|"&amp;B2897&amp;"|"&amp;C2897&amp;"|"&amp;D2897</f>
        <v>5|3|Christine|spotify:track:5gJKsGij5oGt5H5RSFYXPa</v>
      </c>
    </row>
    <row r="2898" customFormat="false" ht="15" hidden="false" customHeight="false" outlineLevel="0" collapsed="false">
      <c r="A2898" s="5" t="n">
        <v>5</v>
      </c>
      <c r="B2898" s="5" t="n">
        <v>3</v>
      </c>
      <c r="C2898" s="5" t="s">
        <v>719</v>
      </c>
      <c r="D2898" s="5" t="s">
        <v>1434</v>
      </c>
      <c r="E2898" s="5" t="n">
        <v>1</v>
      </c>
      <c r="F2898" s="6" t="n">
        <f aca="false">IFERROR(MATCH(A2898&amp;"|"&amp;B2898&amp;"|"&amp;D2898,'All Song Rankings'!$T:$T,0),0)</f>
        <v>454</v>
      </c>
      <c r="G2898" s="6" t="str">
        <f aca="false">IF(F2898=0,"NOT FOUND",INDEX('All Song Rankings'!$A:$A,F2898))</f>
        <v>Watermelon Sugar</v>
      </c>
      <c r="H2898" s="6" t="str">
        <f aca="false">IF(F2898=0,"NOT FOUND",INDEX('All Song Rankings'!$B:$B,F2898))</f>
        <v>Harry Styles</v>
      </c>
      <c r="I2898" s="6" t="str">
        <f aca="false">IF(F2898=0,"NOT FOUND",INDEX('All Song Rankings'!$D:$D,F2898))</f>
        <v>Grace</v>
      </c>
      <c r="J2898" s="7" t="str">
        <f aca="false">IF(F2898=0,"NOT FOUND",IF(C2898=I2898,"SELF-VOTE",IF(COUNTIF($K:$K,K2898)&gt;1,"DUPLICATE","OK")))</f>
        <v>OK</v>
      </c>
      <c r="K2898" s="6" t="str">
        <f aca="false">A2898&amp;"|"&amp;B2898&amp;"|"&amp;C2898&amp;"|"&amp;D2898</f>
        <v>5|3|Christine|spotify:track:6UelLqGlWMcVH1E5c4H7lY</v>
      </c>
    </row>
    <row r="2899" customFormat="false" ht="15" hidden="false" customHeight="false" outlineLevel="0" collapsed="false">
      <c r="A2899" s="5" t="n">
        <v>5</v>
      </c>
      <c r="B2899" s="5" t="n">
        <v>3</v>
      </c>
      <c r="C2899" s="5" t="s">
        <v>719</v>
      </c>
      <c r="D2899" s="5" t="s">
        <v>1453</v>
      </c>
      <c r="E2899" s="5" t="n">
        <v>2</v>
      </c>
      <c r="F2899" s="6" t="n">
        <f aca="false">IFERROR(MATCH(A2899&amp;"|"&amp;B2899&amp;"|"&amp;D2899,'All Song Rankings'!$T:$T,0),0)</f>
        <v>461</v>
      </c>
      <c r="G2899" s="6" t="str">
        <f aca="false">IF(F2899=0,"NOT FOUND",INDEX('All Song Rankings'!$A:$A,F2899))</f>
        <v>Cheeseburger in Paradise</v>
      </c>
      <c r="H2899" s="6" t="str">
        <f aca="false">IF(F2899=0,"NOT FOUND",INDEX('All Song Rankings'!$B:$B,F2899))</f>
        <v>Jimmy Buffett</v>
      </c>
      <c r="I2899" s="6" t="str">
        <f aca="false">IF(F2899=0,"NOT FOUND",INDEX('All Song Rankings'!$D:$D,F2899))</f>
        <v>Aubrey</v>
      </c>
      <c r="J2899" s="7" t="str">
        <f aca="false">IF(F2899=0,"NOT FOUND",IF(C2899=I2899,"SELF-VOTE",IF(COUNTIF($K:$K,K2899)&gt;1,"DUPLICATE","OK")))</f>
        <v>OK</v>
      </c>
      <c r="K2899" s="6" t="str">
        <f aca="false">A2899&amp;"|"&amp;B2899&amp;"|"&amp;C2899&amp;"|"&amp;D2899</f>
        <v>5|3|Christine|spotify:track:6VeZ970uI0Yi6sjBgyFBrp</v>
      </c>
    </row>
    <row r="2900" customFormat="false" ht="15" hidden="false" customHeight="false" outlineLevel="0" collapsed="false">
      <c r="A2900" s="5" t="n">
        <v>5</v>
      </c>
      <c r="B2900" s="5" t="n">
        <v>3</v>
      </c>
      <c r="C2900" s="5" t="s">
        <v>719</v>
      </c>
      <c r="D2900" s="5" t="s">
        <v>1442</v>
      </c>
      <c r="E2900" s="5" t="n">
        <v>1</v>
      </c>
      <c r="F2900" s="6" t="n">
        <f aca="false">IFERROR(MATCH(A2900&amp;"|"&amp;B2900&amp;"|"&amp;D2900,'All Song Rankings'!$T:$T,0),0)</f>
        <v>457</v>
      </c>
      <c r="G2900" s="6" t="str">
        <f aca="false">IF(F2900=0,"NOT FOUND",INDEX('All Song Rankings'!$A:$A,F2900))</f>
        <v>I Can't Help Myself (Sugar Pie, Honey Bunch)</v>
      </c>
      <c r="H2900" s="6" t="str">
        <f aca="false">IF(F2900=0,"NOT FOUND",INDEX('All Song Rankings'!$B:$B,F2900))</f>
        <v>Four Tops</v>
      </c>
      <c r="I2900" s="6" t="str">
        <f aca="false">IF(F2900=0,"NOT FOUND",INDEX('All Song Rankings'!$D:$D,F2900))</f>
        <v>Logan</v>
      </c>
      <c r="J2900" s="7" t="str">
        <f aca="false">IF(F2900=0,"NOT FOUND",IF(C2900=I2900,"SELF-VOTE",IF(COUNTIF($K:$K,K2900)&gt;1,"DUPLICATE","OK")))</f>
        <v>OK</v>
      </c>
      <c r="K2900" s="6" t="str">
        <f aca="false">A2900&amp;"|"&amp;B2900&amp;"|"&amp;C2900&amp;"|"&amp;D2900</f>
        <v>5|3|Christine|spotify:track:6b6IMqP565TbtFFZg9iFf3</v>
      </c>
    </row>
    <row r="2901" customFormat="false" ht="15" hidden="false" customHeight="false" outlineLevel="0" collapsed="false">
      <c r="A2901" s="5" t="n">
        <v>5</v>
      </c>
      <c r="B2901" s="5" t="n">
        <v>3</v>
      </c>
      <c r="C2901" s="5" t="s">
        <v>719</v>
      </c>
      <c r="D2901" s="5" t="s">
        <v>1429</v>
      </c>
      <c r="E2901" s="5" t="n">
        <v>1</v>
      </c>
      <c r="F2901" s="6" t="n">
        <f aca="false">IFERROR(MATCH(A2901&amp;"|"&amp;B2901&amp;"|"&amp;D2901,'All Song Rankings'!$T:$T,0),0)</f>
        <v>452</v>
      </c>
      <c r="G2901" s="6" t="str">
        <f aca="false">IF(F2901=0,"NOT FOUND",INDEX('All Song Rankings'!$A:$A,F2901))</f>
        <v>Cake By The Ocean</v>
      </c>
      <c r="H2901" s="6" t="str">
        <f aca="false">IF(F2901=0,"NOT FOUND",INDEX('All Song Rankings'!$B:$B,F2901))</f>
        <v>DNCE</v>
      </c>
      <c r="I2901" s="6" t="str">
        <f aca="false">IF(F2901=0,"NOT FOUND",INDEX('All Song Rankings'!$D:$D,F2901))</f>
        <v>Matt</v>
      </c>
      <c r="J2901" s="7" t="str">
        <f aca="false">IF(F2901=0,"NOT FOUND",IF(C2901=I2901,"SELF-VOTE",IF(COUNTIF($K:$K,K2901)&gt;1,"DUPLICATE","OK")))</f>
        <v>OK</v>
      </c>
      <c r="K2901" s="6" t="str">
        <f aca="false">A2901&amp;"|"&amp;B2901&amp;"|"&amp;C2901&amp;"|"&amp;D2901</f>
        <v>5|3|Christine|spotify:track:76hfruVvmfQbw0eYn1nmeC</v>
      </c>
    </row>
    <row r="2902" customFormat="false" ht="15" hidden="false" customHeight="false" outlineLevel="0" collapsed="false">
      <c r="A2902" s="5" t="n">
        <v>5</v>
      </c>
      <c r="B2902" s="5" t="n">
        <v>3</v>
      </c>
      <c r="C2902" s="5" t="s">
        <v>637</v>
      </c>
      <c r="D2902" s="5" t="s">
        <v>1458</v>
      </c>
      <c r="E2902" s="5" t="n">
        <v>1</v>
      </c>
      <c r="F2902" s="6" t="n">
        <f aca="false">IFERROR(MATCH(A2902&amp;"|"&amp;B2902&amp;"|"&amp;D2902,'All Song Rankings'!$T:$T,0),0)</f>
        <v>464</v>
      </c>
      <c r="G2902" s="6" t="str">
        <f aca="false">IF(F2902=0,"NOT FOUND",INDEX('All Song Rankings'!$A:$A,F2902))</f>
        <v>Apple</v>
      </c>
      <c r="H2902" s="6" t="str">
        <f aca="false">IF(F2902=0,"NOT FOUND",INDEX('All Song Rankings'!$B:$B,F2902))</f>
        <v>Charli xcx</v>
      </c>
      <c r="I2902" s="6" t="str">
        <f aca="false">IF(F2902=0,"NOT FOUND",INDEX('All Song Rankings'!$D:$D,F2902))</f>
        <v>Leah</v>
      </c>
      <c r="J2902" s="7" t="str">
        <f aca="false">IF(F2902=0,"NOT FOUND",IF(C2902=I2902,"SELF-VOTE",IF(COUNTIF($K:$K,K2902)&gt;1,"DUPLICATE","OK")))</f>
        <v>OK</v>
      </c>
      <c r="K2902" s="6" t="str">
        <f aca="false">A2902&amp;"|"&amp;B2902&amp;"|"&amp;C2902&amp;"|"&amp;D2902</f>
        <v>5|3|Colleen|spotify:track:19RybK6XDbAVpcdxSbZL1o</v>
      </c>
    </row>
    <row r="2903" customFormat="false" ht="15" hidden="false" customHeight="false" outlineLevel="0" collapsed="false">
      <c r="A2903" s="5" t="n">
        <v>5</v>
      </c>
      <c r="B2903" s="5" t="n">
        <v>3</v>
      </c>
      <c r="C2903" s="5" t="s">
        <v>637</v>
      </c>
      <c r="D2903" s="5" t="s">
        <v>1445</v>
      </c>
      <c r="E2903" s="5" t="n">
        <v>1</v>
      </c>
      <c r="F2903" s="6" t="n">
        <f aca="false">IFERROR(MATCH(A2903&amp;"|"&amp;B2903&amp;"|"&amp;D2903,'All Song Rankings'!$T:$T,0),0)</f>
        <v>458</v>
      </c>
      <c r="G2903" s="6" t="str">
        <f aca="false">IF(F2903=0,"NOT FOUND",INDEX('All Song Rankings'!$A:$A,F2903))</f>
        <v>American Pie</v>
      </c>
      <c r="H2903" s="6" t="str">
        <f aca="false">IF(F2903=0,"NOT FOUND",INDEX('All Song Rankings'!$B:$B,F2903))</f>
        <v>Don McLean</v>
      </c>
      <c r="I2903" s="6" t="str">
        <f aca="false">IF(F2903=0,"NOT FOUND",INDEX('All Song Rankings'!$D:$D,F2903))</f>
        <v>Lisa</v>
      </c>
      <c r="J2903" s="7" t="str">
        <f aca="false">IF(F2903=0,"NOT FOUND",IF(C2903=I2903,"SELF-VOTE",IF(COUNTIF($K:$K,K2903)&gt;1,"DUPLICATE","OK")))</f>
        <v>OK</v>
      </c>
      <c r="K2903" s="6" t="str">
        <f aca="false">A2903&amp;"|"&amp;B2903&amp;"|"&amp;C2903&amp;"|"&amp;D2903</f>
        <v>5|3|Colleen|spotify:track:1fDsrQ23eTAVFElUMaf38X</v>
      </c>
    </row>
    <row r="2904" customFormat="false" ht="15" hidden="false" customHeight="false" outlineLevel="0" collapsed="false">
      <c r="A2904" s="5" t="n">
        <v>5</v>
      </c>
      <c r="B2904" s="5" t="n">
        <v>3</v>
      </c>
      <c r="C2904" s="5" t="s">
        <v>637</v>
      </c>
      <c r="D2904" s="5" t="s">
        <v>1436</v>
      </c>
      <c r="E2904" s="5" t="n">
        <v>1</v>
      </c>
      <c r="F2904" s="6" t="n">
        <f aca="false">IFERROR(MATCH(A2904&amp;"|"&amp;B2904&amp;"|"&amp;D2904,'All Song Rankings'!$T:$T,0),0)</f>
        <v>455</v>
      </c>
      <c r="G2904" s="6" t="str">
        <f aca="false">IF(F2904=0,"NOT FOUND",INDEX('All Song Rankings'!$A:$A,F2904))</f>
        <v>Espresso</v>
      </c>
      <c r="H2904" s="6" t="str">
        <f aca="false">IF(F2904=0,"NOT FOUND",INDEX('All Song Rankings'!$B:$B,F2904))</f>
        <v>Sabrina Carpenter</v>
      </c>
      <c r="I2904" s="6" t="str">
        <f aca="false">IF(F2904=0,"NOT FOUND",INDEX('All Song Rankings'!$D:$D,F2904))</f>
        <v>Nicole</v>
      </c>
      <c r="J2904" s="7" t="str">
        <f aca="false">IF(F2904=0,"NOT FOUND",IF(C2904=I2904,"SELF-VOTE",IF(COUNTIF($K:$K,K2904)&gt;1,"DUPLICATE","OK")))</f>
        <v>OK</v>
      </c>
      <c r="K2904" s="6" t="str">
        <f aca="false">A2904&amp;"|"&amp;B2904&amp;"|"&amp;C2904&amp;"|"&amp;D2904</f>
        <v>5|3|Colleen|spotify:track:1vLqigPHwiFnXsfrLMehV1</v>
      </c>
    </row>
    <row r="2905" customFormat="false" ht="15" hidden="false" customHeight="false" outlineLevel="0" collapsed="false">
      <c r="A2905" s="5" t="n">
        <v>5</v>
      </c>
      <c r="B2905" s="5" t="n">
        <v>3</v>
      </c>
      <c r="C2905" s="5" t="s">
        <v>637</v>
      </c>
      <c r="D2905" s="5" t="s">
        <v>1432</v>
      </c>
      <c r="E2905" s="5" t="n">
        <v>1</v>
      </c>
      <c r="F2905" s="6" t="n">
        <f aca="false">IFERROR(MATCH(A2905&amp;"|"&amp;B2905&amp;"|"&amp;D2905,'All Song Rankings'!$T:$T,0),0)</f>
        <v>453</v>
      </c>
      <c r="G2905" s="6" t="str">
        <f aca="false">IF(F2905=0,"NOT FOUND",INDEX('All Song Rankings'!$A:$A,F2905))</f>
        <v>Raspberry Beret</v>
      </c>
      <c r="H2905" s="6" t="str">
        <f aca="false">IF(F2905=0,"NOT FOUND",INDEX('All Song Rankings'!$B:$B,F2905))</f>
        <v>Prince</v>
      </c>
      <c r="I2905" s="6" t="str">
        <f aca="false">IF(F2905=0,"NOT FOUND",INDEX('All Song Rankings'!$D:$D,F2905))</f>
        <v>Christine</v>
      </c>
      <c r="J2905" s="7" t="str">
        <f aca="false">IF(F2905=0,"NOT FOUND",IF(C2905=I2905,"SELF-VOTE",IF(COUNTIF($K:$K,K2905)&gt;1,"DUPLICATE","OK")))</f>
        <v>OK</v>
      </c>
      <c r="K2905" s="6" t="str">
        <f aca="false">A2905&amp;"|"&amp;B2905&amp;"|"&amp;C2905&amp;"|"&amp;D2905</f>
        <v>5|3|Colleen|spotify:track:2I1W3hcSsPIsEJfD69pHrW</v>
      </c>
    </row>
    <row r="2906" customFormat="false" ht="15" hidden="false" customHeight="false" outlineLevel="0" collapsed="false">
      <c r="A2906" s="5" t="n">
        <v>5</v>
      </c>
      <c r="B2906" s="5" t="n">
        <v>3</v>
      </c>
      <c r="C2906" s="5" t="s">
        <v>637</v>
      </c>
      <c r="D2906" s="5" t="s">
        <v>1447</v>
      </c>
      <c r="E2906" s="5" t="n">
        <v>1</v>
      </c>
      <c r="F2906" s="6" t="n">
        <f aca="false">IFERROR(MATCH(A2906&amp;"|"&amp;B2906&amp;"|"&amp;D2906,'All Song Rankings'!$T:$T,0),0)</f>
        <v>459</v>
      </c>
      <c r="G2906" s="6" t="str">
        <f aca="false">IF(F2906=0,"NOT FOUND",INDEX('All Song Rankings'!$A:$A,F2906))</f>
        <v>Peaches (feat. Daniel Caesar &amp; Giveon)</v>
      </c>
      <c r="H2906" s="6" t="str">
        <f aca="false">IF(F2906=0,"NOT FOUND",INDEX('All Song Rankings'!$B:$B,F2906))</f>
        <v>Justin Bieber</v>
      </c>
      <c r="I2906" s="6" t="str">
        <f aca="false">IF(F2906=0,"NOT FOUND",INDEX('All Song Rankings'!$D:$D,F2906))</f>
        <v>Makenzie</v>
      </c>
      <c r="J2906" s="7" t="str">
        <f aca="false">IF(F2906=0,"NOT FOUND",IF(C2906=I2906,"SELF-VOTE",IF(COUNTIF($K:$K,K2906)&gt;1,"DUPLICATE","OK")))</f>
        <v>OK</v>
      </c>
      <c r="K2906" s="6" t="str">
        <f aca="false">A2906&amp;"|"&amp;B2906&amp;"|"&amp;C2906&amp;"|"&amp;D2906</f>
        <v>5|3|Colleen|spotify:track:4iJyoBOLtHqaGxP12qzhQI</v>
      </c>
    </row>
    <row r="2907" customFormat="false" ht="15" hidden="false" customHeight="false" outlineLevel="0" collapsed="false">
      <c r="A2907" s="5" t="n">
        <v>5</v>
      </c>
      <c r="B2907" s="5" t="n">
        <v>3</v>
      </c>
      <c r="C2907" s="5" t="s">
        <v>637</v>
      </c>
      <c r="D2907" s="5" t="s">
        <v>1455</v>
      </c>
      <c r="E2907" s="5" t="n">
        <v>1</v>
      </c>
      <c r="F2907" s="6" t="n">
        <f aca="false">IFERROR(MATCH(A2907&amp;"|"&amp;B2907&amp;"|"&amp;D2907,'All Song Rankings'!$T:$T,0),0)</f>
        <v>463</v>
      </c>
      <c r="G2907" s="6" t="str">
        <f aca="false">IF(F2907=0,"NOT FOUND",INDEX('All Song Rankings'!$A:$A,F2907))</f>
        <v>Waffle House</v>
      </c>
      <c r="H2907" s="6" t="str">
        <f aca="false">IF(F2907=0,"NOT FOUND",INDEX('All Song Rankings'!$B:$B,F2907))</f>
        <v>Jonas Brothers</v>
      </c>
      <c r="I2907" s="6" t="str">
        <f aca="false">IF(F2907=0,"NOT FOUND",INDEX('All Song Rankings'!$D:$D,F2907))</f>
        <v>Kelsey</v>
      </c>
      <c r="J2907" s="7" t="str">
        <f aca="false">IF(F2907=0,"NOT FOUND",IF(C2907=I2907,"SELF-VOTE",IF(COUNTIF($K:$K,K2907)&gt;1,"DUPLICATE","OK")))</f>
        <v>OK</v>
      </c>
      <c r="K2907" s="6" t="str">
        <f aca="false">A2907&amp;"|"&amp;B2907&amp;"|"&amp;C2907&amp;"|"&amp;D2907</f>
        <v>5|3|Colleen|spotify:track:4inPxqHrj9VmjLx5JCDCV4</v>
      </c>
    </row>
    <row r="2908" customFormat="false" ht="15" hidden="false" customHeight="false" outlineLevel="0" collapsed="false">
      <c r="A2908" s="5" t="n">
        <v>5</v>
      </c>
      <c r="B2908" s="5" t="n">
        <v>3</v>
      </c>
      <c r="C2908" s="5" t="s">
        <v>637</v>
      </c>
      <c r="D2908" s="5" t="s">
        <v>1439</v>
      </c>
      <c r="E2908" s="5" t="n">
        <v>1</v>
      </c>
      <c r="F2908" s="6" t="n">
        <f aca="false">IFERROR(MATCH(A2908&amp;"|"&amp;B2908&amp;"|"&amp;D2908,'All Song Rankings'!$T:$T,0),0)</f>
        <v>456</v>
      </c>
      <c r="G2908" s="6" t="str">
        <f aca="false">IF(F2908=0,"NOT FOUND",INDEX('All Song Rankings'!$A:$A,F2908))</f>
        <v>Tequila</v>
      </c>
      <c r="H2908" s="6" t="str">
        <f aca="false">IF(F2908=0,"NOT FOUND",INDEX('All Song Rankings'!$B:$B,F2908))</f>
        <v>The Champs</v>
      </c>
      <c r="I2908" s="6" t="str">
        <f aca="false">IF(F2908=0,"NOT FOUND",INDEX('All Song Rankings'!$D:$D,F2908))</f>
        <v>Scott</v>
      </c>
      <c r="J2908" s="7" t="str">
        <f aca="false">IF(F2908=0,"NOT FOUND",IF(C2908=I2908,"SELF-VOTE",IF(COUNTIF($K:$K,K2908)&gt;1,"DUPLICATE","OK")))</f>
        <v>OK</v>
      </c>
      <c r="K2908" s="6" t="str">
        <f aca="false">A2908&amp;"|"&amp;B2908&amp;"|"&amp;C2908&amp;"|"&amp;D2908</f>
        <v>5|3|Colleen|spotify:track:5gJKsGij5oGt5H5RSFYXPa</v>
      </c>
    </row>
    <row r="2909" customFormat="false" ht="15" hidden="false" customHeight="false" outlineLevel="0" collapsed="false">
      <c r="A2909" s="5" t="n">
        <v>5</v>
      </c>
      <c r="B2909" s="5" t="n">
        <v>3</v>
      </c>
      <c r="C2909" s="5" t="s">
        <v>637</v>
      </c>
      <c r="D2909" s="5" t="s">
        <v>1434</v>
      </c>
      <c r="E2909" s="5" t="n">
        <v>1</v>
      </c>
      <c r="F2909" s="6" t="n">
        <f aca="false">IFERROR(MATCH(A2909&amp;"|"&amp;B2909&amp;"|"&amp;D2909,'All Song Rankings'!$T:$T,0),0)</f>
        <v>454</v>
      </c>
      <c r="G2909" s="6" t="str">
        <f aca="false">IF(F2909=0,"NOT FOUND",INDEX('All Song Rankings'!$A:$A,F2909))</f>
        <v>Watermelon Sugar</v>
      </c>
      <c r="H2909" s="6" t="str">
        <f aca="false">IF(F2909=0,"NOT FOUND",INDEX('All Song Rankings'!$B:$B,F2909))</f>
        <v>Harry Styles</v>
      </c>
      <c r="I2909" s="6" t="str">
        <f aca="false">IF(F2909=0,"NOT FOUND",INDEX('All Song Rankings'!$D:$D,F2909))</f>
        <v>Grace</v>
      </c>
      <c r="J2909" s="7" t="str">
        <f aca="false">IF(F2909=0,"NOT FOUND",IF(C2909=I2909,"SELF-VOTE",IF(COUNTIF($K:$K,K2909)&gt;1,"DUPLICATE","OK")))</f>
        <v>OK</v>
      </c>
      <c r="K2909" s="6" t="str">
        <f aca="false">A2909&amp;"|"&amp;B2909&amp;"|"&amp;C2909&amp;"|"&amp;D2909</f>
        <v>5|3|Colleen|spotify:track:6UelLqGlWMcVH1E5c4H7lY</v>
      </c>
    </row>
    <row r="2910" customFormat="false" ht="15" hidden="false" customHeight="false" outlineLevel="0" collapsed="false">
      <c r="A2910" s="5" t="n">
        <v>5</v>
      </c>
      <c r="B2910" s="5" t="n">
        <v>3</v>
      </c>
      <c r="C2910" s="5" t="s">
        <v>637</v>
      </c>
      <c r="D2910" s="5" t="s">
        <v>1453</v>
      </c>
      <c r="E2910" s="5" t="n">
        <v>1</v>
      </c>
      <c r="F2910" s="6" t="n">
        <f aca="false">IFERROR(MATCH(A2910&amp;"|"&amp;B2910&amp;"|"&amp;D2910,'All Song Rankings'!$T:$T,0),0)</f>
        <v>461</v>
      </c>
      <c r="G2910" s="6" t="str">
        <f aca="false">IF(F2910=0,"NOT FOUND",INDEX('All Song Rankings'!$A:$A,F2910))</f>
        <v>Cheeseburger in Paradise</v>
      </c>
      <c r="H2910" s="6" t="str">
        <f aca="false">IF(F2910=0,"NOT FOUND",INDEX('All Song Rankings'!$B:$B,F2910))</f>
        <v>Jimmy Buffett</v>
      </c>
      <c r="I2910" s="6" t="str">
        <f aca="false">IF(F2910=0,"NOT FOUND",INDEX('All Song Rankings'!$D:$D,F2910))</f>
        <v>Aubrey</v>
      </c>
      <c r="J2910" s="7" t="str">
        <f aca="false">IF(F2910=0,"NOT FOUND",IF(C2910=I2910,"SELF-VOTE",IF(COUNTIF($K:$K,K2910)&gt;1,"DUPLICATE","OK")))</f>
        <v>OK</v>
      </c>
      <c r="K2910" s="6" t="str">
        <f aca="false">A2910&amp;"|"&amp;B2910&amp;"|"&amp;C2910&amp;"|"&amp;D2910</f>
        <v>5|3|Colleen|spotify:track:6VeZ970uI0Yi6sjBgyFBrp</v>
      </c>
    </row>
    <row r="2911" customFormat="false" ht="15" hidden="false" customHeight="false" outlineLevel="0" collapsed="false">
      <c r="A2911" s="5" t="n">
        <v>5</v>
      </c>
      <c r="B2911" s="5" t="n">
        <v>3</v>
      </c>
      <c r="C2911" s="5" t="s">
        <v>637</v>
      </c>
      <c r="D2911" s="5" t="s">
        <v>1442</v>
      </c>
      <c r="E2911" s="5" t="n">
        <v>1</v>
      </c>
      <c r="F2911" s="6" t="n">
        <f aca="false">IFERROR(MATCH(A2911&amp;"|"&amp;B2911&amp;"|"&amp;D2911,'All Song Rankings'!$T:$T,0),0)</f>
        <v>457</v>
      </c>
      <c r="G2911" s="6" t="str">
        <f aca="false">IF(F2911=0,"NOT FOUND",INDEX('All Song Rankings'!$A:$A,F2911))</f>
        <v>I Can't Help Myself (Sugar Pie, Honey Bunch)</v>
      </c>
      <c r="H2911" s="6" t="str">
        <f aca="false">IF(F2911=0,"NOT FOUND",INDEX('All Song Rankings'!$B:$B,F2911))</f>
        <v>Four Tops</v>
      </c>
      <c r="I2911" s="6" t="str">
        <f aca="false">IF(F2911=0,"NOT FOUND",INDEX('All Song Rankings'!$D:$D,F2911))</f>
        <v>Logan</v>
      </c>
      <c r="J2911" s="7" t="str">
        <f aca="false">IF(F2911=0,"NOT FOUND",IF(C2911=I2911,"SELF-VOTE",IF(COUNTIF($K:$K,K2911)&gt;1,"DUPLICATE","OK")))</f>
        <v>OK</v>
      </c>
      <c r="K2911" s="6" t="str">
        <f aca="false">A2911&amp;"|"&amp;B2911&amp;"|"&amp;C2911&amp;"|"&amp;D2911</f>
        <v>5|3|Colleen|spotify:track:6b6IMqP565TbtFFZg9iFf3</v>
      </c>
    </row>
    <row r="2912" customFormat="false" ht="15" hidden="false" customHeight="false" outlineLevel="0" collapsed="false">
      <c r="A2912" s="5" t="n">
        <v>5</v>
      </c>
      <c r="B2912" s="5" t="n">
        <v>3</v>
      </c>
      <c r="C2912" s="5" t="s">
        <v>382</v>
      </c>
      <c r="D2912" s="5" t="s">
        <v>952</v>
      </c>
      <c r="E2912" s="5" t="n">
        <v>2</v>
      </c>
      <c r="F2912" s="6" t="n">
        <f aca="false">IFERROR(MATCH(A2912&amp;"|"&amp;B2912&amp;"|"&amp;D2912,'All Song Rankings'!$T:$T,0),0)</f>
        <v>462</v>
      </c>
      <c r="G2912" s="6" t="str">
        <f aca="false">IF(F2912=0,"NOT FOUND",INDEX('All Song Rankings'!$A:$A,F2912))</f>
        <v>Chicken Fried</v>
      </c>
      <c r="H2912" s="6" t="str">
        <f aca="false">IF(F2912=0,"NOT FOUND",INDEX('All Song Rankings'!$B:$B,F2912))</f>
        <v>Zac Brown Band</v>
      </c>
      <c r="I2912" s="6" t="str">
        <f aca="false">IF(F2912=0,"NOT FOUND",INDEX('All Song Rankings'!$D:$D,F2912))</f>
        <v>Colleen</v>
      </c>
      <c r="J2912" s="7" t="str">
        <f aca="false">IF(F2912=0,"NOT FOUND",IF(C2912=I2912,"SELF-VOTE",IF(COUNTIF($K:$K,K2912)&gt;1,"DUPLICATE","OK")))</f>
        <v>OK</v>
      </c>
      <c r="K2912" s="6" t="str">
        <f aca="false">A2912&amp;"|"&amp;B2912&amp;"|"&amp;C2912&amp;"|"&amp;D2912</f>
        <v>5|3|Grace|spotify:track:0LQtEJt7x0s6knb6RKdRYc</v>
      </c>
    </row>
    <row r="2913" customFormat="false" ht="15" hidden="false" customHeight="false" outlineLevel="0" collapsed="false">
      <c r="A2913" s="5" t="n">
        <v>5</v>
      </c>
      <c r="B2913" s="5" t="n">
        <v>3</v>
      </c>
      <c r="C2913" s="5" t="s">
        <v>382</v>
      </c>
      <c r="D2913" s="5" t="s">
        <v>1436</v>
      </c>
      <c r="E2913" s="5" t="n">
        <v>3</v>
      </c>
      <c r="F2913" s="6" t="n">
        <f aca="false">IFERROR(MATCH(A2913&amp;"|"&amp;B2913&amp;"|"&amp;D2913,'All Song Rankings'!$T:$T,0),0)</f>
        <v>455</v>
      </c>
      <c r="G2913" s="6" t="str">
        <f aca="false">IF(F2913=0,"NOT FOUND",INDEX('All Song Rankings'!$A:$A,F2913))</f>
        <v>Espresso</v>
      </c>
      <c r="H2913" s="6" t="str">
        <f aca="false">IF(F2913=0,"NOT FOUND",INDEX('All Song Rankings'!$B:$B,F2913))</f>
        <v>Sabrina Carpenter</v>
      </c>
      <c r="I2913" s="6" t="str">
        <f aca="false">IF(F2913=0,"NOT FOUND",INDEX('All Song Rankings'!$D:$D,F2913))</f>
        <v>Nicole</v>
      </c>
      <c r="J2913" s="7" t="str">
        <f aca="false">IF(F2913=0,"NOT FOUND",IF(C2913=I2913,"SELF-VOTE",IF(COUNTIF($K:$K,K2913)&gt;1,"DUPLICATE","OK")))</f>
        <v>OK</v>
      </c>
      <c r="K2913" s="6" t="str">
        <f aca="false">A2913&amp;"|"&amp;B2913&amp;"|"&amp;C2913&amp;"|"&amp;D2913</f>
        <v>5|3|Grace|spotify:track:1vLqigPHwiFnXsfrLMehV1</v>
      </c>
    </row>
    <row r="2914" customFormat="false" ht="15" hidden="false" customHeight="false" outlineLevel="0" collapsed="false">
      <c r="A2914" s="5" t="n">
        <v>5</v>
      </c>
      <c r="B2914" s="5" t="n">
        <v>3</v>
      </c>
      <c r="C2914" s="5" t="s">
        <v>382</v>
      </c>
      <c r="D2914" s="5" t="s">
        <v>1426</v>
      </c>
      <c r="E2914" s="5" t="n">
        <v>2</v>
      </c>
      <c r="F2914" s="6" t="n">
        <f aca="false">IFERROR(MATCH(A2914&amp;"|"&amp;B2914&amp;"|"&amp;D2914,'All Song Rankings'!$T:$T,0),0)</f>
        <v>451</v>
      </c>
      <c r="G2914" s="6" t="str">
        <f aca="false">IF(F2914=0,"NOT FOUND",INDEX('All Song Rankings'!$A:$A,F2914))</f>
        <v>Chocolate</v>
      </c>
      <c r="H2914" s="6" t="str">
        <f aca="false">IF(F2914=0,"NOT FOUND",INDEX('All Song Rankings'!$B:$B,F2914))</f>
        <v>The 1975</v>
      </c>
      <c r="I2914" s="6" t="str">
        <f aca="false">IF(F2914=0,"NOT FOUND",INDEX('All Song Rankings'!$D:$D,F2914))</f>
        <v>Stephanie</v>
      </c>
      <c r="J2914" s="7" t="str">
        <f aca="false">IF(F2914=0,"NOT FOUND",IF(C2914=I2914,"SELF-VOTE",IF(COUNTIF($K:$K,K2914)&gt;1,"DUPLICATE","OK")))</f>
        <v>OK</v>
      </c>
      <c r="K2914" s="6" t="str">
        <f aca="false">A2914&amp;"|"&amp;B2914&amp;"|"&amp;C2914&amp;"|"&amp;D2914</f>
        <v>5|3|Grace|spotify:track:44Ljlpy44mHvLJxcYUvTK0</v>
      </c>
    </row>
    <row r="2915" customFormat="false" ht="15" hidden="false" customHeight="false" outlineLevel="0" collapsed="false">
      <c r="A2915" s="5" t="n">
        <v>5</v>
      </c>
      <c r="B2915" s="5" t="n">
        <v>3</v>
      </c>
      <c r="C2915" s="5" t="s">
        <v>382</v>
      </c>
      <c r="D2915" s="5" t="s">
        <v>1442</v>
      </c>
      <c r="E2915" s="5" t="n">
        <v>1</v>
      </c>
      <c r="F2915" s="6" t="n">
        <f aca="false">IFERROR(MATCH(A2915&amp;"|"&amp;B2915&amp;"|"&amp;D2915,'All Song Rankings'!$T:$T,0),0)</f>
        <v>457</v>
      </c>
      <c r="G2915" s="6" t="str">
        <f aca="false">IF(F2915=0,"NOT FOUND",INDEX('All Song Rankings'!$A:$A,F2915))</f>
        <v>I Can't Help Myself (Sugar Pie, Honey Bunch)</v>
      </c>
      <c r="H2915" s="6" t="str">
        <f aca="false">IF(F2915=0,"NOT FOUND",INDEX('All Song Rankings'!$B:$B,F2915))</f>
        <v>Four Tops</v>
      </c>
      <c r="I2915" s="6" t="str">
        <f aca="false">IF(F2915=0,"NOT FOUND",INDEX('All Song Rankings'!$D:$D,F2915))</f>
        <v>Logan</v>
      </c>
      <c r="J2915" s="7" t="str">
        <f aca="false">IF(F2915=0,"NOT FOUND",IF(C2915=I2915,"SELF-VOTE",IF(COUNTIF($K:$K,K2915)&gt;1,"DUPLICATE","OK")))</f>
        <v>OK</v>
      </c>
      <c r="K2915" s="6" t="str">
        <f aca="false">A2915&amp;"|"&amp;B2915&amp;"|"&amp;C2915&amp;"|"&amp;D2915</f>
        <v>5|3|Grace|spotify:track:6b6IMqP565TbtFFZg9iFf3</v>
      </c>
    </row>
    <row r="2916" customFormat="false" ht="15" hidden="false" customHeight="false" outlineLevel="0" collapsed="false">
      <c r="A2916" s="5" t="n">
        <v>5</v>
      </c>
      <c r="B2916" s="5" t="n">
        <v>3</v>
      </c>
      <c r="C2916" s="5" t="s">
        <v>382</v>
      </c>
      <c r="D2916" s="5" t="s">
        <v>1429</v>
      </c>
      <c r="E2916" s="5" t="n">
        <v>2</v>
      </c>
      <c r="F2916" s="6" t="n">
        <f aca="false">IFERROR(MATCH(A2916&amp;"|"&amp;B2916&amp;"|"&amp;D2916,'All Song Rankings'!$T:$T,0),0)</f>
        <v>452</v>
      </c>
      <c r="G2916" s="6" t="str">
        <f aca="false">IF(F2916=0,"NOT FOUND",INDEX('All Song Rankings'!$A:$A,F2916))</f>
        <v>Cake By The Ocean</v>
      </c>
      <c r="H2916" s="6" t="str">
        <f aca="false">IF(F2916=0,"NOT FOUND",INDEX('All Song Rankings'!$B:$B,F2916))</f>
        <v>DNCE</v>
      </c>
      <c r="I2916" s="6" t="str">
        <f aca="false">IF(F2916=0,"NOT FOUND",INDEX('All Song Rankings'!$D:$D,F2916))</f>
        <v>Matt</v>
      </c>
      <c r="J2916" s="7" t="str">
        <f aca="false">IF(F2916=0,"NOT FOUND",IF(C2916=I2916,"SELF-VOTE",IF(COUNTIF($K:$K,K2916)&gt;1,"DUPLICATE","OK")))</f>
        <v>OK</v>
      </c>
      <c r="K2916" s="6" t="str">
        <f aca="false">A2916&amp;"|"&amp;B2916&amp;"|"&amp;C2916&amp;"|"&amp;D2916</f>
        <v>5|3|Grace|spotify:track:76hfruVvmfQbw0eYn1nmeC</v>
      </c>
    </row>
    <row r="2917" customFormat="false" ht="15" hidden="false" customHeight="false" outlineLevel="0" collapsed="false">
      <c r="A2917" s="5" t="n">
        <v>5</v>
      </c>
      <c r="B2917" s="5" t="n">
        <v>3</v>
      </c>
      <c r="C2917" s="5" t="s">
        <v>85</v>
      </c>
      <c r="D2917" s="5" t="s">
        <v>952</v>
      </c>
      <c r="E2917" s="5" t="n">
        <v>1</v>
      </c>
      <c r="F2917" s="6" t="n">
        <f aca="false">IFERROR(MATCH(A2917&amp;"|"&amp;B2917&amp;"|"&amp;D2917,'All Song Rankings'!$T:$T,0),0)</f>
        <v>462</v>
      </c>
      <c r="G2917" s="6" t="str">
        <f aca="false">IF(F2917=0,"NOT FOUND",INDEX('All Song Rankings'!$A:$A,F2917))</f>
        <v>Chicken Fried</v>
      </c>
      <c r="H2917" s="6" t="str">
        <f aca="false">IF(F2917=0,"NOT FOUND",INDEX('All Song Rankings'!$B:$B,F2917))</f>
        <v>Zac Brown Band</v>
      </c>
      <c r="I2917" s="6" t="str">
        <f aca="false">IF(F2917=0,"NOT FOUND",INDEX('All Song Rankings'!$D:$D,F2917))</f>
        <v>Colleen</v>
      </c>
      <c r="J2917" s="7" t="str">
        <f aca="false">IF(F2917=0,"NOT FOUND",IF(C2917=I2917,"SELF-VOTE",IF(COUNTIF($K:$K,K2917)&gt;1,"DUPLICATE","OK")))</f>
        <v>OK</v>
      </c>
      <c r="K2917" s="6" t="str">
        <f aca="false">A2917&amp;"|"&amp;B2917&amp;"|"&amp;C2917&amp;"|"&amp;D2917</f>
        <v>5|3|Kelsey|spotify:track:0LQtEJt7x0s6knb6RKdRYc</v>
      </c>
    </row>
    <row r="2918" customFormat="false" ht="15" hidden="false" customHeight="false" outlineLevel="0" collapsed="false">
      <c r="A2918" s="5" t="n">
        <v>5</v>
      </c>
      <c r="B2918" s="5" t="n">
        <v>3</v>
      </c>
      <c r="C2918" s="5" t="s">
        <v>85</v>
      </c>
      <c r="D2918" s="5" t="s">
        <v>1458</v>
      </c>
      <c r="E2918" s="5" t="n">
        <v>1</v>
      </c>
      <c r="F2918" s="6" t="n">
        <f aca="false">IFERROR(MATCH(A2918&amp;"|"&amp;B2918&amp;"|"&amp;D2918,'All Song Rankings'!$T:$T,0),0)</f>
        <v>464</v>
      </c>
      <c r="G2918" s="6" t="str">
        <f aca="false">IF(F2918=0,"NOT FOUND",INDEX('All Song Rankings'!$A:$A,F2918))</f>
        <v>Apple</v>
      </c>
      <c r="H2918" s="6" t="str">
        <f aca="false">IF(F2918=0,"NOT FOUND",INDEX('All Song Rankings'!$B:$B,F2918))</f>
        <v>Charli xcx</v>
      </c>
      <c r="I2918" s="6" t="str">
        <f aca="false">IF(F2918=0,"NOT FOUND",INDEX('All Song Rankings'!$D:$D,F2918))</f>
        <v>Leah</v>
      </c>
      <c r="J2918" s="7" t="str">
        <f aca="false">IF(F2918=0,"NOT FOUND",IF(C2918=I2918,"SELF-VOTE",IF(COUNTIF($K:$K,K2918)&gt;1,"DUPLICATE","OK")))</f>
        <v>OK</v>
      </c>
      <c r="K2918" s="6" t="str">
        <f aca="false">A2918&amp;"|"&amp;B2918&amp;"|"&amp;C2918&amp;"|"&amp;D2918</f>
        <v>5|3|Kelsey|spotify:track:19RybK6XDbAVpcdxSbZL1o</v>
      </c>
    </row>
    <row r="2919" customFormat="false" ht="15" hidden="false" customHeight="false" outlineLevel="0" collapsed="false">
      <c r="A2919" s="5" t="n">
        <v>5</v>
      </c>
      <c r="B2919" s="5" t="n">
        <v>3</v>
      </c>
      <c r="C2919" s="5" t="s">
        <v>85</v>
      </c>
      <c r="D2919" s="5" t="s">
        <v>1445</v>
      </c>
      <c r="E2919" s="5" t="n">
        <v>1</v>
      </c>
      <c r="F2919" s="6" t="n">
        <f aca="false">IFERROR(MATCH(A2919&amp;"|"&amp;B2919&amp;"|"&amp;D2919,'All Song Rankings'!$T:$T,0),0)</f>
        <v>458</v>
      </c>
      <c r="G2919" s="6" t="str">
        <f aca="false">IF(F2919=0,"NOT FOUND",INDEX('All Song Rankings'!$A:$A,F2919))</f>
        <v>American Pie</v>
      </c>
      <c r="H2919" s="6" t="str">
        <f aca="false">IF(F2919=0,"NOT FOUND",INDEX('All Song Rankings'!$B:$B,F2919))</f>
        <v>Don McLean</v>
      </c>
      <c r="I2919" s="6" t="str">
        <f aca="false">IF(F2919=0,"NOT FOUND",INDEX('All Song Rankings'!$D:$D,F2919))</f>
        <v>Lisa</v>
      </c>
      <c r="J2919" s="7" t="str">
        <f aca="false">IF(F2919=0,"NOT FOUND",IF(C2919=I2919,"SELF-VOTE",IF(COUNTIF($K:$K,K2919)&gt;1,"DUPLICATE","OK")))</f>
        <v>OK</v>
      </c>
      <c r="K2919" s="6" t="str">
        <f aca="false">A2919&amp;"|"&amp;B2919&amp;"|"&amp;C2919&amp;"|"&amp;D2919</f>
        <v>5|3|Kelsey|spotify:track:1fDsrQ23eTAVFElUMaf38X</v>
      </c>
    </row>
    <row r="2920" customFormat="false" ht="15" hidden="false" customHeight="false" outlineLevel="0" collapsed="false">
      <c r="A2920" s="5" t="n">
        <v>5</v>
      </c>
      <c r="B2920" s="5" t="n">
        <v>3</v>
      </c>
      <c r="C2920" s="5" t="s">
        <v>85</v>
      </c>
      <c r="D2920" s="5" t="s">
        <v>1436</v>
      </c>
      <c r="E2920" s="5" t="n">
        <v>1</v>
      </c>
      <c r="F2920" s="6" t="n">
        <f aca="false">IFERROR(MATCH(A2920&amp;"|"&amp;B2920&amp;"|"&amp;D2920,'All Song Rankings'!$T:$T,0),0)</f>
        <v>455</v>
      </c>
      <c r="G2920" s="6" t="str">
        <f aca="false">IF(F2920=0,"NOT FOUND",INDEX('All Song Rankings'!$A:$A,F2920))</f>
        <v>Espresso</v>
      </c>
      <c r="H2920" s="6" t="str">
        <f aca="false">IF(F2920=0,"NOT FOUND",INDEX('All Song Rankings'!$B:$B,F2920))</f>
        <v>Sabrina Carpenter</v>
      </c>
      <c r="I2920" s="6" t="str">
        <f aca="false">IF(F2920=0,"NOT FOUND",INDEX('All Song Rankings'!$D:$D,F2920))</f>
        <v>Nicole</v>
      </c>
      <c r="J2920" s="7" t="str">
        <f aca="false">IF(F2920=0,"NOT FOUND",IF(C2920=I2920,"SELF-VOTE",IF(COUNTIF($K:$K,K2920)&gt;1,"DUPLICATE","OK")))</f>
        <v>OK</v>
      </c>
      <c r="K2920" s="6" t="str">
        <f aca="false">A2920&amp;"|"&amp;B2920&amp;"|"&amp;C2920&amp;"|"&amp;D2920</f>
        <v>5|3|Kelsey|spotify:track:1vLqigPHwiFnXsfrLMehV1</v>
      </c>
    </row>
    <row r="2921" customFormat="false" ht="15" hidden="false" customHeight="false" outlineLevel="0" collapsed="false">
      <c r="A2921" s="5" t="n">
        <v>5</v>
      </c>
      <c r="B2921" s="5" t="n">
        <v>3</v>
      </c>
      <c r="C2921" s="5" t="s">
        <v>85</v>
      </c>
      <c r="D2921" s="5" t="s">
        <v>1432</v>
      </c>
      <c r="E2921" s="5" t="n">
        <v>1</v>
      </c>
      <c r="F2921" s="6" t="n">
        <f aca="false">IFERROR(MATCH(A2921&amp;"|"&amp;B2921&amp;"|"&amp;D2921,'All Song Rankings'!$T:$T,0),0)</f>
        <v>453</v>
      </c>
      <c r="G2921" s="6" t="str">
        <f aca="false">IF(F2921=0,"NOT FOUND",INDEX('All Song Rankings'!$A:$A,F2921))</f>
        <v>Raspberry Beret</v>
      </c>
      <c r="H2921" s="6" t="str">
        <f aca="false">IF(F2921=0,"NOT FOUND",INDEX('All Song Rankings'!$B:$B,F2921))</f>
        <v>Prince</v>
      </c>
      <c r="I2921" s="6" t="str">
        <f aca="false">IF(F2921=0,"NOT FOUND",INDEX('All Song Rankings'!$D:$D,F2921))</f>
        <v>Christine</v>
      </c>
      <c r="J2921" s="7" t="str">
        <f aca="false">IF(F2921=0,"NOT FOUND",IF(C2921=I2921,"SELF-VOTE",IF(COUNTIF($K:$K,K2921)&gt;1,"DUPLICATE","OK")))</f>
        <v>OK</v>
      </c>
      <c r="K2921" s="6" t="str">
        <f aca="false">A2921&amp;"|"&amp;B2921&amp;"|"&amp;C2921&amp;"|"&amp;D2921</f>
        <v>5|3|Kelsey|spotify:track:2I1W3hcSsPIsEJfD69pHrW</v>
      </c>
    </row>
    <row r="2922" customFormat="false" ht="15" hidden="false" customHeight="false" outlineLevel="0" collapsed="false">
      <c r="A2922" s="5" t="n">
        <v>5</v>
      </c>
      <c r="B2922" s="5" t="n">
        <v>3</v>
      </c>
      <c r="C2922" s="5" t="s">
        <v>85</v>
      </c>
      <c r="D2922" s="5" t="s">
        <v>1447</v>
      </c>
      <c r="E2922" s="5" t="n">
        <v>1</v>
      </c>
      <c r="F2922" s="6" t="n">
        <f aca="false">IFERROR(MATCH(A2922&amp;"|"&amp;B2922&amp;"|"&amp;D2922,'All Song Rankings'!$T:$T,0),0)</f>
        <v>459</v>
      </c>
      <c r="G2922" s="6" t="str">
        <f aca="false">IF(F2922=0,"NOT FOUND",INDEX('All Song Rankings'!$A:$A,F2922))</f>
        <v>Peaches (feat. Daniel Caesar &amp; Giveon)</v>
      </c>
      <c r="H2922" s="6" t="str">
        <f aca="false">IF(F2922=0,"NOT FOUND",INDEX('All Song Rankings'!$B:$B,F2922))</f>
        <v>Justin Bieber</v>
      </c>
      <c r="I2922" s="6" t="str">
        <f aca="false">IF(F2922=0,"NOT FOUND",INDEX('All Song Rankings'!$D:$D,F2922))</f>
        <v>Makenzie</v>
      </c>
      <c r="J2922" s="7" t="str">
        <f aca="false">IF(F2922=0,"NOT FOUND",IF(C2922=I2922,"SELF-VOTE",IF(COUNTIF($K:$K,K2922)&gt;1,"DUPLICATE","OK")))</f>
        <v>OK</v>
      </c>
      <c r="K2922" s="6" t="str">
        <f aca="false">A2922&amp;"|"&amp;B2922&amp;"|"&amp;C2922&amp;"|"&amp;D2922</f>
        <v>5|3|Kelsey|spotify:track:4iJyoBOLtHqaGxP12qzhQI</v>
      </c>
    </row>
    <row r="2923" customFormat="false" ht="15" hidden="false" customHeight="false" outlineLevel="0" collapsed="false">
      <c r="A2923" s="5" t="n">
        <v>5</v>
      </c>
      <c r="B2923" s="5" t="n">
        <v>3</v>
      </c>
      <c r="C2923" s="5" t="s">
        <v>85</v>
      </c>
      <c r="D2923" s="5" t="s">
        <v>1439</v>
      </c>
      <c r="E2923" s="5" t="n">
        <v>1</v>
      </c>
      <c r="F2923" s="6" t="n">
        <f aca="false">IFERROR(MATCH(A2923&amp;"|"&amp;B2923&amp;"|"&amp;D2923,'All Song Rankings'!$T:$T,0),0)</f>
        <v>456</v>
      </c>
      <c r="G2923" s="6" t="str">
        <f aca="false">IF(F2923=0,"NOT FOUND",INDEX('All Song Rankings'!$A:$A,F2923))</f>
        <v>Tequila</v>
      </c>
      <c r="H2923" s="6" t="str">
        <f aca="false">IF(F2923=0,"NOT FOUND",INDEX('All Song Rankings'!$B:$B,F2923))</f>
        <v>The Champs</v>
      </c>
      <c r="I2923" s="6" t="str">
        <f aca="false">IF(F2923=0,"NOT FOUND",INDEX('All Song Rankings'!$D:$D,F2923))</f>
        <v>Scott</v>
      </c>
      <c r="J2923" s="7" t="str">
        <f aca="false">IF(F2923=0,"NOT FOUND",IF(C2923=I2923,"SELF-VOTE",IF(COUNTIF($K:$K,K2923)&gt;1,"DUPLICATE","OK")))</f>
        <v>OK</v>
      </c>
      <c r="K2923" s="6" t="str">
        <f aca="false">A2923&amp;"|"&amp;B2923&amp;"|"&amp;C2923&amp;"|"&amp;D2923</f>
        <v>5|3|Kelsey|spotify:track:5gJKsGij5oGt5H5RSFYXPa</v>
      </c>
    </row>
    <row r="2924" customFormat="false" ht="15" hidden="false" customHeight="false" outlineLevel="0" collapsed="false">
      <c r="A2924" s="5" t="n">
        <v>5</v>
      </c>
      <c r="B2924" s="5" t="n">
        <v>3</v>
      </c>
      <c r="C2924" s="5" t="s">
        <v>85</v>
      </c>
      <c r="D2924" s="5" t="s">
        <v>1434</v>
      </c>
      <c r="E2924" s="5" t="n">
        <v>1</v>
      </c>
      <c r="F2924" s="6" t="n">
        <f aca="false">IFERROR(MATCH(A2924&amp;"|"&amp;B2924&amp;"|"&amp;D2924,'All Song Rankings'!$T:$T,0),0)</f>
        <v>454</v>
      </c>
      <c r="G2924" s="6" t="str">
        <f aca="false">IF(F2924=0,"NOT FOUND",INDEX('All Song Rankings'!$A:$A,F2924))</f>
        <v>Watermelon Sugar</v>
      </c>
      <c r="H2924" s="6" t="str">
        <f aca="false">IF(F2924=0,"NOT FOUND",INDEX('All Song Rankings'!$B:$B,F2924))</f>
        <v>Harry Styles</v>
      </c>
      <c r="I2924" s="6" t="str">
        <f aca="false">IF(F2924=0,"NOT FOUND",INDEX('All Song Rankings'!$D:$D,F2924))</f>
        <v>Grace</v>
      </c>
      <c r="J2924" s="7" t="str">
        <f aca="false">IF(F2924=0,"NOT FOUND",IF(C2924=I2924,"SELF-VOTE",IF(COUNTIF($K:$K,K2924)&gt;1,"DUPLICATE","OK")))</f>
        <v>OK</v>
      </c>
      <c r="K2924" s="6" t="str">
        <f aca="false">A2924&amp;"|"&amp;B2924&amp;"|"&amp;C2924&amp;"|"&amp;D2924</f>
        <v>5|3|Kelsey|spotify:track:6UelLqGlWMcVH1E5c4H7lY</v>
      </c>
    </row>
    <row r="2925" customFormat="false" ht="15" hidden="false" customHeight="false" outlineLevel="0" collapsed="false">
      <c r="A2925" s="5" t="n">
        <v>5</v>
      </c>
      <c r="B2925" s="5" t="n">
        <v>3</v>
      </c>
      <c r="C2925" s="5" t="s">
        <v>85</v>
      </c>
      <c r="D2925" s="5" t="s">
        <v>1442</v>
      </c>
      <c r="E2925" s="5" t="n">
        <v>1</v>
      </c>
      <c r="F2925" s="6" t="n">
        <f aca="false">IFERROR(MATCH(A2925&amp;"|"&amp;B2925&amp;"|"&amp;D2925,'All Song Rankings'!$T:$T,0),0)</f>
        <v>457</v>
      </c>
      <c r="G2925" s="6" t="str">
        <f aca="false">IF(F2925=0,"NOT FOUND",INDEX('All Song Rankings'!$A:$A,F2925))</f>
        <v>I Can't Help Myself (Sugar Pie, Honey Bunch)</v>
      </c>
      <c r="H2925" s="6" t="str">
        <f aca="false">IF(F2925=0,"NOT FOUND",INDEX('All Song Rankings'!$B:$B,F2925))</f>
        <v>Four Tops</v>
      </c>
      <c r="I2925" s="6" t="str">
        <f aca="false">IF(F2925=0,"NOT FOUND",INDEX('All Song Rankings'!$D:$D,F2925))</f>
        <v>Logan</v>
      </c>
      <c r="J2925" s="7" t="str">
        <f aca="false">IF(F2925=0,"NOT FOUND",IF(C2925=I2925,"SELF-VOTE",IF(COUNTIF($K:$K,K2925)&gt;1,"DUPLICATE","OK")))</f>
        <v>OK</v>
      </c>
      <c r="K2925" s="6" t="str">
        <f aca="false">A2925&amp;"|"&amp;B2925&amp;"|"&amp;C2925&amp;"|"&amp;D2925</f>
        <v>5|3|Kelsey|spotify:track:6b6IMqP565TbtFFZg9iFf3</v>
      </c>
    </row>
    <row r="2926" customFormat="false" ht="15" hidden="false" customHeight="false" outlineLevel="0" collapsed="false">
      <c r="A2926" s="5" t="n">
        <v>5</v>
      </c>
      <c r="B2926" s="5" t="n">
        <v>3</v>
      </c>
      <c r="C2926" s="5" t="s">
        <v>85</v>
      </c>
      <c r="D2926" s="5" t="s">
        <v>1429</v>
      </c>
      <c r="E2926" s="5" t="n">
        <v>1</v>
      </c>
      <c r="F2926" s="6" t="n">
        <f aca="false">IFERROR(MATCH(A2926&amp;"|"&amp;B2926&amp;"|"&amp;D2926,'All Song Rankings'!$T:$T,0),0)</f>
        <v>452</v>
      </c>
      <c r="G2926" s="6" t="str">
        <f aca="false">IF(F2926=0,"NOT FOUND",INDEX('All Song Rankings'!$A:$A,F2926))</f>
        <v>Cake By The Ocean</v>
      </c>
      <c r="H2926" s="6" t="str">
        <f aca="false">IF(F2926=0,"NOT FOUND",INDEX('All Song Rankings'!$B:$B,F2926))</f>
        <v>DNCE</v>
      </c>
      <c r="I2926" s="6" t="str">
        <f aca="false">IF(F2926=0,"NOT FOUND",INDEX('All Song Rankings'!$D:$D,F2926))</f>
        <v>Matt</v>
      </c>
      <c r="J2926" s="7" t="str">
        <f aca="false">IF(F2926=0,"NOT FOUND",IF(C2926=I2926,"SELF-VOTE",IF(COUNTIF($K:$K,K2926)&gt;1,"DUPLICATE","OK")))</f>
        <v>OK</v>
      </c>
      <c r="K2926" s="6" t="str">
        <f aca="false">A2926&amp;"|"&amp;B2926&amp;"|"&amp;C2926&amp;"|"&amp;D2926</f>
        <v>5|3|Kelsey|spotify:track:76hfruVvmfQbw0eYn1nmeC</v>
      </c>
    </row>
    <row r="2927" customFormat="false" ht="15" hidden="false" customHeight="false" outlineLevel="0" collapsed="false">
      <c r="A2927" s="5" t="n">
        <v>5</v>
      </c>
      <c r="B2927" s="5" t="n">
        <v>3</v>
      </c>
      <c r="C2927" s="5" t="s">
        <v>106</v>
      </c>
      <c r="D2927" s="5" t="s">
        <v>1432</v>
      </c>
      <c r="E2927" s="5" t="n">
        <v>2</v>
      </c>
      <c r="F2927" s="6" t="n">
        <f aca="false">IFERROR(MATCH(A2927&amp;"|"&amp;B2927&amp;"|"&amp;D2927,'All Song Rankings'!$T:$T,0),0)</f>
        <v>453</v>
      </c>
      <c r="G2927" s="6" t="str">
        <f aca="false">IF(F2927=0,"NOT FOUND",INDEX('All Song Rankings'!$A:$A,F2927))</f>
        <v>Raspberry Beret</v>
      </c>
      <c r="H2927" s="6" t="str">
        <f aca="false">IF(F2927=0,"NOT FOUND",INDEX('All Song Rankings'!$B:$B,F2927))</f>
        <v>Prince</v>
      </c>
      <c r="I2927" s="6" t="str">
        <f aca="false">IF(F2927=0,"NOT FOUND",INDEX('All Song Rankings'!$D:$D,F2927))</f>
        <v>Christine</v>
      </c>
      <c r="J2927" s="7" t="str">
        <f aca="false">IF(F2927=0,"NOT FOUND",IF(C2927=I2927,"SELF-VOTE",IF(COUNTIF($K:$K,K2927)&gt;1,"DUPLICATE","OK")))</f>
        <v>OK</v>
      </c>
      <c r="K2927" s="6" t="str">
        <f aca="false">A2927&amp;"|"&amp;B2927&amp;"|"&amp;C2927&amp;"|"&amp;D2927</f>
        <v>5|3|Kristen|spotify:track:2I1W3hcSsPIsEJfD69pHrW</v>
      </c>
    </row>
    <row r="2928" customFormat="false" ht="15" hidden="false" customHeight="false" outlineLevel="0" collapsed="false">
      <c r="A2928" s="5" t="n">
        <v>5</v>
      </c>
      <c r="B2928" s="5" t="n">
        <v>3</v>
      </c>
      <c r="C2928" s="5" t="s">
        <v>106</v>
      </c>
      <c r="D2928" s="5" t="s">
        <v>1450</v>
      </c>
      <c r="E2928" s="5" t="n">
        <v>1</v>
      </c>
      <c r="F2928" s="6" t="n">
        <f aca="false">IFERROR(MATCH(A2928&amp;"|"&amp;B2928&amp;"|"&amp;D2928,'All Song Rankings'!$T:$T,0),0)</f>
        <v>460</v>
      </c>
      <c r="G2928" s="6" t="str">
        <f aca="false">IF(F2928=0,"NOT FOUND",INDEX('All Song Rankings'!$A:$A,F2928))</f>
        <v>Strawberries &amp; Cigarettes</v>
      </c>
      <c r="H2928" s="6" t="str">
        <f aca="false">IF(F2928=0,"NOT FOUND",INDEX('All Song Rankings'!$B:$B,F2928))</f>
        <v>Troye Sivan</v>
      </c>
      <c r="I2928" s="6" t="str">
        <f aca="false">IF(F2928=0,"NOT FOUND",INDEX('All Song Rankings'!$D:$D,F2928))</f>
        <v>Merita</v>
      </c>
      <c r="J2928" s="7" t="str">
        <f aca="false">IF(F2928=0,"NOT FOUND",IF(C2928=I2928,"SELF-VOTE",IF(COUNTIF($K:$K,K2928)&gt;1,"DUPLICATE","OK")))</f>
        <v>OK</v>
      </c>
      <c r="K2928" s="6" t="str">
        <f aca="false">A2928&amp;"|"&amp;B2928&amp;"|"&amp;C2928&amp;"|"&amp;D2928</f>
        <v>5|3|Kristen|spotify:track:3afkJSKX0EAMsJXTZnDXXJ</v>
      </c>
    </row>
    <row r="2929" customFormat="false" ht="15" hidden="false" customHeight="false" outlineLevel="0" collapsed="false">
      <c r="A2929" s="5" t="n">
        <v>5</v>
      </c>
      <c r="B2929" s="5" t="n">
        <v>3</v>
      </c>
      <c r="C2929" s="5" t="s">
        <v>106</v>
      </c>
      <c r="D2929" s="5" t="s">
        <v>1426</v>
      </c>
      <c r="E2929" s="5" t="n">
        <v>2</v>
      </c>
      <c r="F2929" s="6" t="n">
        <f aca="false">IFERROR(MATCH(A2929&amp;"|"&amp;B2929&amp;"|"&amp;D2929,'All Song Rankings'!$T:$T,0),0)</f>
        <v>451</v>
      </c>
      <c r="G2929" s="6" t="str">
        <f aca="false">IF(F2929=0,"NOT FOUND",INDEX('All Song Rankings'!$A:$A,F2929))</f>
        <v>Chocolate</v>
      </c>
      <c r="H2929" s="6" t="str">
        <f aca="false">IF(F2929=0,"NOT FOUND",INDEX('All Song Rankings'!$B:$B,F2929))</f>
        <v>The 1975</v>
      </c>
      <c r="I2929" s="6" t="str">
        <f aca="false">IF(F2929=0,"NOT FOUND",INDEX('All Song Rankings'!$D:$D,F2929))</f>
        <v>Stephanie</v>
      </c>
      <c r="J2929" s="7" t="str">
        <f aca="false">IF(F2929=0,"NOT FOUND",IF(C2929=I2929,"SELF-VOTE",IF(COUNTIF($K:$K,K2929)&gt;1,"DUPLICATE","OK")))</f>
        <v>OK</v>
      </c>
      <c r="K2929" s="6" t="str">
        <f aca="false">A2929&amp;"|"&amp;B2929&amp;"|"&amp;C2929&amp;"|"&amp;D2929</f>
        <v>5|3|Kristen|spotify:track:44Ljlpy44mHvLJxcYUvTK0</v>
      </c>
    </row>
    <row r="2930" customFormat="false" ht="15" hidden="false" customHeight="false" outlineLevel="0" collapsed="false">
      <c r="A2930" s="5" t="n">
        <v>5</v>
      </c>
      <c r="B2930" s="5" t="n">
        <v>3</v>
      </c>
      <c r="C2930" s="5" t="s">
        <v>106</v>
      </c>
      <c r="D2930" s="5" t="s">
        <v>1447</v>
      </c>
      <c r="E2930" s="5" t="n">
        <v>1</v>
      </c>
      <c r="F2930" s="6" t="n">
        <f aca="false">IFERROR(MATCH(A2930&amp;"|"&amp;B2930&amp;"|"&amp;D2930,'All Song Rankings'!$T:$T,0),0)</f>
        <v>459</v>
      </c>
      <c r="G2930" s="6" t="str">
        <f aca="false">IF(F2930=0,"NOT FOUND",INDEX('All Song Rankings'!$A:$A,F2930))</f>
        <v>Peaches (feat. Daniel Caesar &amp; Giveon)</v>
      </c>
      <c r="H2930" s="6" t="str">
        <f aca="false">IF(F2930=0,"NOT FOUND",INDEX('All Song Rankings'!$B:$B,F2930))</f>
        <v>Justin Bieber</v>
      </c>
      <c r="I2930" s="6" t="str">
        <f aca="false">IF(F2930=0,"NOT FOUND",INDEX('All Song Rankings'!$D:$D,F2930))</f>
        <v>Makenzie</v>
      </c>
      <c r="J2930" s="7" t="str">
        <f aca="false">IF(F2930=0,"NOT FOUND",IF(C2930=I2930,"SELF-VOTE",IF(COUNTIF($K:$K,K2930)&gt;1,"DUPLICATE","OK")))</f>
        <v>OK</v>
      </c>
      <c r="K2930" s="6" t="str">
        <f aca="false">A2930&amp;"|"&amp;B2930&amp;"|"&amp;C2930&amp;"|"&amp;D2930</f>
        <v>5|3|Kristen|spotify:track:4iJyoBOLtHqaGxP12qzhQI</v>
      </c>
    </row>
    <row r="2931" customFormat="false" ht="15" hidden="false" customHeight="false" outlineLevel="0" collapsed="false">
      <c r="A2931" s="5" t="n">
        <v>5</v>
      </c>
      <c r="B2931" s="5" t="n">
        <v>3</v>
      </c>
      <c r="C2931" s="5" t="s">
        <v>106</v>
      </c>
      <c r="D2931" s="5" t="s">
        <v>1439</v>
      </c>
      <c r="E2931" s="5" t="n">
        <v>1</v>
      </c>
      <c r="F2931" s="6" t="n">
        <f aca="false">IFERROR(MATCH(A2931&amp;"|"&amp;B2931&amp;"|"&amp;D2931,'All Song Rankings'!$T:$T,0),0)</f>
        <v>456</v>
      </c>
      <c r="G2931" s="6" t="str">
        <f aca="false">IF(F2931=0,"NOT FOUND",INDEX('All Song Rankings'!$A:$A,F2931))</f>
        <v>Tequila</v>
      </c>
      <c r="H2931" s="6" t="str">
        <f aca="false">IF(F2931=0,"NOT FOUND",INDEX('All Song Rankings'!$B:$B,F2931))</f>
        <v>The Champs</v>
      </c>
      <c r="I2931" s="6" t="str">
        <f aca="false">IF(F2931=0,"NOT FOUND",INDEX('All Song Rankings'!$D:$D,F2931))</f>
        <v>Scott</v>
      </c>
      <c r="J2931" s="7" t="str">
        <f aca="false">IF(F2931=0,"NOT FOUND",IF(C2931=I2931,"SELF-VOTE",IF(COUNTIF($K:$K,K2931)&gt;1,"DUPLICATE","OK")))</f>
        <v>OK</v>
      </c>
      <c r="K2931" s="6" t="str">
        <f aca="false">A2931&amp;"|"&amp;B2931&amp;"|"&amp;C2931&amp;"|"&amp;D2931</f>
        <v>5|3|Kristen|spotify:track:5gJKsGij5oGt5H5RSFYXPa</v>
      </c>
    </row>
    <row r="2932" customFormat="false" ht="15" hidden="false" customHeight="false" outlineLevel="0" collapsed="false">
      <c r="A2932" s="5" t="n">
        <v>5</v>
      </c>
      <c r="B2932" s="5" t="n">
        <v>3</v>
      </c>
      <c r="C2932" s="5" t="s">
        <v>106</v>
      </c>
      <c r="D2932" s="5" t="s">
        <v>1434</v>
      </c>
      <c r="E2932" s="5" t="n">
        <v>1</v>
      </c>
      <c r="F2932" s="6" t="n">
        <f aca="false">IFERROR(MATCH(A2932&amp;"|"&amp;B2932&amp;"|"&amp;D2932,'All Song Rankings'!$T:$T,0),0)</f>
        <v>454</v>
      </c>
      <c r="G2932" s="6" t="str">
        <f aca="false">IF(F2932=0,"NOT FOUND",INDEX('All Song Rankings'!$A:$A,F2932))</f>
        <v>Watermelon Sugar</v>
      </c>
      <c r="H2932" s="6" t="str">
        <f aca="false">IF(F2932=0,"NOT FOUND",INDEX('All Song Rankings'!$B:$B,F2932))</f>
        <v>Harry Styles</v>
      </c>
      <c r="I2932" s="6" t="str">
        <f aca="false">IF(F2932=0,"NOT FOUND",INDEX('All Song Rankings'!$D:$D,F2932))</f>
        <v>Grace</v>
      </c>
      <c r="J2932" s="7" t="str">
        <f aca="false">IF(F2932=0,"NOT FOUND",IF(C2932=I2932,"SELF-VOTE",IF(COUNTIF($K:$K,K2932)&gt;1,"DUPLICATE","OK")))</f>
        <v>OK</v>
      </c>
      <c r="K2932" s="6" t="str">
        <f aca="false">A2932&amp;"|"&amp;B2932&amp;"|"&amp;C2932&amp;"|"&amp;D2932</f>
        <v>5|3|Kristen|spotify:track:6UelLqGlWMcVH1E5c4H7lY</v>
      </c>
    </row>
    <row r="2933" customFormat="false" ht="15" hidden="false" customHeight="false" outlineLevel="0" collapsed="false">
      <c r="A2933" s="5" t="n">
        <v>5</v>
      </c>
      <c r="B2933" s="5" t="n">
        <v>3</v>
      </c>
      <c r="C2933" s="5" t="s">
        <v>106</v>
      </c>
      <c r="D2933" s="5" t="s">
        <v>1429</v>
      </c>
      <c r="E2933" s="5" t="n">
        <v>2</v>
      </c>
      <c r="F2933" s="6" t="n">
        <f aca="false">IFERROR(MATCH(A2933&amp;"|"&amp;B2933&amp;"|"&amp;D2933,'All Song Rankings'!$T:$T,0),0)</f>
        <v>452</v>
      </c>
      <c r="G2933" s="6" t="str">
        <f aca="false">IF(F2933=0,"NOT FOUND",INDEX('All Song Rankings'!$A:$A,F2933))</f>
        <v>Cake By The Ocean</v>
      </c>
      <c r="H2933" s="6" t="str">
        <f aca="false">IF(F2933=0,"NOT FOUND",INDEX('All Song Rankings'!$B:$B,F2933))</f>
        <v>DNCE</v>
      </c>
      <c r="I2933" s="6" t="str">
        <f aca="false">IF(F2933=0,"NOT FOUND",INDEX('All Song Rankings'!$D:$D,F2933))</f>
        <v>Matt</v>
      </c>
      <c r="J2933" s="7" t="str">
        <f aca="false">IF(F2933=0,"NOT FOUND",IF(C2933=I2933,"SELF-VOTE",IF(COUNTIF($K:$K,K2933)&gt;1,"DUPLICATE","OK")))</f>
        <v>OK</v>
      </c>
      <c r="K2933" s="6" t="str">
        <f aca="false">A2933&amp;"|"&amp;B2933&amp;"|"&amp;C2933&amp;"|"&amp;D2933</f>
        <v>5|3|Kristen|spotify:track:76hfruVvmfQbw0eYn1nmeC</v>
      </c>
    </row>
    <row r="2934" customFormat="false" ht="15" hidden="false" customHeight="false" outlineLevel="0" collapsed="false">
      <c r="A2934" s="5" t="n">
        <v>5</v>
      </c>
      <c r="B2934" s="5" t="n">
        <v>3</v>
      </c>
      <c r="C2934" s="5" t="s">
        <v>119</v>
      </c>
      <c r="D2934" s="5" t="s">
        <v>1445</v>
      </c>
      <c r="E2934" s="5" t="n">
        <v>1</v>
      </c>
      <c r="F2934" s="6" t="n">
        <f aca="false">IFERROR(MATCH(A2934&amp;"|"&amp;B2934&amp;"|"&amp;D2934,'All Song Rankings'!$T:$T,0),0)</f>
        <v>458</v>
      </c>
      <c r="G2934" s="6" t="str">
        <f aca="false">IF(F2934=0,"NOT FOUND",INDEX('All Song Rankings'!$A:$A,F2934))</f>
        <v>American Pie</v>
      </c>
      <c r="H2934" s="6" t="str">
        <f aca="false">IF(F2934=0,"NOT FOUND",INDEX('All Song Rankings'!$B:$B,F2934))</f>
        <v>Don McLean</v>
      </c>
      <c r="I2934" s="6" t="str">
        <f aca="false">IF(F2934=0,"NOT FOUND",INDEX('All Song Rankings'!$D:$D,F2934))</f>
        <v>Lisa</v>
      </c>
      <c r="J2934" s="7" t="str">
        <f aca="false">IF(F2934=0,"NOT FOUND",IF(C2934=I2934,"SELF-VOTE",IF(COUNTIF($K:$K,K2934)&gt;1,"DUPLICATE","OK")))</f>
        <v>OK</v>
      </c>
      <c r="K2934" s="6" t="str">
        <f aca="false">A2934&amp;"|"&amp;B2934&amp;"|"&amp;C2934&amp;"|"&amp;D2934</f>
        <v>5|3|Leah|spotify:track:1fDsrQ23eTAVFElUMaf38X</v>
      </c>
    </row>
    <row r="2935" customFormat="false" ht="15" hidden="false" customHeight="false" outlineLevel="0" collapsed="false">
      <c r="A2935" s="5" t="n">
        <v>5</v>
      </c>
      <c r="B2935" s="5" t="n">
        <v>3</v>
      </c>
      <c r="C2935" s="5" t="s">
        <v>119</v>
      </c>
      <c r="D2935" s="5" t="s">
        <v>1432</v>
      </c>
      <c r="E2935" s="5" t="n">
        <v>1</v>
      </c>
      <c r="F2935" s="6" t="n">
        <f aca="false">IFERROR(MATCH(A2935&amp;"|"&amp;B2935&amp;"|"&amp;D2935,'All Song Rankings'!$T:$T,0),0)</f>
        <v>453</v>
      </c>
      <c r="G2935" s="6" t="str">
        <f aca="false">IF(F2935=0,"NOT FOUND",INDEX('All Song Rankings'!$A:$A,F2935))</f>
        <v>Raspberry Beret</v>
      </c>
      <c r="H2935" s="6" t="str">
        <f aca="false">IF(F2935=0,"NOT FOUND",INDEX('All Song Rankings'!$B:$B,F2935))</f>
        <v>Prince</v>
      </c>
      <c r="I2935" s="6" t="str">
        <f aca="false">IF(F2935=0,"NOT FOUND",INDEX('All Song Rankings'!$D:$D,F2935))</f>
        <v>Christine</v>
      </c>
      <c r="J2935" s="7" t="str">
        <f aca="false">IF(F2935=0,"NOT FOUND",IF(C2935=I2935,"SELF-VOTE",IF(COUNTIF($K:$K,K2935)&gt;1,"DUPLICATE","OK")))</f>
        <v>OK</v>
      </c>
      <c r="K2935" s="6" t="str">
        <f aca="false">A2935&amp;"|"&amp;B2935&amp;"|"&amp;C2935&amp;"|"&amp;D2935</f>
        <v>5|3|Leah|spotify:track:2I1W3hcSsPIsEJfD69pHrW</v>
      </c>
    </row>
    <row r="2936" customFormat="false" ht="15" hidden="false" customHeight="false" outlineLevel="0" collapsed="false">
      <c r="A2936" s="5" t="n">
        <v>5</v>
      </c>
      <c r="B2936" s="5" t="n">
        <v>3</v>
      </c>
      <c r="C2936" s="5" t="s">
        <v>119</v>
      </c>
      <c r="D2936" s="5" t="s">
        <v>1450</v>
      </c>
      <c r="E2936" s="5" t="n">
        <v>1</v>
      </c>
      <c r="F2936" s="6" t="n">
        <f aca="false">IFERROR(MATCH(A2936&amp;"|"&amp;B2936&amp;"|"&amp;D2936,'All Song Rankings'!$T:$T,0),0)</f>
        <v>460</v>
      </c>
      <c r="G2936" s="6" t="str">
        <f aca="false">IF(F2936=0,"NOT FOUND",INDEX('All Song Rankings'!$A:$A,F2936))</f>
        <v>Strawberries &amp; Cigarettes</v>
      </c>
      <c r="H2936" s="6" t="str">
        <f aca="false">IF(F2936=0,"NOT FOUND",INDEX('All Song Rankings'!$B:$B,F2936))</f>
        <v>Troye Sivan</v>
      </c>
      <c r="I2936" s="6" t="str">
        <f aca="false">IF(F2936=0,"NOT FOUND",INDEX('All Song Rankings'!$D:$D,F2936))</f>
        <v>Merita</v>
      </c>
      <c r="J2936" s="7" t="str">
        <f aca="false">IF(F2936=0,"NOT FOUND",IF(C2936=I2936,"SELF-VOTE",IF(COUNTIF($K:$K,K2936)&gt;1,"DUPLICATE","OK")))</f>
        <v>OK</v>
      </c>
      <c r="K2936" s="6" t="str">
        <f aca="false">A2936&amp;"|"&amp;B2936&amp;"|"&amp;C2936&amp;"|"&amp;D2936</f>
        <v>5|3|Leah|spotify:track:3afkJSKX0EAMsJXTZnDXXJ</v>
      </c>
    </row>
    <row r="2937" customFormat="false" ht="15" hidden="false" customHeight="false" outlineLevel="0" collapsed="false">
      <c r="A2937" s="5" t="n">
        <v>5</v>
      </c>
      <c r="B2937" s="5" t="n">
        <v>3</v>
      </c>
      <c r="C2937" s="5" t="s">
        <v>119</v>
      </c>
      <c r="D2937" s="5" t="s">
        <v>1426</v>
      </c>
      <c r="E2937" s="5" t="n">
        <v>1</v>
      </c>
      <c r="F2937" s="6" t="n">
        <f aca="false">IFERROR(MATCH(A2937&amp;"|"&amp;B2937&amp;"|"&amp;D2937,'All Song Rankings'!$T:$T,0),0)</f>
        <v>451</v>
      </c>
      <c r="G2937" s="6" t="str">
        <f aca="false">IF(F2937=0,"NOT FOUND",INDEX('All Song Rankings'!$A:$A,F2937))</f>
        <v>Chocolate</v>
      </c>
      <c r="H2937" s="6" t="str">
        <f aca="false">IF(F2937=0,"NOT FOUND",INDEX('All Song Rankings'!$B:$B,F2937))</f>
        <v>The 1975</v>
      </c>
      <c r="I2937" s="6" t="str">
        <f aca="false">IF(F2937=0,"NOT FOUND",INDEX('All Song Rankings'!$D:$D,F2937))</f>
        <v>Stephanie</v>
      </c>
      <c r="J2937" s="7" t="str">
        <f aca="false">IF(F2937=0,"NOT FOUND",IF(C2937=I2937,"SELF-VOTE",IF(COUNTIF($K:$K,K2937)&gt;1,"DUPLICATE","OK")))</f>
        <v>OK</v>
      </c>
      <c r="K2937" s="6" t="str">
        <f aca="false">A2937&amp;"|"&amp;B2937&amp;"|"&amp;C2937&amp;"|"&amp;D2937</f>
        <v>5|3|Leah|spotify:track:44Ljlpy44mHvLJxcYUvTK0</v>
      </c>
    </row>
    <row r="2938" customFormat="false" ht="15" hidden="false" customHeight="false" outlineLevel="0" collapsed="false">
      <c r="A2938" s="5" t="n">
        <v>5</v>
      </c>
      <c r="B2938" s="5" t="n">
        <v>3</v>
      </c>
      <c r="C2938" s="5" t="s">
        <v>119</v>
      </c>
      <c r="D2938" s="5" t="s">
        <v>1447</v>
      </c>
      <c r="E2938" s="5" t="n">
        <v>1</v>
      </c>
      <c r="F2938" s="6" t="n">
        <f aca="false">IFERROR(MATCH(A2938&amp;"|"&amp;B2938&amp;"|"&amp;D2938,'All Song Rankings'!$T:$T,0),0)</f>
        <v>459</v>
      </c>
      <c r="G2938" s="6" t="str">
        <f aca="false">IF(F2938=0,"NOT FOUND",INDEX('All Song Rankings'!$A:$A,F2938))</f>
        <v>Peaches (feat. Daniel Caesar &amp; Giveon)</v>
      </c>
      <c r="H2938" s="6" t="str">
        <f aca="false">IF(F2938=0,"NOT FOUND",INDEX('All Song Rankings'!$B:$B,F2938))</f>
        <v>Justin Bieber</v>
      </c>
      <c r="I2938" s="6" t="str">
        <f aca="false">IF(F2938=0,"NOT FOUND",INDEX('All Song Rankings'!$D:$D,F2938))</f>
        <v>Makenzie</v>
      </c>
      <c r="J2938" s="7" t="str">
        <f aca="false">IF(F2938=0,"NOT FOUND",IF(C2938=I2938,"SELF-VOTE",IF(COUNTIF($K:$K,K2938)&gt;1,"DUPLICATE","OK")))</f>
        <v>OK</v>
      </c>
      <c r="K2938" s="6" t="str">
        <f aca="false">A2938&amp;"|"&amp;B2938&amp;"|"&amp;C2938&amp;"|"&amp;D2938</f>
        <v>5|3|Leah|spotify:track:4iJyoBOLtHqaGxP12qzhQI</v>
      </c>
    </row>
    <row r="2939" customFormat="false" ht="15" hidden="false" customHeight="false" outlineLevel="0" collapsed="false">
      <c r="A2939" s="5" t="n">
        <v>5</v>
      </c>
      <c r="B2939" s="5" t="n">
        <v>3</v>
      </c>
      <c r="C2939" s="5" t="s">
        <v>119</v>
      </c>
      <c r="D2939" s="5" t="s">
        <v>1434</v>
      </c>
      <c r="E2939" s="5" t="n">
        <v>1</v>
      </c>
      <c r="F2939" s="6" t="n">
        <f aca="false">IFERROR(MATCH(A2939&amp;"|"&amp;B2939&amp;"|"&amp;D2939,'All Song Rankings'!$T:$T,0),0)</f>
        <v>454</v>
      </c>
      <c r="G2939" s="6" t="str">
        <f aca="false">IF(F2939=0,"NOT FOUND",INDEX('All Song Rankings'!$A:$A,F2939))</f>
        <v>Watermelon Sugar</v>
      </c>
      <c r="H2939" s="6" t="str">
        <f aca="false">IF(F2939=0,"NOT FOUND",INDEX('All Song Rankings'!$B:$B,F2939))</f>
        <v>Harry Styles</v>
      </c>
      <c r="I2939" s="6" t="str">
        <f aca="false">IF(F2939=0,"NOT FOUND",INDEX('All Song Rankings'!$D:$D,F2939))</f>
        <v>Grace</v>
      </c>
      <c r="J2939" s="7" t="str">
        <f aca="false">IF(F2939=0,"NOT FOUND",IF(C2939=I2939,"SELF-VOTE",IF(COUNTIF($K:$K,K2939)&gt;1,"DUPLICATE","OK")))</f>
        <v>OK</v>
      </c>
      <c r="K2939" s="6" t="str">
        <f aca="false">A2939&amp;"|"&amp;B2939&amp;"|"&amp;C2939&amp;"|"&amp;D2939</f>
        <v>5|3|Leah|spotify:track:6UelLqGlWMcVH1E5c4H7lY</v>
      </c>
    </row>
    <row r="2940" customFormat="false" ht="15" hidden="false" customHeight="false" outlineLevel="0" collapsed="false">
      <c r="A2940" s="5" t="n">
        <v>5</v>
      </c>
      <c r="B2940" s="5" t="n">
        <v>3</v>
      </c>
      <c r="C2940" s="5" t="s">
        <v>119</v>
      </c>
      <c r="D2940" s="5" t="s">
        <v>1453</v>
      </c>
      <c r="E2940" s="5" t="n">
        <v>1</v>
      </c>
      <c r="F2940" s="6" t="n">
        <f aca="false">IFERROR(MATCH(A2940&amp;"|"&amp;B2940&amp;"|"&amp;D2940,'All Song Rankings'!$T:$T,0),0)</f>
        <v>461</v>
      </c>
      <c r="G2940" s="6" t="str">
        <f aca="false">IF(F2940=0,"NOT FOUND",INDEX('All Song Rankings'!$A:$A,F2940))</f>
        <v>Cheeseburger in Paradise</v>
      </c>
      <c r="H2940" s="6" t="str">
        <f aca="false">IF(F2940=0,"NOT FOUND",INDEX('All Song Rankings'!$B:$B,F2940))</f>
        <v>Jimmy Buffett</v>
      </c>
      <c r="I2940" s="6" t="str">
        <f aca="false">IF(F2940=0,"NOT FOUND",INDEX('All Song Rankings'!$D:$D,F2940))</f>
        <v>Aubrey</v>
      </c>
      <c r="J2940" s="7" t="str">
        <f aca="false">IF(F2940=0,"NOT FOUND",IF(C2940=I2940,"SELF-VOTE",IF(COUNTIF($K:$K,K2940)&gt;1,"DUPLICATE","OK")))</f>
        <v>OK</v>
      </c>
      <c r="K2940" s="6" t="str">
        <f aca="false">A2940&amp;"|"&amp;B2940&amp;"|"&amp;C2940&amp;"|"&amp;D2940</f>
        <v>5|3|Leah|spotify:track:6VeZ970uI0Yi6sjBgyFBrp</v>
      </c>
    </row>
    <row r="2941" customFormat="false" ht="15" hidden="false" customHeight="false" outlineLevel="0" collapsed="false">
      <c r="A2941" s="5" t="n">
        <v>5</v>
      </c>
      <c r="B2941" s="5" t="n">
        <v>3</v>
      </c>
      <c r="C2941" s="5" t="s">
        <v>119</v>
      </c>
      <c r="D2941" s="5" t="s">
        <v>1442</v>
      </c>
      <c r="E2941" s="5" t="n">
        <v>1</v>
      </c>
      <c r="F2941" s="6" t="n">
        <f aca="false">IFERROR(MATCH(A2941&amp;"|"&amp;B2941&amp;"|"&amp;D2941,'All Song Rankings'!$T:$T,0),0)</f>
        <v>457</v>
      </c>
      <c r="G2941" s="6" t="str">
        <f aca="false">IF(F2941=0,"NOT FOUND",INDEX('All Song Rankings'!$A:$A,F2941))</f>
        <v>I Can't Help Myself (Sugar Pie, Honey Bunch)</v>
      </c>
      <c r="H2941" s="6" t="str">
        <f aca="false">IF(F2941=0,"NOT FOUND",INDEX('All Song Rankings'!$B:$B,F2941))</f>
        <v>Four Tops</v>
      </c>
      <c r="I2941" s="6" t="str">
        <f aca="false">IF(F2941=0,"NOT FOUND",INDEX('All Song Rankings'!$D:$D,F2941))</f>
        <v>Logan</v>
      </c>
      <c r="J2941" s="7" t="str">
        <f aca="false">IF(F2941=0,"NOT FOUND",IF(C2941=I2941,"SELF-VOTE",IF(COUNTIF($K:$K,K2941)&gt;1,"DUPLICATE","OK")))</f>
        <v>OK</v>
      </c>
      <c r="K2941" s="6" t="str">
        <f aca="false">A2941&amp;"|"&amp;B2941&amp;"|"&amp;C2941&amp;"|"&amp;D2941</f>
        <v>5|3|Leah|spotify:track:6b6IMqP565TbtFFZg9iFf3</v>
      </c>
    </row>
    <row r="2942" customFormat="false" ht="15" hidden="false" customHeight="false" outlineLevel="0" collapsed="false">
      <c r="A2942" s="5" t="n">
        <v>5</v>
      </c>
      <c r="B2942" s="5" t="n">
        <v>3</v>
      </c>
      <c r="C2942" s="5" t="s">
        <v>119</v>
      </c>
      <c r="D2942" s="5" t="s">
        <v>1460</v>
      </c>
      <c r="E2942" s="5" t="n">
        <v>1</v>
      </c>
      <c r="F2942" s="6" t="n">
        <f aca="false">IFERROR(MATCH(A2942&amp;"|"&amp;B2942&amp;"|"&amp;D2942,'All Song Rankings'!$T:$T,0),0)</f>
        <v>465</v>
      </c>
      <c r="G2942" s="6" t="str">
        <f aca="false">IF(F2942=0,"NOT FOUND",INDEX('All Song Rankings'!$A:$A,F2942))</f>
        <v>Peaches</v>
      </c>
      <c r="H2942" s="6" t="str">
        <f aca="false">IF(F2942=0,"NOT FOUND",INDEX('All Song Rankings'!$B:$B,F2942))</f>
        <v>The Presidents Of The United States of America</v>
      </c>
      <c r="I2942" s="6" t="str">
        <f aca="false">IF(F2942=0,"NOT FOUND",INDEX('All Song Rankings'!$D:$D,F2942))</f>
        <v>Kristen</v>
      </c>
      <c r="J2942" s="7" t="str">
        <f aca="false">IF(F2942=0,"NOT FOUND",IF(C2942=I2942,"SELF-VOTE",IF(COUNTIF($K:$K,K2942)&gt;1,"DUPLICATE","OK")))</f>
        <v>OK</v>
      </c>
      <c r="K2942" s="6" t="str">
        <f aca="false">A2942&amp;"|"&amp;B2942&amp;"|"&amp;C2942&amp;"|"&amp;D2942</f>
        <v>5|3|Leah|spotify:track:750wm5pwuAQfnSLX8mxa5f</v>
      </c>
    </row>
    <row r="2943" customFormat="false" ht="15" hidden="false" customHeight="false" outlineLevel="0" collapsed="false">
      <c r="A2943" s="5" t="n">
        <v>5</v>
      </c>
      <c r="B2943" s="5" t="n">
        <v>3</v>
      </c>
      <c r="C2943" s="5" t="s">
        <v>119</v>
      </c>
      <c r="D2943" s="5" t="s">
        <v>1429</v>
      </c>
      <c r="E2943" s="5" t="n">
        <v>1</v>
      </c>
      <c r="F2943" s="6" t="n">
        <f aca="false">IFERROR(MATCH(A2943&amp;"|"&amp;B2943&amp;"|"&amp;D2943,'All Song Rankings'!$T:$T,0),0)</f>
        <v>452</v>
      </c>
      <c r="G2943" s="6" t="str">
        <f aca="false">IF(F2943=0,"NOT FOUND",INDEX('All Song Rankings'!$A:$A,F2943))</f>
        <v>Cake By The Ocean</v>
      </c>
      <c r="H2943" s="6" t="str">
        <f aca="false">IF(F2943=0,"NOT FOUND",INDEX('All Song Rankings'!$B:$B,F2943))</f>
        <v>DNCE</v>
      </c>
      <c r="I2943" s="6" t="str">
        <f aca="false">IF(F2943=0,"NOT FOUND",INDEX('All Song Rankings'!$D:$D,F2943))</f>
        <v>Matt</v>
      </c>
      <c r="J2943" s="7" t="str">
        <f aca="false">IF(F2943=0,"NOT FOUND",IF(C2943=I2943,"SELF-VOTE",IF(COUNTIF($K:$K,K2943)&gt;1,"DUPLICATE","OK")))</f>
        <v>OK</v>
      </c>
      <c r="K2943" s="6" t="str">
        <f aca="false">A2943&amp;"|"&amp;B2943&amp;"|"&amp;C2943&amp;"|"&amp;D2943</f>
        <v>5|3|Leah|spotify:track:76hfruVvmfQbw0eYn1nmeC</v>
      </c>
    </row>
    <row r="2944" customFormat="false" ht="15" hidden="false" customHeight="false" outlineLevel="0" collapsed="false">
      <c r="A2944" s="5" t="n">
        <v>5</v>
      </c>
      <c r="B2944" s="5" t="n">
        <v>3</v>
      </c>
      <c r="C2944" s="5" t="s">
        <v>705</v>
      </c>
      <c r="D2944" s="5" t="s">
        <v>952</v>
      </c>
      <c r="E2944" s="5" t="n">
        <v>1</v>
      </c>
      <c r="F2944" s="6" t="n">
        <f aca="false">IFERROR(MATCH(A2944&amp;"|"&amp;B2944&amp;"|"&amp;D2944,'All Song Rankings'!$T:$T,0),0)</f>
        <v>462</v>
      </c>
      <c r="G2944" s="6" t="str">
        <f aca="false">IF(F2944=0,"NOT FOUND",INDEX('All Song Rankings'!$A:$A,F2944))</f>
        <v>Chicken Fried</v>
      </c>
      <c r="H2944" s="6" t="str">
        <f aca="false">IF(F2944=0,"NOT FOUND",INDEX('All Song Rankings'!$B:$B,F2944))</f>
        <v>Zac Brown Band</v>
      </c>
      <c r="I2944" s="6" t="str">
        <f aca="false">IF(F2944=0,"NOT FOUND",INDEX('All Song Rankings'!$D:$D,F2944))</f>
        <v>Colleen</v>
      </c>
      <c r="J2944" s="7" t="str">
        <f aca="false">IF(F2944=0,"NOT FOUND",IF(C2944=I2944,"SELF-VOTE",IF(COUNTIF($K:$K,K2944)&gt;1,"DUPLICATE","OK")))</f>
        <v>OK</v>
      </c>
      <c r="K2944" s="6" t="str">
        <f aca="false">A2944&amp;"|"&amp;B2944&amp;"|"&amp;C2944&amp;"|"&amp;D2944</f>
        <v>5|3|Lisa|spotify:track:0LQtEJt7x0s6knb6RKdRYc</v>
      </c>
    </row>
    <row r="2945" customFormat="false" ht="15" hidden="false" customHeight="false" outlineLevel="0" collapsed="false">
      <c r="A2945" s="5" t="n">
        <v>5</v>
      </c>
      <c r="B2945" s="5" t="n">
        <v>3</v>
      </c>
      <c r="C2945" s="5" t="s">
        <v>705</v>
      </c>
      <c r="D2945" s="5" t="s">
        <v>1432</v>
      </c>
      <c r="E2945" s="5" t="n">
        <v>3</v>
      </c>
      <c r="F2945" s="6" t="n">
        <f aca="false">IFERROR(MATCH(A2945&amp;"|"&amp;B2945&amp;"|"&amp;D2945,'All Song Rankings'!$T:$T,0),0)</f>
        <v>453</v>
      </c>
      <c r="G2945" s="6" t="str">
        <f aca="false">IF(F2945=0,"NOT FOUND",INDEX('All Song Rankings'!$A:$A,F2945))</f>
        <v>Raspberry Beret</v>
      </c>
      <c r="H2945" s="6" t="str">
        <f aca="false">IF(F2945=0,"NOT FOUND",INDEX('All Song Rankings'!$B:$B,F2945))</f>
        <v>Prince</v>
      </c>
      <c r="I2945" s="6" t="str">
        <f aca="false">IF(F2945=0,"NOT FOUND",INDEX('All Song Rankings'!$D:$D,F2945))</f>
        <v>Christine</v>
      </c>
      <c r="J2945" s="7" t="str">
        <f aca="false">IF(F2945=0,"NOT FOUND",IF(C2945=I2945,"SELF-VOTE",IF(COUNTIF($K:$K,K2945)&gt;1,"DUPLICATE","OK")))</f>
        <v>OK</v>
      </c>
      <c r="K2945" s="6" t="str">
        <f aca="false">A2945&amp;"|"&amp;B2945&amp;"|"&amp;C2945&amp;"|"&amp;D2945</f>
        <v>5|3|Lisa|spotify:track:2I1W3hcSsPIsEJfD69pHrW</v>
      </c>
    </row>
    <row r="2946" customFormat="false" ht="15" hidden="false" customHeight="false" outlineLevel="0" collapsed="false">
      <c r="A2946" s="5" t="n">
        <v>5</v>
      </c>
      <c r="B2946" s="5" t="n">
        <v>3</v>
      </c>
      <c r="C2946" s="5" t="s">
        <v>705</v>
      </c>
      <c r="D2946" s="5" t="s">
        <v>1450</v>
      </c>
      <c r="E2946" s="5" t="n">
        <v>1</v>
      </c>
      <c r="F2946" s="6" t="n">
        <f aca="false">IFERROR(MATCH(A2946&amp;"|"&amp;B2946&amp;"|"&amp;D2946,'All Song Rankings'!$T:$T,0),0)</f>
        <v>460</v>
      </c>
      <c r="G2946" s="6" t="str">
        <f aca="false">IF(F2946=0,"NOT FOUND",INDEX('All Song Rankings'!$A:$A,F2946))</f>
        <v>Strawberries &amp; Cigarettes</v>
      </c>
      <c r="H2946" s="6" t="str">
        <f aca="false">IF(F2946=0,"NOT FOUND",INDEX('All Song Rankings'!$B:$B,F2946))</f>
        <v>Troye Sivan</v>
      </c>
      <c r="I2946" s="6" t="str">
        <f aca="false">IF(F2946=0,"NOT FOUND",INDEX('All Song Rankings'!$D:$D,F2946))</f>
        <v>Merita</v>
      </c>
      <c r="J2946" s="7" t="str">
        <f aca="false">IF(F2946=0,"NOT FOUND",IF(C2946=I2946,"SELF-VOTE",IF(COUNTIF($K:$K,K2946)&gt;1,"DUPLICATE","OK")))</f>
        <v>OK</v>
      </c>
      <c r="K2946" s="6" t="str">
        <f aca="false">A2946&amp;"|"&amp;B2946&amp;"|"&amp;C2946&amp;"|"&amp;D2946</f>
        <v>5|3|Lisa|spotify:track:3afkJSKX0EAMsJXTZnDXXJ</v>
      </c>
    </row>
    <row r="2947" customFormat="false" ht="15" hidden="false" customHeight="false" outlineLevel="0" collapsed="false">
      <c r="A2947" s="5" t="n">
        <v>5</v>
      </c>
      <c r="B2947" s="5" t="n">
        <v>3</v>
      </c>
      <c r="C2947" s="5" t="s">
        <v>705</v>
      </c>
      <c r="D2947" s="5" t="s">
        <v>1439</v>
      </c>
      <c r="E2947" s="5" t="n">
        <v>2</v>
      </c>
      <c r="F2947" s="6" t="n">
        <f aca="false">IFERROR(MATCH(A2947&amp;"|"&amp;B2947&amp;"|"&amp;D2947,'All Song Rankings'!$T:$T,0),0)</f>
        <v>456</v>
      </c>
      <c r="G2947" s="6" t="str">
        <f aca="false">IF(F2947=0,"NOT FOUND",INDEX('All Song Rankings'!$A:$A,F2947))</f>
        <v>Tequila</v>
      </c>
      <c r="H2947" s="6" t="str">
        <f aca="false">IF(F2947=0,"NOT FOUND",INDEX('All Song Rankings'!$B:$B,F2947))</f>
        <v>The Champs</v>
      </c>
      <c r="I2947" s="6" t="str">
        <f aca="false">IF(F2947=0,"NOT FOUND",INDEX('All Song Rankings'!$D:$D,F2947))</f>
        <v>Scott</v>
      </c>
      <c r="J2947" s="7" t="str">
        <f aca="false">IF(F2947=0,"NOT FOUND",IF(C2947=I2947,"SELF-VOTE",IF(COUNTIF($K:$K,K2947)&gt;1,"DUPLICATE","OK")))</f>
        <v>OK</v>
      </c>
      <c r="K2947" s="6" t="str">
        <f aca="false">A2947&amp;"|"&amp;B2947&amp;"|"&amp;C2947&amp;"|"&amp;D2947</f>
        <v>5|3|Lisa|spotify:track:5gJKsGij5oGt5H5RSFYXPa</v>
      </c>
    </row>
    <row r="2948" customFormat="false" ht="15" hidden="false" customHeight="false" outlineLevel="0" collapsed="false">
      <c r="A2948" s="5" t="n">
        <v>5</v>
      </c>
      <c r="B2948" s="5" t="n">
        <v>3</v>
      </c>
      <c r="C2948" s="5" t="s">
        <v>705</v>
      </c>
      <c r="D2948" s="5" t="s">
        <v>1434</v>
      </c>
      <c r="E2948" s="5" t="n">
        <v>1</v>
      </c>
      <c r="F2948" s="6" t="n">
        <f aca="false">IFERROR(MATCH(A2948&amp;"|"&amp;B2948&amp;"|"&amp;D2948,'All Song Rankings'!$T:$T,0),0)</f>
        <v>454</v>
      </c>
      <c r="G2948" s="6" t="str">
        <f aca="false">IF(F2948=0,"NOT FOUND",INDEX('All Song Rankings'!$A:$A,F2948))</f>
        <v>Watermelon Sugar</v>
      </c>
      <c r="H2948" s="6" t="str">
        <f aca="false">IF(F2948=0,"NOT FOUND",INDEX('All Song Rankings'!$B:$B,F2948))</f>
        <v>Harry Styles</v>
      </c>
      <c r="I2948" s="6" t="str">
        <f aca="false">IF(F2948=0,"NOT FOUND",INDEX('All Song Rankings'!$D:$D,F2948))</f>
        <v>Grace</v>
      </c>
      <c r="J2948" s="7" t="str">
        <f aca="false">IF(F2948=0,"NOT FOUND",IF(C2948=I2948,"SELF-VOTE",IF(COUNTIF($K:$K,K2948)&gt;1,"DUPLICATE","OK")))</f>
        <v>OK</v>
      </c>
      <c r="K2948" s="6" t="str">
        <f aca="false">A2948&amp;"|"&amp;B2948&amp;"|"&amp;C2948&amp;"|"&amp;D2948</f>
        <v>5|3|Lisa|spotify:track:6UelLqGlWMcVH1E5c4H7lY</v>
      </c>
    </row>
    <row r="2949" customFormat="false" ht="15" hidden="false" customHeight="false" outlineLevel="0" collapsed="false">
      <c r="A2949" s="5" t="n">
        <v>5</v>
      </c>
      <c r="B2949" s="5" t="n">
        <v>3</v>
      </c>
      <c r="C2949" s="5" t="s">
        <v>705</v>
      </c>
      <c r="D2949" s="5" t="s">
        <v>1453</v>
      </c>
      <c r="E2949" s="5" t="n">
        <v>2</v>
      </c>
      <c r="F2949" s="6" t="n">
        <f aca="false">IFERROR(MATCH(A2949&amp;"|"&amp;B2949&amp;"|"&amp;D2949,'All Song Rankings'!$T:$T,0),0)</f>
        <v>461</v>
      </c>
      <c r="G2949" s="6" t="str">
        <f aca="false">IF(F2949=0,"NOT FOUND",INDEX('All Song Rankings'!$A:$A,F2949))</f>
        <v>Cheeseburger in Paradise</v>
      </c>
      <c r="H2949" s="6" t="str">
        <f aca="false">IF(F2949=0,"NOT FOUND",INDEX('All Song Rankings'!$B:$B,F2949))</f>
        <v>Jimmy Buffett</v>
      </c>
      <c r="I2949" s="6" t="str">
        <f aca="false">IF(F2949=0,"NOT FOUND",INDEX('All Song Rankings'!$D:$D,F2949))</f>
        <v>Aubrey</v>
      </c>
      <c r="J2949" s="7" t="str">
        <f aca="false">IF(F2949=0,"NOT FOUND",IF(C2949=I2949,"SELF-VOTE",IF(COUNTIF($K:$K,K2949)&gt;1,"DUPLICATE","OK")))</f>
        <v>OK</v>
      </c>
      <c r="K2949" s="6" t="str">
        <f aca="false">A2949&amp;"|"&amp;B2949&amp;"|"&amp;C2949&amp;"|"&amp;D2949</f>
        <v>5|3|Lisa|spotify:track:6VeZ970uI0Yi6sjBgyFBrp</v>
      </c>
    </row>
    <row r="2950" customFormat="false" ht="15" hidden="false" customHeight="false" outlineLevel="0" collapsed="false">
      <c r="A2950" s="5" t="n">
        <v>5</v>
      </c>
      <c r="B2950" s="5" t="n">
        <v>3</v>
      </c>
      <c r="C2950" s="5" t="s">
        <v>128</v>
      </c>
      <c r="D2950" s="5" t="s">
        <v>1436</v>
      </c>
      <c r="E2950" s="5" t="n">
        <v>2</v>
      </c>
      <c r="F2950" s="6" t="n">
        <f aca="false">IFERROR(MATCH(A2950&amp;"|"&amp;B2950&amp;"|"&amp;D2950,'All Song Rankings'!$T:$T,0),0)</f>
        <v>455</v>
      </c>
      <c r="G2950" s="6" t="str">
        <f aca="false">IF(F2950=0,"NOT FOUND",INDEX('All Song Rankings'!$A:$A,F2950))</f>
        <v>Espresso</v>
      </c>
      <c r="H2950" s="6" t="str">
        <f aca="false">IF(F2950=0,"NOT FOUND",INDEX('All Song Rankings'!$B:$B,F2950))</f>
        <v>Sabrina Carpenter</v>
      </c>
      <c r="I2950" s="6" t="str">
        <f aca="false">IF(F2950=0,"NOT FOUND",INDEX('All Song Rankings'!$D:$D,F2950))</f>
        <v>Nicole</v>
      </c>
      <c r="J2950" s="7" t="str">
        <f aca="false">IF(F2950=0,"NOT FOUND",IF(C2950=I2950,"SELF-VOTE",IF(COUNTIF($K:$K,K2950)&gt;1,"DUPLICATE","OK")))</f>
        <v>OK</v>
      </c>
      <c r="K2950" s="6" t="str">
        <f aca="false">A2950&amp;"|"&amp;B2950&amp;"|"&amp;C2950&amp;"|"&amp;D2950</f>
        <v>5|3|Logan|spotify:track:1vLqigPHwiFnXsfrLMehV1</v>
      </c>
    </row>
    <row r="2951" customFormat="false" ht="15" hidden="false" customHeight="false" outlineLevel="0" collapsed="false">
      <c r="A2951" s="5" t="n">
        <v>5</v>
      </c>
      <c r="B2951" s="5" t="n">
        <v>3</v>
      </c>
      <c r="C2951" s="5" t="s">
        <v>128</v>
      </c>
      <c r="D2951" s="5" t="s">
        <v>1432</v>
      </c>
      <c r="E2951" s="5" t="n">
        <v>2</v>
      </c>
      <c r="F2951" s="6" t="n">
        <f aca="false">IFERROR(MATCH(A2951&amp;"|"&amp;B2951&amp;"|"&amp;D2951,'All Song Rankings'!$T:$T,0),0)</f>
        <v>453</v>
      </c>
      <c r="G2951" s="6" t="str">
        <f aca="false">IF(F2951=0,"NOT FOUND",INDEX('All Song Rankings'!$A:$A,F2951))</f>
        <v>Raspberry Beret</v>
      </c>
      <c r="H2951" s="6" t="str">
        <f aca="false">IF(F2951=0,"NOT FOUND",INDEX('All Song Rankings'!$B:$B,F2951))</f>
        <v>Prince</v>
      </c>
      <c r="I2951" s="6" t="str">
        <f aca="false">IF(F2951=0,"NOT FOUND",INDEX('All Song Rankings'!$D:$D,F2951))</f>
        <v>Christine</v>
      </c>
      <c r="J2951" s="7" t="str">
        <f aca="false">IF(F2951=0,"NOT FOUND",IF(C2951=I2951,"SELF-VOTE",IF(COUNTIF($K:$K,K2951)&gt;1,"DUPLICATE","OK")))</f>
        <v>OK</v>
      </c>
      <c r="K2951" s="6" t="str">
        <f aca="false">A2951&amp;"|"&amp;B2951&amp;"|"&amp;C2951&amp;"|"&amp;D2951</f>
        <v>5|3|Logan|spotify:track:2I1W3hcSsPIsEJfD69pHrW</v>
      </c>
    </row>
    <row r="2952" customFormat="false" ht="15" hidden="false" customHeight="false" outlineLevel="0" collapsed="false">
      <c r="A2952" s="5" t="n">
        <v>5</v>
      </c>
      <c r="B2952" s="5" t="n">
        <v>3</v>
      </c>
      <c r="C2952" s="5" t="s">
        <v>128</v>
      </c>
      <c r="D2952" s="5" t="s">
        <v>1450</v>
      </c>
      <c r="E2952" s="5" t="n">
        <v>2</v>
      </c>
      <c r="F2952" s="6" t="n">
        <f aca="false">IFERROR(MATCH(A2952&amp;"|"&amp;B2952&amp;"|"&amp;D2952,'All Song Rankings'!$T:$T,0),0)</f>
        <v>460</v>
      </c>
      <c r="G2952" s="6" t="str">
        <f aca="false">IF(F2952=0,"NOT FOUND",INDEX('All Song Rankings'!$A:$A,F2952))</f>
        <v>Strawberries &amp; Cigarettes</v>
      </c>
      <c r="H2952" s="6" t="str">
        <f aca="false">IF(F2952=0,"NOT FOUND",INDEX('All Song Rankings'!$B:$B,F2952))</f>
        <v>Troye Sivan</v>
      </c>
      <c r="I2952" s="6" t="str">
        <f aca="false">IF(F2952=0,"NOT FOUND",INDEX('All Song Rankings'!$D:$D,F2952))</f>
        <v>Merita</v>
      </c>
      <c r="J2952" s="7" t="str">
        <f aca="false">IF(F2952=0,"NOT FOUND",IF(C2952=I2952,"SELF-VOTE",IF(COUNTIF($K:$K,K2952)&gt;1,"DUPLICATE","OK")))</f>
        <v>OK</v>
      </c>
      <c r="K2952" s="6" t="str">
        <f aca="false">A2952&amp;"|"&amp;B2952&amp;"|"&amp;C2952&amp;"|"&amp;D2952</f>
        <v>5|3|Logan|spotify:track:3afkJSKX0EAMsJXTZnDXXJ</v>
      </c>
    </row>
    <row r="2953" customFormat="false" ht="15" hidden="false" customHeight="false" outlineLevel="0" collapsed="false">
      <c r="A2953" s="5" t="n">
        <v>5</v>
      </c>
      <c r="B2953" s="5" t="n">
        <v>3</v>
      </c>
      <c r="C2953" s="5" t="s">
        <v>128</v>
      </c>
      <c r="D2953" s="5" t="s">
        <v>1447</v>
      </c>
      <c r="E2953" s="5" t="n">
        <v>1</v>
      </c>
      <c r="F2953" s="6" t="n">
        <f aca="false">IFERROR(MATCH(A2953&amp;"|"&amp;B2953&amp;"|"&amp;D2953,'All Song Rankings'!$T:$T,0),0)</f>
        <v>459</v>
      </c>
      <c r="G2953" s="6" t="str">
        <f aca="false">IF(F2953=0,"NOT FOUND",INDEX('All Song Rankings'!$A:$A,F2953))</f>
        <v>Peaches (feat. Daniel Caesar &amp; Giveon)</v>
      </c>
      <c r="H2953" s="6" t="str">
        <f aca="false">IF(F2953=0,"NOT FOUND",INDEX('All Song Rankings'!$B:$B,F2953))</f>
        <v>Justin Bieber</v>
      </c>
      <c r="I2953" s="6" t="str">
        <f aca="false">IF(F2953=0,"NOT FOUND",INDEX('All Song Rankings'!$D:$D,F2953))</f>
        <v>Makenzie</v>
      </c>
      <c r="J2953" s="7" t="str">
        <f aca="false">IF(F2953=0,"NOT FOUND",IF(C2953=I2953,"SELF-VOTE",IF(COUNTIF($K:$K,K2953)&gt;1,"DUPLICATE","OK")))</f>
        <v>OK</v>
      </c>
      <c r="K2953" s="6" t="str">
        <f aca="false">A2953&amp;"|"&amp;B2953&amp;"|"&amp;C2953&amp;"|"&amp;D2953</f>
        <v>5|3|Logan|spotify:track:4iJyoBOLtHqaGxP12qzhQI</v>
      </c>
    </row>
    <row r="2954" customFormat="false" ht="15" hidden="false" customHeight="false" outlineLevel="0" collapsed="false">
      <c r="A2954" s="5" t="n">
        <v>5</v>
      </c>
      <c r="B2954" s="5" t="n">
        <v>3</v>
      </c>
      <c r="C2954" s="5" t="s">
        <v>128</v>
      </c>
      <c r="D2954" s="5" t="s">
        <v>1455</v>
      </c>
      <c r="E2954" s="5" t="n">
        <v>1</v>
      </c>
      <c r="F2954" s="6" t="n">
        <f aca="false">IFERROR(MATCH(A2954&amp;"|"&amp;B2954&amp;"|"&amp;D2954,'All Song Rankings'!$T:$T,0),0)</f>
        <v>463</v>
      </c>
      <c r="G2954" s="6" t="str">
        <f aca="false">IF(F2954=0,"NOT FOUND",INDEX('All Song Rankings'!$A:$A,F2954))</f>
        <v>Waffle House</v>
      </c>
      <c r="H2954" s="6" t="str">
        <f aca="false">IF(F2954=0,"NOT FOUND",INDEX('All Song Rankings'!$B:$B,F2954))</f>
        <v>Jonas Brothers</v>
      </c>
      <c r="I2954" s="6" t="str">
        <f aca="false">IF(F2954=0,"NOT FOUND",INDEX('All Song Rankings'!$D:$D,F2954))</f>
        <v>Kelsey</v>
      </c>
      <c r="J2954" s="7" t="str">
        <f aca="false">IF(F2954=0,"NOT FOUND",IF(C2954=I2954,"SELF-VOTE",IF(COUNTIF($K:$K,K2954)&gt;1,"DUPLICATE","OK")))</f>
        <v>OK</v>
      </c>
      <c r="K2954" s="6" t="str">
        <f aca="false">A2954&amp;"|"&amp;B2954&amp;"|"&amp;C2954&amp;"|"&amp;D2954</f>
        <v>5|3|Logan|spotify:track:4inPxqHrj9VmjLx5JCDCV4</v>
      </c>
    </row>
    <row r="2955" customFormat="false" ht="15" hidden="false" customHeight="false" outlineLevel="0" collapsed="false">
      <c r="A2955" s="5" t="n">
        <v>5</v>
      </c>
      <c r="B2955" s="5" t="n">
        <v>3</v>
      </c>
      <c r="C2955" s="5" t="s">
        <v>128</v>
      </c>
      <c r="D2955" s="5" t="s">
        <v>1434</v>
      </c>
      <c r="E2955" s="5" t="n">
        <v>1</v>
      </c>
      <c r="F2955" s="6" t="n">
        <f aca="false">IFERROR(MATCH(A2955&amp;"|"&amp;B2955&amp;"|"&amp;D2955,'All Song Rankings'!$T:$T,0),0)</f>
        <v>454</v>
      </c>
      <c r="G2955" s="6" t="str">
        <f aca="false">IF(F2955=0,"NOT FOUND",INDEX('All Song Rankings'!$A:$A,F2955))</f>
        <v>Watermelon Sugar</v>
      </c>
      <c r="H2955" s="6" t="str">
        <f aca="false">IF(F2955=0,"NOT FOUND",INDEX('All Song Rankings'!$B:$B,F2955))</f>
        <v>Harry Styles</v>
      </c>
      <c r="I2955" s="6" t="str">
        <f aca="false">IF(F2955=0,"NOT FOUND",INDEX('All Song Rankings'!$D:$D,F2955))</f>
        <v>Grace</v>
      </c>
      <c r="J2955" s="7" t="str">
        <f aca="false">IF(F2955=0,"NOT FOUND",IF(C2955=I2955,"SELF-VOTE",IF(COUNTIF($K:$K,K2955)&gt;1,"DUPLICATE","OK")))</f>
        <v>OK</v>
      </c>
      <c r="K2955" s="6" t="str">
        <f aca="false">A2955&amp;"|"&amp;B2955&amp;"|"&amp;C2955&amp;"|"&amp;D2955</f>
        <v>5|3|Logan|spotify:track:6UelLqGlWMcVH1E5c4H7lY</v>
      </c>
    </row>
    <row r="2956" customFormat="false" ht="15" hidden="false" customHeight="false" outlineLevel="0" collapsed="false">
      <c r="A2956" s="5" t="n">
        <v>5</v>
      </c>
      <c r="B2956" s="5" t="n">
        <v>3</v>
      </c>
      <c r="C2956" s="5" t="s">
        <v>128</v>
      </c>
      <c r="D2956" s="5" t="s">
        <v>1429</v>
      </c>
      <c r="E2956" s="5" t="n">
        <v>1</v>
      </c>
      <c r="F2956" s="6" t="n">
        <f aca="false">IFERROR(MATCH(A2956&amp;"|"&amp;B2956&amp;"|"&amp;D2956,'All Song Rankings'!$T:$T,0),0)</f>
        <v>452</v>
      </c>
      <c r="G2956" s="6" t="str">
        <f aca="false">IF(F2956=0,"NOT FOUND",INDEX('All Song Rankings'!$A:$A,F2956))</f>
        <v>Cake By The Ocean</v>
      </c>
      <c r="H2956" s="6" t="str">
        <f aca="false">IF(F2956=0,"NOT FOUND",INDEX('All Song Rankings'!$B:$B,F2956))</f>
        <v>DNCE</v>
      </c>
      <c r="I2956" s="6" t="str">
        <f aca="false">IF(F2956=0,"NOT FOUND",INDEX('All Song Rankings'!$D:$D,F2956))</f>
        <v>Matt</v>
      </c>
      <c r="J2956" s="7" t="str">
        <f aca="false">IF(F2956=0,"NOT FOUND",IF(C2956=I2956,"SELF-VOTE",IF(COUNTIF($K:$K,K2956)&gt;1,"DUPLICATE","OK")))</f>
        <v>OK</v>
      </c>
      <c r="K2956" s="6" t="str">
        <f aca="false">A2956&amp;"|"&amp;B2956&amp;"|"&amp;C2956&amp;"|"&amp;D2956</f>
        <v>5|3|Logan|spotify:track:76hfruVvmfQbw0eYn1nmeC</v>
      </c>
    </row>
    <row r="2957" customFormat="false" ht="15" hidden="false" customHeight="false" outlineLevel="0" collapsed="false">
      <c r="A2957" s="5" t="n">
        <v>5</v>
      </c>
      <c r="B2957" s="5" t="n">
        <v>3</v>
      </c>
      <c r="C2957" s="5" t="s">
        <v>395</v>
      </c>
      <c r="D2957" s="5" t="s">
        <v>1458</v>
      </c>
      <c r="E2957" s="5" t="n">
        <v>1</v>
      </c>
      <c r="F2957" s="6" t="n">
        <f aca="false">IFERROR(MATCH(A2957&amp;"|"&amp;B2957&amp;"|"&amp;D2957,'All Song Rankings'!$T:$T,0),0)</f>
        <v>464</v>
      </c>
      <c r="G2957" s="6" t="str">
        <f aca="false">IF(F2957=0,"NOT FOUND",INDEX('All Song Rankings'!$A:$A,F2957))</f>
        <v>Apple</v>
      </c>
      <c r="H2957" s="6" t="str">
        <f aca="false">IF(F2957=0,"NOT FOUND",INDEX('All Song Rankings'!$B:$B,F2957))</f>
        <v>Charli xcx</v>
      </c>
      <c r="I2957" s="6" t="str">
        <f aca="false">IF(F2957=0,"NOT FOUND",INDEX('All Song Rankings'!$D:$D,F2957))</f>
        <v>Leah</v>
      </c>
      <c r="J2957" s="7" t="str">
        <f aca="false">IF(F2957=0,"NOT FOUND",IF(C2957=I2957,"SELF-VOTE",IF(COUNTIF($K:$K,K2957)&gt;1,"DUPLICATE","OK")))</f>
        <v>OK</v>
      </c>
      <c r="K2957" s="6" t="str">
        <f aca="false">A2957&amp;"|"&amp;B2957&amp;"|"&amp;C2957&amp;"|"&amp;D2957</f>
        <v>5|3|Makenzie|spotify:track:19RybK6XDbAVpcdxSbZL1o</v>
      </c>
    </row>
    <row r="2958" customFormat="false" ht="15" hidden="false" customHeight="false" outlineLevel="0" collapsed="false">
      <c r="A2958" s="5" t="n">
        <v>5</v>
      </c>
      <c r="B2958" s="5" t="n">
        <v>3</v>
      </c>
      <c r="C2958" s="5" t="s">
        <v>395</v>
      </c>
      <c r="D2958" s="5" t="s">
        <v>1426</v>
      </c>
      <c r="E2958" s="5" t="n">
        <v>3</v>
      </c>
      <c r="F2958" s="6" t="n">
        <f aca="false">IFERROR(MATCH(A2958&amp;"|"&amp;B2958&amp;"|"&amp;D2958,'All Song Rankings'!$T:$T,0),0)</f>
        <v>451</v>
      </c>
      <c r="G2958" s="6" t="str">
        <f aca="false">IF(F2958=0,"NOT FOUND",INDEX('All Song Rankings'!$A:$A,F2958))</f>
        <v>Chocolate</v>
      </c>
      <c r="H2958" s="6" t="str">
        <f aca="false">IF(F2958=0,"NOT FOUND",INDEX('All Song Rankings'!$B:$B,F2958))</f>
        <v>The 1975</v>
      </c>
      <c r="I2958" s="6" t="str">
        <f aca="false">IF(F2958=0,"NOT FOUND",INDEX('All Song Rankings'!$D:$D,F2958))</f>
        <v>Stephanie</v>
      </c>
      <c r="J2958" s="7" t="str">
        <f aca="false">IF(F2958=0,"NOT FOUND",IF(C2958=I2958,"SELF-VOTE",IF(COUNTIF($K:$K,K2958)&gt;1,"DUPLICATE","OK")))</f>
        <v>OK</v>
      </c>
      <c r="K2958" s="6" t="str">
        <f aca="false">A2958&amp;"|"&amp;B2958&amp;"|"&amp;C2958&amp;"|"&amp;D2958</f>
        <v>5|3|Makenzie|spotify:track:44Ljlpy44mHvLJxcYUvTK0</v>
      </c>
    </row>
    <row r="2959" customFormat="false" ht="15" hidden="false" customHeight="false" outlineLevel="0" collapsed="false">
      <c r="A2959" s="5" t="n">
        <v>5</v>
      </c>
      <c r="B2959" s="5" t="n">
        <v>3</v>
      </c>
      <c r="C2959" s="5" t="s">
        <v>395</v>
      </c>
      <c r="D2959" s="5" t="s">
        <v>1455</v>
      </c>
      <c r="E2959" s="5" t="n">
        <v>1</v>
      </c>
      <c r="F2959" s="6" t="n">
        <f aca="false">IFERROR(MATCH(A2959&amp;"|"&amp;B2959&amp;"|"&amp;D2959,'All Song Rankings'!$T:$T,0),0)</f>
        <v>463</v>
      </c>
      <c r="G2959" s="6" t="str">
        <f aca="false">IF(F2959=0,"NOT FOUND",INDEX('All Song Rankings'!$A:$A,F2959))</f>
        <v>Waffle House</v>
      </c>
      <c r="H2959" s="6" t="str">
        <f aca="false">IF(F2959=0,"NOT FOUND",INDEX('All Song Rankings'!$B:$B,F2959))</f>
        <v>Jonas Brothers</v>
      </c>
      <c r="I2959" s="6" t="str">
        <f aca="false">IF(F2959=0,"NOT FOUND",INDEX('All Song Rankings'!$D:$D,F2959))</f>
        <v>Kelsey</v>
      </c>
      <c r="J2959" s="7" t="str">
        <f aca="false">IF(F2959=0,"NOT FOUND",IF(C2959=I2959,"SELF-VOTE",IF(COUNTIF($K:$K,K2959)&gt;1,"DUPLICATE","OK")))</f>
        <v>OK</v>
      </c>
      <c r="K2959" s="6" t="str">
        <f aca="false">A2959&amp;"|"&amp;B2959&amp;"|"&amp;C2959&amp;"|"&amp;D2959</f>
        <v>5|3|Makenzie|spotify:track:4inPxqHrj9VmjLx5JCDCV4</v>
      </c>
    </row>
    <row r="2960" customFormat="false" ht="15" hidden="false" customHeight="false" outlineLevel="0" collapsed="false">
      <c r="A2960" s="5" t="n">
        <v>5</v>
      </c>
      <c r="B2960" s="5" t="n">
        <v>3</v>
      </c>
      <c r="C2960" s="5" t="s">
        <v>395</v>
      </c>
      <c r="D2960" s="5" t="s">
        <v>1439</v>
      </c>
      <c r="E2960" s="5" t="n">
        <v>1</v>
      </c>
      <c r="F2960" s="6" t="n">
        <f aca="false">IFERROR(MATCH(A2960&amp;"|"&amp;B2960&amp;"|"&amp;D2960,'All Song Rankings'!$T:$T,0),0)</f>
        <v>456</v>
      </c>
      <c r="G2960" s="6" t="str">
        <f aca="false">IF(F2960=0,"NOT FOUND",INDEX('All Song Rankings'!$A:$A,F2960))</f>
        <v>Tequila</v>
      </c>
      <c r="H2960" s="6" t="str">
        <f aca="false">IF(F2960=0,"NOT FOUND",INDEX('All Song Rankings'!$B:$B,F2960))</f>
        <v>The Champs</v>
      </c>
      <c r="I2960" s="6" t="str">
        <f aca="false">IF(F2960=0,"NOT FOUND",INDEX('All Song Rankings'!$D:$D,F2960))</f>
        <v>Scott</v>
      </c>
      <c r="J2960" s="7" t="str">
        <f aca="false">IF(F2960=0,"NOT FOUND",IF(C2960=I2960,"SELF-VOTE",IF(COUNTIF($K:$K,K2960)&gt;1,"DUPLICATE","OK")))</f>
        <v>OK</v>
      </c>
      <c r="K2960" s="6" t="str">
        <f aca="false">A2960&amp;"|"&amp;B2960&amp;"|"&amp;C2960&amp;"|"&amp;D2960</f>
        <v>5|3|Makenzie|spotify:track:5gJKsGij5oGt5H5RSFYXPa</v>
      </c>
    </row>
    <row r="2961" customFormat="false" ht="15" hidden="false" customHeight="false" outlineLevel="0" collapsed="false">
      <c r="A2961" s="5" t="n">
        <v>5</v>
      </c>
      <c r="B2961" s="5" t="n">
        <v>3</v>
      </c>
      <c r="C2961" s="5" t="s">
        <v>395</v>
      </c>
      <c r="D2961" s="5" t="s">
        <v>1434</v>
      </c>
      <c r="E2961" s="5" t="n">
        <v>1</v>
      </c>
      <c r="F2961" s="6" t="n">
        <f aca="false">IFERROR(MATCH(A2961&amp;"|"&amp;B2961&amp;"|"&amp;D2961,'All Song Rankings'!$T:$T,0),0)</f>
        <v>454</v>
      </c>
      <c r="G2961" s="6" t="str">
        <f aca="false">IF(F2961=0,"NOT FOUND",INDEX('All Song Rankings'!$A:$A,F2961))</f>
        <v>Watermelon Sugar</v>
      </c>
      <c r="H2961" s="6" t="str">
        <f aca="false">IF(F2961=0,"NOT FOUND",INDEX('All Song Rankings'!$B:$B,F2961))</f>
        <v>Harry Styles</v>
      </c>
      <c r="I2961" s="6" t="str">
        <f aca="false">IF(F2961=0,"NOT FOUND",INDEX('All Song Rankings'!$D:$D,F2961))</f>
        <v>Grace</v>
      </c>
      <c r="J2961" s="7" t="str">
        <f aca="false">IF(F2961=0,"NOT FOUND",IF(C2961=I2961,"SELF-VOTE",IF(COUNTIF($K:$K,K2961)&gt;1,"DUPLICATE","OK")))</f>
        <v>OK</v>
      </c>
      <c r="K2961" s="6" t="str">
        <f aca="false">A2961&amp;"|"&amp;B2961&amp;"|"&amp;C2961&amp;"|"&amp;D2961</f>
        <v>5|3|Makenzie|spotify:track:6UelLqGlWMcVH1E5c4H7lY</v>
      </c>
    </row>
    <row r="2962" customFormat="false" ht="15" hidden="false" customHeight="false" outlineLevel="0" collapsed="false">
      <c r="A2962" s="5" t="n">
        <v>5</v>
      </c>
      <c r="B2962" s="5" t="n">
        <v>3</v>
      </c>
      <c r="C2962" s="5" t="s">
        <v>395</v>
      </c>
      <c r="D2962" s="5" t="s">
        <v>1442</v>
      </c>
      <c r="E2962" s="5" t="n">
        <v>1</v>
      </c>
      <c r="F2962" s="6" t="n">
        <f aca="false">IFERROR(MATCH(A2962&amp;"|"&amp;B2962&amp;"|"&amp;D2962,'All Song Rankings'!$T:$T,0),0)</f>
        <v>457</v>
      </c>
      <c r="G2962" s="6" t="str">
        <f aca="false">IF(F2962=0,"NOT FOUND",INDEX('All Song Rankings'!$A:$A,F2962))</f>
        <v>I Can't Help Myself (Sugar Pie, Honey Bunch)</v>
      </c>
      <c r="H2962" s="6" t="str">
        <f aca="false">IF(F2962=0,"NOT FOUND",INDEX('All Song Rankings'!$B:$B,F2962))</f>
        <v>Four Tops</v>
      </c>
      <c r="I2962" s="6" t="str">
        <f aca="false">IF(F2962=0,"NOT FOUND",INDEX('All Song Rankings'!$D:$D,F2962))</f>
        <v>Logan</v>
      </c>
      <c r="J2962" s="7" t="str">
        <f aca="false">IF(F2962=0,"NOT FOUND",IF(C2962=I2962,"SELF-VOTE",IF(COUNTIF($K:$K,K2962)&gt;1,"DUPLICATE","OK")))</f>
        <v>OK</v>
      </c>
      <c r="K2962" s="6" t="str">
        <f aca="false">A2962&amp;"|"&amp;B2962&amp;"|"&amp;C2962&amp;"|"&amp;D2962</f>
        <v>5|3|Makenzie|spotify:track:6b6IMqP565TbtFFZg9iFf3</v>
      </c>
    </row>
    <row r="2963" customFormat="false" ht="15" hidden="false" customHeight="false" outlineLevel="0" collapsed="false">
      <c r="A2963" s="5" t="n">
        <v>5</v>
      </c>
      <c r="B2963" s="5" t="n">
        <v>3</v>
      </c>
      <c r="C2963" s="5" t="s">
        <v>395</v>
      </c>
      <c r="D2963" s="5" t="s">
        <v>1429</v>
      </c>
      <c r="E2963" s="5" t="n">
        <v>2</v>
      </c>
      <c r="F2963" s="6" t="n">
        <f aca="false">IFERROR(MATCH(A2963&amp;"|"&amp;B2963&amp;"|"&amp;D2963,'All Song Rankings'!$T:$T,0),0)</f>
        <v>452</v>
      </c>
      <c r="G2963" s="6" t="str">
        <f aca="false">IF(F2963=0,"NOT FOUND",INDEX('All Song Rankings'!$A:$A,F2963))</f>
        <v>Cake By The Ocean</v>
      </c>
      <c r="H2963" s="6" t="str">
        <f aca="false">IF(F2963=0,"NOT FOUND",INDEX('All Song Rankings'!$B:$B,F2963))</f>
        <v>DNCE</v>
      </c>
      <c r="I2963" s="6" t="str">
        <f aca="false">IF(F2963=0,"NOT FOUND",INDEX('All Song Rankings'!$D:$D,F2963))</f>
        <v>Matt</v>
      </c>
      <c r="J2963" s="7" t="str">
        <f aca="false">IF(F2963=0,"NOT FOUND",IF(C2963=I2963,"SELF-VOTE",IF(COUNTIF($K:$K,K2963)&gt;1,"DUPLICATE","OK")))</f>
        <v>OK</v>
      </c>
      <c r="K2963" s="6" t="str">
        <f aca="false">A2963&amp;"|"&amp;B2963&amp;"|"&amp;C2963&amp;"|"&amp;D2963</f>
        <v>5|3|Makenzie|spotify:track:76hfruVvmfQbw0eYn1nmeC</v>
      </c>
    </row>
    <row r="2964" customFormat="false" ht="15" hidden="false" customHeight="false" outlineLevel="0" collapsed="false">
      <c r="A2964" s="5" t="n">
        <v>5</v>
      </c>
      <c r="B2964" s="5" t="n">
        <v>3</v>
      </c>
      <c r="C2964" s="5" t="s">
        <v>116</v>
      </c>
      <c r="D2964" s="5" t="s">
        <v>952</v>
      </c>
      <c r="E2964" s="5" t="n">
        <v>1</v>
      </c>
      <c r="F2964" s="6" t="n">
        <f aca="false">IFERROR(MATCH(A2964&amp;"|"&amp;B2964&amp;"|"&amp;D2964,'All Song Rankings'!$T:$T,0),0)</f>
        <v>462</v>
      </c>
      <c r="G2964" s="6" t="str">
        <f aca="false">IF(F2964=0,"NOT FOUND",INDEX('All Song Rankings'!$A:$A,F2964))</f>
        <v>Chicken Fried</v>
      </c>
      <c r="H2964" s="6" t="str">
        <f aca="false">IF(F2964=0,"NOT FOUND",INDEX('All Song Rankings'!$B:$B,F2964))</f>
        <v>Zac Brown Band</v>
      </c>
      <c r="I2964" s="6" t="str">
        <f aca="false">IF(F2964=0,"NOT FOUND",INDEX('All Song Rankings'!$D:$D,F2964))</f>
        <v>Colleen</v>
      </c>
      <c r="J2964" s="7" t="str">
        <f aca="false">IF(F2964=0,"NOT FOUND",IF(C2964=I2964,"SELF-VOTE",IF(COUNTIF($K:$K,K2964)&gt;1,"DUPLICATE","OK")))</f>
        <v>OK</v>
      </c>
      <c r="K2964" s="6" t="str">
        <f aca="false">A2964&amp;"|"&amp;B2964&amp;"|"&amp;C2964&amp;"|"&amp;D2964</f>
        <v>5|3|Matt|spotify:track:0LQtEJt7x0s6knb6RKdRYc</v>
      </c>
    </row>
    <row r="2965" customFormat="false" ht="15" hidden="false" customHeight="false" outlineLevel="0" collapsed="false">
      <c r="A2965" s="5" t="n">
        <v>5</v>
      </c>
      <c r="B2965" s="5" t="n">
        <v>3</v>
      </c>
      <c r="C2965" s="5" t="s">
        <v>116</v>
      </c>
      <c r="D2965" s="5" t="s">
        <v>1458</v>
      </c>
      <c r="E2965" s="5" t="n">
        <v>1</v>
      </c>
      <c r="F2965" s="6" t="n">
        <f aca="false">IFERROR(MATCH(A2965&amp;"|"&amp;B2965&amp;"|"&amp;D2965,'All Song Rankings'!$T:$T,0),0)</f>
        <v>464</v>
      </c>
      <c r="G2965" s="6" t="str">
        <f aca="false">IF(F2965=0,"NOT FOUND",INDEX('All Song Rankings'!$A:$A,F2965))</f>
        <v>Apple</v>
      </c>
      <c r="H2965" s="6" t="str">
        <f aca="false">IF(F2965=0,"NOT FOUND",INDEX('All Song Rankings'!$B:$B,F2965))</f>
        <v>Charli xcx</v>
      </c>
      <c r="I2965" s="6" t="str">
        <f aca="false">IF(F2965=0,"NOT FOUND",INDEX('All Song Rankings'!$D:$D,F2965))</f>
        <v>Leah</v>
      </c>
      <c r="J2965" s="7" t="str">
        <f aca="false">IF(F2965=0,"NOT FOUND",IF(C2965=I2965,"SELF-VOTE",IF(COUNTIF($K:$K,K2965)&gt;1,"DUPLICATE","OK")))</f>
        <v>OK</v>
      </c>
      <c r="K2965" s="6" t="str">
        <f aca="false">A2965&amp;"|"&amp;B2965&amp;"|"&amp;C2965&amp;"|"&amp;D2965</f>
        <v>5|3|Matt|spotify:track:19RybK6XDbAVpcdxSbZL1o</v>
      </c>
    </row>
    <row r="2966" customFormat="false" ht="15" hidden="false" customHeight="false" outlineLevel="0" collapsed="false">
      <c r="A2966" s="5" t="n">
        <v>5</v>
      </c>
      <c r="B2966" s="5" t="n">
        <v>3</v>
      </c>
      <c r="C2966" s="5" t="s">
        <v>116</v>
      </c>
      <c r="D2966" s="5" t="s">
        <v>1445</v>
      </c>
      <c r="E2966" s="5" t="n">
        <v>1</v>
      </c>
      <c r="F2966" s="6" t="n">
        <f aca="false">IFERROR(MATCH(A2966&amp;"|"&amp;B2966&amp;"|"&amp;D2966,'All Song Rankings'!$T:$T,0),0)</f>
        <v>458</v>
      </c>
      <c r="G2966" s="6" t="str">
        <f aca="false">IF(F2966=0,"NOT FOUND",INDEX('All Song Rankings'!$A:$A,F2966))</f>
        <v>American Pie</v>
      </c>
      <c r="H2966" s="6" t="str">
        <f aca="false">IF(F2966=0,"NOT FOUND",INDEX('All Song Rankings'!$B:$B,F2966))</f>
        <v>Don McLean</v>
      </c>
      <c r="I2966" s="6" t="str">
        <f aca="false">IF(F2966=0,"NOT FOUND",INDEX('All Song Rankings'!$D:$D,F2966))</f>
        <v>Lisa</v>
      </c>
      <c r="J2966" s="7" t="str">
        <f aca="false">IF(F2966=0,"NOT FOUND",IF(C2966=I2966,"SELF-VOTE",IF(COUNTIF($K:$K,K2966)&gt;1,"DUPLICATE","OK")))</f>
        <v>OK</v>
      </c>
      <c r="K2966" s="6" t="str">
        <f aca="false">A2966&amp;"|"&amp;B2966&amp;"|"&amp;C2966&amp;"|"&amp;D2966</f>
        <v>5|3|Matt|spotify:track:1fDsrQ23eTAVFElUMaf38X</v>
      </c>
    </row>
    <row r="2967" customFormat="false" ht="15" hidden="false" customHeight="false" outlineLevel="0" collapsed="false">
      <c r="A2967" s="5" t="n">
        <v>5</v>
      </c>
      <c r="B2967" s="5" t="n">
        <v>3</v>
      </c>
      <c r="C2967" s="5" t="s">
        <v>116</v>
      </c>
      <c r="D2967" s="5" t="s">
        <v>1436</v>
      </c>
      <c r="E2967" s="5" t="n">
        <v>1</v>
      </c>
      <c r="F2967" s="6" t="n">
        <f aca="false">IFERROR(MATCH(A2967&amp;"|"&amp;B2967&amp;"|"&amp;D2967,'All Song Rankings'!$T:$T,0),0)</f>
        <v>455</v>
      </c>
      <c r="G2967" s="6" t="str">
        <f aca="false">IF(F2967=0,"NOT FOUND",INDEX('All Song Rankings'!$A:$A,F2967))</f>
        <v>Espresso</v>
      </c>
      <c r="H2967" s="6" t="str">
        <f aca="false">IF(F2967=0,"NOT FOUND",INDEX('All Song Rankings'!$B:$B,F2967))</f>
        <v>Sabrina Carpenter</v>
      </c>
      <c r="I2967" s="6" t="str">
        <f aca="false">IF(F2967=0,"NOT FOUND",INDEX('All Song Rankings'!$D:$D,F2967))</f>
        <v>Nicole</v>
      </c>
      <c r="J2967" s="7" t="str">
        <f aca="false">IF(F2967=0,"NOT FOUND",IF(C2967=I2967,"SELF-VOTE",IF(COUNTIF($K:$K,K2967)&gt;1,"DUPLICATE","OK")))</f>
        <v>OK</v>
      </c>
      <c r="K2967" s="6" t="str">
        <f aca="false">A2967&amp;"|"&amp;B2967&amp;"|"&amp;C2967&amp;"|"&amp;D2967</f>
        <v>5|3|Matt|spotify:track:1vLqigPHwiFnXsfrLMehV1</v>
      </c>
    </row>
    <row r="2968" customFormat="false" ht="15" hidden="false" customHeight="false" outlineLevel="0" collapsed="false">
      <c r="A2968" s="5" t="n">
        <v>5</v>
      </c>
      <c r="B2968" s="5" t="n">
        <v>3</v>
      </c>
      <c r="C2968" s="5" t="s">
        <v>116</v>
      </c>
      <c r="D2968" s="5" t="s">
        <v>1432</v>
      </c>
      <c r="E2968" s="5" t="n">
        <v>1</v>
      </c>
      <c r="F2968" s="6" t="n">
        <f aca="false">IFERROR(MATCH(A2968&amp;"|"&amp;B2968&amp;"|"&amp;D2968,'All Song Rankings'!$T:$T,0),0)</f>
        <v>453</v>
      </c>
      <c r="G2968" s="6" t="str">
        <f aca="false">IF(F2968=0,"NOT FOUND",INDEX('All Song Rankings'!$A:$A,F2968))</f>
        <v>Raspberry Beret</v>
      </c>
      <c r="H2968" s="6" t="str">
        <f aca="false">IF(F2968=0,"NOT FOUND",INDEX('All Song Rankings'!$B:$B,F2968))</f>
        <v>Prince</v>
      </c>
      <c r="I2968" s="6" t="str">
        <f aca="false">IF(F2968=0,"NOT FOUND",INDEX('All Song Rankings'!$D:$D,F2968))</f>
        <v>Christine</v>
      </c>
      <c r="J2968" s="7" t="str">
        <f aca="false">IF(F2968=0,"NOT FOUND",IF(C2968=I2968,"SELF-VOTE",IF(COUNTIF($K:$K,K2968)&gt;1,"DUPLICATE","OK")))</f>
        <v>OK</v>
      </c>
      <c r="K2968" s="6" t="str">
        <f aca="false">A2968&amp;"|"&amp;B2968&amp;"|"&amp;C2968&amp;"|"&amp;D2968</f>
        <v>5|3|Matt|spotify:track:2I1W3hcSsPIsEJfD69pHrW</v>
      </c>
    </row>
    <row r="2969" customFormat="false" ht="15" hidden="false" customHeight="false" outlineLevel="0" collapsed="false">
      <c r="A2969" s="5" t="n">
        <v>5</v>
      </c>
      <c r="B2969" s="5" t="n">
        <v>3</v>
      </c>
      <c r="C2969" s="5" t="s">
        <v>116</v>
      </c>
      <c r="D2969" s="5" t="s">
        <v>1426</v>
      </c>
      <c r="E2969" s="5" t="n">
        <v>1</v>
      </c>
      <c r="F2969" s="6" t="n">
        <f aca="false">IFERROR(MATCH(A2969&amp;"|"&amp;B2969&amp;"|"&amp;D2969,'All Song Rankings'!$T:$T,0),0)</f>
        <v>451</v>
      </c>
      <c r="G2969" s="6" t="str">
        <f aca="false">IF(F2969=0,"NOT FOUND",INDEX('All Song Rankings'!$A:$A,F2969))</f>
        <v>Chocolate</v>
      </c>
      <c r="H2969" s="6" t="str">
        <f aca="false">IF(F2969=0,"NOT FOUND",INDEX('All Song Rankings'!$B:$B,F2969))</f>
        <v>The 1975</v>
      </c>
      <c r="I2969" s="6" t="str">
        <f aca="false">IF(F2969=0,"NOT FOUND",INDEX('All Song Rankings'!$D:$D,F2969))</f>
        <v>Stephanie</v>
      </c>
      <c r="J2969" s="7" t="str">
        <f aca="false">IF(F2969=0,"NOT FOUND",IF(C2969=I2969,"SELF-VOTE",IF(COUNTIF($K:$K,K2969)&gt;1,"DUPLICATE","OK")))</f>
        <v>OK</v>
      </c>
      <c r="K2969" s="6" t="str">
        <f aca="false">A2969&amp;"|"&amp;B2969&amp;"|"&amp;C2969&amp;"|"&amp;D2969</f>
        <v>5|3|Matt|spotify:track:44Ljlpy44mHvLJxcYUvTK0</v>
      </c>
    </row>
    <row r="2970" customFormat="false" ht="15" hidden="false" customHeight="false" outlineLevel="0" collapsed="false">
      <c r="A2970" s="5" t="n">
        <v>5</v>
      </c>
      <c r="B2970" s="5" t="n">
        <v>3</v>
      </c>
      <c r="C2970" s="5" t="s">
        <v>116</v>
      </c>
      <c r="D2970" s="5" t="s">
        <v>1439</v>
      </c>
      <c r="E2970" s="5" t="n">
        <v>1</v>
      </c>
      <c r="F2970" s="6" t="n">
        <f aca="false">IFERROR(MATCH(A2970&amp;"|"&amp;B2970&amp;"|"&amp;D2970,'All Song Rankings'!$T:$T,0),0)</f>
        <v>456</v>
      </c>
      <c r="G2970" s="6" t="str">
        <f aca="false">IF(F2970=0,"NOT FOUND",INDEX('All Song Rankings'!$A:$A,F2970))</f>
        <v>Tequila</v>
      </c>
      <c r="H2970" s="6" t="str">
        <f aca="false">IF(F2970=0,"NOT FOUND",INDEX('All Song Rankings'!$B:$B,F2970))</f>
        <v>The Champs</v>
      </c>
      <c r="I2970" s="6" t="str">
        <f aca="false">IF(F2970=0,"NOT FOUND",INDEX('All Song Rankings'!$D:$D,F2970))</f>
        <v>Scott</v>
      </c>
      <c r="J2970" s="7" t="str">
        <f aca="false">IF(F2970=0,"NOT FOUND",IF(C2970=I2970,"SELF-VOTE",IF(COUNTIF($K:$K,K2970)&gt;1,"DUPLICATE","OK")))</f>
        <v>OK</v>
      </c>
      <c r="K2970" s="6" t="str">
        <f aca="false">A2970&amp;"|"&amp;B2970&amp;"|"&amp;C2970&amp;"|"&amp;D2970</f>
        <v>5|3|Matt|spotify:track:5gJKsGij5oGt5H5RSFYXPa</v>
      </c>
    </row>
    <row r="2971" customFormat="false" ht="15" hidden="false" customHeight="false" outlineLevel="0" collapsed="false">
      <c r="A2971" s="5" t="n">
        <v>5</v>
      </c>
      <c r="B2971" s="5" t="n">
        <v>3</v>
      </c>
      <c r="C2971" s="5" t="s">
        <v>116</v>
      </c>
      <c r="D2971" s="5" t="s">
        <v>1434</v>
      </c>
      <c r="E2971" s="5" t="n">
        <v>1</v>
      </c>
      <c r="F2971" s="6" t="n">
        <f aca="false">IFERROR(MATCH(A2971&amp;"|"&amp;B2971&amp;"|"&amp;D2971,'All Song Rankings'!$T:$T,0),0)</f>
        <v>454</v>
      </c>
      <c r="G2971" s="6" t="str">
        <f aca="false">IF(F2971=0,"NOT FOUND",INDEX('All Song Rankings'!$A:$A,F2971))</f>
        <v>Watermelon Sugar</v>
      </c>
      <c r="H2971" s="6" t="str">
        <f aca="false">IF(F2971=0,"NOT FOUND",INDEX('All Song Rankings'!$B:$B,F2971))</f>
        <v>Harry Styles</v>
      </c>
      <c r="I2971" s="6" t="str">
        <f aca="false">IF(F2971=0,"NOT FOUND",INDEX('All Song Rankings'!$D:$D,F2971))</f>
        <v>Grace</v>
      </c>
      <c r="J2971" s="7" t="str">
        <f aca="false">IF(F2971=0,"NOT FOUND",IF(C2971=I2971,"SELF-VOTE",IF(COUNTIF($K:$K,K2971)&gt;1,"DUPLICATE","OK")))</f>
        <v>OK</v>
      </c>
      <c r="K2971" s="6" t="str">
        <f aca="false">A2971&amp;"|"&amp;B2971&amp;"|"&amp;C2971&amp;"|"&amp;D2971</f>
        <v>5|3|Matt|spotify:track:6UelLqGlWMcVH1E5c4H7lY</v>
      </c>
    </row>
    <row r="2972" customFormat="false" ht="15" hidden="false" customHeight="false" outlineLevel="0" collapsed="false">
      <c r="A2972" s="5" t="n">
        <v>5</v>
      </c>
      <c r="B2972" s="5" t="n">
        <v>3</v>
      </c>
      <c r="C2972" s="5" t="s">
        <v>116</v>
      </c>
      <c r="D2972" s="5" t="s">
        <v>1442</v>
      </c>
      <c r="E2972" s="5" t="n">
        <v>1</v>
      </c>
      <c r="F2972" s="6" t="n">
        <f aca="false">IFERROR(MATCH(A2972&amp;"|"&amp;B2972&amp;"|"&amp;D2972,'All Song Rankings'!$T:$T,0),0)</f>
        <v>457</v>
      </c>
      <c r="G2972" s="6" t="str">
        <f aca="false">IF(F2972=0,"NOT FOUND",INDEX('All Song Rankings'!$A:$A,F2972))</f>
        <v>I Can't Help Myself (Sugar Pie, Honey Bunch)</v>
      </c>
      <c r="H2972" s="6" t="str">
        <f aca="false">IF(F2972=0,"NOT FOUND",INDEX('All Song Rankings'!$B:$B,F2972))</f>
        <v>Four Tops</v>
      </c>
      <c r="I2972" s="6" t="str">
        <f aca="false">IF(F2972=0,"NOT FOUND",INDEX('All Song Rankings'!$D:$D,F2972))</f>
        <v>Logan</v>
      </c>
      <c r="J2972" s="7" t="str">
        <f aca="false">IF(F2972=0,"NOT FOUND",IF(C2972=I2972,"SELF-VOTE",IF(COUNTIF($K:$K,K2972)&gt;1,"DUPLICATE","OK")))</f>
        <v>OK</v>
      </c>
      <c r="K2972" s="6" t="str">
        <f aca="false">A2972&amp;"|"&amp;B2972&amp;"|"&amp;C2972&amp;"|"&amp;D2972</f>
        <v>5|3|Matt|spotify:track:6b6IMqP565TbtFFZg9iFf3</v>
      </c>
    </row>
    <row r="2973" customFormat="false" ht="15" hidden="false" customHeight="false" outlineLevel="0" collapsed="false">
      <c r="A2973" s="5" t="n">
        <v>5</v>
      </c>
      <c r="B2973" s="5" t="n">
        <v>3</v>
      </c>
      <c r="C2973" s="5" t="s">
        <v>116</v>
      </c>
      <c r="D2973" s="5" t="s">
        <v>1460</v>
      </c>
      <c r="E2973" s="5" t="n">
        <v>1</v>
      </c>
      <c r="F2973" s="6" t="n">
        <f aca="false">IFERROR(MATCH(A2973&amp;"|"&amp;B2973&amp;"|"&amp;D2973,'All Song Rankings'!$T:$T,0),0)</f>
        <v>465</v>
      </c>
      <c r="G2973" s="6" t="str">
        <f aca="false">IF(F2973=0,"NOT FOUND",INDEX('All Song Rankings'!$A:$A,F2973))</f>
        <v>Peaches</v>
      </c>
      <c r="H2973" s="6" t="str">
        <f aca="false">IF(F2973=0,"NOT FOUND",INDEX('All Song Rankings'!$B:$B,F2973))</f>
        <v>The Presidents Of The United States of America</v>
      </c>
      <c r="I2973" s="6" t="str">
        <f aca="false">IF(F2973=0,"NOT FOUND",INDEX('All Song Rankings'!$D:$D,F2973))</f>
        <v>Kristen</v>
      </c>
      <c r="J2973" s="7" t="str">
        <f aca="false">IF(F2973=0,"NOT FOUND",IF(C2973=I2973,"SELF-VOTE",IF(COUNTIF($K:$K,K2973)&gt;1,"DUPLICATE","OK")))</f>
        <v>OK</v>
      </c>
      <c r="K2973" s="6" t="str">
        <f aca="false">A2973&amp;"|"&amp;B2973&amp;"|"&amp;C2973&amp;"|"&amp;D2973</f>
        <v>5|3|Matt|spotify:track:750wm5pwuAQfnSLX8mxa5f</v>
      </c>
    </row>
    <row r="2974" customFormat="false" ht="15" hidden="false" customHeight="false" outlineLevel="0" collapsed="false">
      <c r="A2974" s="5" t="n">
        <v>5</v>
      </c>
      <c r="B2974" s="5" t="n">
        <v>3</v>
      </c>
      <c r="C2974" s="5" t="s">
        <v>101</v>
      </c>
      <c r="D2974" s="5" t="s">
        <v>1458</v>
      </c>
      <c r="E2974" s="5" t="n">
        <v>1</v>
      </c>
      <c r="F2974" s="6" t="n">
        <f aca="false">IFERROR(MATCH(A2974&amp;"|"&amp;B2974&amp;"|"&amp;D2974,'All Song Rankings'!$T:$T,0),0)</f>
        <v>464</v>
      </c>
      <c r="G2974" s="6" t="str">
        <f aca="false">IF(F2974=0,"NOT FOUND",INDEX('All Song Rankings'!$A:$A,F2974))</f>
        <v>Apple</v>
      </c>
      <c r="H2974" s="6" t="str">
        <f aca="false">IF(F2974=0,"NOT FOUND",INDEX('All Song Rankings'!$B:$B,F2974))</f>
        <v>Charli xcx</v>
      </c>
      <c r="I2974" s="6" t="str">
        <f aca="false">IF(F2974=0,"NOT FOUND",INDEX('All Song Rankings'!$D:$D,F2974))</f>
        <v>Leah</v>
      </c>
      <c r="J2974" s="7" t="str">
        <f aca="false">IF(F2974=0,"NOT FOUND",IF(C2974=I2974,"SELF-VOTE",IF(COUNTIF($K:$K,K2974)&gt;1,"DUPLICATE","OK")))</f>
        <v>OK</v>
      </c>
      <c r="K2974" s="6" t="str">
        <f aca="false">A2974&amp;"|"&amp;B2974&amp;"|"&amp;C2974&amp;"|"&amp;D2974</f>
        <v>5|3|Merita|spotify:track:19RybK6XDbAVpcdxSbZL1o</v>
      </c>
    </row>
    <row r="2975" customFormat="false" ht="15" hidden="false" customHeight="false" outlineLevel="0" collapsed="false">
      <c r="A2975" s="5" t="n">
        <v>5</v>
      </c>
      <c r="B2975" s="5" t="n">
        <v>3</v>
      </c>
      <c r="C2975" s="5" t="s">
        <v>101</v>
      </c>
      <c r="D2975" s="5" t="s">
        <v>1445</v>
      </c>
      <c r="E2975" s="5" t="n">
        <v>1</v>
      </c>
      <c r="F2975" s="6" t="n">
        <f aca="false">IFERROR(MATCH(A2975&amp;"|"&amp;B2975&amp;"|"&amp;D2975,'All Song Rankings'!$T:$T,0),0)</f>
        <v>458</v>
      </c>
      <c r="G2975" s="6" t="str">
        <f aca="false">IF(F2975=0,"NOT FOUND",INDEX('All Song Rankings'!$A:$A,F2975))</f>
        <v>American Pie</v>
      </c>
      <c r="H2975" s="6" t="str">
        <f aca="false">IF(F2975=0,"NOT FOUND",INDEX('All Song Rankings'!$B:$B,F2975))</f>
        <v>Don McLean</v>
      </c>
      <c r="I2975" s="6" t="str">
        <f aca="false">IF(F2975=0,"NOT FOUND",INDEX('All Song Rankings'!$D:$D,F2975))</f>
        <v>Lisa</v>
      </c>
      <c r="J2975" s="7" t="str">
        <f aca="false">IF(F2975=0,"NOT FOUND",IF(C2975=I2975,"SELF-VOTE",IF(COUNTIF($K:$K,K2975)&gt;1,"DUPLICATE","OK")))</f>
        <v>OK</v>
      </c>
      <c r="K2975" s="6" t="str">
        <f aca="false">A2975&amp;"|"&amp;B2975&amp;"|"&amp;C2975&amp;"|"&amp;D2975</f>
        <v>5|3|Merita|spotify:track:1fDsrQ23eTAVFElUMaf38X</v>
      </c>
    </row>
    <row r="2976" customFormat="false" ht="15" hidden="false" customHeight="false" outlineLevel="0" collapsed="false">
      <c r="A2976" s="5" t="n">
        <v>5</v>
      </c>
      <c r="B2976" s="5" t="n">
        <v>3</v>
      </c>
      <c r="C2976" s="5" t="s">
        <v>101</v>
      </c>
      <c r="D2976" s="5" t="s">
        <v>1432</v>
      </c>
      <c r="E2976" s="5" t="n">
        <v>1</v>
      </c>
      <c r="F2976" s="6" t="n">
        <f aca="false">IFERROR(MATCH(A2976&amp;"|"&amp;B2976&amp;"|"&amp;D2976,'All Song Rankings'!$T:$T,0),0)</f>
        <v>453</v>
      </c>
      <c r="G2976" s="6" t="str">
        <f aca="false">IF(F2976=0,"NOT FOUND",INDEX('All Song Rankings'!$A:$A,F2976))</f>
        <v>Raspberry Beret</v>
      </c>
      <c r="H2976" s="6" t="str">
        <f aca="false">IF(F2976=0,"NOT FOUND",INDEX('All Song Rankings'!$B:$B,F2976))</f>
        <v>Prince</v>
      </c>
      <c r="I2976" s="6" t="str">
        <f aca="false">IF(F2976=0,"NOT FOUND",INDEX('All Song Rankings'!$D:$D,F2976))</f>
        <v>Christine</v>
      </c>
      <c r="J2976" s="7" t="str">
        <f aca="false">IF(F2976=0,"NOT FOUND",IF(C2976=I2976,"SELF-VOTE",IF(COUNTIF($K:$K,K2976)&gt;1,"DUPLICATE","OK")))</f>
        <v>OK</v>
      </c>
      <c r="K2976" s="6" t="str">
        <f aca="false">A2976&amp;"|"&amp;B2976&amp;"|"&amp;C2976&amp;"|"&amp;D2976</f>
        <v>5|3|Merita|spotify:track:2I1W3hcSsPIsEJfD69pHrW</v>
      </c>
    </row>
    <row r="2977" customFormat="false" ht="15" hidden="false" customHeight="false" outlineLevel="0" collapsed="false">
      <c r="A2977" s="5" t="n">
        <v>5</v>
      </c>
      <c r="B2977" s="5" t="n">
        <v>3</v>
      </c>
      <c r="C2977" s="5" t="s">
        <v>101</v>
      </c>
      <c r="D2977" s="5" t="s">
        <v>1426</v>
      </c>
      <c r="E2977" s="5" t="n">
        <v>2</v>
      </c>
      <c r="F2977" s="6" t="n">
        <f aca="false">IFERROR(MATCH(A2977&amp;"|"&amp;B2977&amp;"|"&amp;D2977,'All Song Rankings'!$T:$T,0),0)</f>
        <v>451</v>
      </c>
      <c r="G2977" s="6" t="str">
        <f aca="false">IF(F2977=0,"NOT FOUND",INDEX('All Song Rankings'!$A:$A,F2977))</f>
        <v>Chocolate</v>
      </c>
      <c r="H2977" s="6" t="str">
        <f aca="false">IF(F2977=0,"NOT FOUND",INDEX('All Song Rankings'!$B:$B,F2977))</f>
        <v>The 1975</v>
      </c>
      <c r="I2977" s="6" t="str">
        <f aca="false">IF(F2977=0,"NOT FOUND",INDEX('All Song Rankings'!$D:$D,F2977))</f>
        <v>Stephanie</v>
      </c>
      <c r="J2977" s="7" t="str">
        <f aca="false">IF(F2977=0,"NOT FOUND",IF(C2977=I2977,"SELF-VOTE",IF(COUNTIF($K:$K,K2977)&gt;1,"DUPLICATE","OK")))</f>
        <v>OK</v>
      </c>
      <c r="K2977" s="6" t="str">
        <f aca="false">A2977&amp;"|"&amp;B2977&amp;"|"&amp;C2977&amp;"|"&amp;D2977</f>
        <v>5|3|Merita|spotify:track:44Ljlpy44mHvLJxcYUvTK0</v>
      </c>
    </row>
    <row r="2978" customFormat="false" ht="15" hidden="false" customHeight="false" outlineLevel="0" collapsed="false">
      <c r="A2978" s="5" t="n">
        <v>5</v>
      </c>
      <c r="B2978" s="5" t="n">
        <v>3</v>
      </c>
      <c r="C2978" s="5" t="s">
        <v>101</v>
      </c>
      <c r="D2978" s="5" t="s">
        <v>1447</v>
      </c>
      <c r="E2978" s="5" t="n">
        <v>1</v>
      </c>
      <c r="F2978" s="6" t="n">
        <f aca="false">IFERROR(MATCH(A2978&amp;"|"&amp;B2978&amp;"|"&amp;D2978,'All Song Rankings'!$T:$T,0),0)</f>
        <v>459</v>
      </c>
      <c r="G2978" s="6" t="str">
        <f aca="false">IF(F2978=0,"NOT FOUND",INDEX('All Song Rankings'!$A:$A,F2978))</f>
        <v>Peaches (feat. Daniel Caesar &amp; Giveon)</v>
      </c>
      <c r="H2978" s="6" t="str">
        <f aca="false">IF(F2978=0,"NOT FOUND",INDEX('All Song Rankings'!$B:$B,F2978))</f>
        <v>Justin Bieber</v>
      </c>
      <c r="I2978" s="6" t="str">
        <f aca="false">IF(F2978=0,"NOT FOUND",INDEX('All Song Rankings'!$D:$D,F2978))</f>
        <v>Makenzie</v>
      </c>
      <c r="J2978" s="7" t="str">
        <f aca="false">IF(F2978=0,"NOT FOUND",IF(C2978=I2978,"SELF-VOTE",IF(COUNTIF($K:$K,K2978)&gt;1,"DUPLICATE","OK")))</f>
        <v>OK</v>
      </c>
      <c r="K2978" s="6" t="str">
        <f aca="false">A2978&amp;"|"&amp;B2978&amp;"|"&amp;C2978&amp;"|"&amp;D2978</f>
        <v>5|3|Merita|spotify:track:4iJyoBOLtHqaGxP12qzhQI</v>
      </c>
    </row>
    <row r="2979" customFormat="false" ht="15" hidden="false" customHeight="false" outlineLevel="0" collapsed="false">
      <c r="A2979" s="5" t="n">
        <v>5</v>
      </c>
      <c r="B2979" s="5" t="n">
        <v>3</v>
      </c>
      <c r="C2979" s="5" t="s">
        <v>101</v>
      </c>
      <c r="D2979" s="5" t="s">
        <v>1455</v>
      </c>
      <c r="E2979" s="5" t="n">
        <v>2</v>
      </c>
      <c r="F2979" s="6" t="n">
        <f aca="false">IFERROR(MATCH(A2979&amp;"|"&amp;B2979&amp;"|"&amp;D2979,'All Song Rankings'!$T:$T,0),0)</f>
        <v>463</v>
      </c>
      <c r="G2979" s="6" t="str">
        <f aca="false">IF(F2979=0,"NOT FOUND",INDEX('All Song Rankings'!$A:$A,F2979))</f>
        <v>Waffle House</v>
      </c>
      <c r="H2979" s="6" t="str">
        <f aca="false">IF(F2979=0,"NOT FOUND",INDEX('All Song Rankings'!$B:$B,F2979))</f>
        <v>Jonas Brothers</v>
      </c>
      <c r="I2979" s="6" t="str">
        <f aca="false">IF(F2979=0,"NOT FOUND",INDEX('All Song Rankings'!$D:$D,F2979))</f>
        <v>Kelsey</v>
      </c>
      <c r="J2979" s="7" t="str">
        <f aca="false">IF(F2979=0,"NOT FOUND",IF(C2979=I2979,"SELF-VOTE",IF(COUNTIF($K:$K,K2979)&gt;1,"DUPLICATE","OK")))</f>
        <v>OK</v>
      </c>
      <c r="K2979" s="6" t="str">
        <f aca="false">A2979&amp;"|"&amp;B2979&amp;"|"&amp;C2979&amp;"|"&amp;D2979</f>
        <v>5|3|Merita|spotify:track:4inPxqHrj9VmjLx5JCDCV4</v>
      </c>
    </row>
    <row r="2980" customFormat="false" ht="15" hidden="false" customHeight="false" outlineLevel="0" collapsed="false">
      <c r="A2980" s="5" t="n">
        <v>5</v>
      </c>
      <c r="B2980" s="5" t="n">
        <v>3</v>
      </c>
      <c r="C2980" s="5" t="s">
        <v>101</v>
      </c>
      <c r="D2980" s="5" t="s">
        <v>1434</v>
      </c>
      <c r="E2980" s="5" t="n">
        <v>1</v>
      </c>
      <c r="F2980" s="6" t="n">
        <f aca="false">IFERROR(MATCH(A2980&amp;"|"&amp;B2980&amp;"|"&amp;D2980,'All Song Rankings'!$T:$T,0),0)</f>
        <v>454</v>
      </c>
      <c r="G2980" s="6" t="str">
        <f aca="false">IF(F2980=0,"NOT FOUND",INDEX('All Song Rankings'!$A:$A,F2980))</f>
        <v>Watermelon Sugar</v>
      </c>
      <c r="H2980" s="6" t="str">
        <f aca="false">IF(F2980=0,"NOT FOUND",INDEX('All Song Rankings'!$B:$B,F2980))</f>
        <v>Harry Styles</v>
      </c>
      <c r="I2980" s="6" t="str">
        <f aca="false">IF(F2980=0,"NOT FOUND",INDEX('All Song Rankings'!$D:$D,F2980))</f>
        <v>Grace</v>
      </c>
      <c r="J2980" s="7" t="str">
        <f aca="false">IF(F2980=0,"NOT FOUND",IF(C2980=I2980,"SELF-VOTE",IF(COUNTIF($K:$K,K2980)&gt;1,"DUPLICATE","OK")))</f>
        <v>OK</v>
      </c>
      <c r="K2980" s="6" t="str">
        <f aca="false">A2980&amp;"|"&amp;B2980&amp;"|"&amp;C2980&amp;"|"&amp;D2980</f>
        <v>5|3|Merita|spotify:track:6UelLqGlWMcVH1E5c4H7lY</v>
      </c>
    </row>
    <row r="2981" customFormat="false" ht="15" hidden="false" customHeight="false" outlineLevel="0" collapsed="false">
      <c r="A2981" s="5" t="n">
        <v>5</v>
      </c>
      <c r="B2981" s="5" t="n">
        <v>3</v>
      </c>
      <c r="C2981" s="5" t="s">
        <v>101</v>
      </c>
      <c r="D2981" s="5" t="s">
        <v>1429</v>
      </c>
      <c r="E2981" s="5" t="n">
        <v>1</v>
      </c>
      <c r="F2981" s="6" t="n">
        <f aca="false">IFERROR(MATCH(A2981&amp;"|"&amp;B2981&amp;"|"&amp;D2981,'All Song Rankings'!$T:$T,0),0)</f>
        <v>452</v>
      </c>
      <c r="G2981" s="6" t="str">
        <f aca="false">IF(F2981=0,"NOT FOUND",INDEX('All Song Rankings'!$A:$A,F2981))</f>
        <v>Cake By The Ocean</v>
      </c>
      <c r="H2981" s="6" t="str">
        <f aca="false">IF(F2981=0,"NOT FOUND",INDEX('All Song Rankings'!$B:$B,F2981))</f>
        <v>DNCE</v>
      </c>
      <c r="I2981" s="6" t="str">
        <f aca="false">IF(F2981=0,"NOT FOUND",INDEX('All Song Rankings'!$D:$D,F2981))</f>
        <v>Matt</v>
      </c>
      <c r="J2981" s="7" t="str">
        <f aca="false">IF(F2981=0,"NOT FOUND",IF(C2981=I2981,"SELF-VOTE",IF(COUNTIF($K:$K,K2981)&gt;1,"DUPLICATE","OK")))</f>
        <v>OK</v>
      </c>
      <c r="K2981" s="6" t="str">
        <f aca="false">A2981&amp;"|"&amp;B2981&amp;"|"&amp;C2981&amp;"|"&amp;D2981</f>
        <v>5|3|Merita|spotify:track:76hfruVvmfQbw0eYn1nmeC</v>
      </c>
    </row>
    <row r="2982" customFormat="false" ht="15" hidden="false" customHeight="false" outlineLevel="0" collapsed="false">
      <c r="A2982" s="5" t="n">
        <v>5</v>
      </c>
      <c r="B2982" s="5" t="n">
        <v>3</v>
      </c>
      <c r="C2982" s="5" t="s">
        <v>92</v>
      </c>
      <c r="D2982" s="5" t="s">
        <v>1450</v>
      </c>
      <c r="E2982" s="5" t="n">
        <v>2</v>
      </c>
      <c r="F2982" s="6" t="n">
        <f aca="false">IFERROR(MATCH(A2982&amp;"|"&amp;B2982&amp;"|"&amp;D2982,'All Song Rankings'!$T:$T,0),0)</f>
        <v>460</v>
      </c>
      <c r="G2982" s="6" t="str">
        <f aca="false">IF(F2982=0,"NOT FOUND",INDEX('All Song Rankings'!$A:$A,F2982))</f>
        <v>Strawberries &amp; Cigarettes</v>
      </c>
      <c r="H2982" s="6" t="str">
        <f aca="false">IF(F2982=0,"NOT FOUND",INDEX('All Song Rankings'!$B:$B,F2982))</f>
        <v>Troye Sivan</v>
      </c>
      <c r="I2982" s="6" t="str">
        <f aca="false">IF(F2982=0,"NOT FOUND",INDEX('All Song Rankings'!$D:$D,F2982))</f>
        <v>Merita</v>
      </c>
      <c r="J2982" s="7" t="str">
        <f aca="false">IF(F2982=0,"NOT FOUND",IF(C2982=I2982,"SELF-VOTE",IF(COUNTIF($K:$K,K2982)&gt;1,"DUPLICATE","OK")))</f>
        <v>OK</v>
      </c>
      <c r="K2982" s="6" t="str">
        <f aca="false">A2982&amp;"|"&amp;B2982&amp;"|"&amp;C2982&amp;"|"&amp;D2982</f>
        <v>5|3|Nicole|spotify:track:3afkJSKX0EAMsJXTZnDXXJ</v>
      </c>
    </row>
    <row r="2983" customFormat="false" ht="15" hidden="false" customHeight="false" outlineLevel="0" collapsed="false">
      <c r="A2983" s="5" t="n">
        <v>5</v>
      </c>
      <c r="B2983" s="5" t="n">
        <v>3</v>
      </c>
      <c r="C2983" s="5" t="s">
        <v>92</v>
      </c>
      <c r="D2983" s="5" t="s">
        <v>1426</v>
      </c>
      <c r="E2983" s="5" t="n">
        <v>2</v>
      </c>
      <c r="F2983" s="6" t="n">
        <f aca="false">IFERROR(MATCH(A2983&amp;"|"&amp;B2983&amp;"|"&amp;D2983,'All Song Rankings'!$T:$T,0),0)</f>
        <v>451</v>
      </c>
      <c r="G2983" s="6" t="str">
        <f aca="false">IF(F2983=0,"NOT FOUND",INDEX('All Song Rankings'!$A:$A,F2983))</f>
        <v>Chocolate</v>
      </c>
      <c r="H2983" s="6" t="str">
        <f aca="false">IF(F2983=0,"NOT FOUND",INDEX('All Song Rankings'!$B:$B,F2983))</f>
        <v>The 1975</v>
      </c>
      <c r="I2983" s="6" t="str">
        <f aca="false">IF(F2983=0,"NOT FOUND",INDEX('All Song Rankings'!$D:$D,F2983))</f>
        <v>Stephanie</v>
      </c>
      <c r="J2983" s="7" t="str">
        <f aca="false">IF(F2983=0,"NOT FOUND",IF(C2983=I2983,"SELF-VOTE",IF(COUNTIF($K:$K,K2983)&gt;1,"DUPLICATE","OK")))</f>
        <v>OK</v>
      </c>
      <c r="K2983" s="6" t="str">
        <f aca="false">A2983&amp;"|"&amp;B2983&amp;"|"&amp;C2983&amp;"|"&amp;D2983</f>
        <v>5|3|Nicole|spotify:track:44Ljlpy44mHvLJxcYUvTK0</v>
      </c>
    </row>
    <row r="2984" customFormat="false" ht="15" hidden="false" customHeight="false" outlineLevel="0" collapsed="false">
      <c r="A2984" s="5" t="n">
        <v>5</v>
      </c>
      <c r="B2984" s="5" t="n">
        <v>3</v>
      </c>
      <c r="C2984" s="5" t="s">
        <v>92</v>
      </c>
      <c r="D2984" s="5" t="s">
        <v>1447</v>
      </c>
      <c r="E2984" s="5" t="n">
        <v>1</v>
      </c>
      <c r="F2984" s="6" t="n">
        <f aca="false">IFERROR(MATCH(A2984&amp;"|"&amp;B2984&amp;"|"&amp;D2984,'All Song Rankings'!$T:$T,0),0)</f>
        <v>459</v>
      </c>
      <c r="G2984" s="6" t="str">
        <f aca="false">IF(F2984=0,"NOT FOUND",INDEX('All Song Rankings'!$A:$A,F2984))</f>
        <v>Peaches (feat. Daniel Caesar &amp; Giveon)</v>
      </c>
      <c r="H2984" s="6" t="str">
        <f aca="false">IF(F2984=0,"NOT FOUND",INDEX('All Song Rankings'!$B:$B,F2984))</f>
        <v>Justin Bieber</v>
      </c>
      <c r="I2984" s="6" t="str">
        <f aca="false">IF(F2984=0,"NOT FOUND",INDEX('All Song Rankings'!$D:$D,F2984))</f>
        <v>Makenzie</v>
      </c>
      <c r="J2984" s="7" t="str">
        <f aca="false">IF(F2984=0,"NOT FOUND",IF(C2984=I2984,"SELF-VOTE",IF(COUNTIF($K:$K,K2984)&gt;1,"DUPLICATE","OK")))</f>
        <v>OK</v>
      </c>
      <c r="K2984" s="6" t="str">
        <f aca="false">A2984&amp;"|"&amp;B2984&amp;"|"&amp;C2984&amp;"|"&amp;D2984</f>
        <v>5|3|Nicole|spotify:track:4iJyoBOLtHqaGxP12qzhQI</v>
      </c>
    </row>
    <row r="2985" customFormat="false" ht="15" hidden="false" customHeight="false" outlineLevel="0" collapsed="false">
      <c r="A2985" s="5" t="n">
        <v>5</v>
      </c>
      <c r="B2985" s="5" t="n">
        <v>3</v>
      </c>
      <c r="C2985" s="5" t="s">
        <v>92</v>
      </c>
      <c r="D2985" s="5" t="s">
        <v>1455</v>
      </c>
      <c r="E2985" s="5" t="n">
        <v>2</v>
      </c>
      <c r="F2985" s="6" t="n">
        <f aca="false">IFERROR(MATCH(A2985&amp;"|"&amp;B2985&amp;"|"&amp;D2985,'All Song Rankings'!$T:$T,0),0)</f>
        <v>463</v>
      </c>
      <c r="G2985" s="6" t="str">
        <f aca="false">IF(F2985=0,"NOT FOUND",INDEX('All Song Rankings'!$A:$A,F2985))</f>
        <v>Waffle House</v>
      </c>
      <c r="H2985" s="6" t="str">
        <f aca="false">IF(F2985=0,"NOT FOUND",INDEX('All Song Rankings'!$B:$B,F2985))</f>
        <v>Jonas Brothers</v>
      </c>
      <c r="I2985" s="6" t="str">
        <f aca="false">IF(F2985=0,"NOT FOUND",INDEX('All Song Rankings'!$D:$D,F2985))</f>
        <v>Kelsey</v>
      </c>
      <c r="J2985" s="7" t="str">
        <f aca="false">IF(F2985=0,"NOT FOUND",IF(C2985=I2985,"SELF-VOTE",IF(COUNTIF($K:$K,K2985)&gt;1,"DUPLICATE","OK")))</f>
        <v>OK</v>
      </c>
      <c r="K2985" s="6" t="str">
        <f aca="false">A2985&amp;"|"&amp;B2985&amp;"|"&amp;C2985&amp;"|"&amp;D2985</f>
        <v>5|3|Nicole|spotify:track:4inPxqHrj9VmjLx5JCDCV4</v>
      </c>
    </row>
    <row r="2986" customFormat="false" ht="15" hidden="false" customHeight="false" outlineLevel="0" collapsed="false">
      <c r="A2986" s="5" t="n">
        <v>5</v>
      </c>
      <c r="B2986" s="5" t="n">
        <v>3</v>
      </c>
      <c r="C2986" s="5" t="s">
        <v>92</v>
      </c>
      <c r="D2986" s="5" t="s">
        <v>1434</v>
      </c>
      <c r="E2986" s="5" t="n">
        <v>2</v>
      </c>
      <c r="F2986" s="6" t="n">
        <f aca="false">IFERROR(MATCH(A2986&amp;"|"&amp;B2986&amp;"|"&amp;D2986,'All Song Rankings'!$T:$T,0),0)</f>
        <v>454</v>
      </c>
      <c r="G2986" s="6" t="str">
        <f aca="false">IF(F2986=0,"NOT FOUND",INDEX('All Song Rankings'!$A:$A,F2986))</f>
        <v>Watermelon Sugar</v>
      </c>
      <c r="H2986" s="6" t="str">
        <f aca="false">IF(F2986=0,"NOT FOUND",INDEX('All Song Rankings'!$B:$B,F2986))</f>
        <v>Harry Styles</v>
      </c>
      <c r="I2986" s="6" t="str">
        <f aca="false">IF(F2986=0,"NOT FOUND",INDEX('All Song Rankings'!$D:$D,F2986))</f>
        <v>Grace</v>
      </c>
      <c r="J2986" s="7" t="str">
        <f aca="false">IF(F2986=0,"NOT FOUND",IF(C2986=I2986,"SELF-VOTE",IF(COUNTIF($K:$K,K2986)&gt;1,"DUPLICATE","OK")))</f>
        <v>OK</v>
      </c>
      <c r="K2986" s="6" t="str">
        <f aca="false">A2986&amp;"|"&amp;B2986&amp;"|"&amp;C2986&amp;"|"&amp;D2986</f>
        <v>5|3|Nicole|spotify:track:6UelLqGlWMcVH1E5c4H7lY</v>
      </c>
    </row>
    <row r="2987" customFormat="false" ht="15" hidden="false" customHeight="false" outlineLevel="0" collapsed="false">
      <c r="A2987" s="5" t="n">
        <v>5</v>
      </c>
      <c r="B2987" s="5" t="n">
        <v>3</v>
      </c>
      <c r="C2987" s="5" t="s">
        <v>92</v>
      </c>
      <c r="D2987" s="5" t="s">
        <v>1429</v>
      </c>
      <c r="E2987" s="5" t="n">
        <v>1</v>
      </c>
      <c r="F2987" s="6" t="n">
        <f aca="false">IFERROR(MATCH(A2987&amp;"|"&amp;B2987&amp;"|"&amp;D2987,'All Song Rankings'!$T:$T,0),0)</f>
        <v>452</v>
      </c>
      <c r="G2987" s="6" t="str">
        <f aca="false">IF(F2987=0,"NOT FOUND",INDEX('All Song Rankings'!$A:$A,F2987))</f>
        <v>Cake By The Ocean</v>
      </c>
      <c r="H2987" s="6" t="str">
        <f aca="false">IF(F2987=0,"NOT FOUND",INDEX('All Song Rankings'!$B:$B,F2987))</f>
        <v>DNCE</v>
      </c>
      <c r="I2987" s="6" t="str">
        <f aca="false">IF(F2987=0,"NOT FOUND",INDEX('All Song Rankings'!$D:$D,F2987))</f>
        <v>Matt</v>
      </c>
      <c r="J2987" s="7" t="str">
        <f aca="false">IF(F2987=0,"NOT FOUND",IF(C2987=I2987,"SELF-VOTE",IF(COUNTIF($K:$K,K2987)&gt;1,"DUPLICATE","OK")))</f>
        <v>OK</v>
      </c>
      <c r="K2987" s="6" t="str">
        <f aca="false">A2987&amp;"|"&amp;B2987&amp;"|"&amp;C2987&amp;"|"&amp;D2987</f>
        <v>5|3|Nicole|spotify:track:76hfruVvmfQbw0eYn1nmeC</v>
      </c>
    </row>
    <row r="2988" customFormat="false" ht="15" hidden="false" customHeight="false" outlineLevel="0" collapsed="false">
      <c r="A2988" s="5" t="n">
        <v>5</v>
      </c>
      <c r="B2988" s="5" t="n">
        <v>3</v>
      </c>
      <c r="C2988" s="5" t="s">
        <v>484</v>
      </c>
      <c r="D2988" s="5" t="s">
        <v>952</v>
      </c>
      <c r="E2988" s="5" t="n">
        <v>1</v>
      </c>
      <c r="F2988" s="6" t="n">
        <f aca="false">IFERROR(MATCH(A2988&amp;"|"&amp;B2988&amp;"|"&amp;D2988,'All Song Rankings'!$T:$T,0),0)</f>
        <v>462</v>
      </c>
      <c r="G2988" s="6" t="str">
        <f aca="false">IF(F2988=0,"NOT FOUND",INDEX('All Song Rankings'!$A:$A,F2988))</f>
        <v>Chicken Fried</v>
      </c>
      <c r="H2988" s="6" t="str">
        <f aca="false">IF(F2988=0,"NOT FOUND",INDEX('All Song Rankings'!$B:$B,F2988))</f>
        <v>Zac Brown Band</v>
      </c>
      <c r="I2988" s="6" t="str">
        <f aca="false">IF(F2988=0,"NOT FOUND",INDEX('All Song Rankings'!$D:$D,F2988))</f>
        <v>Colleen</v>
      </c>
      <c r="J2988" s="7" t="str">
        <f aca="false">IF(F2988=0,"NOT FOUND",IF(C2988=I2988,"SELF-VOTE",IF(COUNTIF($K:$K,K2988)&gt;1,"DUPLICATE","OK")))</f>
        <v>OK</v>
      </c>
      <c r="K2988" s="6" t="str">
        <f aca="false">A2988&amp;"|"&amp;B2988&amp;"|"&amp;C2988&amp;"|"&amp;D2988</f>
        <v>5|3|Scott|spotify:track:0LQtEJt7x0s6knb6RKdRYc</v>
      </c>
    </row>
    <row r="2989" customFormat="false" ht="15" hidden="false" customHeight="false" outlineLevel="0" collapsed="false">
      <c r="A2989" s="5" t="n">
        <v>5</v>
      </c>
      <c r="B2989" s="5" t="n">
        <v>3</v>
      </c>
      <c r="C2989" s="5" t="s">
        <v>484</v>
      </c>
      <c r="D2989" s="5" t="s">
        <v>1445</v>
      </c>
      <c r="E2989" s="5" t="n">
        <v>1</v>
      </c>
      <c r="F2989" s="6" t="n">
        <f aca="false">IFERROR(MATCH(A2989&amp;"|"&amp;B2989&amp;"|"&amp;D2989,'All Song Rankings'!$T:$T,0),0)</f>
        <v>458</v>
      </c>
      <c r="G2989" s="6" t="str">
        <f aca="false">IF(F2989=0,"NOT FOUND",INDEX('All Song Rankings'!$A:$A,F2989))</f>
        <v>American Pie</v>
      </c>
      <c r="H2989" s="6" t="str">
        <f aca="false">IF(F2989=0,"NOT FOUND",INDEX('All Song Rankings'!$B:$B,F2989))</f>
        <v>Don McLean</v>
      </c>
      <c r="I2989" s="6" t="str">
        <f aca="false">IF(F2989=0,"NOT FOUND",INDEX('All Song Rankings'!$D:$D,F2989))</f>
        <v>Lisa</v>
      </c>
      <c r="J2989" s="7" t="str">
        <f aca="false">IF(F2989=0,"NOT FOUND",IF(C2989=I2989,"SELF-VOTE",IF(COUNTIF($K:$K,K2989)&gt;1,"DUPLICATE","OK")))</f>
        <v>OK</v>
      </c>
      <c r="K2989" s="6" t="str">
        <f aca="false">A2989&amp;"|"&amp;B2989&amp;"|"&amp;C2989&amp;"|"&amp;D2989</f>
        <v>5|3|Scott|spotify:track:1fDsrQ23eTAVFElUMaf38X</v>
      </c>
    </row>
    <row r="2990" customFormat="false" ht="15" hidden="false" customHeight="false" outlineLevel="0" collapsed="false">
      <c r="A2990" s="5" t="n">
        <v>5</v>
      </c>
      <c r="B2990" s="5" t="n">
        <v>3</v>
      </c>
      <c r="C2990" s="5" t="s">
        <v>484</v>
      </c>
      <c r="D2990" s="5" t="s">
        <v>1436</v>
      </c>
      <c r="E2990" s="5" t="n">
        <v>1</v>
      </c>
      <c r="F2990" s="6" t="n">
        <f aca="false">IFERROR(MATCH(A2990&amp;"|"&amp;B2990&amp;"|"&amp;D2990,'All Song Rankings'!$T:$T,0),0)</f>
        <v>455</v>
      </c>
      <c r="G2990" s="6" t="str">
        <f aca="false">IF(F2990=0,"NOT FOUND",INDEX('All Song Rankings'!$A:$A,F2990))</f>
        <v>Espresso</v>
      </c>
      <c r="H2990" s="6" t="str">
        <f aca="false">IF(F2990=0,"NOT FOUND",INDEX('All Song Rankings'!$B:$B,F2990))</f>
        <v>Sabrina Carpenter</v>
      </c>
      <c r="I2990" s="6" t="str">
        <f aca="false">IF(F2990=0,"NOT FOUND",INDEX('All Song Rankings'!$D:$D,F2990))</f>
        <v>Nicole</v>
      </c>
      <c r="J2990" s="7" t="str">
        <f aca="false">IF(F2990=0,"NOT FOUND",IF(C2990=I2990,"SELF-VOTE",IF(COUNTIF($K:$K,K2990)&gt;1,"DUPLICATE","OK")))</f>
        <v>OK</v>
      </c>
      <c r="K2990" s="6" t="str">
        <f aca="false">A2990&amp;"|"&amp;B2990&amp;"|"&amp;C2990&amp;"|"&amp;D2990</f>
        <v>5|3|Scott|spotify:track:1vLqigPHwiFnXsfrLMehV1</v>
      </c>
    </row>
    <row r="2991" customFormat="false" ht="15" hidden="false" customHeight="false" outlineLevel="0" collapsed="false">
      <c r="A2991" s="5" t="n">
        <v>5</v>
      </c>
      <c r="B2991" s="5" t="n">
        <v>3</v>
      </c>
      <c r="C2991" s="5" t="s">
        <v>484</v>
      </c>
      <c r="D2991" s="5" t="s">
        <v>1432</v>
      </c>
      <c r="E2991" s="5" t="n">
        <v>1</v>
      </c>
      <c r="F2991" s="6" t="n">
        <f aca="false">IFERROR(MATCH(A2991&amp;"|"&amp;B2991&amp;"|"&amp;D2991,'All Song Rankings'!$T:$T,0),0)</f>
        <v>453</v>
      </c>
      <c r="G2991" s="6" t="str">
        <f aca="false">IF(F2991=0,"NOT FOUND",INDEX('All Song Rankings'!$A:$A,F2991))</f>
        <v>Raspberry Beret</v>
      </c>
      <c r="H2991" s="6" t="str">
        <f aca="false">IF(F2991=0,"NOT FOUND",INDEX('All Song Rankings'!$B:$B,F2991))</f>
        <v>Prince</v>
      </c>
      <c r="I2991" s="6" t="str">
        <f aca="false">IF(F2991=0,"NOT FOUND",INDEX('All Song Rankings'!$D:$D,F2991))</f>
        <v>Christine</v>
      </c>
      <c r="J2991" s="7" t="str">
        <f aca="false">IF(F2991=0,"NOT FOUND",IF(C2991=I2991,"SELF-VOTE",IF(COUNTIF($K:$K,K2991)&gt;1,"DUPLICATE","OK")))</f>
        <v>OK</v>
      </c>
      <c r="K2991" s="6" t="str">
        <f aca="false">A2991&amp;"|"&amp;B2991&amp;"|"&amp;C2991&amp;"|"&amp;D2991</f>
        <v>5|3|Scott|spotify:track:2I1W3hcSsPIsEJfD69pHrW</v>
      </c>
    </row>
    <row r="2992" customFormat="false" ht="15" hidden="false" customHeight="false" outlineLevel="0" collapsed="false">
      <c r="A2992" s="5" t="n">
        <v>5</v>
      </c>
      <c r="B2992" s="5" t="n">
        <v>3</v>
      </c>
      <c r="C2992" s="5" t="s">
        <v>484</v>
      </c>
      <c r="D2992" s="5" t="s">
        <v>1434</v>
      </c>
      <c r="E2992" s="5" t="n">
        <v>1</v>
      </c>
      <c r="F2992" s="6" t="n">
        <f aca="false">IFERROR(MATCH(A2992&amp;"|"&amp;B2992&amp;"|"&amp;D2992,'All Song Rankings'!$T:$T,0),0)</f>
        <v>454</v>
      </c>
      <c r="G2992" s="6" t="str">
        <f aca="false">IF(F2992=0,"NOT FOUND",INDEX('All Song Rankings'!$A:$A,F2992))</f>
        <v>Watermelon Sugar</v>
      </c>
      <c r="H2992" s="6" t="str">
        <f aca="false">IF(F2992=0,"NOT FOUND",INDEX('All Song Rankings'!$B:$B,F2992))</f>
        <v>Harry Styles</v>
      </c>
      <c r="I2992" s="6" t="str">
        <f aca="false">IF(F2992=0,"NOT FOUND",INDEX('All Song Rankings'!$D:$D,F2992))</f>
        <v>Grace</v>
      </c>
      <c r="J2992" s="7" t="str">
        <f aca="false">IF(F2992=0,"NOT FOUND",IF(C2992=I2992,"SELF-VOTE",IF(COUNTIF($K:$K,K2992)&gt;1,"DUPLICATE","OK")))</f>
        <v>OK</v>
      </c>
      <c r="K2992" s="6" t="str">
        <f aca="false">A2992&amp;"|"&amp;B2992&amp;"|"&amp;C2992&amp;"|"&amp;D2992</f>
        <v>5|3|Scott|spotify:track:6UelLqGlWMcVH1E5c4H7lY</v>
      </c>
    </row>
    <row r="2993" customFormat="false" ht="15" hidden="false" customHeight="false" outlineLevel="0" collapsed="false">
      <c r="A2993" s="5" t="n">
        <v>5</v>
      </c>
      <c r="B2993" s="5" t="n">
        <v>3</v>
      </c>
      <c r="C2993" s="5" t="s">
        <v>484</v>
      </c>
      <c r="D2993" s="5" t="s">
        <v>1453</v>
      </c>
      <c r="E2993" s="5" t="n">
        <v>2</v>
      </c>
      <c r="F2993" s="6" t="n">
        <f aca="false">IFERROR(MATCH(A2993&amp;"|"&amp;B2993&amp;"|"&amp;D2993,'All Song Rankings'!$T:$T,0),0)</f>
        <v>461</v>
      </c>
      <c r="G2993" s="6" t="str">
        <f aca="false">IF(F2993=0,"NOT FOUND",INDEX('All Song Rankings'!$A:$A,F2993))</f>
        <v>Cheeseburger in Paradise</v>
      </c>
      <c r="H2993" s="6" t="str">
        <f aca="false">IF(F2993=0,"NOT FOUND",INDEX('All Song Rankings'!$B:$B,F2993))</f>
        <v>Jimmy Buffett</v>
      </c>
      <c r="I2993" s="6" t="str">
        <f aca="false">IF(F2993=0,"NOT FOUND",INDEX('All Song Rankings'!$D:$D,F2993))</f>
        <v>Aubrey</v>
      </c>
      <c r="J2993" s="7" t="str">
        <f aca="false">IF(F2993=0,"NOT FOUND",IF(C2993=I2993,"SELF-VOTE",IF(COUNTIF($K:$K,K2993)&gt;1,"DUPLICATE","OK")))</f>
        <v>OK</v>
      </c>
      <c r="K2993" s="6" t="str">
        <f aca="false">A2993&amp;"|"&amp;B2993&amp;"|"&amp;C2993&amp;"|"&amp;D2993</f>
        <v>5|3|Scott|spotify:track:6VeZ970uI0Yi6sjBgyFBrp</v>
      </c>
    </row>
    <row r="2994" customFormat="false" ht="15" hidden="false" customHeight="false" outlineLevel="0" collapsed="false">
      <c r="A2994" s="5" t="n">
        <v>5</v>
      </c>
      <c r="B2994" s="5" t="n">
        <v>3</v>
      </c>
      <c r="C2994" s="5" t="s">
        <v>484</v>
      </c>
      <c r="D2994" s="5" t="s">
        <v>1442</v>
      </c>
      <c r="E2994" s="5" t="n">
        <v>1</v>
      </c>
      <c r="F2994" s="6" t="n">
        <f aca="false">IFERROR(MATCH(A2994&amp;"|"&amp;B2994&amp;"|"&amp;D2994,'All Song Rankings'!$T:$T,0),0)</f>
        <v>457</v>
      </c>
      <c r="G2994" s="6" t="str">
        <f aca="false">IF(F2994=0,"NOT FOUND",INDEX('All Song Rankings'!$A:$A,F2994))</f>
        <v>I Can't Help Myself (Sugar Pie, Honey Bunch)</v>
      </c>
      <c r="H2994" s="6" t="str">
        <f aca="false">IF(F2994=0,"NOT FOUND",INDEX('All Song Rankings'!$B:$B,F2994))</f>
        <v>Four Tops</v>
      </c>
      <c r="I2994" s="6" t="str">
        <f aca="false">IF(F2994=0,"NOT FOUND",INDEX('All Song Rankings'!$D:$D,F2994))</f>
        <v>Logan</v>
      </c>
      <c r="J2994" s="7" t="str">
        <f aca="false">IF(F2994=0,"NOT FOUND",IF(C2994=I2994,"SELF-VOTE",IF(COUNTIF($K:$K,K2994)&gt;1,"DUPLICATE","OK")))</f>
        <v>OK</v>
      </c>
      <c r="K2994" s="6" t="str">
        <f aca="false">A2994&amp;"|"&amp;B2994&amp;"|"&amp;C2994&amp;"|"&amp;D2994</f>
        <v>5|3|Scott|spotify:track:6b6IMqP565TbtFFZg9iFf3</v>
      </c>
    </row>
    <row r="2995" customFormat="false" ht="15" hidden="false" customHeight="false" outlineLevel="0" collapsed="false">
      <c r="A2995" s="5" t="n">
        <v>5</v>
      </c>
      <c r="B2995" s="5" t="n">
        <v>3</v>
      </c>
      <c r="C2995" s="5" t="s">
        <v>484</v>
      </c>
      <c r="D2995" s="5" t="s">
        <v>1460</v>
      </c>
      <c r="E2995" s="5" t="n">
        <v>1</v>
      </c>
      <c r="F2995" s="6" t="n">
        <f aca="false">IFERROR(MATCH(A2995&amp;"|"&amp;B2995&amp;"|"&amp;D2995,'All Song Rankings'!$T:$T,0),0)</f>
        <v>465</v>
      </c>
      <c r="G2995" s="6" t="str">
        <f aca="false">IF(F2995=0,"NOT FOUND",INDEX('All Song Rankings'!$A:$A,F2995))</f>
        <v>Peaches</v>
      </c>
      <c r="H2995" s="6" t="str">
        <f aca="false">IF(F2995=0,"NOT FOUND",INDEX('All Song Rankings'!$B:$B,F2995))</f>
        <v>The Presidents Of The United States of America</v>
      </c>
      <c r="I2995" s="6" t="str">
        <f aca="false">IF(F2995=0,"NOT FOUND",INDEX('All Song Rankings'!$D:$D,F2995))</f>
        <v>Kristen</v>
      </c>
      <c r="J2995" s="7" t="str">
        <f aca="false">IF(F2995=0,"NOT FOUND",IF(C2995=I2995,"SELF-VOTE",IF(COUNTIF($K:$K,K2995)&gt;1,"DUPLICATE","OK")))</f>
        <v>OK</v>
      </c>
      <c r="K2995" s="6" t="str">
        <f aca="false">A2995&amp;"|"&amp;B2995&amp;"|"&amp;C2995&amp;"|"&amp;D2995</f>
        <v>5|3|Scott|spotify:track:750wm5pwuAQfnSLX8mxa5f</v>
      </c>
    </row>
    <row r="2996" customFormat="false" ht="15" hidden="false" customHeight="false" outlineLevel="0" collapsed="false">
      <c r="A2996" s="5" t="n">
        <v>5</v>
      </c>
      <c r="B2996" s="5" t="n">
        <v>3</v>
      </c>
      <c r="C2996" s="5" t="s">
        <v>484</v>
      </c>
      <c r="D2996" s="5" t="s">
        <v>1429</v>
      </c>
      <c r="E2996" s="5" t="n">
        <v>1</v>
      </c>
      <c r="F2996" s="6" t="n">
        <f aca="false">IFERROR(MATCH(A2996&amp;"|"&amp;B2996&amp;"|"&amp;D2996,'All Song Rankings'!$T:$T,0),0)</f>
        <v>452</v>
      </c>
      <c r="G2996" s="6" t="str">
        <f aca="false">IF(F2996=0,"NOT FOUND",INDEX('All Song Rankings'!$A:$A,F2996))</f>
        <v>Cake By The Ocean</v>
      </c>
      <c r="H2996" s="6" t="str">
        <f aca="false">IF(F2996=0,"NOT FOUND",INDEX('All Song Rankings'!$B:$B,F2996))</f>
        <v>DNCE</v>
      </c>
      <c r="I2996" s="6" t="str">
        <f aca="false">IF(F2996=0,"NOT FOUND",INDEX('All Song Rankings'!$D:$D,F2996))</f>
        <v>Matt</v>
      </c>
      <c r="J2996" s="7" t="str">
        <f aca="false">IF(F2996=0,"NOT FOUND",IF(C2996=I2996,"SELF-VOTE",IF(COUNTIF($K:$K,K2996)&gt;1,"DUPLICATE","OK")))</f>
        <v>OK</v>
      </c>
      <c r="K2996" s="6" t="str">
        <f aca="false">A2996&amp;"|"&amp;B2996&amp;"|"&amp;C2996&amp;"|"&amp;D2996</f>
        <v>5|3|Scott|spotify:track:76hfruVvmfQbw0eYn1nmeC</v>
      </c>
    </row>
    <row r="2997" customFormat="false" ht="15" hidden="false" customHeight="false" outlineLevel="0" collapsed="false">
      <c r="A2997" s="5" t="n">
        <v>5</v>
      </c>
      <c r="B2997" s="5" t="n">
        <v>3</v>
      </c>
      <c r="C2997" s="5" t="s">
        <v>97</v>
      </c>
      <c r="D2997" s="5" t="s">
        <v>1458</v>
      </c>
      <c r="E2997" s="5" t="n">
        <v>2</v>
      </c>
      <c r="F2997" s="6" t="n">
        <f aca="false">IFERROR(MATCH(A2997&amp;"|"&amp;B2997&amp;"|"&amp;D2997,'All Song Rankings'!$T:$T,0),0)</f>
        <v>464</v>
      </c>
      <c r="G2997" s="6" t="str">
        <f aca="false">IF(F2997=0,"NOT FOUND",INDEX('All Song Rankings'!$A:$A,F2997))</f>
        <v>Apple</v>
      </c>
      <c r="H2997" s="6" t="str">
        <f aca="false">IF(F2997=0,"NOT FOUND",INDEX('All Song Rankings'!$B:$B,F2997))</f>
        <v>Charli xcx</v>
      </c>
      <c r="I2997" s="6" t="str">
        <f aca="false">IF(F2997=0,"NOT FOUND",INDEX('All Song Rankings'!$D:$D,F2997))</f>
        <v>Leah</v>
      </c>
      <c r="J2997" s="7" t="str">
        <f aca="false">IF(F2997=0,"NOT FOUND",IF(C2997=I2997,"SELF-VOTE",IF(COUNTIF($K:$K,K2997)&gt;1,"DUPLICATE","OK")))</f>
        <v>OK</v>
      </c>
      <c r="K2997" s="6" t="str">
        <f aca="false">A2997&amp;"|"&amp;B2997&amp;"|"&amp;C2997&amp;"|"&amp;D2997</f>
        <v>5|3|Stephanie|spotify:track:19RybK6XDbAVpcdxSbZL1o</v>
      </c>
    </row>
    <row r="2998" customFormat="false" ht="15" hidden="false" customHeight="false" outlineLevel="0" collapsed="false">
      <c r="A2998" s="5" t="n">
        <v>5</v>
      </c>
      <c r="B2998" s="5" t="n">
        <v>3</v>
      </c>
      <c r="C2998" s="5" t="s">
        <v>97</v>
      </c>
      <c r="D2998" s="5" t="s">
        <v>1436</v>
      </c>
      <c r="E2998" s="5" t="n">
        <v>3</v>
      </c>
      <c r="F2998" s="6" t="n">
        <f aca="false">IFERROR(MATCH(A2998&amp;"|"&amp;B2998&amp;"|"&amp;D2998,'All Song Rankings'!$T:$T,0),0)</f>
        <v>455</v>
      </c>
      <c r="G2998" s="6" t="str">
        <f aca="false">IF(F2998=0,"NOT FOUND",INDEX('All Song Rankings'!$A:$A,F2998))</f>
        <v>Espresso</v>
      </c>
      <c r="H2998" s="6" t="str">
        <f aca="false">IF(F2998=0,"NOT FOUND",INDEX('All Song Rankings'!$B:$B,F2998))</f>
        <v>Sabrina Carpenter</v>
      </c>
      <c r="I2998" s="6" t="str">
        <f aca="false">IF(F2998=0,"NOT FOUND",INDEX('All Song Rankings'!$D:$D,F2998))</f>
        <v>Nicole</v>
      </c>
      <c r="J2998" s="7" t="str">
        <f aca="false">IF(F2998=0,"NOT FOUND",IF(C2998=I2998,"SELF-VOTE",IF(COUNTIF($K:$K,K2998)&gt;1,"DUPLICATE","OK")))</f>
        <v>OK</v>
      </c>
      <c r="K2998" s="6" t="str">
        <f aca="false">A2998&amp;"|"&amp;B2998&amp;"|"&amp;C2998&amp;"|"&amp;D2998</f>
        <v>5|3|Stephanie|spotify:track:1vLqigPHwiFnXsfrLMehV1</v>
      </c>
    </row>
    <row r="2999" customFormat="false" ht="15" hidden="false" customHeight="false" outlineLevel="0" collapsed="false">
      <c r="A2999" s="5" t="n">
        <v>5</v>
      </c>
      <c r="B2999" s="5" t="n">
        <v>3</v>
      </c>
      <c r="C2999" s="5" t="s">
        <v>97</v>
      </c>
      <c r="D2999" s="5" t="s">
        <v>1450</v>
      </c>
      <c r="E2999" s="5" t="n">
        <v>1</v>
      </c>
      <c r="F2999" s="6" t="n">
        <f aca="false">IFERROR(MATCH(A2999&amp;"|"&amp;B2999&amp;"|"&amp;D2999,'All Song Rankings'!$T:$T,0),0)</f>
        <v>460</v>
      </c>
      <c r="G2999" s="6" t="str">
        <f aca="false">IF(F2999=0,"NOT FOUND",INDEX('All Song Rankings'!$A:$A,F2999))</f>
        <v>Strawberries &amp; Cigarettes</v>
      </c>
      <c r="H2999" s="6" t="str">
        <f aca="false">IF(F2999=0,"NOT FOUND",INDEX('All Song Rankings'!$B:$B,F2999))</f>
        <v>Troye Sivan</v>
      </c>
      <c r="I2999" s="6" t="str">
        <f aca="false">IF(F2999=0,"NOT FOUND",INDEX('All Song Rankings'!$D:$D,F2999))</f>
        <v>Merita</v>
      </c>
      <c r="J2999" s="7" t="str">
        <f aca="false">IF(F2999=0,"NOT FOUND",IF(C2999=I2999,"SELF-VOTE",IF(COUNTIF($K:$K,K2999)&gt;1,"DUPLICATE","OK")))</f>
        <v>OK</v>
      </c>
      <c r="K2999" s="6" t="str">
        <f aca="false">A2999&amp;"|"&amp;B2999&amp;"|"&amp;C2999&amp;"|"&amp;D2999</f>
        <v>5|3|Stephanie|spotify:track:3afkJSKX0EAMsJXTZnDXXJ</v>
      </c>
    </row>
    <row r="3000" customFormat="false" ht="15" hidden="false" customHeight="false" outlineLevel="0" collapsed="false">
      <c r="A3000" s="5" t="n">
        <v>5</v>
      </c>
      <c r="B3000" s="5" t="n">
        <v>3</v>
      </c>
      <c r="C3000" s="5" t="s">
        <v>97</v>
      </c>
      <c r="D3000" s="5" t="s">
        <v>1447</v>
      </c>
      <c r="E3000" s="5" t="n">
        <v>2</v>
      </c>
      <c r="F3000" s="6" t="n">
        <f aca="false">IFERROR(MATCH(A3000&amp;"|"&amp;B3000&amp;"|"&amp;D3000,'All Song Rankings'!$T:$T,0),0)</f>
        <v>459</v>
      </c>
      <c r="G3000" s="6" t="str">
        <f aca="false">IF(F3000=0,"NOT FOUND",INDEX('All Song Rankings'!$A:$A,F3000))</f>
        <v>Peaches (feat. Daniel Caesar &amp; Giveon)</v>
      </c>
      <c r="H3000" s="6" t="str">
        <f aca="false">IF(F3000=0,"NOT FOUND",INDEX('All Song Rankings'!$B:$B,F3000))</f>
        <v>Justin Bieber</v>
      </c>
      <c r="I3000" s="6" t="str">
        <f aca="false">IF(F3000=0,"NOT FOUND",INDEX('All Song Rankings'!$D:$D,F3000))</f>
        <v>Makenzie</v>
      </c>
      <c r="J3000" s="7" t="str">
        <f aca="false">IF(F3000=0,"NOT FOUND",IF(C3000=I3000,"SELF-VOTE",IF(COUNTIF($K:$K,K3000)&gt;1,"DUPLICATE","OK")))</f>
        <v>OK</v>
      </c>
      <c r="K3000" s="6" t="str">
        <f aca="false">A3000&amp;"|"&amp;B3000&amp;"|"&amp;C3000&amp;"|"&amp;D3000</f>
        <v>5|3|Stephanie|spotify:track:4iJyoBOLtHqaGxP12qzhQI</v>
      </c>
    </row>
    <row r="3001" customFormat="false" ht="15" hidden="false" customHeight="false" outlineLevel="0" collapsed="false">
      <c r="A3001" s="5" t="n">
        <v>5</v>
      </c>
      <c r="B3001" s="5" t="n">
        <v>3</v>
      </c>
      <c r="C3001" s="5" t="s">
        <v>97</v>
      </c>
      <c r="D3001" s="5" t="s">
        <v>1453</v>
      </c>
      <c r="E3001" s="5" t="n">
        <v>1</v>
      </c>
      <c r="F3001" s="6" t="n">
        <f aca="false">IFERROR(MATCH(A3001&amp;"|"&amp;B3001&amp;"|"&amp;D3001,'All Song Rankings'!$T:$T,0),0)</f>
        <v>461</v>
      </c>
      <c r="G3001" s="6" t="str">
        <f aca="false">IF(F3001=0,"NOT FOUND",INDEX('All Song Rankings'!$A:$A,F3001))</f>
        <v>Cheeseburger in Paradise</v>
      </c>
      <c r="H3001" s="6" t="str">
        <f aca="false">IF(F3001=0,"NOT FOUND",INDEX('All Song Rankings'!$B:$B,F3001))</f>
        <v>Jimmy Buffett</v>
      </c>
      <c r="I3001" s="6" t="str">
        <f aca="false">IF(F3001=0,"NOT FOUND",INDEX('All Song Rankings'!$D:$D,F3001))</f>
        <v>Aubrey</v>
      </c>
      <c r="J3001" s="7" t="str">
        <f aca="false">IF(F3001=0,"NOT FOUND",IF(C3001=I3001,"SELF-VOTE",IF(COUNTIF($K:$K,K3001)&gt;1,"DUPLICATE","OK")))</f>
        <v>OK</v>
      </c>
      <c r="K3001" s="6" t="str">
        <f aca="false">A3001&amp;"|"&amp;B3001&amp;"|"&amp;C3001&amp;"|"&amp;D3001</f>
        <v>5|3|Stephanie|spotify:track:6VeZ970uI0Yi6sjBgyFBrp</v>
      </c>
    </row>
    <row r="3002" customFormat="false" ht="15" hidden="false" customHeight="false" outlineLevel="0" collapsed="false">
      <c r="A3002" s="5" t="n">
        <v>5</v>
      </c>
      <c r="B3002" s="5" t="n">
        <v>3</v>
      </c>
      <c r="C3002" s="5" t="s">
        <v>97</v>
      </c>
      <c r="D3002" s="5" t="s">
        <v>1460</v>
      </c>
      <c r="E3002" s="5" t="n">
        <v>1</v>
      </c>
      <c r="F3002" s="6" t="n">
        <f aca="false">IFERROR(MATCH(A3002&amp;"|"&amp;B3002&amp;"|"&amp;D3002,'All Song Rankings'!$T:$T,0),0)</f>
        <v>465</v>
      </c>
      <c r="G3002" s="6" t="str">
        <f aca="false">IF(F3002=0,"NOT FOUND",INDEX('All Song Rankings'!$A:$A,F3002))</f>
        <v>Peaches</v>
      </c>
      <c r="H3002" s="6" t="str">
        <f aca="false">IF(F3002=0,"NOT FOUND",INDEX('All Song Rankings'!$B:$B,F3002))</f>
        <v>The Presidents Of The United States of America</v>
      </c>
      <c r="I3002" s="6" t="str">
        <f aca="false">IF(F3002=0,"NOT FOUND",INDEX('All Song Rankings'!$D:$D,F3002))</f>
        <v>Kristen</v>
      </c>
      <c r="J3002" s="7" t="str">
        <f aca="false">IF(F3002=0,"NOT FOUND",IF(C3002=I3002,"SELF-VOTE",IF(COUNTIF($K:$K,K3002)&gt;1,"DUPLICATE","OK")))</f>
        <v>OK</v>
      </c>
      <c r="K3002" s="6" t="str">
        <f aca="false">A3002&amp;"|"&amp;B3002&amp;"|"&amp;C3002&amp;"|"&amp;D3002</f>
        <v>5|3|Stephanie|spotify:track:750wm5pwuAQfnSLX8mxa5f</v>
      </c>
    </row>
    <row r="3003" customFormat="false" ht="15" hidden="false" customHeight="false" outlineLevel="0" collapsed="false">
      <c r="A3003" s="5" t="n">
        <v>5</v>
      </c>
      <c r="B3003" s="5" t="n">
        <v>4</v>
      </c>
      <c r="C3003" s="5" t="s">
        <v>375</v>
      </c>
      <c r="D3003" s="5" t="s">
        <v>1483</v>
      </c>
      <c r="E3003" s="5" t="n">
        <v>1</v>
      </c>
      <c r="F3003" s="6" t="n">
        <f aca="false">IFERROR(MATCH(A3003&amp;"|"&amp;B3003&amp;"|"&amp;D3003,'All Song Rankings'!$T:$T,0),0)</f>
        <v>473</v>
      </c>
      <c r="G3003" s="6" t="str">
        <f aca="false">IF(F3003=0,"NOT FOUND",INDEX('All Song Rankings'!$A:$A,F3003))</f>
        <v>Someone To You</v>
      </c>
      <c r="H3003" s="6" t="str">
        <f aca="false">IF(F3003=0,"NOT FOUND",INDEX('All Song Rankings'!$B:$B,F3003))</f>
        <v>BANNERS</v>
      </c>
      <c r="I3003" s="6" t="str">
        <f aca="false">IF(F3003=0,"NOT FOUND",INDEX('All Song Rankings'!$D:$D,F3003))</f>
        <v>Makenzie</v>
      </c>
      <c r="J3003" s="7" t="str">
        <f aca="false">IF(F3003=0,"NOT FOUND",IF(C3003=I3003,"SELF-VOTE",IF(COUNTIF($K:$K,K3003)&gt;1,"DUPLICATE","OK")))</f>
        <v>OK</v>
      </c>
      <c r="K3003" s="6" t="str">
        <f aca="false">A3003&amp;"|"&amp;B3003&amp;"|"&amp;C3003&amp;"|"&amp;D3003</f>
        <v>5|4|Aubrey|spotify:track:14BH4qO7pgCmIe6mgLKOK3</v>
      </c>
    </row>
    <row r="3004" customFormat="false" ht="15" hidden="false" customHeight="false" outlineLevel="0" collapsed="false">
      <c r="A3004" s="5" t="n">
        <v>5</v>
      </c>
      <c r="B3004" s="5" t="n">
        <v>4</v>
      </c>
      <c r="C3004" s="5" t="s">
        <v>375</v>
      </c>
      <c r="D3004" s="5" t="s">
        <v>1499</v>
      </c>
      <c r="E3004" s="5" t="n">
        <v>3</v>
      </c>
      <c r="F3004" s="6" t="n">
        <f aca="false">IFERROR(MATCH(A3004&amp;"|"&amp;B3004&amp;"|"&amp;D3004,'All Song Rankings'!$T:$T,0),0)</f>
        <v>479</v>
      </c>
      <c r="G3004" s="6" t="str">
        <f aca="false">IF(F3004=0,"NOT FOUND",INDEX('All Song Rankings'!$A:$A,F3004))</f>
        <v>RICH MAN</v>
      </c>
      <c r="H3004" s="6" t="str">
        <f aca="false">IF(F3004=0,"NOT FOUND",INDEX('All Song Rankings'!$B:$B,F3004))</f>
        <v>Forrest Frank</v>
      </c>
      <c r="I3004" s="6" t="str">
        <f aca="false">IF(F3004=0,"NOT FOUND",INDEX('All Song Rankings'!$D:$D,F3004))</f>
        <v>Grace</v>
      </c>
      <c r="J3004" s="7" t="str">
        <f aca="false">IF(F3004=0,"NOT FOUND",IF(C3004=I3004,"SELF-VOTE",IF(COUNTIF($K:$K,K3004)&gt;1,"DUPLICATE","OK")))</f>
        <v>OK</v>
      </c>
      <c r="K3004" s="6" t="str">
        <f aca="false">A3004&amp;"|"&amp;B3004&amp;"|"&amp;C3004&amp;"|"&amp;D3004</f>
        <v>5|4|Aubrey|spotify:track:1F7G5N2Qy1VYAc2lZEd8Om</v>
      </c>
    </row>
    <row r="3005" customFormat="false" ht="15" hidden="false" customHeight="false" outlineLevel="0" collapsed="false">
      <c r="A3005" s="5" t="n">
        <v>5</v>
      </c>
      <c r="B3005" s="5" t="n">
        <v>4</v>
      </c>
      <c r="C3005" s="5" t="s">
        <v>375</v>
      </c>
      <c r="D3005" s="5" t="s">
        <v>1469</v>
      </c>
      <c r="E3005" s="5" t="n">
        <v>3</v>
      </c>
      <c r="F3005" s="6" t="n">
        <f aca="false">IFERROR(MATCH(A3005&amp;"|"&amp;B3005&amp;"|"&amp;D3005,'All Song Rankings'!$T:$T,0),0)</f>
        <v>468</v>
      </c>
      <c r="G3005" s="6" t="str">
        <f aca="false">IF(F3005=0,"NOT FOUND",INDEX('All Song Rankings'!$A:$A,F3005))</f>
        <v>Take It Easy - 2013 Remaster</v>
      </c>
      <c r="H3005" s="6" t="str">
        <f aca="false">IF(F3005=0,"NOT FOUND",INDEX('All Song Rankings'!$B:$B,F3005))</f>
        <v>Eagles</v>
      </c>
      <c r="I3005" s="6" t="str">
        <f aca="false">IF(F3005=0,"NOT FOUND",INDEX('All Song Rankings'!$D:$D,F3005))</f>
        <v>Christine</v>
      </c>
      <c r="J3005" s="7" t="str">
        <f aca="false">IF(F3005=0,"NOT FOUND",IF(C3005=I3005,"SELF-VOTE",IF(COUNTIF($K:$K,K3005)&gt;1,"DUPLICATE","OK")))</f>
        <v>OK</v>
      </c>
      <c r="K3005" s="6" t="str">
        <f aca="false">A3005&amp;"|"&amp;B3005&amp;"|"&amp;C3005&amp;"|"&amp;D3005</f>
        <v>5|4|Aubrey|spotify:track:4yugZvBYaoREkJKtbG08Qr</v>
      </c>
    </row>
    <row r="3006" customFormat="false" ht="15" hidden="false" customHeight="false" outlineLevel="0" collapsed="false">
      <c r="A3006" s="5" t="n">
        <v>5</v>
      </c>
      <c r="B3006" s="5" t="n">
        <v>4</v>
      </c>
      <c r="C3006" s="5" t="s">
        <v>375</v>
      </c>
      <c r="D3006" s="5" t="s">
        <v>1464</v>
      </c>
      <c r="E3006" s="5" t="n">
        <v>1</v>
      </c>
      <c r="F3006" s="6" t="n">
        <f aca="false">IFERROR(MATCH(A3006&amp;"|"&amp;B3006&amp;"|"&amp;D3006,'All Song Rankings'!$T:$T,0),0)</f>
        <v>466</v>
      </c>
      <c r="G3006" s="6" t="str">
        <f aca="false">IF(F3006=0,"NOT FOUND",INDEX('All Song Rankings'!$A:$A,F3006))</f>
        <v>Better</v>
      </c>
      <c r="H3006" s="6" t="str">
        <f aca="false">IF(F3006=0,"NOT FOUND",INDEX('All Song Rankings'!$B:$B,F3006))</f>
        <v>Khalid</v>
      </c>
      <c r="I3006" s="6" t="str">
        <f aca="false">IF(F3006=0,"NOT FOUND",INDEX('All Song Rankings'!$D:$D,F3006))</f>
        <v>Stephanie</v>
      </c>
      <c r="J3006" s="7" t="str">
        <f aca="false">IF(F3006=0,"NOT FOUND",IF(C3006=I3006,"SELF-VOTE",IF(COUNTIF($K:$K,K3006)&gt;1,"DUPLICATE","OK")))</f>
        <v>OK</v>
      </c>
      <c r="K3006" s="6" t="str">
        <f aca="false">A3006&amp;"|"&amp;B3006&amp;"|"&amp;C3006&amp;"|"&amp;D3006</f>
        <v>5|4|Aubrey|spotify:track:6zeeWid2sgw4lap2jV61PZ</v>
      </c>
    </row>
    <row r="3007" customFormat="false" ht="15" hidden="false" customHeight="false" outlineLevel="0" collapsed="false">
      <c r="A3007" s="5" t="n">
        <v>5</v>
      </c>
      <c r="B3007" s="5" t="n">
        <v>4</v>
      </c>
      <c r="C3007" s="5" t="s">
        <v>375</v>
      </c>
      <c r="D3007" s="5" t="s">
        <v>1488</v>
      </c>
      <c r="E3007" s="5" t="n">
        <v>1</v>
      </c>
      <c r="F3007" s="6" t="n">
        <f aca="false">IFERROR(MATCH(A3007&amp;"|"&amp;B3007&amp;"|"&amp;D3007,'All Song Rankings'!$T:$T,0),0)</f>
        <v>475</v>
      </c>
      <c r="G3007" s="6" t="str">
        <f aca="false">IF(F3007=0,"NOT FOUND",INDEX('All Song Rankings'!$A:$A,F3007))</f>
        <v>Hurricane</v>
      </c>
      <c r="H3007" s="6" t="str">
        <f aca="false">IF(F3007=0,"NOT FOUND",INDEX('All Song Rankings'!$B:$B,F3007))</f>
        <v>Thirty Seconds To Mars</v>
      </c>
      <c r="I3007" s="6" t="str">
        <f aca="false">IF(F3007=0,"NOT FOUND",INDEX('All Song Rankings'!$D:$D,F3007))</f>
        <v>Leah</v>
      </c>
      <c r="J3007" s="7" t="str">
        <f aca="false">IF(F3007=0,"NOT FOUND",IF(C3007=I3007,"SELF-VOTE",IF(COUNTIF($K:$K,K3007)&gt;1,"DUPLICATE","OK")))</f>
        <v>OK</v>
      </c>
      <c r="K3007" s="6" t="str">
        <f aca="false">A3007&amp;"|"&amp;B3007&amp;"|"&amp;C3007&amp;"|"&amp;D3007</f>
        <v>5|4|Aubrey|spotify:track:7jSyWNuHjjwJXr1SQCCAhB</v>
      </c>
    </row>
    <row r="3008" customFormat="false" ht="15" hidden="false" customHeight="false" outlineLevel="0" collapsed="false">
      <c r="A3008" s="5" t="n">
        <v>5</v>
      </c>
      <c r="B3008" s="5" t="n">
        <v>4</v>
      </c>
      <c r="C3008" s="5" t="s">
        <v>375</v>
      </c>
      <c r="D3008" s="5" t="s">
        <v>1466</v>
      </c>
      <c r="E3008" s="5" t="n">
        <v>1</v>
      </c>
      <c r="F3008" s="6" t="n">
        <f aca="false">IFERROR(MATCH(A3008&amp;"|"&amp;B3008&amp;"|"&amp;D3008,'All Song Rankings'!$T:$T,0),0)</f>
        <v>467</v>
      </c>
      <c r="G3008" s="6" t="str">
        <f aca="false">IF(F3008=0,"NOT FOUND",INDEX('All Song Rankings'!$A:$A,F3008))</f>
        <v>Three Little Birds</v>
      </c>
      <c r="H3008" s="6" t="str">
        <f aca="false">IF(F3008=0,"NOT FOUND",INDEX('All Song Rankings'!$B:$B,F3008))</f>
        <v>Bob Marley &amp; The Wailers</v>
      </c>
      <c r="I3008" s="6" t="str">
        <f aca="false">IF(F3008=0,"NOT FOUND",INDEX('All Song Rankings'!$D:$D,F3008))</f>
        <v>Kristen</v>
      </c>
      <c r="J3008" s="7" t="str">
        <f aca="false">IF(F3008=0,"NOT FOUND",IF(C3008=I3008,"SELF-VOTE",IF(COUNTIF($K:$K,K3008)&gt;1,"DUPLICATE","OK")))</f>
        <v>OK</v>
      </c>
      <c r="K3008" s="6" t="str">
        <f aca="false">A3008&amp;"|"&amp;B3008&amp;"|"&amp;C3008&amp;"|"&amp;D3008</f>
        <v>5|4|Aubrey|spotify:track:7vggqxNKwd6xdRoYS0pQtM</v>
      </c>
    </row>
    <row r="3009" customFormat="false" ht="15" hidden="false" customHeight="false" outlineLevel="0" collapsed="false">
      <c r="A3009" s="5" t="n">
        <v>5</v>
      </c>
      <c r="B3009" s="5" t="n">
        <v>4</v>
      </c>
      <c r="C3009" s="5" t="s">
        <v>719</v>
      </c>
      <c r="D3009" s="5" t="s">
        <v>1490</v>
      </c>
      <c r="E3009" s="5" t="n">
        <v>1</v>
      </c>
      <c r="F3009" s="6" t="n">
        <f aca="false">IFERROR(MATCH(A3009&amp;"|"&amp;B3009&amp;"|"&amp;D3009,'All Song Rankings'!$T:$T,0),0)</f>
        <v>476</v>
      </c>
      <c r="G3009" s="6" t="str">
        <f aca="false">IF(F3009=0,"NOT FOUND",INDEX('All Song Rankings'!$A:$A,F3009))</f>
        <v>By Your Grace</v>
      </c>
      <c r="H3009" s="6" t="str">
        <f aca="false">IF(F3009=0,"NOT FOUND",INDEX('All Song Rankings'!$B:$B,F3009))</f>
        <v>Cody Johnson</v>
      </c>
      <c r="I3009" s="6" t="str">
        <f aca="false">IF(F3009=0,"NOT FOUND",INDEX('All Song Rankings'!$D:$D,F3009))</f>
        <v>Aubrey</v>
      </c>
      <c r="J3009" s="7" t="str">
        <f aca="false">IF(F3009=0,"NOT FOUND",IF(C3009=I3009,"SELF-VOTE",IF(COUNTIF($K:$K,K3009)&gt;1,"DUPLICATE","OK")))</f>
        <v>OK</v>
      </c>
      <c r="K3009" s="6" t="str">
        <f aca="false">A3009&amp;"|"&amp;B3009&amp;"|"&amp;C3009&amp;"|"&amp;D3009</f>
        <v>5|4|Christine|spotify:track:0IlYvLvA257FhOau31pOK8</v>
      </c>
    </row>
    <row r="3010" customFormat="false" ht="15" hidden="false" customHeight="false" outlineLevel="0" collapsed="false">
      <c r="A3010" s="5" t="n">
        <v>5</v>
      </c>
      <c r="B3010" s="5" t="n">
        <v>4</v>
      </c>
      <c r="C3010" s="5" t="s">
        <v>719</v>
      </c>
      <c r="D3010" s="5" t="s">
        <v>1478</v>
      </c>
      <c r="E3010" s="5" t="n">
        <v>2</v>
      </c>
      <c r="F3010" s="6" t="n">
        <f aca="false">IFERROR(MATCH(A3010&amp;"|"&amp;B3010&amp;"|"&amp;D3010,'All Song Rankings'!$T:$T,0),0)</f>
        <v>471</v>
      </c>
      <c r="G3010" s="6" t="str">
        <f aca="false">IF(F3010=0,"NOT FOUND",INDEX('All Song Rankings'!$A:$A,F3010))</f>
        <v>Into the Mystic</v>
      </c>
      <c r="H3010" s="6" t="str">
        <f aca="false">IF(F3010=0,"NOT FOUND",INDEX('All Song Rankings'!$B:$B,F3010))</f>
        <v>Van Morrison</v>
      </c>
      <c r="I3010" s="6" t="str">
        <f aca="false">IF(F3010=0,"NOT FOUND",INDEX('All Song Rankings'!$D:$D,F3010))</f>
        <v>Lisa</v>
      </c>
      <c r="J3010" s="7" t="str">
        <f aca="false">IF(F3010=0,"NOT FOUND",IF(C3010=I3010,"SELF-VOTE",IF(COUNTIF($K:$K,K3010)&gt;1,"DUPLICATE","OK")))</f>
        <v>OK</v>
      </c>
      <c r="K3010" s="6" t="str">
        <f aca="false">A3010&amp;"|"&amp;B3010&amp;"|"&amp;C3010&amp;"|"&amp;D3010</f>
        <v>5|4|Christine|spotify:track:1285TFFkLTTis9UL9IGZRi</v>
      </c>
    </row>
    <row r="3011" customFormat="false" ht="15" hidden="false" customHeight="false" outlineLevel="0" collapsed="false">
      <c r="A3011" s="5" t="n">
        <v>5</v>
      </c>
      <c r="B3011" s="5" t="n">
        <v>4</v>
      </c>
      <c r="C3011" s="5" t="s">
        <v>719</v>
      </c>
      <c r="D3011" s="5" t="s">
        <v>1483</v>
      </c>
      <c r="E3011" s="5" t="n">
        <v>1</v>
      </c>
      <c r="F3011" s="6" t="n">
        <f aca="false">IFERROR(MATCH(A3011&amp;"|"&amp;B3011&amp;"|"&amp;D3011,'All Song Rankings'!$T:$T,0),0)</f>
        <v>473</v>
      </c>
      <c r="G3011" s="6" t="str">
        <f aca="false">IF(F3011=0,"NOT FOUND",INDEX('All Song Rankings'!$A:$A,F3011))</f>
        <v>Someone To You</v>
      </c>
      <c r="H3011" s="6" t="str">
        <f aca="false">IF(F3011=0,"NOT FOUND",INDEX('All Song Rankings'!$B:$B,F3011))</f>
        <v>BANNERS</v>
      </c>
      <c r="I3011" s="6" t="str">
        <f aca="false">IF(F3011=0,"NOT FOUND",INDEX('All Song Rankings'!$D:$D,F3011))</f>
        <v>Makenzie</v>
      </c>
      <c r="J3011" s="7" t="str">
        <f aca="false">IF(F3011=0,"NOT FOUND",IF(C3011=I3011,"SELF-VOTE",IF(COUNTIF($K:$K,K3011)&gt;1,"DUPLICATE","OK")))</f>
        <v>OK</v>
      </c>
      <c r="K3011" s="6" t="str">
        <f aca="false">A3011&amp;"|"&amp;B3011&amp;"|"&amp;C3011&amp;"|"&amp;D3011</f>
        <v>5|4|Christine|spotify:track:14BH4qO7pgCmIe6mgLKOK3</v>
      </c>
    </row>
    <row r="3012" customFormat="false" ht="15" hidden="false" customHeight="false" outlineLevel="0" collapsed="false">
      <c r="A3012" s="5" t="n">
        <v>5</v>
      </c>
      <c r="B3012" s="5" t="n">
        <v>4</v>
      </c>
      <c r="C3012" s="5" t="s">
        <v>719</v>
      </c>
      <c r="D3012" s="5" t="s">
        <v>1472</v>
      </c>
      <c r="E3012" s="5" t="n">
        <v>1</v>
      </c>
      <c r="F3012" s="6" t="n">
        <f aca="false">IFERROR(MATCH(A3012&amp;"|"&amp;B3012&amp;"|"&amp;D3012,'All Song Rankings'!$T:$T,0),0)</f>
        <v>469</v>
      </c>
      <c r="G3012" s="6" t="str">
        <f aca="false">IF(F3012=0,"NOT FOUND",INDEX('All Song Rankings'!$A:$A,F3012))</f>
        <v>Hikoki Gumo / The Wind Rises</v>
      </c>
      <c r="H3012" s="6" t="str">
        <f aca="false">IF(F3012=0,"NOT FOUND",INDEX('All Song Rankings'!$B:$B,F3012))</f>
        <v>Makiko Hirohashi</v>
      </c>
      <c r="I3012" s="6" t="str">
        <f aca="false">IF(F3012=0,"NOT FOUND",INDEX('All Song Rankings'!$D:$D,F3012))</f>
        <v>Matt</v>
      </c>
      <c r="J3012" s="7" t="str">
        <f aca="false">IF(F3012=0,"NOT FOUND",IF(C3012=I3012,"SELF-VOTE",IF(COUNTIF($K:$K,K3012)&gt;1,"DUPLICATE","OK")))</f>
        <v>OK</v>
      </c>
      <c r="K3012" s="6" t="str">
        <f aca="false">A3012&amp;"|"&amp;B3012&amp;"|"&amp;C3012&amp;"|"&amp;D3012</f>
        <v>5|4|Christine|spotify:track:3hMDAZqFsZYjYJO4hN3UTK</v>
      </c>
    </row>
    <row r="3013" customFormat="false" ht="15" hidden="false" customHeight="false" outlineLevel="0" collapsed="false">
      <c r="A3013" s="5" t="n">
        <v>5</v>
      </c>
      <c r="B3013" s="5" t="n">
        <v>4</v>
      </c>
      <c r="C3013" s="5" t="s">
        <v>719</v>
      </c>
      <c r="D3013" s="5" t="s">
        <v>1475</v>
      </c>
      <c r="E3013" s="5" t="n">
        <v>1</v>
      </c>
      <c r="F3013" s="6" t="n">
        <f aca="false">IFERROR(MATCH(A3013&amp;"|"&amp;B3013&amp;"|"&amp;D3013,'All Song Rankings'!$T:$T,0),0)</f>
        <v>470</v>
      </c>
      <c r="G3013" s="6" t="str">
        <f aca="false">IF(F3013=0,"NOT FOUND",INDEX('All Song Rankings'!$A:$A,F3013))</f>
        <v>SNAP</v>
      </c>
      <c r="H3013" s="6" t="str">
        <f aca="false">IF(F3013=0,"NOT FOUND",INDEX('All Song Rankings'!$B:$B,F3013))</f>
        <v>Rosa Linn</v>
      </c>
      <c r="I3013" s="6" t="str">
        <f aca="false">IF(F3013=0,"NOT FOUND",INDEX('All Song Rankings'!$D:$D,F3013))</f>
        <v>Kelsey</v>
      </c>
      <c r="J3013" s="7" t="str">
        <f aca="false">IF(F3013=0,"NOT FOUND",IF(C3013=I3013,"SELF-VOTE",IF(COUNTIF($K:$K,K3013)&gt;1,"DUPLICATE","OK")))</f>
        <v>OK</v>
      </c>
      <c r="K3013" s="6" t="str">
        <f aca="false">A3013&amp;"|"&amp;B3013&amp;"|"&amp;C3013&amp;"|"&amp;D3013</f>
        <v>5|4|Christine|spotify:track:5hx7w26Zi3zafMgvMTUqF6</v>
      </c>
    </row>
    <row r="3014" customFormat="false" ht="15" hidden="false" customHeight="false" outlineLevel="0" collapsed="false">
      <c r="A3014" s="5" t="n">
        <v>5</v>
      </c>
      <c r="B3014" s="5" t="n">
        <v>4</v>
      </c>
      <c r="C3014" s="5" t="s">
        <v>719</v>
      </c>
      <c r="D3014" s="5" t="s">
        <v>1464</v>
      </c>
      <c r="E3014" s="5" t="n">
        <v>1</v>
      </c>
      <c r="F3014" s="6" t="n">
        <f aca="false">IFERROR(MATCH(A3014&amp;"|"&amp;B3014&amp;"|"&amp;D3014,'All Song Rankings'!$T:$T,0),0)</f>
        <v>466</v>
      </c>
      <c r="G3014" s="6" t="str">
        <f aca="false">IF(F3014=0,"NOT FOUND",INDEX('All Song Rankings'!$A:$A,F3014))</f>
        <v>Better</v>
      </c>
      <c r="H3014" s="6" t="str">
        <f aca="false">IF(F3014=0,"NOT FOUND",INDEX('All Song Rankings'!$B:$B,F3014))</f>
        <v>Khalid</v>
      </c>
      <c r="I3014" s="6" t="str">
        <f aca="false">IF(F3014=0,"NOT FOUND",INDEX('All Song Rankings'!$D:$D,F3014))</f>
        <v>Stephanie</v>
      </c>
      <c r="J3014" s="7" t="str">
        <f aca="false">IF(F3014=0,"NOT FOUND",IF(C3014=I3014,"SELF-VOTE",IF(COUNTIF($K:$K,K3014)&gt;1,"DUPLICATE","OK")))</f>
        <v>OK</v>
      </c>
      <c r="K3014" s="6" t="str">
        <f aca="false">A3014&amp;"|"&amp;B3014&amp;"|"&amp;C3014&amp;"|"&amp;D3014</f>
        <v>5|4|Christine|spotify:track:6zeeWid2sgw4lap2jV61PZ</v>
      </c>
    </row>
    <row r="3015" customFormat="false" ht="15" hidden="false" customHeight="false" outlineLevel="0" collapsed="false">
      <c r="A3015" s="5" t="n">
        <v>5</v>
      </c>
      <c r="B3015" s="5" t="n">
        <v>4</v>
      </c>
      <c r="C3015" s="5" t="s">
        <v>719</v>
      </c>
      <c r="D3015" s="5" t="s">
        <v>1488</v>
      </c>
      <c r="E3015" s="5" t="n">
        <v>1</v>
      </c>
      <c r="F3015" s="6" t="n">
        <f aca="false">IFERROR(MATCH(A3015&amp;"|"&amp;B3015&amp;"|"&amp;D3015,'All Song Rankings'!$T:$T,0),0)</f>
        <v>475</v>
      </c>
      <c r="G3015" s="6" t="str">
        <f aca="false">IF(F3015=0,"NOT FOUND",INDEX('All Song Rankings'!$A:$A,F3015))</f>
        <v>Hurricane</v>
      </c>
      <c r="H3015" s="6" t="str">
        <f aca="false">IF(F3015=0,"NOT FOUND",INDEX('All Song Rankings'!$B:$B,F3015))</f>
        <v>Thirty Seconds To Mars</v>
      </c>
      <c r="I3015" s="6" t="str">
        <f aca="false">IF(F3015=0,"NOT FOUND",INDEX('All Song Rankings'!$D:$D,F3015))</f>
        <v>Leah</v>
      </c>
      <c r="J3015" s="7" t="str">
        <f aca="false">IF(F3015=0,"NOT FOUND",IF(C3015=I3015,"SELF-VOTE",IF(COUNTIF($K:$K,K3015)&gt;1,"DUPLICATE","OK")))</f>
        <v>OK</v>
      </c>
      <c r="K3015" s="6" t="str">
        <f aca="false">A3015&amp;"|"&amp;B3015&amp;"|"&amp;C3015&amp;"|"&amp;D3015</f>
        <v>5|4|Christine|spotify:track:7jSyWNuHjjwJXr1SQCCAhB</v>
      </c>
    </row>
    <row r="3016" customFormat="false" ht="15" hidden="false" customHeight="false" outlineLevel="0" collapsed="false">
      <c r="A3016" s="5" t="n">
        <v>5</v>
      </c>
      <c r="B3016" s="5" t="n">
        <v>4</v>
      </c>
      <c r="C3016" s="5" t="s">
        <v>719</v>
      </c>
      <c r="D3016" s="5" t="s">
        <v>1466</v>
      </c>
      <c r="E3016" s="5" t="n">
        <v>2</v>
      </c>
      <c r="F3016" s="6" t="n">
        <f aca="false">IFERROR(MATCH(A3016&amp;"|"&amp;B3016&amp;"|"&amp;D3016,'All Song Rankings'!$T:$T,0),0)</f>
        <v>467</v>
      </c>
      <c r="G3016" s="6" t="str">
        <f aca="false">IF(F3016=0,"NOT FOUND",INDEX('All Song Rankings'!$A:$A,F3016))</f>
        <v>Three Little Birds</v>
      </c>
      <c r="H3016" s="6" t="str">
        <f aca="false">IF(F3016=0,"NOT FOUND",INDEX('All Song Rankings'!$B:$B,F3016))</f>
        <v>Bob Marley &amp; The Wailers</v>
      </c>
      <c r="I3016" s="6" t="str">
        <f aca="false">IF(F3016=0,"NOT FOUND",INDEX('All Song Rankings'!$D:$D,F3016))</f>
        <v>Kristen</v>
      </c>
      <c r="J3016" s="7" t="str">
        <f aca="false">IF(F3016=0,"NOT FOUND",IF(C3016=I3016,"SELF-VOTE",IF(COUNTIF($K:$K,K3016)&gt;1,"DUPLICATE","OK")))</f>
        <v>OK</v>
      </c>
      <c r="K3016" s="6" t="str">
        <f aca="false">A3016&amp;"|"&amp;B3016&amp;"|"&amp;C3016&amp;"|"&amp;D3016</f>
        <v>5|4|Christine|spotify:track:7vggqxNKwd6xdRoYS0pQtM</v>
      </c>
    </row>
    <row r="3017" customFormat="false" ht="15" hidden="false" customHeight="false" outlineLevel="0" collapsed="false">
      <c r="A3017" s="5" t="n">
        <v>5</v>
      </c>
      <c r="B3017" s="5" t="n">
        <v>4</v>
      </c>
      <c r="C3017" s="5" t="s">
        <v>85</v>
      </c>
      <c r="D3017" s="5" t="s">
        <v>1490</v>
      </c>
      <c r="E3017" s="5" t="n">
        <v>1</v>
      </c>
      <c r="F3017" s="6" t="n">
        <f aca="false">IFERROR(MATCH(A3017&amp;"|"&amp;B3017&amp;"|"&amp;D3017,'All Song Rankings'!$T:$T,0),0)</f>
        <v>476</v>
      </c>
      <c r="G3017" s="6" t="str">
        <f aca="false">IF(F3017=0,"NOT FOUND",INDEX('All Song Rankings'!$A:$A,F3017))</f>
        <v>By Your Grace</v>
      </c>
      <c r="H3017" s="6" t="str">
        <f aca="false">IF(F3017=0,"NOT FOUND",INDEX('All Song Rankings'!$B:$B,F3017))</f>
        <v>Cody Johnson</v>
      </c>
      <c r="I3017" s="6" t="str">
        <f aca="false">IF(F3017=0,"NOT FOUND",INDEX('All Song Rankings'!$D:$D,F3017))</f>
        <v>Aubrey</v>
      </c>
      <c r="J3017" s="7" t="str">
        <f aca="false">IF(F3017=0,"NOT FOUND",IF(C3017=I3017,"SELF-VOTE",IF(COUNTIF($K:$K,K3017)&gt;1,"DUPLICATE","OK")))</f>
        <v>OK</v>
      </c>
      <c r="K3017" s="6" t="str">
        <f aca="false">A3017&amp;"|"&amp;B3017&amp;"|"&amp;C3017&amp;"|"&amp;D3017</f>
        <v>5|4|Kelsey|spotify:track:0IlYvLvA257FhOau31pOK8</v>
      </c>
    </row>
    <row r="3018" customFormat="false" ht="15" hidden="false" customHeight="false" outlineLevel="0" collapsed="false">
      <c r="A3018" s="5" t="n">
        <v>5</v>
      </c>
      <c r="B3018" s="5" t="n">
        <v>4</v>
      </c>
      <c r="C3018" s="5" t="s">
        <v>85</v>
      </c>
      <c r="D3018" s="5" t="s">
        <v>1483</v>
      </c>
      <c r="E3018" s="5" t="n">
        <v>1</v>
      </c>
      <c r="F3018" s="6" t="n">
        <f aca="false">IFERROR(MATCH(A3018&amp;"|"&amp;B3018&amp;"|"&amp;D3018,'All Song Rankings'!$T:$T,0),0)</f>
        <v>473</v>
      </c>
      <c r="G3018" s="6" t="str">
        <f aca="false">IF(F3018=0,"NOT FOUND",INDEX('All Song Rankings'!$A:$A,F3018))</f>
        <v>Someone To You</v>
      </c>
      <c r="H3018" s="6" t="str">
        <f aca="false">IF(F3018=0,"NOT FOUND",INDEX('All Song Rankings'!$B:$B,F3018))</f>
        <v>BANNERS</v>
      </c>
      <c r="I3018" s="6" t="str">
        <f aca="false">IF(F3018=0,"NOT FOUND",INDEX('All Song Rankings'!$D:$D,F3018))</f>
        <v>Makenzie</v>
      </c>
      <c r="J3018" s="7" t="str">
        <f aca="false">IF(F3018=0,"NOT FOUND",IF(C3018=I3018,"SELF-VOTE",IF(COUNTIF($K:$K,K3018)&gt;1,"DUPLICATE","OK")))</f>
        <v>OK</v>
      </c>
      <c r="K3018" s="6" t="str">
        <f aca="false">A3018&amp;"|"&amp;B3018&amp;"|"&amp;C3018&amp;"|"&amp;D3018</f>
        <v>5|4|Kelsey|spotify:track:14BH4qO7pgCmIe6mgLKOK3</v>
      </c>
    </row>
    <row r="3019" customFormat="false" ht="15" hidden="false" customHeight="false" outlineLevel="0" collapsed="false">
      <c r="A3019" s="5" t="n">
        <v>5</v>
      </c>
      <c r="B3019" s="5" t="n">
        <v>4</v>
      </c>
      <c r="C3019" s="5" t="s">
        <v>85</v>
      </c>
      <c r="D3019" s="5" t="s">
        <v>1499</v>
      </c>
      <c r="E3019" s="5" t="n">
        <v>2</v>
      </c>
      <c r="F3019" s="6" t="n">
        <f aca="false">IFERROR(MATCH(A3019&amp;"|"&amp;B3019&amp;"|"&amp;D3019,'All Song Rankings'!$T:$T,0),0)</f>
        <v>479</v>
      </c>
      <c r="G3019" s="6" t="str">
        <f aca="false">IF(F3019=0,"NOT FOUND",INDEX('All Song Rankings'!$A:$A,F3019))</f>
        <v>RICH MAN</v>
      </c>
      <c r="H3019" s="6" t="str">
        <f aca="false">IF(F3019=0,"NOT FOUND",INDEX('All Song Rankings'!$B:$B,F3019))</f>
        <v>Forrest Frank</v>
      </c>
      <c r="I3019" s="6" t="str">
        <f aca="false">IF(F3019=0,"NOT FOUND",INDEX('All Song Rankings'!$D:$D,F3019))</f>
        <v>Grace</v>
      </c>
      <c r="J3019" s="7" t="str">
        <f aca="false">IF(F3019=0,"NOT FOUND",IF(C3019=I3019,"SELF-VOTE",IF(COUNTIF($K:$K,K3019)&gt;1,"DUPLICATE","OK")))</f>
        <v>OK</v>
      </c>
      <c r="K3019" s="6" t="str">
        <f aca="false">A3019&amp;"|"&amp;B3019&amp;"|"&amp;C3019&amp;"|"&amp;D3019</f>
        <v>5|4|Kelsey|spotify:track:1F7G5N2Qy1VYAc2lZEd8Om</v>
      </c>
    </row>
    <row r="3020" customFormat="false" ht="15" hidden="false" customHeight="false" outlineLevel="0" collapsed="false">
      <c r="A3020" s="5" t="n">
        <v>5</v>
      </c>
      <c r="B3020" s="5" t="n">
        <v>4</v>
      </c>
      <c r="C3020" s="5" t="s">
        <v>85</v>
      </c>
      <c r="D3020" s="5" t="s">
        <v>1472</v>
      </c>
      <c r="E3020" s="5" t="n">
        <v>1</v>
      </c>
      <c r="F3020" s="6" t="n">
        <f aca="false">IFERROR(MATCH(A3020&amp;"|"&amp;B3020&amp;"|"&amp;D3020,'All Song Rankings'!$T:$T,0),0)</f>
        <v>469</v>
      </c>
      <c r="G3020" s="6" t="str">
        <f aca="false">IF(F3020=0,"NOT FOUND",INDEX('All Song Rankings'!$A:$A,F3020))</f>
        <v>Hikoki Gumo / The Wind Rises</v>
      </c>
      <c r="H3020" s="6" t="str">
        <f aca="false">IF(F3020=0,"NOT FOUND",INDEX('All Song Rankings'!$B:$B,F3020))</f>
        <v>Makiko Hirohashi</v>
      </c>
      <c r="I3020" s="6" t="str">
        <f aca="false">IF(F3020=0,"NOT FOUND",INDEX('All Song Rankings'!$D:$D,F3020))</f>
        <v>Matt</v>
      </c>
      <c r="J3020" s="7" t="str">
        <f aca="false">IF(F3020=0,"NOT FOUND",IF(C3020=I3020,"SELF-VOTE",IF(COUNTIF($K:$K,K3020)&gt;1,"DUPLICATE","OK")))</f>
        <v>OK</v>
      </c>
      <c r="K3020" s="6" t="str">
        <f aca="false">A3020&amp;"|"&amp;B3020&amp;"|"&amp;C3020&amp;"|"&amp;D3020</f>
        <v>5|4|Kelsey|spotify:track:3hMDAZqFsZYjYJO4hN3UTK</v>
      </c>
    </row>
    <row r="3021" customFormat="false" ht="15" hidden="false" customHeight="false" outlineLevel="0" collapsed="false">
      <c r="A3021" s="5" t="n">
        <v>5</v>
      </c>
      <c r="B3021" s="5" t="n">
        <v>4</v>
      </c>
      <c r="C3021" s="5" t="s">
        <v>85</v>
      </c>
      <c r="D3021" s="5" t="s">
        <v>1469</v>
      </c>
      <c r="E3021" s="5" t="n">
        <v>1</v>
      </c>
      <c r="F3021" s="6" t="n">
        <f aca="false">IFERROR(MATCH(A3021&amp;"|"&amp;B3021&amp;"|"&amp;D3021,'All Song Rankings'!$T:$T,0),0)</f>
        <v>468</v>
      </c>
      <c r="G3021" s="6" t="str">
        <f aca="false">IF(F3021=0,"NOT FOUND",INDEX('All Song Rankings'!$A:$A,F3021))</f>
        <v>Take It Easy - 2013 Remaster</v>
      </c>
      <c r="H3021" s="6" t="str">
        <f aca="false">IF(F3021=0,"NOT FOUND",INDEX('All Song Rankings'!$B:$B,F3021))</f>
        <v>Eagles</v>
      </c>
      <c r="I3021" s="6" t="str">
        <f aca="false">IF(F3021=0,"NOT FOUND",INDEX('All Song Rankings'!$D:$D,F3021))</f>
        <v>Christine</v>
      </c>
      <c r="J3021" s="7" t="str">
        <f aca="false">IF(F3021=0,"NOT FOUND",IF(C3021=I3021,"SELF-VOTE",IF(COUNTIF($K:$K,K3021)&gt;1,"DUPLICATE","OK")))</f>
        <v>OK</v>
      </c>
      <c r="K3021" s="6" t="str">
        <f aca="false">A3021&amp;"|"&amp;B3021&amp;"|"&amp;C3021&amp;"|"&amp;D3021</f>
        <v>5|4|Kelsey|spotify:track:4yugZvBYaoREkJKtbG08Qr</v>
      </c>
    </row>
    <row r="3022" customFormat="false" ht="15" hidden="false" customHeight="false" outlineLevel="0" collapsed="false">
      <c r="A3022" s="5" t="n">
        <v>5</v>
      </c>
      <c r="B3022" s="5" t="n">
        <v>4</v>
      </c>
      <c r="C3022" s="5" t="s">
        <v>85</v>
      </c>
      <c r="D3022" s="5" t="s">
        <v>1485</v>
      </c>
      <c r="E3022" s="5" t="n">
        <v>2</v>
      </c>
      <c r="F3022" s="6" t="n">
        <f aca="false">IFERROR(MATCH(A3022&amp;"|"&amp;B3022&amp;"|"&amp;D3022,'All Song Rankings'!$T:$T,0),0)</f>
        <v>474</v>
      </c>
      <c r="G3022" s="6" t="str">
        <f aca="false">IF(F3022=0,"NOT FOUND",INDEX('All Song Rankings'!$A:$A,F3022))</f>
        <v>Matilda</v>
      </c>
      <c r="H3022" s="6" t="str">
        <f aca="false">IF(F3022=0,"NOT FOUND",INDEX('All Song Rankings'!$B:$B,F3022))</f>
        <v>Harry Styles</v>
      </c>
      <c r="I3022" s="6" t="str">
        <f aca="false">IF(F3022=0,"NOT FOUND",INDEX('All Song Rankings'!$D:$D,F3022))</f>
        <v>Merita</v>
      </c>
      <c r="J3022" s="7" t="str">
        <f aca="false">IF(F3022=0,"NOT FOUND",IF(C3022=I3022,"SELF-VOTE",IF(COUNTIF($K:$K,K3022)&gt;1,"DUPLICATE","OK")))</f>
        <v>OK</v>
      </c>
      <c r="K3022" s="6" t="str">
        <f aca="false">A3022&amp;"|"&amp;B3022&amp;"|"&amp;C3022&amp;"|"&amp;D3022</f>
        <v>5|4|Kelsey|spotify:track:6uvh0In7u1Xn4HgxOfAn8O</v>
      </c>
    </row>
    <row r="3023" customFormat="false" ht="15" hidden="false" customHeight="false" outlineLevel="0" collapsed="false">
      <c r="A3023" s="5" t="n">
        <v>5</v>
      </c>
      <c r="B3023" s="5" t="n">
        <v>4</v>
      </c>
      <c r="C3023" s="5" t="s">
        <v>85</v>
      </c>
      <c r="D3023" s="5" t="s">
        <v>1480</v>
      </c>
      <c r="E3023" s="5" t="n">
        <v>2</v>
      </c>
      <c r="F3023" s="6" t="n">
        <f aca="false">IFERROR(MATCH(A3023&amp;"|"&amp;B3023&amp;"|"&amp;D3023,'All Song Rankings'!$T:$T,0),0)</f>
        <v>472</v>
      </c>
      <c r="G3023" s="6" t="str">
        <f aca="false">IF(F3023=0,"NOT FOUND",INDEX('All Song Rankings'!$A:$A,F3023))</f>
        <v>Rainbow</v>
      </c>
      <c r="H3023" s="6" t="str">
        <f aca="false">IF(F3023=0,"NOT FOUND",INDEX('All Song Rankings'!$B:$B,F3023))</f>
        <v>Kacey Musgraves</v>
      </c>
      <c r="I3023" s="6" t="str">
        <f aca="false">IF(F3023=0,"NOT FOUND",INDEX('All Song Rankings'!$D:$D,F3023))</f>
        <v>Logan</v>
      </c>
      <c r="J3023" s="7" t="str">
        <f aca="false">IF(F3023=0,"NOT FOUND",IF(C3023=I3023,"SELF-VOTE",IF(COUNTIF($K:$K,K3023)&gt;1,"DUPLICATE","OK")))</f>
        <v>OK</v>
      </c>
      <c r="K3023" s="6" t="str">
        <f aca="false">A3023&amp;"|"&amp;B3023&amp;"|"&amp;C3023&amp;"|"&amp;D3023</f>
        <v>5|4|Kelsey|spotify:track:79qxwHypONUt3AFq0WPpT9</v>
      </c>
    </row>
    <row r="3024" customFormat="false" ht="15" hidden="false" customHeight="false" outlineLevel="0" collapsed="false">
      <c r="A3024" s="5" t="n">
        <v>5</v>
      </c>
      <c r="B3024" s="5" t="n">
        <v>4</v>
      </c>
      <c r="C3024" s="5" t="s">
        <v>106</v>
      </c>
      <c r="D3024" s="5" t="s">
        <v>1499</v>
      </c>
      <c r="E3024" s="5" t="n">
        <v>1</v>
      </c>
      <c r="F3024" s="6" t="n">
        <f aca="false">IFERROR(MATCH(A3024&amp;"|"&amp;B3024&amp;"|"&amp;D3024,'All Song Rankings'!$T:$T,0),0)</f>
        <v>479</v>
      </c>
      <c r="G3024" s="6" t="str">
        <f aca="false">IF(F3024=0,"NOT FOUND",INDEX('All Song Rankings'!$A:$A,F3024))</f>
        <v>RICH MAN</v>
      </c>
      <c r="H3024" s="6" t="str">
        <f aca="false">IF(F3024=0,"NOT FOUND",INDEX('All Song Rankings'!$B:$B,F3024))</f>
        <v>Forrest Frank</v>
      </c>
      <c r="I3024" s="6" t="str">
        <f aca="false">IF(F3024=0,"NOT FOUND",INDEX('All Song Rankings'!$D:$D,F3024))</f>
        <v>Grace</v>
      </c>
      <c r="J3024" s="7" t="str">
        <f aca="false">IF(F3024=0,"NOT FOUND",IF(C3024=I3024,"SELF-VOTE",IF(COUNTIF($K:$K,K3024)&gt;1,"DUPLICATE","OK")))</f>
        <v>OK</v>
      </c>
      <c r="K3024" s="6" t="str">
        <f aca="false">A3024&amp;"|"&amp;B3024&amp;"|"&amp;C3024&amp;"|"&amp;D3024</f>
        <v>5|4|Kristen|spotify:track:1F7G5N2Qy1VYAc2lZEd8Om</v>
      </c>
    </row>
    <row r="3025" customFormat="false" ht="15" hidden="false" customHeight="false" outlineLevel="0" collapsed="false">
      <c r="A3025" s="5" t="n">
        <v>5</v>
      </c>
      <c r="B3025" s="5" t="n">
        <v>4</v>
      </c>
      <c r="C3025" s="5" t="s">
        <v>106</v>
      </c>
      <c r="D3025" s="5" t="s">
        <v>1472</v>
      </c>
      <c r="E3025" s="5" t="n">
        <v>1</v>
      </c>
      <c r="F3025" s="6" t="n">
        <f aca="false">IFERROR(MATCH(A3025&amp;"|"&amp;B3025&amp;"|"&amp;D3025,'All Song Rankings'!$T:$T,0),0)</f>
        <v>469</v>
      </c>
      <c r="G3025" s="6" t="str">
        <f aca="false">IF(F3025=0,"NOT FOUND",INDEX('All Song Rankings'!$A:$A,F3025))</f>
        <v>Hikoki Gumo / The Wind Rises</v>
      </c>
      <c r="H3025" s="6" t="str">
        <f aca="false">IF(F3025=0,"NOT FOUND",INDEX('All Song Rankings'!$B:$B,F3025))</f>
        <v>Makiko Hirohashi</v>
      </c>
      <c r="I3025" s="6" t="str">
        <f aca="false">IF(F3025=0,"NOT FOUND",INDEX('All Song Rankings'!$D:$D,F3025))</f>
        <v>Matt</v>
      </c>
      <c r="J3025" s="7" t="str">
        <f aca="false">IF(F3025=0,"NOT FOUND",IF(C3025=I3025,"SELF-VOTE",IF(COUNTIF($K:$K,K3025)&gt;1,"DUPLICATE","OK")))</f>
        <v>OK</v>
      </c>
      <c r="K3025" s="6" t="str">
        <f aca="false">A3025&amp;"|"&amp;B3025&amp;"|"&amp;C3025&amp;"|"&amp;D3025</f>
        <v>5|4|Kristen|spotify:track:3hMDAZqFsZYjYJO4hN3UTK</v>
      </c>
    </row>
    <row r="3026" customFormat="false" ht="15" hidden="false" customHeight="false" outlineLevel="0" collapsed="false">
      <c r="A3026" s="5" t="n">
        <v>5</v>
      </c>
      <c r="B3026" s="5" t="n">
        <v>4</v>
      </c>
      <c r="C3026" s="5" t="s">
        <v>106</v>
      </c>
      <c r="D3026" s="5" t="s">
        <v>1469</v>
      </c>
      <c r="E3026" s="5" t="n">
        <v>1</v>
      </c>
      <c r="F3026" s="6" t="n">
        <f aca="false">IFERROR(MATCH(A3026&amp;"|"&amp;B3026&amp;"|"&amp;D3026,'All Song Rankings'!$T:$T,0),0)</f>
        <v>468</v>
      </c>
      <c r="G3026" s="6" t="str">
        <f aca="false">IF(F3026=0,"NOT FOUND",INDEX('All Song Rankings'!$A:$A,F3026))</f>
        <v>Take It Easy - 2013 Remaster</v>
      </c>
      <c r="H3026" s="6" t="str">
        <f aca="false">IF(F3026=0,"NOT FOUND",INDEX('All Song Rankings'!$B:$B,F3026))</f>
        <v>Eagles</v>
      </c>
      <c r="I3026" s="6" t="str">
        <f aca="false">IF(F3026=0,"NOT FOUND",INDEX('All Song Rankings'!$D:$D,F3026))</f>
        <v>Christine</v>
      </c>
      <c r="J3026" s="7" t="str">
        <f aca="false">IF(F3026=0,"NOT FOUND",IF(C3026=I3026,"SELF-VOTE",IF(COUNTIF($K:$K,K3026)&gt;1,"DUPLICATE","OK")))</f>
        <v>OK</v>
      </c>
      <c r="K3026" s="6" t="str">
        <f aca="false">A3026&amp;"|"&amp;B3026&amp;"|"&amp;C3026&amp;"|"&amp;D3026</f>
        <v>5|4|Kristen|spotify:track:4yugZvBYaoREkJKtbG08Qr</v>
      </c>
    </row>
    <row r="3027" customFormat="false" ht="15" hidden="false" customHeight="false" outlineLevel="0" collapsed="false">
      <c r="A3027" s="5" t="n">
        <v>5</v>
      </c>
      <c r="B3027" s="5" t="n">
        <v>4</v>
      </c>
      <c r="C3027" s="5" t="s">
        <v>106</v>
      </c>
      <c r="D3027" s="5" t="s">
        <v>1475</v>
      </c>
      <c r="E3027" s="5" t="n">
        <v>1</v>
      </c>
      <c r="F3027" s="6" t="n">
        <f aca="false">IFERROR(MATCH(A3027&amp;"|"&amp;B3027&amp;"|"&amp;D3027,'All Song Rankings'!$T:$T,0),0)</f>
        <v>470</v>
      </c>
      <c r="G3027" s="6" t="str">
        <f aca="false">IF(F3027=0,"NOT FOUND",INDEX('All Song Rankings'!$A:$A,F3027))</f>
        <v>SNAP</v>
      </c>
      <c r="H3027" s="6" t="str">
        <f aca="false">IF(F3027=0,"NOT FOUND",INDEX('All Song Rankings'!$B:$B,F3027))</f>
        <v>Rosa Linn</v>
      </c>
      <c r="I3027" s="6" t="str">
        <f aca="false">IF(F3027=0,"NOT FOUND",INDEX('All Song Rankings'!$D:$D,F3027))</f>
        <v>Kelsey</v>
      </c>
      <c r="J3027" s="7" t="str">
        <f aca="false">IF(F3027=0,"NOT FOUND",IF(C3027=I3027,"SELF-VOTE",IF(COUNTIF($K:$K,K3027)&gt;1,"DUPLICATE","OK")))</f>
        <v>OK</v>
      </c>
      <c r="K3027" s="6" t="str">
        <f aca="false">A3027&amp;"|"&amp;B3027&amp;"|"&amp;C3027&amp;"|"&amp;D3027</f>
        <v>5|4|Kristen|spotify:track:5hx7w26Zi3zafMgvMTUqF6</v>
      </c>
    </row>
    <row r="3028" customFormat="false" ht="15" hidden="false" customHeight="false" outlineLevel="0" collapsed="false">
      <c r="A3028" s="5" t="n">
        <v>5</v>
      </c>
      <c r="B3028" s="5" t="n">
        <v>4</v>
      </c>
      <c r="C3028" s="5" t="s">
        <v>106</v>
      </c>
      <c r="D3028" s="5" t="s">
        <v>1485</v>
      </c>
      <c r="E3028" s="5" t="n">
        <v>2</v>
      </c>
      <c r="F3028" s="6" t="n">
        <f aca="false">IFERROR(MATCH(A3028&amp;"|"&amp;B3028&amp;"|"&amp;D3028,'All Song Rankings'!$T:$T,0),0)</f>
        <v>474</v>
      </c>
      <c r="G3028" s="6" t="str">
        <f aca="false">IF(F3028=0,"NOT FOUND",INDEX('All Song Rankings'!$A:$A,F3028))</f>
        <v>Matilda</v>
      </c>
      <c r="H3028" s="6" t="str">
        <f aca="false">IF(F3028=0,"NOT FOUND",INDEX('All Song Rankings'!$B:$B,F3028))</f>
        <v>Harry Styles</v>
      </c>
      <c r="I3028" s="6" t="str">
        <f aca="false">IF(F3028=0,"NOT FOUND",INDEX('All Song Rankings'!$D:$D,F3028))</f>
        <v>Merita</v>
      </c>
      <c r="J3028" s="7" t="str">
        <f aca="false">IF(F3028=0,"NOT FOUND",IF(C3028=I3028,"SELF-VOTE",IF(COUNTIF($K:$K,K3028)&gt;1,"DUPLICATE","OK")))</f>
        <v>OK</v>
      </c>
      <c r="K3028" s="6" t="str">
        <f aca="false">A3028&amp;"|"&amp;B3028&amp;"|"&amp;C3028&amp;"|"&amp;D3028</f>
        <v>5|4|Kristen|spotify:track:6uvh0In7u1Xn4HgxOfAn8O</v>
      </c>
    </row>
    <row r="3029" customFormat="false" ht="15" hidden="false" customHeight="false" outlineLevel="0" collapsed="false">
      <c r="A3029" s="5" t="n">
        <v>5</v>
      </c>
      <c r="B3029" s="5" t="n">
        <v>4</v>
      </c>
      <c r="C3029" s="5" t="s">
        <v>106</v>
      </c>
      <c r="D3029" s="5" t="s">
        <v>1464</v>
      </c>
      <c r="E3029" s="5" t="n">
        <v>1</v>
      </c>
      <c r="F3029" s="6" t="n">
        <f aca="false">IFERROR(MATCH(A3029&amp;"|"&amp;B3029&amp;"|"&amp;D3029,'All Song Rankings'!$T:$T,0),0)</f>
        <v>466</v>
      </c>
      <c r="G3029" s="6" t="str">
        <f aca="false">IF(F3029=0,"NOT FOUND",INDEX('All Song Rankings'!$A:$A,F3029))</f>
        <v>Better</v>
      </c>
      <c r="H3029" s="6" t="str">
        <f aca="false">IF(F3029=0,"NOT FOUND",INDEX('All Song Rankings'!$B:$B,F3029))</f>
        <v>Khalid</v>
      </c>
      <c r="I3029" s="6" t="str">
        <f aca="false">IF(F3029=0,"NOT FOUND",INDEX('All Song Rankings'!$D:$D,F3029))</f>
        <v>Stephanie</v>
      </c>
      <c r="J3029" s="7" t="str">
        <f aca="false">IF(F3029=0,"NOT FOUND",IF(C3029=I3029,"SELF-VOTE",IF(COUNTIF($K:$K,K3029)&gt;1,"DUPLICATE","OK")))</f>
        <v>OK</v>
      </c>
      <c r="K3029" s="6" t="str">
        <f aca="false">A3029&amp;"|"&amp;B3029&amp;"|"&amp;C3029&amp;"|"&amp;D3029</f>
        <v>5|4|Kristen|spotify:track:6zeeWid2sgw4lap2jV61PZ</v>
      </c>
    </row>
    <row r="3030" customFormat="false" ht="15" hidden="false" customHeight="false" outlineLevel="0" collapsed="false">
      <c r="A3030" s="5" t="n">
        <v>5</v>
      </c>
      <c r="B3030" s="5" t="n">
        <v>4</v>
      </c>
      <c r="C3030" s="5" t="s">
        <v>106</v>
      </c>
      <c r="D3030" s="5" t="s">
        <v>1480</v>
      </c>
      <c r="E3030" s="5" t="n">
        <v>1</v>
      </c>
      <c r="F3030" s="6" t="n">
        <f aca="false">IFERROR(MATCH(A3030&amp;"|"&amp;B3030&amp;"|"&amp;D3030,'All Song Rankings'!$T:$T,0),0)</f>
        <v>472</v>
      </c>
      <c r="G3030" s="6" t="str">
        <f aca="false">IF(F3030=0,"NOT FOUND",INDEX('All Song Rankings'!$A:$A,F3030))</f>
        <v>Rainbow</v>
      </c>
      <c r="H3030" s="6" t="str">
        <f aca="false">IF(F3030=0,"NOT FOUND",INDEX('All Song Rankings'!$B:$B,F3030))</f>
        <v>Kacey Musgraves</v>
      </c>
      <c r="I3030" s="6" t="str">
        <f aca="false">IF(F3030=0,"NOT FOUND",INDEX('All Song Rankings'!$D:$D,F3030))</f>
        <v>Logan</v>
      </c>
      <c r="J3030" s="7" t="str">
        <f aca="false">IF(F3030=0,"NOT FOUND",IF(C3030=I3030,"SELF-VOTE",IF(COUNTIF($K:$K,K3030)&gt;1,"DUPLICATE","OK")))</f>
        <v>OK</v>
      </c>
      <c r="K3030" s="6" t="str">
        <f aca="false">A3030&amp;"|"&amp;B3030&amp;"|"&amp;C3030&amp;"|"&amp;D3030</f>
        <v>5|4|Kristen|spotify:track:79qxwHypONUt3AFq0WPpT9</v>
      </c>
    </row>
    <row r="3031" customFormat="false" ht="15" hidden="false" customHeight="false" outlineLevel="0" collapsed="false">
      <c r="A3031" s="5" t="n">
        <v>5</v>
      </c>
      <c r="B3031" s="5" t="n">
        <v>4</v>
      </c>
      <c r="C3031" s="5" t="s">
        <v>106</v>
      </c>
      <c r="D3031" s="5" t="s">
        <v>1488</v>
      </c>
      <c r="E3031" s="5" t="n">
        <v>2</v>
      </c>
      <c r="F3031" s="6" t="n">
        <f aca="false">IFERROR(MATCH(A3031&amp;"|"&amp;B3031&amp;"|"&amp;D3031,'All Song Rankings'!$T:$T,0),0)</f>
        <v>475</v>
      </c>
      <c r="G3031" s="6" t="str">
        <f aca="false">IF(F3031=0,"NOT FOUND",INDEX('All Song Rankings'!$A:$A,F3031))</f>
        <v>Hurricane</v>
      </c>
      <c r="H3031" s="6" t="str">
        <f aca="false">IF(F3031=0,"NOT FOUND",INDEX('All Song Rankings'!$B:$B,F3031))</f>
        <v>Thirty Seconds To Mars</v>
      </c>
      <c r="I3031" s="6" t="str">
        <f aca="false">IF(F3031=0,"NOT FOUND",INDEX('All Song Rankings'!$D:$D,F3031))</f>
        <v>Leah</v>
      </c>
      <c r="J3031" s="7" t="str">
        <f aca="false">IF(F3031=0,"NOT FOUND",IF(C3031=I3031,"SELF-VOTE",IF(COUNTIF($K:$K,K3031)&gt;1,"DUPLICATE","OK")))</f>
        <v>OK</v>
      </c>
      <c r="K3031" s="6" t="str">
        <f aca="false">A3031&amp;"|"&amp;B3031&amp;"|"&amp;C3031&amp;"|"&amp;D3031</f>
        <v>5|4|Kristen|spotify:track:7jSyWNuHjjwJXr1SQCCAhB</v>
      </c>
    </row>
    <row r="3032" customFormat="false" ht="15" hidden="false" customHeight="false" outlineLevel="0" collapsed="false">
      <c r="A3032" s="5" t="n">
        <v>5</v>
      </c>
      <c r="B3032" s="5" t="n">
        <v>4</v>
      </c>
      <c r="C3032" s="5" t="s">
        <v>119</v>
      </c>
      <c r="D3032" s="5" t="s">
        <v>1478</v>
      </c>
      <c r="E3032" s="5" t="n">
        <v>2</v>
      </c>
      <c r="F3032" s="6" t="n">
        <f aca="false">IFERROR(MATCH(A3032&amp;"|"&amp;B3032&amp;"|"&amp;D3032,'All Song Rankings'!$T:$T,0),0)</f>
        <v>471</v>
      </c>
      <c r="G3032" s="6" t="str">
        <f aca="false">IF(F3032=0,"NOT FOUND",INDEX('All Song Rankings'!$A:$A,F3032))</f>
        <v>Into the Mystic</v>
      </c>
      <c r="H3032" s="6" t="str">
        <f aca="false">IF(F3032=0,"NOT FOUND",INDEX('All Song Rankings'!$B:$B,F3032))</f>
        <v>Van Morrison</v>
      </c>
      <c r="I3032" s="6" t="str">
        <f aca="false">IF(F3032=0,"NOT FOUND",INDEX('All Song Rankings'!$D:$D,F3032))</f>
        <v>Lisa</v>
      </c>
      <c r="J3032" s="7" t="str">
        <f aca="false">IF(F3032=0,"NOT FOUND",IF(C3032=I3032,"SELF-VOTE",IF(COUNTIF($K:$K,K3032)&gt;1,"DUPLICATE","OK")))</f>
        <v>OK</v>
      </c>
      <c r="K3032" s="6" t="str">
        <f aca="false">A3032&amp;"|"&amp;B3032&amp;"|"&amp;C3032&amp;"|"&amp;D3032</f>
        <v>5|4|Leah|spotify:track:1285TFFkLTTis9UL9IGZRi</v>
      </c>
    </row>
    <row r="3033" customFormat="false" ht="15" hidden="false" customHeight="false" outlineLevel="0" collapsed="false">
      <c r="A3033" s="5" t="n">
        <v>5</v>
      </c>
      <c r="B3033" s="5" t="n">
        <v>4</v>
      </c>
      <c r="C3033" s="5" t="s">
        <v>119</v>
      </c>
      <c r="D3033" s="5" t="s">
        <v>1483</v>
      </c>
      <c r="E3033" s="5" t="n">
        <v>1</v>
      </c>
      <c r="F3033" s="6" t="n">
        <f aca="false">IFERROR(MATCH(A3033&amp;"|"&amp;B3033&amp;"|"&amp;D3033,'All Song Rankings'!$T:$T,0),0)</f>
        <v>473</v>
      </c>
      <c r="G3033" s="6" t="str">
        <f aca="false">IF(F3033=0,"NOT FOUND",INDEX('All Song Rankings'!$A:$A,F3033))</f>
        <v>Someone To You</v>
      </c>
      <c r="H3033" s="6" t="str">
        <f aca="false">IF(F3033=0,"NOT FOUND",INDEX('All Song Rankings'!$B:$B,F3033))</f>
        <v>BANNERS</v>
      </c>
      <c r="I3033" s="6" t="str">
        <f aca="false">IF(F3033=0,"NOT FOUND",INDEX('All Song Rankings'!$D:$D,F3033))</f>
        <v>Makenzie</v>
      </c>
      <c r="J3033" s="7" t="str">
        <f aca="false">IF(F3033=0,"NOT FOUND",IF(C3033=I3033,"SELF-VOTE",IF(COUNTIF($K:$K,K3033)&gt;1,"DUPLICATE","OK")))</f>
        <v>OK</v>
      </c>
      <c r="K3033" s="6" t="str">
        <f aca="false">A3033&amp;"|"&amp;B3033&amp;"|"&amp;C3033&amp;"|"&amp;D3033</f>
        <v>5|4|Leah|spotify:track:14BH4qO7pgCmIe6mgLKOK3</v>
      </c>
    </row>
    <row r="3034" customFormat="false" ht="15" hidden="false" customHeight="false" outlineLevel="0" collapsed="false">
      <c r="A3034" s="5" t="n">
        <v>5</v>
      </c>
      <c r="B3034" s="5" t="n">
        <v>4</v>
      </c>
      <c r="C3034" s="5" t="s">
        <v>119</v>
      </c>
      <c r="D3034" s="5" t="s">
        <v>1496</v>
      </c>
      <c r="E3034" s="5" t="n">
        <v>1</v>
      </c>
      <c r="F3034" s="6" t="n">
        <f aca="false">IFERROR(MATCH(A3034&amp;"|"&amp;B3034&amp;"|"&amp;D3034,'All Song Rankings'!$T:$T,0),0)</f>
        <v>478</v>
      </c>
      <c r="G3034" s="6" t="str">
        <f aca="false">IF(F3034=0,"NOT FOUND",INDEX('All Song Rankings'!$A:$A,F3034))</f>
        <v>Sun Lips</v>
      </c>
      <c r="H3034" s="6" t="str">
        <f aca="false">IF(F3034=0,"NOT FOUND",INDEX('All Song Rankings'!$B:$B,F3034))</f>
        <v>Black Moth Super Rainbow</v>
      </c>
      <c r="I3034" s="6" t="str">
        <f aca="false">IF(F3034=0,"NOT FOUND",INDEX('All Song Rankings'!$D:$D,F3034))</f>
        <v>Scott</v>
      </c>
      <c r="J3034" s="7" t="str">
        <f aca="false">IF(F3034=0,"NOT FOUND",IF(C3034=I3034,"SELF-VOTE",IF(COUNTIF($K:$K,K3034)&gt;1,"DUPLICATE","OK")))</f>
        <v>OK</v>
      </c>
      <c r="K3034" s="6" t="str">
        <f aca="false">A3034&amp;"|"&amp;B3034&amp;"|"&amp;C3034&amp;"|"&amp;D3034</f>
        <v>5|4|Leah|spotify:track:18IZ6KyB100072lPV6pNNM</v>
      </c>
    </row>
    <row r="3035" customFormat="false" ht="15" hidden="false" customHeight="false" outlineLevel="0" collapsed="false">
      <c r="A3035" s="5" t="n">
        <v>5</v>
      </c>
      <c r="B3035" s="5" t="n">
        <v>4</v>
      </c>
      <c r="C3035" s="5" t="s">
        <v>119</v>
      </c>
      <c r="D3035" s="5" t="s">
        <v>1499</v>
      </c>
      <c r="E3035" s="5" t="n">
        <v>1</v>
      </c>
      <c r="F3035" s="6" t="n">
        <f aca="false">IFERROR(MATCH(A3035&amp;"|"&amp;B3035&amp;"|"&amp;D3035,'All Song Rankings'!$T:$T,0),0)</f>
        <v>479</v>
      </c>
      <c r="G3035" s="6" t="str">
        <f aca="false">IF(F3035=0,"NOT FOUND",INDEX('All Song Rankings'!$A:$A,F3035))</f>
        <v>RICH MAN</v>
      </c>
      <c r="H3035" s="6" t="str">
        <f aca="false">IF(F3035=0,"NOT FOUND",INDEX('All Song Rankings'!$B:$B,F3035))</f>
        <v>Forrest Frank</v>
      </c>
      <c r="I3035" s="6" t="str">
        <f aca="false">IF(F3035=0,"NOT FOUND",INDEX('All Song Rankings'!$D:$D,F3035))</f>
        <v>Grace</v>
      </c>
      <c r="J3035" s="7" t="str">
        <f aca="false">IF(F3035=0,"NOT FOUND",IF(C3035=I3035,"SELF-VOTE",IF(COUNTIF($K:$K,K3035)&gt;1,"DUPLICATE","OK")))</f>
        <v>OK</v>
      </c>
      <c r="K3035" s="6" t="str">
        <f aca="false">A3035&amp;"|"&amp;B3035&amp;"|"&amp;C3035&amp;"|"&amp;D3035</f>
        <v>5|4|Leah|spotify:track:1F7G5N2Qy1VYAc2lZEd8Om</v>
      </c>
    </row>
    <row r="3036" customFormat="false" ht="15" hidden="false" customHeight="false" outlineLevel="0" collapsed="false">
      <c r="A3036" s="5" t="n">
        <v>5</v>
      </c>
      <c r="B3036" s="5" t="n">
        <v>4</v>
      </c>
      <c r="C3036" s="5" t="s">
        <v>119</v>
      </c>
      <c r="D3036" s="5" t="s">
        <v>1472</v>
      </c>
      <c r="E3036" s="5" t="n">
        <v>1</v>
      </c>
      <c r="F3036" s="6" t="n">
        <f aca="false">IFERROR(MATCH(A3036&amp;"|"&amp;B3036&amp;"|"&amp;D3036,'All Song Rankings'!$T:$T,0),0)</f>
        <v>469</v>
      </c>
      <c r="G3036" s="6" t="str">
        <f aca="false">IF(F3036=0,"NOT FOUND",INDEX('All Song Rankings'!$A:$A,F3036))</f>
        <v>Hikoki Gumo / The Wind Rises</v>
      </c>
      <c r="H3036" s="6" t="str">
        <f aca="false">IF(F3036=0,"NOT FOUND",INDEX('All Song Rankings'!$B:$B,F3036))</f>
        <v>Makiko Hirohashi</v>
      </c>
      <c r="I3036" s="6" t="str">
        <f aca="false">IF(F3036=0,"NOT FOUND",INDEX('All Song Rankings'!$D:$D,F3036))</f>
        <v>Matt</v>
      </c>
      <c r="J3036" s="7" t="str">
        <f aca="false">IF(F3036=0,"NOT FOUND",IF(C3036=I3036,"SELF-VOTE",IF(COUNTIF($K:$K,K3036)&gt;1,"DUPLICATE","OK")))</f>
        <v>OK</v>
      </c>
      <c r="K3036" s="6" t="str">
        <f aca="false">A3036&amp;"|"&amp;B3036&amp;"|"&amp;C3036&amp;"|"&amp;D3036</f>
        <v>5|4|Leah|spotify:track:3hMDAZqFsZYjYJO4hN3UTK</v>
      </c>
    </row>
    <row r="3037" customFormat="false" ht="15" hidden="false" customHeight="false" outlineLevel="0" collapsed="false">
      <c r="A3037" s="5" t="n">
        <v>5</v>
      </c>
      <c r="B3037" s="5" t="n">
        <v>4</v>
      </c>
      <c r="C3037" s="5" t="s">
        <v>119</v>
      </c>
      <c r="D3037" s="5" t="s">
        <v>1469</v>
      </c>
      <c r="E3037" s="5" t="n">
        <v>1</v>
      </c>
      <c r="F3037" s="6" t="n">
        <f aca="false">IFERROR(MATCH(A3037&amp;"|"&amp;B3037&amp;"|"&amp;D3037,'All Song Rankings'!$T:$T,0),0)</f>
        <v>468</v>
      </c>
      <c r="G3037" s="6" t="str">
        <f aca="false">IF(F3037=0,"NOT FOUND",INDEX('All Song Rankings'!$A:$A,F3037))</f>
        <v>Take It Easy - 2013 Remaster</v>
      </c>
      <c r="H3037" s="6" t="str">
        <f aca="false">IF(F3037=0,"NOT FOUND",INDEX('All Song Rankings'!$B:$B,F3037))</f>
        <v>Eagles</v>
      </c>
      <c r="I3037" s="6" t="str">
        <f aca="false">IF(F3037=0,"NOT FOUND",INDEX('All Song Rankings'!$D:$D,F3037))</f>
        <v>Christine</v>
      </c>
      <c r="J3037" s="7" t="str">
        <f aca="false">IF(F3037=0,"NOT FOUND",IF(C3037=I3037,"SELF-VOTE",IF(COUNTIF($K:$K,K3037)&gt;1,"DUPLICATE","OK")))</f>
        <v>OK</v>
      </c>
      <c r="K3037" s="6" t="str">
        <f aca="false">A3037&amp;"|"&amp;B3037&amp;"|"&amp;C3037&amp;"|"&amp;D3037</f>
        <v>5|4|Leah|spotify:track:4yugZvBYaoREkJKtbG08Qr</v>
      </c>
    </row>
    <row r="3038" customFormat="false" ht="15" hidden="false" customHeight="false" outlineLevel="0" collapsed="false">
      <c r="A3038" s="5" t="n">
        <v>5</v>
      </c>
      <c r="B3038" s="5" t="n">
        <v>4</v>
      </c>
      <c r="C3038" s="5" t="s">
        <v>119</v>
      </c>
      <c r="D3038" s="5" t="s">
        <v>1464</v>
      </c>
      <c r="E3038" s="5" t="n">
        <v>2</v>
      </c>
      <c r="F3038" s="6" t="n">
        <f aca="false">IFERROR(MATCH(A3038&amp;"|"&amp;B3038&amp;"|"&amp;D3038,'All Song Rankings'!$T:$T,0),0)</f>
        <v>466</v>
      </c>
      <c r="G3038" s="6" t="str">
        <f aca="false">IF(F3038=0,"NOT FOUND",INDEX('All Song Rankings'!$A:$A,F3038))</f>
        <v>Better</v>
      </c>
      <c r="H3038" s="6" t="str">
        <f aca="false">IF(F3038=0,"NOT FOUND",INDEX('All Song Rankings'!$B:$B,F3038))</f>
        <v>Khalid</v>
      </c>
      <c r="I3038" s="6" t="str">
        <f aca="false">IF(F3038=0,"NOT FOUND",INDEX('All Song Rankings'!$D:$D,F3038))</f>
        <v>Stephanie</v>
      </c>
      <c r="J3038" s="7" t="str">
        <f aca="false">IF(F3038=0,"NOT FOUND",IF(C3038=I3038,"SELF-VOTE",IF(COUNTIF($K:$K,K3038)&gt;1,"DUPLICATE","OK")))</f>
        <v>OK</v>
      </c>
      <c r="K3038" s="6" t="str">
        <f aca="false">A3038&amp;"|"&amp;B3038&amp;"|"&amp;C3038&amp;"|"&amp;D3038</f>
        <v>5|4|Leah|spotify:track:6zeeWid2sgw4lap2jV61PZ</v>
      </c>
    </row>
    <row r="3039" customFormat="false" ht="15" hidden="false" customHeight="false" outlineLevel="0" collapsed="false">
      <c r="A3039" s="5" t="n">
        <v>5</v>
      </c>
      <c r="B3039" s="5" t="n">
        <v>4</v>
      </c>
      <c r="C3039" s="5" t="s">
        <v>119</v>
      </c>
      <c r="D3039" s="5" t="s">
        <v>1466</v>
      </c>
      <c r="E3039" s="5" t="n">
        <v>1</v>
      </c>
      <c r="F3039" s="6" t="n">
        <f aca="false">IFERROR(MATCH(A3039&amp;"|"&amp;B3039&amp;"|"&amp;D3039,'All Song Rankings'!$T:$T,0),0)</f>
        <v>467</v>
      </c>
      <c r="G3039" s="6" t="str">
        <f aca="false">IF(F3039=0,"NOT FOUND",INDEX('All Song Rankings'!$A:$A,F3039))</f>
        <v>Three Little Birds</v>
      </c>
      <c r="H3039" s="6" t="str">
        <f aca="false">IF(F3039=0,"NOT FOUND",INDEX('All Song Rankings'!$B:$B,F3039))</f>
        <v>Bob Marley &amp; The Wailers</v>
      </c>
      <c r="I3039" s="6" t="str">
        <f aca="false">IF(F3039=0,"NOT FOUND",INDEX('All Song Rankings'!$D:$D,F3039))</f>
        <v>Kristen</v>
      </c>
      <c r="J3039" s="7" t="str">
        <f aca="false">IF(F3039=0,"NOT FOUND",IF(C3039=I3039,"SELF-VOTE",IF(COUNTIF($K:$K,K3039)&gt;1,"DUPLICATE","OK")))</f>
        <v>OK</v>
      </c>
      <c r="K3039" s="6" t="str">
        <f aca="false">A3039&amp;"|"&amp;B3039&amp;"|"&amp;C3039&amp;"|"&amp;D3039</f>
        <v>5|4|Leah|spotify:track:7vggqxNKwd6xdRoYS0pQtM</v>
      </c>
    </row>
    <row r="3040" customFormat="false" ht="15" hidden="false" customHeight="false" outlineLevel="0" collapsed="false">
      <c r="A3040" s="5" t="n">
        <v>5</v>
      </c>
      <c r="B3040" s="5" t="n">
        <v>4</v>
      </c>
      <c r="C3040" s="5" t="s">
        <v>705</v>
      </c>
      <c r="D3040" s="5" t="s">
        <v>1490</v>
      </c>
      <c r="E3040" s="5" t="n">
        <v>1</v>
      </c>
      <c r="F3040" s="6" t="n">
        <f aca="false">IFERROR(MATCH(A3040&amp;"|"&amp;B3040&amp;"|"&amp;D3040,'All Song Rankings'!$T:$T,0),0)</f>
        <v>476</v>
      </c>
      <c r="G3040" s="6" t="str">
        <f aca="false">IF(F3040=0,"NOT FOUND",INDEX('All Song Rankings'!$A:$A,F3040))</f>
        <v>By Your Grace</v>
      </c>
      <c r="H3040" s="6" t="str">
        <f aca="false">IF(F3040=0,"NOT FOUND",INDEX('All Song Rankings'!$B:$B,F3040))</f>
        <v>Cody Johnson</v>
      </c>
      <c r="I3040" s="6" t="str">
        <f aca="false">IF(F3040=0,"NOT FOUND",INDEX('All Song Rankings'!$D:$D,F3040))</f>
        <v>Aubrey</v>
      </c>
      <c r="J3040" s="7" t="str">
        <f aca="false">IF(F3040=0,"NOT FOUND",IF(C3040=I3040,"SELF-VOTE",IF(COUNTIF($K:$K,K3040)&gt;1,"DUPLICATE","OK")))</f>
        <v>OK</v>
      </c>
      <c r="K3040" s="6" t="str">
        <f aca="false">A3040&amp;"|"&amp;B3040&amp;"|"&amp;C3040&amp;"|"&amp;D3040</f>
        <v>5|4|Lisa|spotify:track:0IlYvLvA257FhOau31pOK8</v>
      </c>
    </row>
    <row r="3041" customFormat="false" ht="15" hidden="false" customHeight="false" outlineLevel="0" collapsed="false">
      <c r="A3041" s="5" t="n">
        <v>5</v>
      </c>
      <c r="B3041" s="5" t="n">
        <v>4</v>
      </c>
      <c r="C3041" s="5" t="s">
        <v>705</v>
      </c>
      <c r="D3041" s="5" t="s">
        <v>1483</v>
      </c>
      <c r="E3041" s="5" t="n">
        <v>3</v>
      </c>
      <c r="F3041" s="6" t="n">
        <f aca="false">IFERROR(MATCH(A3041&amp;"|"&amp;B3041&amp;"|"&amp;D3041,'All Song Rankings'!$T:$T,0),0)</f>
        <v>473</v>
      </c>
      <c r="G3041" s="6" t="str">
        <f aca="false">IF(F3041=0,"NOT FOUND",INDEX('All Song Rankings'!$A:$A,F3041))</f>
        <v>Someone To You</v>
      </c>
      <c r="H3041" s="6" t="str">
        <f aca="false">IF(F3041=0,"NOT FOUND",INDEX('All Song Rankings'!$B:$B,F3041))</f>
        <v>BANNERS</v>
      </c>
      <c r="I3041" s="6" t="str">
        <f aca="false">IF(F3041=0,"NOT FOUND",INDEX('All Song Rankings'!$D:$D,F3041))</f>
        <v>Makenzie</v>
      </c>
      <c r="J3041" s="7" t="str">
        <f aca="false">IF(F3041=0,"NOT FOUND",IF(C3041=I3041,"SELF-VOTE",IF(COUNTIF($K:$K,K3041)&gt;1,"DUPLICATE","OK")))</f>
        <v>OK</v>
      </c>
      <c r="K3041" s="6" t="str">
        <f aca="false">A3041&amp;"|"&amp;B3041&amp;"|"&amp;C3041&amp;"|"&amp;D3041</f>
        <v>5|4|Lisa|spotify:track:14BH4qO7pgCmIe6mgLKOK3</v>
      </c>
    </row>
    <row r="3042" customFormat="false" ht="15" hidden="false" customHeight="false" outlineLevel="0" collapsed="false">
      <c r="A3042" s="5" t="n">
        <v>5</v>
      </c>
      <c r="B3042" s="5" t="n">
        <v>4</v>
      </c>
      <c r="C3042" s="5" t="s">
        <v>705</v>
      </c>
      <c r="D3042" s="5" t="s">
        <v>1472</v>
      </c>
      <c r="E3042" s="5" t="n">
        <v>2</v>
      </c>
      <c r="F3042" s="6" t="n">
        <f aca="false">IFERROR(MATCH(A3042&amp;"|"&amp;B3042&amp;"|"&amp;D3042,'All Song Rankings'!$T:$T,0),0)</f>
        <v>469</v>
      </c>
      <c r="G3042" s="6" t="str">
        <f aca="false">IF(F3042=0,"NOT FOUND",INDEX('All Song Rankings'!$A:$A,F3042))</f>
        <v>Hikoki Gumo / The Wind Rises</v>
      </c>
      <c r="H3042" s="6" t="str">
        <f aca="false">IF(F3042=0,"NOT FOUND",INDEX('All Song Rankings'!$B:$B,F3042))</f>
        <v>Makiko Hirohashi</v>
      </c>
      <c r="I3042" s="6" t="str">
        <f aca="false">IF(F3042=0,"NOT FOUND",INDEX('All Song Rankings'!$D:$D,F3042))</f>
        <v>Matt</v>
      </c>
      <c r="J3042" s="7" t="str">
        <f aca="false">IF(F3042=0,"NOT FOUND",IF(C3042=I3042,"SELF-VOTE",IF(COUNTIF($K:$K,K3042)&gt;1,"DUPLICATE","OK")))</f>
        <v>OK</v>
      </c>
      <c r="K3042" s="6" t="str">
        <f aca="false">A3042&amp;"|"&amp;B3042&amp;"|"&amp;C3042&amp;"|"&amp;D3042</f>
        <v>5|4|Lisa|spotify:track:3hMDAZqFsZYjYJO4hN3UTK</v>
      </c>
    </row>
    <row r="3043" customFormat="false" ht="15" hidden="false" customHeight="false" outlineLevel="0" collapsed="false">
      <c r="A3043" s="5" t="n">
        <v>5</v>
      </c>
      <c r="B3043" s="5" t="n">
        <v>4</v>
      </c>
      <c r="C3043" s="5" t="s">
        <v>705</v>
      </c>
      <c r="D3043" s="5" t="s">
        <v>1475</v>
      </c>
      <c r="E3043" s="5" t="n">
        <v>1</v>
      </c>
      <c r="F3043" s="6" t="n">
        <f aca="false">IFERROR(MATCH(A3043&amp;"|"&amp;B3043&amp;"|"&amp;D3043,'All Song Rankings'!$T:$T,0),0)</f>
        <v>470</v>
      </c>
      <c r="G3043" s="6" t="str">
        <f aca="false">IF(F3043=0,"NOT FOUND",INDEX('All Song Rankings'!$A:$A,F3043))</f>
        <v>SNAP</v>
      </c>
      <c r="H3043" s="6" t="str">
        <f aca="false">IF(F3043=0,"NOT FOUND",INDEX('All Song Rankings'!$B:$B,F3043))</f>
        <v>Rosa Linn</v>
      </c>
      <c r="I3043" s="6" t="str">
        <f aca="false">IF(F3043=0,"NOT FOUND",INDEX('All Song Rankings'!$D:$D,F3043))</f>
        <v>Kelsey</v>
      </c>
      <c r="J3043" s="7" t="str">
        <f aca="false">IF(F3043=0,"NOT FOUND",IF(C3043=I3043,"SELF-VOTE",IF(COUNTIF($K:$K,K3043)&gt;1,"DUPLICATE","OK")))</f>
        <v>OK</v>
      </c>
      <c r="K3043" s="6" t="str">
        <f aca="false">A3043&amp;"|"&amp;B3043&amp;"|"&amp;C3043&amp;"|"&amp;D3043</f>
        <v>5|4|Lisa|spotify:track:5hx7w26Zi3zafMgvMTUqF6</v>
      </c>
    </row>
    <row r="3044" customFormat="false" ht="15" hidden="false" customHeight="false" outlineLevel="0" collapsed="false">
      <c r="A3044" s="5" t="n">
        <v>5</v>
      </c>
      <c r="B3044" s="5" t="n">
        <v>4</v>
      </c>
      <c r="C3044" s="5" t="s">
        <v>705</v>
      </c>
      <c r="D3044" s="5" t="s">
        <v>1488</v>
      </c>
      <c r="E3044" s="5" t="n">
        <v>2</v>
      </c>
      <c r="F3044" s="6" t="n">
        <f aca="false">IFERROR(MATCH(A3044&amp;"|"&amp;B3044&amp;"|"&amp;D3044,'All Song Rankings'!$T:$T,0),0)</f>
        <v>475</v>
      </c>
      <c r="G3044" s="6" t="str">
        <f aca="false">IF(F3044=0,"NOT FOUND",INDEX('All Song Rankings'!$A:$A,F3044))</f>
        <v>Hurricane</v>
      </c>
      <c r="H3044" s="6" t="str">
        <f aca="false">IF(F3044=0,"NOT FOUND",INDEX('All Song Rankings'!$B:$B,F3044))</f>
        <v>Thirty Seconds To Mars</v>
      </c>
      <c r="I3044" s="6" t="str">
        <f aca="false">IF(F3044=0,"NOT FOUND",INDEX('All Song Rankings'!$D:$D,F3044))</f>
        <v>Leah</v>
      </c>
      <c r="J3044" s="7" t="str">
        <f aca="false">IF(F3044=0,"NOT FOUND",IF(C3044=I3044,"SELF-VOTE",IF(COUNTIF($K:$K,K3044)&gt;1,"DUPLICATE","OK")))</f>
        <v>OK</v>
      </c>
      <c r="K3044" s="6" t="str">
        <f aca="false">A3044&amp;"|"&amp;B3044&amp;"|"&amp;C3044&amp;"|"&amp;D3044</f>
        <v>5|4|Lisa|spotify:track:7jSyWNuHjjwJXr1SQCCAhB</v>
      </c>
    </row>
    <row r="3045" customFormat="false" ht="15" hidden="false" customHeight="false" outlineLevel="0" collapsed="false">
      <c r="A3045" s="5" t="n">
        <v>5</v>
      </c>
      <c r="B3045" s="5" t="n">
        <v>4</v>
      </c>
      <c r="C3045" s="5" t="s">
        <v>705</v>
      </c>
      <c r="D3045" s="5" t="s">
        <v>1466</v>
      </c>
      <c r="E3045" s="5" t="n">
        <v>1</v>
      </c>
      <c r="F3045" s="6" t="n">
        <f aca="false">IFERROR(MATCH(A3045&amp;"|"&amp;B3045&amp;"|"&amp;D3045,'All Song Rankings'!$T:$T,0),0)</f>
        <v>467</v>
      </c>
      <c r="G3045" s="6" t="str">
        <f aca="false">IF(F3045=0,"NOT FOUND",INDEX('All Song Rankings'!$A:$A,F3045))</f>
        <v>Three Little Birds</v>
      </c>
      <c r="H3045" s="6" t="str">
        <f aca="false">IF(F3045=0,"NOT FOUND",INDEX('All Song Rankings'!$B:$B,F3045))</f>
        <v>Bob Marley &amp; The Wailers</v>
      </c>
      <c r="I3045" s="6" t="str">
        <f aca="false">IF(F3045=0,"NOT FOUND",INDEX('All Song Rankings'!$D:$D,F3045))</f>
        <v>Kristen</v>
      </c>
      <c r="J3045" s="7" t="str">
        <f aca="false">IF(F3045=0,"NOT FOUND",IF(C3045=I3045,"SELF-VOTE",IF(COUNTIF($K:$K,K3045)&gt;1,"DUPLICATE","OK")))</f>
        <v>OK</v>
      </c>
      <c r="K3045" s="6" t="str">
        <f aca="false">A3045&amp;"|"&amp;B3045&amp;"|"&amp;C3045&amp;"|"&amp;D3045</f>
        <v>5|4|Lisa|spotify:track:7vggqxNKwd6xdRoYS0pQtM</v>
      </c>
    </row>
    <row r="3046" customFormat="false" ht="15" hidden="false" customHeight="false" outlineLevel="0" collapsed="false">
      <c r="A3046" s="5" t="n">
        <v>5</v>
      </c>
      <c r="B3046" s="5" t="n">
        <v>4</v>
      </c>
      <c r="C3046" s="5" t="s">
        <v>128</v>
      </c>
      <c r="D3046" s="5" t="s">
        <v>1496</v>
      </c>
      <c r="E3046" s="5" t="n">
        <v>1</v>
      </c>
      <c r="F3046" s="6" t="n">
        <f aca="false">IFERROR(MATCH(A3046&amp;"|"&amp;B3046&amp;"|"&amp;D3046,'All Song Rankings'!$T:$T,0),0)</f>
        <v>478</v>
      </c>
      <c r="G3046" s="6" t="str">
        <f aca="false">IF(F3046=0,"NOT FOUND",INDEX('All Song Rankings'!$A:$A,F3046))</f>
        <v>Sun Lips</v>
      </c>
      <c r="H3046" s="6" t="str">
        <f aca="false">IF(F3046=0,"NOT FOUND",INDEX('All Song Rankings'!$B:$B,F3046))</f>
        <v>Black Moth Super Rainbow</v>
      </c>
      <c r="I3046" s="6" t="str">
        <f aca="false">IF(F3046=0,"NOT FOUND",INDEX('All Song Rankings'!$D:$D,F3046))</f>
        <v>Scott</v>
      </c>
      <c r="J3046" s="7" t="str">
        <f aca="false">IF(F3046=0,"NOT FOUND",IF(C3046=I3046,"SELF-VOTE",IF(COUNTIF($K:$K,K3046)&gt;1,"DUPLICATE","OK")))</f>
        <v>OK</v>
      </c>
      <c r="K3046" s="6" t="str">
        <f aca="false">A3046&amp;"|"&amp;B3046&amp;"|"&amp;C3046&amp;"|"&amp;D3046</f>
        <v>5|4|Logan|spotify:track:18IZ6KyB100072lPV6pNNM</v>
      </c>
    </row>
    <row r="3047" customFormat="false" ht="15" hidden="false" customHeight="false" outlineLevel="0" collapsed="false">
      <c r="A3047" s="5" t="n">
        <v>5</v>
      </c>
      <c r="B3047" s="5" t="n">
        <v>4</v>
      </c>
      <c r="C3047" s="5" t="s">
        <v>128</v>
      </c>
      <c r="D3047" s="5" t="s">
        <v>1472</v>
      </c>
      <c r="E3047" s="5" t="n">
        <v>2</v>
      </c>
      <c r="F3047" s="6" t="n">
        <f aca="false">IFERROR(MATCH(A3047&amp;"|"&amp;B3047&amp;"|"&amp;D3047,'All Song Rankings'!$T:$T,0),0)</f>
        <v>469</v>
      </c>
      <c r="G3047" s="6" t="str">
        <f aca="false">IF(F3047=0,"NOT FOUND",INDEX('All Song Rankings'!$A:$A,F3047))</f>
        <v>Hikoki Gumo / The Wind Rises</v>
      </c>
      <c r="H3047" s="6" t="str">
        <f aca="false">IF(F3047=0,"NOT FOUND",INDEX('All Song Rankings'!$B:$B,F3047))</f>
        <v>Makiko Hirohashi</v>
      </c>
      <c r="I3047" s="6" t="str">
        <f aca="false">IF(F3047=0,"NOT FOUND",INDEX('All Song Rankings'!$D:$D,F3047))</f>
        <v>Matt</v>
      </c>
      <c r="J3047" s="7" t="str">
        <f aca="false">IF(F3047=0,"NOT FOUND",IF(C3047=I3047,"SELF-VOTE",IF(COUNTIF($K:$K,K3047)&gt;1,"DUPLICATE","OK")))</f>
        <v>OK</v>
      </c>
      <c r="K3047" s="6" t="str">
        <f aca="false">A3047&amp;"|"&amp;B3047&amp;"|"&amp;C3047&amp;"|"&amp;D3047</f>
        <v>5|4|Logan|spotify:track:3hMDAZqFsZYjYJO4hN3UTK</v>
      </c>
    </row>
    <row r="3048" customFormat="false" ht="15" hidden="false" customHeight="false" outlineLevel="0" collapsed="false">
      <c r="A3048" s="5" t="n">
        <v>5</v>
      </c>
      <c r="B3048" s="5" t="n">
        <v>4</v>
      </c>
      <c r="C3048" s="5" t="s">
        <v>128</v>
      </c>
      <c r="D3048" s="5" t="s">
        <v>1469</v>
      </c>
      <c r="E3048" s="5" t="n">
        <v>1</v>
      </c>
      <c r="F3048" s="6" t="n">
        <f aca="false">IFERROR(MATCH(A3048&amp;"|"&amp;B3048&amp;"|"&amp;D3048,'All Song Rankings'!$T:$T,0),0)</f>
        <v>468</v>
      </c>
      <c r="G3048" s="6" t="str">
        <f aca="false">IF(F3048=0,"NOT FOUND",INDEX('All Song Rankings'!$A:$A,F3048))</f>
        <v>Take It Easy - 2013 Remaster</v>
      </c>
      <c r="H3048" s="6" t="str">
        <f aca="false">IF(F3048=0,"NOT FOUND",INDEX('All Song Rankings'!$B:$B,F3048))</f>
        <v>Eagles</v>
      </c>
      <c r="I3048" s="6" t="str">
        <f aca="false">IF(F3048=0,"NOT FOUND",INDEX('All Song Rankings'!$D:$D,F3048))</f>
        <v>Christine</v>
      </c>
      <c r="J3048" s="7" t="str">
        <f aca="false">IF(F3048=0,"NOT FOUND",IF(C3048=I3048,"SELF-VOTE",IF(COUNTIF($K:$K,K3048)&gt;1,"DUPLICATE","OK")))</f>
        <v>OK</v>
      </c>
      <c r="K3048" s="6" t="str">
        <f aca="false">A3048&amp;"|"&amp;B3048&amp;"|"&amp;C3048&amp;"|"&amp;D3048</f>
        <v>5|4|Logan|spotify:track:4yugZvBYaoREkJKtbG08Qr</v>
      </c>
    </row>
    <row r="3049" customFormat="false" ht="15" hidden="false" customHeight="false" outlineLevel="0" collapsed="false">
      <c r="A3049" s="5" t="n">
        <v>5</v>
      </c>
      <c r="B3049" s="5" t="n">
        <v>4</v>
      </c>
      <c r="C3049" s="5" t="s">
        <v>128</v>
      </c>
      <c r="D3049" s="5" t="s">
        <v>1475</v>
      </c>
      <c r="E3049" s="5" t="n">
        <v>1</v>
      </c>
      <c r="F3049" s="6" t="n">
        <f aca="false">IFERROR(MATCH(A3049&amp;"|"&amp;B3049&amp;"|"&amp;D3049,'All Song Rankings'!$T:$T,0),0)</f>
        <v>470</v>
      </c>
      <c r="G3049" s="6" t="str">
        <f aca="false">IF(F3049=0,"NOT FOUND",INDEX('All Song Rankings'!$A:$A,F3049))</f>
        <v>SNAP</v>
      </c>
      <c r="H3049" s="6" t="str">
        <f aca="false">IF(F3049=0,"NOT FOUND",INDEX('All Song Rankings'!$B:$B,F3049))</f>
        <v>Rosa Linn</v>
      </c>
      <c r="I3049" s="6" t="str">
        <f aca="false">IF(F3049=0,"NOT FOUND",INDEX('All Song Rankings'!$D:$D,F3049))</f>
        <v>Kelsey</v>
      </c>
      <c r="J3049" s="7" t="str">
        <f aca="false">IF(F3049=0,"NOT FOUND",IF(C3049=I3049,"SELF-VOTE",IF(COUNTIF($K:$K,K3049)&gt;1,"DUPLICATE","OK")))</f>
        <v>OK</v>
      </c>
      <c r="K3049" s="6" t="str">
        <f aca="false">A3049&amp;"|"&amp;B3049&amp;"|"&amp;C3049&amp;"|"&amp;D3049</f>
        <v>5|4|Logan|spotify:track:5hx7w26Zi3zafMgvMTUqF6</v>
      </c>
    </row>
    <row r="3050" customFormat="false" ht="15" hidden="false" customHeight="false" outlineLevel="0" collapsed="false">
      <c r="A3050" s="5" t="n">
        <v>5</v>
      </c>
      <c r="B3050" s="5" t="n">
        <v>4</v>
      </c>
      <c r="C3050" s="5" t="s">
        <v>128</v>
      </c>
      <c r="D3050" s="5" t="s">
        <v>1485</v>
      </c>
      <c r="E3050" s="5" t="n">
        <v>1</v>
      </c>
      <c r="F3050" s="6" t="n">
        <f aca="false">IFERROR(MATCH(A3050&amp;"|"&amp;B3050&amp;"|"&amp;D3050,'All Song Rankings'!$T:$T,0),0)</f>
        <v>474</v>
      </c>
      <c r="G3050" s="6" t="str">
        <f aca="false">IF(F3050=0,"NOT FOUND",INDEX('All Song Rankings'!$A:$A,F3050))</f>
        <v>Matilda</v>
      </c>
      <c r="H3050" s="6" t="str">
        <f aca="false">IF(F3050=0,"NOT FOUND",INDEX('All Song Rankings'!$B:$B,F3050))</f>
        <v>Harry Styles</v>
      </c>
      <c r="I3050" s="6" t="str">
        <f aca="false">IF(F3050=0,"NOT FOUND",INDEX('All Song Rankings'!$D:$D,F3050))</f>
        <v>Merita</v>
      </c>
      <c r="J3050" s="7" t="str">
        <f aca="false">IF(F3050=0,"NOT FOUND",IF(C3050=I3050,"SELF-VOTE",IF(COUNTIF($K:$K,K3050)&gt;1,"DUPLICATE","OK")))</f>
        <v>OK</v>
      </c>
      <c r="K3050" s="6" t="str">
        <f aca="false">A3050&amp;"|"&amp;B3050&amp;"|"&amp;C3050&amp;"|"&amp;D3050</f>
        <v>5|4|Logan|spotify:track:6uvh0In7u1Xn4HgxOfAn8O</v>
      </c>
    </row>
    <row r="3051" customFormat="false" ht="15" hidden="false" customHeight="false" outlineLevel="0" collapsed="false">
      <c r="A3051" s="5" t="n">
        <v>5</v>
      </c>
      <c r="B3051" s="5" t="n">
        <v>4</v>
      </c>
      <c r="C3051" s="5" t="s">
        <v>128</v>
      </c>
      <c r="D3051" s="5" t="s">
        <v>1464</v>
      </c>
      <c r="E3051" s="5" t="n">
        <v>2</v>
      </c>
      <c r="F3051" s="6" t="n">
        <f aca="false">IFERROR(MATCH(A3051&amp;"|"&amp;B3051&amp;"|"&amp;D3051,'All Song Rankings'!$T:$T,0),0)</f>
        <v>466</v>
      </c>
      <c r="G3051" s="6" t="str">
        <f aca="false">IF(F3051=0,"NOT FOUND",INDEX('All Song Rankings'!$A:$A,F3051))</f>
        <v>Better</v>
      </c>
      <c r="H3051" s="6" t="str">
        <f aca="false">IF(F3051=0,"NOT FOUND",INDEX('All Song Rankings'!$B:$B,F3051))</f>
        <v>Khalid</v>
      </c>
      <c r="I3051" s="6" t="str">
        <f aca="false">IF(F3051=0,"NOT FOUND",INDEX('All Song Rankings'!$D:$D,F3051))</f>
        <v>Stephanie</v>
      </c>
      <c r="J3051" s="7" t="str">
        <f aca="false">IF(F3051=0,"NOT FOUND",IF(C3051=I3051,"SELF-VOTE",IF(COUNTIF($K:$K,K3051)&gt;1,"DUPLICATE","OK")))</f>
        <v>OK</v>
      </c>
      <c r="K3051" s="6" t="str">
        <f aca="false">A3051&amp;"|"&amp;B3051&amp;"|"&amp;C3051&amp;"|"&amp;D3051</f>
        <v>5|4|Logan|spotify:track:6zeeWid2sgw4lap2jV61PZ</v>
      </c>
    </row>
    <row r="3052" customFormat="false" ht="15" hidden="false" customHeight="false" outlineLevel="0" collapsed="false">
      <c r="A3052" s="5" t="n">
        <v>5</v>
      </c>
      <c r="B3052" s="5" t="n">
        <v>4</v>
      </c>
      <c r="C3052" s="5" t="s">
        <v>128</v>
      </c>
      <c r="D3052" s="5" t="s">
        <v>1466</v>
      </c>
      <c r="E3052" s="5" t="n">
        <v>2</v>
      </c>
      <c r="F3052" s="6" t="n">
        <f aca="false">IFERROR(MATCH(A3052&amp;"|"&amp;B3052&amp;"|"&amp;D3052,'All Song Rankings'!$T:$T,0),0)</f>
        <v>467</v>
      </c>
      <c r="G3052" s="6" t="str">
        <f aca="false">IF(F3052=0,"NOT FOUND",INDEX('All Song Rankings'!$A:$A,F3052))</f>
        <v>Three Little Birds</v>
      </c>
      <c r="H3052" s="6" t="str">
        <f aca="false">IF(F3052=0,"NOT FOUND",INDEX('All Song Rankings'!$B:$B,F3052))</f>
        <v>Bob Marley &amp; The Wailers</v>
      </c>
      <c r="I3052" s="6" t="str">
        <f aca="false">IF(F3052=0,"NOT FOUND",INDEX('All Song Rankings'!$D:$D,F3052))</f>
        <v>Kristen</v>
      </c>
      <c r="J3052" s="7" t="str">
        <f aca="false">IF(F3052=0,"NOT FOUND",IF(C3052=I3052,"SELF-VOTE",IF(COUNTIF($K:$K,K3052)&gt;1,"DUPLICATE","OK")))</f>
        <v>OK</v>
      </c>
      <c r="K3052" s="6" t="str">
        <f aca="false">A3052&amp;"|"&amp;B3052&amp;"|"&amp;C3052&amp;"|"&amp;D3052</f>
        <v>5|4|Logan|spotify:track:7vggqxNKwd6xdRoYS0pQtM</v>
      </c>
    </row>
    <row r="3053" customFormat="false" ht="15" hidden="false" customHeight="false" outlineLevel="0" collapsed="false">
      <c r="A3053" s="5" t="n">
        <v>5</v>
      </c>
      <c r="B3053" s="5" t="n">
        <v>4</v>
      </c>
      <c r="C3053" s="5" t="s">
        <v>395</v>
      </c>
      <c r="D3053" s="5" t="s">
        <v>1492</v>
      </c>
      <c r="E3053" s="5" t="n">
        <v>3</v>
      </c>
      <c r="F3053" s="6" t="n">
        <f aca="false">IFERROR(MATCH(A3053&amp;"|"&amp;B3053&amp;"|"&amp;D3053,'All Song Rankings'!$T:$T,0),0)</f>
        <v>477</v>
      </c>
      <c r="G3053" s="6" t="str">
        <f aca="false">IF(F3053=0,"NOT FOUND",INDEX('All Song Rankings'!$A:$A,F3053))</f>
        <v>Hold On</v>
      </c>
      <c r="H3053" s="6" t="str">
        <f aca="false">IF(F3053=0,"NOT FOUND",INDEX('All Song Rankings'!$B:$B,F3053))</f>
        <v>Jonas Brothers</v>
      </c>
      <c r="I3053" s="6" t="str">
        <f aca="false">IF(F3053=0,"NOT FOUND",INDEX('All Song Rankings'!$D:$D,F3053))</f>
        <v>Nicole</v>
      </c>
      <c r="J3053" s="7" t="str">
        <f aca="false">IF(F3053=0,"NOT FOUND",IF(C3053=I3053,"SELF-VOTE",IF(COUNTIF($K:$K,K3053)&gt;1,"DUPLICATE","OK")))</f>
        <v>OK</v>
      </c>
      <c r="K3053" s="6" t="str">
        <f aca="false">A3053&amp;"|"&amp;B3053&amp;"|"&amp;C3053&amp;"|"&amp;D3053</f>
        <v>5|4|Makenzie|spotify:track:0LAe8mOyLxUAN5pgqovhpN</v>
      </c>
    </row>
    <row r="3054" customFormat="false" ht="15" hidden="false" customHeight="false" outlineLevel="0" collapsed="false">
      <c r="A3054" s="5" t="n">
        <v>5</v>
      </c>
      <c r="B3054" s="5" t="n">
        <v>4</v>
      </c>
      <c r="C3054" s="5" t="s">
        <v>395</v>
      </c>
      <c r="D3054" s="5" t="s">
        <v>1469</v>
      </c>
      <c r="E3054" s="5" t="n">
        <v>1</v>
      </c>
      <c r="F3054" s="6" t="n">
        <f aca="false">IFERROR(MATCH(A3054&amp;"|"&amp;B3054&amp;"|"&amp;D3054,'All Song Rankings'!$T:$T,0),0)</f>
        <v>468</v>
      </c>
      <c r="G3054" s="6" t="str">
        <f aca="false">IF(F3054=0,"NOT FOUND",INDEX('All Song Rankings'!$A:$A,F3054))</f>
        <v>Take It Easy - 2013 Remaster</v>
      </c>
      <c r="H3054" s="6" t="str">
        <f aca="false">IF(F3054=0,"NOT FOUND",INDEX('All Song Rankings'!$B:$B,F3054))</f>
        <v>Eagles</v>
      </c>
      <c r="I3054" s="6" t="str">
        <f aca="false">IF(F3054=0,"NOT FOUND",INDEX('All Song Rankings'!$D:$D,F3054))</f>
        <v>Christine</v>
      </c>
      <c r="J3054" s="7" t="str">
        <f aca="false">IF(F3054=0,"NOT FOUND",IF(C3054=I3054,"SELF-VOTE",IF(COUNTIF($K:$K,K3054)&gt;1,"DUPLICATE","OK")))</f>
        <v>OK</v>
      </c>
      <c r="K3054" s="6" t="str">
        <f aca="false">A3054&amp;"|"&amp;B3054&amp;"|"&amp;C3054&amp;"|"&amp;D3054</f>
        <v>5|4|Makenzie|spotify:track:4yugZvBYaoREkJKtbG08Qr</v>
      </c>
    </row>
    <row r="3055" customFormat="false" ht="15" hidden="false" customHeight="false" outlineLevel="0" collapsed="false">
      <c r="A3055" s="5" t="n">
        <v>5</v>
      </c>
      <c r="B3055" s="5" t="n">
        <v>4</v>
      </c>
      <c r="C3055" s="5" t="s">
        <v>395</v>
      </c>
      <c r="D3055" s="5" t="s">
        <v>1475</v>
      </c>
      <c r="E3055" s="5" t="n">
        <v>1</v>
      </c>
      <c r="F3055" s="6" t="n">
        <f aca="false">IFERROR(MATCH(A3055&amp;"|"&amp;B3055&amp;"|"&amp;D3055,'All Song Rankings'!$T:$T,0),0)</f>
        <v>470</v>
      </c>
      <c r="G3055" s="6" t="str">
        <f aca="false">IF(F3055=0,"NOT FOUND",INDEX('All Song Rankings'!$A:$A,F3055))</f>
        <v>SNAP</v>
      </c>
      <c r="H3055" s="6" t="str">
        <f aca="false">IF(F3055=0,"NOT FOUND",INDEX('All Song Rankings'!$B:$B,F3055))</f>
        <v>Rosa Linn</v>
      </c>
      <c r="I3055" s="6" t="str">
        <f aca="false">IF(F3055=0,"NOT FOUND",INDEX('All Song Rankings'!$D:$D,F3055))</f>
        <v>Kelsey</v>
      </c>
      <c r="J3055" s="7" t="str">
        <f aca="false">IF(F3055=0,"NOT FOUND",IF(C3055=I3055,"SELF-VOTE",IF(COUNTIF($K:$K,K3055)&gt;1,"DUPLICATE","OK")))</f>
        <v>OK</v>
      </c>
      <c r="K3055" s="6" t="str">
        <f aca="false">A3055&amp;"|"&amp;B3055&amp;"|"&amp;C3055&amp;"|"&amp;D3055</f>
        <v>5|4|Makenzie|spotify:track:5hx7w26Zi3zafMgvMTUqF6</v>
      </c>
    </row>
    <row r="3056" customFormat="false" ht="15" hidden="false" customHeight="false" outlineLevel="0" collapsed="false">
      <c r="A3056" s="5" t="n">
        <v>5</v>
      </c>
      <c r="B3056" s="5" t="n">
        <v>4</v>
      </c>
      <c r="C3056" s="5" t="s">
        <v>395</v>
      </c>
      <c r="D3056" s="5" t="s">
        <v>1464</v>
      </c>
      <c r="E3056" s="5" t="n">
        <v>3</v>
      </c>
      <c r="F3056" s="6" t="n">
        <f aca="false">IFERROR(MATCH(A3056&amp;"|"&amp;B3056&amp;"|"&amp;D3056,'All Song Rankings'!$T:$T,0),0)</f>
        <v>466</v>
      </c>
      <c r="G3056" s="6" t="str">
        <f aca="false">IF(F3056=0,"NOT FOUND",INDEX('All Song Rankings'!$A:$A,F3056))</f>
        <v>Better</v>
      </c>
      <c r="H3056" s="6" t="str">
        <f aca="false">IF(F3056=0,"NOT FOUND",INDEX('All Song Rankings'!$B:$B,F3056))</f>
        <v>Khalid</v>
      </c>
      <c r="I3056" s="6" t="str">
        <f aca="false">IF(F3056=0,"NOT FOUND",INDEX('All Song Rankings'!$D:$D,F3056))</f>
        <v>Stephanie</v>
      </c>
      <c r="J3056" s="7" t="str">
        <f aca="false">IF(F3056=0,"NOT FOUND",IF(C3056=I3056,"SELF-VOTE",IF(COUNTIF($K:$K,K3056)&gt;1,"DUPLICATE","OK")))</f>
        <v>OK</v>
      </c>
      <c r="K3056" s="6" t="str">
        <f aca="false">A3056&amp;"|"&amp;B3056&amp;"|"&amp;C3056&amp;"|"&amp;D3056</f>
        <v>5|4|Makenzie|spotify:track:6zeeWid2sgw4lap2jV61PZ</v>
      </c>
    </row>
    <row r="3057" customFormat="false" ht="15" hidden="false" customHeight="false" outlineLevel="0" collapsed="false">
      <c r="A3057" s="5" t="n">
        <v>5</v>
      </c>
      <c r="B3057" s="5" t="n">
        <v>4</v>
      </c>
      <c r="C3057" s="5" t="s">
        <v>395</v>
      </c>
      <c r="D3057" s="5" t="s">
        <v>1466</v>
      </c>
      <c r="E3057" s="5" t="n">
        <v>2</v>
      </c>
      <c r="F3057" s="6" t="n">
        <f aca="false">IFERROR(MATCH(A3057&amp;"|"&amp;B3057&amp;"|"&amp;D3057,'All Song Rankings'!$T:$T,0),0)</f>
        <v>467</v>
      </c>
      <c r="G3057" s="6" t="str">
        <f aca="false">IF(F3057=0,"NOT FOUND",INDEX('All Song Rankings'!$A:$A,F3057))</f>
        <v>Three Little Birds</v>
      </c>
      <c r="H3057" s="6" t="str">
        <f aca="false">IF(F3057=0,"NOT FOUND",INDEX('All Song Rankings'!$B:$B,F3057))</f>
        <v>Bob Marley &amp; The Wailers</v>
      </c>
      <c r="I3057" s="6" t="str">
        <f aca="false">IF(F3057=0,"NOT FOUND",INDEX('All Song Rankings'!$D:$D,F3057))</f>
        <v>Kristen</v>
      </c>
      <c r="J3057" s="7" t="str">
        <f aca="false">IF(F3057=0,"NOT FOUND",IF(C3057=I3057,"SELF-VOTE",IF(COUNTIF($K:$K,K3057)&gt;1,"DUPLICATE","OK")))</f>
        <v>OK</v>
      </c>
      <c r="K3057" s="6" t="str">
        <f aca="false">A3057&amp;"|"&amp;B3057&amp;"|"&amp;C3057&amp;"|"&amp;D3057</f>
        <v>5|4|Makenzie|spotify:track:7vggqxNKwd6xdRoYS0pQtM</v>
      </c>
    </row>
    <row r="3058" customFormat="false" ht="15" hidden="false" customHeight="false" outlineLevel="0" collapsed="false">
      <c r="A3058" s="5" t="n">
        <v>5</v>
      </c>
      <c r="B3058" s="5" t="n">
        <v>4</v>
      </c>
      <c r="C3058" s="5" t="s">
        <v>116</v>
      </c>
      <c r="D3058" s="5" t="s">
        <v>1478</v>
      </c>
      <c r="E3058" s="5" t="n">
        <v>1</v>
      </c>
      <c r="F3058" s="6" t="n">
        <f aca="false">IFERROR(MATCH(A3058&amp;"|"&amp;B3058&amp;"|"&amp;D3058,'All Song Rankings'!$T:$T,0),0)</f>
        <v>471</v>
      </c>
      <c r="G3058" s="6" t="str">
        <f aca="false">IF(F3058=0,"NOT FOUND",INDEX('All Song Rankings'!$A:$A,F3058))</f>
        <v>Into the Mystic</v>
      </c>
      <c r="H3058" s="6" t="str">
        <f aca="false">IF(F3058=0,"NOT FOUND",INDEX('All Song Rankings'!$B:$B,F3058))</f>
        <v>Van Morrison</v>
      </c>
      <c r="I3058" s="6" t="str">
        <f aca="false">IF(F3058=0,"NOT FOUND",INDEX('All Song Rankings'!$D:$D,F3058))</f>
        <v>Lisa</v>
      </c>
      <c r="J3058" s="7" t="str">
        <f aca="false">IF(F3058=0,"NOT FOUND",IF(C3058=I3058,"SELF-VOTE",IF(COUNTIF($K:$K,K3058)&gt;1,"DUPLICATE","OK")))</f>
        <v>OK</v>
      </c>
      <c r="K3058" s="6" t="str">
        <f aca="false">A3058&amp;"|"&amp;B3058&amp;"|"&amp;C3058&amp;"|"&amp;D3058</f>
        <v>5|4|Matt|spotify:track:1285TFFkLTTis9UL9IGZRi</v>
      </c>
    </row>
    <row r="3059" customFormat="false" ht="15" hidden="false" customHeight="false" outlineLevel="0" collapsed="false">
      <c r="A3059" s="5" t="n">
        <v>5</v>
      </c>
      <c r="B3059" s="5" t="n">
        <v>4</v>
      </c>
      <c r="C3059" s="5" t="s">
        <v>116</v>
      </c>
      <c r="D3059" s="5" t="s">
        <v>1483</v>
      </c>
      <c r="E3059" s="5" t="n">
        <v>1</v>
      </c>
      <c r="F3059" s="6" t="n">
        <f aca="false">IFERROR(MATCH(A3059&amp;"|"&amp;B3059&amp;"|"&amp;D3059,'All Song Rankings'!$T:$T,0),0)</f>
        <v>473</v>
      </c>
      <c r="G3059" s="6" t="str">
        <f aca="false">IF(F3059=0,"NOT FOUND",INDEX('All Song Rankings'!$A:$A,F3059))</f>
        <v>Someone To You</v>
      </c>
      <c r="H3059" s="6" t="str">
        <f aca="false">IF(F3059=0,"NOT FOUND",INDEX('All Song Rankings'!$B:$B,F3059))</f>
        <v>BANNERS</v>
      </c>
      <c r="I3059" s="6" t="str">
        <f aca="false">IF(F3059=0,"NOT FOUND",INDEX('All Song Rankings'!$D:$D,F3059))</f>
        <v>Makenzie</v>
      </c>
      <c r="J3059" s="7" t="str">
        <f aca="false">IF(F3059=0,"NOT FOUND",IF(C3059=I3059,"SELF-VOTE",IF(COUNTIF($K:$K,K3059)&gt;1,"DUPLICATE","OK")))</f>
        <v>OK</v>
      </c>
      <c r="K3059" s="6" t="str">
        <f aca="false">A3059&amp;"|"&amp;B3059&amp;"|"&amp;C3059&amp;"|"&amp;D3059</f>
        <v>5|4|Matt|spotify:track:14BH4qO7pgCmIe6mgLKOK3</v>
      </c>
    </row>
    <row r="3060" customFormat="false" ht="15" hidden="false" customHeight="false" outlineLevel="0" collapsed="false">
      <c r="A3060" s="5" t="n">
        <v>5</v>
      </c>
      <c r="B3060" s="5" t="n">
        <v>4</v>
      </c>
      <c r="C3060" s="5" t="s">
        <v>116</v>
      </c>
      <c r="D3060" s="5" t="s">
        <v>1499</v>
      </c>
      <c r="E3060" s="5" t="n">
        <v>2</v>
      </c>
      <c r="F3060" s="6" t="n">
        <f aca="false">IFERROR(MATCH(A3060&amp;"|"&amp;B3060&amp;"|"&amp;D3060,'All Song Rankings'!$T:$T,0),0)</f>
        <v>479</v>
      </c>
      <c r="G3060" s="6" t="str">
        <f aca="false">IF(F3060=0,"NOT FOUND",INDEX('All Song Rankings'!$A:$A,F3060))</f>
        <v>RICH MAN</v>
      </c>
      <c r="H3060" s="6" t="str">
        <f aca="false">IF(F3060=0,"NOT FOUND",INDEX('All Song Rankings'!$B:$B,F3060))</f>
        <v>Forrest Frank</v>
      </c>
      <c r="I3060" s="6" t="str">
        <f aca="false">IF(F3060=0,"NOT FOUND",INDEX('All Song Rankings'!$D:$D,F3060))</f>
        <v>Grace</v>
      </c>
      <c r="J3060" s="7" t="str">
        <f aca="false">IF(F3060=0,"NOT FOUND",IF(C3060=I3060,"SELF-VOTE",IF(COUNTIF($K:$K,K3060)&gt;1,"DUPLICATE","OK")))</f>
        <v>OK</v>
      </c>
      <c r="K3060" s="6" t="str">
        <f aca="false">A3060&amp;"|"&amp;B3060&amp;"|"&amp;C3060&amp;"|"&amp;D3060</f>
        <v>5|4|Matt|spotify:track:1F7G5N2Qy1VYAc2lZEd8Om</v>
      </c>
    </row>
    <row r="3061" customFormat="false" ht="15" hidden="false" customHeight="false" outlineLevel="0" collapsed="false">
      <c r="A3061" s="5" t="n">
        <v>5</v>
      </c>
      <c r="B3061" s="5" t="n">
        <v>4</v>
      </c>
      <c r="C3061" s="5" t="s">
        <v>116</v>
      </c>
      <c r="D3061" s="5" t="s">
        <v>1469</v>
      </c>
      <c r="E3061" s="5" t="n">
        <v>1</v>
      </c>
      <c r="F3061" s="6" t="n">
        <f aca="false">IFERROR(MATCH(A3061&amp;"|"&amp;B3061&amp;"|"&amp;D3061,'All Song Rankings'!$T:$T,0),0)</f>
        <v>468</v>
      </c>
      <c r="G3061" s="6" t="str">
        <f aca="false">IF(F3061=0,"NOT FOUND",INDEX('All Song Rankings'!$A:$A,F3061))</f>
        <v>Take It Easy - 2013 Remaster</v>
      </c>
      <c r="H3061" s="6" t="str">
        <f aca="false">IF(F3061=0,"NOT FOUND",INDEX('All Song Rankings'!$B:$B,F3061))</f>
        <v>Eagles</v>
      </c>
      <c r="I3061" s="6" t="str">
        <f aca="false">IF(F3061=0,"NOT FOUND",INDEX('All Song Rankings'!$D:$D,F3061))</f>
        <v>Christine</v>
      </c>
      <c r="J3061" s="7" t="str">
        <f aca="false">IF(F3061=0,"NOT FOUND",IF(C3061=I3061,"SELF-VOTE",IF(COUNTIF($K:$K,K3061)&gt;1,"DUPLICATE","OK")))</f>
        <v>OK</v>
      </c>
      <c r="K3061" s="6" t="str">
        <f aca="false">A3061&amp;"|"&amp;B3061&amp;"|"&amp;C3061&amp;"|"&amp;D3061</f>
        <v>5|4|Matt|spotify:track:4yugZvBYaoREkJKtbG08Qr</v>
      </c>
    </row>
    <row r="3062" customFormat="false" ht="15" hidden="false" customHeight="false" outlineLevel="0" collapsed="false">
      <c r="A3062" s="5" t="n">
        <v>5</v>
      </c>
      <c r="B3062" s="5" t="n">
        <v>4</v>
      </c>
      <c r="C3062" s="5" t="s">
        <v>116</v>
      </c>
      <c r="D3062" s="5" t="s">
        <v>1464</v>
      </c>
      <c r="E3062" s="5" t="n">
        <v>1</v>
      </c>
      <c r="F3062" s="6" t="n">
        <f aca="false">IFERROR(MATCH(A3062&amp;"|"&amp;B3062&amp;"|"&amp;D3062,'All Song Rankings'!$T:$T,0),0)</f>
        <v>466</v>
      </c>
      <c r="G3062" s="6" t="str">
        <f aca="false">IF(F3062=0,"NOT FOUND",INDEX('All Song Rankings'!$A:$A,F3062))</f>
        <v>Better</v>
      </c>
      <c r="H3062" s="6" t="str">
        <f aca="false">IF(F3062=0,"NOT FOUND",INDEX('All Song Rankings'!$B:$B,F3062))</f>
        <v>Khalid</v>
      </c>
      <c r="I3062" s="6" t="str">
        <f aca="false">IF(F3062=0,"NOT FOUND",INDEX('All Song Rankings'!$D:$D,F3062))</f>
        <v>Stephanie</v>
      </c>
      <c r="J3062" s="7" t="str">
        <f aca="false">IF(F3062=0,"NOT FOUND",IF(C3062=I3062,"SELF-VOTE",IF(COUNTIF($K:$K,K3062)&gt;1,"DUPLICATE","OK")))</f>
        <v>OK</v>
      </c>
      <c r="K3062" s="6" t="str">
        <f aca="false">A3062&amp;"|"&amp;B3062&amp;"|"&amp;C3062&amp;"|"&amp;D3062</f>
        <v>5|4|Matt|spotify:track:6zeeWid2sgw4lap2jV61PZ</v>
      </c>
    </row>
    <row r="3063" customFormat="false" ht="15" hidden="false" customHeight="false" outlineLevel="0" collapsed="false">
      <c r="A3063" s="5" t="n">
        <v>5</v>
      </c>
      <c r="B3063" s="5" t="n">
        <v>4</v>
      </c>
      <c r="C3063" s="5" t="s">
        <v>116</v>
      </c>
      <c r="D3063" s="5" t="s">
        <v>1480</v>
      </c>
      <c r="E3063" s="5" t="n">
        <v>1</v>
      </c>
      <c r="F3063" s="6" t="n">
        <f aca="false">IFERROR(MATCH(A3063&amp;"|"&amp;B3063&amp;"|"&amp;D3063,'All Song Rankings'!$T:$T,0),0)</f>
        <v>472</v>
      </c>
      <c r="G3063" s="6" t="str">
        <f aca="false">IF(F3063=0,"NOT FOUND",INDEX('All Song Rankings'!$A:$A,F3063))</f>
        <v>Rainbow</v>
      </c>
      <c r="H3063" s="6" t="str">
        <f aca="false">IF(F3063=0,"NOT FOUND",INDEX('All Song Rankings'!$B:$B,F3063))</f>
        <v>Kacey Musgraves</v>
      </c>
      <c r="I3063" s="6" t="str">
        <f aca="false">IF(F3063=0,"NOT FOUND",INDEX('All Song Rankings'!$D:$D,F3063))</f>
        <v>Logan</v>
      </c>
      <c r="J3063" s="7" t="str">
        <f aca="false">IF(F3063=0,"NOT FOUND",IF(C3063=I3063,"SELF-VOTE",IF(COUNTIF($K:$K,K3063)&gt;1,"DUPLICATE","OK")))</f>
        <v>OK</v>
      </c>
      <c r="K3063" s="6" t="str">
        <f aca="false">A3063&amp;"|"&amp;B3063&amp;"|"&amp;C3063&amp;"|"&amp;D3063</f>
        <v>5|4|Matt|spotify:track:79qxwHypONUt3AFq0WPpT9</v>
      </c>
    </row>
    <row r="3064" customFormat="false" ht="15" hidden="false" customHeight="false" outlineLevel="0" collapsed="false">
      <c r="A3064" s="5" t="n">
        <v>5</v>
      </c>
      <c r="B3064" s="5" t="n">
        <v>4</v>
      </c>
      <c r="C3064" s="5" t="s">
        <v>116</v>
      </c>
      <c r="D3064" s="5" t="s">
        <v>1466</v>
      </c>
      <c r="E3064" s="5" t="n">
        <v>3</v>
      </c>
      <c r="F3064" s="6" t="n">
        <f aca="false">IFERROR(MATCH(A3064&amp;"|"&amp;B3064&amp;"|"&amp;D3064,'All Song Rankings'!$T:$T,0),0)</f>
        <v>467</v>
      </c>
      <c r="G3064" s="6" t="str">
        <f aca="false">IF(F3064=0,"NOT FOUND",INDEX('All Song Rankings'!$A:$A,F3064))</f>
        <v>Three Little Birds</v>
      </c>
      <c r="H3064" s="6" t="str">
        <f aca="false">IF(F3064=0,"NOT FOUND",INDEX('All Song Rankings'!$B:$B,F3064))</f>
        <v>Bob Marley &amp; The Wailers</v>
      </c>
      <c r="I3064" s="6" t="str">
        <f aca="false">IF(F3064=0,"NOT FOUND",INDEX('All Song Rankings'!$D:$D,F3064))</f>
        <v>Kristen</v>
      </c>
      <c r="J3064" s="7" t="str">
        <f aca="false">IF(F3064=0,"NOT FOUND",IF(C3064=I3064,"SELF-VOTE",IF(COUNTIF($K:$K,K3064)&gt;1,"DUPLICATE","OK")))</f>
        <v>OK</v>
      </c>
      <c r="K3064" s="6" t="str">
        <f aca="false">A3064&amp;"|"&amp;B3064&amp;"|"&amp;C3064&amp;"|"&amp;D3064</f>
        <v>5|4|Matt|spotify:track:7vggqxNKwd6xdRoYS0pQtM</v>
      </c>
    </row>
    <row r="3065" customFormat="false" ht="15" hidden="false" customHeight="false" outlineLevel="0" collapsed="false">
      <c r="A3065" s="5" t="n">
        <v>5</v>
      </c>
      <c r="B3065" s="5" t="n">
        <v>4</v>
      </c>
      <c r="C3065" s="5" t="s">
        <v>101</v>
      </c>
      <c r="D3065" s="5" t="s">
        <v>1490</v>
      </c>
      <c r="E3065" s="5" t="n">
        <v>1</v>
      </c>
      <c r="F3065" s="6" t="n">
        <f aca="false">IFERROR(MATCH(A3065&amp;"|"&amp;B3065&amp;"|"&amp;D3065,'All Song Rankings'!$T:$T,0),0)</f>
        <v>476</v>
      </c>
      <c r="G3065" s="6" t="str">
        <f aca="false">IF(F3065=0,"NOT FOUND",INDEX('All Song Rankings'!$A:$A,F3065))</f>
        <v>By Your Grace</v>
      </c>
      <c r="H3065" s="6" t="str">
        <f aca="false">IF(F3065=0,"NOT FOUND",INDEX('All Song Rankings'!$B:$B,F3065))</f>
        <v>Cody Johnson</v>
      </c>
      <c r="I3065" s="6" t="str">
        <f aca="false">IF(F3065=0,"NOT FOUND",INDEX('All Song Rankings'!$D:$D,F3065))</f>
        <v>Aubrey</v>
      </c>
      <c r="J3065" s="7" t="str">
        <f aca="false">IF(F3065=0,"NOT FOUND",IF(C3065=I3065,"SELF-VOTE",IF(COUNTIF($K:$K,K3065)&gt;1,"DUPLICATE","OK")))</f>
        <v>OK</v>
      </c>
      <c r="K3065" s="6" t="str">
        <f aca="false">A3065&amp;"|"&amp;B3065&amp;"|"&amp;C3065&amp;"|"&amp;D3065</f>
        <v>5|4|Merita|spotify:track:0IlYvLvA257FhOau31pOK8</v>
      </c>
    </row>
    <row r="3066" customFormat="false" ht="15" hidden="false" customHeight="false" outlineLevel="0" collapsed="false">
      <c r="A3066" s="5" t="n">
        <v>5</v>
      </c>
      <c r="B3066" s="5" t="n">
        <v>4</v>
      </c>
      <c r="C3066" s="5" t="s">
        <v>101</v>
      </c>
      <c r="D3066" s="5" t="s">
        <v>1492</v>
      </c>
      <c r="E3066" s="5" t="n">
        <v>1</v>
      </c>
      <c r="F3066" s="6" t="n">
        <f aca="false">IFERROR(MATCH(A3066&amp;"|"&amp;B3066&amp;"|"&amp;D3066,'All Song Rankings'!$T:$T,0),0)</f>
        <v>477</v>
      </c>
      <c r="G3066" s="6" t="str">
        <f aca="false">IF(F3066=0,"NOT FOUND",INDEX('All Song Rankings'!$A:$A,F3066))</f>
        <v>Hold On</v>
      </c>
      <c r="H3066" s="6" t="str">
        <f aca="false">IF(F3066=0,"NOT FOUND",INDEX('All Song Rankings'!$B:$B,F3066))</f>
        <v>Jonas Brothers</v>
      </c>
      <c r="I3066" s="6" t="str">
        <f aca="false">IF(F3066=0,"NOT FOUND",INDEX('All Song Rankings'!$D:$D,F3066))</f>
        <v>Nicole</v>
      </c>
      <c r="J3066" s="7" t="str">
        <f aca="false">IF(F3066=0,"NOT FOUND",IF(C3066=I3066,"SELF-VOTE",IF(COUNTIF($K:$K,K3066)&gt;1,"DUPLICATE","OK")))</f>
        <v>OK</v>
      </c>
      <c r="K3066" s="6" t="str">
        <f aca="false">A3066&amp;"|"&amp;B3066&amp;"|"&amp;C3066&amp;"|"&amp;D3066</f>
        <v>5|4|Merita|spotify:track:0LAe8mOyLxUAN5pgqovhpN</v>
      </c>
    </row>
    <row r="3067" customFormat="false" ht="15" hidden="false" customHeight="false" outlineLevel="0" collapsed="false">
      <c r="A3067" s="5" t="n">
        <v>5</v>
      </c>
      <c r="B3067" s="5" t="n">
        <v>4</v>
      </c>
      <c r="C3067" s="5" t="s">
        <v>101</v>
      </c>
      <c r="D3067" s="5" t="s">
        <v>1478</v>
      </c>
      <c r="E3067" s="5" t="n">
        <v>1</v>
      </c>
      <c r="F3067" s="6" t="n">
        <f aca="false">IFERROR(MATCH(A3067&amp;"|"&amp;B3067&amp;"|"&amp;D3067,'All Song Rankings'!$T:$T,0),0)</f>
        <v>471</v>
      </c>
      <c r="G3067" s="6" t="str">
        <f aca="false">IF(F3067=0,"NOT FOUND",INDEX('All Song Rankings'!$A:$A,F3067))</f>
        <v>Into the Mystic</v>
      </c>
      <c r="H3067" s="6" t="str">
        <f aca="false">IF(F3067=0,"NOT FOUND",INDEX('All Song Rankings'!$B:$B,F3067))</f>
        <v>Van Morrison</v>
      </c>
      <c r="I3067" s="6" t="str">
        <f aca="false">IF(F3067=0,"NOT FOUND",INDEX('All Song Rankings'!$D:$D,F3067))</f>
        <v>Lisa</v>
      </c>
      <c r="J3067" s="7" t="str">
        <f aca="false">IF(F3067=0,"NOT FOUND",IF(C3067=I3067,"SELF-VOTE",IF(COUNTIF($K:$K,K3067)&gt;1,"DUPLICATE","OK")))</f>
        <v>OK</v>
      </c>
      <c r="K3067" s="6" t="str">
        <f aca="false">A3067&amp;"|"&amp;B3067&amp;"|"&amp;C3067&amp;"|"&amp;D3067</f>
        <v>5|4|Merita|spotify:track:1285TFFkLTTis9UL9IGZRi</v>
      </c>
    </row>
    <row r="3068" customFormat="false" ht="15" hidden="false" customHeight="false" outlineLevel="0" collapsed="false">
      <c r="A3068" s="5" t="n">
        <v>5</v>
      </c>
      <c r="B3068" s="5" t="n">
        <v>4</v>
      </c>
      <c r="C3068" s="5" t="s">
        <v>101</v>
      </c>
      <c r="D3068" s="5" t="s">
        <v>1499</v>
      </c>
      <c r="E3068" s="5" t="n">
        <v>1</v>
      </c>
      <c r="F3068" s="6" t="n">
        <f aca="false">IFERROR(MATCH(A3068&amp;"|"&amp;B3068&amp;"|"&amp;D3068,'All Song Rankings'!$T:$T,0),0)</f>
        <v>479</v>
      </c>
      <c r="G3068" s="6" t="str">
        <f aca="false">IF(F3068=0,"NOT FOUND",INDEX('All Song Rankings'!$A:$A,F3068))</f>
        <v>RICH MAN</v>
      </c>
      <c r="H3068" s="6" t="str">
        <f aca="false">IF(F3068=0,"NOT FOUND",INDEX('All Song Rankings'!$B:$B,F3068))</f>
        <v>Forrest Frank</v>
      </c>
      <c r="I3068" s="6" t="str">
        <f aca="false">IF(F3068=0,"NOT FOUND",INDEX('All Song Rankings'!$D:$D,F3068))</f>
        <v>Grace</v>
      </c>
      <c r="J3068" s="7" t="str">
        <f aca="false">IF(F3068=0,"NOT FOUND",IF(C3068=I3068,"SELF-VOTE",IF(COUNTIF($K:$K,K3068)&gt;1,"DUPLICATE","OK")))</f>
        <v>OK</v>
      </c>
      <c r="K3068" s="6" t="str">
        <f aca="false">A3068&amp;"|"&amp;B3068&amp;"|"&amp;C3068&amp;"|"&amp;D3068</f>
        <v>5|4|Merita|spotify:track:1F7G5N2Qy1VYAc2lZEd8Om</v>
      </c>
    </row>
    <row r="3069" customFormat="false" ht="15" hidden="false" customHeight="false" outlineLevel="0" collapsed="false">
      <c r="A3069" s="5" t="n">
        <v>5</v>
      </c>
      <c r="B3069" s="5" t="n">
        <v>4</v>
      </c>
      <c r="C3069" s="5" t="s">
        <v>101</v>
      </c>
      <c r="D3069" s="5" t="s">
        <v>1472</v>
      </c>
      <c r="E3069" s="5" t="n">
        <v>2</v>
      </c>
      <c r="F3069" s="6" t="n">
        <f aca="false">IFERROR(MATCH(A3069&amp;"|"&amp;B3069&amp;"|"&amp;D3069,'All Song Rankings'!$T:$T,0),0)</f>
        <v>469</v>
      </c>
      <c r="G3069" s="6" t="str">
        <f aca="false">IF(F3069=0,"NOT FOUND",INDEX('All Song Rankings'!$A:$A,F3069))</f>
        <v>Hikoki Gumo / The Wind Rises</v>
      </c>
      <c r="H3069" s="6" t="str">
        <f aca="false">IF(F3069=0,"NOT FOUND",INDEX('All Song Rankings'!$B:$B,F3069))</f>
        <v>Makiko Hirohashi</v>
      </c>
      <c r="I3069" s="6" t="str">
        <f aca="false">IF(F3069=0,"NOT FOUND",INDEX('All Song Rankings'!$D:$D,F3069))</f>
        <v>Matt</v>
      </c>
      <c r="J3069" s="7" t="str">
        <f aca="false">IF(F3069=0,"NOT FOUND",IF(C3069=I3069,"SELF-VOTE",IF(COUNTIF($K:$K,K3069)&gt;1,"DUPLICATE","OK")))</f>
        <v>OK</v>
      </c>
      <c r="K3069" s="6" t="str">
        <f aca="false">A3069&amp;"|"&amp;B3069&amp;"|"&amp;C3069&amp;"|"&amp;D3069</f>
        <v>5|4|Merita|spotify:track:3hMDAZqFsZYjYJO4hN3UTK</v>
      </c>
    </row>
    <row r="3070" customFormat="false" ht="15" hidden="false" customHeight="false" outlineLevel="0" collapsed="false">
      <c r="A3070" s="5" t="n">
        <v>5</v>
      </c>
      <c r="B3070" s="5" t="n">
        <v>4</v>
      </c>
      <c r="C3070" s="5" t="s">
        <v>101</v>
      </c>
      <c r="D3070" s="5" t="s">
        <v>1475</v>
      </c>
      <c r="E3070" s="5" t="n">
        <v>1</v>
      </c>
      <c r="F3070" s="6" t="n">
        <f aca="false">IFERROR(MATCH(A3070&amp;"|"&amp;B3070&amp;"|"&amp;D3070,'All Song Rankings'!$T:$T,0),0)</f>
        <v>470</v>
      </c>
      <c r="G3070" s="6" t="str">
        <f aca="false">IF(F3070=0,"NOT FOUND",INDEX('All Song Rankings'!$A:$A,F3070))</f>
        <v>SNAP</v>
      </c>
      <c r="H3070" s="6" t="str">
        <f aca="false">IF(F3070=0,"NOT FOUND",INDEX('All Song Rankings'!$B:$B,F3070))</f>
        <v>Rosa Linn</v>
      </c>
      <c r="I3070" s="6" t="str">
        <f aca="false">IF(F3070=0,"NOT FOUND",INDEX('All Song Rankings'!$D:$D,F3070))</f>
        <v>Kelsey</v>
      </c>
      <c r="J3070" s="7" t="str">
        <f aca="false">IF(F3070=0,"NOT FOUND",IF(C3070=I3070,"SELF-VOTE",IF(COUNTIF($K:$K,K3070)&gt;1,"DUPLICATE","OK")))</f>
        <v>OK</v>
      </c>
      <c r="K3070" s="6" t="str">
        <f aca="false">A3070&amp;"|"&amp;B3070&amp;"|"&amp;C3070&amp;"|"&amp;D3070</f>
        <v>5|4|Merita|spotify:track:5hx7w26Zi3zafMgvMTUqF6</v>
      </c>
    </row>
    <row r="3071" customFormat="false" ht="15" hidden="false" customHeight="false" outlineLevel="0" collapsed="false">
      <c r="A3071" s="5" t="n">
        <v>5</v>
      </c>
      <c r="B3071" s="5" t="n">
        <v>4</v>
      </c>
      <c r="C3071" s="5" t="s">
        <v>101</v>
      </c>
      <c r="D3071" s="5" t="s">
        <v>1464</v>
      </c>
      <c r="E3071" s="5" t="n">
        <v>1</v>
      </c>
      <c r="F3071" s="6" t="n">
        <f aca="false">IFERROR(MATCH(A3071&amp;"|"&amp;B3071&amp;"|"&amp;D3071,'All Song Rankings'!$T:$T,0),0)</f>
        <v>466</v>
      </c>
      <c r="G3071" s="6" t="str">
        <f aca="false">IF(F3071=0,"NOT FOUND",INDEX('All Song Rankings'!$A:$A,F3071))</f>
        <v>Better</v>
      </c>
      <c r="H3071" s="6" t="str">
        <f aca="false">IF(F3071=0,"NOT FOUND",INDEX('All Song Rankings'!$B:$B,F3071))</f>
        <v>Khalid</v>
      </c>
      <c r="I3071" s="6" t="str">
        <f aca="false">IF(F3071=0,"NOT FOUND",INDEX('All Song Rankings'!$D:$D,F3071))</f>
        <v>Stephanie</v>
      </c>
      <c r="J3071" s="7" t="str">
        <f aca="false">IF(F3071=0,"NOT FOUND",IF(C3071=I3071,"SELF-VOTE",IF(COUNTIF($K:$K,K3071)&gt;1,"DUPLICATE","OK")))</f>
        <v>OK</v>
      </c>
      <c r="K3071" s="6" t="str">
        <f aca="false">A3071&amp;"|"&amp;B3071&amp;"|"&amp;C3071&amp;"|"&amp;D3071</f>
        <v>5|4|Merita|spotify:track:6zeeWid2sgw4lap2jV61PZ</v>
      </c>
    </row>
    <row r="3072" customFormat="false" ht="15" hidden="false" customHeight="false" outlineLevel="0" collapsed="false">
      <c r="A3072" s="5" t="n">
        <v>5</v>
      </c>
      <c r="B3072" s="5" t="n">
        <v>4</v>
      </c>
      <c r="C3072" s="5" t="s">
        <v>101</v>
      </c>
      <c r="D3072" s="5" t="s">
        <v>1480</v>
      </c>
      <c r="E3072" s="5" t="n">
        <v>2</v>
      </c>
      <c r="F3072" s="6" t="n">
        <f aca="false">IFERROR(MATCH(A3072&amp;"|"&amp;B3072&amp;"|"&amp;D3072,'All Song Rankings'!$T:$T,0),0)</f>
        <v>472</v>
      </c>
      <c r="G3072" s="6" t="str">
        <f aca="false">IF(F3072=0,"NOT FOUND",INDEX('All Song Rankings'!$A:$A,F3072))</f>
        <v>Rainbow</v>
      </c>
      <c r="H3072" s="6" t="str">
        <f aca="false">IF(F3072=0,"NOT FOUND",INDEX('All Song Rankings'!$B:$B,F3072))</f>
        <v>Kacey Musgraves</v>
      </c>
      <c r="I3072" s="6" t="str">
        <f aca="false">IF(F3072=0,"NOT FOUND",INDEX('All Song Rankings'!$D:$D,F3072))</f>
        <v>Logan</v>
      </c>
      <c r="J3072" s="7" t="str">
        <f aca="false">IF(F3072=0,"NOT FOUND",IF(C3072=I3072,"SELF-VOTE",IF(COUNTIF($K:$K,K3072)&gt;1,"DUPLICATE","OK")))</f>
        <v>OK</v>
      </c>
      <c r="K3072" s="6" t="str">
        <f aca="false">A3072&amp;"|"&amp;B3072&amp;"|"&amp;C3072&amp;"|"&amp;D3072</f>
        <v>5|4|Merita|spotify:track:79qxwHypONUt3AFq0WPpT9</v>
      </c>
    </row>
    <row r="3073" customFormat="false" ht="15" hidden="false" customHeight="false" outlineLevel="0" collapsed="false">
      <c r="A3073" s="5" t="n">
        <v>5</v>
      </c>
      <c r="B3073" s="5" t="n">
        <v>4</v>
      </c>
      <c r="C3073" s="5" t="s">
        <v>92</v>
      </c>
      <c r="D3073" s="5" t="s">
        <v>1490</v>
      </c>
      <c r="E3073" s="5" t="n">
        <v>1</v>
      </c>
      <c r="F3073" s="6" t="n">
        <f aca="false">IFERROR(MATCH(A3073&amp;"|"&amp;B3073&amp;"|"&amp;D3073,'All Song Rankings'!$T:$T,0),0)</f>
        <v>476</v>
      </c>
      <c r="G3073" s="6" t="str">
        <f aca="false">IF(F3073=0,"NOT FOUND",INDEX('All Song Rankings'!$A:$A,F3073))</f>
        <v>By Your Grace</v>
      </c>
      <c r="H3073" s="6" t="str">
        <f aca="false">IF(F3073=0,"NOT FOUND",INDEX('All Song Rankings'!$B:$B,F3073))</f>
        <v>Cody Johnson</v>
      </c>
      <c r="I3073" s="6" t="str">
        <f aca="false">IF(F3073=0,"NOT FOUND",INDEX('All Song Rankings'!$D:$D,F3073))</f>
        <v>Aubrey</v>
      </c>
      <c r="J3073" s="7" t="str">
        <f aca="false">IF(F3073=0,"NOT FOUND",IF(C3073=I3073,"SELF-VOTE",IF(COUNTIF($K:$K,K3073)&gt;1,"DUPLICATE","OK")))</f>
        <v>OK</v>
      </c>
      <c r="K3073" s="6" t="str">
        <f aca="false">A3073&amp;"|"&amp;B3073&amp;"|"&amp;C3073&amp;"|"&amp;D3073</f>
        <v>5|4|Nicole|spotify:track:0IlYvLvA257FhOau31pOK8</v>
      </c>
    </row>
    <row r="3074" customFormat="false" ht="15" hidden="false" customHeight="false" outlineLevel="0" collapsed="false">
      <c r="A3074" s="5" t="n">
        <v>5</v>
      </c>
      <c r="B3074" s="5" t="n">
        <v>4</v>
      </c>
      <c r="C3074" s="5" t="s">
        <v>92</v>
      </c>
      <c r="D3074" s="5" t="s">
        <v>1499</v>
      </c>
      <c r="E3074" s="5" t="n">
        <v>1</v>
      </c>
      <c r="F3074" s="6" t="n">
        <f aca="false">IFERROR(MATCH(A3074&amp;"|"&amp;B3074&amp;"|"&amp;D3074,'All Song Rankings'!$T:$T,0),0)</f>
        <v>479</v>
      </c>
      <c r="G3074" s="6" t="str">
        <f aca="false">IF(F3074=0,"NOT FOUND",INDEX('All Song Rankings'!$A:$A,F3074))</f>
        <v>RICH MAN</v>
      </c>
      <c r="H3074" s="6" t="str">
        <f aca="false">IF(F3074=0,"NOT FOUND",INDEX('All Song Rankings'!$B:$B,F3074))</f>
        <v>Forrest Frank</v>
      </c>
      <c r="I3074" s="6" t="str">
        <f aca="false">IF(F3074=0,"NOT FOUND",INDEX('All Song Rankings'!$D:$D,F3074))</f>
        <v>Grace</v>
      </c>
      <c r="J3074" s="7" t="str">
        <f aca="false">IF(F3074=0,"NOT FOUND",IF(C3074=I3074,"SELF-VOTE",IF(COUNTIF($K:$K,K3074)&gt;1,"DUPLICATE","OK")))</f>
        <v>OK</v>
      </c>
      <c r="K3074" s="6" t="str">
        <f aca="false">A3074&amp;"|"&amp;B3074&amp;"|"&amp;C3074&amp;"|"&amp;D3074</f>
        <v>5|4|Nicole|spotify:track:1F7G5N2Qy1VYAc2lZEd8Om</v>
      </c>
    </row>
    <row r="3075" customFormat="false" ht="15" hidden="false" customHeight="false" outlineLevel="0" collapsed="false">
      <c r="A3075" s="5" t="n">
        <v>5</v>
      </c>
      <c r="B3075" s="5" t="n">
        <v>4</v>
      </c>
      <c r="C3075" s="5" t="s">
        <v>92</v>
      </c>
      <c r="D3075" s="5" t="s">
        <v>1469</v>
      </c>
      <c r="E3075" s="5" t="n">
        <v>1</v>
      </c>
      <c r="F3075" s="6" t="n">
        <f aca="false">IFERROR(MATCH(A3075&amp;"|"&amp;B3075&amp;"|"&amp;D3075,'All Song Rankings'!$T:$T,0),0)</f>
        <v>468</v>
      </c>
      <c r="G3075" s="6" t="str">
        <f aca="false">IF(F3075=0,"NOT FOUND",INDEX('All Song Rankings'!$A:$A,F3075))</f>
        <v>Take It Easy - 2013 Remaster</v>
      </c>
      <c r="H3075" s="6" t="str">
        <f aca="false">IF(F3075=0,"NOT FOUND",INDEX('All Song Rankings'!$B:$B,F3075))</f>
        <v>Eagles</v>
      </c>
      <c r="I3075" s="6" t="str">
        <f aca="false">IF(F3075=0,"NOT FOUND",INDEX('All Song Rankings'!$D:$D,F3075))</f>
        <v>Christine</v>
      </c>
      <c r="J3075" s="7" t="str">
        <f aca="false">IF(F3075=0,"NOT FOUND",IF(C3075=I3075,"SELF-VOTE",IF(COUNTIF($K:$K,K3075)&gt;1,"DUPLICATE","OK")))</f>
        <v>OK</v>
      </c>
      <c r="K3075" s="6" t="str">
        <f aca="false">A3075&amp;"|"&amp;B3075&amp;"|"&amp;C3075&amp;"|"&amp;D3075</f>
        <v>5|4|Nicole|spotify:track:4yugZvBYaoREkJKtbG08Qr</v>
      </c>
    </row>
    <row r="3076" customFormat="false" ht="15" hidden="false" customHeight="false" outlineLevel="0" collapsed="false">
      <c r="A3076" s="5" t="n">
        <v>5</v>
      </c>
      <c r="B3076" s="5" t="n">
        <v>4</v>
      </c>
      <c r="C3076" s="5" t="s">
        <v>92</v>
      </c>
      <c r="D3076" s="5" t="s">
        <v>1475</v>
      </c>
      <c r="E3076" s="5" t="n">
        <v>3</v>
      </c>
      <c r="F3076" s="6" t="n">
        <f aca="false">IFERROR(MATCH(A3076&amp;"|"&amp;B3076&amp;"|"&amp;D3076,'All Song Rankings'!$T:$T,0),0)</f>
        <v>470</v>
      </c>
      <c r="G3076" s="6" t="str">
        <f aca="false">IF(F3076=0,"NOT FOUND",INDEX('All Song Rankings'!$A:$A,F3076))</f>
        <v>SNAP</v>
      </c>
      <c r="H3076" s="6" t="str">
        <f aca="false">IF(F3076=0,"NOT FOUND",INDEX('All Song Rankings'!$B:$B,F3076))</f>
        <v>Rosa Linn</v>
      </c>
      <c r="I3076" s="6" t="str">
        <f aca="false">IF(F3076=0,"NOT FOUND",INDEX('All Song Rankings'!$D:$D,F3076))</f>
        <v>Kelsey</v>
      </c>
      <c r="J3076" s="7" t="str">
        <f aca="false">IF(F3076=0,"NOT FOUND",IF(C3076=I3076,"SELF-VOTE",IF(COUNTIF($K:$K,K3076)&gt;1,"DUPLICATE","OK")))</f>
        <v>OK</v>
      </c>
      <c r="K3076" s="6" t="str">
        <f aca="false">A3076&amp;"|"&amp;B3076&amp;"|"&amp;C3076&amp;"|"&amp;D3076</f>
        <v>5|4|Nicole|spotify:track:5hx7w26Zi3zafMgvMTUqF6</v>
      </c>
    </row>
    <row r="3077" customFormat="false" ht="15" hidden="false" customHeight="false" outlineLevel="0" collapsed="false">
      <c r="A3077" s="5" t="n">
        <v>5</v>
      </c>
      <c r="B3077" s="5" t="n">
        <v>4</v>
      </c>
      <c r="C3077" s="5" t="s">
        <v>92</v>
      </c>
      <c r="D3077" s="5" t="s">
        <v>1485</v>
      </c>
      <c r="E3077" s="5" t="n">
        <v>2</v>
      </c>
      <c r="F3077" s="6" t="n">
        <f aca="false">IFERROR(MATCH(A3077&amp;"|"&amp;B3077&amp;"|"&amp;D3077,'All Song Rankings'!$T:$T,0),0)</f>
        <v>474</v>
      </c>
      <c r="G3077" s="6" t="str">
        <f aca="false">IF(F3077=0,"NOT FOUND",INDEX('All Song Rankings'!$A:$A,F3077))</f>
        <v>Matilda</v>
      </c>
      <c r="H3077" s="6" t="str">
        <f aca="false">IF(F3077=0,"NOT FOUND",INDEX('All Song Rankings'!$B:$B,F3077))</f>
        <v>Harry Styles</v>
      </c>
      <c r="I3077" s="6" t="str">
        <f aca="false">IF(F3077=0,"NOT FOUND",INDEX('All Song Rankings'!$D:$D,F3077))</f>
        <v>Merita</v>
      </c>
      <c r="J3077" s="7" t="str">
        <f aca="false">IF(F3077=0,"NOT FOUND",IF(C3077=I3077,"SELF-VOTE",IF(COUNTIF($K:$K,K3077)&gt;1,"DUPLICATE","OK")))</f>
        <v>OK</v>
      </c>
      <c r="K3077" s="6" t="str">
        <f aca="false">A3077&amp;"|"&amp;B3077&amp;"|"&amp;C3077&amp;"|"&amp;D3077</f>
        <v>5|4|Nicole|spotify:track:6uvh0In7u1Xn4HgxOfAn8O</v>
      </c>
    </row>
    <row r="3078" customFormat="false" ht="15" hidden="false" customHeight="false" outlineLevel="0" collapsed="false">
      <c r="A3078" s="5" t="n">
        <v>5</v>
      </c>
      <c r="B3078" s="5" t="n">
        <v>4</v>
      </c>
      <c r="C3078" s="5" t="s">
        <v>92</v>
      </c>
      <c r="D3078" s="5" t="s">
        <v>1464</v>
      </c>
      <c r="E3078" s="5" t="n">
        <v>1</v>
      </c>
      <c r="F3078" s="6" t="n">
        <f aca="false">IFERROR(MATCH(A3078&amp;"|"&amp;B3078&amp;"|"&amp;D3078,'All Song Rankings'!$T:$T,0),0)</f>
        <v>466</v>
      </c>
      <c r="G3078" s="6" t="str">
        <f aca="false">IF(F3078=0,"NOT FOUND",INDEX('All Song Rankings'!$A:$A,F3078))</f>
        <v>Better</v>
      </c>
      <c r="H3078" s="6" t="str">
        <f aca="false">IF(F3078=0,"NOT FOUND",INDEX('All Song Rankings'!$B:$B,F3078))</f>
        <v>Khalid</v>
      </c>
      <c r="I3078" s="6" t="str">
        <f aca="false">IF(F3078=0,"NOT FOUND",INDEX('All Song Rankings'!$D:$D,F3078))</f>
        <v>Stephanie</v>
      </c>
      <c r="J3078" s="7" t="str">
        <f aca="false">IF(F3078=0,"NOT FOUND",IF(C3078=I3078,"SELF-VOTE",IF(COUNTIF($K:$K,K3078)&gt;1,"DUPLICATE","OK")))</f>
        <v>OK</v>
      </c>
      <c r="K3078" s="6" t="str">
        <f aca="false">A3078&amp;"|"&amp;B3078&amp;"|"&amp;C3078&amp;"|"&amp;D3078</f>
        <v>5|4|Nicole|spotify:track:6zeeWid2sgw4lap2jV61PZ</v>
      </c>
    </row>
    <row r="3079" customFormat="false" ht="15" hidden="false" customHeight="false" outlineLevel="0" collapsed="false">
      <c r="A3079" s="5" t="n">
        <v>5</v>
      </c>
      <c r="B3079" s="5" t="n">
        <v>4</v>
      </c>
      <c r="C3079" s="5" t="s">
        <v>92</v>
      </c>
      <c r="D3079" s="5" t="s">
        <v>1480</v>
      </c>
      <c r="E3079" s="5" t="n">
        <v>1</v>
      </c>
      <c r="F3079" s="6" t="n">
        <f aca="false">IFERROR(MATCH(A3079&amp;"|"&amp;B3079&amp;"|"&amp;D3079,'All Song Rankings'!$T:$T,0),0)</f>
        <v>472</v>
      </c>
      <c r="G3079" s="6" t="str">
        <f aca="false">IF(F3079=0,"NOT FOUND",INDEX('All Song Rankings'!$A:$A,F3079))</f>
        <v>Rainbow</v>
      </c>
      <c r="H3079" s="6" t="str">
        <f aca="false">IF(F3079=0,"NOT FOUND",INDEX('All Song Rankings'!$B:$B,F3079))</f>
        <v>Kacey Musgraves</v>
      </c>
      <c r="I3079" s="6" t="str">
        <f aca="false">IF(F3079=0,"NOT FOUND",INDEX('All Song Rankings'!$D:$D,F3079))</f>
        <v>Logan</v>
      </c>
      <c r="J3079" s="7" t="str">
        <f aca="false">IF(F3079=0,"NOT FOUND",IF(C3079=I3079,"SELF-VOTE",IF(COUNTIF($K:$K,K3079)&gt;1,"DUPLICATE","OK")))</f>
        <v>OK</v>
      </c>
      <c r="K3079" s="6" t="str">
        <f aca="false">A3079&amp;"|"&amp;B3079&amp;"|"&amp;C3079&amp;"|"&amp;D3079</f>
        <v>5|4|Nicole|spotify:track:79qxwHypONUt3AFq0WPpT9</v>
      </c>
    </row>
    <row r="3080" customFormat="false" ht="15" hidden="false" customHeight="false" outlineLevel="0" collapsed="false">
      <c r="A3080" s="5" t="n">
        <v>5</v>
      </c>
      <c r="B3080" s="5" t="n">
        <v>4</v>
      </c>
      <c r="C3080" s="5" t="s">
        <v>484</v>
      </c>
      <c r="D3080" s="5" t="s">
        <v>1492</v>
      </c>
      <c r="E3080" s="5" t="n">
        <v>1</v>
      </c>
      <c r="F3080" s="6" t="n">
        <f aca="false">IFERROR(MATCH(A3080&amp;"|"&amp;B3080&amp;"|"&amp;D3080,'All Song Rankings'!$T:$T,0),0)</f>
        <v>477</v>
      </c>
      <c r="G3080" s="6" t="str">
        <f aca="false">IF(F3080=0,"NOT FOUND",INDEX('All Song Rankings'!$A:$A,F3080))</f>
        <v>Hold On</v>
      </c>
      <c r="H3080" s="6" t="str">
        <f aca="false">IF(F3080=0,"NOT FOUND",INDEX('All Song Rankings'!$B:$B,F3080))</f>
        <v>Jonas Brothers</v>
      </c>
      <c r="I3080" s="6" t="str">
        <f aca="false">IF(F3080=0,"NOT FOUND",INDEX('All Song Rankings'!$D:$D,F3080))</f>
        <v>Nicole</v>
      </c>
      <c r="J3080" s="7" t="str">
        <f aca="false">IF(F3080=0,"NOT FOUND",IF(C3080=I3080,"SELF-VOTE",IF(COUNTIF($K:$K,K3080)&gt;1,"DUPLICATE","OK")))</f>
        <v>OK</v>
      </c>
      <c r="K3080" s="6" t="str">
        <f aca="false">A3080&amp;"|"&amp;B3080&amp;"|"&amp;C3080&amp;"|"&amp;D3080</f>
        <v>5|4|Scott|spotify:track:0LAe8mOyLxUAN5pgqovhpN</v>
      </c>
    </row>
    <row r="3081" customFormat="false" ht="15" hidden="false" customHeight="false" outlineLevel="0" collapsed="false">
      <c r="A3081" s="5" t="n">
        <v>5</v>
      </c>
      <c r="B3081" s="5" t="n">
        <v>4</v>
      </c>
      <c r="C3081" s="5" t="s">
        <v>484</v>
      </c>
      <c r="D3081" s="5" t="s">
        <v>1478</v>
      </c>
      <c r="E3081" s="5" t="n">
        <v>2</v>
      </c>
      <c r="F3081" s="6" t="n">
        <f aca="false">IFERROR(MATCH(A3081&amp;"|"&amp;B3081&amp;"|"&amp;D3081,'All Song Rankings'!$T:$T,0),0)</f>
        <v>471</v>
      </c>
      <c r="G3081" s="6" t="str">
        <f aca="false">IF(F3081=0,"NOT FOUND",INDEX('All Song Rankings'!$A:$A,F3081))</f>
        <v>Into the Mystic</v>
      </c>
      <c r="H3081" s="6" t="str">
        <f aca="false">IF(F3081=0,"NOT FOUND",INDEX('All Song Rankings'!$B:$B,F3081))</f>
        <v>Van Morrison</v>
      </c>
      <c r="I3081" s="6" t="str">
        <f aca="false">IF(F3081=0,"NOT FOUND",INDEX('All Song Rankings'!$D:$D,F3081))</f>
        <v>Lisa</v>
      </c>
      <c r="J3081" s="7" t="str">
        <f aca="false">IF(F3081=0,"NOT FOUND",IF(C3081=I3081,"SELF-VOTE",IF(COUNTIF($K:$K,K3081)&gt;1,"DUPLICATE","OK")))</f>
        <v>OK</v>
      </c>
      <c r="K3081" s="6" t="str">
        <f aca="false">A3081&amp;"|"&amp;B3081&amp;"|"&amp;C3081&amp;"|"&amp;D3081</f>
        <v>5|4|Scott|spotify:track:1285TFFkLTTis9UL9IGZRi</v>
      </c>
    </row>
    <row r="3082" customFormat="false" ht="15" hidden="false" customHeight="false" outlineLevel="0" collapsed="false">
      <c r="A3082" s="5" t="n">
        <v>5</v>
      </c>
      <c r="B3082" s="5" t="n">
        <v>4</v>
      </c>
      <c r="C3082" s="5" t="s">
        <v>484</v>
      </c>
      <c r="D3082" s="5" t="s">
        <v>1472</v>
      </c>
      <c r="E3082" s="5" t="n">
        <v>2</v>
      </c>
      <c r="F3082" s="6" t="n">
        <f aca="false">IFERROR(MATCH(A3082&amp;"|"&amp;B3082&amp;"|"&amp;D3082,'All Song Rankings'!$T:$T,0),0)</f>
        <v>469</v>
      </c>
      <c r="G3082" s="6" t="str">
        <f aca="false">IF(F3082=0,"NOT FOUND",INDEX('All Song Rankings'!$A:$A,F3082))</f>
        <v>Hikoki Gumo / The Wind Rises</v>
      </c>
      <c r="H3082" s="6" t="str">
        <f aca="false">IF(F3082=0,"NOT FOUND",INDEX('All Song Rankings'!$B:$B,F3082))</f>
        <v>Makiko Hirohashi</v>
      </c>
      <c r="I3082" s="6" t="str">
        <f aca="false">IF(F3082=0,"NOT FOUND",INDEX('All Song Rankings'!$D:$D,F3082))</f>
        <v>Matt</v>
      </c>
      <c r="J3082" s="7" t="str">
        <f aca="false">IF(F3082=0,"NOT FOUND",IF(C3082=I3082,"SELF-VOTE",IF(COUNTIF($K:$K,K3082)&gt;1,"DUPLICATE","OK")))</f>
        <v>OK</v>
      </c>
      <c r="K3082" s="6" t="str">
        <f aca="false">A3082&amp;"|"&amp;B3082&amp;"|"&amp;C3082&amp;"|"&amp;D3082</f>
        <v>5|4|Scott|spotify:track:3hMDAZqFsZYjYJO4hN3UTK</v>
      </c>
    </row>
    <row r="3083" customFormat="false" ht="15" hidden="false" customHeight="false" outlineLevel="0" collapsed="false">
      <c r="A3083" s="5" t="n">
        <v>5</v>
      </c>
      <c r="B3083" s="5" t="n">
        <v>4</v>
      </c>
      <c r="C3083" s="5" t="s">
        <v>484</v>
      </c>
      <c r="D3083" s="5" t="s">
        <v>1469</v>
      </c>
      <c r="E3083" s="5" t="n">
        <v>1</v>
      </c>
      <c r="F3083" s="6" t="n">
        <f aca="false">IFERROR(MATCH(A3083&amp;"|"&amp;B3083&amp;"|"&amp;D3083,'All Song Rankings'!$T:$T,0),0)</f>
        <v>468</v>
      </c>
      <c r="G3083" s="6" t="str">
        <f aca="false">IF(F3083=0,"NOT FOUND",INDEX('All Song Rankings'!$A:$A,F3083))</f>
        <v>Take It Easy - 2013 Remaster</v>
      </c>
      <c r="H3083" s="6" t="str">
        <f aca="false">IF(F3083=0,"NOT FOUND",INDEX('All Song Rankings'!$B:$B,F3083))</f>
        <v>Eagles</v>
      </c>
      <c r="I3083" s="6" t="str">
        <f aca="false">IF(F3083=0,"NOT FOUND",INDEX('All Song Rankings'!$D:$D,F3083))</f>
        <v>Christine</v>
      </c>
      <c r="J3083" s="7" t="str">
        <f aca="false">IF(F3083=0,"NOT FOUND",IF(C3083=I3083,"SELF-VOTE",IF(COUNTIF($K:$K,K3083)&gt;1,"DUPLICATE","OK")))</f>
        <v>OK</v>
      </c>
      <c r="K3083" s="6" t="str">
        <f aca="false">A3083&amp;"|"&amp;B3083&amp;"|"&amp;C3083&amp;"|"&amp;D3083</f>
        <v>5|4|Scott|spotify:track:4yugZvBYaoREkJKtbG08Qr</v>
      </c>
    </row>
    <row r="3084" customFormat="false" ht="15" hidden="false" customHeight="false" outlineLevel="0" collapsed="false">
      <c r="A3084" s="5" t="n">
        <v>5</v>
      </c>
      <c r="B3084" s="5" t="n">
        <v>4</v>
      </c>
      <c r="C3084" s="5" t="s">
        <v>484</v>
      </c>
      <c r="D3084" s="5" t="s">
        <v>1475</v>
      </c>
      <c r="E3084" s="5" t="n">
        <v>1</v>
      </c>
      <c r="F3084" s="6" t="n">
        <f aca="false">IFERROR(MATCH(A3084&amp;"|"&amp;B3084&amp;"|"&amp;D3084,'All Song Rankings'!$T:$T,0),0)</f>
        <v>470</v>
      </c>
      <c r="G3084" s="6" t="str">
        <f aca="false">IF(F3084=0,"NOT FOUND",INDEX('All Song Rankings'!$A:$A,F3084))</f>
        <v>SNAP</v>
      </c>
      <c r="H3084" s="6" t="str">
        <f aca="false">IF(F3084=0,"NOT FOUND",INDEX('All Song Rankings'!$B:$B,F3084))</f>
        <v>Rosa Linn</v>
      </c>
      <c r="I3084" s="6" t="str">
        <f aca="false">IF(F3084=0,"NOT FOUND",INDEX('All Song Rankings'!$D:$D,F3084))</f>
        <v>Kelsey</v>
      </c>
      <c r="J3084" s="7" t="str">
        <f aca="false">IF(F3084=0,"NOT FOUND",IF(C3084=I3084,"SELF-VOTE",IF(COUNTIF($K:$K,K3084)&gt;1,"DUPLICATE","OK")))</f>
        <v>OK</v>
      </c>
      <c r="K3084" s="6" t="str">
        <f aca="false">A3084&amp;"|"&amp;B3084&amp;"|"&amp;C3084&amp;"|"&amp;D3084</f>
        <v>5|4|Scott|spotify:track:5hx7w26Zi3zafMgvMTUqF6</v>
      </c>
    </row>
    <row r="3085" customFormat="false" ht="15" hidden="false" customHeight="false" outlineLevel="0" collapsed="false">
      <c r="A3085" s="5" t="n">
        <v>5</v>
      </c>
      <c r="B3085" s="5" t="n">
        <v>4</v>
      </c>
      <c r="C3085" s="5" t="s">
        <v>484</v>
      </c>
      <c r="D3085" s="5" t="s">
        <v>1464</v>
      </c>
      <c r="E3085" s="5" t="n">
        <v>1</v>
      </c>
      <c r="F3085" s="6" t="n">
        <f aca="false">IFERROR(MATCH(A3085&amp;"|"&amp;B3085&amp;"|"&amp;D3085,'All Song Rankings'!$T:$T,0),0)</f>
        <v>466</v>
      </c>
      <c r="G3085" s="6" t="str">
        <f aca="false">IF(F3085=0,"NOT FOUND",INDEX('All Song Rankings'!$A:$A,F3085))</f>
        <v>Better</v>
      </c>
      <c r="H3085" s="6" t="str">
        <f aca="false">IF(F3085=0,"NOT FOUND",INDEX('All Song Rankings'!$B:$B,F3085))</f>
        <v>Khalid</v>
      </c>
      <c r="I3085" s="6" t="str">
        <f aca="false">IF(F3085=0,"NOT FOUND",INDEX('All Song Rankings'!$D:$D,F3085))</f>
        <v>Stephanie</v>
      </c>
      <c r="J3085" s="7" t="str">
        <f aca="false">IF(F3085=0,"NOT FOUND",IF(C3085=I3085,"SELF-VOTE",IF(COUNTIF($K:$K,K3085)&gt;1,"DUPLICATE","OK")))</f>
        <v>OK</v>
      </c>
      <c r="K3085" s="6" t="str">
        <f aca="false">A3085&amp;"|"&amp;B3085&amp;"|"&amp;C3085&amp;"|"&amp;D3085</f>
        <v>5|4|Scott|spotify:track:6zeeWid2sgw4lap2jV61PZ</v>
      </c>
    </row>
    <row r="3086" customFormat="false" ht="15" hidden="false" customHeight="false" outlineLevel="0" collapsed="false">
      <c r="A3086" s="5" t="n">
        <v>5</v>
      </c>
      <c r="B3086" s="5" t="n">
        <v>4</v>
      </c>
      <c r="C3086" s="5" t="s">
        <v>484</v>
      </c>
      <c r="D3086" s="5" t="s">
        <v>1480</v>
      </c>
      <c r="E3086" s="5" t="n">
        <v>1</v>
      </c>
      <c r="F3086" s="6" t="n">
        <f aca="false">IFERROR(MATCH(A3086&amp;"|"&amp;B3086&amp;"|"&amp;D3086,'All Song Rankings'!$T:$T,0),0)</f>
        <v>472</v>
      </c>
      <c r="G3086" s="6" t="str">
        <f aca="false">IF(F3086=0,"NOT FOUND",INDEX('All Song Rankings'!$A:$A,F3086))</f>
        <v>Rainbow</v>
      </c>
      <c r="H3086" s="6" t="str">
        <f aca="false">IF(F3086=0,"NOT FOUND",INDEX('All Song Rankings'!$B:$B,F3086))</f>
        <v>Kacey Musgraves</v>
      </c>
      <c r="I3086" s="6" t="str">
        <f aca="false">IF(F3086=0,"NOT FOUND",INDEX('All Song Rankings'!$D:$D,F3086))</f>
        <v>Logan</v>
      </c>
      <c r="J3086" s="7" t="str">
        <f aca="false">IF(F3086=0,"NOT FOUND",IF(C3086=I3086,"SELF-VOTE",IF(COUNTIF($K:$K,K3086)&gt;1,"DUPLICATE","OK")))</f>
        <v>OK</v>
      </c>
      <c r="K3086" s="6" t="str">
        <f aca="false">A3086&amp;"|"&amp;B3086&amp;"|"&amp;C3086&amp;"|"&amp;D3086</f>
        <v>5|4|Scott|spotify:track:79qxwHypONUt3AFq0WPpT9</v>
      </c>
    </row>
    <row r="3087" customFormat="false" ht="15" hidden="false" customHeight="false" outlineLevel="0" collapsed="false">
      <c r="A3087" s="5" t="n">
        <v>5</v>
      </c>
      <c r="B3087" s="5" t="n">
        <v>4</v>
      </c>
      <c r="C3087" s="5" t="s">
        <v>484</v>
      </c>
      <c r="D3087" s="5" t="s">
        <v>1466</v>
      </c>
      <c r="E3087" s="5" t="n">
        <v>1</v>
      </c>
      <c r="F3087" s="6" t="n">
        <f aca="false">IFERROR(MATCH(A3087&amp;"|"&amp;B3087&amp;"|"&amp;D3087,'All Song Rankings'!$T:$T,0),0)</f>
        <v>467</v>
      </c>
      <c r="G3087" s="6" t="str">
        <f aca="false">IF(F3087=0,"NOT FOUND",INDEX('All Song Rankings'!$A:$A,F3087))</f>
        <v>Three Little Birds</v>
      </c>
      <c r="H3087" s="6" t="str">
        <f aca="false">IF(F3087=0,"NOT FOUND",INDEX('All Song Rankings'!$B:$B,F3087))</f>
        <v>Bob Marley &amp; The Wailers</v>
      </c>
      <c r="I3087" s="6" t="str">
        <f aca="false">IF(F3087=0,"NOT FOUND",INDEX('All Song Rankings'!$D:$D,F3087))</f>
        <v>Kristen</v>
      </c>
      <c r="J3087" s="7" t="str">
        <f aca="false">IF(F3087=0,"NOT FOUND",IF(C3087=I3087,"SELF-VOTE",IF(COUNTIF($K:$K,K3087)&gt;1,"DUPLICATE","OK")))</f>
        <v>OK</v>
      </c>
      <c r="K3087" s="6" t="str">
        <f aca="false">A3087&amp;"|"&amp;B3087&amp;"|"&amp;C3087&amp;"|"&amp;D3087</f>
        <v>5|4|Scott|spotify:track:7vggqxNKwd6xdRoYS0pQtM</v>
      </c>
    </row>
    <row r="3088" customFormat="false" ht="15" hidden="false" customHeight="false" outlineLevel="0" collapsed="false">
      <c r="A3088" s="5" t="n">
        <v>5</v>
      </c>
      <c r="B3088" s="5" t="n">
        <v>4</v>
      </c>
      <c r="C3088" s="5" t="s">
        <v>97</v>
      </c>
      <c r="D3088" s="5" t="s">
        <v>1478</v>
      </c>
      <c r="E3088" s="5" t="n">
        <v>3</v>
      </c>
      <c r="F3088" s="6" t="n">
        <f aca="false">IFERROR(MATCH(A3088&amp;"|"&amp;B3088&amp;"|"&amp;D3088,'All Song Rankings'!$T:$T,0),0)</f>
        <v>471</v>
      </c>
      <c r="G3088" s="6" t="str">
        <f aca="false">IF(F3088=0,"NOT FOUND",INDEX('All Song Rankings'!$A:$A,F3088))</f>
        <v>Into the Mystic</v>
      </c>
      <c r="H3088" s="6" t="str">
        <f aca="false">IF(F3088=0,"NOT FOUND",INDEX('All Song Rankings'!$B:$B,F3088))</f>
        <v>Van Morrison</v>
      </c>
      <c r="I3088" s="6" t="str">
        <f aca="false">IF(F3088=0,"NOT FOUND",INDEX('All Song Rankings'!$D:$D,F3088))</f>
        <v>Lisa</v>
      </c>
      <c r="J3088" s="7" t="str">
        <f aca="false">IF(F3088=0,"NOT FOUND",IF(C3088=I3088,"SELF-VOTE",IF(COUNTIF($K:$K,K3088)&gt;1,"DUPLICATE","OK")))</f>
        <v>OK</v>
      </c>
      <c r="K3088" s="6" t="str">
        <f aca="false">A3088&amp;"|"&amp;B3088&amp;"|"&amp;C3088&amp;"|"&amp;D3088</f>
        <v>5|4|Stephanie|spotify:track:1285TFFkLTTis9UL9IGZRi</v>
      </c>
    </row>
    <row r="3089" customFormat="false" ht="15" hidden="false" customHeight="false" outlineLevel="0" collapsed="false">
      <c r="A3089" s="5" t="n">
        <v>5</v>
      </c>
      <c r="B3089" s="5" t="n">
        <v>4</v>
      </c>
      <c r="C3089" s="5" t="s">
        <v>97</v>
      </c>
      <c r="D3089" s="5" t="s">
        <v>1499</v>
      </c>
      <c r="E3089" s="5" t="n">
        <v>2</v>
      </c>
      <c r="F3089" s="6" t="n">
        <f aca="false">IFERROR(MATCH(A3089&amp;"|"&amp;B3089&amp;"|"&amp;D3089,'All Song Rankings'!$T:$T,0),0)</f>
        <v>479</v>
      </c>
      <c r="G3089" s="6" t="str">
        <f aca="false">IF(F3089=0,"NOT FOUND",INDEX('All Song Rankings'!$A:$A,F3089))</f>
        <v>RICH MAN</v>
      </c>
      <c r="H3089" s="6" t="str">
        <f aca="false">IF(F3089=0,"NOT FOUND",INDEX('All Song Rankings'!$B:$B,F3089))</f>
        <v>Forrest Frank</v>
      </c>
      <c r="I3089" s="6" t="str">
        <f aca="false">IF(F3089=0,"NOT FOUND",INDEX('All Song Rankings'!$D:$D,F3089))</f>
        <v>Grace</v>
      </c>
      <c r="J3089" s="7" t="str">
        <f aca="false">IF(F3089=0,"NOT FOUND",IF(C3089=I3089,"SELF-VOTE",IF(COUNTIF($K:$K,K3089)&gt;1,"DUPLICATE","OK")))</f>
        <v>OK</v>
      </c>
      <c r="K3089" s="6" t="str">
        <f aca="false">A3089&amp;"|"&amp;B3089&amp;"|"&amp;C3089&amp;"|"&amp;D3089</f>
        <v>5|4|Stephanie|spotify:track:1F7G5N2Qy1VYAc2lZEd8Om</v>
      </c>
    </row>
    <row r="3090" customFormat="false" ht="15" hidden="false" customHeight="false" outlineLevel="0" collapsed="false">
      <c r="A3090" s="5" t="n">
        <v>5</v>
      </c>
      <c r="B3090" s="5" t="n">
        <v>4</v>
      </c>
      <c r="C3090" s="5" t="s">
        <v>97</v>
      </c>
      <c r="D3090" s="5" t="s">
        <v>1469</v>
      </c>
      <c r="E3090" s="5" t="n">
        <v>2</v>
      </c>
      <c r="F3090" s="6" t="n">
        <f aca="false">IFERROR(MATCH(A3090&amp;"|"&amp;B3090&amp;"|"&amp;D3090,'All Song Rankings'!$T:$T,0),0)</f>
        <v>468</v>
      </c>
      <c r="G3090" s="6" t="str">
        <f aca="false">IF(F3090=0,"NOT FOUND",INDEX('All Song Rankings'!$A:$A,F3090))</f>
        <v>Take It Easy - 2013 Remaster</v>
      </c>
      <c r="H3090" s="6" t="str">
        <f aca="false">IF(F3090=0,"NOT FOUND",INDEX('All Song Rankings'!$B:$B,F3090))</f>
        <v>Eagles</v>
      </c>
      <c r="I3090" s="6" t="str">
        <f aca="false">IF(F3090=0,"NOT FOUND",INDEX('All Song Rankings'!$D:$D,F3090))</f>
        <v>Christine</v>
      </c>
      <c r="J3090" s="7" t="str">
        <f aca="false">IF(F3090=0,"NOT FOUND",IF(C3090=I3090,"SELF-VOTE",IF(COUNTIF($K:$K,K3090)&gt;1,"DUPLICATE","OK")))</f>
        <v>OK</v>
      </c>
      <c r="K3090" s="6" t="str">
        <f aca="false">A3090&amp;"|"&amp;B3090&amp;"|"&amp;C3090&amp;"|"&amp;D3090</f>
        <v>5|4|Stephanie|spotify:track:4yugZvBYaoREkJKtbG08Qr</v>
      </c>
    </row>
    <row r="3091" customFormat="false" ht="15" hidden="false" customHeight="false" outlineLevel="0" collapsed="false">
      <c r="A3091" s="5" t="n">
        <v>5</v>
      </c>
      <c r="B3091" s="5" t="n">
        <v>4</v>
      </c>
      <c r="C3091" s="5" t="s">
        <v>97</v>
      </c>
      <c r="D3091" s="5" t="s">
        <v>1475</v>
      </c>
      <c r="E3091" s="5" t="n">
        <v>1</v>
      </c>
      <c r="F3091" s="6" t="n">
        <f aca="false">IFERROR(MATCH(A3091&amp;"|"&amp;B3091&amp;"|"&amp;D3091,'All Song Rankings'!$T:$T,0),0)</f>
        <v>470</v>
      </c>
      <c r="G3091" s="6" t="str">
        <f aca="false">IF(F3091=0,"NOT FOUND",INDEX('All Song Rankings'!$A:$A,F3091))</f>
        <v>SNAP</v>
      </c>
      <c r="H3091" s="6" t="str">
        <f aca="false">IF(F3091=0,"NOT FOUND",INDEX('All Song Rankings'!$B:$B,F3091))</f>
        <v>Rosa Linn</v>
      </c>
      <c r="I3091" s="6" t="str">
        <f aca="false">IF(F3091=0,"NOT FOUND",INDEX('All Song Rankings'!$D:$D,F3091))</f>
        <v>Kelsey</v>
      </c>
      <c r="J3091" s="7" t="str">
        <f aca="false">IF(F3091=0,"NOT FOUND",IF(C3091=I3091,"SELF-VOTE",IF(COUNTIF($K:$K,K3091)&gt;1,"DUPLICATE","OK")))</f>
        <v>OK</v>
      </c>
      <c r="K3091" s="6" t="str">
        <f aca="false">A3091&amp;"|"&amp;B3091&amp;"|"&amp;C3091&amp;"|"&amp;D3091</f>
        <v>5|4|Stephanie|spotify:track:5hx7w26Zi3zafMgvMTUqF6</v>
      </c>
    </row>
    <row r="3092" customFormat="false" ht="15" hidden="false" customHeight="false" outlineLevel="0" collapsed="false">
      <c r="A3092" s="5" t="n">
        <v>5</v>
      </c>
      <c r="B3092" s="5" t="n">
        <v>4</v>
      </c>
      <c r="C3092" s="5" t="s">
        <v>97</v>
      </c>
      <c r="D3092" s="5" t="s">
        <v>1480</v>
      </c>
      <c r="E3092" s="5" t="n">
        <v>1</v>
      </c>
      <c r="F3092" s="6" t="n">
        <f aca="false">IFERROR(MATCH(A3092&amp;"|"&amp;B3092&amp;"|"&amp;D3092,'All Song Rankings'!$T:$T,0),0)</f>
        <v>472</v>
      </c>
      <c r="G3092" s="6" t="str">
        <f aca="false">IF(F3092=0,"NOT FOUND",INDEX('All Song Rankings'!$A:$A,F3092))</f>
        <v>Rainbow</v>
      </c>
      <c r="H3092" s="6" t="str">
        <f aca="false">IF(F3092=0,"NOT FOUND",INDEX('All Song Rankings'!$B:$B,F3092))</f>
        <v>Kacey Musgraves</v>
      </c>
      <c r="I3092" s="6" t="str">
        <f aca="false">IF(F3092=0,"NOT FOUND",INDEX('All Song Rankings'!$D:$D,F3092))</f>
        <v>Logan</v>
      </c>
      <c r="J3092" s="7" t="str">
        <f aca="false">IF(F3092=0,"NOT FOUND",IF(C3092=I3092,"SELF-VOTE",IF(COUNTIF($K:$K,K3092)&gt;1,"DUPLICATE","OK")))</f>
        <v>OK</v>
      </c>
      <c r="K3092" s="6" t="str">
        <f aca="false">A3092&amp;"|"&amp;B3092&amp;"|"&amp;C3092&amp;"|"&amp;D3092</f>
        <v>5|4|Stephanie|spotify:track:79qxwHypONUt3AFq0WPpT9</v>
      </c>
    </row>
    <row r="3093" customFormat="false" ht="15" hidden="false" customHeight="false" outlineLevel="0" collapsed="false">
      <c r="A3093" s="5" t="n">
        <v>5</v>
      </c>
      <c r="B3093" s="5" t="n">
        <v>4</v>
      </c>
      <c r="C3093" s="5" t="s">
        <v>97</v>
      </c>
      <c r="D3093" s="5" t="s">
        <v>1466</v>
      </c>
      <c r="E3093" s="5" t="n">
        <v>1</v>
      </c>
      <c r="F3093" s="6" t="n">
        <f aca="false">IFERROR(MATCH(A3093&amp;"|"&amp;B3093&amp;"|"&amp;D3093,'All Song Rankings'!$T:$T,0),0)</f>
        <v>467</v>
      </c>
      <c r="G3093" s="6" t="str">
        <f aca="false">IF(F3093=0,"NOT FOUND",INDEX('All Song Rankings'!$A:$A,F3093))</f>
        <v>Three Little Birds</v>
      </c>
      <c r="H3093" s="6" t="str">
        <f aca="false">IF(F3093=0,"NOT FOUND",INDEX('All Song Rankings'!$B:$B,F3093))</f>
        <v>Bob Marley &amp; The Wailers</v>
      </c>
      <c r="I3093" s="6" t="str">
        <f aca="false">IF(F3093=0,"NOT FOUND",INDEX('All Song Rankings'!$D:$D,F3093))</f>
        <v>Kristen</v>
      </c>
      <c r="J3093" s="7" t="str">
        <f aca="false">IF(F3093=0,"NOT FOUND",IF(C3093=I3093,"SELF-VOTE",IF(COUNTIF($K:$K,K3093)&gt;1,"DUPLICATE","OK")))</f>
        <v>OK</v>
      </c>
      <c r="K3093" s="6" t="str">
        <f aca="false">A3093&amp;"|"&amp;B3093&amp;"|"&amp;C3093&amp;"|"&amp;D3093</f>
        <v>5|4|Stephanie|spotify:track:7vggqxNKwd6xdRoYS0pQtM</v>
      </c>
    </row>
    <row r="3094" customFormat="false" ht="15" hidden="false" customHeight="false" outlineLevel="0" collapsed="false">
      <c r="A3094" s="5" t="n">
        <v>5</v>
      </c>
      <c r="B3094" s="5" t="n">
        <v>5</v>
      </c>
      <c r="C3094" s="5" t="s">
        <v>375</v>
      </c>
      <c r="D3094" s="5" t="s">
        <v>1532</v>
      </c>
      <c r="E3094" s="5" t="n">
        <v>2</v>
      </c>
      <c r="F3094" s="6" t="n">
        <f aca="false">IFERROR(MATCH(A3094&amp;"|"&amp;B3094&amp;"|"&amp;D3094,'All Song Rankings'!$T:$T,0),0)</f>
        <v>491</v>
      </c>
      <c r="G3094" s="6" t="str">
        <f aca="false">IF(F3094=0,"NOT FOUND",INDEX('All Song Rankings'!$A:$A,F3094))</f>
        <v>ONE BEER (feat. Lauren Alaina &amp; Devin Dawson)</v>
      </c>
      <c r="H3094" s="6" t="str">
        <f aca="false">IF(F3094=0,"NOT FOUND",INDEX('All Song Rankings'!$B:$B,F3094))</f>
        <v>HARDY</v>
      </c>
      <c r="I3094" s="6" t="str">
        <f aca="false">IF(F3094=0,"NOT FOUND",INDEX('All Song Rankings'!$D:$D,F3094))</f>
        <v>Nicole</v>
      </c>
      <c r="J3094" s="7" t="str">
        <f aca="false">IF(F3094=0,"NOT FOUND",IF(C3094=I3094,"SELF-VOTE",IF(COUNTIF($K:$K,K3094)&gt;1,"DUPLICATE","OK")))</f>
        <v>OK</v>
      </c>
      <c r="K3094" s="6" t="str">
        <f aca="false">A3094&amp;"|"&amp;B3094&amp;"|"&amp;C3094&amp;"|"&amp;D3094</f>
        <v>5|5|Aubrey|spotify:track:1G7lSPzVlGydbpeQOY2gNu</v>
      </c>
    </row>
    <row r="3095" customFormat="false" ht="15" hidden="false" customHeight="false" outlineLevel="0" collapsed="false">
      <c r="A3095" s="5" t="n">
        <v>5</v>
      </c>
      <c r="B3095" s="5" t="n">
        <v>5</v>
      </c>
      <c r="C3095" s="5" t="s">
        <v>375</v>
      </c>
      <c r="D3095" s="5" t="s">
        <v>1524</v>
      </c>
      <c r="E3095" s="5" t="n">
        <v>1</v>
      </c>
      <c r="F3095" s="6" t="n">
        <f aca="false">IFERROR(MATCH(A3095&amp;"|"&amp;B3095&amp;"|"&amp;D3095,'All Song Rankings'!$T:$T,0),0)</f>
        <v>488</v>
      </c>
      <c r="G3095" s="6" t="str">
        <f aca="false">IF(F3095=0,"NOT FOUND",INDEX('All Song Rankings'!$A:$A,F3095))</f>
        <v>Nobody Wants to Be Lonely (with Christina Aguilera)</v>
      </c>
      <c r="H3095" s="6" t="str">
        <f aca="false">IF(F3095=0,"NOT FOUND",INDEX('All Song Rankings'!$B:$B,F3095))</f>
        <v>Ricky Martin</v>
      </c>
      <c r="I3095" s="6" t="str">
        <f aca="false">IF(F3095=0,"NOT FOUND",INDEX('All Song Rankings'!$D:$D,F3095))</f>
        <v>Kristen</v>
      </c>
      <c r="J3095" s="7" t="str">
        <f aca="false">IF(F3095=0,"NOT FOUND",IF(C3095=I3095,"SELF-VOTE",IF(COUNTIF($K:$K,K3095)&gt;1,"DUPLICATE","OK")))</f>
        <v>OK</v>
      </c>
      <c r="K3095" s="6" t="str">
        <f aca="false">A3095&amp;"|"&amp;B3095&amp;"|"&amp;C3095&amp;"|"&amp;D3095</f>
        <v>5|5|Aubrey|spotify:track:1OmykUh7sjL6x7U0oFZPov</v>
      </c>
    </row>
    <row r="3096" customFormat="false" ht="15" hidden="false" customHeight="false" outlineLevel="0" collapsed="false">
      <c r="A3096" s="5" t="n">
        <v>5</v>
      </c>
      <c r="B3096" s="5" t="n">
        <v>5</v>
      </c>
      <c r="C3096" s="5" t="s">
        <v>375</v>
      </c>
      <c r="D3096" s="5" t="s">
        <v>1527</v>
      </c>
      <c r="E3096" s="5" t="n">
        <v>1</v>
      </c>
      <c r="F3096" s="6" t="n">
        <f aca="false">IFERROR(MATCH(A3096&amp;"|"&amp;B3096&amp;"|"&amp;D3096,'All Song Rankings'!$T:$T,0),0)</f>
        <v>489</v>
      </c>
      <c r="G3096" s="6" t="str">
        <f aca="false">IF(F3096=0,"NOT FOUND",INDEX('All Song Rankings'!$A:$A,F3096))</f>
        <v>Beauty and the Beast - Duet</v>
      </c>
      <c r="H3096" s="6" t="str">
        <f aca="false">IF(F3096=0,"NOT FOUND",INDEX('All Song Rankings'!$B:$B,F3096))</f>
        <v>Peabo Bryson</v>
      </c>
      <c r="I3096" s="6" t="str">
        <f aca="false">IF(F3096=0,"NOT FOUND",INDEX('All Song Rankings'!$D:$D,F3096))</f>
        <v>Logan</v>
      </c>
      <c r="J3096" s="7" t="str">
        <f aca="false">IF(F3096=0,"NOT FOUND",IF(C3096=I3096,"SELF-VOTE",IF(COUNTIF($K:$K,K3096)&gt;1,"DUPLICATE","OK")))</f>
        <v>OK</v>
      </c>
      <c r="K3096" s="6" t="str">
        <f aca="false">A3096&amp;"|"&amp;B3096&amp;"|"&amp;C3096&amp;"|"&amp;D3096</f>
        <v>5|5|Aubrey|spotify:track:1lb36bFPzVYUBER5QatHAY</v>
      </c>
    </row>
    <row r="3097" customFormat="false" ht="15" hidden="false" customHeight="false" outlineLevel="0" collapsed="false">
      <c r="A3097" s="5" t="n">
        <v>5</v>
      </c>
      <c r="B3097" s="5" t="n">
        <v>5</v>
      </c>
      <c r="C3097" s="5" t="s">
        <v>375</v>
      </c>
      <c r="D3097" s="5" t="s">
        <v>1530</v>
      </c>
      <c r="E3097" s="5" t="n">
        <v>1</v>
      </c>
      <c r="F3097" s="6" t="n">
        <f aca="false">IFERROR(MATCH(A3097&amp;"|"&amp;B3097&amp;"|"&amp;D3097,'All Song Rankings'!$T:$T,0),0)</f>
        <v>490</v>
      </c>
      <c r="G3097" s="6" t="str">
        <f aca="false">IF(F3097=0,"NOT FOUND",INDEX('All Song Rankings'!$A:$A,F3097))</f>
        <v>No More Tears (Enough Is Enough) (feat. Donna Summer)</v>
      </c>
      <c r="H3097" s="6" t="str">
        <f aca="false">IF(F3097=0,"NOT FOUND",INDEX('All Song Rankings'!$B:$B,F3097))</f>
        <v>Barbra Streisand</v>
      </c>
      <c r="I3097" s="6" t="str">
        <f aca="false">IF(F3097=0,"NOT FOUND",INDEX('All Song Rankings'!$D:$D,F3097))</f>
        <v>Christine</v>
      </c>
      <c r="J3097" s="7" t="str">
        <f aca="false">IF(F3097=0,"NOT FOUND",IF(C3097=I3097,"SELF-VOTE",IF(COUNTIF($K:$K,K3097)&gt;1,"DUPLICATE","OK")))</f>
        <v>OK</v>
      </c>
      <c r="K3097" s="6" t="str">
        <f aca="false">A3097&amp;"|"&amp;B3097&amp;"|"&amp;C3097&amp;"|"&amp;D3097</f>
        <v>5|5|Aubrey|spotify:track:1wSPm3y4Lk6ABkVxCmwkZx</v>
      </c>
    </row>
    <row r="3098" customFormat="false" ht="15" hidden="false" customHeight="false" outlineLevel="0" collapsed="false">
      <c r="A3098" s="5" t="n">
        <v>5</v>
      </c>
      <c r="B3098" s="5" t="n">
        <v>5</v>
      </c>
      <c r="C3098" s="5" t="s">
        <v>375</v>
      </c>
      <c r="D3098" s="5" t="s">
        <v>1505</v>
      </c>
      <c r="E3098" s="5" t="n">
        <v>1</v>
      </c>
      <c r="F3098" s="6" t="n">
        <f aca="false">IFERROR(MATCH(A3098&amp;"|"&amp;B3098&amp;"|"&amp;D3098,'All Song Rankings'!$T:$T,0),0)</f>
        <v>481</v>
      </c>
      <c r="G3098" s="6" t="str">
        <f aca="false">IF(F3098=0,"NOT FOUND",INDEX('All Song Rankings'!$A:$A,F3098))</f>
        <v>I'm a Mess (with YUNGBLUD)</v>
      </c>
      <c r="H3098" s="6" t="str">
        <f aca="false">IF(F3098=0,"NOT FOUND",INDEX('All Song Rankings'!$B:$B,F3098))</f>
        <v>Avril Lavigne</v>
      </c>
      <c r="I3098" s="6" t="str">
        <f aca="false">IF(F3098=0,"NOT FOUND",INDEX('All Song Rankings'!$D:$D,F3098))</f>
        <v>Kelsey</v>
      </c>
      <c r="J3098" s="7" t="str">
        <f aca="false">IF(F3098=0,"NOT FOUND",IF(C3098=I3098,"SELF-VOTE",IF(COUNTIF($K:$K,K3098)&gt;1,"DUPLICATE","OK")))</f>
        <v>OK</v>
      </c>
      <c r="K3098" s="6" t="str">
        <f aca="false">A3098&amp;"|"&amp;B3098&amp;"|"&amp;C3098&amp;"|"&amp;D3098</f>
        <v>5|5|Aubrey|spotify:track:1yvArCvZLTHiawRdWKSAWj</v>
      </c>
    </row>
    <row r="3099" customFormat="false" ht="15" hidden="false" customHeight="false" outlineLevel="0" collapsed="false">
      <c r="A3099" s="5" t="n">
        <v>5</v>
      </c>
      <c r="B3099" s="5" t="n">
        <v>5</v>
      </c>
      <c r="C3099" s="5" t="s">
        <v>375</v>
      </c>
      <c r="D3099" s="5" t="s">
        <v>1508</v>
      </c>
      <c r="E3099" s="5" t="n">
        <v>2</v>
      </c>
      <c r="F3099" s="6" t="n">
        <f aca="false">IFERROR(MATCH(A3099&amp;"|"&amp;B3099&amp;"|"&amp;D3099,'All Song Rankings'!$T:$T,0),0)</f>
        <v>482</v>
      </c>
      <c r="G3099" s="6" t="str">
        <f aca="false">IF(F3099=0,"NOT FOUND",INDEX('All Song Rankings'!$A:$A,F3099))</f>
        <v>Hips Don't Lie (feat. Wyclef Jean)</v>
      </c>
      <c r="H3099" s="6" t="str">
        <f aca="false">IF(F3099=0,"NOT FOUND",INDEX('All Song Rankings'!$B:$B,F3099))</f>
        <v>Shakira</v>
      </c>
      <c r="I3099" s="6" t="str">
        <f aca="false">IF(F3099=0,"NOT FOUND",INDEX('All Song Rankings'!$D:$D,F3099))</f>
        <v>Grace</v>
      </c>
      <c r="J3099" s="7" t="str">
        <f aca="false">IF(F3099=0,"NOT FOUND",IF(C3099=I3099,"SELF-VOTE",IF(COUNTIF($K:$K,K3099)&gt;1,"DUPLICATE","OK")))</f>
        <v>OK</v>
      </c>
      <c r="K3099" s="6" t="str">
        <f aca="false">A3099&amp;"|"&amp;B3099&amp;"|"&amp;C3099&amp;"|"&amp;D3099</f>
        <v>5|5|Aubrey|spotify:track:3d0WouFnFmr0K3kjeza3fF</v>
      </c>
    </row>
    <row r="3100" customFormat="false" ht="15" hidden="false" customHeight="false" outlineLevel="0" collapsed="false">
      <c r="A3100" s="5" t="n">
        <v>5</v>
      </c>
      <c r="B3100" s="5" t="n">
        <v>5</v>
      </c>
      <c r="C3100" s="5" t="s">
        <v>375</v>
      </c>
      <c r="D3100" s="5" t="s">
        <v>1514</v>
      </c>
      <c r="E3100" s="5" t="n">
        <v>1</v>
      </c>
      <c r="F3100" s="6" t="n">
        <f aca="false">IFERROR(MATCH(A3100&amp;"|"&amp;B3100&amp;"|"&amp;D3100,'All Song Rankings'!$T:$T,0),0)</f>
        <v>484</v>
      </c>
      <c r="G3100" s="6" t="str">
        <f aca="false">IF(F3100=0,"NOT FOUND",INDEX('All Song Rankings'!$A:$A,F3100))</f>
        <v>I Don't Wanna Live Forever (Fifty Shades Darker)</v>
      </c>
      <c r="H3100" s="6" t="str">
        <f aca="false">IF(F3100=0,"NOT FOUND",INDEX('All Song Rankings'!$B:$B,F3100))</f>
        <v>ZAYN</v>
      </c>
      <c r="I3100" s="6" t="str">
        <f aca="false">IF(F3100=0,"NOT FOUND",INDEX('All Song Rankings'!$D:$D,F3100))</f>
        <v>Makenzie</v>
      </c>
      <c r="J3100" s="7" t="str">
        <f aca="false">IF(F3100=0,"NOT FOUND",IF(C3100=I3100,"SELF-VOTE",IF(COUNTIF($K:$K,K3100)&gt;1,"DUPLICATE","OK")))</f>
        <v>OK</v>
      </c>
      <c r="K3100" s="6" t="str">
        <f aca="false">A3100&amp;"|"&amp;B3100&amp;"|"&amp;C3100&amp;"|"&amp;D3100</f>
        <v>5|5|Aubrey|spotify:track:55n9yjI6qqXh5F2mYvUc2y</v>
      </c>
    </row>
    <row r="3101" customFormat="false" ht="15" hidden="false" customHeight="false" outlineLevel="0" collapsed="false">
      <c r="A3101" s="5" t="n">
        <v>5</v>
      </c>
      <c r="B3101" s="5" t="n">
        <v>5</v>
      </c>
      <c r="C3101" s="5" t="s">
        <v>375</v>
      </c>
      <c r="D3101" s="5" t="s">
        <v>1516</v>
      </c>
      <c r="E3101" s="5" t="n">
        <v>1</v>
      </c>
      <c r="F3101" s="6" t="n">
        <f aca="false">IFERROR(MATCH(A3101&amp;"|"&amp;B3101&amp;"|"&amp;D3101,'All Song Rankings'!$T:$T,0),0)</f>
        <v>485</v>
      </c>
      <c r="G3101" s="6" t="str">
        <f aca="false">IF(F3101=0,"NOT FOUND",INDEX('All Song Rankings'!$A:$A,F3101))</f>
        <v>I Had Some Help (Feat. Morgan Wallen)</v>
      </c>
      <c r="H3101" s="6" t="str">
        <f aca="false">IF(F3101=0,"NOT FOUND",INDEX('All Song Rankings'!$B:$B,F3101))</f>
        <v>Post Malone</v>
      </c>
      <c r="I3101" s="6" t="str">
        <f aca="false">IF(F3101=0,"NOT FOUND",INDEX('All Song Rankings'!$D:$D,F3101))</f>
        <v>Colleen</v>
      </c>
      <c r="J3101" s="7" t="str">
        <f aca="false">IF(F3101=0,"NOT FOUND",IF(C3101=I3101,"SELF-VOTE",IF(COUNTIF($K:$K,K3101)&gt;1,"DUPLICATE","OK")))</f>
        <v>OK</v>
      </c>
      <c r="K3101" s="6" t="str">
        <f aca="false">A3101&amp;"|"&amp;B3101&amp;"|"&amp;C3101&amp;"|"&amp;D3101</f>
        <v>5|5|Aubrey|spotify:track:5IZXB5IKAD2qlvTPJYDCFB</v>
      </c>
    </row>
    <row r="3102" customFormat="false" ht="15" hidden="false" customHeight="false" outlineLevel="0" collapsed="false">
      <c r="A3102" s="5" t="n">
        <v>5</v>
      </c>
      <c r="B3102" s="5" t="n">
        <v>5</v>
      </c>
      <c r="C3102" s="5" t="s">
        <v>719</v>
      </c>
      <c r="D3102" s="5" t="s">
        <v>1532</v>
      </c>
      <c r="E3102" s="5" t="n">
        <v>1</v>
      </c>
      <c r="F3102" s="6" t="n">
        <f aca="false">IFERROR(MATCH(A3102&amp;"|"&amp;B3102&amp;"|"&amp;D3102,'All Song Rankings'!$T:$T,0),0)</f>
        <v>491</v>
      </c>
      <c r="G3102" s="6" t="str">
        <f aca="false">IF(F3102=0,"NOT FOUND",INDEX('All Song Rankings'!$A:$A,F3102))</f>
        <v>ONE BEER (feat. Lauren Alaina &amp; Devin Dawson)</v>
      </c>
      <c r="H3102" s="6" t="str">
        <f aca="false">IF(F3102=0,"NOT FOUND",INDEX('All Song Rankings'!$B:$B,F3102))</f>
        <v>HARDY</v>
      </c>
      <c r="I3102" s="6" t="str">
        <f aca="false">IF(F3102=0,"NOT FOUND",INDEX('All Song Rankings'!$D:$D,F3102))</f>
        <v>Nicole</v>
      </c>
      <c r="J3102" s="7" t="str">
        <f aca="false">IF(F3102=0,"NOT FOUND",IF(C3102=I3102,"SELF-VOTE",IF(COUNTIF($K:$K,K3102)&gt;1,"DUPLICATE","OK")))</f>
        <v>OK</v>
      </c>
      <c r="K3102" s="6" t="str">
        <f aca="false">A3102&amp;"|"&amp;B3102&amp;"|"&amp;C3102&amp;"|"&amp;D3102</f>
        <v>5|5|Christine|spotify:track:1G7lSPzVlGydbpeQOY2gNu</v>
      </c>
    </row>
    <row r="3103" customFormat="false" ht="15" hidden="false" customHeight="false" outlineLevel="0" collapsed="false">
      <c r="A3103" s="5" t="n">
        <v>5</v>
      </c>
      <c r="B3103" s="5" t="n">
        <v>5</v>
      </c>
      <c r="C3103" s="5" t="s">
        <v>719</v>
      </c>
      <c r="D3103" s="5" t="s">
        <v>1524</v>
      </c>
      <c r="E3103" s="5" t="n">
        <v>1</v>
      </c>
      <c r="F3103" s="6" t="n">
        <f aca="false">IFERROR(MATCH(A3103&amp;"|"&amp;B3103&amp;"|"&amp;D3103,'All Song Rankings'!$T:$T,0),0)</f>
        <v>488</v>
      </c>
      <c r="G3103" s="6" t="str">
        <f aca="false">IF(F3103=0,"NOT FOUND",INDEX('All Song Rankings'!$A:$A,F3103))</f>
        <v>Nobody Wants to Be Lonely (with Christina Aguilera)</v>
      </c>
      <c r="H3103" s="6" t="str">
        <f aca="false">IF(F3103=0,"NOT FOUND",INDEX('All Song Rankings'!$B:$B,F3103))</f>
        <v>Ricky Martin</v>
      </c>
      <c r="I3103" s="6" t="str">
        <f aca="false">IF(F3103=0,"NOT FOUND",INDEX('All Song Rankings'!$D:$D,F3103))</f>
        <v>Kristen</v>
      </c>
      <c r="J3103" s="7" t="str">
        <f aca="false">IF(F3103=0,"NOT FOUND",IF(C3103=I3103,"SELF-VOTE",IF(COUNTIF($K:$K,K3103)&gt;1,"DUPLICATE","OK")))</f>
        <v>OK</v>
      </c>
      <c r="K3103" s="6" t="str">
        <f aca="false">A3103&amp;"|"&amp;B3103&amp;"|"&amp;C3103&amp;"|"&amp;D3103</f>
        <v>5|5|Christine|spotify:track:1OmykUh7sjL6x7U0oFZPov</v>
      </c>
    </row>
    <row r="3104" customFormat="false" ht="15" hidden="false" customHeight="false" outlineLevel="0" collapsed="false">
      <c r="A3104" s="5" t="n">
        <v>5</v>
      </c>
      <c r="B3104" s="5" t="n">
        <v>5</v>
      </c>
      <c r="C3104" s="5" t="s">
        <v>719</v>
      </c>
      <c r="D3104" s="5" t="s">
        <v>1505</v>
      </c>
      <c r="E3104" s="5" t="n">
        <v>2</v>
      </c>
      <c r="F3104" s="6" t="n">
        <f aca="false">IFERROR(MATCH(A3104&amp;"|"&amp;B3104&amp;"|"&amp;D3104,'All Song Rankings'!$T:$T,0),0)</f>
        <v>481</v>
      </c>
      <c r="G3104" s="6" t="str">
        <f aca="false">IF(F3104=0,"NOT FOUND",INDEX('All Song Rankings'!$A:$A,F3104))</f>
        <v>I'm a Mess (with YUNGBLUD)</v>
      </c>
      <c r="H3104" s="6" t="str">
        <f aca="false">IF(F3104=0,"NOT FOUND",INDEX('All Song Rankings'!$B:$B,F3104))</f>
        <v>Avril Lavigne</v>
      </c>
      <c r="I3104" s="6" t="str">
        <f aca="false">IF(F3104=0,"NOT FOUND",INDEX('All Song Rankings'!$D:$D,F3104))</f>
        <v>Kelsey</v>
      </c>
      <c r="J3104" s="7" t="str">
        <f aca="false">IF(F3104=0,"NOT FOUND",IF(C3104=I3104,"SELF-VOTE",IF(COUNTIF($K:$K,K3104)&gt;1,"DUPLICATE","OK")))</f>
        <v>OK</v>
      </c>
      <c r="K3104" s="6" t="str">
        <f aca="false">A3104&amp;"|"&amp;B3104&amp;"|"&amp;C3104&amp;"|"&amp;D3104</f>
        <v>5|5|Christine|spotify:track:1yvArCvZLTHiawRdWKSAWj</v>
      </c>
    </row>
    <row r="3105" customFormat="false" ht="15" hidden="false" customHeight="false" outlineLevel="0" collapsed="false">
      <c r="A3105" s="5" t="n">
        <v>5</v>
      </c>
      <c r="B3105" s="5" t="n">
        <v>5</v>
      </c>
      <c r="C3105" s="5" t="s">
        <v>719</v>
      </c>
      <c r="D3105" s="5" t="s">
        <v>1511</v>
      </c>
      <c r="E3105" s="5" t="n">
        <v>1</v>
      </c>
      <c r="F3105" s="6" t="n">
        <f aca="false">IFERROR(MATCH(A3105&amp;"|"&amp;B3105&amp;"|"&amp;D3105,'All Song Rankings'!$T:$T,0),0)</f>
        <v>483</v>
      </c>
      <c r="G3105" s="6" t="str">
        <f aca="false">IF(F3105=0,"NOT FOUND",INDEX('All Song Rankings'!$A:$A,F3105))</f>
        <v>Monster (Shawn Mendes &amp; Justin Bieber)</v>
      </c>
      <c r="H3105" s="6" t="str">
        <f aca="false">IF(F3105=0,"NOT FOUND",INDEX('All Song Rankings'!$B:$B,F3105))</f>
        <v>Shawn Mendes</v>
      </c>
      <c r="I3105" s="6" t="str">
        <f aca="false">IF(F3105=0,"NOT FOUND",INDEX('All Song Rankings'!$D:$D,F3105))</f>
        <v>Merita</v>
      </c>
      <c r="J3105" s="7" t="str">
        <f aca="false">IF(F3105=0,"NOT FOUND",IF(C3105=I3105,"SELF-VOTE",IF(COUNTIF($K:$K,K3105)&gt;1,"DUPLICATE","OK")))</f>
        <v>OK</v>
      </c>
      <c r="K3105" s="6" t="str">
        <f aca="false">A3105&amp;"|"&amp;B3105&amp;"|"&amp;C3105&amp;"|"&amp;D3105</f>
        <v>5|5|Christine|spotify:track:2Z8yfpFX0ZMavHkcIeHiO1</v>
      </c>
    </row>
    <row r="3106" customFormat="false" ht="15" hidden="false" customHeight="false" outlineLevel="0" collapsed="false">
      <c r="A3106" s="5" t="n">
        <v>5</v>
      </c>
      <c r="B3106" s="5" t="n">
        <v>5</v>
      </c>
      <c r="C3106" s="5" t="s">
        <v>719</v>
      </c>
      <c r="D3106" s="5" t="s">
        <v>1521</v>
      </c>
      <c r="E3106" s="5" t="n">
        <v>1</v>
      </c>
      <c r="F3106" s="6" t="n">
        <f aca="false">IFERROR(MATCH(A3106&amp;"|"&amp;B3106&amp;"|"&amp;D3106,'All Song Rankings'!$T:$T,0),0)</f>
        <v>487</v>
      </c>
      <c r="G3106" s="6" t="str">
        <f aca="false">IF(F3106=0,"NOT FOUND",INDEX('All Song Rankings'!$A:$A,F3106))</f>
        <v>Crazier Things (with Noah Kahan)</v>
      </c>
      <c r="H3106" s="6" t="str">
        <f aca="false">IF(F3106=0,"NOT FOUND",INDEX('All Song Rankings'!$B:$B,F3106))</f>
        <v>Chelsea Cutler</v>
      </c>
      <c r="I3106" s="6" t="str">
        <f aca="false">IF(F3106=0,"NOT FOUND",INDEX('All Song Rankings'!$D:$D,F3106))</f>
        <v>Lisa</v>
      </c>
      <c r="J3106" s="7" t="str">
        <f aca="false">IF(F3106=0,"NOT FOUND",IF(C3106=I3106,"SELF-VOTE",IF(COUNTIF($K:$K,K3106)&gt;1,"DUPLICATE","OK")))</f>
        <v>OK</v>
      </c>
      <c r="K3106" s="6" t="str">
        <f aca="false">A3106&amp;"|"&amp;B3106&amp;"|"&amp;C3106&amp;"|"&amp;D3106</f>
        <v>5|5|Christine|spotify:track:3K7vPyMCcecKRotnu08MMP</v>
      </c>
    </row>
    <row r="3107" customFormat="false" ht="15" hidden="false" customHeight="false" outlineLevel="0" collapsed="false">
      <c r="A3107" s="5" t="n">
        <v>5</v>
      </c>
      <c r="B3107" s="5" t="n">
        <v>5</v>
      </c>
      <c r="C3107" s="5" t="s">
        <v>719</v>
      </c>
      <c r="D3107" s="5" t="s">
        <v>1502</v>
      </c>
      <c r="E3107" s="5" t="n">
        <v>2</v>
      </c>
      <c r="F3107" s="6" t="n">
        <f aca="false">IFERROR(MATCH(A3107&amp;"|"&amp;B3107&amp;"|"&amp;D3107,'All Song Rankings'!$T:$T,0),0)</f>
        <v>480</v>
      </c>
      <c r="G3107" s="6" t="str">
        <f aca="false">IF(F3107=0,"NOT FOUND",INDEX('All Song Rankings'!$A:$A,F3107))</f>
        <v>The Monster</v>
      </c>
      <c r="H3107" s="6" t="str">
        <f aca="false">IF(F3107=0,"NOT FOUND",INDEX('All Song Rankings'!$B:$B,F3107))</f>
        <v>Eminem</v>
      </c>
      <c r="I3107" s="6" t="str">
        <f aca="false">IF(F3107=0,"NOT FOUND",INDEX('All Song Rankings'!$D:$D,F3107))</f>
        <v>Leah</v>
      </c>
      <c r="J3107" s="7" t="str">
        <f aca="false">IF(F3107=0,"NOT FOUND",IF(C3107=I3107,"SELF-VOTE",IF(COUNTIF($K:$K,K3107)&gt;1,"DUPLICATE","OK")))</f>
        <v>OK</v>
      </c>
      <c r="K3107" s="6" t="str">
        <f aca="false">A3107&amp;"|"&amp;B3107&amp;"|"&amp;C3107&amp;"|"&amp;D3107</f>
        <v>5|5|Christine|spotify:track:48RrDBpOSSl1aLVCalGl5C</v>
      </c>
    </row>
    <row r="3108" customFormat="false" ht="15" hidden="false" customHeight="false" outlineLevel="0" collapsed="false">
      <c r="A3108" s="5" t="n">
        <v>5</v>
      </c>
      <c r="B3108" s="5" t="n">
        <v>5</v>
      </c>
      <c r="C3108" s="5" t="s">
        <v>719</v>
      </c>
      <c r="D3108" s="5" t="s">
        <v>1514</v>
      </c>
      <c r="E3108" s="5" t="n">
        <v>2</v>
      </c>
      <c r="F3108" s="6" t="n">
        <f aca="false">IFERROR(MATCH(A3108&amp;"|"&amp;B3108&amp;"|"&amp;D3108,'All Song Rankings'!$T:$T,0),0)</f>
        <v>484</v>
      </c>
      <c r="G3108" s="6" t="str">
        <f aca="false">IF(F3108=0,"NOT FOUND",INDEX('All Song Rankings'!$A:$A,F3108))</f>
        <v>I Don't Wanna Live Forever (Fifty Shades Darker)</v>
      </c>
      <c r="H3108" s="6" t="str">
        <f aca="false">IF(F3108=0,"NOT FOUND",INDEX('All Song Rankings'!$B:$B,F3108))</f>
        <v>ZAYN</v>
      </c>
      <c r="I3108" s="6" t="str">
        <f aca="false">IF(F3108=0,"NOT FOUND",INDEX('All Song Rankings'!$D:$D,F3108))</f>
        <v>Makenzie</v>
      </c>
      <c r="J3108" s="7" t="str">
        <f aca="false">IF(F3108=0,"NOT FOUND",IF(C3108=I3108,"SELF-VOTE",IF(COUNTIF($K:$K,K3108)&gt;1,"DUPLICATE","OK")))</f>
        <v>OK</v>
      </c>
      <c r="K3108" s="6" t="str">
        <f aca="false">A3108&amp;"|"&amp;B3108&amp;"|"&amp;C3108&amp;"|"&amp;D3108</f>
        <v>5|5|Christine|spotify:track:55n9yjI6qqXh5F2mYvUc2y</v>
      </c>
    </row>
    <row r="3109" customFormat="false" ht="15" hidden="false" customHeight="false" outlineLevel="0" collapsed="false">
      <c r="A3109" s="5" t="n">
        <v>5</v>
      </c>
      <c r="B3109" s="5" t="n">
        <v>5</v>
      </c>
      <c r="C3109" s="5" t="s">
        <v>637</v>
      </c>
      <c r="D3109" s="5" t="s">
        <v>1532</v>
      </c>
      <c r="E3109" s="5" t="n">
        <v>1</v>
      </c>
      <c r="F3109" s="6" t="n">
        <f aca="false">IFERROR(MATCH(A3109&amp;"|"&amp;B3109&amp;"|"&amp;D3109,'All Song Rankings'!$T:$T,0),0)</f>
        <v>491</v>
      </c>
      <c r="G3109" s="6" t="str">
        <f aca="false">IF(F3109=0,"NOT FOUND",INDEX('All Song Rankings'!$A:$A,F3109))</f>
        <v>ONE BEER (feat. Lauren Alaina &amp; Devin Dawson)</v>
      </c>
      <c r="H3109" s="6" t="str">
        <f aca="false">IF(F3109=0,"NOT FOUND",INDEX('All Song Rankings'!$B:$B,F3109))</f>
        <v>HARDY</v>
      </c>
      <c r="I3109" s="6" t="str">
        <f aca="false">IF(F3109=0,"NOT FOUND",INDEX('All Song Rankings'!$D:$D,F3109))</f>
        <v>Nicole</v>
      </c>
      <c r="J3109" s="7" t="str">
        <f aca="false">IF(F3109=0,"NOT FOUND",IF(C3109=I3109,"SELF-VOTE",IF(COUNTIF($K:$K,K3109)&gt;1,"DUPLICATE","OK")))</f>
        <v>OK</v>
      </c>
      <c r="K3109" s="6" t="str">
        <f aca="false">A3109&amp;"|"&amp;B3109&amp;"|"&amp;C3109&amp;"|"&amp;D3109</f>
        <v>5|5|Colleen|spotify:track:1G7lSPzVlGydbpeQOY2gNu</v>
      </c>
    </row>
    <row r="3110" customFormat="false" ht="15" hidden="false" customHeight="false" outlineLevel="0" collapsed="false">
      <c r="A3110" s="5" t="n">
        <v>5</v>
      </c>
      <c r="B3110" s="5" t="n">
        <v>5</v>
      </c>
      <c r="C3110" s="5" t="s">
        <v>637</v>
      </c>
      <c r="D3110" s="5" t="s">
        <v>1524</v>
      </c>
      <c r="E3110" s="5" t="n">
        <v>1</v>
      </c>
      <c r="F3110" s="6" t="n">
        <f aca="false">IFERROR(MATCH(A3110&amp;"|"&amp;B3110&amp;"|"&amp;D3110,'All Song Rankings'!$T:$T,0),0)</f>
        <v>488</v>
      </c>
      <c r="G3110" s="6" t="str">
        <f aca="false">IF(F3110=0,"NOT FOUND",INDEX('All Song Rankings'!$A:$A,F3110))</f>
        <v>Nobody Wants to Be Lonely (with Christina Aguilera)</v>
      </c>
      <c r="H3110" s="6" t="str">
        <f aca="false">IF(F3110=0,"NOT FOUND",INDEX('All Song Rankings'!$B:$B,F3110))</f>
        <v>Ricky Martin</v>
      </c>
      <c r="I3110" s="6" t="str">
        <f aca="false">IF(F3110=0,"NOT FOUND",INDEX('All Song Rankings'!$D:$D,F3110))</f>
        <v>Kristen</v>
      </c>
      <c r="J3110" s="7" t="str">
        <f aca="false">IF(F3110=0,"NOT FOUND",IF(C3110=I3110,"SELF-VOTE",IF(COUNTIF($K:$K,K3110)&gt;1,"DUPLICATE","OK")))</f>
        <v>OK</v>
      </c>
      <c r="K3110" s="6" t="str">
        <f aca="false">A3110&amp;"|"&amp;B3110&amp;"|"&amp;C3110&amp;"|"&amp;D3110</f>
        <v>5|5|Colleen|spotify:track:1OmykUh7sjL6x7U0oFZPov</v>
      </c>
    </row>
    <row r="3111" customFormat="false" ht="15" hidden="false" customHeight="false" outlineLevel="0" collapsed="false">
      <c r="A3111" s="5" t="n">
        <v>5</v>
      </c>
      <c r="B3111" s="5" t="n">
        <v>5</v>
      </c>
      <c r="C3111" s="5" t="s">
        <v>637</v>
      </c>
      <c r="D3111" s="5" t="s">
        <v>1527</v>
      </c>
      <c r="E3111" s="5" t="n">
        <v>1</v>
      </c>
      <c r="F3111" s="6" t="n">
        <f aca="false">IFERROR(MATCH(A3111&amp;"|"&amp;B3111&amp;"|"&amp;D3111,'All Song Rankings'!$T:$T,0),0)</f>
        <v>489</v>
      </c>
      <c r="G3111" s="6" t="str">
        <f aca="false">IF(F3111=0,"NOT FOUND",INDEX('All Song Rankings'!$A:$A,F3111))</f>
        <v>Beauty and the Beast - Duet</v>
      </c>
      <c r="H3111" s="6" t="str">
        <f aca="false">IF(F3111=0,"NOT FOUND",INDEX('All Song Rankings'!$B:$B,F3111))</f>
        <v>Peabo Bryson</v>
      </c>
      <c r="I3111" s="6" t="str">
        <f aca="false">IF(F3111=0,"NOT FOUND",INDEX('All Song Rankings'!$D:$D,F3111))</f>
        <v>Logan</v>
      </c>
      <c r="J3111" s="7" t="str">
        <f aca="false">IF(F3111=0,"NOT FOUND",IF(C3111=I3111,"SELF-VOTE",IF(COUNTIF($K:$K,K3111)&gt;1,"DUPLICATE","OK")))</f>
        <v>OK</v>
      </c>
      <c r="K3111" s="6" t="str">
        <f aca="false">A3111&amp;"|"&amp;B3111&amp;"|"&amp;C3111&amp;"|"&amp;D3111</f>
        <v>5|5|Colleen|spotify:track:1lb36bFPzVYUBER5QatHAY</v>
      </c>
    </row>
    <row r="3112" customFormat="false" ht="15" hidden="false" customHeight="false" outlineLevel="0" collapsed="false">
      <c r="A3112" s="5" t="n">
        <v>5</v>
      </c>
      <c r="B3112" s="5" t="n">
        <v>5</v>
      </c>
      <c r="C3112" s="5" t="s">
        <v>637</v>
      </c>
      <c r="D3112" s="5" t="s">
        <v>1505</v>
      </c>
      <c r="E3112" s="5" t="n">
        <v>1</v>
      </c>
      <c r="F3112" s="6" t="n">
        <f aca="false">IFERROR(MATCH(A3112&amp;"|"&amp;B3112&amp;"|"&amp;D3112,'All Song Rankings'!$T:$T,0),0)</f>
        <v>481</v>
      </c>
      <c r="G3112" s="6" t="str">
        <f aca="false">IF(F3112=0,"NOT FOUND",INDEX('All Song Rankings'!$A:$A,F3112))</f>
        <v>I'm a Mess (with YUNGBLUD)</v>
      </c>
      <c r="H3112" s="6" t="str">
        <f aca="false">IF(F3112=0,"NOT FOUND",INDEX('All Song Rankings'!$B:$B,F3112))</f>
        <v>Avril Lavigne</v>
      </c>
      <c r="I3112" s="6" t="str">
        <f aca="false">IF(F3112=0,"NOT FOUND",INDEX('All Song Rankings'!$D:$D,F3112))</f>
        <v>Kelsey</v>
      </c>
      <c r="J3112" s="7" t="str">
        <f aca="false">IF(F3112=0,"NOT FOUND",IF(C3112=I3112,"SELF-VOTE",IF(COUNTIF($K:$K,K3112)&gt;1,"DUPLICATE","OK")))</f>
        <v>OK</v>
      </c>
      <c r="K3112" s="6" t="str">
        <f aca="false">A3112&amp;"|"&amp;B3112&amp;"|"&amp;C3112&amp;"|"&amp;D3112</f>
        <v>5|5|Colleen|spotify:track:1yvArCvZLTHiawRdWKSAWj</v>
      </c>
    </row>
    <row r="3113" customFormat="false" ht="15" hidden="false" customHeight="false" outlineLevel="0" collapsed="false">
      <c r="A3113" s="5" t="n">
        <v>5</v>
      </c>
      <c r="B3113" s="5" t="n">
        <v>5</v>
      </c>
      <c r="C3113" s="5" t="s">
        <v>637</v>
      </c>
      <c r="D3113" s="5" t="s">
        <v>1511</v>
      </c>
      <c r="E3113" s="5" t="n">
        <v>2</v>
      </c>
      <c r="F3113" s="6" t="n">
        <f aca="false">IFERROR(MATCH(A3113&amp;"|"&amp;B3113&amp;"|"&amp;D3113,'All Song Rankings'!$T:$T,0),0)</f>
        <v>483</v>
      </c>
      <c r="G3113" s="6" t="str">
        <f aca="false">IF(F3113=0,"NOT FOUND",INDEX('All Song Rankings'!$A:$A,F3113))</f>
        <v>Monster (Shawn Mendes &amp; Justin Bieber)</v>
      </c>
      <c r="H3113" s="6" t="str">
        <f aca="false">IF(F3113=0,"NOT FOUND",INDEX('All Song Rankings'!$B:$B,F3113))</f>
        <v>Shawn Mendes</v>
      </c>
      <c r="I3113" s="6" t="str">
        <f aca="false">IF(F3113=0,"NOT FOUND",INDEX('All Song Rankings'!$D:$D,F3113))</f>
        <v>Merita</v>
      </c>
      <c r="J3113" s="7" t="str">
        <f aca="false">IF(F3113=0,"NOT FOUND",IF(C3113=I3113,"SELF-VOTE",IF(COUNTIF($K:$K,K3113)&gt;1,"DUPLICATE","OK")))</f>
        <v>OK</v>
      </c>
      <c r="K3113" s="6" t="str">
        <f aca="false">A3113&amp;"|"&amp;B3113&amp;"|"&amp;C3113&amp;"|"&amp;D3113</f>
        <v>5|5|Colleen|spotify:track:2Z8yfpFX0ZMavHkcIeHiO1</v>
      </c>
    </row>
    <row r="3114" customFormat="false" ht="15" hidden="false" customHeight="false" outlineLevel="0" collapsed="false">
      <c r="A3114" s="5" t="n">
        <v>5</v>
      </c>
      <c r="B3114" s="5" t="n">
        <v>5</v>
      </c>
      <c r="C3114" s="5" t="s">
        <v>637</v>
      </c>
      <c r="D3114" s="5" t="s">
        <v>1521</v>
      </c>
      <c r="E3114" s="5" t="n">
        <v>1</v>
      </c>
      <c r="F3114" s="6" t="n">
        <f aca="false">IFERROR(MATCH(A3114&amp;"|"&amp;B3114&amp;"|"&amp;D3114,'All Song Rankings'!$T:$T,0),0)</f>
        <v>487</v>
      </c>
      <c r="G3114" s="6" t="str">
        <f aca="false">IF(F3114=0,"NOT FOUND",INDEX('All Song Rankings'!$A:$A,F3114))</f>
        <v>Crazier Things (with Noah Kahan)</v>
      </c>
      <c r="H3114" s="6" t="str">
        <f aca="false">IF(F3114=0,"NOT FOUND",INDEX('All Song Rankings'!$B:$B,F3114))</f>
        <v>Chelsea Cutler</v>
      </c>
      <c r="I3114" s="6" t="str">
        <f aca="false">IF(F3114=0,"NOT FOUND",INDEX('All Song Rankings'!$D:$D,F3114))</f>
        <v>Lisa</v>
      </c>
      <c r="J3114" s="7" t="str">
        <f aca="false">IF(F3114=0,"NOT FOUND",IF(C3114=I3114,"SELF-VOTE",IF(COUNTIF($K:$K,K3114)&gt;1,"DUPLICATE","OK")))</f>
        <v>OK</v>
      </c>
      <c r="K3114" s="6" t="str">
        <f aca="false">A3114&amp;"|"&amp;B3114&amp;"|"&amp;C3114&amp;"|"&amp;D3114</f>
        <v>5|5|Colleen|spotify:track:3K7vPyMCcecKRotnu08MMP</v>
      </c>
    </row>
    <row r="3115" customFormat="false" ht="15" hidden="false" customHeight="false" outlineLevel="0" collapsed="false">
      <c r="A3115" s="5" t="n">
        <v>5</v>
      </c>
      <c r="B3115" s="5" t="n">
        <v>5</v>
      </c>
      <c r="C3115" s="5" t="s">
        <v>637</v>
      </c>
      <c r="D3115" s="5" t="s">
        <v>1508</v>
      </c>
      <c r="E3115" s="5" t="n">
        <v>1</v>
      </c>
      <c r="F3115" s="6" t="n">
        <f aca="false">IFERROR(MATCH(A3115&amp;"|"&amp;B3115&amp;"|"&amp;D3115,'All Song Rankings'!$T:$T,0),0)</f>
        <v>482</v>
      </c>
      <c r="G3115" s="6" t="str">
        <f aca="false">IF(F3115=0,"NOT FOUND",INDEX('All Song Rankings'!$A:$A,F3115))</f>
        <v>Hips Don't Lie (feat. Wyclef Jean)</v>
      </c>
      <c r="H3115" s="6" t="str">
        <f aca="false">IF(F3115=0,"NOT FOUND",INDEX('All Song Rankings'!$B:$B,F3115))</f>
        <v>Shakira</v>
      </c>
      <c r="I3115" s="6" t="str">
        <f aca="false">IF(F3115=0,"NOT FOUND",INDEX('All Song Rankings'!$D:$D,F3115))</f>
        <v>Grace</v>
      </c>
      <c r="J3115" s="7" t="str">
        <f aca="false">IF(F3115=0,"NOT FOUND",IF(C3115=I3115,"SELF-VOTE",IF(COUNTIF($K:$K,K3115)&gt;1,"DUPLICATE","OK")))</f>
        <v>OK</v>
      </c>
      <c r="K3115" s="6" t="str">
        <f aca="false">A3115&amp;"|"&amp;B3115&amp;"|"&amp;C3115&amp;"|"&amp;D3115</f>
        <v>5|5|Colleen|spotify:track:3d0WouFnFmr0K3kjeza3fF</v>
      </c>
    </row>
    <row r="3116" customFormat="false" ht="15" hidden="false" customHeight="false" outlineLevel="0" collapsed="false">
      <c r="A3116" s="5" t="n">
        <v>5</v>
      </c>
      <c r="B3116" s="5" t="n">
        <v>5</v>
      </c>
      <c r="C3116" s="5" t="s">
        <v>637</v>
      </c>
      <c r="D3116" s="5" t="s">
        <v>1502</v>
      </c>
      <c r="E3116" s="5" t="n">
        <v>2</v>
      </c>
      <c r="F3116" s="6" t="n">
        <f aca="false">IFERROR(MATCH(A3116&amp;"|"&amp;B3116&amp;"|"&amp;D3116,'All Song Rankings'!$T:$T,0),0)</f>
        <v>480</v>
      </c>
      <c r="G3116" s="6" t="str">
        <f aca="false">IF(F3116=0,"NOT FOUND",INDEX('All Song Rankings'!$A:$A,F3116))</f>
        <v>The Monster</v>
      </c>
      <c r="H3116" s="6" t="str">
        <f aca="false">IF(F3116=0,"NOT FOUND",INDEX('All Song Rankings'!$B:$B,F3116))</f>
        <v>Eminem</v>
      </c>
      <c r="I3116" s="6" t="str">
        <f aca="false">IF(F3116=0,"NOT FOUND",INDEX('All Song Rankings'!$D:$D,F3116))</f>
        <v>Leah</v>
      </c>
      <c r="J3116" s="7" t="str">
        <f aca="false">IF(F3116=0,"NOT FOUND",IF(C3116=I3116,"SELF-VOTE",IF(COUNTIF($K:$K,K3116)&gt;1,"DUPLICATE","OK")))</f>
        <v>OK</v>
      </c>
      <c r="K3116" s="6" t="str">
        <f aca="false">A3116&amp;"|"&amp;B3116&amp;"|"&amp;C3116&amp;"|"&amp;D3116</f>
        <v>5|5|Colleen|spotify:track:48RrDBpOSSl1aLVCalGl5C</v>
      </c>
    </row>
    <row r="3117" customFormat="false" ht="15" hidden="false" customHeight="false" outlineLevel="0" collapsed="false">
      <c r="A3117" s="5" t="n">
        <v>5</v>
      </c>
      <c r="B3117" s="5" t="n">
        <v>5</v>
      </c>
      <c r="C3117" s="5" t="s">
        <v>382</v>
      </c>
      <c r="D3117" s="5" t="s">
        <v>1527</v>
      </c>
      <c r="E3117" s="5" t="n">
        <v>2</v>
      </c>
      <c r="F3117" s="6" t="n">
        <f aca="false">IFERROR(MATCH(A3117&amp;"|"&amp;B3117&amp;"|"&amp;D3117,'All Song Rankings'!$T:$T,0),0)</f>
        <v>489</v>
      </c>
      <c r="G3117" s="6" t="str">
        <f aca="false">IF(F3117=0,"NOT FOUND",INDEX('All Song Rankings'!$A:$A,F3117))</f>
        <v>Beauty and the Beast - Duet</v>
      </c>
      <c r="H3117" s="6" t="str">
        <f aca="false">IF(F3117=0,"NOT FOUND",INDEX('All Song Rankings'!$B:$B,F3117))</f>
        <v>Peabo Bryson</v>
      </c>
      <c r="I3117" s="6" t="str">
        <f aca="false">IF(F3117=0,"NOT FOUND",INDEX('All Song Rankings'!$D:$D,F3117))</f>
        <v>Logan</v>
      </c>
      <c r="J3117" s="7" t="str">
        <f aca="false">IF(F3117=0,"NOT FOUND",IF(C3117=I3117,"SELF-VOTE",IF(COUNTIF($K:$K,K3117)&gt;1,"DUPLICATE","OK")))</f>
        <v>OK</v>
      </c>
      <c r="K3117" s="6" t="str">
        <f aca="false">A3117&amp;"|"&amp;B3117&amp;"|"&amp;C3117&amp;"|"&amp;D3117</f>
        <v>5|5|Grace|spotify:track:1lb36bFPzVYUBER5QatHAY</v>
      </c>
    </row>
    <row r="3118" customFormat="false" ht="15" hidden="false" customHeight="false" outlineLevel="0" collapsed="false">
      <c r="A3118" s="5" t="n">
        <v>5</v>
      </c>
      <c r="B3118" s="5" t="n">
        <v>5</v>
      </c>
      <c r="C3118" s="5" t="s">
        <v>382</v>
      </c>
      <c r="D3118" s="5" t="s">
        <v>1530</v>
      </c>
      <c r="E3118" s="5" t="n">
        <v>2</v>
      </c>
      <c r="F3118" s="6" t="n">
        <f aca="false">IFERROR(MATCH(A3118&amp;"|"&amp;B3118&amp;"|"&amp;D3118,'All Song Rankings'!$T:$T,0),0)</f>
        <v>490</v>
      </c>
      <c r="G3118" s="6" t="str">
        <f aca="false">IF(F3118=0,"NOT FOUND",INDEX('All Song Rankings'!$A:$A,F3118))</f>
        <v>No More Tears (Enough Is Enough) (feat. Donna Summer)</v>
      </c>
      <c r="H3118" s="6" t="str">
        <f aca="false">IF(F3118=0,"NOT FOUND",INDEX('All Song Rankings'!$B:$B,F3118))</f>
        <v>Barbra Streisand</v>
      </c>
      <c r="I3118" s="6" t="str">
        <f aca="false">IF(F3118=0,"NOT FOUND",INDEX('All Song Rankings'!$D:$D,F3118))</f>
        <v>Christine</v>
      </c>
      <c r="J3118" s="7" t="str">
        <f aca="false">IF(F3118=0,"NOT FOUND",IF(C3118=I3118,"SELF-VOTE",IF(COUNTIF($K:$K,K3118)&gt;1,"DUPLICATE","OK")))</f>
        <v>OK</v>
      </c>
      <c r="K3118" s="6" t="str">
        <f aca="false">A3118&amp;"|"&amp;B3118&amp;"|"&amp;C3118&amp;"|"&amp;D3118</f>
        <v>5|5|Grace|spotify:track:1wSPm3y4Lk6ABkVxCmwkZx</v>
      </c>
    </row>
    <row r="3119" customFormat="false" ht="15" hidden="false" customHeight="false" outlineLevel="0" collapsed="false">
      <c r="A3119" s="5" t="n">
        <v>5</v>
      </c>
      <c r="B3119" s="5" t="n">
        <v>5</v>
      </c>
      <c r="C3119" s="5" t="s">
        <v>382</v>
      </c>
      <c r="D3119" s="5" t="s">
        <v>1505</v>
      </c>
      <c r="E3119" s="5" t="n">
        <v>3</v>
      </c>
      <c r="F3119" s="6" t="n">
        <f aca="false">IFERROR(MATCH(A3119&amp;"|"&amp;B3119&amp;"|"&amp;D3119,'All Song Rankings'!$T:$T,0),0)</f>
        <v>481</v>
      </c>
      <c r="G3119" s="6" t="str">
        <f aca="false">IF(F3119=0,"NOT FOUND",INDEX('All Song Rankings'!$A:$A,F3119))</f>
        <v>I'm a Mess (with YUNGBLUD)</v>
      </c>
      <c r="H3119" s="6" t="str">
        <f aca="false">IF(F3119=0,"NOT FOUND",INDEX('All Song Rankings'!$B:$B,F3119))</f>
        <v>Avril Lavigne</v>
      </c>
      <c r="I3119" s="6" t="str">
        <f aca="false">IF(F3119=0,"NOT FOUND",INDEX('All Song Rankings'!$D:$D,F3119))</f>
        <v>Kelsey</v>
      </c>
      <c r="J3119" s="7" t="str">
        <f aca="false">IF(F3119=0,"NOT FOUND",IF(C3119=I3119,"SELF-VOTE",IF(COUNTIF($K:$K,K3119)&gt;1,"DUPLICATE","OK")))</f>
        <v>OK</v>
      </c>
      <c r="K3119" s="6" t="str">
        <f aca="false">A3119&amp;"|"&amp;B3119&amp;"|"&amp;C3119&amp;"|"&amp;D3119</f>
        <v>5|5|Grace|spotify:track:1yvArCvZLTHiawRdWKSAWj</v>
      </c>
    </row>
    <row r="3120" customFormat="false" ht="15" hidden="false" customHeight="false" outlineLevel="0" collapsed="false">
      <c r="A3120" s="5" t="n">
        <v>5</v>
      </c>
      <c r="B3120" s="5" t="n">
        <v>5</v>
      </c>
      <c r="C3120" s="5" t="s">
        <v>382</v>
      </c>
      <c r="D3120" s="5" t="s">
        <v>1511</v>
      </c>
      <c r="E3120" s="5" t="n">
        <v>1</v>
      </c>
      <c r="F3120" s="6" t="n">
        <f aca="false">IFERROR(MATCH(A3120&amp;"|"&amp;B3120&amp;"|"&amp;D3120,'All Song Rankings'!$T:$T,0),0)</f>
        <v>483</v>
      </c>
      <c r="G3120" s="6" t="str">
        <f aca="false">IF(F3120=0,"NOT FOUND",INDEX('All Song Rankings'!$A:$A,F3120))</f>
        <v>Monster (Shawn Mendes &amp; Justin Bieber)</v>
      </c>
      <c r="H3120" s="6" t="str">
        <f aca="false">IF(F3120=0,"NOT FOUND",INDEX('All Song Rankings'!$B:$B,F3120))</f>
        <v>Shawn Mendes</v>
      </c>
      <c r="I3120" s="6" t="str">
        <f aca="false">IF(F3120=0,"NOT FOUND",INDEX('All Song Rankings'!$D:$D,F3120))</f>
        <v>Merita</v>
      </c>
      <c r="J3120" s="7" t="str">
        <f aca="false">IF(F3120=0,"NOT FOUND",IF(C3120=I3120,"SELF-VOTE",IF(COUNTIF($K:$K,K3120)&gt;1,"DUPLICATE","OK")))</f>
        <v>OK</v>
      </c>
      <c r="K3120" s="6" t="str">
        <f aca="false">A3120&amp;"|"&amp;B3120&amp;"|"&amp;C3120&amp;"|"&amp;D3120</f>
        <v>5|5|Grace|spotify:track:2Z8yfpFX0ZMavHkcIeHiO1</v>
      </c>
    </row>
    <row r="3121" customFormat="false" ht="15" hidden="false" customHeight="false" outlineLevel="0" collapsed="false">
      <c r="A3121" s="5" t="n">
        <v>5</v>
      </c>
      <c r="B3121" s="5" t="n">
        <v>5</v>
      </c>
      <c r="C3121" s="5" t="s">
        <v>382</v>
      </c>
      <c r="D3121" s="5" t="s">
        <v>1521</v>
      </c>
      <c r="E3121" s="5" t="n">
        <v>1</v>
      </c>
      <c r="F3121" s="6" t="n">
        <f aca="false">IFERROR(MATCH(A3121&amp;"|"&amp;B3121&amp;"|"&amp;D3121,'All Song Rankings'!$T:$T,0),0)</f>
        <v>487</v>
      </c>
      <c r="G3121" s="6" t="str">
        <f aca="false">IF(F3121=0,"NOT FOUND",INDEX('All Song Rankings'!$A:$A,F3121))</f>
        <v>Crazier Things (with Noah Kahan)</v>
      </c>
      <c r="H3121" s="6" t="str">
        <f aca="false">IF(F3121=0,"NOT FOUND",INDEX('All Song Rankings'!$B:$B,F3121))</f>
        <v>Chelsea Cutler</v>
      </c>
      <c r="I3121" s="6" t="str">
        <f aca="false">IF(F3121=0,"NOT FOUND",INDEX('All Song Rankings'!$D:$D,F3121))</f>
        <v>Lisa</v>
      </c>
      <c r="J3121" s="7" t="str">
        <f aca="false">IF(F3121=0,"NOT FOUND",IF(C3121=I3121,"SELF-VOTE",IF(COUNTIF($K:$K,K3121)&gt;1,"DUPLICATE","OK")))</f>
        <v>OK</v>
      </c>
      <c r="K3121" s="6" t="str">
        <f aca="false">A3121&amp;"|"&amp;B3121&amp;"|"&amp;C3121&amp;"|"&amp;D3121</f>
        <v>5|5|Grace|spotify:track:3K7vPyMCcecKRotnu08MMP</v>
      </c>
    </row>
    <row r="3122" customFormat="false" ht="15" hidden="false" customHeight="false" outlineLevel="0" collapsed="false">
      <c r="A3122" s="5" t="n">
        <v>5</v>
      </c>
      <c r="B3122" s="5" t="n">
        <v>5</v>
      </c>
      <c r="C3122" s="5" t="s">
        <v>382</v>
      </c>
      <c r="D3122" s="5" t="s">
        <v>1502</v>
      </c>
      <c r="E3122" s="5" t="n">
        <v>1</v>
      </c>
      <c r="F3122" s="6" t="n">
        <f aca="false">IFERROR(MATCH(A3122&amp;"|"&amp;B3122&amp;"|"&amp;D3122,'All Song Rankings'!$T:$T,0),0)</f>
        <v>480</v>
      </c>
      <c r="G3122" s="6" t="str">
        <f aca="false">IF(F3122=0,"NOT FOUND",INDEX('All Song Rankings'!$A:$A,F3122))</f>
        <v>The Monster</v>
      </c>
      <c r="H3122" s="6" t="str">
        <f aca="false">IF(F3122=0,"NOT FOUND",INDEX('All Song Rankings'!$B:$B,F3122))</f>
        <v>Eminem</v>
      </c>
      <c r="I3122" s="6" t="str">
        <f aca="false">IF(F3122=0,"NOT FOUND",INDEX('All Song Rankings'!$D:$D,F3122))</f>
        <v>Leah</v>
      </c>
      <c r="J3122" s="7" t="str">
        <f aca="false">IF(F3122=0,"NOT FOUND",IF(C3122=I3122,"SELF-VOTE",IF(COUNTIF($K:$K,K3122)&gt;1,"DUPLICATE","OK")))</f>
        <v>OK</v>
      </c>
      <c r="K3122" s="6" t="str">
        <f aca="false">A3122&amp;"|"&amp;B3122&amp;"|"&amp;C3122&amp;"|"&amp;D3122</f>
        <v>5|5|Grace|spotify:track:48RrDBpOSSl1aLVCalGl5C</v>
      </c>
    </row>
    <row r="3123" customFormat="false" ht="15" hidden="false" customHeight="false" outlineLevel="0" collapsed="false">
      <c r="A3123" s="5" t="n">
        <v>5</v>
      </c>
      <c r="B3123" s="5" t="n">
        <v>5</v>
      </c>
      <c r="C3123" s="5" t="s">
        <v>85</v>
      </c>
      <c r="D3123" s="5" t="s">
        <v>1518</v>
      </c>
      <c r="E3123" s="5" t="n">
        <v>1</v>
      </c>
      <c r="F3123" s="6" t="n">
        <f aca="false">IFERROR(MATCH(A3123&amp;"|"&amp;B3123&amp;"|"&amp;D3123,'All Song Rankings'!$T:$T,0),0)</f>
        <v>486</v>
      </c>
      <c r="G3123" s="6" t="str">
        <f aca="false">IF(F3123=0,"NOT FOUND",INDEX('All Song Rankings'!$A:$A,F3123))</f>
        <v>Shallow</v>
      </c>
      <c r="H3123" s="6" t="str">
        <f aca="false">IF(F3123=0,"NOT FOUND",INDEX('All Song Rankings'!$B:$B,F3123))</f>
        <v>Lady Gaga</v>
      </c>
      <c r="I3123" s="6" t="str">
        <f aca="false">IF(F3123=0,"NOT FOUND",INDEX('All Song Rankings'!$D:$D,F3123))</f>
        <v>Aubrey</v>
      </c>
      <c r="J3123" s="7" t="str">
        <f aca="false">IF(F3123=0,"NOT FOUND",IF(C3123=I3123,"SELF-VOTE",IF(COUNTIF($K:$K,K3123)&gt;1,"DUPLICATE","OK")))</f>
        <v>OK</v>
      </c>
      <c r="K3123" s="6" t="str">
        <f aca="false">A3123&amp;"|"&amp;B3123&amp;"|"&amp;C3123&amp;"|"&amp;D3123</f>
        <v>5|5|Kelsey|spotify:track:2VxeLyX666F8uXCJ0dZF8B</v>
      </c>
    </row>
    <row r="3124" customFormat="false" ht="15" hidden="false" customHeight="false" outlineLevel="0" collapsed="false">
      <c r="A3124" s="5" t="n">
        <v>5</v>
      </c>
      <c r="B3124" s="5" t="n">
        <v>5</v>
      </c>
      <c r="C3124" s="5" t="s">
        <v>85</v>
      </c>
      <c r="D3124" s="5" t="s">
        <v>1511</v>
      </c>
      <c r="E3124" s="5" t="n">
        <v>2</v>
      </c>
      <c r="F3124" s="6" t="n">
        <f aca="false">IFERROR(MATCH(A3124&amp;"|"&amp;B3124&amp;"|"&amp;D3124,'All Song Rankings'!$T:$T,0),0)</f>
        <v>483</v>
      </c>
      <c r="G3124" s="6" t="str">
        <f aca="false">IF(F3124=0,"NOT FOUND",INDEX('All Song Rankings'!$A:$A,F3124))</f>
        <v>Monster (Shawn Mendes &amp; Justin Bieber)</v>
      </c>
      <c r="H3124" s="6" t="str">
        <f aca="false">IF(F3124=0,"NOT FOUND",INDEX('All Song Rankings'!$B:$B,F3124))</f>
        <v>Shawn Mendes</v>
      </c>
      <c r="I3124" s="6" t="str">
        <f aca="false">IF(F3124=0,"NOT FOUND",INDEX('All Song Rankings'!$D:$D,F3124))</f>
        <v>Merita</v>
      </c>
      <c r="J3124" s="7" t="str">
        <f aca="false">IF(F3124=0,"NOT FOUND",IF(C3124=I3124,"SELF-VOTE",IF(COUNTIF($K:$K,K3124)&gt;1,"DUPLICATE","OK")))</f>
        <v>OK</v>
      </c>
      <c r="K3124" s="6" t="str">
        <f aca="false">A3124&amp;"|"&amp;B3124&amp;"|"&amp;C3124&amp;"|"&amp;D3124</f>
        <v>5|5|Kelsey|spotify:track:2Z8yfpFX0ZMavHkcIeHiO1</v>
      </c>
    </row>
    <row r="3125" customFormat="false" ht="15" hidden="false" customHeight="false" outlineLevel="0" collapsed="false">
      <c r="A3125" s="5" t="n">
        <v>5</v>
      </c>
      <c r="B3125" s="5" t="n">
        <v>5</v>
      </c>
      <c r="C3125" s="5" t="s">
        <v>85</v>
      </c>
      <c r="D3125" s="5" t="s">
        <v>1521</v>
      </c>
      <c r="E3125" s="5" t="n">
        <v>1</v>
      </c>
      <c r="F3125" s="6" t="n">
        <f aca="false">IFERROR(MATCH(A3125&amp;"|"&amp;B3125&amp;"|"&amp;D3125,'All Song Rankings'!$T:$T,0),0)</f>
        <v>487</v>
      </c>
      <c r="G3125" s="6" t="str">
        <f aca="false">IF(F3125=0,"NOT FOUND",INDEX('All Song Rankings'!$A:$A,F3125))</f>
        <v>Crazier Things (with Noah Kahan)</v>
      </c>
      <c r="H3125" s="6" t="str">
        <f aca="false">IF(F3125=0,"NOT FOUND",INDEX('All Song Rankings'!$B:$B,F3125))</f>
        <v>Chelsea Cutler</v>
      </c>
      <c r="I3125" s="6" t="str">
        <f aca="false">IF(F3125=0,"NOT FOUND",INDEX('All Song Rankings'!$D:$D,F3125))</f>
        <v>Lisa</v>
      </c>
      <c r="J3125" s="7" t="str">
        <f aca="false">IF(F3125=0,"NOT FOUND",IF(C3125=I3125,"SELF-VOTE",IF(COUNTIF($K:$K,K3125)&gt;1,"DUPLICATE","OK")))</f>
        <v>OK</v>
      </c>
      <c r="K3125" s="6" t="str">
        <f aca="false">A3125&amp;"|"&amp;B3125&amp;"|"&amp;C3125&amp;"|"&amp;D3125</f>
        <v>5|5|Kelsey|spotify:track:3K7vPyMCcecKRotnu08MMP</v>
      </c>
    </row>
    <row r="3126" customFormat="false" ht="15" hidden="false" customHeight="false" outlineLevel="0" collapsed="false">
      <c r="A3126" s="5" t="n">
        <v>5</v>
      </c>
      <c r="B3126" s="5" t="n">
        <v>5</v>
      </c>
      <c r="C3126" s="5" t="s">
        <v>85</v>
      </c>
      <c r="D3126" s="5" t="s">
        <v>1508</v>
      </c>
      <c r="E3126" s="5" t="n">
        <v>1</v>
      </c>
      <c r="F3126" s="6" t="n">
        <f aca="false">IFERROR(MATCH(A3126&amp;"|"&amp;B3126&amp;"|"&amp;D3126,'All Song Rankings'!$T:$T,0),0)</f>
        <v>482</v>
      </c>
      <c r="G3126" s="6" t="str">
        <f aca="false">IF(F3126=0,"NOT FOUND",INDEX('All Song Rankings'!$A:$A,F3126))</f>
        <v>Hips Don't Lie (feat. Wyclef Jean)</v>
      </c>
      <c r="H3126" s="6" t="str">
        <f aca="false">IF(F3126=0,"NOT FOUND",INDEX('All Song Rankings'!$B:$B,F3126))</f>
        <v>Shakira</v>
      </c>
      <c r="I3126" s="6" t="str">
        <f aca="false">IF(F3126=0,"NOT FOUND",INDEX('All Song Rankings'!$D:$D,F3126))</f>
        <v>Grace</v>
      </c>
      <c r="J3126" s="7" t="str">
        <f aca="false">IF(F3126=0,"NOT FOUND",IF(C3126=I3126,"SELF-VOTE",IF(COUNTIF($K:$K,K3126)&gt;1,"DUPLICATE","OK")))</f>
        <v>OK</v>
      </c>
      <c r="K3126" s="6" t="str">
        <f aca="false">A3126&amp;"|"&amp;B3126&amp;"|"&amp;C3126&amp;"|"&amp;D3126</f>
        <v>5|5|Kelsey|spotify:track:3d0WouFnFmr0K3kjeza3fF</v>
      </c>
    </row>
    <row r="3127" customFormat="false" ht="15" hidden="false" customHeight="false" outlineLevel="0" collapsed="false">
      <c r="A3127" s="5" t="n">
        <v>5</v>
      </c>
      <c r="B3127" s="5" t="n">
        <v>5</v>
      </c>
      <c r="C3127" s="5" t="s">
        <v>85</v>
      </c>
      <c r="D3127" s="5" t="s">
        <v>1502</v>
      </c>
      <c r="E3127" s="5" t="n">
        <v>1</v>
      </c>
      <c r="F3127" s="6" t="n">
        <f aca="false">IFERROR(MATCH(A3127&amp;"|"&amp;B3127&amp;"|"&amp;D3127,'All Song Rankings'!$T:$T,0),0)</f>
        <v>480</v>
      </c>
      <c r="G3127" s="6" t="str">
        <f aca="false">IF(F3127=0,"NOT FOUND",INDEX('All Song Rankings'!$A:$A,F3127))</f>
        <v>The Monster</v>
      </c>
      <c r="H3127" s="6" t="str">
        <f aca="false">IF(F3127=0,"NOT FOUND",INDEX('All Song Rankings'!$B:$B,F3127))</f>
        <v>Eminem</v>
      </c>
      <c r="I3127" s="6" t="str">
        <f aca="false">IF(F3127=0,"NOT FOUND",INDEX('All Song Rankings'!$D:$D,F3127))</f>
        <v>Leah</v>
      </c>
      <c r="J3127" s="7" t="str">
        <f aca="false">IF(F3127=0,"NOT FOUND",IF(C3127=I3127,"SELF-VOTE",IF(COUNTIF($K:$K,K3127)&gt;1,"DUPLICATE","OK")))</f>
        <v>OK</v>
      </c>
      <c r="K3127" s="6" t="str">
        <f aca="false">A3127&amp;"|"&amp;B3127&amp;"|"&amp;C3127&amp;"|"&amp;D3127</f>
        <v>5|5|Kelsey|spotify:track:48RrDBpOSSl1aLVCalGl5C</v>
      </c>
    </row>
    <row r="3128" customFormat="false" ht="15" hidden="false" customHeight="false" outlineLevel="0" collapsed="false">
      <c r="A3128" s="5" t="n">
        <v>5</v>
      </c>
      <c r="B3128" s="5" t="n">
        <v>5</v>
      </c>
      <c r="C3128" s="5" t="s">
        <v>85</v>
      </c>
      <c r="D3128" s="5" t="s">
        <v>1514</v>
      </c>
      <c r="E3128" s="5" t="n">
        <v>1</v>
      </c>
      <c r="F3128" s="6" t="n">
        <f aca="false">IFERROR(MATCH(A3128&amp;"|"&amp;B3128&amp;"|"&amp;D3128,'All Song Rankings'!$T:$T,0),0)</f>
        <v>484</v>
      </c>
      <c r="G3128" s="6" t="str">
        <f aca="false">IF(F3128=0,"NOT FOUND",INDEX('All Song Rankings'!$A:$A,F3128))</f>
        <v>I Don't Wanna Live Forever (Fifty Shades Darker)</v>
      </c>
      <c r="H3128" s="6" t="str">
        <f aca="false">IF(F3128=0,"NOT FOUND",INDEX('All Song Rankings'!$B:$B,F3128))</f>
        <v>ZAYN</v>
      </c>
      <c r="I3128" s="6" t="str">
        <f aca="false">IF(F3128=0,"NOT FOUND",INDEX('All Song Rankings'!$D:$D,F3128))</f>
        <v>Makenzie</v>
      </c>
      <c r="J3128" s="7" t="str">
        <f aca="false">IF(F3128=0,"NOT FOUND",IF(C3128=I3128,"SELF-VOTE",IF(COUNTIF($K:$K,K3128)&gt;1,"DUPLICATE","OK")))</f>
        <v>OK</v>
      </c>
      <c r="K3128" s="6" t="str">
        <f aca="false">A3128&amp;"|"&amp;B3128&amp;"|"&amp;C3128&amp;"|"&amp;D3128</f>
        <v>5|5|Kelsey|spotify:track:55n9yjI6qqXh5F2mYvUc2y</v>
      </c>
    </row>
    <row r="3129" customFormat="false" ht="15" hidden="false" customHeight="false" outlineLevel="0" collapsed="false">
      <c r="A3129" s="5" t="n">
        <v>5</v>
      </c>
      <c r="B3129" s="5" t="n">
        <v>5</v>
      </c>
      <c r="C3129" s="5" t="s">
        <v>85</v>
      </c>
      <c r="D3129" s="5" t="s">
        <v>1516</v>
      </c>
      <c r="E3129" s="5" t="n">
        <v>3</v>
      </c>
      <c r="F3129" s="6" t="n">
        <f aca="false">IFERROR(MATCH(A3129&amp;"|"&amp;B3129&amp;"|"&amp;D3129,'All Song Rankings'!$T:$T,0),0)</f>
        <v>485</v>
      </c>
      <c r="G3129" s="6" t="str">
        <f aca="false">IF(F3129=0,"NOT FOUND",INDEX('All Song Rankings'!$A:$A,F3129))</f>
        <v>I Had Some Help (Feat. Morgan Wallen)</v>
      </c>
      <c r="H3129" s="6" t="str">
        <f aca="false">IF(F3129=0,"NOT FOUND",INDEX('All Song Rankings'!$B:$B,F3129))</f>
        <v>Post Malone</v>
      </c>
      <c r="I3129" s="6" t="str">
        <f aca="false">IF(F3129=0,"NOT FOUND",INDEX('All Song Rankings'!$D:$D,F3129))</f>
        <v>Colleen</v>
      </c>
      <c r="J3129" s="7" t="str">
        <f aca="false">IF(F3129=0,"NOT FOUND",IF(C3129=I3129,"SELF-VOTE",IF(COUNTIF($K:$K,K3129)&gt;1,"DUPLICATE","OK")))</f>
        <v>OK</v>
      </c>
      <c r="K3129" s="6" t="str">
        <f aca="false">A3129&amp;"|"&amp;B3129&amp;"|"&amp;C3129&amp;"|"&amp;D3129</f>
        <v>5|5|Kelsey|spotify:track:5IZXB5IKAD2qlvTPJYDCFB</v>
      </c>
    </row>
    <row r="3130" customFormat="false" ht="15" hidden="false" customHeight="false" outlineLevel="0" collapsed="false">
      <c r="A3130" s="5" t="n">
        <v>5</v>
      </c>
      <c r="B3130" s="5" t="n">
        <v>5</v>
      </c>
      <c r="C3130" s="5" t="s">
        <v>106</v>
      </c>
      <c r="D3130" s="5" t="s">
        <v>1505</v>
      </c>
      <c r="E3130" s="5" t="n">
        <v>1</v>
      </c>
      <c r="F3130" s="6" t="n">
        <f aca="false">IFERROR(MATCH(A3130&amp;"|"&amp;B3130&amp;"|"&amp;D3130,'All Song Rankings'!$T:$T,0),0)</f>
        <v>481</v>
      </c>
      <c r="G3130" s="6" t="str">
        <f aca="false">IF(F3130=0,"NOT FOUND",INDEX('All Song Rankings'!$A:$A,F3130))</f>
        <v>I'm a Mess (with YUNGBLUD)</v>
      </c>
      <c r="H3130" s="6" t="str">
        <f aca="false">IF(F3130=0,"NOT FOUND",INDEX('All Song Rankings'!$B:$B,F3130))</f>
        <v>Avril Lavigne</v>
      </c>
      <c r="I3130" s="6" t="str">
        <f aca="false">IF(F3130=0,"NOT FOUND",INDEX('All Song Rankings'!$D:$D,F3130))</f>
        <v>Kelsey</v>
      </c>
      <c r="J3130" s="7" t="str">
        <f aca="false">IF(F3130=0,"NOT FOUND",IF(C3130=I3130,"SELF-VOTE",IF(COUNTIF($K:$K,K3130)&gt;1,"DUPLICATE","OK")))</f>
        <v>OK</v>
      </c>
      <c r="K3130" s="6" t="str">
        <f aca="false">A3130&amp;"|"&amp;B3130&amp;"|"&amp;C3130&amp;"|"&amp;D3130</f>
        <v>5|5|Kristen|spotify:track:1yvArCvZLTHiawRdWKSAWj</v>
      </c>
    </row>
    <row r="3131" customFormat="false" ht="15" hidden="false" customHeight="false" outlineLevel="0" collapsed="false">
      <c r="A3131" s="5" t="n">
        <v>5</v>
      </c>
      <c r="B3131" s="5" t="n">
        <v>5</v>
      </c>
      <c r="C3131" s="5" t="s">
        <v>106</v>
      </c>
      <c r="D3131" s="5" t="s">
        <v>1518</v>
      </c>
      <c r="E3131" s="5" t="n">
        <v>1</v>
      </c>
      <c r="F3131" s="6" t="n">
        <f aca="false">IFERROR(MATCH(A3131&amp;"|"&amp;B3131&amp;"|"&amp;D3131,'All Song Rankings'!$T:$T,0),0)</f>
        <v>486</v>
      </c>
      <c r="G3131" s="6" t="str">
        <f aca="false">IF(F3131=0,"NOT FOUND",INDEX('All Song Rankings'!$A:$A,F3131))</f>
        <v>Shallow</v>
      </c>
      <c r="H3131" s="6" t="str">
        <f aca="false">IF(F3131=0,"NOT FOUND",INDEX('All Song Rankings'!$B:$B,F3131))</f>
        <v>Lady Gaga</v>
      </c>
      <c r="I3131" s="6" t="str">
        <f aca="false">IF(F3131=0,"NOT FOUND",INDEX('All Song Rankings'!$D:$D,F3131))</f>
        <v>Aubrey</v>
      </c>
      <c r="J3131" s="7" t="str">
        <f aca="false">IF(F3131=0,"NOT FOUND",IF(C3131=I3131,"SELF-VOTE",IF(COUNTIF($K:$K,K3131)&gt;1,"DUPLICATE","OK")))</f>
        <v>OK</v>
      </c>
      <c r="K3131" s="6" t="str">
        <f aca="false">A3131&amp;"|"&amp;B3131&amp;"|"&amp;C3131&amp;"|"&amp;D3131</f>
        <v>5|5|Kristen|spotify:track:2VxeLyX666F8uXCJ0dZF8B</v>
      </c>
    </row>
    <row r="3132" customFormat="false" ht="15" hidden="false" customHeight="false" outlineLevel="0" collapsed="false">
      <c r="A3132" s="5" t="n">
        <v>5</v>
      </c>
      <c r="B3132" s="5" t="n">
        <v>5</v>
      </c>
      <c r="C3132" s="5" t="s">
        <v>106</v>
      </c>
      <c r="D3132" s="5" t="s">
        <v>1511</v>
      </c>
      <c r="E3132" s="5" t="n">
        <v>1</v>
      </c>
      <c r="F3132" s="6" t="n">
        <f aca="false">IFERROR(MATCH(A3132&amp;"|"&amp;B3132&amp;"|"&amp;D3132,'All Song Rankings'!$T:$T,0),0)</f>
        <v>483</v>
      </c>
      <c r="G3132" s="6" t="str">
        <f aca="false">IF(F3132=0,"NOT FOUND",INDEX('All Song Rankings'!$A:$A,F3132))</f>
        <v>Monster (Shawn Mendes &amp; Justin Bieber)</v>
      </c>
      <c r="H3132" s="6" t="str">
        <f aca="false">IF(F3132=0,"NOT FOUND",INDEX('All Song Rankings'!$B:$B,F3132))</f>
        <v>Shawn Mendes</v>
      </c>
      <c r="I3132" s="6" t="str">
        <f aca="false">IF(F3132=0,"NOT FOUND",INDEX('All Song Rankings'!$D:$D,F3132))</f>
        <v>Merita</v>
      </c>
      <c r="J3132" s="7" t="str">
        <f aca="false">IF(F3132=0,"NOT FOUND",IF(C3132=I3132,"SELF-VOTE",IF(COUNTIF($K:$K,K3132)&gt;1,"DUPLICATE","OK")))</f>
        <v>OK</v>
      </c>
      <c r="K3132" s="6" t="str">
        <f aca="false">A3132&amp;"|"&amp;B3132&amp;"|"&amp;C3132&amp;"|"&amp;D3132</f>
        <v>5|5|Kristen|spotify:track:2Z8yfpFX0ZMavHkcIeHiO1</v>
      </c>
    </row>
    <row r="3133" customFormat="false" ht="15" hidden="false" customHeight="false" outlineLevel="0" collapsed="false">
      <c r="A3133" s="5" t="n">
        <v>5</v>
      </c>
      <c r="B3133" s="5" t="n">
        <v>5</v>
      </c>
      <c r="C3133" s="5" t="s">
        <v>106</v>
      </c>
      <c r="D3133" s="5" t="s">
        <v>1534</v>
      </c>
      <c r="E3133" s="5" t="n">
        <v>1</v>
      </c>
      <c r="F3133" s="6" t="n">
        <f aca="false">IFERROR(MATCH(A3133&amp;"|"&amp;B3133&amp;"|"&amp;D3133,'All Song Rankings'!$T:$T,0),0)</f>
        <v>492</v>
      </c>
      <c r="G3133" s="6" t="str">
        <f aca="false">IF(F3133=0,"NOT FOUND",INDEX('All Song Rankings'!$A:$A,F3133))</f>
        <v>The Prince of Egypt (When You Believe)</v>
      </c>
      <c r="H3133" s="6" t="str">
        <f aca="false">IF(F3133=0,"NOT FOUND",INDEX('All Song Rankings'!$B:$B,F3133))</f>
        <v>Mariah Carey</v>
      </c>
      <c r="I3133" s="6" t="str">
        <f aca="false">IF(F3133=0,"NOT FOUND",INDEX('All Song Rankings'!$D:$D,F3133))</f>
        <v>Stephanie</v>
      </c>
      <c r="J3133" s="7" t="str">
        <f aca="false">IF(F3133=0,"NOT FOUND",IF(C3133=I3133,"SELF-VOTE",IF(COUNTIF($K:$K,K3133)&gt;1,"DUPLICATE","OK")))</f>
        <v>OK</v>
      </c>
      <c r="K3133" s="6" t="str">
        <f aca="false">A3133&amp;"|"&amp;B3133&amp;"|"&amp;C3133&amp;"|"&amp;D3133</f>
        <v>5|5|Kristen|spotify:track:2eGxZNPQVTWjXSKazFQOMg</v>
      </c>
    </row>
    <row r="3134" customFormat="false" ht="15" hidden="false" customHeight="false" outlineLevel="0" collapsed="false">
      <c r="A3134" s="5" t="n">
        <v>5</v>
      </c>
      <c r="B3134" s="5" t="n">
        <v>5</v>
      </c>
      <c r="C3134" s="5" t="s">
        <v>106</v>
      </c>
      <c r="D3134" s="5" t="s">
        <v>1521</v>
      </c>
      <c r="E3134" s="5" t="n">
        <v>2</v>
      </c>
      <c r="F3134" s="6" t="n">
        <f aca="false">IFERROR(MATCH(A3134&amp;"|"&amp;B3134&amp;"|"&amp;D3134,'All Song Rankings'!$T:$T,0),0)</f>
        <v>487</v>
      </c>
      <c r="G3134" s="6" t="str">
        <f aca="false">IF(F3134=0,"NOT FOUND",INDEX('All Song Rankings'!$A:$A,F3134))</f>
        <v>Crazier Things (with Noah Kahan)</v>
      </c>
      <c r="H3134" s="6" t="str">
        <f aca="false">IF(F3134=0,"NOT FOUND",INDEX('All Song Rankings'!$B:$B,F3134))</f>
        <v>Chelsea Cutler</v>
      </c>
      <c r="I3134" s="6" t="str">
        <f aca="false">IF(F3134=0,"NOT FOUND",INDEX('All Song Rankings'!$D:$D,F3134))</f>
        <v>Lisa</v>
      </c>
      <c r="J3134" s="7" t="str">
        <f aca="false">IF(F3134=0,"NOT FOUND",IF(C3134=I3134,"SELF-VOTE",IF(COUNTIF($K:$K,K3134)&gt;1,"DUPLICATE","OK")))</f>
        <v>OK</v>
      </c>
      <c r="K3134" s="6" t="str">
        <f aca="false">A3134&amp;"|"&amp;B3134&amp;"|"&amp;C3134&amp;"|"&amp;D3134</f>
        <v>5|5|Kristen|spotify:track:3K7vPyMCcecKRotnu08MMP</v>
      </c>
    </row>
    <row r="3135" customFormat="false" ht="15" hidden="false" customHeight="false" outlineLevel="0" collapsed="false">
      <c r="A3135" s="5" t="n">
        <v>5</v>
      </c>
      <c r="B3135" s="5" t="n">
        <v>5</v>
      </c>
      <c r="C3135" s="5" t="s">
        <v>106</v>
      </c>
      <c r="D3135" s="5" t="s">
        <v>1508</v>
      </c>
      <c r="E3135" s="5" t="n">
        <v>1</v>
      </c>
      <c r="F3135" s="6" t="n">
        <f aca="false">IFERROR(MATCH(A3135&amp;"|"&amp;B3135&amp;"|"&amp;D3135,'All Song Rankings'!$T:$T,0),0)</f>
        <v>482</v>
      </c>
      <c r="G3135" s="6" t="str">
        <f aca="false">IF(F3135=0,"NOT FOUND",INDEX('All Song Rankings'!$A:$A,F3135))</f>
        <v>Hips Don't Lie (feat. Wyclef Jean)</v>
      </c>
      <c r="H3135" s="6" t="str">
        <f aca="false">IF(F3135=0,"NOT FOUND",INDEX('All Song Rankings'!$B:$B,F3135))</f>
        <v>Shakira</v>
      </c>
      <c r="I3135" s="6" t="str">
        <f aca="false">IF(F3135=0,"NOT FOUND",INDEX('All Song Rankings'!$D:$D,F3135))</f>
        <v>Grace</v>
      </c>
      <c r="J3135" s="7" t="str">
        <f aca="false">IF(F3135=0,"NOT FOUND",IF(C3135=I3135,"SELF-VOTE",IF(COUNTIF($K:$K,K3135)&gt;1,"DUPLICATE","OK")))</f>
        <v>OK</v>
      </c>
      <c r="K3135" s="6" t="str">
        <f aca="false">A3135&amp;"|"&amp;B3135&amp;"|"&amp;C3135&amp;"|"&amp;D3135</f>
        <v>5|5|Kristen|spotify:track:3d0WouFnFmr0K3kjeza3fF</v>
      </c>
    </row>
    <row r="3136" customFormat="false" ht="15" hidden="false" customHeight="false" outlineLevel="0" collapsed="false">
      <c r="A3136" s="5" t="n">
        <v>5</v>
      </c>
      <c r="B3136" s="5" t="n">
        <v>5</v>
      </c>
      <c r="C3136" s="5" t="s">
        <v>106</v>
      </c>
      <c r="D3136" s="5" t="s">
        <v>1502</v>
      </c>
      <c r="E3136" s="5" t="n">
        <v>1</v>
      </c>
      <c r="F3136" s="6" t="n">
        <f aca="false">IFERROR(MATCH(A3136&amp;"|"&amp;B3136&amp;"|"&amp;D3136,'All Song Rankings'!$T:$T,0),0)</f>
        <v>480</v>
      </c>
      <c r="G3136" s="6" t="str">
        <f aca="false">IF(F3136=0,"NOT FOUND",INDEX('All Song Rankings'!$A:$A,F3136))</f>
        <v>The Monster</v>
      </c>
      <c r="H3136" s="6" t="str">
        <f aca="false">IF(F3136=0,"NOT FOUND",INDEX('All Song Rankings'!$B:$B,F3136))</f>
        <v>Eminem</v>
      </c>
      <c r="I3136" s="6" t="str">
        <f aca="false">IF(F3136=0,"NOT FOUND",INDEX('All Song Rankings'!$D:$D,F3136))</f>
        <v>Leah</v>
      </c>
      <c r="J3136" s="7" t="str">
        <f aca="false">IF(F3136=0,"NOT FOUND",IF(C3136=I3136,"SELF-VOTE",IF(COUNTIF($K:$K,K3136)&gt;1,"DUPLICATE","OK")))</f>
        <v>OK</v>
      </c>
      <c r="K3136" s="6" t="str">
        <f aca="false">A3136&amp;"|"&amp;B3136&amp;"|"&amp;C3136&amp;"|"&amp;D3136</f>
        <v>5|5|Kristen|spotify:track:48RrDBpOSSl1aLVCalGl5C</v>
      </c>
    </row>
    <row r="3137" customFormat="false" ht="15" hidden="false" customHeight="false" outlineLevel="0" collapsed="false">
      <c r="A3137" s="5" t="n">
        <v>5</v>
      </c>
      <c r="B3137" s="5" t="n">
        <v>5</v>
      </c>
      <c r="C3137" s="5" t="s">
        <v>106</v>
      </c>
      <c r="D3137" s="5" t="s">
        <v>1514</v>
      </c>
      <c r="E3137" s="5" t="n">
        <v>1</v>
      </c>
      <c r="F3137" s="6" t="n">
        <f aca="false">IFERROR(MATCH(A3137&amp;"|"&amp;B3137&amp;"|"&amp;D3137,'All Song Rankings'!$T:$T,0),0)</f>
        <v>484</v>
      </c>
      <c r="G3137" s="6" t="str">
        <f aca="false">IF(F3137=0,"NOT FOUND",INDEX('All Song Rankings'!$A:$A,F3137))</f>
        <v>I Don't Wanna Live Forever (Fifty Shades Darker)</v>
      </c>
      <c r="H3137" s="6" t="str">
        <f aca="false">IF(F3137=0,"NOT FOUND",INDEX('All Song Rankings'!$B:$B,F3137))</f>
        <v>ZAYN</v>
      </c>
      <c r="I3137" s="6" t="str">
        <f aca="false">IF(F3137=0,"NOT FOUND",INDEX('All Song Rankings'!$D:$D,F3137))</f>
        <v>Makenzie</v>
      </c>
      <c r="J3137" s="7" t="str">
        <f aca="false">IF(F3137=0,"NOT FOUND",IF(C3137=I3137,"SELF-VOTE",IF(COUNTIF($K:$K,K3137)&gt;1,"DUPLICATE","OK")))</f>
        <v>OK</v>
      </c>
      <c r="K3137" s="6" t="str">
        <f aca="false">A3137&amp;"|"&amp;B3137&amp;"|"&amp;C3137&amp;"|"&amp;D3137</f>
        <v>5|5|Kristen|spotify:track:55n9yjI6qqXh5F2mYvUc2y</v>
      </c>
    </row>
    <row r="3138" customFormat="false" ht="15" hidden="false" customHeight="false" outlineLevel="0" collapsed="false">
      <c r="A3138" s="5" t="n">
        <v>5</v>
      </c>
      <c r="B3138" s="5" t="n">
        <v>5</v>
      </c>
      <c r="C3138" s="5" t="s">
        <v>106</v>
      </c>
      <c r="D3138" s="5" t="s">
        <v>1516</v>
      </c>
      <c r="E3138" s="5" t="n">
        <v>1</v>
      </c>
      <c r="F3138" s="6" t="n">
        <f aca="false">IFERROR(MATCH(A3138&amp;"|"&amp;B3138&amp;"|"&amp;D3138,'All Song Rankings'!$T:$T,0),0)</f>
        <v>485</v>
      </c>
      <c r="G3138" s="6" t="str">
        <f aca="false">IF(F3138=0,"NOT FOUND",INDEX('All Song Rankings'!$A:$A,F3138))</f>
        <v>I Had Some Help (Feat. Morgan Wallen)</v>
      </c>
      <c r="H3138" s="6" t="str">
        <f aca="false">IF(F3138=0,"NOT FOUND",INDEX('All Song Rankings'!$B:$B,F3138))</f>
        <v>Post Malone</v>
      </c>
      <c r="I3138" s="6" t="str">
        <f aca="false">IF(F3138=0,"NOT FOUND",INDEX('All Song Rankings'!$D:$D,F3138))</f>
        <v>Colleen</v>
      </c>
      <c r="J3138" s="7" t="str">
        <f aca="false">IF(F3138=0,"NOT FOUND",IF(C3138=I3138,"SELF-VOTE",IF(COUNTIF($K:$K,K3138)&gt;1,"DUPLICATE","OK")))</f>
        <v>OK</v>
      </c>
      <c r="K3138" s="6" t="str">
        <f aca="false">A3138&amp;"|"&amp;B3138&amp;"|"&amp;C3138&amp;"|"&amp;D3138</f>
        <v>5|5|Kristen|spotify:track:5IZXB5IKAD2qlvTPJYDCFB</v>
      </c>
    </row>
    <row r="3139" customFormat="false" ht="15" hidden="false" customHeight="false" outlineLevel="0" collapsed="false">
      <c r="A3139" s="5" t="n">
        <v>5</v>
      </c>
      <c r="B3139" s="5" t="n">
        <v>5</v>
      </c>
      <c r="C3139" s="5" t="s">
        <v>119</v>
      </c>
      <c r="D3139" s="5" t="s">
        <v>1532</v>
      </c>
      <c r="E3139" s="5" t="n">
        <v>1</v>
      </c>
      <c r="F3139" s="6" t="n">
        <f aca="false">IFERROR(MATCH(A3139&amp;"|"&amp;B3139&amp;"|"&amp;D3139,'All Song Rankings'!$T:$T,0),0)</f>
        <v>491</v>
      </c>
      <c r="G3139" s="6" t="str">
        <f aca="false">IF(F3139=0,"NOT FOUND",INDEX('All Song Rankings'!$A:$A,F3139))</f>
        <v>ONE BEER (feat. Lauren Alaina &amp; Devin Dawson)</v>
      </c>
      <c r="H3139" s="6" t="str">
        <f aca="false">IF(F3139=0,"NOT FOUND",INDEX('All Song Rankings'!$B:$B,F3139))</f>
        <v>HARDY</v>
      </c>
      <c r="I3139" s="6" t="str">
        <f aca="false">IF(F3139=0,"NOT FOUND",INDEX('All Song Rankings'!$D:$D,F3139))</f>
        <v>Nicole</v>
      </c>
      <c r="J3139" s="7" t="str">
        <f aca="false">IF(F3139=0,"NOT FOUND",IF(C3139=I3139,"SELF-VOTE",IF(COUNTIF($K:$K,K3139)&gt;1,"DUPLICATE","OK")))</f>
        <v>OK</v>
      </c>
      <c r="K3139" s="6" t="str">
        <f aca="false">A3139&amp;"|"&amp;B3139&amp;"|"&amp;C3139&amp;"|"&amp;D3139</f>
        <v>5|5|Leah|spotify:track:1G7lSPzVlGydbpeQOY2gNu</v>
      </c>
    </row>
    <row r="3140" customFormat="false" ht="15" hidden="false" customHeight="false" outlineLevel="0" collapsed="false">
      <c r="A3140" s="5" t="n">
        <v>5</v>
      </c>
      <c r="B3140" s="5" t="n">
        <v>5</v>
      </c>
      <c r="C3140" s="5" t="s">
        <v>119</v>
      </c>
      <c r="D3140" s="5" t="s">
        <v>1524</v>
      </c>
      <c r="E3140" s="5" t="n">
        <v>1</v>
      </c>
      <c r="F3140" s="6" t="n">
        <f aca="false">IFERROR(MATCH(A3140&amp;"|"&amp;B3140&amp;"|"&amp;D3140,'All Song Rankings'!$T:$T,0),0)</f>
        <v>488</v>
      </c>
      <c r="G3140" s="6" t="str">
        <f aca="false">IF(F3140=0,"NOT FOUND",INDEX('All Song Rankings'!$A:$A,F3140))</f>
        <v>Nobody Wants to Be Lonely (with Christina Aguilera)</v>
      </c>
      <c r="H3140" s="6" t="str">
        <f aca="false">IF(F3140=0,"NOT FOUND",INDEX('All Song Rankings'!$B:$B,F3140))</f>
        <v>Ricky Martin</v>
      </c>
      <c r="I3140" s="6" t="str">
        <f aca="false">IF(F3140=0,"NOT FOUND",INDEX('All Song Rankings'!$D:$D,F3140))</f>
        <v>Kristen</v>
      </c>
      <c r="J3140" s="7" t="str">
        <f aca="false">IF(F3140=0,"NOT FOUND",IF(C3140=I3140,"SELF-VOTE",IF(COUNTIF($K:$K,K3140)&gt;1,"DUPLICATE","OK")))</f>
        <v>OK</v>
      </c>
      <c r="K3140" s="6" t="str">
        <f aca="false">A3140&amp;"|"&amp;B3140&amp;"|"&amp;C3140&amp;"|"&amp;D3140</f>
        <v>5|5|Leah|spotify:track:1OmykUh7sjL6x7U0oFZPov</v>
      </c>
    </row>
    <row r="3141" customFormat="false" ht="15" hidden="false" customHeight="false" outlineLevel="0" collapsed="false">
      <c r="A3141" s="5" t="n">
        <v>5</v>
      </c>
      <c r="B3141" s="5" t="n">
        <v>5</v>
      </c>
      <c r="C3141" s="5" t="s">
        <v>119</v>
      </c>
      <c r="D3141" s="5" t="s">
        <v>1505</v>
      </c>
      <c r="E3141" s="5" t="n">
        <v>2</v>
      </c>
      <c r="F3141" s="6" t="n">
        <f aca="false">IFERROR(MATCH(A3141&amp;"|"&amp;B3141&amp;"|"&amp;D3141,'All Song Rankings'!$T:$T,0),0)</f>
        <v>481</v>
      </c>
      <c r="G3141" s="6" t="str">
        <f aca="false">IF(F3141=0,"NOT FOUND",INDEX('All Song Rankings'!$A:$A,F3141))</f>
        <v>I'm a Mess (with YUNGBLUD)</v>
      </c>
      <c r="H3141" s="6" t="str">
        <f aca="false">IF(F3141=0,"NOT FOUND",INDEX('All Song Rankings'!$B:$B,F3141))</f>
        <v>Avril Lavigne</v>
      </c>
      <c r="I3141" s="6" t="str">
        <f aca="false">IF(F3141=0,"NOT FOUND",INDEX('All Song Rankings'!$D:$D,F3141))</f>
        <v>Kelsey</v>
      </c>
      <c r="J3141" s="7" t="str">
        <f aca="false">IF(F3141=0,"NOT FOUND",IF(C3141=I3141,"SELF-VOTE",IF(COUNTIF($K:$K,K3141)&gt;1,"DUPLICATE","OK")))</f>
        <v>OK</v>
      </c>
      <c r="K3141" s="6" t="str">
        <f aca="false">A3141&amp;"|"&amp;B3141&amp;"|"&amp;C3141&amp;"|"&amp;D3141</f>
        <v>5|5|Leah|spotify:track:1yvArCvZLTHiawRdWKSAWj</v>
      </c>
    </row>
    <row r="3142" customFormat="false" ht="15" hidden="false" customHeight="false" outlineLevel="0" collapsed="false">
      <c r="A3142" s="5" t="n">
        <v>5</v>
      </c>
      <c r="B3142" s="5" t="n">
        <v>5</v>
      </c>
      <c r="C3142" s="5" t="s">
        <v>119</v>
      </c>
      <c r="D3142" s="5" t="s">
        <v>1518</v>
      </c>
      <c r="E3142" s="5" t="n">
        <v>1</v>
      </c>
      <c r="F3142" s="6" t="n">
        <f aca="false">IFERROR(MATCH(A3142&amp;"|"&amp;B3142&amp;"|"&amp;D3142,'All Song Rankings'!$T:$T,0),0)</f>
        <v>486</v>
      </c>
      <c r="G3142" s="6" t="str">
        <f aca="false">IF(F3142=0,"NOT FOUND",INDEX('All Song Rankings'!$A:$A,F3142))</f>
        <v>Shallow</v>
      </c>
      <c r="H3142" s="6" t="str">
        <f aca="false">IF(F3142=0,"NOT FOUND",INDEX('All Song Rankings'!$B:$B,F3142))</f>
        <v>Lady Gaga</v>
      </c>
      <c r="I3142" s="6" t="str">
        <f aca="false">IF(F3142=0,"NOT FOUND",INDEX('All Song Rankings'!$D:$D,F3142))</f>
        <v>Aubrey</v>
      </c>
      <c r="J3142" s="7" t="str">
        <f aca="false">IF(F3142=0,"NOT FOUND",IF(C3142=I3142,"SELF-VOTE",IF(COUNTIF($K:$K,K3142)&gt;1,"DUPLICATE","OK")))</f>
        <v>OK</v>
      </c>
      <c r="K3142" s="6" t="str">
        <f aca="false">A3142&amp;"|"&amp;B3142&amp;"|"&amp;C3142&amp;"|"&amp;D3142</f>
        <v>5|5|Leah|spotify:track:2VxeLyX666F8uXCJ0dZF8B</v>
      </c>
    </row>
    <row r="3143" customFormat="false" ht="15" hidden="false" customHeight="false" outlineLevel="0" collapsed="false">
      <c r="A3143" s="5" t="n">
        <v>5</v>
      </c>
      <c r="B3143" s="5" t="n">
        <v>5</v>
      </c>
      <c r="C3143" s="5" t="s">
        <v>119</v>
      </c>
      <c r="D3143" s="5" t="s">
        <v>1511</v>
      </c>
      <c r="E3143" s="5" t="n">
        <v>2</v>
      </c>
      <c r="F3143" s="6" t="n">
        <f aca="false">IFERROR(MATCH(A3143&amp;"|"&amp;B3143&amp;"|"&amp;D3143,'All Song Rankings'!$T:$T,0),0)</f>
        <v>483</v>
      </c>
      <c r="G3143" s="6" t="str">
        <f aca="false">IF(F3143=0,"NOT FOUND",INDEX('All Song Rankings'!$A:$A,F3143))</f>
        <v>Monster (Shawn Mendes &amp; Justin Bieber)</v>
      </c>
      <c r="H3143" s="6" t="str">
        <f aca="false">IF(F3143=0,"NOT FOUND",INDEX('All Song Rankings'!$B:$B,F3143))</f>
        <v>Shawn Mendes</v>
      </c>
      <c r="I3143" s="6" t="str">
        <f aca="false">IF(F3143=0,"NOT FOUND",INDEX('All Song Rankings'!$D:$D,F3143))</f>
        <v>Merita</v>
      </c>
      <c r="J3143" s="7" t="str">
        <f aca="false">IF(F3143=0,"NOT FOUND",IF(C3143=I3143,"SELF-VOTE",IF(COUNTIF($K:$K,K3143)&gt;1,"DUPLICATE","OK")))</f>
        <v>OK</v>
      </c>
      <c r="K3143" s="6" t="str">
        <f aca="false">A3143&amp;"|"&amp;B3143&amp;"|"&amp;C3143&amp;"|"&amp;D3143</f>
        <v>5|5|Leah|spotify:track:2Z8yfpFX0ZMavHkcIeHiO1</v>
      </c>
    </row>
    <row r="3144" customFormat="false" ht="15" hidden="false" customHeight="false" outlineLevel="0" collapsed="false">
      <c r="A3144" s="5" t="n">
        <v>5</v>
      </c>
      <c r="B3144" s="5" t="n">
        <v>5</v>
      </c>
      <c r="C3144" s="5" t="s">
        <v>119</v>
      </c>
      <c r="D3144" s="5" t="s">
        <v>1508</v>
      </c>
      <c r="E3144" s="5" t="n">
        <v>1</v>
      </c>
      <c r="F3144" s="6" t="n">
        <f aca="false">IFERROR(MATCH(A3144&amp;"|"&amp;B3144&amp;"|"&amp;D3144,'All Song Rankings'!$T:$T,0),0)</f>
        <v>482</v>
      </c>
      <c r="G3144" s="6" t="str">
        <f aca="false">IF(F3144=0,"NOT FOUND",INDEX('All Song Rankings'!$A:$A,F3144))</f>
        <v>Hips Don't Lie (feat. Wyclef Jean)</v>
      </c>
      <c r="H3144" s="6" t="str">
        <f aca="false">IF(F3144=0,"NOT FOUND",INDEX('All Song Rankings'!$B:$B,F3144))</f>
        <v>Shakira</v>
      </c>
      <c r="I3144" s="6" t="str">
        <f aca="false">IF(F3144=0,"NOT FOUND",INDEX('All Song Rankings'!$D:$D,F3144))</f>
        <v>Grace</v>
      </c>
      <c r="J3144" s="7" t="str">
        <f aca="false">IF(F3144=0,"NOT FOUND",IF(C3144=I3144,"SELF-VOTE",IF(COUNTIF($K:$K,K3144)&gt;1,"DUPLICATE","OK")))</f>
        <v>OK</v>
      </c>
      <c r="K3144" s="6" t="str">
        <f aca="false">A3144&amp;"|"&amp;B3144&amp;"|"&amp;C3144&amp;"|"&amp;D3144</f>
        <v>5|5|Leah|spotify:track:3d0WouFnFmr0K3kjeza3fF</v>
      </c>
    </row>
    <row r="3145" customFormat="false" ht="15" hidden="false" customHeight="false" outlineLevel="0" collapsed="false">
      <c r="A3145" s="5" t="n">
        <v>5</v>
      </c>
      <c r="B3145" s="5" t="n">
        <v>5</v>
      </c>
      <c r="C3145" s="5" t="s">
        <v>119</v>
      </c>
      <c r="D3145" s="5" t="s">
        <v>1514</v>
      </c>
      <c r="E3145" s="5" t="n">
        <v>1</v>
      </c>
      <c r="F3145" s="6" t="n">
        <f aca="false">IFERROR(MATCH(A3145&amp;"|"&amp;B3145&amp;"|"&amp;D3145,'All Song Rankings'!$T:$T,0),0)</f>
        <v>484</v>
      </c>
      <c r="G3145" s="6" t="str">
        <f aca="false">IF(F3145=0,"NOT FOUND",INDEX('All Song Rankings'!$A:$A,F3145))</f>
        <v>I Don't Wanna Live Forever (Fifty Shades Darker)</v>
      </c>
      <c r="H3145" s="6" t="str">
        <f aca="false">IF(F3145=0,"NOT FOUND",INDEX('All Song Rankings'!$B:$B,F3145))</f>
        <v>ZAYN</v>
      </c>
      <c r="I3145" s="6" t="str">
        <f aca="false">IF(F3145=0,"NOT FOUND",INDEX('All Song Rankings'!$D:$D,F3145))</f>
        <v>Makenzie</v>
      </c>
      <c r="J3145" s="7" t="str">
        <f aca="false">IF(F3145=0,"NOT FOUND",IF(C3145=I3145,"SELF-VOTE",IF(COUNTIF($K:$K,K3145)&gt;1,"DUPLICATE","OK")))</f>
        <v>OK</v>
      </c>
      <c r="K3145" s="6" t="str">
        <f aca="false">A3145&amp;"|"&amp;B3145&amp;"|"&amp;C3145&amp;"|"&amp;D3145</f>
        <v>5|5|Leah|spotify:track:55n9yjI6qqXh5F2mYvUc2y</v>
      </c>
    </row>
    <row r="3146" customFormat="false" ht="15" hidden="false" customHeight="false" outlineLevel="0" collapsed="false">
      <c r="A3146" s="5" t="n">
        <v>5</v>
      </c>
      <c r="B3146" s="5" t="n">
        <v>5</v>
      </c>
      <c r="C3146" s="5" t="s">
        <v>119</v>
      </c>
      <c r="D3146" s="5" t="s">
        <v>1516</v>
      </c>
      <c r="E3146" s="5" t="n">
        <v>1</v>
      </c>
      <c r="F3146" s="6" t="n">
        <f aca="false">IFERROR(MATCH(A3146&amp;"|"&amp;B3146&amp;"|"&amp;D3146,'All Song Rankings'!$T:$T,0),0)</f>
        <v>485</v>
      </c>
      <c r="G3146" s="6" t="str">
        <f aca="false">IF(F3146=0,"NOT FOUND",INDEX('All Song Rankings'!$A:$A,F3146))</f>
        <v>I Had Some Help (Feat. Morgan Wallen)</v>
      </c>
      <c r="H3146" s="6" t="str">
        <f aca="false">IF(F3146=0,"NOT FOUND",INDEX('All Song Rankings'!$B:$B,F3146))</f>
        <v>Post Malone</v>
      </c>
      <c r="I3146" s="6" t="str">
        <f aca="false">IF(F3146=0,"NOT FOUND",INDEX('All Song Rankings'!$D:$D,F3146))</f>
        <v>Colleen</v>
      </c>
      <c r="J3146" s="7" t="str">
        <f aca="false">IF(F3146=0,"NOT FOUND",IF(C3146=I3146,"SELF-VOTE",IF(COUNTIF($K:$K,K3146)&gt;1,"DUPLICATE","OK")))</f>
        <v>OK</v>
      </c>
      <c r="K3146" s="6" t="str">
        <f aca="false">A3146&amp;"|"&amp;B3146&amp;"|"&amp;C3146&amp;"|"&amp;D3146</f>
        <v>5|5|Leah|spotify:track:5IZXB5IKAD2qlvTPJYDCFB</v>
      </c>
    </row>
    <row r="3147" customFormat="false" ht="15" hidden="false" customHeight="false" outlineLevel="0" collapsed="false">
      <c r="A3147" s="5" t="n">
        <v>5</v>
      </c>
      <c r="B3147" s="5" t="n">
        <v>5</v>
      </c>
      <c r="C3147" s="5" t="s">
        <v>705</v>
      </c>
      <c r="D3147" s="5" t="s">
        <v>1524</v>
      </c>
      <c r="E3147" s="5" t="n">
        <v>2</v>
      </c>
      <c r="F3147" s="6" t="n">
        <f aca="false">IFERROR(MATCH(A3147&amp;"|"&amp;B3147&amp;"|"&amp;D3147,'All Song Rankings'!$T:$T,0),0)</f>
        <v>488</v>
      </c>
      <c r="G3147" s="6" t="str">
        <f aca="false">IF(F3147=0,"NOT FOUND",INDEX('All Song Rankings'!$A:$A,F3147))</f>
        <v>Nobody Wants to Be Lonely (with Christina Aguilera)</v>
      </c>
      <c r="H3147" s="6" t="str">
        <f aca="false">IF(F3147=0,"NOT FOUND",INDEX('All Song Rankings'!$B:$B,F3147))</f>
        <v>Ricky Martin</v>
      </c>
      <c r="I3147" s="6" t="str">
        <f aca="false">IF(F3147=0,"NOT FOUND",INDEX('All Song Rankings'!$D:$D,F3147))</f>
        <v>Kristen</v>
      </c>
      <c r="J3147" s="7" t="str">
        <f aca="false">IF(F3147=0,"NOT FOUND",IF(C3147=I3147,"SELF-VOTE",IF(COUNTIF($K:$K,K3147)&gt;1,"DUPLICATE","OK")))</f>
        <v>OK</v>
      </c>
      <c r="K3147" s="6" t="str">
        <f aca="false">A3147&amp;"|"&amp;B3147&amp;"|"&amp;C3147&amp;"|"&amp;D3147</f>
        <v>5|5|Lisa|spotify:track:1OmykUh7sjL6x7U0oFZPov</v>
      </c>
    </row>
    <row r="3148" customFormat="false" ht="15" hidden="false" customHeight="false" outlineLevel="0" collapsed="false">
      <c r="A3148" s="5" t="n">
        <v>5</v>
      </c>
      <c r="B3148" s="5" t="n">
        <v>5</v>
      </c>
      <c r="C3148" s="5" t="s">
        <v>705</v>
      </c>
      <c r="D3148" s="5" t="s">
        <v>1527</v>
      </c>
      <c r="E3148" s="5" t="n">
        <v>1</v>
      </c>
      <c r="F3148" s="6" t="n">
        <f aca="false">IFERROR(MATCH(A3148&amp;"|"&amp;B3148&amp;"|"&amp;D3148,'All Song Rankings'!$T:$T,0),0)</f>
        <v>489</v>
      </c>
      <c r="G3148" s="6" t="str">
        <f aca="false">IF(F3148=0,"NOT FOUND",INDEX('All Song Rankings'!$A:$A,F3148))</f>
        <v>Beauty and the Beast - Duet</v>
      </c>
      <c r="H3148" s="6" t="str">
        <f aca="false">IF(F3148=0,"NOT FOUND",INDEX('All Song Rankings'!$B:$B,F3148))</f>
        <v>Peabo Bryson</v>
      </c>
      <c r="I3148" s="6" t="str">
        <f aca="false">IF(F3148=0,"NOT FOUND",INDEX('All Song Rankings'!$D:$D,F3148))</f>
        <v>Logan</v>
      </c>
      <c r="J3148" s="7" t="str">
        <f aca="false">IF(F3148=0,"NOT FOUND",IF(C3148=I3148,"SELF-VOTE",IF(COUNTIF($K:$K,K3148)&gt;1,"DUPLICATE","OK")))</f>
        <v>OK</v>
      </c>
      <c r="K3148" s="6" t="str">
        <f aca="false">A3148&amp;"|"&amp;B3148&amp;"|"&amp;C3148&amp;"|"&amp;D3148</f>
        <v>5|5|Lisa|spotify:track:1lb36bFPzVYUBER5QatHAY</v>
      </c>
    </row>
    <row r="3149" customFormat="false" ht="15" hidden="false" customHeight="false" outlineLevel="0" collapsed="false">
      <c r="A3149" s="5" t="n">
        <v>5</v>
      </c>
      <c r="B3149" s="5" t="n">
        <v>5</v>
      </c>
      <c r="C3149" s="5" t="s">
        <v>705</v>
      </c>
      <c r="D3149" s="5" t="s">
        <v>1530</v>
      </c>
      <c r="E3149" s="5" t="n">
        <v>3</v>
      </c>
      <c r="F3149" s="6" t="n">
        <f aca="false">IFERROR(MATCH(A3149&amp;"|"&amp;B3149&amp;"|"&amp;D3149,'All Song Rankings'!$T:$T,0),0)</f>
        <v>490</v>
      </c>
      <c r="G3149" s="6" t="str">
        <f aca="false">IF(F3149=0,"NOT FOUND",INDEX('All Song Rankings'!$A:$A,F3149))</f>
        <v>No More Tears (Enough Is Enough) (feat. Donna Summer)</v>
      </c>
      <c r="H3149" s="6" t="str">
        <f aca="false">IF(F3149=0,"NOT FOUND",INDEX('All Song Rankings'!$B:$B,F3149))</f>
        <v>Barbra Streisand</v>
      </c>
      <c r="I3149" s="6" t="str">
        <f aca="false">IF(F3149=0,"NOT FOUND",INDEX('All Song Rankings'!$D:$D,F3149))</f>
        <v>Christine</v>
      </c>
      <c r="J3149" s="7" t="str">
        <f aca="false">IF(F3149=0,"NOT FOUND",IF(C3149=I3149,"SELF-VOTE",IF(COUNTIF($K:$K,K3149)&gt;1,"DUPLICATE","OK")))</f>
        <v>OK</v>
      </c>
      <c r="K3149" s="6" t="str">
        <f aca="false">A3149&amp;"|"&amp;B3149&amp;"|"&amp;C3149&amp;"|"&amp;D3149</f>
        <v>5|5|Lisa|spotify:track:1wSPm3y4Lk6ABkVxCmwkZx</v>
      </c>
    </row>
    <row r="3150" customFormat="false" ht="15" hidden="false" customHeight="false" outlineLevel="0" collapsed="false">
      <c r="A3150" s="5" t="n">
        <v>5</v>
      </c>
      <c r="B3150" s="5" t="n">
        <v>5</v>
      </c>
      <c r="C3150" s="5" t="s">
        <v>705</v>
      </c>
      <c r="D3150" s="5" t="s">
        <v>1518</v>
      </c>
      <c r="E3150" s="5" t="n">
        <v>1</v>
      </c>
      <c r="F3150" s="6" t="n">
        <f aca="false">IFERROR(MATCH(A3150&amp;"|"&amp;B3150&amp;"|"&amp;D3150,'All Song Rankings'!$T:$T,0),0)</f>
        <v>486</v>
      </c>
      <c r="G3150" s="6" t="str">
        <f aca="false">IF(F3150=0,"NOT FOUND",INDEX('All Song Rankings'!$A:$A,F3150))</f>
        <v>Shallow</v>
      </c>
      <c r="H3150" s="6" t="str">
        <f aca="false">IF(F3150=0,"NOT FOUND",INDEX('All Song Rankings'!$B:$B,F3150))</f>
        <v>Lady Gaga</v>
      </c>
      <c r="I3150" s="6" t="str">
        <f aca="false">IF(F3150=0,"NOT FOUND",INDEX('All Song Rankings'!$D:$D,F3150))</f>
        <v>Aubrey</v>
      </c>
      <c r="J3150" s="7" t="str">
        <f aca="false">IF(F3150=0,"NOT FOUND",IF(C3150=I3150,"SELF-VOTE",IF(COUNTIF($K:$K,K3150)&gt;1,"DUPLICATE","OK")))</f>
        <v>OK</v>
      </c>
      <c r="K3150" s="6" t="str">
        <f aca="false">A3150&amp;"|"&amp;B3150&amp;"|"&amp;C3150&amp;"|"&amp;D3150</f>
        <v>5|5|Lisa|spotify:track:2VxeLyX666F8uXCJ0dZF8B</v>
      </c>
    </row>
    <row r="3151" customFormat="false" ht="15" hidden="false" customHeight="false" outlineLevel="0" collapsed="false">
      <c r="A3151" s="5" t="n">
        <v>5</v>
      </c>
      <c r="B3151" s="5" t="n">
        <v>5</v>
      </c>
      <c r="C3151" s="5" t="s">
        <v>705</v>
      </c>
      <c r="D3151" s="5" t="s">
        <v>1502</v>
      </c>
      <c r="E3151" s="5" t="n">
        <v>2</v>
      </c>
      <c r="F3151" s="6" t="n">
        <f aca="false">IFERROR(MATCH(A3151&amp;"|"&amp;B3151&amp;"|"&amp;D3151,'All Song Rankings'!$T:$T,0),0)</f>
        <v>480</v>
      </c>
      <c r="G3151" s="6" t="str">
        <f aca="false">IF(F3151=0,"NOT FOUND",INDEX('All Song Rankings'!$A:$A,F3151))</f>
        <v>The Monster</v>
      </c>
      <c r="H3151" s="6" t="str">
        <f aca="false">IF(F3151=0,"NOT FOUND",INDEX('All Song Rankings'!$B:$B,F3151))</f>
        <v>Eminem</v>
      </c>
      <c r="I3151" s="6" t="str">
        <f aca="false">IF(F3151=0,"NOT FOUND",INDEX('All Song Rankings'!$D:$D,F3151))</f>
        <v>Leah</v>
      </c>
      <c r="J3151" s="7" t="str">
        <f aca="false">IF(F3151=0,"NOT FOUND",IF(C3151=I3151,"SELF-VOTE",IF(COUNTIF($K:$K,K3151)&gt;1,"DUPLICATE","OK")))</f>
        <v>OK</v>
      </c>
      <c r="K3151" s="6" t="str">
        <f aca="false">A3151&amp;"|"&amp;B3151&amp;"|"&amp;C3151&amp;"|"&amp;D3151</f>
        <v>5|5|Lisa|spotify:track:48RrDBpOSSl1aLVCalGl5C</v>
      </c>
    </row>
    <row r="3152" customFormat="false" ht="15" hidden="false" customHeight="false" outlineLevel="0" collapsed="false">
      <c r="A3152" s="5" t="n">
        <v>5</v>
      </c>
      <c r="B3152" s="5" t="n">
        <v>5</v>
      </c>
      <c r="C3152" s="5" t="s">
        <v>705</v>
      </c>
      <c r="D3152" s="5" t="s">
        <v>1516</v>
      </c>
      <c r="E3152" s="5" t="n">
        <v>1</v>
      </c>
      <c r="F3152" s="6" t="n">
        <f aca="false">IFERROR(MATCH(A3152&amp;"|"&amp;B3152&amp;"|"&amp;D3152,'All Song Rankings'!$T:$T,0),0)</f>
        <v>485</v>
      </c>
      <c r="G3152" s="6" t="str">
        <f aca="false">IF(F3152=0,"NOT FOUND",INDEX('All Song Rankings'!$A:$A,F3152))</f>
        <v>I Had Some Help (Feat. Morgan Wallen)</v>
      </c>
      <c r="H3152" s="6" t="str">
        <f aca="false">IF(F3152=0,"NOT FOUND",INDEX('All Song Rankings'!$B:$B,F3152))</f>
        <v>Post Malone</v>
      </c>
      <c r="I3152" s="6" t="str">
        <f aca="false">IF(F3152=0,"NOT FOUND",INDEX('All Song Rankings'!$D:$D,F3152))</f>
        <v>Colleen</v>
      </c>
      <c r="J3152" s="7" t="str">
        <f aca="false">IF(F3152=0,"NOT FOUND",IF(C3152=I3152,"SELF-VOTE",IF(COUNTIF($K:$K,K3152)&gt;1,"DUPLICATE","OK")))</f>
        <v>OK</v>
      </c>
      <c r="K3152" s="6" t="str">
        <f aca="false">A3152&amp;"|"&amp;B3152&amp;"|"&amp;C3152&amp;"|"&amp;D3152</f>
        <v>5|5|Lisa|spotify:track:5IZXB5IKAD2qlvTPJYDCFB</v>
      </c>
    </row>
    <row r="3153" customFormat="false" ht="15" hidden="false" customHeight="false" outlineLevel="0" collapsed="false">
      <c r="A3153" s="5" t="n">
        <v>5</v>
      </c>
      <c r="B3153" s="5" t="n">
        <v>5</v>
      </c>
      <c r="C3153" s="5" t="s">
        <v>128</v>
      </c>
      <c r="D3153" s="5" t="s">
        <v>1524</v>
      </c>
      <c r="E3153" s="5" t="n">
        <v>1</v>
      </c>
      <c r="F3153" s="6" t="n">
        <f aca="false">IFERROR(MATCH(A3153&amp;"|"&amp;B3153&amp;"|"&amp;D3153,'All Song Rankings'!$T:$T,0),0)</f>
        <v>488</v>
      </c>
      <c r="G3153" s="6" t="str">
        <f aca="false">IF(F3153=0,"NOT FOUND",INDEX('All Song Rankings'!$A:$A,F3153))</f>
        <v>Nobody Wants to Be Lonely (with Christina Aguilera)</v>
      </c>
      <c r="H3153" s="6" t="str">
        <f aca="false">IF(F3153=0,"NOT FOUND",INDEX('All Song Rankings'!$B:$B,F3153))</f>
        <v>Ricky Martin</v>
      </c>
      <c r="I3153" s="6" t="str">
        <f aca="false">IF(F3153=0,"NOT FOUND",INDEX('All Song Rankings'!$D:$D,F3153))</f>
        <v>Kristen</v>
      </c>
      <c r="J3153" s="7" t="str">
        <f aca="false">IF(F3153=0,"NOT FOUND",IF(C3153=I3153,"SELF-VOTE",IF(COUNTIF($K:$K,K3153)&gt;1,"DUPLICATE","OK")))</f>
        <v>OK</v>
      </c>
      <c r="K3153" s="6" t="str">
        <f aca="false">A3153&amp;"|"&amp;B3153&amp;"|"&amp;C3153&amp;"|"&amp;D3153</f>
        <v>5|5|Logan|spotify:track:1OmykUh7sjL6x7U0oFZPov</v>
      </c>
    </row>
    <row r="3154" customFormat="false" ht="15" hidden="false" customHeight="false" outlineLevel="0" collapsed="false">
      <c r="A3154" s="5" t="n">
        <v>5</v>
      </c>
      <c r="B3154" s="5" t="n">
        <v>5</v>
      </c>
      <c r="C3154" s="5" t="s">
        <v>128</v>
      </c>
      <c r="D3154" s="5" t="s">
        <v>1518</v>
      </c>
      <c r="E3154" s="5" t="n">
        <v>2</v>
      </c>
      <c r="F3154" s="6" t="n">
        <f aca="false">IFERROR(MATCH(A3154&amp;"|"&amp;B3154&amp;"|"&amp;D3154,'All Song Rankings'!$T:$T,0),0)</f>
        <v>486</v>
      </c>
      <c r="G3154" s="6" t="str">
        <f aca="false">IF(F3154=0,"NOT FOUND",INDEX('All Song Rankings'!$A:$A,F3154))</f>
        <v>Shallow</v>
      </c>
      <c r="H3154" s="6" t="str">
        <f aca="false">IF(F3154=0,"NOT FOUND",INDEX('All Song Rankings'!$B:$B,F3154))</f>
        <v>Lady Gaga</v>
      </c>
      <c r="I3154" s="6" t="str">
        <f aca="false">IF(F3154=0,"NOT FOUND",INDEX('All Song Rankings'!$D:$D,F3154))</f>
        <v>Aubrey</v>
      </c>
      <c r="J3154" s="7" t="str">
        <f aca="false">IF(F3154=0,"NOT FOUND",IF(C3154=I3154,"SELF-VOTE",IF(COUNTIF($K:$K,K3154)&gt;1,"DUPLICATE","OK")))</f>
        <v>OK</v>
      </c>
      <c r="K3154" s="6" t="str">
        <f aca="false">A3154&amp;"|"&amp;B3154&amp;"|"&amp;C3154&amp;"|"&amp;D3154</f>
        <v>5|5|Logan|spotify:track:2VxeLyX666F8uXCJ0dZF8B</v>
      </c>
    </row>
    <row r="3155" customFormat="false" ht="15" hidden="false" customHeight="false" outlineLevel="0" collapsed="false">
      <c r="A3155" s="5" t="n">
        <v>5</v>
      </c>
      <c r="B3155" s="5" t="n">
        <v>5</v>
      </c>
      <c r="C3155" s="5" t="s">
        <v>128</v>
      </c>
      <c r="D3155" s="5" t="s">
        <v>1511</v>
      </c>
      <c r="E3155" s="5" t="n">
        <v>1</v>
      </c>
      <c r="F3155" s="6" t="n">
        <f aca="false">IFERROR(MATCH(A3155&amp;"|"&amp;B3155&amp;"|"&amp;D3155,'All Song Rankings'!$T:$T,0),0)</f>
        <v>483</v>
      </c>
      <c r="G3155" s="6" t="str">
        <f aca="false">IF(F3155=0,"NOT FOUND",INDEX('All Song Rankings'!$A:$A,F3155))</f>
        <v>Monster (Shawn Mendes &amp; Justin Bieber)</v>
      </c>
      <c r="H3155" s="6" t="str">
        <f aca="false">IF(F3155=0,"NOT FOUND",INDEX('All Song Rankings'!$B:$B,F3155))</f>
        <v>Shawn Mendes</v>
      </c>
      <c r="I3155" s="6" t="str">
        <f aca="false">IF(F3155=0,"NOT FOUND",INDEX('All Song Rankings'!$D:$D,F3155))</f>
        <v>Merita</v>
      </c>
      <c r="J3155" s="7" t="str">
        <f aca="false">IF(F3155=0,"NOT FOUND",IF(C3155=I3155,"SELF-VOTE",IF(COUNTIF($K:$K,K3155)&gt;1,"DUPLICATE","OK")))</f>
        <v>OK</v>
      </c>
      <c r="K3155" s="6" t="str">
        <f aca="false">A3155&amp;"|"&amp;B3155&amp;"|"&amp;C3155&amp;"|"&amp;D3155</f>
        <v>5|5|Logan|spotify:track:2Z8yfpFX0ZMavHkcIeHiO1</v>
      </c>
    </row>
    <row r="3156" customFormat="false" ht="15" hidden="false" customHeight="false" outlineLevel="0" collapsed="false">
      <c r="A3156" s="5" t="n">
        <v>5</v>
      </c>
      <c r="B3156" s="5" t="n">
        <v>5</v>
      </c>
      <c r="C3156" s="5" t="s">
        <v>128</v>
      </c>
      <c r="D3156" s="5" t="s">
        <v>1534</v>
      </c>
      <c r="E3156" s="5" t="n">
        <v>2</v>
      </c>
      <c r="F3156" s="6" t="n">
        <f aca="false">IFERROR(MATCH(A3156&amp;"|"&amp;B3156&amp;"|"&amp;D3156,'All Song Rankings'!$T:$T,0),0)</f>
        <v>492</v>
      </c>
      <c r="G3156" s="6" t="str">
        <f aca="false">IF(F3156=0,"NOT FOUND",INDEX('All Song Rankings'!$A:$A,F3156))</f>
        <v>The Prince of Egypt (When You Believe)</v>
      </c>
      <c r="H3156" s="6" t="str">
        <f aca="false">IF(F3156=0,"NOT FOUND",INDEX('All Song Rankings'!$B:$B,F3156))</f>
        <v>Mariah Carey</v>
      </c>
      <c r="I3156" s="6" t="str">
        <f aca="false">IF(F3156=0,"NOT FOUND",INDEX('All Song Rankings'!$D:$D,F3156))</f>
        <v>Stephanie</v>
      </c>
      <c r="J3156" s="7" t="str">
        <f aca="false">IF(F3156=0,"NOT FOUND",IF(C3156=I3156,"SELF-VOTE",IF(COUNTIF($K:$K,K3156)&gt;1,"DUPLICATE","OK")))</f>
        <v>OK</v>
      </c>
      <c r="K3156" s="6" t="str">
        <f aca="false">A3156&amp;"|"&amp;B3156&amp;"|"&amp;C3156&amp;"|"&amp;D3156</f>
        <v>5|5|Logan|spotify:track:2eGxZNPQVTWjXSKazFQOMg</v>
      </c>
    </row>
    <row r="3157" customFormat="false" ht="15" hidden="false" customHeight="false" outlineLevel="0" collapsed="false">
      <c r="A3157" s="5" t="n">
        <v>5</v>
      </c>
      <c r="B3157" s="5" t="n">
        <v>5</v>
      </c>
      <c r="C3157" s="5" t="s">
        <v>128</v>
      </c>
      <c r="D3157" s="5" t="s">
        <v>1508</v>
      </c>
      <c r="E3157" s="5" t="n">
        <v>1</v>
      </c>
      <c r="F3157" s="6" t="n">
        <f aca="false">IFERROR(MATCH(A3157&amp;"|"&amp;B3157&amp;"|"&amp;D3157,'All Song Rankings'!$T:$T,0),0)</f>
        <v>482</v>
      </c>
      <c r="G3157" s="6" t="str">
        <f aca="false">IF(F3157=0,"NOT FOUND",INDEX('All Song Rankings'!$A:$A,F3157))</f>
        <v>Hips Don't Lie (feat. Wyclef Jean)</v>
      </c>
      <c r="H3157" s="6" t="str">
        <f aca="false">IF(F3157=0,"NOT FOUND",INDEX('All Song Rankings'!$B:$B,F3157))</f>
        <v>Shakira</v>
      </c>
      <c r="I3157" s="6" t="str">
        <f aca="false">IF(F3157=0,"NOT FOUND",INDEX('All Song Rankings'!$D:$D,F3157))</f>
        <v>Grace</v>
      </c>
      <c r="J3157" s="7" t="str">
        <f aca="false">IF(F3157=0,"NOT FOUND",IF(C3157=I3157,"SELF-VOTE",IF(COUNTIF($K:$K,K3157)&gt;1,"DUPLICATE","OK")))</f>
        <v>OK</v>
      </c>
      <c r="K3157" s="6" t="str">
        <f aca="false">A3157&amp;"|"&amp;B3157&amp;"|"&amp;C3157&amp;"|"&amp;D3157</f>
        <v>5|5|Logan|spotify:track:3d0WouFnFmr0K3kjeza3fF</v>
      </c>
    </row>
    <row r="3158" customFormat="false" ht="15" hidden="false" customHeight="false" outlineLevel="0" collapsed="false">
      <c r="A3158" s="5" t="n">
        <v>5</v>
      </c>
      <c r="B3158" s="5" t="n">
        <v>5</v>
      </c>
      <c r="C3158" s="5" t="s">
        <v>128</v>
      </c>
      <c r="D3158" s="5" t="s">
        <v>1502</v>
      </c>
      <c r="E3158" s="5" t="n">
        <v>1</v>
      </c>
      <c r="F3158" s="6" t="n">
        <f aca="false">IFERROR(MATCH(A3158&amp;"|"&amp;B3158&amp;"|"&amp;D3158,'All Song Rankings'!$T:$T,0),0)</f>
        <v>480</v>
      </c>
      <c r="G3158" s="6" t="str">
        <f aca="false">IF(F3158=0,"NOT FOUND",INDEX('All Song Rankings'!$A:$A,F3158))</f>
        <v>The Monster</v>
      </c>
      <c r="H3158" s="6" t="str">
        <f aca="false">IF(F3158=0,"NOT FOUND",INDEX('All Song Rankings'!$B:$B,F3158))</f>
        <v>Eminem</v>
      </c>
      <c r="I3158" s="6" t="str">
        <f aca="false">IF(F3158=0,"NOT FOUND",INDEX('All Song Rankings'!$D:$D,F3158))</f>
        <v>Leah</v>
      </c>
      <c r="J3158" s="7" t="str">
        <f aca="false">IF(F3158=0,"NOT FOUND",IF(C3158=I3158,"SELF-VOTE",IF(COUNTIF($K:$K,K3158)&gt;1,"DUPLICATE","OK")))</f>
        <v>OK</v>
      </c>
      <c r="K3158" s="6" t="str">
        <f aca="false">A3158&amp;"|"&amp;B3158&amp;"|"&amp;C3158&amp;"|"&amp;D3158</f>
        <v>5|5|Logan|spotify:track:48RrDBpOSSl1aLVCalGl5C</v>
      </c>
    </row>
    <row r="3159" customFormat="false" ht="15" hidden="false" customHeight="false" outlineLevel="0" collapsed="false">
      <c r="A3159" s="5" t="n">
        <v>5</v>
      </c>
      <c r="B3159" s="5" t="n">
        <v>5</v>
      </c>
      <c r="C3159" s="5" t="s">
        <v>128</v>
      </c>
      <c r="D3159" s="5" t="s">
        <v>1514</v>
      </c>
      <c r="E3159" s="5" t="n">
        <v>2</v>
      </c>
      <c r="F3159" s="6" t="n">
        <f aca="false">IFERROR(MATCH(A3159&amp;"|"&amp;B3159&amp;"|"&amp;D3159,'All Song Rankings'!$T:$T,0),0)</f>
        <v>484</v>
      </c>
      <c r="G3159" s="6" t="str">
        <f aca="false">IF(F3159=0,"NOT FOUND",INDEX('All Song Rankings'!$A:$A,F3159))</f>
        <v>I Don't Wanna Live Forever (Fifty Shades Darker)</v>
      </c>
      <c r="H3159" s="6" t="str">
        <f aca="false">IF(F3159=0,"NOT FOUND",INDEX('All Song Rankings'!$B:$B,F3159))</f>
        <v>ZAYN</v>
      </c>
      <c r="I3159" s="6" t="str">
        <f aca="false">IF(F3159=0,"NOT FOUND",INDEX('All Song Rankings'!$D:$D,F3159))</f>
        <v>Makenzie</v>
      </c>
      <c r="J3159" s="7" t="str">
        <f aca="false">IF(F3159=0,"NOT FOUND",IF(C3159=I3159,"SELF-VOTE",IF(COUNTIF($K:$K,K3159)&gt;1,"DUPLICATE","OK")))</f>
        <v>OK</v>
      </c>
      <c r="K3159" s="6" t="str">
        <f aca="false">A3159&amp;"|"&amp;B3159&amp;"|"&amp;C3159&amp;"|"&amp;D3159</f>
        <v>5|5|Logan|spotify:track:55n9yjI6qqXh5F2mYvUc2y</v>
      </c>
    </row>
    <row r="3160" customFormat="false" ht="15" hidden="false" customHeight="false" outlineLevel="0" collapsed="false">
      <c r="A3160" s="5" t="n">
        <v>5</v>
      </c>
      <c r="B3160" s="5" t="n">
        <v>5</v>
      </c>
      <c r="C3160" s="5" t="s">
        <v>395</v>
      </c>
      <c r="D3160" s="5" t="s">
        <v>1527</v>
      </c>
      <c r="E3160" s="5" t="n">
        <v>1</v>
      </c>
      <c r="F3160" s="6" t="n">
        <f aca="false">IFERROR(MATCH(A3160&amp;"|"&amp;B3160&amp;"|"&amp;D3160,'All Song Rankings'!$T:$T,0),0)</f>
        <v>489</v>
      </c>
      <c r="G3160" s="6" t="str">
        <f aca="false">IF(F3160=0,"NOT FOUND",INDEX('All Song Rankings'!$A:$A,F3160))</f>
        <v>Beauty and the Beast - Duet</v>
      </c>
      <c r="H3160" s="6" t="str">
        <f aca="false">IF(F3160=0,"NOT FOUND",INDEX('All Song Rankings'!$B:$B,F3160))</f>
        <v>Peabo Bryson</v>
      </c>
      <c r="I3160" s="6" t="str">
        <f aca="false">IF(F3160=0,"NOT FOUND",INDEX('All Song Rankings'!$D:$D,F3160))</f>
        <v>Logan</v>
      </c>
      <c r="J3160" s="7" t="str">
        <f aca="false">IF(F3160=0,"NOT FOUND",IF(C3160=I3160,"SELF-VOTE",IF(COUNTIF($K:$K,K3160)&gt;1,"DUPLICATE","OK")))</f>
        <v>OK</v>
      </c>
      <c r="K3160" s="6" t="str">
        <f aca="false">A3160&amp;"|"&amp;B3160&amp;"|"&amp;C3160&amp;"|"&amp;D3160</f>
        <v>5|5|Makenzie|spotify:track:1lb36bFPzVYUBER5QatHAY</v>
      </c>
    </row>
    <row r="3161" customFormat="false" ht="15" hidden="false" customHeight="false" outlineLevel="0" collapsed="false">
      <c r="A3161" s="5" t="n">
        <v>5</v>
      </c>
      <c r="B3161" s="5" t="n">
        <v>5</v>
      </c>
      <c r="C3161" s="5" t="s">
        <v>395</v>
      </c>
      <c r="D3161" s="5" t="s">
        <v>1505</v>
      </c>
      <c r="E3161" s="5" t="n">
        <v>2</v>
      </c>
      <c r="F3161" s="6" t="n">
        <f aca="false">IFERROR(MATCH(A3161&amp;"|"&amp;B3161&amp;"|"&amp;D3161,'All Song Rankings'!$T:$T,0),0)</f>
        <v>481</v>
      </c>
      <c r="G3161" s="6" t="str">
        <f aca="false">IF(F3161=0,"NOT FOUND",INDEX('All Song Rankings'!$A:$A,F3161))</f>
        <v>I'm a Mess (with YUNGBLUD)</v>
      </c>
      <c r="H3161" s="6" t="str">
        <f aca="false">IF(F3161=0,"NOT FOUND",INDEX('All Song Rankings'!$B:$B,F3161))</f>
        <v>Avril Lavigne</v>
      </c>
      <c r="I3161" s="6" t="str">
        <f aca="false">IF(F3161=0,"NOT FOUND",INDEX('All Song Rankings'!$D:$D,F3161))</f>
        <v>Kelsey</v>
      </c>
      <c r="J3161" s="7" t="str">
        <f aca="false">IF(F3161=0,"NOT FOUND",IF(C3161=I3161,"SELF-VOTE",IF(COUNTIF($K:$K,K3161)&gt;1,"DUPLICATE","OK")))</f>
        <v>OK</v>
      </c>
      <c r="K3161" s="6" t="str">
        <f aca="false">A3161&amp;"|"&amp;B3161&amp;"|"&amp;C3161&amp;"|"&amp;D3161</f>
        <v>5|5|Makenzie|spotify:track:1yvArCvZLTHiawRdWKSAWj</v>
      </c>
    </row>
    <row r="3162" customFormat="false" ht="15" hidden="false" customHeight="false" outlineLevel="0" collapsed="false">
      <c r="A3162" s="5" t="n">
        <v>5</v>
      </c>
      <c r="B3162" s="5" t="n">
        <v>5</v>
      </c>
      <c r="C3162" s="5" t="s">
        <v>395</v>
      </c>
      <c r="D3162" s="5" t="s">
        <v>1518</v>
      </c>
      <c r="E3162" s="5" t="n">
        <v>2</v>
      </c>
      <c r="F3162" s="6" t="n">
        <f aca="false">IFERROR(MATCH(A3162&amp;"|"&amp;B3162&amp;"|"&amp;D3162,'All Song Rankings'!$T:$T,0),0)</f>
        <v>486</v>
      </c>
      <c r="G3162" s="6" t="str">
        <f aca="false">IF(F3162=0,"NOT FOUND",INDEX('All Song Rankings'!$A:$A,F3162))</f>
        <v>Shallow</v>
      </c>
      <c r="H3162" s="6" t="str">
        <f aca="false">IF(F3162=0,"NOT FOUND",INDEX('All Song Rankings'!$B:$B,F3162))</f>
        <v>Lady Gaga</v>
      </c>
      <c r="I3162" s="6" t="str">
        <f aca="false">IF(F3162=0,"NOT FOUND",INDEX('All Song Rankings'!$D:$D,F3162))</f>
        <v>Aubrey</v>
      </c>
      <c r="J3162" s="7" t="str">
        <f aca="false">IF(F3162=0,"NOT FOUND",IF(C3162=I3162,"SELF-VOTE",IF(COUNTIF($K:$K,K3162)&gt;1,"DUPLICATE","OK")))</f>
        <v>OK</v>
      </c>
      <c r="K3162" s="6" t="str">
        <f aca="false">A3162&amp;"|"&amp;B3162&amp;"|"&amp;C3162&amp;"|"&amp;D3162</f>
        <v>5|5|Makenzie|spotify:track:2VxeLyX666F8uXCJ0dZF8B</v>
      </c>
    </row>
    <row r="3163" customFormat="false" ht="15" hidden="false" customHeight="false" outlineLevel="0" collapsed="false">
      <c r="A3163" s="5" t="n">
        <v>5</v>
      </c>
      <c r="B3163" s="5" t="n">
        <v>5</v>
      </c>
      <c r="C3163" s="5" t="s">
        <v>395</v>
      </c>
      <c r="D3163" s="5" t="s">
        <v>1508</v>
      </c>
      <c r="E3163" s="5" t="n">
        <v>3</v>
      </c>
      <c r="F3163" s="6" t="n">
        <f aca="false">IFERROR(MATCH(A3163&amp;"|"&amp;B3163&amp;"|"&amp;D3163,'All Song Rankings'!$T:$T,0),0)</f>
        <v>482</v>
      </c>
      <c r="G3163" s="6" t="str">
        <f aca="false">IF(F3163=0,"NOT FOUND",INDEX('All Song Rankings'!$A:$A,F3163))</f>
        <v>Hips Don't Lie (feat. Wyclef Jean)</v>
      </c>
      <c r="H3163" s="6" t="str">
        <f aca="false">IF(F3163=0,"NOT FOUND",INDEX('All Song Rankings'!$B:$B,F3163))</f>
        <v>Shakira</v>
      </c>
      <c r="I3163" s="6" t="str">
        <f aca="false">IF(F3163=0,"NOT FOUND",INDEX('All Song Rankings'!$D:$D,F3163))</f>
        <v>Grace</v>
      </c>
      <c r="J3163" s="7" t="str">
        <f aca="false">IF(F3163=0,"NOT FOUND",IF(C3163=I3163,"SELF-VOTE",IF(COUNTIF($K:$K,K3163)&gt;1,"DUPLICATE","OK")))</f>
        <v>OK</v>
      </c>
      <c r="K3163" s="6" t="str">
        <f aca="false">A3163&amp;"|"&amp;B3163&amp;"|"&amp;C3163&amp;"|"&amp;D3163</f>
        <v>5|5|Makenzie|spotify:track:3d0WouFnFmr0K3kjeza3fF</v>
      </c>
    </row>
    <row r="3164" customFormat="false" ht="15" hidden="false" customHeight="false" outlineLevel="0" collapsed="false">
      <c r="A3164" s="5" t="n">
        <v>5</v>
      </c>
      <c r="B3164" s="5" t="n">
        <v>5</v>
      </c>
      <c r="C3164" s="5" t="s">
        <v>395</v>
      </c>
      <c r="D3164" s="5" t="s">
        <v>1502</v>
      </c>
      <c r="E3164" s="5" t="n">
        <v>1</v>
      </c>
      <c r="F3164" s="6" t="n">
        <f aca="false">IFERROR(MATCH(A3164&amp;"|"&amp;B3164&amp;"|"&amp;D3164,'All Song Rankings'!$T:$T,0),0)</f>
        <v>480</v>
      </c>
      <c r="G3164" s="6" t="str">
        <f aca="false">IF(F3164=0,"NOT FOUND",INDEX('All Song Rankings'!$A:$A,F3164))</f>
        <v>The Monster</v>
      </c>
      <c r="H3164" s="6" t="str">
        <f aca="false">IF(F3164=0,"NOT FOUND",INDEX('All Song Rankings'!$B:$B,F3164))</f>
        <v>Eminem</v>
      </c>
      <c r="I3164" s="6" t="str">
        <f aca="false">IF(F3164=0,"NOT FOUND",INDEX('All Song Rankings'!$D:$D,F3164))</f>
        <v>Leah</v>
      </c>
      <c r="J3164" s="7" t="str">
        <f aca="false">IF(F3164=0,"NOT FOUND",IF(C3164=I3164,"SELF-VOTE",IF(COUNTIF($K:$K,K3164)&gt;1,"DUPLICATE","OK")))</f>
        <v>OK</v>
      </c>
      <c r="K3164" s="6" t="str">
        <f aca="false">A3164&amp;"|"&amp;B3164&amp;"|"&amp;C3164&amp;"|"&amp;D3164</f>
        <v>5|5|Makenzie|spotify:track:48RrDBpOSSl1aLVCalGl5C</v>
      </c>
    </row>
    <row r="3165" customFormat="false" ht="15" hidden="false" customHeight="false" outlineLevel="0" collapsed="false">
      <c r="A3165" s="5" t="n">
        <v>5</v>
      </c>
      <c r="B3165" s="5" t="n">
        <v>5</v>
      </c>
      <c r="C3165" s="5" t="s">
        <v>395</v>
      </c>
      <c r="D3165" s="5" t="s">
        <v>1516</v>
      </c>
      <c r="E3165" s="5" t="n">
        <v>1</v>
      </c>
      <c r="F3165" s="6" t="n">
        <f aca="false">IFERROR(MATCH(A3165&amp;"|"&amp;B3165&amp;"|"&amp;D3165,'All Song Rankings'!$T:$T,0),0)</f>
        <v>485</v>
      </c>
      <c r="G3165" s="6" t="str">
        <f aca="false">IF(F3165=0,"NOT FOUND",INDEX('All Song Rankings'!$A:$A,F3165))</f>
        <v>I Had Some Help (Feat. Morgan Wallen)</v>
      </c>
      <c r="H3165" s="6" t="str">
        <f aca="false">IF(F3165=0,"NOT FOUND",INDEX('All Song Rankings'!$B:$B,F3165))</f>
        <v>Post Malone</v>
      </c>
      <c r="I3165" s="6" t="str">
        <f aca="false">IF(F3165=0,"NOT FOUND",INDEX('All Song Rankings'!$D:$D,F3165))</f>
        <v>Colleen</v>
      </c>
      <c r="J3165" s="7" t="str">
        <f aca="false">IF(F3165=0,"NOT FOUND",IF(C3165=I3165,"SELF-VOTE",IF(COUNTIF($K:$K,K3165)&gt;1,"DUPLICATE","OK")))</f>
        <v>OK</v>
      </c>
      <c r="K3165" s="6" t="str">
        <f aca="false">A3165&amp;"|"&amp;B3165&amp;"|"&amp;C3165&amp;"|"&amp;D3165</f>
        <v>5|5|Makenzie|spotify:track:5IZXB5IKAD2qlvTPJYDCFB</v>
      </c>
    </row>
    <row r="3166" customFormat="false" ht="15" hidden="false" customHeight="false" outlineLevel="0" collapsed="false">
      <c r="A3166" s="5" t="n">
        <v>5</v>
      </c>
      <c r="B3166" s="5" t="n">
        <v>5</v>
      </c>
      <c r="C3166" s="5" t="s">
        <v>101</v>
      </c>
      <c r="D3166" s="5" t="s">
        <v>1505</v>
      </c>
      <c r="E3166" s="5" t="n">
        <v>1</v>
      </c>
      <c r="F3166" s="6" t="n">
        <f aca="false">IFERROR(MATCH(A3166&amp;"|"&amp;B3166&amp;"|"&amp;D3166,'All Song Rankings'!$T:$T,0),0)</f>
        <v>481</v>
      </c>
      <c r="G3166" s="6" t="str">
        <f aca="false">IF(F3166=0,"NOT FOUND",INDEX('All Song Rankings'!$A:$A,F3166))</f>
        <v>I'm a Mess (with YUNGBLUD)</v>
      </c>
      <c r="H3166" s="6" t="str">
        <f aca="false">IF(F3166=0,"NOT FOUND",INDEX('All Song Rankings'!$B:$B,F3166))</f>
        <v>Avril Lavigne</v>
      </c>
      <c r="I3166" s="6" t="str">
        <f aca="false">IF(F3166=0,"NOT FOUND",INDEX('All Song Rankings'!$D:$D,F3166))</f>
        <v>Kelsey</v>
      </c>
      <c r="J3166" s="7" t="str">
        <f aca="false">IF(F3166=0,"NOT FOUND",IF(C3166=I3166,"SELF-VOTE",IF(COUNTIF($K:$K,K3166)&gt;1,"DUPLICATE","OK")))</f>
        <v>OK</v>
      </c>
      <c r="K3166" s="6" t="str">
        <f aca="false">A3166&amp;"|"&amp;B3166&amp;"|"&amp;C3166&amp;"|"&amp;D3166</f>
        <v>5|5|Merita|spotify:track:1yvArCvZLTHiawRdWKSAWj</v>
      </c>
    </row>
    <row r="3167" customFormat="false" ht="15" hidden="false" customHeight="false" outlineLevel="0" collapsed="false">
      <c r="A3167" s="5" t="n">
        <v>5</v>
      </c>
      <c r="B3167" s="5" t="n">
        <v>5</v>
      </c>
      <c r="C3167" s="5" t="s">
        <v>101</v>
      </c>
      <c r="D3167" s="5" t="s">
        <v>1518</v>
      </c>
      <c r="E3167" s="5" t="n">
        <v>1</v>
      </c>
      <c r="F3167" s="6" t="n">
        <f aca="false">IFERROR(MATCH(A3167&amp;"|"&amp;B3167&amp;"|"&amp;D3167,'All Song Rankings'!$T:$T,0),0)</f>
        <v>486</v>
      </c>
      <c r="G3167" s="6" t="str">
        <f aca="false">IF(F3167=0,"NOT FOUND",INDEX('All Song Rankings'!$A:$A,F3167))</f>
        <v>Shallow</v>
      </c>
      <c r="H3167" s="6" t="str">
        <f aca="false">IF(F3167=0,"NOT FOUND",INDEX('All Song Rankings'!$B:$B,F3167))</f>
        <v>Lady Gaga</v>
      </c>
      <c r="I3167" s="6" t="str">
        <f aca="false">IF(F3167=0,"NOT FOUND",INDEX('All Song Rankings'!$D:$D,F3167))</f>
        <v>Aubrey</v>
      </c>
      <c r="J3167" s="7" t="str">
        <f aca="false">IF(F3167=0,"NOT FOUND",IF(C3167=I3167,"SELF-VOTE",IF(COUNTIF($K:$K,K3167)&gt;1,"DUPLICATE","OK")))</f>
        <v>OK</v>
      </c>
      <c r="K3167" s="6" t="str">
        <f aca="false">A3167&amp;"|"&amp;B3167&amp;"|"&amp;C3167&amp;"|"&amp;D3167</f>
        <v>5|5|Merita|spotify:track:2VxeLyX666F8uXCJ0dZF8B</v>
      </c>
    </row>
    <row r="3168" customFormat="false" ht="15" hidden="false" customHeight="false" outlineLevel="0" collapsed="false">
      <c r="A3168" s="5" t="n">
        <v>5</v>
      </c>
      <c r="B3168" s="5" t="n">
        <v>5</v>
      </c>
      <c r="C3168" s="5" t="s">
        <v>101</v>
      </c>
      <c r="D3168" s="5" t="s">
        <v>1534</v>
      </c>
      <c r="E3168" s="5" t="n">
        <v>2</v>
      </c>
      <c r="F3168" s="6" t="n">
        <f aca="false">IFERROR(MATCH(A3168&amp;"|"&amp;B3168&amp;"|"&amp;D3168,'All Song Rankings'!$T:$T,0),0)</f>
        <v>492</v>
      </c>
      <c r="G3168" s="6" t="str">
        <f aca="false">IF(F3168=0,"NOT FOUND",INDEX('All Song Rankings'!$A:$A,F3168))</f>
        <v>The Prince of Egypt (When You Believe)</v>
      </c>
      <c r="H3168" s="6" t="str">
        <f aca="false">IF(F3168=0,"NOT FOUND",INDEX('All Song Rankings'!$B:$B,F3168))</f>
        <v>Mariah Carey</v>
      </c>
      <c r="I3168" s="6" t="str">
        <f aca="false">IF(F3168=0,"NOT FOUND",INDEX('All Song Rankings'!$D:$D,F3168))</f>
        <v>Stephanie</v>
      </c>
      <c r="J3168" s="7" t="str">
        <f aca="false">IF(F3168=0,"NOT FOUND",IF(C3168=I3168,"SELF-VOTE",IF(COUNTIF($K:$K,K3168)&gt;1,"DUPLICATE","OK")))</f>
        <v>OK</v>
      </c>
      <c r="K3168" s="6" t="str">
        <f aca="false">A3168&amp;"|"&amp;B3168&amp;"|"&amp;C3168&amp;"|"&amp;D3168</f>
        <v>5|5|Merita|spotify:track:2eGxZNPQVTWjXSKazFQOMg</v>
      </c>
    </row>
    <row r="3169" customFormat="false" ht="15" hidden="false" customHeight="false" outlineLevel="0" collapsed="false">
      <c r="A3169" s="5" t="n">
        <v>5</v>
      </c>
      <c r="B3169" s="5" t="n">
        <v>5</v>
      </c>
      <c r="C3169" s="5" t="s">
        <v>101</v>
      </c>
      <c r="D3169" s="5" t="s">
        <v>1521</v>
      </c>
      <c r="E3169" s="5" t="n">
        <v>1</v>
      </c>
      <c r="F3169" s="6" t="n">
        <f aca="false">IFERROR(MATCH(A3169&amp;"|"&amp;B3169&amp;"|"&amp;D3169,'All Song Rankings'!$T:$T,0),0)</f>
        <v>487</v>
      </c>
      <c r="G3169" s="6" t="str">
        <f aca="false">IF(F3169=0,"NOT FOUND",INDEX('All Song Rankings'!$A:$A,F3169))</f>
        <v>Crazier Things (with Noah Kahan)</v>
      </c>
      <c r="H3169" s="6" t="str">
        <f aca="false">IF(F3169=0,"NOT FOUND",INDEX('All Song Rankings'!$B:$B,F3169))</f>
        <v>Chelsea Cutler</v>
      </c>
      <c r="I3169" s="6" t="str">
        <f aca="false">IF(F3169=0,"NOT FOUND",INDEX('All Song Rankings'!$D:$D,F3169))</f>
        <v>Lisa</v>
      </c>
      <c r="J3169" s="7" t="str">
        <f aca="false">IF(F3169=0,"NOT FOUND",IF(C3169=I3169,"SELF-VOTE",IF(COUNTIF($K:$K,K3169)&gt;1,"DUPLICATE","OK")))</f>
        <v>OK</v>
      </c>
      <c r="K3169" s="6" t="str">
        <f aca="false">A3169&amp;"|"&amp;B3169&amp;"|"&amp;C3169&amp;"|"&amp;D3169</f>
        <v>5|5|Merita|spotify:track:3K7vPyMCcecKRotnu08MMP</v>
      </c>
    </row>
    <row r="3170" customFormat="false" ht="15" hidden="false" customHeight="false" outlineLevel="0" collapsed="false">
      <c r="A3170" s="5" t="n">
        <v>5</v>
      </c>
      <c r="B3170" s="5" t="n">
        <v>5</v>
      </c>
      <c r="C3170" s="5" t="s">
        <v>101</v>
      </c>
      <c r="D3170" s="5" t="s">
        <v>1508</v>
      </c>
      <c r="E3170" s="5" t="n">
        <v>1</v>
      </c>
      <c r="F3170" s="6" t="n">
        <f aca="false">IFERROR(MATCH(A3170&amp;"|"&amp;B3170&amp;"|"&amp;D3170,'All Song Rankings'!$T:$T,0),0)</f>
        <v>482</v>
      </c>
      <c r="G3170" s="6" t="str">
        <f aca="false">IF(F3170=0,"NOT FOUND",INDEX('All Song Rankings'!$A:$A,F3170))</f>
        <v>Hips Don't Lie (feat. Wyclef Jean)</v>
      </c>
      <c r="H3170" s="6" t="str">
        <f aca="false">IF(F3170=0,"NOT FOUND",INDEX('All Song Rankings'!$B:$B,F3170))</f>
        <v>Shakira</v>
      </c>
      <c r="I3170" s="6" t="str">
        <f aca="false">IF(F3170=0,"NOT FOUND",INDEX('All Song Rankings'!$D:$D,F3170))</f>
        <v>Grace</v>
      </c>
      <c r="J3170" s="7" t="str">
        <f aca="false">IF(F3170=0,"NOT FOUND",IF(C3170=I3170,"SELF-VOTE",IF(COUNTIF($K:$K,K3170)&gt;1,"DUPLICATE","OK")))</f>
        <v>OK</v>
      </c>
      <c r="K3170" s="6" t="str">
        <f aca="false">A3170&amp;"|"&amp;B3170&amp;"|"&amp;C3170&amp;"|"&amp;D3170</f>
        <v>5|5|Merita|spotify:track:3d0WouFnFmr0K3kjeza3fF</v>
      </c>
    </row>
    <row r="3171" customFormat="false" ht="15" hidden="false" customHeight="false" outlineLevel="0" collapsed="false">
      <c r="A3171" s="5" t="n">
        <v>5</v>
      </c>
      <c r="B3171" s="5" t="n">
        <v>5</v>
      </c>
      <c r="C3171" s="5" t="s">
        <v>101</v>
      </c>
      <c r="D3171" s="5" t="s">
        <v>1502</v>
      </c>
      <c r="E3171" s="5" t="n">
        <v>2</v>
      </c>
      <c r="F3171" s="6" t="n">
        <f aca="false">IFERROR(MATCH(A3171&amp;"|"&amp;B3171&amp;"|"&amp;D3171,'All Song Rankings'!$T:$T,0),0)</f>
        <v>480</v>
      </c>
      <c r="G3171" s="6" t="str">
        <f aca="false">IF(F3171=0,"NOT FOUND",INDEX('All Song Rankings'!$A:$A,F3171))</f>
        <v>The Monster</v>
      </c>
      <c r="H3171" s="6" t="str">
        <f aca="false">IF(F3171=0,"NOT FOUND",INDEX('All Song Rankings'!$B:$B,F3171))</f>
        <v>Eminem</v>
      </c>
      <c r="I3171" s="6" t="str">
        <f aca="false">IF(F3171=0,"NOT FOUND",INDEX('All Song Rankings'!$D:$D,F3171))</f>
        <v>Leah</v>
      </c>
      <c r="J3171" s="7" t="str">
        <f aca="false">IF(F3171=0,"NOT FOUND",IF(C3171=I3171,"SELF-VOTE",IF(COUNTIF($K:$K,K3171)&gt;1,"DUPLICATE","OK")))</f>
        <v>OK</v>
      </c>
      <c r="K3171" s="6" t="str">
        <f aca="false">A3171&amp;"|"&amp;B3171&amp;"|"&amp;C3171&amp;"|"&amp;D3171</f>
        <v>5|5|Merita|spotify:track:48RrDBpOSSl1aLVCalGl5C</v>
      </c>
    </row>
    <row r="3172" customFormat="false" ht="15" hidden="false" customHeight="false" outlineLevel="0" collapsed="false">
      <c r="A3172" s="5" t="n">
        <v>5</v>
      </c>
      <c r="B3172" s="5" t="n">
        <v>5</v>
      </c>
      <c r="C3172" s="5" t="s">
        <v>101</v>
      </c>
      <c r="D3172" s="5" t="s">
        <v>1514</v>
      </c>
      <c r="E3172" s="5" t="n">
        <v>1</v>
      </c>
      <c r="F3172" s="6" t="n">
        <f aca="false">IFERROR(MATCH(A3172&amp;"|"&amp;B3172&amp;"|"&amp;D3172,'All Song Rankings'!$T:$T,0),0)</f>
        <v>484</v>
      </c>
      <c r="G3172" s="6" t="str">
        <f aca="false">IF(F3172=0,"NOT FOUND",INDEX('All Song Rankings'!$A:$A,F3172))</f>
        <v>I Don't Wanna Live Forever (Fifty Shades Darker)</v>
      </c>
      <c r="H3172" s="6" t="str">
        <f aca="false">IF(F3172=0,"NOT FOUND",INDEX('All Song Rankings'!$B:$B,F3172))</f>
        <v>ZAYN</v>
      </c>
      <c r="I3172" s="6" t="str">
        <f aca="false">IF(F3172=0,"NOT FOUND",INDEX('All Song Rankings'!$D:$D,F3172))</f>
        <v>Makenzie</v>
      </c>
      <c r="J3172" s="7" t="str">
        <f aca="false">IF(F3172=0,"NOT FOUND",IF(C3172=I3172,"SELF-VOTE",IF(COUNTIF($K:$K,K3172)&gt;1,"DUPLICATE","OK")))</f>
        <v>OK</v>
      </c>
      <c r="K3172" s="6" t="str">
        <f aca="false">A3172&amp;"|"&amp;B3172&amp;"|"&amp;C3172&amp;"|"&amp;D3172</f>
        <v>5|5|Merita|spotify:track:55n9yjI6qqXh5F2mYvUc2y</v>
      </c>
    </row>
    <row r="3173" customFormat="false" ht="15" hidden="false" customHeight="false" outlineLevel="0" collapsed="false">
      <c r="A3173" s="5" t="n">
        <v>5</v>
      </c>
      <c r="B3173" s="5" t="n">
        <v>5</v>
      </c>
      <c r="C3173" s="5" t="s">
        <v>101</v>
      </c>
      <c r="D3173" s="5" t="s">
        <v>1516</v>
      </c>
      <c r="E3173" s="5" t="n">
        <v>1</v>
      </c>
      <c r="F3173" s="6" t="n">
        <f aca="false">IFERROR(MATCH(A3173&amp;"|"&amp;B3173&amp;"|"&amp;D3173,'All Song Rankings'!$T:$T,0),0)</f>
        <v>485</v>
      </c>
      <c r="G3173" s="6" t="str">
        <f aca="false">IF(F3173=0,"NOT FOUND",INDEX('All Song Rankings'!$A:$A,F3173))</f>
        <v>I Had Some Help (Feat. Morgan Wallen)</v>
      </c>
      <c r="H3173" s="6" t="str">
        <f aca="false">IF(F3173=0,"NOT FOUND",INDEX('All Song Rankings'!$B:$B,F3173))</f>
        <v>Post Malone</v>
      </c>
      <c r="I3173" s="6" t="str">
        <f aca="false">IF(F3173=0,"NOT FOUND",INDEX('All Song Rankings'!$D:$D,F3173))</f>
        <v>Colleen</v>
      </c>
      <c r="J3173" s="7" t="str">
        <f aca="false">IF(F3173=0,"NOT FOUND",IF(C3173=I3173,"SELF-VOTE",IF(COUNTIF($K:$K,K3173)&gt;1,"DUPLICATE","OK")))</f>
        <v>OK</v>
      </c>
      <c r="K3173" s="6" t="str">
        <f aca="false">A3173&amp;"|"&amp;B3173&amp;"|"&amp;C3173&amp;"|"&amp;D3173</f>
        <v>5|5|Merita|spotify:track:5IZXB5IKAD2qlvTPJYDCFB</v>
      </c>
    </row>
    <row r="3174" customFormat="false" ht="15" hidden="false" customHeight="false" outlineLevel="0" collapsed="false">
      <c r="A3174" s="5" t="n">
        <v>5</v>
      </c>
      <c r="B3174" s="5" t="n">
        <v>5</v>
      </c>
      <c r="C3174" s="5" t="s">
        <v>92</v>
      </c>
      <c r="D3174" s="5" t="s">
        <v>1505</v>
      </c>
      <c r="E3174" s="5" t="n">
        <v>2</v>
      </c>
      <c r="F3174" s="6" t="n">
        <f aca="false">IFERROR(MATCH(A3174&amp;"|"&amp;B3174&amp;"|"&amp;D3174,'All Song Rankings'!$T:$T,0),0)</f>
        <v>481</v>
      </c>
      <c r="G3174" s="6" t="str">
        <f aca="false">IF(F3174=0,"NOT FOUND",INDEX('All Song Rankings'!$A:$A,F3174))</f>
        <v>I'm a Mess (with YUNGBLUD)</v>
      </c>
      <c r="H3174" s="6" t="str">
        <f aca="false">IF(F3174=0,"NOT FOUND",INDEX('All Song Rankings'!$B:$B,F3174))</f>
        <v>Avril Lavigne</v>
      </c>
      <c r="I3174" s="6" t="str">
        <f aca="false">IF(F3174=0,"NOT FOUND",INDEX('All Song Rankings'!$D:$D,F3174))</f>
        <v>Kelsey</v>
      </c>
      <c r="J3174" s="7" t="str">
        <f aca="false">IF(F3174=0,"NOT FOUND",IF(C3174=I3174,"SELF-VOTE",IF(COUNTIF($K:$K,K3174)&gt;1,"DUPLICATE","OK")))</f>
        <v>OK</v>
      </c>
      <c r="K3174" s="6" t="str">
        <f aca="false">A3174&amp;"|"&amp;B3174&amp;"|"&amp;C3174&amp;"|"&amp;D3174</f>
        <v>5|5|Nicole|spotify:track:1yvArCvZLTHiawRdWKSAWj</v>
      </c>
    </row>
    <row r="3175" customFormat="false" ht="15" hidden="false" customHeight="false" outlineLevel="0" collapsed="false">
      <c r="A3175" s="5" t="n">
        <v>5</v>
      </c>
      <c r="B3175" s="5" t="n">
        <v>5</v>
      </c>
      <c r="C3175" s="5" t="s">
        <v>92</v>
      </c>
      <c r="D3175" s="5" t="s">
        <v>1518</v>
      </c>
      <c r="E3175" s="5" t="n">
        <v>1</v>
      </c>
      <c r="F3175" s="6" t="n">
        <f aca="false">IFERROR(MATCH(A3175&amp;"|"&amp;B3175&amp;"|"&amp;D3175,'All Song Rankings'!$T:$T,0),0)</f>
        <v>486</v>
      </c>
      <c r="G3175" s="6" t="str">
        <f aca="false">IF(F3175=0,"NOT FOUND",INDEX('All Song Rankings'!$A:$A,F3175))</f>
        <v>Shallow</v>
      </c>
      <c r="H3175" s="6" t="str">
        <f aca="false">IF(F3175=0,"NOT FOUND",INDEX('All Song Rankings'!$B:$B,F3175))</f>
        <v>Lady Gaga</v>
      </c>
      <c r="I3175" s="6" t="str">
        <f aca="false">IF(F3175=0,"NOT FOUND",INDEX('All Song Rankings'!$D:$D,F3175))</f>
        <v>Aubrey</v>
      </c>
      <c r="J3175" s="7" t="str">
        <f aca="false">IF(F3175=0,"NOT FOUND",IF(C3175=I3175,"SELF-VOTE",IF(COUNTIF($K:$K,K3175)&gt;1,"DUPLICATE","OK")))</f>
        <v>OK</v>
      </c>
      <c r="K3175" s="6" t="str">
        <f aca="false">A3175&amp;"|"&amp;B3175&amp;"|"&amp;C3175&amp;"|"&amp;D3175</f>
        <v>5|5|Nicole|spotify:track:2VxeLyX666F8uXCJ0dZF8B</v>
      </c>
    </row>
    <row r="3176" customFormat="false" ht="15" hidden="false" customHeight="false" outlineLevel="0" collapsed="false">
      <c r="A3176" s="5" t="n">
        <v>5</v>
      </c>
      <c r="B3176" s="5" t="n">
        <v>5</v>
      </c>
      <c r="C3176" s="5" t="s">
        <v>92</v>
      </c>
      <c r="D3176" s="5" t="s">
        <v>1511</v>
      </c>
      <c r="E3176" s="5" t="n">
        <v>2</v>
      </c>
      <c r="F3176" s="6" t="n">
        <f aca="false">IFERROR(MATCH(A3176&amp;"|"&amp;B3176&amp;"|"&amp;D3176,'All Song Rankings'!$T:$T,0),0)</f>
        <v>483</v>
      </c>
      <c r="G3176" s="6" t="str">
        <f aca="false">IF(F3176=0,"NOT FOUND",INDEX('All Song Rankings'!$A:$A,F3176))</f>
        <v>Monster (Shawn Mendes &amp; Justin Bieber)</v>
      </c>
      <c r="H3176" s="6" t="str">
        <f aca="false">IF(F3176=0,"NOT FOUND",INDEX('All Song Rankings'!$B:$B,F3176))</f>
        <v>Shawn Mendes</v>
      </c>
      <c r="I3176" s="6" t="str">
        <f aca="false">IF(F3176=0,"NOT FOUND",INDEX('All Song Rankings'!$D:$D,F3176))</f>
        <v>Merita</v>
      </c>
      <c r="J3176" s="7" t="str">
        <f aca="false">IF(F3176=0,"NOT FOUND",IF(C3176=I3176,"SELF-VOTE",IF(COUNTIF($K:$K,K3176)&gt;1,"DUPLICATE","OK")))</f>
        <v>OK</v>
      </c>
      <c r="K3176" s="6" t="str">
        <f aca="false">A3176&amp;"|"&amp;B3176&amp;"|"&amp;C3176&amp;"|"&amp;D3176</f>
        <v>5|5|Nicole|spotify:track:2Z8yfpFX0ZMavHkcIeHiO1</v>
      </c>
    </row>
    <row r="3177" customFormat="false" ht="15" hidden="false" customHeight="false" outlineLevel="0" collapsed="false">
      <c r="A3177" s="5" t="n">
        <v>5</v>
      </c>
      <c r="B3177" s="5" t="n">
        <v>5</v>
      </c>
      <c r="C3177" s="5" t="s">
        <v>92</v>
      </c>
      <c r="D3177" s="5" t="s">
        <v>1521</v>
      </c>
      <c r="E3177" s="5" t="n">
        <v>2</v>
      </c>
      <c r="F3177" s="6" t="n">
        <f aca="false">IFERROR(MATCH(A3177&amp;"|"&amp;B3177&amp;"|"&amp;D3177,'All Song Rankings'!$T:$T,0),0)</f>
        <v>487</v>
      </c>
      <c r="G3177" s="6" t="str">
        <f aca="false">IF(F3177=0,"NOT FOUND",INDEX('All Song Rankings'!$A:$A,F3177))</f>
        <v>Crazier Things (with Noah Kahan)</v>
      </c>
      <c r="H3177" s="6" t="str">
        <f aca="false">IF(F3177=0,"NOT FOUND",INDEX('All Song Rankings'!$B:$B,F3177))</f>
        <v>Chelsea Cutler</v>
      </c>
      <c r="I3177" s="6" t="str">
        <f aca="false">IF(F3177=0,"NOT FOUND",INDEX('All Song Rankings'!$D:$D,F3177))</f>
        <v>Lisa</v>
      </c>
      <c r="J3177" s="7" t="str">
        <f aca="false">IF(F3177=0,"NOT FOUND",IF(C3177=I3177,"SELF-VOTE",IF(COUNTIF($K:$K,K3177)&gt;1,"DUPLICATE","OK")))</f>
        <v>OK</v>
      </c>
      <c r="K3177" s="6" t="str">
        <f aca="false">A3177&amp;"|"&amp;B3177&amp;"|"&amp;C3177&amp;"|"&amp;D3177</f>
        <v>5|5|Nicole|spotify:track:3K7vPyMCcecKRotnu08MMP</v>
      </c>
    </row>
    <row r="3178" customFormat="false" ht="15" hidden="false" customHeight="false" outlineLevel="0" collapsed="false">
      <c r="A3178" s="5" t="n">
        <v>5</v>
      </c>
      <c r="B3178" s="5" t="n">
        <v>5</v>
      </c>
      <c r="C3178" s="5" t="s">
        <v>92</v>
      </c>
      <c r="D3178" s="5" t="s">
        <v>1502</v>
      </c>
      <c r="E3178" s="5" t="n">
        <v>1</v>
      </c>
      <c r="F3178" s="6" t="n">
        <f aca="false">IFERROR(MATCH(A3178&amp;"|"&amp;B3178&amp;"|"&amp;D3178,'All Song Rankings'!$T:$T,0),0)</f>
        <v>480</v>
      </c>
      <c r="G3178" s="6" t="str">
        <f aca="false">IF(F3178=0,"NOT FOUND",INDEX('All Song Rankings'!$A:$A,F3178))</f>
        <v>The Monster</v>
      </c>
      <c r="H3178" s="6" t="str">
        <f aca="false">IF(F3178=0,"NOT FOUND",INDEX('All Song Rankings'!$B:$B,F3178))</f>
        <v>Eminem</v>
      </c>
      <c r="I3178" s="6" t="str">
        <f aca="false">IF(F3178=0,"NOT FOUND",INDEX('All Song Rankings'!$D:$D,F3178))</f>
        <v>Leah</v>
      </c>
      <c r="J3178" s="7" t="str">
        <f aca="false">IF(F3178=0,"NOT FOUND",IF(C3178=I3178,"SELF-VOTE",IF(COUNTIF($K:$K,K3178)&gt;1,"DUPLICATE","OK")))</f>
        <v>OK</v>
      </c>
      <c r="K3178" s="6" t="str">
        <f aca="false">A3178&amp;"|"&amp;B3178&amp;"|"&amp;C3178&amp;"|"&amp;D3178</f>
        <v>5|5|Nicole|spotify:track:48RrDBpOSSl1aLVCalGl5C</v>
      </c>
    </row>
    <row r="3179" customFormat="false" ht="15" hidden="false" customHeight="false" outlineLevel="0" collapsed="false">
      <c r="A3179" s="5" t="n">
        <v>5</v>
      </c>
      <c r="B3179" s="5" t="n">
        <v>5</v>
      </c>
      <c r="C3179" s="5" t="s">
        <v>92</v>
      </c>
      <c r="D3179" s="5" t="s">
        <v>1514</v>
      </c>
      <c r="E3179" s="5" t="n">
        <v>1</v>
      </c>
      <c r="F3179" s="6" t="n">
        <f aca="false">IFERROR(MATCH(A3179&amp;"|"&amp;B3179&amp;"|"&amp;D3179,'All Song Rankings'!$T:$T,0),0)</f>
        <v>484</v>
      </c>
      <c r="G3179" s="6" t="str">
        <f aca="false">IF(F3179=0,"NOT FOUND",INDEX('All Song Rankings'!$A:$A,F3179))</f>
        <v>I Don't Wanna Live Forever (Fifty Shades Darker)</v>
      </c>
      <c r="H3179" s="6" t="str">
        <f aca="false">IF(F3179=0,"NOT FOUND",INDEX('All Song Rankings'!$B:$B,F3179))</f>
        <v>ZAYN</v>
      </c>
      <c r="I3179" s="6" t="str">
        <f aca="false">IF(F3179=0,"NOT FOUND",INDEX('All Song Rankings'!$D:$D,F3179))</f>
        <v>Makenzie</v>
      </c>
      <c r="J3179" s="7" t="str">
        <f aca="false">IF(F3179=0,"NOT FOUND",IF(C3179=I3179,"SELF-VOTE",IF(COUNTIF($K:$K,K3179)&gt;1,"DUPLICATE","OK")))</f>
        <v>OK</v>
      </c>
      <c r="K3179" s="6" t="str">
        <f aca="false">A3179&amp;"|"&amp;B3179&amp;"|"&amp;C3179&amp;"|"&amp;D3179</f>
        <v>5|5|Nicole|spotify:track:55n9yjI6qqXh5F2mYvUc2y</v>
      </c>
    </row>
    <row r="3180" customFormat="false" ht="15" hidden="false" customHeight="false" outlineLevel="0" collapsed="false">
      <c r="A3180" s="5" t="n">
        <v>5</v>
      </c>
      <c r="B3180" s="5" t="n">
        <v>5</v>
      </c>
      <c r="C3180" s="5" t="s">
        <v>92</v>
      </c>
      <c r="D3180" s="5" t="s">
        <v>1516</v>
      </c>
      <c r="E3180" s="5" t="n">
        <v>1</v>
      </c>
      <c r="F3180" s="6" t="n">
        <f aca="false">IFERROR(MATCH(A3180&amp;"|"&amp;B3180&amp;"|"&amp;D3180,'All Song Rankings'!$T:$T,0),0)</f>
        <v>485</v>
      </c>
      <c r="G3180" s="6" t="str">
        <f aca="false">IF(F3180=0,"NOT FOUND",INDEX('All Song Rankings'!$A:$A,F3180))</f>
        <v>I Had Some Help (Feat. Morgan Wallen)</v>
      </c>
      <c r="H3180" s="6" t="str">
        <f aca="false">IF(F3180=0,"NOT FOUND",INDEX('All Song Rankings'!$B:$B,F3180))</f>
        <v>Post Malone</v>
      </c>
      <c r="I3180" s="6" t="str">
        <f aca="false">IF(F3180=0,"NOT FOUND",INDEX('All Song Rankings'!$D:$D,F3180))</f>
        <v>Colleen</v>
      </c>
      <c r="J3180" s="7" t="str">
        <f aca="false">IF(F3180=0,"NOT FOUND",IF(C3180=I3180,"SELF-VOTE",IF(COUNTIF($K:$K,K3180)&gt;1,"DUPLICATE","OK")))</f>
        <v>OK</v>
      </c>
      <c r="K3180" s="6" t="str">
        <f aca="false">A3180&amp;"|"&amp;B3180&amp;"|"&amp;C3180&amp;"|"&amp;D3180</f>
        <v>5|5|Nicole|spotify:track:5IZXB5IKAD2qlvTPJYDCFB</v>
      </c>
    </row>
    <row r="3181" customFormat="false" ht="15" hidden="false" customHeight="false" outlineLevel="0" collapsed="false">
      <c r="A3181" s="5" t="n">
        <v>5</v>
      </c>
      <c r="B3181" s="5" t="n">
        <v>5</v>
      </c>
      <c r="C3181" s="5" t="s">
        <v>97</v>
      </c>
      <c r="D3181" s="5" t="s">
        <v>1524</v>
      </c>
      <c r="E3181" s="5" t="n">
        <v>2</v>
      </c>
      <c r="F3181" s="6" t="n">
        <f aca="false">IFERROR(MATCH(A3181&amp;"|"&amp;B3181&amp;"|"&amp;D3181,'All Song Rankings'!$T:$T,0),0)</f>
        <v>488</v>
      </c>
      <c r="G3181" s="6" t="str">
        <f aca="false">IF(F3181=0,"NOT FOUND",INDEX('All Song Rankings'!$A:$A,F3181))</f>
        <v>Nobody Wants to Be Lonely (with Christina Aguilera)</v>
      </c>
      <c r="H3181" s="6" t="str">
        <f aca="false">IF(F3181=0,"NOT FOUND",INDEX('All Song Rankings'!$B:$B,F3181))</f>
        <v>Ricky Martin</v>
      </c>
      <c r="I3181" s="6" t="str">
        <f aca="false">IF(F3181=0,"NOT FOUND",INDEX('All Song Rankings'!$D:$D,F3181))</f>
        <v>Kristen</v>
      </c>
      <c r="J3181" s="7" t="str">
        <f aca="false">IF(F3181=0,"NOT FOUND",IF(C3181=I3181,"SELF-VOTE",IF(COUNTIF($K:$K,K3181)&gt;1,"DUPLICATE","OK")))</f>
        <v>OK</v>
      </c>
      <c r="K3181" s="6" t="str">
        <f aca="false">A3181&amp;"|"&amp;B3181&amp;"|"&amp;C3181&amp;"|"&amp;D3181</f>
        <v>5|5|Stephanie|spotify:track:1OmykUh7sjL6x7U0oFZPov</v>
      </c>
    </row>
    <row r="3182" customFormat="false" ht="15" hidden="false" customHeight="false" outlineLevel="0" collapsed="false">
      <c r="A3182" s="5" t="n">
        <v>5</v>
      </c>
      <c r="B3182" s="5" t="n">
        <v>5</v>
      </c>
      <c r="C3182" s="5" t="s">
        <v>97</v>
      </c>
      <c r="D3182" s="5" t="s">
        <v>1527</v>
      </c>
      <c r="E3182" s="5" t="n">
        <v>2</v>
      </c>
      <c r="F3182" s="6" t="n">
        <f aca="false">IFERROR(MATCH(A3182&amp;"|"&amp;B3182&amp;"|"&amp;D3182,'All Song Rankings'!$T:$T,0),0)</f>
        <v>489</v>
      </c>
      <c r="G3182" s="6" t="str">
        <f aca="false">IF(F3182=0,"NOT FOUND",INDEX('All Song Rankings'!$A:$A,F3182))</f>
        <v>Beauty and the Beast - Duet</v>
      </c>
      <c r="H3182" s="6" t="str">
        <f aca="false">IF(F3182=0,"NOT FOUND",INDEX('All Song Rankings'!$B:$B,F3182))</f>
        <v>Peabo Bryson</v>
      </c>
      <c r="I3182" s="6" t="str">
        <f aca="false">IF(F3182=0,"NOT FOUND",INDEX('All Song Rankings'!$D:$D,F3182))</f>
        <v>Logan</v>
      </c>
      <c r="J3182" s="7" t="str">
        <f aca="false">IF(F3182=0,"NOT FOUND",IF(C3182=I3182,"SELF-VOTE",IF(COUNTIF($K:$K,K3182)&gt;1,"DUPLICATE","OK")))</f>
        <v>OK</v>
      </c>
      <c r="K3182" s="6" t="str">
        <f aca="false">A3182&amp;"|"&amp;B3182&amp;"|"&amp;C3182&amp;"|"&amp;D3182</f>
        <v>5|5|Stephanie|spotify:track:1lb36bFPzVYUBER5QatHAY</v>
      </c>
    </row>
    <row r="3183" customFormat="false" ht="15" hidden="false" customHeight="false" outlineLevel="0" collapsed="false">
      <c r="A3183" s="5" t="n">
        <v>5</v>
      </c>
      <c r="B3183" s="5" t="n">
        <v>5</v>
      </c>
      <c r="C3183" s="5" t="s">
        <v>97</v>
      </c>
      <c r="D3183" s="5" t="s">
        <v>1511</v>
      </c>
      <c r="E3183" s="5" t="n">
        <v>1</v>
      </c>
      <c r="F3183" s="6" t="n">
        <f aca="false">IFERROR(MATCH(A3183&amp;"|"&amp;B3183&amp;"|"&amp;D3183,'All Song Rankings'!$T:$T,0),0)</f>
        <v>483</v>
      </c>
      <c r="G3183" s="6" t="str">
        <f aca="false">IF(F3183=0,"NOT FOUND",INDEX('All Song Rankings'!$A:$A,F3183))</f>
        <v>Monster (Shawn Mendes &amp; Justin Bieber)</v>
      </c>
      <c r="H3183" s="6" t="str">
        <f aca="false">IF(F3183=0,"NOT FOUND",INDEX('All Song Rankings'!$B:$B,F3183))</f>
        <v>Shawn Mendes</v>
      </c>
      <c r="I3183" s="6" t="str">
        <f aca="false">IF(F3183=0,"NOT FOUND",INDEX('All Song Rankings'!$D:$D,F3183))</f>
        <v>Merita</v>
      </c>
      <c r="J3183" s="7" t="str">
        <f aca="false">IF(F3183=0,"NOT FOUND",IF(C3183=I3183,"SELF-VOTE",IF(COUNTIF($K:$K,K3183)&gt;1,"DUPLICATE","OK")))</f>
        <v>OK</v>
      </c>
      <c r="K3183" s="6" t="str">
        <f aca="false">A3183&amp;"|"&amp;B3183&amp;"|"&amp;C3183&amp;"|"&amp;D3183</f>
        <v>5|5|Stephanie|spotify:track:2Z8yfpFX0ZMavHkcIeHiO1</v>
      </c>
    </row>
    <row r="3184" customFormat="false" ht="15" hidden="false" customHeight="false" outlineLevel="0" collapsed="false">
      <c r="A3184" s="5" t="n">
        <v>5</v>
      </c>
      <c r="B3184" s="5" t="n">
        <v>5</v>
      </c>
      <c r="C3184" s="5" t="s">
        <v>97</v>
      </c>
      <c r="D3184" s="5" t="s">
        <v>1508</v>
      </c>
      <c r="E3184" s="5" t="n">
        <v>2</v>
      </c>
      <c r="F3184" s="6" t="n">
        <f aca="false">IFERROR(MATCH(A3184&amp;"|"&amp;B3184&amp;"|"&amp;D3184,'All Song Rankings'!$T:$T,0),0)</f>
        <v>482</v>
      </c>
      <c r="G3184" s="6" t="str">
        <f aca="false">IF(F3184=0,"NOT FOUND",INDEX('All Song Rankings'!$A:$A,F3184))</f>
        <v>Hips Don't Lie (feat. Wyclef Jean)</v>
      </c>
      <c r="H3184" s="6" t="str">
        <f aca="false">IF(F3184=0,"NOT FOUND",INDEX('All Song Rankings'!$B:$B,F3184))</f>
        <v>Shakira</v>
      </c>
      <c r="I3184" s="6" t="str">
        <f aca="false">IF(F3184=0,"NOT FOUND",INDEX('All Song Rankings'!$D:$D,F3184))</f>
        <v>Grace</v>
      </c>
      <c r="J3184" s="7" t="str">
        <f aca="false">IF(F3184=0,"NOT FOUND",IF(C3184=I3184,"SELF-VOTE",IF(COUNTIF($K:$K,K3184)&gt;1,"DUPLICATE","OK")))</f>
        <v>OK</v>
      </c>
      <c r="K3184" s="6" t="str">
        <f aca="false">A3184&amp;"|"&amp;B3184&amp;"|"&amp;C3184&amp;"|"&amp;D3184</f>
        <v>5|5|Stephanie|spotify:track:3d0WouFnFmr0K3kjeza3fF</v>
      </c>
    </row>
    <row r="3185" customFormat="false" ht="15" hidden="false" customHeight="false" outlineLevel="0" collapsed="false">
      <c r="A3185" s="5" t="n">
        <v>5</v>
      </c>
      <c r="B3185" s="5" t="n">
        <v>5</v>
      </c>
      <c r="C3185" s="5" t="s">
        <v>97</v>
      </c>
      <c r="D3185" s="5" t="s">
        <v>1502</v>
      </c>
      <c r="E3185" s="5" t="n">
        <v>3</v>
      </c>
      <c r="F3185" s="6" t="n">
        <f aca="false">IFERROR(MATCH(A3185&amp;"|"&amp;B3185&amp;"|"&amp;D3185,'All Song Rankings'!$T:$T,0),0)</f>
        <v>480</v>
      </c>
      <c r="G3185" s="6" t="str">
        <f aca="false">IF(F3185=0,"NOT FOUND",INDEX('All Song Rankings'!$A:$A,F3185))</f>
        <v>The Monster</v>
      </c>
      <c r="H3185" s="6" t="str">
        <f aca="false">IF(F3185=0,"NOT FOUND",INDEX('All Song Rankings'!$B:$B,F3185))</f>
        <v>Eminem</v>
      </c>
      <c r="I3185" s="6" t="str">
        <f aca="false">IF(F3185=0,"NOT FOUND",INDEX('All Song Rankings'!$D:$D,F3185))</f>
        <v>Leah</v>
      </c>
      <c r="J3185" s="7" t="str">
        <f aca="false">IF(F3185=0,"NOT FOUND",IF(C3185=I3185,"SELF-VOTE",IF(COUNTIF($K:$K,K3185)&gt;1,"DUPLICATE","OK")))</f>
        <v>OK</v>
      </c>
      <c r="K3185" s="6" t="str">
        <f aca="false">A3185&amp;"|"&amp;B3185&amp;"|"&amp;C3185&amp;"|"&amp;D3185</f>
        <v>5|5|Stephanie|spotify:track:48RrDBpOSSl1aLVCalGl5C</v>
      </c>
    </row>
    <row r="3186" customFormat="false" ht="15" hidden="false" customHeight="false" outlineLevel="0" collapsed="false">
      <c r="A3186" s="5" t="n">
        <v>5</v>
      </c>
      <c r="B3186" s="5" t="n">
        <v>6</v>
      </c>
      <c r="C3186" s="5" t="s">
        <v>375</v>
      </c>
      <c r="D3186" s="5" t="s">
        <v>1544</v>
      </c>
      <c r="E3186" s="5" t="n">
        <v>2</v>
      </c>
      <c r="F3186" s="6" t="n">
        <f aca="false">IFERROR(MATCH(A3186&amp;"|"&amp;B3186&amp;"|"&amp;D3186,'All Song Rankings'!$T:$T,0),0)</f>
        <v>496</v>
      </c>
      <c r="G3186" s="6" t="str">
        <f aca="false">IF(F3186=0,"NOT FOUND",INDEX('All Song Rankings'!$A:$A,F3186))</f>
        <v>Pink Pony Club</v>
      </c>
      <c r="H3186" s="6" t="str">
        <f aca="false">IF(F3186=0,"NOT FOUND",INDEX('All Song Rankings'!$B:$B,F3186))</f>
        <v>Chappell Roan</v>
      </c>
      <c r="I3186" s="6" t="str">
        <f aca="false">IF(F3186=0,"NOT FOUND",INDEX('All Song Rankings'!$D:$D,F3186))</f>
        <v>Kristen</v>
      </c>
      <c r="J3186" s="7" t="str">
        <f aca="false">IF(F3186=0,"NOT FOUND",IF(C3186=I3186,"SELF-VOTE",IF(COUNTIF($K:$K,K3186)&gt;1,"DUPLICATE","OK")))</f>
        <v>OK</v>
      </c>
      <c r="K3186" s="6" t="str">
        <f aca="false">A3186&amp;"|"&amp;B3186&amp;"|"&amp;C3186&amp;"|"&amp;D3186</f>
        <v>5|6|Aubrey|spotify:track:1k2pQc5i348DCHwbn5KTdc</v>
      </c>
    </row>
    <row r="3187" customFormat="false" ht="15" hidden="false" customHeight="false" outlineLevel="0" collapsed="false">
      <c r="A3187" s="5" t="n">
        <v>5</v>
      </c>
      <c r="B3187" s="5" t="n">
        <v>6</v>
      </c>
      <c r="C3187" s="5" t="s">
        <v>375</v>
      </c>
      <c r="D3187" s="5" t="s">
        <v>1552</v>
      </c>
      <c r="E3187" s="5" t="n">
        <v>4</v>
      </c>
      <c r="F3187" s="6" t="n">
        <f aca="false">IFERROR(MATCH(A3187&amp;"|"&amp;B3187&amp;"|"&amp;D3187,'All Song Rankings'!$T:$T,0),0)</f>
        <v>499</v>
      </c>
      <c r="G3187" s="6" t="str">
        <f aca="false">IF(F3187=0,"NOT FOUND",INDEX('All Song Rankings'!$A:$A,F3187))</f>
        <v>I Can't Love You Anymore</v>
      </c>
      <c r="H3187" s="6" t="str">
        <f aca="false">IF(F3187=0,"NOT FOUND",INDEX('All Song Rankings'!$B:$B,F3187))</f>
        <v>Ella Langley, Morgan Wallen</v>
      </c>
      <c r="I3187" s="6" t="str">
        <f aca="false">IF(F3187=0,"NOT FOUND",INDEX('All Song Rankings'!$D:$D,F3187))</f>
        <v>Christine</v>
      </c>
      <c r="J3187" s="7" t="str">
        <f aca="false">IF(F3187=0,"NOT FOUND",IF(C3187=I3187,"SELF-VOTE",IF(COUNTIF($K:$K,K3187)&gt;1,"DUPLICATE","OK")))</f>
        <v>OK</v>
      </c>
      <c r="K3187" s="6" t="str">
        <f aca="false">A3187&amp;"|"&amp;B3187&amp;"|"&amp;C3187&amp;"|"&amp;D3187</f>
        <v>5|6|Aubrey|spotify:track:5aVBxVa0kz9uzv0F4gwdEn</v>
      </c>
    </row>
    <row r="3188" customFormat="false" ht="15" hidden="false" customHeight="false" outlineLevel="0" collapsed="false">
      <c r="A3188" s="5" t="n">
        <v>5</v>
      </c>
      <c r="B3188" s="5" t="n">
        <v>6</v>
      </c>
      <c r="C3188" s="5" t="s">
        <v>375</v>
      </c>
      <c r="D3188" s="5" t="s">
        <v>1572</v>
      </c>
      <c r="E3188" s="5" t="n">
        <v>2</v>
      </c>
      <c r="F3188" s="6" t="n">
        <f aca="false">IFERROR(MATCH(A3188&amp;"|"&amp;B3188&amp;"|"&amp;D3188,'All Song Rankings'!$T:$T,0),0)</f>
        <v>507</v>
      </c>
      <c r="G3188" s="6" t="str">
        <f aca="false">IF(F3188=0,"NOT FOUND",INDEX('All Song Rankings'!$A:$A,F3188))</f>
        <v>Sweet Caroline</v>
      </c>
      <c r="H3188" s="6" t="str">
        <f aca="false">IF(F3188=0,"NOT FOUND",INDEX('All Song Rankings'!$B:$B,F3188))</f>
        <v>Neil Diamond</v>
      </c>
      <c r="I3188" s="6" t="str">
        <f aca="false">IF(F3188=0,"NOT FOUND",INDEX('All Song Rankings'!$D:$D,F3188))</f>
        <v>Scott</v>
      </c>
      <c r="J3188" s="7" t="str">
        <f aca="false">IF(F3188=0,"NOT FOUND",IF(C3188=I3188,"SELF-VOTE",IF(COUNTIF($K:$K,K3188)&gt;1,"DUPLICATE","OK")))</f>
        <v>OK</v>
      </c>
      <c r="K3188" s="6" t="str">
        <f aca="false">A3188&amp;"|"&amp;B3188&amp;"|"&amp;C3188&amp;"|"&amp;D3188</f>
        <v>5|6|Aubrey|spotify:track:62AuGbAkt8Ox2IrFFb8GKV</v>
      </c>
    </row>
    <row r="3189" customFormat="false" ht="15" hidden="false" customHeight="false" outlineLevel="0" collapsed="false">
      <c r="A3189" s="5" t="n">
        <v>5</v>
      </c>
      <c r="B3189" s="5" t="n">
        <v>6</v>
      </c>
      <c r="C3189" s="5" t="s">
        <v>375</v>
      </c>
      <c r="D3189" s="5" t="s">
        <v>1538</v>
      </c>
      <c r="E3189" s="5" t="n">
        <v>2</v>
      </c>
      <c r="F3189" s="6" t="n">
        <f aca="false">IFERROR(MATCH(A3189&amp;"|"&amp;B3189&amp;"|"&amp;D3189,'All Song Rankings'!$T:$T,0),0)</f>
        <v>494</v>
      </c>
      <c r="G3189" s="6" t="str">
        <f aca="false">IF(F3189=0,"NOT FOUND",INDEX('All Song Rankings'!$A:$A,F3189))</f>
        <v>Bohemian Rhapsody - Remastered</v>
      </c>
      <c r="H3189" s="6" t="str">
        <f aca="false">IF(F3189=0,"NOT FOUND",INDEX('All Song Rankings'!$B:$B,F3189))</f>
        <v>Queen</v>
      </c>
      <c r="I3189" s="6" t="str">
        <f aca="false">IF(F3189=0,"NOT FOUND",INDEX('All Song Rankings'!$D:$D,F3189))</f>
        <v>Grace</v>
      </c>
      <c r="J3189" s="7" t="str">
        <f aca="false">IF(F3189=0,"NOT FOUND",IF(C3189=I3189,"SELF-VOTE",IF(COUNTIF($K:$K,K3189)&gt;1,"DUPLICATE","OK")))</f>
        <v>OK</v>
      </c>
      <c r="K3189" s="6" t="str">
        <f aca="false">A3189&amp;"|"&amp;B3189&amp;"|"&amp;C3189&amp;"|"&amp;D3189</f>
        <v>5|6|Aubrey|spotify:track:7tFiyTwD0nx5a1eklYtX2J</v>
      </c>
    </row>
    <row r="3190" customFormat="false" ht="15" hidden="false" customHeight="false" outlineLevel="0" collapsed="false">
      <c r="A3190" s="5" t="n">
        <v>5</v>
      </c>
      <c r="B3190" s="5" t="n">
        <v>6</v>
      </c>
      <c r="C3190" s="5" t="s">
        <v>719</v>
      </c>
      <c r="D3190" s="5" t="s">
        <v>700</v>
      </c>
      <c r="E3190" s="5" t="n">
        <v>1</v>
      </c>
      <c r="F3190" s="6" t="n">
        <f aca="false">IFERROR(MATCH(A3190&amp;"|"&amp;B3190&amp;"|"&amp;D3190,'All Song Rankings'!$T:$T,0),0)</f>
        <v>501</v>
      </c>
      <c r="G3190" s="6" t="str">
        <f aca="false">IF(F3190=0,"NOT FOUND",INDEX('All Song Rankings'!$A:$A,F3190))</f>
        <v>Caramel</v>
      </c>
      <c r="H3190" s="6" t="str">
        <f aca="false">IF(F3190=0,"NOT FOUND",INDEX('All Song Rankings'!$B:$B,F3190))</f>
        <v>Sleep Token</v>
      </c>
      <c r="I3190" s="6" t="str">
        <f aca="false">IF(F3190=0,"NOT FOUND",INDEX('All Song Rankings'!$D:$D,F3190))</f>
        <v>Nicole</v>
      </c>
      <c r="J3190" s="7" t="str">
        <f aca="false">IF(F3190=0,"NOT FOUND",IF(C3190=I3190,"SELF-VOTE",IF(COUNTIF($K:$K,K3190)&gt;1,"DUPLICATE","OK")))</f>
        <v>OK</v>
      </c>
      <c r="K3190" s="6" t="str">
        <f aca="false">A3190&amp;"|"&amp;B3190&amp;"|"&amp;C3190&amp;"|"&amp;D3190</f>
        <v>5|6|Christine|spotify:track:1QrbZhFYlViXd60g130vw1</v>
      </c>
    </row>
    <row r="3191" customFormat="false" ht="15" hidden="false" customHeight="false" outlineLevel="0" collapsed="false">
      <c r="A3191" s="5" t="n">
        <v>5</v>
      </c>
      <c r="B3191" s="5" t="n">
        <v>6</v>
      </c>
      <c r="C3191" s="5" t="s">
        <v>719</v>
      </c>
      <c r="D3191" s="5" t="s">
        <v>1544</v>
      </c>
      <c r="E3191" s="5" t="n">
        <v>1</v>
      </c>
      <c r="F3191" s="6" t="n">
        <f aca="false">IFERROR(MATCH(A3191&amp;"|"&amp;B3191&amp;"|"&amp;D3191,'All Song Rankings'!$T:$T,0),0)</f>
        <v>496</v>
      </c>
      <c r="G3191" s="6" t="str">
        <f aca="false">IF(F3191=0,"NOT FOUND",INDEX('All Song Rankings'!$A:$A,F3191))</f>
        <v>Pink Pony Club</v>
      </c>
      <c r="H3191" s="6" t="str">
        <f aca="false">IF(F3191=0,"NOT FOUND",INDEX('All Song Rankings'!$B:$B,F3191))</f>
        <v>Chappell Roan</v>
      </c>
      <c r="I3191" s="6" t="str">
        <f aca="false">IF(F3191=0,"NOT FOUND",INDEX('All Song Rankings'!$D:$D,F3191))</f>
        <v>Kristen</v>
      </c>
      <c r="J3191" s="7" t="str">
        <f aca="false">IF(F3191=0,"NOT FOUND",IF(C3191=I3191,"SELF-VOTE",IF(COUNTIF($K:$K,K3191)&gt;1,"DUPLICATE","OK")))</f>
        <v>OK</v>
      </c>
      <c r="K3191" s="6" t="str">
        <f aca="false">A3191&amp;"|"&amp;B3191&amp;"|"&amp;C3191&amp;"|"&amp;D3191</f>
        <v>5|6|Christine|spotify:track:1k2pQc5i348DCHwbn5KTdc</v>
      </c>
    </row>
    <row r="3192" customFormat="false" ht="15" hidden="false" customHeight="false" outlineLevel="0" collapsed="false">
      <c r="A3192" s="5" t="n">
        <v>5</v>
      </c>
      <c r="B3192" s="5" t="n">
        <v>6</v>
      </c>
      <c r="C3192" s="5" t="s">
        <v>719</v>
      </c>
      <c r="D3192" s="5" t="s">
        <v>1554</v>
      </c>
      <c r="E3192" s="5" t="n">
        <v>1</v>
      </c>
      <c r="F3192" s="6" t="n">
        <f aca="false">IFERROR(MATCH(A3192&amp;"|"&amp;B3192&amp;"|"&amp;D3192,'All Song Rankings'!$T:$T,0),0)</f>
        <v>500</v>
      </c>
      <c r="G3192" s="6" t="str">
        <f aca="false">IF(F3192=0,"NOT FOUND",INDEX('All Song Rankings'!$A:$A,F3192))</f>
        <v>Viva La Vida</v>
      </c>
      <c r="H3192" s="6" t="str">
        <f aca="false">IF(F3192=0,"NOT FOUND",INDEX('All Song Rankings'!$B:$B,F3192))</f>
        <v>Coldplay</v>
      </c>
      <c r="I3192" s="6" t="str">
        <f aca="false">IF(F3192=0,"NOT FOUND",INDEX('All Song Rankings'!$D:$D,F3192))</f>
        <v>Kelsey</v>
      </c>
      <c r="J3192" s="7" t="str">
        <f aca="false">IF(F3192=0,"NOT FOUND",IF(C3192=I3192,"SELF-VOTE",IF(COUNTIF($K:$K,K3192)&gt;1,"DUPLICATE","OK")))</f>
        <v>OK</v>
      </c>
      <c r="K3192" s="6" t="str">
        <f aca="false">A3192&amp;"|"&amp;B3192&amp;"|"&amp;C3192&amp;"|"&amp;D3192</f>
        <v>5|6|Christine|spotify:track:1mea3bSkSGXuIRvnydlB5b</v>
      </c>
    </row>
    <row r="3193" customFormat="false" ht="15" hidden="false" customHeight="false" outlineLevel="0" collapsed="false">
      <c r="A3193" s="5" t="n">
        <v>5</v>
      </c>
      <c r="B3193" s="5" t="n">
        <v>6</v>
      </c>
      <c r="C3193" s="5" t="s">
        <v>719</v>
      </c>
      <c r="D3193" s="5" t="s">
        <v>1566</v>
      </c>
      <c r="E3193" s="5" t="n">
        <v>1</v>
      </c>
      <c r="F3193" s="6" t="n">
        <f aca="false">IFERROR(MATCH(A3193&amp;"|"&amp;B3193&amp;"|"&amp;D3193,'All Song Rankings'!$T:$T,0),0)</f>
        <v>505</v>
      </c>
      <c r="G3193" s="6" t="str">
        <f aca="false">IF(F3193=0,"NOT FOUND",INDEX('All Song Rankings'!$A:$A,F3193))</f>
        <v>Ants Marching</v>
      </c>
      <c r="H3193" s="6" t="str">
        <f aca="false">IF(F3193=0,"NOT FOUND",INDEX('All Song Rankings'!$B:$B,F3193))</f>
        <v>Dave Matthews Band</v>
      </c>
      <c r="I3193" s="6" t="str">
        <f aca="false">IF(F3193=0,"NOT FOUND",INDEX('All Song Rankings'!$D:$D,F3193))</f>
        <v>Stephanie</v>
      </c>
      <c r="J3193" s="7" t="str">
        <f aca="false">IF(F3193=0,"NOT FOUND",IF(C3193=I3193,"SELF-VOTE",IF(COUNTIF($K:$K,K3193)&gt;1,"DUPLICATE","OK")))</f>
        <v>OK</v>
      </c>
      <c r="K3193" s="6" t="str">
        <f aca="false">A3193&amp;"|"&amp;B3193&amp;"|"&amp;C3193&amp;"|"&amp;D3193</f>
        <v>5|6|Christine|spotify:track:2FfZg072w8RoxlMOR7M4CT</v>
      </c>
    </row>
    <row r="3194" customFormat="false" ht="15" hidden="false" customHeight="false" outlineLevel="0" collapsed="false">
      <c r="A3194" s="5" t="n">
        <v>5</v>
      </c>
      <c r="B3194" s="5" t="n">
        <v>6</v>
      </c>
      <c r="C3194" s="5" t="s">
        <v>719</v>
      </c>
      <c r="D3194" s="5" t="s">
        <v>1546</v>
      </c>
      <c r="E3194" s="5" t="n">
        <v>1</v>
      </c>
      <c r="F3194" s="6" t="n">
        <f aca="false">IFERROR(MATCH(A3194&amp;"|"&amp;B3194&amp;"|"&amp;D3194,'All Song Rankings'!$T:$T,0),0)</f>
        <v>497</v>
      </c>
      <c r="G3194" s="6" t="str">
        <f aca="false">IF(F3194=0,"NOT FOUND",INDEX('All Song Rankings'!$A:$A,F3194))</f>
        <v>As It Was</v>
      </c>
      <c r="H3194" s="6" t="str">
        <f aca="false">IF(F3194=0,"NOT FOUND",INDEX('All Song Rankings'!$B:$B,F3194))</f>
        <v>Harry Styles</v>
      </c>
      <c r="I3194" s="6" t="str">
        <f aca="false">IF(F3194=0,"NOT FOUND",INDEX('All Song Rankings'!$D:$D,F3194))</f>
        <v>Aubrey</v>
      </c>
      <c r="J3194" s="7" t="str">
        <f aca="false">IF(F3194=0,"NOT FOUND",IF(C3194=I3194,"SELF-VOTE",IF(COUNTIF($K:$K,K3194)&gt;1,"DUPLICATE","OK")))</f>
        <v>OK</v>
      </c>
      <c r="K3194" s="6" t="str">
        <f aca="false">A3194&amp;"|"&amp;B3194&amp;"|"&amp;C3194&amp;"|"&amp;D3194</f>
        <v>5|6|Christine|spotify:track:4Dvkj6JhhA12EX05fT7y2e</v>
      </c>
    </row>
    <row r="3195" customFormat="false" ht="15" hidden="false" customHeight="false" outlineLevel="0" collapsed="false">
      <c r="A3195" s="5" t="n">
        <v>5</v>
      </c>
      <c r="B3195" s="5" t="n">
        <v>6</v>
      </c>
      <c r="C3195" s="5" t="s">
        <v>719</v>
      </c>
      <c r="D3195" s="5" t="s">
        <v>1572</v>
      </c>
      <c r="E3195" s="5" t="n">
        <v>1</v>
      </c>
      <c r="F3195" s="6" t="n">
        <f aca="false">IFERROR(MATCH(A3195&amp;"|"&amp;B3195&amp;"|"&amp;D3195,'All Song Rankings'!$T:$T,0),0)</f>
        <v>507</v>
      </c>
      <c r="G3195" s="6" t="str">
        <f aca="false">IF(F3195=0,"NOT FOUND",INDEX('All Song Rankings'!$A:$A,F3195))</f>
        <v>Sweet Caroline</v>
      </c>
      <c r="H3195" s="6" t="str">
        <f aca="false">IF(F3195=0,"NOT FOUND",INDEX('All Song Rankings'!$B:$B,F3195))</f>
        <v>Neil Diamond</v>
      </c>
      <c r="I3195" s="6" t="str">
        <f aca="false">IF(F3195=0,"NOT FOUND",INDEX('All Song Rankings'!$D:$D,F3195))</f>
        <v>Scott</v>
      </c>
      <c r="J3195" s="7" t="str">
        <f aca="false">IF(F3195=0,"NOT FOUND",IF(C3195=I3195,"SELF-VOTE",IF(COUNTIF($K:$K,K3195)&gt;1,"DUPLICATE","OK")))</f>
        <v>OK</v>
      </c>
      <c r="K3195" s="6" t="str">
        <f aca="false">A3195&amp;"|"&amp;B3195&amp;"|"&amp;C3195&amp;"|"&amp;D3195</f>
        <v>5|6|Christine|spotify:track:62AuGbAkt8Ox2IrFFb8GKV</v>
      </c>
    </row>
    <row r="3196" customFormat="false" ht="15" hidden="false" customHeight="false" outlineLevel="0" collapsed="false">
      <c r="A3196" s="5" t="n">
        <v>5</v>
      </c>
      <c r="B3196" s="5" t="n">
        <v>6</v>
      </c>
      <c r="C3196" s="5" t="s">
        <v>719</v>
      </c>
      <c r="D3196" s="5" t="s">
        <v>1557</v>
      </c>
      <c r="E3196" s="5" t="n">
        <v>1</v>
      </c>
      <c r="F3196" s="6" t="n">
        <f aca="false">IFERROR(MATCH(A3196&amp;"|"&amp;B3196&amp;"|"&amp;D3196,'All Song Rankings'!$T:$T,0),0)</f>
        <v>502</v>
      </c>
      <c r="G3196" s="6" t="str">
        <f aca="false">IF(F3196=0,"NOT FOUND",INDEX('All Song Rankings'!$A:$A,F3196))</f>
        <v>Mmm Mmm Mmm Mmm</v>
      </c>
      <c r="H3196" s="6" t="str">
        <f aca="false">IF(F3196=0,"NOT FOUND",INDEX('All Song Rankings'!$B:$B,F3196))</f>
        <v>Crash Test Dummies</v>
      </c>
      <c r="I3196" s="6" t="str">
        <f aca="false">IF(F3196=0,"NOT FOUND",INDEX('All Song Rankings'!$D:$D,F3196))</f>
        <v>Matt</v>
      </c>
      <c r="J3196" s="7" t="str">
        <f aca="false">IF(F3196=0,"NOT FOUND",IF(C3196=I3196,"SELF-VOTE",IF(COUNTIF($K:$K,K3196)&gt;1,"DUPLICATE","OK")))</f>
        <v>OK</v>
      </c>
      <c r="K3196" s="6" t="str">
        <f aca="false">A3196&amp;"|"&amp;B3196&amp;"|"&amp;C3196&amp;"|"&amp;D3196</f>
        <v>5|6|Christine|spotify:track:76nvqWPFucUra1xCkN1tnD</v>
      </c>
    </row>
    <row r="3197" customFormat="false" ht="15" hidden="false" customHeight="false" outlineLevel="0" collapsed="false">
      <c r="A3197" s="5" t="n">
        <v>5</v>
      </c>
      <c r="B3197" s="5" t="n">
        <v>6</v>
      </c>
      <c r="C3197" s="5" t="s">
        <v>719</v>
      </c>
      <c r="D3197" s="5" t="s">
        <v>1537</v>
      </c>
      <c r="E3197" s="5" t="n">
        <v>1</v>
      </c>
      <c r="F3197" s="6" t="n">
        <f aca="false">IFERROR(MATCH(A3197&amp;"|"&amp;B3197&amp;"|"&amp;D3197,'All Song Rankings'!$T:$T,0),0)</f>
        <v>493</v>
      </c>
      <c r="G3197" s="6" t="str">
        <f aca="false">IF(F3197=0,"NOT FOUND",INDEX('All Song Rankings'!$A:$A,F3197))</f>
        <v>Closer</v>
      </c>
      <c r="H3197" s="6" t="str">
        <f aca="false">IF(F3197=0,"NOT FOUND",INDEX('All Song Rankings'!$B:$B,F3197))</f>
        <v>The Chainsmokers, Halsey</v>
      </c>
      <c r="I3197" s="6" t="str">
        <f aca="false">IF(F3197=0,"NOT FOUND",INDEX('All Song Rankings'!$D:$D,F3197))</f>
        <v>Logan</v>
      </c>
      <c r="J3197" s="7" t="str">
        <f aca="false">IF(F3197=0,"NOT FOUND",IF(C3197=I3197,"SELF-VOTE",IF(COUNTIF($K:$K,K3197)&gt;1,"DUPLICATE","OK")))</f>
        <v>OK</v>
      </c>
      <c r="K3197" s="6" t="str">
        <f aca="false">A3197&amp;"|"&amp;B3197&amp;"|"&amp;C3197&amp;"|"&amp;D3197</f>
        <v>5|6|Christine|spotify:track:7BKLCZ1jbUBVqRi2FVlTVw</v>
      </c>
    </row>
    <row r="3198" customFormat="false" ht="15" hidden="false" customHeight="false" outlineLevel="0" collapsed="false">
      <c r="A3198" s="5" t="n">
        <v>5</v>
      </c>
      <c r="B3198" s="5" t="n">
        <v>6</v>
      </c>
      <c r="C3198" s="5" t="s">
        <v>719</v>
      </c>
      <c r="D3198" s="5" t="s">
        <v>1549</v>
      </c>
      <c r="E3198" s="5" t="n">
        <v>1</v>
      </c>
      <c r="F3198" s="6" t="n">
        <f aca="false">IFERROR(MATCH(A3198&amp;"|"&amp;B3198&amp;"|"&amp;D3198,'All Song Rankings'!$T:$T,0),0)</f>
        <v>498</v>
      </c>
      <c r="G3198" s="6" t="str">
        <f aca="false">IF(F3198=0,"NOT FOUND",INDEX('All Song Rankings'!$A:$A,F3198))</f>
        <v>She Will Be Loved</v>
      </c>
      <c r="H3198" s="6" t="str">
        <f aca="false">IF(F3198=0,"NOT FOUND",INDEX('All Song Rankings'!$B:$B,F3198))</f>
        <v>Maroon 5</v>
      </c>
      <c r="I3198" s="6" t="str">
        <f aca="false">IF(F3198=0,"NOT FOUND",INDEX('All Song Rankings'!$D:$D,F3198))</f>
        <v>Makenzie</v>
      </c>
      <c r="J3198" s="7" t="str">
        <f aca="false">IF(F3198=0,"NOT FOUND",IF(C3198=I3198,"SELF-VOTE",IF(COUNTIF($K:$K,K3198)&gt;1,"DUPLICATE","OK")))</f>
        <v>OK</v>
      </c>
      <c r="K3198" s="6" t="str">
        <f aca="false">A3198&amp;"|"&amp;B3198&amp;"|"&amp;C3198&amp;"|"&amp;D3198</f>
        <v>5|6|Christine|spotify:track:7sapKrjDij2fpDVj0GxP66</v>
      </c>
    </row>
    <row r="3199" customFormat="false" ht="15" hidden="false" customHeight="false" outlineLevel="0" collapsed="false">
      <c r="A3199" s="5" t="n">
        <v>5</v>
      </c>
      <c r="B3199" s="5" t="n">
        <v>6</v>
      </c>
      <c r="C3199" s="5" t="s">
        <v>719</v>
      </c>
      <c r="D3199" s="5" t="s">
        <v>1538</v>
      </c>
      <c r="E3199" s="5" t="n">
        <v>1</v>
      </c>
      <c r="F3199" s="6" t="n">
        <f aca="false">IFERROR(MATCH(A3199&amp;"|"&amp;B3199&amp;"|"&amp;D3199,'All Song Rankings'!$T:$T,0),0)</f>
        <v>494</v>
      </c>
      <c r="G3199" s="6" t="str">
        <f aca="false">IF(F3199=0,"NOT FOUND",INDEX('All Song Rankings'!$A:$A,F3199))</f>
        <v>Bohemian Rhapsody - Remastered</v>
      </c>
      <c r="H3199" s="6" t="str">
        <f aca="false">IF(F3199=0,"NOT FOUND",INDEX('All Song Rankings'!$B:$B,F3199))</f>
        <v>Queen</v>
      </c>
      <c r="I3199" s="6" t="str">
        <f aca="false">IF(F3199=0,"NOT FOUND",INDEX('All Song Rankings'!$D:$D,F3199))</f>
        <v>Grace</v>
      </c>
      <c r="J3199" s="7" t="str">
        <f aca="false">IF(F3199=0,"NOT FOUND",IF(C3199=I3199,"SELF-VOTE",IF(COUNTIF($K:$K,K3199)&gt;1,"DUPLICATE","OK")))</f>
        <v>OK</v>
      </c>
      <c r="K3199" s="6" t="str">
        <f aca="false">A3199&amp;"|"&amp;B3199&amp;"|"&amp;C3199&amp;"|"&amp;D3199</f>
        <v>5|6|Christine|spotify:track:7tFiyTwD0nx5a1eklYtX2J</v>
      </c>
    </row>
    <row r="3200" customFormat="false" ht="15" hidden="false" customHeight="false" outlineLevel="0" collapsed="false">
      <c r="A3200" s="5" t="n">
        <v>5</v>
      </c>
      <c r="B3200" s="5" t="n">
        <v>6</v>
      </c>
      <c r="C3200" s="5" t="s">
        <v>637</v>
      </c>
      <c r="D3200" s="5" t="s">
        <v>1544</v>
      </c>
      <c r="E3200" s="5" t="n">
        <v>1</v>
      </c>
      <c r="F3200" s="6" t="n">
        <f aca="false">IFERROR(MATCH(A3200&amp;"|"&amp;B3200&amp;"|"&amp;D3200,'All Song Rankings'!$T:$T,0),0)</f>
        <v>496</v>
      </c>
      <c r="G3200" s="6" t="str">
        <f aca="false">IF(F3200=0,"NOT FOUND",INDEX('All Song Rankings'!$A:$A,F3200))</f>
        <v>Pink Pony Club</v>
      </c>
      <c r="H3200" s="6" t="str">
        <f aca="false">IF(F3200=0,"NOT FOUND",INDEX('All Song Rankings'!$B:$B,F3200))</f>
        <v>Chappell Roan</v>
      </c>
      <c r="I3200" s="6" t="str">
        <f aca="false">IF(F3200=0,"NOT FOUND",INDEX('All Song Rankings'!$D:$D,F3200))</f>
        <v>Kristen</v>
      </c>
      <c r="J3200" s="7" t="str">
        <f aca="false">IF(F3200=0,"NOT FOUND",IF(C3200=I3200,"SELF-VOTE",IF(COUNTIF($K:$K,K3200)&gt;1,"DUPLICATE","OK")))</f>
        <v>OK</v>
      </c>
      <c r="K3200" s="6" t="str">
        <f aca="false">A3200&amp;"|"&amp;B3200&amp;"|"&amp;C3200&amp;"|"&amp;D3200</f>
        <v>5|6|Colleen|spotify:track:1k2pQc5i348DCHwbn5KTdc</v>
      </c>
    </row>
    <row r="3201" customFormat="false" ht="15" hidden="false" customHeight="false" outlineLevel="0" collapsed="false">
      <c r="A3201" s="5" t="n">
        <v>5</v>
      </c>
      <c r="B3201" s="5" t="n">
        <v>6</v>
      </c>
      <c r="C3201" s="5" t="s">
        <v>637</v>
      </c>
      <c r="D3201" s="5" t="s">
        <v>1546</v>
      </c>
      <c r="E3201" s="5" t="n">
        <v>1</v>
      </c>
      <c r="F3201" s="6" t="n">
        <f aca="false">IFERROR(MATCH(A3201&amp;"|"&amp;B3201&amp;"|"&amp;D3201,'All Song Rankings'!$T:$T,0),0)</f>
        <v>497</v>
      </c>
      <c r="G3201" s="6" t="str">
        <f aca="false">IF(F3201=0,"NOT FOUND",INDEX('All Song Rankings'!$A:$A,F3201))</f>
        <v>As It Was</v>
      </c>
      <c r="H3201" s="6" t="str">
        <f aca="false">IF(F3201=0,"NOT FOUND",INDEX('All Song Rankings'!$B:$B,F3201))</f>
        <v>Harry Styles</v>
      </c>
      <c r="I3201" s="6" t="str">
        <f aca="false">IF(F3201=0,"NOT FOUND",INDEX('All Song Rankings'!$D:$D,F3201))</f>
        <v>Aubrey</v>
      </c>
      <c r="J3201" s="7" t="str">
        <f aca="false">IF(F3201=0,"NOT FOUND",IF(C3201=I3201,"SELF-VOTE",IF(COUNTIF($K:$K,K3201)&gt;1,"DUPLICATE","OK")))</f>
        <v>OK</v>
      </c>
      <c r="K3201" s="6" t="str">
        <f aca="false">A3201&amp;"|"&amp;B3201&amp;"|"&amp;C3201&amp;"|"&amp;D3201</f>
        <v>5|6|Colleen|spotify:track:4Dvkj6JhhA12EX05fT7y2e</v>
      </c>
    </row>
    <row r="3202" customFormat="false" ht="15" hidden="false" customHeight="false" outlineLevel="0" collapsed="false">
      <c r="A3202" s="5" t="n">
        <v>5</v>
      </c>
      <c r="B3202" s="5" t="n">
        <v>6</v>
      </c>
      <c r="C3202" s="5" t="s">
        <v>637</v>
      </c>
      <c r="D3202" s="5" t="s">
        <v>1552</v>
      </c>
      <c r="E3202" s="5" t="n">
        <v>1</v>
      </c>
      <c r="F3202" s="6" t="n">
        <f aca="false">IFERROR(MATCH(A3202&amp;"|"&amp;B3202&amp;"|"&amp;D3202,'All Song Rankings'!$T:$T,0),0)</f>
        <v>499</v>
      </c>
      <c r="G3202" s="6" t="str">
        <f aca="false">IF(F3202=0,"NOT FOUND",INDEX('All Song Rankings'!$A:$A,F3202))</f>
        <v>I Can't Love You Anymore</v>
      </c>
      <c r="H3202" s="6" t="str">
        <f aca="false">IF(F3202=0,"NOT FOUND",INDEX('All Song Rankings'!$B:$B,F3202))</f>
        <v>Ella Langley, Morgan Wallen</v>
      </c>
      <c r="I3202" s="6" t="str">
        <f aca="false">IF(F3202=0,"NOT FOUND",INDEX('All Song Rankings'!$D:$D,F3202))</f>
        <v>Christine</v>
      </c>
      <c r="J3202" s="7" t="str">
        <f aca="false">IF(F3202=0,"NOT FOUND",IF(C3202=I3202,"SELF-VOTE",IF(COUNTIF($K:$K,K3202)&gt;1,"DUPLICATE","OK")))</f>
        <v>OK</v>
      </c>
      <c r="K3202" s="6" t="str">
        <f aca="false">A3202&amp;"|"&amp;B3202&amp;"|"&amp;C3202&amp;"|"&amp;D3202</f>
        <v>5|6|Colleen|spotify:track:5aVBxVa0kz9uzv0F4gwdEn</v>
      </c>
    </row>
    <row r="3203" customFormat="false" ht="15" hidden="false" customHeight="false" outlineLevel="0" collapsed="false">
      <c r="A3203" s="5" t="n">
        <v>5</v>
      </c>
      <c r="B3203" s="5" t="n">
        <v>6</v>
      </c>
      <c r="C3203" s="5" t="s">
        <v>637</v>
      </c>
      <c r="D3203" s="5" t="s">
        <v>1572</v>
      </c>
      <c r="E3203" s="5" t="n">
        <v>2</v>
      </c>
      <c r="F3203" s="6" t="n">
        <f aca="false">IFERROR(MATCH(A3203&amp;"|"&amp;B3203&amp;"|"&amp;D3203,'All Song Rankings'!$T:$T,0),0)</f>
        <v>507</v>
      </c>
      <c r="G3203" s="6" t="str">
        <f aca="false">IF(F3203=0,"NOT FOUND",INDEX('All Song Rankings'!$A:$A,F3203))</f>
        <v>Sweet Caroline</v>
      </c>
      <c r="H3203" s="6" t="str">
        <f aca="false">IF(F3203=0,"NOT FOUND",INDEX('All Song Rankings'!$B:$B,F3203))</f>
        <v>Neil Diamond</v>
      </c>
      <c r="I3203" s="6" t="str">
        <f aca="false">IF(F3203=0,"NOT FOUND",INDEX('All Song Rankings'!$D:$D,F3203))</f>
        <v>Scott</v>
      </c>
      <c r="J3203" s="7" t="str">
        <f aca="false">IF(F3203=0,"NOT FOUND",IF(C3203=I3203,"SELF-VOTE",IF(COUNTIF($K:$K,K3203)&gt;1,"DUPLICATE","OK")))</f>
        <v>OK</v>
      </c>
      <c r="K3203" s="6" t="str">
        <f aca="false">A3203&amp;"|"&amp;B3203&amp;"|"&amp;C3203&amp;"|"&amp;D3203</f>
        <v>5|6|Colleen|spotify:track:62AuGbAkt8Ox2IrFFb8GKV</v>
      </c>
    </row>
    <row r="3204" customFormat="false" ht="15" hidden="false" customHeight="false" outlineLevel="0" collapsed="false">
      <c r="A3204" s="5" t="n">
        <v>5</v>
      </c>
      <c r="B3204" s="5" t="n">
        <v>6</v>
      </c>
      <c r="C3204" s="5" t="s">
        <v>637</v>
      </c>
      <c r="D3204" s="5" t="s">
        <v>1537</v>
      </c>
      <c r="E3204" s="5" t="n">
        <v>2</v>
      </c>
      <c r="F3204" s="6" t="n">
        <f aca="false">IFERROR(MATCH(A3204&amp;"|"&amp;B3204&amp;"|"&amp;D3204,'All Song Rankings'!$T:$T,0),0)</f>
        <v>493</v>
      </c>
      <c r="G3204" s="6" t="str">
        <f aca="false">IF(F3204=0,"NOT FOUND",INDEX('All Song Rankings'!$A:$A,F3204))</f>
        <v>Closer</v>
      </c>
      <c r="H3204" s="6" t="str">
        <f aca="false">IF(F3204=0,"NOT FOUND",INDEX('All Song Rankings'!$B:$B,F3204))</f>
        <v>The Chainsmokers, Halsey</v>
      </c>
      <c r="I3204" s="6" t="str">
        <f aca="false">IF(F3204=0,"NOT FOUND",INDEX('All Song Rankings'!$D:$D,F3204))</f>
        <v>Logan</v>
      </c>
      <c r="J3204" s="7" t="str">
        <f aca="false">IF(F3204=0,"NOT FOUND",IF(C3204=I3204,"SELF-VOTE",IF(COUNTIF($K:$K,K3204)&gt;1,"DUPLICATE","OK")))</f>
        <v>OK</v>
      </c>
      <c r="K3204" s="6" t="str">
        <f aca="false">A3204&amp;"|"&amp;B3204&amp;"|"&amp;C3204&amp;"|"&amp;D3204</f>
        <v>5|6|Colleen|spotify:track:7BKLCZ1jbUBVqRi2FVlTVw</v>
      </c>
    </row>
    <row r="3205" customFormat="false" ht="15" hidden="false" customHeight="false" outlineLevel="0" collapsed="false">
      <c r="A3205" s="5" t="n">
        <v>5</v>
      </c>
      <c r="B3205" s="5" t="n">
        <v>6</v>
      </c>
      <c r="C3205" s="5" t="s">
        <v>637</v>
      </c>
      <c r="D3205" s="5" t="s">
        <v>1549</v>
      </c>
      <c r="E3205" s="5" t="n">
        <v>1</v>
      </c>
      <c r="F3205" s="6" t="n">
        <f aca="false">IFERROR(MATCH(A3205&amp;"|"&amp;B3205&amp;"|"&amp;D3205,'All Song Rankings'!$T:$T,0),0)</f>
        <v>498</v>
      </c>
      <c r="G3205" s="6" t="str">
        <f aca="false">IF(F3205=0,"NOT FOUND",INDEX('All Song Rankings'!$A:$A,F3205))</f>
        <v>She Will Be Loved</v>
      </c>
      <c r="H3205" s="6" t="str">
        <f aca="false">IF(F3205=0,"NOT FOUND",INDEX('All Song Rankings'!$B:$B,F3205))</f>
        <v>Maroon 5</v>
      </c>
      <c r="I3205" s="6" t="str">
        <f aca="false">IF(F3205=0,"NOT FOUND",INDEX('All Song Rankings'!$D:$D,F3205))</f>
        <v>Makenzie</v>
      </c>
      <c r="J3205" s="7" t="str">
        <f aca="false">IF(F3205=0,"NOT FOUND",IF(C3205=I3205,"SELF-VOTE",IF(COUNTIF($K:$K,K3205)&gt;1,"DUPLICATE","OK")))</f>
        <v>OK</v>
      </c>
      <c r="K3205" s="6" t="str">
        <f aca="false">A3205&amp;"|"&amp;B3205&amp;"|"&amp;C3205&amp;"|"&amp;D3205</f>
        <v>5|6|Colleen|spotify:track:7sapKrjDij2fpDVj0GxP66</v>
      </c>
    </row>
    <row r="3206" customFormat="false" ht="15" hidden="false" customHeight="false" outlineLevel="0" collapsed="false">
      <c r="A3206" s="5" t="n">
        <v>5</v>
      </c>
      <c r="B3206" s="5" t="n">
        <v>6</v>
      </c>
      <c r="C3206" s="5" t="s">
        <v>637</v>
      </c>
      <c r="D3206" s="5" t="s">
        <v>1538</v>
      </c>
      <c r="E3206" s="5" t="n">
        <v>2</v>
      </c>
      <c r="F3206" s="6" t="n">
        <f aca="false">IFERROR(MATCH(A3206&amp;"|"&amp;B3206&amp;"|"&amp;D3206,'All Song Rankings'!$T:$T,0),0)</f>
        <v>494</v>
      </c>
      <c r="G3206" s="6" t="str">
        <f aca="false">IF(F3206=0,"NOT FOUND",INDEX('All Song Rankings'!$A:$A,F3206))</f>
        <v>Bohemian Rhapsody - Remastered</v>
      </c>
      <c r="H3206" s="6" t="str">
        <f aca="false">IF(F3206=0,"NOT FOUND",INDEX('All Song Rankings'!$B:$B,F3206))</f>
        <v>Queen</v>
      </c>
      <c r="I3206" s="6" t="str">
        <f aca="false">IF(F3206=0,"NOT FOUND",INDEX('All Song Rankings'!$D:$D,F3206))</f>
        <v>Grace</v>
      </c>
      <c r="J3206" s="7" t="str">
        <f aca="false">IF(F3206=0,"NOT FOUND",IF(C3206=I3206,"SELF-VOTE",IF(COUNTIF($K:$K,K3206)&gt;1,"DUPLICATE","OK")))</f>
        <v>OK</v>
      </c>
      <c r="K3206" s="6" t="str">
        <f aca="false">A3206&amp;"|"&amp;B3206&amp;"|"&amp;C3206&amp;"|"&amp;D3206</f>
        <v>5|6|Colleen|spotify:track:7tFiyTwD0nx5a1eklYtX2J</v>
      </c>
    </row>
    <row r="3207" customFormat="false" ht="15" hidden="false" customHeight="false" outlineLevel="0" collapsed="false">
      <c r="A3207" s="5" t="n">
        <v>5</v>
      </c>
      <c r="B3207" s="5" t="n">
        <v>6</v>
      </c>
      <c r="C3207" s="5" t="s">
        <v>382</v>
      </c>
      <c r="D3207" s="5" t="s">
        <v>1544</v>
      </c>
      <c r="E3207" s="5" t="n">
        <v>1</v>
      </c>
      <c r="F3207" s="6" t="n">
        <f aca="false">IFERROR(MATCH(A3207&amp;"|"&amp;B3207&amp;"|"&amp;D3207,'All Song Rankings'!$T:$T,0),0)</f>
        <v>496</v>
      </c>
      <c r="G3207" s="6" t="str">
        <f aca="false">IF(F3207=0,"NOT FOUND",INDEX('All Song Rankings'!$A:$A,F3207))</f>
        <v>Pink Pony Club</v>
      </c>
      <c r="H3207" s="6" t="str">
        <f aca="false">IF(F3207=0,"NOT FOUND",INDEX('All Song Rankings'!$B:$B,F3207))</f>
        <v>Chappell Roan</v>
      </c>
      <c r="I3207" s="6" t="str">
        <f aca="false">IF(F3207=0,"NOT FOUND",INDEX('All Song Rankings'!$D:$D,F3207))</f>
        <v>Kristen</v>
      </c>
      <c r="J3207" s="7" t="str">
        <f aca="false">IF(F3207=0,"NOT FOUND",IF(C3207=I3207,"SELF-VOTE",IF(COUNTIF($K:$K,K3207)&gt;1,"DUPLICATE","OK")))</f>
        <v>OK</v>
      </c>
      <c r="K3207" s="6" t="str">
        <f aca="false">A3207&amp;"|"&amp;B3207&amp;"|"&amp;C3207&amp;"|"&amp;D3207</f>
        <v>5|6|Grace|spotify:track:1k2pQc5i348DCHwbn5KTdc</v>
      </c>
    </row>
    <row r="3208" customFormat="false" ht="15" hidden="false" customHeight="false" outlineLevel="0" collapsed="false">
      <c r="A3208" s="5" t="n">
        <v>5</v>
      </c>
      <c r="B3208" s="5" t="n">
        <v>6</v>
      </c>
      <c r="C3208" s="5" t="s">
        <v>382</v>
      </c>
      <c r="D3208" s="5" t="s">
        <v>1554</v>
      </c>
      <c r="E3208" s="5" t="n">
        <v>2</v>
      </c>
      <c r="F3208" s="6" t="n">
        <f aca="false">IFERROR(MATCH(A3208&amp;"|"&amp;B3208&amp;"|"&amp;D3208,'All Song Rankings'!$T:$T,0),0)</f>
        <v>500</v>
      </c>
      <c r="G3208" s="6" t="str">
        <f aca="false">IF(F3208=0,"NOT FOUND",INDEX('All Song Rankings'!$A:$A,F3208))</f>
        <v>Viva La Vida</v>
      </c>
      <c r="H3208" s="6" t="str">
        <f aca="false">IF(F3208=0,"NOT FOUND",INDEX('All Song Rankings'!$B:$B,F3208))</f>
        <v>Coldplay</v>
      </c>
      <c r="I3208" s="6" t="str">
        <f aca="false">IF(F3208=0,"NOT FOUND",INDEX('All Song Rankings'!$D:$D,F3208))</f>
        <v>Kelsey</v>
      </c>
      <c r="J3208" s="7" t="str">
        <f aca="false">IF(F3208=0,"NOT FOUND",IF(C3208=I3208,"SELF-VOTE",IF(COUNTIF($K:$K,K3208)&gt;1,"DUPLICATE","OK")))</f>
        <v>OK</v>
      </c>
      <c r="K3208" s="6" t="str">
        <f aca="false">A3208&amp;"|"&amp;B3208&amp;"|"&amp;C3208&amp;"|"&amp;D3208</f>
        <v>5|6|Grace|spotify:track:1mea3bSkSGXuIRvnydlB5b</v>
      </c>
    </row>
    <row r="3209" customFormat="false" ht="15" hidden="false" customHeight="false" outlineLevel="0" collapsed="false">
      <c r="A3209" s="5" t="n">
        <v>5</v>
      </c>
      <c r="B3209" s="5" t="n">
        <v>6</v>
      </c>
      <c r="C3209" s="5" t="s">
        <v>382</v>
      </c>
      <c r="D3209" s="5" t="s">
        <v>1566</v>
      </c>
      <c r="E3209" s="5" t="n">
        <v>1</v>
      </c>
      <c r="F3209" s="6" t="n">
        <f aca="false">IFERROR(MATCH(A3209&amp;"|"&amp;B3209&amp;"|"&amp;D3209,'All Song Rankings'!$T:$T,0),0)</f>
        <v>505</v>
      </c>
      <c r="G3209" s="6" t="str">
        <f aca="false">IF(F3209=0,"NOT FOUND",INDEX('All Song Rankings'!$A:$A,F3209))</f>
        <v>Ants Marching</v>
      </c>
      <c r="H3209" s="6" t="str">
        <f aca="false">IF(F3209=0,"NOT FOUND",INDEX('All Song Rankings'!$B:$B,F3209))</f>
        <v>Dave Matthews Band</v>
      </c>
      <c r="I3209" s="6" t="str">
        <f aca="false">IF(F3209=0,"NOT FOUND",INDEX('All Song Rankings'!$D:$D,F3209))</f>
        <v>Stephanie</v>
      </c>
      <c r="J3209" s="7" t="str">
        <f aca="false">IF(F3209=0,"NOT FOUND",IF(C3209=I3209,"SELF-VOTE",IF(COUNTIF($K:$K,K3209)&gt;1,"DUPLICATE","OK")))</f>
        <v>OK</v>
      </c>
      <c r="K3209" s="6" t="str">
        <f aca="false">A3209&amp;"|"&amp;B3209&amp;"|"&amp;C3209&amp;"|"&amp;D3209</f>
        <v>5|6|Grace|spotify:track:2FfZg072w8RoxlMOR7M4CT</v>
      </c>
    </row>
    <row r="3210" customFormat="false" ht="15" hidden="false" customHeight="false" outlineLevel="0" collapsed="false">
      <c r="A3210" s="5" t="n">
        <v>5</v>
      </c>
      <c r="B3210" s="5" t="n">
        <v>6</v>
      </c>
      <c r="C3210" s="5" t="s">
        <v>382</v>
      </c>
      <c r="D3210" s="5" t="s">
        <v>1546</v>
      </c>
      <c r="E3210" s="5" t="n">
        <v>2</v>
      </c>
      <c r="F3210" s="6" t="n">
        <f aca="false">IFERROR(MATCH(A3210&amp;"|"&amp;B3210&amp;"|"&amp;D3210,'All Song Rankings'!$T:$T,0),0)</f>
        <v>497</v>
      </c>
      <c r="G3210" s="6" t="str">
        <f aca="false">IF(F3210=0,"NOT FOUND",INDEX('All Song Rankings'!$A:$A,F3210))</f>
        <v>As It Was</v>
      </c>
      <c r="H3210" s="6" t="str">
        <f aca="false">IF(F3210=0,"NOT FOUND",INDEX('All Song Rankings'!$B:$B,F3210))</f>
        <v>Harry Styles</v>
      </c>
      <c r="I3210" s="6" t="str">
        <f aca="false">IF(F3210=0,"NOT FOUND",INDEX('All Song Rankings'!$D:$D,F3210))</f>
        <v>Aubrey</v>
      </c>
      <c r="J3210" s="7" t="str">
        <f aca="false">IF(F3210=0,"NOT FOUND",IF(C3210=I3210,"SELF-VOTE",IF(COUNTIF($K:$K,K3210)&gt;1,"DUPLICATE","OK")))</f>
        <v>OK</v>
      </c>
      <c r="K3210" s="6" t="str">
        <f aca="false">A3210&amp;"|"&amp;B3210&amp;"|"&amp;C3210&amp;"|"&amp;D3210</f>
        <v>5|6|Grace|spotify:track:4Dvkj6JhhA12EX05fT7y2e</v>
      </c>
    </row>
    <row r="3211" customFormat="false" ht="15" hidden="false" customHeight="false" outlineLevel="0" collapsed="false">
      <c r="A3211" s="5" t="n">
        <v>5</v>
      </c>
      <c r="B3211" s="5" t="n">
        <v>6</v>
      </c>
      <c r="C3211" s="5" t="s">
        <v>382</v>
      </c>
      <c r="D3211" s="5" t="s">
        <v>1572</v>
      </c>
      <c r="E3211" s="5" t="n">
        <v>1</v>
      </c>
      <c r="F3211" s="6" t="n">
        <f aca="false">IFERROR(MATCH(A3211&amp;"|"&amp;B3211&amp;"|"&amp;D3211,'All Song Rankings'!$T:$T,0),0)</f>
        <v>507</v>
      </c>
      <c r="G3211" s="6" t="str">
        <f aca="false">IF(F3211=0,"NOT FOUND",INDEX('All Song Rankings'!$A:$A,F3211))</f>
        <v>Sweet Caroline</v>
      </c>
      <c r="H3211" s="6" t="str">
        <f aca="false">IF(F3211=0,"NOT FOUND",INDEX('All Song Rankings'!$B:$B,F3211))</f>
        <v>Neil Diamond</v>
      </c>
      <c r="I3211" s="6" t="str">
        <f aca="false">IF(F3211=0,"NOT FOUND",INDEX('All Song Rankings'!$D:$D,F3211))</f>
        <v>Scott</v>
      </c>
      <c r="J3211" s="7" t="str">
        <f aca="false">IF(F3211=0,"NOT FOUND",IF(C3211=I3211,"SELF-VOTE",IF(COUNTIF($K:$K,K3211)&gt;1,"DUPLICATE","OK")))</f>
        <v>OK</v>
      </c>
      <c r="K3211" s="6" t="str">
        <f aca="false">A3211&amp;"|"&amp;B3211&amp;"|"&amp;C3211&amp;"|"&amp;D3211</f>
        <v>5|6|Grace|spotify:track:62AuGbAkt8Ox2IrFFb8GKV</v>
      </c>
    </row>
    <row r="3212" customFormat="false" ht="15" hidden="false" customHeight="false" outlineLevel="0" collapsed="false">
      <c r="A3212" s="5" t="n">
        <v>5</v>
      </c>
      <c r="B3212" s="5" t="n">
        <v>6</v>
      </c>
      <c r="C3212" s="5" t="s">
        <v>382</v>
      </c>
      <c r="D3212" s="5" t="s">
        <v>1537</v>
      </c>
      <c r="E3212" s="5" t="n">
        <v>2</v>
      </c>
      <c r="F3212" s="6" t="n">
        <f aca="false">IFERROR(MATCH(A3212&amp;"|"&amp;B3212&amp;"|"&amp;D3212,'All Song Rankings'!$T:$T,0),0)</f>
        <v>493</v>
      </c>
      <c r="G3212" s="6" t="str">
        <f aca="false">IF(F3212=0,"NOT FOUND",INDEX('All Song Rankings'!$A:$A,F3212))</f>
        <v>Closer</v>
      </c>
      <c r="H3212" s="6" t="str">
        <f aca="false">IF(F3212=0,"NOT FOUND",INDEX('All Song Rankings'!$B:$B,F3212))</f>
        <v>The Chainsmokers, Halsey</v>
      </c>
      <c r="I3212" s="6" t="str">
        <f aca="false">IF(F3212=0,"NOT FOUND",INDEX('All Song Rankings'!$D:$D,F3212))</f>
        <v>Logan</v>
      </c>
      <c r="J3212" s="7" t="str">
        <f aca="false">IF(F3212=0,"NOT FOUND",IF(C3212=I3212,"SELF-VOTE",IF(COUNTIF($K:$K,K3212)&gt;1,"DUPLICATE","OK")))</f>
        <v>OK</v>
      </c>
      <c r="K3212" s="6" t="str">
        <f aca="false">A3212&amp;"|"&amp;B3212&amp;"|"&amp;C3212&amp;"|"&amp;D3212</f>
        <v>5|6|Grace|spotify:track:7BKLCZ1jbUBVqRi2FVlTVw</v>
      </c>
    </row>
    <row r="3213" customFormat="false" ht="15" hidden="false" customHeight="false" outlineLevel="0" collapsed="false">
      <c r="A3213" s="5" t="n">
        <v>5</v>
      </c>
      <c r="B3213" s="5" t="n">
        <v>6</v>
      </c>
      <c r="C3213" s="5" t="s">
        <v>382</v>
      </c>
      <c r="D3213" s="5" t="s">
        <v>1549</v>
      </c>
      <c r="E3213" s="5" t="n">
        <v>1</v>
      </c>
      <c r="F3213" s="6" t="n">
        <f aca="false">IFERROR(MATCH(A3213&amp;"|"&amp;B3213&amp;"|"&amp;D3213,'All Song Rankings'!$T:$T,0),0)</f>
        <v>498</v>
      </c>
      <c r="G3213" s="6" t="str">
        <f aca="false">IF(F3213=0,"NOT FOUND",INDEX('All Song Rankings'!$A:$A,F3213))</f>
        <v>She Will Be Loved</v>
      </c>
      <c r="H3213" s="6" t="str">
        <f aca="false">IF(F3213=0,"NOT FOUND",INDEX('All Song Rankings'!$B:$B,F3213))</f>
        <v>Maroon 5</v>
      </c>
      <c r="I3213" s="6" t="str">
        <f aca="false">IF(F3213=0,"NOT FOUND",INDEX('All Song Rankings'!$D:$D,F3213))</f>
        <v>Makenzie</v>
      </c>
      <c r="J3213" s="7" t="str">
        <f aca="false">IF(F3213=0,"NOT FOUND",IF(C3213=I3213,"SELF-VOTE",IF(COUNTIF($K:$K,K3213)&gt;1,"DUPLICATE","OK")))</f>
        <v>OK</v>
      </c>
      <c r="K3213" s="6" t="str">
        <f aca="false">A3213&amp;"|"&amp;B3213&amp;"|"&amp;C3213&amp;"|"&amp;D3213</f>
        <v>5|6|Grace|spotify:track:7sapKrjDij2fpDVj0GxP66</v>
      </c>
    </row>
    <row r="3214" customFormat="false" ht="15" hidden="false" customHeight="false" outlineLevel="0" collapsed="false">
      <c r="A3214" s="5" t="n">
        <v>5</v>
      </c>
      <c r="B3214" s="5" t="n">
        <v>6</v>
      </c>
      <c r="C3214" s="5" t="s">
        <v>85</v>
      </c>
      <c r="D3214" s="5" t="s">
        <v>1544</v>
      </c>
      <c r="E3214" s="5" t="n">
        <v>1</v>
      </c>
      <c r="F3214" s="6" t="n">
        <f aca="false">IFERROR(MATCH(A3214&amp;"|"&amp;B3214&amp;"|"&amp;D3214,'All Song Rankings'!$T:$T,0),0)</f>
        <v>496</v>
      </c>
      <c r="G3214" s="6" t="str">
        <f aca="false">IF(F3214=0,"NOT FOUND",INDEX('All Song Rankings'!$A:$A,F3214))</f>
        <v>Pink Pony Club</v>
      </c>
      <c r="H3214" s="6" t="str">
        <f aca="false">IF(F3214=0,"NOT FOUND",INDEX('All Song Rankings'!$B:$B,F3214))</f>
        <v>Chappell Roan</v>
      </c>
      <c r="I3214" s="6" t="str">
        <f aca="false">IF(F3214=0,"NOT FOUND",INDEX('All Song Rankings'!$D:$D,F3214))</f>
        <v>Kristen</v>
      </c>
      <c r="J3214" s="7" t="str">
        <f aca="false">IF(F3214=0,"NOT FOUND",IF(C3214=I3214,"SELF-VOTE",IF(COUNTIF($K:$K,K3214)&gt;1,"DUPLICATE","OK")))</f>
        <v>OK</v>
      </c>
      <c r="K3214" s="6" t="str">
        <f aca="false">A3214&amp;"|"&amp;B3214&amp;"|"&amp;C3214&amp;"|"&amp;D3214</f>
        <v>5|6|Kelsey|spotify:track:1k2pQc5i348DCHwbn5KTdc</v>
      </c>
    </row>
    <row r="3215" customFormat="false" ht="15" hidden="false" customHeight="false" outlineLevel="0" collapsed="false">
      <c r="A3215" s="5" t="n">
        <v>5</v>
      </c>
      <c r="B3215" s="5" t="n">
        <v>6</v>
      </c>
      <c r="C3215" s="5" t="s">
        <v>85</v>
      </c>
      <c r="D3215" s="5" t="s">
        <v>1546</v>
      </c>
      <c r="E3215" s="5" t="n">
        <v>1</v>
      </c>
      <c r="F3215" s="6" t="n">
        <f aca="false">IFERROR(MATCH(A3215&amp;"|"&amp;B3215&amp;"|"&amp;D3215,'All Song Rankings'!$T:$T,0),0)</f>
        <v>497</v>
      </c>
      <c r="G3215" s="6" t="str">
        <f aca="false">IF(F3215=0,"NOT FOUND",INDEX('All Song Rankings'!$A:$A,F3215))</f>
        <v>As It Was</v>
      </c>
      <c r="H3215" s="6" t="str">
        <f aca="false">IF(F3215=0,"NOT FOUND",INDEX('All Song Rankings'!$B:$B,F3215))</f>
        <v>Harry Styles</v>
      </c>
      <c r="I3215" s="6" t="str">
        <f aca="false">IF(F3215=0,"NOT FOUND",INDEX('All Song Rankings'!$D:$D,F3215))</f>
        <v>Aubrey</v>
      </c>
      <c r="J3215" s="7" t="str">
        <f aca="false">IF(F3215=0,"NOT FOUND",IF(C3215=I3215,"SELF-VOTE",IF(COUNTIF($K:$K,K3215)&gt;1,"DUPLICATE","OK")))</f>
        <v>OK</v>
      </c>
      <c r="K3215" s="6" t="str">
        <f aca="false">A3215&amp;"|"&amp;B3215&amp;"|"&amp;C3215&amp;"|"&amp;D3215</f>
        <v>5|6|Kelsey|spotify:track:4Dvkj6JhhA12EX05fT7y2e</v>
      </c>
    </row>
    <row r="3216" customFormat="false" ht="15" hidden="false" customHeight="false" outlineLevel="0" collapsed="false">
      <c r="A3216" s="5" t="n">
        <v>5</v>
      </c>
      <c r="B3216" s="5" t="n">
        <v>6</v>
      </c>
      <c r="C3216" s="5" t="s">
        <v>85</v>
      </c>
      <c r="D3216" s="5" t="s">
        <v>1541</v>
      </c>
      <c r="E3216" s="5" t="n">
        <v>2</v>
      </c>
      <c r="F3216" s="6" t="n">
        <f aca="false">IFERROR(MATCH(A3216&amp;"|"&amp;B3216&amp;"|"&amp;D3216,'All Song Rankings'!$T:$T,0),0)</f>
        <v>495</v>
      </c>
      <c r="G3216" s="6" t="str">
        <f aca="false">IF(F3216=0,"NOT FOUND",INDEX('All Song Rankings'!$A:$A,F3216))</f>
        <v>Night at the Opera</v>
      </c>
      <c r="H3216" s="6" t="str">
        <f aca="false">IF(F3216=0,"NOT FOUND",INDEX('All Song Rankings'!$B:$B,F3216))</f>
        <v>Emei</v>
      </c>
      <c r="I3216" s="6" t="str">
        <f aca="false">IF(F3216=0,"NOT FOUND",INDEX('All Song Rankings'!$D:$D,F3216))</f>
        <v>Leah</v>
      </c>
      <c r="J3216" s="7" t="str">
        <f aca="false">IF(F3216=0,"NOT FOUND",IF(C3216=I3216,"SELF-VOTE",IF(COUNTIF($K:$K,K3216)&gt;1,"DUPLICATE","OK")))</f>
        <v>OK</v>
      </c>
      <c r="K3216" s="6" t="str">
        <f aca="false">A3216&amp;"|"&amp;B3216&amp;"|"&amp;C3216&amp;"|"&amp;D3216</f>
        <v>5|6|Kelsey|spotify:track:4ikhbKiw9pKYkWitSR7M7u</v>
      </c>
    </row>
    <row r="3217" customFormat="false" ht="15" hidden="false" customHeight="false" outlineLevel="0" collapsed="false">
      <c r="A3217" s="5" t="n">
        <v>5</v>
      </c>
      <c r="B3217" s="5" t="n">
        <v>6</v>
      </c>
      <c r="C3217" s="5" t="s">
        <v>85</v>
      </c>
      <c r="D3217" s="5" t="s">
        <v>1552</v>
      </c>
      <c r="E3217" s="5" t="n">
        <v>3</v>
      </c>
      <c r="F3217" s="6" t="n">
        <f aca="false">IFERROR(MATCH(A3217&amp;"|"&amp;B3217&amp;"|"&amp;D3217,'All Song Rankings'!$T:$T,0),0)</f>
        <v>499</v>
      </c>
      <c r="G3217" s="6" t="str">
        <f aca="false">IF(F3217=0,"NOT FOUND",INDEX('All Song Rankings'!$A:$A,F3217))</f>
        <v>I Can't Love You Anymore</v>
      </c>
      <c r="H3217" s="6" t="str">
        <f aca="false">IF(F3217=0,"NOT FOUND",INDEX('All Song Rankings'!$B:$B,F3217))</f>
        <v>Ella Langley, Morgan Wallen</v>
      </c>
      <c r="I3217" s="6" t="str">
        <f aca="false">IF(F3217=0,"NOT FOUND",INDEX('All Song Rankings'!$D:$D,F3217))</f>
        <v>Christine</v>
      </c>
      <c r="J3217" s="7" t="str">
        <f aca="false">IF(F3217=0,"NOT FOUND",IF(C3217=I3217,"SELF-VOTE",IF(COUNTIF($K:$K,K3217)&gt;1,"DUPLICATE","OK")))</f>
        <v>OK</v>
      </c>
      <c r="K3217" s="6" t="str">
        <f aca="false">A3217&amp;"|"&amp;B3217&amp;"|"&amp;C3217&amp;"|"&amp;D3217</f>
        <v>5|6|Kelsey|spotify:track:5aVBxVa0kz9uzv0F4gwdEn</v>
      </c>
    </row>
    <row r="3218" customFormat="false" ht="15" hidden="false" customHeight="false" outlineLevel="0" collapsed="false">
      <c r="A3218" s="5" t="n">
        <v>5</v>
      </c>
      <c r="B3218" s="5" t="n">
        <v>6</v>
      </c>
      <c r="C3218" s="5" t="s">
        <v>85</v>
      </c>
      <c r="D3218" s="5" t="s">
        <v>1537</v>
      </c>
      <c r="E3218" s="5" t="n">
        <v>1</v>
      </c>
      <c r="F3218" s="6" t="n">
        <f aca="false">IFERROR(MATCH(A3218&amp;"|"&amp;B3218&amp;"|"&amp;D3218,'All Song Rankings'!$T:$T,0),0)</f>
        <v>493</v>
      </c>
      <c r="G3218" s="6" t="str">
        <f aca="false">IF(F3218=0,"NOT FOUND",INDEX('All Song Rankings'!$A:$A,F3218))</f>
        <v>Closer</v>
      </c>
      <c r="H3218" s="6" t="str">
        <f aca="false">IF(F3218=0,"NOT FOUND",INDEX('All Song Rankings'!$B:$B,F3218))</f>
        <v>The Chainsmokers, Halsey</v>
      </c>
      <c r="I3218" s="6" t="str">
        <f aca="false">IF(F3218=0,"NOT FOUND",INDEX('All Song Rankings'!$D:$D,F3218))</f>
        <v>Logan</v>
      </c>
      <c r="J3218" s="7" t="str">
        <f aca="false">IF(F3218=0,"NOT FOUND",IF(C3218=I3218,"SELF-VOTE",IF(COUNTIF($K:$K,K3218)&gt;1,"DUPLICATE","OK")))</f>
        <v>OK</v>
      </c>
      <c r="K3218" s="6" t="str">
        <f aca="false">A3218&amp;"|"&amp;B3218&amp;"|"&amp;C3218&amp;"|"&amp;D3218</f>
        <v>5|6|Kelsey|spotify:track:7BKLCZ1jbUBVqRi2FVlTVw</v>
      </c>
    </row>
    <row r="3219" customFormat="false" ht="15" hidden="false" customHeight="false" outlineLevel="0" collapsed="false">
      <c r="A3219" s="5" t="n">
        <v>5</v>
      </c>
      <c r="B3219" s="5" t="n">
        <v>6</v>
      </c>
      <c r="C3219" s="5" t="s">
        <v>85</v>
      </c>
      <c r="D3219" s="5" t="s">
        <v>1549</v>
      </c>
      <c r="E3219" s="5" t="n">
        <v>1</v>
      </c>
      <c r="F3219" s="6" t="n">
        <f aca="false">IFERROR(MATCH(A3219&amp;"|"&amp;B3219&amp;"|"&amp;D3219,'All Song Rankings'!$T:$T,0),0)</f>
        <v>498</v>
      </c>
      <c r="G3219" s="6" t="str">
        <f aca="false">IF(F3219=0,"NOT FOUND",INDEX('All Song Rankings'!$A:$A,F3219))</f>
        <v>She Will Be Loved</v>
      </c>
      <c r="H3219" s="6" t="str">
        <f aca="false">IF(F3219=0,"NOT FOUND",INDEX('All Song Rankings'!$B:$B,F3219))</f>
        <v>Maroon 5</v>
      </c>
      <c r="I3219" s="6" t="str">
        <f aca="false">IF(F3219=0,"NOT FOUND",INDEX('All Song Rankings'!$D:$D,F3219))</f>
        <v>Makenzie</v>
      </c>
      <c r="J3219" s="7" t="str">
        <f aca="false">IF(F3219=0,"NOT FOUND",IF(C3219=I3219,"SELF-VOTE",IF(COUNTIF($K:$K,K3219)&gt;1,"DUPLICATE","OK")))</f>
        <v>OK</v>
      </c>
      <c r="K3219" s="6" t="str">
        <f aca="false">A3219&amp;"|"&amp;B3219&amp;"|"&amp;C3219&amp;"|"&amp;D3219</f>
        <v>5|6|Kelsey|spotify:track:7sapKrjDij2fpDVj0GxP66</v>
      </c>
    </row>
    <row r="3220" customFormat="false" ht="15" hidden="false" customHeight="false" outlineLevel="0" collapsed="false">
      <c r="A3220" s="5" t="n">
        <v>5</v>
      </c>
      <c r="B3220" s="5" t="n">
        <v>6</v>
      </c>
      <c r="C3220" s="5" t="s">
        <v>85</v>
      </c>
      <c r="D3220" s="5" t="s">
        <v>1538</v>
      </c>
      <c r="E3220" s="5" t="n">
        <v>1</v>
      </c>
      <c r="F3220" s="6" t="n">
        <f aca="false">IFERROR(MATCH(A3220&amp;"|"&amp;B3220&amp;"|"&amp;D3220,'All Song Rankings'!$T:$T,0),0)</f>
        <v>494</v>
      </c>
      <c r="G3220" s="6" t="str">
        <f aca="false">IF(F3220=0,"NOT FOUND",INDEX('All Song Rankings'!$A:$A,F3220))</f>
        <v>Bohemian Rhapsody - Remastered</v>
      </c>
      <c r="H3220" s="6" t="str">
        <f aca="false">IF(F3220=0,"NOT FOUND",INDEX('All Song Rankings'!$B:$B,F3220))</f>
        <v>Queen</v>
      </c>
      <c r="I3220" s="6" t="str">
        <f aca="false">IF(F3220=0,"NOT FOUND",INDEX('All Song Rankings'!$D:$D,F3220))</f>
        <v>Grace</v>
      </c>
      <c r="J3220" s="7" t="str">
        <f aca="false">IF(F3220=0,"NOT FOUND",IF(C3220=I3220,"SELF-VOTE",IF(COUNTIF($K:$K,K3220)&gt;1,"DUPLICATE","OK")))</f>
        <v>OK</v>
      </c>
      <c r="K3220" s="6" t="str">
        <f aca="false">A3220&amp;"|"&amp;B3220&amp;"|"&amp;C3220&amp;"|"&amp;D3220</f>
        <v>5|6|Kelsey|spotify:track:7tFiyTwD0nx5a1eklYtX2J</v>
      </c>
    </row>
    <row r="3221" customFormat="false" ht="15" hidden="false" customHeight="false" outlineLevel="0" collapsed="false">
      <c r="A3221" s="5" t="n">
        <v>5</v>
      </c>
      <c r="B3221" s="5" t="n">
        <v>6</v>
      </c>
      <c r="C3221" s="5" t="s">
        <v>106</v>
      </c>
      <c r="D3221" s="5" t="s">
        <v>700</v>
      </c>
      <c r="E3221" s="5" t="n">
        <v>5</v>
      </c>
      <c r="F3221" s="6" t="n">
        <f aca="false">IFERROR(MATCH(A3221&amp;"|"&amp;B3221&amp;"|"&amp;D3221,'All Song Rankings'!$T:$T,0),0)</f>
        <v>501</v>
      </c>
      <c r="G3221" s="6" t="str">
        <f aca="false">IF(F3221=0,"NOT FOUND",INDEX('All Song Rankings'!$A:$A,F3221))</f>
        <v>Caramel</v>
      </c>
      <c r="H3221" s="6" t="str">
        <f aca="false">IF(F3221=0,"NOT FOUND",INDEX('All Song Rankings'!$B:$B,F3221))</f>
        <v>Sleep Token</v>
      </c>
      <c r="I3221" s="6" t="str">
        <f aca="false">IF(F3221=0,"NOT FOUND",INDEX('All Song Rankings'!$D:$D,F3221))</f>
        <v>Nicole</v>
      </c>
      <c r="J3221" s="7" t="str">
        <f aca="false">IF(F3221=0,"NOT FOUND",IF(C3221=I3221,"SELF-VOTE",IF(COUNTIF($K:$K,K3221)&gt;1,"DUPLICATE","OK")))</f>
        <v>OK</v>
      </c>
      <c r="K3221" s="6" t="str">
        <f aca="false">A3221&amp;"|"&amp;B3221&amp;"|"&amp;C3221&amp;"|"&amp;D3221</f>
        <v>5|6|Kristen|spotify:track:1QrbZhFYlViXd60g130vw1</v>
      </c>
    </row>
    <row r="3222" customFormat="false" ht="15" hidden="false" customHeight="false" outlineLevel="0" collapsed="false">
      <c r="A3222" s="5" t="n">
        <v>5</v>
      </c>
      <c r="B3222" s="5" t="n">
        <v>6</v>
      </c>
      <c r="C3222" s="5" t="s">
        <v>106</v>
      </c>
      <c r="D3222" s="5" t="s">
        <v>1554</v>
      </c>
      <c r="E3222" s="5" t="n">
        <v>1</v>
      </c>
      <c r="F3222" s="6" t="n">
        <f aca="false">IFERROR(MATCH(A3222&amp;"|"&amp;B3222&amp;"|"&amp;D3222,'All Song Rankings'!$T:$T,0),0)</f>
        <v>500</v>
      </c>
      <c r="G3222" s="6" t="str">
        <f aca="false">IF(F3222=0,"NOT FOUND",INDEX('All Song Rankings'!$A:$A,F3222))</f>
        <v>Viva La Vida</v>
      </c>
      <c r="H3222" s="6" t="str">
        <f aca="false">IF(F3222=0,"NOT FOUND",INDEX('All Song Rankings'!$B:$B,F3222))</f>
        <v>Coldplay</v>
      </c>
      <c r="I3222" s="6" t="str">
        <f aca="false">IF(F3222=0,"NOT FOUND",INDEX('All Song Rankings'!$D:$D,F3222))</f>
        <v>Kelsey</v>
      </c>
      <c r="J3222" s="7" t="str">
        <f aca="false">IF(F3222=0,"NOT FOUND",IF(C3222=I3222,"SELF-VOTE",IF(COUNTIF($K:$K,K3222)&gt;1,"DUPLICATE","OK")))</f>
        <v>OK</v>
      </c>
      <c r="K3222" s="6" t="str">
        <f aca="false">A3222&amp;"|"&amp;B3222&amp;"|"&amp;C3222&amp;"|"&amp;D3222</f>
        <v>5|6|Kristen|spotify:track:1mea3bSkSGXuIRvnydlB5b</v>
      </c>
    </row>
    <row r="3223" customFormat="false" ht="15" hidden="false" customHeight="false" outlineLevel="0" collapsed="false">
      <c r="A3223" s="5" t="n">
        <v>5</v>
      </c>
      <c r="B3223" s="5" t="n">
        <v>6</v>
      </c>
      <c r="C3223" s="5" t="s">
        <v>106</v>
      </c>
      <c r="D3223" s="5" t="s">
        <v>1566</v>
      </c>
      <c r="E3223" s="5" t="n">
        <v>1</v>
      </c>
      <c r="F3223" s="6" t="n">
        <f aca="false">IFERROR(MATCH(A3223&amp;"|"&amp;B3223&amp;"|"&amp;D3223,'All Song Rankings'!$T:$T,0),0)</f>
        <v>505</v>
      </c>
      <c r="G3223" s="6" t="str">
        <f aca="false">IF(F3223=0,"NOT FOUND",INDEX('All Song Rankings'!$A:$A,F3223))</f>
        <v>Ants Marching</v>
      </c>
      <c r="H3223" s="6" t="str">
        <f aca="false">IF(F3223=0,"NOT FOUND",INDEX('All Song Rankings'!$B:$B,F3223))</f>
        <v>Dave Matthews Band</v>
      </c>
      <c r="I3223" s="6" t="str">
        <f aca="false">IF(F3223=0,"NOT FOUND",INDEX('All Song Rankings'!$D:$D,F3223))</f>
        <v>Stephanie</v>
      </c>
      <c r="J3223" s="7" t="str">
        <f aca="false">IF(F3223=0,"NOT FOUND",IF(C3223=I3223,"SELF-VOTE",IF(COUNTIF($K:$K,K3223)&gt;1,"DUPLICATE","OK")))</f>
        <v>OK</v>
      </c>
      <c r="K3223" s="6" t="str">
        <f aca="false">A3223&amp;"|"&amp;B3223&amp;"|"&amp;C3223&amp;"|"&amp;D3223</f>
        <v>5|6|Kristen|spotify:track:2FfZg072w8RoxlMOR7M4CT</v>
      </c>
    </row>
    <row r="3224" customFormat="false" ht="15" hidden="false" customHeight="false" outlineLevel="0" collapsed="false">
      <c r="A3224" s="5" t="n">
        <v>5</v>
      </c>
      <c r="B3224" s="5" t="n">
        <v>6</v>
      </c>
      <c r="C3224" s="5" t="s">
        <v>106</v>
      </c>
      <c r="D3224" s="5" t="s">
        <v>1560</v>
      </c>
      <c r="E3224" s="5" t="n">
        <v>1</v>
      </c>
      <c r="F3224" s="6" t="n">
        <f aca="false">IFERROR(MATCH(A3224&amp;"|"&amp;B3224&amp;"|"&amp;D3224,'All Song Rankings'!$T:$T,0),0)</f>
        <v>503</v>
      </c>
      <c r="G3224" s="6" t="str">
        <f aca="false">IF(F3224=0,"NOT FOUND",INDEX('All Song Rankings'!$A:$A,F3224))</f>
        <v>Scoop</v>
      </c>
      <c r="H3224" s="6" t="str">
        <f aca="false">IF(F3224=0,"NOT FOUND",INDEX('All Song Rankings'!$B:$B,F3224))</f>
        <v>Connor Price, Nc D</v>
      </c>
      <c r="I3224" s="6" t="str">
        <f aca="false">IF(F3224=0,"NOT FOUND",INDEX('All Song Rankings'!$D:$D,F3224))</f>
        <v>Lisa</v>
      </c>
      <c r="J3224" s="7" t="str">
        <f aca="false">IF(F3224=0,"NOT FOUND",IF(C3224=I3224,"SELF-VOTE",IF(COUNTIF($K:$K,K3224)&gt;1,"DUPLICATE","OK")))</f>
        <v>OK</v>
      </c>
      <c r="K3224" s="6" t="str">
        <f aca="false">A3224&amp;"|"&amp;B3224&amp;"|"&amp;C3224&amp;"|"&amp;D3224</f>
        <v>5|6|Kristen|spotify:track:3EDclKlSXDJsujVfM8bvL3</v>
      </c>
    </row>
    <row r="3225" customFormat="false" ht="15" hidden="false" customHeight="false" outlineLevel="0" collapsed="false">
      <c r="A3225" s="5" t="n">
        <v>5</v>
      </c>
      <c r="B3225" s="5" t="n">
        <v>6</v>
      </c>
      <c r="C3225" s="5" t="s">
        <v>106</v>
      </c>
      <c r="D3225" s="5" t="s">
        <v>1563</v>
      </c>
      <c r="E3225" s="5" t="n">
        <v>1</v>
      </c>
      <c r="F3225" s="6" t="n">
        <f aca="false">IFERROR(MATCH(A3225&amp;"|"&amp;B3225&amp;"|"&amp;D3225,'All Song Rankings'!$T:$T,0),0)</f>
        <v>504</v>
      </c>
      <c r="G3225" s="6" t="str">
        <f aca="false">IF(F3225=0,"NOT FOUND",INDEX('All Song Rankings'!$A:$A,F3225))</f>
        <v>Happy - From "Despicable Me 2"</v>
      </c>
      <c r="H3225" s="6" t="str">
        <f aca="false">IF(F3225=0,"NOT FOUND",INDEX('All Song Rankings'!$B:$B,F3225))</f>
        <v>Pharrell Williams</v>
      </c>
      <c r="I3225" s="6" t="str">
        <f aca="false">IF(F3225=0,"NOT FOUND",INDEX('All Song Rankings'!$D:$D,F3225))</f>
        <v>Colleen</v>
      </c>
      <c r="J3225" s="7" t="str">
        <f aca="false">IF(F3225=0,"NOT FOUND",IF(C3225=I3225,"SELF-VOTE",IF(COUNTIF($K:$K,K3225)&gt;1,"DUPLICATE","OK")))</f>
        <v>OK</v>
      </c>
      <c r="K3225" s="6" t="str">
        <f aca="false">A3225&amp;"|"&amp;B3225&amp;"|"&amp;C3225&amp;"|"&amp;D3225</f>
        <v>5|6|Kristen|spotify:track:60nZcImufyMA1MKQY3dcCH</v>
      </c>
    </row>
    <row r="3226" customFormat="false" ht="15" hidden="false" customHeight="false" outlineLevel="0" collapsed="false">
      <c r="A3226" s="5" t="n">
        <v>5</v>
      </c>
      <c r="B3226" s="5" t="n">
        <v>6</v>
      </c>
      <c r="C3226" s="5" t="s">
        <v>106</v>
      </c>
      <c r="D3226" s="5" t="s">
        <v>1538</v>
      </c>
      <c r="E3226" s="5" t="n">
        <v>1</v>
      </c>
      <c r="F3226" s="6" t="n">
        <f aca="false">IFERROR(MATCH(A3226&amp;"|"&amp;B3226&amp;"|"&amp;D3226,'All Song Rankings'!$T:$T,0),0)</f>
        <v>494</v>
      </c>
      <c r="G3226" s="6" t="str">
        <f aca="false">IF(F3226=0,"NOT FOUND",INDEX('All Song Rankings'!$A:$A,F3226))</f>
        <v>Bohemian Rhapsody - Remastered</v>
      </c>
      <c r="H3226" s="6" t="str">
        <f aca="false">IF(F3226=0,"NOT FOUND",INDEX('All Song Rankings'!$B:$B,F3226))</f>
        <v>Queen</v>
      </c>
      <c r="I3226" s="6" t="str">
        <f aca="false">IF(F3226=0,"NOT FOUND",INDEX('All Song Rankings'!$D:$D,F3226))</f>
        <v>Grace</v>
      </c>
      <c r="J3226" s="7" t="str">
        <f aca="false">IF(F3226=0,"NOT FOUND",IF(C3226=I3226,"SELF-VOTE",IF(COUNTIF($K:$K,K3226)&gt;1,"DUPLICATE","OK")))</f>
        <v>OK</v>
      </c>
      <c r="K3226" s="6" t="str">
        <f aca="false">A3226&amp;"|"&amp;B3226&amp;"|"&amp;C3226&amp;"|"&amp;D3226</f>
        <v>5|6|Kristen|spotify:track:7tFiyTwD0nx5a1eklYtX2J</v>
      </c>
    </row>
    <row r="3227" customFormat="false" ht="15" hidden="false" customHeight="false" outlineLevel="0" collapsed="false">
      <c r="A3227" s="5" t="n">
        <v>5</v>
      </c>
      <c r="B3227" s="5" t="n">
        <v>6</v>
      </c>
      <c r="C3227" s="5" t="s">
        <v>119</v>
      </c>
      <c r="D3227" s="5" t="s">
        <v>700</v>
      </c>
      <c r="E3227" s="5" t="n">
        <v>2</v>
      </c>
      <c r="F3227" s="6" t="n">
        <f aca="false">IFERROR(MATCH(A3227&amp;"|"&amp;B3227&amp;"|"&amp;D3227,'All Song Rankings'!$T:$T,0),0)</f>
        <v>501</v>
      </c>
      <c r="G3227" s="6" t="str">
        <f aca="false">IF(F3227=0,"NOT FOUND",INDEX('All Song Rankings'!$A:$A,F3227))</f>
        <v>Caramel</v>
      </c>
      <c r="H3227" s="6" t="str">
        <f aca="false">IF(F3227=0,"NOT FOUND",INDEX('All Song Rankings'!$B:$B,F3227))</f>
        <v>Sleep Token</v>
      </c>
      <c r="I3227" s="6" t="str">
        <f aca="false">IF(F3227=0,"NOT FOUND",INDEX('All Song Rankings'!$D:$D,F3227))</f>
        <v>Nicole</v>
      </c>
      <c r="J3227" s="7" t="str">
        <f aca="false">IF(F3227=0,"NOT FOUND",IF(C3227=I3227,"SELF-VOTE",IF(COUNTIF($K:$K,K3227)&gt;1,"DUPLICATE","OK")))</f>
        <v>OK</v>
      </c>
      <c r="K3227" s="6" t="str">
        <f aca="false">A3227&amp;"|"&amp;B3227&amp;"|"&amp;C3227&amp;"|"&amp;D3227</f>
        <v>5|6|Leah|spotify:track:1QrbZhFYlViXd60g130vw1</v>
      </c>
    </row>
    <row r="3228" customFormat="false" ht="15" hidden="false" customHeight="false" outlineLevel="0" collapsed="false">
      <c r="A3228" s="5" t="n">
        <v>5</v>
      </c>
      <c r="B3228" s="5" t="n">
        <v>6</v>
      </c>
      <c r="C3228" s="5" t="s">
        <v>119</v>
      </c>
      <c r="D3228" s="5" t="s">
        <v>1544</v>
      </c>
      <c r="E3228" s="5" t="n">
        <v>1</v>
      </c>
      <c r="F3228" s="6" t="n">
        <f aca="false">IFERROR(MATCH(A3228&amp;"|"&amp;B3228&amp;"|"&amp;D3228,'All Song Rankings'!$T:$T,0),0)</f>
        <v>496</v>
      </c>
      <c r="G3228" s="6" t="str">
        <f aca="false">IF(F3228=0,"NOT FOUND",INDEX('All Song Rankings'!$A:$A,F3228))</f>
        <v>Pink Pony Club</v>
      </c>
      <c r="H3228" s="6" t="str">
        <f aca="false">IF(F3228=0,"NOT FOUND",INDEX('All Song Rankings'!$B:$B,F3228))</f>
        <v>Chappell Roan</v>
      </c>
      <c r="I3228" s="6" t="str">
        <f aca="false">IF(F3228=0,"NOT FOUND",INDEX('All Song Rankings'!$D:$D,F3228))</f>
        <v>Kristen</v>
      </c>
      <c r="J3228" s="7" t="str">
        <f aca="false">IF(F3228=0,"NOT FOUND",IF(C3228=I3228,"SELF-VOTE",IF(COUNTIF($K:$K,K3228)&gt;1,"DUPLICATE","OK")))</f>
        <v>OK</v>
      </c>
      <c r="K3228" s="6" t="str">
        <f aca="false">A3228&amp;"|"&amp;B3228&amp;"|"&amp;C3228&amp;"|"&amp;D3228</f>
        <v>5|6|Leah|spotify:track:1k2pQc5i348DCHwbn5KTdc</v>
      </c>
    </row>
    <row r="3229" customFormat="false" ht="15" hidden="false" customHeight="false" outlineLevel="0" collapsed="false">
      <c r="A3229" s="5" t="n">
        <v>5</v>
      </c>
      <c r="B3229" s="5" t="n">
        <v>6</v>
      </c>
      <c r="C3229" s="5" t="s">
        <v>119</v>
      </c>
      <c r="D3229" s="5" t="s">
        <v>1569</v>
      </c>
      <c r="E3229" s="5" t="n">
        <v>1</v>
      </c>
      <c r="F3229" s="6" t="n">
        <f aca="false">IFERROR(MATCH(A3229&amp;"|"&amp;B3229&amp;"|"&amp;D3229,'All Song Rankings'!$T:$T,0),0)</f>
        <v>506</v>
      </c>
      <c r="G3229" s="6" t="str">
        <f aca="false">IF(F3229=0,"NOT FOUND",INDEX('All Song Rankings'!$A:$A,F3229))</f>
        <v>Dance Monkey</v>
      </c>
      <c r="H3229" s="6" t="str">
        <f aca="false">IF(F3229=0,"NOT FOUND",INDEX('All Song Rankings'!$B:$B,F3229))</f>
        <v>Tones And I</v>
      </c>
      <c r="I3229" s="6" t="str">
        <f aca="false">IF(F3229=0,"NOT FOUND",INDEX('All Song Rankings'!$D:$D,F3229))</f>
        <v>Merita</v>
      </c>
      <c r="J3229" s="7" t="str">
        <f aca="false">IF(F3229=0,"NOT FOUND",IF(C3229=I3229,"SELF-VOTE",IF(COUNTIF($K:$K,K3229)&gt;1,"DUPLICATE","OK")))</f>
        <v>OK</v>
      </c>
      <c r="K3229" s="6" t="str">
        <f aca="false">A3229&amp;"|"&amp;B3229&amp;"|"&amp;C3229&amp;"|"&amp;D3229</f>
        <v>5|6|Leah|spotify:track:2XU0oxnq2qxCpomAAuJY8K</v>
      </c>
    </row>
    <row r="3230" customFormat="false" ht="15" hidden="false" customHeight="false" outlineLevel="0" collapsed="false">
      <c r="A3230" s="5" t="n">
        <v>5</v>
      </c>
      <c r="B3230" s="5" t="n">
        <v>6</v>
      </c>
      <c r="C3230" s="5" t="s">
        <v>119</v>
      </c>
      <c r="D3230" s="5" t="s">
        <v>1560</v>
      </c>
      <c r="E3230" s="5" t="n">
        <v>2</v>
      </c>
      <c r="F3230" s="6" t="n">
        <f aca="false">IFERROR(MATCH(A3230&amp;"|"&amp;B3230&amp;"|"&amp;D3230,'All Song Rankings'!$T:$T,0),0)</f>
        <v>503</v>
      </c>
      <c r="G3230" s="6" t="str">
        <f aca="false">IF(F3230=0,"NOT FOUND",INDEX('All Song Rankings'!$A:$A,F3230))</f>
        <v>Scoop</v>
      </c>
      <c r="H3230" s="6" t="str">
        <f aca="false">IF(F3230=0,"NOT FOUND",INDEX('All Song Rankings'!$B:$B,F3230))</f>
        <v>Connor Price, Nc D</v>
      </c>
      <c r="I3230" s="6" t="str">
        <f aca="false">IF(F3230=0,"NOT FOUND",INDEX('All Song Rankings'!$D:$D,F3230))</f>
        <v>Lisa</v>
      </c>
      <c r="J3230" s="7" t="str">
        <f aca="false">IF(F3230=0,"NOT FOUND",IF(C3230=I3230,"SELF-VOTE",IF(COUNTIF($K:$K,K3230)&gt;1,"DUPLICATE","OK")))</f>
        <v>OK</v>
      </c>
      <c r="K3230" s="6" t="str">
        <f aca="false">A3230&amp;"|"&amp;B3230&amp;"|"&amp;C3230&amp;"|"&amp;D3230</f>
        <v>5|6|Leah|spotify:track:3EDclKlSXDJsujVfM8bvL3</v>
      </c>
    </row>
    <row r="3231" customFormat="false" ht="15" hidden="false" customHeight="false" outlineLevel="0" collapsed="false">
      <c r="A3231" s="5" t="n">
        <v>5</v>
      </c>
      <c r="B3231" s="5" t="n">
        <v>6</v>
      </c>
      <c r="C3231" s="5" t="s">
        <v>119</v>
      </c>
      <c r="D3231" s="5" t="s">
        <v>1557</v>
      </c>
      <c r="E3231" s="5" t="n">
        <v>1</v>
      </c>
      <c r="F3231" s="6" t="n">
        <f aca="false">IFERROR(MATCH(A3231&amp;"|"&amp;B3231&amp;"|"&amp;D3231,'All Song Rankings'!$T:$T,0),0)</f>
        <v>502</v>
      </c>
      <c r="G3231" s="6" t="str">
        <f aca="false">IF(F3231=0,"NOT FOUND",INDEX('All Song Rankings'!$A:$A,F3231))</f>
        <v>Mmm Mmm Mmm Mmm</v>
      </c>
      <c r="H3231" s="6" t="str">
        <f aca="false">IF(F3231=0,"NOT FOUND",INDEX('All Song Rankings'!$B:$B,F3231))</f>
        <v>Crash Test Dummies</v>
      </c>
      <c r="I3231" s="6" t="str">
        <f aca="false">IF(F3231=0,"NOT FOUND",INDEX('All Song Rankings'!$D:$D,F3231))</f>
        <v>Matt</v>
      </c>
      <c r="J3231" s="7" t="str">
        <f aca="false">IF(F3231=0,"NOT FOUND",IF(C3231=I3231,"SELF-VOTE",IF(COUNTIF($K:$K,K3231)&gt;1,"DUPLICATE","OK")))</f>
        <v>OK</v>
      </c>
      <c r="K3231" s="6" t="str">
        <f aca="false">A3231&amp;"|"&amp;B3231&amp;"|"&amp;C3231&amp;"|"&amp;D3231</f>
        <v>5|6|Leah|spotify:track:76nvqWPFucUra1xCkN1tnD</v>
      </c>
    </row>
    <row r="3232" customFormat="false" ht="15" hidden="false" customHeight="false" outlineLevel="0" collapsed="false">
      <c r="A3232" s="5" t="n">
        <v>5</v>
      </c>
      <c r="B3232" s="5" t="n">
        <v>6</v>
      </c>
      <c r="C3232" s="5" t="s">
        <v>119</v>
      </c>
      <c r="D3232" s="5" t="s">
        <v>1537</v>
      </c>
      <c r="E3232" s="5" t="n">
        <v>1</v>
      </c>
      <c r="F3232" s="6" t="n">
        <f aca="false">IFERROR(MATCH(A3232&amp;"|"&amp;B3232&amp;"|"&amp;D3232,'All Song Rankings'!$T:$T,0),0)</f>
        <v>493</v>
      </c>
      <c r="G3232" s="6" t="str">
        <f aca="false">IF(F3232=0,"NOT FOUND",INDEX('All Song Rankings'!$A:$A,F3232))</f>
        <v>Closer</v>
      </c>
      <c r="H3232" s="6" t="str">
        <f aca="false">IF(F3232=0,"NOT FOUND",INDEX('All Song Rankings'!$B:$B,F3232))</f>
        <v>The Chainsmokers, Halsey</v>
      </c>
      <c r="I3232" s="6" t="str">
        <f aca="false">IF(F3232=0,"NOT FOUND",INDEX('All Song Rankings'!$D:$D,F3232))</f>
        <v>Logan</v>
      </c>
      <c r="J3232" s="7" t="str">
        <f aca="false">IF(F3232=0,"NOT FOUND",IF(C3232=I3232,"SELF-VOTE",IF(COUNTIF($K:$K,K3232)&gt;1,"DUPLICATE","OK")))</f>
        <v>OK</v>
      </c>
      <c r="K3232" s="6" t="str">
        <f aca="false">A3232&amp;"|"&amp;B3232&amp;"|"&amp;C3232&amp;"|"&amp;D3232</f>
        <v>5|6|Leah|spotify:track:7BKLCZ1jbUBVqRi2FVlTVw</v>
      </c>
    </row>
    <row r="3233" customFormat="false" ht="15" hidden="false" customHeight="false" outlineLevel="0" collapsed="false">
      <c r="A3233" s="5" t="n">
        <v>5</v>
      </c>
      <c r="B3233" s="5" t="n">
        <v>6</v>
      </c>
      <c r="C3233" s="5" t="s">
        <v>119</v>
      </c>
      <c r="D3233" s="5" t="s">
        <v>1549</v>
      </c>
      <c r="E3233" s="5" t="n">
        <v>1</v>
      </c>
      <c r="F3233" s="6" t="n">
        <f aca="false">IFERROR(MATCH(A3233&amp;"|"&amp;B3233&amp;"|"&amp;D3233,'All Song Rankings'!$T:$T,0),0)</f>
        <v>498</v>
      </c>
      <c r="G3233" s="6" t="str">
        <f aca="false">IF(F3233=0,"NOT FOUND",INDEX('All Song Rankings'!$A:$A,F3233))</f>
        <v>She Will Be Loved</v>
      </c>
      <c r="H3233" s="6" t="str">
        <f aca="false">IF(F3233=0,"NOT FOUND",INDEX('All Song Rankings'!$B:$B,F3233))</f>
        <v>Maroon 5</v>
      </c>
      <c r="I3233" s="6" t="str">
        <f aca="false">IF(F3233=0,"NOT FOUND",INDEX('All Song Rankings'!$D:$D,F3233))</f>
        <v>Makenzie</v>
      </c>
      <c r="J3233" s="7" t="str">
        <f aca="false">IF(F3233=0,"NOT FOUND",IF(C3233=I3233,"SELF-VOTE",IF(COUNTIF($K:$K,K3233)&gt;1,"DUPLICATE","OK")))</f>
        <v>OK</v>
      </c>
      <c r="K3233" s="6" t="str">
        <f aca="false">A3233&amp;"|"&amp;B3233&amp;"|"&amp;C3233&amp;"|"&amp;D3233</f>
        <v>5|6|Leah|spotify:track:7sapKrjDij2fpDVj0GxP66</v>
      </c>
    </row>
    <row r="3234" customFormat="false" ht="15" hidden="false" customHeight="false" outlineLevel="0" collapsed="false">
      <c r="A3234" s="5" t="n">
        <v>5</v>
      </c>
      <c r="B3234" s="5" t="n">
        <v>6</v>
      </c>
      <c r="C3234" s="5" t="s">
        <v>119</v>
      </c>
      <c r="D3234" s="5" t="s">
        <v>1538</v>
      </c>
      <c r="E3234" s="5" t="n">
        <v>1</v>
      </c>
      <c r="F3234" s="6" t="n">
        <f aca="false">IFERROR(MATCH(A3234&amp;"|"&amp;B3234&amp;"|"&amp;D3234,'All Song Rankings'!$T:$T,0),0)</f>
        <v>494</v>
      </c>
      <c r="G3234" s="6" t="str">
        <f aca="false">IF(F3234=0,"NOT FOUND",INDEX('All Song Rankings'!$A:$A,F3234))</f>
        <v>Bohemian Rhapsody - Remastered</v>
      </c>
      <c r="H3234" s="6" t="str">
        <f aca="false">IF(F3234=0,"NOT FOUND",INDEX('All Song Rankings'!$B:$B,F3234))</f>
        <v>Queen</v>
      </c>
      <c r="I3234" s="6" t="str">
        <f aca="false">IF(F3234=0,"NOT FOUND",INDEX('All Song Rankings'!$D:$D,F3234))</f>
        <v>Grace</v>
      </c>
      <c r="J3234" s="7" t="str">
        <f aca="false">IF(F3234=0,"NOT FOUND",IF(C3234=I3234,"SELF-VOTE",IF(COUNTIF($K:$K,K3234)&gt;1,"DUPLICATE","OK")))</f>
        <v>OK</v>
      </c>
      <c r="K3234" s="6" t="str">
        <f aca="false">A3234&amp;"|"&amp;B3234&amp;"|"&amp;C3234&amp;"|"&amp;D3234</f>
        <v>5|6|Leah|spotify:track:7tFiyTwD0nx5a1eklYtX2J</v>
      </c>
    </row>
    <row r="3235" customFormat="false" ht="15" hidden="false" customHeight="false" outlineLevel="0" collapsed="false">
      <c r="A3235" s="5" t="n">
        <v>5</v>
      </c>
      <c r="B3235" s="5" t="n">
        <v>6</v>
      </c>
      <c r="C3235" s="5" t="s">
        <v>705</v>
      </c>
      <c r="D3235" s="5" t="s">
        <v>1554</v>
      </c>
      <c r="E3235" s="5" t="n">
        <v>1</v>
      </c>
      <c r="F3235" s="6" t="n">
        <f aca="false">IFERROR(MATCH(A3235&amp;"|"&amp;B3235&amp;"|"&amp;D3235,'All Song Rankings'!$T:$T,0),0)</f>
        <v>500</v>
      </c>
      <c r="G3235" s="6" t="str">
        <f aca="false">IF(F3235=0,"NOT FOUND",INDEX('All Song Rankings'!$A:$A,F3235))</f>
        <v>Viva La Vida</v>
      </c>
      <c r="H3235" s="6" t="str">
        <f aca="false">IF(F3235=0,"NOT FOUND",INDEX('All Song Rankings'!$B:$B,F3235))</f>
        <v>Coldplay</v>
      </c>
      <c r="I3235" s="6" t="str">
        <f aca="false">IF(F3235=0,"NOT FOUND",INDEX('All Song Rankings'!$D:$D,F3235))</f>
        <v>Kelsey</v>
      </c>
      <c r="J3235" s="7" t="str">
        <f aca="false">IF(F3235=0,"NOT FOUND",IF(C3235=I3235,"SELF-VOTE",IF(COUNTIF($K:$K,K3235)&gt;1,"DUPLICATE","OK")))</f>
        <v>OK</v>
      </c>
      <c r="K3235" s="6" t="str">
        <f aca="false">A3235&amp;"|"&amp;B3235&amp;"|"&amp;C3235&amp;"|"&amp;D3235</f>
        <v>5|6|Lisa|spotify:track:1mea3bSkSGXuIRvnydlB5b</v>
      </c>
    </row>
    <row r="3236" customFormat="false" ht="15" hidden="false" customHeight="false" outlineLevel="0" collapsed="false">
      <c r="A3236" s="5" t="n">
        <v>5</v>
      </c>
      <c r="B3236" s="5" t="n">
        <v>6</v>
      </c>
      <c r="C3236" s="5" t="s">
        <v>705</v>
      </c>
      <c r="D3236" s="5" t="s">
        <v>1541</v>
      </c>
      <c r="E3236" s="5" t="n">
        <v>1</v>
      </c>
      <c r="F3236" s="6" t="n">
        <f aca="false">IFERROR(MATCH(A3236&amp;"|"&amp;B3236&amp;"|"&amp;D3236,'All Song Rankings'!$T:$T,0),0)</f>
        <v>495</v>
      </c>
      <c r="G3236" s="6" t="str">
        <f aca="false">IF(F3236=0,"NOT FOUND",INDEX('All Song Rankings'!$A:$A,F3236))</f>
        <v>Night at the Opera</v>
      </c>
      <c r="H3236" s="6" t="str">
        <f aca="false">IF(F3236=0,"NOT FOUND",INDEX('All Song Rankings'!$B:$B,F3236))</f>
        <v>Emei</v>
      </c>
      <c r="I3236" s="6" t="str">
        <f aca="false">IF(F3236=0,"NOT FOUND",INDEX('All Song Rankings'!$D:$D,F3236))</f>
        <v>Leah</v>
      </c>
      <c r="J3236" s="7" t="str">
        <f aca="false">IF(F3236=0,"NOT FOUND",IF(C3236=I3236,"SELF-VOTE",IF(COUNTIF($K:$K,K3236)&gt;1,"DUPLICATE","OK")))</f>
        <v>OK</v>
      </c>
      <c r="K3236" s="6" t="str">
        <f aca="false">A3236&amp;"|"&amp;B3236&amp;"|"&amp;C3236&amp;"|"&amp;D3236</f>
        <v>5|6|Lisa|spotify:track:4ikhbKiw9pKYkWitSR7M7u</v>
      </c>
    </row>
    <row r="3237" customFormat="false" ht="15" hidden="false" customHeight="false" outlineLevel="0" collapsed="false">
      <c r="A3237" s="5" t="n">
        <v>5</v>
      </c>
      <c r="B3237" s="5" t="n">
        <v>6</v>
      </c>
      <c r="C3237" s="5" t="s">
        <v>705</v>
      </c>
      <c r="D3237" s="5" t="s">
        <v>1552</v>
      </c>
      <c r="E3237" s="5" t="n">
        <v>1</v>
      </c>
      <c r="F3237" s="6" t="n">
        <f aca="false">IFERROR(MATCH(A3237&amp;"|"&amp;B3237&amp;"|"&amp;D3237,'All Song Rankings'!$T:$T,0),0)</f>
        <v>499</v>
      </c>
      <c r="G3237" s="6" t="str">
        <f aca="false">IF(F3237=0,"NOT FOUND",INDEX('All Song Rankings'!$A:$A,F3237))</f>
        <v>I Can't Love You Anymore</v>
      </c>
      <c r="H3237" s="6" t="str">
        <f aca="false">IF(F3237=0,"NOT FOUND",INDEX('All Song Rankings'!$B:$B,F3237))</f>
        <v>Ella Langley, Morgan Wallen</v>
      </c>
      <c r="I3237" s="6" t="str">
        <f aca="false">IF(F3237=0,"NOT FOUND",INDEX('All Song Rankings'!$D:$D,F3237))</f>
        <v>Christine</v>
      </c>
      <c r="J3237" s="7" t="str">
        <f aca="false">IF(F3237=0,"NOT FOUND",IF(C3237=I3237,"SELF-VOTE",IF(COUNTIF($K:$K,K3237)&gt;1,"DUPLICATE","OK")))</f>
        <v>OK</v>
      </c>
      <c r="K3237" s="6" t="str">
        <f aca="false">A3237&amp;"|"&amp;B3237&amp;"|"&amp;C3237&amp;"|"&amp;D3237</f>
        <v>5|6|Lisa|spotify:track:5aVBxVa0kz9uzv0F4gwdEn</v>
      </c>
    </row>
    <row r="3238" customFormat="false" ht="15" hidden="false" customHeight="false" outlineLevel="0" collapsed="false">
      <c r="A3238" s="5" t="n">
        <v>5</v>
      </c>
      <c r="B3238" s="5" t="n">
        <v>6</v>
      </c>
      <c r="C3238" s="5" t="s">
        <v>705</v>
      </c>
      <c r="D3238" s="5" t="s">
        <v>1572</v>
      </c>
      <c r="E3238" s="5" t="n">
        <v>3</v>
      </c>
      <c r="F3238" s="6" t="n">
        <f aca="false">IFERROR(MATCH(A3238&amp;"|"&amp;B3238&amp;"|"&amp;D3238,'All Song Rankings'!$T:$T,0),0)</f>
        <v>507</v>
      </c>
      <c r="G3238" s="6" t="str">
        <f aca="false">IF(F3238=0,"NOT FOUND",INDEX('All Song Rankings'!$A:$A,F3238))</f>
        <v>Sweet Caroline</v>
      </c>
      <c r="H3238" s="6" t="str">
        <f aca="false">IF(F3238=0,"NOT FOUND",INDEX('All Song Rankings'!$B:$B,F3238))</f>
        <v>Neil Diamond</v>
      </c>
      <c r="I3238" s="6" t="str">
        <f aca="false">IF(F3238=0,"NOT FOUND",INDEX('All Song Rankings'!$D:$D,F3238))</f>
        <v>Scott</v>
      </c>
      <c r="J3238" s="7" t="str">
        <f aca="false">IF(F3238=0,"NOT FOUND",IF(C3238=I3238,"SELF-VOTE",IF(COUNTIF($K:$K,K3238)&gt;1,"DUPLICATE","OK")))</f>
        <v>OK</v>
      </c>
      <c r="K3238" s="6" t="str">
        <f aca="false">A3238&amp;"|"&amp;B3238&amp;"|"&amp;C3238&amp;"|"&amp;D3238</f>
        <v>5|6|Lisa|spotify:track:62AuGbAkt8Ox2IrFFb8GKV</v>
      </c>
    </row>
    <row r="3239" customFormat="false" ht="15" hidden="false" customHeight="false" outlineLevel="0" collapsed="false">
      <c r="A3239" s="5" t="n">
        <v>5</v>
      </c>
      <c r="B3239" s="5" t="n">
        <v>6</v>
      </c>
      <c r="C3239" s="5" t="s">
        <v>705</v>
      </c>
      <c r="D3239" s="5" t="s">
        <v>1557</v>
      </c>
      <c r="E3239" s="5" t="n">
        <v>2</v>
      </c>
      <c r="F3239" s="6" t="n">
        <f aca="false">IFERROR(MATCH(A3239&amp;"|"&amp;B3239&amp;"|"&amp;D3239,'All Song Rankings'!$T:$T,0),0)</f>
        <v>502</v>
      </c>
      <c r="G3239" s="6" t="str">
        <f aca="false">IF(F3239=0,"NOT FOUND",INDEX('All Song Rankings'!$A:$A,F3239))</f>
        <v>Mmm Mmm Mmm Mmm</v>
      </c>
      <c r="H3239" s="6" t="str">
        <f aca="false">IF(F3239=0,"NOT FOUND",INDEX('All Song Rankings'!$B:$B,F3239))</f>
        <v>Crash Test Dummies</v>
      </c>
      <c r="I3239" s="6" t="str">
        <f aca="false">IF(F3239=0,"NOT FOUND",INDEX('All Song Rankings'!$D:$D,F3239))</f>
        <v>Matt</v>
      </c>
      <c r="J3239" s="7" t="str">
        <f aca="false">IF(F3239=0,"NOT FOUND",IF(C3239=I3239,"SELF-VOTE",IF(COUNTIF($K:$K,K3239)&gt;1,"DUPLICATE","OK")))</f>
        <v>OK</v>
      </c>
      <c r="K3239" s="6" t="str">
        <f aca="false">A3239&amp;"|"&amp;B3239&amp;"|"&amp;C3239&amp;"|"&amp;D3239</f>
        <v>5|6|Lisa|spotify:track:76nvqWPFucUra1xCkN1tnD</v>
      </c>
    </row>
    <row r="3240" customFormat="false" ht="15" hidden="false" customHeight="false" outlineLevel="0" collapsed="false">
      <c r="A3240" s="5" t="n">
        <v>5</v>
      </c>
      <c r="B3240" s="5" t="n">
        <v>6</v>
      </c>
      <c r="C3240" s="5" t="s">
        <v>705</v>
      </c>
      <c r="D3240" s="5" t="s">
        <v>1538</v>
      </c>
      <c r="E3240" s="5" t="n">
        <v>2</v>
      </c>
      <c r="F3240" s="6" t="n">
        <f aca="false">IFERROR(MATCH(A3240&amp;"|"&amp;B3240&amp;"|"&amp;D3240,'All Song Rankings'!$T:$T,0),0)</f>
        <v>494</v>
      </c>
      <c r="G3240" s="6" t="str">
        <f aca="false">IF(F3240=0,"NOT FOUND",INDEX('All Song Rankings'!$A:$A,F3240))</f>
        <v>Bohemian Rhapsody - Remastered</v>
      </c>
      <c r="H3240" s="6" t="str">
        <f aca="false">IF(F3240=0,"NOT FOUND",INDEX('All Song Rankings'!$B:$B,F3240))</f>
        <v>Queen</v>
      </c>
      <c r="I3240" s="6" t="str">
        <f aca="false">IF(F3240=0,"NOT FOUND",INDEX('All Song Rankings'!$D:$D,F3240))</f>
        <v>Grace</v>
      </c>
      <c r="J3240" s="7" t="str">
        <f aca="false">IF(F3240=0,"NOT FOUND",IF(C3240=I3240,"SELF-VOTE",IF(COUNTIF($K:$K,K3240)&gt;1,"DUPLICATE","OK")))</f>
        <v>OK</v>
      </c>
      <c r="K3240" s="6" t="str">
        <f aca="false">A3240&amp;"|"&amp;B3240&amp;"|"&amp;C3240&amp;"|"&amp;D3240</f>
        <v>5|6|Lisa|spotify:track:7tFiyTwD0nx5a1eklYtX2J</v>
      </c>
    </row>
    <row r="3241" customFormat="false" ht="15" hidden="false" customHeight="false" outlineLevel="0" collapsed="false">
      <c r="A3241" s="5" t="n">
        <v>5</v>
      </c>
      <c r="B3241" s="5" t="n">
        <v>6</v>
      </c>
      <c r="C3241" s="5" t="s">
        <v>128</v>
      </c>
      <c r="D3241" s="5" t="s">
        <v>1544</v>
      </c>
      <c r="E3241" s="5" t="n">
        <v>2</v>
      </c>
      <c r="F3241" s="6" t="n">
        <f aca="false">IFERROR(MATCH(A3241&amp;"|"&amp;B3241&amp;"|"&amp;D3241,'All Song Rankings'!$T:$T,0),0)</f>
        <v>496</v>
      </c>
      <c r="G3241" s="6" t="str">
        <f aca="false">IF(F3241=0,"NOT FOUND",INDEX('All Song Rankings'!$A:$A,F3241))</f>
        <v>Pink Pony Club</v>
      </c>
      <c r="H3241" s="6" t="str">
        <f aca="false">IF(F3241=0,"NOT FOUND",INDEX('All Song Rankings'!$B:$B,F3241))</f>
        <v>Chappell Roan</v>
      </c>
      <c r="I3241" s="6" t="str">
        <f aca="false">IF(F3241=0,"NOT FOUND",INDEX('All Song Rankings'!$D:$D,F3241))</f>
        <v>Kristen</v>
      </c>
      <c r="J3241" s="7" t="str">
        <f aca="false">IF(F3241=0,"NOT FOUND",IF(C3241=I3241,"SELF-VOTE",IF(COUNTIF($K:$K,K3241)&gt;1,"DUPLICATE","OK")))</f>
        <v>OK</v>
      </c>
      <c r="K3241" s="6" t="str">
        <f aca="false">A3241&amp;"|"&amp;B3241&amp;"|"&amp;C3241&amp;"|"&amp;D3241</f>
        <v>5|6|Logan|spotify:track:1k2pQc5i348DCHwbn5KTdc</v>
      </c>
    </row>
    <row r="3242" customFormat="false" ht="15" hidden="false" customHeight="false" outlineLevel="0" collapsed="false">
      <c r="A3242" s="5" t="n">
        <v>5</v>
      </c>
      <c r="B3242" s="5" t="n">
        <v>6</v>
      </c>
      <c r="C3242" s="5" t="s">
        <v>128</v>
      </c>
      <c r="D3242" s="5" t="s">
        <v>1554</v>
      </c>
      <c r="E3242" s="5" t="n">
        <v>1</v>
      </c>
      <c r="F3242" s="6" t="n">
        <f aca="false">IFERROR(MATCH(A3242&amp;"|"&amp;B3242&amp;"|"&amp;D3242,'All Song Rankings'!$T:$T,0),0)</f>
        <v>500</v>
      </c>
      <c r="G3242" s="6" t="str">
        <f aca="false">IF(F3242=0,"NOT FOUND",INDEX('All Song Rankings'!$A:$A,F3242))</f>
        <v>Viva La Vida</v>
      </c>
      <c r="H3242" s="6" t="str">
        <f aca="false">IF(F3242=0,"NOT FOUND",INDEX('All Song Rankings'!$B:$B,F3242))</f>
        <v>Coldplay</v>
      </c>
      <c r="I3242" s="6" t="str">
        <f aca="false">IF(F3242=0,"NOT FOUND",INDEX('All Song Rankings'!$D:$D,F3242))</f>
        <v>Kelsey</v>
      </c>
      <c r="J3242" s="7" t="str">
        <f aca="false">IF(F3242=0,"NOT FOUND",IF(C3242=I3242,"SELF-VOTE",IF(COUNTIF($K:$K,K3242)&gt;1,"DUPLICATE","OK")))</f>
        <v>OK</v>
      </c>
      <c r="K3242" s="6" t="str">
        <f aca="false">A3242&amp;"|"&amp;B3242&amp;"|"&amp;C3242&amp;"|"&amp;D3242</f>
        <v>5|6|Logan|spotify:track:1mea3bSkSGXuIRvnydlB5b</v>
      </c>
    </row>
    <row r="3243" customFormat="false" ht="15" hidden="false" customHeight="false" outlineLevel="0" collapsed="false">
      <c r="A3243" s="5" t="n">
        <v>5</v>
      </c>
      <c r="B3243" s="5" t="n">
        <v>6</v>
      </c>
      <c r="C3243" s="5" t="s">
        <v>128</v>
      </c>
      <c r="D3243" s="5" t="s">
        <v>1546</v>
      </c>
      <c r="E3243" s="5" t="n">
        <v>1</v>
      </c>
      <c r="F3243" s="6" t="n">
        <f aca="false">IFERROR(MATCH(A3243&amp;"|"&amp;B3243&amp;"|"&amp;D3243,'All Song Rankings'!$T:$T,0),0)</f>
        <v>497</v>
      </c>
      <c r="G3243" s="6" t="str">
        <f aca="false">IF(F3243=0,"NOT FOUND",INDEX('All Song Rankings'!$A:$A,F3243))</f>
        <v>As It Was</v>
      </c>
      <c r="H3243" s="6" t="str">
        <f aca="false">IF(F3243=0,"NOT FOUND",INDEX('All Song Rankings'!$B:$B,F3243))</f>
        <v>Harry Styles</v>
      </c>
      <c r="I3243" s="6" t="str">
        <f aca="false">IF(F3243=0,"NOT FOUND",INDEX('All Song Rankings'!$D:$D,F3243))</f>
        <v>Aubrey</v>
      </c>
      <c r="J3243" s="7" t="str">
        <f aca="false">IF(F3243=0,"NOT FOUND",IF(C3243=I3243,"SELF-VOTE",IF(COUNTIF($K:$K,K3243)&gt;1,"DUPLICATE","OK")))</f>
        <v>OK</v>
      </c>
      <c r="K3243" s="6" t="str">
        <f aca="false">A3243&amp;"|"&amp;B3243&amp;"|"&amp;C3243&amp;"|"&amp;D3243</f>
        <v>5|6|Logan|spotify:track:4Dvkj6JhhA12EX05fT7y2e</v>
      </c>
    </row>
    <row r="3244" customFormat="false" ht="15" hidden="false" customHeight="false" outlineLevel="0" collapsed="false">
      <c r="A3244" s="5" t="n">
        <v>5</v>
      </c>
      <c r="B3244" s="5" t="n">
        <v>6</v>
      </c>
      <c r="C3244" s="5" t="s">
        <v>128</v>
      </c>
      <c r="D3244" s="5" t="s">
        <v>1541</v>
      </c>
      <c r="E3244" s="5" t="n">
        <v>3</v>
      </c>
      <c r="F3244" s="6" t="n">
        <f aca="false">IFERROR(MATCH(A3244&amp;"|"&amp;B3244&amp;"|"&amp;D3244,'All Song Rankings'!$T:$T,0),0)</f>
        <v>495</v>
      </c>
      <c r="G3244" s="6" t="str">
        <f aca="false">IF(F3244=0,"NOT FOUND",INDEX('All Song Rankings'!$A:$A,F3244))</f>
        <v>Night at the Opera</v>
      </c>
      <c r="H3244" s="6" t="str">
        <f aca="false">IF(F3244=0,"NOT FOUND",INDEX('All Song Rankings'!$B:$B,F3244))</f>
        <v>Emei</v>
      </c>
      <c r="I3244" s="6" t="str">
        <f aca="false">IF(F3244=0,"NOT FOUND",INDEX('All Song Rankings'!$D:$D,F3244))</f>
        <v>Leah</v>
      </c>
      <c r="J3244" s="7" t="str">
        <f aca="false">IF(F3244=0,"NOT FOUND",IF(C3244=I3244,"SELF-VOTE",IF(COUNTIF($K:$K,K3244)&gt;1,"DUPLICATE","OK")))</f>
        <v>OK</v>
      </c>
      <c r="K3244" s="6" t="str">
        <f aca="false">A3244&amp;"|"&amp;B3244&amp;"|"&amp;C3244&amp;"|"&amp;D3244</f>
        <v>5|6|Logan|spotify:track:4ikhbKiw9pKYkWitSR7M7u</v>
      </c>
    </row>
    <row r="3245" customFormat="false" ht="15" hidden="false" customHeight="false" outlineLevel="0" collapsed="false">
      <c r="A3245" s="5" t="n">
        <v>5</v>
      </c>
      <c r="B3245" s="5" t="n">
        <v>6</v>
      </c>
      <c r="C3245" s="5" t="s">
        <v>128</v>
      </c>
      <c r="D3245" s="5" t="s">
        <v>1563</v>
      </c>
      <c r="E3245" s="5" t="n">
        <v>1</v>
      </c>
      <c r="F3245" s="6" t="n">
        <f aca="false">IFERROR(MATCH(A3245&amp;"|"&amp;B3245&amp;"|"&amp;D3245,'All Song Rankings'!$T:$T,0),0)</f>
        <v>504</v>
      </c>
      <c r="G3245" s="6" t="str">
        <f aca="false">IF(F3245=0,"NOT FOUND",INDEX('All Song Rankings'!$A:$A,F3245))</f>
        <v>Happy - From "Despicable Me 2"</v>
      </c>
      <c r="H3245" s="6" t="str">
        <f aca="false">IF(F3245=0,"NOT FOUND",INDEX('All Song Rankings'!$B:$B,F3245))</f>
        <v>Pharrell Williams</v>
      </c>
      <c r="I3245" s="6" t="str">
        <f aca="false">IF(F3245=0,"NOT FOUND",INDEX('All Song Rankings'!$D:$D,F3245))</f>
        <v>Colleen</v>
      </c>
      <c r="J3245" s="7" t="str">
        <f aca="false">IF(F3245=0,"NOT FOUND",IF(C3245=I3245,"SELF-VOTE",IF(COUNTIF($K:$K,K3245)&gt;1,"DUPLICATE","OK")))</f>
        <v>OK</v>
      </c>
      <c r="K3245" s="6" t="str">
        <f aca="false">A3245&amp;"|"&amp;B3245&amp;"|"&amp;C3245&amp;"|"&amp;D3245</f>
        <v>5|6|Logan|spotify:track:60nZcImufyMA1MKQY3dcCH</v>
      </c>
    </row>
    <row r="3246" customFormat="false" ht="15" hidden="false" customHeight="false" outlineLevel="0" collapsed="false">
      <c r="A3246" s="5" t="n">
        <v>5</v>
      </c>
      <c r="B3246" s="5" t="n">
        <v>6</v>
      </c>
      <c r="C3246" s="5" t="s">
        <v>128</v>
      </c>
      <c r="D3246" s="5" t="s">
        <v>1572</v>
      </c>
      <c r="E3246" s="5" t="n">
        <v>1</v>
      </c>
      <c r="F3246" s="6" t="n">
        <f aca="false">IFERROR(MATCH(A3246&amp;"|"&amp;B3246&amp;"|"&amp;D3246,'All Song Rankings'!$T:$T,0),0)</f>
        <v>507</v>
      </c>
      <c r="G3246" s="6" t="str">
        <f aca="false">IF(F3246=0,"NOT FOUND",INDEX('All Song Rankings'!$A:$A,F3246))</f>
        <v>Sweet Caroline</v>
      </c>
      <c r="H3246" s="6" t="str">
        <f aca="false">IF(F3246=0,"NOT FOUND",INDEX('All Song Rankings'!$B:$B,F3246))</f>
        <v>Neil Diamond</v>
      </c>
      <c r="I3246" s="6" t="str">
        <f aca="false">IF(F3246=0,"NOT FOUND",INDEX('All Song Rankings'!$D:$D,F3246))</f>
        <v>Scott</v>
      </c>
      <c r="J3246" s="7" t="str">
        <f aca="false">IF(F3246=0,"NOT FOUND",IF(C3246=I3246,"SELF-VOTE",IF(COUNTIF($K:$K,K3246)&gt;1,"DUPLICATE","OK")))</f>
        <v>OK</v>
      </c>
      <c r="K3246" s="6" t="str">
        <f aca="false">A3246&amp;"|"&amp;B3246&amp;"|"&amp;C3246&amp;"|"&amp;D3246</f>
        <v>5|6|Logan|spotify:track:62AuGbAkt8Ox2IrFFb8GKV</v>
      </c>
    </row>
    <row r="3247" customFormat="false" ht="15" hidden="false" customHeight="false" outlineLevel="0" collapsed="false">
      <c r="A3247" s="5" t="n">
        <v>5</v>
      </c>
      <c r="B3247" s="5" t="n">
        <v>6</v>
      </c>
      <c r="C3247" s="5" t="s">
        <v>128</v>
      </c>
      <c r="D3247" s="5" t="s">
        <v>1549</v>
      </c>
      <c r="E3247" s="5" t="n">
        <v>1</v>
      </c>
      <c r="F3247" s="6" t="n">
        <f aca="false">IFERROR(MATCH(A3247&amp;"|"&amp;B3247&amp;"|"&amp;D3247,'All Song Rankings'!$T:$T,0),0)</f>
        <v>498</v>
      </c>
      <c r="G3247" s="6" t="str">
        <f aca="false">IF(F3247=0,"NOT FOUND",INDEX('All Song Rankings'!$A:$A,F3247))</f>
        <v>She Will Be Loved</v>
      </c>
      <c r="H3247" s="6" t="str">
        <f aca="false">IF(F3247=0,"NOT FOUND",INDEX('All Song Rankings'!$B:$B,F3247))</f>
        <v>Maroon 5</v>
      </c>
      <c r="I3247" s="6" t="str">
        <f aca="false">IF(F3247=0,"NOT FOUND",INDEX('All Song Rankings'!$D:$D,F3247))</f>
        <v>Makenzie</v>
      </c>
      <c r="J3247" s="7" t="str">
        <f aca="false">IF(F3247=0,"NOT FOUND",IF(C3247=I3247,"SELF-VOTE",IF(COUNTIF($K:$K,K3247)&gt;1,"DUPLICATE","OK")))</f>
        <v>OK</v>
      </c>
      <c r="K3247" s="6" t="str">
        <f aca="false">A3247&amp;"|"&amp;B3247&amp;"|"&amp;C3247&amp;"|"&amp;D3247</f>
        <v>5|6|Logan|spotify:track:7sapKrjDij2fpDVj0GxP66</v>
      </c>
    </row>
    <row r="3248" customFormat="false" ht="15" hidden="false" customHeight="false" outlineLevel="0" collapsed="false">
      <c r="A3248" s="5" t="n">
        <v>5</v>
      </c>
      <c r="B3248" s="5" t="n">
        <v>6</v>
      </c>
      <c r="C3248" s="5" t="s">
        <v>395</v>
      </c>
      <c r="D3248" s="5" t="s">
        <v>1544</v>
      </c>
      <c r="E3248" s="5" t="n">
        <v>1</v>
      </c>
      <c r="F3248" s="6" t="n">
        <f aca="false">IFERROR(MATCH(A3248&amp;"|"&amp;B3248&amp;"|"&amp;D3248,'All Song Rankings'!$T:$T,0),0)</f>
        <v>496</v>
      </c>
      <c r="G3248" s="6" t="str">
        <f aca="false">IF(F3248=0,"NOT FOUND",INDEX('All Song Rankings'!$A:$A,F3248))</f>
        <v>Pink Pony Club</v>
      </c>
      <c r="H3248" s="6" t="str">
        <f aca="false">IF(F3248=0,"NOT FOUND",INDEX('All Song Rankings'!$B:$B,F3248))</f>
        <v>Chappell Roan</v>
      </c>
      <c r="I3248" s="6" t="str">
        <f aca="false">IF(F3248=0,"NOT FOUND",INDEX('All Song Rankings'!$D:$D,F3248))</f>
        <v>Kristen</v>
      </c>
      <c r="J3248" s="7" t="str">
        <f aca="false">IF(F3248=0,"NOT FOUND",IF(C3248=I3248,"SELF-VOTE",IF(COUNTIF($K:$K,K3248)&gt;1,"DUPLICATE","OK")))</f>
        <v>OK</v>
      </c>
      <c r="K3248" s="6" t="str">
        <f aca="false">A3248&amp;"|"&amp;B3248&amp;"|"&amp;C3248&amp;"|"&amp;D3248</f>
        <v>5|6|Makenzie|spotify:track:1k2pQc5i348DCHwbn5KTdc</v>
      </c>
    </row>
    <row r="3249" customFormat="false" ht="15" hidden="false" customHeight="false" outlineLevel="0" collapsed="false">
      <c r="A3249" s="5" t="n">
        <v>5</v>
      </c>
      <c r="B3249" s="5" t="n">
        <v>6</v>
      </c>
      <c r="C3249" s="5" t="s">
        <v>395</v>
      </c>
      <c r="D3249" s="5" t="s">
        <v>1560</v>
      </c>
      <c r="E3249" s="5" t="n">
        <v>1</v>
      </c>
      <c r="F3249" s="6" t="n">
        <f aca="false">IFERROR(MATCH(A3249&amp;"|"&amp;B3249&amp;"|"&amp;D3249,'All Song Rankings'!$T:$T,0),0)</f>
        <v>503</v>
      </c>
      <c r="G3249" s="6" t="str">
        <f aca="false">IF(F3249=0,"NOT FOUND",INDEX('All Song Rankings'!$A:$A,F3249))</f>
        <v>Scoop</v>
      </c>
      <c r="H3249" s="6" t="str">
        <f aca="false">IF(F3249=0,"NOT FOUND",INDEX('All Song Rankings'!$B:$B,F3249))</f>
        <v>Connor Price, Nc D</v>
      </c>
      <c r="I3249" s="6" t="str">
        <f aca="false">IF(F3249=0,"NOT FOUND",INDEX('All Song Rankings'!$D:$D,F3249))</f>
        <v>Lisa</v>
      </c>
      <c r="J3249" s="7" t="str">
        <f aca="false">IF(F3249=0,"NOT FOUND",IF(C3249=I3249,"SELF-VOTE",IF(COUNTIF($K:$K,K3249)&gt;1,"DUPLICATE","OK")))</f>
        <v>OK</v>
      </c>
      <c r="K3249" s="6" t="str">
        <f aca="false">A3249&amp;"|"&amp;B3249&amp;"|"&amp;C3249&amp;"|"&amp;D3249</f>
        <v>5|6|Makenzie|spotify:track:3EDclKlSXDJsujVfM8bvL3</v>
      </c>
    </row>
    <row r="3250" customFormat="false" ht="15" hidden="false" customHeight="false" outlineLevel="0" collapsed="false">
      <c r="A3250" s="5" t="n">
        <v>5</v>
      </c>
      <c r="B3250" s="5" t="n">
        <v>6</v>
      </c>
      <c r="C3250" s="5" t="s">
        <v>395</v>
      </c>
      <c r="D3250" s="5" t="s">
        <v>1546</v>
      </c>
      <c r="E3250" s="5" t="n">
        <v>1</v>
      </c>
      <c r="F3250" s="6" t="n">
        <f aca="false">IFERROR(MATCH(A3250&amp;"|"&amp;B3250&amp;"|"&amp;D3250,'All Song Rankings'!$T:$T,0),0)</f>
        <v>497</v>
      </c>
      <c r="G3250" s="6" t="str">
        <f aca="false">IF(F3250=0,"NOT FOUND",INDEX('All Song Rankings'!$A:$A,F3250))</f>
        <v>As It Was</v>
      </c>
      <c r="H3250" s="6" t="str">
        <f aca="false">IF(F3250=0,"NOT FOUND",INDEX('All Song Rankings'!$B:$B,F3250))</f>
        <v>Harry Styles</v>
      </c>
      <c r="I3250" s="6" t="str">
        <f aca="false">IF(F3250=0,"NOT FOUND",INDEX('All Song Rankings'!$D:$D,F3250))</f>
        <v>Aubrey</v>
      </c>
      <c r="J3250" s="7" t="str">
        <f aca="false">IF(F3250=0,"NOT FOUND",IF(C3250=I3250,"SELF-VOTE",IF(COUNTIF($K:$K,K3250)&gt;1,"DUPLICATE","OK")))</f>
        <v>OK</v>
      </c>
      <c r="K3250" s="6" t="str">
        <f aca="false">A3250&amp;"|"&amp;B3250&amp;"|"&amp;C3250&amp;"|"&amp;D3250</f>
        <v>5|6|Makenzie|spotify:track:4Dvkj6JhhA12EX05fT7y2e</v>
      </c>
    </row>
    <row r="3251" customFormat="false" ht="15" hidden="false" customHeight="false" outlineLevel="0" collapsed="false">
      <c r="A3251" s="5" t="n">
        <v>5</v>
      </c>
      <c r="B3251" s="5" t="n">
        <v>6</v>
      </c>
      <c r="C3251" s="5" t="s">
        <v>395</v>
      </c>
      <c r="D3251" s="5" t="s">
        <v>1541</v>
      </c>
      <c r="E3251" s="5" t="n">
        <v>3</v>
      </c>
      <c r="F3251" s="6" t="n">
        <f aca="false">IFERROR(MATCH(A3251&amp;"|"&amp;B3251&amp;"|"&amp;D3251,'All Song Rankings'!$T:$T,0),0)</f>
        <v>495</v>
      </c>
      <c r="G3251" s="6" t="str">
        <f aca="false">IF(F3251=0,"NOT FOUND",INDEX('All Song Rankings'!$A:$A,F3251))</f>
        <v>Night at the Opera</v>
      </c>
      <c r="H3251" s="6" t="str">
        <f aca="false">IF(F3251=0,"NOT FOUND",INDEX('All Song Rankings'!$B:$B,F3251))</f>
        <v>Emei</v>
      </c>
      <c r="I3251" s="6" t="str">
        <f aca="false">IF(F3251=0,"NOT FOUND",INDEX('All Song Rankings'!$D:$D,F3251))</f>
        <v>Leah</v>
      </c>
      <c r="J3251" s="7" t="str">
        <f aca="false">IF(F3251=0,"NOT FOUND",IF(C3251=I3251,"SELF-VOTE",IF(COUNTIF($K:$K,K3251)&gt;1,"DUPLICATE","OK")))</f>
        <v>OK</v>
      </c>
      <c r="K3251" s="6" t="str">
        <f aca="false">A3251&amp;"|"&amp;B3251&amp;"|"&amp;C3251&amp;"|"&amp;D3251</f>
        <v>5|6|Makenzie|spotify:track:4ikhbKiw9pKYkWitSR7M7u</v>
      </c>
    </row>
    <row r="3252" customFormat="false" ht="15" hidden="false" customHeight="false" outlineLevel="0" collapsed="false">
      <c r="A3252" s="5" t="n">
        <v>5</v>
      </c>
      <c r="B3252" s="5" t="n">
        <v>6</v>
      </c>
      <c r="C3252" s="5" t="s">
        <v>395</v>
      </c>
      <c r="D3252" s="5" t="s">
        <v>1537</v>
      </c>
      <c r="E3252" s="5" t="n">
        <v>3</v>
      </c>
      <c r="F3252" s="6" t="n">
        <f aca="false">IFERROR(MATCH(A3252&amp;"|"&amp;B3252&amp;"|"&amp;D3252,'All Song Rankings'!$T:$T,0),0)</f>
        <v>493</v>
      </c>
      <c r="G3252" s="6" t="str">
        <f aca="false">IF(F3252=0,"NOT FOUND",INDEX('All Song Rankings'!$A:$A,F3252))</f>
        <v>Closer</v>
      </c>
      <c r="H3252" s="6" t="str">
        <f aca="false">IF(F3252=0,"NOT FOUND",INDEX('All Song Rankings'!$B:$B,F3252))</f>
        <v>The Chainsmokers, Halsey</v>
      </c>
      <c r="I3252" s="6" t="str">
        <f aca="false">IF(F3252=0,"NOT FOUND",INDEX('All Song Rankings'!$D:$D,F3252))</f>
        <v>Logan</v>
      </c>
      <c r="J3252" s="7" t="str">
        <f aca="false">IF(F3252=0,"NOT FOUND",IF(C3252=I3252,"SELF-VOTE",IF(COUNTIF($K:$K,K3252)&gt;1,"DUPLICATE","OK")))</f>
        <v>OK</v>
      </c>
      <c r="K3252" s="6" t="str">
        <f aca="false">A3252&amp;"|"&amp;B3252&amp;"|"&amp;C3252&amp;"|"&amp;D3252</f>
        <v>5|6|Makenzie|spotify:track:7BKLCZ1jbUBVqRi2FVlTVw</v>
      </c>
    </row>
    <row r="3253" customFormat="false" ht="15" hidden="false" customHeight="false" outlineLevel="0" collapsed="false">
      <c r="A3253" s="5" t="n">
        <v>5</v>
      </c>
      <c r="B3253" s="5" t="n">
        <v>6</v>
      </c>
      <c r="C3253" s="5" t="s">
        <v>395</v>
      </c>
      <c r="D3253" s="5" t="s">
        <v>1538</v>
      </c>
      <c r="E3253" s="5" t="n">
        <v>1</v>
      </c>
      <c r="F3253" s="6" t="n">
        <f aca="false">IFERROR(MATCH(A3253&amp;"|"&amp;B3253&amp;"|"&amp;D3253,'All Song Rankings'!$T:$T,0),0)</f>
        <v>494</v>
      </c>
      <c r="G3253" s="6" t="str">
        <f aca="false">IF(F3253=0,"NOT FOUND",INDEX('All Song Rankings'!$A:$A,F3253))</f>
        <v>Bohemian Rhapsody - Remastered</v>
      </c>
      <c r="H3253" s="6" t="str">
        <f aca="false">IF(F3253=0,"NOT FOUND",INDEX('All Song Rankings'!$B:$B,F3253))</f>
        <v>Queen</v>
      </c>
      <c r="I3253" s="6" t="str">
        <f aca="false">IF(F3253=0,"NOT FOUND",INDEX('All Song Rankings'!$D:$D,F3253))</f>
        <v>Grace</v>
      </c>
      <c r="J3253" s="7" t="str">
        <f aca="false">IF(F3253=0,"NOT FOUND",IF(C3253=I3253,"SELF-VOTE",IF(COUNTIF($K:$K,K3253)&gt;1,"DUPLICATE","OK")))</f>
        <v>OK</v>
      </c>
      <c r="K3253" s="6" t="str">
        <f aca="false">A3253&amp;"|"&amp;B3253&amp;"|"&amp;C3253&amp;"|"&amp;D3253</f>
        <v>5|6|Makenzie|spotify:track:7tFiyTwD0nx5a1eklYtX2J</v>
      </c>
    </row>
    <row r="3254" customFormat="false" ht="15" hidden="false" customHeight="false" outlineLevel="0" collapsed="false">
      <c r="A3254" s="5" t="n">
        <v>5</v>
      </c>
      <c r="B3254" s="5" t="n">
        <v>6</v>
      </c>
      <c r="C3254" s="5" t="s">
        <v>116</v>
      </c>
      <c r="D3254" s="5" t="s">
        <v>1544</v>
      </c>
      <c r="E3254" s="5" t="n">
        <v>1</v>
      </c>
      <c r="F3254" s="6" t="n">
        <f aca="false">IFERROR(MATCH(A3254&amp;"|"&amp;B3254&amp;"|"&amp;D3254,'All Song Rankings'!$T:$T,0),0)</f>
        <v>496</v>
      </c>
      <c r="G3254" s="6" t="str">
        <f aca="false">IF(F3254=0,"NOT FOUND",INDEX('All Song Rankings'!$A:$A,F3254))</f>
        <v>Pink Pony Club</v>
      </c>
      <c r="H3254" s="6" t="str">
        <f aca="false">IF(F3254=0,"NOT FOUND",INDEX('All Song Rankings'!$B:$B,F3254))</f>
        <v>Chappell Roan</v>
      </c>
      <c r="I3254" s="6" t="str">
        <f aca="false">IF(F3254=0,"NOT FOUND",INDEX('All Song Rankings'!$D:$D,F3254))</f>
        <v>Kristen</v>
      </c>
      <c r="J3254" s="7" t="str">
        <f aca="false">IF(F3254=0,"NOT FOUND",IF(C3254=I3254,"SELF-VOTE",IF(COUNTIF($K:$K,K3254)&gt;1,"DUPLICATE","OK")))</f>
        <v>OK</v>
      </c>
      <c r="K3254" s="6" t="str">
        <f aca="false">A3254&amp;"|"&amp;B3254&amp;"|"&amp;C3254&amp;"|"&amp;D3254</f>
        <v>5|6|Matt|spotify:track:1k2pQc5i348DCHwbn5KTdc</v>
      </c>
    </row>
    <row r="3255" customFormat="false" ht="15" hidden="false" customHeight="false" outlineLevel="0" collapsed="false">
      <c r="A3255" s="5" t="n">
        <v>5</v>
      </c>
      <c r="B3255" s="5" t="n">
        <v>6</v>
      </c>
      <c r="C3255" s="5" t="s">
        <v>116</v>
      </c>
      <c r="D3255" s="5" t="s">
        <v>1554</v>
      </c>
      <c r="E3255" s="5" t="n">
        <v>1</v>
      </c>
      <c r="F3255" s="6" t="n">
        <f aca="false">IFERROR(MATCH(A3255&amp;"|"&amp;B3255&amp;"|"&amp;D3255,'All Song Rankings'!$T:$T,0),0)</f>
        <v>500</v>
      </c>
      <c r="G3255" s="6" t="str">
        <f aca="false">IF(F3255=0,"NOT FOUND",INDEX('All Song Rankings'!$A:$A,F3255))</f>
        <v>Viva La Vida</v>
      </c>
      <c r="H3255" s="6" t="str">
        <f aca="false">IF(F3255=0,"NOT FOUND",INDEX('All Song Rankings'!$B:$B,F3255))</f>
        <v>Coldplay</v>
      </c>
      <c r="I3255" s="6" t="str">
        <f aca="false">IF(F3255=0,"NOT FOUND",INDEX('All Song Rankings'!$D:$D,F3255))</f>
        <v>Kelsey</v>
      </c>
      <c r="J3255" s="7" t="str">
        <f aca="false">IF(F3255=0,"NOT FOUND",IF(C3255=I3255,"SELF-VOTE",IF(COUNTIF($K:$K,K3255)&gt;1,"DUPLICATE","OK")))</f>
        <v>OK</v>
      </c>
      <c r="K3255" s="6" t="str">
        <f aca="false">A3255&amp;"|"&amp;B3255&amp;"|"&amp;C3255&amp;"|"&amp;D3255</f>
        <v>5|6|Matt|spotify:track:1mea3bSkSGXuIRvnydlB5b</v>
      </c>
    </row>
    <row r="3256" customFormat="false" ht="15" hidden="false" customHeight="false" outlineLevel="0" collapsed="false">
      <c r="A3256" s="5" t="n">
        <v>5</v>
      </c>
      <c r="B3256" s="5" t="n">
        <v>6</v>
      </c>
      <c r="C3256" s="5" t="s">
        <v>116</v>
      </c>
      <c r="D3256" s="5" t="s">
        <v>1569</v>
      </c>
      <c r="E3256" s="5" t="n">
        <v>1</v>
      </c>
      <c r="F3256" s="6" t="n">
        <f aca="false">IFERROR(MATCH(A3256&amp;"|"&amp;B3256&amp;"|"&amp;D3256,'All Song Rankings'!$T:$T,0),0)</f>
        <v>506</v>
      </c>
      <c r="G3256" s="6" t="str">
        <f aca="false">IF(F3256=0,"NOT FOUND",INDEX('All Song Rankings'!$A:$A,F3256))</f>
        <v>Dance Monkey</v>
      </c>
      <c r="H3256" s="6" t="str">
        <f aca="false">IF(F3256=0,"NOT FOUND",INDEX('All Song Rankings'!$B:$B,F3256))</f>
        <v>Tones And I</v>
      </c>
      <c r="I3256" s="6" t="str">
        <f aca="false">IF(F3256=0,"NOT FOUND",INDEX('All Song Rankings'!$D:$D,F3256))</f>
        <v>Merita</v>
      </c>
      <c r="J3256" s="7" t="str">
        <f aca="false">IF(F3256=0,"NOT FOUND",IF(C3256=I3256,"SELF-VOTE",IF(COUNTIF($K:$K,K3256)&gt;1,"DUPLICATE","OK")))</f>
        <v>OK</v>
      </c>
      <c r="K3256" s="6" t="str">
        <f aca="false">A3256&amp;"|"&amp;B3256&amp;"|"&amp;C3256&amp;"|"&amp;D3256</f>
        <v>5|6|Matt|spotify:track:2XU0oxnq2qxCpomAAuJY8K</v>
      </c>
    </row>
    <row r="3257" customFormat="false" ht="15" hidden="false" customHeight="false" outlineLevel="0" collapsed="false">
      <c r="A3257" s="5" t="n">
        <v>5</v>
      </c>
      <c r="B3257" s="5" t="n">
        <v>6</v>
      </c>
      <c r="C3257" s="5" t="s">
        <v>116</v>
      </c>
      <c r="D3257" s="5" t="s">
        <v>1546</v>
      </c>
      <c r="E3257" s="5" t="n">
        <v>1</v>
      </c>
      <c r="F3257" s="6" t="n">
        <f aca="false">IFERROR(MATCH(A3257&amp;"|"&amp;B3257&amp;"|"&amp;D3257,'All Song Rankings'!$T:$T,0),0)</f>
        <v>497</v>
      </c>
      <c r="G3257" s="6" t="str">
        <f aca="false">IF(F3257=0,"NOT FOUND",INDEX('All Song Rankings'!$A:$A,F3257))</f>
        <v>As It Was</v>
      </c>
      <c r="H3257" s="6" t="str">
        <f aca="false">IF(F3257=0,"NOT FOUND",INDEX('All Song Rankings'!$B:$B,F3257))</f>
        <v>Harry Styles</v>
      </c>
      <c r="I3257" s="6" t="str">
        <f aca="false">IF(F3257=0,"NOT FOUND",INDEX('All Song Rankings'!$D:$D,F3257))</f>
        <v>Aubrey</v>
      </c>
      <c r="J3257" s="7" t="str">
        <f aca="false">IF(F3257=0,"NOT FOUND",IF(C3257=I3257,"SELF-VOTE",IF(COUNTIF($K:$K,K3257)&gt;1,"DUPLICATE","OK")))</f>
        <v>OK</v>
      </c>
      <c r="K3257" s="6" t="str">
        <f aca="false">A3257&amp;"|"&amp;B3257&amp;"|"&amp;C3257&amp;"|"&amp;D3257</f>
        <v>5|6|Matt|spotify:track:4Dvkj6JhhA12EX05fT7y2e</v>
      </c>
    </row>
    <row r="3258" customFormat="false" ht="15" hidden="false" customHeight="false" outlineLevel="0" collapsed="false">
      <c r="A3258" s="5" t="n">
        <v>5</v>
      </c>
      <c r="B3258" s="5" t="n">
        <v>6</v>
      </c>
      <c r="C3258" s="5" t="s">
        <v>116</v>
      </c>
      <c r="D3258" s="5" t="s">
        <v>1541</v>
      </c>
      <c r="E3258" s="5" t="n">
        <v>1</v>
      </c>
      <c r="F3258" s="6" t="n">
        <f aca="false">IFERROR(MATCH(A3258&amp;"|"&amp;B3258&amp;"|"&amp;D3258,'All Song Rankings'!$T:$T,0),0)</f>
        <v>495</v>
      </c>
      <c r="G3258" s="6" t="str">
        <f aca="false">IF(F3258=0,"NOT FOUND",INDEX('All Song Rankings'!$A:$A,F3258))</f>
        <v>Night at the Opera</v>
      </c>
      <c r="H3258" s="6" t="str">
        <f aca="false">IF(F3258=0,"NOT FOUND",INDEX('All Song Rankings'!$B:$B,F3258))</f>
        <v>Emei</v>
      </c>
      <c r="I3258" s="6" t="str">
        <f aca="false">IF(F3258=0,"NOT FOUND",INDEX('All Song Rankings'!$D:$D,F3258))</f>
        <v>Leah</v>
      </c>
      <c r="J3258" s="7" t="str">
        <f aca="false">IF(F3258=0,"NOT FOUND",IF(C3258=I3258,"SELF-VOTE",IF(COUNTIF($K:$K,K3258)&gt;1,"DUPLICATE","OK")))</f>
        <v>OK</v>
      </c>
      <c r="K3258" s="6" t="str">
        <f aca="false">A3258&amp;"|"&amp;B3258&amp;"|"&amp;C3258&amp;"|"&amp;D3258</f>
        <v>5|6|Matt|spotify:track:4ikhbKiw9pKYkWitSR7M7u</v>
      </c>
    </row>
    <row r="3259" customFormat="false" ht="15" hidden="false" customHeight="false" outlineLevel="0" collapsed="false">
      <c r="A3259" s="5" t="n">
        <v>5</v>
      </c>
      <c r="B3259" s="5" t="n">
        <v>6</v>
      </c>
      <c r="C3259" s="5" t="s">
        <v>116</v>
      </c>
      <c r="D3259" s="5" t="s">
        <v>1563</v>
      </c>
      <c r="E3259" s="5" t="n">
        <v>1</v>
      </c>
      <c r="F3259" s="6" t="n">
        <f aca="false">IFERROR(MATCH(A3259&amp;"|"&amp;B3259&amp;"|"&amp;D3259,'All Song Rankings'!$T:$T,0),0)</f>
        <v>504</v>
      </c>
      <c r="G3259" s="6" t="str">
        <f aca="false">IF(F3259=0,"NOT FOUND",INDEX('All Song Rankings'!$A:$A,F3259))</f>
        <v>Happy - From "Despicable Me 2"</v>
      </c>
      <c r="H3259" s="6" t="str">
        <f aca="false">IF(F3259=0,"NOT FOUND",INDEX('All Song Rankings'!$B:$B,F3259))</f>
        <v>Pharrell Williams</v>
      </c>
      <c r="I3259" s="6" t="str">
        <f aca="false">IF(F3259=0,"NOT FOUND",INDEX('All Song Rankings'!$D:$D,F3259))</f>
        <v>Colleen</v>
      </c>
      <c r="J3259" s="7" t="str">
        <f aca="false">IF(F3259=0,"NOT FOUND",IF(C3259=I3259,"SELF-VOTE",IF(COUNTIF($K:$K,K3259)&gt;1,"DUPLICATE","OK")))</f>
        <v>OK</v>
      </c>
      <c r="K3259" s="6" t="str">
        <f aca="false">A3259&amp;"|"&amp;B3259&amp;"|"&amp;C3259&amp;"|"&amp;D3259</f>
        <v>5|6|Matt|spotify:track:60nZcImufyMA1MKQY3dcCH</v>
      </c>
    </row>
    <row r="3260" customFormat="false" ht="15" hidden="false" customHeight="false" outlineLevel="0" collapsed="false">
      <c r="A3260" s="5" t="n">
        <v>5</v>
      </c>
      <c r="B3260" s="5" t="n">
        <v>6</v>
      </c>
      <c r="C3260" s="5" t="s">
        <v>116</v>
      </c>
      <c r="D3260" s="5" t="s">
        <v>1572</v>
      </c>
      <c r="E3260" s="5" t="n">
        <v>1</v>
      </c>
      <c r="F3260" s="6" t="n">
        <f aca="false">IFERROR(MATCH(A3260&amp;"|"&amp;B3260&amp;"|"&amp;D3260,'All Song Rankings'!$T:$T,0),0)</f>
        <v>507</v>
      </c>
      <c r="G3260" s="6" t="str">
        <f aca="false">IF(F3260=0,"NOT FOUND",INDEX('All Song Rankings'!$A:$A,F3260))</f>
        <v>Sweet Caroline</v>
      </c>
      <c r="H3260" s="6" t="str">
        <f aca="false">IF(F3260=0,"NOT FOUND",INDEX('All Song Rankings'!$B:$B,F3260))</f>
        <v>Neil Diamond</v>
      </c>
      <c r="I3260" s="6" t="str">
        <f aca="false">IF(F3260=0,"NOT FOUND",INDEX('All Song Rankings'!$D:$D,F3260))</f>
        <v>Scott</v>
      </c>
      <c r="J3260" s="7" t="str">
        <f aca="false">IF(F3260=0,"NOT FOUND",IF(C3260=I3260,"SELF-VOTE",IF(COUNTIF($K:$K,K3260)&gt;1,"DUPLICATE","OK")))</f>
        <v>OK</v>
      </c>
      <c r="K3260" s="6" t="str">
        <f aca="false">A3260&amp;"|"&amp;B3260&amp;"|"&amp;C3260&amp;"|"&amp;D3260</f>
        <v>5|6|Matt|spotify:track:62AuGbAkt8Ox2IrFFb8GKV</v>
      </c>
    </row>
    <row r="3261" customFormat="false" ht="15" hidden="false" customHeight="false" outlineLevel="0" collapsed="false">
      <c r="A3261" s="5" t="n">
        <v>5</v>
      </c>
      <c r="B3261" s="5" t="n">
        <v>6</v>
      </c>
      <c r="C3261" s="5" t="s">
        <v>116</v>
      </c>
      <c r="D3261" s="5" t="s">
        <v>1537</v>
      </c>
      <c r="E3261" s="5" t="n">
        <v>1</v>
      </c>
      <c r="F3261" s="6" t="n">
        <f aca="false">IFERROR(MATCH(A3261&amp;"|"&amp;B3261&amp;"|"&amp;D3261,'All Song Rankings'!$T:$T,0),0)</f>
        <v>493</v>
      </c>
      <c r="G3261" s="6" t="str">
        <f aca="false">IF(F3261=0,"NOT FOUND",INDEX('All Song Rankings'!$A:$A,F3261))</f>
        <v>Closer</v>
      </c>
      <c r="H3261" s="6" t="str">
        <f aca="false">IF(F3261=0,"NOT FOUND",INDEX('All Song Rankings'!$B:$B,F3261))</f>
        <v>The Chainsmokers, Halsey</v>
      </c>
      <c r="I3261" s="6" t="str">
        <f aca="false">IF(F3261=0,"NOT FOUND",INDEX('All Song Rankings'!$D:$D,F3261))</f>
        <v>Logan</v>
      </c>
      <c r="J3261" s="7" t="str">
        <f aca="false">IF(F3261=0,"NOT FOUND",IF(C3261=I3261,"SELF-VOTE",IF(COUNTIF($K:$K,K3261)&gt;1,"DUPLICATE","OK")))</f>
        <v>OK</v>
      </c>
      <c r="K3261" s="6" t="str">
        <f aca="false">A3261&amp;"|"&amp;B3261&amp;"|"&amp;C3261&amp;"|"&amp;D3261</f>
        <v>5|6|Matt|spotify:track:7BKLCZ1jbUBVqRi2FVlTVw</v>
      </c>
    </row>
    <row r="3262" customFormat="false" ht="15" hidden="false" customHeight="false" outlineLevel="0" collapsed="false">
      <c r="A3262" s="5" t="n">
        <v>5</v>
      </c>
      <c r="B3262" s="5" t="n">
        <v>6</v>
      </c>
      <c r="C3262" s="5" t="s">
        <v>116</v>
      </c>
      <c r="D3262" s="5" t="s">
        <v>1538</v>
      </c>
      <c r="E3262" s="5" t="n">
        <v>2</v>
      </c>
      <c r="F3262" s="6" t="n">
        <f aca="false">IFERROR(MATCH(A3262&amp;"|"&amp;B3262&amp;"|"&amp;D3262,'All Song Rankings'!$T:$T,0),0)</f>
        <v>494</v>
      </c>
      <c r="G3262" s="6" t="str">
        <f aca="false">IF(F3262=0,"NOT FOUND",INDEX('All Song Rankings'!$A:$A,F3262))</f>
        <v>Bohemian Rhapsody - Remastered</v>
      </c>
      <c r="H3262" s="6" t="str">
        <f aca="false">IF(F3262=0,"NOT FOUND",INDEX('All Song Rankings'!$B:$B,F3262))</f>
        <v>Queen</v>
      </c>
      <c r="I3262" s="6" t="str">
        <f aca="false">IF(F3262=0,"NOT FOUND",INDEX('All Song Rankings'!$D:$D,F3262))</f>
        <v>Grace</v>
      </c>
      <c r="J3262" s="7" t="str">
        <f aca="false">IF(F3262=0,"NOT FOUND",IF(C3262=I3262,"SELF-VOTE",IF(COUNTIF($K:$K,K3262)&gt;1,"DUPLICATE","OK")))</f>
        <v>OK</v>
      </c>
      <c r="K3262" s="6" t="str">
        <f aca="false">A3262&amp;"|"&amp;B3262&amp;"|"&amp;C3262&amp;"|"&amp;D3262</f>
        <v>5|6|Matt|spotify:track:7tFiyTwD0nx5a1eklYtX2J</v>
      </c>
    </row>
    <row r="3263" customFormat="false" ht="15" hidden="false" customHeight="false" outlineLevel="0" collapsed="false">
      <c r="A3263" s="5" t="n">
        <v>5</v>
      </c>
      <c r="B3263" s="5" t="n">
        <v>6</v>
      </c>
      <c r="C3263" s="5" t="s">
        <v>101</v>
      </c>
      <c r="D3263" s="5" t="s">
        <v>1554</v>
      </c>
      <c r="E3263" s="5" t="n">
        <v>2</v>
      </c>
      <c r="F3263" s="6" t="n">
        <f aca="false">IFERROR(MATCH(A3263&amp;"|"&amp;B3263&amp;"|"&amp;D3263,'All Song Rankings'!$T:$T,0),0)</f>
        <v>500</v>
      </c>
      <c r="G3263" s="6" t="str">
        <f aca="false">IF(F3263=0,"NOT FOUND",INDEX('All Song Rankings'!$A:$A,F3263))</f>
        <v>Viva La Vida</v>
      </c>
      <c r="H3263" s="6" t="str">
        <f aca="false">IF(F3263=0,"NOT FOUND",INDEX('All Song Rankings'!$B:$B,F3263))</f>
        <v>Coldplay</v>
      </c>
      <c r="I3263" s="6" t="str">
        <f aca="false">IF(F3263=0,"NOT FOUND",INDEX('All Song Rankings'!$D:$D,F3263))</f>
        <v>Kelsey</v>
      </c>
      <c r="J3263" s="7" t="str">
        <f aca="false">IF(F3263=0,"NOT FOUND",IF(C3263=I3263,"SELF-VOTE",IF(COUNTIF($K:$K,K3263)&gt;1,"DUPLICATE","OK")))</f>
        <v>OK</v>
      </c>
      <c r="K3263" s="6" t="str">
        <f aca="false">A3263&amp;"|"&amp;B3263&amp;"|"&amp;C3263&amp;"|"&amp;D3263</f>
        <v>5|6|Merita|spotify:track:1mea3bSkSGXuIRvnydlB5b</v>
      </c>
    </row>
    <row r="3264" customFormat="false" ht="15" hidden="false" customHeight="false" outlineLevel="0" collapsed="false">
      <c r="A3264" s="5" t="n">
        <v>5</v>
      </c>
      <c r="B3264" s="5" t="n">
        <v>6</v>
      </c>
      <c r="C3264" s="5" t="s">
        <v>101</v>
      </c>
      <c r="D3264" s="5" t="s">
        <v>1560</v>
      </c>
      <c r="E3264" s="5" t="n">
        <v>1</v>
      </c>
      <c r="F3264" s="6" t="n">
        <f aca="false">IFERROR(MATCH(A3264&amp;"|"&amp;B3264&amp;"|"&amp;D3264,'All Song Rankings'!$T:$T,0),0)</f>
        <v>503</v>
      </c>
      <c r="G3264" s="6" t="str">
        <f aca="false">IF(F3264=0,"NOT FOUND",INDEX('All Song Rankings'!$A:$A,F3264))</f>
        <v>Scoop</v>
      </c>
      <c r="H3264" s="6" t="str">
        <f aca="false">IF(F3264=0,"NOT FOUND",INDEX('All Song Rankings'!$B:$B,F3264))</f>
        <v>Connor Price, Nc D</v>
      </c>
      <c r="I3264" s="6" t="str">
        <f aca="false">IF(F3264=0,"NOT FOUND",INDEX('All Song Rankings'!$D:$D,F3264))</f>
        <v>Lisa</v>
      </c>
      <c r="J3264" s="7" t="str">
        <f aca="false">IF(F3264=0,"NOT FOUND",IF(C3264=I3264,"SELF-VOTE",IF(COUNTIF($K:$K,K3264)&gt;1,"DUPLICATE","OK")))</f>
        <v>OK</v>
      </c>
      <c r="K3264" s="6" t="str">
        <f aca="false">A3264&amp;"|"&amp;B3264&amp;"|"&amp;C3264&amp;"|"&amp;D3264</f>
        <v>5|6|Merita|spotify:track:3EDclKlSXDJsujVfM8bvL3</v>
      </c>
    </row>
    <row r="3265" customFormat="false" ht="15" hidden="false" customHeight="false" outlineLevel="0" collapsed="false">
      <c r="A3265" s="5" t="n">
        <v>5</v>
      </c>
      <c r="B3265" s="5" t="n">
        <v>6</v>
      </c>
      <c r="C3265" s="5" t="s">
        <v>101</v>
      </c>
      <c r="D3265" s="5" t="s">
        <v>1546</v>
      </c>
      <c r="E3265" s="5" t="n">
        <v>1</v>
      </c>
      <c r="F3265" s="6" t="n">
        <f aca="false">IFERROR(MATCH(A3265&amp;"|"&amp;B3265&amp;"|"&amp;D3265,'All Song Rankings'!$T:$T,0),0)</f>
        <v>497</v>
      </c>
      <c r="G3265" s="6" t="str">
        <f aca="false">IF(F3265=0,"NOT FOUND",INDEX('All Song Rankings'!$A:$A,F3265))</f>
        <v>As It Was</v>
      </c>
      <c r="H3265" s="6" t="str">
        <f aca="false">IF(F3265=0,"NOT FOUND",INDEX('All Song Rankings'!$B:$B,F3265))</f>
        <v>Harry Styles</v>
      </c>
      <c r="I3265" s="6" t="str">
        <f aca="false">IF(F3265=0,"NOT FOUND",INDEX('All Song Rankings'!$D:$D,F3265))</f>
        <v>Aubrey</v>
      </c>
      <c r="J3265" s="7" t="str">
        <f aca="false">IF(F3265=0,"NOT FOUND",IF(C3265=I3265,"SELF-VOTE",IF(COUNTIF($K:$K,K3265)&gt;1,"DUPLICATE","OK")))</f>
        <v>OK</v>
      </c>
      <c r="K3265" s="6" t="str">
        <f aca="false">A3265&amp;"|"&amp;B3265&amp;"|"&amp;C3265&amp;"|"&amp;D3265</f>
        <v>5|6|Merita|spotify:track:4Dvkj6JhhA12EX05fT7y2e</v>
      </c>
    </row>
    <row r="3266" customFormat="false" ht="15" hidden="false" customHeight="false" outlineLevel="0" collapsed="false">
      <c r="A3266" s="5" t="n">
        <v>5</v>
      </c>
      <c r="B3266" s="5" t="n">
        <v>6</v>
      </c>
      <c r="C3266" s="5" t="s">
        <v>101</v>
      </c>
      <c r="D3266" s="5" t="s">
        <v>1563</v>
      </c>
      <c r="E3266" s="5" t="n">
        <v>1</v>
      </c>
      <c r="F3266" s="6" t="n">
        <f aca="false">IFERROR(MATCH(A3266&amp;"|"&amp;B3266&amp;"|"&amp;D3266,'All Song Rankings'!$T:$T,0),0)</f>
        <v>504</v>
      </c>
      <c r="G3266" s="6" t="str">
        <f aca="false">IF(F3266=0,"NOT FOUND",INDEX('All Song Rankings'!$A:$A,F3266))</f>
        <v>Happy - From "Despicable Me 2"</v>
      </c>
      <c r="H3266" s="6" t="str">
        <f aca="false">IF(F3266=0,"NOT FOUND",INDEX('All Song Rankings'!$B:$B,F3266))</f>
        <v>Pharrell Williams</v>
      </c>
      <c r="I3266" s="6" t="str">
        <f aca="false">IF(F3266=0,"NOT FOUND",INDEX('All Song Rankings'!$D:$D,F3266))</f>
        <v>Colleen</v>
      </c>
      <c r="J3266" s="7" t="str">
        <f aca="false">IF(F3266=0,"NOT FOUND",IF(C3266=I3266,"SELF-VOTE",IF(COUNTIF($K:$K,K3266)&gt;1,"DUPLICATE","OK")))</f>
        <v>OK</v>
      </c>
      <c r="K3266" s="6" t="str">
        <f aca="false">A3266&amp;"|"&amp;B3266&amp;"|"&amp;C3266&amp;"|"&amp;D3266</f>
        <v>5|6|Merita|spotify:track:60nZcImufyMA1MKQY3dcCH</v>
      </c>
    </row>
    <row r="3267" customFormat="false" ht="15" hidden="false" customHeight="false" outlineLevel="0" collapsed="false">
      <c r="A3267" s="5" t="n">
        <v>5</v>
      </c>
      <c r="B3267" s="5" t="n">
        <v>6</v>
      </c>
      <c r="C3267" s="5" t="s">
        <v>101</v>
      </c>
      <c r="D3267" s="5" t="s">
        <v>1537</v>
      </c>
      <c r="E3267" s="5" t="n">
        <v>2</v>
      </c>
      <c r="F3267" s="6" t="n">
        <f aca="false">IFERROR(MATCH(A3267&amp;"|"&amp;B3267&amp;"|"&amp;D3267,'All Song Rankings'!$T:$T,0),0)</f>
        <v>493</v>
      </c>
      <c r="G3267" s="6" t="str">
        <f aca="false">IF(F3267=0,"NOT FOUND",INDEX('All Song Rankings'!$A:$A,F3267))</f>
        <v>Closer</v>
      </c>
      <c r="H3267" s="6" t="str">
        <f aca="false">IF(F3267=0,"NOT FOUND",INDEX('All Song Rankings'!$B:$B,F3267))</f>
        <v>The Chainsmokers, Halsey</v>
      </c>
      <c r="I3267" s="6" t="str">
        <f aca="false">IF(F3267=0,"NOT FOUND",INDEX('All Song Rankings'!$D:$D,F3267))</f>
        <v>Logan</v>
      </c>
      <c r="J3267" s="7" t="str">
        <f aca="false">IF(F3267=0,"NOT FOUND",IF(C3267=I3267,"SELF-VOTE",IF(COUNTIF($K:$K,K3267)&gt;1,"DUPLICATE","OK")))</f>
        <v>OK</v>
      </c>
      <c r="K3267" s="6" t="str">
        <f aca="false">A3267&amp;"|"&amp;B3267&amp;"|"&amp;C3267&amp;"|"&amp;D3267</f>
        <v>5|6|Merita|spotify:track:7BKLCZ1jbUBVqRi2FVlTVw</v>
      </c>
    </row>
    <row r="3268" customFormat="false" ht="15" hidden="false" customHeight="false" outlineLevel="0" collapsed="false">
      <c r="A3268" s="5" t="n">
        <v>5</v>
      </c>
      <c r="B3268" s="5" t="n">
        <v>6</v>
      </c>
      <c r="C3268" s="5" t="s">
        <v>101</v>
      </c>
      <c r="D3268" s="5" t="s">
        <v>1549</v>
      </c>
      <c r="E3268" s="5" t="n">
        <v>2</v>
      </c>
      <c r="F3268" s="6" t="n">
        <f aca="false">IFERROR(MATCH(A3268&amp;"|"&amp;B3268&amp;"|"&amp;D3268,'All Song Rankings'!$T:$T,0),0)</f>
        <v>498</v>
      </c>
      <c r="G3268" s="6" t="str">
        <f aca="false">IF(F3268=0,"NOT FOUND",INDEX('All Song Rankings'!$A:$A,F3268))</f>
        <v>She Will Be Loved</v>
      </c>
      <c r="H3268" s="6" t="str">
        <f aca="false">IF(F3268=0,"NOT FOUND",INDEX('All Song Rankings'!$B:$B,F3268))</f>
        <v>Maroon 5</v>
      </c>
      <c r="I3268" s="6" t="str">
        <f aca="false">IF(F3268=0,"NOT FOUND",INDEX('All Song Rankings'!$D:$D,F3268))</f>
        <v>Makenzie</v>
      </c>
      <c r="J3268" s="7" t="str">
        <f aca="false">IF(F3268=0,"NOT FOUND",IF(C3268=I3268,"SELF-VOTE",IF(COUNTIF($K:$K,K3268)&gt;1,"DUPLICATE","OK")))</f>
        <v>OK</v>
      </c>
      <c r="K3268" s="6" t="str">
        <f aca="false">A3268&amp;"|"&amp;B3268&amp;"|"&amp;C3268&amp;"|"&amp;D3268</f>
        <v>5|6|Merita|spotify:track:7sapKrjDij2fpDVj0GxP66</v>
      </c>
    </row>
    <row r="3269" customFormat="false" ht="15" hidden="false" customHeight="false" outlineLevel="0" collapsed="false">
      <c r="A3269" s="5" t="n">
        <v>5</v>
      </c>
      <c r="B3269" s="5" t="n">
        <v>6</v>
      </c>
      <c r="C3269" s="5" t="s">
        <v>101</v>
      </c>
      <c r="D3269" s="5" t="s">
        <v>1538</v>
      </c>
      <c r="E3269" s="5" t="n">
        <v>1</v>
      </c>
      <c r="F3269" s="6" t="n">
        <f aca="false">IFERROR(MATCH(A3269&amp;"|"&amp;B3269&amp;"|"&amp;D3269,'All Song Rankings'!$T:$T,0),0)</f>
        <v>494</v>
      </c>
      <c r="G3269" s="6" t="str">
        <f aca="false">IF(F3269=0,"NOT FOUND",INDEX('All Song Rankings'!$A:$A,F3269))</f>
        <v>Bohemian Rhapsody - Remastered</v>
      </c>
      <c r="H3269" s="6" t="str">
        <f aca="false">IF(F3269=0,"NOT FOUND",INDEX('All Song Rankings'!$B:$B,F3269))</f>
        <v>Queen</v>
      </c>
      <c r="I3269" s="6" t="str">
        <f aca="false">IF(F3269=0,"NOT FOUND",INDEX('All Song Rankings'!$D:$D,F3269))</f>
        <v>Grace</v>
      </c>
      <c r="J3269" s="7" t="str">
        <f aca="false">IF(F3269=0,"NOT FOUND",IF(C3269=I3269,"SELF-VOTE",IF(COUNTIF($K:$K,K3269)&gt;1,"DUPLICATE","OK")))</f>
        <v>OK</v>
      </c>
      <c r="K3269" s="6" t="str">
        <f aca="false">A3269&amp;"|"&amp;B3269&amp;"|"&amp;C3269&amp;"|"&amp;D3269</f>
        <v>5|6|Merita|spotify:track:7tFiyTwD0nx5a1eklYtX2J</v>
      </c>
    </row>
    <row r="3270" customFormat="false" ht="15" hidden="false" customHeight="false" outlineLevel="0" collapsed="false">
      <c r="A3270" s="5" t="n">
        <v>5</v>
      </c>
      <c r="B3270" s="5" t="n">
        <v>6</v>
      </c>
      <c r="C3270" s="5" t="s">
        <v>92</v>
      </c>
      <c r="D3270" s="5" t="s">
        <v>1546</v>
      </c>
      <c r="E3270" s="5" t="n">
        <v>2</v>
      </c>
      <c r="F3270" s="6" t="n">
        <f aca="false">IFERROR(MATCH(A3270&amp;"|"&amp;B3270&amp;"|"&amp;D3270,'All Song Rankings'!$T:$T,0),0)</f>
        <v>497</v>
      </c>
      <c r="G3270" s="6" t="str">
        <f aca="false">IF(F3270=0,"NOT FOUND",INDEX('All Song Rankings'!$A:$A,F3270))</f>
        <v>As It Was</v>
      </c>
      <c r="H3270" s="6" t="str">
        <f aca="false">IF(F3270=0,"NOT FOUND",INDEX('All Song Rankings'!$B:$B,F3270))</f>
        <v>Harry Styles</v>
      </c>
      <c r="I3270" s="6" t="str">
        <f aca="false">IF(F3270=0,"NOT FOUND",INDEX('All Song Rankings'!$D:$D,F3270))</f>
        <v>Aubrey</v>
      </c>
      <c r="J3270" s="7" t="str">
        <f aca="false">IF(F3270=0,"NOT FOUND",IF(C3270=I3270,"SELF-VOTE",IF(COUNTIF($K:$K,K3270)&gt;1,"DUPLICATE","OK")))</f>
        <v>OK</v>
      </c>
      <c r="K3270" s="6" t="str">
        <f aca="false">A3270&amp;"|"&amp;B3270&amp;"|"&amp;C3270&amp;"|"&amp;D3270</f>
        <v>5|6|Nicole|spotify:track:4Dvkj6JhhA12EX05fT7y2e</v>
      </c>
    </row>
    <row r="3271" customFormat="false" ht="15" hidden="false" customHeight="false" outlineLevel="0" collapsed="false">
      <c r="A3271" s="5" t="n">
        <v>5</v>
      </c>
      <c r="B3271" s="5" t="n">
        <v>6</v>
      </c>
      <c r="C3271" s="5" t="s">
        <v>92</v>
      </c>
      <c r="D3271" s="5" t="s">
        <v>1541</v>
      </c>
      <c r="E3271" s="5" t="n">
        <v>1</v>
      </c>
      <c r="F3271" s="6" t="n">
        <f aca="false">IFERROR(MATCH(A3271&amp;"|"&amp;B3271&amp;"|"&amp;D3271,'All Song Rankings'!$T:$T,0),0)</f>
        <v>495</v>
      </c>
      <c r="G3271" s="6" t="str">
        <f aca="false">IF(F3271=0,"NOT FOUND",INDEX('All Song Rankings'!$A:$A,F3271))</f>
        <v>Night at the Opera</v>
      </c>
      <c r="H3271" s="6" t="str">
        <f aca="false">IF(F3271=0,"NOT FOUND",INDEX('All Song Rankings'!$B:$B,F3271))</f>
        <v>Emei</v>
      </c>
      <c r="I3271" s="6" t="str">
        <f aca="false">IF(F3271=0,"NOT FOUND",INDEX('All Song Rankings'!$D:$D,F3271))</f>
        <v>Leah</v>
      </c>
      <c r="J3271" s="7" t="str">
        <f aca="false">IF(F3271=0,"NOT FOUND",IF(C3271=I3271,"SELF-VOTE",IF(COUNTIF($K:$K,K3271)&gt;1,"DUPLICATE","OK")))</f>
        <v>OK</v>
      </c>
      <c r="K3271" s="6" t="str">
        <f aca="false">A3271&amp;"|"&amp;B3271&amp;"|"&amp;C3271&amp;"|"&amp;D3271</f>
        <v>5|6|Nicole|spotify:track:4ikhbKiw9pKYkWitSR7M7u</v>
      </c>
    </row>
    <row r="3272" customFormat="false" ht="15" hidden="false" customHeight="false" outlineLevel="0" collapsed="false">
      <c r="A3272" s="5" t="n">
        <v>5</v>
      </c>
      <c r="B3272" s="5" t="n">
        <v>6</v>
      </c>
      <c r="C3272" s="5" t="s">
        <v>92</v>
      </c>
      <c r="D3272" s="5" t="s">
        <v>1552</v>
      </c>
      <c r="E3272" s="5" t="n">
        <v>2</v>
      </c>
      <c r="F3272" s="6" t="n">
        <f aca="false">IFERROR(MATCH(A3272&amp;"|"&amp;B3272&amp;"|"&amp;D3272,'All Song Rankings'!$T:$T,0),0)</f>
        <v>499</v>
      </c>
      <c r="G3272" s="6" t="str">
        <f aca="false">IF(F3272=0,"NOT FOUND",INDEX('All Song Rankings'!$A:$A,F3272))</f>
        <v>I Can't Love You Anymore</v>
      </c>
      <c r="H3272" s="6" t="str">
        <f aca="false">IF(F3272=0,"NOT FOUND",INDEX('All Song Rankings'!$B:$B,F3272))</f>
        <v>Ella Langley, Morgan Wallen</v>
      </c>
      <c r="I3272" s="6" t="str">
        <f aca="false">IF(F3272=0,"NOT FOUND",INDEX('All Song Rankings'!$D:$D,F3272))</f>
        <v>Christine</v>
      </c>
      <c r="J3272" s="7" t="str">
        <f aca="false">IF(F3272=0,"NOT FOUND",IF(C3272=I3272,"SELF-VOTE",IF(COUNTIF($K:$K,K3272)&gt;1,"DUPLICATE","OK")))</f>
        <v>OK</v>
      </c>
      <c r="K3272" s="6" t="str">
        <f aca="false">A3272&amp;"|"&amp;B3272&amp;"|"&amp;C3272&amp;"|"&amp;D3272</f>
        <v>5|6|Nicole|spotify:track:5aVBxVa0kz9uzv0F4gwdEn</v>
      </c>
    </row>
    <row r="3273" customFormat="false" ht="15" hidden="false" customHeight="false" outlineLevel="0" collapsed="false">
      <c r="A3273" s="5" t="n">
        <v>5</v>
      </c>
      <c r="B3273" s="5" t="n">
        <v>6</v>
      </c>
      <c r="C3273" s="5" t="s">
        <v>92</v>
      </c>
      <c r="D3273" s="5" t="s">
        <v>1537</v>
      </c>
      <c r="E3273" s="5" t="n">
        <v>3</v>
      </c>
      <c r="F3273" s="6" t="n">
        <f aca="false">IFERROR(MATCH(A3273&amp;"|"&amp;B3273&amp;"|"&amp;D3273,'All Song Rankings'!$T:$T,0),0)</f>
        <v>493</v>
      </c>
      <c r="G3273" s="6" t="str">
        <f aca="false">IF(F3273=0,"NOT FOUND",INDEX('All Song Rankings'!$A:$A,F3273))</f>
        <v>Closer</v>
      </c>
      <c r="H3273" s="6" t="str">
        <f aca="false">IF(F3273=0,"NOT FOUND",INDEX('All Song Rankings'!$B:$B,F3273))</f>
        <v>The Chainsmokers, Halsey</v>
      </c>
      <c r="I3273" s="6" t="str">
        <f aca="false">IF(F3273=0,"NOT FOUND",INDEX('All Song Rankings'!$D:$D,F3273))</f>
        <v>Logan</v>
      </c>
      <c r="J3273" s="7" t="str">
        <f aca="false">IF(F3273=0,"NOT FOUND",IF(C3273=I3273,"SELF-VOTE",IF(COUNTIF($K:$K,K3273)&gt;1,"DUPLICATE","OK")))</f>
        <v>OK</v>
      </c>
      <c r="K3273" s="6" t="str">
        <f aca="false">A3273&amp;"|"&amp;B3273&amp;"|"&amp;C3273&amp;"|"&amp;D3273</f>
        <v>5|6|Nicole|spotify:track:7BKLCZ1jbUBVqRi2FVlTVw</v>
      </c>
    </row>
    <row r="3274" customFormat="false" ht="15" hidden="false" customHeight="false" outlineLevel="0" collapsed="false">
      <c r="A3274" s="5" t="n">
        <v>5</v>
      </c>
      <c r="B3274" s="5" t="n">
        <v>6</v>
      </c>
      <c r="C3274" s="5" t="s">
        <v>92</v>
      </c>
      <c r="D3274" s="5" t="s">
        <v>1549</v>
      </c>
      <c r="E3274" s="5" t="n">
        <v>2</v>
      </c>
      <c r="F3274" s="6" t="n">
        <f aca="false">IFERROR(MATCH(A3274&amp;"|"&amp;B3274&amp;"|"&amp;D3274,'All Song Rankings'!$T:$T,0),0)</f>
        <v>498</v>
      </c>
      <c r="G3274" s="6" t="str">
        <f aca="false">IF(F3274=0,"NOT FOUND",INDEX('All Song Rankings'!$A:$A,F3274))</f>
        <v>She Will Be Loved</v>
      </c>
      <c r="H3274" s="6" t="str">
        <f aca="false">IF(F3274=0,"NOT FOUND",INDEX('All Song Rankings'!$B:$B,F3274))</f>
        <v>Maroon 5</v>
      </c>
      <c r="I3274" s="6" t="str">
        <f aca="false">IF(F3274=0,"NOT FOUND",INDEX('All Song Rankings'!$D:$D,F3274))</f>
        <v>Makenzie</v>
      </c>
      <c r="J3274" s="7" t="str">
        <f aca="false">IF(F3274=0,"NOT FOUND",IF(C3274=I3274,"SELF-VOTE",IF(COUNTIF($K:$K,K3274)&gt;1,"DUPLICATE","OK")))</f>
        <v>OK</v>
      </c>
      <c r="K3274" s="6" t="str">
        <f aca="false">A3274&amp;"|"&amp;B3274&amp;"|"&amp;C3274&amp;"|"&amp;D3274</f>
        <v>5|6|Nicole|spotify:track:7sapKrjDij2fpDVj0GxP66</v>
      </c>
    </row>
    <row r="3275" customFormat="false" ht="15" hidden="false" customHeight="false" outlineLevel="0" collapsed="false">
      <c r="A3275" s="5" t="n">
        <v>5</v>
      </c>
      <c r="B3275" s="5" t="n">
        <v>6</v>
      </c>
      <c r="C3275" s="5" t="s">
        <v>97</v>
      </c>
      <c r="D3275" s="5" t="s">
        <v>1544</v>
      </c>
      <c r="E3275" s="5" t="n">
        <v>2</v>
      </c>
      <c r="F3275" s="6" t="n">
        <f aca="false">IFERROR(MATCH(A3275&amp;"|"&amp;B3275&amp;"|"&amp;D3275,'All Song Rankings'!$T:$T,0),0)</f>
        <v>496</v>
      </c>
      <c r="G3275" s="6" t="str">
        <f aca="false">IF(F3275=0,"NOT FOUND",INDEX('All Song Rankings'!$A:$A,F3275))</f>
        <v>Pink Pony Club</v>
      </c>
      <c r="H3275" s="6" t="str">
        <f aca="false">IF(F3275=0,"NOT FOUND",INDEX('All Song Rankings'!$B:$B,F3275))</f>
        <v>Chappell Roan</v>
      </c>
      <c r="I3275" s="6" t="str">
        <f aca="false">IF(F3275=0,"NOT FOUND",INDEX('All Song Rankings'!$D:$D,F3275))</f>
        <v>Kristen</v>
      </c>
      <c r="J3275" s="7" t="str">
        <f aca="false">IF(F3275=0,"NOT FOUND",IF(C3275=I3275,"SELF-VOTE",IF(COUNTIF($K:$K,K3275)&gt;1,"DUPLICATE","OK")))</f>
        <v>OK</v>
      </c>
      <c r="K3275" s="6" t="str">
        <f aca="false">A3275&amp;"|"&amp;B3275&amp;"|"&amp;C3275&amp;"|"&amp;D3275</f>
        <v>5|6|Stephanie|spotify:track:1k2pQc5i348DCHwbn5KTdc</v>
      </c>
    </row>
    <row r="3276" customFormat="false" ht="15" hidden="false" customHeight="false" outlineLevel="0" collapsed="false">
      <c r="A3276" s="5" t="n">
        <v>5</v>
      </c>
      <c r="B3276" s="5" t="n">
        <v>6</v>
      </c>
      <c r="C3276" s="5" t="s">
        <v>97</v>
      </c>
      <c r="D3276" s="5" t="s">
        <v>1541</v>
      </c>
      <c r="E3276" s="5" t="n">
        <v>3</v>
      </c>
      <c r="F3276" s="6" t="n">
        <f aca="false">IFERROR(MATCH(A3276&amp;"|"&amp;B3276&amp;"|"&amp;D3276,'All Song Rankings'!$T:$T,0),0)</f>
        <v>495</v>
      </c>
      <c r="G3276" s="6" t="str">
        <f aca="false">IF(F3276=0,"NOT FOUND",INDEX('All Song Rankings'!$A:$A,F3276))</f>
        <v>Night at the Opera</v>
      </c>
      <c r="H3276" s="6" t="str">
        <f aca="false">IF(F3276=0,"NOT FOUND",INDEX('All Song Rankings'!$B:$B,F3276))</f>
        <v>Emei</v>
      </c>
      <c r="I3276" s="6" t="str">
        <f aca="false">IF(F3276=0,"NOT FOUND",INDEX('All Song Rankings'!$D:$D,F3276))</f>
        <v>Leah</v>
      </c>
      <c r="J3276" s="7" t="str">
        <f aca="false">IF(F3276=0,"NOT FOUND",IF(C3276=I3276,"SELF-VOTE",IF(COUNTIF($K:$K,K3276)&gt;1,"DUPLICATE","OK")))</f>
        <v>OK</v>
      </c>
      <c r="K3276" s="6" t="str">
        <f aca="false">A3276&amp;"|"&amp;B3276&amp;"|"&amp;C3276&amp;"|"&amp;D3276</f>
        <v>5|6|Stephanie|spotify:track:4ikhbKiw9pKYkWitSR7M7u</v>
      </c>
    </row>
    <row r="3277" customFormat="false" ht="15" hidden="false" customHeight="false" outlineLevel="0" collapsed="false">
      <c r="A3277" s="5" t="n">
        <v>5</v>
      </c>
      <c r="B3277" s="5" t="n">
        <v>6</v>
      </c>
      <c r="C3277" s="5" t="s">
        <v>97</v>
      </c>
      <c r="D3277" s="5" t="s">
        <v>1572</v>
      </c>
      <c r="E3277" s="5" t="n">
        <v>1</v>
      </c>
      <c r="F3277" s="6" t="n">
        <f aca="false">IFERROR(MATCH(A3277&amp;"|"&amp;B3277&amp;"|"&amp;D3277,'All Song Rankings'!$T:$T,0),0)</f>
        <v>507</v>
      </c>
      <c r="G3277" s="6" t="str">
        <f aca="false">IF(F3277=0,"NOT FOUND",INDEX('All Song Rankings'!$A:$A,F3277))</f>
        <v>Sweet Caroline</v>
      </c>
      <c r="H3277" s="6" t="str">
        <f aca="false">IF(F3277=0,"NOT FOUND",INDEX('All Song Rankings'!$B:$B,F3277))</f>
        <v>Neil Diamond</v>
      </c>
      <c r="I3277" s="6" t="str">
        <f aca="false">IF(F3277=0,"NOT FOUND",INDEX('All Song Rankings'!$D:$D,F3277))</f>
        <v>Scott</v>
      </c>
      <c r="J3277" s="7" t="str">
        <f aca="false">IF(F3277=0,"NOT FOUND",IF(C3277=I3277,"SELF-VOTE",IF(COUNTIF($K:$K,K3277)&gt;1,"DUPLICATE","OK")))</f>
        <v>OK</v>
      </c>
      <c r="K3277" s="6" t="str">
        <f aca="false">A3277&amp;"|"&amp;B3277&amp;"|"&amp;C3277&amp;"|"&amp;D3277</f>
        <v>5|6|Stephanie|spotify:track:62AuGbAkt8Ox2IrFFb8GKV</v>
      </c>
    </row>
    <row r="3278" customFormat="false" ht="15" hidden="false" customHeight="false" outlineLevel="0" collapsed="false">
      <c r="A3278" s="5" t="n">
        <v>5</v>
      </c>
      <c r="B3278" s="5" t="n">
        <v>6</v>
      </c>
      <c r="C3278" s="5" t="s">
        <v>97</v>
      </c>
      <c r="D3278" s="5" t="s">
        <v>1557</v>
      </c>
      <c r="E3278" s="5" t="n">
        <v>1</v>
      </c>
      <c r="F3278" s="6" t="n">
        <f aca="false">IFERROR(MATCH(A3278&amp;"|"&amp;B3278&amp;"|"&amp;D3278,'All Song Rankings'!$T:$T,0),0)</f>
        <v>502</v>
      </c>
      <c r="G3278" s="6" t="str">
        <f aca="false">IF(F3278=0,"NOT FOUND",INDEX('All Song Rankings'!$A:$A,F3278))</f>
        <v>Mmm Mmm Mmm Mmm</v>
      </c>
      <c r="H3278" s="6" t="str">
        <f aca="false">IF(F3278=0,"NOT FOUND",INDEX('All Song Rankings'!$B:$B,F3278))</f>
        <v>Crash Test Dummies</v>
      </c>
      <c r="I3278" s="6" t="str">
        <f aca="false">IF(F3278=0,"NOT FOUND",INDEX('All Song Rankings'!$D:$D,F3278))</f>
        <v>Matt</v>
      </c>
      <c r="J3278" s="7" t="str">
        <f aca="false">IF(F3278=0,"NOT FOUND",IF(C3278=I3278,"SELF-VOTE",IF(COUNTIF($K:$K,K3278)&gt;1,"DUPLICATE","OK")))</f>
        <v>OK</v>
      </c>
      <c r="K3278" s="6" t="str">
        <f aca="false">A3278&amp;"|"&amp;B3278&amp;"|"&amp;C3278&amp;"|"&amp;D3278</f>
        <v>5|6|Stephanie|spotify:track:76nvqWPFucUra1xCkN1tnD</v>
      </c>
    </row>
    <row r="3279" customFormat="false" ht="15" hidden="false" customHeight="false" outlineLevel="0" collapsed="false">
      <c r="A3279" s="5" t="n">
        <v>5</v>
      </c>
      <c r="B3279" s="5" t="n">
        <v>6</v>
      </c>
      <c r="C3279" s="5" t="s">
        <v>97</v>
      </c>
      <c r="D3279" s="5" t="s">
        <v>1537</v>
      </c>
      <c r="E3279" s="5" t="n">
        <v>2</v>
      </c>
      <c r="F3279" s="6" t="n">
        <f aca="false">IFERROR(MATCH(A3279&amp;"|"&amp;B3279&amp;"|"&amp;D3279,'All Song Rankings'!$T:$T,0),0)</f>
        <v>493</v>
      </c>
      <c r="G3279" s="6" t="str">
        <f aca="false">IF(F3279=0,"NOT FOUND",INDEX('All Song Rankings'!$A:$A,F3279))</f>
        <v>Closer</v>
      </c>
      <c r="H3279" s="6" t="str">
        <f aca="false">IF(F3279=0,"NOT FOUND",INDEX('All Song Rankings'!$B:$B,F3279))</f>
        <v>The Chainsmokers, Halsey</v>
      </c>
      <c r="I3279" s="6" t="str">
        <f aca="false">IF(F3279=0,"NOT FOUND",INDEX('All Song Rankings'!$D:$D,F3279))</f>
        <v>Logan</v>
      </c>
      <c r="J3279" s="7" t="str">
        <f aca="false">IF(F3279=0,"NOT FOUND",IF(C3279=I3279,"SELF-VOTE",IF(COUNTIF($K:$K,K3279)&gt;1,"DUPLICATE","OK")))</f>
        <v>OK</v>
      </c>
      <c r="K3279" s="6" t="str">
        <f aca="false">A3279&amp;"|"&amp;B3279&amp;"|"&amp;C3279&amp;"|"&amp;D3279</f>
        <v>5|6|Stephanie|spotify:track:7BKLCZ1jbUBVqRi2FVlTVw</v>
      </c>
    </row>
    <row r="3280" customFormat="false" ht="15" hidden="false" customHeight="false" outlineLevel="0" collapsed="false">
      <c r="A3280" s="5" t="n">
        <v>5</v>
      </c>
      <c r="B3280" s="5" t="n">
        <v>6</v>
      </c>
      <c r="C3280" s="5" t="s">
        <v>97</v>
      </c>
      <c r="D3280" s="5" t="s">
        <v>1549</v>
      </c>
      <c r="E3280" s="5" t="n">
        <v>1</v>
      </c>
      <c r="F3280" s="6" t="n">
        <f aca="false">IFERROR(MATCH(A3280&amp;"|"&amp;B3280&amp;"|"&amp;D3280,'All Song Rankings'!$T:$T,0),0)</f>
        <v>498</v>
      </c>
      <c r="G3280" s="6" t="str">
        <f aca="false">IF(F3280=0,"NOT FOUND",INDEX('All Song Rankings'!$A:$A,F3280))</f>
        <v>She Will Be Loved</v>
      </c>
      <c r="H3280" s="6" t="str">
        <f aca="false">IF(F3280=0,"NOT FOUND",INDEX('All Song Rankings'!$B:$B,F3280))</f>
        <v>Maroon 5</v>
      </c>
      <c r="I3280" s="6" t="str">
        <f aca="false">IF(F3280=0,"NOT FOUND",INDEX('All Song Rankings'!$D:$D,F3280))</f>
        <v>Makenzie</v>
      </c>
      <c r="J3280" s="7" t="str">
        <f aca="false">IF(F3280=0,"NOT FOUND",IF(C3280=I3280,"SELF-VOTE",IF(COUNTIF($K:$K,K3280)&gt;1,"DUPLICATE","OK")))</f>
        <v>OK</v>
      </c>
      <c r="K3280" s="6" t="str">
        <f aca="false">A3280&amp;"|"&amp;B3280&amp;"|"&amp;C3280&amp;"|"&amp;D3280</f>
        <v>5|6|Stephanie|spotify:track:7sapKrjDij2fpDVj0GxP66</v>
      </c>
    </row>
    <row r="3281" customFormat="false" ht="15" hidden="false" customHeight="false" outlineLevel="0" collapsed="false">
      <c r="A3281" s="5" t="n">
        <v>5</v>
      </c>
      <c r="B3281" s="5" t="n">
        <v>7</v>
      </c>
      <c r="C3281" s="5" t="s">
        <v>375</v>
      </c>
      <c r="D3281" s="5" t="s">
        <v>1590</v>
      </c>
      <c r="E3281" s="5" t="n">
        <v>1</v>
      </c>
      <c r="F3281" s="6" t="n">
        <f aca="false">IFERROR(MATCH(A3281&amp;"|"&amp;B3281&amp;"|"&amp;D3281,'All Song Rankings'!$T:$T,0),0)</f>
        <v>513</v>
      </c>
      <c r="G3281" s="6" t="str">
        <f aca="false">IF(F3281=0,"NOT FOUND",INDEX('All Song Rankings'!$A:$A,F3281))</f>
        <v>Tití Me Preguntó</v>
      </c>
      <c r="H3281" s="6" t="str">
        <f aca="false">IF(F3281=0,"NOT FOUND",INDEX('All Song Rankings'!$B:$B,F3281))</f>
        <v>Bad Bunny</v>
      </c>
      <c r="I3281" s="6" t="str">
        <f aca="false">IF(F3281=0,"NOT FOUND",INDEX('All Song Rankings'!$D:$D,F3281))</f>
        <v>Makenzie</v>
      </c>
      <c r="J3281" s="7" t="str">
        <f aca="false">IF(F3281=0,"NOT FOUND",IF(C3281=I3281,"SELF-VOTE",IF(COUNTIF($K:$K,K3281)&gt;1,"DUPLICATE","OK")))</f>
        <v>OK</v>
      </c>
      <c r="K3281" s="6" t="str">
        <f aca="false">A3281&amp;"|"&amp;B3281&amp;"|"&amp;C3281&amp;"|"&amp;D3281</f>
        <v>5|7|Aubrey|spotify:track:1IHWl5LamUGEuP4ozKQSXZ</v>
      </c>
    </row>
    <row r="3282" customFormat="false" ht="15" hidden="false" customHeight="false" outlineLevel="0" collapsed="false">
      <c r="A3282" s="5" t="n">
        <v>5</v>
      </c>
      <c r="B3282" s="5" t="n">
        <v>7</v>
      </c>
      <c r="C3282" s="5" t="s">
        <v>375</v>
      </c>
      <c r="D3282" s="5" t="s">
        <v>1582</v>
      </c>
      <c r="E3282" s="5" t="n">
        <v>1</v>
      </c>
      <c r="F3282" s="6" t="n">
        <f aca="false">IFERROR(MATCH(A3282&amp;"|"&amp;B3282&amp;"|"&amp;D3282,'All Song Rankings'!$T:$T,0),0)</f>
        <v>510</v>
      </c>
      <c r="G3282" s="6" t="str">
        <f aca="false">IF(F3282=0,"NOT FOUND",INDEX('All Song Rankings'!$A:$A,F3282))</f>
        <v>99 Luftballons</v>
      </c>
      <c r="H3282" s="6" t="str">
        <f aca="false">IF(F3282=0,"NOT FOUND",INDEX('All Song Rankings'!$B:$B,F3282))</f>
        <v>Nena</v>
      </c>
      <c r="I3282" s="6" t="str">
        <f aca="false">IF(F3282=0,"NOT FOUND",INDEX('All Song Rankings'!$D:$D,F3282))</f>
        <v>Nicole</v>
      </c>
      <c r="J3282" s="7" t="str">
        <f aca="false">IF(F3282=0,"NOT FOUND",IF(C3282=I3282,"SELF-VOTE",IF(COUNTIF($K:$K,K3282)&gt;1,"DUPLICATE","OK")))</f>
        <v>OK</v>
      </c>
      <c r="K3282" s="6" t="str">
        <f aca="false">A3282&amp;"|"&amp;B3282&amp;"|"&amp;C3282&amp;"|"&amp;D3282</f>
        <v>5|7|Aubrey|spotify:track:2IJftBfq7pJ43tfnOR0RB3</v>
      </c>
    </row>
    <row r="3283" customFormat="false" ht="15" hidden="false" customHeight="false" outlineLevel="0" collapsed="false">
      <c r="A3283" s="5" t="n">
        <v>5</v>
      </c>
      <c r="B3283" s="5" t="n">
        <v>7</v>
      </c>
      <c r="C3283" s="5" t="s">
        <v>375</v>
      </c>
      <c r="D3283" s="5" t="s">
        <v>1588</v>
      </c>
      <c r="E3283" s="5" t="n">
        <v>2</v>
      </c>
      <c r="F3283" s="6" t="n">
        <f aca="false">IFERROR(MATCH(A3283&amp;"|"&amp;B3283&amp;"|"&amp;D3283,'All Song Rankings'!$T:$T,0),0)</f>
        <v>512</v>
      </c>
      <c r="G3283" s="6" t="str">
        <f aca="false">IF(F3283=0,"NOT FOUND",INDEX('All Song Rankings'!$A:$A,F3283))</f>
        <v>Time To Say Goodbye</v>
      </c>
      <c r="H3283" s="6" t="str">
        <f aca="false">IF(F3283=0,"NOT FOUND",INDEX('All Song Rankings'!$B:$B,F3283))</f>
        <v>Sarah Brightman</v>
      </c>
      <c r="I3283" s="6" t="str">
        <f aca="false">IF(F3283=0,"NOT FOUND",INDEX('All Song Rankings'!$D:$D,F3283))</f>
        <v>Lisa</v>
      </c>
      <c r="J3283" s="7" t="str">
        <f aca="false">IF(F3283=0,"NOT FOUND",IF(C3283=I3283,"SELF-VOTE",IF(COUNTIF($K:$K,K3283)&gt;1,"DUPLICATE","OK")))</f>
        <v>OK</v>
      </c>
      <c r="K3283" s="6" t="str">
        <f aca="false">A3283&amp;"|"&amp;B3283&amp;"|"&amp;C3283&amp;"|"&amp;D3283</f>
        <v>5|7|Aubrey|spotify:track:3VAICuY2ax2yCLT7EhNeZE</v>
      </c>
    </row>
    <row r="3284" customFormat="false" ht="15" hidden="false" customHeight="false" outlineLevel="0" collapsed="false">
      <c r="A3284" s="5" t="n">
        <v>5</v>
      </c>
      <c r="B3284" s="5" t="n">
        <v>7</v>
      </c>
      <c r="C3284" s="5" t="s">
        <v>375</v>
      </c>
      <c r="D3284" s="5" t="s">
        <v>1579</v>
      </c>
      <c r="E3284" s="5" t="n">
        <v>2</v>
      </c>
      <c r="F3284" s="6" t="n">
        <f aca="false">IFERROR(MATCH(A3284&amp;"|"&amp;B3284&amp;"|"&amp;D3284,'All Song Rankings'!$T:$T,0),0)</f>
        <v>509</v>
      </c>
      <c r="G3284" s="6" t="str">
        <f aca="false">IF(F3284=0,"NOT FOUND",INDEX('All Song Rankings'!$A:$A,F3284))</f>
        <v>Pepas</v>
      </c>
      <c r="H3284" s="6" t="str">
        <f aca="false">IF(F3284=0,"NOT FOUND",INDEX('All Song Rankings'!$B:$B,F3284))</f>
        <v>Farruko</v>
      </c>
      <c r="I3284" s="6" t="str">
        <f aca="false">IF(F3284=0,"NOT FOUND",INDEX('All Song Rankings'!$D:$D,F3284))</f>
        <v>Leah</v>
      </c>
      <c r="J3284" s="7" t="str">
        <f aca="false">IF(F3284=0,"NOT FOUND",IF(C3284=I3284,"SELF-VOTE",IF(COUNTIF($K:$K,K3284)&gt;1,"DUPLICATE","OK")))</f>
        <v>OK</v>
      </c>
      <c r="K3284" s="6" t="str">
        <f aca="false">A3284&amp;"|"&amp;B3284&amp;"|"&amp;C3284&amp;"|"&amp;D3284</f>
        <v>5|7|Aubrey|spotify:track:5fwSHlTEWpluwOM0Sxnh5k</v>
      </c>
    </row>
    <row r="3285" customFormat="false" ht="15" hidden="false" customHeight="false" outlineLevel="0" collapsed="false">
      <c r="A3285" s="5" t="n">
        <v>5</v>
      </c>
      <c r="B3285" s="5" t="n">
        <v>7</v>
      </c>
      <c r="C3285" s="5" t="s">
        <v>375</v>
      </c>
      <c r="D3285" s="5" t="s">
        <v>1576</v>
      </c>
      <c r="E3285" s="5" t="n">
        <v>2</v>
      </c>
      <c r="F3285" s="6" t="n">
        <f aca="false">IFERROR(MATCH(A3285&amp;"|"&amp;B3285&amp;"|"&amp;D3285,'All Song Rankings'!$T:$T,0),0)</f>
        <v>508</v>
      </c>
      <c r="G3285" s="6" t="str">
        <f aca="false">IF(F3285=0,"NOT FOUND",INDEX('All Song Rankings'!$A:$A,F3285))</f>
        <v>C'est la vie</v>
      </c>
      <c r="H3285" s="6" t="str">
        <f aca="false">IF(F3285=0,"NOT FOUND",INDEX('All Song Rankings'!$B:$B,F3285))</f>
        <v>Khaled</v>
      </c>
      <c r="I3285" s="6" t="str">
        <f aca="false">IF(F3285=0,"NOT FOUND",INDEX('All Song Rankings'!$D:$D,F3285))</f>
        <v>Kelsey</v>
      </c>
      <c r="J3285" s="7" t="str">
        <f aca="false">IF(F3285=0,"NOT FOUND",IF(C3285=I3285,"SELF-VOTE",IF(COUNTIF($K:$K,K3285)&gt;1,"DUPLICATE","OK")))</f>
        <v>OK</v>
      </c>
      <c r="K3285" s="6" t="str">
        <f aca="false">A3285&amp;"|"&amp;B3285&amp;"|"&amp;C3285&amp;"|"&amp;D3285</f>
        <v>5|7|Aubrey|spotify:track:6KGHsN5QI0qunsADx3e51i</v>
      </c>
    </row>
    <row r="3286" customFormat="false" ht="15" hidden="false" customHeight="false" outlineLevel="0" collapsed="false">
      <c r="A3286" s="5" t="n">
        <v>5</v>
      </c>
      <c r="B3286" s="5" t="n">
        <v>7</v>
      </c>
      <c r="C3286" s="5" t="s">
        <v>375</v>
      </c>
      <c r="D3286" s="5" t="s">
        <v>1599</v>
      </c>
      <c r="E3286" s="5" t="n">
        <v>2</v>
      </c>
      <c r="F3286" s="6" t="n">
        <f aca="false">IFERROR(MATCH(A3286&amp;"|"&amp;B3286&amp;"|"&amp;D3286,'All Song Rankings'!$T:$T,0),0)</f>
        <v>516</v>
      </c>
      <c r="G3286" s="6" t="str">
        <f aca="false">IF(F3286=0,"NOT FOUND",INDEX('All Song Rankings'!$A:$A,F3286))</f>
        <v>Despacito</v>
      </c>
      <c r="H3286" s="6" t="str">
        <f aca="false">IF(F3286=0,"NOT FOUND",INDEX('All Song Rankings'!$B:$B,F3286))</f>
        <v>Luis Fonsi</v>
      </c>
      <c r="I3286" s="6" t="str">
        <f aca="false">IF(F3286=0,"NOT FOUND",INDEX('All Song Rankings'!$D:$D,F3286))</f>
        <v>Colleen</v>
      </c>
      <c r="J3286" s="7" t="str">
        <f aca="false">IF(F3286=0,"NOT FOUND",IF(C3286=I3286,"SELF-VOTE",IF(COUNTIF($K:$K,K3286)&gt;1,"DUPLICATE","OK")))</f>
        <v>OK</v>
      </c>
      <c r="K3286" s="6" t="str">
        <f aca="false">A3286&amp;"|"&amp;B3286&amp;"|"&amp;C3286&amp;"|"&amp;D3286</f>
        <v>5|7|Aubrey|spotify:track:6habFhsOp2NvshLv26DqMb</v>
      </c>
    </row>
    <row r="3287" customFormat="false" ht="15" hidden="false" customHeight="false" outlineLevel="0" collapsed="false">
      <c r="A3287" s="5" t="n">
        <v>5</v>
      </c>
      <c r="B3287" s="5" t="n">
        <v>7</v>
      </c>
      <c r="C3287" s="5" t="s">
        <v>719</v>
      </c>
      <c r="D3287" s="5" t="s">
        <v>1596</v>
      </c>
      <c r="E3287" s="5" t="n">
        <v>1</v>
      </c>
      <c r="F3287" s="6" t="n">
        <f aca="false">IFERROR(MATCH(A3287&amp;"|"&amp;B3287&amp;"|"&amp;D3287,'All Song Rankings'!$T:$T,0),0)</f>
        <v>515</v>
      </c>
      <c r="G3287" s="6" t="str">
        <f aca="false">IF(F3287=0,"NOT FOUND",INDEX('All Song Rankings'!$A:$A,F3287))</f>
        <v>Shinunoga E-Wa</v>
      </c>
      <c r="H3287" s="6" t="str">
        <f aca="false">IF(F3287=0,"NOT FOUND",INDEX('All Song Rankings'!$B:$B,F3287))</f>
        <v>Fujii Kaze</v>
      </c>
      <c r="I3287" s="6" t="str">
        <f aca="false">IF(F3287=0,"NOT FOUND",INDEX('All Song Rankings'!$D:$D,F3287))</f>
        <v>Merita</v>
      </c>
      <c r="J3287" s="7" t="str">
        <f aca="false">IF(F3287=0,"NOT FOUND",IF(C3287=I3287,"SELF-VOTE",IF(COUNTIF($K:$K,K3287)&gt;1,"DUPLICATE","OK")))</f>
        <v>OK</v>
      </c>
      <c r="K3287" s="6" t="str">
        <f aca="false">A3287&amp;"|"&amp;B3287&amp;"|"&amp;C3287&amp;"|"&amp;D3287</f>
        <v>5|7|Christine|spotify:track:0o9zmvc5f3EFApU52PPIyW</v>
      </c>
    </row>
    <row r="3288" customFormat="false" ht="15" hidden="false" customHeight="false" outlineLevel="0" collapsed="false">
      <c r="A3288" s="5" t="n">
        <v>5</v>
      </c>
      <c r="B3288" s="5" t="n">
        <v>7</v>
      </c>
      <c r="C3288" s="5" t="s">
        <v>719</v>
      </c>
      <c r="D3288" s="5" t="s">
        <v>1605</v>
      </c>
      <c r="E3288" s="5" t="n">
        <v>1</v>
      </c>
      <c r="F3288" s="6" t="n">
        <f aca="false">IFERROR(MATCH(A3288&amp;"|"&amp;B3288&amp;"|"&amp;D3288,'All Song Rankings'!$T:$T,0),0)</f>
        <v>518</v>
      </c>
      <c r="G3288" s="6" t="str">
        <f aca="false">IF(F3288=0,"NOT FOUND",INDEX('All Song Rankings'!$A:$A,F3288))</f>
        <v>Tu Vuo' Fa L'Americano</v>
      </c>
      <c r="H3288" s="6" t="str">
        <f aca="false">IF(F3288=0,"NOT FOUND",INDEX('All Song Rankings'!$B:$B,F3288))</f>
        <v>Renato Carosone</v>
      </c>
      <c r="I3288" s="6" t="str">
        <f aca="false">IF(F3288=0,"NOT FOUND",INDEX('All Song Rankings'!$D:$D,F3288))</f>
        <v>Scott</v>
      </c>
      <c r="J3288" s="7" t="str">
        <f aca="false">IF(F3288=0,"NOT FOUND",IF(C3288=I3288,"SELF-VOTE",IF(COUNTIF($K:$K,K3288)&gt;1,"DUPLICATE","OK")))</f>
        <v>OK</v>
      </c>
      <c r="K3288" s="6" t="str">
        <f aca="false">A3288&amp;"|"&amp;B3288&amp;"|"&amp;C3288&amp;"|"&amp;D3288</f>
        <v>5|7|Christine|spotify:track:20lTi7rRz9AjwSoL04ckPg</v>
      </c>
    </row>
    <row r="3289" customFormat="false" ht="15" hidden="false" customHeight="false" outlineLevel="0" collapsed="false">
      <c r="A3289" s="5" t="n">
        <v>5</v>
      </c>
      <c r="B3289" s="5" t="n">
        <v>7</v>
      </c>
      <c r="C3289" s="5" t="s">
        <v>719</v>
      </c>
      <c r="D3289" s="5" t="s">
        <v>1582</v>
      </c>
      <c r="E3289" s="5" t="n">
        <v>1</v>
      </c>
      <c r="F3289" s="6" t="n">
        <f aca="false">IFERROR(MATCH(A3289&amp;"|"&amp;B3289&amp;"|"&amp;D3289,'All Song Rankings'!$T:$T,0),0)</f>
        <v>510</v>
      </c>
      <c r="G3289" s="6" t="str">
        <f aca="false">IF(F3289=0,"NOT FOUND",INDEX('All Song Rankings'!$A:$A,F3289))</f>
        <v>99 Luftballons</v>
      </c>
      <c r="H3289" s="6" t="str">
        <f aca="false">IF(F3289=0,"NOT FOUND",INDEX('All Song Rankings'!$B:$B,F3289))</f>
        <v>Nena</v>
      </c>
      <c r="I3289" s="6" t="str">
        <f aca="false">IF(F3289=0,"NOT FOUND",INDEX('All Song Rankings'!$D:$D,F3289))</f>
        <v>Nicole</v>
      </c>
      <c r="J3289" s="7" t="str">
        <f aca="false">IF(F3289=0,"NOT FOUND",IF(C3289=I3289,"SELF-VOTE",IF(COUNTIF($K:$K,K3289)&gt;1,"DUPLICATE","OK")))</f>
        <v>OK</v>
      </c>
      <c r="K3289" s="6" t="str">
        <f aca="false">A3289&amp;"|"&amp;B3289&amp;"|"&amp;C3289&amp;"|"&amp;D3289</f>
        <v>5|7|Christine|spotify:track:2IJftBfq7pJ43tfnOR0RB3</v>
      </c>
    </row>
    <row r="3290" customFormat="false" ht="15" hidden="false" customHeight="false" outlineLevel="0" collapsed="false">
      <c r="A3290" s="5" t="n">
        <v>5</v>
      </c>
      <c r="B3290" s="5" t="n">
        <v>7</v>
      </c>
      <c r="C3290" s="5" t="s">
        <v>719</v>
      </c>
      <c r="D3290" s="5" t="s">
        <v>1617</v>
      </c>
      <c r="E3290" s="5" t="n">
        <v>1</v>
      </c>
      <c r="F3290" s="6" t="n">
        <f aca="false">IFERROR(MATCH(A3290&amp;"|"&amp;B3290&amp;"|"&amp;D3290,'All Song Rankings'!$T:$T,0),0)</f>
        <v>522</v>
      </c>
      <c r="G3290" s="6" t="str">
        <f aca="false">IF(F3290=0,"NOT FOUND",INDEX('All Song Rankings'!$A:$A,F3290))</f>
        <v>Y Yo Sigo Aqui - Spanglish</v>
      </c>
      <c r="H3290" s="6" t="str">
        <f aca="false">IF(F3290=0,"NOT FOUND",INDEX('All Song Rankings'!$B:$B,F3290))</f>
        <v>Paulina Rubio</v>
      </c>
      <c r="I3290" s="6" t="str">
        <f aca="false">IF(F3290=0,"NOT FOUND",INDEX('All Song Rankings'!$D:$D,F3290))</f>
        <v>Grace</v>
      </c>
      <c r="J3290" s="7" t="str">
        <f aca="false">IF(F3290=0,"NOT FOUND",IF(C3290=I3290,"SELF-VOTE",IF(COUNTIF($K:$K,K3290)&gt;1,"DUPLICATE","OK")))</f>
        <v>OK</v>
      </c>
      <c r="K3290" s="6" t="str">
        <f aca="false">A3290&amp;"|"&amp;B3290&amp;"|"&amp;C3290&amp;"|"&amp;D3290</f>
        <v>5|7|Christine|spotify:track:2Ma2f8jV8VKMJoAcnCvZ8h</v>
      </c>
    </row>
    <row r="3291" customFormat="false" ht="15" hidden="false" customHeight="false" outlineLevel="0" collapsed="false">
      <c r="A3291" s="5" t="n">
        <v>5</v>
      </c>
      <c r="B3291" s="5" t="n">
        <v>7</v>
      </c>
      <c r="C3291" s="5" t="s">
        <v>719</v>
      </c>
      <c r="D3291" s="5" t="s">
        <v>1588</v>
      </c>
      <c r="E3291" s="5" t="n">
        <v>1</v>
      </c>
      <c r="F3291" s="6" t="n">
        <f aca="false">IFERROR(MATCH(A3291&amp;"|"&amp;B3291&amp;"|"&amp;D3291,'All Song Rankings'!$T:$T,0),0)</f>
        <v>512</v>
      </c>
      <c r="G3291" s="6" t="str">
        <f aca="false">IF(F3291=0,"NOT FOUND",INDEX('All Song Rankings'!$A:$A,F3291))</f>
        <v>Time To Say Goodbye</v>
      </c>
      <c r="H3291" s="6" t="str">
        <f aca="false">IF(F3291=0,"NOT FOUND",INDEX('All Song Rankings'!$B:$B,F3291))</f>
        <v>Sarah Brightman</v>
      </c>
      <c r="I3291" s="6" t="str">
        <f aca="false">IF(F3291=0,"NOT FOUND",INDEX('All Song Rankings'!$D:$D,F3291))</f>
        <v>Lisa</v>
      </c>
      <c r="J3291" s="7" t="str">
        <f aca="false">IF(F3291=0,"NOT FOUND",IF(C3291=I3291,"SELF-VOTE",IF(COUNTIF($K:$K,K3291)&gt;1,"DUPLICATE","OK")))</f>
        <v>OK</v>
      </c>
      <c r="K3291" s="6" t="str">
        <f aca="false">A3291&amp;"|"&amp;B3291&amp;"|"&amp;C3291&amp;"|"&amp;D3291</f>
        <v>5|7|Christine|spotify:track:3VAICuY2ax2yCLT7EhNeZE</v>
      </c>
    </row>
    <row r="3292" customFormat="false" ht="15" hidden="false" customHeight="false" outlineLevel="0" collapsed="false">
      <c r="A3292" s="5" t="n">
        <v>5</v>
      </c>
      <c r="B3292" s="5" t="n">
        <v>7</v>
      </c>
      <c r="C3292" s="5" t="s">
        <v>719</v>
      </c>
      <c r="D3292" s="5" t="s">
        <v>1579</v>
      </c>
      <c r="E3292" s="5" t="n">
        <v>1</v>
      </c>
      <c r="F3292" s="6" t="n">
        <f aca="false">IFERROR(MATCH(A3292&amp;"|"&amp;B3292&amp;"|"&amp;D3292,'All Song Rankings'!$T:$T,0),0)</f>
        <v>509</v>
      </c>
      <c r="G3292" s="6" t="str">
        <f aca="false">IF(F3292=0,"NOT FOUND",INDEX('All Song Rankings'!$A:$A,F3292))</f>
        <v>Pepas</v>
      </c>
      <c r="H3292" s="6" t="str">
        <f aca="false">IF(F3292=0,"NOT FOUND",INDEX('All Song Rankings'!$B:$B,F3292))</f>
        <v>Farruko</v>
      </c>
      <c r="I3292" s="6" t="str">
        <f aca="false">IF(F3292=0,"NOT FOUND",INDEX('All Song Rankings'!$D:$D,F3292))</f>
        <v>Leah</v>
      </c>
      <c r="J3292" s="7" t="str">
        <f aca="false">IF(F3292=0,"NOT FOUND",IF(C3292=I3292,"SELF-VOTE",IF(COUNTIF($K:$K,K3292)&gt;1,"DUPLICATE","OK")))</f>
        <v>OK</v>
      </c>
      <c r="K3292" s="6" t="str">
        <f aca="false">A3292&amp;"|"&amp;B3292&amp;"|"&amp;C3292&amp;"|"&amp;D3292</f>
        <v>5|7|Christine|spotify:track:5fwSHlTEWpluwOM0Sxnh5k</v>
      </c>
    </row>
    <row r="3293" customFormat="false" ht="15" hidden="false" customHeight="false" outlineLevel="0" collapsed="false">
      <c r="A3293" s="5" t="n">
        <v>5</v>
      </c>
      <c r="B3293" s="5" t="n">
        <v>7</v>
      </c>
      <c r="C3293" s="5" t="s">
        <v>719</v>
      </c>
      <c r="D3293" s="5" t="s">
        <v>1614</v>
      </c>
      <c r="E3293" s="5" t="n">
        <v>1</v>
      </c>
      <c r="F3293" s="6" t="n">
        <f aca="false">IFERROR(MATCH(A3293&amp;"|"&amp;B3293&amp;"|"&amp;D3293,'All Song Rankings'!$T:$T,0),0)</f>
        <v>521</v>
      </c>
      <c r="G3293" s="6" t="str">
        <f aca="false">IF(F3293=0,"NOT FOUND",INDEX('All Song Rankings'!$A:$A,F3293))</f>
        <v>Como La Flor</v>
      </c>
      <c r="H3293" s="6" t="str">
        <f aca="false">IF(F3293=0,"NOT FOUND",INDEX('All Song Rankings'!$B:$B,F3293))</f>
        <v>Selena</v>
      </c>
      <c r="I3293" s="6" t="str">
        <f aca="false">IF(F3293=0,"NOT FOUND",INDEX('All Song Rankings'!$D:$D,F3293))</f>
        <v>Logan</v>
      </c>
      <c r="J3293" s="7" t="str">
        <f aca="false">IF(F3293=0,"NOT FOUND",IF(C3293=I3293,"SELF-VOTE",IF(COUNTIF($K:$K,K3293)&gt;1,"DUPLICATE","OK")))</f>
        <v>OK</v>
      </c>
      <c r="K3293" s="6" t="str">
        <f aca="false">A3293&amp;"|"&amp;B3293&amp;"|"&amp;C3293&amp;"|"&amp;D3293</f>
        <v>5|7|Christine|spotify:track:5ubqSAc9LxUS2CsMHcA4kF</v>
      </c>
    </row>
    <row r="3294" customFormat="false" ht="15" hidden="false" customHeight="false" outlineLevel="0" collapsed="false">
      <c r="A3294" s="5" t="n">
        <v>5</v>
      </c>
      <c r="B3294" s="5" t="n">
        <v>7</v>
      </c>
      <c r="C3294" s="5" t="s">
        <v>719</v>
      </c>
      <c r="D3294" s="5" t="s">
        <v>1576</v>
      </c>
      <c r="E3294" s="5" t="n">
        <v>1</v>
      </c>
      <c r="F3294" s="6" t="n">
        <f aca="false">IFERROR(MATCH(A3294&amp;"|"&amp;B3294&amp;"|"&amp;D3294,'All Song Rankings'!$T:$T,0),0)</f>
        <v>508</v>
      </c>
      <c r="G3294" s="6" t="str">
        <f aca="false">IF(F3294=0,"NOT FOUND",INDEX('All Song Rankings'!$A:$A,F3294))</f>
        <v>C'est la vie</v>
      </c>
      <c r="H3294" s="6" t="str">
        <f aca="false">IF(F3294=0,"NOT FOUND",INDEX('All Song Rankings'!$B:$B,F3294))</f>
        <v>Khaled</v>
      </c>
      <c r="I3294" s="6" t="str">
        <f aca="false">IF(F3294=0,"NOT FOUND",INDEX('All Song Rankings'!$D:$D,F3294))</f>
        <v>Kelsey</v>
      </c>
      <c r="J3294" s="7" t="str">
        <f aca="false">IF(F3294=0,"NOT FOUND",IF(C3294=I3294,"SELF-VOTE",IF(COUNTIF($K:$K,K3294)&gt;1,"DUPLICATE","OK")))</f>
        <v>OK</v>
      </c>
      <c r="K3294" s="6" t="str">
        <f aca="false">A3294&amp;"|"&amp;B3294&amp;"|"&amp;C3294&amp;"|"&amp;D3294</f>
        <v>5|7|Christine|spotify:track:6KGHsN5QI0qunsADx3e51i</v>
      </c>
    </row>
    <row r="3295" customFormat="false" ht="15" hidden="false" customHeight="false" outlineLevel="0" collapsed="false">
      <c r="A3295" s="5" t="n">
        <v>5</v>
      </c>
      <c r="B3295" s="5" t="n">
        <v>7</v>
      </c>
      <c r="C3295" s="5" t="s">
        <v>719</v>
      </c>
      <c r="D3295" s="5" t="s">
        <v>1585</v>
      </c>
      <c r="E3295" s="5" t="n">
        <v>1</v>
      </c>
      <c r="F3295" s="6" t="n">
        <f aca="false">IFERROR(MATCH(A3295&amp;"|"&amp;B3295&amp;"|"&amp;D3295,'All Song Rankings'!$T:$T,0),0)</f>
        <v>511</v>
      </c>
      <c r="G3295" s="6" t="str">
        <f aca="false">IF(F3295=0,"NOT FOUND",INDEX('All Song Rankings'!$A:$A,F3295))</f>
        <v>Magia (feat. Sebastián Yatra)</v>
      </c>
      <c r="H3295" s="6" t="str">
        <f aca="false">IF(F3295=0,"NOT FOUND",INDEX('All Song Rankings'!$B:$B,F3295))</f>
        <v>Andrés Cepeda</v>
      </c>
      <c r="I3295" s="6" t="str">
        <f aca="false">IF(F3295=0,"NOT FOUND",INDEX('All Song Rankings'!$D:$D,F3295))</f>
        <v>Kristen</v>
      </c>
      <c r="J3295" s="7" t="str">
        <f aca="false">IF(F3295=0,"NOT FOUND",IF(C3295=I3295,"SELF-VOTE",IF(COUNTIF($K:$K,K3295)&gt;1,"DUPLICATE","OK")))</f>
        <v>OK</v>
      </c>
      <c r="K3295" s="6" t="str">
        <f aca="false">A3295&amp;"|"&amp;B3295&amp;"|"&amp;C3295&amp;"|"&amp;D3295</f>
        <v>5|7|Christine|spotify:track:6xAhkN7uE1qdhPa8jZwhTb</v>
      </c>
    </row>
    <row r="3296" customFormat="false" ht="15" hidden="false" customHeight="false" outlineLevel="0" collapsed="false">
      <c r="A3296" s="5" t="n">
        <v>5</v>
      </c>
      <c r="B3296" s="5" t="n">
        <v>7</v>
      </c>
      <c r="C3296" s="5" t="s">
        <v>719</v>
      </c>
      <c r="D3296" s="5" t="s">
        <v>1611</v>
      </c>
      <c r="E3296" s="5" t="n">
        <v>1</v>
      </c>
      <c r="F3296" s="6" t="n">
        <f aca="false">IFERROR(MATCH(A3296&amp;"|"&amp;B3296&amp;"|"&amp;D3296,'All Song Rankings'!$T:$T,0),0)</f>
        <v>520</v>
      </c>
      <c r="G3296" s="6" t="str">
        <f aca="false">IF(F3296=0,"NOT FOUND",INDEX('All Song Rankings'!$A:$A,F3296))</f>
        <v>Si Antes Te Hubiera Conocido</v>
      </c>
      <c r="H3296" s="6" t="str">
        <f aca="false">IF(F3296=0,"NOT FOUND",INDEX('All Song Rankings'!$B:$B,F3296))</f>
        <v>KAROL G</v>
      </c>
      <c r="I3296" s="6" t="str">
        <f aca="false">IF(F3296=0,"NOT FOUND",INDEX('All Song Rankings'!$D:$D,F3296))</f>
        <v>Stephanie</v>
      </c>
      <c r="J3296" s="7" t="str">
        <f aca="false">IF(F3296=0,"NOT FOUND",IF(C3296=I3296,"SELF-VOTE",IF(COUNTIF($K:$K,K3296)&gt;1,"DUPLICATE","OK")))</f>
        <v>OK</v>
      </c>
      <c r="K3296" s="6" t="str">
        <f aca="false">A3296&amp;"|"&amp;B3296&amp;"|"&amp;C3296&amp;"|"&amp;D3296</f>
        <v>5|7|Christine|spotify:track:73scB4Q4fcOmnsBVZPmk32</v>
      </c>
    </row>
    <row r="3297" customFormat="false" ht="15" hidden="false" customHeight="false" outlineLevel="0" collapsed="false">
      <c r="A3297" s="5" t="n">
        <v>5</v>
      </c>
      <c r="B3297" s="5" t="n">
        <v>7</v>
      </c>
      <c r="C3297" s="5" t="s">
        <v>637</v>
      </c>
      <c r="D3297" s="5" t="s">
        <v>1596</v>
      </c>
      <c r="E3297" s="5" t="n">
        <v>1</v>
      </c>
      <c r="F3297" s="6" t="n">
        <f aca="false">IFERROR(MATCH(A3297&amp;"|"&amp;B3297&amp;"|"&amp;D3297,'All Song Rankings'!$T:$T,0),0)</f>
        <v>515</v>
      </c>
      <c r="G3297" s="6" t="str">
        <f aca="false">IF(F3297=0,"NOT FOUND",INDEX('All Song Rankings'!$A:$A,F3297))</f>
        <v>Shinunoga E-Wa</v>
      </c>
      <c r="H3297" s="6" t="str">
        <f aca="false">IF(F3297=0,"NOT FOUND",INDEX('All Song Rankings'!$B:$B,F3297))</f>
        <v>Fujii Kaze</v>
      </c>
      <c r="I3297" s="6" t="str">
        <f aca="false">IF(F3297=0,"NOT FOUND",INDEX('All Song Rankings'!$D:$D,F3297))</f>
        <v>Merita</v>
      </c>
      <c r="J3297" s="7" t="str">
        <f aca="false">IF(F3297=0,"NOT FOUND",IF(C3297=I3297,"SELF-VOTE",IF(COUNTIF($K:$K,K3297)&gt;1,"DUPLICATE","OK")))</f>
        <v>OK</v>
      </c>
      <c r="K3297" s="6" t="str">
        <f aca="false">A3297&amp;"|"&amp;B3297&amp;"|"&amp;C3297&amp;"|"&amp;D3297</f>
        <v>5|7|Colleen|spotify:track:0o9zmvc5f3EFApU52PPIyW</v>
      </c>
    </row>
    <row r="3298" customFormat="false" ht="15" hidden="false" customHeight="false" outlineLevel="0" collapsed="false">
      <c r="A3298" s="5" t="n">
        <v>5</v>
      </c>
      <c r="B3298" s="5" t="n">
        <v>7</v>
      </c>
      <c r="C3298" s="5" t="s">
        <v>637</v>
      </c>
      <c r="D3298" s="5" t="s">
        <v>1590</v>
      </c>
      <c r="E3298" s="5" t="n">
        <v>1</v>
      </c>
      <c r="F3298" s="6" t="n">
        <f aca="false">IFERROR(MATCH(A3298&amp;"|"&amp;B3298&amp;"|"&amp;D3298,'All Song Rankings'!$T:$T,0),0)</f>
        <v>513</v>
      </c>
      <c r="G3298" s="6" t="str">
        <f aca="false">IF(F3298=0,"NOT FOUND",INDEX('All Song Rankings'!$A:$A,F3298))</f>
        <v>Tití Me Preguntó</v>
      </c>
      <c r="H3298" s="6" t="str">
        <f aca="false">IF(F3298=0,"NOT FOUND",INDEX('All Song Rankings'!$B:$B,F3298))</f>
        <v>Bad Bunny</v>
      </c>
      <c r="I3298" s="6" t="str">
        <f aca="false">IF(F3298=0,"NOT FOUND",INDEX('All Song Rankings'!$D:$D,F3298))</f>
        <v>Makenzie</v>
      </c>
      <c r="J3298" s="7" t="str">
        <f aca="false">IF(F3298=0,"NOT FOUND",IF(C3298=I3298,"SELF-VOTE",IF(COUNTIF($K:$K,K3298)&gt;1,"DUPLICATE","OK")))</f>
        <v>OK</v>
      </c>
      <c r="K3298" s="6" t="str">
        <f aca="false">A3298&amp;"|"&amp;B3298&amp;"|"&amp;C3298&amp;"|"&amp;D3298</f>
        <v>5|7|Colleen|spotify:track:1IHWl5LamUGEuP4ozKQSXZ</v>
      </c>
    </row>
    <row r="3299" customFormat="false" ht="15" hidden="false" customHeight="false" outlineLevel="0" collapsed="false">
      <c r="A3299" s="5" t="n">
        <v>5</v>
      </c>
      <c r="B3299" s="5" t="n">
        <v>7</v>
      </c>
      <c r="C3299" s="5" t="s">
        <v>637</v>
      </c>
      <c r="D3299" s="5" t="s">
        <v>1605</v>
      </c>
      <c r="E3299" s="5" t="n">
        <v>2</v>
      </c>
      <c r="F3299" s="6" t="n">
        <f aca="false">IFERROR(MATCH(A3299&amp;"|"&amp;B3299&amp;"|"&amp;D3299,'All Song Rankings'!$T:$T,0),0)</f>
        <v>518</v>
      </c>
      <c r="G3299" s="6" t="str">
        <f aca="false">IF(F3299=0,"NOT FOUND",INDEX('All Song Rankings'!$A:$A,F3299))</f>
        <v>Tu Vuo' Fa L'Americano</v>
      </c>
      <c r="H3299" s="6" t="str">
        <f aca="false">IF(F3299=0,"NOT FOUND",INDEX('All Song Rankings'!$B:$B,F3299))</f>
        <v>Renato Carosone</v>
      </c>
      <c r="I3299" s="6" t="str">
        <f aca="false">IF(F3299=0,"NOT FOUND",INDEX('All Song Rankings'!$D:$D,F3299))</f>
        <v>Scott</v>
      </c>
      <c r="J3299" s="7" t="str">
        <f aca="false">IF(F3299=0,"NOT FOUND",IF(C3299=I3299,"SELF-VOTE",IF(COUNTIF($K:$K,K3299)&gt;1,"DUPLICATE","OK")))</f>
        <v>OK</v>
      </c>
      <c r="K3299" s="6" t="str">
        <f aca="false">A3299&amp;"|"&amp;B3299&amp;"|"&amp;C3299&amp;"|"&amp;D3299</f>
        <v>5|7|Colleen|spotify:track:20lTi7rRz9AjwSoL04ckPg</v>
      </c>
    </row>
    <row r="3300" customFormat="false" ht="15" hidden="false" customHeight="false" outlineLevel="0" collapsed="false">
      <c r="A3300" s="5" t="n">
        <v>5</v>
      </c>
      <c r="B3300" s="5" t="n">
        <v>7</v>
      </c>
      <c r="C3300" s="5" t="s">
        <v>637</v>
      </c>
      <c r="D3300" s="5" t="s">
        <v>1582</v>
      </c>
      <c r="E3300" s="5" t="n">
        <v>1</v>
      </c>
      <c r="F3300" s="6" t="n">
        <f aca="false">IFERROR(MATCH(A3300&amp;"|"&amp;B3300&amp;"|"&amp;D3300,'All Song Rankings'!$T:$T,0),0)</f>
        <v>510</v>
      </c>
      <c r="G3300" s="6" t="str">
        <f aca="false">IF(F3300=0,"NOT FOUND",INDEX('All Song Rankings'!$A:$A,F3300))</f>
        <v>99 Luftballons</v>
      </c>
      <c r="H3300" s="6" t="str">
        <f aca="false">IF(F3300=0,"NOT FOUND",INDEX('All Song Rankings'!$B:$B,F3300))</f>
        <v>Nena</v>
      </c>
      <c r="I3300" s="6" t="str">
        <f aca="false">IF(F3300=0,"NOT FOUND",INDEX('All Song Rankings'!$D:$D,F3300))</f>
        <v>Nicole</v>
      </c>
      <c r="J3300" s="7" t="str">
        <f aca="false">IF(F3300=0,"NOT FOUND",IF(C3300=I3300,"SELF-VOTE",IF(COUNTIF($K:$K,K3300)&gt;1,"DUPLICATE","OK")))</f>
        <v>OK</v>
      </c>
      <c r="K3300" s="6" t="str">
        <f aca="false">A3300&amp;"|"&amp;B3300&amp;"|"&amp;C3300&amp;"|"&amp;D3300</f>
        <v>5|7|Colleen|spotify:track:2IJftBfq7pJ43tfnOR0RB3</v>
      </c>
    </row>
    <row r="3301" customFormat="false" ht="15" hidden="false" customHeight="false" outlineLevel="0" collapsed="false">
      <c r="A3301" s="5" t="n">
        <v>5</v>
      </c>
      <c r="B3301" s="5" t="n">
        <v>7</v>
      </c>
      <c r="C3301" s="5" t="s">
        <v>637</v>
      </c>
      <c r="D3301" s="5" t="s">
        <v>1593</v>
      </c>
      <c r="E3301" s="5" t="n">
        <v>1</v>
      </c>
      <c r="F3301" s="6" t="n">
        <f aca="false">IFERROR(MATCH(A3301&amp;"|"&amp;B3301&amp;"|"&amp;D3301,'All Song Rankings'!$T:$T,0),0)</f>
        <v>514</v>
      </c>
      <c r="G3301" s="6" t="str">
        <f aca="false">IF(F3301=0,"NOT FOUND",INDEX('All Song Rankings'!$A:$A,F3301))</f>
        <v>Vivir Mi Vida</v>
      </c>
      <c r="H3301" s="6" t="str">
        <f aca="false">IF(F3301=0,"NOT FOUND",INDEX('All Song Rankings'!$B:$B,F3301))</f>
        <v>Marc Anthony</v>
      </c>
      <c r="I3301" s="6" t="str">
        <f aca="false">IF(F3301=0,"NOT FOUND",INDEX('All Song Rankings'!$D:$D,F3301))</f>
        <v>Aubrey</v>
      </c>
      <c r="J3301" s="7" t="str">
        <f aca="false">IF(F3301=0,"NOT FOUND",IF(C3301=I3301,"SELF-VOTE",IF(COUNTIF($K:$K,K3301)&gt;1,"DUPLICATE","OK")))</f>
        <v>OK</v>
      </c>
      <c r="K3301" s="6" t="str">
        <f aca="false">A3301&amp;"|"&amp;B3301&amp;"|"&amp;C3301&amp;"|"&amp;D3301</f>
        <v>5|7|Colleen|spotify:track:3QHMxEOAGD51PDlbFPHLyJ</v>
      </c>
    </row>
    <row r="3302" customFormat="false" ht="15" hidden="false" customHeight="false" outlineLevel="0" collapsed="false">
      <c r="A3302" s="5" t="n">
        <v>5</v>
      </c>
      <c r="B3302" s="5" t="n">
        <v>7</v>
      </c>
      <c r="C3302" s="5" t="s">
        <v>637</v>
      </c>
      <c r="D3302" s="5" t="s">
        <v>1579</v>
      </c>
      <c r="E3302" s="5" t="n">
        <v>2</v>
      </c>
      <c r="F3302" s="6" t="n">
        <f aca="false">IFERROR(MATCH(A3302&amp;"|"&amp;B3302&amp;"|"&amp;D3302,'All Song Rankings'!$T:$T,0),0)</f>
        <v>509</v>
      </c>
      <c r="G3302" s="6" t="str">
        <f aca="false">IF(F3302=0,"NOT FOUND",INDEX('All Song Rankings'!$A:$A,F3302))</f>
        <v>Pepas</v>
      </c>
      <c r="H3302" s="6" t="str">
        <f aca="false">IF(F3302=0,"NOT FOUND",INDEX('All Song Rankings'!$B:$B,F3302))</f>
        <v>Farruko</v>
      </c>
      <c r="I3302" s="6" t="str">
        <f aca="false">IF(F3302=0,"NOT FOUND",INDEX('All Song Rankings'!$D:$D,F3302))</f>
        <v>Leah</v>
      </c>
      <c r="J3302" s="7" t="str">
        <f aca="false">IF(F3302=0,"NOT FOUND",IF(C3302=I3302,"SELF-VOTE",IF(COUNTIF($K:$K,K3302)&gt;1,"DUPLICATE","OK")))</f>
        <v>OK</v>
      </c>
      <c r="K3302" s="6" t="str">
        <f aca="false">A3302&amp;"|"&amp;B3302&amp;"|"&amp;C3302&amp;"|"&amp;D3302</f>
        <v>5|7|Colleen|spotify:track:5fwSHlTEWpluwOM0Sxnh5k</v>
      </c>
    </row>
    <row r="3303" customFormat="false" ht="15" hidden="false" customHeight="false" outlineLevel="0" collapsed="false">
      <c r="A3303" s="5" t="n">
        <v>5</v>
      </c>
      <c r="B3303" s="5" t="n">
        <v>7</v>
      </c>
      <c r="C3303" s="5" t="s">
        <v>637</v>
      </c>
      <c r="D3303" s="5" t="s">
        <v>1576</v>
      </c>
      <c r="E3303" s="5" t="n">
        <v>2</v>
      </c>
      <c r="F3303" s="6" t="n">
        <f aca="false">IFERROR(MATCH(A3303&amp;"|"&amp;B3303&amp;"|"&amp;D3303,'All Song Rankings'!$T:$T,0),0)</f>
        <v>508</v>
      </c>
      <c r="G3303" s="6" t="str">
        <f aca="false">IF(F3303=0,"NOT FOUND",INDEX('All Song Rankings'!$A:$A,F3303))</f>
        <v>C'est la vie</v>
      </c>
      <c r="H3303" s="6" t="str">
        <f aca="false">IF(F3303=0,"NOT FOUND",INDEX('All Song Rankings'!$B:$B,F3303))</f>
        <v>Khaled</v>
      </c>
      <c r="I3303" s="6" t="str">
        <f aca="false">IF(F3303=0,"NOT FOUND",INDEX('All Song Rankings'!$D:$D,F3303))</f>
        <v>Kelsey</v>
      </c>
      <c r="J3303" s="7" t="str">
        <f aca="false">IF(F3303=0,"NOT FOUND",IF(C3303=I3303,"SELF-VOTE",IF(COUNTIF($K:$K,K3303)&gt;1,"DUPLICATE","OK")))</f>
        <v>OK</v>
      </c>
      <c r="K3303" s="6" t="str">
        <f aca="false">A3303&amp;"|"&amp;B3303&amp;"|"&amp;C3303&amp;"|"&amp;D3303</f>
        <v>5|7|Colleen|spotify:track:6KGHsN5QI0qunsADx3e51i</v>
      </c>
    </row>
    <row r="3304" customFormat="false" ht="15" hidden="false" customHeight="false" outlineLevel="0" collapsed="false">
      <c r="A3304" s="5" t="n">
        <v>5</v>
      </c>
      <c r="B3304" s="5" t="n">
        <v>7</v>
      </c>
      <c r="C3304" s="5" t="s">
        <v>382</v>
      </c>
      <c r="D3304" s="5" t="s">
        <v>1605</v>
      </c>
      <c r="E3304" s="5" t="n">
        <v>2</v>
      </c>
      <c r="F3304" s="6" t="n">
        <f aca="false">IFERROR(MATCH(A3304&amp;"|"&amp;B3304&amp;"|"&amp;D3304,'All Song Rankings'!$T:$T,0),0)</f>
        <v>518</v>
      </c>
      <c r="G3304" s="6" t="str">
        <f aca="false">IF(F3304=0,"NOT FOUND",INDEX('All Song Rankings'!$A:$A,F3304))</f>
        <v>Tu Vuo' Fa L'Americano</v>
      </c>
      <c r="H3304" s="6" t="str">
        <f aca="false">IF(F3304=0,"NOT FOUND",INDEX('All Song Rankings'!$B:$B,F3304))</f>
        <v>Renato Carosone</v>
      </c>
      <c r="I3304" s="6" t="str">
        <f aca="false">IF(F3304=0,"NOT FOUND",INDEX('All Song Rankings'!$D:$D,F3304))</f>
        <v>Scott</v>
      </c>
      <c r="J3304" s="7" t="str">
        <f aca="false">IF(F3304=0,"NOT FOUND",IF(C3304=I3304,"SELF-VOTE",IF(COUNTIF($K:$K,K3304)&gt;1,"DUPLICATE","OK")))</f>
        <v>OK</v>
      </c>
      <c r="K3304" s="6" t="str">
        <f aca="false">A3304&amp;"|"&amp;B3304&amp;"|"&amp;C3304&amp;"|"&amp;D3304</f>
        <v>5|7|Grace|spotify:track:20lTi7rRz9AjwSoL04ckPg</v>
      </c>
    </row>
    <row r="3305" customFormat="false" ht="15" hidden="false" customHeight="false" outlineLevel="0" collapsed="false">
      <c r="A3305" s="5" t="n">
        <v>5</v>
      </c>
      <c r="B3305" s="5" t="n">
        <v>7</v>
      </c>
      <c r="C3305" s="5" t="s">
        <v>382</v>
      </c>
      <c r="D3305" s="5" t="s">
        <v>1582</v>
      </c>
      <c r="E3305" s="5" t="n">
        <v>2</v>
      </c>
      <c r="F3305" s="6" t="n">
        <f aca="false">IFERROR(MATCH(A3305&amp;"|"&amp;B3305&amp;"|"&amp;D3305,'All Song Rankings'!$T:$T,0),0)</f>
        <v>510</v>
      </c>
      <c r="G3305" s="6" t="str">
        <f aca="false">IF(F3305=0,"NOT FOUND",INDEX('All Song Rankings'!$A:$A,F3305))</f>
        <v>99 Luftballons</v>
      </c>
      <c r="H3305" s="6" t="str">
        <f aca="false">IF(F3305=0,"NOT FOUND",INDEX('All Song Rankings'!$B:$B,F3305))</f>
        <v>Nena</v>
      </c>
      <c r="I3305" s="6" t="str">
        <f aca="false">IF(F3305=0,"NOT FOUND",INDEX('All Song Rankings'!$D:$D,F3305))</f>
        <v>Nicole</v>
      </c>
      <c r="J3305" s="7" t="str">
        <f aca="false">IF(F3305=0,"NOT FOUND",IF(C3305=I3305,"SELF-VOTE",IF(COUNTIF($K:$K,K3305)&gt;1,"DUPLICATE","OK")))</f>
        <v>OK</v>
      </c>
      <c r="K3305" s="6" t="str">
        <f aca="false">A3305&amp;"|"&amp;B3305&amp;"|"&amp;C3305&amp;"|"&amp;D3305</f>
        <v>5|7|Grace|spotify:track:2IJftBfq7pJ43tfnOR0RB3</v>
      </c>
    </row>
    <row r="3306" customFormat="false" ht="15" hidden="false" customHeight="false" outlineLevel="0" collapsed="false">
      <c r="A3306" s="5" t="n">
        <v>5</v>
      </c>
      <c r="B3306" s="5" t="n">
        <v>7</v>
      </c>
      <c r="C3306" s="5" t="s">
        <v>382</v>
      </c>
      <c r="D3306" s="5" t="s">
        <v>1593</v>
      </c>
      <c r="E3306" s="5" t="n">
        <v>1</v>
      </c>
      <c r="F3306" s="6" t="n">
        <f aca="false">IFERROR(MATCH(A3306&amp;"|"&amp;B3306&amp;"|"&amp;D3306,'All Song Rankings'!$T:$T,0),0)</f>
        <v>514</v>
      </c>
      <c r="G3306" s="6" t="str">
        <f aca="false">IF(F3306=0,"NOT FOUND",INDEX('All Song Rankings'!$A:$A,F3306))</f>
        <v>Vivir Mi Vida</v>
      </c>
      <c r="H3306" s="6" t="str">
        <f aca="false">IF(F3306=0,"NOT FOUND",INDEX('All Song Rankings'!$B:$B,F3306))</f>
        <v>Marc Anthony</v>
      </c>
      <c r="I3306" s="6" t="str">
        <f aca="false">IF(F3306=0,"NOT FOUND",INDEX('All Song Rankings'!$D:$D,F3306))</f>
        <v>Aubrey</v>
      </c>
      <c r="J3306" s="7" t="str">
        <f aca="false">IF(F3306=0,"NOT FOUND",IF(C3306=I3306,"SELF-VOTE",IF(COUNTIF($K:$K,K3306)&gt;1,"DUPLICATE","OK")))</f>
        <v>OK</v>
      </c>
      <c r="K3306" s="6" t="str">
        <f aca="false">A3306&amp;"|"&amp;B3306&amp;"|"&amp;C3306&amp;"|"&amp;D3306</f>
        <v>5|7|Grace|spotify:track:3QHMxEOAGD51PDlbFPHLyJ</v>
      </c>
    </row>
    <row r="3307" customFormat="false" ht="15" hidden="false" customHeight="false" outlineLevel="0" collapsed="false">
      <c r="A3307" s="5" t="n">
        <v>5</v>
      </c>
      <c r="B3307" s="5" t="n">
        <v>7</v>
      </c>
      <c r="C3307" s="5" t="s">
        <v>382</v>
      </c>
      <c r="D3307" s="5" t="s">
        <v>1588</v>
      </c>
      <c r="E3307" s="5" t="n">
        <v>3</v>
      </c>
      <c r="F3307" s="6" t="n">
        <f aca="false">IFERROR(MATCH(A3307&amp;"|"&amp;B3307&amp;"|"&amp;D3307,'All Song Rankings'!$T:$T,0),0)</f>
        <v>512</v>
      </c>
      <c r="G3307" s="6" t="str">
        <f aca="false">IF(F3307=0,"NOT FOUND",INDEX('All Song Rankings'!$A:$A,F3307))</f>
        <v>Time To Say Goodbye</v>
      </c>
      <c r="H3307" s="6" t="str">
        <f aca="false">IF(F3307=0,"NOT FOUND",INDEX('All Song Rankings'!$B:$B,F3307))</f>
        <v>Sarah Brightman</v>
      </c>
      <c r="I3307" s="6" t="str">
        <f aca="false">IF(F3307=0,"NOT FOUND",INDEX('All Song Rankings'!$D:$D,F3307))</f>
        <v>Lisa</v>
      </c>
      <c r="J3307" s="7" t="str">
        <f aca="false">IF(F3307=0,"NOT FOUND",IF(C3307=I3307,"SELF-VOTE",IF(COUNTIF($K:$K,K3307)&gt;1,"DUPLICATE","OK")))</f>
        <v>OK</v>
      </c>
      <c r="K3307" s="6" t="str">
        <f aca="false">A3307&amp;"|"&amp;B3307&amp;"|"&amp;C3307&amp;"|"&amp;D3307</f>
        <v>5|7|Grace|spotify:track:3VAICuY2ax2yCLT7EhNeZE</v>
      </c>
    </row>
    <row r="3308" customFormat="false" ht="15" hidden="false" customHeight="false" outlineLevel="0" collapsed="false">
      <c r="A3308" s="5" t="n">
        <v>5</v>
      </c>
      <c r="B3308" s="5" t="n">
        <v>7</v>
      </c>
      <c r="C3308" s="5" t="s">
        <v>382</v>
      </c>
      <c r="D3308" s="5" t="s">
        <v>1576</v>
      </c>
      <c r="E3308" s="5" t="n">
        <v>1</v>
      </c>
      <c r="F3308" s="6" t="n">
        <f aca="false">IFERROR(MATCH(A3308&amp;"|"&amp;B3308&amp;"|"&amp;D3308,'All Song Rankings'!$T:$T,0),0)</f>
        <v>508</v>
      </c>
      <c r="G3308" s="6" t="str">
        <f aca="false">IF(F3308=0,"NOT FOUND",INDEX('All Song Rankings'!$A:$A,F3308))</f>
        <v>C'est la vie</v>
      </c>
      <c r="H3308" s="6" t="str">
        <f aca="false">IF(F3308=0,"NOT FOUND",INDEX('All Song Rankings'!$B:$B,F3308))</f>
        <v>Khaled</v>
      </c>
      <c r="I3308" s="6" t="str">
        <f aca="false">IF(F3308=0,"NOT FOUND",INDEX('All Song Rankings'!$D:$D,F3308))</f>
        <v>Kelsey</v>
      </c>
      <c r="J3308" s="7" t="str">
        <f aca="false">IF(F3308=0,"NOT FOUND",IF(C3308=I3308,"SELF-VOTE",IF(COUNTIF($K:$K,K3308)&gt;1,"DUPLICATE","OK")))</f>
        <v>OK</v>
      </c>
      <c r="K3308" s="6" t="str">
        <f aca="false">A3308&amp;"|"&amp;B3308&amp;"|"&amp;C3308&amp;"|"&amp;D3308</f>
        <v>5|7|Grace|spotify:track:6KGHsN5QI0qunsADx3e51i</v>
      </c>
    </row>
    <row r="3309" customFormat="false" ht="15" hidden="false" customHeight="false" outlineLevel="0" collapsed="false">
      <c r="A3309" s="5" t="n">
        <v>5</v>
      </c>
      <c r="B3309" s="5" t="n">
        <v>7</v>
      </c>
      <c r="C3309" s="5" t="s">
        <v>382</v>
      </c>
      <c r="D3309" s="5" t="s">
        <v>1611</v>
      </c>
      <c r="E3309" s="5" t="n">
        <v>1</v>
      </c>
      <c r="F3309" s="6" t="n">
        <f aca="false">IFERROR(MATCH(A3309&amp;"|"&amp;B3309&amp;"|"&amp;D3309,'All Song Rankings'!$T:$T,0),0)</f>
        <v>520</v>
      </c>
      <c r="G3309" s="6" t="str">
        <f aca="false">IF(F3309=0,"NOT FOUND",INDEX('All Song Rankings'!$A:$A,F3309))</f>
        <v>Si Antes Te Hubiera Conocido</v>
      </c>
      <c r="H3309" s="6" t="str">
        <f aca="false">IF(F3309=0,"NOT FOUND",INDEX('All Song Rankings'!$B:$B,F3309))</f>
        <v>KAROL G</v>
      </c>
      <c r="I3309" s="6" t="str">
        <f aca="false">IF(F3309=0,"NOT FOUND",INDEX('All Song Rankings'!$D:$D,F3309))</f>
        <v>Stephanie</v>
      </c>
      <c r="J3309" s="7" t="str">
        <f aca="false">IF(F3309=0,"NOT FOUND",IF(C3309=I3309,"SELF-VOTE",IF(COUNTIF($K:$K,K3309)&gt;1,"DUPLICATE","OK")))</f>
        <v>OK</v>
      </c>
      <c r="K3309" s="6" t="str">
        <f aca="false">A3309&amp;"|"&amp;B3309&amp;"|"&amp;C3309&amp;"|"&amp;D3309</f>
        <v>5|7|Grace|spotify:track:73scB4Q4fcOmnsBVZPmk32</v>
      </c>
    </row>
    <row r="3310" customFormat="false" ht="15" hidden="false" customHeight="false" outlineLevel="0" collapsed="false">
      <c r="A3310" s="5" t="n">
        <v>5</v>
      </c>
      <c r="B3310" s="5" t="n">
        <v>7</v>
      </c>
      <c r="C3310" s="5" t="s">
        <v>85</v>
      </c>
      <c r="D3310" s="5" t="s">
        <v>1590</v>
      </c>
      <c r="E3310" s="5" t="n">
        <v>1</v>
      </c>
      <c r="F3310" s="6" t="n">
        <f aca="false">IFERROR(MATCH(A3310&amp;"|"&amp;B3310&amp;"|"&amp;D3310,'All Song Rankings'!$T:$T,0),0)</f>
        <v>513</v>
      </c>
      <c r="G3310" s="6" t="str">
        <f aca="false">IF(F3310=0,"NOT FOUND",INDEX('All Song Rankings'!$A:$A,F3310))</f>
        <v>Tití Me Preguntó</v>
      </c>
      <c r="H3310" s="6" t="str">
        <f aca="false">IF(F3310=0,"NOT FOUND",INDEX('All Song Rankings'!$B:$B,F3310))</f>
        <v>Bad Bunny</v>
      </c>
      <c r="I3310" s="6" t="str">
        <f aca="false">IF(F3310=0,"NOT FOUND",INDEX('All Song Rankings'!$D:$D,F3310))</f>
        <v>Makenzie</v>
      </c>
      <c r="J3310" s="7" t="str">
        <f aca="false">IF(F3310=0,"NOT FOUND",IF(C3310=I3310,"SELF-VOTE",IF(COUNTIF($K:$K,K3310)&gt;1,"DUPLICATE","OK")))</f>
        <v>OK</v>
      </c>
      <c r="K3310" s="6" t="str">
        <f aca="false">A3310&amp;"|"&amp;B3310&amp;"|"&amp;C3310&amp;"|"&amp;D3310</f>
        <v>5|7|Kelsey|spotify:track:1IHWl5LamUGEuP4ozKQSXZ</v>
      </c>
    </row>
    <row r="3311" customFormat="false" ht="15" hidden="false" customHeight="false" outlineLevel="0" collapsed="false">
      <c r="A3311" s="5" t="n">
        <v>5</v>
      </c>
      <c r="B3311" s="5" t="n">
        <v>7</v>
      </c>
      <c r="C3311" s="5" t="s">
        <v>85</v>
      </c>
      <c r="D3311" s="5" t="s">
        <v>1602</v>
      </c>
      <c r="E3311" s="5" t="n">
        <v>2</v>
      </c>
      <c r="F3311" s="6" t="n">
        <f aca="false">IFERROR(MATCH(A3311&amp;"|"&amp;B3311&amp;"|"&amp;D3311,'All Song Rankings'!$T:$T,0),0)</f>
        <v>517</v>
      </c>
      <c r="G3311" s="6" t="str">
        <f aca="false">IF(F3311=0,"NOT FOUND",INDEX('All Song Rankings'!$A:$A,F3311))</f>
        <v>La Perla</v>
      </c>
      <c r="H3311" s="6" t="str">
        <f aca="false">IF(F3311=0,"NOT FOUND",INDEX('All Song Rankings'!$B:$B,F3311))</f>
        <v>ROSALÍA</v>
      </c>
      <c r="I3311" s="6" t="str">
        <f aca="false">IF(F3311=0,"NOT FOUND",INDEX('All Song Rankings'!$D:$D,F3311))</f>
        <v>Matt</v>
      </c>
      <c r="J3311" s="7" t="str">
        <f aca="false">IF(F3311=0,"NOT FOUND",IF(C3311=I3311,"SELF-VOTE",IF(COUNTIF($K:$K,K3311)&gt;1,"DUPLICATE","OK")))</f>
        <v>OK</v>
      </c>
      <c r="K3311" s="6" t="str">
        <f aca="false">A3311&amp;"|"&amp;B3311&amp;"|"&amp;C3311&amp;"|"&amp;D3311</f>
        <v>5|7|Kelsey|spotify:track:4oVO4fGNRRvEn0CRuFO4qv</v>
      </c>
    </row>
    <row r="3312" customFormat="false" ht="15" hidden="false" customHeight="false" outlineLevel="0" collapsed="false">
      <c r="A3312" s="5" t="n">
        <v>5</v>
      </c>
      <c r="B3312" s="5" t="n">
        <v>7</v>
      </c>
      <c r="C3312" s="5" t="s">
        <v>85</v>
      </c>
      <c r="D3312" s="5" t="s">
        <v>1579</v>
      </c>
      <c r="E3312" s="5" t="n">
        <v>2</v>
      </c>
      <c r="F3312" s="6" t="n">
        <f aca="false">IFERROR(MATCH(A3312&amp;"|"&amp;B3312&amp;"|"&amp;D3312,'All Song Rankings'!$T:$T,0),0)</f>
        <v>509</v>
      </c>
      <c r="G3312" s="6" t="str">
        <f aca="false">IF(F3312=0,"NOT FOUND",INDEX('All Song Rankings'!$A:$A,F3312))</f>
        <v>Pepas</v>
      </c>
      <c r="H3312" s="6" t="str">
        <f aca="false">IF(F3312=0,"NOT FOUND",INDEX('All Song Rankings'!$B:$B,F3312))</f>
        <v>Farruko</v>
      </c>
      <c r="I3312" s="6" t="str">
        <f aca="false">IF(F3312=0,"NOT FOUND",INDEX('All Song Rankings'!$D:$D,F3312))</f>
        <v>Leah</v>
      </c>
      <c r="J3312" s="7" t="str">
        <f aca="false">IF(F3312=0,"NOT FOUND",IF(C3312=I3312,"SELF-VOTE",IF(COUNTIF($K:$K,K3312)&gt;1,"DUPLICATE","OK")))</f>
        <v>OK</v>
      </c>
      <c r="K3312" s="6" t="str">
        <f aca="false">A3312&amp;"|"&amp;B3312&amp;"|"&amp;C3312&amp;"|"&amp;D3312</f>
        <v>5|7|Kelsey|spotify:track:5fwSHlTEWpluwOM0Sxnh5k</v>
      </c>
    </row>
    <row r="3313" customFormat="false" ht="15" hidden="false" customHeight="false" outlineLevel="0" collapsed="false">
      <c r="A3313" s="5" t="n">
        <v>5</v>
      </c>
      <c r="B3313" s="5" t="n">
        <v>7</v>
      </c>
      <c r="C3313" s="5" t="s">
        <v>85</v>
      </c>
      <c r="D3313" s="5" t="s">
        <v>1614</v>
      </c>
      <c r="E3313" s="5" t="n">
        <v>1</v>
      </c>
      <c r="F3313" s="6" t="n">
        <f aca="false">IFERROR(MATCH(A3313&amp;"|"&amp;B3313&amp;"|"&amp;D3313,'All Song Rankings'!$T:$T,0),0)</f>
        <v>521</v>
      </c>
      <c r="G3313" s="6" t="str">
        <f aca="false">IF(F3313=0,"NOT FOUND",INDEX('All Song Rankings'!$A:$A,F3313))</f>
        <v>Como La Flor</v>
      </c>
      <c r="H3313" s="6" t="str">
        <f aca="false">IF(F3313=0,"NOT FOUND",INDEX('All Song Rankings'!$B:$B,F3313))</f>
        <v>Selena</v>
      </c>
      <c r="I3313" s="6" t="str">
        <f aca="false">IF(F3313=0,"NOT FOUND",INDEX('All Song Rankings'!$D:$D,F3313))</f>
        <v>Logan</v>
      </c>
      <c r="J3313" s="7" t="str">
        <f aca="false">IF(F3313=0,"NOT FOUND",IF(C3313=I3313,"SELF-VOTE",IF(COUNTIF($K:$K,K3313)&gt;1,"DUPLICATE","OK")))</f>
        <v>OK</v>
      </c>
      <c r="K3313" s="6" t="str">
        <f aca="false">A3313&amp;"|"&amp;B3313&amp;"|"&amp;C3313&amp;"|"&amp;D3313</f>
        <v>5|7|Kelsey|spotify:track:5ubqSAc9LxUS2CsMHcA4kF</v>
      </c>
    </row>
    <row r="3314" customFormat="false" ht="15" hidden="false" customHeight="false" outlineLevel="0" collapsed="false">
      <c r="A3314" s="5" t="n">
        <v>5</v>
      </c>
      <c r="B3314" s="5" t="n">
        <v>7</v>
      </c>
      <c r="C3314" s="5" t="s">
        <v>85</v>
      </c>
      <c r="D3314" s="5" t="s">
        <v>1599</v>
      </c>
      <c r="E3314" s="5" t="n">
        <v>1</v>
      </c>
      <c r="F3314" s="6" t="n">
        <f aca="false">IFERROR(MATCH(A3314&amp;"|"&amp;B3314&amp;"|"&amp;D3314,'All Song Rankings'!$T:$T,0),0)</f>
        <v>516</v>
      </c>
      <c r="G3314" s="6" t="str">
        <f aca="false">IF(F3314=0,"NOT FOUND",INDEX('All Song Rankings'!$A:$A,F3314))</f>
        <v>Despacito</v>
      </c>
      <c r="H3314" s="6" t="str">
        <f aca="false">IF(F3314=0,"NOT FOUND",INDEX('All Song Rankings'!$B:$B,F3314))</f>
        <v>Luis Fonsi</v>
      </c>
      <c r="I3314" s="6" t="str">
        <f aca="false">IF(F3314=0,"NOT FOUND",INDEX('All Song Rankings'!$D:$D,F3314))</f>
        <v>Colleen</v>
      </c>
      <c r="J3314" s="7" t="str">
        <f aca="false">IF(F3314=0,"NOT FOUND",IF(C3314=I3314,"SELF-VOTE",IF(COUNTIF($K:$K,K3314)&gt;1,"DUPLICATE","OK")))</f>
        <v>OK</v>
      </c>
      <c r="K3314" s="6" t="str">
        <f aca="false">A3314&amp;"|"&amp;B3314&amp;"|"&amp;C3314&amp;"|"&amp;D3314</f>
        <v>5|7|Kelsey|spotify:track:6habFhsOp2NvshLv26DqMb</v>
      </c>
    </row>
    <row r="3315" customFormat="false" ht="15" hidden="false" customHeight="false" outlineLevel="0" collapsed="false">
      <c r="A3315" s="5" t="n">
        <v>5</v>
      </c>
      <c r="B3315" s="5" t="n">
        <v>7</v>
      </c>
      <c r="C3315" s="5" t="s">
        <v>85</v>
      </c>
      <c r="D3315" s="5" t="s">
        <v>1585</v>
      </c>
      <c r="E3315" s="5" t="n">
        <v>3</v>
      </c>
      <c r="F3315" s="6" t="n">
        <f aca="false">IFERROR(MATCH(A3315&amp;"|"&amp;B3315&amp;"|"&amp;D3315,'All Song Rankings'!$T:$T,0),0)</f>
        <v>511</v>
      </c>
      <c r="G3315" s="6" t="str">
        <f aca="false">IF(F3315=0,"NOT FOUND",INDEX('All Song Rankings'!$A:$A,F3315))</f>
        <v>Magia (feat. Sebastián Yatra)</v>
      </c>
      <c r="H3315" s="6" t="str">
        <f aca="false">IF(F3315=0,"NOT FOUND",INDEX('All Song Rankings'!$B:$B,F3315))</f>
        <v>Andrés Cepeda</v>
      </c>
      <c r="I3315" s="6" t="str">
        <f aca="false">IF(F3315=0,"NOT FOUND",INDEX('All Song Rankings'!$D:$D,F3315))</f>
        <v>Kristen</v>
      </c>
      <c r="J3315" s="7" t="str">
        <f aca="false">IF(F3315=0,"NOT FOUND",IF(C3315=I3315,"SELF-VOTE",IF(COUNTIF($K:$K,K3315)&gt;1,"DUPLICATE","OK")))</f>
        <v>OK</v>
      </c>
      <c r="K3315" s="6" t="str">
        <f aca="false">A3315&amp;"|"&amp;B3315&amp;"|"&amp;C3315&amp;"|"&amp;D3315</f>
        <v>5|7|Kelsey|spotify:track:6xAhkN7uE1qdhPa8jZwhTb</v>
      </c>
    </row>
    <row r="3316" customFormat="false" ht="15" hidden="false" customHeight="false" outlineLevel="0" collapsed="false">
      <c r="A3316" s="5" t="n">
        <v>5</v>
      </c>
      <c r="B3316" s="5" t="n">
        <v>7</v>
      </c>
      <c r="C3316" s="5" t="s">
        <v>106</v>
      </c>
      <c r="D3316" s="5" t="s">
        <v>1590</v>
      </c>
      <c r="E3316" s="5" t="n">
        <v>1</v>
      </c>
      <c r="F3316" s="6" t="n">
        <f aca="false">IFERROR(MATCH(A3316&amp;"|"&amp;B3316&amp;"|"&amp;D3316,'All Song Rankings'!$T:$T,0),0)</f>
        <v>513</v>
      </c>
      <c r="G3316" s="6" t="str">
        <f aca="false">IF(F3316=0,"NOT FOUND",INDEX('All Song Rankings'!$A:$A,F3316))</f>
        <v>Tití Me Preguntó</v>
      </c>
      <c r="H3316" s="6" t="str">
        <f aca="false">IF(F3316=0,"NOT FOUND",INDEX('All Song Rankings'!$B:$B,F3316))</f>
        <v>Bad Bunny</v>
      </c>
      <c r="I3316" s="6" t="str">
        <f aca="false">IF(F3316=0,"NOT FOUND",INDEX('All Song Rankings'!$D:$D,F3316))</f>
        <v>Makenzie</v>
      </c>
      <c r="J3316" s="7" t="str">
        <f aca="false">IF(F3316=0,"NOT FOUND",IF(C3316=I3316,"SELF-VOTE",IF(COUNTIF($K:$K,K3316)&gt;1,"DUPLICATE","OK")))</f>
        <v>OK</v>
      </c>
      <c r="K3316" s="6" t="str">
        <f aca="false">A3316&amp;"|"&amp;B3316&amp;"|"&amp;C3316&amp;"|"&amp;D3316</f>
        <v>5|7|Kristen|spotify:track:1IHWl5LamUGEuP4ozKQSXZ</v>
      </c>
    </row>
    <row r="3317" customFormat="false" ht="15" hidden="false" customHeight="false" outlineLevel="0" collapsed="false">
      <c r="A3317" s="5" t="n">
        <v>5</v>
      </c>
      <c r="B3317" s="5" t="n">
        <v>7</v>
      </c>
      <c r="C3317" s="5" t="s">
        <v>106</v>
      </c>
      <c r="D3317" s="5" t="s">
        <v>1617</v>
      </c>
      <c r="E3317" s="5" t="n">
        <v>1</v>
      </c>
      <c r="F3317" s="6" t="n">
        <f aca="false">IFERROR(MATCH(A3317&amp;"|"&amp;B3317&amp;"|"&amp;D3317,'All Song Rankings'!$T:$T,0),0)</f>
        <v>522</v>
      </c>
      <c r="G3317" s="6" t="str">
        <f aca="false">IF(F3317=0,"NOT FOUND",INDEX('All Song Rankings'!$A:$A,F3317))</f>
        <v>Y Yo Sigo Aqui - Spanglish</v>
      </c>
      <c r="H3317" s="6" t="str">
        <f aca="false">IF(F3317=0,"NOT FOUND",INDEX('All Song Rankings'!$B:$B,F3317))</f>
        <v>Paulina Rubio</v>
      </c>
      <c r="I3317" s="6" t="str">
        <f aca="false">IF(F3317=0,"NOT FOUND",INDEX('All Song Rankings'!$D:$D,F3317))</f>
        <v>Grace</v>
      </c>
      <c r="J3317" s="7" t="str">
        <f aca="false">IF(F3317=0,"NOT FOUND",IF(C3317=I3317,"SELF-VOTE",IF(COUNTIF($K:$K,K3317)&gt;1,"DUPLICATE","OK")))</f>
        <v>OK</v>
      </c>
      <c r="K3317" s="6" t="str">
        <f aca="false">A3317&amp;"|"&amp;B3317&amp;"|"&amp;C3317&amp;"|"&amp;D3317</f>
        <v>5|7|Kristen|spotify:track:2Ma2f8jV8VKMJoAcnCvZ8h</v>
      </c>
    </row>
    <row r="3318" customFormat="false" ht="15" hidden="false" customHeight="false" outlineLevel="0" collapsed="false">
      <c r="A3318" s="5" t="n">
        <v>5</v>
      </c>
      <c r="B3318" s="5" t="n">
        <v>7</v>
      </c>
      <c r="C3318" s="5" t="s">
        <v>106</v>
      </c>
      <c r="D3318" s="5" t="s">
        <v>1593</v>
      </c>
      <c r="E3318" s="5" t="n">
        <v>1</v>
      </c>
      <c r="F3318" s="6" t="n">
        <f aca="false">IFERROR(MATCH(A3318&amp;"|"&amp;B3318&amp;"|"&amp;D3318,'All Song Rankings'!$T:$T,0),0)</f>
        <v>514</v>
      </c>
      <c r="G3318" s="6" t="str">
        <f aca="false">IF(F3318=0,"NOT FOUND",INDEX('All Song Rankings'!$A:$A,F3318))</f>
        <v>Vivir Mi Vida</v>
      </c>
      <c r="H3318" s="6" t="str">
        <f aca="false">IF(F3318=0,"NOT FOUND",INDEX('All Song Rankings'!$B:$B,F3318))</f>
        <v>Marc Anthony</v>
      </c>
      <c r="I3318" s="6" t="str">
        <f aca="false">IF(F3318=0,"NOT FOUND",INDEX('All Song Rankings'!$D:$D,F3318))</f>
        <v>Aubrey</v>
      </c>
      <c r="J3318" s="7" t="str">
        <f aca="false">IF(F3318=0,"NOT FOUND",IF(C3318=I3318,"SELF-VOTE",IF(COUNTIF($K:$K,K3318)&gt;1,"DUPLICATE","OK")))</f>
        <v>OK</v>
      </c>
      <c r="K3318" s="6" t="str">
        <f aca="false">A3318&amp;"|"&amp;B3318&amp;"|"&amp;C3318&amp;"|"&amp;D3318</f>
        <v>5|7|Kristen|spotify:track:3QHMxEOAGD51PDlbFPHLyJ</v>
      </c>
    </row>
    <row r="3319" customFormat="false" ht="15" hidden="false" customHeight="false" outlineLevel="0" collapsed="false">
      <c r="A3319" s="5" t="n">
        <v>5</v>
      </c>
      <c r="B3319" s="5" t="n">
        <v>7</v>
      </c>
      <c r="C3319" s="5" t="s">
        <v>106</v>
      </c>
      <c r="D3319" s="5" t="s">
        <v>1588</v>
      </c>
      <c r="E3319" s="5" t="n">
        <v>2</v>
      </c>
      <c r="F3319" s="6" t="n">
        <f aca="false">IFERROR(MATCH(A3319&amp;"|"&amp;B3319&amp;"|"&amp;D3319,'All Song Rankings'!$T:$T,0),0)</f>
        <v>512</v>
      </c>
      <c r="G3319" s="6" t="str">
        <f aca="false">IF(F3319=0,"NOT FOUND",INDEX('All Song Rankings'!$A:$A,F3319))</f>
        <v>Time To Say Goodbye</v>
      </c>
      <c r="H3319" s="6" t="str">
        <f aca="false">IF(F3319=0,"NOT FOUND",INDEX('All Song Rankings'!$B:$B,F3319))</f>
        <v>Sarah Brightman</v>
      </c>
      <c r="I3319" s="6" t="str">
        <f aca="false">IF(F3319=0,"NOT FOUND",INDEX('All Song Rankings'!$D:$D,F3319))</f>
        <v>Lisa</v>
      </c>
      <c r="J3319" s="7" t="str">
        <f aca="false">IF(F3319=0,"NOT FOUND",IF(C3319=I3319,"SELF-VOTE",IF(COUNTIF($K:$K,K3319)&gt;1,"DUPLICATE","OK")))</f>
        <v>OK</v>
      </c>
      <c r="K3319" s="6" t="str">
        <f aca="false">A3319&amp;"|"&amp;B3319&amp;"|"&amp;C3319&amp;"|"&amp;D3319</f>
        <v>5|7|Kristen|spotify:track:3VAICuY2ax2yCLT7EhNeZE</v>
      </c>
    </row>
    <row r="3320" customFormat="false" ht="15" hidden="false" customHeight="false" outlineLevel="0" collapsed="false">
      <c r="A3320" s="5" t="n">
        <v>5</v>
      </c>
      <c r="B3320" s="5" t="n">
        <v>7</v>
      </c>
      <c r="C3320" s="5" t="s">
        <v>106</v>
      </c>
      <c r="D3320" s="5" t="s">
        <v>1602</v>
      </c>
      <c r="E3320" s="5" t="n">
        <v>1</v>
      </c>
      <c r="F3320" s="6" t="n">
        <f aca="false">IFERROR(MATCH(A3320&amp;"|"&amp;B3320&amp;"|"&amp;D3320,'All Song Rankings'!$T:$T,0),0)</f>
        <v>517</v>
      </c>
      <c r="G3320" s="6" t="str">
        <f aca="false">IF(F3320=0,"NOT FOUND",INDEX('All Song Rankings'!$A:$A,F3320))</f>
        <v>La Perla</v>
      </c>
      <c r="H3320" s="6" t="str">
        <f aca="false">IF(F3320=0,"NOT FOUND",INDEX('All Song Rankings'!$B:$B,F3320))</f>
        <v>ROSALÍA</v>
      </c>
      <c r="I3320" s="6" t="str">
        <f aca="false">IF(F3320=0,"NOT FOUND",INDEX('All Song Rankings'!$D:$D,F3320))</f>
        <v>Matt</v>
      </c>
      <c r="J3320" s="7" t="str">
        <f aca="false">IF(F3320=0,"NOT FOUND",IF(C3320=I3320,"SELF-VOTE",IF(COUNTIF($K:$K,K3320)&gt;1,"DUPLICATE","OK")))</f>
        <v>OK</v>
      </c>
      <c r="K3320" s="6" t="str">
        <f aca="false">A3320&amp;"|"&amp;B3320&amp;"|"&amp;C3320&amp;"|"&amp;D3320</f>
        <v>5|7|Kristen|spotify:track:4oVO4fGNRRvEn0CRuFO4qv</v>
      </c>
    </row>
    <row r="3321" customFormat="false" ht="15" hidden="false" customHeight="false" outlineLevel="0" collapsed="false">
      <c r="A3321" s="5" t="n">
        <v>5</v>
      </c>
      <c r="B3321" s="5" t="n">
        <v>7</v>
      </c>
      <c r="C3321" s="5" t="s">
        <v>106</v>
      </c>
      <c r="D3321" s="5" t="s">
        <v>1579</v>
      </c>
      <c r="E3321" s="5" t="n">
        <v>1</v>
      </c>
      <c r="F3321" s="6" t="n">
        <f aca="false">IFERROR(MATCH(A3321&amp;"|"&amp;B3321&amp;"|"&amp;D3321,'All Song Rankings'!$T:$T,0),0)</f>
        <v>509</v>
      </c>
      <c r="G3321" s="6" t="str">
        <f aca="false">IF(F3321=0,"NOT FOUND",INDEX('All Song Rankings'!$A:$A,F3321))</f>
        <v>Pepas</v>
      </c>
      <c r="H3321" s="6" t="str">
        <f aca="false">IF(F3321=0,"NOT FOUND",INDEX('All Song Rankings'!$B:$B,F3321))</f>
        <v>Farruko</v>
      </c>
      <c r="I3321" s="6" t="str">
        <f aca="false">IF(F3321=0,"NOT FOUND",INDEX('All Song Rankings'!$D:$D,F3321))</f>
        <v>Leah</v>
      </c>
      <c r="J3321" s="7" t="str">
        <f aca="false">IF(F3321=0,"NOT FOUND",IF(C3321=I3321,"SELF-VOTE",IF(COUNTIF($K:$K,K3321)&gt;1,"DUPLICATE","OK")))</f>
        <v>OK</v>
      </c>
      <c r="K3321" s="6" t="str">
        <f aca="false">A3321&amp;"|"&amp;B3321&amp;"|"&amp;C3321&amp;"|"&amp;D3321</f>
        <v>5|7|Kristen|spotify:track:5fwSHlTEWpluwOM0Sxnh5k</v>
      </c>
    </row>
    <row r="3322" customFormat="false" ht="15" hidden="false" customHeight="false" outlineLevel="0" collapsed="false">
      <c r="A3322" s="5" t="n">
        <v>5</v>
      </c>
      <c r="B3322" s="5" t="n">
        <v>7</v>
      </c>
      <c r="C3322" s="5" t="s">
        <v>106</v>
      </c>
      <c r="D3322" s="5" t="s">
        <v>1599</v>
      </c>
      <c r="E3322" s="5" t="n">
        <v>2</v>
      </c>
      <c r="F3322" s="6" t="n">
        <f aca="false">IFERROR(MATCH(A3322&amp;"|"&amp;B3322&amp;"|"&amp;D3322,'All Song Rankings'!$T:$T,0),0)</f>
        <v>516</v>
      </c>
      <c r="G3322" s="6" t="str">
        <f aca="false">IF(F3322=0,"NOT FOUND",INDEX('All Song Rankings'!$A:$A,F3322))</f>
        <v>Despacito</v>
      </c>
      <c r="H3322" s="6" t="str">
        <f aca="false">IF(F3322=0,"NOT FOUND",INDEX('All Song Rankings'!$B:$B,F3322))</f>
        <v>Luis Fonsi</v>
      </c>
      <c r="I3322" s="6" t="str">
        <f aca="false">IF(F3322=0,"NOT FOUND",INDEX('All Song Rankings'!$D:$D,F3322))</f>
        <v>Colleen</v>
      </c>
      <c r="J3322" s="7" t="str">
        <f aca="false">IF(F3322=0,"NOT FOUND",IF(C3322=I3322,"SELF-VOTE",IF(COUNTIF($K:$K,K3322)&gt;1,"DUPLICATE","OK")))</f>
        <v>OK</v>
      </c>
      <c r="K3322" s="6" t="str">
        <f aca="false">A3322&amp;"|"&amp;B3322&amp;"|"&amp;C3322&amp;"|"&amp;D3322</f>
        <v>5|7|Kristen|spotify:track:6habFhsOp2NvshLv26DqMb</v>
      </c>
    </row>
    <row r="3323" customFormat="false" ht="15" hidden="false" customHeight="false" outlineLevel="0" collapsed="false">
      <c r="A3323" s="5" t="n">
        <v>5</v>
      </c>
      <c r="B3323" s="5" t="n">
        <v>7</v>
      </c>
      <c r="C3323" s="5" t="s">
        <v>106</v>
      </c>
      <c r="D3323" s="5" t="s">
        <v>1611</v>
      </c>
      <c r="E3323" s="5" t="n">
        <v>1</v>
      </c>
      <c r="F3323" s="6" t="n">
        <f aca="false">IFERROR(MATCH(A3323&amp;"|"&amp;B3323&amp;"|"&amp;D3323,'All Song Rankings'!$T:$T,0),0)</f>
        <v>520</v>
      </c>
      <c r="G3323" s="6" t="str">
        <f aca="false">IF(F3323=0,"NOT FOUND",INDEX('All Song Rankings'!$A:$A,F3323))</f>
        <v>Si Antes Te Hubiera Conocido</v>
      </c>
      <c r="H3323" s="6" t="str">
        <f aca="false">IF(F3323=0,"NOT FOUND",INDEX('All Song Rankings'!$B:$B,F3323))</f>
        <v>KAROL G</v>
      </c>
      <c r="I3323" s="6" t="str">
        <f aca="false">IF(F3323=0,"NOT FOUND",INDEX('All Song Rankings'!$D:$D,F3323))</f>
        <v>Stephanie</v>
      </c>
      <c r="J3323" s="7" t="str">
        <f aca="false">IF(F3323=0,"NOT FOUND",IF(C3323=I3323,"SELF-VOTE",IF(COUNTIF($K:$K,K3323)&gt;1,"DUPLICATE","OK")))</f>
        <v>OK</v>
      </c>
      <c r="K3323" s="6" t="str">
        <f aca="false">A3323&amp;"|"&amp;B3323&amp;"|"&amp;C3323&amp;"|"&amp;D3323</f>
        <v>5|7|Kristen|spotify:track:73scB4Q4fcOmnsBVZPmk32</v>
      </c>
    </row>
    <row r="3324" customFormat="false" ht="15" hidden="false" customHeight="false" outlineLevel="0" collapsed="false">
      <c r="A3324" s="5" t="n">
        <v>5</v>
      </c>
      <c r="B3324" s="5" t="n">
        <v>7</v>
      </c>
      <c r="C3324" s="5" t="s">
        <v>119</v>
      </c>
      <c r="D3324" s="5" t="s">
        <v>1596</v>
      </c>
      <c r="E3324" s="5" t="n">
        <v>1</v>
      </c>
      <c r="F3324" s="6" t="n">
        <f aca="false">IFERROR(MATCH(A3324&amp;"|"&amp;B3324&amp;"|"&amp;D3324,'All Song Rankings'!$T:$T,0),0)</f>
        <v>515</v>
      </c>
      <c r="G3324" s="6" t="str">
        <f aca="false">IF(F3324=0,"NOT FOUND",INDEX('All Song Rankings'!$A:$A,F3324))</f>
        <v>Shinunoga E-Wa</v>
      </c>
      <c r="H3324" s="6" t="str">
        <f aca="false">IF(F3324=0,"NOT FOUND",INDEX('All Song Rankings'!$B:$B,F3324))</f>
        <v>Fujii Kaze</v>
      </c>
      <c r="I3324" s="6" t="str">
        <f aca="false">IF(F3324=0,"NOT FOUND",INDEX('All Song Rankings'!$D:$D,F3324))</f>
        <v>Merita</v>
      </c>
      <c r="J3324" s="7" t="str">
        <f aca="false">IF(F3324=0,"NOT FOUND",IF(C3324=I3324,"SELF-VOTE",IF(COUNTIF($K:$K,K3324)&gt;1,"DUPLICATE","OK")))</f>
        <v>OK</v>
      </c>
      <c r="K3324" s="6" t="str">
        <f aca="false">A3324&amp;"|"&amp;B3324&amp;"|"&amp;C3324&amp;"|"&amp;D3324</f>
        <v>5|7|Leah|spotify:track:0o9zmvc5f3EFApU52PPIyW</v>
      </c>
    </row>
    <row r="3325" customFormat="false" ht="15" hidden="false" customHeight="false" outlineLevel="0" collapsed="false">
      <c r="A3325" s="5" t="n">
        <v>5</v>
      </c>
      <c r="B3325" s="5" t="n">
        <v>7</v>
      </c>
      <c r="C3325" s="5" t="s">
        <v>119</v>
      </c>
      <c r="D3325" s="5" t="s">
        <v>1605</v>
      </c>
      <c r="E3325" s="5" t="n">
        <v>1</v>
      </c>
      <c r="F3325" s="6" t="n">
        <f aca="false">IFERROR(MATCH(A3325&amp;"|"&amp;B3325&amp;"|"&amp;D3325,'All Song Rankings'!$T:$T,0),0)</f>
        <v>518</v>
      </c>
      <c r="G3325" s="6" t="str">
        <f aca="false">IF(F3325=0,"NOT FOUND",INDEX('All Song Rankings'!$A:$A,F3325))</f>
        <v>Tu Vuo' Fa L'Americano</v>
      </c>
      <c r="H3325" s="6" t="str">
        <f aca="false">IF(F3325=0,"NOT FOUND",INDEX('All Song Rankings'!$B:$B,F3325))</f>
        <v>Renato Carosone</v>
      </c>
      <c r="I3325" s="6" t="str">
        <f aca="false">IF(F3325=0,"NOT FOUND",INDEX('All Song Rankings'!$D:$D,F3325))</f>
        <v>Scott</v>
      </c>
      <c r="J3325" s="7" t="str">
        <f aca="false">IF(F3325=0,"NOT FOUND",IF(C3325=I3325,"SELF-VOTE",IF(COUNTIF($K:$K,K3325)&gt;1,"DUPLICATE","OK")))</f>
        <v>OK</v>
      </c>
      <c r="K3325" s="6" t="str">
        <f aca="false">A3325&amp;"|"&amp;B3325&amp;"|"&amp;C3325&amp;"|"&amp;D3325</f>
        <v>5|7|Leah|spotify:track:20lTi7rRz9AjwSoL04ckPg</v>
      </c>
    </row>
    <row r="3326" customFormat="false" ht="15" hidden="false" customHeight="false" outlineLevel="0" collapsed="false">
      <c r="A3326" s="5" t="n">
        <v>5</v>
      </c>
      <c r="B3326" s="5" t="n">
        <v>7</v>
      </c>
      <c r="C3326" s="5" t="s">
        <v>119</v>
      </c>
      <c r="D3326" s="5" t="s">
        <v>1582</v>
      </c>
      <c r="E3326" s="5" t="n">
        <v>1</v>
      </c>
      <c r="F3326" s="6" t="n">
        <f aca="false">IFERROR(MATCH(A3326&amp;"|"&amp;B3326&amp;"|"&amp;D3326,'All Song Rankings'!$T:$T,0),0)</f>
        <v>510</v>
      </c>
      <c r="G3326" s="6" t="str">
        <f aca="false">IF(F3326=0,"NOT FOUND",INDEX('All Song Rankings'!$A:$A,F3326))</f>
        <v>99 Luftballons</v>
      </c>
      <c r="H3326" s="6" t="str">
        <f aca="false">IF(F3326=0,"NOT FOUND",INDEX('All Song Rankings'!$B:$B,F3326))</f>
        <v>Nena</v>
      </c>
      <c r="I3326" s="6" t="str">
        <f aca="false">IF(F3326=0,"NOT FOUND",INDEX('All Song Rankings'!$D:$D,F3326))</f>
        <v>Nicole</v>
      </c>
      <c r="J3326" s="7" t="str">
        <f aca="false">IF(F3326=0,"NOT FOUND",IF(C3326=I3326,"SELF-VOTE",IF(COUNTIF($K:$K,K3326)&gt;1,"DUPLICATE","OK")))</f>
        <v>OK</v>
      </c>
      <c r="K3326" s="6" t="str">
        <f aca="false">A3326&amp;"|"&amp;B3326&amp;"|"&amp;C3326&amp;"|"&amp;D3326</f>
        <v>5|7|Leah|spotify:track:2IJftBfq7pJ43tfnOR0RB3</v>
      </c>
    </row>
    <row r="3327" customFormat="false" ht="15" hidden="false" customHeight="false" outlineLevel="0" collapsed="false">
      <c r="A3327" s="5" t="n">
        <v>5</v>
      </c>
      <c r="B3327" s="5" t="n">
        <v>7</v>
      </c>
      <c r="C3327" s="5" t="s">
        <v>119</v>
      </c>
      <c r="D3327" s="5" t="s">
        <v>1593</v>
      </c>
      <c r="E3327" s="5" t="n">
        <v>1</v>
      </c>
      <c r="F3327" s="6" t="n">
        <f aca="false">IFERROR(MATCH(A3327&amp;"|"&amp;B3327&amp;"|"&amp;D3327,'All Song Rankings'!$T:$T,0),0)</f>
        <v>514</v>
      </c>
      <c r="G3327" s="6" t="str">
        <f aca="false">IF(F3327=0,"NOT FOUND",INDEX('All Song Rankings'!$A:$A,F3327))</f>
        <v>Vivir Mi Vida</v>
      </c>
      <c r="H3327" s="6" t="str">
        <f aca="false">IF(F3327=0,"NOT FOUND",INDEX('All Song Rankings'!$B:$B,F3327))</f>
        <v>Marc Anthony</v>
      </c>
      <c r="I3327" s="6" t="str">
        <f aca="false">IF(F3327=0,"NOT FOUND",INDEX('All Song Rankings'!$D:$D,F3327))</f>
        <v>Aubrey</v>
      </c>
      <c r="J3327" s="7" t="str">
        <f aca="false">IF(F3327=0,"NOT FOUND",IF(C3327=I3327,"SELF-VOTE",IF(COUNTIF($K:$K,K3327)&gt;1,"DUPLICATE","OK")))</f>
        <v>OK</v>
      </c>
      <c r="K3327" s="6" t="str">
        <f aca="false">A3327&amp;"|"&amp;B3327&amp;"|"&amp;C3327&amp;"|"&amp;D3327</f>
        <v>5|7|Leah|spotify:track:3QHMxEOAGD51PDlbFPHLyJ</v>
      </c>
    </row>
    <row r="3328" customFormat="false" ht="15" hidden="false" customHeight="false" outlineLevel="0" collapsed="false">
      <c r="A3328" s="5" t="n">
        <v>5</v>
      </c>
      <c r="B3328" s="5" t="n">
        <v>7</v>
      </c>
      <c r="C3328" s="5" t="s">
        <v>119</v>
      </c>
      <c r="D3328" s="5" t="s">
        <v>1608</v>
      </c>
      <c r="E3328" s="5" t="n">
        <v>1</v>
      </c>
      <c r="F3328" s="6" t="n">
        <f aca="false">IFERROR(MATCH(A3328&amp;"|"&amp;B3328&amp;"|"&amp;D3328,'All Song Rankings'!$T:$T,0),0)</f>
        <v>519</v>
      </c>
      <c r="G3328" s="6" t="str">
        <f aca="false">IF(F3328=0,"NOT FOUND",INDEX('All Song Rankings'!$A:$A,F3328))</f>
        <v>Der Kommissar</v>
      </c>
      <c r="H3328" s="6" t="str">
        <f aca="false">IF(F3328=0,"NOT FOUND",INDEX('All Song Rankings'!$B:$B,F3328))</f>
        <v>Falco</v>
      </c>
      <c r="I3328" s="6" t="str">
        <f aca="false">IF(F3328=0,"NOT FOUND",INDEX('All Song Rankings'!$D:$D,F3328))</f>
        <v>Christine</v>
      </c>
      <c r="J3328" s="7" t="str">
        <f aca="false">IF(F3328=0,"NOT FOUND",IF(C3328=I3328,"SELF-VOTE",IF(COUNTIF($K:$K,K3328)&gt;1,"DUPLICATE","OK")))</f>
        <v>OK</v>
      </c>
      <c r="K3328" s="6" t="str">
        <f aca="false">A3328&amp;"|"&amp;B3328&amp;"|"&amp;C3328&amp;"|"&amp;D3328</f>
        <v>5|7|Leah|spotify:track:3TBRJsLCcwroEkA3tD4u2N</v>
      </c>
    </row>
    <row r="3329" customFormat="false" ht="15" hidden="false" customHeight="false" outlineLevel="0" collapsed="false">
      <c r="A3329" s="5" t="n">
        <v>5</v>
      </c>
      <c r="B3329" s="5" t="n">
        <v>7</v>
      </c>
      <c r="C3329" s="5" t="s">
        <v>119</v>
      </c>
      <c r="D3329" s="5" t="s">
        <v>1602</v>
      </c>
      <c r="E3329" s="5" t="n">
        <v>1</v>
      </c>
      <c r="F3329" s="6" t="n">
        <f aca="false">IFERROR(MATCH(A3329&amp;"|"&amp;B3329&amp;"|"&amp;D3329,'All Song Rankings'!$T:$T,0),0)</f>
        <v>517</v>
      </c>
      <c r="G3329" s="6" t="str">
        <f aca="false">IF(F3329=0,"NOT FOUND",INDEX('All Song Rankings'!$A:$A,F3329))</f>
        <v>La Perla</v>
      </c>
      <c r="H3329" s="6" t="str">
        <f aca="false">IF(F3329=0,"NOT FOUND",INDEX('All Song Rankings'!$B:$B,F3329))</f>
        <v>ROSALÍA</v>
      </c>
      <c r="I3329" s="6" t="str">
        <f aca="false">IF(F3329=0,"NOT FOUND",INDEX('All Song Rankings'!$D:$D,F3329))</f>
        <v>Matt</v>
      </c>
      <c r="J3329" s="7" t="str">
        <f aca="false">IF(F3329=0,"NOT FOUND",IF(C3329=I3329,"SELF-VOTE",IF(COUNTIF($K:$K,K3329)&gt;1,"DUPLICATE","OK")))</f>
        <v>OK</v>
      </c>
      <c r="K3329" s="6" t="str">
        <f aca="false">A3329&amp;"|"&amp;B3329&amp;"|"&amp;C3329&amp;"|"&amp;D3329</f>
        <v>5|7|Leah|spotify:track:4oVO4fGNRRvEn0CRuFO4qv</v>
      </c>
    </row>
    <row r="3330" customFormat="false" ht="15" hidden="false" customHeight="false" outlineLevel="0" collapsed="false">
      <c r="A3330" s="5" t="n">
        <v>5</v>
      </c>
      <c r="B3330" s="5" t="n">
        <v>7</v>
      </c>
      <c r="C3330" s="5" t="s">
        <v>119</v>
      </c>
      <c r="D3330" s="5" t="s">
        <v>1576</v>
      </c>
      <c r="E3330" s="5" t="n">
        <v>1</v>
      </c>
      <c r="F3330" s="6" t="n">
        <f aca="false">IFERROR(MATCH(A3330&amp;"|"&amp;B3330&amp;"|"&amp;D3330,'All Song Rankings'!$T:$T,0),0)</f>
        <v>508</v>
      </c>
      <c r="G3330" s="6" t="str">
        <f aca="false">IF(F3330=0,"NOT FOUND",INDEX('All Song Rankings'!$A:$A,F3330))</f>
        <v>C'est la vie</v>
      </c>
      <c r="H3330" s="6" t="str">
        <f aca="false">IF(F3330=0,"NOT FOUND",INDEX('All Song Rankings'!$B:$B,F3330))</f>
        <v>Khaled</v>
      </c>
      <c r="I3330" s="6" t="str">
        <f aca="false">IF(F3330=0,"NOT FOUND",INDEX('All Song Rankings'!$D:$D,F3330))</f>
        <v>Kelsey</v>
      </c>
      <c r="J3330" s="7" t="str">
        <f aca="false">IF(F3330=0,"NOT FOUND",IF(C3330=I3330,"SELF-VOTE",IF(COUNTIF($K:$K,K3330)&gt;1,"DUPLICATE","OK")))</f>
        <v>OK</v>
      </c>
      <c r="K3330" s="6" t="str">
        <f aca="false">A3330&amp;"|"&amp;B3330&amp;"|"&amp;C3330&amp;"|"&amp;D3330</f>
        <v>5|7|Leah|spotify:track:6KGHsN5QI0qunsADx3e51i</v>
      </c>
    </row>
    <row r="3331" customFormat="false" ht="15" hidden="false" customHeight="false" outlineLevel="0" collapsed="false">
      <c r="A3331" s="5" t="n">
        <v>5</v>
      </c>
      <c r="B3331" s="5" t="n">
        <v>7</v>
      </c>
      <c r="C3331" s="5" t="s">
        <v>119</v>
      </c>
      <c r="D3331" s="5" t="s">
        <v>1599</v>
      </c>
      <c r="E3331" s="5" t="n">
        <v>1</v>
      </c>
      <c r="F3331" s="6" t="n">
        <f aca="false">IFERROR(MATCH(A3331&amp;"|"&amp;B3331&amp;"|"&amp;D3331,'All Song Rankings'!$T:$T,0),0)</f>
        <v>516</v>
      </c>
      <c r="G3331" s="6" t="str">
        <f aca="false">IF(F3331=0,"NOT FOUND",INDEX('All Song Rankings'!$A:$A,F3331))</f>
        <v>Despacito</v>
      </c>
      <c r="H3331" s="6" t="str">
        <f aca="false">IF(F3331=0,"NOT FOUND",INDEX('All Song Rankings'!$B:$B,F3331))</f>
        <v>Luis Fonsi</v>
      </c>
      <c r="I3331" s="6" t="str">
        <f aca="false">IF(F3331=0,"NOT FOUND",INDEX('All Song Rankings'!$D:$D,F3331))</f>
        <v>Colleen</v>
      </c>
      <c r="J3331" s="7" t="str">
        <f aca="false">IF(F3331=0,"NOT FOUND",IF(C3331=I3331,"SELF-VOTE",IF(COUNTIF($K:$K,K3331)&gt;1,"DUPLICATE","OK")))</f>
        <v>OK</v>
      </c>
      <c r="K3331" s="6" t="str">
        <f aca="false">A3331&amp;"|"&amp;B3331&amp;"|"&amp;C3331&amp;"|"&amp;D3331</f>
        <v>5|7|Leah|spotify:track:6habFhsOp2NvshLv26DqMb</v>
      </c>
    </row>
    <row r="3332" customFormat="false" ht="15" hidden="false" customHeight="false" outlineLevel="0" collapsed="false">
      <c r="A3332" s="5" t="n">
        <v>5</v>
      </c>
      <c r="B3332" s="5" t="n">
        <v>7</v>
      </c>
      <c r="C3332" s="5" t="s">
        <v>119</v>
      </c>
      <c r="D3332" s="5" t="s">
        <v>1585</v>
      </c>
      <c r="E3332" s="5" t="n">
        <v>2</v>
      </c>
      <c r="F3332" s="6" t="n">
        <f aca="false">IFERROR(MATCH(A3332&amp;"|"&amp;B3332&amp;"|"&amp;D3332,'All Song Rankings'!$T:$T,0),0)</f>
        <v>511</v>
      </c>
      <c r="G3332" s="6" t="str">
        <f aca="false">IF(F3332=0,"NOT FOUND",INDEX('All Song Rankings'!$A:$A,F3332))</f>
        <v>Magia (feat. Sebastián Yatra)</v>
      </c>
      <c r="H3332" s="6" t="str">
        <f aca="false">IF(F3332=0,"NOT FOUND",INDEX('All Song Rankings'!$B:$B,F3332))</f>
        <v>Andrés Cepeda</v>
      </c>
      <c r="I3332" s="6" t="str">
        <f aca="false">IF(F3332=0,"NOT FOUND",INDEX('All Song Rankings'!$D:$D,F3332))</f>
        <v>Kristen</v>
      </c>
      <c r="J3332" s="7" t="str">
        <f aca="false">IF(F3332=0,"NOT FOUND",IF(C3332=I3332,"SELF-VOTE",IF(COUNTIF($K:$K,K3332)&gt;1,"DUPLICATE","OK")))</f>
        <v>OK</v>
      </c>
      <c r="K3332" s="6" t="str">
        <f aca="false">A3332&amp;"|"&amp;B3332&amp;"|"&amp;C3332&amp;"|"&amp;D3332</f>
        <v>5|7|Leah|spotify:track:6xAhkN7uE1qdhPa8jZwhTb</v>
      </c>
    </row>
    <row r="3333" customFormat="false" ht="15" hidden="false" customHeight="false" outlineLevel="0" collapsed="false">
      <c r="A3333" s="5" t="n">
        <v>5</v>
      </c>
      <c r="B3333" s="5" t="n">
        <v>7</v>
      </c>
      <c r="C3333" s="5" t="s">
        <v>705</v>
      </c>
      <c r="D3333" s="5" t="s">
        <v>1582</v>
      </c>
      <c r="E3333" s="5" t="n">
        <v>2</v>
      </c>
      <c r="F3333" s="6" t="n">
        <f aca="false">IFERROR(MATCH(A3333&amp;"|"&amp;B3333&amp;"|"&amp;D3333,'All Song Rankings'!$T:$T,0),0)</f>
        <v>510</v>
      </c>
      <c r="G3333" s="6" t="str">
        <f aca="false">IF(F3333=0,"NOT FOUND",INDEX('All Song Rankings'!$A:$A,F3333))</f>
        <v>99 Luftballons</v>
      </c>
      <c r="H3333" s="6" t="str">
        <f aca="false">IF(F3333=0,"NOT FOUND",INDEX('All Song Rankings'!$B:$B,F3333))</f>
        <v>Nena</v>
      </c>
      <c r="I3333" s="6" t="str">
        <f aca="false">IF(F3333=0,"NOT FOUND",INDEX('All Song Rankings'!$D:$D,F3333))</f>
        <v>Nicole</v>
      </c>
      <c r="J3333" s="7" t="str">
        <f aca="false">IF(F3333=0,"NOT FOUND",IF(C3333=I3333,"SELF-VOTE",IF(COUNTIF($K:$K,K3333)&gt;1,"DUPLICATE","OK")))</f>
        <v>OK</v>
      </c>
      <c r="K3333" s="6" t="str">
        <f aca="false">A3333&amp;"|"&amp;B3333&amp;"|"&amp;C3333&amp;"|"&amp;D3333</f>
        <v>5|7|Lisa|spotify:track:2IJftBfq7pJ43tfnOR0RB3</v>
      </c>
    </row>
    <row r="3334" customFormat="false" ht="15" hidden="false" customHeight="false" outlineLevel="0" collapsed="false">
      <c r="A3334" s="5" t="n">
        <v>5</v>
      </c>
      <c r="B3334" s="5" t="n">
        <v>7</v>
      </c>
      <c r="C3334" s="5" t="s">
        <v>705</v>
      </c>
      <c r="D3334" s="5" t="s">
        <v>1593</v>
      </c>
      <c r="E3334" s="5" t="n">
        <v>1</v>
      </c>
      <c r="F3334" s="6" t="n">
        <f aca="false">IFERROR(MATCH(A3334&amp;"|"&amp;B3334&amp;"|"&amp;D3334,'All Song Rankings'!$T:$T,0),0)</f>
        <v>514</v>
      </c>
      <c r="G3334" s="6" t="str">
        <f aca="false">IF(F3334=0,"NOT FOUND",INDEX('All Song Rankings'!$A:$A,F3334))</f>
        <v>Vivir Mi Vida</v>
      </c>
      <c r="H3334" s="6" t="str">
        <f aca="false">IF(F3334=0,"NOT FOUND",INDEX('All Song Rankings'!$B:$B,F3334))</f>
        <v>Marc Anthony</v>
      </c>
      <c r="I3334" s="6" t="str">
        <f aca="false">IF(F3334=0,"NOT FOUND",INDEX('All Song Rankings'!$D:$D,F3334))</f>
        <v>Aubrey</v>
      </c>
      <c r="J3334" s="7" t="str">
        <f aca="false">IF(F3334=0,"NOT FOUND",IF(C3334=I3334,"SELF-VOTE",IF(COUNTIF($K:$K,K3334)&gt;1,"DUPLICATE","OK")))</f>
        <v>OK</v>
      </c>
      <c r="K3334" s="6" t="str">
        <f aca="false">A3334&amp;"|"&amp;B3334&amp;"|"&amp;C3334&amp;"|"&amp;D3334</f>
        <v>5|7|Lisa|spotify:track:3QHMxEOAGD51PDlbFPHLyJ</v>
      </c>
    </row>
    <row r="3335" customFormat="false" ht="15" hidden="false" customHeight="false" outlineLevel="0" collapsed="false">
      <c r="A3335" s="5" t="n">
        <v>5</v>
      </c>
      <c r="B3335" s="5" t="n">
        <v>7</v>
      </c>
      <c r="C3335" s="5" t="s">
        <v>705</v>
      </c>
      <c r="D3335" s="5" t="s">
        <v>1608</v>
      </c>
      <c r="E3335" s="5" t="n">
        <v>1</v>
      </c>
      <c r="F3335" s="6" t="n">
        <f aca="false">IFERROR(MATCH(A3335&amp;"|"&amp;B3335&amp;"|"&amp;D3335,'All Song Rankings'!$T:$T,0),0)</f>
        <v>519</v>
      </c>
      <c r="G3335" s="6" t="str">
        <f aca="false">IF(F3335=0,"NOT FOUND",INDEX('All Song Rankings'!$A:$A,F3335))</f>
        <v>Der Kommissar</v>
      </c>
      <c r="H3335" s="6" t="str">
        <f aca="false">IF(F3335=0,"NOT FOUND",INDEX('All Song Rankings'!$B:$B,F3335))</f>
        <v>Falco</v>
      </c>
      <c r="I3335" s="6" t="str">
        <f aca="false">IF(F3335=0,"NOT FOUND",INDEX('All Song Rankings'!$D:$D,F3335))</f>
        <v>Christine</v>
      </c>
      <c r="J3335" s="7" t="str">
        <f aca="false">IF(F3335=0,"NOT FOUND",IF(C3335=I3335,"SELF-VOTE",IF(COUNTIF($K:$K,K3335)&gt;1,"DUPLICATE","OK")))</f>
        <v>OK</v>
      </c>
      <c r="K3335" s="6" t="str">
        <f aca="false">A3335&amp;"|"&amp;B3335&amp;"|"&amp;C3335&amp;"|"&amp;D3335</f>
        <v>5|7|Lisa|spotify:track:3TBRJsLCcwroEkA3tD4u2N</v>
      </c>
    </row>
    <row r="3336" customFormat="false" ht="15" hidden="false" customHeight="false" outlineLevel="0" collapsed="false">
      <c r="A3336" s="5" t="n">
        <v>5</v>
      </c>
      <c r="B3336" s="5" t="n">
        <v>7</v>
      </c>
      <c r="C3336" s="5" t="s">
        <v>705</v>
      </c>
      <c r="D3336" s="5" t="s">
        <v>1602</v>
      </c>
      <c r="E3336" s="5" t="n">
        <v>1</v>
      </c>
      <c r="F3336" s="6" t="n">
        <f aca="false">IFERROR(MATCH(A3336&amp;"|"&amp;B3336&amp;"|"&amp;D3336,'All Song Rankings'!$T:$T,0),0)</f>
        <v>517</v>
      </c>
      <c r="G3336" s="6" t="str">
        <f aca="false">IF(F3336=0,"NOT FOUND",INDEX('All Song Rankings'!$A:$A,F3336))</f>
        <v>La Perla</v>
      </c>
      <c r="H3336" s="6" t="str">
        <f aca="false">IF(F3336=0,"NOT FOUND",INDEX('All Song Rankings'!$B:$B,F3336))</f>
        <v>ROSALÍA</v>
      </c>
      <c r="I3336" s="6" t="str">
        <f aca="false">IF(F3336=0,"NOT FOUND",INDEX('All Song Rankings'!$D:$D,F3336))</f>
        <v>Matt</v>
      </c>
      <c r="J3336" s="7" t="str">
        <f aca="false">IF(F3336=0,"NOT FOUND",IF(C3336=I3336,"SELF-VOTE",IF(COUNTIF($K:$K,K3336)&gt;1,"DUPLICATE","OK")))</f>
        <v>OK</v>
      </c>
      <c r="K3336" s="6" t="str">
        <f aca="false">A3336&amp;"|"&amp;B3336&amp;"|"&amp;C3336&amp;"|"&amp;D3336</f>
        <v>5|7|Lisa|spotify:track:4oVO4fGNRRvEn0CRuFO4qv</v>
      </c>
    </row>
    <row r="3337" customFormat="false" ht="15" hidden="false" customHeight="false" outlineLevel="0" collapsed="false">
      <c r="A3337" s="5" t="n">
        <v>5</v>
      </c>
      <c r="B3337" s="5" t="n">
        <v>7</v>
      </c>
      <c r="C3337" s="5" t="s">
        <v>705</v>
      </c>
      <c r="D3337" s="5" t="s">
        <v>1579</v>
      </c>
      <c r="E3337" s="5" t="n">
        <v>2</v>
      </c>
      <c r="F3337" s="6" t="n">
        <f aca="false">IFERROR(MATCH(A3337&amp;"|"&amp;B3337&amp;"|"&amp;D3337,'All Song Rankings'!$T:$T,0),0)</f>
        <v>509</v>
      </c>
      <c r="G3337" s="6" t="str">
        <f aca="false">IF(F3337=0,"NOT FOUND",INDEX('All Song Rankings'!$A:$A,F3337))</f>
        <v>Pepas</v>
      </c>
      <c r="H3337" s="6" t="str">
        <f aca="false">IF(F3337=0,"NOT FOUND",INDEX('All Song Rankings'!$B:$B,F3337))</f>
        <v>Farruko</v>
      </c>
      <c r="I3337" s="6" t="str">
        <f aca="false">IF(F3337=0,"NOT FOUND",INDEX('All Song Rankings'!$D:$D,F3337))</f>
        <v>Leah</v>
      </c>
      <c r="J3337" s="7" t="str">
        <f aca="false">IF(F3337=0,"NOT FOUND",IF(C3337=I3337,"SELF-VOTE",IF(COUNTIF($K:$K,K3337)&gt;1,"DUPLICATE","OK")))</f>
        <v>OK</v>
      </c>
      <c r="K3337" s="6" t="str">
        <f aca="false">A3337&amp;"|"&amp;B3337&amp;"|"&amp;C3337&amp;"|"&amp;D3337</f>
        <v>5|7|Lisa|spotify:track:5fwSHlTEWpluwOM0Sxnh5k</v>
      </c>
    </row>
    <row r="3338" customFormat="false" ht="15" hidden="false" customHeight="false" outlineLevel="0" collapsed="false">
      <c r="A3338" s="5" t="n">
        <v>5</v>
      </c>
      <c r="B3338" s="5" t="n">
        <v>7</v>
      </c>
      <c r="C3338" s="5" t="s">
        <v>705</v>
      </c>
      <c r="D3338" s="5" t="s">
        <v>1576</v>
      </c>
      <c r="E3338" s="5" t="n">
        <v>2</v>
      </c>
      <c r="F3338" s="6" t="n">
        <f aca="false">IFERROR(MATCH(A3338&amp;"|"&amp;B3338&amp;"|"&amp;D3338,'All Song Rankings'!$T:$T,0),0)</f>
        <v>508</v>
      </c>
      <c r="G3338" s="6" t="str">
        <f aca="false">IF(F3338=0,"NOT FOUND",INDEX('All Song Rankings'!$A:$A,F3338))</f>
        <v>C'est la vie</v>
      </c>
      <c r="H3338" s="6" t="str">
        <f aca="false">IF(F3338=0,"NOT FOUND",INDEX('All Song Rankings'!$B:$B,F3338))</f>
        <v>Khaled</v>
      </c>
      <c r="I3338" s="6" t="str">
        <f aca="false">IF(F3338=0,"NOT FOUND",INDEX('All Song Rankings'!$D:$D,F3338))</f>
        <v>Kelsey</v>
      </c>
      <c r="J3338" s="7" t="str">
        <f aca="false">IF(F3338=0,"NOT FOUND",IF(C3338=I3338,"SELF-VOTE",IF(COUNTIF($K:$K,K3338)&gt;1,"DUPLICATE","OK")))</f>
        <v>OK</v>
      </c>
      <c r="K3338" s="6" t="str">
        <f aca="false">A3338&amp;"|"&amp;B3338&amp;"|"&amp;C3338&amp;"|"&amp;D3338</f>
        <v>5|7|Lisa|spotify:track:6KGHsN5QI0qunsADx3e51i</v>
      </c>
    </row>
    <row r="3339" customFormat="false" ht="15" hidden="false" customHeight="false" outlineLevel="0" collapsed="false">
      <c r="A3339" s="5" t="n">
        <v>5</v>
      </c>
      <c r="B3339" s="5" t="n">
        <v>7</v>
      </c>
      <c r="C3339" s="5" t="s">
        <v>705</v>
      </c>
      <c r="D3339" s="5" t="s">
        <v>1585</v>
      </c>
      <c r="E3339" s="5" t="n">
        <v>1</v>
      </c>
      <c r="F3339" s="6" t="n">
        <f aca="false">IFERROR(MATCH(A3339&amp;"|"&amp;B3339&amp;"|"&amp;D3339,'All Song Rankings'!$T:$T,0),0)</f>
        <v>511</v>
      </c>
      <c r="G3339" s="6" t="str">
        <f aca="false">IF(F3339=0,"NOT FOUND",INDEX('All Song Rankings'!$A:$A,F3339))</f>
        <v>Magia (feat. Sebastián Yatra)</v>
      </c>
      <c r="H3339" s="6" t="str">
        <f aca="false">IF(F3339=0,"NOT FOUND",INDEX('All Song Rankings'!$B:$B,F3339))</f>
        <v>Andrés Cepeda</v>
      </c>
      <c r="I3339" s="6" t="str">
        <f aca="false">IF(F3339=0,"NOT FOUND",INDEX('All Song Rankings'!$D:$D,F3339))</f>
        <v>Kristen</v>
      </c>
      <c r="J3339" s="7" t="str">
        <f aca="false">IF(F3339=0,"NOT FOUND",IF(C3339=I3339,"SELF-VOTE",IF(COUNTIF($K:$K,K3339)&gt;1,"DUPLICATE","OK")))</f>
        <v>OK</v>
      </c>
      <c r="K3339" s="6" t="str">
        <f aca="false">A3339&amp;"|"&amp;B3339&amp;"|"&amp;C3339&amp;"|"&amp;D3339</f>
        <v>5|7|Lisa|spotify:track:6xAhkN7uE1qdhPa8jZwhTb</v>
      </c>
    </row>
    <row r="3340" customFormat="false" ht="15" hidden="false" customHeight="false" outlineLevel="0" collapsed="false">
      <c r="A3340" s="5" t="n">
        <v>5</v>
      </c>
      <c r="B3340" s="5" t="n">
        <v>7</v>
      </c>
      <c r="C3340" s="5" t="s">
        <v>128</v>
      </c>
      <c r="D3340" s="5" t="s">
        <v>1596</v>
      </c>
      <c r="E3340" s="5" t="n">
        <v>1</v>
      </c>
      <c r="F3340" s="6" t="n">
        <f aca="false">IFERROR(MATCH(A3340&amp;"|"&amp;B3340&amp;"|"&amp;D3340,'All Song Rankings'!$T:$T,0),0)</f>
        <v>515</v>
      </c>
      <c r="G3340" s="6" t="str">
        <f aca="false">IF(F3340=0,"NOT FOUND",INDEX('All Song Rankings'!$A:$A,F3340))</f>
        <v>Shinunoga E-Wa</v>
      </c>
      <c r="H3340" s="6" t="str">
        <f aca="false">IF(F3340=0,"NOT FOUND",INDEX('All Song Rankings'!$B:$B,F3340))</f>
        <v>Fujii Kaze</v>
      </c>
      <c r="I3340" s="6" t="str">
        <f aca="false">IF(F3340=0,"NOT FOUND",INDEX('All Song Rankings'!$D:$D,F3340))</f>
        <v>Merita</v>
      </c>
      <c r="J3340" s="7" t="str">
        <f aca="false">IF(F3340=0,"NOT FOUND",IF(C3340=I3340,"SELF-VOTE",IF(COUNTIF($K:$K,K3340)&gt;1,"DUPLICATE","OK")))</f>
        <v>OK</v>
      </c>
      <c r="K3340" s="6" t="str">
        <f aca="false">A3340&amp;"|"&amp;B3340&amp;"|"&amp;C3340&amp;"|"&amp;D3340</f>
        <v>5|7|Logan|spotify:track:0o9zmvc5f3EFApU52PPIyW</v>
      </c>
    </row>
    <row r="3341" customFormat="false" ht="15" hidden="false" customHeight="false" outlineLevel="0" collapsed="false">
      <c r="A3341" s="5" t="n">
        <v>5</v>
      </c>
      <c r="B3341" s="5" t="n">
        <v>7</v>
      </c>
      <c r="C3341" s="5" t="s">
        <v>128</v>
      </c>
      <c r="D3341" s="5" t="s">
        <v>1605</v>
      </c>
      <c r="E3341" s="5" t="n">
        <v>1</v>
      </c>
      <c r="F3341" s="6" t="n">
        <f aca="false">IFERROR(MATCH(A3341&amp;"|"&amp;B3341&amp;"|"&amp;D3341,'All Song Rankings'!$T:$T,0),0)</f>
        <v>518</v>
      </c>
      <c r="G3341" s="6" t="str">
        <f aca="false">IF(F3341=0,"NOT FOUND",INDEX('All Song Rankings'!$A:$A,F3341))</f>
        <v>Tu Vuo' Fa L'Americano</v>
      </c>
      <c r="H3341" s="6" t="str">
        <f aca="false">IF(F3341=0,"NOT FOUND",INDEX('All Song Rankings'!$B:$B,F3341))</f>
        <v>Renato Carosone</v>
      </c>
      <c r="I3341" s="6" t="str">
        <f aca="false">IF(F3341=0,"NOT FOUND",INDEX('All Song Rankings'!$D:$D,F3341))</f>
        <v>Scott</v>
      </c>
      <c r="J3341" s="7" t="str">
        <f aca="false">IF(F3341=0,"NOT FOUND",IF(C3341=I3341,"SELF-VOTE",IF(COUNTIF($K:$K,K3341)&gt;1,"DUPLICATE","OK")))</f>
        <v>OK</v>
      </c>
      <c r="K3341" s="6" t="str">
        <f aca="false">A3341&amp;"|"&amp;B3341&amp;"|"&amp;C3341&amp;"|"&amp;D3341</f>
        <v>5|7|Logan|spotify:track:20lTi7rRz9AjwSoL04ckPg</v>
      </c>
    </row>
    <row r="3342" customFormat="false" ht="15" hidden="false" customHeight="false" outlineLevel="0" collapsed="false">
      <c r="A3342" s="5" t="n">
        <v>5</v>
      </c>
      <c r="B3342" s="5" t="n">
        <v>7</v>
      </c>
      <c r="C3342" s="5" t="s">
        <v>128</v>
      </c>
      <c r="D3342" s="5" t="s">
        <v>1617</v>
      </c>
      <c r="E3342" s="5" t="n">
        <v>1</v>
      </c>
      <c r="F3342" s="6" t="n">
        <f aca="false">IFERROR(MATCH(A3342&amp;"|"&amp;B3342&amp;"|"&amp;D3342,'All Song Rankings'!$T:$T,0),0)</f>
        <v>522</v>
      </c>
      <c r="G3342" s="6" t="str">
        <f aca="false">IF(F3342=0,"NOT FOUND",INDEX('All Song Rankings'!$A:$A,F3342))</f>
        <v>Y Yo Sigo Aqui - Spanglish</v>
      </c>
      <c r="H3342" s="6" t="str">
        <f aca="false">IF(F3342=0,"NOT FOUND",INDEX('All Song Rankings'!$B:$B,F3342))</f>
        <v>Paulina Rubio</v>
      </c>
      <c r="I3342" s="6" t="str">
        <f aca="false">IF(F3342=0,"NOT FOUND",INDEX('All Song Rankings'!$D:$D,F3342))</f>
        <v>Grace</v>
      </c>
      <c r="J3342" s="7" t="str">
        <f aca="false">IF(F3342=0,"NOT FOUND",IF(C3342=I3342,"SELF-VOTE",IF(COUNTIF($K:$K,K3342)&gt;1,"DUPLICATE","OK")))</f>
        <v>OK</v>
      </c>
      <c r="K3342" s="6" t="str">
        <f aca="false">A3342&amp;"|"&amp;B3342&amp;"|"&amp;C3342&amp;"|"&amp;D3342</f>
        <v>5|7|Logan|spotify:track:2Ma2f8jV8VKMJoAcnCvZ8h</v>
      </c>
    </row>
    <row r="3343" customFormat="false" ht="15" hidden="false" customHeight="false" outlineLevel="0" collapsed="false">
      <c r="A3343" s="5" t="n">
        <v>5</v>
      </c>
      <c r="B3343" s="5" t="n">
        <v>7</v>
      </c>
      <c r="C3343" s="5" t="s">
        <v>128</v>
      </c>
      <c r="D3343" s="5" t="s">
        <v>1608</v>
      </c>
      <c r="E3343" s="5" t="n">
        <v>1</v>
      </c>
      <c r="F3343" s="6" t="n">
        <f aca="false">IFERROR(MATCH(A3343&amp;"|"&amp;B3343&amp;"|"&amp;D3343,'All Song Rankings'!$T:$T,0),0)</f>
        <v>519</v>
      </c>
      <c r="G3343" s="6" t="str">
        <f aca="false">IF(F3343=0,"NOT FOUND",INDEX('All Song Rankings'!$A:$A,F3343))</f>
        <v>Der Kommissar</v>
      </c>
      <c r="H3343" s="6" t="str">
        <f aca="false">IF(F3343=0,"NOT FOUND",INDEX('All Song Rankings'!$B:$B,F3343))</f>
        <v>Falco</v>
      </c>
      <c r="I3343" s="6" t="str">
        <f aca="false">IF(F3343=0,"NOT FOUND",INDEX('All Song Rankings'!$D:$D,F3343))</f>
        <v>Christine</v>
      </c>
      <c r="J3343" s="7" t="str">
        <f aca="false">IF(F3343=0,"NOT FOUND",IF(C3343=I3343,"SELF-VOTE",IF(COUNTIF($K:$K,K3343)&gt;1,"DUPLICATE","OK")))</f>
        <v>OK</v>
      </c>
      <c r="K3343" s="6" t="str">
        <f aca="false">A3343&amp;"|"&amp;B3343&amp;"|"&amp;C3343&amp;"|"&amp;D3343</f>
        <v>5|7|Logan|spotify:track:3TBRJsLCcwroEkA3tD4u2N</v>
      </c>
    </row>
    <row r="3344" customFormat="false" ht="15" hidden="false" customHeight="false" outlineLevel="0" collapsed="false">
      <c r="A3344" s="5" t="n">
        <v>5</v>
      </c>
      <c r="B3344" s="5" t="n">
        <v>7</v>
      </c>
      <c r="C3344" s="5" t="s">
        <v>128</v>
      </c>
      <c r="D3344" s="5" t="s">
        <v>1588</v>
      </c>
      <c r="E3344" s="5" t="n">
        <v>1</v>
      </c>
      <c r="F3344" s="6" t="n">
        <f aca="false">IFERROR(MATCH(A3344&amp;"|"&amp;B3344&amp;"|"&amp;D3344,'All Song Rankings'!$T:$T,0),0)</f>
        <v>512</v>
      </c>
      <c r="G3344" s="6" t="str">
        <f aca="false">IF(F3344=0,"NOT FOUND",INDEX('All Song Rankings'!$A:$A,F3344))</f>
        <v>Time To Say Goodbye</v>
      </c>
      <c r="H3344" s="6" t="str">
        <f aca="false">IF(F3344=0,"NOT FOUND",INDEX('All Song Rankings'!$B:$B,F3344))</f>
        <v>Sarah Brightman</v>
      </c>
      <c r="I3344" s="6" t="str">
        <f aca="false">IF(F3344=0,"NOT FOUND",INDEX('All Song Rankings'!$D:$D,F3344))</f>
        <v>Lisa</v>
      </c>
      <c r="J3344" s="7" t="str">
        <f aca="false">IF(F3344=0,"NOT FOUND",IF(C3344=I3344,"SELF-VOTE",IF(COUNTIF($K:$K,K3344)&gt;1,"DUPLICATE","OK")))</f>
        <v>OK</v>
      </c>
      <c r="K3344" s="6" t="str">
        <f aca="false">A3344&amp;"|"&amp;B3344&amp;"|"&amp;C3344&amp;"|"&amp;D3344</f>
        <v>5|7|Logan|spotify:track:3VAICuY2ax2yCLT7EhNeZE</v>
      </c>
    </row>
    <row r="3345" customFormat="false" ht="15" hidden="false" customHeight="false" outlineLevel="0" collapsed="false">
      <c r="A3345" s="5" t="n">
        <v>5</v>
      </c>
      <c r="B3345" s="5" t="n">
        <v>7</v>
      </c>
      <c r="C3345" s="5" t="s">
        <v>128</v>
      </c>
      <c r="D3345" s="5" t="s">
        <v>1576</v>
      </c>
      <c r="E3345" s="5" t="n">
        <v>1</v>
      </c>
      <c r="F3345" s="6" t="n">
        <f aca="false">IFERROR(MATCH(A3345&amp;"|"&amp;B3345&amp;"|"&amp;D3345,'All Song Rankings'!$T:$T,0),0)</f>
        <v>508</v>
      </c>
      <c r="G3345" s="6" t="str">
        <f aca="false">IF(F3345=0,"NOT FOUND",INDEX('All Song Rankings'!$A:$A,F3345))</f>
        <v>C'est la vie</v>
      </c>
      <c r="H3345" s="6" t="str">
        <f aca="false">IF(F3345=0,"NOT FOUND",INDEX('All Song Rankings'!$B:$B,F3345))</f>
        <v>Khaled</v>
      </c>
      <c r="I3345" s="6" t="str">
        <f aca="false">IF(F3345=0,"NOT FOUND",INDEX('All Song Rankings'!$D:$D,F3345))</f>
        <v>Kelsey</v>
      </c>
      <c r="J3345" s="7" t="str">
        <f aca="false">IF(F3345=0,"NOT FOUND",IF(C3345=I3345,"SELF-VOTE",IF(COUNTIF($K:$K,K3345)&gt;1,"DUPLICATE","OK")))</f>
        <v>OK</v>
      </c>
      <c r="K3345" s="6" t="str">
        <f aca="false">A3345&amp;"|"&amp;B3345&amp;"|"&amp;C3345&amp;"|"&amp;D3345</f>
        <v>5|7|Logan|spotify:track:6KGHsN5QI0qunsADx3e51i</v>
      </c>
    </row>
    <row r="3346" customFormat="false" ht="15" hidden="false" customHeight="false" outlineLevel="0" collapsed="false">
      <c r="A3346" s="5" t="n">
        <v>5</v>
      </c>
      <c r="B3346" s="5" t="n">
        <v>7</v>
      </c>
      <c r="C3346" s="5" t="s">
        <v>128</v>
      </c>
      <c r="D3346" s="5" t="s">
        <v>1599</v>
      </c>
      <c r="E3346" s="5" t="n">
        <v>1</v>
      </c>
      <c r="F3346" s="6" t="n">
        <f aca="false">IFERROR(MATCH(A3346&amp;"|"&amp;B3346&amp;"|"&amp;D3346,'All Song Rankings'!$T:$T,0),0)</f>
        <v>516</v>
      </c>
      <c r="G3346" s="6" t="str">
        <f aca="false">IF(F3346=0,"NOT FOUND",INDEX('All Song Rankings'!$A:$A,F3346))</f>
        <v>Despacito</v>
      </c>
      <c r="H3346" s="6" t="str">
        <f aca="false">IF(F3346=0,"NOT FOUND",INDEX('All Song Rankings'!$B:$B,F3346))</f>
        <v>Luis Fonsi</v>
      </c>
      <c r="I3346" s="6" t="str">
        <f aca="false">IF(F3346=0,"NOT FOUND",INDEX('All Song Rankings'!$D:$D,F3346))</f>
        <v>Colleen</v>
      </c>
      <c r="J3346" s="7" t="str">
        <f aca="false">IF(F3346=0,"NOT FOUND",IF(C3346=I3346,"SELF-VOTE",IF(COUNTIF($K:$K,K3346)&gt;1,"DUPLICATE","OK")))</f>
        <v>OK</v>
      </c>
      <c r="K3346" s="6" t="str">
        <f aca="false">A3346&amp;"|"&amp;B3346&amp;"|"&amp;C3346&amp;"|"&amp;D3346</f>
        <v>5|7|Logan|spotify:track:6habFhsOp2NvshLv26DqMb</v>
      </c>
    </row>
    <row r="3347" customFormat="false" ht="15" hidden="false" customHeight="false" outlineLevel="0" collapsed="false">
      <c r="A3347" s="5" t="n">
        <v>5</v>
      </c>
      <c r="B3347" s="5" t="n">
        <v>7</v>
      </c>
      <c r="C3347" s="5" t="s">
        <v>128</v>
      </c>
      <c r="D3347" s="5" t="s">
        <v>1585</v>
      </c>
      <c r="E3347" s="5" t="n">
        <v>3</v>
      </c>
      <c r="F3347" s="6" t="n">
        <f aca="false">IFERROR(MATCH(A3347&amp;"|"&amp;B3347&amp;"|"&amp;D3347,'All Song Rankings'!$T:$T,0),0)</f>
        <v>511</v>
      </c>
      <c r="G3347" s="6" t="str">
        <f aca="false">IF(F3347=0,"NOT FOUND",INDEX('All Song Rankings'!$A:$A,F3347))</f>
        <v>Magia (feat. Sebastián Yatra)</v>
      </c>
      <c r="H3347" s="6" t="str">
        <f aca="false">IF(F3347=0,"NOT FOUND",INDEX('All Song Rankings'!$B:$B,F3347))</f>
        <v>Andrés Cepeda</v>
      </c>
      <c r="I3347" s="6" t="str">
        <f aca="false">IF(F3347=0,"NOT FOUND",INDEX('All Song Rankings'!$D:$D,F3347))</f>
        <v>Kristen</v>
      </c>
      <c r="J3347" s="7" t="str">
        <f aca="false">IF(F3347=0,"NOT FOUND",IF(C3347=I3347,"SELF-VOTE",IF(COUNTIF($K:$K,K3347)&gt;1,"DUPLICATE","OK")))</f>
        <v>OK</v>
      </c>
      <c r="K3347" s="6" t="str">
        <f aca="false">A3347&amp;"|"&amp;B3347&amp;"|"&amp;C3347&amp;"|"&amp;D3347</f>
        <v>5|7|Logan|spotify:track:6xAhkN7uE1qdhPa8jZwhTb</v>
      </c>
    </row>
    <row r="3348" customFormat="false" ht="15" hidden="false" customHeight="false" outlineLevel="0" collapsed="false">
      <c r="A3348" s="5" t="n">
        <v>5</v>
      </c>
      <c r="B3348" s="5" t="n">
        <v>7</v>
      </c>
      <c r="C3348" s="5" t="s">
        <v>395</v>
      </c>
      <c r="D3348" s="5" t="s">
        <v>1596</v>
      </c>
      <c r="E3348" s="5" t="n">
        <v>2</v>
      </c>
      <c r="F3348" s="6" t="n">
        <f aca="false">IFERROR(MATCH(A3348&amp;"|"&amp;B3348&amp;"|"&amp;D3348,'All Song Rankings'!$T:$T,0),0)</f>
        <v>515</v>
      </c>
      <c r="G3348" s="6" t="str">
        <f aca="false">IF(F3348=0,"NOT FOUND",INDEX('All Song Rankings'!$A:$A,F3348))</f>
        <v>Shinunoga E-Wa</v>
      </c>
      <c r="H3348" s="6" t="str">
        <f aca="false">IF(F3348=0,"NOT FOUND",INDEX('All Song Rankings'!$B:$B,F3348))</f>
        <v>Fujii Kaze</v>
      </c>
      <c r="I3348" s="6" t="str">
        <f aca="false">IF(F3348=0,"NOT FOUND",INDEX('All Song Rankings'!$D:$D,F3348))</f>
        <v>Merita</v>
      </c>
      <c r="J3348" s="7" t="str">
        <f aca="false">IF(F3348=0,"NOT FOUND",IF(C3348=I3348,"SELF-VOTE",IF(COUNTIF($K:$K,K3348)&gt;1,"DUPLICATE","OK")))</f>
        <v>OK</v>
      </c>
      <c r="K3348" s="6" t="str">
        <f aca="false">A3348&amp;"|"&amp;B3348&amp;"|"&amp;C3348&amp;"|"&amp;D3348</f>
        <v>5|7|Makenzie|spotify:track:0o9zmvc5f3EFApU52PPIyW</v>
      </c>
    </row>
    <row r="3349" customFormat="false" ht="15" hidden="false" customHeight="false" outlineLevel="0" collapsed="false">
      <c r="A3349" s="5" t="n">
        <v>5</v>
      </c>
      <c r="B3349" s="5" t="n">
        <v>7</v>
      </c>
      <c r="C3349" s="5" t="s">
        <v>395</v>
      </c>
      <c r="D3349" s="5" t="s">
        <v>1582</v>
      </c>
      <c r="E3349" s="5" t="n">
        <v>3</v>
      </c>
      <c r="F3349" s="6" t="n">
        <f aca="false">IFERROR(MATCH(A3349&amp;"|"&amp;B3349&amp;"|"&amp;D3349,'All Song Rankings'!$T:$T,0),0)</f>
        <v>510</v>
      </c>
      <c r="G3349" s="6" t="str">
        <f aca="false">IF(F3349=0,"NOT FOUND",INDEX('All Song Rankings'!$A:$A,F3349))</f>
        <v>99 Luftballons</v>
      </c>
      <c r="H3349" s="6" t="str">
        <f aca="false">IF(F3349=0,"NOT FOUND",INDEX('All Song Rankings'!$B:$B,F3349))</f>
        <v>Nena</v>
      </c>
      <c r="I3349" s="6" t="str">
        <f aca="false">IF(F3349=0,"NOT FOUND",INDEX('All Song Rankings'!$D:$D,F3349))</f>
        <v>Nicole</v>
      </c>
      <c r="J3349" s="7" t="str">
        <f aca="false">IF(F3349=0,"NOT FOUND",IF(C3349=I3349,"SELF-VOTE",IF(COUNTIF($K:$K,K3349)&gt;1,"DUPLICATE","OK")))</f>
        <v>OK</v>
      </c>
      <c r="K3349" s="6" t="str">
        <f aca="false">A3349&amp;"|"&amp;B3349&amp;"|"&amp;C3349&amp;"|"&amp;D3349</f>
        <v>5|7|Makenzie|spotify:track:2IJftBfq7pJ43tfnOR0RB3</v>
      </c>
    </row>
    <row r="3350" customFormat="false" ht="15" hidden="false" customHeight="false" outlineLevel="0" collapsed="false">
      <c r="A3350" s="5" t="n">
        <v>5</v>
      </c>
      <c r="B3350" s="5" t="n">
        <v>7</v>
      </c>
      <c r="C3350" s="5" t="s">
        <v>395</v>
      </c>
      <c r="D3350" s="5" t="s">
        <v>1608</v>
      </c>
      <c r="E3350" s="5" t="n">
        <v>1</v>
      </c>
      <c r="F3350" s="6" t="n">
        <f aca="false">IFERROR(MATCH(A3350&amp;"|"&amp;B3350&amp;"|"&amp;D3350,'All Song Rankings'!$T:$T,0),0)</f>
        <v>519</v>
      </c>
      <c r="G3350" s="6" t="str">
        <f aca="false">IF(F3350=0,"NOT FOUND",INDEX('All Song Rankings'!$A:$A,F3350))</f>
        <v>Der Kommissar</v>
      </c>
      <c r="H3350" s="6" t="str">
        <f aca="false">IF(F3350=0,"NOT FOUND",INDEX('All Song Rankings'!$B:$B,F3350))</f>
        <v>Falco</v>
      </c>
      <c r="I3350" s="6" t="str">
        <f aca="false">IF(F3350=0,"NOT FOUND",INDEX('All Song Rankings'!$D:$D,F3350))</f>
        <v>Christine</v>
      </c>
      <c r="J3350" s="7" t="str">
        <f aca="false">IF(F3350=0,"NOT FOUND",IF(C3350=I3350,"SELF-VOTE",IF(COUNTIF($K:$K,K3350)&gt;1,"DUPLICATE","OK")))</f>
        <v>OK</v>
      </c>
      <c r="K3350" s="6" t="str">
        <f aca="false">A3350&amp;"|"&amp;B3350&amp;"|"&amp;C3350&amp;"|"&amp;D3350</f>
        <v>5|7|Makenzie|spotify:track:3TBRJsLCcwroEkA3tD4u2N</v>
      </c>
    </row>
    <row r="3351" customFormat="false" ht="15" hidden="false" customHeight="false" outlineLevel="0" collapsed="false">
      <c r="A3351" s="5" t="n">
        <v>5</v>
      </c>
      <c r="B3351" s="5" t="n">
        <v>7</v>
      </c>
      <c r="C3351" s="5" t="s">
        <v>395</v>
      </c>
      <c r="D3351" s="5" t="s">
        <v>1588</v>
      </c>
      <c r="E3351" s="5" t="n">
        <v>1</v>
      </c>
      <c r="F3351" s="6" t="n">
        <f aca="false">IFERROR(MATCH(A3351&amp;"|"&amp;B3351&amp;"|"&amp;D3351,'All Song Rankings'!$T:$T,0),0)</f>
        <v>512</v>
      </c>
      <c r="G3351" s="6" t="str">
        <f aca="false">IF(F3351=0,"NOT FOUND",INDEX('All Song Rankings'!$A:$A,F3351))</f>
        <v>Time To Say Goodbye</v>
      </c>
      <c r="H3351" s="6" t="str">
        <f aca="false">IF(F3351=0,"NOT FOUND",INDEX('All Song Rankings'!$B:$B,F3351))</f>
        <v>Sarah Brightman</v>
      </c>
      <c r="I3351" s="6" t="str">
        <f aca="false">IF(F3351=0,"NOT FOUND",INDEX('All Song Rankings'!$D:$D,F3351))</f>
        <v>Lisa</v>
      </c>
      <c r="J3351" s="7" t="str">
        <f aca="false">IF(F3351=0,"NOT FOUND",IF(C3351=I3351,"SELF-VOTE",IF(COUNTIF($K:$K,K3351)&gt;1,"DUPLICATE","OK")))</f>
        <v>OK</v>
      </c>
      <c r="K3351" s="6" t="str">
        <f aca="false">A3351&amp;"|"&amp;B3351&amp;"|"&amp;C3351&amp;"|"&amp;D3351</f>
        <v>5|7|Makenzie|spotify:track:3VAICuY2ax2yCLT7EhNeZE</v>
      </c>
    </row>
    <row r="3352" customFormat="false" ht="15" hidden="false" customHeight="false" outlineLevel="0" collapsed="false">
      <c r="A3352" s="5" t="n">
        <v>5</v>
      </c>
      <c r="B3352" s="5" t="n">
        <v>7</v>
      </c>
      <c r="C3352" s="5" t="s">
        <v>395</v>
      </c>
      <c r="D3352" s="5" t="s">
        <v>1576</v>
      </c>
      <c r="E3352" s="5" t="n">
        <v>2</v>
      </c>
      <c r="F3352" s="6" t="n">
        <f aca="false">IFERROR(MATCH(A3352&amp;"|"&amp;B3352&amp;"|"&amp;D3352,'All Song Rankings'!$T:$T,0),0)</f>
        <v>508</v>
      </c>
      <c r="G3352" s="6" t="str">
        <f aca="false">IF(F3352=0,"NOT FOUND",INDEX('All Song Rankings'!$A:$A,F3352))</f>
        <v>C'est la vie</v>
      </c>
      <c r="H3352" s="6" t="str">
        <f aca="false">IF(F3352=0,"NOT FOUND",INDEX('All Song Rankings'!$B:$B,F3352))</f>
        <v>Khaled</v>
      </c>
      <c r="I3352" s="6" t="str">
        <f aca="false">IF(F3352=0,"NOT FOUND",INDEX('All Song Rankings'!$D:$D,F3352))</f>
        <v>Kelsey</v>
      </c>
      <c r="J3352" s="7" t="str">
        <f aca="false">IF(F3352=0,"NOT FOUND",IF(C3352=I3352,"SELF-VOTE",IF(COUNTIF($K:$K,K3352)&gt;1,"DUPLICATE","OK")))</f>
        <v>OK</v>
      </c>
      <c r="K3352" s="6" t="str">
        <f aca="false">A3352&amp;"|"&amp;B3352&amp;"|"&amp;C3352&amp;"|"&amp;D3352</f>
        <v>5|7|Makenzie|spotify:track:6KGHsN5QI0qunsADx3e51i</v>
      </c>
    </row>
    <row r="3353" customFormat="false" ht="15" hidden="false" customHeight="false" outlineLevel="0" collapsed="false">
      <c r="A3353" s="5" t="n">
        <v>5</v>
      </c>
      <c r="B3353" s="5" t="n">
        <v>7</v>
      </c>
      <c r="C3353" s="5" t="s">
        <v>395</v>
      </c>
      <c r="D3353" s="5" t="s">
        <v>1599</v>
      </c>
      <c r="E3353" s="5" t="n">
        <v>1</v>
      </c>
      <c r="F3353" s="6" t="n">
        <f aca="false">IFERROR(MATCH(A3353&amp;"|"&amp;B3353&amp;"|"&amp;D3353,'All Song Rankings'!$T:$T,0),0)</f>
        <v>516</v>
      </c>
      <c r="G3353" s="6" t="str">
        <f aca="false">IF(F3353=0,"NOT FOUND",INDEX('All Song Rankings'!$A:$A,F3353))</f>
        <v>Despacito</v>
      </c>
      <c r="H3353" s="6" t="str">
        <f aca="false">IF(F3353=0,"NOT FOUND",INDEX('All Song Rankings'!$B:$B,F3353))</f>
        <v>Luis Fonsi</v>
      </c>
      <c r="I3353" s="6" t="str">
        <f aca="false">IF(F3353=0,"NOT FOUND",INDEX('All Song Rankings'!$D:$D,F3353))</f>
        <v>Colleen</v>
      </c>
      <c r="J3353" s="7" t="str">
        <f aca="false">IF(F3353=0,"NOT FOUND",IF(C3353=I3353,"SELF-VOTE",IF(COUNTIF($K:$K,K3353)&gt;1,"DUPLICATE","OK")))</f>
        <v>OK</v>
      </c>
      <c r="K3353" s="6" t="str">
        <f aca="false">A3353&amp;"|"&amp;B3353&amp;"|"&amp;C3353&amp;"|"&amp;D3353</f>
        <v>5|7|Makenzie|spotify:track:6habFhsOp2NvshLv26DqMb</v>
      </c>
    </row>
    <row r="3354" customFormat="false" ht="15" hidden="false" customHeight="false" outlineLevel="0" collapsed="false">
      <c r="A3354" s="5" t="n">
        <v>5</v>
      </c>
      <c r="B3354" s="5" t="n">
        <v>7</v>
      </c>
      <c r="C3354" s="5" t="s">
        <v>116</v>
      </c>
      <c r="D3354" s="5" t="s">
        <v>1596</v>
      </c>
      <c r="E3354" s="5" t="n">
        <v>2</v>
      </c>
      <c r="F3354" s="6" t="n">
        <f aca="false">IFERROR(MATCH(A3354&amp;"|"&amp;B3354&amp;"|"&amp;D3354,'All Song Rankings'!$T:$T,0),0)</f>
        <v>515</v>
      </c>
      <c r="G3354" s="6" t="str">
        <f aca="false">IF(F3354=0,"NOT FOUND",INDEX('All Song Rankings'!$A:$A,F3354))</f>
        <v>Shinunoga E-Wa</v>
      </c>
      <c r="H3354" s="6" t="str">
        <f aca="false">IF(F3354=0,"NOT FOUND",INDEX('All Song Rankings'!$B:$B,F3354))</f>
        <v>Fujii Kaze</v>
      </c>
      <c r="I3354" s="6" t="str">
        <f aca="false">IF(F3354=0,"NOT FOUND",INDEX('All Song Rankings'!$D:$D,F3354))</f>
        <v>Merita</v>
      </c>
      <c r="J3354" s="7" t="str">
        <f aca="false">IF(F3354=0,"NOT FOUND",IF(C3354=I3354,"SELF-VOTE",IF(COUNTIF($K:$K,K3354)&gt;1,"DUPLICATE","OK")))</f>
        <v>OK</v>
      </c>
      <c r="K3354" s="6" t="str">
        <f aca="false">A3354&amp;"|"&amp;B3354&amp;"|"&amp;C3354&amp;"|"&amp;D3354</f>
        <v>5|7|Matt|spotify:track:0o9zmvc5f3EFApU52PPIyW</v>
      </c>
    </row>
    <row r="3355" customFormat="false" ht="15" hidden="false" customHeight="false" outlineLevel="0" collapsed="false">
      <c r="A3355" s="5" t="n">
        <v>5</v>
      </c>
      <c r="B3355" s="5" t="n">
        <v>7</v>
      </c>
      <c r="C3355" s="5" t="s">
        <v>116</v>
      </c>
      <c r="D3355" s="5" t="s">
        <v>1590</v>
      </c>
      <c r="E3355" s="5" t="n">
        <v>1</v>
      </c>
      <c r="F3355" s="6" t="n">
        <f aca="false">IFERROR(MATCH(A3355&amp;"|"&amp;B3355&amp;"|"&amp;D3355,'All Song Rankings'!$T:$T,0),0)</f>
        <v>513</v>
      </c>
      <c r="G3355" s="6" t="str">
        <f aca="false">IF(F3355=0,"NOT FOUND",INDEX('All Song Rankings'!$A:$A,F3355))</f>
        <v>Tití Me Preguntó</v>
      </c>
      <c r="H3355" s="6" t="str">
        <f aca="false">IF(F3355=0,"NOT FOUND",INDEX('All Song Rankings'!$B:$B,F3355))</f>
        <v>Bad Bunny</v>
      </c>
      <c r="I3355" s="6" t="str">
        <f aca="false">IF(F3355=0,"NOT FOUND",INDEX('All Song Rankings'!$D:$D,F3355))</f>
        <v>Makenzie</v>
      </c>
      <c r="J3355" s="7" t="str">
        <f aca="false">IF(F3355=0,"NOT FOUND",IF(C3355=I3355,"SELF-VOTE",IF(COUNTIF($K:$K,K3355)&gt;1,"DUPLICATE","OK")))</f>
        <v>OK</v>
      </c>
      <c r="K3355" s="6" t="str">
        <f aca="false">A3355&amp;"|"&amp;B3355&amp;"|"&amp;C3355&amp;"|"&amp;D3355</f>
        <v>5|7|Matt|spotify:track:1IHWl5LamUGEuP4ozKQSXZ</v>
      </c>
    </row>
    <row r="3356" customFormat="false" ht="15" hidden="false" customHeight="false" outlineLevel="0" collapsed="false">
      <c r="A3356" s="5" t="n">
        <v>5</v>
      </c>
      <c r="B3356" s="5" t="n">
        <v>7</v>
      </c>
      <c r="C3356" s="5" t="s">
        <v>116</v>
      </c>
      <c r="D3356" s="5" t="s">
        <v>1582</v>
      </c>
      <c r="E3356" s="5" t="n">
        <v>2</v>
      </c>
      <c r="F3356" s="6" t="n">
        <f aca="false">IFERROR(MATCH(A3356&amp;"|"&amp;B3356&amp;"|"&amp;D3356,'All Song Rankings'!$T:$T,0),0)</f>
        <v>510</v>
      </c>
      <c r="G3356" s="6" t="str">
        <f aca="false">IF(F3356=0,"NOT FOUND",INDEX('All Song Rankings'!$A:$A,F3356))</f>
        <v>99 Luftballons</v>
      </c>
      <c r="H3356" s="6" t="str">
        <f aca="false">IF(F3356=0,"NOT FOUND",INDEX('All Song Rankings'!$B:$B,F3356))</f>
        <v>Nena</v>
      </c>
      <c r="I3356" s="6" t="str">
        <f aca="false">IF(F3356=0,"NOT FOUND",INDEX('All Song Rankings'!$D:$D,F3356))</f>
        <v>Nicole</v>
      </c>
      <c r="J3356" s="7" t="str">
        <f aca="false">IF(F3356=0,"NOT FOUND",IF(C3356=I3356,"SELF-VOTE",IF(COUNTIF($K:$K,K3356)&gt;1,"DUPLICATE","OK")))</f>
        <v>OK</v>
      </c>
      <c r="K3356" s="6" t="str">
        <f aca="false">A3356&amp;"|"&amp;B3356&amp;"|"&amp;C3356&amp;"|"&amp;D3356</f>
        <v>5|7|Matt|spotify:track:2IJftBfq7pJ43tfnOR0RB3</v>
      </c>
    </row>
    <row r="3357" customFormat="false" ht="15" hidden="false" customHeight="false" outlineLevel="0" collapsed="false">
      <c r="A3357" s="5" t="n">
        <v>5</v>
      </c>
      <c r="B3357" s="5" t="n">
        <v>7</v>
      </c>
      <c r="C3357" s="5" t="s">
        <v>116</v>
      </c>
      <c r="D3357" s="5" t="s">
        <v>1593</v>
      </c>
      <c r="E3357" s="5" t="n">
        <v>1</v>
      </c>
      <c r="F3357" s="6" t="n">
        <f aca="false">IFERROR(MATCH(A3357&amp;"|"&amp;B3357&amp;"|"&amp;D3357,'All Song Rankings'!$T:$T,0),0)</f>
        <v>514</v>
      </c>
      <c r="G3357" s="6" t="str">
        <f aca="false">IF(F3357=0,"NOT FOUND",INDEX('All Song Rankings'!$A:$A,F3357))</f>
        <v>Vivir Mi Vida</v>
      </c>
      <c r="H3357" s="6" t="str">
        <f aca="false">IF(F3357=0,"NOT FOUND",INDEX('All Song Rankings'!$B:$B,F3357))</f>
        <v>Marc Anthony</v>
      </c>
      <c r="I3357" s="6" t="str">
        <f aca="false">IF(F3357=0,"NOT FOUND",INDEX('All Song Rankings'!$D:$D,F3357))</f>
        <v>Aubrey</v>
      </c>
      <c r="J3357" s="7" t="str">
        <f aca="false">IF(F3357=0,"NOT FOUND",IF(C3357=I3357,"SELF-VOTE",IF(COUNTIF($K:$K,K3357)&gt;1,"DUPLICATE","OK")))</f>
        <v>OK</v>
      </c>
      <c r="K3357" s="6" t="str">
        <f aca="false">A3357&amp;"|"&amp;B3357&amp;"|"&amp;C3357&amp;"|"&amp;D3357</f>
        <v>5|7|Matt|spotify:track:3QHMxEOAGD51PDlbFPHLyJ</v>
      </c>
    </row>
    <row r="3358" customFormat="false" ht="15" hidden="false" customHeight="false" outlineLevel="0" collapsed="false">
      <c r="A3358" s="5" t="n">
        <v>5</v>
      </c>
      <c r="B3358" s="5" t="n">
        <v>7</v>
      </c>
      <c r="C3358" s="5" t="s">
        <v>116</v>
      </c>
      <c r="D3358" s="5" t="s">
        <v>1608</v>
      </c>
      <c r="E3358" s="5" t="n">
        <v>1</v>
      </c>
      <c r="F3358" s="6" t="n">
        <f aca="false">IFERROR(MATCH(A3358&amp;"|"&amp;B3358&amp;"|"&amp;D3358,'All Song Rankings'!$T:$T,0),0)</f>
        <v>519</v>
      </c>
      <c r="G3358" s="6" t="str">
        <f aca="false">IF(F3358=0,"NOT FOUND",INDEX('All Song Rankings'!$A:$A,F3358))</f>
        <v>Der Kommissar</v>
      </c>
      <c r="H3358" s="6" t="str">
        <f aca="false">IF(F3358=0,"NOT FOUND",INDEX('All Song Rankings'!$B:$B,F3358))</f>
        <v>Falco</v>
      </c>
      <c r="I3358" s="6" t="str">
        <f aca="false">IF(F3358=0,"NOT FOUND",INDEX('All Song Rankings'!$D:$D,F3358))</f>
        <v>Christine</v>
      </c>
      <c r="J3358" s="7" t="str">
        <f aca="false">IF(F3358=0,"NOT FOUND",IF(C3358=I3358,"SELF-VOTE",IF(COUNTIF($K:$K,K3358)&gt;1,"DUPLICATE","OK")))</f>
        <v>OK</v>
      </c>
      <c r="K3358" s="6" t="str">
        <f aca="false">A3358&amp;"|"&amp;B3358&amp;"|"&amp;C3358&amp;"|"&amp;D3358</f>
        <v>5|7|Matt|spotify:track:3TBRJsLCcwroEkA3tD4u2N</v>
      </c>
    </row>
    <row r="3359" customFormat="false" ht="15" hidden="false" customHeight="false" outlineLevel="0" collapsed="false">
      <c r="A3359" s="5" t="n">
        <v>5</v>
      </c>
      <c r="B3359" s="5" t="n">
        <v>7</v>
      </c>
      <c r="C3359" s="5" t="s">
        <v>116</v>
      </c>
      <c r="D3359" s="5" t="s">
        <v>1579</v>
      </c>
      <c r="E3359" s="5" t="n">
        <v>2</v>
      </c>
      <c r="F3359" s="6" t="n">
        <f aca="false">IFERROR(MATCH(A3359&amp;"|"&amp;B3359&amp;"|"&amp;D3359,'All Song Rankings'!$T:$T,0),0)</f>
        <v>509</v>
      </c>
      <c r="G3359" s="6" t="str">
        <f aca="false">IF(F3359=0,"NOT FOUND",INDEX('All Song Rankings'!$A:$A,F3359))</f>
        <v>Pepas</v>
      </c>
      <c r="H3359" s="6" t="str">
        <f aca="false">IF(F3359=0,"NOT FOUND",INDEX('All Song Rankings'!$B:$B,F3359))</f>
        <v>Farruko</v>
      </c>
      <c r="I3359" s="6" t="str">
        <f aca="false">IF(F3359=0,"NOT FOUND",INDEX('All Song Rankings'!$D:$D,F3359))</f>
        <v>Leah</v>
      </c>
      <c r="J3359" s="7" t="str">
        <f aca="false">IF(F3359=0,"NOT FOUND",IF(C3359=I3359,"SELF-VOTE",IF(COUNTIF($K:$K,K3359)&gt;1,"DUPLICATE","OK")))</f>
        <v>OK</v>
      </c>
      <c r="K3359" s="6" t="str">
        <f aca="false">A3359&amp;"|"&amp;B3359&amp;"|"&amp;C3359&amp;"|"&amp;D3359</f>
        <v>5|7|Matt|spotify:track:5fwSHlTEWpluwOM0Sxnh5k</v>
      </c>
    </row>
    <row r="3360" customFormat="false" ht="15" hidden="false" customHeight="false" outlineLevel="0" collapsed="false">
      <c r="A3360" s="5" t="n">
        <v>5</v>
      </c>
      <c r="B3360" s="5" t="n">
        <v>7</v>
      </c>
      <c r="C3360" s="5" t="s">
        <v>116</v>
      </c>
      <c r="D3360" s="5" t="s">
        <v>1611</v>
      </c>
      <c r="E3360" s="5" t="n">
        <v>1</v>
      </c>
      <c r="F3360" s="6" t="n">
        <f aca="false">IFERROR(MATCH(A3360&amp;"|"&amp;B3360&amp;"|"&amp;D3360,'All Song Rankings'!$T:$T,0),0)</f>
        <v>520</v>
      </c>
      <c r="G3360" s="6" t="str">
        <f aca="false">IF(F3360=0,"NOT FOUND",INDEX('All Song Rankings'!$A:$A,F3360))</f>
        <v>Si Antes Te Hubiera Conocido</v>
      </c>
      <c r="H3360" s="6" t="str">
        <f aca="false">IF(F3360=0,"NOT FOUND",INDEX('All Song Rankings'!$B:$B,F3360))</f>
        <v>KAROL G</v>
      </c>
      <c r="I3360" s="6" t="str">
        <f aca="false">IF(F3360=0,"NOT FOUND",INDEX('All Song Rankings'!$D:$D,F3360))</f>
        <v>Stephanie</v>
      </c>
      <c r="J3360" s="7" t="str">
        <f aca="false">IF(F3360=0,"NOT FOUND",IF(C3360=I3360,"SELF-VOTE",IF(COUNTIF($K:$K,K3360)&gt;1,"DUPLICATE","OK")))</f>
        <v>OK</v>
      </c>
      <c r="K3360" s="6" t="str">
        <f aca="false">A3360&amp;"|"&amp;B3360&amp;"|"&amp;C3360&amp;"|"&amp;D3360</f>
        <v>5|7|Matt|spotify:track:73scB4Q4fcOmnsBVZPmk32</v>
      </c>
    </row>
    <row r="3361" customFormat="false" ht="15" hidden="false" customHeight="false" outlineLevel="0" collapsed="false">
      <c r="A3361" s="5" t="n">
        <v>5</v>
      </c>
      <c r="B3361" s="5" t="n">
        <v>7</v>
      </c>
      <c r="C3361" s="5" t="s">
        <v>101</v>
      </c>
      <c r="D3361" s="5" t="s">
        <v>1590</v>
      </c>
      <c r="E3361" s="5" t="n">
        <v>2</v>
      </c>
      <c r="F3361" s="6" t="n">
        <f aca="false">IFERROR(MATCH(A3361&amp;"|"&amp;B3361&amp;"|"&amp;D3361,'All Song Rankings'!$T:$T,0),0)</f>
        <v>513</v>
      </c>
      <c r="G3361" s="6" t="str">
        <f aca="false">IF(F3361=0,"NOT FOUND",INDEX('All Song Rankings'!$A:$A,F3361))</f>
        <v>Tití Me Preguntó</v>
      </c>
      <c r="H3361" s="6" t="str">
        <f aca="false">IF(F3361=0,"NOT FOUND",INDEX('All Song Rankings'!$B:$B,F3361))</f>
        <v>Bad Bunny</v>
      </c>
      <c r="I3361" s="6" t="str">
        <f aca="false">IF(F3361=0,"NOT FOUND",INDEX('All Song Rankings'!$D:$D,F3361))</f>
        <v>Makenzie</v>
      </c>
      <c r="J3361" s="7" t="str">
        <f aca="false">IF(F3361=0,"NOT FOUND",IF(C3361=I3361,"SELF-VOTE",IF(COUNTIF($K:$K,K3361)&gt;1,"DUPLICATE","OK")))</f>
        <v>OK</v>
      </c>
      <c r="K3361" s="6" t="str">
        <f aca="false">A3361&amp;"|"&amp;B3361&amp;"|"&amp;C3361&amp;"|"&amp;D3361</f>
        <v>5|7|Merita|spotify:track:1IHWl5LamUGEuP4ozKQSXZ</v>
      </c>
    </row>
    <row r="3362" customFormat="false" ht="15" hidden="false" customHeight="false" outlineLevel="0" collapsed="false">
      <c r="A3362" s="5" t="n">
        <v>5</v>
      </c>
      <c r="B3362" s="5" t="n">
        <v>7</v>
      </c>
      <c r="C3362" s="5" t="s">
        <v>101</v>
      </c>
      <c r="D3362" s="5" t="s">
        <v>1582</v>
      </c>
      <c r="E3362" s="5" t="n">
        <v>1</v>
      </c>
      <c r="F3362" s="6" t="n">
        <f aca="false">IFERROR(MATCH(A3362&amp;"|"&amp;B3362&amp;"|"&amp;D3362,'All Song Rankings'!$T:$T,0),0)</f>
        <v>510</v>
      </c>
      <c r="G3362" s="6" t="str">
        <f aca="false">IF(F3362=0,"NOT FOUND",INDEX('All Song Rankings'!$A:$A,F3362))</f>
        <v>99 Luftballons</v>
      </c>
      <c r="H3362" s="6" t="str">
        <f aca="false">IF(F3362=0,"NOT FOUND",INDEX('All Song Rankings'!$B:$B,F3362))</f>
        <v>Nena</v>
      </c>
      <c r="I3362" s="6" t="str">
        <f aca="false">IF(F3362=0,"NOT FOUND",INDEX('All Song Rankings'!$D:$D,F3362))</f>
        <v>Nicole</v>
      </c>
      <c r="J3362" s="7" t="str">
        <f aca="false">IF(F3362=0,"NOT FOUND",IF(C3362=I3362,"SELF-VOTE",IF(COUNTIF($K:$K,K3362)&gt;1,"DUPLICATE","OK")))</f>
        <v>OK</v>
      </c>
      <c r="K3362" s="6" t="str">
        <f aca="false">A3362&amp;"|"&amp;B3362&amp;"|"&amp;C3362&amp;"|"&amp;D3362</f>
        <v>5|7|Merita|spotify:track:2IJftBfq7pJ43tfnOR0RB3</v>
      </c>
    </row>
    <row r="3363" customFormat="false" ht="15" hidden="false" customHeight="false" outlineLevel="0" collapsed="false">
      <c r="A3363" s="5" t="n">
        <v>5</v>
      </c>
      <c r="B3363" s="5" t="n">
        <v>7</v>
      </c>
      <c r="C3363" s="5" t="s">
        <v>101</v>
      </c>
      <c r="D3363" s="5" t="s">
        <v>1608</v>
      </c>
      <c r="E3363" s="5" t="n">
        <v>1</v>
      </c>
      <c r="F3363" s="6" t="n">
        <f aca="false">IFERROR(MATCH(A3363&amp;"|"&amp;B3363&amp;"|"&amp;D3363,'All Song Rankings'!$T:$T,0),0)</f>
        <v>519</v>
      </c>
      <c r="G3363" s="6" t="str">
        <f aca="false">IF(F3363=0,"NOT FOUND",INDEX('All Song Rankings'!$A:$A,F3363))</f>
        <v>Der Kommissar</v>
      </c>
      <c r="H3363" s="6" t="str">
        <f aca="false">IF(F3363=0,"NOT FOUND",INDEX('All Song Rankings'!$B:$B,F3363))</f>
        <v>Falco</v>
      </c>
      <c r="I3363" s="6" t="str">
        <f aca="false">IF(F3363=0,"NOT FOUND",INDEX('All Song Rankings'!$D:$D,F3363))</f>
        <v>Christine</v>
      </c>
      <c r="J3363" s="7" t="str">
        <f aca="false">IF(F3363=0,"NOT FOUND",IF(C3363=I3363,"SELF-VOTE",IF(COUNTIF($K:$K,K3363)&gt;1,"DUPLICATE","OK")))</f>
        <v>OK</v>
      </c>
      <c r="K3363" s="6" t="str">
        <f aca="false">A3363&amp;"|"&amp;B3363&amp;"|"&amp;C3363&amp;"|"&amp;D3363</f>
        <v>5|7|Merita|spotify:track:3TBRJsLCcwroEkA3tD4u2N</v>
      </c>
    </row>
    <row r="3364" customFormat="false" ht="15" hidden="false" customHeight="false" outlineLevel="0" collapsed="false">
      <c r="A3364" s="5" t="n">
        <v>5</v>
      </c>
      <c r="B3364" s="5" t="n">
        <v>7</v>
      </c>
      <c r="C3364" s="5" t="s">
        <v>101</v>
      </c>
      <c r="D3364" s="5" t="s">
        <v>1602</v>
      </c>
      <c r="E3364" s="5" t="n">
        <v>1</v>
      </c>
      <c r="F3364" s="6" t="n">
        <f aca="false">IFERROR(MATCH(A3364&amp;"|"&amp;B3364&amp;"|"&amp;D3364,'All Song Rankings'!$T:$T,0),0)</f>
        <v>517</v>
      </c>
      <c r="G3364" s="6" t="str">
        <f aca="false">IF(F3364=0,"NOT FOUND",INDEX('All Song Rankings'!$A:$A,F3364))</f>
        <v>La Perla</v>
      </c>
      <c r="H3364" s="6" t="str">
        <f aca="false">IF(F3364=0,"NOT FOUND",INDEX('All Song Rankings'!$B:$B,F3364))</f>
        <v>ROSALÍA</v>
      </c>
      <c r="I3364" s="6" t="str">
        <f aca="false">IF(F3364=0,"NOT FOUND",INDEX('All Song Rankings'!$D:$D,F3364))</f>
        <v>Matt</v>
      </c>
      <c r="J3364" s="7" t="str">
        <f aca="false">IF(F3364=0,"NOT FOUND",IF(C3364=I3364,"SELF-VOTE",IF(COUNTIF($K:$K,K3364)&gt;1,"DUPLICATE","OK")))</f>
        <v>OK</v>
      </c>
      <c r="K3364" s="6" t="str">
        <f aca="false">A3364&amp;"|"&amp;B3364&amp;"|"&amp;C3364&amp;"|"&amp;D3364</f>
        <v>5|7|Merita|spotify:track:4oVO4fGNRRvEn0CRuFO4qv</v>
      </c>
    </row>
    <row r="3365" customFormat="false" ht="15" hidden="false" customHeight="false" outlineLevel="0" collapsed="false">
      <c r="A3365" s="5" t="n">
        <v>5</v>
      </c>
      <c r="B3365" s="5" t="n">
        <v>7</v>
      </c>
      <c r="C3365" s="5" t="s">
        <v>101</v>
      </c>
      <c r="D3365" s="5" t="s">
        <v>1579</v>
      </c>
      <c r="E3365" s="5" t="n">
        <v>1</v>
      </c>
      <c r="F3365" s="6" t="n">
        <f aca="false">IFERROR(MATCH(A3365&amp;"|"&amp;B3365&amp;"|"&amp;D3365,'All Song Rankings'!$T:$T,0),0)</f>
        <v>509</v>
      </c>
      <c r="G3365" s="6" t="str">
        <f aca="false">IF(F3365=0,"NOT FOUND",INDEX('All Song Rankings'!$A:$A,F3365))</f>
        <v>Pepas</v>
      </c>
      <c r="H3365" s="6" t="str">
        <f aca="false">IF(F3365=0,"NOT FOUND",INDEX('All Song Rankings'!$B:$B,F3365))</f>
        <v>Farruko</v>
      </c>
      <c r="I3365" s="6" t="str">
        <f aca="false">IF(F3365=0,"NOT FOUND",INDEX('All Song Rankings'!$D:$D,F3365))</f>
        <v>Leah</v>
      </c>
      <c r="J3365" s="7" t="str">
        <f aca="false">IF(F3365=0,"NOT FOUND",IF(C3365=I3365,"SELF-VOTE",IF(COUNTIF($K:$K,K3365)&gt;1,"DUPLICATE","OK")))</f>
        <v>OK</v>
      </c>
      <c r="K3365" s="6" t="str">
        <f aca="false">A3365&amp;"|"&amp;B3365&amp;"|"&amp;C3365&amp;"|"&amp;D3365</f>
        <v>5|7|Merita|spotify:track:5fwSHlTEWpluwOM0Sxnh5k</v>
      </c>
    </row>
    <row r="3366" customFormat="false" ht="15" hidden="false" customHeight="false" outlineLevel="0" collapsed="false">
      <c r="A3366" s="5" t="n">
        <v>5</v>
      </c>
      <c r="B3366" s="5" t="n">
        <v>7</v>
      </c>
      <c r="C3366" s="5" t="s">
        <v>101</v>
      </c>
      <c r="D3366" s="5" t="s">
        <v>1576</v>
      </c>
      <c r="E3366" s="5" t="n">
        <v>2</v>
      </c>
      <c r="F3366" s="6" t="n">
        <f aca="false">IFERROR(MATCH(A3366&amp;"|"&amp;B3366&amp;"|"&amp;D3366,'All Song Rankings'!$T:$T,0),0)</f>
        <v>508</v>
      </c>
      <c r="G3366" s="6" t="str">
        <f aca="false">IF(F3366=0,"NOT FOUND",INDEX('All Song Rankings'!$A:$A,F3366))</f>
        <v>C'est la vie</v>
      </c>
      <c r="H3366" s="6" t="str">
        <f aca="false">IF(F3366=0,"NOT FOUND",INDEX('All Song Rankings'!$B:$B,F3366))</f>
        <v>Khaled</v>
      </c>
      <c r="I3366" s="6" t="str">
        <f aca="false">IF(F3366=0,"NOT FOUND",INDEX('All Song Rankings'!$D:$D,F3366))</f>
        <v>Kelsey</v>
      </c>
      <c r="J3366" s="7" t="str">
        <f aca="false">IF(F3366=0,"NOT FOUND",IF(C3366=I3366,"SELF-VOTE",IF(COUNTIF($K:$K,K3366)&gt;1,"DUPLICATE","OK")))</f>
        <v>OK</v>
      </c>
      <c r="K3366" s="6" t="str">
        <f aca="false">A3366&amp;"|"&amp;B3366&amp;"|"&amp;C3366&amp;"|"&amp;D3366</f>
        <v>5|7|Merita|spotify:track:6KGHsN5QI0qunsADx3e51i</v>
      </c>
    </row>
    <row r="3367" customFormat="false" ht="15" hidden="false" customHeight="false" outlineLevel="0" collapsed="false">
      <c r="A3367" s="5" t="n">
        <v>5</v>
      </c>
      <c r="B3367" s="5" t="n">
        <v>7</v>
      </c>
      <c r="C3367" s="5" t="s">
        <v>101</v>
      </c>
      <c r="D3367" s="5" t="s">
        <v>1585</v>
      </c>
      <c r="E3367" s="5" t="n">
        <v>1</v>
      </c>
      <c r="F3367" s="6" t="n">
        <f aca="false">IFERROR(MATCH(A3367&amp;"|"&amp;B3367&amp;"|"&amp;D3367,'All Song Rankings'!$T:$T,0),0)</f>
        <v>511</v>
      </c>
      <c r="G3367" s="6" t="str">
        <f aca="false">IF(F3367=0,"NOT FOUND",INDEX('All Song Rankings'!$A:$A,F3367))</f>
        <v>Magia (feat. Sebastián Yatra)</v>
      </c>
      <c r="H3367" s="6" t="str">
        <f aca="false">IF(F3367=0,"NOT FOUND",INDEX('All Song Rankings'!$B:$B,F3367))</f>
        <v>Andrés Cepeda</v>
      </c>
      <c r="I3367" s="6" t="str">
        <f aca="false">IF(F3367=0,"NOT FOUND",INDEX('All Song Rankings'!$D:$D,F3367))</f>
        <v>Kristen</v>
      </c>
      <c r="J3367" s="7" t="str">
        <f aca="false">IF(F3367=0,"NOT FOUND",IF(C3367=I3367,"SELF-VOTE",IF(COUNTIF($K:$K,K3367)&gt;1,"DUPLICATE","OK")))</f>
        <v>OK</v>
      </c>
      <c r="K3367" s="6" t="str">
        <f aca="false">A3367&amp;"|"&amp;B3367&amp;"|"&amp;C3367&amp;"|"&amp;D3367</f>
        <v>5|7|Merita|spotify:track:6xAhkN7uE1qdhPa8jZwhTb</v>
      </c>
    </row>
    <row r="3368" customFormat="false" ht="15" hidden="false" customHeight="false" outlineLevel="0" collapsed="false">
      <c r="A3368" s="5" t="n">
        <v>5</v>
      </c>
      <c r="B3368" s="5" t="n">
        <v>7</v>
      </c>
      <c r="C3368" s="5" t="s">
        <v>101</v>
      </c>
      <c r="D3368" s="5" t="s">
        <v>1611</v>
      </c>
      <c r="E3368" s="5" t="n">
        <v>1</v>
      </c>
      <c r="F3368" s="6" t="n">
        <f aca="false">IFERROR(MATCH(A3368&amp;"|"&amp;B3368&amp;"|"&amp;D3368,'All Song Rankings'!$T:$T,0),0)</f>
        <v>520</v>
      </c>
      <c r="G3368" s="6" t="str">
        <f aca="false">IF(F3368=0,"NOT FOUND",INDEX('All Song Rankings'!$A:$A,F3368))</f>
        <v>Si Antes Te Hubiera Conocido</v>
      </c>
      <c r="H3368" s="6" t="str">
        <f aca="false">IF(F3368=0,"NOT FOUND",INDEX('All Song Rankings'!$B:$B,F3368))</f>
        <v>KAROL G</v>
      </c>
      <c r="I3368" s="6" t="str">
        <f aca="false">IF(F3368=0,"NOT FOUND",INDEX('All Song Rankings'!$D:$D,F3368))</f>
        <v>Stephanie</v>
      </c>
      <c r="J3368" s="7" t="str">
        <f aca="false">IF(F3368=0,"NOT FOUND",IF(C3368=I3368,"SELF-VOTE",IF(COUNTIF($K:$K,K3368)&gt;1,"DUPLICATE","OK")))</f>
        <v>OK</v>
      </c>
      <c r="K3368" s="6" t="str">
        <f aca="false">A3368&amp;"|"&amp;B3368&amp;"|"&amp;C3368&amp;"|"&amp;D3368</f>
        <v>5|7|Merita|spotify:track:73scB4Q4fcOmnsBVZPmk32</v>
      </c>
    </row>
    <row r="3369" customFormat="false" ht="15" hidden="false" customHeight="false" outlineLevel="0" collapsed="false">
      <c r="A3369" s="5" t="n">
        <v>5</v>
      </c>
      <c r="B3369" s="5" t="n">
        <v>7</v>
      </c>
      <c r="C3369" s="5" t="s">
        <v>92</v>
      </c>
      <c r="D3369" s="5" t="s">
        <v>1596</v>
      </c>
      <c r="E3369" s="5" t="n">
        <v>1</v>
      </c>
      <c r="F3369" s="6" t="n">
        <f aca="false">IFERROR(MATCH(A3369&amp;"|"&amp;B3369&amp;"|"&amp;D3369,'All Song Rankings'!$T:$T,0),0)</f>
        <v>515</v>
      </c>
      <c r="G3369" s="6" t="str">
        <f aca="false">IF(F3369=0,"NOT FOUND",INDEX('All Song Rankings'!$A:$A,F3369))</f>
        <v>Shinunoga E-Wa</v>
      </c>
      <c r="H3369" s="6" t="str">
        <f aca="false">IF(F3369=0,"NOT FOUND",INDEX('All Song Rankings'!$B:$B,F3369))</f>
        <v>Fujii Kaze</v>
      </c>
      <c r="I3369" s="6" t="str">
        <f aca="false">IF(F3369=0,"NOT FOUND",INDEX('All Song Rankings'!$D:$D,F3369))</f>
        <v>Merita</v>
      </c>
      <c r="J3369" s="7" t="str">
        <f aca="false">IF(F3369=0,"NOT FOUND",IF(C3369=I3369,"SELF-VOTE",IF(COUNTIF($K:$K,K3369)&gt;1,"DUPLICATE","OK")))</f>
        <v>OK</v>
      </c>
      <c r="K3369" s="6" t="str">
        <f aca="false">A3369&amp;"|"&amp;B3369&amp;"|"&amp;C3369&amp;"|"&amp;D3369</f>
        <v>5|7|Nicole|spotify:track:0o9zmvc5f3EFApU52PPIyW</v>
      </c>
    </row>
    <row r="3370" customFormat="false" ht="15" hidden="false" customHeight="false" outlineLevel="0" collapsed="false">
      <c r="A3370" s="5" t="n">
        <v>5</v>
      </c>
      <c r="B3370" s="5" t="n">
        <v>7</v>
      </c>
      <c r="C3370" s="5" t="s">
        <v>92</v>
      </c>
      <c r="D3370" s="5" t="s">
        <v>1590</v>
      </c>
      <c r="E3370" s="5" t="n">
        <v>1</v>
      </c>
      <c r="F3370" s="6" t="n">
        <f aca="false">IFERROR(MATCH(A3370&amp;"|"&amp;B3370&amp;"|"&amp;D3370,'All Song Rankings'!$T:$T,0),0)</f>
        <v>513</v>
      </c>
      <c r="G3370" s="6" t="str">
        <f aca="false">IF(F3370=0,"NOT FOUND",INDEX('All Song Rankings'!$A:$A,F3370))</f>
        <v>Tití Me Preguntó</v>
      </c>
      <c r="H3370" s="6" t="str">
        <f aca="false">IF(F3370=0,"NOT FOUND",INDEX('All Song Rankings'!$B:$B,F3370))</f>
        <v>Bad Bunny</v>
      </c>
      <c r="I3370" s="6" t="str">
        <f aca="false">IF(F3370=0,"NOT FOUND",INDEX('All Song Rankings'!$D:$D,F3370))</f>
        <v>Makenzie</v>
      </c>
      <c r="J3370" s="7" t="str">
        <f aca="false">IF(F3370=0,"NOT FOUND",IF(C3370=I3370,"SELF-VOTE",IF(COUNTIF($K:$K,K3370)&gt;1,"DUPLICATE","OK")))</f>
        <v>OK</v>
      </c>
      <c r="K3370" s="6" t="str">
        <f aca="false">A3370&amp;"|"&amp;B3370&amp;"|"&amp;C3370&amp;"|"&amp;D3370</f>
        <v>5|7|Nicole|spotify:track:1IHWl5LamUGEuP4ozKQSXZ</v>
      </c>
    </row>
    <row r="3371" customFormat="false" ht="15" hidden="false" customHeight="false" outlineLevel="0" collapsed="false">
      <c r="A3371" s="5" t="n">
        <v>5</v>
      </c>
      <c r="B3371" s="5" t="n">
        <v>7</v>
      </c>
      <c r="C3371" s="5" t="s">
        <v>92</v>
      </c>
      <c r="D3371" s="5" t="s">
        <v>1593</v>
      </c>
      <c r="E3371" s="5" t="n">
        <v>1</v>
      </c>
      <c r="F3371" s="6" t="n">
        <f aca="false">IFERROR(MATCH(A3371&amp;"|"&amp;B3371&amp;"|"&amp;D3371,'All Song Rankings'!$T:$T,0),0)</f>
        <v>514</v>
      </c>
      <c r="G3371" s="6" t="str">
        <f aca="false">IF(F3371=0,"NOT FOUND",INDEX('All Song Rankings'!$A:$A,F3371))</f>
        <v>Vivir Mi Vida</v>
      </c>
      <c r="H3371" s="6" t="str">
        <f aca="false">IF(F3371=0,"NOT FOUND",INDEX('All Song Rankings'!$B:$B,F3371))</f>
        <v>Marc Anthony</v>
      </c>
      <c r="I3371" s="6" t="str">
        <f aca="false">IF(F3371=0,"NOT FOUND",INDEX('All Song Rankings'!$D:$D,F3371))</f>
        <v>Aubrey</v>
      </c>
      <c r="J3371" s="7" t="str">
        <f aca="false">IF(F3371=0,"NOT FOUND",IF(C3371=I3371,"SELF-VOTE",IF(COUNTIF($K:$K,K3371)&gt;1,"DUPLICATE","OK")))</f>
        <v>OK</v>
      </c>
      <c r="K3371" s="6" t="str">
        <f aca="false">A3371&amp;"|"&amp;B3371&amp;"|"&amp;C3371&amp;"|"&amp;D3371</f>
        <v>5|7|Nicole|spotify:track:3QHMxEOAGD51PDlbFPHLyJ</v>
      </c>
    </row>
    <row r="3372" customFormat="false" ht="15" hidden="false" customHeight="false" outlineLevel="0" collapsed="false">
      <c r="A3372" s="5" t="n">
        <v>5</v>
      </c>
      <c r="B3372" s="5" t="n">
        <v>7</v>
      </c>
      <c r="C3372" s="5" t="s">
        <v>92</v>
      </c>
      <c r="D3372" s="5" t="s">
        <v>1602</v>
      </c>
      <c r="E3372" s="5" t="n">
        <v>1</v>
      </c>
      <c r="F3372" s="6" t="n">
        <f aca="false">IFERROR(MATCH(A3372&amp;"|"&amp;B3372&amp;"|"&amp;D3372,'All Song Rankings'!$T:$T,0),0)</f>
        <v>517</v>
      </c>
      <c r="G3372" s="6" t="str">
        <f aca="false">IF(F3372=0,"NOT FOUND",INDEX('All Song Rankings'!$A:$A,F3372))</f>
        <v>La Perla</v>
      </c>
      <c r="H3372" s="6" t="str">
        <f aca="false">IF(F3372=0,"NOT FOUND",INDEX('All Song Rankings'!$B:$B,F3372))</f>
        <v>ROSALÍA</v>
      </c>
      <c r="I3372" s="6" t="str">
        <f aca="false">IF(F3372=0,"NOT FOUND",INDEX('All Song Rankings'!$D:$D,F3372))</f>
        <v>Matt</v>
      </c>
      <c r="J3372" s="7" t="str">
        <f aca="false">IF(F3372=0,"NOT FOUND",IF(C3372=I3372,"SELF-VOTE",IF(COUNTIF($K:$K,K3372)&gt;1,"DUPLICATE","OK")))</f>
        <v>OK</v>
      </c>
      <c r="K3372" s="6" t="str">
        <f aca="false">A3372&amp;"|"&amp;B3372&amp;"|"&amp;C3372&amp;"|"&amp;D3372</f>
        <v>5|7|Nicole|spotify:track:4oVO4fGNRRvEn0CRuFO4qv</v>
      </c>
    </row>
    <row r="3373" customFormat="false" ht="15" hidden="false" customHeight="false" outlineLevel="0" collapsed="false">
      <c r="A3373" s="5" t="n">
        <v>5</v>
      </c>
      <c r="B3373" s="5" t="n">
        <v>7</v>
      </c>
      <c r="C3373" s="5" t="s">
        <v>92</v>
      </c>
      <c r="D3373" s="5" t="s">
        <v>1579</v>
      </c>
      <c r="E3373" s="5" t="n">
        <v>2</v>
      </c>
      <c r="F3373" s="6" t="n">
        <f aca="false">IFERROR(MATCH(A3373&amp;"|"&amp;B3373&amp;"|"&amp;D3373,'All Song Rankings'!$T:$T,0),0)</f>
        <v>509</v>
      </c>
      <c r="G3373" s="6" t="str">
        <f aca="false">IF(F3373=0,"NOT FOUND",INDEX('All Song Rankings'!$A:$A,F3373))</f>
        <v>Pepas</v>
      </c>
      <c r="H3373" s="6" t="str">
        <f aca="false">IF(F3373=0,"NOT FOUND",INDEX('All Song Rankings'!$B:$B,F3373))</f>
        <v>Farruko</v>
      </c>
      <c r="I3373" s="6" t="str">
        <f aca="false">IF(F3373=0,"NOT FOUND",INDEX('All Song Rankings'!$D:$D,F3373))</f>
        <v>Leah</v>
      </c>
      <c r="J3373" s="7" t="str">
        <f aca="false">IF(F3373=0,"NOT FOUND",IF(C3373=I3373,"SELF-VOTE",IF(COUNTIF($K:$K,K3373)&gt;1,"DUPLICATE","OK")))</f>
        <v>OK</v>
      </c>
      <c r="K3373" s="6" t="str">
        <f aca="false">A3373&amp;"|"&amp;B3373&amp;"|"&amp;C3373&amp;"|"&amp;D3373</f>
        <v>5|7|Nicole|spotify:track:5fwSHlTEWpluwOM0Sxnh5k</v>
      </c>
    </row>
    <row r="3374" customFormat="false" ht="15" hidden="false" customHeight="false" outlineLevel="0" collapsed="false">
      <c r="A3374" s="5" t="n">
        <v>5</v>
      </c>
      <c r="B3374" s="5" t="n">
        <v>7</v>
      </c>
      <c r="C3374" s="5" t="s">
        <v>92</v>
      </c>
      <c r="D3374" s="5" t="s">
        <v>1576</v>
      </c>
      <c r="E3374" s="5" t="n">
        <v>2</v>
      </c>
      <c r="F3374" s="6" t="n">
        <f aca="false">IFERROR(MATCH(A3374&amp;"|"&amp;B3374&amp;"|"&amp;D3374,'All Song Rankings'!$T:$T,0),0)</f>
        <v>508</v>
      </c>
      <c r="G3374" s="6" t="str">
        <f aca="false">IF(F3374=0,"NOT FOUND",INDEX('All Song Rankings'!$A:$A,F3374))</f>
        <v>C'est la vie</v>
      </c>
      <c r="H3374" s="6" t="str">
        <f aca="false">IF(F3374=0,"NOT FOUND",INDEX('All Song Rankings'!$B:$B,F3374))</f>
        <v>Khaled</v>
      </c>
      <c r="I3374" s="6" t="str">
        <f aca="false">IF(F3374=0,"NOT FOUND",INDEX('All Song Rankings'!$D:$D,F3374))</f>
        <v>Kelsey</v>
      </c>
      <c r="J3374" s="7" t="str">
        <f aca="false">IF(F3374=0,"NOT FOUND",IF(C3374=I3374,"SELF-VOTE",IF(COUNTIF($K:$K,K3374)&gt;1,"DUPLICATE","OK")))</f>
        <v>OK</v>
      </c>
      <c r="K3374" s="6" t="str">
        <f aca="false">A3374&amp;"|"&amp;B3374&amp;"|"&amp;C3374&amp;"|"&amp;D3374</f>
        <v>5|7|Nicole|spotify:track:6KGHsN5QI0qunsADx3e51i</v>
      </c>
    </row>
    <row r="3375" customFormat="false" ht="15" hidden="false" customHeight="false" outlineLevel="0" collapsed="false">
      <c r="A3375" s="5" t="n">
        <v>5</v>
      </c>
      <c r="B3375" s="5" t="n">
        <v>7</v>
      </c>
      <c r="C3375" s="5" t="s">
        <v>92</v>
      </c>
      <c r="D3375" s="5" t="s">
        <v>1599</v>
      </c>
      <c r="E3375" s="5" t="n">
        <v>1</v>
      </c>
      <c r="F3375" s="6" t="n">
        <f aca="false">IFERROR(MATCH(A3375&amp;"|"&amp;B3375&amp;"|"&amp;D3375,'All Song Rankings'!$T:$T,0),0)</f>
        <v>516</v>
      </c>
      <c r="G3375" s="6" t="str">
        <f aca="false">IF(F3375=0,"NOT FOUND",INDEX('All Song Rankings'!$A:$A,F3375))</f>
        <v>Despacito</v>
      </c>
      <c r="H3375" s="6" t="str">
        <f aca="false">IF(F3375=0,"NOT FOUND",INDEX('All Song Rankings'!$B:$B,F3375))</f>
        <v>Luis Fonsi</v>
      </c>
      <c r="I3375" s="6" t="str">
        <f aca="false">IF(F3375=0,"NOT FOUND",INDEX('All Song Rankings'!$D:$D,F3375))</f>
        <v>Colleen</v>
      </c>
      <c r="J3375" s="7" t="str">
        <f aca="false">IF(F3375=0,"NOT FOUND",IF(C3375=I3375,"SELF-VOTE",IF(COUNTIF($K:$K,K3375)&gt;1,"DUPLICATE","OK")))</f>
        <v>OK</v>
      </c>
      <c r="K3375" s="6" t="str">
        <f aca="false">A3375&amp;"|"&amp;B3375&amp;"|"&amp;C3375&amp;"|"&amp;D3375</f>
        <v>5|7|Nicole|spotify:track:6habFhsOp2NvshLv26DqMb</v>
      </c>
    </row>
    <row r="3376" customFormat="false" ht="15" hidden="false" customHeight="false" outlineLevel="0" collapsed="false">
      <c r="A3376" s="5" t="n">
        <v>5</v>
      </c>
      <c r="B3376" s="5" t="n">
        <v>7</v>
      </c>
      <c r="C3376" s="5" t="s">
        <v>92</v>
      </c>
      <c r="D3376" s="5" t="s">
        <v>1585</v>
      </c>
      <c r="E3376" s="5" t="n">
        <v>1</v>
      </c>
      <c r="F3376" s="6" t="n">
        <f aca="false">IFERROR(MATCH(A3376&amp;"|"&amp;B3376&amp;"|"&amp;D3376,'All Song Rankings'!$T:$T,0),0)</f>
        <v>511</v>
      </c>
      <c r="G3376" s="6" t="str">
        <f aca="false">IF(F3376=0,"NOT FOUND",INDEX('All Song Rankings'!$A:$A,F3376))</f>
        <v>Magia (feat. Sebastián Yatra)</v>
      </c>
      <c r="H3376" s="6" t="str">
        <f aca="false">IF(F3376=0,"NOT FOUND",INDEX('All Song Rankings'!$B:$B,F3376))</f>
        <v>Andrés Cepeda</v>
      </c>
      <c r="I3376" s="6" t="str">
        <f aca="false">IF(F3376=0,"NOT FOUND",INDEX('All Song Rankings'!$D:$D,F3376))</f>
        <v>Kristen</v>
      </c>
      <c r="J3376" s="7" t="str">
        <f aca="false">IF(F3376=0,"NOT FOUND",IF(C3376=I3376,"SELF-VOTE",IF(COUNTIF($K:$K,K3376)&gt;1,"DUPLICATE","OK")))</f>
        <v>OK</v>
      </c>
      <c r="K3376" s="6" t="str">
        <f aca="false">A3376&amp;"|"&amp;B3376&amp;"|"&amp;C3376&amp;"|"&amp;D3376</f>
        <v>5|7|Nicole|spotify:track:6xAhkN7uE1qdhPa8jZwhTb</v>
      </c>
    </row>
    <row r="3377" customFormat="false" ht="15" hidden="false" customHeight="false" outlineLevel="0" collapsed="false">
      <c r="A3377" s="5" t="n">
        <v>5</v>
      </c>
      <c r="B3377" s="5" t="n">
        <v>7</v>
      </c>
      <c r="C3377" s="5" t="s">
        <v>484</v>
      </c>
      <c r="D3377" s="5" t="s">
        <v>1590</v>
      </c>
      <c r="E3377" s="5" t="n">
        <v>1</v>
      </c>
      <c r="F3377" s="6" t="n">
        <f aca="false">IFERROR(MATCH(A3377&amp;"|"&amp;B3377&amp;"|"&amp;D3377,'All Song Rankings'!$T:$T,0),0)</f>
        <v>513</v>
      </c>
      <c r="G3377" s="6" t="str">
        <f aca="false">IF(F3377=0,"NOT FOUND",INDEX('All Song Rankings'!$A:$A,F3377))</f>
        <v>Tití Me Preguntó</v>
      </c>
      <c r="H3377" s="6" t="str">
        <f aca="false">IF(F3377=0,"NOT FOUND",INDEX('All Song Rankings'!$B:$B,F3377))</f>
        <v>Bad Bunny</v>
      </c>
      <c r="I3377" s="6" t="str">
        <f aca="false">IF(F3377=0,"NOT FOUND",INDEX('All Song Rankings'!$D:$D,F3377))</f>
        <v>Makenzie</v>
      </c>
      <c r="J3377" s="7" t="str">
        <f aca="false">IF(F3377=0,"NOT FOUND",IF(C3377=I3377,"SELF-VOTE",IF(COUNTIF($K:$K,K3377)&gt;1,"DUPLICATE","OK")))</f>
        <v>OK</v>
      </c>
      <c r="K3377" s="6" t="str">
        <f aca="false">A3377&amp;"|"&amp;B3377&amp;"|"&amp;C3377&amp;"|"&amp;D3377</f>
        <v>5|7|Scott|spotify:track:1IHWl5LamUGEuP4ozKQSXZ</v>
      </c>
    </row>
    <row r="3378" customFormat="false" ht="15" hidden="false" customHeight="false" outlineLevel="0" collapsed="false">
      <c r="A3378" s="5" t="n">
        <v>5</v>
      </c>
      <c r="B3378" s="5" t="n">
        <v>7</v>
      </c>
      <c r="C3378" s="5" t="s">
        <v>484</v>
      </c>
      <c r="D3378" s="5" t="s">
        <v>1582</v>
      </c>
      <c r="E3378" s="5" t="n">
        <v>2</v>
      </c>
      <c r="F3378" s="6" t="n">
        <f aca="false">IFERROR(MATCH(A3378&amp;"|"&amp;B3378&amp;"|"&amp;D3378,'All Song Rankings'!$T:$T,0),0)</f>
        <v>510</v>
      </c>
      <c r="G3378" s="6" t="str">
        <f aca="false">IF(F3378=0,"NOT FOUND",INDEX('All Song Rankings'!$A:$A,F3378))</f>
        <v>99 Luftballons</v>
      </c>
      <c r="H3378" s="6" t="str">
        <f aca="false">IF(F3378=0,"NOT FOUND",INDEX('All Song Rankings'!$B:$B,F3378))</f>
        <v>Nena</v>
      </c>
      <c r="I3378" s="6" t="str">
        <f aca="false">IF(F3378=0,"NOT FOUND",INDEX('All Song Rankings'!$D:$D,F3378))</f>
        <v>Nicole</v>
      </c>
      <c r="J3378" s="7" t="str">
        <f aca="false">IF(F3378=0,"NOT FOUND",IF(C3378=I3378,"SELF-VOTE",IF(COUNTIF($K:$K,K3378)&gt;1,"DUPLICATE","OK")))</f>
        <v>OK</v>
      </c>
      <c r="K3378" s="6" t="str">
        <f aca="false">A3378&amp;"|"&amp;B3378&amp;"|"&amp;C3378&amp;"|"&amp;D3378</f>
        <v>5|7|Scott|spotify:track:2IJftBfq7pJ43tfnOR0RB3</v>
      </c>
    </row>
    <row r="3379" customFormat="false" ht="15" hidden="false" customHeight="false" outlineLevel="0" collapsed="false">
      <c r="A3379" s="5" t="n">
        <v>5</v>
      </c>
      <c r="B3379" s="5" t="n">
        <v>7</v>
      </c>
      <c r="C3379" s="5" t="s">
        <v>484</v>
      </c>
      <c r="D3379" s="5" t="s">
        <v>1593</v>
      </c>
      <c r="E3379" s="5" t="n">
        <v>2</v>
      </c>
      <c r="F3379" s="6" t="n">
        <f aca="false">IFERROR(MATCH(A3379&amp;"|"&amp;B3379&amp;"|"&amp;D3379,'All Song Rankings'!$T:$T,0),0)</f>
        <v>514</v>
      </c>
      <c r="G3379" s="6" t="str">
        <f aca="false">IF(F3379=0,"NOT FOUND",INDEX('All Song Rankings'!$A:$A,F3379))</f>
        <v>Vivir Mi Vida</v>
      </c>
      <c r="H3379" s="6" t="str">
        <f aca="false">IF(F3379=0,"NOT FOUND",INDEX('All Song Rankings'!$B:$B,F3379))</f>
        <v>Marc Anthony</v>
      </c>
      <c r="I3379" s="6" t="str">
        <f aca="false">IF(F3379=0,"NOT FOUND",INDEX('All Song Rankings'!$D:$D,F3379))</f>
        <v>Aubrey</v>
      </c>
      <c r="J3379" s="7" t="str">
        <f aca="false">IF(F3379=0,"NOT FOUND",IF(C3379=I3379,"SELF-VOTE",IF(COUNTIF($K:$K,K3379)&gt;1,"DUPLICATE","OK")))</f>
        <v>OK</v>
      </c>
      <c r="K3379" s="6" t="str">
        <f aca="false">A3379&amp;"|"&amp;B3379&amp;"|"&amp;C3379&amp;"|"&amp;D3379</f>
        <v>5|7|Scott|spotify:track:3QHMxEOAGD51PDlbFPHLyJ</v>
      </c>
    </row>
    <row r="3380" customFormat="false" ht="15" hidden="false" customHeight="false" outlineLevel="0" collapsed="false">
      <c r="A3380" s="5" t="n">
        <v>5</v>
      </c>
      <c r="B3380" s="5" t="n">
        <v>7</v>
      </c>
      <c r="C3380" s="5" t="s">
        <v>484</v>
      </c>
      <c r="D3380" s="5" t="s">
        <v>1602</v>
      </c>
      <c r="E3380" s="5" t="n">
        <v>2</v>
      </c>
      <c r="F3380" s="6" t="n">
        <f aca="false">IFERROR(MATCH(A3380&amp;"|"&amp;B3380&amp;"|"&amp;D3380,'All Song Rankings'!$T:$T,0),0)</f>
        <v>517</v>
      </c>
      <c r="G3380" s="6" t="str">
        <f aca="false">IF(F3380=0,"NOT FOUND",INDEX('All Song Rankings'!$A:$A,F3380))</f>
        <v>La Perla</v>
      </c>
      <c r="H3380" s="6" t="str">
        <f aca="false">IF(F3380=0,"NOT FOUND",INDEX('All Song Rankings'!$B:$B,F3380))</f>
        <v>ROSALÍA</v>
      </c>
      <c r="I3380" s="6" t="str">
        <f aca="false">IF(F3380=0,"NOT FOUND",INDEX('All Song Rankings'!$D:$D,F3380))</f>
        <v>Matt</v>
      </c>
      <c r="J3380" s="7" t="str">
        <f aca="false">IF(F3380=0,"NOT FOUND",IF(C3380=I3380,"SELF-VOTE",IF(COUNTIF($K:$K,K3380)&gt;1,"DUPLICATE","OK")))</f>
        <v>OK</v>
      </c>
      <c r="K3380" s="6" t="str">
        <f aca="false">A3380&amp;"|"&amp;B3380&amp;"|"&amp;C3380&amp;"|"&amp;D3380</f>
        <v>5|7|Scott|spotify:track:4oVO4fGNRRvEn0CRuFO4qv</v>
      </c>
    </row>
    <row r="3381" customFormat="false" ht="15" hidden="false" customHeight="false" outlineLevel="0" collapsed="false">
      <c r="A3381" s="5" t="n">
        <v>5</v>
      </c>
      <c r="B3381" s="5" t="n">
        <v>7</v>
      </c>
      <c r="C3381" s="5" t="s">
        <v>484</v>
      </c>
      <c r="D3381" s="5" t="s">
        <v>1579</v>
      </c>
      <c r="E3381" s="5" t="n">
        <v>1</v>
      </c>
      <c r="F3381" s="6" t="n">
        <f aca="false">IFERROR(MATCH(A3381&amp;"|"&amp;B3381&amp;"|"&amp;D3381,'All Song Rankings'!$T:$T,0),0)</f>
        <v>509</v>
      </c>
      <c r="G3381" s="6" t="str">
        <f aca="false">IF(F3381=0,"NOT FOUND",INDEX('All Song Rankings'!$A:$A,F3381))</f>
        <v>Pepas</v>
      </c>
      <c r="H3381" s="6" t="str">
        <f aca="false">IF(F3381=0,"NOT FOUND",INDEX('All Song Rankings'!$B:$B,F3381))</f>
        <v>Farruko</v>
      </c>
      <c r="I3381" s="6" t="str">
        <f aca="false">IF(F3381=0,"NOT FOUND",INDEX('All Song Rankings'!$D:$D,F3381))</f>
        <v>Leah</v>
      </c>
      <c r="J3381" s="7" t="str">
        <f aca="false">IF(F3381=0,"NOT FOUND",IF(C3381=I3381,"SELF-VOTE",IF(COUNTIF($K:$K,K3381)&gt;1,"DUPLICATE","OK")))</f>
        <v>OK</v>
      </c>
      <c r="K3381" s="6" t="str">
        <f aca="false">A3381&amp;"|"&amp;B3381&amp;"|"&amp;C3381&amp;"|"&amp;D3381</f>
        <v>5|7|Scott|spotify:track:5fwSHlTEWpluwOM0Sxnh5k</v>
      </c>
    </row>
    <row r="3382" customFormat="false" ht="15" hidden="false" customHeight="false" outlineLevel="0" collapsed="false">
      <c r="A3382" s="5" t="n">
        <v>5</v>
      </c>
      <c r="B3382" s="5" t="n">
        <v>7</v>
      </c>
      <c r="C3382" s="5" t="s">
        <v>484</v>
      </c>
      <c r="D3382" s="5" t="s">
        <v>1614</v>
      </c>
      <c r="E3382" s="5" t="n">
        <v>1</v>
      </c>
      <c r="F3382" s="6" t="n">
        <f aca="false">IFERROR(MATCH(A3382&amp;"|"&amp;B3382&amp;"|"&amp;D3382,'All Song Rankings'!$T:$T,0),0)</f>
        <v>521</v>
      </c>
      <c r="G3382" s="6" t="str">
        <f aca="false">IF(F3382=0,"NOT FOUND",INDEX('All Song Rankings'!$A:$A,F3382))</f>
        <v>Como La Flor</v>
      </c>
      <c r="H3382" s="6" t="str">
        <f aca="false">IF(F3382=0,"NOT FOUND",INDEX('All Song Rankings'!$B:$B,F3382))</f>
        <v>Selena</v>
      </c>
      <c r="I3382" s="6" t="str">
        <f aca="false">IF(F3382=0,"NOT FOUND",INDEX('All Song Rankings'!$D:$D,F3382))</f>
        <v>Logan</v>
      </c>
      <c r="J3382" s="7" t="str">
        <f aca="false">IF(F3382=0,"NOT FOUND",IF(C3382=I3382,"SELF-VOTE",IF(COUNTIF($K:$K,K3382)&gt;1,"DUPLICATE","OK")))</f>
        <v>OK</v>
      </c>
      <c r="K3382" s="6" t="str">
        <f aca="false">A3382&amp;"|"&amp;B3382&amp;"|"&amp;C3382&amp;"|"&amp;D3382</f>
        <v>5|7|Scott|spotify:track:5ubqSAc9LxUS2CsMHcA4kF</v>
      </c>
    </row>
    <row r="3383" customFormat="false" ht="15" hidden="false" customHeight="false" outlineLevel="0" collapsed="false">
      <c r="A3383" s="5" t="n">
        <v>5</v>
      </c>
      <c r="B3383" s="5" t="n">
        <v>7</v>
      </c>
      <c r="C3383" s="5" t="s">
        <v>484</v>
      </c>
      <c r="D3383" s="5" t="s">
        <v>1585</v>
      </c>
      <c r="E3383" s="5" t="n">
        <v>1</v>
      </c>
      <c r="F3383" s="6" t="n">
        <f aca="false">IFERROR(MATCH(A3383&amp;"|"&amp;B3383&amp;"|"&amp;D3383,'All Song Rankings'!$T:$T,0),0)</f>
        <v>511</v>
      </c>
      <c r="G3383" s="6" t="str">
        <f aca="false">IF(F3383=0,"NOT FOUND",INDEX('All Song Rankings'!$A:$A,F3383))</f>
        <v>Magia (feat. Sebastián Yatra)</v>
      </c>
      <c r="H3383" s="6" t="str">
        <f aca="false">IF(F3383=0,"NOT FOUND",INDEX('All Song Rankings'!$B:$B,F3383))</f>
        <v>Andrés Cepeda</v>
      </c>
      <c r="I3383" s="6" t="str">
        <f aca="false">IF(F3383=0,"NOT FOUND",INDEX('All Song Rankings'!$D:$D,F3383))</f>
        <v>Kristen</v>
      </c>
      <c r="J3383" s="7" t="str">
        <f aca="false">IF(F3383=0,"NOT FOUND",IF(C3383=I3383,"SELF-VOTE",IF(COUNTIF($K:$K,K3383)&gt;1,"DUPLICATE","OK")))</f>
        <v>OK</v>
      </c>
      <c r="K3383" s="6" t="str">
        <f aca="false">A3383&amp;"|"&amp;B3383&amp;"|"&amp;C3383&amp;"|"&amp;D3383</f>
        <v>5|7|Scott|spotify:track:6xAhkN7uE1qdhPa8jZwhTb</v>
      </c>
    </row>
    <row r="3384" customFormat="false" ht="15" hidden="false" customHeight="false" outlineLevel="0" collapsed="false">
      <c r="A3384" s="5" t="n">
        <v>5</v>
      </c>
      <c r="B3384" s="5" t="n">
        <v>7</v>
      </c>
      <c r="C3384" s="5" t="s">
        <v>97</v>
      </c>
      <c r="D3384" s="5" t="s">
        <v>1596</v>
      </c>
      <c r="E3384" s="5" t="n">
        <v>1</v>
      </c>
      <c r="F3384" s="6" t="n">
        <f aca="false">IFERROR(MATCH(A3384&amp;"|"&amp;B3384&amp;"|"&amp;D3384,'All Song Rankings'!$T:$T,0),0)</f>
        <v>515</v>
      </c>
      <c r="G3384" s="6" t="str">
        <f aca="false">IF(F3384=0,"NOT FOUND",INDEX('All Song Rankings'!$A:$A,F3384))</f>
        <v>Shinunoga E-Wa</v>
      </c>
      <c r="H3384" s="6" t="str">
        <f aca="false">IF(F3384=0,"NOT FOUND",INDEX('All Song Rankings'!$B:$B,F3384))</f>
        <v>Fujii Kaze</v>
      </c>
      <c r="I3384" s="6" t="str">
        <f aca="false">IF(F3384=0,"NOT FOUND",INDEX('All Song Rankings'!$D:$D,F3384))</f>
        <v>Merita</v>
      </c>
      <c r="J3384" s="7" t="str">
        <f aca="false">IF(F3384=0,"NOT FOUND",IF(C3384=I3384,"SELF-VOTE",IF(COUNTIF($K:$K,K3384)&gt;1,"DUPLICATE","OK")))</f>
        <v>OK</v>
      </c>
      <c r="K3384" s="6" t="str">
        <f aca="false">A3384&amp;"|"&amp;B3384&amp;"|"&amp;C3384&amp;"|"&amp;D3384</f>
        <v>5|7|Stephanie|spotify:track:0o9zmvc5f3EFApU52PPIyW</v>
      </c>
    </row>
    <row r="3385" customFormat="false" ht="15" hidden="false" customHeight="false" outlineLevel="0" collapsed="false">
      <c r="A3385" s="5" t="n">
        <v>5</v>
      </c>
      <c r="B3385" s="5" t="n">
        <v>7</v>
      </c>
      <c r="C3385" s="5" t="s">
        <v>97</v>
      </c>
      <c r="D3385" s="5" t="s">
        <v>1590</v>
      </c>
      <c r="E3385" s="5" t="n">
        <v>1</v>
      </c>
      <c r="F3385" s="6" t="n">
        <f aca="false">IFERROR(MATCH(A3385&amp;"|"&amp;B3385&amp;"|"&amp;D3385,'All Song Rankings'!$T:$T,0),0)</f>
        <v>513</v>
      </c>
      <c r="G3385" s="6" t="str">
        <f aca="false">IF(F3385=0,"NOT FOUND",INDEX('All Song Rankings'!$A:$A,F3385))</f>
        <v>Tití Me Preguntó</v>
      </c>
      <c r="H3385" s="6" t="str">
        <f aca="false">IF(F3385=0,"NOT FOUND",INDEX('All Song Rankings'!$B:$B,F3385))</f>
        <v>Bad Bunny</v>
      </c>
      <c r="I3385" s="6" t="str">
        <f aca="false">IF(F3385=0,"NOT FOUND",INDEX('All Song Rankings'!$D:$D,F3385))</f>
        <v>Makenzie</v>
      </c>
      <c r="J3385" s="7" t="str">
        <f aca="false">IF(F3385=0,"NOT FOUND",IF(C3385=I3385,"SELF-VOTE",IF(COUNTIF($K:$K,K3385)&gt;1,"DUPLICATE","OK")))</f>
        <v>OK</v>
      </c>
      <c r="K3385" s="6" t="str">
        <f aca="false">A3385&amp;"|"&amp;B3385&amp;"|"&amp;C3385&amp;"|"&amp;D3385</f>
        <v>5|7|Stephanie|spotify:track:1IHWl5LamUGEuP4ozKQSXZ</v>
      </c>
    </row>
    <row r="3386" customFormat="false" ht="15" hidden="false" customHeight="false" outlineLevel="0" collapsed="false">
      <c r="A3386" s="5" t="n">
        <v>5</v>
      </c>
      <c r="B3386" s="5" t="n">
        <v>7</v>
      </c>
      <c r="C3386" s="5" t="s">
        <v>97</v>
      </c>
      <c r="D3386" s="5" t="s">
        <v>1593</v>
      </c>
      <c r="E3386" s="5" t="n">
        <v>1</v>
      </c>
      <c r="F3386" s="6" t="n">
        <f aca="false">IFERROR(MATCH(A3386&amp;"|"&amp;B3386&amp;"|"&amp;D3386,'All Song Rankings'!$T:$T,0),0)</f>
        <v>514</v>
      </c>
      <c r="G3386" s="6" t="str">
        <f aca="false">IF(F3386=0,"NOT FOUND",INDEX('All Song Rankings'!$A:$A,F3386))</f>
        <v>Vivir Mi Vida</v>
      </c>
      <c r="H3386" s="6" t="str">
        <f aca="false">IF(F3386=0,"NOT FOUND",INDEX('All Song Rankings'!$B:$B,F3386))</f>
        <v>Marc Anthony</v>
      </c>
      <c r="I3386" s="6" t="str">
        <f aca="false">IF(F3386=0,"NOT FOUND",INDEX('All Song Rankings'!$D:$D,F3386))</f>
        <v>Aubrey</v>
      </c>
      <c r="J3386" s="7" t="str">
        <f aca="false">IF(F3386=0,"NOT FOUND",IF(C3386=I3386,"SELF-VOTE",IF(COUNTIF($K:$K,K3386)&gt;1,"DUPLICATE","OK")))</f>
        <v>OK</v>
      </c>
      <c r="K3386" s="6" t="str">
        <f aca="false">A3386&amp;"|"&amp;B3386&amp;"|"&amp;C3386&amp;"|"&amp;D3386</f>
        <v>5|7|Stephanie|spotify:track:3QHMxEOAGD51PDlbFPHLyJ</v>
      </c>
    </row>
    <row r="3387" customFormat="false" ht="15" hidden="false" customHeight="false" outlineLevel="0" collapsed="false">
      <c r="A3387" s="5" t="n">
        <v>5</v>
      </c>
      <c r="B3387" s="5" t="n">
        <v>7</v>
      </c>
      <c r="C3387" s="5" t="s">
        <v>97</v>
      </c>
      <c r="D3387" s="5" t="s">
        <v>1588</v>
      </c>
      <c r="E3387" s="5" t="n">
        <v>1</v>
      </c>
      <c r="F3387" s="6" t="n">
        <f aca="false">IFERROR(MATCH(A3387&amp;"|"&amp;B3387&amp;"|"&amp;D3387,'All Song Rankings'!$T:$T,0),0)</f>
        <v>512</v>
      </c>
      <c r="G3387" s="6" t="str">
        <f aca="false">IF(F3387=0,"NOT FOUND",INDEX('All Song Rankings'!$A:$A,F3387))</f>
        <v>Time To Say Goodbye</v>
      </c>
      <c r="H3387" s="6" t="str">
        <f aca="false">IF(F3387=0,"NOT FOUND",INDEX('All Song Rankings'!$B:$B,F3387))</f>
        <v>Sarah Brightman</v>
      </c>
      <c r="I3387" s="6" t="str">
        <f aca="false">IF(F3387=0,"NOT FOUND",INDEX('All Song Rankings'!$D:$D,F3387))</f>
        <v>Lisa</v>
      </c>
      <c r="J3387" s="7" t="str">
        <f aca="false">IF(F3387=0,"NOT FOUND",IF(C3387=I3387,"SELF-VOTE",IF(COUNTIF($K:$K,K3387)&gt;1,"DUPLICATE","OK")))</f>
        <v>OK</v>
      </c>
      <c r="K3387" s="6" t="str">
        <f aca="false">A3387&amp;"|"&amp;B3387&amp;"|"&amp;C3387&amp;"|"&amp;D3387</f>
        <v>5|7|Stephanie|spotify:track:3VAICuY2ax2yCLT7EhNeZE</v>
      </c>
    </row>
    <row r="3388" customFormat="false" ht="15" hidden="false" customHeight="false" outlineLevel="0" collapsed="false">
      <c r="A3388" s="5" t="n">
        <v>5</v>
      </c>
      <c r="B3388" s="5" t="n">
        <v>7</v>
      </c>
      <c r="C3388" s="5" t="s">
        <v>97</v>
      </c>
      <c r="D3388" s="5" t="s">
        <v>1579</v>
      </c>
      <c r="E3388" s="5" t="n">
        <v>2</v>
      </c>
      <c r="F3388" s="6" t="n">
        <f aca="false">IFERROR(MATCH(A3388&amp;"|"&amp;B3388&amp;"|"&amp;D3388,'All Song Rankings'!$T:$T,0),0)</f>
        <v>509</v>
      </c>
      <c r="G3388" s="6" t="str">
        <f aca="false">IF(F3388=0,"NOT FOUND",INDEX('All Song Rankings'!$A:$A,F3388))</f>
        <v>Pepas</v>
      </c>
      <c r="H3388" s="6" t="str">
        <f aca="false">IF(F3388=0,"NOT FOUND",INDEX('All Song Rankings'!$B:$B,F3388))</f>
        <v>Farruko</v>
      </c>
      <c r="I3388" s="6" t="str">
        <f aca="false">IF(F3388=0,"NOT FOUND",INDEX('All Song Rankings'!$D:$D,F3388))</f>
        <v>Leah</v>
      </c>
      <c r="J3388" s="7" t="str">
        <f aca="false">IF(F3388=0,"NOT FOUND",IF(C3388=I3388,"SELF-VOTE",IF(COUNTIF($K:$K,K3388)&gt;1,"DUPLICATE","OK")))</f>
        <v>OK</v>
      </c>
      <c r="K3388" s="6" t="str">
        <f aca="false">A3388&amp;"|"&amp;B3388&amp;"|"&amp;C3388&amp;"|"&amp;D3388</f>
        <v>5|7|Stephanie|spotify:track:5fwSHlTEWpluwOM0Sxnh5k</v>
      </c>
    </row>
    <row r="3389" customFormat="false" ht="15" hidden="false" customHeight="false" outlineLevel="0" collapsed="false">
      <c r="A3389" s="5" t="n">
        <v>5</v>
      </c>
      <c r="B3389" s="5" t="n">
        <v>7</v>
      </c>
      <c r="C3389" s="5" t="s">
        <v>97</v>
      </c>
      <c r="D3389" s="5" t="s">
        <v>1614</v>
      </c>
      <c r="E3389" s="5" t="n">
        <v>2</v>
      </c>
      <c r="F3389" s="6" t="n">
        <f aca="false">IFERROR(MATCH(A3389&amp;"|"&amp;B3389&amp;"|"&amp;D3389,'All Song Rankings'!$T:$T,0),0)</f>
        <v>521</v>
      </c>
      <c r="G3389" s="6" t="str">
        <f aca="false">IF(F3389=0,"NOT FOUND",INDEX('All Song Rankings'!$A:$A,F3389))</f>
        <v>Como La Flor</v>
      </c>
      <c r="H3389" s="6" t="str">
        <f aca="false">IF(F3389=0,"NOT FOUND",INDEX('All Song Rankings'!$B:$B,F3389))</f>
        <v>Selena</v>
      </c>
      <c r="I3389" s="6" t="str">
        <f aca="false">IF(F3389=0,"NOT FOUND",INDEX('All Song Rankings'!$D:$D,F3389))</f>
        <v>Logan</v>
      </c>
      <c r="J3389" s="7" t="str">
        <f aca="false">IF(F3389=0,"NOT FOUND",IF(C3389=I3389,"SELF-VOTE",IF(COUNTIF($K:$K,K3389)&gt;1,"DUPLICATE","OK")))</f>
        <v>OK</v>
      </c>
      <c r="K3389" s="6" t="str">
        <f aca="false">A3389&amp;"|"&amp;B3389&amp;"|"&amp;C3389&amp;"|"&amp;D3389</f>
        <v>5|7|Stephanie|spotify:track:5ubqSAc9LxUS2CsMHcA4kF</v>
      </c>
    </row>
    <row r="3390" customFormat="false" ht="15" hidden="false" customHeight="false" outlineLevel="0" collapsed="false">
      <c r="A3390" s="5" t="n">
        <v>5</v>
      </c>
      <c r="B3390" s="5" t="n">
        <v>7</v>
      </c>
      <c r="C3390" s="5" t="s">
        <v>97</v>
      </c>
      <c r="D3390" s="5" t="s">
        <v>1576</v>
      </c>
      <c r="E3390" s="5" t="n">
        <v>2</v>
      </c>
      <c r="F3390" s="6" t="n">
        <f aca="false">IFERROR(MATCH(A3390&amp;"|"&amp;B3390&amp;"|"&amp;D3390,'All Song Rankings'!$T:$T,0),0)</f>
        <v>508</v>
      </c>
      <c r="G3390" s="6" t="str">
        <f aca="false">IF(F3390=0,"NOT FOUND",INDEX('All Song Rankings'!$A:$A,F3390))</f>
        <v>C'est la vie</v>
      </c>
      <c r="H3390" s="6" t="str">
        <f aca="false">IF(F3390=0,"NOT FOUND",INDEX('All Song Rankings'!$B:$B,F3390))</f>
        <v>Khaled</v>
      </c>
      <c r="I3390" s="6" t="str">
        <f aca="false">IF(F3390=0,"NOT FOUND",INDEX('All Song Rankings'!$D:$D,F3390))</f>
        <v>Kelsey</v>
      </c>
      <c r="J3390" s="7" t="str">
        <f aca="false">IF(F3390=0,"NOT FOUND",IF(C3390=I3390,"SELF-VOTE",IF(COUNTIF($K:$K,K3390)&gt;1,"DUPLICATE","OK")))</f>
        <v>OK</v>
      </c>
      <c r="K3390" s="6" t="str">
        <f aca="false">A3390&amp;"|"&amp;B3390&amp;"|"&amp;C3390&amp;"|"&amp;D3390</f>
        <v>5|7|Stephanie|spotify:track:6KGHsN5QI0qunsADx3e51i</v>
      </c>
    </row>
    <row r="3391" customFormat="false" ht="15" hidden="false" customHeight="false" outlineLevel="0" collapsed="false">
      <c r="A3391" s="5" t="n">
        <v>5</v>
      </c>
      <c r="B3391" s="5" t="n">
        <v>8</v>
      </c>
      <c r="C3391" s="5" t="s">
        <v>375</v>
      </c>
      <c r="D3391" s="5" t="s">
        <v>1639</v>
      </c>
      <c r="E3391" s="5" t="n">
        <v>2</v>
      </c>
      <c r="F3391" s="6" t="n">
        <f aca="false">IFERROR(MATCH(A3391&amp;"|"&amp;B3391&amp;"|"&amp;D3391,'All Song Rankings'!$T:$T,0),0)</f>
        <v>531</v>
      </c>
      <c r="G3391" s="6" t="str">
        <f aca="false">IF(F3391=0,"NOT FOUND",INDEX('All Song Rankings'!$A:$A,F3391))</f>
        <v>Livin' la Vida Loca</v>
      </c>
      <c r="H3391" s="6" t="str">
        <f aca="false">IF(F3391=0,"NOT FOUND",INDEX('All Song Rankings'!$B:$B,F3391))</f>
        <v>Ricky Martin</v>
      </c>
      <c r="I3391" s="6" t="str">
        <f aca="false">IF(F3391=0,"NOT FOUND",INDEX('All Song Rankings'!$D:$D,F3391))</f>
        <v>Makenzie</v>
      </c>
      <c r="J3391" s="7" t="str">
        <f aca="false">IF(F3391=0,"NOT FOUND",IF(C3391=I3391,"SELF-VOTE",IF(COUNTIF($K:$K,K3391)&gt;1,"DUPLICATE","OK")))</f>
        <v>OK</v>
      </c>
      <c r="K3391" s="6" t="str">
        <f aca="false">A3391&amp;"|"&amp;B3391&amp;"|"&amp;C3391&amp;"|"&amp;D3391</f>
        <v>5|8|Aubrey|spotify:track:0Ph6L4l8dYUuXFmb71Ajnd</v>
      </c>
    </row>
    <row r="3392" customFormat="false" ht="15" hidden="false" customHeight="false" outlineLevel="0" collapsed="false">
      <c r="A3392" s="5" t="n">
        <v>5</v>
      </c>
      <c r="B3392" s="5" t="n">
        <v>8</v>
      </c>
      <c r="C3392" s="5" t="s">
        <v>375</v>
      </c>
      <c r="D3392" s="5" t="s">
        <v>1669</v>
      </c>
      <c r="E3392" s="5" t="n">
        <v>1</v>
      </c>
      <c r="F3392" s="6" t="n">
        <f aca="false">IFERROR(MATCH(A3392&amp;"|"&amp;B3392&amp;"|"&amp;D3392,'All Song Rankings'!$T:$T,0),0)</f>
        <v>543</v>
      </c>
      <c r="G3392" s="6" t="str">
        <f aca="false">IF(F3392=0,"NOT FOUND",INDEX('All Song Rankings'!$A:$A,F3392))</f>
        <v>Love Story</v>
      </c>
      <c r="H3392" s="6" t="str">
        <f aca="false">IF(F3392=0,"NOT FOUND",INDEX('All Song Rankings'!$B:$B,F3392))</f>
        <v>Taylor Swift</v>
      </c>
      <c r="I3392" s="6" t="str">
        <f aca="false">IF(F3392=0,"NOT FOUND",INDEX('All Song Rankings'!$D:$D,F3392))</f>
        <v>Kelsey</v>
      </c>
      <c r="J3392" s="7" t="str">
        <f aca="false">IF(F3392=0,"NOT FOUND",IF(C3392=I3392,"SELF-VOTE",IF(COUNTIF($K:$K,K3392)&gt;1,"DUPLICATE","OK")))</f>
        <v>OK</v>
      </c>
      <c r="K3392" s="6" t="str">
        <f aca="false">A3392&amp;"|"&amp;B3392&amp;"|"&amp;C3392&amp;"|"&amp;D3392</f>
        <v>5|8|Aubrey|spotify:track:1vrd6UOGamcKNGnSHJQlSt</v>
      </c>
    </row>
    <row r="3393" customFormat="false" ht="15" hidden="false" customHeight="false" outlineLevel="0" collapsed="false">
      <c r="A3393" s="5" t="n">
        <v>5</v>
      </c>
      <c r="B3393" s="5" t="n">
        <v>8</v>
      </c>
      <c r="C3393" s="5" t="s">
        <v>375</v>
      </c>
      <c r="D3393" s="5" t="s">
        <v>1658</v>
      </c>
      <c r="E3393" s="5" t="n">
        <v>2</v>
      </c>
      <c r="F3393" s="6" t="n">
        <f aca="false">IFERROR(MATCH(A3393&amp;"|"&amp;B3393&amp;"|"&amp;D3393,'All Song Rankings'!$T:$T,0),0)</f>
        <v>538</v>
      </c>
      <c r="G3393" s="6" t="str">
        <f aca="false">IF(F3393=0,"NOT FOUND",INDEX('All Song Rankings'!$A:$A,F3393))</f>
        <v>Heartbreaker</v>
      </c>
      <c r="H3393" s="6" t="str">
        <f aca="false">IF(F3393=0,"NOT FOUND",INDEX('All Song Rankings'!$B:$B,F3393))</f>
        <v>Pat Benatar</v>
      </c>
      <c r="I3393" s="6" t="str">
        <f aca="false">IF(F3393=0,"NOT FOUND",INDEX('All Song Rankings'!$D:$D,F3393))</f>
        <v>Lisa</v>
      </c>
      <c r="J3393" s="7" t="str">
        <f aca="false">IF(F3393=0,"NOT FOUND",IF(C3393=I3393,"SELF-VOTE",IF(COUNTIF($K:$K,K3393)&gt;1,"DUPLICATE","OK")))</f>
        <v>OK</v>
      </c>
      <c r="K3393" s="6" t="str">
        <f aca="false">A3393&amp;"|"&amp;B3393&amp;"|"&amp;C3393&amp;"|"&amp;D3393</f>
        <v>5|8|Aubrey|spotify:track:22ML0MuFKfw16WejbxsLOy</v>
      </c>
    </row>
    <row r="3394" customFormat="false" ht="15" hidden="false" customHeight="false" outlineLevel="0" collapsed="false">
      <c r="A3394" s="5" t="n">
        <v>5</v>
      </c>
      <c r="B3394" s="5" t="n">
        <v>8</v>
      </c>
      <c r="C3394" s="5" t="s">
        <v>375</v>
      </c>
      <c r="D3394" s="5" t="s">
        <v>1641</v>
      </c>
      <c r="E3394" s="5" t="n">
        <v>1</v>
      </c>
      <c r="F3394" s="6" t="n">
        <f aca="false">IFERROR(MATCH(A3394&amp;"|"&amp;B3394&amp;"|"&amp;D3394,'All Song Rankings'!$T:$T,0),0)</f>
        <v>532</v>
      </c>
      <c r="G3394" s="6" t="str">
        <f aca="false">IF(F3394=0,"NOT FOUND",INDEX('All Song Rankings'!$A:$A,F3394))</f>
        <v>Sucker</v>
      </c>
      <c r="H3394" s="6" t="str">
        <f aca="false">IF(F3394=0,"NOT FOUND",INDEX('All Song Rankings'!$B:$B,F3394))</f>
        <v>Jonas Brothers</v>
      </c>
      <c r="I3394" s="6" t="str">
        <f aca="false">IF(F3394=0,"NOT FOUND",INDEX('All Song Rankings'!$D:$D,F3394))</f>
        <v>Makenzie</v>
      </c>
      <c r="J3394" s="7" t="str">
        <f aca="false">IF(F3394=0,"NOT FOUND",IF(C3394=I3394,"SELF-VOTE",IF(COUNTIF($K:$K,K3394)&gt;1,"DUPLICATE","OK")))</f>
        <v>OK</v>
      </c>
      <c r="K3394" s="6" t="str">
        <f aca="false">A3394&amp;"|"&amp;B3394&amp;"|"&amp;C3394&amp;"|"&amp;D3394</f>
        <v>5|8|Aubrey|spotify:track:22vgEDb5hykfaTwLuskFGD</v>
      </c>
    </row>
    <row r="3395" customFormat="false" ht="15" hidden="false" customHeight="false" outlineLevel="0" collapsed="false">
      <c r="A3395" s="5" t="n">
        <v>5</v>
      </c>
      <c r="B3395" s="5" t="n">
        <v>8</v>
      </c>
      <c r="C3395" s="5" t="s">
        <v>375</v>
      </c>
      <c r="D3395" s="5" t="s">
        <v>1632</v>
      </c>
      <c r="E3395" s="5" t="n">
        <v>1</v>
      </c>
      <c r="F3395" s="6" t="n">
        <f aca="false">IFERROR(MATCH(A3395&amp;"|"&amp;B3395&amp;"|"&amp;D3395,'All Song Rankings'!$T:$T,0),0)</f>
        <v>528</v>
      </c>
      <c r="G3395" s="6" t="str">
        <f aca="false">IF(F3395=0,"NOT FOUND",INDEX('All Song Rankings'!$A:$A,F3395))</f>
        <v>Kokomo</v>
      </c>
      <c r="H3395" s="6" t="str">
        <f aca="false">IF(F3395=0,"NOT FOUND",INDEX('All Song Rankings'!$B:$B,F3395))</f>
        <v>The Beach Boys</v>
      </c>
      <c r="I3395" s="6" t="str">
        <f aca="false">IF(F3395=0,"NOT FOUND",INDEX('All Song Rankings'!$D:$D,F3395))</f>
        <v>Leah</v>
      </c>
      <c r="J3395" s="7" t="str">
        <f aca="false">IF(F3395=0,"NOT FOUND",IF(C3395=I3395,"SELF-VOTE",IF(COUNTIF($K:$K,K3395)&gt;1,"DUPLICATE","OK")))</f>
        <v>OK</v>
      </c>
      <c r="K3395" s="6" t="str">
        <f aca="false">A3395&amp;"|"&amp;B3395&amp;"|"&amp;C3395&amp;"|"&amp;D3395</f>
        <v>5|8|Aubrey|spotify:track:2STQAr3BRiAeeveJ07gZh7</v>
      </c>
    </row>
    <row r="3396" customFormat="false" ht="15" hidden="false" customHeight="false" outlineLevel="0" collapsed="false">
      <c r="A3396" s="5" t="n">
        <v>5</v>
      </c>
      <c r="B3396" s="5" t="n">
        <v>8</v>
      </c>
      <c r="C3396" s="5" t="s">
        <v>375</v>
      </c>
      <c r="D3396" s="5" t="s">
        <v>1687</v>
      </c>
      <c r="E3396" s="5" t="n">
        <v>2</v>
      </c>
      <c r="F3396" s="6" t="n">
        <f aca="false">IFERROR(MATCH(A3396&amp;"|"&amp;B3396&amp;"|"&amp;D3396,'All Song Rankings'!$T:$T,0),0)</f>
        <v>550</v>
      </c>
      <c r="G3396" s="6" t="str">
        <f aca="false">IF(F3396=0,"NOT FOUND",INDEX('All Song Rankings'!$A:$A,F3396))</f>
        <v>She Thinks My Tractor's Sexy</v>
      </c>
      <c r="H3396" s="6" t="str">
        <f aca="false">IF(F3396=0,"NOT FOUND",INDEX('All Song Rankings'!$B:$B,F3396))</f>
        <v>Kenny Chesney</v>
      </c>
      <c r="I3396" s="6" t="str">
        <f aca="false">IF(F3396=0,"NOT FOUND",INDEX('All Song Rankings'!$D:$D,F3396))</f>
        <v>Logan</v>
      </c>
      <c r="J3396" s="7" t="str">
        <f aca="false">IF(F3396=0,"NOT FOUND",IF(C3396=I3396,"SELF-VOTE",IF(COUNTIF($K:$K,K3396)&gt;1,"DUPLICATE","OK")))</f>
        <v>OK</v>
      </c>
      <c r="K3396" s="6" t="str">
        <f aca="false">A3396&amp;"|"&amp;B3396&amp;"|"&amp;C3396&amp;"|"&amp;D3396</f>
        <v>5|8|Aubrey|spotify:track:3QV7NYkrmV0Q0IHdFJw9hO</v>
      </c>
    </row>
    <row r="3397" customFormat="false" ht="15" hidden="false" customHeight="false" outlineLevel="0" collapsed="false">
      <c r="A3397" s="5" t="n">
        <v>5</v>
      </c>
      <c r="B3397" s="5" t="n">
        <v>8</v>
      </c>
      <c r="C3397" s="5" t="s">
        <v>375</v>
      </c>
      <c r="D3397" s="5" t="s">
        <v>1671</v>
      </c>
      <c r="E3397" s="5" t="n">
        <v>1</v>
      </c>
      <c r="F3397" s="6" t="n">
        <f aca="false">IFERROR(MATCH(A3397&amp;"|"&amp;B3397&amp;"|"&amp;D3397,'All Song Rankings'!$T:$T,0),0)</f>
        <v>544</v>
      </c>
      <c r="G3397" s="6" t="str">
        <f aca="false">IF(F3397=0,"NOT FOUND",INDEX('All Song Rankings'!$A:$A,F3397))</f>
        <v>Walk This Way</v>
      </c>
      <c r="H3397" s="6" t="str">
        <f aca="false">IF(F3397=0,"NOT FOUND",INDEX('All Song Rankings'!$B:$B,F3397))</f>
        <v>Aerosmith</v>
      </c>
      <c r="I3397" s="6" t="str">
        <f aca="false">IF(F3397=0,"NOT FOUND",INDEX('All Song Rankings'!$D:$D,F3397))</f>
        <v>Kristen</v>
      </c>
      <c r="J3397" s="7" t="str">
        <f aca="false">IF(F3397=0,"NOT FOUND",IF(C3397=I3397,"SELF-VOTE",IF(COUNTIF($K:$K,K3397)&gt;1,"DUPLICATE","OK")))</f>
        <v>OK</v>
      </c>
      <c r="K3397" s="6" t="str">
        <f aca="false">A3397&amp;"|"&amp;B3397&amp;"|"&amp;C3397&amp;"|"&amp;D3397</f>
        <v>5|8|Aubrey|spotify:track:4JfuiOWlWCkjP6OKurHjSn</v>
      </c>
    </row>
    <row r="3398" customFormat="false" ht="15" hidden="false" customHeight="false" outlineLevel="0" collapsed="false">
      <c r="A3398" s="5" t="n">
        <v>5</v>
      </c>
      <c r="B3398" s="5" t="n">
        <v>8</v>
      </c>
      <c r="C3398" s="5" t="s">
        <v>375</v>
      </c>
      <c r="D3398" s="5" t="s">
        <v>1655</v>
      </c>
      <c r="E3398" s="5" t="n">
        <v>1</v>
      </c>
      <c r="F3398" s="6" t="n">
        <f aca="false">IFERROR(MATCH(A3398&amp;"|"&amp;B3398&amp;"|"&amp;D3398,'All Song Rankings'!$T:$T,0),0)</f>
        <v>537</v>
      </c>
      <c r="G3398" s="6" t="str">
        <f aca="false">IF(F3398=0,"NOT FOUND",INDEX('All Song Rankings'!$A:$A,F3398))</f>
        <v>You Got It (The Right Stuff)</v>
      </c>
      <c r="H3398" s="6" t="str">
        <f aca="false">IF(F3398=0,"NOT FOUND",INDEX('All Song Rankings'!$B:$B,F3398))</f>
        <v>New Kids On The Block</v>
      </c>
      <c r="I3398" s="6" t="str">
        <f aca="false">IF(F3398=0,"NOT FOUND",INDEX('All Song Rankings'!$D:$D,F3398))</f>
        <v>Matt</v>
      </c>
      <c r="J3398" s="7" t="str">
        <f aca="false">IF(F3398=0,"NOT FOUND",IF(C3398=I3398,"SELF-VOTE",IF(COUNTIF($K:$K,K3398)&gt;1,"DUPLICATE","OK")))</f>
        <v>OK</v>
      </c>
      <c r="K3398" s="6" t="str">
        <f aca="false">A3398&amp;"|"&amp;B3398&amp;"|"&amp;C3398&amp;"|"&amp;D3398</f>
        <v>5|8|Aubrey|spotify:track:4buDeg67vos7KP1yHrS9wl</v>
      </c>
    </row>
    <row r="3399" customFormat="false" ht="15" hidden="false" customHeight="false" outlineLevel="0" collapsed="false">
      <c r="A3399" s="5" t="n">
        <v>5</v>
      </c>
      <c r="B3399" s="5" t="n">
        <v>8</v>
      </c>
      <c r="C3399" s="5" t="s">
        <v>375</v>
      </c>
      <c r="D3399" s="5" t="s">
        <v>1665</v>
      </c>
      <c r="E3399" s="5" t="n">
        <v>2</v>
      </c>
      <c r="F3399" s="6" t="n">
        <f aca="false">IFERROR(MATCH(A3399&amp;"|"&amp;B3399&amp;"|"&amp;D3399,'All Song Rankings'!$T:$T,0),0)</f>
        <v>541</v>
      </c>
      <c r="G3399" s="6" t="str">
        <f aca="false">IF(F3399=0,"NOT FOUND",INDEX('All Song Rankings'!$A:$A,F3399))</f>
        <v>Shake It Up</v>
      </c>
      <c r="H3399" s="6" t="str">
        <f aca="false">IF(F3399=0,"NOT FOUND",INDEX('All Song Rankings'!$B:$B,F3399))</f>
        <v>The Cars</v>
      </c>
      <c r="I3399" s="6" t="str">
        <f aca="false">IF(F3399=0,"NOT FOUND",INDEX('All Song Rankings'!$D:$D,F3399))</f>
        <v>Christine</v>
      </c>
      <c r="J3399" s="7" t="str">
        <f aca="false">IF(F3399=0,"NOT FOUND",IF(C3399=I3399,"SELF-VOTE",IF(COUNTIF($K:$K,K3399)&gt;1,"DUPLICATE","OK")))</f>
        <v>OK</v>
      </c>
      <c r="K3399" s="6" t="str">
        <f aca="false">A3399&amp;"|"&amp;B3399&amp;"|"&amp;C3399&amp;"|"&amp;D3399</f>
        <v>5|8|Aubrey|spotify:track:5OWokvF4QOqMDQ8ByQsm6V</v>
      </c>
    </row>
    <row r="3400" customFormat="false" ht="15" hidden="false" customHeight="false" outlineLevel="0" collapsed="false">
      <c r="A3400" s="5" t="n">
        <v>5</v>
      </c>
      <c r="B3400" s="5" t="n">
        <v>8</v>
      </c>
      <c r="C3400" s="5" t="s">
        <v>375</v>
      </c>
      <c r="D3400" s="5" t="s">
        <v>1637</v>
      </c>
      <c r="E3400" s="5" t="n">
        <v>1</v>
      </c>
      <c r="F3400" s="6" t="n">
        <f aca="false">IFERROR(MATCH(A3400&amp;"|"&amp;B3400&amp;"|"&amp;D3400,'All Song Rankings'!$T:$T,0),0)</f>
        <v>530</v>
      </c>
      <c r="G3400" s="6" t="str">
        <f aca="false">IF(F3400=0,"NOT FOUND",INDEX('All Song Rankings'!$A:$A,F3400))</f>
        <v>I Want You Back - Radio Edit</v>
      </c>
      <c r="H3400" s="6" t="str">
        <f aca="false">IF(F3400=0,"NOT FOUND",INDEX('All Song Rankings'!$B:$B,F3400))</f>
        <v>*NSYNC</v>
      </c>
      <c r="I3400" s="6" t="str">
        <f aca="false">IF(F3400=0,"NOT FOUND",INDEX('All Song Rankings'!$D:$D,F3400))</f>
        <v>Stephanie</v>
      </c>
      <c r="J3400" s="7" t="str">
        <f aca="false">IF(F3400=0,"NOT FOUND",IF(C3400=I3400,"SELF-VOTE",IF(COUNTIF($K:$K,K3400)&gt;1,"DUPLICATE","OK")))</f>
        <v>OK</v>
      </c>
      <c r="K3400" s="6" t="str">
        <f aca="false">A3400&amp;"|"&amp;B3400&amp;"|"&amp;C3400&amp;"|"&amp;D3400</f>
        <v>5|8|Aubrey|spotify:track:5YTMRAT4yKgFrepF8Hi3mY</v>
      </c>
    </row>
    <row r="3401" customFormat="false" ht="15" hidden="false" customHeight="false" outlineLevel="0" collapsed="false">
      <c r="A3401" s="5" t="n">
        <v>5</v>
      </c>
      <c r="B3401" s="5" t="n">
        <v>8</v>
      </c>
      <c r="C3401" s="5" t="s">
        <v>375</v>
      </c>
      <c r="D3401" s="5" t="s">
        <v>1646</v>
      </c>
      <c r="E3401" s="5" t="n">
        <v>2</v>
      </c>
      <c r="F3401" s="6" t="n">
        <f aca="false">IFERROR(MATCH(A3401&amp;"|"&amp;B3401&amp;"|"&amp;D3401,'All Song Rankings'!$T:$T,0),0)</f>
        <v>534</v>
      </c>
      <c r="G3401" s="6" t="str">
        <f aca="false">IF(F3401=0,"NOT FOUND",INDEX('All Song Rankings'!$A:$A,F3401))</f>
        <v>All Too Well (10 Minute Version) (Taylor's Version) (From The Vault)</v>
      </c>
      <c r="H3401" s="6" t="str">
        <f aca="false">IF(F3401=0,"NOT FOUND",INDEX('All Song Rankings'!$B:$B,F3401))</f>
        <v>Taylor Swift</v>
      </c>
      <c r="I3401" s="6" t="str">
        <f aca="false">IF(F3401=0,"NOT FOUND",INDEX('All Song Rankings'!$D:$D,F3401))</f>
        <v>Stephanie</v>
      </c>
      <c r="J3401" s="7" t="str">
        <f aca="false">IF(F3401=0,"NOT FOUND",IF(C3401=I3401,"SELF-VOTE",IF(COUNTIF($K:$K,K3401)&gt;1,"DUPLICATE","OK")))</f>
        <v>OK</v>
      </c>
      <c r="K3401" s="6" t="str">
        <f aca="false">A3401&amp;"|"&amp;B3401&amp;"|"&amp;C3401&amp;"|"&amp;D3401</f>
        <v>5|8|Aubrey|spotify:track:5enxwA8aAbwZbf5qCHORXi</v>
      </c>
    </row>
    <row r="3402" customFormat="false" ht="15" hidden="false" customHeight="false" outlineLevel="0" collapsed="false">
      <c r="A3402" s="5" t="n">
        <v>5</v>
      </c>
      <c r="B3402" s="5" t="n">
        <v>8</v>
      </c>
      <c r="C3402" s="5" t="s">
        <v>375</v>
      </c>
      <c r="D3402" s="5" t="s">
        <v>1679</v>
      </c>
      <c r="E3402" s="5" t="n">
        <v>1</v>
      </c>
      <c r="F3402" s="6" t="n">
        <f aca="false">IFERROR(MATCH(A3402&amp;"|"&amp;B3402&amp;"|"&amp;D3402,'All Song Rankings'!$T:$T,0),0)</f>
        <v>547</v>
      </c>
      <c r="G3402" s="6" t="str">
        <f aca="false">IF(F3402=0,"NOT FOUND",INDEX('All Song Rankings'!$A:$A,F3402))</f>
        <v>Worth Your Wild</v>
      </c>
      <c r="H3402" s="6" t="str">
        <f aca="false">IF(F3402=0,"NOT FOUND",INDEX('All Song Rankings'!$B:$B,F3402))</f>
        <v>Russell Dickerson</v>
      </c>
      <c r="I3402" s="6" t="str">
        <f aca="false">IF(F3402=0,"NOT FOUND",INDEX('All Song Rankings'!$D:$D,F3402))</f>
        <v>Kelsey</v>
      </c>
      <c r="J3402" s="7" t="str">
        <f aca="false">IF(F3402=0,"NOT FOUND",IF(C3402=I3402,"SELF-VOTE",IF(COUNTIF($K:$K,K3402)&gt;1,"DUPLICATE","OK")))</f>
        <v>OK</v>
      </c>
      <c r="K3402" s="6" t="str">
        <f aca="false">A3402&amp;"|"&amp;B3402&amp;"|"&amp;C3402&amp;"|"&amp;D3402</f>
        <v>5|8|Aubrey|spotify:track:67bIPJptdsuPeyOPv8z1lL</v>
      </c>
    </row>
    <row r="3403" customFormat="false" ht="15" hidden="false" customHeight="false" outlineLevel="0" collapsed="false">
      <c r="A3403" s="5" t="n">
        <v>5</v>
      </c>
      <c r="B3403" s="5" t="n">
        <v>8</v>
      </c>
      <c r="C3403" s="5" t="s">
        <v>375</v>
      </c>
      <c r="D3403" s="5" t="s">
        <v>1652</v>
      </c>
      <c r="E3403" s="5" t="n">
        <v>1</v>
      </c>
      <c r="F3403" s="6" t="n">
        <f aca="false">IFERROR(MATCH(A3403&amp;"|"&amp;B3403&amp;"|"&amp;D3403,'All Song Rankings'!$T:$T,0),0)</f>
        <v>536</v>
      </c>
      <c r="G3403" s="6" t="str">
        <f aca="false">IF(F3403=0,"NOT FOUND",INDEX('All Song Rankings'!$A:$A,F3403))</f>
        <v>Born to Run</v>
      </c>
      <c r="H3403" s="6" t="str">
        <f aca="false">IF(F3403=0,"NOT FOUND",INDEX('All Song Rankings'!$B:$B,F3403))</f>
        <v>Bruce Springsteen</v>
      </c>
      <c r="I3403" s="6" t="str">
        <f aca="false">IF(F3403=0,"NOT FOUND",INDEX('All Song Rankings'!$D:$D,F3403))</f>
        <v>Lisa</v>
      </c>
      <c r="J3403" s="7" t="str">
        <f aca="false">IF(F3403=0,"NOT FOUND",IF(C3403=I3403,"SELF-VOTE",IF(COUNTIF($K:$K,K3403)&gt;1,"DUPLICATE","OK")))</f>
        <v>OK</v>
      </c>
      <c r="K3403" s="6" t="str">
        <f aca="false">A3403&amp;"|"&amp;B3403&amp;"|"&amp;C3403&amp;"|"&amp;D3403</f>
        <v>5|8|Aubrey|spotify:track:6hTcuIQa0sxrrByu9wTD7s</v>
      </c>
    </row>
    <row r="3404" customFormat="false" ht="15" hidden="false" customHeight="false" outlineLevel="0" collapsed="false">
      <c r="A3404" s="5" t="n">
        <v>5</v>
      </c>
      <c r="B3404" s="5" t="n">
        <v>8</v>
      </c>
      <c r="C3404" s="5" t="s">
        <v>375</v>
      </c>
      <c r="D3404" s="5" t="s">
        <v>1630</v>
      </c>
      <c r="E3404" s="5" t="n">
        <v>1</v>
      </c>
      <c r="F3404" s="6" t="n">
        <f aca="false">IFERROR(MATCH(A3404&amp;"|"&amp;B3404&amp;"|"&amp;D3404,'All Song Rankings'!$T:$T,0),0)</f>
        <v>527</v>
      </c>
      <c r="G3404" s="6" t="str">
        <f aca="false">IF(F3404=0,"NOT FOUND",INDEX('All Song Rankings'!$A:$A,F3404))</f>
        <v>Oops!...I Did It Again</v>
      </c>
      <c r="H3404" s="6" t="str">
        <f aca="false">IF(F3404=0,"NOT FOUND",INDEX('All Song Rankings'!$B:$B,F3404))</f>
        <v>Britney Spears</v>
      </c>
      <c r="I3404" s="6" t="str">
        <f aca="false">IF(F3404=0,"NOT FOUND",INDEX('All Song Rankings'!$D:$D,F3404))</f>
        <v>Colleen</v>
      </c>
      <c r="J3404" s="7" t="str">
        <f aca="false">IF(F3404=0,"NOT FOUND",IF(C3404=I3404,"SELF-VOTE",IF(COUNTIF($K:$K,K3404)&gt;1,"DUPLICATE","OK")))</f>
        <v>OK</v>
      </c>
      <c r="K3404" s="6" t="str">
        <f aca="false">A3404&amp;"|"&amp;B3404&amp;"|"&amp;C3404&amp;"|"&amp;D3404</f>
        <v>5|8|Aubrey|spotify:track:6naxalmIoLFWR0siv8dnQQ</v>
      </c>
    </row>
    <row r="3405" customFormat="false" ht="15" hidden="false" customHeight="false" outlineLevel="0" collapsed="false">
      <c r="A3405" s="5" t="n">
        <v>5</v>
      </c>
      <c r="B3405" s="5" t="n">
        <v>8</v>
      </c>
      <c r="C3405" s="5" t="s">
        <v>375</v>
      </c>
      <c r="D3405" s="5" t="s">
        <v>1649</v>
      </c>
      <c r="E3405" s="5" t="n">
        <v>1</v>
      </c>
      <c r="F3405" s="6" t="n">
        <f aca="false">IFERROR(MATCH(A3405&amp;"|"&amp;B3405&amp;"|"&amp;D3405,'All Song Rankings'!$T:$T,0),0)</f>
        <v>535</v>
      </c>
      <c r="G3405" s="6" t="str">
        <f aca="false">IF(F3405=0,"NOT FOUND",INDEX('All Song Rankings'!$A:$A,F3405))</f>
        <v>Born to Love You</v>
      </c>
      <c r="H3405" s="6" t="str">
        <f aca="false">IF(F3405=0,"NOT FOUND",INDEX('All Song Rankings'!$B:$B,F3405))</f>
        <v>LANCO</v>
      </c>
      <c r="I3405" s="6" t="str">
        <f aca="false">IF(F3405=0,"NOT FOUND",INDEX('All Song Rankings'!$D:$D,F3405))</f>
        <v>Nicole</v>
      </c>
      <c r="J3405" s="7" t="str">
        <f aca="false">IF(F3405=0,"NOT FOUND",IF(C3405=I3405,"SELF-VOTE",IF(COUNTIF($K:$K,K3405)&gt;1,"DUPLICATE","OK")))</f>
        <v>OK</v>
      </c>
      <c r="K3405" s="6" t="str">
        <f aca="false">A3405&amp;"|"&amp;B3405&amp;"|"&amp;C3405&amp;"|"&amp;D3405</f>
        <v>5|8|Aubrey|spotify:track:77a5Eu7lC3tG0Sukt2O91U</v>
      </c>
    </row>
    <row r="3406" customFormat="false" ht="15" hidden="false" customHeight="false" outlineLevel="0" collapsed="false">
      <c r="A3406" s="5" t="n">
        <v>5</v>
      </c>
      <c r="B3406" s="5" t="n">
        <v>8</v>
      </c>
      <c r="C3406" s="5" t="s">
        <v>719</v>
      </c>
      <c r="D3406" s="5" t="s">
        <v>1644</v>
      </c>
      <c r="E3406" s="5" t="n">
        <v>1</v>
      </c>
      <c r="F3406" s="6" t="n">
        <f aca="false">IFERROR(MATCH(A3406&amp;"|"&amp;B3406&amp;"|"&amp;D3406,'All Song Rankings'!$T:$T,0),0)</f>
        <v>533</v>
      </c>
      <c r="G3406" s="6" t="str">
        <f aca="false">IF(F3406=0,"NOT FOUND",INDEX('All Song Rankings'!$A:$A,F3406))</f>
        <v>IDK You Yet</v>
      </c>
      <c r="H3406" s="6" t="str">
        <f aca="false">IF(F3406=0,"NOT FOUND",INDEX('All Song Rankings'!$B:$B,F3406))</f>
        <v>Alexander 23</v>
      </c>
      <c r="I3406" s="6" t="str">
        <f aca="false">IF(F3406=0,"NOT FOUND",INDEX('All Song Rankings'!$D:$D,F3406))</f>
        <v>Merita</v>
      </c>
      <c r="J3406" s="7" t="str">
        <f aca="false">IF(F3406=0,"NOT FOUND",IF(C3406=I3406,"SELF-VOTE",IF(COUNTIF($K:$K,K3406)&gt;1,"DUPLICATE","OK")))</f>
        <v>OK</v>
      </c>
      <c r="K3406" s="6" t="str">
        <f aca="false">A3406&amp;"|"&amp;B3406&amp;"|"&amp;C3406&amp;"|"&amp;D3406</f>
        <v>5|8|Christine|spotify:track:11WbNwwAdoxfwpZxSHIP7J</v>
      </c>
    </row>
    <row r="3407" customFormat="false" ht="15" hidden="false" customHeight="false" outlineLevel="0" collapsed="false">
      <c r="A3407" s="5" t="n">
        <v>5</v>
      </c>
      <c r="B3407" s="5" t="n">
        <v>8</v>
      </c>
      <c r="C3407" s="5" t="s">
        <v>719</v>
      </c>
      <c r="D3407" s="5" t="s">
        <v>1658</v>
      </c>
      <c r="E3407" s="5" t="n">
        <v>2</v>
      </c>
      <c r="F3407" s="6" t="n">
        <f aca="false">IFERROR(MATCH(A3407&amp;"|"&amp;B3407&amp;"|"&amp;D3407,'All Song Rankings'!$T:$T,0),0)</f>
        <v>538</v>
      </c>
      <c r="G3407" s="6" t="str">
        <f aca="false">IF(F3407=0,"NOT FOUND",INDEX('All Song Rankings'!$A:$A,F3407))</f>
        <v>Heartbreaker</v>
      </c>
      <c r="H3407" s="6" t="str">
        <f aca="false">IF(F3407=0,"NOT FOUND",INDEX('All Song Rankings'!$B:$B,F3407))</f>
        <v>Pat Benatar</v>
      </c>
      <c r="I3407" s="6" t="str">
        <f aca="false">IF(F3407=0,"NOT FOUND",INDEX('All Song Rankings'!$D:$D,F3407))</f>
        <v>Lisa</v>
      </c>
      <c r="J3407" s="7" t="str">
        <f aca="false">IF(F3407=0,"NOT FOUND",IF(C3407=I3407,"SELF-VOTE",IF(COUNTIF($K:$K,K3407)&gt;1,"DUPLICATE","OK")))</f>
        <v>OK</v>
      </c>
      <c r="K3407" s="6" t="str">
        <f aca="false">A3407&amp;"|"&amp;B3407&amp;"|"&amp;C3407&amp;"|"&amp;D3407</f>
        <v>5|8|Christine|spotify:track:22ML0MuFKfw16WejbxsLOy</v>
      </c>
    </row>
    <row r="3408" customFormat="false" ht="15" hidden="false" customHeight="false" outlineLevel="0" collapsed="false">
      <c r="A3408" s="5" t="n">
        <v>5</v>
      </c>
      <c r="B3408" s="5" t="n">
        <v>8</v>
      </c>
      <c r="C3408" s="5" t="s">
        <v>719</v>
      </c>
      <c r="D3408" s="5" t="s">
        <v>1632</v>
      </c>
      <c r="E3408" s="5" t="n">
        <v>1</v>
      </c>
      <c r="F3408" s="6" t="n">
        <f aca="false">IFERROR(MATCH(A3408&amp;"|"&amp;B3408&amp;"|"&amp;D3408,'All Song Rankings'!$T:$T,0),0)</f>
        <v>528</v>
      </c>
      <c r="G3408" s="6" t="str">
        <f aca="false">IF(F3408=0,"NOT FOUND",INDEX('All Song Rankings'!$A:$A,F3408))</f>
        <v>Kokomo</v>
      </c>
      <c r="H3408" s="6" t="str">
        <f aca="false">IF(F3408=0,"NOT FOUND",INDEX('All Song Rankings'!$B:$B,F3408))</f>
        <v>The Beach Boys</v>
      </c>
      <c r="I3408" s="6" t="str">
        <f aca="false">IF(F3408=0,"NOT FOUND",INDEX('All Song Rankings'!$D:$D,F3408))</f>
        <v>Leah</v>
      </c>
      <c r="J3408" s="7" t="str">
        <f aca="false">IF(F3408=0,"NOT FOUND",IF(C3408=I3408,"SELF-VOTE",IF(COUNTIF($K:$K,K3408)&gt;1,"DUPLICATE","OK")))</f>
        <v>OK</v>
      </c>
      <c r="K3408" s="6" t="str">
        <f aca="false">A3408&amp;"|"&amp;B3408&amp;"|"&amp;C3408&amp;"|"&amp;D3408</f>
        <v>5|8|Christine|spotify:track:2STQAr3BRiAeeveJ07gZh7</v>
      </c>
    </row>
    <row r="3409" customFormat="false" ht="15" hidden="false" customHeight="false" outlineLevel="0" collapsed="false">
      <c r="A3409" s="5" t="n">
        <v>5</v>
      </c>
      <c r="B3409" s="5" t="n">
        <v>8</v>
      </c>
      <c r="C3409" s="5" t="s">
        <v>719</v>
      </c>
      <c r="D3409" s="5" t="s">
        <v>1676</v>
      </c>
      <c r="E3409" s="5" t="n">
        <v>1</v>
      </c>
      <c r="F3409" s="6" t="n">
        <f aca="false">IFERROR(MATCH(A3409&amp;"|"&amp;B3409&amp;"|"&amp;D3409,'All Song Rankings'!$T:$T,0),0)</f>
        <v>546</v>
      </c>
      <c r="G3409" s="6" t="str">
        <f aca="false">IF(F3409=0,"NOT FOUND",INDEX('All Song Rankings'!$A:$A,F3409))</f>
        <v>Weak</v>
      </c>
      <c r="H3409" s="6" t="str">
        <f aca="false">IF(F3409=0,"NOT FOUND",INDEX('All Song Rankings'!$B:$B,F3409))</f>
        <v>AJR</v>
      </c>
      <c r="I3409" s="6" t="str">
        <f aca="false">IF(F3409=0,"NOT FOUND",INDEX('All Song Rankings'!$D:$D,F3409))</f>
        <v>Matt</v>
      </c>
      <c r="J3409" s="7" t="str">
        <f aca="false">IF(F3409=0,"NOT FOUND",IF(C3409=I3409,"SELF-VOTE",IF(COUNTIF($K:$K,K3409)&gt;1,"DUPLICATE","OK")))</f>
        <v>OK</v>
      </c>
      <c r="K3409" s="6" t="str">
        <f aca="false">A3409&amp;"|"&amp;B3409&amp;"|"&amp;C3409&amp;"|"&amp;D3409</f>
        <v>5|8|Christine|spotify:track:2sVcBaVtBPM9vIFk1Jnbw8</v>
      </c>
    </row>
    <row r="3410" customFormat="false" ht="15" hidden="false" customHeight="false" outlineLevel="0" collapsed="false">
      <c r="A3410" s="5" t="n">
        <v>5</v>
      </c>
      <c r="B3410" s="5" t="n">
        <v>8</v>
      </c>
      <c r="C3410" s="5" t="s">
        <v>719</v>
      </c>
      <c r="D3410" s="5" t="s">
        <v>1628</v>
      </c>
      <c r="E3410" s="5" t="n">
        <v>2</v>
      </c>
      <c r="F3410" s="6" t="n">
        <f aca="false">IFERROR(MATCH(A3410&amp;"|"&amp;B3410&amp;"|"&amp;D3410,'All Song Rankings'!$T:$T,0),0)</f>
        <v>526</v>
      </c>
      <c r="G3410" s="6" t="str">
        <f aca="false">IF(F3410=0,"NOT FOUND",INDEX('All Song Rankings'!$A:$A,F3410))</f>
        <v>Here Without You</v>
      </c>
      <c r="H3410" s="6" t="str">
        <f aca="false">IF(F3410=0,"NOT FOUND",INDEX('All Song Rankings'!$B:$B,F3410))</f>
        <v>3 Doors Down</v>
      </c>
      <c r="I3410" s="6" t="str">
        <f aca="false">IF(F3410=0,"NOT FOUND",INDEX('All Song Rankings'!$D:$D,F3410))</f>
        <v>Leah</v>
      </c>
      <c r="J3410" s="7" t="str">
        <f aca="false">IF(F3410=0,"NOT FOUND",IF(C3410=I3410,"SELF-VOTE",IF(COUNTIF($K:$K,K3410)&gt;1,"DUPLICATE","OK")))</f>
        <v>OK</v>
      </c>
      <c r="K3410" s="6" t="str">
        <f aca="false">A3410&amp;"|"&amp;B3410&amp;"|"&amp;C3410&amp;"|"&amp;D3410</f>
        <v>5|8|Christine|spotify:track:3NLrRZoMF0Lx6zTlYqeIo4</v>
      </c>
    </row>
    <row r="3411" customFormat="false" ht="15" hidden="false" customHeight="false" outlineLevel="0" collapsed="false">
      <c r="A3411" s="5" t="n">
        <v>5</v>
      </c>
      <c r="B3411" s="5" t="n">
        <v>8</v>
      </c>
      <c r="C3411" s="5" t="s">
        <v>719</v>
      </c>
      <c r="D3411" s="5" t="s">
        <v>1687</v>
      </c>
      <c r="E3411" s="5" t="n">
        <v>1</v>
      </c>
      <c r="F3411" s="6" t="n">
        <f aca="false">IFERROR(MATCH(A3411&amp;"|"&amp;B3411&amp;"|"&amp;D3411,'All Song Rankings'!$T:$T,0),0)</f>
        <v>550</v>
      </c>
      <c r="G3411" s="6" t="str">
        <f aca="false">IF(F3411=0,"NOT FOUND",INDEX('All Song Rankings'!$A:$A,F3411))</f>
        <v>She Thinks My Tractor's Sexy</v>
      </c>
      <c r="H3411" s="6" t="str">
        <f aca="false">IF(F3411=0,"NOT FOUND",INDEX('All Song Rankings'!$B:$B,F3411))</f>
        <v>Kenny Chesney</v>
      </c>
      <c r="I3411" s="6" t="str">
        <f aca="false">IF(F3411=0,"NOT FOUND",INDEX('All Song Rankings'!$D:$D,F3411))</f>
        <v>Logan</v>
      </c>
      <c r="J3411" s="7" t="str">
        <f aca="false">IF(F3411=0,"NOT FOUND",IF(C3411=I3411,"SELF-VOTE",IF(COUNTIF($K:$K,K3411)&gt;1,"DUPLICATE","OK")))</f>
        <v>OK</v>
      </c>
      <c r="K3411" s="6" t="str">
        <f aca="false">A3411&amp;"|"&amp;B3411&amp;"|"&amp;C3411&amp;"|"&amp;D3411</f>
        <v>5|8|Christine|spotify:track:3QV7NYkrmV0Q0IHdFJw9hO</v>
      </c>
    </row>
    <row r="3412" customFormat="false" ht="15" hidden="false" customHeight="false" outlineLevel="0" collapsed="false">
      <c r="A3412" s="5" t="n">
        <v>5</v>
      </c>
      <c r="B3412" s="5" t="n">
        <v>8</v>
      </c>
      <c r="C3412" s="5" t="s">
        <v>719</v>
      </c>
      <c r="D3412" s="5" t="s">
        <v>1625</v>
      </c>
      <c r="E3412" s="5" t="n">
        <v>1</v>
      </c>
      <c r="F3412" s="6" t="n">
        <f aca="false">IFERROR(MATCH(A3412&amp;"|"&amp;B3412&amp;"|"&amp;D3412,'All Song Rankings'!$T:$T,0),0)</f>
        <v>525</v>
      </c>
      <c r="G3412" s="6" t="str">
        <f aca="false">IF(F3412=0,"NOT FOUND",INDEX('All Song Rankings'!$A:$A,F3412))</f>
        <v>Ghost</v>
      </c>
      <c r="H3412" s="6" t="str">
        <f aca="false">IF(F3412=0,"NOT FOUND",INDEX('All Song Rankings'!$B:$B,F3412))</f>
        <v>Demi Lovato</v>
      </c>
      <c r="I3412" s="6" t="str">
        <f aca="false">IF(F3412=0,"NOT FOUND",INDEX('All Song Rankings'!$D:$D,F3412))</f>
        <v>Logan</v>
      </c>
      <c r="J3412" s="7" t="str">
        <f aca="false">IF(F3412=0,"NOT FOUND",IF(C3412=I3412,"SELF-VOTE",IF(COUNTIF($K:$K,K3412)&gt;1,"DUPLICATE","OK")))</f>
        <v>OK</v>
      </c>
      <c r="K3412" s="6" t="str">
        <f aca="false">A3412&amp;"|"&amp;B3412&amp;"|"&amp;C3412&amp;"|"&amp;D3412</f>
        <v>5|8|Christine|spotify:track:3XeyI07raWwr8wbnaJeaVl</v>
      </c>
    </row>
    <row r="3413" customFormat="false" ht="15" hidden="false" customHeight="false" outlineLevel="0" collapsed="false">
      <c r="A3413" s="5" t="n">
        <v>5</v>
      </c>
      <c r="B3413" s="5" t="n">
        <v>8</v>
      </c>
      <c r="C3413" s="5" t="s">
        <v>719</v>
      </c>
      <c r="D3413" s="5" t="s">
        <v>1660</v>
      </c>
      <c r="E3413" s="5" t="n">
        <v>2</v>
      </c>
      <c r="F3413" s="6" t="n">
        <f aca="false">IFERROR(MATCH(A3413&amp;"|"&amp;B3413&amp;"|"&amp;D3413,'All Song Rankings'!$T:$T,0),0)</f>
        <v>539</v>
      </c>
      <c r="G3413" s="6" t="str">
        <f aca="false">IF(F3413=0,"NOT FOUND",INDEX('All Song Rankings'!$A:$A,F3413))</f>
        <v>If It Means A Lot To You</v>
      </c>
      <c r="H3413" s="6" t="str">
        <f aca="false">IF(F3413=0,"NOT FOUND",INDEX('All Song Rankings'!$B:$B,F3413))</f>
        <v>A Day to Remember</v>
      </c>
      <c r="I3413" s="6" t="str">
        <f aca="false">IF(F3413=0,"NOT FOUND",INDEX('All Song Rankings'!$D:$D,F3413))</f>
        <v>Colleen</v>
      </c>
      <c r="J3413" s="7" t="str">
        <f aca="false">IF(F3413=0,"NOT FOUND",IF(C3413=I3413,"SELF-VOTE",IF(COUNTIF($K:$K,K3413)&gt;1,"DUPLICATE","OK")))</f>
        <v>OK</v>
      </c>
      <c r="K3413" s="6" t="str">
        <f aca="false">A3413&amp;"|"&amp;B3413&amp;"|"&amp;C3413&amp;"|"&amp;D3413</f>
        <v>5|8|Christine|spotify:track:3rEwGRmPVVudVjqdgv0tRR</v>
      </c>
    </row>
    <row r="3414" customFormat="false" ht="15" hidden="false" customHeight="false" outlineLevel="0" collapsed="false">
      <c r="A3414" s="5" t="n">
        <v>5</v>
      </c>
      <c r="B3414" s="5" t="n">
        <v>8</v>
      </c>
      <c r="C3414" s="5" t="s">
        <v>719</v>
      </c>
      <c r="D3414" s="5" t="s">
        <v>1671</v>
      </c>
      <c r="E3414" s="5" t="n">
        <v>2</v>
      </c>
      <c r="F3414" s="6" t="n">
        <f aca="false">IFERROR(MATCH(A3414&amp;"|"&amp;B3414&amp;"|"&amp;D3414,'All Song Rankings'!$T:$T,0),0)</f>
        <v>544</v>
      </c>
      <c r="G3414" s="6" t="str">
        <f aca="false">IF(F3414=0,"NOT FOUND",INDEX('All Song Rankings'!$A:$A,F3414))</f>
        <v>Walk This Way</v>
      </c>
      <c r="H3414" s="6" t="str">
        <f aca="false">IF(F3414=0,"NOT FOUND",INDEX('All Song Rankings'!$B:$B,F3414))</f>
        <v>Aerosmith</v>
      </c>
      <c r="I3414" s="6" t="str">
        <f aca="false">IF(F3414=0,"NOT FOUND",INDEX('All Song Rankings'!$D:$D,F3414))</f>
        <v>Kristen</v>
      </c>
      <c r="J3414" s="7" t="str">
        <f aca="false">IF(F3414=0,"NOT FOUND",IF(C3414=I3414,"SELF-VOTE",IF(COUNTIF($K:$K,K3414)&gt;1,"DUPLICATE","OK")))</f>
        <v>OK</v>
      </c>
      <c r="K3414" s="6" t="str">
        <f aca="false">A3414&amp;"|"&amp;B3414&amp;"|"&amp;C3414&amp;"|"&amp;D3414</f>
        <v>5|8|Christine|spotify:track:4JfuiOWlWCkjP6OKurHjSn</v>
      </c>
    </row>
    <row r="3415" customFormat="false" ht="15" hidden="false" customHeight="false" outlineLevel="0" collapsed="false">
      <c r="A3415" s="5" t="n">
        <v>5</v>
      </c>
      <c r="B3415" s="5" t="n">
        <v>8</v>
      </c>
      <c r="C3415" s="5" t="s">
        <v>719</v>
      </c>
      <c r="D3415" s="5" t="s">
        <v>1655</v>
      </c>
      <c r="E3415" s="5" t="n">
        <v>2</v>
      </c>
      <c r="F3415" s="6" t="n">
        <f aca="false">IFERROR(MATCH(A3415&amp;"|"&amp;B3415&amp;"|"&amp;D3415,'All Song Rankings'!$T:$T,0),0)</f>
        <v>537</v>
      </c>
      <c r="G3415" s="6" t="str">
        <f aca="false">IF(F3415=0,"NOT FOUND",INDEX('All Song Rankings'!$A:$A,F3415))</f>
        <v>You Got It (The Right Stuff)</v>
      </c>
      <c r="H3415" s="6" t="str">
        <f aca="false">IF(F3415=0,"NOT FOUND",INDEX('All Song Rankings'!$B:$B,F3415))</f>
        <v>New Kids On The Block</v>
      </c>
      <c r="I3415" s="6" t="str">
        <f aca="false">IF(F3415=0,"NOT FOUND",INDEX('All Song Rankings'!$D:$D,F3415))</f>
        <v>Matt</v>
      </c>
      <c r="J3415" s="7" t="str">
        <f aca="false">IF(F3415=0,"NOT FOUND",IF(C3415=I3415,"SELF-VOTE",IF(COUNTIF($K:$K,K3415)&gt;1,"DUPLICATE","OK")))</f>
        <v>OK</v>
      </c>
      <c r="K3415" s="6" t="str">
        <f aca="false">A3415&amp;"|"&amp;B3415&amp;"|"&amp;C3415&amp;"|"&amp;D3415</f>
        <v>5|8|Christine|spotify:track:4buDeg67vos7KP1yHrS9wl</v>
      </c>
    </row>
    <row r="3416" customFormat="false" ht="15" hidden="false" customHeight="false" outlineLevel="0" collapsed="false">
      <c r="A3416" s="5" t="n">
        <v>5</v>
      </c>
      <c r="B3416" s="5" t="n">
        <v>8</v>
      </c>
      <c r="C3416" s="5" t="s">
        <v>719</v>
      </c>
      <c r="D3416" s="5" t="s">
        <v>1679</v>
      </c>
      <c r="E3416" s="5" t="n">
        <v>1</v>
      </c>
      <c r="F3416" s="6" t="n">
        <f aca="false">IFERROR(MATCH(A3416&amp;"|"&amp;B3416&amp;"|"&amp;D3416,'All Song Rankings'!$T:$T,0),0)</f>
        <v>547</v>
      </c>
      <c r="G3416" s="6" t="str">
        <f aca="false">IF(F3416=0,"NOT FOUND",INDEX('All Song Rankings'!$A:$A,F3416))</f>
        <v>Worth Your Wild</v>
      </c>
      <c r="H3416" s="6" t="str">
        <f aca="false">IF(F3416=0,"NOT FOUND",INDEX('All Song Rankings'!$B:$B,F3416))</f>
        <v>Russell Dickerson</v>
      </c>
      <c r="I3416" s="6" t="str">
        <f aca="false">IF(F3416=0,"NOT FOUND",INDEX('All Song Rankings'!$D:$D,F3416))</f>
        <v>Kelsey</v>
      </c>
      <c r="J3416" s="7" t="str">
        <f aca="false">IF(F3416=0,"NOT FOUND",IF(C3416=I3416,"SELF-VOTE",IF(COUNTIF($K:$K,K3416)&gt;1,"DUPLICATE","OK")))</f>
        <v>OK</v>
      </c>
      <c r="K3416" s="6" t="str">
        <f aca="false">A3416&amp;"|"&amp;B3416&amp;"|"&amp;C3416&amp;"|"&amp;D3416</f>
        <v>5|8|Christine|spotify:track:67bIPJptdsuPeyOPv8z1lL</v>
      </c>
    </row>
    <row r="3417" customFormat="false" ht="15" hidden="false" customHeight="false" outlineLevel="0" collapsed="false">
      <c r="A3417" s="5" t="n">
        <v>5</v>
      </c>
      <c r="B3417" s="5" t="n">
        <v>8</v>
      </c>
      <c r="C3417" s="5" t="s">
        <v>719</v>
      </c>
      <c r="D3417" s="5" t="s">
        <v>1667</v>
      </c>
      <c r="E3417" s="5" t="n">
        <v>1</v>
      </c>
      <c r="F3417" s="6" t="n">
        <f aca="false">IFERROR(MATCH(A3417&amp;"|"&amp;B3417&amp;"|"&amp;D3417,'All Song Rankings'!$T:$T,0),0)</f>
        <v>542</v>
      </c>
      <c r="G3417" s="6" t="str">
        <f aca="false">IF(F3417=0,"NOT FOUND",INDEX('All Song Rankings'!$A:$A,F3417))</f>
        <v>Babylon</v>
      </c>
      <c r="H3417" s="6" t="str">
        <f aca="false">IF(F3417=0,"NOT FOUND",INDEX('All Song Rankings'!$B:$B,F3417))</f>
        <v>5 Seconds of Summer</v>
      </c>
      <c r="I3417" s="6" t="str">
        <f aca="false">IF(F3417=0,"NOT FOUND",INDEX('All Song Rankings'!$D:$D,F3417))</f>
        <v>Merita</v>
      </c>
      <c r="J3417" s="7" t="str">
        <f aca="false">IF(F3417=0,"NOT FOUND",IF(C3417=I3417,"SELF-VOTE",IF(COUNTIF($K:$K,K3417)&gt;1,"DUPLICATE","OK")))</f>
        <v>OK</v>
      </c>
      <c r="K3417" s="6" t="str">
        <f aca="false">A3417&amp;"|"&amp;B3417&amp;"|"&amp;C3417&amp;"|"&amp;D3417</f>
        <v>5|8|Christine|spotify:track:6PUYqQtGWVAovZrLC9BIqt</v>
      </c>
    </row>
    <row r="3418" customFormat="false" ht="15" hidden="false" customHeight="false" outlineLevel="0" collapsed="false">
      <c r="A3418" s="5" t="n">
        <v>5</v>
      </c>
      <c r="B3418" s="5" t="n">
        <v>8</v>
      </c>
      <c r="C3418" s="5" t="s">
        <v>719</v>
      </c>
      <c r="D3418" s="5" t="s">
        <v>1652</v>
      </c>
      <c r="E3418" s="5" t="n">
        <v>2</v>
      </c>
      <c r="F3418" s="6" t="n">
        <f aca="false">IFERROR(MATCH(A3418&amp;"|"&amp;B3418&amp;"|"&amp;D3418,'All Song Rankings'!$T:$T,0),0)</f>
        <v>536</v>
      </c>
      <c r="G3418" s="6" t="str">
        <f aca="false">IF(F3418=0,"NOT FOUND",INDEX('All Song Rankings'!$A:$A,F3418))</f>
        <v>Born to Run</v>
      </c>
      <c r="H3418" s="6" t="str">
        <f aca="false">IF(F3418=0,"NOT FOUND",INDEX('All Song Rankings'!$B:$B,F3418))</f>
        <v>Bruce Springsteen</v>
      </c>
      <c r="I3418" s="6" t="str">
        <f aca="false">IF(F3418=0,"NOT FOUND",INDEX('All Song Rankings'!$D:$D,F3418))</f>
        <v>Lisa</v>
      </c>
      <c r="J3418" s="7" t="str">
        <f aca="false">IF(F3418=0,"NOT FOUND",IF(C3418=I3418,"SELF-VOTE",IF(COUNTIF($K:$K,K3418)&gt;1,"DUPLICATE","OK")))</f>
        <v>OK</v>
      </c>
      <c r="K3418" s="6" t="str">
        <f aca="false">A3418&amp;"|"&amp;B3418&amp;"|"&amp;C3418&amp;"|"&amp;D3418</f>
        <v>5|8|Christine|spotify:track:6hTcuIQa0sxrrByu9wTD7s</v>
      </c>
    </row>
    <row r="3419" customFormat="false" ht="15" hidden="false" customHeight="false" outlineLevel="0" collapsed="false">
      <c r="A3419" s="5" t="n">
        <v>5</v>
      </c>
      <c r="B3419" s="5" t="n">
        <v>8</v>
      </c>
      <c r="C3419" s="5" t="s">
        <v>719</v>
      </c>
      <c r="D3419" s="5" t="s">
        <v>1649</v>
      </c>
      <c r="E3419" s="5" t="n">
        <v>1</v>
      </c>
      <c r="F3419" s="6" t="n">
        <f aca="false">IFERROR(MATCH(A3419&amp;"|"&amp;B3419&amp;"|"&amp;D3419,'All Song Rankings'!$T:$T,0),0)</f>
        <v>535</v>
      </c>
      <c r="G3419" s="6" t="str">
        <f aca="false">IF(F3419=0,"NOT FOUND",INDEX('All Song Rankings'!$A:$A,F3419))</f>
        <v>Born to Love You</v>
      </c>
      <c r="H3419" s="6" t="str">
        <f aca="false">IF(F3419=0,"NOT FOUND",INDEX('All Song Rankings'!$B:$B,F3419))</f>
        <v>LANCO</v>
      </c>
      <c r="I3419" s="6" t="str">
        <f aca="false">IF(F3419=0,"NOT FOUND",INDEX('All Song Rankings'!$D:$D,F3419))</f>
        <v>Nicole</v>
      </c>
      <c r="J3419" s="7" t="str">
        <f aca="false">IF(F3419=0,"NOT FOUND",IF(C3419=I3419,"SELF-VOTE",IF(COUNTIF($K:$K,K3419)&gt;1,"DUPLICATE","OK")))</f>
        <v>OK</v>
      </c>
      <c r="K3419" s="6" t="str">
        <f aca="false">A3419&amp;"|"&amp;B3419&amp;"|"&amp;C3419&amp;"|"&amp;D3419</f>
        <v>5|8|Christine|spotify:track:77a5Eu7lC3tG0Sukt2O91U</v>
      </c>
    </row>
    <row r="3420" customFormat="false" ht="15" hidden="false" customHeight="false" outlineLevel="0" collapsed="false">
      <c r="A3420" s="5" t="n">
        <v>5</v>
      </c>
      <c r="B3420" s="5" t="n">
        <v>8</v>
      </c>
      <c r="C3420" s="5" t="s">
        <v>637</v>
      </c>
      <c r="D3420" s="5" t="s">
        <v>1639</v>
      </c>
      <c r="E3420" s="5" t="n">
        <v>1</v>
      </c>
      <c r="F3420" s="6" t="n">
        <f aca="false">IFERROR(MATCH(A3420&amp;"|"&amp;B3420&amp;"|"&amp;D3420,'All Song Rankings'!$T:$T,0),0)</f>
        <v>531</v>
      </c>
      <c r="G3420" s="6" t="str">
        <f aca="false">IF(F3420=0,"NOT FOUND",INDEX('All Song Rankings'!$A:$A,F3420))</f>
        <v>Livin' la Vida Loca</v>
      </c>
      <c r="H3420" s="6" t="str">
        <f aca="false">IF(F3420=0,"NOT FOUND",INDEX('All Song Rankings'!$B:$B,F3420))</f>
        <v>Ricky Martin</v>
      </c>
      <c r="I3420" s="6" t="str">
        <f aca="false">IF(F3420=0,"NOT FOUND",INDEX('All Song Rankings'!$D:$D,F3420))</f>
        <v>Makenzie</v>
      </c>
      <c r="J3420" s="7" t="str">
        <f aca="false">IF(F3420=0,"NOT FOUND",IF(C3420=I3420,"SELF-VOTE",IF(COUNTIF($K:$K,K3420)&gt;1,"DUPLICATE","OK")))</f>
        <v>OK</v>
      </c>
      <c r="K3420" s="6" t="str">
        <f aca="false">A3420&amp;"|"&amp;B3420&amp;"|"&amp;C3420&amp;"|"&amp;D3420</f>
        <v>5|8|Colleen|spotify:track:0Ph6L4l8dYUuXFmb71Ajnd</v>
      </c>
    </row>
    <row r="3421" customFormat="false" ht="15" hidden="false" customHeight="false" outlineLevel="0" collapsed="false">
      <c r="A3421" s="5" t="n">
        <v>5</v>
      </c>
      <c r="B3421" s="5" t="n">
        <v>8</v>
      </c>
      <c r="C3421" s="5" t="s">
        <v>637</v>
      </c>
      <c r="D3421" s="5" t="s">
        <v>1662</v>
      </c>
      <c r="E3421" s="5" t="n">
        <v>1</v>
      </c>
      <c r="F3421" s="6" t="n">
        <f aca="false">IFERROR(MATCH(A3421&amp;"|"&amp;B3421&amp;"|"&amp;D3421,'All Song Rankings'!$T:$T,0),0)</f>
        <v>540</v>
      </c>
      <c r="G3421" s="6" t="str">
        <f aca="false">IF(F3421=0,"NOT FOUND",INDEX('All Song Rankings'!$A:$A,F3421))</f>
        <v>It Would Be You</v>
      </c>
      <c r="H3421" s="6" t="str">
        <f aca="false">IF(F3421=0,"NOT FOUND",INDEX('All Song Rankings'!$B:$B,F3421))</f>
        <v>Ben Rector</v>
      </c>
      <c r="I3421" s="6" t="str">
        <f aca="false">IF(F3421=0,"NOT FOUND",INDEX('All Song Rankings'!$D:$D,F3421))</f>
        <v>Grace</v>
      </c>
      <c r="J3421" s="7" t="str">
        <f aca="false">IF(F3421=0,"NOT FOUND",IF(C3421=I3421,"SELF-VOTE",IF(COUNTIF($K:$K,K3421)&gt;1,"DUPLICATE","OK")))</f>
        <v>OK</v>
      </c>
      <c r="K3421" s="6" t="str">
        <f aca="false">A3421&amp;"|"&amp;B3421&amp;"|"&amp;C3421&amp;"|"&amp;D3421</f>
        <v>5|8|Colleen|spotify:track:0roPf0bwAsBDZv1bR15m15</v>
      </c>
    </row>
    <row r="3422" customFormat="false" ht="15" hidden="false" customHeight="false" outlineLevel="0" collapsed="false">
      <c r="A3422" s="5" t="n">
        <v>5</v>
      </c>
      <c r="B3422" s="5" t="n">
        <v>8</v>
      </c>
      <c r="C3422" s="5" t="s">
        <v>637</v>
      </c>
      <c r="D3422" s="5" t="s">
        <v>1644</v>
      </c>
      <c r="E3422" s="5" t="n">
        <v>2</v>
      </c>
      <c r="F3422" s="6" t="n">
        <f aca="false">IFERROR(MATCH(A3422&amp;"|"&amp;B3422&amp;"|"&amp;D3422,'All Song Rankings'!$T:$T,0),0)</f>
        <v>533</v>
      </c>
      <c r="G3422" s="6" t="str">
        <f aca="false">IF(F3422=0,"NOT FOUND",INDEX('All Song Rankings'!$A:$A,F3422))</f>
        <v>IDK You Yet</v>
      </c>
      <c r="H3422" s="6" t="str">
        <f aca="false">IF(F3422=0,"NOT FOUND",INDEX('All Song Rankings'!$B:$B,F3422))</f>
        <v>Alexander 23</v>
      </c>
      <c r="I3422" s="6" t="str">
        <f aca="false">IF(F3422=0,"NOT FOUND",INDEX('All Song Rankings'!$D:$D,F3422))</f>
        <v>Merita</v>
      </c>
      <c r="J3422" s="7" t="str">
        <f aca="false">IF(F3422=0,"NOT FOUND",IF(C3422=I3422,"SELF-VOTE",IF(COUNTIF($K:$K,K3422)&gt;1,"DUPLICATE","OK")))</f>
        <v>OK</v>
      </c>
      <c r="K3422" s="6" t="str">
        <f aca="false">A3422&amp;"|"&amp;B3422&amp;"|"&amp;C3422&amp;"|"&amp;D3422</f>
        <v>5|8|Colleen|spotify:track:11WbNwwAdoxfwpZxSHIP7J</v>
      </c>
    </row>
    <row r="3423" customFormat="false" ht="15" hidden="false" customHeight="false" outlineLevel="0" collapsed="false">
      <c r="A3423" s="5" t="n">
        <v>5</v>
      </c>
      <c r="B3423" s="5" t="n">
        <v>8</v>
      </c>
      <c r="C3423" s="5" t="s">
        <v>637</v>
      </c>
      <c r="D3423" s="5" t="s">
        <v>1622</v>
      </c>
      <c r="E3423" s="5" t="n">
        <v>2</v>
      </c>
      <c r="F3423" s="6" t="n">
        <f aca="false">IFERROR(MATCH(A3423&amp;"|"&amp;B3423&amp;"|"&amp;D3423,'All Song Rankings'!$T:$T,0),0)</f>
        <v>524</v>
      </c>
      <c r="G3423" s="6" t="str">
        <f aca="false">IF(F3423=0,"NOT FOUND",INDEX('All Song Rankings'!$A:$A,F3423))</f>
        <v>(You Drive Me) Crazy</v>
      </c>
      <c r="H3423" s="6" t="str">
        <f aca="false">IF(F3423=0,"NOT FOUND",INDEX('All Song Rankings'!$B:$B,F3423))</f>
        <v>Britney Spears</v>
      </c>
      <c r="I3423" s="6" t="str">
        <f aca="false">IF(F3423=0,"NOT FOUND",INDEX('All Song Rankings'!$D:$D,F3423))</f>
        <v>Nicole</v>
      </c>
      <c r="J3423" s="7" t="str">
        <f aca="false">IF(F3423=0,"NOT FOUND",IF(C3423=I3423,"SELF-VOTE",IF(COUNTIF($K:$K,K3423)&gt;1,"DUPLICATE","OK")))</f>
        <v>OK</v>
      </c>
      <c r="K3423" s="6" t="str">
        <f aca="false">A3423&amp;"|"&amp;B3423&amp;"|"&amp;C3423&amp;"|"&amp;D3423</f>
        <v>5|8|Colleen|spotify:track:1DSJNBNhGZCigg9ll5VeZv</v>
      </c>
    </row>
    <row r="3424" customFormat="false" ht="15" hidden="false" customHeight="false" outlineLevel="0" collapsed="false">
      <c r="A3424" s="5" t="n">
        <v>5</v>
      </c>
      <c r="B3424" s="5" t="n">
        <v>8</v>
      </c>
      <c r="C3424" s="5" t="s">
        <v>637</v>
      </c>
      <c r="D3424" s="5" t="s">
        <v>1684</v>
      </c>
      <c r="E3424" s="5" t="n">
        <v>1</v>
      </c>
      <c r="F3424" s="6" t="n">
        <f aca="false">IFERROR(MATCH(A3424&amp;"|"&amp;B3424&amp;"|"&amp;D3424,'All Song Rankings'!$T:$T,0),0)</f>
        <v>549</v>
      </c>
      <c r="G3424" s="6" t="str">
        <f aca="false">IF(F3424=0,"NOT FOUND",INDEX('All Song Rankings'!$A:$A,F3424))</f>
        <v>CAN'T STOP THE FEELING! (from DreamWorks Animation's "TROLLS")</v>
      </c>
      <c r="H3424" s="6" t="str">
        <f aca="false">IF(F3424=0,"NOT FOUND",INDEX('All Song Rankings'!$B:$B,F3424))</f>
        <v>Justin Timberlake</v>
      </c>
      <c r="I3424" s="6" t="str">
        <f aca="false">IF(F3424=0,"NOT FOUND",INDEX('All Song Rankings'!$D:$D,F3424))</f>
        <v>Kristen</v>
      </c>
      <c r="J3424" s="7" t="str">
        <f aca="false">IF(F3424=0,"NOT FOUND",IF(C3424=I3424,"SELF-VOTE",IF(COUNTIF($K:$K,K3424)&gt;1,"DUPLICATE","OK")))</f>
        <v>OK</v>
      </c>
      <c r="K3424" s="6" t="str">
        <f aca="false">A3424&amp;"|"&amp;B3424&amp;"|"&amp;C3424&amp;"|"&amp;D3424</f>
        <v>5|8|Colleen|spotify:track:1WkMMavIMc4JZ8cfMmxHkI</v>
      </c>
    </row>
    <row r="3425" customFormat="false" ht="15" hidden="false" customHeight="false" outlineLevel="0" collapsed="false">
      <c r="A3425" s="5" t="n">
        <v>5</v>
      </c>
      <c r="B3425" s="5" t="n">
        <v>8</v>
      </c>
      <c r="C3425" s="5" t="s">
        <v>637</v>
      </c>
      <c r="D3425" s="5" t="s">
        <v>1669</v>
      </c>
      <c r="E3425" s="5" t="n">
        <v>1</v>
      </c>
      <c r="F3425" s="6" t="n">
        <f aca="false">IFERROR(MATCH(A3425&amp;"|"&amp;B3425&amp;"|"&amp;D3425,'All Song Rankings'!$T:$T,0),0)</f>
        <v>543</v>
      </c>
      <c r="G3425" s="6" t="str">
        <f aca="false">IF(F3425=0,"NOT FOUND",INDEX('All Song Rankings'!$A:$A,F3425))</f>
        <v>Love Story</v>
      </c>
      <c r="H3425" s="6" t="str">
        <f aca="false">IF(F3425=0,"NOT FOUND",INDEX('All Song Rankings'!$B:$B,F3425))</f>
        <v>Taylor Swift</v>
      </c>
      <c r="I3425" s="6" t="str">
        <f aca="false">IF(F3425=0,"NOT FOUND",INDEX('All Song Rankings'!$D:$D,F3425))</f>
        <v>Kelsey</v>
      </c>
      <c r="J3425" s="7" t="str">
        <f aca="false">IF(F3425=0,"NOT FOUND",IF(C3425=I3425,"SELF-VOTE",IF(COUNTIF($K:$K,K3425)&gt;1,"DUPLICATE","OK")))</f>
        <v>OK</v>
      </c>
      <c r="K3425" s="6" t="str">
        <f aca="false">A3425&amp;"|"&amp;B3425&amp;"|"&amp;C3425&amp;"|"&amp;D3425</f>
        <v>5|8|Colleen|spotify:track:1vrd6UOGamcKNGnSHJQlSt</v>
      </c>
    </row>
    <row r="3426" customFormat="false" ht="15" hidden="false" customHeight="false" outlineLevel="0" collapsed="false">
      <c r="A3426" s="5" t="n">
        <v>5</v>
      </c>
      <c r="B3426" s="5" t="n">
        <v>8</v>
      </c>
      <c r="C3426" s="5" t="s">
        <v>637</v>
      </c>
      <c r="D3426" s="5" t="s">
        <v>1641</v>
      </c>
      <c r="E3426" s="5" t="n">
        <v>1</v>
      </c>
      <c r="F3426" s="6" t="n">
        <f aca="false">IFERROR(MATCH(A3426&amp;"|"&amp;B3426&amp;"|"&amp;D3426,'All Song Rankings'!$T:$T,0),0)</f>
        <v>532</v>
      </c>
      <c r="G3426" s="6" t="str">
        <f aca="false">IF(F3426=0,"NOT FOUND",INDEX('All Song Rankings'!$A:$A,F3426))</f>
        <v>Sucker</v>
      </c>
      <c r="H3426" s="6" t="str">
        <f aca="false">IF(F3426=0,"NOT FOUND",INDEX('All Song Rankings'!$B:$B,F3426))</f>
        <v>Jonas Brothers</v>
      </c>
      <c r="I3426" s="6" t="str">
        <f aca="false">IF(F3426=0,"NOT FOUND",INDEX('All Song Rankings'!$D:$D,F3426))</f>
        <v>Makenzie</v>
      </c>
      <c r="J3426" s="7" t="str">
        <f aca="false">IF(F3426=0,"NOT FOUND",IF(C3426=I3426,"SELF-VOTE",IF(COUNTIF($K:$K,K3426)&gt;1,"DUPLICATE","OK")))</f>
        <v>OK</v>
      </c>
      <c r="K3426" s="6" t="str">
        <f aca="false">A3426&amp;"|"&amp;B3426&amp;"|"&amp;C3426&amp;"|"&amp;D3426</f>
        <v>5|8|Colleen|spotify:track:22vgEDb5hykfaTwLuskFGD</v>
      </c>
    </row>
    <row r="3427" customFormat="false" ht="15" hidden="false" customHeight="false" outlineLevel="0" collapsed="false">
      <c r="A3427" s="5" t="n">
        <v>5</v>
      </c>
      <c r="B3427" s="5" t="n">
        <v>8</v>
      </c>
      <c r="C3427" s="5" t="s">
        <v>637</v>
      </c>
      <c r="D3427" s="5" t="s">
        <v>1632</v>
      </c>
      <c r="E3427" s="5" t="n">
        <v>2</v>
      </c>
      <c r="F3427" s="6" t="n">
        <f aca="false">IFERROR(MATCH(A3427&amp;"|"&amp;B3427&amp;"|"&amp;D3427,'All Song Rankings'!$T:$T,0),0)</f>
        <v>528</v>
      </c>
      <c r="G3427" s="6" t="str">
        <f aca="false">IF(F3427=0,"NOT FOUND",INDEX('All Song Rankings'!$A:$A,F3427))</f>
        <v>Kokomo</v>
      </c>
      <c r="H3427" s="6" t="str">
        <f aca="false">IF(F3427=0,"NOT FOUND",INDEX('All Song Rankings'!$B:$B,F3427))</f>
        <v>The Beach Boys</v>
      </c>
      <c r="I3427" s="6" t="str">
        <f aca="false">IF(F3427=0,"NOT FOUND",INDEX('All Song Rankings'!$D:$D,F3427))</f>
        <v>Leah</v>
      </c>
      <c r="J3427" s="7" t="str">
        <f aca="false">IF(F3427=0,"NOT FOUND",IF(C3427=I3427,"SELF-VOTE",IF(COUNTIF($K:$K,K3427)&gt;1,"DUPLICATE","OK")))</f>
        <v>OK</v>
      </c>
      <c r="K3427" s="6" t="str">
        <f aca="false">A3427&amp;"|"&amp;B3427&amp;"|"&amp;C3427&amp;"|"&amp;D3427</f>
        <v>5|8|Colleen|spotify:track:2STQAr3BRiAeeveJ07gZh7</v>
      </c>
    </row>
    <row r="3428" customFormat="false" ht="15" hidden="false" customHeight="false" outlineLevel="0" collapsed="false">
      <c r="A3428" s="5" t="n">
        <v>5</v>
      </c>
      <c r="B3428" s="5" t="n">
        <v>8</v>
      </c>
      <c r="C3428" s="5" t="s">
        <v>637</v>
      </c>
      <c r="D3428" s="5" t="s">
        <v>1676</v>
      </c>
      <c r="E3428" s="5" t="n">
        <v>1</v>
      </c>
      <c r="F3428" s="6" t="n">
        <f aca="false">IFERROR(MATCH(A3428&amp;"|"&amp;B3428&amp;"|"&amp;D3428,'All Song Rankings'!$T:$T,0),0)</f>
        <v>546</v>
      </c>
      <c r="G3428" s="6" t="str">
        <f aca="false">IF(F3428=0,"NOT FOUND",INDEX('All Song Rankings'!$A:$A,F3428))</f>
        <v>Weak</v>
      </c>
      <c r="H3428" s="6" t="str">
        <f aca="false">IF(F3428=0,"NOT FOUND",INDEX('All Song Rankings'!$B:$B,F3428))</f>
        <v>AJR</v>
      </c>
      <c r="I3428" s="6" t="str">
        <f aca="false">IF(F3428=0,"NOT FOUND",INDEX('All Song Rankings'!$D:$D,F3428))</f>
        <v>Matt</v>
      </c>
      <c r="J3428" s="7" t="str">
        <f aca="false">IF(F3428=0,"NOT FOUND",IF(C3428=I3428,"SELF-VOTE",IF(COUNTIF($K:$K,K3428)&gt;1,"DUPLICATE","OK")))</f>
        <v>OK</v>
      </c>
      <c r="K3428" s="6" t="str">
        <f aca="false">A3428&amp;"|"&amp;B3428&amp;"|"&amp;C3428&amp;"|"&amp;D3428</f>
        <v>5|8|Colleen|spotify:track:2sVcBaVtBPM9vIFk1Jnbw8</v>
      </c>
    </row>
    <row r="3429" customFormat="false" ht="15" hidden="false" customHeight="false" outlineLevel="0" collapsed="false">
      <c r="A3429" s="5" t="n">
        <v>5</v>
      </c>
      <c r="B3429" s="5" t="n">
        <v>8</v>
      </c>
      <c r="C3429" s="5" t="s">
        <v>637</v>
      </c>
      <c r="D3429" s="5" t="s">
        <v>1628</v>
      </c>
      <c r="E3429" s="5" t="n">
        <v>1</v>
      </c>
      <c r="F3429" s="6" t="n">
        <f aca="false">IFERROR(MATCH(A3429&amp;"|"&amp;B3429&amp;"|"&amp;D3429,'All Song Rankings'!$T:$T,0),0)</f>
        <v>526</v>
      </c>
      <c r="G3429" s="6" t="str">
        <f aca="false">IF(F3429=0,"NOT FOUND",INDEX('All Song Rankings'!$A:$A,F3429))</f>
        <v>Here Without You</v>
      </c>
      <c r="H3429" s="6" t="str">
        <f aca="false">IF(F3429=0,"NOT FOUND",INDEX('All Song Rankings'!$B:$B,F3429))</f>
        <v>3 Doors Down</v>
      </c>
      <c r="I3429" s="6" t="str">
        <f aca="false">IF(F3429=0,"NOT FOUND",INDEX('All Song Rankings'!$D:$D,F3429))</f>
        <v>Leah</v>
      </c>
      <c r="J3429" s="7" t="str">
        <f aca="false">IF(F3429=0,"NOT FOUND",IF(C3429=I3429,"SELF-VOTE",IF(COUNTIF($K:$K,K3429)&gt;1,"DUPLICATE","OK")))</f>
        <v>OK</v>
      </c>
      <c r="K3429" s="6" t="str">
        <f aca="false">A3429&amp;"|"&amp;B3429&amp;"|"&amp;C3429&amp;"|"&amp;D3429</f>
        <v>5|8|Colleen|spotify:track:3NLrRZoMF0Lx6zTlYqeIo4</v>
      </c>
    </row>
    <row r="3430" customFormat="false" ht="15" hidden="false" customHeight="false" outlineLevel="0" collapsed="false">
      <c r="A3430" s="5" t="n">
        <v>5</v>
      </c>
      <c r="B3430" s="5" t="n">
        <v>8</v>
      </c>
      <c r="C3430" s="5" t="s">
        <v>637</v>
      </c>
      <c r="D3430" s="5" t="s">
        <v>1687</v>
      </c>
      <c r="E3430" s="5" t="n">
        <v>1</v>
      </c>
      <c r="F3430" s="6" t="n">
        <f aca="false">IFERROR(MATCH(A3430&amp;"|"&amp;B3430&amp;"|"&amp;D3430,'All Song Rankings'!$T:$T,0),0)</f>
        <v>550</v>
      </c>
      <c r="G3430" s="6" t="str">
        <f aca="false">IF(F3430=0,"NOT FOUND",INDEX('All Song Rankings'!$A:$A,F3430))</f>
        <v>She Thinks My Tractor's Sexy</v>
      </c>
      <c r="H3430" s="6" t="str">
        <f aca="false">IF(F3430=0,"NOT FOUND",INDEX('All Song Rankings'!$B:$B,F3430))</f>
        <v>Kenny Chesney</v>
      </c>
      <c r="I3430" s="6" t="str">
        <f aca="false">IF(F3430=0,"NOT FOUND",INDEX('All Song Rankings'!$D:$D,F3430))</f>
        <v>Logan</v>
      </c>
      <c r="J3430" s="7" t="str">
        <f aca="false">IF(F3430=0,"NOT FOUND",IF(C3430=I3430,"SELF-VOTE",IF(COUNTIF($K:$K,K3430)&gt;1,"DUPLICATE","OK")))</f>
        <v>OK</v>
      </c>
      <c r="K3430" s="6" t="str">
        <f aca="false">A3430&amp;"|"&amp;B3430&amp;"|"&amp;C3430&amp;"|"&amp;D3430</f>
        <v>5|8|Colleen|spotify:track:3QV7NYkrmV0Q0IHdFJw9hO</v>
      </c>
    </row>
    <row r="3431" customFormat="false" ht="15" hidden="false" customHeight="false" outlineLevel="0" collapsed="false">
      <c r="A3431" s="5" t="n">
        <v>5</v>
      </c>
      <c r="B3431" s="5" t="n">
        <v>8</v>
      </c>
      <c r="C3431" s="5" t="s">
        <v>637</v>
      </c>
      <c r="D3431" s="5" t="s">
        <v>1625</v>
      </c>
      <c r="E3431" s="5" t="n">
        <v>1</v>
      </c>
      <c r="F3431" s="6" t="n">
        <f aca="false">IFERROR(MATCH(A3431&amp;"|"&amp;B3431&amp;"|"&amp;D3431,'All Song Rankings'!$T:$T,0),0)</f>
        <v>525</v>
      </c>
      <c r="G3431" s="6" t="str">
        <f aca="false">IF(F3431=0,"NOT FOUND",INDEX('All Song Rankings'!$A:$A,F3431))</f>
        <v>Ghost</v>
      </c>
      <c r="H3431" s="6" t="str">
        <f aca="false">IF(F3431=0,"NOT FOUND",INDEX('All Song Rankings'!$B:$B,F3431))</f>
        <v>Demi Lovato</v>
      </c>
      <c r="I3431" s="6" t="str">
        <f aca="false">IF(F3431=0,"NOT FOUND",INDEX('All Song Rankings'!$D:$D,F3431))</f>
        <v>Logan</v>
      </c>
      <c r="J3431" s="7" t="str">
        <f aca="false">IF(F3431=0,"NOT FOUND",IF(C3431=I3431,"SELF-VOTE",IF(COUNTIF($K:$K,K3431)&gt;1,"DUPLICATE","OK")))</f>
        <v>OK</v>
      </c>
      <c r="K3431" s="6" t="str">
        <f aca="false">A3431&amp;"|"&amp;B3431&amp;"|"&amp;C3431&amp;"|"&amp;D3431</f>
        <v>5|8|Colleen|spotify:track:3XeyI07raWwr8wbnaJeaVl</v>
      </c>
    </row>
    <row r="3432" customFormat="false" ht="15" hidden="false" customHeight="false" outlineLevel="0" collapsed="false">
      <c r="A3432" s="5" t="n">
        <v>5</v>
      </c>
      <c r="B3432" s="5" t="n">
        <v>8</v>
      </c>
      <c r="C3432" s="5" t="s">
        <v>637</v>
      </c>
      <c r="D3432" s="5" t="s">
        <v>1655</v>
      </c>
      <c r="E3432" s="5" t="n">
        <v>1</v>
      </c>
      <c r="F3432" s="6" t="n">
        <f aca="false">IFERROR(MATCH(A3432&amp;"|"&amp;B3432&amp;"|"&amp;D3432,'All Song Rankings'!$T:$T,0),0)</f>
        <v>537</v>
      </c>
      <c r="G3432" s="6" t="str">
        <f aca="false">IF(F3432=0,"NOT FOUND",INDEX('All Song Rankings'!$A:$A,F3432))</f>
        <v>You Got It (The Right Stuff)</v>
      </c>
      <c r="H3432" s="6" t="str">
        <f aca="false">IF(F3432=0,"NOT FOUND",INDEX('All Song Rankings'!$B:$B,F3432))</f>
        <v>New Kids On The Block</v>
      </c>
      <c r="I3432" s="6" t="str">
        <f aca="false">IF(F3432=0,"NOT FOUND",INDEX('All Song Rankings'!$D:$D,F3432))</f>
        <v>Matt</v>
      </c>
      <c r="J3432" s="7" t="str">
        <f aca="false">IF(F3432=0,"NOT FOUND",IF(C3432=I3432,"SELF-VOTE",IF(COUNTIF($K:$K,K3432)&gt;1,"DUPLICATE","OK")))</f>
        <v>OK</v>
      </c>
      <c r="K3432" s="6" t="str">
        <f aca="false">A3432&amp;"|"&amp;B3432&amp;"|"&amp;C3432&amp;"|"&amp;D3432</f>
        <v>5|8|Colleen|spotify:track:4buDeg67vos7KP1yHrS9wl</v>
      </c>
    </row>
    <row r="3433" customFormat="false" ht="15" hidden="false" customHeight="false" outlineLevel="0" collapsed="false">
      <c r="A3433" s="5" t="n">
        <v>5</v>
      </c>
      <c r="B3433" s="5" t="n">
        <v>8</v>
      </c>
      <c r="C3433" s="5" t="s">
        <v>637</v>
      </c>
      <c r="D3433" s="5" t="s">
        <v>1635</v>
      </c>
      <c r="E3433" s="5" t="n">
        <v>1</v>
      </c>
      <c r="F3433" s="6" t="n">
        <f aca="false">IFERROR(MATCH(A3433&amp;"|"&amp;B3433&amp;"|"&amp;D3433,'All Song Rankings'!$T:$T,0),0)</f>
        <v>529</v>
      </c>
      <c r="G3433" s="6" t="str">
        <f aca="false">IF(F3433=0,"NOT FOUND",INDEX('All Song Rankings'!$A:$A,F3433))</f>
        <v>Tearin' up My Heart - Radio Edit</v>
      </c>
      <c r="H3433" s="6" t="str">
        <f aca="false">IF(F3433=0,"NOT FOUND",INDEX('All Song Rankings'!$B:$B,F3433))</f>
        <v>*NSYNC</v>
      </c>
      <c r="I3433" s="6" t="str">
        <f aca="false">IF(F3433=0,"NOT FOUND",INDEX('All Song Rankings'!$D:$D,F3433))</f>
        <v>Grace</v>
      </c>
      <c r="J3433" s="7" t="str">
        <f aca="false">IF(F3433=0,"NOT FOUND",IF(C3433=I3433,"SELF-VOTE",IF(COUNTIF($K:$K,K3433)&gt;1,"DUPLICATE","OK")))</f>
        <v>OK</v>
      </c>
      <c r="K3433" s="6" t="str">
        <f aca="false">A3433&amp;"|"&amp;B3433&amp;"|"&amp;C3433&amp;"|"&amp;D3433</f>
        <v>5|8|Colleen|spotify:track:594M0rqYMOo8BhMGEdoi5C</v>
      </c>
    </row>
    <row r="3434" customFormat="false" ht="15" hidden="false" customHeight="false" outlineLevel="0" collapsed="false">
      <c r="A3434" s="5" t="n">
        <v>5</v>
      </c>
      <c r="B3434" s="5" t="n">
        <v>8</v>
      </c>
      <c r="C3434" s="5" t="s">
        <v>637</v>
      </c>
      <c r="D3434" s="5" t="s">
        <v>1679</v>
      </c>
      <c r="E3434" s="5" t="n">
        <v>1</v>
      </c>
      <c r="F3434" s="6" t="n">
        <f aca="false">IFERROR(MATCH(A3434&amp;"|"&amp;B3434&amp;"|"&amp;D3434,'All Song Rankings'!$T:$T,0),0)</f>
        <v>547</v>
      </c>
      <c r="G3434" s="6" t="str">
        <f aca="false">IF(F3434=0,"NOT FOUND",INDEX('All Song Rankings'!$A:$A,F3434))</f>
        <v>Worth Your Wild</v>
      </c>
      <c r="H3434" s="6" t="str">
        <f aca="false">IF(F3434=0,"NOT FOUND",INDEX('All Song Rankings'!$B:$B,F3434))</f>
        <v>Russell Dickerson</v>
      </c>
      <c r="I3434" s="6" t="str">
        <f aca="false">IF(F3434=0,"NOT FOUND",INDEX('All Song Rankings'!$D:$D,F3434))</f>
        <v>Kelsey</v>
      </c>
      <c r="J3434" s="7" t="str">
        <f aca="false">IF(F3434=0,"NOT FOUND",IF(C3434=I3434,"SELF-VOTE",IF(COUNTIF($K:$K,K3434)&gt;1,"DUPLICATE","OK")))</f>
        <v>OK</v>
      </c>
      <c r="K3434" s="6" t="str">
        <f aca="false">A3434&amp;"|"&amp;B3434&amp;"|"&amp;C3434&amp;"|"&amp;D3434</f>
        <v>5|8|Colleen|spotify:track:67bIPJptdsuPeyOPv8z1lL</v>
      </c>
    </row>
    <row r="3435" customFormat="false" ht="15" hidden="false" customHeight="false" outlineLevel="0" collapsed="false">
      <c r="A3435" s="5" t="n">
        <v>5</v>
      </c>
      <c r="B3435" s="5" t="n">
        <v>8</v>
      </c>
      <c r="C3435" s="5" t="s">
        <v>637</v>
      </c>
      <c r="D3435" s="5" t="s">
        <v>1620</v>
      </c>
      <c r="E3435" s="5" t="n">
        <v>1</v>
      </c>
      <c r="F3435" s="6" t="n">
        <f aca="false">IFERROR(MATCH(A3435&amp;"|"&amp;B3435&amp;"|"&amp;D3435,'All Song Rankings'!$T:$T,0),0)</f>
        <v>523</v>
      </c>
      <c r="G3435" s="6" t="str">
        <f aca="false">IF(F3435=0,"NOT FOUND",INDEX('All Song Rankings'!$A:$A,F3435))</f>
        <v>My Heart Will Go On</v>
      </c>
      <c r="H3435" s="6" t="str">
        <f aca="false">IF(F3435=0,"NOT FOUND",INDEX('All Song Rankings'!$B:$B,F3435))</f>
        <v>Céline Dion</v>
      </c>
      <c r="I3435" s="6" t="str">
        <f aca="false">IF(F3435=0,"NOT FOUND",INDEX('All Song Rankings'!$D:$D,F3435))</f>
        <v>Aubrey</v>
      </c>
      <c r="J3435" s="7" t="str">
        <f aca="false">IF(F3435=0,"NOT FOUND",IF(C3435=I3435,"SELF-VOTE",IF(COUNTIF($K:$K,K3435)&gt;1,"DUPLICATE","OK")))</f>
        <v>OK</v>
      </c>
      <c r="K3435" s="6" t="str">
        <f aca="false">A3435&amp;"|"&amp;B3435&amp;"|"&amp;C3435&amp;"|"&amp;D3435</f>
        <v>5|8|Colleen|spotify:track:6e7N7cQ8MuPtu3FweRQYJz</v>
      </c>
    </row>
    <row r="3436" customFormat="false" ht="15" hidden="false" customHeight="false" outlineLevel="0" collapsed="false">
      <c r="A3436" s="5" t="n">
        <v>5</v>
      </c>
      <c r="B3436" s="5" t="n">
        <v>8</v>
      </c>
      <c r="C3436" s="5" t="s">
        <v>637</v>
      </c>
      <c r="D3436" s="5" t="s">
        <v>1649</v>
      </c>
      <c r="E3436" s="5" t="n">
        <v>1</v>
      </c>
      <c r="F3436" s="6" t="n">
        <f aca="false">IFERROR(MATCH(A3436&amp;"|"&amp;B3436&amp;"|"&amp;D3436,'All Song Rankings'!$T:$T,0),0)</f>
        <v>535</v>
      </c>
      <c r="G3436" s="6" t="str">
        <f aca="false">IF(F3436=0,"NOT FOUND",INDEX('All Song Rankings'!$A:$A,F3436))</f>
        <v>Born to Love You</v>
      </c>
      <c r="H3436" s="6" t="str">
        <f aca="false">IF(F3436=0,"NOT FOUND",INDEX('All Song Rankings'!$B:$B,F3436))</f>
        <v>LANCO</v>
      </c>
      <c r="I3436" s="6" t="str">
        <f aca="false">IF(F3436=0,"NOT FOUND",INDEX('All Song Rankings'!$D:$D,F3436))</f>
        <v>Nicole</v>
      </c>
      <c r="J3436" s="7" t="str">
        <f aca="false">IF(F3436=0,"NOT FOUND",IF(C3436=I3436,"SELF-VOTE",IF(COUNTIF($K:$K,K3436)&gt;1,"DUPLICATE","OK")))</f>
        <v>OK</v>
      </c>
      <c r="K3436" s="6" t="str">
        <f aca="false">A3436&amp;"|"&amp;B3436&amp;"|"&amp;C3436&amp;"|"&amp;D3436</f>
        <v>5|8|Colleen|spotify:track:77a5Eu7lC3tG0Sukt2O91U</v>
      </c>
    </row>
    <row r="3437" customFormat="false" ht="15" hidden="false" customHeight="false" outlineLevel="0" collapsed="false">
      <c r="A3437" s="5" t="n">
        <v>5</v>
      </c>
      <c r="B3437" s="5" t="n">
        <v>8</v>
      </c>
      <c r="C3437" s="5" t="s">
        <v>382</v>
      </c>
      <c r="D3437" s="5" t="s">
        <v>1639</v>
      </c>
      <c r="E3437" s="5" t="n">
        <v>1</v>
      </c>
      <c r="F3437" s="6" t="n">
        <f aca="false">IFERROR(MATCH(A3437&amp;"|"&amp;B3437&amp;"|"&amp;D3437,'All Song Rankings'!$T:$T,0),0)</f>
        <v>531</v>
      </c>
      <c r="G3437" s="6" t="str">
        <f aca="false">IF(F3437=0,"NOT FOUND",INDEX('All Song Rankings'!$A:$A,F3437))</f>
        <v>Livin' la Vida Loca</v>
      </c>
      <c r="H3437" s="6" t="str">
        <f aca="false">IF(F3437=0,"NOT FOUND",INDEX('All Song Rankings'!$B:$B,F3437))</f>
        <v>Ricky Martin</v>
      </c>
      <c r="I3437" s="6" t="str">
        <f aca="false">IF(F3437=0,"NOT FOUND",INDEX('All Song Rankings'!$D:$D,F3437))</f>
        <v>Makenzie</v>
      </c>
      <c r="J3437" s="7" t="str">
        <f aca="false">IF(F3437=0,"NOT FOUND",IF(C3437=I3437,"SELF-VOTE",IF(COUNTIF($K:$K,K3437)&gt;1,"DUPLICATE","OK")))</f>
        <v>OK</v>
      </c>
      <c r="K3437" s="6" t="str">
        <f aca="false">A3437&amp;"|"&amp;B3437&amp;"|"&amp;C3437&amp;"|"&amp;D3437</f>
        <v>5|8|Grace|spotify:track:0Ph6L4l8dYUuXFmb71Ajnd</v>
      </c>
    </row>
    <row r="3438" customFormat="false" ht="15" hidden="false" customHeight="false" outlineLevel="0" collapsed="false">
      <c r="A3438" s="5" t="n">
        <v>5</v>
      </c>
      <c r="B3438" s="5" t="n">
        <v>8</v>
      </c>
      <c r="C3438" s="5" t="s">
        <v>382</v>
      </c>
      <c r="D3438" s="5" t="s">
        <v>1622</v>
      </c>
      <c r="E3438" s="5" t="n">
        <v>2</v>
      </c>
      <c r="F3438" s="6" t="n">
        <f aca="false">IFERROR(MATCH(A3438&amp;"|"&amp;B3438&amp;"|"&amp;D3438,'All Song Rankings'!$T:$T,0),0)</f>
        <v>524</v>
      </c>
      <c r="G3438" s="6" t="str">
        <f aca="false">IF(F3438=0,"NOT FOUND",INDEX('All Song Rankings'!$A:$A,F3438))</f>
        <v>(You Drive Me) Crazy</v>
      </c>
      <c r="H3438" s="6" t="str">
        <f aca="false">IF(F3438=0,"NOT FOUND",INDEX('All Song Rankings'!$B:$B,F3438))</f>
        <v>Britney Spears</v>
      </c>
      <c r="I3438" s="6" t="str">
        <f aca="false">IF(F3438=0,"NOT FOUND",INDEX('All Song Rankings'!$D:$D,F3438))</f>
        <v>Nicole</v>
      </c>
      <c r="J3438" s="7" t="str">
        <f aca="false">IF(F3438=0,"NOT FOUND",IF(C3438=I3438,"SELF-VOTE",IF(COUNTIF($K:$K,K3438)&gt;1,"DUPLICATE","OK")))</f>
        <v>OK</v>
      </c>
      <c r="K3438" s="6" t="str">
        <f aca="false">A3438&amp;"|"&amp;B3438&amp;"|"&amp;C3438&amp;"|"&amp;D3438</f>
        <v>5|8|Grace|spotify:track:1DSJNBNhGZCigg9ll5VeZv</v>
      </c>
    </row>
    <row r="3439" customFormat="false" ht="15" hidden="false" customHeight="false" outlineLevel="0" collapsed="false">
      <c r="A3439" s="5" t="n">
        <v>5</v>
      </c>
      <c r="B3439" s="5" t="n">
        <v>8</v>
      </c>
      <c r="C3439" s="5" t="s">
        <v>382</v>
      </c>
      <c r="D3439" s="5" t="s">
        <v>1673</v>
      </c>
      <c r="E3439" s="5" t="n">
        <v>2</v>
      </c>
      <c r="F3439" s="6" t="n">
        <f aca="false">IFERROR(MATCH(A3439&amp;"|"&amp;B3439&amp;"|"&amp;D3439,'All Song Rankings'!$T:$T,0),0)</f>
        <v>545</v>
      </c>
      <c r="G3439" s="6" t="str">
        <f aca="false">IF(F3439=0,"NOT FOUND",INDEX('All Song Rankings'!$A:$A,F3439))</f>
        <v>Beautiful Day</v>
      </c>
      <c r="H3439" s="6" t="str">
        <f aca="false">IF(F3439=0,"NOT FOUND",INDEX('All Song Rankings'!$B:$B,F3439))</f>
        <v>U2</v>
      </c>
      <c r="I3439" s="6" t="str">
        <f aca="false">IF(F3439=0,"NOT FOUND",INDEX('All Song Rankings'!$D:$D,F3439))</f>
        <v>Christine</v>
      </c>
      <c r="J3439" s="7" t="str">
        <f aca="false">IF(F3439=0,"NOT FOUND",IF(C3439=I3439,"SELF-VOTE",IF(COUNTIF($K:$K,K3439)&gt;1,"DUPLICATE","OK")))</f>
        <v>OK</v>
      </c>
      <c r="K3439" s="6" t="str">
        <f aca="false">A3439&amp;"|"&amp;B3439&amp;"|"&amp;C3439&amp;"|"&amp;D3439</f>
        <v>5|8|Grace|spotify:track:1VuBmEauSZywQVtqbxNqka</v>
      </c>
    </row>
    <row r="3440" customFormat="false" ht="15" hidden="false" customHeight="false" outlineLevel="0" collapsed="false">
      <c r="A3440" s="5" t="n">
        <v>5</v>
      </c>
      <c r="B3440" s="5" t="n">
        <v>8</v>
      </c>
      <c r="C3440" s="5" t="s">
        <v>382</v>
      </c>
      <c r="D3440" s="5" t="s">
        <v>1669</v>
      </c>
      <c r="E3440" s="5" t="n">
        <v>1</v>
      </c>
      <c r="F3440" s="6" t="n">
        <f aca="false">IFERROR(MATCH(A3440&amp;"|"&amp;B3440&amp;"|"&amp;D3440,'All Song Rankings'!$T:$T,0),0)</f>
        <v>543</v>
      </c>
      <c r="G3440" s="6" t="str">
        <f aca="false">IF(F3440=0,"NOT FOUND",INDEX('All Song Rankings'!$A:$A,F3440))</f>
        <v>Love Story</v>
      </c>
      <c r="H3440" s="6" t="str">
        <f aca="false">IF(F3440=0,"NOT FOUND",INDEX('All Song Rankings'!$B:$B,F3440))</f>
        <v>Taylor Swift</v>
      </c>
      <c r="I3440" s="6" t="str">
        <f aca="false">IF(F3440=0,"NOT FOUND",INDEX('All Song Rankings'!$D:$D,F3440))</f>
        <v>Kelsey</v>
      </c>
      <c r="J3440" s="7" t="str">
        <f aca="false">IF(F3440=0,"NOT FOUND",IF(C3440=I3440,"SELF-VOTE",IF(COUNTIF($K:$K,K3440)&gt;1,"DUPLICATE","OK")))</f>
        <v>OK</v>
      </c>
      <c r="K3440" s="6" t="str">
        <f aca="false">A3440&amp;"|"&amp;B3440&amp;"|"&amp;C3440&amp;"|"&amp;D3440</f>
        <v>5|8|Grace|spotify:track:1vrd6UOGamcKNGnSHJQlSt</v>
      </c>
    </row>
    <row r="3441" customFormat="false" ht="15" hidden="false" customHeight="false" outlineLevel="0" collapsed="false">
      <c r="A3441" s="5" t="n">
        <v>5</v>
      </c>
      <c r="B3441" s="5" t="n">
        <v>8</v>
      </c>
      <c r="C3441" s="5" t="s">
        <v>382</v>
      </c>
      <c r="D3441" s="5" t="s">
        <v>1641</v>
      </c>
      <c r="E3441" s="5" t="n">
        <v>2</v>
      </c>
      <c r="F3441" s="6" t="n">
        <f aca="false">IFERROR(MATCH(A3441&amp;"|"&amp;B3441&amp;"|"&amp;D3441,'All Song Rankings'!$T:$T,0),0)</f>
        <v>532</v>
      </c>
      <c r="G3441" s="6" t="str">
        <f aca="false">IF(F3441=0,"NOT FOUND",INDEX('All Song Rankings'!$A:$A,F3441))</f>
        <v>Sucker</v>
      </c>
      <c r="H3441" s="6" t="str">
        <f aca="false">IF(F3441=0,"NOT FOUND",INDEX('All Song Rankings'!$B:$B,F3441))</f>
        <v>Jonas Brothers</v>
      </c>
      <c r="I3441" s="6" t="str">
        <f aca="false">IF(F3441=0,"NOT FOUND",INDEX('All Song Rankings'!$D:$D,F3441))</f>
        <v>Makenzie</v>
      </c>
      <c r="J3441" s="7" t="str">
        <f aca="false">IF(F3441=0,"NOT FOUND",IF(C3441=I3441,"SELF-VOTE",IF(COUNTIF($K:$K,K3441)&gt;1,"DUPLICATE","OK")))</f>
        <v>OK</v>
      </c>
      <c r="K3441" s="6" t="str">
        <f aca="false">A3441&amp;"|"&amp;B3441&amp;"|"&amp;C3441&amp;"|"&amp;D3441</f>
        <v>5|8|Grace|spotify:track:22vgEDb5hykfaTwLuskFGD</v>
      </c>
    </row>
    <row r="3442" customFormat="false" ht="15" hidden="false" customHeight="false" outlineLevel="0" collapsed="false">
      <c r="A3442" s="5" t="n">
        <v>5</v>
      </c>
      <c r="B3442" s="5" t="n">
        <v>8</v>
      </c>
      <c r="C3442" s="5" t="s">
        <v>382</v>
      </c>
      <c r="D3442" s="5" t="s">
        <v>1632</v>
      </c>
      <c r="E3442" s="5" t="n">
        <v>2</v>
      </c>
      <c r="F3442" s="6" t="n">
        <f aca="false">IFERROR(MATCH(A3442&amp;"|"&amp;B3442&amp;"|"&amp;D3442,'All Song Rankings'!$T:$T,0),0)</f>
        <v>528</v>
      </c>
      <c r="G3442" s="6" t="str">
        <f aca="false">IF(F3442=0,"NOT FOUND",INDEX('All Song Rankings'!$A:$A,F3442))</f>
        <v>Kokomo</v>
      </c>
      <c r="H3442" s="6" t="str">
        <f aca="false">IF(F3442=0,"NOT FOUND",INDEX('All Song Rankings'!$B:$B,F3442))</f>
        <v>The Beach Boys</v>
      </c>
      <c r="I3442" s="6" t="str">
        <f aca="false">IF(F3442=0,"NOT FOUND",INDEX('All Song Rankings'!$D:$D,F3442))</f>
        <v>Leah</v>
      </c>
      <c r="J3442" s="7" t="str">
        <f aca="false">IF(F3442=0,"NOT FOUND",IF(C3442=I3442,"SELF-VOTE",IF(COUNTIF($K:$K,K3442)&gt;1,"DUPLICATE","OK")))</f>
        <v>OK</v>
      </c>
      <c r="K3442" s="6" t="str">
        <f aca="false">A3442&amp;"|"&amp;B3442&amp;"|"&amp;C3442&amp;"|"&amp;D3442</f>
        <v>5|8|Grace|spotify:track:2STQAr3BRiAeeveJ07gZh7</v>
      </c>
    </row>
    <row r="3443" customFormat="false" ht="15" hidden="false" customHeight="false" outlineLevel="0" collapsed="false">
      <c r="A3443" s="5" t="n">
        <v>5</v>
      </c>
      <c r="B3443" s="5" t="n">
        <v>8</v>
      </c>
      <c r="C3443" s="5" t="s">
        <v>382</v>
      </c>
      <c r="D3443" s="5" t="s">
        <v>1628</v>
      </c>
      <c r="E3443" s="5" t="n">
        <v>1</v>
      </c>
      <c r="F3443" s="6" t="n">
        <f aca="false">IFERROR(MATCH(A3443&amp;"|"&amp;B3443&amp;"|"&amp;D3443,'All Song Rankings'!$T:$T,0),0)</f>
        <v>526</v>
      </c>
      <c r="G3443" s="6" t="str">
        <f aca="false">IF(F3443=0,"NOT FOUND",INDEX('All Song Rankings'!$A:$A,F3443))</f>
        <v>Here Without You</v>
      </c>
      <c r="H3443" s="6" t="str">
        <f aca="false">IF(F3443=0,"NOT FOUND",INDEX('All Song Rankings'!$B:$B,F3443))</f>
        <v>3 Doors Down</v>
      </c>
      <c r="I3443" s="6" t="str">
        <f aca="false">IF(F3443=0,"NOT FOUND",INDEX('All Song Rankings'!$D:$D,F3443))</f>
        <v>Leah</v>
      </c>
      <c r="J3443" s="7" t="str">
        <f aca="false">IF(F3443=0,"NOT FOUND",IF(C3443=I3443,"SELF-VOTE",IF(COUNTIF($K:$K,K3443)&gt;1,"DUPLICATE","OK")))</f>
        <v>OK</v>
      </c>
      <c r="K3443" s="6" t="str">
        <f aca="false">A3443&amp;"|"&amp;B3443&amp;"|"&amp;C3443&amp;"|"&amp;D3443</f>
        <v>5|8|Grace|spotify:track:3NLrRZoMF0Lx6zTlYqeIo4</v>
      </c>
    </row>
    <row r="3444" customFormat="false" ht="15" hidden="false" customHeight="false" outlineLevel="0" collapsed="false">
      <c r="A3444" s="5" t="n">
        <v>5</v>
      </c>
      <c r="B3444" s="5" t="n">
        <v>8</v>
      </c>
      <c r="C3444" s="5" t="s">
        <v>382</v>
      </c>
      <c r="D3444" s="5" t="s">
        <v>1671</v>
      </c>
      <c r="E3444" s="5" t="n">
        <v>1</v>
      </c>
      <c r="F3444" s="6" t="n">
        <f aca="false">IFERROR(MATCH(A3444&amp;"|"&amp;B3444&amp;"|"&amp;D3444,'All Song Rankings'!$T:$T,0),0)</f>
        <v>544</v>
      </c>
      <c r="G3444" s="6" t="str">
        <f aca="false">IF(F3444=0,"NOT FOUND",INDEX('All Song Rankings'!$A:$A,F3444))</f>
        <v>Walk This Way</v>
      </c>
      <c r="H3444" s="6" t="str">
        <f aca="false">IF(F3444=0,"NOT FOUND",INDEX('All Song Rankings'!$B:$B,F3444))</f>
        <v>Aerosmith</v>
      </c>
      <c r="I3444" s="6" t="str">
        <f aca="false">IF(F3444=0,"NOT FOUND",INDEX('All Song Rankings'!$D:$D,F3444))</f>
        <v>Kristen</v>
      </c>
      <c r="J3444" s="7" t="str">
        <f aca="false">IF(F3444=0,"NOT FOUND",IF(C3444=I3444,"SELF-VOTE",IF(COUNTIF($K:$K,K3444)&gt;1,"DUPLICATE","OK")))</f>
        <v>OK</v>
      </c>
      <c r="K3444" s="6" t="str">
        <f aca="false">A3444&amp;"|"&amp;B3444&amp;"|"&amp;C3444&amp;"|"&amp;D3444</f>
        <v>5|8|Grace|spotify:track:4JfuiOWlWCkjP6OKurHjSn</v>
      </c>
    </row>
    <row r="3445" customFormat="false" ht="15" hidden="false" customHeight="false" outlineLevel="0" collapsed="false">
      <c r="A3445" s="5" t="n">
        <v>5</v>
      </c>
      <c r="B3445" s="5" t="n">
        <v>8</v>
      </c>
      <c r="C3445" s="5" t="s">
        <v>382</v>
      </c>
      <c r="D3445" s="5" t="s">
        <v>1665</v>
      </c>
      <c r="E3445" s="5" t="n">
        <v>1</v>
      </c>
      <c r="F3445" s="6" t="n">
        <f aca="false">IFERROR(MATCH(A3445&amp;"|"&amp;B3445&amp;"|"&amp;D3445,'All Song Rankings'!$T:$T,0),0)</f>
        <v>541</v>
      </c>
      <c r="G3445" s="6" t="str">
        <f aca="false">IF(F3445=0,"NOT FOUND",INDEX('All Song Rankings'!$A:$A,F3445))</f>
        <v>Shake It Up</v>
      </c>
      <c r="H3445" s="6" t="str">
        <f aca="false">IF(F3445=0,"NOT FOUND",INDEX('All Song Rankings'!$B:$B,F3445))</f>
        <v>The Cars</v>
      </c>
      <c r="I3445" s="6" t="str">
        <f aca="false">IF(F3445=0,"NOT FOUND",INDEX('All Song Rankings'!$D:$D,F3445))</f>
        <v>Christine</v>
      </c>
      <c r="J3445" s="7" t="str">
        <f aca="false">IF(F3445=0,"NOT FOUND",IF(C3445=I3445,"SELF-VOTE",IF(COUNTIF($K:$K,K3445)&gt;1,"DUPLICATE","OK")))</f>
        <v>OK</v>
      </c>
      <c r="K3445" s="6" t="str">
        <f aca="false">A3445&amp;"|"&amp;B3445&amp;"|"&amp;C3445&amp;"|"&amp;D3445</f>
        <v>5|8|Grace|spotify:track:5OWokvF4QOqMDQ8ByQsm6V</v>
      </c>
    </row>
    <row r="3446" customFormat="false" ht="15" hidden="false" customHeight="false" outlineLevel="0" collapsed="false">
      <c r="A3446" s="5" t="n">
        <v>5</v>
      </c>
      <c r="B3446" s="5" t="n">
        <v>8</v>
      </c>
      <c r="C3446" s="5" t="s">
        <v>382</v>
      </c>
      <c r="D3446" s="5" t="s">
        <v>1637</v>
      </c>
      <c r="E3446" s="5" t="n">
        <v>3</v>
      </c>
      <c r="F3446" s="6" t="n">
        <f aca="false">IFERROR(MATCH(A3446&amp;"|"&amp;B3446&amp;"|"&amp;D3446,'All Song Rankings'!$T:$T,0),0)</f>
        <v>530</v>
      </c>
      <c r="G3446" s="6" t="str">
        <f aca="false">IF(F3446=0,"NOT FOUND",INDEX('All Song Rankings'!$A:$A,F3446))</f>
        <v>I Want You Back - Radio Edit</v>
      </c>
      <c r="H3446" s="6" t="str">
        <f aca="false">IF(F3446=0,"NOT FOUND",INDEX('All Song Rankings'!$B:$B,F3446))</f>
        <v>*NSYNC</v>
      </c>
      <c r="I3446" s="6" t="str">
        <f aca="false">IF(F3446=0,"NOT FOUND",INDEX('All Song Rankings'!$D:$D,F3446))</f>
        <v>Stephanie</v>
      </c>
      <c r="J3446" s="7" t="str">
        <f aca="false">IF(F3446=0,"NOT FOUND",IF(C3446=I3446,"SELF-VOTE",IF(COUNTIF($K:$K,K3446)&gt;1,"DUPLICATE","OK")))</f>
        <v>OK</v>
      </c>
      <c r="K3446" s="6" t="str">
        <f aca="false">A3446&amp;"|"&amp;B3446&amp;"|"&amp;C3446&amp;"|"&amp;D3446</f>
        <v>5|8|Grace|spotify:track:5YTMRAT4yKgFrepF8Hi3mY</v>
      </c>
    </row>
    <row r="3447" customFormat="false" ht="15" hidden="false" customHeight="false" outlineLevel="0" collapsed="false">
      <c r="A3447" s="5" t="n">
        <v>5</v>
      </c>
      <c r="B3447" s="5" t="n">
        <v>8</v>
      </c>
      <c r="C3447" s="5" t="s">
        <v>382</v>
      </c>
      <c r="D3447" s="5" t="s">
        <v>1620</v>
      </c>
      <c r="E3447" s="5" t="n">
        <v>2</v>
      </c>
      <c r="F3447" s="6" t="n">
        <f aca="false">IFERROR(MATCH(A3447&amp;"|"&amp;B3447&amp;"|"&amp;D3447,'All Song Rankings'!$T:$T,0),0)</f>
        <v>523</v>
      </c>
      <c r="G3447" s="6" t="str">
        <f aca="false">IF(F3447=0,"NOT FOUND",INDEX('All Song Rankings'!$A:$A,F3447))</f>
        <v>My Heart Will Go On</v>
      </c>
      <c r="H3447" s="6" t="str">
        <f aca="false">IF(F3447=0,"NOT FOUND",INDEX('All Song Rankings'!$B:$B,F3447))</f>
        <v>Céline Dion</v>
      </c>
      <c r="I3447" s="6" t="str">
        <f aca="false">IF(F3447=0,"NOT FOUND",INDEX('All Song Rankings'!$D:$D,F3447))</f>
        <v>Aubrey</v>
      </c>
      <c r="J3447" s="7" t="str">
        <f aca="false">IF(F3447=0,"NOT FOUND",IF(C3447=I3447,"SELF-VOTE",IF(COUNTIF($K:$K,K3447)&gt;1,"DUPLICATE","OK")))</f>
        <v>OK</v>
      </c>
      <c r="K3447" s="6" t="str">
        <f aca="false">A3447&amp;"|"&amp;B3447&amp;"|"&amp;C3447&amp;"|"&amp;D3447</f>
        <v>5|8|Grace|spotify:track:6e7N7cQ8MuPtu3FweRQYJz</v>
      </c>
    </row>
    <row r="3448" customFormat="false" ht="15" hidden="false" customHeight="false" outlineLevel="0" collapsed="false">
      <c r="A3448" s="5" t="n">
        <v>5</v>
      </c>
      <c r="B3448" s="5" t="n">
        <v>8</v>
      </c>
      <c r="C3448" s="5" t="s">
        <v>382</v>
      </c>
      <c r="D3448" s="5" t="s">
        <v>1630</v>
      </c>
      <c r="E3448" s="5" t="n">
        <v>1</v>
      </c>
      <c r="F3448" s="6" t="n">
        <f aca="false">IFERROR(MATCH(A3448&amp;"|"&amp;B3448&amp;"|"&amp;D3448,'All Song Rankings'!$T:$T,0),0)</f>
        <v>527</v>
      </c>
      <c r="G3448" s="6" t="str">
        <f aca="false">IF(F3448=0,"NOT FOUND",INDEX('All Song Rankings'!$A:$A,F3448))</f>
        <v>Oops!...I Did It Again</v>
      </c>
      <c r="H3448" s="6" t="str">
        <f aca="false">IF(F3448=0,"NOT FOUND",INDEX('All Song Rankings'!$B:$B,F3448))</f>
        <v>Britney Spears</v>
      </c>
      <c r="I3448" s="6" t="str">
        <f aca="false">IF(F3448=0,"NOT FOUND",INDEX('All Song Rankings'!$D:$D,F3448))</f>
        <v>Colleen</v>
      </c>
      <c r="J3448" s="7" t="str">
        <f aca="false">IF(F3448=0,"NOT FOUND",IF(C3448=I3448,"SELF-VOTE",IF(COUNTIF($K:$K,K3448)&gt;1,"DUPLICATE","OK")))</f>
        <v>OK</v>
      </c>
      <c r="K3448" s="6" t="str">
        <f aca="false">A3448&amp;"|"&amp;B3448&amp;"|"&amp;C3448&amp;"|"&amp;D3448</f>
        <v>5|8|Grace|spotify:track:6naxalmIoLFWR0siv8dnQQ</v>
      </c>
    </row>
    <row r="3449" customFormat="false" ht="15" hidden="false" customHeight="false" outlineLevel="0" collapsed="false">
      <c r="A3449" s="5" t="n">
        <v>5</v>
      </c>
      <c r="B3449" s="5" t="n">
        <v>8</v>
      </c>
      <c r="C3449" s="5" t="s">
        <v>382</v>
      </c>
      <c r="D3449" s="5" t="s">
        <v>1649</v>
      </c>
      <c r="E3449" s="5" t="n">
        <v>1</v>
      </c>
      <c r="F3449" s="6" t="n">
        <f aca="false">IFERROR(MATCH(A3449&amp;"|"&amp;B3449&amp;"|"&amp;D3449,'All Song Rankings'!$T:$T,0),0)</f>
        <v>535</v>
      </c>
      <c r="G3449" s="6" t="str">
        <f aca="false">IF(F3449=0,"NOT FOUND",INDEX('All Song Rankings'!$A:$A,F3449))</f>
        <v>Born to Love You</v>
      </c>
      <c r="H3449" s="6" t="str">
        <f aca="false">IF(F3449=0,"NOT FOUND",INDEX('All Song Rankings'!$B:$B,F3449))</f>
        <v>LANCO</v>
      </c>
      <c r="I3449" s="6" t="str">
        <f aca="false">IF(F3449=0,"NOT FOUND",INDEX('All Song Rankings'!$D:$D,F3449))</f>
        <v>Nicole</v>
      </c>
      <c r="J3449" s="7" t="str">
        <f aca="false">IF(F3449=0,"NOT FOUND",IF(C3449=I3449,"SELF-VOTE",IF(COUNTIF($K:$K,K3449)&gt;1,"DUPLICATE","OK")))</f>
        <v>OK</v>
      </c>
      <c r="K3449" s="6" t="str">
        <f aca="false">A3449&amp;"|"&amp;B3449&amp;"|"&amp;C3449&amp;"|"&amp;D3449</f>
        <v>5|8|Grace|spotify:track:77a5Eu7lC3tG0Sukt2O91U</v>
      </c>
    </row>
    <row r="3450" customFormat="false" ht="15" hidden="false" customHeight="false" outlineLevel="0" collapsed="false">
      <c r="A3450" s="5" t="n">
        <v>5</v>
      </c>
      <c r="B3450" s="5" t="n">
        <v>8</v>
      </c>
      <c r="C3450" s="5" t="s">
        <v>85</v>
      </c>
      <c r="D3450" s="5" t="s">
        <v>1662</v>
      </c>
      <c r="E3450" s="5" t="n">
        <v>3</v>
      </c>
      <c r="F3450" s="6" t="n">
        <f aca="false">IFERROR(MATCH(A3450&amp;"|"&amp;B3450&amp;"|"&amp;D3450,'All Song Rankings'!$T:$T,0),0)</f>
        <v>540</v>
      </c>
      <c r="G3450" s="6" t="str">
        <f aca="false">IF(F3450=0,"NOT FOUND",INDEX('All Song Rankings'!$A:$A,F3450))</f>
        <v>It Would Be You</v>
      </c>
      <c r="H3450" s="6" t="str">
        <f aca="false">IF(F3450=0,"NOT FOUND",INDEX('All Song Rankings'!$B:$B,F3450))</f>
        <v>Ben Rector</v>
      </c>
      <c r="I3450" s="6" t="str">
        <f aca="false">IF(F3450=0,"NOT FOUND",INDEX('All Song Rankings'!$D:$D,F3450))</f>
        <v>Grace</v>
      </c>
      <c r="J3450" s="7" t="str">
        <f aca="false">IF(F3450=0,"NOT FOUND",IF(C3450=I3450,"SELF-VOTE",IF(COUNTIF($K:$K,K3450)&gt;1,"DUPLICATE","OK")))</f>
        <v>OK</v>
      </c>
      <c r="K3450" s="6" t="str">
        <f aca="false">A3450&amp;"|"&amp;B3450&amp;"|"&amp;C3450&amp;"|"&amp;D3450</f>
        <v>5|8|Kelsey|spotify:track:0roPf0bwAsBDZv1bR15m15</v>
      </c>
    </row>
    <row r="3451" customFormat="false" ht="15" hidden="false" customHeight="false" outlineLevel="0" collapsed="false">
      <c r="A3451" s="5" t="n">
        <v>5</v>
      </c>
      <c r="B3451" s="5" t="n">
        <v>8</v>
      </c>
      <c r="C3451" s="5" t="s">
        <v>85</v>
      </c>
      <c r="D3451" s="5" t="s">
        <v>1644</v>
      </c>
      <c r="E3451" s="5" t="n">
        <v>1</v>
      </c>
      <c r="F3451" s="6" t="n">
        <f aca="false">IFERROR(MATCH(A3451&amp;"|"&amp;B3451&amp;"|"&amp;D3451,'All Song Rankings'!$T:$T,0),0)</f>
        <v>533</v>
      </c>
      <c r="G3451" s="6" t="str">
        <f aca="false">IF(F3451=0,"NOT FOUND",INDEX('All Song Rankings'!$A:$A,F3451))</f>
        <v>IDK You Yet</v>
      </c>
      <c r="H3451" s="6" t="str">
        <f aca="false">IF(F3451=0,"NOT FOUND",INDEX('All Song Rankings'!$B:$B,F3451))</f>
        <v>Alexander 23</v>
      </c>
      <c r="I3451" s="6" t="str">
        <f aca="false">IF(F3451=0,"NOT FOUND",INDEX('All Song Rankings'!$D:$D,F3451))</f>
        <v>Merita</v>
      </c>
      <c r="J3451" s="7" t="str">
        <f aca="false">IF(F3451=0,"NOT FOUND",IF(C3451=I3451,"SELF-VOTE",IF(COUNTIF($K:$K,K3451)&gt;1,"DUPLICATE","OK")))</f>
        <v>OK</v>
      </c>
      <c r="K3451" s="6" t="str">
        <f aca="false">A3451&amp;"|"&amp;B3451&amp;"|"&amp;C3451&amp;"|"&amp;D3451</f>
        <v>5|8|Kelsey|spotify:track:11WbNwwAdoxfwpZxSHIP7J</v>
      </c>
    </row>
    <row r="3452" customFormat="false" ht="15" hidden="false" customHeight="false" outlineLevel="0" collapsed="false">
      <c r="A3452" s="5" t="n">
        <v>5</v>
      </c>
      <c r="B3452" s="5" t="n">
        <v>8</v>
      </c>
      <c r="C3452" s="5" t="s">
        <v>85</v>
      </c>
      <c r="D3452" s="5" t="s">
        <v>1622</v>
      </c>
      <c r="E3452" s="5" t="n">
        <v>2</v>
      </c>
      <c r="F3452" s="6" t="n">
        <f aca="false">IFERROR(MATCH(A3452&amp;"|"&amp;B3452&amp;"|"&amp;D3452,'All Song Rankings'!$T:$T,0),0)</f>
        <v>524</v>
      </c>
      <c r="G3452" s="6" t="str">
        <f aca="false">IF(F3452=0,"NOT FOUND",INDEX('All Song Rankings'!$A:$A,F3452))</f>
        <v>(You Drive Me) Crazy</v>
      </c>
      <c r="H3452" s="6" t="str">
        <f aca="false">IF(F3452=0,"NOT FOUND",INDEX('All Song Rankings'!$B:$B,F3452))</f>
        <v>Britney Spears</v>
      </c>
      <c r="I3452" s="6" t="str">
        <f aca="false">IF(F3452=0,"NOT FOUND",INDEX('All Song Rankings'!$D:$D,F3452))</f>
        <v>Nicole</v>
      </c>
      <c r="J3452" s="7" t="str">
        <f aca="false">IF(F3452=0,"NOT FOUND",IF(C3452=I3452,"SELF-VOTE",IF(COUNTIF($K:$K,K3452)&gt;1,"DUPLICATE","OK")))</f>
        <v>OK</v>
      </c>
      <c r="K3452" s="6" t="str">
        <f aca="false">A3452&amp;"|"&amp;B3452&amp;"|"&amp;C3452&amp;"|"&amp;D3452</f>
        <v>5|8|Kelsey|spotify:track:1DSJNBNhGZCigg9ll5VeZv</v>
      </c>
    </row>
    <row r="3453" customFormat="false" ht="15" hidden="false" customHeight="false" outlineLevel="0" collapsed="false">
      <c r="A3453" s="5" t="n">
        <v>5</v>
      </c>
      <c r="B3453" s="5" t="n">
        <v>8</v>
      </c>
      <c r="C3453" s="5" t="s">
        <v>85</v>
      </c>
      <c r="D3453" s="5" t="s">
        <v>1641</v>
      </c>
      <c r="E3453" s="5" t="n">
        <v>2</v>
      </c>
      <c r="F3453" s="6" t="n">
        <f aca="false">IFERROR(MATCH(A3453&amp;"|"&amp;B3453&amp;"|"&amp;D3453,'All Song Rankings'!$T:$T,0),0)</f>
        <v>532</v>
      </c>
      <c r="G3453" s="6" t="str">
        <f aca="false">IF(F3453=0,"NOT FOUND",INDEX('All Song Rankings'!$A:$A,F3453))</f>
        <v>Sucker</v>
      </c>
      <c r="H3453" s="6" t="str">
        <f aca="false">IF(F3453=0,"NOT FOUND",INDEX('All Song Rankings'!$B:$B,F3453))</f>
        <v>Jonas Brothers</v>
      </c>
      <c r="I3453" s="6" t="str">
        <f aca="false">IF(F3453=0,"NOT FOUND",INDEX('All Song Rankings'!$D:$D,F3453))</f>
        <v>Makenzie</v>
      </c>
      <c r="J3453" s="7" t="str">
        <f aca="false">IF(F3453=0,"NOT FOUND",IF(C3453=I3453,"SELF-VOTE",IF(COUNTIF($K:$K,K3453)&gt;1,"DUPLICATE","OK")))</f>
        <v>OK</v>
      </c>
      <c r="K3453" s="6" t="str">
        <f aca="false">A3453&amp;"|"&amp;B3453&amp;"|"&amp;C3453&amp;"|"&amp;D3453</f>
        <v>5|8|Kelsey|spotify:track:22vgEDb5hykfaTwLuskFGD</v>
      </c>
    </row>
    <row r="3454" customFormat="false" ht="15" hidden="false" customHeight="false" outlineLevel="0" collapsed="false">
      <c r="A3454" s="5" t="n">
        <v>5</v>
      </c>
      <c r="B3454" s="5" t="n">
        <v>8</v>
      </c>
      <c r="C3454" s="5" t="s">
        <v>85</v>
      </c>
      <c r="D3454" s="5" t="s">
        <v>1625</v>
      </c>
      <c r="E3454" s="5" t="n">
        <v>3</v>
      </c>
      <c r="F3454" s="6" t="n">
        <f aca="false">IFERROR(MATCH(A3454&amp;"|"&amp;B3454&amp;"|"&amp;D3454,'All Song Rankings'!$T:$T,0),0)</f>
        <v>525</v>
      </c>
      <c r="G3454" s="6" t="str">
        <f aca="false">IF(F3454=0,"NOT FOUND",INDEX('All Song Rankings'!$A:$A,F3454))</f>
        <v>Ghost</v>
      </c>
      <c r="H3454" s="6" t="str">
        <f aca="false">IF(F3454=0,"NOT FOUND",INDEX('All Song Rankings'!$B:$B,F3454))</f>
        <v>Demi Lovato</v>
      </c>
      <c r="I3454" s="6" t="str">
        <f aca="false">IF(F3454=0,"NOT FOUND",INDEX('All Song Rankings'!$D:$D,F3454))</f>
        <v>Logan</v>
      </c>
      <c r="J3454" s="7" t="str">
        <f aca="false">IF(F3454=0,"NOT FOUND",IF(C3454=I3454,"SELF-VOTE",IF(COUNTIF($K:$K,K3454)&gt;1,"DUPLICATE","OK")))</f>
        <v>OK</v>
      </c>
      <c r="K3454" s="6" t="str">
        <f aca="false">A3454&amp;"|"&amp;B3454&amp;"|"&amp;C3454&amp;"|"&amp;D3454</f>
        <v>5|8|Kelsey|spotify:track:3XeyI07raWwr8wbnaJeaVl</v>
      </c>
    </row>
    <row r="3455" customFormat="false" ht="15" hidden="false" customHeight="false" outlineLevel="0" collapsed="false">
      <c r="A3455" s="5" t="n">
        <v>5</v>
      </c>
      <c r="B3455" s="5" t="n">
        <v>8</v>
      </c>
      <c r="C3455" s="5" t="s">
        <v>85</v>
      </c>
      <c r="D3455" s="5" t="s">
        <v>1635</v>
      </c>
      <c r="E3455" s="5" t="n">
        <v>2</v>
      </c>
      <c r="F3455" s="6" t="n">
        <f aca="false">IFERROR(MATCH(A3455&amp;"|"&amp;B3455&amp;"|"&amp;D3455,'All Song Rankings'!$T:$T,0),0)</f>
        <v>529</v>
      </c>
      <c r="G3455" s="6" t="str">
        <f aca="false">IF(F3455=0,"NOT FOUND",INDEX('All Song Rankings'!$A:$A,F3455))</f>
        <v>Tearin' up My Heart - Radio Edit</v>
      </c>
      <c r="H3455" s="6" t="str">
        <f aca="false">IF(F3455=0,"NOT FOUND",INDEX('All Song Rankings'!$B:$B,F3455))</f>
        <v>*NSYNC</v>
      </c>
      <c r="I3455" s="6" t="str">
        <f aca="false">IF(F3455=0,"NOT FOUND",INDEX('All Song Rankings'!$D:$D,F3455))</f>
        <v>Grace</v>
      </c>
      <c r="J3455" s="7" t="str">
        <f aca="false">IF(F3455=0,"NOT FOUND",IF(C3455=I3455,"SELF-VOTE",IF(COUNTIF($K:$K,K3455)&gt;1,"DUPLICATE","OK")))</f>
        <v>OK</v>
      </c>
      <c r="K3455" s="6" t="str">
        <f aca="false">A3455&amp;"|"&amp;B3455&amp;"|"&amp;C3455&amp;"|"&amp;D3455</f>
        <v>5|8|Kelsey|spotify:track:594M0rqYMOo8BhMGEdoi5C</v>
      </c>
    </row>
    <row r="3456" customFormat="false" ht="15" hidden="false" customHeight="false" outlineLevel="0" collapsed="false">
      <c r="A3456" s="5" t="n">
        <v>5</v>
      </c>
      <c r="B3456" s="5" t="n">
        <v>8</v>
      </c>
      <c r="C3456" s="5" t="s">
        <v>85</v>
      </c>
      <c r="D3456" s="5" t="s">
        <v>1646</v>
      </c>
      <c r="E3456" s="5" t="n">
        <v>2</v>
      </c>
      <c r="F3456" s="6" t="n">
        <f aca="false">IFERROR(MATCH(A3456&amp;"|"&amp;B3456&amp;"|"&amp;D3456,'All Song Rankings'!$T:$T,0),0)</f>
        <v>534</v>
      </c>
      <c r="G3456" s="6" t="str">
        <f aca="false">IF(F3456=0,"NOT FOUND",INDEX('All Song Rankings'!$A:$A,F3456))</f>
        <v>All Too Well (10 Minute Version) (Taylor's Version) (From The Vault)</v>
      </c>
      <c r="H3456" s="6" t="str">
        <f aca="false">IF(F3456=0,"NOT FOUND",INDEX('All Song Rankings'!$B:$B,F3456))</f>
        <v>Taylor Swift</v>
      </c>
      <c r="I3456" s="6" t="str">
        <f aca="false">IF(F3456=0,"NOT FOUND",INDEX('All Song Rankings'!$D:$D,F3456))</f>
        <v>Stephanie</v>
      </c>
      <c r="J3456" s="7" t="str">
        <f aca="false">IF(F3456=0,"NOT FOUND",IF(C3456=I3456,"SELF-VOTE",IF(COUNTIF($K:$K,K3456)&gt;1,"DUPLICATE","OK")))</f>
        <v>OK</v>
      </c>
      <c r="K3456" s="6" t="str">
        <f aca="false">A3456&amp;"|"&amp;B3456&amp;"|"&amp;C3456&amp;"|"&amp;D3456</f>
        <v>5|8|Kelsey|spotify:track:5enxwA8aAbwZbf5qCHORXi</v>
      </c>
    </row>
    <row r="3457" customFormat="false" ht="15" hidden="false" customHeight="false" outlineLevel="0" collapsed="false">
      <c r="A3457" s="5" t="n">
        <v>5</v>
      </c>
      <c r="B3457" s="5" t="n">
        <v>8</v>
      </c>
      <c r="C3457" s="5" t="s">
        <v>85</v>
      </c>
      <c r="D3457" s="5" t="s">
        <v>1681</v>
      </c>
      <c r="E3457" s="5" t="n">
        <v>1</v>
      </c>
      <c r="F3457" s="6" t="n">
        <f aca="false">IFERROR(MATCH(A3457&amp;"|"&amp;B3457&amp;"|"&amp;D3457,'All Song Rankings'!$T:$T,0),0)</f>
        <v>548</v>
      </c>
      <c r="G3457" s="6" t="str">
        <f aca="false">IF(F3457=0,"NOT FOUND",INDEX('All Song Rankings'!$A:$A,F3457))</f>
        <v>Teenage Dream</v>
      </c>
      <c r="H3457" s="6" t="str">
        <f aca="false">IF(F3457=0,"NOT FOUND",INDEX('All Song Rankings'!$B:$B,F3457))</f>
        <v>Katy Perry</v>
      </c>
      <c r="I3457" s="6" t="str">
        <f aca="false">IF(F3457=0,"NOT FOUND",INDEX('All Song Rankings'!$D:$D,F3457))</f>
        <v>Aubrey</v>
      </c>
      <c r="J3457" s="7" t="str">
        <f aca="false">IF(F3457=0,"NOT FOUND",IF(C3457=I3457,"SELF-VOTE",IF(COUNTIF($K:$K,K3457)&gt;1,"DUPLICATE","OK")))</f>
        <v>OK</v>
      </c>
      <c r="K3457" s="6" t="str">
        <f aca="false">A3457&amp;"|"&amp;B3457&amp;"|"&amp;C3457&amp;"|"&amp;D3457</f>
        <v>5|8|Kelsey|spotify:track:5jzKL4BDMClWqRguW5qZvh</v>
      </c>
    </row>
    <row r="3458" customFormat="false" ht="15" hidden="false" customHeight="false" outlineLevel="0" collapsed="false">
      <c r="A3458" s="5" t="n">
        <v>5</v>
      </c>
      <c r="B3458" s="5" t="n">
        <v>8</v>
      </c>
      <c r="C3458" s="5" t="s">
        <v>85</v>
      </c>
      <c r="D3458" s="5" t="s">
        <v>1667</v>
      </c>
      <c r="E3458" s="5" t="n">
        <v>1</v>
      </c>
      <c r="F3458" s="6" t="n">
        <f aca="false">IFERROR(MATCH(A3458&amp;"|"&amp;B3458&amp;"|"&amp;D3458,'All Song Rankings'!$T:$T,0),0)</f>
        <v>542</v>
      </c>
      <c r="G3458" s="6" t="str">
        <f aca="false">IF(F3458=0,"NOT FOUND",INDEX('All Song Rankings'!$A:$A,F3458))</f>
        <v>Babylon</v>
      </c>
      <c r="H3458" s="6" t="str">
        <f aca="false">IF(F3458=0,"NOT FOUND",INDEX('All Song Rankings'!$B:$B,F3458))</f>
        <v>5 Seconds of Summer</v>
      </c>
      <c r="I3458" s="6" t="str">
        <f aca="false">IF(F3458=0,"NOT FOUND",INDEX('All Song Rankings'!$D:$D,F3458))</f>
        <v>Merita</v>
      </c>
      <c r="J3458" s="7" t="str">
        <f aca="false">IF(F3458=0,"NOT FOUND",IF(C3458=I3458,"SELF-VOTE",IF(COUNTIF($K:$K,K3458)&gt;1,"DUPLICATE","OK")))</f>
        <v>OK</v>
      </c>
      <c r="K3458" s="6" t="str">
        <f aca="false">A3458&amp;"|"&amp;B3458&amp;"|"&amp;C3458&amp;"|"&amp;D3458</f>
        <v>5|8|Kelsey|spotify:track:6PUYqQtGWVAovZrLC9BIqt</v>
      </c>
    </row>
    <row r="3459" customFormat="false" ht="15" hidden="false" customHeight="false" outlineLevel="0" collapsed="false">
      <c r="A3459" s="5" t="n">
        <v>5</v>
      </c>
      <c r="B3459" s="5" t="n">
        <v>8</v>
      </c>
      <c r="C3459" s="5" t="s">
        <v>85</v>
      </c>
      <c r="D3459" s="5" t="s">
        <v>1620</v>
      </c>
      <c r="E3459" s="5" t="n">
        <v>2</v>
      </c>
      <c r="F3459" s="6" t="n">
        <f aca="false">IFERROR(MATCH(A3459&amp;"|"&amp;B3459&amp;"|"&amp;D3459,'All Song Rankings'!$T:$T,0),0)</f>
        <v>523</v>
      </c>
      <c r="G3459" s="6" t="str">
        <f aca="false">IF(F3459=0,"NOT FOUND",INDEX('All Song Rankings'!$A:$A,F3459))</f>
        <v>My Heart Will Go On</v>
      </c>
      <c r="H3459" s="6" t="str">
        <f aca="false">IF(F3459=0,"NOT FOUND",INDEX('All Song Rankings'!$B:$B,F3459))</f>
        <v>Céline Dion</v>
      </c>
      <c r="I3459" s="6" t="str">
        <f aca="false">IF(F3459=0,"NOT FOUND",INDEX('All Song Rankings'!$D:$D,F3459))</f>
        <v>Aubrey</v>
      </c>
      <c r="J3459" s="7" t="str">
        <f aca="false">IF(F3459=0,"NOT FOUND",IF(C3459=I3459,"SELF-VOTE",IF(COUNTIF($K:$K,K3459)&gt;1,"DUPLICATE","OK")))</f>
        <v>OK</v>
      </c>
      <c r="K3459" s="6" t="str">
        <f aca="false">A3459&amp;"|"&amp;B3459&amp;"|"&amp;C3459&amp;"|"&amp;D3459</f>
        <v>5|8|Kelsey|spotify:track:6e7N7cQ8MuPtu3FweRQYJz</v>
      </c>
    </row>
    <row r="3460" customFormat="false" ht="15" hidden="false" customHeight="false" outlineLevel="0" collapsed="false">
      <c r="A3460" s="5" t="n">
        <v>5</v>
      </c>
      <c r="B3460" s="5" t="n">
        <v>8</v>
      </c>
      <c r="C3460" s="5" t="s">
        <v>85</v>
      </c>
      <c r="D3460" s="5" t="s">
        <v>1630</v>
      </c>
      <c r="E3460" s="5" t="n">
        <v>1</v>
      </c>
      <c r="F3460" s="6" t="n">
        <f aca="false">IFERROR(MATCH(A3460&amp;"|"&amp;B3460&amp;"|"&amp;D3460,'All Song Rankings'!$T:$T,0),0)</f>
        <v>527</v>
      </c>
      <c r="G3460" s="6" t="str">
        <f aca="false">IF(F3460=0,"NOT FOUND",INDEX('All Song Rankings'!$A:$A,F3460))</f>
        <v>Oops!...I Did It Again</v>
      </c>
      <c r="H3460" s="6" t="str">
        <f aca="false">IF(F3460=0,"NOT FOUND",INDEX('All Song Rankings'!$B:$B,F3460))</f>
        <v>Britney Spears</v>
      </c>
      <c r="I3460" s="6" t="str">
        <f aca="false">IF(F3460=0,"NOT FOUND",INDEX('All Song Rankings'!$D:$D,F3460))</f>
        <v>Colleen</v>
      </c>
      <c r="J3460" s="7" t="str">
        <f aca="false">IF(F3460=0,"NOT FOUND",IF(C3460=I3460,"SELF-VOTE",IF(COUNTIF($K:$K,K3460)&gt;1,"DUPLICATE","OK")))</f>
        <v>OK</v>
      </c>
      <c r="K3460" s="6" t="str">
        <f aca="false">A3460&amp;"|"&amp;B3460&amp;"|"&amp;C3460&amp;"|"&amp;D3460</f>
        <v>5|8|Kelsey|spotify:track:6naxalmIoLFWR0siv8dnQQ</v>
      </c>
    </row>
    <row r="3461" customFormat="false" ht="15" hidden="false" customHeight="false" outlineLevel="0" collapsed="false">
      <c r="A3461" s="5" t="n">
        <v>5</v>
      </c>
      <c r="B3461" s="5" t="n">
        <v>8</v>
      </c>
      <c r="C3461" s="5" t="s">
        <v>106</v>
      </c>
      <c r="D3461" s="5" t="s">
        <v>1639</v>
      </c>
      <c r="E3461" s="5" t="n">
        <v>1</v>
      </c>
      <c r="F3461" s="6" t="n">
        <f aca="false">IFERROR(MATCH(A3461&amp;"|"&amp;B3461&amp;"|"&amp;D3461,'All Song Rankings'!$T:$T,0),0)</f>
        <v>531</v>
      </c>
      <c r="G3461" s="6" t="str">
        <f aca="false">IF(F3461=0,"NOT FOUND",INDEX('All Song Rankings'!$A:$A,F3461))</f>
        <v>Livin' la Vida Loca</v>
      </c>
      <c r="H3461" s="6" t="str">
        <f aca="false">IF(F3461=0,"NOT FOUND",INDEX('All Song Rankings'!$B:$B,F3461))</f>
        <v>Ricky Martin</v>
      </c>
      <c r="I3461" s="6" t="str">
        <f aca="false">IF(F3461=0,"NOT FOUND",INDEX('All Song Rankings'!$D:$D,F3461))</f>
        <v>Makenzie</v>
      </c>
      <c r="J3461" s="7" t="str">
        <f aca="false">IF(F3461=0,"NOT FOUND",IF(C3461=I3461,"SELF-VOTE",IF(COUNTIF($K:$K,K3461)&gt;1,"DUPLICATE","OK")))</f>
        <v>OK</v>
      </c>
      <c r="K3461" s="6" t="str">
        <f aca="false">A3461&amp;"|"&amp;B3461&amp;"|"&amp;C3461&amp;"|"&amp;D3461</f>
        <v>5|8|Kristen|spotify:track:0Ph6L4l8dYUuXFmb71Ajnd</v>
      </c>
    </row>
    <row r="3462" customFormat="false" ht="15" hidden="false" customHeight="false" outlineLevel="0" collapsed="false">
      <c r="A3462" s="5" t="n">
        <v>5</v>
      </c>
      <c r="B3462" s="5" t="n">
        <v>8</v>
      </c>
      <c r="C3462" s="5" t="s">
        <v>106</v>
      </c>
      <c r="D3462" s="5" t="s">
        <v>1662</v>
      </c>
      <c r="E3462" s="5" t="n">
        <v>1</v>
      </c>
      <c r="F3462" s="6" t="n">
        <f aca="false">IFERROR(MATCH(A3462&amp;"|"&amp;B3462&amp;"|"&amp;D3462,'All Song Rankings'!$T:$T,0),0)</f>
        <v>540</v>
      </c>
      <c r="G3462" s="6" t="str">
        <f aca="false">IF(F3462=0,"NOT FOUND",INDEX('All Song Rankings'!$A:$A,F3462))</f>
        <v>It Would Be You</v>
      </c>
      <c r="H3462" s="6" t="str">
        <f aca="false">IF(F3462=0,"NOT FOUND",INDEX('All Song Rankings'!$B:$B,F3462))</f>
        <v>Ben Rector</v>
      </c>
      <c r="I3462" s="6" t="str">
        <f aca="false">IF(F3462=0,"NOT FOUND",INDEX('All Song Rankings'!$D:$D,F3462))</f>
        <v>Grace</v>
      </c>
      <c r="J3462" s="7" t="str">
        <f aca="false">IF(F3462=0,"NOT FOUND",IF(C3462=I3462,"SELF-VOTE",IF(COUNTIF($K:$K,K3462)&gt;1,"DUPLICATE","OK")))</f>
        <v>OK</v>
      </c>
      <c r="K3462" s="6" t="str">
        <f aca="false">A3462&amp;"|"&amp;B3462&amp;"|"&amp;C3462&amp;"|"&amp;D3462</f>
        <v>5|8|Kristen|spotify:track:0roPf0bwAsBDZv1bR15m15</v>
      </c>
    </row>
    <row r="3463" customFormat="false" ht="15" hidden="false" customHeight="false" outlineLevel="0" collapsed="false">
      <c r="A3463" s="5" t="n">
        <v>5</v>
      </c>
      <c r="B3463" s="5" t="n">
        <v>8</v>
      </c>
      <c r="C3463" s="5" t="s">
        <v>106</v>
      </c>
      <c r="D3463" s="5" t="s">
        <v>1644</v>
      </c>
      <c r="E3463" s="5" t="n">
        <v>1</v>
      </c>
      <c r="F3463" s="6" t="n">
        <f aca="false">IFERROR(MATCH(A3463&amp;"|"&amp;B3463&amp;"|"&amp;D3463,'All Song Rankings'!$T:$T,0),0)</f>
        <v>533</v>
      </c>
      <c r="G3463" s="6" t="str">
        <f aca="false">IF(F3463=0,"NOT FOUND",INDEX('All Song Rankings'!$A:$A,F3463))</f>
        <v>IDK You Yet</v>
      </c>
      <c r="H3463" s="6" t="str">
        <f aca="false">IF(F3463=0,"NOT FOUND",INDEX('All Song Rankings'!$B:$B,F3463))</f>
        <v>Alexander 23</v>
      </c>
      <c r="I3463" s="6" t="str">
        <f aca="false">IF(F3463=0,"NOT FOUND",INDEX('All Song Rankings'!$D:$D,F3463))</f>
        <v>Merita</v>
      </c>
      <c r="J3463" s="7" t="str">
        <f aca="false">IF(F3463=0,"NOT FOUND",IF(C3463=I3463,"SELF-VOTE",IF(COUNTIF($K:$K,K3463)&gt;1,"DUPLICATE","OK")))</f>
        <v>OK</v>
      </c>
      <c r="K3463" s="6" t="str">
        <f aca="false">A3463&amp;"|"&amp;B3463&amp;"|"&amp;C3463&amp;"|"&amp;D3463</f>
        <v>5|8|Kristen|spotify:track:11WbNwwAdoxfwpZxSHIP7J</v>
      </c>
    </row>
    <row r="3464" customFormat="false" ht="15" hidden="false" customHeight="false" outlineLevel="0" collapsed="false">
      <c r="A3464" s="5" t="n">
        <v>5</v>
      </c>
      <c r="B3464" s="5" t="n">
        <v>8</v>
      </c>
      <c r="C3464" s="5" t="s">
        <v>106</v>
      </c>
      <c r="D3464" s="5" t="s">
        <v>1673</v>
      </c>
      <c r="E3464" s="5" t="n">
        <v>1</v>
      </c>
      <c r="F3464" s="6" t="n">
        <f aca="false">IFERROR(MATCH(A3464&amp;"|"&amp;B3464&amp;"|"&amp;D3464,'All Song Rankings'!$T:$T,0),0)</f>
        <v>545</v>
      </c>
      <c r="G3464" s="6" t="str">
        <f aca="false">IF(F3464=0,"NOT FOUND",INDEX('All Song Rankings'!$A:$A,F3464))</f>
        <v>Beautiful Day</v>
      </c>
      <c r="H3464" s="6" t="str">
        <f aca="false">IF(F3464=0,"NOT FOUND",INDEX('All Song Rankings'!$B:$B,F3464))</f>
        <v>U2</v>
      </c>
      <c r="I3464" s="6" t="str">
        <f aca="false">IF(F3464=0,"NOT FOUND",INDEX('All Song Rankings'!$D:$D,F3464))</f>
        <v>Christine</v>
      </c>
      <c r="J3464" s="7" t="str">
        <f aca="false">IF(F3464=0,"NOT FOUND",IF(C3464=I3464,"SELF-VOTE",IF(COUNTIF($K:$K,K3464)&gt;1,"DUPLICATE","OK")))</f>
        <v>OK</v>
      </c>
      <c r="K3464" s="6" t="str">
        <f aca="false">A3464&amp;"|"&amp;B3464&amp;"|"&amp;C3464&amp;"|"&amp;D3464</f>
        <v>5|8|Kristen|spotify:track:1VuBmEauSZywQVtqbxNqka</v>
      </c>
    </row>
    <row r="3465" customFormat="false" ht="15" hidden="false" customHeight="false" outlineLevel="0" collapsed="false">
      <c r="A3465" s="5" t="n">
        <v>5</v>
      </c>
      <c r="B3465" s="5" t="n">
        <v>8</v>
      </c>
      <c r="C3465" s="5" t="s">
        <v>106</v>
      </c>
      <c r="D3465" s="5" t="s">
        <v>1641</v>
      </c>
      <c r="E3465" s="5" t="n">
        <v>1</v>
      </c>
      <c r="F3465" s="6" t="n">
        <f aca="false">IFERROR(MATCH(A3465&amp;"|"&amp;B3465&amp;"|"&amp;D3465,'All Song Rankings'!$T:$T,0),0)</f>
        <v>532</v>
      </c>
      <c r="G3465" s="6" t="str">
        <f aca="false">IF(F3465=0,"NOT FOUND",INDEX('All Song Rankings'!$A:$A,F3465))</f>
        <v>Sucker</v>
      </c>
      <c r="H3465" s="6" t="str">
        <f aca="false">IF(F3465=0,"NOT FOUND",INDEX('All Song Rankings'!$B:$B,F3465))</f>
        <v>Jonas Brothers</v>
      </c>
      <c r="I3465" s="6" t="str">
        <f aca="false">IF(F3465=0,"NOT FOUND",INDEX('All Song Rankings'!$D:$D,F3465))</f>
        <v>Makenzie</v>
      </c>
      <c r="J3465" s="7" t="str">
        <f aca="false">IF(F3465=0,"NOT FOUND",IF(C3465=I3465,"SELF-VOTE",IF(COUNTIF($K:$K,K3465)&gt;1,"DUPLICATE","OK")))</f>
        <v>OK</v>
      </c>
      <c r="K3465" s="6" t="str">
        <f aca="false">A3465&amp;"|"&amp;B3465&amp;"|"&amp;C3465&amp;"|"&amp;D3465</f>
        <v>5|8|Kristen|spotify:track:22vgEDb5hykfaTwLuskFGD</v>
      </c>
    </row>
    <row r="3466" customFormat="false" ht="15" hidden="false" customHeight="false" outlineLevel="0" collapsed="false">
      <c r="A3466" s="5" t="n">
        <v>5</v>
      </c>
      <c r="B3466" s="5" t="n">
        <v>8</v>
      </c>
      <c r="C3466" s="5" t="s">
        <v>106</v>
      </c>
      <c r="D3466" s="5" t="s">
        <v>1676</v>
      </c>
      <c r="E3466" s="5" t="n">
        <v>2</v>
      </c>
      <c r="F3466" s="6" t="n">
        <f aca="false">IFERROR(MATCH(A3466&amp;"|"&amp;B3466&amp;"|"&amp;D3466,'All Song Rankings'!$T:$T,0),0)</f>
        <v>546</v>
      </c>
      <c r="G3466" s="6" t="str">
        <f aca="false">IF(F3466=0,"NOT FOUND",INDEX('All Song Rankings'!$A:$A,F3466))</f>
        <v>Weak</v>
      </c>
      <c r="H3466" s="6" t="str">
        <f aca="false">IF(F3466=0,"NOT FOUND",INDEX('All Song Rankings'!$B:$B,F3466))</f>
        <v>AJR</v>
      </c>
      <c r="I3466" s="6" t="str">
        <f aca="false">IF(F3466=0,"NOT FOUND",INDEX('All Song Rankings'!$D:$D,F3466))</f>
        <v>Matt</v>
      </c>
      <c r="J3466" s="7" t="str">
        <f aca="false">IF(F3466=0,"NOT FOUND",IF(C3466=I3466,"SELF-VOTE",IF(COUNTIF($K:$K,K3466)&gt;1,"DUPLICATE","OK")))</f>
        <v>OK</v>
      </c>
      <c r="K3466" s="6" t="str">
        <f aca="false">A3466&amp;"|"&amp;B3466&amp;"|"&amp;C3466&amp;"|"&amp;D3466</f>
        <v>5|8|Kristen|spotify:track:2sVcBaVtBPM9vIFk1Jnbw8</v>
      </c>
    </row>
    <row r="3467" customFormat="false" ht="15" hidden="false" customHeight="false" outlineLevel="0" collapsed="false">
      <c r="A3467" s="5" t="n">
        <v>5</v>
      </c>
      <c r="B3467" s="5" t="n">
        <v>8</v>
      </c>
      <c r="C3467" s="5" t="s">
        <v>106</v>
      </c>
      <c r="D3467" s="5" t="s">
        <v>1628</v>
      </c>
      <c r="E3467" s="5" t="n">
        <v>1</v>
      </c>
      <c r="F3467" s="6" t="n">
        <f aca="false">IFERROR(MATCH(A3467&amp;"|"&amp;B3467&amp;"|"&amp;D3467,'All Song Rankings'!$T:$T,0),0)</f>
        <v>526</v>
      </c>
      <c r="G3467" s="6" t="str">
        <f aca="false">IF(F3467=0,"NOT FOUND",INDEX('All Song Rankings'!$A:$A,F3467))</f>
        <v>Here Without You</v>
      </c>
      <c r="H3467" s="6" t="str">
        <f aca="false">IF(F3467=0,"NOT FOUND",INDEX('All Song Rankings'!$B:$B,F3467))</f>
        <v>3 Doors Down</v>
      </c>
      <c r="I3467" s="6" t="str">
        <f aca="false">IF(F3467=0,"NOT FOUND",INDEX('All Song Rankings'!$D:$D,F3467))</f>
        <v>Leah</v>
      </c>
      <c r="J3467" s="7" t="str">
        <f aca="false">IF(F3467=0,"NOT FOUND",IF(C3467=I3467,"SELF-VOTE",IF(COUNTIF($K:$K,K3467)&gt;1,"DUPLICATE","OK")))</f>
        <v>OK</v>
      </c>
      <c r="K3467" s="6" t="str">
        <f aca="false">A3467&amp;"|"&amp;B3467&amp;"|"&amp;C3467&amp;"|"&amp;D3467</f>
        <v>5|8|Kristen|spotify:track:3NLrRZoMF0Lx6zTlYqeIo4</v>
      </c>
    </row>
    <row r="3468" customFormat="false" ht="15" hidden="false" customHeight="false" outlineLevel="0" collapsed="false">
      <c r="A3468" s="5" t="n">
        <v>5</v>
      </c>
      <c r="B3468" s="5" t="n">
        <v>8</v>
      </c>
      <c r="C3468" s="5" t="s">
        <v>106</v>
      </c>
      <c r="D3468" s="5" t="s">
        <v>1625</v>
      </c>
      <c r="E3468" s="5" t="n">
        <v>2</v>
      </c>
      <c r="F3468" s="6" t="n">
        <f aca="false">IFERROR(MATCH(A3468&amp;"|"&amp;B3468&amp;"|"&amp;D3468,'All Song Rankings'!$T:$T,0),0)</f>
        <v>525</v>
      </c>
      <c r="G3468" s="6" t="str">
        <f aca="false">IF(F3468=0,"NOT FOUND",INDEX('All Song Rankings'!$A:$A,F3468))</f>
        <v>Ghost</v>
      </c>
      <c r="H3468" s="6" t="str">
        <f aca="false">IF(F3468=0,"NOT FOUND",INDEX('All Song Rankings'!$B:$B,F3468))</f>
        <v>Demi Lovato</v>
      </c>
      <c r="I3468" s="6" t="str">
        <f aca="false">IF(F3468=0,"NOT FOUND",INDEX('All Song Rankings'!$D:$D,F3468))</f>
        <v>Logan</v>
      </c>
      <c r="J3468" s="7" t="str">
        <f aca="false">IF(F3468=0,"NOT FOUND",IF(C3468=I3468,"SELF-VOTE",IF(COUNTIF($K:$K,K3468)&gt;1,"DUPLICATE","OK")))</f>
        <v>OK</v>
      </c>
      <c r="K3468" s="6" t="str">
        <f aca="false">A3468&amp;"|"&amp;B3468&amp;"|"&amp;C3468&amp;"|"&amp;D3468</f>
        <v>5|8|Kristen|spotify:track:3XeyI07raWwr8wbnaJeaVl</v>
      </c>
    </row>
    <row r="3469" customFormat="false" ht="15" hidden="false" customHeight="false" outlineLevel="0" collapsed="false">
      <c r="A3469" s="5" t="n">
        <v>5</v>
      </c>
      <c r="B3469" s="5" t="n">
        <v>8</v>
      </c>
      <c r="C3469" s="5" t="s">
        <v>106</v>
      </c>
      <c r="D3469" s="5" t="s">
        <v>1660</v>
      </c>
      <c r="E3469" s="5" t="n">
        <v>1</v>
      </c>
      <c r="F3469" s="6" t="n">
        <f aca="false">IFERROR(MATCH(A3469&amp;"|"&amp;B3469&amp;"|"&amp;D3469,'All Song Rankings'!$T:$T,0),0)</f>
        <v>539</v>
      </c>
      <c r="G3469" s="6" t="str">
        <f aca="false">IF(F3469=0,"NOT FOUND",INDEX('All Song Rankings'!$A:$A,F3469))</f>
        <v>If It Means A Lot To You</v>
      </c>
      <c r="H3469" s="6" t="str">
        <f aca="false">IF(F3469=0,"NOT FOUND",INDEX('All Song Rankings'!$B:$B,F3469))</f>
        <v>A Day to Remember</v>
      </c>
      <c r="I3469" s="6" t="str">
        <f aca="false">IF(F3469=0,"NOT FOUND",INDEX('All Song Rankings'!$D:$D,F3469))</f>
        <v>Colleen</v>
      </c>
      <c r="J3469" s="7" t="str">
        <f aca="false">IF(F3469=0,"NOT FOUND",IF(C3469=I3469,"SELF-VOTE",IF(COUNTIF($K:$K,K3469)&gt;1,"DUPLICATE","OK")))</f>
        <v>OK</v>
      </c>
      <c r="K3469" s="6" t="str">
        <f aca="false">A3469&amp;"|"&amp;B3469&amp;"|"&amp;C3469&amp;"|"&amp;D3469</f>
        <v>5|8|Kristen|spotify:track:3rEwGRmPVVudVjqdgv0tRR</v>
      </c>
    </row>
    <row r="3470" customFormat="false" ht="15" hidden="false" customHeight="false" outlineLevel="0" collapsed="false">
      <c r="A3470" s="5" t="n">
        <v>5</v>
      </c>
      <c r="B3470" s="5" t="n">
        <v>8</v>
      </c>
      <c r="C3470" s="5" t="s">
        <v>106</v>
      </c>
      <c r="D3470" s="5" t="s">
        <v>1655</v>
      </c>
      <c r="E3470" s="5" t="n">
        <v>1</v>
      </c>
      <c r="F3470" s="6" t="n">
        <f aca="false">IFERROR(MATCH(A3470&amp;"|"&amp;B3470&amp;"|"&amp;D3470,'All Song Rankings'!$T:$T,0),0)</f>
        <v>537</v>
      </c>
      <c r="G3470" s="6" t="str">
        <f aca="false">IF(F3470=0,"NOT FOUND",INDEX('All Song Rankings'!$A:$A,F3470))</f>
        <v>You Got It (The Right Stuff)</v>
      </c>
      <c r="H3470" s="6" t="str">
        <f aca="false">IF(F3470=0,"NOT FOUND",INDEX('All Song Rankings'!$B:$B,F3470))</f>
        <v>New Kids On The Block</v>
      </c>
      <c r="I3470" s="6" t="str">
        <f aca="false">IF(F3470=0,"NOT FOUND",INDEX('All Song Rankings'!$D:$D,F3470))</f>
        <v>Matt</v>
      </c>
      <c r="J3470" s="7" t="str">
        <f aca="false">IF(F3470=0,"NOT FOUND",IF(C3470=I3470,"SELF-VOTE",IF(COUNTIF($K:$K,K3470)&gt;1,"DUPLICATE","OK")))</f>
        <v>OK</v>
      </c>
      <c r="K3470" s="6" t="str">
        <f aca="false">A3470&amp;"|"&amp;B3470&amp;"|"&amp;C3470&amp;"|"&amp;D3470</f>
        <v>5|8|Kristen|spotify:track:4buDeg67vos7KP1yHrS9wl</v>
      </c>
    </row>
    <row r="3471" customFormat="false" ht="15" hidden="false" customHeight="false" outlineLevel="0" collapsed="false">
      <c r="A3471" s="5" t="n">
        <v>5</v>
      </c>
      <c r="B3471" s="5" t="n">
        <v>8</v>
      </c>
      <c r="C3471" s="5" t="s">
        <v>106</v>
      </c>
      <c r="D3471" s="5" t="s">
        <v>1635</v>
      </c>
      <c r="E3471" s="5" t="n">
        <v>2</v>
      </c>
      <c r="F3471" s="6" t="n">
        <f aca="false">IFERROR(MATCH(A3471&amp;"|"&amp;B3471&amp;"|"&amp;D3471,'All Song Rankings'!$T:$T,0),0)</f>
        <v>529</v>
      </c>
      <c r="G3471" s="6" t="str">
        <f aca="false">IF(F3471=0,"NOT FOUND",INDEX('All Song Rankings'!$A:$A,F3471))</f>
        <v>Tearin' up My Heart - Radio Edit</v>
      </c>
      <c r="H3471" s="6" t="str">
        <f aca="false">IF(F3471=0,"NOT FOUND",INDEX('All Song Rankings'!$B:$B,F3471))</f>
        <v>*NSYNC</v>
      </c>
      <c r="I3471" s="6" t="str">
        <f aca="false">IF(F3471=0,"NOT FOUND",INDEX('All Song Rankings'!$D:$D,F3471))</f>
        <v>Grace</v>
      </c>
      <c r="J3471" s="7" t="str">
        <f aca="false">IF(F3471=0,"NOT FOUND",IF(C3471=I3471,"SELF-VOTE",IF(COUNTIF($K:$K,K3471)&gt;1,"DUPLICATE","OK")))</f>
        <v>OK</v>
      </c>
      <c r="K3471" s="6" t="str">
        <f aca="false">A3471&amp;"|"&amp;B3471&amp;"|"&amp;C3471&amp;"|"&amp;D3471</f>
        <v>5|8|Kristen|spotify:track:594M0rqYMOo8BhMGEdoi5C</v>
      </c>
    </row>
    <row r="3472" customFormat="false" ht="15" hidden="false" customHeight="false" outlineLevel="0" collapsed="false">
      <c r="A3472" s="5" t="n">
        <v>5</v>
      </c>
      <c r="B3472" s="5" t="n">
        <v>8</v>
      </c>
      <c r="C3472" s="5" t="s">
        <v>106</v>
      </c>
      <c r="D3472" s="5" t="s">
        <v>1637</v>
      </c>
      <c r="E3472" s="5" t="n">
        <v>2</v>
      </c>
      <c r="F3472" s="6" t="n">
        <f aca="false">IFERROR(MATCH(A3472&amp;"|"&amp;B3472&amp;"|"&amp;D3472,'All Song Rankings'!$T:$T,0),0)</f>
        <v>530</v>
      </c>
      <c r="G3472" s="6" t="str">
        <f aca="false">IF(F3472=0,"NOT FOUND",INDEX('All Song Rankings'!$A:$A,F3472))</f>
        <v>I Want You Back - Radio Edit</v>
      </c>
      <c r="H3472" s="6" t="str">
        <f aca="false">IF(F3472=0,"NOT FOUND",INDEX('All Song Rankings'!$B:$B,F3472))</f>
        <v>*NSYNC</v>
      </c>
      <c r="I3472" s="6" t="str">
        <f aca="false">IF(F3472=0,"NOT FOUND",INDEX('All Song Rankings'!$D:$D,F3472))</f>
        <v>Stephanie</v>
      </c>
      <c r="J3472" s="7" t="str">
        <f aca="false">IF(F3472=0,"NOT FOUND",IF(C3472=I3472,"SELF-VOTE",IF(COUNTIF($K:$K,K3472)&gt;1,"DUPLICATE","OK")))</f>
        <v>OK</v>
      </c>
      <c r="K3472" s="6" t="str">
        <f aca="false">A3472&amp;"|"&amp;B3472&amp;"|"&amp;C3472&amp;"|"&amp;D3472</f>
        <v>5|8|Kristen|spotify:track:5YTMRAT4yKgFrepF8Hi3mY</v>
      </c>
    </row>
    <row r="3473" customFormat="false" ht="15" hidden="false" customHeight="false" outlineLevel="0" collapsed="false">
      <c r="A3473" s="5" t="n">
        <v>5</v>
      </c>
      <c r="B3473" s="5" t="n">
        <v>8</v>
      </c>
      <c r="C3473" s="5" t="s">
        <v>106</v>
      </c>
      <c r="D3473" s="5" t="s">
        <v>1646</v>
      </c>
      <c r="E3473" s="5" t="n">
        <v>1</v>
      </c>
      <c r="F3473" s="6" t="n">
        <f aca="false">IFERROR(MATCH(A3473&amp;"|"&amp;B3473&amp;"|"&amp;D3473,'All Song Rankings'!$T:$T,0),0)</f>
        <v>534</v>
      </c>
      <c r="G3473" s="6" t="str">
        <f aca="false">IF(F3473=0,"NOT FOUND",INDEX('All Song Rankings'!$A:$A,F3473))</f>
        <v>All Too Well (10 Minute Version) (Taylor's Version) (From The Vault)</v>
      </c>
      <c r="H3473" s="6" t="str">
        <f aca="false">IF(F3473=0,"NOT FOUND",INDEX('All Song Rankings'!$B:$B,F3473))</f>
        <v>Taylor Swift</v>
      </c>
      <c r="I3473" s="6" t="str">
        <f aca="false">IF(F3473=0,"NOT FOUND",INDEX('All Song Rankings'!$D:$D,F3473))</f>
        <v>Stephanie</v>
      </c>
      <c r="J3473" s="7" t="str">
        <f aca="false">IF(F3473=0,"NOT FOUND",IF(C3473=I3473,"SELF-VOTE",IF(COUNTIF($K:$K,K3473)&gt;1,"DUPLICATE","OK")))</f>
        <v>OK</v>
      </c>
      <c r="K3473" s="6" t="str">
        <f aca="false">A3473&amp;"|"&amp;B3473&amp;"|"&amp;C3473&amp;"|"&amp;D3473</f>
        <v>5|8|Kristen|spotify:track:5enxwA8aAbwZbf5qCHORXi</v>
      </c>
    </row>
    <row r="3474" customFormat="false" ht="15" hidden="false" customHeight="false" outlineLevel="0" collapsed="false">
      <c r="A3474" s="5" t="n">
        <v>5</v>
      </c>
      <c r="B3474" s="5" t="n">
        <v>8</v>
      </c>
      <c r="C3474" s="5" t="s">
        <v>106</v>
      </c>
      <c r="D3474" s="5" t="s">
        <v>1667</v>
      </c>
      <c r="E3474" s="5" t="n">
        <v>2</v>
      </c>
      <c r="F3474" s="6" t="n">
        <f aca="false">IFERROR(MATCH(A3474&amp;"|"&amp;B3474&amp;"|"&amp;D3474,'All Song Rankings'!$T:$T,0),0)</f>
        <v>542</v>
      </c>
      <c r="G3474" s="6" t="str">
        <f aca="false">IF(F3474=0,"NOT FOUND",INDEX('All Song Rankings'!$A:$A,F3474))</f>
        <v>Babylon</v>
      </c>
      <c r="H3474" s="6" t="str">
        <f aca="false">IF(F3474=0,"NOT FOUND",INDEX('All Song Rankings'!$B:$B,F3474))</f>
        <v>5 Seconds of Summer</v>
      </c>
      <c r="I3474" s="6" t="str">
        <f aca="false">IF(F3474=0,"NOT FOUND",INDEX('All Song Rankings'!$D:$D,F3474))</f>
        <v>Merita</v>
      </c>
      <c r="J3474" s="7" t="str">
        <f aca="false">IF(F3474=0,"NOT FOUND",IF(C3474=I3474,"SELF-VOTE",IF(COUNTIF($K:$K,K3474)&gt;1,"DUPLICATE","OK")))</f>
        <v>OK</v>
      </c>
      <c r="K3474" s="6" t="str">
        <f aca="false">A3474&amp;"|"&amp;B3474&amp;"|"&amp;C3474&amp;"|"&amp;D3474</f>
        <v>5|8|Kristen|spotify:track:6PUYqQtGWVAovZrLC9BIqt</v>
      </c>
    </row>
    <row r="3475" customFormat="false" ht="15" hidden="false" customHeight="false" outlineLevel="0" collapsed="false">
      <c r="A3475" s="5" t="n">
        <v>5</v>
      </c>
      <c r="B3475" s="5" t="n">
        <v>8</v>
      </c>
      <c r="C3475" s="5" t="s">
        <v>106</v>
      </c>
      <c r="D3475" s="5" t="s">
        <v>1620</v>
      </c>
      <c r="E3475" s="5" t="n">
        <v>1</v>
      </c>
      <c r="F3475" s="6" t="n">
        <f aca="false">IFERROR(MATCH(A3475&amp;"|"&amp;B3475&amp;"|"&amp;D3475,'All Song Rankings'!$T:$T,0),0)</f>
        <v>523</v>
      </c>
      <c r="G3475" s="6" t="str">
        <f aca="false">IF(F3475=0,"NOT FOUND",INDEX('All Song Rankings'!$A:$A,F3475))</f>
        <v>My Heart Will Go On</v>
      </c>
      <c r="H3475" s="6" t="str">
        <f aca="false">IF(F3475=0,"NOT FOUND",INDEX('All Song Rankings'!$B:$B,F3475))</f>
        <v>Céline Dion</v>
      </c>
      <c r="I3475" s="6" t="str">
        <f aca="false">IF(F3475=0,"NOT FOUND",INDEX('All Song Rankings'!$D:$D,F3475))</f>
        <v>Aubrey</v>
      </c>
      <c r="J3475" s="7" t="str">
        <f aca="false">IF(F3475=0,"NOT FOUND",IF(C3475=I3475,"SELF-VOTE",IF(COUNTIF($K:$K,K3475)&gt;1,"DUPLICATE","OK")))</f>
        <v>OK</v>
      </c>
      <c r="K3475" s="6" t="str">
        <f aca="false">A3475&amp;"|"&amp;B3475&amp;"|"&amp;C3475&amp;"|"&amp;D3475</f>
        <v>5|8|Kristen|spotify:track:6e7N7cQ8MuPtu3FweRQYJz</v>
      </c>
    </row>
    <row r="3476" customFormat="false" ht="15" hidden="false" customHeight="false" outlineLevel="0" collapsed="false">
      <c r="A3476" s="5" t="n">
        <v>5</v>
      </c>
      <c r="B3476" s="5" t="n">
        <v>8</v>
      </c>
      <c r="C3476" s="5" t="s">
        <v>119</v>
      </c>
      <c r="D3476" s="5" t="s">
        <v>1639</v>
      </c>
      <c r="E3476" s="5" t="n">
        <v>1</v>
      </c>
      <c r="F3476" s="6" t="n">
        <f aca="false">IFERROR(MATCH(A3476&amp;"|"&amp;B3476&amp;"|"&amp;D3476,'All Song Rankings'!$T:$T,0),0)</f>
        <v>531</v>
      </c>
      <c r="G3476" s="6" t="str">
        <f aca="false">IF(F3476=0,"NOT FOUND",INDEX('All Song Rankings'!$A:$A,F3476))</f>
        <v>Livin' la Vida Loca</v>
      </c>
      <c r="H3476" s="6" t="str">
        <f aca="false">IF(F3476=0,"NOT FOUND",INDEX('All Song Rankings'!$B:$B,F3476))</f>
        <v>Ricky Martin</v>
      </c>
      <c r="I3476" s="6" t="str">
        <f aca="false">IF(F3476=0,"NOT FOUND",INDEX('All Song Rankings'!$D:$D,F3476))</f>
        <v>Makenzie</v>
      </c>
      <c r="J3476" s="7" t="str">
        <f aca="false">IF(F3476=0,"NOT FOUND",IF(C3476=I3476,"SELF-VOTE",IF(COUNTIF($K:$K,K3476)&gt;1,"DUPLICATE","OK")))</f>
        <v>OK</v>
      </c>
      <c r="K3476" s="6" t="str">
        <f aca="false">A3476&amp;"|"&amp;B3476&amp;"|"&amp;C3476&amp;"|"&amp;D3476</f>
        <v>5|8|Leah|spotify:track:0Ph6L4l8dYUuXFmb71Ajnd</v>
      </c>
    </row>
    <row r="3477" customFormat="false" ht="15" hidden="false" customHeight="false" outlineLevel="0" collapsed="false">
      <c r="A3477" s="5" t="n">
        <v>5</v>
      </c>
      <c r="B3477" s="5" t="n">
        <v>8</v>
      </c>
      <c r="C3477" s="5" t="s">
        <v>119</v>
      </c>
      <c r="D3477" s="5" t="s">
        <v>1662</v>
      </c>
      <c r="E3477" s="5" t="n">
        <v>1</v>
      </c>
      <c r="F3477" s="6" t="n">
        <f aca="false">IFERROR(MATCH(A3477&amp;"|"&amp;B3477&amp;"|"&amp;D3477,'All Song Rankings'!$T:$T,0),0)</f>
        <v>540</v>
      </c>
      <c r="G3477" s="6" t="str">
        <f aca="false">IF(F3477=0,"NOT FOUND",INDEX('All Song Rankings'!$A:$A,F3477))</f>
        <v>It Would Be You</v>
      </c>
      <c r="H3477" s="6" t="str">
        <f aca="false">IF(F3477=0,"NOT FOUND",INDEX('All Song Rankings'!$B:$B,F3477))</f>
        <v>Ben Rector</v>
      </c>
      <c r="I3477" s="6" t="str">
        <f aca="false">IF(F3477=0,"NOT FOUND",INDEX('All Song Rankings'!$D:$D,F3477))</f>
        <v>Grace</v>
      </c>
      <c r="J3477" s="7" t="str">
        <f aca="false">IF(F3477=0,"NOT FOUND",IF(C3477=I3477,"SELF-VOTE",IF(COUNTIF($K:$K,K3477)&gt;1,"DUPLICATE","OK")))</f>
        <v>OK</v>
      </c>
      <c r="K3477" s="6" t="str">
        <f aca="false">A3477&amp;"|"&amp;B3477&amp;"|"&amp;C3477&amp;"|"&amp;D3477</f>
        <v>5|8|Leah|spotify:track:0roPf0bwAsBDZv1bR15m15</v>
      </c>
    </row>
    <row r="3478" customFormat="false" ht="15" hidden="false" customHeight="false" outlineLevel="0" collapsed="false">
      <c r="A3478" s="5" t="n">
        <v>5</v>
      </c>
      <c r="B3478" s="5" t="n">
        <v>8</v>
      </c>
      <c r="C3478" s="5" t="s">
        <v>119</v>
      </c>
      <c r="D3478" s="5" t="s">
        <v>1644</v>
      </c>
      <c r="E3478" s="5" t="n">
        <v>1</v>
      </c>
      <c r="F3478" s="6" t="n">
        <f aca="false">IFERROR(MATCH(A3478&amp;"|"&amp;B3478&amp;"|"&amp;D3478,'All Song Rankings'!$T:$T,0),0)</f>
        <v>533</v>
      </c>
      <c r="G3478" s="6" t="str">
        <f aca="false">IF(F3478=0,"NOT FOUND",INDEX('All Song Rankings'!$A:$A,F3478))</f>
        <v>IDK You Yet</v>
      </c>
      <c r="H3478" s="6" t="str">
        <f aca="false">IF(F3478=0,"NOT FOUND",INDEX('All Song Rankings'!$B:$B,F3478))</f>
        <v>Alexander 23</v>
      </c>
      <c r="I3478" s="6" t="str">
        <f aca="false">IF(F3478=0,"NOT FOUND",INDEX('All Song Rankings'!$D:$D,F3478))</f>
        <v>Merita</v>
      </c>
      <c r="J3478" s="7" t="str">
        <f aca="false">IF(F3478=0,"NOT FOUND",IF(C3478=I3478,"SELF-VOTE",IF(COUNTIF($K:$K,K3478)&gt;1,"DUPLICATE","OK")))</f>
        <v>OK</v>
      </c>
      <c r="K3478" s="6" t="str">
        <f aca="false">A3478&amp;"|"&amp;B3478&amp;"|"&amp;C3478&amp;"|"&amp;D3478</f>
        <v>5|8|Leah|spotify:track:11WbNwwAdoxfwpZxSHIP7J</v>
      </c>
    </row>
    <row r="3479" customFormat="false" ht="15" hidden="false" customHeight="false" outlineLevel="0" collapsed="false">
      <c r="A3479" s="5" t="n">
        <v>5</v>
      </c>
      <c r="B3479" s="5" t="n">
        <v>8</v>
      </c>
      <c r="C3479" s="5" t="s">
        <v>119</v>
      </c>
      <c r="D3479" s="5" t="s">
        <v>1622</v>
      </c>
      <c r="E3479" s="5" t="n">
        <v>1</v>
      </c>
      <c r="F3479" s="6" t="n">
        <f aca="false">IFERROR(MATCH(A3479&amp;"|"&amp;B3479&amp;"|"&amp;D3479,'All Song Rankings'!$T:$T,0),0)</f>
        <v>524</v>
      </c>
      <c r="G3479" s="6" t="str">
        <f aca="false">IF(F3479=0,"NOT FOUND",INDEX('All Song Rankings'!$A:$A,F3479))</f>
        <v>(You Drive Me) Crazy</v>
      </c>
      <c r="H3479" s="6" t="str">
        <f aca="false">IF(F3479=0,"NOT FOUND",INDEX('All Song Rankings'!$B:$B,F3479))</f>
        <v>Britney Spears</v>
      </c>
      <c r="I3479" s="6" t="str">
        <f aca="false">IF(F3479=0,"NOT FOUND",INDEX('All Song Rankings'!$D:$D,F3479))</f>
        <v>Nicole</v>
      </c>
      <c r="J3479" s="7" t="str">
        <f aca="false">IF(F3479=0,"NOT FOUND",IF(C3479=I3479,"SELF-VOTE",IF(COUNTIF($K:$K,K3479)&gt;1,"DUPLICATE","OK")))</f>
        <v>OK</v>
      </c>
      <c r="K3479" s="6" t="str">
        <f aca="false">A3479&amp;"|"&amp;B3479&amp;"|"&amp;C3479&amp;"|"&amp;D3479</f>
        <v>5|8|Leah|spotify:track:1DSJNBNhGZCigg9ll5VeZv</v>
      </c>
    </row>
    <row r="3480" customFormat="false" ht="15" hidden="false" customHeight="false" outlineLevel="0" collapsed="false">
      <c r="A3480" s="5" t="n">
        <v>5</v>
      </c>
      <c r="B3480" s="5" t="n">
        <v>8</v>
      </c>
      <c r="C3480" s="5" t="s">
        <v>119</v>
      </c>
      <c r="D3480" s="5" t="s">
        <v>1673</v>
      </c>
      <c r="E3480" s="5" t="n">
        <v>1</v>
      </c>
      <c r="F3480" s="6" t="n">
        <f aca="false">IFERROR(MATCH(A3480&amp;"|"&amp;B3480&amp;"|"&amp;D3480,'All Song Rankings'!$T:$T,0),0)</f>
        <v>545</v>
      </c>
      <c r="G3480" s="6" t="str">
        <f aca="false">IF(F3480=0,"NOT FOUND",INDEX('All Song Rankings'!$A:$A,F3480))</f>
        <v>Beautiful Day</v>
      </c>
      <c r="H3480" s="6" t="str">
        <f aca="false">IF(F3480=0,"NOT FOUND",INDEX('All Song Rankings'!$B:$B,F3480))</f>
        <v>U2</v>
      </c>
      <c r="I3480" s="6" t="str">
        <f aca="false">IF(F3480=0,"NOT FOUND",INDEX('All Song Rankings'!$D:$D,F3480))</f>
        <v>Christine</v>
      </c>
      <c r="J3480" s="7" t="str">
        <f aca="false">IF(F3480=0,"NOT FOUND",IF(C3480=I3480,"SELF-VOTE",IF(COUNTIF($K:$K,K3480)&gt;1,"DUPLICATE","OK")))</f>
        <v>OK</v>
      </c>
      <c r="K3480" s="6" t="str">
        <f aca="false">A3480&amp;"|"&amp;B3480&amp;"|"&amp;C3480&amp;"|"&amp;D3480</f>
        <v>5|8|Leah|spotify:track:1VuBmEauSZywQVtqbxNqka</v>
      </c>
    </row>
    <row r="3481" customFormat="false" ht="15" hidden="false" customHeight="false" outlineLevel="0" collapsed="false">
      <c r="A3481" s="5" t="n">
        <v>5</v>
      </c>
      <c r="B3481" s="5" t="n">
        <v>8</v>
      </c>
      <c r="C3481" s="5" t="s">
        <v>119</v>
      </c>
      <c r="D3481" s="5" t="s">
        <v>1684</v>
      </c>
      <c r="E3481" s="5" t="n">
        <v>1</v>
      </c>
      <c r="F3481" s="6" t="n">
        <f aca="false">IFERROR(MATCH(A3481&amp;"|"&amp;B3481&amp;"|"&amp;D3481,'All Song Rankings'!$T:$T,0),0)</f>
        <v>549</v>
      </c>
      <c r="G3481" s="6" t="str">
        <f aca="false">IF(F3481=0,"NOT FOUND",INDEX('All Song Rankings'!$A:$A,F3481))</f>
        <v>CAN'T STOP THE FEELING! (from DreamWorks Animation's "TROLLS")</v>
      </c>
      <c r="H3481" s="6" t="str">
        <f aca="false">IF(F3481=0,"NOT FOUND",INDEX('All Song Rankings'!$B:$B,F3481))</f>
        <v>Justin Timberlake</v>
      </c>
      <c r="I3481" s="6" t="str">
        <f aca="false">IF(F3481=0,"NOT FOUND",INDEX('All Song Rankings'!$D:$D,F3481))</f>
        <v>Kristen</v>
      </c>
      <c r="J3481" s="7" t="str">
        <f aca="false">IF(F3481=0,"NOT FOUND",IF(C3481=I3481,"SELF-VOTE",IF(COUNTIF($K:$K,K3481)&gt;1,"DUPLICATE","OK")))</f>
        <v>OK</v>
      </c>
      <c r="K3481" s="6" t="str">
        <f aca="false">A3481&amp;"|"&amp;B3481&amp;"|"&amp;C3481&amp;"|"&amp;D3481</f>
        <v>5|8|Leah|spotify:track:1WkMMavIMc4JZ8cfMmxHkI</v>
      </c>
    </row>
    <row r="3482" customFormat="false" ht="15" hidden="false" customHeight="false" outlineLevel="0" collapsed="false">
      <c r="A3482" s="5" t="n">
        <v>5</v>
      </c>
      <c r="B3482" s="5" t="n">
        <v>8</v>
      </c>
      <c r="C3482" s="5" t="s">
        <v>119</v>
      </c>
      <c r="D3482" s="5" t="s">
        <v>1676</v>
      </c>
      <c r="E3482" s="5" t="n">
        <v>1</v>
      </c>
      <c r="F3482" s="6" t="n">
        <f aca="false">IFERROR(MATCH(A3482&amp;"|"&amp;B3482&amp;"|"&amp;D3482,'All Song Rankings'!$T:$T,0),0)</f>
        <v>546</v>
      </c>
      <c r="G3482" s="6" t="str">
        <f aca="false">IF(F3482=0,"NOT FOUND",INDEX('All Song Rankings'!$A:$A,F3482))</f>
        <v>Weak</v>
      </c>
      <c r="H3482" s="6" t="str">
        <f aca="false">IF(F3482=0,"NOT FOUND",INDEX('All Song Rankings'!$B:$B,F3482))</f>
        <v>AJR</v>
      </c>
      <c r="I3482" s="6" t="str">
        <f aca="false">IF(F3482=0,"NOT FOUND",INDEX('All Song Rankings'!$D:$D,F3482))</f>
        <v>Matt</v>
      </c>
      <c r="J3482" s="7" t="str">
        <f aca="false">IF(F3482=0,"NOT FOUND",IF(C3482=I3482,"SELF-VOTE",IF(COUNTIF($K:$K,K3482)&gt;1,"DUPLICATE","OK")))</f>
        <v>OK</v>
      </c>
      <c r="K3482" s="6" t="str">
        <f aca="false">A3482&amp;"|"&amp;B3482&amp;"|"&amp;C3482&amp;"|"&amp;D3482</f>
        <v>5|8|Leah|spotify:track:2sVcBaVtBPM9vIFk1Jnbw8</v>
      </c>
    </row>
    <row r="3483" customFormat="false" ht="15" hidden="false" customHeight="false" outlineLevel="0" collapsed="false">
      <c r="A3483" s="5" t="n">
        <v>5</v>
      </c>
      <c r="B3483" s="5" t="n">
        <v>8</v>
      </c>
      <c r="C3483" s="5" t="s">
        <v>119</v>
      </c>
      <c r="D3483" s="5" t="s">
        <v>1625</v>
      </c>
      <c r="E3483" s="5" t="n">
        <v>1</v>
      </c>
      <c r="F3483" s="6" t="n">
        <f aca="false">IFERROR(MATCH(A3483&amp;"|"&amp;B3483&amp;"|"&amp;D3483,'All Song Rankings'!$T:$T,0),0)</f>
        <v>525</v>
      </c>
      <c r="G3483" s="6" t="str">
        <f aca="false">IF(F3483=0,"NOT FOUND",INDEX('All Song Rankings'!$A:$A,F3483))</f>
        <v>Ghost</v>
      </c>
      <c r="H3483" s="6" t="str">
        <f aca="false">IF(F3483=0,"NOT FOUND",INDEX('All Song Rankings'!$B:$B,F3483))</f>
        <v>Demi Lovato</v>
      </c>
      <c r="I3483" s="6" t="str">
        <f aca="false">IF(F3483=0,"NOT FOUND",INDEX('All Song Rankings'!$D:$D,F3483))</f>
        <v>Logan</v>
      </c>
      <c r="J3483" s="7" t="str">
        <f aca="false">IF(F3483=0,"NOT FOUND",IF(C3483=I3483,"SELF-VOTE",IF(COUNTIF($K:$K,K3483)&gt;1,"DUPLICATE","OK")))</f>
        <v>OK</v>
      </c>
      <c r="K3483" s="6" t="str">
        <f aca="false">A3483&amp;"|"&amp;B3483&amp;"|"&amp;C3483&amp;"|"&amp;D3483</f>
        <v>5|8|Leah|spotify:track:3XeyI07raWwr8wbnaJeaVl</v>
      </c>
    </row>
    <row r="3484" customFormat="false" ht="15" hidden="false" customHeight="false" outlineLevel="0" collapsed="false">
      <c r="A3484" s="5" t="n">
        <v>5</v>
      </c>
      <c r="B3484" s="5" t="n">
        <v>8</v>
      </c>
      <c r="C3484" s="5" t="s">
        <v>119</v>
      </c>
      <c r="D3484" s="5" t="s">
        <v>1660</v>
      </c>
      <c r="E3484" s="5" t="n">
        <v>2</v>
      </c>
      <c r="F3484" s="6" t="n">
        <f aca="false">IFERROR(MATCH(A3484&amp;"|"&amp;B3484&amp;"|"&amp;D3484,'All Song Rankings'!$T:$T,0),0)</f>
        <v>539</v>
      </c>
      <c r="G3484" s="6" t="str">
        <f aca="false">IF(F3484=0,"NOT FOUND",INDEX('All Song Rankings'!$A:$A,F3484))</f>
        <v>If It Means A Lot To You</v>
      </c>
      <c r="H3484" s="6" t="str">
        <f aca="false">IF(F3484=0,"NOT FOUND",INDEX('All Song Rankings'!$B:$B,F3484))</f>
        <v>A Day to Remember</v>
      </c>
      <c r="I3484" s="6" t="str">
        <f aca="false">IF(F3484=0,"NOT FOUND",INDEX('All Song Rankings'!$D:$D,F3484))</f>
        <v>Colleen</v>
      </c>
      <c r="J3484" s="7" t="str">
        <f aca="false">IF(F3484=0,"NOT FOUND",IF(C3484=I3484,"SELF-VOTE",IF(COUNTIF($K:$K,K3484)&gt;1,"DUPLICATE","OK")))</f>
        <v>OK</v>
      </c>
      <c r="K3484" s="6" t="str">
        <f aca="false">A3484&amp;"|"&amp;B3484&amp;"|"&amp;C3484&amp;"|"&amp;D3484</f>
        <v>5|8|Leah|spotify:track:3rEwGRmPVVudVjqdgv0tRR</v>
      </c>
    </row>
    <row r="3485" customFormat="false" ht="15" hidden="false" customHeight="false" outlineLevel="0" collapsed="false">
      <c r="A3485" s="5" t="n">
        <v>5</v>
      </c>
      <c r="B3485" s="5" t="n">
        <v>8</v>
      </c>
      <c r="C3485" s="5" t="s">
        <v>119</v>
      </c>
      <c r="D3485" s="5" t="s">
        <v>1671</v>
      </c>
      <c r="E3485" s="5" t="n">
        <v>1</v>
      </c>
      <c r="F3485" s="6" t="n">
        <f aca="false">IFERROR(MATCH(A3485&amp;"|"&amp;B3485&amp;"|"&amp;D3485,'All Song Rankings'!$T:$T,0),0)</f>
        <v>544</v>
      </c>
      <c r="G3485" s="6" t="str">
        <f aca="false">IF(F3485=0,"NOT FOUND",INDEX('All Song Rankings'!$A:$A,F3485))</f>
        <v>Walk This Way</v>
      </c>
      <c r="H3485" s="6" t="str">
        <f aca="false">IF(F3485=0,"NOT FOUND",INDEX('All Song Rankings'!$B:$B,F3485))</f>
        <v>Aerosmith</v>
      </c>
      <c r="I3485" s="6" t="str">
        <f aca="false">IF(F3485=0,"NOT FOUND",INDEX('All Song Rankings'!$D:$D,F3485))</f>
        <v>Kristen</v>
      </c>
      <c r="J3485" s="7" t="str">
        <f aca="false">IF(F3485=0,"NOT FOUND",IF(C3485=I3485,"SELF-VOTE",IF(COUNTIF($K:$K,K3485)&gt;1,"DUPLICATE","OK")))</f>
        <v>OK</v>
      </c>
      <c r="K3485" s="6" t="str">
        <f aca="false">A3485&amp;"|"&amp;B3485&amp;"|"&amp;C3485&amp;"|"&amp;D3485</f>
        <v>5|8|Leah|spotify:track:4JfuiOWlWCkjP6OKurHjSn</v>
      </c>
    </row>
    <row r="3486" customFormat="false" ht="15" hidden="false" customHeight="false" outlineLevel="0" collapsed="false">
      <c r="A3486" s="5" t="n">
        <v>5</v>
      </c>
      <c r="B3486" s="5" t="n">
        <v>8</v>
      </c>
      <c r="C3486" s="5" t="s">
        <v>119</v>
      </c>
      <c r="D3486" s="5" t="s">
        <v>1655</v>
      </c>
      <c r="E3486" s="5" t="n">
        <v>1</v>
      </c>
      <c r="F3486" s="6" t="n">
        <f aca="false">IFERROR(MATCH(A3486&amp;"|"&amp;B3486&amp;"|"&amp;D3486,'All Song Rankings'!$T:$T,0),0)</f>
        <v>537</v>
      </c>
      <c r="G3486" s="6" t="str">
        <f aca="false">IF(F3486=0,"NOT FOUND",INDEX('All Song Rankings'!$A:$A,F3486))</f>
        <v>You Got It (The Right Stuff)</v>
      </c>
      <c r="H3486" s="6" t="str">
        <f aca="false">IF(F3486=0,"NOT FOUND",INDEX('All Song Rankings'!$B:$B,F3486))</f>
        <v>New Kids On The Block</v>
      </c>
      <c r="I3486" s="6" t="str">
        <f aca="false">IF(F3486=0,"NOT FOUND",INDEX('All Song Rankings'!$D:$D,F3486))</f>
        <v>Matt</v>
      </c>
      <c r="J3486" s="7" t="str">
        <f aca="false">IF(F3486=0,"NOT FOUND",IF(C3486=I3486,"SELF-VOTE",IF(COUNTIF($K:$K,K3486)&gt;1,"DUPLICATE","OK")))</f>
        <v>OK</v>
      </c>
      <c r="K3486" s="6" t="str">
        <f aca="false">A3486&amp;"|"&amp;B3486&amp;"|"&amp;C3486&amp;"|"&amp;D3486</f>
        <v>5|8|Leah|spotify:track:4buDeg67vos7KP1yHrS9wl</v>
      </c>
    </row>
    <row r="3487" customFormat="false" ht="15" hidden="false" customHeight="false" outlineLevel="0" collapsed="false">
      <c r="A3487" s="5" t="n">
        <v>5</v>
      </c>
      <c r="B3487" s="5" t="n">
        <v>8</v>
      </c>
      <c r="C3487" s="5" t="s">
        <v>119</v>
      </c>
      <c r="D3487" s="5" t="s">
        <v>1635</v>
      </c>
      <c r="E3487" s="5" t="n">
        <v>1</v>
      </c>
      <c r="F3487" s="6" t="n">
        <f aca="false">IFERROR(MATCH(A3487&amp;"|"&amp;B3487&amp;"|"&amp;D3487,'All Song Rankings'!$T:$T,0),0)</f>
        <v>529</v>
      </c>
      <c r="G3487" s="6" t="str">
        <f aca="false">IF(F3487=0,"NOT FOUND",INDEX('All Song Rankings'!$A:$A,F3487))</f>
        <v>Tearin' up My Heart - Radio Edit</v>
      </c>
      <c r="H3487" s="6" t="str">
        <f aca="false">IF(F3487=0,"NOT FOUND",INDEX('All Song Rankings'!$B:$B,F3487))</f>
        <v>*NSYNC</v>
      </c>
      <c r="I3487" s="6" t="str">
        <f aca="false">IF(F3487=0,"NOT FOUND",INDEX('All Song Rankings'!$D:$D,F3487))</f>
        <v>Grace</v>
      </c>
      <c r="J3487" s="7" t="str">
        <f aca="false">IF(F3487=0,"NOT FOUND",IF(C3487=I3487,"SELF-VOTE",IF(COUNTIF($K:$K,K3487)&gt;1,"DUPLICATE","OK")))</f>
        <v>OK</v>
      </c>
      <c r="K3487" s="6" t="str">
        <f aca="false">A3487&amp;"|"&amp;B3487&amp;"|"&amp;C3487&amp;"|"&amp;D3487</f>
        <v>5|8|Leah|spotify:track:594M0rqYMOo8BhMGEdoi5C</v>
      </c>
    </row>
    <row r="3488" customFormat="false" ht="15" hidden="false" customHeight="false" outlineLevel="0" collapsed="false">
      <c r="A3488" s="5" t="n">
        <v>5</v>
      </c>
      <c r="B3488" s="5" t="n">
        <v>8</v>
      </c>
      <c r="C3488" s="5" t="s">
        <v>119</v>
      </c>
      <c r="D3488" s="5" t="s">
        <v>1665</v>
      </c>
      <c r="E3488" s="5" t="n">
        <v>1</v>
      </c>
      <c r="F3488" s="6" t="n">
        <f aca="false">IFERROR(MATCH(A3488&amp;"|"&amp;B3488&amp;"|"&amp;D3488,'All Song Rankings'!$T:$T,0),0)</f>
        <v>541</v>
      </c>
      <c r="G3488" s="6" t="str">
        <f aca="false">IF(F3488=0,"NOT FOUND",INDEX('All Song Rankings'!$A:$A,F3488))</f>
        <v>Shake It Up</v>
      </c>
      <c r="H3488" s="6" t="str">
        <f aca="false">IF(F3488=0,"NOT FOUND",INDEX('All Song Rankings'!$B:$B,F3488))</f>
        <v>The Cars</v>
      </c>
      <c r="I3488" s="6" t="str">
        <f aca="false">IF(F3488=0,"NOT FOUND",INDEX('All Song Rankings'!$D:$D,F3488))</f>
        <v>Christine</v>
      </c>
      <c r="J3488" s="7" t="str">
        <f aca="false">IF(F3488=0,"NOT FOUND",IF(C3488=I3488,"SELF-VOTE",IF(COUNTIF($K:$K,K3488)&gt;1,"DUPLICATE","OK")))</f>
        <v>OK</v>
      </c>
      <c r="K3488" s="6" t="str">
        <f aca="false">A3488&amp;"|"&amp;B3488&amp;"|"&amp;C3488&amp;"|"&amp;D3488</f>
        <v>5|8|Leah|spotify:track:5OWokvF4QOqMDQ8ByQsm6V</v>
      </c>
    </row>
    <row r="3489" customFormat="false" ht="15" hidden="false" customHeight="false" outlineLevel="0" collapsed="false">
      <c r="A3489" s="5" t="n">
        <v>5</v>
      </c>
      <c r="B3489" s="5" t="n">
        <v>8</v>
      </c>
      <c r="C3489" s="5" t="s">
        <v>119</v>
      </c>
      <c r="D3489" s="5" t="s">
        <v>1637</v>
      </c>
      <c r="E3489" s="5" t="n">
        <v>1</v>
      </c>
      <c r="F3489" s="6" t="n">
        <f aca="false">IFERROR(MATCH(A3489&amp;"|"&amp;B3489&amp;"|"&amp;D3489,'All Song Rankings'!$T:$T,0),0)</f>
        <v>530</v>
      </c>
      <c r="G3489" s="6" t="str">
        <f aca="false">IF(F3489=0,"NOT FOUND",INDEX('All Song Rankings'!$A:$A,F3489))</f>
        <v>I Want You Back - Radio Edit</v>
      </c>
      <c r="H3489" s="6" t="str">
        <f aca="false">IF(F3489=0,"NOT FOUND",INDEX('All Song Rankings'!$B:$B,F3489))</f>
        <v>*NSYNC</v>
      </c>
      <c r="I3489" s="6" t="str">
        <f aca="false">IF(F3489=0,"NOT FOUND",INDEX('All Song Rankings'!$D:$D,F3489))</f>
        <v>Stephanie</v>
      </c>
      <c r="J3489" s="7" t="str">
        <f aca="false">IF(F3489=0,"NOT FOUND",IF(C3489=I3489,"SELF-VOTE",IF(COUNTIF($K:$K,K3489)&gt;1,"DUPLICATE","OK")))</f>
        <v>OK</v>
      </c>
      <c r="K3489" s="6" t="str">
        <f aca="false">A3489&amp;"|"&amp;B3489&amp;"|"&amp;C3489&amp;"|"&amp;D3489</f>
        <v>5|8|Leah|spotify:track:5YTMRAT4yKgFrepF8Hi3mY</v>
      </c>
    </row>
    <row r="3490" customFormat="false" ht="15" hidden="false" customHeight="false" outlineLevel="0" collapsed="false">
      <c r="A3490" s="5" t="n">
        <v>5</v>
      </c>
      <c r="B3490" s="5" t="n">
        <v>8</v>
      </c>
      <c r="C3490" s="5" t="s">
        <v>119</v>
      </c>
      <c r="D3490" s="5" t="s">
        <v>1679</v>
      </c>
      <c r="E3490" s="5" t="n">
        <v>1</v>
      </c>
      <c r="F3490" s="6" t="n">
        <f aca="false">IFERROR(MATCH(A3490&amp;"|"&amp;B3490&amp;"|"&amp;D3490,'All Song Rankings'!$T:$T,0),0)</f>
        <v>547</v>
      </c>
      <c r="G3490" s="6" t="str">
        <f aca="false">IF(F3490=0,"NOT FOUND",INDEX('All Song Rankings'!$A:$A,F3490))</f>
        <v>Worth Your Wild</v>
      </c>
      <c r="H3490" s="6" t="str">
        <f aca="false">IF(F3490=0,"NOT FOUND",INDEX('All Song Rankings'!$B:$B,F3490))</f>
        <v>Russell Dickerson</v>
      </c>
      <c r="I3490" s="6" t="str">
        <f aca="false">IF(F3490=0,"NOT FOUND",INDEX('All Song Rankings'!$D:$D,F3490))</f>
        <v>Kelsey</v>
      </c>
      <c r="J3490" s="7" t="str">
        <f aca="false">IF(F3490=0,"NOT FOUND",IF(C3490=I3490,"SELF-VOTE",IF(COUNTIF($K:$K,K3490)&gt;1,"DUPLICATE","OK")))</f>
        <v>OK</v>
      </c>
      <c r="K3490" s="6" t="str">
        <f aca="false">A3490&amp;"|"&amp;B3490&amp;"|"&amp;C3490&amp;"|"&amp;D3490</f>
        <v>5|8|Leah|spotify:track:67bIPJptdsuPeyOPv8z1lL</v>
      </c>
    </row>
    <row r="3491" customFormat="false" ht="15" hidden="false" customHeight="false" outlineLevel="0" collapsed="false">
      <c r="A3491" s="5" t="n">
        <v>5</v>
      </c>
      <c r="B3491" s="5" t="n">
        <v>8</v>
      </c>
      <c r="C3491" s="5" t="s">
        <v>119</v>
      </c>
      <c r="D3491" s="5" t="s">
        <v>1667</v>
      </c>
      <c r="E3491" s="5" t="n">
        <v>1</v>
      </c>
      <c r="F3491" s="6" t="n">
        <f aca="false">IFERROR(MATCH(A3491&amp;"|"&amp;B3491&amp;"|"&amp;D3491,'All Song Rankings'!$T:$T,0),0)</f>
        <v>542</v>
      </c>
      <c r="G3491" s="6" t="str">
        <f aca="false">IF(F3491=0,"NOT FOUND",INDEX('All Song Rankings'!$A:$A,F3491))</f>
        <v>Babylon</v>
      </c>
      <c r="H3491" s="6" t="str">
        <f aca="false">IF(F3491=0,"NOT FOUND",INDEX('All Song Rankings'!$B:$B,F3491))</f>
        <v>5 Seconds of Summer</v>
      </c>
      <c r="I3491" s="6" t="str">
        <f aca="false">IF(F3491=0,"NOT FOUND",INDEX('All Song Rankings'!$D:$D,F3491))</f>
        <v>Merita</v>
      </c>
      <c r="J3491" s="7" t="str">
        <f aca="false">IF(F3491=0,"NOT FOUND",IF(C3491=I3491,"SELF-VOTE",IF(COUNTIF($K:$K,K3491)&gt;1,"DUPLICATE","OK")))</f>
        <v>OK</v>
      </c>
      <c r="K3491" s="6" t="str">
        <f aca="false">A3491&amp;"|"&amp;B3491&amp;"|"&amp;C3491&amp;"|"&amp;D3491</f>
        <v>5|8|Leah|spotify:track:6PUYqQtGWVAovZrLC9BIqt</v>
      </c>
    </row>
    <row r="3492" customFormat="false" ht="15" hidden="false" customHeight="false" outlineLevel="0" collapsed="false">
      <c r="A3492" s="5" t="n">
        <v>5</v>
      </c>
      <c r="B3492" s="5" t="n">
        <v>8</v>
      </c>
      <c r="C3492" s="5" t="s">
        <v>119</v>
      </c>
      <c r="D3492" s="5" t="s">
        <v>1652</v>
      </c>
      <c r="E3492" s="5" t="n">
        <v>1</v>
      </c>
      <c r="F3492" s="6" t="n">
        <f aca="false">IFERROR(MATCH(A3492&amp;"|"&amp;B3492&amp;"|"&amp;D3492,'All Song Rankings'!$T:$T,0),0)</f>
        <v>536</v>
      </c>
      <c r="G3492" s="6" t="str">
        <f aca="false">IF(F3492=0,"NOT FOUND",INDEX('All Song Rankings'!$A:$A,F3492))</f>
        <v>Born to Run</v>
      </c>
      <c r="H3492" s="6" t="str">
        <f aca="false">IF(F3492=0,"NOT FOUND",INDEX('All Song Rankings'!$B:$B,F3492))</f>
        <v>Bruce Springsteen</v>
      </c>
      <c r="I3492" s="6" t="str">
        <f aca="false">IF(F3492=0,"NOT FOUND",INDEX('All Song Rankings'!$D:$D,F3492))</f>
        <v>Lisa</v>
      </c>
      <c r="J3492" s="7" t="str">
        <f aca="false">IF(F3492=0,"NOT FOUND",IF(C3492=I3492,"SELF-VOTE",IF(COUNTIF($K:$K,K3492)&gt;1,"DUPLICATE","OK")))</f>
        <v>OK</v>
      </c>
      <c r="K3492" s="6" t="str">
        <f aca="false">A3492&amp;"|"&amp;B3492&amp;"|"&amp;C3492&amp;"|"&amp;D3492</f>
        <v>5|8|Leah|spotify:track:6hTcuIQa0sxrrByu9wTD7s</v>
      </c>
    </row>
    <row r="3493" customFormat="false" ht="15" hidden="false" customHeight="false" outlineLevel="0" collapsed="false">
      <c r="A3493" s="5" t="n">
        <v>5</v>
      </c>
      <c r="B3493" s="5" t="n">
        <v>8</v>
      </c>
      <c r="C3493" s="5" t="s">
        <v>119</v>
      </c>
      <c r="D3493" s="5" t="s">
        <v>1630</v>
      </c>
      <c r="E3493" s="5" t="n">
        <v>1</v>
      </c>
      <c r="F3493" s="6" t="n">
        <f aca="false">IFERROR(MATCH(A3493&amp;"|"&amp;B3493&amp;"|"&amp;D3493,'All Song Rankings'!$T:$T,0),0)</f>
        <v>527</v>
      </c>
      <c r="G3493" s="6" t="str">
        <f aca="false">IF(F3493=0,"NOT FOUND",INDEX('All Song Rankings'!$A:$A,F3493))</f>
        <v>Oops!...I Did It Again</v>
      </c>
      <c r="H3493" s="6" t="str">
        <f aca="false">IF(F3493=0,"NOT FOUND",INDEX('All Song Rankings'!$B:$B,F3493))</f>
        <v>Britney Spears</v>
      </c>
      <c r="I3493" s="6" t="str">
        <f aca="false">IF(F3493=0,"NOT FOUND",INDEX('All Song Rankings'!$D:$D,F3493))</f>
        <v>Colleen</v>
      </c>
      <c r="J3493" s="7" t="str">
        <f aca="false">IF(F3493=0,"NOT FOUND",IF(C3493=I3493,"SELF-VOTE",IF(COUNTIF($K:$K,K3493)&gt;1,"DUPLICATE","OK")))</f>
        <v>OK</v>
      </c>
      <c r="K3493" s="6" t="str">
        <f aca="false">A3493&amp;"|"&amp;B3493&amp;"|"&amp;C3493&amp;"|"&amp;D3493</f>
        <v>5|8|Leah|spotify:track:6naxalmIoLFWR0siv8dnQQ</v>
      </c>
    </row>
    <row r="3494" customFormat="false" ht="15" hidden="false" customHeight="false" outlineLevel="0" collapsed="false">
      <c r="A3494" s="5" t="n">
        <v>5</v>
      </c>
      <c r="B3494" s="5" t="n">
        <v>8</v>
      </c>
      <c r="C3494" s="5" t="s">
        <v>119</v>
      </c>
      <c r="D3494" s="5" t="s">
        <v>1649</v>
      </c>
      <c r="E3494" s="5" t="n">
        <v>1</v>
      </c>
      <c r="F3494" s="6" t="n">
        <f aca="false">IFERROR(MATCH(A3494&amp;"|"&amp;B3494&amp;"|"&amp;D3494,'All Song Rankings'!$T:$T,0),0)</f>
        <v>535</v>
      </c>
      <c r="G3494" s="6" t="str">
        <f aca="false">IF(F3494=0,"NOT FOUND",INDEX('All Song Rankings'!$A:$A,F3494))</f>
        <v>Born to Love You</v>
      </c>
      <c r="H3494" s="6" t="str">
        <f aca="false">IF(F3494=0,"NOT FOUND",INDEX('All Song Rankings'!$B:$B,F3494))</f>
        <v>LANCO</v>
      </c>
      <c r="I3494" s="6" t="str">
        <f aca="false">IF(F3494=0,"NOT FOUND",INDEX('All Song Rankings'!$D:$D,F3494))</f>
        <v>Nicole</v>
      </c>
      <c r="J3494" s="7" t="str">
        <f aca="false">IF(F3494=0,"NOT FOUND",IF(C3494=I3494,"SELF-VOTE",IF(COUNTIF($K:$K,K3494)&gt;1,"DUPLICATE","OK")))</f>
        <v>OK</v>
      </c>
      <c r="K3494" s="6" t="str">
        <f aca="false">A3494&amp;"|"&amp;B3494&amp;"|"&amp;C3494&amp;"|"&amp;D3494</f>
        <v>5|8|Leah|spotify:track:77a5Eu7lC3tG0Sukt2O91U</v>
      </c>
    </row>
    <row r="3495" customFormat="false" ht="15" hidden="false" customHeight="false" outlineLevel="0" collapsed="false">
      <c r="A3495" s="5" t="n">
        <v>5</v>
      </c>
      <c r="B3495" s="5" t="n">
        <v>8</v>
      </c>
      <c r="C3495" s="5" t="s">
        <v>705</v>
      </c>
      <c r="D3495" s="5" t="s">
        <v>1644</v>
      </c>
      <c r="E3495" s="5" t="n">
        <v>2</v>
      </c>
      <c r="F3495" s="6" t="n">
        <f aca="false">IFERROR(MATCH(A3495&amp;"|"&amp;B3495&amp;"|"&amp;D3495,'All Song Rankings'!$T:$T,0),0)</f>
        <v>533</v>
      </c>
      <c r="G3495" s="6" t="str">
        <f aca="false">IF(F3495=0,"NOT FOUND",INDEX('All Song Rankings'!$A:$A,F3495))</f>
        <v>IDK You Yet</v>
      </c>
      <c r="H3495" s="6" t="str">
        <f aca="false">IF(F3495=0,"NOT FOUND",INDEX('All Song Rankings'!$B:$B,F3495))</f>
        <v>Alexander 23</v>
      </c>
      <c r="I3495" s="6" t="str">
        <f aca="false">IF(F3495=0,"NOT FOUND",INDEX('All Song Rankings'!$D:$D,F3495))</f>
        <v>Merita</v>
      </c>
      <c r="J3495" s="7" t="str">
        <f aca="false">IF(F3495=0,"NOT FOUND",IF(C3495=I3495,"SELF-VOTE",IF(COUNTIF($K:$K,K3495)&gt;1,"DUPLICATE","OK")))</f>
        <v>OK</v>
      </c>
      <c r="K3495" s="6" t="str">
        <f aca="false">A3495&amp;"|"&amp;B3495&amp;"|"&amp;C3495&amp;"|"&amp;D3495</f>
        <v>5|8|Lisa|spotify:track:11WbNwwAdoxfwpZxSHIP7J</v>
      </c>
    </row>
    <row r="3496" customFormat="false" ht="15" hidden="false" customHeight="false" outlineLevel="0" collapsed="false">
      <c r="A3496" s="5" t="n">
        <v>5</v>
      </c>
      <c r="B3496" s="5" t="n">
        <v>8</v>
      </c>
      <c r="C3496" s="5" t="s">
        <v>705</v>
      </c>
      <c r="D3496" s="5" t="s">
        <v>1673</v>
      </c>
      <c r="E3496" s="5" t="n">
        <v>2</v>
      </c>
      <c r="F3496" s="6" t="n">
        <f aca="false">IFERROR(MATCH(A3496&amp;"|"&amp;B3496&amp;"|"&amp;D3496,'All Song Rankings'!$T:$T,0),0)</f>
        <v>545</v>
      </c>
      <c r="G3496" s="6" t="str">
        <f aca="false">IF(F3496=0,"NOT FOUND",INDEX('All Song Rankings'!$A:$A,F3496))</f>
        <v>Beautiful Day</v>
      </c>
      <c r="H3496" s="6" t="str">
        <f aca="false">IF(F3496=0,"NOT FOUND",INDEX('All Song Rankings'!$B:$B,F3496))</f>
        <v>U2</v>
      </c>
      <c r="I3496" s="6" t="str">
        <f aca="false">IF(F3496=0,"NOT FOUND",INDEX('All Song Rankings'!$D:$D,F3496))</f>
        <v>Christine</v>
      </c>
      <c r="J3496" s="7" t="str">
        <f aca="false">IF(F3496=0,"NOT FOUND",IF(C3496=I3496,"SELF-VOTE",IF(COUNTIF($K:$K,K3496)&gt;1,"DUPLICATE","OK")))</f>
        <v>OK</v>
      </c>
      <c r="K3496" s="6" t="str">
        <f aca="false">A3496&amp;"|"&amp;B3496&amp;"|"&amp;C3496&amp;"|"&amp;D3496</f>
        <v>5|8|Lisa|spotify:track:1VuBmEauSZywQVtqbxNqka</v>
      </c>
    </row>
    <row r="3497" customFormat="false" ht="15" hidden="false" customHeight="false" outlineLevel="0" collapsed="false">
      <c r="A3497" s="5" t="n">
        <v>5</v>
      </c>
      <c r="B3497" s="5" t="n">
        <v>8</v>
      </c>
      <c r="C3497" s="5" t="s">
        <v>705</v>
      </c>
      <c r="D3497" s="5" t="s">
        <v>1632</v>
      </c>
      <c r="E3497" s="5" t="n">
        <v>1</v>
      </c>
      <c r="F3497" s="6" t="n">
        <f aca="false">IFERROR(MATCH(A3497&amp;"|"&amp;B3497&amp;"|"&amp;D3497,'All Song Rankings'!$T:$T,0),0)</f>
        <v>528</v>
      </c>
      <c r="G3497" s="6" t="str">
        <f aca="false">IF(F3497=0,"NOT FOUND",INDEX('All Song Rankings'!$A:$A,F3497))</f>
        <v>Kokomo</v>
      </c>
      <c r="H3497" s="6" t="str">
        <f aca="false">IF(F3497=0,"NOT FOUND",INDEX('All Song Rankings'!$B:$B,F3497))</f>
        <v>The Beach Boys</v>
      </c>
      <c r="I3497" s="6" t="str">
        <f aca="false">IF(F3497=0,"NOT FOUND",INDEX('All Song Rankings'!$D:$D,F3497))</f>
        <v>Leah</v>
      </c>
      <c r="J3497" s="7" t="str">
        <f aca="false">IF(F3497=0,"NOT FOUND",IF(C3497=I3497,"SELF-VOTE",IF(COUNTIF($K:$K,K3497)&gt;1,"DUPLICATE","OK")))</f>
        <v>OK</v>
      </c>
      <c r="K3497" s="6" t="str">
        <f aca="false">A3497&amp;"|"&amp;B3497&amp;"|"&amp;C3497&amp;"|"&amp;D3497</f>
        <v>5|8|Lisa|spotify:track:2STQAr3BRiAeeveJ07gZh7</v>
      </c>
    </row>
    <row r="3498" customFormat="false" ht="15" hidden="false" customHeight="false" outlineLevel="0" collapsed="false">
      <c r="A3498" s="5" t="n">
        <v>5</v>
      </c>
      <c r="B3498" s="5" t="n">
        <v>8</v>
      </c>
      <c r="C3498" s="5" t="s">
        <v>705</v>
      </c>
      <c r="D3498" s="5" t="s">
        <v>1628</v>
      </c>
      <c r="E3498" s="5" t="n">
        <v>2</v>
      </c>
      <c r="F3498" s="6" t="n">
        <f aca="false">IFERROR(MATCH(A3498&amp;"|"&amp;B3498&amp;"|"&amp;D3498,'All Song Rankings'!$T:$T,0),0)</f>
        <v>526</v>
      </c>
      <c r="G3498" s="6" t="str">
        <f aca="false">IF(F3498=0,"NOT FOUND",INDEX('All Song Rankings'!$A:$A,F3498))</f>
        <v>Here Without You</v>
      </c>
      <c r="H3498" s="6" t="str">
        <f aca="false">IF(F3498=0,"NOT FOUND",INDEX('All Song Rankings'!$B:$B,F3498))</f>
        <v>3 Doors Down</v>
      </c>
      <c r="I3498" s="6" t="str">
        <f aca="false">IF(F3498=0,"NOT FOUND",INDEX('All Song Rankings'!$D:$D,F3498))</f>
        <v>Leah</v>
      </c>
      <c r="J3498" s="7" t="str">
        <f aca="false">IF(F3498=0,"NOT FOUND",IF(C3498=I3498,"SELF-VOTE",IF(COUNTIF($K:$K,K3498)&gt;1,"DUPLICATE","OK")))</f>
        <v>OK</v>
      </c>
      <c r="K3498" s="6" t="str">
        <f aca="false">A3498&amp;"|"&amp;B3498&amp;"|"&amp;C3498&amp;"|"&amp;D3498</f>
        <v>5|8|Lisa|spotify:track:3NLrRZoMF0Lx6zTlYqeIo4</v>
      </c>
    </row>
    <row r="3499" customFormat="false" ht="15" hidden="false" customHeight="false" outlineLevel="0" collapsed="false">
      <c r="A3499" s="5" t="n">
        <v>5</v>
      </c>
      <c r="B3499" s="5" t="n">
        <v>8</v>
      </c>
      <c r="C3499" s="5" t="s">
        <v>705</v>
      </c>
      <c r="D3499" s="5" t="s">
        <v>1625</v>
      </c>
      <c r="E3499" s="5" t="n">
        <v>2</v>
      </c>
      <c r="F3499" s="6" t="n">
        <f aca="false">IFERROR(MATCH(A3499&amp;"|"&amp;B3499&amp;"|"&amp;D3499,'All Song Rankings'!$T:$T,0),0)</f>
        <v>525</v>
      </c>
      <c r="G3499" s="6" t="str">
        <f aca="false">IF(F3499=0,"NOT FOUND",INDEX('All Song Rankings'!$A:$A,F3499))</f>
        <v>Ghost</v>
      </c>
      <c r="H3499" s="6" t="str">
        <f aca="false">IF(F3499=0,"NOT FOUND",INDEX('All Song Rankings'!$B:$B,F3499))</f>
        <v>Demi Lovato</v>
      </c>
      <c r="I3499" s="6" t="str">
        <f aca="false">IF(F3499=0,"NOT FOUND",INDEX('All Song Rankings'!$D:$D,F3499))</f>
        <v>Logan</v>
      </c>
      <c r="J3499" s="7" t="str">
        <f aca="false">IF(F3499=0,"NOT FOUND",IF(C3499=I3499,"SELF-VOTE",IF(COUNTIF($K:$K,K3499)&gt;1,"DUPLICATE","OK")))</f>
        <v>OK</v>
      </c>
      <c r="K3499" s="6" t="str">
        <f aca="false">A3499&amp;"|"&amp;B3499&amp;"|"&amp;C3499&amp;"|"&amp;D3499</f>
        <v>5|8|Lisa|spotify:track:3XeyI07raWwr8wbnaJeaVl</v>
      </c>
    </row>
    <row r="3500" customFormat="false" ht="15" hidden="false" customHeight="false" outlineLevel="0" collapsed="false">
      <c r="A3500" s="5" t="n">
        <v>5</v>
      </c>
      <c r="B3500" s="5" t="n">
        <v>8</v>
      </c>
      <c r="C3500" s="5" t="s">
        <v>705</v>
      </c>
      <c r="D3500" s="5" t="s">
        <v>1660</v>
      </c>
      <c r="E3500" s="5" t="n">
        <v>1</v>
      </c>
      <c r="F3500" s="6" t="n">
        <f aca="false">IFERROR(MATCH(A3500&amp;"|"&amp;B3500&amp;"|"&amp;D3500,'All Song Rankings'!$T:$T,0),0)</f>
        <v>539</v>
      </c>
      <c r="G3500" s="6" t="str">
        <f aca="false">IF(F3500=0,"NOT FOUND",INDEX('All Song Rankings'!$A:$A,F3500))</f>
        <v>If It Means A Lot To You</v>
      </c>
      <c r="H3500" s="6" t="str">
        <f aca="false">IF(F3500=0,"NOT FOUND",INDEX('All Song Rankings'!$B:$B,F3500))</f>
        <v>A Day to Remember</v>
      </c>
      <c r="I3500" s="6" t="str">
        <f aca="false">IF(F3500=0,"NOT FOUND",INDEX('All Song Rankings'!$D:$D,F3500))</f>
        <v>Colleen</v>
      </c>
      <c r="J3500" s="7" t="str">
        <f aca="false">IF(F3500=0,"NOT FOUND",IF(C3500=I3500,"SELF-VOTE",IF(COUNTIF($K:$K,K3500)&gt;1,"DUPLICATE","OK")))</f>
        <v>OK</v>
      </c>
      <c r="K3500" s="6" t="str">
        <f aca="false">A3500&amp;"|"&amp;B3500&amp;"|"&amp;C3500&amp;"|"&amp;D3500</f>
        <v>5|8|Lisa|spotify:track:3rEwGRmPVVudVjqdgv0tRR</v>
      </c>
    </row>
    <row r="3501" customFormat="false" ht="15" hidden="false" customHeight="false" outlineLevel="0" collapsed="false">
      <c r="A3501" s="5" t="n">
        <v>5</v>
      </c>
      <c r="B3501" s="5" t="n">
        <v>8</v>
      </c>
      <c r="C3501" s="5" t="s">
        <v>705</v>
      </c>
      <c r="D3501" s="5" t="s">
        <v>1671</v>
      </c>
      <c r="E3501" s="5" t="n">
        <v>1</v>
      </c>
      <c r="F3501" s="6" t="n">
        <f aca="false">IFERROR(MATCH(A3501&amp;"|"&amp;B3501&amp;"|"&amp;D3501,'All Song Rankings'!$T:$T,0),0)</f>
        <v>544</v>
      </c>
      <c r="G3501" s="6" t="str">
        <f aca="false">IF(F3501=0,"NOT FOUND",INDEX('All Song Rankings'!$A:$A,F3501))</f>
        <v>Walk This Way</v>
      </c>
      <c r="H3501" s="6" t="str">
        <f aca="false">IF(F3501=0,"NOT FOUND",INDEX('All Song Rankings'!$B:$B,F3501))</f>
        <v>Aerosmith</v>
      </c>
      <c r="I3501" s="6" t="str">
        <f aca="false">IF(F3501=0,"NOT FOUND",INDEX('All Song Rankings'!$D:$D,F3501))</f>
        <v>Kristen</v>
      </c>
      <c r="J3501" s="7" t="str">
        <f aca="false">IF(F3501=0,"NOT FOUND",IF(C3501=I3501,"SELF-VOTE",IF(COUNTIF($K:$K,K3501)&gt;1,"DUPLICATE","OK")))</f>
        <v>OK</v>
      </c>
      <c r="K3501" s="6" t="str">
        <f aca="false">A3501&amp;"|"&amp;B3501&amp;"|"&amp;C3501&amp;"|"&amp;D3501</f>
        <v>5|8|Lisa|spotify:track:4JfuiOWlWCkjP6OKurHjSn</v>
      </c>
    </row>
    <row r="3502" customFormat="false" ht="15" hidden="false" customHeight="false" outlineLevel="0" collapsed="false">
      <c r="A3502" s="5" t="n">
        <v>5</v>
      </c>
      <c r="B3502" s="5" t="n">
        <v>8</v>
      </c>
      <c r="C3502" s="5" t="s">
        <v>705</v>
      </c>
      <c r="D3502" s="5" t="s">
        <v>1665</v>
      </c>
      <c r="E3502" s="5" t="n">
        <v>3</v>
      </c>
      <c r="F3502" s="6" t="n">
        <f aca="false">IFERROR(MATCH(A3502&amp;"|"&amp;B3502&amp;"|"&amp;D3502,'All Song Rankings'!$T:$T,0),0)</f>
        <v>541</v>
      </c>
      <c r="G3502" s="6" t="str">
        <f aca="false">IF(F3502=0,"NOT FOUND",INDEX('All Song Rankings'!$A:$A,F3502))</f>
        <v>Shake It Up</v>
      </c>
      <c r="H3502" s="6" t="str">
        <f aca="false">IF(F3502=0,"NOT FOUND",INDEX('All Song Rankings'!$B:$B,F3502))</f>
        <v>The Cars</v>
      </c>
      <c r="I3502" s="6" t="str">
        <f aca="false">IF(F3502=0,"NOT FOUND",INDEX('All Song Rankings'!$D:$D,F3502))</f>
        <v>Christine</v>
      </c>
      <c r="J3502" s="7" t="str">
        <f aca="false">IF(F3502=0,"NOT FOUND",IF(C3502=I3502,"SELF-VOTE",IF(COUNTIF($K:$K,K3502)&gt;1,"DUPLICATE","OK")))</f>
        <v>OK</v>
      </c>
      <c r="K3502" s="6" t="str">
        <f aca="false">A3502&amp;"|"&amp;B3502&amp;"|"&amp;C3502&amp;"|"&amp;D3502</f>
        <v>5|8|Lisa|spotify:track:5OWokvF4QOqMDQ8ByQsm6V</v>
      </c>
    </row>
    <row r="3503" customFormat="false" ht="15" hidden="false" customHeight="false" outlineLevel="0" collapsed="false">
      <c r="A3503" s="5" t="n">
        <v>5</v>
      </c>
      <c r="B3503" s="5" t="n">
        <v>8</v>
      </c>
      <c r="C3503" s="5" t="s">
        <v>705</v>
      </c>
      <c r="D3503" s="5" t="s">
        <v>1646</v>
      </c>
      <c r="E3503" s="5" t="n">
        <v>2</v>
      </c>
      <c r="F3503" s="6" t="n">
        <f aca="false">IFERROR(MATCH(A3503&amp;"|"&amp;B3503&amp;"|"&amp;D3503,'All Song Rankings'!$T:$T,0),0)</f>
        <v>534</v>
      </c>
      <c r="G3503" s="6" t="str">
        <f aca="false">IF(F3503=0,"NOT FOUND",INDEX('All Song Rankings'!$A:$A,F3503))</f>
        <v>All Too Well (10 Minute Version) (Taylor's Version) (From The Vault)</v>
      </c>
      <c r="H3503" s="6" t="str">
        <f aca="false">IF(F3503=0,"NOT FOUND",INDEX('All Song Rankings'!$B:$B,F3503))</f>
        <v>Taylor Swift</v>
      </c>
      <c r="I3503" s="6" t="str">
        <f aca="false">IF(F3503=0,"NOT FOUND",INDEX('All Song Rankings'!$D:$D,F3503))</f>
        <v>Stephanie</v>
      </c>
      <c r="J3503" s="7" t="str">
        <f aca="false">IF(F3503=0,"NOT FOUND",IF(C3503=I3503,"SELF-VOTE",IF(COUNTIF($K:$K,K3503)&gt;1,"DUPLICATE","OK")))</f>
        <v>OK</v>
      </c>
      <c r="K3503" s="6" t="str">
        <f aca="false">A3503&amp;"|"&amp;B3503&amp;"|"&amp;C3503&amp;"|"&amp;D3503</f>
        <v>5|8|Lisa|spotify:track:5enxwA8aAbwZbf5qCHORXi</v>
      </c>
    </row>
    <row r="3504" customFormat="false" ht="15" hidden="false" customHeight="false" outlineLevel="0" collapsed="false">
      <c r="A3504" s="5" t="n">
        <v>5</v>
      </c>
      <c r="B3504" s="5" t="n">
        <v>8</v>
      </c>
      <c r="C3504" s="5" t="s">
        <v>705</v>
      </c>
      <c r="D3504" s="5" t="s">
        <v>1620</v>
      </c>
      <c r="E3504" s="5" t="n">
        <v>2</v>
      </c>
      <c r="F3504" s="6" t="n">
        <f aca="false">IFERROR(MATCH(A3504&amp;"|"&amp;B3504&amp;"|"&amp;D3504,'All Song Rankings'!$T:$T,0),0)</f>
        <v>523</v>
      </c>
      <c r="G3504" s="6" t="str">
        <f aca="false">IF(F3504=0,"NOT FOUND",INDEX('All Song Rankings'!$A:$A,F3504))</f>
        <v>My Heart Will Go On</v>
      </c>
      <c r="H3504" s="6" t="str">
        <f aca="false">IF(F3504=0,"NOT FOUND",INDEX('All Song Rankings'!$B:$B,F3504))</f>
        <v>Céline Dion</v>
      </c>
      <c r="I3504" s="6" t="str">
        <f aca="false">IF(F3504=0,"NOT FOUND",INDEX('All Song Rankings'!$D:$D,F3504))</f>
        <v>Aubrey</v>
      </c>
      <c r="J3504" s="7" t="str">
        <f aca="false">IF(F3504=0,"NOT FOUND",IF(C3504=I3504,"SELF-VOTE",IF(COUNTIF($K:$K,K3504)&gt;1,"DUPLICATE","OK")))</f>
        <v>OK</v>
      </c>
      <c r="K3504" s="6" t="str">
        <f aca="false">A3504&amp;"|"&amp;B3504&amp;"|"&amp;C3504&amp;"|"&amp;D3504</f>
        <v>5|8|Lisa|spotify:track:6e7N7cQ8MuPtu3FweRQYJz</v>
      </c>
    </row>
    <row r="3505" customFormat="false" ht="15" hidden="false" customHeight="false" outlineLevel="0" collapsed="false">
      <c r="A3505" s="5" t="n">
        <v>5</v>
      </c>
      <c r="B3505" s="5" t="n">
        <v>8</v>
      </c>
      <c r="C3505" s="5" t="s">
        <v>705</v>
      </c>
      <c r="D3505" s="5" t="s">
        <v>1649</v>
      </c>
      <c r="E3505" s="5" t="n">
        <v>2</v>
      </c>
      <c r="F3505" s="6" t="n">
        <f aca="false">IFERROR(MATCH(A3505&amp;"|"&amp;B3505&amp;"|"&amp;D3505,'All Song Rankings'!$T:$T,0),0)</f>
        <v>535</v>
      </c>
      <c r="G3505" s="6" t="str">
        <f aca="false">IF(F3505=0,"NOT FOUND",INDEX('All Song Rankings'!$A:$A,F3505))</f>
        <v>Born to Love You</v>
      </c>
      <c r="H3505" s="6" t="str">
        <f aca="false">IF(F3505=0,"NOT FOUND",INDEX('All Song Rankings'!$B:$B,F3505))</f>
        <v>LANCO</v>
      </c>
      <c r="I3505" s="6" t="str">
        <f aca="false">IF(F3505=0,"NOT FOUND",INDEX('All Song Rankings'!$D:$D,F3505))</f>
        <v>Nicole</v>
      </c>
      <c r="J3505" s="7" t="str">
        <f aca="false">IF(F3505=0,"NOT FOUND",IF(C3505=I3505,"SELF-VOTE",IF(COUNTIF($K:$K,K3505)&gt;1,"DUPLICATE","OK")))</f>
        <v>OK</v>
      </c>
      <c r="K3505" s="6" t="str">
        <f aca="false">A3505&amp;"|"&amp;B3505&amp;"|"&amp;C3505&amp;"|"&amp;D3505</f>
        <v>5|8|Lisa|spotify:track:77a5Eu7lC3tG0Sukt2O91U</v>
      </c>
    </row>
    <row r="3506" customFormat="false" ht="15" hidden="false" customHeight="false" outlineLevel="0" collapsed="false">
      <c r="A3506" s="5" t="n">
        <v>5</v>
      </c>
      <c r="B3506" s="5" t="n">
        <v>8</v>
      </c>
      <c r="C3506" s="5" t="s">
        <v>128</v>
      </c>
      <c r="D3506" s="5" t="s">
        <v>1622</v>
      </c>
      <c r="E3506" s="5" t="n">
        <v>2</v>
      </c>
      <c r="F3506" s="6" t="n">
        <f aca="false">IFERROR(MATCH(A3506&amp;"|"&amp;B3506&amp;"|"&amp;D3506,'All Song Rankings'!$T:$T,0),0)</f>
        <v>524</v>
      </c>
      <c r="G3506" s="6" t="str">
        <f aca="false">IF(F3506=0,"NOT FOUND",INDEX('All Song Rankings'!$A:$A,F3506))</f>
        <v>(You Drive Me) Crazy</v>
      </c>
      <c r="H3506" s="6" t="str">
        <f aca="false">IF(F3506=0,"NOT FOUND",INDEX('All Song Rankings'!$B:$B,F3506))</f>
        <v>Britney Spears</v>
      </c>
      <c r="I3506" s="6" t="str">
        <f aca="false">IF(F3506=0,"NOT FOUND",INDEX('All Song Rankings'!$D:$D,F3506))</f>
        <v>Nicole</v>
      </c>
      <c r="J3506" s="7" t="str">
        <f aca="false">IF(F3506=0,"NOT FOUND",IF(C3506=I3506,"SELF-VOTE",IF(COUNTIF($K:$K,K3506)&gt;1,"DUPLICATE","OK")))</f>
        <v>OK</v>
      </c>
      <c r="K3506" s="6" t="str">
        <f aca="false">A3506&amp;"|"&amp;B3506&amp;"|"&amp;C3506&amp;"|"&amp;D3506</f>
        <v>5|8|Logan|spotify:track:1DSJNBNhGZCigg9ll5VeZv</v>
      </c>
    </row>
    <row r="3507" customFormat="false" ht="15" hidden="false" customHeight="false" outlineLevel="0" collapsed="false">
      <c r="A3507" s="5" t="n">
        <v>5</v>
      </c>
      <c r="B3507" s="5" t="n">
        <v>8</v>
      </c>
      <c r="C3507" s="5" t="s">
        <v>128</v>
      </c>
      <c r="D3507" s="5" t="s">
        <v>1658</v>
      </c>
      <c r="E3507" s="5" t="n">
        <v>2</v>
      </c>
      <c r="F3507" s="6" t="n">
        <f aca="false">IFERROR(MATCH(A3507&amp;"|"&amp;B3507&amp;"|"&amp;D3507,'All Song Rankings'!$T:$T,0),0)</f>
        <v>538</v>
      </c>
      <c r="G3507" s="6" t="str">
        <f aca="false">IF(F3507=0,"NOT FOUND",INDEX('All Song Rankings'!$A:$A,F3507))</f>
        <v>Heartbreaker</v>
      </c>
      <c r="H3507" s="6" t="str">
        <f aca="false">IF(F3507=0,"NOT FOUND",INDEX('All Song Rankings'!$B:$B,F3507))</f>
        <v>Pat Benatar</v>
      </c>
      <c r="I3507" s="6" t="str">
        <f aca="false">IF(F3507=0,"NOT FOUND",INDEX('All Song Rankings'!$D:$D,F3507))</f>
        <v>Lisa</v>
      </c>
      <c r="J3507" s="7" t="str">
        <f aca="false">IF(F3507=0,"NOT FOUND",IF(C3507=I3507,"SELF-VOTE",IF(COUNTIF($K:$K,K3507)&gt;1,"DUPLICATE","OK")))</f>
        <v>OK</v>
      </c>
      <c r="K3507" s="6" t="str">
        <f aca="false">A3507&amp;"|"&amp;B3507&amp;"|"&amp;C3507&amp;"|"&amp;D3507</f>
        <v>5|8|Logan|spotify:track:22ML0MuFKfw16WejbxsLOy</v>
      </c>
    </row>
    <row r="3508" customFormat="false" ht="15" hidden="false" customHeight="false" outlineLevel="0" collapsed="false">
      <c r="A3508" s="5" t="n">
        <v>5</v>
      </c>
      <c r="B3508" s="5" t="n">
        <v>8</v>
      </c>
      <c r="C3508" s="5" t="s">
        <v>128</v>
      </c>
      <c r="D3508" s="5" t="s">
        <v>1641</v>
      </c>
      <c r="E3508" s="5" t="n">
        <v>1</v>
      </c>
      <c r="F3508" s="6" t="n">
        <f aca="false">IFERROR(MATCH(A3508&amp;"|"&amp;B3508&amp;"|"&amp;D3508,'All Song Rankings'!$T:$T,0),0)</f>
        <v>532</v>
      </c>
      <c r="G3508" s="6" t="str">
        <f aca="false">IF(F3508=0,"NOT FOUND",INDEX('All Song Rankings'!$A:$A,F3508))</f>
        <v>Sucker</v>
      </c>
      <c r="H3508" s="6" t="str">
        <f aca="false">IF(F3508=0,"NOT FOUND",INDEX('All Song Rankings'!$B:$B,F3508))</f>
        <v>Jonas Brothers</v>
      </c>
      <c r="I3508" s="6" t="str">
        <f aca="false">IF(F3508=0,"NOT FOUND",INDEX('All Song Rankings'!$D:$D,F3508))</f>
        <v>Makenzie</v>
      </c>
      <c r="J3508" s="7" t="str">
        <f aca="false">IF(F3508=0,"NOT FOUND",IF(C3508=I3508,"SELF-VOTE",IF(COUNTIF($K:$K,K3508)&gt;1,"DUPLICATE","OK")))</f>
        <v>OK</v>
      </c>
      <c r="K3508" s="6" t="str">
        <f aca="false">A3508&amp;"|"&amp;B3508&amp;"|"&amp;C3508&amp;"|"&amp;D3508</f>
        <v>5|8|Logan|spotify:track:22vgEDb5hykfaTwLuskFGD</v>
      </c>
    </row>
    <row r="3509" customFormat="false" ht="15" hidden="false" customHeight="false" outlineLevel="0" collapsed="false">
      <c r="A3509" s="5" t="n">
        <v>5</v>
      </c>
      <c r="B3509" s="5" t="n">
        <v>8</v>
      </c>
      <c r="C3509" s="5" t="s">
        <v>128</v>
      </c>
      <c r="D3509" s="5" t="s">
        <v>1632</v>
      </c>
      <c r="E3509" s="5" t="n">
        <v>1</v>
      </c>
      <c r="F3509" s="6" t="n">
        <f aca="false">IFERROR(MATCH(A3509&amp;"|"&amp;B3509&amp;"|"&amp;D3509,'All Song Rankings'!$T:$T,0),0)</f>
        <v>528</v>
      </c>
      <c r="G3509" s="6" t="str">
        <f aca="false">IF(F3509=0,"NOT FOUND",INDEX('All Song Rankings'!$A:$A,F3509))</f>
        <v>Kokomo</v>
      </c>
      <c r="H3509" s="6" t="str">
        <f aca="false">IF(F3509=0,"NOT FOUND",INDEX('All Song Rankings'!$B:$B,F3509))</f>
        <v>The Beach Boys</v>
      </c>
      <c r="I3509" s="6" t="str">
        <f aca="false">IF(F3509=0,"NOT FOUND",INDEX('All Song Rankings'!$D:$D,F3509))</f>
        <v>Leah</v>
      </c>
      <c r="J3509" s="7" t="str">
        <f aca="false">IF(F3509=0,"NOT FOUND",IF(C3509=I3509,"SELF-VOTE",IF(COUNTIF($K:$K,K3509)&gt;1,"DUPLICATE","OK")))</f>
        <v>OK</v>
      </c>
      <c r="K3509" s="6" t="str">
        <f aca="false">A3509&amp;"|"&amp;B3509&amp;"|"&amp;C3509&amp;"|"&amp;D3509</f>
        <v>5|8|Logan|spotify:track:2STQAr3BRiAeeveJ07gZh7</v>
      </c>
    </row>
    <row r="3510" customFormat="false" ht="15" hidden="false" customHeight="false" outlineLevel="0" collapsed="false">
      <c r="A3510" s="5" t="n">
        <v>5</v>
      </c>
      <c r="B3510" s="5" t="n">
        <v>8</v>
      </c>
      <c r="C3510" s="5" t="s">
        <v>128</v>
      </c>
      <c r="D3510" s="5" t="s">
        <v>1676</v>
      </c>
      <c r="E3510" s="5" t="n">
        <v>1</v>
      </c>
      <c r="F3510" s="6" t="n">
        <f aca="false">IFERROR(MATCH(A3510&amp;"|"&amp;B3510&amp;"|"&amp;D3510,'All Song Rankings'!$T:$T,0),0)</f>
        <v>546</v>
      </c>
      <c r="G3510" s="6" t="str">
        <f aca="false">IF(F3510=0,"NOT FOUND",INDEX('All Song Rankings'!$A:$A,F3510))</f>
        <v>Weak</v>
      </c>
      <c r="H3510" s="6" t="str">
        <f aca="false">IF(F3510=0,"NOT FOUND",INDEX('All Song Rankings'!$B:$B,F3510))</f>
        <v>AJR</v>
      </c>
      <c r="I3510" s="6" t="str">
        <f aca="false">IF(F3510=0,"NOT FOUND",INDEX('All Song Rankings'!$D:$D,F3510))</f>
        <v>Matt</v>
      </c>
      <c r="J3510" s="7" t="str">
        <f aca="false">IF(F3510=0,"NOT FOUND",IF(C3510=I3510,"SELF-VOTE",IF(COUNTIF($K:$K,K3510)&gt;1,"DUPLICATE","OK")))</f>
        <v>OK</v>
      </c>
      <c r="K3510" s="6" t="str">
        <f aca="false">A3510&amp;"|"&amp;B3510&amp;"|"&amp;C3510&amp;"|"&amp;D3510</f>
        <v>5|8|Logan|spotify:track:2sVcBaVtBPM9vIFk1Jnbw8</v>
      </c>
    </row>
    <row r="3511" customFormat="false" ht="15" hidden="false" customHeight="false" outlineLevel="0" collapsed="false">
      <c r="A3511" s="5" t="n">
        <v>5</v>
      </c>
      <c r="B3511" s="5" t="n">
        <v>8</v>
      </c>
      <c r="C3511" s="5" t="s">
        <v>128</v>
      </c>
      <c r="D3511" s="5" t="s">
        <v>1628</v>
      </c>
      <c r="E3511" s="5" t="n">
        <v>2</v>
      </c>
      <c r="F3511" s="6" t="n">
        <f aca="false">IFERROR(MATCH(A3511&amp;"|"&amp;B3511&amp;"|"&amp;D3511,'All Song Rankings'!$T:$T,0),0)</f>
        <v>526</v>
      </c>
      <c r="G3511" s="6" t="str">
        <f aca="false">IF(F3511=0,"NOT FOUND",INDEX('All Song Rankings'!$A:$A,F3511))</f>
        <v>Here Without You</v>
      </c>
      <c r="H3511" s="6" t="str">
        <f aca="false">IF(F3511=0,"NOT FOUND",INDEX('All Song Rankings'!$B:$B,F3511))</f>
        <v>3 Doors Down</v>
      </c>
      <c r="I3511" s="6" t="str">
        <f aca="false">IF(F3511=0,"NOT FOUND",INDEX('All Song Rankings'!$D:$D,F3511))</f>
        <v>Leah</v>
      </c>
      <c r="J3511" s="7" t="str">
        <f aca="false">IF(F3511=0,"NOT FOUND",IF(C3511=I3511,"SELF-VOTE",IF(COUNTIF($K:$K,K3511)&gt;1,"DUPLICATE","OK")))</f>
        <v>OK</v>
      </c>
      <c r="K3511" s="6" t="str">
        <f aca="false">A3511&amp;"|"&amp;B3511&amp;"|"&amp;C3511&amp;"|"&amp;D3511</f>
        <v>5|8|Logan|spotify:track:3NLrRZoMF0Lx6zTlYqeIo4</v>
      </c>
    </row>
    <row r="3512" customFormat="false" ht="15" hidden="false" customHeight="false" outlineLevel="0" collapsed="false">
      <c r="A3512" s="5" t="n">
        <v>5</v>
      </c>
      <c r="B3512" s="5" t="n">
        <v>8</v>
      </c>
      <c r="C3512" s="5" t="s">
        <v>128</v>
      </c>
      <c r="D3512" s="5" t="s">
        <v>1671</v>
      </c>
      <c r="E3512" s="5" t="n">
        <v>1</v>
      </c>
      <c r="F3512" s="6" t="n">
        <f aca="false">IFERROR(MATCH(A3512&amp;"|"&amp;B3512&amp;"|"&amp;D3512,'All Song Rankings'!$T:$T,0),0)</f>
        <v>544</v>
      </c>
      <c r="G3512" s="6" t="str">
        <f aca="false">IF(F3512=0,"NOT FOUND",INDEX('All Song Rankings'!$A:$A,F3512))</f>
        <v>Walk This Way</v>
      </c>
      <c r="H3512" s="6" t="str">
        <f aca="false">IF(F3512=0,"NOT FOUND",INDEX('All Song Rankings'!$B:$B,F3512))</f>
        <v>Aerosmith</v>
      </c>
      <c r="I3512" s="6" t="str">
        <f aca="false">IF(F3512=0,"NOT FOUND",INDEX('All Song Rankings'!$D:$D,F3512))</f>
        <v>Kristen</v>
      </c>
      <c r="J3512" s="7" t="str">
        <f aca="false">IF(F3512=0,"NOT FOUND",IF(C3512=I3512,"SELF-VOTE",IF(COUNTIF($K:$K,K3512)&gt;1,"DUPLICATE","OK")))</f>
        <v>OK</v>
      </c>
      <c r="K3512" s="6" t="str">
        <f aca="false">A3512&amp;"|"&amp;B3512&amp;"|"&amp;C3512&amp;"|"&amp;D3512</f>
        <v>5|8|Logan|spotify:track:4JfuiOWlWCkjP6OKurHjSn</v>
      </c>
    </row>
    <row r="3513" customFormat="false" ht="15" hidden="false" customHeight="false" outlineLevel="0" collapsed="false">
      <c r="A3513" s="5" t="n">
        <v>5</v>
      </c>
      <c r="B3513" s="5" t="n">
        <v>8</v>
      </c>
      <c r="C3513" s="5" t="s">
        <v>128</v>
      </c>
      <c r="D3513" s="5" t="s">
        <v>1655</v>
      </c>
      <c r="E3513" s="5" t="n">
        <v>1</v>
      </c>
      <c r="F3513" s="6" t="n">
        <f aca="false">IFERROR(MATCH(A3513&amp;"|"&amp;B3513&amp;"|"&amp;D3513,'All Song Rankings'!$T:$T,0),0)</f>
        <v>537</v>
      </c>
      <c r="G3513" s="6" t="str">
        <f aca="false">IF(F3513=0,"NOT FOUND",INDEX('All Song Rankings'!$A:$A,F3513))</f>
        <v>You Got It (The Right Stuff)</v>
      </c>
      <c r="H3513" s="6" t="str">
        <f aca="false">IF(F3513=0,"NOT FOUND",INDEX('All Song Rankings'!$B:$B,F3513))</f>
        <v>New Kids On The Block</v>
      </c>
      <c r="I3513" s="6" t="str">
        <f aca="false">IF(F3513=0,"NOT FOUND",INDEX('All Song Rankings'!$D:$D,F3513))</f>
        <v>Matt</v>
      </c>
      <c r="J3513" s="7" t="str">
        <f aca="false">IF(F3513=0,"NOT FOUND",IF(C3513=I3513,"SELF-VOTE",IF(COUNTIF($K:$K,K3513)&gt;1,"DUPLICATE","OK")))</f>
        <v>OK</v>
      </c>
      <c r="K3513" s="6" t="str">
        <f aca="false">A3513&amp;"|"&amp;B3513&amp;"|"&amp;C3513&amp;"|"&amp;D3513</f>
        <v>5|8|Logan|spotify:track:4buDeg67vos7KP1yHrS9wl</v>
      </c>
    </row>
    <row r="3514" customFormat="false" ht="15" hidden="false" customHeight="false" outlineLevel="0" collapsed="false">
      <c r="A3514" s="5" t="n">
        <v>5</v>
      </c>
      <c r="B3514" s="5" t="n">
        <v>8</v>
      </c>
      <c r="C3514" s="5" t="s">
        <v>128</v>
      </c>
      <c r="D3514" s="5" t="s">
        <v>1635</v>
      </c>
      <c r="E3514" s="5" t="n">
        <v>1</v>
      </c>
      <c r="F3514" s="6" t="n">
        <f aca="false">IFERROR(MATCH(A3514&amp;"|"&amp;B3514&amp;"|"&amp;D3514,'All Song Rankings'!$T:$T,0),0)</f>
        <v>529</v>
      </c>
      <c r="G3514" s="6" t="str">
        <f aca="false">IF(F3514=0,"NOT FOUND",INDEX('All Song Rankings'!$A:$A,F3514))</f>
        <v>Tearin' up My Heart - Radio Edit</v>
      </c>
      <c r="H3514" s="6" t="str">
        <f aca="false">IF(F3514=0,"NOT FOUND",INDEX('All Song Rankings'!$B:$B,F3514))</f>
        <v>*NSYNC</v>
      </c>
      <c r="I3514" s="6" t="str">
        <f aca="false">IF(F3514=0,"NOT FOUND",INDEX('All Song Rankings'!$D:$D,F3514))</f>
        <v>Grace</v>
      </c>
      <c r="J3514" s="7" t="str">
        <f aca="false">IF(F3514=0,"NOT FOUND",IF(C3514=I3514,"SELF-VOTE",IF(COUNTIF($K:$K,K3514)&gt;1,"DUPLICATE","OK")))</f>
        <v>OK</v>
      </c>
      <c r="K3514" s="6" t="str">
        <f aca="false">A3514&amp;"|"&amp;B3514&amp;"|"&amp;C3514&amp;"|"&amp;D3514</f>
        <v>5|8|Logan|spotify:track:594M0rqYMOo8BhMGEdoi5C</v>
      </c>
    </row>
    <row r="3515" customFormat="false" ht="15" hidden="false" customHeight="false" outlineLevel="0" collapsed="false">
      <c r="A3515" s="5" t="n">
        <v>5</v>
      </c>
      <c r="B3515" s="5" t="n">
        <v>8</v>
      </c>
      <c r="C3515" s="5" t="s">
        <v>128</v>
      </c>
      <c r="D3515" s="5" t="s">
        <v>1637</v>
      </c>
      <c r="E3515" s="5" t="n">
        <v>1</v>
      </c>
      <c r="F3515" s="6" t="n">
        <f aca="false">IFERROR(MATCH(A3515&amp;"|"&amp;B3515&amp;"|"&amp;D3515,'All Song Rankings'!$T:$T,0),0)</f>
        <v>530</v>
      </c>
      <c r="G3515" s="6" t="str">
        <f aca="false">IF(F3515=0,"NOT FOUND",INDEX('All Song Rankings'!$A:$A,F3515))</f>
        <v>I Want You Back - Radio Edit</v>
      </c>
      <c r="H3515" s="6" t="str">
        <f aca="false">IF(F3515=0,"NOT FOUND",INDEX('All Song Rankings'!$B:$B,F3515))</f>
        <v>*NSYNC</v>
      </c>
      <c r="I3515" s="6" t="str">
        <f aca="false">IF(F3515=0,"NOT FOUND",INDEX('All Song Rankings'!$D:$D,F3515))</f>
        <v>Stephanie</v>
      </c>
      <c r="J3515" s="7" t="str">
        <f aca="false">IF(F3515=0,"NOT FOUND",IF(C3515=I3515,"SELF-VOTE",IF(COUNTIF($K:$K,K3515)&gt;1,"DUPLICATE","OK")))</f>
        <v>OK</v>
      </c>
      <c r="K3515" s="6" t="str">
        <f aca="false">A3515&amp;"|"&amp;B3515&amp;"|"&amp;C3515&amp;"|"&amp;D3515</f>
        <v>5|8|Logan|spotify:track:5YTMRAT4yKgFrepF8Hi3mY</v>
      </c>
    </row>
    <row r="3516" customFormat="false" ht="15" hidden="false" customHeight="false" outlineLevel="0" collapsed="false">
      <c r="A3516" s="5" t="n">
        <v>5</v>
      </c>
      <c r="B3516" s="5" t="n">
        <v>8</v>
      </c>
      <c r="C3516" s="5" t="s">
        <v>128</v>
      </c>
      <c r="D3516" s="5" t="s">
        <v>1646</v>
      </c>
      <c r="E3516" s="5" t="n">
        <v>1</v>
      </c>
      <c r="F3516" s="6" t="n">
        <f aca="false">IFERROR(MATCH(A3516&amp;"|"&amp;B3516&amp;"|"&amp;D3516,'All Song Rankings'!$T:$T,0),0)</f>
        <v>534</v>
      </c>
      <c r="G3516" s="6" t="str">
        <f aca="false">IF(F3516=0,"NOT FOUND",INDEX('All Song Rankings'!$A:$A,F3516))</f>
        <v>All Too Well (10 Minute Version) (Taylor's Version) (From The Vault)</v>
      </c>
      <c r="H3516" s="6" t="str">
        <f aca="false">IF(F3516=0,"NOT FOUND",INDEX('All Song Rankings'!$B:$B,F3516))</f>
        <v>Taylor Swift</v>
      </c>
      <c r="I3516" s="6" t="str">
        <f aca="false">IF(F3516=0,"NOT FOUND",INDEX('All Song Rankings'!$D:$D,F3516))</f>
        <v>Stephanie</v>
      </c>
      <c r="J3516" s="7" t="str">
        <f aca="false">IF(F3516=0,"NOT FOUND",IF(C3516=I3516,"SELF-VOTE",IF(COUNTIF($K:$K,K3516)&gt;1,"DUPLICATE","OK")))</f>
        <v>OK</v>
      </c>
      <c r="K3516" s="6" t="str">
        <f aca="false">A3516&amp;"|"&amp;B3516&amp;"|"&amp;C3516&amp;"|"&amp;D3516</f>
        <v>5|8|Logan|spotify:track:5enxwA8aAbwZbf5qCHORXi</v>
      </c>
    </row>
    <row r="3517" customFormat="false" ht="15" hidden="false" customHeight="false" outlineLevel="0" collapsed="false">
      <c r="A3517" s="5" t="n">
        <v>5</v>
      </c>
      <c r="B3517" s="5" t="n">
        <v>8</v>
      </c>
      <c r="C3517" s="5" t="s">
        <v>128</v>
      </c>
      <c r="D3517" s="5" t="s">
        <v>1681</v>
      </c>
      <c r="E3517" s="5" t="n">
        <v>1</v>
      </c>
      <c r="F3517" s="6" t="n">
        <f aca="false">IFERROR(MATCH(A3517&amp;"|"&amp;B3517&amp;"|"&amp;D3517,'All Song Rankings'!$T:$T,0),0)</f>
        <v>548</v>
      </c>
      <c r="G3517" s="6" t="str">
        <f aca="false">IF(F3517=0,"NOT FOUND",INDEX('All Song Rankings'!$A:$A,F3517))</f>
        <v>Teenage Dream</v>
      </c>
      <c r="H3517" s="6" t="str">
        <f aca="false">IF(F3517=0,"NOT FOUND",INDEX('All Song Rankings'!$B:$B,F3517))</f>
        <v>Katy Perry</v>
      </c>
      <c r="I3517" s="6" t="str">
        <f aca="false">IF(F3517=0,"NOT FOUND",INDEX('All Song Rankings'!$D:$D,F3517))</f>
        <v>Aubrey</v>
      </c>
      <c r="J3517" s="7" t="str">
        <f aca="false">IF(F3517=0,"NOT FOUND",IF(C3517=I3517,"SELF-VOTE",IF(COUNTIF($K:$K,K3517)&gt;1,"DUPLICATE","OK")))</f>
        <v>OK</v>
      </c>
      <c r="K3517" s="6" t="str">
        <f aca="false">A3517&amp;"|"&amp;B3517&amp;"|"&amp;C3517&amp;"|"&amp;D3517</f>
        <v>5|8|Logan|spotify:track:5jzKL4BDMClWqRguW5qZvh</v>
      </c>
    </row>
    <row r="3518" customFormat="false" ht="15" hidden="false" customHeight="false" outlineLevel="0" collapsed="false">
      <c r="A3518" s="5" t="n">
        <v>5</v>
      </c>
      <c r="B3518" s="5" t="n">
        <v>8</v>
      </c>
      <c r="C3518" s="5" t="s">
        <v>128</v>
      </c>
      <c r="D3518" s="5" t="s">
        <v>1667</v>
      </c>
      <c r="E3518" s="5" t="n">
        <v>1</v>
      </c>
      <c r="F3518" s="6" t="n">
        <f aca="false">IFERROR(MATCH(A3518&amp;"|"&amp;B3518&amp;"|"&amp;D3518,'All Song Rankings'!$T:$T,0),0)</f>
        <v>542</v>
      </c>
      <c r="G3518" s="6" t="str">
        <f aca="false">IF(F3518=0,"NOT FOUND",INDEX('All Song Rankings'!$A:$A,F3518))</f>
        <v>Babylon</v>
      </c>
      <c r="H3518" s="6" t="str">
        <f aca="false">IF(F3518=0,"NOT FOUND",INDEX('All Song Rankings'!$B:$B,F3518))</f>
        <v>5 Seconds of Summer</v>
      </c>
      <c r="I3518" s="6" t="str">
        <f aca="false">IF(F3518=0,"NOT FOUND",INDEX('All Song Rankings'!$D:$D,F3518))</f>
        <v>Merita</v>
      </c>
      <c r="J3518" s="7" t="str">
        <f aca="false">IF(F3518=0,"NOT FOUND",IF(C3518=I3518,"SELF-VOTE",IF(COUNTIF($K:$K,K3518)&gt;1,"DUPLICATE","OK")))</f>
        <v>OK</v>
      </c>
      <c r="K3518" s="6" t="str">
        <f aca="false">A3518&amp;"|"&amp;B3518&amp;"|"&amp;C3518&amp;"|"&amp;D3518</f>
        <v>5|8|Logan|spotify:track:6PUYqQtGWVAovZrLC9BIqt</v>
      </c>
    </row>
    <row r="3519" customFormat="false" ht="15" hidden="false" customHeight="false" outlineLevel="0" collapsed="false">
      <c r="A3519" s="5" t="n">
        <v>5</v>
      </c>
      <c r="B3519" s="5" t="n">
        <v>8</v>
      </c>
      <c r="C3519" s="5" t="s">
        <v>128</v>
      </c>
      <c r="D3519" s="5" t="s">
        <v>1620</v>
      </c>
      <c r="E3519" s="5" t="n">
        <v>2</v>
      </c>
      <c r="F3519" s="6" t="n">
        <f aca="false">IFERROR(MATCH(A3519&amp;"|"&amp;B3519&amp;"|"&amp;D3519,'All Song Rankings'!$T:$T,0),0)</f>
        <v>523</v>
      </c>
      <c r="G3519" s="6" t="str">
        <f aca="false">IF(F3519=0,"NOT FOUND",INDEX('All Song Rankings'!$A:$A,F3519))</f>
        <v>My Heart Will Go On</v>
      </c>
      <c r="H3519" s="6" t="str">
        <f aca="false">IF(F3519=0,"NOT FOUND",INDEX('All Song Rankings'!$B:$B,F3519))</f>
        <v>Céline Dion</v>
      </c>
      <c r="I3519" s="6" t="str">
        <f aca="false">IF(F3519=0,"NOT FOUND",INDEX('All Song Rankings'!$D:$D,F3519))</f>
        <v>Aubrey</v>
      </c>
      <c r="J3519" s="7" t="str">
        <f aca="false">IF(F3519=0,"NOT FOUND",IF(C3519=I3519,"SELF-VOTE",IF(COUNTIF($K:$K,K3519)&gt;1,"DUPLICATE","OK")))</f>
        <v>OK</v>
      </c>
      <c r="K3519" s="6" t="str">
        <f aca="false">A3519&amp;"|"&amp;B3519&amp;"|"&amp;C3519&amp;"|"&amp;D3519</f>
        <v>5|8|Logan|spotify:track:6e7N7cQ8MuPtu3FweRQYJz</v>
      </c>
    </row>
    <row r="3520" customFormat="false" ht="15" hidden="false" customHeight="false" outlineLevel="0" collapsed="false">
      <c r="A3520" s="5" t="n">
        <v>5</v>
      </c>
      <c r="B3520" s="5" t="n">
        <v>8</v>
      </c>
      <c r="C3520" s="5" t="s">
        <v>128</v>
      </c>
      <c r="D3520" s="5" t="s">
        <v>1652</v>
      </c>
      <c r="E3520" s="5" t="n">
        <v>1</v>
      </c>
      <c r="F3520" s="6" t="n">
        <f aca="false">IFERROR(MATCH(A3520&amp;"|"&amp;B3520&amp;"|"&amp;D3520,'All Song Rankings'!$T:$T,0),0)</f>
        <v>536</v>
      </c>
      <c r="G3520" s="6" t="str">
        <f aca="false">IF(F3520=0,"NOT FOUND",INDEX('All Song Rankings'!$A:$A,F3520))</f>
        <v>Born to Run</v>
      </c>
      <c r="H3520" s="6" t="str">
        <f aca="false">IF(F3520=0,"NOT FOUND",INDEX('All Song Rankings'!$B:$B,F3520))</f>
        <v>Bruce Springsteen</v>
      </c>
      <c r="I3520" s="6" t="str">
        <f aca="false">IF(F3520=0,"NOT FOUND",INDEX('All Song Rankings'!$D:$D,F3520))</f>
        <v>Lisa</v>
      </c>
      <c r="J3520" s="7" t="str">
        <f aca="false">IF(F3520=0,"NOT FOUND",IF(C3520=I3520,"SELF-VOTE",IF(COUNTIF($K:$K,K3520)&gt;1,"DUPLICATE","OK")))</f>
        <v>OK</v>
      </c>
      <c r="K3520" s="6" t="str">
        <f aca="false">A3520&amp;"|"&amp;B3520&amp;"|"&amp;C3520&amp;"|"&amp;D3520</f>
        <v>5|8|Logan|spotify:track:6hTcuIQa0sxrrByu9wTD7s</v>
      </c>
    </row>
    <row r="3521" customFormat="false" ht="15" hidden="false" customHeight="false" outlineLevel="0" collapsed="false">
      <c r="A3521" s="5" t="n">
        <v>5</v>
      </c>
      <c r="B3521" s="5" t="n">
        <v>8</v>
      </c>
      <c r="C3521" s="5" t="s">
        <v>128</v>
      </c>
      <c r="D3521" s="5" t="s">
        <v>1630</v>
      </c>
      <c r="E3521" s="5" t="n">
        <v>1</v>
      </c>
      <c r="F3521" s="6" t="n">
        <f aca="false">IFERROR(MATCH(A3521&amp;"|"&amp;B3521&amp;"|"&amp;D3521,'All Song Rankings'!$T:$T,0),0)</f>
        <v>527</v>
      </c>
      <c r="G3521" s="6" t="str">
        <f aca="false">IF(F3521=0,"NOT FOUND",INDEX('All Song Rankings'!$A:$A,F3521))</f>
        <v>Oops!...I Did It Again</v>
      </c>
      <c r="H3521" s="6" t="str">
        <f aca="false">IF(F3521=0,"NOT FOUND",INDEX('All Song Rankings'!$B:$B,F3521))</f>
        <v>Britney Spears</v>
      </c>
      <c r="I3521" s="6" t="str">
        <f aca="false">IF(F3521=0,"NOT FOUND",INDEX('All Song Rankings'!$D:$D,F3521))</f>
        <v>Colleen</v>
      </c>
      <c r="J3521" s="7" t="str">
        <f aca="false">IF(F3521=0,"NOT FOUND",IF(C3521=I3521,"SELF-VOTE",IF(COUNTIF($K:$K,K3521)&gt;1,"DUPLICATE","OK")))</f>
        <v>OK</v>
      </c>
      <c r="K3521" s="6" t="str">
        <f aca="false">A3521&amp;"|"&amp;B3521&amp;"|"&amp;C3521&amp;"|"&amp;D3521</f>
        <v>5|8|Logan|spotify:track:6naxalmIoLFWR0siv8dnQQ</v>
      </c>
    </row>
    <row r="3522" customFormat="false" ht="15" hidden="false" customHeight="false" outlineLevel="0" collapsed="false">
      <c r="A3522" s="5" t="n">
        <v>5</v>
      </c>
      <c r="B3522" s="5" t="n">
        <v>8</v>
      </c>
      <c r="C3522" s="5" t="s">
        <v>395</v>
      </c>
      <c r="D3522" s="5" t="s">
        <v>1622</v>
      </c>
      <c r="E3522" s="5" t="n">
        <v>2</v>
      </c>
      <c r="F3522" s="6" t="n">
        <f aca="false">IFERROR(MATCH(A3522&amp;"|"&amp;B3522&amp;"|"&amp;D3522,'All Song Rankings'!$T:$T,0),0)</f>
        <v>524</v>
      </c>
      <c r="G3522" s="6" t="str">
        <f aca="false">IF(F3522=0,"NOT FOUND",INDEX('All Song Rankings'!$A:$A,F3522))</f>
        <v>(You Drive Me) Crazy</v>
      </c>
      <c r="H3522" s="6" t="str">
        <f aca="false">IF(F3522=0,"NOT FOUND",INDEX('All Song Rankings'!$B:$B,F3522))</f>
        <v>Britney Spears</v>
      </c>
      <c r="I3522" s="6" t="str">
        <f aca="false">IF(F3522=0,"NOT FOUND",INDEX('All Song Rankings'!$D:$D,F3522))</f>
        <v>Nicole</v>
      </c>
      <c r="J3522" s="7" t="str">
        <f aca="false">IF(F3522=0,"NOT FOUND",IF(C3522=I3522,"SELF-VOTE",IF(COUNTIF($K:$K,K3522)&gt;1,"DUPLICATE","OK")))</f>
        <v>OK</v>
      </c>
      <c r="K3522" s="6" t="str">
        <f aca="false">A3522&amp;"|"&amp;B3522&amp;"|"&amp;C3522&amp;"|"&amp;D3522</f>
        <v>5|8|Makenzie|spotify:track:1DSJNBNhGZCigg9ll5VeZv</v>
      </c>
    </row>
    <row r="3523" customFormat="false" ht="15" hidden="false" customHeight="false" outlineLevel="0" collapsed="false">
      <c r="A3523" s="5" t="n">
        <v>5</v>
      </c>
      <c r="B3523" s="5" t="n">
        <v>8</v>
      </c>
      <c r="C3523" s="5" t="s">
        <v>395</v>
      </c>
      <c r="D3523" s="5" t="s">
        <v>1632</v>
      </c>
      <c r="E3523" s="5" t="n">
        <v>3</v>
      </c>
      <c r="F3523" s="6" t="n">
        <f aca="false">IFERROR(MATCH(A3523&amp;"|"&amp;B3523&amp;"|"&amp;D3523,'All Song Rankings'!$T:$T,0),0)</f>
        <v>528</v>
      </c>
      <c r="G3523" s="6" t="str">
        <f aca="false">IF(F3523=0,"NOT FOUND",INDEX('All Song Rankings'!$A:$A,F3523))</f>
        <v>Kokomo</v>
      </c>
      <c r="H3523" s="6" t="str">
        <f aca="false">IF(F3523=0,"NOT FOUND",INDEX('All Song Rankings'!$B:$B,F3523))</f>
        <v>The Beach Boys</v>
      </c>
      <c r="I3523" s="6" t="str">
        <f aca="false">IF(F3523=0,"NOT FOUND",INDEX('All Song Rankings'!$D:$D,F3523))</f>
        <v>Leah</v>
      </c>
      <c r="J3523" s="7" t="str">
        <f aca="false">IF(F3523=0,"NOT FOUND",IF(C3523=I3523,"SELF-VOTE",IF(COUNTIF($K:$K,K3523)&gt;1,"DUPLICATE","OK")))</f>
        <v>OK</v>
      </c>
      <c r="K3523" s="6" t="str">
        <f aca="false">A3523&amp;"|"&amp;B3523&amp;"|"&amp;C3523&amp;"|"&amp;D3523</f>
        <v>5|8|Makenzie|spotify:track:2STQAr3BRiAeeveJ07gZh7</v>
      </c>
    </row>
    <row r="3524" customFormat="false" ht="15" hidden="false" customHeight="false" outlineLevel="0" collapsed="false">
      <c r="A3524" s="5" t="n">
        <v>5</v>
      </c>
      <c r="B3524" s="5" t="n">
        <v>8</v>
      </c>
      <c r="C3524" s="5" t="s">
        <v>395</v>
      </c>
      <c r="D3524" s="5" t="s">
        <v>1628</v>
      </c>
      <c r="E3524" s="5" t="n">
        <v>2</v>
      </c>
      <c r="F3524" s="6" t="n">
        <f aca="false">IFERROR(MATCH(A3524&amp;"|"&amp;B3524&amp;"|"&amp;D3524,'All Song Rankings'!$T:$T,0),0)</f>
        <v>526</v>
      </c>
      <c r="G3524" s="6" t="str">
        <f aca="false">IF(F3524=0,"NOT FOUND",INDEX('All Song Rankings'!$A:$A,F3524))</f>
        <v>Here Without You</v>
      </c>
      <c r="H3524" s="6" t="str">
        <f aca="false">IF(F3524=0,"NOT FOUND",INDEX('All Song Rankings'!$B:$B,F3524))</f>
        <v>3 Doors Down</v>
      </c>
      <c r="I3524" s="6" t="str">
        <f aca="false">IF(F3524=0,"NOT FOUND",INDEX('All Song Rankings'!$D:$D,F3524))</f>
        <v>Leah</v>
      </c>
      <c r="J3524" s="7" t="str">
        <f aca="false">IF(F3524=0,"NOT FOUND",IF(C3524=I3524,"SELF-VOTE",IF(COUNTIF($K:$K,K3524)&gt;1,"DUPLICATE","OK")))</f>
        <v>OK</v>
      </c>
      <c r="K3524" s="6" t="str">
        <f aca="false">A3524&amp;"|"&amp;B3524&amp;"|"&amp;C3524&amp;"|"&amp;D3524</f>
        <v>5|8|Makenzie|spotify:track:3NLrRZoMF0Lx6zTlYqeIo4</v>
      </c>
    </row>
    <row r="3525" customFormat="false" ht="15" hidden="false" customHeight="false" outlineLevel="0" collapsed="false">
      <c r="A3525" s="5" t="n">
        <v>5</v>
      </c>
      <c r="B3525" s="5" t="n">
        <v>8</v>
      </c>
      <c r="C3525" s="5" t="s">
        <v>395</v>
      </c>
      <c r="D3525" s="5" t="s">
        <v>1687</v>
      </c>
      <c r="E3525" s="5" t="n">
        <v>1</v>
      </c>
      <c r="F3525" s="6" t="n">
        <f aca="false">IFERROR(MATCH(A3525&amp;"|"&amp;B3525&amp;"|"&amp;D3525,'All Song Rankings'!$T:$T,0),0)</f>
        <v>550</v>
      </c>
      <c r="G3525" s="6" t="str">
        <f aca="false">IF(F3525=0,"NOT FOUND",INDEX('All Song Rankings'!$A:$A,F3525))</f>
        <v>She Thinks My Tractor's Sexy</v>
      </c>
      <c r="H3525" s="6" t="str">
        <f aca="false">IF(F3525=0,"NOT FOUND",INDEX('All Song Rankings'!$B:$B,F3525))</f>
        <v>Kenny Chesney</v>
      </c>
      <c r="I3525" s="6" t="str">
        <f aca="false">IF(F3525=0,"NOT FOUND",INDEX('All Song Rankings'!$D:$D,F3525))</f>
        <v>Logan</v>
      </c>
      <c r="J3525" s="7" t="str">
        <f aca="false">IF(F3525=0,"NOT FOUND",IF(C3525=I3525,"SELF-VOTE",IF(COUNTIF($K:$K,K3525)&gt;1,"DUPLICATE","OK")))</f>
        <v>OK</v>
      </c>
      <c r="K3525" s="6" t="str">
        <f aca="false">A3525&amp;"|"&amp;B3525&amp;"|"&amp;C3525&amp;"|"&amp;D3525</f>
        <v>5|8|Makenzie|spotify:track:3QV7NYkrmV0Q0IHdFJw9hO</v>
      </c>
    </row>
    <row r="3526" customFormat="false" ht="15" hidden="false" customHeight="false" outlineLevel="0" collapsed="false">
      <c r="A3526" s="5" t="n">
        <v>5</v>
      </c>
      <c r="B3526" s="5" t="n">
        <v>8</v>
      </c>
      <c r="C3526" s="5" t="s">
        <v>395</v>
      </c>
      <c r="D3526" s="5" t="s">
        <v>1625</v>
      </c>
      <c r="E3526" s="5" t="n">
        <v>2</v>
      </c>
      <c r="F3526" s="6" t="n">
        <f aca="false">IFERROR(MATCH(A3526&amp;"|"&amp;B3526&amp;"|"&amp;D3526,'All Song Rankings'!$T:$T,0),0)</f>
        <v>525</v>
      </c>
      <c r="G3526" s="6" t="str">
        <f aca="false">IF(F3526=0,"NOT FOUND",INDEX('All Song Rankings'!$A:$A,F3526))</f>
        <v>Ghost</v>
      </c>
      <c r="H3526" s="6" t="str">
        <f aca="false">IF(F3526=0,"NOT FOUND",INDEX('All Song Rankings'!$B:$B,F3526))</f>
        <v>Demi Lovato</v>
      </c>
      <c r="I3526" s="6" t="str">
        <f aca="false">IF(F3526=0,"NOT FOUND",INDEX('All Song Rankings'!$D:$D,F3526))</f>
        <v>Logan</v>
      </c>
      <c r="J3526" s="7" t="str">
        <f aca="false">IF(F3526=0,"NOT FOUND",IF(C3526=I3526,"SELF-VOTE",IF(COUNTIF($K:$K,K3526)&gt;1,"DUPLICATE","OK")))</f>
        <v>OK</v>
      </c>
      <c r="K3526" s="6" t="str">
        <f aca="false">A3526&amp;"|"&amp;B3526&amp;"|"&amp;C3526&amp;"|"&amp;D3526</f>
        <v>5|8|Makenzie|spotify:track:3XeyI07raWwr8wbnaJeaVl</v>
      </c>
    </row>
    <row r="3527" customFormat="false" ht="15" hidden="false" customHeight="false" outlineLevel="0" collapsed="false">
      <c r="A3527" s="5" t="n">
        <v>5</v>
      </c>
      <c r="B3527" s="5" t="n">
        <v>8</v>
      </c>
      <c r="C3527" s="5" t="s">
        <v>395</v>
      </c>
      <c r="D3527" s="5" t="s">
        <v>1655</v>
      </c>
      <c r="E3527" s="5" t="n">
        <v>2</v>
      </c>
      <c r="F3527" s="6" t="n">
        <f aca="false">IFERROR(MATCH(A3527&amp;"|"&amp;B3527&amp;"|"&amp;D3527,'All Song Rankings'!$T:$T,0),0)</f>
        <v>537</v>
      </c>
      <c r="G3527" s="6" t="str">
        <f aca="false">IF(F3527=0,"NOT FOUND",INDEX('All Song Rankings'!$A:$A,F3527))</f>
        <v>You Got It (The Right Stuff)</v>
      </c>
      <c r="H3527" s="6" t="str">
        <f aca="false">IF(F3527=0,"NOT FOUND",INDEX('All Song Rankings'!$B:$B,F3527))</f>
        <v>New Kids On The Block</v>
      </c>
      <c r="I3527" s="6" t="str">
        <f aca="false">IF(F3527=0,"NOT FOUND",INDEX('All Song Rankings'!$D:$D,F3527))</f>
        <v>Matt</v>
      </c>
      <c r="J3527" s="7" t="str">
        <f aca="false">IF(F3527=0,"NOT FOUND",IF(C3527=I3527,"SELF-VOTE",IF(COUNTIF($K:$K,K3527)&gt;1,"DUPLICATE","OK")))</f>
        <v>OK</v>
      </c>
      <c r="K3527" s="6" t="str">
        <f aca="false">A3527&amp;"|"&amp;B3527&amp;"|"&amp;C3527&amp;"|"&amp;D3527</f>
        <v>5|8|Makenzie|spotify:track:4buDeg67vos7KP1yHrS9wl</v>
      </c>
    </row>
    <row r="3528" customFormat="false" ht="15" hidden="false" customHeight="false" outlineLevel="0" collapsed="false">
      <c r="A3528" s="5" t="n">
        <v>5</v>
      </c>
      <c r="B3528" s="5" t="n">
        <v>8</v>
      </c>
      <c r="C3528" s="5" t="s">
        <v>395</v>
      </c>
      <c r="D3528" s="5" t="s">
        <v>1635</v>
      </c>
      <c r="E3528" s="5" t="n">
        <v>1</v>
      </c>
      <c r="F3528" s="6" t="n">
        <f aca="false">IFERROR(MATCH(A3528&amp;"|"&amp;B3528&amp;"|"&amp;D3528,'All Song Rankings'!$T:$T,0),0)</f>
        <v>529</v>
      </c>
      <c r="G3528" s="6" t="str">
        <f aca="false">IF(F3528=0,"NOT FOUND",INDEX('All Song Rankings'!$A:$A,F3528))</f>
        <v>Tearin' up My Heart - Radio Edit</v>
      </c>
      <c r="H3528" s="6" t="str">
        <f aca="false">IF(F3528=0,"NOT FOUND",INDEX('All Song Rankings'!$B:$B,F3528))</f>
        <v>*NSYNC</v>
      </c>
      <c r="I3528" s="6" t="str">
        <f aca="false">IF(F3528=0,"NOT FOUND",INDEX('All Song Rankings'!$D:$D,F3528))</f>
        <v>Grace</v>
      </c>
      <c r="J3528" s="7" t="str">
        <f aca="false">IF(F3528=0,"NOT FOUND",IF(C3528=I3528,"SELF-VOTE",IF(COUNTIF($K:$K,K3528)&gt;1,"DUPLICATE","OK")))</f>
        <v>OK</v>
      </c>
      <c r="K3528" s="6" t="str">
        <f aca="false">A3528&amp;"|"&amp;B3528&amp;"|"&amp;C3528&amp;"|"&amp;D3528</f>
        <v>5|8|Makenzie|spotify:track:594M0rqYMOo8BhMGEdoi5C</v>
      </c>
    </row>
    <row r="3529" customFormat="false" ht="15" hidden="false" customHeight="false" outlineLevel="0" collapsed="false">
      <c r="A3529" s="5" t="n">
        <v>5</v>
      </c>
      <c r="B3529" s="5" t="n">
        <v>8</v>
      </c>
      <c r="C3529" s="5" t="s">
        <v>395</v>
      </c>
      <c r="D3529" s="5" t="s">
        <v>1637</v>
      </c>
      <c r="E3529" s="5" t="n">
        <v>1</v>
      </c>
      <c r="F3529" s="6" t="n">
        <f aca="false">IFERROR(MATCH(A3529&amp;"|"&amp;B3529&amp;"|"&amp;D3529,'All Song Rankings'!$T:$T,0),0)</f>
        <v>530</v>
      </c>
      <c r="G3529" s="6" t="str">
        <f aca="false">IF(F3529=0,"NOT FOUND",INDEX('All Song Rankings'!$A:$A,F3529))</f>
        <v>I Want You Back - Radio Edit</v>
      </c>
      <c r="H3529" s="6" t="str">
        <f aca="false">IF(F3529=0,"NOT FOUND",INDEX('All Song Rankings'!$B:$B,F3529))</f>
        <v>*NSYNC</v>
      </c>
      <c r="I3529" s="6" t="str">
        <f aca="false">IF(F3529=0,"NOT FOUND",INDEX('All Song Rankings'!$D:$D,F3529))</f>
        <v>Stephanie</v>
      </c>
      <c r="J3529" s="7" t="str">
        <f aca="false">IF(F3529=0,"NOT FOUND",IF(C3529=I3529,"SELF-VOTE",IF(COUNTIF($K:$K,K3529)&gt;1,"DUPLICATE","OK")))</f>
        <v>OK</v>
      </c>
      <c r="K3529" s="6" t="str">
        <f aca="false">A3529&amp;"|"&amp;B3529&amp;"|"&amp;C3529&amp;"|"&amp;D3529</f>
        <v>5|8|Makenzie|spotify:track:5YTMRAT4yKgFrepF8Hi3mY</v>
      </c>
    </row>
    <row r="3530" customFormat="false" ht="15" hidden="false" customHeight="false" outlineLevel="0" collapsed="false">
      <c r="A3530" s="5" t="n">
        <v>5</v>
      </c>
      <c r="B3530" s="5" t="n">
        <v>8</v>
      </c>
      <c r="C3530" s="5" t="s">
        <v>395</v>
      </c>
      <c r="D3530" s="5" t="s">
        <v>1667</v>
      </c>
      <c r="E3530" s="5" t="n">
        <v>1</v>
      </c>
      <c r="F3530" s="6" t="n">
        <f aca="false">IFERROR(MATCH(A3530&amp;"|"&amp;B3530&amp;"|"&amp;D3530,'All Song Rankings'!$T:$T,0),0)</f>
        <v>542</v>
      </c>
      <c r="G3530" s="6" t="str">
        <f aca="false">IF(F3530=0,"NOT FOUND",INDEX('All Song Rankings'!$A:$A,F3530))</f>
        <v>Babylon</v>
      </c>
      <c r="H3530" s="6" t="str">
        <f aca="false">IF(F3530=0,"NOT FOUND",INDEX('All Song Rankings'!$B:$B,F3530))</f>
        <v>5 Seconds of Summer</v>
      </c>
      <c r="I3530" s="6" t="str">
        <f aca="false">IF(F3530=0,"NOT FOUND",INDEX('All Song Rankings'!$D:$D,F3530))</f>
        <v>Merita</v>
      </c>
      <c r="J3530" s="7" t="str">
        <f aca="false">IF(F3530=0,"NOT FOUND",IF(C3530=I3530,"SELF-VOTE",IF(COUNTIF($K:$K,K3530)&gt;1,"DUPLICATE","OK")))</f>
        <v>OK</v>
      </c>
      <c r="K3530" s="6" t="str">
        <f aca="false">A3530&amp;"|"&amp;B3530&amp;"|"&amp;C3530&amp;"|"&amp;D3530</f>
        <v>5|8|Makenzie|spotify:track:6PUYqQtGWVAovZrLC9BIqt</v>
      </c>
    </row>
    <row r="3531" customFormat="false" ht="15" hidden="false" customHeight="false" outlineLevel="0" collapsed="false">
      <c r="A3531" s="5" t="n">
        <v>5</v>
      </c>
      <c r="B3531" s="5" t="n">
        <v>8</v>
      </c>
      <c r="C3531" s="5" t="s">
        <v>395</v>
      </c>
      <c r="D3531" s="5" t="s">
        <v>1620</v>
      </c>
      <c r="E3531" s="5" t="n">
        <v>2</v>
      </c>
      <c r="F3531" s="6" t="n">
        <f aca="false">IFERROR(MATCH(A3531&amp;"|"&amp;B3531&amp;"|"&amp;D3531,'All Song Rankings'!$T:$T,0),0)</f>
        <v>523</v>
      </c>
      <c r="G3531" s="6" t="str">
        <f aca="false">IF(F3531=0,"NOT FOUND",INDEX('All Song Rankings'!$A:$A,F3531))</f>
        <v>My Heart Will Go On</v>
      </c>
      <c r="H3531" s="6" t="str">
        <f aca="false">IF(F3531=0,"NOT FOUND",INDEX('All Song Rankings'!$B:$B,F3531))</f>
        <v>Céline Dion</v>
      </c>
      <c r="I3531" s="6" t="str">
        <f aca="false">IF(F3531=0,"NOT FOUND",INDEX('All Song Rankings'!$D:$D,F3531))</f>
        <v>Aubrey</v>
      </c>
      <c r="J3531" s="7" t="str">
        <f aca="false">IF(F3531=0,"NOT FOUND",IF(C3531=I3531,"SELF-VOTE",IF(COUNTIF($K:$K,K3531)&gt;1,"DUPLICATE","OK")))</f>
        <v>OK</v>
      </c>
      <c r="K3531" s="6" t="str">
        <f aca="false">A3531&amp;"|"&amp;B3531&amp;"|"&amp;C3531&amp;"|"&amp;D3531</f>
        <v>5|8|Makenzie|spotify:track:6e7N7cQ8MuPtu3FweRQYJz</v>
      </c>
    </row>
    <row r="3532" customFormat="false" ht="15" hidden="false" customHeight="false" outlineLevel="0" collapsed="false">
      <c r="A3532" s="5" t="n">
        <v>5</v>
      </c>
      <c r="B3532" s="5" t="n">
        <v>8</v>
      </c>
      <c r="C3532" s="5" t="s">
        <v>395</v>
      </c>
      <c r="D3532" s="5" t="s">
        <v>1652</v>
      </c>
      <c r="E3532" s="5" t="n">
        <v>1</v>
      </c>
      <c r="F3532" s="6" t="n">
        <f aca="false">IFERROR(MATCH(A3532&amp;"|"&amp;B3532&amp;"|"&amp;D3532,'All Song Rankings'!$T:$T,0),0)</f>
        <v>536</v>
      </c>
      <c r="G3532" s="6" t="str">
        <f aca="false">IF(F3532=0,"NOT FOUND",INDEX('All Song Rankings'!$A:$A,F3532))</f>
        <v>Born to Run</v>
      </c>
      <c r="H3532" s="6" t="str">
        <f aca="false">IF(F3532=0,"NOT FOUND",INDEX('All Song Rankings'!$B:$B,F3532))</f>
        <v>Bruce Springsteen</v>
      </c>
      <c r="I3532" s="6" t="str">
        <f aca="false">IF(F3532=0,"NOT FOUND",INDEX('All Song Rankings'!$D:$D,F3532))</f>
        <v>Lisa</v>
      </c>
      <c r="J3532" s="7" t="str">
        <f aca="false">IF(F3532=0,"NOT FOUND",IF(C3532=I3532,"SELF-VOTE",IF(COUNTIF($K:$K,K3532)&gt;1,"DUPLICATE","OK")))</f>
        <v>OK</v>
      </c>
      <c r="K3532" s="6" t="str">
        <f aca="false">A3532&amp;"|"&amp;B3532&amp;"|"&amp;C3532&amp;"|"&amp;D3532</f>
        <v>5|8|Makenzie|spotify:track:6hTcuIQa0sxrrByu9wTD7s</v>
      </c>
    </row>
    <row r="3533" customFormat="false" ht="15" hidden="false" customHeight="false" outlineLevel="0" collapsed="false">
      <c r="A3533" s="5" t="n">
        <v>5</v>
      </c>
      <c r="B3533" s="5" t="n">
        <v>8</v>
      </c>
      <c r="C3533" s="5" t="s">
        <v>395</v>
      </c>
      <c r="D3533" s="5" t="s">
        <v>1630</v>
      </c>
      <c r="E3533" s="5" t="n">
        <v>2</v>
      </c>
      <c r="F3533" s="6" t="n">
        <f aca="false">IFERROR(MATCH(A3533&amp;"|"&amp;B3533&amp;"|"&amp;D3533,'All Song Rankings'!$T:$T,0),0)</f>
        <v>527</v>
      </c>
      <c r="G3533" s="6" t="str">
        <f aca="false">IF(F3533=0,"NOT FOUND",INDEX('All Song Rankings'!$A:$A,F3533))</f>
        <v>Oops!...I Did It Again</v>
      </c>
      <c r="H3533" s="6" t="str">
        <f aca="false">IF(F3533=0,"NOT FOUND",INDEX('All Song Rankings'!$B:$B,F3533))</f>
        <v>Britney Spears</v>
      </c>
      <c r="I3533" s="6" t="str">
        <f aca="false">IF(F3533=0,"NOT FOUND",INDEX('All Song Rankings'!$D:$D,F3533))</f>
        <v>Colleen</v>
      </c>
      <c r="J3533" s="7" t="str">
        <f aca="false">IF(F3533=0,"NOT FOUND",IF(C3533=I3533,"SELF-VOTE",IF(COUNTIF($K:$K,K3533)&gt;1,"DUPLICATE","OK")))</f>
        <v>OK</v>
      </c>
      <c r="K3533" s="6" t="str">
        <f aca="false">A3533&amp;"|"&amp;B3533&amp;"|"&amp;C3533&amp;"|"&amp;D3533</f>
        <v>5|8|Makenzie|spotify:track:6naxalmIoLFWR0siv8dnQQ</v>
      </c>
    </row>
    <row r="3534" customFormat="false" ht="15" hidden="false" customHeight="false" outlineLevel="0" collapsed="false">
      <c r="A3534" s="5" t="n">
        <v>5</v>
      </c>
      <c r="B3534" s="5" t="n">
        <v>8</v>
      </c>
      <c r="C3534" s="5" t="s">
        <v>116</v>
      </c>
      <c r="D3534" s="5" t="s">
        <v>1639</v>
      </c>
      <c r="E3534" s="5" t="n">
        <v>1</v>
      </c>
      <c r="F3534" s="6" t="n">
        <f aca="false">IFERROR(MATCH(A3534&amp;"|"&amp;B3534&amp;"|"&amp;D3534,'All Song Rankings'!$T:$T,0),0)</f>
        <v>531</v>
      </c>
      <c r="G3534" s="6" t="str">
        <f aca="false">IF(F3534=0,"NOT FOUND",INDEX('All Song Rankings'!$A:$A,F3534))</f>
        <v>Livin' la Vida Loca</v>
      </c>
      <c r="H3534" s="6" t="str">
        <f aca="false">IF(F3534=0,"NOT FOUND",INDEX('All Song Rankings'!$B:$B,F3534))</f>
        <v>Ricky Martin</v>
      </c>
      <c r="I3534" s="6" t="str">
        <f aca="false">IF(F3534=0,"NOT FOUND",INDEX('All Song Rankings'!$D:$D,F3534))</f>
        <v>Makenzie</v>
      </c>
      <c r="J3534" s="7" t="str">
        <f aca="false">IF(F3534=0,"NOT FOUND",IF(C3534=I3534,"SELF-VOTE",IF(COUNTIF($K:$K,K3534)&gt;1,"DUPLICATE","OK")))</f>
        <v>OK</v>
      </c>
      <c r="K3534" s="6" t="str">
        <f aca="false">A3534&amp;"|"&amp;B3534&amp;"|"&amp;C3534&amp;"|"&amp;D3534</f>
        <v>5|8|Matt|spotify:track:0Ph6L4l8dYUuXFmb71Ajnd</v>
      </c>
    </row>
    <row r="3535" customFormat="false" ht="15" hidden="false" customHeight="false" outlineLevel="0" collapsed="false">
      <c r="A3535" s="5" t="n">
        <v>5</v>
      </c>
      <c r="B3535" s="5" t="n">
        <v>8</v>
      </c>
      <c r="C3535" s="5" t="s">
        <v>116</v>
      </c>
      <c r="D3535" s="5" t="s">
        <v>1662</v>
      </c>
      <c r="E3535" s="5" t="n">
        <v>1</v>
      </c>
      <c r="F3535" s="6" t="n">
        <f aca="false">IFERROR(MATCH(A3535&amp;"|"&amp;B3535&amp;"|"&amp;D3535,'All Song Rankings'!$T:$T,0),0)</f>
        <v>540</v>
      </c>
      <c r="G3535" s="6" t="str">
        <f aca="false">IF(F3535=0,"NOT FOUND",INDEX('All Song Rankings'!$A:$A,F3535))</f>
        <v>It Would Be You</v>
      </c>
      <c r="H3535" s="6" t="str">
        <f aca="false">IF(F3535=0,"NOT FOUND",INDEX('All Song Rankings'!$B:$B,F3535))</f>
        <v>Ben Rector</v>
      </c>
      <c r="I3535" s="6" t="str">
        <f aca="false">IF(F3535=0,"NOT FOUND",INDEX('All Song Rankings'!$D:$D,F3535))</f>
        <v>Grace</v>
      </c>
      <c r="J3535" s="7" t="str">
        <f aca="false">IF(F3535=0,"NOT FOUND",IF(C3535=I3535,"SELF-VOTE",IF(COUNTIF($K:$K,K3535)&gt;1,"DUPLICATE","OK")))</f>
        <v>OK</v>
      </c>
      <c r="K3535" s="6" t="str">
        <f aca="false">A3535&amp;"|"&amp;B3535&amp;"|"&amp;C3535&amp;"|"&amp;D3535</f>
        <v>5|8|Matt|spotify:track:0roPf0bwAsBDZv1bR15m15</v>
      </c>
    </row>
    <row r="3536" customFormat="false" ht="15" hidden="false" customHeight="false" outlineLevel="0" collapsed="false">
      <c r="A3536" s="5" t="n">
        <v>5</v>
      </c>
      <c r="B3536" s="5" t="n">
        <v>8</v>
      </c>
      <c r="C3536" s="5" t="s">
        <v>116</v>
      </c>
      <c r="D3536" s="5" t="s">
        <v>1644</v>
      </c>
      <c r="E3536" s="5" t="n">
        <v>1</v>
      </c>
      <c r="F3536" s="6" t="n">
        <f aca="false">IFERROR(MATCH(A3536&amp;"|"&amp;B3536&amp;"|"&amp;D3536,'All Song Rankings'!$T:$T,0),0)</f>
        <v>533</v>
      </c>
      <c r="G3536" s="6" t="str">
        <f aca="false">IF(F3536=0,"NOT FOUND",INDEX('All Song Rankings'!$A:$A,F3536))</f>
        <v>IDK You Yet</v>
      </c>
      <c r="H3536" s="6" t="str">
        <f aca="false">IF(F3536=0,"NOT FOUND",INDEX('All Song Rankings'!$B:$B,F3536))</f>
        <v>Alexander 23</v>
      </c>
      <c r="I3536" s="6" t="str">
        <f aca="false">IF(F3536=0,"NOT FOUND",INDEX('All Song Rankings'!$D:$D,F3536))</f>
        <v>Merita</v>
      </c>
      <c r="J3536" s="7" t="str">
        <f aca="false">IF(F3536=0,"NOT FOUND",IF(C3536=I3536,"SELF-VOTE",IF(COUNTIF($K:$K,K3536)&gt;1,"DUPLICATE","OK")))</f>
        <v>OK</v>
      </c>
      <c r="K3536" s="6" t="str">
        <f aca="false">A3536&amp;"|"&amp;B3536&amp;"|"&amp;C3536&amp;"|"&amp;D3536</f>
        <v>5|8|Matt|spotify:track:11WbNwwAdoxfwpZxSHIP7J</v>
      </c>
    </row>
    <row r="3537" customFormat="false" ht="15" hidden="false" customHeight="false" outlineLevel="0" collapsed="false">
      <c r="A3537" s="5" t="n">
        <v>5</v>
      </c>
      <c r="B3537" s="5" t="n">
        <v>8</v>
      </c>
      <c r="C3537" s="5" t="s">
        <v>116</v>
      </c>
      <c r="D3537" s="5" t="s">
        <v>1622</v>
      </c>
      <c r="E3537" s="5" t="n">
        <v>1</v>
      </c>
      <c r="F3537" s="6" t="n">
        <f aca="false">IFERROR(MATCH(A3537&amp;"|"&amp;B3537&amp;"|"&amp;D3537,'All Song Rankings'!$T:$T,0),0)</f>
        <v>524</v>
      </c>
      <c r="G3537" s="6" t="str">
        <f aca="false">IF(F3537=0,"NOT FOUND",INDEX('All Song Rankings'!$A:$A,F3537))</f>
        <v>(You Drive Me) Crazy</v>
      </c>
      <c r="H3537" s="6" t="str">
        <f aca="false">IF(F3537=0,"NOT FOUND",INDEX('All Song Rankings'!$B:$B,F3537))</f>
        <v>Britney Spears</v>
      </c>
      <c r="I3537" s="6" t="str">
        <f aca="false">IF(F3537=0,"NOT FOUND",INDEX('All Song Rankings'!$D:$D,F3537))</f>
        <v>Nicole</v>
      </c>
      <c r="J3537" s="7" t="str">
        <f aca="false">IF(F3537=0,"NOT FOUND",IF(C3537=I3537,"SELF-VOTE",IF(COUNTIF($K:$K,K3537)&gt;1,"DUPLICATE","OK")))</f>
        <v>OK</v>
      </c>
      <c r="K3537" s="6" t="str">
        <f aca="false">A3537&amp;"|"&amp;B3537&amp;"|"&amp;C3537&amp;"|"&amp;D3537</f>
        <v>5|8|Matt|spotify:track:1DSJNBNhGZCigg9ll5VeZv</v>
      </c>
    </row>
    <row r="3538" customFormat="false" ht="15" hidden="false" customHeight="false" outlineLevel="0" collapsed="false">
      <c r="A3538" s="5" t="n">
        <v>5</v>
      </c>
      <c r="B3538" s="5" t="n">
        <v>8</v>
      </c>
      <c r="C3538" s="5" t="s">
        <v>116</v>
      </c>
      <c r="D3538" s="5" t="s">
        <v>1673</v>
      </c>
      <c r="E3538" s="5" t="n">
        <v>1</v>
      </c>
      <c r="F3538" s="6" t="n">
        <f aca="false">IFERROR(MATCH(A3538&amp;"|"&amp;B3538&amp;"|"&amp;D3538,'All Song Rankings'!$T:$T,0),0)</f>
        <v>545</v>
      </c>
      <c r="G3538" s="6" t="str">
        <f aca="false">IF(F3538=0,"NOT FOUND",INDEX('All Song Rankings'!$A:$A,F3538))</f>
        <v>Beautiful Day</v>
      </c>
      <c r="H3538" s="6" t="str">
        <f aca="false">IF(F3538=0,"NOT FOUND",INDEX('All Song Rankings'!$B:$B,F3538))</f>
        <v>U2</v>
      </c>
      <c r="I3538" s="6" t="str">
        <f aca="false">IF(F3538=0,"NOT FOUND",INDEX('All Song Rankings'!$D:$D,F3538))</f>
        <v>Christine</v>
      </c>
      <c r="J3538" s="7" t="str">
        <f aca="false">IF(F3538=0,"NOT FOUND",IF(C3538=I3538,"SELF-VOTE",IF(COUNTIF($K:$K,K3538)&gt;1,"DUPLICATE","OK")))</f>
        <v>OK</v>
      </c>
      <c r="K3538" s="6" t="str">
        <f aca="false">A3538&amp;"|"&amp;B3538&amp;"|"&amp;C3538&amp;"|"&amp;D3538</f>
        <v>5|8|Matt|spotify:track:1VuBmEauSZywQVtqbxNqka</v>
      </c>
    </row>
    <row r="3539" customFormat="false" ht="15" hidden="false" customHeight="false" outlineLevel="0" collapsed="false">
      <c r="A3539" s="5" t="n">
        <v>5</v>
      </c>
      <c r="B3539" s="5" t="n">
        <v>8</v>
      </c>
      <c r="C3539" s="5" t="s">
        <v>116</v>
      </c>
      <c r="D3539" s="5" t="s">
        <v>1684</v>
      </c>
      <c r="E3539" s="5" t="n">
        <v>1</v>
      </c>
      <c r="F3539" s="6" t="n">
        <f aca="false">IFERROR(MATCH(A3539&amp;"|"&amp;B3539&amp;"|"&amp;D3539,'All Song Rankings'!$T:$T,0),0)</f>
        <v>549</v>
      </c>
      <c r="G3539" s="6" t="str">
        <f aca="false">IF(F3539=0,"NOT FOUND",INDEX('All Song Rankings'!$A:$A,F3539))</f>
        <v>CAN'T STOP THE FEELING! (from DreamWorks Animation's "TROLLS")</v>
      </c>
      <c r="H3539" s="6" t="str">
        <f aca="false">IF(F3539=0,"NOT FOUND",INDEX('All Song Rankings'!$B:$B,F3539))</f>
        <v>Justin Timberlake</v>
      </c>
      <c r="I3539" s="6" t="str">
        <f aca="false">IF(F3539=0,"NOT FOUND",INDEX('All Song Rankings'!$D:$D,F3539))</f>
        <v>Kristen</v>
      </c>
      <c r="J3539" s="7" t="str">
        <f aca="false">IF(F3539=0,"NOT FOUND",IF(C3539=I3539,"SELF-VOTE",IF(COUNTIF($K:$K,K3539)&gt;1,"DUPLICATE","OK")))</f>
        <v>OK</v>
      </c>
      <c r="K3539" s="6" t="str">
        <f aca="false">A3539&amp;"|"&amp;B3539&amp;"|"&amp;C3539&amp;"|"&amp;D3539</f>
        <v>5|8|Matt|spotify:track:1WkMMavIMc4JZ8cfMmxHkI</v>
      </c>
    </row>
    <row r="3540" customFormat="false" ht="15" hidden="false" customHeight="false" outlineLevel="0" collapsed="false">
      <c r="A3540" s="5" t="n">
        <v>5</v>
      </c>
      <c r="B3540" s="5" t="n">
        <v>8</v>
      </c>
      <c r="C3540" s="5" t="s">
        <v>116</v>
      </c>
      <c r="D3540" s="5" t="s">
        <v>1669</v>
      </c>
      <c r="E3540" s="5" t="n">
        <v>1</v>
      </c>
      <c r="F3540" s="6" t="n">
        <f aca="false">IFERROR(MATCH(A3540&amp;"|"&amp;B3540&amp;"|"&amp;D3540,'All Song Rankings'!$T:$T,0),0)</f>
        <v>543</v>
      </c>
      <c r="G3540" s="6" t="str">
        <f aca="false">IF(F3540=0,"NOT FOUND",INDEX('All Song Rankings'!$A:$A,F3540))</f>
        <v>Love Story</v>
      </c>
      <c r="H3540" s="6" t="str">
        <f aca="false">IF(F3540=0,"NOT FOUND",INDEX('All Song Rankings'!$B:$B,F3540))</f>
        <v>Taylor Swift</v>
      </c>
      <c r="I3540" s="6" t="str">
        <f aca="false">IF(F3540=0,"NOT FOUND",INDEX('All Song Rankings'!$D:$D,F3540))</f>
        <v>Kelsey</v>
      </c>
      <c r="J3540" s="7" t="str">
        <f aca="false">IF(F3540=0,"NOT FOUND",IF(C3540=I3540,"SELF-VOTE",IF(COUNTIF($K:$K,K3540)&gt;1,"DUPLICATE","OK")))</f>
        <v>OK</v>
      </c>
      <c r="K3540" s="6" t="str">
        <f aca="false">A3540&amp;"|"&amp;B3540&amp;"|"&amp;C3540&amp;"|"&amp;D3540</f>
        <v>5|8|Matt|spotify:track:1vrd6UOGamcKNGnSHJQlSt</v>
      </c>
    </row>
    <row r="3541" customFormat="false" ht="15" hidden="false" customHeight="false" outlineLevel="0" collapsed="false">
      <c r="A3541" s="5" t="n">
        <v>5</v>
      </c>
      <c r="B3541" s="5" t="n">
        <v>8</v>
      </c>
      <c r="C3541" s="5" t="s">
        <v>116</v>
      </c>
      <c r="D3541" s="5" t="s">
        <v>1658</v>
      </c>
      <c r="E3541" s="5" t="n">
        <v>1</v>
      </c>
      <c r="F3541" s="6" t="n">
        <f aca="false">IFERROR(MATCH(A3541&amp;"|"&amp;B3541&amp;"|"&amp;D3541,'All Song Rankings'!$T:$T,0),0)</f>
        <v>538</v>
      </c>
      <c r="G3541" s="6" t="str">
        <f aca="false">IF(F3541=0,"NOT FOUND",INDEX('All Song Rankings'!$A:$A,F3541))</f>
        <v>Heartbreaker</v>
      </c>
      <c r="H3541" s="6" t="str">
        <f aca="false">IF(F3541=0,"NOT FOUND",INDEX('All Song Rankings'!$B:$B,F3541))</f>
        <v>Pat Benatar</v>
      </c>
      <c r="I3541" s="6" t="str">
        <f aca="false">IF(F3541=0,"NOT FOUND",INDEX('All Song Rankings'!$D:$D,F3541))</f>
        <v>Lisa</v>
      </c>
      <c r="J3541" s="7" t="str">
        <f aca="false">IF(F3541=0,"NOT FOUND",IF(C3541=I3541,"SELF-VOTE",IF(COUNTIF($K:$K,K3541)&gt;1,"DUPLICATE","OK")))</f>
        <v>OK</v>
      </c>
      <c r="K3541" s="6" t="str">
        <f aca="false">A3541&amp;"|"&amp;B3541&amp;"|"&amp;C3541&amp;"|"&amp;D3541</f>
        <v>5|8|Matt|spotify:track:22ML0MuFKfw16WejbxsLOy</v>
      </c>
    </row>
    <row r="3542" customFormat="false" ht="15" hidden="false" customHeight="false" outlineLevel="0" collapsed="false">
      <c r="A3542" s="5" t="n">
        <v>5</v>
      </c>
      <c r="B3542" s="5" t="n">
        <v>8</v>
      </c>
      <c r="C3542" s="5" t="s">
        <v>116</v>
      </c>
      <c r="D3542" s="5" t="s">
        <v>1632</v>
      </c>
      <c r="E3542" s="5" t="n">
        <v>2</v>
      </c>
      <c r="F3542" s="6" t="n">
        <f aca="false">IFERROR(MATCH(A3542&amp;"|"&amp;B3542&amp;"|"&amp;D3542,'All Song Rankings'!$T:$T,0),0)</f>
        <v>528</v>
      </c>
      <c r="G3542" s="6" t="str">
        <f aca="false">IF(F3542=0,"NOT FOUND",INDEX('All Song Rankings'!$A:$A,F3542))</f>
        <v>Kokomo</v>
      </c>
      <c r="H3542" s="6" t="str">
        <f aca="false">IF(F3542=0,"NOT FOUND",INDEX('All Song Rankings'!$B:$B,F3542))</f>
        <v>The Beach Boys</v>
      </c>
      <c r="I3542" s="6" t="str">
        <f aca="false">IF(F3542=0,"NOT FOUND",INDEX('All Song Rankings'!$D:$D,F3542))</f>
        <v>Leah</v>
      </c>
      <c r="J3542" s="7" t="str">
        <f aca="false">IF(F3542=0,"NOT FOUND",IF(C3542=I3542,"SELF-VOTE",IF(COUNTIF($K:$K,K3542)&gt;1,"DUPLICATE","OK")))</f>
        <v>OK</v>
      </c>
      <c r="K3542" s="6" t="str">
        <f aca="false">A3542&amp;"|"&amp;B3542&amp;"|"&amp;C3542&amp;"|"&amp;D3542</f>
        <v>5|8|Matt|spotify:track:2STQAr3BRiAeeveJ07gZh7</v>
      </c>
    </row>
    <row r="3543" customFormat="false" ht="15" hidden="false" customHeight="false" outlineLevel="0" collapsed="false">
      <c r="A3543" s="5" t="n">
        <v>5</v>
      </c>
      <c r="B3543" s="5" t="n">
        <v>8</v>
      </c>
      <c r="C3543" s="5" t="s">
        <v>116</v>
      </c>
      <c r="D3543" s="5" t="s">
        <v>1628</v>
      </c>
      <c r="E3543" s="5" t="n">
        <v>1</v>
      </c>
      <c r="F3543" s="6" t="n">
        <f aca="false">IFERROR(MATCH(A3543&amp;"|"&amp;B3543&amp;"|"&amp;D3543,'All Song Rankings'!$T:$T,0),0)</f>
        <v>526</v>
      </c>
      <c r="G3543" s="6" t="str">
        <f aca="false">IF(F3543=0,"NOT FOUND",INDEX('All Song Rankings'!$A:$A,F3543))</f>
        <v>Here Without You</v>
      </c>
      <c r="H3543" s="6" t="str">
        <f aca="false">IF(F3543=0,"NOT FOUND",INDEX('All Song Rankings'!$B:$B,F3543))</f>
        <v>3 Doors Down</v>
      </c>
      <c r="I3543" s="6" t="str">
        <f aca="false">IF(F3543=0,"NOT FOUND",INDEX('All Song Rankings'!$D:$D,F3543))</f>
        <v>Leah</v>
      </c>
      <c r="J3543" s="7" t="str">
        <f aca="false">IF(F3543=0,"NOT FOUND",IF(C3543=I3543,"SELF-VOTE",IF(COUNTIF($K:$K,K3543)&gt;1,"DUPLICATE","OK")))</f>
        <v>OK</v>
      </c>
      <c r="K3543" s="6" t="str">
        <f aca="false">A3543&amp;"|"&amp;B3543&amp;"|"&amp;C3543&amp;"|"&amp;D3543</f>
        <v>5|8|Matt|spotify:track:3NLrRZoMF0Lx6zTlYqeIo4</v>
      </c>
    </row>
    <row r="3544" customFormat="false" ht="15" hidden="false" customHeight="false" outlineLevel="0" collapsed="false">
      <c r="A3544" s="5" t="n">
        <v>5</v>
      </c>
      <c r="B3544" s="5" t="n">
        <v>8</v>
      </c>
      <c r="C3544" s="5" t="s">
        <v>116</v>
      </c>
      <c r="D3544" s="5" t="s">
        <v>1625</v>
      </c>
      <c r="E3544" s="5" t="n">
        <v>1</v>
      </c>
      <c r="F3544" s="6" t="n">
        <f aca="false">IFERROR(MATCH(A3544&amp;"|"&amp;B3544&amp;"|"&amp;D3544,'All Song Rankings'!$T:$T,0),0)</f>
        <v>525</v>
      </c>
      <c r="G3544" s="6" t="str">
        <f aca="false">IF(F3544=0,"NOT FOUND",INDEX('All Song Rankings'!$A:$A,F3544))</f>
        <v>Ghost</v>
      </c>
      <c r="H3544" s="6" t="str">
        <f aca="false">IF(F3544=0,"NOT FOUND",INDEX('All Song Rankings'!$B:$B,F3544))</f>
        <v>Demi Lovato</v>
      </c>
      <c r="I3544" s="6" t="str">
        <f aca="false">IF(F3544=0,"NOT FOUND",INDEX('All Song Rankings'!$D:$D,F3544))</f>
        <v>Logan</v>
      </c>
      <c r="J3544" s="7" t="str">
        <f aca="false">IF(F3544=0,"NOT FOUND",IF(C3544=I3544,"SELF-VOTE",IF(COUNTIF($K:$K,K3544)&gt;1,"DUPLICATE","OK")))</f>
        <v>OK</v>
      </c>
      <c r="K3544" s="6" t="str">
        <f aca="false">A3544&amp;"|"&amp;B3544&amp;"|"&amp;C3544&amp;"|"&amp;D3544</f>
        <v>5|8|Matt|spotify:track:3XeyI07raWwr8wbnaJeaVl</v>
      </c>
    </row>
    <row r="3545" customFormat="false" ht="15" hidden="false" customHeight="false" outlineLevel="0" collapsed="false">
      <c r="A3545" s="5" t="n">
        <v>5</v>
      </c>
      <c r="B3545" s="5" t="n">
        <v>8</v>
      </c>
      <c r="C3545" s="5" t="s">
        <v>116</v>
      </c>
      <c r="D3545" s="5" t="s">
        <v>1660</v>
      </c>
      <c r="E3545" s="5" t="n">
        <v>1</v>
      </c>
      <c r="F3545" s="6" t="n">
        <f aca="false">IFERROR(MATCH(A3545&amp;"|"&amp;B3545&amp;"|"&amp;D3545,'All Song Rankings'!$T:$T,0),0)</f>
        <v>539</v>
      </c>
      <c r="G3545" s="6" t="str">
        <f aca="false">IF(F3545=0,"NOT FOUND",INDEX('All Song Rankings'!$A:$A,F3545))</f>
        <v>If It Means A Lot To You</v>
      </c>
      <c r="H3545" s="6" t="str">
        <f aca="false">IF(F3545=0,"NOT FOUND",INDEX('All Song Rankings'!$B:$B,F3545))</f>
        <v>A Day to Remember</v>
      </c>
      <c r="I3545" s="6" t="str">
        <f aca="false">IF(F3545=0,"NOT FOUND",INDEX('All Song Rankings'!$D:$D,F3545))</f>
        <v>Colleen</v>
      </c>
      <c r="J3545" s="7" t="str">
        <f aca="false">IF(F3545=0,"NOT FOUND",IF(C3545=I3545,"SELF-VOTE",IF(COUNTIF($K:$K,K3545)&gt;1,"DUPLICATE","OK")))</f>
        <v>OK</v>
      </c>
      <c r="K3545" s="6" t="str">
        <f aca="false">A3545&amp;"|"&amp;B3545&amp;"|"&amp;C3545&amp;"|"&amp;D3545</f>
        <v>5|8|Matt|spotify:track:3rEwGRmPVVudVjqdgv0tRR</v>
      </c>
    </row>
    <row r="3546" customFormat="false" ht="15" hidden="false" customHeight="false" outlineLevel="0" collapsed="false">
      <c r="A3546" s="5" t="n">
        <v>5</v>
      </c>
      <c r="B3546" s="5" t="n">
        <v>8</v>
      </c>
      <c r="C3546" s="5" t="s">
        <v>116</v>
      </c>
      <c r="D3546" s="5" t="s">
        <v>1671</v>
      </c>
      <c r="E3546" s="5" t="n">
        <v>1</v>
      </c>
      <c r="F3546" s="6" t="n">
        <f aca="false">IFERROR(MATCH(A3546&amp;"|"&amp;B3546&amp;"|"&amp;D3546,'All Song Rankings'!$T:$T,0),0)</f>
        <v>544</v>
      </c>
      <c r="G3546" s="6" t="str">
        <f aca="false">IF(F3546=0,"NOT FOUND",INDEX('All Song Rankings'!$A:$A,F3546))</f>
        <v>Walk This Way</v>
      </c>
      <c r="H3546" s="6" t="str">
        <f aca="false">IF(F3546=0,"NOT FOUND",INDEX('All Song Rankings'!$B:$B,F3546))</f>
        <v>Aerosmith</v>
      </c>
      <c r="I3546" s="6" t="str">
        <f aca="false">IF(F3546=0,"NOT FOUND",INDEX('All Song Rankings'!$D:$D,F3546))</f>
        <v>Kristen</v>
      </c>
      <c r="J3546" s="7" t="str">
        <f aca="false">IF(F3546=0,"NOT FOUND",IF(C3546=I3546,"SELF-VOTE",IF(COUNTIF($K:$K,K3546)&gt;1,"DUPLICATE","OK")))</f>
        <v>OK</v>
      </c>
      <c r="K3546" s="6" t="str">
        <f aca="false">A3546&amp;"|"&amp;B3546&amp;"|"&amp;C3546&amp;"|"&amp;D3546</f>
        <v>5|8|Matt|spotify:track:4JfuiOWlWCkjP6OKurHjSn</v>
      </c>
    </row>
    <row r="3547" customFormat="false" ht="15" hidden="false" customHeight="false" outlineLevel="0" collapsed="false">
      <c r="A3547" s="5" t="n">
        <v>5</v>
      </c>
      <c r="B3547" s="5" t="n">
        <v>8</v>
      </c>
      <c r="C3547" s="5" t="s">
        <v>116</v>
      </c>
      <c r="D3547" s="5" t="s">
        <v>1665</v>
      </c>
      <c r="E3547" s="5" t="n">
        <v>2</v>
      </c>
      <c r="F3547" s="6" t="n">
        <f aca="false">IFERROR(MATCH(A3547&amp;"|"&amp;B3547&amp;"|"&amp;D3547,'All Song Rankings'!$T:$T,0),0)</f>
        <v>541</v>
      </c>
      <c r="G3547" s="6" t="str">
        <f aca="false">IF(F3547=0,"NOT FOUND",INDEX('All Song Rankings'!$A:$A,F3547))</f>
        <v>Shake It Up</v>
      </c>
      <c r="H3547" s="6" t="str">
        <f aca="false">IF(F3547=0,"NOT FOUND",INDEX('All Song Rankings'!$B:$B,F3547))</f>
        <v>The Cars</v>
      </c>
      <c r="I3547" s="6" t="str">
        <f aca="false">IF(F3547=0,"NOT FOUND",INDEX('All Song Rankings'!$D:$D,F3547))</f>
        <v>Christine</v>
      </c>
      <c r="J3547" s="7" t="str">
        <f aca="false">IF(F3547=0,"NOT FOUND",IF(C3547=I3547,"SELF-VOTE",IF(COUNTIF($K:$K,K3547)&gt;1,"DUPLICATE","OK")))</f>
        <v>OK</v>
      </c>
      <c r="K3547" s="6" t="str">
        <f aca="false">A3547&amp;"|"&amp;B3547&amp;"|"&amp;C3547&amp;"|"&amp;D3547</f>
        <v>5|8|Matt|spotify:track:5OWokvF4QOqMDQ8ByQsm6V</v>
      </c>
    </row>
    <row r="3548" customFormat="false" ht="15" hidden="false" customHeight="false" outlineLevel="0" collapsed="false">
      <c r="A3548" s="5" t="n">
        <v>5</v>
      </c>
      <c r="B3548" s="5" t="n">
        <v>8</v>
      </c>
      <c r="C3548" s="5" t="s">
        <v>116</v>
      </c>
      <c r="D3548" s="5" t="s">
        <v>1681</v>
      </c>
      <c r="E3548" s="5" t="n">
        <v>1</v>
      </c>
      <c r="F3548" s="6" t="n">
        <f aca="false">IFERROR(MATCH(A3548&amp;"|"&amp;B3548&amp;"|"&amp;D3548,'All Song Rankings'!$T:$T,0),0)</f>
        <v>548</v>
      </c>
      <c r="G3548" s="6" t="str">
        <f aca="false">IF(F3548=0,"NOT FOUND",INDEX('All Song Rankings'!$A:$A,F3548))</f>
        <v>Teenage Dream</v>
      </c>
      <c r="H3548" s="6" t="str">
        <f aca="false">IF(F3548=0,"NOT FOUND",INDEX('All Song Rankings'!$B:$B,F3548))</f>
        <v>Katy Perry</v>
      </c>
      <c r="I3548" s="6" t="str">
        <f aca="false">IF(F3548=0,"NOT FOUND",INDEX('All Song Rankings'!$D:$D,F3548))</f>
        <v>Aubrey</v>
      </c>
      <c r="J3548" s="7" t="str">
        <f aca="false">IF(F3548=0,"NOT FOUND",IF(C3548=I3548,"SELF-VOTE",IF(COUNTIF($K:$K,K3548)&gt;1,"DUPLICATE","OK")))</f>
        <v>OK</v>
      </c>
      <c r="K3548" s="6" t="str">
        <f aca="false">A3548&amp;"|"&amp;B3548&amp;"|"&amp;C3548&amp;"|"&amp;D3548</f>
        <v>5|8|Matt|spotify:track:5jzKL4BDMClWqRguW5qZvh</v>
      </c>
    </row>
    <row r="3549" customFormat="false" ht="15" hidden="false" customHeight="false" outlineLevel="0" collapsed="false">
      <c r="A3549" s="5" t="n">
        <v>5</v>
      </c>
      <c r="B3549" s="5" t="n">
        <v>8</v>
      </c>
      <c r="C3549" s="5" t="s">
        <v>116</v>
      </c>
      <c r="D3549" s="5" t="s">
        <v>1620</v>
      </c>
      <c r="E3549" s="5" t="n">
        <v>1</v>
      </c>
      <c r="F3549" s="6" t="n">
        <f aca="false">IFERROR(MATCH(A3549&amp;"|"&amp;B3549&amp;"|"&amp;D3549,'All Song Rankings'!$T:$T,0),0)</f>
        <v>523</v>
      </c>
      <c r="G3549" s="6" t="str">
        <f aca="false">IF(F3549=0,"NOT FOUND",INDEX('All Song Rankings'!$A:$A,F3549))</f>
        <v>My Heart Will Go On</v>
      </c>
      <c r="H3549" s="6" t="str">
        <f aca="false">IF(F3549=0,"NOT FOUND",INDEX('All Song Rankings'!$B:$B,F3549))</f>
        <v>Céline Dion</v>
      </c>
      <c r="I3549" s="6" t="str">
        <f aca="false">IF(F3549=0,"NOT FOUND",INDEX('All Song Rankings'!$D:$D,F3549))</f>
        <v>Aubrey</v>
      </c>
      <c r="J3549" s="7" t="str">
        <f aca="false">IF(F3549=0,"NOT FOUND",IF(C3549=I3549,"SELF-VOTE",IF(COUNTIF($K:$K,K3549)&gt;1,"DUPLICATE","OK")))</f>
        <v>OK</v>
      </c>
      <c r="K3549" s="6" t="str">
        <f aca="false">A3549&amp;"|"&amp;B3549&amp;"|"&amp;C3549&amp;"|"&amp;D3549</f>
        <v>5|8|Matt|spotify:track:6e7N7cQ8MuPtu3FweRQYJz</v>
      </c>
    </row>
    <row r="3550" customFormat="false" ht="15" hidden="false" customHeight="false" outlineLevel="0" collapsed="false">
      <c r="A3550" s="5" t="n">
        <v>5</v>
      </c>
      <c r="B3550" s="5" t="n">
        <v>8</v>
      </c>
      <c r="C3550" s="5" t="s">
        <v>116</v>
      </c>
      <c r="D3550" s="5" t="s">
        <v>1652</v>
      </c>
      <c r="E3550" s="5" t="n">
        <v>1</v>
      </c>
      <c r="F3550" s="6" t="n">
        <f aca="false">IFERROR(MATCH(A3550&amp;"|"&amp;B3550&amp;"|"&amp;D3550,'All Song Rankings'!$T:$T,0),0)</f>
        <v>536</v>
      </c>
      <c r="G3550" s="6" t="str">
        <f aca="false">IF(F3550=0,"NOT FOUND",INDEX('All Song Rankings'!$A:$A,F3550))</f>
        <v>Born to Run</v>
      </c>
      <c r="H3550" s="6" t="str">
        <f aca="false">IF(F3550=0,"NOT FOUND",INDEX('All Song Rankings'!$B:$B,F3550))</f>
        <v>Bruce Springsteen</v>
      </c>
      <c r="I3550" s="6" t="str">
        <f aca="false">IF(F3550=0,"NOT FOUND",INDEX('All Song Rankings'!$D:$D,F3550))</f>
        <v>Lisa</v>
      </c>
      <c r="J3550" s="7" t="str">
        <f aca="false">IF(F3550=0,"NOT FOUND",IF(C3550=I3550,"SELF-VOTE",IF(COUNTIF($K:$K,K3550)&gt;1,"DUPLICATE","OK")))</f>
        <v>OK</v>
      </c>
      <c r="K3550" s="6" t="str">
        <f aca="false">A3550&amp;"|"&amp;B3550&amp;"|"&amp;C3550&amp;"|"&amp;D3550</f>
        <v>5|8|Matt|spotify:track:6hTcuIQa0sxrrByu9wTD7s</v>
      </c>
    </row>
    <row r="3551" customFormat="false" ht="15" hidden="false" customHeight="false" outlineLevel="0" collapsed="false">
      <c r="A3551" s="5" t="n">
        <v>5</v>
      </c>
      <c r="B3551" s="5" t="n">
        <v>8</v>
      </c>
      <c r="C3551" s="5" t="s">
        <v>116</v>
      </c>
      <c r="D3551" s="5" t="s">
        <v>1649</v>
      </c>
      <c r="E3551" s="5" t="n">
        <v>1</v>
      </c>
      <c r="F3551" s="6" t="n">
        <f aca="false">IFERROR(MATCH(A3551&amp;"|"&amp;B3551&amp;"|"&amp;D3551,'All Song Rankings'!$T:$T,0),0)</f>
        <v>535</v>
      </c>
      <c r="G3551" s="6" t="str">
        <f aca="false">IF(F3551=0,"NOT FOUND",INDEX('All Song Rankings'!$A:$A,F3551))</f>
        <v>Born to Love You</v>
      </c>
      <c r="H3551" s="6" t="str">
        <f aca="false">IF(F3551=0,"NOT FOUND",INDEX('All Song Rankings'!$B:$B,F3551))</f>
        <v>LANCO</v>
      </c>
      <c r="I3551" s="6" t="str">
        <f aca="false">IF(F3551=0,"NOT FOUND",INDEX('All Song Rankings'!$D:$D,F3551))</f>
        <v>Nicole</v>
      </c>
      <c r="J3551" s="7" t="str">
        <f aca="false">IF(F3551=0,"NOT FOUND",IF(C3551=I3551,"SELF-VOTE",IF(COUNTIF($K:$K,K3551)&gt;1,"DUPLICATE","OK")))</f>
        <v>OK</v>
      </c>
      <c r="K3551" s="6" t="str">
        <f aca="false">A3551&amp;"|"&amp;B3551&amp;"|"&amp;C3551&amp;"|"&amp;D3551</f>
        <v>5|8|Matt|spotify:track:77a5Eu7lC3tG0Sukt2O91U</v>
      </c>
    </row>
    <row r="3552" customFormat="false" ht="15" hidden="false" customHeight="false" outlineLevel="0" collapsed="false">
      <c r="A3552" s="5" t="n">
        <v>5</v>
      </c>
      <c r="B3552" s="5" t="n">
        <v>8</v>
      </c>
      <c r="C3552" s="5" t="s">
        <v>101</v>
      </c>
      <c r="D3552" s="5" t="s">
        <v>1639</v>
      </c>
      <c r="E3552" s="5" t="n">
        <v>2</v>
      </c>
      <c r="F3552" s="6" t="n">
        <f aca="false">IFERROR(MATCH(A3552&amp;"|"&amp;B3552&amp;"|"&amp;D3552,'All Song Rankings'!$T:$T,0),0)</f>
        <v>531</v>
      </c>
      <c r="G3552" s="6" t="str">
        <f aca="false">IF(F3552=0,"NOT FOUND",INDEX('All Song Rankings'!$A:$A,F3552))</f>
        <v>Livin' la Vida Loca</v>
      </c>
      <c r="H3552" s="6" t="str">
        <f aca="false">IF(F3552=0,"NOT FOUND",INDEX('All Song Rankings'!$B:$B,F3552))</f>
        <v>Ricky Martin</v>
      </c>
      <c r="I3552" s="6" t="str">
        <f aca="false">IF(F3552=0,"NOT FOUND",INDEX('All Song Rankings'!$D:$D,F3552))</f>
        <v>Makenzie</v>
      </c>
      <c r="J3552" s="7" t="str">
        <f aca="false">IF(F3552=0,"NOT FOUND",IF(C3552=I3552,"SELF-VOTE",IF(COUNTIF($K:$K,K3552)&gt;1,"DUPLICATE","OK")))</f>
        <v>OK</v>
      </c>
      <c r="K3552" s="6" t="str">
        <f aca="false">A3552&amp;"|"&amp;B3552&amp;"|"&amp;C3552&amp;"|"&amp;D3552</f>
        <v>5|8|Merita|spotify:track:0Ph6L4l8dYUuXFmb71Ajnd</v>
      </c>
    </row>
    <row r="3553" customFormat="false" ht="15" hidden="false" customHeight="false" outlineLevel="0" collapsed="false">
      <c r="A3553" s="5" t="n">
        <v>5</v>
      </c>
      <c r="B3553" s="5" t="n">
        <v>8</v>
      </c>
      <c r="C3553" s="5" t="s">
        <v>101</v>
      </c>
      <c r="D3553" s="5" t="s">
        <v>1622</v>
      </c>
      <c r="E3553" s="5" t="n">
        <v>2</v>
      </c>
      <c r="F3553" s="6" t="n">
        <f aca="false">IFERROR(MATCH(A3553&amp;"|"&amp;B3553&amp;"|"&amp;D3553,'All Song Rankings'!$T:$T,0),0)</f>
        <v>524</v>
      </c>
      <c r="G3553" s="6" t="str">
        <f aca="false">IF(F3553=0,"NOT FOUND",INDEX('All Song Rankings'!$A:$A,F3553))</f>
        <v>(You Drive Me) Crazy</v>
      </c>
      <c r="H3553" s="6" t="str">
        <f aca="false">IF(F3553=0,"NOT FOUND",INDEX('All Song Rankings'!$B:$B,F3553))</f>
        <v>Britney Spears</v>
      </c>
      <c r="I3553" s="6" t="str">
        <f aca="false">IF(F3553=0,"NOT FOUND",INDEX('All Song Rankings'!$D:$D,F3553))</f>
        <v>Nicole</v>
      </c>
      <c r="J3553" s="7" t="str">
        <f aca="false">IF(F3553=0,"NOT FOUND",IF(C3553=I3553,"SELF-VOTE",IF(COUNTIF($K:$K,K3553)&gt;1,"DUPLICATE","OK")))</f>
        <v>OK</v>
      </c>
      <c r="K3553" s="6" t="str">
        <f aca="false">A3553&amp;"|"&amp;B3553&amp;"|"&amp;C3553&amp;"|"&amp;D3553</f>
        <v>5|8|Merita|spotify:track:1DSJNBNhGZCigg9ll5VeZv</v>
      </c>
    </row>
    <row r="3554" customFormat="false" ht="15" hidden="false" customHeight="false" outlineLevel="0" collapsed="false">
      <c r="A3554" s="5" t="n">
        <v>5</v>
      </c>
      <c r="B3554" s="5" t="n">
        <v>8</v>
      </c>
      <c r="C3554" s="5" t="s">
        <v>101</v>
      </c>
      <c r="D3554" s="5" t="s">
        <v>1673</v>
      </c>
      <c r="E3554" s="5" t="n">
        <v>1</v>
      </c>
      <c r="F3554" s="6" t="n">
        <f aca="false">IFERROR(MATCH(A3554&amp;"|"&amp;B3554&amp;"|"&amp;D3554,'All Song Rankings'!$T:$T,0),0)</f>
        <v>545</v>
      </c>
      <c r="G3554" s="6" t="str">
        <f aca="false">IF(F3554=0,"NOT FOUND",INDEX('All Song Rankings'!$A:$A,F3554))</f>
        <v>Beautiful Day</v>
      </c>
      <c r="H3554" s="6" t="str">
        <f aca="false">IF(F3554=0,"NOT FOUND",INDEX('All Song Rankings'!$B:$B,F3554))</f>
        <v>U2</v>
      </c>
      <c r="I3554" s="6" t="str">
        <f aca="false">IF(F3554=0,"NOT FOUND",INDEX('All Song Rankings'!$D:$D,F3554))</f>
        <v>Christine</v>
      </c>
      <c r="J3554" s="7" t="str">
        <f aca="false">IF(F3554=0,"NOT FOUND",IF(C3554=I3554,"SELF-VOTE",IF(COUNTIF($K:$K,K3554)&gt;1,"DUPLICATE","OK")))</f>
        <v>OK</v>
      </c>
      <c r="K3554" s="6" t="str">
        <f aca="false">A3554&amp;"|"&amp;B3554&amp;"|"&amp;C3554&amp;"|"&amp;D3554</f>
        <v>5|8|Merita|spotify:track:1VuBmEauSZywQVtqbxNqka</v>
      </c>
    </row>
    <row r="3555" customFormat="false" ht="15" hidden="false" customHeight="false" outlineLevel="0" collapsed="false">
      <c r="A3555" s="5" t="n">
        <v>5</v>
      </c>
      <c r="B3555" s="5" t="n">
        <v>8</v>
      </c>
      <c r="C3555" s="5" t="s">
        <v>101</v>
      </c>
      <c r="D3555" s="5" t="s">
        <v>1684</v>
      </c>
      <c r="E3555" s="5" t="n">
        <v>1</v>
      </c>
      <c r="F3555" s="6" t="n">
        <f aca="false">IFERROR(MATCH(A3555&amp;"|"&amp;B3555&amp;"|"&amp;D3555,'All Song Rankings'!$T:$T,0),0)</f>
        <v>549</v>
      </c>
      <c r="G3555" s="6" t="str">
        <f aca="false">IF(F3555=0,"NOT FOUND",INDEX('All Song Rankings'!$A:$A,F3555))</f>
        <v>CAN'T STOP THE FEELING! (from DreamWorks Animation's "TROLLS")</v>
      </c>
      <c r="H3555" s="6" t="str">
        <f aca="false">IF(F3555=0,"NOT FOUND",INDEX('All Song Rankings'!$B:$B,F3555))</f>
        <v>Justin Timberlake</v>
      </c>
      <c r="I3555" s="6" t="str">
        <f aca="false">IF(F3555=0,"NOT FOUND",INDEX('All Song Rankings'!$D:$D,F3555))</f>
        <v>Kristen</v>
      </c>
      <c r="J3555" s="7" t="str">
        <f aca="false">IF(F3555=0,"NOT FOUND",IF(C3555=I3555,"SELF-VOTE",IF(COUNTIF($K:$K,K3555)&gt;1,"DUPLICATE","OK")))</f>
        <v>OK</v>
      </c>
      <c r="K3555" s="6" t="str">
        <f aca="false">A3555&amp;"|"&amp;B3555&amp;"|"&amp;C3555&amp;"|"&amp;D3555</f>
        <v>5|8|Merita|spotify:track:1WkMMavIMc4JZ8cfMmxHkI</v>
      </c>
    </row>
    <row r="3556" customFormat="false" ht="15" hidden="false" customHeight="false" outlineLevel="0" collapsed="false">
      <c r="A3556" s="5" t="n">
        <v>5</v>
      </c>
      <c r="B3556" s="5" t="n">
        <v>8</v>
      </c>
      <c r="C3556" s="5" t="s">
        <v>101</v>
      </c>
      <c r="D3556" s="5" t="s">
        <v>1669</v>
      </c>
      <c r="E3556" s="5" t="n">
        <v>1</v>
      </c>
      <c r="F3556" s="6" t="n">
        <f aca="false">IFERROR(MATCH(A3556&amp;"|"&amp;B3556&amp;"|"&amp;D3556,'All Song Rankings'!$T:$T,0),0)</f>
        <v>543</v>
      </c>
      <c r="G3556" s="6" t="str">
        <f aca="false">IF(F3556=0,"NOT FOUND",INDEX('All Song Rankings'!$A:$A,F3556))</f>
        <v>Love Story</v>
      </c>
      <c r="H3556" s="6" t="str">
        <f aca="false">IF(F3556=0,"NOT FOUND",INDEX('All Song Rankings'!$B:$B,F3556))</f>
        <v>Taylor Swift</v>
      </c>
      <c r="I3556" s="6" t="str">
        <f aca="false">IF(F3556=0,"NOT FOUND",INDEX('All Song Rankings'!$D:$D,F3556))</f>
        <v>Kelsey</v>
      </c>
      <c r="J3556" s="7" t="str">
        <f aca="false">IF(F3556=0,"NOT FOUND",IF(C3556=I3556,"SELF-VOTE",IF(COUNTIF($K:$K,K3556)&gt;1,"DUPLICATE","OK")))</f>
        <v>OK</v>
      </c>
      <c r="K3556" s="6" t="str">
        <f aca="false">A3556&amp;"|"&amp;B3556&amp;"|"&amp;C3556&amp;"|"&amp;D3556</f>
        <v>5|8|Merita|spotify:track:1vrd6UOGamcKNGnSHJQlSt</v>
      </c>
    </row>
    <row r="3557" customFormat="false" ht="15" hidden="false" customHeight="false" outlineLevel="0" collapsed="false">
      <c r="A3557" s="5" t="n">
        <v>5</v>
      </c>
      <c r="B3557" s="5" t="n">
        <v>8</v>
      </c>
      <c r="C3557" s="5" t="s">
        <v>101</v>
      </c>
      <c r="D3557" s="5" t="s">
        <v>1641</v>
      </c>
      <c r="E3557" s="5" t="n">
        <v>1</v>
      </c>
      <c r="F3557" s="6" t="n">
        <f aca="false">IFERROR(MATCH(A3557&amp;"|"&amp;B3557&amp;"|"&amp;D3557,'All Song Rankings'!$T:$T,0),0)</f>
        <v>532</v>
      </c>
      <c r="G3557" s="6" t="str">
        <f aca="false">IF(F3557=0,"NOT FOUND",INDEX('All Song Rankings'!$A:$A,F3557))</f>
        <v>Sucker</v>
      </c>
      <c r="H3557" s="6" t="str">
        <f aca="false">IF(F3557=0,"NOT FOUND",INDEX('All Song Rankings'!$B:$B,F3557))</f>
        <v>Jonas Brothers</v>
      </c>
      <c r="I3557" s="6" t="str">
        <f aca="false">IF(F3557=0,"NOT FOUND",INDEX('All Song Rankings'!$D:$D,F3557))</f>
        <v>Makenzie</v>
      </c>
      <c r="J3557" s="7" t="str">
        <f aca="false">IF(F3557=0,"NOT FOUND",IF(C3557=I3557,"SELF-VOTE",IF(COUNTIF($K:$K,K3557)&gt;1,"DUPLICATE","OK")))</f>
        <v>OK</v>
      </c>
      <c r="K3557" s="6" t="str">
        <f aca="false">A3557&amp;"|"&amp;B3557&amp;"|"&amp;C3557&amp;"|"&amp;D3557</f>
        <v>5|8|Merita|spotify:track:22vgEDb5hykfaTwLuskFGD</v>
      </c>
    </row>
    <row r="3558" customFormat="false" ht="15" hidden="false" customHeight="false" outlineLevel="0" collapsed="false">
      <c r="A3558" s="5" t="n">
        <v>5</v>
      </c>
      <c r="B3558" s="5" t="n">
        <v>8</v>
      </c>
      <c r="C3558" s="5" t="s">
        <v>101</v>
      </c>
      <c r="D3558" s="5" t="s">
        <v>1628</v>
      </c>
      <c r="E3558" s="5" t="n">
        <v>1</v>
      </c>
      <c r="F3558" s="6" t="n">
        <f aca="false">IFERROR(MATCH(A3558&amp;"|"&amp;B3558&amp;"|"&amp;D3558,'All Song Rankings'!$T:$T,0),0)</f>
        <v>526</v>
      </c>
      <c r="G3558" s="6" t="str">
        <f aca="false">IF(F3558=0,"NOT FOUND",INDEX('All Song Rankings'!$A:$A,F3558))</f>
        <v>Here Without You</v>
      </c>
      <c r="H3558" s="6" t="str">
        <f aca="false">IF(F3558=0,"NOT FOUND",INDEX('All Song Rankings'!$B:$B,F3558))</f>
        <v>3 Doors Down</v>
      </c>
      <c r="I3558" s="6" t="str">
        <f aca="false">IF(F3558=0,"NOT FOUND",INDEX('All Song Rankings'!$D:$D,F3558))</f>
        <v>Leah</v>
      </c>
      <c r="J3558" s="7" t="str">
        <f aca="false">IF(F3558=0,"NOT FOUND",IF(C3558=I3558,"SELF-VOTE",IF(COUNTIF($K:$K,K3558)&gt;1,"DUPLICATE","OK")))</f>
        <v>OK</v>
      </c>
      <c r="K3558" s="6" t="str">
        <f aca="false">A3558&amp;"|"&amp;B3558&amp;"|"&amp;C3558&amp;"|"&amp;D3558</f>
        <v>5|8|Merita|spotify:track:3NLrRZoMF0Lx6zTlYqeIo4</v>
      </c>
    </row>
    <row r="3559" customFormat="false" ht="15" hidden="false" customHeight="false" outlineLevel="0" collapsed="false">
      <c r="A3559" s="5" t="n">
        <v>5</v>
      </c>
      <c r="B3559" s="5" t="n">
        <v>8</v>
      </c>
      <c r="C3559" s="5" t="s">
        <v>101</v>
      </c>
      <c r="D3559" s="5" t="s">
        <v>1625</v>
      </c>
      <c r="E3559" s="5" t="n">
        <v>1</v>
      </c>
      <c r="F3559" s="6" t="n">
        <f aca="false">IFERROR(MATCH(A3559&amp;"|"&amp;B3559&amp;"|"&amp;D3559,'All Song Rankings'!$T:$T,0),0)</f>
        <v>525</v>
      </c>
      <c r="G3559" s="6" t="str">
        <f aca="false">IF(F3559=0,"NOT FOUND",INDEX('All Song Rankings'!$A:$A,F3559))</f>
        <v>Ghost</v>
      </c>
      <c r="H3559" s="6" t="str">
        <f aca="false">IF(F3559=0,"NOT FOUND",INDEX('All Song Rankings'!$B:$B,F3559))</f>
        <v>Demi Lovato</v>
      </c>
      <c r="I3559" s="6" t="str">
        <f aca="false">IF(F3559=0,"NOT FOUND",INDEX('All Song Rankings'!$D:$D,F3559))</f>
        <v>Logan</v>
      </c>
      <c r="J3559" s="7" t="str">
        <f aca="false">IF(F3559=0,"NOT FOUND",IF(C3559=I3559,"SELF-VOTE",IF(COUNTIF($K:$K,K3559)&gt;1,"DUPLICATE","OK")))</f>
        <v>OK</v>
      </c>
      <c r="K3559" s="6" t="str">
        <f aca="false">A3559&amp;"|"&amp;B3559&amp;"|"&amp;C3559&amp;"|"&amp;D3559</f>
        <v>5|8|Merita|spotify:track:3XeyI07raWwr8wbnaJeaVl</v>
      </c>
    </row>
    <row r="3560" customFormat="false" ht="15" hidden="false" customHeight="false" outlineLevel="0" collapsed="false">
      <c r="A3560" s="5" t="n">
        <v>5</v>
      </c>
      <c r="B3560" s="5" t="n">
        <v>8</v>
      </c>
      <c r="C3560" s="5" t="s">
        <v>101</v>
      </c>
      <c r="D3560" s="5" t="s">
        <v>1635</v>
      </c>
      <c r="E3560" s="5" t="n">
        <v>1</v>
      </c>
      <c r="F3560" s="6" t="n">
        <f aca="false">IFERROR(MATCH(A3560&amp;"|"&amp;B3560&amp;"|"&amp;D3560,'All Song Rankings'!$T:$T,0),0)</f>
        <v>529</v>
      </c>
      <c r="G3560" s="6" t="str">
        <f aca="false">IF(F3560=0,"NOT FOUND",INDEX('All Song Rankings'!$A:$A,F3560))</f>
        <v>Tearin' up My Heart - Radio Edit</v>
      </c>
      <c r="H3560" s="6" t="str">
        <f aca="false">IF(F3560=0,"NOT FOUND",INDEX('All Song Rankings'!$B:$B,F3560))</f>
        <v>*NSYNC</v>
      </c>
      <c r="I3560" s="6" t="str">
        <f aca="false">IF(F3560=0,"NOT FOUND",INDEX('All Song Rankings'!$D:$D,F3560))</f>
        <v>Grace</v>
      </c>
      <c r="J3560" s="7" t="str">
        <f aca="false">IF(F3560=0,"NOT FOUND",IF(C3560=I3560,"SELF-VOTE",IF(COUNTIF($K:$K,K3560)&gt;1,"DUPLICATE","OK")))</f>
        <v>OK</v>
      </c>
      <c r="K3560" s="6" t="str">
        <f aca="false">A3560&amp;"|"&amp;B3560&amp;"|"&amp;C3560&amp;"|"&amp;D3560</f>
        <v>5|8|Merita|spotify:track:594M0rqYMOo8BhMGEdoi5C</v>
      </c>
    </row>
    <row r="3561" customFormat="false" ht="15" hidden="false" customHeight="false" outlineLevel="0" collapsed="false">
      <c r="A3561" s="5" t="n">
        <v>5</v>
      </c>
      <c r="B3561" s="5" t="n">
        <v>8</v>
      </c>
      <c r="C3561" s="5" t="s">
        <v>101</v>
      </c>
      <c r="D3561" s="5" t="s">
        <v>1637</v>
      </c>
      <c r="E3561" s="5" t="n">
        <v>1</v>
      </c>
      <c r="F3561" s="6" t="n">
        <f aca="false">IFERROR(MATCH(A3561&amp;"|"&amp;B3561&amp;"|"&amp;D3561,'All Song Rankings'!$T:$T,0),0)</f>
        <v>530</v>
      </c>
      <c r="G3561" s="6" t="str">
        <f aca="false">IF(F3561=0,"NOT FOUND",INDEX('All Song Rankings'!$A:$A,F3561))</f>
        <v>I Want You Back - Radio Edit</v>
      </c>
      <c r="H3561" s="6" t="str">
        <f aca="false">IF(F3561=0,"NOT FOUND",INDEX('All Song Rankings'!$B:$B,F3561))</f>
        <v>*NSYNC</v>
      </c>
      <c r="I3561" s="6" t="str">
        <f aca="false">IF(F3561=0,"NOT FOUND",INDEX('All Song Rankings'!$D:$D,F3561))</f>
        <v>Stephanie</v>
      </c>
      <c r="J3561" s="7" t="str">
        <f aca="false">IF(F3561=0,"NOT FOUND",IF(C3561=I3561,"SELF-VOTE",IF(COUNTIF($K:$K,K3561)&gt;1,"DUPLICATE","OK")))</f>
        <v>OK</v>
      </c>
      <c r="K3561" s="6" t="str">
        <f aca="false">A3561&amp;"|"&amp;B3561&amp;"|"&amp;C3561&amp;"|"&amp;D3561</f>
        <v>5|8|Merita|spotify:track:5YTMRAT4yKgFrepF8Hi3mY</v>
      </c>
    </row>
    <row r="3562" customFormat="false" ht="15" hidden="false" customHeight="false" outlineLevel="0" collapsed="false">
      <c r="A3562" s="5" t="n">
        <v>5</v>
      </c>
      <c r="B3562" s="5" t="n">
        <v>8</v>
      </c>
      <c r="C3562" s="5" t="s">
        <v>101</v>
      </c>
      <c r="D3562" s="5" t="s">
        <v>1646</v>
      </c>
      <c r="E3562" s="5" t="n">
        <v>1</v>
      </c>
      <c r="F3562" s="6" t="n">
        <f aca="false">IFERROR(MATCH(A3562&amp;"|"&amp;B3562&amp;"|"&amp;D3562,'All Song Rankings'!$T:$T,0),0)</f>
        <v>534</v>
      </c>
      <c r="G3562" s="6" t="str">
        <f aca="false">IF(F3562=0,"NOT FOUND",INDEX('All Song Rankings'!$A:$A,F3562))</f>
        <v>All Too Well (10 Minute Version) (Taylor's Version) (From The Vault)</v>
      </c>
      <c r="H3562" s="6" t="str">
        <f aca="false">IF(F3562=0,"NOT FOUND",INDEX('All Song Rankings'!$B:$B,F3562))</f>
        <v>Taylor Swift</v>
      </c>
      <c r="I3562" s="6" t="str">
        <f aca="false">IF(F3562=0,"NOT FOUND",INDEX('All Song Rankings'!$D:$D,F3562))</f>
        <v>Stephanie</v>
      </c>
      <c r="J3562" s="7" t="str">
        <f aca="false">IF(F3562=0,"NOT FOUND",IF(C3562=I3562,"SELF-VOTE",IF(COUNTIF($K:$K,K3562)&gt;1,"DUPLICATE","OK")))</f>
        <v>OK</v>
      </c>
      <c r="K3562" s="6" t="str">
        <f aca="false">A3562&amp;"|"&amp;B3562&amp;"|"&amp;C3562&amp;"|"&amp;D3562</f>
        <v>5|8|Merita|spotify:track:5enxwA8aAbwZbf5qCHORXi</v>
      </c>
    </row>
    <row r="3563" customFormat="false" ht="15" hidden="false" customHeight="false" outlineLevel="0" collapsed="false">
      <c r="A3563" s="5" t="n">
        <v>5</v>
      </c>
      <c r="B3563" s="5" t="n">
        <v>8</v>
      </c>
      <c r="C3563" s="5" t="s">
        <v>101</v>
      </c>
      <c r="D3563" s="5" t="s">
        <v>1681</v>
      </c>
      <c r="E3563" s="5" t="n">
        <v>2</v>
      </c>
      <c r="F3563" s="6" t="n">
        <f aca="false">IFERROR(MATCH(A3563&amp;"|"&amp;B3563&amp;"|"&amp;D3563,'All Song Rankings'!$T:$T,0),0)</f>
        <v>548</v>
      </c>
      <c r="G3563" s="6" t="str">
        <f aca="false">IF(F3563=0,"NOT FOUND",INDEX('All Song Rankings'!$A:$A,F3563))</f>
        <v>Teenage Dream</v>
      </c>
      <c r="H3563" s="6" t="str">
        <f aca="false">IF(F3563=0,"NOT FOUND",INDEX('All Song Rankings'!$B:$B,F3563))</f>
        <v>Katy Perry</v>
      </c>
      <c r="I3563" s="6" t="str">
        <f aca="false">IF(F3563=0,"NOT FOUND",INDEX('All Song Rankings'!$D:$D,F3563))</f>
        <v>Aubrey</v>
      </c>
      <c r="J3563" s="7" t="str">
        <f aca="false">IF(F3563=0,"NOT FOUND",IF(C3563=I3563,"SELF-VOTE",IF(COUNTIF($K:$K,K3563)&gt;1,"DUPLICATE","OK")))</f>
        <v>OK</v>
      </c>
      <c r="K3563" s="6" t="str">
        <f aca="false">A3563&amp;"|"&amp;B3563&amp;"|"&amp;C3563&amp;"|"&amp;D3563</f>
        <v>5|8|Merita|spotify:track:5jzKL4BDMClWqRguW5qZvh</v>
      </c>
    </row>
    <row r="3564" customFormat="false" ht="15" hidden="false" customHeight="false" outlineLevel="0" collapsed="false">
      <c r="A3564" s="5" t="n">
        <v>5</v>
      </c>
      <c r="B3564" s="5" t="n">
        <v>8</v>
      </c>
      <c r="C3564" s="5" t="s">
        <v>101</v>
      </c>
      <c r="D3564" s="5" t="s">
        <v>1620</v>
      </c>
      <c r="E3564" s="5" t="n">
        <v>1</v>
      </c>
      <c r="F3564" s="6" t="n">
        <f aca="false">IFERROR(MATCH(A3564&amp;"|"&amp;B3564&amp;"|"&amp;D3564,'All Song Rankings'!$T:$T,0),0)</f>
        <v>523</v>
      </c>
      <c r="G3564" s="6" t="str">
        <f aca="false">IF(F3564=0,"NOT FOUND",INDEX('All Song Rankings'!$A:$A,F3564))</f>
        <v>My Heart Will Go On</v>
      </c>
      <c r="H3564" s="6" t="str">
        <f aca="false">IF(F3564=0,"NOT FOUND",INDEX('All Song Rankings'!$B:$B,F3564))</f>
        <v>Céline Dion</v>
      </c>
      <c r="I3564" s="6" t="str">
        <f aca="false">IF(F3564=0,"NOT FOUND",INDEX('All Song Rankings'!$D:$D,F3564))</f>
        <v>Aubrey</v>
      </c>
      <c r="J3564" s="7" t="str">
        <f aca="false">IF(F3564=0,"NOT FOUND",IF(C3564=I3564,"SELF-VOTE",IF(COUNTIF($K:$K,K3564)&gt;1,"DUPLICATE","OK")))</f>
        <v>OK</v>
      </c>
      <c r="K3564" s="6" t="str">
        <f aca="false">A3564&amp;"|"&amp;B3564&amp;"|"&amp;C3564&amp;"|"&amp;D3564</f>
        <v>5|8|Merita|spotify:track:6e7N7cQ8MuPtu3FweRQYJz</v>
      </c>
    </row>
    <row r="3565" customFormat="false" ht="15" hidden="false" customHeight="false" outlineLevel="0" collapsed="false">
      <c r="A3565" s="5" t="n">
        <v>5</v>
      </c>
      <c r="B3565" s="5" t="n">
        <v>8</v>
      </c>
      <c r="C3565" s="5" t="s">
        <v>101</v>
      </c>
      <c r="D3565" s="5" t="s">
        <v>1652</v>
      </c>
      <c r="E3565" s="5" t="n">
        <v>1</v>
      </c>
      <c r="F3565" s="6" t="n">
        <f aca="false">IFERROR(MATCH(A3565&amp;"|"&amp;B3565&amp;"|"&amp;D3565,'All Song Rankings'!$T:$T,0),0)</f>
        <v>536</v>
      </c>
      <c r="G3565" s="6" t="str">
        <f aca="false">IF(F3565=0,"NOT FOUND",INDEX('All Song Rankings'!$A:$A,F3565))</f>
        <v>Born to Run</v>
      </c>
      <c r="H3565" s="6" t="str">
        <f aca="false">IF(F3565=0,"NOT FOUND",INDEX('All Song Rankings'!$B:$B,F3565))</f>
        <v>Bruce Springsteen</v>
      </c>
      <c r="I3565" s="6" t="str">
        <f aca="false">IF(F3565=0,"NOT FOUND",INDEX('All Song Rankings'!$D:$D,F3565))</f>
        <v>Lisa</v>
      </c>
      <c r="J3565" s="7" t="str">
        <f aca="false">IF(F3565=0,"NOT FOUND",IF(C3565=I3565,"SELF-VOTE",IF(COUNTIF($K:$K,K3565)&gt;1,"DUPLICATE","OK")))</f>
        <v>OK</v>
      </c>
      <c r="K3565" s="6" t="str">
        <f aca="false">A3565&amp;"|"&amp;B3565&amp;"|"&amp;C3565&amp;"|"&amp;D3565</f>
        <v>5|8|Merita|spotify:track:6hTcuIQa0sxrrByu9wTD7s</v>
      </c>
    </row>
    <row r="3566" customFormat="false" ht="15" hidden="false" customHeight="false" outlineLevel="0" collapsed="false">
      <c r="A3566" s="5" t="n">
        <v>5</v>
      </c>
      <c r="B3566" s="5" t="n">
        <v>8</v>
      </c>
      <c r="C3566" s="5" t="s">
        <v>101</v>
      </c>
      <c r="D3566" s="5" t="s">
        <v>1630</v>
      </c>
      <c r="E3566" s="5" t="n">
        <v>2</v>
      </c>
      <c r="F3566" s="6" t="n">
        <f aca="false">IFERROR(MATCH(A3566&amp;"|"&amp;B3566&amp;"|"&amp;D3566,'All Song Rankings'!$T:$T,0),0)</f>
        <v>527</v>
      </c>
      <c r="G3566" s="6" t="str">
        <f aca="false">IF(F3566=0,"NOT FOUND",INDEX('All Song Rankings'!$A:$A,F3566))</f>
        <v>Oops!...I Did It Again</v>
      </c>
      <c r="H3566" s="6" t="str">
        <f aca="false">IF(F3566=0,"NOT FOUND",INDEX('All Song Rankings'!$B:$B,F3566))</f>
        <v>Britney Spears</v>
      </c>
      <c r="I3566" s="6" t="str">
        <f aca="false">IF(F3566=0,"NOT FOUND",INDEX('All Song Rankings'!$D:$D,F3566))</f>
        <v>Colleen</v>
      </c>
      <c r="J3566" s="7" t="str">
        <f aca="false">IF(F3566=0,"NOT FOUND",IF(C3566=I3566,"SELF-VOTE",IF(COUNTIF($K:$K,K3566)&gt;1,"DUPLICATE","OK")))</f>
        <v>OK</v>
      </c>
      <c r="K3566" s="6" t="str">
        <f aca="false">A3566&amp;"|"&amp;B3566&amp;"|"&amp;C3566&amp;"|"&amp;D3566</f>
        <v>5|8|Merita|spotify:track:6naxalmIoLFWR0siv8dnQQ</v>
      </c>
    </row>
    <row r="3567" customFormat="false" ht="15" hidden="false" customHeight="false" outlineLevel="0" collapsed="false">
      <c r="A3567" s="5" t="n">
        <v>5</v>
      </c>
      <c r="B3567" s="5" t="n">
        <v>8</v>
      </c>
      <c r="C3567" s="5" t="s">
        <v>101</v>
      </c>
      <c r="D3567" s="5" t="s">
        <v>1649</v>
      </c>
      <c r="E3567" s="5" t="n">
        <v>1</v>
      </c>
      <c r="F3567" s="6" t="n">
        <f aca="false">IFERROR(MATCH(A3567&amp;"|"&amp;B3567&amp;"|"&amp;D3567,'All Song Rankings'!$T:$T,0),0)</f>
        <v>535</v>
      </c>
      <c r="G3567" s="6" t="str">
        <f aca="false">IF(F3567=0,"NOT FOUND",INDEX('All Song Rankings'!$A:$A,F3567))</f>
        <v>Born to Love You</v>
      </c>
      <c r="H3567" s="6" t="str">
        <f aca="false">IF(F3567=0,"NOT FOUND",INDEX('All Song Rankings'!$B:$B,F3567))</f>
        <v>LANCO</v>
      </c>
      <c r="I3567" s="6" t="str">
        <f aca="false">IF(F3567=0,"NOT FOUND",INDEX('All Song Rankings'!$D:$D,F3567))</f>
        <v>Nicole</v>
      </c>
      <c r="J3567" s="7" t="str">
        <f aca="false">IF(F3567=0,"NOT FOUND",IF(C3567=I3567,"SELF-VOTE",IF(COUNTIF($K:$K,K3567)&gt;1,"DUPLICATE","OK")))</f>
        <v>OK</v>
      </c>
      <c r="K3567" s="6" t="str">
        <f aca="false">A3567&amp;"|"&amp;B3567&amp;"|"&amp;C3567&amp;"|"&amp;D3567</f>
        <v>5|8|Merita|spotify:track:77a5Eu7lC3tG0Sukt2O91U</v>
      </c>
    </row>
    <row r="3568" customFormat="false" ht="15" hidden="false" customHeight="false" outlineLevel="0" collapsed="false">
      <c r="A3568" s="5" t="n">
        <v>5</v>
      </c>
      <c r="B3568" s="5" t="n">
        <v>8</v>
      </c>
      <c r="C3568" s="5" t="s">
        <v>92</v>
      </c>
      <c r="D3568" s="5" t="s">
        <v>1644</v>
      </c>
      <c r="E3568" s="5" t="n">
        <v>1</v>
      </c>
      <c r="F3568" s="6" t="n">
        <f aca="false">IFERROR(MATCH(A3568&amp;"|"&amp;B3568&amp;"|"&amp;D3568,'All Song Rankings'!$T:$T,0),0)</f>
        <v>533</v>
      </c>
      <c r="G3568" s="6" t="str">
        <f aca="false">IF(F3568=0,"NOT FOUND",INDEX('All Song Rankings'!$A:$A,F3568))</f>
        <v>IDK You Yet</v>
      </c>
      <c r="H3568" s="6" t="str">
        <f aca="false">IF(F3568=0,"NOT FOUND",INDEX('All Song Rankings'!$B:$B,F3568))</f>
        <v>Alexander 23</v>
      </c>
      <c r="I3568" s="6" t="str">
        <f aca="false">IF(F3568=0,"NOT FOUND",INDEX('All Song Rankings'!$D:$D,F3568))</f>
        <v>Merita</v>
      </c>
      <c r="J3568" s="7" t="str">
        <f aca="false">IF(F3568=0,"NOT FOUND",IF(C3568=I3568,"SELF-VOTE",IF(COUNTIF($K:$K,K3568)&gt;1,"DUPLICATE","OK")))</f>
        <v>OK</v>
      </c>
      <c r="K3568" s="6" t="str">
        <f aca="false">A3568&amp;"|"&amp;B3568&amp;"|"&amp;C3568&amp;"|"&amp;D3568</f>
        <v>5|8|Nicole|spotify:track:11WbNwwAdoxfwpZxSHIP7J</v>
      </c>
    </row>
    <row r="3569" customFormat="false" ht="15" hidden="false" customHeight="false" outlineLevel="0" collapsed="false">
      <c r="A3569" s="5" t="n">
        <v>5</v>
      </c>
      <c r="B3569" s="5" t="n">
        <v>8</v>
      </c>
      <c r="C3569" s="5" t="s">
        <v>92</v>
      </c>
      <c r="D3569" s="5" t="s">
        <v>1669</v>
      </c>
      <c r="E3569" s="5" t="n">
        <v>1</v>
      </c>
      <c r="F3569" s="6" t="n">
        <f aca="false">IFERROR(MATCH(A3569&amp;"|"&amp;B3569&amp;"|"&amp;D3569,'All Song Rankings'!$T:$T,0),0)</f>
        <v>543</v>
      </c>
      <c r="G3569" s="6" t="str">
        <f aca="false">IF(F3569=0,"NOT FOUND",INDEX('All Song Rankings'!$A:$A,F3569))</f>
        <v>Love Story</v>
      </c>
      <c r="H3569" s="6" t="str">
        <f aca="false">IF(F3569=0,"NOT FOUND",INDEX('All Song Rankings'!$B:$B,F3569))</f>
        <v>Taylor Swift</v>
      </c>
      <c r="I3569" s="6" t="str">
        <f aca="false">IF(F3569=0,"NOT FOUND",INDEX('All Song Rankings'!$D:$D,F3569))</f>
        <v>Kelsey</v>
      </c>
      <c r="J3569" s="7" t="str">
        <f aca="false">IF(F3569=0,"NOT FOUND",IF(C3569=I3569,"SELF-VOTE",IF(COUNTIF($K:$K,K3569)&gt;1,"DUPLICATE","OK")))</f>
        <v>OK</v>
      </c>
      <c r="K3569" s="6" t="str">
        <f aca="false">A3569&amp;"|"&amp;B3569&amp;"|"&amp;C3569&amp;"|"&amp;D3569</f>
        <v>5|8|Nicole|spotify:track:1vrd6UOGamcKNGnSHJQlSt</v>
      </c>
    </row>
    <row r="3570" customFormat="false" ht="15" hidden="false" customHeight="false" outlineLevel="0" collapsed="false">
      <c r="A3570" s="5" t="n">
        <v>5</v>
      </c>
      <c r="B3570" s="5" t="n">
        <v>8</v>
      </c>
      <c r="C3570" s="5" t="s">
        <v>92</v>
      </c>
      <c r="D3570" s="5" t="s">
        <v>1658</v>
      </c>
      <c r="E3570" s="5" t="n">
        <v>1</v>
      </c>
      <c r="F3570" s="6" t="n">
        <f aca="false">IFERROR(MATCH(A3570&amp;"|"&amp;B3570&amp;"|"&amp;D3570,'All Song Rankings'!$T:$T,0),0)</f>
        <v>538</v>
      </c>
      <c r="G3570" s="6" t="str">
        <f aca="false">IF(F3570=0,"NOT FOUND",INDEX('All Song Rankings'!$A:$A,F3570))</f>
        <v>Heartbreaker</v>
      </c>
      <c r="H3570" s="6" t="str">
        <f aca="false">IF(F3570=0,"NOT FOUND",INDEX('All Song Rankings'!$B:$B,F3570))</f>
        <v>Pat Benatar</v>
      </c>
      <c r="I3570" s="6" t="str">
        <f aca="false">IF(F3570=0,"NOT FOUND",INDEX('All Song Rankings'!$D:$D,F3570))</f>
        <v>Lisa</v>
      </c>
      <c r="J3570" s="7" t="str">
        <f aca="false">IF(F3570=0,"NOT FOUND",IF(C3570=I3570,"SELF-VOTE",IF(COUNTIF($K:$K,K3570)&gt;1,"DUPLICATE","OK")))</f>
        <v>OK</v>
      </c>
      <c r="K3570" s="6" t="str">
        <f aca="false">A3570&amp;"|"&amp;B3570&amp;"|"&amp;C3570&amp;"|"&amp;D3570</f>
        <v>5|8|Nicole|spotify:track:22ML0MuFKfw16WejbxsLOy</v>
      </c>
    </row>
    <row r="3571" customFormat="false" ht="15" hidden="false" customHeight="false" outlineLevel="0" collapsed="false">
      <c r="A3571" s="5" t="n">
        <v>5</v>
      </c>
      <c r="B3571" s="5" t="n">
        <v>8</v>
      </c>
      <c r="C3571" s="5" t="s">
        <v>92</v>
      </c>
      <c r="D3571" s="5" t="s">
        <v>1641</v>
      </c>
      <c r="E3571" s="5" t="n">
        <v>2</v>
      </c>
      <c r="F3571" s="6" t="n">
        <f aca="false">IFERROR(MATCH(A3571&amp;"|"&amp;B3571&amp;"|"&amp;D3571,'All Song Rankings'!$T:$T,0),0)</f>
        <v>532</v>
      </c>
      <c r="G3571" s="6" t="str">
        <f aca="false">IF(F3571=0,"NOT FOUND",INDEX('All Song Rankings'!$A:$A,F3571))</f>
        <v>Sucker</v>
      </c>
      <c r="H3571" s="6" t="str">
        <f aca="false">IF(F3571=0,"NOT FOUND",INDEX('All Song Rankings'!$B:$B,F3571))</f>
        <v>Jonas Brothers</v>
      </c>
      <c r="I3571" s="6" t="str">
        <f aca="false">IF(F3571=0,"NOT FOUND",INDEX('All Song Rankings'!$D:$D,F3571))</f>
        <v>Makenzie</v>
      </c>
      <c r="J3571" s="7" t="str">
        <f aca="false">IF(F3571=0,"NOT FOUND",IF(C3571=I3571,"SELF-VOTE",IF(COUNTIF($K:$K,K3571)&gt;1,"DUPLICATE","OK")))</f>
        <v>OK</v>
      </c>
      <c r="K3571" s="6" t="str">
        <f aca="false">A3571&amp;"|"&amp;B3571&amp;"|"&amp;C3571&amp;"|"&amp;D3571</f>
        <v>5|8|Nicole|spotify:track:22vgEDb5hykfaTwLuskFGD</v>
      </c>
    </row>
    <row r="3572" customFormat="false" ht="15" hidden="false" customHeight="false" outlineLevel="0" collapsed="false">
      <c r="A3572" s="5" t="n">
        <v>5</v>
      </c>
      <c r="B3572" s="5" t="n">
        <v>8</v>
      </c>
      <c r="C3572" s="5" t="s">
        <v>92</v>
      </c>
      <c r="D3572" s="5" t="s">
        <v>1676</v>
      </c>
      <c r="E3572" s="5" t="n">
        <v>1</v>
      </c>
      <c r="F3572" s="6" t="n">
        <f aca="false">IFERROR(MATCH(A3572&amp;"|"&amp;B3572&amp;"|"&amp;D3572,'All Song Rankings'!$T:$T,0),0)</f>
        <v>546</v>
      </c>
      <c r="G3572" s="6" t="str">
        <f aca="false">IF(F3572=0,"NOT FOUND",INDEX('All Song Rankings'!$A:$A,F3572))</f>
        <v>Weak</v>
      </c>
      <c r="H3572" s="6" t="str">
        <f aca="false">IF(F3572=0,"NOT FOUND",INDEX('All Song Rankings'!$B:$B,F3572))</f>
        <v>AJR</v>
      </c>
      <c r="I3572" s="6" t="str">
        <f aca="false">IF(F3572=0,"NOT FOUND",INDEX('All Song Rankings'!$D:$D,F3572))</f>
        <v>Matt</v>
      </c>
      <c r="J3572" s="7" t="str">
        <f aca="false">IF(F3572=0,"NOT FOUND",IF(C3572=I3572,"SELF-VOTE",IF(COUNTIF($K:$K,K3572)&gt;1,"DUPLICATE","OK")))</f>
        <v>OK</v>
      </c>
      <c r="K3572" s="6" t="str">
        <f aca="false">A3572&amp;"|"&amp;B3572&amp;"|"&amp;C3572&amp;"|"&amp;D3572</f>
        <v>5|8|Nicole|spotify:track:2sVcBaVtBPM9vIFk1Jnbw8</v>
      </c>
    </row>
    <row r="3573" customFormat="false" ht="15" hidden="false" customHeight="false" outlineLevel="0" collapsed="false">
      <c r="A3573" s="5" t="n">
        <v>5</v>
      </c>
      <c r="B3573" s="5" t="n">
        <v>8</v>
      </c>
      <c r="C3573" s="5" t="s">
        <v>92</v>
      </c>
      <c r="D3573" s="5" t="s">
        <v>1628</v>
      </c>
      <c r="E3573" s="5" t="n">
        <v>2</v>
      </c>
      <c r="F3573" s="6" t="n">
        <f aca="false">IFERROR(MATCH(A3573&amp;"|"&amp;B3573&amp;"|"&amp;D3573,'All Song Rankings'!$T:$T,0),0)</f>
        <v>526</v>
      </c>
      <c r="G3573" s="6" t="str">
        <f aca="false">IF(F3573=0,"NOT FOUND",INDEX('All Song Rankings'!$A:$A,F3573))</f>
        <v>Here Without You</v>
      </c>
      <c r="H3573" s="6" t="str">
        <f aca="false">IF(F3573=0,"NOT FOUND",INDEX('All Song Rankings'!$B:$B,F3573))</f>
        <v>3 Doors Down</v>
      </c>
      <c r="I3573" s="6" t="str">
        <f aca="false">IF(F3573=0,"NOT FOUND",INDEX('All Song Rankings'!$D:$D,F3573))</f>
        <v>Leah</v>
      </c>
      <c r="J3573" s="7" t="str">
        <f aca="false">IF(F3573=0,"NOT FOUND",IF(C3573=I3573,"SELF-VOTE",IF(COUNTIF($K:$K,K3573)&gt;1,"DUPLICATE","OK")))</f>
        <v>OK</v>
      </c>
      <c r="K3573" s="6" t="str">
        <f aca="false">A3573&amp;"|"&amp;B3573&amp;"|"&amp;C3573&amp;"|"&amp;D3573</f>
        <v>5|8|Nicole|spotify:track:3NLrRZoMF0Lx6zTlYqeIo4</v>
      </c>
    </row>
    <row r="3574" customFormat="false" ht="15" hidden="false" customHeight="false" outlineLevel="0" collapsed="false">
      <c r="A3574" s="5" t="n">
        <v>5</v>
      </c>
      <c r="B3574" s="5" t="n">
        <v>8</v>
      </c>
      <c r="C3574" s="5" t="s">
        <v>92</v>
      </c>
      <c r="D3574" s="5" t="s">
        <v>1625</v>
      </c>
      <c r="E3574" s="5" t="n">
        <v>1</v>
      </c>
      <c r="F3574" s="6" t="n">
        <f aca="false">IFERROR(MATCH(A3574&amp;"|"&amp;B3574&amp;"|"&amp;D3574,'All Song Rankings'!$T:$T,0),0)</f>
        <v>525</v>
      </c>
      <c r="G3574" s="6" t="str">
        <f aca="false">IF(F3574=0,"NOT FOUND",INDEX('All Song Rankings'!$A:$A,F3574))</f>
        <v>Ghost</v>
      </c>
      <c r="H3574" s="6" t="str">
        <f aca="false">IF(F3574=0,"NOT FOUND",INDEX('All Song Rankings'!$B:$B,F3574))</f>
        <v>Demi Lovato</v>
      </c>
      <c r="I3574" s="6" t="str">
        <f aca="false">IF(F3574=0,"NOT FOUND",INDEX('All Song Rankings'!$D:$D,F3574))</f>
        <v>Logan</v>
      </c>
      <c r="J3574" s="7" t="str">
        <f aca="false">IF(F3574=0,"NOT FOUND",IF(C3574=I3574,"SELF-VOTE",IF(COUNTIF($K:$K,K3574)&gt;1,"DUPLICATE","OK")))</f>
        <v>OK</v>
      </c>
      <c r="K3574" s="6" t="str">
        <f aca="false">A3574&amp;"|"&amp;B3574&amp;"|"&amp;C3574&amp;"|"&amp;D3574</f>
        <v>5|8|Nicole|spotify:track:3XeyI07raWwr8wbnaJeaVl</v>
      </c>
    </row>
    <row r="3575" customFormat="false" ht="15" hidden="false" customHeight="false" outlineLevel="0" collapsed="false">
      <c r="A3575" s="5" t="n">
        <v>5</v>
      </c>
      <c r="B3575" s="5" t="n">
        <v>8</v>
      </c>
      <c r="C3575" s="5" t="s">
        <v>92</v>
      </c>
      <c r="D3575" s="5" t="s">
        <v>1660</v>
      </c>
      <c r="E3575" s="5" t="n">
        <v>2</v>
      </c>
      <c r="F3575" s="6" t="n">
        <f aca="false">IFERROR(MATCH(A3575&amp;"|"&amp;B3575&amp;"|"&amp;D3575,'All Song Rankings'!$T:$T,0),0)</f>
        <v>539</v>
      </c>
      <c r="G3575" s="6" t="str">
        <f aca="false">IF(F3575=0,"NOT FOUND",INDEX('All Song Rankings'!$A:$A,F3575))</f>
        <v>If It Means A Lot To You</v>
      </c>
      <c r="H3575" s="6" t="str">
        <f aca="false">IF(F3575=0,"NOT FOUND",INDEX('All Song Rankings'!$B:$B,F3575))</f>
        <v>A Day to Remember</v>
      </c>
      <c r="I3575" s="6" t="str">
        <f aca="false">IF(F3575=0,"NOT FOUND",INDEX('All Song Rankings'!$D:$D,F3575))</f>
        <v>Colleen</v>
      </c>
      <c r="J3575" s="7" t="str">
        <f aca="false">IF(F3575=0,"NOT FOUND",IF(C3575=I3575,"SELF-VOTE",IF(COUNTIF($K:$K,K3575)&gt;1,"DUPLICATE","OK")))</f>
        <v>OK</v>
      </c>
      <c r="K3575" s="6" t="str">
        <f aca="false">A3575&amp;"|"&amp;B3575&amp;"|"&amp;C3575&amp;"|"&amp;D3575</f>
        <v>5|8|Nicole|spotify:track:3rEwGRmPVVudVjqdgv0tRR</v>
      </c>
    </row>
    <row r="3576" customFormat="false" ht="15" hidden="false" customHeight="false" outlineLevel="0" collapsed="false">
      <c r="A3576" s="5" t="n">
        <v>5</v>
      </c>
      <c r="B3576" s="5" t="n">
        <v>8</v>
      </c>
      <c r="C3576" s="5" t="s">
        <v>92</v>
      </c>
      <c r="D3576" s="5" t="s">
        <v>1635</v>
      </c>
      <c r="E3576" s="5" t="n">
        <v>1</v>
      </c>
      <c r="F3576" s="6" t="n">
        <f aca="false">IFERROR(MATCH(A3576&amp;"|"&amp;B3576&amp;"|"&amp;D3576,'All Song Rankings'!$T:$T,0),0)</f>
        <v>529</v>
      </c>
      <c r="G3576" s="6" t="str">
        <f aca="false">IF(F3576=0,"NOT FOUND",INDEX('All Song Rankings'!$A:$A,F3576))</f>
        <v>Tearin' up My Heart - Radio Edit</v>
      </c>
      <c r="H3576" s="6" t="str">
        <f aca="false">IF(F3576=0,"NOT FOUND",INDEX('All Song Rankings'!$B:$B,F3576))</f>
        <v>*NSYNC</v>
      </c>
      <c r="I3576" s="6" t="str">
        <f aca="false">IF(F3576=0,"NOT FOUND",INDEX('All Song Rankings'!$D:$D,F3576))</f>
        <v>Grace</v>
      </c>
      <c r="J3576" s="7" t="str">
        <f aca="false">IF(F3576=0,"NOT FOUND",IF(C3576=I3576,"SELF-VOTE",IF(COUNTIF($K:$K,K3576)&gt;1,"DUPLICATE","OK")))</f>
        <v>OK</v>
      </c>
      <c r="K3576" s="6" t="str">
        <f aca="false">A3576&amp;"|"&amp;B3576&amp;"|"&amp;C3576&amp;"|"&amp;D3576</f>
        <v>5|8|Nicole|spotify:track:594M0rqYMOo8BhMGEdoi5C</v>
      </c>
    </row>
    <row r="3577" customFormat="false" ht="15" hidden="false" customHeight="false" outlineLevel="0" collapsed="false">
      <c r="A3577" s="5" t="n">
        <v>5</v>
      </c>
      <c r="B3577" s="5" t="n">
        <v>8</v>
      </c>
      <c r="C3577" s="5" t="s">
        <v>92</v>
      </c>
      <c r="D3577" s="5" t="s">
        <v>1637</v>
      </c>
      <c r="E3577" s="5" t="n">
        <v>1</v>
      </c>
      <c r="F3577" s="6" t="n">
        <f aca="false">IFERROR(MATCH(A3577&amp;"|"&amp;B3577&amp;"|"&amp;D3577,'All Song Rankings'!$T:$T,0),0)</f>
        <v>530</v>
      </c>
      <c r="G3577" s="6" t="str">
        <f aca="false">IF(F3577=0,"NOT FOUND",INDEX('All Song Rankings'!$A:$A,F3577))</f>
        <v>I Want You Back - Radio Edit</v>
      </c>
      <c r="H3577" s="6" t="str">
        <f aca="false">IF(F3577=0,"NOT FOUND",INDEX('All Song Rankings'!$B:$B,F3577))</f>
        <v>*NSYNC</v>
      </c>
      <c r="I3577" s="6" t="str">
        <f aca="false">IF(F3577=0,"NOT FOUND",INDEX('All Song Rankings'!$D:$D,F3577))</f>
        <v>Stephanie</v>
      </c>
      <c r="J3577" s="7" t="str">
        <f aca="false">IF(F3577=0,"NOT FOUND",IF(C3577=I3577,"SELF-VOTE",IF(COUNTIF($K:$K,K3577)&gt;1,"DUPLICATE","OK")))</f>
        <v>OK</v>
      </c>
      <c r="K3577" s="6" t="str">
        <f aca="false">A3577&amp;"|"&amp;B3577&amp;"|"&amp;C3577&amp;"|"&amp;D3577</f>
        <v>5|8|Nicole|spotify:track:5YTMRAT4yKgFrepF8Hi3mY</v>
      </c>
    </row>
    <row r="3578" customFormat="false" ht="15" hidden="false" customHeight="false" outlineLevel="0" collapsed="false">
      <c r="A3578" s="5" t="n">
        <v>5</v>
      </c>
      <c r="B3578" s="5" t="n">
        <v>8</v>
      </c>
      <c r="C3578" s="5" t="s">
        <v>92</v>
      </c>
      <c r="D3578" s="5" t="s">
        <v>1646</v>
      </c>
      <c r="E3578" s="5" t="n">
        <v>1</v>
      </c>
      <c r="F3578" s="6" t="n">
        <f aca="false">IFERROR(MATCH(A3578&amp;"|"&amp;B3578&amp;"|"&amp;D3578,'All Song Rankings'!$T:$T,0),0)</f>
        <v>534</v>
      </c>
      <c r="G3578" s="6" t="str">
        <f aca="false">IF(F3578=0,"NOT FOUND",INDEX('All Song Rankings'!$A:$A,F3578))</f>
        <v>All Too Well (10 Minute Version) (Taylor's Version) (From The Vault)</v>
      </c>
      <c r="H3578" s="6" t="str">
        <f aca="false">IF(F3578=0,"NOT FOUND",INDEX('All Song Rankings'!$B:$B,F3578))</f>
        <v>Taylor Swift</v>
      </c>
      <c r="I3578" s="6" t="str">
        <f aca="false">IF(F3578=0,"NOT FOUND",INDEX('All Song Rankings'!$D:$D,F3578))</f>
        <v>Stephanie</v>
      </c>
      <c r="J3578" s="7" t="str">
        <f aca="false">IF(F3578=0,"NOT FOUND",IF(C3578=I3578,"SELF-VOTE",IF(COUNTIF($K:$K,K3578)&gt;1,"DUPLICATE","OK")))</f>
        <v>OK</v>
      </c>
      <c r="K3578" s="6" t="str">
        <f aca="false">A3578&amp;"|"&amp;B3578&amp;"|"&amp;C3578&amp;"|"&amp;D3578</f>
        <v>5|8|Nicole|spotify:track:5enxwA8aAbwZbf5qCHORXi</v>
      </c>
    </row>
    <row r="3579" customFormat="false" ht="15" hidden="false" customHeight="false" outlineLevel="0" collapsed="false">
      <c r="A3579" s="5" t="n">
        <v>5</v>
      </c>
      <c r="B3579" s="5" t="n">
        <v>8</v>
      </c>
      <c r="C3579" s="5" t="s">
        <v>92</v>
      </c>
      <c r="D3579" s="5" t="s">
        <v>1681</v>
      </c>
      <c r="E3579" s="5" t="n">
        <v>1</v>
      </c>
      <c r="F3579" s="6" t="n">
        <f aca="false">IFERROR(MATCH(A3579&amp;"|"&amp;B3579&amp;"|"&amp;D3579,'All Song Rankings'!$T:$T,0),0)</f>
        <v>548</v>
      </c>
      <c r="G3579" s="6" t="str">
        <f aca="false">IF(F3579=0,"NOT FOUND",INDEX('All Song Rankings'!$A:$A,F3579))</f>
        <v>Teenage Dream</v>
      </c>
      <c r="H3579" s="6" t="str">
        <f aca="false">IF(F3579=0,"NOT FOUND",INDEX('All Song Rankings'!$B:$B,F3579))</f>
        <v>Katy Perry</v>
      </c>
      <c r="I3579" s="6" t="str">
        <f aca="false">IF(F3579=0,"NOT FOUND",INDEX('All Song Rankings'!$D:$D,F3579))</f>
        <v>Aubrey</v>
      </c>
      <c r="J3579" s="7" t="str">
        <f aca="false">IF(F3579=0,"NOT FOUND",IF(C3579=I3579,"SELF-VOTE",IF(COUNTIF($K:$K,K3579)&gt;1,"DUPLICATE","OK")))</f>
        <v>OK</v>
      </c>
      <c r="K3579" s="6" t="str">
        <f aca="false">A3579&amp;"|"&amp;B3579&amp;"|"&amp;C3579&amp;"|"&amp;D3579</f>
        <v>5|8|Nicole|spotify:track:5jzKL4BDMClWqRguW5qZvh</v>
      </c>
    </row>
    <row r="3580" customFormat="false" ht="15" hidden="false" customHeight="false" outlineLevel="0" collapsed="false">
      <c r="A3580" s="5" t="n">
        <v>5</v>
      </c>
      <c r="B3580" s="5" t="n">
        <v>8</v>
      </c>
      <c r="C3580" s="5" t="s">
        <v>92</v>
      </c>
      <c r="D3580" s="5" t="s">
        <v>1679</v>
      </c>
      <c r="E3580" s="5" t="n">
        <v>1</v>
      </c>
      <c r="F3580" s="6" t="n">
        <f aca="false">IFERROR(MATCH(A3580&amp;"|"&amp;B3580&amp;"|"&amp;D3580,'All Song Rankings'!$T:$T,0),0)</f>
        <v>547</v>
      </c>
      <c r="G3580" s="6" t="str">
        <f aca="false">IF(F3580=0,"NOT FOUND",INDEX('All Song Rankings'!$A:$A,F3580))</f>
        <v>Worth Your Wild</v>
      </c>
      <c r="H3580" s="6" t="str">
        <f aca="false">IF(F3580=0,"NOT FOUND",INDEX('All Song Rankings'!$B:$B,F3580))</f>
        <v>Russell Dickerson</v>
      </c>
      <c r="I3580" s="6" t="str">
        <f aca="false">IF(F3580=0,"NOT FOUND",INDEX('All Song Rankings'!$D:$D,F3580))</f>
        <v>Kelsey</v>
      </c>
      <c r="J3580" s="7" t="str">
        <f aca="false">IF(F3580=0,"NOT FOUND",IF(C3580=I3580,"SELF-VOTE",IF(COUNTIF($K:$K,K3580)&gt;1,"DUPLICATE","OK")))</f>
        <v>OK</v>
      </c>
      <c r="K3580" s="6" t="str">
        <f aca="false">A3580&amp;"|"&amp;B3580&amp;"|"&amp;C3580&amp;"|"&amp;D3580</f>
        <v>5|8|Nicole|spotify:track:67bIPJptdsuPeyOPv8z1lL</v>
      </c>
    </row>
    <row r="3581" customFormat="false" ht="15" hidden="false" customHeight="false" outlineLevel="0" collapsed="false">
      <c r="A3581" s="5" t="n">
        <v>5</v>
      </c>
      <c r="B3581" s="5" t="n">
        <v>8</v>
      </c>
      <c r="C3581" s="5" t="s">
        <v>92</v>
      </c>
      <c r="D3581" s="5" t="s">
        <v>1667</v>
      </c>
      <c r="E3581" s="5" t="n">
        <v>1</v>
      </c>
      <c r="F3581" s="6" t="n">
        <f aca="false">IFERROR(MATCH(A3581&amp;"|"&amp;B3581&amp;"|"&amp;D3581,'All Song Rankings'!$T:$T,0),0)</f>
        <v>542</v>
      </c>
      <c r="G3581" s="6" t="str">
        <f aca="false">IF(F3581=0,"NOT FOUND",INDEX('All Song Rankings'!$A:$A,F3581))</f>
        <v>Babylon</v>
      </c>
      <c r="H3581" s="6" t="str">
        <f aca="false">IF(F3581=0,"NOT FOUND",INDEX('All Song Rankings'!$B:$B,F3581))</f>
        <v>5 Seconds of Summer</v>
      </c>
      <c r="I3581" s="6" t="str">
        <f aca="false">IF(F3581=0,"NOT FOUND",INDEX('All Song Rankings'!$D:$D,F3581))</f>
        <v>Merita</v>
      </c>
      <c r="J3581" s="7" t="str">
        <f aca="false">IF(F3581=0,"NOT FOUND",IF(C3581=I3581,"SELF-VOTE",IF(COUNTIF($K:$K,K3581)&gt;1,"DUPLICATE","OK")))</f>
        <v>OK</v>
      </c>
      <c r="K3581" s="6" t="str">
        <f aca="false">A3581&amp;"|"&amp;B3581&amp;"|"&amp;C3581&amp;"|"&amp;D3581</f>
        <v>5|8|Nicole|spotify:track:6PUYqQtGWVAovZrLC9BIqt</v>
      </c>
    </row>
    <row r="3582" customFormat="false" ht="15" hidden="false" customHeight="false" outlineLevel="0" collapsed="false">
      <c r="A3582" s="5" t="n">
        <v>5</v>
      </c>
      <c r="B3582" s="5" t="n">
        <v>8</v>
      </c>
      <c r="C3582" s="5" t="s">
        <v>92</v>
      </c>
      <c r="D3582" s="5" t="s">
        <v>1652</v>
      </c>
      <c r="E3582" s="5" t="n">
        <v>1</v>
      </c>
      <c r="F3582" s="6" t="n">
        <f aca="false">IFERROR(MATCH(A3582&amp;"|"&amp;B3582&amp;"|"&amp;D3582,'All Song Rankings'!$T:$T,0),0)</f>
        <v>536</v>
      </c>
      <c r="G3582" s="6" t="str">
        <f aca="false">IF(F3582=0,"NOT FOUND",INDEX('All Song Rankings'!$A:$A,F3582))</f>
        <v>Born to Run</v>
      </c>
      <c r="H3582" s="6" t="str">
        <f aca="false">IF(F3582=0,"NOT FOUND",INDEX('All Song Rankings'!$B:$B,F3582))</f>
        <v>Bruce Springsteen</v>
      </c>
      <c r="I3582" s="6" t="str">
        <f aca="false">IF(F3582=0,"NOT FOUND",INDEX('All Song Rankings'!$D:$D,F3582))</f>
        <v>Lisa</v>
      </c>
      <c r="J3582" s="7" t="str">
        <f aca="false">IF(F3582=0,"NOT FOUND",IF(C3582=I3582,"SELF-VOTE",IF(COUNTIF($K:$K,K3582)&gt;1,"DUPLICATE","OK")))</f>
        <v>OK</v>
      </c>
      <c r="K3582" s="6" t="str">
        <f aca="false">A3582&amp;"|"&amp;B3582&amp;"|"&amp;C3582&amp;"|"&amp;D3582</f>
        <v>5|8|Nicole|spotify:track:6hTcuIQa0sxrrByu9wTD7s</v>
      </c>
    </row>
    <row r="3583" customFormat="false" ht="15" hidden="false" customHeight="false" outlineLevel="0" collapsed="false">
      <c r="A3583" s="5" t="n">
        <v>5</v>
      </c>
      <c r="B3583" s="5" t="n">
        <v>8</v>
      </c>
      <c r="C3583" s="5" t="s">
        <v>92</v>
      </c>
      <c r="D3583" s="5" t="s">
        <v>1630</v>
      </c>
      <c r="E3583" s="5" t="n">
        <v>2</v>
      </c>
      <c r="F3583" s="6" t="n">
        <f aca="false">IFERROR(MATCH(A3583&amp;"|"&amp;B3583&amp;"|"&amp;D3583,'All Song Rankings'!$T:$T,0),0)</f>
        <v>527</v>
      </c>
      <c r="G3583" s="6" t="str">
        <f aca="false">IF(F3583=0,"NOT FOUND",INDEX('All Song Rankings'!$A:$A,F3583))</f>
        <v>Oops!...I Did It Again</v>
      </c>
      <c r="H3583" s="6" t="str">
        <f aca="false">IF(F3583=0,"NOT FOUND",INDEX('All Song Rankings'!$B:$B,F3583))</f>
        <v>Britney Spears</v>
      </c>
      <c r="I3583" s="6" t="str">
        <f aca="false">IF(F3583=0,"NOT FOUND",INDEX('All Song Rankings'!$D:$D,F3583))</f>
        <v>Colleen</v>
      </c>
      <c r="J3583" s="7" t="str">
        <f aca="false">IF(F3583=0,"NOT FOUND",IF(C3583=I3583,"SELF-VOTE",IF(COUNTIF($K:$K,K3583)&gt;1,"DUPLICATE","OK")))</f>
        <v>OK</v>
      </c>
      <c r="K3583" s="6" t="str">
        <f aca="false">A3583&amp;"|"&amp;B3583&amp;"|"&amp;C3583&amp;"|"&amp;D3583</f>
        <v>5|8|Nicole|spotify:track:6naxalmIoLFWR0siv8dnQQ</v>
      </c>
    </row>
    <row r="3584" customFormat="false" ht="15" hidden="false" customHeight="false" outlineLevel="0" collapsed="false">
      <c r="A3584" s="5" t="n">
        <v>5</v>
      </c>
      <c r="B3584" s="5" t="n">
        <v>8</v>
      </c>
      <c r="C3584" s="5" t="s">
        <v>97</v>
      </c>
      <c r="D3584" s="5" t="s">
        <v>1639</v>
      </c>
      <c r="E3584" s="5" t="n">
        <v>2</v>
      </c>
      <c r="F3584" s="6" t="n">
        <f aca="false">IFERROR(MATCH(A3584&amp;"|"&amp;B3584&amp;"|"&amp;D3584,'All Song Rankings'!$T:$T,0),0)</f>
        <v>531</v>
      </c>
      <c r="G3584" s="6" t="str">
        <f aca="false">IF(F3584=0,"NOT FOUND",INDEX('All Song Rankings'!$A:$A,F3584))</f>
        <v>Livin' la Vida Loca</v>
      </c>
      <c r="H3584" s="6" t="str">
        <f aca="false">IF(F3584=0,"NOT FOUND",INDEX('All Song Rankings'!$B:$B,F3584))</f>
        <v>Ricky Martin</v>
      </c>
      <c r="I3584" s="6" t="str">
        <f aca="false">IF(F3584=0,"NOT FOUND",INDEX('All Song Rankings'!$D:$D,F3584))</f>
        <v>Makenzie</v>
      </c>
      <c r="J3584" s="7" t="str">
        <f aca="false">IF(F3584=0,"NOT FOUND",IF(C3584=I3584,"SELF-VOTE",IF(COUNTIF($K:$K,K3584)&gt;1,"DUPLICATE","OK")))</f>
        <v>OK</v>
      </c>
      <c r="K3584" s="6" t="str">
        <f aca="false">A3584&amp;"|"&amp;B3584&amp;"|"&amp;C3584&amp;"|"&amp;D3584</f>
        <v>5|8|Stephanie|spotify:track:0Ph6L4l8dYUuXFmb71Ajnd</v>
      </c>
    </row>
    <row r="3585" customFormat="false" ht="15" hidden="false" customHeight="false" outlineLevel="0" collapsed="false">
      <c r="A3585" s="5" t="n">
        <v>5</v>
      </c>
      <c r="B3585" s="5" t="n">
        <v>8</v>
      </c>
      <c r="C3585" s="5" t="s">
        <v>97</v>
      </c>
      <c r="D3585" s="5" t="s">
        <v>1662</v>
      </c>
      <c r="E3585" s="5" t="n">
        <v>2</v>
      </c>
      <c r="F3585" s="6" t="n">
        <f aca="false">IFERROR(MATCH(A3585&amp;"|"&amp;B3585&amp;"|"&amp;D3585,'All Song Rankings'!$T:$T,0),0)</f>
        <v>540</v>
      </c>
      <c r="G3585" s="6" t="str">
        <f aca="false">IF(F3585=0,"NOT FOUND",INDEX('All Song Rankings'!$A:$A,F3585))</f>
        <v>It Would Be You</v>
      </c>
      <c r="H3585" s="6" t="str">
        <f aca="false">IF(F3585=0,"NOT FOUND",INDEX('All Song Rankings'!$B:$B,F3585))</f>
        <v>Ben Rector</v>
      </c>
      <c r="I3585" s="6" t="str">
        <f aca="false">IF(F3585=0,"NOT FOUND",INDEX('All Song Rankings'!$D:$D,F3585))</f>
        <v>Grace</v>
      </c>
      <c r="J3585" s="7" t="str">
        <f aca="false">IF(F3585=0,"NOT FOUND",IF(C3585=I3585,"SELF-VOTE",IF(COUNTIF($K:$K,K3585)&gt;1,"DUPLICATE","OK")))</f>
        <v>OK</v>
      </c>
      <c r="K3585" s="6" t="str">
        <f aca="false">A3585&amp;"|"&amp;B3585&amp;"|"&amp;C3585&amp;"|"&amp;D3585</f>
        <v>5|8|Stephanie|spotify:track:0roPf0bwAsBDZv1bR15m15</v>
      </c>
    </row>
    <row r="3586" customFormat="false" ht="15" hidden="false" customHeight="false" outlineLevel="0" collapsed="false">
      <c r="A3586" s="5" t="n">
        <v>5</v>
      </c>
      <c r="B3586" s="5" t="n">
        <v>8</v>
      </c>
      <c r="C3586" s="5" t="s">
        <v>97</v>
      </c>
      <c r="D3586" s="5" t="s">
        <v>1622</v>
      </c>
      <c r="E3586" s="5" t="n">
        <v>2</v>
      </c>
      <c r="F3586" s="6" t="n">
        <f aca="false">IFERROR(MATCH(A3586&amp;"|"&amp;B3586&amp;"|"&amp;D3586,'All Song Rankings'!$T:$T,0),0)</f>
        <v>524</v>
      </c>
      <c r="G3586" s="6" t="str">
        <f aca="false">IF(F3586=0,"NOT FOUND",INDEX('All Song Rankings'!$A:$A,F3586))</f>
        <v>(You Drive Me) Crazy</v>
      </c>
      <c r="H3586" s="6" t="str">
        <f aca="false">IF(F3586=0,"NOT FOUND",INDEX('All Song Rankings'!$B:$B,F3586))</f>
        <v>Britney Spears</v>
      </c>
      <c r="I3586" s="6" t="str">
        <f aca="false">IF(F3586=0,"NOT FOUND",INDEX('All Song Rankings'!$D:$D,F3586))</f>
        <v>Nicole</v>
      </c>
      <c r="J3586" s="7" t="str">
        <f aca="false">IF(F3586=0,"NOT FOUND",IF(C3586=I3586,"SELF-VOTE",IF(COUNTIF($K:$K,K3586)&gt;1,"DUPLICATE","OK")))</f>
        <v>OK</v>
      </c>
      <c r="K3586" s="6" t="str">
        <f aca="false">A3586&amp;"|"&amp;B3586&amp;"|"&amp;C3586&amp;"|"&amp;D3586</f>
        <v>5|8|Stephanie|spotify:track:1DSJNBNhGZCigg9ll5VeZv</v>
      </c>
    </row>
    <row r="3587" customFormat="false" ht="15" hidden="false" customHeight="false" outlineLevel="0" collapsed="false">
      <c r="A3587" s="5" t="n">
        <v>5</v>
      </c>
      <c r="B3587" s="5" t="n">
        <v>8</v>
      </c>
      <c r="C3587" s="5" t="s">
        <v>97</v>
      </c>
      <c r="D3587" s="5" t="s">
        <v>1684</v>
      </c>
      <c r="E3587" s="5" t="n">
        <v>1</v>
      </c>
      <c r="F3587" s="6" t="n">
        <f aca="false">IFERROR(MATCH(A3587&amp;"|"&amp;B3587&amp;"|"&amp;D3587,'All Song Rankings'!$T:$T,0),0)</f>
        <v>549</v>
      </c>
      <c r="G3587" s="6" t="str">
        <f aca="false">IF(F3587=0,"NOT FOUND",INDEX('All Song Rankings'!$A:$A,F3587))</f>
        <v>CAN'T STOP THE FEELING! (from DreamWorks Animation's "TROLLS")</v>
      </c>
      <c r="H3587" s="6" t="str">
        <f aca="false">IF(F3587=0,"NOT FOUND",INDEX('All Song Rankings'!$B:$B,F3587))</f>
        <v>Justin Timberlake</v>
      </c>
      <c r="I3587" s="6" t="str">
        <f aca="false">IF(F3587=0,"NOT FOUND",INDEX('All Song Rankings'!$D:$D,F3587))</f>
        <v>Kristen</v>
      </c>
      <c r="J3587" s="7" t="str">
        <f aca="false">IF(F3587=0,"NOT FOUND",IF(C3587=I3587,"SELF-VOTE",IF(COUNTIF($K:$K,K3587)&gt;1,"DUPLICATE","OK")))</f>
        <v>OK</v>
      </c>
      <c r="K3587" s="6" t="str">
        <f aca="false">A3587&amp;"|"&amp;B3587&amp;"|"&amp;C3587&amp;"|"&amp;D3587</f>
        <v>5|8|Stephanie|spotify:track:1WkMMavIMc4JZ8cfMmxHkI</v>
      </c>
    </row>
    <row r="3588" customFormat="false" ht="15" hidden="false" customHeight="false" outlineLevel="0" collapsed="false">
      <c r="A3588" s="5" t="n">
        <v>5</v>
      </c>
      <c r="B3588" s="5" t="n">
        <v>8</v>
      </c>
      <c r="C3588" s="5" t="s">
        <v>97</v>
      </c>
      <c r="D3588" s="5" t="s">
        <v>1669</v>
      </c>
      <c r="E3588" s="5" t="n">
        <v>2</v>
      </c>
      <c r="F3588" s="6" t="n">
        <f aca="false">IFERROR(MATCH(A3588&amp;"|"&amp;B3588&amp;"|"&amp;D3588,'All Song Rankings'!$T:$T,0),0)</f>
        <v>543</v>
      </c>
      <c r="G3588" s="6" t="str">
        <f aca="false">IF(F3588=0,"NOT FOUND",INDEX('All Song Rankings'!$A:$A,F3588))</f>
        <v>Love Story</v>
      </c>
      <c r="H3588" s="6" t="str">
        <f aca="false">IF(F3588=0,"NOT FOUND",INDEX('All Song Rankings'!$B:$B,F3588))</f>
        <v>Taylor Swift</v>
      </c>
      <c r="I3588" s="6" t="str">
        <f aca="false">IF(F3588=0,"NOT FOUND",INDEX('All Song Rankings'!$D:$D,F3588))</f>
        <v>Kelsey</v>
      </c>
      <c r="J3588" s="7" t="str">
        <f aca="false">IF(F3588=0,"NOT FOUND",IF(C3588=I3588,"SELF-VOTE",IF(COUNTIF($K:$K,K3588)&gt;1,"DUPLICATE","OK")))</f>
        <v>OK</v>
      </c>
      <c r="K3588" s="6" t="str">
        <f aca="false">A3588&amp;"|"&amp;B3588&amp;"|"&amp;C3588&amp;"|"&amp;D3588</f>
        <v>5|8|Stephanie|spotify:track:1vrd6UOGamcKNGnSHJQlSt</v>
      </c>
    </row>
    <row r="3589" customFormat="false" ht="15" hidden="false" customHeight="false" outlineLevel="0" collapsed="false">
      <c r="A3589" s="5" t="n">
        <v>5</v>
      </c>
      <c r="B3589" s="5" t="n">
        <v>8</v>
      </c>
      <c r="C3589" s="5" t="s">
        <v>97</v>
      </c>
      <c r="D3589" s="5" t="s">
        <v>1658</v>
      </c>
      <c r="E3589" s="5" t="n">
        <v>1</v>
      </c>
      <c r="F3589" s="6" t="n">
        <f aca="false">IFERROR(MATCH(A3589&amp;"|"&amp;B3589&amp;"|"&amp;D3589,'All Song Rankings'!$T:$T,0),0)</f>
        <v>538</v>
      </c>
      <c r="G3589" s="6" t="str">
        <f aca="false">IF(F3589=0,"NOT FOUND",INDEX('All Song Rankings'!$A:$A,F3589))</f>
        <v>Heartbreaker</v>
      </c>
      <c r="H3589" s="6" t="str">
        <f aca="false">IF(F3589=0,"NOT FOUND",INDEX('All Song Rankings'!$B:$B,F3589))</f>
        <v>Pat Benatar</v>
      </c>
      <c r="I3589" s="6" t="str">
        <f aca="false">IF(F3589=0,"NOT FOUND",INDEX('All Song Rankings'!$D:$D,F3589))</f>
        <v>Lisa</v>
      </c>
      <c r="J3589" s="7" t="str">
        <f aca="false">IF(F3589=0,"NOT FOUND",IF(C3589=I3589,"SELF-VOTE",IF(COUNTIF($K:$K,K3589)&gt;1,"DUPLICATE","OK")))</f>
        <v>OK</v>
      </c>
      <c r="K3589" s="6" t="str">
        <f aca="false">A3589&amp;"|"&amp;B3589&amp;"|"&amp;C3589&amp;"|"&amp;D3589</f>
        <v>5|8|Stephanie|spotify:track:22ML0MuFKfw16WejbxsLOy</v>
      </c>
    </row>
    <row r="3590" customFormat="false" ht="15" hidden="false" customHeight="false" outlineLevel="0" collapsed="false">
      <c r="A3590" s="5" t="n">
        <v>5</v>
      </c>
      <c r="B3590" s="5" t="n">
        <v>8</v>
      </c>
      <c r="C3590" s="5" t="s">
        <v>97</v>
      </c>
      <c r="D3590" s="5" t="s">
        <v>1635</v>
      </c>
      <c r="E3590" s="5" t="n">
        <v>2</v>
      </c>
      <c r="F3590" s="6" t="n">
        <f aca="false">IFERROR(MATCH(A3590&amp;"|"&amp;B3590&amp;"|"&amp;D3590,'All Song Rankings'!$T:$T,0),0)</f>
        <v>529</v>
      </c>
      <c r="G3590" s="6" t="str">
        <f aca="false">IF(F3590=0,"NOT FOUND",INDEX('All Song Rankings'!$A:$A,F3590))</f>
        <v>Tearin' up My Heart - Radio Edit</v>
      </c>
      <c r="H3590" s="6" t="str">
        <f aca="false">IF(F3590=0,"NOT FOUND",INDEX('All Song Rankings'!$B:$B,F3590))</f>
        <v>*NSYNC</v>
      </c>
      <c r="I3590" s="6" t="str">
        <f aca="false">IF(F3590=0,"NOT FOUND",INDEX('All Song Rankings'!$D:$D,F3590))</f>
        <v>Grace</v>
      </c>
      <c r="J3590" s="7" t="str">
        <f aca="false">IF(F3590=0,"NOT FOUND",IF(C3590=I3590,"SELF-VOTE",IF(COUNTIF($K:$K,K3590)&gt;1,"DUPLICATE","OK")))</f>
        <v>OK</v>
      </c>
      <c r="K3590" s="6" t="str">
        <f aca="false">A3590&amp;"|"&amp;B3590&amp;"|"&amp;C3590&amp;"|"&amp;D3590</f>
        <v>5|8|Stephanie|spotify:track:594M0rqYMOo8BhMGEdoi5C</v>
      </c>
    </row>
    <row r="3591" customFormat="false" ht="15" hidden="false" customHeight="false" outlineLevel="0" collapsed="false">
      <c r="A3591" s="5" t="n">
        <v>5</v>
      </c>
      <c r="B3591" s="5" t="n">
        <v>8</v>
      </c>
      <c r="C3591" s="5" t="s">
        <v>97</v>
      </c>
      <c r="D3591" s="5" t="s">
        <v>1679</v>
      </c>
      <c r="E3591" s="5" t="n">
        <v>2</v>
      </c>
      <c r="F3591" s="6" t="n">
        <f aca="false">IFERROR(MATCH(A3591&amp;"|"&amp;B3591&amp;"|"&amp;D3591,'All Song Rankings'!$T:$T,0),0)</f>
        <v>547</v>
      </c>
      <c r="G3591" s="6" t="str">
        <f aca="false">IF(F3591=0,"NOT FOUND",INDEX('All Song Rankings'!$A:$A,F3591))</f>
        <v>Worth Your Wild</v>
      </c>
      <c r="H3591" s="6" t="str">
        <f aca="false">IF(F3591=0,"NOT FOUND",INDEX('All Song Rankings'!$B:$B,F3591))</f>
        <v>Russell Dickerson</v>
      </c>
      <c r="I3591" s="6" t="str">
        <f aca="false">IF(F3591=0,"NOT FOUND",INDEX('All Song Rankings'!$D:$D,F3591))</f>
        <v>Kelsey</v>
      </c>
      <c r="J3591" s="7" t="str">
        <f aca="false">IF(F3591=0,"NOT FOUND",IF(C3591=I3591,"SELF-VOTE",IF(COUNTIF($K:$K,K3591)&gt;1,"DUPLICATE","OK")))</f>
        <v>OK</v>
      </c>
      <c r="K3591" s="6" t="str">
        <f aca="false">A3591&amp;"|"&amp;B3591&amp;"|"&amp;C3591&amp;"|"&amp;D3591</f>
        <v>5|8|Stephanie|spotify:track:67bIPJptdsuPeyOPv8z1lL</v>
      </c>
    </row>
    <row r="3592" customFormat="false" ht="15" hidden="false" customHeight="false" outlineLevel="0" collapsed="false">
      <c r="A3592" s="5" t="n">
        <v>5</v>
      </c>
      <c r="B3592" s="5" t="n">
        <v>8</v>
      </c>
      <c r="C3592" s="5" t="s">
        <v>97</v>
      </c>
      <c r="D3592" s="5" t="s">
        <v>1620</v>
      </c>
      <c r="E3592" s="5" t="n">
        <v>4</v>
      </c>
      <c r="F3592" s="6" t="n">
        <f aca="false">IFERROR(MATCH(A3592&amp;"|"&amp;B3592&amp;"|"&amp;D3592,'All Song Rankings'!$T:$T,0),0)</f>
        <v>523</v>
      </c>
      <c r="G3592" s="6" t="str">
        <f aca="false">IF(F3592=0,"NOT FOUND",INDEX('All Song Rankings'!$A:$A,F3592))</f>
        <v>My Heart Will Go On</v>
      </c>
      <c r="H3592" s="6" t="str">
        <f aca="false">IF(F3592=0,"NOT FOUND",INDEX('All Song Rankings'!$B:$B,F3592))</f>
        <v>Céline Dion</v>
      </c>
      <c r="I3592" s="6" t="str">
        <f aca="false">IF(F3592=0,"NOT FOUND",INDEX('All Song Rankings'!$D:$D,F3592))</f>
        <v>Aubrey</v>
      </c>
      <c r="J3592" s="7" t="str">
        <f aca="false">IF(F3592=0,"NOT FOUND",IF(C3592=I3592,"SELF-VOTE",IF(COUNTIF($K:$K,K3592)&gt;1,"DUPLICATE","OK")))</f>
        <v>OK</v>
      </c>
      <c r="K3592" s="6" t="str">
        <f aca="false">A3592&amp;"|"&amp;B3592&amp;"|"&amp;C3592&amp;"|"&amp;D3592</f>
        <v>5|8|Stephanie|spotify:track:6e7N7cQ8MuPtu3FweRQYJz</v>
      </c>
    </row>
    <row r="3593" customFormat="false" ht="15" hidden="false" customHeight="false" outlineLevel="0" collapsed="false">
      <c r="A3593" s="5" t="n">
        <v>5</v>
      </c>
      <c r="B3593" s="5" t="n">
        <v>8</v>
      </c>
      <c r="C3593" s="5" t="s">
        <v>97</v>
      </c>
      <c r="D3593" s="5" t="s">
        <v>1630</v>
      </c>
      <c r="E3593" s="5" t="n">
        <v>2</v>
      </c>
      <c r="F3593" s="6" t="n">
        <f aca="false">IFERROR(MATCH(A3593&amp;"|"&amp;B3593&amp;"|"&amp;D3593,'All Song Rankings'!$T:$T,0),0)</f>
        <v>527</v>
      </c>
      <c r="G3593" s="6" t="str">
        <f aca="false">IF(F3593=0,"NOT FOUND",INDEX('All Song Rankings'!$A:$A,F3593))</f>
        <v>Oops!...I Did It Again</v>
      </c>
      <c r="H3593" s="6" t="str">
        <f aca="false">IF(F3593=0,"NOT FOUND",INDEX('All Song Rankings'!$B:$B,F3593))</f>
        <v>Britney Spears</v>
      </c>
      <c r="I3593" s="6" t="str">
        <f aca="false">IF(F3593=0,"NOT FOUND",INDEX('All Song Rankings'!$D:$D,F3593))</f>
        <v>Colleen</v>
      </c>
      <c r="J3593" s="7" t="str">
        <f aca="false">IF(F3593=0,"NOT FOUND",IF(C3593=I3593,"SELF-VOTE",IF(COUNTIF($K:$K,K3593)&gt;1,"DUPLICATE","OK")))</f>
        <v>OK</v>
      </c>
      <c r="K3593" s="6" t="str">
        <f aca="false">A3593&amp;"|"&amp;B3593&amp;"|"&amp;C3593&amp;"|"&amp;D3593</f>
        <v>5|8|Stephanie|spotify:track:6naxalmIoLFWR0siv8dnQQ</v>
      </c>
    </row>
    <row r="3594" customFormat="false" ht="15" hidden="false" customHeight="false" outlineLevel="0" collapsed="false">
      <c r="A3594" s="5" t="n">
        <v>6</v>
      </c>
      <c r="B3594" s="5" t="n">
        <v>1</v>
      </c>
      <c r="C3594" s="5" t="s">
        <v>375</v>
      </c>
      <c r="D3594" s="5" t="s">
        <v>1701</v>
      </c>
      <c r="E3594" s="5" t="n">
        <v>1</v>
      </c>
      <c r="F3594" s="6" t="n">
        <f aca="false">IFERROR(MATCH(A3594&amp;"|"&amp;B3594&amp;"|"&amp;D3594,'All Song Rankings'!$T:$T,0),0)</f>
        <v>554</v>
      </c>
      <c r="G3594" s="6" t="str">
        <f aca="false">IF(F3594=0,"NOT FOUND",INDEX('All Song Rankings'!$A:$A,F3594))</f>
        <v>California Dreamin'</v>
      </c>
      <c r="H3594" s="6" t="str">
        <f aca="false">IF(F3594=0,"NOT FOUND",INDEX('All Song Rankings'!$B:$B,F3594))</f>
        <v>The Mamas &amp; The Papas</v>
      </c>
      <c r="I3594" s="6" t="str">
        <f aca="false">IF(F3594=0,"NOT FOUND",INDEX('All Song Rankings'!$D:$D,F3594))</f>
        <v>Christine</v>
      </c>
      <c r="J3594" s="7" t="str">
        <f aca="false">IF(F3594=0,"NOT FOUND",IF(C3594=I3594,"SELF-VOTE",IF(COUNTIF($K:$K,K3594)&gt;1,"DUPLICATE","OK")))</f>
        <v>OK</v>
      </c>
      <c r="K3594" s="6" t="str">
        <f aca="false">A3594&amp;"|"&amp;B3594&amp;"|"&amp;C3594&amp;"|"&amp;D3594</f>
        <v>6|1|Aubrey|spotify:track:1ZEOIhSn6BKErV59bIgn76</v>
      </c>
    </row>
    <row r="3595" customFormat="false" ht="15" hidden="false" customHeight="false" outlineLevel="0" collapsed="false">
      <c r="A3595" s="5" t="n">
        <v>6</v>
      </c>
      <c r="B3595" s="5" t="n">
        <v>1</v>
      </c>
      <c r="C3595" s="5" t="s">
        <v>375</v>
      </c>
      <c r="D3595" s="5" t="s">
        <v>1692</v>
      </c>
      <c r="E3595" s="5" t="n">
        <v>2</v>
      </c>
      <c r="F3595" s="6" t="n">
        <f aca="false">IFERROR(MATCH(A3595&amp;"|"&amp;B3595&amp;"|"&amp;D3595,'All Song Rankings'!$T:$T,0),0)</f>
        <v>551</v>
      </c>
      <c r="G3595" s="6" t="str">
        <f aca="false">IF(F3595=0,"NOT FOUND",INDEX('All Song Rankings'!$A:$A,F3595))</f>
        <v>Superstition - Single Version</v>
      </c>
      <c r="H3595" s="6" t="str">
        <f aca="false">IF(F3595=0,"NOT FOUND",INDEX('All Song Rankings'!$B:$B,F3595))</f>
        <v>Stevie Wonder</v>
      </c>
      <c r="I3595" s="6" t="str">
        <f aca="false">IF(F3595=0,"NOT FOUND",INDEX('All Song Rankings'!$D:$D,F3595))</f>
        <v>Stephanie</v>
      </c>
      <c r="J3595" s="7" t="str">
        <f aca="false">IF(F3595=0,"NOT FOUND",IF(C3595=I3595,"SELF-VOTE",IF(COUNTIF($K:$K,K3595)&gt;1,"DUPLICATE","OK")))</f>
        <v>OK</v>
      </c>
      <c r="K3595" s="6" t="str">
        <f aca="false">A3595&amp;"|"&amp;B3595&amp;"|"&amp;C3595&amp;"|"&amp;D3595</f>
        <v>6|1|Aubrey|spotify:track:1h2xVEoJORqrg71HocgqXd</v>
      </c>
    </row>
    <row r="3596" customFormat="false" ht="15" hidden="false" customHeight="false" outlineLevel="0" collapsed="false">
      <c r="A3596" s="5" t="n">
        <v>6</v>
      </c>
      <c r="B3596" s="5" t="n">
        <v>1</v>
      </c>
      <c r="C3596" s="5" t="s">
        <v>375</v>
      </c>
      <c r="D3596" s="5" t="s">
        <v>1724</v>
      </c>
      <c r="E3596" s="5" t="n">
        <v>1</v>
      </c>
      <c r="F3596" s="6" t="n">
        <f aca="false">IFERROR(MATCH(A3596&amp;"|"&amp;B3596&amp;"|"&amp;D3596,'All Song Rankings'!$T:$T,0),0)</f>
        <v>563</v>
      </c>
      <c r="G3596" s="6" t="str">
        <f aca="false">IF(F3596=0,"NOT FOUND",INDEX('All Song Rankings'!$A:$A,F3596))</f>
        <v>Middle Finger (feat. Mac Miller)</v>
      </c>
      <c r="H3596" s="6" t="str">
        <f aca="false">IF(F3596=0,"NOT FOUND",INDEX('All Song Rankings'!$B:$B,F3596))</f>
        <v>Cobra Starship</v>
      </c>
      <c r="I3596" s="6" t="str">
        <f aca="false">IF(F3596=0,"NOT FOUND",INDEX('All Song Rankings'!$D:$D,F3596))</f>
        <v>Makenzie</v>
      </c>
      <c r="J3596" s="7" t="str">
        <f aca="false">IF(F3596=0,"NOT FOUND",IF(C3596=I3596,"SELF-VOTE",IF(COUNTIF($K:$K,K3596)&gt;1,"DUPLICATE","OK")))</f>
        <v>OK</v>
      </c>
      <c r="K3596" s="6" t="str">
        <f aca="false">A3596&amp;"|"&amp;B3596&amp;"|"&amp;C3596&amp;"|"&amp;D3596</f>
        <v>6|1|Aubrey|spotify:track:2vjmUmO71XEDuitvK4sxRM</v>
      </c>
    </row>
    <row r="3597" customFormat="false" ht="15" hidden="false" customHeight="false" outlineLevel="0" collapsed="false">
      <c r="A3597" s="5" t="n">
        <v>6</v>
      </c>
      <c r="B3597" s="5" t="n">
        <v>1</v>
      </c>
      <c r="C3597" s="5" t="s">
        <v>375</v>
      </c>
      <c r="D3597" s="5" t="s">
        <v>1721</v>
      </c>
      <c r="E3597" s="5" t="n">
        <v>1</v>
      </c>
      <c r="F3597" s="6" t="n">
        <f aca="false">IFERROR(MATCH(A3597&amp;"|"&amp;B3597&amp;"|"&amp;D3597,'All Song Rankings'!$T:$T,0),0)</f>
        <v>562</v>
      </c>
      <c r="G3597" s="6" t="str">
        <f aca="false">IF(F3597=0,"NOT FOUND",INDEX('All Song Rankings'!$A:$A,F3597))</f>
        <v>Karma Chameleon</v>
      </c>
      <c r="H3597" s="6" t="str">
        <f aca="false">IF(F3597=0,"NOT FOUND",INDEX('All Song Rankings'!$B:$B,F3597))</f>
        <v>Culture Club</v>
      </c>
      <c r="I3597" s="6" t="str">
        <f aca="false">IF(F3597=0,"NOT FOUND",INDEX('All Song Rankings'!$D:$D,F3597))</f>
        <v>Kristen</v>
      </c>
      <c r="J3597" s="7" t="str">
        <f aca="false">IF(F3597=0,"NOT FOUND",IF(C3597=I3597,"SELF-VOTE",IF(COUNTIF($K:$K,K3597)&gt;1,"DUPLICATE","OK")))</f>
        <v>OK</v>
      </c>
      <c r="K3597" s="6" t="str">
        <f aca="false">A3597&amp;"|"&amp;B3597&amp;"|"&amp;C3597&amp;"|"&amp;D3597</f>
        <v>6|1|Aubrey|spotify:track:48O0GrGJWml3DzHhC5sJ7a</v>
      </c>
    </row>
    <row r="3598" customFormat="false" ht="15" hidden="false" customHeight="false" outlineLevel="0" collapsed="false">
      <c r="A3598" s="5" t="n">
        <v>6</v>
      </c>
      <c r="B3598" s="5" t="n">
        <v>1</v>
      </c>
      <c r="C3598" s="5" t="s">
        <v>375</v>
      </c>
      <c r="D3598" s="5" t="s">
        <v>1709</v>
      </c>
      <c r="E3598" s="5" t="n">
        <v>1</v>
      </c>
      <c r="F3598" s="6" t="n">
        <f aca="false">IFERROR(MATCH(A3598&amp;"|"&amp;B3598&amp;"|"&amp;D3598,'All Song Rankings'!$T:$T,0),0)</f>
        <v>557</v>
      </c>
      <c r="G3598" s="6" t="str">
        <f aca="false">IF(F3598=0,"NOT FOUND",INDEX('All Song Rankings'!$A:$A,F3598))</f>
        <v>The Middle</v>
      </c>
      <c r="H3598" s="6" t="str">
        <f aca="false">IF(F3598=0,"NOT FOUND",INDEX('All Song Rankings'!$B:$B,F3598))</f>
        <v>Jimmy Eat World</v>
      </c>
      <c r="I3598" s="6" t="str">
        <f aca="false">IF(F3598=0,"NOT FOUND",INDEX('All Song Rankings'!$D:$D,F3598))</f>
        <v>Matt</v>
      </c>
      <c r="J3598" s="7" t="str">
        <f aca="false">IF(F3598=0,"NOT FOUND",IF(C3598=I3598,"SELF-VOTE",IF(COUNTIF($K:$K,K3598)&gt;1,"DUPLICATE","OK")))</f>
        <v>OK</v>
      </c>
      <c r="K3598" s="6" t="str">
        <f aca="false">A3598&amp;"|"&amp;B3598&amp;"|"&amp;C3598&amp;"|"&amp;D3598</f>
        <v>6|1|Aubrey|spotify:track:6GG73Jik4jUlQCkKg9JuGO</v>
      </c>
    </row>
    <row r="3599" customFormat="false" ht="15" hidden="false" customHeight="false" outlineLevel="0" collapsed="false">
      <c r="A3599" s="5" t="n">
        <v>6</v>
      </c>
      <c r="B3599" s="5" t="n">
        <v>1</v>
      </c>
      <c r="C3599" s="5" t="s">
        <v>375</v>
      </c>
      <c r="D3599" s="5" t="s">
        <v>1704</v>
      </c>
      <c r="E3599" s="5" t="n">
        <v>1</v>
      </c>
      <c r="F3599" s="6" t="n">
        <f aca="false">IFERROR(MATCH(A3599&amp;"|"&amp;B3599&amp;"|"&amp;D3599,'All Song Rankings'!$T:$T,0),0)</f>
        <v>555</v>
      </c>
      <c r="G3599" s="6" t="str">
        <f aca="false">IF(F3599=0,"NOT FOUND",INDEX('All Song Rankings'!$A:$A,F3599))</f>
        <v>Last Man Standing</v>
      </c>
      <c r="H3599" s="6" t="str">
        <f aca="false">IF(F3599=0,"NOT FOUND",INDEX('All Song Rankings'!$B:$B,F3599))</f>
        <v>Livingston</v>
      </c>
      <c r="I3599" s="6" t="str">
        <f aca="false">IF(F3599=0,"NOT FOUND",INDEX('All Song Rankings'!$D:$D,F3599))</f>
        <v>Leah</v>
      </c>
      <c r="J3599" s="7" t="str">
        <f aca="false">IF(F3599=0,"NOT FOUND",IF(C3599=I3599,"SELF-VOTE",IF(COUNTIF($K:$K,K3599)&gt;1,"DUPLICATE","OK")))</f>
        <v>OK</v>
      </c>
      <c r="K3599" s="6" t="str">
        <f aca="false">A3599&amp;"|"&amp;B3599&amp;"|"&amp;C3599&amp;"|"&amp;D3599</f>
        <v>6|1|Aubrey|spotify:track:6o0kogmiHd9sfWZkXrPpZC</v>
      </c>
    </row>
    <row r="3600" customFormat="false" ht="15" hidden="false" customHeight="false" outlineLevel="0" collapsed="false">
      <c r="A3600" s="5" t="n">
        <v>6</v>
      </c>
      <c r="B3600" s="5" t="n">
        <v>1</v>
      </c>
      <c r="C3600" s="5" t="s">
        <v>375</v>
      </c>
      <c r="D3600" s="5" t="s">
        <v>1714</v>
      </c>
      <c r="E3600" s="5" t="n">
        <v>1</v>
      </c>
      <c r="F3600" s="6" t="n">
        <f aca="false">IFERROR(MATCH(A3600&amp;"|"&amp;B3600&amp;"|"&amp;D3600,'All Song Rankings'!$T:$T,0),0)</f>
        <v>559</v>
      </c>
      <c r="G3600" s="6" t="str">
        <f aca="false">IF(F3600=0,"NOT FOUND",INDEX('All Song Rankings'!$A:$A,F3600))</f>
        <v>Ghost</v>
      </c>
      <c r="H3600" s="6" t="str">
        <f aca="false">IF(F3600=0,"NOT FOUND",INDEX('All Song Rankings'!$B:$B,F3600))</f>
        <v>Ava Max</v>
      </c>
      <c r="I3600" s="6" t="str">
        <f aca="false">IF(F3600=0,"NOT FOUND",INDEX('All Song Rankings'!$D:$D,F3600))</f>
        <v>Grace</v>
      </c>
      <c r="J3600" s="7" t="str">
        <f aca="false">IF(F3600=0,"NOT FOUND",IF(C3600=I3600,"SELF-VOTE",IF(COUNTIF($K:$K,K3600)&gt;1,"DUPLICATE","OK")))</f>
        <v>OK</v>
      </c>
      <c r="K3600" s="6" t="str">
        <f aca="false">A3600&amp;"|"&amp;B3600&amp;"|"&amp;C3600&amp;"|"&amp;D3600</f>
        <v>6|1|Aubrey|spotify:track:726TaMebVtCacv69K8yuRu</v>
      </c>
    </row>
    <row r="3601" customFormat="false" ht="15" hidden="false" customHeight="false" outlineLevel="0" collapsed="false">
      <c r="A3601" s="5" t="n">
        <v>6</v>
      </c>
      <c r="B3601" s="5" t="n">
        <v>1</v>
      </c>
      <c r="C3601" s="5" t="s">
        <v>375</v>
      </c>
      <c r="D3601" s="5" t="s">
        <v>1707</v>
      </c>
      <c r="E3601" s="5" t="n">
        <v>1</v>
      </c>
      <c r="F3601" s="6" t="n">
        <f aca="false">IFERROR(MATCH(A3601&amp;"|"&amp;B3601&amp;"|"&amp;D3601,'All Song Rankings'!$T:$T,0),0)</f>
        <v>556</v>
      </c>
      <c r="G3601" s="6" t="str">
        <f aca="false">IF(F3601=0,"NOT FOUND",INDEX('All Song Rankings'!$A:$A,F3601))</f>
        <v>Lovesong</v>
      </c>
      <c r="H3601" s="6" t="str">
        <f aca="false">IF(F3601=0,"NOT FOUND",INDEX('All Song Rankings'!$B:$B,F3601))</f>
        <v>The Cure</v>
      </c>
      <c r="I3601" s="6" t="str">
        <f aca="false">IF(F3601=0,"NOT FOUND",INDEX('All Song Rankings'!$D:$D,F3601))</f>
        <v>Lisa</v>
      </c>
      <c r="J3601" s="7" t="str">
        <f aca="false">IF(F3601=0,"NOT FOUND",IF(C3601=I3601,"SELF-VOTE",IF(COUNTIF($K:$K,K3601)&gt;1,"DUPLICATE","OK")))</f>
        <v>OK</v>
      </c>
      <c r="K3601" s="6" t="str">
        <f aca="false">A3601&amp;"|"&amp;B3601&amp;"|"&amp;C3601&amp;"|"&amp;D3601</f>
        <v>6|1|Aubrey|spotify:track:7K71priwuwcWwbgfHVQJdq</v>
      </c>
    </row>
    <row r="3602" customFormat="false" ht="15" hidden="false" customHeight="false" outlineLevel="0" collapsed="false">
      <c r="A3602" s="5" t="n">
        <v>6</v>
      </c>
      <c r="B3602" s="5" t="n">
        <v>1</v>
      </c>
      <c r="C3602" s="5" t="s">
        <v>375</v>
      </c>
      <c r="D3602" s="5" t="s">
        <v>1698</v>
      </c>
      <c r="E3602" s="5" t="n">
        <v>1</v>
      </c>
      <c r="F3602" s="6" t="n">
        <f aca="false">IFERROR(MATCH(A3602&amp;"|"&amp;B3602&amp;"|"&amp;D3602,'All Song Rankings'!$T:$T,0),0)</f>
        <v>553</v>
      </c>
      <c r="G3602" s="6" t="str">
        <f aca="false">IF(F3602=0,"NOT FOUND",INDEX('All Song Rankings'!$A:$A,F3602))</f>
        <v>Cherry Pie</v>
      </c>
      <c r="H3602" s="6" t="str">
        <f aca="false">IF(F3602=0,"NOT FOUND",INDEX('All Song Rankings'!$B:$B,F3602))</f>
        <v>Warrant</v>
      </c>
      <c r="I3602" s="6" t="str">
        <f aca="false">IF(F3602=0,"NOT FOUND",INDEX('All Song Rankings'!$D:$D,F3602))</f>
        <v>Colleen</v>
      </c>
      <c r="J3602" s="7" t="str">
        <f aca="false">IF(F3602=0,"NOT FOUND",IF(C3602=I3602,"SELF-VOTE",IF(COUNTIF($K:$K,K3602)&gt;1,"DUPLICATE","OK")))</f>
        <v>OK</v>
      </c>
      <c r="K3602" s="6" t="str">
        <f aca="false">A3602&amp;"|"&amp;B3602&amp;"|"&amp;C3602&amp;"|"&amp;D3602</f>
        <v>6|1|Aubrey|spotify:track:7LygtNjQ65PSdzVjUnHXQb</v>
      </c>
    </row>
    <row r="3603" customFormat="false" ht="15" hidden="false" customHeight="false" outlineLevel="0" collapsed="false">
      <c r="A3603" s="5" t="n">
        <v>6</v>
      </c>
      <c r="B3603" s="5" t="n">
        <v>1</v>
      </c>
      <c r="C3603" s="5" t="s">
        <v>719</v>
      </c>
      <c r="D3603" s="5" t="s">
        <v>1692</v>
      </c>
      <c r="E3603" s="5" t="n">
        <v>1</v>
      </c>
      <c r="F3603" s="6" t="n">
        <f aca="false">IFERROR(MATCH(A3603&amp;"|"&amp;B3603&amp;"|"&amp;D3603,'All Song Rankings'!$T:$T,0),0)</f>
        <v>551</v>
      </c>
      <c r="G3603" s="6" t="str">
        <f aca="false">IF(F3603=0,"NOT FOUND",INDEX('All Song Rankings'!$A:$A,F3603))</f>
        <v>Superstition - Single Version</v>
      </c>
      <c r="H3603" s="6" t="str">
        <f aca="false">IF(F3603=0,"NOT FOUND",INDEX('All Song Rankings'!$B:$B,F3603))</f>
        <v>Stevie Wonder</v>
      </c>
      <c r="I3603" s="6" t="str">
        <f aca="false">IF(F3603=0,"NOT FOUND",INDEX('All Song Rankings'!$D:$D,F3603))</f>
        <v>Stephanie</v>
      </c>
      <c r="J3603" s="7" t="str">
        <f aca="false">IF(F3603=0,"NOT FOUND",IF(C3603=I3603,"SELF-VOTE",IF(COUNTIF($K:$K,K3603)&gt;1,"DUPLICATE","OK")))</f>
        <v>OK</v>
      </c>
      <c r="K3603" s="6" t="str">
        <f aca="false">A3603&amp;"|"&amp;B3603&amp;"|"&amp;C3603&amp;"|"&amp;D3603</f>
        <v>6|1|Christine|spotify:track:1h2xVEoJORqrg71HocgqXd</v>
      </c>
    </row>
    <row r="3604" customFormat="false" ht="15" hidden="false" customHeight="false" outlineLevel="0" collapsed="false">
      <c r="A3604" s="5" t="n">
        <v>6</v>
      </c>
      <c r="B3604" s="5" t="n">
        <v>1</v>
      </c>
      <c r="C3604" s="5" t="s">
        <v>719</v>
      </c>
      <c r="D3604" s="5" t="s">
        <v>1695</v>
      </c>
      <c r="E3604" s="5" t="n">
        <v>1</v>
      </c>
      <c r="F3604" s="6" t="n">
        <f aca="false">IFERROR(MATCH(A3604&amp;"|"&amp;B3604&amp;"|"&amp;D3604,'All Song Rankings'!$T:$T,0),0)</f>
        <v>552</v>
      </c>
      <c r="G3604" s="6" t="str">
        <f aca="false">IF(F3604=0,"NOT FOUND",INDEX('All Song Rankings'!$A:$A,F3604))</f>
        <v>Not The 1975</v>
      </c>
      <c r="H3604" s="6" t="str">
        <f aca="false">IF(F3604=0,"NOT FOUND",INDEX('All Song Rankings'!$B:$B,F3604))</f>
        <v>Knox</v>
      </c>
      <c r="I3604" s="6" t="str">
        <f aca="false">IF(F3604=0,"NOT FOUND",INDEX('All Song Rankings'!$D:$D,F3604))</f>
        <v>Nicole</v>
      </c>
      <c r="J3604" s="7" t="str">
        <f aca="false">IF(F3604=0,"NOT FOUND",IF(C3604=I3604,"SELF-VOTE",IF(COUNTIF($K:$K,K3604)&gt;1,"DUPLICATE","OK")))</f>
        <v>OK</v>
      </c>
      <c r="K3604" s="6" t="str">
        <f aca="false">A3604&amp;"|"&amp;B3604&amp;"|"&amp;C3604&amp;"|"&amp;D3604</f>
        <v>6|1|Christine|spotify:track:2U0Zowgw2tgJXu5K56i4Q4</v>
      </c>
    </row>
    <row r="3605" customFormat="false" ht="15" hidden="false" customHeight="false" outlineLevel="0" collapsed="false">
      <c r="A3605" s="5" t="n">
        <v>6</v>
      </c>
      <c r="B3605" s="5" t="n">
        <v>1</v>
      </c>
      <c r="C3605" s="5" t="s">
        <v>719</v>
      </c>
      <c r="D3605" s="5" t="s">
        <v>1730</v>
      </c>
      <c r="E3605" s="5" t="n">
        <v>1</v>
      </c>
      <c r="F3605" s="6" t="n">
        <f aca="false">IFERROR(MATCH(A3605&amp;"|"&amp;B3605&amp;"|"&amp;D3605,'All Song Rankings'!$T:$T,0),0)</f>
        <v>565</v>
      </c>
      <c r="G3605" s="6" t="str">
        <f aca="false">IF(F3605=0,"NOT FOUND",INDEX('All Song Rankings'!$A:$A,F3605))</f>
        <v>Me, Myself &amp; I</v>
      </c>
      <c r="H3605" s="6" t="str">
        <f aca="false">IF(F3605=0,"NOT FOUND",INDEX('All Song Rankings'!$B:$B,F3605))</f>
        <v>G-Eazy</v>
      </c>
      <c r="I3605" s="6" t="str">
        <f aca="false">IF(F3605=0,"NOT FOUND",INDEX('All Song Rankings'!$D:$D,F3605))</f>
        <v>Merita</v>
      </c>
      <c r="J3605" s="7" t="str">
        <f aca="false">IF(F3605=0,"NOT FOUND",IF(C3605=I3605,"SELF-VOTE",IF(COUNTIF($K:$K,K3605)&gt;1,"DUPLICATE","OK")))</f>
        <v>OK</v>
      </c>
      <c r="K3605" s="6" t="str">
        <f aca="false">A3605&amp;"|"&amp;B3605&amp;"|"&amp;C3605&amp;"|"&amp;D3605</f>
        <v>6|1|Christine|spotify:track:40YcuQysJ0KlGQTeGUosTC</v>
      </c>
    </row>
    <row r="3606" customFormat="false" ht="15" hidden="false" customHeight="false" outlineLevel="0" collapsed="false">
      <c r="A3606" s="5" t="n">
        <v>6</v>
      </c>
      <c r="B3606" s="5" t="n">
        <v>1</v>
      </c>
      <c r="C3606" s="5" t="s">
        <v>719</v>
      </c>
      <c r="D3606" s="5" t="s">
        <v>1721</v>
      </c>
      <c r="E3606" s="5" t="n">
        <v>1</v>
      </c>
      <c r="F3606" s="6" t="n">
        <f aca="false">IFERROR(MATCH(A3606&amp;"|"&amp;B3606&amp;"|"&amp;D3606,'All Song Rankings'!$T:$T,0),0)</f>
        <v>562</v>
      </c>
      <c r="G3606" s="6" t="str">
        <f aca="false">IF(F3606=0,"NOT FOUND",INDEX('All Song Rankings'!$A:$A,F3606))</f>
        <v>Karma Chameleon</v>
      </c>
      <c r="H3606" s="6" t="str">
        <f aca="false">IF(F3606=0,"NOT FOUND",INDEX('All Song Rankings'!$B:$B,F3606))</f>
        <v>Culture Club</v>
      </c>
      <c r="I3606" s="6" t="str">
        <f aca="false">IF(F3606=0,"NOT FOUND",INDEX('All Song Rankings'!$D:$D,F3606))</f>
        <v>Kristen</v>
      </c>
      <c r="J3606" s="7" t="str">
        <f aca="false">IF(F3606=0,"NOT FOUND",IF(C3606=I3606,"SELF-VOTE",IF(COUNTIF($K:$K,K3606)&gt;1,"DUPLICATE","OK")))</f>
        <v>OK</v>
      </c>
      <c r="K3606" s="6" t="str">
        <f aca="false">A3606&amp;"|"&amp;B3606&amp;"|"&amp;C3606&amp;"|"&amp;D3606</f>
        <v>6|1|Christine|spotify:track:48O0GrGJWml3DzHhC5sJ7a</v>
      </c>
    </row>
    <row r="3607" customFormat="false" ht="15" hidden="false" customHeight="false" outlineLevel="0" collapsed="false">
      <c r="A3607" s="5" t="n">
        <v>6</v>
      </c>
      <c r="B3607" s="5" t="n">
        <v>1</v>
      </c>
      <c r="C3607" s="5" t="s">
        <v>719</v>
      </c>
      <c r="D3607" s="5" t="s">
        <v>1727</v>
      </c>
      <c r="E3607" s="5" t="n">
        <v>1</v>
      </c>
      <c r="F3607" s="6" t="n">
        <f aca="false">IFERROR(MATCH(A3607&amp;"|"&amp;B3607&amp;"|"&amp;D3607,'All Song Rankings'!$T:$T,0),0)</f>
        <v>564</v>
      </c>
      <c r="G3607" s="6" t="str">
        <f aca="false">IF(F3607=0,"NOT FOUND",INDEX('All Song Rankings'!$A:$A,F3607))</f>
        <v>See You At Your Funeral</v>
      </c>
      <c r="H3607" s="6" t="str">
        <f aca="false">IF(F3607=0,"NOT FOUND",INDEX('All Song Rankings'!$B:$B,F3607))</f>
        <v>PUP</v>
      </c>
      <c r="I3607" s="6" t="str">
        <f aca="false">IF(F3607=0,"NOT FOUND",INDEX('All Song Rankings'!$D:$D,F3607))</f>
        <v>Scott</v>
      </c>
      <c r="J3607" s="7" t="str">
        <f aca="false">IF(F3607=0,"NOT FOUND",IF(C3607=I3607,"SELF-VOTE",IF(COUNTIF($K:$K,K3607)&gt;1,"DUPLICATE","OK")))</f>
        <v>OK</v>
      </c>
      <c r="K3607" s="6" t="str">
        <f aca="false">A3607&amp;"|"&amp;B3607&amp;"|"&amp;C3607&amp;"|"&amp;D3607</f>
        <v>6|1|Christine|spotify:track:511ZEJJELVd9gYpS9u63us</v>
      </c>
    </row>
    <row r="3608" customFormat="false" ht="15" hidden="false" customHeight="false" outlineLevel="0" collapsed="false">
      <c r="A3608" s="5" t="n">
        <v>6</v>
      </c>
      <c r="B3608" s="5" t="n">
        <v>1</v>
      </c>
      <c r="C3608" s="5" t="s">
        <v>719</v>
      </c>
      <c r="D3608" s="5" t="s">
        <v>1709</v>
      </c>
      <c r="E3608" s="5" t="n">
        <v>1</v>
      </c>
      <c r="F3608" s="6" t="n">
        <f aca="false">IFERROR(MATCH(A3608&amp;"|"&amp;B3608&amp;"|"&amp;D3608,'All Song Rankings'!$T:$T,0),0)</f>
        <v>557</v>
      </c>
      <c r="G3608" s="6" t="str">
        <f aca="false">IF(F3608=0,"NOT FOUND",INDEX('All Song Rankings'!$A:$A,F3608))</f>
        <v>The Middle</v>
      </c>
      <c r="H3608" s="6" t="str">
        <f aca="false">IF(F3608=0,"NOT FOUND",INDEX('All Song Rankings'!$B:$B,F3608))</f>
        <v>Jimmy Eat World</v>
      </c>
      <c r="I3608" s="6" t="str">
        <f aca="false">IF(F3608=0,"NOT FOUND",INDEX('All Song Rankings'!$D:$D,F3608))</f>
        <v>Matt</v>
      </c>
      <c r="J3608" s="7" t="str">
        <f aca="false">IF(F3608=0,"NOT FOUND",IF(C3608=I3608,"SELF-VOTE",IF(COUNTIF($K:$K,K3608)&gt;1,"DUPLICATE","OK")))</f>
        <v>OK</v>
      </c>
      <c r="K3608" s="6" t="str">
        <f aca="false">A3608&amp;"|"&amp;B3608&amp;"|"&amp;C3608&amp;"|"&amp;D3608</f>
        <v>6|1|Christine|spotify:track:6GG73Jik4jUlQCkKg9JuGO</v>
      </c>
    </row>
    <row r="3609" customFormat="false" ht="15" hidden="false" customHeight="false" outlineLevel="0" collapsed="false">
      <c r="A3609" s="5" t="n">
        <v>6</v>
      </c>
      <c r="B3609" s="5" t="n">
        <v>1</v>
      </c>
      <c r="C3609" s="5" t="s">
        <v>719</v>
      </c>
      <c r="D3609" s="5" t="s">
        <v>1712</v>
      </c>
      <c r="E3609" s="5" t="n">
        <v>1</v>
      </c>
      <c r="F3609" s="6" t="n">
        <f aca="false">IFERROR(MATCH(A3609&amp;"|"&amp;B3609&amp;"|"&amp;D3609,'All Song Rankings'!$T:$T,0),0)</f>
        <v>558</v>
      </c>
      <c r="G3609" s="6" t="str">
        <f aca="false">IF(F3609=0,"NOT FOUND",INDEX('All Song Rankings'!$A:$A,F3609))</f>
        <v>Love You For A Long Time</v>
      </c>
      <c r="H3609" s="6" t="str">
        <f aca="false">IF(F3609=0,"NOT FOUND",INDEX('All Song Rankings'!$B:$B,F3609))</f>
        <v>Maggie Rogers</v>
      </c>
      <c r="I3609" s="6" t="str">
        <f aca="false">IF(F3609=0,"NOT FOUND",INDEX('All Song Rankings'!$D:$D,F3609))</f>
        <v>Logan</v>
      </c>
      <c r="J3609" s="7" t="str">
        <f aca="false">IF(F3609=0,"NOT FOUND",IF(C3609=I3609,"SELF-VOTE",IF(COUNTIF($K:$K,K3609)&gt;1,"DUPLICATE","OK")))</f>
        <v>OK</v>
      </c>
      <c r="K3609" s="6" t="str">
        <f aca="false">A3609&amp;"|"&amp;B3609&amp;"|"&amp;C3609&amp;"|"&amp;D3609</f>
        <v>6|1|Christine|spotify:track:6QTPacyXkZWG9FMwq6L1hJ</v>
      </c>
    </row>
    <row r="3610" customFormat="false" ht="15" hidden="false" customHeight="false" outlineLevel="0" collapsed="false">
      <c r="A3610" s="5" t="n">
        <v>6</v>
      </c>
      <c r="B3610" s="5" t="n">
        <v>1</v>
      </c>
      <c r="C3610" s="5" t="s">
        <v>719</v>
      </c>
      <c r="D3610" s="5" t="s">
        <v>1704</v>
      </c>
      <c r="E3610" s="5" t="n">
        <v>1</v>
      </c>
      <c r="F3610" s="6" t="n">
        <f aca="false">IFERROR(MATCH(A3610&amp;"|"&amp;B3610&amp;"|"&amp;D3610,'All Song Rankings'!$T:$T,0),0)</f>
        <v>555</v>
      </c>
      <c r="G3610" s="6" t="str">
        <f aca="false">IF(F3610=0,"NOT FOUND",INDEX('All Song Rankings'!$A:$A,F3610))</f>
        <v>Last Man Standing</v>
      </c>
      <c r="H3610" s="6" t="str">
        <f aca="false">IF(F3610=0,"NOT FOUND",INDEX('All Song Rankings'!$B:$B,F3610))</f>
        <v>Livingston</v>
      </c>
      <c r="I3610" s="6" t="str">
        <f aca="false">IF(F3610=0,"NOT FOUND",INDEX('All Song Rankings'!$D:$D,F3610))</f>
        <v>Leah</v>
      </c>
      <c r="J3610" s="7" t="str">
        <f aca="false">IF(F3610=0,"NOT FOUND",IF(C3610=I3610,"SELF-VOTE",IF(COUNTIF($K:$K,K3610)&gt;1,"DUPLICATE","OK")))</f>
        <v>OK</v>
      </c>
      <c r="K3610" s="6" t="str">
        <f aca="false">A3610&amp;"|"&amp;B3610&amp;"|"&amp;C3610&amp;"|"&amp;D3610</f>
        <v>6|1|Christine|spotify:track:6o0kogmiHd9sfWZkXrPpZC</v>
      </c>
    </row>
    <row r="3611" customFormat="false" ht="15" hidden="false" customHeight="false" outlineLevel="0" collapsed="false">
      <c r="A3611" s="5" t="n">
        <v>6</v>
      </c>
      <c r="B3611" s="5" t="n">
        <v>1</v>
      </c>
      <c r="C3611" s="5" t="s">
        <v>719</v>
      </c>
      <c r="D3611" s="5" t="s">
        <v>1707</v>
      </c>
      <c r="E3611" s="5" t="n">
        <v>1</v>
      </c>
      <c r="F3611" s="6" t="n">
        <f aca="false">IFERROR(MATCH(A3611&amp;"|"&amp;B3611&amp;"|"&amp;D3611,'All Song Rankings'!$T:$T,0),0)</f>
        <v>556</v>
      </c>
      <c r="G3611" s="6" t="str">
        <f aca="false">IF(F3611=0,"NOT FOUND",INDEX('All Song Rankings'!$A:$A,F3611))</f>
        <v>Lovesong</v>
      </c>
      <c r="H3611" s="6" t="str">
        <f aca="false">IF(F3611=0,"NOT FOUND",INDEX('All Song Rankings'!$B:$B,F3611))</f>
        <v>The Cure</v>
      </c>
      <c r="I3611" s="6" t="str">
        <f aca="false">IF(F3611=0,"NOT FOUND",INDEX('All Song Rankings'!$D:$D,F3611))</f>
        <v>Lisa</v>
      </c>
      <c r="J3611" s="7" t="str">
        <f aca="false">IF(F3611=0,"NOT FOUND",IF(C3611=I3611,"SELF-VOTE",IF(COUNTIF($K:$K,K3611)&gt;1,"DUPLICATE","OK")))</f>
        <v>OK</v>
      </c>
      <c r="K3611" s="6" t="str">
        <f aca="false">A3611&amp;"|"&amp;B3611&amp;"|"&amp;C3611&amp;"|"&amp;D3611</f>
        <v>6|1|Christine|spotify:track:7K71priwuwcWwbgfHVQJdq</v>
      </c>
    </row>
    <row r="3612" customFormat="false" ht="15" hidden="false" customHeight="false" outlineLevel="0" collapsed="false">
      <c r="A3612" s="5" t="n">
        <v>6</v>
      </c>
      <c r="B3612" s="5" t="n">
        <v>1</v>
      </c>
      <c r="C3612" s="5" t="s">
        <v>719</v>
      </c>
      <c r="D3612" s="5" t="s">
        <v>1698</v>
      </c>
      <c r="E3612" s="5" t="n">
        <v>1</v>
      </c>
      <c r="F3612" s="6" t="n">
        <f aca="false">IFERROR(MATCH(A3612&amp;"|"&amp;B3612&amp;"|"&amp;D3612,'All Song Rankings'!$T:$T,0),0)</f>
        <v>553</v>
      </c>
      <c r="G3612" s="6" t="str">
        <f aca="false">IF(F3612=0,"NOT FOUND",INDEX('All Song Rankings'!$A:$A,F3612))</f>
        <v>Cherry Pie</v>
      </c>
      <c r="H3612" s="6" t="str">
        <f aca="false">IF(F3612=0,"NOT FOUND",INDEX('All Song Rankings'!$B:$B,F3612))</f>
        <v>Warrant</v>
      </c>
      <c r="I3612" s="6" t="str">
        <f aca="false">IF(F3612=0,"NOT FOUND",INDEX('All Song Rankings'!$D:$D,F3612))</f>
        <v>Colleen</v>
      </c>
      <c r="J3612" s="7" t="str">
        <f aca="false">IF(F3612=0,"NOT FOUND",IF(C3612=I3612,"SELF-VOTE",IF(COUNTIF($K:$K,K3612)&gt;1,"DUPLICATE","OK")))</f>
        <v>OK</v>
      </c>
      <c r="K3612" s="6" t="str">
        <f aca="false">A3612&amp;"|"&amp;B3612&amp;"|"&amp;C3612&amp;"|"&amp;D3612</f>
        <v>6|1|Christine|spotify:track:7LygtNjQ65PSdzVjUnHXQb</v>
      </c>
    </row>
    <row r="3613" customFormat="false" ht="15" hidden="false" customHeight="false" outlineLevel="0" collapsed="false">
      <c r="A3613" s="5" t="n">
        <v>6</v>
      </c>
      <c r="B3613" s="5" t="n">
        <v>1</v>
      </c>
      <c r="C3613" s="5" t="s">
        <v>637</v>
      </c>
      <c r="D3613" s="5" t="s">
        <v>1718</v>
      </c>
      <c r="E3613" s="5" t="n">
        <v>1</v>
      </c>
      <c r="F3613" s="6" t="n">
        <f aca="false">IFERROR(MATCH(A3613&amp;"|"&amp;B3613&amp;"|"&amp;D3613,'All Song Rankings'!$T:$T,0),0)</f>
        <v>561</v>
      </c>
      <c r="G3613" s="6" t="str">
        <f aca="false">IF(F3613=0,"NOT FOUND",INDEX('All Song Rankings'!$A:$A,F3613))</f>
        <v>Anti-Hero</v>
      </c>
      <c r="H3613" s="6" t="str">
        <f aca="false">IF(F3613=0,"NOT FOUND",INDEX('All Song Rankings'!$B:$B,F3613))</f>
        <v>Taylor Swift</v>
      </c>
      <c r="I3613" s="6" t="str">
        <f aca="false">IF(F3613=0,"NOT FOUND",INDEX('All Song Rankings'!$D:$D,F3613))</f>
        <v>Aubrey</v>
      </c>
      <c r="J3613" s="7" t="str">
        <f aca="false">IF(F3613=0,"NOT FOUND",IF(C3613=I3613,"SELF-VOTE",IF(COUNTIF($K:$K,K3613)&gt;1,"DUPLICATE","OK")))</f>
        <v>OK</v>
      </c>
      <c r="K3613" s="6" t="str">
        <f aca="false">A3613&amp;"|"&amp;B3613&amp;"|"&amp;C3613&amp;"|"&amp;D3613</f>
        <v>6|1|Colleen|spotify:track:0V3wPSX9ygBnCm8psDIegu</v>
      </c>
    </row>
    <row r="3614" customFormat="false" ht="15" hidden="false" customHeight="false" outlineLevel="0" collapsed="false">
      <c r="A3614" s="5" t="n">
        <v>6</v>
      </c>
      <c r="B3614" s="5" t="n">
        <v>1</v>
      </c>
      <c r="C3614" s="5" t="s">
        <v>637</v>
      </c>
      <c r="D3614" s="5" t="s">
        <v>1692</v>
      </c>
      <c r="E3614" s="5" t="n">
        <v>1</v>
      </c>
      <c r="F3614" s="6" t="n">
        <f aca="false">IFERROR(MATCH(A3614&amp;"|"&amp;B3614&amp;"|"&amp;D3614,'All Song Rankings'!$T:$T,0),0)</f>
        <v>551</v>
      </c>
      <c r="G3614" s="6" t="str">
        <f aca="false">IF(F3614=0,"NOT FOUND",INDEX('All Song Rankings'!$A:$A,F3614))</f>
        <v>Superstition - Single Version</v>
      </c>
      <c r="H3614" s="6" t="str">
        <f aca="false">IF(F3614=0,"NOT FOUND",INDEX('All Song Rankings'!$B:$B,F3614))</f>
        <v>Stevie Wonder</v>
      </c>
      <c r="I3614" s="6" t="str">
        <f aca="false">IF(F3614=0,"NOT FOUND",INDEX('All Song Rankings'!$D:$D,F3614))</f>
        <v>Stephanie</v>
      </c>
      <c r="J3614" s="7" t="str">
        <f aca="false">IF(F3614=0,"NOT FOUND",IF(C3614=I3614,"SELF-VOTE",IF(COUNTIF($K:$K,K3614)&gt;1,"DUPLICATE","OK")))</f>
        <v>OK</v>
      </c>
      <c r="K3614" s="6" t="str">
        <f aca="false">A3614&amp;"|"&amp;B3614&amp;"|"&amp;C3614&amp;"|"&amp;D3614</f>
        <v>6|1|Colleen|spotify:track:1h2xVEoJORqrg71HocgqXd</v>
      </c>
    </row>
    <row r="3615" customFormat="false" ht="15" hidden="false" customHeight="false" outlineLevel="0" collapsed="false">
      <c r="A3615" s="5" t="n">
        <v>6</v>
      </c>
      <c r="B3615" s="5" t="n">
        <v>1</v>
      </c>
      <c r="C3615" s="5" t="s">
        <v>637</v>
      </c>
      <c r="D3615" s="5" t="s">
        <v>1695</v>
      </c>
      <c r="E3615" s="5" t="n">
        <v>1</v>
      </c>
      <c r="F3615" s="6" t="n">
        <f aca="false">IFERROR(MATCH(A3615&amp;"|"&amp;B3615&amp;"|"&amp;D3615,'All Song Rankings'!$T:$T,0),0)</f>
        <v>552</v>
      </c>
      <c r="G3615" s="6" t="str">
        <f aca="false">IF(F3615=0,"NOT FOUND",INDEX('All Song Rankings'!$A:$A,F3615))</f>
        <v>Not The 1975</v>
      </c>
      <c r="H3615" s="6" t="str">
        <f aca="false">IF(F3615=0,"NOT FOUND",INDEX('All Song Rankings'!$B:$B,F3615))</f>
        <v>Knox</v>
      </c>
      <c r="I3615" s="6" t="str">
        <f aca="false">IF(F3615=0,"NOT FOUND",INDEX('All Song Rankings'!$D:$D,F3615))</f>
        <v>Nicole</v>
      </c>
      <c r="J3615" s="7" t="str">
        <f aca="false">IF(F3615=0,"NOT FOUND",IF(C3615=I3615,"SELF-VOTE",IF(COUNTIF($K:$K,K3615)&gt;1,"DUPLICATE","OK")))</f>
        <v>OK</v>
      </c>
      <c r="K3615" s="6" t="str">
        <f aca="false">A3615&amp;"|"&amp;B3615&amp;"|"&amp;C3615&amp;"|"&amp;D3615</f>
        <v>6|1|Colleen|spotify:track:2U0Zowgw2tgJXu5K56i4Q4</v>
      </c>
    </row>
    <row r="3616" customFormat="false" ht="15" hidden="false" customHeight="false" outlineLevel="0" collapsed="false">
      <c r="A3616" s="5" t="n">
        <v>6</v>
      </c>
      <c r="B3616" s="5" t="n">
        <v>1</v>
      </c>
      <c r="C3616" s="5" t="s">
        <v>637</v>
      </c>
      <c r="D3616" s="5" t="s">
        <v>1724</v>
      </c>
      <c r="E3616" s="5" t="n">
        <v>1</v>
      </c>
      <c r="F3616" s="6" t="n">
        <f aca="false">IFERROR(MATCH(A3616&amp;"|"&amp;B3616&amp;"|"&amp;D3616,'All Song Rankings'!$T:$T,0),0)</f>
        <v>563</v>
      </c>
      <c r="G3616" s="6" t="str">
        <f aca="false">IF(F3616=0,"NOT FOUND",INDEX('All Song Rankings'!$A:$A,F3616))</f>
        <v>Middle Finger (feat. Mac Miller)</v>
      </c>
      <c r="H3616" s="6" t="str">
        <f aca="false">IF(F3616=0,"NOT FOUND",INDEX('All Song Rankings'!$B:$B,F3616))</f>
        <v>Cobra Starship</v>
      </c>
      <c r="I3616" s="6" t="str">
        <f aca="false">IF(F3616=0,"NOT FOUND",INDEX('All Song Rankings'!$D:$D,F3616))</f>
        <v>Makenzie</v>
      </c>
      <c r="J3616" s="7" t="str">
        <f aca="false">IF(F3616=0,"NOT FOUND",IF(C3616=I3616,"SELF-VOTE",IF(COUNTIF($K:$K,K3616)&gt;1,"DUPLICATE","OK")))</f>
        <v>OK</v>
      </c>
      <c r="K3616" s="6" t="str">
        <f aca="false">A3616&amp;"|"&amp;B3616&amp;"|"&amp;C3616&amp;"|"&amp;D3616</f>
        <v>6|1|Colleen|spotify:track:2vjmUmO71XEDuitvK4sxRM</v>
      </c>
    </row>
    <row r="3617" customFormat="false" ht="15" hidden="false" customHeight="false" outlineLevel="0" collapsed="false">
      <c r="A3617" s="5" t="n">
        <v>6</v>
      </c>
      <c r="B3617" s="5" t="n">
        <v>1</v>
      </c>
      <c r="C3617" s="5" t="s">
        <v>637</v>
      </c>
      <c r="D3617" s="5" t="s">
        <v>1709</v>
      </c>
      <c r="E3617" s="5" t="n">
        <v>2</v>
      </c>
      <c r="F3617" s="6" t="n">
        <f aca="false">IFERROR(MATCH(A3617&amp;"|"&amp;B3617&amp;"|"&amp;D3617,'All Song Rankings'!$T:$T,0),0)</f>
        <v>557</v>
      </c>
      <c r="G3617" s="6" t="str">
        <f aca="false">IF(F3617=0,"NOT FOUND",INDEX('All Song Rankings'!$A:$A,F3617))</f>
        <v>The Middle</v>
      </c>
      <c r="H3617" s="6" t="str">
        <f aca="false">IF(F3617=0,"NOT FOUND",INDEX('All Song Rankings'!$B:$B,F3617))</f>
        <v>Jimmy Eat World</v>
      </c>
      <c r="I3617" s="6" t="str">
        <f aca="false">IF(F3617=0,"NOT FOUND",INDEX('All Song Rankings'!$D:$D,F3617))</f>
        <v>Matt</v>
      </c>
      <c r="J3617" s="7" t="str">
        <f aca="false">IF(F3617=0,"NOT FOUND",IF(C3617=I3617,"SELF-VOTE",IF(COUNTIF($K:$K,K3617)&gt;1,"DUPLICATE","OK")))</f>
        <v>OK</v>
      </c>
      <c r="K3617" s="6" t="str">
        <f aca="false">A3617&amp;"|"&amp;B3617&amp;"|"&amp;C3617&amp;"|"&amp;D3617</f>
        <v>6|1|Colleen|spotify:track:6GG73Jik4jUlQCkKg9JuGO</v>
      </c>
    </row>
    <row r="3618" customFormat="false" ht="15" hidden="false" customHeight="false" outlineLevel="0" collapsed="false">
      <c r="A3618" s="5" t="n">
        <v>6</v>
      </c>
      <c r="B3618" s="5" t="n">
        <v>1</v>
      </c>
      <c r="C3618" s="5" t="s">
        <v>637</v>
      </c>
      <c r="D3618" s="5" t="s">
        <v>1712</v>
      </c>
      <c r="E3618" s="5" t="n">
        <v>1</v>
      </c>
      <c r="F3618" s="6" t="n">
        <f aca="false">IFERROR(MATCH(A3618&amp;"|"&amp;B3618&amp;"|"&amp;D3618,'All Song Rankings'!$T:$T,0),0)</f>
        <v>558</v>
      </c>
      <c r="G3618" s="6" t="str">
        <f aca="false">IF(F3618=0,"NOT FOUND",INDEX('All Song Rankings'!$A:$A,F3618))</f>
        <v>Love You For A Long Time</v>
      </c>
      <c r="H3618" s="6" t="str">
        <f aca="false">IF(F3618=0,"NOT FOUND",INDEX('All Song Rankings'!$B:$B,F3618))</f>
        <v>Maggie Rogers</v>
      </c>
      <c r="I3618" s="6" t="str">
        <f aca="false">IF(F3618=0,"NOT FOUND",INDEX('All Song Rankings'!$D:$D,F3618))</f>
        <v>Logan</v>
      </c>
      <c r="J3618" s="7" t="str">
        <f aca="false">IF(F3618=0,"NOT FOUND",IF(C3618=I3618,"SELF-VOTE",IF(COUNTIF($K:$K,K3618)&gt;1,"DUPLICATE","OK")))</f>
        <v>OK</v>
      </c>
      <c r="K3618" s="6" t="str">
        <f aca="false">A3618&amp;"|"&amp;B3618&amp;"|"&amp;C3618&amp;"|"&amp;D3618</f>
        <v>6|1|Colleen|spotify:track:6QTPacyXkZWG9FMwq6L1hJ</v>
      </c>
    </row>
    <row r="3619" customFormat="false" ht="15" hidden="false" customHeight="false" outlineLevel="0" collapsed="false">
      <c r="A3619" s="5" t="n">
        <v>6</v>
      </c>
      <c r="B3619" s="5" t="n">
        <v>1</v>
      </c>
      <c r="C3619" s="5" t="s">
        <v>637</v>
      </c>
      <c r="D3619" s="5" t="s">
        <v>1704</v>
      </c>
      <c r="E3619" s="5" t="n">
        <v>1</v>
      </c>
      <c r="F3619" s="6" t="n">
        <f aca="false">IFERROR(MATCH(A3619&amp;"|"&amp;B3619&amp;"|"&amp;D3619,'All Song Rankings'!$T:$T,0),0)</f>
        <v>555</v>
      </c>
      <c r="G3619" s="6" t="str">
        <f aca="false">IF(F3619=0,"NOT FOUND",INDEX('All Song Rankings'!$A:$A,F3619))</f>
        <v>Last Man Standing</v>
      </c>
      <c r="H3619" s="6" t="str">
        <f aca="false">IF(F3619=0,"NOT FOUND",INDEX('All Song Rankings'!$B:$B,F3619))</f>
        <v>Livingston</v>
      </c>
      <c r="I3619" s="6" t="str">
        <f aca="false">IF(F3619=0,"NOT FOUND",INDEX('All Song Rankings'!$D:$D,F3619))</f>
        <v>Leah</v>
      </c>
      <c r="J3619" s="7" t="str">
        <f aca="false">IF(F3619=0,"NOT FOUND",IF(C3619=I3619,"SELF-VOTE",IF(COUNTIF($K:$K,K3619)&gt;1,"DUPLICATE","OK")))</f>
        <v>OK</v>
      </c>
      <c r="K3619" s="6" t="str">
        <f aca="false">A3619&amp;"|"&amp;B3619&amp;"|"&amp;C3619&amp;"|"&amp;D3619</f>
        <v>6|1|Colleen|spotify:track:6o0kogmiHd9sfWZkXrPpZC</v>
      </c>
    </row>
    <row r="3620" customFormat="false" ht="15" hidden="false" customHeight="false" outlineLevel="0" collapsed="false">
      <c r="A3620" s="5" t="n">
        <v>6</v>
      </c>
      <c r="B3620" s="5" t="n">
        <v>1</v>
      </c>
      <c r="C3620" s="5" t="s">
        <v>637</v>
      </c>
      <c r="D3620" s="5" t="s">
        <v>1714</v>
      </c>
      <c r="E3620" s="5" t="n">
        <v>1</v>
      </c>
      <c r="F3620" s="6" t="n">
        <f aca="false">IFERROR(MATCH(A3620&amp;"|"&amp;B3620&amp;"|"&amp;D3620,'All Song Rankings'!$T:$T,0),0)</f>
        <v>559</v>
      </c>
      <c r="G3620" s="6" t="str">
        <f aca="false">IF(F3620=0,"NOT FOUND",INDEX('All Song Rankings'!$A:$A,F3620))</f>
        <v>Ghost</v>
      </c>
      <c r="H3620" s="6" t="str">
        <f aca="false">IF(F3620=0,"NOT FOUND",INDEX('All Song Rankings'!$B:$B,F3620))</f>
        <v>Ava Max</v>
      </c>
      <c r="I3620" s="6" t="str">
        <f aca="false">IF(F3620=0,"NOT FOUND",INDEX('All Song Rankings'!$D:$D,F3620))</f>
        <v>Grace</v>
      </c>
      <c r="J3620" s="7" t="str">
        <f aca="false">IF(F3620=0,"NOT FOUND",IF(C3620=I3620,"SELF-VOTE",IF(COUNTIF($K:$K,K3620)&gt;1,"DUPLICATE","OK")))</f>
        <v>OK</v>
      </c>
      <c r="K3620" s="6" t="str">
        <f aca="false">A3620&amp;"|"&amp;B3620&amp;"|"&amp;C3620&amp;"|"&amp;D3620</f>
        <v>6|1|Colleen|spotify:track:726TaMebVtCacv69K8yuRu</v>
      </c>
    </row>
    <row r="3621" customFormat="false" ht="15" hidden="false" customHeight="false" outlineLevel="0" collapsed="false">
      <c r="A3621" s="5" t="n">
        <v>6</v>
      </c>
      <c r="B3621" s="5" t="n">
        <v>1</v>
      </c>
      <c r="C3621" s="5" t="s">
        <v>637</v>
      </c>
      <c r="D3621" s="5" t="s">
        <v>1716</v>
      </c>
      <c r="E3621" s="5" t="n">
        <v>1</v>
      </c>
      <c r="F3621" s="6" t="n">
        <f aca="false">IFERROR(MATCH(A3621&amp;"|"&amp;B3621&amp;"|"&amp;D3621,'All Song Rankings'!$T:$T,0),0)</f>
        <v>560</v>
      </c>
      <c r="G3621" s="6" t="str">
        <f aca="false">IF(F3621=0,"NOT FOUND",INDEX('All Song Rankings'!$A:$A,F3621))</f>
        <v>Kings &amp; Queens</v>
      </c>
      <c r="H3621" s="6" t="str">
        <f aca="false">IF(F3621=0,"NOT FOUND",INDEX('All Song Rankings'!$B:$B,F3621))</f>
        <v>Ava Max</v>
      </c>
      <c r="I3621" s="6" t="str">
        <f aca="false">IF(F3621=0,"NOT FOUND",INDEX('All Song Rankings'!$D:$D,F3621))</f>
        <v>Kelsey</v>
      </c>
      <c r="J3621" s="7" t="str">
        <f aca="false">IF(F3621=0,"NOT FOUND",IF(C3621=I3621,"SELF-VOTE",IF(COUNTIF($K:$K,K3621)&gt;1,"DUPLICATE","OK")))</f>
        <v>OK</v>
      </c>
      <c r="K3621" s="6" t="str">
        <f aca="false">A3621&amp;"|"&amp;B3621&amp;"|"&amp;C3621&amp;"|"&amp;D3621</f>
        <v>6|1|Colleen|spotify:track:7a53HqqArd4b9NF4XAmlbI</v>
      </c>
    </row>
    <row r="3622" customFormat="false" ht="15" hidden="false" customHeight="false" outlineLevel="0" collapsed="false">
      <c r="A3622" s="5" t="n">
        <v>6</v>
      </c>
      <c r="B3622" s="5" t="n">
        <v>1</v>
      </c>
      <c r="C3622" s="5" t="s">
        <v>382</v>
      </c>
      <c r="D3622" s="5" t="s">
        <v>1701</v>
      </c>
      <c r="E3622" s="5" t="n">
        <v>1</v>
      </c>
      <c r="F3622" s="6" t="n">
        <f aca="false">IFERROR(MATCH(A3622&amp;"|"&amp;B3622&amp;"|"&amp;D3622,'All Song Rankings'!$T:$T,0),0)</f>
        <v>554</v>
      </c>
      <c r="G3622" s="6" t="str">
        <f aca="false">IF(F3622=0,"NOT FOUND",INDEX('All Song Rankings'!$A:$A,F3622))</f>
        <v>California Dreamin'</v>
      </c>
      <c r="H3622" s="6" t="str">
        <f aca="false">IF(F3622=0,"NOT FOUND",INDEX('All Song Rankings'!$B:$B,F3622))</f>
        <v>The Mamas &amp; The Papas</v>
      </c>
      <c r="I3622" s="6" t="str">
        <f aca="false">IF(F3622=0,"NOT FOUND",INDEX('All Song Rankings'!$D:$D,F3622))</f>
        <v>Christine</v>
      </c>
      <c r="J3622" s="7" t="str">
        <f aca="false">IF(F3622=0,"NOT FOUND",IF(C3622=I3622,"SELF-VOTE",IF(COUNTIF($K:$K,K3622)&gt;1,"DUPLICATE","OK")))</f>
        <v>OK</v>
      </c>
      <c r="K3622" s="6" t="str">
        <f aca="false">A3622&amp;"|"&amp;B3622&amp;"|"&amp;C3622&amp;"|"&amp;D3622</f>
        <v>6|1|Grace|spotify:track:1ZEOIhSn6BKErV59bIgn76</v>
      </c>
    </row>
    <row r="3623" customFormat="false" ht="15" hidden="false" customHeight="false" outlineLevel="0" collapsed="false">
      <c r="A3623" s="5" t="n">
        <v>6</v>
      </c>
      <c r="B3623" s="5" t="n">
        <v>1</v>
      </c>
      <c r="C3623" s="5" t="s">
        <v>382</v>
      </c>
      <c r="D3623" s="5" t="s">
        <v>1692</v>
      </c>
      <c r="E3623" s="5" t="n">
        <v>3</v>
      </c>
      <c r="F3623" s="6" t="n">
        <f aca="false">IFERROR(MATCH(A3623&amp;"|"&amp;B3623&amp;"|"&amp;D3623,'All Song Rankings'!$T:$T,0),0)</f>
        <v>551</v>
      </c>
      <c r="G3623" s="6" t="str">
        <f aca="false">IF(F3623=0,"NOT FOUND",INDEX('All Song Rankings'!$A:$A,F3623))</f>
        <v>Superstition - Single Version</v>
      </c>
      <c r="H3623" s="6" t="str">
        <f aca="false">IF(F3623=0,"NOT FOUND",INDEX('All Song Rankings'!$B:$B,F3623))</f>
        <v>Stevie Wonder</v>
      </c>
      <c r="I3623" s="6" t="str">
        <f aca="false">IF(F3623=0,"NOT FOUND",INDEX('All Song Rankings'!$D:$D,F3623))</f>
        <v>Stephanie</v>
      </c>
      <c r="J3623" s="7" t="str">
        <f aca="false">IF(F3623=0,"NOT FOUND",IF(C3623=I3623,"SELF-VOTE",IF(COUNTIF($K:$K,K3623)&gt;1,"DUPLICATE","OK")))</f>
        <v>OK</v>
      </c>
      <c r="K3623" s="6" t="str">
        <f aca="false">A3623&amp;"|"&amp;B3623&amp;"|"&amp;C3623&amp;"|"&amp;D3623</f>
        <v>6|1|Grace|spotify:track:1h2xVEoJORqrg71HocgqXd</v>
      </c>
    </row>
    <row r="3624" customFormat="false" ht="15" hidden="false" customHeight="false" outlineLevel="0" collapsed="false">
      <c r="A3624" s="5" t="n">
        <v>6</v>
      </c>
      <c r="B3624" s="5" t="n">
        <v>1</v>
      </c>
      <c r="C3624" s="5" t="s">
        <v>382</v>
      </c>
      <c r="D3624" s="5" t="s">
        <v>1695</v>
      </c>
      <c r="E3624" s="5" t="n">
        <v>3</v>
      </c>
      <c r="F3624" s="6" t="n">
        <f aca="false">IFERROR(MATCH(A3624&amp;"|"&amp;B3624&amp;"|"&amp;D3624,'All Song Rankings'!$T:$T,0),0)</f>
        <v>552</v>
      </c>
      <c r="G3624" s="6" t="str">
        <f aca="false">IF(F3624=0,"NOT FOUND",INDEX('All Song Rankings'!$A:$A,F3624))</f>
        <v>Not The 1975</v>
      </c>
      <c r="H3624" s="6" t="str">
        <f aca="false">IF(F3624=0,"NOT FOUND",INDEX('All Song Rankings'!$B:$B,F3624))</f>
        <v>Knox</v>
      </c>
      <c r="I3624" s="6" t="str">
        <f aca="false">IF(F3624=0,"NOT FOUND",INDEX('All Song Rankings'!$D:$D,F3624))</f>
        <v>Nicole</v>
      </c>
      <c r="J3624" s="7" t="str">
        <f aca="false">IF(F3624=0,"NOT FOUND",IF(C3624=I3624,"SELF-VOTE",IF(COUNTIF($K:$K,K3624)&gt;1,"DUPLICATE","OK")))</f>
        <v>OK</v>
      </c>
      <c r="K3624" s="6" t="str">
        <f aca="false">A3624&amp;"|"&amp;B3624&amp;"|"&amp;C3624&amp;"|"&amp;D3624</f>
        <v>6|1|Grace|spotify:track:2U0Zowgw2tgJXu5K56i4Q4</v>
      </c>
    </row>
    <row r="3625" customFormat="false" ht="15" hidden="false" customHeight="false" outlineLevel="0" collapsed="false">
      <c r="A3625" s="5" t="n">
        <v>6</v>
      </c>
      <c r="B3625" s="5" t="n">
        <v>1</v>
      </c>
      <c r="C3625" s="5" t="s">
        <v>382</v>
      </c>
      <c r="D3625" s="5" t="s">
        <v>1709</v>
      </c>
      <c r="E3625" s="5" t="n">
        <v>1</v>
      </c>
      <c r="F3625" s="6" t="n">
        <f aca="false">IFERROR(MATCH(A3625&amp;"|"&amp;B3625&amp;"|"&amp;D3625,'All Song Rankings'!$T:$T,0),0)</f>
        <v>557</v>
      </c>
      <c r="G3625" s="6" t="str">
        <f aca="false">IF(F3625=0,"NOT FOUND",INDEX('All Song Rankings'!$A:$A,F3625))</f>
        <v>The Middle</v>
      </c>
      <c r="H3625" s="6" t="str">
        <f aca="false">IF(F3625=0,"NOT FOUND",INDEX('All Song Rankings'!$B:$B,F3625))</f>
        <v>Jimmy Eat World</v>
      </c>
      <c r="I3625" s="6" t="str">
        <f aca="false">IF(F3625=0,"NOT FOUND",INDEX('All Song Rankings'!$D:$D,F3625))</f>
        <v>Matt</v>
      </c>
      <c r="J3625" s="7" t="str">
        <f aca="false">IF(F3625=0,"NOT FOUND",IF(C3625=I3625,"SELF-VOTE",IF(COUNTIF($K:$K,K3625)&gt;1,"DUPLICATE","OK")))</f>
        <v>OK</v>
      </c>
      <c r="K3625" s="6" t="str">
        <f aca="false">A3625&amp;"|"&amp;B3625&amp;"|"&amp;C3625&amp;"|"&amp;D3625</f>
        <v>6|1|Grace|spotify:track:6GG73Jik4jUlQCkKg9JuGO</v>
      </c>
    </row>
    <row r="3626" customFormat="false" ht="15" hidden="false" customHeight="false" outlineLevel="0" collapsed="false">
      <c r="A3626" s="5" t="n">
        <v>6</v>
      </c>
      <c r="B3626" s="5" t="n">
        <v>1</v>
      </c>
      <c r="C3626" s="5" t="s">
        <v>382</v>
      </c>
      <c r="D3626" s="5" t="s">
        <v>1712</v>
      </c>
      <c r="E3626" s="5" t="n">
        <v>2</v>
      </c>
      <c r="F3626" s="6" t="n">
        <f aca="false">IFERROR(MATCH(A3626&amp;"|"&amp;B3626&amp;"|"&amp;D3626,'All Song Rankings'!$T:$T,0),0)</f>
        <v>558</v>
      </c>
      <c r="G3626" s="6" t="str">
        <f aca="false">IF(F3626=0,"NOT FOUND",INDEX('All Song Rankings'!$A:$A,F3626))</f>
        <v>Love You For A Long Time</v>
      </c>
      <c r="H3626" s="6" t="str">
        <f aca="false">IF(F3626=0,"NOT FOUND",INDEX('All Song Rankings'!$B:$B,F3626))</f>
        <v>Maggie Rogers</v>
      </c>
      <c r="I3626" s="6" t="str">
        <f aca="false">IF(F3626=0,"NOT FOUND",INDEX('All Song Rankings'!$D:$D,F3626))</f>
        <v>Logan</v>
      </c>
      <c r="J3626" s="7" t="str">
        <f aca="false">IF(F3626=0,"NOT FOUND",IF(C3626=I3626,"SELF-VOTE",IF(COUNTIF($K:$K,K3626)&gt;1,"DUPLICATE","OK")))</f>
        <v>OK</v>
      </c>
      <c r="K3626" s="6" t="str">
        <f aca="false">A3626&amp;"|"&amp;B3626&amp;"|"&amp;C3626&amp;"|"&amp;D3626</f>
        <v>6|1|Grace|spotify:track:6QTPacyXkZWG9FMwq6L1hJ</v>
      </c>
    </row>
    <row r="3627" customFormat="false" ht="15" hidden="false" customHeight="false" outlineLevel="0" collapsed="false">
      <c r="A3627" s="5" t="n">
        <v>6</v>
      </c>
      <c r="B3627" s="5" t="n">
        <v>1</v>
      </c>
      <c r="C3627" s="5" t="s">
        <v>85</v>
      </c>
      <c r="D3627" s="5" t="s">
        <v>1718</v>
      </c>
      <c r="E3627" s="5" t="n">
        <v>1</v>
      </c>
      <c r="F3627" s="6" t="n">
        <f aca="false">IFERROR(MATCH(A3627&amp;"|"&amp;B3627&amp;"|"&amp;D3627,'All Song Rankings'!$T:$T,0),0)</f>
        <v>561</v>
      </c>
      <c r="G3627" s="6" t="str">
        <f aca="false">IF(F3627=0,"NOT FOUND",INDEX('All Song Rankings'!$A:$A,F3627))</f>
        <v>Anti-Hero</v>
      </c>
      <c r="H3627" s="6" t="str">
        <f aca="false">IF(F3627=0,"NOT FOUND",INDEX('All Song Rankings'!$B:$B,F3627))</f>
        <v>Taylor Swift</v>
      </c>
      <c r="I3627" s="6" t="str">
        <f aca="false">IF(F3627=0,"NOT FOUND",INDEX('All Song Rankings'!$D:$D,F3627))</f>
        <v>Aubrey</v>
      </c>
      <c r="J3627" s="7" t="str">
        <f aca="false">IF(F3627=0,"NOT FOUND",IF(C3627=I3627,"SELF-VOTE",IF(COUNTIF($K:$K,K3627)&gt;1,"DUPLICATE","OK")))</f>
        <v>OK</v>
      </c>
      <c r="K3627" s="6" t="str">
        <f aca="false">A3627&amp;"|"&amp;B3627&amp;"|"&amp;C3627&amp;"|"&amp;D3627</f>
        <v>6|1|Kelsey|spotify:track:0V3wPSX9ygBnCm8psDIegu</v>
      </c>
    </row>
    <row r="3628" customFormat="false" ht="15" hidden="false" customHeight="false" outlineLevel="0" collapsed="false">
      <c r="A3628" s="5" t="n">
        <v>6</v>
      </c>
      <c r="B3628" s="5" t="n">
        <v>1</v>
      </c>
      <c r="C3628" s="5" t="s">
        <v>85</v>
      </c>
      <c r="D3628" s="5" t="s">
        <v>1692</v>
      </c>
      <c r="E3628" s="5" t="n">
        <v>1</v>
      </c>
      <c r="F3628" s="6" t="n">
        <f aca="false">IFERROR(MATCH(A3628&amp;"|"&amp;B3628&amp;"|"&amp;D3628,'All Song Rankings'!$T:$T,0),0)</f>
        <v>551</v>
      </c>
      <c r="G3628" s="6" t="str">
        <f aca="false">IF(F3628=0,"NOT FOUND",INDEX('All Song Rankings'!$A:$A,F3628))</f>
        <v>Superstition - Single Version</v>
      </c>
      <c r="H3628" s="6" t="str">
        <f aca="false">IF(F3628=0,"NOT FOUND",INDEX('All Song Rankings'!$B:$B,F3628))</f>
        <v>Stevie Wonder</v>
      </c>
      <c r="I3628" s="6" t="str">
        <f aca="false">IF(F3628=0,"NOT FOUND",INDEX('All Song Rankings'!$D:$D,F3628))</f>
        <v>Stephanie</v>
      </c>
      <c r="J3628" s="7" t="str">
        <f aca="false">IF(F3628=0,"NOT FOUND",IF(C3628=I3628,"SELF-VOTE",IF(COUNTIF($K:$K,K3628)&gt;1,"DUPLICATE","OK")))</f>
        <v>OK</v>
      </c>
      <c r="K3628" s="6" t="str">
        <f aca="false">A3628&amp;"|"&amp;B3628&amp;"|"&amp;C3628&amp;"|"&amp;D3628</f>
        <v>6|1|Kelsey|spotify:track:1h2xVEoJORqrg71HocgqXd</v>
      </c>
    </row>
    <row r="3629" customFormat="false" ht="15" hidden="false" customHeight="false" outlineLevel="0" collapsed="false">
      <c r="A3629" s="5" t="n">
        <v>6</v>
      </c>
      <c r="B3629" s="5" t="n">
        <v>1</v>
      </c>
      <c r="C3629" s="5" t="s">
        <v>85</v>
      </c>
      <c r="D3629" s="5" t="s">
        <v>1695</v>
      </c>
      <c r="E3629" s="5" t="n">
        <v>2</v>
      </c>
      <c r="F3629" s="6" t="n">
        <f aca="false">IFERROR(MATCH(A3629&amp;"|"&amp;B3629&amp;"|"&amp;D3629,'All Song Rankings'!$T:$T,0),0)</f>
        <v>552</v>
      </c>
      <c r="G3629" s="6" t="str">
        <f aca="false">IF(F3629=0,"NOT FOUND",INDEX('All Song Rankings'!$A:$A,F3629))</f>
        <v>Not The 1975</v>
      </c>
      <c r="H3629" s="6" t="str">
        <f aca="false">IF(F3629=0,"NOT FOUND",INDEX('All Song Rankings'!$B:$B,F3629))</f>
        <v>Knox</v>
      </c>
      <c r="I3629" s="6" t="str">
        <f aca="false">IF(F3629=0,"NOT FOUND",INDEX('All Song Rankings'!$D:$D,F3629))</f>
        <v>Nicole</v>
      </c>
      <c r="J3629" s="7" t="str">
        <f aca="false">IF(F3629=0,"NOT FOUND",IF(C3629=I3629,"SELF-VOTE",IF(COUNTIF($K:$K,K3629)&gt;1,"DUPLICATE","OK")))</f>
        <v>OK</v>
      </c>
      <c r="K3629" s="6" t="str">
        <f aca="false">A3629&amp;"|"&amp;B3629&amp;"|"&amp;C3629&amp;"|"&amp;D3629</f>
        <v>6|1|Kelsey|spotify:track:2U0Zowgw2tgJXu5K56i4Q4</v>
      </c>
    </row>
    <row r="3630" customFormat="false" ht="15" hidden="false" customHeight="false" outlineLevel="0" collapsed="false">
      <c r="A3630" s="5" t="n">
        <v>6</v>
      </c>
      <c r="B3630" s="5" t="n">
        <v>1</v>
      </c>
      <c r="C3630" s="5" t="s">
        <v>85</v>
      </c>
      <c r="D3630" s="5" t="s">
        <v>1709</v>
      </c>
      <c r="E3630" s="5" t="n">
        <v>1</v>
      </c>
      <c r="F3630" s="6" t="n">
        <f aca="false">IFERROR(MATCH(A3630&amp;"|"&amp;B3630&amp;"|"&amp;D3630,'All Song Rankings'!$T:$T,0),0)</f>
        <v>557</v>
      </c>
      <c r="G3630" s="6" t="str">
        <f aca="false">IF(F3630=0,"NOT FOUND",INDEX('All Song Rankings'!$A:$A,F3630))</f>
        <v>The Middle</v>
      </c>
      <c r="H3630" s="6" t="str">
        <f aca="false">IF(F3630=0,"NOT FOUND",INDEX('All Song Rankings'!$B:$B,F3630))</f>
        <v>Jimmy Eat World</v>
      </c>
      <c r="I3630" s="6" t="str">
        <f aca="false">IF(F3630=0,"NOT FOUND",INDEX('All Song Rankings'!$D:$D,F3630))</f>
        <v>Matt</v>
      </c>
      <c r="J3630" s="7" t="str">
        <f aca="false">IF(F3630=0,"NOT FOUND",IF(C3630=I3630,"SELF-VOTE",IF(COUNTIF($K:$K,K3630)&gt;1,"DUPLICATE","OK")))</f>
        <v>OK</v>
      </c>
      <c r="K3630" s="6" t="str">
        <f aca="false">A3630&amp;"|"&amp;B3630&amp;"|"&amp;C3630&amp;"|"&amp;D3630</f>
        <v>6|1|Kelsey|spotify:track:6GG73Jik4jUlQCkKg9JuGO</v>
      </c>
    </row>
    <row r="3631" customFormat="false" ht="15" hidden="false" customHeight="false" outlineLevel="0" collapsed="false">
      <c r="A3631" s="5" t="n">
        <v>6</v>
      </c>
      <c r="B3631" s="5" t="n">
        <v>1</v>
      </c>
      <c r="C3631" s="5" t="s">
        <v>85</v>
      </c>
      <c r="D3631" s="5" t="s">
        <v>1712</v>
      </c>
      <c r="E3631" s="5" t="n">
        <v>1</v>
      </c>
      <c r="F3631" s="6" t="n">
        <f aca="false">IFERROR(MATCH(A3631&amp;"|"&amp;B3631&amp;"|"&amp;D3631,'All Song Rankings'!$T:$T,0),0)</f>
        <v>558</v>
      </c>
      <c r="G3631" s="6" t="str">
        <f aca="false">IF(F3631=0,"NOT FOUND",INDEX('All Song Rankings'!$A:$A,F3631))</f>
        <v>Love You For A Long Time</v>
      </c>
      <c r="H3631" s="6" t="str">
        <f aca="false">IF(F3631=0,"NOT FOUND",INDEX('All Song Rankings'!$B:$B,F3631))</f>
        <v>Maggie Rogers</v>
      </c>
      <c r="I3631" s="6" t="str">
        <f aca="false">IF(F3631=0,"NOT FOUND",INDEX('All Song Rankings'!$D:$D,F3631))</f>
        <v>Logan</v>
      </c>
      <c r="J3631" s="7" t="str">
        <f aca="false">IF(F3631=0,"NOT FOUND",IF(C3631=I3631,"SELF-VOTE",IF(COUNTIF($K:$K,K3631)&gt;1,"DUPLICATE","OK")))</f>
        <v>OK</v>
      </c>
      <c r="K3631" s="6" t="str">
        <f aca="false">A3631&amp;"|"&amp;B3631&amp;"|"&amp;C3631&amp;"|"&amp;D3631</f>
        <v>6|1|Kelsey|spotify:track:6QTPacyXkZWG9FMwq6L1hJ</v>
      </c>
    </row>
    <row r="3632" customFormat="false" ht="15" hidden="false" customHeight="false" outlineLevel="0" collapsed="false">
      <c r="A3632" s="5" t="n">
        <v>6</v>
      </c>
      <c r="B3632" s="5" t="n">
        <v>1</v>
      </c>
      <c r="C3632" s="5" t="s">
        <v>85</v>
      </c>
      <c r="D3632" s="5" t="s">
        <v>1704</v>
      </c>
      <c r="E3632" s="5" t="n">
        <v>1</v>
      </c>
      <c r="F3632" s="6" t="n">
        <f aca="false">IFERROR(MATCH(A3632&amp;"|"&amp;B3632&amp;"|"&amp;D3632,'All Song Rankings'!$T:$T,0),0)</f>
        <v>555</v>
      </c>
      <c r="G3632" s="6" t="str">
        <f aca="false">IF(F3632=0,"NOT FOUND",INDEX('All Song Rankings'!$A:$A,F3632))</f>
        <v>Last Man Standing</v>
      </c>
      <c r="H3632" s="6" t="str">
        <f aca="false">IF(F3632=0,"NOT FOUND",INDEX('All Song Rankings'!$B:$B,F3632))</f>
        <v>Livingston</v>
      </c>
      <c r="I3632" s="6" t="str">
        <f aca="false">IF(F3632=0,"NOT FOUND",INDEX('All Song Rankings'!$D:$D,F3632))</f>
        <v>Leah</v>
      </c>
      <c r="J3632" s="7" t="str">
        <f aca="false">IF(F3632=0,"NOT FOUND",IF(C3632=I3632,"SELF-VOTE",IF(COUNTIF($K:$K,K3632)&gt;1,"DUPLICATE","OK")))</f>
        <v>OK</v>
      </c>
      <c r="K3632" s="6" t="str">
        <f aca="false">A3632&amp;"|"&amp;B3632&amp;"|"&amp;C3632&amp;"|"&amp;D3632</f>
        <v>6|1|Kelsey|spotify:track:6o0kogmiHd9sfWZkXrPpZC</v>
      </c>
    </row>
    <row r="3633" customFormat="false" ht="15" hidden="false" customHeight="false" outlineLevel="0" collapsed="false">
      <c r="A3633" s="5" t="n">
        <v>6</v>
      </c>
      <c r="B3633" s="5" t="n">
        <v>1</v>
      </c>
      <c r="C3633" s="5" t="s">
        <v>85</v>
      </c>
      <c r="D3633" s="5" t="s">
        <v>1714</v>
      </c>
      <c r="E3633" s="5" t="n">
        <v>2</v>
      </c>
      <c r="F3633" s="6" t="n">
        <f aca="false">IFERROR(MATCH(A3633&amp;"|"&amp;B3633&amp;"|"&amp;D3633,'All Song Rankings'!$T:$T,0),0)</f>
        <v>559</v>
      </c>
      <c r="G3633" s="6" t="str">
        <f aca="false">IF(F3633=0,"NOT FOUND",INDEX('All Song Rankings'!$A:$A,F3633))</f>
        <v>Ghost</v>
      </c>
      <c r="H3633" s="6" t="str">
        <f aca="false">IF(F3633=0,"NOT FOUND",INDEX('All Song Rankings'!$B:$B,F3633))</f>
        <v>Ava Max</v>
      </c>
      <c r="I3633" s="6" t="str">
        <f aca="false">IF(F3633=0,"NOT FOUND",INDEX('All Song Rankings'!$D:$D,F3633))</f>
        <v>Grace</v>
      </c>
      <c r="J3633" s="7" t="str">
        <f aca="false">IF(F3633=0,"NOT FOUND",IF(C3633=I3633,"SELF-VOTE",IF(COUNTIF($K:$K,K3633)&gt;1,"DUPLICATE","OK")))</f>
        <v>OK</v>
      </c>
      <c r="K3633" s="6" t="str">
        <f aca="false">A3633&amp;"|"&amp;B3633&amp;"|"&amp;C3633&amp;"|"&amp;D3633</f>
        <v>6|1|Kelsey|spotify:track:726TaMebVtCacv69K8yuRu</v>
      </c>
    </row>
    <row r="3634" customFormat="false" ht="15" hidden="false" customHeight="false" outlineLevel="0" collapsed="false">
      <c r="A3634" s="5" t="n">
        <v>6</v>
      </c>
      <c r="B3634" s="5" t="n">
        <v>1</v>
      </c>
      <c r="C3634" s="5" t="s">
        <v>85</v>
      </c>
      <c r="D3634" s="5" t="s">
        <v>1698</v>
      </c>
      <c r="E3634" s="5" t="n">
        <v>1</v>
      </c>
      <c r="F3634" s="6" t="n">
        <f aca="false">IFERROR(MATCH(A3634&amp;"|"&amp;B3634&amp;"|"&amp;D3634,'All Song Rankings'!$T:$T,0),0)</f>
        <v>553</v>
      </c>
      <c r="G3634" s="6" t="str">
        <f aca="false">IF(F3634=0,"NOT FOUND",INDEX('All Song Rankings'!$A:$A,F3634))</f>
        <v>Cherry Pie</v>
      </c>
      <c r="H3634" s="6" t="str">
        <f aca="false">IF(F3634=0,"NOT FOUND",INDEX('All Song Rankings'!$B:$B,F3634))</f>
        <v>Warrant</v>
      </c>
      <c r="I3634" s="6" t="str">
        <f aca="false">IF(F3634=0,"NOT FOUND",INDEX('All Song Rankings'!$D:$D,F3634))</f>
        <v>Colleen</v>
      </c>
      <c r="J3634" s="7" t="str">
        <f aca="false">IF(F3634=0,"NOT FOUND",IF(C3634=I3634,"SELF-VOTE",IF(COUNTIF($K:$K,K3634)&gt;1,"DUPLICATE","OK")))</f>
        <v>OK</v>
      </c>
      <c r="K3634" s="6" t="str">
        <f aca="false">A3634&amp;"|"&amp;B3634&amp;"|"&amp;C3634&amp;"|"&amp;D3634</f>
        <v>6|1|Kelsey|spotify:track:7LygtNjQ65PSdzVjUnHXQb</v>
      </c>
    </row>
    <row r="3635" customFormat="false" ht="15" hidden="false" customHeight="false" outlineLevel="0" collapsed="false">
      <c r="A3635" s="5" t="n">
        <v>6</v>
      </c>
      <c r="B3635" s="5" t="n">
        <v>1</v>
      </c>
      <c r="C3635" s="5" t="s">
        <v>106</v>
      </c>
      <c r="D3635" s="5" t="s">
        <v>1718</v>
      </c>
      <c r="E3635" s="5" t="n">
        <v>1</v>
      </c>
      <c r="F3635" s="6" t="n">
        <f aca="false">IFERROR(MATCH(A3635&amp;"|"&amp;B3635&amp;"|"&amp;D3635,'All Song Rankings'!$T:$T,0),0)</f>
        <v>561</v>
      </c>
      <c r="G3635" s="6" t="str">
        <f aca="false">IF(F3635=0,"NOT FOUND",INDEX('All Song Rankings'!$A:$A,F3635))</f>
        <v>Anti-Hero</v>
      </c>
      <c r="H3635" s="6" t="str">
        <f aca="false">IF(F3635=0,"NOT FOUND",INDEX('All Song Rankings'!$B:$B,F3635))</f>
        <v>Taylor Swift</v>
      </c>
      <c r="I3635" s="6" t="str">
        <f aca="false">IF(F3635=0,"NOT FOUND",INDEX('All Song Rankings'!$D:$D,F3635))</f>
        <v>Aubrey</v>
      </c>
      <c r="J3635" s="7" t="str">
        <f aca="false">IF(F3635=0,"NOT FOUND",IF(C3635=I3635,"SELF-VOTE",IF(COUNTIF($K:$K,K3635)&gt;1,"DUPLICATE","OK")))</f>
        <v>OK</v>
      </c>
      <c r="K3635" s="6" t="str">
        <f aca="false">A3635&amp;"|"&amp;B3635&amp;"|"&amp;C3635&amp;"|"&amp;D3635</f>
        <v>6|1|Kristen|spotify:track:0V3wPSX9ygBnCm8psDIegu</v>
      </c>
    </row>
    <row r="3636" customFormat="false" ht="15" hidden="false" customHeight="false" outlineLevel="0" collapsed="false">
      <c r="A3636" s="5" t="n">
        <v>6</v>
      </c>
      <c r="B3636" s="5" t="n">
        <v>1</v>
      </c>
      <c r="C3636" s="5" t="s">
        <v>106</v>
      </c>
      <c r="D3636" s="5" t="s">
        <v>1701</v>
      </c>
      <c r="E3636" s="5" t="n">
        <v>1</v>
      </c>
      <c r="F3636" s="6" t="n">
        <f aca="false">IFERROR(MATCH(A3636&amp;"|"&amp;B3636&amp;"|"&amp;D3636,'All Song Rankings'!$T:$T,0),0)</f>
        <v>554</v>
      </c>
      <c r="G3636" s="6" t="str">
        <f aca="false">IF(F3636=0,"NOT FOUND",INDEX('All Song Rankings'!$A:$A,F3636))</f>
        <v>California Dreamin'</v>
      </c>
      <c r="H3636" s="6" t="str">
        <f aca="false">IF(F3636=0,"NOT FOUND",INDEX('All Song Rankings'!$B:$B,F3636))</f>
        <v>The Mamas &amp; The Papas</v>
      </c>
      <c r="I3636" s="6" t="str">
        <f aca="false">IF(F3636=0,"NOT FOUND",INDEX('All Song Rankings'!$D:$D,F3636))</f>
        <v>Christine</v>
      </c>
      <c r="J3636" s="7" t="str">
        <f aca="false">IF(F3636=0,"NOT FOUND",IF(C3636=I3636,"SELF-VOTE",IF(COUNTIF($K:$K,K3636)&gt;1,"DUPLICATE","OK")))</f>
        <v>OK</v>
      </c>
      <c r="K3636" s="6" t="str">
        <f aca="false">A3636&amp;"|"&amp;B3636&amp;"|"&amp;C3636&amp;"|"&amp;D3636</f>
        <v>6|1|Kristen|spotify:track:1ZEOIhSn6BKErV59bIgn76</v>
      </c>
    </row>
    <row r="3637" customFormat="false" ht="15" hidden="false" customHeight="false" outlineLevel="0" collapsed="false">
      <c r="A3637" s="5" t="n">
        <v>6</v>
      </c>
      <c r="B3637" s="5" t="n">
        <v>1</v>
      </c>
      <c r="C3637" s="5" t="s">
        <v>106</v>
      </c>
      <c r="D3637" s="5" t="s">
        <v>1692</v>
      </c>
      <c r="E3637" s="5" t="n">
        <v>2</v>
      </c>
      <c r="F3637" s="6" t="n">
        <f aca="false">IFERROR(MATCH(A3637&amp;"|"&amp;B3637&amp;"|"&amp;D3637,'All Song Rankings'!$T:$T,0),0)</f>
        <v>551</v>
      </c>
      <c r="G3637" s="6" t="str">
        <f aca="false">IF(F3637=0,"NOT FOUND",INDEX('All Song Rankings'!$A:$A,F3637))</f>
        <v>Superstition - Single Version</v>
      </c>
      <c r="H3637" s="6" t="str">
        <f aca="false">IF(F3637=0,"NOT FOUND",INDEX('All Song Rankings'!$B:$B,F3637))</f>
        <v>Stevie Wonder</v>
      </c>
      <c r="I3637" s="6" t="str">
        <f aca="false">IF(F3637=0,"NOT FOUND",INDEX('All Song Rankings'!$D:$D,F3637))</f>
        <v>Stephanie</v>
      </c>
      <c r="J3637" s="7" t="str">
        <f aca="false">IF(F3637=0,"NOT FOUND",IF(C3637=I3637,"SELF-VOTE",IF(COUNTIF($K:$K,K3637)&gt;1,"DUPLICATE","OK")))</f>
        <v>OK</v>
      </c>
      <c r="K3637" s="6" t="str">
        <f aca="false">A3637&amp;"|"&amp;B3637&amp;"|"&amp;C3637&amp;"|"&amp;D3637</f>
        <v>6|1|Kristen|spotify:track:1h2xVEoJORqrg71HocgqXd</v>
      </c>
    </row>
    <row r="3638" customFormat="false" ht="15" hidden="false" customHeight="false" outlineLevel="0" collapsed="false">
      <c r="A3638" s="5" t="n">
        <v>6</v>
      </c>
      <c r="B3638" s="5" t="n">
        <v>1</v>
      </c>
      <c r="C3638" s="5" t="s">
        <v>106</v>
      </c>
      <c r="D3638" s="5" t="s">
        <v>1695</v>
      </c>
      <c r="E3638" s="5" t="n">
        <v>1</v>
      </c>
      <c r="F3638" s="6" t="n">
        <f aca="false">IFERROR(MATCH(A3638&amp;"|"&amp;B3638&amp;"|"&amp;D3638,'All Song Rankings'!$T:$T,0),0)</f>
        <v>552</v>
      </c>
      <c r="G3638" s="6" t="str">
        <f aca="false">IF(F3638=0,"NOT FOUND",INDEX('All Song Rankings'!$A:$A,F3638))</f>
        <v>Not The 1975</v>
      </c>
      <c r="H3638" s="6" t="str">
        <f aca="false">IF(F3638=0,"NOT FOUND",INDEX('All Song Rankings'!$B:$B,F3638))</f>
        <v>Knox</v>
      </c>
      <c r="I3638" s="6" t="str">
        <f aca="false">IF(F3638=0,"NOT FOUND",INDEX('All Song Rankings'!$D:$D,F3638))</f>
        <v>Nicole</v>
      </c>
      <c r="J3638" s="7" t="str">
        <f aca="false">IF(F3638=0,"NOT FOUND",IF(C3638=I3638,"SELF-VOTE",IF(COUNTIF($K:$K,K3638)&gt;1,"DUPLICATE","OK")))</f>
        <v>OK</v>
      </c>
      <c r="K3638" s="6" t="str">
        <f aca="false">A3638&amp;"|"&amp;B3638&amp;"|"&amp;C3638&amp;"|"&amp;D3638</f>
        <v>6|1|Kristen|spotify:track:2U0Zowgw2tgJXu5K56i4Q4</v>
      </c>
    </row>
    <row r="3639" customFormat="false" ht="15" hidden="false" customHeight="false" outlineLevel="0" collapsed="false">
      <c r="A3639" s="5" t="n">
        <v>6</v>
      </c>
      <c r="B3639" s="5" t="n">
        <v>1</v>
      </c>
      <c r="C3639" s="5" t="s">
        <v>106</v>
      </c>
      <c r="D3639" s="5" t="s">
        <v>1724</v>
      </c>
      <c r="E3639" s="5" t="n">
        <v>1</v>
      </c>
      <c r="F3639" s="6" t="n">
        <f aca="false">IFERROR(MATCH(A3639&amp;"|"&amp;B3639&amp;"|"&amp;D3639,'All Song Rankings'!$T:$T,0),0)</f>
        <v>563</v>
      </c>
      <c r="G3639" s="6" t="str">
        <f aca="false">IF(F3639=0,"NOT FOUND",INDEX('All Song Rankings'!$A:$A,F3639))</f>
        <v>Middle Finger (feat. Mac Miller)</v>
      </c>
      <c r="H3639" s="6" t="str">
        <f aca="false">IF(F3639=0,"NOT FOUND",INDEX('All Song Rankings'!$B:$B,F3639))</f>
        <v>Cobra Starship</v>
      </c>
      <c r="I3639" s="6" t="str">
        <f aca="false">IF(F3639=0,"NOT FOUND",INDEX('All Song Rankings'!$D:$D,F3639))</f>
        <v>Makenzie</v>
      </c>
      <c r="J3639" s="7" t="str">
        <f aca="false">IF(F3639=0,"NOT FOUND",IF(C3639=I3639,"SELF-VOTE",IF(COUNTIF($K:$K,K3639)&gt;1,"DUPLICATE","OK")))</f>
        <v>OK</v>
      </c>
      <c r="K3639" s="6" t="str">
        <f aca="false">A3639&amp;"|"&amp;B3639&amp;"|"&amp;C3639&amp;"|"&amp;D3639</f>
        <v>6|1|Kristen|spotify:track:2vjmUmO71XEDuitvK4sxRM</v>
      </c>
    </row>
    <row r="3640" customFormat="false" ht="15" hidden="false" customHeight="false" outlineLevel="0" collapsed="false">
      <c r="A3640" s="5" t="n">
        <v>6</v>
      </c>
      <c r="B3640" s="5" t="n">
        <v>1</v>
      </c>
      <c r="C3640" s="5" t="s">
        <v>106</v>
      </c>
      <c r="D3640" s="5" t="s">
        <v>1730</v>
      </c>
      <c r="E3640" s="5" t="n">
        <v>1</v>
      </c>
      <c r="F3640" s="6" t="n">
        <f aca="false">IFERROR(MATCH(A3640&amp;"|"&amp;B3640&amp;"|"&amp;D3640,'All Song Rankings'!$T:$T,0),0)</f>
        <v>565</v>
      </c>
      <c r="G3640" s="6" t="str">
        <f aca="false">IF(F3640=0,"NOT FOUND",INDEX('All Song Rankings'!$A:$A,F3640))</f>
        <v>Me, Myself &amp; I</v>
      </c>
      <c r="H3640" s="6" t="str">
        <f aca="false">IF(F3640=0,"NOT FOUND",INDEX('All Song Rankings'!$B:$B,F3640))</f>
        <v>G-Eazy</v>
      </c>
      <c r="I3640" s="6" t="str">
        <f aca="false">IF(F3640=0,"NOT FOUND",INDEX('All Song Rankings'!$D:$D,F3640))</f>
        <v>Merita</v>
      </c>
      <c r="J3640" s="7" t="str">
        <f aca="false">IF(F3640=0,"NOT FOUND",IF(C3640=I3640,"SELF-VOTE",IF(COUNTIF($K:$K,K3640)&gt;1,"DUPLICATE","OK")))</f>
        <v>OK</v>
      </c>
      <c r="K3640" s="6" t="str">
        <f aca="false">A3640&amp;"|"&amp;B3640&amp;"|"&amp;C3640&amp;"|"&amp;D3640</f>
        <v>6|1|Kristen|spotify:track:40YcuQysJ0KlGQTeGUosTC</v>
      </c>
    </row>
    <row r="3641" customFormat="false" ht="15" hidden="false" customHeight="false" outlineLevel="0" collapsed="false">
      <c r="A3641" s="5" t="n">
        <v>6</v>
      </c>
      <c r="B3641" s="5" t="n">
        <v>1</v>
      </c>
      <c r="C3641" s="5" t="s">
        <v>106</v>
      </c>
      <c r="D3641" s="5" t="s">
        <v>1704</v>
      </c>
      <c r="E3641" s="5" t="n">
        <v>2</v>
      </c>
      <c r="F3641" s="6" t="n">
        <f aca="false">IFERROR(MATCH(A3641&amp;"|"&amp;B3641&amp;"|"&amp;D3641,'All Song Rankings'!$T:$T,0),0)</f>
        <v>555</v>
      </c>
      <c r="G3641" s="6" t="str">
        <f aca="false">IF(F3641=0,"NOT FOUND",INDEX('All Song Rankings'!$A:$A,F3641))</f>
        <v>Last Man Standing</v>
      </c>
      <c r="H3641" s="6" t="str">
        <f aca="false">IF(F3641=0,"NOT FOUND",INDEX('All Song Rankings'!$B:$B,F3641))</f>
        <v>Livingston</v>
      </c>
      <c r="I3641" s="6" t="str">
        <f aca="false">IF(F3641=0,"NOT FOUND",INDEX('All Song Rankings'!$D:$D,F3641))</f>
        <v>Leah</v>
      </c>
      <c r="J3641" s="7" t="str">
        <f aca="false">IF(F3641=0,"NOT FOUND",IF(C3641=I3641,"SELF-VOTE",IF(COUNTIF($K:$K,K3641)&gt;1,"DUPLICATE","OK")))</f>
        <v>OK</v>
      </c>
      <c r="K3641" s="6" t="str">
        <f aca="false">A3641&amp;"|"&amp;B3641&amp;"|"&amp;C3641&amp;"|"&amp;D3641</f>
        <v>6|1|Kristen|spotify:track:6o0kogmiHd9sfWZkXrPpZC</v>
      </c>
    </row>
    <row r="3642" customFormat="false" ht="15" hidden="false" customHeight="false" outlineLevel="0" collapsed="false">
      <c r="A3642" s="5" t="n">
        <v>6</v>
      </c>
      <c r="B3642" s="5" t="n">
        <v>1</v>
      </c>
      <c r="C3642" s="5" t="s">
        <v>106</v>
      </c>
      <c r="D3642" s="5" t="s">
        <v>1707</v>
      </c>
      <c r="E3642" s="5" t="n">
        <v>1</v>
      </c>
      <c r="F3642" s="6" t="n">
        <f aca="false">IFERROR(MATCH(A3642&amp;"|"&amp;B3642&amp;"|"&amp;D3642,'All Song Rankings'!$T:$T,0),0)</f>
        <v>556</v>
      </c>
      <c r="G3642" s="6" t="str">
        <f aca="false">IF(F3642=0,"NOT FOUND",INDEX('All Song Rankings'!$A:$A,F3642))</f>
        <v>Lovesong</v>
      </c>
      <c r="H3642" s="6" t="str">
        <f aca="false">IF(F3642=0,"NOT FOUND",INDEX('All Song Rankings'!$B:$B,F3642))</f>
        <v>The Cure</v>
      </c>
      <c r="I3642" s="6" t="str">
        <f aca="false">IF(F3642=0,"NOT FOUND",INDEX('All Song Rankings'!$D:$D,F3642))</f>
        <v>Lisa</v>
      </c>
      <c r="J3642" s="7" t="str">
        <f aca="false">IF(F3642=0,"NOT FOUND",IF(C3642=I3642,"SELF-VOTE",IF(COUNTIF($K:$K,K3642)&gt;1,"DUPLICATE","OK")))</f>
        <v>OK</v>
      </c>
      <c r="K3642" s="6" t="str">
        <f aca="false">A3642&amp;"|"&amp;B3642&amp;"|"&amp;C3642&amp;"|"&amp;D3642</f>
        <v>6|1|Kristen|spotify:track:7K71priwuwcWwbgfHVQJdq</v>
      </c>
    </row>
    <row r="3643" customFormat="false" ht="15" hidden="false" customHeight="false" outlineLevel="0" collapsed="false">
      <c r="A3643" s="5" t="n">
        <v>6</v>
      </c>
      <c r="B3643" s="5" t="n">
        <v>1</v>
      </c>
      <c r="C3643" s="5" t="s">
        <v>119</v>
      </c>
      <c r="D3643" s="5" t="s">
        <v>1701</v>
      </c>
      <c r="E3643" s="5" t="n">
        <v>1</v>
      </c>
      <c r="F3643" s="6" t="n">
        <f aca="false">IFERROR(MATCH(A3643&amp;"|"&amp;B3643&amp;"|"&amp;D3643,'All Song Rankings'!$T:$T,0),0)</f>
        <v>554</v>
      </c>
      <c r="G3643" s="6" t="str">
        <f aca="false">IF(F3643=0,"NOT FOUND",INDEX('All Song Rankings'!$A:$A,F3643))</f>
        <v>California Dreamin'</v>
      </c>
      <c r="H3643" s="6" t="str">
        <f aca="false">IF(F3643=0,"NOT FOUND",INDEX('All Song Rankings'!$B:$B,F3643))</f>
        <v>The Mamas &amp; The Papas</v>
      </c>
      <c r="I3643" s="6" t="str">
        <f aca="false">IF(F3643=0,"NOT FOUND",INDEX('All Song Rankings'!$D:$D,F3643))</f>
        <v>Christine</v>
      </c>
      <c r="J3643" s="7" t="str">
        <f aca="false">IF(F3643=0,"NOT FOUND",IF(C3643=I3643,"SELF-VOTE",IF(COUNTIF($K:$K,K3643)&gt;1,"DUPLICATE","OK")))</f>
        <v>OK</v>
      </c>
      <c r="K3643" s="6" t="str">
        <f aca="false">A3643&amp;"|"&amp;B3643&amp;"|"&amp;C3643&amp;"|"&amp;D3643</f>
        <v>6|1|Leah|spotify:track:1ZEOIhSn6BKErV59bIgn76</v>
      </c>
    </row>
    <row r="3644" customFormat="false" ht="15" hidden="false" customHeight="false" outlineLevel="0" collapsed="false">
      <c r="A3644" s="5" t="n">
        <v>6</v>
      </c>
      <c r="B3644" s="5" t="n">
        <v>1</v>
      </c>
      <c r="C3644" s="5" t="s">
        <v>119</v>
      </c>
      <c r="D3644" s="5" t="s">
        <v>1692</v>
      </c>
      <c r="E3644" s="5" t="n">
        <v>1</v>
      </c>
      <c r="F3644" s="6" t="n">
        <f aca="false">IFERROR(MATCH(A3644&amp;"|"&amp;B3644&amp;"|"&amp;D3644,'All Song Rankings'!$T:$T,0),0)</f>
        <v>551</v>
      </c>
      <c r="G3644" s="6" t="str">
        <f aca="false">IF(F3644=0,"NOT FOUND",INDEX('All Song Rankings'!$A:$A,F3644))</f>
        <v>Superstition - Single Version</v>
      </c>
      <c r="H3644" s="6" t="str">
        <f aca="false">IF(F3644=0,"NOT FOUND",INDEX('All Song Rankings'!$B:$B,F3644))</f>
        <v>Stevie Wonder</v>
      </c>
      <c r="I3644" s="6" t="str">
        <f aca="false">IF(F3644=0,"NOT FOUND",INDEX('All Song Rankings'!$D:$D,F3644))</f>
        <v>Stephanie</v>
      </c>
      <c r="J3644" s="7" t="str">
        <f aca="false">IF(F3644=0,"NOT FOUND",IF(C3644=I3644,"SELF-VOTE",IF(COUNTIF($K:$K,K3644)&gt;1,"DUPLICATE","OK")))</f>
        <v>OK</v>
      </c>
      <c r="K3644" s="6" t="str">
        <f aca="false">A3644&amp;"|"&amp;B3644&amp;"|"&amp;C3644&amp;"|"&amp;D3644</f>
        <v>6|1|Leah|spotify:track:1h2xVEoJORqrg71HocgqXd</v>
      </c>
    </row>
    <row r="3645" customFormat="false" ht="15" hidden="false" customHeight="false" outlineLevel="0" collapsed="false">
      <c r="A3645" s="5" t="n">
        <v>6</v>
      </c>
      <c r="B3645" s="5" t="n">
        <v>1</v>
      </c>
      <c r="C3645" s="5" t="s">
        <v>119</v>
      </c>
      <c r="D3645" s="5" t="s">
        <v>1695</v>
      </c>
      <c r="E3645" s="5" t="n">
        <v>1</v>
      </c>
      <c r="F3645" s="6" t="n">
        <f aca="false">IFERROR(MATCH(A3645&amp;"|"&amp;B3645&amp;"|"&amp;D3645,'All Song Rankings'!$T:$T,0),0)</f>
        <v>552</v>
      </c>
      <c r="G3645" s="6" t="str">
        <f aca="false">IF(F3645=0,"NOT FOUND",INDEX('All Song Rankings'!$A:$A,F3645))</f>
        <v>Not The 1975</v>
      </c>
      <c r="H3645" s="6" t="str">
        <f aca="false">IF(F3645=0,"NOT FOUND",INDEX('All Song Rankings'!$B:$B,F3645))</f>
        <v>Knox</v>
      </c>
      <c r="I3645" s="6" t="str">
        <f aca="false">IF(F3645=0,"NOT FOUND",INDEX('All Song Rankings'!$D:$D,F3645))</f>
        <v>Nicole</v>
      </c>
      <c r="J3645" s="7" t="str">
        <f aca="false">IF(F3645=0,"NOT FOUND",IF(C3645=I3645,"SELF-VOTE",IF(COUNTIF($K:$K,K3645)&gt;1,"DUPLICATE","OK")))</f>
        <v>OK</v>
      </c>
      <c r="K3645" s="6" t="str">
        <f aca="false">A3645&amp;"|"&amp;B3645&amp;"|"&amp;C3645&amp;"|"&amp;D3645</f>
        <v>6|1|Leah|spotify:track:2U0Zowgw2tgJXu5K56i4Q4</v>
      </c>
    </row>
    <row r="3646" customFormat="false" ht="15" hidden="false" customHeight="false" outlineLevel="0" collapsed="false">
      <c r="A3646" s="5" t="n">
        <v>6</v>
      </c>
      <c r="B3646" s="5" t="n">
        <v>1</v>
      </c>
      <c r="C3646" s="5" t="s">
        <v>119</v>
      </c>
      <c r="D3646" s="5" t="s">
        <v>1730</v>
      </c>
      <c r="E3646" s="5" t="n">
        <v>2</v>
      </c>
      <c r="F3646" s="6" t="n">
        <f aca="false">IFERROR(MATCH(A3646&amp;"|"&amp;B3646&amp;"|"&amp;D3646,'All Song Rankings'!$T:$T,0),0)</f>
        <v>565</v>
      </c>
      <c r="G3646" s="6" t="str">
        <f aca="false">IF(F3646=0,"NOT FOUND",INDEX('All Song Rankings'!$A:$A,F3646))</f>
        <v>Me, Myself &amp; I</v>
      </c>
      <c r="H3646" s="6" t="str">
        <f aca="false">IF(F3646=0,"NOT FOUND",INDEX('All Song Rankings'!$B:$B,F3646))</f>
        <v>G-Eazy</v>
      </c>
      <c r="I3646" s="6" t="str">
        <f aca="false">IF(F3646=0,"NOT FOUND",INDEX('All Song Rankings'!$D:$D,F3646))</f>
        <v>Merita</v>
      </c>
      <c r="J3646" s="7" t="str">
        <f aca="false">IF(F3646=0,"NOT FOUND",IF(C3646=I3646,"SELF-VOTE",IF(COUNTIF($K:$K,K3646)&gt;1,"DUPLICATE","OK")))</f>
        <v>OK</v>
      </c>
      <c r="K3646" s="6" t="str">
        <f aca="false">A3646&amp;"|"&amp;B3646&amp;"|"&amp;C3646&amp;"|"&amp;D3646</f>
        <v>6|1|Leah|spotify:track:40YcuQysJ0KlGQTeGUosTC</v>
      </c>
    </row>
    <row r="3647" customFormat="false" ht="15" hidden="false" customHeight="false" outlineLevel="0" collapsed="false">
      <c r="A3647" s="5" t="n">
        <v>6</v>
      </c>
      <c r="B3647" s="5" t="n">
        <v>1</v>
      </c>
      <c r="C3647" s="5" t="s">
        <v>119</v>
      </c>
      <c r="D3647" s="5" t="s">
        <v>1727</v>
      </c>
      <c r="E3647" s="5" t="n">
        <v>1</v>
      </c>
      <c r="F3647" s="6" t="n">
        <f aca="false">IFERROR(MATCH(A3647&amp;"|"&amp;B3647&amp;"|"&amp;D3647,'All Song Rankings'!$T:$T,0),0)</f>
        <v>564</v>
      </c>
      <c r="G3647" s="6" t="str">
        <f aca="false">IF(F3647=0,"NOT FOUND",INDEX('All Song Rankings'!$A:$A,F3647))</f>
        <v>See You At Your Funeral</v>
      </c>
      <c r="H3647" s="6" t="str">
        <f aca="false">IF(F3647=0,"NOT FOUND",INDEX('All Song Rankings'!$B:$B,F3647))</f>
        <v>PUP</v>
      </c>
      <c r="I3647" s="6" t="str">
        <f aca="false">IF(F3647=0,"NOT FOUND",INDEX('All Song Rankings'!$D:$D,F3647))</f>
        <v>Scott</v>
      </c>
      <c r="J3647" s="7" t="str">
        <f aca="false">IF(F3647=0,"NOT FOUND",IF(C3647=I3647,"SELF-VOTE",IF(COUNTIF($K:$K,K3647)&gt;1,"DUPLICATE","OK")))</f>
        <v>OK</v>
      </c>
      <c r="K3647" s="6" t="str">
        <f aca="false">A3647&amp;"|"&amp;B3647&amp;"|"&amp;C3647&amp;"|"&amp;D3647</f>
        <v>6|1|Leah|spotify:track:511ZEJJELVd9gYpS9u63us</v>
      </c>
    </row>
    <row r="3648" customFormat="false" ht="15" hidden="false" customHeight="false" outlineLevel="0" collapsed="false">
      <c r="A3648" s="5" t="n">
        <v>6</v>
      </c>
      <c r="B3648" s="5" t="n">
        <v>1</v>
      </c>
      <c r="C3648" s="5" t="s">
        <v>119</v>
      </c>
      <c r="D3648" s="5" t="s">
        <v>1714</v>
      </c>
      <c r="E3648" s="5" t="n">
        <v>1</v>
      </c>
      <c r="F3648" s="6" t="n">
        <f aca="false">IFERROR(MATCH(A3648&amp;"|"&amp;B3648&amp;"|"&amp;D3648,'All Song Rankings'!$T:$T,0),0)</f>
        <v>559</v>
      </c>
      <c r="G3648" s="6" t="str">
        <f aca="false">IF(F3648=0,"NOT FOUND",INDEX('All Song Rankings'!$A:$A,F3648))</f>
        <v>Ghost</v>
      </c>
      <c r="H3648" s="6" t="str">
        <f aca="false">IF(F3648=0,"NOT FOUND",INDEX('All Song Rankings'!$B:$B,F3648))</f>
        <v>Ava Max</v>
      </c>
      <c r="I3648" s="6" t="str">
        <f aca="false">IF(F3648=0,"NOT FOUND",INDEX('All Song Rankings'!$D:$D,F3648))</f>
        <v>Grace</v>
      </c>
      <c r="J3648" s="7" t="str">
        <f aca="false">IF(F3648=0,"NOT FOUND",IF(C3648=I3648,"SELF-VOTE",IF(COUNTIF($K:$K,K3648)&gt;1,"DUPLICATE","OK")))</f>
        <v>OK</v>
      </c>
      <c r="K3648" s="6" t="str">
        <f aca="false">A3648&amp;"|"&amp;B3648&amp;"|"&amp;C3648&amp;"|"&amp;D3648</f>
        <v>6|1|Leah|spotify:track:726TaMebVtCacv69K8yuRu</v>
      </c>
    </row>
    <row r="3649" customFormat="false" ht="15" hidden="false" customHeight="false" outlineLevel="0" collapsed="false">
      <c r="A3649" s="5" t="n">
        <v>6</v>
      </c>
      <c r="B3649" s="5" t="n">
        <v>1</v>
      </c>
      <c r="C3649" s="5" t="s">
        <v>119</v>
      </c>
      <c r="D3649" s="5" t="s">
        <v>1707</v>
      </c>
      <c r="E3649" s="5" t="n">
        <v>1</v>
      </c>
      <c r="F3649" s="6" t="n">
        <f aca="false">IFERROR(MATCH(A3649&amp;"|"&amp;B3649&amp;"|"&amp;D3649,'All Song Rankings'!$T:$T,0),0)</f>
        <v>556</v>
      </c>
      <c r="G3649" s="6" t="str">
        <f aca="false">IF(F3649=0,"NOT FOUND",INDEX('All Song Rankings'!$A:$A,F3649))</f>
        <v>Lovesong</v>
      </c>
      <c r="H3649" s="6" t="str">
        <f aca="false">IF(F3649=0,"NOT FOUND",INDEX('All Song Rankings'!$B:$B,F3649))</f>
        <v>The Cure</v>
      </c>
      <c r="I3649" s="6" t="str">
        <f aca="false">IF(F3649=0,"NOT FOUND",INDEX('All Song Rankings'!$D:$D,F3649))</f>
        <v>Lisa</v>
      </c>
      <c r="J3649" s="7" t="str">
        <f aca="false">IF(F3649=0,"NOT FOUND",IF(C3649=I3649,"SELF-VOTE",IF(COUNTIF($K:$K,K3649)&gt;1,"DUPLICATE","OK")))</f>
        <v>OK</v>
      </c>
      <c r="K3649" s="6" t="str">
        <f aca="false">A3649&amp;"|"&amp;B3649&amp;"|"&amp;C3649&amp;"|"&amp;D3649</f>
        <v>6|1|Leah|spotify:track:7K71priwuwcWwbgfHVQJdq</v>
      </c>
    </row>
    <row r="3650" customFormat="false" ht="15" hidden="false" customHeight="false" outlineLevel="0" collapsed="false">
      <c r="A3650" s="5" t="n">
        <v>6</v>
      </c>
      <c r="B3650" s="5" t="n">
        <v>1</v>
      </c>
      <c r="C3650" s="5" t="s">
        <v>119</v>
      </c>
      <c r="D3650" s="5" t="s">
        <v>1698</v>
      </c>
      <c r="E3650" s="5" t="n">
        <v>1</v>
      </c>
      <c r="F3650" s="6" t="n">
        <f aca="false">IFERROR(MATCH(A3650&amp;"|"&amp;B3650&amp;"|"&amp;D3650,'All Song Rankings'!$T:$T,0),0)</f>
        <v>553</v>
      </c>
      <c r="G3650" s="6" t="str">
        <f aca="false">IF(F3650=0,"NOT FOUND",INDEX('All Song Rankings'!$A:$A,F3650))</f>
        <v>Cherry Pie</v>
      </c>
      <c r="H3650" s="6" t="str">
        <f aca="false">IF(F3650=0,"NOT FOUND",INDEX('All Song Rankings'!$B:$B,F3650))</f>
        <v>Warrant</v>
      </c>
      <c r="I3650" s="6" t="str">
        <f aca="false">IF(F3650=0,"NOT FOUND",INDEX('All Song Rankings'!$D:$D,F3650))</f>
        <v>Colleen</v>
      </c>
      <c r="J3650" s="7" t="str">
        <f aca="false">IF(F3650=0,"NOT FOUND",IF(C3650=I3650,"SELF-VOTE",IF(COUNTIF($K:$K,K3650)&gt;1,"DUPLICATE","OK")))</f>
        <v>OK</v>
      </c>
      <c r="K3650" s="6" t="str">
        <f aca="false">A3650&amp;"|"&amp;B3650&amp;"|"&amp;C3650&amp;"|"&amp;D3650</f>
        <v>6|1|Leah|spotify:track:7LygtNjQ65PSdzVjUnHXQb</v>
      </c>
    </row>
    <row r="3651" customFormat="false" ht="15" hidden="false" customHeight="false" outlineLevel="0" collapsed="false">
      <c r="A3651" s="5" t="n">
        <v>6</v>
      </c>
      <c r="B3651" s="5" t="n">
        <v>1</v>
      </c>
      <c r="C3651" s="5" t="s">
        <v>119</v>
      </c>
      <c r="D3651" s="5" t="s">
        <v>1716</v>
      </c>
      <c r="E3651" s="5" t="n">
        <v>1</v>
      </c>
      <c r="F3651" s="6" t="n">
        <f aca="false">IFERROR(MATCH(A3651&amp;"|"&amp;B3651&amp;"|"&amp;D3651,'All Song Rankings'!$T:$T,0),0)</f>
        <v>560</v>
      </c>
      <c r="G3651" s="6" t="str">
        <f aca="false">IF(F3651=0,"NOT FOUND",INDEX('All Song Rankings'!$A:$A,F3651))</f>
        <v>Kings &amp; Queens</v>
      </c>
      <c r="H3651" s="6" t="str">
        <f aca="false">IF(F3651=0,"NOT FOUND",INDEX('All Song Rankings'!$B:$B,F3651))</f>
        <v>Ava Max</v>
      </c>
      <c r="I3651" s="6" t="str">
        <f aca="false">IF(F3651=0,"NOT FOUND",INDEX('All Song Rankings'!$D:$D,F3651))</f>
        <v>Kelsey</v>
      </c>
      <c r="J3651" s="7" t="str">
        <f aca="false">IF(F3651=0,"NOT FOUND",IF(C3651=I3651,"SELF-VOTE",IF(COUNTIF($K:$K,K3651)&gt;1,"DUPLICATE","OK")))</f>
        <v>OK</v>
      </c>
      <c r="K3651" s="6" t="str">
        <f aca="false">A3651&amp;"|"&amp;B3651&amp;"|"&amp;C3651&amp;"|"&amp;D3651</f>
        <v>6|1|Leah|spotify:track:7a53HqqArd4b9NF4XAmlbI</v>
      </c>
    </row>
    <row r="3652" customFormat="false" ht="15" hidden="false" customHeight="false" outlineLevel="0" collapsed="false">
      <c r="A3652" s="5" t="n">
        <v>6</v>
      </c>
      <c r="B3652" s="5" t="n">
        <v>1</v>
      </c>
      <c r="C3652" s="5" t="s">
        <v>705</v>
      </c>
      <c r="D3652" s="5" t="s">
        <v>1701</v>
      </c>
      <c r="E3652" s="5" t="n">
        <v>1</v>
      </c>
      <c r="F3652" s="6" t="n">
        <f aca="false">IFERROR(MATCH(A3652&amp;"|"&amp;B3652&amp;"|"&amp;D3652,'All Song Rankings'!$T:$T,0),0)</f>
        <v>554</v>
      </c>
      <c r="G3652" s="6" t="str">
        <f aca="false">IF(F3652=0,"NOT FOUND",INDEX('All Song Rankings'!$A:$A,F3652))</f>
        <v>California Dreamin'</v>
      </c>
      <c r="H3652" s="6" t="str">
        <f aca="false">IF(F3652=0,"NOT FOUND",INDEX('All Song Rankings'!$B:$B,F3652))</f>
        <v>The Mamas &amp; The Papas</v>
      </c>
      <c r="I3652" s="6" t="str">
        <f aca="false">IF(F3652=0,"NOT FOUND",INDEX('All Song Rankings'!$D:$D,F3652))</f>
        <v>Christine</v>
      </c>
      <c r="J3652" s="7" t="str">
        <f aca="false">IF(F3652=0,"NOT FOUND",IF(C3652=I3652,"SELF-VOTE",IF(COUNTIF($K:$K,K3652)&gt;1,"DUPLICATE","OK")))</f>
        <v>OK</v>
      </c>
      <c r="K3652" s="6" t="str">
        <f aca="false">A3652&amp;"|"&amp;B3652&amp;"|"&amp;C3652&amp;"|"&amp;D3652</f>
        <v>6|1|Lisa|spotify:track:1ZEOIhSn6BKErV59bIgn76</v>
      </c>
    </row>
    <row r="3653" customFormat="false" ht="15" hidden="false" customHeight="false" outlineLevel="0" collapsed="false">
      <c r="A3653" s="5" t="n">
        <v>6</v>
      </c>
      <c r="B3653" s="5" t="n">
        <v>1</v>
      </c>
      <c r="C3653" s="5" t="s">
        <v>705</v>
      </c>
      <c r="D3653" s="5" t="s">
        <v>1692</v>
      </c>
      <c r="E3653" s="5" t="n">
        <v>2</v>
      </c>
      <c r="F3653" s="6" t="n">
        <f aca="false">IFERROR(MATCH(A3653&amp;"|"&amp;B3653&amp;"|"&amp;D3653,'All Song Rankings'!$T:$T,0),0)</f>
        <v>551</v>
      </c>
      <c r="G3653" s="6" t="str">
        <f aca="false">IF(F3653=0,"NOT FOUND",INDEX('All Song Rankings'!$A:$A,F3653))</f>
        <v>Superstition - Single Version</v>
      </c>
      <c r="H3653" s="6" t="str">
        <f aca="false">IF(F3653=0,"NOT FOUND",INDEX('All Song Rankings'!$B:$B,F3653))</f>
        <v>Stevie Wonder</v>
      </c>
      <c r="I3653" s="6" t="str">
        <f aca="false">IF(F3653=0,"NOT FOUND",INDEX('All Song Rankings'!$D:$D,F3653))</f>
        <v>Stephanie</v>
      </c>
      <c r="J3653" s="7" t="str">
        <f aca="false">IF(F3653=0,"NOT FOUND",IF(C3653=I3653,"SELF-VOTE",IF(COUNTIF($K:$K,K3653)&gt;1,"DUPLICATE","OK")))</f>
        <v>OK</v>
      </c>
      <c r="K3653" s="6" t="str">
        <f aca="false">A3653&amp;"|"&amp;B3653&amp;"|"&amp;C3653&amp;"|"&amp;D3653</f>
        <v>6|1|Lisa|spotify:track:1h2xVEoJORqrg71HocgqXd</v>
      </c>
    </row>
    <row r="3654" customFormat="false" ht="15" hidden="false" customHeight="false" outlineLevel="0" collapsed="false">
      <c r="A3654" s="5" t="n">
        <v>6</v>
      </c>
      <c r="B3654" s="5" t="n">
        <v>1</v>
      </c>
      <c r="C3654" s="5" t="s">
        <v>705</v>
      </c>
      <c r="D3654" s="5" t="s">
        <v>1695</v>
      </c>
      <c r="E3654" s="5" t="n">
        <v>1</v>
      </c>
      <c r="F3654" s="6" t="n">
        <f aca="false">IFERROR(MATCH(A3654&amp;"|"&amp;B3654&amp;"|"&amp;D3654,'All Song Rankings'!$T:$T,0),0)</f>
        <v>552</v>
      </c>
      <c r="G3654" s="6" t="str">
        <f aca="false">IF(F3654=0,"NOT FOUND",INDEX('All Song Rankings'!$A:$A,F3654))</f>
        <v>Not The 1975</v>
      </c>
      <c r="H3654" s="6" t="str">
        <f aca="false">IF(F3654=0,"NOT FOUND",INDEX('All Song Rankings'!$B:$B,F3654))</f>
        <v>Knox</v>
      </c>
      <c r="I3654" s="6" t="str">
        <f aca="false">IF(F3654=0,"NOT FOUND",INDEX('All Song Rankings'!$D:$D,F3654))</f>
        <v>Nicole</v>
      </c>
      <c r="J3654" s="7" t="str">
        <f aca="false">IF(F3654=0,"NOT FOUND",IF(C3654=I3654,"SELF-VOTE",IF(COUNTIF($K:$K,K3654)&gt;1,"DUPLICATE","OK")))</f>
        <v>OK</v>
      </c>
      <c r="K3654" s="6" t="str">
        <f aca="false">A3654&amp;"|"&amp;B3654&amp;"|"&amp;C3654&amp;"|"&amp;D3654</f>
        <v>6|1|Lisa|spotify:track:2U0Zowgw2tgJXu5K56i4Q4</v>
      </c>
    </row>
    <row r="3655" customFormat="false" ht="15" hidden="false" customHeight="false" outlineLevel="0" collapsed="false">
      <c r="A3655" s="5" t="n">
        <v>6</v>
      </c>
      <c r="B3655" s="5" t="n">
        <v>1</v>
      </c>
      <c r="C3655" s="5" t="s">
        <v>705</v>
      </c>
      <c r="D3655" s="5" t="s">
        <v>1730</v>
      </c>
      <c r="E3655" s="5" t="n">
        <v>1</v>
      </c>
      <c r="F3655" s="6" t="n">
        <f aca="false">IFERROR(MATCH(A3655&amp;"|"&amp;B3655&amp;"|"&amp;D3655,'All Song Rankings'!$T:$T,0),0)</f>
        <v>565</v>
      </c>
      <c r="G3655" s="6" t="str">
        <f aca="false">IF(F3655=0,"NOT FOUND",INDEX('All Song Rankings'!$A:$A,F3655))</f>
        <v>Me, Myself &amp; I</v>
      </c>
      <c r="H3655" s="6" t="str">
        <f aca="false">IF(F3655=0,"NOT FOUND",INDEX('All Song Rankings'!$B:$B,F3655))</f>
        <v>G-Eazy</v>
      </c>
      <c r="I3655" s="6" t="str">
        <f aca="false">IF(F3655=0,"NOT FOUND",INDEX('All Song Rankings'!$D:$D,F3655))</f>
        <v>Merita</v>
      </c>
      <c r="J3655" s="7" t="str">
        <f aca="false">IF(F3655=0,"NOT FOUND",IF(C3655=I3655,"SELF-VOTE",IF(COUNTIF($K:$K,K3655)&gt;1,"DUPLICATE","OK")))</f>
        <v>OK</v>
      </c>
      <c r="K3655" s="6" t="str">
        <f aca="false">A3655&amp;"|"&amp;B3655&amp;"|"&amp;C3655&amp;"|"&amp;D3655</f>
        <v>6|1|Lisa|spotify:track:40YcuQysJ0KlGQTeGUosTC</v>
      </c>
    </row>
    <row r="3656" customFormat="false" ht="15" hidden="false" customHeight="false" outlineLevel="0" collapsed="false">
      <c r="A3656" s="5" t="n">
        <v>6</v>
      </c>
      <c r="B3656" s="5" t="n">
        <v>1</v>
      </c>
      <c r="C3656" s="5" t="s">
        <v>705</v>
      </c>
      <c r="D3656" s="5" t="s">
        <v>1709</v>
      </c>
      <c r="E3656" s="5" t="n">
        <v>1</v>
      </c>
      <c r="F3656" s="6" t="n">
        <f aca="false">IFERROR(MATCH(A3656&amp;"|"&amp;B3656&amp;"|"&amp;D3656,'All Song Rankings'!$T:$T,0),0)</f>
        <v>557</v>
      </c>
      <c r="G3656" s="6" t="str">
        <f aca="false">IF(F3656=0,"NOT FOUND",INDEX('All Song Rankings'!$A:$A,F3656))</f>
        <v>The Middle</v>
      </c>
      <c r="H3656" s="6" t="str">
        <f aca="false">IF(F3656=0,"NOT FOUND",INDEX('All Song Rankings'!$B:$B,F3656))</f>
        <v>Jimmy Eat World</v>
      </c>
      <c r="I3656" s="6" t="str">
        <f aca="false">IF(F3656=0,"NOT FOUND",INDEX('All Song Rankings'!$D:$D,F3656))</f>
        <v>Matt</v>
      </c>
      <c r="J3656" s="7" t="str">
        <f aca="false">IF(F3656=0,"NOT FOUND",IF(C3656=I3656,"SELF-VOTE",IF(COUNTIF($K:$K,K3656)&gt;1,"DUPLICATE","OK")))</f>
        <v>OK</v>
      </c>
      <c r="K3656" s="6" t="str">
        <f aca="false">A3656&amp;"|"&amp;B3656&amp;"|"&amp;C3656&amp;"|"&amp;D3656</f>
        <v>6|1|Lisa|spotify:track:6GG73Jik4jUlQCkKg9JuGO</v>
      </c>
    </row>
    <row r="3657" customFormat="false" ht="15" hidden="false" customHeight="false" outlineLevel="0" collapsed="false">
      <c r="A3657" s="5" t="n">
        <v>6</v>
      </c>
      <c r="B3657" s="5" t="n">
        <v>1</v>
      </c>
      <c r="C3657" s="5" t="s">
        <v>705</v>
      </c>
      <c r="D3657" s="5" t="s">
        <v>1712</v>
      </c>
      <c r="E3657" s="5" t="n">
        <v>1</v>
      </c>
      <c r="F3657" s="6" t="n">
        <f aca="false">IFERROR(MATCH(A3657&amp;"|"&amp;B3657&amp;"|"&amp;D3657,'All Song Rankings'!$T:$T,0),0)</f>
        <v>558</v>
      </c>
      <c r="G3657" s="6" t="str">
        <f aca="false">IF(F3657=0,"NOT FOUND",INDEX('All Song Rankings'!$A:$A,F3657))</f>
        <v>Love You For A Long Time</v>
      </c>
      <c r="H3657" s="6" t="str">
        <f aca="false">IF(F3657=0,"NOT FOUND",INDEX('All Song Rankings'!$B:$B,F3657))</f>
        <v>Maggie Rogers</v>
      </c>
      <c r="I3657" s="6" t="str">
        <f aca="false">IF(F3657=0,"NOT FOUND",INDEX('All Song Rankings'!$D:$D,F3657))</f>
        <v>Logan</v>
      </c>
      <c r="J3657" s="7" t="str">
        <f aca="false">IF(F3657=0,"NOT FOUND",IF(C3657=I3657,"SELF-VOTE",IF(COUNTIF($K:$K,K3657)&gt;1,"DUPLICATE","OK")))</f>
        <v>OK</v>
      </c>
      <c r="K3657" s="6" t="str">
        <f aca="false">A3657&amp;"|"&amp;B3657&amp;"|"&amp;C3657&amp;"|"&amp;D3657</f>
        <v>6|1|Lisa|spotify:track:6QTPacyXkZWG9FMwq6L1hJ</v>
      </c>
    </row>
    <row r="3658" customFormat="false" ht="15" hidden="false" customHeight="false" outlineLevel="0" collapsed="false">
      <c r="A3658" s="5" t="n">
        <v>6</v>
      </c>
      <c r="B3658" s="5" t="n">
        <v>1</v>
      </c>
      <c r="C3658" s="5" t="s">
        <v>705</v>
      </c>
      <c r="D3658" s="5" t="s">
        <v>1704</v>
      </c>
      <c r="E3658" s="5" t="n">
        <v>2</v>
      </c>
      <c r="F3658" s="6" t="n">
        <f aca="false">IFERROR(MATCH(A3658&amp;"|"&amp;B3658&amp;"|"&amp;D3658,'All Song Rankings'!$T:$T,0),0)</f>
        <v>555</v>
      </c>
      <c r="G3658" s="6" t="str">
        <f aca="false">IF(F3658=0,"NOT FOUND",INDEX('All Song Rankings'!$A:$A,F3658))</f>
        <v>Last Man Standing</v>
      </c>
      <c r="H3658" s="6" t="str">
        <f aca="false">IF(F3658=0,"NOT FOUND",INDEX('All Song Rankings'!$B:$B,F3658))</f>
        <v>Livingston</v>
      </c>
      <c r="I3658" s="6" t="str">
        <f aca="false">IF(F3658=0,"NOT FOUND",INDEX('All Song Rankings'!$D:$D,F3658))</f>
        <v>Leah</v>
      </c>
      <c r="J3658" s="7" t="str">
        <f aca="false">IF(F3658=0,"NOT FOUND",IF(C3658=I3658,"SELF-VOTE",IF(COUNTIF($K:$K,K3658)&gt;1,"DUPLICATE","OK")))</f>
        <v>OK</v>
      </c>
      <c r="K3658" s="6" t="str">
        <f aca="false">A3658&amp;"|"&amp;B3658&amp;"|"&amp;C3658&amp;"|"&amp;D3658</f>
        <v>6|1|Lisa|spotify:track:6o0kogmiHd9sfWZkXrPpZC</v>
      </c>
    </row>
    <row r="3659" customFormat="false" ht="15" hidden="false" customHeight="false" outlineLevel="0" collapsed="false">
      <c r="A3659" s="5" t="n">
        <v>6</v>
      </c>
      <c r="B3659" s="5" t="n">
        <v>1</v>
      </c>
      <c r="C3659" s="5" t="s">
        <v>705</v>
      </c>
      <c r="D3659" s="5" t="s">
        <v>1716</v>
      </c>
      <c r="E3659" s="5" t="n">
        <v>1</v>
      </c>
      <c r="F3659" s="6" t="n">
        <f aca="false">IFERROR(MATCH(A3659&amp;"|"&amp;B3659&amp;"|"&amp;D3659,'All Song Rankings'!$T:$T,0),0)</f>
        <v>560</v>
      </c>
      <c r="G3659" s="6" t="str">
        <f aca="false">IF(F3659=0,"NOT FOUND",INDEX('All Song Rankings'!$A:$A,F3659))</f>
        <v>Kings &amp; Queens</v>
      </c>
      <c r="H3659" s="6" t="str">
        <f aca="false">IF(F3659=0,"NOT FOUND",INDEX('All Song Rankings'!$B:$B,F3659))</f>
        <v>Ava Max</v>
      </c>
      <c r="I3659" s="6" t="str">
        <f aca="false">IF(F3659=0,"NOT FOUND",INDEX('All Song Rankings'!$D:$D,F3659))</f>
        <v>Kelsey</v>
      </c>
      <c r="J3659" s="7" t="str">
        <f aca="false">IF(F3659=0,"NOT FOUND",IF(C3659=I3659,"SELF-VOTE",IF(COUNTIF($K:$K,K3659)&gt;1,"DUPLICATE","OK")))</f>
        <v>OK</v>
      </c>
      <c r="K3659" s="6" t="str">
        <f aca="false">A3659&amp;"|"&amp;B3659&amp;"|"&amp;C3659&amp;"|"&amp;D3659</f>
        <v>6|1|Lisa|spotify:track:7a53HqqArd4b9NF4XAmlbI</v>
      </c>
    </row>
    <row r="3660" customFormat="false" ht="15" hidden="false" customHeight="false" outlineLevel="0" collapsed="false">
      <c r="A3660" s="5" t="n">
        <v>6</v>
      </c>
      <c r="B3660" s="5" t="n">
        <v>1</v>
      </c>
      <c r="C3660" s="5" t="s">
        <v>128</v>
      </c>
      <c r="D3660" s="5" t="s">
        <v>1701</v>
      </c>
      <c r="E3660" s="5" t="n">
        <v>3</v>
      </c>
      <c r="F3660" s="6" t="n">
        <f aca="false">IFERROR(MATCH(A3660&amp;"|"&amp;B3660&amp;"|"&amp;D3660,'All Song Rankings'!$T:$T,0),0)</f>
        <v>554</v>
      </c>
      <c r="G3660" s="6" t="str">
        <f aca="false">IF(F3660=0,"NOT FOUND",INDEX('All Song Rankings'!$A:$A,F3660))</f>
        <v>California Dreamin'</v>
      </c>
      <c r="H3660" s="6" t="str">
        <f aca="false">IF(F3660=0,"NOT FOUND",INDEX('All Song Rankings'!$B:$B,F3660))</f>
        <v>The Mamas &amp; The Papas</v>
      </c>
      <c r="I3660" s="6" t="str">
        <f aca="false">IF(F3660=0,"NOT FOUND",INDEX('All Song Rankings'!$D:$D,F3660))</f>
        <v>Christine</v>
      </c>
      <c r="J3660" s="7" t="str">
        <f aca="false">IF(F3660=0,"NOT FOUND",IF(C3660=I3660,"SELF-VOTE",IF(COUNTIF($K:$K,K3660)&gt;1,"DUPLICATE","OK")))</f>
        <v>OK</v>
      </c>
      <c r="K3660" s="6" t="str">
        <f aca="false">A3660&amp;"|"&amp;B3660&amp;"|"&amp;C3660&amp;"|"&amp;D3660</f>
        <v>6|1|Logan|spotify:track:1ZEOIhSn6BKErV59bIgn76</v>
      </c>
    </row>
    <row r="3661" customFormat="false" ht="15" hidden="false" customHeight="false" outlineLevel="0" collapsed="false">
      <c r="A3661" s="5" t="n">
        <v>6</v>
      </c>
      <c r="B3661" s="5" t="n">
        <v>1</v>
      </c>
      <c r="C3661" s="5" t="s">
        <v>128</v>
      </c>
      <c r="D3661" s="5" t="s">
        <v>1692</v>
      </c>
      <c r="E3661" s="5" t="n">
        <v>1</v>
      </c>
      <c r="F3661" s="6" t="n">
        <f aca="false">IFERROR(MATCH(A3661&amp;"|"&amp;B3661&amp;"|"&amp;D3661,'All Song Rankings'!$T:$T,0),0)</f>
        <v>551</v>
      </c>
      <c r="G3661" s="6" t="str">
        <f aca="false">IF(F3661=0,"NOT FOUND",INDEX('All Song Rankings'!$A:$A,F3661))</f>
        <v>Superstition - Single Version</v>
      </c>
      <c r="H3661" s="6" t="str">
        <f aca="false">IF(F3661=0,"NOT FOUND",INDEX('All Song Rankings'!$B:$B,F3661))</f>
        <v>Stevie Wonder</v>
      </c>
      <c r="I3661" s="6" t="str">
        <f aca="false">IF(F3661=0,"NOT FOUND",INDEX('All Song Rankings'!$D:$D,F3661))</f>
        <v>Stephanie</v>
      </c>
      <c r="J3661" s="7" t="str">
        <f aca="false">IF(F3661=0,"NOT FOUND",IF(C3661=I3661,"SELF-VOTE",IF(COUNTIF($K:$K,K3661)&gt;1,"DUPLICATE","OK")))</f>
        <v>OK</v>
      </c>
      <c r="K3661" s="6" t="str">
        <f aca="false">A3661&amp;"|"&amp;B3661&amp;"|"&amp;C3661&amp;"|"&amp;D3661</f>
        <v>6|1|Logan|spotify:track:1h2xVEoJORqrg71HocgqXd</v>
      </c>
    </row>
    <row r="3662" customFormat="false" ht="15" hidden="false" customHeight="false" outlineLevel="0" collapsed="false">
      <c r="A3662" s="5" t="n">
        <v>6</v>
      </c>
      <c r="B3662" s="5" t="n">
        <v>1</v>
      </c>
      <c r="C3662" s="5" t="s">
        <v>128</v>
      </c>
      <c r="D3662" s="5" t="s">
        <v>1695</v>
      </c>
      <c r="E3662" s="5" t="n">
        <v>1</v>
      </c>
      <c r="F3662" s="6" t="n">
        <f aca="false">IFERROR(MATCH(A3662&amp;"|"&amp;B3662&amp;"|"&amp;D3662,'All Song Rankings'!$T:$T,0),0)</f>
        <v>552</v>
      </c>
      <c r="G3662" s="6" t="str">
        <f aca="false">IF(F3662=0,"NOT FOUND",INDEX('All Song Rankings'!$A:$A,F3662))</f>
        <v>Not The 1975</v>
      </c>
      <c r="H3662" s="6" t="str">
        <f aca="false">IF(F3662=0,"NOT FOUND",INDEX('All Song Rankings'!$B:$B,F3662))</f>
        <v>Knox</v>
      </c>
      <c r="I3662" s="6" t="str">
        <f aca="false">IF(F3662=0,"NOT FOUND",INDEX('All Song Rankings'!$D:$D,F3662))</f>
        <v>Nicole</v>
      </c>
      <c r="J3662" s="7" t="str">
        <f aca="false">IF(F3662=0,"NOT FOUND",IF(C3662=I3662,"SELF-VOTE",IF(COUNTIF($K:$K,K3662)&gt;1,"DUPLICATE","OK")))</f>
        <v>OK</v>
      </c>
      <c r="K3662" s="6" t="str">
        <f aca="false">A3662&amp;"|"&amp;B3662&amp;"|"&amp;C3662&amp;"|"&amp;D3662</f>
        <v>6|1|Logan|spotify:track:2U0Zowgw2tgJXu5K56i4Q4</v>
      </c>
    </row>
    <row r="3663" customFormat="false" ht="15" hidden="false" customHeight="false" outlineLevel="0" collapsed="false">
      <c r="A3663" s="5" t="n">
        <v>6</v>
      </c>
      <c r="B3663" s="5" t="n">
        <v>1</v>
      </c>
      <c r="C3663" s="5" t="s">
        <v>128</v>
      </c>
      <c r="D3663" s="5" t="s">
        <v>1724</v>
      </c>
      <c r="E3663" s="5" t="n">
        <v>1</v>
      </c>
      <c r="F3663" s="6" t="n">
        <f aca="false">IFERROR(MATCH(A3663&amp;"|"&amp;B3663&amp;"|"&amp;D3663,'All Song Rankings'!$T:$T,0),0)</f>
        <v>563</v>
      </c>
      <c r="G3663" s="6" t="str">
        <f aca="false">IF(F3663=0,"NOT FOUND",INDEX('All Song Rankings'!$A:$A,F3663))</f>
        <v>Middle Finger (feat. Mac Miller)</v>
      </c>
      <c r="H3663" s="6" t="str">
        <f aca="false">IF(F3663=0,"NOT FOUND",INDEX('All Song Rankings'!$B:$B,F3663))</f>
        <v>Cobra Starship</v>
      </c>
      <c r="I3663" s="6" t="str">
        <f aca="false">IF(F3663=0,"NOT FOUND",INDEX('All Song Rankings'!$D:$D,F3663))</f>
        <v>Makenzie</v>
      </c>
      <c r="J3663" s="7" t="str">
        <f aca="false">IF(F3663=0,"NOT FOUND",IF(C3663=I3663,"SELF-VOTE",IF(COUNTIF($K:$K,K3663)&gt;1,"DUPLICATE","OK")))</f>
        <v>OK</v>
      </c>
      <c r="K3663" s="6" t="str">
        <f aca="false">A3663&amp;"|"&amp;B3663&amp;"|"&amp;C3663&amp;"|"&amp;D3663</f>
        <v>6|1|Logan|spotify:track:2vjmUmO71XEDuitvK4sxRM</v>
      </c>
    </row>
    <row r="3664" customFormat="false" ht="15" hidden="false" customHeight="false" outlineLevel="0" collapsed="false">
      <c r="A3664" s="5" t="n">
        <v>6</v>
      </c>
      <c r="B3664" s="5" t="n">
        <v>1</v>
      </c>
      <c r="C3664" s="5" t="s">
        <v>128</v>
      </c>
      <c r="D3664" s="5" t="s">
        <v>1707</v>
      </c>
      <c r="E3664" s="5" t="n">
        <v>1</v>
      </c>
      <c r="F3664" s="6" t="n">
        <f aca="false">IFERROR(MATCH(A3664&amp;"|"&amp;B3664&amp;"|"&amp;D3664,'All Song Rankings'!$T:$T,0),0)</f>
        <v>556</v>
      </c>
      <c r="G3664" s="6" t="str">
        <f aca="false">IF(F3664=0,"NOT FOUND",INDEX('All Song Rankings'!$A:$A,F3664))</f>
        <v>Lovesong</v>
      </c>
      <c r="H3664" s="6" t="str">
        <f aca="false">IF(F3664=0,"NOT FOUND",INDEX('All Song Rankings'!$B:$B,F3664))</f>
        <v>The Cure</v>
      </c>
      <c r="I3664" s="6" t="str">
        <f aca="false">IF(F3664=0,"NOT FOUND",INDEX('All Song Rankings'!$D:$D,F3664))</f>
        <v>Lisa</v>
      </c>
      <c r="J3664" s="7" t="str">
        <f aca="false">IF(F3664=0,"NOT FOUND",IF(C3664=I3664,"SELF-VOTE",IF(COUNTIF($K:$K,K3664)&gt;1,"DUPLICATE","OK")))</f>
        <v>OK</v>
      </c>
      <c r="K3664" s="6" t="str">
        <f aca="false">A3664&amp;"|"&amp;B3664&amp;"|"&amp;C3664&amp;"|"&amp;D3664</f>
        <v>6|1|Logan|spotify:track:7K71priwuwcWwbgfHVQJdq</v>
      </c>
    </row>
    <row r="3665" customFormat="false" ht="15" hidden="false" customHeight="false" outlineLevel="0" collapsed="false">
      <c r="A3665" s="5" t="n">
        <v>6</v>
      </c>
      <c r="B3665" s="5" t="n">
        <v>1</v>
      </c>
      <c r="C3665" s="5" t="s">
        <v>128</v>
      </c>
      <c r="D3665" s="5" t="s">
        <v>1698</v>
      </c>
      <c r="E3665" s="5" t="n">
        <v>2</v>
      </c>
      <c r="F3665" s="6" t="n">
        <f aca="false">IFERROR(MATCH(A3665&amp;"|"&amp;B3665&amp;"|"&amp;D3665,'All Song Rankings'!$T:$T,0),0)</f>
        <v>553</v>
      </c>
      <c r="G3665" s="6" t="str">
        <f aca="false">IF(F3665=0,"NOT FOUND",INDEX('All Song Rankings'!$A:$A,F3665))</f>
        <v>Cherry Pie</v>
      </c>
      <c r="H3665" s="6" t="str">
        <f aca="false">IF(F3665=0,"NOT FOUND",INDEX('All Song Rankings'!$B:$B,F3665))</f>
        <v>Warrant</v>
      </c>
      <c r="I3665" s="6" t="str">
        <f aca="false">IF(F3665=0,"NOT FOUND",INDEX('All Song Rankings'!$D:$D,F3665))</f>
        <v>Colleen</v>
      </c>
      <c r="J3665" s="7" t="str">
        <f aca="false">IF(F3665=0,"NOT FOUND",IF(C3665=I3665,"SELF-VOTE",IF(COUNTIF($K:$K,K3665)&gt;1,"DUPLICATE","OK")))</f>
        <v>OK</v>
      </c>
      <c r="K3665" s="6" t="str">
        <f aca="false">A3665&amp;"|"&amp;B3665&amp;"|"&amp;C3665&amp;"|"&amp;D3665</f>
        <v>6|1|Logan|spotify:track:7LygtNjQ65PSdzVjUnHXQb</v>
      </c>
    </row>
    <row r="3666" customFormat="false" ht="15" hidden="false" customHeight="false" outlineLevel="0" collapsed="false">
      <c r="A3666" s="5" t="n">
        <v>6</v>
      </c>
      <c r="B3666" s="5" t="n">
        <v>1</v>
      </c>
      <c r="C3666" s="5" t="s">
        <v>128</v>
      </c>
      <c r="D3666" s="5" t="s">
        <v>1716</v>
      </c>
      <c r="E3666" s="5" t="n">
        <v>1</v>
      </c>
      <c r="F3666" s="6" t="n">
        <f aca="false">IFERROR(MATCH(A3666&amp;"|"&amp;B3666&amp;"|"&amp;D3666,'All Song Rankings'!$T:$T,0),0)</f>
        <v>560</v>
      </c>
      <c r="G3666" s="6" t="str">
        <f aca="false">IF(F3666=0,"NOT FOUND",INDEX('All Song Rankings'!$A:$A,F3666))</f>
        <v>Kings &amp; Queens</v>
      </c>
      <c r="H3666" s="6" t="str">
        <f aca="false">IF(F3666=0,"NOT FOUND",INDEX('All Song Rankings'!$B:$B,F3666))</f>
        <v>Ava Max</v>
      </c>
      <c r="I3666" s="6" t="str">
        <f aca="false">IF(F3666=0,"NOT FOUND",INDEX('All Song Rankings'!$D:$D,F3666))</f>
        <v>Kelsey</v>
      </c>
      <c r="J3666" s="7" t="str">
        <f aca="false">IF(F3666=0,"NOT FOUND",IF(C3666=I3666,"SELF-VOTE",IF(COUNTIF($K:$K,K3666)&gt;1,"DUPLICATE","OK")))</f>
        <v>OK</v>
      </c>
      <c r="K3666" s="6" t="str">
        <f aca="false">A3666&amp;"|"&amp;B3666&amp;"|"&amp;C3666&amp;"|"&amp;D3666</f>
        <v>6|1|Logan|spotify:track:7a53HqqArd4b9NF4XAmlbI</v>
      </c>
    </row>
    <row r="3667" customFormat="false" ht="15" hidden="false" customHeight="false" outlineLevel="0" collapsed="false">
      <c r="A3667" s="5" t="n">
        <v>6</v>
      </c>
      <c r="B3667" s="5" t="n">
        <v>1</v>
      </c>
      <c r="C3667" s="5" t="s">
        <v>395</v>
      </c>
      <c r="D3667" s="5" t="s">
        <v>1692</v>
      </c>
      <c r="E3667" s="5" t="n">
        <v>1</v>
      </c>
      <c r="F3667" s="6" t="n">
        <f aca="false">IFERROR(MATCH(A3667&amp;"|"&amp;B3667&amp;"|"&amp;D3667,'All Song Rankings'!$T:$T,0),0)</f>
        <v>551</v>
      </c>
      <c r="G3667" s="6" t="str">
        <f aca="false">IF(F3667=0,"NOT FOUND",INDEX('All Song Rankings'!$A:$A,F3667))</f>
        <v>Superstition - Single Version</v>
      </c>
      <c r="H3667" s="6" t="str">
        <f aca="false">IF(F3667=0,"NOT FOUND",INDEX('All Song Rankings'!$B:$B,F3667))</f>
        <v>Stevie Wonder</v>
      </c>
      <c r="I3667" s="6" t="str">
        <f aca="false">IF(F3667=0,"NOT FOUND",INDEX('All Song Rankings'!$D:$D,F3667))</f>
        <v>Stephanie</v>
      </c>
      <c r="J3667" s="7" t="str">
        <f aca="false">IF(F3667=0,"NOT FOUND",IF(C3667=I3667,"SELF-VOTE",IF(COUNTIF($K:$K,K3667)&gt;1,"DUPLICATE","OK")))</f>
        <v>OK</v>
      </c>
      <c r="K3667" s="6" t="str">
        <f aca="false">A3667&amp;"|"&amp;B3667&amp;"|"&amp;C3667&amp;"|"&amp;D3667</f>
        <v>6|1|Makenzie|spotify:track:1h2xVEoJORqrg71HocgqXd</v>
      </c>
    </row>
    <row r="3668" customFormat="false" ht="15" hidden="false" customHeight="false" outlineLevel="0" collapsed="false">
      <c r="A3668" s="5" t="n">
        <v>6</v>
      </c>
      <c r="B3668" s="5" t="n">
        <v>1</v>
      </c>
      <c r="C3668" s="5" t="s">
        <v>395</v>
      </c>
      <c r="D3668" s="5" t="s">
        <v>1695</v>
      </c>
      <c r="E3668" s="5" t="n">
        <v>2</v>
      </c>
      <c r="F3668" s="6" t="n">
        <f aca="false">IFERROR(MATCH(A3668&amp;"|"&amp;B3668&amp;"|"&amp;D3668,'All Song Rankings'!$T:$T,0),0)</f>
        <v>552</v>
      </c>
      <c r="G3668" s="6" t="str">
        <f aca="false">IF(F3668=0,"NOT FOUND",INDEX('All Song Rankings'!$A:$A,F3668))</f>
        <v>Not The 1975</v>
      </c>
      <c r="H3668" s="6" t="str">
        <f aca="false">IF(F3668=0,"NOT FOUND",INDEX('All Song Rankings'!$B:$B,F3668))</f>
        <v>Knox</v>
      </c>
      <c r="I3668" s="6" t="str">
        <f aca="false">IF(F3668=0,"NOT FOUND",INDEX('All Song Rankings'!$D:$D,F3668))</f>
        <v>Nicole</v>
      </c>
      <c r="J3668" s="7" t="str">
        <f aca="false">IF(F3668=0,"NOT FOUND",IF(C3668=I3668,"SELF-VOTE",IF(COUNTIF($K:$K,K3668)&gt;1,"DUPLICATE","OK")))</f>
        <v>OK</v>
      </c>
      <c r="K3668" s="6" t="str">
        <f aca="false">A3668&amp;"|"&amp;B3668&amp;"|"&amp;C3668&amp;"|"&amp;D3668</f>
        <v>6|1|Makenzie|spotify:track:2U0Zowgw2tgJXu5K56i4Q4</v>
      </c>
    </row>
    <row r="3669" customFormat="false" ht="15" hidden="false" customHeight="false" outlineLevel="0" collapsed="false">
      <c r="A3669" s="5" t="n">
        <v>6</v>
      </c>
      <c r="B3669" s="5" t="n">
        <v>1</v>
      </c>
      <c r="C3669" s="5" t="s">
        <v>395</v>
      </c>
      <c r="D3669" s="5" t="s">
        <v>1721</v>
      </c>
      <c r="E3669" s="5" t="n">
        <v>1</v>
      </c>
      <c r="F3669" s="6" t="n">
        <f aca="false">IFERROR(MATCH(A3669&amp;"|"&amp;B3669&amp;"|"&amp;D3669,'All Song Rankings'!$T:$T,0),0)</f>
        <v>562</v>
      </c>
      <c r="G3669" s="6" t="str">
        <f aca="false">IF(F3669=0,"NOT FOUND",INDEX('All Song Rankings'!$A:$A,F3669))</f>
        <v>Karma Chameleon</v>
      </c>
      <c r="H3669" s="6" t="str">
        <f aca="false">IF(F3669=0,"NOT FOUND",INDEX('All Song Rankings'!$B:$B,F3669))</f>
        <v>Culture Club</v>
      </c>
      <c r="I3669" s="6" t="str">
        <f aca="false">IF(F3669=0,"NOT FOUND",INDEX('All Song Rankings'!$D:$D,F3669))</f>
        <v>Kristen</v>
      </c>
      <c r="J3669" s="7" t="str">
        <f aca="false">IF(F3669=0,"NOT FOUND",IF(C3669=I3669,"SELF-VOTE",IF(COUNTIF($K:$K,K3669)&gt;1,"DUPLICATE","OK")))</f>
        <v>OK</v>
      </c>
      <c r="K3669" s="6" t="str">
        <f aca="false">A3669&amp;"|"&amp;B3669&amp;"|"&amp;C3669&amp;"|"&amp;D3669</f>
        <v>6|1|Makenzie|spotify:track:48O0GrGJWml3DzHhC5sJ7a</v>
      </c>
    </row>
    <row r="3670" customFormat="false" ht="15" hidden="false" customHeight="false" outlineLevel="0" collapsed="false">
      <c r="A3670" s="5" t="n">
        <v>6</v>
      </c>
      <c r="B3670" s="5" t="n">
        <v>1</v>
      </c>
      <c r="C3670" s="5" t="s">
        <v>395</v>
      </c>
      <c r="D3670" s="5" t="s">
        <v>1727</v>
      </c>
      <c r="E3670" s="5" t="n">
        <v>2</v>
      </c>
      <c r="F3670" s="6" t="n">
        <f aca="false">IFERROR(MATCH(A3670&amp;"|"&amp;B3670&amp;"|"&amp;D3670,'All Song Rankings'!$T:$T,0),0)</f>
        <v>564</v>
      </c>
      <c r="G3670" s="6" t="str">
        <f aca="false">IF(F3670=0,"NOT FOUND",INDEX('All Song Rankings'!$A:$A,F3670))</f>
        <v>See You At Your Funeral</v>
      </c>
      <c r="H3670" s="6" t="str">
        <f aca="false">IF(F3670=0,"NOT FOUND",INDEX('All Song Rankings'!$B:$B,F3670))</f>
        <v>PUP</v>
      </c>
      <c r="I3670" s="6" t="str">
        <f aca="false">IF(F3670=0,"NOT FOUND",INDEX('All Song Rankings'!$D:$D,F3670))</f>
        <v>Scott</v>
      </c>
      <c r="J3670" s="7" t="str">
        <f aca="false">IF(F3670=0,"NOT FOUND",IF(C3670=I3670,"SELF-VOTE",IF(COUNTIF($K:$K,K3670)&gt;1,"DUPLICATE","OK")))</f>
        <v>OK</v>
      </c>
      <c r="K3670" s="6" t="str">
        <f aca="false">A3670&amp;"|"&amp;B3670&amp;"|"&amp;C3670&amp;"|"&amp;D3670</f>
        <v>6|1|Makenzie|spotify:track:511ZEJJELVd9gYpS9u63us</v>
      </c>
    </row>
    <row r="3671" customFormat="false" ht="15" hidden="false" customHeight="false" outlineLevel="0" collapsed="false">
      <c r="A3671" s="5" t="n">
        <v>6</v>
      </c>
      <c r="B3671" s="5" t="n">
        <v>1</v>
      </c>
      <c r="C3671" s="5" t="s">
        <v>395</v>
      </c>
      <c r="D3671" s="5" t="s">
        <v>1709</v>
      </c>
      <c r="E3671" s="5" t="n">
        <v>1</v>
      </c>
      <c r="F3671" s="6" t="n">
        <f aca="false">IFERROR(MATCH(A3671&amp;"|"&amp;B3671&amp;"|"&amp;D3671,'All Song Rankings'!$T:$T,0),0)</f>
        <v>557</v>
      </c>
      <c r="G3671" s="6" t="str">
        <f aca="false">IF(F3671=0,"NOT FOUND",INDEX('All Song Rankings'!$A:$A,F3671))</f>
        <v>The Middle</v>
      </c>
      <c r="H3671" s="6" t="str">
        <f aca="false">IF(F3671=0,"NOT FOUND",INDEX('All Song Rankings'!$B:$B,F3671))</f>
        <v>Jimmy Eat World</v>
      </c>
      <c r="I3671" s="6" t="str">
        <f aca="false">IF(F3671=0,"NOT FOUND",INDEX('All Song Rankings'!$D:$D,F3671))</f>
        <v>Matt</v>
      </c>
      <c r="J3671" s="7" t="str">
        <f aca="false">IF(F3671=0,"NOT FOUND",IF(C3671=I3671,"SELF-VOTE",IF(COUNTIF($K:$K,K3671)&gt;1,"DUPLICATE","OK")))</f>
        <v>OK</v>
      </c>
      <c r="K3671" s="6" t="str">
        <f aca="false">A3671&amp;"|"&amp;B3671&amp;"|"&amp;C3671&amp;"|"&amp;D3671</f>
        <v>6|1|Makenzie|spotify:track:6GG73Jik4jUlQCkKg9JuGO</v>
      </c>
    </row>
    <row r="3672" customFormat="false" ht="15" hidden="false" customHeight="false" outlineLevel="0" collapsed="false">
      <c r="A3672" s="5" t="n">
        <v>6</v>
      </c>
      <c r="B3672" s="5" t="n">
        <v>1</v>
      </c>
      <c r="C3672" s="5" t="s">
        <v>395</v>
      </c>
      <c r="D3672" s="5" t="s">
        <v>1698</v>
      </c>
      <c r="E3672" s="5" t="n">
        <v>3</v>
      </c>
      <c r="F3672" s="6" t="n">
        <f aca="false">IFERROR(MATCH(A3672&amp;"|"&amp;B3672&amp;"|"&amp;D3672,'All Song Rankings'!$T:$T,0),0)</f>
        <v>553</v>
      </c>
      <c r="G3672" s="6" t="str">
        <f aca="false">IF(F3672=0,"NOT FOUND",INDEX('All Song Rankings'!$A:$A,F3672))</f>
        <v>Cherry Pie</v>
      </c>
      <c r="H3672" s="6" t="str">
        <f aca="false">IF(F3672=0,"NOT FOUND",INDEX('All Song Rankings'!$B:$B,F3672))</f>
        <v>Warrant</v>
      </c>
      <c r="I3672" s="6" t="str">
        <f aca="false">IF(F3672=0,"NOT FOUND",INDEX('All Song Rankings'!$D:$D,F3672))</f>
        <v>Colleen</v>
      </c>
      <c r="J3672" s="7" t="str">
        <f aca="false">IF(F3672=0,"NOT FOUND",IF(C3672=I3672,"SELF-VOTE",IF(COUNTIF($K:$K,K3672)&gt;1,"DUPLICATE","OK")))</f>
        <v>OK</v>
      </c>
      <c r="K3672" s="6" t="str">
        <f aca="false">A3672&amp;"|"&amp;B3672&amp;"|"&amp;C3672&amp;"|"&amp;D3672</f>
        <v>6|1|Makenzie|spotify:track:7LygtNjQ65PSdzVjUnHXQb</v>
      </c>
    </row>
    <row r="3673" customFormat="false" ht="15" hidden="false" customHeight="false" outlineLevel="0" collapsed="false">
      <c r="A3673" s="5" t="n">
        <v>6</v>
      </c>
      <c r="B3673" s="5" t="n">
        <v>1</v>
      </c>
      <c r="C3673" s="5" t="s">
        <v>116</v>
      </c>
      <c r="D3673" s="5" t="s">
        <v>1701</v>
      </c>
      <c r="E3673" s="5" t="n">
        <v>2</v>
      </c>
      <c r="F3673" s="6" t="n">
        <f aca="false">IFERROR(MATCH(A3673&amp;"|"&amp;B3673&amp;"|"&amp;D3673,'All Song Rankings'!$T:$T,0),0)</f>
        <v>554</v>
      </c>
      <c r="G3673" s="6" t="str">
        <f aca="false">IF(F3673=0,"NOT FOUND",INDEX('All Song Rankings'!$A:$A,F3673))</f>
        <v>California Dreamin'</v>
      </c>
      <c r="H3673" s="6" t="str">
        <f aca="false">IF(F3673=0,"NOT FOUND",INDEX('All Song Rankings'!$B:$B,F3673))</f>
        <v>The Mamas &amp; The Papas</v>
      </c>
      <c r="I3673" s="6" t="str">
        <f aca="false">IF(F3673=0,"NOT FOUND",INDEX('All Song Rankings'!$D:$D,F3673))</f>
        <v>Christine</v>
      </c>
      <c r="J3673" s="7" t="str">
        <f aca="false">IF(F3673=0,"NOT FOUND",IF(C3673=I3673,"SELF-VOTE",IF(COUNTIF($K:$K,K3673)&gt;1,"DUPLICATE","OK")))</f>
        <v>OK</v>
      </c>
      <c r="K3673" s="6" t="str">
        <f aca="false">A3673&amp;"|"&amp;B3673&amp;"|"&amp;C3673&amp;"|"&amp;D3673</f>
        <v>6|1|Matt|spotify:track:1ZEOIhSn6BKErV59bIgn76</v>
      </c>
    </row>
    <row r="3674" customFormat="false" ht="15" hidden="false" customHeight="false" outlineLevel="0" collapsed="false">
      <c r="A3674" s="5" t="n">
        <v>6</v>
      </c>
      <c r="B3674" s="5" t="n">
        <v>1</v>
      </c>
      <c r="C3674" s="5" t="s">
        <v>116</v>
      </c>
      <c r="D3674" s="5" t="s">
        <v>1692</v>
      </c>
      <c r="E3674" s="5" t="n">
        <v>1</v>
      </c>
      <c r="F3674" s="6" t="n">
        <f aca="false">IFERROR(MATCH(A3674&amp;"|"&amp;B3674&amp;"|"&amp;D3674,'All Song Rankings'!$T:$T,0),0)</f>
        <v>551</v>
      </c>
      <c r="G3674" s="6" t="str">
        <f aca="false">IF(F3674=0,"NOT FOUND",INDEX('All Song Rankings'!$A:$A,F3674))</f>
        <v>Superstition - Single Version</v>
      </c>
      <c r="H3674" s="6" t="str">
        <f aca="false">IF(F3674=0,"NOT FOUND",INDEX('All Song Rankings'!$B:$B,F3674))</f>
        <v>Stevie Wonder</v>
      </c>
      <c r="I3674" s="6" t="str">
        <f aca="false">IF(F3674=0,"NOT FOUND",INDEX('All Song Rankings'!$D:$D,F3674))</f>
        <v>Stephanie</v>
      </c>
      <c r="J3674" s="7" t="str">
        <f aca="false">IF(F3674=0,"NOT FOUND",IF(C3674=I3674,"SELF-VOTE",IF(COUNTIF($K:$K,K3674)&gt;1,"DUPLICATE","OK")))</f>
        <v>OK</v>
      </c>
      <c r="K3674" s="6" t="str">
        <f aca="false">A3674&amp;"|"&amp;B3674&amp;"|"&amp;C3674&amp;"|"&amp;D3674</f>
        <v>6|1|Matt|spotify:track:1h2xVEoJORqrg71HocgqXd</v>
      </c>
    </row>
    <row r="3675" customFormat="false" ht="15" hidden="false" customHeight="false" outlineLevel="0" collapsed="false">
      <c r="A3675" s="5" t="n">
        <v>6</v>
      </c>
      <c r="B3675" s="5" t="n">
        <v>1</v>
      </c>
      <c r="C3675" s="5" t="s">
        <v>116</v>
      </c>
      <c r="D3675" s="5" t="s">
        <v>1695</v>
      </c>
      <c r="E3675" s="5" t="n">
        <v>1</v>
      </c>
      <c r="F3675" s="6" t="n">
        <f aca="false">IFERROR(MATCH(A3675&amp;"|"&amp;B3675&amp;"|"&amp;D3675,'All Song Rankings'!$T:$T,0),0)</f>
        <v>552</v>
      </c>
      <c r="G3675" s="6" t="str">
        <f aca="false">IF(F3675=0,"NOT FOUND",INDEX('All Song Rankings'!$A:$A,F3675))</f>
        <v>Not The 1975</v>
      </c>
      <c r="H3675" s="6" t="str">
        <f aca="false">IF(F3675=0,"NOT FOUND",INDEX('All Song Rankings'!$B:$B,F3675))</f>
        <v>Knox</v>
      </c>
      <c r="I3675" s="6" t="str">
        <f aca="false">IF(F3675=0,"NOT FOUND",INDEX('All Song Rankings'!$D:$D,F3675))</f>
        <v>Nicole</v>
      </c>
      <c r="J3675" s="7" t="str">
        <f aca="false">IF(F3675=0,"NOT FOUND",IF(C3675=I3675,"SELF-VOTE",IF(COUNTIF($K:$K,K3675)&gt;1,"DUPLICATE","OK")))</f>
        <v>OK</v>
      </c>
      <c r="K3675" s="6" t="str">
        <f aca="false">A3675&amp;"|"&amp;B3675&amp;"|"&amp;C3675&amp;"|"&amp;D3675</f>
        <v>6|1|Matt|spotify:track:2U0Zowgw2tgJXu5K56i4Q4</v>
      </c>
    </row>
    <row r="3676" customFormat="false" ht="15" hidden="false" customHeight="false" outlineLevel="0" collapsed="false">
      <c r="A3676" s="5" t="n">
        <v>6</v>
      </c>
      <c r="B3676" s="5" t="n">
        <v>1</v>
      </c>
      <c r="C3676" s="5" t="s">
        <v>116</v>
      </c>
      <c r="D3676" s="5" t="s">
        <v>1730</v>
      </c>
      <c r="E3676" s="5" t="n">
        <v>1</v>
      </c>
      <c r="F3676" s="6" t="n">
        <f aca="false">IFERROR(MATCH(A3676&amp;"|"&amp;B3676&amp;"|"&amp;D3676,'All Song Rankings'!$T:$T,0),0)</f>
        <v>565</v>
      </c>
      <c r="G3676" s="6" t="str">
        <f aca="false">IF(F3676=0,"NOT FOUND",INDEX('All Song Rankings'!$A:$A,F3676))</f>
        <v>Me, Myself &amp; I</v>
      </c>
      <c r="H3676" s="6" t="str">
        <f aca="false">IF(F3676=0,"NOT FOUND",INDEX('All Song Rankings'!$B:$B,F3676))</f>
        <v>G-Eazy</v>
      </c>
      <c r="I3676" s="6" t="str">
        <f aca="false">IF(F3676=0,"NOT FOUND",INDEX('All Song Rankings'!$D:$D,F3676))</f>
        <v>Merita</v>
      </c>
      <c r="J3676" s="7" t="str">
        <f aca="false">IF(F3676=0,"NOT FOUND",IF(C3676=I3676,"SELF-VOTE",IF(COUNTIF($K:$K,K3676)&gt;1,"DUPLICATE","OK")))</f>
        <v>OK</v>
      </c>
      <c r="K3676" s="6" t="str">
        <f aca="false">A3676&amp;"|"&amp;B3676&amp;"|"&amp;C3676&amp;"|"&amp;D3676</f>
        <v>6|1|Matt|spotify:track:40YcuQysJ0KlGQTeGUosTC</v>
      </c>
    </row>
    <row r="3677" customFormat="false" ht="15" hidden="false" customHeight="false" outlineLevel="0" collapsed="false">
      <c r="A3677" s="5" t="n">
        <v>6</v>
      </c>
      <c r="B3677" s="5" t="n">
        <v>1</v>
      </c>
      <c r="C3677" s="5" t="s">
        <v>116</v>
      </c>
      <c r="D3677" s="5" t="s">
        <v>1721</v>
      </c>
      <c r="E3677" s="5" t="n">
        <v>1</v>
      </c>
      <c r="F3677" s="6" t="n">
        <f aca="false">IFERROR(MATCH(A3677&amp;"|"&amp;B3677&amp;"|"&amp;D3677,'All Song Rankings'!$T:$T,0),0)</f>
        <v>562</v>
      </c>
      <c r="G3677" s="6" t="str">
        <f aca="false">IF(F3677=0,"NOT FOUND",INDEX('All Song Rankings'!$A:$A,F3677))</f>
        <v>Karma Chameleon</v>
      </c>
      <c r="H3677" s="6" t="str">
        <f aca="false">IF(F3677=0,"NOT FOUND",INDEX('All Song Rankings'!$B:$B,F3677))</f>
        <v>Culture Club</v>
      </c>
      <c r="I3677" s="6" t="str">
        <f aca="false">IF(F3677=0,"NOT FOUND",INDEX('All Song Rankings'!$D:$D,F3677))</f>
        <v>Kristen</v>
      </c>
      <c r="J3677" s="7" t="str">
        <f aca="false">IF(F3677=0,"NOT FOUND",IF(C3677=I3677,"SELF-VOTE",IF(COUNTIF($K:$K,K3677)&gt;1,"DUPLICATE","OK")))</f>
        <v>OK</v>
      </c>
      <c r="K3677" s="6" t="str">
        <f aca="false">A3677&amp;"|"&amp;B3677&amp;"|"&amp;C3677&amp;"|"&amp;D3677</f>
        <v>6|1|Matt|spotify:track:48O0GrGJWml3DzHhC5sJ7a</v>
      </c>
    </row>
    <row r="3678" customFormat="false" ht="15" hidden="false" customHeight="false" outlineLevel="0" collapsed="false">
      <c r="A3678" s="5" t="n">
        <v>6</v>
      </c>
      <c r="B3678" s="5" t="n">
        <v>1</v>
      </c>
      <c r="C3678" s="5" t="s">
        <v>116</v>
      </c>
      <c r="D3678" s="5" t="s">
        <v>1704</v>
      </c>
      <c r="E3678" s="5" t="n">
        <v>1</v>
      </c>
      <c r="F3678" s="6" t="n">
        <f aca="false">IFERROR(MATCH(A3678&amp;"|"&amp;B3678&amp;"|"&amp;D3678,'All Song Rankings'!$T:$T,0),0)</f>
        <v>555</v>
      </c>
      <c r="G3678" s="6" t="str">
        <f aca="false">IF(F3678=0,"NOT FOUND",INDEX('All Song Rankings'!$A:$A,F3678))</f>
        <v>Last Man Standing</v>
      </c>
      <c r="H3678" s="6" t="str">
        <f aca="false">IF(F3678=0,"NOT FOUND",INDEX('All Song Rankings'!$B:$B,F3678))</f>
        <v>Livingston</v>
      </c>
      <c r="I3678" s="6" t="str">
        <f aca="false">IF(F3678=0,"NOT FOUND",INDEX('All Song Rankings'!$D:$D,F3678))</f>
        <v>Leah</v>
      </c>
      <c r="J3678" s="7" t="str">
        <f aca="false">IF(F3678=0,"NOT FOUND",IF(C3678=I3678,"SELF-VOTE",IF(COUNTIF($K:$K,K3678)&gt;1,"DUPLICATE","OK")))</f>
        <v>OK</v>
      </c>
      <c r="K3678" s="6" t="str">
        <f aca="false">A3678&amp;"|"&amp;B3678&amp;"|"&amp;C3678&amp;"|"&amp;D3678</f>
        <v>6|1|Matt|spotify:track:6o0kogmiHd9sfWZkXrPpZC</v>
      </c>
    </row>
    <row r="3679" customFormat="false" ht="15" hidden="false" customHeight="false" outlineLevel="0" collapsed="false">
      <c r="A3679" s="5" t="n">
        <v>6</v>
      </c>
      <c r="B3679" s="5" t="n">
        <v>1</v>
      </c>
      <c r="C3679" s="5" t="s">
        <v>116</v>
      </c>
      <c r="D3679" s="5" t="s">
        <v>1707</v>
      </c>
      <c r="E3679" s="5" t="n">
        <v>1</v>
      </c>
      <c r="F3679" s="6" t="n">
        <f aca="false">IFERROR(MATCH(A3679&amp;"|"&amp;B3679&amp;"|"&amp;D3679,'All Song Rankings'!$T:$T,0),0)</f>
        <v>556</v>
      </c>
      <c r="G3679" s="6" t="str">
        <f aca="false">IF(F3679=0,"NOT FOUND",INDEX('All Song Rankings'!$A:$A,F3679))</f>
        <v>Lovesong</v>
      </c>
      <c r="H3679" s="6" t="str">
        <f aca="false">IF(F3679=0,"NOT FOUND",INDEX('All Song Rankings'!$B:$B,F3679))</f>
        <v>The Cure</v>
      </c>
      <c r="I3679" s="6" t="str">
        <f aca="false">IF(F3679=0,"NOT FOUND",INDEX('All Song Rankings'!$D:$D,F3679))</f>
        <v>Lisa</v>
      </c>
      <c r="J3679" s="7" t="str">
        <f aca="false">IF(F3679=0,"NOT FOUND",IF(C3679=I3679,"SELF-VOTE",IF(COUNTIF($K:$K,K3679)&gt;1,"DUPLICATE","OK")))</f>
        <v>OK</v>
      </c>
      <c r="K3679" s="6" t="str">
        <f aca="false">A3679&amp;"|"&amp;B3679&amp;"|"&amp;C3679&amp;"|"&amp;D3679</f>
        <v>6|1|Matt|spotify:track:7K71priwuwcWwbgfHVQJdq</v>
      </c>
    </row>
    <row r="3680" customFormat="false" ht="15" hidden="false" customHeight="false" outlineLevel="0" collapsed="false">
      <c r="A3680" s="5" t="n">
        <v>6</v>
      </c>
      <c r="B3680" s="5" t="n">
        <v>1</v>
      </c>
      <c r="C3680" s="5" t="s">
        <v>116</v>
      </c>
      <c r="D3680" s="5" t="s">
        <v>1698</v>
      </c>
      <c r="E3680" s="5" t="n">
        <v>1</v>
      </c>
      <c r="F3680" s="6" t="n">
        <f aca="false">IFERROR(MATCH(A3680&amp;"|"&amp;B3680&amp;"|"&amp;D3680,'All Song Rankings'!$T:$T,0),0)</f>
        <v>553</v>
      </c>
      <c r="G3680" s="6" t="str">
        <f aca="false">IF(F3680=0,"NOT FOUND",INDEX('All Song Rankings'!$A:$A,F3680))</f>
        <v>Cherry Pie</v>
      </c>
      <c r="H3680" s="6" t="str">
        <f aca="false">IF(F3680=0,"NOT FOUND",INDEX('All Song Rankings'!$B:$B,F3680))</f>
        <v>Warrant</v>
      </c>
      <c r="I3680" s="6" t="str">
        <f aca="false">IF(F3680=0,"NOT FOUND",INDEX('All Song Rankings'!$D:$D,F3680))</f>
        <v>Colleen</v>
      </c>
      <c r="J3680" s="7" t="str">
        <f aca="false">IF(F3680=0,"NOT FOUND",IF(C3680=I3680,"SELF-VOTE",IF(COUNTIF($K:$K,K3680)&gt;1,"DUPLICATE","OK")))</f>
        <v>OK</v>
      </c>
      <c r="K3680" s="6" t="str">
        <f aca="false">A3680&amp;"|"&amp;B3680&amp;"|"&amp;C3680&amp;"|"&amp;D3680</f>
        <v>6|1|Matt|spotify:track:7LygtNjQ65PSdzVjUnHXQb</v>
      </c>
    </row>
    <row r="3681" customFormat="false" ht="15" hidden="false" customHeight="false" outlineLevel="0" collapsed="false">
      <c r="A3681" s="5" t="n">
        <v>6</v>
      </c>
      <c r="B3681" s="5" t="n">
        <v>1</v>
      </c>
      <c r="C3681" s="5" t="s">
        <v>116</v>
      </c>
      <c r="D3681" s="5" t="s">
        <v>1716</v>
      </c>
      <c r="E3681" s="5" t="n">
        <v>1</v>
      </c>
      <c r="F3681" s="6" t="n">
        <f aca="false">IFERROR(MATCH(A3681&amp;"|"&amp;B3681&amp;"|"&amp;D3681,'All Song Rankings'!$T:$T,0),0)</f>
        <v>560</v>
      </c>
      <c r="G3681" s="6" t="str">
        <f aca="false">IF(F3681=0,"NOT FOUND",INDEX('All Song Rankings'!$A:$A,F3681))</f>
        <v>Kings &amp; Queens</v>
      </c>
      <c r="H3681" s="6" t="str">
        <f aca="false">IF(F3681=0,"NOT FOUND",INDEX('All Song Rankings'!$B:$B,F3681))</f>
        <v>Ava Max</v>
      </c>
      <c r="I3681" s="6" t="str">
        <f aca="false">IF(F3681=0,"NOT FOUND",INDEX('All Song Rankings'!$D:$D,F3681))</f>
        <v>Kelsey</v>
      </c>
      <c r="J3681" s="7" t="str">
        <f aca="false">IF(F3681=0,"NOT FOUND",IF(C3681=I3681,"SELF-VOTE",IF(COUNTIF($K:$K,K3681)&gt;1,"DUPLICATE","OK")))</f>
        <v>OK</v>
      </c>
      <c r="K3681" s="6" t="str">
        <f aca="false">A3681&amp;"|"&amp;B3681&amp;"|"&amp;C3681&amp;"|"&amp;D3681</f>
        <v>6|1|Matt|spotify:track:7a53HqqArd4b9NF4XAmlbI</v>
      </c>
    </row>
    <row r="3682" customFormat="false" ht="15" hidden="false" customHeight="false" outlineLevel="0" collapsed="false">
      <c r="A3682" s="5" t="n">
        <v>6</v>
      </c>
      <c r="B3682" s="5" t="n">
        <v>1</v>
      </c>
      <c r="C3682" s="5" t="s">
        <v>92</v>
      </c>
      <c r="D3682" s="5" t="s">
        <v>1718</v>
      </c>
      <c r="E3682" s="5" t="n">
        <v>1</v>
      </c>
      <c r="F3682" s="6" t="n">
        <f aca="false">IFERROR(MATCH(A3682&amp;"|"&amp;B3682&amp;"|"&amp;D3682,'All Song Rankings'!$T:$T,0),0)</f>
        <v>561</v>
      </c>
      <c r="G3682" s="6" t="str">
        <f aca="false">IF(F3682=0,"NOT FOUND",INDEX('All Song Rankings'!$A:$A,F3682))</f>
        <v>Anti-Hero</v>
      </c>
      <c r="H3682" s="6" t="str">
        <f aca="false">IF(F3682=0,"NOT FOUND",INDEX('All Song Rankings'!$B:$B,F3682))</f>
        <v>Taylor Swift</v>
      </c>
      <c r="I3682" s="6" t="str">
        <f aca="false">IF(F3682=0,"NOT FOUND",INDEX('All Song Rankings'!$D:$D,F3682))</f>
        <v>Aubrey</v>
      </c>
      <c r="J3682" s="7" t="str">
        <f aca="false">IF(F3682=0,"NOT FOUND",IF(C3682=I3682,"SELF-VOTE",IF(COUNTIF($K:$K,K3682)&gt;1,"DUPLICATE","OK")))</f>
        <v>OK</v>
      </c>
      <c r="K3682" s="6" t="str">
        <f aca="false">A3682&amp;"|"&amp;B3682&amp;"|"&amp;C3682&amp;"|"&amp;D3682</f>
        <v>6|1|Nicole|spotify:track:0V3wPSX9ygBnCm8psDIegu</v>
      </c>
    </row>
    <row r="3683" customFormat="false" ht="15" hidden="false" customHeight="false" outlineLevel="0" collapsed="false">
      <c r="A3683" s="5" t="n">
        <v>6</v>
      </c>
      <c r="B3683" s="5" t="n">
        <v>1</v>
      </c>
      <c r="C3683" s="5" t="s">
        <v>92</v>
      </c>
      <c r="D3683" s="5" t="s">
        <v>1724</v>
      </c>
      <c r="E3683" s="5" t="n">
        <v>1</v>
      </c>
      <c r="F3683" s="6" t="n">
        <f aca="false">IFERROR(MATCH(A3683&amp;"|"&amp;B3683&amp;"|"&amp;D3683,'All Song Rankings'!$T:$T,0),0)</f>
        <v>563</v>
      </c>
      <c r="G3683" s="6" t="str">
        <f aca="false">IF(F3683=0,"NOT FOUND",INDEX('All Song Rankings'!$A:$A,F3683))</f>
        <v>Middle Finger (feat. Mac Miller)</v>
      </c>
      <c r="H3683" s="6" t="str">
        <f aca="false">IF(F3683=0,"NOT FOUND",INDEX('All Song Rankings'!$B:$B,F3683))</f>
        <v>Cobra Starship</v>
      </c>
      <c r="I3683" s="6" t="str">
        <f aca="false">IF(F3683=0,"NOT FOUND",INDEX('All Song Rankings'!$D:$D,F3683))</f>
        <v>Makenzie</v>
      </c>
      <c r="J3683" s="7" t="str">
        <f aca="false">IF(F3683=0,"NOT FOUND",IF(C3683=I3683,"SELF-VOTE",IF(COUNTIF($K:$K,K3683)&gt;1,"DUPLICATE","OK")))</f>
        <v>OK</v>
      </c>
      <c r="K3683" s="6" t="str">
        <f aca="false">A3683&amp;"|"&amp;B3683&amp;"|"&amp;C3683&amp;"|"&amp;D3683</f>
        <v>6|1|Nicole|spotify:track:2vjmUmO71XEDuitvK4sxRM</v>
      </c>
    </row>
    <row r="3684" customFormat="false" ht="15" hidden="false" customHeight="false" outlineLevel="0" collapsed="false">
      <c r="A3684" s="5" t="n">
        <v>6</v>
      </c>
      <c r="B3684" s="5" t="n">
        <v>1</v>
      </c>
      <c r="C3684" s="5" t="s">
        <v>92</v>
      </c>
      <c r="D3684" s="5" t="s">
        <v>1730</v>
      </c>
      <c r="E3684" s="5" t="n">
        <v>1</v>
      </c>
      <c r="F3684" s="6" t="n">
        <f aca="false">IFERROR(MATCH(A3684&amp;"|"&amp;B3684&amp;"|"&amp;D3684,'All Song Rankings'!$T:$T,0),0)</f>
        <v>565</v>
      </c>
      <c r="G3684" s="6" t="str">
        <f aca="false">IF(F3684=0,"NOT FOUND",INDEX('All Song Rankings'!$A:$A,F3684))</f>
        <v>Me, Myself &amp; I</v>
      </c>
      <c r="H3684" s="6" t="str">
        <f aca="false">IF(F3684=0,"NOT FOUND",INDEX('All Song Rankings'!$B:$B,F3684))</f>
        <v>G-Eazy</v>
      </c>
      <c r="I3684" s="6" t="str">
        <f aca="false">IF(F3684=0,"NOT FOUND",INDEX('All Song Rankings'!$D:$D,F3684))</f>
        <v>Merita</v>
      </c>
      <c r="J3684" s="7" t="str">
        <f aca="false">IF(F3684=0,"NOT FOUND",IF(C3684=I3684,"SELF-VOTE",IF(COUNTIF($K:$K,K3684)&gt;1,"DUPLICATE","OK")))</f>
        <v>OK</v>
      </c>
      <c r="K3684" s="6" t="str">
        <f aca="false">A3684&amp;"|"&amp;B3684&amp;"|"&amp;C3684&amp;"|"&amp;D3684</f>
        <v>6|1|Nicole|spotify:track:40YcuQysJ0KlGQTeGUosTC</v>
      </c>
    </row>
    <row r="3685" customFormat="false" ht="15" hidden="false" customHeight="false" outlineLevel="0" collapsed="false">
      <c r="A3685" s="5" t="n">
        <v>6</v>
      </c>
      <c r="B3685" s="5" t="n">
        <v>1</v>
      </c>
      <c r="C3685" s="5" t="s">
        <v>92</v>
      </c>
      <c r="D3685" s="5" t="s">
        <v>1709</v>
      </c>
      <c r="E3685" s="5" t="n">
        <v>1</v>
      </c>
      <c r="F3685" s="6" t="n">
        <f aca="false">IFERROR(MATCH(A3685&amp;"|"&amp;B3685&amp;"|"&amp;D3685,'All Song Rankings'!$T:$T,0),0)</f>
        <v>557</v>
      </c>
      <c r="G3685" s="6" t="str">
        <f aca="false">IF(F3685=0,"NOT FOUND",INDEX('All Song Rankings'!$A:$A,F3685))</f>
        <v>The Middle</v>
      </c>
      <c r="H3685" s="6" t="str">
        <f aca="false">IF(F3685=0,"NOT FOUND",INDEX('All Song Rankings'!$B:$B,F3685))</f>
        <v>Jimmy Eat World</v>
      </c>
      <c r="I3685" s="6" t="str">
        <f aca="false">IF(F3685=0,"NOT FOUND",INDEX('All Song Rankings'!$D:$D,F3685))</f>
        <v>Matt</v>
      </c>
      <c r="J3685" s="7" t="str">
        <f aca="false">IF(F3685=0,"NOT FOUND",IF(C3685=I3685,"SELF-VOTE",IF(COUNTIF($K:$K,K3685)&gt;1,"DUPLICATE","OK")))</f>
        <v>OK</v>
      </c>
      <c r="K3685" s="6" t="str">
        <f aca="false">A3685&amp;"|"&amp;B3685&amp;"|"&amp;C3685&amp;"|"&amp;D3685</f>
        <v>6|1|Nicole|spotify:track:6GG73Jik4jUlQCkKg9JuGO</v>
      </c>
    </row>
    <row r="3686" customFormat="false" ht="15" hidden="false" customHeight="false" outlineLevel="0" collapsed="false">
      <c r="A3686" s="5" t="n">
        <v>6</v>
      </c>
      <c r="B3686" s="5" t="n">
        <v>1</v>
      </c>
      <c r="C3686" s="5" t="s">
        <v>92</v>
      </c>
      <c r="D3686" s="5" t="s">
        <v>1704</v>
      </c>
      <c r="E3686" s="5" t="n">
        <v>2</v>
      </c>
      <c r="F3686" s="6" t="n">
        <f aca="false">IFERROR(MATCH(A3686&amp;"|"&amp;B3686&amp;"|"&amp;D3686,'All Song Rankings'!$T:$T,0),0)</f>
        <v>555</v>
      </c>
      <c r="G3686" s="6" t="str">
        <f aca="false">IF(F3686=0,"NOT FOUND",INDEX('All Song Rankings'!$A:$A,F3686))</f>
        <v>Last Man Standing</v>
      </c>
      <c r="H3686" s="6" t="str">
        <f aca="false">IF(F3686=0,"NOT FOUND",INDEX('All Song Rankings'!$B:$B,F3686))</f>
        <v>Livingston</v>
      </c>
      <c r="I3686" s="6" t="str">
        <f aca="false">IF(F3686=0,"NOT FOUND",INDEX('All Song Rankings'!$D:$D,F3686))</f>
        <v>Leah</v>
      </c>
      <c r="J3686" s="7" t="str">
        <f aca="false">IF(F3686=0,"NOT FOUND",IF(C3686=I3686,"SELF-VOTE",IF(COUNTIF($K:$K,K3686)&gt;1,"DUPLICATE","OK")))</f>
        <v>OK</v>
      </c>
      <c r="K3686" s="6" t="str">
        <f aca="false">A3686&amp;"|"&amp;B3686&amp;"|"&amp;C3686&amp;"|"&amp;D3686</f>
        <v>6|1|Nicole|spotify:track:6o0kogmiHd9sfWZkXrPpZC</v>
      </c>
    </row>
    <row r="3687" customFormat="false" ht="15" hidden="false" customHeight="false" outlineLevel="0" collapsed="false">
      <c r="A3687" s="5" t="n">
        <v>6</v>
      </c>
      <c r="B3687" s="5" t="n">
        <v>1</v>
      </c>
      <c r="C3687" s="5" t="s">
        <v>92</v>
      </c>
      <c r="D3687" s="5" t="s">
        <v>1714</v>
      </c>
      <c r="E3687" s="5" t="n">
        <v>1</v>
      </c>
      <c r="F3687" s="6" t="n">
        <f aca="false">IFERROR(MATCH(A3687&amp;"|"&amp;B3687&amp;"|"&amp;D3687,'All Song Rankings'!$T:$T,0),0)</f>
        <v>559</v>
      </c>
      <c r="G3687" s="6" t="str">
        <f aca="false">IF(F3687=0,"NOT FOUND",INDEX('All Song Rankings'!$A:$A,F3687))</f>
        <v>Ghost</v>
      </c>
      <c r="H3687" s="6" t="str">
        <f aca="false">IF(F3687=0,"NOT FOUND",INDEX('All Song Rankings'!$B:$B,F3687))</f>
        <v>Ava Max</v>
      </c>
      <c r="I3687" s="6" t="str">
        <f aca="false">IF(F3687=0,"NOT FOUND",INDEX('All Song Rankings'!$D:$D,F3687))</f>
        <v>Grace</v>
      </c>
      <c r="J3687" s="7" t="str">
        <f aca="false">IF(F3687=0,"NOT FOUND",IF(C3687=I3687,"SELF-VOTE",IF(COUNTIF($K:$K,K3687)&gt;1,"DUPLICATE","OK")))</f>
        <v>OK</v>
      </c>
      <c r="K3687" s="6" t="str">
        <f aca="false">A3687&amp;"|"&amp;B3687&amp;"|"&amp;C3687&amp;"|"&amp;D3687</f>
        <v>6|1|Nicole|spotify:track:726TaMebVtCacv69K8yuRu</v>
      </c>
    </row>
    <row r="3688" customFormat="false" ht="15" hidden="false" customHeight="false" outlineLevel="0" collapsed="false">
      <c r="A3688" s="5" t="n">
        <v>6</v>
      </c>
      <c r="B3688" s="5" t="n">
        <v>1</v>
      </c>
      <c r="C3688" s="5" t="s">
        <v>92</v>
      </c>
      <c r="D3688" s="5" t="s">
        <v>1707</v>
      </c>
      <c r="E3688" s="5" t="n">
        <v>1</v>
      </c>
      <c r="F3688" s="6" t="n">
        <f aca="false">IFERROR(MATCH(A3688&amp;"|"&amp;B3688&amp;"|"&amp;D3688,'All Song Rankings'!$T:$T,0),0)</f>
        <v>556</v>
      </c>
      <c r="G3688" s="6" t="str">
        <f aca="false">IF(F3688=0,"NOT FOUND",INDEX('All Song Rankings'!$A:$A,F3688))</f>
        <v>Lovesong</v>
      </c>
      <c r="H3688" s="6" t="str">
        <f aca="false">IF(F3688=0,"NOT FOUND",INDEX('All Song Rankings'!$B:$B,F3688))</f>
        <v>The Cure</v>
      </c>
      <c r="I3688" s="6" t="str">
        <f aca="false">IF(F3688=0,"NOT FOUND",INDEX('All Song Rankings'!$D:$D,F3688))</f>
        <v>Lisa</v>
      </c>
      <c r="J3688" s="7" t="str">
        <f aca="false">IF(F3688=0,"NOT FOUND",IF(C3688=I3688,"SELF-VOTE",IF(COUNTIF($K:$K,K3688)&gt;1,"DUPLICATE","OK")))</f>
        <v>OK</v>
      </c>
      <c r="K3688" s="6" t="str">
        <f aca="false">A3688&amp;"|"&amp;B3688&amp;"|"&amp;C3688&amp;"|"&amp;D3688</f>
        <v>6|1|Nicole|spotify:track:7K71priwuwcWwbgfHVQJdq</v>
      </c>
    </row>
    <row r="3689" customFormat="false" ht="15" hidden="false" customHeight="false" outlineLevel="0" collapsed="false">
      <c r="A3689" s="5" t="n">
        <v>6</v>
      </c>
      <c r="B3689" s="5" t="n">
        <v>1</v>
      </c>
      <c r="C3689" s="5" t="s">
        <v>92</v>
      </c>
      <c r="D3689" s="5" t="s">
        <v>1698</v>
      </c>
      <c r="E3689" s="5" t="n">
        <v>1</v>
      </c>
      <c r="F3689" s="6" t="n">
        <f aca="false">IFERROR(MATCH(A3689&amp;"|"&amp;B3689&amp;"|"&amp;D3689,'All Song Rankings'!$T:$T,0),0)</f>
        <v>553</v>
      </c>
      <c r="G3689" s="6" t="str">
        <f aca="false">IF(F3689=0,"NOT FOUND",INDEX('All Song Rankings'!$A:$A,F3689))</f>
        <v>Cherry Pie</v>
      </c>
      <c r="H3689" s="6" t="str">
        <f aca="false">IF(F3689=0,"NOT FOUND",INDEX('All Song Rankings'!$B:$B,F3689))</f>
        <v>Warrant</v>
      </c>
      <c r="I3689" s="6" t="str">
        <f aca="false">IF(F3689=0,"NOT FOUND",INDEX('All Song Rankings'!$D:$D,F3689))</f>
        <v>Colleen</v>
      </c>
      <c r="J3689" s="7" t="str">
        <f aca="false">IF(F3689=0,"NOT FOUND",IF(C3689=I3689,"SELF-VOTE",IF(COUNTIF($K:$K,K3689)&gt;1,"DUPLICATE","OK")))</f>
        <v>OK</v>
      </c>
      <c r="K3689" s="6" t="str">
        <f aca="false">A3689&amp;"|"&amp;B3689&amp;"|"&amp;C3689&amp;"|"&amp;D3689</f>
        <v>6|1|Nicole|spotify:track:7LygtNjQ65PSdzVjUnHXQb</v>
      </c>
    </row>
    <row r="3690" customFormat="false" ht="15" hidden="false" customHeight="false" outlineLevel="0" collapsed="false">
      <c r="A3690" s="5" t="n">
        <v>6</v>
      </c>
      <c r="B3690" s="5" t="n">
        <v>1</v>
      </c>
      <c r="C3690" s="5" t="s">
        <v>92</v>
      </c>
      <c r="D3690" s="5" t="s">
        <v>1716</v>
      </c>
      <c r="E3690" s="5" t="n">
        <v>1</v>
      </c>
      <c r="F3690" s="6" t="n">
        <f aca="false">IFERROR(MATCH(A3690&amp;"|"&amp;B3690&amp;"|"&amp;D3690,'All Song Rankings'!$T:$T,0),0)</f>
        <v>560</v>
      </c>
      <c r="G3690" s="6" t="str">
        <f aca="false">IF(F3690=0,"NOT FOUND",INDEX('All Song Rankings'!$A:$A,F3690))</f>
        <v>Kings &amp; Queens</v>
      </c>
      <c r="H3690" s="6" t="str">
        <f aca="false">IF(F3690=0,"NOT FOUND",INDEX('All Song Rankings'!$B:$B,F3690))</f>
        <v>Ava Max</v>
      </c>
      <c r="I3690" s="6" t="str">
        <f aca="false">IF(F3690=0,"NOT FOUND",INDEX('All Song Rankings'!$D:$D,F3690))</f>
        <v>Kelsey</v>
      </c>
      <c r="J3690" s="7" t="str">
        <f aca="false">IF(F3690=0,"NOT FOUND",IF(C3690=I3690,"SELF-VOTE",IF(COUNTIF($K:$K,K3690)&gt;1,"DUPLICATE","OK")))</f>
        <v>OK</v>
      </c>
      <c r="K3690" s="6" t="str">
        <f aca="false">A3690&amp;"|"&amp;B3690&amp;"|"&amp;C3690&amp;"|"&amp;D3690</f>
        <v>6|1|Nicole|spotify:track:7a53HqqArd4b9NF4XAmlbI</v>
      </c>
    </row>
    <row r="3691" customFormat="false" ht="15" hidden="false" customHeight="false" outlineLevel="0" collapsed="false">
      <c r="A3691" s="5" t="n">
        <v>6</v>
      </c>
      <c r="B3691" s="5" t="n">
        <v>1</v>
      </c>
      <c r="C3691" s="5" t="s">
        <v>484</v>
      </c>
      <c r="D3691" s="5" t="s">
        <v>1701</v>
      </c>
      <c r="E3691" s="5" t="n">
        <v>1</v>
      </c>
      <c r="F3691" s="6" t="n">
        <f aca="false">IFERROR(MATCH(A3691&amp;"|"&amp;B3691&amp;"|"&amp;D3691,'All Song Rankings'!$T:$T,0),0)</f>
        <v>554</v>
      </c>
      <c r="G3691" s="6" t="str">
        <f aca="false">IF(F3691=0,"NOT FOUND",INDEX('All Song Rankings'!$A:$A,F3691))</f>
        <v>California Dreamin'</v>
      </c>
      <c r="H3691" s="6" t="str">
        <f aca="false">IF(F3691=0,"NOT FOUND",INDEX('All Song Rankings'!$B:$B,F3691))</f>
        <v>The Mamas &amp; The Papas</v>
      </c>
      <c r="I3691" s="6" t="str">
        <f aca="false">IF(F3691=0,"NOT FOUND",INDEX('All Song Rankings'!$D:$D,F3691))</f>
        <v>Christine</v>
      </c>
      <c r="J3691" s="7" t="str">
        <f aca="false">IF(F3691=0,"NOT FOUND",IF(C3691=I3691,"SELF-VOTE",IF(COUNTIF($K:$K,K3691)&gt;1,"DUPLICATE","OK")))</f>
        <v>OK</v>
      </c>
      <c r="K3691" s="6" t="str">
        <f aca="false">A3691&amp;"|"&amp;B3691&amp;"|"&amp;C3691&amp;"|"&amp;D3691</f>
        <v>6|1|Scott|spotify:track:1ZEOIhSn6BKErV59bIgn76</v>
      </c>
    </row>
    <row r="3692" customFormat="false" ht="15" hidden="false" customHeight="false" outlineLevel="0" collapsed="false">
      <c r="A3692" s="5" t="n">
        <v>6</v>
      </c>
      <c r="B3692" s="5" t="n">
        <v>1</v>
      </c>
      <c r="C3692" s="5" t="s">
        <v>484</v>
      </c>
      <c r="D3692" s="5" t="s">
        <v>1692</v>
      </c>
      <c r="E3692" s="5" t="n">
        <v>1</v>
      </c>
      <c r="F3692" s="6" t="n">
        <f aca="false">IFERROR(MATCH(A3692&amp;"|"&amp;B3692&amp;"|"&amp;D3692,'All Song Rankings'!$T:$T,0),0)</f>
        <v>551</v>
      </c>
      <c r="G3692" s="6" t="str">
        <f aca="false">IF(F3692=0,"NOT FOUND",INDEX('All Song Rankings'!$A:$A,F3692))</f>
        <v>Superstition - Single Version</v>
      </c>
      <c r="H3692" s="6" t="str">
        <f aca="false">IF(F3692=0,"NOT FOUND",INDEX('All Song Rankings'!$B:$B,F3692))</f>
        <v>Stevie Wonder</v>
      </c>
      <c r="I3692" s="6" t="str">
        <f aca="false">IF(F3692=0,"NOT FOUND",INDEX('All Song Rankings'!$D:$D,F3692))</f>
        <v>Stephanie</v>
      </c>
      <c r="J3692" s="7" t="str">
        <f aca="false">IF(F3692=0,"NOT FOUND",IF(C3692=I3692,"SELF-VOTE",IF(COUNTIF($K:$K,K3692)&gt;1,"DUPLICATE","OK")))</f>
        <v>OK</v>
      </c>
      <c r="K3692" s="6" t="str">
        <f aca="false">A3692&amp;"|"&amp;B3692&amp;"|"&amp;C3692&amp;"|"&amp;D3692</f>
        <v>6|1|Scott|spotify:track:1h2xVEoJORqrg71HocgqXd</v>
      </c>
    </row>
    <row r="3693" customFormat="false" ht="15" hidden="false" customHeight="false" outlineLevel="0" collapsed="false">
      <c r="A3693" s="5" t="n">
        <v>6</v>
      </c>
      <c r="B3693" s="5" t="n">
        <v>1</v>
      </c>
      <c r="C3693" s="5" t="s">
        <v>484</v>
      </c>
      <c r="D3693" s="5" t="s">
        <v>1695</v>
      </c>
      <c r="E3693" s="5" t="n">
        <v>2</v>
      </c>
      <c r="F3693" s="6" t="n">
        <f aca="false">IFERROR(MATCH(A3693&amp;"|"&amp;B3693&amp;"|"&amp;D3693,'All Song Rankings'!$T:$T,0),0)</f>
        <v>552</v>
      </c>
      <c r="G3693" s="6" t="str">
        <f aca="false">IF(F3693=0,"NOT FOUND",INDEX('All Song Rankings'!$A:$A,F3693))</f>
        <v>Not The 1975</v>
      </c>
      <c r="H3693" s="6" t="str">
        <f aca="false">IF(F3693=0,"NOT FOUND",INDEX('All Song Rankings'!$B:$B,F3693))</f>
        <v>Knox</v>
      </c>
      <c r="I3693" s="6" t="str">
        <f aca="false">IF(F3693=0,"NOT FOUND",INDEX('All Song Rankings'!$D:$D,F3693))</f>
        <v>Nicole</v>
      </c>
      <c r="J3693" s="7" t="str">
        <f aca="false">IF(F3693=0,"NOT FOUND",IF(C3693=I3693,"SELF-VOTE",IF(COUNTIF($K:$K,K3693)&gt;1,"DUPLICATE","OK")))</f>
        <v>OK</v>
      </c>
      <c r="K3693" s="6" t="str">
        <f aca="false">A3693&amp;"|"&amp;B3693&amp;"|"&amp;C3693&amp;"|"&amp;D3693</f>
        <v>6|1|Scott|spotify:track:2U0Zowgw2tgJXu5K56i4Q4</v>
      </c>
    </row>
    <row r="3694" customFormat="false" ht="15" hidden="false" customHeight="false" outlineLevel="0" collapsed="false">
      <c r="A3694" s="5" t="n">
        <v>6</v>
      </c>
      <c r="B3694" s="5" t="n">
        <v>1</v>
      </c>
      <c r="C3694" s="5" t="s">
        <v>484</v>
      </c>
      <c r="D3694" s="5" t="s">
        <v>1721</v>
      </c>
      <c r="E3694" s="5" t="n">
        <v>1</v>
      </c>
      <c r="F3694" s="6" t="n">
        <f aca="false">IFERROR(MATCH(A3694&amp;"|"&amp;B3694&amp;"|"&amp;D3694,'All Song Rankings'!$T:$T,0),0)</f>
        <v>562</v>
      </c>
      <c r="G3694" s="6" t="str">
        <f aca="false">IF(F3694=0,"NOT FOUND",INDEX('All Song Rankings'!$A:$A,F3694))</f>
        <v>Karma Chameleon</v>
      </c>
      <c r="H3694" s="6" t="str">
        <f aca="false">IF(F3694=0,"NOT FOUND",INDEX('All Song Rankings'!$B:$B,F3694))</f>
        <v>Culture Club</v>
      </c>
      <c r="I3694" s="6" t="str">
        <f aca="false">IF(F3694=0,"NOT FOUND",INDEX('All Song Rankings'!$D:$D,F3694))</f>
        <v>Kristen</v>
      </c>
      <c r="J3694" s="7" t="str">
        <f aca="false">IF(F3694=0,"NOT FOUND",IF(C3694=I3694,"SELF-VOTE",IF(COUNTIF($K:$K,K3694)&gt;1,"DUPLICATE","OK")))</f>
        <v>OK</v>
      </c>
      <c r="K3694" s="6" t="str">
        <f aca="false">A3694&amp;"|"&amp;B3694&amp;"|"&amp;C3694&amp;"|"&amp;D3694</f>
        <v>6|1|Scott|spotify:track:48O0GrGJWml3DzHhC5sJ7a</v>
      </c>
    </row>
    <row r="3695" customFormat="false" ht="15" hidden="false" customHeight="false" outlineLevel="0" collapsed="false">
      <c r="A3695" s="5" t="n">
        <v>6</v>
      </c>
      <c r="B3695" s="5" t="n">
        <v>1</v>
      </c>
      <c r="C3695" s="5" t="s">
        <v>484</v>
      </c>
      <c r="D3695" s="5" t="s">
        <v>1709</v>
      </c>
      <c r="E3695" s="5" t="n">
        <v>1</v>
      </c>
      <c r="F3695" s="6" t="n">
        <f aca="false">IFERROR(MATCH(A3695&amp;"|"&amp;B3695&amp;"|"&amp;D3695,'All Song Rankings'!$T:$T,0),0)</f>
        <v>557</v>
      </c>
      <c r="G3695" s="6" t="str">
        <f aca="false">IF(F3695=0,"NOT FOUND",INDEX('All Song Rankings'!$A:$A,F3695))</f>
        <v>The Middle</v>
      </c>
      <c r="H3695" s="6" t="str">
        <f aca="false">IF(F3695=0,"NOT FOUND",INDEX('All Song Rankings'!$B:$B,F3695))</f>
        <v>Jimmy Eat World</v>
      </c>
      <c r="I3695" s="6" t="str">
        <f aca="false">IF(F3695=0,"NOT FOUND",INDEX('All Song Rankings'!$D:$D,F3695))</f>
        <v>Matt</v>
      </c>
      <c r="J3695" s="7" t="str">
        <f aca="false">IF(F3695=0,"NOT FOUND",IF(C3695=I3695,"SELF-VOTE",IF(COUNTIF($K:$K,K3695)&gt;1,"DUPLICATE","OK")))</f>
        <v>OK</v>
      </c>
      <c r="K3695" s="6" t="str">
        <f aca="false">A3695&amp;"|"&amp;B3695&amp;"|"&amp;C3695&amp;"|"&amp;D3695</f>
        <v>6|1|Scott|spotify:track:6GG73Jik4jUlQCkKg9JuGO</v>
      </c>
    </row>
    <row r="3696" customFormat="false" ht="15" hidden="false" customHeight="false" outlineLevel="0" collapsed="false">
      <c r="A3696" s="5" t="n">
        <v>6</v>
      </c>
      <c r="B3696" s="5" t="n">
        <v>1</v>
      </c>
      <c r="C3696" s="5" t="s">
        <v>484</v>
      </c>
      <c r="D3696" s="5" t="s">
        <v>1712</v>
      </c>
      <c r="E3696" s="5" t="n">
        <v>1</v>
      </c>
      <c r="F3696" s="6" t="n">
        <f aca="false">IFERROR(MATCH(A3696&amp;"|"&amp;B3696&amp;"|"&amp;D3696,'All Song Rankings'!$T:$T,0),0)</f>
        <v>558</v>
      </c>
      <c r="G3696" s="6" t="str">
        <f aca="false">IF(F3696=0,"NOT FOUND",INDEX('All Song Rankings'!$A:$A,F3696))</f>
        <v>Love You For A Long Time</v>
      </c>
      <c r="H3696" s="6" t="str">
        <f aca="false">IF(F3696=0,"NOT FOUND",INDEX('All Song Rankings'!$B:$B,F3696))</f>
        <v>Maggie Rogers</v>
      </c>
      <c r="I3696" s="6" t="str">
        <f aca="false">IF(F3696=0,"NOT FOUND",INDEX('All Song Rankings'!$D:$D,F3696))</f>
        <v>Logan</v>
      </c>
      <c r="J3696" s="7" t="str">
        <f aca="false">IF(F3696=0,"NOT FOUND",IF(C3696=I3696,"SELF-VOTE",IF(COUNTIF($K:$K,K3696)&gt;1,"DUPLICATE","OK")))</f>
        <v>OK</v>
      </c>
      <c r="K3696" s="6" t="str">
        <f aca="false">A3696&amp;"|"&amp;B3696&amp;"|"&amp;C3696&amp;"|"&amp;D3696</f>
        <v>6|1|Scott|spotify:track:6QTPacyXkZWG9FMwq6L1hJ</v>
      </c>
    </row>
    <row r="3697" customFormat="false" ht="15" hidden="false" customHeight="false" outlineLevel="0" collapsed="false">
      <c r="A3697" s="5" t="n">
        <v>6</v>
      </c>
      <c r="B3697" s="5" t="n">
        <v>1</v>
      </c>
      <c r="C3697" s="5" t="s">
        <v>484</v>
      </c>
      <c r="D3697" s="5" t="s">
        <v>1714</v>
      </c>
      <c r="E3697" s="5" t="n">
        <v>1</v>
      </c>
      <c r="F3697" s="6" t="n">
        <f aca="false">IFERROR(MATCH(A3697&amp;"|"&amp;B3697&amp;"|"&amp;D3697,'All Song Rankings'!$T:$T,0),0)</f>
        <v>559</v>
      </c>
      <c r="G3697" s="6" t="str">
        <f aca="false">IF(F3697=0,"NOT FOUND",INDEX('All Song Rankings'!$A:$A,F3697))</f>
        <v>Ghost</v>
      </c>
      <c r="H3697" s="6" t="str">
        <f aca="false">IF(F3697=0,"NOT FOUND",INDEX('All Song Rankings'!$B:$B,F3697))</f>
        <v>Ava Max</v>
      </c>
      <c r="I3697" s="6" t="str">
        <f aca="false">IF(F3697=0,"NOT FOUND",INDEX('All Song Rankings'!$D:$D,F3697))</f>
        <v>Grace</v>
      </c>
      <c r="J3697" s="7" t="str">
        <f aca="false">IF(F3697=0,"NOT FOUND",IF(C3697=I3697,"SELF-VOTE",IF(COUNTIF($K:$K,K3697)&gt;1,"DUPLICATE","OK")))</f>
        <v>OK</v>
      </c>
      <c r="K3697" s="6" t="str">
        <f aca="false">A3697&amp;"|"&amp;B3697&amp;"|"&amp;C3697&amp;"|"&amp;D3697</f>
        <v>6|1|Scott|spotify:track:726TaMebVtCacv69K8yuRu</v>
      </c>
    </row>
    <row r="3698" customFormat="false" ht="15" hidden="false" customHeight="false" outlineLevel="0" collapsed="false">
      <c r="A3698" s="5" t="n">
        <v>6</v>
      </c>
      <c r="B3698" s="5" t="n">
        <v>1</v>
      </c>
      <c r="C3698" s="5" t="s">
        <v>484</v>
      </c>
      <c r="D3698" s="5" t="s">
        <v>1707</v>
      </c>
      <c r="E3698" s="5" t="n">
        <v>2</v>
      </c>
      <c r="F3698" s="6" t="n">
        <f aca="false">IFERROR(MATCH(A3698&amp;"|"&amp;B3698&amp;"|"&amp;D3698,'All Song Rankings'!$T:$T,0),0)</f>
        <v>556</v>
      </c>
      <c r="G3698" s="6" t="str">
        <f aca="false">IF(F3698=0,"NOT FOUND",INDEX('All Song Rankings'!$A:$A,F3698))</f>
        <v>Lovesong</v>
      </c>
      <c r="H3698" s="6" t="str">
        <f aca="false">IF(F3698=0,"NOT FOUND",INDEX('All Song Rankings'!$B:$B,F3698))</f>
        <v>The Cure</v>
      </c>
      <c r="I3698" s="6" t="str">
        <f aca="false">IF(F3698=0,"NOT FOUND",INDEX('All Song Rankings'!$D:$D,F3698))</f>
        <v>Lisa</v>
      </c>
      <c r="J3698" s="7" t="str">
        <f aca="false">IF(F3698=0,"NOT FOUND",IF(C3698=I3698,"SELF-VOTE",IF(COUNTIF($K:$K,K3698)&gt;1,"DUPLICATE","OK")))</f>
        <v>OK</v>
      </c>
      <c r="K3698" s="6" t="str">
        <f aca="false">A3698&amp;"|"&amp;B3698&amp;"|"&amp;C3698&amp;"|"&amp;D3698</f>
        <v>6|1|Scott|spotify:track:7K71priwuwcWwbgfHVQJdq</v>
      </c>
    </row>
    <row r="3699" customFormat="false" ht="15" hidden="false" customHeight="false" outlineLevel="0" collapsed="false">
      <c r="A3699" s="5" t="n">
        <v>6</v>
      </c>
      <c r="B3699" s="5" t="n">
        <v>1</v>
      </c>
      <c r="C3699" s="5" t="s">
        <v>97</v>
      </c>
      <c r="D3699" s="5" t="s">
        <v>1718</v>
      </c>
      <c r="E3699" s="5" t="n">
        <v>1</v>
      </c>
      <c r="F3699" s="6" t="n">
        <f aca="false">IFERROR(MATCH(A3699&amp;"|"&amp;B3699&amp;"|"&amp;D3699,'All Song Rankings'!$T:$T,0),0)</f>
        <v>561</v>
      </c>
      <c r="G3699" s="6" t="str">
        <f aca="false">IF(F3699=0,"NOT FOUND",INDEX('All Song Rankings'!$A:$A,F3699))</f>
        <v>Anti-Hero</v>
      </c>
      <c r="H3699" s="6" t="str">
        <f aca="false">IF(F3699=0,"NOT FOUND",INDEX('All Song Rankings'!$B:$B,F3699))</f>
        <v>Taylor Swift</v>
      </c>
      <c r="I3699" s="6" t="str">
        <f aca="false">IF(F3699=0,"NOT FOUND",INDEX('All Song Rankings'!$D:$D,F3699))</f>
        <v>Aubrey</v>
      </c>
      <c r="J3699" s="7" t="str">
        <f aca="false">IF(F3699=0,"NOT FOUND",IF(C3699=I3699,"SELF-VOTE",IF(COUNTIF($K:$K,K3699)&gt;1,"DUPLICATE","OK")))</f>
        <v>OK</v>
      </c>
      <c r="K3699" s="6" t="str">
        <f aca="false">A3699&amp;"|"&amp;B3699&amp;"|"&amp;C3699&amp;"|"&amp;D3699</f>
        <v>6|1|Stephanie|spotify:track:0V3wPSX9ygBnCm8psDIegu</v>
      </c>
    </row>
    <row r="3700" customFormat="false" ht="15" hidden="false" customHeight="false" outlineLevel="0" collapsed="false">
      <c r="A3700" s="5" t="n">
        <v>6</v>
      </c>
      <c r="B3700" s="5" t="n">
        <v>1</v>
      </c>
      <c r="C3700" s="5" t="s">
        <v>97</v>
      </c>
      <c r="D3700" s="5" t="s">
        <v>1727</v>
      </c>
      <c r="E3700" s="5" t="n">
        <v>1</v>
      </c>
      <c r="F3700" s="6" t="n">
        <f aca="false">IFERROR(MATCH(A3700&amp;"|"&amp;B3700&amp;"|"&amp;D3700,'All Song Rankings'!$T:$T,0),0)</f>
        <v>564</v>
      </c>
      <c r="G3700" s="6" t="str">
        <f aca="false">IF(F3700=0,"NOT FOUND",INDEX('All Song Rankings'!$A:$A,F3700))</f>
        <v>See You At Your Funeral</v>
      </c>
      <c r="H3700" s="6" t="str">
        <f aca="false">IF(F3700=0,"NOT FOUND",INDEX('All Song Rankings'!$B:$B,F3700))</f>
        <v>PUP</v>
      </c>
      <c r="I3700" s="6" t="str">
        <f aca="false">IF(F3700=0,"NOT FOUND",INDEX('All Song Rankings'!$D:$D,F3700))</f>
        <v>Scott</v>
      </c>
      <c r="J3700" s="7" t="str">
        <f aca="false">IF(F3700=0,"NOT FOUND",IF(C3700=I3700,"SELF-VOTE",IF(COUNTIF($K:$K,K3700)&gt;1,"DUPLICATE","OK")))</f>
        <v>OK</v>
      </c>
      <c r="K3700" s="6" t="str">
        <f aca="false">A3700&amp;"|"&amp;B3700&amp;"|"&amp;C3700&amp;"|"&amp;D3700</f>
        <v>6|1|Stephanie|spotify:track:511ZEJJELVd9gYpS9u63us</v>
      </c>
    </row>
    <row r="3701" customFormat="false" ht="15" hidden="false" customHeight="false" outlineLevel="0" collapsed="false">
      <c r="A3701" s="5" t="n">
        <v>6</v>
      </c>
      <c r="B3701" s="5" t="n">
        <v>1</v>
      </c>
      <c r="C3701" s="5" t="s">
        <v>97</v>
      </c>
      <c r="D3701" s="5" t="s">
        <v>1712</v>
      </c>
      <c r="E3701" s="5" t="n">
        <v>3</v>
      </c>
      <c r="F3701" s="6" t="n">
        <f aca="false">IFERROR(MATCH(A3701&amp;"|"&amp;B3701&amp;"|"&amp;D3701,'All Song Rankings'!$T:$T,0),0)</f>
        <v>558</v>
      </c>
      <c r="G3701" s="6" t="str">
        <f aca="false">IF(F3701=0,"NOT FOUND",INDEX('All Song Rankings'!$A:$A,F3701))</f>
        <v>Love You For A Long Time</v>
      </c>
      <c r="H3701" s="6" t="str">
        <f aca="false">IF(F3701=0,"NOT FOUND",INDEX('All Song Rankings'!$B:$B,F3701))</f>
        <v>Maggie Rogers</v>
      </c>
      <c r="I3701" s="6" t="str">
        <f aca="false">IF(F3701=0,"NOT FOUND",INDEX('All Song Rankings'!$D:$D,F3701))</f>
        <v>Logan</v>
      </c>
      <c r="J3701" s="7" t="str">
        <f aca="false">IF(F3701=0,"NOT FOUND",IF(C3701=I3701,"SELF-VOTE",IF(COUNTIF($K:$K,K3701)&gt;1,"DUPLICATE","OK")))</f>
        <v>OK</v>
      </c>
      <c r="K3701" s="6" t="str">
        <f aca="false">A3701&amp;"|"&amp;B3701&amp;"|"&amp;C3701&amp;"|"&amp;D3701</f>
        <v>6|1|Stephanie|spotify:track:6QTPacyXkZWG9FMwq6L1hJ</v>
      </c>
    </row>
    <row r="3702" customFormat="false" ht="15" hidden="false" customHeight="false" outlineLevel="0" collapsed="false">
      <c r="A3702" s="5" t="n">
        <v>6</v>
      </c>
      <c r="B3702" s="5" t="n">
        <v>1</v>
      </c>
      <c r="C3702" s="5" t="s">
        <v>97</v>
      </c>
      <c r="D3702" s="5" t="s">
        <v>1714</v>
      </c>
      <c r="E3702" s="5" t="n">
        <v>2</v>
      </c>
      <c r="F3702" s="6" t="n">
        <f aca="false">IFERROR(MATCH(A3702&amp;"|"&amp;B3702&amp;"|"&amp;D3702,'All Song Rankings'!$T:$T,0),0)</f>
        <v>559</v>
      </c>
      <c r="G3702" s="6" t="str">
        <f aca="false">IF(F3702=0,"NOT FOUND",INDEX('All Song Rankings'!$A:$A,F3702))</f>
        <v>Ghost</v>
      </c>
      <c r="H3702" s="6" t="str">
        <f aca="false">IF(F3702=0,"NOT FOUND",INDEX('All Song Rankings'!$B:$B,F3702))</f>
        <v>Ava Max</v>
      </c>
      <c r="I3702" s="6" t="str">
        <f aca="false">IF(F3702=0,"NOT FOUND",INDEX('All Song Rankings'!$D:$D,F3702))</f>
        <v>Grace</v>
      </c>
      <c r="J3702" s="7" t="str">
        <f aca="false">IF(F3702=0,"NOT FOUND",IF(C3702=I3702,"SELF-VOTE",IF(COUNTIF($K:$K,K3702)&gt;1,"DUPLICATE","OK")))</f>
        <v>OK</v>
      </c>
      <c r="K3702" s="6" t="str">
        <f aca="false">A3702&amp;"|"&amp;B3702&amp;"|"&amp;C3702&amp;"|"&amp;D3702</f>
        <v>6|1|Stephanie|spotify:track:726TaMebVtCacv69K8yuRu</v>
      </c>
    </row>
    <row r="3703" customFormat="false" ht="15" hidden="false" customHeight="false" outlineLevel="0" collapsed="false">
      <c r="A3703" s="5" t="n">
        <v>6</v>
      </c>
      <c r="B3703" s="5" t="n">
        <v>1</v>
      </c>
      <c r="C3703" s="5" t="s">
        <v>97</v>
      </c>
      <c r="D3703" s="5" t="s">
        <v>1707</v>
      </c>
      <c r="E3703" s="5" t="n">
        <v>1</v>
      </c>
      <c r="F3703" s="6" t="n">
        <f aca="false">IFERROR(MATCH(A3703&amp;"|"&amp;B3703&amp;"|"&amp;D3703,'All Song Rankings'!$T:$T,0),0)</f>
        <v>556</v>
      </c>
      <c r="G3703" s="6" t="str">
        <f aca="false">IF(F3703=0,"NOT FOUND",INDEX('All Song Rankings'!$A:$A,F3703))</f>
        <v>Lovesong</v>
      </c>
      <c r="H3703" s="6" t="str">
        <f aca="false">IF(F3703=0,"NOT FOUND",INDEX('All Song Rankings'!$B:$B,F3703))</f>
        <v>The Cure</v>
      </c>
      <c r="I3703" s="6" t="str">
        <f aca="false">IF(F3703=0,"NOT FOUND",INDEX('All Song Rankings'!$D:$D,F3703))</f>
        <v>Lisa</v>
      </c>
      <c r="J3703" s="7" t="str">
        <f aca="false">IF(F3703=0,"NOT FOUND",IF(C3703=I3703,"SELF-VOTE",IF(COUNTIF($K:$K,K3703)&gt;1,"DUPLICATE","OK")))</f>
        <v>OK</v>
      </c>
      <c r="K3703" s="6" t="str">
        <f aca="false">A3703&amp;"|"&amp;B3703&amp;"|"&amp;C3703&amp;"|"&amp;D3703</f>
        <v>6|1|Stephanie|spotify:track:7K71priwuwcWwbgfHVQJdq</v>
      </c>
    </row>
    <row r="3704" customFormat="false" ht="15" hidden="false" customHeight="false" outlineLevel="0" collapsed="false">
      <c r="A3704" s="5" t="n">
        <v>6</v>
      </c>
      <c r="B3704" s="5" t="n">
        <v>1</v>
      </c>
      <c r="C3704" s="5" t="s">
        <v>97</v>
      </c>
      <c r="D3704" s="5" t="s">
        <v>1698</v>
      </c>
      <c r="E3704" s="5" t="n">
        <v>1</v>
      </c>
      <c r="F3704" s="6" t="n">
        <f aca="false">IFERROR(MATCH(A3704&amp;"|"&amp;B3704&amp;"|"&amp;D3704,'All Song Rankings'!$T:$T,0),0)</f>
        <v>553</v>
      </c>
      <c r="G3704" s="6" t="str">
        <f aca="false">IF(F3704=0,"NOT FOUND",INDEX('All Song Rankings'!$A:$A,F3704))</f>
        <v>Cherry Pie</v>
      </c>
      <c r="H3704" s="6" t="str">
        <f aca="false">IF(F3704=0,"NOT FOUND",INDEX('All Song Rankings'!$B:$B,F3704))</f>
        <v>Warrant</v>
      </c>
      <c r="I3704" s="6" t="str">
        <f aca="false">IF(F3704=0,"NOT FOUND",INDEX('All Song Rankings'!$D:$D,F3704))</f>
        <v>Colleen</v>
      </c>
      <c r="J3704" s="7" t="str">
        <f aca="false">IF(F3704=0,"NOT FOUND",IF(C3704=I3704,"SELF-VOTE",IF(COUNTIF($K:$K,K3704)&gt;1,"DUPLICATE","OK")))</f>
        <v>OK</v>
      </c>
      <c r="K3704" s="6" t="str">
        <f aca="false">A3704&amp;"|"&amp;B3704&amp;"|"&amp;C3704&amp;"|"&amp;D3704</f>
        <v>6|1|Stephanie|spotify:track:7LygtNjQ65PSdzVjUnHXQb</v>
      </c>
    </row>
    <row r="3705" customFormat="false" ht="15" hidden="false" customHeight="false" outlineLevel="0" collapsed="false">
      <c r="A3705" s="5" t="n">
        <v>6</v>
      </c>
      <c r="B3705" s="5" t="n">
        <v>1</v>
      </c>
      <c r="C3705" s="5" t="s">
        <v>97</v>
      </c>
      <c r="D3705" s="5" t="s">
        <v>1716</v>
      </c>
      <c r="E3705" s="5" t="n">
        <v>1</v>
      </c>
      <c r="F3705" s="6" t="n">
        <f aca="false">IFERROR(MATCH(A3705&amp;"|"&amp;B3705&amp;"|"&amp;D3705,'All Song Rankings'!$T:$T,0),0)</f>
        <v>560</v>
      </c>
      <c r="G3705" s="6" t="str">
        <f aca="false">IF(F3705=0,"NOT FOUND",INDEX('All Song Rankings'!$A:$A,F3705))</f>
        <v>Kings &amp; Queens</v>
      </c>
      <c r="H3705" s="6" t="str">
        <f aca="false">IF(F3705=0,"NOT FOUND",INDEX('All Song Rankings'!$B:$B,F3705))</f>
        <v>Ava Max</v>
      </c>
      <c r="I3705" s="6" t="str">
        <f aca="false">IF(F3705=0,"NOT FOUND",INDEX('All Song Rankings'!$D:$D,F3705))</f>
        <v>Kelsey</v>
      </c>
      <c r="J3705" s="7" t="str">
        <f aca="false">IF(F3705=0,"NOT FOUND",IF(C3705=I3705,"SELF-VOTE",IF(COUNTIF($K:$K,K3705)&gt;1,"DUPLICATE","OK")))</f>
        <v>OK</v>
      </c>
      <c r="K3705" s="6" t="str">
        <f aca="false">A3705&amp;"|"&amp;B3705&amp;"|"&amp;C3705&amp;"|"&amp;D3705</f>
        <v>6|1|Stephanie|spotify:track:7a53HqqArd4b9NF4XAmlbI</v>
      </c>
    </row>
    <row r="3706" customFormat="false" ht="15" hidden="false" customHeight="false" outlineLevel="0" collapsed="false">
      <c r="A3706" s="5" t="n">
        <v>6</v>
      </c>
      <c r="B3706" s="5" t="n">
        <v>2</v>
      </c>
      <c r="C3706" s="5" t="s">
        <v>375</v>
      </c>
      <c r="D3706" s="5" t="s">
        <v>1743</v>
      </c>
      <c r="E3706" s="5" t="n">
        <v>1</v>
      </c>
      <c r="F3706" s="6" t="n">
        <f aca="false">IFERROR(MATCH(A3706&amp;"|"&amp;B3706&amp;"|"&amp;D3706,'All Song Rankings'!$T:$T,0),0)</f>
        <v>569</v>
      </c>
      <c r="G3706" s="6" t="str">
        <f aca="false">IF(F3706=0,"NOT FOUND",INDEX('All Song Rankings'!$A:$A,F3706))</f>
        <v>What A Wonderful World</v>
      </c>
      <c r="H3706" s="6" t="str">
        <f aca="false">IF(F3706=0,"NOT FOUND",INDEX('All Song Rankings'!$B:$B,F3706))</f>
        <v>Louis Armstrong</v>
      </c>
      <c r="I3706" s="6" t="str">
        <f aca="false">IF(F3706=0,"NOT FOUND",INDEX('All Song Rankings'!$D:$D,F3706))</f>
        <v>Lisa</v>
      </c>
      <c r="J3706" s="7" t="str">
        <f aca="false">IF(F3706=0,"NOT FOUND",IF(C3706=I3706,"SELF-VOTE",IF(COUNTIF($K:$K,K3706)&gt;1,"DUPLICATE","OK")))</f>
        <v>OK</v>
      </c>
      <c r="K3706" s="6" t="str">
        <f aca="false">A3706&amp;"|"&amp;B3706&amp;"|"&amp;C3706&amp;"|"&amp;D3706</f>
        <v>6|2|Aubrey|spotify:track:29U7stRjqHU6rMiS8BfaI9</v>
      </c>
    </row>
    <row r="3707" customFormat="false" ht="15" hidden="false" customHeight="false" outlineLevel="0" collapsed="false">
      <c r="A3707" s="5" t="n">
        <v>6</v>
      </c>
      <c r="B3707" s="5" t="n">
        <v>2</v>
      </c>
      <c r="C3707" s="5" t="s">
        <v>375</v>
      </c>
      <c r="D3707" s="5" t="s">
        <v>1768</v>
      </c>
      <c r="E3707" s="5" t="n">
        <v>1</v>
      </c>
      <c r="F3707" s="6" t="n">
        <f aca="false">IFERROR(MATCH(A3707&amp;"|"&amp;B3707&amp;"|"&amp;D3707,'All Song Rankings'!$T:$T,0),0)</f>
        <v>578</v>
      </c>
      <c r="G3707" s="6" t="str">
        <f aca="false">IF(F3707=0,"NOT FOUND",INDEX('All Song Rankings'!$A:$A,F3707))</f>
        <v>A Little Bit Country-A Little Bit Rock 'N Roll</v>
      </c>
      <c r="H3707" s="6" t="str">
        <f aca="false">IF(F3707=0,"NOT FOUND",INDEX('All Song Rankings'!$B:$B,F3707))</f>
        <v>Donny &amp; Marie Osmond</v>
      </c>
      <c r="I3707" s="6" t="str">
        <f aca="false">IF(F3707=0,"NOT FOUND",INDEX('All Song Rankings'!$D:$D,F3707))</f>
        <v>Christine</v>
      </c>
      <c r="J3707" s="7" t="str">
        <f aca="false">IF(F3707=0,"NOT FOUND",IF(C3707=I3707,"SELF-VOTE",IF(COUNTIF($K:$K,K3707)&gt;1,"DUPLICATE","OK")))</f>
        <v>OK</v>
      </c>
      <c r="K3707" s="6" t="str">
        <f aca="false">A3707&amp;"|"&amp;B3707&amp;"|"&amp;C3707&amp;"|"&amp;D3707</f>
        <v>6|2|Aubrey|spotify:track:2BFzx5rPRiNCfuWfQulO92</v>
      </c>
    </row>
    <row r="3708" customFormat="false" ht="15" hidden="false" customHeight="false" outlineLevel="0" collapsed="false">
      <c r="A3708" s="5" t="n">
        <v>6</v>
      </c>
      <c r="B3708" s="5" t="n">
        <v>2</v>
      </c>
      <c r="C3708" s="5" t="s">
        <v>375</v>
      </c>
      <c r="D3708" s="5" t="s">
        <v>1770</v>
      </c>
      <c r="E3708" s="5" t="n">
        <v>1</v>
      </c>
      <c r="F3708" s="6" t="n">
        <f aca="false">IFERROR(MATCH(A3708&amp;"|"&amp;B3708&amp;"|"&amp;D3708,'All Song Rankings'!$T:$T,0),0)</f>
        <v>579</v>
      </c>
      <c r="G3708" s="6" t="str">
        <f aca="false">IF(F3708=0,"NOT FOUND",INDEX('All Song Rankings'!$A:$A,F3708))</f>
        <v>Lucky Star</v>
      </c>
      <c r="H3708" s="6" t="str">
        <f aca="false">IF(F3708=0,"NOT FOUND",INDEX('All Song Rankings'!$B:$B,F3708))</f>
        <v>Madonna</v>
      </c>
      <c r="I3708" s="6" t="str">
        <f aca="false">IF(F3708=0,"NOT FOUND",INDEX('All Song Rankings'!$D:$D,F3708))</f>
        <v>Nicole</v>
      </c>
      <c r="J3708" s="7" t="str">
        <f aca="false">IF(F3708=0,"NOT FOUND",IF(C3708=I3708,"SELF-VOTE",IF(COUNTIF($K:$K,K3708)&gt;1,"DUPLICATE","OK")))</f>
        <v>OK</v>
      </c>
      <c r="K3708" s="6" t="str">
        <f aca="false">A3708&amp;"|"&amp;B3708&amp;"|"&amp;C3708&amp;"|"&amp;D3708</f>
        <v>6|2|Aubrey|spotify:track:2hWI9GNr3kBrxZ7Mphho4Q</v>
      </c>
    </row>
    <row r="3709" customFormat="false" ht="15" hidden="false" customHeight="false" outlineLevel="0" collapsed="false">
      <c r="A3709" s="5" t="n">
        <v>6</v>
      </c>
      <c r="B3709" s="5" t="n">
        <v>2</v>
      </c>
      <c r="C3709" s="5" t="s">
        <v>375</v>
      </c>
      <c r="D3709" s="5" t="s">
        <v>1748</v>
      </c>
      <c r="E3709" s="5" t="n">
        <v>1</v>
      </c>
      <c r="F3709" s="6" t="n">
        <f aca="false">IFERROR(MATCH(A3709&amp;"|"&amp;B3709&amp;"|"&amp;D3709,'All Song Rankings'!$T:$T,0),0)</f>
        <v>571</v>
      </c>
      <c r="G3709" s="6" t="str">
        <f aca="false">IF(F3709=0,"NOT FOUND",INDEX('All Song Rankings'!$A:$A,F3709))</f>
        <v>Joy to the World</v>
      </c>
      <c r="H3709" s="6" t="str">
        <f aca="false">IF(F3709=0,"NOT FOUND",INDEX('All Song Rankings'!$B:$B,F3709))</f>
        <v>Three Dog Night</v>
      </c>
      <c r="I3709" s="6" t="str">
        <f aca="false">IF(F3709=0,"NOT FOUND",INDEX('All Song Rankings'!$D:$D,F3709))</f>
        <v>Makenzie</v>
      </c>
      <c r="J3709" s="7" t="str">
        <f aca="false">IF(F3709=0,"NOT FOUND",IF(C3709=I3709,"SELF-VOTE",IF(COUNTIF($K:$K,K3709)&gt;1,"DUPLICATE","OK")))</f>
        <v>OK</v>
      </c>
      <c r="K3709" s="6" t="str">
        <f aca="false">A3709&amp;"|"&amp;B3709&amp;"|"&amp;C3709&amp;"|"&amp;D3709</f>
        <v>6|2|Aubrey|spotify:track:3GDTQRm6F358LdF53fqWGU</v>
      </c>
    </row>
    <row r="3710" customFormat="false" ht="15" hidden="false" customHeight="false" outlineLevel="0" collapsed="false">
      <c r="A3710" s="5" t="n">
        <v>6</v>
      </c>
      <c r="B3710" s="5" t="n">
        <v>2</v>
      </c>
      <c r="C3710" s="5" t="s">
        <v>375</v>
      </c>
      <c r="D3710" s="5" t="s">
        <v>1760</v>
      </c>
      <c r="E3710" s="5" t="n">
        <v>1</v>
      </c>
      <c r="F3710" s="6" t="n">
        <f aca="false">IFERROR(MATCH(A3710&amp;"|"&amp;B3710&amp;"|"&amp;D3710,'All Song Rankings'!$T:$T,0),0)</f>
        <v>575</v>
      </c>
      <c r="G3710" s="6" t="str">
        <f aca="false">IF(F3710=0,"NOT FOUND",INDEX('All Song Rankings'!$A:$A,F3710))</f>
        <v>Baby, Baby</v>
      </c>
      <c r="H3710" s="6" t="str">
        <f aca="false">IF(F3710=0,"NOT FOUND",INDEX('All Song Rankings'!$B:$B,F3710))</f>
        <v>Amy Grant</v>
      </c>
      <c r="I3710" s="6" t="str">
        <f aca="false">IF(F3710=0,"NOT FOUND",INDEX('All Song Rankings'!$D:$D,F3710))</f>
        <v>Stephanie</v>
      </c>
      <c r="J3710" s="7" t="str">
        <f aca="false">IF(F3710=0,"NOT FOUND",IF(C3710=I3710,"SELF-VOTE",IF(COUNTIF($K:$K,K3710)&gt;1,"DUPLICATE","OK")))</f>
        <v>OK</v>
      </c>
      <c r="K3710" s="6" t="str">
        <f aca="false">A3710&amp;"|"&amp;B3710&amp;"|"&amp;C3710&amp;"|"&amp;D3710</f>
        <v>6|2|Aubrey|spotify:track:3IDsegNBHC4pjGCOMTQYlU</v>
      </c>
    </row>
    <row r="3711" customFormat="false" ht="15" hidden="false" customHeight="false" outlineLevel="0" collapsed="false">
      <c r="A3711" s="5" t="n">
        <v>6</v>
      </c>
      <c r="B3711" s="5" t="n">
        <v>2</v>
      </c>
      <c r="C3711" s="5" t="s">
        <v>375</v>
      </c>
      <c r="D3711" s="5" t="s">
        <v>1740</v>
      </c>
      <c r="E3711" s="5" t="n">
        <v>2</v>
      </c>
      <c r="F3711" s="6" t="n">
        <f aca="false">IFERROR(MATCH(A3711&amp;"|"&amp;B3711&amp;"|"&amp;D3711,'All Song Rankings'!$T:$T,0),0)</f>
        <v>568</v>
      </c>
      <c r="G3711" s="6" t="str">
        <f aca="false">IF(F3711=0,"NOT FOUND",INDEX('All Song Rankings'!$A:$A,F3711))</f>
        <v>Have You Ever Seen The Rain</v>
      </c>
      <c r="H3711" s="6" t="str">
        <f aca="false">IF(F3711=0,"NOT FOUND",INDEX('All Song Rankings'!$B:$B,F3711))</f>
        <v>Creedence Clearwater Revival</v>
      </c>
      <c r="I3711" s="6" t="str">
        <f aca="false">IF(F3711=0,"NOT FOUND",INDEX('All Song Rankings'!$D:$D,F3711))</f>
        <v>Kelsey</v>
      </c>
      <c r="J3711" s="7" t="str">
        <f aca="false">IF(F3711=0,"NOT FOUND",IF(C3711=I3711,"SELF-VOTE",IF(COUNTIF($K:$K,K3711)&gt;1,"DUPLICATE","OK")))</f>
        <v>OK</v>
      </c>
      <c r="K3711" s="6" t="str">
        <f aca="false">A3711&amp;"|"&amp;B3711&amp;"|"&amp;C3711&amp;"|"&amp;D3711</f>
        <v>6|2|Aubrey|spotify:track:5DnT9a5IM3eMjKgXTWVJvi</v>
      </c>
    </row>
    <row r="3712" customFormat="false" ht="15" hidden="false" customHeight="false" outlineLevel="0" collapsed="false">
      <c r="A3712" s="5" t="n">
        <v>6</v>
      </c>
      <c r="B3712" s="5" t="n">
        <v>2</v>
      </c>
      <c r="C3712" s="5" t="s">
        <v>375</v>
      </c>
      <c r="D3712" s="5" t="s">
        <v>1754</v>
      </c>
      <c r="E3712" s="5" t="n">
        <v>1</v>
      </c>
      <c r="F3712" s="6" t="n">
        <f aca="false">IFERROR(MATCH(A3712&amp;"|"&amp;B3712&amp;"|"&amp;D3712,'All Song Rankings'!$T:$T,0),0)</f>
        <v>573</v>
      </c>
      <c r="G3712" s="6" t="str">
        <f aca="false">IF(F3712=0,"NOT FOUND",INDEX('All Song Rankings'!$A:$A,F3712))</f>
        <v>Snoopy Vs. The Red Baron</v>
      </c>
      <c r="H3712" s="6" t="str">
        <f aca="false">IF(F3712=0,"NOT FOUND",INDEX('All Song Rankings'!$B:$B,F3712))</f>
        <v>The Royal Guardsmen</v>
      </c>
      <c r="I3712" s="6" t="str">
        <f aca="false">IF(F3712=0,"NOT FOUND",INDEX('All Song Rankings'!$D:$D,F3712))</f>
        <v>Matt</v>
      </c>
      <c r="J3712" s="7" t="str">
        <f aca="false">IF(F3712=0,"NOT FOUND",IF(C3712=I3712,"SELF-VOTE",IF(COUNTIF($K:$K,K3712)&gt;1,"DUPLICATE","OK")))</f>
        <v>OK</v>
      </c>
      <c r="K3712" s="6" t="str">
        <f aca="false">A3712&amp;"|"&amp;B3712&amp;"|"&amp;C3712&amp;"|"&amp;D3712</f>
        <v>6|2|Aubrey|spotify:track:6qF3qHvzEmh7bkdBatxQuS</v>
      </c>
    </row>
    <row r="3713" customFormat="false" ht="15" hidden="false" customHeight="false" outlineLevel="0" collapsed="false">
      <c r="A3713" s="5" t="n">
        <v>6</v>
      </c>
      <c r="B3713" s="5" t="n">
        <v>2</v>
      </c>
      <c r="C3713" s="5" t="s">
        <v>375</v>
      </c>
      <c r="D3713" s="5" t="s">
        <v>1745</v>
      </c>
      <c r="E3713" s="5" t="n">
        <v>2</v>
      </c>
      <c r="F3713" s="6" t="n">
        <f aca="false">IFERROR(MATCH(A3713&amp;"|"&amp;B3713&amp;"|"&amp;D3713,'All Song Rankings'!$T:$T,0),0)</f>
        <v>570</v>
      </c>
      <c r="G3713" s="6" t="str">
        <f aca="false">IF(F3713=0,"NOT FOUND",INDEX('All Song Rankings'!$A:$A,F3713))</f>
        <v>Piano Man</v>
      </c>
      <c r="H3713" s="6" t="str">
        <f aca="false">IF(F3713=0,"NOT FOUND",INDEX('All Song Rankings'!$B:$B,F3713))</f>
        <v>Billy Joel</v>
      </c>
      <c r="I3713" s="6" t="str">
        <f aca="false">IF(F3713=0,"NOT FOUND",INDEX('All Song Rankings'!$D:$D,F3713))</f>
        <v>Kristen</v>
      </c>
      <c r="J3713" s="7" t="str">
        <f aca="false">IF(F3713=0,"NOT FOUND",IF(C3713=I3713,"SELF-VOTE",IF(COUNTIF($K:$K,K3713)&gt;1,"DUPLICATE","OK")))</f>
        <v>OK</v>
      </c>
      <c r="K3713" s="6" t="str">
        <f aca="false">A3713&amp;"|"&amp;B3713&amp;"|"&amp;C3713&amp;"|"&amp;D3713</f>
        <v>6|2|Aubrey|spotify:track:70C4NyhjD5OZUMzvWZ3njJ</v>
      </c>
    </row>
    <row r="3714" customFormat="false" ht="15" hidden="false" customHeight="false" outlineLevel="0" collapsed="false">
      <c r="A3714" s="5" t="n">
        <v>6</v>
      </c>
      <c r="B3714" s="5" t="n">
        <v>2</v>
      </c>
      <c r="C3714" s="5" t="s">
        <v>719</v>
      </c>
      <c r="D3714" s="5" t="s">
        <v>1737</v>
      </c>
      <c r="E3714" s="5" t="n">
        <v>2</v>
      </c>
      <c r="F3714" s="6" t="n">
        <f aca="false">IFERROR(MATCH(A3714&amp;"|"&amp;B3714&amp;"|"&amp;D3714,'All Song Rankings'!$T:$T,0),0)</f>
        <v>567</v>
      </c>
      <c r="G3714" s="6" t="str">
        <f aca="false">IF(F3714=0,"NOT FOUND",INDEX('All Song Rankings'!$A:$A,F3714))</f>
        <v>Build Me Up Buttercup - Mono</v>
      </c>
      <c r="H3714" s="6" t="str">
        <f aca="false">IF(F3714=0,"NOT FOUND",INDEX('All Song Rankings'!$B:$B,F3714))</f>
        <v>The Foundations</v>
      </c>
      <c r="I3714" s="6" t="str">
        <f aca="false">IF(F3714=0,"NOT FOUND",INDEX('All Song Rankings'!$D:$D,F3714))</f>
        <v>Colleen</v>
      </c>
      <c r="J3714" s="7" t="str">
        <f aca="false">IF(F3714=0,"NOT FOUND",IF(C3714=I3714,"SELF-VOTE",IF(COUNTIF($K:$K,K3714)&gt;1,"DUPLICATE","OK")))</f>
        <v>OK</v>
      </c>
      <c r="K3714" s="6" t="str">
        <f aca="false">A3714&amp;"|"&amp;B3714&amp;"|"&amp;C3714&amp;"|"&amp;D3714</f>
        <v>6|2|Christine|spotify:track:1tfZtA15BfJHQTUy3dqTKC</v>
      </c>
    </row>
    <row r="3715" customFormat="false" ht="15" hidden="false" customHeight="false" outlineLevel="0" collapsed="false">
      <c r="A3715" s="5" t="n">
        <v>6</v>
      </c>
      <c r="B3715" s="5" t="n">
        <v>2</v>
      </c>
      <c r="C3715" s="5" t="s">
        <v>719</v>
      </c>
      <c r="D3715" s="5" t="s">
        <v>1757</v>
      </c>
      <c r="E3715" s="5" t="n">
        <v>2</v>
      </c>
      <c r="F3715" s="6" t="n">
        <f aca="false">IFERROR(MATCH(A3715&amp;"|"&amp;B3715&amp;"|"&amp;D3715,'All Song Rankings'!$T:$T,0),0)</f>
        <v>574</v>
      </c>
      <c r="G3715" s="6" t="str">
        <f aca="false">IF(F3715=0,"NOT FOUND",INDEX('All Song Rankings'!$A:$A,F3715))</f>
        <v>The Logical Song</v>
      </c>
      <c r="H3715" s="6" t="str">
        <f aca="false">IF(F3715=0,"NOT FOUND",INDEX('All Song Rankings'!$B:$B,F3715))</f>
        <v>Supertramp</v>
      </c>
      <c r="I3715" s="6" t="str">
        <f aca="false">IF(F3715=0,"NOT FOUND",INDEX('All Song Rankings'!$D:$D,F3715))</f>
        <v>Leah</v>
      </c>
      <c r="J3715" s="7" t="str">
        <f aca="false">IF(F3715=0,"NOT FOUND",IF(C3715=I3715,"SELF-VOTE",IF(COUNTIF($K:$K,K3715)&gt;1,"DUPLICATE","OK")))</f>
        <v>OK</v>
      </c>
      <c r="K3715" s="6" t="str">
        <f aca="false">A3715&amp;"|"&amp;B3715&amp;"|"&amp;C3715&amp;"|"&amp;D3715</f>
        <v>6|2|Christine|spotify:track:2IOeOJyiuzwF8BRAK9jJyj</v>
      </c>
    </row>
    <row r="3716" customFormat="false" ht="15" hidden="false" customHeight="false" outlineLevel="0" collapsed="false">
      <c r="A3716" s="5" t="n">
        <v>6</v>
      </c>
      <c r="B3716" s="5" t="n">
        <v>2</v>
      </c>
      <c r="C3716" s="5" t="s">
        <v>719</v>
      </c>
      <c r="D3716" s="5" t="s">
        <v>1748</v>
      </c>
      <c r="E3716" s="5" t="n">
        <v>2</v>
      </c>
      <c r="F3716" s="6" t="n">
        <f aca="false">IFERROR(MATCH(A3716&amp;"|"&amp;B3716&amp;"|"&amp;D3716,'All Song Rankings'!$T:$T,0),0)</f>
        <v>571</v>
      </c>
      <c r="G3716" s="6" t="str">
        <f aca="false">IF(F3716=0,"NOT FOUND",INDEX('All Song Rankings'!$A:$A,F3716))</f>
        <v>Joy to the World</v>
      </c>
      <c r="H3716" s="6" t="str">
        <f aca="false">IF(F3716=0,"NOT FOUND",INDEX('All Song Rankings'!$B:$B,F3716))</f>
        <v>Three Dog Night</v>
      </c>
      <c r="I3716" s="6" t="str">
        <f aca="false">IF(F3716=0,"NOT FOUND",INDEX('All Song Rankings'!$D:$D,F3716))</f>
        <v>Makenzie</v>
      </c>
      <c r="J3716" s="7" t="str">
        <f aca="false">IF(F3716=0,"NOT FOUND",IF(C3716=I3716,"SELF-VOTE",IF(COUNTIF($K:$K,K3716)&gt;1,"DUPLICATE","OK")))</f>
        <v>OK</v>
      </c>
      <c r="K3716" s="6" t="str">
        <f aca="false">A3716&amp;"|"&amp;B3716&amp;"|"&amp;C3716&amp;"|"&amp;D3716</f>
        <v>6|2|Christine|spotify:track:3GDTQRm6F358LdF53fqWGU</v>
      </c>
    </row>
    <row r="3717" customFormat="false" ht="15" hidden="false" customHeight="false" outlineLevel="0" collapsed="false">
      <c r="A3717" s="5" t="n">
        <v>6</v>
      </c>
      <c r="B3717" s="5" t="n">
        <v>2</v>
      </c>
      <c r="C3717" s="5" t="s">
        <v>719</v>
      </c>
      <c r="D3717" s="5" t="s">
        <v>1751</v>
      </c>
      <c r="E3717" s="5" t="n">
        <v>1</v>
      </c>
      <c r="F3717" s="6" t="n">
        <f aca="false">IFERROR(MATCH(A3717&amp;"|"&amp;B3717&amp;"|"&amp;D3717,'All Song Rankings'!$T:$T,0),0)</f>
        <v>572</v>
      </c>
      <c r="G3717" s="6" t="str">
        <f aca="false">IF(F3717=0,"NOT FOUND",INDEX('All Song Rankings'!$A:$A,F3717))</f>
        <v>Keep on Loving You</v>
      </c>
      <c r="H3717" s="6" t="str">
        <f aca="false">IF(F3717=0,"NOT FOUND",INDEX('All Song Rankings'!$B:$B,F3717))</f>
        <v>REO Speedwagon</v>
      </c>
      <c r="I3717" s="6" t="str">
        <f aca="false">IF(F3717=0,"NOT FOUND",INDEX('All Song Rankings'!$D:$D,F3717))</f>
        <v>Aubrey</v>
      </c>
      <c r="J3717" s="7" t="str">
        <f aca="false">IF(F3717=0,"NOT FOUND",IF(C3717=I3717,"SELF-VOTE",IF(COUNTIF($K:$K,K3717)&gt;1,"DUPLICATE","OK")))</f>
        <v>OK</v>
      </c>
      <c r="K3717" s="6" t="str">
        <f aca="false">A3717&amp;"|"&amp;B3717&amp;"|"&amp;C3717&amp;"|"&amp;D3717</f>
        <v>6|2|Christine|spotify:track:4rcHWl68ai6KvpXlc8vbnE</v>
      </c>
    </row>
    <row r="3718" customFormat="false" ht="15" hidden="false" customHeight="false" outlineLevel="0" collapsed="false">
      <c r="A3718" s="5" t="n">
        <v>6</v>
      </c>
      <c r="B3718" s="5" t="n">
        <v>2</v>
      </c>
      <c r="C3718" s="5" t="s">
        <v>719</v>
      </c>
      <c r="D3718" s="5" t="s">
        <v>1740</v>
      </c>
      <c r="E3718" s="5" t="n">
        <v>1</v>
      </c>
      <c r="F3718" s="6" t="n">
        <f aca="false">IFERROR(MATCH(A3718&amp;"|"&amp;B3718&amp;"|"&amp;D3718,'All Song Rankings'!$T:$T,0),0)</f>
        <v>568</v>
      </c>
      <c r="G3718" s="6" t="str">
        <f aca="false">IF(F3718=0,"NOT FOUND",INDEX('All Song Rankings'!$A:$A,F3718))</f>
        <v>Have You Ever Seen The Rain</v>
      </c>
      <c r="H3718" s="6" t="str">
        <f aca="false">IF(F3718=0,"NOT FOUND",INDEX('All Song Rankings'!$B:$B,F3718))</f>
        <v>Creedence Clearwater Revival</v>
      </c>
      <c r="I3718" s="6" t="str">
        <f aca="false">IF(F3718=0,"NOT FOUND",INDEX('All Song Rankings'!$D:$D,F3718))</f>
        <v>Kelsey</v>
      </c>
      <c r="J3718" s="7" t="str">
        <f aca="false">IF(F3718=0,"NOT FOUND",IF(C3718=I3718,"SELF-VOTE",IF(COUNTIF($K:$K,K3718)&gt;1,"DUPLICATE","OK")))</f>
        <v>OK</v>
      </c>
      <c r="K3718" s="6" t="str">
        <f aca="false">A3718&amp;"|"&amp;B3718&amp;"|"&amp;C3718&amp;"|"&amp;D3718</f>
        <v>6|2|Christine|spotify:track:5DnT9a5IM3eMjKgXTWVJvi</v>
      </c>
    </row>
    <row r="3719" customFormat="false" ht="15" hidden="false" customHeight="false" outlineLevel="0" collapsed="false">
      <c r="A3719" s="5" t="n">
        <v>6</v>
      </c>
      <c r="B3719" s="5" t="n">
        <v>2</v>
      </c>
      <c r="C3719" s="5" t="s">
        <v>719</v>
      </c>
      <c r="D3719" s="5" t="s">
        <v>1754</v>
      </c>
      <c r="E3719" s="5" t="n">
        <v>1</v>
      </c>
      <c r="F3719" s="6" t="n">
        <f aca="false">IFERROR(MATCH(A3719&amp;"|"&amp;B3719&amp;"|"&amp;D3719,'All Song Rankings'!$T:$T,0),0)</f>
        <v>573</v>
      </c>
      <c r="G3719" s="6" t="str">
        <f aca="false">IF(F3719=0,"NOT FOUND",INDEX('All Song Rankings'!$A:$A,F3719))</f>
        <v>Snoopy Vs. The Red Baron</v>
      </c>
      <c r="H3719" s="6" t="str">
        <f aca="false">IF(F3719=0,"NOT FOUND",INDEX('All Song Rankings'!$B:$B,F3719))</f>
        <v>The Royal Guardsmen</v>
      </c>
      <c r="I3719" s="6" t="str">
        <f aca="false">IF(F3719=0,"NOT FOUND",INDEX('All Song Rankings'!$D:$D,F3719))</f>
        <v>Matt</v>
      </c>
      <c r="J3719" s="7" t="str">
        <f aca="false">IF(F3719=0,"NOT FOUND",IF(C3719=I3719,"SELF-VOTE",IF(COUNTIF($K:$K,K3719)&gt;1,"DUPLICATE","OK")))</f>
        <v>OK</v>
      </c>
      <c r="K3719" s="6" t="str">
        <f aca="false">A3719&amp;"|"&amp;B3719&amp;"|"&amp;C3719&amp;"|"&amp;D3719</f>
        <v>6|2|Christine|spotify:track:6qF3qHvzEmh7bkdBatxQuS</v>
      </c>
    </row>
    <row r="3720" customFormat="false" ht="15" hidden="false" customHeight="false" outlineLevel="0" collapsed="false">
      <c r="A3720" s="5" t="n">
        <v>6</v>
      </c>
      <c r="B3720" s="5" t="n">
        <v>2</v>
      </c>
      <c r="C3720" s="5" t="s">
        <v>719</v>
      </c>
      <c r="D3720" s="5" t="s">
        <v>1734</v>
      </c>
      <c r="E3720" s="5" t="n">
        <v>1</v>
      </c>
      <c r="F3720" s="6" t="n">
        <f aca="false">IFERROR(MATCH(A3720&amp;"|"&amp;B3720&amp;"|"&amp;D3720,'All Song Rankings'!$T:$T,0),0)</f>
        <v>566</v>
      </c>
      <c r="G3720" s="6" t="str">
        <f aca="false">IF(F3720=0,"NOT FOUND",INDEX('All Song Rankings'!$A:$A,F3720))</f>
        <v>December, 1963 (Oh What a Night!)</v>
      </c>
      <c r="H3720" s="6" t="str">
        <f aca="false">IF(F3720=0,"NOT FOUND",INDEX('All Song Rankings'!$B:$B,F3720))</f>
        <v>The Four Seasons</v>
      </c>
      <c r="I3720" s="6" t="str">
        <f aca="false">IF(F3720=0,"NOT FOUND",INDEX('All Song Rankings'!$D:$D,F3720))</f>
        <v>Logan</v>
      </c>
      <c r="J3720" s="7" t="str">
        <f aca="false">IF(F3720=0,"NOT FOUND",IF(C3720=I3720,"SELF-VOTE",IF(COUNTIF($K:$K,K3720)&gt;1,"DUPLICATE","OK")))</f>
        <v>OK</v>
      </c>
      <c r="K3720" s="6" t="str">
        <f aca="false">A3720&amp;"|"&amp;B3720&amp;"|"&amp;C3720&amp;"|"&amp;D3720</f>
        <v>6|2|Christine|spotify:track:7ePFDzrnLt3Ynqgy2UFWri</v>
      </c>
    </row>
    <row r="3721" customFormat="false" ht="15" hidden="false" customHeight="false" outlineLevel="0" collapsed="false">
      <c r="A3721" s="5" t="n">
        <v>6</v>
      </c>
      <c r="B3721" s="5" t="n">
        <v>2</v>
      </c>
      <c r="C3721" s="5" t="s">
        <v>637</v>
      </c>
      <c r="D3721" s="5" t="s">
        <v>1743</v>
      </c>
      <c r="E3721" s="5" t="n">
        <v>1</v>
      </c>
      <c r="F3721" s="6" t="n">
        <f aca="false">IFERROR(MATCH(A3721&amp;"|"&amp;B3721&amp;"|"&amp;D3721,'All Song Rankings'!$T:$T,0),0)</f>
        <v>569</v>
      </c>
      <c r="G3721" s="6" t="str">
        <f aca="false">IF(F3721=0,"NOT FOUND",INDEX('All Song Rankings'!$A:$A,F3721))</f>
        <v>What A Wonderful World</v>
      </c>
      <c r="H3721" s="6" t="str">
        <f aca="false">IF(F3721=0,"NOT FOUND",INDEX('All Song Rankings'!$B:$B,F3721))</f>
        <v>Louis Armstrong</v>
      </c>
      <c r="I3721" s="6" t="str">
        <f aca="false">IF(F3721=0,"NOT FOUND",INDEX('All Song Rankings'!$D:$D,F3721))</f>
        <v>Lisa</v>
      </c>
      <c r="J3721" s="7" t="str">
        <f aca="false">IF(F3721=0,"NOT FOUND",IF(C3721=I3721,"SELF-VOTE",IF(COUNTIF($K:$K,K3721)&gt;1,"DUPLICATE","OK")))</f>
        <v>OK</v>
      </c>
      <c r="K3721" s="6" t="str">
        <f aca="false">A3721&amp;"|"&amp;B3721&amp;"|"&amp;C3721&amp;"|"&amp;D3721</f>
        <v>6|2|Colleen|spotify:track:29U7stRjqHU6rMiS8BfaI9</v>
      </c>
    </row>
    <row r="3722" customFormat="false" ht="15" hidden="false" customHeight="false" outlineLevel="0" collapsed="false">
      <c r="A3722" s="5" t="n">
        <v>6</v>
      </c>
      <c r="B3722" s="5" t="n">
        <v>2</v>
      </c>
      <c r="C3722" s="5" t="s">
        <v>637</v>
      </c>
      <c r="D3722" s="5" t="s">
        <v>1768</v>
      </c>
      <c r="E3722" s="5" t="n">
        <v>1</v>
      </c>
      <c r="F3722" s="6" t="n">
        <f aca="false">IFERROR(MATCH(A3722&amp;"|"&amp;B3722&amp;"|"&amp;D3722,'All Song Rankings'!$T:$T,0),0)</f>
        <v>578</v>
      </c>
      <c r="G3722" s="6" t="str">
        <f aca="false">IF(F3722=0,"NOT FOUND",INDEX('All Song Rankings'!$A:$A,F3722))</f>
        <v>A Little Bit Country-A Little Bit Rock 'N Roll</v>
      </c>
      <c r="H3722" s="6" t="str">
        <f aca="false">IF(F3722=0,"NOT FOUND",INDEX('All Song Rankings'!$B:$B,F3722))</f>
        <v>Donny &amp; Marie Osmond</v>
      </c>
      <c r="I3722" s="6" t="str">
        <f aca="false">IF(F3722=0,"NOT FOUND",INDEX('All Song Rankings'!$D:$D,F3722))</f>
        <v>Christine</v>
      </c>
      <c r="J3722" s="7" t="str">
        <f aca="false">IF(F3722=0,"NOT FOUND",IF(C3722=I3722,"SELF-VOTE",IF(COUNTIF($K:$K,K3722)&gt;1,"DUPLICATE","OK")))</f>
        <v>OK</v>
      </c>
      <c r="K3722" s="6" t="str">
        <f aca="false">A3722&amp;"|"&amp;B3722&amp;"|"&amp;C3722&amp;"|"&amp;D3722</f>
        <v>6|2|Colleen|spotify:track:2BFzx5rPRiNCfuWfQulO92</v>
      </c>
    </row>
    <row r="3723" customFormat="false" ht="15" hidden="false" customHeight="false" outlineLevel="0" collapsed="false">
      <c r="A3723" s="5" t="n">
        <v>6</v>
      </c>
      <c r="B3723" s="5" t="n">
        <v>2</v>
      </c>
      <c r="C3723" s="5" t="s">
        <v>637</v>
      </c>
      <c r="D3723" s="5" t="s">
        <v>1770</v>
      </c>
      <c r="E3723" s="5" t="n">
        <v>1</v>
      </c>
      <c r="F3723" s="6" t="n">
        <f aca="false">IFERROR(MATCH(A3723&amp;"|"&amp;B3723&amp;"|"&amp;D3723,'All Song Rankings'!$T:$T,0),0)</f>
        <v>579</v>
      </c>
      <c r="G3723" s="6" t="str">
        <f aca="false">IF(F3723=0,"NOT FOUND",INDEX('All Song Rankings'!$A:$A,F3723))</f>
        <v>Lucky Star</v>
      </c>
      <c r="H3723" s="6" t="str">
        <f aca="false">IF(F3723=0,"NOT FOUND",INDEX('All Song Rankings'!$B:$B,F3723))</f>
        <v>Madonna</v>
      </c>
      <c r="I3723" s="6" t="str">
        <f aca="false">IF(F3723=0,"NOT FOUND",INDEX('All Song Rankings'!$D:$D,F3723))</f>
        <v>Nicole</v>
      </c>
      <c r="J3723" s="7" t="str">
        <f aca="false">IF(F3723=0,"NOT FOUND",IF(C3723=I3723,"SELF-VOTE",IF(COUNTIF($K:$K,K3723)&gt;1,"DUPLICATE","OK")))</f>
        <v>OK</v>
      </c>
      <c r="K3723" s="6" t="str">
        <f aca="false">A3723&amp;"|"&amp;B3723&amp;"|"&amp;C3723&amp;"|"&amp;D3723</f>
        <v>6|2|Colleen|spotify:track:2hWI9GNr3kBrxZ7Mphho4Q</v>
      </c>
    </row>
    <row r="3724" customFormat="false" ht="15" hidden="false" customHeight="false" outlineLevel="0" collapsed="false">
      <c r="A3724" s="5" t="n">
        <v>6</v>
      </c>
      <c r="B3724" s="5" t="n">
        <v>2</v>
      </c>
      <c r="C3724" s="5" t="s">
        <v>637</v>
      </c>
      <c r="D3724" s="5" t="s">
        <v>1748</v>
      </c>
      <c r="E3724" s="5" t="n">
        <v>1</v>
      </c>
      <c r="F3724" s="6" t="n">
        <f aca="false">IFERROR(MATCH(A3724&amp;"|"&amp;B3724&amp;"|"&amp;D3724,'All Song Rankings'!$T:$T,0),0)</f>
        <v>571</v>
      </c>
      <c r="G3724" s="6" t="str">
        <f aca="false">IF(F3724=0,"NOT FOUND",INDEX('All Song Rankings'!$A:$A,F3724))</f>
        <v>Joy to the World</v>
      </c>
      <c r="H3724" s="6" t="str">
        <f aca="false">IF(F3724=0,"NOT FOUND",INDEX('All Song Rankings'!$B:$B,F3724))</f>
        <v>Three Dog Night</v>
      </c>
      <c r="I3724" s="6" t="str">
        <f aca="false">IF(F3724=0,"NOT FOUND",INDEX('All Song Rankings'!$D:$D,F3724))</f>
        <v>Makenzie</v>
      </c>
      <c r="J3724" s="7" t="str">
        <f aca="false">IF(F3724=0,"NOT FOUND",IF(C3724=I3724,"SELF-VOTE",IF(COUNTIF($K:$K,K3724)&gt;1,"DUPLICATE","OK")))</f>
        <v>OK</v>
      </c>
      <c r="K3724" s="6" t="str">
        <f aca="false">A3724&amp;"|"&amp;B3724&amp;"|"&amp;C3724&amp;"|"&amp;D3724</f>
        <v>6|2|Colleen|spotify:track:3GDTQRm6F358LdF53fqWGU</v>
      </c>
    </row>
    <row r="3725" customFormat="false" ht="15" hidden="false" customHeight="false" outlineLevel="0" collapsed="false">
      <c r="A3725" s="5" t="n">
        <v>6</v>
      </c>
      <c r="B3725" s="5" t="n">
        <v>2</v>
      </c>
      <c r="C3725" s="5" t="s">
        <v>637</v>
      </c>
      <c r="D3725" s="5" t="s">
        <v>1760</v>
      </c>
      <c r="E3725" s="5" t="n">
        <v>1</v>
      </c>
      <c r="F3725" s="6" t="n">
        <f aca="false">IFERROR(MATCH(A3725&amp;"|"&amp;B3725&amp;"|"&amp;D3725,'All Song Rankings'!$T:$T,0),0)</f>
        <v>575</v>
      </c>
      <c r="G3725" s="6" t="str">
        <f aca="false">IF(F3725=0,"NOT FOUND",INDEX('All Song Rankings'!$A:$A,F3725))</f>
        <v>Baby, Baby</v>
      </c>
      <c r="H3725" s="6" t="str">
        <f aca="false">IF(F3725=0,"NOT FOUND",INDEX('All Song Rankings'!$B:$B,F3725))</f>
        <v>Amy Grant</v>
      </c>
      <c r="I3725" s="6" t="str">
        <f aca="false">IF(F3725=0,"NOT FOUND",INDEX('All Song Rankings'!$D:$D,F3725))</f>
        <v>Stephanie</v>
      </c>
      <c r="J3725" s="7" t="str">
        <f aca="false">IF(F3725=0,"NOT FOUND",IF(C3725=I3725,"SELF-VOTE",IF(COUNTIF($K:$K,K3725)&gt;1,"DUPLICATE","OK")))</f>
        <v>OK</v>
      </c>
      <c r="K3725" s="6" t="str">
        <f aca="false">A3725&amp;"|"&amp;B3725&amp;"|"&amp;C3725&amp;"|"&amp;D3725</f>
        <v>6|2|Colleen|spotify:track:3IDsegNBHC4pjGCOMTQYlU</v>
      </c>
    </row>
    <row r="3726" customFormat="false" ht="15" hidden="false" customHeight="false" outlineLevel="0" collapsed="false">
      <c r="A3726" s="5" t="n">
        <v>6</v>
      </c>
      <c r="B3726" s="5" t="n">
        <v>2</v>
      </c>
      <c r="C3726" s="5" t="s">
        <v>637</v>
      </c>
      <c r="D3726" s="5" t="s">
        <v>1751</v>
      </c>
      <c r="E3726" s="5" t="n">
        <v>1</v>
      </c>
      <c r="F3726" s="6" t="n">
        <f aca="false">IFERROR(MATCH(A3726&amp;"|"&amp;B3726&amp;"|"&amp;D3726,'All Song Rankings'!$T:$T,0),0)</f>
        <v>572</v>
      </c>
      <c r="G3726" s="6" t="str">
        <f aca="false">IF(F3726=0,"NOT FOUND",INDEX('All Song Rankings'!$A:$A,F3726))</f>
        <v>Keep on Loving You</v>
      </c>
      <c r="H3726" s="6" t="str">
        <f aca="false">IF(F3726=0,"NOT FOUND",INDEX('All Song Rankings'!$B:$B,F3726))</f>
        <v>REO Speedwagon</v>
      </c>
      <c r="I3726" s="6" t="str">
        <f aca="false">IF(F3726=0,"NOT FOUND",INDEX('All Song Rankings'!$D:$D,F3726))</f>
        <v>Aubrey</v>
      </c>
      <c r="J3726" s="7" t="str">
        <f aca="false">IF(F3726=0,"NOT FOUND",IF(C3726=I3726,"SELF-VOTE",IF(COUNTIF($K:$K,K3726)&gt;1,"DUPLICATE","OK")))</f>
        <v>OK</v>
      </c>
      <c r="K3726" s="6" t="str">
        <f aca="false">A3726&amp;"|"&amp;B3726&amp;"|"&amp;C3726&amp;"|"&amp;D3726</f>
        <v>6|2|Colleen|spotify:track:4rcHWl68ai6KvpXlc8vbnE</v>
      </c>
    </row>
    <row r="3727" customFormat="false" ht="15" hidden="false" customHeight="false" outlineLevel="0" collapsed="false">
      <c r="A3727" s="5" t="n">
        <v>6</v>
      </c>
      <c r="B3727" s="5" t="n">
        <v>2</v>
      </c>
      <c r="C3727" s="5" t="s">
        <v>637</v>
      </c>
      <c r="D3727" s="5" t="s">
        <v>1740</v>
      </c>
      <c r="E3727" s="5" t="n">
        <v>1</v>
      </c>
      <c r="F3727" s="6" t="n">
        <f aca="false">IFERROR(MATCH(A3727&amp;"|"&amp;B3727&amp;"|"&amp;D3727,'All Song Rankings'!$T:$T,0),0)</f>
        <v>568</v>
      </c>
      <c r="G3727" s="6" t="str">
        <f aca="false">IF(F3727=0,"NOT FOUND",INDEX('All Song Rankings'!$A:$A,F3727))</f>
        <v>Have You Ever Seen The Rain</v>
      </c>
      <c r="H3727" s="6" t="str">
        <f aca="false">IF(F3727=0,"NOT FOUND",INDEX('All Song Rankings'!$B:$B,F3727))</f>
        <v>Creedence Clearwater Revival</v>
      </c>
      <c r="I3727" s="6" t="str">
        <f aca="false">IF(F3727=0,"NOT FOUND",INDEX('All Song Rankings'!$D:$D,F3727))</f>
        <v>Kelsey</v>
      </c>
      <c r="J3727" s="7" t="str">
        <f aca="false">IF(F3727=0,"NOT FOUND",IF(C3727=I3727,"SELF-VOTE",IF(COUNTIF($K:$K,K3727)&gt;1,"DUPLICATE","OK")))</f>
        <v>OK</v>
      </c>
      <c r="K3727" s="6" t="str">
        <f aca="false">A3727&amp;"|"&amp;B3727&amp;"|"&amp;C3727&amp;"|"&amp;D3727</f>
        <v>6|2|Colleen|spotify:track:5DnT9a5IM3eMjKgXTWVJvi</v>
      </c>
    </row>
    <row r="3728" customFormat="false" ht="15" hidden="false" customHeight="false" outlineLevel="0" collapsed="false">
      <c r="A3728" s="5" t="n">
        <v>6</v>
      </c>
      <c r="B3728" s="5" t="n">
        <v>2</v>
      </c>
      <c r="C3728" s="5" t="s">
        <v>637</v>
      </c>
      <c r="D3728" s="5" t="s">
        <v>1745</v>
      </c>
      <c r="E3728" s="5" t="n">
        <v>2</v>
      </c>
      <c r="F3728" s="6" t="n">
        <f aca="false">IFERROR(MATCH(A3728&amp;"|"&amp;B3728&amp;"|"&amp;D3728,'All Song Rankings'!$T:$T,0),0)</f>
        <v>570</v>
      </c>
      <c r="G3728" s="6" t="str">
        <f aca="false">IF(F3728=0,"NOT FOUND",INDEX('All Song Rankings'!$A:$A,F3728))</f>
        <v>Piano Man</v>
      </c>
      <c r="H3728" s="6" t="str">
        <f aca="false">IF(F3728=0,"NOT FOUND",INDEX('All Song Rankings'!$B:$B,F3728))</f>
        <v>Billy Joel</v>
      </c>
      <c r="I3728" s="6" t="str">
        <f aca="false">IF(F3728=0,"NOT FOUND",INDEX('All Song Rankings'!$D:$D,F3728))</f>
        <v>Kristen</v>
      </c>
      <c r="J3728" s="7" t="str">
        <f aca="false">IF(F3728=0,"NOT FOUND",IF(C3728=I3728,"SELF-VOTE",IF(COUNTIF($K:$K,K3728)&gt;1,"DUPLICATE","OK")))</f>
        <v>OK</v>
      </c>
      <c r="K3728" s="6" t="str">
        <f aca="false">A3728&amp;"|"&amp;B3728&amp;"|"&amp;C3728&amp;"|"&amp;D3728</f>
        <v>6|2|Colleen|spotify:track:70C4NyhjD5OZUMzvWZ3njJ</v>
      </c>
    </row>
    <row r="3729" customFormat="false" ht="15" hidden="false" customHeight="false" outlineLevel="0" collapsed="false">
      <c r="A3729" s="5" t="n">
        <v>6</v>
      </c>
      <c r="B3729" s="5" t="n">
        <v>2</v>
      </c>
      <c r="C3729" s="5" t="s">
        <v>637</v>
      </c>
      <c r="D3729" s="5" t="s">
        <v>1734</v>
      </c>
      <c r="E3729" s="5" t="n">
        <v>1</v>
      </c>
      <c r="F3729" s="6" t="n">
        <f aca="false">IFERROR(MATCH(A3729&amp;"|"&amp;B3729&amp;"|"&amp;D3729,'All Song Rankings'!$T:$T,0),0)</f>
        <v>566</v>
      </c>
      <c r="G3729" s="6" t="str">
        <f aca="false">IF(F3729=0,"NOT FOUND",INDEX('All Song Rankings'!$A:$A,F3729))</f>
        <v>December, 1963 (Oh What a Night!)</v>
      </c>
      <c r="H3729" s="6" t="str">
        <f aca="false">IF(F3729=0,"NOT FOUND",INDEX('All Song Rankings'!$B:$B,F3729))</f>
        <v>The Four Seasons</v>
      </c>
      <c r="I3729" s="6" t="str">
        <f aca="false">IF(F3729=0,"NOT FOUND",INDEX('All Song Rankings'!$D:$D,F3729))</f>
        <v>Logan</v>
      </c>
      <c r="J3729" s="7" t="str">
        <f aca="false">IF(F3729=0,"NOT FOUND",IF(C3729=I3729,"SELF-VOTE",IF(COUNTIF($K:$K,K3729)&gt;1,"DUPLICATE","OK")))</f>
        <v>OK</v>
      </c>
      <c r="K3729" s="6" t="str">
        <f aca="false">A3729&amp;"|"&amp;B3729&amp;"|"&amp;C3729&amp;"|"&amp;D3729</f>
        <v>6|2|Colleen|spotify:track:7ePFDzrnLt3Ynqgy2UFWri</v>
      </c>
    </row>
    <row r="3730" customFormat="false" ht="15" hidden="false" customHeight="false" outlineLevel="0" collapsed="false">
      <c r="A3730" s="5" t="n">
        <v>6</v>
      </c>
      <c r="B3730" s="5" t="n">
        <v>2</v>
      </c>
      <c r="C3730" s="5" t="s">
        <v>382</v>
      </c>
      <c r="D3730" s="5" t="s">
        <v>1737</v>
      </c>
      <c r="E3730" s="5" t="n">
        <v>2</v>
      </c>
      <c r="F3730" s="6" t="n">
        <f aca="false">IFERROR(MATCH(A3730&amp;"|"&amp;B3730&amp;"|"&amp;D3730,'All Song Rankings'!$T:$T,0),0)</f>
        <v>567</v>
      </c>
      <c r="G3730" s="6" t="str">
        <f aca="false">IF(F3730=0,"NOT FOUND",INDEX('All Song Rankings'!$A:$A,F3730))</f>
        <v>Build Me Up Buttercup - Mono</v>
      </c>
      <c r="H3730" s="6" t="str">
        <f aca="false">IF(F3730=0,"NOT FOUND",INDEX('All Song Rankings'!$B:$B,F3730))</f>
        <v>The Foundations</v>
      </c>
      <c r="I3730" s="6" t="str">
        <f aca="false">IF(F3730=0,"NOT FOUND",INDEX('All Song Rankings'!$D:$D,F3730))</f>
        <v>Colleen</v>
      </c>
      <c r="J3730" s="7" t="str">
        <f aca="false">IF(F3730=0,"NOT FOUND",IF(C3730=I3730,"SELF-VOTE",IF(COUNTIF($K:$K,K3730)&gt;1,"DUPLICATE","OK")))</f>
        <v>OK</v>
      </c>
      <c r="K3730" s="6" t="str">
        <f aca="false">A3730&amp;"|"&amp;B3730&amp;"|"&amp;C3730&amp;"|"&amp;D3730</f>
        <v>6|2|Grace|spotify:track:1tfZtA15BfJHQTUy3dqTKC</v>
      </c>
    </row>
    <row r="3731" customFormat="false" ht="15" hidden="false" customHeight="false" outlineLevel="0" collapsed="false">
      <c r="A3731" s="5" t="n">
        <v>6</v>
      </c>
      <c r="B3731" s="5" t="n">
        <v>2</v>
      </c>
      <c r="C3731" s="5" t="s">
        <v>382</v>
      </c>
      <c r="D3731" s="5" t="s">
        <v>1757</v>
      </c>
      <c r="E3731" s="5" t="n">
        <v>1</v>
      </c>
      <c r="F3731" s="6" t="n">
        <f aca="false">IFERROR(MATCH(A3731&amp;"|"&amp;B3731&amp;"|"&amp;D3731,'All Song Rankings'!$T:$T,0),0)</f>
        <v>574</v>
      </c>
      <c r="G3731" s="6" t="str">
        <f aca="false">IF(F3731=0,"NOT FOUND",INDEX('All Song Rankings'!$A:$A,F3731))</f>
        <v>The Logical Song</v>
      </c>
      <c r="H3731" s="6" t="str">
        <f aca="false">IF(F3731=0,"NOT FOUND",INDEX('All Song Rankings'!$B:$B,F3731))</f>
        <v>Supertramp</v>
      </c>
      <c r="I3731" s="6" t="str">
        <f aca="false">IF(F3731=0,"NOT FOUND",INDEX('All Song Rankings'!$D:$D,F3731))</f>
        <v>Leah</v>
      </c>
      <c r="J3731" s="7" t="str">
        <f aca="false">IF(F3731=0,"NOT FOUND",IF(C3731=I3731,"SELF-VOTE",IF(COUNTIF($K:$K,K3731)&gt;1,"DUPLICATE","OK")))</f>
        <v>OK</v>
      </c>
      <c r="K3731" s="6" t="str">
        <f aca="false">A3731&amp;"|"&amp;B3731&amp;"|"&amp;C3731&amp;"|"&amp;D3731</f>
        <v>6|2|Grace|spotify:track:2IOeOJyiuzwF8BRAK9jJyj</v>
      </c>
    </row>
    <row r="3732" customFormat="false" ht="15" hidden="false" customHeight="false" outlineLevel="0" collapsed="false">
      <c r="A3732" s="5" t="n">
        <v>6</v>
      </c>
      <c r="B3732" s="5" t="n">
        <v>2</v>
      </c>
      <c r="C3732" s="5" t="s">
        <v>382</v>
      </c>
      <c r="D3732" s="5" t="s">
        <v>1760</v>
      </c>
      <c r="E3732" s="5" t="n">
        <v>2</v>
      </c>
      <c r="F3732" s="6" t="n">
        <f aca="false">IFERROR(MATCH(A3732&amp;"|"&amp;B3732&amp;"|"&amp;D3732,'All Song Rankings'!$T:$T,0),0)</f>
        <v>575</v>
      </c>
      <c r="G3732" s="6" t="str">
        <f aca="false">IF(F3732=0,"NOT FOUND",INDEX('All Song Rankings'!$A:$A,F3732))</f>
        <v>Baby, Baby</v>
      </c>
      <c r="H3732" s="6" t="str">
        <f aca="false">IF(F3732=0,"NOT FOUND",INDEX('All Song Rankings'!$B:$B,F3732))</f>
        <v>Amy Grant</v>
      </c>
      <c r="I3732" s="6" t="str">
        <f aca="false">IF(F3732=0,"NOT FOUND",INDEX('All Song Rankings'!$D:$D,F3732))</f>
        <v>Stephanie</v>
      </c>
      <c r="J3732" s="7" t="str">
        <f aca="false">IF(F3732=0,"NOT FOUND",IF(C3732=I3732,"SELF-VOTE",IF(COUNTIF($K:$K,K3732)&gt;1,"DUPLICATE","OK")))</f>
        <v>OK</v>
      </c>
      <c r="K3732" s="6" t="str">
        <f aca="false">A3732&amp;"|"&amp;B3732&amp;"|"&amp;C3732&amp;"|"&amp;D3732</f>
        <v>6|2|Grace|spotify:track:3IDsegNBHC4pjGCOMTQYlU</v>
      </c>
    </row>
    <row r="3733" customFormat="false" ht="15" hidden="false" customHeight="false" outlineLevel="0" collapsed="false">
      <c r="A3733" s="5" t="n">
        <v>6</v>
      </c>
      <c r="B3733" s="5" t="n">
        <v>2</v>
      </c>
      <c r="C3733" s="5" t="s">
        <v>382</v>
      </c>
      <c r="D3733" s="5" t="s">
        <v>1740</v>
      </c>
      <c r="E3733" s="5" t="n">
        <v>2</v>
      </c>
      <c r="F3733" s="6" t="n">
        <f aca="false">IFERROR(MATCH(A3733&amp;"|"&amp;B3733&amp;"|"&amp;D3733,'All Song Rankings'!$T:$T,0),0)</f>
        <v>568</v>
      </c>
      <c r="G3733" s="6" t="str">
        <f aca="false">IF(F3733=0,"NOT FOUND",INDEX('All Song Rankings'!$A:$A,F3733))</f>
        <v>Have You Ever Seen The Rain</v>
      </c>
      <c r="H3733" s="6" t="str">
        <f aca="false">IF(F3733=0,"NOT FOUND",INDEX('All Song Rankings'!$B:$B,F3733))</f>
        <v>Creedence Clearwater Revival</v>
      </c>
      <c r="I3733" s="6" t="str">
        <f aca="false">IF(F3733=0,"NOT FOUND",INDEX('All Song Rankings'!$D:$D,F3733))</f>
        <v>Kelsey</v>
      </c>
      <c r="J3733" s="7" t="str">
        <f aca="false">IF(F3733=0,"NOT FOUND",IF(C3733=I3733,"SELF-VOTE",IF(COUNTIF($K:$K,K3733)&gt;1,"DUPLICATE","OK")))</f>
        <v>OK</v>
      </c>
      <c r="K3733" s="6" t="str">
        <f aca="false">A3733&amp;"|"&amp;B3733&amp;"|"&amp;C3733&amp;"|"&amp;D3733</f>
        <v>6|2|Grace|spotify:track:5DnT9a5IM3eMjKgXTWVJvi</v>
      </c>
    </row>
    <row r="3734" customFormat="false" ht="15" hidden="false" customHeight="false" outlineLevel="0" collapsed="false">
      <c r="A3734" s="5" t="n">
        <v>6</v>
      </c>
      <c r="B3734" s="5" t="n">
        <v>2</v>
      </c>
      <c r="C3734" s="5" t="s">
        <v>382</v>
      </c>
      <c r="D3734" s="5" t="s">
        <v>1763</v>
      </c>
      <c r="E3734" s="5" t="n">
        <v>1</v>
      </c>
      <c r="F3734" s="6" t="n">
        <f aca="false">IFERROR(MATCH(A3734&amp;"|"&amp;B3734&amp;"|"&amp;D3734,'All Song Rankings'!$T:$T,0),0)</f>
        <v>576</v>
      </c>
      <c r="G3734" s="6" t="str">
        <f aca="false">IF(F3734=0,"NOT FOUND",INDEX('All Song Rankings'!$A:$A,F3734))</f>
        <v>Olathumbathu</v>
      </c>
      <c r="H3734" s="6" t="str">
        <f aca="false">IF(F3734=0,"NOT FOUND",INDEX('All Song Rankings'!$B:$B,F3734))</f>
        <v>S. Janaki</v>
      </c>
      <c r="I3734" s="6" t="str">
        <f aca="false">IF(F3734=0,"NOT FOUND",INDEX('All Song Rankings'!$D:$D,F3734))</f>
        <v>Merita</v>
      </c>
      <c r="J3734" s="7" t="str">
        <f aca="false">IF(F3734=0,"NOT FOUND",IF(C3734=I3734,"SELF-VOTE",IF(COUNTIF($K:$K,K3734)&gt;1,"DUPLICATE","OK")))</f>
        <v>OK</v>
      </c>
      <c r="K3734" s="6" t="str">
        <f aca="false">A3734&amp;"|"&amp;B3734&amp;"|"&amp;C3734&amp;"|"&amp;D3734</f>
        <v>6|2|Grace|spotify:track:5SkK1VGwHEnt02r5rbMTZC</v>
      </c>
    </row>
    <row r="3735" customFormat="false" ht="15" hidden="false" customHeight="false" outlineLevel="0" collapsed="false">
      <c r="A3735" s="5" t="n">
        <v>6</v>
      </c>
      <c r="B3735" s="5" t="n">
        <v>2</v>
      </c>
      <c r="C3735" s="5" t="s">
        <v>382</v>
      </c>
      <c r="D3735" s="5" t="s">
        <v>1754</v>
      </c>
      <c r="E3735" s="5" t="n">
        <v>1</v>
      </c>
      <c r="F3735" s="6" t="n">
        <f aca="false">IFERROR(MATCH(A3735&amp;"|"&amp;B3735&amp;"|"&amp;D3735,'All Song Rankings'!$T:$T,0),0)</f>
        <v>573</v>
      </c>
      <c r="G3735" s="6" t="str">
        <f aca="false">IF(F3735=0,"NOT FOUND",INDEX('All Song Rankings'!$A:$A,F3735))</f>
        <v>Snoopy Vs. The Red Baron</v>
      </c>
      <c r="H3735" s="6" t="str">
        <f aca="false">IF(F3735=0,"NOT FOUND",INDEX('All Song Rankings'!$B:$B,F3735))</f>
        <v>The Royal Guardsmen</v>
      </c>
      <c r="I3735" s="6" t="str">
        <f aca="false">IF(F3735=0,"NOT FOUND",INDEX('All Song Rankings'!$D:$D,F3735))</f>
        <v>Matt</v>
      </c>
      <c r="J3735" s="7" t="str">
        <f aca="false">IF(F3735=0,"NOT FOUND",IF(C3735=I3735,"SELF-VOTE",IF(COUNTIF($K:$K,K3735)&gt;1,"DUPLICATE","OK")))</f>
        <v>OK</v>
      </c>
      <c r="K3735" s="6" t="str">
        <f aca="false">A3735&amp;"|"&amp;B3735&amp;"|"&amp;C3735&amp;"|"&amp;D3735</f>
        <v>6|2|Grace|spotify:track:6qF3qHvzEmh7bkdBatxQuS</v>
      </c>
    </row>
    <row r="3736" customFormat="false" ht="15" hidden="false" customHeight="false" outlineLevel="0" collapsed="false">
      <c r="A3736" s="5" t="n">
        <v>6</v>
      </c>
      <c r="B3736" s="5" t="n">
        <v>2</v>
      </c>
      <c r="C3736" s="5" t="s">
        <v>382</v>
      </c>
      <c r="D3736" s="5" t="s">
        <v>1734</v>
      </c>
      <c r="E3736" s="5" t="n">
        <v>1</v>
      </c>
      <c r="F3736" s="6" t="n">
        <f aca="false">IFERROR(MATCH(A3736&amp;"|"&amp;B3736&amp;"|"&amp;D3736,'All Song Rankings'!$T:$T,0),0)</f>
        <v>566</v>
      </c>
      <c r="G3736" s="6" t="str">
        <f aca="false">IF(F3736=0,"NOT FOUND",INDEX('All Song Rankings'!$A:$A,F3736))</f>
        <v>December, 1963 (Oh What a Night!)</v>
      </c>
      <c r="H3736" s="6" t="str">
        <f aca="false">IF(F3736=0,"NOT FOUND",INDEX('All Song Rankings'!$B:$B,F3736))</f>
        <v>The Four Seasons</v>
      </c>
      <c r="I3736" s="6" t="str">
        <f aca="false">IF(F3736=0,"NOT FOUND",INDEX('All Song Rankings'!$D:$D,F3736))</f>
        <v>Logan</v>
      </c>
      <c r="J3736" s="7" t="str">
        <f aca="false">IF(F3736=0,"NOT FOUND",IF(C3736=I3736,"SELF-VOTE",IF(COUNTIF($K:$K,K3736)&gt;1,"DUPLICATE","OK")))</f>
        <v>OK</v>
      </c>
      <c r="K3736" s="6" t="str">
        <f aca="false">A3736&amp;"|"&amp;B3736&amp;"|"&amp;C3736&amp;"|"&amp;D3736</f>
        <v>6|2|Grace|spotify:track:7ePFDzrnLt3Ynqgy2UFWri</v>
      </c>
    </row>
    <row r="3737" customFormat="false" ht="15" hidden="false" customHeight="false" outlineLevel="0" collapsed="false">
      <c r="A3737" s="5" t="n">
        <v>6</v>
      </c>
      <c r="B3737" s="5" t="n">
        <v>2</v>
      </c>
      <c r="C3737" s="5" t="s">
        <v>85</v>
      </c>
      <c r="D3737" s="5" t="s">
        <v>1737</v>
      </c>
      <c r="E3737" s="5" t="n">
        <v>2</v>
      </c>
      <c r="F3737" s="6" t="n">
        <f aca="false">IFERROR(MATCH(A3737&amp;"|"&amp;B3737&amp;"|"&amp;D3737,'All Song Rankings'!$T:$T,0),0)</f>
        <v>567</v>
      </c>
      <c r="G3737" s="6" t="str">
        <f aca="false">IF(F3737=0,"NOT FOUND",INDEX('All Song Rankings'!$A:$A,F3737))</f>
        <v>Build Me Up Buttercup - Mono</v>
      </c>
      <c r="H3737" s="6" t="str">
        <f aca="false">IF(F3737=0,"NOT FOUND",INDEX('All Song Rankings'!$B:$B,F3737))</f>
        <v>The Foundations</v>
      </c>
      <c r="I3737" s="6" t="str">
        <f aca="false">IF(F3737=0,"NOT FOUND",INDEX('All Song Rankings'!$D:$D,F3737))</f>
        <v>Colleen</v>
      </c>
      <c r="J3737" s="7" t="str">
        <f aca="false">IF(F3737=0,"NOT FOUND",IF(C3737=I3737,"SELF-VOTE",IF(COUNTIF($K:$K,K3737)&gt;1,"DUPLICATE","OK")))</f>
        <v>OK</v>
      </c>
      <c r="K3737" s="6" t="str">
        <f aca="false">A3737&amp;"|"&amp;B3737&amp;"|"&amp;C3737&amp;"|"&amp;D3737</f>
        <v>6|2|Kelsey|spotify:track:1tfZtA15BfJHQTUy3dqTKC</v>
      </c>
    </row>
    <row r="3738" customFormat="false" ht="15" hidden="false" customHeight="false" outlineLevel="0" collapsed="false">
      <c r="A3738" s="5" t="n">
        <v>6</v>
      </c>
      <c r="B3738" s="5" t="n">
        <v>2</v>
      </c>
      <c r="C3738" s="5" t="s">
        <v>85</v>
      </c>
      <c r="D3738" s="5" t="s">
        <v>1743</v>
      </c>
      <c r="E3738" s="5" t="n">
        <v>1</v>
      </c>
      <c r="F3738" s="6" t="n">
        <f aca="false">IFERROR(MATCH(A3738&amp;"|"&amp;B3738&amp;"|"&amp;D3738,'All Song Rankings'!$T:$T,0),0)</f>
        <v>569</v>
      </c>
      <c r="G3738" s="6" t="str">
        <f aca="false">IF(F3738=0,"NOT FOUND",INDEX('All Song Rankings'!$A:$A,F3738))</f>
        <v>What A Wonderful World</v>
      </c>
      <c r="H3738" s="6" t="str">
        <f aca="false">IF(F3738=0,"NOT FOUND",INDEX('All Song Rankings'!$B:$B,F3738))</f>
        <v>Louis Armstrong</v>
      </c>
      <c r="I3738" s="6" t="str">
        <f aca="false">IF(F3738=0,"NOT FOUND",INDEX('All Song Rankings'!$D:$D,F3738))</f>
        <v>Lisa</v>
      </c>
      <c r="J3738" s="7" t="str">
        <f aca="false">IF(F3738=0,"NOT FOUND",IF(C3738=I3738,"SELF-VOTE",IF(COUNTIF($K:$K,K3738)&gt;1,"DUPLICATE","OK")))</f>
        <v>OK</v>
      </c>
      <c r="K3738" s="6" t="str">
        <f aca="false">A3738&amp;"|"&amp;B3738&amp;"|"&amp;C3738&amp;"|"&amp;D3738</f>
        <v>6|2|Kelsey|spotify:track:29U7stRjqHU6rMiS8BfaI9</v>
      </c>
    </row>
    <row r="3739" customFormat="false" ht="15" hidden="false" customHeight="false" outlineLevel="0" collapsed="false">
      <c r="A3739" s="5" t="n">
        <v>6</v>
      </c>
      <c r="B3739" s="5" t="n">
        <v>2</v>
      </c>
      <c r="C3739" s="5" t="s">
        <v>85</v>
      </c>
      <c r="D3739" s="5" t="s">
        <v>1770</v>
      </c>
      <c r="E3739" s="5" t="n">
        <v>1</v>
      </c>
      <c r="F3739" s="6" t="n">
        <f aca="false">IFERROR(MATCH(A3739&amp;"|"&amp;B3739&amp;"|"&amp;D3739,'All Song Rankings'!$T:$T,0),0)</f>
        <v>579</v>
      </c>
      <c r="G3739" s="6" t="str">
        <f aca="false">IF(F3739=0,"NOT FOUND",INDEX('All Song Rankings'!$A:$A,F3739))</f>
        <v>Lucky Star</v>
      </c>
      <c r="H3739" s="6" t="str">
        <f aca="false">IF(F3739=0,"NOT FOUND",INDEX('All Song Rankings'!$B:$B,F3739))</f>
        <v>Madonna</v>
      </c>
      <c r="I3739" s="6" t="str">
        <f aca="false">IF(F3739=0,"NOT FOUND",INDEX('All Song Rankings'!$D:$D,F3739))</f>
        <v>Nicole</v>
      </c>
      <c r="J3739" s="7" t="str">
        <f aca="false">IF(F3739=0,"NOT FOUND",IF(C3739=I3739,"SELF-VOTE",IF(COUNTIF($K:$K,K3739)&gt;1,"DUPLICATE","OK")))</f>
        <v>OK</v>
      </c>
      <c r="K3739" s="6" t="str">
        <f aca="false">A3739&amp;"|"&amp;B3739&amp;"|"&amp;C3739&amp;"|"&amp;D3739</f>
        <v>6|2|Kelsey|spotify:track:2hWI9GNr3kBrxZ7Mphho4Q</v>
      </c>
    </row>
    <row r="3740" customFormat="false" ht="15" hidden="false" customHeight="false" outlineLevel="0" collapsed="false">
      <c r="A3740" s="5" t="n">
        <v>6</v>
      </c>
      <c r="B3740" s="5" t="n">
        <v>2</v>
      </c>
      <c r="C3740" s="5" t="s">
        <v>85</v>
      </c>
      <c r="D3740" s="5" t="s">
        <v>1748</v>
      </c>
      <c r="E3740" s="5" t="n">
        <v>1</v>
      </c>
      <c r="F3740" s="6" t="n">
        <f aca="false">IFERROR(MATCH(A3740&amp;"|"&amp;B3740&amp;"|"&amp;D3740,'All Song Rankings'!$T:$T,0),0)</f>
        <v>571</v>
      </c>
      <c r="G3740" s="6" t="str">
        <f aca="false">IF(F3740=0,"NOT FOUND",INDEX('All Song Rankings'!$A:$A,F3740))</f>
        <v>Joy to the World</v>
      </c>
      <c r="H3740" s="6" t="str">
        <f aca="false">IF(F3740=0,"NOT FOUND",INDEX('All Song Rankings'!$B:$B,F3740))</f>
        <v>Three Dog Night</v>
      </c>
      <c r="I3740" s="6" t="str">
        <f aca="false">IF(F3740=0,"NOT FOUND",INDEX('All Song Rankings'!$D:$D,F3740))</f>
        <v>Makenzie</v>
      </c>
      <c r="J3740" s="7" t="str">
        <f aca="false">IF(F3740=0,"NOT FOUND",IF(C3740=I3740,"SELF-VOTE",IF(COUNTIF($K:$K,K3740)&gt;1,"DUPLICATE","OK")))</f>
        <v>OK</v>
      </c>
      <c r="K3740" s="6" t="str">
        <f aca="false">A3740&amp;"|"&amp;B3740&amp;"|"&amp;C3740&amp;"|"&amp;D3740</f>
        <v>6|2|Kelsey|spotify:track:3GDTQRm6F358LdF53fqWGU</v>
      </c>
    </row>
    <row r="3741" customFormat="false" ht="15" hidden="false" customHeight="false" outlineLevel="0" collapsed="false">
      <c r="A3741" s="5" t="n">
        <v>6</v>
      </c>
      <c r="B3741" s="5" t="n">
        <v>2</v>
      </c>
      <c r="C3741" s="5" t="s">
        <v>85</v>
      </c>
      <c r="D3741" s="5" t="s">
        <v>1751</v>
      </c>
      <c r="E3741" s="5" t="n">
        <v>1</v>
      </c>
      <c r="F3741" s="6" t="n">
        <f aca="false">IFERROR(MATCH(A3741&amp;"|"&amp;B3741&amp;"|"&amp;D3741,'All Song Rankings'!$T:$T,0),0)</f>
        <v>572</v>
      </c>
      <c r="G3741" s="6" t="str">
        <f aca="false">IF(F3741=0,"NOT FOUND",INDEX('All Song Rankings'!$A:$A,F3741))</f>
        <v>Keep on Loving You</v>
      </c>
      <c r="H3741" s="6" t="str">
        <f aca="false">IF(F3741=0,"NOT FOUND",INDEX('All Song Rankings'!$B:$B,F3741))</f>
        <v>REO Speedwagon</v>
      </c>
      <c r="I3741" s="6" t="str">
        <f aca="false">IF(F3741=0,"NOT FOUND",INDEX('All Song Rankings'!$D:$D,F3741))</f>
        <v>Aubrey</v>
      </c>
      <c r="J3741" s="7" t="str">
        <f aca="false">IF(F3741=0,"NOT FOUND",IF(C3741=I3741,"SELF-VOTE",IF(COUNTIF($K:$K,K3741)&gt;1,"DUPLICATE","OK")))</f>
        <v>OK</v>
      </c>
      <c r="K3741" s="6" t="str">
        <f aca="false">A3741&amp;"|"&amp;B3741&amp;"|"&amp;C3741&amp;"|"&amp;D3741</f>
        <v>6|2|Kelsey|spotify:track:4rcHWl68ai6KvpXlc8vbnE</v>
      </c>
    </row>
    <row r="3742" customFormat="false" ht="15" hidden="false" customHeight="false" outlineLevel="0" collapsed="false">
      <c r="A3742" s="5" t="n">
        <v>6</v>
      </c>
      <c r="B3742" s="5" t="n">
        <v>2</v>
      </c>
      <c r="C3742" s="5" t="s">
        <v>85</v>
      </c>
      <c r="D3742" s="5" t="s">
        <v>1745</v>
      </c>
      <c r="E3742" s="5" t="n">
        <v>2</v>
      </c>
      <c r="F3742" s="6" t="n">
        <f aca="false">IFERROR(MATCH(A3742&amp;"|"&amp;B3742&amp;"|"&amp;D3742,'All Song Rankings'!$T:$T,0),0)</f>
        <v>570</v>
      </c>
      <c r="G3742" s="6" t="str">
        <f aca="false">IF(F3742=0,"NOT FOUND",INDEX('All Song Rankings'!$A:$A,F3742))</f>
        <v>Piano Man</v>
      </c>
      <c r="H3742" s="6" t="str">
        <f aca="false">IF(F3742=0,"NOT FOUND",INDEX('All Song Rankings'!$B:$B,F3742))</f>
        <v>Billy Joel</v>
      </c>
      <c r="I3742" s="6" t="str">
        <f aca="false">IF(F3742=0,"NOT FOUND",INDEX('All Song Rankings'!$D:$D,F3742))</f>
        <v>Kristen</v>
      </c>
      <c r="J3742" s="7" t="str">
        <f aca="false">IF(F3742=0,"NOT FOUND",IF(C3742=I3742,"SELF-VOTE",IF(COUNTIF($K:$K,K3742)&gt;1,"DUPLICATE","OK")))</f>
        <v>OK</v>
      </c>
      <c r="K3742" s="6" t="str">
        <f aca="false">A3742&amp;"|"&amp;B3742&amp;"|"&amp;C3742&amp;"|"&amp;D3742</f>
        <v>6|2|Kelsey|spotify:track:70C4NyhjD5OZUMzvWZ3njJ</v>
      </c>
    </row>
    <row r="3743" customFormat="false" ht="15" hidden="false" customHeight="false" outlineLevel="0" collapsed="false">
      <c r="A3743" s="5" t="n">
        <v>6</v>
      </c>
      <c r="B3743" s="5" t="n">
        <v>2</v>
      </c>
      <c r="C3743" s="5" t="s">
        <v>85</v>
      </c>
      <c r="D3743" s="5" t="s">
        <v>1734</v>
      </c>
      <c r="E3743" s="5" t="n">
        <v>2</v>
      </c>
      <c r="F3743" s="6" t="n">
        <f aca="false">IFERROR(MATCH(A3743&amp;"|"&amp;B3743&amp;"|"&amp;D3743,'All Song Rankings'!$T:$T,0),0)</f>
        <v>566</v>
      </c>
      <c r="G3743" s="6" t="str">
        <f aca="false">IF(F3743=0,"NOT FOUND",INDEX('All Song Rankings'!$A:$A,F3743))</f>
        <v>December, 1963 (Oh What a Night!)</v>
      </c>
      <c r="H3743" s="6" t="str">
        <f aca="false">IF(F3743=0,"NOT FOUND",INDEX('All Song Rankings'!$B:$B,F3743))</f>
        <v>The Four Seasons</v>
      </c>
      <c r="I3743" s="6" t="str">
        <f aca="false">IF(F3743=0,"NOT FOUND",INDEX('All Song Rankings'!$D:$D,F3743))</f>
        <v>Logan</v>
      </c>
      <c r="J3743" s="7" t="str">
        <f aca="false">IF(F3743=0,"NOT FOUND",IF(C3743=I3743,"SELF-VOTE",IF(COUNTIF($K:$K,K3743)&gt;1,"DUPLICATE","OK")))</f>
        <v>OK</v>
      </c>
      <c r="K3743" s="6" t="str">
        <f aca="false">A3743&amp;"|"&amp;B3743&amp;"|"&amp;C3743&amp;"|"&amp;D3743</f>
        <v>6|2|Kelsey|spotify:track:7ePFDzrnLt3Ynqgy2UFWri</v>
      </c>
    </row>
    <row r="3744" customFormat="false" ht="15" hidden="false" customHeight="false" outlineLevel="0" collapsed="false">
      <c r="A3744" s="5" t="n">
        <v>6</v>
      </c>
      <c r="B3744" s="5" t="n">
        <v>2</v>
      </c>
      <c r="C3744" s="5" t="s">
        <v>106</v>
      </c>
      <c r="D3744" s="5" t="s">
        <v>1737</v>
      </c>
      <c r="E3744" s="5" t="n">
        <v>2</v>
      </c>
      <c r="F3744" s="6" t="n">
        <f aca="false">IFERROR(MATCH(A3744&amp;"|"&amp;B3744&amp;"|"&amp;D3744,'All Song Rankings'!$T:$T,0),0)</f>
        <v>567</v>
      </c>
      <c r="G3744" s="6" t="str">
        <f aca="false">IF(F3744=0,"NOT FOUND",INDEX('All Song Rankings'!$A:$A,F3744))</f>
        <v>Build Me Up Buttercup - Mono</v>
      </c>
      <c r="H3744" s="6" t="str">
        <f aca="false">IF(F3744=0,"NOT FOUND",INDEX('All Song Rankings'!$B:$B,F3744))</f>
        <v>The Foundations</v>
      </c>
      <c r="I3744" s="6" t="str">
        <f aca="false">IF(F3744=0,"NOT FOUND",INDEX('All Song Rankings'!$D:$D,F3744))</f>
        <v>Colleen</v>
      </c>
      <c r="J3744" s="7" t="str">
        <f aca="false">IF(F3744=0,"NOT FOUND",IF(C3744=I3744,"SELF-VOTE",IF(COUNTIF($K:$K,K3744)&gt;1,"DUPLICATE","OK")))</f>
        <v>OK</v>
      </c>
      <c r="K3744" s="6" t="str">
        <f aca="false">A3744&amp;"|"&amp;B3744&amp;"|"&amp;C3744&amp;"|"&amp;D3744</f>
        <v>6|2|Kristen|spotify:track:1tfZtA15BfJHQTUy3dqTKC</v>
      </c>
    </row>
    <row r="3745" customFormat="false" ht="15" hidden="false" customHeight="false" outlineLevel="0" collapsed="false">
      <c r="A3745" s="5" t="n">
        <v>6</v>
      </c>
      <c r="B3745" s="5" t="n">
        <v>2</v>
      </c>
      <c r="C3745" s="5" t="s">
        <v>106</v>
      </c>
      <c r="D3745" s="5" t="s">
        <v>1743</v>
      </c>
      <c r="E3745" s="5" t="n">
        <v>2</v>
      </c>
      <c r="F3745" s="6" t="n">
        <f aca="false">IFERROR(MATCH(A3745&amp;"|"&amp;B3745&amp;"|"&amp;D3745,'All Song Rankings'!$T:$T,0),0)</f>
        <v>569</v>
      </c>
      <c r="G3745" s="6" t="str">
        <f aca="false">IF(F3745=0,"NOT FOUND",INDEX('All Song Rankings'!$A:$A,F3745))</f>
        <v>What A Wonderful World</v>
      </c>
      <c r="H3745" s="6" t="str">
        <f aca="false">IF(F3745=0,"NOT FOUND",INDEX('All Song Rankings'!$B:$B,F3745))</f>
        <v>Louis Armstrong</v>
      </c>
      <c r="I3745" s="6" t="str">
        <f aca="false">IF(F3745=0,"NOT FOUND",INDEX('All Song Rankings'!$D:$D,F3745))</f>
        <v>Lisa</v>
      </c>
      <c r="J3745" s="7" t="str">
        <f aca="false">IF(F3745=0,"NOT FOUND",IF(C3745=I3745,"SELF-VOTE",IF(COUNTIF($K:$K,K3745)&gt;1,"DUPLICATE","OK")))</f>
        <v>OK</v>
      </c>
      <c r="K3745" s="6" t="str">
        <f aca="false">A3745&amp;"|"&amp;B3745&amp;"|"&amp;C3745&amp;"|"&amp;D3745</f>
        <v>6|2|Kristen|spotify:track:29U7stRjqHU6rMiS8BfaI9</v>
      </c>
    </row>
    <row r="3746" customFormat="false" ht="15" hidden="false" customHeight="false" outlineLevel="0" collapsed="false">
      <c r="A3746" s="5" t="n">
        <v>6</v>
      </c>
      <c r="B3746" s="5" t="n">
        <v>2</v>
      </c>
      <c r="C3746" s="5" t="s">
        <v>106</v>
      </c>
      <c r="D3746" s="5" t="s">
        <v>1748</v>
      </c>
      <c r="E3746" s="5" t="n">
        <v>1</v>
      </c>
      <c r="F3746" s="6" t="n">
        <f aca="false">IFERROR(MATCH(A3746&amp;"|"&amp;B3746&amp;"|"&amp;D3746,'All Song Rankings'!$T:$T,0),0)</f>
        <v>571</v>
      </c>
      <c r="G3746" s="6" t="str">
        <f aca="false">IF(F3746=0,"NOT FOUND",INDEX('All Song Rankings'!$A:$A,F3746))</f>
        <v>Joy to the World</v>
      </c>
      <c r="H3746" s="6" t="str">
        <f aca="false">IF(F3746=0,"NOT FOUND",INDEX('All Song Rankings'!$B:$B,F3746))</f>
        <v>Three Dog Night</v>
      </c>
      <c r="I3746" s="6" t="str">
        <f aca="false">IF(F3746=0,"NOT FOUND",INDEX('All Song Rankings'!$D:$D,F3746))</f>
        <v>Makenzie</v>
      </c>
      <c r="J3746" s="7" t="str">
        <f aca="false">IF(F3746=0,"NOT FOUND",IF(C3746=I3746,"SELF-VOTE",IF(COUNTIF($K:$K,K3746)&gt;1,"DUPLICATE","OK")))</f>
        <v>OK</v>
      </c>
      <c r="K3746" s="6" t="str">
        <f aca="false">A3746&amp;"|"&amp;B3746&amp;"|"&amp;C3746&amp;"|"&amp;D3746</f>
        <v>6|2|Kristen|spotify:track:3GDTQRm6F358LdF53fqWGU</v>
      </c>
    </row>
    <row r="3747" customFormat="false" ht="15" hidden="false" customHeight="false" outlineLevel="0" collapsed="false">
      <c r="A3747" s="5" t="n">
        <v>6</v>
      </c>
      <c r="B3747" s="5" t="n">
        <v>2</v>
      </c>
      <c r="C3747" s="5" t="s">
        <v>106</v>
      </c>
      <c r="D3747" s="5" t="s">
        <v>1765</v>
      </c>
      <c r="E3747" s="5" t="n">
        <v>1</v>
      </c>
      <c r="F3747" s="6" t="n">
        <f aca="false">IFERROR(MATCH(A3747&amp;"|"&amp;B3747&amp;"|"&amp;D3747,'All Song Rankings'!$T:$T,0),0)</f>
        <v>577</v>
      </c>
      <c r="G3747" s="6" t="str">
        <f aca="false">IF(F3747=0,"NOT FOUND",INDEX('All Song Rankings'!$A:$A,F3747))</f>
        <v>And Your Bird Can Sing - Remastered 2009</v>
      </c>
      <c r="H3747" s="6" t="str">
        <f aca="false">IF(F3747=0,"NOT FOUND",INDEX('All Song Rankings'!$B:$B,F3747))</f>
        <v>The Beatles</v>
      </c>
      <c r="I3747" s="6" t="str">
        <f aca="false">IF(F3747=0,"NOT FOUND",INDEX('All Song Rankings'!$D:$D,F3747))</f>
        <v>Grace</v>
      </c>
      <c r="J3747" s="7" t="str">
        <f aca="false">IF(F3747=0,"NOT FOUND",IF(C3747=I3747,"SELF-VOTE",IF(COUNTIF($K:$K,K3747)&gt;1,"DUPLICATE","OK")))</f>
        <v>OK</v>
      </c>
      <c r="K3747" s="6" t="str">
        <f aca="false">A3747&amp;"|"&amp;B3747&amp;"|"&amp;C3747&amp;"|"&amp;D3747</f>
        <v>6|2|Kristen|spotify:track:4KRgqwb4kvBuTz1utbYxfb</v>
      </c>
    </row>
    <row r="3748" customFormat="false" ht="15" hidden="false" customHeight="false" outlineLevel="0" collapsed="false">
      <c r="A3748" s="5" t="n">
        <v>6</v>
      </c>
      <c r="B3748" s="5" t="n">
        <v>2</v>
      </c>
      <c r="C3748" s="5" t="s">
        <v>106</v>
      </c>
      <c r="D3748" s="5" t="s">
        <v>1740</v>
      </c>
      <c r="E3748" s="5" t="n">
        <v>3</v>
      </c>
      <c r="F3748" s="6" t="n">
        <f aca="false">IFERROR(MATCH(A3748&amp;"|"&amp;B3748&amp;"|"&amp;D3748,'All Song Rankings'!$T:$T,0),0)</f>
        <v>568</v>
      </c>
      <c r="G3748" s="6" t="str">
        <f aca="false">IF(F3748=0,"NOT FOUND",INDEX('All Song Rankings'!$A:$A,F3748))</f>
        <v>Have You Ever Seen The Rain</v>
      </c>
      <c r="H3748" s="6" t="str">
        <f aca="false">IF(F3748=0,"NOT FOUND",INDEX('All Song Rankings'!$B:$B,F3748))</f>
        <v>Creedence Clearwater Revival</v>
      </c>
      <c r="I3748" s="6" t="str">
        <f aca="false">IF(F3748=0,"NOT FOUND",INDEX('All Song Rankings'!$D:$D,F3748))</f>
        <v>Kelsey</v>
      </c>
      <c r="J3748" s="7" t="str">
        <f aca="false">IF(F3748=0,"NOT FOUND",IF(C3748=I3748,"SELF-VOTE",IF(COUNTIF($K:$K,K3748)&gt;1,"DUPLICATE","OK")))</f>
        <v>OK</v>
      </c>
      <c r="K3748" s="6" t="str">
        <f aca="false">A3748&amp;"|"&amp;B3748&amp;"|"&amp;C3748&amp;"|"&amp;D3748</f>
        <v>6|2|Kristen|spotify:track:5DnT9a5IM3eMjKgXTWVJvi</v>
      </c>
    </row>
    <row r="3749" customFormat="false" ht="15" hidden="false" customHeight="false" outlineLevel="0" collapsed="false">
      <c r="A3749" s="5" t="n">
        <v>6</v>
      </c>
      <c r="B3749" s="5" t="n">
        <v>2</v>
      </c>
      <c r="C3749" s="5" t="s">
        <v>106</v>
      </c>
      <c r="D3749" s="5" t="s">
        <v>1734</v>
      </c>
      <c r="E3749" s="5" t="n">
        <v>1</v>
      </c>
      <c r="F3749" s="6" t="n">
        <f aca="false">IFERROR(MATCH(A3749&amp;"|"&amp;B3749&amp;"|"&amp;D3749,'All Song Rankings'!$T:$T,0),0)</f>
        <v>566</v>
      </c>
      <c r="G3749" s="6" t="str">
        <f aca="false">IF(F3749=0,"NOT FOUND",INDEX('All Song Rankings'!$A:$A,F3749))</f>
        <v>December, 1963 (Oh What a Night!)</v>
      </c>
      <c r="H3749" s="6" t="str">
        <f aca="false">IF(F3749=0,"NOT FOUND",INDEX('All Song Rankings'!$B:$B,F3749))</f>
        <v>The Four Seasons</v>
      </c>
      <c r="I3749" s="6" t="str">
        <f aca="false">IF(F3749=0,"NOT FOUND",INDEX('All Song Rankings'!$D:$D,F3749))</f>
        <v>Logan</v>
      </c>
      <c r="J3749" s="7" t="str">
        <f aca="false">IF(F3749=0,"NOT FOUND",IF(C3749=I3749,"SELF-VOTE",IF(COUNTIF($K:$K,K3749)&gt;1,"DUPLICATE","OK")))</f>
        <v>OK</v>
      </c>
      <c r="K3749" s="6" t="str">
        <f aca="false">A3749&amp;"|"&amp;B3749&amp;"|"&amp;C3749&amp;"|"&amp;D3749</f>
        <v>6|2|Kristen|spotify:track:7ePFDzrnLt3Ynqgy2UFWri</v>
      </c>
    </row>
    <row r="3750" customFormat="false" ht="15" hidden="false" customHeight="false" outlineLevel="0" collapsed="false">
      <c r="A3750" s="5" t="n">
        <v>6</v>
      </c>
      <c r="B3750" s="5" t="n">
        <v>2</v>
      </c>
      <c r="C3750" s="5" t="s">
        <v>119</v>
      </c>
      <c r="D3750" s="5" t="s">
        <v>1743</v>
      </c>
      <c r="E3750" s="5" t="n">
        <v>1</v>
      </c>
      <c r="F3750" s="6" t="n">
        <f aca="false">IFERROR(MATCH(A3750&amp;"|"&amp;B3750&amp;"|"&amp;D3750,'All Song Rankings'!$T:$T,0),0)</f>
        <v>569</v>
      </c>
      <c r="G3750" s="6" t="str">
        <f aca="false">IF(F3750=0,"NOT FOUND",INDEX('All Song Rankings'!$A:$A,F3750))</f>
        <v>What A Wonderful World</v>
      </c>
      <c r="H3750" s="6" t="str">
        <f aca="false">IF(F3750=0,"NOT FOUND",INDEX('All Song Rankings'!$B:$B,F3750))</f>
        <v>Louis Armstrong</v>
      </c>
      <c r="I3750" s="6" t="str">
        <f aca="false">IF(F3750=0,"NOT FOUND",INDEX('All Song Rankings'!$D:$D,F3750))</f>
        <v>Lisa</v>
      </c>
      <c r="J3750" s="7" t="str">
        <f aca="false">IF(F3750=0,"NOT FOUND",IF(C3750=I3750,"SELF-VOTE",IF(COUNTIF($K:$K,K3750)&gt;1,"DUPLICATE","OK")))</f>
        <v>OK</v>
      </c>
      <c r="K3750" s="6" t="str">
        <f aca="false">A3750&amp;"|"&amp;B3750&amp;"|"&amp;C3750&amp;"|"&amp;D3750</f>
        <v>6|2|Leah|spotify:track:29U7stRjqHU6rMiS8BfaI9</v>
      </c>
    </row>
    <row r="3751" customFormat="false" ht="15" hidden="false" customHeight="false" outlineLevel="0" collapsed="false">
      <c r="A3751" s="5" t="n">
        <v>6</v>
      </c>
      <c r="B3751" s="5" t="n">
        <v>2</v>
      </c>
      <c r="C3751" s="5" t="s">
        <v>119</v>
      </c>
      <c r="D3751" s="5" t="s">
        <v>1748</v>
      </c>
      <c r="E3751" s="5" t="n">
        <v>1</v>
      </c>
      <c r="F3751" s="6" t="n">
        <f aca="false">IFERROR(MATCH(A3751&amp;"|"&amp;B3751&amp;"|"&amp;D3751,'All Song Rankings'!$T:$T,0),0)</f>
        <v>571</v>
      </c>
      <c r="G3751" s="6" t="str">
        <f aca="false">IF(F3751=0,"NOT FOUND",INDEX('All Song Rankings'!$A:$A,F3751))</f>
        <v>Joy to the World</v>
      </c>
      <c r="H3751" s="6" t="str">
        <f aca="false">IF(F3751=0,"NOT FOUND",INDEX('All Song Rankings'!$B:$B,F3751))</f>
        <v>Three Dog Night</v>
      </c>
      <c r="I3751" s="6" t="str">
        <f aca="false">IF(F3751=0,"NOT FOUND",INDEX('All Song Rankings'!$D:$D,F3751))</f>
        <v>Makenzie</v>
      </c>
      <c r="J3751" s="7" t="str">
        <f aca="false">IF(F3751=0,"NOT FOUND",IF(C3751=I3751,"SELF-VOTE",IF(COUNTIF($K:$K,K3751)&gt;1,"DUPLICATE","OK")))</f>
        <v>OK</v>
      </c>
      <c r="K3751" s="6" t="str">
        <f aca="false">A3751&amp;"|"&amp;B3751&amp;"|"&amp;C3751&amp;"|"&amp;D3751</f>
        <v>6|2|Leah|spotify:track:3GDTQRm6F358LdF53fqWGU</v>
      </c>
    </row>
    <row r="3752" customFormat="false" ht="15" hidden="false" customHeight="false" outlineLevel="0" collapsed="false">
      <c r="A3752" s="5" t="n">
        <v>6</v>
      </c>
      <c r="B3752" s="5" t="n">
        <v>2</v>
      </c>
      <c r="C3752" s="5" t="s">
        <v>119</v>
      </c>
      <c r="D3752" s="5" t="s">
        <v>1765</v>
      </c>
      <c r="E3752" s="5" t="n">
        <v>1</v>
      </c>
      <c r="F3752" s="6" t="n">
        <f aca="false">IFERROR(MATCH(A3752&amp;"|"&amp;B3752&amp;"|"&amp;D3752,'All Song Rankings'!$T:$T,0),0)</f>
        <v>577</v>
      </c>
      <c r="G3752" s="6" t="str">
        <f aca="false">IF(F3752=0,"NOT FOUND",INDEX('All Song Rankings'!$A:$A,F3752))</f>
        <v>And Your Bird Can Sing - Remastered 2009</v>
      </c>
      <c r="H3752" s="6" t="str">
        <f aca="false">IF(F3752=0,"NOT FOUND",INDEX('All Song Rankings'!$B:$B,F3752))</f>
        <v>The Beatles</v>
      </c>
      <c r="I3752" s="6" t="str">
        <f aca="false">IF(F3752=0,"NOT FOUND",INDEX('All Song Rankings'!$D:$D,F3752))</f>
        <v>Grace</v>
      </c>
      <c r="J3752" s="7" t="str">
        <f aca="false">IF(F3752=0,"NOT FOUND",IF(C3752=I3752,"SELF-VOTE",IF(COUNTIF($K:$K,K3752)&gt;1,"DUPLICATE","OK")))</f>
        <v>OK</v>
      </c>
      <c r="K3752" s="6" t="str">
        <f aca="false">A3752&amp;"|"&amp;B3752&amp;"|"&amp;C3752&amp;"|"&amp;D3752</f>
        <v>6|2|Leah|spotify:track:4KRgqwb4kvBuTz1utbYxfb</v>
      </c>
    </row>
    <row r="3753" customFormat="false" ht="15" hidden="false" customHeight="false" outlineLevel="0" collapsed="false">
      <c r="A3753" s="5" t="n">
        <v>6</v>
      </c>
      <c r="B3753" s="5" t="n">
        <v>2</v>
      </c>
      <c r="C3753" s="5" t="s">
        <v>119</v>
      </c>
      <c r="D3753" s="5" t="s">
        <v>1751</v>
      </c>
      <c r="E3753" s="5" t="n">
        <v>2</v>
      </c>
      <c r="F3753" s="6" t="n">
        <f aca="false">IFERROR(MATCH(A3753&amp;"|"&amp;B3753&amp;"|"&amp;D3753,'All Song Rankings'!$T:$T,0),0)</f>
        <v>572</v>
      </c>
      <c r="G3753" s="6" t="str">
        <f aca="false">IF(F3753=0,"NOT FOUND",INDEX('All Song Rankings'!$A:$A,F3753))</f>
        <v>Keep on Loving You</v>
      </c>
      <c r="H3753" s="6" t="str">
        <f aca="false">IF(F3753=0,"NOT FOUND",INDEX('All Song Rankings'!$B:$B,F3753))</f>
        <v>REO Speedwagon</v>
      </c>
      <c r="I3753" s="6" t="str">
        <f aca="false">IF(F3753=0,"NOT FOUND",INDEX('All Song Rankings'!$D:$D,F3753))</f>
        <v>Aubrey</v>
      </c>
      <c r="J3753" s="7" t="str">
        <f aca="false">IF(F3753=0,"NOT FOUND",IF(C3753=I3753,"SELF-VOTE",IF(COUNTIF($K:$K,K3753)&gt;1,"DUPLICATE","OK")))</f>
        <v>OK</v>
      </c>
      <c r="K3753" s="6" t="str">
        <f aca="false">A3753&amp;"|"&amp;B3753&amp;"|"&amp;C3753&amp;"|"&amp;D3753</f>
        <v>6|2|Leah|spotify:track:4rcHWl68ai6KvpXlc8vbnE</v>
      </c>
    </row>
    <row r="3754" customFormat="false" ht="15" hidden="false" customHeight="false" outlineLevel="0" collapsed="false">
      <c r="A3754" s="5" t="n">
        <v>6</v>
      </c>
      <c r="B3754" s="5" t="n">
        <v>2</v>
      </c>
      <c r="C3754" s="5" t="s">
        <v>119</v>
      </c>
      <c r="D3754" s="5" t="s">
        <v>1740</v>
      </c>
      <c r="E3754" s="5" t="n">
        <v>1</v>
      </c>
      <c r="F3754" s="6" t="n">
        <f aca="false">IFERROR(MATCH(A3754&amp;"|"&amp;B3754&amp;"|"&amp;D3754,'All Song Rankings'!$T:$T,0),0)</f>
        <v>568</v>
      </c>
      <c r="G3754" s="6" t="str">
        <f aca="false">IF(F3754=0,"NOT FOUND",INDEX('All Song Rankings'!$A:$A,F3754))</f>
        <v>Have You Ever Seen The Rain</v>
      </c>
      <c r="H3754" s="6" t="str">
        <f aca="false">IF(F3754=0,"NOT FOUND",INDEX('All Song Rankings'!$B:$B,F3754))</f>
        <v>Creedence Clearwater Revival</v>
      </c>
      <c r="I3754" s="6" t="str">
        <f aca="false">IF(F3754=0,"NOT FOUND",INDEX('All Song Rankings'!$D:$D,F3754))</f>
        <v>Kelsey</v>
      </c>
      <c r="J3754" s="7" t="str">
        <f aca="false">IF(F3754=0,"NOT FOUND",IF(C3754=I3754,"SELF-VOTE",IF(COUNTIF($K:$K,K3754)&gt;1,"DUPLICATE","OK")))</f>
        <v>OK</v>
      </c>
      <c r="K3754" s="6" t="str">
        <f aca="false">A3754&amp;"|"&amp;B3754&amp;"|"&amp;C3754&amp;"|"&amp;D3754</f>
        <v>6|2|Leah|spotify:track:5DnT9a5IM3eMjKgXTWVJvi</v>
      </c>
    </row>
    <row r="3755" customFormat="false" ht="15" hidden="false" customHeight="false" outlineLevel="0" collapsed="false">
      <c r="A3755" s="5" t="n">
        <v>6</v>
      </c>
      <c r="B3755" s="5" t="n">
        <v>2</v>
      </c>
      <c r="C3755" s="5" t="s">
        <v>119</v>
      </c>
      <c r="D3755" s="5" t="s">
        <v>1763</v>
      </c>
      <c r="E3755" s="5" t="n">
        <v>1</v>
      </c>
      <c r="F3755" s="6" t="n">
        <f aca="false">IFERROR(MATCH(A3755&amp;"|"&amp;B3755&amp;"|"&amp;D3755,'All Song Rankings'!$T:$T,0),0)</f>
        <v>576</v>
      </c>
      <c r="G3755" s="6" t="str">
        <f aca="false">IF(F3755=0,"NOT FOUND",INDEX('All Song Rankings'!$A:$A,F3755))</f>
        <v>Olathumbathu</v>
      </c>
      <c r="H3755" s="6" t="str">
        <f aca="false">IF(F3755=0,"NOT FOUND",INDEX('All Song Rankings'!$B:$B,F3755))</f>
        <v>S. Janaki</v>
      </c>
      <c r="I3755" s="6" t="str">
        <f aca="false">IF(F3755=0,"NOT FOUND",INDEX('All Song Rankings'!$D:$D,F3755))</f>
        <v>Merita</v>
      </c>
      <c r="J3755" s="7" t="str">
        <f aca="false">IF(F3755=0,"NOT FOUND",IF(C3755=I3755,"SELF-VOTE",IF(COUNTIF($K:$K,K3755)&gt;1,"DUPLICATE","OK")))</f>
        <v>OK</v>
      </c>
      <c r="K3755" s="6" t="str">
        <f aca="false">A3755&amp;"|"&amp;B3755&amp;"|"&amp;C3755&amp;"|"&amp;D3755</f>
        <v>6|2|Leah|spotify:track:5SkK1VGwHEnt02r5rbMTZC</v>
      </c>
    </row>
    <row r="3756" customFormat="false" ht="15" hidden="false" customHeight="false" outlineLevel="0" collapsed="false">
      <c r="A3756" s="5" t="n">
        <v>6</v>
      </c>
      <c r="B3756" s="5" t="n">
        <v>2</v>
      </c>
      <c r="C3756" s="5" t="s">
        <v>119</v>
      </c>
      <c r="D3756" s="5" t="s">
        <v>1754</v>
      </c>
      <c r="E3756" s="5" t="n">
        <v>1</v>
      </c>
      <c r="F3756" s="6" t="n">
        <f aca="false">IFERROR(MATCH(A3756&amp;"|"&amp;B3756&amp;"|"&amp;D3756,'All Song Rankings'!$T:$T,0),0)</f>
        <v>573</v>
      </c>
      <c r="G3756" s="6" t="str">
        <f aca="false">IF(F3756=0,"NOT FOUND",INDEX('All Song Rankings'!$A:$A,F3756))</f>
        <v>Snoopy Vs. The Red Baron</v>
      </c>
      <c r="H3756" s="6" t="str">
        <f aca="false">IF(F3756=0,"NOT FOUND",INDEX('All Song Rankings'!$B:$B,F3756))</f>
        <v>The Royal Guardsmen</v>
      </c>
      <c r="I3756" s="6" t="str">
        <f aca="false">IF(F3756=0,"NOT FOUND",INDEX('All Song Rankings'!$D:$D,F3756))</f>
        <v>Matt</v>
      </c>
      <c r="J3756" s="7" t="str">
        <f aca="false">IF(F3756=0,"NOT FOUND",IF(C3756=I3756,"SELF-VOTE",IF(COUNTIF($K:$K,K3756)&gt;1,"DUPLICATE","OK")))</f>
        <v>OK</v>
      </c>
      <c r="K3756" s="6" t="str">
        <f aca="false">A3756&amp;"|"&amp;B3756&amp;"|"&amp;C3756&amp;"|"&amp;D3756</f>
        <v>6|2|Leah|spotify:track:6qF3qHvzEmh7bkdBatxQuS</v>
      </c>
    </row>
    <row r="3757" customFormat="false" ht="15" hidden="false" customHeight="false" outlineLevel="0" collapsed="false">
      <c r="A3757" s="5" t="n">
        <v>6</v>
      </c>
      <c r="B3757" s="5" t="n">
        <v>2</v>
      </c>
      <c r="C3757" s="5" t="s">
        <v>119</v>
      </c>
      <c r="D3757" s="5" t="s">
        <v>1745</v>
      </c>
      <c r="E3757" s="5" t="n">
        <v>1</v>
      </c>
      <c r="F3757" s="6" t="n">
        <f aca="false">IFERROR(MATCH(A3757&amp;"|"&amp;B3757&amp;"|"&amp;D3757,'All Song Rankings'!$T:$T,0),0)</f>
        <v>570</v>
      </c>
      <c r="G3757" s="6" t="str">
        <f aca="false">IF(F3757=0,"NOT FOUND",INDEX('All Song Rankings'!$A:$A,F3757))</f>
        <v>Piano Man</v>
      </c>
      <c r="H3757" s="6" t="str">
        <f aca="false">IF(F3757=0,"NOT FOUND",INDEX('All Song Rankings'!$B:$B,F3757))</f>
        <v>Billy Joel</v>
      </c>
      <c r="I3757" s="6" t="str">
        <f aca="false">IF(F3757=0,"NOT FOUND",INDEX('All Song Rankings'!$D:$D,F3757))</f>
        <v>Kristen</v>
      </c>
      <c r="J3757" s="7" t="str">
        <f aca="false">IF(F3757=0,"NOT FOUND",IF(C3757=I3757,"SELF-VOTE",IF(COUNTIF($K:$K,K3757)&gt;1,"DUPLICATE","OK")))</f>
        <v>OK</v>
      </c>
      <c r="K3757" s="6" t="str">
        <f aca="false">A3757&amp;"|"&amp;B3757&amp;"|"&amp;C3757&amp;"|"&amp;D3757</f>
        <v>6|2|Leah|spotify:track:70C4NyhjD5OZUMzvWZ3njJ</v>
      </c>
    </row>
    <row r="3758" customFormat="false" ht="15" hidden="false" customHeight="false" outlineLevel="0" collapsed="false">
      <c r="A3758" s="5" t="n">
        <v>6</v>
      </c>
      <c r="B3758" s="5" t="n">
        <v>2</v>
      </c>
      <c r="C3758" s="5" t="s">
        <v>119</v>
      </c>
      <c r="D3758" s="5" t="s">
        <v>1734</v>
      </c>
      <c r="E3758" s="5" t="n">
        <v>1</v>
      </c>
      <c r="F3758" s="6" t="n">
        <f aca="false">IFERROR(MATCH(A3758&amp;"|"&amp;B3758&amp;"|"&amp;D3758,'All Song Rankings'!$T:$T,0),0)</f>
        <v>566</v>
      </c>
      <c r="G3758" s="6" t="str">
        <f aca="false">IF(F3758=0,"NOT FOUND",INDEX('All Song Rankings'!$A:$A,F3758))</f>
        <v>December, 1963 (Oh What a Night!)</v>
      </c>
      <c r="H3758" s="6" t="str">
        <f aca="false">IF(F3758=0,"NOT FOUND",INDEX('All Song Rankings'!$B:$B,F3758))</f>
        <v>The Four Seasons</v>
      </c>
      <c r="I3758" s="6" t="str">
        <f aca="false">IF(F3758=0,"NOT FOUND",INDEX('All Song Rankings'!$D:$D,F3758))</f>
        <v>Logan</v>
      </c>
      <c r="J3758" s="7" t="str">
        <f aca="false">IF(F3758=0,"NOT FOUND",IF(C3758=I3758,"SELF-VOTE",IF(COUNTIF($K:$K,K3758)&gt;1,"DUPLICATE","OK")))</f>
        <v>OK</v>
      </c>
      <c r="K3758" s="6" t="str">
        <f aca="false">A3758&amp;"|"&amp;B3758&amp;"|"&amp;C3758&amp;"|"&amp;D3758</f>
        <v>6|2|Leah|spotify:track:7ePFDzrnLt3Ynqgy2UFWri</v>
      </c>
    </row>
    <row r="3759" customFormat="false" ht="15" hidden="false" customHeight="false" outlineLevel="0" collapsed="false">
      <c r="A3759" s="5" t="n">
        <v>6</v>
      </c>
      <c r="B3759" s="5" t="n">
        <v>2</v>
      </c>
      <c r="C3759" s="5" t="s">
        <v>705</v>
      </c>
      <c r="D3759" s="5" t="s">
        <v>1737</v>
      </c>
      <c r="E3759" s="5" t="n">
        <v>1</v>
      </c>
      <c r="F3759" s="6" t="n">
        <f aca="false">IFERROR(MATCH(A3759&amp;"|"&amp;B3759&amp;"|"&amp;D3759,'All Song Rankings'!$T:$T,0),0)</f>
        <v>567</v>
      </c>
      <c r="G3759" s="6" t="str">
        <f aca="false">IF(F3759=0,"NOT FOUND",INDEX('All Song Rankings'!$A:$A,F3759))</f>
        <v>Build Me Up Buttercup - Mono</v>
      </c>
      <c r="H3759" s="6" t="str">
        <f aca="false">IF(F3759=0,"NOT FOUND",INDEX('All Song Rankings'!$B:$B,F3759))</f>
        <v>The Foundations</v>
      </c>
      <c r="I3759" s="6" t="str">
        <f aca="false">IF(F3759=0,"NOT FOUND",INDEX('All Song Rankings'!$D:$D,F3759))</f>
        <v>Colleen</v>
      </c>
      <c r="J3759" s="7" t="str">
        <f aca="false">IF(F3759=0,"NOT FOUND",IF(C3759=I3759,"SELF-VOTE",IF(COUNTIF($K:$K,K3759)&gt;1,"DUPLICATE","OK")))</f>
        <v>OK</v>
      </c>
      <c r="K3759" s="6" t="str">
        <f aca="false">A3759&amp;"|"&amp;B3759&amp;"|"&amp;C3759&amp;"|"&amp;D3759</f>
        <v>6|2|Lisa|spotify:track:1tfZtA15BfJHQTUy3dqTKC</v>
      </c>
    </row>
    <row r="3760" customFormat="false" ht="15" hidden="false" customHeight="false" outlineLevel="0" collapsed="false">
      <c r="A3760" s="5" t="n">
        <v>6</v>
      </c>
      <c r="B3760" s="5" t="n">
        <v>2</v>
      </c>
      <c r="C3760" s="5" t="s">
        <v>705</v>
      </c>
      <c r="D3760" s="5" t="s">
        <v>1757</v>
      </c>
      <c r="E3760" s="5" t="n">
        <v>2</v>
      </c>
      <c r="F3760" s="6" t="n">
        <f aca="false">IFERROR(MATCH(A3760&amp;"|"&amp;B3760&amp;"|"&amp;D3760,'All Song Rankings'!$T:$T,0),0)</f>
        <v>574</v>
      </c>
      <c r="G3760" s="6" t="str">
        <f aca="false">IF(F3760=0,"NOT FOUND",INDEX('All Song Rankings'!$A:$A,F3760))</f>
        <v>The Logical Song</v>
      </c>
      <c r="H3760" s="6" t="str">
        <f aca="false">IF(F3760=0,"NOT FOUND",INDEX('All Song Rankings'!$B:$B,F3760))</f>
        <v>Supertramp</v>
      </c>
      <c r="I3760" s="6" t="str">
        <f aca="false">IF(F3760=0,"NOT FOUND",INDEX('All Song Rankings'!$D:$D,F3760))</f>
        <v>Leah</v>
      </c>
      <c r="J3760" s="7" t="str">
        <f aca="false">IF(F3760=0,"NOT FOUND",IF(C3760=I3760,"SELF-VOTE",IF(COUNTIF($K:$K,K3760)&gt;1,"DUPLICATE","OK")))</f>
        <v>OK</v>
      </c>
      <c r="K3760" s="6" t="str">
        <f aca="false">A3760&amp;"|"&amp;B3760&amp;"|"&amp;C3760&amp;"|"&amp;D3760</f>
        <v>6|2|Lisa|spotify:track:2IOeOJyiuzwF8BRAK9jJyj</v>
      </c>
    </row>
    <row r="3761" customFormat="false" ht="15" hidden="false" customHeight="false" outlineLevel="0" collapsed="false">
      <c r="A3761" s="5" t="n">
        <v>6</v>
      </c>
      <c r="B3761" s="5" t="n">
        <v>2</v>
      </c>
      <c r="C3761" s="5" t="s">
        <v>705</v>
      </c>
      <c r="D3761" s="5" t="s">
        <v>1770</v>
      </c>
      <c r="E3761" s="5" t="n">
        <v>2</v>
      </c>
      <c r="F3761" s="6" t="n">
        <f aca="false">IFERROR(MATCH(A3761&amp;"|"&amp;B3761&amp;"|"&amp;D3761,'All Song Rankings'!$T:$T,0),0)</f>
        <v>579</v>
      </c>
      <c r="G3761" s="6" t="str">
        <f aca="false">IF(F3761=0,"NOT FOUND",INDEX('All Song Rankings'!$A:$A,F3761))</f>
        <v>Lucky Star</v>
      </c>
      <c r="H3761" s="6" t="str">
        <f aca="false">IF(F3761=0,"NOT FOUND",INDEX('All Song Rankings'!$B:$B,F3761))</f>
        <v>Madonna</v>
      </c>
      <c r="I3761" s="6" t="str">
        <f aca="false">IF(F3761=0,"NOT FOUND",INDEX('All Song Rankings'!$D:$D,F3761))</f>
        <v>Nicole</v>
      </c>
      <c r="J3761" s="7" t="str">
        <f aca="false">IF(F3761=0,"NOT FOUND",IF(C3761=I3761,"SELF-VOTE",IF(COUNTIF($K:$K,K3761)&gt;1,"DUPLICATE","OK")))</f>
        <v>OK</v>
      </c>
      <c r="K3761" s="6" t="str">
        <f aca="false">A3761&amp;"|"&amp;B3761&amp;"|"&amp;C3761&amp;"|"&amp;D3761</f>
        <v>6|2|Lisa|spotify:track:2hWI9GNr3kBrxZ7Mphho4Q</v>
      </c>
    </row>
    <row r="3762" customFormat="false" ht="15" hidden="false" customHeight="false" outlineLevel="0" collapsed="false">
      <c r="A3762" s="5" t="n">
        <v>6</v>
      </c>
      <c r="B3762" s="5" t="n">
        <v>2</v>
      </c>
      <c r="C3762" s="5" t="s">
        <v>705</v>
      </c>
      <c r="D3762" s="5" t="s">
        <v>1760</v>
      </c>
      <c r="E3762" s="5" t="n">
        <v>1</v>
      </c>
      <c r="F3762" s="6" t="n">
        <f aca="false">IFERROR(MATCH(A3762&amp;"|"&amp;B3762&amp;"|"&amp;D3762,'All Song Rankings'!$T:$T,0),0)</f>
        <v>575</v>
      </c>
      <c r="G3762" s="6" t="str">
        <f aca="false">IF(F3762=0,"NOT FOUND",INDEX('All Song Rankings'!$A:$A,F3762))</f>
        <v>Baby, Baby</v>
      </c>
      <c r="H3762" s="6" t="str">
        <f aca="false">IF(F3762=0,"NOT FOUND",INDEX('All Song Rankings'!$B:$B,F3762))</f>
        <v>Amy Grant</v>
      </c>
      <c r="I3762" s="6" t="str">
        <f aca="false">IF(F3762=0,"NOT FOUND",INDEX('All Song Rankings'!$D:$D,F3762))</f>
        <v>Stephanie</v>
      </c>
      <c r="J3762" s="7" t="str">
        <f aca="false">IF(F3762=0,"NOT FOUND",IF(C3762=I3762,"SELF-VOTE",IF(COUNTIF($K:$K,K3762)&gt;1,"DUPLICATE","OK")))</f>
        <v>OK</v>
      </c>
      <c r="K3762" s="6" t="str">
        <f aca="false">A3762&amp;"|"&amp;B3762&amp;"|"&amp;C3762&amp;"|"&amp;D3762</f>
        <v>6|2|Lisa|spotify:track:3IDsegNBHC4pjGCOMTQYlU</v>
      </c>
    </row>
    <row r="3763" customFormat="false" ht="15" hidden="false" customHeight="false" outlineLevel="0" collapsed="false">
      <c r="A3763" s="5" t="n">
        <v>6</v>
      </c>
      <c r="B3763" s="5" t="n">
        <v>2</v>
      </c>
      <c r="C3763" s="5" t="s">
        <v>705</v>
      </c>
      <c r="D3763" s="5" t="s">
        <v>1740</v>
      </c>
      <c r="E3763" s="5" t="n">
        <v>1</v>
      </c>
      <c r="F3763" s="6" t="n">
        <f aca="false">IFERROR(MATCH(A3763&amp;"|"&amp;B3763&amp;"|"&amp;D3763,'All Song Rankings'!$T:$T,0),0)</f>
        <v>568</v>
      </c>
      <c r="G3763" s="6" t="str">
        <f aca="false">IF(F3763=0,"NOT FOUND",INDEX('All Song Rankings'!$A:$A,F3763))</f>
        <v>Have You Ever Seen The Rain</v>
      </c>
      <c r="H3763" s="6" t="str">
        <f aca="false">IF(F3763=0,"NOT FOUND",INDEX('All Song Rankings'!$B:$B,F3763))</f>
        <v>Creedence Clearwater Revival</v>
      </c>
      <c r="I3763" s="6" t="str">
        <f aca="false">IF(F3763=0,"NOT FOUND",INDEX('All Song Rankings'!$D:$D,F3763))</f>
        <v>Kelsey</v>
      </c>
      <c r="J3763" s="7" t="str">
        <f aca="false">IF(F3763=0,"NOT FOUND",IF(C3763=I3763,"SELF-VOTE",IF(COUNTIF($K:$K,K3763)&gt;1,"DUPLICATE","OK")))</f>
        <v>OK</v>
      </c>
      <c r="K3763" s="6" t="str">
        <f aca="false">A3763&amp;"|"&amp;B3763&amp;"|"&amp;C3763&amp;"|"&amp;D3763</f>
        <v>6|2|Lisa|spotify:track:5DnT9a5IM3eMjKgXTWVJvi</v>
      </c>
    </row>
    <row r="3764" customFormat="false" ht="15" hidden="false" customHeight="false" outlineLevel="0" collapsed="false">
      <c r="A3764" s="5" t="n">
        <v>6</v>
      </c>
      <c r="B3764" s="5" t="n">
        <v>2</v>
      </c>
      <c r="C3764" s="5" t="s">
        <v>705</v>
      </c>
      <c r="D3764" s="5" t="s">
        <v>1763</v>
      </c>
      <c r="E3764" s="5" t="n">
        <v>1</v>
      </c>
      <c r="F3764" s="6" t="n">
        <f aca="false">IFERROR(MATCH(A3764&amp;"|"&amp;B3764&amp;"|"&amp;D3764,'All Song Rankings'!$T:$T,0),0)</f>
        <v>576</v>
      </c>
      <c r="G3764" s="6" t="str">
        <f aca="false">IF(F3764=0,"NOT FOUND",INDEX('All Song Rankings'!$A:$A,F3764))</f>
        <v>Olathumbathu</v>
      </c>
      <c r="H3764" s="6" t="str">
        <f aca="false">IF(F3764=0,"NOT FOUND",INDEX('All Song Rankings'!$B:$B,F3764))</f>
        <v>S. Janaki</v>
      </c>
      <c r="I3764" s="6" t="str">
        <f aca="false">IF(F3764=0,"NOT FOUND",INDEX('All Song Rankings'!$D:$D,F3764))</f>
        <v>Merita</v>
      </c>
      <c r="J3764" s="7" t="str">
        <f aca="false">IF(F3764=0,"NOT FOUND",IF(C3764=I3764,"SELF-VOTE",IF(COUNTIF($K:$K,K3764)&gt;1,"DUPLICATE","OK")))</f>
        <v>OK</v>
      </c>
      <c r="K3764" s="6" t="str">
        <f aca="false">A3764&amp;"|"&amp;B3764&amp;"|"&amp;C3764&amp;"|"&amp;D3764</f>
        <v>6|2|Lisa|spotify:track:5SkK1VGwHEnt02r5rbMTZC</v>
      </c>
    </row>
    <row r="3765" customFormat="false" ht="15" hidden="false" customHeight="false" outlineLevel="0" collapsed="false">
      <c r="A3765" s="5" t="n">
        <v>6</v>
      </c>
      <c r="B3765" s="5" t="n">
        <v>2</v>
      </c>
      <c r="C3765" s="5" t="s">
        <v>705</v>
      </c>
      <c r="D3765" s="5" t="s">
        <v>1734</v>
      </c>
      <c r="E3765" s="5" t="n">
        <v>2</v>
      </c>
      <c r="F3765" s="6" t="n">
        <f aca="false">IFERROR(MATCH(A3765&amp;"|"&amp;B3765&amp;"|"&amp;D3765,'All Song Rankings'!$T:$T,0),0)</f>
        <v>566</v>
      </c>
      <c r="G3765" s="6" t="str">
        <f aca="false">IF(F3765=0,"NOT FOUND",INDEX('All Song Rankings'!$A:$A,F3765))</f>
        <v>December, 1963 (Oh What a Night!)</v>
      </c>
      <c r="H3765" s="6" t="str">
        <f aca="false">IF(F3765=0,"NOT FOUND",INDEX('All Song Rankings'!$B:$B,F3765))</f>
        <v>The Four Seasons</v>
      </c>
      <c r="I3765" s="6" t="str">
        <f aca="false">IF(F3765=0,"NOT FOUND",INDEX('All Song Rankings'!$D:$D,F3765))</f>
        <v>Logan</v>
      </c>
      <c r="J3765" s="7" t="str">
        <f aca="false">IF(F3765=0,"NOT FOUND",IF(C3765=I3765,"SELF-VOTE",IF(COUNTIF($K:$K,K3765)&gt;1,"DUPLICATE","OK")))</f>
        <v>OK</v>
      </c>
      <c r="K3765" s="6" t="str">
        <f aca="false">A3765&amp;"|"&amp;B3765&amp;"|"&amp;C3765&amp;"|"&amp;D3765</f>
        <v>6|2|Lisa|spotify:track:7ePFDzrnLt3Ynqgy2UFWri</v>
      </c>
    </row>
    <row r="3766" customFormat="false" ht="15" hidden="false" customHeight="false" outlineLevel="0" collapsed="false">
      <c r="A3766" s="5" t="n">
        <v>6</v>
      </c>
      <c r="B3766" s="5" t="n">
        <v>2</v>
      </c>
      <c r="C3766" s="5" t="s">
        <v>128</v>
      </c>
      <c r="D3766" s="5" t="s">
        <v>1737</v>
      </c>
      <c r="E3766" s="5" t="n">
        <v>1</v>
      </c>
      <c r="F3766" s="6" t="n">
        <f aca="false">IFERROR(MATCH(A3766&amp;"|"&amp;B3766&amp;"|"&amp;D3766,'All Song Rankings'!$T:$T,0),0)</f>
        <v>567</v>
      </c>
      <c r="G3766" s="6" t="str">
        <f aca="false">IF(F3766=0,"NOT FOUND",INDEX('All Song Rankings'!$A:$A,F3766))</f>
        <v>Build Me Up Buttercup - Mono</v>
      </c>
      <c r="H3766" s="6" t="str">
        <f aca="false">IF(F3766=0,"NOT FOUND",INDEX('All Song Rankings'!$B:$B,F3766))</f>
        <v>The Foundations</v>
      </c>
      <c r="I3766" s="6" t="str">
        <f aca="false">IF(F3766=0,"NOT FOUND",INDEX('All Song Rankings'!$D:$D,F3766))</f>
        <v>Colleen</v>
      </c>
      <c r="J3766" s="7" t="str">
        <f aca="false">IF(F3766=0,"NOT FOUND",IF(C3766=I3766,"SELF-VOTE",IF(COUNTIF($K:$K,K3766)&gt;1,"DUPLICATE","OK")))</f>
        <v>OK</v>
      </c>
      <c r="K3766" s="6" t="str">
        <f aca="false">A3766&amp;"|"&amp;B3766&amp;"|"&amp;C3766&amp;"|"&amp;D3766</f>
        <v>6|2|Logan|spotify:track:1tfZtA15BfJHQTUy3dqTKC</v>
      </c>
    </row>
    <row r="3767" customFormat="false" ht="15" hidden="false" customHeight="false" outlineLevel="0" collapsed="false">
      <c r="A3767" s="5" t="n">
        <v>6</v>
      </c>
      <c r="B3767" s="5" t="n">
        <v>2</v>
      </c>
      <c r="C3767" s="5" t="s">
        <v>128</v>
      </c>
      <c r="D3767" s="5" t="s">
        <v>1743</v>
      </c>
      <c r="E3767" s="5" t="n">
        <v>1</v>
      </c>
      <c r="F3767" s="6" t="n">
        <f aca="false">IFERROR(MATCH(A3767&amp;"|"&amp;B3767&amp;"|"&amp;D3767,'All Song Rankings'!$T:$T,0),0)</f>
        <v>569</v>
      </c>
      <c r="G3767" s="6" t="str">
        <f aca="false">IF(F3767=0,"NOT FOUND",INDEX('All Song Rankings'!$A:$A,F3767))</f>
        <v>What A Wonderful World</v>
      </c>
      <c r="H3767" s="6" t="str">
        <f aca="false">IF(F3767=0,"NOT FOUND",INDEX('All Song Rankings'!$B:$B,F3767))</f>
        <v>Louis Armstrong</v>
      </c>
      <c r="I3767" s="6" t="str">
        <f aca="false">IF(F3767=0,"NOT FOUND",INDEX('All Song Rankings'!$D:$D,F3767))</f>
        <v>Lisa</v>
      </c>
      <c r="J3767" s="7" t="str">
        <f aca="false">IF(F3767=0,"NOT FOUND",IF(C3767=I3767,"SELF-VOTE",IF(COUNTIF($K:$K,K3767)&gt;1,"DUPLICATE","OK")))</f>
        <v>OK</v>
      </c>
      <c r="K3767" s="6" t="str">
        <f aca="false">A3767&amp;"|"&amp;B3767&amp;"|"&amp;C3767&amp;"|"&amp;D3767</f>
        <v>6|2|Logan|spotify:track:29U7stRjqHU6rMiS8BfaI9</v>
      </c>
    </row>
    <row r="3768" customFormat="false" ht="15" hidden="false" customHeight="false" outlineLevel="0" collapsed="false">
      <c r="A3768" s="5" t="n">
        <v>6</v>
      </c>
      <c r="B3768" s="5" t="n">
        <v>2</v>
      </c>
      <c r="C3768" s="5" t="s">
        <v>128</v>
      </c>
      <c r="D3768" s="5" t="s">
        <v>1768</v>
      </c>
      <c r="E3768" s="5" t="n">
        <v>1</v>
      </c>
      <c r="F3768" s="6" t="n">
        <f aca="false">IFERROR(MATCH(A3768&amp;"|"&amp;B3768&amp;"|"&amp;D3768,'All Song Rankings'!$T:$T,0),0)</f>
        <v>578</v>
      </c>
      <c r="G3768" s="6" t="str">
        <f aca="false">IF(F3768=0,"NOT FOUND",INDEX('All Song Rankings'!$A:$A,F3768))</f>
        <v>A Little Bit Country-A Little Bit Rock 'N Roll</v>
      </c>
      <c r="H3768" s="6" t="str">
        <f aca="false">IF(F3768=0,"NOT FOUND",INDEX('All Song Rankings'!$B:$B,F3768))</f>
        <v>Donny &amp; Marie Osmond</v>
      </c>
      <c r="I3768" s="6" t="str">
        <f aca="false">IF(F3768=0,"NOT FOUND",INDEX('All Song Rankings'!$D:$D,F3768))</f>
        <v>Christine</v>
      </c>
      <c r="J3768" s="7" t="str">
        <f aca="false">IF(F3768=0,"NOT FOUND",IF(C3768=I3768,"SELF-VOTE",IF(COUNTIF($K:$K,K3768)&gt;1,"DUPLICATE","OK")))</f>
        <v>OK</v>
      </c>
      <c r="K3768" s="6" t="str">
        <f aca="false">A3768&amp;"|"&amp;B3768&amp;"|"&amp;C3768&amp;"|"&amp;D3768</f>
        <v>6|2|Logan|spotify:track:2BFzx5rPRiNCfuWfQulO92</v>
      </c>
    </row>
    <row r="3769" customFormat="false" ht="15" hidden="false" customHeight="false" outlineLevel="0" collapsed="false">
      <c r="A3769" s="5" t="n">
        <v>6</v>
      </c>
      <c r="B3769" s="5" t="n">
        <v>2</v>
      </c>
      <c r="C3769" s="5" t="s">
        <v>128</v>
      </c>
      <c r="D3769" s="5" t="s">
        <v>1770</v>
      </c>
      <c r="E3769" s="5" t="n">
        <v>1</v>
      </c>
      <c r="F3769" s="6" t="n">
        <f aca="false">IFERROR(MATCH(A3769&amp;"|"&amp;B3769&amp;"|"&amp;D3769,'All Song Rankings'!$T:$T,0),0)</f>
        <v>579</v>
      </c>
      <c r="G3769" s="6" t="str">
        <f aca="false">IF(F3769=0,"NOT FOUND",INDEX('All Song Rankings'!$A:$A,F3769))</f>
        <v>Lucky Star</v>
      </c>
      <c r="H3769" s="6" t="str">
        <f aca="false">IF(F3769=0,"NOT FOUND",INDEX('All Song Rankings'!$B:$B,F3769))</f>
        <v>Madonna</v>
      </c>
      <c r="I3769" s="6" t="str">
        <f aca="false">IF(F3769=0,"NOT FOUND",INDEX('All Song Rankings'!$D:$D,F3769))</f>
        <v>Nicole</v>
      </c>
      <c r="J3769" s="7" t="str">
        <f aca="false">IF(F3769=0,"NOT FOUND",IF(C3769=I3769,"SELF-VOTE",IF(COUNTIF($K:$K,K3769)&gt;1,"DUPLICATE","OK")))</f>
        <v>OK</v>
      </c>
      <c r="K3769" s="6" t="str">
        <f aca="false">A3769&amp;"|"&amp;B3769&amp;"|"&amp;C3769&amp;"|"&amp;D3769</f>
        <v>6|2|Logan|spotify:track:2hWI9GNr3kBrxZ7Mphho4Q</v>
      </c>
    </row>
    <row r="3770" customFormat="false" ht="15" hidden="false" customHeight="false" outlineLevel="0" collapsed="false">
      <c r="A3770" s="5" t="n">
        <v>6</v>
      </c>
      <c r="B3770" s="5" t="n">
        <v>2</v>
      </c>
      <c r="C3770" s="5" t="s">
        <v>128</v>
      </c>
      <c r="D3770" s="5" t="s">
        <v>1760</v>
      </c>
      <c r="E3770" s="5" t="n">
        <v>1</v>
      </c>
      <c r="F3770" s="6" t="n">
        <f aca="false">IFERROR(MATCH(A3770&amp;"|"&amp;B3770&amp;"|"&amp;D3770,'All Song Rankings'!$T:$T,0),0)</f>
        <v>575</v>
      </c>
      <c r="G3770" s="6" t="str">
        <f aca="false">IF(F3770=0,"NOT FOUND",INDEX('All Song Rankings'!$A:$A,F3770))</f>
        <v>Baby, Baby</v>
      </c>
      <c r="H3770" s="6" t="str">
        <f aca="false">IF(F3770=0,"NOT FOUND",INDEX('All Song Rankings'!$B:$B,F3770))</f>
        <v>Amy Grant</v>
      </c>
      <c r="I3770" s="6" t="str">
        <f aca="false">IF(F3770=0,"NOT FOUND",INDEX('All Song Rankings'!$D:$D,F3770))</f>
        <v>Stephanie</v>
      </c>
      <c r="J3770" s="7" t="str">
        <f aca="false">IF(F3770=0,"NOT FOUND",IF(C3770=I3770,"SELF-VOTE",IF(COUNTIF($K:$K,K3770)&gt;1,"DUPLICATE","OK")))</f>
        <v>OK</v>
      </c>
      <c r="K3770" s="6" t="str">
        <f aca="false">A3770&amp;"|"&amp;B3770&amp;"|"&amp;C3770&amp;"|"&amp;D3770</f>
        <v>6|2|Logan|spotify:track:3IDsegNBHC4pjGCOMTQYlU</v>
      </c>
    </row>
    <row r="3771" customFormat="false" ht="15" hidden="false" customHeight="false" outlineLevel="0" collapsed="false">
      <c r="A3771" s="5" t="n">
        <v>6</v>
      </c>
      <c r="B3771" s="5" t="n">
        <v>2</v>
      </c>
      <c r="C3771" s="5" t="s">
        <v>128</v>
      </c>
      <c r="D3771" s="5" t="s">
        <v>1751</v>
      </c>
      <c r="E3771" s="5" t="n">
        <v>1</v>
      </c>
      <c r="F3771" s="6" t="n">
        <f aca="false">IFERROR(MATCH(A3771&amp;"|"&amp;B3771&amp;"|"&amp;D3771,'All Song Rankings'!$T:$T,0),0)</f>
        <v>572</v>
      </c>
      <c r="G3771" s="6" t="str">
        <f aca="false">IF(F3771=0,"NOT FOUND",INDEX('All Song Rankings'!$A:$A,F3771))</f>
        <v>Keep on Loving You</v>
      </c>
      <c r="H3771" s="6" t="str">
        <f aca="false">IF(F3771=0,"NOT FOUND",INDEX('All Song Rankings'!$B:$B,F3771))</f>
        <v>REO Speedwagon</v>
      </c>
      <c r="I3771" s="6" t="str">
        <f aca="false">IF(F3771=0,"NOT FOUND",INDEX('All Song Rankings'!$D:$D,F3771))</f>
        <v>Aubrey</v>
      </c>
      <c r="J3771" s="7" t="str">
        <f aca="false">IF(F3771=0,"NOT FOUND",IF(C3771=I3771,"SELF-VOTE",IF(COUNTIF($K:$K,K3771)&gt;1,"DUPLICATE","OK")))</f>
        <v>OK</v>
      </c>
      <c r="K3771" s="6" t="str">
        <f aca="false">A3771&amp;"|"&amp;B3771&amp;"|"&amp;C3771&amp;"|"&amp;D3771</f>
        <v>6|2|Logan|spotify:track:4rcHWl68ai6KvpXlc8vbnE</v>
      </c>
    </row>
    <row r="3772" customFormat="false" ht="15" hidden="false" customHeight="false" outlineLevel="0" collapsed="false">
      <c r="A3772" s="5" t="n">
        <v>6</v>
      </c>
      <c r="B3772" s="5" t="n">
        <v>2</v>
      </c>
      <c r="C3772" s="5" t="s">
        <v>128</v>
      </c>
      <c r="D3772" s="5" t="s">
        <v>1763</v>
      </c>
      <c r="E3772" s="5" t="n">
        <v>1</v>
      </c>
      <c r="F3772" s="6" t="n">
        <f aca="false">IFERROR(MATCH(A3772&amp;"|"&amp;B3772&amp;"|"&amp;D3772,'All Song Rankings'!$T:$T,0),0)</f>
        <v>576</v>
      </c>
      <c r="G3772" s="6" t="str">
        <f aca="false">IF(F3772=0,"NOT FOUND",INDEX('All Song Rankings'!$A:$A,F3772))</f>
        <v>Olathumbathu</v>
      </c>
      <c r="H3772" s="6" t="str">
        <f aca="false">IF(F3772=0,"NOT FOUND",INDEX('All Song Rankings'!$B:$B,F3772))</f>
        <v>S. Janaki</v>
      </c>
      <c r="I3772" s="6" t="str">
        <f aca="false">IF(F3772=0,"NOT FOUND",INDEX('All Song Rankings'!$D:$D,F3772))</f>
        <v>Merita</v>
      </c>
      <c r="J3772" s="7" t="str">
        <f aca="false">IF(F3772=0,"NOT FOUND",IF(C3772=I3772,"SELF-VOTE",IF(COUNTIF($K:$K,K3772)&gt;1,"DUPLICATE","OK")))</f>
        <v>OK</v>
      </c>
      <c r="K3772" s="6" t="str">
        <f aca="false">A3772&amp;"|"&amp;B3772&amp;"|"&amp;C3772&amp;"|"&amp;D3772</f>
        <v>6|2|Logan|spotify:track:5SkK1VGwHEnt02r5rbMTZC</v>
      </c>
    </row>
    <row r="3773" customFormat="false" ht="15" hidden="false" customHeight="false" outlineLevel="0" collapsed="false">
      <c r="A3773" s="5" t="n">
        <v>6</v>
      </c>
      <c r="B3773" s="5" t="n">
        <v>2</v>
      </c>
      <c r="C3773" s="5" t="s">
        <v>128</v>
      </c>
      <c r="D3773" s="5" t="s">
        <v>1754</v>
      </c>
      <c r="E3773" s="5" t="n">
        <v>2</v>
      </c>
      <c r="F3773" s="6" t="n">
        <f aca="false">IFERROR(MATCH(A3773&amp;"|"&amp;B3773&amp;"|"&amp;D3773,'All Song Rankings'!$T:$T,0),0)</f>
        <v>573</v>
      </c>
      <c r="G3773" s="6" t="str">
        <f aca="false">IF(F3773=0,"NOT FOUND",INDEX('All Song Rankings'!$A:$A,F3773))</f>
        <v>Snoopy Vs. The Red Baron</v>
      </c>
      <c r="H3773" s="6" t="str">
        <f aca="false">IF(F3773=0,"NOT FOUND",INDEX('All Song Rankings'!$B:$B,F3773))</f>
        <v>The Royal Guardsmen</v>
      </c>
      <c r="I3773" s="6" t="str">
        <f aca="false">IF(F3773=0,"NOT FOUND",INDEX('All Song Rankings'!$D:$D,F3773))</f>
        <v>Matt</v>
      </c>
      <c r="J3773" s="7" t="str">
        <f aca="false">IF(F3773=0,"NOT FOUND",IF(C3773=I3773,"SELF-VOTE",IF(COUNTIF($K:$K,K3773)&gt;1,"DUPLICATE","OK")))</f>
        <v>OK</v>
      </c>
      <c r="K3773" s="6" t="str">
        <f aca="false">A3773&amp;"|"&amp;B3773&amp;"|"&amp;C3773&amp;"|"&amp;D3773</f>
        <v>6|2|Logan|spotify:track:6qF3qHvzEmh7bkdBatxQuS</v>
      </c>
    </row>
    <row r="3774" customFormat="false" ht="15" hidden="false" customHeight="false" outlineLevel="0" collapsed="false">
      <c r="A3774" s="5" t="n">
        <v>6</v>
      </c>
      <c r="B3774" s="5" t="n">
        <v>2</v>
      </c>
      <c r="C3774" s="5" t="s">
        <v>128</v>
      </c>
      <c r="D3774" s="5" t="s">
        <v>1745</v>
      </c>
      <c r="E3774" s="5" t="n">
        <v>1</v>
      </c>
      <c r="F3774" s="6" t="n">
        <f aca="false">IFERROR(MATCH(A3774&amp;"|"&amp;B3774&amp;"|"&amp;D3774,'All Song Rankings'!$T:$T,0),0)</f>
        <v>570</v>
      </c>
      <c r="G3774" s="6" t="str">
        <f aca="false">IF(F3774=0,"NOT FOUND",INDEX('All Song Rankings'!$A:$A,F3774))</f>
        <v>Piano Man</v>
      </c>
      <c r="H3774" s="6" t="str">
        <f aca="false">IF(F3774=0,"NOT FOUND",INDEX('All Song Rankings'!$B:$B,F3774))</f>
        <v>Billy Joel</v>
      </c>
      <c r="I3774" s="6" t="str">
        <f aca="false">IF(F3774=0,"NOT FOUND",INDEX('All Song Rankings'!$D:$D,F3774))</f>
        <v>Kristen</v>
      </c>
      <c r="J3774" s="7" t="str">
        <f aca="false">IF(F3774=0,"NOT FOUND",IF(C3774=I3774,"SELF-VOTE",IF(COUNTIF($K:$K,K3774)&gt;1,"DUPLICATE","OK")))</f>
        <v>OK</v>
      </c>
      <c r="K3774" s="6" t="str">
        <f aca="false">A3774&amp;"|"&amp;B3774&amp;"|"&amp;C3774&amp;"|"&amp;D3774</f>
        <v>6|2|Logan|spotify:track:70C4NyhjD5OZUMzvWZ3njJ</v>
      </c>
    </row>
    <row r="3775" customFormat="false" ht="15" hidden="false" customHeight="false" outlineLevel="0" collapsed="false">
      <c r="A3775" s="5" t="n">
        <v>6</v>
      </c>
      <c r="B3775" s="5" t="n">
        <v>2</v>
      </c>
      <c r="C3775" s="5" t="s">
        <v>395</v>
      </c>
      <c r="D3775" s="5" t="s">
        <v>1737</v>
      </c>
      <c r="E3775" s="5" t="n">
        <v>2</v>
      </c>
      <c r="F3775" s="6" t="n">
        <f aca="false">IFERROR(MATCH(A3775&amp;"|"&amp;B3775&amp;"|"&amp;D3775,'All Song Rankings'!$T:$T,0),0)</f>
        <v>567</v>
      </c>
      <c r="G3775" s="6" t="str">
        <f aca="false">IF(F3775=0,"NOT FOUND",INDEX('All Song Rankings'!$A:$A,F3775))</f>
        <v>Build Me Up Buttercup - Mono</v>
      </c>
      <c r="H3775" s="6" t="str">
        <f aca="false">IF(F3775=0,"NOT FOUND",INDEX('All Song Rankings'!$B:$B,F3775))</f>
        <v>The Foundations</v>
      </c>
      <c r="I3775" s="6" t="str">
        <f aca="false">IF(F3775=0,"NOT FOUND",INDEX('All Song Rankings'!$D:$D,F3775))</f>
        <v>Colleen</v>
      </c>
      <c r="J3775" s="7" t="str">
        <f aca="false">IF(F3775=0,"NOT FOUND",IF(C3775=I3775,"SELF-VOTE",IF(COUNTIF($K:$K,K3775)&gt;1,"DUPLICATE","OK")))</f>
        <v>OK</v>
      </c>
      <c r="K3775" s="6" t="str">
        <f aca="false">A3775&amp;"|"&amp;B3775&amp;"|"&amp;C3775&amp;"|"&amp;D3775</f>
        <v>6|2|Makenzie|spotify:track:1tfZtA15BfJHQTUy3dqTKC</v>
      </c>
    </row>
    <row r="3776" customFormat="false" ht="15" hidden="false" customHeight="false" outlineLevel="0" collapsed="false">
      <c r="A3776" s="5" t="n">
        <v>6</v>
      </c>
      <c r="B3776" s="5" t="n">
        <v>2</v>
      </c>
      <c r="C3776" s="5" t="s">
        <v>395</v>
      </c>
      <c r="D3776" s="5" t="s">
        <v>1743</v>
      </c>
      <c r="E3776" s="5" t="n">
        <v>2</v>
      </c>
      <c r="F3776" s="6" t="n">
        <f aca="false">IFERROR(MATCH(A3776&amp;"|"&amp;B3776&amp;"|"&amp;D3776,'All Song Rankings'!$T:$T,0),0)</f>
        <v>569</v>
      </c>
      <c r="G3776" s="6" t="str">
        <f aca="false">IF(F3776=0,"NOT FOUND",INDEX('All Song Rankings'!$A:$A,F3776))</f>
        <v>What A Wonderful World</v>
      </c>
      <c r="H3776" s="6" t="str">
        <f aca="false">IF(F3776=0,"NOT FOUND",INDEX('All Song Rankings'!$B:$B,F3776))</f>
        <v>Louis Armstrong</v>
      </c>
      <c r="I3776" s="6" t="str">
        <f aca="false">IF(F3776=0,"NOT FOUND",INDEX('All Song Rankings'!$D:$D,F3776))</f>
        <v>Lisa</v>
      </c>
      <c r="J3776" s="7" t="str">
        <f aca="false">IF(F3776=0,"NOT FOUND",IF(C3776=I3776,"SELF-VOTE",IF(COUNTIF($K:$K,K3776)&gt;1,"DUPLICATE","OK")))</f>
        <v>OK</v>
      </c>
      <c r="K3776" s="6" t="str">
        <f aca="false">A3776&amp;"|"&amp;B3776&amp;"|"&amp;C3776&amp;"|"&amp;D3776</f>
        <v>6|2|Makenzie|spotify:track:29U7stRjqHU6rMiS8BfaI9</v>
      </c>
    </row>
    <row r="3777" customFormat="false" ht="15" hidden="false" customHeight="false" outlineLevel="0" collapsed="false">
      <c r="A3777" s="5" t="n">
        <v>6</v>
      </c>
      <c r="B3777" s="5" t="n">
        <v>2</v>
      </c>
      <c r="C3777" s="5" t="s">
        <v>395</v>
      </c>
      <c r="D3777" s="5" t="s">
        <v>1740</v>
      </c>
      <c r="E3777" s="5" t="n">
        <v>1</v>
      </c>
      <c r="F3777" s="6" t="n">
        <f aca="false">IFERROR(MATCH(A3777&amp;"|"&amp;B3777&amp;"|"&amp;D3777,'All Song Rankings'!$T:$T,0),0)</f>
        <v>568</v>
      </c>
      <c r="G3777" s="6" t="str">
        <f aca="false">IF(F3777=0,"NOT FOUND",INDEX('All Song Rankings'!$A:$A,F3777))</f>
        <v>Have You Ever Seen The Rain</v>
      </c>
      <c r="H3777" s="6" t="str">
        <f aca="false">IF(F3777=0,"NOT FOUND",INDEX('All Song Rankings'!$B:$B,F3777))</f>
        <v>Creedence Clearwater Revival</v>
      </c>
      <c r="I3777" s="6" t="str">
        <f aca="false">IF(F3777=0,"NOT FOUND",INDEX('All Song Rankings'!$D:$D,F3777))</f>
        <v>Kelsey</v>
      </c>
      <c r="J3777" s="7" t="str">
        <f aca="false">IF(F3777=0,"NOT FOUND",IF(C3777=I3777,"SELF-VOTE",IF(COUNTIF($K:$K,K3777)&gt;1,"DUPLICATE","OK")))</f>
        <v>OK</v>
      </c>
      <c r="K3777" s="6" t="str">
        <f aca="false">A3777&amp;"|"&amp;B3777&amp;"|"&amp;C3777&amp;"|"&amp;D3777</f>
        <v>6|2|Makenzie|spotify:track:5DnT9a5IM3eMjKgXTWVJvi</v>
      </c>
    </row>
    <row r="3778" customFormat="false" ht="15" hidden="false" customHeight="false" outlineLevel="0" collapsed="false">
      <c r="A3778" s="5" t="n">
        <v>6</v>
      </c>
      <c r="B3778" s="5" t="n">
        <v>2</v>
      </c>
      <c r="C3778" s="5" t="s">
        <v>395</v>
      </c>
      <c r="D3778" s="5" t="s">
        <v>1754</v>
      </c>
      <c r="E3778" s="5" t="n">
        <v>2</v>
      </c>
      <c r="F3778" s="6" t="n">
        <f aca="false">IFERROR(MATCH(A3778&amp;"|"&amp;B3778&amp;"|"&amp;D3778,'All Song Rankings'!$T:$T,0),0)</f>
        <v>573</v>
      </c>
      <c r="G3778" s="6" t="str">
        <f aca="false">IF(F3778=0,"NOT FOUND",INDEX('All Song Rankings'!$A:$A,F3778))</f>
        <v>Snoopy Vs. The Red Baron</v>
      </c>
      <c r="H3778" s="6" t="str">
        <f aca="false">IF(F3778=0,"NOT FOUND",INDEX('All Song Rankings'!$B:$B,F3778))</f>
        <v>The Royal Guardsmen</v>
      </c>
      <c r="I3778" s="6" t="str">
        <f aca="false">IF(F3778=0,"NOT FOUND",INDEX('All Song Rankings'!$D:$D,F3778))</f>
        <v>Matt</v>
      </c>
      <c r="J3778" s="7" t="str">
        <f aca="false">IF(F3778=0,"NOT FOUND",IF(C3778=I3778,"SELF-VOTE",IF(COUNTIF($K:$K,K3778)&gt;1,"DUPLICATE","OK")))</f>
        <v>OK</v>
      </c>
      <c r="K3778" s="6" t="str">
        <f aca="false">A3778&amp;"|"&amp;B3778&amp;"|"&amp;C3778&amp;"|"&amp;D3778</f>
        <v>6|2|Makenzie|spotify:track:6qF3qHvzEmh7bkdBatxQuS</v>
      </c>
    </row>
    <row r="3779" customFormat="false" ht="15" hidden="false" customHeight="false" outlineLevel="0" collapsed="false">
      <c r="A3779" s="5" t="n">
        <v>6</v>
      </c>
      <c r="B3779" s="5" t="n">
        <v>2</v>
      </c>
      <c r="C3779" s="5" t="s">
        <v>395</v>
      </c>
      <c r="D3779" s="5" t="s">
        <v>1745</v>
      </c>
      <c r="E3779" s="5" t="n">
        <v>1</v>
      </c>
      <c r="F3779" s="6" t="n">
        <f aca="false">IFERROR(MATCH(A3779&amp;"|"&amp;B3779&amp;"|"&amp;D3779,'All Song Rankings'!$T:$T,0),0)</f>
        <v>570</v>
      </c>
      <c r="G3779" s="6" t="str">
        <f aca="false">IF(F3779=0,"NOT FOUND",INDEX('All Song Rankings'!$A:$A,F3779))</f>
        <v>Piano Man</v>
      </c>
      <c r="H3779" s="6" t="str">
        <f aca="false">IF(F3779=0,"NOT FOUND",INDEX('All Song Rankings'!$B:$B,F3779))</f>
        <v>Billy Joel</v>
      </c>
      <c r="I3779" s="6" t="str">
        <f aca="false">IF(F3779=0,"NOT FOUND",INDEX('All Song Rankings'!$D:$D,F3779))</f>
        <v>Kristen</v>
      </c>
      <c r="J3779" s="7" t="str">
        <f aca="false">IF(F3779=0,"NOT FOUND",IF(C3779=I3779,"SELF-VOTE",IF(COUNTIF($K:$K,K3779)&gt;1,"DUPLICATE","OK")))</f>
        <v>OK</v>
      </c>
      <c r="K3779" s="6" t="str">
        <f aca="false">A3779&amp;"|"&amp;B3779&amp;"|"&amp;C3779&amp;"|"&amp;D3779</f>
        <v>6|2|Makenzie|spotify:track:70C4NyhjD5OZUMzvWZ3njJ</v>
      </c>
    </row>
    <row r="3780" customFormat="false" ht="15" hidden="false" customHeight="false" outlineLevel="0" collapsed="false">
      <c r="A3780" s="5" t="n">
        <v>6</v>
      </c>
      <c r="B3780" s="5" t="n">
        <v>2</v>
      </c>
      <c r="C3780" s="5" t="s">
        <v>395</v>
      </c>
      <c r="D3780" s="5" t="s">
        <v>1734</v>
      </c>
      <c r="E3780" s="5" t="n">
        <v>2</v>
      </c>
      <c r="F3780" s="6" t="n">
        <f aca="false">IFERROR(MATCH(A3780&amp;"|"&amp;B3780&amp;"|"&amp;D3780,'All Song Rankings'!$T:$T,0),0)</f>
        <v>566</v>
      </c>
      <c r="G3780" s="6" t="str">
        <f aca="false">IF(F3780=0,"NOT FOUND",INDEX('All Song Rankings'!$A:$A,F3780))</f>
        <v>December, 1963 (Oh What a Night!)</v>
      </c>
      <c r="H3780" s="6" t="str">
        <f aca="false">IF(F3780=0,"NOT FOUND",INDEX('All Song Rankings'!$B:$B,F3780))</f>
        <v>The Four Seasons</v>
      </c>
      <c r="I3780" s="6" t="str">
        <f aca="false">IF(F3780=0,"NOT FOUND",INDEX('All Song Rankings'!$D:$D,F3780))</f>
        <v>Logan</v>
      </c>
      <c r="J3780" s="7" t="str">
        <f aca="false">IF(F3780=0,"NOT FOUND",IF(C3780=I3780,"SELF-VOTE",IF(COUNTIF($K:$K,K3780)&gt;1,"DUPLICATE","OK")))</f>
        <v>OK</v>
      </c>
      <c r="K3780" s="6" t="str">
        <f aca="false">A3780&amp;"|"&amp;B3780&amp;"|"&amp;C3780&amp;"|"&amp;D3780</f>
        <v>6|2|Makenzie|spotify:track:7ePFDzrnLt3Ynqgy2UFWri</v>
      </c>
    </row>
    <row r="3781" customFormat="false" ht="15" hidden="false" customHeight="false" outlineLevel="0" collapsed="false">
      <c r="A3781" s="5" t="n">
        <v>6</v>
      </c>
      <c r="B3781" s="5" t="n">
        <v>2</v>
      </c>
      <c r="C3781" s="5" t="s">
        <v>116</v>
      </c>
      <c r="D3781" s="5" t="s">
        <v>1743</v>
      </c>
      <c r="E3781" s="5" t="n">
        <v>1</v>
      </c>
      <c r="F3781" s="6" t="n">
        <f aca="false">IFERROR(MATCH(A3781&amp;"|"&amp;B3781&amp;"|"&amp;D3781,'All Song Rankings'!$T:$T,0),0)</f>
        <v>569</v>
      </c>
      <c r="G3781" s="6" t="str">
        <f aca="false">IF(F3781=0,"NOT FOUND",INDEX('All Song Rankings'!$A:$A,F3781))</f>
        <v>What A Wonderful World</v>
      </c>
      <c r="H3781" s="6" t="str">
        <f aca="false">IF(F3781=0,"NOT FOUND",INDEX('All Song Rankings'!$B:$B,F3781))</f>
        <v>Louis Armstrong</v>
      </c>
      <c r="I3781" s="6" t="str">
        <f aca="false">IF(F3781=0,"NOT FOUND",INDEX('All Song Rankings'!$D:$D,F3781))</f>
        <v>Lisa</v>
      </c>
      <c r="J3781" s="7" t="str">
        <f aca="false">IF(F3781=0,"NOT FOUND",IF(C3781=I3781,"SELF-VOTE",IF(COUNTIF($K:$K,K3781)&gt;1,"DUPLICATE","OK")))</f>
        <v>OK</v>
      </c>
      <c r="K3781" s="6" t="str">
        <f aca="false">A3781&amp;"|"&amp;B3781&amp;"|"&amp;C3781&amp;"|"&amp;D3781</f>
        <v>6|2|Matt|spotify:track:29U7stRjqHU6rMiS8BfaI9</v>
      </c>
    </row>
    <row r="3782" customFormat="false" ht="15" hidden="false" customHeight="false" outlineLevel="0" collapsed="false">
      <c r="A3782" s="5" t="n">
        <v>6</v>
      </c>
      <c r="B3782" s="5" t="n">
        <v>2</v>
      </c>
      <c r="C3782" s="5" t="s">
        <v>116</v>
      </c>
      <c r="D3782" s="5" t="s">
        <v>1757</v>
      </c>
      <c r="E3782" s="5" t="n">
        <v>1</v>
      </c>
      <c r="F3782" s="6" t="n">
        <f aca="false">IFERROR(MATCH(A3782&amp;"|"&amp;B3782&amp;"|"&amp;D3782,'All Song Rankings'!$T:$T,0),0)</f>
        <v>574</v>
      </c>
      <c r="G3782" s="6" t="str">
        <f aca="false">IF(F3782=0,"NOT FOUND",INDEX('All Song Rankings'!$A:$A,F3782))</f>
        <v>The Logical Song</v>
      </c>
      <c r="H3782" s="6" t="str">
        <f aca="false">IF(F3782=0,"NOT FOUND",INDEX('All Song Rankings'!$B:$B,F3782))</f>
        <v>Supertramp</v>
      </c>
      <c r="I3782" s="6" t="str">
        <f aca="false">IF(F3782=0,"NOT FOUND",INDEX('All Song Rankings'!$D:$D,F3782))</f>
        <v>Leah</v>
      </c>
      <c r="J3782" s="7" t="str">
        <f aca="false">IF(F3782=0,"NOT FOUND",IF(C3782=I3782,"SELF-VOTE",IF(COUNTIF($K:$K,K3782)&gt;1,"DUPLICATE","OK")))</f>
        <v>OK</v>
      </c>
      <c r="K3782" s="6" t="str">
        <f aca="false">A3782&amp;"|"&amp;B3782&amp;"|"&amp;C3782&amp;"|"&amp;D3782</f>
        <v>6|2|Matt|spotify:track:2IOeOJyiuzwF8BRAK9jJyj</v>
      </c>
    </row>
    <row r="3783" customFormat="false" ht="15" hidden="false" customHeight="false" outlineLevel="0" collapsed="false">
      <c r="A3783" s="5" t="n">
        <v>6</v>
      </c>
      <c r="B3783" s="5" t="n">
        <v>2</v>
      </c>
      <c r="C3783" s="5" t="s">
        <v>116</v>
      </c>
      <c r="D3783" s="5" t="s">
        <v>1770</v>
      </c>
      <c r="E3783" s="5" t="n">
        <v>1</v>
      </c>
      <c r="F3783" s="6" t="n">
        <f aca="false">IFERROR(MATCH(A3783&amp;"|"&amp;B3783&amp;"|"&amp;D3783,'All Song Rankings'!$T:$T,0),0)</f>
        <v>579</v>
      </c>
      <c r="G3783" s="6" t="str">
        <f aca="false">IF(F3783=0,"NOT FOUND",INDEX('All Song Rankings'!$A:$A,F3783))</f>
        <v>Lucky Star</v>
      </c>
      <c r="H3783" s="6" t="str">
        <f aca="false">IF(F3783=0,"NOT FOUND",INDEX('All Song Rankings'!$B:$B,F3783))</f>
        <v>Madonna</v>
      </c>
      <c r="I3783" s="6" t="str">
        <f aca="false">IF(F3783=0,"NOT FOUND",INDEX('All Song Rankings'!$D:$D,F3783))</f>
        <v>Nicole</v>
      </c>
      <c r="J3783" s="7" t="str">
        <f aca="false">IF(F3783=0,"NOT FOUND",IF(C3783=I3783,"SELF-VOTE",IF(COUNTIF($K:$K,K3783)&gt;1,"DUPLICATE","OK")))</f>
        <v>OK</v>
      </c>
      <c r="K3783" s="6" t="str">
        <f aca="false">A3783&amp;"|"&amp;B3783&amp;"|"&amp;C3783&amp;"|"&amp;D3783</f>
        <v>6|2|Matt|spotify:track:2hWI9GNr3kBrxZ7Mphho4Q</v>
      </c>
    </row>
    <row r="3784" customFormat="false" ht="15" hidden="false" customHeight="false" outlineLevel="0" collapsed="false">
      <c r="A3784" s="5" t="n">
        <v>6</v>
      </c>
      <c r="B3784" s="5" t="n">
        <v>2</v>
      </c>
      <c r="C3784" s="5" t="s">
        <v>116</v>
      </c>
      <c r="D3784" s="5" t="s">
        <v>1748</v>
      </c>
      <c r="E3784" s="5" t="n">
        <v>1</v>
      </c>
      <c r="F3784" s="6" t="n">
        <f aca="false">IFERROR(MATCH(A3784&amp;"|"&amp;B3784&amp;"|"&amp;D3784,'All Song Rankings'!$T:$T,0),0)</f>
        <v>571</v>
      </c>
      <c r="G3784" s="6" t="str">
        <f aca="false">IF(F3784=0,"NOT FOUND",INDEX('All Song Rankings'!$A:$A,F3784))</f>
        <v>Joy to the World</v>
      </c>
      <c r="H3784" s="6" t="str">
        <f aca="false">IF(F3784=0,"NOT FOUND",INDEX('All Song Rankings'!$B:$B,F3784))</f>
        <v>Three Dog Night</v>
      </c>
      <c r="I3784" s="6" t="str">
        <f aca="false">IF(F3784=0,"NOT FOUND",INDEX('All Song Rankings'!$D:$D,F3784))</f>
        <v>Makenzie</v>
      </c>
      <c r="J3784" s="7" t="str">
        <f aca="false">IF(F3784=0,"NOT FOUND",IF(C3784=I3784,"SELF-VOTE",IF(COUNTIF($K:$K,K3784)&gt;1,"DUPLICATE","OK")))</f>
        <v>OK</v>
      </c>
      <c r="K3784" s="6" t="str">
        <f aca="false">A3784&amp;"|"&amp;B3784&amp;"|"&amp;C3784&amp;"|"&amp;D3784</f>
        <v>6|2|Matt|spotify:track:3GDTQRm6F358LdF53fqWGU</v>
      </c>
    </row>
    <row r="3785" customFormat="false" ht="15" hidden="false" customHeight="false" outlineLevel="0" collapsed="false">
      <c r="A3785" s="5" t="n">
        <v>6</v>
      </c>
      <c r="B3785" s="5" t="n">
        <v>2</v>
      </c>
      <c r="C3785" s="5" t="s">
        <v>116</v>
      </c>
      <c r="D3785" s="5" t="s">
        <v>1760</v>
      </c>
      <c r="E3785" s="5" t="n">
        <v>1</v>
      </c>
      <c r="F3785" s="6" t="n">
        <f aca="false">IFERROR(MATCH(A3785&amp;"|"&amp;B3785&amp;"|"&amp;D3785,'All Song Rankings'!$T:$T,0),0)</f>
        <v>575</v>
      </c>
      <c r="G3785" s="6" t="str">
        <f aca="false">IF(F3785=0,"NOT FOUND",INDEX('All Song Rankings'!$A:$A,F3785))</f>
        <v>Baby, Baby</v>
      </c>
      <c r="H3785" s="6" t="str">
        <f aca="false">IF(F3785=0,"NOT FOUND",INDEX('All Song Rankings'!$B:$B,F3785))</f>
        <v>Amy Grant</v>
      </c>
      <c r="I3785" s="6" t="str">
        <f aca="false">IF(F3785=0,"NOT FOUND",INDEX('All Song Rankings'!$D:$D,F3785))</f>
        <v>Stephanie</v>
      </c>
      <c r="J3785" s="7" t="str">
        <f aca="false">IF(F3785=0,"NOT FOUND",IF(C3785=I3785,"SELF-VOTE",IF(COUNTIF($K:$K,K3785)&gt;1,"DUPLICATE","OK")))</f>
        <v>OK</v>
      </c>
      <c r="K3785" s="6" t="str">
        <f aca="false">A3785&amp;"|"&amp;B3785&amp;"|"&amp;C3785&amp;"|"&amp;D3785</f>
        <v>6|2|Matt|spotify:track:3IDsegNBHC4pjGCOMTQYlU</v>
      </c>
    </row>
    <row r="3786" customFormat="false" ht="15" hidden="false" customHeight="false" outlineLevel="0" collapsed="false">
      <c r="A3786" s="5" t="n">
        <v>6</v>
      </c>
      <c r="B3786" s="5" t="n">
        <v>2</v>
      </c>
      <c r="C3786" s="5" t="s">
        <v>116</v>
      </c>
      <c r="D3786" s="5" t="s">
        <v>1765</v>
      </c>
      <c r="E3786" s="5" t="n">
        <v>1</v>
      </c>
      <c r="F3786" s="6" t="n">
        <f aca="false">IFERROR(MATCH(A3786&amp;"|"&amp;B3786&amp;"|"&amp;D3786,'All Song Rankings'!$T:$T,0),0)</f>
        <v>577</v>
      </c>
      <c r="G3786" s="6" t="str">
        <f aca="false">IF(F3786=0,"NOT FOUND",INDEX('All Song Rankings'!$A:$A,F3786))</f>
        <v>And Your Bird Can Sing - Remastered 2009</v>
      </c>
      <c r="H3786" s="6" t="str">
        <f aca="false">IF(F3786=0,"NOT FOUND",INDEX('All Song Rankings'!$B:$B,F3786))</f>
        <v>The Beatles</v>
      </c>
      <c r="I3786" s="6" t="str">
        <f aca="false">IF(F3786=0,"NOT FOUND",INDEX('All Song Rankings'!$D:$D,F3786))</f>
        <v>Grace</v>
      </c>
      <c r="J3786" s="7" t="str">
        <f aca="false">IF(F3786=0,"NOT FOUND",IF(C3786=I3786,"SELF-VOTE",IF(COUNTIF($K:$K,K3786)&gt;1,"DUPLICATE","OK")))</f>
        <v>OK</v>
      </c>
      <c r="K3786" s="6" t="str">
        <f aca="false">A3786&amp;"|"&amp;B3786&amp;"|"&amp;C3786&amp;"|"&amp;D3786</f>
        <v>6|2|Matt|spotify:track:4KRgqwb4kvBuTz1utbYxfb</v>
      </c>
    </row>
    <row r="3787" customFormat="false" ht="15" hidden="false" customHeight="false" outlineLevel="0" collapsed="false">
      <c r="A3787" s="5" t="n">
        <v>6</v>
      </c>
      <c r="B3787" s="5" t="n">
        <v>2</v>
      </c>
      <c r="C3787" s="5" t="s">
        <v>116</v>
      </c>
      <c r="D3787" s="5" t="s">
        <v>1740</v>
      </c>
      <c r="E3787" s="5" t="n">
        <v>1</v>
      </c>
      <c r="F3787" s="6" t="n">
        <f aca="false">IFERROR(MATCH(A3787&amp;"|"&amp;B3787&amp;"|"&amp;D3787,'All Song Rankings'!$T:$T,0),0)</f>
        <v>568</v>
      </c>
      <c r="G3787" s="6" t="str">
        <f aca="false">IF(F3787=0,"NOT FOUND",INDEX('All Song Rankings'!$A:$A,F3787))</f>
        <v>Have You Ever Seen The Rain</v>
      </c>
      <c r="H3787" s="6" t="str">
        <f aca="false">IF(F3787=0,"NOT FOUND",INDEX('All Song Rankings'!$B:$B,F3787))</f>
        <v>Creedence Clearwater Revival</v>
      </c>
      <c r="I3787" s="6" t="str">
        <f aca="false">IF(F3787=0,"NOT FOUND",INDEX('All Song Rankings'!$D:$D,F3787))</f>
        <v>Kelsey</v>
      </c>
      <c r="J3787" s="7" t="str">
        <f aca="false">IF(F3787=0,"NOT FOUND",IF(C3787=I3787,"SELF-VOTE",IF(COUNTIF($K:$K,K3787)&gt;1,"DUPLICATE","OK")))</f>
        <v>OK</v>
      </c>
      <c r="K3787" s="6" t="str">
        <f aca="false">A3787&amp;"|"&amp;B3787&amp;"|"&amp;C3787&amp;"|"&amp;D3787</f>
        <v>6|2|Matt|spotify:track:5DnT9a5IM3eMjKgXTWVJvi</v>
      </c>
    </row>
    <row r="3788" customFormat="false" ht="15" hidden="false" customHeight="false" outlineLevel="0" collapsed="false">
      <c r="A3788" s="5" t="n">
        <v>6</v>
      </c>
      <c r="B3788" s="5" t="n">
        <v>2</v>
      </c>
      <c r="C3788" s="5" t="s">
        <v>116</v>
      </c>
      <c r="D3788" s="5" t="s">
        <v>1763</v>
      </c>
      <c r="E3788" s="5" t="n">
        <v>1</v>
      </c>
      <c r="F3788" s="6" t="n">
        <f aca="false">IFERROR(MATCH(A3788&amp;"|"&amp;B3788&amp;"|"&amp;D3788,'All Song Rankings'!$T:$T,0),0)</f>
        <v>576</v>
      </c>
      <c r="G3788" s="6" t="str">
        <f aca="false">IF(F3788=0,"NOT FOUND",INDEX('All Song Rankings'!$A:$A,F3788))</f>
        <v>Olathumbathu</v>
      </c>
      <c r="H3788" s="6" t="str">
        <f aca="false">IF(F3788=0,"NOT FOUND",INDEX('All Song Rankings'!$B:$B,F3788))</f>
        <v>S. Janaki</v>
      </c>
      <c r="I3788" s="6" t="str">
        <f aca="false">IF(F3788=0,"NOT FOUND",INDEX('All Song Rankings'!$D:$D,F3788))</f>
        <v>Merita</v>
      </c>
      <c r="J3788" s="7" t="str">
        <f aca="false">IF(F3788=0,"NOT FOUND",IF(C3788=I3788,"SELF-VOTE",IF(COUNTIF($K:$K,K3788)&gt;1,"DUPLICATE","OK")))</f>
        <v>OK</v>
      </c>
      <c r="K3788" s="6" t="str">
        <f aca="false">A3788&amp;"|"&amp;B3788&amp;"|"&amp;C3788&amp;"|"&amp;D3788</f>
        <v>6|2|Matt|spotify:track:5SkK1VGwHEnt02r5rbMTZC</v>
      </c>
    </row>
    <row r="3789" customFormat="false" ht="15" hidden="false" customHeight="false" outlineLevel="0" collapsed="false">
      <c r="A3789" s="5" t="n">
        <v>6</v>
      </c>
      <c r="B3789" s="5" t="n">
        <v>2</v>
      </c>
      <c r="C3789" s="5" t="s">
        <v>116</v>
      </c>
      <c r="D3789" s="5" t="s">
        <v>1745</v>
      </c>
      <c r="E3789" s="5" t="n">
        <v>1</v>
      </c>
      <c r="F3789" s="6" t="n">
        <f aca="false">IFERROR(MATCH(A3789&amp;"|"&amp;B3789&amp;"|"&amp;D3789,'All Song Rankings'!$T:$T,0),0)</f>
        <v>570</v>
      </c>
      <c r="G3789" s="6" t="str">
        <f aca="false">IF(F3789=0,"NOT FOUND",INDEX('All Song Rankings'!$A:$A,F3789))</f>
        <v>Piano Man</v>
      </c>
      <c r="H3789" s="6" t="str">
        <f aca="false">IF(F3789=0,"NOT FOUND",INDEX('All Song Rankings'!$B:$B,F3789))</f>
        <v>Billy Joel</v>
      </c>
      <c r="I3789" s="6" t="str">
        <f aca="false">IF(F3789=0,"NOT FOUND",INDEX('All Song Rankings'!$D:$D,F3789))</f>
        <v>Kristen</v>
      </c>
      <c r="J3789" s="7" t="str">
        <f aca="false">IF(F3789=0,"NOT FOUND",IF(C3789=I3789,"SELF-VOTE",IF(COUNTIF($K:$K,K3789)&gt;1,"DUPLICATE","OK")))</f>
        <v>OK</v>
      </c>
      <c r="K3789" s="6" t="str">
        <f aca="false">A3789&amp;"|"&amp;B3789&amp;"|"&amp;C3789&amp;"|"&amp;D3789</f>
        <v>6|2|Matt|spotify:track:70C4NyhjD5OZUMzvWZ3njJ</v>
      </c>
    </row>
    <row r="3790" customFormat="false" ht="15" hidden="false" customHeight="false" outlineLevel="0" collapsed="false">
      <c r="A3790" s="5" t="n">
        <v>6</v>
      </c>
      <c r="B3790" s="5" t="n">
        <v>2</v>
      </c>
      <c r="C3790" s="5" t="s">
        <v>116</v>
      </c>
      <c r="D3790" s="5" t="s">
        <v>1734</v>
      </c>
      <c r="E3790" s="5" t="n">
        <v>1</v>
      </c>
      <c r="F3790" s="6" t="n">
        <f aca="false">IFERROR(MATCH(A3790&amp;"|"&amp;B3790&amp;"|"&amp;D3790,'All Song Rankings'!$T:$T,0),0)</f>
        <v>566</v>
      </c>
      <c r="G3790" s="6" t="str">
        <f aca="false">IF(F3790=0,"NOT FOUND",INDEX('All Song Rankings'!$A:$A,F3790))</f>
        <v>December, 1963 (Oh What a Night!)</v>
      </c>
      <c r="H3790" s="6" t="str">
        <f aca="false">IF(F3790=0,"NOT FOUND",INDEX('All Song Rankings'!$B:$B,F3790))</f>
        <v>The Four Seasons</v>
      </c>
      <c r="I3790" s="6" t="str">
        <f aca="false">IF(F3790=0,"NOT FOUND",INDEX('All Song Rankings'!$D:$D,F3790))</f>
        <v>Logan</v>
      </c>
      <c r="J3790" s="7" t="str">
        <f aca="false">IF(F3790=0,"NOT FOUND",IF(C3790=I3790,"SELF-VOTE",IF(COUNTIF($K:$K,K3790)&gt;1,"DUPLICATE","OK")))</f>
        <v>OK</v>
      </c>
      <c r="K3790" s="6" t="str">
        <f aca="false">A3790&amp;"|"&amp;B3790&amp;"|"&amp;C3790&amp;"|"&amp;D3790</f>
        <v>6|2|Matt|spotify:track:7ePFDzrnLt3Ynqgy2UFWri</v>
      </c>
    </row>
    <row r="3791" customFormat="false" ht="15" hidden="false" customHeight="false" outlineLevel="0" collapsed="false">
      <c r="A3791" s="5" t="n">
        <v>6</v>
      </c>
      <c r="B3791" s="5" t="n">
        <v>2</v>
      </c>
      <c r="C3791" s="5" t="s">
        <v>101</v>
      </c>
      <c r="D3791" s="5" t="s">
        <v>1737</v>
      </c>
      <c r="E3791" s="5" t="n">
        <v>1</v>
      </c>
      <c r="F3791" s="6" t="n">
        <f aca="false">IFERROR(MATCH(A3791&amp;"|"&amp;B3791&amp;"|"&amp;D3791,'All Song Rankings'!$T:$T,0),0)</f>
        <v>567</v>
      </c>
      <c r="G3791" s="6" t="str">
        <f aca="false">IF(F3791=0,"NOT FOUND",INDEX('All Song Rankings'!$A:$A,F3791))</f>
        <v>Build Me Up Buttercup - Mono</v>
      </c>
      <c r="H3791" s="6" t="str">
        <f aca="false">IF(F3791=0,"NOT FOUND",INDEX('All Song Rankings'!$B:$B,F3791))</f>
        <v>The Foundations</v>
      </c>
      <c r="I3791" s="6" t="str">
        <f aca="false">IF(F3791=0,"NOT FOUND",INDEX('All Song Rankings'!$D:$D,F3791))</f>
        <v>Colleen</v>
      </c>
      <c r="J3791" s="7" t="str">
        <f aca="false">IF(F3791=0,"NOT FOUND",IF(C3791=I3791,"SELF-VOTE",IF(COUNTIF($K:$K,K3791)&gt;1,"DUPLICATE","OK")))</f>
        <v>OK</v>
      </c>
      <c r="K3791" s="6" t="str">
        <f aca="false">A3791&amp;"|"&amp;B3791&amp;"|"&amp;C3791&amp;"|"&amp;D3791</f>
        <v>6|2|Merita|spotify:track:1tfZtA15BfJHQTUy3dqTKC</v>
      </c>
    </row>
    <row r="3792" customFormat="false" ht="15" hidden="false" customHeight="false" outlineLevel="0" collapsed="false">
      <c r="A3792" s="5" t="n">
        <v>6</v>
      </c>
      <c r="B3792" s="5" t="n">
        <v>2</v>
      </c>
      <c r="C3792" s="5" t="s">
        <v>101</v>
      </c>
      <c r="D3792" s="5" t="s">
        <v>1743</v>
      </c>
      <c r="E3792" s="5" t="n">
        <v>2</v>
      </c>
      <c r="F3792" s="6" t="n">
        <f aca="false">IFERROR(MATCH(A3792&amp;"|"&amp;B3792&amp;"|"&amp;D3792,'All Song Rankings'!$T:$T,0),0)</f>
        <v>569</v>
      </c>
      <c r="G3792" s="6" t="str">
        <f aca="false">IF(F3792=0,"NOT FOUND",INDEX('All Song Rankings'!$A:$A,F3792))</f>
        <v>What A Wonderful World</v>
      </c>
      <c r="H3792" s="6" t="str">
        <f aca="false">IF(F3792=0,"NOT FOUND",INDEX('All Song Rankings'!$B:$B,F3792))</f>
        <v>Louis Armstrong</v>
      </c>
      <c r="I3792" s="6" t="str">
        <f aca="false">IF(F3792=0,"NOT FOUND",INDEX('All Song Rankings'!$D:$D,F3792))</f>
        <v>Lisa</v>
      </c>
      <c r="J3792" s="7" t="str">
        <f aca="false">IF(F3792=0,"NOT FOUND",IF(C3792=I3792,"SELF-VOTE",IF(COUNTIF($K:$K,K3792)&gt;1,"DUPLICATE","OK")))</f>
        <v>OK</v>
      </c>
      <c r="K3792" s="6" t="str">
        <f aca="false">A3792&amp;"|"&amp;B3792&amp;"|"&amp;C3792&amp;"|"&amp;D3792</f>
        <v>6|2|Merita|spotify:track:29U7stRjqHU6rMiS8BfaI9</v>
      </c>
    </row>
    <row r="3793" customFormat="false" ht="15" hidden="false" customHeight="false" outlineLevel="0" collapsed="false">
      <c r="A3793" s="5" t="n">
        <v>6</v>
      </c>
      <c r="B3793" s="5" t="n">
        <v>2</v>
      </c>
      <c r="C3793" s="5" t="s">
        <v>101</v>
      </c>
      <c r="D3793" s="5" t="s">
        <v>1768</v>
      </c>
      <c r="E3793" s="5" t="n">
        <v>1</v>
      </c>
      <c r="F3793" s="6" t="n">
        <f aca="false">IFERROR(MATCH(A3793&amp;"|"&amp;B3793&amp;"|"&amp;D3793,'All Song Rankings'!$T:$T,0),0)</f>
        <v>578</v>
      </c>
      <c r="G3793" s="6" t="str">
        <f aca="false">IF(F3793=0,"NOT FOUND",INDEX('All Song Rankings'!$A:$A,F3793))</f>
        <v>A Little Bit Country-A Little Bit Rock 'N Roll</v>
      </c>
      <c r="H3793" s="6" t="str">
        <f aca="false">IF(F3793=0,"NOT FOUND",INDEX('All Song Rankings'!$B:$B,F3793))</f>
        <v>Donny &amp; Marie Osmond</v>
      </c>
      <c r="I3793" s="6" t="str">
        <f aca="false">IF(F3793=0,"NOT FOUND",INDEX('All Song Rankings'!$D:$D,F3793))</f>
        <v>Christine</v>
      </c>
      <c r="J3793" s="7" t="str">
        <f aca="false">IF(F3793=0,"NOT FOUND",IF(C3793=I3793,"SELF-VOTE",IF(COUNTIF($K:$K,K3793)&gt;1,"DUPLICATE","OK")))</f>
        <v>OK</v>
      </c>
      <c r="K3793" s="6" t="str">
        <f aca="false">A3793&amp;"|"&amp;B3793&amp;"|"&amp;C3793&amp;"|"&amp;D3793</f>
        <v>6|2|Merita|spotify:track:2BFzx5rPRiNCfuWfQulO92</v>
      </c>
    </row>
    <row r="3794" customFormat="false" ht="15" hidden="false" customHeight="false" outlineLevel="0" collapsed="false">
      <c r="A3794" s="5" t="n">
        <v>6</v>
      </c>
      <c r="B3794" s="5" t="n">
        <v>2</v>
      </c>
      <c r="C3794" s="5" t="s">
        <v>101</v>
      </c>
      <c r="D3794" s="5" t="s">
        <v>1757</v>
      </c>
      <c r="E3794" s="5" t="n">
        <v>1</v>
      </c>
      <c r="F3794" s="6" t="n">
        <f aca="false">IFERROR(MATCH(A3794&amp;"|"&amp;B3794&amp;"|"&amp;D3794,'All Song Rankings'!$T:$T,0),0)</f>
        <v>574</v>
      </c>
      <c r="G3794" s="6" t="str">
        <f aca="false">IF(F3794=0,"NOT FOUND",INDEX('All Song Rankings'!$A:$A,F3794))</f>
        <v>The Logical Song</v>
      </c>
      <c r="H3794" s="6" t="str">
        <f aca="false">IF(F3794=0,"NOT FOUND",INDEX('All Song Rankings'!$B:$B,F3794))</f>
        <v>Supertramp</v>
      </c>
      <c r="I3794" s="6" t="str">
        <f aca="false">IF(F3794=0,"NOT FOUND",INDEX('All Song Rankings'!$D:$D,F3794))</f>
        <v>Leah</v>
      </c>
      <c r="J3794" s="7" t="str">
        <f aca="false">IF(F3794=0,"NOT FOUND",IF(C3794=I3794,"SELF-VOTE",IF(COUNTIF($K:$K,K3794)&gt;1,"DUPLICATE","OK")))</f>
        <v>OK</v>
      </c>
      <c r="K3794" s="6" t="str">
        <f aca="false">A3794&amp;"|"&amp;B3794&amp;"|"&amp;C3794&amp;"|"&amp;D3794</f>
        <v>6|2|Merita|spotify:track:2IOeOJyiuzwF8BRAK9jJyj</v>
      </c>
    </row>
    <row r="3795" customFormat="false" ht="15" hidden="false" customHeight="false" outlineLevel="0" collapsed="false">
      <c r="A3795" s="5" t="n">
        <v>6</v>
      </c>
      <c r="B3795" s="5" t="n">
        <v>2</v>
      </c>
      <c r="C3795" s="5" t="s">
        <v>101</v>
      </c>
      <c r="D3795" s="5" t="s">
        <v>1765</v>
      </c>
      <c r="E3795" s="5" t="n">
        <v>2</v>
      </c>
      <c r="F3795" s="6" t="n">
        <f aca="false">IFERROR(MATCH(A3795&amp;"|"&amp;B3795&amp;"|"&amp;D3795,'All Song Rankings'!$T:$T,0),0)</f>
        <v>577</v>
      </c>
      <c r="G3795" s="6" t="str">
        <f aca="false">IF(F3795=0,"NOT FOUND",INDEX('All Song Rankings'!$A:$A,F3795))</f>
        <v>And Your Bird Can Sing - Remastered 2009</v>
      </c>
      <c r="H3795" s="6" t="str">
        <f aca="false">IF(F3795=0,"NOT FOUND",INDEX('All Song Rankings'!$B:$B,F3795))</f>
        <v>The Beatles</v>
      </c>
      <c r="I3795" s="6" t="str">
        <f aca="false">IF(F3795=0,"NOT FOUND",INDEX('All Song Rankings'!$D:$D,F3795))</f>
        <v>Grace</v>
      </c>
      <c r="J3795" s="7" t="str">
        <f aca="false">IF(F3795=0,"NOT FOUND",IF(C3795=I3795,"SELF-VOTE",IF(COUNTIF($K:$K,K3795)&gt;1,"DUPLICATE","OK")))</f>
        <v>OK</v>
      </c>
      <c r="K3795" s="6" t="str">
        <f aca="false">A3795&amp;"|"&amp;B3795&amp;"|"&amp;C3795&amp;"|"&amp;D3795</f>
        <v>6|2|Merita|spotify:track:4KRgqwb4kvBuTz1utbYxfb</v>
      </c>
    </row>
    <row r="3796" customFormat="false" ht="15" hidden="false" customHeight="false" outlineLevel="0" collapsed="false">
      <c r="A3796" s="5" t="n">
        <v>6</v>
      </c>
      <c r="B3796" s="5" t="n">
        <v>2</v>
      </c>
      <c r="C3796" s="5" t="s">
        <v>101</v>
      </c>
      <c r="D3796" s="5" t="s">
        <v>1745</v>
      </c>
      <c r="E3796" s="5" t="n">
        <v>2</v>
      </c>
      <c r="F3796" s="6" t="n">
        <f aca="false">IFERROR(MATCH(A3796&amp;"|"&amp;B3796&amp;"|"&amp;D3796,'All Song Rankings'!$T:$T,0),0)</f>
        <v>570</v>
      </c>
      <c r="G3796" s="6" t="str">
        <f aca="false">IF(F3796=0,"NOT FOUND",INDEX('All Song Rankings'!$A:$A,F3796))</f>
        <v>Piano Man</v>
      </c>
      <c r="H3796" s="6" t="str">
        <f aca="false">IF(F3796=0,"NOT FOUND",INDEX('All Song Rankings'!$B:$B,F3796))</f>
        <v>Billy Joel</v>
      </c>
      <c r="I3796" s="6" t="str">
        <f aca="false">IF(F3796=0,"NOT FOUND",INDEX('All Song Rankings'!$D:$D,F3796))</f>
        <v>Kristen</v>
      </c>
      <c r="J3796" s="7" t="str">
        <f aca="false">IF(F3796=0,"NOT FOUND",IF(C3796=I3796,"SELF-VOTE",IF(COUNTIF($K:$K,K3796)&gt;1,"DUPLICATE","OK")))</f>
        <v>OK</v>
      </c>
      <c r="K3796" s="6" t="str">
        <f aca="false">A3796&amp;"|"&amp;B3796&amp;"|"&amp;C3796&amp;"|"&amp;D3796</f>
        <v>6|2|Merita|spotify:track:70C4NyhjD5OZUMzvWZ3njJ</v>
      </c>
    </row>
    <row r="3797" customFormat="false" ht="15" hidden="false" customHeight="false" outlineLevel="0" collapsed="false">
      <c r="A3797" s="5" t="n">
        <v>6</v>
      </c>
      <c r="B3797" s="5" t="n">
        <v>2</v>
      </c>
      <c r="C3797" s="5" t="s">
        <v>101</v>
      </c>
      <c r="D3797" s="5" t="s">
        <v>1734</v>
      </c>
      <c r="E3797" s="5" t="n">
        <v>1</v>
      </c>
      <c r="F3797" s="6" t="n">
        <f aca="false">IFERROR(MATCH(A3797&amp;"|"&amp;B3797&amp;"|"&amp;D3797,'All Song Rankings'!$T:$T,0),0)</f>
        <v>566</v>
      </c>
      <c r="G3797" s="6" t="str">
        <f aca="false">IF(F3797=0,"NOT FOUND",INDEX('All Song Rankings'!$A:$A,F3797))</f>
        <v>December, 1963 (Oh What a Night!)</v>
      </c>
      <c r="H3797" s="6" t="str">
        <f aca="false">IF(F3797=0,"NOT FOUND",INDEX('All Song Rankings'!$B:$B,F3797))</f>
        <v>The Four Seasons</v>
      </c>
      <c r="I3797" s="6" t="str">
        <f aca="false">IF(F3797=0,"NOT FOUND",INDEX('All Song Rankings'!$D:$D,F3797))</f>
        <v>Logan</v>
      </c>
      <c r="J3797" s="7" t="str">
        <f aca="false">IF(F3797=0,"NOT FOUND",IF(C3797=I3797,"SELF-VOTE",IF(COUNTIF($K:$K,K3797)&gt;1,"DUPLICATE","OK")))</f>
        <v>OK</v>
      </c>
      <c r="K3797" s="6" t="str">
        <f aca="false">A3797&amp;"|"&amp;B3797&amp;"|"&amp;C3797&amp;"|"&amp;D3797</f>
        <v>6|2|Merita|spotify:track:7ePFDzrnLt3Ynqgy2UFWri</v>
      </c>
    </row>
    <row r="3798" customFormat="false" ht="15" hidden="false" customHeight="false" outlineLevel="0" collapsed="false">
      <c r="A3798" s="5" t="n">
        <v>6</v>
      </c>
      <c r="B3798" s="5" t="n">
        <v>2</v>
      </c>
      <c r="C3798" s="5" t="s">
        <v>97</v>
      </c>
      <c r="D3798" s="5" t="s">
        <v>1737</v>
      </c>
      <c r="E3798" s="5" t="n">
        <v>2</v>
      </c>
      <c r="F3798" s="6" t="n">
        <f aca="false">IFERROR(MATCH(A3798&amp;"|"&amp;B3798&amp;"|"&amp;D3798,'All Song Rankings'!$T:$T,0),0)</f>
        <v>567</v>
      </c>
      <c r="G3798" s="6" t="str">
        <f aca="false">IF(F3798=0,"NOT FOUND",INDEX('All Song Rankings'!$A:$A,F3798))</f>
        <v>Build Me Up Buttercup - Mono</v>
      </c>
      <c r="H3798" s="6" t="str">
        <f aca="false">IF(F3798=0,"NOT FOUND",INDEX('All Song Rankings'!$B:$B,F3798))</f>
        <v>The Foundations</v>
      </c>
      <c r="I3798" s="6" t="str">
        <f aca="false">IF(F3798=0,"NOT FOUND",INDEX('All Song Rankings'!$D:$D,F3798))</f>
        <v>Colleen</v>
      </c>
      <c r="J3798" s="7" t="str">
        <f aca="false">IF(F3798=0,"NOT FOUND",IF(C3798=I3798,"SELF-VOTE",IF(COUNTIF($K:$K,K3798)&gt;1,"DUPLICATE","OK")))</f>
        <v>OK</v>
      </c>
      <c r="K3798" s="6" t="str">
        <f aca="false">A3798&amp;"|"&amp;B3798&amp;"|"&amp;C3798&amp;"|"&amp;D3798</f>
        <v>6|2|Stephanie|spotify:track:1tfZtA15BfJHQTUy3dqTKC</v>
      </c>
    </row>
    <row r="3799" customFormat="false" ht="15" hidden="false" customHeight="false" outlineLevel="0" collapsed="false">
      <c r="A3799" s="5" t="n">
        <v>6</v>
      </c>
      <c r="B3799" s="5" t="n">
        <v>2</v>
      </c>
      <c r="C3799" s="5" t="s">
        <v>97</v>
      </c>
      <c r="D3799" s="5" t="s">
        <v>1757</v>
      </c>
      <c r="E3799" s="5" t="n">
        <v>1</v>
      </c>
      <c r="F3799" s="6" t="n">
        <f aca="false">IFERROR(MATCH(A3799&amp;"|"&amp;B3799&amp;"|"&amp;D3799,'All Song Rankings'!$T:$T,0),0)</f>
        <v>574</v>
      </c>
      <c r="G3799" s="6" t="str">
        <f aca="false">IF(F3799=0,"NOT FOUND",INDEX('All Song Rankings'!$A:$A,F3799))</f>
        <v>The Logical Song</v>
      </c>
      <c r="H3799" s="6" t="str">
        <f aca="false">IF(F3799=0,"NOT FOUND",INDEX('All Song Rankings'!$B:$B,F3799))</f>
        <v>Supertramp</v>
      </c>
      <c r="I3799" s="6" t="str">
        <f aca="false">IF(F3799=0,"NOT FOUND",INDEX('All Song Rankings'!$D:$D,F3799))</f>
        <v>Leah</v>
      </c>
      <c r="J3799" s="7" t="str">
        <f aca="false">IF(F3799=0,"NOT FOUND",IF(C3799=I3799,"SELF-VOTE",IF(COUNTIF($K:$K,K3799)&gt;1,"DUPLICATE","OK")))</f>
        <v>OK</v>
      </c>
      <c r="K3799" s="6" t="str">
        <f aca="false">A3799&amp;"|"&amp;B3799&amp;"|"&amp;C3799&amp;"|"&amp;D3799</f>
        <v>6|2|Stephanie|spotify:track:2IOeOJyiuzwF8BRAK9jJyj</v>
      </c>
    </row>
    <row r="3800" customFormat="false" ht="15" hidden="false" customHeight="false" outlineLevel="0" collapsed="false">
      <c r="A3800" s="5" t="n">
        <v>6</v>
      </c>
      <c r="B3800" s="5" t="n">
        <v>2</v>
      </c>
      <c r="C3800" s="5" t="s">
        <v>97</v>
      </c>
      <c r="D3800" s="5" t="s">
        <v>1748</v>
      </c>
      <c r="E3800" s="5" t="n">
        <v>1</v>
      </c>
      <c r="F3800" s="6" t="n">
        <f aca="false">IFERROR(MATCH(A3800&amp;"|"&amp;B3800&amp;"|"&amp;D3800,'All Song Rankings'!$T:$T,0),0)</f>
        <v>571</v>
      </c>
      <c r="G3800" s="6" t="str">
        <f aca="false">IF(F3800=0,"NOT FOUND",INDEX('All Song Rankings'!$A:$A,F3800))</f>
        <v>Joy to the World</v>
      </c>
      <c r="H3800" s="6" t="str">
        <f aca="false">IF(F3800=0,"NOT FOUND",INDEX('All Song Rankings'!$B:$B,F3800))</f>
        <v>Three Dog Night</v>
      </c>
      <c r="I3800" s="6" t="str">
        <f aca="false">IF(F3800=0,"NOT FOUND",INDEX('All Song Rankings'!$D:$D,F3800))</f>
        <v>Makenzie</v>
      </c>
      <c r="J3800" s="7" t="str">
        <f aca="false">IF(F3800=0,"NOT FOUND",IF(C3800=I3800,"SELF-VOTE",IF(COUNTIF($K:$K,K3800)&gt;1,"DUPLICATE","OK")))</f>
        <v>OK</v>
      </c>
      <c r="K3800" s="6" t="str">
        <f aca="false">A3800&amp;"|"&amp;B3800&amp;"|"&amp;C3800&amp;"|"&amp;D3800</f>
        <v>6|2|Stephanie|spotify:track:3GDTQRm6F358LdF53fqWGU</v>
      </c>
    </row>
    <row r="3801" customFormat="false" ht="15" hidden="false" customHeight="false" outlineLevel="0" collapsed="false">
      <c r="A3801" s="5" t="n">
        <v>6</v>
      </c>
      <c r="B3801" s="5" t="n">
        <v>2</v>
      </c>
      <c r="C3801" s="5" t="s">
        <v>97</v>
      </c>
      <c r="D3801" s="5" t="s">
        <v>1751</v>
      </c>
      <c r="E3801" s="5" t="n">
        <v>2</v>
      </c>
      <c r="F3801" s="6" t="n">
        <f aca="false">IFERROR(MATCH(A3801&amp;"|"&amp;B3801&amp;"|"&amp;D3801,'All Song Rankings'!$T:$T,0),0)</f>
        <v>572</v>
      </c>
      <c r="G3801" s="6" t="str">
        <f aca="false">IF(F3801=0,"NOT FOUND",INDEX('All Song Rankings'!$A:$A,F3801))</f>
        <v>Keep on Loving You</v>
      </c>
      <c r="H3801" s="6" t="str">
        <f aca="false">IF(F3801=0,"NOT FOUND",INDEX('All Song Rankings'!$B:$B,F3801))</f>
        <v>REO Speedwagon</v>
      </c>
      <c r="I3801" s="6" t="str">
        <f aca="false">IF(F3801=0,"NOT FOUND",INDEX('All Song Rankings'!$D:$D,F3801))</f>
        <v>Aubrey</v>
      </c>
      <c r="J3801" s="7" t="str">
        <f aca="false">IF(F3801=0,"NOT FOUND",IF(C3801=I3801,"SELF-VOTE",IF(COUNTIF($K:$K,K3801)&gt;1,"DUPLICATE","OK")))</f>
        <v>OK</v>
      </c>
      <c r="K3801" s="6" t="str">
        <f aca="false">A3801&amp;"|"&amp;B3801&amp;"|"&amp;C3801&amp;"|"&amp;D3801</f>
        <v>6|2|Stephanie|spotify:track:4rcHWl68ai6KvpXlc8vbnE</v>
      </c>
    </row>
    <row r="3802" customFormat="false" ht="15" hidden="false" customHeight="false" outlineLevel="0" collapsed="false">
      <c r="A3802" s="5" t="n">
        <v>6</v>
      </c>
      <c r="B3802" s="5" t="n">
        <v>2</v>
      </c>
      <c r="C3802" s="5" t="s">
        <v>97</v>
      </c>
      <c r="D3802" s="5" t="s">
        <v>1763</v>
      </c>
      <c r="E3802" s="5" t="n">
        <v>1</v>
      </c>
      <c r="F3802" s="6" t="n">
        <f aca="false">IFERROR(MATCH(A3802&amp;"|"&amp;B3802&amp;"|"&amp;D3802,'All Song Rankings'!$T:$T,0),0)</f>
        <v>576</v>
      </c>
      <c r="G3802" s="6" t="str">
        <f aca="false">IF(F3802=0,"NOT FOUND",INDEX('All Song Rankings'!$A:$A,F3802))</f>
        <v>Olathumbathu</v>
      </c>
      <c r="H3802" s="6" t="str">
        <f aca="false">IF(F3802=0,"NOT FOUND",INDEX('All Song Rankings'!$B:$B,F3802))</f>
        <v>S. Janaki</v>
      </c>
      <c r="I3802" s="6" t="str">
        <f aca="false">IF(F3802=0,"NOT FOUND",INDEX('All Song Rankings'!$D:$D,F3802))</f>
        <v>Merita</v>
      </c>
      <c r="J3802" s="7" t="str">
        <f aca="false">IF(F3802=0,"NOT FOUND",IF(C3802=I3802,"SELF-VOTE",IF(COUNTIF($K:$K,K3802)&gt;1,"DUPLICATE","OK")))</f>
        <v>OK</v>
      </c>
      <c r="K3802" s="6" t="str">
        <f aca="false">A3802&amp;"|"&amp;B3802&amp;"|"&amp;C3802&amp;"|"&amp;D3802</f>
        <v>6|2|Stephanie|spotify:track:5SkK1VGwHEnt02r5rbMTZC</v>
      </c>
    </row>
    <row r="3803" customFormat="false" ht="15" hidden="false" customHeight="false" outlineLevel="0" collapsed="false">
      <c r="A3803" s="5" t="n">
        <v>6</v>
      </c>
      <c r="B3803" s="5" t="n">
        <v>2</v>
      </c>
      <c r="C3803" s="5" t="s">
        <v>97</v>
      </c>
      <c r="D3803" s="5" t="s">
        <v>1734</v>
      </c>
      <c r="E3803" s="5" t="n">
        <v>3</v>
      </c>
      <c r="F3803" s="6" t="n">
        <f aca="false">IFERROR(MATCH(A3803&amp;"|"&amp;B3803&amp;"|"&amp;D3803,'All Song Rankings'!$T:$T,0),0)</f>
        <v>566</v>
      </c>
      <c r="G3803" s="6" t="str">
        <f aca="false">IF(F3803=0,"NOT FOUND",INDEX('All Song Rankings'!$A:$A,F3803))</f>
        <v>December, 1963 (Oh What a Night!)</v>
      </c>
      <c r="H3803" s="6" t="str">
        <f aca="false">IF(F3803=0,"NOT FOUND",INDEX('All Song Rankings'!$B:$B,F3803))</f>
        <v>The Four Seasons</v>
      </c>
      <c r="I3803" s="6" t="str">
        <f aca="false">IF(F3803=0,"NOT FOUND",INDEX('All Song Rankings'!$D:$D,F3803))</f>
        <v>Logan</v>
      </c>
      <c r="J3803" s="7" t="str">
        <f aca="false">IF(F3803=0,"NOT FOUND",IF(C3803=I3803,"SELF-VOTE",IF(COUNTIF($K:$K,K3803)&gt;1,"DUPLICATE","OK")))</f>
        <v>OK</v>
      </c>
      <c r="K3803" s="6" t="str">
        <f aca="false">A3803&amp;"|"&amp;B3803&amp;"|"&amp;C3803&amp;"|"&amp;D3803</f>
        <v>6|2|Stephanie|spotify:track:7ePFDzrnLt3Ynqgy2UFWri</v>
      </c>
    </row>
    <row r="3804" customFormat="false" ht="15" hidden="false" customHeight="false" outlineLevel="0" collapsed="false">
      <c r="A3804" s="5" t="n">
        <v>6</v>
      </c>
      <c r="B3804" s="5" t="n">
        <v>3</v>
      </c>
      <c r="C3804" s="5" t="s">
        <v>375</v>
      </c>
      <c r="D3804" s="5" t="s">
        <v>1782</v>
      </c>
      <c r="E3804" s="5" t="n">
        <v>1</v>
      </c>
      <c r="F3804" s="6" t="n">
        <f aca="false">IFERROR(MATCH(A3804&amp;"|"&amp;B3804&amp;"|"&amp;D3804,'All Song Rankings'!$T:$T,0),0)</f>
        <v>583</v>
      </c>
      <c r="G3804" s="6" t="str">
        <f aca="false">IF(F3804=0,"NOT FOUND",INDEX('All Song Rankings'!$A:$A,F3804))</f>
        <v>BATTLE WITHOUT HONOR OR HUMANITY</v>
      </c>
      <c r="H3804" s="6" t="str">
        <f aca="false">IF(F3804=0,"NOT FOUND",INDEX('All Song Rankings'!$B:$B,F3804))</f>
        <v>HOTEI</v>
      </c>
      <c r="I3804" s="6" t="str">
        <f aca="false">IF(F3804=0,"NOT FOUND",INDEX('All Song Rankings'!$D:$D,F3804))</f>
        <v>Stephanie</v>
      </c>
      <c r="J3804" s="7" t="str">
        <f aca="false">IF(F3804=0,"NOT FOUND",IF(C3804=I3804,"SELF-VOTE",IF(COUNTIF($K:$K,K3804)&gt;1,"DUPLICATE","OK")))</f>
        <v>OK</v>
      </c>
      <c r="K3804" s="6" t="str">
        <f aca="false">A3804&amp;"|"&amp;B3804&amp;"|"&amp;C3804&amp;"|"&amp;D3804</f>
        <v>6|3|Aubrey|spotify:track:0PH3OkM1QnIyb44VhFVbca</v>
      </c>
    </row>
    <row r="3805" customFormat="false" ht="15" hidden="false" customHeight="false" outlineLevel="0" collapsed="false">
      <c r="A3805" s="5" t="n">
        <v>6</v>
      </c>
      <c r="B3805" s="5" t="n">
        <v>3</v>
      </c>
      <c r="C3805" s="5" t="s">
        <v>375</v>
      </c>
      <c r="D3805" s="5" t="s">
        <v>1814</v>
      </c>
      <c r="E3805" s="5" t="n">
        <v>1</v>
      </c>
      <c r="F3805" s="6" t="n">
        <f aca="false">IFERROR(MATCH(A3805&amp;"|"&amp;B3805&amp;"|"&amp;D3805,'All Song Rankings'!$T:$T,0),0)</f>
        <v>594</v>
      </c>
      <c r="G3805" s="6" t="str">
        <f aca="false">IF(F3805=0,"NOT FOUND",INDEX('All Song Rankings'!$A:$A,F3805))</f>
        <v>Connor Main Theme - Connor - (From "Detroit:Become Human" Soundtrack)</v>
      </c>
      <c r="H3805" s="6" t="str">
        <f aca="false">IF(F3805=0,"NOT FOUND",INDEX('All Song Rankings'!$B:$B,F3805))</f>
        <v>Nima Fakhrara</v>
      </c>
      <c r="I3805" s="6" t="str">
        <f aca="false">IF(F3805=0,"NOT FOUND",INDEX('All Song Rankings'!$D:$D,F3805))</f>
        <v>Merita</v>
      </c>
      <c r="J3805" s="7" t="str">
        <f aca="false">IF(F3805=0,"NOT FOUND",IF(C3805=I3805,"SELF-VOTE",IF(COUNTIF($K:$K,K3805)&gt;1,"DUPLICATE","OK")))</f>
        <v>OK</v>
      </c>
      <c r="K3805" s="6" t="str">
        <f aca="false">A3805&amp;"|"&amp;B3805&amp;"|"&amp;C3805&amp;"|"&amp;D3805</f>
        <v>6|3|Aubrey|spotify:track:1oYqTiYgy3fSqAuMYCxxye</v>
      </c>
    </row>
    <row r="3806" customFormat="false" ht="15" hidden="false" customHeight="false" outlineLevel="0" collapsed="false">
      <c r="A3806" s="5" t="n">
        <v>6</v>
      </c>
      <c r="B3806" s="5" t="n">
        <v>3</v>
      </c>
      <c r="C3806" s="5" t="s">
        <v>375</v>
      </c>
      <c r="D3806" s="5" t="s">
        <v>1779</v>
      </c>
      <c r="E3806" s="5" t="n">
        <v>1</v>
      </c>
      <c r="F3806" s="6" t="n">
        <f aca="false">IFERROR(MATCH(A3806&amp;"|"&amp;B3806&amp;"|"&amp;D3806,'All Song Rankings'!$T:$T,0),0)</f>
        <v>582</v>
      </c>
      <c r="G3806" s="6" t="str">
        <f aca="false">IF(F3806=0,"NOT FOUND",INDEX('All Song Rankings'!$A:$A,F3806))</f>
        <v>Adventurer</v>
      </c>
      <c r="H3806" s="6" t="str">
        <f aca="false">IF(F3806=0,"NOT FOUND",INDEX('All Song Rankings'!$B:$B,F3806))</f>
        <v>The Gothard Sisters</v>
      </c>
      <c r="I3806" s="6" t="str">
        <f aca="false">IF(F3806=0,"NOT FOUND",INDEX('All Song Rankings'!$D:$D,F3806))</f>
        <v>Colleen</v>
      </c>
      <c r="J3806" s="7" t="str">
        <f aca="false">IF(F3806=0,"NOT FOUND",IF(C3806=I3806,"SELF-VOTE",IF(COUNTIF($K:$K,K3806)&gt;1,"DUPLICATE","OK")))</f>
        <v>OK</v>
      </c>
      <c r="K3806" s="6" t="str">
        <f aca="false">A3806&amp;"|"&amp;B3806&amp;"|"&amp;C3806&amp;"|"&amp;D3806</f>
        <v>6|3|Aubrey|spotify:track:1yfQcZvnS3KBesBOlBfMKn</v>
      </c>
    </row>
    <row r="3807" customFormat="false" ht="15" hidden="false" customHeight="false" outlineLevel="0" collapsed="false">
      <c r="A3807" s="5" t="n">
        <v>6</v>
      </c>
      <c r="B3807" s="5" t="n">
        <v>3</v>
      </c>
      <c r="C3807" s="5" t="s">
        <v>375</v>
      </c>
      <c r="D3807" s="5" t="s">
        <v>1811</v>
      </c>
      <c r="E3807" s="5" t="n">
        <v>1</v>
      </c>
      <c r="F3807" s="6" t="n">
        <f aca="false">IFERROR(MATCH(A3807&amp;"|"&amp;B3807&amp;"|"&amp;D3807,'All Song Rankings'!$T:$T,0),0)</f>
        <v>593</v>
      </c>
      <c r="G3807" s="6" t="str">
        <f aca="false">IF(F3807=0,"NOT FOUND",INDEX('All Song Rankings'!$A:$A,F3807))</f>
        <v>Les jours tristes - Instrumental</v>
      </c>
      <c r="H3807" s="6" t="str">
        <f aca="false">IF(F3807=0,"NOT FOUND",INDEX('All Song Rankings'!$B:$B,F3807))</f>
        <v>Yann Tiersen</v>
      </c>
      <c r="I3807" s="6" t="str">
        <f aca="false">IF(F3807=0,"NOT FOUND",INDEX('All Song Rankings'!$D:$D,F3807))</f>
        <v>Grace</v>
      </c>
      <c r="J3807" s="7" t="str">
        <f aca="false">IF(F3807=0,"NOT FOUND",IF(C3807=I3807,"SELF-VOTE",IF(COUNTIF($K:$K,K3807)&gt;1,"DUPLICATE","OK")))</f>
        <v>OK</v>
      </c>
      <c r="K3807" s="6" t="str">
        <f aca="false">A3807&amp;"|"&amp;B3807&amp;"|"&amp;C3807&amp;"|"&amp;D3807</f>
        <v>6|3|Aubrey|spotify:track:26usmxPwvxV8Gd7sAbR323</v>
      </c>
    </row>
    <row r="3808" customFormat="false" ht="15" hidden="false" customHeight="false" outlineLevel="0" collapsed="false">
      <c r="A3808" s="5" t="n">
        <v>6</v>
      </c>
      <c r="B3808" s="5" t="n">
        <v>3</v>
      </c>
      <c r="C3808" s="5" t="s">
        <v>375</v>
      </c>
      <c r="D3808" s="5" t="s">
        <v>1788</v>
      </c>
      <c r="E3808" s="5" t="n">
        <v>1</v>
      </c>
      <c r="F3808" s="6" t="n">
        <f aca="false">IFERROR(MATCH(A3808&amp;"|"&amp;B3808&amp;"|"&amp;D3808,'All Song Rankings'!$T:$T,0),0)</f>
        <v>585</v>
      </c>
      <c r="G3808" s="6" t="str">
        <f aca="false">IF(F3808=0,"NOT FOUND",INDEX('All Song Rankings'!$A:$A,F3808))</f>
        <v>Agape</v>
      </c>
      <c r="H3808" s="6" t="str">
        <f aca="false">IF(F3808=0,"NOT FOUND",INDEX('All Song Rankings'!$B:$B,F3808))</f>
        <v>Nicholas Britell</v>
      </c>
      <c r="I3808" s="6" t="str">
        <f aca="false">IF(F3808=0,"NOT FOUND",INDEX('All Song Rankings'!$D:$D,F3808))</f>
        <v>Logan</v>
      </c>
      <c r="J3808" s="7" t="str">
        <f aca="false">IF(F3808=0,"NOT FOUND",IF(C3808=I3808,"SELF-VOTE",IF(COUNTIF($K:$K,K3808)&gt;1,"DUPLICATE","OK")))</f>
        <v>OK</v>
      </c>
      <c r="K3808" s="6" t="str">
        <f aca="false">A3808&amp;"|"&amp;B3808&amp;"|"&amp;C3808&amp;"|"&amp;D3808</f>
        <v>6|3|Aubrey|spotify:track:2IvnDjlgH8yy70Nz99UdcJ</v>
      </c>
    </row>
    <row r="3809" customFormat="false" ht="15" hidden="false" customHeight="false" outlineLevel="0" collapsed="false">
      <c r="A3809" s="5" t="n">
        <v>6</v>
      </c>
      <c r="B3809" s="5" t="n">
        <v>3</v>
      </c>
      <c r="C3809" s="5" t="s">
        <v>375</v>
      </c>
      <c r="D3809" s="5" t="s">
        <v>1785</v>
      </c>
      <c r="E3809" s="5" t="n">
        <v>1</v>
      </c>
      <c r="F3809" s="6" t="n">
        <f aca="false">IFERROR(MATCH(A3809&amp;"|"&amp;B3809&amp;"|"&amp;D3809,'All Song Rankings'!$T:$T,0),0)</f>
        <v>584</v>
      </c>
      <c r="G3809" s="6" t="str">
        <f aca="false">IF(F3809=0,"NOT FOUND",INDEX('All Song Rankings'!$A:$A,F3809))</f>
        <v>Main Title</v>
      </c>
      <c r="H3809" s="6" t="str">
        <f aca="false">IF(F3809=0,"NOT FOUND",INDEX('All Song Rankings'!$B:$B,F3809))</f>
        <v>Ramin Djawadi</v>
      </c>
      <c r="I3809" s="6" t="str">
        <f aca="false">IF(F3809=0,"NOT FOUND",INDEX('All Song Rankings'!$D:$D,F3809))</f>
        <v>Kelsey</v>
      </c>
      <c r="J3809" s="7" t="str">
        <f aca="false">IF(F3809=0,"NOT FOUND",IF(C3809=I3809,"SELF-VOTE",IF(COUNTIF($K:$K,K3809)&gt;1,"DUPLICATE","OK")))</f>
        <v>OK</v>
      </c>
      <c r="K3809" s="6" t="str">
        <f aca="false">A3809&amp;"|"&amp;B3809&amp;"|"&amp;C3809&amp;"|"&amp;D3809</f>
        <v>6|3|Aubrey|spotify:track:2q6fxAvSpqXR4jx9Ne7RGz</v>
      </c>
    </row>
    <row r="3810" customFormat="false" ht="15" hidden="false" customHeight="false" outlineLevel="0" collapsed="false">
      <c r="A3810" s="5" t="n">
        <v>6</v>
      </c>
      <c r="B3810" s="5" t="n">
        <v>3</v>
      </c>
      <c r="C3810" s="5" t="s">
        <v>375</v>
      </c>
      <c r="D3810" s="5" t="s">
        <v>1774</v>
      </c>
      <c r="E3810" s="5" t="n">
        <v>1</v>
      </c>
      <c r="F3810" s="6" t="n">
        <f aca="false">IFERROR(MATCH(A3810&amp;"|"&amp;B3810&amp;"|"&amp;D3810,'All Song Rankings'!$T:$T,0),0)</f>
        <v>580</v>
      </c>
      <c r="G3810" s="6" t="str">
        <f aca="false">IF(F3810=0,"NOT FOUND",INDEX('All Song Rankings'!$A:$A,F3810))</f>
        <v>Cosmos</v>
      </c>
      <c r="H3810" s="6" t="str">
        <f aca="false">IF(F3810=0,"NOT FOUND",INDEX('All Song Rankings'!$B:$B,F3810))</f>
        <v>standards</v>
      </c>
      <c r="I3810" s="6" t="str">
        <f aca="false">IF(F3810=0,"NOT FOUND",INDEX('All Song Rankings'!$D:$D,F3810))</f>
        <v>Scott</v>
      </c>
      <c r="J3810" s="7" t="str">
        <f aca="false">IF(F3810=0,"NOT FOUND",IF(C3810=I3810,"SELF-VOTE",IF(COUNTIF($K:$K,K3810)&gt;1,"DUPLICATE","OK")))</f>
        <v>OK</v>
      </c>
      <c r="K3810" s="6" t="str">
        <f aca="false">A3810&amp;"|"&amp;B3810&amp;"|"&amp;C3810&amp;"|"&amp;D3810</f>
        <v>6|3|Aubrey|spotify:track:3KmFdgv6niTJHVuo3MB2H0</v>
      </c>
    </row>
    <row r="3811" customFormat="false" ht="15" hidden="false" customHeight="false" outlineLevel="0" collapsed="false">
      <c r="A3811" s="5" t="n">
        <v>6</v>
      </c>
      <c r="B3811" s="5" t="n">
        <v>3</v>
      </c>
      <c r="C3811" s="5" t="s">
        <v>375</v>
      </c>
      <c r="D3811" s="5" t="s">
        <v>1808</v>
      </c>
      <c r="E3811" s="5" t="n">
        <v>1</v>
      </c>
      <c r="F3811" s="6" t="n">
        <f aca="false">IFERROR(MATCH(A3811&amp;"|"&amp;B3811&amp;"|"&amp;D3811,'All Song Rankings'!$T:$T,0),0)</f>
        <v>592</v>
      </c>
      <c r="G3811" s="6" t="str">
        <f aca="false">IF(F3811=0,"NOT FOUND",INDEX('All Song Rankings'!$A:$A,F3811))</f>
        <v>Hall of the Mountain King</v>
      </c>
      <c r="H3811" s="6" t="str">
        <f aca="false">IF(F3811=0,"NOT FOUND",INDEX('All Song Rankings'!$B:$B,F3811))</f>
        <v>Apocalyptica</v>
      </c>
      <c r="I3811" s="6" t="str">
        <f aca="false">IF(F3811=0,"NOT FOUND",INDEX('All Song Rankings'!$D:$D,F3811))</f>
        <v>Christine</v>
      </c>
      <c r="J3811" s="7" t="str">
        <f aca="false">IF(F3811=0,"NOT FOUND",IF(C3811=I3811,"SELF-VOTE",IF(COUNTIF($K:$K,K3811)&gt;1,"DUPLICATE","OK")))</f>
        <v>OK</v>
      </c>
      <c r="K3811" s="6" t="str">
        <f aca="false">A3811&amp;"|"&amp;B3811&amp;"|"&amp;C3811&amp;"|"&amp;D3811</f>
        <v>6|3|Aubrey|spotify:track:3hpFMfExUUBn7pJvuLMMwQ</v>
      </c>
    </row>
    <row r="3812" customFormat="false" ht="15" hidden="false" customHeight="false" outlineLevel="0" collapsed="false">
      <c r="A3812" s="5" t="n">
        <v>6</v>
      </c>
      <c r="B3812" s="5" t="n">
        <v>3</v>
      </c>
      <c r="C3812" s="5" t="s">
        <v>375</v>
      </c>
      <c r="D3812" s="5" t="s">
        <v>1796</v>
      </c>
      <c r="E3812" s="5" t="n">
        <v>1</v>
      </c>
      <c r="F3812" s="6" t="n">
        <f aca="false">IFERROR(MATCH(A3812&amp;"|"&amp;B3812&amp;"|"&amp;D3812,'All Song Rankings'!$T:$T,0),0)</f>
        <v>588</v>
      </c>
      <c r="G3812" s="6" t="str">
        <f aca="false">IF(F3812=0,"NOT FOUND",INDEX('All Song Rankings'!$A:$A,F3812))</f>
        <v>Time</v>
      </c>
      <c r="H3812" s="6" t="str">
        <f aca="false">IF(F3812=0,"NOT FOUND",INDEX('All Song Rankings'!$B:$B,F3812))</f>
        <v>Hans Zimmer</v>
      </c>
      <c r="I3812" s="6" t="str">
        <f aca="false">IF(F3812=0,"NOT FOUND",INDEX('All Song Rankings'!$D:$D,F3812))</f>
        <v>Kristen</v>
      </c>
      <c r="J3812" s="7" t="str">
        <f aca="false">IF(F3812=0,"NOT FOUND",IF(C3812=I3812,"SELF-VOTE",IF(COUNTIF($K:$K,K3812)&gt;1,"DUPLICATE","OK")))</f>
        <v>OK</v>
      </c>
      <c r="K3812" s="6" t="str">
        <f aca="false">A3812&amp;"|"&amp;B3812&amp;"|"&amp;C3812&amp;"|"&amp;D3812</f>
        <v>6|3|Aubrey|spotify:track:6ZFbXIJkuI1dVNWvzJzown</v>
      </c>
    </row>
    <row r="3813" customFormat="false" ht="15" hidden="false" customHeight="false" outlineLevel="0" collapsed="false">
      <c r="A3813" s="5" t="n">
        <v>6</v>
      </c>
      <c r="B3813" s="5" t="n">
        <v>3</v>
      </c>
      <c r="C3813" s="5" t="s">
        <v>375</v>
      </c>
      <c r="D3813" s="5" t="s">
        <v>1776</v>
      </c>
      <c r="E3813" s="5" t="n">
        <v>1</v>
      </c>
      <c r="F3813" s="6" t="n">
        <f aca="false">IFERROR(MATCH(A3813&amp;"|"&amp;B3813&amp;"|"&amp;D3813,'All Song Rankings'!$T:$T,0),0)</f>
        <v>581</v>
      </c>
      <c r="G3813" s="6" t="str">
        <f aca="false">IF(F3813=0,"NOT FOUND",INDEX('All Song Rankings'!$A:$A,F3813))</f>
        <v>Roundtable Rival</v>
      </c>
      <c r="H3813" s="6" t="str">
        <f aca="false">IF(F3813=0,"NOT FOUND",INDEX('All Song Rankings'!$B:$B,F3813))</f>
        <v>Lindsey Stirling</v>
      </c>
      <c r="I3813" s="6" t="str">
        <f aca="false">IF(F3813=0,"NOT FOUND",INDEX('All Song Rankings'!$D:$D,F3813))</f>
        <v>Leah</v>
      </c>
      <c r="J3813" s="7" t="str">
        <f aca="false">IF(F3813=0,"NOT FOUND",IF(C3813=I3813,"SELF-VOTE",IF(COUNTIF($K:$K,K3813)&gt;1,"DUPLICATE","OK")))</f>
        <v>OK</v>
      </c>
      <c r="K3813" s="6" t="str">
        <f aca="false">A3813&amp;"|"&amp;B3813&amp;"|"&amp;C3813&amp;"|"&amp;D3813</f>
        <v>6|3|Aubrey|spotify:track:7fLOFRCRe1c4kyoLJkNW1w</v>
      </c>
    </row>
    <row r="3814" customFormat="false" ht="15" hidden="false" customHeight="false" outlineLevel="0" collapsed="false">
      <c r="A3814" s="5" t="n">
        <v>6</v>
      </c>
      <c r="B3814" s="5" t="n">
        <v>3</v>
      </c>
      <c r="C3814" s="5" t="s">
        <v>719</v>
      </c>
      <c r="D3814" s="5" t="s">
        <v>1782</v>
      </c>
      <c r="E3814" s="5" t="n">
        <v>2</v>
      </c>
      <c r="F3814" s="6" t="n">
        <f aca="false">IFERROR(MATCH(A3814&amp;"|"&amp;B3814&amp;"|"&amp;D3814,'All Song Rankings'!$T:$T,0),0)</f>
        <v>583</v>
      </c>
      <c r="G3814" s="6" t="str">
        <f aca="false">IF(F3814=0,"NOT FOUND",INDEX('All Song Rankings'!$A:$A,F3814))</f>
        <v>BATTLE WITHOUT HONOR OR HUMANITY</v>
      </c>
      <c r="H3814" s="6" t="str">
        <f aca="false">IF(F3814=0,"NOT FOUND",INDEX('All Song Rankings'!$B:$B,F3814))</f>
        <v>HOTEI</v>
      </c>
      <c r="I3814" s="6" t="str">
        <f aca="false">IF(F3814=0,"NOT FOUND",INDEX('All Song Rankings'!$D:$D,F3814))</f>
        <v>Stephanie</v>
      </c>
      <c r="J3814" s="7" t="str">
        <f aca="false">IF(F3814=0,"NOT FOUND",IF(C3814=I3814,"SELF-VOTE",IF(COUNTIF($K:$K,K3814)&gt;1,"DUPLICATE","OK")))</f>
        <v>OK</v>
      </c>
      <c r="K3814" s="6" t="str">
        <f aca="false">A3814&amp;"|"&amp;B3814&amp;"|"&amp;C3814&amp;"|"&amp;D3814</f>
        <v>6|3|Christine|spotify:track:0PH3OkM1QnIyb44VhFVbca</v>
      </c>
    </row>
    <row r="3815" customFormat="false" ht="15" hidden="false" customHeight="false" outlineLevel="0" collapsed="false">
      <c r="A3815" s="5" t="n">
        <v>6</v>
      </c>
      <c r="B3815" s="5" t="n">
        <v>3</v>
      </c>
      <c r="C3815" s="5" t="s">
        <v>719</v>
      </c>
      <c r="D3815" s="5" t="s">
        <v>1779</v>
      </c>
      <c r="E3815" s="5" t="n">
        <v>2</v>
      </c>
      <c r="F3815" s="6" t="n">
        <f aca="false">IFERROR(MATCH(A3815&amp;"|"&amp;B3815&amp;"|"&amp;D3815,'All Song Rankings'!$T:$T,0),0)</f>
        <v>582</v>
      </c>
      <c r="G3815" s="6" t="str">
        <f aca="false">IF(F3815=0,"NOT FOUND",INDEX('All Song Rankings'!$A:$A,F3815))</f>
        <v>Adventurer</v>
      </c>
      <c r="H3815" s="6" t="str">
        <f aca="false">IF(F3815=0,"NOT FOUND",INDEX('All Song Rankings'!$B:$B,F3815))</f>
        <v>The Gothard Sisters</v>
      </c>
      <c r="I3815" s="6" t="str">
        <f aca="false">IF(F3815=0,"NOT FOUND",INDEX('All Song Rankings'!$D:$D,F3815))</f>
        <v>Colleen</v>
      </c>
      <c r="J3815" s="7" t="str">
        <f aca="false">IF(F3815=0,"NOT FOUND",IF(C3815=I3815,"SELF-VOTE",IF(COUNTIF($K:$K,K3815)&gt;1,"DUPLICATE","OK")))</f>
        <v>OK</v>
      </c>
      <c r="K3815" s="6" t="str">
        <f aca="false">A3815&amp;"|"&amp;B3815&amp;"|"&amp;C3815&amp;"|"&amp;D3815</f>
        <v>6|3|Christine|spotify:track:1yfQcZvnS3KBesBOlBfMKn</v>
      </c>
    </row>
    <row r="3816" customFormat="false" ht="15" hidden="false" customHeight="false" outlineLevel="0" collapsed="false">
      <c r="A3816" s="5" t="n">
        <v>6</v>
      </c>
      <c r="B3816" s="5" t="n">
        <v>3</v>
      </c>
      <c r="C3816" s="5" t="s">
        <v>719</v>
      </c>
      <c r="D3816" s="5" t="s">
        <v>1774</v>
      </c>
      <c r="E3816" s="5" t="n">
        <v>2</v>
      </c>
      <c r="F3816" s="6" t="n">
        <f aca="false">IFERROR(MATCH(A3816&amp;"|"&amp;B3816&amp;"|"&amp;D3816,'All Song Rankings'!$T:$T,0),0)</f>
        <v>580</v>
      </c>
      <c r="G3816" s="6" t="str">
        <f aca="false">IF(F3816=0,"NOT FOUND",INDEX('All Song Rankings'!$A:$A,F3816))</f>
        <v>Cosmos</v>
      </c>
      <c r="H3816" s="6" t="str">
        <f aca="false">IF(F3816=0,"NOT FOUND",INDEX('All Song Rankings'!$B:$B,F3816))</f>
        <v>standards</v>
      </c>
      <c r="I3816" s="6" t="str">
        <f aca="false">IF(F3816=0,"NOT FOUND",INDEX('All Song Rankings'!$D:$D,F3816))</f>
        <v>Scott</v>
      </c>
      <c r="J3816" s="7" t="str">
        <f aca="false">IF(F3816=0,"NOT FOUND",IF(C3816=I3816,"SELF-VOTE",IF(COUNTIF($K:$K,K3816)&gt;1,"DUPLICATE","OK")))</f>
        <v>OK</v>
      </c>
      <c r="K3816" s="6" t="str">
        <f aca="false">A3816&amp;"|"&amp;B3816&amp;"|"&amp;C3816&amp;"|"&amp;D3816</f>
        <v>6|3|Christine|spotify:track:3KmFdgv6niTJHVuo3MB2H0</v>
      </c>
    </row>
    <row r="3817" customFormat="false" ht="15" hidden="false" customHeight="false" outlineLevel="0" collapsed="false">
      <c r="A3817" s="5" t="n">
        <v>6</v>
      </c>
      <c r="B3817" s="5" t="n">
        <v>3</v>
      </c>
      <c r="C3817" s="5" t="s">
        <v>719</v>
      </c>
      <c r="D3817" s="5" t="s">
        <v>1791</v>
      </c>
      <c r="E3817" s="5" t="n">
        <v>2</v>
      </c>
      <c r="F3817" s="6" t="n">
        <f aca="false">IFERROR(MATCH(A3817&amp;"|"&amp;B3817&amp;"|"&amp;D3817,'All Song Rankings'!$T:$T,0),0)</f>
        <v>586</v>
      </c>
      <c r="G3817" s="6" t="str">
        <f aca="false">IF(F3817=0,"NOT FOUND",INDEX('All Song Rankings'!$A:$A,F3817))</f>
        <v>YYZ</v>
      </c>
      <c r="H3817" s="6" t="str">
        <f aca="false">IF(F3817=0,"NOT FOUND",INDEX('All Song Rankings'!$B:$B,F3817))</f>
        <v>Rush</v>
      </c>
      <c r="I3817" s="6" t="str">
        <f aca="false">IF(F3817=0,"NOT FOUND",INDEX('All Song Rankings'!$D:$D,F3817))</f>
        <v>Aubrey</v>
      </c>
      <c r="J3817" s="7" t="str">
        <f aca="false">IF(F3817=0,"NOT FOUND",IF(C3817=I3817,"SELF-VOTE",IF(COUNTIF($K:$K,K3817)&gt;1,"DUPLICATE","OK")))</f>
        <v>OK</v>
      </c>
      <c r="K3817" s="6" t="str">
        <f aca="false">A3817&amp;"|"&amp;B3817&amp;"|"&amp;C3817&amp;"|"&amp;D3817</f>
        <v>6|3|Christine|spotify:track:3lpDrxUkr0tIe1kmJvdK7d</v>
      </c>
    </row>
    <row r="3818" customFormat="false" ht="15" hidden="false" customHeight="false" outlineLevel="0" collapsed="false">
      <c r="A3818" s="5" t="n">
        <v>6</v>
      </c>
      <c r="B3818" s="5" t="n">
        <v>3</v>
      </c>
      <c r="C3818" s="5" t="s">
        <v>719</v>
      </c>
      <c r="D3818" s="5" t="s">
        <v>1805</v>
      </c>
      <c r="E3818" s="5" t="n">
        <v>1</v>
      </c>
      <c r="F3818" s="6" t="n">
        <f aca="false">IFERROR(MATCH(A3818&amp;"|"&amp;B3818&amp;"|"&amp;D3818,'All Song Rankings'!$T:$T,0),0)</f>
        <v>591</v>
      </c>
      <c r="G3818" s="6" t="str">
        <f aca="false">IF(F3818=0,"NOT FOUND",INDEX('All Song Rankings'!$A:$A,F3818))</f>
        <v>Orion (Remastered)</v>
      </c>
      <c r="H3818" s="6" t="str">
        <f aca="false">IF(F3818=0,"NOT FOUND",INDEX('All Song Rankings'!$B:$B,F3818))</f>
        <v>Metallica</v>
      </c>
      <c r="I3818" s="6" t="str">
        <f aca="false">IF(F3818=0,"NOT FOUND",INDEX('All Song Rankings'!$D:$D,F3818))</f>
        <v>Makenzie</v>
      </c>
      <c r="J3818" s="7" t="str">
        <f aca="false">IF(F3818=0,"NOT FOUND",IF(C3818=I3818,"SELF-VOTE",IF(COUNTIF($K:$K,K3818)&gt;1,"DUPLICATE","OK")))</f>
        <v>OK</v>
      </c>
      <c r="K3818" s="6" t="str">
        <f aca="false">A3818&amp;"|"&amp;B3818&amp;"|"&amp;C3818&amp;"|"&amp;D3818</f>
        <v>6|3|Christine|spotify:track:4xyWJM4kscTROV2RESdwpd</v>
      </c>
    </row>
    <row r="3819" customFormat="false" ht="15" hidden="false" customHeight="false" outlineLevel="0" collapsed="false">
      <c r="A3819" s="5" t="n">
        <v>6</v>
      </c>
      <c r="B3819" s="5" t="n">
        <v>3</v>
      </c>
      <c r="C3819" s="5" t="s">
        <v>719</v>
      </c>
      <c r="D3819" s="5" t="s">
        <v>1794</v>
      </c>
      <c r="E3819" s="5" t="n">
        <v>1</v>
      </c>
      <c r="F3819" s="6" t="n">
        <f aca="false">IFERROR(MATCH(A3819&amp;"|"&amp;B3819&amp;"|"&amp;D3819,'All Song Rankings'!$T:$T,0),0)</f>
        <v>587</v>
      </c>
      <c r="G3819" s="6" t="str">
        <f aca="false">IF(F3819=0,"NOT FOUND",INDEX('All Song Rankings'!$A:$A,F3819))</f>
        <v>Symphony No. 7 in A Major, Op. 92: II. Allegretto</v>
      </c>
      <c r="H3819" s="6" t="str">
        <f aca="false">IF(F3819=0,"NOT FOUND",INDEX('All Song Rankings'!$B:$B,F3819))</f>
        <v>Ludwig van Beethoven</v>
      </c>
      <c r="I3819" s="6" t="str">
        <f aca="false">IF(F3819=0,"NOT FOUND",INDEX('All Song Rankings'!$D:$D,F3819))</f>
        <v>Matt</v>
      </c>
      <c r="J3819" s="7" t="str">
        <f aca="false">IF(F3819=0,"NOT FOUND",IF(C3819=I3819,"SELF-VOTE",IF(COUNTIF($K:$K,K3819)&gt;1,"DUPLICATE","OK")))</f>
        <v>OK</v>
      </c>
      <c r="K3819" s="6" t="str">
        <f aca="false">A3819&amp;"|"&amp;B3819&amp;"|"&amp;C3819&amp;"|"&amp;D3819</f>
        <v>6|3|Christine|spotify:track:4zpAd3OLeEfMI9V6WykeTd</v>
      </c>
    </row>
    <row r="3820" customFormat="false" ht="15" hidden="false" customHeight="false" outlineLevel="0" collapsed="false">
      <c r="A3820" s="5" t="n">
        <v>6</v>
      </c>
      <c r="B3820" s="5" t="n">
        <v>3</v>
      </c>
      <c r="C3820" s="5" t="s">
        <v>637</v>
      </c>
      <c r="D3820" s="5" t="s">
        <v>1782</v>
      </c>
      <c r="E3820" s="5" t="n">
        <v>1</v>
      </c>
      <c r="F3820" s="6" t="n">
        <f aca="false">IFERROR(MATCH(A3820&amp;"|"&amp;B3820&amp;"|"&amp;D3820,'All Song Rankings'!$T:$T,0),0)</f>
        <v>583</v>
      </c>
      <c r="G3820" s="6" t="str">
        <f aca="false">IF(F3820=0,"NOT FOUND",INDEX('All Song Rankings'!$A:$A,F3820))</f>
        <v>BATTLE WITHOUT HONOR OR HUMANITY</v>
      </c>
      <c r="H3820" s="6" t="str">
        <f aca="false">IF(F3820=0,"NOT FOUND",INDEX('All Song Rankings'!$B:$B,F3820))</f>
        <v>HOTEI</v>
      </c>
      <c r="I3820" s="6" t="str">
        <f aca="false">IF(F3820=0,"NOT FOUND",INDEX('All Song Rankings'!$D:$D,F3820))</f>
        <v>Stephanie</v>
      </c>
      <c r="J3820" s="7" t="str">
        <f aca="false">IF(F3820=0,"NOT FOUND",IF(C3820=I3820,"SELF-VOTE",IF(COUNTIF($K:$K,K3820)&gt;1,"DUPLICATE","OK")))</f>
        <v>OK</v>
      </c>
      <c r="K3820" s="6" t="str">
        <f aca="false">A3820&amp;"|"&amp;B3820&amp;"|"&amp;C3820&amp;"|"&amp;D3820</f>
        <v>6|3|Colleen|spotify:track:0PH3OkM1QnIyb44VhFVbca</v>
      </c>
    </row>
    <row r="3821" customFormat="false" ht="15" hidden="false" customHeight="false" outlineLevel="0" collapsed="false">
      <c r="A3821" s="5" t="n">
        <v>6</v>
      </c>
      <c r="B3821" s="5" t="n">
        <v>3</v>
      </c>
      <c r="C3821" s="5" t="s">
        <v>637</v>
      </c>
      <c r="D3821" s="5" t="s">
        <v>1799</v>
      </c>
      <c r="E3821" s="5" t="n">
        <v>1</v>
      </c>
      <c r="F3821" s="6" t="n">
        <f aca="false">IFERROR(MATCH(A3821&amp;"|"&amp;B3821&amp;"|"&amp;D3821,'All Song Rankings'!$T:$T,0),0)</f>
        <v>589</v>
      </c>
      <c r="G3821" s="6" t="str">
        <f aca="false">IF(F3821=0,"NOT FOUND",INDEX('All Song Rankings'!$A:$A,F3821))</f>
        <v>Promentory</v>
      </c>
      <c r="H3821" s="6" t="str">
        <f aca="false">IF(F3821=0,"NOT FOUND",INDEX('All Song Rankings'!$B:$B,F3821))</f>
        <v>Trevor Jones</v>
      </c>
      <c r="I3821" s="6" t="str">
        <f aca="false">IF(F3821=0,"NOT FOUND",INDEX('All Song Rankings'!$D:$D,F3821))</f>
        <v>Lisa</v>
      </c>
      <c r="J3821" s="7" t="str">
        <f aca="false">IF(F3821=0,"NOT FOUND",IF(C3821=I3821,"SELF-VOTE",IF(COUNTIF($K:$K,K3821)&gt;1,"DUPLICATE","OK")))</f>
        <v>OK</v>
      </c>
      <c r="K3821" s="6" t="str">
        <f aca="false">A3821&amp;"|"&amp;B3821&amp;"|"&amp;C3821&amp;"|"&amp;D3821</f>
        <v>6|3|Colleen|spotify:track:0l4seNH8AyE2kvjxFfpWi1</v>
      </c>
    </row>
    <row r="3822" customFormat="false" ht="15" hidden="false" customHeight="false" outlineLevel="0" collapsed="false">
      <c r="A3822" s="5" t="n">
        <v>6</v>
      </c>
      <c r="B3822" s="5" t="n">
        <v>3</v>
      </c>
      <c r="C3822" s="5" t="s">
        <v>637</v>
      </c>
      <c r="D3822" s="5" t="s">
        <v>1788</v>
      </c>
      <c r="E3822" s="5" t="n">
        <v>1</v>
      </c>
      <c r="F3822" s="6" t="n">
        <f aca="false">IFERROR(MATCH(A3822&amp;"|"&amp;B3822&amp;"|"&amp;D3822,'All Song Rankings'!$T:$T,0),0)</f>
        <v>585</v>
      </c>
      <c r="G3822" s="6" t="str">
        <f aca="false">IF(F3822=0,"NOT FOUND",INDEX('All Song Rankings'!$A:$A,F3822))</f>
        <v>Agape</v>
      </c>
      <c r="H3822" s="6" t="str">
        <f aca="false">IF(F3822=0,"NOT FOUND",INDEX('All Song Rankings'!$B:$B,F3822))</f>
        <v>Nicholas Britell</v>
      </c>
      <c r="I3822" s="6" t="str">
        <f aca="false">IF(F3822=0,"NOT FOUND",INDEX('All Song Rankings'!$D:$D,F3822))</f>
        <v>Logan</v>
      </c>
      <c r="J3822" s="7" t="str">
        <f aca="false">IF(F3822=0,"NOT FOUND",IF(C3822=I3822,"SELF-VOTE",IF(COUNTIF($K:$K,K3822)&gt;1,"DUPLICATE","OK")))</f>
        <v>OK</v>
      </c>
      <c r="K3822" s="6" t="str">
        <f aca="false">A3822&amp;"|"&amp;B3822&amp;"|"&amp;C3822&amp;"|"&amp;D3822</f>
        <v>6|3|Colleen|spotify:track:2IvnDjlgH8yy70Nz99UdcJ</v>
      </c>
    </row>
    <row r="3823" customFormat="false" ht="15" hidden="false" customHeight="false" outlineLevel="0" collapsed="false">
      <c r="A3823" s="5" t="n">
        <v>6</v>
      </c>
      <c r="B3823" s="5" t="n">
        <v>3</v>
      </c>
      <c r="C3823" s="5" t="s">
        <v>637</v>
      </c>
      <c r="D3823" s="5" t="s">
        <v>1774</v>
      </c>
      <c r="E3823" s="5" t="n">
        <v>2</v>
      </c>
      <c r="F3823" s="6" t="n">
        <f aca="false">IFERROR(MATCH(A3823&amp;"|"&amp;B3823&amp;"|"&amp;D3823,'All Song Rankings'!$T:$T,0),0)</f>
        <v>580</v>
      </c>
      <c r="G3823" s="6" t="str">
        <f aca="false">IF(F3823=0,"NOT FOUND",INDEX('All Song Rankings'!$A:$A,F3823))</f>
        <v>Cosmos</v>
      </c>
      <c r="H3823" s="6" t="str">
        <f aca="false">IF(F3823=0,"NOT FOUND",INDEX('All Song Rankings'!$B:$B,F3823))</f>
        <v>standards</v>
      </c>
      <c r="I3823" s="6" t="str">
        <f aca="false">IF(F3823=0,"NOT FOUND",INDEX('All Song Rankings'!$D:$D,F3823))</f>
        <v>Scott</v>
      </c>
      <c r="J3823" s="7" t="str">
        <f aca="false">IF(F3823=0,"NOT FOUND",IF(C3823=I3823,"SELF-VOTE",IF(COUNTIF($K:$K,K3823)&gt;1,"DUPLICATE","OK")))</f>
        <v>OK</v>
      </c>
      <c r="K3823" s="6" t="str">
        <f aca="false">A3823&amp;"|"&amp;B3823&amp;"|"&amp;C3823&amp;"|"&amp;D3823</f>
        <v>6|3|Colleen|spotify:track:3KmFdgv6niTJHVuo3MB2H0</v>
      </c>
    </row>
    <row r="3824" customFormat="false" ht="15" hidden="false" customHeight="false" outlineLevel="0" collapsed="false">
      <c r="A3824" s="5" t="n">
        <v>6</v>
      </c>
      <c r="B3824" s="5" t="n">
        <v>3</v>
      </c>
      <c r="C3824" s="5" t="s">
        <v>637</v>
      </c>
      <c r="D3824" s="5" t="s">
        <v>1805</v>
      </c>
      <c r="E3824" s="5" t="n">
        <v>1</v>
      </c>
      <c r="F3824" s="6" t="n">
        <f aca="false">IFERROR(MATCH(A3824&amp;"|"&amp;B3824&amp;"|"&amp;D3824,'All Song Rankings'!$T:$T,0),0)</f>
        <v>591</v>
      </c>
      <c r="G3824" s="6" t="str">
        <f aca="false">IF(F3824=0,"NOT FOUND",INDEX('All Song Rankings'!$A:$A,F3824))</f>
        <v>Orion (Remastered)</v>
      </c>
      <c r="H3824" s="6" t="str">
        <f aca="false">IF(F3824=0,"NOT FOUND",INDEX('All Song Rankings'!$B:$B,F3824))</f>
        <v>Metallica</v>
      </c>
      <c r="I3824" s="6" t="str">
        <f aca="false">IF(F3824=0,"NOT FOUND",INDEX('All Song Rankings'!$D:$D,F3824))</f>
        <v>Makenzie</v>
      </c>
      <c r="J3824" s="7" t="str">
        <f aca="false">IF(F3824=0,"NOT FOUND",IF(C3824=I3824,"SELF-VOTE",IF(COUNTIF($K:$K,K3824)&gt;1,"DUPLICATE","OK")))</f>
        <v>OK</v>
      </c>
      <c r="K3824" s="6" t="str">
        <f aca="false">A3824&amp;"|"&amp;B3824&amp;"|"&amp;C3824&amp;"|"&amp;D3824</f>
        <v>6|3|Colleen|spotify:track:4xyWJM4kscTROV2RESdwpd</v>
      </c>
    </row>
    <row r="3825" customFormat="false" ht="15" hidden="false" customHeight="false" outlineLevel="0" collapsed="false">
      <c r="A3825" s="5" t="n">
        <v>6</v>
      </c>
      <c r="B3825" s="5" t="n">
        <v>3</v>
      </c>
      <c r="C3825" s="5" t="s">
        <v>637</v>
      </c>
      <c r="D3825" s="5" t="s">
        <v>1794</v>
      </c>
      <c r="E3825" s="5" t="n">
        <v>1</v>
      </c>
      <c r="F3825" s="6" t="n">
        <f aca="false">IFERROR(MATCH(A3825&amp;"|"&amp;B3825&amp;"|"&amp;D3825,'All Song Rankings'!$T:$T,0),0)</f>
        <v>587</v>
      </c>
      <c r="G3825" s="6" t="str">
        <f aca="false">IF(F3825=0,"NOT FOUND",INDEX('All Song Rankings'!$A:$A,F3825))</f>
        <v>Symphony No. 7 in A Major, Op. 92: II. Allegretto</v>
      </c>
      <c r="H3825" s="6" t="str">
        <f aca="false">IF(F3825=0,"NOT FOUND",INDEX('All Song Rankings'!$B:$B,F3825))</f>
        <v>Ludwig van Beethoven</v>
      </c>
      <c r="I3825" s="6" t="str">
        <f aca="false">IF(F3825=0,"NOT FOUND",INDEX('All Song Rankings'!$D:$D,F3825))</f>
        <v>Matt</v>
      </c>
      <c r="J3825" s="7" t="str">
        <f aca="false">IF(F3825=0,"NOT FOUND",IF(C3825=I3825,"SELF-VOTE",IF(COUNTIF($K:$K,K3825)&gt;1,"DUPLICATE","OK")))</f>
        <v>OK</v>
      </c>
      <c r="K3825" s="6" t="str">
        <f aca="false">A3825&amp;"|"&amp;B3825&amp;"|"&amp;C3825&amp;"|"&amp;D3825</f>
        <v>6|3|Colleen|spotify:track:4zpAd3OLeEfMI9V6WykeTd</v>
      </c>
    </row>
    <row r="3826" customFormat="false" ht="15" hidden="false" customHeight="false" outlineLevel="0" collapsed="false">
      <c r="A3826" s="5" t="n">
        <v>6</v>
      </c>
      <c r="B3826" s="5" t="n">
        <v>3</v>
      </c>
      <c r="C3826" s="5" t="s">
        <v>637</v>
      </c>
      <c r="D3826" s="5" t="s">
        <v>1796</v>
      </c>
      <c r="E3826" s="5" t="n">
        <v>1</v>
      </c>
      <c r="F3826" s="6" t="n">
        <f aca="false">IFERROR(MATCH(A3826&amp;"|"&amp;B3826&amp;"|"&amp;D3826,'All Song Rankings'!$T:$T,0),0)</f>
        <v>588</v>
      </c>
      <c r="G3826" s="6" t="str">
        <f aca="false">IF(F3826=0,"NOT FOUND",INDEX('All Song Rankings'!$A:$A,F3826))</f>
        <v>Time</v>
      </c>
      <c r="H3826" s="6" t="str">
        <f aca="false">IF(F3826=0,"NOT FOUND",INDEX('All Song Rankings'!$B:$B,F3826))</f>
        <v>Hans Zimmer</v>
      </c>
      <c r="I3826" s="6" t="str">
        <f aca="false">IF(F3826=0,"NOT FOUND",INDEX('All Song Rankings'!$D:$D,F3826))</f>
        <v>Kristen</v>
      </c>
      <c r="J3826" s="7" t="str">
        <f aca="false">IF(F3826=0,"NOT FOUND",IF(C3826=I3826,"SELF-VOTE",IF(COUNTIF($K:$K,K3826)&gt;1,"DUPLICATE","OK")))</f>
        <v>OK</v>
      </c>
      <c r="K3826" s="6" t="str">
        <f aca="false">A3826&amp;"|"&amp;B3826&amp;"|"&amp;C3826&amp;"|"&amp;D3826</f>
        <v>6|3|Colleen|spotify:track:6ZFbXIJkuI1dVNWvzJzown</v>
      </c>
    </row>
    <row r="3827" customFormat="false" ht="15" hidden="false" customHeight="false" outlineLevel="0" collapsed="false">
      <c r="A3827" s="5" t="n">
        <v>6</v>
      </c>
      <c r="B3827" s="5" t="n">
        <v>3</v>
      </c>
      <c r="C3827" s="5" t="s">
        <v>637</v>
      </c>
      <c r="D3827" s="5" t="s">
        <v>1776</v>
      </c>
      <c r="E3827" s="5" t="n">
        <v>2</v>
      </c>
      <c r="F3827" s="6" t="n">
        <f aca="false">IFERROR(MATCH(A3827&amp;"|"&amp;B3827&amp;"|"&amp;D3827,'All Song Rankings'!$T:$T,0),0)</f>
        <v>581</v>
      </c>
      <c r="G3827" s="6" t="str">
        <f aca="false">IF(F3827=0,"NOT FOUND",INDEX('All Song Rankings'!$A:$A,F3827))</f>
        <v>Roundtable Rival</v>
      </c>
      <c r="H3827" s="6" t="str">
        <f aca="false">IF(F3827=0,"NOT FOUND",INDEX('All Song Rankings'!$B:$B,F3827))</f>
        <v>Lindsey Stirling</v>
      </c>
      <c r="I3827" s="6" t="str">
        <f aca="false">IF(F3827=0,"NOT FOUND",INDEX('All Song Rankings'!$D:$D,F3827))</f>
        <v>Leah</v>
      </c>
      <c r="J3827" s="7" t="str">
        <f aca="false">IF(F3827=0,"NOT FOUND",IF(C3827=I3827,"SELF-VOTE",IF(COUNTIF($K:$K,K3827)&gt;1,"DUPLICATE","OK")))</f>
        <v>OK</v>
      </c>
      <c r="K3827" s="6" t="str">
        <f aca="false">A3827&amp;"|"&amp;B3827&amp;"|"&amp;C3827&amp;"|"&amp;D3827</f>
        <v>6|3|Colleen|spotify:track:7fLOFRCRe1c4kyoLJkNW1w</v>
      </c>
    </row>
    <row r="3828" customFormat="false" ht="15" hidden="false" customHeight="false" outlineLevel="0" collapsed="false">
      <c r="A3828" s="5" t="n">
        <v>6</v>
      </c>
      <c r="B3828" s="5" t="n">
        <v>3</v>
      </c>
      <c r="C3828" s="5" t="s">
        <v>382</v>
      </c>
      <c r="D3828" s="5" t="s">
        <v>1782</v>
      </c>
      <c r="E3828" s="5" t="n">
        <v>2</v>
      </c>
      <c r="F3828" s="6" t="n">
        <f aca="false">IFERROR(MATCH(A3828&amp;"|"&amp;B3828&amp;"|"&amp;D3828,'All Song Rankings'!$T:$T,0),0)</f>
        <v>583</v>
      </c>
      <c r="G3828" s="6" t="str">
        <f aca="false">IF(F3828=0,"NOT FOUND",INDEX('All Song Rankings'!$A:$A,F3828))</f>
        <v>BATTLE WITHOUT HONOR OR HUMANITY</v>
      </c>
      <c r="H3828" s="6" t="str">
        <f aca="false">IF(F3828=0,"NOT FOUND",INDEX('All Song Rankings'!$B:$B,F3828))</f>
        <v>HOTEI</v>
      </c>
      <c r="I3828" s="6" t="str">
        <f aca="false">IF(F3828=0,"NOT FOUND",INDEX('All Song Rankings'!$D:$D,F3828))</f>
        <v>Stephanie</v>
      </c>
      <c r="J3828" s="7" t="str">
        <f aca="false">IF(F3828=0,"NOT FOUND",IF(C3828=I3828,"SELF-VOTE",IF(COUNTIF($K:$K,K3828)&gt;1,"DUPLICATE","OK")))</f>
        <v>OK</v>
      </c>
      <c r="K3828" s="6" t="str">
        <f aca="false">A3828&amp;"|"&amp;B3828&amp;"|"&amp;C3828&amp;"|"&amp;D3828</f>
        <v>6|3|Grace|spotify:track:0PH3OkM1QnIyb44VhFVbca</v>
      </c>
    </row>
    <row r="3829" customFormat="false" ht="15" hidden="false" customHeight="false" outlineLevel="0" collapsed="false">
      <c r="A3829" s="5" t="n">
        <v>6</v>
      </c>
      <c r="B3829" s="5" t="n">
        <v>3</v>
      </c>
      <c r="C3829" s="5" t="s">
        <v>382</v>
      </c>
      <c r="D3829" s="5" t="s">
        <v>1779</v>
      </c>
      <c r="E3829" s="5" t="n">
        <v>2</v>
      </c>
      <c r="F3829" s="6" t="n">
        <f aca="false">IFERROR(MATCH(A3829&amp;"|"&amp;B3829&amp;"|"&amp;D3829,'All Song Rankings'!$T:$T,0),0)</f>
        <v>582</v>
      </c>
      <c r="G3829" s="6" t="str">
        <f aca="false">IF(F3829=0,"NOT FOUND",INDEX('All Song Rankings'!$A:$A,F3829))</f>
        <v>Adventurer</v>
      </c>
      <c r="H3829" s="6" t="str">
        <f aca="false">IF(F3829=0,"NOT FOUND",INDEX('All Song Rankings'!$B:$B,F3829))</f>
        <v>The Gothard Sisters</v>
      </c>
      <c r="I3829" s="6" t="str">
        <f aca="false">IF(F3829=0,"NOT FOUND",INDEX('All Song Rankings'!$D:$D,F3829))</f>
        <v>Colleen</v>
      </c>
      <c r="J3829" s="7" t="str">
        <f aca="false">IF(F3829=0,"NOT FOUND",IF(C3829=I3829,"SELF-VOTE",IF(COUNTIF($K:$K,K3829)&gt;1,"DUPLICATE","OK")))</f>
        <v>OK</v>
      </c>
      <c r="K3829" s="6" t="str">
        <f aca="false">A3829&amp;"|"&amp;B3829&amp;"|"&amp;C3829&amp;"|"&amp;D3829</f>
        <v>6|3|Grace|spotify:track:1yfQcZvnS3KBesBOlBfMKn</v>
      </c>
    </row>
    <row r="3830" customFormat="false" ht="15" hidden="false" customHeight="false" outlineLevel="0" collapsed="false">
      <c r="A3830" s="5" t="n">
        <v>6</v>
      </c>
      <c r="B3830" s="5" t="n">
        <v>3</v>
      </c>
      <c r="C3830" s="5" t="s">
        <v>382</v>
      </c>
      <c r="D3830" s="5" t="s">
        <v>1794</v>
      </c>
      <c r="E3830" s="5" t="n">
        <v>3</v>
      </c>
      <c r="F3830" s="6" t="n">
        <f aca="false">IFERROR(MATCH(A3830&amp;"|"&amp;B3830&amp;"|"&amp;D3830,'All Song Rankings'!$T:$T,0),0)</f>
        <v>587</v>
      </c>
      <c r="G3830" s="6" t="str">
        <f aca="false">IF(F3830=0,"NOT FOUND",INDEX('All Song Rankings'!$A:$A,F3830))</f>
        <v>Symphony No. 7 in A Major, Op. 92: II. Allegretto</v>
      </c>
      <c r="H3830" s="6" t="str">
        <f aca="false">IF(F3830=0,"NOT FOUND",INDEX('All Song Rankings'!$B:$B,F3830))</f>
        <v>Ludwig van Beethoven</v>
      </c>
      <c r="I3830" s="6" t="str">
        <f aca="false">IF(F3830=0,"NOT FOUND",INDEX('All Song Rankings'!$D:$D,F3830))</f>
        <v>Matt</v>
      </c>
      <c r="J3830" s="7" t="str">
        <f aca="false">IF(F3830=0,"NOT FOUND",IF(C3830=I3830,"SELF-VOTE",IF(COUNTIF($K:$K,K3830)&gt;1,"DUPLICATE","OK")))</f>
        <v>OK</v>
      </c>
      <c r="K3830" s="6" t="str">
        <f aca="false">A3830&amp;"|"&amp;B3830&amp;"|"&amp;C3830&amp;"|"&amp;D3830</f>
        <v>6|3|Grace|spotify:track:4zpAd3OLeEfMI9V6WykeTd</v>
      </c>
    </row>
    <row r="3831" customFormat="false" ht="15" hidden="false" customHeight="false" outlineLevel="0" collapsed="false">
      <c r="A3831" s="5" t="n">
        <v>6</v>
      </c>
      <c r="B3831" s="5" t="n">
        <v>3</v>
      </c>
      <c r="C3831" s="5" t="s">
        <v>382</v>
      </c>
      <c r="D3831" s="5" t="s">
        <v>1796</v>
      </c>
      <c r="E3831" s="5" t="n">
        <v>1</v>
      </c>
      <c r="F3831" s="6" t="n">
        <f aca="false">IFERROR(MATCH(A3831&amp;"|"&amp;B3831&amp;"|"&amp;D3831,'All Song Rankings'!$T:$T,0),0)</f>
        <v>588</v>
      </c>
      <c r="G3831" s="6" t="str">
        <f aca="false">IF(F3831=0,"NOT FOUND",INDEX('All Song Rankings'!$A:$A,F3831))</f>
        <v>Time</v>
      </c>
      <c r="H3831" s="6" t="str">
        <f aca="false">IF(F3831=0,"NOT FOUND",INDEX('All Song Rankings'!$B:$B,F3831))</f>
        <v>Hans Zimmer</v>
      </c>
      <c r="I3831" s="6" t="str">
        <f aca="false">IF(F3831=0,"NOT FOUND",INDEX('All Song Rankings'!$D:$D,F3831))</f>
        <v>Kristen</v>
      </c>
      <c r="J3831" s="7" t="str">
        <f aca="false">IF(F3831=0,"NOT FOUND",IF(C3831=I3831,"SELF-VOTE",IF(COUNTIF($K:$K,K3831)&gt;1,"DUPLICATE","OK")))</f>
        <v>OK</v>
      </c>
      <c r="K3831" s="6" t="str">
        <f aca="false">A3831&amp;"|"&amp;B3831&amp;"|"&amp;C3831&amp;"|"&amp;D3831</f>
        <v>6|3|Grace|spotify:track:6ZFbXIJkuI1dVNWvzJzown</v>
      </c>
    </row>
    <row r="3832" customFormat="false" ht="15" hidden="false" customHeight="false" outlineLevel="0" collapsed="false">
      <c r="A3832" s="5" t="n">
        <v>6</v>
      </c>
      <c r="B3832" s="5" t="n">
        <v>3</v>
      </c>
      <c r="C3832" s="5" t="s">
        <v>382</v>
      </c>
      <c r="D3832" s="5" t="s">
        <v>1776</v>
      </c>
      <c r="E3832" s="5" t="n">
        <v>2</v>
      </c>
      <c r="F3832" s="6" t="n">
        <f aca="false">IFERROR(MATCH(A3832&amp;"|"&amp;B3832&amp;"|"&amp;D3832,'All Song Rankings'!$T:$T,0),0)</f>
        <v>581</v>
      </c>
      <c r="G3832" s="6" t="str">
        <f aca="false">IF(F3832=0,"NOT FOUND",INDEX('All Song Rankings'!$A:$A,F3832))</f>
        <v>Roundtable Rival</v>
      </c>
      <c r="H3832" s="6" t="str">
        <f aca="false">IF(F3832=0,"NOT FOUND",INDEX('All Song Rankings'!$B:$B,F3832))</f>
        <v>Lindsey Stirling</v>
      </c>
      <c r="I3832" s="6" t="str">
        <f aca="false">IF(F3832=0,"NOT FOUND",INDEX('All Song Rankings'!$D:$D,F3832))</f>
        <v>Leah</v>
      </c>
      <c r="J3832" s="7" t="str">
        <f aca="false">IF(F3832=0,"NOT FOUND",IF(C3832=I3832,"SELF-VOTE",IF(COUNTIF($K:$K,K3832)&gt;1,"DUPLICATE","OK")))</f>
        <v>OK</v>
      </c>
      <c r="K3832" s="6" t="str">
        <f aca="false">A3832&amp;"|"&amp;B3832&amp;"|"&amp;C3832&amp;"|"&amp;D3832</f>
        <v>6|3|Grace|spotify:track:7fLOFRCRe1c4kyoLJkNW1w</v>
      </c>
    </row>
    <row r="3833" customFormat="false" ht="15" hidden="false" customHeight="false" outlineLevel="0" collapsed="false">
      <c r="A3833" s="5" t="n">
        <v>6</v>
      </c>
      <c r="B3833" s="5" t="n">
        <v>3</v>
      </c>
      <c r="C3833" s="5" t="s">
        <v>85</v>
      </c>
      <c r="D3833" s="5" t="s">
        <v>1782</v>
      </c>
      <c r="E3833" s="5" t="n">
        <v>1</v>
      </c>
      <c r="F3833" s="6" t="n">
        <f aca="false">IFERROR(MATCH(A3833&amp;"|"&amp;B3833&amp;"|"&amp;D3833,'All Song Rankings'!$T:$T,0),0)</f>
        <v>583</v>
      </c>
      <c r="G3833" s="6" t="str">
        <f aca="false">IF(F3833=0,"NOT FOUND",INDEX('All Song Rankings'!$A:$A,F3833))</f>
        <v>BATTLE WITHOUT HONOR OR HUMANITY</v>
      </c>
      <c r="H3833" s="6" t="str">
        <f aca="false">IF(F3833=0,"NOT FOUND",INDEX('All Song Rankings'!$B:$B,F3833))</f>
        <v>HOTEI</v>
      </c>
      <c r="I3833" s="6" t="str">
        <f aca="false">IF(F3833=0,"NOT FOUND",INDEX('All Song Rankings'!$D:$D,F3833))</f>
        <v>Stephanie</v>
      </c>
      <c r="J3833" s="7" t="str">
        <f aca="false">IF(F3833=0,"NOT FOUND",IF(C3833=I3833,"SELF-VOTE",IF(COUNTIF($K:$K,K3833)&gt;1,"DUPLICATE","OK")))</f>
        <v>OK</v>
      </c>
      <c r="K3833" s="6" t="str">
        <f aca="false">A3833&amp;"|"&amp;B3833&amp;"|"&amp;C3833&amp;"|"&amp;D3833</f>
        <v>6|3|Kelsey|spotify:track:0PH3OkM1QnIyb44VhFVbca</v>
      </c>
    </row>
    <row r="3834" customFormat="false" ht="15" hidden="false" customHeight="false" outlineLevel="0" collapsed="false">
      <c r="A3834" s="5" t="n">
        <v>6</v>
      </c>
      <c r="B3834" s="5" t="n">
        <v>3</v>
      </c>
      <c r="C3834" s="5" t="s">
        <v>85</v>
      </c>
      <c r="D3834" s="5" t="s">
        <v>1779</v>
      </c>
      <c r="E3834" s="5" t="n">
        <v>2</v>
      </c>
      <c r="F3834" s="6" t="n">
        <f aca="false">IFERROR(MATCH(A3834&amp;"|"&amp;B3834&amp;"|"&amp;D3834,'All Song Rankings'!$T:$T,0),0)</f>
        <v>582</v>
      </c>
      <c r="G3834" s="6" t="str">
        <f aca="false">IF(F3834=0,"NOT FOUND",INDEX('All Song Rankings'!$A:$A,F3834))</f>
        <v>Adventurer</v>
      </c>
      <c r="H3834" s="6" t="str">
        <f aca="false">IF(F3834=0,"NOT FOUND",INDEX('All Song Rankings'!$B:$B,F3834))</f>
        <v>The Gothard Sisters</v>
      </c>
      <c r="I3834" s="6" t="str">
        <f aca="false">IF(F3834=0,"NOT FOUND",INDEX('All Song Rankings'!$D:$D,F3834))</f>
        <v>Colleen</v>
      </c>
      <c r="J3834" s="7" t="str">
        <f aca="false">IF(F3834=0,"NOT FOUND",IF(C3834=I3834,"SELF-VOTE",IF(COUNTIF($K:$K,K3834)&gt;1,"DUPLICATE","OK")))</f>
        <v>OK</v>
      </c>
      <c r="K3834" s="6" t="str">
        <f aca="false">A3834&amp;"|"&amp;B3834&amp;"|"&amp;C3834&amp;"|"&amp;D3834</f>
        <v>6|3|Kelsey|spotify:track:1yfQcZvnS3KBesBOlBfMKn</v>
      </c>
    </row>
    <row r="3835" customFormat="false" ht="15" hidden="false" customHeight="false" outlineLevel="0" collapsed="false">
      <c r="A3835" s="5" t="n">
        <v>6</v>
      </c>
      <c r="B3835" s="5" t="n">
        <v>3</v>
      </c>
      <c r="C3835" s="5" t="s">
        <v>85</v>
      </c>
      <c r="D3835" s="5" t="s">
        <v>1808</v>
      </c>
      <c r="E3835" s="5" t="n">
        <v>1</v>
      </c>
      <c r="F3835" s="6" t="n">
        <f aca="false">IFERROR(MATCH(A3835&amp;"|"&amp;B3835&amp;"|"&amp;D3835,'All Song Rankings'!$T:$T,0),0)</f>
        <v>592</v>
      </c>
      <c r="G3835" s="6" t="str">
        <f aca="false">IF(F3835=0,"NOT FOUND",INDEX('All Song Rankings'!$A:$A,F3835))</f>
        <v>Hall of the Mountain King</v>
      </c>
      <c r="H3835" s="6" t="str">
        <f aca="false">IF(F3835=0,"NOT FOUND",INDEX('All Song Rankings'!$B:$B,F3835))</f>
        <v>Apocalyptica</v>
      </c>
      <c r="I3835" s="6" t="str">
        <f aca="false">IF(F3835=0,"NOT FOUND",INDEX('All Song Rankings'!$D:$D,F3835))</f>
        <v>Christine</v>
      </c>
      <c r="J3835" s="7" t="str">
        <f aca="false">IF(F3835=0,"NOT FOUND",IF(C3835=I3835,"SELF-VOTE",IF(COUNTIF($K:$K,K3835)&gt;1,"DUPLICATE","OK")))</f>
        <v>OK</v>
      </c>
      <c r="K3835" s="6" t="str">
        <f aca="false">A3835&amp;"|"&amp;B3835&amp;"|"&amp;C3835&amp;"|"&amp;D3835</f>
        <v>6|3|Kelsey|spotify:track:3hpFMfExUUBn7pJvuLMMwQ</v>
      </c>
    </row>
    <row r="3836" customFormat="false" ht="15" hidden="false" customHeight="false" outlineLevel="0" collapsed="false">
      <c r="A3836" s="5" t="n">
        <v>6</v>
      </c>
      <c r="B3836" s="5" t="n">
        <v>3</v>
      </c>
      <c r="C3836" s="5" t="s">
        <v>85</v>
      </c>
      <c r="D3836" s="5" t="s">
        <v>1776</v>
      </c>
      <c r="E3836" s="5" t="n">
        <v>3</v>
      </c>
      <c r="F3836" s="6" t="n">
        <f aca="false">IFERROR(MATCH(A3836&amp;"|"&amp;B3836&amp;"|"&amp;D3836,'All Song Rankings'!$T:$T,0),0)</f>
        <v>581</v>
      </c>
      <c r="G3836" s="6" t="str">
        <f aca="false">IF(F3836=0,"NOT FOUND",INDEX('All Song Rankings'!$A:$A,F3836))</f>
        <v>Roundtable Rival</v>
      </c>
      <c r="H3836" s="6" t="str">
        <f aca="false">IF(F3836=0,"NOT FOUND",INDEX('All Song Rankings'!$B:$B,F3836))</f>
        <v>Lindsey Stirling</v>
      </c>
      <c r="I3836" s="6" t="str">
        <f aca="false">IF(F3836=0,"NOT FOUND",INDEX('All Song Rankings'!$D:$D,F3836))</f>
        <v>Leah</v>
      </c>
      <c r="J3836" s="7" t="str">
        <f aca="false">IF(F3836=0,"NOT FOUND",IF(C3836=I3836,"SELF-VOTE",IF(COUNTIF($K:$K,K3836)&gt;1,"DUPLICATE","OK")))</f>
        <v>OK</v>
      </c>
      <c r="K3836" s="6" t="str">
        <f aca="false">A3836&amp;"|"&amp;B3836&amp;"|"&amp;C3836&amp;"|"&amp;D3836</f>
        <v>6|3|Kelsey|spotify:track:7fLOFRCRe1c4kyoLJkNW1w</v>
      </c>
    </row>
    <row r="3837" customFormat="false" ht="15" hidden="false" customHeight="false" outlineLevel="0" collapsed="false">
      <c r="A3837" s="5" t="n">
        <v>6</v>
      </c>
      <c r="B3837" s="5" t="n">
        <v>3</v>
      </c>
      <c r="C3837" s="5" t="s">
        <v>85</v>
      </c>
      <c r="D3837" s="5" t="s">
        <v>1802</v>
      </c>
      <c r="E3837" s="5" t="n">
        <v>3</v>
      </c>
      <c r="F3837" s="6" t="n">
        <f aca="false">IFERROR(MATCH(A3837&amp;"|"&amp;B3837&amp;"|"&amp;D3837,'All Song Rankings'!$T:$T,0),0)</f>
        <v>590</v>
      </c>
      <c r="G3837" s="6" t="str">
        <f aca="false">IF(F3837=0,"NOT FOUND",INDEX('All Song Rankings'!$A:$A,F3837))</f>
        <v>Bella's Lullaby (From "Twilight") [Arr. For Piano by M. Rzeminski]</v>
      </c>
      <c r="H3837" s="6" t="str">
        <f aca="false">IF(F3837=0,"NOT FOUND",INDEX('All Song Rankings'!$B:$B,F3837))</f>
        <v>Maksym Rzemiński</v>
      </c>
      <c r="I3837" s="6" t="str">
        <f aca="false">IF(F3837=0,"NOT FOUND",INDEX('All Song Rankings'!$D:$D,F3837))</f>
        <v>Nicole</v>
      </c>
      <c r="J3837" s="7" t="str">
        <f aca="false">IF(F3837=0,"NOT FOUND",IF(C3837=I3837,"SELF-VOTE",IF(COUNTIF($K:$K,K3837)&gt;1,"DUPLICATE","OK")))</f>
        <v>OK</v>
      </c>
      <c r="K3837" s="6" t="str">
        <f aca="false">A3837&amp;"|"&amp;B3837&amp;"|"&amp;C3837&amp;"|"&amp;D3837</f>
        <v>6|3|Kelsey|spotify:track:7rj2PZ9Ls7z7qEnyqsy71l</v>
      </c>
    </row>
    <row r="3838" customFormat="false" ht="15" hidden="false" customHeight="false" outlineLevel="0" collapsed="false">
      <c r="A3838" s="5" t="n">
        <v>6</v>
      </c>
      <c r="B3838" s="5" t="n">
        <v>3</v>
      </c>
      <c r="C3838" s="5" t="s">
        <v>106</v>
      </c>
      <c r="D3838" s="5" t="s">
        <v>1782</v>
      </c>
      <c r="E3838" s="5" t="n">
        <v>1</v>
      </c>
      <c r="F3838" s="6" t="n">
        <f aca="false">IFERROR(MATCH(A3838&amp;"|"&amp;B3838&amp;"|"&amp;D3838,'All Song Rankings'!$T:$T,0),0)</f>
        <v>583</v>
      </c>
      <c r="G3838" s="6" t="str">
        <f aca="false">IF(F3838=0,"NOT FOUND",INDEX('All Song Rankings'!$A:$A,F3838))</f>
        <v>BATTLE WITHOUT HONOR OR HUMANITY</v>
      </c>
      <c r="H3838" s="6" t="str">
        <f aca="false">IF(F3838=0,"NOT FOUND",INDEX('All Song Rankings'!$B:$B,F3838))</f>
        <v>HOTEI</v>
      </c>
      <c r="I3838" s="6" t="str">
        <f aca="false">IF(F3838=0,"NOT FOUND",INDEX('All Song Rankings'!$D:$D,F3838))</f>
        <v>Stephanie</v>
      </c>
      <c r="J3838" s="7" t="str">
        <f aca="false">IF(F3838=0,"NOT FOUND",IF(C3838=I3838,"SELF-VOTE",IF(COUNTIF($K:$K,K3838)&gt;1,"DUPLICATE","OK")))</f>
        <v>OK</v>
      </c>
      <c r="K3838" s="6" t="str">
        <f aca="false">A3838&amp;"|"&amp;B3838&amp;"|"&amp;C3838&amp;"|"&amp;D3838</f>
        <v>6|3|Kristen|spotify:track:0PH3OkM1QnIyb44VhFVbca</v>
      </c>
    </row>
    <row r="3839" customFormat="false" ht="15" hidden="false" customHeight="false" outlineLevel="0" collapsed="false">
      <c r="A3839" s="5" t="n">
        <v>6</v>
      </c>
      <c r="B3839" s="5" t="n">
        <v>3</v>
      </c>
      <c r="C3839" s="5" t="s">
        <v>106</v>
      </c>
      <c r="D3839" s="5" t="s">
        <v>1799</v>
      </c>
      <c r="E3839" s="5" t="n">
        <v>1</v>
      </c>
      <c r="F3839" s="6" t="n">
        <f aca="false">IFERROR(MATCH(A3839&amp;"|"&amp;B3839&amp;"|"&amp;D3839,'All Song Rankings'!$T:$T,0),0)</f>
        <v>589</v>
      </c>
      <c r="G3839" s="6" t="str">
        <f aca="false">IF(F3839=0,"NOT FOUND",INDEX('All Song Rankings'!$A:$A,F3839))</f>
        <v>Promentory</v>
      </c>
      <c r="H3839" s="6" t="str">
        <f aca="false">IF(F3839=0,"NOT FOUND",INDEX('All Song Rankings'!$B:$B,F3839))</f>
        <v>Trevor Jones</v>
      </c>
      <c r="I3839" s="6" t="str">
        <f aca="false">IF(F3839=0,"NOT FOUND",INDEX('All Song Rankings'!$D:$D,F3839))</f>
        <v>Lisa</v>
      </c>
      <c r="J3839" s="7" t="str">
        <f aca="false">IF(F3839=0,"NOT FOUND",IF(C3839=I3839,"SELF-VOTE",IF(COUNTIF($K:$K,K3839)&gt;1,"DUPLICATE","OK")))</f>
        <v>OK</v>
      </c>
      <c r="K3839" s="6" t="str">
        <f aca="false">A3839&amp;"|"&amp;B3839&amp;"|"&amp;C3839&amp;"|"&amp;D3839</f>
        <v>6|3|Kristen|spotify:track:0l4seNH8AyE2kvjxFfpWi1</v>
      </c>
    </row>
    <row r="3840" customFormat="false" ht="15" hidden="false" customHeight="false" outlineLevel="0" collapsed="false">
      <c r="A3840" s="5" t="n">
        <v>6</v>
      </c>
      <c r="B3840" s="5" t="n">
        <v>3</v>
      </c>
      <c r="C3840" s="5" t="s">
        <v>106</v>
      </c>
      <c r="D3840" s="5" t="s">
        <v>1779</v>
      </c>
      <c r="E3840" s="5" t="n">
        <v>1</v>
      </c>
      <c r="F3840" s="6" t="n">
        <f aca="false">IFERROR(MATCH(A3840&amp;"|"&amp;B3840&amp;"|"&amp;D3840,'All Song Rankings'!$T:$T,0),0)</f>
        <v>582</v>
      </c>
      <c r="G3840" s="6" t="str">
        <f aca="false">IF(F3840=0,"NOT FOUND",INDEX('All Song Rankings'!$A:$A,F3840))</f>
        <v>Adventurer</v>
      </c>
      <c r="H3840" s="6" t="str">
        <f aca="false">IF(F3840=0,"NOT FOUND",INDEX('All Song Rankings'!$B:$B,F3840))</f>
        <v>The Gothard Sisters</v>
      </c>
      <c r="I3840" s="6" t="str">
        <f aca="false">IF(F3840=0,"NOT FOUND",INDEX('All Song Rankings'!$D:$D,F3840))</f>
        <v>Colleen</v>
      </c>
      <c r="J3840" s="7" t="str">
        <f aca="false">IF(F3840=0,"NOT FOUND",IF(C3840=I3840,"SELF-VOTE",IF(COUNTIF($K:$K,K3840)&gt;1,"DUPLICATE","OK")))</f>
        <v>OK</v>
      </c>
      <c r="K3840" s="6" t="str">
        <f aca="false">A3840&amp;"|"&amp;B3840&amp;"|"&amp;C3840&amp;"|"&amp;D3840</f>
        <v>6|3|Kristen|spotify:track:1yfQcZvnS3KBesBOlBfMKn</v>
      </c>
    </row>
    <row r="3841" customFormat="false" ht="15" hidden="false" customHeight="false" outlineLevel="0" collapsed="false">
      <c r="A3841" s="5" t="n">
        <v>6</v>
      </c>
      <c r="B3841" s="5" t="n">
        <v>3</v>
      </c>
      <c r="C3841" s="5" t="s">
        <v>106</v>
      </c>
      <c r="D3841" s="5" t="s">
        <v>1785</v>
      </c>
      <c r="E3841" s="5" t="n">
        <v>1</v>
      </c>
      <c r="F3841" s="6" t="n">
        <f aca="false">IFERROR(MATCH(A3841&amp;"|"&amp;B3841&amp;"|"&amp;D3841,'All Song Rankings'!$T:$T,0),0)</f>
        <v>584</v>
      </c>
      <c r="G3841" s="6" t="str">
        <f aca="false">IF(F3841=0,"NOT FOUND",INDEX('All Song Rankings'!$A:$A,F3841))</f>
        <v>Main Title</v>
      </c>
      <c r="H3841" s="6" t="str">
        <f aca="false">IF(F3841=0,"NOT FOUND",INDEX('All Song Rankings'!$B:$B,F3841))</f>
        <v>Ramin Djawadi</v>
      </c>
      <c r="I3841" s="6" t="str">
        <f aca="false">IF(F3841=0,"NOT FOUND",INDEX('All Song Rankings'!$D:$D,F3841))</f>
        <v>Kelsey</v>
      </c>
      <c r="J3841" s="7" t="str">
        <f aca="false">IF(F3841=0,"NOT FOUND",IF(C3841=I3841,"SELF-VOTE",IF(COUNTIF($K:$K,K3841)&gt;1,"DUPLICATE","OK")))</f>
        <v>OK</v>
      </c>
      <c r="K3841" s="6" t="str">
        <f aca="false">A3841&amp;"|"&amp;B3841&amp;"|"&amp;C3841&amp;"|"&amp;D3841</f>
        <v>6|3|Kristen|spotify:track:2q6fxAvSpqXR4jx9Ne7RGz</v>
      </c>
    </row>
    <row r="3842" customFormat="false" ht="15" hidden="false" customHeight="false" outlineLevel="0" collapsed="false">
      <c r="A3842" s="5" t="n">
        <v>6</v>
      </c>
      <c r="B3842" s="5" t="n">
        <v>3</v>
      </c>
      <c r="C3842" s="5" t="s">
        <v>106</v>
      </c>
      <c r="D3842" s="5" t="s">
        <v>1774</v>
      </c>
      <c r="E3842" s="5" t="n">
        <v>1</v>
      </c>
      <c r="F3842" s="6" t="n">
        <f aca="false">IFERROR(MATCH(A3842&amp;"|"&amp;B3842&amp;"|"&amp;D3842,'All Song Rankings'!$T:$T,0),0)</f>
        <v>580</v>
      </c>
      <c r="G3842" s="6" t="str">
        <f aca="false">IF(F3842=0,"NOT FOUND",INDEX('All Song Rankings'!$A:$A,F3842))</f>
        <v>Cosmos</v>
      </c>
      <c r="H3842" s="6" t="str">
        <f aca="false">IF(F3842=0,"NOT FOUND",INDEX('All Song Rankings'!$B:$B,F3842))</f>
        <v>standards</v>
      </c>
      <c r="I3842" s="6" t="str">
        <f aca="false">IF(F3842=0,"NOT FOUND",INDEX('All Song Rankings'!$D:$D,F3842))</f>
        <v>Scott</v>
      </c>
      <c r="J3842" s="7" t="str">
        <f aca="false">IF(F3842=0,"NOT FOUND",IF(C3842=I3842,"SELF-VOTE",IF(COUNTIF($K:$K,K3842)&gt;1,"DUPLICATE","OK")))</f>
        <v>OK</v>
      </c>
      <c r="K3842" s="6" t="str">
        <f aca="false">A3842&amp;"|"&amp;B3842&amp;"|"&amp;C3842&amp;"|"&amp;D3842</f>
        <v>6|3|Kristen|spotify:track:3KmFdgv6niTJHVuo3MB2H0</v>
      </c>
    </row>
    <row r="3843" customFormat="false" ht="15" hidden="false" customHeight="false" outlineLevel="0" collapsed="false">
      <c r="A3843" s="5" t="n">
        <v>6</v>
      </c>
      <c r="B3843" s="5" t="n">
        <v>3</v>
      </c>
      <c r="C3843" s="5" t="s">
        <v>106</v>
      </c>
      <c r="D3843" s="5" t="s">
        <v>1808</v>
      </c>
      <c r="E3843" s="5" t="n">
        <v>1</v>
      </c>
      <c r="F3843" s="6" t="n">
        <f aca="false">IFERROR(MATCH(A3843&amp;"|"&amp;B3843&amp;"|"&amp;D3843,'All Song Rankings'!$T:$T,0),0)</f>
        <v>592</v>
      </c>
      <c r="G3843" s="6" t="str">
        <f aca="false">IF(F3843=0,"NOT FOUND",INDEX('All Song Rankings'!$A:$A,F3843))</f>
        <v>Hall of the Mountain King</v>
      </c>
      <c r="H3843" s="6" t="str">
        <f aca="false">IF(F3843=0,"NOT FOUND",INDEX('All Song Rankings'!$B:$B,F3843))</f>
        <v>Apocalyptica</v>
      </c>
      <c r="I3843" s="6" t="str">
        <f aca="false">IF(F3843=0,"NOT FOUND",INDEX('All Song Rankings'!$D:$D,F3843))</f>
        <v>Christine</v>
      </c>
      <c r="J3843" s="7" t="str">
        <f aca="false">IF(F3843=0,"NOT FOUND",IF(C3843=I3843,"SELF-VOTE",IF(COUNTIF($K:$K,K3843)&gt;1,"DUPLICATE","OK")))</f>
        <v>OK</v>
      </c>
      <c r="K3843" s="6" t="str">
        <f aca="false">A3843&amp;"|"&amp;B3843&amp;"|"&amp;C3843&amp;"|"&amp;D3843</f>
        <v>6|3|Kristen|spotify:track:3hpFMfExUUBn7pJvuLMMwQ</v>
      </c>
    </row>
    <row r="3844" customFormat="false" ht="15" hidden="false" customHeight="false" outlineLevel="0" collapsed="false">
      <c r="A3844" s="5" t="n">
        <v>6</v>
      </c>
      <c r="B3844" s="5" t="n">
        <v>3</v>
      </c>
      <c r="C3844" s="5" t="s">
        <v>106</v>
      </c>
      <c r="D3844" s="5" t="s">
        <v>1791</v>
      </c>
      <c r="E3844" s="5" t="n">
        <v>2</v>
      </c>
      <c r="F3844" s="6" t="n">
        <f aca="false">IFERROR(MATCH(A3844&amp;"|"&amp;B3844&amp;"|"&amp;D3844,'All Song Rankings'!$T:$T,0),0)</f>
        <v>586</v>
      </c>
      <c r="G3844" s="6" t="str">
        <f aca="false">IF(F3844=0,"NOT FOUND",INDEX('All Song Rankings'!$A:$A,F3844))</f>
        <v>YYZ</v>
      </c>
      <c r="H3844" s="6" t="str">
        <f aca="false">IF(F3844=0,"NOT FOUND",INDEX('All Song Rankings'!$B:$B,F3844))</f>
        <v>Rush</v>
      </c>
      <c r="I3844" s="6" t="str">
        <f aca="false">IF(F3844=0,"NOT FOUND",INDEX('All Song Rankings'!$D:$D,F3844))</f>
        <v>Aubrey</v>
      </c>
      <c r="J3844" s="7" t="str">
        <f aca="false">IF(F3844=0,"NOT FOUND",IF(C3844=I3844,"SELF-VOTE",IF(COUNTIF($K:$K,K3844)&gt;1,"DUPLICATE","OK")))</f>
        <v>OK</v>
      </c>
      <c r="K3844" s="6" t="str">
        <f aca="false">A3844&amp;"|"&amp;B3844&amp;"|"&amp;C3844&amp;"|"&amp;D3844</f>
        <v>6|3|Kristen|spotify:track:3lpDrxUkr0tIe1kmJvdK7d</v>
      </c>
    </row>
    <row r="3845" customFormat="false" ht="15" hidden="false" customHeight="false" outlineLevel="0" collapsed="false">
      <c r="A3845" s="5" t="n">
        <v>6</v>
      </c>
      <c r="B3845" s="5" t="n">
        <v>3</v>
      </c>
      <c r="C3845" s="5" t="s">
        <v>106</v>
      </c>
      <c r="D3845" s="5" t="s">
        <v>1794</v>
      </c>
      <c r="E3845" s="5" t="n">
        <v>1</v>
      </c>
      <c r="F3845" s="6" t="n">
        <f aca="false">IFERROR(MATCH(A3845&amp;"|"&amp;B3845&amp;"|"&amp;D3845,'All Song Rankings'!$T:$T,0),0)</f>
        <v>587</v>
      </c>
      <c r="G3845" s="6" t="str">
        <f aca="false">IF(F3845=0,"NOT FOUND",INDEX('All Song Rankings'!$A:$A,F3845))</f>
        <v>Symphony No. 7 in A Major, Op. 92: II. Allegretto</v>
      </c>
      <c r="H3845" s="6" t="str">
        <f aca="false">IF(F3845=0,"NOT FOUND",INDEX('All Song Rankings'!$B:$B,F3845))</f>
        <v>Ludwig van Beethoven</v>
      </c>
      <c r="I3845" s="6" t="str">
        <f aca="false">IF(F3845=0,"NOT FOUND",INDEX('All Song Rankings'!$D:$D,F3845))</f>
        <v>Matt</v>
      </c>
      <c r="J3845" s="7" t="str">
        <f aca="false">IF(F3845=0,"NOT FOUND",IF(C3845=I3845,"SELF-VOTE",IF(COUNTIF($K:$K,K3845)&gt;1,"DUPLICATE","OK")))</f>
        <v>OK</v>
      </c>
      <c r="K3845" s="6" t="str">
        <f aca="false">A3845&amp;"|"&amp;B3845&amp;"|"&amp;C3845&amp;"|"&amp;D3845</f>
        <v>6|3|Kristen|spotify:track:4zpAd3OLeEfMI9V6WykeTd</v>
      </c>
    </row>
    <row r="3846" customFormat="false" ht="15" hidden="false" customHeight="false" outlineLevel="0" collapsed="false">
      <c r="A3846" s="5" t="n">
        <v>6</v>
      </c>
      <c r="B3846" s="5" t="n">
        <v>3</v>
      </c>
      <c r="C3846" s="5" t="s">
        <v>106</v>
      </c>
      <c r="D3846" s="5" t="s">
        <v>1776</v>
      </c>
      <c r="E3846" s="5" t="n">
        <v>1</v>
      </c>
      <c r="F3846" s="6" t="n">
        <f aca="false">IFERROR(MATCH(A3846&amp;"|"&amp;B3846&amp;"|"&amp;D3846,'All Song Rankings'!$T:$T,0),0)</f>
        <v>581</v>
      </c>
      <c r="G3846" s="6" t="str">
        <f aca="false">IF(F3846=0,"NOT FOUND",INDEX('All Song Rankings'!$A:$A,F3846))</f>
        <v>Roundtable Rival</v>
      </c>
      <c r="H3846" s="6" t="str">
        <f aca="false">IF(F3846=0,"NOT FOUND",INDEX('All Song Rankings'!$B:$B,F3846))</f>
        <v>Lindsey Stirling</v>
      </c>
      <c r="I3846" s="6" t="str">
        <f aca="false">IF(F3846=0,"NOT FOUND",INDEX('All Song Rankings'!$D:$D,F3846))</f>
        <v>Leah</v>
      </c>
      <c r="J3846" s="7" t="str">
        <f aca="false">IF(F3846=0,"NOT FOUND",IF(C3846=I3846,"SELF-VOTE",IF(COUNTIF($K:$K,K3846)&gt;1,"DUPLICATE","OK")))</f>
        <v>OK</v>
      </c>
      <c r="K3846" s="6" t="str">
        <f aca="false">A3846&amp;"|"&amp;B3846&amp;"|"&amp;C3846&amp;"|"&amp;D3846</f>
        <v>6|3|Kristen|spotify:track:7fLOFRCRe1c4kyoLJkNW1w</v>
      </c>
    </row>
    <row r="3847" customFormat="false" ht="15" hidden="false" customHeight="false" outlineLevel="0" collapsed="false">
      <c r="A3847" s="5" t="n">
        <v>6</v>
      </c>
      <c r="B3847" s="5" t="n">
        <v>3</v>
      </c>
      <c r="C3847" s="5" t="s">
        <v>119</v>
      </c>
      <c r="D3847" s="5" t="s">
        <v>1782</v>
      </c>
      <c r="E3847" s="5" t="n">
        <v>1</v>
      </c>
      <c r="F3847" s="6" t="n">
        <f aca="false">IFERROR(MATCH(A3847&amp;"|"&amp;B3847&amp;"|"&amp;D3847,'All Song Rankings'!$T:$T,0),0)</f>
        <v>583</v>
      </c>
      <c r="G3847" s="6" t="str">
        <f aca="false">IF(F3847=0,"NOT FOUND",INDEX('All Song Rankings'!$A:$A,F3847))</f>
        <v>BATTLE WITHOUT HONOR OR HUMANITY</v>
      </c>
      <c r="H3847" s="6" t="str">
        <f aca="false">IF(F3847=0,"NOT FOUND",INDEX('All Song Rankings'!$B:$B,F3847))</f>
        <v>HOTEI</v>
      </c>
      <c r="I3847" s="6" t="str">
        <f aca="false">IF(F3847=0,"NOT FOUND",INDEX('All Song Rankings'!$D:$D,F3847))</f>
        <v>Stephanie</v>
      </c>
      <c r="J3847" s="7" t="str">
        <f aca="false">IF(F3847=0,"NOT FOUND",IF(C3847=I3847,"SELF-VOTE",IF(COUNTIF($K:$K,K3847)&gt;1,"DUPLICATE","OK")))</f>
        <v>OK</v>
      </c>
      <c r="K3847" s="6" t="str">
        <f aca="false">A3847&amp;"|"&amp;B3847&amp;"|"&amp;C3847&amp;"|"&amp;D3847</f>
        <v>6|3|Leah|spotify:track:0PH3OkM1QnIyb44VhFVbca</v>
      </c>
    </row>
    <row r="3848" customFormat="false" ht="15" hidden="false" customHeight="false" outlineLevel="0" collapsed="false">
      <c r="A3848" s="5" t="n">
        <v>6</v>
      </c>
      <c r="B3848" s="5" t="n">
        <v>3</v>
      </c>
      <c r="C3848" s="5" t="s">
        <v>119</v>
      </c>
      <c r="D3848" s="5" t="s">
        <v>1779</v>
      </c>
      <c r="E3848" s="5" t="n">
        <v>1</v>
      </c>
      <c r="F3848" s="6" t="n">
        <f aca="false">IFERROR(MATCH(A3848&amp;"|"&amp;B3848&amp;"|"&amp;D3848,'All Song Rankings'!$T:$T,0),0)</f>
        <v>582</v>
      </c>
      <c r="G3848" s="6" t="str">
        <f aca="false">IF(F3848=0,"NOT FOUND",INDEX('All Song Rankings'!$A:$A,F3848))</f>
        <v>Adventurer</v>
      </c>
      <c r="H3848" s="6" t="str">
        <f aca="false">IF(F3848=0,"NOT FOUND",INDEX('All Song Rankings'!$B:$B,F3848))</f>
        <v>The Gothard Sisters</v>
      </c>
      <c r="I3848" s="6" t="str">
        <f aca="false">IF(F3848=0,"NOT FOUND",INDEX('All Song Rankings'!$D:$D,F3848))</f>
        <v>Colleen</v>
      </c>
      <c r="J3848" s="7" t="str">
        <f aca="false">IF(F3848=0,"NOT FOUND",IF(C3848=I3848,"SELF-VOTE",IF(COUNTIF($K:$K,K3848)&gt;1,"DUPLICATE","OK")))</f>
        <v>OK</v>
      </c>
      <c r="K3848" s="6" t="str">
        <f aca="false">A3848&amp;"|"&amp;B3848&amp;"|"&amp;C3848&amp;"|"&amp;D3848</f>
        <v>6|3|Leah|spotify:track:1yfQcZvnS3KBesBOlBfMKn</v>
      </c>
    </row>
    <row r="3849" customFormat="false" ht="15" hidden="false" customHeight="false" outlineLevel="0" collapsed="false">
      <c r="A3849" s="5" t="n">
        <v>6</v>
      </c>
      <c r="B3849" s="5" t="n">
        <v>3</v>
      </c>
      <c r="C3849" s="5" t="s">
        <v>119</v>
      </c>
      <c r="D3849" s="5" t="s">
        <v>1788</v>
      </c>
      <c r="E3849" s="5" t="n">
        <v>1</v>
      </c>
      <c r="F3849" s="6" t="n">
        <f aca="false">IFERROR(MATCH(A3849&amp;"|"&amp;B3849&amp;"|"&amp;D3849,'All Song Rankings'!$T:$T,0),0)</f>
        <v>585</v>
      </c>
      <c r="G3849" s="6" t="str">
        <f aca="false">IF(F3849=0,"NOT FOUND",INDEX('All Song Rankings'!$A:$A,F3849))</f>
        <v>Agape</v>
      </c>
      <c r="H3849" s="6" t="str">
        <f aca="false">IF(F3849=0,"NOT FOUND",INDEX('All Song Rankings'!$B:$B,F3849))</f>
        <v>Nicholas Britell</v>
      </c>
      <c r="I3849" s="6" t="str">
        <f aca="false">IF(F3849=0,"NOT FOUND",INDEX('All Song Rankings'!$D:$D,F3849))</f>
        <v>Logan</v>
      </c>
      <c r="J3849" s="7" t="str">
        <f aca="false">IF(F3849=0,"NOT FOUND",IF(C3849=I3849,"SELF-VOTE",IF(COUNTIF($K:$K,K3849)&gt;1,"DUPLICATE","OK")))</f>
        <v>OK</v>
      </c>
      <c r="K3849" s="6" t="str">
        <f aca="false">A3849&amp;"|"&amp;B3849&amp;"|"&amp;C3849&amp;"|"&amp;D3849</f>
        <v>6|3|Leah|spotify:track:2IvnDjlgH8yy70Nz99UdcJ</v>
      </c>
    </row>
    <row r="3850" customFormat="false" ht="15" hidden="false" customHeight="false" outlineLevel="0" collapsed="false">
      <c r="A3850" s="5" t="n">
        <v>6</v>
      </c>
      <c r="B3850" s="5" t="n">
        <v>3</v>
      </c>
      <c r="C3850" s="5" t="s">
        <v>119</v>
      </c>
      <c r="D3850" s="5" t="s">
        <v>1774</v>
      </c>
      <c r="E3850" s="5" t="n">
        <v>2</v>
      </c>
      <c r="F3850" s="6" t="n">
        <f aca="false">IFERROR(MATCH(A3850&amp;"|"&amp;B3850&amp;"|"&amp;D3850,'All Song Rankings'!$T:$T,0),0)</f>
        <v>580</v>
      </c>
      <c r="G3850" s="6" t="str">
        <f aca="false">IF(F3850=0,"NOT FOUND",INDEX('All Song Rankings'!$A:$A,F3850))</f>
        <v>Cosmos</v>
      </c>
      <c r="H3850" s="6" t="str">
        <f aca="false">IF(F3850=0,"NOT FOUND",INDEX('All Song Rankings'!$B:$B,F3850))</f>
        <v>standards</v>
      </c>
      <c r="I3850" s="6" t="str">
        <f aca="false">IF(F3850=0,"NOT FOUND",INDEX('All Song Rankings'!$D:$D,F3850))</f>
        <v>Scott</v>
      </c>
      <c r="J3850" s="7" t="str">
        <f aca="false">IF(F3850=0,"NOT FOUND",IF(C3850=I3850,"SELF-VOTE",IF(COUNTIF($K:$K,K3850)&gt;1,"DUPLICATE","OK")))</f>
        <v>OK</v>
      </c>
      <c r="K3850" s="6" t="str">
        <f aca="false">A3850&amp;"|"&amp;B3850&amp;"|"&amp;C3850&amp;"|"&amp;D3850</f>
        <v>6|3|Leah|spotify:track:3KmFdgv6niTJHVuo3MB2H0</v>
      </c>
    </row>
    <row r="3851" customFormat="false" ht="15" hidden="false" customHeight="false" outlineLevel="0" collapsed="false">
      <c r="A3851" s="5" t="n">
        <v>6</v>
      </c>
      <c r="B3851" s="5" t="n">
        <v>3</v>
      </c>
      <c r="C3851" s="5" t="s">
        <v>119</v>
      </c>
      <c r="D3851" s="5" t="s">
        <v>1808</v>
      </c>
      <c r="E3851" s="5" t="n">
        <v>2</v>
      </c>
      <c r="F3851" s="6" t="n">
        <f aca="false">IFERROR(MATCH(A3851&amp;"|"&amp;B3851&amp;"|"&amp;D3851,'All Song Rankings'!$T:$T,0),0)</f>
        <v>592</v>
      </c>
      <c r="G3851" s="6" t="str">
        <f aca="false">IF(F3851=0,"NOT FOUND",INDEX('All Song Rankings'!$A:$A,F3851))</f>
        <v>Hall of the Mountain King</v>
      </c>
      <c r="H3851" s="6" t="str">
        <f aca="false">IF(F3851=0,"NOT FOUND",INDEX('All Song Rankings'!$B:$B,F3851))</f>
        <v>Apocalyptica</v>
      </c>
      <c r="I3851" s="6" t="str">
        <f aca="false">IF(F3851=0,"NOT FOUND",INDEX('All Song Rankings'!$D:$D,F3851))</f>
        <v>Christine</v>
      </c>
      <c r="J3851" s="7" t="str">
        <f aca="false">IF(F3851=0,"NOT FOUND",IF(C3851=I3851,"SELF-VOTE",IF(COUNTIF($K:$K,K3851)&gt;1,"DUPLICATE","OK")))</f>
        <v>OK</v>
      </c>
      <c r="K3851" s="6" t="str">
        <f aca="false">A3851&amp;"|"&amp;B3851&amp;"|"&amp;C3851&amp;"|"&amp;D3851</f>
        <v>6|3|Leah|spotify:track:3hpFMfExUUBn7pJvuLMMwQ</v>
      </c>
    </row>
    <row r="3852" customFormat="false" ht="15" hidden="false" customHeight="false" outlineLevel="0" collapsed="false">
      <c r="A3852" s="5" t="n">
        <v>6</v>
      </c>
      <c r="B3852" s="5" t="n">
        <v>3</v>
      </c>
      <c r="C3852" s="5" t="s">
        <v>119</v>
      </c>
      <c r="D3852" s="5" t="s">
        <v>1791</v>
      </c>
      <c r="E3852" s="5" t="n">
        <v>1</v>
      </c>
      <c r="F3852" s="6" t="n">
        <f aca="false">IFERROR(MATCH(A3852&amp;"|"&amp;B3852&amp;"|"&amp;D3852,'All Song Rankings'!$T:$T,0),0)</f>
        <v>586</v>
      </c>
      <c r="G3852" s="6" t="str">
        <f aca="false">IF(F3852=0,"NOT FOUND",INDEX('All Song Rankings'!$A:$A,F3852))</f>
        <v>YYZ</v>
      </c>
      <c r="H3852" s="6" t="str">
        <f aca="false">IF(F3852=0,"NOT FOUND",INDEX('All Song Rankings'!$B:$B,F3852))</f>
        <v>Rush</v>
      </c>
      <c r="I3852" s="6" t="str">
        <f aca="false">IF(F3852=0,"NOT FOUND",INDEX('All Song Rankings'!$D:$D,F3852))</f>
        <v>Aubrey</v>
      </c>
      <c r="J3852" s="7" t="str">
        <f aca="false">IF(F3852=0,"NOT FOUND",IF(C3852=I3852,"SELF-VOTE",IF(COUNTIF($K:$K,K3852)&gt;1,"DUPLICATE","OK")))</f>
        <v>OK</v>
      </c>
      <c r="K3852" s="6" t="str">
        <f aca="false">A3852&amp;"|"&amp;B3852&amp;"|"&amp;C3852&amp;"|"&amp;D3852</f>
        <v>6|3|Leah|spotify:track:3lpDrxUkr0tIe1kmJvdK7d</v>
      </c>
    </row>
    <row r="3853" customFormat="false" ht="15" hidden="false" customHeight="false" outlineLevel="0" collapsed="false">
      <c r="A3853" s="5" t="n">
        <v>6</v>
      </c>
      <c r="B3853" s="5" t="n">
        <v>3</v>
      </c>
      <c r="C3853" s="5" t="s">
        <v>119</v>
      </c>
      <c r="D3853" s="5" t="s">
        <v>1805</v>
      </c>
      <c r="E3853" s="5" t="n">
        <v>1</v>
      </c>
      <c r="F3853" s="6" t="n">
        <f aca="false">IFERROR(MATCH(A3853&amp;"|"&amp;B3853&amp;"|"&amp;D3853,'All Song Rankings'!$T:$T,0),0)</f>
        <v>591</v>
      </c>
      <c r="G3853" s="6" t="str">
        <f aca="false">IF(F3853=0,"NOT FOUND",INDEX('All Song Rankings'!$A:$A,F3853))</f>
        <v>Orion (Remastered)</v>
      </c>
      <c r="H3853" s="6" t="str">
        <f aca="false">IF(F3853=0,"NOT FOUND",INDEX('All Song Rankings'!$B:$B,F3853))</f>
        <v>Metallica</v>
      </c>
      <c r="I3853" s="6" t="str">
        <f aca="false">IF(F3853=0,"NOT FOUND",INDEX('All Song Rankings'!$D:$D,F3853))</f>
        <v>Makenzie</v>
      </c>
      <c r="J3853" s="7" t="str">
        <f aca="false">IF(F3853=0,"NOT FOUND",IF(C3853=I3853,"SELF-VOTE",IF(COUNTIF($K:$K,K3853)&gt;1,"DUPLICATE","OK")))</f>
        <v>OK</v>
      </c>
      <c r="K3853" s="6" t="str">
        <f aca="false">A3853&amp;"|"&amp;B3853&amp;"|"&amp;C3853&amp;"|"&amp;D3853</f>
        <v>6|3|Leah|spotify:track:4xyWJM4kscTROV2RESdwpd</v>
      </c>
    </row>
    <row r="3854" customFormat="false" ht="15" hidden="false" customHeight="false" outlineLevel="0" collapsed="false">
      <c r="A3854" s="5" t="n">
        <v>6</v>
      </c>
      <c r="B3854" s="5" t="n">
        <v>3</v>
      </c>
      <c r="C3854" s="5" t="s">
        <v>119</v>
      </c>
      <c r="D3854" s="5" t="s">
        <v>1796</v>
      </c>
      <c r="E3854" s="5" t="n">
        <v>1</v>
      </c>
      <c r="F3854" s="6" t="n">
        <f aca="false">IFERROR(MATCH(A3854&amp;"|"&amp;B3854&amp;"|"&amp;D3854,'All Song Rankings'!$T:$T,0),0)</f>
        <v>588</v>
      </c>
      <c r="G3854" s="6" t="str">
        <f aca="false">IF(F3854=0,"NOT FOUND",INDEX('All Song Rankings'!$A:$A,F3854))</f>
        <v>Time</v>
      </c>
      <c r="H3854" s="6" t="str">
        <f aca="false">IF(F3854=0,"NOT FOUND",INDEX('All Song Rankings'!$B:$B,F3854))</f>
        <v>Hans Zimmer</v>
      </c>
      <c r="I3854" s="6" t="str">
        <f aca="false">IF(F3854=0,"NOT FOUND",INDEX('All Song Rankings'!$D:$D,F3854))</f>
        <v>Kristen</v>
      </c>
      <c r="J3854" s="7" t="str">
        <f aca="false">IF(F3854=0,"NOT FOUND",IF(C3854=I3854,"SELF-VOTE",IF(COUNTIF($K:$K,K3854)&gt;1,"DUPLICATE","OK")))</f>
        <v>OK</v>
      </c>
      <c r="K3854" s="6" t="str">
        <f aca="false">A3854&amp;"|"&amp;B3854&amp;"|"&amp;C3854&amp;"|"&amp;D3854</f>
        <v>6|3|Leah|spotify:track:6ZFbXIJkuI1dVNWvzJzown</v>
      </c>
    </row>
    <row r="3855" customFormat="false" ht="15" hidden="false" customHeight="false" outlineLevel="0" collapsed="false">
      <c r="A3855" s="5" t="n">
        <v>6</v>
      </c>
      <c r="B3855" s="5" t="n">
        <v>3</v>
      </c>
      <c r="C3855" s="5" t="s">
        <v>705</v>
      </c>
      <c r="D3855" s="5" t="s">
        <v>1782</v>
      </c>
      <c r="E3855" s="5" t="n">
        <v>1</v>
      </c>
      <c r="F3855" s="6" t="n">
        <f aca="false">IFERROR(MATCH(A3855&amp;"|"&amp;B3855&amp;"|"&amp;D3855,'All Song Rankings'!$T:$T,0),0)</f>
        <v>583</v>
      </c>
      <c r="G3855" s="6" t="str">
        <f aca="false">IF(F3855=0,"NOT FOUND",INDEX('All Song Rankings'!$A:$A,F3855))</f>
        <v>BATTLE WITHOUT HONOR OR HUMANITY</v>
      </c>
      <c r="H3855" s="6" t="str">
        <f aca="false">IF(F3855=0,"NOT FOUND",INDEX('All Song Rankings'!$B:$B,F3855))</f>
        <v>HOTEI</v>
      </c>
      <c r="I3855" s="6" t="str">
        <f aca="false">IF(F3855=0,"NOT FOUND",INDEX('All Song Rankings'!$D:$D,F3855))</f>
        <v>Stephanie</v>
      </c>
      <c r="J3855" s="7" t="str">
        <f aca="false">IF(F3855=0,"NOT FOUND",IF(C3855=I3855,"SELF-VOTE",IF(COUNTIF($K:$K,K3855)&gt;1,"DUPLICATE","OK")))</f>
        <v>OK</v>
      </c>
      <c r="K3855" s="6" t="str">
        <f aca="false">A3855&amp;"|"&amp;B3855&amp;"|"&amp;C3855&amp;"|"&amp;D3855</f>
        <v>6|3|Lisa|spotify:track:0PH3OkM1QnIyb44VhFVbca</v>
      </c>
    </row>
    <row r="3856" customFormat="false" ht="15" hidden="false" customHeight="false" outlineLevel="0" collapsed="false">
      <c r="A3856" s="5" t="n">
        <v>6</v>
      </c>
      <c r="B3856" s="5" t="n">
        <v>3</v>
      </c>
      <c r="C3856" s="5" t="s">
        <v>705</v>
      </c>
      <c r="D3856" s="5" t="s">
        <v>1779</v>
      </c>
      <c r="E3856" s="5" t="n">
        <v>2</v>
      </c>
      <c r="F3856" s="6" t="n">
        <f aca="false">IFERROR(MATCH(A3856&amp;"|"&amp;B3856&amp;"|"&amp;D3856,'All Song Rankings'!$T:$T,0),0)</f>
        <v>582</v>
      </c>
      <c r="G3856" s="6" t="str">
        <f aca="false">IF(F3856=0,"NOT FOUND",INDEX('All Song Rankings'!$A:$A,F3856))</f>
        <v>Adventurer</v>
      </c>
      <c r="H3856" s="6" t="str">
        <f aca="false">IF(F3856=0,"NOT FOUND",INDEX('All Song Rankings'!$B:$B,F3856))</f>
        <v>The Gothard Sisters</v>
      </c>
      <c r="I3856" s="6" t="str">
        <f aca="false">IF(F3856=0,"NOT FOUND",INDEX('All Song Rankings'!$D:$D,F3856))</f>
        <v>Colleen</v>
      </c>
      <c r="J3856" s="7" t="str">
        <f aca="false">IF(F3856=0,"NOT FOUND",IF(C3856=I3856,"SELF-VOTE",IF(COUNTIF($K:$K,K3856)&gt;1,"DUPLICATE","OK")))</f>
        <v>OK</v>
      </c>
      <c r="K3856" s="6" t="str">
        <f aca="false">A3856&amp;"|"&amp;B3856&amp;"|"&amp;C3856&amp;"|"&amp;D3856</f>
        <v>6|3|Lisa|spotify:track:1yfQcZvnS3KBesBOlBfMKn</v>
      </c>
    </row>
    <row r="3857" customFormat="false" ht="15" hidden="false" customHeight="false" outlineLevel="0" collapsed="false">
      <c r="A3857" s="5" t="n">
        <v>6</v>
      </c>
      <c r="B3857" s="5" t="n">
        <v>3</v>
      </c>
      <c r="C3857" s="5" t="s">
        <v>705</v>
      </c>
      <c r="D3857" s="5" t="s">
        <v>1788</v>
      </c>
      <c r="E3857" s="5" t="n">
        <v>1</v>
      </c>
      <c r="F3857" s="6" t="n">
        <f aca="false">IFERROR(MATCH(A3857&amp;"|"&amp;B3857&amp;"|"&amp;D3857,'All Song Rankings'!$T:$T,0),0)</f>
        <v>585</v>
      </c>
      <c r="G3857" s="6" t="str">
        <f aca="false">IF(F3857=0,"NOT FOUND",INDEX('All Song Rankings'!$A:$A,F3857))</f>
        <v>Agape</v>
      </c>
      <c r="H3857" s="6" t="str">
        <f aca="false">IF(F3857=0,"NOT FOUND",INDEX('All Song Rankings'!$B:$B,F3857))</f>
        <v>Nicholas Britell</v>
      </c>
      <c r="I3857" s="6" t="str">
        <f aca="false">IF(F3857=0,"NOT FOUND",INDEX('All Song Rankings'!$D:$D,F3857))</f>
        <v>Logan</v>
      </c>
      <c r="J3857" s="7" t="str">
        <f aca="false">IF(F3857=0,"NOT FOUND",IF(C3857=I3857,"SELF-VOTE",IF(COUNTIF($K:$K,K3857)&gt;1,"DUPLICATE","OK")))</f>
        <v>OK</v>
      </c>
      <c r="K3857" s="6" t="str">
        <f aca="false">A3857&amp;"|"&amp;B3857&amp;"|"&amp;C3857&amp;"|"&amp;D3857</f>
        <v>6|3|Lisa|spotify:track:2IvnDjlgH8yy70Nz99UdcJ</v>
      </c>
    </row>
    <row r="3858" customFormat="false" ht="15" hidden="false" customHeight="false" outlineLevel="0" collapsed="false">
      <c r="A3858" s="5" t="n">
        <v>6</v>
      </c>
      <c r="B3858" s="5" t="n">
        <v>3</v>
      </c>
      <c r="C3858" s="5" t="s">
        <v>705</v>
      </c>
      <c r="D3858" s="5" t="s">
        <v>1785</v>
      </c>
      <c r="E3858" s="5" t="n">
        <v>2</v>
      </c>
      <c r="F3858" s="6" t="n">
        <f aca="false">IFERROR(MATCH(A3858&amp;"|"&amp;B3858&amp;"|"&amp;D3858,'All Song Rankings'!$T:$T,0),0)</f>
        <v>584</v>
      </c>
      <c r="G3858" s="6" t="str">
        <f aca="false">IF(F3858=0,"NOT FOUND",INDEX('All Song Rankings'!$A:$A,F3858))</f>
        <v>Main Title</v>
      </c>
      <c r="H3858" s="6" t="str">
        <f aca="false">IF(F3858=0,"NOT FOUND",INDEX('All Song Rankings'!$B:$B,F3858))</f>
        <v>Ramin Djawadi</v>
      </c>
      <c r="I3858" s="6" t="str">
        <f aca="false">IF(F3858=0,"NOT FOUND",INDEX('All Song Rankings'!$D:$D,F3858))</f>
        <v>Kelsey</v>
      </c>
      <c r="J3858" s="7" t="str">
        <f aca="false">IF(F3858=0,"NOT FOUND",IF(C3858=I3858,"SELF-VOTE",IF(COUNTIF($K:$K,K3858)&gt;1,"DUPLICATE","OK")))</f>
        <v>OK</v>
      </c>
      <c r="K3858" s="6" t="str">
        <f aca="false">A3858&amp;"|"&amp;B3858&amp;"|"&amp;C3858&amp;"|"&amp;D3858</f>
        <v>6|3|Lisa|spotify:track:2q6fxAvSpqXR4jx9Ne7RGz</v>
      </c>
    </row>
    <row r="3859" customFormat="false" ht="15" hidden="false" customHeight="false" outlineLevel="0" collapsed="false">
      <c r="A3859" s="5" t="n">
        <v>6</v>
      </c>
      <c r="B3859" s="5" t="n">
        <v>3</v>
      </c>
      <c r="C3859" s="5" t="s">
        <v>705</v>
      </c>
      <c r="D3859" s="5" t="s">
        <v>1805</v>
      </c>
      <c r="E3859" s="5" t="n">
        <v>1</v>
      </c>
      <c r="F3859" s="6" t="n">
        <f aca="false">IFERROR(MATCH(A3859&amp;"|"&amp;B3859&amp;"|"&amp;D3859,'All Song Rankings'!$T:$T,0),0)</f>
        <v>591</v>
      </c>
      <c r="G3859" s="6" t="str">
        <f aca="false">IF(F3859=0,"NOT FOUND",INDEX('All Song Rankings'!$A:$A,F3859))</f>
        <v>Orion (Remastered)</v>
      </c>
      <c r="H3859" s="6" t="str">
        <f aca="false">IF(F3859=0,"NOT FOUND",INDEX('All Song Rankings'!$B:$B,F3859))</f>
        <v>Metallica</v>
      </c>
      <c r="I3859" s="6" t="str">
        <f aca="false">IF(F3859=0,"NOT FOUND",INDEX('All Song Rankings'!$D:$D,F3859))</f>
        <v>Makenzie</v>
      </c>
      <c r="J3859" s="7" t="str">
        <f aca="false">IF(F3859=0,"NOT FOUND",IF(C3859=I3859,"SELF-VOTE",IF(COUNTIF($K:$K,K3859)&gt;1,"DUPLICATE","OK")))</f>
        <v>OK</v>
      </c>
      <c r="K3859" s="6" t="str">
        <f aca="false">A3859&amp;"|"&amp;B3859&amp;"|"&amp;C3859&amp;"|"&amp;D3859</f>
        <v>6|3|Lisa|spotify:track:4xyWJM4kscTROV2RESdwpd</v>
      </c>
    </row>
    <row r="3860" customFormat="false" ht="15" hidden="false" customHeight="false" outlineLevel="0" collapsed="false">
      <c r="A3860" s="5" t="n">
        <v>6</v>
      </c>
      <c r="B3860" s="5" t="n">
        <v>3</v>
      </c>
      <c r="C3860" s="5" t="s">
        <v>705</v>
      </c>
      <c r="D3860" s="5" t="s">
        <v>1794</v>
      </c>
      <c r="E3860" s="5" t="n">
        <v>1</v>
      </c>
      <c r="F3860" s="6" t="n">
        <f aca="false">IFERROR(MATCH(A3860&amp;"|"&amp;B3860&amp;"|"&amp;D3860,'All Song Rankings'!$T:$T,0),0)</f>
        <v>587</v>
      </c>
      <c r="G3860" s="6" t="str">
        <f aca="false">IF(F3860=0,"NOT FOUND",INDEX('All Song Rankings'!$A:$A,F3860))</f>
        <v>Symphony No. 7 in A Major, Op. 92: II. Allegretto</v>
      </c>
      <c r="H3860" s="6" t="str">
        <f aca="false">IF(F3860=0,"NOT FOUND",INDEX('All Song Rankings'!$B:$B,F3860))</f>
        <v>Ludwig van Beethoven</v>
      </c>
      <c r="I3860" s="6" t="str">
        <f aca="false">IF(F3860=0,"NOT FOUND",INDEX('All Song Rankings'!$D:$D,F3860))</f>
        <v>Matt</v>
      </c>
      <c r="J3860" s="7" t="str">
        <f aca="false">IF(F3860=0,"NOT FOUND",IF(C3860=I3860,"SELF-VOTE",IF(COUNTIF($K:$K,K3860)&gt;1,"DUPLICATE","OK")))</f>
        <v>OK</v>
      </c>
      <c r="K3860" s="6" t="str">
        <f aca="false">A3860&amp;"|"&amp;B3860&amp;"|"&amp;C3860&amp;"|"&amp;D3860</f>
        <v>6|3|Lisa|spotify:track:4zpAd3OLeEfMI9V6WykeTd</v>
      </c>
    </row>
    <row r="3861" customFormat="false" ht="15" hidden="false" customHeight="false" outlineLevel="0" collapsed="false">
      <c r="A3861" s="5" t="n">
        <v>6</v>
      </c>
      <c r="B3861" s="5" t="n">
        <v>3</v>
      </c>
      <c r="C3861" s="5" t="s">
        <v>705</v>
      </c>
      <c r="D3861" s="5" t="s">
        <v>1796</v>
      </c>
      <c r="E3861" s="5" t="n">
        <v>1</v>
      </c>
      <c r="F3861" s="6" t="n">
        <f aca="false">IFERROR(MATCH(A3861&amp;"|"&amp;B3861&amp;"|"&amp;D3861,'All Song Rankings'!$T:$T,0),0)</f>
        <v>588</v>
      </c>
      <c r="G3861" s="6" t="str">
        <f aca="false">IF(F3861=0,"NOT FOUND",INDEX('All Song Rankings'!$A:$A,F3861))</f>
        <v>Time</v>
      </c>
      <c r="H3861" s="6" t="str">
        <f aca="false">IF(F3861=0,"NOT FOUND",INDEX('All Song Rankings'!$B:$B,F3861))</f>
        <v>Hans Zimmer</v>
      </c>
      <c r="I3861" s="6" t="str">
        <f aca="false">IF(F3861=0,"NOT FOUND",INDEX('All Song Rankings'!$D:$D,F3861))</f>
        <v>Kristen</v>
      </c>
      <c r="J3861" s="7" t="str">
        <f aca="false">IF(F3861=0,"NOT FOUND",IF(C3861=I3861,"SELF-VOTE",IF(COUNTIF($K:$K,K3861)&gt;1,"DUPLICATE","OK")))</f>
        <v>OK</v>
      </c>
      <c r="K3861" s="6" t="str">
        <f aca="false">A3861&amp;"|"&amp;B3861&amp;"|"&amp;C3861&amp;"|"&amp;D3861</f>
        <v>6|3|Lisa|spotify:track:6ZFbXIJkuI1dVNWvzJzown</v>
      </c>
    </row>
    <row r="3862" customFormat="false" ht="15" hidden="false" customHeight="false" outlineLevel="0" collapsed="false">
      <c r="A3862" s="5" t="n">
        <v>6</v>
      </c>
      <c r="B3862" s="5" t="n">
        <v>3</v>
      </c>
      <c r="C3862" s="5" t="s">
        <v>705</v>
      </c>
      <c r="D3862" s="5" t="s">
        <v>1776</v>
      </c>
      <c r="E3862" s="5" t="n">
        <v>1</v>
      </c>
      <c r="F3862" s="6" t="n">
        <f aca="false">IFERROR(MATCH(A3862&amp;"|"&amp;B3862&amp;"|"&amp;D3862,'All Song Rankings'!$T:$T,0),0)</f>
        <v>581</v>
      </c>
      <c r="G3862" s="6" t="str">
        <f aca="false">IF(F3862=0,"NOT FOUND",INDEX('All Song Rankings'!$A:$A,F3862))</f>
        <v>Roundtable Rival</v>
      </c>
      <c r="H3862" s="6" t="str">
        <f aca="false">IF(F3862=0,"NOT FOUND",INDEX('All Song Rankings'!$B:$B,F3862))</f>
        <v>Lindsey Stirling</v>
      </c>
      <c r="I3862" s="6" t="str">
        <f aca="false">IF(F3862=0,"NOT FOUND",INDEX('All Song Rankings'!$D:$D,F3862))</f>
        <v>Leah</v>
      </c>
      <c r="J3862" s="7" t="str">
        <f aca="false">IF(F3862=0,"NOT FOUND",IF(C3862=I3862,"SELF-VOTE",IF(COUNTIF($K:$K,K3862)&gt;1,"DUPLICATE","OK")))</f>
        <v>OK</v>
      </c>
      <c r="K3862" s="6" t="str">
        <f aca="false">A3862&amp;"|"&amp;B3862&amp;"|"&amp;C3862&amp;"|"&amp;D3862</f>
        <v>6|3|Lisa|spotify:track:7fLOFRCRe1c4kyoLJkNW1w</v>
      </c>
    </row>
    <row r="3863" customFormat="false" ht="15" hidden="false" customHeight="false" outlineLevel="0" collapsed="false">
      <c r="A3863" s="5" t="n">
        <v>6</v>
      </c>
      <c r="B3863" s="5" t="n">
        <v>3</v>
      </c>
      <c r="C3863" s="5" t="s">
        <v>128</v>
      </c>
      <c r="D3863" s="5" t="s">
        <v>1782</v>
      </c>
      <c r="E3863" s="5" t="n">
        <v>1</v>
      </c>
      <c r="F3863" s="6" t="n">
        <f aca="false">IFERROR(MATCH(A3863&amp;"|"&amp;B3863&amp;"|"&amp;D3863,'All Song Rankings'!$T:$T,0),0)</f>
        <v>583</v>
      </c>
      <c r="G3863" s="6" t="str">
        <f aca="false">IF(F3863=0,"NOT FOUND",INDEX('All Song Rankings'!$A:$A,F3863))</f>
        <v>BATTLE WITHOUT HONOR OR HUMANITY</v>
      </c>
      <c r="H3863" s="6" t="str">
        <f aca="false">IF(F3863=0,"NOT FOUND",INDEX('All Song Rankings'!$B:$B,F3863))</f>
        <v>HOTEI</v>
      </c>
      <c r="I3863" s="6" t="str">
        <f aca="false">IF(F3863=0,"NOT FOUND",INDEX('All Song Rankings'!$D:$D,F3863))</f>
        <v>Stephanie</v>
      </c>
      <c r="J3863" s="7" t="str">
        <f aca="false">IF(F3863=0,"NOT FOUND",IF(C3863=I3863,"SELF-VOTE",IF(COUNTIF($K:$K,K3863)&gt;1,"DUPLICATE","OK")))</f>
        <v>OK</v>
      </c>
      <c r="K3863" s="6" t="str">
        <f aca="false">A3863&amp;"|"&amp;B3863&amp;"|"&amp;C3863&amp;"|"&amp;D3863</f>
        <v>6|3|Logan|spotify:track:0PH3OkM1QnIyb44VhFVbca</v>
      </c>
    </row>
    <row r="3864" customFormat="false" ht="15" hidden="false" customHeight="false" outlineLevel="0" collapsed="false">
      <c r="A3864" s="5" t="n">
        <v>6</v>
      </c>
      <c r="B3864" s="5" t="n">
        <v>3</v>
      </c>
      <c r="C3864" s="5" t="s">
        <v>128</v>
      </c>
      <c r="D3864" s="5" t="s">
        <v>1799</v>
      </c>
      <c r="E3864" s="5" t="n">
        <v>3</v>
      </c>
      <c r="F3864" s="6" t="n">
        <f aca="false">IFERROR(MATCH(A3864&amp;"|"&amp;B3864&amp;"|"&amp;D3864,'All Song Rankings'!$T:$T,0),0)</f>
        <v>589</v>
      </c>
      <c r="G3864" s="6" t="str">
        <f aca="false">IF(F3864=0,"NOT FOUND",INDEX('All Song Rankings'!$A:$A,F3864))</f>
        <v>Promentory</v>
      </c>
      <c r="H3864" s="6" t="str">
        <f aca="false">IF(F3864=0,"NOT FOUND",INDEX('All Song Rankings'!$B:$B,F3864))</f>
        <v>Trevor Jones</v>
      </c>
      <c r="I3864" s="6" t="str">
        <f aca="false">IF(F3864=0,"NOT FOUND",INDEX('All Song Rankings'!$D:$D,F3864))</f>
        <v>Lisa</v>
      </c>
      <c r="J3864" s="7" t="str">
        <f aca="false">IF(F3864=0,"NOT FOUND",IF(C3864=I3864,"SELF-VOTE",IF(COUNTIF($K:$K,K3864)&gt;1,"DUPLICATE","OK")))</f>
        <v>OK</v>
      </c>
      <c r="K3864" s="6" t="str">
        <f aca="false">A3864&amp;"|"&amp;B3864&amp;"|"&amp;C3864&amp;"|"&amp;D3864</f>
        <v>6|3|Logan|spotify:track:0l4seNH8AyE2kvjxFfpWi1</v>
      </c>
    </row>
    <row r="3865" customFormat="false" ht="15" hidden="false" customHeight="false" outlineLevel="0" collapsed="false">
      <c r="A3865" s="5" t="n">
        <v>6</v>
      </c>
      <c r="B3865" s="5" t="n">
        <v>3</v>
      </c>
      <c r="C3865" s="5" t="s">
        <v>128</v>
      </c>
      <c r="D3865" s="5" t="s">
        <v>1779</v>
      </c>
      <c r="E3865" s="5" t="n">
        <v>1</v>
      </c>
      <c r="F3865" s="6" t="n">
        <f aca="false">IFERROR(MATCH(A3865&amp;"|"&amp;B3865&amp;"|"&amp;D3865,'All Song Rankings'!$T:$T,0),0)</f>
        <v>582</v>
      </c>
      <c r="G3865" s="6" t="str">
        <f aca="false">IF(F3865=0,"NOT FOUND",INDEX('All Song Rankings'!$A:$A,F3865))</f>
        <v>Adventurer</v>
      </c>
      <c r="H3865" s="6" t="str">
        <f aca="false">IF(F3865=0,"NOT FOUND",INDEX('All Song Rankings'!$B:$B,F3865))</f>
        <v>The Gothard Sisters</v>
      </c>
      <c r="I3865" s="6" t="str">
        <f aca="false">IF(F3865=0,"NOT FOUND",INDEX('All Song Rankings'!$D:$D,F3865))</f>
        <v>Colleen</v>
      </c>
      <c r="J3865" s="7" t="str">
        <f aca="false">IF(F3865=0,"NOT FOUND",IF(C3865=I3865,"SELF-VOTE",IF(COUNTIF($K:$K,K3865)&gt;1,"DUPLICATE","OK")))</f>
        <v>OK</v>
      </c>
      <c r="K3865" s="6" t="str">
        <f aca="false">A3865&amp;"|"&amp;B3865&amp;"|"&amp;C3865&amp;"|"&amp;D3865</f>
        <v>6|3|Logan|spotify:track:1yfQcZvnS3KBesBOlBfMKn</v>
      </c>
    </row>
    <row r="3866" customFormat="false" ht="15" hidden="false" customHeight="false" outlineLevel="0" collapsed="false">
      <c r="A3866" s="5" t="n">
        <v>6</v>
      </c>
      <c r="B3866" s="5" t="n">
        <v>3</v>
      </c>
      <c r="C3866" s="5" t="s">
        <v>128</v>
      </c>
      <c r="D3866" s="5" t="s">
        <v>1785</v>
      </c>
      <c r="E3866" s="5" t="n">
        <v>1</v>
      </c>
      <c r="F3866" s="6" t="n">
        <f aca="false">IFERROR(MATCH(A3866&amp;"|"&amp;B3866&amp;"|"&amp;D3866,'All Song Rankings'!$T:$T,0),0)</f>
        <v>584</v>
      </c>
      <c r="G3866" s="6" t="str">
        <f aca="false">IF(F3866=0,"NOT FOUND",INDEX('All Song Rankings'!$A:$A,F3866))</f>
        <v>Main Title</v>
      </c>
      <c r="H3866" s="6" t="str">
        <f aca="false">IF(F3866=0,"NOT FOUND",INDEX('All Song Rankings'!$B:$B,F3866))</f>
        <v>Ramin Djawadi</v>
      </c>
      <c r="I3866" s="6" t="str">
        <f aca="false">IF(F3866=0,"NOT FOUND",INDEX('All Song Rankings'!$D:$D,F3866))</f>
        <v>Kelsey</v>
      </c>
      <c r="J3866" s="7" t="str">
        <f aca="false">IF(F3866=0,"NOT FOUND",IF(C3866=I3866,"SELF-VOTE",IF(COUNTIF($K:$K,K3866)&gt;1,"DUPLICATE","OK")))</f>
        <v>OK</v>
      </c>
      <c r="K3866" s="6" t="str">
        <f aca="false">A3866&amp;"|"&amp;B3866&amp;"|"&amp;C3866&amp;"|"&amp;D3866</f>
        <v>6|3|Logan|spotify:track:2q6fxAvSpqXR4jx9Ne7RGz</v>
      </c>
    </row>
    <row r="3867" customFormat="false" ht="15" hidden="false" customHeight="false" outlineLevel="0" collapsed="false">
      <c r="A3867" s="5" t="n">
        <v>6</v>
      </c>
      <c r="B3867" s="5" t="n">
        <v>3</v>
      </c>
      <c r="C3867" s="5" t="s">
        <v>128</v>
      </c>
      <c r="D3867" s="5" t="s">
        <v>1774</v>
      </c>
      <c r="E3867" s="5" t="n">
        <v>1</v>
      </c>
      <c r="F3867" s="6" t="n">
        <f aca="false">IFERROR(MATCH(A3867&amp;"|"&amp;B3867&amp;"|"&amp;D3867,'All Song Rankings'!$T:$T,0),0)</f>
        <v>580</v>
      </c>
      <c r="G3867" s="6" t="str">
        <f aca="false">IF(F3867=0,"NOT FOUND",INDEX('All Song Rankings'!$A:$A,F3867))</f>
        <v>Cosmos</v>
      </c>
      <c r="H3867" s="6" t="str">
        <f aca="false">IF(F3867=0,"NOT FOUND",INDEX('All Song Rankings'!$B:$B,F3867))</f>
        <v>standards</v>
      </c>
      <c r="I3867" s="6" t="str">
        <f aca="false">IF(F3867=0,"NOT FOUND",INDEX('All Song Rankings'!$D:$D,F3867))</f>
        <v>Scott</v>
      </c>
      <c r="J3867" s="7" t="str">
        <f aca="false">IF(F3867=0,"NOT FOUND",IF(C3867=I3867,"SELF-VOTE",IF(COUNTIF($K:$K,K3867)&gt;1,"DUPLICATE","OK")))</f>
        <v>OK</v>
      </c>
      <c r="K3867" s="6" t="str">
        <f aca="false">A3867&amp;"|"&amp;B3867&amp;"|"&amp;C3867&amp;"|"&amp;D3867</f>
        <v>6|3|Logan|spotify:track:3KmFdgv6niTJHVuo3MB2H0</v>
      </c>
    </row>
    <row r="3868" customFormat="false" ht="15" hidden="false" customHeight="false" outlineLevel="0" collapsed="false">
      <c r="A3868" s="5" t="n">
        <v>6</v>
      </c>
      <c r="B3868" s="5" t="n">
        <v>3</v>
      </c>
      <c r="C3868" s="5" t="s">
        <v>128</v>
      </c>
      <c r="D3868" s="5" t="s">
        <v>1791</v>
      </c>
      <c r="E3868" s="5" t="n">
        <v>1</v>
      </c>
      <c r="F3868" s="6" t="n">
        <f aca="false">IFERROR(MATCH(A3868&amp;"|"&amp;B3868&amp;"|"&amp;D3868,'All Song Rankings'!$T:$T,0),0)</f>
        <v>586</v>
      </c>
      <c r="G3868" s="6" t="str">
        <f aca="false">IF(F3868=0,"NOT FOUND",INDEX('All Song Rankings'!$A:$A,F3868))</f>
        <v>YYZ</v>
      </c>
      <c r="H3868" s="6" t="str">
        <f aca="false">IF(F3868=0,"NOT FOUND",INDEX('All Song Rankings'!$B:$B,F3868))</f>
        <v>Rush</v>
      </c>
      <c r="I3868" s="6" t="str">
        <f aca="false">IF(F3868=0,"NOT FOUND",INDEX('All Song Rankings'!$D:$D,F3868))</f>
        <v>Aubrey</v>
      </c>
      <c r="J3868" s="7" t="str">
        <f aca="false">IF(F3868=0,"NOT FOUND",IF(C3868=I3868,"SELF-VOTE",IF(COUNTIF($K:$K,K3868)&gt;1,"DUPLICATE","OK")))</f>
        <v>OK</v>
      </c>
      <c r="K3868" s="6" t="str">
        <f aca="false">A3868&amp;"|"&amp;B3868&amp;"|"&amp;C3868&amp;"|"&amp;D3868</f>
        <v>6|3|Logan|spotify:track:3lpDrxUkr0tIe1kmJvdK7d</v>
      </c>
    </row>
    <row r="3869" customFormat="false" ht="15" hidden="false" customHeight="false" outlineLevel="0" collapsed="false">
      <c r="A3869" s="5" t="n">
        <v>6</v>
      </c>
      <c r="B3869" s="5" t="n">
        <v>3</v>
      </c>
      <c r="C3869" s="5" t="s">
        <v>128</v>
      </c>
      <c r="D3869" s="5" t="s">
        <v>1794</v>
      </c>
      <c r="E3869" s="5" t="n">
        <v>1</v>
      </c>
      <c r="F3869" s="6" t="n">
        <f aca="false">IFERROR(MATCH(A3869&amp;"|"&amp;B3869&amp;"|"&amp;D3869,'All Song Rankings'!$T:$T,0),0)</f>
        <v>587</v>
      </c>
      <c r="G3869" s="6" t="str">
        <f aca="false">IF(F3869=0,"NOT FOUND",INDEX('All Song Rankings'!$A:$A,F3869))</f>
        <v>Symphony No. 7 in A Major, Op. 92: II. Allegretto</v>
      </c>
      <c r="H3869" s="6" t="str">
        <f aca="false">IF(F3869=0,"NOT FOUND",INDEX('All Song Rankings'!$B:$B,F3869))</f>
        <v>Ludwig van Beethoven</v>
      </c>
      <c r="I3869" s="6" t="str">
        <f aca="false">IF(F3869=0,"NOT FOUND",INDEX('All Song Rankings'!$D:$D,F3869))</f>
        <v>Matt</v>
      </c>
      <c r="J3869" s="7" t="str">
        <f aca="false">IF(F3869=0,"NOT FOUND",IF(C3869=I3869,"SELF-VOTE",IF(COUNTIF($K:$K,K3869)&gt;1,"DUPLICATE","OK")))</f>
        <v>OK</v>
      </c>
      <c r="K3869" s="6" t="str">
        <f aca="false">A3869&amp;"|"&amp;B3869&amp;"|"&amp;C3869&amp;"|"&amp;D3869</f>
        <v>6|3|Logan|spotify:track:4zpAd3OLeEfMI9V6WykeTd</v>
      </c>
    </row>
    <row r="3870" customFormat="false" ht="15" hidden="false" customHeight="false" outlineLevel="0" collapsed="false">
      <c r="A3870" s="5" t="n">
        <v>6</v>
      </c>
      <c r="B3870" s="5" t="n">
        <v>3</v>
      </c>
      <c r="C3870" s="5" t="s">
        <v>128</v>
      </c>
      <c r="D3870" s="5" t="s">
        <v>1802</v>
      </c>
      <c r="E3870" s="5" t="n">
        <v>1</v>
      </c>
      <c r="F3870" s="6" t="n">
        <f aca="false">IFERROR(MATCH(A3870&amp;"|"&amp;B3870&amp;"|"&amp;D3870,'All Song Rankings'!$T:$T,0),0)</f>
        <v>590</v>
      </c>
      <c r="G3870" s="6" t="str">
        <f aca="false">IF(F3870=0,"NOT FOUND",INDEX('All Song Rankings'!$A:$A,F3870))</f>
        <v>Bella's Lullaby (From "Twilight") [Arr. For Piano by M. Rzeminski]</v>
      </c>
      <c r="H3870" s="6" t="str">
        <f aca="false">IF(F3870=0,"NOT FOUND",INDEX('All Song Rankings'!$B:$B,F3870))</f>
        <v>Maksym Rzemiński</v>
      </c>
      <c r="I3870" s="6" t="str">
        <f aca="false">IF(F3870=0,"NOT FOUND",INDEX('All Song Rankings'!$D:$D,F3870))</f>
        <v>Nicole</v>
      </c>
      <c r="J3870" s="7" t="str">
        <f aca="false">IF(F3870=0,"NOT FOUND",IF(C3870=I3870,"SELF-VOTE",IF(COUNTIF($K:$K,K3870)&gt;1,"DUPLICATE","OK")))</f>
        <v>OK</v>
      </c>
      <c r="K3870" s="6" t="str">
        <f aca="false">A3870&amp;"|"&amp;B3870&amp;"|"&amp;C3870&amp;"|"&amp;D3870</f>
        <v>6|3|Logan|spotify:track:7rj2PZ9Ls7z7qEnyqsy71l</v>
      </c>
    </row>
    <row r="3871" customFormat="false" ht="15" hidden="false" customHeight="false" outlineLevel="0" collapsed="false">
      <c r="A3871" s="5" t="n">
        <v>6</v>
      </c>
      <c r="B3871" s="5" t="n">
        <v>3</v>
      </c>
      <c r="C3871" s="5" t="s">
        <v>395</v>
      </c>
      <c r="D3871" s="5" t="s">
        <v>1785</v>
      </c>
      <c r="E3871" s="5" t="n">
        <v>2</v>
      </c>
      <c r="F3871" s="6" t="n">
        <f aca="false">IFERROR(MATCH(A3871&amp;"|"&amp;B3871&amp;"|"&amp;D3871,'All Song Rankings'!$T:$T,0),0)</f>
        <v>584</v>
      </c>
      <c r="G3871" s="6" t="str">
        <f aca="false">IF(F3871=0,"NOT FOUND",INDEX('All Song Rankings'!$A:$A,F3871))</f>
        <v>Main Title</v>
      </c>
      <c r="H3871" s="6" t="str">
        <f aca="false">IF(F3871=0,"NOT FOUND",INDEX('All Song Rankings'!$B:$B,F3871))</f>
        <v>Ramin Djawadi</v>
      </c>
      <c r="I3871" s="6" t="str">
        <f aca="false">IF(F3871=0,"NOT FOUND",INDEX('All Song Rankings'!$D:$D,F3871))</f>
        <v>Kelsey</v>
      </c>
      <c r="J3871" s="7" t="str">
        <f aca="false">IF(F3871=0,"NOT FOUND",IF(C3871=I3871,"SELF-VOTE",IF(COUNTIF($K:$K,K3871)&gt;1,"DUPLICATE","OK")))</f>
        <v>OK</v>
      </c>
      <c r="K3871" s="6" t="str">
        <f aca="false">A3871&amp;"|"&amp;B3871&amp;"|"&amp;C3871&amp;"|"&amp;D3871</f>
        <v>6|3|Makenzie|spotify:track:2q6fxAvSpqXR4jx9Ne7RGz</v>
      </c>
    </row>
    <row r="3872" customFormat="false" ht="15" hidden="false" customHeight="false" outlineLevel="0" collapsed="false">
      <c r="A3872" s="5" t="n">
        <v>6</v>
      </c>
      <c r="B3872" s="5" t="n">
        <v>3</v>
      </c>
      <c r="C3872" s="5" t="s">
        <v>395</v>
      </c>
      <c r="D3872" s="5" t="s">
        <v>1774</v>
      </c>
      <c r="E3872" s="5" t="n">
        <v>1</v>
      </c>
      <c r="F3872" s="6" t="n">
        <f aca="false">IFERROR(MATCH(A3872&amp;"|"&amp;B3872&amp;"|"&amp;D3872,'All Song Rankings'!$T:$T,0),0)</f>
        <v>580</v>
      </c>
      <c r="G3872" s="6" t="str">
        <f aca="false">IF(F3872=0,"NOT FOUND",INDEX('All Song Rankings'!$A:$A,F3872))</f>
        <v>Cosmos</v>
      </c>
      <c r="H3872" s="6" t="str">
        <f aca="false">IF(F3872=0,"NOT FOUND",INDEX('All Song Rankings'!$B:$B,F3872))</f>
        <v>standards</v>
      </c>
      <c r="I3872" s="6" t="str">
        <f aca="false">IF(F3872=0,"NOT FOUND",INDEX('All Song Rankings'!$D:$D,F3872))</f>
        <v>Scott</v>
      </c>
      <c r="J3872" s="7" t="str">
        <f aca="false">IF(F3872=0,"NOT FOUND",IF(C3872=I3872,"SELF-VOTE",IF(COUNTIF($K:$K,K3872)&gt;1,"DUPLICATE","OK")))</f>
        <v>OK</v>
      </c>
      <c r="K3872" s="6" t="str">
        <f aca="false">A3872&amp;"|"&amp;B3872&amp;"|"&amp;C3872&amp;"|"&amp;D3872</f>
        <v>6|3|Makenzie|spotify:track:3KmFdgv6niTJHVuo3MB2H0</v>
      </c>
    </row>
    <row r="3873" customFormat="false" ht="15" hidden="false" customHeight="false" outlineLevel="0" collapsed="false">
      <c r="A3873" s="5" t="n">
        <v>6</v>
      </c>
      <c r="B3873" s="5" t="n">
        <v>3</v>
      </c>
      <c r="C3873" s="5" t="s">
        <v>395</v>
      </c>
      <c r="D3873" s="5" t="s">
        <v>1796</v>
      </c>
      <c r="E3873" s="5" t="n">
        <v>1</v>
      </c>
      <c r="F3873" s="6" t="n">
        <f aca="false">IFERROR(MATCH(A3873&amp;"|"&amp;B3873&amp;"|"&amp;D3873,'All Song Rankings'!$T:$T,0),0)</f>
        <v>588</v>
      </c>
      <c r="G3873" s="6" t="str">
        <f aca="false">IF(F3873=0,"NOT FOUND",INDEX('All Song Rankings'!$A:$A,F3873))</f>
        <v>Time</v>
      </c>
      <c r="H3873" s="6" t="str">
        <f aca="false">IF(F3873=0,"NOT FOUND",INDEX('All Song Rankings'!$B:$B,F3873))</f>
        <v>Hans Zimmer</v>
      </c>
      <c r="I3873" s="6" t="str">
        <f aca="false">IF(F3873=0,"NOT FOUND",INDEX('All Song Rankings'!$D:$D,F3873))</f>
        <v>Kristen</v>
      </c>
      <c r="J3873" s="7" t="str">
        <f aca="false">IF(F3873=0,"NOT FOUND",IF(C3873=I3873,"SELF-VOTE",IF(COUNTIF($K:$K,K3873)&gt;1,"DUPLICATE","OK")))</f>
        <v>OK</v>
      </c>
      <c r="K3873" s="6" t="str">
        <f aca="false">A3873&amp;"|"&amp;B3873&amp;"|"&amp;C3873&amp;"|"&amp;D3873</f>
        <v>6|3|Makenzie|spotify:track:6ZFbXIJkuI1dVNWvzJzown</v>
      </c>
    </row>
    <row r="3874" customFormat="false" ht="15" hidden="false" customHeight="false" outlineLevel="0" collapsed="false">
      <c r="A3874" s="5" t="n">
        <v>6</v>
      </c>
      <c r="B3874" s="5" t="n">
        <v>3</v>
      </c>
      <c r="C3874" s="5" t="s">
        <v>395</v>
      </c>
      <c r="D3874" s="5" t="s">
        <v>1776</v>
      </c>
      <c r="E3874" s="5" t="n">
        <v>3</v>
      </c>
      <c r="F3874" s="6" t="n">
        <f aca="false">IFERROR(MATCH(A3874&amp;"|"&amp;B3874&amp;"|"&amp;D3874,'All Song Rankings'!$T:$T,0),0)</f>
        <v>581</v>
      </c>
      <c r="G3874" s="6" t="str">
        <f aca="false">IF(F3874=0,"NOT FOUND",INDEX('All Song Rankings'!$A:$A,F3874))</f>
        <v>Roundtable Rival</v>
      </c>
      <c r="H3874" s="6" t="str">
        <f aca="false">IF(F3874=0,"NOT FOUND",INDEX('All Song Rankings'!$B:$B,F3874))</f>
        <v>Lindsey Stirling</v>
      </c>
      <c r="I3874" s="6" t="str">
        <f aca="false">IF(F3874=0,"NOT FOUND",INDEX('All Song Rankings'!$D:$D,F3874))</f>
        <v>Leah</v>
      </c>
      <c r="J3874" s="7" t="str">
        <f aca="false">IF(F3874=0,"NOT FOUND",IF(C3874=I3874,"SELF-VOTE",IF(COUNTIF($K:$K,K3874)&gt;1,"DUPLICATE","OK")))</f>
        <v>OK</v>
      </c>
      <c r="K3874" s="6" t="str">
        <f aca="false">A3874&amp;"|"&amp;B3874&amp;"|"&amp;C3874&amp;"|"&amp;D3874</f>
        <v>6|3|Makenzie|spotify:track:7fLOFRCRe1c4kyoLJkNW1w</v>
      </c>
    </row>
    <row r="3875" customFormat="false" ht="15" hidden="false" customHeight="false" outlineLevel="0" collapsed="false">
      <c r="A3875" s="5" t="n">
        <v>6</v>
      </c>
      <c r="B3875" s="5" t="n">
        <v>3</v>
      </c>
      <c r="C3875" s="5" t="s">
        <v>395</v>
      </c>
      <c r="D3875" s="5" t="s">
        <v>1802</v>
      </c>
      <c r="E3875" s="5" t="n">
        <v>3</v>
      </c>
      <c r="F3875" s="6" t="n">
        <f aca="false">IFERROR(MATCH(A3875&amp;"|"&amp;B3875&amp;"|"&amp;D3875,'All Song Rankings'!$T:$T,0),0)</f>
        <v>590</v>
      </c>
      <c r="G3875" s="6" t="str">
        <f aca="false">IF(F3875=0,"NOT FOUND",INDEX('All Song Rankings'!$A:$A,F3875))</f>
        <v>Bella's Lullaby (From "Twilight") [Arr. For Piano by M. Rzeminski]</v>
      </c>
      <c r="H3875" s="6" t="str">
        <f aca="false">IF(F3875=0,"NOT FOUND",INDEX('All Song Rankings'!$B:$B,F3875))</f>
        <v>Maksym Rzemiński</v>
      </c>
      <c r="I3875" s="6" t="str">
        <f aca="false">IF(F3875=0,"NOT FOUND",INDEX('All Song Rankings'!$D:$D,F3875))</f>
        <v>Nicole</v>
      </c>
      <c r="J3875" s="7" t="str">
        <f aca="false">IF(F3875=0,"NOT FOUND",IF(C3875=I3875,"SELF-VOTE",IF(COUNTIF($K:$K,K3875)&gt;1,"DUPLICATE","OK")))</f>
        <v>OK</v>
      </c>
      <c r="K3875" s="6" t="str">
        <f aca="false">A3875&amp;"|"&amp;B3875&amp;"|"&amp;C3875&amp;"|"&amp;D3875</f>
        <v>6|3|Makenzie|spotify:track:7rj2PZ9Ls7z7qEnyqsy71l</v>
      </c>
    </row>
    <row r="3876" customFormat="false" ht="15" hidden="false" customHeight="false" outlineLevel="0" collapsed="false">
      <c r="A3876" s="5" t="n">
        <v>6</v>
      </c>
      <c r="B3876" s="5" t="n">
        <v>3</v>
      </c>
      <c r="C3876" s="5" t="s">
        <v>116</v>
      </c>
      <c r="D3876" s="5" t="s">
        <v>1782</v>
      </c>
      <c r="E3876" s="5" t="n">
        <v>2</v>
      </c>
      <c r="F3876" s="6" t="n">
        <f aca="false">IFERROR(MATCH(A3876&amp;"|"&amp;B3876&amp;"|"&amp;D3876,'All Song Rankings'!$T:$T,0),0)</f>
        <v>583</v>
      </c>
      <c r="G3876" s="6" t="str">
        <f aca="false">IF(F3876=0,"NOT FOUND",INDEX('All Song Rankings'!$A:$A,F3876))</f>
        <v>BATTLE WITHOUT HONOR OR HUMANITY</v>
      </c>
      <c r="H3876" s="6" t="str">
        <f aca="false">IF(F3876=0,"NOT FOUND",INDEX('All Song Rankings'!$B:$B,F3876))</f>
        <v>HOTEI</v>
      </c>
      <c r="I3876" s="6" t="str">
        <f aca="false">IF(F3876=0,"NOT FOUND",INDEX('All Song Rankings'!$D:$D,F3876))</f>
        <v>Stephanie</v>
      </c>
      <c r="J3876" s="7" t="str">
        <f aca="false">IF(F3876=0,"NOT FOUND",IF(C3876=I3876,"SELF-VOTE",IF(COUNTIF($K:$K,K3876)&gt;1,"DUPLICATE","OK")))</f>
        <v>OK</v>
      </c>
      <c r="K3876" s="6" t="str">
        <f aca="false">A3876&amp;"|"&amp;B3876&amp;"|"&amp;C3876&amp;"|"&amp;D3876</f>
        <v>6|3|Matt|spotify:track:0PH3OkM1QnIyb44VhFVbca</v>
      </c>
    </row>
    <row r="3877" customFormat="false" ht="15" hidden="false" customHeight="false" outlineLevel="0" collapsed="false">
      <c r="A3877" s="5" t="n">
        <v>6</v>
      </c>
      <c r="B3877" s="5" t="n">
        <v>3</v>
      </c>
      <c r="C3877" s="5" t="s">
        <v>116</v>
      </c>
      <c r="D3877" s="5" t="s">
        <v>1799</v>
      </c>
      <c r="E3877" s="5" t="n">
        <v>2</v>
      </c>
      <c r="F3877" s="6" t="n">
        <f aca="false">IFERROR(MATCH(A3877&amp;"|"&amp;B3877&amp;"|"&amp;D3877,'All Song Rankings'!$T:$T,0),0)</f>
        <v>589</v>
      </c>
      <c r="G3877" s="6" t="str">
        <f aca="false">IF(F3877=0,"NOT FOUND",INDEX('All Song Rankings'!$A:$A,F3877))</f>
        <v>Promentory</v>
      </c>
      <c r="H3877" s="6" t="str">
        <f aca="false">IF(F3877=0,"NOT FOUND",INDEX('All Song Rankings'!$B:$B,F3877))</f>
        <v>Trevor Jones</v>
      </c>
      <c r="I3877" s="6" t="str">
        <f aca="false">IF(F3877=0,"NOT FOUND",INDEX('All Song Rankings'!$D:$D,F3877))</f>
        <v>Lisa</v>
      </c>
      <c r="J3877" s="7" t="str">
        <f aca="false">IF(F3877=0,"NOT FOUND",IF(C3877=I3877,"SELF-VOTE",IF(COUNTIF($K:$K,K3877)&gt;1,"DUPLICATE","OK")))</f>
        <v>OK</v>
      </c>
      <c r="K3877" s="6" t="str">
        <f aca="false">A3877&amp;"|"&amp;B3877&amp;"|"&amp;C3877&amp;"|"&amp;D3877</f>
        <v>6|3|Matt|spotify:track:0l4seNH8AyE2kvjxFfpWi1</v>
      </c>
    </row>
    <row r="3878" customFormat="false" ht="15" hidden="false" customHeight="false" outlineLevel="0" collapsed="false">
      <c r="A3878" s="5" t="n">
        <v>6</v>
      </c>
      <c r="B3878" s="5" t="n">
        <v>3</v>
      </c>
      <c r="C3878" s="5" t="s">
        <v>116</v>
      </c>
      <c r="D3878" s="5" t="s">
        <v>1811</v>
      </c>
      <c r="E3878" s="5" t="n">
        <v>3</v>
      </c>
      <c r="F3878" s="6" t="n">
        <f aca="false">IFERROR(MATCH(A3878&amp;"|"&amp;B3878&amp;"|"&amp;D3878,'All Song Rankings'!$T:$T,0),0)</f>
        <v>593</v>
      </c>
      <c r="G3878" s="6" t="str">
        <f aca="false">IF(F3878=0,"NOT FOUND",INDEX('All Song Rankings'!$A:$A,F3878))</f>
        <v>Les jours tristes - Instrumental</v>
      </c>
      <c r="H3878" s="6" t="str">
        <f aca="false">IF(F3878=0,"NOT FOUND",INDEX('All Song Rankings'!$B:$B,F3878))</f>
        <v>Yann Tiersen</v>
      </c>
      <c r="I3878" s="6" t="str">
        <f aca="false">IF(F3878=0,"NOT FOUND",INDEX('All Song Rankings'!$D:$D,F3878))</f>
        <v>Grace</v>
      </c>
      <c r="J3878" s="7" t="str">
        <f aca="false">IF(F3878=0,"NOT FOUND",IF(C3878=I3878,"SELF-VOTE",IF(COUNTIF($K:$K,K3878)&gt;1,"DUPLICATE","OK")))</f>
        <v>OK</v>
      </c>
      <c r="K3878" s="6" t="str">
        <f aca="false">A3878&amp;"|"&amp;B3878&amp;"|"&amp;C3878&amp;"|"&amp;D3878</f>
        <v>6|3|Matt|spotify:track:26usmxPwvxV8Gd7sAbR323</v>
      </c>
    </row>
    <row r="3879" customFormat="false" ht="15" hidden="false" customHeight="false" outlineLevel="0" collapsed="false">
      <c r="A3879" s="5" t="n">
        <v>6</v>
      </c>
      <c r="B3879" s="5" t="n">
        <v>3</v>
      </c>
      <c r="C3879" s="5" t="s">
        <v>116</v>
      </c>
      <c r="D3879" s="5" t="s">
        <v>1788</v>
      </c>
      <c r="E3879" s="5" t="n">
        <v>1</v>
      </c>
      <c r="F3879" s="6" t="n">
        <f aca="false">IFERROR(MATCH(A3879&amp;"|"&amp;B3879&amp;"|"&amp;D3879,'All Song Rankings'!$T:$T,0),0)</f>
        <v>585</v>
      </c>
      <c r="G3879" s="6" t="str">
        <f aca="false">IF(F3879=0,"NOT FOUND",INDEX('All Song Rankings'!$A:$A,F3879))</f>
        <v>Agape</v>
      </c>
      <c r="H3879" s="6" t="str">
        <f aca="false">IF(F3879=0,"NOT FOUND",INDEX('All Song Rankings'!$B:$B,F3879))</f>
        <v>Nicholas Britell</v>
      </c>
      <c r="I3879" s="6" t="str">
        <f aca="false">IF(F3879=0,"NOT FOUND",INDEX('All Song Rankings'!$D:$D,F3879))</f>
        <v>Logan</v>
      </c>
      <c r="J3879" s="7" t="str">
        <f aca="false">IF(F3879=0,"NOT FOUND",IF(C3879=I3879,"SELF-VOTE",IF(COUNTIF($K:$K,K3879)&gt;1,"DUPLICATE","OK")))</f>
        <v>OK</v>
      </c>
      <c r="K3879" s="6" t="str">
        <f aca="false">A3879&amp;"|"&amp;B3879&amp;"|"&amp;C3879&amp;"|"&amp;D3879</f>
        <v>6|3|Matt|spotify:track:2IvnDjlgH8yy70Nz99UdcJ</v>
      </c>
    </row>
    <row r="3880" customFormat="false" ht="15" hidden="false" customHeight="false" outlineLevel="0" collapsed="false">
      <c r="A3880" s="5" t="n">
        <v>6</v>
      </c>
      <c r="B3880" s="5" t="n">
        <v>3</v>
      </c>
      <c r="C3880" s="5" t="s">
        <v>116</v>
      </c>
      <c r="D3880" s="5" t="s">
        <v>1791</v>
      </c>
      <c r="E3880" s="5" t="n">
        <v>1</v>
      </c>
      <c r="F3880" s="6" t="n">
        <f aca="false">IFERROR(MATCH(A3880&amp;"|"&amp;B3880&amp;"|"&amp;D3880,'All Song Rankings'!$T:$T,0),0)</f>
        <v>586</v>
      </c>
      <c r="G3880" s="6" t="str">
        <f aca="false">IF(F3880=0,"NOT FOUND",INDEX('All Song Rankings'!$A:$A,F3880))</f>
        <v>YYZ</v>
      </c>
      <c r="H3880" s="6" t="str">
        <f aca="false">IF(F3880=0,"NOT FOUND",INDEX('All Song Rankings'!$B:$B,F3880))</f>
        <v>Rush</v>
      </c>
      <c r="I3880" s="6" t="str">
        <f aca="false">IF(F3880=0,"NOT FOUND",INDEX('All Song Rankings'!$D:$D,F3880))</f>
        <v>Aubrey</v>
      </c>
      <c r="J3880" s="7" t="str">
        <f aca="false">IF(F3880=0,"NOT FOUND",IF(C3880=I3880,"SELF-VOTE",IF(COUNTIF($K:$K,K3880)&gt;1,"DUPLICATE","OK")))</f>
        <v>OK</v>
      </c>
      <c r="K3880" s="6" t="str">
        <f aca="false">A3880&amp;"|"&amp;B3880&amp;"|"&amp;C3880&amp;"|"&amp;D3880</f>
        <v>6|3|Matt|spotify:track:3lpDrxUkr0tIe1kmJvdK7d</v>
      </c>
    </row>
    <row r="3881" customFormat="false" ht="15" hidden="false" customHeight="false" outlineLevel="0" collapsed="false">
      <c r="A3881" s="5" t="n">
        <v>6</v>
      </c>
      <c r="B3881" s="5" t="n">
        <v>3</v>
      </c>
      <c r="C3881" s="5" t="s">
        <v>116</v>
      </c>
      <c r="D3881" s="5" t="s">
        <v>1796</v>
      </c>
      <c r="E3881" s="5" t="n">
        <v>1</v>
      </c>
      <c r="F3881" s="6" t="n">
        <f aca="false">IFERROR(MATCH(A3881&amp;"|"&amp;B3881&amp;"|"&amp;D3881,'All Song Rankings'!$T:$T,0),0)</f>
        <v>588</v>
      </c>
      <c r="G3881" s="6" t="str">
        <f aca="false">IF(F3881=0,"NOT FOUND",INDEX('All Song Rankings'!$A:$A,F3881))</f>
        <v>Time</v>
      </c>
      <c r="H3881" s="6" t="str">
        <f aca="false">IF(F3881=0,"NOT FOUND",INDEX('All Song Rankings'!$B:$B,F3881))</f>
        <v>Hans Zimmer</v>
      </c>
      <c r="I3881" s="6" t="str">
        <f aca="false">IF(F3881=0,"NOT FOUND",INDEX('All Song Rankings'!$D:$D,F3881))</f>
        <v>Kristen</v>
      </c>
      <c r="J3881" s="7" t="str">
        <f aca="false">IF(F3881=0,"NOT FOUND",IF(C3881=I3881,"SELF-VOTE",IF(COUNTIF($K:$K,K3881)&gt;1,"DUPLICATE","OK")))</f>
        <v>OK</v>
      </c>
      <c r="K3881" s="6" t="str">
        <f aca="false">A3881&amp;"|"&amp;B3881&amp;"|"&amp;C3881&amp;"|"&amp;D3881</f>
        <v>6|3|Matt|spotify:track:6ZFbXIJkuI1dVNWvzJzown</v>
      </c>
    </row>
    <row r="3882" customFormat="false" ht="15" hidden="false" customHeight="false" outlineLevel="0" collapsed="false">
      <c r="A3882" s="5" t="n">
        <v>6</v>
      </c>
      <c r="B3882" s="5" t="n">
        <v>3</v>
      </c>
      <c r="C3882" s="5" t="s">
        <v>101</v>
      </c>
      <c r="D3882" s="5" t="s">
        <v>1782</v>
      </c>
      <c r="E3882" s="5" t="n">
        <v>1</v>
      </c>
      <c r="F3882" s="6" t="n">
        <f aca="false">IFERROR(MATCH(A3882&amp;"|"&amp;B3882&amp;"|"&amp;D3882,'All Song Rankings'!$T:$T,0),0)</f>
        <v>583</v>
      </c>
      <c r="G3882" s="6" t="str">
        <f aca="false">IF(F3882=0,"NOT FOUND",INDEX('All Song Rankings'!$A:$A,F3882))</f>
        <v>BATTLE WITHOUT HONOR OR HUMANITY</v>
      </c>
      <c r="H3882" s="6" t="str">
        <f aca="false">IF(F3882=0,"NOT FOUND",INDEX('All Song Rankings'!$B:$B,F3882))</f>
        <v>HOTEI</v>
      </c>
      <c r="I3882" s="6" t="str">
        <f aca="false">IF(F3882=0,"NOT FOUND",INDEX('All Song Rankings'!$D:$D,F3882))</f>
        <v>Stephanie</v>
      </c>
      <c r="J3882" s="7" t="str">
        <f aca="false">IF(F3882=0,"NOT FOUND",IF(C3882=I3882,"SELF-VOTE",IF(COUNTIF($K:$K,K3882)&gt;1,"DUPLICATE","OK")))</f>
        <v>OK</v>
      </c>
      <c r="K3882" s="6" t="str">
        <f aca="false">A3882&amp;"|"&amp;B3882&amp;"|"&amp;C3882&amp;"|"&amp;D3882</f>
        <v>6|3|Merita|spotify:track:0PH3OkM1QnIyb44VhFVbca</v>
      </c>
    </row>
    <row r="3883" customFormat="false" ht="15" hidden="false" customHeight="false" outlineLevel="0" collapsed="false">
      <c r="A3883" s="5" t="n">
        <v>6</v>
      </c>
      <c r="B3883" s="5" t="n">
        <v>3</v>
      </c>
      <c r="C3883" s="5" t="s">
        <v>101</v>
      </c>
      <c r="D3883" s="5" t="s">
        <v>1799</v>
      </c>
      <c r="E3883" s="5" t="n">
        <v>1</v>
      </c>
      <c r="F3883" s="6" t="n">
        <f aca="false">IFERROR(MATCH(A3883&amp;"|"&amp;B3883&amp;"|"&amp;D3883,'All Song Rankings'!$T:$T,0),0)</f>
        <v>589</v>
      </c>
      <c r="G3883" s="6" t="str">
        <f aca="false">IF(F3883=0,"NOT FOUND",INDEX('All Song Rankings'!$A:$A,F3883))</f>
        <v>Promentory</v>
      </c>
      <c r="H3883" s="6" t="str">
        <f aca="false">IF(F3883=0,"NOT FOUND",INDEX('All Song Rankings'!$B:$B,F3883))</f>
        <v>Trevor Jones</v>
      </c>
      <c r="I3883" s="6" t="str">
        <f aca="false">IF(F3883=0,"NOT FOUND",INDEX('All Song Rankings'!$D:$D,F3883))</f>
        <v>Lisa</v>
      </c>
      <c r="J3883" s="7" t="str">
        <f aca="false">IF(F3883=0,"NOT FOUND",IF(C3883=I3883,"SELF-VOTE",IF(COUNTIF($K:$K,K3883)&gt;1,"DUPLICATE","OK")))</f>
        <v>OK</v>
      </c>
      <c r="K3883" s="6" t="str">
        <f aca="false">A3883&amp;"|"&amp;B3883&amp;"|"&amp;C3883&amp;"|"&amp;D3883</f>
        <v>6|3|Merita|spotify:track:0l4seNH8AyE2kvjxFfpWi1</v>
      </c>
    </row>
    <row r="3884" customFormat="false" ht="15" hidden="false" customHeight="false" outlineLevel="0" collapsed="false">
      <c r="A3884" s="5" t="n">
        <v>6</v>
      </c>
      <c r="B3884" s="5" t="n">
        <v>3</v>
      </c>
      <c r="C3884" s="5" t="s">
        <v>101</v>
      </c>
      <c r="D3884" s="5" t="s">
        <v>1811</v>
      </c>
      <c r="E3884" s="5" t="n">
        <v>1</v>
      </c>
      <c r="F3884" s="6" t="n">
        <f aca="false">IFERROR(MATCH(A3884&amp;"|"&amp;B3884&amp;"|"&amp;D3884,'All Song Rankings'!$T:$T,0),0)</f>
        <v>593</v>
      </c>
      <c r="G3884" s="6" t="str">
        <f aca="false">IF(F3884=0,"NOT FOUND",INDEX('All Song Rankings'!$A:$A,F3884))</f>
        <v>Les jours tristes - Instrumental</v>
      </c>
      <c r="H3884" s="6" t="str">
        <f aca="false">IF(F3884=0,"NOT FOUND",INDEX('All Song Rankings'!$B:$B,F3884))</f>
        <v>Yann Tiersen</v>
      </c>
      <c r="I3884" s="6" t="str">
        <f aca="false">IF(F3884=0,"NOT FOUND",INDEX('All Song Rankings'!$D:$D,F3884))</f>
        <v>Grace</v>
      </c>
      <c r="J3884" s="7" t="str">
        <f aca="false">IF(F3884=0,"NOT FOUND",IF(C3884=I3884,"SELF-VOTE",IF(COUNTIF($K:$K,K3884)&gt;1,"DUPLICATE","OK")))</f>
        <v>OK</v>
      </c>
      <c r="K3884" s="6" t="str">
        <f aca="false">A3884&amp;"|"&amp;B3884&amp;"|"&amp;C3884&amp;"|"&amp;D3884</f>
        <v>6|3|Merita|spotify:track:26usmxPwvxV8Gd7sAbR323</v>
      </c>
    </row>
    <row r="3885" customFormat="false" ht="15" hidden="false" customHeight="false" outlineLevel="0" collapsed="false">
      <c r="A3885" s="5" t="n">
        <v>6</v>
      </c>
      <c r="B3885" s="5" t="n">
        <v>3</v>
      </c>
      <c r="C3885" s="5" t="s">
        <v>101</v>
      </c>
      <c r="D3885" s="5" t="s">
        <v>1788</v>
      </c>
      <c r="E3885" s="5" t="n">
        <v>1</v>
      </c>
      <c r="F3885" s="6" t="n">
        <f aca="false">IFERROR(MATCH(A3885&amp;"|"&amp;B3885&amp;"|"&amp;D3885,'All Song Rankings'!$T:$T,0),0)</f>
        <v>585</v>
      </c>
      <c r="G3885" s="6" t="str">
        <f aca="false">IF(F3885=0,"NOT FOUND",INDEX('All Song Rankings'!$A:$A,F3885))</f>
        <v>Agape</v>
      </c>
      <c r="H3885" s="6" t="str">
        <f aca="false">IF(F3885=0,"NOT FOUND",INDEX('All Song Rankings'!$B:$B,F3885))</f>
        <v>Nicholas Britell</v>
      </c>
      <c r="I3885" s="6" t="str">
        <f aca="false">IF(F3885=0,"NOT FOUND",INDEX('All Song Rankings'!$D:$D,F3885))</f>
        <v>Logan</v>
      </c>
      <c r="J3885" s="7" t="str">
        <f aca="false">IF(F3885=0,"NOT FOUND",IF(C3885=I3885,"SELF-VOTE",IF(COUNTIF($K:$K,K3885)&gt;1,"DUPLICATE","OK")))</f>
        <v>OK</v>
      </c>
      <c r="K3885" s="6" t="str">
        <f aca="false">A3885&amp;"|"&amp;B3885&amp;"|"&amp;C3885&amp;"|"&amp;D3885</f>
        <v>6|3|Merita|spotify:track:2IvnDjlgH8yy70Nz99UdcJ</v>
      </c>
    </row>
    <row r="3886" customFormat="false" ht="15" hidden="false" customHeight="false" outlineLevel="0" collapsed="false">
      <c r="A3886" s="5" t="n">
        <v>6</v>
      </c>
      <c r="B3886" s="5" t="n">
        <v>3</v>
      </c>
      <c r="C3886" s="5" t="s">
        <v>101</v>
      </c>
      <c r="D3886" s="5" t="s">
        <v>1785</v>
      </c>
      <c r="E3886" s="5" t="n">
        <v>1</v>
      </c>
      <c r="F3886" s="6" t="n">
        <f aca="false">IFERROR(MATCH(A3886&amp;"|"&amp;B3886&amp;"|"&amp;D3886,'All Song Rankings'!$T:$T,0),0)</f>
        <v>584</v>
      </c>
      <c r="G3886" s="6" t="str">
        <f aca="false">IF(F3886=0,"NOT FOUND",INDEX('All Song Rankings'!$A:$A,F3886))</f>
        <v>Main Title</v>
      </c>
      <c r="H3886" s="6" t="str">
        <f aca="false">IF(F3886=0,"NOT FOUND",INDEX('All Song Rankings'!$B:$B,F3886))</f>
        <v>Ramin Djawadi</v>
      </c>
      <c r="I3886" s="6" t="str">
        <f aca="false">IF(F3886=0,"NOT FOUND",INDEX('All Song Rankings'!$D:$D,F3886))</f>
        <v>Kelsey</v>
      </c>
      <c r="J3886" s="7" t="str">
        <f aca="false">IF(F3886=0,"NOT FOUND",IF(C3886=I3886,"SELF-VOTE",IF(COUNTIF($K:$K,K3886)&gt;1,"DUPLICATE","OK")))</f>
        <v>OK</v>
      </c>
      <c r="K3886" s="6" t="str">
        <f aca="false">A3886&amp;"|"&amp;B3886&amp;"|"&amp;C3886&amp;"|"&amp;D3886</f>
        <v>6|3|Merita|spotify:track:2q6fxAvSpqXR4jx9Ne7RGz</v>
      </c>
    </row>
    <row r="3887" customFormat="false" ht="15" hidden="false" customHeight="false" outlineLevel="0" collapsed="false">
      <c r="A3887" s="5" t="n">
        <v>6</v>
      </c>
      <c r="B3887" s="5" t="n">
        <v>3</v>
      </c>
      <c r="C3887" s="5" t="s">
        <v>101</v>
      </c>
      <c r="D3887" s="5" t="s">
        <v>1774</v>
      </c>
      <c r="E3887" s="5" t="n">
        <v>3</v>
      </c>
      <c r="F3887" s="6" t="n">
        <f aca="false">IFERROR(MATCH(A3887&amp;"|"&amp;B3887&amp;"|"&amp;D3887,'All Song Rankings'!$T:$T,0),0)</f>
        <v>580</v>
      </c>
      <c r="G3887" s="6" t="str">
        <f aca="false">IF(F3887=0,"NOT FOUND",INDEX('All Song Rankings'!$A:$A,F3887))</f>
        <v>Cosmos</v>
      </c>
      <c r="H3887" s="6" t="str">
        <f aca="false">IF(F3887=0,"NOT FOUND",INDEX('All Song Rankings'!$B:$B,F3887))</f>
        <v>standards</v>
      </c>
      <c r="I3887" s="6" t="str">
        <f aca="false">IF(F3887=0,"NOT FOUND",INDEX('All Song Rankings'!$D:$D,F3887))</f>
        <v>Scott</v>
      </c>
      <c r="J3887" s="7" t="str">
        <f aca="false">IF(F3887=0,"NOT FOUND",IF(C3887=I3887,"SELF-VOTE",IF(COUNTIF($K:$K,K3887)&gt;1,"DUPLICATE","OK")))</f>
        <v>OK</v>
      </c>
      <c r="K3887" s="6" t="str">
        <f aca="false">A3887&amp;"|"&amp;B3887&amp;"|"&amp;C3887&amp;"|"&amp;D3887</f>
        <v>6|3|Merita|spotify:track:3KmFdgv6niTJHVuo3MB2H0</v>
      </c>
    </row>
    <row r="3888" customFormat="false" ht="15" hidden="false" customHeight="false" outlineLevel="0" collapsed="false">
      <c r="A3888" s="5" t="n">
        <v>6</v>
      </c>
      <c r="B3888" s="5" t="n">
        <v>3</v>
      </c>
      <c r="C3888" s="5" t="s">
        <v>101</v>
      </c>
      <c r="D3888" s="5" t="s">
        <v>1796</v>
      </c>
      <c r="E3888" s="5" t="n">
        <v>1</v>
      </c>
      <c r="F3888" s="6" t="n">
        <f aca="false">IFERROR(MATCH(A3888&amp;"|"&amp;B3888&amp;"|"&amp;D3888,'All Song Rankings'!$T:$T,0),0)</f>
        <v>588</v>
      </c>
      <c r="G3888" s="6" t="str">
        <f aca="false">IF(F3888=0,"NOT FOUND",INDEX('All Song Rankings'!$A:$A,F3888))</f>
        <v>Time</v>
      </c>
      <c r="H3888" s="6" t="str">
        <f aca="false">IF(F3888=0,"NOT FOUND",INDEX('All Song Rankings'!$B:$B,F3888))</f>
        <v>Hans Zimmer</v>
      </c>
      <c r="I3888" s="6" t="str">
        <f aca="false">IF(F3888=0,"NOT FOUND",INDEX('All Song Rankings'!$D:$D,F3888))</f>
        <v>Kristen</v>
      </c>
      <c r="J3888" s="7" t="str">
        <f aca="false">IF(F3888=0,"NOT FOUND",IF(C3888=I3888,"SELF-VOTE",IF(COUNTIF($K:$K,K3888)&gt;1,"DUPLICATE","OK")))</f>
        <v>OK</v>
      </c>
      <c r="K3888" s="6" t="str">
        <f aca="false">A3888&amp;"|"&amp;B3888&amp;"|"&amp;C3888&amp;"|"&amp;D3888</f>
        <v>6|3|Merita|spotify:track:6ZFbXIJkuI1dVNWvzJzown</v>
      </c>
    </row>
    <row r="3889" customFormat="false" ht="15" hidden="false" customHeight="false" outlineLevel="0" collapsed="false">
      <c r="A3889" s="5" t="n">
        <v>6</v>
      </c>
      <c r="B3889" s="5" t="n">
        <v>3</v>
      </c>
      <c r="C3889" s="5" t="s">
        <v>101</v>
      </c>
      <c r="D3889" s="5" t="s">
        <v>1776</v>
      </c>
      <c r="E3889" s="5" t="n">
        <v>1</v>
      </c>
      <c r="F3889" s="6" t="n">
        <f aca="false">IFERROR(MATCH(A3889&amp;"|"&amp;B3889&amp;"|"&amp;D3889,'All Song Rankings'!$T:$T,0),0)</f>
        <v>581</v>
      </c>
      <c r="G3889" s="6" t="str">
        <f aca="false">IF(F3889=0,"NOT FOUND",INDEX('All Song Rankings'!$A:$A,F3889))</f>
        <v>Roundtable Rival</v>
      </c>
      <c r="H3889" s="6" t="str">
        <f aca="false">IF(F3889=0,"NOT FOUND",INDEX('All Song Rankings'!$B:$B,F3889))</f>
        <v>Lindsey Stirling</v>
      </c>
      <c r="I3889" s="6" t="str">
        <f aca="false">IF(F3889=0,"NOT FOUND",INDEX('All Song Rankings'!$D:$D,F3889))</f>
        <v>Leah</v>
      </c>
      <c r="J3889" s="7" t="str">
        <f aca="false">IF(F3889=0,"NOT FOUND",IF(C3889=I3889,"SELF-VOTE",IF(COUNTIF($K:$K,K3889)&gt;1,"DUPLICATE","OK")))</f>
        <v>OK</v>
      </c>
      <c r="K3889" s="6" t="str">
        <f aca="false">A3889&amp;"|"&amp;B3889&amp;"|"&amp;C3889&amp;"|"&amp;D3889</f>
        <v>6|3|Merita|spotify:track:7fLOFRCRe1c4kyoLJkNW1w</v>
      </c>
    </row>
    <row r="3890" customFormat="false" ht="15" hidden="false" customHeight="false" outlineLevel="0" collapsed="false">
      <c r="A3890" s="5" t="n">
        <v>6</v>
      </c>
      <c r="B3890" s="5" t="n">
        <v>3</v>
      </c>
      <c r="C3890" s="5" t="s">
        <v>92</v>
      </c>
      <c r="D3890" s="5" t="s">
        <v>1779</v>
      </c>
      <c r="E3890" s="5" t="n">
        <v>2</v>
      </c>
      <c r="F3890" s="6" t="n">
        <f aca="false">IFERROR(MATCH(A3890&amp;"|"&amp;B3890&amp;"|"&amp;D3890,'All Song Rankings'!$T:$T,0),0)</f>
        <v>582</v>
      </c>
      <c r="G3890" s="6" t="str">
        <f aca="false">IF(F3890=0,"NOT FOUND",INDEX('All Song Rankings'!$A:$A,F3890))</f>
        <v>Adventurer</v>
      </c>
      <c r="H3890" s="6" t="str">
        <f aca="false">IF(F3890=0,"NOT FOUND",INDEX('All Song Rankings'!$B:$B,F3890))</f>
        <v>The Gothard Sisters</v>
      </c>
      <c r="I3890" s="6" t="str">
        <f aca="false">IF(F3890=0,"NOT FOUND",INDEX('All Song Rankings'!$D:$D,F3890))</f>
        <v>Colleen</v>
      </c>
      <c r="J3890" s="7" t="str">
        <f aca="false">IF(F3890=0,"NOT FOUND",IF(C3890=I3890,"SELF-VOTE",IF(COUNTIF($K:$K,K3890)&gt;1,"DUPLICATE","OK")))</f>
        <v>OK</v>
      </c>
      <c r="K3890" s="6" t="str">
        <f aca="false">A3890&amp;"|"&amp;B3890&amp;"|"&amp;C3890&amp;"|"&amp;D3890</f>
        <v>6|3|Nicole|spotify:track:1yfQcZvnS3KBesBOlBfMKn</v>
      </c>
    </row>
    <row r="3891" customFormat="false" ht="15" hidden="false" customHeight="false" outlineLevel="0" collapsed="false">
      <c r="A3891" s="5" t="n">
        <v>6</v>
      </c>
      <c r="B3891" s="5" t="n">
        <v>3</v>
      </c>
      <c r="C3891" s="5" t="s">
        <v>92</v>
      </c>
      <c r="D3891" s="5" t="s">
        <v>1785</v>
      </c>
      <c r="E3891" s="5" t="n">
        <v>2</v>
      </c>
      <c r="F3891" s="6" t="n">
        <f aca="false">IFERROR(MATCH(A3891&amp;"|"&amp;B3891&amp;"|"&amp;D3891,'All Song Rankings'!$T:$T,0),0)</f>
        <v>584</v>
      </c>
      <c r="G3891" s="6" t="str">
        <f aca="false">IF(F3891=0,"NOT FOUND",INDEX('All Song Rankings'!$A:$A,F3891))</f>
        <v>Main Title</v>
      </c>
      <c r="H3891" s="6" t="str">
        <f aca="false">IF(F3891=0,"NOT FOUND",INDEX('All Song Rankings'!$B:$B,F3891))</f>
        <v>Ramin Djawadi</v>
      </c>
      <c r="I3891" s="6" t="str">
        <f aca="false">IF(F3891=0,"NOT FOUND",INDEX('All Song Rankings'!$D:$D,F3891))</f>
        <v>Kelsey</v>
      </c>
      <c r="J3891" s="7" t="str">
        <f aca="false">IF(F3891=0,"NOT FOUND",IF(C3891=I3891,"SELF-VOTE",IF(COUNTIF($K:$K,K3891)&gt;1,"DUPLICATE","OK")))</f>
        <v>OK</v>
      </c>
      <c r="K3891" s="6" t="str">
        <f aca="false">A3891&amp;"|"&amp;B3891&amp;"|"&amp;C3891&amp;"|"&amp;D3891</f>
        <v>6|3|Nicole|spotify:track:2q6fxAvSpqXR4jx9Ne7RGz</v>
      </c>
    </row>
    <row r="3892" customFormat="false" ht="15" hidden="false" customHeight="false" outlineLevel="0" collapsed="false">
      <c r="A3892" s="5" t="n">
        <v>6</v>
      </c>
      <c r="B3892" s="5" t="n">
        <v>3</v>
      </c>
      <c r="C3892" s="5" t="s">
        <v>92</v>
      </c>
      <c r="D3892" s="5" t="s">
        <v>1774</v>
      </c>
      <c r="E3892" s="5" t="n">
        <v>2</v>
      </c>
      <c r="F3892" s="6" t="n">
        <f aca="false">IFERROR(MATCH(A3892&amp;"|"&amp;B3892&amp;"|"&amp;D3892,'All Song Rankings'!$T:$T,0),0)</f>
        <v>580</v>
      </c>
      <c r="G3892" s="6" t="str">
        <f aca="false">IF(F3892=0,"NOT FOUND",INDEX('All Song Rankings'!$A:$A,F3892))</f>
        <v>Cosmos</v>
      </c>
      <c r="H3892" s="6" t="str">
        <f aca="false">IF(F3892=0,"NOT FOUND",INDEX('All Song Rankings'!$B:$B,F3892))</f>
        <v>standards</v>
      </c>
      <c r="I3892" s="6" t="str">
        <f aca="false">IF(F3892=0,"NOT FOUND",INDEX('All Song Rankings'!$D:$D,F3892))</f>
        <v>Scott</v>
      </c>
      <c r="J3892" s="7" t="str">
        <f aca="false">IF(F3892=0,"NOT FOUND",IF(C3892=I3892,"SELF-VOTE",IF(COUNTIF($K:$K,K3892)&gt;1,"DUPLICATE","OK")))</f>
        <v>OK</v>
      </c>
      <c r="K3892" s="6" t="str">
        <f aca="false">A3892&amp;"|"&amp;B3892&amp;"|"&amp;C3892&amp;"|"&amp;D3892</f>
        <v>6|3|Nicole|spotify:track:3KmFdgv6niTJHVuo3MB2H0</v>
      </c>
    </row>
    <row r="3893" customFormat="false" ht="15" hidden="false" customHeight="false" outlineLevel="0" collapsed="false">
      <c r="A3893" s="5" t="n">
        <v>6</v>
      </c>
      <c r="B3893" s="5" t="n">
        <v>3</v>
      </c>
      <c r="C3893" s="5" t="s">
        <v>92</v>
      </c>
      <c r="D3893" s="5" t="s">
        <v>1791</v>
      </c>
      <c r="E3893" s="5" t="n">
        <v>1</v>
      </c>
      <c r="F3893" s="6" t="n">
        <f aca="false">IFERROR(MATCH(A3893&amp;"|"&amp;B3893&amp;"|"&amp;D3893,'All Song Rankings'!$T:$T,0),0)</f>
        <v>586</v>
      </c>
      <c r="G3893" s="6" t="str">
        <f aca="false">IF(F3893=0,"NOT FOUND",INDEX('All Song Rankings'!$A:$A,F3893))</f>
        <v>YYZ</v>
      </c>
      <c r="H3893" s="6" t="str">
        <f aca="false">IF(F3893=0,"NOT FOUND",INDEX('All Song Rankings'!$B:$B,F3893))</f>
        <v>Rush</v>
      </c>
      <c r="I3893" s="6" t="str">
        <f aca="false">IF(F3893=0,"NOT FOUND",INDEX('All Song Rankings'!$D:$D,F3893))</f>
        <v>Aubrey</v>
      </c>
      <c r="J3893" s="7" t="str">
        <f aca="false">IF(F3893=0,"NOT FOUND",IF(C3893=I3893,"SELF-VOTE",IF(COUNTIF($K:$K,K3893)&gt;1,"DUPLICATE","OK")))</f>
        <v>OK</v>
      </c>
      <c r="K3893" s="6" t="str">
        <f aca="false">A3893&amp;"|"&amp;B3893&amp;"|"&amp;C3893&amp;"|"&amp;D3893</f>
        <v>6|3|Nicole|spotify:track:3lpDrxUkr0tIe1kmJvdK7d</v>
      </c>
    </row>
    <row r="3894" customFormat="false" ht="15" hidden="false" customHeight="false" outlineLevel="0" collapsed="false">
      <c r="A3894" s="5" t="n">
        <v>6</v>
      </c>
      <c r="B3894" s="5" t="n">
        <v>3</v>
      </c>
      <c r="C3894" s="5" t="s">
        <v>92</v>
      </c>
      <c r="D3894" s="5" t="s">
        <v>1805</v>
      </c>
      <c r="E3894" s="5" t="n">
        <v>1</v>
      </c>
      <c r="F3894" s="6" t="n">
        <f aca="false">IFERROR(MATCH(A3894&amp;"|"&amp;B3894&amp;"|"&amp;D3894,'All Song Rankings'!$T:$T,0),0)</f>
        <v>591</v>
      </c>
      <c r="G3894" s="6" t="str">
        <f aca="false">IF(F3894=0,"NOT FOUND",INDEX('All Song Rankings'!$A:$A,F3894))</f>
        <v>Orion (Remastered)</v>
      </c>
      <c r="H3894" s="6" t="str">
        <f aca="false">IF(F3894=0,"NOT FOUND",INDEX('All Song Rankings'!$B:$B,F3894))</f>
        <v>Metallica</v>
      </c>
      <c r="I3894" s="6" t="str">
        <f aca="false">IF(F3894=0,"NOT FOUND",INDEX('All Song Rankings'!$D:$D,F3894))</f>
        <v>Makenzie</v>
      </c>
      <c r="J3894" s="7" t="str">
        <f aca="false">IF(F3894=0,"NOT FOUND",IF(C3894=I3894,"SELF-VOTE",IF(COUNTIF($K:$K,K3894)&gt;1,"DUPLICATE","OK")))</f>
        <v>OK</v>
      </c>
      <c r="K3894" s="6" t="str">
        <f aca="false">A3894&amp;"|"&amp;B3894&amp;"|"&amp;C3894&amp;"|"&amp;D3894</f>
        <v>6|3|Nicole|spotify:track:4xyWJM4kscTROV2RESdwpd</v>
      </c>
    </row>
    <row r="3895" customFormat="false" ht="15" hidden="false" customHeight="false" outlineLevel="0" collapsed="false">
      <c r="A3895" s="5" t="n">
        <v>6</v>
      </c>
      <c r="B3895" s="5" t="n">
        <v>3</v>
      </c>
      <c r="C3895" s="5" t="s">
        <v>92</v>
      </c>
      <c r="D3895" s="5" t="s">
        <v>1776</v>
      </c>
      <c r="E3895" s="5" t="n">
        <v>2</v>
      </c>
      <c r="F3895" s="6" t="n">
        <f aca="false">IFERROR(MATCH(A3895&amp;"|"&amp;B3895&amp;"|"&amp;D3895,'All Song Rankings'!$T:$T,0),0)</f>
        <v>581</v>
      </c>
      <c r="G3895" s="6" t="str">
        <f aca="false">IF(F3895=0,"NOT FOUND",INDEX('All Song Rankings'!$A:$A,F3895))</f>
        <v>Roundtable Rival</v>
      </c>
      <c r="H3895" s="6" t="str">
        <f aca="false">IF(F3895=0,"NOT FOUND",INDEX('All Song Rankings'!$B:$B,F3895))</f>
        <v>Lindsey Stirling</v>
      </c>
      <c r="I3895" s="6" t="str">
        <f aca="false">IF(F3895=0,"NOT FOUND",INDEX('All Song Rankings'!$D:$D,F3895))</f>
        <v>Leah</v>
      </c>
      <c r="J3895" s="7" t="str">
        <f aca="false">IF(F3895=0,"NOT FOUND",IF(C3895=I3895,"SELF-VOTE",IF(COUNTIF($K:$K,K3895)&gt;1,"DUPLICATE","OK")))</f>
        <v>OK</v>
      </c>
      <c r="K3895" s="6" t="str">
        <f aca="false">A3895&amp;"|"&amp;B3895&amp;"|"&amp;C3895&amp;"|"&amp;D3895</f>
        <v>6|3|Nicole|spotify:track:7fLOFRCRe1c4kyoLJkNW1w</v>
      </c>
    </row>
    <row r="3896" customFormat="false" ht="15" hidden="false" customHeight="false" outlineLevel="0" collapsed="false">
      <c r="A3896" s="5" t="n">
        <v>6</v>
      </c>
      <c r="B3896" s="5" t="n">
        <v>3</v>
      </c>
      <c r="C3896" s="5" t="s">
        <v>484</v>
      </c>
      <c r="D3896" s="5" t="s">
        <v>1814</v>
      </c>
      <c r="E3896" s="5" t="n">
        <v>2</v>
      </c>
      <c r="F3896" s="6" t="n">
        <f aca="false">IFERROR(MATCH(A3896&amp;"|"&amp;B3896&amp;"|"&amp;D3896,'All Song Rankings'!$T:$T,0),0)</f>
        <v>594</v>
      </c>
      <c r="G3896" s="6" t="str">
        <f aca="false">IF(F3896=0,"NOT FOUND",INDEX('All Song Rankings'!$A:$A,F3896))</f>
        <v>Connor Main Theme - Connor - (From "Detroit:Become Human" Soundtrack)</v>
      </c>
      <c r="H3896" s="6" t="str">
        <f aca="false">IF(F3896=0,"NOT FOUND",INDEX('All Song Rankings'!$B:$B,F3896))</f>
        <v>Nima Fakhrara</v>
      </c>
      <c r="I3896" s="6" t="str">
        <f aca="false">IF(F3896=0,"NOT FOUND",INDEX('All Song Rankings'!$D:$D,F3896))</f>
        <v>Merita</v>
      </c>
      <c r="J3896" s="7" t="str">
        <f aca="false">IF(F3896=0,"NOT FOUND",IF(C3896=I3896,"SELF-VOTE",IF(COUNTIF($K:$K,K3896)&gt;1,"DUPLICATE","OK")))</f>
        <v>OK</v>
      </c>
      <c r="K3896" s="6" t="str">
        <f aca="false">A3896&amp;"|"&amp;B3896&amp;"|"&amp;C3896&amp;"|"&amp;D3896</f>
        <v>6|3|Scott|spotify:track:1oYqTiYgy3fSqAuMYCxxye</v>
      </c>
    </row>
    <row r="3897" customFormat="false" ht="15" hidden="false" customHeight="false" outlineLevel="0" collapsed="false">
      <c r="A3897" s="5" t="n">
        <v>6</v>
      </c>
      <c r="B3897" s="5" t="n">
        <v>3</v>
      </c>
      <c r="C3897" s="5" t="s">
        <v>484</v>
      </c>
      <c r="D3897" s="5" t="s">
        <v>1779</v>
      </c>
      <c r="E3897" s="5" t="n">
        <v>1</v>
      </c>
      <c r="F3897" s="6" t="n">
        <f aca="false">IFERROR(MATCH(A3897&amp;"|"&amp;B3897&amp;"|"&amp;D3897,'All Song Rankings'!$T:$T,0),0)</f>
        <v>582</v>
      </c>
      <c r="G3897" s="6" t="str">
        <f aca="false">IF(F3897=0,"NOT FOUND",INDEX('All Song Rankings'!$A:$A,F3897))</f>
        <v>Adventurer</v>
      </c>
      <c r="H3897" s="6" t="str">
        <f aca="false">IF(F3897=0,"NOT FOUND",INDEX('All Song Rankings'!$B:$B,F3897))</f>
        <v>The Gothard Sisters</v>
      </c>
      <c r="I3897" s="6" t="str">
        <f aca="false">IF(F3897=0,"NOT FOUND",INDEX('All Song Rankings'!$D:$D,F3897))</f>
        <v>Colleen</v>
      </c>
      <c r="J3897" s="7" t="str">
        <f aca="false">IF(F3897=0,"NOT FOUND",IF(C3897=I3897,"SELF-VOTE",IF(COUNTIF($K:$K,K3897)&gt;1,"DUPLICATE","OK")))</f>
        <v>OK</v>
      </c>
      <c r="K3897" s="6" t="str">
        <f aca="false">A3897&amp;"|"&amp;B3897&amp;"|"&amp;C3897&amp;"|"&amp;D3897</f>
        <v>6|3|Scott|spotify:track:1yfQcZvnS3KBesBOlBfMKn</v>
      </c>
    </row>
    <row r="3898" customFormat="false" ht="15" hidden="false" customHeight="false" outlineLevel="0" collapsed="false">
      <c r="A3898" s="5" t="n">
        <v>6</v>
      </c>
      <c r="B3898" s="5" t="n">
        <v>3</v>
      </c>
      <c r="C3898" s="5" t="s">
        <v>484</v>
      </c>
      <c r="D3898" s="5" t="s">
        <v>1788</v>
      </c>
      <c r="E3898" s="5" t="n">
        <v>2</v>
      </c>
      <c r="F3898" s="6" t="n">
        <f aca="false">IFERROR(MATCH(A3898&amp;"|"&amp;B3898&amp;"|"&amp;D3898,'All Song Rankings'!$T:$T,0),0)</f>
        <v>585</v>
      </c>
      <c r="G3898" s="6" t="str">
        <f aca="false">IF(F3898=0,"NOT FOUND",INDEX('All Song Rankings'!$A:$A,F3898))</f>
        <v>Agape</v>
      </c>
      <c r="H3898" s="6" t="str">
        <f aca="false">IF(F3898=0,"NOT FOUND",INDEX('All Song Rankings'!$B:$B,F3898))</f>
        <v>Nicholas Britell</v>
      </c>
      <c r="I3898" s="6" t="str">
        <f aca="false">IF(F3898=0,"NOT FOUND",INDEX('All Song Rankings'!$D:$D,F3898))</f>
        <v>Logan</v>
      </c>
      <c r="J3898" s="7" t="str">
        <f aca="false">IF(F3898=0,"NOT FOUND",IF(C3898=I3898,"SELF-VOTE",IF(COUNTIF($K:$K,K3898)&gt;1,"DUPLICATE","OK")))</f>
        <v>OK</v>
      </c>
      <c r="K3898" s="6" t="str">
        <f aca="false">A3898&amp;"|"&amp;B3898&amp;"|"&amp;C3898&amp;"|"&amp;D3898</f>
        <v>6|3|Scott|spotify:track:2IvnDjlgH8yy70Nz99UdcJ</v>
      </c>
    </row>
    <row r="3899" customFormat="false" ht="15" hidden="false" customHeight="false" outlineLevel="0" collapsed="false">
      <c r="A3899" s="5" t="n">
        <v>6</v>
      </c>
      <c r="B3899" s="5" t="n">
        <v>3</v>
      </c>
      <c r="C3899" s="5" t="s">
        <v>484</v>
      </c>
      <c r="D3899" s="5" t="s">
        <v>1785</v>
      </c>
      <c r="E3899" s="5" t="n">
        <v>1</v>
      </c>
      <c r="F3899" s="6" t="n">
        <f aca="false">IFERROR(MATCH(A3899&amp;"|"&amp;B3899&amp;"|"&amp;D3899,'All Song Rankings'!$T:$T,0),0)</f>
        <v>584</v>
      </c>
      <c r="G3899" s="6" t="str">
        <f aca="false">IF(F3899=0,"NOT FOUND",INDEX('All Song Rankings'!$A:$A,F3899))</f>
        <v>Main Title</v>
      </c>
      <c r="H3899" s="6" t="str">
        <f aca="false">IF(F3899=0,"NOT FOUND",INDEX('All Song Rankings'!$B:$B,F3899))</f>
        <v>Ramin Djawadi</v>
      </c>
      <c r="I3899" s="6" t="str">
        <f aca="false">IF(F3899=0,"NOT FOUND",INDEX('All Song Rankings'!$D:$D,F3899))</f>
        <v>Kelsey</v>
      </c>
      <c r="J3899" s="7" t="str">
        <f aca="false">IF(F3899=0,"NOT FOUND",IF(C3899=I3899,"SELF-VOTE",IF(COUNTIF($K:$K,K3899)&gt;1,"DUPLICATE","OK")))</f>
        <v>OK</v>
      </c>
      <c r="K3899" s="6" t="str">
        <f aca="false">A3899&amp;"|"&amp;B3899&amp;"|"&amp;C3899&amp;"|"&amp;D3899</f>
        <v>6|3|Scott|spotify:track:2q6fxAvSpqXR4jx9Ne7RGz</v>
      </c>
    </row>
    <row r="3900" customFormat="false" ht="15" hidden="false" customHeight="false" outlineLevel="0" collapsed="false">
      <c r="A3900" s="5" t="n">
        <v>6</v>
      </c>
      <c r="B3900" s="5" t="n">
        <v>3</v>
      </c>
      <c r="C3900" s="5" t="s">
        <v>484</v>
      </c>
      <c r="D3900" s="5" t="s">
        <v>1808</v>
      </c>
      <c r="E3900" s="5" t="n">
        <v>1</v>
      </c>
      <c r="F3900" s="6" t="n">
        <f aca="false">IFERROR(MATCH(A3900&amp;"|"&amp;B3900&amp;"|"&amp;D3900,'All Song Rankings'!$T:$T,0),0)</f>
        <v>592</v>
      </c>
      <c r="G3900" s="6" t="str">
        <f aca="false">IF(F3900=0,"NOT FOUND",INDEX('All Song Rankings'!$A:$A,F3900))</f>
        <v>Hall of the Mountain King</v>
      </c>
      <c r="H3900" s="6" t="str">
        <f aca="false">IF(F3900=0,"NOT FOUND",INDEX('All Song Rankings'!$B:$B,F3900))</f>
        <v>Apocalyptica</v>
      </c>
      <c r="I3900" s="6" t="str">
        <f aca="false">IF(F3900=0,"NOT FOUND",INDEX('All Song Rankings'!$D:$D,F3900))</f>
        <v>Christine</v>
      </c>
      <c r="J3900" s="7" t="str">
        <f aca="false">IF(F3900=0,"NOT FOUND",IF(C3900=I3900,"SELF-VOTE",IF(COUNTIF($K:$K,K3900)&gt;1,"DUPLICATE","OK")))</f>
        <v>OK</v>
      </c>
      <c r="K3900" s="6" t="str">
        <f aca="false">A3900&amp;"|"&amp;B3900&amp;"|"&amp;C3900&amp;"|"&amp;D3900</f>
        <v>6|3|Scott|spotify:track:3hpFMfExUUBn7pJvuLMMwQ</v>
      </c>
    </row>
    <row r="3901" customFormat="false" ht="15" hidden="false" customHeight="false" outlineLevel="0" collapsed="false">
      <c r="A3901" s="5" t="n">
        <v>6</v>
      </c>
      <c r="B3901" s="5" t="n">
        <v>3</v>
      </c>
      <c r="C3901" s="5" t="s">
        <v>484</v>
      </c>
      <c r="D3901" s="5" t="s">
        <v>1791</v>
      </c>
      <c r="E3901" s="5" t="n">
        <v>1</v>
      </c>
      <c r="F3901" s="6" t="n">
        <f aca="false">IFERROR(MATCH(A3901&amp;"|"&amp;B3901&amp;"|"&amp;D3901,'All Song Rankings'!$T:$T,0),0)</f>
        <v>586</v>
      </c>
      <c r="G3901" s="6" t="str">
        <f aca="false">IF(F3901=0,"NOT FOUND",INDEX('All Song Rankings'!$A:$A,F3901))</f>
        <v>YYZ</v>
      </c>
      <c r="H3901" s="6" t="str">
        <f aca="false">IF(F3901=0,"NOT FOUND",INDEX('All Song Rankings'!$B:$B,F3901))</f>
        <v>Rush</v>
      </c>
      <c r="I3901" s="6" t="str">
        <f aca="false">IF(F3901=0,"NOT FOUND",INDEX('All Song Rankings'!$D:$D,F3901))</f>
        <v>Aubrey</v>
      </c>
      <c r="J3901" s="7" t="str">
        <f aca="false">IF(F3901=0,"NOT FOUND",IF(C3901=I3901,"SELF-VOTE",IF(COUNTIF($K:$K,K3901)&gt;1,"DUPLICATE","OK")))</f>
        <v>OK</v>
      </c>
      <c r="K3901" s="6" t="str">
        <f aca="false">A3901&amp;"|"&amp;B3901&amp;"|"&amp;C3901&amp;"|"&amp;D3901</f>
        <v>6|3|Scott|spotify:track:3lpDrxUkr0tIe1kmJvdK7d</v>
      </c>
    </row>
    <row r="3902" customFormat="false" ht="15" hidden="false" customHeight="false" outlineLevel="0" collapsed="false">
      <c r="A3902" s="5" t="n">
        <v>6</v>
      </c>
      <c r="B3902" s="5" t="n">
        <v>3</v>
      </c>
      <c r="C3902" s="5" t="s">
        <v>484</v>
      </c>
      <c r="D3902" s="5" t="s">
        <v>1794</v>
      </c>
      <c r="E3902" s="5" t="n">
        <v>1</v>
      </c>
      <c r="F3902" s="6" t="n">
        <f aca="false">IFERROR(MATCH(A3902&amp;"|"&amp;B3902&amp;"|"&amp;D3902,'All Song Rankings'!$T:$T,0),0)</f>
        <v>587</v>
      </c>
      <c r="G3902" s="6" t="str">
        <f aca="false">IF(F3902=0,"NOT FOUND",INDEX('All Song Rankings'!$A:$A,F3902))</f>
        <v>Symphony No. 7 in A Major, Op. 92: II. Allegretto</v>
      </c>
      <c r="H3902" s="6" t="str">
        <f aca="false">IF(F3902=0,"NOT FOUND",INDEX('All Song Rankings'!$B:$B,F3902))</f>
        <v>Ludwig van Beethoven</v>
      </c>
      <c r="I3902" s="6" t="str">
        <f aca="false">IF(F3902=0,"NOT FOUND",INDEX('All Song Rankings'!$D:$D,F3902))</f>
        <v>Matt</v>
      </c>
      <c r="J3902" s="7" t="str">
        <f aca="false">IF(F3902=0,"NOT FOUND",IF(C3902=I3902,"SELF-VOTE",IF(COUNTIF($K:$K,K3902)&gt;1,"DUPLICATE","OK")))</f>
        <v>OK</v>
      </c>
      <c r="K3902" s="6" t="str">
        <f aca="false">A3902&amp;"|"&amp;B3902&amp;"|"&amp;C3902&amp;"|"&amp;D3902</f>
        <v>6|3|Scott|spotify:track:4zpAd3OLeEfMI9V6WykeTd</v>
      </c>
    </row>
    <row r="3903" customFormat="false" ht="15" hidden="false" customHeight="false" outlineLevel="0" collapsed="false">
      <c r="A3903" s="5" t="n">
        <v>6</v>
      </c>
      <c r="B3903" s="5" t="n">
        <v>3</v>
      </c>
      <c r="C3903" s="5" t="s">
        <v>484</v>
      </c>
      <c r="D3903" s="5" t="s">
        <v>1776</v>
      </c>
      <c r="E3903" s="5" t="n">
        <v>1</v>
      </c>
      <c r="F3903" s="6" t="n">
        <f aca="false">IFERROR(MATCH(A3903&amp;"|"&amp;B3903&amp;"|"&amp;D3903,'All Song Rankings'!$T:$T,0),0)</f>
        <v>581</v>
      </c>
      <c r="G3903" s="6" t="str">
        <f aca="false">IF(F3903=0,"NOT FOUND",INDEX('All Song Rankings'!$A:$A,F3903))</f>
        <v>Roundtable Rival</v>
      </c>
      <c r="H3903" s="6" t="str">
        <f aca="false">IF(F3903=0,"NOT FOUND",INDEX('All Song Rankings'!$B:$B,F3903))</f>
        <v>Lindsey Stirling</v>
      </c>
      <c r="I3903" s="6" t="str">
        <f aca="false">IF(F3903=0,"NOT FOUND",INDEX('All Song Rankings'!$D:$D,F3903))</f>
        <v>Leah</v>
      </c>
      <c r="J3903" s="7" t="str">
        <f aca="false">IF(F3903=0,"NOT FOUND",IF(C3903=I3903,"SELF-VOTE",IF(COUNTIF($K:$K,K3903)&gt;1,"DUPLICATE","OK")))</f>
        <v>OK</v>
      </c>
      <c r="K3903" s="6" t="str">
        <f aca="false">A3903&amp;"|"&amp;B3903&amp;"|"&amp;C3903&amp;"|"&amp;D3903</f>
        <v>6|3|Scott|spotify:track:7fLOFRCRe1c4kyoLJkNW1w</v>
      </c>
    </row>
    <row r="3904" customFormat="false" ht="15" hidden="false" customHeight="false" outlineLevel="0" collapsed="false">
      <c r="A3904" s="5" t="n">
        <v>6</v>
      </c>
      <c r="B3904" s="5" t="n">
        <v>3</v>
      </c>
      <c r="C3904" s="5" t="s">
        <v>97</v>
      </c>
      <c r="D3904" s="5" t="s">
        <v>1814</v>
      </c>
      <c r="E3904" s="5" t="n">
        <v>1</v>
      </c>
      <c r="F3904" s="6" t="n">
        <f aca="false">IFERROR(MATCH(A3904&amp;"|"&amp;B3904&amp;"|"&amp;D3904,'All Song Rankings'!$T:$T,0),0)</f>
        <v>594</v>
      </c>
      <c r="G3904" s="6" t="str">
        <f aca="false">IF(F3904=0,"NOT FOUND",INDEX('All Song Rankings'!$A:$A,F3904))</f>
        <v>Connor Main Theme - Connor - (From "Detroit:Become Human" Soundtrack)</v>
      </c>
      <c r="H3904" s="6" t="str">
        <f aca="false">IF(F3904=0,"NOT FOUND",INDEX('All Song Rankings'!$B:$B,F3904))</f>
        <v>Nima Fakhrara</v>
      </c>
      <c r="I3904" s="6" t="str">
        <f aca="false">IF(F3904=0,"NOT FOUND",INDEX('All Song Rankings'!$D:$D,F3904))</f>
        <v>Merita</v>
      </c>
      <c r="J3904" s="7" t="str">
        <f aca="false">IF(F3904=0,"NOT FOUND",IF(C3904=I3904,"SELF-VOTE",IF(COUNTIF($K:$K,K3904)&gt;1,"DUPLICATE","OK")))</f>
        <v>OK</v>
      </c>
      <c r="K3904" s="6" t="str">
        <f aca="false">A3904&amp;"|"&amp;B3904&amp;"|"&amp;C3904&amp;"|"&amp;D3904</f>
        <v>6|3|Stephanie|spotify:track:1oYqTiYgy3fSqAuMYCxxye</v>
      </c>
    </row>
    <row r="3905" customFormat="false" ht="15" hidden="false" customHeight="false" outlineLevel="0" collapsed="false">
      <c r="A3905" s="5" t="n">
        <v>6</v>
      </c>
      <c r="B3905" s="5" t="n">
        <v>3</v>
      </c>
      <c r="C3905" s="5" t="s">
        <v>97</v>
      </c>
      <c r="D3905" s="5" t="s">
        <v>1811</v>
      </c>
      <c r="E3905" s="5" t="n">
        <v>1</v>
      </c>
      <c r="F3905" s="6" t="n">
        <f aca="false">IFERROR(MATCH(A3905&amp;"|"&amp;B3905&amp;"|"&amp;D3905,'All Song Rankings'!$T:$T,0),0)</f>
        <v>593</v>
      </c>
      <c r="G3905" s="6" t="str">
        <f aca="false">IF(F3905=0,"NOT FOUND",INDEX('All Song Rankings'!$A:$A,F3905))</f>
        <v>Les jours tristes - Instrumental</v>
      </c>
      <c r="H3905" s="6" t="str">
        <f aca="false">IF(F3905=0,"NOT FOUND",INDEX('All Song Rankings'!$B:$B,F3905))</f>
        <v>Yann Tiersen</v>
      </c>
      <c r="I3905" s="6" t="str">
        <f aca="false">IF(F3905=0,"NOT FOUND",INDEX('All Song Rankings'!$D:$D,F3905))</f>
        <v>Grace</v>
      </c>
      <c r="J3905" s="7" t="str">
        <f aca="false">IF(F3905=0,"NOT FOUND",IF(C3905=I3905,"SELF-VOTE",IF(COUNTIF($K:$K,K3905)&gt;1,"DUPLICATE","OK")))</f>
        <v>OK</v>
      </c>
      <c r="K3905" s="6" t="str">
        <f aca="false">A3905&amp;"|"&amp;B3905&amp;"|"&amp;C3905&amp;"|"&amp;D3905</f>
        <v>6|3|Stephanie|spotify:track:26usmxPwvxV8Gd7sAbR323</v>
      </c>
    </row>
    <row r="3906" customFormat="false" ht="15" hidden="false" customHeight="false" outlineLevel="0" collapsed="false">
      <c r="A3906" s="5" t="n">
        <v>6</v>
      </c>
      <c r="B3906" s="5" t="n">
        <v>3</v>
      </c>
      <c r="C3906" s="5" t="s">
        <v>97</v>
      </c>
      <c r="D3906" s="5" t="s">
        <v>1788</v>
      </c>
      <c r="E3906" s="5" t="n">
        <v>2</v>
      </c>
      <c r="F3906" s="6" t="n">
        <f aca="false">IFERROR(MATCH(A3906&amp;"|"&amp;B3906&amp;"|"&amp;D3906,'All Song Rankings'!$T:$T,0),0)</f>
        <v>585</v>
      </c>
      <c r="G3906" s="6" t="str">
        <f aca="false">IF(F3906=0,"NOT FOUND",INDEX('All Song Rankings'!$A:$A,F3906))</f>
        <v>Agape</v>
      </c>
      <c r="H3906" s="6" t="str">
        <f aca="false">IF(F3906=0,"NOT FOUND",INDEX('All Song Rankings'!$B:$B,F3906))</f>
        <v>Nicholas Britell</v>
      </c>
      <c r="I3906" s="6" t="str">
        <f aca="false">IF(F3906=0,"NOT FOUND",INDEX('All Song Rankings'!$D:$D,F3906))</f>
        <v>Logan</v>
      </c>
      <c r="J3906" s="7" t="str">
        <f aca="false">IF(F3906=0,"NOT FOUND",IF(C3906=I3906,"SELF-VOTE",IF(COUNTIF($K:$K,K3906)&gt;1,"DUPLICATE","OK")))</f>
        <v>OK</v>
      </c>
      <c r="K3906" s="6" t="str">
        <f aca="false">A3906&amp;"|"&amp;B3906&amp;"|"&amp;C3906&amp;"|"&amp;D3906</f>
        <v>6|3|Stephanie|spotify:track:2IvnDjlgH8yy70Nz99UdcJ</v>
      </c>
    </row>
    <row r="3907" customFormat="false" ht="15" hidden="false" customHeight="false" outlineLevel="0" collapsed="false">
      <c r="A3907" s="5" t="n">
        <v>6</v>
      </c>
      <c r="B3907" s="5" t="n">
        <v>3</v>
      </c>
      <c r="C3907" s="5" t="s">
        <v>97</v>
      </c>
      <c r="D3907" s="5" t="s">
        <v>1774</v>
      </c>
      <c r="E3907" s="5" t="n">
        <v>2</v>
      </c>
      <c r="F3907" s="6" t="n">
        <f aca="false">IFERROR(MATCH(A3907&amp;"|"&amp;B3907&amp;"|"&amp;D3907,'All Song Rankings'!$T:$T,0),0)</f>
        <v>580</v>
      </c>
      <c r="G3907" s="6" t="str">
        <f aca="false">IF(F3907=0,"NOT FOUND",INDEX('All Song Rankings'!$A:$A,F3907))</f>
        <v>Cosmos</v>
      </c>
      <c r="H3907" s="6" t="str">
        <f aca="false">IF(F3907=0,"NOT FOUND",INDEX('All Song Rankings'!$B:$B,F3907))</f>
        <v>standards</v>
      </c>
      <c r="I3907" s="6" t="str">
        <f aca="false">IF(F3907=0,"NOT FOUND",INDEX('All Song Rankings'!$D:$D,F3907))</f>
        <v>Scott</v>
      </c>
      <c r="J3907" s="7" t="str">
        <f aca="false">IF(F3907=0,"NOT FOUND",IF(C3907=I3907,"SELF-VOTE",IF(COUNTIF($K:$K,K3907)&gt;1,"DUPLICATE","OK")))</f>
        <v>OK</v>
      </c>
      <c r="K3907" s="6" t="str">
        <f aca="false">A3907&amp;"|"&amp;B3907&amp;"|"&amp;C3907&amp;"|"&amp;D3907</f>
        <v>6|3|Stephanie|spotify:track:3KmFdgv6niTJHVuo3MB2H0</v>
      </c>
    </row>
    <row r="3908" customFormat="false" ht="15" hidden="false" customHeight="false" outlineLevel="0" collapsed="false">
      <c r="A3908" s="5" t="n">
        <v>6</v>
      </c>
      <c r="B3908" s="5" t="n">
        <v>3</v>
      </c>
      <c r="C3908" s="5" t="s">
        <v>97</v>
      </c>
      <c r="D3908" s="5" t="s">
        <v>1791</v>
      </c>
      <c r="E3908" s="5" t="n">
        <v>1</v>
      </c>
      <c r="F3908" s="6" t="n">
        <f aca="false">IFERROR(MATCH(A3908&amp;"|"&amp;B3908&amp;"|"&amp;D3908,'All Song Rankings'!$T:$T,0),0)</f>
        <v>586</v>
      </c>
      <c r="G3908" s="6" t="str">
        <f aca="false">IF(F3908=0,"NOT FOUND",INDEX('All Song Rankings'!$A:$A,F3908))</f>
        <v>YYZ</v>
      </c>
      <c r="H3908" s="6" t="str">
        <f aca="false">IF(F3908=0,"NOT FOUND",INDEX('All Song Rankings'!$B:$B,F3908))</f>
        <v>Rush</v>
      </c>
      <c r="I3908" s="6" t="str">
        <f aca="false">IF(F3908=0,"NOT FOUND",INDEX('All Song Rankings'!$D:$D,F3908))</f>
        <v>Aubrey</v>
      </c>
      <c r="J3908" s="7" t="str">
        <f aca="false">IF(F3908=0,"NOT FOUND",IF(C3908=I3908,"SELF-VOTE",IF(COUNTIF($K:$K,K3908)&gt;1,"DUPLICATE","OK")))</f>
        <v>OK</v>
      </c>
      <c r="K3908" s="6" t="str">
        <f aca="false">A3908&amp;"|"&amp;B3908&amp;"|"&amp;C3908&amp;"|"&amp;D3908</f>
        <v>6|3|Stephanie|spotify:track:3lpDrxUkr0tIe1kmJvdK7d</v>
      </c>
    </row>
    <row r="3909" customFormat="false" ht="15" hidden="false" customHeight="false" outlineLevel="0" collapsed="false">
      <c r="A3909" s="5" t="n">
        <v>6</v>
      </c>
      <c r="B3909" s="5" t="n">
        <v>3</v>
      </c>
      <c r="C3909" s="5" t="s">
        <v>97</v>
      </c>
      <c r="D3909" s="5" t="s">
        <v>1805</v>
      </c>
      <c r="E3909" s="5" t="n">
        <v>2</v>
      </c>
      <c r="F3909" s="6" t="n">
        <f aca="false">IFERROR(MATCH(A3909&amp;"|"&amp;B3909&amp;"|"&amp;D3909,'All Song Rankings'!$T:$T,0),0)</f>
        <v>591</v>
      </c>
      <c r="G3909" s="6" t="str">
        <f aca="false">IF(F3909=0,"NOT FOUND",INDEX('All Song Rankings'!$A:$A,F3909))</f>
        <v>Orion (Remastered)</v>
      </c>
      <c r="H3909" s="6" t="str">
        <f aca="false">IF(F3909=0,"NOT FOUND",INDEX('All Song Rankings'!$B:$B,F3909))</f>
        <v>Metallica</v>
      </c>
      <c r="I3909" s="6" t="str">
        <f aca="false">IF(F3909=0,"NOT FOUND",INDEX('All Song Rankings'!$D:$D,F3909))</f>
        <v>Makenzie</v>
      </c>
      <c r="J3909" s="7" t="str">
        <f aca="false">IF(F3909=0,"NOT FOUND",IF(C3909=I3909,"SELF-VOTE",IF(COUNTIF($K:$K,K3909)&gt;1,"DUPLICATE","OK")))</f>
        <v>OK</v>
      </c>
      <c r="K3909" s="6" t="str">
        <f aca="false">A3909&amp;"|"&amp;B3909&amp;"|"&amp;C3909&amp;"|"&amp;D3909</f>
        <v>6|3|Stephanie|spotify:track:4xyWJM4kscTROV2RESdwpd</v>
      </c>
    </row>
    <row r="3910" customFormat="false" ht="15" hidden="false" customHeight="false" outlineLevel="0" collapsed="false">
      <c r="A3910" s="5" t="n">
        <v>6</v>
      </c>
      <c r="B3910" s="5" t="n">
        <v>3</v>
      </c>
      <c r="C3910" s="5" t="s">
        <v>97</v>
      </c>
      <c r="D3910" s="5" t="s">
        <v>1802</v>
      </c>
      <c r="E3910" s="5" t="n">
        <v>1</v>
      </c>
      <c r="F3910" s="6" t="n">
        <f aca="false">IFERROR(MATCH(A3910&amp;"|"&amp;B3910&amp;"|"&amp;D3910,'All Song Rankings'!$T:$T,0),0)</f>
        <v>590</v>
      </c>
      <c r="G3910" s="6" t="str">
        <f aca="false">IF(F3910=0,"NOT FOUND",INDEX('All Song Rankings'!$A:$A,F3910))</f>
        <v>Bella's Lullaby (From "Twilight") [Arr. For Piano by M. Rzeminski]</v>
      </c>
      <c r="H3910" s="6" t="str">
        <f aca="false">IF(F3910=0,"NOT FOUND",INDEX('All Song Rankings'!$B:$B,F3910))</f>
        <v>Maksym Rzemiński</v>
      </c>
      <c r="I3910" s="6" t="str">
        <f aca="false">IF(F3910=0,"NOT FOUND",INDEX('All Song Rankings'!$D:$D,F3910))</f>
        <v>Nicole</v>
      </c>
      <c r="J3910" s="7" t="str">
        <f aca="false">IF(F3910=0,"NOT FOUND",IF(C3910=I3910,"SELF-VOTE",IF(COUNTIF($K:$K,K3910)&gt;1,"DUPLICATE","OK")))</f>
        <v>OK</v>
      </c>
      <c r="K3910" s="6" t="str">
        <f aca="false">A3910&amp;"|"&amp;B3910&amp;"|"&amp;C3910&amp;"|"&amp;D3910</f>
        <v>6|3|Stephanie|spotify:track:7rj2PZ9Ls7z7qEnyqsy71l</v>
      </c>
    </row>
    <row r="3911" customFormat="false" ht="15" hidden="false" customHeight="false" outlineLevel="0" collapsed="false">
      <c r="A3911" s="5" t="n">
        <v>6</v>
      </c>
      <c r="B3911" s="5" t="n">
        <v>4</v>
      </c>
      <c r="C3911" s="5" t="s">
        <v>719</v>
      </c>
      <c r="D3911" s="5" t="s">
        <v>1818</v>
      </c>
      <c r="E3911" s="5" t="n">
        <v>1</v>
      </c>
      <c r="F3911" s="6" t="n">
        <f aca="false">IFERROR(MATCH(A3911&amp;"|"&amp;B3911&amp;"|"&amp;D3911,'All Song Rankings'!$T:$T,0),0)</f>
        <v>595</v>
      </c>
      <c r="G3911" s="6" t="str">
        <f aca="false">IF(F3911=0,"NOT FOUND",INDEX('All Song Rankings'!$A:$A,F3911))</f>
        <v>Low (feat. T-Pain)</v>
      </c>
      <c r="H3911" s="6" t="str">
        <f aca="false">IF(F3911=0,"NOT FOUND",INDEX('All Song Rankings'!$B:$B,F3911))</f>
        <v>Flo Rida</v>
      </c>
      <c r="I3911" s="6" t="str">
        <f aca="false">IF(F3911=0,"NOT FOUND",INDEX('All Song Rankings'!$D:$D,F3911))</f>
        <v>Matt</v>
      </c>
      <c r="J3911" s="7" t="str">
        <f aca="false">IF(F3911=0,"NOT FOUND",IF(C3911=I3911,"SELF-VOTE",IF(COUNTIF($K:$K,K3911)&gt;1,"DUPLICATE","OK")))</f>
        <v>OK</v>
      </c>
      <c r="K3911" s="6" t="str">
        <f aca="false">A3911&amp;"|"&amp;B3911&amp;"|"&amp;C3911&amp;"|"&amp;D3911</f>
        <v>6|4|Christine|spotify:track:0CAfXk7DXMnon4gLudAp7J</v>
      </c>
    </row>
    <row r="3912" customFormat="false" ht="15" hidden="false" customHeight="false" outlineLevel="0" collapsed="false">
      <c r="A3912" s="5" t="n">
        <v>6</v>
      </c>
      <c r="B3912" s="5" t="n">
        <v>4</v>
      </c>
      <c r="C3912" s="5" t="s">
        <v>719</v>
      </c>
      <c r="D3912" s="5" t="s">
        <v>1853</v>
      </c>
      <c r="E3912" s="5" t="n">
        <v>2</v>
      </c>
      <c r="F3912" s="6" t="n">
        <f aca="false">IFERROR(MATCH(A3912&amp;"|"&amp;B3912&amp;"|"&amp;D3912,'All Song Rankings'!$T:$T,0),0)</f>
        <v>609</v>
      </c>
      <c r="G3912" s="6" t="str">
        <f aca="false">IF(F3912=0,"NOT FOUND",INDEX('All Song Rankings'!$A:$A,F3912))</f>
        <v>Bad Decision</v>
      </c>
      <c r="H3912" s="6" t="str">
        <f aca="false">IF(F3912=0,"NOT FOUND",INDEX('All Song Rankings'!$B:$B,F3912))</f>
        <v>Chromeo</v>
      </c>
      <c r="I3912" s="6" t="str">
        <f aca="false">IF(F3912=0,"NOT FOUND",INDEX('All Song Rankings'!$D:$D,F3912))</f>
        <v>Scott</v>
      </c>
      <c r="J3912" s="7" t="str">
        <f aca="false">IF(F3912=0,"NOT FOUND",IF(C3912=I3912,"SELF-VOTE",IF(COUNTIF($K:$K,K3912)&gt;1,"DUPLICATE","OK")))</f>
        <v>OK</v>
      </c>
      <c r="K3912" s="6" t="str">
        <f aca="false">A3912&amp;"|"&amp;B3912&amp;"|"&amp;C3912&amp;"|"&amp;D3912</f>
        <v>6|4|Christine|spotify:track:0PIQF15Jp7HwouZPLqPj8b</v>
      </c>
    </row>
    <row r="3913" customFormat="false" ht="15" hidden="false" customHeight="false" outlineLevel="0" collapsed="false">
      <c r="A3913" s="5" t="n">
        <v>6</v>
      </c>
      <c r="B3913" s="5" t="n">
        <v>4</v>
      </c>
      <c r="C3913" s="5" t="s">
        <v>719</v>
      </c>
      <c r="D3913" s="5" t="s">
        <v>1844</v>
      </c>
      <c r="E3913" s="5" t="n">
        <v>1</v>
      </c>
      <c r="F3913" s="6" t="n">
        <f aca="false">IFERROR(MATCH(A3913&amp;"|"&amp;B3913&amp;"|"&amp;D3913,'All Song Rankings'!$T:$T,0),0)</f>
        <v>605</v>
      </c>
      <c r="G3913" s="6" t="str">
        <f aca="false">IF(F3913=0,"NOT FOUND",INDEX('All Song Rankings'!$A:$A,F3913))</f>
        <v>Beauty And A Beat</v>
      </c>
      <c r="H3913" s="6" t="str">
        <f aca="false">IF(F3913=0,"NOT FOUND",INDEX('All Song Rankings'!$B:$B,F3913))</f>
        <v>Justin Bieber, Nicki Minaj</v>
      </c>
      <c r="I3913" s="6" t="str">
        <f aca="false">IF(F3913=0,"NOT FOUND",INDEX('All Song Rankings'!$D:$D,F3913))</f>
        <v>Josh</v>
      </c>
      <c r="J3913" s="7" t="str">
        <f aca="false">IF(F3913=0,"NOT FOUND",IF(C3913=I3913,"SELF-VOTE",IF(COUNTIF($K:$K,K3913)&gt;1,"DUPLICATE","OK")))</f>
        <v>OK</v>
      </c>
      <c r="K3913" s="6" t="str">
        <f aca="false">A3913&amp;"|"&amp;B3913&amp;"|"&amp;C3913&amp;"|"&amp;D3913</f>
        <v>6|4|Christine|spotify:track:190jyVPHYjAqEaOGmMzdyk</v>
      </c>
    </row>
    <row r="3914" customFormat="false" ht="15" hidden="false" customHeight="false" outlineLevel="0" collapsed="false">
      <c r="A3914" s="5" t="n">
        <v>6</v>
      </c>
      <c r="B3914" s="5" t="n">
        <v>4</v>
      </c>
      <c r="C3914" s="5" t="s">
        <v>719</v>
      </c>
      <c r="D3914" s="5" t="s">
        <v>1828</v>
      </c>
      <c r="E3914" s="5" t="n">
        <v>1</v>
      </c>
      <c r="F3914" s="6" t="n">
        <f aca="false">IFERROR(MATCH(A3914&amp;"|"&amp;B3914&amp;"|"&amp;D3914,'All Song Rankings'!$T:$T,0),0)</f>
        <v>599</v>
      </c>
      <c r="G3914" s="6" t="str">
        <f aca="false">IF(F3914=0,"NOT FOUND",INDEX('All Song Rankings'!$A:$A,F3914))</f>
        <v>Footloose - From "Footloose" Soundtrack</v>
      </c>
      <c r="H3914" s="6" t="str">
        <f aca="false">IF(F3914=0,"NOT FOUND",INDEX('All Song Rankings'!$B:$B,F3914))</f>
        <v>Kenny Loggins</v>
      </c>
      <c r="I3914" s="6" t="str">
        <f aca="false">IF(F3914=0,"NOT FOUND",INDEX('All Song Rankings'!$D:$D,F3914))</f>
        <v>Colleen</v>
      </c>
      <c r="J3914" s="7" t="str">
        <f aca="false">IF(F3914=0,"NOT FOUND",IF(C3914=I3914,"SELF-VOTE",IF(COUNTIF($K:$K,K3914)&gt;1,"DUPLICATE","OK")))</f>
        <v>OK</v>
      </c>
      <c r="K3914" s="6" t="str">
        <f aca="false">A3914&amp;"|"&amp;B3914&amp;"|"&amp;C3914&amp;"|"&amp;D3914</f>
        <v>6|4|Christine|spotify:track:2vz1CsL5WBsbpBcwgboTAw</v>
      </c>
    </row>
    <row r="3915" customFormat="false" ht="15" hidden="false" customHeight="false" outlineLevel="0" collapsed="false">
      <c r="A3915" s="5" t="n">
        <v>6</v>
      </c>
      <c r="B3915" s="5" t="n">
        <v>4</v>
      </c>
      <c r="C3915" s="5" t="s">
        <v>719</v>
      </c>
      <c r="D3915" s="5" t="s">
        <v>1826</v>
      </c>
      <c r="E3915" s="5" t="n">
        <v>2</v>
      </c>
      <c r="F3915" s="6" t="n">
        <f aca="false">IFERROR(MATCH(A3915&amp;"|"&amp;B3915&amp;"|"&amp;D3915,'All Song Rankings'!$T:$T,0),0)</f>
        <v>598</v>
      </c>
      <c r="G3915" s="6" t="str">
        <f aca="false">IF(F3915=0,"NOT FOUND",INDEX('All Song Rankings'!$A:$A,F3915))</f>
        <v>Came Here for Love</v>
      </c>
      <c r="H3915" s="6" t="str">
        <f aca="false">IF(F3915=0,"NOT FOUND",INDEX('All Song Rankings'!$B:$B,F3915))</f>
        <v>Sigala</v>
      </c>
      <c r="I3915" s="6" t="str">
        <f aca="false">IF(F3915=0,"NOT FOUND",INDEX('All Song Rankings'!$D:$D,F3915))</f>
        <v>Kelsey</v>
      </c>
      <c r="J3915" s="7" t="str">
        <f aca="false">IF(F3915=0,"NOT FOUND",IF(C3915=I3915,"SELF-VOTE",IF(COUNTIF($K:$K,K3915)&gt;1,"DUPLICATE","OK")))</f>
        <v>OK</v>
      </c>
      <c r="K3915" s="6" t="str">
        <f aca="false">A3915&amp;"|"&amp;B3915&amp;"|"&amp;C3915&amp;"|"&amp;D3915</f>
        <v>6|4|Christine|spotify:track:3kGfazcbVvVkuZunzlLgTD</v>
      </c>
    </row>
    <row r="3916" customFormat="false" ht="15" hidden="false" customHeight="false" outlineLevel="0" collapsed="false">
      <c r="A3916" s="5" t="n">
        <v>6</v>
      </c>
      <c r="B3916" s="5" t="n">
        <v>4</v>
      </c>
      <c r="C3916" s="5" t="s">
        <v>719</v>
      </c>
      <c r="D3916" s="5" t="s">
        <v>1834</v>
      </c>
      <c r="E3916" s="5" t="n">
        <v>1</v>
      </c>
      <c r="F3916" s="6" t="n">
        <f aca="false">IFERROR(MATCH(A3916&amp;"|"&amp;B3916&amp;"|"&amp;D3916,'All Song Rankings'!$T:$T,0),0)</f>
        <v>601</v>
      </c>
      <c r="G3916" s="6" t="str">
        <f aca="false">IF(F3916=0,"NOT FOUND",INDEX('All Song Rankings'!$A:$A,F3916))</f>
        <v>Sunroof</v>
      </c>
      <c r="H3916" s="6" t="str">
        <f aca="false">IF(F3916=0,"NOT FOUND",INDEX('All Song Rankings'!$B:$B,F3916))</f>
        <v>Nicky Youre</v>
      </c>
      <c r="I3916" s="6" t="str">
        <f aca="false">IF(F3916=0,"NOT FOUND",INDEX('All Song Rankings'!$D:$D,F3916))</f>
        <v>Nicole</v>
      </c>
      <c r="J3916" s="7" t="str">
        <f aca="false">IF(F3916=0,"NOT FOUND",IF(C3916=I3916,"SELF-VOTE",IF(COUNTIF($K:$K,K3916)&gt;1,"DUPLICATE","OK")))</f>
        <v>OK</v>
      </c>
      <c r="K3916" s="6" t="str">
        <f aca="false">A3916&amp;"|"&amp;B3916&amp;"|"&amp;C3916&amp;"|"&amp;D3916</f>
        <v>6|4|Christine|spotify:track:5YqEzk3C5c3UZ1D5fJUlXA</v>
      </c>
    </row>
    <row r="3917" customFormat="false" ht="15" hidden="false" customHeight="false" outlineLevel="0" collapsed="false">
      <c r="A3917" s="5" t="n">
        <v>6</v>
      </c>
      <c r="B3917" s="5" t="n">
        <v>4</v>
      </c>
      <c r="C3917" s="5" t="s">
        <v>719</v>
      </c>
      <c r="D3917" s="5" t="s">
        <v>1837</v>
      </c>
      <c r="E3917" s="5" t="n">
        <v>2</v>
      </c>
      <c r="F3917" s="6" t="n">
        <f aca="false">IFERROR(MATCH(A3917&amp;"|"&amp;B3917&amp;"|"&amp;D3917,'All Song Rankings'!$T:$T,0),0)</f>
        <v>603</v>
      </c>
      <c r="G3917" s="6" t="str">
        <f aca="false">IF(F3917=0,"NOT FOUND",INDEX('All Song Rankings'!$A:$A,F3917))</f>
        <v>I Just Might</v>
      </c>
      <c r="H3917" s="6" t="str">
        <f aca="false">IF(F3917=0,"NOT FOUND",INDEX('All Song Rankings'!$B:$B,F3917))</f>
        <v>Bruno Mars</v>
      </c>
      <c r="I3917" s="6" t="str">
        <f aca="false">IF(F3917=0,"NOT FOUND",INDEX('All Song Rankings'!$D:$D,F3917))</f>
        <v>Stephanie</v>
      </c>
      <c r="J3917" s="7" t="str">
        <f aca="false">IF(F3917=0,"NOT FOUND",IF(C3917=I3917,"SELF-VOTE",IF(COUNTIF($K:$K,K3917)&gt;1,"DUPLICATE","OK")))</f>
        <v>OK</v>
      </c>
      <c r="K3917" s="6" t="str">
        <f aca="false">A3917&amp;"|"&amp;B3917&amp;"|"&amp;C3917&amp;"|"&amp;D3917</f>
        <v>6|4|Christine|spotify:track:6f68Ac5tt5BQOpwr0BV9oN</v>
      </c>
    </row>
    <row r="3918" customFormat="false" ht="15" hidden="false" customHeight="false" outlineLevel="0" collapsed="false">
      <c r="A3918" s="5" t="n">
        <v>6</v>
      </c>
      <c r="B3918" s="5" t="n">
        <v>4</v>
      </c>
      <c r="C3918" s="5" t="s">
        <v>637</v>
      </c>
      <c r="D3918" s="5" t="s">
        <v>1818</v>
      </c>
      <c r="E3918" s="5" t="n">
        <v>1</v>
      </c>
      <c r="F3918" s="6" t="n">
        <f aca="false">IFERROR(MATCH(A3918&amp;"|"&amp;B3918&amp;"|"&amp;D3918,'All Song Rankings'!$T:$T,0),0)</f>
        <v>595</v>
      </c>
      <c r="G3918" s="6" t="str">
        <f aca="false">IF(F3918=0,"NOT FOUND",INDEX('All Song Rankings'!$A:$A,F3918))</f>
        <v>Low (feat. T-Pain)</v>
      </c>
      <c r="H3918" s="6" t="str">
        <f aca="false">IF(F3918=0,"NOT FOUND",INDEX('All Song Rankings'!$B:$B,F3918))</f>
        <v>Flo Rida</v>
      </c>
      <c r="I3918" s="6" t="str">
        <f aca="false">IF(F3918=0,"NOT FOUND",INDEX('All Song Rankings'!$D:$D,F3918))</f>
        <v>Matt</v>
      </c>
      <c r="J3918" s="7" t="str">
        <f aca="false">IF(F3918=0,"NOT FOUND",IF(C3918=I3918,"SELF-VOTE",IF(COUNTIF($K:$K,K3918)&gt;1,"DUPLICATE","OK")))</f>
        <v>OK</v>
      </c>
      <c r="K3918" s="6" t="str">
        <f aca="false">A3918&amp;"|"&amp;B3918&amp;"|"&amp;C3918&amp;"|"&amp;D3918</f>
        <v>6|4|Colleen|spotify:track:0CAfXk7DXMnon4gLudAp7J</v>
      </c>
    </row>
    <row r="3919" customFormat="false" ht="15" hidden="false" customHeight="false" outlineLevel="0" collapsed="false">
      <c r="A3919" s="5" t="n">
        <v>6</v>
      </c>
      <c r="B3919" s="5" t="n">
        <v>4</v>
      </c>
      <c r="C3919" s="5" t="s">
        <v>637</v>
      </c>
      <c r="D3919" s="5" t="s">
        <v>1844</v>
      </c>
      <c r="E3919" s="5" t="n">
        <v>1</v>
      </c>
      <c r="F3919" s="6" t="n">
        <f aca="false">IFERROR(MATCH(A3919&amp;"|"&amp;B3919&amp;"|"&amp;D3919,'All Song Rankings'!$T:$T,0),0)</f>
        <v>605</v>
      </c>
      <c r="G3919" s="6" t="str">
        <f aca="false">IF(F3919=0,"NOT FOUND",INDEX('All Song Rankings'!$A:$A,F3919))</f>
        <v>Beauty And A Beat</v>
      </c>
      <c r="H3919" s="6" t="str">
        <f aca="false">IF(F3919=0,"NOT FOUND",INDEX('All Song Rankings'!$B:$B,F3919))</f>
        <v>Justin Bieber, Nicki Minaj</v>
      </c>
      <c r="I3919" s="6" t="str">
        <f aca="false">IF(F3919=0,"NOT FOUND",INDEX('All Song Rankings'!$D:$D,F3919))</f>
        <v>Josh</v>
      </c>
      <c r="J3919" s="7" t="str">
        <f aca="false">IF(F3919=0,"NOT FOUND",IF(C3919=I3919,"SELF-VOTE",IF(COUNTIF($K:$K,K3919)&gt;1,"DUPLICATE","OK")))</f>
        <v>OK</v>
      </c>
      <c r="K3919" s="6" t="str">
        <f aca="false">A3919&amp;"|"&amp;B3919&amp;"|"&amp;C3919&amp;"|"&amp;D3919</f>
        <v>6|4|Colleen|spotify:track:190jyVPHYjAqEaOGmMzdyk</v>
      </c>
    </row>
    <row r="3920" customFormat="false" ht="15" hidden="false" customHeight="false" outlineLevel="0" collapsed="false">
      <c r="A3920" s="5" t="n">
        <v>6</v>
      </c>
      <c r="B3920" s="5" t="n">
        <v>4</v>
      </c>
      <c r="C3920" s="5" t="s">
        <v>637</v>
      </c>
      <c r="D3920" s="5" t="s">
        <v>1820</v>
      </c>
      <c r="E3920" s="5" t="n">
        <v>1</v>
      </c>
      <c r="F3920" s="6" t="n">
        <f aca="false">IFERROR(MATCH(A3920&amp;"|"&amp;B3920&amp;"|"&amp;D3920,'All Song Rankings'!$T:$T,0),0)</f>
        <v>596</v>
      </c>
      <c r="G3920" s="6" t="str">
        <f aca="false">IF(F3920=0,"NOT FOUND",INDEX('All Song Rankings'!$A:$A,F3920))</f>
        <v>Dance The Night - From Barbie The Album</v>
      </c>
      <c r="H3920" s="6" t="str">
        <f aca="false">IF(F3920=0,"NOT FOUND",INDEX('All Song Rankings'!$B:$B,F3920))</f>
        <v>Dua Lipa</v>
      </c>
      <c r="I3920" s="6" t="str">
        <f aca="false">IF(F3920=0,"NOT FOUND",INDEX('All Song Rankings'!$D:$D,F3920))</f>
        <v>Grace</v>
      </c>
      <c r="J3920" s="7" t="str">
        <f aca="false">IF(F3920=0,"NOT FOUND",IF(C3920=I3920,"SELF-VOTE",IF(COUNTIF($K:$K,K3920)&gt;1,"DUPLICATE","OK")))</f>
        <v>OK</v>
      </c>
      <c r="K3920" s="6" t="str">
        <f aca="false">A3920&amp;"|"&amp;B3920&amp;"|"&amp;C3920&amp;"|"&amp;D3920</f>
        <v>6|4|Colleen|spotify:track:1vYXt7VSjH9JIM5oRRo7vA</v>
      </c>
    </row>
    <row r="3921" customFormat="false" ht="15" hidden="false" customHeight="false" outlineLevel="0" collapsed="false">
      <c r="A3921" s="5" t="n">
        <v>6</v>
      </c>
      <c r="B3921" s="5" t="n">
        <v>4</v>
      </c>
      <c r="C3921" s="5" t="s">
        <v>637</v>
      </c>
      <c r="D3921" s="5" t="s">
        <v>376</v>
      </c>
      <c r="E3921" s="5" t="n">
        <v>1</v>
      </c>
      <c r="F3921" s="6" t="n">
        <f aca="false">IFERROR(MATCH(A3921&amp;"|"&amp;B3921&amp;"|"&amp;D3921,'All Song Rankings'!$T:$T,0),0)</f>
        <v>602</v>
      </c>
      <c r="G3921" s="6" t="str">
        <f aca="false">IF(F3921=0,"NOT FOUND",INDEX('All Song Rankings'!$A:$A,F3921))</f>
        <v>On The Floor</v>
      </c>
      <c r="H3921" s="6" t="str">
        <f aca="false">IF(F3921=0,"NOT FOUND",INDEX('All Song Rankings'!$B:$B,F3921))</f>
        <v>Jennifer Lopez</v>
      </c>
      <c r="I3921" s="6" t="str">
        <f aca="false">IF(F3921=0,"NOT FOUND",INDEX('All Song Rankings'!$D:$D,F3921))</f>
        <v>Merita</v>
      </c>
      <c r="J3921" s="7" t="str">
        <f aca="false">IF(F3921=0,"NOT FOUND",IF(C3921=I3921,"SELF-VOTE",IF(COUNTIF($K:$K,K3921)&gt;1,"DUPLICATE","OK")))</f>
        <v>OK</v>
      </c>
      <c r="K3921" s="6" t="str">
        <f aca="false">A3921&amp;"|"&amp;B3921&amp;"|"&amp;C3921&amp;"|"&amp;D3921</f>
        <v>6|4|Colleen|spotify:track:20zQZVyUNPbq8kZACdgYrh</v>
      </c>
    </row>
    <row r="3922" customFormat="false" ht="15" hidden="false" customHeight="false" outlineLevel="0" collapsed="false">
      <c r="A3922" s="5" t="n">
        <v>6</v>
      </c>
      <c r="B3922" s="5" t="n">
        <v>4</v>
      </c>
      <c r="C3922" s="5" t="s">
        <v>637</v>
      </c>
      <c r="D3922" s="5" t="s">
        <v>1855</v>
      </c>
      <c r="E3922" s="5" t="n">
        <v>2</v>
      </c>
      <c r="F3922" s="6" t="n">
        <f aca="false">IFERROR(MATCH(A3922&amp;"|"&amp;B3922&amp;"|"&amp;D3922,'All Song Rankings'!$T:$T,0),0)</f>
        <v>610</v>
      </c>
      <c r="G3922" s="6" t="str">
        <f aca="false">IF(F3922=0,"NOT FOUND",INDEX('All Song Rankings'!$A:$A,F3922))</f>
        <v>I Wanna Dance with Somebody (Who Loves Me)</v>
      </c>
      <c r="H3922" s="6" t="str">
        <f aca="false">IF(F3922=0,"NOT FOUND",INDEX('All Song Rankings'!$B:$B,F3922))</f>
        <v>Whitney Houston</v>
      </c>
      <c r="I3922" s="6" t="str">
        <f aca="false">IF(F3922=0,"NOT FOUND",INDEX('All Song Rankings'!$D:$D,F3922))</f>
        <v>Aubrey</v>
      </c>
      <c r="J3922" s="7" t="str">
        <f aca="false">IF(F3922=0,"NOT FOUND",IF(C3922=I3922,"SELF-VOTE",IF(COUNTIF($K:$K,K3922)&gt;1,"DUPLICATE","OK")))</f>
        <v>OK</v>
      </c>
      <c r="K3922" s="6" t="str">
        <f aca="false">A3922&amp;"|"&amp;B3922&amp;"|"&amp;C3922&amp;"|"&amp;D3922</f>
        <v>6|4|Colleen|spotify:track:2tUBqZG2AbRi7Q0BIrVrEj</v>
      </c>
    </row>
    <row r="3923" customFormat="false" ht="15" hidden="false" customHeight="false" outlineLevel="0" collapsed="false">
      <c r="A3923" s="5" t="n">
        <v>6</v>
      </c>
      <c r="B3923" s="5" t="n">
        <v>4</v>
      </c>
      <c r="C3923" s="5" t="s">
        <v>637</v>
      </c>
      <c r="D3923" s="5" t="s">
        <v>1826</v>
      </c>
      <c r="E3923" s="5" t="n">
        <v>1</v>
      </c>
      <c r="F3923" s="6" t="n">
        <f aca="false">IFERROR(MATCH(A3923&amp;"|"&amp;B3923&amp;"|"&amp;D3923,'All Song Rankings'!$T:$T,0),0)</f>
        <v>598</v>
      </c>
      <c r="G3923" s="6" t="str">
        <f aca="false">IF(F3923=0,"NOT FOUND",INDEX('All Song Rankings'!$A:$A,F3923))</f>
        <v>Came Here for Love</v>
      </c>
      <c r="H3923" s="6" t="str">
        <f aca="false">IF(F3923=0,"NOT FOUND",INDEX('All Song Rankings'!$B:$B,F3923))</f>
        <v>Sigala</v>
      </c>
      <c r="I3923" s="6" t="str">
        <f aca="false">IF(F3923=0,"NOT FOUND",INDEX('All Song Rankings'!$D:$D,F3923))</f>
        <v>Kelsey</v>
      </c>
      <c r="J3923" s="7" t="str">
        <f aca="false">IF(F3923=0,"NOT FOUND",IF(C3923=I3923,"SELF-VOTE",IF(COUNTIF($K:$K,K3923)&gt;1,"DUPLICATE","OK")))</f>
        <v>OK</v>
      </c>
      <c r="K3923" s="6" t="str">
        <f aca="false">A3923&amp;"|"&amp;B3923&amp;"|"&amp;C3923&amp;"|"&amp;D3923</f>
        <v>6|4|Colleen|spotify:track:3kGfazcbVvVkuZunzlLgTD</v>
      </c>
    </row>
    <row r="3924" customFormat="false" ht="15" hidden="false" customHeight="false" outlineLevel="0" collapsed="false">
      <c r="A3924" s="5" t="n">
        <v>6</v>
      </c>
      <c r="B3924" s="5" t="n">
        <v>4</v>
      </c>
      <c r="C3924" s="5" t="s">
        <v>637</v>
      </c>
      <c r="D3924" s="5" t="s">
        <v>1831</v>
      </c>
      <c r="E3924" s="5" t="n">
        <v>1</v>
      </c>
      <c r="F3924" s="6" t="n">
        <f aca="false">IFERROR(MATCH(A3924&amp;"|"&amp;B3924&amp;"|"&amp;D3924,'All Song Rankings'!$T:$T,0),0)</f>
        <v>600</v>
      </c>
      <c r="G3924" s="6" t="str">
        <f aca="false">IF(F3924=0,"NOT FOUND",INDEX('All Song Rankings'!$A:$A,F3924))</f>
        <v>Fireball (feat. John Ryan)</v>
      </c>
      <c r="H3924" s="6" t="str">
        <f aca="false">IF(F3924=0,"NOT FOUND",INDEX('All Song Rankings'!$B:$B,F3924))</f>
        <v>Pitbull</v>
      </c>
      <c r="I3924" s="6" t="str">
        <f aca="false">IF(F3924=0,"NOT FOUND",INDEX('All Song Rankings'!$D:$D,F3924))</f>
        <v>Kristen</v>
      </c>
      <c r="J3924" s="7" t="str">
        <f aca="false">IF(F3924=0,"NOT FOUND",IF(C3924=I3924,"SELF-VOTE",IF(COUNTIF($K:$K,K3924)&gt;1,"DUPLICATE","OK")))</f>
        <v>OK</v>
      </c>
      <c r="K3924" s="6" t="str">
        <f aca="false">A3924&amp;"|"&amp;B3924&amp;"|"&amp;C3924&amp;"|"&amp;D3924</f>
        <v>6|4|Colleen|spotify:track:4Y7XAxTANhu3lmnLAzhWJW</v>
      </c>
    </row>
    <row r="3925" customFormat="false" ht="15" hidden="false" customHeight="false" outlineLevel="0" collapsed="false">
      <c r="A3925" s="5" t="n">
        <v>6</v>
      </c>
      <c r="B3925" s="5" t="n">
        <v>4</v>
      </c>
      <c r="C3925" s="5" t="s">
        <v>637</v>
      </c>
      <c r="D3925" s="5" t="s">
        <v>1847</v>
      </c>
      <c r="E3925" s="5" t="n">
        <v>1</v>
      </c>
      <c r="F3925" s="6" t="n">
        <f aca="false">IFERROR(MATCH(A3925&amp;"|"&amp;B3925&amp;"|"&amp;D3925,'All Song Rankings'!$T:$T,0),0)</f>
        <v>606</v>
      </c>
      <c r="G3925" s="6" t="str">
        <f aca="false">IF(F3925=0,"NOT FOUND",INDEX('All Song Rankings'!$A:$A,F3925))</f>
        <v>Nails, Hair, Hips, Heels (Remix)</v>
      </c>
      <c r="H3925" s="6" t="str">
        <f aca="false">IF(F3925=0,"NOT FOUND",INDEX('All Song Rankings'!$B:$B,F3925))</f>
        <v>Todrick Hall</v>
      </c>
      <c r="I3925" s="6" t="str">
        <f aca="false">IF(F3925=0,"NOT FOUND",INDEX('All Song Rankings'!$D:$D,F3925))</f>
        <v>Logan</v>
      </c>
      <c r="J3925" s="7" t="str">
        <f aca="false">IF(F3925=0,"NOT FOUND",IF(C3925=I3925,"SELF-VOTE",IF(COUNTIF($K:$K,K3925)&gt;1,"DUPLICATE","OK")))</f>
        <v>OK</v>
      </c>
      <c r="K3925" s="6" t="str">
        <f aca="false">A3925&amp;"|"&amp;B3925&amp;"|"&amp;C3925&amp;"|"&amp;D3925</f>
        <v>6|4|Colleen|spotify:track:5PeaqO7m6S1TC3hwbmk9j5</v>
      </c>
    </row>
    <row r="3926" customFormat="false" ht="15" hidden="false" customHeight="false" outlineLevel="0" collapsed="false">
      <c r="A3926" s="5" t="n">
        <v>6</v>
      </c>
      <c r="B3926" s="5" t="n">
        <v>4</v>
      </c>
      <c r="C3926" s="5" t="s">
        <v>637</v>
      </c>
      <c r="D3926" s="5" t="s">
        <v>1834</v>
      </c>
      <c r="E3926" s="5" t="n">
        <v>1</v>
      </c>
      <c r="F3926" s="6" t="n">
        <f aca="false">IFERROR(MATCH(A3926&amp;"|"&amp;B3926&amp;"|"&amp;D3926,'All Song Rankings'!$T:$T,0),0)</f>
        <v>601</v>
      </c>
      <c r="G3926" s="6" t="str">
        <f aca="false">IF(F3926=0,"NOT FOUND",INDEX('All Song Rankings'!$A:$A,F3926))</f>
        <v>Sunroof</v>
      </c>
      <c r="H3926" s="6" t="str">
        <f aca="false">IF(F3926=0,"NOT FOUND",INDEX('All Song Rankings'!$B:$B,F3926))</f>
        <v>Nicky Youre</v>
      </c>
      <c r="I3926" s="6" t="str">
        <f aca="false">IF(F3926=0,"NOT FOUND",INDEX('All Song Rankings'!$D:$D,F3926))</f>
        <v>Nicole</v>
      </c>
      <c r="J3926" s="7" t="str">
        <f aca="false">IF(F3926=0,"NOT FOUND",IF(C3926=I3926,"SELF-VOTE",IF(COUNTIF($K:$K,K3926)&gt;1,"DUPLICATE","OK")))</f>
        <v>OK</v>
      </c>
      <c r="K3926" s="6" t="str">
        <f aca="false">A3926&amp;"|"&amp;B3926&amp;"|"&amp;C3926&amp;"|"&amp;D3926</f>
        <v>6|4|Colleen|spotify:track:5YqEzk3C5c3UZ1D5fJUlXA</v>
      </c>
    </row>
    <row r="3927" customFormat="false" ht="15" hidden="false" customHeight="false" outlineLevel="0" collapsed="false">
      <c r="A3927" s="5" t="n">
        <v>6</v>
      </c>
      <c r="B3927" s="5" t="n">
        <v>4</v>
      </c>
      <c r="C3927" s="5" t="s">
        <v>382</v>
      </c>
      <c r="D3927" s="5" t="s">
        <v>1818</v>
      </c>
      <c r="E3927" s="5" t="n">
        <v>2</v>
      </c>
      <c r="F3927" s="6" t="n">
        <f aca="false">IFERROR(MATCH(A3927&amp;"|"&amp;B3927&amp;"|"&amp;D3927,'All Song Rankings'!$T:$T,0),0)</f>
        <v>595</v>
      </c>
      <c r="G3927" s="6" t="str">
        <f aca="false">IF(F3927=0,"NOT FOUND",INDEX('All Song Rankings'!$A:$A,F3927))</f>
        <v>Low (feat. T-Pain)</v>
      </c>
      <c r="H3927" s="6" t="str">
        <f aca="false">IF(F3927=0,"NOT FOUND",INDEX('All Song Rankings'!$B:$B,F3927))</f>
        <v>Flo Rida</v>
      </c>
      <c r="I3927" s="6" t="str">
        <f aca="false">IF(F3927=0,"NOT FOUND",INDEX('All Song Rankings'!$D:$D,F3927))</f>
        <v>Matt</v>
      </c>
      <c r="J3927" s="7" t="str">
        <f aca="false">IF(F3927=0,"NOT FOUND",IF(C3927=I3927,"SELF-VOTE",IF(COUNTIF($K:$K,K3927)&gt;1,"DUPLICATE","OK")))</f>
        <v>OK</v>
      </c>
      <c r="K3927" s="6" t="str">
        <f aca="false">A3927&amp;"|"&amp;B3927&amp;"|"&amp;C3927&amp;"|"&amp;D3927</f>
        <v>6|4|Grace|spotify:track:0CAfXk7DXMnon4gLudAp7J</v>
      </c>
    </row>
    <row r="3928" customFormat="false" ht="15" hidden="false" customHeight="false" outlineLevel="0" collapsed="false">
      <c r="A3928" s="5" t="n">
        <v>6</v>
      </c>
      <c r="B3928" s="5" t="n">
        <v>4</v>
      </c>
      <c r="C3928" s="5" t="s">
        <v>382</v>
      </c>
      <c r="D3928" s="5" t="s">
        <v>1844</v>
      </c>
      <c r="E3928" s="5" t="n">
        <v>1</v>
      </c>
      <c r="F3928" s="6" t="n">
        <f aca="false">IFERROR(MATCH(A3928&amp;"|"&amp;B3928&amp;"|"&amp;D3928,'All Song Rankings'!$T:$T,0),0)</f>
        <v>605</v>
      </c>
      <c r="G3928" s="6" t="str">
        <f aca="false">IF(F3928=0,"NOT FOUND",INDEX('All Song Rankings'!$A:$A,F3928))</f>
        <v>Beauty And A Beat</v>
      </c>
      <c r="H3928" s="6" t="str">
        <f aca="false">IF(F3928=0,"NOT FOUND",INDEX('All Song Rankings'!$B:$B,F3928))</f>
        <v>Justin Bieber, Nicki Minaj</v>
      </c>
      <c r="I3928" s="6" t="str">
        <f aca="false">IF(F3928=0,"NOT FOUND",INDEX('All Song Rankings'!$D:$D,F3928))</f>
        <v>Josh</v>
      </c>
      <c r="J3928" s="7" t="str">
        <f aca="false">IF(F3928=0,"NOT FOUND",IF(C3928=I3928,"SELF-VOTE",IF(COUNTIF($K:$K,K3928)&gt;1,"DUPLICATE","OK")))</f>
        <v>OK</v>
      </c>
      <c r="K3928" s="6" t="str">
        <f aca="false">A3928&amp;"|"&amp;B3928&amp;"|"&amp;C3928&amp;"|"&amp;D3928</f>
        <v>6|4|Grace|spotify:track:190jyVPHYjAqEaOGmMzdyk</v>
      </c>
    </row>
    <row r="3929" customFormat="false" ht="15" hidden="false" customHeight="false" outlineLevel="0" collapsed="false">
      <c r="A3929" s="5" t="n">
        <v>6</v>
      </c>
      <c r="B3929" s="5" t="n">
        <v>4</v>
      </c>
      <c r="C3929" s="5" t="s">
        <v>382</v>
      </c>
      <c r="D3929" s="5" t="s">
        <v>1850</v>
      </c>
      <c r="E3929" s="5" t="n">
        <v>1</v>
      </c>
      <c r="F3929" s="6" t="n">
        <f aca="false">IFERROR(MATCH(A3929&amp;"|"&amp;B3929&amp;"|"&amp;D3929,'All Song Rankings'!$T:$T,0),0)</f>
        <v>607</v>
      </c>
      <c r="G3929" s="6" t="str">
        <f aca="false">IF(F3929=0,"NOT FOUND",INDEX('All Song Rankings'!$A:$A,F3929))</f>
        <v>Party Your Body</v>
      </c>
      <c r="H3929" s="6" t="str">
        <f aca="false">IF(F3929=0,"NOT FOUND",INDEX('All Song Rankings'!$B:$B,F3929))</f>
        <v>Stevie B</v>
      </c>
      <c r="I3929" s="6" t="str">
        <f aca="false">IF(F3929=0,"NOT FOUND",INDEX('All Song Rankings'!$D:$D,F3929))</f>
        <v>Christine</v>
      </c>
      <c r="J3929" s="7" t="str">
        <f aca="false">IF(F3929=0,"NOT FOUND",IF(C3929=I3929,"SELF-VOTE",IF(COUNTIF($K:$K,K3929)&gt;1,"DUPLICATE","OK")))</f>
        <v>OK</v>
      </c>
      <c r="K3929" s="6" t="str">
        <f aca="false">A3929&amp;"|"&amp;B3929&amp;"|"&amp;C3929&amp;"|"&amp;D3929</f>
        <v>6|4|Grace|spotify:track:2rZMR4TBSUIpFCCnKsl7uO</v>
      </c>
    </row>
    <row r="3930" customFormat="false" ht="15" hidden="false" customHeight="false" outlineLevel="0" collapsed="false">
      <c r="A3930" s="5" t="n">
        <v>6</v>
      </c>
      <c r="B3930" s="5" t="n">
        <v>4</v>
      </c>
      <c r="C3930" s="5" t="s">
        <v>382</v>
      </c>
      <c r="D3930" s="5" t="s">
        <v>1855</v>
      </c>
      <c r="E3930" s="5" t="n">
        <v>1</v>
      </c>
      <c r="F3930" s="6" t="n">
        <f aca="false">IFERROR(MATCH(A3930&amp;"|"&amp;B3930&amp;"|"&amp;D3930,'All Song Rankings'!$T:$T,0),0)</f>
        <v>610</v>
      </c>
      <c r="G3930" s="6" t="str">
        <f aca="false">IF(F3930=0,"NOT FOUND",INDEX('All Song Rankings'!$A:$A,F3930))</f>
        <v>I Wanna Dance with Somebody (Who Loves Me)</v>
      </c>
      <c r="H3930" s="6" t="str">
        <f aca="false">IF(F3930=0,"NOT FOUND",INDEX('All Song Rankings'!$B:$B,F3930))</f>
        <v>Whitney Houston</v>
      </c>
      <c r="I3930" s="6" t="str">
        <f aca="false">IF(F3930=0,"NOT FOUND",INDEX('All Song Rankings'!$D:$D,F3930))</f>
        <v>Aubrey</v>
      </c>
      <c r="J3930" s="7" t="str">
        <f aca="false">IF(F3930=0,"NOT FOUND",IF(C3930=I3930,"SELF-VOTE",IF(COUNTIF($K:$K,K3930)&gt;1,"DUPLICATE","OK")))</f>
        <v>OK</v>
      </c>
      <c r="K3930" s="6" t="str">
        <f aca="false">A3930&amp;"|"&amp;B3930&amp;"|"&amp;C3930&amp;"|"&amp;D3930</f>
        <v>6|4|Grace|spotify:track:2tUBqZG2AbRi7Q0BIrVrEj</v>
      </c>
    </row>
    <row r="3931" customFormat="false" ht="15" hidden="false" customHeight="false" outlineLevel="0" collapsed="false">
      <c r="A3931" s="5" t="n">
        <v>6</v>
      </c>
      <c r="B3931" s="5" t="n">
        <v>4</v>
      </c>
      <c r="C3931" s="5" t="s">
        <v>382</v>
      </c>
      <c r="D3931" s="5" t="s">
        <v>1823</v>
      </c>
      <c r="E3931" s="5" t="n">
        <v>3</v>
      </c>
      <c r="F3931" s="6" t="n">
        <f aca="false">IFERROR(MATCH(A3931&amp;"|"&amp;B3931&amp;"|"&amp;D3931,'All Song Rankings'!$T:$T,0),0)</f>
        <v>597</v>
      </c>
      <c r="G3931" s="6" t="str">
        <f aca="false">IF(F3931=0,"NOT FOUND",INDEX('All Song Rankings'!$A:$A,F3931))</f>
        <v>Gasolina</v>
      </c>
      <c r="H3931" s="6" t="str">
        <f aca="false">IF(F3931=0,"NOT FOUND",INDEX('All Song Rankings'!$B:$B,F3931))</f>
        <v>Daddy Yankee</v>
      </c>
      <c r="I3931" s="6" t="str">
        <f aca="false">IF(F3931=0,"NOT FOUND",INDEX('All Song Rankings'!$D:$D,F3931))</f>
        <v>Makenzie</v>
      </c>
      <c r="J3931" s="7" t="str">
        <f aca="false">IF(F3931=0,"NOT FOUND",IF(C3931=I3931,"SELF-VOTE",IF(COUNTIF($K:$K,K3931)&gt;1,"DUPLICATE","OK")))</f>
        <v>OK</v>
      </c>
      <c r="K3931" s="6" t="str">
        <f aca="false">A3931&amp;"|"&amp;B3931&amp;"|"&amp;C3931&amp;"|"&amp;D3931</f>
        <v>6|4|Grace|spotify:track:5YoITs1m0q8UOQ4AW7N5ga</v>
      </c>
    </row>
    <row r="3932" customFormat="false" ht="15" hidden="false" customHeight="false" outlineLevel="0" collapsed="false">
      <c r="A3932" s="5" t="n">
        <v>6</v>
      </c>
      <c r="B3932" s="5" t="n">
        <v>4</v>
      </c>
      <c r="C3932" s="5" t="s">
        <v>382</v>
      </c>
      <c r="D3932" s="5" t="s">
        <v>1834</v>
      </c>
      <c r="E3932" s="5" t="n">
        <v>2</v>
      </c>
      <c r="F3932" s="6" t="n">
        <f aca="false">IFERROR(MATCH(A3932&amp;"|"&amp;B3932&amp;"|"&amp;D3932,'All Song Rankings'!$T:$T,0),0)</f>
        <v>601</v>
      </c>
      <c r="G3932" s="6" t="str">
        <f aca="false">IF(F3932=0,"NOT FOUND",INDEX('All Song Rankings'!$A:$A,F3932))</f>
        <v>Sunroof</v>
      </c>
      <c r="H3932" s="6" t="str">
        <f aca="false">IF(F3932=0,"NOT FOUND",INDEX('All Song Rankings'!$B:$B,F3932))</f>
        <v>Nicky Youre</v>
      </c>
      <c r="I3932" s="6" t="str">
        <f aca="false">IF(F3932=0,"NOT FOUND",INDEX('All Song Rankings'!$D:$D,F3932))</f>
        <v>Nicole</v>
      </c>
      <c r="J3932" s="7" t="str">
        <f aca="false">IF(F3932=0,"NOT FOUND",IF(C3932=I3932,"SELF-VOTE",IF(COUNTIF($K:$K,K3932)&gt;1,"DUPLICATE","OK")))</f>
        <v>OK</v>
      </c>
      <c r="K3932" s="6" t="str">
        <f aca="false">A3932&amp;"|"&amp;B3932&amp;"|"&amp;C3932&amp;"|"&amp;D3932</f>
        <v>6|4|Grace|spotify:track:5YqEzk3C5c3UZ1D5fJUlXA</v>
      </c>
    </row>
    <row r="3933" customFormat="false" ht="15" hidden="false" customHeight="false" outlineLevel="0" collapsed="false">
      <c r="A3933" s="5" t="n">
        <v>6</v>
      </c>
      <c r="B3933" s="5" t="n">
        <v>4</v>
      </c>
      <c r="C3933" s="5" t="s">
        <v>1843</v>
      </c>
      <c r="D3933" s="5" t="s">
        <v>1818</v>
      </c>
      <c r="E3933" s="5" t="n">
        <v>2</v>
      </c>
      <c r="F3933" s="6" t="n">
        <f aca="false">IFERROR(MATCH(A3933&amp;"|"&amp;B3933&amp;"|"&amp;D3933,'All Song Rankings'!$T:$T,0),0)</f>
        <v>595</v>
      </c>
      <c r="G3933" s="6" t="str">
        <f aca="false">IF(F3933=0,"NOT FOUND",INDEX('All Song Rankings'!$A:$A,F3933))</f>
        <v>Low (feat. T-Pain)</v>
      </c>
      <c r="H3933" s="6" t="str">
        <f aca="false">IF(F3933=0,"NOT FOUND",INDEX('All Song Rankings'!$B:$B,F3933))</f>
        <v>Flo Rida</v>
      </c>
      <c r="I3933" s="6" t="str">
        <f aca="false">IF(F3933=0,"NOT FOUND",INDEX('All Song Rankings'!$D:$D,F3933))</f>
        <v>Matt</v>
      </c>
      <c r="J3933" s="7" t="str">
        <f aca="false">IF(F3933=0,"NOT FOUND",IF(C3933=I3933,"SELF-VOTE",IF(COUNTIF($K:$K,K3933)&gt;1,"DUPLICATE","OK")))</f>
        <v>OK</v>
      </c>
      <c r="K3933" s="6" t="str">
        <f aca="false">A3933&amp;"|"&amp;B3933&amp;"|"&amp;C3933&amp;"|"&amp;D3933</f>
        <v>6|4|Josh|spotify:track:0CAfXk7DXMnon4gLudAp7J</v>
      </c>
    </row>
    <row r="3934" customFormat="false" ht="15" hidden="false" customHeight="false" outlineLevel="0" collapsed="false">
      <c r="A3934" s="5" t="n">
        <v>6</v>
      </c>
      <c r="B3934" s="5" t="n">
        <v>4</v>
      </c>
      <c r="C3934" s="5" t="s">
        <v>1843</v>
      </c>
      <c r="D3934" s="5" t="s">
        <v>1820</v>
      </c>
      <c r="E3934" s="5" t="n">
        <v>1</v>
      </c>
      <c r="F3934" s="6" t="n">
        <f aca="false">IFERROR(MATCH(A3934&amp;"|"&amp;B3934&amp;"|"&amp;D3934,'All Song Rankings'!$T:$T,0),0)</f>
        <v>596</v>
      </c>
      <c r="G3934" s="6" t="str">
        <f aca="false">IF(F3934=0,"NOT FOUND",INDEX('All Song Rankings'!$A:$A,F3934))</f>
        <v>Dance The Night - From Barbie The Album</v>
      </c>
      <c r="H3934" s="6" t="str">
        <f aca="false">IF(F3934=0,"NOT FOUND",INDEX('All Song Rankings'!$B:$B,F3934))</f>
        <v>Dua Lipa</v>
      </c>
      <c r="I3934" s="6" t="str">
        <f aca="false">IF(F3934=0,"NOT FOUND",INDEX('All Song Rankings'!$D:$D,F3934))</f>
        <v>Grace</v>
      </c>
      <c r="J3934" s="7" t="str">
        <f aca="false">IF(F3934=0,"NOT FOUND",IF(C3934=I3934,"SELF-VOTE",IF(COUNTIF($K:$K,K3934)&gt;1,"DUPLICATE","OK")))</f>
        <v>OK</v>
      </c>
      <c r="K3934" s="6" t="str">
        <f aca="false">A3934&amp;"|"&amp;B3934&amp;"|"&amp;C3934&amp;"|"&amp;D3934</f>
        <v>6|4|Josh|spotify:track:1vYXt7VSjH9JIM5oRRo7vA</v>
      </c>
    </row>
    <row r="3935" customFormat="false" ht="15" hidden="false" customHeight="false" outlineLevel="0" collapsed="false">
      <c r="A3935" s="5" t="n">
        <v>6</v>
      </c>
      <c r="B3935" s="5" t="n">
        <v>4</v>
      </c>
      <c r="C3935" s="5" t="s">
        <v>1843</v>
      </c>
      <c r="D3935" s="5" t="s">
        <v>376</v>
      </c>
      <c r="E3935" s="5" t="n">
        <v>1</v>
      </c>
      <c r="F3935" s="6" t="n">
        <f aca="false">IFERROR(MATCH(A3935&amp;"|"&amp;B3935&amp;"|"&amp;D3935,'All Song Rankings'!$T:$T,0),0)</f>
        <v>602</v>
      </c>
      <c r="G3935" s="6" t="str">
        <f aca="false">IF(F3935=0,"NOT FOUND",INDEX('All Song Rankings'!$A:$A,F3935))</f>
        <v>On The Floor</v>
      </c>
      <c r="H3935" s="6" t="str">
        <f aca="false">IF(F3935=0,"NOT FOUND",INDEX('All Song Rankings'!$B:$B,F3935))</f>
        <v>Jennifer Lopez</v>
      </c>
      <c r="I3935" s="6" t="str">
        <f aca="false">IF(F3935=0,"NOT FOUND",INDEX('All Song Rankings'!$D:$D,F3935))</f>
        <v>Merita</v>
      </c>
      <c r="J3935" s="7" t="str">
        <f aca="false">IF(F3935=0,"NOT FOUND",IF(C3935=I3935,"SELF-VOTE",IF(COUNTIF($K:$K,K3935)&gt;1,"DUPLICATE","OK")))</f>
        <v>OK</v>
      </c>
      <c r="K3935" s="6" t="str">
        <f aca="false">A3935&amp;"|"&amp;B3935&amp;"|"&amp;C3935&amp;"|"&amp;D3935</f>
        <v>6|4|Josh|spotify:track:20zQZVyUNPbq8kZACdgYrh</v>
      </c>
    </row>
    <row r="3936" customFormat="false" ht="15" hidden="false" customHeight="false" outlineLevel="0" collapsed="false">
      <c r="A3936" s="5" t="n">
        <v>6</v>
      </c>
      <c r="B3936" s="5" t="n">
        <v>4</v>
      </c>
      <c r="C3936" s="5" t="s">
        <v>1843</v>
      </c>
      <c r="D3936" s="5" t="s">
        <v>1855</v>
      </c>
      <c r="E3936" s="5" t="n">
        <v>1</v>
      </c>
      <c r="F3936" s="6" t="n">
        <f aca="false">IFERROR(MATCH(A3936&amp;"|"&amp;B3936&amp;"|"&amp;D3936,'All Song Rankings'!$T:$T,0),0)</f>
        <v>610</v>
      </c>
      <c r="G3936" s="6" t="str">
        <f aca="false">IF(F3936=0,"NOT FOUND",INDEX('All Song Rankings'!$A:$A,F3936))</f>
        <v>I Wanna Dance with Somebody (Who Loves Me)</v>
      </c>
      <c r="H3936" s="6" t="str">
        <f aca="false">IF(F3936=0,"NOT FOUND",INDEX('All Song Rankings'!$B:$B,F3936))</f>
        <v>Whitney Houston</v>
      </c>
      <c r="I3936" s="6" t="str">
        <f aca="false">IF(F3936=0,"NOT FOUND",INDEX('All Song Rankings'!$D:$D,F3936))</f>
        <v>Aubrey</v>
      </c>
      <c r="J3936" s="7" t="str">
        <f aca="false">IF(F3936=0,"NOT FOUND",IF(C3936=I3936,"SELF-VOTE",IF(COUNTIF($K:$K,K3936)&gt;1,"DUPLICATE","OK")))</f>
        <v>OK</v>
      </c>
      <c r="K3936" s="6" t="str">
        <f aca="false">A3936&amp;"|"&amp;B3936&amp;"|"&amp;C3936&amp;"|"&amp;D3936</f>
        <v>6|4|Josh|spotify:track:2tUBqZG2AbRi7Q0BIrVrEj</v>
      </c>
    </row>
    <row r="3937" customFormat="false" ht="15" hidden="false" customHeight="false" outlineLevel="0" collapsed="false">
      <c r="A3937" s="5" t="n">
        <v>6</v>
      </c>
      <c r="B3937" s="5" t="n">
        <v>4</v>
      </c>
      <c r="C3937" s="5" t="s">
        <v>1843</v>
      </c>
      <c r="D3937" s="5" t="s">
        <v>1828</v>
      </c>
      <c r="E3937" s="5" t="n">
        <v>1</v>
      </c>
      <c r="F3937" s="6" t="n">
        <f aca="false">IFERROR(MATCH(A3937&amp;"|"&amp;B3937&amp;"|"&amp;D3937,'All Song Rankings'!$T:$T,0),0)</f>
        <v>599</v>
      </c>
      <c r="G3937" s="6" t="str">
        <f aca="false">IF(F3937=0,"NOT FOUND",INDEX('All Song Rankings'!$A:$A,F3937))</f>
        <v>Footloose - From "Footloose" Soundtrack</v>
      </c>
      <c r="H3937" s="6" t="str">
        <f aca="false">IF(F3937=0,"NOT FOUND",INDEX('All Song Rankings'!$B:$B,F3937))</f>
        <v>Kenny Loggins</v>
      </c>
      <c r="I3937" s="6" t="str">
        <f aca="false">IF(F3937=0,"NOT FOUND",INDEX('All Song Rankings'!$D:$D,F3937))</f>
        <v>Colleen</v>
      </c>
      <c r="J3937" s="7" t="str">
        <f aca="false">IF(F3937=0,"NOT FOUND",IF(C3937=I3937,"SELF-VOTE",IF(COUNTIF($K:$K,K3937)&gt;1,"DUPLICATE","OK")))</f>
        <v>OK</v>
      </c>
      <c r="K3937" s="6" t="str">
        <f aca="false">A3937&amp;"|"&amp;B3937&amp;"|"&amp;C3937&amp;"|"&amp;D3937</f>
        <v>6|4|Josh|spotify:track:2vz1CsL5WBsbpBcwgboTAw</v>
      </c>
    </row>
    <row r="3938" customFormat="false" ht="15" hidden="false" customHeight="false" outlineLevel="0" collapsed="false">
      <c r="A3938" s="5" t="n">
        <v>6</v>
      </c>
      <c r="B3938" s="5" t="n">
        <v>4</v>
      </c>
      <c r="C3938" s="5" t="s">
        <v>1843</v>
      </c>
      <c r="D3938" s="5" t="s">
        <v>1823</v>
      </c>
      <c r="E3938" s="5" t="n">
        <v>2</v>
      </c>
      <c r="F3938" s="6" t="n">
        <f aca="false">IFERROR(MATCH(A3938&amp;"|"&amp;B3938&amp;"|"&amp;D3938,'All Song Rankings'!$T:$T,0),0)</f>
        <v>597</v>
      </c>
      <c r="G3938" s="6" t="str">
        <f aca="false">IF(F3938=0,"NOT FOUND",INDEX('All Song Rankings'!$A:$A,F3938))</f>
        <v>Gasolina</v>
      </c>
      <c r="H3938" s="6" t="str">
        <f aca="false">IF(F3938=0,"NOT FOUND",INDEX('All Song Rankings'!$B:$B,F3938))</f>
        <v>Daddy Yankee</v>
      </c>
      <c r="I3938" s="6" t="str">
        <f aca="false">IF(F3938=0,"NOT FOUND",INDEX('All Song Rankings'!$D:$D,F3938))</f>
        <v>Makenzie</v>
      </c>
      <c r="J3938" s="7" t="str">
        <f aca="false">IF(F3938=0,"NOT FOUND",IF(C3938=I3938,"SELF-VOTE",IF(COUNTIF($K:$K,K3938)&gt;1,"DUPLICATE","OK")))</f>
        <v>OK</v>
      </c>
      <c r="K3938" s="6" t="str">
        <f aca="false">A3938&amp;"|"&amp;B3938&amp;"|"&amp;C3938&amp;"|"&amp;D3938</f>
        <v>6|4|Josh|spotify:track:5YoITs1m0q8UOQ4AW7N5ga</v>
      </c>
    </row>
    <row r="3939" customFormat="false" ht="15" hidden="false" customHeight="false" outlineLevel="0" collapsed="false">
      <c r="A3939" s="5" t="n">
        <v>6</v>
      </c>
      <c r="B3939" s="5" t="n">
        <v>4</v>
      </c>
      <c r="C3939" s="5" t="s">
        <v>1843</v>
      </c>
      <c r="D3939" s="5" t="s">
        <v>1837</v>
      </c>
      <c r="E3939" s="5" t="n">
        <v>2</v>
      </c>
      <c r="F3939" s="6" t="n">
        <f aca="false">IFERROR(MATCH(A3939&amp;"|"&amp;B3939&amp;"|"&amp;D3939,'All Song Rankings'!$T:$T,0),0)</f>
        <v>603</v>
      </c>
      <c r="G3939" s="6" t="str">
        <f aca="false">IF(F3939=0,"NOT FOUND",INDEX('All Song Rankings'!$A:$A,F3939))</f>
        <v>I Just Might</v>
      </c>
      <c r="H3939" s="6" t="str">
        <f aca="false">IF(F3939=0,"NOT FOUND",INDEX('All Song Rankings'!$B:$B,F3939))</f>
        <v>Bruno Mars</v>
      </c>
      <c r="I3939" s="6" t="str">
        <f aca="false">IF(F3939=0,"NOT FOUND",INDEX('All Song Rankings'!$D:$D,F3939))</f>
        <v>Stephanie</v>
      </c>
      <c r="J3939" s="7" t="str">
        <f aca="false">IF(F3939=0,"NOT FOUND",IF(C3939=I3939,"SELF-VOTE",IF(COUNTIF($K:$K,K3939)&gt;1,"DUPLICATE","OK")))</f>
        <v>OK</v>
      </c>
      <c r="K3939" s="6" t="str">
        <f aca="false">A3939&amp;"|"&amp;B3939&amp;"|"&amp;C3939&amp;"|"&amp;D3939</f>
        <v>6|4|Josh|spotify:track:6f68Ac5tt5BQOpwr0BV9oN</v>
      </c>
    </row>
    <row r="3940" customFormat="false" ht="15" hidden="false" customHeight="false" outlineLevel="0" collapsed="false">
      <c r="A3940" s="5" t="n">
        <v>6</v>
      </c>
      <c r="B3940" s="5" t="n">
        <v>4</v>
      </c>
      <c r="C3940" s="5" t="s">
        <v>85</v>
      </c>
      <c r="D3940" s="5" t="s">
        <v>1818</v>
      </c>
      <c r="E3940" s="5" t="n">
        <v>1</v>
      </c>
      <c r="F3940" s="6" t="n">
        <f aca="false">IFERROR(MATCH(A3940&amp;"|"&amp;B3940&amp;"|"&amp;D3940,'All Song Rankings'!$T:$T,0),0)</f>
        <v>595</v>
      </c>
      <c r="G3940" s="6" t="str">
        <f aca="false">IF(F3940=0,"NOT FOUND",INDEX('All Song Rankings'!$A:$A,F3940))</f>
        <v>Low (feat. T-Pain)</v>
      </c>
      <c r="H3940" s="6" t="str">
        <f aca="false">IF(F3940=0,"NOT FOUND",INDEX('All Song Rankings'!$B:$B,F3940))</f>
        <v>Flo Rida</v>
      </c>
      <c r="I3940" s="6" t="str">
        <f aca="false">IF(F3940=0,"NOT FOUND",INDEX('All Song Rankings'!$D:$D,F3940))</f>
        <v>Matt</v>
      </c>
      <c r="J3940" s="7" t="str">
        <f aca="false">IF(F3940=0,"NOT FOUND",IF(C3940=I3940,"SELF-VOTE",IF(COUNTIF($K:$K,K3940)&gt;1,"DUPLICATE","OK")))</f>
        <v>OK</v>
      </c>
      <c r="K3940" s="6" t="str">
        <f aca="false">A3940&amp;"|"&amp;B3940&amp;"|"&amp;C3940&amp;"|"&amp;D3940</f>
        <v>6|4|Kelsey|spotify:track:0CAfXk7DXMnon4gLudAp7J</v>
      </c>
    </row>
    <row r="3941" customFormat="false" ht="15" hidden="false" customHeight="false" outlineLevel="0" collapsed="false">
      <c r="A3941" s="5" t="n">
        <v>6</v>
      </c>
      <c r="B3941" s="5" t="n">
        <v>4</v>
      </c>
      <c r="C3941" s="5" t="s">
        <v>85</v>
      </c>
      <c r="D3941" s="5" t="s">
        <v>1844</v>
      </c>
      <c r="E3941" s="5" t="n">
        <v>1</v>
      </c>
      <c r="F3941" s="6" t="n">
        <f aca="false">IFERROR(MATCH(A3941&amp;"|"&amp;B3941&amp;"|"&amp;D3941,'All Song Rankings'!$T:$T,0),0)</f>
        <v>605</v>
      </c>
      <c r="G3941" s="6" t="str">
        <f aca="false">IF(F3941=0,"NOT FOUND",INDEX('All Song Rankings'!$A:$A,F3941))</f>
        <v>Beauty And A Beat</v>
      </c>
      <c r="H3941" s="6" t="str">
        <f aca="false">IF(F3941=0,"NOT FOUND",INDEX('All Song Rankings'!$B:$B,F3941))</f>
        <v>Justin Bieber, Nicki Minaj</v>
      </c>
      <c r="I3941" s="6" t="str">
        <f aca="false">IF(F3941=0,"NOT FOUND",INDEX('All Song Rankings'!$D:$D,F3941))</f>
        <v>Josh</v>
      </c>
      <c r="J3941" s="7" t="str">
        <f aca="false">IF(F3941=0,"NOT FOUND",IF(C3941=I3941,"SELF-VOTE",IF(COUNTIF($K:$K,K3941)&gt;1,"DUPLICATE","OK")))</f>
        <v>OK</v>
      </c>
      <c r="K3941" s="6" t="str">
        <f aca="false">A3941&amp;"|"&amp;B3941&amp;"|"&amp;C3941&amp;"|"&amp;D3941</f>
        <v>6|4|Kelsey|spotify:track:190jyVPHYjAqEaOGmMzdyk</v>
      </c>
    </row>
    <row r="3942" customFormat="false" ht="15" hidden="false" customHeight="false" outlineLevel="0" collapsed="false">
      <c r="A3942" s="5" t="n">
        <v>6</v>
      </c>
      <c r="B3942" s="5" t="n">
        <v>4</v>
      </c>
      <c r="C3942" s="5" t="s">
        <v>85</v>
      </c>
      <c r="D3942" s="5" t="s">
        <v>1820</v>
      </c>
      <c r="E3942" s="5" t="n">
        <v>1</v>
      </c>
      <c r="F3942" s="6" t="n">
        <f aca="false">IFERROR(MATCH(A3942&amp;"|"&amp;B3942&amp;"|"&amp;D3942,'All Song Rankings'!$T:$T,0),0)</f>
        <v>596</v>
      </c>
      <c r="G3942" s="6" t="str">
        <f aca="false">IF(F3942=0,"NOT FOUND",INDEX('All Song Rankings'!$A:$A,F3942))</f>
        <v>Dance The Night - From Barbie The Album</v>
      </c>
      <c r="H3942" s="6" t="str">
        <f aca="false">IF(F3942=0,"NOT FOUND",INDEX('All Song Rankings'!$B:$B,F3942))</f>
        <v>Dua Lipa</v>
      </c>
      <c r="I3942" s="6" t="str">
        <f aca="false">IF(F3942=0,"NOT FOUND",INDEX('All Song Rankings'!$D:$D,F3942))</f>
        <v>Grace</v>
      </c>
      <c r="J3942" s="7" t="str">
        <f aca="false">IF(F3942=0,"NOT FOUND",IF(C3942=I3942,"SELF-VOTE",IF(COUNTIF($K:$K,K3942)&gt;1,"DUPLICATE","OK")))</f>
        <v>OK</v>
      </c>
      <c r="K3942" s="6" t="str">
        <f aca="false">A3942&amp;"|"&amp;B3942&amp;"|"&amp;C3942&amp;"|"&amp;D3942</f>
        <v>6|4|Kelsey|spotify:track:1vYXt7VSjH9JIM5oRRo7vA</v>
      </c>
    </row>
    <row r="3943" customFormat="false" ht="15" hidden="false" customHeight="false" outlineLevel="0" collapsed="false">
      <c r="A3943" s="5" t="n">
        <v>6</v>
      </c>
      <c r="B3943" s="5" t="n">
        <v>4</v>
      </c>
      <c r="C3943" s="5" t="s">
        <v>85</v>
      </c>
      <c r="D3943" s="5" t="s">
        <v>376</v>
      </c>
      <c r="E3943" s="5" t="n">
        <v>1</v>
      </c>
      <c r="F3943" s="6" t="n">
        <f aca="false">IFERROR(MATCH(A3943&amp;"|"&amp;B3943&amp;"|"&amp;D3943,'All Song Rankings'!$T:$T,0),0)</f>
        <v>602</v>
      </c>
      <c r="G3943" s="6" t="str">
        <f aca="false">IF(F3943=0,"NOT FOUND",INDEX('All Song Rankings'!$A:$A,F3943))</f>
        <v>On The Floor</v>
      </c>
      <c r="H3943" s="6" t="str">
        <f aca="false">IF(F3943=0,"NOT FOUND",INDEX('All Song Rankings'!$B:$B,F3943))</f>
        <v>Jennifer Lopez</v>
      </c>
      <c r="I3943" s="6" t="str">
        <f aca="false">IF(F3943=0,"NOT FOUND",INDEX('All Song Rankings'!$D:$D,F3943))</f>
        <v>Merita</v>
      </c>
      <c r="J3943" s="7" t="str">
        <f aca="false">IF(F3943=0,"NOT FOUND",IF(C3943=I3943,"SELF-VOTE",IF(COUNTIF($K:$K,K3943)&gt;1,"DUPLICATE","OK")))</f>
        <v>OK</v>
      </c>
      <c r="K3943" s="6" t="str">
        <f aca="false">A3943&amp;"|"&amp;B3943&amp;"|"&amp;C3943&amp;"|"&amp;D3943</f>
        <v>6|4|Kelsey|spotify:track:20zQZVyUNPbq8kZACdgYrh</v>
      </c>
    </row>
    <row r="3944" customFormat="false" ht="15" hidden="false" customHeight="false" outlineLevel="0" collapsed="false">
      <c r="A3944" s="5" t="n">
        <v>6</v>
      </c>
      <c r="B3944" s="5" t="n">
        <v>4</v>
      </c>
      <c r="C3944" s="5" t="s">
        <v>85</v>
      </c>
      <c r="D3944" s="5" t="s">
        <v>1855</v>
      </c>
      <c r="E3944" s="5" t="n">
        <v>2</v>
      </c>
      <c r="F3944" s="6" t="n">
        <f aca="false">IFERROR(MATCH(A3944&amp;"|"&amp;B3944&amp;"|"&amp;D3944,'All Song Rankings'!$T:$T,0),0)</f>
        <v>610</v>
      </c>
      <c r="G3944" s="6" t="str">
        <f aca="false">IF(F3944=0,"NOT FOUND",INDEX('All Song Rankings'!$A:$A,F3944))</f>
        <v>I Wanna Dance with Somebody (Who Loves Me)</v>
      </c>
      <c r="H3944" s="6" t="str">
        <f aca="false">IF(F3944=0,"NOT FOUND",INDEX('All Song Rankings'!$B:$B,F3944))</f>
        <v>Whitney Houston</v>
      </c>
      <c r="I3944" s="6" t="str">
        <f aca="false">IF(F3944=0,"NOT FOUND",INDEX('All Song Rankings'!$D:$D,F3944))</f>
        <v>Aubrey</v>
      </c>
      <c r="J3944" s="7" t="str">
        <f aca="false">IF(F3944=0,"NOT FOUND",IF(C3944=I3944,"SELF-VOTE",IF(COUNTIF($K:$K,K3944)&gt;1,"DUPLICATE","OK")))</f>
        <v>OK</v>
      </c>
      <c r="K3944" s="6" t="str">
        <f aca="false">A3944&amp;"|"&amp;B3944&amp;"|"&amp;C3944&amp;"|"&amp;D3944</f>
        <v>6|4|Kelsey|spotify:track:2tUBqZG2AbRi7Q0BIrVrEj</v>
      </c>
    </row>
    <row r="3945" customFormat="false" ht="15" hidden="false" customHeight="false" outlineLevel="0" collapsed="false">
      <c r="A3945" s="5" t="n">
        <v>6</v>
      </c>
      <c r="B3945" s="5" t="n">
        <v>4</v>
      </c>
      <c r="C3945" s="5" t="s">
        <v>85</v>
      </c>
      <c r="D3945" s="5" t="s">
        <v>1828</v>
      </c>
      <c r="E3945" s="5" t="n">
        <v>1</v>
      </c>
      <c r="F3945" s="6" t="n">
        <f aca="false">IFERROR(MATCH(A3945&amp;"|"&amp;B3945&amp;"|"&amp;D3945,'All Song Rankings'!$T:$T,0),0)</f>
        <v>599</v>
      </c>
      <c r="G3945" s="6" t="str">
        <f aca="false">IF(F3945=0,"NOT FOUND",INDEX('All Song Rankings'!$A:$A,F3945))</f>
        <v>Footloose - From "Footloose" Soundtrack</v>
      </c>
      <c r="H3945" s="6" t="str">
        <f aca="false">IF(F3945=0,"NOT FOUND",INDEX('All Song Rankings'!$B:$B,F3945))</f>
        <v>Kenny Loggins</v>
      </c>
      <c r="I3945" s="6" t="str">
        <f aca="false">IF(F3945=0,"NOT FOUND",INDEX('All Song Rankings'!$D:$D,F3945))</f>
        <v>Colleen</v>
      </c>
      <c r="J3945" s="7" t="str">
        <f aca="false">IF(F3945=0,"NOT FOUND",IF(C3945=I3945,"SELF-VOTE",IF(COUNTIF($K:$K,K3945)&gt;1,"DUPLICATE","OK")))</f>
        <v>OK</v>
      </c>
      <c r="K3945" s="6" t="str">
        <f aca="false">A3945&amp;"|"&amp;B3945&amp;"|"&amp;C3945&amp;"|"&amp;D3945</f>
        <v>6|4|Kelsey|spotify:track:2vz1CsL5WBsbpBcwgboTAw</v>
      </c>
    </row>
    <row r="3946" customFormat="false" ht="15" hidden="false" customHeight="false" outlineLevel="0" collapsed="false">
      <c r="A3946" s="5" t="n">
        <v>6</v>
      </c>
      <c r="B3946" s="5" t="n">
        <v>4</v>
      </c>
      <c r="C3946" s="5" t="s">
        <v>85</v>
      </c>
      <c r="D3946" s="5" t="s">
        <v>1831</v>
      </c>
      <c r="E3946" s="5" t="n">
        <v>1</v>
      </c>
      <c r="F3946" s="6" t="n">
        <f aca="false">IFERROR(MATCH(A3946&amp;"|"&amp;B3946&amp;"|"&amp;D3946,'All Song Rankings'!$T:$T,0),0)</f>
        <v>600</v>
      </c>
      <c r="G3946" s="6" t="str">
        <f aca="false">IF(F3946=0,"NOT FOUND",INDEX('All Song Rankings'!$A:$A,F3946))</f>
        <v>Fireball (feat. John Ryan)</v>
      </c>
      <c r="H3946" s="6" t="str">
        <f aca="false">IF(F3946=0,"NOT FOUND",INDEX('All Song Rankings'!$B:$B,F3946))</f>
        <v>Pitbull</v>
      </c>
      <c r="I3946" s="6" t="str">
        <f aca="false">IF(F3946=0,"NOT FOUND",INDEX('All Song Rankings'!$D:$D,F3946))</f>
        <v>Kristen</v>
      </c>
      <c r="J3946" s="7" t="str">
        <f aca="false">IF(F3946=0,"NOT FOUND",IF(C3946=I3946,"SELF-VOTE",IF(COUNTIF($K:$K,K3946)&gt;1,"DUPLICATE","OK")))</f>
        <v>OK</v>
      </c>
      <c r="K3946" s="6" t="str">
        <f aca="false">A3946&amp;"|"&amp;B3946&amp;"|"&amp;C3946&amp;"|"&amp;D3946</f>
        <v>6|4|Kelsey|spotify:track:4Y7XAxTANhu3lmnLAzhWJW</v>
      </c>
    </row>
    <row r="3947" customFormat="false" ht="15" hidden="false" customHeight="false" outlineLevel="0" collapsed="false">
      <c r="A3947" s="5" t="n">
        <v>6</v>
      </c>
      <c r="B3947" s="5" t="n">
        <v>4</v>
      </c>
      <c r="C3947" s="5" t="s">
        <v>85</v>
      </c>
      <c r="D3947" s="5" t="s">
        <v>1847</v>
      </c>
      <c r="E3947" s="5" t="n">
        <v>1</v>
      </c>
      <c r="F3947" s="6" t="n">
        <f aca="false">IFERROR(MATCH(A3947&amp;"|"&amp;B3947&amp;"|"&amp;D3947,'All Song Rankings'!$T:$T,0),0)</f>
        <v>606</v>
      </c>
      <c r="G3947" s="6" t="str">
        <f aca="false">IF(F3947=0,"NOT FOUND",INDEX('All Song Rankings'!$A:$A,F3947))</f>
        <v>Nails, Hair, Hips, Heels (Remix)</v>
      </c>
      <c r="H3947" s="6" t="str">
        <f aca="false">IF(F3947=0,"NOT FOUND",INDEX('All Song Rankings'!$B:$B,F3947))</f>
        <v>Todrick Hall</v>
      </c>
      <c r="I3947" s="6" t="str">
        <f aca="false">IF(F3947=0,"NOT FOUND",INDEX('All Song Rankings'!$D:$D,F3947))</f>
        <v>Logan</v>
      </c>
      <c r="J3947" s="7" t="str">
        <f aca="false">IF(F3947=0,"NOT FOUND",IF(C3947=I3947,"SELF-VOTE",IF(COUNTIF($K:$K,K3947)&gt;1,"DUPLICATE","OK")))</f>
        <v>OK</v>
      </c>
      <c r="K3947" s="6" t="str">
        <f aca="false">A3947&amp;"|"&amp;B3947&amp;"|"&amp;C3947&amp;"|"&amp;D3947</f>
        <v>6|4|Kelsey|spotify:track:5PeaqO7m6S1TC3hwbmk9j5</v>
      </c>
    </row>
    <row r="3948" customFormat="false" ht="15" hidden="false" customHeight="false" outlineLevel="0" collapsed="false">
      <c r="A3948" s="5" t="n">
        <v>6</v>
      </c>
      <c r="B3948" s="5" t="n">
        <v>4</v>
      </c>
      <c r="C3948" s="5" t="s">
        <v>85</v>
      </c>
      <c r="D3948" s="5" t="s">
        <v>1840</v>
      </c>
      <c r="E3948" s="5" t="n">
        <v>1</v>
      </c>
      <c r="F3948" s="6" t="n">
        <f aca="false">IFERROR(MATCH(A3948&amp;"|"&amp;B3948&amp;"|"&amp;D3948,'All Song Rankings'!$T:$T,0),0)</f>
        <v>604</v>
      </c>
      <c r="G3948" s="6" t="str">
        <f aca="false">IF(F3948=0,"NOT FOUND",INDEX('All Song Rankings'!$A:$A,F3948))</f>
        <v>Wobble</v>
      </c>
      <c r="H3948" s="6" t="str">
        <f aca="false">IF(F3948=0,"NOT FOUND",INDEX('All Song Rankings'!$B:$B,F3948))</f>
        <v>V.I.C.</v>
      </c>
      <c r="I3948" s="6" t="str">
        <f aca="false">IF(F3948=0,"NOT FOUND",INDEX('All Song Rankings'!$D:$D,F3948))</f>
        <v>Leah</v>
      </c>
      <c r="J3948" s="7" t="str">
        <f aca="false">IF(F3948=0,"NOT FOUND",IF(C3948=I3948,"SELF-VOTE",IF(COUNTIF($K:$K,K3948)&gt;1,"DUPLICATE","OK")))</f>
        <v>OK</v>
      </c>
      <c r="K3948" s="6" t="str">
        <f aca="false">A3948&amp;"|"&amp;B3948&amp;"|"&amp;C3948&amp;"|"&amp;D3948</f>
        <v>6|4|Kelsey|spotify:track:6JLcz9UGiVxAmEZXlCucn5</v>
      </c>
    </row>
    <row r="3949" customFormat="false" ht="15" hidden="false" customHeight="false" outlineLevel="0" collapsed="false">
      <c r="A3949" s="5" t="n">
        <v>6</v>
      </c>
      <c r="B3949" s="5" t="n">
        <v>4</v>
      </c>
      <c r="C3949" s="5" t="s">
        <v>106</v>
      </c>
      <c r="D3949" s="5" t="s">
        <v>1818</v>
      </c>
      <c r="E3949" s="5" t="n">
        <v>2</v>
      </c>
      <c r="F3949" s="6" t="n">
        <f aca="false">IFERROR(MATCH(A3949&amp;"|"&amp;B3949&amp;"|"&amp;D3949,'All Song Rankings'!$T:$T,0),0)</f>
        <v>595</v>
      </c>
      <c r="G3949" s="6" t="str">
        <f aca="false">IF(F3949=0,"NOT FOUND",INDEX('All Song Rankings'!$A:$A,F3949))</f>
        <v>Low (feat. T-Pain)</v>
      </c>
      <c r="H3949" s="6" t="str">
        <f aca="false">IF(F3949=0,"NOT FOUND",INDEX('All Song Rankings'!$B:$B,F3949))</f>
        <v>Flo Rida</v>
      </c>
      <c r="I3949" s="6" t="str">
        <f aca="false">IF(F3949=0,"NOT FOUND",INDEX('All Song Rankings'!$D:$D,F3949))</f>
        <v>Matt</v>
      </c>
      <c r="J3949" s="7" t="str">
        <f aca="false">IF(F3949=0,"NOT FOUND",IF(C3949=I3949,"SELF-VOTE",IF(COUNTIF($K:$K,K3949)&gt;1,"DUPLICATE","OK")))</f>
        <v>OK</v>
      </c>
      <c r="K3949" s="6" t="str">
        <f aca="false">A3949&amp;"|"&amp;B3949&amp;"|"&amp;C3949&amp;"|"&amp;D3949</f>
        <v>6|4|Kristen|spotify:track:0CAfXk7DXMnon4gLudAp7J</v>
      </c>
    </row>
    <row r="3950" customFormat="false" ht="15" hidden="false" customHeight="false" outlineLevel="0" collapsed="false">
      <c r="A3950" s="5" t="n">
        <v>6</v>
      </c>
      <c r="B3950" s="5" t="n">
        <v>4</v>
      </c>
      <c r="C3950" s="5" t="s">
        <v>106</v>
      </c>
      <c r="D3950" s="5" t="s">
        <v>1844</v>
      </c>
      <c r="E3950" s="5" t="n">
        <v>2</v>
      </c>
      <c r="F3950" s="6" t="n">
        <f aca="false">IFERROR(MATCH(A3950&amp;"|"&amp;B3950&amp;"|"&amp;D3950,'All Song Rankings'!$T:$T,0),0)</f>
        <v>605</v>
      </c>
      <c r="G3950" s="6" t="str">
        <f aca="false">IF(F3950=0,"NOT FOUND",INDEX('All Song Rankings'!$A:$A,F3950))</f>
        <v>Beauty And A Beat</v>
      </c>
      <c r="H3950" s="6" t="str">
        <f aca="false">IF(F3950=0,"NOT FOUND",INDEX('All Song Rankings'!$B:$B,F3950))</f>
        <v>Justin Bieber, Nicki Minaj</v>
      </c>
      <c r="I3950" s="6" t="str">
        <f aca="false">IF(F3950=0,"NOT FOUND",INDEX('All Song Rankings'!$D:$D,F3950))</f>
        <v>Josh</v>
      </c>
      <c r="J3950" s="7" t="str">
        <f aca="false">IF(F3950=0,"NOT FOUND",IF(C3950=I3950,"SELF-VOTE",IF(COUNTIF($K:$K,K3950)&gt;1,"DUPLICATE","OK")))</f>
        <v>OK</v>
      </c>
      <c r="K3950" s="6" t="str">
        <f aca="false">A3950&amp;"|"&amp;B3950&amp;"|"&amp;C3950&amp;"|"&amp;D3950</f>
        <v>6|4|Kristen|spotify:track:190jyVPHYjAqEaOGmMzdyk</v>
      </c>
    </row>
    <row r="3951" customFormat="false" ht="15" hidden="false" customHeight="false" outlineLevel="0" collapsed="false">
      <c r="A3951" s="5" t="n">
        <v>6</v>
      </c>
      <c r="B3951" s="5" t="n">
        <v>4</v>
      </c>
      <c r="C3951" s="5" t="s">
        <v>106</v>
      </c>
      <c r="D3951" s="5" t="s">
        <v>1432</v>
      </c>
      <c r="E3951" s="5" t="n">
        <v>2</v>
      </c>
      <c r="F3951" s="6" t="n">
        <f aca="false">IFERROR(MATCH(A3951&amp;"|"&amp;B3951&amp;"|"&amp;D3951,'All Song Rankings'!$T:$T,0),0)</f>
        <v>608</v>
      </c>
      <c r="G3951" s="6" t="str">
        <f aca="false">IF(F3951=0,"NOT FOUND",INDEX('All Song Rankings'!$A:$A,F3951))</f>
        <v>Raspberry Beret</v>
      </c>
      <c r="H3951" s="6" t="str">
        <f aca="false">IF(F3951=0,"NOT FOUND",INDEX('All Song Rankings'!$B:$B,F3951))</f>
        <v>Prince</v>
      </c>
      <c r="I3951" s="6" t="str">
        <f aca="false">IF(F3951=0,"NOT FOUND",INDEX('All Song Rankings'!$D:$D,F3951))</f>
        <v>Lisa</v>
      </c>
      <c r="J3951" s="7" t="str">
        <f aca="false">IF(F3951=0,"NOT FOUND",IF(C3951=I3951,"SELF-VOTE",IF(COUNTIF($K:$K,K3951)&gt;1,"DUPLICATE","OK")))</f>
        <v>OK</v>
      </c>
      <c r="K3951" s="6" t="str">
        <f aca="false">A3951&amp;"|"&amp;B3951&amp;"|"&amp;C3951&amp;"|"&amp;D3951</f>
        <v>6|4|Kristen|spotify:track:2I1W3hcSsPIsEJfD69pHrW</v>
      </c>
    </row>
    <row r="3952" customFormat="false" ht="15" hidden="false" customHeight="false" outlineLevel="0" collapsed="false">
      <c r="A3952" s="5" t="n">
        <v>6</v>
      </c>
      <c r="B3952" s="5" t="n">
        <v>4</v>
      </c>
      <c r="C3952" s="5" t="s">
        <v>106</v>
      </c>
      <c r="D3952" s="5" t="s">
        <v>1847</v>
      </c>
      <c r="E3952" s="5" t="n">
        <v>1</v>
      </c>
      <c r="F3952" s="6" t="n">
        <f aca="false">IFERROR(MATCH(A3952&amp;"|"&amp;B3952&amp;"|"&amp;D3952,'All Song Rankings'!$T:$T,0),0)</f>
        <v>606</v>
      </c>
      <c r="G3952" s="6" t="str">
        <f aca="false">IF(F3952=0,"NOT FOUND",INDEX('All Song Rankings'!$A:$A,F3952))</f>
        <v>Nails, Hair, Hips, Heels (Remix)</v>
      </c>
      <c r="H3952" s="6" t="str">
        <f aca="false">IF(F3952=0,"NOT FOUND",INDEX('All Song Rankings'!$B:$B,F3952))</f>
        <v>Todrick Hall</v>
      </c>
      <c r="I3952" s="6" t="str">
        <f aca="false">IF(F3952=0,"NOT FOUND",INDEX('All Song Rankings'!$D:$D,F3952))</f>
        <v>Logan</v>
      </c>
      <c r="J3952" s="7" t="str">
        <f aca="false">IF(F3952=0,"NOT FOUND",IF(C3952=I3952,"SELF-VOTE",IF(COUNTIF($K:$K,K3952)&gt;1,"DUPLICATE","OK")))</f>
        <v>OK</v>
      </c>
      <c r="K3952" s="6" t="str">
        <f aca="false">A3952&amp;"|"&amp;B3952&amp;"|"&amp;C3952&amp;"|"&amp;D3952</f>
        <v>6|4|Kristen|spotify:track:5PeaqO7m6S1TC3hwbmk9j5</v>
      </c>
    </row>
    <row r="3953" customFormat="false" ht="15" hidden="false" customHeight="false" outlineLevel="0" collapsed="false">
      <c r="A3953" s="5" t="n">
        <v>6</v>
      </c>
      <c r="B3953" s="5" t="n">
        <v>4</v>
      </c>
      <c r="C3953" s="5" t="s">
        <v>106</v>
      </c>
      <c r="D3953" s="5" t="s">
        <v>1823</v>
      </c>
      <c r="E3953" s="5" t="n">
        <v>1</v>
      </c>
      <c r="F3953" s="6" t="n">
        <f aca="false">IFERROR(MATCH(A3953&amp;"|"&amp;B3953&amp;"|"&amp;D3953,'All Song Rankings'!$T:$T,0),0)</f>
        <v>597</v>
      </c>
      <c r="G3953" s="6" t="str">
        <f aca="false">IF(F3953=0,"NOT FOUND",INDEX('All Song Rankings'!$A:$A,F3953))</f>
        <v>Gasolina</v>
      </c>
      <c r="H3953" s="6" t="str">
        <f aca="false">IF(F3953=0,"NOT FOUND",INDEX('All Song Rankings'!$B:$B,F3953))</f>
        <v>Daddy Yankee</v>
      </c>
      <c r="I3953" s="6" t="str">
        <f aca="false">IF(F3953=0,"NOT FOUND",INDEX('All Song Rankings'!$D:$D,F3953))</f>
        <v>Makenzie</v>
      </c>
      <c r="J3953" s="7" t="str">
        <f aca="false">IF(F3953=0,"NOT FOUND",IF(C3953=I3953,"SELF-VOTE",IF(COUNTIF($K:$K,K3953)&gt;1,"DUPLICATE","OK")))</f>
        <v>OK</v>
      </c>
      <c r="K3953" s="6" t="str">
        <f aca="false">A3953&amp;"|"&amp;B3953&amp;"|"&amp;C3953&amp;"|"&amp;D3953</f>
        <v>6|4|Kristen|spotify:track:5YoITs1m0q8UOQ4AW7N5ga</v>
      </c>
    </row>
    <row r="3954" customFormat="false" ht="15" hidden="false" customHeight="false" outlineLevel="0" collapsed="false">
      <c r="A3954" s="5" t="n">
        <v>6</v>
      </c>
      <c r="B3954" s="5" t="n">
        <v>4</v>
      </c>
      <c r="C3954" s="5" t="s">
        <v>106</v>
      </c>
      <c r="D3954" s="5" t="s">
        <v>1840</v>
      </c>
      <c r="E3954" s="5" t="n">
        <v>1</v>
      </c>
      <c r="F3954" s="6" t="n">
        <f aca="false">IFERROR(MATCH(A3954&amp;"|"&amp;B3954&amp;"|"&amp;D3954,'All Song Rankings'!$T:$T,0),0)</f>
        <v>604</v>
      </c>
      <c r="G3954" s="6" t="str">
        <f aca="false">IF(F3954=0,"NOT FOUND",INDEX('All Song Rankings'!$A:$A,F3954))</f>
        <v>Wobble</v>
      </c>
      <c r="H3954" s="6" t="str">
        <f aca="false">IF(F3954=0,"NOT FOUND",INDEX('All Song Rankings'!$B:$B,F3954))</f>
        <v>V.I.C.</v>
      </c>
      <c r="I3954" s="6" t="str">
        <f aca="false">IF(F3954=0,"NOT FOUND",INDEX('All Song Rankings'!$D:$D,F3954))</f>
        <v>Leah</v>
      </c>
      <c r="J3954" s="7" t="str">
        <f aca="false">IF(F3954=0,"NOT FOUND",IF(C3954=I3954,"SELF-VOTE",IF(COUNTIF($K:$K,K3954)&gt;1,"DUPLICATE","OK")))</f>
        <v>OK</v>
      </c>
      <c r="K3954" s="6" t="str">
        <f aca="false">A3954&amp;"|"&amp;B3954&amp;"|"&amp;C3954&amp;"|"&amp;D3954</f>
        <v>6|4|Kristen|spotify:track:6JLcz9UGiVxAmEZXlCucn5</v>
      </c>
    </row>
    <row r="3955" customFormat="false" ht="15" hidden="false" customHeight="false" outlineLevel="0" collapsed="false">
      <c r="A3955" s="5" t="n">
        <v>6</v>
      </c>
      <c r="B3955" s="5" t="n">
        <v>4</v>
      </c>
      <c r="C3955" s="5" t="s">
        <v>106</v>
      </c>
      <c r="D3955" s="5" t="s">
        <v>1837</v>
      </c>
      <c r="E3955" s="5" t="n">
        <v>1</v>
      </c>
      <c r="F3955" s="6" t="n">
        <f aca="false">IFERROR(MATCH(A3955&amp;"|"&amp;B3955&amp;"|"&amp;D3955,'All Song Rankings'!$T:$T,0),0)</f>
        <v>603</v>
      </c>
      <c r="G3955" s="6" t="str">
        <f aca="false">IF(F3955=0,"NOT FOUND",INDEX('All Song Rankings'!$A:$A,F3955))</f>
        <v>I Just Might</v>
      </c>
      <c r="H3955" s="6" t="str">
        <f aca="false">IF(F3955=0,"NOT FOUND",INDEX('All Song Rankings'!$B:$B,F3955))</f>
        <v>Bruno Mars</v>
      </c>
      <c r="I3955" s="6" t="str">
        <f aca="false">IF(F3955=0,"NOT FOUND",INDEX('All Song Rankings'!$D:$D,F3955))</f>
        <v>Stephanie</v>
      </c>
      <c r="J3955" s="7" t="str">
        <f aca="false">IF(F3955=0,"NOT FOUND",IF(C3955=I3955,"SELF-VOTE",IF(COUNTIF($K:$K,K3955)&gt;1,"DUPLICATE","OK")))</f>
        <v>OK</v>
      </c>
      <c r="K3955" s="6" t="str">
        <f aca="false">A3955&amp;"|"&amp;B3955&amp;"|"&amp;C3955&amp;"|"&amp;D3955</f>
        <v>6|4|Kristen|spotify:track:6f68Ac5tt5BQOpwr0BV9oN</v>
      </c>
    </row>
    <row r="3956" customFormat="false" ht="15" hidden="false" customHeight="false" outlineLevel="0" collapsed="false">
      <c r="A3956" s="5" t="n">
        <v>6</v>
      </c>
      <c r="B3956" s="5" t="n">
        <v>4</v>
      </c>
      <c r="C3956" s="5" t="s">
        <v>119</v>
      </c>
      <c r="D3956" s="5" t="s">
        <v>1818</v>
      </c>
      <c r="E3956" s="5" t="n">
        <v>2</v>
      </c>
      <c r="F3956" s="6" t="n">
        <f aca="false">IFERROR(MATCH(A3956&amp;"|"&amp;B3956&amp;"|"&amp;D3956,'All Song Rankings'!$T:$T,0),0)</f>
        <v>595</v>
      </c>
      <c r="G3956" s="6" t="str">
        <f aca="false">IF(F3956=0,"NOT FOUND",INDEX('All Song Rankings'!$A:$A,F3956))</f>
        <v>Low (feat. T-Pain)</v>
      </c>
      <c r="H3956" s="6" t="str">
        <f aca="false">IF(F3956=0,"NOT FOUND",INDEX('All Song Rankings'!$B:$B,F3956))</f>
        <v>Flo Rida</v>
      </c>
      <c r="I3956" s="6" t="str">
        <f aca="false">IF(F3956=0,"NOT FOUND",INDEX('All Song Rankings'!$D:$D,F3956))</f>
        <v>Matt</v>
      </c>
      <c r="J3956" s="7" t="str">
        <f aca="false">IF(F3956=0,"NOT FOUND",IF(C3956=I3956,"SELF-VOTE",IF(COUNTIF($K:$K,K3956)&gt;1,"DUPLICATE","OK")))</f>
        <v>OK</v>
      </c>
      <c r="K3956" s="6" t="str">
        <f aca="false">A3956&amp;"|"&amp;B3956&amp;"|"&amp;C3956&amp;"|"&amp;D3956</f>
        <v>6|4|Leah|spotify:track:0CAfXk7DXMnon4gLudAp7J</v>
      </c>
    </row>
    <row r="3957" customFormat="false" ht="15" hidden="false" customHeight="false" outlineLevel="0" collapsed="false">
      <c r="A3957" s="5" t="n">
        <v>6</v>
      </c>
      <c r="B3957" s="5" t="n">
        <v>4</v>
      </c>
      <c r="C3957" s="5" t="s">
        <v>119</v>
      </c>
      <c r="D3957" s="5" t="s">
        <v>1820</v>
      </c>
      <c r="E3957" s="5" t="n">
        <v>1</v>
      </c>
      <c r="F3957" s="6" t="n">
        <f aca="false">IFERROR(MATCH(A3957&amp;"|"&amp;B3957&amp;"|"&amp;D3957,'All Song Rankings'!$T:$T,0),0)</f>
        <v>596</v>
      </c>
      <c r="G3957" s="6" t="str">
        <f aca="false">IF(F3957=0,"NOT FOUND",INDEX('All Song Rankings'!$A:$A,F3957))</f>
        <v>Dance The Night - From Barbie The Album</v>
      </c>
      <c r="H3957" s="6" t="str">
        <f aca="false">IF(F3957=0,"NOT FOUND",INDEX('All Song Rankings'!$B:$B,F3957))</f>
        <v>Dua Lipa</v>
      </c>
      <c r="I3957" s="6" t="str">
        <f aca="false">IF(F3957=0,"NOT FOUND",INDEX('All Song Rankings'!$D:$D,F3957))</f>
        <v>Grace</v>
      </c>
      <c r="J3957" s="7" t="str">
        <f aca="false">IF(F3957=0,"NOT FOUND",IF(C3957=I3957,"SELF-VOTE",IF(COUNTIF($K:$K,K3957)&gt;1,"DUPLICATE","OK")))</f>
        <v>OK</v>
      </c>
      <c r="K3957" s="6" t="str">
        <f aca="false">A3957&amp;"|"&amp;B3957&amp;"|"&amp;C3957&amp;"|"&amp;D3957</f>
        <v>6|4|Leah|spotify:track:1vYXt7VSjH9JIM5oRRo7vA</v>
      </c>
    </row>
    <row r="3958" customFormat="false" ht="15" hidden="false" customHeight="false" outlineLevel="0" collapsed="false">
      <c r="A3958" s="5" t="n">
        <v>6</v>
      </c>
      <c r="B3958" s="5" t="n">
        <v>4</v>
      </c>
      <c r="C3958" s="5" t="s">
        <v>119</v>
      </c>
      <c r="D3958" s="5" t="s">
        <v>376</v>
      </c>
      <c r="E3958" s="5" t="n">
        <v>2</v>
      </c>
      <c r="F3958" s="6" t="n">
        <f aca="false">IFERROR(MATCH(A3958&amp;"|"&amp;B3958&amp;"|"&amp;D3958,'All Song Rankings'!$T:$T,0),0)</f>
        <v>602</v>
      </c>
      <c r="G3958" s="6" t="str">
        <f aca="false">IF(F3958=0,"NOT FOUND",INDEX('All Song Rankings'!$A:$A,F3958))</f>
        <v>On The Floor</v>
      </c>
      <c r="H3958" s="6" t="str">
        <f aca="false">IF(F3958=0,"NOT FOUND",INDEX('All Song Rankings'!$B:$B,F3958))</f>
        <v>Jennifer Lopez</v>
      </c>
      <c r="I3958" s="6" t="str">
        <f aca="false">IF(F3958=0,"NOT FOUND",INDEX('All Song Rankings'!$D:$D,F3958))</f>
        <v>Merita</v>
      </c>
      <c r="J3958" s="7" t="str">
        <f aca="false">IF(F3958=0,"NOT FOUND",IF(C3958=I3958,"SELF-VOTE",IF(COUNTIF($K:$K,K3958)&gt;1,"DUPLICATE","OK")))</f>
        <v>OK</v>
      </c>
      <c r="K3958" s="6" t="str">
        <f aca="false">A3958&amp;"|"&amp;B3958&amp;"|"&amp;C3958&amp;"|"&amp;D3958</f>
        <v>6|4|Leah|spotify:track:20zQZVyUNPbq8kZACdgYrh</v>
      </c>
    </row>
    <row r="3959" customFormat="false" ht="15" hidden="false" customHeight="false" outlineLevel="0" collapsed="false">
      <c r="A3959" s="5" t="n">
        <v>6</v>
      </c>
      <c r="B3959" s="5" t="n">
        <v>4</v>
      </c>
      <c r="C3959" s="5" t="s">
        <v>119</v>
      </c>
      <c r="D3959" s="5" t="s">
        <v>1850</v>
      </c>
      <c r="E3959" s="5" t="n">
        <v>1</v>
      </c>
      <c r="F3959" s="6" t="n">
        <f aca="false">IFERROR(MATCH(A3959&amp;"|"&amp;B3959&amp;"|"&amp;D3959,'All Song Rankings'!$T:$T,0),0)</f>
        <v>607</v>
      </c>
      <c r="G3959" s="6" t="str">
        <f aca="false">IF(F3959=0,"NOT FOUND",INDEX('All Song Rankings'!$A:$A,F3959))</f>
        <v>Party Your Body</v>
      </c>
      <c r="H3959" s="6" t="str">
        <f aca="false">IF(F3959=0,"NOT FOUND",INDEX('All Song Rankings'!$B:$B,F3959))</f>
        <v>Stevie B</v>
      </c>
      <c r="I3959" s="6" t="str">
        <f aca="false">IF(F3959=0,"NOT FOUND",INDEX('All Song Rankings'!$D:$D,F3959))</f>
        <v>Christine</v>
      </c>
      <c r="J3959" s="7" t="str">
        <f aca="false">IF(F3959=0,"NOT FOUND",IF(C3959=I3959,"SELF-VOTE",IF(COUNTIF($K:$K,K3959)&gt;1,"DUPLICATE","OK")))</f>
        <v>OK</v>
      </c>
      <c r="K3959" s="6" t="str">
        <f aca="false">A3959&amp;"|"&amp;B3959&amp;"|"&amp;C3959&amp;"|"&amp;D3959</f>
        <v>6|4|Leah|spotify:track:2rZMR4TBSUIpFCCnKsl7uO</v>
      </c>
    </row>
    <row r="3960" customFormat="false" ht="15" hidden="false" customHeight="false" outlineLevel="0" collapsed="false">
      <c r="A3960" s="5" t="n">
        <v>6</v>
      </c>
      <c r="B3960" s="5" t="n">
        <v>4</v>
      </c>
      <c r="C3960" s="5" t="s">
        <v>119</v>
      </c>
      <c r="D3960" s="5" t="s">
        <v>1826</v>
      </c>
      <c r="E3960" s="5" t="n">
        <v>1</v>
      </c>
      <c r="F3960" s="6" t="n">
        <f aca="false">IFERROR(MATCH(A3960&amp;"|"&amp;B3960&amp;"|"&amp;D3960,'All Song Rankings'!$T:$T,0),0)</f>
        <v>598</v>
      </c>
      <c r="G3960" s="6" t="str">
        <f aca="false">IF(F3960=0,"NOT FOUND",INDEX('All Song Rankings'!$A:$A,F3960))</f>
        <v>Came Here for Love</v>
      </c>
      <c r="H3960" s="6" t="str">
        <f aca="false">IF(F3960=0,"NOT FOUND",INDEX('All Song Rankings'!$B:$B,F3960))</f>
        <v>Sigala</v>
      </c>
      <c r="I3960" s="6" t="str">
        <f aca="false">IF(F3960=0,"NOT FOUND",INDEX('All Song Rankings'!$D:$D,F3960))</f>
        <v>Kelsey</v>
      </c>
      <c r="J3960" s="7" t="str">
        <f aca="false">IF(F3960=0,"NOT FOUND",IF(C3960=I3960,"SELF-VOTE",IF(COUNTIF($K:$K,K3960)&gt;1,"DUPLICATE","OK")))</f>
        <v>OK</v>
      </c>
      <c r="K3960" s="6" t="str">
        <f aca="false">A3960&amp;"|"&amp;B3960&amp;"|"&amp;C3960&amp;"|"&amp;D3960</f>
        <v>6|4|Leah|spotify:track:3kGfazcbVvVkuZunzlLgTD</v>
      </c>
    </row>
    <row r="3961" customFormat="false" ht="15" hidden="false" customHeight="false" outlineLevel="0" collapsed="false">
      <c r="A3961" s="5" t="n">
        <v>6</v>
      </c>
      <c r="B3961" s="5" t="n">
        <v>4</v>
      </c>
      <c r="C3961" s="5" t="s">
        <v>119</v>
      </c>
      <c r="D3961" s="5" t="s">
        <v>1831</v>
      </c>
      <c r="E3961" s="5" t="n">
        <v>1</v>
      </c>
      <c r="F3961" s="6" t="n">
        <f aca="false">IFERROR(MATCH(A3961&amp;"|"&amp;B3961&amp;"|"&amp;D3961,'All Song Rankings'!$T:$T,0),0)</f>
        <v>600</v>
      </c>
      <c r="G3961" s="6" t="str">
        <f aca="false">IF(F3961=0,"NOT FOUND",INDEX('All Song Rankings'!$A:$A,F3961))</f>
        <v>Fireball (feat. John Ryan)</v>
      </c>
      <c r="H3961" s="6" t="str">
        <f aca="false">IF(F3961=0,"NOT FOUND",INDEX('All Song Rankings'!$B:$B,F3961))</f>
        <v>Pitbull</v>
      </c>
      <c r="I3961" s="6" t="str">
        <f aca="false">IF(F3961=0,"NOT FOUND",INDEX('All Song Rankings'!$D:$D,F3961))</f>
        <v>Kristen</v>
      </c>
      <c r="J3961" s="7" t="str">
        <f aca="false">IF(F3961=0,"NOT FOUND",IF(C3961=I3961,"SELF-VOTE",IF(COUNTIF($K:$K,K3961)&gt;1,"DUPLICATE","OK")))</f>
        <v>OK</v>
      </c>
      <c r="K3961" s="6" t="str">
        <f aca="false">A3961&amp;"|"&amp;B3961&amp;"|"&amp;C3961&amp;"|"&amp;D3961</f>
        <v>6|4|Leah|spotify:track:4Y7XAxTANhu3lmnLAzhWJW</v>
      </c>
    </row>
    <row r="3962" customFormat="false" ht="15" hidden="false" customHeight="false" outlineLevel="0" collapsed="false">
      <c r="A3962" s="5" t="n">
        <v>6</v>
      </c>
      <c r="B3962" s="5" t="n">
        <v>4</v>
      </c>
      <c r="C3962" s="5" t="s">
        <v>119</v>
      </c>
      <c r="D3962" s="5" t="s">
        <v>1823</v>
      </c>
      <c r="E3962" s="5" t="n">
        <v>1</v>
      </c>
      <c r="F3962" s="6" t="n">
        <f aca="false">IFERROR(MATCH(A3962&amp;"|"&amp;B3962&amp;"|"&amp;D3962,'All Song Rankings'!$T:$T,0),0)</f>
        <v>597</v>
      </c>
      <c r="G3962" s="6" t="str">
        <f aca="false">IF(F3962=0,"NOT FOUND",INDEX('All Song Rankings'!$A:$A,F3962))</f>
        <v>Gasolina</v>
      </c>
      <c r="H3962" s="6" t="str">
        <f aca="false">IF(F3962=0,"NOT FOUND",INDEX('All Song Rankings'!$B:$B,F3962))</f>
        <v>Daddy Yankee</v>
      </c>
      <c r="I3962" s="6" t="str">
        <f aca="false">IF(F3962=0,"NOT FOUND",INDEX('All Song Rankings'!$D:$D,F3962))</f>
        <v>Makenzie</v>
      </c>
      <c r="J3962" s="7" t="str">
        <f aca="false">IF(F3962=0,"NOT FOUND",IF(C3962=I3962,"SELF-VOTE",IF(COUNTIF($K:$K,K3962)&gt;1,"DUPLICATE","OK")))</f>
        <v>OK</v>
      </c>
      <c r="K3962" s="6" t="str">
        <f aca="false">A3962&amp;"|"&amp;B3962&amp;"|"&amp;C3962&amp;"|"&amp;D3962</f>
        <v>6|4|Leah|spotify:track:5YoITs1m0q8UOQ4AW7N5ga</v>
      </c>
    </row>
    <row r="3963" customFormat="false" ht="15" hidden="false" customHeight="false" outlineLevel="0" collapsed="false">
      <c r="A3963" s="5" t="n">
        <v>6</v>
      </c>
      <c r="B3963" s="5" t="n">
        <v>4</v>
      </c>
      <c r="C3963" s="5" t="s">
        <v>119</v>
      </c>
      <c r="D3963" s="5" t="s">
        <v>1834</v>
      </c>
      <c r="E3963" s="5" t="n">
        <v>1</v>
      </c>
      <c r="F3963" s="6" t="n">
        <f aca="false">IFERROR(MATCH(A3963&amp;"|"&amp;B3963&amp;"|"&amp;D3963,'All Song Rankings'!$T:$T,0),0)</f>
        <v>601</v>
      </c>
      <c r="G3963" s="6" t="str">
        <f aca="false">IF(F3963=0,"NOT FOUND",INDEX('All Song Rankings'!$A:$A,F3963))</f>
        <v>Sunroof</v>
      </c>
      <c r="H3963" s="6" t="str">
        <f aca="false">IF(F3963=0,"NOT FOUND",INDEX('All Song Rankings'!$B:$B,F3963))</f>
        <v>Nicky Youre</v>
      </c>
      <c r="I3963" s="6" t="str">
        <f aca="false">IF(F3963=0,"NOT FOUND",INDEX('All Song Rankings'!$D:$D,F3963))</f>
        <v>Nicole</v>
      </c>
      <c r="J3963" s="7" t="str">
        <f aca="false">IF(F3963=0,"NOT FOUND",IF(C3963=I3963,"SELF-VOTE",IF(COUNTIF($K:$K,K3963)&gt;1,"DUPLICATE","OK")))</f>
        <v>OK</v>
      </c>
      <c r="K3963" s="6" t="str">
        <f aca="false">A3963&amp;"|"&amp;B3963&amp;"|"&amp;C3963&amp;"|"&amp;D3963</f>
        <v>6|4|Leah|spotify:track:5YqEzk3C5c3UZ1D5fJUlXA</v>
      </c>
    </row>
    <row r="3964" customFormat="false" ht="15" hidden="false" customHeight="false" outlineLevel="0" collapsed="false">
      <c r="A3964" s="5" t="n">
        <v>6</v>
      </c>
      <c r="B3964" s="5" t="n">
        <v>4</v>
      </c>
      <c r="C3964" s="5" t="s">
        <v>705</v>
      </c>
      <c r="D3964" s="5" t="s">
        <v>1818</v>
      </c>
      <c r="E3964" s="5" t="n">
        <v>1</v>
      </c>
      <c r="F3964" s="6" t="n">
        <f aca="false">IFERROR(MATCH(A3964&amp;"|"&amp;B3964&amp;"|"&amp;D3964,'All Song Rankings'!$T:$T,0),0)</f>
        <v>595</v>
      </c>
      <c r="G3964" s="6" t="str">
        <f aca="false">IF(F3964=0,"NOT FOUND",INDEX('All Song Rankings'!$A:$A,F3964))</f>
        <v>Low (feat. T-Pain)</v>
      </c>
      <c r="H3964" s="6" t="str">
        <f aca="false">IF(F3964=0,"NOT FOUND",INDEX('All Song Rankings'!$B:$B,F3964))</f>
        <v>Flo Rida</v>
      </c>
      <c r="I3964" s="6" t="str">
        <f aca="false">IF(F3964=0,"NOT FOUND",INDEX('All Song Rankings'!$D:$D,F3964))</f>
        <v>Matt</v>
      </c>
      <c r="J3964" s="7" t="str">
        <f aca="false">IF(F3964=0,"NOT FOUND",IF(C3964=I3964,"SELF-VOTE",IF(COUNTIF($K:$K,K3964)&gt;1,"DUPLICATE","OK")))</f>
        <v>OK</v>
      </c>
      <c r="K3964" s="6" t="str">
        <f aca="false">A3964&amp;"|"&amp;B3964&amp;"|"&amp;C3964&amp;"|"&amp;D3964</f>
        <v>6|4|Lisa|spotify:track:0CAfXk7DXMnon4gLudAp7J</v>
      </c>
    </row>
    <row r="3965" customFormat="false" ht="15" hidden="false" customHeight="false" outlineLevel="0" collapsed="false">
      <c r="A3965" s="5" t="n">
        <v>6</v>
      </c>
      <c r="B3965" s="5" t="n">
        <v>4</v>
      </c>
      <c r="C3965" s="5" t="s">
        <v>705</v>
      </c>
      <c r="D3965" s="5" t="s">
        <v>1850</v>
      </c>
      <c r="E3965" s="5" t="n">
        <v>1</v>
      </c>
      <c r="F3965" s="6" t="n">
        <f aca="false">IFERROR(MATCH(A3965&amp;"|"&amp;B3965&amp;"|"&amp;D3965,'All Song Rankings'!$T:$T,0),0)</f>
        <v>607</v>
      </c>
      <c r="G3965" s="6" t="str">
        <f aca="false">IF(F3965=0,"NOT FOUND",INDEX('All Song Rankings'!$A:$A,F3965))</f>
        <v>Party Your Body</v>
      </c>
      <c r="H3965" s="6" t="str">
        <f aca="false">IF(F3965=0,"NOT FOUND",INDEX('All Song Rankings'!$B:$B,F3965))</f>
        <v>Stevie B</v>
      </c>
      <c r="I3965" s="6" t="str">
        <f aca="false">IF(F3965=0,"NOT FOUND",INDEX('All Song Rankings'!$D:$D,F3965))</f>
        <v>Christine</v>
      </c>
      <c r="J3965" s="7" t="str">
        <f aca="false">IF(F3965=0,"NOT FOUND",IF(C3965=I3965,"SELF-VOTE",IF(COUNTIF($K:$K,K3965)&gt;1,"DUPLICATE","OK")))</f>
        <v>OK</v>
      </c>
      <c r="K3965" s="6" t="str">
        <f aca="false">A3965&amp;"|"&amp;B3965&amp;"|"&amp;C3965&amp;"|"&amp;D3965</f>
        <v>6|4|Lisa|spotify:track:2rZMR4TBSUIpFCCnKsl7uO</v>
      </c>
    </row>
    <row r="3966" customFormat="false" ht="15" hidden="false" customHeight="false" outlineLevel="0" collapsed="false">
      <c r="A3966" s="5" t="n">
        <v>6</v>
      </c>
      <c r="B3966" s="5" t="n">
        <v>4</v>
      </c>
      <c r="C3966" s="5" t="s">
        <v>705</v>
      </c>
      <c r="D3966" s="5" t="s">
        <v>1826</v>
      </c>
      <c r="E3966" s="5" t="n">
        <v>1</v>
      </c>
      <c r="F3966" s="6" t="n">
        <f aca="false">IFERROR(MATCH(A3966&amp;"|"&amp;B3966&amp;"|"&amp;D3966,'All Song Rankings'!$T:$T,0),0)</f>
        <v>598</v>
      </c>
      <c r="G3966" s="6" t="str">
        <f aca="false">IF(F3966=0,"NOT FOUND",INDEX('All Song Rankings'!$A:$A,F3966))</f>
        <v>Came Here for Love</v>
      </c>
      <c r="H3966" s="6" t="str">
        <f aca="false">IF(F3966=0,"NOT FOUND",INDEX('All Song Rankings'!$B:$B,F3966))</f>
        <v>Sigala</v>
      </c>
      <c r="I3966" s="6" t="str">
        <f aca="false">IF(F3966=0,"NOT FOUND",INDEX('All Song Rankings'!$D:$D,F3966))</f>
        <v>Kelsey</v>
      </c>
      <c r="J3966" s="7" t="str">
        <f aca="false">IF(F3966=0,"NOT FOUND",IF(C3966=I3966,"SELF-VOTE",IF(COUNTIF($K:$K,K3966)&gt;1,"DUPLICATE","OK")))</f>
        <v>OK</v>
      </c>
      <c r="K3966" s="6" t="str">
        <f aca="false">A3966&amp;"|"&amp;B3966&amp;"|"&amp;C3966&amp;"|"&amp;D3966</f>
        <v>6|4|Lisa|spotify:track:3kGfazcbVvVkuZunzlLgTD</v>
      </c>
    </row>
    <row r="3967" customFormat="false" ht="15" hidden="false" customHeight="false" outlineLevel="0" collapsed="false">
      <c r="A3967" s="5" t="n">
        <v>6</v>
      </c>
      <c r="B3967" s="5" t="n">
        <v>4</v>
      </c>
      <c r="C3967" s="5" t="s">
        <v>705</v>
      </c>
      <c r="D3967" s="5" t="s">
        <v>1834</v>
      </c>
      <c r="E3967" s="5" t="n">
        <v>2</v>
      </c>
      <c r="F3967" s="6" t="n">
        <f aca="false">IFERROR(MATCH(A3967&amp;"|"&amp;B3967&amp;"|"&amp;D3967,'All Song Rankings'!$T:$T,0),0)</f>
        <v>601</v>
      </c>
      <c r="G3967" s="6" t="str">
        <f aca="false">IF(F3967=0,"NOT FOUND",INDEX('All Song Rankings'!$A:$A,F3967))</f>
        <v>Sunroof</v>
      </c>
      <c r="H3967" s="6" t="str">
        <f aca="false">IF(F3967=0,"NOT FOUND",INDEX('All Song Rankings'!$B:$B,F3967))</f>
        <v>Nicky Youre</v>
      </c>
      <c r="I3967" s="6" t="str">
        <f aca="false">IF(F3967=0,"NOT FOUND",INDEX('All Song Rankings'!$D:$D,F3967))</f>
        <v>Nicole</v>
      </c>
      <c r="J3967" s="7" t="str">
        <f aca="false">IF(F3967=0,"NOT FOUND",IF(C3967=I3967,"SELF-VOTE",IF(COUNTIF($K:$K,K3967)&gt;1,"DUPLICATE","OK")))</f>
        <v>OK</v>
      </c>
      <c r="K3967" s="6" t="str">
        <f aca="false">A3967&amp;"|"&amp;B3967&amp;"|"&amp;C3967&amp;"|"&amp;D3967</f>
        <v>6|4|Lisa|spotify:track:5YqEzk3C5c3UZ1D5fJUlXA</v>
      </c>
    </row>
    <row r="3968" customFormat="false" ht="15" hidden="false" customHeight="false" outlineLevel="0" collapsed="false">
      <c r="A3968" s="5" t="n">
        <v>6</v>
      </c>
      <c r="B3968" s="5" t="n">
        <v>4</v>
      </c>
      <c r="C3968" s="5" t="s">
        <v>705</v>
      </c>
      <c r="D3968" s="5" t="s">
        <v>1840</v>
      </c>
      <c r="E3968" s="5" t="n">
        <v>3</v>
      </c>
      <c r="F3968" s="6" t="n">
        <f aca="false">IFERROR(MATCH(A3968&amp;"|"&amp;B3968&amp;"|"&amp;D3968,'All Song Rankings'!$T:$T,0),0)</f>
        <v>604</v>
      </c>
      <c r="G3968" s="6" t="str">
        <f aca="false">IF(F3968=0,"NOT FOUND",INDEX('All Song Rankings'!$A:$A,F3968))</f>
        <v>Wobble</v>
      </c>
      <c r="H3968" s="6" t="str">
        <f aca="false">IF(F3968=0,"NOT FOUND",INDEX('All Song Rankings'!$B:$B,F3968))</f>
        <v>V.I.C.</v>
      </c>
      <c r="I3968" s="6" t="str">
        <f aca="false">IF(F3968=0,"NOT FOUND",INDEX('All Song Rankings'!$D:$D,F3968))</f>
        <v>Leah</v>
      </c>
      <c r="J3968" s="7" t="str">
        <f aca="false">IF(F3968=0,"NOT FOUND",IF(C3968=I3968,"SELF-VOTE",IF(COUNTIF($K:$K,K3968)&gt;1,"DUPLICATE","OK")))</f>
        <v>OK</v>
      </c>
      <c r="K3968" s="6" t="str">
        <f aca="false">A3968&amp;"|"&amp;B3968&amp;"|"&amp;C3968&amp;"|"&amp;D3968</f>
        <v>6|4|Lisa|spotify:track:6JLcz9UGiVxAmEZXlCucn5</v>
      </c>
    </row>
    <row r="3969" customFormat="false" ht="15" hidden="false" customHeight="false" outlineLevel="0" collapsed="false">
      <c r="A3969" s="5" t="n">
        <v>6</v>
      </c>
      <c r="B3969" s="5" t="n">
        <v>4</v>
      </c>
      <c r="C3969" s="5" t="s">
        <v>705</v>
      </c>
      <c r="D3969" s="5" t="s">
        <v>1837</v>
      </c>
      <c r="E3969" s="5" t="n">
        <v>2</v>
      </c>
      <c r="F3969" s="6" t="n">
        <f aca="false">IFERROR(MATCH(A3969&amp;"|"&amp;B3969&amp;"|"&amp;D3969,'All Song Rankings'!$T:$T,0),0)</f>
        <v>603</v>
      </c>
      <c r="G3969" s="6" t="str">
        <f aca="false">IF(F3969=0,"NOT FOUND",INDEX('All Song Rankings'!$A:$A,F3969))</f>
        <v>I Just Might</v>
      </c>
      <c r="H3969" s="6" t="str">
        <f aca="false">IF(F3969=0,"NOT FOUND",INDEX('All Song Rankings'!$B:$B,F3969))</f>
        <v>Bruno Mars</v>
      </c>
      <c r="I3969" s="6" t="str">
        <f aca="false">IF(F3969=0,"NOT FOUND",INDEX('All Song Rankings'!$D:$D,F3969))</f>
        <v>Stephanie</v>
      </c>
      <c r="J3969" s="7" t="str">
        <f aca="false">IF(F3969=0,"NOT FOUND",IF(C3969=I3969,"SELF-VOTE",IF(COUNTIF($K:$K,K3969)&gt;1,"DUPLICATE","OK")))</f>
        <v>OK</v>
      </c>
      <c r="K3969" s="6" t="str">
        <f aca="false">A3969&amp;"|"&amp;B3969&amp;"|"&amp;C3969&amp;"|"&amp;D3969</f>
        <v>6|4|Lisa|spotify:track:6f68Ac5tt5BQOpwr0BV9oN</v>
      </c>
    </row>
    <row r="3970" customFormat="false" ht="15" hidden="false" customHeight="false" outlineLevel="0" collapsed="false">
      <c r="A3970" s="5" t="n">
        <v>6</v>
      </c>
      <c r="B3970" s="5" t="n">
        <v>4</v>
      </c>
      <c r="C3970" s="5" t="s">
        <v>128</v>
      </c>
      <c r="D3970" s="5" t="s">
        <v>1820</v>
      </c>
      <c r="E3970" s="5" t="n">
        <v>2</v>
      </c>
      <c r="F3970" s="6" t="n">
        <f aca="false">IFERROR(MATCH(A3970&amp;"|"&amp;B3970&amp;"|"&amp;D3970,'All Song Rankings'!$T:$T,0),0)</f>
        <v>596</v>
      </c>
      <c r="G3970" s="6" t="str">
        <f aca="false">IF(F3970=0,"NOT FOUND",INDEX('All Song Rankings'!$A:$A,F3970))</f>
        <v>Dance The Night - From Barbie The Album</v>
      </c>
      <c r="H3970" s="6" t="str">
        <f aca="false">IF(F3970=0,"NOT FOUND",INDEX('All Song Rankings'!$B:$B,F3970))</f>
        <v>Dua Lipa</v>
      </c>
      <c r="I3970" s="6" t="str">
        <f aca="false">IF(F3970=0,"NOT FOUND",INDEX('All Song Rankings'!$D:$D,F3970))</f>
        <v>Grace</v>
      </c>
      <c r="J3970" s="7" t="str">
        <f aca="false">IF(F3970=0,"NOT FOUND",IF(C3970=I3970,"SELF-VOTE",IF(COUNTIF($K:$K,K3970)&gt;1,"DUPLICATE","OK")))</f>
        <v>OK</v>
      </c>
      <c r="K3970" s="6" t="str">
        <f aca="false">A3970&amp;"|"&amp;B3970&amp;"|"&amp;C3970&amp;"|"&amp;D3970</f>
        <v>6|4|Logan|spotify:track:1vYXt7VSjH9JIM5oRRo7vA</v>
      </c>
    </row>
    <row r="3971" customFormat="false" ht="15" hidden="false" customHeight="false" outlineLevel="0" collapsed="false">
      <c r="A3971" s="5" t="n">
        <v>6</v>
      </c>
      <c r="B3971" s="5" t="n">
        <v>4</v>
      </c>
      <c r="C3971" s="5" t="s">
        <v>128</v>
      </c>
      <c r="D3971" s="5" t="s">
        <v>1855</v>
      </c>
      <c r="E3971" s="5" t="n">
        <v>2</v>
      </c>
      <c r="F3971" s="6" t="n">
        <f aca="false">IFERROR(MATCH(A3971&amp;"|"&amp;B3971&amp;"|"&amp;D3971,'All Song Rankings'!$T:$T,0),0)</f>
        <v>610</v>
      </c>
      <c r="G3971" s="6" t="str">
        <f aca="false">IF(F3971=0,"NOT FOUND",INDEX('All Song Rankings'!$A:$A,F3971))</f>
        <v>I Wanna Dance with Somebody (Who Loves Me)</v>
      </c>
      <c r="H3971" s="6" t="str">
        <f aca="false">IF(F3971=0,"NOT FOUND",INDEX('All Song Rankings'!$B:$B,F3971))</f>
        <v>Whitney Houston</v>
      </c>
      <c r="I3971" s="6" t="str">
        <f aca="false">IF(F3971=0,"NOT FOUND",INDEX('All Song Rankings'!$D:$D,F3971))</f>
        <v>Aubrey</v>
      </c>
      <c r="J3971" s="7" t="str">
        <f aca="false">IF(F3971=0,"NOT FOUND",IF(C3971=I3971,"SELF-VOTE",IF(COUNTIF($K:$K,K3971)&gt;1,"DUPLICATE","OK")))</f>
        <v>OK</v>
      </c>
      <c r="K3971" s="6" t="str">
        <f aca="false">A3971&amp;"|"&amp;B3971&amp;"|"&amp;C3971&amp;"|"&amp;D3971</f>
        <v>6|4|Logan|spotify:track:2tUBqZG2AbRi7Q0BIrVrEj</v>
      </c>
    </row>
    <row r="3972" customFormat="false" ht="15" hidden="false" customHeight="false" outlineLevel="0" collapsed="false">
      <c r="A3972" s="5" t="n">
        <v>6</v>
      </c>
      <c r="B3972" s="5" t="n">
        <v>4</v>
      </c>
      <c r="C3972" s="5" t="s">
        <v>128</v>
      </c>
      <c r="D3972" s="5" t="s">
        <v>1828</v>
      </c>
      <c r="E3972" s="5" t="n">
        <v>2</v>
      </c>
      <c r="F3972" s="6" t="n">
        <f aca="false">IFERROR(MATCH(A3972&amp;"|"&amp;B3972&amp;"|"&amp;D3972,'All Song Rankings'!$T:$T,0),0)</f>
        <v>599</v>
      </c>
      <c r="G3972" s="6" t="str">
        <f aca="false">IF(F3972=0,"NOT FOUND",INDEX('All Song Rankings'!$A:$A,F3972))</f>
        <v>Footloose - From "Footloose" Soundtrack</v>
      </c>
      <c r="H3972" s="6" t="str">
        <f aca="false">IF(F3972=0,"NOT FOUND",INDEX('All Song Rankings'!$B:$B,F3972))</f>
        <v>Kenny Loggins</v>
      </c>
      <c r="I3972" s="6" t="str">
        <f aca="false">IF(F3972=0,"NOT FOUND",INDEX('All Song Rankings'!$D:$D,F3972))</f>
        <v>Colleen</v>
      </c>
      <c r="J3972" s="7" t="str">
        <f aca="false">IF(F3972=0,"NOT FOUND",IF(C3972=I3972,"SELF-VOTE",IF(COUNTIF($K:$K,K3972)&gt;1,"DUPLICATE","OK")))</f>
        <v>OK</v>
      </c>
      <c r="K3972" s="6" t="str">
        <f aca="false">A3972&amp;"|"&amp;B3972&amp;"|"&amp;C3972&amp;"|"&amp;D3972</f>
        <v>6|4|Logan|spotify:track:2vz1CsL5WBsbpBcwgboTAw</v>
      </c>
    </row>
    <row r="3973" customFormat="false" ht="15" hidden="false" customHeight="false" outlineLevel="0" collapsed="false">
      <c r="A3973" s="5" t="n">
        <v>6</v>
      </c>
      <c r="B3973" s="5" t="n">
        <v>4</v>
      </c>
      <c r="C3973" s="5" t="s">
        <v>128</v>
      </c>
      <c r="D3973" s="5" t="s">
        <v>1826</v>
      </c>
      <c r="E3973" s="5" t="n">
        <v>3</v>
      </c>
      <c r="F3973" s="6" t="n">
        <f aca="false">IFERROR(MATCH(A3973&amp;"|"&amp;B3973&amp;"|"&amp;D3973,'All Song Rankings'!$T:$T,0),0)</f>
        <v>598</v>
      </c>
      <c r="G3973" s="6" t="str">
        <f aca="false">IF(F3973=0,"NOT FOUND",INDEX('All Song Rankings'!$A:$A,F3973))</f>
        <v>Came Here for Love</v>
      </c>
      <c r="H3973" s="6" t="str">
        <f aca="false">IF(F3973=0,"NOT FOUND",INDEX('All Song Rankings'!$B:$B,F3973))</f>
        <v>Sigala</v>
      </c>
      <c r="I3973" s="6" t="str">
        <f aca="false">IF(F3973=0,"NOT FOUND",INDEX('All Song Rankings'!$D:$D,F3973))</f>
        <v>Kelsey</v>
      </c>
      <c r="J3973" s="7" t="str">
        <f aca="false">IF(F3973=0,"NOT FOUND",IF(C3973=I3973,"SELF-VOTE",IF(COUNTIF($K:$K,K3973)&gt;1,"DUPLICATE","OK")))</f>
        <v>OK</v>
      </c>
      <c r="K3973" s="6" t="str">
        <f aca="false">A3973&amp;"|"&amp;B3973&amp;"|"&amp;C3973&amp;"|"&amp;D3973</f>
        <v>6|4|Logan|spotify:track:3kGfazcbVvVkuZunzlLgTD</v>
      </c>
    </row>
    <row r="3974" customFormat="false" ht="15" hidden="false" customHeight="false" outlineLevel="0" collapsed="false">
      <c r="A3974" s="5" t="n">
        <v>6</v>
      </c>
      <c r="B3974" s="5" t="n">
        <v>4</v>
      </c>
      <c r="C3974" s="5" t="s">
        <v>128</v>
      </c>
      <c r="D3974" s="5" t="s">
        <v>1837</v>
      </c>
      <c r="E3974" s="5" t="n">
        <v>1</v>
      </c>
      <c r="F3974" s="6" t="n">
        <f aca="false">IFERROR(MATCH(A3974&amp;"|"&amp;B3974&amp;"|"&amp;D3974,'All Song Rankings'!$T:$T,0),0)</f>
        <v>603</v>
      </c>
      <c r="G3974" s="6" t="str">
        <f aca="false">IF(F3974=0,"NOT FOUND",INDEX('All Song Rankings'!$A:$A,F3974))</f>
        <v>I Just Might</v>
      </c>
      <c r="H3974" s="6" t="str">
        <f aca="false">IF(F3974=0,"NOT FOUND",INDEX('All Song Rankings'!$B:$B,F3974))</f>
        <v>Bruno Mars</v>
      </c>
      <c r="I3974" s="6" t="str">
        <f aca="false">IF(F3974=0,"NOT FOUND",INDEX('All Song Rankings'!$D:$D,F3974))</f>
        <v>Stephanie</v>
      </c>
      <c r="J3974" s="7" t="str">
        <f aca="false">IF(F3974=0,"NOT FOUND",IF(C3974=I3974,"SELF-VOTE",IF(COUNTIF($K:$K,K3974)&gt;1,"DUPLICATE","OK")))</f>
        <v>OK</v>
      </c>
      <c r="K3974" s="6" t="str">
        <f aca="false">A3974&amp;"|"&amp;B3974&amp;"|"&amp;C3974&amp;"|"&amp;D3974</f>
        <v>6|4|Logan|spotify:track:6f68Ac5tt5BQOpwr0BV9oN</v>
      </c>
    </row>
    <row r="3975" customFormat="false" ht="15" hidden="false" customHeight="false" outlineLevel="0" collapsed="false">
      <c r="A3975" s="5" t="n">
        <v>6</v>
      </c>
      <c r="B3975" s="5" t="n">
        <v>4</v>
      </c>
      <c r="C3975" s="5" t="s">
        <v>395</v>
      </c>
      <c r="D3975" s="5" t="s">
        <v>1818</v>
      </c>
      <c r="E3975" s="5" t="n">
        <v>2</v>
      </c>
      <c r="F3975" s="6" t="n">
        <f aca="false">IFERROR(MATCH(A3975&amp;"|"&amp;B3975&amp;"|"&amp;D3975,'All Song Rankings'!$T:$T,0),0)</f>
        <v>595</v>
      </c>
      <c r="G3975" s="6" t="str">
        <f aca="false">IF(F3975=0,"NOT FOUND",INDEX('All Song Rankings'!$A:$A,F3975))</f>
        <v>Low (feat. T-Pain)</v>
      </c>
      <c r="H3975" s="6" t="str">
        <f aca="false">IF(F3975=0,"NOT FOUND",INDEX('All Song Rankings'!$B:$B,F3975))</f>
        <v>Flo Rida</v>
      </c>
      <c r="I3975" s="6" t="str">
        <f aca="false">IF(F3975=0,"NOT FOUND",INDEX('All Song Rankings'!$D:$D,F3975))</f>
        <v>Matt</v>
      </c>
      <c r="J3975" s="7" t="str">
        <f aca="false">IF(F3975=0,"NOT FOUND",IF(C3975=I3975,"SELF-VOTE",IF(COUNTIF($K:$K,K3975)&gt;1,"DUPLICATE","OK")))</f>
        <v>OK</v>
      </c>
      <c r="K3975" s="6" t="str">
        <f aca="false">A3975&amp;"|"&amp;B3975&amp;"|"&amp;C3975&amp;"|"&amp;D3975</f>
        <v>6|4|Makenzie|spotify:track:0CAfXk7DXMnon4gLudAp7J</v>
      </c>
    </row>
    <row r="3976" customFormat="false" ht="15" hidden="false" customHeight="false" outlineLevel="0" collapsed="false">
      <c r="A3976" s="5" t="n">
        <v>6</v>
      </c>
      <c r="B3976" s="5" t="n">
        <v>4</v>
      </c>
      <c r="C3976" s="5" t="s">
        <v>395</v>
      </c>
      <c r="D3976" s="5" t="s">
        <v>1820</v>
      </c>
      <c r="E3976" s="5" t="n">
        <v>2</v>
      </c>
      <c r="F3976" s="6" t="n">
        <f aca="false">IFERROR(MATCH(A3976&amp;"|"&amp;B3976&amp;"|"&amp;D3976,'All Song Rankings'!$T:$T,0),0)</f>
        <v>596</v>
      </c>
      <c r="G3976" s="6" t="str">
        <f aca="false">IF(F3976=0,"NOT FOUND",INDEX('All Song Rankings'!$A:$A,F3976))</f>
        <v>Dance The Night - From Barbie The Album</v>
      </c>
      <c r="H3976" s="6" t="str">
        <f aca="false">IF(F3976=0,"NOT FOUND",INDEX('All Song Rankings'!$B:$B,F3976))</f>
        <v>Dua Lipa</v>
      </c>
      <c r="I3976" s="6" t="str">
        <f aca="false">IF(F3976=0,"NOT FOUND",INDEX('All Song Rankings'!$D:$D,F3976))</f>
        <v>Grace</v>
      </c>
      <c r="J3976" s="7" t="str">
        <f aca="false">IF(F3976=0,"NOT FOUND",IF(C3976=I3976,"SELF-VOTE",IF(COUNTIF($K:$K,K3976)&gt;1,"DUPLICATE","OK")))</f>
        <v>OK</v>
      </c>
      <c r="K3976" s="6" t="str">
        <f aca="false">A3976&amp;"|"&amp;B3976&amp;"|"&amp;C3976&amp;"|"&amp;D3976</f>
        <v>6|4|Makenzie|spotify:track:1vYXt7VSjH9JIM5oRRo7vA</v>
      </c>
    </row>
    <row r="3977" customFormat="false" ht="15" hidden="false" customHeight="false" outlineLevel="0" collapsed="false">
      <c r="A3977" s="5" t="n">
        <v>6</v>
      </c>
      <c r="B3977" s="5" t="n">
        <v>4</v>
      </c>
      <c r="C3977" s="5" t="s">
        <v>395</v>
      </c>
      <c r="D3977" s="5" t="s">
        <v>376</v>
      </c>
      <c r="E3977" s="5" t="n">
        <v>2</v>
      </c>
      <c r="F3977" s="6" t="n">
        <f aca="false">IFERROR(MATCH(A3977&amp;"|"&amp;B3977&amp;"|"&amp;D3977,'All Song Rankings'!$T:$T,0),0)</f>
        <v>602</v>
      </c>
      <c r="G3977" s="6" t="str">
        <f aca="false">IF(F3977=0,"NOT FOUND",INDEX('All Song Rankings'!$A:$A,F3977))</f>
        <v>On The Floor</v>
      </c>
      <c r="H3977" s="6" t="str">
        <f aca="false">IF(F3977=0,"NOT FOUND",INDEX('All Song Rankings'!$B:$B,F3977))</f>
        <v>Jennifer Lopez</v>
      </c>
      <c r="I3977" s="6" t="str">
        <f aca="false">IF(F3977=0,"NOT FOUND",INDEX('All Song Rankings'!$D:$D,F3977))</f>
        <v>Merita</v>
      </c>
      <c r="J3977" s="7" t="str">
        <f aca="false">IF(F3977=0,"NOT FOUND",IF(C3977=I3977,"SELF-VOTE",IF(COUNTIF($K:$K,K3977)&gt;1,"DUPLICATE","OK")))</f>
        <v>OK</v>
      </c>
      <c r="K3977" s="6" t="str">
        <f aca="false">A3977&amp;"|"&amp;B3977&amp;"|"&amp;C3977&amp;"|"&amp;D3977</f>
        <v>6|4|Makenzie|spotify:track:20zQZVyUNPbq8kZACdgYrh</v>
      </c>
    </row>
    <row r="3978" customFormat="false" ht="15" hidden="false" customHeight="false" outlineLevel="0" collapsed="false">
      <c r="A3978" s="5" t="n">
        <v>6</v>
      </c>
      <c r="B3978" s="5" t="n">
        <v>4</v>
      </c>
      <c r="C3978" s="5" t="s">
        <v>395</v>
      </c>
      <c r="D3978" s="5" t="s">
        <v>1831</v>
      </c>
      <c r="E3978" s="5" t="n">
        <v>2</v>
      </c>
      <c r="F3978" s="6" t="n">
        <f aca="false">IFERROR(MATCH(A3978&amp;"|"&amp;B3978&amp;"|"&amp;D3978,'All Song Rankings'!$T:$T,0),0)</f>
        <v>600</v>
      </c>
      <c r="G3978" s="6" t="str">
        <f aca="false">IF(F3978=0,"NOT FOUND",INDEX('All Song Rankings'!$A:$A,F3978))</f>
        <v>Fireball (feat. John Ryan)</v>
      </c>
      <c r="H3978" s="6" t="str">
        <f aca="false">IF(F3978=0,"NOT FOUND",INDEX('All Song Rankings'!$B:$B,F3978))</f>
        <v>Pitbull</v>
      </c>
      <c r="I3978" s="6" t="str">
        <f aca="false">IF(F3978=0,"NOT FOUND",INDEX('All Song Rankings'!$D:$D,F3978))</f>
        <v>Kristen</v>
      </c>
      <c r="J3978" s="7" t="str">
        <f aca="false">IF(F3978=0,"NOT FOUND",IF(C3978=I3978,"SELF-VOTE",IF(COUNTIF($K:$K,K3978)&gt;1,"DUPLICATE","OK")))</f>
        <v>OK</v>
      </c>
      <c r="K3978" s="6" t="str">
        <f aca="false">A3978&amp;"|"&amp;B3978&amp;"|"&amp;C3978&amp;"|"&amp;D3978</f>
        <v>6|4|Makenzie|spotify:track:4Y7XAxTANhu3lmnLAzhWJW</v>
      </c>
    </row>
    <row r="3979" customFormat="false" ht="15" hidden="false" customHeight="false" outlineLevel="0" collapsed="false">
      <c r="A3979" s="5" t="n">
        <v>6</v>
      </c>
      <c r="B3979" s="5" t="n">
        <v>4</v>
      </c>
      <c r="C3979" s="5" t="s">
        <v>395</v>
      </c>
      <c r="D3979" s="5" t="s">
        <v>1840</v>
      </c>
      <c r="E3979" s="5" t="n">
        <v>2</v>
      </c>
      <c r="F3979" s="6" t="n">
        <f aca="false">IFERROR(MATCH(A3979&amp;"|"&amp;B3979&amp;"|"&amp;D3979,'All Song Rankings'!$T:$T,0),0)</f>
        <v>604</v>
      </c>
      <c r="G3979" s="6" t="str">
        <f aca="false">IF(F3979=0,"NOT FOUND",INDEX('All Song Rankings'!$A:$A,F3979))</f>
        <v>Wobble</v>
      </c>
      <c r="H3979" s="6" t="str">
        <f aca="false">IF(F3979=0,"NOT FOUND",INDEX('All Song Rankings'!$B:$B,F3979))</f>
        <v>V.I.C.</v>
      </c>
      <c r="I3979" s="6" t="str">
        <f aca="false">IF(F3979=0,"NOT FOUND",INDEX('All Song Rankings'!$D:$D,F3979))</f>
        <v>Leah</v>
      </c>
      <c r="J3979" s="7" t="str">
        <f aca="false">IF(F3979=0,"NOT FOUND",IF(C3979=I3979,"SELF-VOTE",IF(COUNTIF($K:$K,K3979)&gt;1,"DUPLICATE","OK")))</f>
        <v>OK</v>
      </c>
      <c r="K3979" s="6" t="str">
        <f aca="false">A3979&amp;"|"&amp;B3979&amp;"|"&amp;C3979&amp;"|"&amp;D3979</f>
        <v>6|4|Makenzie|spotify:track:6JLcz9UGiVxAmEZXlCucn5</v>
      </c>
    </row>
    <row r="3980" customFormat="false" ht="15" hidden="false" customHeight="false" outlineLevel="0" collapsed="false">
      <c r="A3980" s="5" t="n">
        <v>6</v>
      </c>
      <c r="B3980" s="5" t="n">
        <v>4</v>
      </c>
      <c r="C3980" s="5" t="s">
        <v>116</v>
      </c>
      <c r="D3980" s="5" t="s">
        <v>1820</v>
      </c>
      <c r="E3980" s="5" t="n">
        <v>3</v>
      </c>
      <c r="F3980" s="6" t="n">
        <f aca="false">IFERROR(MATCH(A3980&amp;"|"&amp;B3980&amp;"|"&amp;D3980,'All Song Rankings'!$T:$T,0),0)</f>
        <v>596</v>
      </c>
      <c r="G3980" s="6" t="str">
        <f aca="false">IF(F3980=0,"NOT FOUND",INDEX('All Song Rankings'!$A:$A,F3980))</f>
        <v>Dance The Night - From Barbie The Album</v>
      </c>
      <c r="H3980" s="6" t="str">
        <f aca="false">IF(F3980=0,"NOT FOUND",INDEX('All Song Rankings'!$B:$B,F3980))</f>
        <v>Dua Lipa</v>
      </c>
      <c r="I3980" s="6" t="str">
        <f aca="false">IF(F3980=0,"NOT FOUND",INDEX('All Song Rankings'!$D:$D,F3980))</f>
        <v>Grace</v>
      </c>
      <c r="J3980" s="7" t="str">
        <f aca="false">IF(F3980=0,"NOT FOUND",IF(C3980=I3980,"SELF-VOTE",IF(COUNTIF($K:$K,K3980)&gt;1,"DUPLICATE","OK")))</f>
        <v>OK</v>
      </c>
      <c r="K3980" s="6" t="str">
        <f aca="false">A3980&amp;"|"&amp;B3980&amp;"|"&amp;C3980&amp;"|"&amp;D3980</f>
        <v>6|4|Matt|spotify:track:1vYXt7VSjH9JIM5oRRo7vA</v>
      </c>
    </row>
    <row r="3981" customFormat="false" ht="15" hidden="false" customHeight="false" outlineLevel="0" collapsed="false">
      <c r="A3981" s="5" t="n">
        <v>6</v>
      </c>
      <c r="B3981" s="5" t="n">
        <v>4</v>
      </c>
      <c r="C3981" s="5" t="s">
        <v>116</v>
      </c>
      <c r="D3981" s="5" t="s">
        <v>376</v>
      </c>
      <c r="E3981" s="5" t="n">
        <v>1</v>
      </c>
      <c r="F3981" s="6" t="n">
        <f aca="false">IFERROR(MATCH(A3981&amp;"|"&amp;B3981&amp;"|"&amp;D3981,'All Song Rankings'!$T:$T,0),0)</f>
        <v>602</v>
      </c>
      <c r="G3981" s="6" t="str">
        <f aca="false">IF(F3981=0,"NOT FOUND",INDEX('All Song Rankings'!$A:$A,F3981))</f>
        <v>On The Floor</v>
      </c>
      <c r="H3981" s="6" t="str">
        <f aca="false">IF(F3981=0,"NOT FOUND",INDEX('All Song Rankings'!$B:$B,F3981))</f>
        <v>Jennifer Lopez</v>
      </c>
      <c r="I3981" s="6" t="str">
        <f aca="false">IF(F3981=0,"NOT FOUND",INDEX('All Song Rankings'!$D:$D,F3981))</f>
        <v>Merita</v>
      </c>
      <c r="J3981" s="7" t="str">
        <f aca="false">IF(F3981=0,"NOT FOUND",IF(C3981=I3981,"SELF-VOTE",IF(COUNTIF($K:$K,K3981)&gt;1,"DUPLICATE","OK")))</f>
        <v>OK</v>
      </c>
      <c r="K3981" s="6" t="str">
        <f aca="false">A3981&amp;"|"&amp;B3981&amp;"|"&amp;C3981&amp;"|"&amp;D3981</f>
        <v>6|4|Matt|spotify:track:20zQZVyUNPbq8kZACdgYrh</v>
      </c>
    </row>
    <row r="3982" customFormat="false" ht="15" hidden="false" customHeight="false" outlineLevel="0" collapsed="false">
      <c r="A3982" s="5" t="n">
        <v>6</v>
      </c>
      <c r="B3982" s="5" t="n">
        <v>4</v>
      </c>
      <c r="C3982" s="5" t="s">
        <v>116</v>
      </c>
      <c r="D3982" s="5" t="s">
        <v>1432</v>
      </c>
      <c r="E3982" s="5" t="n">
        <v>1</v>
      </c>
      <c r="F3982" s="6" t="n">
        <f aca="false">IFERROR(MATCH(A3982&amp;"|"&amp;B3982&amp;"|"&amp;D3982,'All Song Rankings'!$T:$T,0),0)</f>
        <v>608</v>
      </c>
      <c r="G3982" s="6" t="str">
        <f aca="false">IF(F3982=0,"NOT FOUND",INDEX('All Song Rankings'!$A:$A,F3982))</f>
        <v>Raspberry Beret</v>
      </c>
      <c r="H3982" s="6" t="str">
        <f aca="false">IF(F3982=0,"NOT FOUND",INDEX('All Song Rankings'!$B:$B,F3982))</f>
        <v>Prince</v>
      </c>
      <c r="I3982" s="6" t="str">
        <f aca="false">IF(F3982=0,"NOT FOUND",INDEX('All Song Rankings'!$D:$D,F3982))</f>
        <v>Lisa</v>
      </c>
      <c r="J3982" s="7" t="str">
        <f aca="false">IF(F3982=0,"NOT FOUND",IF(C3982=I3982,"SELF-VOTE",IF(COUNTIF($K:$K,K3982)&gt;1,"DUPLICATE","OK")))</f>
        <v>OK</v>
      </c>
      <c r="K3982" s="6" t="str">
        <f aca="false">A3982&amp;"|"&amp;B3982&amp;"|"&amp;C3982&amp;"|"&amp;D3982</f>
        <v>6|4|Matt|spotify:track:2I1W3hcSsPIsEJfD69pHrW</v>
      </c>
    </row>
    <row r="3983" customFormat="false" ht="15" hidden="false" customHeight="false" outlineLevel="0" collapsed="false">
      <c r="A3983" s="5" t="n">
        <v>6</v>
      </c>
      <c r="B3983" s="5" t="n">
        <v>4</v>
      </c>
      <c r="C3983" s="5" t="s">
        <v>116</v>
      </c>
      <c r="D3983" s="5" t="s">
        <v>1855</v>
      </c>
      <c r="E3983" s="5" t="n">
        <v>2</v>
      </c>
      <c r="F3983" s="6" t="n">
        <f aca="false">IFERROR(MATCH(A3983&amp;"|"&amp;B3983&amp;"|"&amp;D3983,'All Song Rankings'!$T:$T,0),0)</f>
        <v>610</v>
      </c>
      <c r="G3983" s="6" t="str">
        <f aca="false">IF(F3983=0,"NOT FOUND",INDEX('All Song Rankings'!$A:$A,F3983))</f>
        <v>I Wanna Dance with Somebody (Who Loves Me)</v>
      </c>
      <c r="H3983" s="6" t="str">
        <f aca="false">IF(F3983=0,"NOT FOUND",INDEX('All Song Rankings'!$B:$B,F3983))</f>
        <v>Whitney Houston</v>
      </c>
      <c r="I3983" s="6" t="str">
        <f aca="false">IF(F3983=0,"NOT FOUND",INDEX('All Song Rankings'!$D:$D,F3983))</f>
        <v>Aubrey</v>
      </c>
      <c r="J3983" s="7" t="str">
        <f aca="false">IF(F3983=0,"NOT FOUND",IF(C3983=I3983,"SELF-VOTE",IF(COUNTIF($K:$K,K3983)&gt;1,"DUPLICATE","OK")))</f>
        <v>OK</v>
      </c>
      <c r="K3983" s="6" t="str">
        <f aca="false">A3983&amp;"|"&amp;B3983&amp;"|"&amp;C3983&amp;"|"&amp;D3983</f>
        <v>6|4|Matt|spotify:track:2tUBqZG2AbRi7Q0BIrVrEj</v>
      </c>
    </row>
    <row r="3984" customFormat="false" ht="15" hidden="false" customHeight="false" outlineLevel="0" collapsed="false">
      <c r="A3984" s="5" t="n">
        <v>6</v>
      </c>
      <c r="B3984" s="5" t="n">
        <v>4</v>
      </c>
      <c r="C3984" s="5" t="s">
        <v>116</v>
      </c>
      <c r="D3984" s="5" t="s">
        <v>1828</v>
      </c>
      <c r="E3984" s="5" t="n">
        <v>1</v>
      </c>
      <c r="F3984" s="6" t="n">
        <f aca="false">IFERROR(MATCH(A3984&amp;"|"&amp;B3984&amp;"|"&amp;D3984,'All Song Rankings'!$T:$T,0),0)</f>
        <v>599</v>
      </c>
      <c r="G3984" s="6" t="str">
        <f aca="false">IF(F3984=0,"NOT FOUND",INDEX('All Song Rankings'!$A:$A,F3984))</f>
        <v>Footloose - From "Footloose" Soundtrack</v>
      </c>
      <c r="H3984" s="6" t="str">
        <f aca="false">IF(F3984=0,"NOT FOUND",INDEX('All Song Rankings'!$B:$B,F3984))</f>
        <v>Kenny Loggins</v>
      </c>
      <c r="I3984" s="6" t="str">
        <f aca="false">IF(F3984=0,"NOT FOUND",INDEX('All Song Rankings'!$D:$D,F3984))</f>
        <v>Colleen</v>
      </c>
      <c r="J3984" s="7" t="str">
        <f aca="false">IF(F3984=0,"NOT FOUND",IF(C3984=I3984,"SELF-VOTE",IF(COUNTIF($K:$K,K3984)&gt;1,"DUPLICATE","OK")))</f>
        <v>OK</v>
      </c>
      <c r="K3984" s="6" t="str">
        <f aca="false">A3984&amp;"|"&amp;B3984&amp;"|"&amp;C3984&amp;"|"&amp;D3984</f>
        <v>6|4|Matt|spotify:track:2vz1CsL5WBsbpBcwgboTAw</v>
      </c>
    </row>
    <row r="3985" customFormat="false" ht="15" hidden="false" customHeight="false" outlineLevel="0" collapsed="false">
      <c r="A3985" s="5" t="n">
        <v>6</v>
      </c>
      <c r="B3985" s="5" t="n">
        <v>4</v>
      </c>
      <c r="C3985" s="5" t="s">
        <v>116</v>
      </c>
      <c r="D3985" s="5" t="s">
        <v>1831</v>
      </c>
      <c r="E3985" s="5" t="n">
        <v>1</v>
      </c>
      <c r="F3985" s="6" t="n">
        <f aca="false">IFERROR(MATCH(A3985&amp;"|"&amp;B3985&amp;"|"&amp;D3985,'All Song Rankings'!$T:$T,0),0)</f>
        <v>600</v>
      </c>
      <c r="G3985" s="6" t="str">
        <f aca="false">IF(F3985=0,"NOT FOUND",INDEX('All Song Rankings'!$A:$A,F3985))</f>
        <v>Fireball (feat. John Ryan)</v>
      </c>
      <c r="H3985" s="6" t="str">
        <f aca="false">IF(F3985=0,"NOT FOUND",INDEX('All Song Rankings'!$B:$B,F3985))</f>
        <v>Pitbull</v>
      </c>
      <c r="I3985" s="6" t="str">
        <f aca="false">IF(F3985=0,"NOT FOUND",INDEX('All Song Rankings'!$D:$D,F3985))</f>
        <v>Kristen</v>
      </c>
      <c r="J3985" s="7" t="str">
        <f aca="false">IF(F3985=0,"NOT FOUND",IF(C3985=I3985,"SELF-VOTE",IF(COUNTIF($K:$K,K3985)&gt;1,"DUPLICATE","OK")))</f>
        <v>OK</v>
      </c>
      <c r="K3985" s="6" t="str">
        <f aca="false">A3985&amp;"|"&amp;B3985&amp;"|"&amp;C3985&amp;"|"&amp;D3985</f>
        <v>6|4|Matt|spotify:track:4Y7XAxTANhu3lmnLAzhWJW</v>
      </c>
    </row>
    <row r="3986" customFormat="false" ht="15" hidden="false" customHeight="false" outlineLevel="0" collapsed="false">
      <c r="A3986" s="5" t="n">
        <v>6</v>
      </c>
      <c r="B3986" s="5" t="n">
        <v>4</v>
      </c>
      <c r="C3986" s="5" t="s">
        <v>116</v>
      </c>
      <c r="D3986" s="5" t="s">
        <v>1834</v>
      </c>
      <c r="E3986" s="5" t="n">
        <v>1</v>
      </c>
      <c r="F3986" s="6" t="n">
        <f aca="false">IFERROR(MATCH(A3986&amp;"|"&amp;B3986&amp;"|"&amp;D3986,'All Song Rankings'!$T:$T,0),0)</f>
        <v>601</v>
      </c>
      <c r="G3986" s="6" t="str">
        <f aca="false">IF(F3986=0,"NOT FOUND",INDEX('All Song Rankings'!$A:$A,F3986))</f>
        <v>Sunroof</v>
      </c>
      <c r="H3986" s="6" t="str">
        <f aca="false">IF(F3986=0,"NOT FOUND",INDEX('All Song Rankings'!$B:$B,F3986))</f>
        <v>Nicky Youre</v>
      </c>
      <c r="I3986" s="6" t="str">
        <f aca="false">IF(F3986=0,"NOT FOUND",INDEX('All Song Rankings'!$D:$D,F3986))</f>
        <v>Nicole</v>
      </c>
      <c r="J3986" s="7" t="str">
        <f aca="false">IF(F3986=0,"NOT FOUND",IF(C3986=I3986,"SELF-VOTE",IF(COUNTIF($K:$K,K3986)&gt;1,"DUPLICATE","OK")))</f>
        <v>OK</v>
      </c>
      <c r="K3986" s="6" t="str">
        <f aca="false">A3986&amp;"|"&amp;B3986&amp;"|"&amp;C3986&amp;"|"&amp;D3986</f>
        <v>6|4|Matt|spotify:track:5YqEzk3C5c3UZ1D5fJUlXA</v>
      </c>
    </row>
    <row r="3987" customFormat="false" ht="15" hidden="false" customHeight="false" outlineLevel="0" collapsed="false">
      <c r="A3987" s="5" t="n">
        <v>6</v>
      </c>
      <c r="B3987" s="5" t="n">
        <v>4</v>
      </c>
      <c r="C3987" s="5" t="s">
        <v>101</v>
      </c>
      <c r="D3987" s="5" t="s">
        <v>1818</v>
      </c>
      <c r="E3987" s="5" t="n">
        <v>1</v>
      </c>
      <c r="F3987" s="6" t="n">
        <f aca="false">IFERROR(MATCH(A3987&amp;"|"&amp;B3987&amp;"|"&amp;D3987,'All Song Rankings'!$T:$T,0),0)</f>
        <v>595</v>
      </c>
      <c r="G3987" s="6" t="str">
        <f aca="false">IF(F3987=0,"NOT FOUND",INDEX('All Song Rankings'!$A:$A,F3987))</f>
        <v>Low (feat. T-Pain)</v>
      </c>
      <c r="H3987" s="6" t="str">
        <f aca="false">IF(F3987=0,"NOT FOUND",INDEX('All Song Rankings'!$B:$B,F3987))</f>
        <v>Flo Rida</v>
      </c>
      <c r="I3987" s="6" t="str">
        <f aca="false">IF(F3987=0,"NOT FOUND",INDEX('All Song Rankings'!$D:$D,F3987))</f>
        <v>Matt</v>
      </c>
      <c r="J3987" s="7" t="str">
        <f aca="false">IF(F3987=0,"NOT FOUND",IF(C3987=I3987,"SELF-VOTE",IF(COUNTIF($K:$K,K3987)&gt;1,"DUPLICATE","OK")))</f>
        <v>OK</v>
      </c>
      <c r="K3987" s="6" t="str">
        <f aca="false">A3987&amp;"|"&amp;B3987&amp;"|"&amp;C3987&amp;"|"&amp;D3987</f>
        <v>6|4|Merita|spotify:track:0CAfXk7DXMnon4gLudAp7J</v>
      </c>
    </row>
    <row r="3988" customFormat="false" ht="15" hidden="false" customHeight="false" outlineLevel="0" collapsed="false">
      <c r="A3988" s="5" t="n">
        <v>6</v>
      </c>
      <c r="B3988" s="5" t="n">
        <v>4</v>
      </c>
      <c r="C3988" s="5" t="s">
        <v>101</v>
      </c>
      <c r="D3988" s="5" t="s">
        <v>1820</v>
      </c>
      <c r="E3988" s="5" t="n">
        <v>1</v>
      </c>
      <c r="F3988" s="6" t="n">
        <f aca="false">IFERROR(MATCH(A3988&amp;"|"&amp;B3988&amp;"|"&amp;D3988,'All Song Rankings'!$T:$T,0),0)</f>
        <v>596</v>
      </c>
      <c r="G3988" s="6" t="str">
        <f aca="false">IF(F3988=0,"NOT FOUND",INDEX('All Song Rankings'!$A:$A,F3988))</f>
        <v>Dance The Night - From Barbie The Album</v>
      </c>
      <c r="H3988" s="6" t="str">
        <f aca="false">IF(F3988=0,"NOT FOUND",INDEX('All Song Rankings'!$B:$B,F3988))</f>
        <v>Dua Lipa</v>
      </c>
      <c r="I3988" s="6" t="str">
        <f aca="false">IF(F3988=0,"NOT FOUND",INDEX('All Song Rankings'!$D:$D,F3988))</f>
        <v>Grace</v>
      </c>
      <c r="J3988" s="7" t="str">
        <f aca="false">IF(F3988=0,"NOT FOUND",IF(C3988=I3988,"SELF-VOTE",IF(COUNTIF($K:$K,K3988)&gt;1,"DUPLICATE","OK")))</f>
        <v>OK</v>
      </c>
      <c r="K3988" s="6" t="str">
        <f aca="false">A3988&amp;"|"&amp;B3988&amp;"|"&amp;C3988&amp;"|"&amp;D3988</f>
        <v>6|4|Merita|spotify:track:1vYXt7VSjH9JIM5oRRo7vA</v>
      </c>
    </row>
    <row r="3989" customFormat="false" ht="15" hidden="false" customHeight="false" outlineLevel="0" collapsed="false">
      <c r="A3989" s="5" t="n">
        <v>6</v>
      </c>
      <c r="B3989" s="5" t="n">
        <v>4</v>
      </c>
      <c r="C3989" s="5" t="s">
        <v>101</v>
      </c>
      <c r="D3989" s="5" t="s">
        <v>1828</v>
      </c>
      <c r="E3989" s="5" t="n">
        <v>1</v>
      </c>
      <c r="F3989" s="6" t="n">
        <f aca="false">IFERROR(MATCH(A3989&amp;"|"&amp;B3989&amp;"|"&amp;D3989,'All Song Rankings'!$T:$T,0),0)</f>
        <v>599</v>
      </c>
      <c r="G3989" s="6" t="str">
        <f aca="false">IF(F3989=0,"NOT FOUND",INDEX('All Song Rankings'!$A:$A,F3989))</f>
        <v>Footloose - From "Footloose" Soundtrack</v>
      </c>
      <c r="H3989" s="6" t="str">
        <f aca="false">IF(F3989=0,"NOT FOUND",INDEX('All Song Rankings'!$B:$B,F3989))</f>
        <v>Kenny Loggins</v>
      </c>
      <c r="I3989" s="6" t="str">
        <f aca="false">IF(F3989=0,"NOT FOUND",INDEX('All Song Rankings'!$D:$D,F3989))</f>
        <v>Colleen</v>
      </c>
      <c r="J3989" s="7" t="str">
        <f aca="false">IF(F3989=0,"NOT FOUND",IF(C3989=I3989,"SELF-VOTE",IF(COUNTIF($K:$K,K3989)&gt;1,"DUPLICATE","OK")))</f>
        <v>OK</v>
      </c>
      <c r="K3989" s="6" t="str">
        <f aca="false">A3989&amp;"|"&amp;B3989&amp;"|"&amp;C3989&amp;"|"&amp;D3989</f>
        <v>6|4|Merita|spotify:track:2vz1CsL5WBsbpBcwgboTAw</v>
      </c>
    </row>
    <row r="3990" customFormat="false" ht="15" hidden="false" customHeight="false" outlineLevel="0" collapsed="false">
      <c r="A3990" s="5" t="n">
        <v>6</v>
      </c>
      <c r="B3990" s="5" t="n">
        <v>4</v>
      </c>
      <c r="C3990" s="5" t="s">
        <v>101</v>
      </c>
      <c r="D3990" s="5" t="s">
        <v>1826</v>
      </c>
      <c r="E3990" s="5" t="n">
        <v>1</v>
      </c>
      <c r="F3990" s="6" t="n">
        <f aca="false">IFERROR(MATCH(A3990&amp;"|"&amp;B3990&amp;"|"&amp;D3990,'All Song Rankings'!$T:$T,0),0)</f>
        <v>598</v>
      </c>
      <c r="G3990" s="6" t="str">
        <f aca="false">IF(F3990=0,"NOT FOUND",INDEX('All Song Rankings'!$A:$A,F3990))</f>
        <v>Came Here for Love</v>
      </c>
      <c r="H3990" s="6" t="str">
        <f aca="false">IF(F3990=0,"NOT FOUND",INDEX('All Song Rankings'!$B:$B,F3990))</f>
        <v>Sigala</v>
      </c>
      <c r="I3990" s="6" t="str">
        <f aca="false">IF(F3990=0,"NOT FOUND",INDEX('All Song Rankings'!$D:$D,F3990))</f>
        <v>Kelsey</v>
      </c>
      <c r="J3990" s="7" t="str">
        <f aca="false">IF(F3990=0,"NOT FOUND",IF(C3990=I3990,"SELF-VOTE",IF(COUNTIF($K:$K,K3990)&gt;1,"DUPLICATE","OK")))</f>
        <v>OK</v>
      </c>
      <c r="K3990" s="6" t="str">
        <f aca="false">A3990&amp;"|"&amp;B3990&amp;"|"&amp;C3990&amp;"|"&amp;D3990</f>
        <v>6|4|Merita|spotify:track:3kGfazcbVvVkuZunzlLgTD</v>
      </c>
    </row>
    <row r="3991" customFormat="false" ht="15" hidden="false" customHeight="false" outlineLevel="0" collapsed="false">
      <c r="A3991" s="5" t="n">
        <v>6</v>
      </c>
      <c r="B3991" s="5" t="n">
        <v>4</v>
      </c>
      <c r="C3991" s="5" t="s">
        <v>101</v>
      </c>
      <c r="D3991" s="5" t="s">
        <v>1831</v>
      </c>
      <c r="E3991" s="5" t="n">
        <v>2</v>
      </c>
      <c r="F3991" s="6" t="n">
        <f aca="false">IFERROR(MATCH(A3991&amp;"|"&amp;B3991&amp;"|"&amp;D3991,'All Song Rankings'!$T:$T,0),0)</f>
        <v>600</v>
      </c>
      <c r="G3991" s="6" t="str">
        <f aca="false">IF(F3991=0,"NOT FOUND",INDEX('All Song Rankings'!$A:$A,F3991))</f>
        <v>Fireball (feat. John Ryan)</v>
      </c>
      <c r="H3991" s="6" t="str">
        <f aca="false">IF(F3991=0,"NOT FOUND",INDEX('All Song Rankings'!$B:$B,F3991))</f>
        <v>Pitbull</v>
      </c>
      <c r="I3991" s="6" t="str">
        <f aca="false">IF(F3991=0,"NOT FOUND",INDEX('All Song Rankings'!$D:$D,F3991))</f>
        <v>Kristen</v>
      </c>
      <c r="J3991" s="7" t="str">
        <f aca="false">IF(F3991=0,"NOT FOUND",IF(C3991=I3991,"SELF-VOTE",IF(COUNTIF($K:$K,K3991)&gt;1,"DUPLICATE","OK")))</f>
        <v>OK</v>
      </c>
      <c r="K3991" s="6" t="str">
        <f aca="false">A3991&amp;"|"&amp;B3991&amp;"|"&amp;C3991&amp;"|"&amp;D3991</f>
        <v>6|4|Merita|spotify:track:4Y7XAxTANhu3lmnLAzhWJW</v>
      </c>
    </row>
    <row r="3992" customFormat="false" ht="15" hidden="false" customHeight="false" outlineLevel="0" collapsed="false">
      <c r="A3992" s="5" t="n">
        <v>6</v>
      </c>
      <c r="B3992" s="5" t="n">
        <v>4</v>
      </c>
      <c r="C3992" s="5" t="s">
        <v>101</v>
      </c>
      <c r="D3992" s="5" t="s">
        <v>1823</v>
      </c>
      <c r="E3992" s="5" t="n">
        <v>2</v>
      </c>
      <c r="F3992" s="6" t="n">
        <f aca="false">IFERROR(MATCH(A3992&amp;"|"&amp;B3992&amp;"|"&amp;D3992,'All Song Rankings'!$T:$T,0),0)</f>
        <v>597</v>
      </c>
      <c r="G3992" s="6" t="str">
        <f aca="false">IF(F3992=0,"NOT FOUND",INDEX('All Song Rankings'!$A:$A,F3992))</f>
        <v>Gasolina</v>
      </c>
      <c r="H3992" s="6" t="str">
        <f aca="false">IF(F3992=0,"NOT FOUND",INDEX('All Song Rankings'!$B:$B,F3992))</f>
        <v>Daddy Yankee</v>
      </c>
      <c r="I3992" s="6" t="str">
        <f aca="false">IF(F3992=0,"NOT FOUND",INDEX('All Song Rankings'!$D:$D,F3992))</f>
        <v>Makenzie</v>
      </c>
      <c r="J3992" s="7" t="str">
        <f aca="false">IF(F3992=0,"NOT FOUND",IF(C3992=I3992,"SELF-VOTE",IF(COUNTIF($K:$K,K3992)&gt;1,"DUPLICATE","OK")))</f>
        <v>OK</v>
      </c>
      <c r="K3992" s="6" t="str">
        <f aca="false">A3992&amp;"|"&amp;B3992&amp;"|"&amp;C3992&amp;"|"&amp;D3992</f>
        <v>6|4|Merita|spotify:track:5YoITs1m0q8UOQ4AW7N5ga</v>
      </c>
    </row>
    <row r="3993" customFormat="false" ht="15" hidden="false" customHeight="false" outlineLevel="0" collapsed="false">
      <c r="A3993" s="5" t="n">
        <v>6</v>
      </c>
      <c r="B3993" s="5" t="n">
        <v>4</v>
      </c>
      <c r="C3993" s="5" t="s">
        <v>101</v>
      </c>
      <c r="D3993" s="5" t="s">
        <v>1834</v>
      </c>
      <c r="E3993" s="5" t="n">
        <v>1</v>
      </c>
      <c r="F3993" s="6" t="n">
        <f aca="false">IFERROR(MATCH(A3993&amp;"|"&amp;B3993&amp;"|"&amp;D3993,'All Song Rankings'!$T:$T,0),0)</f>
        <v>601</v>
      </c>
      <c r="G3993" s="6" t="str">
        <f aca="false">IF(F3993=0,"NOT FOUND",INDEX('All Song Rankings'!$A:$A,F3993))</f>
        <v>Sunroof</v>
      </c>
      <c r="H3993" s="6" t="str">
        <f aca="false">IF(F3993=0,"NOT FOUND",INDEX('All Song Rankings'!$B:$B,F3993))</f>
        <v>Nicky Youre</v>
      </c>
      <c r="I3993" s="6" t="str">
        <f aca="false">IF(F3993=0,"NOT FOUND",INDEX('All Song Rankings'!$D:$D,F3993))</f>
        <v>Nicole</v>
      </c>
      <c r="J3993" s="7" t="str">
        <f aca="false">IF(F3993=0,"NOT FOUND",IF(C3993=I3993,"SELF-VOTE",IF(COUNTIF($K:$K,K3993)&gt;1,"DUPLICATE","OK")))</f>
        <v>OK</v>
      </c>
      <c r="K3993" s="6" t="str">
        <f aca="false">A3993&amp;"|"&amp;B3993&amp;"|"&amp;C3993&amp;"|"&amp;D3993</f>
        <v>6|4|Merita|spotify:track:5YqEzk3C5c3UZ1D5fJUlXA</v>
      </c>
    </row>
    <row r="3994" customFormat="false" ht="15" hidden="false" customHeight="false" outlineLevel="0" collapsed="false">
      <c r="A3994" s="5" t="n">
        <v>6</v>
      </c>
      <c r="B3994" s="5" t="n">
        <v>4</v>
      </c>
      <c r="C3994" s="5" t="s">
        <v>101</v>
      </c>
      <c r="D3994" s="5" t="s">
        <v>1837</v>
      </c>
      <c r="E3994" s="5" t="n">
        <v>1</v>
      </c>
      <c r="F3994" s="6" t="n">
        <f aca="false">IFERROR(MATCH(A3994&amp;"|"&amp;B3994&amp;"|"&amp;D3994,'All Song Rankings'!$T:$T,0),0)</f>
        <v>603</v>
      </c>
      <c r="G3994" s="6" t="str">
        <f aca="false">IF(F3994=0,"NOT FOUND",INDEX('All Song Rankings'!$A:$A,F3994))</f>
        <v>I Just Might</v>
      </c>
      <c r="H3994" s="6" t="str">
        <f aca="false">IF(F3994=0,"NOT FOUND",INDEX('All Song Rankings'!$B:$B,F3994))</f>
        <v>Bruno Mars</v>
      </c>
      <c r="I3994" s="6" t="str">
        <f aca="false">IF(F3994=0,"NOT FOUND",INDEX('All Song Rankings'!$D:$D,F3994))</f>
        <v>Stephanie</v>
      </c>
      <c r="J3994" s="7" t="str">
        <f aca="false">IF(F3994=0,"NOT FOUND",IF(C3994=I3994,"SELF-VOTE",IF(COUNTIF($K:$K,K3994)&gt;1,"DUPLICATE","OK")))</f>
        <v>OK</v>
      </c>
      <c r="K3994" s="6" t="str">
        <f aca="false">A3994&amp;"|"&amp;B3994&amp;"|"&amp;C3994&amp;"|"&amp;D3994</f>
        <v>6|4|Merita|spotify:track:6f68Ac5tt5BQOpwr0BV9oN</v>
      </c>
    </row>
    <row r="3995" customFormat="false" ht="15" hidden="false" customHeight="false" outlineLevel="0" collapsed="false">
      <c r="A3995" s="5" t="n">
        <v>6</v>
      </c>
      <c r="B3995" s="5" t="n">
        <v>4</v>
      </c>
      <c r="C3995" s="5" t="s">
        <v>92</v>
      </c>
      <c r="D3995" s="5" t="s">
        <v>1818</v>
      </c>
      <c r="E3995" s="5" t="n">
        <v>1</v>
      </c>
      <c r="F3995" s="6" t="n">
        <f aca="false">IFERROR(MATCH(A3995&amp;"|"&amp;B3995&amp;"|"&amp;D3995,'All Song Rankings'!$T:$T,0),0)</f>
        <v>595</v>
      </c>
      <c r="G3995" s="6" t="str">
        <f aca="false">IF(F3995=0,"NOT FOUND",INDEX('All Song Rankings'!$A:$A,F3995))</f>
        <v>Low (feat. T-Pain)</v>
      </c>
      <c r="H3995" s="6" t="str">
        <f aca="false">IF(F3995=0,"NOT FOUND",INDEX('All Song Rankings'!$B:$B,F3995))</f>
        <v>Flo Rida</v>
      </c>
      <c r="I3995" s="6" t="str">
        <f aca="false">IF(F3995=0,"NOT FOUND",INDEX('All Song Rankings'!$D:$D,F3995))</f>
        <v>Matt</v>
      </c>
      <c r="J3995" s="7" t="str">
        <f aca="false">IF(F3995=0,"NOT FOUND",IF(C3995=I3995,"SELF-VOTE",IF(COUNTIF($K:$K,K3995)&gt;1,"DUPLICATE","OK")))</f>
        <v>OK</v>
      </c>
      <c r="K3995" s="6" t="str">
        <f aca="false">A3995&amp;"|"&amp;B3995&amp;"|"&amp;C3995&amp;"|"&amp;D3995</f>
        <v>6|4|Nicole|spotify:track:0CAfXk7DXMnon4gLudAp7J</v>
      </c>
    </row>
    <row r="3996" customFormat="false" ht="15" hidden="false" customHeight="false" outlineLevel="0" collapsed="false">
      <c r="A3996" s="5" t="n">
        <v>6</v>
      </c>
      <c r="B3996" s="5" t="n">
        <v>4</v>
      </c>
      <c r="C3996" s="5" t="s">
        <v>92</v>
      </c>
      <c r="D3996" s="5" t="s">
        <v>1844</v>
      </c>
      <c r="E3996" s="5" t="n">
        <v>2</v>
      </c>
      <c r="F3996" s="6" t="n">
        <f aca="false">IFERROR(MATCH(A3996&amp;"|"&amp;B3996&amp;"|"&amp;D3996,'All Song Rankings'!$T:$T,0),0)</f>
        <v>605</v>
      </c>
      <c r="G3996" s="6" t="str">
        <f aca="false">IF(F3996=0,"NOT FOUND",INDEX('All Song Rankings'!$A:$A,F3996))</f>
        <v>Beauty And A Beat</v>
      </c>
      <c r="H3996" s="6" t="str">
        <f aca="false">IF(F3996=0,"NOT FOUND",INDEX('All Song Rankings'!$B:$B,F3996))</f>
        <v>Justin Bieber, Nicki Minaj</v>
      </c>
      <c r="I3996" s="6" t="str">
        <f aca="false">IF(F3996=0,"NOT FOUND",INDEX('All Song Rankings'!$D:$D,F3996))</f>
        <v>Josh</v>
      </c>
      <c r="J3996" s="7" t="str">
        <f aca="false">IF(F3996=0,"NOT FOUND",IF(C3996=I3996,"SELF-VOTE",IF(COUNTIF($K:$K,K3996)&gt;1,"DUPLICATE","OK")))</f>
        <v>OK</v>
      </c>
      <c r="K3996" s="6" t="str">
        <f aca="false">A3996&amp;"|"&amp;B3996&amp;"|"&amp;C3996&amp;"|"&amp;D3996</f>
        <v>6|4|Nicole|spotify:track:190jyVPHYjAqEaOGmMzdyk</v>
      </c>
    </row>
    <row r="3997" customFormat="false" ht="15" hidden="false" customHeight="false" outlineLevel="0" collapsed="false">
      <c r="A3997" s="5" t="n">
        <v>6</v>
      </c>
      <c r="B3997" s="5" t="n">
        <v>4</v>
      </c>
      <c r="C3997" s="5" t="s">
        <v>92</v>
      </c>
      <c r="D3997" s="5" t="s">
        <v>1820</v>
      </c>
      <c r="E3997" s="5" t="n">
        <v>1</v>
      </c>
      <c r="F3997" s="6" t="n">
        <f aca="false">IFERROR(MATCH(A3997&amp;"|"&amp;B3997&amp;"|"&amp;D3997,'All Song Rankings'!$T:$T,0),0)</f>
        <v>596</v>
      </c>
      <c r="G3997" s="6" t="str">
        <f aca="false">IF(F3997=0,"NOT FOUND",INDEX('All Song Rankings'!$A:$A,F3997))</f>
        <v>Dance The Night - From Barbie The Album</v>
      </c>
      <c r="H3997" s="6" t="str">
        <f aca="false">IF(F3997=0,"NOT FOUND",INDEX('All Song Rankings'!$B:$B,F3997))</f>
        <v>Dua Lipa</v>
      </c>
      <c r="I3997" s="6" t="str">
        <f aca="false">IF(F3997=0,"NOT FOUND",INDEX('All Song Rankings'!$D:$D,F3997))</f>
        <v>Grace</v>
      </c>
      <c r="J3997" s="7" t="str">
        <f aca="false">IF(F3997=0,"NOT FOUND",IF(C3997=I3997,"SELF-VOTE",IF(COUNTIF($K:$K,K3997)&gt;1,"DUPLICATE","OK")))</f>
        <v>OK</v>
      </c>
      <c r="K3997" s="6" t="str">
        <f aca="false">A3997&amp;"|"&amp;B3997&amp;"|"&amp;C3997&amp;"|"&amp;D3997</f>
        <v>6|4|Nicole|spotify:track:1vYXt7VSjH9JIM5oRRo7vA</v>
      </c>
    </row>
    <row r="3998" customFormat="false" ht="15" hidden="false" customHeight="false" outlineLevel="0" collapsed="false">
      <c r="A3998" s="5" t="n">
        <v>6</v>
      </c>
      <c r="B3998" s="5" t="n">
        <v>4</v>
      </c>
      <c r="C3998" s="5" t="s">
        <v>92</v>
      </c>
      <c r="D3998" s="5" t="s">
        <v>1855</v>
      </c>
      <c r="E3998" s="5" t="n">
        <v>1</v>
      </c>
      <c r="F3998" s="6" t="n">
        <f aca="false">IFERROR(MATCH(A3998&amp;"|"&amp;B3998&amp;"|"&amp;D3998,'All Song Rankings'!$T:$T,0),0)</f>
        <v>610</v>
      </c>
      <c r="G3998" s="6" t="str">
        <f aca="false">IF(F3998=0,"NOT FOUND",INDEX('All Song Rankings'!$A:$A,F3998))</f>
        <v>I Wanna Dance with Somebody (Who Loves Me)</v>
      </c>
      <c r="H3998" s="6" t="str">
        <f aca="false">IF(F3998=0,"NOT FOUND",INDEX('All Song Rankings'!$B:$B,F3998))</f>
        <v>Whitney Houston</v>
      </c>
      <c r="I3998" s="6" t="str">
        <f aca="false">IF(F3998=0,"NOT FOUND",INDEX('All Song Rankings'!$D:$D,F3998))</f>
        <v>Aubrey</v>
      </c>
      <c r="J3998" s="7" t="str">
        <f aca="false">IF(F3998=0,"NOT FOUND",IF(C3998=I3998,"SELF-VOTE",IF(COUNTIF($K:$K,K3998)&gt;1,"DUPLICATE","OK")))</f>
        <v>OK</v>
      </c>
      <c r="K3998" s="6" t="str">
        <f aca="false">A3998&amp;"|"&amp;B3998&amp;"|"&amp;C3998&amp;"|"&amp;D3998</f>
        <v>6|4|Nicole|spotify:track:2tUBqZG2AbRi7Q0BIrVrEj</v>
      </c>
    </row>
    <row r="3999" customFormat="false" ht="15" hidden="false" customHeight="false" outlineLevel="0" collapsed="false">
      <c r="A3999" s="5" t="n">
        <v>6</v>
      </c>
      <c r="B3999" s="5" t="n">
        <v>4</v>
      </c>
      <c r="C3999" s="5" t="s">
        <v>92</v>
      </c>
      <c r="D3999" s="5" t="s">
        <v>1828</v>
      </c>
      <c r="E3999" s="5" t="n">
        <v>1</v>
      </c>
      <c r="F3999" s="6" t="n">
        <f aca="false">IFERROR(MATCH(A3999&amp;"|"&amp;B3999&amp;"|"&amp;D3999,'All Song Rankings'!$T:$T,0),0)</f>
        <v>599</v>
      </c>
      <c r="G3999" s="6" t="str">
        <f aca="false">IF(F3999=0,"NOT FOUND",INDEX('All Song Rankings'!$A:$A,F3999))</f>
        <v>Footloose - From "Footloose" Soundtrack</v>
      </c>
      <c r="H3999" s="6" t="str">
        <f aca="false">IF(F3999=0,"NOT FOUND",INDEX('All Song Rankings'!$B:$B,F3999))</f>
        <v>Kenny Loggins</v>
      </c>
      <c r="I3999" s="6" t="str">
        <f aca="false">IF(F3999=0,"NOT FOUND",INDEX('All Song Rankings'!$D:$D,F3999))</f>
        <v>Colleen</v>
      </c>
      <c r="J3999" s="7" t="str">
        <f aca="false">IF(F3999=0,"NOT FOUND",IF(C3999=I3999,"SELF-VOTE",IF(COUNTIF($K:$K,K3999)&gt;1,"DUPLICATE","OK")))</f>
        <v>OK</v>
      </c>
      <c r="K3999" s="6" t="str">
        <f aca="false">A3999&amp;"|"&amp;B3999&amp;"|"&amp;C3999&amp;"|"&amp;D3999</f>
        <v>6|4|Nicole|spotify:track:2vz1CsL5WBsbpBcwgboTAw</v>
      </c>
    </row>
    <row r="4000" customFormat="false" ht="15" hidden="false" customHeight="false" outlineLevel="0" collapsed="false">
      <c r="A4000" s="5" t="n">
        <v>6</v>
      </c>
      <c r="B4000" s="5" t="n">
        <v>4</v>
      </c>
      <c r="C4000" s="5" t="s">
        <v>92</v>
      </c>
      <c r="D4000" s="5" t="s">
        <v>1826</v>
      </c>
      <c r="E4000" s="5" t="n">
        <v>1</v>
      </c>
      <c r="F4000" s="6" t="n">
        <f aca="false">IFERROR(MATCH(A4000&amp;"|"&amp;B4000&amp;"|"&amp;D4000,'All Song Rankings'!$T:$T,0),0)</f>
        <v>598</v>
      </c>
      <c r="G4000" s="6" t="str">
        <f aca="false">IF(F4000=0,"NOT FOUND",INDEX('All Song Rankings'!$A:$A,F4000))</f>
        <v>Came Here for Love</v>
      </c>
      <c r="H4000" s="6" t="str">
        <f aca="false">IF(F4000=0,"NOT FOUND",INDEX('All Song Rankings'!$B:$B,F4000))</f>
        <v>Sigala</v>
      </c>
      <c r="I4000" s="6" t="str">
        <f aca="false">IF(F4000=0,"NOT FOUND",INDEX('All Song Rankings'!$D:$D,F4000))</f>
        <v>Kelsey</v>
      </c>
      <c r="J4000" s="7" t="str">
        <f aca="false">IF(F4000=0,"NOT FOUND",IF(C4000=I4000,"SELF-VOTE",IF(COUNTIF($K:$K,K4000)&gt;1,"DUPLICATE","OK")))</f>
        <v>OK</v>
      </c>
      <c r="K4000" s="6" t="str">
        <f aca="false">A4000&amp;"|"&amp;B4000&amp;"|"&amp;C4000&amp;"|"&amp;D4000</f>
        <v>6|4|Nicole|spotify:track:3kGfazcbVvVkuZunzlLgTD</v>
      </c>
    </row>
    <row r="4001" customFormat="false" ht="15" hidden="false" customHeight="false" outlineLevel="0" collapsed="false">
      <c r="A4001" s="5" t="n">
        <v>6</v>
      </c>
      <c r="B4001" s="5" t="n">
        <v>4</v>
      </c>
      <c r="C4001" s="5" t="s">
        <v>92</v>
      </c>
      <c r="D4001" s="5" t="s">
        <v>1823</v>
      </c>
      <c r="E4001" s="5" t="n">
        <v>1</v>
      </c>
      <c r="F4001" s="6" t="n">
        <f aca="false">IFERROR(MATCH(A4001&amp;"|"&amp;B4001&amp;"|"&amp;D4001,'All Song Rankings'!$T:$T,0),0)</f>
        <v>597</v>
      </c>
      <c r="G4001" s="6" t="str">
        <f aca="false">IF(F4001=0,"NOT FOUND",INDEX('All Song Rankings'!$A:$A,F4001))</f>
        <v>Gasolina</v>
      </c>
      <c r="H4001" s="6" t="str">
        <f aca="false">IF(F4001=0,"NOT FOUND",INDEX('All Song Rankings'!$B:$B,F4001))</f>
        <v>Daddy Yankee</v>
      </c>
      <c r="I4001" s="6" t="str">
        <f aca="false">IF(F4001=0,"NOT FOUND",INDEX('All Song Rankings'!$D:$D,F4001))</f>
        <v>Makenzie</v>
      </c>
      <c r="J4001" s="7" t="str">
        <f aca="false">IF(F4001=0,"NOT FOUND",IF(C4001=I4001,"SELF-VOTE",IF(COUNTIF($K:$K,K4001)&gt;1,"DUPLICATE","OK")))</f>
        <v>OK</v>
      </c>
      <c r="K4001" s="6" t="str">
        <f aca="false">A4001&amp;"|"&amp;B4001&amp;"|"&amp;C4001&amp;"|"&amp;D4001</f>
        <v>6|4|Nicole|spotify:track:5YoITs1m0q8UOQ4AW7N5ga</v>
      </c>
    </row>
    <row r="4002" customFormat="false" ht="15" hidden="false" customHeight="false" outlineLevel="0" collapsed="false">
      <c r="A4002" s="5" t="n">
        <v>6</v>
      </c>
      <c r="B4002" s="5" t="n">
        <v>4</v>
      </c>
      <c r="C4002" s="5" t="s">
        <v>92</v>
      </c>
      <c r="D4002" s="5" t="s">
        <v>1840</v>
      </c>
      <c r="E4002" s="5" t="n">
        <v>2</v>
      </c>
      <c r="F4002" s="6" t="n">
        <f aca="false">IFERROR(MATCH(A4002&amp;"|"&amp;B4002&amp;"|"&amp;D4002,'All Song Rankings'!$T:$T,0),0)</f>
        <v>604</v>
      </c>
      <c r="G4002" s="6" t="str">
        <f aca="false">IF(F4002=0,"NOT FOUND",INDEX('All Song Rankings'!$A:$A,F4002))</f>
        <v>Wobble</v>
      </c>
      <c r="H4002" s="6" t="str">
        <f aca="false">IF(F4002=0,"NOT FOUND",INDEX('All Song Rankings'!$B:$B,F4002))</f>
        <v>V.I.C.</v>
      </c>
      <c r="I4002" s="6" t="str">
        <f aca="false">IF(F4002=0,"NOT FOUND",INDEX('All Song Rankings'!$D:$D,F4002))</f>
        <v>Leah</v>
      </c>
      <c r="J4002" s="7" t="str">
        <f aca="false">IF(F4002=0,"NOT FOUND",IF(C4002=I4002,"SELF-VOTE",IF(COUNTIF($K:$K,K4002)&gt;1,"DUPLICATE","OK")))</f>
        <v>OK</v>
      </c>
      <c r="K4002" s="6" t="str">
        <f aca="false">A4002&amp;"|"&amp;B4002&amp;"|"&amp;C4002&amp;"|"&amp;D4002</f>
        <v>6|4|Nicole|spotify:track:6JLcz9UGiVxAmEZXlCucn5</v>
      </c>
    </row>
    <row r="4003" customFormat="false" ht="15" hidden="false" customHeight="false" outlineLevel="0" collapsed="false">
      <c r="A4003" s="5" t="n">
        <v>6</v>
      </c>
      <c r="B4003" s="5" t="n">
        <v>4</v>
      </c>
      <c r="C4003" s="5" t="s">
        <v>484</v>
      </c>
      <c r="D4003" s="5" t="s">
        <v>1818</v>
      </c>
      <c r="E4003" s="5" t="n">
        <v>1</v>
      </c>
      <c r="F4003" s="6" t="n">
        <f aca="false">IFERROR(MATCH(A4003&amp;"|"&amp;B4003&amp;"|"&amp;D4003,'All Song Rankings'!$T:$T,0),0)</f>
        <v>595</v>
      </c>
      <c r="G4003" s="6" t="str">
        <f aca="false">IF(F4003=0,"NOT FOUND",INDEX('All Song Rankings'!$A:$A,F4003))</f>
        <v>Low (feat. T-Pain)</v>
      </c>
      <c r="H4003" s="6" t="str">
        <f aca="false">IF(F4003=0,"NOT FOUND",INDEX('All Song Rankings'!$B:$B,F4003))</f>
        <v>Flo Rida</v>
      </c>
      <c r="I4003" s="6" t="str">
        <f aca="false">IF(F4003=0,"NOT FOUND",INDEX('All Song Rankings'!$D:$D,F4003))</f>
        <v>Matt</v>
      </c>
      <c r="J4003" s="7" t="str">
        <f aca="false">IF(F4003=0,"NOT FOUND",IF(C4003=I4003,"SELF-VOTE",IF(COUNTIF($K:$K,K4003)&gt;1,"DUPLICATE","OK")))</f>
        <v>OK</v>
      </c>
      <c r="K4003" s="6" t="str">
        <f aca="false">A4003&amp;"|"&amp;B4003&amp;"|"&amp;C4003&amp;"|"&amp;D4003</f>
        <v>6|4|Scott|spotify:track:0CAfXk7DXMnon4gLudAp7J</v>
      </c>
    </row>
    <row r="4004" customFormat="false" ht="15" hidden="false" customHeight="false" outlineLevel="0" collapsed="false">
      <c r="A4004" s="5" t="n">
        <v>6</v>
      </c>
      <c r="B4004" s="5" t="n">
        <v>4</v>
      </c>
      <c r="C4004" s="5" t="s">
        <v>484</v>
      </c>
      <c r="D4004" s="5" t="s">
        <v>1820</v>
      </c>
      <c r="E4004" s="5" t="n">
        <v>1</v>
      </c>
      <c r="F4004" s="6" t="n">
        <f aca="false">IFERROR(MATCH(A4004&amp;"|"&amp;B4004&amp;"|"&amp;D4004,'All Song Rankings'!$T:$T,0),0)</f>
        <v>596</v>
      </c>
      <c r="G4004" s="6" t="str">
        <f aca="false">IF(F4004=0,"NOT FOUND",INDEX('All Song Rankings'!$A:$A,F4004))</f>
        <v>Dance The Night - From Barbie The Album</v>
      </c>
      <c r="H4004" s="6" t="str">
        <f aca="false">IF(F4004=0,"NOT FOUND",INDEX('All Song Rankings'!$B:$B,F4004))</f>
        <v>Dua Lipa</v>
      </c>
      <c r="I4004" s="6" t="str">
        <f aca="false">IF(F4004=0,"NOT FOUND",INDEX('All Song Rankings'!$D:$D,F4004))</f>
        <v>Grace</v>
      </c>
      <c r="J4004" s="7" t="str">
        <f aca="false">IF(F4004=0,"NOT FOUND",IF(C4004=I4004,"SELF-VOTE",IF(COUNTIF($K:$K,K4004)&gt;1,"DUPLICATE","OK")))</f>
        <v>OK</v>
      </c>
      <c r="K4004" s="6" t="str">
        <f aca="false">A4004&amp;"|"&amp;B4004&amp;"|"&amp;C4004&amp;"|"&amp;D4004</f>
        <v>6|4|Scott|spotify:track:1vYXt7VSjH9JIM5oRRo7vA</v>
      </c>
    </row>
    <row r="4005" customFormat="false" ht="15" hidden="false" customHeight="false" outlineLevel="0" collapsed="false">
      <c r="A4005" s="5" t="n">
        <v>6</v>
      </c>
      <c r="B4005" s="5" t="n">
        <v>4</v>
      </c>
      <c r="C4005" s="5" t="s">
        <v>484</v>
      </c>
      <c r="D4005" s="5" t="s">
        <v>1432</v>
      </c>
      <c r="E4005" s="5" t="n">
        <v>1</v>
      </c>
      <c r="F4005" s="6" t="n">
        <f aca="false">IFERROR(MATCH(A4005&amp;"|"&amp;B4005&amp;"|"&amp;D4005,'All Song Rankings'!$T:$T,0),0)</f>
        <v>608</v>
      </c>
      <c r="G4005" s="6" t="str">
        <f aca="false">IF(F4005=0,"NOT FOUND",INDEX('All Song Rankings'!$A:$A,F4005))</f>
        <v>Raspberry Beret</v>
      </c>
      <c r="H4005" s="6" t="str">
        <f aca="false">IF(F4005=0,"NOT FOUND",INDEX('All Song Rankings'!$B:$B,F4005))</f>
        <v>Prince</v>
      </c>
      <c r="I4005" s="6" t="str">
        <f aca="false">IF(F4005=0,"NOT FOUND",INDEX('All Song Rankings'!$D:$D,F4005))</f>
        <v>Lisa</v>
      </c>
      <c r="J4005" s="7" t="str">
        <f aca="false">IF(F4005=0,"NOT FOUND",IF(C4005=I4005,"SELF-VOTE",IF(COUNTIF($K:$K,K4005)&gt;1,"DUPLICATE","OK")))</f>
        <v>OK</v>
      </c>
      <c r="K4005" s="6" t="str">
        <f aca="false">A4005&amp;"|"&amp;B4005&amp;"|"&amp;C4005&amp;"|"&amp;D4005</f>
        <v>6|4|Scott|spotify:track:2I1W3hcSsPIsEJfD69pHrW</v>
      </c>
    </row>
    <row r="4006" customFormat="false" ht="15" hidden="false" customHeight="false" outlineLevel="0" collapsed="false">
      <c r="A4006" s="5" t="n">
        <v>6</v>
      </c>
      <c r="B4006" s="5" t="n">
        <v>4</v>
      </c>
      <c r="C4006" s="5" t="s">
        <v>484</v>
      </c>
      <c r="D4006" s="5" t="s">
        <v>1850</v>
      </c>
      <c r="E4006" s="5" t="n">
        <v>2</v>
      </c>
      <c r="F4006" s="6" t="n">
        <f aca="false">IFERROR(MATCH(A4006&amp;"|"&amp;B4006&amp;"|"&amp;D4006,'All Song Rankings'!$T:$T,0),0)</f>
        <v>607</v>
      </c>
      <c r="G4006" s="6" t="str">
        <f aca="false">IF(F4006=0,"NOT FOUND",INDEX('All Song Rankings'!$A:$A,F4006))</f>
        <v>Party Your Body</v>
      </c>
      <c r="H4006" s="6" t="str">
        <f aca="false">IF(F4006=0,"NOT FOUND",INDEX('All Song Rankings'!$B:$B,F4006))</f>
        <v>Stevie B</v>
      </c>
      <c r="I4006" s="6" t="str">
        <f aca="false">IF(F4006=0,"NOT FOUND",INDEX('All Song Rankings'!$D:$D,F4006))</f>
        <v>Christine</v>
      </c>
      <c r="J4006" s="7" t="str">
        <f aca="false">IF(F4006=0,"NOT FOUND",IF(C4006=I4006,"SELF-VOTE",IF(COUNTIF($K:$K,K4006)&gt;1,"DUPLICATE","OK")))</f>
        <v>OK</v>
      </c>
      <c r="K4006" s="6" t="str">
        <f aca="false">A4006&amp;"|"&amp;B4006&amp;"|"&amp;C4006&amp;"|"&amp;D4006</f>
        <v>6|4|Scott|spotify:track:2rZMR4TBSUIpFCCnKsl7uO</v>
      </c>
    </row>
    <row r="4007" customFormat="false" ht="15" hidden="false" customHeight="false" outlineLevel="0" collapsed="false">
      <c r="A4007" s="5" t="n">
        <v>6</v>
      </c>
      <c r="B4007" s="5" t="n">
        <v>4</v>
      </c>
      <c r="C4007" s="5" t="s">
        <v>484</v>
      </c>
      <c r="D4007" s="5" t="s">
        <v>1828</v>
      </c>
      <c r="E4007" s="5" t="n">
        <v>1</v>
      </c>
      <c r="F4007" s="6" t="n">
        <f aca="false">IFERROR(MATCH(A4007&amp;"|"&amp;B4007&amp;"|"&amp;D4007,'All Song Rankings'!$T:$T,0),0)</f>
        <v>599</v>
      </c>
      <c r="G4007" s="6" t="str">
        <f aca="false">IF(F4007=0,"NOT FOUND",INDEX('All Song Rankings'!$A:$A,F4007))</f>
        <v>Footloose - From "Footloose" Soundtrack</v>
      </c>
      <c r="H4007" s="6" t="str">
        <f aca="false">IF(F4007=0,"NOT FOUND",INDEX('All Song Rankings'!$B:$B,F4007))</f>
        <v>Kenny Loggins</v>
      </c>
      <c r="I4007" s="6" t="str">
        <f aca="false">IF(F4007=0,"NOT FOUND",INDEX('All Song Rankings'!$D:$D,F4007))</f>
        <v>Colleen</v>
      </c>
      <c r="J4007" s="7" t="str">
        <f aca="false">IF(F4007=0,"NOT FOUND",IF(C4007=I4007,"SELF-VOTE",IF(COUNTIF($K:$K,K4007)&gt;1,"DUPLICATE","OK")))</f>
        <v>OK</v>
      </c>
      <c r="K4007" s="6" t="str">
        <f aca="false">A4007&amp;"|"&amp;B4007&amp;"|"&amp;C4007&amp;"|"&amp;D4007</f>
        <v>6|4|Scott|spotify:track:2vz1CsL5WBsbpBcwgboTAw</v>
      </c>
    </row>
    <row r="4008" customFormat="false" ht="15" hidden="false" customHeight="false" outlineLevel="0" collapsed="false">
      <c r="A4008" s="5" t="n">
        <v>6</v>
      </c>
      <c r="B4008" s="5" t="n">
        <v>4</v>
      </c>
      <c r="C4008" s="5" t="s">
        <v>484</v>
      </c>
      <c r="D4008" s="5" t="s">
        <v>1831</v>
      </c>
      <c r="E4008" s="5" t="n">
        <v>1</v>
      </c>
      <c r="F4008" s="6" t="n">
        <f aca="false">IFERROR(MATCH(A4008&amp;"|"&amp;B4008&amp;"|"&amp;D4008,'All Song Rankings'!$T:$T,0),0)</f>
        <v>600</v>
      </c>
      <c r="G4008" s="6" t="str">
        <f aca="false">IF(F4008=0,"NOT FOUND",INDEX('All Song Rankings'!$A:$A,F4008))</f>
        <v>Fireball (feat. John Ryan)</v>
      </c>
      <c r="H4008" s="6" t="str">
        <f aca="false">IF(F4008=0,"NOT FOUND",INDEX('All Song Rankings'!$B:$B,F4008))</f>
        <v>Pitbull</v>
      </c>
      <c r="I4008" s="6" t="str">
        <f aca="false">IF(F4008=0,"NOT FOUND",INDEX('All Song Rankings'!$D:$D,F4008))</f>
        <v>Kristen</v>
      </c>
      <c r="J4008" s="7" t="str">
        <f aca="false">IF(F4008=0,"NOT FOUND",IF(C4008=I4008,"SELF-VOTE",IF(COUNTIF($K:$K,K4008)&gt;1,"DUPLICATE","OK")))</f>
        <v>OK</v>
      </c>
      <c r="K4008" s="6" t="str">
        <f aca="false">A4008&amp;"|"&amp;B4008&amp;"|"&amp;C4008&amp;"|"&amp;D4008</f>
        <v>6|4|Scott|spotify:track:4Y7XAxTANhu3lmnLAzhWJW</v>
      </c>
    </row>
    <row r="4009" customFormat="false" ht="15" hidden="false" customHeight="false" outlineLevel="0" collapsed="false">
      <c r="A4009" s="5" t="n">
        <v>6</v>
      </c>
      <c r="B4009" s="5" t="n">
        <v>4</v>
      </c>
      <c r="C4009" s="5" t="s">
        <v>484</v>
      </c>
      <c r="D4009" s="5" t="s">
        <v>1847</v>
      </c>
      <c r="E4009" s="5" t="n">
        <v>1</v>
      </c>
      <c r="F4009" s="6" t="n">
        <f aca="false">IFERROR(MATCH(A4009&amp;"|"&amp;B4009&amp;"|"&amp;D4009,'All Song Rankings'!$T:$T,0),0)</f>
        <v>606</v>
      </c>
      <c r="G4009" s="6" t="str">
        <f aca="false">IF(F4009=0,"NOT FOUND",INDEX('All Song Rankings'!$A:$A,F4009))</f>
        <v>Nails, Hair, Hips, Heels (Remix)</v>
      </c>
      <c r="H4009" s="6" t="str">
        <f aca="false">IF(F4009=0,"NOT FOUND",INDEX('All Song Rankings'!$B:$B,F4009))</f>
        <v>Todrick Hall</v>
      </c>
      <c r="I4009" s="6" t="str">
        <f aca="false">IF(F4009=0,"NOT FOUND",INDEX('All Song Rankings'!$D:$D,F4009))</f>
        <v>Logan</v>
      </c>
      <c r="J4009" s="7" t="str">
        <f aca="false">IF(F4009=0,"NOT FOUND",IF(C4009=I4009,"SELF-VOTE",IF(COUNTIF($K:$K,K4009)&gt;1,"DUPLICATE","OK")))</f>
        <v>OK</v>
      </c>
      <c r="K4009" s="6" t="str">
        <f aca="false">A4009&amp;"|"&amp;B4009&amp;"|"&amp;C4009&amp;"|"&amp;D4009</f>
        <v>6|4|Scott|spotify:track:5PeaqO7m6S1TC3hwbmk9j5</v>
      </c>
    </row>
    <row r="4010" customFormat="false" ht="15" hidden="false" customHeight="false" outlineLevel="0" collapsed="false">
      <c r="A4010" s="5" t="n">
        <v>6</v>
      </c>
      <c r="B4010" s="5" t="n">
        <v>4</v>
      </c>
      <c r="C4010" s="5" t="s">
        <v>484</v>
      </c>
      <c r="D4010" s="5" t="s">
        <v>1823</v>
      </c>
      <c r="E4010" s="5" t="n">
        <v>1</v>
      </c>
      <c r="F4010" s="6" t="n">
        <f aca="false">IFERROR(MATCH(A4010&amp;"|"&amp;B4010&amp;"|"&amp;D4010,'All Song Rankings'!$T:$T,0),0)</f>
        <v>597</v>
      </c>
      <c r="G4010" s="6" t="str">
        <f aca="false">IF(F4010=0,"NOT FOUND",INDEX('All Song Rankings'!$A:$A,F4010))</f>
        <v>Gasolina</v>
      </c>
      <c r="H4010" s="6" t="str">
        <f aca="false">IF(F4010=0,"NOT FOUND",INDEX('All Song Rankings'!$B:$B,F4010))</f>
        <v>Daddy Yankee</v>
      </c>
      <c r="I4010" s="6" t="str">
        <f aca="false">IF(F4010=0,"NOT FOUND",INDEX('All Song Rankings'!$D:$D,F4010))</f>
        <v>Makenzie</v>
      </c>
      <c r="J4010" s="7" t="str">
        <f aca="false">IF(F4010=0,"NOT FOUND",IF(C4010=I4010,"SELF-VOTE",IF(COUNTIF($K:$K,K4010)&gt;1,"DUPLICATE","OK")))</f>
        <v>OK</v>
      </c>
      <c r="K4010" s="6" t="str">
        <f aca="false">A4010&amp;"|"&amp;B4010&amp;"|"&amp;C4010&amp;"|"&amp;D4010</f>
        <v>6|4|Scott|spotify:track:5YoITs1m0q8UOQ4AW7N5ga</v>
      </c>
    </row>
    <row r="4011" customFormat="false" ht="15" hidden="false" customHeight="false" outlineLevel="0" collapsed="false">
      <c r="A4011" s="5" t="n">
        <v>6</v>
      </c>
      <c r="B4011" s="5" t="n">
        <v>4</v>
      </c>
      <c r="C4011" s="5" t="s">
        <v>484</v>
      </c>
      <c r="D4011" s="5" t="s">
        <v>1834</v>
      </c>
      <c r="E4011" s="5" t="n">
        <v>1</v>
      </c>
      <c r="F4011" s="6" t="n">
        <f aca="false">IFERROR(MATCH(A4011&amp;"|"&amp;B4011&amp;"|"&amp;D4011,'All Song Rankings'!$T:$T,0),0)</f>
        <v>601</v>
      </c>
      <c r="G4011" s="6" t="str">
        <f aca="false">IF(F4011=0,"NOT FOUND",INDEX('All Song Rankings'!$A:$A,F4011))</f>
        <v>Sunroof</v>
      </c>
      <c r="H4011" s="6" t="str">
        <f aca="false">IF(F4011=0,"NOT FOUND",INDEX('All Song Rankings'!$B:$B,F4011))</f>
        <v>Nicky Youre</v>
      </c>
      <c r="I4011" s="6" t="str">
        <f aca="false">IF(F4011=0,"NOT FOUND",INDEX('All Song Rankings'!$D:$D,F4011))</f>
        <v>Nicole</v>
      </c>
      <c r="J4011" s="7" t="str">
        <f aca="false">IF(F4011=0,"NOT FOUND",IF(C4011=I4011,"SELF-VOTE",IF(COUNTIF($K:$K,K4011)&gt;1,"DUPLICATE","OK")))</f>
        <v>OK</v>
      </c>
      <c r="K4011" s="6" t="str">
        <f aca="false">A4011&amp;"|"&amp;B4011&amp;"|"&amp;C4011&amp;"|"&amp;D4011</f>
        <v>6|4|Scott|spotify:track:5YqEzk3C5c3UZ1D5fJUlXA</v>
      </c>
    </row>
    <row r="4012" customFormat="false" ht="15" hidden="false" customHeight="false" outlineLevel="0" collapsed="false">
      <c r="A4012" s="5" t="n">
        <v>6</v>
      </c>
      <c r="B4012" s="5" t="n">
        <v>4</v>
      </c>
      <c r="C4012" s="5" t="s">
        <v>97</v>
      </c>
      <c r="D4012" s="5" t="s">
        <v>1818</v>
      </c>
      <c r="E4012" s="5" t="n">
        <v>2</v>
      </c>
      <c r="F4012" s="6" t="n">
        <f aca="false">IFERROR(MATCH(A4012&amp;"|"&amp;B4012&amp;"|"&amp;D4012,'All Song Rankings'!$T:$T,0),0)</f>
        <v>595</v>
      </c>
      <c r="G4012" s="6" t="str">
        <f aca="false">IF(F4012=0,"NOT FOUND",INDEX('All Song Rankings'!$A:$A,F4012))</f>
        <v>Low (feat. T-Pain)</v>
      </c>
      <c r="H4012" s="6" t="str">
        <f aca="false">IF(F4012=0,"NOT FOUND",INDEX('All Song Rankings'!$B:$B,F4012))</f>
        <v>Flo Rida</v>
      </c>
      <c r="I4012" s="6" t="str">
        <f aca="false">IF(F4012=0,"NOT FOUND",INDEX('All Song Rankings'!$D:$D,F4012))</f>
        <v>Matt</v>
      </c>
      <c r="J4012" s="7" t="str">
        <f aca="false">IF(F4012=0,"NOT FOUND",IF(C4012=I4012,"SELF-VOTE",IF(COUNTIF($K:$K,K4012)&gt;1,"DUPLICATE","OK")))</f>
        <v>OK</v>
      </c>
      <c r="K4012" s="6" t="str">
        <f aca="false">A4012&amp;"|"&amp;B4012&amp;"|"&amp;C4012&amp;"|"&amp;D4012</f>
        <v>6|4|Stephanie|spotify:track:0CAfXk7DXMnon4gLudAp7J</v>
      </c>
    </row>
    <row r="4013" customFormat="false" ht="15" hidden="false" customHeight="false" outlineLevel="0" collapsed="false">
      <c r="A4013" s="5" t="n">
        <v>6</v>
      </c>
      <c r="B4013" s="5" t="n">
        <v>4</v>
      </c>
      <c r="C4013" s="5" t="s">
        <v>97</v>
      </c>
      <c r="D4013" s="5" t="s">
        <v>1820</v>
      </c>
      <c r="E4013" s="5" t="n">
        <v>2</v>
      </c>
      <c r="F4013" s="6" t="n">
        <f aca="false">IFERROR(MATCH(A4013&amp;"|"&amp;B4013&amp;"|"&amp;D4013,'All Song Rankings'!$T:$T,0),0)</f>
        <v>596</v>
      </c>
      <c r="G4013" s="6" t="str">
        <f aca="false">IF(F4013=0,"NOT FOUND",INDEX('All Song Rankings'!$A:$A,F4013))</f>
        <v>Dance The Night - From Barbie The Album</v>
      </c>
      <c r="H4013" s="6" t="str">
        <f aca="false">IF(F4013=0,"NOT FOUND",INDEX('All Song Rankings'!$B:$B,F4013))</f>
        <v>Dua Lipa</v>
      </c>
      <c r="I4013" s="6" t="str">
        <f aca="false">IF(F4013=0,"NOT FOUND",INDEX('All Song Rankings'!$D:$D,F4013))</f>
        <v>Grace</v>
      </c>
      <c r="J4013" s="7" t="str">
        <f aca="false">IF(F4013=0,"NOT FOUND",IF(C4013=I4013,"SELF-VOTE",IF(COUNTIF($K:$K,K4013)&gt;1,"DUPLICATE","OK")))</f>
        <v>OK</v>
      </c>
      <c r="K4013" s="6" t="str">
        <f aca="false">A4013&amp;"|"&amp;B4013&amp;"|"&amp;C4013&amp;"|"&amp;D4013</f>
        <v>6|4|Stephanie|spotify:track:1vYXt7VSjH9JIM5oRRo7vA</v>
      </c>
    </row>
    <row r="4014" customFormat="false" ht="15" hidden="false" customHeight="false" outlineLevel="0" collapsed="false">
      <c r="A4014" s="5" t="n">
        <v>6</v>
      </c>
      <c r="B4014" s="5" t="n">
        <v>4</v>
      </c>
      <c r="C4014" s="5" t="s">
        <v>97</v>
      </c>
      <c r="D4014" s="5" t="s">
        <v>376</v>
      </c>
      <c r="E4014" s="5" t="n">
        <v>1</v>
      </c>
      <c r="F4014" s="6" t="n">
        <f aca="false">IFERROR(MATCH(A4014&amp;"|"&amp;B4014&amp;"|"&amp;D4014,'All Song Rankings'!$T:$T,0),0)</f>
        <v>602</v>
      </c>
      <c r="G4014" s="6" t="str">
        <f aca="false">IF(F4014=0,"NOT FOUND",INDEX('All Song Rankings'!$A:$A,F4014))</f>
        <v>On The Floor</v>
      </c>
      <c r="H4014" s="6" t="str">
        <f aca="false">IF(F4014=0,"NOT FOUND",INDEX('All Song Rankings'!$B:$B,F4014))</f>
        <v>Jennifer Lopez</v>
      </c>
      <c r="I4014" s="6" t="str">
        <f aca="false">IF(F4014=0,"NOT FOUND",INDEX('All Song Rankings'!$D:$D,F4014))</f>
        <v>Merita</v>
      </c>
      <c r="J4014" s="7" t="str">
        <f aca="false">IF(F4014=0,"NOT FOUND",IF(C4014=I4014,"SELF-VOTE",IF(COUNTIF($K:$K,K4014)&gt;1,"DUPLICATE","OK")))</f>
        <v>OK</v>
      </c>
      <c r="K4014" s="6" t="str">
        <f aca="false">A4014&amp;"|"&amp;B4014&amp;"|"&amp;C4014&amp;"|"&amp;D4014</f>
        <v>6|4|Stephanie|spotify:track:20zQZVyUNPbq8kZACdgYrh</v>
      </c>
    </row>
    <row r="4015" customFormat="false" ht="15" hidden="false" customHeight="false" outlineLevel="0" collapsed="false">
      <c r="A4015" s="5" t="n">
        <v>6</v>
      </c>
      <c r="B4015" s="5" t="n">
        <v>4</v>
      </c>
      <c r="C4015" s="5" t="s">
        <v>97</v>
      </c>
      <c r="D4015" s="5" t="s">
        <v>1828</v>
      </c>
      <c r="E4015" s="5" t="n">
        <v>1</v>
      </c>
      <c r="F4015" s="6" t="n">
        <f aca="false">IFERROR(MATCH(A4015&amp;"|"&amp;B4015&amp;"|"&amp;D4015,'All Song Rankings'!$T:$T,0),0)</f>
        <v>599</v>
      </c>
      <c r="G4015" s="6" t="str">
        <f aca="false">IF(F4015=0,"NOT FOUND",INDEX('All Song Rankings'!$A:$A,F4015))</f>
        <v>Footloose - From "Footloose" Soundtrack</v>
      </c>
      <c r="H4015" s="6" t="str">
        <f aca="false">IF(F4015=0,"NOT FOUND",INDEX('All Song Rankings'!$B:$B,F4015))</f>
        <v>Kenny Loggins</v>
      </c>
      <c r="I4015" s="6" t="str">
        <f aca="false">IF(F4015=0,"NOT FOUND",INDEX('All Song Rankings'!$D:$D,F4015))</f>
        <v>Colleen</v>
      </c>
      <c r="J4015" s="7" t="str">
        <f aca="false">IF(F4015=0,"NOT FOUND",IF(C4015=I4015,"SELF-VOTE",IF(COUNTIF($K:$K,K4015)&gt;1,"DUPLICATE","OK")))</f>
        <v>OK</v>
      </c>
      <c r="K4015" s="6" t="str">
        <f aca="false">A4015&amp;"|"&amp;B4015&amp;"|"&amp;C4015&amp;"|"&amp;D4015</f>
        <v>6|4|Stephanie|spotify:track:2vz1CsL5WBsbpBcwgboTAw</v>
      </c>
    </row>
    <row r="4016" customFormat="false" ht="15" hidden="false" customHeight="false" outlineLevel="0" collapsed="false">
      <c r="A4016" s="5" t="n">
        <v>6</v>
      </c>
      <c r="B4016" s="5" t="n">
        <v>4</v>
      </c>
      <c r="C4016" s="5" t="s">
        <v>97</v>
      </c>
      <c r="D4016" s="5" t="s">
        <v>1826</v>
      </c>
      <c r="E4016" s="5" t="n">
        <v>1</v>
      </c>
      <c r="F4016" s="6" t="n">
        <f aca="false">IFERROR(MATCH(A4016&amp;"|"&amp;B4016&amp;"|"&amp;D4016,'All Song Rankings'!$T:$T,0),0)</f>
        <v>598</v>
      </c>
      <c r="G4016" s="6" t="str">
        <f aca="false">IF(F4016=0,"NOT FOUND",INDEX('All Song Rankings'!$A:$A,F4016))</f>
        <v>Came Here for Love</v>
      </c>
      <c r="H4016" s="6" t="str">
        <f aca="false">IF(F4016=0,"NOT FOUND",INDEX('All Song Rankings'!$B:$B,F4016))</f>
        <v>Sigala</v>
      </c>
      <c r="I4016" s="6" t="str">
        <f aca="false">IF(F4016=0,"NOT FOUND",INDEX('All Song Rankings'!$D:$D,F4016))</f>
        <v>Kelsey</v>
      </c>
      <c r="J4016" s="7" t="str">
        <f aca="false">IF(F4016=0,"NOT FOUND",IF(C4016=I4016,"SELF-VOTE",IF(COUNTIF($K:$K,K4016)&gt;1,"DUPLICATE","OK")))</f>
        <v>OK</v>
      </c>
      <c r="K4016" s="6" t="str">
        <f aca="false">A4016&amp;"|"&amp;B4016&amp;"|"&amp;C4016&amp;"|"&amp;D4016</f>
        <v>6|4|Stephanie|spotify:track:3kGfazcbVvVkuZunzlLgTD</v>
      </c>
    </row>
    <row r="4017" customFormat="false" ht="15" hidden="false" customHeight="false" outlineLevel="0" collapsed="false">
      <c r="A4017" s="5" t="n">
        <v>6</v>
      </c>
      <c r="B4017" s="5" t="n">
        <v>4</v>
      </c>
      <c r="C4017" s="5" t="s">
        <v>97</v>
      </c>
      <c r="D4017" s="5" t="s">
        <v>1831</v>
      </c>
      <c r="E4017" s="5" t="n">
        <v>1</v>
      </c>
      <c r="F4017" s="6" t="n">
        <f aca="false">IFERROR(MATCH(A4017&amp;"|"&amp;B4017&amp;"|"&amp;D4017,'All Song Rankings'!$T:$T,0),0)</f>
        <v>600</v>
      </c>
      <c r="G4017" s="6" t="str">
        <f aca="false">IF(F4017=0,"NOT FOUND",INDEX('All Song Rankings'!$A:$A,F4017))</f>
        <v>Fireball (feat. John Ryan)</v>
      </c>
      <c r="H4017" s="6" t="str">
        <f aca="false">IF(F4017=0,"NOT FOUND",INDEX('All Song Rankings'!$B:$B,F4017))</f>
        <v>Pitbull</v>
      </c>
      <c r="I4017" s="6" t="str">
        <f aca="false">IF(F4017=0,"NOT FOUND",INDEX('All Song Rankings'!$D:$D,F4017))</f>
        <v>Kristen</v>
      </c>
      <c r="J4017" s="7" t="str">
        <f aca="false">IF(F4017=0,"NOT FOUND",IF(C4017=I4017,"SELF-VOTE",IF(COUNTIF($K:$K,K4017)&gt;1,"DUPLICATE","OK")))</f>
        <v>OK</v>
      </c>
      <c r="K4017" s="6" t="str">
        <f aca="false">A4017&amp;"|"&amp;B4017&amp;"|"&amp;C4017&amp;"|"&amp;D4017</f>
        <v>6|4|Stephanie|spotify:track:4Y7XAxTANhu3lmnLAzhWJW</v>
      </c>
    </row>
    <row r="4018" customFormat="false" ht="15" hidden="false" customHeight="false" outlineLevel="0" collapsed="false">
      <c r="A4018" s="5" t="n">
        <v>6</v>
      </c>
      <c r="B4018" s="5" t="n">
        <v>4</v>
      </c>
      <c r="C4018" s="5" t="s">
        <v>97</v>
      </c>
      <c r="D4018" s="5" t="s">
        <v>1847</v>
      </c>
      <c r="E4018" s="5" t="n">
        <v>1</v>
      </c>
      <c r="F4018" s="6" t="n">
        <f aca="false">IFERROR(MATCH(A4018&amp;"|"&amp;B4018&amp;"|"&amp;D4018,'All Song Rankings'!$T:$T,0),0)</f>
        <v>606</v>
      </c>
      <c r="G4018" s="6" t="str">
        <f aca="false">IF(F4018=0,"NOT FOUND",INDEX('All Song Rankings'!$A:$A,F4018))</f>
        <v>Nails, Hair, Hips, Heels (Remix)</v>
      </c>
      <c r="H4018" s="6" t="str">
        <f aca="false">IF(F4018=0,"NOT FOUND",INDEX('All Song Rankings'!$B:$B,F4018))</f>
        <v>Todrick Hall</v>
      </c>
      <c r="I4018" s="6" t="str">
        <f aca="false">IF(F4018=0,"NOT FOUND",INDEX('All Song Rankings'!$D:$D,F4018))</f>
        <v>Logan</v>
      </c>
      <c r="J4018" s="7" t="str">
        <f aca="false">IF(F4018=0,"NOT FOUND",IF(C4018=I4018,"SELF-VOTE",IF(COUNTIF($K:$K,K4018)&gt;1,"DUPLICATE","OK")))</f>
        <v>OK</v>
      </c>
      <c r="K4018" s="6" t="str">
        <f aca="false">A4018&amp;"|"&amp;B4018&amp;"|"&amp;C4018&amp;"|"&amp;D4018</f>
        <v>6|4|Stephanie|spotify:track:5PeaqO7m6S1TC3hwbmk9j5</v>
      </c>
    </row>
    <row r="4019" customFormat="false" ht="15" hidden="false" customHeight="false" outlineLevel="0" collapsed="false">
      <c r="A4019" s="5" t="n">
        <v>6</v>
      </c>
      <c r="B4019" s="5" t="n">
        <v>4</v>
      </c>
      <c r="C4019" s="5" t="s">
        <v>97</v>
      </c>
      <c r="D4019" s="5" t="s">
        <v>1823</v>
      </c>
      <c r="E4019" s="5" t="n">
        <v>1</v>
      </c>
      <c r="F4019" s="6" t="n">
        <f aca="false">IFERROR(MATCH(A4019&amp;"|"&amp;B4019&amp;"|"&amp;D4019,'All Song Rankings'!$T:$T,0),0)</f>
        <v>597</v>
      </c>
      <c r="G4019" s="6" t="str">
        <f aca="false">IF(F4019=0,"NOT FOUND",INDEX('All Song Rankings'!$A:$A,F4019))</f>
        <v>Gasolina</v>
      </c>
      <c r="H4019" s="6" t="str">
        <f aca="false">IF(F4019=0,"NOT FOUND",INDEX('All Song Rankings'!$B:$B,F4019))</f>
        <v>Daddy Yankee</v>
      </c>
      <c r="I4019" s="6" t="str">
        <f aca="false">IF(F4019=0,"NOT FOUND",INDEX('All Song Rankings'!$D:$D,F4019))</f>
        <v>Makenzie</v>
      </c>
      <c r="J4019" s="7" t="str">
        <f aca="false">IF(F4019=0,"NOT FOUND",IF(C4019=I4019,"SELF-VOTE",IF(COUNTIF($K:$K,K4019)&gt;1,"DUPLICATE","OK")))</f>
        <v>OK</v>
      </c>
      <c r="K4019" s="6" t="str">
        <f aca="false">A4019&amp;"|"&amp;B4019&amp;"|"&amp;C4019&amp;"|"&amp;D4019</f>
        <v>6|4|Stephanie|spotify:track:5YoITs1m0q8UOQ4AW7N5ga</v>
      </c>
    </row>
    <row r="4020" customFormat="false" ht="15" hidden="false" customHeight="false" outlineLevel="0" collapsed="false">
      <c r="A4020" s="5" t="n">
        <v>6</v>
      </c>
      <c r="B4020" s="5" t="n">
        <v>5</v>
      </c>
      <c r="C4020" s="5" t="s">
        <v>719</v>
      </c>
      <c r="D4020" s="5" t="s">
        <v>1862</v>
      </c>
      <c r="E4020" s="5" t="n">
        <v>2</v>
      </c>
      <c r="F4020" s="6" t="n">
        <f aca="false">IFERROR(MATCH(A4020&amp;"|"&amp;B4020&amp;"|"&amp;D4020,'All Song Rankings'!$T:$T,0),0)</f>
        <v>613</v>
      </c>
      <c r="G4020" s="6" t="str">
        <f aca="false">IF(F4020=0,"NOT FOUND",INDEX('All Song Rankings'!$A:$A,F4020))</f>
        <v>I Gotta Feeling</v>
      </c>
      <c r="H4020" s="6" t="str">
        <f aca="false">IF(F4020=0,"NOT FOUND",INDEX('All Song Rankings'!$B:$B,F4020))</f>
        <v>Black Eyed Peas</v>
      </c>
      <c r="I4020" s="6" t="str">
        <f aca="false">IF(F4020=0,"NOT FOUND",INDEX('All Song Rankings'!$D:$D,F4020))</f>
        <v>Merita</v>
      </c>
      <c r="J4020" s="7" t="str">
        <f aca="false">IF(F4020=0,"NOT FOUND",IF(C4020=I4020,"SELF-VOTE",IF(COUNTIF($K:$K,K4020)&gt;1,"DUPLICATE","OK")))</f>
        <v>OK</v>
      </c>
      <c r="K4020" s="6" t="str">
        <f aca="false">A4020&amp;"|"&amp;B4020&amp;"|"&amp;C4020&amp;"|"&amp;D4020</f>
        <v>6|5|Christine|spotify:track:2H1047e0oMSj10dgp7p2VG</v>
      </c>
    </row>
    <row r="4021" customFormat="false" ht="15" hidden="false" customHeight="false" outlineLevel="0" collapsed="false">
      <c r="A4021" s="5" t="n">
        <v>6</v>
      </c>
      <c r="B4021" s="5" t="n">
        <v>5</v>
      </c>
      <c r="C4021" s="5" t="s">
        <v>719</v>
      </c>
      <c r="D4021" s="5" t="s">
        <v>1859</v>
      </c>
      <c r="E4021" s="5" t="n">
        <v>2</v>
      </c>
      <c r="F4021" s="6" t="n">
        <f aca="false">IFERROR(MATCH(A4021&amp;"|"&amp;B4021&amp;"|"&amp;D4021,'All Song Rankings'!$T:$T,0),0)</f>
        <v>611</v>
      </c>
      <c r="G4021" s="6" t="str">
        <f aca="false">IF(F4021=0,"NOT FOUND",INDEX('All Song Rankings'!$A:$A,F4021))</f>
        <v>September</v>
      </c>
      <c r="H4021" s="6" t="str">
        <f aca="false">IF(F4021=0,"NOT FOUND",INDEX('All Song Rankings'!$B:$B,F4021))</f>
        <v>Earth, Wind &amp; Fire</v>
      </c>
      <c r="I4021" s="6" t="str">
        <f aca="false">IF(F4021=0,"NOT FOUND",INDEX('All Song Rankings'!$D:$D,F4021))</f>
        <v>Kelsey</v>
      </c>
      <c r="J4021" s="7" t="str">
        <f aca="false">IF(F4021=0,"NOT FOUND",IF(C4021=I4021,"SELF-VOTE",IF(COUNTIF($K:$K,K4021)&gt;1,"DUPLICATE","OK")))</f>
        <v>OK</v>
      </c>
      <c r="K4021" s="6" t="str">
        <f aca="false">A4021&amp;"|"&amp;B4021&amp;"|"&amp;C4021&amp;"|"&amp;D4021</f>
        <v>6|5|Christine|spotify:track:2grjqo0Frpf2okIBiifQKs</v>
      </c>
    </row>
    <row r="4022" customFormat="false" ht="15" hidden="false" customHeight="false" outlineLevel="0" collapsed="false">
      <c r="A4022" s="5" t="n">
        <v>6</v>
      </c>
      <c r="B4022" s="5" t="n">
        <v>5</v>
      </c>
      <c r="C4022" s="5" t="s">
        <v>719</v>
      </c>
      <c r="D4022" s="5" t="s">
        <v>1881</v>
      </c>
      <c r="E4022" s="5" t="n">
        <v>2</v>
      </c>
      <c r="F4022" s="6" t="n">
        <f aca="false">IFERROR(MATCH(A4022&amp;"|"&amp;B4022&amp;"|"&amp;D4022,'All Song Rankings'!$T:$T,0),0)</f>
        <v>620</v>
      </c>
      <c r="G4022" s="6" t="str">
        <f aca="false">IF(F4022=0,"NOT FOUND",INDEX('All Song Rankings'!$A:$A,F4022))</f>
        <v>Jump In the Line</v>
      </c>
      <c r="H4022" s="6" t="str">
        <f aca="false">IF(F4022=0,"NOT FOUND",INDEX('All Song Rankings'!$B:$B,F4022))</f>
        <v>Harry Belafonte</v>
      </c>
      <c r="I4022" s="6" t="str">
        <f aca="false">IF(F4022=0,"NOT FOUND",INDEX('All Song Rankings'!$D:$D,F4022))</f>
        <v>Kristen</v>
      </c>
      <c r="J4022" s="7" t="str">
        <f aca="false">IF(F4022=0,"NOT FOUND",IF(C4022=I4022,"SELF-VOTE",IF(COUNTIF($K:$K,K4022)&gt;1,"DUPLICATE","OK")))</f>
        <v>OK</v>
      </c>
      <c r="K4022" s="6" t="str">
        <f aca="false">A4022&amp;"|"&amp;B4022&amp;"|"&amp;C4022&amp;"|"&amp;D4022</f>
        <v>6|5|Christine|spotify:track:3w6m1sTs8qXiuITB0sziwY</v>
      </c>
    </row>
    <row r="4023" customFormat="false" ht="15" hidden="false" customHeight="false" outlineLevel="0" collapsed="false">
      <c r="A4023" s="5" t="n">
        <v>6</v>
      </c>
      <c r="B4023" s="5" t="n">
        <v>5</v>
      </c>
      <c r="C4023" s="5" t="s">
        <v>719</v>
      </c>
      <c r="D4023" s="5" t="s">
        <v>1891</v>
      </c>
      <c r="E4023" s="5" t="n">
        <v>2</v>
      </c>
      <c r="F4023" s="6" t="n">
        <f aca="false">IFERROR(MATCH(A4023&amp;"|"&amp;B4023&amp;"|"&amp;D4023,'All Song Rankings'!$T:$T,0),0)</f>
        <v>624</v>
      </c>
      <c r="G4023" s="6" t="str">
        <f aca="false">IF(F4023=0,"NOT FOUND",INDEX('All Song Rankings'!$A:$A,F4023))</f>
        <v>Spin You Around (1/24)</v>
      </c>
      <c r="H4023" s="6" t="str">
        <f aca="false">IF(F4023=0,"NOT FOUND",INDEX('All Song Rankings'!$B:$B,F4023))</f>
        <v>Morgan Wallen</v>
      </c>
      <c r="I4023" s="6" t="str">
        <f aca="false">IF(F4023=0,"NOT FOUND",INDEX('All Song Rankings'!$D:$D,F4023))</f>
        <v>Nicole</v>
      </c>
      <c r="J4023" s="7" t="str">
        <f aca="false">IF(F4023=0,"NOT FOUND",IF(C4023=I4023,"SELF-VOTE",IF(COUNTIF($K:$K,K4023)&gt;1,"DUPLICATE","OK")))</f>
        <v>OK</v>
      </c>
      <c r="K4023" s="6" t="str">
        <f aca="false">A4023&amp;"|"&amp;B4023&amp;"|"&amp;C4023&amp;"|"&amp;D4023</f>
        <v>6|5|Christine|spotify:track:47Xj8eIAp7hYOOqArmkqZE</v>
      </c>
    </row>
    <row r="4024" customFormat="false" ht="15" hidden="false" customHeight="false" outlineLevel="0" collapsed="false">
      <c r="A4024" s="5" t="n">
        <v>6</v>
      </c>
      <c r="B4024" s="5" t="n">
        <v>5</v>
      </c>
      <c r="C4024" s="5" t="s">
        <v>719</v>
      </c>
      <c r="D4024" s="5" t="s">
        <v>1870</v>
      </c>
      <c r="E4024" s="5" t="n">
        <v>1</v>
      </c>
      <c r="F4024" s="6" t="n">
        <f aca="false">IFERROR(MATCH(A4024&amp;"|"&amp;B4024&amp;"|"&amp;D4024,'All Song Rankings'!$T:$T,0),0)</f>
        <v>616</v>
      </c>
      <c r="G4024" s="6" t="str">
        <f aca="false">IF(F4024=0,"NOT FOUND",INDEX('All Song Rankings'!$A:$A,F4024))</f>
        <v>You Make My Dreams (Come True)</v>
      </c>
      <c r="H4024" s="6" t="str">
        <f aca="false">IF(F4024=0,"NOT FOUND",INDEX('All Song Rankings'!$B:$B,F4024))</f>
        <v>Daryl Hall &amp; John Oates</v>
      </c>
      <c r="I4024" s="6" t="str">
        <f aca="false">IF(F4024=0,"NOT FOUND",INDEX('All Song Rankings'!$D:$D,F4024))</f>
        <v>Logan</v>
      </c>
      <c r="J4024" s="7" t="str">
        <f aca="false">IF(F4024=0,"NOT FOUND",IF(C4024=I4024,"SELF-VOTE",IF(COUNTIF($K:$K,K4024)&gt;1,"DUPLICATE","OK")))</f>
        <v>OK</v>
      </c>
      <c r="K4024" s="6" t="str">
        <f aca="false">A4024&amp;"|"&amp;B4024&amp;"|"&amp;C4024&amp;"|"&amp;D4024</f>
        <v>6|5|Christine|spotify:track:4o6BgsqLIBViaGVbx5rbRk</v>
      </c>
    </row>
    <row r="4025" customFormat="false" ht="15" hidden="false" customHeight="false" outlineLevel="0" collapsed="false">
      <c r="A4025" s="5" t="n">
        <v>6</v>
      </c>
      <c r="B4025" s="5" t="n">
        <v>5</v>
      </c>
      <c r="C4025" s="5" t="s">
        <v>719</v>
      </c>
      <c r="D4025" s="5" t="s">
        <v>1885</v>
      </c>
      <c r="E4025" s="5" t="n">
        <v>1</v>
      </c>
      <c r="F4025" s="6" t="n">
        <f aca="false">IFERROR(MATCH(A4025&amp;"|"&amp;B4025&amp;"|"&amp;D4025,'All Song Rankings'!$T:$T,0),0)</f>
        <v>621</v>
      </c>
      <c r="G4025" s="6" t="str">
        <f aca="false">IF(F4025=0,"NOT FOUND",INDEX('All Song Rankings'!$A:$A,F4025))</f>
        <v>Rasputin - Single Version</v>
      </c>
      <c r="H4025" s="6" t="str">
        <f aca="false">IF(F4025=0,"NOT FOUND",INDEX('All Song Rankings'!$B:$B,F4025))</f>
        <v>Boney M.</v>
      </c>
      <c r="I4025" s="6" t="str">
        <f aca="false">IF(F4025=0,"NOT FOUND",INDEX('All Song Rankings'!$D:$D,F4025))</f>
        <v>Scott</v>
      </c>
      <c r="J4025" s="7" t="str">
        <f aca="false">IF(F4025=0,"NOT FOUND",IF(C4025=I4025,"SELF-VOTE",IF(COUNTIF($K:$K,K4025)&gt;1,"DUPLICATE","OK")))</f>
        <v>OK</v>
      </c>
      <c r="K4025" s="6" t="str">
        <f aca="false">A4025&amp;"|"&amp;B4025&amp;"|"&amp;C4025&amp;"|"&amp;D4025</f>
        <v>6|5|Christine|spotify:track:67hbP9PFQZrb4XZc3TzB0s</v>
      </c>
    </row>
    <row r="4026" customFormat="false" ht="15" hidden="false" customHeight="false" outlineLevel="0" collapsed="false">
      <c r="A4026" s="5" t="n">
        <v>6</v>
      </c>
      <c r="B4026" s="5" t="n">
        <v>5</v>
      </c>
      <c r="C4026" s="5" t="s">
        <v>637</v>
      </c>
      <c r="D4026" s="5" t="s">
        <v>1867</v>
      </c>
      <c r="E4026" s="5" t="n">
        <v>1</v>
      </c>
      <c r="F4026" s="6" t="n">
        <f aca="false">IFERROR(MATCH(A4026&amp;"|"&amp;B4026&amp;"|"&amp;D4026,'All Song Rankings'!$T:$T,0),0)</f>
        <v>615</v>
      </c>
      <c r="G4026" s="6" t="str">
        <f aca="false">IF(F4026=0,"NOT FOUND",INDEX('All Song Rankings'!$A:$A,F4026))</f>
        <v>Get Low</v>
      </c>
      <c r="H4026" s="6" t="str">
        <f aca="false">IF(F4026=0,"NOT FOUND",INDEX('All Song Rankings'!$B:$B,F4026))</f>
        <v>Lil Jon &amp; The East Side Boyz, Ying Yang Twins</v>
      </c>
      <c r="I4026" s="6" t="str">
        <f aca="false">IF(F4026=0,"NOT FOUND",INDEX('All Song Rankings'!$D:$D,F4026))</f>
        <v>Makenzie</v>
      </c>
      <c r="J4026" s="7" t="str">
        <f aca="false">IF(F4026=0,"NOT FOUND",IF(C4026=I4026,"SELF-VOTE",IF(COUNTIF($K:$K,K4026)&gt;1,"DUPLICATE","OK")))</f>
        <v>OK</v>
      </c>
      <c r="K4026" s="6" t="str">
        <f aca="false">A4026&amp;"|"&amp;B4026&amp;"|"&amp;C4026&amp;"|"&amp;D4026</f>
        <v>6|5|Colleen|spotify:track:0r2Bul2NuCViraT2zX1l5j</v>
      </c>
    </row>
    <row r="4027" customFormat="false" ht="15" hidden="false" customHeight="false" outlineLevel="0" collapsed="false">
      <c r="A4027" s="5" t="n">
        <v>6</v>
      </c>
      <c r="B4027" s="5" t="n">
        <v>5</v>
      </c>
      <c r="C4027" s="5" t="s">
        <v>637</v>
      </c>
      <c r="D4027" s="5" t="s">
        <v>1862</v>
      </c>
      <c r="E4027" s="5" t="n">
        <v>1</v>
      </c>
      <c r="F4027" s="6" t="n">
        <f aca="false">IFERROR(MATCH(A4027&amp;"|"&amp;B4027&amp;"|"&amp;D4027,'All Song Rankings'!$T:$T,0),0)</f>
        <v>613</v>
      </c>
      <c r="G4027" s="6" t="str">
        <f aca="false">IF(F4027=0,"NOT FOUND",INDEX('All Song Rankings'!$A:$A,F4027))</f>
        <v>I Gotta Feeling</v>
      </c>
      <c r="H4027" s="6" t="str">
        <f aca="false">IF(F4027=0,"NOT FOUND",INDEX('All Song Rankings'!$B:$B,F4027))</f>
        <v>Black Eyed Peas</v>
      </c>
      <c r="I4027" s="6" t="str">
        <f aca="false">IF(F4027=0,"NOT FOUND",INDEX('All Song Rankings'!$D:$D,F4027))</f>
        <v>Merita</v>
      </c>
      <c r="J4027" s="7" t="str">
        <f aca="false">IF(F4027=0,"NOT FOUND",IF(C4027=I4027,"SELF-VOTE",IF(COUNTIF($K:$K,K4027)&gt;1,"DUPLICATE","OK")))</f>
        <v>OK</v>
      </c>
      <c r="K4027" s="6" t="str">
        <f aca="false">A4027&amp;"|"&amp;B4027&amp;"|"&amp;C4027&amp;"|"&amp;D4027</f>
        <v>6|5|Colleen|spotify:track:2H1047e0oMSj10dgp7p2VG</v>
      </c>
    </row>
    <row r="4028" customFormat="false" ht="15" hidden="false" customHeight="false" outlineLevel="0" collapsed="false">
      <c r="A4028" s="5" t="n">
        <v>6</v>
      </c>
      <c r="B4028" s="5" t="n">
        <v>5</v>
      </c>
      <c r="C4028" s="5" t="s">
        <v>637</v>
      </c>
      <c r="D4028" s="5" t="s">
        <v>1859</v>
      </c>
      <c r="E4028" s="5" t="n">
        <v>1</v>
      </c>
      <c r="F4028" s="6" t="n">
        <f aca="false">IFERROR(MATCH(A4028&amp;"|"&amp;B4028&amp;"|"&amp;D4028,'All Song Rankings'!$T:$T,0),0)</f>
        <v>611</v>
      </c>
      <c r="G4028" s="6" t="str">
        <f aca="false">IF(F4028=0,"NOT FOUND",INDEX('All Song Rankings'!$A:$A,F4028))</f>
        <v>September</v>
      </c>
      <c r="H4028" s="6" t="str">
        <f aca="false">IF(F4028=0,"NOT FOUND",INDEX('All Song Rankings'!$B:$B,F4028))</f>
        <v>Earth, Wind &amp; Fire</v>
      </c>
      <c r="I4028" s="6" t="str">
        <f aca="false">IF(F4028=0,"NOT FOUND",INDEX('All Song Rankings'!$D:$D,F4028))</f>
        <v>Kelsey</v>
      </c>
      <c r="J4028" s="7" t="str">
        <f aca="false">IF(F4028=0,"NOT FOUND",IF(C4028=I4028,"SELF-VOTE",IF(COUNTIF($K:$K,K4028)&gt;1,"DUPLICATE","OK")))</f>
        <v>OK</v>
      </c>
      <c r="K4028" s="6" t="str">
        <f aca="false">A4028&amp;"|"&amp;B4028&amp;"|"&amp;C4028&amp;"|"&amp;D4028</f>
        <v>6|5|Colleen|spotify:track:2grjqo0Frpf2okIBiifQKs</v>
      </c>
    </row>
    <row r="4029" customFormat="false" ht="15" hidden="false" customHeight="false" outlineLevel="0" collapsed="false">
      <c r="A4029" s="5" t="n">
        <v>6</v>
      </c>
      <c r="B4029" s="5" t="n">
        <v>5</v>
      </c>
      <c r="C4029" s="5" t="s">
        <v>637</v>
      </c>
      <c r="D4029" s="5" t="s">
        <v>1881</v>
      </c>
      <c r="E4029" s="5" t="n">
        <v>1</v>
      </c>
      <c r="F4029" s="6" t="n">
        <f aca="false">IFERROR(MATCH(A4029&amp;"|"&amp;B4029&amp;"|"&amp;D4029,'All Song Rankings'!$T:$T,0),0)</f>
        <v>620</v>
      </c>
      <c r="G4029" s="6" t="str">
        <f aca="false">IF(F4029=0,"NOT FOUND",INDEX('All Song Rankings'!$A:$A,F4029))</f>
        <v>Jump In the Line</v>
      </c>
      <c r="H4029" s="6" t="str">
        <f aca="false">IF(F4029=0,"NOT FOUND",INDEX('All Song Rankings'!$B:$B,F4029))</f>
        <v>Harry Belafonte</v>
      </c>
      <c r="I4029" s="6" t="str">
        <f aca="false">IF(F4029=0,"NOT FOUND",INDEX('All Song Rankings'!$D:$D,F4029))</f>
        <v>Kristen</v>
      </c>
      <c r="J4029" s="7" t="str">
        <f aca="false">IF(F4029=0,"NOT FOUND",IF(C4029=I4029,"SELF-VOTE",IF(COUNTIF($K:$K,K4029)&gt;1,"DUPLICATE","OK")))</f>
        <v>OK</v>
      </c>
      <c r="K4029" s="6" t="str">
        <f aca="false">A4029&amp;"|"&amp;B4029&amp;"|"&amp;C4029&amp;"|"&amp;D4029</f>
        <v>6|5|Colleen|spotify:track:3w6m1sTs8qXiuITB0sziwY</v>
      </c>
    </row>
    <row r="4030" customFormat="false" ht="15" hidden="false" customHeight="false" outlineLevel="0" collapsed="false">
      <c r="A4030" s="5" t="n">
        <v>6</v>
      </c>
      <c r="B4030" s="5" t="n">
        <v>5</v>
      </c>
      <c r="C4030" s="5" t="s">
        <v>637</v>
      </c>
      <c r="D4030" s="5" t="s">
        <v>1891</v>
      </c>
      <c r="E4030" s="5" t="n">
        <v>2</v>
      </c>
      <c r="F4030" s="6" t="n">
        <f aca="false">IFERROR(MATCH(A4030&amp;"|"&amp;B4030&amp;"|"&amp;D4030,'All Song Rankings'!$T:$T,0),0)</f>
        <v>624</v>
      </c>
      <c r="G4030" s="6" t="str">
        <f aca="false">IF(F4030=0,"NOT FOUND",INDEX('All Song Rankings'!$A:$A,F4030))</f>
        <v>Spin You Around (1/24)</v>
      </c>
      <c r="H4030" s="6" t="str">
        <f aca="false">IF(F4030=0,"NOT FOUND",INDEX('All Song Rankings'!$B:$B,F4030))</f>
        <v>Morgan Wallen</v>
      </c>
      <c r="I4030" s="6" t="str">
        <f aca="false">IF(F4030=0,"NOT FOUND",INDEX('All Song Rankings'!$D:$D,F4030))</f>
        <v>Nicole</v>
      </c>
      <c r="J4030" s="7" t="str">
        <f aca="false">IF(F4030=0,"NOT FOUND",IF(C4030=I4030,"SELF-VOTE",IF(COUNTIF($K:$K,K4030)&gt;1,"DUPLICATE","OK")))</f>
        <v>OK</v>
      </c>
      <c r="K4030" s="6" t="str">
        <f aca="false">A4030&amp;"|"&amp;B4030&amp;"|"&amp;C4030&amp;"|"&amp;D4030</f>
        <v>6|5|Colleen|spotify:track:47Xj8eIAp7hYOOqArmkqZE</v>
      </c>
    </row>
    <row r="4031" customFormat="false" ht="15" hidden="false" customHeight="false" outlineLevel="0" collapsed="false">
      <c r="A4031" s="5" t="n">
        <v>6</v>
      </c>
      <c r="B4031" s="5" t="n">
        <v>5</v>
      </c>
      <c r="C4031" s="5" t="s">
        <v>637</v>
      </c>
      <c r="D4031" s="5" t="s">
        <v>93</v>
      </c>
      <c r="E4031" s="5" t="n">
        <v>1</v>
      </c>
      <c r="F4031" s="6" t="n">
        <f aca="false">IFERROR(MATCH(A4031&amp;"|"&amp;B4031&amp;"|"&amp;D4031,'All Song Rankings'!$T:$T,0),0)</f>
        <v>612</v>
      </c>
      <c r="G4031" s="6" t="str">
        <f aca="false">IF(F4031=0,"NOT FOUND",INDEX('All Song Rankings'!$A:$A,F4031))</f>
        <v>Shut Up and Dance</v>
      </c>
      <c r="H4031" s="6" t="str">
        <f aca="false">IF(F4031=0,"NOT FOUND",INDEX('All Song Rankings'!$B:$B,F4031))</f>
        <v>WALK THE MOON</v>
      </c>
      <c r="I4031" s="6" t="str">
        <f aca="false">IF(F4031=0,"NOT FOUND",INDEX('All Song Rankings'!$D:$D,F4031))</f>
        <v>Lisa</v>
      </c>
      <c r="J4031" s="7" t="str">
        <f aca="false">IF(F4031=0,"NOT FOUND",IF(C4031=I4031,"SELF-VOTE",IF(COUNTIF($K:$K,K4031)&gt;1,"DUPLICATE","OK")))</f>
        <v>OK</v>
      </c>
      <c r="K4031" s="6" t="str">
        <f aca="false">A4031&amp;"|"&amp;B4031&amp;"|"&amp;C4031&amp;"|"&amp;D4031</f>
        <v>6|5|Colleen|spotify:track:4kbj5MwxO1bq9wjT5g9HaA</v>
      </c>
    </row>
    <row r="4032" customFormat="false" ht="15" hidden="false" customHeight="false" outlineLevel="0" collapsed="false">
      <c r="A4032" s="5" t="n">
        <v>6</v>
      </c>
      <c r="B4032" s="5" t="n">
        <v>5</v>
      </c>
      <c r="C4032" s="5" t="s">
        <v>637</v>
      </c>
      <c r="D4032" s="5" t="s">
        <v>1870</v>
      </c>
      <c r="E4032" s="5" t="n">
        <v>2</v>
      </c>
      <c r="F4032" s="6" t="n">
        <f aca="false">IFERROR(MATCH(A4032&amp;"|"&amp;B4032&amp;"|"&amp;D4032,'All Song Rankings'!$T:$T,0),0)</f>
        <v>616</v>
      </c>
      <c r="G4032" s="6" t="str">
        <f aca="false">IF(F4032=0,"NOT FOUND",INDEX('All Song Rankings'!$A:$A,F4032))</f>
        <v>You Make My Dreams (Come True)</v>
      </c>
      <c r="H4032" s="6" t="str">
        <f aca="false">IF(F4032=0,"NOT FOUND",INDEX('All Song Rankings'!$B:$B,F4032))</f>
        <v>Daryl Hall &amp; John Oates</v>
      </c>
      <c r="I4032" s="6" t="str">
        <f aca="false">IF(F4032=0,"NOT FOUND",INDEX('All Song Rankings'!$D:$D,F4032))</f>
        <v>Logan</v>
      </c>
      <c r="J4032" s="7" t="str">
        <f aca="false">IF(F4032=0,"NOT FOUND",IF(C4032=I4032,"SELF-VOTE",IF(COUNTIF($K:$K,K4032)&gt;1,"DUPLICATE","OK")))</f>
        <v>OK</v>
      </c>
      <c r="K4032" s="6" t="str">
        <f aca="false">A4032&amp;"|"&amp;B4032&amp;"|"&amp;C4032&amp;"|"&amp;D4032</f>
        <v>6|5|Colleen|spotify:track:4o6BgsqLIBViaGVbx5rbRk</v>
      </c>
    </row>
    <row r="4033" customFormat="false" ht="15" hidden="false" customHeight="false" outlineLevel="0" collapsed="false">
      <c r="A4033" s="5" t="n">
        <v>6</v>
      </c>
      <c r="B4033" s="5" t="n">
        <v>5</v>
      </c>
      <c r="C4033" s="5" t="s">
        <v>637</v>
      </c>
      <c r="D4033" s="5" t="s">
        <v>1878</v>
      </c>
      <c r="E4033" s="5" t="n">
        <v>1</v>
      </c>
      <c r="F4033" s="6" t="n">
        <f aca="false">IFERROR(MATCH(A4033&amp;"|"&amp;B4033&amp;"|"&amp;D4033,'All Song Rankings'!$T:$T,0),0)</f>
        <v>619</v>
      </c>
      <c r="G4033" s="6" t="str">
        <f aca="false">IF(F4033=0,"NOT FOUND",INDEX('All Song Rankings'!$A:$A,F4033))</f>
        <v>Hotel Room Service</v>
      </c>
      <c r="H4033" s="6" t="str">
        <f aca="false">IF(F4033=0,"NOT FOUND",INDEX('All Song Rankings'!$B:$B,F4033))</f>
        <v>Pitbull</v>
      </c>
      <c r="I4033" s="6" t="str">
        <f aca="false">IF(F4033=0,"NOT FOUND",INDEX('All Song Rankings'!$D:$D,F4033))</f>
        <v>Stephanie</v>
      </c>
      <c r="J4033" s="7" t="str">
        <f aca="false">IF(F4033=0,"NOT FOUND",IF(C4033=I4033,"SELF-VOTE",IF(COUNTIF($K:$K,K4033)&gt;1,"DUPLICATE","OK")))</f>
        <v>OK</v>
      </c>
      <c r="K4033" s="6" t="str">
        <f aca="false">A4033&amp;"|"&amp;B4033&amp;"|"&amp;C4033&amp;"|"&amp;D4033</f>
        <v>6|5|Colleen|spotify:track:6Rb0ptOEjBjPPQUlQtQGbL</v>
      </c>
    </row>
    <row r="4034" customFormat="false" ht="15" hidden="false" customHeight="false" outlineLevel="0" collapsed="false">
      <c r="A4034" s="5" t="n">
        <v>6</v>
      </c>
      <c r="B4034" s="5" t="n">
        <v>5</v>
      </c>
      <c r="C4034" s="5" t="s">
        <v>382</v>
      </c>
      <c r="D4034" s="5" t="s">
        <v>1876</v>
      </c>
      <c r="E4034" s="5" t="n">
        <v>1</v>
      </c>
      <c r="F4034" s="6" t="n">
        <f aca="false">IFERROR(MATCH(A4034&amp;"|"&amp;B4034&amp;"|"&amp;D4034,'All Song Rankings'!$T:$T,0),0)</f>
        <v>618</v>
      </c>
      <c r="G4034" s="6" t="str">
        <f aca="false">IF(F4034=0,"NOT FOUND",INDEX('All Song Rankings'!$A:$A,F4034))</f>
        <v>Cha Cha Slide - Original Live Platinum Band Mix</v>
      </c>
      <c r="H4034" s="6" t="str">
        <f aca="false">IF(F4034=0,"NOT FOUND",INDEX('All Song Rankings'!$B:$B,F4034))</f>
        <v>DJ Casper</v>
      </c>
      <c r="I4034" s="6" t="str">
        <f aca="false">IF(F4034=0,"NOT FOUND",INDEX('All Song Rankings'!$D:$D,F4034))</f>
        <v>Leah</v>
      </c>
      <c r="J4034" s="7" t="str">
        <f aca="false">IF(F4034=0,"NOT FOUND",IF(C4034=I4034,"SELF-VOTE",IF(COUNTIF($K:$K,K4034)&gt;1,"DUPLICATE","OK")))</f>
        <v>OK</v>
      </c>
      <c r="K4034" s="6" t="str">
        <f aca="false">A4034&amp;"|"&amp;B4034&amp;"|"&amp;C4034&amp;"|"&amp;D4034</f>
        <v>6|5|Grace|spotify:track:0RC2B9uIITHA0wtDFfQk3K</v>
      </c>
    </row>
    <row r="4035" customFormat="false" ht="15" hidden="false" customHeight="false" outlineLevel="0" collapsed="false">
      <c r="A4035" s="5" t="n">
        <v>6</v>
      </c>
      <c r="B4035" s="5" t="n">
        <v>5</v>
      </c>
      <c r="C4035" s="5" t="s">
        <v>382</v>
      </c>
      <c r="D4035" s="5" t="s">
        <v>1859</v>
      </c>
      <c r="E4035" s="5" t="n">
        <v>2</v>
      </c>
      <c r="F4035" s="6" t="n">
        <f aca="false">IFERROR(MATCH(A4035&amp;"|"&amp;B4035&amp;"|"&amp;D4035,'All Song Rankings'!$T:$T,0),0)</f>
        <v>611</v>
      </c>
      <c r="G4035" s="6" t="str">
        <f aca="false">IF(F4035=0,"NOT FOUND",INDEX('All Song Rankings'!$A:$A,F4035))</f>
        <v>September</v>
      </c>
      <c r="H4035" s="6" t="str">
        <f aca="false">IF(F4035=0,"NOT FOUND",INDEX('All Song Rankings'!$B:$B,F4035))</f>
        <v>Earth, Wind &amp; Fire</v>
      </c>
      <c r="I4035" s="6" t="str">
        <f aca="false">IF(F4035=0,"NOT FOUND",INDEX('All Song Rankings'!$D:$D,F4035))</f>
        <v>Kelsey</v>
      </c>
      <c r="J4035" s="7" t="str">
        <f aca="false">IF(F4035=0,"NOT FOUND",IF(C4035=I4035,"SELF-VOTE",IF(COUNTIF($K:$K,K4035)&gt;1,"DUPLICATE","OK")))</f>
        <v>OK</v>
      </c>
      <c r="K4035" s="6" t="str">
        <f aca="false">A4035&amp;"|"&amp;B4035&amp;"|"&amp;C4035&amp;"|"&amp;D4035</f>
        <v>6|5|Grace|spotify:track:2grjqo0Frpf2okIBiifQKs</v>
      </c>
    </row>
    <row r="4036" customFormat="false" ht="15" hidden="false" customHeight="false" outlineLevel="0" collapsed="false">
      <c r="A4036" s="5" t="n">
        <v>6</v>
      </c>
      <c r="B4036" s="5" t="n">
        <v>5</v>
      </c>
      <c r="C4036" s="5" t="s">
        <v>382</v>
      </c>
      <c r="D4036" s="5" t="s">
        <v>1881</v>
      </c>
      <c r="E4036" s="5" t="n">
        <v>1</v>
      </c>
      <c r="F4036" s="6" t="n">
        <f aca="false">IFERROR(MATCH(A4036&amp;"|"&amp;B4036&amp;"|"&amp;D4036,'All Song Rankings'!$T:$T,0),0)</f>
        <v>620</v>
      </c>
      <c r="G4036" s="6" t="str">
        <f aca="false">IF(F4036=0,"NOT FOUND",INDEX('All Song Rankings'!$A:$A,F4036))</f>
        <v>Jump In the Line</v>
      </c>
      <c r="H4036" s="6" t="str">
        <f aca="false">IF(F4036=0,"NOT FOUND",INDEX('All Song Rankings'!$B:$B,F4036))</f>
        <v>Harry Belafonte</v>
      </c>
      <c r="I4036" s="6" t="str">
        <f aca="false">IF(F4036=0,"NOT FOUND",INDEX('All Song Rankings'!$D:$D,F4036))</f>
        <v>Kristen</v>
      </c>
      <c r="J4036" s="7" t="str">
        <f aca="false">IF(F4036=0,"NOT FOUND",IF(C4036=I4036,"SELF-VOTE",IF(COUNTIF($K:$K,K4036)&gt;1,"DUPLICATE","OK")))</f>
        <v>OK</v>
      </c>
      <c r="K4036" s="6" t="str">
        <f aca="false">A4036&amp;"|"&amp;B4036&amp;"|"&amp;C4036&amp;"|"&amp;D4036</f>
        <v>6|5|Grace|spotify:track:3w6m1sTs8qXiuITB0sziwY</v>
      </c>
    </row>
    <row r="4037" customFormat="false" ht="15" hidden="false" customHeight="false" outlineLevel="0" collapsed="false">
      <c r="A4037" s="5" t="n">
        <v>6</v>
      </c>
      <c r="B4037" s="5" t="n">
        <v>5</v>
      </c>
      <c r="C4037" s="5" t="s">
        <v>382</v>
      </c>
      <c r="D4037" s="5" t="s">
        <v>1864</v>
      </c>
      <c r="E4037" s="5" t="n">
        <v>3</v>
      </c>
      <c r="F4037" s="6" t="n">
        <f aca="false">IFERROR(MATCH(A4037&amp;"|"&amp;B4037&amp;"|"&amp;D4037,'All Song Rankings'!$T:$T,0),0)</f>
        <v>614</v>
      </c>
      <c r="G4037" s="6" t="str">
        <f aca="false">IF(F4037=0,"NOT FOUND",INDEX('All Song Rankings'!$A:$A,F4037))</f>
        <v>Single Ladies (Put a Ring on It)</v>
      </c>
      <c r="H4037" s="6" t="str">
        <f aca="false">IF(F4037=0,"NOT FOUND",INDEX('All Song Rankings'!$B:$B,F4037))</f>
        <v>Beyoncé</v>
      </c>
      <c r="I4037" s="6" t="str">
        <f aca="false">IF(F4037=0,"NOT FOUND",INDEX('All Song Rankings'!$D:$D,F4037))</f>
        <v>Matt</v>
      </c>
      <c r="J4037" s="7" t="str">
        <f aca="false">IF(F4037=0,"NOT FOUND",IF(C4037=I4037,"SELF-VOTE",IF(COUNTIF($K:$K,K4037)&gt;1,"DUPLICATE","OK")))</f>
        <v>OK</v>
      </c>
      <c r="K4037" s="6" t="str">
        <f aca="false">A4037&amp;"|"&amp;B4037&amp;"|"&amp;C4037&amp;"|"&amp;D4037</f>
        <v>6|5|Grace|spotify:track:5R9a4t5t5O0IsznsrKPVro</v>
      </c>
    </row>
    <row r="4038" customFormat="false" ht="15" hidden="false" customHeight="false" outlineLevel="0" collapsed="false">
      <c r="A4038" s="5" t="n">
        <v>6</v>
      </c>
      <c r="B4038" s="5" t="n">
        <v>5</v>
      </c>
      <c r="C4038" s="5" t="s">
        <v>382</v>
      </c>
      <c r="D4038" s="5" t="s">
        <v>1885</v>
      </c>
      <c r="E4038" s="5" t="n">
        <v>2</v>
      </c>
      <c r="F4038" s="6" t="n">
        <f aca="false">IFERROR(MATCH(A4038&amp;"|"&amp;B4038&amp;"|"&amp;D4038,'All Song Rankings'!$T:$T,0),0)</f>
        <v>621</v>
      </c>
      <c r="G4038" s="6" t="str">
        <f aca="false">IF(F4038=0,"NOT FOUND",INDEX('All Song Rankings'!$A:$A,F4038))</f>
        <v>Rasputin - Single Version</v>
      </c>
      <c r="H4038" s="6" t="str">
        <f aca="false">IF(F4038=0,"NOT FOUND",INDEX('All Song Rankings'!$B:$B,F4038))</f>
        <v>Boney M.</v>
      </c>
      <c r="I4038" s="6" t="str">
        <f aca="false">IF(F4038=0,"NOT FOUND",INDEX('All Song Rankings'!$D:$D,F4038))</f>
        <v>Scott</v>
      </c>
      <c r="J4038" s="7" t="str">
        <f aca="false">IF(F4038=0,"NOT FOUND",IF(C4038=I4038,"SELF-VOTE",IF(COUNTIF($K:$K,K4038)&gt;1,"DUPLICATE","OK")))</f>
        <v>OK</v>
      </c>
      <c r="K4038" s="6" t="str">
        <f aca="false">A4038&amp;"|"&amp;B4038&amp;"|"&amp;C4038&amp;"|"&amp;D4038</f>
        <v>6|5|Grace|spotify:track:67hbP9PFQZrb4XZc3TzB0s</v>
      </c>
    </row>
    <row r="4039" customFormat="false" ht="15" hidden="false" customHeight="false" outlineLevel="0" collapsed="false">
      <c r="A4039" s="5" t="n">
        <v>6</v>
      </c>
      <c r="B4039" s="5" t="n">
        <v>5</v>
      </c>
      <c r="C4039" s="5" t="s">
        <v>382</v>
      </c>
      <c r="D4039" s="5" t="s">
        <v>1305</v>
      </c>
      <c r="E4039" s="5" t="n">
        <v>1</v>
      </c>
      <c r="F4039" s="6" t="n">
        <f aca="false">IFERROR(MATCH(A4039&amp;"|"&amp;B4039&amp;"|"&amp;D4039,'All Song Rankings'!$T:$T,0),0)</f>
        <v>623</v>
      </c>
      <c r="G4039" s="6" t="str">
        <f aca="false">IF(F4039=0,"NOT FOUND",INDEX('All Song Rankings'!$A:$A,F4039))</f>
        <v>Billie Jean</v>
      </c>
      <c r="H4039" s="6" t="str">
        <f aca="false">IF(F4039=0,"NOT FOUND",INDEX('All Song Rankings'!$B:$B,F4039))</f>
        <v>Michael Jackson</v>
      </c>
      <c r="I4039" s="6" t="str">
        <f aca="false">IF(F4039=0,"NOT FOUND",INDEX('All Song Rankings'!$D:$D,F4039))</f>
        <v>Josh</v>
      </c>
      <c r="J4039" s="7" t="str">
        <f aca="false">IF(F4039=0,"NOT FOUND",IF(C4039=I4039,"SELF-VOTE",IF(COUNTIF($K:$K,K4039)&gt;1,"DUPLICATE","OK")))</f>
        <v>OK</v>
      </c>
      <c r="K4039" s="6" t="str">
        <f aca="false">A4039&amp;"|"&amp;B4039&amp;"|"&amp;C4039&amp;"|"&amp;D4039</f>
        <v>6|5|Grace|spotify:track:7J1uxwnxfQLu4APicE5Rnj</v>
      </c>
    </row>
    <row r="4040" customFormat="false" ht="15" hidden="false" customHeight="false" outlineLevel="0" collapsed="false">
      <c r="A4040" s="5" t="n">
        <v>6</v>
      </c>
      <c r="B4040" s="5" t="n">
        <v>5</v>
      </c>
      <c r="C4040" s="5" t="s">
        <v>1843</v>
      </c>
      <c r="D4040" s="5" t="s">
        <v>1867</v>
      </c>
      <c r="E4040" s="5" t="n">
        <v>1</v>
      </c>
      <c r="F4040" s="6" t="n">
        <f aca="false">IFERROR(MATCH(A4040&amp;"|"&amp;B4040&amp;"|"&amp;D4040,'All Song Rankings'!$T:$T,0),0)</f>
        <v>615</v>
      </c>
      <c r="G4040" s="6" t="str">
        <f aca="false">IF(F4040=0,"NOT FOUND",INDEX('All Song Rankings'!$A:$A,F4040))</f>
        <v>Get Low</v>
      </c>
      <c r="H4040" s="6" t="str">
        <f aca="false">IF(F4040=0,"NOT FOUND",INDEX('All Song Rankings'!$B:$B,F4040))</f>
        <v>Lil Jon &amp; The East Side Boyz, Ying Yang Twins</v>
      </c>
      <c r="I4040" s="6" t="str">
        <f aca="false">IF(F4040=0,"NOT FOUND",INDEX('All Song Rankings'!$D:$D,F4040))</f>
        <v>Makenzie</v>
      </c>
      <c r="J4040" s="7" t="str">
        <f aca="false">IF(F4040=0,"NOT FOUND",IF(C4040=I4040,"SELF-VOTE",IF(COUNTIF($K:$K,K4040)&gt;1,"DUPLICATE","OK")))</f>
        <v>OK</v>
      </c>
      <c r="K4040" s="6" t="str">
        <f aca="false">A4040&amp;"|"&amp;B4040&amp;"|"&amp;C4040&amp;"|"&amp;D4040</f>
        <v>6|5|Josh|spotify:track:0r2Bul2NuCViraT2zX1l5j</v>
      </c>
    </row>
    <row r="4041" customFormat="false" ht="15" hidden="false" customHeight="false" outlineLevel="0" collapsed="false">
      <c r="A4041" s="5" t="n">
        <v>6</v>
      </c>
      <c r="B4041" s="5" t="n">
        <v>5</v>
      </c>
      <c r="C4041" s="5" t="s">
        <v>1843</v>
      </c>
      <c r="D4041" s="5" t="s">
        <v>1859</v>
      </c>
      <c r="E4041" s="5" t="n">
        <v>3</v>
      </c>
      <c r="F4041" s="6" t="n">
        <f aca="false">IFERROR(MATCH(A4041&amp;"|"&amp;B4041&amp;"|"&amp;D4041,'All Song Rankings'!$T:$T,0),0)</f>
        <v>611</v>
      </c>
      <c r="G4041" s="6" t="str">
        <f aca="false">IF(F4041=0,"NOT FOUND",INDEX('All Song Rankings'!$A:$A,F4041))</f>
        <v>September</v>
      </c>
      <c r="H4041" s="6" t="str">
        <f aca="false">IF(F4041=0,"NOT FOUND",INDEX('All Song Rankings'!$B:$B,F4041))</f>
        <v>Earth, Wind &amp; Fire</v>
      </c>
      <c r="I4041" s="6" t="str">
        <f aca="false">IF(F4041=0,"NOT FOUND",INDEX('All Song Rankings'!$D:$D,F4041))</f>
        <v>Kelsey</v>
      </c>
      <c r="J4041" s="7" t="str">
        <f aca="false">IF(F4041=0,"NOT FOUND",IF(C4041=I4041,"SELF-VOTE",IF(COUNTIF($K:$K,K4041)&gt;1,"DUPLICATE","OK")))</f>
        <v>OK</v>
      </c>
      <c r="K4041" s="6" t="str">
        <f aca="false">A4041&amp;"|"&amp;B4041&amp;"|"&amp;C4041&amp;"|"&amp;D4041</f>
        <v>6|5|Josh|spotify:track:2grjqo0Frpf2okIBiifQKs</v>
      </c>
    </row>
    <row r="4042" customFormat="false" ht="15" hidden="false" customHeight="false" outlineLevel="0" collapsed="false">
      <c r="A4042" s="5" t="n">
        <v>6</v>
      </c>
      <c r="B4042" s="5" t="n">
        <v>5</v>
      </c>
      <c r="C4042" s="5" t="s">
        <v>1843</v>
      </c>
      <c r="D4042" s="5" t="s">
        <v>1071</v>
      </c>
      <c r="E4042" s="5" t="n">
        <v>1</v>
      </c>
      <c r="F4042" s="6" t="n">
        <f aca="false">IFERROR(MATCH(A4042&amp;"|"&amp;B4042&amp;"|"&amp;D4042,'All Song Rankings'!$T:$T,0),0)</f>
        <v>625</v>
      </c>
      <c r="G4042" s="6" t="str">
        <f aca="false">IF(F4042=0,"NOT FOUND",INDEX('All Song Rankings'!$A:$A,F4042))</f>
        <v>I Want It That Way</v>
      </c>
      <c r="H4042" s="6" t="str">
        <f aca="false">IF(F4042=0,"NOT FOUND",INDEX('All Song Rankings'!$B:$B,F4042))</f>
        <v>Backstreet Boys</v>
      </c>
      <c r="I4042" s="6" t="str">
        <f aca="false">IF(F4042=0,"NOT FOUND",INDEX('All Song Rankings'!$D:$D,F4042))</f>
        <v>Grace</v>
      </c>
      <c r="J4042" s="7" t="str">
        <f aca="false">IF(F4042=0,"NOT FOUND",IF(C4042=I4042,"SELF-VOTE",IF(COUNTIF($K:$K,K4042)&gt;1,"DUPLICATE","OK")))</f>
        <v>OK</v>
      </c>
      <c r="K4042" s="6" t="str">
        <f aca="false">A4042&amp;"|"&amp;B4042&amp;"|"&amp;C4042&amp;"|"&amp;D4042</f>
        <v>6|5|Josh|spotify:track:47BBI51FKFwOMlIiX6m8ya</v>
      </c>
    </row>
    <row r="4043" customFormat="false" ht="15" hidden="false" customHeight="false" outlineLevel="0" collapsed="false">
      <c r="A4043" s="5" t="n">
        <v>6</v>
      </c>
      <c r="B4043" s="5" t="n">
        <v>5</v>
      </c>
      <c r="C4043" s="5" t="s">
        <v>1843</v>
      </c>
      <c r="D4043" s="5" t="s">
        <v>1870</v>
      </c>
      <c r="E4043" s="5" t="n">
        <v>1</v>
      </c>
      <c r="F4043" s="6" t="n">
        <f aca="false">IFERROR(MATCH(A4043&amp;"|"&amp;B4043&amp;"|"&amp;D4043,'All Song Rankings'!$T:$T,0),0)</f>
        <v>616</v>
      </c>
      <c r="G4043" s="6" t="str">
        <f aca="false">IF(F4043=0,"NOT FOUND",INDEX('All Song Rankings'!$A:$A,F4043))</f>
        <v>You Make My Dreams (Come True)</v>
      </c>
      <c r="H4043" s="6" t="str">
        <f aca="false">IF(F4043=0,"NOT FOUND",INDEX('All Song Rankings'!$B:$B,F4043))</f>
        <v>Daryl Hall &amp; John Oates</v>
      </c>
      <c r="I4043" s="6" t="str">
        <f aca="false">IF(F4043=0,"NOT FOUND",INDEX('All Song Rankings'!$D:$D,F4043))</f>
        <v>Logan</v>
      </c>
      <c r="J4043" s="7" t="str">
        <f aca="false">IF(F4043=0,"NOT FOUND",IF(C4043=I4043,"SELF-VOTE",IF(COUNTIF($K:$K,K4043)&gt;1,"DUPLICATE","OK")))</f>
        <v>OK</v>
      </c>
      <c r="K4043" s="6" t="str">
        <f aca="false">A4043&amp;"|"&amp;B4043&amp;"|"&amp;C4043&amp;"|"&amp;D4043</f>
        <v>6|5|Josh|spotify:track:4o6BgsqLIBViaGVbx5rbRk</v>
      </c>
    </row>
    <row r="4044" customFormat="false" ht="15" hidden="false" customHeight="false" outlineLevel="0" collapsed="false">
      <c r="A4044" s="5" t="n">
        <v>6</v>
      </c>
      <c r="B4044" s="5" t="n">
        <v>5</v>
      </c>
      <c r="C4044" s="5" t="s">
        <v>1843</v>
      </c>
      <c r="D4044" s="5" t="s">
        <v>1864</v>
      </c>
      <c r="E4044" s="5" t="n">
        <v>1</v>
      </c>
      <c r="F4044" s="6" t="n">
        <f aca="false">IFERROR(MATCH(A4044&amp;"|"&amp;B4044&amp;"|"&amp;D4044,'All Song Rankings'!$T:$T,0),0)</f>
        <v>614</v>
      </c>
      <c r="G4044" s="6" t="str">
        <f aca="false">IF(F4044=0,"NOT FOUND",INDEX('All Song Rankings'!$A:$A,F4044))</f>
        <v>Single Ladies (Put a Ring on It)</v>
      </c>
      <c r="H4044" s="6" t="str">
        <f aca="false">IF(F4044=0,"NOT FOUND",INDEX('All Song Rankings'!$B:$B,F4044))</f>
        <v>Beyoncé</v>
      </c>
      <c r="I4044" s="6" t="str">
        <f aca="false">IF(F4044=0,"NOT FOUND",INDEX('All Song Rankings'!$D:$D,F4044))</f>
        <v>Matt</v>
      </c>
      <c r="J4044" s="7" t="str">
        <f aca="false">IF(F4044=0,"NOT FOUND",IF(C4044=I4044,"SELF-VOTE",IF(COUNTIF($K:$K,K4044)&gt;1,"DUPLICATE","OK")))</f>
        <v>OK</v>
      </c>
      <c r="K4044" s="6" t="str">
        <f aca="false">A4044&amp;"|"&amp;B4044&amp;"|"&amp;C4044&amp;"|"&amp;D4044</f>
        <v>6|5|Josh|spotify:track:5R9a4t5t5O0IsznsrKPVro</v>
      </c>
    </row>
    <row r="4045" customFormat="false" ht="15" hidden="false" customHeight="false" outlineLevel="0" collapsed="false">
      <c r="A4045" s="5" t="n">
        <v>6</v>
      </c>
      <c r="B4045" s="5" t="n">
        <v>5</v>
      </c>
      <c r="C4045" s="5" t="s">
        <v>1843</v>
      </c>
      <c r="D4045" s="5" t="s">
        <v>1885</v>
      </c>
      <c r="E4045" s="5" t="n">
        <v>1</v>
      </c>
      <c r="F4045" s="6" t="n">
        <f aca="false">IFERROR(MATCH(A4045&amp;"|"&amp;B4045&amp;"|"&amp;D4045,'All Song Rankings'!$T:$T,0),0)</f>
        <v>621</v>
      </c>
      <c r="G4045" s="6" t="str">
        <f aca="false">IF(F4045=0,"NOT FOUND",INDEX('All Song Rankings'!$A:$A,F4045))</f>
        <v>Rasputin - Single Version</v>
      </c>
      <c r="H4045" s="6" t="str">
        <f aca="false">IF(F4045=0,"NOT FOUND",INDEX('All Song Rankings'!$B:$B,F4045))</f>
        <v>Boney M.</v>
      </c>
      <c r="I4045" s="6" t="str">
        <f aca="false">IF(F4045=0,"NOT FOUND",INDEX('All Song Rankings'!$D:$D,F4045))</f>
        <v>Scott</v>
      </c>
      <c r="J4045" s="7" t="str">
        <f aca="false">IF(F4045=0,"NOT FOUND",IF(C4045=I4045,"SELF-VOTE",IF(COUNTIF($K:$K,K4045)&gt;1,"DUPLICATE","OK")))</f>
        <v>OK</v>
      </c>
      <c r="K4045" s="6" t="str">
        <f aca="false">A4045&amp;"|"&amp;B4045&amp;"|"&amp;C4045&amp;"|"&amp;D4045</f>
        <v>6|5|Josh|spotify:track:67hbP9PFQZrb4XZc3TzB0s</v>
      </c>
    </row>
    <row r="4046" customFormat="false" ht="15" hidden="false" customHeight="false" outlineLevel="0" collapsed="false">
      <c r="A4046" s="5" t="n">
        <v>6</v>
      </c>
      <c r="B4046" s="5" t="n">
        <v>5</v>
      </c>
      <c r="C4046" s="5" t="s">
        <v>1843</v>
      </c>
      <c r="D4046" s="5" t="s">
        <v>1878</v>
      </c>
      <c r="E4046" s="5" t="n">
        <v>1</v>
      </c>
      <c r="F4046" s="6" t="n">
        <f aca="false">IFERROR(MATCH(A4046&amp;"|"&amp;B4046&amp;"|"&amp;D4046,'All Song Rankings'!$T:$T,0),0)</f>
        <v>619</v>
      </c>
      <c r="G4046" s="6" t="str">
        <f aca="false">IF(F4046=0,"NOT FOUND",INDEX('All Song Rankings'!$A:$A,F4046))</f>
        <v>Hotel Room Service</v>
      </c>
      <c r="H4046" s="6" t="str">
        <f aca="false">IF(F4046=0,"NOT FOUND",INDEX('All Song Rankings'!$B:$B,F4046))</f>
        <v>Pitbull</v>
      </c>
      <c r="I4046" s="6" t="str">
        <f aca="false">IF(F4046=0,"NOT FOUND",INDEX('All Song Rankings'!$D:$D,F4046))</f>
        <v>Stephanie</v>
      </c>
      <c r="J4046" s="7" t="str">
        <f aca="false">IF(F4046=0,"NOT FOUND",IF(C4046=I4046,"SELF-VOTE",IF(COUNTIF($K:$K,K4046)&gt;1,"DUPLICATE","OK")))</f>
        <v>OK</v>
      </c>
      <c r="K4046" s="6" t="str">
        <f aca="false">A4046&amp;"|"&amp;B4046&amp;"|"&amp;C4046&amp;"|"&amp;D4046</f>
        <v>6|5|Josh|spotify:track:6Rb0ptOEjBjPPQUlQtQGbL</v>
      </c>
    </row>
    <row r="4047" customFormat="false" ht="15" hidden="false" customHeight="false" outlineLevel="0" collapsed="false">
      <c r="A4047" s="5" t="n">
        <v>6</v>
      </c>
      <c r="B4047" s="5" t="n">
        <v>5</v>
      </c>
      <c r="C4047" s="5" t="s">
        <v>1843</v>
      </c>
      <c r="D4047" s="5" t="s">
        <v>1873</v>
      </c>
      <c r="E4047" s="5" t="n">
        <v>1</v>
      </c>
      <c r="F4047" s="6" t="n">
        <f aca="false">IFERROR(MATCH(A4047&amp;"|"&amp;B4047&amp;"|"&amp;D4047,'All Song Rankings'!$T:$T,0),0)</f>
        <v>617</v>
      </c>
      <c r="G4047" s="6" t="str">
        <f aca="false">IF(F4047=0,"NOT FOUND",INDEX('All Song Rankings'!$A:$A,F4047))</f>
        <v>Boogie Wonderland (with The Emotions)</v>
      </c>
      <c r="H4047" s="6" t="str">
        <f aca="false">IF(F4047=0,"NOT FOUND",INDEX('All Song Rankings'!$B:$B,F4047))</f>
        <v>Earth, Wind &amp; Fire, The Emotions</v>
      </c>
      <c r="I4047" s="6" t="str">
        <f aca="false">IF(F4047=0,"NOT FOUND",INDEX('All Song Rankings'!$D:$D,F4047))</f>
        <v>Christine</v>
      </c>
      <c r="J4047" s="7" t="str">
        <f aca="false">IF(F4047=0,"NOT FOUND",IF(C4047=I4047,"SELF-VOTE",IF(COUNTIF($K:$K,K4047)&gt;1,"DUPLICATE","OK")))</f>
        <v>OK</v>
      </c>
      <c r="K4047" s="6" t="str">
        <f aca="false">A4047&amp;"|"&amp;B4047&amp;"|"&amp;C4047&amp;"|"&amp;D4047</f>
        <v>6|5|Josh|spotify:track:6ztstiyZL6FXzh4aG46ZPD</v>
      </c>
    </row>
    <row r="4048" customFormat="false" ht="15" hidden="false" customHeight="false" outlineLevel="0" collapsed="false">
      <c r="A4048" s="5" t="n">
        <v>6</v>
      </c>
      <c r="B4048" s="5" t="n">
        <v>5</v>
      </c>
      <c r="C4048" s="5" t="s">
        <v>85</v>
      </c>
      <c r="D4048" s="5" t="s">
        <v>1876</v>
      </c>
      <c r="E4048" s="5" t="n">
        <v>1</v>
      </c>
      <c r="F4048" s="6" t="n">
        <f aca="false">IFERROR(MATCH(A4048&amp;"|"&amp;B4048&amp;"|"&amp;D4048,'All Song Rankings'!$T:$T,0),0)</f>
        <v>618</v>
      </c>
      <c r="G4048" s="6" t="str">
        <f aca="false">IF(F4048=0,"NOT FOUND",INDEX('All Song Rankings'!$A:$A,F4048))</f>
        <v>Cha Cha Slide - Original Live Platinum Band Mix</v>
      </c>
      <c r="H4048" s="6" t="str">
        <f aca="false">IF(F4048=0,"NOT FOUND",INDEX('All Song Rankings'!$B:$B,F4048))</f>
        <v>DJ Casper</v>
      </c>
      <c r="I4048" s="6" t="str">
        <f aca="false">IF(F4048=0,"NOT FOUND",INDEX('All Song Rankings'!$D:$D,F4048))</f>
        <v>Leah</v>
      </c>
      <c r="J4048" s="7" t="str">
        <f aca="false">IF(F4048=0,"NOT FOUND",IF(C4048=I4048,"SELF-VOTE",IF(COUNTIF($K:$K,K4048)&gt;1,"DUPLICATE","OK")))</f>
        <v>OK</v>
      </c>
      <c r="K4048" s="6" t="str">
        <f aca="false">A4048&amp;"|"&amp;B4048&amp;"|"&amp;C4048&amp;"|"&amp;D4048</f>
        <v>6|5|Kelsey|spotify:track:0RC2B9uIITHA0wtDFfQk3K</v>
      </c>
    </row>
    <row r="4049" customFormat="false" ht="15" hidden="false" customHeight="false" outlineLevel="0" collapsed="false">
      <c r="A4049" s="5" t="n">
        <v>6</v>
      </c>
      <c r="B4049" s="5" t="n">
        <v>5</v>
      </c>
      <c r="C4049" s="5" t="s">
        <v>85</v>
      </c>
      <c r="D4049" s="5" t="s">
        <v>1867</v>
      </c>
      <c r="E4049" s="5" t="n">
        <v>2</v>
      </c>
      <c r="F4049" s="6" t="n">
        <f aca="false">IFERROR(MATCH(A4049&amp;"|"&amp;B4049&amp;"|"&amp;D4049,'All Song Rankings'!$T:$T,0),0)</f>
        <v>615</v>
      </c>
      <c r="G4049" s="6" t="str">
        <f aca="false">IF(F4049=0,"NOT FOUND",INDEX('All Song Rankings'!$A:$A,F4049))</f>
        <v>Get Low</v>
      </c>
      <c r="H4049" s="6" t="str">
        <f aca="false">IF(F4049=0,"NOT FOUND",INDEX('All Song Rankings'!$B:$B,F4049))</f>
        <v>Lil Jon &amp; The East Side Boyz, Ying Yang Twins</v>
      </c>
      <c r="I4049" s="6" t="str">
        <f aca="false">IF(F4049=0,"NOT FOUND",INDEX('All Song Rankings'!$D:$D,F4049))</f>
        <v>Makenzie</v>
      </c>
      <c r="J4049" s="7" t="str">
        <f aca="false">IF(F4049=0,"NOT FOUND",IF(C4049=I4049,"SELF-VOTE",IF(COUNTIF($K:$K,K4049)&gt;1,"DUPLICATE","OK")))</f>
        <v>OK</v>
      </c>
      <c r="K4049" s="6" t="str">
        <f aca="false">A4049&amp;"|"&amp;B4049&amp;"|"&amp;C4049&amp;"|"&amp;D4049</f>
        <v>6|5|Kelsey|spotify:track:0r2Bul2NuCViraT2zX1l5j</v>
      </c>
    </row>
    <row r="4050" customFormat="false" ht="15" hidden="false" customHeight="false" outlineLevel="0" collapsed="false">
      <c r="A4050" s="5" t="n">
        <v>6</v>
      </c>
      <c r="B4050" s="5" t="n">
        <v>5</v>
      </c>
      <c r="C4050" s="5" t="s">
        <v>85</v>
      </c>
      <c r="D4050" s="5" t="s">
        <v>1862</v>
      </c>
      <c r="E4050" s="5" t="n">
        <v>1</v>
      </c>
      <c r="F4050" s="6" t="n">
        <f aca="false">IFERROR(MATCH(A4050&amp;"|"&amp;B4050&amp;"|"&amp;D4050,'All Song Rankings'!$T:$T,0),0)</f>
        <v>613</v>
      </c>
      <c r="G4050" s="6" t="str">
        <f aca="false">IF(F4050=0,"NOT FOUND",INDEX('All Song Rankings'!$A:$A,F4050))</f>
        <v>I Gotta Feeling</v>
      </c>
      <c r="H4050" s="6" t="str">
        <f aca="false">IF(F4050=0,"NOT FOUND",INDEX('All Song Rankings'!$B:$B,F4050))</f>
        <v>Black Eyed Peas</v>
      </c>
      <c r="I4050" s="6" t="str">
        <f aca="false">IF(F4050=0,"NOT FOUND",INDEX('All Song Rankings'!$D:$D,F4050))</f>
        <v>Merita</v>
      </c>
      <c r="J4050" s="7" t="str">
        <f aca="false">IF(F4050=0,"NOT FOUND",IF(C4050=I4050,"SELF-VOTE",IF(COUNTIF($K:$K,K4050)&gt;1,"DUPLICATE","OK")))</f>
        <v>OK</v>
      </c>
      <c r="K4050" s="6" t="str">
        <f aca="false">A4050&amp;"|"&amp;B4050&amp;"|"&amp;C4050&amp;"|"&amp;D4050</f>
        <v>6|5|Kelsey|spotify:track:2H1047e0oMSj10dgp7p2VG</v>
      </c>
    </row>
    <row r="4051" customFormat="false" ht="15" hidden="false" customHeight="false" outlineLevel="0" collapsed="false">
      <c r="A4051" s="5" t="n">
        <v>6</v>
      </c>
      <c r="B4051" s="5" t="n">
        <v>5</v>
      </c>
      <c r="C4051" s="5" t="s">
        <v>85</v>
      </c>
      <c r="D4051" s="5" t="s">
        <v>93</v>
      </c>
      <c r="E4051" s="5" t="n">
        <v>1</v>
      </c>
      <c r="F4051" s="6" t="n">
        <f aca="false">IFERROR(MATCH(A4051&amp;"|"&amp;B4051&amp;"|"&amp;D4051,'All Song Rankings'!$T:$T,0),0)</f>
        <v>612</v>
      </c>
      <c r="G4051" s="6" t="str">
        <f aca="false">IF(F4051=0,"NOT FOUND",INDEX('All Song Rankings'!$A:$A,F4051))</f>
        <v>Shut Up and Dance</v>
      </c>
      <c r="H4051" s="6" t="str">
        <f aca="false">IF(F4051=0,"NOT FOUND",INDEX('All Song Rankings'!$B:$B,F4051))</f>
        <v>WALK THE MOON</v>
      </c>
      <c r="I4051" s="6" t="str">
        <f aca="false">IF(F4051=0,"NOT FOUND",INDEX('All Song Rankings'!$D:$D,F4051))</f>
        <v>Lisa</v>
      </c>
      <c r="J4051" s="7" t="str">
        <f aca="false">IF(F4051=0,"NOT FOUND",IF(C4051=I4051,"SELF-VOTE",IF(COUNTIF($K:$K,K4051)&gt;1,"DUPLICATE","OK")))</f>
        <v>OK</v>
      </c>
      <c r="K4051" s="6" t="str">
        <f aca="false">A4051&amp;"|"&amp;B4051&amp;"|"&amp;C4051&amp;"|"&amp;D4051</f>
        <v>6|5|Kelsey|spotify:track:4kbj5MwxO1bq9wjT5g9HaA</v>
      </c>
    </row>
    <row r="4052" customFormat="false" ht="15" hidden="false" customHeight="false" outlineLevel="0" collapsed="false">
      <c r="A4052" s="5" t="n">
        <v>6</v>
      </c>
      <c r="B4052" s="5" t="n">
        <v>5</v>
      </c>
      <c r="C4052" s="5" t="s">
        <v>85</v>
      </c>
      <c r="D4052" s="5" t="s">
        <v>1870</v>
      </c>
      <c r="E4052" s="5" t="n">
        <v>1</v>
      </c>
      <c r="F4052" s="6" t="n">
        <f aca="false">IFERROR(MATCH(A4052&amp;"|"&amp;B4052&amp;"|"&amp;D4052,'All Song Rankings'!$T:$T,0),0)</f>
        <v>616</v>
      </c>
      <c r="G4052" s="6" t="str">
        <f aca="false">IF(F4052=0,"NOT FOUND",INDEX('All Song Rankings'!$A:$A,F4052))</f>
        <v>You Make My Dreams (Come True)</v>
      </c>
      <c r="H4052" s="6" t="str">
        <f aca="false">IF(F4052=0,"NOT FOUND",INDEX('All Song Rankings'!$B:$B,F4052))</f>
        <v>Daryl Hall &amp; John Oates</v>
      </c>
      <c r="I4052" s="6" t="str">
        <f aca="false">IF(F4052=0,"NOT FOUND",INDEX('All Song Rankings'!$D:$D,F4052))</f>
        <v>Logan</v>
      </c>
      <c r="J4052" s="7" t="str">
        <f aca="false">IF(F4052=0,"NOT FOUND",IF(C4052=I4052,"SELF-VOTE",IF(COUNTIF($K:$K,K4052)&gt;1,"DUPLICATE","OK")))</f>
        <v>OK</v>
      </c>
      <c r="K4052" s="6" t="str">
        <f aca="false">A4052&amp;"|"&amp;B4052&amp;"|"&amp;C4052&amp;"|"&amp;D4052</f>
        <v>6|5|Kelsey|spotify:track:4o6BgsqLIBViaGVbx5rbRk</v>
      </c>
    </row>
    <row r="4053" customFormat="false" ht="15" hidden="false" customHeight="false" outlineLevel="0" collapsed="false">
      <c r="A4053" s="5" t="n">
        <v>6</v>
      </c>
      <c r="B4053" s="5" t="n">
        <v>5</v>
      </c>
      <c r="C4053" s="5" t="s">
        <v>85</v>
      </c>
      <c r="D4053" s="5" t="s">
        <v>1864</v>
      </c>
      <c r="E4053" s="5" t="n">
        <v>1</v>
      </c>
      <c r="F4053" s="6" t="n">
        <f aca="false">IFERROR(MATCH(A4053&amp;"|"&amp;B4053&amp;"|"&amp;D4053,'All Song Rankings'!$T:$T,0),0)</f>
        <v>614</v>
      </c>
      <c r="G4053" s="6" t="str">
        <f aca="false">IF(F4053=0,"NOT FOUND",INDEX('All Song Rankings'!$A:$A,F4053))</f>
        <v>Single Ladies (Put a Ring on It)</v>
      </c>
      <c r="H4053" s="6" t="str">
        <f aca="false">IF(F4053=0,"NOT FOUND",INDEX('All Song Rankings'!$B:$B,F4053))</f>
        <v>Beyoncé</v>
      </c>
      <c r="I4053" s="6" t="str">
        <f aca="false">IF(F4053=0,"NOT FOUND",INDEX('All Song Rankings'!$D:$D,F4053))</f>
        <v>Matt</v>
      </c>
      <c r="J4053" s="7" t="str">
        <f aca="false">IF(F4053=0,"NOT FOUND",IF(C4053=I4053,"SELF-VOTE",IF(COUNTIF($K:$K,K4053)&gt;1,"DUPLICATE","OK")))</f>
        <v>OK</v>
      </c>
      <c r="K4053" s="6" t="str">
        <f aca="false">A4053&amp;"|"&amp;B4053&amp;"|"&amp;C4053&amp;"|"&amp;D4053</f>
        <v>6|5|Kelsey|spotify:track:5R9a4t5t5O0IsznsrKPVro</v>
      </c>
    </row>
    <row r="4054" customFormat="false" ht="15" hidden="false" customHeight="false" outlineLevel="0" collapsed="false">
      <c r="A4054" s="5" t="n">
        <v>6</v>
      </c>
      <c r="B4054" s="5" t="n">
        <v>5</v>
      </c>
      <c r="C4054" s="5" t="s">
        <v>85</v>
      </c>
      <c r="D4054" s="5" t="s">
        <v>1878</v>
      </c>
      <c r="E4054" s="5" t="n">
        <v>1</v>
      </c>
      <c r="F4054" s="6" t="n">
        <f aca="false">IFERROR(MATCH(A4054&amp;"|"&amp;B4054&amp;"|"&amp;D4054,'All Song Rankings'!$T:$T,0),0)</f>
        <v>619</v>
      </c>
      <c r="G4054" s="6" t="str">
        <f aca="false">IF(F4054=0,"NOT FOUND",INDEX('All Song Rankings'!$A:$A,F4054))</f>
        <v>Hotel Room Service</v>
      </c>
      <c r="H4054" s="6" t="str">
        <f aca="false">IF(F4054=0,"NOT FOUND",INDEX('All Song Rankings'!$B:$B,F4054))</f>
        <v>Pitbull</v>
      </c>
      <c r="I4054" s="6" t="str">
        <f aca="false">IF(F4054=0,"NOT FOUND",INDEX('All Song Rankings'!$D:$D,F4054))</f>
        <v>Stephanie</v>
      </c>
      <c r="J4054" s="7" t="str">
        <f aca="false">IF(F4054=0,"NOT FOUND",IF(C4054=I4054,"SELF-VOTE",IF(COUNTIF($K:$K,K4054)&gt;1,"DUPLICATE","OK")))</f>
        <v>OK</v>
      </c>
      <c r="K4054" s="6" t="str">
        <f aca="false">A4054&amp;"|"&amp;B4054&amp;"|"&amp;C4054&amp;"|"&amp;D4054</f>
        <v>6|5|Kelsey|spotify:track:6Rb0ptOEjBjPPQUlQtQGbL</v>
      </c>
    </row>
    <row r="4055" customFormat="false" ht="15" hidden="false" customHeight="false" outlineLevel="0" collapsed="false">
      <c r="A4055" s="5" t="n">
        <v>6</v>
      </c>
      <c r="B4055" s="5" t="n">
        <v>5</v>
      </c>
      <c r="C4055" s="5" t="s">
        <v>85</v>
      </c>
      <c r="D4055" s="5" t="s">
        <v>1888</v>
      </c>
      <c r="E4055" s="5" t="n">
        <v>2</v>
      </c>
      <c r="F4055" s="6" t="n">
        <f aca="false">IFERROR(MATCH(A4055&amp;"|"&amp;B4055&amp;"|"&amp;D4055,'All Song Rankings'!$T:$T,0),0)</f>
        <v>622</v>
      </c>
      <c r="G4055" s="6" t="str">
        <f aca="false">IF(F4055=0,"NOT FOUND",INDEX('All Song Rankings'!$A:$A,F4055))</f>
        <v>Levels - Original Version</v>
      </c>
      <c r="H4055" s="6" t="str">
        <f aca="false">IF(F4055=0,"NOT FOUND",INDEX('All Song Rankings'!$B:$B,F4055))</f>
        <v>Avicii</v>
      </c>
      <c r="I4055" s="6" t="str">
        <f aca="false">IF(F4055=0,"NOT FOUND",INDEX('All Song Rankings'!$D:$D,F4055))</f>
        <v>Colleen</v>
      </c>
      <c r="J4055" s="7" t="str">
        <f aca="false">IF(F4055=0,"NOT FOUND",IF(C4055=I4055,"SELF-VOTE",IF(COUNTIF($K:$K,K4055)&gt;1,"DUPLICATE","OK")))</f>
        <v>OK</v>
      </c>
      <c r="K4055" s="6" t="str">
        <f aca="false">A4055&amp;"|"&amp;B4055&amp;"|"&amp;C4055&amp;"|"&amp;D4055</f>
        <v>6|5|Kelsey|spotify:track:6Xe9wT5xeZETPwtaP2ynUz</v>
      </c>
    </row>
    <row r="4056" customFormat="false" ht="15" hidden="false" customHeight="false" outlineLevel="0" collapsed="false">
      <c r="A4056" s="5" t="n">
        <v>6</v>
      </c>
      <c r="B4056" s="5" t="n">
        <v>5</v>
      </c>
      <c r="C4056" s="5" t="s">
        <v>106</v>
      </c>
      <c r="D4056" s="5" t="s">
        <v>1876</v>
      </c>
      <c r="E4056" s="5" t="n">
        <v>2</v>
      </c>
      <c r="F4056" s="6" t="n">
        <f aca="false">IFERROR(MATCH(A4056&amp;"|"&amp;B4056&amp;"|"&amp;D4056,'All Song Rankings'!$T:$T,0),0)</f>
        <v>618</v>
      </c>
      <c r="G4056" s="6" t="str">
        <f aca="false">IF(F4056=0,"NOT FOUND",INDEX('All Song Rankings'!$A:$A,F4056))</f>
        <v>Cha Cha Slide - Original Live Platinum Band Mix</v>
      </c>
      <c r="H4056" s="6" t="str">
        <f aca="false">IF(F4056=0,"NOT FOUND",INDEX('All Song Rankings'!$B:$B,F4056))</f>
        <v>DJ Casper</v>
      </c>
      <c r="I4056" s="6" t="str">
        <f aca="false">IF(F4056=0,"NOT FOUND",INDEX('All Song Rankings'!$D:$D,F4056))</f>
        <v>Leah</v>
      </c>
      <c r="J4056" s="7" t="str">
        <f aca="false">IF(F4056=0,"NOT FOUND",IF(C4056=I4056,"SELF-VOTE",IF(COUNTIF($K:$K,K4056)&gt;1,"DUPLICATE","OK")))</f>
        <v>OK</v>
      </c>
      <c r="K4056" s="6" t="str">
        <f aca="false">A4056&amp;"|"&amp;B4056&amp;"|"&amp;C4056&amp;"|"&amp;D4056</f>
        <v>6|5|Kristen|spotify:track:0RC2B9uIITHA0wtDFfQk3K</v>
      </c>
    </row>
    <row r="4057" customFormat="false" ht="15" hidden="false" customHeight="false" outlineLevel="0" collapsed="false">
      <c r="A4057" s="5" t="n">
        <v>6</v>
      </c>
      <c r="B4057" s="5" t="n">
        <v>5</v>
      </c>
      <c r="C4057" s="5" t="s">
        <v>106</v>
      </c>
      <c r="D4057" s="5" t="s">
        <v>1867</v>
      </c>
      <c r="E4057" s="5" t="n">
        <v>1</v>
      </c>
      <c r="F4057" s="6" t="n">
        <f aca="false">IFERROR(MATCH(A4057&amp;"|"&amp;B4057&amp;"|"&amp;D4057,'All Song Rankings'!$T:$T,0),0)</f>
        <v>615</v>
      </c>
      <c r="G4057" s="6" t="str">
        <f aca="false">IF(F4057=0,"NOT FOUND",INDEX('All Song Rankings'!$A:$A,F4057))</f>
        <v>Get Low</v>
      </c>
      <c r="H4057" s="6" t="str">
        <f aca="false">IF(F4057=0,"NOT FOUND",INDEX('All Song Rankings'!$B:$B,F4057))</f>
        <v>Lil Jon &amp; The East Side Boyz, Ying Yang Twins</v>
      </c>
      <c r="I4057" s="6" t="str">
        <f aca="false">IF(F4057=0,"NOT FOUND",INDEX('All Song Rankings'!$D:$D,F4057))</f>
        <v>Makenzie</v>
      </c>
      <c r="J4057" s="7" t="str">
        <f aca="false">IF(F4057=0,"NOT FOUND",IF(C4057=I4057,"SELF-VOTE",IF(COUNTIF($K:$K,K4057)&gt;1,"DUPLICATE","OK")))</f>
        <v>OK</v>
      </c>
      <c r="K4057" s="6" t="str">
        <f aca="false">A4057&amp;"|"&amp;B4057&amp;"|"&amp;C4057&amp;"|"&amp;D4057</f>
        <v>6|5|Kristen|spotify:track:0r2Bul2NuCViraT2zX1l5j</v>
      </c>
    </row>
    <row r="4058" customFormat="false" ht="15" hidden="false" customHeight="false" outlineLevel="0" collapsed="false">
      <c r="A4058" s="5" t="n">
        <v>6</v>
      </c>
      <c r="B4058" s="5" t="n">
        <v>5</v>
      </c>
      <c r="C4058" s="5" t="s">
        <v>106</v>
      </c>
      <c r="D4058" s="5" t="s">
        <v>1862</v>
      </c>
      <c r="E4058" s="5" t="n">
        <v>1</v>
      </c>
      <c r="F4058" s="6" t="n">
        <f aca="false">IFERROR(MATCH(A4058&amp;"|"&amp;B4058&amp;"|"&amp;D4058,'All Song Rankings'!$T:$T,0),0)</f>
        <v>613</v>
      </c>
      <c r="G4058" s="6" t="str">
        <f aca="false">IF(F4058=0,"NOT FOUND",INDEX('All Song Rankings'!$A:$A,F4058))</f>
        <v>I Gotta Feeling</v>
      </c>
      <c r="H4058" s="6" t="str">
        <f aca="false">IF(F4058=0,"NOT FOUND",INDEX('All Song Rankings'!$B:$B,F4058))</f>
        <v>Black Eyed Peas</v>
      </c>
      <c r="I4058" s="6" t="str">
        <f aca="false">IF(F4058=0,"NOT FOUND",INDEX('All Song Rankings'!$D:$D,F4058))</f>
        <v>Merita</v>
      </c>
      <c r="J4058" s="7" t="str">
        <f aca="false">IF(F4058=0,"NOT FOUND",IF(C4058=I4058,"SELF-VOTE",IF(COUNTIF($K:$K,K4058)&gt;1,"DUPLICATE","OK")))</f>
        <v>OK</v>
      </c>
      <c r="K4058" s="6" t="str">
        <f aca="false">A4058&amp;"|"&amp;B4058&amp;"|"&amp;C4058&amp;"|"&amp;D4058</f>
        <v>6|5|Kristen|spotify:track:2H1047e0oMSj10dgp7p2VG</v>
      </c>
    </row>
    <row r="4059" customFormat="false" ht="15" hidden="false" customHeight="false" outlineLevel="0" collapsed="false">
      <c r="A4059" s="5" t="n">
        <v>6</v>
      </c>
      <c r="B4059" s="5" t="n">
        <v>5</v>
      </c>
      <c r="C4059" s="5" t="s">
        <v>106</v>
      </c>
      <c r="D4059" s="5" t="s">
        <v>1859</v>
      </c>
      <c r="E4059" s="5" t="n">
        <v>1</v>
      </c>
      <c r="F4059" s="6" t="n">
        <f aca="false">IFERROR(MATCH(A4059&amp;"|"&amp;B4059&amp;"|"&amp;D4059,'All Song Rankings'!$T:$T,0),0)</f>
        <v>611</v>
      </c>
      <c r="G4059" s="6" t="str">
        <f aca="false">IF(F4059=0,"NOT FOUND",INDEX('All Song Rankings'!$A:$A,F4059))</f>
        <v>September</v>
      </c>
      <c r="H4059" s="6" t="str">
        <f aca="false">IF(F4059=0,"NOT FOUND",INDEX('All Song Rankings'!$B:$B,F4059))</f>
        <v>Earth, Wind &amp; Fire</v>
      </c>
      <c r="I4059" s="6" t="str">
        <f aca="false">IF(F4059=0,"NOT FOUND",INDEX('All Song Rankings'!$D:$D,F4059))</f>
        <v>Kelsey</v>
      </c>
      <c r="J4059" s="7" t="str">
        <f aca="false">IF(F4059=0,"NOT FOUND",IF(C4059=I4059,"SELF-VOTE",IF(COUNTIF($K:$K,K4059)&gt;1,"DUPLICATE","OK")))</f>
        <v>OK</v>
      </c>
      <c r="K4059" s="6" t="str">
        <f aca="false">A4059&amp;"|"&amp;B4059&amp;"|"&amp;C4059&amp;"|"&amp;D4059</f>
        <v>6|5|Kristen|spotify:track:2grjqo0Frpf2okIBiifQKs</v>
      </c>
    </row>
    <row r="4060" customFormat="false" ht="15" hidden="false" customHeight="false" outlineLevel="0" collapsed="false">
      <c r="A4060" s="5" t="n">
        <v>6</v>
      </c>
      <c r="B4060" s="5" t="n">
        <v>5</v>
      </c>
      <c r="C4060" s="5" t="s">
        <v>106</v>
      </c>
      <c r="D4060" s="5" t="s">
        <v>93</v>
      </c>
      <c r="E4060" s="5" t="n">
        <v>2</v>
      </c>
      <c r="F4060" s="6" t="n">
        <f aca="false">IFERROR(MATCH(A4060&amp;"|"&amp;B4060&amp;"|"&amp;D4060,'All Song Rankings'!$T:$T,0),0)</f>
        <v>612</v>
      </c>
      <c r="G4060" s="6" t="str">
        <f aca="false">IF(F4060=0,"NOT FOUND",INDEX('All Song Rankings'!$A:$A,F4060))</f>
        <v>Shut Up and Dance</v>
      </c>
      <c r="H4060" s="6" t="str">
        <f aca="false">IF(F4060=0,"NOT FOUND",INDEX('All Song Rankings'!$B:$B,F4060))</f>
        <v>WALK THE MOON</v>
      </c>
      <c r="I4060" s="6" t="str">
        <f aca="false">IF(F4060=0,"NOT FOUND",INDEX('All Song Rankings'!$D:$D,F4060))</f>
        <v>Lisa</v>
      </c>
      <c r="J4060" s="7" t="str">
        <f aca="false">IF(F4060=0,"NOT FOUND",IF(C4060=I4060,"SELF-VOTE",IF(COUNTIF($K:$K,K4060)&gt;1,"DUPLICATE","OK")))</f>
        <v>OK</v>
      </c>
      <c r="K4060" s="6" t="str">
        <f aca="false">A4060&amp;"|"&amp;B4060&amp;"|"&amp;C4060&amp;"|"&amp;D4060</f>
        <v>6|5|Kristen|spotify:track:4kbj5MwxO1bq9wjT5g9HaA</v>
      </c>
    </row>
    <row r="4061" customFormat="false" ht="15" hidden="false" customHeight="false" outlineLevel="0" collapsed="false">
      <c r="A4061" s="5" t="n">
        <v>6</v>
      </c>
      <c r="B4061" s="5" t="n">
        <v>5</v>
      </c>
      <c r="C4061" s="5" t="s">
        <v>106</v>
      </c>
      <c r="D4061" s="5" t="s">
        <v>1870</v>
      </c>
      <c r="E4061" s="5" t="n">
        <v>1</v>
      </c>
      <c r="F4061" s="6" t="n">
        <f aca="false">IFERROR(MATCH(A4061&amp;"|"&amp;B4061&amp;"|"&amp;D4061,'All Song Rankings'!$T:$T,0),0)</f>
        <v>616</v>
      </c>
      <c r="G4061" s="6" t="str">
        <f aca="false">IF(F4061=0,"NOT FOUND",INDEX('All Song Rankings'!$A:$A,F4061))</f>
        <v>You Make My Dreams (Come True)</v>
      </c>
      <c r="H4061" s="6" t="str">
        <f aca="false">IF(F4061=0,"NOT FOUND",INDEX('All Song Rankings'!$B:$B,F4061))</f>
        <v>Daryl Hall &amp; John Oates</v>
      </c>
      <c r="I4061" s="6" t="str">
        <f aca="false">IF(F4061=0,"NOT FOUND",INDEX('All Song Rankings'!$D:$D,F4061))</f>
        <v>Logan</v>
      </c>
      <c r="J4061" s="7" t="str">
        <f aca="false">IF(F4061=0,"NOT FOUND",IF(C4061=I4061,"SELF-VOTE",IF(COUNTIF($K:$K,K4061)&gt;1,"DUPLICATE","OK")))</f>
        <v>OK</v>
      </c>
      <c r="K4061" s="6" t="str">
        <f aca="false">A4061&amp;"|"&amp;B4061&amp;"|"&amp;C4061&amp;"|"&amp;D4061</f>
        <v>6|5|Kristen|spotify:track:4o6BgsqLIBViaGVbx5rbRk</v>
      </c>
    </row>
    <row r="4062" customFormat="false" ht="15" hidden="false" customHeight="false" outlineLevel="0" collapsed="false">
      <c r="A4062" s="5" t="n">
        <v>6</v>
      </c>
      <c r="B4062" s="5" t="n">
        <v>5</v>
      </c>
      <c r="C4062" s="5" t="s">
        <v>106</v>
      </c>
      <c r="D4062" s="5" t="s">
        <v>1864</v>
      </c>
      <c r="E4062" s="5" t="n">
        <v>1</v>
      </c>
      <c r="F4062" s="6" t="n">
        <f aca="false">IFERROR(MATCH(A4062&amp;"|"&amp;B4062&amp;"|"&amp;D4062,'All Song Rankings'!$T:$T,0),0)</f>
        <v>614</v>
      </c>
      <c r="G4062" s="6" t="str">
        <f aca="false">IF(F4062=0,"NOT FOUND",INDEX('All Song Rankings'!$A:$A,F4062))</f>
        <v>Single Ladies (Put a Ring on It)</v>
      </c>
      <c r="H4062" s="6" t="str">
        <f aca="false">IF(F4062=0,"NOT FOUND",INDEX('All Song Rankings'!$B:$B,F4062))</f>
        <v>Beyoncé</v>
      </c>
      <c r="I4062" s="6" t="str">
        <f aca="false">IF(F4062=0,"NOT FOUND",INDEX('All Song Rankings'!$D:$D,F4062))</f>
        <v>Matt</v>
      </c>
      <c r="J4062" s="7" t="str">
        <f aca="false">IF(F4062=0,"NOT FOUND",IF(C4062=I4062,"SELF-VOTE",IF(COUNTIF($K:$K,K4062)&gt;1,"DUPLICATE","OK")))</f>
        <v>OK</v>
      </c>
      <c r="K4062" s="6" t="str">
        <f aca="false">A4062&amp;"|"&amp;B4062&amp;"|"&amp;C4062&amp;"|"&amp;D4062</f>
        <v>6|5|Kristen|spotify:track:5R9a4t5t5O0IsznsrKPVro</v>
      </c>
    </row>
    <row r="4063" customFormat="false" ht="15" hidden="false" customHeight="false" outlineLevel="0" collapsed="false">
      <c r="A4063" s="5" t="n">
        <v>6</v>
      </c>
      <c r="B4063" s="5" t="n">
        <v>5</v>
      </c>
      <c r="C4063" s="5" t="s">
        <v>106</v>
      </c>
      <c r="D4063" s="5" t="s">
        <v>1878</v>
      </c>
      <c r="E4063" s="5" t="n">
        <v>1</v>
      </c>
      <c r="F4063" s="6" t="n">
        <f aca="false">IFERROR(MATCH(A4063&amp;"|"&amp;B4063&amp;"|"&amp;D4063,'All Song Rankings'!$T:$T,0),0)</f>
        <v>619</v>
      </c>
      <c r="G4063" s="6" t="str">
        <f aca="false">IF(F4063=0,"NOT FOUND",INDEX('All Song Rankings'!$A:$A,F4063))</f>
        <v>Hotel Room Service</v>
      </c>
      <c r="H4063" s="6" t="str">
        <f aca="false">IF(F4063=0,"NOT FOUND",INDEX('All Song Rankings'!$B:$B,F4063))</f>
        <v>Pitbull</v>
      </c>
      <c r="I4063" s="6" t="str">
        <f aca="false">IF(F4063=0,"NOT FOUND",INDEX('All Song Rankings'!$D:$D,F4063))</f>
        <v>Stephanie</v>
      </c>
      <c r="J4063" s="7" t="str">
        <f aca="false">IF(F4063=0,"NOT FOUND",IF(C4063=I4063,"SELF-VOTE",IF(COUNTIF($K:$K,K4063)&gt;1,"DUPLICATE","OK")))</f>
        <v>OK</v>
      </c>
      <c r="K4063" s="6" t="str">
        <f aca="false">A4063&amp;"|"&amp;B4063&amp;"|"&amp;C4063&amp;"|"&amp;D4063</f>
        <v>6|5|Kristen|spotify:track:6Rb0ptOEjBjPPQUlQtQGbL</v>
      </c>
    </row>
    <row r="4064" customFormat="false" ht="15" hidden="false" customHeight="false" outlineLevel="0" collapsed="false">
      <c r="A4064" s="5" t="n">
        <v>6</v>
      </c>
      <c r="B4064" s="5" t="n">
        <v>5</v>
      </c>
      <c r="C4064" s="5" t="s">
        <v>119</v>
      </c>
      <c r="D4064" s="5" t="s">
        <v>1867</v>
      </c>
      <c r="E4064" s="5" t="n">
        <v>1</v>
      </c>
      <c r="F4064" s="6" t="n">
        <f aca="false">IFERROR(MATCH(A4064&amp;"|"&amp;B4064&amp;"|"&amp;D4064,'All Song Rankings'!$T:$T,0),0)</f>
        <v>615</v>
      </c>
      <c r="G4064" s="6" t="str">
        <f aca="false">IF(F4064=0,"NOT FOUND",INDEX('All Song Rankings'!$A:$A,F4064))</f>
        <v>Get Low</v>
      </c>
      <c r="H4064" s="6" t="str">
        <f aca="false">IF(F4064=0,"NOT FOUND",INDEX('All Song Rankings'!$B:$B,F4064))</f>
        <v>Lil Jon &amp; The East Side Boyz, Ying Yang Twins</v>
      </c>
      <c r="I4064" s="6" t="str">
        <f aca="false">IF(F4064=0,"NOT FOUND",INDEX('All Song Rankings'!$D:$D,F4064))</f>
        <v>Makenzie</v>
      </c>
      <c r="J4064" s="7" t="str">
        <f aca="false">IF(F4064=0,"NOT FOUND",IF(C4064=I4064,"SELF-VOTE",IF(COUNTIF($K:$K,K4064)&gt;1,"DUPLICATE","OK")))</f>
        <v>OK</v>
      </c>
      <c r="K4064" s="6" t="str">
        <f aca="false">A4064&amp;"|"&amp;B4064&amp;"|"&amp;C4064&amp;"|"&amp;D4064</f>
        <v>6|5|Leah|spotify:track:0r2Bul2NuCViraT2zX1l5j</v>
      </c>
    </row>
    <row r="4065" customFormat="false" ht="15" hidden="false" customHeight="false" outlineLevel="0" collapsed="false">
      <c r="A4065" s="5" t="n">
        <v>6</v>
      </c>
      <c r="B4065" s="5" t="n">
        <v>5</v>
      </c>
      <c r="C4065" s="5" t="s">
        <v>119</v>
      </c>
      <c r="D4065" s="5" t="s">
        <v>1862</v>
      </c>
      <c r="E4065" s="5" t="n">
        <v>1</v>
      </c>
      <c r="F4065" s="6" t="n">
        <f aca="false">IFERROR(MATCH(A4065&amp;"|"&amp;B4065&amp;"|"&amp;D4065,'All Song Rankings'!$T:$T,0),0)</f>
        <v>613</v>
      </c>
      <c r="G4065" s="6" t="str">
        <f aca="false">IF(F4065=0,"NOT FOUND",INDEX('All Song Rankings'!$A:$A,F4065))</f>
        <v>I Gotta Feeling</v>
      </c>
      <c r="H4065" s="6" t="str">
        <f aca="false">IF(F4065=0,"NOT FOUND",INDEX('All Song Rankings'!$B:$B,F4065))</f>
        <v>Black Eyed Peas</v>
      </c>
      <c r="I4065" s="6" t="str">
        <f aca="false">IF(F4065=0,"NOT FOUND",INDEX('All Song Rankings'!$D:$D,F4065))</f>
        <v>Merita</v>
      </c>
      <c r="J4065" s="7" t="str">
        <f aca="false">IF(F4065=0,"NOT FOUND",IF(C4065=I4065,"SELF-VOTE",IF(COUNTIF($K:$K,K4065)&gt;1,"DUPLICATE","OK")))</f>
        <v>OK</v>
      </c>
      <c r="K4065" s="6" t="str">
        <f aca="false">A4065&amp;"|"&amp;B4065&amp;"|"&amp;C4065&amp;"|"&amp;D4065</f>
        <v>6|5|Leah|spotify:track:2H1047e0oMSj10dgp7p2VG</v>
      </c>
    </row>
    <row r="4066" customFormat="false" ht="15" hidden="false" customHeight="false" outlineLevel="0" collapsed="false">
      <c r="A4066" s="5" t="n">
        <v>6</v>
      </c>
      <c r="B4066" s="5" t="n">
        <v>5</v>
      </c>
      <c r="C4066" s="5" t="s">
        <v>119</v>
      </c>
      <c r="D4066" s="5" t="s">
        <v>1859</v>
      </c>
      <c r="E4066" s="5" t="n">
        <v>1</v>
      </c>
      <c r="F4066" s="6" t="n">
        <f aca="false">IFERROR(MATCH(A4066&amp;"|"&amp;B4066&amp;"|"&amp;D4066,'All Song Rankings'!$T:$T,0),0)</f>
        <v>611</v>
      </c>
      <c r="G4066" s="6" t="str">
        <f aca="false">IF(F4066=0,"NOT FOUND",INDEX('All Song Rankings'!$A:$A,F4066))</f>
        <v>September</v>
      </c>
      <c r="H4066" s="6" t="str">
        <f aca="false">IF(F4066=0,"NOT FOUND",INDEX('All Song Rankings'!$B:$B,F4066))</f>
        <v>Earth, Wind &amp; Fire</v>
      </c>
      <c r="I4066" s="6" t="str">
        <f aca="false">IF(F4066=0,"NOT FOUND",INDEX('All Song Rankings'!$D:$D,F4066))</f>
        <v>Kelsey</v>
      </c>
      <c r="J4066" s="7" t="str">
        <f aca="false">IF(F4066=0,"NOT FOUND",IF(C4066=I4066,"SELF-VOTE",IF(COUNTIF($K:$K,K4066)&gt;1,"DUPLICATE","OK")))</f>
        <v>OK</v>
      </c>
      <c r="K4066" s="6" t="str">
        <f aca="false">A4066&amp;"|"&amp;B4066&amp;"|"&amp;C4066&amp;"|"&amp;D4066</f>
        <v>6|5|Leah|spotify:track:2grjqo0Frpf2okIBiifQKs</v>
      </c>
    </row>
    <row r="4067" customFormat="false" ht="15" hidden="false" customHeight="false" outlineLevel="0" collapsed="false">
      <c r="A4067" s="5" t="n">
        <v>6</v>
      </c>
      <c r="B4067" s="5" t="n">
        <v>5</v>
      </c>
      <c r="C4067" s="5" t="s">
        <v>119</v>
      </c>
      <c r="D4067" s="5" t="s">
        <v>1881</v>
      </c>
      <c r="E4067" s="5" t="n">
        <v>2</v>
      </c>
      <c r="F4067" s="6" t="n">
        <f aca="false">IFERROR(MATCH(A4067&amp;"|"&amp;B4067&amp;"|"&amp;D4067,'All Song Rankings'!$T:$T,0),0)</f>
        <v>620</v>
      </c>
      <c r="G4067" s="6" t="str">
        <f aca="false">IF(F4067=0,"NOT FOUND",INDEX('All Song Rankings'!$A:$A,F4067))</f>
        <v>Jump In the Line</v>
      </c>
      <c r="H4067" s="6" t="str">
        <f aca="false">IF(F4067=0,"NOT FOUND",INDEX('All Song Rankings'!$B:$B,F4067))</f>
        <v>Harry Belafonte</v>
      </c>
      <c r="I4067" s="6" t="str">
        <f aca="false">IF(F4067=0,"NOT FOUND",INDEX('All Song Rankings'!$D:$D,F4067))</f>
        <v>Kristen</v>
      </c>
      <c r="J4067" s="7" t="str">
        <f aca="false">IF(F4067=0,"NOT FOUND",IF(C4067=I4067,"SELF-VOTE",IF(COUNTIF($K:$K,K4067)&gt;1,"DUPLICATE","OK")))</f>
        <v>OK</v>
      </c>
      <c r="K4067" s="6" t="str">
        <f aca="false">A4067&amp;"|"&amp;B4067&amp;"|"&amp;C4067&amp;"|"&amp;D4067</f>
        <v>6|5|Leah|spotify:track:3w6m1sTs8qXiuITB0sziwY</v>
      </c>
    </row>
    <row r="4068" customFormat="false" ht="15" hidden="false" customHeight="false" outlineLevel="0" collapsed="false">
      <c r="A4068" s="5" t="n">
        <v>6</v>
      </c>
      <c r="B4068" s="5" t="n">
        <v>5</v>
      </c>
      <c r="C4068" s="5" t="s">
        <v>119</v>
      </c>
      <c r="D4068" s="5" t="s">
        <v>1891</v>
      </c>
      <c r="E4068" s="5" t="n">
        <v>1</v>
      </c>
      <c r="F4068" s="6" t="n">
        <f aca="false">IFERROR(MATCH(A4068&amp;"|"&amp;B4068&amp;"|"&amp;D4068,'All Song Rankings'!$T:$T,0),0)</f>
        <v>624</v>
      </c>
      <c r="G4068" s="6" t="str">
        <f aca="false">IF(F4068=0,"NOT FOUND",INDEX('All Song Rankings'!$A:$A,F4068))</f>
        <v>Spin You Around (1/24)</v>
      </c>
      <c r="H4068" s="6" t="str">
        <f aca="false">IF(F4068=0,"NOT FOUND",INDEX('All Song Rankings'!$B:$B,F4068))</f>
        <v>Morgan Wallen</v>
      </c>
      <c r="I4068" s="6" t="str">
        <f aca="false">IF(F4068=0,"NOT FOUND",INDEX('All Song Rankings'!$D:$D,F4068))</f>
        <v>Nicole</v>
      </c>
      <c r="J4068" s="7" t="str">
        <f aca="false">IF(F4068=0,"NOT FOUND",IF(C4068=I4068,"SELF-VOTE",IF(COUNTIF($K:$K,K4068)&gt;1,"DUPLICATE","OK")))</f>
        <v>OK</v>
      </c>
      <c r="K4068" s="6" t="str">
        <f aca="false">A4068&amp;"|"&amp;B4068&amp;"|"&amp;C4068&amp;"|"&amp;D4068</f>
        <v>6|5|Leah|spotify:track:47Xj8eIAp7hYOOqArmkqZE</v>
      </c>
    </row>
    <row r="4069" customFormat="false" ht="15" hidden="false" customHeight="false" outlineLevel="0" collapsed="false">
      <c r="A4069" s="5" t="n">
        <v>6</v>
      </c>
      <c r="B4069" s="5" t="n">
        <v>5</v>
      </c>
      <c r="C4069" s="5" t="s">
        <v>119</v>
      </c>
      <c r="D4069" s="5" t="s">
        <v>93</v>
      </c>
      <c r="E4069" s="5" t="n">
        <v>1</v>
      </c>
      <c r="F4069" s="6" t="n">
        <f aca="false">IFERROR(MATCH(A4069&amp;"|"&amp;B4069&amp;"|"&amp;D4069,'All Song Rankings'!$T:$T,0),0)</f>
        <v>612</v>
      </c>
      <c r="G4069" s="6" t="str">
        <f aca="false">IF(F4069=0,"NOT FOUND",INDEX('All Song Rankings'!$A:$A,F4069))</f>
        <v>Shut Up and Dance</v>
      </c>
      <c r="H4069" s="6" t="str">
        <f aca="false">IF(F4069=0,"NOT FOUND",INDEX('All Song Rankings'!$B:$B,F4069))</f>
        <v>WALK THE MOON</v>
      </c>
      <c r="I4069" s="6" t="str">
        <f aca="false">IF(F4069=0,"NOT FOUND",INDEX('All Song Rankings'!$D:$D,F4069))</f>
        <v>Lisa</v>
      </c>
      <c r="J4069" s="7" t="str">
        <f aca="false">IF(F4069=0,"NOT FOUND",IF(C4069=I4069,"SELF-VOTE",IF(COUNTIF($K:$K,K4069)&gt;1,"DUPLICATE","OK")))</f>
        <v>OK</v>
      </c>
      <c r="K4069" s="6" t="str">
        <f aca="false">A4069&amp;"|"&amp;B4069&amp;"|"&amp;C4069&amp;"|"&amp;D4069</f>
        <v>6|5|Leah|spotify:track:4kbj5MwxO1bq9wjT5g9HaA</v>
      </c>
    </row>
    <row r="4070" customFormat="false" ht="15" hidden="false" customHeight="false" outlineLevel="0" collapsed="false">
      <c r="A4070" s="5" t="n">
        <v>6</v>
      </c>
      <c r="B4070" s="5" t="n">
        <v>5</v>
      </c>
      <c r="C4070" s="5" t="s">
        <v>119</v>
      </c>
      <c r="D4070" s="5" t="s">
        <v>1885</v>
      </c>
      <c r="E4070" s="5" t="n">
        <v>1</v>
      </c>
      <c r="F4070" s="6" t="n">
        <f aca="false">IFERROR(MATCH(A4070&amp;"|"&amp;B4070&amp;"|"&amp;D4070,'All Song Rankings'!$T:$T,0),0)</f>
        <v>621</v>
      </c>
      <c r="G4070" s="6" t="str">
        <f aca="false">IF(F4070=0,"NOT FOUND",INDEX('All Song Rankings'!$A:$A,F4070))</f>
        <v>Rasputin - Single Version</v>
      </c>
      <c r="H4070" s="6" t="str">
        <f aca="false">IF(F4070=0,"NOT FOUND",INDEX('All Song Rankings'!$B:$B,F4070))</f>
        <v>Boney M.</v>
      </c>
      <c r="I4070" s="6" t="str">
        <f aca="false">IF(F4070=0,"NOT FOUND",INDEX('All Song Rankings'!$D:$D,F4070))</f>
        <v>Scott</v>
      </c>
      <c r="J4070" s="7" t="str">
        <f aca="false">IF(F4070=0,"NOT FOUND",IF(C4070=I4070,"SELF-VOTE",IF(COUNTIF($K:$K,K4070)&gt;1,"DUPLICATE","OK")))</f>
        <v>OK</v>
      </c>
      <c r="K4070" s="6" t="str">
        <f aca="false">A4070&amp;"|"&amp;B4070&amp;"|"&amp;C4070&amp;"|"&amp;D4070</f>
        <v>6|5|Leah|spotify:track:67hbP9PFQZrb4XZc3TzB0s</v>
      </c>
    </row>
    <row r="4071" customFormat="false" ht="15" hidden="false" customHeight="false" outlineLevel="0" collapsed="false">
      <c r="A4071" s="5" t="n">
        <v>6</v>
      </c>
      <c r="B4071" s="5" t="n">
        <v>5</v>
      </c>
      <c r="C4071" s="5" t="s">
        <v>119</v>
      </c>
      <c r="D4071" s="5" t="s">
        <v>1878</v>
      </c>
      <c r="E4071" s="5" t="n">
        <v>1</v>
      </c>
      <c r="F4071" s="6" t="n">
        <f aca="false">IFERROR(MATCH(A4071&amp;"|"&amp;B4071&amp;"|"&amp;D4071,'All Song Rankings'!$T:$T,0),0)</f>
        <v>619</v>
      </c>
      <c r="G4071" s="6" t="str">
        <f aca="false">IF(F4071=0,"NOT FOUND",INDEX('All Song Rankings'!$A:$A,F4071))</f>
        <v>Hotel Room Service</v>
      </c>
      <c r="H4071" s="6" t="str">
        <f aca="false">IF(F4071=0,"NOT FOUND",INDEX('All Song Rankings'!$B:$B,F4071))</f>
        <v>Pitbull</v>
      </c>
      <c r="I4071" s="6" t="str">
        <f aca="false">IF(F4071=0,"NOT FOUND",INDEX('All Song Rankings'!$D:$D,F4071))</f>
        <v>Stephanie</v>
      </c>
      <c r="J4071" s="7" t="str">
        <f aca="false">IF(F4071=0,"NOT FOUND",IF(C4071=I4071,"SELF-VOTE",IF(COUNTIF($K:$K,K4071)&gt;1,"DUPLICATE","OK")))</f>
        <v>OK</v>
      </c>
      <c r="K4071" s="6" t="str">
        <f aca="false">A4071&amp;"|"&amp;B4071&amp;"|"&amp;C4071&amp;"|"&amp;D4071</f>
        <v>6|5|Leah|spotify:track:6Rb0ptOEjBjPPQUlQtQGbL</v>
      </c>
    </row>
    <row r="4072" customFormat="false" ht="15" hidden="false" customHeight="false" outlineLevel="0" collapsed="false">
      <c r="A4072" s="5" t="n">
        <v>6</v>
      </c>
      <c r="B4072" s="5" t="n">
        <v>5</v>
      </c>
      <c r="C4072" s="5" t="s">
        <v>119</v>
      </c>
      <c r="D4072" s="5" t="s">
        <v>1873</v>
      </c>
      <c r="E4072" s="5" t="n">
        <v>1</v>
      </c>
      <c r="F4072" s="6" t="n">
        <f aca="false">IFERROR(MATCH(A4072&amp;"|"&amp;B4072&amp;"|"&amp;D4072,'All Song Rankings'!$T:$T,0),0)</f>
        <v>617</v>
      </c>
      <c r="G4072" s="6" t="str">
        <f aca="false">IF(F4072=0,"NOT FOUND",INDEX('All Song Rankings'!$A:$A,F4072))</f>
        <v>Boogie Wonderland (with The Emotions)</v>
      </c>
      <c r="H4072" s="6" t="str">
        <f aca="false">IF(F4072=0,"NOT FOUND",INDEX('All Song Rankings'!$B:$B,F4072))</f>
        <v>Earth, Wind &amp; Fire, The Emotions</v>
      </c>
      <c r="I4072" s="6" t="str">
        <f aca="false">IF(F4072=0,"NOT FOUND",INDEX('All Song Rankings'!$D:$D,F4072))</f>
        <v>Christine</v>
      </c>
      <c r="J4072" s="7" t="str">
        <f aca="false">IF(F4072=0,"NOT FOUND",IF(C4072=I4072,"SELF-VOTE",IF(COUNTIF($K:$K,K4072)&gt;1,"DUPLICATE","OK")))</f>
        <v>OK</v>
      </c>
      <c r="K4072" s="6" t="str">
        <f aca="false">A4072&amp;"|"&amp;B4072&amp;"|"&amp;C4072&amp;"|"&amp;D4072</f>
        <v>6|5|Leah|spotify:track:6ztstiyZL6FXzh4aG46ZPD</v>
      </c>
    </row>
    <row r="4073" customFormat="false" ht="15" hidden="false" customHeight="false" outlineLevel="0" collapsed="false">
      <c r="A4073" s="5" t="n">
        <v>6</v>
      </c>
      <c r="B4073" s="5" t="n">
        <v>5</v>
      </c>
      <c r="C4073" s="5" t="s">
        <v>705</v>
      </c>
      <c r="D4073" s="5" t="s">
        <v>1876</v>
      </c>
      <c r="E4073" s="5" t="n">
        <v>1</v>
      </c>
      <c r="F4073" s="6" t="n">
        <f aca="false">IFERROR(MATCH(A4073&amp;"|"&amp;B4073&amp;"|"&amp;D4073,'All Song Rankings'!$T:$T,0),0)</f>
        <v>618</v>
      </c>
      <c r="G4073" s="6" t="str">
        <f aca="false">IF(F4073=0,"NOT FOUND",INDEX('All Song Rankings'!$A:$A,F4073))</f>
        <v>Cha Cha Slide - Original Live Platinum Band Mix</v>
      </c>
      <c r="H4073" s="6" t="str">
        <f aca="false">IF(F4073=0,"NOT FOUND",INDEX('All Song Rankings'!$B:$B,F4073))</f>
        <v>DJ Casper</v>
      </c>
      <c r="I4073" s="6" t="str">
        <f aca="false">IF(F4073=0,"NOT FOUND",INDEX('All Song Rankings'!$D:$D,F4073))</f>
        <v>Leah</v>
      </c>
      <c r="J4073" s="7" t="str">
        <f aca="false">IF(F4073=0,"NOT FOUND",IF(C4073=I4073,"SELF-VOTE",IF(COUNTIF($K:$K,K4073)&gt;1,"DUPLICATE","OK")))</f>
        <v>OK</v>
      </c>
      <c r="K4073" s="6" t="str">
        <f aca="false">A4073&amp;"|"&amp;B4073&amp;"|"&amp;C4073&amp;"|"&amp;D4073</f>
        <v>6|5|Lisa|spotify:track:0RC2B9uIITHA0wtDFfQk3K</v>
      </c>
    </row>
    <row r="4074" customFormat="false" ht="15" hidden="false" customHeight="false" outlineLevel="0" collapsed="false">
      <c r="A4074" s="5" t="n">
        <v>6</v>
      </c>
      <c r="B4074" s="5" t="n">
        <v>5</v>
      </c>
      <c r="C4074" s="5" t="s">
        <v>705</v>
      </c>
      <c r="D4074" s="5" t="s">
        <v>1862</v>
      </c>
      <c r="E4074" s="5" t="n">
        <v>2</v>
      </c>
      <c r="F4074" s="6" t="n">
        <f aca="false">IFERROR(MATCH(A4074&amp;"|"&amp;B4074&amp;"|"&amp;D4074,'All Song Rankings'!$T:$T,0),0)</f>
        <v>613</v>
      </c>
      <c r="G4074" s="6" t="str">
        <f aca="false">IF(F4074=0,"NOT FOUND",INDEX('All Song Rankings'!$A:$A,F4074))</f>
        <v>I Gotta Feeling</v>
      </c>
      <c r="H4074" s="6" t="str">
        <f aca="false">IF(F4074=0,"NOT FOUND",INDEX('All Song Rankings'!$B:$B,F4074))</f>
        <v>Black Eyed Peas</v>
      </c>
      <c r="I4074" s="6" t="str">
        <f aca="false">IF(F4074=0,"NOT FOUND",INDEX('All Song Rankings'!$D:$D,F4074))</f>
        <v>Merita</v>
      </c>
      <c r="J4074" s="7" t="str">
        <f aca="false">IF(F4074=0,"NOT FOUND",IF(C4074=I4074,"SELF-VOTE",IF(COUNTIF($K:$K,K4074)&gt;1,"DUPLICATE","OK")))</f>
        <v>OK</v>
      </c>
      <c r="K4074" s="6" t="str">
        <f aca="false">A4074&amp;"|"&amp;B4074&amp;"|"&amp;C4074&amp;"|"&amp;D4074</f>
        <v>6|5|Lisa|spotify:track:2H1047e0oMSj10dgp7p2VG</v>
      </c>
    </row>
    <row r="4075" customFormat="false" ht="15" hidden="false" customHeight="false" outlineLevel="0" collapsed="false">
      <c r="A4075" s="5" t="n">
        <v>6</v>
      </c>
      <c r="B4075" s="5" t="n">
        <v>5</v>
      </c>
      <c r="C4075" s="5" t="s">
        <v>705</v>
      </c>
      <c r="D4075" s="5" t="s">
        <v>1859</v>
      </c>
      <c r="E4075" s="5" t="n">
        <v>1</v>
      </c>
      <c r="F4075" s="6" t="n">
        <f aca="false">IFERROR(MATCH(A4075&amp;"|"&amp;B4075&amp;"|"&amp;D4075,'All Song Rankings'!$T:$T,0),0)</f>
        <v>611</v>
      </c>
      <c r="G4075" s="6" t="str">
        <f aca="false">IF(F4075=0,"NOT FOUND",INDEX('All Song Rankings'!$A:$A,F4075))</f>
        <v>September</v>
      </c>
      <c r="H4075" s="6" t="str">
        <f aca="false">IF(F4075=0,"NOT FOUND",INDEX('All Song Rankings'!$B:$B,F4075))</f>
        <v>Earth, Wind &amp; Fire</v>
      </c>
      <c r="I4075" s="6" t="str">
        <f aca="false">IF(F4075=0,"NOT FOUND",INDEX('All Song Rankings'!$D:$D,F4075))</f>
        <v>Kelsey</v>
      </c>
      <c r="J4075" s="7" t="str">
        <f aca="false">IF(F4075=0,"NOT FOUND",IF(C4075=I4075,"SELF-VOTE",IF(COUNTIF($K:$K,K4075)&gt;1,"DUPLICATE","OK")))</f>
        <v>OK</v>
      </c>
      <c r="K4075" s="6" t="str">
        <f aca="false">A4075&amp;"|"&amp;B4075&amp;"|"&amp;C4075&amp;"|"&amp;D4075</f>
        <v>6|5|Lisa|spotify:track:2grjqo0Frpf2okIBiifQKs</v>
      </c>
    </row>
    <row r="4076" customFormat="false" ht="15" hidden="false" customHeight="false" outlineLevel="0" collapsed="false">
      <c r="A4076" s="5" t="n">
        <v>6</v>
      </c>
      <c r="B4076" s="5" t="n">
        <v>5</v>
      </c>
      <c r="C4076" s="5" t="s">
        <v>705</v>
      </c>
      <c r="D4076" s="5" t="s">
        <v>1885</v>
      </c>
      <c r="E4076" s="5" t="n">
        <v>2</v>
      </c>
      <c r="F4076" s="6" t="n">
        <f aca="false">IFERROR(MATCH(A4076&amp;"|"&amp;B4076&amp;"|"&amp;D4076,'All Song Rankings'!$T:$T,0),0)</f>
        <v>621</v>
      </c>
      <c r="G4076" s="6" t="str">
        <f aca="false">IF(F4076=0,"NOT FOUND",INDEX('All Song Rankings'!$A:$A,F4076))</f>
        <v>Rasputin - Single Version</v>
      </c>
      <c r="H4076" s="6" t="str">
        <f aca="false">IF(F4076=0,"NOT FOUND",INDEX('All Song Rankings'!$B:$B,F4076))</f>
        <v>Boney M.</v>
      </c>
      <c r="I4076" s="6" t="str">
        <f aca="false">IF(F4076=0,"NOT FOUND",INDEX('All Song Rankings'!$D:$D,F4076))</f>
        <v>Scott</v>
      </c>
      <c r="J4076" s="7" t="str">
        <f aca="false">IF(F4076=0,"NOT FOUND",IF(C4076=I4076,"SELF-VOTE",IF(COUNTIF($K:$K,K4076)&gt;1,"DUPLICATE","OK")))</f>
        <v>OK</v>
      </c>
      <c r="K4076" s="6" t="str">
        <f aca="false">A4076&amp;"|"&amp;B4076&amp;"|"&amp;C4076&amp;"|"&amp;D4076</f>
        <v>6|5|Lisa|spotify:track:67hbP9PFQZrb4XZc3TzB0s</v>
      </c>
    </row>
    <row r="4077" customFormat="false" ht="15" hidden="false" customHeight="false" outlineLevel="0" collapsed="false">
      <c r="A4077" s="5" t="n">
        <v>6</v>
      </c>
      <c r="B4077" s="5" t="n">
        <v>5</v>
      </c>
      <c r="C4077" s="5" t="s">
        <v>705</v>
      </c>
      <c r="D4077" s="5" t="s">
        <v>1888</v>
      </c>
      <c r="E4077" s="5" t="n">
        <v>2</v>
      </c>
      <c r="F4077" s="6" t="n">
        <f aca="false">IFERROR(MATCH(A4077&amp;"|"&amp;B4077&amp;"|"&amp;D4077,'All Song Rankings'!$T:$T,0),0)</f>
        <v>622</v>
      </c>
      <c r="G4077" s="6" t="str">
        <f aca="false">IF(F4077=0,"NOT FOUND",INDEX('All Song Rankings'!$A:$A,F4077))</f>
        <v>Levels - Original Version</v>
      </c>
      <c r="H4077" s="6" t="str">
        <f aca="false">IF(F4077=0,"NOT FOUND",INDEX('All Song Rankings'!$B:$B,F4077))</f>
        <v>Avicii</v>
      </c>
      <c r="I4077" s="6" t="str">
        <f aca="false">IF(F4077=0,"NOT FOUND",INDEX('All Song Rankings'!$D:$D,F4077))</f>
        <v>Colleen</v>
      </c>
      <c r="J4077" s="7" t="str">
        <f aca="false">IF(F4077=0,"NOT FOUND",IF(C4077=I4077,"SELF-VOTE",IF(COUNTIF($K:$K,K4077)&gt;1,"DUPLICATE","OK")))</f>
        <v>OK</v>
      </c>
      <c r="K4077" s="6" t="str">
        <f aca="false">A4077&amp;"|"&amp;B4077&amp;"|"&amp;C4077&amp;"|"&amp;D4077</f>
        <v>6|5|Lisa|spotify:track:6Xe9wT5xeZETPwtaP2ynUz</v>
      </c>
    </row>
    <row r="4078" customFormat="false" ht="15" hidden="false" customHeight="false" outlineLevel="0" collapsed="false">
      <c r="A4078" s="5" t="n">
        <v>6</v>
      </c>
      <c r="B4078" s="5" t="n">
        <v>5</v>
      </c>
      <c r="C4078" s="5" t="s">
        <v>705</v>
      </c>
      <c r="D4078" s="5" t="s">
        <v>1873</v>
      </c>
      <c r="E4078" s="5" t="n">
        <v>2</v>
      </c>
      <c r="F4078" s="6" t="n">
        <f aca="false">IFERROR(MATCH(A4078&amp;"|"&amp;B4078&amp;"|"&amp;D4078,'All Song Rankings'!$T:$T,0),0)</f>
        <v>617</v>
      </c>
      <c r="G4078" s="6" t="str">
        <f aca="false">IF(F4078=0,"NOT FOUND",INDEX('All Song Rankings'!$A:$A,F4078))</f>
        <v>Boogie Wonderland (with The Emotions)</v>
      </c>
      <c r="H4078" s="6" t="str">
        <f aca="false">IF(F4078=0,"NOT FOUND",INDEX('All Song Rankings'!$B:$B,F4078))</f>
        <v>Earth, Wind &amp; Fire, The Emotions</v>
      </c>
      <c r="I4078" s="6" t="str">
        <f aca="false">IF(F4078=0,"NOT FOUND",INDEX('All Song Rankings'!$D:$D,F4078))</f>
        <v>Christine</v>
      </c>
      <c r="J4078" s="7" t="str">
        <f aca="false">IF(F4078=0,"NOT FOUND",IF(C4078=I4078,"SELF-VOTE",IF(COUNTIF($K:$K,K4078)&gt;1,"DUPLICATE","OK")))</f>
        <v>OK</v>
      </c>
      <c r="K4078" s="6" t="str">
        <f aca="false">A4078&amp;"|"&amp;B4078&amp;"|"&amp;C4078&amp;"|"&amp;D4078</f>
        <v>6|5|Lisa|spotify:track:6ztstiyZL6FXzh4aG46ZPD</v>
      </c>
    </row>
    <row r="4079" customFormat="false" ht="15" hidden="false" customHeight="false" outlineLevel="0" collapsed="false">
      <c r="A4079" s="5" t="n">
        <v>6</v>
      </c>
      <c r="B4079" s="5" t="n">
        <v>5</v>
      </c>
      <c r="C4079" s="5" t="s">
        <v>128</v>
      </c>
      <c r="D4079" s="5" t="s">
        <v>1867</v>
      </c>
      <c r="E4079" s="5" t="n">
        <v>1</v>
      </c>
      <c r="F4079" s="6" t="n">
        <f aca="false">IFERROR(MATCH(A4079&amp;"|"&amp;B4079&amp;"|"&amp;D4079,'All Song Rankings'!$T:$T,0),0)</f>
        <v>615</v>
      </c>
      <c r="G4079" s="6" t="str">
        <f aca="false">IF(F4079=0,"NOT FOUND",INDEX('All Song Rankings'!$A:$A,F4079))</f>
        <v>Get Low</v>
      </c>
      <c r="H4079" s="6" t="str">
        <f aca="false">IF(F4079=0,"NOT FOUND",INDEX('All Song Rankings'!$B:$B,F4079))</f>
        <v>Lil Jon &amp; The East Side Boyz, Ying Yang Twins</v>
      </c>
      <c r="I4079" s="6" t="str">
        <f aca="false">IF(F4079=0,"NOT FOUND",INDEX('All Song Rankings'!$D:$D,F4079))</f>
        <v>Makenzie</v>
      </c>
      <c r="J4079" s="7" t="str">
        <f aca="false">IF(F4079=0,"NOT FOUND",IF(C4079=I4079,"SELF-VOTE",IF(COUNTIF($K:$K,K4079)&gt;1,"DUPLICATE","OK")))</f>
        <v>OK</v>
      </c>
      <c r="K4079" s="6" t="str">
        <f aca="false">A4079&amp;"|"&amp;B4079&amp;"|"&amp;C4079&amp;"|"&amp;D4079</f>
        <v>6|5|Logan|spotify:track:0r2Bul2NuCViraT2zX1l5j</v>
      </c>
    </row>
    <row r="4080" customFormat="false" ht="15" hidden="false" customHeight="false" outlineLevel="0" collapsed="false">
      <c r="A4080" s="5" t="n">
        <v>6</v>
      </c>
      <c r="B4080" s="5" t="n">
        <v>5</v>
      </c>
      <c r="C4080" s="5" t="s">
        <v>128</v>
      </c>
      <c r="D4080" s="5" t="s">
        <v>1859</v>
      </c>
      <c r="E4080" s="5" t="n">
        <v>3</v>
      </c>
      <c r="F4080" s="6" t="n">
        <f aca="false">IFERROR(MATCH(A4080&amp;"|"&amp;B4080&amp;"|"&amp;D4080,'All Song Rankings'!$T:$T,0),0)</f>
        <v>611</v>
      </c>
      <c r="G4080" s="6" t="str">
        <f aca="false">IF(F4080=0,"NOT FOUND",INDEX('All Song Rankings'!$A:$A,F4080))</f>
        <v>September</v>
      </c>
      <c r="H4080" s="6" t="str">
        <f aca="false">IF(F4080=0,"NOT FOUND",INDEX('All Song Rankings'!$B:$B,F4080))</f>
        <v>Earth, Wind &amp; Fire</v>
      </c>
      <c r="I4080" s="6" t="str">
        <f aca="false">IF(F4080=0,"NOT FOUND",INDEX('All Song Rankings'!$D:$D,F4080))</f>
        <v>Kelsey</v>
      </c>
      <c r="J4080" s="7" t="str">
        <f aca="false">IF(F4080=0,"NOT FOUND",IF(C4080=I4080,"SELF-VOTE",IF(COUNTIF($K:$K,K4080)&gt;1,"DUPLICATE","OK")))</f>
        <v>OK</v>
      </c>
      <c r="K4080" s="6" t="str">
        <f aca="false">A4080&amp;"|"&amp;B4080&amp;"|"&amp;C4080&amp;"|"&amp;D4080</f>
        <v>6|5|Logan|spotify:track:2grjqo0Frpf2okIBiifQKs</v>
      </c>
    </row>
    <row r="4081" customFormat="false" ht="15" hidden="false" customHeight="false" outlineLevel="0" collapsed="false">
      <c r="A4081" s="5" t="n">
        <v>6</v>
      </c>
      <c r="B4081" s="5" t="n">
        <v>5</v>
      </c>
      <c r="C4081" s="5" t="s">
        <v>128</v>
      </c>
      <c r="D4081" s="5" t="s">
        <v>1881</v>
      </c>
      <c r="E4081" s="5" t="n">
        <v>1</v>
      </c>
      <c r="F4081" s="6" t="n">
        <f aca="false">IFERROR(MATCH(A4081&amp;"|"&amp;B4081&amp;"|"&amp;D4081,'All Song Rankings'!$T:$T,0),0)</f>
        <v>620</v>
      </c>
      <c r="G4081" s="6" t="str">
        <f aca="false">IF(F4081=0,"NOT FOUND",INDEX('All Song Rankings'!$A:$A,F4081))</f>
        <v>Jump In the Line</v>
      </c>
      <c r="H4081" s="6" t="str">
        <f aca="false">IF(F4081=0,"NOT FOUND",INDEX('All Song Rankings'!$B:$B,F4081))</f>
        <v>Harry Belafonte</v>
      </c>
      <c r="I4081" s="6" t="str">
        <f aca="false">IF(F4081=0,"NOT FOUND",INDEX('All Song Rankings'!$D:$D,F4081))</f>
        <v>Kristen</v>
      </c>
      <c r="J4081" s="7" t="str">
        <f aca="false">IF(F4081=0,"NOT FOUND",IF(C4081=I4081,"SELF-VOTE",IF(COUNTIF($K:$K,K4081)&gt;1,"DUPLICATE","OK")))</f>
        <v>OK</v>
      </c>
      <c r="K4081" s="6" t="str">
        <f aca="false">A4081&amp;"|"&amp;B4081&amp;"|"&amp;C4081&amp;"|"&amp;D4081</f>
        <v>6|5|Logan|spotify:track:3w6m1sTs8qXiuITB0sziwY</v>
      </c>
    </row>
    <row r="4082" customFormat="false" ht="15" hidden="false" customHeight="false" outlineLevel="0" collapsed="false">
      <c r="A4082" s="5" t="n">
        <v>6</v>
      </c>
      <c r="B4082" s="5" t="n">
        <v>5</v>
      </c>
      <c r="C4082" s="5" t="s">
        <v>128</v>
      </c>
      <c r="D4082" s="5" t="s">
        <v>1864</v>
      </c>
      <c r="E4082" s="5" t="n">
        <v>1</v>
      </c>
      <c r="F4082" s="6" t="n">
        <f aca="false">IFERROR(MATCH(A4082&amp;"|"&amp;B4082&amp;"|"&amp;D4082,'All Song Rankings'!$T:$T,0),0)</f>
        <v>614</v>
      </c>
      <c r="G4082" s="6" t="str">
        <f aca="false">IF(F4082=0,"NOT FOUND",INDEX('All Song Rankings'!$A:$A,F4082))</f>
        <v>Single Ladies (Put a Ring on It)</v>
      </c>
      <c r="H4082" s="6" t="str">
        <f aca="false">IF(F4082=0,"NOT FOUND",INDEX('All Song Rankings'!$B:$B,F4082))</f>
        <v>Beyoncé</v>
      </c>
      <c r="I4082" s="6" t="str">
        <f aca="false">IF(F4082=0,"NOT FOUND",INDEX('All Song Rankings'!$D:$D,F4082))</f>
        <v>Matt</v>
      </c>
      <c r="J4082" s="7" t="str">
        <f aca="false">IF(F4082=0,"NOT FOUND",IF(C4082=I4082,"SELF-VOTE",IF(COUNTIF($K:$K,K4082)&gt;1,"DUPLICATE","OK")))</f>
        <v>OK</v>
      </c>
      <c r="K4082" s="6" t="str">
        <f aca="false">A4082&amp;"|"&amp;B4082&amp;"|"&amp;C4082&amp;"|"&amp;D4082</f>
        <v>6|5|Logan|spotify:track:5R9a4t5t5O0IsznsrKPVro</v>
      </c>
    </row>
    <row r="4083" customFormat="false" ht="15" hidden="false" customHeight="false" outlineLevel="0" collapsed="false">
      <c r="A4083" s="5" t="n">
        <v>6</v>
      </c>
      <c r="B4083" s="5" t="n">
        <v>5</v>
      </c>
      <c r="C4083" s="5" t="s">
        <v>128</v>
      </c>
      <c r="D4083" s="5" t="s">
        <v>1888</v>
      </c>
      <c r="E4083" s="5" t="n">
        <v>1</v>
      </c>
      <c r="F4083" s="6" t="n">
        <f aca="false">IFERROR(MATCH(A4083&amp;"|"&amp;B4083&amp;"|"&amp;D4083,'All Song Rankings'!$T:$T,0),0)</f>
        <v>622</v>
      </c>
      <c r="G4083" s="6" t="str">
        <f aca="false">IF(F4083=0,"NOT FOUND",INDEX('All Song Rankings'!$A:$A,F4083))</f>
        <v>Levels - Original Version</v>
      </c>
      <c r="H4083" s="6" t="str">
        <f aca="false">IF(F4083=0,"NOT FOUND",INDEX('All Song Rankings'!$B:$B,F4083))</f>
        <v>Avicii</v>
      </c>
      <c r="I4083" s="6" t="str">
        <f aca="false">IF(F4083=0,"NOT FOUND",INDEX('All Song Rankings'!$D:$D,F4083))</f>
        <v>Colleen</v>
      </c>
      <c r="J4083" s="7" t="str">
        <f aca="false">IF(F4083=0,"NOT FOUND",IF(C4083=I4083,"SELF-VOTE",IF(COUNTIF($K:$K,K4083)&gt;1,"DUPLICATE","OK")))</f>
        <v>OK</v>
      </c>
      <c r="K4083" s="6" t="str">
        <f aca="false">A4083&amp;"|"&amp;B4083&amp;"|"&amp;C4083&amp;"|"&amp;D4083</f>
        <v>6|5|Logan|spotify:track:6Xe9wT5xeZETPwtaP2ynUz</v>
      </c>
    </row>
    <row r="4084" customFormat="false" ht="15" hidden="false" customHeight="false" outlineLevel="0" collapsed="false">
      <c r="A4084" s="5" t="n">
        <v>6</v>
      </c>
      <c r="B4084" s="5" t="n">
        <v>5</v>
      </c>
      <c r="C4084" s="5" t="s">
        <v>128</v>
      </c>
      <c r="D4084" s="5" t="s">
        <v>1873</v>
      </c>
      <c r="E4084" s="5" t="n">
        <v>3</v>
      </c>
      <c r="F4084" s="6" t="n">
        <f aca="false">IFERROR(MATCH(A4084&amp;"|"&amp;B4084&amp;"|"&amp;D4084,'All Song Rankings'!$T:$T,0),0)</f>
        <v>617</v>
      </c>
      <c r="G4084" s="6" t="str">
        <f aca="false">IF(F4084=0,"NOT FOUND",INDEX('All Song Rankings'!$A:$A,F4084))</f>
        <v>Boogie Wonderland (with The Emotions)</v>
      </c>
      <c r="H4084" s="6" t="str">
        <f aca="false">IF(F4084=0,"NOT FOUND",INDEX('All Song Rankings'!$B:$B,F4084))</f>
        <v>Earth, Wind &amp; Fire, The Emotions</v>
      </c>
      <c r="I4084" s="6" t="str">
        <f aca="false">IF(F4084=0,"NOT FOUND",INDEX('All Song Rankings'!$D:$D,F4084))</f>
        <v>Christine</v>
      </c>
      <c r="J4084" s="7" t="str">
        <f aca="false">IF(F4084=0,"NOT FOUND",IF(C4084=I4084,"SELF-VOTE",IF(COUNTIF($K:$K,K4084)&gt;1,"DUPLICATE","OK")))</f>
        <v>OK</v>
      </c>
      <c r="K4084" s="6" t="str">
        <f aca="false">A4084&amp;"|"&amp;B4084&amp;"|"&amp;C4084&amp;"|"&amp;D4084</f>
        <v>6|5|Logan|spotify:track:6ztstiyZL6FXzh4aG46ZPD</v>
      </c>
    </row>
    <row r="4085" customFormat="false" ht="15" hidden="false" customHeight="false" outlineLevel="0" collapsed="false">
      <c r="A4085" s="5" t="n">
        <v>6</v>
      </c>
      <c r="B4085" s="5" t="n">
        <v>5</v>
      </c>
      <c r="C4085" s="5" t="s">
        <v>395</v>
      </c>
      <c r="D4085" s="5" t="s">
        <v>1862</v>
      </c>
      <c r="E4085" s="5" t="n">
        <v>1</v>
      </c>
      <c r="F4085" s="6" t="n">
        <f aca="false">IFERROR(MATCH(A4085&amp;"|"&amp;B4085&amp;"|"&amp;D4085,'All Song Rankings'!$T:$T,0),0)</f>
        <v>613</v>
      </c>
      <c r="G4085" s="6" t="str">
        <f aca="false">IF(F4085=0,"NOT FOUND",INDEX('All Song Rankings'!$A:$A,F4085))</f>
        <v>I Gotta Feeling</v>
      </c>
      <c r="H4085" s="6" t="str">
        <f aca="false">IF(F4085=0,"NOT FOUND",INDEX('All Song Rankings'!$B:$B,F4085))</f>
        <v>Black Eyed Peas</v>
      </c>
      <c r="I4085" s="6" t="str">
        <f aca="false">IF(F4085=0,"NOT FOUND",INDEX('All Song Rankings'!$D:$D,F4085))</f>
        <v>Merita</v>
      </c>
      <c r="J4085" s="7" t="str">
        <f aca="false">IF(F4085=0,"NOT FOUND",IF(C4085=I4085,"SELF-VOTE",IF(COUNTIF($K:$K,K4085)&gt;1,"DUPLICATE","OK")))</f>
        <v>OK</v>
      </c>
      <c r="K4085" s="6" t="str">
        <f aca="false">A4085&amp;"|"&amp;B4085&amp;"|"&amp;C4085&amp;"|"&amp;D4085</f>
        <v>6|5|Makenzie|spotify:track:2H1047e0oMSj10dgp7p2VG</v>
      </c>
    </row>
    <row r="4086" customFormat="false" ht="15" hidden="false" customHeight="false" outlineLevel="0" collapsed="false">
      <c r="A4086" s="5" t="n">
        <v>6</v>
      </c>
      <c r="B4086" s="5" t="n">
        <v>5</v>
      </c>
      <c r="C4086" s="5" t="s">
        <v>395</v>
      </c>
      <c r="D4086" s="5" t="s">
        <v>1859</v>
      </c>
      <c r="E4086" s="5" t="n">
        <v>1</v>
      </c>
      <c r="F4086" s="6" t="n">
        <f aca="false">IFERROR(MATCH(A4086&amp;"|"&amp;B4086&amp;"|"&amp;D4086,'All Song Rankings'!$T:$T,0),0)</f>
        <v>611</v>
      </c>
      <c r="G4086" s="6" t="str">
        <f aca="false">IF(F4086=0,"NOT FOUND",INDEX('All Song Rankings'!$A:$A,F4086))</f>
        <v>September</v>
      </c>
      <c r="H4086" s="6" t="str">
        <f aca="false">IF(F4086=0,"NOT FOUND",INDEX('All Song Rankings'!$B:$B,F4086))</f>
        <v>Earth, Wind &amp; Fire</v>
      </c>
      <c r="I4086" s="6" t="str">
        <f aca="false">IF(F4086=0,"NOT FOUND",INDEX('All Song Rankings'!$D:$D,F4086))</f>
        <v>Kelsey</v>
      </c>
      <c r="J4086" s="7" t="str">
        <f aca="false">IF(F4086=0,"NOT FOUND",IF(C4086=I4086,"SELF-VOTE",IF(COUNTIF($K:$K,K4086)&gt;1,"DUPLICATE","OK")))</f>
        <v>OK</v>
      </c>
      <c r="K4086" s="6" t="str">
        <f aca="false">A4086&amp;"|"&amp;B4086&amp;"|"&amp;C4086&amp;"|"&amp;D4086</f>
        <v>6|5|Makenzie|spotify:track:2grjqo0Frpf2okIBiifQKs</v>
      </c>
    </row>
    <row r="4087" customFormat="false" ht="15" hidden="false" customHeight="false" outlineLevel="0" collapsed="false">
      <c r="A4087" s="5" t="n">
        <v>6</v>
      </c>
      <c r="B4087" s="5" t="n">
        <v>5</v>
      </c>
      <c r="C4087" s="5" t="s">
        <v>395</v>
      </c>
      <c r="D4087" s="5" t="s">
        <v>93</v>
      </c>
      <c r="E4087" s="5" t="n">
        <v>2</v>
      </c>
      <c r="F4087" s="6" t="n">
        <f aca="false">IFERROR(MATCH(A4087&amp;"|"&amp;B4087&amp;"|"&amp;D4087,'All Song Rankings'!$T:$T,0),0)</f>
        <v>612</v>
      </c>
      <c r="G4087" s="6" t="str">
        <f aca="false">IF(F4087=0,"NOT FOUND",INDEX('All Song Rankings'!$A:$A,F4087))</f>
        <v>Shut Up and Dance</v>
      </c>
      <c r="H4087" s="6" t="str">
        <f aca="false">IF(F4087=0,"NOT FOUND",INDEX('All Song Rankings'!$B:$B,F4087))</f>
        <v>WALK THE MOON</v>
      </c>
      <c r="I4087" s="6" t="str">
        <f aca="false">IF(F4087=0,"NOT FOUND",INDEX('All Song Rankings'!$D:$D,F4087))</f>
        <v>Lisa</v>
      </c>
      <c r="J4087" s="7" t="str">
        <f aca="false">IF(F4087=0,"NOT FOUND",IF(C4087=I4087,"SELF-VOTE",IF(COUNTIF($K:$K,K4087)&gt;1,"DUPLICATE","OK")))</f>
        <v>OK</v>
      </c>
      <c r="K4087" s="6" t="str">
        <f aca="false">A4087&amp;"|"&amp;B4087&amp;"|"&amp;C4087&amp;"|"&amp;D4087</f>
        <v>6|5|Makenzie|spotify:track:4kbj5MwxO1bq9wjT5g9HaA</v>
      </c>
    </row>
    <row r="4088" customFormat="false" ht="15" hidden="false" customHeight="false" outlineLevel="0" collapsed="false">
      <c r="A4088" s="5" t="n">
        <v>6</v>
      </c>
      <c r="B4088" s="5" t="n">
        <v>5</v>
      </c>
      <c r="C4088" s="5" t="s">
        <v>395</v>
      </c>
      <c r="D4088" s="5" t="s">
        <v>1864</v>
      </c>
      <c r="E4088" s="5" t="n">
        <v>2</v>
      </c>
      <c r="F4088" s="6" t="n">
        <f aca="false">IFERROR(MATCH(A4088&amp;"|"&amp;B4088&amp;"|"&amp;D4088,'All Song Rankings'!$T:$T,0),0)</f>
        <v>614</v>
      </c>
      <c r="G4088" s="6" t="str">
        <f aca="false">IF(F4088=0,"NOT FOUND",INDEX('All Song Rankings'!$A:$A,F4088))</f>
        <v>Single Ladies (Put a Ring on It)</v>
      </c>
      <c r="H4088" s="6" t="str">
        <f aca="false">IF(F4088=0,"NOT FOUND",INDEX('All Song Rankings'!$B:$B,F4088))</f>
        <v>Beyoncé</v>
      </c>
      <c r="I4088" s="6" t="str">
        <f aca="false">IF(F4088=0,"NOT FOUND",INDEX('All Song Rankings'!$D:$D,F4088))</f>
        <v>Matt</v>
      </c>
      <c r="J4088" s="7" t="str">
        <f aca="false">IF(F4088=0,"NOT FOUND",IF(C4088=I4088,"SELF-VOTE",IF(COUNTIF($K:$K,K4088)&gt;1,"DUPLICATE","OK")))</f>
        <v>OK</v>
      </c>
      <c r="K4088" s="6" t="str">
        <f aca="false">A4088&amp;"|"&amp;B4088&amp;"|"&amp;C4088&amp;"|"&amp;D4088</f>
        <v>6|5|Makenzie|spotify:track:5R9a4t5t5O0IsznsrKPVro</v>
      </c>
    </row>
    <row r="4089" customFormat="false" ht="15" hidden="false" customHeight="false" outlineLevel="0" collapsed="false">
      <c r="A4089" s="5" t="n">
        <v>6</v>
      </c>
      <c r="B4089" s="5" t="n">
        <v>5</v>
      </c>
      <c r="C4089" s="5" t="s">
        <v>395</v>
      </c>
      <c r="D4089" s="5" t="s">
        <v>1878</v>
      </c>
      <c r="E4089" s="5" t="n">
        <v>2</v>
      </c>
      <c r="F4089" s="6" t="n">
        <f aca="false">IFERROR(MATCH(A4089&amp;"|"&amp;B4089&amp;"|"&amp;D4089,'All Song Rankings'!$T:$T,0),0)</f>
        <v>619</v>
      </c>
      <c r="G4089" s="6" t="str">
        <f aca="false">IF(F4089=0,"NOT FOUND",INDEX('All Song Rankings'!$A:$A,F4089))</f>
        <v>Hotel Room Service</v>
      </c>
      <c r="H4089" s="6" t="str">
        <f aca="false">IF(F4089=0,"NOT FOUND",INDEX('All Song Rankings'!$B:$B,F4089))</f>
        <v>Pitbull</v>
      </c>
      <c r="I4089" s="6" t="str">
        <f aca="false">IF(F4089=0,"NOT FOUND",INDEX('All Song Rankings'!$D:$D,F4089))</f>
        <v>Stephanie</v>
      </c>
      <c r="J4089" s="7" t="str">
        <f aca="false">IF(F4089=0,"NOT FOUND",IF(C4089=I4089,"SELF-VOTE",IF(COUNTIF($K:$K,K4089)&gt;1,"DUPLICATE","OK")))</f>
        <v>OK</v>
      </c>
      <c r="K4089" s="6" t="str">
        <f aca="false">A4089&amp;"|"&amp;B4089&amp;"|"&amp;C4089&amp;"|"&amp;D4089</f>
        <v>6|5|Makenzie|spotify:track:6Rb0ptOEjBjPPQUlQtQGbL</v>
      </c>
    </row>
    <row r="4090" customFormat="false" ht="15" hidden="false" customHeight="false" outlineLevel="0" collapsed="false">
      <c r="A4090" s="5" t="n">
        <v>6</v>
      </c>
      <c r="B4090" s="5" t="n">
        <v>5</v>
      </c>
      <c r="C4090" s="5" t="s">
        <v>395</v>
      </c>
      <c r="D4090" s="5" t="s">
        <v>1888</v>
      </c>
      <c r="E4090" s="5" t="n">
        <v>2</v>
      </c>
      <c r="F4090" s="6" t="n">
        <f aca="false">IFERROR(MATCH(A4090&amp;"|"&amp;B4090&amp;"|"&amp;D4090,'All Song Rankings'!$T:$T,0),0)</f>
        <v>622</v>
      </c>
      <c r="G4090" s="6" t="str">
        <f aca="false">IF(F4090=0,"NOT FOUND",INDEX('All Song Rankings'!$A:$A,F4090))</f>
        <v>Levels - Original Version</v>
      </c>
      <c r="H4090" s="6" t="str">
        <f aca="false">IF(F4090=0,"NOT FOUND",INDEX('All Song Rankings'!$B:$B,F4090))</f>
        <v>Avicii</v>
      </c>
      <c r="I4090" s="6" t="str">
        <f aca="false">IF(F4090=0,"NOT FOUND",INDEX('All Song Rankings'!$D:$D,F4090))</f>
        <v>Colleen</v>
      </c>
      <c r="J4090" s="7" t="str">
        <f aca="false">IF(F4090=0,"NOT FOUND",IF(C4090=I4090,"SELF-VOTE",IF(COUNTIF($K:$K,K4090)&gt;1,"DUPLICATE","OK")))</f>
        <v>OK</v>
      </c>
      <c r="K4090" s="6" t="str">
        <f aca="false">A4090&amp;"|"&amp;B4090&amp;"|"&amp;C4090&amp;"|"&amp;D4090</f>
        <v>6|5|Makenzie|spotify:track:6Xe9wT5xeZETPwtaP2ynUz</v>
      </c>
    </row>
    <row r="4091" customFormat="false" ht="15" hidden="false" customHeight="false" outlineLevel="0" collapsed="false">
      <c r="A4091" s="5" t="n">
        <v>6</v>
      </c>
      <c r="B4091" s="5" t="n">
        <v>5</v>
      </c>
      <c r="C4091" s="5" t="s">
        <v>116</v>
      </c>
      <c r="D4091" s="5" t="s">
        <v>1876</v>
      </c>
      <c r="E4091" s="5" t="n">
        <v>1</v>
      </c>
      <c r="F4091" s="6" t="n">
        <f aca="false">IFERROR(MATCH(A4091&amp;"|"&amp;B4091&amp;"|"&amp;D4091,'All Song Rankings'!$T:$T,0),0)</f>
        <v>618</v>
      </c>
      <c r="G4091" s="6" t="str">
        <f aca="false">IF(F4091=0,"NOT FOUND",INDEX('All Song Rankings'!$A:$A,F4091))</f>
        <v>Cha Cha Slide - Original Live Platinum Band Mix</v>
      </c>
      <c r="H4091" s="6" t="str">
        <f aca="false">IF(F4091=0,"NOT FOUND",INDEX('All Song Rankings'!$B:$B,F4091))</f>
        <v>DJ Casper</v>
      </c>
      <c r="I4091" s="6" t="str">
        <f aca="false">IF(F4091=0,"NOT FOUND",INDEX('All Song Rankings'!$D:$D,F4091))</f>
        <v>Leah</v>
      </c>
      <c r="J4091" s="7" t="str">
        <f aca="false">IF(F4091=0,"NOT FOUND",IF(C4091=I4091,"SELF-VOTE",IF(COUNTIF($K:$K,K4091)&gt;1,"DUPLICATE","OK")))</f>
        <v>OK</v>
      </c>
      <c r="K4091" s="6" t="str">
        <f aca="false">A4091&amp;"|"&amp;B4091&amp;"|"&amp;C4091&amp;"|"&amp;D4091</f>
        <v>6|5|Matt|spotify:track:0RC2B9uIITHA0wtDFfQk3K</v>
      </c>
    </row>
    <row r="4092" customFormat="false" ht="15" hidden="false" customHeight="false" outlineLevel="0" collapsed="false">
      <c r="A4092" s="5" t="n">
        <v>6</v>
      </c>
      <c r="B4092" s="5" t="n">
        <v>5</v>
      </c>
      <c r="C4092" s="5" t="s">
        <v>116</v>
      </c>
      <c r="D4092" s="5" t="s">
        <v>1867</v>
      </c>
      <c r="E4092" s="5" t="n">
        <v>1</v>
      </c>
      <c r="F4092" s="6" t="n">
        <f aca="false">IFERROR(MATCH(A4092&amp;"|"&amp;B4092&amp;"|"&amp;D4092,'All Song Rankings'!$T:$T,0),0)</f>
        <v>615</v>
      </c>
      <c r="G4092" s="6" t="str">
        <f aca="false">IF(F4092=0,"NOT FOUND",INDEX('All Song Rankings'!$A:$A,F4092))</f>
        <v>Get Low</v>
      </c>
      <c r="H4092" s="6" t="str">
        <f aca="false">IF(F4092=0,"NOT FOUND",INDEX('All Song Rankings'!$B:$B,F4092))</f>
        <v>Lil Jon &amp; The East Side Boyz, Ying Yang Twins</v>
      </c>
      <c r="I4092" s="6" t="str">
        <f aca="false">IF(F4092=0,"NOT FOUND",INDEX('All Song Rankings'!$D:$D,F4092))</f>
        <v>Makenzie</v>
      </c>
      <c r="J4092" s="7" t="str">
        <f aca="false">IF(F4092=0,"NOT FOUND",IF(C4092=I4092,"SELF-VOTE",IF(COUNTIF($K:$K,K4092)&gt;1,"DUPLICATE","OK")))</f>
        <v>OK</v>
      </c>
      <c r="K4092" s="6" t="str">
        <f aca="false">A4092&amp;"|"&amp;B4092&amp;"|"&amp;C4092&amp;"|"&amp;D4092</f>
        <v>6|5|Matt|spotify:track:0r2Bul2NuCViraT2zX1l5j</v>
      </c>
    </row>
    <row r="4093" customFormat="false" ht="15" hidden="false" customHeight="false" outlineLevel="0" collapsed="false">
      <c r="A4093" s="5" t="n">
        <v>6</v>
      </c>
      <c r="B4093" s="5" t="n">
        <v>5</v>
      </c>
      <c r="C4093" s="5" t="s">
        <v>116</v>
      </c>
      <c r="D4093" s="5" t="s">
        <v>1862</v>
      </c>
      <c r="E4093" s="5" t="n">
        <v>1</v>
      </c>
      <c r="F4093" s="6" t="n">
        <f aca="false">IFERROR(MATCH(A4093&amp;"|"&amp;B4093&amp;"|"&amp;D4093,'All Song Rankings'!$T:$T,0),0)</f>
        <v>613</v>
      </c>
      <c r="G4093" s="6" t="str">
        <f aca="false">IF(F4093=0,"NOT FOUND",INDEX('All Song Rankings'!$A:$A,F4093))</f>
        <v>I Gotta Feeling</v>
      </c>
      <c r="H4093" s="6" t="str">
        <f aca="false">IF(F4093=0,"NOT FOUND",INDEX('All Song Rankings'!$B:$B,F4093))</f>
        <v>Black Eyed Peas</v>
      </c>
      <c r="I4093" s="6" t="str">
        <f aca="false">IF(F4093=0,"NOT FOUND",INDEX('All Song Rankings'!$D:$D,F4093))</f>
        <v>Merita</v>
      </c>
      <c r="J4093" s="7" t="str">
        <f aca="false">IF(F4093=0,"NOT FOUND",IF(C4093=I4093,"SELF-VOTE",IF(COUNTIF($K:$K,K4093)&gt;1,"DUPLICATE","OK")))</f>
        <v>OK</v>
      </c>
      <c r="K4093" s="6" t="str">
        <f aca="false">A4093&amp;"|"&amp;B4093&amp;"|"&amp;C4093&amp;"|"&amp;D4093</f>
        <v>6|5|Matt|spotify:track:2H1047e0oMSj10dgp7p2VG</v>
      </c>
    </row>
    <row r="4094" customFormat="false" ht="15" hidden="false" customHeight="false" outlineLevel="0" collapsed="false">
      <c r="A4094" s="5" t="n">
        <v>6</v>
      </c>
      <c r="B4094" s="5" t="n">
        <v>5</v>
      </c>
      <c r="C4094" s="5" t="s">
        <v>116</v>
      </c>
      <c r="D4094" s="5" t="s">
        <v>1859</v>
      </c>
      <c r="E4094" s="5" t="n">
        <v>1</v>
      </c>
      <c r="F4094" s="6" t="n">
        <f aca="false">IFERROR(MATCH(A4094&amp;"|"&amp;B4094&amp;"|"&amp;D4094,'All Song Rankings'!$T:$T,0),0)</f>
        <v>611</v>
      </c>
      <c r="G4094" s="6" t="str">
        <f aca="false">IF(F4094=0,"NOT FOUND",INDEX('All Song Rankings'!$A:$A,F4094))</f>
        <v>September</v>
      </c>
      <c r="H4094" s="6" t="str">
        <f aca="false">IF(F4094=0,"NOT FOUND",INDEX('All Song Rankings'!$B:$B,F4094))</f>
        <v>Earth, Wind &amp; Fire</v>
      </c>
      <c r="I4094" s="6" t="str">
        <f aca="false">IF(F4094=0,"NOT FOUND",INDEX('All Song Rankings'!$D:$D,F4094))</f>
        <v>Kelsey</v>
      </c>
      <c r="J4094" s="7" t="str">
        <f aca="false">IF(F4094=0,"NOT FOUND",IF(C4094=I4094,"SELF-VOTE",IF(COUNTIF($K:$K,K4094)&gt;1,"DUPLICATE","OK")))</f>
        <v>OK</v>
      </c>
      <c r="K4094" s="6" t="str">
        <f aca="false">A4094&amp;"|"&amp;B4094&amp;"|"&amp;C4094&amp;"|"&amp;D4094</f>
        <v>6|5|Matt|spotify:track:2grjqo0Frpf2okIBiifQKs</v>
      </c>
    </row>
    <row r="4095" customFormat="false" ht="15" hidden="false" customHeight="false" outlineLevel="0" collapsed="false">
      <c r="A4095" s="5" t="n">
        <v>6</v>
      </c>
      <c r="B4095" s="5" t="n">
        <v>5</v>
      </c>
      <c r="C4095" s="5" t="s">
        <v>116</v>
      </c>
      <c r="D4095" s="5" t="s">
        <v>1881</v>
      </c>
      <c r="E4095" s="5" t="n">
        <v>1</v>
      </c>
      <c r="F4095" s="6" t="n">
        <f aca="false">IFERROR(MATCH(A4095&amp;"|"&amp;B4095&amp;"|"&amp;D4095,'All Song Rankings'!$T:$T,0),0)</f>
        <v>620</v>
      </c>
      <c r="G4095" s="6" t="str">
        <f aca="false">IF(F4095=0,"NOT FOUND",INDEX('All Song Rankings'!$A:$A,F4095))</f>
        <v>Jump In the Line</v>
      </c>
      <c r="H4095" s="6" t="str">
        <f aca="false">IF(F4095=0,"NOT FOUND",INDEX('All Song Rankings'!$B:$B,F4095))</f>
        <v>Harry Belafonte</v>
      </c>
      <c r="I4095" s="6" t="str">
        <f aca="false">IF(F4095=0,"NOT FOUND",INDEX('All Song Rankings'!$D:$D,F4095))</f>
        <v>Kristen</v>
      </c>
      <c r="J4095" s="7" t="str">
        <f aca="false">IF(F4095=0,"NOT FOUND",IF(C4095=I4095,"SELF-VOTE",IF(COUNTIF($K:$K,K4095)&gt;1,"DUPLICATE","OK")))</f>
        <v>OK</v>
      </c>
      <c r="K4095" s="6" t="str">
        <f aca="false">A4095&amp;"|"&amp;B4095&amp;"|"&amp;C4095&amp;"|"&amp;D4095</f>
        <v>6|5|Matt|spotify:track:3w6m1sTs8qXiuITB0sziwY</v>
      </c>
    </row>
    <row r="4096" customFormat="false" ht="15" hidden="false" customHeight="false" outlineLevel="0" collapsed="false">
      <c r="A4096" s="5" t="n">
        <v>6</v>
      </c>
      <c r="B4096" s="5" t="n">
        <v>5</v>
      </c>
      <c r="C4096" s="5" t="s">
        <v>116</v>
      </c>
      <c r="D4096" s="5" t="s">
        <v>1071</v>
      </c>
      <c r="E4096" s="5" t="n">
        <v>1</v>
      </c>
      <c r="F4096" s="6" t="n">
        <f aca="false">IFERROR(MATCH(A4096&amp;"|"&amp;B4096&amp;"|"&amp;D4096,'All Song Rankings'!$T:$T,0),0)</f>
        <v>625</v>
      </c>
      <c r="G4096" s="6" t="str">
        <f aca="false">IF(F4096=0,"NOT FOUND",INDEX('All Song Rankings'!$A:$A,F4096))</f>
        <v>I Want It That Way</v>
      </c>
      <c r="H4096" s="6" t="str">
        <f aca="false">IF(F4096=0,"NOT FOUND",INDEX('All Song Rankings'!$B:$B,F4096))</f>
        <v>Backstreet Boys</v>
      </c>
      <c r="I4096" s="6" t="str">
        <f aca="false">IF(F4096=0,"NOT FOUND",INDEX('All Song Rankings'!$D:$D,F4096))</f>
        <v>Grace</v>
      </c>
      <c r="J4096" s="7" t="str">
        <f aca="false">IF(F4096=0,"NOT FOUND",IF(C4096=I4096,"SELF-VOTE",IF(COUNTIF($K:$K,K4096)&gt;1,"DUPLICATE","OK")))</f>
        <v>OK</v>
      </c>
      <c r="K4096" s="6" t="str">
        <f aca="false">A4096&amp;"|"&amp;B4096&amp;"|"&amp;C4096&amp;"|"&amp;D4096</f>
        <v>6|5|Matt|spotify:track:47BBI51FKFwOMlIiX6m8ya</v>
      </c>
    </row>
    <row r="4097" customFormat="false" ht="15" hidden="false" customHeight="false" outlineLevel="0" collapsed="false">
      <c r="A4097" s="5" t="n">
        <v>6</v>
      </c>
      <c r="B4097" s="5" t="n">
        <v>5</v>
      </c>
      <c r="C4097" s="5" t="s">
        <v>116</v>
      </c>
      <c r="D4097" s="5" t="s">
        <v>93</v>
      </c>
      <c r="E4097" s="5" t="n">
        <v>1</v>
      </c>
      <c r="F4097" s="6" t="n">
        <f aca="false">IFERROR(MATCH(A4097&amp;"|"&amp;B4097&amp;"|"&amp;D4097,'All Song Rankings'!$T:$T,0),0)</f>
        <v>612</v>
      </c>
      <c r="G4097" s="6" t="str">
        <f aca="false">IF(F4097=0,"NOT FOUND",INDEX('All Song Rankings'!$A:$A,F4097))</f>
        <v>Shut Up and Dance</v>
      </c>
      <c r="H4097" s="6" t="str">
        <f aca="false">IF(F4097=0,"NOT FOUND",INDEX('All Song Rankings'!$B:$B,F4097))</f>
        <v>WALK THE MOON</v>
      </c>
      <c r="I4097" s="6" t="str">
        <f aca="false">IF(F4097=0,"NOT FOUND",INDEX('All Song Rankings'!$D:$D,F4097))</f>
        <v>Lisa</v>
      </c>
      <c r="J4097" s="7" t="str">
        <f aca="false">IF(F4097=0,"NOT FOUND",IF(C4097=I4097,"SELF-VOTE",IF(COUNTIF($K:$K,K4097)&gt;1,"DUPLICATE","OK")))</f>
        <v>OK</v>
      </c>
      <c r="K4097" s="6" t="str">
        <f aca="false">A4097&amp;"|"&amp;B4097&amp;"|"&amp;C4097&amp;"|"&amp;D4097</f>
        <v>6|5|Matt|spotify:track:4kbj5MwxO1bq9wjT5g9HaA</v>
      </c>
    </row>
    <row r="4098" customFormat="false" ht="15" hidden="false" customHeight="false" outlineLevel="0" collapsed="false">
      <c r="A4098" s="5" t="n">
        <v>6</v>
      </c>
      <c r="B4098" s="5" t="n">
        <v>5</v>
      </c>
      <c r="C4098" s="5" t="s">
        <v>116</v>
      </c>
      <c r="D4098" s="5" t="s">
        <v>1878</v>
      </c>
      <c r="E4098" s="5" t="n">
        <v>1</v>
      </c>
      <c r="F4098" s="6" t="n">
        <f aca="false">IFERROR(MATCH(A4098&amp;"|"&amp;B4098&amp;"|"&amp;D4098,'All Song Rankings'!$T:$T,0),0)</f>
        <v>619</v>
      </c>
      <c r="G4098" s="6" t="str">
        <f aca="false">IF(F4098=0,"NOT FOUND",INDEX('All Song Rankings'!$A:$A,F4098))</f>
        <v>Hotel Room Service</v>
      </c>
      <c r="H4098" s="6" t="str">
        <f aca="false">IF(F4098=0,"NOT FOUND",INDEX('All Song Rankings'!$B:$B,F4098))</f>
        <v>Pitbull</v>
      </c>
      <c r="I4098" s="6" t="str">
        <f aca="false">IF(F4098=0,"NOT FOUND",INDEX('All Song Rankings'!$D:$D,F4098))</f>
        <v>Stephanie</v>
      </c>
      <c r="J4098" s="7" t="str">
        <f aca="false">IF(F4098=0,"NOT FOUND",IF(C4098=I4098,"SELF-VOTE",IF(COUNTIF($K:$K,K4098)&gt;1,"DUPLICATE","OK")))</f>
        <v>OK</v>
      </c>
      <c r="K4098" s="6" t="str">
        <f aca="false">A4098&amp;"|"&amp;B4098&amp;"|"&amp;C4098&amp;"|"&amp;D4098</f>
        <v>6|5|Matt|spotify:track:6Rb0ptOEjBjPPQUlQtQGbL</v>
      </c>
    </row>
    <row r="4099" customFormat="false" ht="15" hidden="false" customHeight="false" outlineLevel="0" collapsed="false">
      <c r="A4099" s="5" t="n">
        <v>6</v>
      </c>
      <c r="B4099" s="5" t="n">
        <v>5</v>
      </c>
      <c r="C4099" s="5" t="s">
        <v>116</v>
      </c>
      <c r="D4099" s="5" t="s">
        <v>1888</v>
      </c>
      <c r="E4099" s="5" t="n">
        <v>1</v>
      </c>
      <c r="F4099" s="6" t="n">
        <f aca="false">IFERROR(MATCH(A4099&amp;"|"&amp;B4099&amp;"|"&amp;D4099,'All Song Rankings'!$T:$T,0),0)</f>
        <v>622</v>
      </c>
      <c r="G4099" s="6" t="str">
        <f aca="false">IF(F4099=0,"NOT FOUND",INDEX('All Song Rankings'!$A:$A,F4099))</f>
        <v>Levels - Original Version</v>
      </c>
      <c r="H4099" s="6" t="str">
        <f aca="false">IF(F4099=0,"NOT FOUND",INDEX('All Song Rankings'!$B:$B,F4099))</f>
        <v>Avicii</v>
      </c>
      <c r="I4099" s="6" t="str">
        <f aca="false">IF(F4099=0,"NOT FOUND",INDEX('All Song Rankings'!$D:$D,F4099))</f>
        <v>Colleen</v>
      </c>
      <c r="J4099" s="7" t="str">
        <f aca="false">IF(F4099=0,"NOT FOUND",IF(C4099=I4099,"SELF-VOTE",IF(COUNTIF($K:$K,K4099)&gt;1,"DUPLICATE","OK")))</f>
        <v>OK</v>
      </c>
      <c r="K4099" s="6" t="str">
        <f aca="false">A4099&amp;"|"&amp;B4099&amp;"|"&amp;C4099&amp;"|"&amp;D4099</f>
        <v>6|5|Matt|spotify:track:6Xe9wT5xeZETPwtaP2ynUz</v>
      </c>
    </row>
    <row r="4100" customFormat="false" ht="15" hidden="false" customHeight="false" outlineLevel="0" collapsed="false">
      <c r="A4100" s="5" t="n">
        <v>6</v>
      </c>
      <c r="B4100" s="5" t="n">
        <v>5</v>
      </c>
      <c r="C4100" s="5" t="s">
        <v>116</v>
      </c>
      <c r="D4100" s="5" t="s">
        <v>1305</v>
      </c>
      <c r="E4100" s="5" t="n">
        <v>1</v>
      </c>
      <c r="F4100" s="6" t="n">
        <f aca="false">IFERROR(MATCH(A4100&amp;"|"&amp;B4100&amp;"|"&amp;D4100,'All Song Rankings'!$T:$T,0),0)</f>
        <v>623</v>
      </c>
      <c r="G4100" s="6" t="str">
        <f aca="false">IF(F4100=0,"NOT FOUND",INDEX('All Song Rankings'!$A:$A,F4100))</f>
        <v>Billie Jean</v>
      </c>
      <c r="H4100" s="6" t="str">
        <f aca="false">IF(F4100=0,"NOT FOUND",INDEX('All Song Rankings'!$B:$B,F4100))</f>
        <v>Michael Jackson</v>
      </c>
      <c r="I4100" s="6" t="str">
        <f aca="false">IF(F4100=0,"NOT FOUND",INDEX('All Song Rankings'!$D:$D,F4100))</f>
        <v>Josh</v>
      </c>
      <c r="J4100" s="7" t="str">
        <f aca="false">IF(F4100=0,"NOT FOUND",IF(C4100=I4100,"SELF-VOTE",IF(COUNTIF($K:$K,K4100)&gt;1,"DUPLICATE","OK")))</f>
        <v>OK</v>
      </c>
      <c r="K4100" s="6" t="str">
        <f aca="false">A4100&amp;"|"&amp;B4100&amp;"|"&amp;C4100&amp;"|"&amp;D4100</f>
        <v>6|5|Matt|spotify:track:7J1uxwnxfQLu4APicE5Rnj</v>
      </c>
    </row>
    <row r="4101" customFormat="false" ht="15" hidden="false" customHeight="false" outlineLevel="0" collapsed="false">
      <c r="A4101" s="5" t="n">
        <v>6</v>
      </c>
      <c r="B4101" s="5" t="n">
        <v>5</v>
      </c>
      <c r="C4101" s="5" t="s">
        <v>101</v>
      </c>
      <c r="D4101" s="5" t="s">
        <v>1876</v>
      </c>
      <c r="E4101" s="5" t="n">
        <v>1</v>
      </c>
      <c r="F4101" s="6" t="n">
        <f aca="false">IFERROR(MATCH(A4101&amp;"|"&amp;B4101&amp;"|"&amp;D4101,'All Song Rankings'!$T:$T,0),0)</f>
        <v>618</v>
      </c>
      <c r="G4101" s="6" t="str">
        <f aca="false">IF(F4101=0,"NOT FOUND",INDEX('All Song Rankings'!$A:$A,F4101))</f>
        <v>Cha Cha Slide - Original Live Platinum Band Mix</v>
      </c>
      <c r="H4101" s="6" t="str">
        <f aca="false">IF(F4101=0,"NOT FOUND",INDEX('All Song Rankings'!$B:$B,F4101))</f>
        <v>DJ Casper</v>
      </c>
      <c r="I4101" s="6" t="str">
        <f aca="false">IF(F4101=0,"NOT FOUND",INDEX('All Song Rankings'!$D:$D,F4101))</f>
        <v>Leah</v>
      </c>
      <c r="J4101" s="7" t="str">
        <f aca="false">IF(F4101=0,"NOT FOUND",IF(C4101=I4101,"SELF-VOTE",IF(COUNTIF($K:$K,K4101)&gt;1,"DUPLICATE","OK")))</f>
        <v>OK</v>
      </c>
      <c r="K4101" s="6" t="str">
        <f aca="false">A4101&amp;"|"&amp;B4101&amp;"|"&amp;C4101&amp;"|"&amp;D4101</f>
        <v>6|5|Merita|spotify:track:0RC2B9uIITHA0wtDFfQk3K</v>
      </c>
    </row>
    <row r="4102" customFormat="false" ht="15" hidden="false" customHeight="false" outlineLevel="0" collapsed="false">
      <c r="A4102" s="5" t="n">
        <v>6</v>
      </c>
      <c r="B4102" s="5" t="n">
        <v>5</v>
      </c>
      <c r="C4102" s="5" t="s">
        <v>101</v>
      </c>
      <c r="D4102" s="5" t="s">
        <v>1859</v>
      </c>
      <c r="E4102" s="5" t="n">
        <v>1</v>
      </c>
      <c r="F4102" s="6" t="n">
        <f aca="false">IFERROR(MATCH(A4102&amp;"|"&amp;B4102&amp;"|"&amp;D4102,'All Song Rankings'!$T:$T,0),0)</f>
        <v>611</v>
      </c>
      <c r="G4102" s="6" t="str">
        <f aca="false">IF(F4102=0,"NOT FOUND",INDEX('All Song Rankings'!$A:$A,F4102))</f>
        <v>September</v>
      </c>
      <c r="H4102" s="6" t="str">
        <f aca="false">IF(F4102=0,"NOT FOUND",INDEX('All Song Rankings'!$B:$B,F4102))</f>
        <v>Earth, Wind &amp; Fire</v>
      </c>
      <c r="I4102" s="6" t="str">
        <f aca="false">IF(F4102=0,"NOT FOUND",INDEX('All Song Rankings'!$D:$D,F4102))</f>
        <v>Kelsey</v>
      </c>
      <c r="J4102" s="7" t="str">
        <f aca="false">IF(F4102=0,"NOT FOUND",IF(C4102=I4102,"SELF-VOTE",IF(COUNTIF($K:$K,K4102)&gt;1,"DUPLICATE","OK")))</f>
        <v>OK</v>
      </c>
      <c r="K4102" s="6" t="str">
        <f aca="false">A4102&amp;"|"&amp;B4102&amp;"|"&amp;C4102&amp;"|"&amp;D4102</f>
        <v>6|5|Merita|spotify:track:2grjqo0Frpf2okIBiifQKs</v>
      </c>
    </row>
    <row r="4103" customFormat="false" ht="15" hidden="false" customHeight="false" outlineLevel="0" collapsed="false">
      <c r="A4103" s="5" t="n">
        <v>6</v>
      </c>
      <c r="B4103" s="5" t="n">
        <v>5</v>
      </c>
      <c r="C4103" s="5" t="s">
        <v>101</v>
      </c>
      <c r="D4103" s="5" t="s">
        <v>1071</v>
      </c>
      <c r="E4103" s="5" t="n">
        <v>1</v>
      </c>
      <c r="F4103" s="6" t="n">
        <f aca="false">IFERROR(MATCH(A4103&amp;"|"&amp;B4103&amp;"|"&amp;D4103,'All Song Rankings'!$T:$T,0),0)</f>
        <v>625</v>
      </c>
      <c r="G4103" s="6" t="str">
        <f aca="false">IF(F4103=0,"NOT FOUND",INDEX('All Song Rankings'!$A:$A,F4103))</f>
        <v>I Want It That Way</v>
      </c>
      <c r="H4103" s="6" t="str">
        <f aca="false">IF(F4103=0,"NOT FOUND",INDEX('All Song Rankings'!$B:$B,F4103))</f>
        <v>Backstreet Boys</v>
      </c>
      <c r="I4103" s="6" t="str">
        <f aca="false">IF(F4103=0,"NOT FOUND",INDEX('All Song Rankings'!$D:$D,F4103))</f>
        <v>Grace</v>
      </c>
      <c r="J4103" s="7" t="str">
        <f aca="false">IF(F4103=0,"NOT FOUND",IF(C4103=I4103,"SELF-VOTE",IF(COUNTIF($K:$K,K4103)&gt;1,"DUPLICATE","OK")))</f>
        <v>OK</v>
      </c>
      <c r="K4103" s="6" t="str">
        <f aca="false">A4103&amp;"|"&amp;B4103&amp;"|"&amp;C4103&amp;"|"&amp;D4103</f>
        <v>6|5|Merita|spotify:track:47BBI51FKFwOMlIiX6m8ya</v>
      </c>
    </row>
    <row r="4104" customFormat="false" ht="15" hidden="false" customHeight="false" outlineLevel="0" collapsed="false">
      <c r="A4104" s="5" t="n">
        <v>6</v>
      </c>
      <c r="B4104" s="5" t="n">
        <v>5</v>
      </c>
      <c r="C4104" s="5" t="s">
        <v>101</v>
      </c>
      <c r="D4104" s="5" t="s">
        <v>93</v>
      </c>
      <c r="E4104" s="5" t="n">
        <v>1</v>
      </c>
      <c r="F4104" s="6" t="n">
        <f aca="false">IFERROR(MATCH(A4104&amp;"|"&amp;B4104&amp;"|"&amp;D4104,'All Song Rankings'!$T:$T,0),0)</f>
        <v>612</v>
      </c>
      <c r="G4104" s="6" t="str">
        <f aca="false">IF(F4104=0,"NOT FOUND",INDEX('All Song Rankings'!$A:$A,F4104))</f>
        <v>Shut Up and Dance</v>
      </c>
      <c r="H4104" s="6" t="str">
        <f aca="false">IF(F4104=0,"NOT FOUND",INDEX('All Song Rankings'!$B:$B,F4104))</f>
        <v>WALK THE MOON</v>
      </c>
      <c r="I4104" s="6" t="str">
        <f aca="false">IF(F4104=0,"NOT FOUND",INDEX('All Song Rankings'!$D:$D,F4104))</f>
        <v>Lisa</v>
      </c>
      <c r="J4104" s="7" t="str">
        <f aca="false">IF(F4104=0,"NOT FOUND",IF(C4104=I4104,"SELF-VOTE",IF(COUNTIF($K:$K,K4104)&gt;1,"DUPLICATE","OK")))</f>
        <v>OK</v>
      </c>
      <c r="K4104" s="6" t="str">
        <f aca="false">A4104&amp;"|"&amp;B4104&amp;"|"&amp;C4104&amp;"|"&amp;D4104</f>
        <v>6|5|Merita|spotify:track:4kbj5MwxO1bq9wjT5g9HaA</v>
      </c>
    </row>
    <row r="4105" customFormat="false" ht="15" hidden="false" customHeight="false" outlineLevel="0" collapsed="false">
      <c r="A4105" s="5" t="n">
        <v>6</v>
      </c>
      <c r="B4105" s="5" t="n">
        <v>5</v>
      </c>
      <c r="C4105" s="5" t="s">
        <v>101</v>
      </c>
      <c r="D4105" s="5" t="s">
        <v>1870</v>
      </c>
      <c r="E4105" s="5" t="n">
        <v>1</v>
      </c>
      <c r="F4105" s="6" t="n">
        <f aca="false">IFERROR(MATCH(A4105&amp;"|"&amp;B4105&amp;"|"&amp;D4105,'All Song Rankings'!$T:$T,0),0)</f>
        <v>616</v>
      </c>
      <c r="G4105" s="6" t="str">
        <f aca="false">IF(F4105=0,"NOT FOUND",INDEX('All Song Rankings'!$A:$A,F4105))</f>
        <v>You Make My Dreams (Come True)</v>
      </c>
      <c r="H4105" s="6" t="str">
        <f aca="false">IF(F4105=0,"NOT FOUND",INDEX('All Song Rankings'!$B:$B,F4105))</f>
        <v>Daryl Hall &amp; John Oates</v>
      </c>
      <c r="I4105" s="6" t="str">
        <f aca="false">IF(F4105=0,"NOT FOUND",INDEX('All Song Rankings'!$D:$D,F4105))</f>
        <v>Logan</v>
      </c>
      <c r="J4105" s="7" t="str">
        <f aca="false">IF(F4105=0,"NOT FOUND",IF(C4105=I4105,"SELF-VOTE",IF(COUNTIF($K:$K,K4105)&gt;1,"DUPLICATE","OK")))</f>
        <v>OK</v>
      </c>
      <c r="K4105" s="6" t="str">
        <f aca="false">A4105&amp;"|"&amp;B4105&amp;"|"&amp;C4105&amp;"|"&amp;D4105</f>
        <v>6|5|Merita|spotify:track:4o6BgsqLIBViaGVbx5rbRk</v>
      </c>
    </row>
    <row r="4106" customFormat="false" ht="15" hidden="false" customHeight="false" outlineLevel="0" collapsed="false">
      <c r="A4106" s="5" t="n">
        <v>6</v>
      </c>
      <c r="B4106" s="5" t="n">
        <v>5</v>
      </c>
      <c r="C4106" s="5" t="s">
        <v>101</v>
      </c>
      <c r="D4106" s="5" t="s">
        <v>1885</v>
      </c>
      <c r="E4106" s="5" t="n">
        <v>2</v>
      </c>
      <c r="F4106" s="6" t="n">
        <f aca="false">IFERROR(MATCH(A4106&amp;"|"&amp;B4106&amp;"|"&amp;D4106,'All Song Rankings'!$T:$T,0),0)</f>
        <v>621</v>
      </c>
      <c r="G4106" s="6" t="str">
        <f aca="false">IF(F4106=0,"NOT FOUND",INDEX('All Song Rankings'!$A:$A,F4106))</f>
        <v>Rasputin - Single Version</v>
      </c>
      <c r="H4106" s="6" t="str">
        <f aca="false">IF(F4106=0,"NOT FOUND",INDEX('All Song Rankings'!$B:$B,F4106))</f>
        <v>Boney M.</v>
      </c>
      <c r="I4106" s="6" t="str">
        <f aca="false">IF(F4106=0,"NOT FOUND",INDEX('All Song Rankings'!$D:$D,F4106))</f>
        <v>Scott</v>
      </c>
      <c r="J4106" s="7" t="str">
        <f aca="false">IF(F4106=0,"NOT FOUND",IF(C4106=I4106,"SELF-VOTE",IF(COUNTIF($K:$K,K4106)&gt;1,"DUPLICATE","OK")))</f>
        <v>OK</v>
      </c>
      <c r="K4106" s="6" t="str">
        <f aca="false">A4106&amp;"|"&amp;B4106&amp;"|"&amp;C4106&amp;"|"&amp;D4106</f>
        <v>6|5|Merita|spotify:track:67hbP9PFQZrb4XZc3TzB0s</v>
      </c>
    </row>
    <row r="4107" customFormat="false" ht="15" hidden="false" customHeight="false" outlineLevel="0" collapsed="false">
      <c r="A4107" s="5" t="n">
        <v>6</v>
      </c>
      <c r="B4107" s="5" t="n">
        <v>5</v>
      </c>
      <c r="C4107" s="5" t="s">
        <v>101</v>
      </c>
      <c r="D4107" s="5" t="s">
        <v>1873</v>
      </c>
      <c r="E4107" s="5" t="n">
        <v>1</v>
      </c>
      <c r="F4107" s="6" t="n">
        <f aca="false">IFERROR(MATCH(A4107&amp;"|"&amp;B4107&amp;"|"&amp;D4107,'All Song Rankings'!$T:$T,0),0)</f>
        <v>617</v>
      </c>
      <c r="G4107" s="6" t="str">
        <f aca="false">IF(F4107=0,"NOT FOUND",INDEX('All Song Rankings'!$A:$A,F4107))</f>
        <v>Boogie Wonderland (with The Emotions)</v>
      </c>
      <c r="H4107" s="6" t="str">
        <f aca="false">IF(F4107=0,"NOT FOUND",INDEX('All Song Rankings'!$B:$B,F4107))</f>
        <v>Earth, Wind &amp; Fire, The Emotions</v>
      </c>
      <c r="I4107" s="6" t="str">
        <f aca="false">IF(F4107=0,"NOT FOUND",INDEX('All Song Rankings'!$D:$D,F4107))</f>
        <v>Christine</v>
      </c>
      <c r="J4107" s="7" t="str">
        <f aca="false">IF(F4107=0,"NOT FOUND",IF(C4107=I4107,"SELF-VOTE",IF(COUNTIF($K:$K,K4107)&gt;1,"DUPLICATE","OK")))</f>
        <v>OK</v>
      </c>
      <c r="K4107" s="6" t="str">
        <f aca="false">A4107&amp;"|"&amp;B4107&amp;"|"&amp;C4107&amp;"|"&amp;D4107</f>
        <v>6|5|Merita|spotify:track:6ztstiyZL6FXzh4aG46ZPD</v>
      </c>
    </row>
    <row r="4108" customFormat="false" ht="15" hidden="false" customHeight="false" outlineLevel="0" collapsed="false">
      <c r="A4108" s="5" t="n">
        <v>6</v>
      </c>
      <c r="B4108" s="5" t="n">
        <v>5</v>
      </c>
      <c r="C4108" s="5" t="s">
        <v>101</v>
      </c>
      <c r="D4108" s="5" t="s">
        <v>1305</v>
      </c>
      <c r="E4108" s="5" t="n">
        <v>2</v>
      </c>
      <c r="F4108" s="6" t="n">
        <f aca="false">IFERROR(MATCH(A4108&amp;"|"&amp;B4108&amp;"|"&amp;D4108,'All Song Rankings'!$T:$T,0),0)</f>
        <v>623</v>
      </c>
      <c r="G4108" s="6" t="str">
        <f aca="false">IF(F4108=0,"NOT FOUND",INDEX('All Song Rankings'!$A:$A,F4108))</f>
        <v>Billie Jean</v>
      </c>
      <c r="H4108" s="6" t="str">
        <f aca="false">IF(F4108=0,"NOT FOUND",INDEX('All Song Rankings'!$B:$B,F4108))</f>
        <v>Michael Jackson</v>
      </c>
      <c r="I4108" s="6" t="str">
        <f aca="false">IF(F4108=0,"NOT FOUND",INDEX('All Song Rankings'!$D:$D,F4108))</f>
        <v>Josh</v>
      </c>
      <c r="J4108" s="7" t="str">
        <f aca="false">IF(F4108=0,"NOT FOUND",IF(C4108=I4108,"SELF-VOTE",IF(COUNTIF($K:$K,K4108)&gt;1,"DUPLICATE","OK")))</f>
        <v>OK</v>
      </c>
      <c r="K4108" s="6" t="str">
        <f aca="false">A4108&amp;"|"&amp;B4108&amp;"|"&amp;C4108&amp;"|"&amp;D4108</f>
        <v>6|5|Merita|spotify:track:7J1uxwnxfQLu4APicE5Rnj</v>
      </c>
    </row>
    <row r="4109" customFormat="false" ht="15" hidden="false" customHeight="false" outlineLevel="0" collapsed="false">
      <c r="A4109" s="5" t="n">
        <v>6</v>
      </c>
      <c r="B4109" s="5" t="n">
        <v>5</v>
      </c>
      <c r="C4109" s="5" t="s">
        <v>92</v>
      </c>
      <c r="D4109" s="5" t="s">
        <v>1876</v>
      </c>
      <c r="E4109" s="5" t="n">
        <v>1</v>
      </c>
      <c r="F4109" s="6" t="n">
        <f aca="false">IFERROR(MATCH(A4109&amp;"|"&amp;B4109&amp;"|"&amp;D4109,'All Song Rankings'!$T:$T,0),0)</f>
        <v>618</v>
      </c>
      <c r="G4109" s="6" t="str">
        <f aca="false">IF(F4109=0,"NOT FOUND",INDEX('All Song Rankings'!$A:$A,F4109))</f>
        <v>Cha Cha Slide - Original Live Platinum Band Mix</v>
      </c>
      <c r="H4109" s="6" t="str">
        <f aca="false">IF(F4109=0,"NOT FOUND",INDEX('All Song Rankings'!$B:$B,F4109))</f>
        <v>DJ Casper</v>
      </c>
      <c r="I4109" s="6" t="str">
        <f aca="false">IF(F4109=0,"NOT FOUND",INDEX('All Song Rankings'!$D:$D,F4109))</f>
        <v>Leah</v>
      </c>
      <c r="J4109" s="7" t="str">
        <f aca="false">IF(F4109=0,"NOT FOUND",IF(C4109=I4109,"SELF-VOTE",IF(COUNTIF($K:$K,K4109)&gt;1,"DUPLICATE","OK")))</f>
        <v>OK</v>
      </c>
      <c r="K4109" s="6" t="str">
        <f aca="false">A4109&amp;"|"&amp;B4109&amp;"|"&amp;C4109&amp;"|"&amp;D4109</f>
        <v>6|5|Nicole|spotify:track:0RC2B9uIITHA0wtDFfQk3K</v>
      </c>
    </row>
    <row r="4110" customFormat="false" ht="15" hidden="false" customHeight="false" outlineLevel="0" collapsed="false">
      <c r="A4110" s="5" t="n">
        <v>6</v>
      </c>
      <c r="B4110" s="5" t="n">
        <v>5</v>
      </c>
      <c r="C4110" s="5" t="s">
        <v>92</v>
      </c>
      <c r="D4110" s="5" t="s">
        <v>1867</v>
      </c>
      <c r="E4110" s="5" t="n">
        <v>1</v>
      </c>
      <c r="F4110" s="6" t="n">
        <f aca="false">IFERROR(MATCH(A4110&amp;"|"&amp;B4110&amp;"|"&amp;D4110,'All Song Rankings'!$T:$T,0),0)</f>
        <v>615</v>
      </c>
      <c r="G4110" s="6" t="str">
        <f aca="false">IF(F4110=0,"NOT FOUND",INDEX('All Song Rankings'!$A:$A,F4110))</f>
        <v>Get Low</v>
      </c>
      <c r="H4110" s="6" t="str">
        <f aca="false">IF(F4110=0,"NOT FOUND",INDEX('All Song Rankings'!$B:$B,F4110))</f>
        <v>Lil Jon &amp; The East Side Boyz, Ying Yang Twins</v>
      </c>
      <c r="I4110" s="6" t="str">
        <f aca="false">IF(F4110=0,"NOT FOUND",INDEX('All Song Rankings'!$D:$D,F4110))</f>
        <v>Makenzie</v>
      </c>
      <c r="J4110" s="7" t="str">
        <f aca="false">IF(F4110=0,"NOT FOUND",IF(C4110=I4110,"SELF-VOTE",IF(COUNTIF($K:$K,K4110)&gt;1,"DUPLICATE","OK")))</f>
        <v>OK</v>
      </c>
      <c r="K4110" s="6" t="str">
        <f aca="false">A4110&amp;"|"&amp;B4110&amp;"|"&amp;C4110&amp;"|"&amp;D4110</f>
        <v>6|5|Nicole|spotify:track:0r2Bul2NuCViraT2zX1l5j</v>
      </c>
    </row>
    <row r="4111" customFormat="false" ht="15" hidden="false" customHeight="false" outlineLevel="0" collapsed="false">
      <c r="A4111" s="5" t="n">
        <v>6</v>
      </c>
      <c r="B4111" s="5" t="n">
        <v>5</v>
      </c>
      <c r="C4111" s="5" t="s">
        <v>92</v>
      </c>
      <c r="D4111" s="5" t="s">
        <v>1862</v>
      </c>
      <c r="E4111" s="5" t="n">
        <v>2</v>
      </c>
      <c r="F4111" s="6" t="n">
        <f aca="false">IFERROR(MATCH(A4111&amp;"|"&amp;B4111&amp;"|"&amp;D4111,'All Song Rankings'!$T:$T,0),0)</f>
        <v>613</v>
      </c>
      <c r="G4111" s="6" t="str">
        <f aca="false">IF(F4111=0,"NOT FOUND",INDEX('All Song Rankings'!$A:$A,F4111))</f>
        <v>I Gotta Feeling</v>
      </c>
      <c r="H4111" s="6" t="str">
        <f aca="false">IF(F4111=0,"NOT FOUND",INDEX('All Song Rankings'!$B:$B,F4111))</f>
        <v>Black Eyed Peas</v>
      </c>
      <c r="I4111" s="6" t="str">
        <f aca="false">IF(F4111=0,"NOT FOUND",INDEX('All Song Rankings'!$D:$D,F4111))</f>
        <v>Merita</v>
      </c>
      <c r="J4111" s="7" t="str">
        <f aca="false">IF(F4111=0,"NOT FOUND",IF(C4111=I4111,"SELF-VOTE",IF(COUNTIF($K:$K,K4111)&gt;1,"DUPLICATE","OK")))</f>
        <v>OK</v>
      </c>
      <c r="K4111" s="6" t="str">
        <f aca="false">A4111&amp;"|"&amp;B4111&amp;"|"&amp;C4111&amp;"|"&amp;D4111</f>
        <v>6|5|Nicole|spotify:track:2H1047e0oMSj10dgp7p2VG</v>
      </c>
    </row>
    <row r="4112" customFormat="false" ht="15" hidden="false" customHeight="false" outlineLevel="0" collapsed="false">
      <c r="A4112" s="5" t="n">
        <v>6</v>
      </c>
      <c r="B4112" s="5" t="n">
        <v>5</v>
      </c>
      <c r="C4112" s="5" t="s">
        <v>92</v>
      </c>
      <c r="D4112" s="5" t="s">
        <v>93</v>
      </c>
      <c r="E4112" s="5" t="n">
        <v>2</v>
      </c>
      <c r="F4112" s="6" t="n">
        <f aca="false">IFERROR(MATCH(A4112&amp;"|"&amp;B4112&amp;"|"&amp;D4112,'All Song Rankings'!$T:$T,0),0)</f>
        <v>612</v>
      </c>
      <c r="G4112" s="6" t="str">
        <f aca="false">IF(F4112=0,"NOT FOUND",INDEX('All Song Rankings'!$A:$A,F4112))</f>
        <v>Shut Up and Dance</v>
      </c>
      <c r="H4112" s="6" t="str">
        <f aca="false">IF(F4112=0,"NOT FOUND",INDEX('All Song Rankings'!$B:$B,F4112))</f>
        <v>WALK THE MOON</v>
      </c>
      <c r="I4112" s="6" t="str">
        <f aca="false">IF(F4112=0,"NOT FOUND",INDEX('All Song Rankings'!$D:$D,F4112))</f>
        <v>Lisa</v>
      </c>
      <c r="J4112" s="7" t="str">
        <f aca="false">IF(F4112=0,"NOT FOUND",IF(C4112=I4112,"SELF-VOTE",IF(COUNTIF($K:$K,K4112)&gt;1,"DUPLICATE","OK")))</f>
        <v>OK</v>
      </c>
      <c r="K4112" s="6" t="str">
        <f aca="false">A4112&amp;"|"&amp;B4112&amp;"|"&amp;C4112&amp;"|"&amp;D4112</f>
        <v>6|5|Nicole|spotify:track:4kbj5MwxO1bq9wjT5g9HaA</v>
      </c>
    </row>
    <row r="4113" customFormat="false" ht="15" hidden="false" customHeight="false" outlineLevel="0" collapsed="false">
      <c r="A4113" s="5" t="n">
        <v>6</v>
      </c>
      <c r="B4113" s="5" t="n">
        <v>5</v>
      </c>
      <c r="C4113" s="5" t="s">
        <v>92</v>
      </c>
      <c r="D4113" s="5" t="s">
        <v>1870</v>
      </c>
      <c r="E4113" s="5" t="n">
        <v>1</v>
      </c>
      <c r="F4113" s="6" t="n">
        <f aca="false">IFERROR(MATCH(A4113&amp;"|"&amp;B4113&amp;"|"&amp;D4113,'All Song Rankings'!$T:$T,0),0)</f>
        <v>616</v>
      </c>
      <c r="G4113" s="6" t="str">
        <f aca="false">IF(F4113=0,"NOT FOUND",INDEX('All Song Rankings'!$A:$A,F4113))</f>
        <v>You Make My Dreams (Come True)</v>
      </c>
      <c r="H4113" s="6" t="str">
        <f aca="false">IF(F4113=0,"NOT FOUND",INDEX('All Song Rankings'!$B:$B,F4113))</f>
        <v>Daryl Hall &amp; John Oates</v>
      </c>
      <c r="I4113" s="6" t="str">
        <f aca="false">IF(F4113=0,"NOT FOUND",INDEX('All Song Rankings'!$D:$D,F4113))</f>
        <v>Logan</v>
      </c>
      <c r="J4113" s="7" t="str">
        <f aca="false">IF(F4113=0,"NOT FOUND",IF(C4113=I4113,"SELF-VOTE",IF(COUNTIF($K:$K,K4113)&gt;1,"DUPLICATE","OK")))</f>
        <v>OK</v>
      </c>
      <c r="K4113" s="6" t="str">
        <f aca="false">A4113&amp;"|"&amp;B4113&amp;"|"&amp;C4113&amp;"|"&amp;D4113</f>
        <v>6|5|Nicole|spotify:track:4o6BgsqLIBViaGVbx5rbRk</v>
      </c>
    </row>
    <row r="4114" customFormat="false" ht="15" hidden="false" customHeight="false" outlineLevel="0" collapsed="false">
      <c r="A4114" s="5" t="n">
        <v>6</v>
      </c>
      <c r="B4114" s="5" t="n">
        <v>5</v>
      </c>
      <c r="C4114" s="5" t="s">
        <v>92</v>
      </c>
      <c r="D4114" s="5" t="s">
        <v>1864</v>
      </c>
      <c r="E4114" s="5" t="n">
        <v>2</v>
      </c>
      <c r="F4114" s="6" t="n">
        <f aca="false">IFERROR(MATCH(A4114&amp;"|"&amp;B4114&amp;"|"&amp;D4114,'All Song Rankings'!$T:$T,0),0)</f>
        <v>614</v>
      </c>
      <c r="G4114" s="6" t="str">
        <f aca="false">IF(F4114=0,"NOT FOUND",INDEX('All Song Rankings'!$A:$A,F4114))</f>
        <v>Single Ladies (Put a Ring on It)</v>
      </c>
      <c r="H4114" s="6" t="str">
        <f aca="false">IF(F4114=0,"NOT FOUND",INDEX('All Song Rankings'!$B:$B,F4114))</f>
        <v>Beyoncé</v>
      </c>
      <c r="I4114" s="6" t="str">
        <f aca="false">IF(F4114=0,"NOT FOUND",INDEX('All Song Rankings'!$D:$D,F4114))</f>
        <v>Matt</v>
      </c>
      <c r="J4114" s="7" t="str">
        <f aca="false">IF(F4114=0,"NOT FOUND",IF(C4114=I4114,"SELF-VOTE",IF(COUNTIF($K:$K,K4114)&gt;1,"DUPLICATE","OK")))</f>
        <v>OK</v>
      </c>
      <c r="K4114" s="6" t="str">
        <f aca="false">A4114&amp;"|"&amp;B4114&amp;"|"&amp;C4114&amp;"|"&amp;D4114</f>
        <v>6|5|Nicole|spotify:track:5R9a4t5t5O0IsznsrKPVro</v>
      </c>
    </row>
    <row r="4115" customFormat="false" ht="15" hidden="false" customHeight="false" outlineLevel="0" collapsed="false">
      <c r="A4115" s="5" t="n">
        <v>6</v>
      </c>
      <c r="B4115" s="5" t="n">
        <v>5</v>
      </c>
      <c r="C4115" s="5" t="s">
        <v>92</v>
      </c>
      <c r="D4115" s="5" t="s">
        <v>1878</v>
      </c>
      <c r="E4115" s="5" t="n">
        <v>1</v>
      </c>
      <c r="F4115" s="6" t="n">
        <f aca="false">IFERROR(MATCH(A4115&amp;"|"&amp;B4115&amp;"|"&amp;D4115,'All Song Rankings'!$T:$T,0),0)</f>
        <v>619</v>
      </c>
      <c r="G4115" s="6" t="str">
        <f aca="false">IF(F4115=0,"NOT FOUND",INDEX('All Song Rankings'!$A:$A,F4115))</f>
        <v>Hotel Room Service</v>
      </c>
      <c r="H4115" s="6" t="str">
        <f aca="false">IF(F4115=0,"NOT FOUND",INDEX('All Song Rankings'!$B:$B,F4115))</f>
        <v>Pitbull</v>
      </c>
      <c r="I4115" s="6" t="str">
        <f aca="false">IF(F4115=0,"NOT FOUND",INDEX('All Song Rankings'!$D:$D,F4115))</f>
        <v>Stephanie</v>
      </c>
      <c r="J4115" s="7" t="str">
        <f aca="false">IF(F4115=0,"NOT FOUND",IF(C4115=I4115,"SELF-VOTE",IF(COUNTIF($K:$K,K4115)&gt;1,"DUPLICATE","OK")))</f>
        <v>OK</v>
      </c>
      <c r="K4115" s="6" t="str">
        <f aca="false">A4115&amp;"|"&amp;B4115&amp;"|"&amp;C4115&amp;"|"&amp;D4115</f>
        <v>6|5|Nicole|spotify:track:6Rb0ptOEjBjPPQUlQtQGbL</v>
      </c>
    </row>
    <row r="4116" customFormat="false" ht="15" hidden="false" customHeight="false" outlineLevel="0" collapsed="false">
      <c r="A4116" s="5" t="n">
        <v>6</v>
      </c>
      <c r="B4116" s="5" t="n">
        <v>5</v>
      </c>
      <c r="C4116" s="5" t="s">
        <v>484</v>
      </c>
      <c r="D4116" s="5" t="s">
        <v>1867</v>
      </c>
      <c r="E4116" s="5" t="n">
        <v>2</v>
      </c>
      <c r="F4116" s="6" t="n">
        <f aca="false">IFERROR(MATCH(A4116&amp;"|"&amp;B4116&amp;"|"&amp;D4116,'All Song Rankings'!$T:$T,0),0)</f>
        <v>615</v>
      </c>
      <c r="G4116" s="6" t="str">
        <f aca="false">IF(F4116=0,"NOT FOUND",INDEX('All Song Rankings'!$A:$A,F4116))</f>
        <v>Get Low</v>
      </c>
      <c r="H4116" s="6" t="str">
        <f aca="false">IF(F4116=0,"NOT FOUND",INDEX('All Song Rankings'!$B:$B,F4116))</f>
        <v>Lil Jon &amp; The East Side Boyz, Ying Yang Twins</v>
      </c>
      <c r="I4116" s="6" t="str">
        <f aca="false">IF(F4116=0,"NOT FOUND",INDEX('All Song Rankings'!$D:$D,F4116))</f>
        <v>Makenzie</v>
      </c>
      <c r="J4116" s="7" t="str">
        <f aca="false">IF(F4116=0,"NOT FOUND",IF(C4116=I4116,"SELF-VOTE",IF(COUNTIF($K:$K,K4116)&gt;1,"DUPLICATE","OK")))</f>
        <v>OK</v>
      </c>
      <c r="K4116" s="6" t="str">
        <f aca="false">A4116&amp;"|"&amp;B4116&amp;"|"&amp;C4116&amp;"|"&amp;D4116</f>
        <v>6|5|Scott|spotify:track:0r2Bul2NuCViraT2zX1l5j</v>
      </c>
    </row>
    <row r="4117" customFormat="false" ht="15" hidden="false" customHeight="false" outlineLevel="0" collapsed="false">
      <c r="A4117" s="5" t="n">
        <v>6</v>
      </c>
      <c r="B4117" s="5" t="n">
        <v>5</v>
      </c>
      <c r="C4117" s="5" t="s">
        <v>484</v>
      </c>
      <c r="D4117" s="5" t="s">
        <v>1859</v>
      </c>
      <c r="E4117" s="5" t="n">
        <v>2</v>
      </c>
      <c r="F4117" s="6" t="n">
        <f aca="false">IFERROR(MATCH(A4117&amp;"|"&amp;B4117&amp;"|"&amp;D4117,'All Song Rankings'!$T:$T,0),0)</f>
        <v>611</v>
      </c>
      <c r="G4117" s="6" t="str">
        <f aca="false">IF(F4117=0,"NOT FOUND",INDEX('All Song Rankings'!$A:$A,F4117))</f>
        <v>September</v>
      </c>
      <c r="H4117" s="6" t="str">
        <f aca="false">IF(F4117=0,"NOT FOUND",INDEX('All Song Rankings'!$B:$B,F4117))</f>
        <v>Earth, Wind &amp; Fire</v>
      </c>
      <c r="I4117" s="6" t="str">
        <f aca="false">IF(F4117=0,"NOT FOUND",INDEX('All Song Rankings'!$D:$D,F4117))</f>
        <v>Kelsey</v>
      </c>
      <c r="J4117" s="7" t="str">
        <f aca="false">IF(F4117=0,"NOT FOUND",IF(C4117=I4117,"SELF-VOTE",IF(COUNTIF($K:$K,K4117)&gt;1,"DUPLICATE","OK")))</f>
        <v>OK</v>
      </c>
      <c r="K4117" s="6" t="str">
        <f aca="false">A4117&amp;"|"&amp;B4117&amp;"|"&amp;C4117&amp;"|"&amp;D4117</f>
        <v>6|5|Scott|spotify:track:2grjqo0Frpf2okIBiifQKs</v>
      </c>
    </row>
    <row r="4118" customFormat="false" ht="15" hidden="false" customHeight="false" outlineLevel="0" collapsed="false">
      <c r="A4118" s="5" t="n">
        <v>6</v>
      </c>
      <c r="B4118" s="5" t="n">
        <v>5</v>
      </c>
      <c r="C4118" s="5" t="s">
        <v>484</v>
      </c>
      <c r="D4118" s="5" t="s">
        <v>1881</v>
      </c>
      <c r="E4118" s="5" t="n">
        <v>1</v>
      </c>
      <c r="F4118" s="6" t="n">
        <f aca="false">IFERROR(MATCH(A4118&amp;"|"&amp;B4118&amp;"|"&amp;D4118,'All Song Rankings'!$T:$T,0),0)</f>
        <v>620</v>
      </c>
      <c r="G4118" s="6" t="str">
        <f aca="false">IF(F4118=0,"NOT FOUND",INDEX('All Song Rankings'!$A:$A,F4118))</f>
        <v>Jump In the Line</v>
      </c>
      <c r="H4118" s="6" t="str">
        <f aca="false">IF(F4118=0,"NOT FOUND",INDEX('All Song Rankings'!$B:$B,F4118))</f>
        <v>Harry Belafonte</v>
      </c>
      <c r="I4118" s="6" t="str">
        <f aca="false">IF(F4118=0,"NOT FOUND",INDEX('All Song Rankings'!$D:$D,F4118))</f>
        <v>Kristen</v>
      </c>
      <c r="J4118" s="7" t="str">
        <f aca="false">IF(F4118=0,"NOT FOUND",IF(C4118=I4118,"SELF-VOTE",IF(COUNTIF($K:$K,K4118)&gt;1,"DUPLICATE","OK")))</f>
        <v>OK</v>
      </c>
      <c r="K4118" s="6" t="str">
        <f aca="false">A4118&amp;"|"&amp;B4118&amp;"|"&amp;C4118&amp;"|"&amp;D4118</f>
        <v>6|5|Scott|spotify:track:3w6m1sTs8qXiuITB0sziwY</v>
      </c>
    </row>
    <row r="4119" customFormat="false" ht="15" hidden="false" customHeight="false" outlineLevel="0" collapsed="false">
      <c r="A4119" s="5" t="n">
        <v>6</v>
      </c>
      <c r="B4119" s="5" t="n">
        <v>5</v>
      </c>
      <c r="C4119" s="5" t="s">
        <v>484</v>
      </c>
      <c r="D4119" s="5" t="s">
        <v>1071</v>
      </c>
      <c r="E4119" s="5" t="n">
        <v>1</v>
      </c>
      <c r="F4119" s="6" t="n">
        <f aca="false">IFERROR(MATCH(A4119&amp;"|"&amp;B4119&amp;"|"&amp;D4119,'All Song Rankings'!$T:$T,0),0)</f>
        <v>625</v>
      </c>
      <c r="G4119" s="6" t="str">
        <f aca="false">IF(F4119=0,"NOT FOUND",INDEX('All Song Rankings'!$A:$A,F4119))</f>
        <v>I Want It That Way</v>
      </c>
      <c r="H4119" s="6" t="str">
        <f aca="false">IF(F4119=0,"NOT FOUND",INDEX('All Song Rankings'!$B:$B,F4119))</f>
        <v>Backstreet Boys</v>
      </c>
      <c r="I4119" s="6" t="str">
        <f aca="false">IF(F4119=0,"NOT FOUND",INDEX('All Song Rankings'!$D:$D,F4119))</f>
        <v>Grace</v>
      </c>
      <c r="J4119" s="7" t="str">
        <f aca="false">IF(F4119=0,"NOT FOUND",IF(C4119=I4119,"SELF-VOTE",IF(COUNTIF($K:$K,K4119)&gt;1,"DUPLICATE","OK")))</f>
        <v>OK</v>
      </c>
      <c r="K4119" s="6" t="str">
        <f aca="false">A4119&amp;"|"&amp;B4119&amp;"|"&amp;C4119&amp;"|"&amp;D4119</f>
        <v>6|5|Scott|spotify:track:47BBI51FKFwOMlIiX6m8ya</v>
      </c>
    </row>
    <row r="4120" customFormat="false" ht="15" hidden="false" customHeight="false" outlineLevel="0" collapsed="false">
      <c r="A4120" s="5" t="n">
        <v>6</v>
      </c>
      <c r="B4120" s="5" t="n">
        <v>5</v>
      </c>
      <c r="C4120" s="5" t="s">
        <v>484</v>
      </c>
      <c r="D4120" s="5" t="s">
        <v>93</v>
      </c>
      <c r="E4120" s="5" t="n">
        <v>2</v>
      </c>
      <c r="F4120" s="6" t="n">
        <f aca="false">IFERROR(MATCH(A4120&amp;"|"&amp;B4120&amp;"|"&amp;D4120,'All Song Rankings'!$T:$T,0),0)</f>
        <v>612</v>
      </c>
      <c r="G4120" s="6" t="str">
        <f aca="false">IF(F4120=0,"NOT FOUND",INDEX('All Song Rankings'!$A:$A,F4120))</f>
        <v>Shut Up and Dance</v>
      </c>
      <c r="H4120" s="6" t="str">
        <f aca="false">IF(F4120=0,"NOT FOUND",INDEX('All Song Rankings'!$B:$B,F4120))</f>
        <v>WALK THE MOON</v>
      </c>
      <c r="I4120" s="6" t="str">
        <f aca="false">IF(F4120=0,"NOT FOUND",INDEX('All Song Rankings'!$D:$D,F4120))</f>
        <v>Lisa</v>
      </c>
      <c r="J4120" s="7" t="str">
        <f aca="false">IF(F4120=0,"NOT FOUND",IF(C4120=I4120,"SELF-VOTE",IF(COUNTIF($K:$K,K4120)&gt;1,"DUPLICATE","OK")))</f>
        <v>OK</v>
      </c>
      <c r="K4120" s="6" t="str">
        <f aca="false">A4120&amp;"|"&amp;B4120&amp;"|"&amp;C4120&amp;"|"&amp;D4120</f>
        <v>6|5|Scott|spotify:track:4kbj5MwxO1bq9wjT5g9HaA</v>
      </c>
    </row>
    <row r="4121" customFormat="false" ht="15" hidden="false" customHeight="false" outlineLevel="0" collapsed="false">
      <c r="A4121" s="5" t="n">
        <v>6</v>
      </c>
      <c r="B4121" s="5" t="n">
        <v>5</v>
      </c>
      <c r="C4121" s="5" t="s">
        <v>484</v>
      </c>
      <c r="D4121" s="5" t="s">
        <v>1870</v>
      </c>
      <c r="E4121" s="5" t="n">
        <v>1</v>
      </c>
      <c r="F4121" s="6" t="n">
        <f aca="false">IFERROR(MATCH(A4121&amp;"|"&amp;B4121&amp;"|"&amp;D4121,'All Song Rankings'!$T:$T,0),0)</f>
        <v>616</v>
      </c>
      <c r="G4121" s="6" t="str">
        <f aca="false">IF(F4121=0,"NOT FOUND",INDEX('All Song Rankings'!$A:$A,F4121))</f>
        <v>You Make My Dreams (Come True)</v>
      </c>
      <c r="H4121" s="6" t="str">
        <f aca="false">IF(F4121=0,"NOT FOUND",INDEX('All Song Rankings'!$B:$B,F4121))</f>
        <v>Daryl Hall &amp; John Oates</v>
      </c>
      <c r="I4121" s="6" t="str">
        <f aca="false">IF(F4121=0,"NOT FOUND",INDEX('All Song Rankings'!$D:$D,F4121))</f>
        <v>Logan</v>
      </c>
      <c r="J4121" s="7" t="str">
        <f aca="false">IF(F4121=0,"NOT FOUND",IF(C4121=I4121,"SELF-VOTE",IF(COUNTIF($K:$K,K4121)&gt;1,"DUPLICATE","OK")))</f>
        <v>OK</v>
      </c>
      <c r="K4121" s="6" t="str">
        <f aca="false">A4121&amp;"|"&amp;B4121&amp;"|"&amp;C4121&amp;"|"&amp;D4121</f>
        <v>6|5|Scott|spotify:track:4o6BgsqLIBViaGVbx5rbRk</v>
      </c>
    </row>
    <row r="4122" customFormat="false" ht="15" hidden="false" customHeight="false" outlineLevel="0" collapsed="false">
      <c r="A4122" s="5" t="n">
        <v>6</v>
      </c>
      <c r="B4122" s="5" t="n">
        <v>5</v>
      </c>
      <c r="C4122" s="5" t="s">
        <v>484</v>
      </c>
      <c r="D4122" s="5" t="s">
        <v>1305</v>
      </c>
      <c r="E4122" s="5" t="n">
        <v>1</v>
      </c>
      <c r="F4122" s="6" t="n">
        <f aca="false">IFERROR(MATCH(A4122&amp;"|"&amp;B4122&amp;"|"&amp;D4122,'All Song Rankings'!$T:$T,0),0)</f>
        <v>623</v>
      </c>
      <c r="G4122" s="6" t="str">
        <f aca="false">IF(F4122=0,"NOT FOUND",INDEX('All Song Rankings'!$A:$A,F4122))</f>
        <v>Billie Jean</v>
      </c>
      <c r="H4122" s="6" t="str">
        <f aca="false">IF(F4122=0,"NOT FOUND",INDEX('All Song Rankings'!$B:$B,F4122))</f>
        <v>Michael Jackson</v>
      </c>
      <c r="I4122" s="6" t="str">
        <f aca="false">IF(F4122=0,"NOT FOUND",INDEX('All Song Rankings'!$D:$D,F4122))</f>
        <v>Josh</v>
      </c>
      <c r="J4122" s="7" t="str">
        <f aca="false">IF(F4122=0,"NOT FOUND",IF(C4122=I4122,"SELF-VOTE",IF(COUNTIF($K:$K,K4122)&gt;1,"DUPLICATE","OK")))</f>
        <v>OK</v>
      </c>
      <c r="K4122" s="6" t="str">
        <f aca="false">A4122&amp;"|"&amp;B4122&amp;"|"&amp;C4122&amp;"|"&amp;D4122</f>
        <v>6|5|Scott|spotify:track:7J1uxwnxfQLu4APicE5Rnj</v>
      </c>
    </row>
    <row r="4123" customFormat="false" ht="15" hidden="false" customHeight="false" outlineLevel="0" collapsed="false">
      <c r="A4123" s="5" t="n">
        <v>6</v>
      </c>
      <c r="B4123" s="5" t="n">
        <v>5</v>
      </c>
      <c r="C4123" s="5" t="s">
        <v>97</v>
      </c>
      <c r="D4123" s="5" t="s">
        <v>1876</v>
      </c>
      <c r="E4123" s="5" t="n">
        <v>2</v>
      </c>
      <c r="F4123" s="6" t="n">
        <f aca="false">IFERROR(MATCH(A4123&amp;"|"&amp;B4123&amp;"|"&amp;D4123,'All Song Rankings'!$T:$T,0),0)</f>
        <v>618</v>
      </c>
      <c r="G4123" s="6" t="str">
        <f aca="false">IF(F4123=0,"NOT FOUND",INDEX('All Song Rankings'!$A:$A,F4123))</f>
        <v>Cha Cha Slide - Original Live Platinum Band Mix</v>
      </c>
      <c r="H4123" s="6" t="str">
        <f aca="false">IF(F4123=0,"NOT FOUND",INDEX('All Song Rankings'!$B:$B,F4123))</f>
        <v>DJ Casper</v>
      </c>
      <c r="I4123" s="6" t="str">
        <f aca="false">IF(F4123=0,"NOT FOUND",INDEX('All Song Rankings'!$D:$D,F4123))</f>
        <v>Leah</v>
      </c>
      <c r="J4123" s="7" t="str">
        <f aca="false">IF(F4123=0,"NOT FOUND",IF(C4123=I4123,"SELF-VOTE",IF(COUNTIF($K:$K,K4123)&gt;1,"DUPLICATE","OK")))</f>
        <v>OK</v>
      </c>
      <c r="K4123" s="6" t="str">
        <f aca="false">A4123&amp;"|"&amp;B4123&amp;"|"&amp;C4123&amp;"|"&amp;D4123</f>
        <v>6|5|Stephanie|spotify:track:0RC2B9uIITHA0wtDFfQk3K</v>
      </c>
    </row>
    <row r="4124" customFormat="false" ht="15" hidden="false" customHeight="false" outlineLevel="0" collapsed="false">
      <c r="A4124" s="5" t="n">
        <v>6</v>
      </c>
      <c r="B4124" s="5" t="n">
        <v>5</v>
      </c>
      <c r="C4124" s="5" t="s">
        <v>97</v>
      </c>
      <c r="D4124" s="5" t="s">
        <v>1859</v>
      </c>
      <c r="E4124" s="5" t="n">
        <v>2</v>
      </c>
      <c r="F4124" s="6" t="n">
        <f aca="false">IFERROR(MATCH(A4124&amp;"|"&amp;B4124&amp;"|"&amp;D4124,'All Song Rankings'!$T:$T,0),0)</f>
        <v>611</v>
      </c>
      <c r="G4124" s="6" t="str">
        <f aca="false">IF(F4124=0,"NOT FOUND",INDEX('All Song Rankings'!$A:$A,F4124))</f>
        <v>September</v>
      </c>
      <c r="H4124" s="6" t="str">
        <f aca="false">IF(F4124=0,"NOT FOUND",INDEX('All Song Rankings'!$B:$B,F4124))</f>
        <v>Earth, Wind &amp; Fire</v>
      </c>
      <c r="I4124" s="6" t="str">
        <f aca="false">IF(F4124=0,"NOT FOUND",INDEX('All Song Rankings'!$D:$D,F4124))</f>
        <v>Kelsey</v>
      </c>
      <c r="J4124" s="7" t="str">
        <f aca="false">IF(F4124=0,"NOT FOUND",IF(C4124=I4124,"SELF-VOTE",IF(COUNTIF($K:$K,K4124)&gt;1,"DUPLICATE","OK")))</f>
        <v>OK</v>
      </c>
      <c r="K4124" s="6" t="str">
        <f aca="false">A4124&amp;"|"&amp;B4124&amp;"|"&amp;C4124&amp;"|"&amp;D4124</f>
        <v>6|5|Stephanie|spotify:track:2grjqo0Frpf2okIBiifQKs</v>
      </c>
    </row>
    <row r="4125" customFormat="false" ht="15" hidden="false" customHeight="false" outlineLevel="0" collapsed="false">
      <c r="A4125" s="5" t="n">
        <v>6</v>
      </c>
      <c r="B4125" s="5" t="n">
        <v>5</v>
      </c>
      <c r="C4125" s="5" t="s">
        <v>97</v>
      </c>
      <c r="D4125" s="5" t="s">
        <v>1870</v>
      </c>
      <c r="E4125" s="5" t="n">
        <v>2</v>
      </c>
      <c r="F4125" s="6" t="n">
        <f aca="false">IFERROR(MATCH(A4125&amp;"|"&amp;B4125&amp;"|"&amp;D4125,'All Song Rankings'!$T:$T,0),0)</f>
        <v>616</v>
      </c>
      <c r="G4125" s="6" t="str">
        <f aca="false">IF(F4125=0,"NOT FOUND",INDEX('All Song Rankings'!$A:$A,F4125))</f>
        <v>You Make My Dreams (Come True)</v>
      </c>
      <c r="H4125" s="6" t="str">
        <f aca="false">IF(F4125=0,"NOT FOUND",INDEX('All Song Rankings'!$B:$B,F4125))</f>
        <v>Daryl Hall &amp; John Oates</v>
      </c>
      <c r="I4125" s="6" t="str">
        <f aca="false">IF(F4125=0,"NOT FOUND",INDEX('All Song Rankings'!$D:$D,F4125))</f>
        <v>Logan</v>
      </c>
      <c r="J4125" s="7" t="str">
        <f aca="false">IF(F4125=0,"NOT FOUND",IF(C4125=I4125,"SELF-VOTE",IF(COUNTIF($K:$K,K4125)&gt;1,"DUPLICATE","OK")))</f>
        <v>OK</v>
      </c>
      <c r="K4125" s="6" t="str">
        <f aca="false">A4125&amp;"|"&amp;B4125&amp;"|"&amp;C4125&amp;"|"&amp;D4125</f>
        <v>6|5|Stephanie|spotify:track:4o6BgsqLIBViaGVbx5rbRk</v>
      </c>
    </row>
    <row r="4126" customFormat="false" ht="15" hidden="false" customHeight="false" outlineLevel="0" collapsed="false">
      <c r="A4126" s="5" t="n">
        <v>6</v>
      </c>
      <c r="B4126" s="5" t="n">
        <v>5</v>
      </c>
      <c r="C4126" s="5" t="s">
        <v>97</v>
      </c>
      <c r="D4126" s="5" t="s">
        <v>1864</v>
      </c>
      <c r="E4126" s="5" t="n">
        <v>1</v>
      </c>
      <c r="F4126" s="6" t="n">
        <f aca="false">IFERROR(MATCH(A4126&amp;"|"&amp;B4126&amp;"|"&amp;D4126,'All Song Rankings'!$T:$T,0),0)</f>
        <v>614</v>
      </c>
      <c r="G4126" s="6" t="str">
        <f aca="false">IF(F4126=0,"NOT FOUND",INDEX('All Song Rankings'!$A:$A,F4126))</f>
        <v>Single Ladies (Put a Ring on It)</v>
      </c>
      <c r="H4126" s="6" t="str">
        <f aca="false">IF(F4126=0,"NOT FOUND",INDEX('All Song Rankings'!$B:$B,F4126))</f>
        <v>Beyoncé</v>
      </c>
      <c r="I4126" s="6" t="str">
        <f aca="false">IF(F4126=0,"NOT FOUND",INDEX('All Song Rankings'!$D:$D,F4126))</f>
        <v>Matt</v>
      </c>
      <c r="J4126" s="7" t="str">
        <f aca="false">IF(F4126=0,"NOT FOUND",IF(C4126=I4126,"SELF-VOTE",IF(COUNTIF($K:$K,K4126)&gt;1,"DUPLICATE","OK")))</f>
        <v>OK</v>
      </c>
      <c r="K4126" s="6" t="str">
        <f aca="false">A4126&amp;"|"&amp;B4126&amp;"|"&amp;C4126&amp;"|"&amp;D4126</f>
        <v>6|5|Stephanie|spotify:track:5R9a4t5t5O0IsznsrKPVro</v>
      </c>
    </row>
    <row r="4127" customFormat="false" ht="15" hidden="false" customHeight="false" outlineLevel="0" collapsed="false">
      <c r="A4127" s="5" t="n">
        <v>6</v>
      </c>
      <c r="B4127" s="5" t="n">
        <v>5</v>
      </c>
      <c r="C4127" s="5" t="s">
        <v>97</v>
      </c>
      <c r="D4127" s="5" t="s">
        <v>1873</v>
      </c>
      <c r="E4127" s="5" t="n">
        <v>3</v>
      </c>
      <c r="F4127" s="6" t="n">
        <f aca="false">IFERROR(MATCH(A4127&amp;"|"&amp;B4127&amp;"|"&amp;D4127,'All Song Rankings'!$T:$T,0),0)</f>
        <v>617</v>
      </c>
      <c r="G4127" s="6" t="str">
        <f aca="false">IF(F4127=0,"NOT FOUND",INDEX('All Song Rankings'!$A:$A,F4127))</f>
        <v>Boogie Wonderland (with The Emotions)</v>
      </c>
      <c r="H4127" s="6" t="str">
        <f aca="false">IF(F4127=0,"NOT FOUND",INDEX('All Song Rankings'!$B:$B,F4127))</f>
        <v>Earth, Wind &amp; Fire, The Emotions</v>
      </c>
      <c r="I4127" s="6" t="str">
        <f aca="false">IF(F4127=0,"NOT FOUND",INDEX('All Song Rankings'!$D:$D,F4127))</f>
        <v>Christine</v>
      </c>
      <c r="J4127" s="7" t="str">
        <f aca="false">IF(F4127=0,"NOT FOUND",IF(C4127=I4127,"SELF-VOTE",IF(COUNTIF($K:$K,K4127)&gt;1,"DUPLICATE","OK")))</f>
        <v>OK</v>
      </c>
      <c r="K4127" s="6" t="str">
        <f aca="false">A4127&amp;"|"&amp;B4127&amp;"|"&amp;C4127&amp;"|"&amp;D4127</f>
        <v>6|5|Stephanie|spotify:track:6ztstiyZL6FXzh4aG46ZPD</v>
      </c>
    </row>
    <row r="4128" customFormat="false" ht="15" hidden="false" customHeight="false" outlineLevel="0" collapsed="false">
      <c r="A4128" s="5" t="n">
        <v>6</v>
      </c>
      <c r="B4128" s="5" t="n">
        <v>6</v>
      </c>
      <c r="C4128" s="5" t="s">
        <v>719</v>
      </c>
      <c r="D4128" s="5" t="s">
        <v>1897</v>
      </c>
      <c r="E4128" s="5" t="n">
        <v>2</v>
      </c>
      <c r="F4128" s="6" t="n">
        <f aca="false">IFERROR(MATCH(A4128&amp;"|"&amp;B4128&amp;"|"&amp;D4128,'All Song Rankings'!$T:$T,0),0)</f>
        <v>627</v>
      </c>
      <c r="G4128" s="6" t="str">
        <f aca="false">IF(F4128=0,"NOT FOUND",INDEX('All Song Rankings'!$A:$A,F4128))</f>
        <v>Rollin' Right Along</v>
      </c>
      <c r="H4128" s="6" t="str">
        <f aca="false">IF(F4128=0,"NOT FOUND",INDEX('All Song Rankings'!$B:$B,F4128))</f>
        <v>Shawn Mendes</v>
      </c>
      <c r="I4128" s="6" t="str">
        <f aca="false">IF(F4128=0,"NOT FOUND",INDEX('All Song Rankings'!$D:$D,F4128))</f>
        <v>Merita</v>
      </c>
      <c r="J4128" s="7" t="str">
        <f aca="false">IF(F4128=0,"NOT FOUND",IF(C4128=I4128,"SELF-VOTE",IF(COUNTIF($K:$K,K4128)&gt;1,"DUPLICATE","OK")))</f>
        <v>OK</v>
      </c>
      <c r="K4128" s="6" t="str">
        <f aca="false">A4128&amp;"|"&amp;B4128&amp;"|"&amp;C4128&amp;"|"&amp;D4128</f>
        <v>6|6|Christine|spotify:track:0gDIsF458XtmsL67aYqSj7</v>
      </c>
    </row>
    <row r="4129" customFormat="false" ht="15" hidden="false" customHeight="false" outlineLevel="0" collapsed="false">
      <c r="A4129" s="5" t="n">
        <v>6</v>
      </c>
      <c r="B4129" s="5" t="n">
        <v>6</v>
      </c>
      <c r="C4129" s="5" t="s">
        <v>719</v>
      </c>
      <c r="D4129" s="5" t="s">
        <v>1906</v>
      </c>
      <c r="E4129" s="5" t="n">
        <v>2</v>
      </c>
      <c r="F4129" s="6" t="n">
        <f aca="false">IFERROR(MATCH(A4129&amp;"|"&amp;B4129&amp;"|"&amp;D4129,'All Song Rankings'!$T:$T,0),0)</f>
        <v>630</v>
      </c>
      <c r="G4129" s="6" t="str">
        <f aca="false">IF(F4129=0,"NOT FOUND",INDEX('All Song Rankings'!$A:$A,F4129))</f>
        <v>You Get What You Give</v>
      </c>
      <c r="H4129" s="6" t="str">
        <f aca="false">IF(F4129=0,"NOT FOUND",INDEX('All Song Rankings'!$B:$B,F4129))</f>
        <v>New Radicals</v>
      </c>
      <c r="I4129" s="6" t="str">
        <f aca="false">IF(F4129=0,"NOT FOUND",INDEX('All Song Rankings'!$D:$D,F4129))</f>
        <v>Stephanie</v>
      </c>
      <c r="J4129" s="7" t="str">
        <f aca="false">IF(F4129=0,"NOT FOUND",IF(C4129=I4129,"SELF-VOTE",IF(COUNTIF($K:$K,K4129)&gt;1,"DUPLICATE","OK")))</f>
        <v>OK</v>
      </c>
      <c r="K4129" s="6" t="str">
        <f aca="false">A4129&amp;"|"&amp;B4129&amp;"|"&amp;C4129&amp;"|"&amp;D4129</f>
        <v>6|6|Christine|spotify:track:1Cwsd5xI8CajJz795oy4XF</v>
      </c>
    </row>
    <row r="4130" customFormat="false" ht="15" hidden="false" customHeight="false" outlineLevel="0" collapsed="false">
      <c r="A4130" s="5" t="n">
        <v>6</v>
      </c>
      <c r="B4130" s="5" t="n">
        <v>6</v>
      </c>
      <c r="C4130" s="5" t="s">
        <v>719</v>
      </c>
      <c r="D4130" s="5" t="s">
        <v>1914</v>
      </c>
      <c r="E4130" s="5" t="n">
        <v>1</v>
      </c>
      <c r="F4130" s="6" t="n">
        <f aca="false">IFERROR(MATCH(A4130&amp;"|"&amp;B4130&amp;"|"&amp;D4130,'All Song Rankings'!$T:$T,0),0)</f>
        <v>633</v>
      </c>
      <c r="G4130" s="6" t="str">
        <f aca="false">IF(F4130=0,"NOT FOUND",INDEX('All Song Rankings'!$A:$A,F4130))</f>
        <v>Head Over Heels</v>
      </c>
      <c r="H4130" s="6" t="str">
        <f aca="false">IF(F4130=0,"NOT FOUND",INDEX('All Song Rankings'!$B:$B,F4130))</f>
        <v>The Go-Go's</v>
      </c>
      <c r="I4130" s="6" t="str">
        <f aca="false">IF(F4130=0,"NOT FOUND",INDEX('All Song Rankings'!$D:$D,F4130))</f>
        <v>Lisa</v>
      </c>
      <c r="J4130" s="7" t="str">
        <f aca="false">IF(F4130=0,"NOT FOUND",IF(C4130=I4130,"SELF-VOTE",IF(COUNTIF($K:$K,K4130)&gt;1,"DUPLICATE","OK")))</f>
        <v>OK</v>
      </c>
      <c r="K4130" s="6" t="str">
        <f aca="false">A4130&amp;"|"&amp;B4130&amp;"|"&amp;C4130&amp;"|"&amp;D4130</f>
        <v>6|6|Christine|spotify:track:1p46bniF6fC9kT1v5yjJOI</v>
      </c>
    </row>
    <row r="4131" customFormat="false" ht="15" hidden="false" customHeight="false" outlineLevel="0" collapsed="false">
      <c r="A4131" s="5" t="n">
        <v>6</v>
      </c>
      <c r="B4131" s="5" t="n">
        <v>6</v>
      </c>
      <c r="C4131" s="5" t="s">
        <v>719</v>
      </c>
      <c r="D4131" s="5" t="s">
        <v>1900</v>
      </c>
      <c r="E4131" s="5" t="n">
        <v>1</v>
      </c>
      <c r="F4131" s="6" t="n">
        <f aca="false">IFERROR(MATCH(A4131&amp;"|"&amp;B4131&amp;"|"&amp;D4131,'All Song Rankings'!$T:$T,0),0)</f>
        <v>628</v>
      </c>
      <c r="G4131" s="6" t="str">
        <f aca="false">IF(F4131=0,"NOT FOUND",INDEX('All Song Rankings'!$A:$A,F4131))</f>
        <v>These Are The Days</v>
      </c>
      <c r="H4131" s="6" t="str">
        <f aca="false">IF(F4131=0,"NOT FOUND",INDEX('All Song Rankings'!$B:$B,F4131))</f>
        <v>Mark Ambor</v>
      </c>
      <c r="I4131" s="6" t="str">
        <f aca="false">IF(F4131=0,"NOT FOUND",INDEX('All Song Rankings'!$D:$D,F4131))</f>
        <v>Makenzie</v>
      </c>
      <c r="J4131" s="7" t="str">
        <f aca="false">IF(F4131=0,"NOT FOUND",IF(C4131=I4131,"SELF-VOTE",IF(COUNTIF($K:$K,K4131)&gt;1,"DUPLICATE","OK")))</f>
        <v>OK</v>
      </c>
      <c r="K4131" s="6" t="str">
        <f aca="false">A4131&amp;"|"&amp;B4131&amp;"|"&amp;C4131&amp;"|"&amp;D4131</f>
        <v>6|6|Christine|spotify:track:2QVRjz1nWhN8FCAHgnrTE4</v>
      </c>
    </row>
    <row r="4132" customFormat="false" ht="15" hidden="false" customHeight="false" outlineLevel="0" collapsed="false">
      <c r="A4132" s="5" t="n">
        <v>6</v>
      </c>
      <c r="B4132" s="5" t="n">
        <v>6</v>
      </c>
      <c r="C4132" s="5" t="s">
        <v>719</v>
      </c>
      <c r="D4132" s="5" t="s">
        <v>1903</v>
      </c>
      <c r="E4132" s="5" t="n">
        <v>2</v>
      </c>
      <c r="F4132" s="6" t="n">
        <f aca="false">IFERROR(MATCH(A4132&amp;"|"&amp;B4132&amp;"|"&amp;D4132,'All Song Rankings'!$T:$T,0),0)</f>
        <v>629</v>
      </c>
      <c r="G4132" s="6" t="str">
        <f aca="false">IF(F4132=0,"NOT FOUND",INDEX('All Song Rankings'!$A:$A,F4132))</f>
        <v>Why Worry</v>
      </c>
      <c r="H4132" s="6" t="str">
        <f aca="false">IF(F4132=0,"NOT FOUND",INDEX('All Song Rankings'!$B:$B,F4132))</f>
        <v>Set It Off</v>
      </c>
      <c r="I4132" s="6" t="str">
        <f aca="false">IF(F4132=0,"NOT FOUND",INDEX('All Song Rankings'!$D:$D,F4132))</f>
        <v>Leah</v>
      </c>
      <c r="J4132" s="7" t="str">
        <f aca="false">IF(F4132=0,"NOT FOUND",IF(C4132=I4132,"SELF-VOTE",IF(COUNTIF($K:$K,K4132)&gt;1,"DUPLICATE","OK")))</f>
        <v>OK</v>
      </c>
      <c r="K4132" s="6" t="str">
        <f aca="false">A4132&amp;"|"&amp;B4132&amp;"|"&amp;C4132&amp;"|"&amp;D4132</f>
        <v>6|6|Christine|spotify:track:39ShyO1yBCiEoEXHX9ie0F</v>
      </c>
    </row>
    <row r="4133" customFormat="false" ht="15" hidden="false" customHeight="false" outlineLevel="0" collapsed="false">
      <c r="A4133" s="5" t="n">
        <v>6</v>
      </c>
      <c r="B4133" s="5" t="n">
        <v>6</v>
      </c>
      <c r="C4133" s="5" t="s">
        <v>719</v>
      </c>
      <c r="D4133" s="5" t="s">
        <v>1895</v>
      </c>
      <c r="E4133" s="5" t="n">
        <v>1</v>
      </c>
      <c r="F4133" s="6" t="n">
        <f aca="false">IFERROR(MATCH(A4133&amp;"|"&amp;B4133&amp;"|"&amp;D4133,'All Song Rankings'!$T:$T,0),0)</f>
        <v>626</v>
      </c>
      <c r="G4133" s="6" t="str">
        <f aca="false">IF(F4133=0,"NOT FOUND",INDEX('All Song Rankings'!$A:$A,F4133))</f>
        <v>Grow Up</v>
      </c>
      <c r="H4133" s="6" t="str">
        <f aca="false">IF(F4133=0,"NOT FOUND",INDEX('All Song Rankings'!$B:$B,F4133))</f>
        <v>Late Night Thoughts</v>
      </c>
      <c r="I4133" s="6" t="str">
        <f aca="false">IF(F4133=0,"NOT FOUND",INDEX('All Song Rankings'!$D:$D,F4133))</f>
        <v>Kelsey</v>
      </c>
      <c r="J4133" s="7" t="str">
        <f aca="false">IF(F4133=0,"NOT FOUND",IF(C4133=I4133,"SELF-VOTE",IF(COUNTIF($K:$K,K4133)&gt;1,"DUPLICATE","OK")))</f>
        <v>OK</v>
      </c>
      <c r="K4133" s="6" t="str">
        <f aca="false">A4133&amp;"|"&amp;B4133&amp;"|"&amp;C4133&amp;"|"&amp;D4133</f>
        <v>6|6|Christine|spotify:track:3Qt3A2x143Eo3PeZb0rRfH</v>
      </c>
    </row>
    <row r="4134" customFormat="false" ht="15" hidden="false" customHeight="false" outlineLevel="0" collapsed="false">
      <c r="A4134" s="5" t="n">
        <v>6</v>
      </c>
      <c r="B4134" s="5" t="n">
        <v>6</v>
      </c>
      <c r="C4134" s="5" t="s">
        <v>719</v>
      </c>
      <c r="D4134" s="5" t="s">
        <v>1922</v>
      </c>
      <c r="E4134" s="5" t="n">
        <v>1</v>
      </c>
      <c r="F4134" s="6" t="n">
        <f aca="false">IFERROR(MATCH(A4134&amp;"|"&amp;B4134&amp;"|"&amp;D4134,'All Song Rankings'!$T:$T,0),0)</f>
        <v>637</v>
      </c>
      <c r="G4134" s="6" t="str">
        <f aca="false">IF(F4134=0,"NOT FOUND",INDEX('All Song Rankings'!$A:$A,F4134))</f>
        <v>Perfect Day</v>
      </c>
      <c r="H4134" s="6" t="str">
        <f aca="false">IF(F4134=0,"NOT FOUND",INDEX('All Song Rankings'!$B:$B,F4134))</f>
        <v>Hoku</v>
      </c>
      <c r="I4134" s="6" t="str">
        <f aca="false">IF(F4134=0,"NOT FOUND",INDEX('All Song Rankings'!$D:$D,F4134))</f>
        <v>Colleen</v>
      </c>
      <c r="J4134" s="7" t="str">
        <f aca="false">IF(F4134=0,"NOT FOUND",IF(C4134=I4134,"SELF-VOTE",IF(COUNTIF($K:$K,K4134)&gt;1,"DUPLICATE","OK")))</f>
        <v>OK</v>
      </c>
      <c r="K4134" s="6" t="str">
        <f aca="false">A4134&amp;"|"&amp;B4134&amp;"|"&amp;C4134&amp;"|"&amp;D4134</f>
        <v>6|6|Christine|spotify:track:4pMyfWdA0eo3JY5RqMotbw</v>
      </c>
    </row>
    <row r="4135" customFormat="false" ht="15" hidden="false" customHeight="false" outlineLevel="0" collapsed="false">
      <c r="A4135" s="5" t="n">
        <v>6</v>
      </c>
      <c r="B4135" s="5" t="n">
        <v>6</v>
      </c>
      <c r="C4135" s="5" t="s">
        <v>85</v>
      </c>
      <c r="D4135" s="5" t="s">
        <v>1917</v>
      </c>
      <c r="E4135" s="5" t="n">
        <v>1</v>
      </c>
      <c r="F4135" s="6" t="n">
        <f aca="false">IFERROR(MATCH(A4135&amp;"|"&amp;B4135&amp;"|"&amp;D4135,'All Song Rankings'!$T:$T,0),0)</f>
        <v>635</v>
      </c>
      <c r="G4135" s="6" t="str">
        <f aca="false">IF(F4135=0,"NOT FOUND",INDEX('All Song Rankings'!$A:$A,F4135))</f>
        <v>Call Me Mother</v>
      </c>
      <c r="H4135" s="6" t="str">
        <f aca="false">IF(F4135=0,"NOT FOUND",INDEX('All Song Rankings'!$B:$B,F4135))</f>
        <v>RuPaul</v>
      </c>
      <c r="I4135" s="6" t="str">
        <f aca="false">IF(F4135=0,"NOT FOUND",INDEX('All Song Rankings'!$D:$D,F4135))</f>
        <v>Logan</v>
      </c>
      <c r="J4135" s="7" t="str">
        <f aca="false">IF(F4135=0,"NOT FOUND",IF(C4135=I4135,"SELF-VOTE",IF(COUNTIF($K:$K,K4135)&gt;1,"DUPLICATE","OK")))</f>
        <v>OK</v>
      </c>
      <c r="K4135" s="6" t="str">
        <f aca="false">A4135&amp;"|"&amp;B4135&amp;"|"&amp;C4135&amp;"|"&amp;D4135</f>
        <v>6|6|Kelsey|spotify:track:0SENYBHXBj0TI1ZygWwxee</v>
      </c>
    </row>
    <row r="4136" customFormat="false" ht="15" hidden="false" customHeight="false" outlineLevel="0" collapsed="false">
      <c r="A4136" s="5" t="n">
        <v>6</v>
      </c>
      <c r="B4136" s="5" t="n">
        <v>6</v>
      </c>
      <c r="C4136" s="5" t="s">
        <v>85</v>
      </c>
      <c r="D4136" s="5" t="s">
        <v>1897</v>
      </c>
      <c r="E4136" s="5" t="n">
        <v>1</v>
      </c>
      <c r="F4136" s="6" t="n">
        <f aca="false">IFERROR(MATCH(A4136&amp;"|"&amp;B4136&amp;"|"&amp;D4136,'All Song Rankings'!$T:$T,0),0)</f>
        <v>627</v>
      </c>
      <c r="G4136" s="6" t="str">
        <f aca="false">IF(F4136=0,"NOT FOUND",INDEX('All Song Rankings'!$A:$A,F4136))</f>
        <v>Rollin' Right Along</v>
      </c>
      <c r="H4136" s="6" t="str">
        <f aca="false">IF(F4136=0,"NOT FOUND",INDEX('All Song Rankings'!$B:$B,F4136))</f>
        <v>Shawn Mendes</v>
      </c>
      <c r="I4136" s="6" t="str">
        <f aca="false">IF(F4136=0,"NOT FOUND",INDEX('All Song Rankings'!$D:$D,F4136))</f>
        <v>Merita</v>
      </c>
      <c r="J4136" s="7" t="str">
        <f aca="false">IF(F4136=0,"NOT FOUND",IF(C4136=I4136,"SELF-VOTE",IF(COUNTIF($K:$K,K4136)&gt;1,"DUPLICATE","OK")))</f>
        <v>OK</v>
      </c>
      <c r="K4136" s="6" t="str">
        <f aca="false">A4136&amp;"|"&amp;B4136&amp;"|"&amp;C4136&amp;"|"&amp;D4136</f>
        <v>6|6|Kelsey|spotify:track:0gDIsF458XtmsL67aYqSj7</v>
      </c>
    </row>
    <row r="4137" customFormat="false" ht="15" hidden="false" customHeight="false" outlineLevel="0" collapsed="false">
      <c r="A4137" s="5" t="n">
        <v>6</v>
      </c>
      <c r="B4137" s="5" t="n">
        <v>6</v>
      </c>
      <c r="C4137" s="5" t="s">
        <v>85</v>
      </c>
      <c r="D4137" s="5" t="s">
        <v>1914</v>
      </c>
      <c r="E4137" s="5" t="n">
        <v>2</v>
      </c>
      <c r="F4137" s="6" t="n">
        <f aca="false">IFERROR(MATCH(A4137&amp;"|"&amp;B4137&amp;"|"&amp;D4137,'All Song Rankings'!$T:$T,0),0)</f>
        <v>633</v>
      </c>
      <c r="G4137" s="6" t="str">
        <f aca="false">IF(F4137=0,"NOT FOUND",INDEX('All Song Rankings'!$A:$A,F4137))</f>
        <v>Head Over Heels</v>
      </c>
      <c r="H4137" s="6" t="str">
        <f aca="false">IF(F4137=0,"NOT FOUND",INDEX('All Song Rankings'!$B:$B,F4137))</f>
        <v>The Go-Go's</v>
      </c>
      <c r="I4137" s="6" t="str">
        <f aca="false">IF(F4137=0,"NOT FOUND",INDEX('All Song Rankings'!$D:$D,F4137))</f>
        <v>Lisa</v>
      </c>
      <c r="J4137" s="7" t="str">
        <f aca="false">IF(F4137=0,"NOT FOUND",IF(C4137=I4137,"SELF-VOTE",IF(COUNTIF($K:$K,K4137)&gt;1,"DUPLICATE","OK")))</f>
        <v>OK</v>
      </c>
      <c r="K4137" s="6" t="str">
        <f aca="false">A4137&amp;"|"&amp;B4137&amp;"|"&amp;C4137&amp;"|"&amp;D4137</f>
        <v>6|6|Kelsey|spotify:track:1p46bniF6fC9kT1v5yjJOI</v>
      </c>
    </row>
    <row r="4138" customFormat="false" ht="15" hidden="false" customHeight="false" outlineLevel="0" collapsed="false">
      <c r="A4138" s="5" t="n">
        <v>6</v>
      </c>
      <c r="B4138" s="5" t="n">
        <v>6</v>
      </c>
      <c r="C4138" s="5" t="s">
        <v>85</v>
      </c>
      <c r="D4138" s="5" t="s">
        <v>1900</v>
      </c>
      <c r="E4138" s="5" t="n">
        <v>1</v>
      </c>
      <c r="F4138" s="6" t="n">
        <f aca="false">IFERROR(MATCH(A4138&amp;"|"&amp;B4138&amp;"|"&amp;D4138,'All Song Rankings'!$T:$T,0),0)</f>
        <v>628</v>
      </c>
      <c r="G4138" s="6" t="str">
        <f aca="false">IF(F4138=0,"NOT FOUND",INDEX('All Song Rankings'!$A:$A,F4138))</f>
        <v>These Are The Days</v>
      </c>
      <c r="H4138" s="6" t="str">
        <f aca="false">IF(F4138=0,"NOT FOUND",INDEX('All Song Rankings'!$B:$B,F4138))</f>
        <v>Mark Ambor</v>
      </c>
      <c r="I4138" s="6" t="str">
        <f aca="false">IF(F4138=0,"NOT FOUND",INDEX('All Song Rankings'!$D:$D,F4138))</f>
        <v>Makenzie</v>
      </c>
      <c r="J4138" s="7" t="str">
        <f aca="false">IF(F4138=0,"NOT FOUND",IF(C4138=I4138,"SELF-VOTE",IF(COUNTIF($K:$K,K4138)&gt;1,"DUPLICATE","OK")))</f>
        <v>OK</v>
      </c>
      <c r="K4138" s="6" t="str">
        <f aca="false">A4138&amp;"|"&amp;B4138&amp;"|"&amp;C4138&amp;"|"&amp;D4138</f>
        <v>6|6|Kelsey|spotify:track:2QVRjz1nWhN8FCAHgnrTE4</v>
      </c>
    </row>
    <row r="4139" customFormat="false" ht="15" hidden="false" customHeight="false" outlineLevel="0" collapsed="false">
      <c r="A4139" s="5" t="n">
        <v>6</v>
      </c>
      <c r="B4139" s="5" t="n">
        <v>6</v>
      </c>
      <c r="C4139" s="5" t="s">
        <v>85</v>
      </c>
      <c r="D4139" s="5" t="s">
        <v>1903</v>
      </c>
      <c r="E4139" s="5" t="n">
        <v>1</v>
      </c>
      <c r="F4139" s="6" t="n">
        <f aca="false">IFERROR(MATCH(A4139&amp;"|"&amp;B4139&amp;"|"&amp;D4139,'All Song Rankings'!$T:$T,0),0)</f>
        <v>629</v>
      </c>
      <c r="G4139" s="6" t="str">
        <f aca="false">IF(F4139=0,"NOT FOUND",INDEX('All Song Rankings'!$A:$A,F4139))</f>
        <v>Why Worry</v>
      </c>
      <c r="H4139" s="6" t="str">
        <f aca="false">IF(F4139=0,"NOT FOUND",INDEX('All Song Rankings'!$B:$B,F4139))</f>
        <v>Set It Off</v>
      </c>
      <c r="I4139" s="6" t="str">
        <f aca="false">IF(F4139=0,"NOT FOUND",INDEX('All Song Rankings'!$D:$D,F4139))</f>
        <v>Leah</v>
      </c>
      <c r="J4139" s="7" t="str">
        <f aca="false">IF(F4139=0,"NOT FOUND",IF(C4139=I4139,"SELF-VOTE",IF(COUNTIF($K:$K,K4139)&gt;1,"DUPLICATE","OK")))</f>
        <v>OK</v>
      </c>
      <c r="K4139" s="6" t="str">
        <f aca="false">A4139&amp;"|"&amp;B4139&amp;"|"&amp;C4139&amp;"|"&amp;D4139</f>
        <v>6|6|Kelsey|spotify:track:39ShyO1yBCiEoEXHX9ie0F</v>
      </c>
    </row>
    <row r="4140" customFormat="false" ht="15" hidden="false" customHeight="false" outlineLevel="0" collapsed="false">
      <c r="A4140" s="5" t="n">
        <v>6</v>
      </c>
      <c r="B4140" s="5" t="n">
        <v>6</v>
      </c>
      <c r="C4140" s="5" t="s">
        <v>85</v>
      </c>
      <c r="D4140" s="5" t="s">
        <v>1922</v>
      </c>
      <c r="E4140" s="5" t="n">
        <v>3</v>
      </c>
      <c r="F4140" s="6" t="n">
        <f aca="false">IFERROR(MATCH(A4140&amp;"|"&amp;B4140&amp;"|"&amp;D4140,'All Song Rankings'!$T:$T,0),0)</f>
        <v>637</v>
      </c>
      <c r="G4140" s="6" t="str">
        <f aca="false">IF(F4140=0,"NOT FOUND",INDEX('All Song Rankings'!$A:$A,F4140))</f>
        <v>Perfect Day</v>
      </c>
      <c r="H4140" s="6" t="str">
        <f aca="false">IF(F4140=0,"NOT FOUND",INDEX('All Song Rankings'!$B:$B,F4140))</f>
        <v>Hoku</v>
      </c>
      <c r="I4140" s="6" t="str">
        <f aca="false">IF(F4140=0,"NOT FOUND",INDEX('All Song Rankings'!$D:$D,F4140))</f>
        <v>Colleen</v>
      </c>
      <c r="J4140" s="7" t="str">
        <f aca="false">IF(F4140=0,"NOT FOUND",IF(C4140=I4140,"SELF-VOTE",IF(COUNTIF($K:$K,K4140)&gt;1,"DUPLICATE","OK")))</f>
        <v>OK</v>
      </c>
      <c r="K4140" s="6" t="str">
        <f aca="false">A4140&amp;"|"&amp;B4140&amp;"|"&amp;C4140&amp;"|"&amp;D4140</f>
        <v>6|6|Kelsey|spotify:track:4pMyfWdA0eo3JY5RqMotbw</v>
      </c>
    </row>
    <row r="4141" customFormat="false" ht="15" hidden="false" customHeight="false" outlineLevel="0" collapsed="false">
      <c r="A4141" s="5" t="n">
        <v>6</v>
      </c>
      <c r="B4141" s="5" t="n">
        <v>6</v>
      </c>
      <c r="C4141" s="5" t="s">
        <v>85</v>
      </c>
      <c r="D4141" s="5" t="s">
        <v>1466</v>
      </c>
      <c r="E4141" s="5" t="n">
        <v>1</v>
      </c>
      <c r="F4141" s="6" t="n">
        <f aca="false">IFERROR(MATCH(A4141&amp;"|"&amp;B4141&amp;"|"&amp;D4141,'All Song Rankings'!$T:$T,0),0)</f>
        <v>634</v>
      </c>
      <c r="G4141" s="6" t="str">
        <f aca="false">IF(F4141=0,"NOT FOUND",INDEX('All Song Rankings'!$A:$A,F4141))</f>
        <v>Three Little Birds</v>
      </c>
      <c r="H4141" s="6" t="str">
        <f aca="false">IF(F4141=0,"NOT FOUND",INDEX('All Song Rankings'!$B:$B,F4141))</f>
        <v>Bob Marley &amp; The Wailers</v>
      </c>
      <c r="I4141" s="6" t="str">
        <f aca="false">IF(F4141=0,"NOT FOUND",INDEX('All Song Rankings'!$D:$D,F4141))</f>
        <v>Matt</v>
      </c>
      <c r="J4141" s="7" t="str">
        <f aca="false">IF(F4141=0,"NOT FOUND",IF(C4141=I4141,"SELF-VOTE",IF(COUNTIF($K:$K,K4141)&gt;1,"DUPLICATE","OK")))</f>
        <v>OK</v>
      </c>
      <c r="K4141" s="6" t="str">
        <f aca="false">A4141&amp;"|"&amp;B4141&amp;"|"&amp;C4141&amp;"|"&amp;D4141</f>
        <v>6|6|Kelsey|spotify:track:7vggqxNKwd6xdRoYS0pQtM</v>
      </c>
    </row>
    <row r="4142" customFormat="false" ht="15" hidden="false" customHeight="false" outlineLevel="0" collapsed="false">
      <c r="A4142" s="5" t="n">
        <v>6</v>
      </c>
      <c r="B4142" s="5" t="n">
        <v>6</v>
      </c>
      <c r="C4142" s="5" t="s">
        <v>106</v>
      </c>
      <c r="D4142" s="5" t="s">
        <v>1917</v>
      </c>
      <c r="E4142" s="5" t="n">
        <v>1</v>
      </c>
      <c r="F4142" s="6" t="n">
        <f aca="false">IFERROR(MATCH(A4142&amp;"|"&amp;B4142&amp;"|"&amp;D4142,'All Song Rankings'!$T:$T,0),0)</f>
        <v>635</v>
      </c>
      <c r="G4142" s="6" t="str">
        <f aca="false">IF(F4142=0,"NOT FOUND",INDEX('All Song Rankings'!$A:$A,F4142))</f>
        <v>Call Me Mother</v>
      </c>
      <c r="H4142" s="6" t="str">
        <f aca="false">IF(F4142=0,"NOT FOUND",INDEX('All Song Rankings'!$B:$B,F4142))</f>
        <v>RuPaul</v>
      </c>
      <c r="I4142" s="6" t="str">
        <f aca="false">IF(F4142=0,"NOT FOUND",INDEX('All Song Rankings'!$D:$D,F4142))</f>
        <v>Logan</v>
      </c>
      <c r="J4142" s="7" t="str">
        <f aca="false">IF(F4142=0,"NOT FOUND",IF(C4142=I4142,"SELF-VOTE",IF(COUNTIF($K:$K,K4142)&gt;1,"DUPLICATE","OK")))</f>
        <v>OK</v>
      </c>
      <c r="K4142" s="6" t="str">
        <f aca="false">A4142&amp;"|"&amp;B4142&amp;"|"&amp;C4142&amp;"|"&amp;D4142</f>
        <v>6|6|Kristen|spotify:track:0SENYBHXBj0TI1ZygWwxee</v>
      </c>
    </row>
    <row r="4143" customFormat="false" ht="15" hidden="false" customHeight="false" outlineLevel="0" collapsed="false">
      <c r="A4143" s="5" t="n">
        <v>6</v>
      </c>
      <c r="B4143" s="5" t="n">
        <v>6</v>
      </c>
      <c r="C4143" s="5" t="s">
        <v>106</v>
      </c>
      <c r="D4143" s="5" t="s">
        <v>1897</v>
      </c>
      <c r="E4143" s="5" t="n">
        <v>1</v>
      </c>
      <c r="F4143" s="6" t="n">
        <f aca="false">IFERROR(MATCH(A4143&amp;"|"&amp;B4143&amp;"|"&amp;D4143,'All Song Rankings'!$T:$T,0),0)</f>
        <v>627</v>
      </c>
      <c r="G4143" s="6" t="str">
        <f aca="false">IF(F4143=0,"NOT FOUND",INDEX('All Song Rankings'!$A:$A,F4143))</f>
        <v>Rollin' Right Along</v>
      </c>
      <c r="H4143" s="6" t="str">
        <f aca="false">IF(F4143=0,"NOT FOUND",INDEX('All Song Rankings'!$B:$B,F4143))</f>
        <v>Shawn Mendes</v>
      </c>
      <c r="I4143" s="6" t="str">
        <f aca="false">IF(F4143=0,"NOT FOUND",INDEX('All Song Rankings'!$D:$D,F4143))</f>
        <v>Merita</v>
      </c>
      <c r="J4143" s="7" t="str">
        <f aca="false">IF(F4143=0,"NOT FOUND",IF(C4143=I4143,"SELF-VOTE",IF(COUNTIF($K:$K,K4143)&gt;1,"DUPLICATE","OK")))</f>
        <v>OK</v>
      </c>
      <c r="K4143" s="6" t="str">
        <f aca="false">A4143&amp;"|"&amp;B4143&amp;"|"&amp;C4143&amp;"|"&amp;D4143</f>
        <v>6|6|Kristen|spotify:track:0gDIsF458XtmsL67aYqSj7</v>
      </c>
    </row>
    <row r="4144" customFormat="false" ht="15" hidden="false" customHeight="false" outlineLevel="0" collapsed="false">
      <c r="A4144" s="5" t="n">
        <v>6</v>
      </c>
      <c r="B4144" s="5" t="n">
        <v>6</v>
      </c>
      <c r="C4144" s="5" t="s">
        <v>106</v>
      </c>
      <c r="D4144" s="5" t="s">
        <v>1911</v>
      </c>
      <c r="E4144" s="5" t="n">
        <v>1</v>
      </c>
      <c r="F4144" s="6" t="n">
        <f aca="false">IFERROR(MATCH(A4144&amp;"|"&amp;B4144&amp;"|"&amp;D4144,'All Song Rankings'!$T:$T,0),0)</f>
        <v>632</v>
      </c>
      <c r="G4144" s="6" t="str">
        <f aca="false">IF(F4144=0,"NOT FOUND",INDEX('All Song Rankings'!$A:$A,F4144))</f>
        <v>All My Life</v>
      </c>
      <c r="H4144" s="6" t="str">
        <f aca="false">IF(F4144=0,"NOT FOUND",INDEX('All Song Rankings'!$B:$B,F4144))</f>
        <v>Falling In Reverse, Jelly Roll</v>
      </c>
      <c r="I4144" s="6" t="str">
        <f aca="false">IF(F4144=0,"NOT FOUND",INDEX('All Song Rankings'!$D:$D,F4144))</f>
        <v>Nicole</v>
      </c>
      <c r="J4144" s="7" t="str">
        <f aca="false">IF(F4144=0,"NOT FOUND",IF(C4144=I4144,"SELF-VOTE",IF(COUNTIF($K:$K,K4144)&gt;1,"DUPLICATE","OK")))</f>
        <v>OK</v>
      </c>
      <c r="K4144" s="6" t="str">
        <f aca="false">A4144&amp;"|"&amp;B4144&amp;"|"&amp;C4144&amp;"|"&amp;D4144</f>
        <v>6|6|Kristen|spotify:track:19CCQeIOxxUDcpFw539zd7</v>
      </c>
    </row>
    <row r="4145" customFormat="false" ht="15" hidden="false" customHeight="false" outlineLevel="0" collapsed="false">
      <c r="A4145" s="5" t="n">
        <v>6</v>
      </c>
      <c r="B4145" s="5" t="n">
        <v>6</v>
      </c>
      <c r="C4145" s="5" t="s">
        <v>106</v>
      </c>
      <c r="D4145" s="5" t="s">
        <v>1900</v>
      </c>
      <c r="E4145" s="5" t="n">
        <v>3</v>
      </c>
      <c r="F4145" s="6" t="n">
        <f aca="false">IFERROR(MATCH(A4145&amp;"|"&amp;B4145&amp;"|"&amp;D4145,'All Song Rankings'!$T:$T,0),0)</f>
        <v>628</v>
      </c>
      <c r="G4145" s="6" t="str">
        <f aca="false">IF(F4145=0,"NOT FOUND",INDEX('All Song Rankings'!$A:$A,F4145))</f>
        <v>These Are The Days</v>
      </c>
      <c r="H4145" s="6" t="str">
        <f aca="false">IF(F4145=0,"NOT FOUND",INDEX('All Song Rankings'!$B:$B,F4145))</f>
        <v>Mark Ambor</v>
      </c>
      <c r="I4145" s="6" t="str">
        <f aca="false">IF(F4145=0,"NOT FOUND",INDEX('All Song Rankings'!$D:$D,F4145))</f>
        <v>Makenzie</v>
      </c>
      <c r="J4145" s="7" t="str">
        <f aca="false">IF(F4145=0,"NOT FOUND",IF(C4145=I4145,"SELF-VOTE",IF(COUNTIF($K:$K,K4145)&gt;1,"DUPLICATE","OK")))</f>
        <v>OK</v>
      </c>
      <c r="K4145" s="6" t="str">
        <f aca="false">A4145&amp;"|"&amp;B4145&amp;"|"&amp;C4145&amp;"|"&amp;D4145</f>
        <v>6|6|Kristen|spotify:track:2QVRjz1nWhN8FCAHgnrTE4</v>
      </c>
    </row>
    <row r="4146" customFormat="false" ht="15" hidden="false" customHeight="false" outlineLevel="0" collapsed="false">
      <c r="A4146" s="5" t="n">
        <v>6</v>
      </c>
      <c r="B4146" s="5" t="n">
        <v>6</v>
      </c>
      <c r="C4146" s="5" t="s">
        <v>106</v>
      </c>
      <c r="D4146" s="5" t="s">
        <v>1895</v>
      </c>
      <c r="E4146" s="5" t="n">
        <v>2</v>
      </c>
      <c r="F4146" s="6" t="n">
        <f aca="false">IFERROR(MATCH(A4146&amp;"|"&amp;B4146&amp;"|"&amp;D4146,'All Song Rankings'!$T:$T,0),0)</f>
        <v>626</v>
      </c>
      <c r="G4146" s="6" t="str">
        <f aca="false">IF(F4146=0,"NOT FOUND",INDEX('All Song Rankings'!$A:$A,F4146))</f>
        <v>Grow Up</v>
      </c>
      <c r="H4146" s="6" t="str">
        <f aca="false">IF(F4146=0,"NOT FOUND",INDEX('All Song Rankings'!$B:$B,F4146))</f>
        <v>Late Night Thoughts</v>
      </c>
      <c r="I4146" s="6" t="str">
        <f aca="false">IF(F4146=0,"NOT FOUND",INDEX('All Song Rankings'!$D:$D,F4146))</f>
        <v>Kelsey</v>
      </c>
      <c r="J4146" s="7" t="str">
        <f aca="false">IF(F4146=0,"NOT FOUND",IF(C4146=I4146,"SELF-VOTE",IF(COUNTIF($K:$K,K4146)&gt;1,"DUPLICATE","OK")))</f>
        <v>OK</v>
      </c>
      <c r="K4146" s="6" t="str">
        <f aca="false">A4146&amp;"|"&amp;B4146&amp;"|"&amp;C4146&amp;"|"&amp;D4146</f>
        <v>6|6|Kristen|spotify:track:3Qt3A2x143Eo3PeZb0rRfH</v>
      </c>
    </row>
    <row r="4147" customFormat="false" ht="15" hidden="false" customHeight="false" outlineLevel="0" collapsed="false">
      <c r="A4147" s="5" t="n">
        <v>6</v>
      </c>
      <c r="B4147" s="5" t="n">
        <v>6</v>
      </c>
      <c r="C4147" s="5" t="s">
        <v>106</v>
      </c>
      <c r="D4147" s="5" t="s">
        <v>1466</v>
      </c>
      <c r="E4147" s="5" t="n">
        <v>2</v>
      </c>
      <c r="F4147" s="6" t="n">
        <f aca="false">IFERROR(MATCH(A4147&amp;"|"&amp;B4147&amp;"|"&amp;D4147,'All Song Rankings'!$T:$T,0),0)</f>
        <v>634</v>
      </c>
      <c r="G4147" s="6" t="str">
        <f aca="false">IF(F4147=0,"NOT FOUND",INDEX('All Song Rankings'!$A:$A,F4147))</f>
        <v>Three Little Birds</v>
      </c>
      <c r="H4147" s="6" t="str">
        <f aca="false">IF(F4147=0,"NOT FOUND",INDEX('All Song Rankings'!$B:$B,F4147))</f>
        <v>Bob Marley &amp; The Wailers</v>
      </c>
      <c r="I4147" s="6" t="str">
        <f aca="false">IF(F4147=0,"NOT FOUND",INDEX('All Song Rankings'!$D:$D,F4147))</f>
        <v>Matt</v>
      </c>
      <c r="J4147" s="7" t="str">
        <f aca="false">IF(F4147=0,"NOT FOUND",IF(C4147=I4147,"SELF-VOTE",IF(COUNTIF($K:$K,K4147)&gt;1,"DUPLICATE","OK")))</f>
        <v>OK</v>
      </c>
      <c r="K4147" s="6" t="str">
        <f aca="false">A4147&amp;"|"&amp;B4147&amp;"|"&amp;C4147&amp;"|"&amp;D4147</f>
        <v>6|6|Kristen|spotify:track:7vggqxNKwd6xdRoYS0pQtM</v>
      </c>
    </row>
    <row r="4148" customFormat="false" ht="15" hidden="false" customHeight="false" outlineLevel="0" collapsed="false">
      <c r="A4148" s="5" t="n">
        <v>6</v>
      </c>
      <c r="B4148" s="5" t="n">
        <v>6</v>
      </c>
      <c r="C4148" s="5" t="s">
        <v>119</v>
      </c>
      <c r="D4148" s="5" t="s">
        <v>1897</v>
      </c>
      <c r="E4148" s="5" t="n">
        <v>1</v>
      </c>
      <c r="F4148" s="6" t="n">
        <f aca="false">IFERROR(MATCH(A4148&amp;"|"&amp;B4148&amp;"|"&amp;D4148,'All Song Rankings'!$T:$T,0),0)</f>
        <v>627</v>
      </c>
      <c r="G4148" s="6" t="str">
        <f aca="false">IF(F4148=0,"NOT FOUND",INDEX('All Song Rankings'!$A:$A,F4148))</f>
        <v>Rollin' Right Along</v>
      </c>
      <c r="H4148" s="6" t="str">
        <f aca="false">IF(F4148=0,"NOT FOUND",INDEX('All Song Rankings'!$B:$B,F4148))</f>
        <v>Shawn Mendes</v>
      </c>
      <c r="I4148" s="6" t="str">
        <f aca="false">IF(F4148=0,"NOT FOUND",INDEX('All Song Rankings'!$D:$D,F4148))</f>
        <v>Merita</v>
      </c>
      <c r="J4148" s="7" t="str">
        <f aca="false">IF(F4148=0,"NOT FOUND",IF(C4148=I4148,"SELF-VOTE",IF(COUNTIF($K:$K,K4148)&gt;1,"DUPLICATE","OK")))</f>
        <v>OK</v>
      </c>
      <c r="K4148" s="6" t="str">
        <f aca="false">A4148&amp;"|"&amp;B4148&amp;"|"&amp;C4148&amp;"|"&amp;D4148</f>
        <v>6|6|Leah|spotify:track:0gDIsF458XtmsL67aYqSj7</v>
      </c>
    </row>
    <row r="4149" customFormat="false" ht="15" hidden="false" customHeight="false" outlineLevel="0" collapsed="false">
      <c r="A4149" s="5" t="n">
        <v>6</v>
      </c>
      <c r="B4149" s="5" t="n">
        <v>6</v>
      </c>
      <c r="C4149" s="5" t="s">
        <v>119</v>
      </c>
      <c r="D4149" s="5" t="s">
        <v>1911</v>
      </c>
      <c r="E4149" s="5" t="n">
        <v>1</v>
      </c>
      <c r="F4149" s="6" t="n">
        <f aca="false">IFERROR(MATCH(A4149&amp;"|"&amp;B4149&amp;"|"&amp;D4149,'All Song Rankings'!$T:$T,0),0)</f>
        <v>632</v>
      </c>
      <c r="G4149" s="6" t="str">
        <f aca="false">IF(F4149=0,"NOT FOUND",INDEX('All Song Rankings'!$A:$A,F4149))</f>
        <v>All My Life</v>
      </c>
      <c r="H4149" s="6" t="str">
        <f aca="false">IF(F4149=0,"NOT FOUND",INDEX('All Song Rankings'!$B:$B,F4149))</f>
        <v>Falling In Reverse, Jelly Roll</v>
      </c>
      <c r="I4149" s="6" t="str">
        <f aca="false">IF(F4149=0,"NOT FOUND",INDEX('All Song Rankings'!$D:$D,F4149))</f>
        <v>Nicole</v>
      </c>
      <c r="J4149" s="7" t="str">
        <f aca="false">IF(F4149=0,"NOT FOUND",IF(C4149=I4149,"SELF-VOTE",IF(COUNTIF($K:$K,K4149)&gt;1,"DUPLICATE","OK")))</f>
        <v>OK</v>
      </c>
      <c r="K4149" s="6" t="str">
        <f aca="false">A4149&amp;"|"&amp;B4149&amp;"|"&amp;C4149&amp;"|"&amp;D4149</f>
        <v>6|6|Leah|spotify:track:19CCQeIOxxUDcpFw539zd7</v>
      </c>
    </row>
    <row r="4150" customFormat="false" ht="15" hidden="false" customHeight="false" outlineLevel="0" collapsed="false">
      <c r="A4150" s="5" t="n">
        <v>6</v>
      </c>
      <c r="B4150" s="5" t="n">
        <v>6</v>
      </c>
      <c r="C4150" s="5" t="s">
        <v>119</v>
      </c>
      <c r="D4150" s="5" t="s">
        <v>1906</v>
      </c>
      <c r="E4150" s="5" t="n">
        <v>1</v>
      </c>
      <c r="F4150" s="6" t="n">
        <f aca="false">IFERROR(MATCH(A4150&amp;"|"&amp;B4150&amp;"|"&amp;D4150,'All Song Rankings'!$T:$T,0),0)</f>
        <v>630</v>
      </c>
      <c r="G4150" s="6" t="str">
        <f aca="false">IF(F4150=0,"NOT FOUND",INDEX('All Song Rankings'!$A:$A,F4150))</f>
        <v>You Get What You Give</v>
      </c>
      <c r="H4150" s="6" t="str">
        <f aca="false">IF(F4150=0,"NOT FOUND",INDEX('All Song Rankings'!$B:$B,F4150))</f>
        <v>New Radicals</v>
      </c>
      <c r="I4150" s="6" t="str">
        <f aca="false">IF(F4150=0,"NOT FOUND",INDEX('All Song Rankings'!$D:$D,F4150))</f>
        <v>Stephanie</v>
      </c>
      <c r="J4150" s="7" t="str">
        <f aca="false">IF(F4150=0,"NOT FOUND",IF(C4150=I4150,"SELF-VOTE",IF(COUNTIF($K:$K,K4150)&gt;1,"DUPLICATE","OK")))</f>
        <v>OK</v>
      </c>
      <c r="K4150" s="6" t="str">
        <f aca="false">A4150&amp;"|"&amp;B4150&amp;"|"&amp;C4150&amp;"|"&amp;D4150</f>
        <v>6|6|Leah|spotify:track:1Cwsd5xI8CajJz795oy4XF</v>
      </c>
    </row>
    <row r="4151" customFormat="false" ht="15" hidden="false" customHeight="false" outlineLevel="0" collapsed="false">
      <c r="A4151" s="5" t="n">
        <v>6</v>
      </c>
      <c r="B4151" s="5" t="n">
        <v>6</v>
      </c>
      <c r="C4151" s="5" t="s">
        <v>119</v>
      </c>
      <c r="D4151" s="5" t="s">
        <v>1900</v>
      </c>
      <c r="E4151" s="5" t="n">
        <v>1</v>
      </c>
      <c r="F4151" s="6" t="n">
        <f aca="false">IFERROR(MATCH(A4151&amp;"|"&amp;B4151&amp;"|"&amp;D4151,'All Song Rankings'!$T:$T,0),0)</f>
        <v>628</v>
      </c>
      <c r="G4151" s="6" t="str">
        <f aca="false">IF(F4151=0,"NOT FOUND",INDEX('All Song Rankings'!$A:$A,F4151))</f>
        <v>These Are The Days</v>
      </c>
      <c r="H4151" s="6" t="str">
        <f aca="false">IF(F4151=0,"NOT FOUND",INDEX('All Song Rankings'!$B:$B,F4151))</f>
        <v>Mark Ambor</v>
      </c>
      <c r="I4151" s="6" t="str">
        <f aca="false">IF(F4151=0,"NOT FOUND",INDEX('All Song Rankings'!$D:$D,F4151))</f>
        <v>Makenzie</v>
      </c>
      <c r="J4151" s="7" t="str">
        <f aca="false">IF(F4151=0,"NOT FOUND",IF(C4151=I4151,"SELF-VOTE",IF(COUNTIF($K:$K,K4151)&gt;1,"DUPLICATE","OK")))</f>
        <v>OK</v>
      </c>
      <c r="K4151" s="6" t="str">
        <f aca="false">A4151&amp;"|"&amp;B4151&amp;"|"&amp;C4151&amp;"|"&amp;D4151</f>
        <v>6|6|Leah|spotify:track:2QVRjz1nWhN8FCAHgnrTE4</v>
      </c>
    </row>
    <row r="4152" customFormat="false" ht="15" hidden="false" customHeight="false" outlineLevel="0" collapsed="false">
      <c r="A4152" s="5" t="n">
        <v>6</v>
      </c>
      <c r="B4152" s="5" t="n">
        <v>6</v>
      </c>
      <c r="C4152" s="5" t="s">
        <v>119</v>
      </c>
      <c r="D4152" s="5" t="s">
        <v>1895</v>
      </c>
      <c r="E4152" s="5" t="n">
        <v>3</v>
      </c>
      <c r="F4152" s="6" t="n">
        <f aca="false">IFERROR(MATCH(A4152&amp;"|"&amp;B4152&amp;"|"&amp;D4152,'All Song Rankings'!$T:$T,0),0)</f>
        <v>626</v>
      </c>
      <c r="G4152" s="6" t="str">
        <f aca="false">IF(F4152=0,"NOT FOUND",INDEX('All Song Rankings'!$A:$A,F4152))</f>
        <v>Grow Up</v>
      </c>
      <c r="H4152" s="6" t="str">
        <f aca="false">IF(F4152=0,"NOT FOUND",INDEX('All Song Rankings'!$B:$B,F4152))</f>
        <v>Late Night Thoughts</v>
      </c>
      <c r="I4152" s="6" t="str">
        <f aca="false">IF(F4152=0,"NOT FOUND",INDEX('All Song Rankings'!$D:$D,F4152))</f>
        <v>Kelsey</v>
      </c>
      <c r="J4152" s="7" t="str">
        <f aca="false">IF(F4152=0,"NOT FOUND",IF(C4152=I4152,"SELF-VOTE",IF(COUNTIF($K:$K,K4152)&gt;1,"DUPLICATE","OK")))</f>
        <v>OK</v>
      </c>
      <c r="K4152" s="6" t="str">
        <f aca="false">A4152&amp;"|"&amp;B4152&amp;"|"&amp;C4152&amp;"|"&amp;D4152</f>
        <v>6|6|Leah|spotify:track:3Qt3A2x143Eo3PeZb0rRfH</v>
      </c>
    </row>
    <row r="4153" customFormat="false" ht="15" hidden="false" customHeight="false" outlineLevel="0" collapsed="false">
      <c r="A4153" s="5" t="n">
        <v>6</v>
      </c>
      <c r="B4153" s="5" t="n">
        <v>6</v>
      </c>
      <c r="C4153" s="5" t="s">
        <v>119</v>
      </c>
      <c r="D4153" s="5" t="s">
        <v>1919</v>
      </c>
      <c r="E4153" s="5" t="n">
        <v>1</v>
      </c>
      <c r="F4153" s="6" t="n">
        <f aca="false">IFERROR(MATCH(A4153&amp;"|"&amp;B4153&amp;"|"&amp;D4153,'All Song Rankings'!$T:$T,0),0)</f>
        <v>636</v>
      </c>
      <c r="G4153" s="6" t="str">
        <f aca="false">IF(F4153=0,"NOT FOUND",INDEX('All Song Rankings'!$A:$A,F4153))</f>
        <v>Sheep Go To Heaven</v>
      </c>
      <c r="H4153" s="6" t="str">
        <f aca="false">IF(F4153=0,"NOT FOUND",INDEX('All Song Rankings'!$B:$B,F4153))</f>
        <v>CAKE</v>
      </c>
      <c r="I4153" s="6" t="str">
        <f aca="false">IF(F4153=0,"NOT FOUND",INDEX('All Song Rankings'!$D:$D,F4153))</f>
        <v>Kristen</v>
      </c>
      <c r="J4153" s="7" t="str">
        <f aca="false">IF(F4153=0,"NOT FOUND",IF(C4153=I4153,"SELF-VOTE",IF(COUNTIF($K:$K,K4153)&gt;1,"DUPLICATE","OK")))</f>
        <v>OK</v>
      </c>
      <c r="K4153" s="6" t="str">
        <f aca="false">A4153&amp;"|"&amp;B4153&amp;"|"&amp;C4153&amp;"|"&amp;D4153</f>
        <v>6|6|Leah|spotify:track:4G8Eu3EDQZYhHPfJMFCv8V</v>
      </c>
    </row>
    <row r="4154" customFormat="false" ht="15" hidden="false" customHeight="false" outlineLevel="0" collapsed="false">
      <c r="A4154" s="5" t="n">
        <v>6</v>
      </c>
      <c r="B4154" s="5" t="n">
        <v>6</v>
      </c>
      <c r="C4154" s="5" t="s">
        <v>119</v>
      </c>
      <c r="D4154" s="5" t="s">
        <v>1908</v>
      </c>
      <c r="E4154" s="5" t="n">
        <v>1</v>
      </c>
      <c r="F4154" s="6" t="n">
        <f aca="false">IFERROR(MATCH(A4154&amp;"|"&amp;B4154&amp;"|"&amp;D4154,'All Song Rankings'!$T:$T,0),0)</f>
        <v>631</v>
      </c>
      <c r="G4154" s="6" t="str">
        <f aca="false">IF(F4154=0,"NOT FOUND",INDEX('All Song Rankings'!$A:$A,F4154))</f>
        <v>Thankful</v>
      </c>
      <c r="H4154" s="6" t="str">
        <f aca="false">IF(F4154=0,"NOT FOUND",INDEX('All Song Rankings'!$B:$B,F4154))</f>
        <v>New Kids On The Block</v>
      </c>
      <c r="I4154" s="6" t="str">
        <f aca="false">IF(F4154=0,"NOT FOUND",INDEX('All Song Rankings'!$D:$D,F4154))</f>
        <v>Christine</v>
      </c>
      <c r="J4154" s="7" t="str">
        <f aca="false">IF(F4154=0,"NOT FOUND",IF(C4154=I4154,"SELF-VOTE",IF(COUNTIF($K:$K,K4154)&gt;1,"DUPLICATE","OK")))</f>
        <v>OK</v>
      </c>
      <c r="K4154" s="6" t="str">
        <f aca="false">A4154&amp;"|"&amp;B4154&amp;"|"&amp;C4154&amp;"|"&amp;D4154</f>
        <v>6|6|Leah|spotify:track:5eVNpfTi4H5h12p3LGFyWD</v>
      </c>
    </row>
    <row r="4155" customFormat="false" ht="15" hidden="false" customHeight="false" outlineLevel="0" collapsed="false">
      <c r="A4155" s="5" t="n">
        <v>6</v>
      </c>
      <c r="B4155" s="5" t="n">
        <v>6</v>
      </c>
      <c r="C4155" s="5" t="s">
        <v>119</v>
      </c>
      <c r="D4155" s="5" t="s">
        <v>1466</v>
      </c>
      <c r="E4155" s="5" t="n">
        <v>1</v>
      </c>
      <c r="F4155" s="6" t="n">
        <f aca="false">IFERROR(MATCH(A4155&amp;"|"&amp;B4155&amp;"|"&amp;D4155,'All Song Rankings'!$T:$T,0),0)</f>
        <v>634</v>
      </c>
      <c r="G4155" s="6" t="str">
        <f aca="false">IF(F4155=0,"NOT FOUND",INDEX('All Song Rankings'!$A:$A,F4155))</f>
        <v>Three Little Birds</v>
      </c>
      <c r="H4155" s="6" t="str">
        <f aca="false">IF(F4155=0,"NOT FOUND",INDEX('All Song Rankings'!$B:$B,F4155))</f>
        <v>Bob Marley &amp; The Wailers</v>
      </c>
      <c r="I4155" s="6" t="str">
        <f aca="false">IF(F4155=0,"NOT FOUND",INDEX('All Song Rankings'!$D:$D,F4155))</f>
        <v>Matt</v>
      </c>
      <c r="J4155" s="7" t="str">
        <f aca="false">IF(F4155=0,"NOT FOUND",IF(C4155=I4155,"SELF-VOTE",IF(COUNTIF($K:$K,K4155)&gt;1,"DUPLICATE","OK")))</f>
        <v>OK</v>
      </c>
      <c r="K4155" s="6" t="str">
        <f aca="false">A4155&amp;"|"&amp;B4155&amp;"|"&amp;C4155&amp;"|"&amp;D4155</f>
        <v>6|6|Leah|spotify:track:7vggqxNKwd6xdRoYS0pQtM</v>
      </c>
    </row>
    <row r="4156" customFormat="false" ht="15" hidden="false" customHeight="false" outlineLevel="0" collapsed="false">
      <c r="A4156" s="5" t="n">
        <v>6</v>
      </c>
      <c r="B4156" s="5" t="n">
        <v>6</v>
      </c>
      <c r="C4156" s="5" t="s">
        <v>705</v>
      </c>
      <c r="D4156" s="5" t="s">
        <v>1897</v>
      </c>
      <c r="E4156" s="5" t="n">
        <v>1</v>
      </c>
      <c r="F4156" s="6" t="n">
        <f aca="false">IFERROR(MATCH(A4156&amp;"|"&amp;B4156&amp;"|"&amp;D4156,'All Song Rankings'!$T:$T,0),0)</f>
        <v>627</v>
      </c>
      <c r="G4156" s="6" t="str">
        <f aca="false">IF(F4156=0,"NOT FOUND",INDEX('All Song Rankings'!$A:$A,F4156))</f>
        <v>Rollin' Right Along</v>
      </c>
      <c r="H4156" s="6" t="str">
        <f aca="false">IF(F4156=0,"NOT FOUND",INDEX('All Song Rankings'!$B:$B,F4156))</f>
        <v>Shawn Mendes</v>
      </c>
      <c r="I4156" s="6" t="str">
        <f aca="false">IF(F4156=0,"NOT FOUND",INDEX('All Song Rankings'!$D:$D,F4156))</f>
        <v>Merita</v>
      </c>
      <c r="J4156" s="7" t="str">
        <f aca="false">IF(F4156=0,"NOT FOUND",IF(C4156=I4156,"SELF-VOTE",IF(COUNTIF($K:$K,K4156)&gt;1,"DUPLICATE","OK")))</f>
        <v>OK</v>
      </c>
      <c r="K4156" s="6" t="str">
        <f aca="false">A4156&amp;"|"&amp;B4156&amp;"|"&amp;C4156&amp;"|"&amp;D4156</f>
        <v>6|6|Lisa|spotify:track:0gDIsF458XtmsL67aYqSj7</v>
      </c>
    </row>
    <row r="4157" customFormat="false" ht="15" hidden="false" customHeight="false" outlineLevel="0" collapsed="false">
      <c r="A4157" s="5" t="n">
        <v>6</v>
      </c>
      <c r="B4157" s="5" t="n">
        <v>6</v>
      </c>
      <c r="C4157" s="5" t="s">
        <v>705</v>
      </c>
      <c r="D4157" s="5" t="s">
        <v>1906</v>
      </c>
      <c r="E4157" s="5" t="n">
        <v>1</v>
      </c>
      <c r="F4157" s="6" t="n">
        <f aca="false">IFERROR(MATCH(A4157&amp;"|"&amp;B4157&amp;"|"&amp;D4157,'All Song Rankings'!$T:$T,0),0)</f>
        <v>630</v>
      </c>
      <c r="G4157" s="6" t="str">
        <f aca="false">IF(F4157=0,"NOT FOUND",INDEX('All Song Rankings'!$A:$A,F4157))</f>
        <v>You Get What You Give</v>
      </c>
      <c r="H4157" s="6" t="str">
        <f aca="false">IF(F4157=0,"NOT FOUND",INDEX('All Song Rankings'!$B:$B,F4157))</f>
        <v>New Radicals</v>
      </c>
      <c r="I4157" s="6" t="str">
        <f aca="false">IF(F4157=0,"NOT FOUND",INDEX('All Song Rankings'!$D:$D,F4157))</f>
        <v>Stephanie</v>
      </c>
      <c r="J4157" s="7" t="str">
        <f aca="false">IF(F4157=0,"NOT FOUND",IF(C4157=I4157,"SELF-VOTE",IF(COUNTIF($K:$K,K4157)&gt;1,"DUPLICATE","OK")))</f>
        <v>OK</v>
      </c>
      <c r="K4157" s="6" t="str">
        <f aca="false">A4157&amp;"|"&amp;B4157&amp;"|"&amp;C4157&amp;"|"&amp;D4157</f>
        <v>6|6|Lisa|spotify:track:1Cwsd5xI8CajJz795oy4XF</v>
      </c>
    </row>
    <row r="4158" customFormat="false" ht="15" hidden="false" customHeight="false" outlineLevel="0" collapsed="false">
      <c r="A4158" s="5" t="n">
        <v>6</v>
      </c>
      <c r="B4158" s="5" t="n">
        <v>6</v>
      </c>
      <c r="C4158" s="5" t="s">
        <v>705</v>
      </c>
      <c r="D4158" s="5" t="s">
        <v>1900</v>
      </c>
      <c r="E4158" s="5" t="n">
        <v>1</v>
      </c>
      <c r="F4158" s="6" t="n">
        <f aca="false">IFERROR(MATCH(A4158&amp;"|"&amp;B4158&amp;"|"&amp;D4158,'All Song Rankings'!$T:$T,0),0)</f>
        <v>628</v>
      </c>
      <c r="G4158" s="6" t="str">
        <f aca="false">IF(F4158=0,"NOT FOUND",INDEX('All Song Rankings'!$A:$A,F4158))</f>
        <v>These Are The Days</v>
      </c>
      <c r="H4158" s="6" t="str">
        <f aca="false">IF(F4158=0,"NOT FOUND",INDEX('All Song Rankings'!$B:$B,F4158))</f>
        <v>Mark Ambor</v>
      </c>
      <c r="I4158" s="6" t="str">
        <f aca="false">IF(F4158=0,"NOT FOUND",INDEX('All Song Rankings'!$D:$D,F4158))</f>
        <v>Makenzie</v>
      </c>
      <c r="J4158" s="7" t="str">
        <f aca="false">IF(F4158=0,"NOT FOUND",IF(C4158=I4158,"SELF-VOTE",IF(COUNTIF($K:$K,K4158)&gt;1,"DUPLICATE","OK")))</f>
        <v>OK</v>
      </c>
      <c r="K4158" s="6" t="str">
        <f aca="false">A4158&amp;"|"&amp;B4158&amp;"|"&amp;C4158&amp;"|"&amp;D4158</f>
        <v>6|6|Lisa|spotify:track:2QVRjz1nWhN8FCAHgnrTE4</v>
      </c>
    </row>
    <row r="4159" customFormat="false" ht="15" hidden="false" customHeight="false" outlineLevel="0" collapsed="false">
      <c r="A4159" s="5" t="n">
        <v>6</v>
      </c>
      <c r="B4159" s="5" t="n">
        <v>6</v>
      </c>
      <c r="C4159" s="5" t="s">
        <v>705</v>
      </c>
      <c r="D4159" s="5" t="s">
        <v>1903</v>
      </c>
      <c r="E4159" s="5" t="n">
        <v>1</v>
      </c>
      <c r="F4159" s="6" t="n">
        <f aca="false">IFERROR(MATCH(A4159&amp;"|"&amp;B4159&amp;"|"&amp;D4159,'All Song Rankings'!$T:$T,0),0)</f>
        <v>629</v>
      </c>
      <c r="G4159" s="6" t="str">
        <f aca="false">IF(F4159=0,"NOT FOUND",INDEX('All Song Rankings'!$A:$A,F4159))</f>
        <v>Why Worry</v>
      </c>
      <c r="H4159" s="6" t="str">
        <f aca="false">IF(F4159=0,"NOT FOUND",INDEX('All Song Rankings'!$B:$B,F4159))</f>
        <v>Set It Off</v>
      </c>
      <c r="I4159" s="6" t="str">
        <f aca="false">IF(F4159=0,"NOT FOUND",INDEX('All Song Rankings'!$D:$D,F4159))</f>
        <v>Leah</v>
      </c>
      <c r="J4159" s="7" t="str">
        <f aca="false">IF(F4159=0,"NOT FOUND",IF(C4159=I4159,"SELF-VOTE",IF(COUNTIF($K:$K,K4159)&gt;1,"DUPLICATE","OK")))</f>
        <v>OK</v>
      </c>
      <c r="K4159" s="6" t="str">
        <f aca="false">A4159&amp;"|"&amp;B4159&amp;"|"&amp;C4159&amp;"|"&amp;D4159</f>
        <v>6|6|Lisa|spotify:track:39ShyO1yBCiEoEXHX9ie0F</v>
      </c>
    </row>
    <row r="4160" customFormat="false" ht="15" hidden="false" customHeight="false" outlineLevel="0" collapsed="false">
      <c r="A4160" s="5" t="n">
        <v>6</v>
      </c>
      <c r="B4160" s="5" t="n">
        <v>6</v>
      </c>
      <c r="C4160" s="5" t="s">
        <v>705</v>
      </c>
      <c r="D4160" s="5" t="s">
        <v>1895</v>
      </c>
      <c r="E4160" s="5" t="n">
        <v>2</v>
      </c>
      <c r="F4160" s="6" t="n">
        <f aca="false">IFERROR(MATCH(A4160&amp;"|"&amp;B4160&amp;"|"&amp;D4160,'All Song Rankings'!$T:$T,0),0)</f>
        <v>626</v>
      </c>
      <c r="G4160" s="6" t="str">
        <f aca="false">IF(F4160=0,"NOT FOUND",INDEX('All Song Rankings'!$A:$A,F4160))</f>
        <v>Grow Up</v>
      </c>
      <c r="H4160" s="6" t="str">
        <f aca="false">IF(F4160=0,"NOT FOUND",INDEX('All Song Rankings'!$B:$B,F4160))</f>
        <v>Late Night Thoughts</v>
      </c>
      <c r="I4160" s="6" t="str">
        <f aca="false">IF(F4160=0,"NOT FOUND",INDEX('All Song Rankings'!$D:$D,F4160))</f>
        <v>Kelsey</v>
      </c>
      <c r="J4160" s="7" t="str">
        <f aca="false">IF(F4160=0,"NOT FOUND",IF(C4160=I4160,"SELF-VOTE",IF(COUNTIF($K:$K,K4160)&gt;1,"DUPLICATE","OK")))</f>
        <v>OK</v>
      </c>
      <c r="K4160" s="6" t="str">
        <f aca="false">A4160&amp;"|"&amp;B4160&amp;"|"&amp;C4160&amp;"|"&amp;D4160</f>
        <v>6|6|Lisa|spotify:track:3Qt3A2x143Eo3PeZb0rRfH</v>
      </c>
    </row>
    <row r="4161" customFormat="false" ht="15" hidden="false" customHeight="false" outlineLevel="0" collapsed="false">
      <c r="A4161" s="5" t="n">
        <v>6</v>
      </c>
      <c r="B4161" s="5" t="n">
        <v>6</v>
      </c>
      <c r="C4161" s="5" t="s">
        <v>705</v>
      </c>
      <c r="D4161" s="5" t="s">
        <v>1922</v>
      </c>
      <c r="E4161" s="5" t="n">
        <v>2</v>
      </c>
      <c r="F4161" s="6" t="n">
        <f aca="false">IFERROR(MATCH(A4161&amp;"|"&amp;B4161&amp;"|"&amp;D4161,'All Song Rankings'!$T:$T,0),0)</f>
        <v>637</v>
      </c>
      <c r="G4161" s="6" t="str">
        <f aca="false">IF(F4161=0,"NOT FOUND",INDEX('All Song Rankings'!$A:$A,F4161))</f>
        <v>Perfect Day</v>
      </c>
      <c r="H4161" s="6" t="str">
        <f aca="false">IF(F4161=0,"NOT FOUND",INDEX('All Song Rankings'!$B:$B,F4161))</f>
        <v>Hoku</v>
      </c>
      <c r="I4161" s="6" t="str">
        <f aca="false">IF(F4161=0,"NOT FOUND",INDEX('All Song Rankings'!$D:$D,F4161))</f>
        <v>Colleen</v>
      </c>
      <c r="J4161" s="7" t="str">
        <f aca="false">IF(F4161=0,"NOT FOUND",IF(C4161=I4161,"SELF-VOTE",IF(COUNTIF($K:$K,K4161)&gt;1,"DUPLICATE","OK")))</f>
        <v>OK</v>
      </c>
      <c r="K4161" s="6" t="str">
        <f aca="false">A4161&amp;"|"&amp;B4161&amp;"|"&amp;C4161&amp;"|"&amp;D4161</f>
        <v>6|6|Lisa|spotify:track:4pMyfWdA0eo3JY5RqMotbw</v>
      </c>
    </row>
    <row r="4162" customFormat="false" ht="15" hidden="false" customHeight="false" outlineLevel="0" collapsed="false">
      <c r="A4162" s="5" t="n">
        <v>6</v>
      </c>
      <c r="B4162" s="5" t="n">
        <v>6</v>
      </c>
      <c r="C4162" s="5" t="s">
        <v>705</v>
      </c>
      <c r="D4162" s="5" t="s">
        <v>1908</v>
      </c>
      <c r="E4162" s="5" t="n">
        <v>2</v>
      </c>
      <c r="F4162" s="6" t="n">
        <f aca="false">IFERROR(MATCH(A4162&amp;"|"&amp;B4162&amp;"|"&amp;D4162,'All Song Rankings'!$T:$T,0),0)</f>
        <v>631</v>
      </c>
      <c r="G4162" s="6" t="str">
        <f aca="false">IF(F4162=0,"NOT FOUND",INDEX('All Song Rankings'!$A:$A,F4162))</f>
        <v>Thankful</v>
      </c>
      <c r="H4162" s="6" t="str">
        <f aca="false">IF(F4162=0,"NOT FOUND",INDEX('All Song Rankings'!$B:$B,F4162))</f>
        <v>New Kids On The Block</v>
      </c>
      <c r="I4162" s="6" t="str">
        <f aca="false">IF(F4162=0,"NOT FOUND",INDEX('All Song Rankings'!$D:$D,F4162))</f>
        <v>Christine</v>
      </c>
      <c r="J4162" s="7" t="str">
        <f aca="false">IF(F4162=0,"NOT FOUND",IF(C4162=I4162,"SELF-VOTE",IF(COUNTIF($K:$K,K4162)&gt;1,"DUPLICATE","OK")))</f>
        <v>OK</v>
      </c>
      <c r="K4162" s="6" t="str">
        <f aca="false">A4162&amp;"|"&amp;B4162&amp;"|"&amp;C4162&amp;"|"&amp;D4162</f>
        <v>6|6|Lisa|spotify:track:5eVNpfTi4H5h12p3LGFyWD</v>
      </c>
    </row>
    <row r="4163" customFormat="false" ht="15" hidden="false" customHeight="false" outlineLevel="0" collapsed="false">
      <c r="A4163" s="5" t="n">
        <v>6</v>
      </c>
      <c r="B4163" s="5" t="n">
        <v>6</v>
      </c>
      <c r="C4163" s="5" t="s">
        <v>128</v>
      </c>
      <c r="D4163" s="5" t="s">
        <v>1897</v>
      </c>
      <c r="E4163" s="5" t="n">
        <v>1</v>
      </c>
      <c r="F4163" s="6" t="n">
        <f aca="false">IFERROR(MATCH(A4163&amp;"|"&amp;B4163&amp;"|"&amp;D4163,'All Song Rankings'!$T:$T,0),0)</f>
        <v>627</v>
      </c>
      <c r="G4163" s="6" t="str">
        <f aca="false">IF(F4163=0,"NOT FOUND",INDEX('All Song Rankings'!$A:$A,F4163))</f>
        <v>Rollin' Right Along</v>
      </c>
      <c r="H4163" s="6" t="str">
        <f aca="false">IF(F4163=0,"NOT FOUND",INDEX('All Song Rankings'!$B:$B,F4163))</f>
        <v>Shawn Mendes</v>
      </c>
      <c r="I4163" s="6" t="str">
        <f aca="false">IF(F4163=0,"NOT FOUND",INDEX('All Song Rankings'!$D:$D,F4163))</f>
        <v>Merita</v>
      </c>
      <c r="J4163" s="7" t="str">
        <f aca="false">IF(F4163=0,"NOT FOUND",IF(C4163=I4163,"SELF-VOTE",IF(COUNTIF($K:$K,K4163)&gt;1,"DUPLICATE","OK")))</f>
        <v>OK</v>
      </c>
      <c r="K4163" s="6" t="str">
        <f aca="false">A4163&amp;"|"&amp;B4163&amp;"|"&amp;C4163&amp;"|"&amp;D4163</f>
        <v>6|6|Logan|spotify:track:0gDIsF458XtmsL67aYqSj7</v>
      </c>
    </row>
    <row r="4164" customFormat="false" ht="15" hidden="false" customHeight="false" outlineLevel="0" collapsed="false">
      <c r="A4164" s="5" t="n">
        <v>6</v>
      </c>
      <c r="B4164" s="5" t="n">
        <v>6</v>
      </c>
      <c r="C4164" s="5" t="s">
        <v>128</v>
      </c>
      <c r="D4164" s="5" t="s">
        <v>1906</v>
      </c>
      <c r="E4164" s="5" t="n">
        <v>1</v>
      </c>
      <c r="F4164" s="6" t="n">
        <f aca="false">IFERROR(MATCH(A4164&amp;"|"&amp;B4164&amp;"|"&amp;D4164,'All Song Rankings'!$T:$T,0),0)</f>
        <v>630</v>
      </c>
      <c r="G4164" s="6" t="str">
        <f aca="false">IF(F4164=0,"NOT FOUND",INDEX('All Song Rankings'!$A:$A,F4164))</f>
        <v>You Get What You Give</v>
      </c>
      <c r="H4164" s="6" t="str">
        <f aca="false">IF(F4164=0,"NOT FOUND",INDEX('All Song Rankings'!$B:$B,F4164))</f>
        <v>New Radicals</v>
      </c>
      <c r="I4164" s="6" t="str">
        <f aca="false">IF(F4164=0,"NOT FOUND",INDEX('All Song Rankings'!$D:$D,F4164))</f>
        <v>Stephanie</v>
      </c>
      <c r="J4164" s="7" t="str">
        <f aca="false">IF(F4164=0,"NOT FOUND",IF(C4164=I4164,"SELF-VOTE",IF(COUNTIF($K:$K,K4164)&gt;1,"DUPLICATE","OK")))</f>
        <v>OK</v>
      </c>
      <c r="K4164" s="6" t="str">
        <f aca="false">A4164&amp;"|"&amp;B4164&amp;"|"&amp;C4164&amp;"|"&amp;D4164</f>
        <v>6|6|Logan|spotify:track:1Cwsd5xI8CajJz795oy4XF</v>
      </c>
    </row>
    <row r="4165" customFormat="false" ht="15" hidden="false" customHeight="false" outlineLevel="0" collapsed="false">
      <c r="A4165" s="5" t="n">
        <v>6</v>
      </c>
      <c r="B4165" s="5" t="n">
        <v>6</v>
      </c>
      <c r="C4165" s="5" t="s">
        <v>128</v>
      </c>
      <c r="D4165" s="5" t="s">
        <v>1903</v>
      </c>
      <c r="E4165" s="5" t="n">
        <v>1</v>
      </c>
      <c r="F4165" s="6" t="n">
        <f aca="false">IFERROR(MATCH(A4165&amp;"|"&amp;B4165&amp;"|"&amp;D4165,'All Song Rankings'!$T:$T,0),0)</f>
        <v>629</v>
      </c>
      <c r="G4165" s="6" t="str">
        <f aca="false">IF(F4165=0,"NOT FOUND",INDEX('All Song Rankings'!$A:$A,F4165))</f>
        <v>Why Worry</v>
      </c>
      <c r="H4165" s="6" t="str">
        <f aca="false">IF(F4165=0,"NOT FOUND",INDEX('All Song Rankings'!$B:$B,F4165))</f>
        <v>Set It Off</v>
      </c>
      <c r="I4165" s="6" t="str">
        <f aca="false">IF(F4165=0,"NOT FOUND",INDEX('All Song Rankings'!$D:$D,F4165))</f>
        <v>Leah</v>
      </c>
      <c r="J4165" s="7" t="str">
        <f aca="false">IF(F4165=0,"NOT FOUND",IF(C4165=I4165,"SELF-VOTE",IF(COUNTIF($K:$K,K4165)&gt;1,"DUPLICATE","OK")))</f>
        <v>OK</v>
      </c>
      <c r="K4165" s="6" t="str">
        <f aca="false">A4165&amp;"|"&amp;B4165&amp;"|"&amp;C4165&amp;"|"&amp;D4165</f>
        <v>6|6|Logan|spotify:track:39ShyO1yBCiEoEXHX9ie0F</v>
      </c>
    </row>
    <row r="4166" customFormat="false" ht="15" hidden="false" customHeight="false" outlineLevel="0" collapsed="false">
      <c r="A4166" s="5" t="n">
        <v>6</v>
      </c>
      <c r="B4166" s="5" t="n">
        <v>6</v>
      </c>
      <c r="C4166" s="5" t="s">
        <v>128</v>
      </c>
      <c r="D4166" s="5" t="s">
        <v>1895</v>
      </c>
      <c r="E4166" s="5" t="n">
        <v>2</v>
      </c>
      <c r="F4166" s="6" t="n">
        <f aca="false">IFERROR(MATCH(A4166&amp;"|"&amp;B4166&amp;"|"&amp;D4166,'All Song Rankings'!$T:$T,0),0)</f>
        <v>626</v>
      </c>
      <c r="G4166" s="6" t="str">
        <f aca="false">IF(F4166=0,"NOT FOUND",INDEX('All Song Rankings'!$A:$A,F4166))</f>
        <v>Grow Up</v>
      </c>
      <c r="H4166" s="6" t="str">
        <f aca="false">IF(F4166=0,"NOT FOUND",INDEX('All Song Rankings'!$B:$B,F4166))</f>
        <v>Late Night Thoughts</v>
      </c>
      <c r="I4166" s="6" t="str">
        <f aca="false">IF(F4166=0,"NOT FOUND",INDEX('All Song Rankings'!$D:$D,F4166))</f>
        <v>Kelsey</v>
      </c>
      <c r="J4166" s="7" t="str">
        <f aca="false">IF(F4166=0,"NOT FOUND",IF(C4166=I4166,"SELF-VOTE",IF(COUNTIF($K:$K,K4166)&gt;1,"DUPLICATE","OK")))</f>
        <v>OK</v>
      </c>
      <c r="K4166" s="6" t="str">
        <f aca="false">A4166&amp;"|"&amp;B4166&amp;"|"&amp;C4166&amp;"|"&amp;D4166</f>
        <v>6|6|Logan|spotify:track:3Qt3A2x143Eo3PeZb0rRfH</v>
      </c>
    </row>
    <row r="4167" customFormat="false" ht="15" hidden="false" customHeight="false" outlineLevel="0" collapsed="false">
      <c r="A4167" s="5" t="n">
        <v>6</v>
      </c>
      <c r="B4167" s="5" t="n">
        <v>6</v>
      </c>
      <c r="C4167" s="5" t="s">
        <v>128</v>
      </c>
      <c r="D4167" s="5" t="s">
        <v>1922</v>
      </c>
      <c r="E4167" s="5" t="n">
        <v>3</v>
      </c>
      <c r="F4167" s="6" t="n">
        <f aca="false">IFERROR(MATCH(A4167&amp;"|"&amp;B4167&amp;"|"&amp;D4167,'All Song Rankings'!$T:$T,0),0)</f>
        <v>637</v>
      </c>
      <c r="G4167" s="6" t="str">
        <f aca="false">IF(F4167=0,"NOT FOUND",INDEX('All Song Rankings'!$A:$A,F4167))</f>
        <v>Perfect Day</v>
      </c>
      <c r="H4167" s="6" t="str">
        <f aca="false">IF(F4167=0,"NOT FOUND",INDEX('All Song Rankings'!$B:$B,F4167))</f>
        <v>Hoku</v>
      </c>
      <c r="I4167" s="6" t="str">
        <f aca="false">IF(F4167=0,"NOT FOUND",INDEX('All Song Rankings'!$D:$D,F4167))</f>
        <v>Colleen</v>
      </c>
      <c r="J4167" s="7" t="str">
        <f aca="false">IF(F4167=0,"NOT FOUND",IF(C4167=I4167,"SELF-VOTE",IF(COUNTIF($K:$K,K4167)&gt;1,"DUPLICATE","OK")))</f>
        <v>OK</v>
      </c>
      <c r="K4167" s="6" t="str">
        <f aca="false">A4167&amp;"|"&amp;B4167&amp;"|"&amp;C4167&amp;"|"&amp;D4167</f>
        <v>6|6|Logan|spotify:track:4pMyfWdA0eo3JY5RqMotbw</v>
      </c>
    </row>
    <row r="4168" customFormat="false" ht="15" hidden="false" customHeight="false" outlineLevel="0" collapsed="false">
      <c r="A4168" s="5" t="n">
        <v>6</v>
      </c>
      <c r="B4168" s="5" t="n">
        <v>6</v>
      </c>
      <c r="C4168" s="5" t="s">
        <v>128</v>
      </c>
      <c r="D4168" s="5" t="s">
        <v>1908</v>
      </c>
      <c r="E4168" s="5" t="n">
        <v>1</v>
      </c>
      <c r="F4168" s="6" t="n">
        <f aca="false">IFERROR(MATCH(A4168&amp;"|"&amp;B4168&amp;"|"&amp;D4168,'All Song Rankings'!$T:$T,0),0)</f>
        <v>631</v>
      </c>
      <c r="G4168" s="6" t="str">
        <f aca="false">IF(F4168=0,"NOT FOUND",INDEX('All Song Rankings'!$A:$A,F4168))</f>
        <v>Thankful</v>
      </c>
      <c r="H4168" s="6" t="str">
        <f aca="false">IF(F4168=0,"NOT FOUND",INDEX('All Song Rankings'!$B:$B,F4168))</f>
        <v>New Kids On The Block</v>
      </c>
      <c r="I4168" s="6" t="str">
        <f aca="false">IF(F4168=0,"NOT FOUND",INDEX('All Song Rankings'!$D:$D,F4168))</f>
        <v>Christine</v>
      </c>
      <c r="J4168" s="7" t="str">
        <f aca="false">IF(F4168=0,"NOT FOUND",IF(C4168=I4168,"SELF-VOTE",IF(COUNTIF($K:$K,K4168)&gt;1,"DUPLICATE","OK")))</f>
        <v>OK</v>
      </c>
      <c r="K4168" s="6" t="str">
        <f aca="false">A4168&amp;"|"&amp;B4168&amp;"|"&amp;C4168&amp;"|"&amp;D4168</f>
        <v>6|6|Logan|spotify:track:5eVNpfTi4H5h12p3LGFyWD</v>
      </c>
    </row>
    <row r="4169" customFormat="false" ht="15" hidden="false" customHeight="false" outlineLevel="0" collapsed="false">
      <c r="A4169" s="5" t="n">
        <v>6</v>
      </c>
      <c r="B4169" s="5" t="n">
        <v>6</v>
      </c>
      <c r="C4169" s="5" t="s">
        <v>128</v>
      </c>
      <c r="D4169" s="5" t="s">
        <v>1466</v>
      </c>
      <c r="E4169" s="5" t="n">
        <v>1</v>
      </c>
      <c r="F4169" s="6" t="n">
        <f aca="false">IFERROR(MATCH(A4169&amp;"|"&amp;B4169&amp;"|"&amp;D4169,'All Song Rankings'!$T:$T,0),0)</f>
        <v>634</v>
      </c>
      <c r="G4169" s="6" t="str">
        <f aca="false">IF(F4169=0,"NOT FOUND",INDEX('All Song Rankings'!$A:$A,F4169))</f>
        <v>Three Little Birds</v>
      </c>
      <c r="H4169" s="6" t="str">
        <f aca="false">IF(F4169=0,"NOT FOUND",INDEX('All Song Rankings'!$B:$B,F4169))</f>
        <v>Bob Marley &amp; The Wailers</v>
      </c>
      <c r="I4169" s="6" t="str">
        <f aca="false">IF(F4169=0,"NOT FOUND",INDEX('All Song Rankings'!$D:$D,F4169))</f>
        <v>Matt</v>
      </c>
      <c r="J4169" s="7" t="str">
        <f aca="false">IF(F4169=0,"NOT FOUND",IF(C4169=I4169,"SELF-VOTE",IF(COUNTIF($K:$K,K4169)&gt;1,"DUPLICATE","OK")))</f>
        <v>OK</v>
      </c>
      <c r="K4169" s="6" t="str">
        <f aca="false">A4169&amp;"|"&amp;B4169&amp;"|"&amp;C4169&amp;"|"&amp;D4169</f>
        <v>6|6|Logan|spotify:track:7vggqxNKwd6xdRoYS0pQtM</v>
      </c>
    </row>
    <row r="4170" customFormat="false" ht="15" hidden="false" customHeight="false" outlineLevel="0" collapsed="false">
      <c r="A4170" s="5" t="n">
        <v>6</v>
      </c>
      <c r="B4170" s="5" t="n">
        <v>6</v>
      </c>
      <c r="C4170" s="5" t="s">
        <v>395</v>
      </c>
      <c r="D4170" s="5" t="s">
        <v>1917</v>
      </c>
      <c r="E4170" s="5" t="n">
        <v>1</v>
      </c>
      <c r="F4170" s="6" t="n">
        <f aca="false">IFERROR(MATCH(A4170&amp;"|"&amp;B4170&amp;"|"&amp;D4170,'All Song Rankings'!$T:$T,0),0)</f>
        <v>635</v>
      </c>
      <c r="G4170" s="6" t="str">
        <f aca="false">IF(F4170=0,"NOT FOUND",INDEX('All Song Rankings'!$A:$A,F4170))</f>
        <v>Call Me Mother</v>
      </c>
      <c r="H4170" s="6" t="str">
        <f aca="false">IF(F4170=0,"NOT FOUND",INDEX('All Song Rankings'!$B:$B,F4170))</f>
        <v>RuPaul</v>
      </c>
      <c r="I4170" s="6" t="str">
        <f aca="false">IF(F4170=0,"NOT FOUND",INDEX('All Song Rankings'!$D:$D,F4170))</f>
        <v>Logan</v>
      </c>
      <c r="J4170" s="7" t="str">
        <f aca="false">IF(F4170=0,"NOT FOUND",IF(C4170=I4170,"SELF-VOTE",IF(COUNTIF($K:$K,K4170)&gt;1,"DUPLICATE","OK")))</f>
        <v>OK</v>
      </c>
      <c r="K4170" s="6" t="str">
        <f aca="false">A4170&amp;"|"&amp;B4170&amp;"|"&amp;C4170&amp;"|"&amp;D4170</f>
        <v>6|6|Makenzie|spotify:track:0SENYBHXBj0TI1ZygWwxee</v>
      </c>
    </row>
    <row r="4171" customFormat="false" ht="15" hidden="false" customHeight="false" outlineLevel="0" collapsed="false">
      <c r="A4171" s="5" t="n">
        <v>6</v>
      </c>
      <c r="B4171" s="5" t="n">
        <v>6</v>
      </c>
      <c r="C4171" s="5" t="s">
        <v>395</v>
      </c>
      <c r="D4171" s="5" t="s">
        <v>1911</v>
      </c>
      <c r="E4171" s="5" t="n">
        <v>2</v>
      </c>
      <c r="F4171" s="6" t="n">
        <f aca="false">IFERROR(MATCH(A4171&amp;"|"&amp;B4171&amp;"|"&amp;D4171,'All Song Rankings'!$T:$T,0),0)</f>
        <v>632</v>
      </c>
      <c r="G4171" s="6" t="str">
        <f aca="false">IF(F4171=0,"NOT FOUND",INDEX('All Song Rankings'!$A:$A,F4171))</f>
        <v>All My Life</v>
      </c>
      <c r="H4171" s="6" t="str">
        <f aca="false">IF(F4171=0,"NOT FOUND",INDEX('All Song Rankings'!$B:$B,F4171))</f>
        <v>Falling In Reverse, Jelly Roll</v>
      </c>
      <c r="I4171" s="6" t="str">
        <f aca="false">IF(F4171=0,"NOT FOUND",INDEX('All Song Rankings'!$D:$D,F4171))</f>
        <v>Nicole</v>
      </c>
      <c r="J4171" s="7" t="str">
        <f aca="false">IF(F4171=0,"NOT FOUND",IF(C4171=I4171,"SELF-VOTE",IF(COUNTIF($K:$K,K4171)&gt;1,"DUPLICATE","OK")))</f>
        <v>OK</v>
      </c>
      <c r="K4171" s="6" t="str">
        <f aca="false">A4171&amp;"|"&amp;B4171&amp;"|"&amp;C4171&amp;"|"&amp;D4171</f>
        <v>6|6|Makenzie|spotify:track:19CCQeIOxxUDcpFw539zd7</v>
      </c>
    </row>
    <row r="4172" customFormat="false" ht="15" hidden="false" customHeight="false" outlineLevel="0" collapsed="false">
      <c r="A4172" s="5" t="n">
        <v>6</v>
      </c>
      <c r="B4172" s="5" t="n">
        <v>6</v>
      </c>
      <c r="C4172" s="5" t="s">
        <v>395</v>
      </c>
      <c r="D4172" s="5" t="s">
        <v>1906</v>
      </c>
      <c r="E4172" s="5" t="n">
        <v>1</v>
      </c>
      <c r="F4172" s="6" t="n">
        <f aca="false">IFERROR(MATCH(A4172&amp;"|"&amp;B4172&amp;"|"&amp;D4172,'All Song Rankings'!$T:$T,0),0)</f>
        <v>630</v>
      </c>
      <c r="G4172" s="6" t="str">
        <f aca="false">IF(F4172=0,"NOT FOUND",INDEX('All Song Rankings'!$A:$A,F4172))</f>
        <v>You Get What You Give</v>
      </c>
      <c r="H4172" s="6" t="str">
        <f aca="false">IF(F4172=0,"NOT FOUND",INDEX('All Song Rankings'!$B:$B,F4172))</f>
        <v>New Radicals</v>
      </c>
      <c r="I4172" s="6" t="str">
        <f aca="false">IF(F4172=0,"NOT FOUND",INDEX('All Song Rankings'!$D:$D,F4172))</f>
        <v>Stephanie</v>
      </c>
      <c r="J4172" s="7" t="str">
        <f aca="false">IF(F4172=0,"NOT FOUND",IF(C4172=I4172,"SELF-VOTE",IF(COUNTIF($K:$K,K4172)&gt;1,"DUPLICATE","OK")))</f>
        <v>OK</v>
      </c>
      <c r="K4172" s="6" t="str">
        <f aca="false">A4172&amp;"|"&amp;B4172&amp;"|"&amp;C4172&amp;"|"&amp;D4172</f>
        <v>6|6|Makenzie|spotify:track:1Cwsd5xI8CajJz795oy4XF</v>
      </c>
    </row>
    <row r="4173" customFormat="false" ht="15" hidden="false" customHeight="false" outlineLevel="0" collapsed="false">
      <c r="A4173" s="5" t="n">
        <v>6</v>
      </c>
      <c r="B4173" s="5" t="n">
        <v>6</v>
      </c>
      <c r="C4173" s="5" t="s">
        <v>395</v>
      </c>
      <c r="D4173" s="5" t="s">
        <v>1903</v>
      </c>
      <c r="E4173" s="5" t="n">
        <v>2</v>
      </c>
      <c r="F4173" s="6" t="n">
        <f aca="false">IFERROR(MATCH(A4173&amp;"|"&amp;B4173&amp;"|"&amp;D4173,'All Song Rankings'!$T:$T,0),0)</f>
        <v>629</v>
      </c>
      <c r="G4173" s="6" t="str">
        <f aca="false">IF(F4173=0,"NOT FOUND",INDEX('All Song Rankings'!$A:$A,F4173))</f>
        <v>Why Worry</v>
      </c>
      <c r="H4173" s="6" t="str">
        <f aca="false">IF(F4173=0,"NOT FOUND",INDEX('All Song Rankings'!$B:$B,F4173))</f>
        <v>Set It Off</v>
      </c>
      <c r="I4173" s="6" t="str">
        <f aca="false">IF(F4173=0,"NOT FOUND",INDEX('All Song Rankings'!$D:$D,F4173))</f>
        <v>Leah</v>
      </c>
      <c r="J4173" s="7" t="str">
        <f aca="false">IF(F4173=0,"NOT FOUND",IF(C4173=I4173,"SELF-VOTE",IF(COUNTIF($K:$K,K4173)&gt;1,"DUPLICATE","OK")))</f>
        <v>OK</v>
      </c>
      <c r="K4173" s="6" t="str">
        <f aca="false">A4173&amp;"|"&amp;B4173&amp;"|"&amp;C4173&amp;"|"&amp;D4173</f>
        <v>6|6|Makenzie|spotify:track:39ShyO1yBCiEoEXHX9ie0F</v>
      </c>
    </row>
    <row r="4174" customFormat="false" ht="15" hidden="false" customHeight="false" outlineLevel="0" collapsed="false">
      <c r="A4174" s="5" t="n">
        <v>6</v>
      </c>
      <c r="B4174" s="5" t="n">
        <v>6</v>
      </c>
      <c r="C4174" s="5" t="s">
        <v>395</v>
      </c>
      <c r="D4174" s="5" t="s">
        <v>1895</v>
      </c>
      <c r="E4174" s="5" t="n">
        <v>2</v>
      </c>
      <c r="F4174" s="6" t="n">
        <f aca="false">IFERROR(MATCH(A4174&amp;"|"&amp;B4174&amp;"|"&amp;D4174,'All Song Rankings'!$T:$T,0),0)</f>
        <v>626</v>
      </c>
      <c r="G4174" s="6" t="str">
        <f aca="false">IF(F4174=0,"NOT FOUND",INDEX('All Song Rankings'!$A:$A,F4174))</f>
        <v>Grow Up</v>
      </c>
      <c r="H4174" s="6" t="str">
        <f aca="false">IF(F4174=0,"NOT FOUND",INDEX('All Song Rankings'!$B:$B,F4174))</f>
        <v>Late Night Thoughts</v>
      </c>
      <c r="I4174" s="6" t="str">
        <f aca="false">IF(F4174=0,"NOT FOUND",INDEX('All Song Rankings'!$D:$D,F4174))</f>
        <v>Kelsey</v>
      </c>
      <c r="J4174" s="7" t="str">
        <f aca="false">IF(F4174=0,"NOT FOUND",IF(C4174=I4174,"SELF-VOTE",IF(COUNTIF($K:$K,K4174)&gt;1,"DUPLICATE","OK")))</f>
        <v>OK</v>
      </c>
      <c r="K4174" s="6" t="str">
        <f aca="false">A4174&amp;"|"&amp;B4174&amp;"|"&amp;C4174&amp;"|"&amp;D4174</f>
        <v>6|6|Makenzie|spotify:track:3Qt3A2x143Eo3PeZb0rRfH</v>
      </c>
    </row>
    <row r="4175" customFormat="false" ht="15" hidden="false" customHeight="false" outlineLevel="0" collapsed="false">
      <c r="A4175" s="5" t="n">
        <v>6</v>
      </c>
      <c r="B4175" s="5" t="n">
        <v>6</v>
      </c>
      <c r="C4175" s="5" t="s">
        <v>395</v>
      </c>
      <c r="D4175" s="5" t="s">
        <v>1922</v>
      </c>
      <c r="E4175" s="5" t="n">
        <v>1</v>
      </c>
      <c r="F4175" s="6" t="n">
        <f aca="false">IFERROR(MATCH(A4175&amp;"|"&amp;B4175&amp;"|"&amp;D4175,'All Song Rankings'!$T:$T,0),0)</f>
        <v>637</v>
      </c>
      <c r="G4175" s="6" t="str">
        <f aca="false">IF(F4175=0,"NOT FOUND",INDEX('All Song Rankings'!$A:$A,F4175))</f>
        <v>Perfect Day</v>
      </c>
      <c r="H4175" s="6" t="str">
        <f aca="false">IF(F4175=0,"NOT FOUND",INDEX('All Song Rankings'!$B:$B,F4175))</f>
        <v>Hoku</v>
      </c>
      <c r="I4175" s="6" t="str">
        <f aca="false">IF(F4175=0,"NOT FOUND",INDEX('All Song Rankings'!$D:$D,F4175))</f>
        <v>Colleen</v>
      </c>
      <c r="J4175" s="7" t="str">
        <f aca="false">IF(F4175=0,"NOT FOUND",IF(C4175=I4175,"SELF-VOTE",IF(COUNTIF($K:$K,K4175)&gt;1,"DUPLICATE","OK")))</f>
        <v>OK</v>
      </c>
      <c r="K4175" s="6" t="str">
        <f aca="false">A4175&amp;"|"&amp;B4175&amp;"|"&amp;C4175&amp;"|"&amp;D4175</f>
        <v>6|6|Makenzie|spotify:track:4pMyfWdA0eo3JY5RqMotbw</v>
      </c>
    </row>
    <row r="4176" customFormat="false" ht="15" hidden="false" customHeight="false" outlineLevel="0" collapsed="false">
      <c r="A4176" s="5" t="n">
        <v>6</v>
      </c>
      <c r="B4176" s="5" t="n">
        <v>6</v>
      </c>
      <c r="C4176" s="5" t="s">
        <v>395</v>
      </c>
      <c r="D4176" s="5" t="s">
        <v>1466</v>
      </c>
      <c r="E4176" s="5" t="n">
        <v>1</v>
      </c>
      <c r="F4176" s="6" t="n">
        <f aca="false">IFERROR(MATCH(A4176&amp;"|"&amp;B4176&amp;"|"&amp;D4176,'All Song Rankings'!$T:$T,0),0)</f>
        <v>634</v>
      </c>
      <c r="G4176" s="6" t="str">
        <f aca="false">IF(F4176=0,"NOT FOUND",INDEX('All Song Rankings'!$A:$A,F4176))</f>
        <v>Three Little Birds</v>
      </c>
      <c r="H4176" s="6" t="str">
        <f aca="false">IF(F4176=0,"NOT FOUND",INDEX('All Song Rankings'!$B:$B,F4176))</f>
        <v>Bob Marley &amp; The Wailers</v>
      </c>
      <c r="I4176" s="6" t="str">
        <f aca="false">IF(F4176=0,"NOT FOUND",INDEX('All Song Rankings'!$D:$D,F4176))</f>
        <v>Matt</v>
      </c>
      <c r="J4176" s="7" t="str">
        <f aca="false">IF(F4176=0,"NOT FOUND",IF(C4176=I4176,"SELF-VOTE",IF(COUNTIF($K:$K,K4176)&gt;1,"DUPLICATE","OK")))</f>
        <v>OK</v>
      </c>
      <c r="K4176" s="6" t="str">
        <f aca="false">A4176&amp;"|"&amp;B4176&amp;"|"&amp;C4176&amp;"|"&amp;D4176</f>
        <v>6|6|Makenzie|spotify:track:7vggqxNKwd6xdRoYS0pQtM</v>
      </c>
    </row>
    <row r="4177" customFormat="false" ht="15" hidden="false" customHeight="false" outlineLevel="0" collapsed="false">
      <c r="A4177" s="5" t="n">
        <v>6</v>
      </c>
      <c r="B4177" s="5" t="n">
        <v>6</v>
      </c>
      <c r="C4177" s="5" t="s">
        <v>116</v>
      </c>
      <c r="D4177" s="5" t="s">
        <v>1897</v>
      </c>
      <c r="E4177" s="5" t="n">
        <v>2</v>
      </c>
      <c r="F4177" s="6" t="n">
        <f aca="false">IFERROR(MATCH(A4177&amp;"|"&amp;B4177&amp;"|"&amp;D4177,'All Song Rankings'!$T:$T,0),0)</f>
        <v>627</v>
      </c>
      <c r="G4177" s="6" t="str">
        <f aca="false">IF(F4177=0,"NOT FOUND",INDEX('All Song Rankings'!$A:$A,F4177))</f>
        <v>Rollin' Right Along</v>
      </c>
      <c r="H4177" s="6" t="str">
        <f aca="false">IF(F4177=0,"NOT FOUND",INDEX('All Song Rankings'!$B:$B,F4177))</f>
        <v>Shawn Mendes</v>
      </c>
      <c r="I4177" s="6" t="str">
        <f aca="false">IF(F4177=0,"NOT FOUND",INDEX('All Song Rankings'!$D:$D,F4177))</f>
        <v>Merita</v>
      </c>
      <c r="J4177" s="7" t="str">
        <f aca="false">IF(F4177=0,"NOT FOUND",IF(C4177=I4177,"SELF-VOTE",IF(COUNTIF($K:$K,K4177)&gt;1,"DUPLICATE","OK")))</f>
        <v>OK</v>
      </c>
      <c r="K4177" s="6" t="str">
        <f aca="false">A4177&amp;"|"&amp;B4177&amp;"|"&amp;C4177&amp;"|"&amp;D4177</f>
        <v>6|6|Matt|spotify:track:0gDIsF458XtmsL67aYqSj7</v>
      </c>
    </row>
    <row r="4178" customFormat="false" ht="15" hidden="false" customHeight="false" outlineLevel="0" collapsed="false">
      <c r="A4178" s="5" t="n">
        <v>6</v>
      </c>
      <c r="B4178" s="5" t="n">
        <v>6</v>
      </c>
      <c r="C4178" s="5" t="s">
        <v>116</v>
      </c>
      <c r="D4178" s="5" t="s">
        <v>1914</v>
      </c>
      <c r="E4178" s="5" t="n">
        <v>1</v>
      </c>
      <c r="F4178" s="6" t="n">
        <f aca="false">IFERROR(MATCH(A4178&amp;"|"&amp;B4178&amp;"|"&amp;D4178,'All Song Rankings'!$T:$T,0),0)</f>
        <v>633</v>
      </c>
      <c r="G4178" s="6" t="str">
        <f aca="false">IF(F4178=0,"NOT FOUND",INDEX('All Song Rankings'!$A:$A,F4178))</f>
        <v>Head Over Heels</v>
      </c>
      <c r="H4178" s="6" t="str">
        <f aca="false">IF(F4178=0,"NOT FOUND",INDEX('All Song Rankings'!$B:$B,F4178))</f>
        <v>The Go-Go's</v>
      </c>
      <c r="I4178" s="6" t="str">
        <f aca="false">IF(F4178=0,"NOT FOUND",INDEX('All Song Rankings'!$D:$D,F4178))</f>
        <v>Lisa</v>
      </c>
      <c r="J4178" s="7" t="str">
        <f aca="false">IF(F4178=0,"NOT FOUND",IF(C4178=I4178,"SELF-VOTE",IF(COUNTIF($K:$K,K4178)&gt;1,"DUPLICATE","OK")))</f>
        <v>OK</v>
      </c>
      <c r="K4178" s="6" t="str">
        <f aca="false">A4178&amp;"|"&amp;B4178&amp;"|"&amp;C4178&amp;"|"&amp;D4178</f>
        <v>6|6|Matt|spotify:track:1p46bniF6fC9kT1v5yjJOI</v>
      </c>
    </row>
    <row r="4179" customFormat="false" ht="15" hidden="false" customHeight="false" outlineLevel="0" collapsed="false">
      <c r="A4179" s="5" t="n">
        <v>6</v>
      </c>
      <c r="B4179" s="5" t="n">
        <v>6</v>
      </c>
      <c r="C4179" s="5" t="s">
        <v>116</v>
      </c>
      <c r="D4179" s="5" t="s">
        <v>1900</v>
      </c>
      <c r="E4179" s="5" t="n">
        <v>1</v>
      </c>
      <c r="F4179" s="6" t="n">
        <f aca="false">IFERROR(MATCH(A4179&amp;"|"&amp;B4179&amp;"|"&amp;D4179,'All Song Rankings'!$T:$T,0),0)</f>
        <v>628</v>
      </c>
      <c r="G4179" s="6" t="str">
        <f aca="false">IF(F4179=0,"NOT FOUND",INDEX('All Song Rankings'!$A:$A,F4179))</f>
        <v>These Are The Days</v>
      </c>
      <c r="H4179" s="6" t="str">
        <f aca="false">IF(F4179=0,"NOT FOUND",INDEX('All Song Rankings'!$B:$B,F4179))</f>
        <v>Mark Ambor</v>
      </c>
      <c r="I4179" s="6" t="str">
        <f aca="false">IF(F4179=0,"NOT FOUND",INDEX('All Song Rankings'!$D:$D,F4179))</f>
        <v>Makenzie</v>
      </c>
      <c r="J4179" s="7" t="str">
        <f aca="false">IF(F4179=0,"NOT FOUND",IF(C4179=I4179,"SELF-VOTE",IF(COUNTIF($K:$K,K4179)&gt;1,"DUPLICATE","OK")))</f>
        <v>OK</v>
      </c>
      <c r="K4179" s="6" t="str">
        <f aca="false">A4179&amp;"|"&amp;B4179&amp;"|"&amp;C4179&amp;"|"&amp;D4179</f>
        <v>6|6|Matt|spotify:track:2QVRjz1nWhN8FCAHgnrTE4</v>
      </c>
    </row>
    <row r="4180" customFormat="false" ht="15" hidden="false" customHeight="false" outlineLevel="0" collapsed="false">
      <c r="A4180" s="5" t="n">
        <v>6</v>
      </c>
      <c r="B4180" s="5" t="n">
        <v>6</v>
      </c>
      <c r="C4180" s="5" t="s">
        <v>116</v>
      </c>
      <c r="D4180" s="5" t="s">
        <v>1903</v>
      </c>
      <c r="E4180" s="5" t="n">
        <v>1</v>
      </c>
      <c r="F4180" s="6" t="n">
        <f aca="false">IFERROR(MATCH(A4180&amp;"|"&amp;B4180&amp;"|"&amp;D4180,'All Song Rankings'!$T:$T,0),0)</f>
        <v>629</v>
      </c>
      <c r="G4180" s="6" t="str">
        <f aca="false">IF(F4180=0,"NOT FOUND",INDEX('All Song Rankings'!$A:$A,F4180))</f>
        <v>Why Worry</v>
      </c>
      <c r="H4180" s="6" t="str">
        <f aca="false">IF(F4180=0,"NOT FOUND",INDEX('All Song Rankings'!$B:$B,F4180))</f>
        <v>Set It Off</v>
      </c>
      <c r="I4180" s="6" t="str">
        <f aca="false">IF(F4180=0,"NOT FOUND",INDEX('All Song Rankings'!$D:$D,F4180))</f>
        <v>Leah</v>
      </c>
      <c r="J4180" s="7" t="str">
        <f aca="false">IF(F4180=0,"NOT FOUND",IF(C4180=I4180,"SELF-VOTE",IF(COUNTIF($K:$K,K4180)&gt;1,"DUPLICATE","OK")))</f>
        <v>OK</v>
      </c>
      <c r="K4180" s="6" t="str">
        <f aca="false">A4180&amp;"|"&amp;B4180&amp;"|"&amp;C4180&amp;"|"&amp;D4180</f>
        <v>6|6|Matt|spotify:track:39ShyO1yBCiEoEXHX9ie0F</v>
      </c>
    </row>
    <row r="4181" customFormat="false" ht="15" hidden="false" customHeight="false" outlineLevel="0" collapsed="false">
      <c r="A4181" s="5" t="n">
        <v>6</v>
      </c>
      <c r="B4181" s="5" t="n">
        <v>6</v>
      </c>
      <c r="C4181" s="5" t="s">
        <v>116</v>
      </c>
      <c r="D4181" s="5" t="s">
        <v>1895</v>
      </c>
      <c r="E4181" s="5" t="n">
        <v>2</v>
      </c>
      <c r="F4181" s="6" t="n">
        <f aca="false">IFERROR(MATCH(A4181&amp;"|"&amp;B4181&amp;"|"&amp;D4181,'All Song Rankings'!$T:$T,0),0)</f>
        <v>626</v>
      </c>
      <c r="G4181" s="6" t="str">
        <f aca="false">IF(F4181=0,"NOT FOUND",INDEX('All Song Rankings'!$A:$A,F4181))</f>
        <v>Grow Up</v>
      </c>
      <c r="H4181" s="6" t="str">
        <f aca="false">IF(F4181=0,"NOT FOUND",INDEX('All Song Rankings'!$B:$B,F4181))</f>
        <v>Late Night Thoughts</v>
      </c>
      <c r="I4181" s="6" t="str">
        <f aca="false">IF(F4181=0,"NOT FOUND",INDEX('All Song Rankings'!$D:$D,F4181))</f>
        <v>Kelsey</v>
      </c>
      <c r="J4181" s="7" t="str">
        <f aca="false">IF(F4181=0,"NOT FOUND",IF(C4181=I4181,"SELF-VOTE",IF(COUNTIF($K:$K,K4181)&gt;1,"DUPLICATE","OK")))</f>
        <v>OK</v>
      </c>
      <c r="K4181" s="6" t="str">
        <f aca="false">A4181&amp;"|"&amp;B4181&amp;"|"&amp;C4181&amp;"|"&amp;D4181</f>
        <v>6|6|Matt|spotify:track:3Qt3A2x143Eo3PeZb0rRfH</v>
      </c>
    </row>
    <row r="4182" customFormat="false" ht="15" hidden="false" customHeight="false" outlineLevel="0" collapsed="false">
      <c r="A4182" s="5" t="n">
        <v>6</v>
      </c>
      <c r="B4182" s="5" t="n">
        <v>6</v>
      </c>
      <c r="C4182" s="5" t="s">
        <v>116</v>
      </c>
      <c r="D4182" s="5" t="s">
        <v>1919</v>
      </c>
      <c r="E4182" s="5" t="n">
        <v>1</v>
      </c>
      <c r="F4182" s="6" t="n">
        <f aca="false">IFERROR(MATCH(A4182&amp;"|"&amp;B4182&amp;"|"&amp;D4182,'All Song Rankings'!$T:$T,0),0)</f>
        <v>636</v>
      </c>
      <c r="G4182" s="6" t="str">
        <f aca="false">IF(F4182=0,"NOT FOUND",INDEX('All Song Rankings'!$A:$A,F4182))</f>
        <v>Sheep Go To Heaven</v>
      </c>
      <c r="H4182" s="6" t="str">
        <f aca="false">IF(F4182=0,"NOT FOUND",INDEX('All Song Rankings'!$B:$B,F4182))</f>
        <v>CAKE</v>
      </c>
      <c r="I4182" s="6" t="str">
        <f aca="false">IF(F4182=0,"NOT FOUND",INDEX('All Song Rankings'!$D:$D,F4182))</f>
        <v>Kristen</v>
      </c>
      <c r="J4182" s="7" t="str">
        <f aca="false">IF(F4182=0,"NOT FOUND",IF(C4182=I4182,"SELF-VOTE",IF(COUNTIF($K:$K,K4182)&gt;1,"DUPLICATE","OK")))</f>
        <v>OK</v>
      </c>
      <c r="K4182" s="6" t="str">
        <f aca="false">A4182&amp;"|"&amp;B4182&amp;"|"&amp;C4182&amp;"|"&amp;D4182</f>
        <v>6|6|Matt|spotify:track:4G8Eu3EDQZYhHPfJMFCv8V</v>
      </c>
    </row>
    <row r="4183" customFormat="false" ht="15" hidden="false" customHeight="false" outlineLevel="0" collapsed="false">
      <c r="A4183" s="5" t="n">
        <v>6</v>
      </c>
      <c r="B4183" s="5" t="n">
        <v>6</v>
      </c>
      <c r="C4183" s="5" t="s">
        <v>116</v>
      </c>
      <c r="D4183" s="5" t="s">
        <v>1922</v>
      </c>
      <c r="E4183" s="5" t="n">
        <v>1</v>
      </c>
      <c r="F4183" s="6" t="n">
        <f aca="false">IFERROR(MATCH(A4183&amp;"|"&amp;B4183&amp;"|"&amp;D4183,'All Song Rankings'!$T:$T,0),0)</f>
        <v>637</v>
      </c>
      <c r="G4183" s="6" t="str">
        <f aca="false">IF(F4183=0,"NOT FOUND",INDEX('All Song Rankings'!$A:$A,F4183))</f>
        <v>Perfect Day</v>
      </c>
      <c r="H4183" s="6" t="str">
        <f aca="false">IF(F4183=0,"NOT FOUND",INDEX('All Song Rankings'!$B:$B,F4183))</f>
        <v>Hoku</v>
      </c>
      <c r="I4183" s="6" t="str">
        <f aca="false">IF(F4183=0,"NOT FOUND",INDEX('All Song Rankings'!$D:$D,F4183))</f>
        <v>Colleen</v>
      </c>
      <c r="J4183" s="7" t="str">
        <f aca="false">IF(F4183=0,"NOT FOUND",IF(C4183=I4183,"SELF-VOTE",IF(COUNTIF($K:$K,K4183)&gt;1,"DUPLICATE","OK")))</f>
        <v>OK</v>
      </c>
      <c r="K4183" s="6" t="str">
        <f aca="false">A4183&amp;"|"&amp;B4183&amp;"|"&amp;C4183&amp;"|"&amp;D4183</f>
        <v>6|6|Matt|spotify:track:4pMyfWdA0eo3JY5RqMotbw</v>
      </c>
    </row>
    <row r="4184" customFormat="false" ht="15" hidden="false" customHeight="false" outlineLevel="0" collapsed="false">
      <c r="A4184" s="5" t="n">
        <v>6</v>
      </c>
      <c r="B4184" s="5" t="n">
        <v>6</v>
      </c>
      <c r="C4184" s="5" t="s">
        <v>116</v>
      </c>
      <c r="D4184" s="5" t="s">
        <v>1908</v>
      </c>
      <c r="E4184" s="5" t="n">
        <v>1</v>
      </c>
      <c r="F4184" s="6" t="n">
        <f aca="false">IFERROR(MATCH(A4184&amp;"|"&amp;B4184&amp;"|"&amp;D4184,'All Song Rankings'!$T:$T,0),0)</f>
        <v>631</v>
      </c>
      <c r="G4184" s="6" t="str">
        <f aca="false">IF(F4184=0,"NOT FOUND",INDEX('All Song Rankings'!$A:$A,F4184))</f>
        <v>Thankful</v>
      </c>
      <c r="H4184" s="6" t="str">
        <f aca="false">IF(F4184=0,"NOT FOUND",INDEX('All Song Rankings'!$B:$B,F4184))</f>
        <v>New Kids On The Block</v>
      </c>
      <c r="I4184" s="6" t="str">
        <f aca="false">IF(F4184=0,"NOT FOUND",INDEX('All Song Rankings'!$D:$D,F4184))</f>
        <v>Christine</v>
      </c>
      <c r="J4184" s="7" t="str">
        <f aca="false">IF(F4184=0,"NOT FOUND",IF(C4184=I4184,"SELF-VOTE",IF(COUNTIF($K:$K,K4184)&gt;1,"DUPLICATE","OK")))</f>
        <v>OK</v>
      </c>
      <c r="K4184" s="6" t="str">
        <f aca="false">A4184&amp;"|"&amp;B4184&amp;"|"&amp;C4184&amp;"|"&amp;D4184</f>
        <v>6|6|Matt|spotify:track:5eVNpfTi4H5h12p3LGFyWD</v>
      </c>
    </row>
    <row r="4185" customFormat="false" ht="15" hidden="false" customHeight="false" outlineLevel="0" collapsed="false">
      <c r="A4185" s="5" t="n">
        <v>6</v>
      </c>
      <c r="B4185" s="5" t="n">
        <v>6</v>
      </c>
      <c r="C4185" s="5" t="s">
        <v>101</v>
      </c>
      <c r="D4185" s="5" t="s">
        <v>1917</v>
      </c>
      <c r="E4185" s="5" t="n">
        <v>1</v>
      </c>
      <c r="F4185" s="6" t="n">
        <f aca="false">IFERROR(MATCH(A4185&amp;"|"&amp;B4185&amp;"|"&amp;D4185,'All Song Rankings'!$T:$T,0),0)</f>
        <v>635</v>
      </c>
      <c r="G4185" s="6" t="str">
        <f aca="false">IF(F4185=0,"NOT FOUND",INDEX('All Song Rankings'!$A:$A,F4185))</f>
        <v>Call Me Mother</v>
      </c>
      <c r="H4185" s="6" t="str">
        <f aca="false">IF(F4185=0,"NOT FOUND",INDEX('All Song Rankings'!$B:$B,F4185))</f>
        <v>RuPaul</v>
      </c>
      <c r="I4185" s="6" t="str">
        <f aca="false">IF(F4185=0,"NOT FOUND",INDEX('All Song Rankings'!$D:$D,F4185))</f>
        <v>Logan</v>
      </c>
      <c r="J4185" s="7" t="str">
        <f aca="false">IF(F4185=0,"NOT FOUND",IF(C4185=I4185,"SELF-VOTE",IF(COUNTIF($K:$K,K4185)&gt;1,"DUPLICATE","OK")))</f>
        <v>OK</v>
      </c>
      <c r="K4185" s="6" t="str">
        <f aca="false">A4185&amp;"|"&amp;B4185&amp;"|"&amp;C4185&amp;"|"&amp;D4185</f>
        <v>6|6|Merita|spotify:track:0SENYBHXBj0TI1ZygWwxee</v>
      </c>
    </row>
    <row r="4186" customFormat="false" ht="15" hidden="false" customHeight="false" outlineLevel="0" collapsed="false">
      <c r="A4186" s="5" t="n">
        <v>6</v>
      </c>
      <c r="B4186" s="5" t="n">
        <v>6</v>
      </c>
      <c r="C4186" s="5" t="s">
        <v>101</v>
      </c>
      <c r="D4186" s="5" t="s">
        <v>1911</v>
      </c>
      <c r="E4186" s="5" t="n">
        <v>1</v>
      </c>
      <c r="F4186" s="6" t="n">
        <f aca="false">IFERROR(MATCH(A4186&amp;"|"&amp;B4186&amp;"|"&amp;D4186,'All Song Rankings'!$T:$T,0),0)</f>
        <v>632</v>
      </c>
      <c r="G4186" s="6" t="str">
        <f aca="false">IF(F4186=0,"NOT FOUND",INDEX('All Song Rankings'!$A:$A,F4186))</f>
        <v>All My Life</v>
      </c>
      <c r="H4186" s="6" t="str">
        <f aca="false">IF(F4186=0,"NOT FOUND",INDEX('All Song Rankings'!$B:$B,F4186))</f>
        <v>Falling In Reverse, Jelly Roll</v>
      </c>
      <c r="I4186" s="6" t="str">
        <f aca="false">IF(F4186=0,"NOT FOUND",INDEX('All Song Rankings'!$D:$D,F4186))</f>
        <v>Nicole</v>
      </c>
      <c r="J4186" s="7" t="str">
        <f aca="false">IF(F4186=0,"NOT FOUND",IF(C4186=I4186,"SELF-VOTE",IF(COUNTIF($K:$K,K4186)&gt;1,"DUPLICATE","OK")))</f>
        <v>OK</v>
      </c>
      <c r="K4186" s="6" t="str">
        <f aca="false">A4186&amp;"|"&amp;B4186&amp;"|"&amp;C4186&amp;"|"&amp;D4186</f>
        <v>6|6|Merita|spotify:track:19CCQeIOxxUDcpFw539zd7</v>
      </c>
    </row>
    <row r="4187" customFormat="false" ht="15" hidden="false" customHeight="false" outlineLevel="0" collapsed="false">
      <c r="A4187" s="5" t="n">
        <v>6</v>
      </c>
      <c r="B4187" s="5" t="n">
        <v>6</v>
      </c>
      <c r="C4187" s="5" t="s">
        <v>101</v>
      </c>
      <c r="D4187" s="5" t="s">
        <v>1906</v>
      </c>
      <c r="E4187" s="5" t="n">
        <v>2</v>
      </c>
      <c r="F4187" s="6" t="n">
        <f aca="false">IFERROR(MATCH(A4187&amp;"|"&amp;B4187&amp;"|"&amp;D4187,'All Song Rankings'!$T:$T,0),0)</f>
        <v>630</v>
      </c>
      <c r="G4187" s="6" t="str">
        <f aca="false">IF(F4187=0,"NOT FOUND",INDEX('All Song Rankings'!$A:$A,F4187))</f>
        <v>You Get What You Give</v>
      </c>
      <c r="H4187" s="6" t="str">
        <f aca="false">IF(F4187=0,"NOT FOUND",INDEX('All Song Rankings'!$B:$B,F4187))</f>
        <v>New Radicals</v>
      </c>
      <c r="I4187" s="6" t="str">
        <f aca="false">IF(F4187=0,"NOT FOUND",INDEX('All Song Rankings'!$D:$D,F4187))</f>
        <v>Stephanie</v>
      </c>
      <c r="J4187" s="7" t="str">
        <f aca="false">IF(F4187=0,"NOT FOUND",IF(C4187=I4187,"SELF-VOTE",IF(COUNTIF($K:$K,K4187)&gt;1,"DUPLICATE","OK")))</f>
        <v>OK</v>
      </c>
      <c r="K4187" s="6" t="str">
        <f aca="false">A4187&amp;"|"&amp;B4187&amp;"|"&amp;C4187&amp;"|"&amp;D4187</f>
        <v>6|6|Merita|spotify:track:1Cwsd5xI8CajJz795oy4XF</v>
      </c>
    </row>
    <row r="4188" customFormat="false" ht="15" hidden="false" customHeight="false" outlineLevel="0" collapsed="false">
      <c r="A4188" s="5" t="n">
        <v>6</v>
      </c>
      <c r="B4188" s="5" t="n">
        <v>6</v>
      </c>
      <c r="C4188" s="5" t="s">
        <v>101</v>
      </c>
      <c r="D4188" s="5" t="s">
        <v>1900</v>
      </c>
      <c r="E4188" s="5" t="n">
        <v>2</v>
      </c>
      <c r="F4188" s="6" t="n">
        <f aca="false">IFERROR(MATCH(A4188&amp;"|"&amp;B4188&amp;"|"&amp;D4188,'All Song Rankings'!$T:$T,0),0)</f>
        <v>628</v>
      </c>
      <c r="G4188" s="6" t="str">
        <f aca="false">IF(F4188=0,"NOT FOUND",INDEX('All Song Rankings'!$A:$A,F4188))</f>
        <v>These Are The Days</v>
      </c>
      <c r="H4188" s="6" t="str">
        <f aca="false">IF(F4188=0,"NOT FOUND",INDEX('All Song Rankings'!$B:$B,F4188))</f>
        <v>Mark Ambor</v>
      </c>
      <c r="I4188" s="6" t="str">
        <f aca="false">IF(F4188=0,"NOT FOUND",INDEX('All Song Rankings'!$D:$D,F4188))</f>
        <v>Makenzie</v>
      </c>
      <c r="J4188" s="7" t="str">
        <f aca="false">IF(F4188=0,"NOT FOUND",IF(C4188=I4188,"SELF-VOTE",IF(COUNTIF($K:$K,K4188)&gt;1,"DUPLICATE","OK")))</f>
        <v>OK</v>
      </c>
      <c r="K4188" s="6" t="str">
        <f aca="false">A4188&amp;"|"&amp;B4188&amp;"|"&amp;C4188&amp;"|"&amp;D4188</f>
        <v>6|6|Merita|spotify:track:2QVRjz1nWhN8FCAHgnrTE4</v>
      </c>
    </row>
    <row r="4189" customFormat="false" ht="15" hidden="false" customHeight="false" outlineLevel="0" collapsed="false">
      <c r="A4189" s="5" t="n">
        <v>6</v>
      </c>
      <c r="B4189" s="5" t="n">
        <v>6</v>
      </c>
      <c r="C4189" s="5" t="s">
        <v>101</v>
      </c>
      <c r="D4189" s="5" t="s">
        <v>1895</v>
      </c>
      <c r="E4189" s="5" t="n">
        <v>1</v>
      </c>
      <c r="F4189" s="6" t="n">
        <f aca="false">IFERROR(MATCH(A4189&amp;"|"&amp;B4189&amp;"|"&amp;D4189,'All Song Rankings'!$T:$T,0),0)</f>
        <v>626</v>
      </c>
      <c r="G4189" s="6" t="str">
        <f aca="false">IF(F4189=0,"NOT FOUND",INDEX('All Song Rankings'!$A:$A,F4189))</f>
        <v>Grow Up</v>
      </c>
      <c r="H4189" s="6" t="str">
        <f aca="false">IF(F4189=0,"NOT FOUND",INDEX('All Song Rankings'!$B:$B,F4189))</f>
        <v>Late Night Thoughts</v>
      </c>
      <c r="I4189" s="6" t="str">
        <f aca="false">IF(F4189=0,"NOT FOUND",INDEX('All Song Rankings'!$D:$D,F4189))</f>
        <v>Kelsey</v>
      </c>
      <c r="J4189" s="7" t="str">
        <f aca="false">IF(F4189=0,"NOT FOUND",IF(C4189=I4189,"SELF-VOTE",IF(COUNTIF($K:$K,K4189)&gt;1,"DUPLICATE","OK")))</f>
        <v>OK</v>
      </c>
      <c r="K4189" s="6" t="str">
        <f aca="false">A4189&amp;"|"&amp;B4189&amp;"|"&amp;C4189&amp;"|"&amp;D4189</f>
        <v>6|6|Merita|spotify:track:3Qt3A2x143Eo3PeZb0rRfH</v>
      </c>
    </row>
    <row r="4190" customFormat="false" ht="15" hidden="false" customHeight="false" outlineLevel="0" collapsed="false">
      <c r="A4190" s="5" t="n">
        <v>6</v>
      </c>
      <c r="B4190" s="5" t="n">
        <v>6</v>
      </c>
      <c r="C4190" s="5" t="s">
        <v>101</v>
      </c>
      <c r="D4190" s="5" t="s">
        <v>1919</v>
      </c>
      <c r="E4190" s="5" t="n">
        <v>1</v>
      </c>
      <c r="F4190" s="6" t="n">
        <f aca="false">IFERROR(MATCH(A4190&amp;"|"&amp;B4190&amp;"|"&amp;D4190,'All Song Rankings'!$T:$T,0),0)</f>
        <v>636</v>
      </c>
      <c r="G4190" s="6" t="str">
        <f aca="false">IF(F4190=0,"NOT FOUND",INDEX('All Song Rankings'!$A:$A,F4190))</f>
        <v>Sheep Go To Heaven</v>
      </c>
      <c r="H4190" s="6" t="str">
        <f aca="false">IF(F4190=0,"NOT FOUND",INDEX('All Song Rankings'!$B:$B,F4190))</f>
        <v>CAKE</v>
      </c>
      <c r="I4190" s="6" t="str">
        <f aca="false">IF(F4190=0,"NOT FOUND",INDEX('All Song Rankings'!$D:$D,F4190))</f>
        <v>Kristen</v>
      </c>
      <c r="J4190" s="7" t="str">
        <f aca="false">IF(F4190=0,"NOT FOUND",IF(C4190=I4190,"SELF-VOTE",IF(COUNTIF($K:$K,K4190)&gt;1,"DUPLICATE","OK")))</f>
        <v>OK</v>
      </c>
      <c r="K4190" s="6" t="str">
        <f aca="false">A4190&amp;"|"&amp;B4190&amp;"|"&amp;C4190&amp;"|"&amp;D4190</f>
        <v>6|6|Merita|spotify:track:4G8Eu3EDQZYhHPfJMFCv8V</v>
      </c>
    </row>
    <row r="4191" customFormat="false" ht="15" hidden="false" customHeight="false" outlineLevel="0" collapsed="false">
      <c r="A4191" s="5" t="n">
        <v>6</v>
      </c>
      <c r="B4191" s="5" t="n">
        <v>6</v>
      </c>
      <c r="C4191" s="5" t="s">
        <v>101</v>
      </c>
      <c r="D4191" s="5" t="s">
        <v>1922</v>
      </c>
      <c r="E4191" s="5" t="n">
        <v>2</v>
      </c>
      <c r="F4191" s="6" t="n">
        <f aca="false">IFERROR(MATCH(A4191&amp;"|"&amp;B4191&amp;"|"&amp;D4191,'All Song Rankings'!$T:$T,0),0)</f>
        <v>637</v>
      </c>
      <c r="G4191" s="6" t="str">
        <f aca="false">IF(F4191=0,"NOT FOUND",INDEX('All Song Rankings'!$A:$A,F4191))</f>
        <v>Perfect Day</v>
      </c>
      <c r="H4191" s="6" t="str">
        <f aca="false">IF(F4191=0,"NOT FOUND",INDEX('All Song Rankings'!$B:$B,F4191))</f>
        <v>Hoku</v>
      </c>
      <c r="I4191" s="6" t="str">
        <f aca="false">IF(F4191=0,"NOT FOUND",INDEX('All Song Rankings'!$D:$D,F4191))</f>
        <v>Colleen</v>
      </c>
      <c r="J4191" s="7" t="str">
        <f aca="false">IF(F4191=0,"NOT FOUND",IF(C4191=I4191,"SELF-VOTE",IF(COUNTIF($K:$K,K4191)&gt;1,"DUPLICATE","OK")))</f>
        <v>OK</v>
      </c>
      <c r="K4191" s="6" t="str">
        <f aca="false">A4191&amp;"|"&amp;B4191&amp;"|"&amp;C4191&amp;"|"&amp;D4191</f>
        <v>6|6|Merita|spotify:track:4pMyfWdA0eo3JY5RqMotbw</v>
      </c>
    </row>
    <row r="4192" customFormat="false" ht="15" hidden="false" customHeight="false" outlineLevel="0" collapsed="false">
      <c r="A4192" s="5" t="n">
        <v>6</v>
      </c>
      <c r="B4192" s="5" t="n">
        <v>6</v>
      </c>
      <c r="C4192" s="5" t="s">
        <v>92</v>
      </c>
      <c r="D4192" s="5" t="s">
        <v>1897</v>
      </c>
      <c r="E4192" s="5" t="n">
        <v>2</v>
      </c>
      <c r="F4192" s="6" t="n">
        <f aca="false">IFERROR(MATCH(A4192&amp;"|"&amp;B4192&amp;"|"&amp;D4192,'All Song Rankings'!$T:$T,0),0)</f>
        <v>627</v>
      </c>
      <c r="G4192" s="6" t="str">
        <f aca="false">IF(F4192=0,"NOT FOUND",INDEX('All Song Rankings'!$A:$A,F4192))</f>
        <v>Rollin' Right Along</v>
      </c>
      <c r="H4192" s="6" t="str">
        <f aca="false">IF(F4192=0,"NOT FOUND",INDEX('All Song Rankings'!$B:$B,F4192))</f>
        <v>Shawn Mendes</v>
      </c>
      <c r="I4192" s="6" t="str">
        <f aca="false">IF(F4192=0,"NOT FOUND",INDEX('All Song Rankings'!$D:$D,F4192))</f>
        <v>Merita</v>
      </c>
      <c r="J4192" s="7" t="str">
        <f aca="false">IF(F4192=0,"NOT FOUND",IF(C4192=I4192,"SELF-VOTE",IF(COUNTIF($K:$K,K4192)&gt;1,"DUPLICATE","OK")))</f>
        <v>OK</v>
      </c>
      <c r="K4192" s="6" t="str">
        <f aca="false">A4192&amp;"|"&amp;B4192&amp;"|"&amp;C4192&amp;"|"&amp;D4192</f>
        <v>6|6|Nicole|spotify:track:0gDIsF458XtmsL67aYqSj7</v>
      </c>
    </row>
    <row r="4193" customFormat="false" ht="15" hidden="false" customHeight="false" outlineLevel="0" collapsed="false">
      <c r="A4193" s="5" t="n">
        <v>6</v>
      </c>
      <c r="B4193" s="5" t="n">
        <v>6</v>
      </c>
      <c r="C4193" s="5" t="s">
        <v>92</v>
      </c>
      <c r="D4193" s="5" t="s">
        <v>1906</v>
      </c>
      <c r="E4193" s="5" t="n">
        <v>1</v>
      </c>
      <c r="F4193" s="6" t="n">
        <f aca="false">IFERROR(MATCH(A4193&amp;"|"&amp;B4193&amp;"|"&amp;D4193,'All Song Rankings'!$T:$T,0),0)</f>
        <v>630</v>
      </c>
      <c r="G4193" s="6" t="str">
        <f aca="false">IF(F4193=0,"NOT FOUND",INDEX('All Song Rankings'!$A:$A,F4193))</f>
        <v>You Get What You Give</v>
      </c>
      <c r="H4193" s="6" t="str">
        <f aca="false">IF(F4193=0,"NOT FOUND",INDEX('All Song Rankings'!$B:$B,F4193))</f>
        <v>New Radicals</v>
      </c>
      <c r="I4193" s="6" t="str">
        <f aca="false">IF(F4193=0,"NOT FOUND",INDEX('All Song Rankings'!$D:$D,F4193))</f>
        <v>Stephanie</v>
      </c>
      <c r="J4193" s="7" t="str">
        <f aca="false">IF(F4193=0,"NOT FOUND",IF(C4193=I4193,"SELF-VOTE",IF(COUNTIF($K:$K,K4193)&gt;1,"DUPLICATE","OK")))</f>
        <v>OK</v>
      </c>
      <c r="K4193" s="6" t="str">
        <f aca="false">A4193&amp;"|"&amp;B4193&amp;"|"&amp;C4193&amp;"|"&amp;D4193</f>
        <v>6|6|Nicole|spotify:track:1Cwsd5xI8CajJz795oy4XF</v>
      </c>
    </row>
    <row r="4194" customFormat="false" ht="15" hidden="false" customHeight="false" outlineLevel="0" collapsed="false">
      <c r="A4194" s="5" t="n">
        <v>6</v>
      </c>
      <c r="B4194" s="5" t="n">
        <v>6</v>
      </c>
      <c r="C4194" s="5" t="s">
        <v>92</v>
      </c>
      <c r="D4194" s="5" t="s">
        <v>1914</v>
      </c>
      <c r="E4194" s="5" t="n">
        <v>1</v>
      </c>
      <c r="F4194" s="6" t="n">
        <f aca="false">IFERROR(MATCH(A4194&amp;"|"&amp;B4194&amp;"|"&amp;D4194,'All Song Rankings'!$T:$T,0),0)</f>
        <v>633</v>
      </c>
      <c r="G4194" s="6" t="str">
        <f aca="false">IF(F4194=0,"NOT FOUND",INDEX('All Song Rankings'!$A:$A,F4194))</f>
        <v>Head Over Heels</v>
      </c>
      <c r="H4194" s="6" t="str">
        <f aca="false">IF(F4194=0,"NOT FOUND",INDEX('All Song Rankings'!$B:$B,F4194))</f>
        <v>The Go-Go's</v>
      </c>
      <c r="I4194" s="6" t="str">
        <f aca="false">IF(F4194=0,"NOT FOUND",INDEX('All Song Rankings'!$D:$D,F4194))</f>
        <v>Lisa</v>
      </c>
      <c r="J4194" s="7" t="str">
        <f aca="false">IF(F4194=0,"NOT FOUND",IF(C4194=I4194,"SELF-VOTE",IF(COUNTIF($K:$K,K4194)&gt;1,"DUPLICATE","OK")))</f>
        <v>OK</v>
      </c>
      <c r="K4194" s="6" t="str">
        <f aca="false">A4194&amp;"|"&amp;B4194&amp;"|"&amp;C4194&amp;"|"&amp;D4194</f>
        <v>6|6|Nicole|spotify:track:1p46bniF6fC9kT1v5yjJOI</v>
      </c>
    </row>
    <row r="4195" customFormat="false" ht="15" hidden="false" customHeight="false" outlineLevel="0" collapsed="false">
      <c r="A4195" s="5" t="n">
        <v>6</v>
      </c>
      <c r="B4195" s="5" t="n">
        <v>6</v>
      </c>
      <c r="C4195" s="5" t="s">
        <v>92</v>
      </c>
      <c r="D4195" s="5" t="s">
        <v>1900</v>
      </c>
      <c r="E4195" s="5" t="n">
        <v>1</v>
      </c>
      <c r="F4195" s="6" t="n">
        <f aca="false">IFERROR(MATCH(A4195&amp;"|"&amp;B4195&amp;"|"&amp;D4195,'All Song Rankings'!$T:$T,0),0)</f>
        <v>628</v>
      </c>
      <c r="G4195" s="6" t="str">
        <f aca="false">IF(F4195=0,"NOT FOUND",INDEX('All Song Rankings'!$A:$A,F4195))</f>
        <v>These Are The Days</v>
      </c>
      <c r="H4195" s="6" t="str">
        <f aca="false">IF(F4195=0,"NOT FOUND",INDEX('All Song Rankings'!$B:$B,F4195))</f>
        <v>Mark Ambor</v>
      </c>
      <c r="I4195" s="6" t="str">
        <f aca="false">IF(F4195=0,"NOT FOUND",INDEX('All Song Rankings'!$D:$D,F4195))</f>
        <v>Makenzie</v>
      </c>
      <c r="J4195" s="7" t="str">
        <f aca="false">IF(F4195=0,"NOT FOUND",IF(C4195=I4195,"SELF-VOTE",IF(COUNTIF($K:$K,K4195)&gt;1,"DUPLICATE","OK")))</f>
        <v>OK</v>
      </c>
      <c r="K4195" s="6" t="str">
        <f aca="false">A4195&amp;"|"&amp;B4195&amp;"|"&amp;C4195&amp;"|"&amp;D4195</f>
        <v>6|6|Nicole|spotify:track:2QVRjz1nWhN8FCAHgnrTE4</v>
      </c>
    </row>
    <row r="4196" customFormat="false" ht="15" hidden="false" customHeight="false" outlineLevel="0" collapsed="false">
      <c r="A4196" s="5" t="n">
        <v>6</v>
      </c>
      <c r="B4196" s="5" t="n">
        <v>6</v>
      </c>
      <c r="C4196" s="5" t="s">
        <v>92</v>
      </c>
      <c r="D4196" s="5" t="s">
        <v>1903</v>
      </c>
      <c r="E4196" s="5" t="n">
        <v>2</v>
      </c>
      <c r="F4196" s="6" t="n">
        <f aca="false">IFERROR(MATCH(A4196&amp;"|"&amp;B4196&amp;"|"&amp;D4196,'All Song Rankings'!$T:$T,0),0)</f>
        <v>629</v>
      </c>
      <c r="G4196" s="6" t="str">
        <f aca="false">IF(F4196=0,"NOT FOUND",INDEX('All Song Rankings'!$A:$A,F4196))</f>
        <v>Why Worry</v>
      </c>
      <c r="H4196" s="6" t="str">
        <f aca="false">IF(F4196=0,"NOT FOUND",INDEX('All Song Rankings'!$B:$B,F4196))</f>
        <v>Set It Off</v>
      </c>
      <c r="I4196" s="6" t="str">
        <f aca="false">IF(F4196=0,"NOT FOUND",INDEX('All Song Rankings'!$D:$D,F4196))</f>
        <v>Leah</v>
      </c>
      <c r="J4196" s="7" t="str">
        <f aca="false">IF(F4196=0,"NOT FOUND",IF(C4196=I4196,"SELF-VOTE",IF(COUNTIF($K:$K,K4196)&gt;1,"DUPLICATE","OK")))</f>
        <v>OK</v>
      </c>
      <c r="K4196" s="6" t="str">
        <f aca="false">A4196&amp;"|"&amp;B4196&amp;"|"&amp;C4196&amp;"|"&amp;D4196</f>
        <v>6|6|Nicole|spotify:track:39ShyO1yBCiEoEXHX9ie0F</v>
      </c>
    </row>
    <row r="4197" customFormat="false" ht="15" hidden="false" customHeight="false" outlineLevel="0" collapsed="false">
      <c r="A4197" s="5" t="n">
        <v>6</v>
      </c>
      <c r="B4197" s="5" t="n">
        <v>6</v>
      </c>
      <c r="C4197" s="5" t="s">
        <v>92</v>
      </c>
      <c r="D4197" s="5" t="s">
        <v>1895</v>
      </c>
      <c r="E4197" s="5" t="n">
        <v>1</v>
      </c>
      <c r="F4197" s="6" t="n">
        <f aca="false">IFERROR(MATCH(A4197&amp;"|"&amp;B4197&amp;"|"&amp;D4197,'All Song Rankings'!$T:$T,0),0)</f>
        <v>626</v>
      </c>
      <c r="G4197" s="6" t="str">
        <f aca="false">IF(F4197=0,"NOT FOUND",INDEX('All Song Rankings'!$A:$A,F4197))</f>
        <v>Grow Up</v>
      </c>
      <c r="H4197" s="6" t="str">
        <f aca="false">IF(F4197=0,"NOT FOUND",INDEX('All Song Rankings'!$B:$B,F4197))</f>
        <v>Late Night Thoughts</v>
      </c>
      <c r="I4197" s="6" t="str">
        <f aca="false">IF(F4197=0,"NOT FOUND",INDEX('All Song Rankings'!$D:$D,F4197))</f>
        <v>Kelsey</v>
      </c>
      <c r="J4197" s="7" t="str">
        <f aca="false">IF(F4197=0,"NOT FOUND",IF(C4197=I4197,"SELF-VOTE",IF(COUNTIF($K:$K,K4197)&gt;1,"DUPLICATE","OK")))</f>
        <v>OK</v>
      </c>
      <c r="K4197" s="6" t="str">
        <f aca="false">A4197&amp;"|"&amp;B4197&amp;"|"&amp;C4197&amp;"|"&amp;D4197</f>
        <v>6|6|Nicole|spotify:track:3Qt3A2x143Eo3PeZb0rRfH</v>
      </c>
    </row>
    <row r="4198" customFormat="false" ht="15" hidden="false" customHeight="false" outlineLevel="0" collapsed="false">
      <c r="A4198" s="5" t="n">
        <v>6</v>
      </c>
      <c r="B4198" s="5" t="n">
        <v>6</v>
      </c>
      <c r="C4198" s="5" t="s">
        <v>92</v>
      </c>
      <c r="D4198" s="5" t="s">
        <v>1922</v>
      </c>
      <c r="E4198" s="5" t="n">
        <v>2</v>
      </c>
      <c r="F4198" s="6" t="n">
        <f aca="false">IFERROR(MATCH(A4198&amp;"|"&amp;B4198&amp;"|"&amp;D4198,'All Song Rankings'!$T:$T,0),0)</f>
        <v>637</v>
      </c>
      <c r="G4198" s="6" t="str">
        <f aca="false">IF(F4198=0,"NOT FOUND",INDEX('All Song Rankings'!$A:$A,F4198))</f>
        <v>Perfect Day</v>
      </c>
      <c r="H4198" s="6" t="str">
        <f aca="false">IF(F4198=0,"NOT FOUND",INDEX('All Song Rankings'!$B:$B,F4198))</f>
        <v>Hoku</v>
      </c>
      <c r="I4198" s="6" t="str">
        <f aca="false">IF(F4198=0,"NOT FOUND",INDEX('All Song Rankings'!$D:$D,F4198))</f>
        <v>Colleen</v>
      </c>
      <c r="J4198" s="7" t="str">
        <f aca="false">IF(F4198=0,"NOT FOUND",IF(C4198=I4198,"SELF-VOTE",IF(COUNTIF($K:$K,K4198)&gt;1,"DUPLICATE","OK")))</f>
        <v>OK</v>
      </c>
      <c r="K4198" s="6" t="str">
        <f aca="false">A4198&amp;"|"&amp;B4198&amp;"|"&amp;C4198&amp;"|"&amp;D4198</f>
        <v>6|6|Nicole|spotify:track:4pMyfWdA0eo3JY5RqMotbw</v>
      </c>
    </row>
    <row r="4199" customFormat="false" ht="15" hidden="false" customHeight="false" outlineLevel="0" collapsed="false">
      <c r="A4199" s="5" t="n">
        <v>6</v>
      </c>
      <c r="B4199" s="5" t="n">
        <v>6</v>
      </c>
      <c r="C4199" s="5" t="s">
        <v>97</v>
      </c>
      <c r="D4199" s="5" t="s">
        <v>1897</v>
      </c>
      <c r="E4199" s="5" t="n">
        <v>2</v>
      </c>
      <c r="F4199" s="6" t="n">
        <f aca="false">IFERROR(MATCH(A4199&amp;"|"&amp;B4199&amp;"|"&amp;D4199,'All Song Rankings'!$T:$T,0),0)</f>
        <v>627</v>
      </c>
      <c r="G4199" s="6" t="str">
        <f aca="false">IF(F4199=0,"NOT FOUND",INDEX('All Song Rankings'!$A:$A,F4199))</f>
        <v>Rollin' Right Along</v>
      </c>
      <c r="H4199" s="6" t="str">
        <f aca="false">IF(F4199=0,"NOT FOUND",INDEX('All Song Rankings'!$B:$B,F4199))</f>
        <v>Shawn Mendes</v>
      </c>
      <c r="I4199" s="6" t="str">
        <f aca="false">IF(F4199=0,"NOT FOUND",INDEX('All Song Rankings'!$D:$D,F4199))</f>
        <v>Merita</v>
      </c>
      <c r="J4199" s="7" t="str">
        <f aca="false">IF(F4199=0,"NOT FOUND",IF(C4199=I4199,"SELF-VOTE",IF(COUNTIF($K:$K,K4199)&gt;1,"DUPLICATE","OK")))</f>
        <v>OK</v>
      </c>
      <c r="K4199" s="6" t="str">
        <f aca="false">A4199&amp;"|"&amp;B4199&amp;"|"&amp;C4199&amp;"|"&amp;D4199</f>
        <v>6|6|Stephanie|spotify:track:0gDIsF458XtmsL67aYqSj7</v>
      </c>
    </row>
    <row r="4200" customFormat="false" ht="15" hidden="false" customHeight="false" outlineLevel="0" collapsed="false">
      <c r="A4200" s="5" t="n">
        <v>6</v>
      </c>
      <c r="B4200" s="5" t="n">
        <v>6</v>
      </c>
      <c r="C4200" s="5" t="s">
        <v>97</v>
      </c>
      <c r="D4200" s="5" t="s">
        <v>1911</v>
      </c>
      <c r="E4200" s="5" t="n">
        <v>1</v>
      </c>
      <c r="F4200" s="6" t="n">
        <f aca="false">IFERROR(MATCH(A4200&amp;"|"&amp;B4200&amp;"|"&amp;D4200,'All Song Rankings'!$T:$T,0),0)</f>
        <v>632</v>
      </c>
      <c r="G4200" s="6" t="str">
        <f aca="false">IF(F4200=0,"NOT FOUND",INDEX('All Song Rankings'!$A:$A,F4200))</f>
        <v>All My Life</v>
      </c>
      <c r="H4200" s="6" t="str">
        <f aca="false">IF(F4200=0,"NOT FOUND",INDEX('All Song Rankings'!$B:$B,F4200))</f>
        <v>Falling In Reverse, Jelly Roll</v>
      </c>
      <c r="I4200" s="6" t="str">
        <f aca="false">IF(F4200=0,"NOT FOUND",INDEX('All Song Rankings'!$D:$D,F4200))</f>
        <v>Nicole</v>
      </c>
      <c r="J4200" s="7" t="str">
        <f aca="false">IF(F4200=0,"NOT FOUND",IF(C4200=I4200,"SELF-VOTE",IF(COUNTIF($K:$K,K4200)&gt;1,"DUPLICATE","OK")))</f>
        <v>OK</v>
      </c>
      <c r="K4200" s="6" t="str">
        <f aca="false">A4200&amp;"|"&amp;B4200&amp;"|"&amp;C4200&amp;"|"&amp;D4200</f>
        <v>6|6|Stephanie|spotify:track:19CCQeIOxxUDcpFw539zd7</v>
      </c>
    </row>
    <row r="4201" customFormat="false" ht="15" hidden="false" customHeight="false" outlineLevel="0" collapsed="false">
      <c r="A4201" s="5" t="n">
        <v>6</v>
      </c>
      <c r="B4201" s="5" t="n">
        <v>6</v>
      </c>
      <c r="C4201" s="5" t="s">
        <v>97</v>
      </c>
      <c r="D4201" s="5" t="s">
        <v>1914</v>
      </c>
      <c r="E4201" s="5" t="n">
        <v>1</v>
      </c>
      <c r="F4201" s="6" t="n">
        <f aca="false">IFERROR(MATCH(A4201&amp;"|"&amp;B4201&amp;"|"&amp;D4201,'All Song Rankings'!$T:$T,0),0)</f>
        <v>633</v>
      </c>
      <c r="G4201" s="6" t="str">
        <f aca="false">IF(F4201=0,"NOT FOUND",INDEX('All Song Rankings'!$A:$A,F4201))</f>
        <v>Head Over Heels</v>
      </c>
      <c r="H4201" s="6" t="str">
        <f aca="false">IF(F4201=0,"NOT FOUND",INDEX('All Song Rankings'!$B:$B,F4201))</f>
        <v>The Go-Go's</v>
      </c>
      <c r="I4201" s="6" t="str">
        <f aca="false">IF(F4201=0,"NOT FOUND",INDEX('All Song Rankings'!$D:$D,F4201))</f>
        <v>Lisa</v>
      </c>
      <c r="J4201" s="7" t="str">
        <f aca="false">IF(F4201=0,"NOT FOUND",IF(C4201=I4201,"SELF-VOTE",IF(COUNTIF($K:$K,K4201)&gt;1,"DUPLICATE","OK")))</f>
        <v>OK</v>
      </c>
      <c r="K4201" s="6" t="str">
        <f aca="false">A4201&amp;"|"&amp;B4201&amp;"|"&amp;C4201&amp;"|"&amp;D4201</f>
        <v>6|6|Stephanie|spotify:track:1p46bniF6fC9kT1v5yjJOI</v>
      </c>
    </row>
    <row r="4202" customFormat="false" ht="15" hidden="false" customHeight="false" outlineLevel="0" collapsed="false">
      <c r="A4202" s="5" t="n">
        <v>6</v>
      </c>
      <c r="B4202" s="5" t="n">
        <v>6</v>
      </c>
      <c r="C4202" s="5" t="s">
        <v>97</v>
      </c>
      <c r="D4202" s="5" t="s">
        <v>1900</v>
      </c>
      <c r="E4202" s="5" t="n">
        <v>1</v>
      </c>
      <c r="F4202" s="6" t="n">
        <f aca="false">IFERROR(MATCH(A4202&amp;"|"&amp;B4202&amp;"|"&amp;D4202,'All Song Rankings'!$T:$T,0),0)</f>
        <v>628</v>
      </c>
      <c r="G4202" s="6" t="str">
        <f aca="false">IF(F4202=0,"NOT FOUND",INDEX('All Song Rankings'!$A:$A,F4202))</f>
        <v>These Are The Days</v>
      </c>
      <c r="H4202" s="6" t="str">
        <f aca="false">IF(F4202=0,"NOT FOUND",INDEX('All Song Rankings'!$B:$B,F4202))</f>
        <v>Mark Ambor</v>
      </c>
      <c r="I4202" s="6" t="str">
        <f aca="false">IF(F4202=0,"NOT FOUND",INDEX('All Song Rankings'!$D:$D,F4202))</f>
        <v>Makenzie</v>
      </c>
      <c r="J4202" s="7" t="str">
        <f aca="false">IF(F4202=0,"NOT FOUND",IF(C4202=I4202,"SELF-VOTE",IF(COUNTIF($K:$K,K4202)&gt;1,"DUPLICATE","OK")))</f>
        <v>OK</v>
      </c>
      <c r="K4202" s="6" t="str">
        <f aca="false">A4202&amp;"|"&amp;B4202&amp;"|"&amp;C4202&amp;"|"&amp;D4202</f>
        <v>6|6|Stephanie|spotify:track:2QVRjz1nWhN8FCAHgnrTE4</v>
      </c>
    </row>
    <row r="4203" customFormat="false" ht="15" hidden="false" customHeight="false" outlineLevel="0" collapsed="false">
      <c r="A4203" s="5" t="n">
        <v>6</v>
      </c>
      <c r="B4203" s="5" t="n">
        <v>6</v>
      </c>
      <c r="C4203" s="5" t="s">
        <v>97</v>
      </c>
      <c r="D4203" s="5" t="s">
        <v>1903</v>
      </c>
      <c r="E4203" s="5" t="n">
        <v>2</v>
      </c>
      <c r="F4203" s="6" t="n">
        <f aca="false">IFERROR(MATCH(A4203&amp;"|"&amp;B4203&amp;"|"&amp;D4203,'All Song Rankings'!$T:$T,0),0)</f>
        <v>629</v>
      </c>
      <c r="G4203" s="6" t="str">
        <f aca="false">IF(F4203=0,"NOT FOUND",INDEX('All Song Rankings'!$A:$A,F4203))</f>
        <v>Why Worry</v>
      </c>
      <c r="H4203" s="6" t="str">
        <f aca="false">IF(F4203=0,"NOT FOUND",INDEX('All Song Rankings'!$B:$B,F4203))</f>
        <v>Set It Off</v>
      </c>
      <c r="I4203" s="6" t="str">
        <f aca="false">IF(F4203=0,"NOT FOUND",INDEX('All Song Rankings'!$D:$D,F4203))</f>
        <v>Leah</v>
      </c>
      <c r="J4203" s="7" t="str">
        <f aca="false">IF(F4203=0,"NOT FOUND",IF(C4203=I4203,"SELF-VOTE",IF(COUNTIF($K:$K,K4203)&gt;1,"DUPLICATE","OK")))</f>
        <v>OK</v>
      </c>
      <c r="K4203" s="6" t="str">
        <f aca="false">A4203&amp;"|"&amp;B4203&amp;"|"&amp;C4203&amp;"|"&amp;D4203</f>
        <v>6|6|Stephanie|spotify:track:39ShyO1yBCiEoEXHX9ie0F</v>
      </c>
    </row>
    <row r="4204" customFormat="false" ht="15" hidden="false" customHeight="false" outlineLevel="0" collapsed="false">
      <c r="A4204" s="5" t="n">
        <v>6</v>
      </c>
      <c r="B4204" s="5" t="n">
        <v>6</v>
      </c>
      <c r="C4204" s="5" t="s">
        <v>97</v>
      </c>
      <c r="D4204" s="5" t="s">
        <v>1922</v>
      </c>
      <c r="E4204" s="5" t="n">
        <v>1</v>
      </c>
      <c r="F4204" s="6" t="n">
        <f aca="false">IFERROR(MATCH(A4204&amp;"|"&amp;B4204&amp;"|"&amp;D4204,'All Song Rankings'!$T:$T,0),0)</f>
        <v>637</v>
      </c>
      <c r="G4204" s="6" t="str">
        <f aca="false">IF(F4204=0,"NOT FOUND",INDEX('All Song Rankings'!$A:$A,F4204))</f>
        <v>Perfect Day</v>
      </c>
      <c r="H4204" s="6" t="str">
        <f aca="false">IF(F4204=0,"NOT FOUND",INDEX('All Song Rankings'!$B:$B,F4204))</f>
        <v>Hoku</v>
      </c>
      <c r="I4204" s="6" t="str">
        <f aca="false">IF(F4204=0,"NOT FOUND",INDEX('All Song Rankings'!$D:$D,F4204))</f>
        <v>Colleen</v>
      </c>
      <c r="J4204" s="7" t="str">
        <f aca="false">IF(F4204=0,"NOT FOUND",IF(C4204=I4204,"SELF-VOTE",IF(COUNTIF($K:$K,K4204)&gt;1,"DUPLICATE","OK")))</f>
        <v>OK</v>
      </c>
      <c r="K4204" s="6" t="str">
        <f aca="false">A4204&amp;"|"&amp;B4204&amp;"|"&amp;C4204&amp;"|"&amp;D4204</f>
        <v>6|6|Stephanie|spotify:track:4pMyfWdA0eo3JY5RqMotbw</v>
      </c>
    </row>
    <row r="4205" customFormat="false" ht="15" hidden="false" customHeight="false" outlineLevel="0" collapsed="false">
      <c r="A4205" s="5" t="n">
        <v>6</v>
      </c>
      <c r="B4205" s="5" t="n">
        <v>6</v>
      </c>
      <c r="C4205" s="5" t="s">
        <v>97</v>
      </c>
      <c r="D4205" s="5" t="s">
        <v>1908</v>
      </c>
      <c r="E4205" s="5" t="n">
        <v>2</v>
      </c>
      <c r="F4205" s="6" t="n">
        <f aca="false">IFERROR(MATCH(A4205&amp;"|"&amp;B4205&amp;"|"&amp;D4205,'All Song Rankings'!$T:$T,0),0)</f>
        <v>631</v>
      </c>
      <c r="G4205" s="6" t="str">
        <f aca="false">IF(F4205=0,"NOT FOUND",INDEX('All Song Rankings'!$A:$A,F4205))</f>
        <v>Thankful</v>
      </c>
      <c r="H4205" s="6" t="str">
        <f aca="false">IF(F4205=0,"NOT FOUND",INDEX('All Song Rankings'!$B:$B,F4205))</f>
        <v>New Kids On The Block</v>
      </c>
      <c r="I4205" s="6" t="str">
        <f aca="false">IF(F4205=0,"NOT FOUND",INDEX('All Song Rankings'!$D:$D,F4205))</f>
        <v>Christine</v>
      </c>
      <c r="J4205" s="7" t="str">
        <f aca="false">IF(F4205=0,"NOT FOUND",IF(C4205=I4205,"SELF-VOTE",IF(COUNTIF($K:$K,K4205)&gt;1,"DUPLICATE","OK")))</f>
        <v>OK</v>
      </c>
      <c r="K4205" s="6" t="str">
        <f aca="false">A4205&amp;"|"&amp;B4205&amp;"|"&amp;C4205&amp;"|"&amp;D4205</f>
        <v>6|6|Stephanie|spotify:track:5eVNpfTi4H5h12p3LGFyWD</v>
      </c>
    </row>
    <row r="4206" customFormat="false" ht="15" hidden="false" customHeight="false" outlineLevel="0" collapsed="false">
      <c r="A4206" s="5" t="n">
        <v>6</v>
      </c>
      <c r="B4206" s="5" t="n">
        <v>7</v>
      </c>
      <c r="C4206" s="5" t="s">
        <v>719</v>
      </c>
      <c r="D4206" s="5" t="s">
        <v>1936</v>
      </c>
      <c r="E4206" s="5" t="n">
        <v>1</v>
      </c>
      <c r="F4206" s="6" t="n">
        <f aca="false">IFERROR(MATCH(A4206&amp;"|"&amp;B4206&amp;"|"&amp;D4206,'All Song Rankings'!$T:$T,0),0)</f>
        <v>642</v>
      </c>
      <c r="G4206" s="6" t="str">
        <f aca="false">IF(F4206=0,"NOT FOUND",INDEX('All Song Rankings'!$A:$A,F4206))</f>
        <v>Flowers</v>
      </c>
      <c r="H4206" s="6" t="str">
        <f aca="false">IF(F4206=0,"NOT FOUND",INDEX('All Song Rankings'!$B:$B,F4206))</f>
        <v>Samantha Ebert, Seph Schlueter</v>
      </c>
      <c r="I4206" s="6" t="str">
        <f aca="false">IF(F4206=0,"NOT FOUND",INDEX('All Song Rankings'!$D:$D,F4206))</f>
        <v>Nicole</v>
      </c>
      <c r="J4206" s="7" t="str">
        <f aca="false">IF(F4206=0,"NOT FOUND",IF(C4206=I4206,"SELF-VOTE",IF(COUNTIF($K:$K,K4206)&gt;1,"DUPLICATE","OK")))</f>
        <v>OK</v>
      </c>
      <c r="K4206" s="6" t="str">
        <f aca="false">A4206&amp;"|"&amp;B4206&amp;"|"&amp;C4206&amp;"|"&amp;D4206</f>
        <v>6|7|Christine|spotify:track:0KIv0Lho9vsPCj8Sac21IV</v>
      </c>
    </row>
    <row r="4207" customFormat="false" ht="15" hidden="false" customHeight="false" outlineLevel="0" collapsed="false">
      <c r="A4207" s="5" t="n">
        <v>6</v>
      </c>
      <c r="B4207" s="5" t="n">
        <v>7</v>
      </c>
      <c r="C4207" s="5" t="s">
        <v>719</v>
      </c>
      <c r="D4207" s="5" t="s">
        <v>1930</v>
      </c>
      <c r="E4207" s="5" t="n">
        <v>1</v>
      </c>
      <c r="F4207" s="6" t="n">
        <f aca="false">IFERROR(MATCH(A4207&amp;"|"&amp;B4207&amp;"|"&amp;D4207,'All Song Rankings'!$T:$T,0),0)</f>
        <v>640</v>
      </c>
      <c r="G4207" s="6" t="str">
        <f aca="false">IF(F4207=0,"NOT FOUND",INDEX('All Song Rankings'!$A:$A,F4207))</f>
        <v>Come Fly With Me</v>
      </c>
      <c r="H4207" s="6" t="str">
        <f aca="false">IF(F4207=0,"NOT FOUND",INDEX('All Song Rankings'!$B:$B,F4207))</f>
        <v>Frank Sinatra</v>
      </c>
      <c r="I4207" s="6" t="str">
        <f aca="false">IF(F4207=0,"NOT FOUND",INDEX('All Song Rankings'!$D:$D,F4207))</f>
        <v>Makenzie</v>
      </c>
      <c r="J4207" s="7" t="str">
        <f aca="false">IF(F4207=0,"NOT FOUND",IF(C4207=I4207,"SELF-VOTE",IF(COUNTIF($K:$K,K4207)&gt;1,"DUPLICATE","OK")))</f>
        <v>OK</v>
      </c>
      <c r="K4207" s="6" t="str">
        <f aca="false">A4207&amp;"|"&amp;B4207&amp;"|"&amp;C4207&amp;"|"&amp;D4207</f>
        <v>6|7|Christine|spotify:track:1GcPhT7osBb4LEJnQ0tmfj</v>
      </c>
    </row>
    <row r="4208" customFormat="false" ht="15" hidden="false" customHeight="false" outlineLevel="0" collapsed="false">
      <c r="A4208" s="5" t="n">
        <v>6</v>
      </c>
      <c r="B4208" s="5" t="n">
        <v>7</v>
      </c>
      <c r="C4208" s="5" t="s">
        <v>719</v>
      </c>
      <c r="D4208" s="5" t="s">
        <v>1964</v>
      </c>
      <c r="E4208" s="5" t="n">
        <v>1</v>
      </c>
      <c r="F4208" s="6" t="n">
        <f aca="false">IFERROR(MATCH(A4208&amp;"|"&amp;B4208&amp;"|"&amp;D4208,'All Song Rankings'!$T:$T,0),0)</f>
        <v>652</v>
      </c>
      <c r="G4208" s="6" t="str">
        <f aca="false">IF(F4208=0,"NOT FOUND",INDEX('All Song Rankings'!$A:$A,F4208))</f>
        <v>Gravity</v>
      </c>
      <c r="H4208" s="6" t="str">
        <f aca="false">IF(F4208=0,"NOT FOUND",INDEX('All Song Rankings'!$B:$B,F4208))</f>
        <v>Papa Roach</v>
      </c>
      <c r="I4208" s="6" t="str">
        <f aca="false">IF(F4208=0,"NOT FOUND",INDEX('All Song Rankings'!$D:$D,F4208))</f>
        <v>Leah</v>
      </c>
      <c r="J4208" s="7" t="str">
        <f aca="false">IF(F4208=0,"NOT FOUND",IF(C4208=I4208,"SELF-VOTE",IF(COUNTIF($K:$K,K4208)&gt;1,"DUPLICATE","OK")))</f>
        <v>OK</v>
      </c>
      <c r="K4208" s="6" t="str">
        <f aca="false">A4208&amp;"|"&amp;B4208&amp;"|"&amp;C4208&amp;"|"&amp;D4208</f>
        <v>6|7|Christine|spotify:track:1SmoikQyzvAi35I5X4LHMY</v>
      </c>
    </row>
    <row r="4209" customFormat="false" ht="15" hidden="false" customHeight="false" outlineLevel="0" collapsed="false">
      <c r="A4209" s="5" t="n">
        <v>6</v>
      </c>
      <c r="B4209" s="5" t="n">
        <v>7</v>
      </c>
      <c r="C4209" s="5" t="s">
        <v>719</v>
      </c>
      <c r="D4209" s="5" t="s">
        <v>1967</v>
      </c>
      <c r="E4209" s="5" t="n">
        <v>1</v>
      </c>
      <c r="F4209" s="6" t="n">
        <f aca="false">IFERROR(MATCH(A4209&amp;"|"&amp;B4209&amp;"|"&amp;D4209,'All Song Rankings'!$T:$T,0),0)</f>
        <v>653</v>
      </c>
      <c r="G4209" s="6" t="str">
        <f aca="false">IF(F4209=0,"NOT FOUND",INDEX('All Song Rankings'!$A:$A,F4209))</f>
        <v>Next Thing You Know</v>
      </c>
      <c r="H4209" s="6" t="str">
        <f aca="false">IF(F4209=0,"NOT FOUND",INDEX('All Song Rankings'!$B:$B,F4209))</f>
        <v>Jordan Davis</v>
      </c>
      <c r="I4209" s="6" t="str">
        <f aca="false">IF(F4209=0,"NOT FOUND",INDEX('All Song Rankings'!$D:$D,F4209))</f>
        <v>Aubrey</v>
      </c>
      <c r="J4209" s="7" t="str">
        <f aca="false">IF(F4209=0,"NOT FOUND",IF(C4209=I4209,"SELF-VOTE",IF(COUNTIF($K:$K,K4209)&gt;1,"DUPLICATE","OK")))</f>
        <v>OK</v>
      </c>
      <c r="K4209" s="6" t="str">
        <f aca="false">A4209&amp;"|"&amp;B4209&amp;"|"&amp;C4209&amp;"|"&amp;D4209</f>
        <v>6|7|Christine|spotify:track:2lNTHWu2I5Tcz9ukWsV5Jj</v>
      </c>
    </row>
    <row r="4210" customFormat="false" ht="15" hidden="false" customHeight="false" outlineLevel="0" collapsed="false">
      <c r="A4210" s="5" t="n">
        <v>6</v>
      </c>
      <c r="B4210" s="5" t="n">
        <v>7</v>
      </c>
      <c r="C4210" s="5" t="s">
        <v>719</v>
      </c>
      <c r="D4210" s="5" t="s">
        <v>1944</v>
      </c>
      <c r="E4210" s="5" t="n">
        <v>1</v>
      </c>
      <c r="F4210" s="6" t="n">
        <f aca="false">IFERROR(MATCH(A4210&amp;"|"&amp;B4210&amp;"|"&amp;D4210,'All Song Rankings'!$T:$T,0),0)</f>
        <v>645</v>
      </c>
      <c r="G4210" s="6" t="str">
        <f aca="false">IF(F4210=0,"NOT FOUND",INDEX('All Song Rankings'!$A:$A,F4210))</f>
        <v>Turn The Page - Live</v>
      </c>
      <c r="H4210" s="6" t="str">
        <f aca="false">IF(F4210=0,"NOT FOUND",INDEX('All Song Rankings'!$B:$B,F4210))</f>
        <v>Bob Seger</v>
      </c>
      <c r="I4210" s="6" t="str">
        <f aca="false">IF(F4210=0,"NOT FOUND",INDEX('All Song Rankings'!$D:$D,F4210))</f>
        <v>Lisa</v>
      </c>
      <c r="J4210" s="7" t="str">
        <f aca="false">IF(F4210=0,"NOT FOUND",IF(C4210=I4210,"SELF-VOTE",IF(COUNTIF($K:$K,K4210)&gt;1,"DUPLICATE","OK")))</f>
        <v>OK</v>
      </c>
      <c r="K4210" s="6" t="str">
        <f aca="false">A4210&amp;"|"&amp;B4210&amp;"|"&amp;C4210&amp;"|"&amp;D4210</f>
        <v>6|7|Christine|spotify:track:3P2XAL8UpPBM3nfvuEjHHE</v>
      </c>
    </row>
    <row r="4211" customFormat="false" ht="15" hidden="false" customHeight="false" outlineLevel="0" collapsed="false">
      <c r="A4211" s="5" t="n">
        <v>6</v>
      </c>
      <c r="B4211" s="5" t="n">
        <v>7</v>
      </c>
      <c r="C4211" s="5" t="s">
        <v>719</v>
      </c>
      <c r="D4211" s="5" t="s">
        <v>1955</v>
      </c>
      <c r="E4211" s="5" t="n">
        <v>1</v>
      </c>
      <c r="F4211" s="6" t="n">
        <f aca="false">IFERROR(MATCH(A4211&amp;"|"&amp;B4211&amp;"|"&amp;D4211,'All Song Rankings'!$T:$T,0),0)</f>
        <v>649</v>
      </c>
      <c r="G4211" s="6" t="str">
        <f aca="false">IF(F4211=0,"NOT FOUND",INDEX('All Song Rankings'!$A:$A,F4211))</f>
        <v>People Live Here</v>
      </c>
      <c r="H4211" s="6" t="str">
        <f aca="false">IF(F4211=0,"NOT FOUND",INDEX('All Song Rankings'!$B:$B,F4211))</f>
        <v>Rise Against</v>
      </c>
      <c r="I4211" s="6" t="str">
        <f aca="false">IF(F4211=0,"NOT FOUND",INDEX('All Song Rankings'!$D:$D,F4211))</f>
        <v>Kristen</v>
      </c>
      <c r="J4211" s="7" t="str">
        <f aca="false">IF(F4211=0,"NOT FOUND",IF(C4211=I4211,"SELF-VOTE",IF(COUNTIF($K:$K,K4211)&gt;1,"DUPLICATE","OK")))</f>
        <v>OK</v>
      </c>
      <c r="K4211" s="6" t="str">
        <f aca="false">A4211&amp;"|"&amp;B4211&amp;"|"&amp;C4211&amp;"|"&amp;D4211</f>
        <v>6|7|Christine|spotify:track:3YsbKbo8m5Uv5zAG2hqOrN</v>
      </c>
    </row>
    <row r="4212" customFormat="false" ht="15" hidden="false" customHeight="false" outlineLevel="0" collapsed="false">
      <c r="A4212" s="5" t="n">
        <v>6</v>
      </c>
      <c r="B4212" s="5" t="n">
        <v>7</v>
      </c>
      <c r="C4212" s="5" t="s">
        <v>719</v>
      </c>
      <c r="D4212" s="5" t="s">
        <v>1953</v>
      </c>
      <c r="E4212" s="5" t="n">
        <v>1</v>
      </c>
      <c r="F4212" s="6" t="n">
        <f aca="false">IFERROR(MATCH(A4212&amp;"|"&amp;B4212&amp;"|"&amp;D4212,'All Song Rankings'!$T:$T,0),0)</f>
        <v>648</v>
      </c>
      <c r="G4212" s="6" t="str">
        <f aca="false">IF(F4212=0,"NOT FOUND",INDEX('All Song Rankings'!$A:$A,F4212))</f>
        <v>California Love - Original Version</v>
      </c>
      <c r="H4212" s="6" t="str">
        <f aca="false">IF(F4212=0,"NOT FOUND",INDEX('All Song Rankings'!$B:$B,F4212))</f>
        <v>2Pac, Roger, Dr. Dre</v>
      </c>
      <c r="I4212" s="6" t="str">
        <f aca="false">IF(F4212=0,"NOT FOUND",INDEX('All Song Rankings'!$D:$D,F4212))</f>
        <v>Stephanie</v>
      </c>
      <c r="J4212" s="7" t="str">
        <f aca="false">IF(F4212=0,"NOT FOUND",IF(C4212=I4212,"SELF-VOTE",IF(COUNTIF($K:$K,K4212)&gt;1,"DUPLICATE","OK")))</f>
        <v>OK</v>
      </c>
      <c r="K4212" s="6" t="str">
        <f aca="false">A4212&amp;"|"&amp;B4212&amp;"|"&amp;C4212&amp;"|"&amp;D4212</f>
        <v>6|7|Christine|spotify:track:3ia3dJETSOllPsv3LJkE35</v>
      </c>
    </row>
    <row r="4213" customFormat="false" ht="15" hidden="false" customHeight="false" outlineLevel="0" collapsed="false">
      <c r="A4213" s="5" t="n">
        <v>6</v>
      </c>
      <c r="B4213" s="5" t="n">
        <v>7</v>
      </c>
      <c r="C4213" s="5" t="s">
        <v>719</v>
      </c>
      <c r="D4213" s="5" t="s">
        <v>1947</v>
      </c>
      <c r="E4213" s="5" t="n">
        <v>1</v>
      </c>
      <c r="F4213" s="6" t="n">
        <f aca="false">IFERROR(MATCH(A4213&amp;"|"&amp;B4213&amp;"|"&amp;D4213,'All Song Rankings'!$T:$T,0),0)</f>
        <v>646</v>
      </c>
      <c r="G4213" s="6" t="str">
        <f aca="false">IF(F4213=0,"NOT FOUND",INDEX('All Song Rankings'!$A:$A,F4213))</f>
        <v>I Found You</v>
      </c>
      <c r="H4213" s="6" t="str">
        <f aca="false">IF(F4213=0,"NOT FOUND",INDEX('All Song Rankings'!$B:$B,F4213))</f>
        <v>Cash Cash, Andy Grammer</v>
      </c>
      <c r="I4213" s="6" t="str">
        <f aca="false">IF(F4213=0,"NOT FOUND",INDEX('All Song Rankings'!$D:$D,F4213))</f>
        <v>Grace</v>
      </c>
      <c r="J4213" s="7" t="str">
        <f aca="false">IF(F4213=0,"NOT FOUND",IF(C4213=I4213,"SELF-VOTE",IF(COUNTIF($K:$K,K4213)&gt;1,"DUPLICATE","OK")))</f>
        <v>OK</v>
      </c>
      <c r="K4213" s="6" t="str">
        <f aca="false">A4213&amp;"|"&amp;B4213&amp;"|"&amp;C4213&amp;"|"&amp;D4213</f>
        <v>6|7|Christine|spotify:track:3wYOGJYD31sLRmBgCvWxa4</v>
      </c>
    </row>
    <row r="4214" customFormat="false" ht="15" hidden="false" customHeight="false" outlineLevel="0" collapsed="false">
      <c r="A4214" s="5" t="n">
        <v>6</v>
      </c>
      <c r="B4214" s="5" t="n">
        <v>7</v>
      </c>
      <c r="C4214" s="5" t="s">
        <v>719</v>
      </c>
      <c r="D4214" s="5" t="s">
        <v>1938</v>
      </c>
      <c r="E4214" s="5" t="n">
        <v>1</v>
      </c>
      <c r="F4214" s="6" t="n">
        <f aca="false">IFERROR(MATCH(A4214&amp;"|"&amp;B4214&amp;"|"&amp;D4214,'All Song Rankings'!$T:$T,0),0)</f>
        <v>643</v>
      </c>
      <c r="G4214" s="6" t="str">
        <f aca="false">IF(F4214=0,"NOT FOUND",INDEX('All Song Rankings'!$A:$A,F4214))</f>
        <v>Til You Can't</v>
      </c>
      <c r="H4214" s="6" t="str">
        <f aca="false">IF(F4214=0,"NOT FOUND",INDEX('All Song Rankings'!$B:$B,F4214))</f>
        <v>Cody Johnson</v>
      </c>
      <c r="I4214" s="6" t="str">
        <f aca="false">IF(F4214=0,"NOT FOUND",INDEX('All Song Rankings'!$D:$D,F4214))</f>
        <v>Kelsey</v>
      </c>
      <c r="J4214" s="7" t="str">
        <f aca="false">IF(F4214=0,"NOT FOUND",IF(C4214=I4214,"SELF-VOTE",IF(COUNTIF($K:$K,K4214)&gt;1,"DUPLICATE","OK")))</f>
        <v>OK</v>
      </c>
      <c r="K4214" s="6" t="str">
        <f aca="false">A4214&amp;"|"&amp;B4214&amp;"|"&amp;C4214&amp;"|"&amp;D4214</f>
        <v>6|7|Christine|spotify:track:4k3lPl8YTKuY8c1HelVnm3</v>
      </c>
    </row>
    <row r="4215" customFormat="false" ht="15" hidden="false" customHeight="false" outlineLevel="0" collapsed="false">
      <c r="A4215" s="5" t="n">
        <v>6</v>
      </c>
      <c r="B4215" s="5" t="n">
        <v>7</v>
      </c>
      <c r="C4215" s="5" t="s">
        <v>719</v>
      </c>
      <c r="D4215" s="5" t="s">
        <v>1933</v>
      </c>
      <c r="E4215" s="5" t="n">
        <v>1</v>
      </c>
      <c r="F4215" s="6" t="n">
        <f aca="false">IFERROR(MATCH(A4215&amp;"|"&amp;B4215&amp;"|"&amp;D4215,'All Song Rankings'!$T:$T,0),0)</f>
        <v>641</v>
      </c>
      <c r="G4215" s="6" t="str">
        <f aca="false">IF(F4215=0,"NOT FOUND",INDEX('All Song Rankings'!$A:$A,F4215))</f>
        <v>Where I Belong (feat. We The Kings)</v>
      </c>
      <c r="H4215" s="6" t="str">
        <f aca="false">IF(F4215=0,"NOT FOUND",INDEX('All Song Rankings'!$B:$B,F4215))</f>
        <v>Simple Plan, State Champs, We The Kings</v>
      </c>
      <c r="I4215" s="6" t="str">
        <f aca="false">IF(F4215=0,"NOT FOUND",INDEX('All Song Rankings'!$D:$D,F4215))</f>
        <v>Colleen</v>
      </c>
      <c r="J4215" s="7" t="str">
        <f aca="false">IF(F4215=0,"NOT FOUND",IF(C4215=I4215,"SELF-VOTE",IF(COUNTIF($K:$K,K4215)&gt;1,"DUPLICATE","OK")))</f>
        <v>OK</v>
      </c>
      <c r="K4215" s="6" t="str">
        <f aca="false">A4215&amp;"|"&amp;B4215&amp;"|"&amp;C4215&amp;"|"&amp;D4215</f>
        <v>6|7|Christine|spotify:track:6XbmIuDxm4gWpVYoGg5DQX</v>
      </c>
    </row>
    <row r="4216" customFormat="false" ht="15" hidden="false" customHeight="false" outlineLevel="0" collapsed="false">
      <c r="A4216" s="5" t="n">
        <v>6</v>
      </c>
      <c r="B4216" s="5" t="n">
        <v>7</v>
      </c>
      <c r="C4216" s="5" t="s">
        <v>637</v>
      </c>
      <c r="D4216" s="5" t="s">
        <v>1936</v>
      </c>
      <c r="E4216" s="5" t="n">
        <v>1</v>
      </c>
      <c r="F4216" s="6" t="n">
        <f aca="false">IFERROR(MATCH(A4216&amp;"|"&amp;B4216&amp;"|"&amp;D4216,'All Song Rankings'!$T:$T,0),0)</f>
        <v>642</v>
      </c>
      <c r="G4216" s="6" t="str">
        <f aca="false">IF(F4216=0,"NOT FOUND",INDEX('All Song Rankings'!$A:$A,F4216))</f>
        <v>Flowers</v>
      </c>
      <c r="H4216" s="6" t="str">
        <f aca="false">IF(F4216=0,"NOT FOUND",INDEX('All Song Rankings'!$B:$B,F4216))</f>
        <v>Samantha Ebert, Seph Schlueter</v>
      </c>
      <c r="I4216" s="6" t="str">
        <f aca="false">IF(F4216=0,"NOT FOUND",INDEX('All Song Rankings'!$D:$D,F4216))</f>
        <v>Nicole</v>
      </c>
      <c r="J4216" s="7" t="str">
        <f aca="false">IF(F4216=0,"NOT FOUND",IF(C4216=I4216,"SELF-VOTE",IF(COUNTIF($K:$K,K4216)&gt;1,"DUPLICATE","OK")))</f>
        <v>OK</v>
      </c>
      <c r="K4216" s="6" t="str">
        <f aca="false">A4216&amp;"|"&amp;B4216&amp;"|"&amp;C4216&amp;"|"&amp;D4216</f>
        <v>6|7|Colleen|spotify:track:0KIv0Lho9vsPCj8Sac21IV</v>
      </c>
    </row>
    <row r="4217" customFormat="false" ht="15" hidden="false" customHeight="false" outlineLevel="0" collapsed="false">
      <c r="A4217" s="5" t="n">
        <v>6</v>
      </c>
      <c r="B4217" s="5" t="n">
        <v>7</v>
      </c>
      <c r="C4217" s="5" t="s">
        <v>637</v>
      </c>
      <c r="D4217" s="5" t="s">
        <v>1970</v>
      </c>
      <c r="E4217" s="5" t="n">
        <v>1</v>
      </c>
      <c r="F4217" s="6" t="n">
        <f aca="false">IFERROR(MATCH(A4217&amp;"|"&amp;B4217&amp;"|"&amp;D4217,'All Song Rankings'!$T:$T,0),0)</f>
        <v>654</v>
      </c>
      <c r="G4217" s="6" t="str">
        <f aca="false">IF(F4217=0,"NOT FOUND",INDEX('All Song Rankings'!$A:$A,F4217))</f>
        <v>I Love You And Buddha Too</v>
      </c>
      <c r="H4217" s="6" t="str">
        <f aca="false">IF(F4217=0,"NOT FOUND",INDEX('All Song Rankings'!$B:$B,F4217))</f>
        <v>Mason Jennings</v>
      </c>
      <c r="I4217" s="6" t="str">
        <f aca="false">IF(F4217=0,"NOT FOUND",INDEX('All Song Rankings'!$D:$D,F4217))</f>
        <v>Scott</v>
      </c>
      <c r="J4217" s="7" t="str">
        <f aca="false">IF(F4217=0,"NOT FOUND",IF(C4217=I4217,"SELF-VOTE",IF(COUNTIF($K:$K,K4217)&gt;1,"DUPLICATE","OK")))</f>
        <v>OK</v>
      </c>
      <c r="K4217" s="6" t="str">
        <f aca="false">A4217&amp;"|"&amp;B4217&amp;"|"&amp;C4217&amp;"|"&amp;D4217</f>
        <v>6|7|Colleen|spotify:track:0XJGoeexYvCDo2h6wY7qlR</v>
      </c>
    </row>
    <row r="4218" customFormat="false" ht="15" hidden="false" customHeight="false" outlineLevel="0" collapsed="false">
      <c r="A4218" s="5" t="n">
        <v>6</v>
      </c>
      <c r="B4218" s="5" t="n">
        <v>7</v>
      </c>
      <c r="C4218" s="5" t="s">
        <v>637</v>
      </c>
      <c r="D4218" s="5" t="s">
        <v>1961</v>
      </c>
      <c r="E4218" s="5" t="n">
        <v>1</v>
      </c>
      <c r="F4218" s="6" t="n">
        <f aca="false">IFERROR(MATCH(A4218&amp;"|"&amp;B4218&amp;"|"&amp;D4218,'All Song Rankings'!$T:$T,0),0)</f>
        <v>651</v>
      </c>
      <c r="G4218" s="6" t="str">
        <f aca="false">IF(F4218=0,"NOT FOUND",INDEX('All Song Rankings'!$A:$A,F4218))</f>
        <v>Belief</v>
      </c>
      <c r="H4218" s="6" t="str">
        <f aca="false">IF(F4218=0,"NOT FOUND",INDEX('All Song Rankings'!$B:$B,F4218))</f>
        <v>Ben Fankhauser</v>
      </c>
      <c r="I4218" s="6" t="str">
        <f aca="false">IF(F4218=0,"NOT FOUND",INDEX('All Song Rankings'!$D:$D,F4218))</f>
        <v>Logan</v>
      </c>
      <c r="J4218" s="7" t="str">
        <f aca="false">IF(F4218=0,"NOT FOUND",IF(C4218=I4218,"SELF-VOTE",IF(COUNTIF($K:$K,K4218)&gt;1,"DUPLICATE","OK")))</f>
        <v>OK</v>
      </c>
      <c r="K4218" s="6" t="str">
        <f aca="false">A4218&amp;"|"&amp;B4218&amp;"|"&amp;C4218&amp;"|"&amp;D4218</f>
        <v>6|7|Colleen|spotify:track:1As0DIn3aDCaAspzPQ2s6b</v>
      </c>
    </row>
    <row r="4219" customFormat="false" ht="15" hidden="false" customHeight="false" outlineLevel="0" collapsed="false">
      <c r="A4219" s="5" t="n">
        <v>6</v>
      </c>
      <c r="B4219" s="5" t="n">
        <v>7</v>
      </c>
      <c r="C4219" s="5" t="s">
        <v>637</v>
      </c>
      <c r="D4219" s="5" t="s">
        <v>1930</v>
      </c>
      <c r="E4219" s="5" t="n">
        <v>1</v>
      </c>
      <c r="F4219" s="6" t="n">
        <f aca="false">IFERROR(MATCH(A4219&amp;"|"&amp;B4219&amp;"|"&amp;D4219,'All Song Rankings'!$T:$T,0),0)</f>
        <v>640</v>
      </c>
      <c r="G4219" s="6" t="str">
        <f aca="false">IF(F4219=0,"NOT FOUND",INDEX('All Song Rankings'!$A:$A,F4219))</f>
        <v>Come Fly With Me</v>
      </c>
      <c r="H4219" s="6" t="str">
        <f aca="false">IF(F4219=0,"NOT FOUND",INDEX('All Song Rankings'!$B:$B,F4219))</f>
        <v>Frank Sinatra</v>
      </c>
      <c r="I4219" s="6" t="str">
        <f aca="false">IF(F4219=0,"NOT FOUND",INDEX('All Song Rankings'!$D:$D,F4219))</f>
        <v>Makenzie</v>
      </c>
      <c r="J4219" s="7" t="str">
        <f aca="false">IF(F4219=0,"NOT FOUND",IF(C4219=I4219,"SELF-VOTE",IF(COUNTIF($K:$K,K4219)&gt;1,"DUPLICATE","OK")))</f>
        <v>OK</v>
      </c>
      <c r="K4219" s="6" t="str">
        <f aca="false">A4219&amp;"|"&amp;B4219&amp;"|"&amp;C4219&amp;"|"&amp;D4219</f>
        <v>6|7|Colleen|spotify:track:1GcPhT7osBb4LEJnQ0tmfj</v>
      </c>
    </row>
    <row r="4220" customFormat="false" ht="15" hidden="false" customHeight="false" outlineLevel="0" collapsed="false">
      <c r="A4220" s="5" t="n">
        <v>6</v>
      </c>
      <c r="B4220" s="5" t="n">
        <v>7</v>
      </c>
      <c r="C4220" s="5" t="s">
        <v>637</v>
      </c>
      <c r="D4220" s="5" t="s">
        <v>1958</v>
      </c>
      <c r="E4220" s="5" t="n">
        <v>1</v>
      </c>
      <c r="F4220" s="6" t="n">
        <f aca="false">IFERROR(MATCH(A4220&amp;"|"&amp;B4220&amp;"|"&amp;D4220,'All Song Rankings'!$T:$T,0),0)</f>
        <v>650</v>
      </c>
      <c r="G4220" s="6" t="str">
        <f aca="false">IF(F4220=0,"NOT FOUND",INDEX('All Song Rankings'!$A:$A,F4220))</f>
        <v>Theme From Jurassic Park</v>
      </c>
      <c r="H4220" s="6" t="str">
        <f aca="false">IF(F4220=0,"NOT FOUND",INDEX('All Song Rankings'!$B:$B,F4220))</f>
        <v>John Williams</v>
      </c>
      <c r="I4220" s="6" t="str">
        <f aca="false">IF(F4220=0,"NOT FOUND",INDEX('All Song Rankings'!$D:$D,F4220))</f>
        <v>Josh</v>
      </c>
      <c r="J4220" s="7" t="str">
        <f aca="false">IF(F4220=0,"NOT FOUND",IF(C4220=I4220,"SELF-VOTE",IF(COUNTIF($K:$K,K4220)&gt;1,"DUPLICATE","OK")))</f>
        <v>OK</v>
      </c>
      <c r="K4220" s="6" t="str">
        <f aca="false">A4220&amp;"|"&amp;B4220&amp;"|"&amp;C4220&amp;"|"&amp;D4220</f>
        <v>6|7|Colleen|spotify:track:2TZbQZXOuR8osP2AK8yYMN</v>
      </c>
    </row>
    <row r="4221" customFormat="false" ht="15" hidden="false" customHeight="false" outlineLevel="0" collapsed="false">
      <c r="A4221" s="5" t="n">
        <v>6</v>
      </c>
      <c r="B4221" s="5" t="n">
        <v>7</v>
      </c>
      <c r="C4221" s="5" t="s">
        <v>637</v>
      </c>
      <c r="D4221" s="5" t="s">
        <v>1967</v>
      </c>
      <c r="E4221" s="5" t="n">
        <v>1</v>
      </c>
      <c r="F4221" s="6" t="n">
        <f aca="false">IFERROR(MATCH(A4221&amp;"|"&amp;B4221&amp;"|"&amp;D4221,'All Song Rankings'!$T:$T,0),0)</f>
        <v>653</v>
      </c>
      <c r="G4221" s="6" t="str">
        <f aca="false">IF(F4221=0,"NOT FOUND",INDEX('All Song Rankings'!$A:$A,F4221))</f>
        <v>Next Thing You Know</v>
      </c>
      <c r="H4221" s="6" t="str">
        <f aca="false">IF(F4221=0,"NOT FOUND",INDEX('All Song Rankings'!$B:$B,F4221))</f>
        <v>Jordan Davis</v>
      </c>
      <c r="I4221" s="6" t="str">
        <f aca="false">IF(F4221=0,"NOT FOUND",INDEX('All Song Rankings'!$D:$D,F4221))</f>
        <v>Aubrey</v>
      </c>
      <c r="J4221" s="7" t="str">
        <f aca="false">IF(F4221=0,"NOT FOUND",IF(C4221=I4221,"SELF-VOTE",IF(COUNTIF($K:$K,K4221)&gt;1,"DUPLICATE","OK")))</f>
        <v>OK</v>
      </c>
      <c r="K4221" s="6" t="str">
        <f aca="false">A4221&amp;"|"&amp;B4221&amp;"|"&amp;C4221&amp;"|"&amp;D4221</f>
        <v>6|7|Colleen|spotify:track:2lNTHWu2I5Tcz9ukWsV5Jj</v>
      </c>
    </row>
    <row r="4222" customFormat="false" ht="15" hidden="false" customHeight="false" outlineLevel="0" collapsed="false">
      <c r="A4222" s="5" t="n">
        <v>6</v>
      </c>
      <c r="B4222" s="5" t="n">
        <v>7</v>
      </c>
      <c r="C4222" s="5" t="s">
        <v>637</v>
      </c>
      <c r="D4222" s="5" t="s">
        <v>1955</v>
      </c>
      <c r="E4222" s="5" t="n">
        <v>1</v>
      </c>
      <c r="F4222" s="6" t="n">
        <f aca="false">IFERROR(MATCH(A4222&amp;"|"&amp;B4222&amp;"|"&amp;D4222,'All Song Rankings'!$T:$T,0),0)</f>
        <v>649</v>
      </c>
      <c r="G4222" s="6" t="str">
        <f aca="false">IF(F4222=0,"NOT FOUND",INDEX('All Song Rankings'!$A:$A,F4222))</f>
        <v>People Live Here</v>
      </c>
      <c r="H4222" s="6" t="str">
        <f aca="false">IF(F4222=0,"NOT FOUND",INDEX('All Song Rankings'!$B:$B,F4222))</f>
        <v>Rise Against</v>
      </c>
      <c r="I4222" s="6" t="str">
        <f aca="false">IF(F4222=0,"NOT FOUND",INDEX('All Song Rankings'!$D:$D,F4222))</f>
        <v>Kristen</v>
      </c>
      <c r="J4222" s="7" t="str">
        <f aca="false">IF(F4222=0,"NOT FOUND",IF(C4222=I4222,"SELF-VOTE",IF(COUNTIF($K:$K,K4222)&gt;1,"DUPLICATE","OK")))</f>
        <v>OK</v>
      </c>
      <c r="K4222" s="6" t="str">
        <f aca="false">A4222&amp;"|"&amp;B4222&amp;"|"&amp;C4222&amp;"|"&amp;D4222</f>
        <v>6|7|Colleen|spotify:track:3YsbKbo8m5Uv5zAG2hqOrN</v>
      </c>
    </row>
    <row r="4223" customFormat="false" ht="15" hidden="false" customHeight="false" outlineLevel="0" collapsed="false">
      <c r="A4223" s="5" t="n">
        <v>6</v>
      </c>
      <c r="B4223" s="5" t="n">
        <v>7</v>
      </c>
      <c r="C4223" s="5" t="s">
        <v>637</v>
      </c>
      <c r="D4223" s="5" t="s">
        <v>1947</v>
      </c>
      <c r="E4223" s="5" t="n">
        <v>1</v>
      </c>
      <c r="F4223" s="6" t="n">
        <f aca="false">IFERROR(MATCH(A4223&amp;"|"&amp;B4223&amp;"|"&amp;D4223,'All Song Rankings'!$T:$T,0),0)</f>
        <v>646</v>
      </c>
      <c r="G4223" s="6" t="str">
        <f aca="false">IF(F4223=0,"NOT FOUND",INDEX('All Song Rankings'!$A:$A,F4223))</f>
        <v>I Found You</v>
      </c>
      <c r="H4223" s="6" t="str">
        <f aca="false">IF(F4223=0,"NOT FOUND",INDEX('All Song Rankings'!$B:$B,F4223))</f>
        <v>Cash Cash, Andy Grammer</v>
      </c>
      <c r="I4223" s="6" t="str">
        <f aca="false">IF(F4223=0,"NOT FOUND",INDEX('All Song Rankings'!$D:$D,F4223))</f>
        <v>Grace</v>
      </c>
      <c r="J4223" s="7" t="str">
        <f aca="false">IF(F4223=0,"NOT FOUND",IF(C4223=I4223,"SELF-VOTE",IF(COUNTIF($K:$K,K4223)&gt;1,"DUPLICATE","OK")))</f>
        <v>OK</v>
      </c>
      <c r="K4223" s="6" t="str">
        <f aca="false">A4223&amp;"|"&amp;B4223&amp;"|"&amp;C4223&amp;"|"&amp;D4223</f>
        <v>6|7|Colleen|spotify:track:3wYOGJYD31sLRmBgCvWxa4</v>
      </c>
    </row>
    <row r="4224" customFormat="false" ht="15" hidden="false" customHeight="false" outlineLevel="0" collapsed="false">
      <c r="A4224" s="5" t="n">
        <v>6</v>
      </c>
      <c r="B4224" s="5" t="n">
        <v>7</v>
      </c>
      <c r="C4224" s="5" t="s">
        <v>637</v>
      </c>
      <c r="D4224" s="5" t="s">
        <v>1938</v>
      </c>
      <c r="E4224" s="5" t="n">
        <v>1</v>
      </c>
      <c r="F4224" s="6" t="n">
        <f aca="false">IFERROR(MATCH(A4224&amp;"|"&amp;B4224&amp;"|"&amp;D4224,'All Song Rankings'!$T:$T,0),0)</f>
        <v>643</v>
      </c>
      <c r="G4224" s="6" t="str">
        <f aca="false">IF(F4224=0,"NOT FOUND",INDEX('All Song Rankings'!$A:$A,F4224))</f>
        <v>Til You Can't</v>
      </c>
      <c r="H4224" s="6" t="str">
        <f aca="false">IF(F4224=0,"NOT FOUND",INDEX('All Song Rankings'!$B:$B,F4224))</f>
        <v>Cody Johnson</v>
      </c>
      <c r="I4224" s="6" t="str">
        <f aca="false">IF(F4224=0,"NOT FOUND",INDEX('All Song Rankings'!$D:$D,F4224))</f>
        <v>Kelsey</v>
      </c>
      <c r="J4224" s="7" t="str">
        <f aca="false">IF(F4224=0,"NOT FOUND",IF(C4224=I4224,"SELF-VOTE",IF(COUNTIF($K:$K,K4224)&gt;1,"DUPLICATE","OK")))</f>
        <v>OK</v>
      </c>
      <c r="K4224" s="6" t="str">
        <f aca="false">A4224&amp;"|"&amp;B4224&amp;"|"&amp;C4224&amp;"|"&amp;D4224</f>
        <v>6|7|Colleen|spotify:track:4k3lPl8YTKuY8c1HelVnm3</v>
      </c>
    </row>
    <row r="4225" customFormat="false" ht="15" hidden="false" customHeight="false" outlineLevel="0" collapsed="false">
      <c r="A4225" s="5" t="n">
        <v>6</v>
      </c>
      <c r="B4225" s="5" t="n">
        <v>7</v>
      </c>
      <c r="C4225" s="5" t="s">
        <v>637</v>
      </c>
      <c r="D4225" s="5" t="s">
        <v>1928</v>
      </c>
      <c r="E4225" s="5" t="n">
        <v>1</v>
      </c>
      <c r="F4225" s="6" t="n">
        <f aca="false">IFERROR(MATCH(A4225&amp;"|"&amp;B4225&amp;"|"&amp;D4225,'All Song Rankings'!$T:$T,0),0)</f>
        <v>639</v>
      </c>
      <c r="G4225" s="6" t="str">
        <f aca="false">IF(F4225=0,"NOT FOUND",INDEX('All Song Rankings'!$A:$A,F4225))</f>
        <v>21</v>
      </c>
      <c r="H4225" s="6" t="str">
        <f aca="false">IF(F4225=0,"NOT FOUND",INDEX('All Song Rankings'!$B:$B,F4225))</f>
        <v>Lola</v>
      </c>
      <c r="I4225" s="6" t="str">
        <f aca="false">IF(F4225=0,"NOT FOUND",INDEX('All Song Rankings'!$D:$D,F4225))</f>
        <v>Merita</v>
      </c>
      <c r="J4225" s="7" t="str">
        <f aca="false">IF(F4225=0,"NOT FOUND",IF(C4225=I4225,"SELF-VOTE",IF(COUNTIF($K:$K,K4225)&gt;1,"DUPLICATE","OK")))</f>
        <v>OK</v>
      </c>
      <c r="K4225" s="6" t="str">
        <f aca="false">A4225&amp;"|"&amp;B4225&amp;"|"&amp;C4225&amp;"|"&amp;D4225</f>
        <v>6|7|Colleen|spotify:track:5JnUeseqxjW49AuvB2WXjR</v>
      </c>
    </row>
    <row r="4226" customFormat="false" ht="15" hidden="false" customHeight="false" outlineLevel="0" collapsed="false">
      <c r="A4226" s="5" t="n">
        <v>6</v>
      </c>
      <c r="B4226" s="5" t="n">
        <v>7</v>
      </c>
      <c r="C4226" s="5" t="s">
        <v>382</v>
      </c>
      <c r="D4226" s="5" t="s">
        <v>1936</v>
      </c>
      <c r="E4226" s="5" t="n">
        <v>2</v>
      </c>
      <c r="F4226" s="6" t="n">
        <f aca="false">IFERROR(MATCH(A4226&amp;"|"&amp;B4226&amp;"|"&amp;D4226,'All Song Rankings'!$T:$T,0),0)</f>
        <v>642</v>
      </c>
      <c r="G4226" s="6" t="str">
        <f aca="false">IF(F4226=0,"NOT FOUND",INDEX('All Song Rankings'!$A:$A,F4226))</f>
        <v>Flowers</v>
      </c>
      <c r="H4226" s="6" t="str">
        <f aca="false">IF(F4226=0,"NOT FOUND",INDEX('All Song Rankings'!$B:$B,F4226))</f>
        <v>Samantha Ebert, Seph Schlueter</v>
      </c>
      <c r="I4226" s="6" t="str">
        <f aca="false">IF(F4226=0,"NOT FOUND",INDEX('All Song Rankings'!$D:$D,F4226))</f>
        <v>Nicole</v>
      </c>
      <c r="J4226" s="7" t="str">
        <f aca="false">IF(F4226=0,"NOT FOUND",IF(C4226=I4226,"SELF-VOTE",IF(COUNTIF($K:$K,K4226)&gt;1,"DUPLICATE","OK")))</f>
        <v>OK</v>
      </c>
      <c r="K4226" s="6" t="str">
        <f aca="false">A4226&amp;"|"&amp;B4226&amp;"|"&amp;C4226&amp;"|"&amp;D4226</f>
        <v>6|7|Grace|spotify:track:0KIv0Lho9vsPCj8Sac21IV</v>
      </c>
    </row>
    <row r="4227" customFormat="false" ht="15" hidden="false" customHeight="false" outlineLevel="0" collapsed="false">
      <c r="A4227" s="5" t="n">
        <v>6</v>
      </c>
      <c r="B4227" s="5" t="n">
        <v>7</v>
      </c>
      <c r="C4227" s="5" t="s">
        <v>382</v>
      </c>
      <c r="D4227" s="5" t="s">
        <v>1941</v>
      </c>
      <c r="E4227" s="5" t="n">
        <v>2</v>
      </c>
      <c r="F4227" s="6" t="n">
        <f aca="false">IFERROR(MATCH(A4227&amp;"|"&amp;B4227&amp;"|"&amp;D4227,'All Song Rankings'!$T:$T,0),0)</f>
        <v>644</v>
      </c>
      <c r="G4227" s="6" t="str">
        <f aca="false">IF(F4227=0,"NOT FOUND",INDEX('All Song Rankings'!$A:$A,F4227))</f>
        <v>The Planets, Op. 32: I. Mars, the Bringer of War</v>
      </c>
      <c r="H4227" s="6" t="str">
        <f aca="false">IF(F4227=0,"NOT FOUND",INDEX('All Song Rankings'!$B:$B,F4227))</f>
        <v>Gustav Holst, Berliner Philharmoniker, Herbert von Karajan</v>
      </c>
      <c r="I4227" s="6" t="str">
        <f aca="false">IF(F4227=0,"NOT FOUND",INDEX('All Song Rankings'!$D:$D,F4227))</f>
        <v>Matt</v>
      </c>
      <c r="J4227" s="7" t="str">
        <f aca="false">IF(F4227=0,"NOT FOUND",IF(C4227=I4227,"SELF-VOTE",IF(COUNTIF($K:$K,K4227)&gt;1,"DUPLICATE","OK")))</f>
        <v>OK</v>
      </c>
      <c r="K4227" s="6" t="str">
        <f aca="false">A4227&amp;"|"&amp;B4227&amp;"|"&amp;C4227&amp;"|"&amp;D4227</f>
        <v>6|7|Grace|spotify:track:1C3RIRKQZhSk5d2iioIhkg</v>
      </c>
    </row>
    <row r="4228" customFormat="false" ht="15" hidden="false" customHeight="false" outlineLevel="0" collapsed="false">
      <c r="A4228" s="5" t="n">
        <v>6</v>
      </c>
      <c r="B4228" s="5" t="n">
        <v>7</v>
      </c>
      <c r="C4228" s="5" t="s">
        <v>382</v>
      </c>
      <c r="D4228" s="5" t="s">
        <v>1930</v>
      </c>
      <c r="E4228" s="5" t="n">
        <v>1</v>
      </c>
      <c r="F4228" s="6" t="n">
        <f aca="false">IFERROR(MATCH(A4228&amp;"|"&amp;B4228&amp;"|"&amp;D4228,'All Song Rankings'!$T:$T,0),0)</f>
        <v>640</v>
      </c>
      <c r="G4228" s="6" t="str">
        <f aca="false">IF(F4228=0,"NOT FOUND",INDEX('All Song Rankings'!$A:$A,F4228))</f>
        <v>Come Fly With Me</v>
      </c>
      <c r="H4228" s="6" t="str">
        <f aca="false">IF(F4228=0,"NOT FOUND",INDEX('All Song Rankings'!$B:$B,F4228))</f>
        <v>Frank Sinatra</v>
      </c>
      <c r="I4228" s="6" t="str">
        <f aca="false">IF(F4228=0,"NOT FOUND",INDEX('All Song Rankings'!$D:$D,F4228))</f>
        <v>Makenzie</v>
      </c>
      <c r="J4228" s="7" t="str">
        <f aca="false">IF(F4228=0,"NOT FOUND",IF(C4228=I4228,"SELF-VOTE",IF(COUNTIF($K:$K,K4228)&gt;1,"DUPLICATE","OK")))</f>
        <v>OK</v>
      </c>
      <c r="K4228" s="6" t="str">
        <f aca="false">A4228&amp;"|"&amp;B4228&amp;"|"&amp;C4228&amp;"|"&amp;D4228</f>
        <v>6|7|Grace|spotify:track:1GcPhT7osBb4LEJnQ0tmfj</v>
      </c>
    </row>
    <row r="4229" customFormat="false" ht="15" hidden="false" customHeight="false" outlineLevel="0" collapsed="false">
      <c r="A4229" s="5" t="n">
        <v>6</v>
      </c>
      <c r="B4229" s="5" t="n">
        <v>7</v>
      </c>
      <c r="C4229" s="5" t="s">
        <v>382</v>
      </c>
      <c r="D4229" s="5" t="s">
        <v>1967</v>
      </c>
      <c r="E4229" s="5" t="n">
        <v>1</v>
      </c>
      <c r="F4229" s="6" t="n">
        <f aca="false">IFERROR(MATCH(A4229&amp;"|"&amp;B4229&amp;"|"&amp;D4229,'All Song Rankings'!$T:$T,0),0)</f>
        <v>653</v>
      </c>
      <c r="G4229" s="6" t="str">
        <f aca="false">IF(F4229=0,"NOT FOUND",INDEX('All Song Rankings'!$A:$A,F4229))</f>
        <v>Next Thing You Know</v>
      </c>
      <c r="H4229" s="6" t="str">
        <f aca="false">IF(F4229=0,"NOT FOUND",INDEX('All Song Rankings'!$B:$B,F4229))</f>
        <v>Jordan Davis</v>
      </c>
      <c r="I4229" s="6" t="str">
        <f aca="false">IF(F4229=0,"NOT FOUND",INDEX('All Song Rankings'!$D:$D,F4229))</f>
        <v>Aubrey</v>
      </c>
      <c r="J4229" s="7" t="str">
        <f aca="false">IF(F4229=0,"NOT FOUND",IF(C4229=I4229,"SELF-VOTE",IF(COUNTIF($K:$K,K4229)&gt;1,"DUPLICATE","OK")))</f>
        <v>OK</v>
      </c>
      <c r="K4229" s="6" t="str">
        <f aca="false">A4229&amp;"|"&amp;B4229&amp;"|"&amp;C4229&amp;"|"&amp;D4229</f>
        <v>6|7|Grace|spotify:track:2lNTHWu2I5Tcz9ukWsV5Jj</v>
      </c>
    </row>
    <row r="4230" customFormat="false" ht="15" hidden="false" customHeight="false" outlineLevel="0" collapsed="false">
      <c r="A4230" s="5" t="n">
        <v>6</v>
      </c>
      <c r="B4230" s="5" t="n">
        <v>7</v>
      </c>
      <c r="C4230" s="5" t="s">
        <v>382</v>
      </c>
      <c r="D4230" s="5" t="s">
        <v>1928</v>
      </c>
      <c r="E4230" s="5" t="n">
        <v>2</v>
      </c>
      <c r="F4230" s="6" t="n">
        <f aca="false">IFERROR(MATCH(A4230&amp;"|"&amp;B4230&amp;"|"&amp;D4230,'All Song Rankings'!$T:$T,0),0)</f>
        <v>639</v>
      </c>
      <c r="G4230" s="6" t="str">
        <f aca="false">IF(F4230=0,"NOT FOUND",INDEX('All Song Rankings'!$A:$A,F4230))</f>
        <v>21</v>
      </c>
      <c r="H4230" s="6" t="str">
        <f aca="false">IF(F4230=0,"NOT FOUND",INDEX('All Song Rankings'!$B:$B,F4230))</f>
        <v>Lola</v>
      </c>
      <c r="I4230" s="6" t="str">
        <f aca="false">IF(F4230=0,"NOT FOUND",INDEX('All Song Rankings'!$D:$D,F4230))</f>
        <v>Merita</v>
      </c>
      <c r="J4230" s="7" t="str">
        <f aca="false">IF(F4230=0,"NOT FOUND",IF(C4230=I4230,"SELF-VOTE",IF(COUNTIF($K:$K,K4230)&gt;1,"DUPLICATE","OK")))</f>
        <v>OK</v>
      </c>
      <c r="K4230" s="6" t="str">
        <f aca="false">A4230&amp;"|"&amp;B4230&amp;"|"&amp;C4230&amp;"|"&amp;D4230</f>
        <v>6|7|Grace|spotify:track:5JnUeseqxjW49AuvB2WXjR</v>
      </c>
    </row>
    <row r="4231" customFormat="false" ht="15" hidden="false" customHeight="false" outlineLevel="0" collapsed="false">
      <c r="A4231" s="5" t="n">
        <v>6</v>
      </c>
      <c r="B4231" s="5" t="n">
        <v>7</v>
      </c>
      <c r="C4231" s="5" t="s">
        <v>382</v>
      </c>
      <c r="D4231" s="5" t="s">
        <v>1950</v>
      </c>
      <c r="E4231" s="5" t="n">
        <v>1</v>
      </c>
      <c r="F4231" s="6" t="n">
        <f aca="false">IFERROR(MATCH(A4231&amp;"|"&amp;B4231&amp;"|"&amp;D4231,'All Song Rankings'!$T:$T,0),0)</f>
        <v>647</v>
      </c>
      <c r="G4231" s="6" t="str">
        <f aca="false">IF(F4231=0,"NOT FOUND",INDEX('All Song Rankings'!$A:$A,F4231))</f>
        <v>Fragile</v>
      </c>
      <c r="H4231" s="6" t="str">
        <f aca="false">IF(F4231=0,"NOT FOUND",INDEX('All Song Rankings'!$B:$B,F4231))</f>
        <v>Sting</v>
      </c>
      <c r="I4231" s="6" t="str">
        <f aca="false">IF(F4231=0,"NOT FOUND",INDEX('All Song Rankings'!$D:$D,F4231))</f>
        <v>Christine</v>
      </c>
      <c r="J4231" s="7" t="str">
        <f aca="false">IF(F4231=0,"NOT FOUND",IF(C4231=I4231,"SELF-VOTE",IF(COUNTIF($K:$K,K4231)&gt;1,"DUPLICATE","OK")))</f>
        <v>OK</v>
      </c>
      <c r="K4231" s="6" t="str">
        <f aca="false">A4231&amp;"|"&amp;B4231&amp;"|"&amp;C4231&amp;"|"&amp;D4231</f>
        <v>6|7|Grace|spotify:track:5oE6INocVL9viDow5y8QNM</v>
      </c>
    </row>
    <row r="4232" customFormat="false" ht="15" hidden="false" customHeight="false" outlineLevel="0" collapsed="false">
      <c r="A4232" s="5" t="n">
        <v>6</v>
      </c>
      <c r="B4232" s="5" t="n">
        <v>7</v>
      </c>
      <c r="C4232" s="5" t="s">
        <v>382</v>
      </c>
      <c r="D4232" s="5" t="s">
        <v>1933</v>
      </c>
      <c r="E4232" s="5" t="n">
        <v>1</v>
      </c>
      <c r="F4232" s="6" t="n">
        <f aca="false">IFERROR(MATCH(A4232&amp;"|"&amp;B4232&amp;"|"&amp;D4232,'All Song Rankings'!$T:$T,0),0)</f>
        <v>641</v>
      </c>
      <c r="G4232" s="6" t="str">
        <f aca="false">IF(F4232=0,"NOT FOUND",INDEX('All Song Rankings'!$A:$A,F4232))</f>
        <v>Where I Belong (feat. We The Kings)</v>
      </c>
      <c r="H4232" s="6" t="str">
        <f aca="false">IF(F4232=0,"NOT FOUND",INDEX('All Song Rankings'!$B:$B,F4232))</f>
        <v>Simple Plan, State Champs, We The Kings</v>
      </c>
      <c r="I4232" s="6" t="str">
        <f aca="false">IF(F4232=0,"NOT FOUND",INDEX('All Song Rankings'!$D:$D,F4232))</f>
        <v>Colleen</v>
      </c>
      <c r="J4232" s="7" t="str">
        <f aca="false">IF(F4232=0,"NOT FOUND",IF(C4232=I4232,"SELF-VOTE",IF(COUNTIF($K:$K,K4232)&gt;1,"DUPLICATE","OK")))</f>
        <v>OK</v>
      </c>
      <c r="K4232" s="6" t="str">
        <f aca="false">A4232&amp;"|"&amp;B4232&amp;"|"&amp;C4232&amp;"|"&amp;D4232</f>
        <v>6|7|Grace|spotify:track:6XbmIuDxm4gWpVYoGg5DQX</v>
      </c>
    </row>
    <row r="4233" customFormat="false" ht="15" hidden="false" customHeight="false" outlineLevel="0" collapsed="false">
      <c r="A4233" s="5" t="n">
        <v>6</v>
      </c>
      <c r="B4233" s="5" t="n">
        <v>7</v>
      </c>
      <c r="C4233" s="5" t="s">
        <v>1843</v>
      </c>
      <c r="D4233" s="5" t="s">
        <v>1941</v>
      </c>
      <c r="E4233" s="5" t="n">
        <v>1</v>
      </c>
      <c r="F4233" s="6" t="n">
        <f aca="false">IFERROR(MATCH(A4233&amp;"|"&amp;B4233&amp;"|"&amp;D4233,'All Song Rankings'!$T:$T,0),0)</f>
        <v>644</v>
      </c>
      <c r="G4233" s="6" t="str">
        <f aca="false">IF(F4233=0,"NOT FOUND",INDEX('All Song Rankings'!$A:$A,F4233))</f>
        <v>The Planets, Op. 32: I. Mars, the Bringer of War</v>
      </c>
      <c r="H4233" s="6" t="str">
        <f aca="false">IF(F4233=0,"NOT FOUND",INDEX('All Song Rankings'!$B:$B,F4233))</f>
        <v>Gustav Holst, Berliner Philharmoniker, Herbert von Karajan</v>
      </c>
      <c r="I4233" s="6" t="str">
        <f aca="false">IF(F4233=0,"NOT FOUND",INDEX('All Song Rankings'!$D:$D,F4233))</f>
        <v>Matt</v>
      </c>
      <c r="J4233" s="7" t="str">
        <f aca="false">IF(F4233=0,"NOT FOUND",IF(C4233=I4233,"SELF-VOTE",IF(COUNTIF($K:$K,K4233)&gt;1,"DUPLICATE","OK")))</f>
        <v>OK</v>
      </c>
      <c r="K4233" s="6" t="str">
        <f aca="false">A4233&amp;"|"&amp;B4233&amp;"|"&amp;C4233&amp;"|"&amp;D4233</f>
        <v>6|7|Josh|spotify:track:1C3RIRKQZhSk5d2iioIhkg</v>
      </c>
    </row>
    <row r="4234" customFormat="false" ht="15" hidden="false" customHeight="false" outlineLevel="0" collapsed="false">
      <c r="A4234" s="5" t="n">
        <v>6</v>
      </c>
      <c r="B4234" s="5" t="n">
        <v>7</v>
      </c>
      <c r="C4234" s="5" t="s">
        <v>1843</v>
      </c>
      <c r="D4234" s="5" t="s">
        <v>1930</v>
      </c>
      <c r="E4234" s="5" t="n">
        <v>2</v>
      </c>
      <c r="F4234" s="6" t="n">
        <f aca="false">IFERROR(MATCH(A4234&amp;"|"&amp;B4234&amp;"|"&amp;D4234,'All Song Rankings'!$T:$T,0),0)</f>
        <v>640</v>
      </c>
      <c r="G4234" s="6" t="str">
        <f aca="false">IF(F4234=0,"NOT FOUND",INDEX('All Song Rankings'!$A:$A,F4234))</f>
        <v>Come Fly With Me</v>
      </c>
      <c r="H4234" s="6" t="str">
        <f aca="false">IF(F4234=0,"NOT FOUND",INDEX('All Song Rankings'!$B:$B,F4234))</f>
        <v>Frank Sinatra</v>
      </c>
      <c r="I4234" s="6" t="str">
        <f aca="false">IF(F4234=0,"NOT FOUND",INDEX('All Song Rankings'!$D:$D,F4234))</f>
        <v>Makenzie</v>
      </c>
      <c r="J4234" s="7" t="str">
        <f aca="false">IF(F4234=0,"NOT FOUND",IF(C4234=I4234,"SELF-VOTE",IF(COUNTIF($K:$K,K4234)&gt;1,"DUPLICATE","OK")))</f>
        <v>OK</v>
      </c>
      <c r="K4234" s="6" t="str">
        <f aca="false">A4234&amp;"|"&amp;B4234&amp;"|"&amp;C4234&amp;"|"&amp;D4234</f>
        <v>6|7|Josh|spotify:track:1GcPhT7osBb4LEJnQ0tmfj</v>
      </c>
    </row>
    <row r="4235" customFormat="false" ht="15" hidden="false" customHeight="false" outlineLevel="0" collapsed="false">
      <c r="A4235" s="5" t="n">
        <v>6</v>
      </c>
      <c r="B4235" s="5" t="n">
        <v>7</v>
      </c>
      <c r="C4235" s="5" t="s">
        <v>1843</v>
      </c>
      <c r="D4235" s="5" t="s">
        <v>1967</v>
      </c>
      <c r="E4235" s="5" t="n">
        <v>1</v>
      </c>
      <c r="F4235" s="6" t="n">
        <f aca="false">IFERROR(MATCH(A4235&amp;"|"&amp;B4235&amp;"|"&amp;D4235,'All Song Rankings'!$T:$T,0),0)</f>
        <v>653</v>
      </c>
      <c r="G4235" s="6" t="str">
        <f aca="false">IF(F4235=0,"NOT FOUND",INDEX('All Song Rankings'!$A:$A,F4235))</f>
        <v>Next Thing You Know</v>
      </c>
      <c r="H4235" s="6" t="str">
        <f aca="false">IF(F4235=0,"NOT FOUND",INDEX('All Song Rankings'!$B:$B,F4235))</f>
        <v>Jordan Davis</v>
      </c>
      <c r="I4235" s="6" t="str">
        <f aca="false">IF(F4235=0,"NOT FOUND",INDEX('All Song Rankings'!$D:$D,F4235))</f>
        <v>Aubrey</v>
      </c>
      <c r="J4235" s="7" t="str">
        <f aca="false">IF(F4235=0,"NOT FOUND",IF(C4235=I4235,"SELF-VOTE",IF(COUNTIF($K:$K,K4235)&gt;1,"DUPLICATE","OK")))</f>
        <v>OK</v>
      </c>
      <c r="K4235" s="6" t="str">
        <f aca="false">A4235&amp;"|"&amp;B4235&amp;"|"&amp;C4235&amp;"|"&amp;D4235</f>
        <v>6|7|Josh|spotify:track:2lNTHWu2I5Tcz9ukWsV5Jj</v>
      </c>
    </row>
    <row r="4236" customFormat="false" ht="15" hidden="false" customHeight="false" outlineLevel="0" collapsed="false">
      <c r="A4236" s="5" t="n">
        <v>6</v>
      </c>
      <c r="B4236" s="5" t="n">
        <v>7</v>
      </c>
      <c r="C4236" s="5" t="s">
        <v>1843</v>
      </c>
      <c r="D4236" s="5" t="s">
        <v>1953</v>
      </c>
      <c r="E4236" s="5" t="n">
        <v>3</v>
      </c>
      <c r="F4236" s="6" t="n">
        <f aca="false">IFERROR(MATCH(A4236&amp;"|"&amp;B4236&amp;"|"&amp;D4236,'All Song Rankings'!$T:$T,0),0)</f>
        <v>648</v>
      </c>
      <c r="G4236" s="6" t="str">
        <f aca="false">IF(F4236=0,"NOT FOUND",INDEX('All Song Rankings'!$A:$A,F4236))</f>
        <v>California Love - Original Version</v>
      </c>
      <c r="H4236" s="6" t="str">
        <f aca="false">IF(F4236=0,"NOT FOUND",INDEX('All Song Rankings'!$B:$B,F4236))</f>
        <v>2Pac, Roger, Dr. Dre</v>
      </c>
      <c r="I4236" s="6" t="str">
        <f aca="false">IF(F4236=0,"NOT FOUND",INDEX('All Song Rankings'!$D:$D,F4236))</f>
        <v>Stephanie</v>
      </c>
      <c r="J4236" s="7" t="str">
        <f aca="false">IF(F4236=0,"NOT FOUND",IF(C4236=I4236,"SELF-VOTE",IF(COUNTIF($K:$K,K4236)&gt;1,"DUPLICATE","OK")))</f>
        <v>OK</v>
      </c>
      <c r="K4236" s="6" t="str">
        <f aca="false">A4236&amp;"|"&amp;B4236&amp;"|"&amp;C4236&amp;"|"&amp;D4236</f>
        <v>6|7|Josh|spotify:track:3ia3dJETSOllPsv3LJkE35</v>
      </c>
    </row>
    <row r="4237" customFormat="false" ht="15" hidden="false" customHeight="false" outlineLevel="0" collapsed="false">
      <c r="A4237" s="5" t="n">
        <v>6</v>
      </c>
      <c r="B4237" s="5" t="n">
        <v>7</v>
      </c>
      <c r="C4237" s="5" t="s">
        <v>1843</v>
      </c>
      <c r="D4237" s="5" t="s">
        <v>1938</v>
      </c>
      <c r="E4237" s="5" t="n">
        <v>3</v>
      </c>
      <c r="F4237" s="6" t="n">
        <f aca="false">IFERROR(MATCH(A4237&amp;"|"&amp;B4237&amp;"|"&amp;D4237,'All Song Rankings'!$T:$T,0),0)</f>
        <v>643</v>
      </c>
      <c r="G4237" s="6" t="str">
        <f aca="false">IF(F4237=0,"NOT FOUND",INDEX('All Song Rankings'!$A:$A,F4237))</f>
        <v>Til You Can't</v>
      </c>
      <c r="H4237" s="6" t="str">
        <f aca="false">IF(F4237=0,"NOT FOUND",INDEX('All Song Rankings'!$B:$B,F4237))</f>
        <v>Cody Johnson</v>
      </c>
      <c r="I4237" s="6" t="str">
        <f aca="false">IF(F4237=0,"NOT FOUND",INDEX('All Song Rankings'!$D:$D,F4237))</f>
        <v>Kelsey</v>
      </c>
      <c r="J4237" s="7" t="str">
        <f aca="false">IF(F4237=0,"NOT FOUND",IF(C4237=I4237,"SELF-VOTE",IF(COUNTIF($K:$K,K4237)&gt;1,"DUPLICATE","OK")))</f>
        <v>OK</v>
      </c>
      <c r="K4237" s="6" t="str">
        <f aca="false">A4237&amp;"|"&amp;B4237&amp;"|"&amp;C4237&amp;"|"&amp;D4237</f>
        <v>6|7|Josh|spotify:track:4k3lPl8YTKuY8c1HelVnm3</v>
      </c>
    </row>
    <row r="4238" customFormat="false" ht="15" hidden="false" customHeight="false" outlineLevel="0" collapsed="false">
      <c r="A4238" s="5" t="n">
        <v>6</v>
      </c>
      <c r="B4238" s="5" t="n">
        <v>7</v>
      </c>
      <c r="C4238" s="5" t="s">
        <v>85</v>
      </c>
      <c r="D4238" s="5" t="s">
        <v>1936</v>
      </c>
      <c r="E4238" s="5" t="n">
        <v>2</v>
      </c>
      <c r="F4238" s="6" t="n">
        <f aca="false">IFERROR(MATCH(A4238&amp;"|"&amp;B4238&amp;"|"&amp;D4238,'All Song Rankings'!$T:$T,0),0)</f>
        <v>642</v>
      </c>
      <c r="G4238" s="6" t="str">
        <f aca="false">IF(F4238=0,"NOT FOUND",INDEX('All Song Rankings'!$A:$A,F4238))</f>
        <v>Flowers</v>
      </c>
      <c r="H4238" s="6" t="str">
        <f aca="false">IF(F4238=0,"NOT FOUND",INDEX('All Song Rankings'!$B:$B,F4238))</f>
        <v>Samantha Ebert, Seph Schlueter</v>
      </c>
      <c r="I4238" s="6" t="str">
        <f aca="false">IF(F4238=0,"NOT FOUND",INDEX('All Song Rankings'!$D:$D,F4238))</f>
        <v>Nicole</v>
      </c>
      <c r="J4238" s="7" t="str">
        <f aca="false">IF(F4238=0,"NOT FOUND",IF(C4238=I4238,"SELF-VOTE",IF(COUNTIF($K:$K,K4238)&gt;1,"DUPLICATE","OK")))</f>
        <v>OK</v>
      </c>
      <c r="K4238" s="6" t="str">
        <f aca="false">A4238&amp;"|"&amp;B4238&amp;"|"&amp;C4238&amp;"|"&amp;D4238</f>
        <v>6|7|Kelsey|spotify:track:0KIv0Lho9vsPCj8Sac21IV</v>
      </c>
    </row>
    <row r="4239" customFormat="false" ht="15" hidden="false" customHeight="false" outlineLevel="0" collapsed="false">
      <c r="A4239" s="5" t="n">
        <v>6</v>
      </c>
      <c r="B4239" s="5" t="n">
        <v>7</v>
      </c>
      <c r="C4239" s="5" t="s">
        <v>85</v>
      </c>
      <c r="D4239" s="5" t="s">
        <v>1961</v>
      </c>
      <c r="E4239" s="5" t="n">
        <v>1</v>
      </c>
      <c r="F4239" s="6" t="n">
        <f aca="false">IFERROR(MATCH(A4239&amp;"|"&amp;B4239&amp;"|"&amp;D4239,'All Song Rankings'!$T:$T,0),0)</f>
        <v>651</v>
      </c>
      <c r="G4239" s="6" t="str">
        <f aca="false">IF(F4239=0,"NOT FOUND",INDEX('All Song Rankings'!$A:$A,F4239))</f>
        <v>Belief</v>
      </c>
      <c r="H4239" s="6" t="str">
        <f aca="false">IF(F4239=0,"NOT FOUND",INDEX('All Song Rankings'!$B:$B,F4239))</f>
        <v>Ben Fankhauser</v>
      </c>
      <c r="I4239" s="6" t="str">
        <f aca="false">IF(F4239=0,"NOT FOUND",INDEX('All Song Rankings'!$D:$D,F4239))</f>
        <v>Logan</v>
      </c>
      <c r="J4239" s="7" t="str">
        <f aca="false">IF(F4239=0,"NOT FOUND",IF(C4239=I4239,"SELF-VOTE",IF(COUNTIF($K:$K,K4239)&gt;1,"DUPLICATE","OK")))</f>
        <v>OK</v>
      </c>
      <c r="K4239" s="6" t="str">
        <f aca="false">A4239&amp;"|"&amp;B4239&amp;"|"&amp;C4239&amp;"|"&amp;D4239</f>
        <v>6|7|Kelsey|spotify:track:1As0DIn3aDCaAspzPQ2s6b</v>
      </c>
    </row>
    <row r="4240" customFormat="false" ht="15" hidden="false" customHeight="false" outlineLevel="0" collapsed="false">
      <c r="A4240" s="5" t="n">
        <v>6</v>
      </c>
      <c r="B4240" s="5" t="n">
        <v>7</v>
      </c>
      <c r="C4240" s="5" t="s">
        <v>85</v>
      </c>
      <c r="D4240" s="5" t="s">
        <v>1967</v>
      </c>
      <c r="E4240" s="5" t="n">
        <v>2</v>
      </c>
      <c r="F4240" s="6" t="n">
        <f aca="false">IFERROR(MATCH(A4240&amp;"|"&amp;B4240&amp;"|"&amp;D4240,'All Song Rankings'!$T:$T,0),0)</f>
        <v>653</v>
      </c>
      <c r="G4240" s="6" t="str">
        <f aca="false">IF(F4240=0,"NOT FOUND",INDEX('All Song Rankings'!$A:$A,F4240))</f>
        <v>Next Thing You Know</v>
      </c>
      <c r="H4240" s="6" t="str">
        <f aca="false">IF(F4240=0,"NOT FOUND",INDEX('All Song Rankings'!$B:$B,F4240))</f>
        <v>Jordan Davis</v>
      </c>
      <c r="I4240" s="6" t="str">
        <f aca="false">IF(F4240=0,"NOT FOUND",INDEX('All Song Rankings'!$D:$D,F4240))</f>
        <v>Aubrey</v>
      </c>
      <c r="J4240" s="7" t="str">
        <f aca="false">IF(F4240=0,"NOT FOUND",IF(C4240=I4240,"SELF-VOTE",IF(COUNTIF($K:$K,K4240)&gt;1,"DUPLICATE","OK")))</f>
        <v>OK</v>
      </c>
      <c r="K4240" s="6" t="str">
        <f aca="false">A4240&amp;"|"&amp;B4240&amp;"|"&amp;C4240&amp;"|"&amp;D4240</f>
        <v>6|7|Kelsey|spotify:track:2lNTHWu2I5Tcz9ukWsV5Jj</v>
      </c>
    </row>
    <row r="4241" customFormat="false" ht="15" hidden="false" customHeight="false" outlineLevel="0" collapsed="false">
      <c r="A4241" s="5" t="n">
        <v>6</v>
      </c>
      <c r="B4241" s="5" t="n">
        <v>7</v>
      </c>
      <c r="C4241" s="5" t="s">
        <v>85</v>
      </c>
      <c r="D4241" s="5" t="s">
        <v>1947</v>
      </c>
      <c r="E4241" s="5" t="n">
        <v>1</v>
      </c>
      <c r="F4241" s="6" t="n">
        <f aca="false">IFERROR(MATCH(A4241&amp;"|"&amp;B4241&amp;"|"&amp;D4241,'All Song Rankings'!$T:$T,0),0)</f>
        <v>646</v>
      </c>
      <c r="G4241" s="6" t="str">
        <f aca="false">IF(F4241=0,"NOT FOUND",INDEX('All Song Rankings'!$A:$A,F4241))</f>
        <v>I Found You</v>
      </c>
      <c r="H4241" s="6" t="str">
        <f aca="false">IF(F4241=0,"NOT FOUND",INDEX('All Song Rankings'!$B:$B,F4241))</f>
        <v>Cash Cash, Andy Grammer</v>
      </c>
      <c r="I4241" s="6" t="str">
        <f aca="false">IF(F4241=0,"NOT FOUND",INDEX('All Song Rankings'!$D:$D,F4241))</f>
        <v>Grace</v>
      </c>
      <c r="J4241" s="7" t="str">
        <f aca="false">IF(F4241=0,"NOT FOUND",IF(C4241=I4241,"SELF-VOTE",IF(COUNTIF($K:$K,K4241)&gt;1,"DUPLICATE","OK")))</f>
        <v>OK</v>
      </c>
      <c r="K4241" s="6" t="str">
        <f aca="false">A4241&amp;"|"&amp;B4241&amp;"|"&amp;C4241&amp;"|"&amp;D4241</f>
        <v>6|7|Kelsey|spotify:track:3wYOGJYD31sLRmBgCvWxa4</v>
      </c>
    </row>
    <row r="4242" customFormat="false" ht="15" hidden="false" customHeight="false" outlineLevel="0" collapsed="false">
      <c r="A4242" s="5" t="n">
        <v>6</v>
      </c>
      <c r="B4242" s="5" t="n">
        <v>7</v>
      </c>
      <c r="C4242" s="5" t="s">
        <v>85</v>
      </c>
      <c r="D4242" s="5" t="s">
        <v>1928</v>
      </c>
      <c r="E4242" s="5" t="n">
        <v>3</v>
      </c>
      <c r="F4242" s="6" t="n">
        <f aca="false">IFERROR(MATCH(A4242&amp;"|"&amp;B4242&amp;"|"&amp;D4242,'All Song Rankings'!$T:$T,0),0)</f>
        <v>639</v>
      </c>
      <c r="G4242" s="6" t="str">
        <f aca="false">IF(F4242=0,"NOT FOUND",INDEX('All Song Rankings'!$A:$A,F4242))</f>
        <v>21</v>
      </c>
      <c r="H4242" s="6" t="str">
        <f aca="false">IF(F4242=0,"NOT FOUND",INDEX('All Song Rankings'!$B:$B,F4242))</f>
        <v>Lola</v>
      </c>
      <c r="I4242" s="6" t="str">
        <f aca="false">IF(F4242=0,"NOT FOUND",INDEX('All Song Rankings'!$D:$D,F4242))</f>
        <v>Merita</v>
      </c>
      <c r="J4242" s="7" t="str">
        <f aca="false">IF(F4242=0,"NOT FOUND",IF(C4242=I4242,"SELF-VOTE",IF(COUNTIF($K:$K,K4242)&gt;1,"DUPLICATE","OK")))</f>
        <v>OK</v>
      </c>
      <c r="K4242" s="6" t="str">
        <f aca="false">A4242&amp;"|"&amp;B4242&amp;"|"&amp;C4242&amp;"|"&amp;D4242</f>
        <v>6|7|Kelsey|spotify:track:5JnUeseqxjW49AuvB2WXjR</v>
      </c>
    </row>
    <row r="4243" customFormat="false" ht="15" hidden="false" customHeight="false" outlineLevel="0" collapsed="false">
      <c r="A4243" s="5" t="n">
        <v>6</v>
      </c>
      <c r="B4243" s="5" t="n">
        <v>7</v>
      </c>
      <c r="C4243" s="5" t="s">
        <v>85</v>
      </c>
      <c r="D4243" s="5" t="s">
        <v>1933</v>
      </c>
      <c r="E4243" s="5" t="n">
        <v>1</v>
      </c>
      <c r="F4243" s="6" t="n">
        <f aca="false">IFERROR(MATCH(A4243&amp;"|"&amp;B4243&amp;"|"&amp;D4243,'All Song Rankings'!$T:$T,0),0)</f>
        <v>641</v>
      </c>
      <c r="G4243" s="6" t="str">
        <f aca="false">IF(F4243=0,"NOT FOUND",INDEX('All Song Rankings'!$A:$A,F4243))</f>
        <v>Where I Belong (feat. We The Kings)</v>
      </c>
      <c r="H4243" s="6" t="str">
        <f aca="false">IF(F4243=0,"NOT FOUND",INDEX('All Song Rankings'!$B:$B,F4243))</f>
        <v>Simple Plan, State Champs, We The Kings</v>
      </c>
      <c r="I4243" s="6" t="str">
        <f aca="false">IF(F4243=0,"NOT FOUND",INDEX('All Song Rankings'!$D:$D,F4243))</f>
        <v>Colleen</v>
      </c>
      <c r="J4243" s="7" t="str">
        <f aca="false">IF(F4243=0,"NOT FOUND",IF(C4243=I4243,"SELF-VOTE",IF(COUNTIF($K:$K,K4243)&gt;1,"DUPLICATE","OK")))</f>
        <v>OK</v>
      </c>
      <c r="K4243" s="6" t="str">
        <f aca="false">A4243&amp;"|"&amp;B4243&amp;"|"&amp;C4243&amp;"|"&amp;D4243</f>
        <v>6|7|Kelsey|spotify:track:6XbmIuDxm4gWpVYoGg5DQX</v>
      </c>
    </row>
    <row r="4244" customFormat="false" ht="15" hidden="false" customHeight="false" outlineLevel="0" collapsed="false">
      <c r="A4244" s="5" t="n">
        <v>6</v>
      </c>
      <c r="B4244" s="5" t="n">
        <v>7</v>
      </c>
      <c r="C4244" s="5" t="s">
        <v>106</v>
      </c>
      <c r="D4244" s="5" t="s">
        <v>1936</v>
      </c>
      <c r="E4244" s="5" t="n">
        <v>2</v>
      </c>
      <c r="F4244" s="6" t="n">
        <f aca="false">IFERROR(MATCH(A4244&amp;"|"&amp;B4244&amp;"|"&amp;D4244,'All Song Rankings'!$T:$T,0),0)</f>
        <v>642</v>
      </c>
      <c r="G4244" s="6" t="str">
        <f aca="false">IF(F4244=0,"NOT FOUND",INDEX('All Song Rankings'!$A:$A,F4244))</f>
        <v>Flowers</v>
      </c>
      <c r="H4244" s="6" t="str">
        <f aca="false">IF(F4244=0,"NOT FOUND",INDEX('All Song Rankings'!$B:$B,F4244))</f>
        <v>Samantha Ebert, Seph Schlueter</v>
      </c>
      <c r="I4244" s="6" t="str">
        <f aca="false">IF(F4244=0,"NOT FOUND",INDEX('All Song Rankings'!$D:$D,F4244))</f>
        <v>Nicole</v>
      </c>
      <c r="J4244" s="7" t="str">
        <f aca="false">IF(F4244=0,"NOT FOUND",IF(C4244=I4244,"SELF-VOTE",IF(COUNTIF($K:$K,K4244)&gt;1,"DUPLICATE","OK")))</f>
        <v>OK</v>
      </c>
      <c r="K4244" s="6" t="str">
        <f aca="false">A4244&amp;"|"&amp;B4244&amp;"|"&amp;C4244&amp;"|"&amp;D4244</f>
        <v>6|7|Kristen|spotify:track:0KIv0Lho9vsPCj8Sac21IV</v>
      </c>
    </row>
    <row r="4245" customFormat="false" ht="15" hidden="false" customHeight="false" outlineLevel="0" collapsed="false">
      <c r="A4245" s="5" t="n">
        <v>6</v>
      </c>
      <c r="B4245" s="5" t="n">
        <v>7</v>
      </c>
      <c r="C4245" s="5" t="s">
        <v>106</v>
      </c>
      <c r="D4245" s="5" t="s">
        <v>1961</v>
      </c>
      <c r="E4245" s="5" t="n">
        <v>1</v>
      </c>
      <c r="F4245" s="6" t="n">
        <f aca="false">IFERROR(MATCH(A4245&amp;"|"&amp;B4245&amp;"|"&amp;D4245,'All Song Rankings'!$T:$T,0),0)</f>
        <v>651</v>
      </c>
      <c r="G4245" s="6" t="str">
        <f aca="false">IF(F4245=0,"NOT FOUND",INDEX('All Song Rankings'!$A:$A,F4245))</f>
        <v>Belief</v>
      </c>
      <c r="H4245" s="6" t="str">
        <f aca="false">IF(F4245=0,"NOT FOUND",INDEX('All Song Rankings'!$B:$B,F4245))</f>
        <v>Ben Fankhauser</v>
      </c>
      <c r="I4245" s="6" t="str">
        <f aca="false">IF(F4245=0,"NOT FOUND",INDEX('All Song Rankings'!$D:$D,F4245))</f>
        <v>Logan</v>
      </c>
      <c r="J4245" s="7" t="str">
        <f aca="false">IF(F4245=0,"NOT FOUND",IF(C4245=I4245,"SELF-VOTE",IF(COUNTIF($K:$K,K4245)&gt;1,"DUPLICATE","OK")))</f>
        <v>OK</v>
      </c>
      <c r="K4245" s="6" t="str">
        <f aca="false">A4245&amp;"|"&amp;B4245&amp;"|"&amp;C4245&amp;"|"&amp;D4245</f>
        <v>6|7|Kristen|spotify:track:1As0DIn3aDCaAspzPQ2s6b</v>
      </c>
    </row>
    <row r="4246" customFormat="false" ht="15" hidden="false" customHeight="false" outlineLevel="0" collapsed="false">
      <c r="A4246" s="5" t="n">
        <v>6</v>
      </c>
      <c r="B4246" s="5" t="n">
        <v>7</v>
      </c>
      <c r="C4246" s="5" t="s">
        <v>106</v>
      </c>
      <c r="D4246" s="5" t="s">
        <v>1941</v>
      </c>
      <c r="E4246" s="5" t="n">
        <v>1</v>
      </c>
      <c r="F4246" s="6" t="n">
        <f aca="false">IFERROR(MATCH(A4246&amp;"|"&amp;B4246&amp;"|"&amp;D4246,'All Song Rankings'!$T:$T,0),0)</f>
        <v>644</v>
      </c>
      <c r="G4246" s="6" t="str">
        <f aca="false">IF(F4246=0,"NOT FOUND",INDEX('All Song Rankings'!$A:$A,F4246))</f>
        <v>The Planets, Op. 32: I. Mars, the Bringer of War</v>
      </c>
      <c r="H4246" s="6" t="str">
        <f aca="false">IF(F4246=0,"NOT FOUND",INDEX('All Song Rankings'!$B:$B,F4246))</f>
        <v>Gustav Holst, Berliner Philharmoniker, Herbert von Karajan</v>
      </c>
      <c r="I4246" s="6" t="str">
        <f aca="false">IF(F4246=0,"NOT FOUND",INDEX('All Song Rankings'!$D:$D,F4246))</f>
        <v>Matt</v>
      </c>
      <c r="J4246" s="7" t="str">
        <f aca="false">IF(F4246=0,"NOT FOUND",IF(C4246=I4246,"SELF-VOTE",IF(COUNTIF($K:$K,K4246)&gt;1,"DUPLICATE","OK")))</f>
        <v>OK</v>
      </c>
      <c r="K4246" s="6" t="str">
        <f aca="false">A4246&amp;"|"&amp;B4246&amp;"|"&amp;C4246&amp;"|"&amp;D4246</f>
        <v>6|7|Kristen|spotify:track:1C3RIRKQZhSk5d2iioIhkg</v>
      </c>
    </row>
    <row r="4247" customFormat="false" ht="15" hidden="false" customHeight="false" outlineLevel="0" collapsed="false">
      <c r="A4247" s="5" t="n">
        <v>6</v>
      </c>
      <c r="B4247" s="5" t="n">
        <v>7</v>
      </c>
      <c r="C4247" s="5" t="s">
        <v>106</v>
      </c>
      <c r="D4247" s="5" t="s">
        <v>1930</v>
      </c>
      <c r="E4247" s="5" t="n">
        <v>1</v>
      </c>
      <c r="F4247" s="6" t="n">
        <f aca="false">IFERROR(MATCH(A4247&amp;"|"&amp;B4247&amp;"|"&amp;D4247,'All Song Rankings'!$T:$T,0),0)</f>
        <v>640</v>
      </c>
      <c r="G4247" s="6" t="str">
        <f aca="false">IF(F4247=0,"NOT FOUND",INDEX('All Song Rankings'!$A:$A,F4247))</f>
        <v>Come Fly With Me</v>
      </c>
      <c r="H4247" s="6" t="str">
        <f aca="false">IF(F4247=0,"NOT FOUND",INDEX('All Song Rankings'!$B:$B,F4247))</f>
        <v>Frank Sinatra</v>
      </c>
      <c r="I4247" s="6" t="str">
        <f aca="false">IF(F4247=0,"NOT FOUND",INDEX('All Song Rankings'!$D:$D,F4247))</f>
        <v>Makenzie</v>
      </c>
      <c r="J4247" s="7" t="str">
        <f aca="false">IF(F4247=0,"NOT FOUND",IF(C4247=I4247,"SELF-VOTE",IF(COUNTIF($K:$K,K4247)&gt;1,"DUPLICATE","OK")))</f>
        <v>OK</v>
      </c>
      <c r="K4247" s="6" t="str">
        <f aca="false">A4247&amp;"|"&amp;B4247&amp;"|"&amp;C4247&amp;"|"&amp;D4247</f>
        <v>6|7|Kristen|spotify:track:1GcPhT7osBb4LEJnQ0tmfj</v>
      </c>
    </row>
    <row r="4248" customFormat="false" ht="15" hidden="false" customHeight="false" outlineLevel="0" collapsed="false">
      <c r="A4248" s="5" t="n">
        <v>6</v>
      </c>
      <c r="B4248" s="5" t="n">
        <v>7</v>
      </c>
      <c r="C4248" s="5" t="s">
        <v>106</v>
      </c>
      <c r="D4248" s="5" t="s">
        <v>1944</v>
      </c>
      <c r="E4248" s="5" t="n">
        <v>1</v>
      </c>
      <c r="F4248" s="6" t="n">
        <f aca="false">IFERROR(MATCH(A4248&amp;"|"&amp;B4248&amp;"|"&amp;D4248,'All Song Rankings'!$T:$T,0),0)</f>
        <v>645</v>
      </c>
      <c r="G4248" s="6" t="str">
        <f aca="false">IF(F4248=0,"NOT FOUND",INDEX('All Song Rankings'!$A:$A,F4248))</f>
        <v>Turn The Page - Live</v>
      </c>
      <c r="H4248" s="6" t="str">
        <f aca="false">IF(F4248=0,"NOT FOUND",INDEX('All Song Rankings'!$B:$B,F4248))</f>
        <v>Bob Seger</v>
      </c>
      <c r="I4248" s="6" t="str">
        <f aca="false">IF(F4248=0,"NOT FOUND",INDEX('All Song Rankings'!$D:$D,F4248))</f>
        <v>Lisa</v>
      </c>
      <c r="J4248" s="7" t="str">
        <f aca="false">IF(F4248=0,"NOT FOUND",IF(C4248=I4248,"SELF-VOTE",IF(COUNTIF($K:$K,K4248)&gt;1,"DUPLICATE","OK")))</f>
        <v>OK</v>
      </c>
      <c r="K4248" s="6" t="str">
        <f aca="false">A4248&amp;"|"&amp;B4248&amp;"|"&amp;C4248&amp;"|"&amp;D4248</f>
        <v>6|7|Kristen|spotify:track:3P2XAL8UpPBM3nfvuEjHHE</v>
      </c>
    </row>
    <row r="4249" customFormat="false" ht="15" hidden="false" customHeight="false" outlineLevel="0" collapsed="false">
      <c r="A4249" s="5" t="n">
        <v>6</v>
      </c>
      <c r="B4249" s="5" t="n">
        <v>7</v>
      </c>
      <c r="C4249" s="5" t="s">
        <v>106</v>
      </c>
      <c r="D4249" s="5" t="s">
        <v>1953</v>
      </c>
      <c r="E4249" s="5" t="n">
        <v>1</v>
      </c>
      <c r="F4249" s="6" t="n">
        <f aca="false">IFERROR(MATCH(A4249&amp;"|"&amp;B4249&amp;"|"&amp;D4249,'All Song Rankings'!$T:$T,0),0)</f>
        <v>648</v>
      </c>
      <c r="G4249" s="6" t="str">
        <f aca="false">IF(F4249=0,"NOT FOUND",INDEX('All Song Rankings'!$A:$A,F4249))</f>
        <v>California Love - Original Version</v>
      </c>
      <c r="H4249" s="6" t="str">
        <f aca="false">IF(F4249=0,"NOT FOUND",INDEX('All Song Rankings'!$B:$B,F4249))</f>
        <v>2Pac, Roger, Dr. Dre</v>
      </c>
      <c r="I4249" s="6" t="str">
        <f aca="false">IF(F4249=0,"NOT FOUND",INDEX('All Song Rankings'!$D:$D,F4249))</f>
        <v>Stephanie</v>
      </c>
      <c r="J4249" s="7" t="str">
        <f aca="false">IF(F4249=0,"NOT FOUND",IF(C4249=I4249,"SELF-VOTE",IF(COUNTIF($K:$K,K4249)&gt;1,"DUPLICATE","OK")))</f>
        <v>OK</v>
      </c>
      <c r="K4249" s="6" t="str">
        <f aca="false">A4249&amp;"|"&amp;B4249&amp;"|"&amp;C4249&amp;"|"&amp;D4249</f>
        <v>6|7|Kristen|spotify:track:3ia3dJETSOllPsv3LJkE35</v>
      </c>
    </row>
    <row r="4250" customFormat="false" ht="15" hidden="false" customHeight="false" outlineLevel="0" collapsed="false">
      <c r="A4250" s="5" t="n">
        <v>6</v>
      </c>
      <c r="B4250" s="5" t="n">
        <v>7</v>
      </c>
      <c r="C4250" s="5" t="s">
        <v>106</v>
      </c>
      <c r="D4250" s="5" t="s">
        <v>1928</v>
      </c>
      <c r="E4250" s="5" t="n">
        <v>2</v>
      </c>
      <c r="F4250" s="6" t="n">
        <f aca="false">IFERROR(MATCH(A4250&amp;"|"&amp;B4250&amp;"|"&amp;D4250,'All Song Rankings'!$T:$T,0),0)</f>
        <v>639</v>
      </c>
      <c r="G4250" s="6" t="str">
        <f aca="false">IF(F4250=0,"NOT FOUND",INDEX('All Song Rankings'!$A:$A,F4250))</f>
        <v>21</v>
      </c>
      <c r="H4250" s="6" t="str">
        <f aca="false">IF(F4250=0,"NOT FOUND",INDEX('All Song Rankings'!$B:$B,F4250))</f>
        <v>Lola</v>
      </c>
      <c r="I4250" s="6" t="str">
        <f aca="false">IF(F4250=0,"NOT FOUND",INDEX('All Song Rankings'!$D:$D,F4250))</f>
        <v>Merita</v>
      </c>
      <c r="J4250" s="7" t="str">
        <f aca="false">IF(F4250=0,"NOT FOUND",IF(C4250=I4250,"SELF-VOTE",IF(COUNTIF($K:$K,K4250)&gt;1,"DUPLICATE","OK")))</f>
        <v>OK</v>
      </c>
      <c r="K4250" s="6" t="str">
        <f aca="false">A4250&amp;"|"&amp;B4250&amp;"|"&amp;C4250&amp;"|"&amp;D4250</f>
        <v>6|7|Kristen|spotify:track:5JnUeseqxjW49AuvB2WXjR</v>
      </c>
    </row>
    <row r="4251" customFormat="false" ht="15" hidden="false" customHeight="false" outlineLevel="0" collapsed="false">
      <c r="A4251" s="5" t="n">
        <v>6</v>
      </c>
      <c r="B4251" s="5" t="n">
        <v>7</v>
      </c>
      <c r="C4251" s="5" t="s">
        <v>106</v>
      </c>
      <c r="D4251" s="5" t="s">
        <v>1950</v>
      </c>
      <c r="E4251" s="5" t="n">
        <v>1</v>
      </c>
      <c r="F4251" s="6" t="n">
        <f aca="false">IFERROR(MATCH(A4251&amp;"|"&amp;B4251&amp;"|"&amp;D4251,'All Song Rankings'!$T:$T,0),0)</f>
        <v>647</v>
      </c>
      <c r="G4251" s="6" t="str">
        <f aca="false">IF(F4251=0,"NOT FOUND",INDEX('All Song Rankings'!$A:$A,F4251))</f>
        <v>Fragile</v>
      </c>
      <c r="H4251" s="6" t="str">
        <f aca="false">IF(F4251=0,"NOT FOUND",INDEX('All Song Rankings'!$B:$B,F4251))</f>
        <v>Sting</v>
      </c>
      <c r="I4251" s="6" t="str">
        <f aca="false">IF(F4251=0,"NOT FOUND",INDEX('All Song Rankings'!$D:$D,F4251))</f>
        <v>Christine</v>
      </c>
      <c r="J4251" s="7" t="str">
        <f aca="false">IF(F4251=0,"NOT FOUND",IF(C4251=I4251,"SELF-VOTE",IF(COUNTIF($K:$K,K4251)&gt;1,"DUPLICATE","OK")))</f>
        <v>OK</v>
      </c>
      <c r="K4251" s="6" t="str">
        <f aca="false">A4251&amp;"|"&amp;B4251&amp;"|"&amp;C4251&amp;"|"&amp;D4251</f>
        <v>6|7|Kristen|spotify:track:5oE6INocVL9viDow5y8QNM</v>
      </c>
    </row>
    <row r="4252" customFormat="false" ht="15" hidden="false" customHeight="false" outlineLevel="0" collapsed="false">
      <c r="A4252" s="5" t="n">
        <v>6</v>
      </c>
      <c r="B4252" s="5" t="n">
        <v>7</v>
      </c>
      <c r="C4252" s="5" t="s">
        <v>119</v>
      </c>
      <c r="D4252" s="5" t="s">
        <v>1941</v>
      </c>
      <c r="E4252" s="5" t="n">
        <v>1</v>
      </c>
      <c r="F4252" s="6" t="n">
        <f aca="false">IFERROR(MATCH(A4252&amp;"|"&amp;B4252&amp;"|"&amp;D4252,'All Song Rankings'!$T:$T,0),0)</f>
        <v>644</v>
      </c>
      <c r="G4252" s="6" t="str">
        <f aca="false">IF(F4252=0,"NOT FOUND",INDEX('All Song Rankings'!$A:$A,F4252))</f>
        <v>The Planets, Op. 32: I. Mars, the Bringer of War</v>
      </c>
      <c r="H4252" s="6" t="str">
        <f aca="false">IF(F4252=0,"NOT FOUND",INDEX('All Song Rankings'!$B:$B,F4252))</f>
        <v>Gustav Holst, Berliner Philharmoniker, Herbert von Karajan</v>
      </c>
      <c r="I4252" s="6" t="str">
        <f aca="false">IF(F4252=0,"NOT FOUND",INDEX('All Song Rankings'!$D:$D,F4252))</f>
        <v>Matt</v>
      </c>
      <c r="J4252" s="7" t="str">
        <f aca="false">IF(F4252=0,"NOT FOUND",IF(C4252=I4252,"SELF-VOTE",IF(COUNTIF($K:$K,K4252)&gt;1,"DUPLICATE","OK")))</f>
        <v>OK</v>
      </c>
      <c r="K4252" s="6" t="str">
        <f aca="false">A4252&amp;"|"&amp;B4252&amp;"|"&amp;C4252&amp;"|"&amp;D4252</f>
        <v>6|7|Leah|spotify:track:1C3RIRKQZhSk5d2iioIhkg</v>
      </c>
    </row>
    <row r="4253" customFormat="false" ht="15" hidden="false" customHeight="false" outlineLevel="0" collapsed="false">
      <c r="A4253" s="5" t="n">
        <v>6</v>
      </c>
      <c r="B4253" s="5" t="n">
        <v>7</v>
      </c>
      <c r="C4253" s="5" t="s">
        <v>119</v>
      </c>
      <c r="D4253" s="5" t="s">
        <v>1930</v>
      </c>
      <c r="E4253" s="5" t="n">
        <v>1</v>
      </c>
      <c r="F4253" s="6" t="n">
        <f aca="false">IFERROR(MATCH(A4253&amp;"|"&amp;B4253&amp;"|"&amp;D4253,'All Song Rankings'!$T:$T,0),0)</f>
        <v>640</v>
      </c>
      <c r="G4253" s="6" t="str">
        <f aca="false">IF(F4253=0,"NOT FOUND",INDEX('All Song Rankings'!$A:$A,F4253))</f>
        <v>Come Fly With Me</v>
      </c>
      <c r="H4253" s="6" t="str">
        <f aca="false">IF(F4253=0,"NOT FOUND",INDEX('All Song Rankings'!$B:$B,F4253))</f>
        <v>Frank Sinatra</v>
      </c>
      <c r="I4253" s="6" t="str">
        <f aca="false">IF(F4253=0,"NOT FOUND",INDEX('All Song Rankings'!$D:$D,F4253))</f>
        <v>Makenzie</v>
      </c>
      <c r="J4253" s="7" t="str">
        <f aca="false">IF(F4253=0,"NOT FOUND",IF(C4253=I4253,"SELF-VOTE",IF(COUNTIF($K:$K,K4253)&gt;1,"DUPLICATE","OK")))</f>
        <v>OK</v>
      </c>
      <c r="K4253" s="6" t="str">
        <f aca="false">A4253&amp;"|"&amp;B4253&amp;"|"&amp;C4253&amp;"|"&amp;D4253</f>
        <v>6|7|Leah|spotify:track:1GcPhT7osBb4LEJnQ0tmfj</v>
      </c>
    </row>
    <row r="4254" customFormat="false" ht="15" hidden="false" customHeight="false" outlineLevel="0" collapsed="false">
      <c r="A4254" s="5" t="n">
        <v>6</v>
      </c>
      <c r="B4254" s="5" t="n">
        <v>7</v>
      </c>
      <c r="C4254" s="5" t="s">
        <v>119</v>
      </c>
      <c r="D4254" s="5" t="s">
        <v>1958</v>
      </c>
      <c r="E4254" s="5" t="n">
        <v>1</v>
      </c>
      <c r="F4254" s="6" t="n">
        <f aca="false">IFERROR(MATCH(A4254&amp;"|"&amp;B4254&amp;"|"&amp;D4254,'All Song Rankings'!$T:$T,0),0)</f>
        <v>650</v>
      </c>
      <c r="G4254" s="6" t="str">
        <f aca="false">IF(F4254=0,"NOT FOUND",INDEX('All Song Rankings'!$A:$A,F4254))</f>
        <v>Theme From Jurassic Park</v>
      </c>
      <c r="H4254" s="6" t="str">
        <f aca="false">IF(F4254=0,"NOT FOUND",INDEX('All Song Rankings'!$B:$B,F4254))</f>
        <v>John Williams</v>
      </c>
      <c r="I4254" s="6" t="str">
        <f aca="false">IF(F4254=0,"NOT FOUND",INDEX('All Song Rankings'!$D:$D,F4254))</f>
        <v>Josh</v>
      </c>
      <c r="J4254" s="7" t="str">
        <f aca="false">IF(F4254=0,"NOT FOUND",IF(C4254=I4254,"SELF-VOTE",IF(COUNTIF($K:$K,K4254)&gt;1,"DUPLICATE","OK")))</f>
        <v>OK</v>
      </c>
      <c r="K4254" s="6" t="str">
        <f aca="false">A4254&amp;"|"&amp;B4254&amp;"|"&amp;C4254&amp;"|"&amp;D4254</f>
        <v>6|7|Leah|spotify:track:2TZbQZXOuR8osP2AK8yYMN</v>
      </c>
    </row>
    <row r="4255" customFormat="false" ht="15" hidden="false" customHeight="false" outlineLevel="0" collapsed="false">
      <c r="A4255" s="5" t="n">
        <v>6</v>
      </c>
      <c r="B4255" s="5" t="n">
        <v>7</v>
      </c>
      <c r="C4255" s="5" t="s">
        <v>119</v>
      </c>
      <c r="D4255" s="5" t="s">
        <v>1967</v>
      </c>
      <c r="E4255" s="5" t="n">
        <v>1</v>
      </c>
      <c r="F4255" s="6" t="n">
        <f aca="false">IFERROR(MATCH(A4255&amp;"|"&amp;B4255&amp;"|"&amp;D4255,'All Song Rankings'!$T:$T,0),0)</f>
        <v>653</v>
      </c>
      <c r="G4255" s="6" t="str">
        <f aca="false">IF(F4255=0,"NOT FOUND",INDEX('All Song Rankings'!$A:$A,F4255))</f>
        <v>Next Thing You Know</v>
      </c>
      <c r="H4255" s="6" t="str">
        <f aca="false">IF(F4255=0,"NOT FOUND",INDEX('All Song Rankings'!$B:$B,F4255))</f>
        <v>Jordan Davis</v>
      </c>
      <c r="I4255" s="6" t="str">
        <f aca="false">IF(F4255=0,"NOT FOUND",INDEX('All Song Rankings'!$D:$D,F4255))</f>
        <v>Aubrey</v>
      </c>
      <c r="J4255" s="7" t="str">
        <f aca="false">IF(F4255=0,"NOT FOUND",IF(C4255=I4255,"SELF-VOTE",IF(COUNTIF($K:$K,K4255)&gt;1,"DUPLICATE","OK")))</f>
        <v>OK</v>
      </c>
      <c r="K4255" s="6" t="str">
        <f aca="false">A4255&amp;"|"&amp;B4255&amp;"|"&amp;C4255&amp;"|"&amp;D4255</f>
        <v>6|7|Leah|spotify:track:2lNTHWu2I5Tcz9ukWsV5Jj</v>
      </c>
    </row>
    <row r="4256" customFormat="false" ht="15" hidden="false" customHeight="false" outlineLevel="0" collapsed="false">
      <c r="A4256" s="5" t="n">
        <v>6</v>
      </c>
      <c r="B4256" s="5" t="n">
        <v>7</v>
      </c>
      <c r="C4256" s="5" t="s">
        <v>119</v>
      </c>
      <c r="D4256" s="5" t="s">
        <v>1944</v>
      </c>
      <c r="E4256" s="5" t="n">
        <v>1</v>
      </c>
      <c r="F4256" s="6" t="n">
        <f aca="false">IFERROR(MATCH(A4256&amp;"|"&amp;B4256&amp;"|"&amp;D4256,'All Song Rankings'!$T:$T,0),0)</f>
        <v>645</v>
      </c>
      <c r="G4256" s="6" t="str">
        <f aca="false">IF(F4256=0,"NOT FOUND",INDEX('All Song Rankings'!$A:$A,F4256))</f>
        <v>Turn The Page - Live</v>
      </c>
      <c r="H4256" s="6" t="str">
        <f aca="false">IF(F4256=0,"NOT FOUND",INDEX('All Song Rankings'!$B:$B,F4256))</f>
        <v>Bob Seger</v>
      </c>
      <c r="I4256" s="6" t="str">
        <f aca="false">IF(F4256=0,"NOT FOUND",INDEX('All Song Rankings'!$D:$D,F4256))</f>
        <v>Lisa</v>
      </c>
      <c r="J4256" s="7" t="str">
        <f aca="false">IF(F4256=0,"NOT FOUND",IF(C4256=I4256,"SELF-VOTE",IF(COUNTIF($K:$K,K4256)&gt;1,"DUPLICATE","OK")))</f>
        <v>OK</v>
      </c>
      <c r="K4256" s="6" t="str">
        <f aca="false">A4256&amp;"|"&amp;B4256&amp;"|"&amp;C4256&amp;"|"&amp;D4256</f>
        <v>6|7|Leah|spotify:track:3P2XAL8UpPBM3nfvuEjHHE</v>
      </c>
    </row>
    <row r="4257" customFormat="false" ht="15" hidden="false" customHeight="false" outlineLevel="0" collapsed="false">
      <c r="A4257" s="5" t="n">
        <v>6</v>
      </c>
      <c r="B4257" s="5" t="n">
        <v>7</v>
      </c>
      <c r="C4257" s="5" t="s">
        <v>119</v>
      </c>
      <c r="D4257" s="5" t="s">
        <v>1955</v>
      </c>
      <c r="E4257" s="5" t="n">
        <v>1</v>
      </c>
      <c r="F4257" s="6" t="n">
        <f aca="false">IFERROR(MATCH(A4257&amp;"|"&amp;B4257&amp;"|"&amp;D4257,'All Song Rankings'!$T:$T,0),0)</f>
        <v>649</v>
      </c>
      <c r="G4257" s="6" t="str">
        <f aca="false">IF(F4257=0,"NOT FOUND",INDEX('All Song Rankings'!$A:$A,F4257))</f>
        <v>People Live Here</v>
      </c>
      <c r="H4257" s="6" t="str">
        <f aca="false">IF(F4257=0,"NOT FOUND",INDEX('All Song Rankings'!$B:$B,F4257))</f>
        <v>Rise Against</v>
      </c>
      <c r="I4257" s="6" t="str">
        <f aca="false">IF(F4257=0,"NOT FOUND",INDEX('All Song Rankings'!$D:$D,F4257))</f>
        <v>Kristen</v>
      </c>
      <c r="J4257" s="7" t="str">
        <f aca="false">IF(F4257=0,"NOT FOUND",IF(C4257=I4257,"SELF-VOTE",IF(COUNTIF($K:$K,K4257)&gt;1,"DUPLICATE","OK")))</f>
        <v>OK</v>
      </c>
      <c r="K4257" s="6" t="str">
        <f aca="false">A4257&amp;"|"&amp;B4257&amp;"|"&amp;C4257&amp;"|"&amp;D4257</f>
        <v>6|7|Leah|spotify:track:3YsbKbo8m5Uv5zAG2hqOrN</v>
      </c>
    </row>
    <row r="4258" customFormat="false" ht="15" hidden="false" customHeight="false" outlineLevel="0" collapsed="false">
      <c r="A4258" s="5" t="n">
        <v>6</v>
      </c>
      <c r="B4258" s="5" t="n">
        <v>7</v>
      </c>
      <c r="C4258" s="5" t="s">
        <v>119</v>
      </c>
      <c r="D4258" s="5" t="s">
        <v>1938</v>
      </c>
      <c r="E4258" s="5" t="n">
        <v>2</v>
      </c>
      <c r="F4258" s="6" t="n">
        <f aca="false">IFERROR(MATCH(A4258&amp;"|"&amp;B4258&amp;"|"&amp;D4258,'All Song Rankings'!$T:$T,0),0)</f>
        <v>643</v>
      </c>
      <c r="G4258" s="6" t="str">
        <f aca="false">IF(F4258=0,"NOT FOUND",INDEX('All Song Rankings'!$A:$A,F4258))</f>
        <v>Til You Can't</v>
      </c>
      <c r="H4258" s="6" t="str">
        <f aca="false">IF(F4258=0,"NOT FOUND",INDEX('All Song Rankings'!$B:$B,F4258))</f>
        <v>Cody Johnson</v>
      </c>
      <c r="I4258" s="6" t="str">
        <f aca="false">IF(F4258=0,"NOT FOUND",INDEX('All Song Rankings'!$D:$D,F4258))</f>
        <v>Kelsey</v>
      </c>
      <c r="J4258" s="7" t="str">
        <f aca="false">IF(F4258=0,"NOT FOUND",IF(C4258=I4258,"SELF-VOTE",IF(COUNTIF($K:$K,K4258)&gt;1,"DUPLICATE","OK")))</f>
        <v>OK</v>
      </c>
      <c r="K4258" s="6" t="str">
        <f aca="false">A4258&amp;"|"&amp;B4258&amp;"|"&amp;C4258&amp;"|"&amp;D4258</f>
        <v>6|7|Leah|spotify:track:4k3lPl8YTKuY8c1HelVnm3</v>
      </c>
    </row>
    <row r="4259" customFormat="false" ht="15" hidden="false" customHeight="false" outlineLevel="0" collapsed="false">
      <c r="A4259" s="5" t="n">
        <v>6</v>
      </c>
      <c r="B4259" s="5" t="n">
        <v>7</v>
      </c>
      <c r="C4259" s="5" t="s">
        <v>119</v>
      </c>
      <c r="D4259" s="5" t="s">
        <v>1928</v>
      </c>
      <c r="E4259" s="5" t="n">
        <v>1</v>
      </c>
      <c r="F4259" s="6" t="n">
        <f aca="false">IFERROR(MATCH(A4259&amp;"|"&amp;B4259&amp;"|"&amp;D4259,'All Song Rankings'!$T:$T,0),0)</f>
        <v>639</v>
      </c>
      <c r="G4259" s="6" t="str">
        <f aca="false">IF(F4259=0,"NOT FOUND",INDEX('All Song Rankings'!$A:$A,F4259))</f>
        <v>21</v>
      </c>
      <c r="H4259" s="6" t="str">
        <f aca="false">IF(F4259=0,"NOT FOUND",INDEX('All Song Rankings'!$B:$B,F4259))</f>
        <v>Lola</v>
      </c>
      <c r="I4259" s="6" t="str">
        <f aca="false">IF(F4259=0,"NOT FOUND",INDEX('All Song Rankings'!$D:$D,F4259))</f>
        <v>Merita</v>
      </c>
      <c r="J4259" s="7" t="str">
        <f aca="false">IF(F4259=0,"NOT FOUND",IF(C4259=I4259,"SELF-VOTE",IF(COUNTIF($K:$K,K4259)&gt;1,"DUPLICATE","OK")))</f>
        <v>OK</v>
      </c>
      <c r="K4259" s="6" t="str">
        <f aca="false">A4259&amp;"|"&amp;B4259&amp;"|"&amp;C4259&amp;"|"&amp;D4259</f>
        <v>6|7|Leah|spotify:track:5JnUeseqxjW49AuvB2WXjR</v>
      </c>
    </row>
    <row r="4260" customFormat="false" ht="15" hidden="false" customHeight="false" outlineLevel="0" collapsed="false">
      <c r="A4260" s="5" t="n">
        <v>6</v>
      </c>
      <c r="B4260" s="5" t="n">
        <v>7</v>
      </c>
      <c r="C4260" s="5" t="s">
        <v>119</v>
      </c>
      <c r="D4260" s="5" t="s">
        <v>1933</v>
      </c>
      <c r="E4260" s="5" t="n">
        <v>1</v>
      </c>
      <c r="F4260" s="6" t="n">
        <f aca="false">IFERROR(MATCH(A4260&amp;"|"&amp;B4260&amp;"|"&amp;D4260,'All Song Rankings'!$T:$T,0),0)</f>
        <v>641</v>
      </c>
      <c r="G4260" s="6" t="str">
        <f aca="false">IF(F4260=0,"NOT FOUND",INDEX('All Song Rankings'!$A:$A,F4260))</f>
        <v>Where I Belong (feat. We The Kings)</v>
      </c>
      <c r="H4260" s="6" t="str">
        <f aca="false">IF(F4260=0,"NOT FOUND",INDEX('All Song Rankings'!$B:$B,F4260))</f>
        <v>Simple Plan, State Champs, We The Kings</v>
      </c>
      <c r="I4260" s="6" t="str">
        <f aca="false">IF(F4260=0,"NOT FOUND",INDEX('All Song Rankings'!$D:$D,F4260))</f>
        <v>Colleen</v>
      </c>
      <c r="J4260" s="7" t="str">
        <f aca="false">IF(F4260=0,"NOT FOUND",IF(C4260=I4260,"SELF-VOTE",IF(COUNTIF($K:$K,K4260)&gt;1,"DUPLICATE","OK")))</f>
        <v>OK</v>
      </c>
      <c r="K4260" s="6" t="str">
        <f aca="false">A4260&amp;"|"&amp;B4260&amp;"|"&amp;C4260&amp;"|"&amp;D4260</f>
        <v>6|7|Leah|spotify:track:6XbmIuDxm4gWpVYoGg5DQX</v>
      </c>
    </row>
    <row r="4261" customFormat="false" ht="15" hidden="false" customHeight="false" outlineLevel="0" collapsed="false">
      <c r="A4261" s="5" t="n">
        <v>6</v>
      </c>
      <c r="B4261" s="5" t="n">
        <v>7</v>
      </c>
      <c r="C4261" s="5" t="s">
        <v>705</v>
      </c>
      <c r="D4261" s="5" t="s">
        <v>1936</v>
      </c>
      <c r="E4261" s="5" t="n">
        <v>2</v>
      </c>
      <c r="F4261" s="6" t="n">
        <f aca="false">IFERROR(MATCH(A4261&amp;"|"&amp;B4261&amp;"|"&amp;D4261,'All Song Rankings'!$T:$T,0),0)</f>
        <v>642</v>
      </c>
      <c r="G4261" s="6" t="str">
        <f aca="false">IF(F4261=0,"NOT FOUND",INDEX('All Song Rankings'!$A:$A,F4261))</f>
        <v>Flowers</v>
      </c>
      <c r="H4261" s="6" t="str">
        <f aca="false">IF(F4261=0,"NOT FOUND",INDEX('All Song Rankings'!$B:$B,F4261))</f>
        <v>Samantha Ebert, Seph Schlueter</v>
      </c>
      <c r="I4261" s="6" t="str">
        <f aca="false">IF(F4261=0,"NOT FOUND",INDEX('All Song Rankings'!$D:$D,F4261))</f>
        <v>Nicole</v>
      </c>
      <c r="J4261" s="7" t="str">
        <f aca="false">IF(F4261=0,"NOT FOUND",IF(C4261=I4261,"SELF-VOTE",IF(COUNTIF($K:$K,K4261)&gt;1,"DUPLICATE","OK")))</f>
        <v>OK</v>
      </c>
      <c r="K4261" s="6" t="str">
        <f aca="false">A4261&amp;"|"&amp;B4261&amp;"|"&amp;C4261&amp;"|"&amp;D4261</f>
        <v>6|7|Lisa|spotify:track:0KIv0Lho9vsPCj8Sac21IV</v>
      </c>
    </row>
    <row r="4262" customFormat="false" ht="15" hidden="false" customHeight="false" outlineLevel="0" collapsed="false">
      <c r="A4262" s="5" t="n">
        <v>6</v>
      </c>
      <c r="B4262" s="5" t="n">
        <v>7</v>
      </c>
      <c r="C4262" s="5" t="s">
        <v>705</v>
      </c>
      <c r="D4262" s="5" t="s">
        <v>1970</v>
      </c>
      <c r="E4262" s="5" t="n">
        <v>1</v>
      </c>
      <c r="F4262" s="6" t="n">
        <f aca="false">IFERROR(MATCH(A4262&amp;"|"&amp;B4262&amp;"|"&amp;D4262,'All Song Rankings'!$T:$T,0),0)</f>
        <v>654</v>
      </c>
      <c r="G4262" s="6" t="str">
        <f aca="false">IF(F4262=0,"NOT FOUND",INDEX('All Song Rankings'!$A:$A,F4262))</f>
        <v>I Love You And Buddha Too</v>
      </c>
      <c r="H4262" s="6" t="str">
        <f aca="false">IF(F4262=0,"NOT FOUND",INDEX('All Song Rankings'!$B:$B,F4262))</f>
        <v>Mason Jennings</v>
      </c>
      <c r="I4262" s="6" t="str">
        <f aca="false">IF(F4262=0,"NOT FOUND",INDEX('All Song Rankings'!$D:$D,F4262))</f>
        <v>Scott</v>
      </c>
      <c r="J4262" s="7" t="str">
        <f aca="false">IF(F4262=0,"NOT FOUND",IF(C4262=I4262,"SELF-VOTE",IF(COUNTIF($K:$K,K4262)&gt;1,"DUPLICATE","OK")))</f>
        <v>OK</v>
      </c>
      <c r="K4262" s="6" t="str">
        <f aca="false">A4262&amp;"|"&amp;B4262&amp;"|"&amp;C4262&amp;"|"&amp;D4262</f>
        <v>6|7|Lisa|spotify:track:0XJGoeexYvCDo2h6wY7qlR</v>
      </c>
    </row>
    <row r="4263" customFormat="false" ht="15" hidden="false" customHeight="false" outlineLevel="0" collapsed="false">
      <c r="A4263" s="5" t="n">
        <v>6</v>
      </c>
      <c r="B4263" s="5" t="n">
        <v>7</v>
      </c>
      <c r="C4263" s="5" t="s">
        <v>705</v>
      </c>
      <c r="D4263" s="5" t="s">
        <v>1961</v>
      </c>
      <c r="E4263" s="5" t="n">
        <v>1</v>
      </c>
      <c r="F4263" s="6" t="n">
        <f aca="false">IFERROR(MATCH(A4263&amp;"|"&amp;B4263&amp;"|"&amp;D4263,'All Song Rankings'!$T:$T,0),0)</f>
        <v>651</v>
      </c>
      <c r="G4263" s="6" t="str">
        <f aca="false">IF(F4263=0,"NOT FOUND",INDEX('All Song Rankings'!$A:$A,F4263))</f>
        <v>Belief</v>
      </c>
      <c r="H4263" s="6" t="str">
        <f aca="false">IF(F4263=0,"NOT FOUND",INDEX('All Song Rankings'!$B:$B,F4263))</f>
        <v>Ben Fankhauser</v>
      </c>
      <c r="I4263" s="6" t="str">
        <f aca="false">IF(F4263=0,"NOT FOUND",INDEX('All Song Rankings'!$D:$D,F4263))</f>
        <v>Logan</v>
      </c>
      <c r="J4263" s="7" t="str">
        <f aca="false">IF(F4263=0,"NOT FOUND",IF(C4263=I4263,"SELF-VOTE",IF(COUNTIF($K:$K,K4263)&gt;1,"DUPLICATE","OK")))</f>
        <v>OK</v>
      </c>
      <c r="K4263" s="6" t="str">
        <f aca="false">A4263&amp;"|"&amp;B4263&amp;"|"&amp;C4263&amp;"|"&amp;D4263</f>
        <v>6|7|Lisa|spotify:track:1As0DIn3aDCaAspzPQ2s6b</v>
      </c>
    </row>
    <row r="4264" customFormat="false" ht="15" hidden="false" customHeight="false" outlineLevel="0" collapsed="false">
      <c r="A4264" s="5" t="n">
        <v>6</v>
      </c>
      <c r="B4264" s="5" t="n">
        <v>7</v>
      </c>
      <c r="C4264" s="5" t="s">
        <v>705</v>
      </c>
      <c r="D4264" s="5" t="s">
        <v>1930</v>
      </c>
      <c r="E4264" s="5" t="n">
        <v>1</v>
      </c>
      <c r="F4264" s="6" t="n">
        <f aca="false">IFERROR(MATCH(A4264&amp;"|"&amp;B4264&amp;"|"&amp;D4264,'All Song Rankings'!$T:$T,0),0)</f>
        <v>640</v>
      </c>
      <c r="G4264" s="6" t="str">
        <f aca="false">IF(F4264=0,"NOT FOUND",INDEX('All Song Rankings'!$A:$A,F4264))</f>
        <v>Come Fly With Me</v>
      </c>
      <c r="H4264" s="6" t="str">
        <f aca="false">IF(F4264=0,"NOT FOUND",INDEX('All Song Rankings'!$B:$B,F4264))</f>
        <v>Frank Sinatra</v>
      </c>
      <c r="I4264" s="6" t="str">
        <f aca="false">IF(F4264=0,"NOT FOUND",INDEX('All Song Rankings'!$D:$D,F4264))</f>
        <v>Makenzie</v>
      </c>
      <c r="J4264" s="7" t="str">
        <f aca="false">IF(F4264=0,"NOT FOUND",IF(C4264=I4264,"SELF-VOTE",IF(COUNTIF($K:$K,K4264)&gt;1,"DUPLICATE","OK")))</f>
        <v>OK</v>
      </c>
      <c r="K4264" s="6" t="str">
        <f aca="false">A4264&amp;"|"&amp;B4264&amp;"|"&amp;C4264&amp;"|"&amp;D4264</f>
        <v>6|7|Lisa|spotify:track:1GcPhT7osBb4LEJnQ0tmfj</v>
      </c>
    </row>
    <row r="4265" customFormat="false" ht="15" hidden="false" customHeight="false" outlineLevel="0" collapsed="false">
      <c r="A4265" s="5" t="n">
        <v>6</v>
      </c>
      <c r="B4265" s="5" t="n">
        <v>7</v>
      </c>
      <c r="C4265" s="5" t="s">
        <v>705</v>
      </c>
      <c r="D4265" s="5" t="s">
        <v>1964</v>
      </c>
      <c r="E4265" s="5" t="n">
        <v>1</v>
      </c>
      <c r="F4265" s="6" t="n">
        <f aca="false">IFERROR(MATCH(A4265&amp;"|"&amp;B4265&amp;"|"&amp;D4265,'All Song Rankings'!$T:$T,0),0)</f>
        <v>652</v>
      </c>
      <c r="G4265" s="6" t="str">
        <f aca="false">IF(F4265=0,"NOT FOUND",INDEX('All Song Rankings'!$A:$A,F4265))</f>
        <v>Gravity</v>
      </c>
      <c r="H4265" s="6" t="str">
        <f aca="false">IF(F4265=0,"NOT FOUND",INDEX('All Song Rankings'!$B:$B,F4265))</f>
        <v>Papa Roach</v>
      </c>
      <c r="I4265" s="6" t="str">
        <f aca="false">IF(F4265=0,"NOT FOUND",INDEX('All Song Rankings'!$D:$D,F4265))</f>
        <v>Leah</v>
      </c>
      <c r="J4265" s="7" t="str">
        <f aca="false">IF(F4265=0,"NOT FOUND",IF(C4265=I4265,"SELF-VOTE",IF(COUNTIF($K:$K,K4265)&gt;1,"DUPLICATE","OK")))</f>
        <v>OK</v>
      </c>
      <c r="K4265" s="6" t="str">
        <f aca="false">A4265&amp;"|"&amp;B4265&amp;"|"&amp;C4265&amp;"|"&amp;D4265</f>
        <v>6|7|Lisa|spotify:track:1SmoikQyzvAi35I5X4LHMY</v>
      </c>
    </row>
    <row r="4266" customFormat="false" ht="15" hidden="false" customHeight="false" outlineLevel="0" collapsed="false">
      <c r="A4266" s="5" t="n">
        <v>6</v>
      </c>
      <c r="B4266" s="5" t="n">
        <v>7</v>
      </c>
      <c r="C4266" s="5" t="s">
        <v>705</v>
      </c>
      <c r="D4266" s="5" t="s">
        <v>1947</v>
      </c>
      <c r="E4266" s="5" t="n">
        <v>2</v>
      </c>
      <c r="F4266" s="6" t="n">
        <f aca="false">IFERROR(MATCH(A4266&amp;"|"&amp;B4266&amp;"|"&amp;D4266,'All Song Rankings'!$T:$T,0),0)</f>
        <v>646</v>
      </c>
      <c r="G4266" s="6" t="str">
        <f aca="false">IF(F4266=0,"NOT FOUND",INDEX('All Song Rankings'!$A:$A,F4266))</f>
        <v>I Found You</v>
      </c>
      <c r="H4266" s="6" t="str">
        <f aca="false">IF(F4266=0,"NOT FOUND",INDEX('All Song Rankings'!$B:$B,F4266))</f>
        <v>Cash Cash, Andy Grammer</v>
      </c>
      <c r="I4266" s="6" t="str">
        <f aca="false">IF(F4266=0,"NOT FOUND",INDEX('All Song Rankings'!$D:$D,F4266))</f>
        <v>Grace</v>
      </c>
      <c r="J4266" s="7" t="str">
        <f aca="false">IF(F4266=0,"NOT FOUND",IF(C4266=I4266,"SELF-VOTE",IF(COUNTIF($K:$K,K4266)&gt;1,"DUPLICATE","OK")))</f>
        <v>OK</v>
      </c>
      <c r="K4266" s="6" t="str">
        <f aca="false">A4266&amp;"|"&amp;B4266&amp;"|"&amp;C4266&amp;"|"&amp;D4266</f>
        <v>6|7|Lisa|spotify:track:3wYOGJYD31sLRmBgCvWxa4</v>
      </c>
    </row>
    <row r="4267" customFormat="false" ht="15" hidden="false" customHeight="false" outlineLevel="0" collapsed="false">
      <c r="A4267" s="5" t="n">
        <v>6</v>
      </c>
      <c r="B4267" s="5" t="n">
        <v>7</v>
      </c>
      <c r="C4267" s="5" t="s">
        <v>705</v>
      </c>
      <c r="D4267" s="5" t="s">
        <v>1938</v>
      </c>
      <c r="E4267" s="5" t="n">
        <v>1</v>
      </c>
      <c r="F4267" s="6" t="n">
        <f aca="false">IFERROR(MATCH(A4267&amp;"|"&amp;B4267&amp;"|"&amp;D4267,'All Song Rankings'!$T:$T,0),0)</f>
        <v>643</v>
      </c>
      <c r="G4267" s="6" t="str">
        <f aca="false">IF(F4267=0,"NOT FOUND",INDEX('All Song Rankings'!$A:$A,F4267))</f>
        <v>Til You Can't</v>
      </c>
      <c r="H4267" s="6" t="str">
        <f aca="false">IF(F4267=0,"NOT FOUND",INDEX('All Song Rankings'!$B:$B,F4267))</f>
        <v>Cody Johnson</v>
      </c>
      <c r="I4267" s="6" t="str">
        <f aca="false">IF(F4267=0,"NOT FOUND",INDEX('All Song Rankings'!$D:$D,F4267))</f>
        <v>Kelsey</v>
      </c>
      <c r="J4267" s="7" t="str">
        <f aca="false">IF(F4267=0,"NOT FOUND",IF(C4267=I4267,"SELF-VOTE",IF(COUNTIF($K:$K,K4267)&gt;1,"DUPLICATE","OK")))</f>
        <v>OK</v>
      </c>
      <c r="K4267" s="6" t="str">
        <f aca="false">A4267&amp;"|"&amp;B4267&amp;"|"&amp;C4267&amp;"|"&amp;D4267</f>
        <v>6|7|Lisa|spotify:track:4k3lPl8YTKuY8c1HelVnm3</v>
      </c>
    </row>
    <row r="4268" customFormat="false" ht="15" hidden="false" customHeight="false" outlineLevel="0" collapsed="false">
      <c r="A4268" s="5" t="n">
        <v>6</v>
      </c>
      <c r="B4268" s="5" t="n">
        <v>7</v>
      </c>
      <c r="C4268" s="5" t="s">
        <v>705</v>
      </c>
      <c r="D4268" s="5" t="s">
        <v>1928</v>
      </c>
      <c r="E4268" s="5" t="n">
        <v>1</v>
      </c>
      <c r="F4268" s="6" t="n">
        <f aca="false">IFERROR(MATCH(A4268&amp;"|"&amp;B4268&amp;"|"&amp;D4268,'All Song Rankings'!$T:$T,0),0)</f>
        <v>639</v>
      </c>
      <c r="G4268" s="6" t="str">
        <f aca="false">IF(F4268=0,"NOT FOUND",INDEX('All Song Rankings'!$A:$A,F4268))</f>
        <v>21</v>
      </c>
      <c r="H4268" s="6" t="str">
        <f aca="false">IF(F4268=0,"NOT FOUND",INDEX('All Song Rankings'!$B:$B,F4268))</f>
        <v>Lola</v>
      </c>
      <c r="I4268" s="6" t="str">
        <f aca="false">IF(F4268=0,"NOT FOUND",INDEX('All Song Rankings'!$D:$D,F4268))</f>
        <v>Merita</v>
      </c>
      <c r="J4268" s="7" t="str">
        <f aca="false">IF(F4268=0,"NOT FOUND",IF(C4268=I4268,"SELF-VOTE",IF(COUNTIF($K:$K,K4268)&gt;1,"DUPLICATE","OK")))</f>
        <v>OK</v>
      </c>
      <c r="K4268" s="6" t="str">
        <f aca="false">A4268&amp;"|"&amp;B4268&amp;"|"&amp;C4268&amp;"|"&amp;D4268</f>
        <v>6|7|Lisa|spotify:track:5JnUeseqxjW49AuvB2WXjR</v>
      </c>
    </row>
    <row r="4269" customFormat="false" ht="15" hidden="false" customHeight="false" outlineLevel="0" collapsed="false">
      <c r="A4269" s="5" t="n">
        <v>6</v>
      </c>
      <c r="B4269" s="5" t="n">
        <v>7</v>
      </c>
      <c r="C4269" s="5" t="s">
        <v>128</v>
      </c>
      <c r="D4269" s="5" t="s">
        <v>1941</v>
      </c>
      <c r="E4269" s="5" t="n">
        <v>4</v>
      </c>
      <c r="F4269" s="6" t="n">
        <f aca="false">IFERROR(MATCH(A4269&amp;"|"&amp;B4269&amp;"|"&amp;D4269,'All Song Rankings'!$T:$T,0),0)</f>
        <v>644</v>
      </c>
      <c r="G4269" s="6" t="str">
        <f aca="false">IF(F4269=0,"NOT FOUND",INDEX('All Song Rankings'!$A:$A,F4269))</f>
        <v>The Planets, Op. 32: I. Mars, the Bringer of War</v>
      </c>
      <c r="H4269" s="6" t="str">
        <f aca="false">IF(F4269=0,"NOT FOUND",INDEX('All Song Rankings'!$B:$B,F4269))</f>
        <v>Gustav Holst, Berliner Philharmoniker, Herbert von Karajan</v>
      </c>
      <c r="I4269" s="6" t="str">
        <f aca="false">IF(F4269=0,"NOT FOUND",INDEX('All Song Rankings'!$D:$D,F4269))</f>
        <v>Matt</v>
      </c>
      <c r="J4269" s="7" t="str">
        <f aca="false">IF(F4269=0,"NOT FOUND",IF(C4269=I4269,"SELF-VOTE",IF(COUNTIF($K:$K,K4269)&gt;1,"DUPLICATE","OK")))</f>
        <v>OK</v>
      </c>
      <c r="K4269" s="6" t="str">
        <f aca="false">A4269&amp;"|"&amp;B4269&amp;"|"&amp;C4269&amp;"|"&amp;D4269</f>
        <v>6|7|Logan|spotify:track:1C3RIRKQZhSk5d2iioIhkg</v>
      </c>
    </row>
    <row r="4270" customFormat="false" ht="15" hidden="false" customHeight="false" outlineLevel="0" collapsed="false">
      <c r="A4270" s="5" t="n">
        <v>6</v>
      </c>
      <c r="B4270" s="5" t="n">
        <v>7</v>
      </c>
      <c r="C4270" s="5" t="s">
        <v>128</v>
      </c>
      <c r="D4270" s="5" t="s">
        <v>1930</v>
      </c>
      <c r="E4270" s="5" t="n">
        <v>1</v>
      </c>
      <c r="F4270" s="6" t="n">
        <f aca="false">IFERROR(MATCH(A4270&amp;"|"&amp;B4270&amp;"|"&amp;D4270,'All Song Rankings'!$T:$T,0),0)</f>
        <v>640</v>
      </c>
      <c r="G4270" s="6" t="str">
        <f aca="false">IF(F4270=0,"NOT FOUND",INDEX('All Song Rankings'!$A:$A,F4270))</f>
        <v>Come Fly With Me</v>
      </c>
      <c r="H4270" s="6" t="str">
        <f aca="false">IF(F4270=0,"NOT FOUND",INDEX('All Song Rankings'!$B:$B,F4270))</f>
        <v>Frank Sinatra</v>
      </c>
      <c r="I4270" s="6" t="str">
        <f aca="false">IF(F4270=0,"NOT FOUND",INDEX('All Song Rankings'!$D:$D,F4270))</f>
        <v>Makenzie</v>
      </c>
      <c r="J4270" s="7" t="str">
        <f aca="false">IF(F4270=0,"NOT FOUND",IF(C4270=I4270,"SELF-VOTE",IF(COUNTIF($K:$K,K4270)&gt;1,"DUPLICATE","OK")))</f>
        <v>OK</v>
      </c>
      <c r="K4270" s="6" t="str">
        <f aca="false">A4270&amp;"|"&amp;B4270&amp;"|"&amp;C4270&amp;"|"&amp;D4270</f>
        <v>6|7|Logan|spotify:track:1GcPhT7osBb4LEJnQ0tmfj</v>
      </c>
    </row>
    <row r="4271" customFormat="false" ht="15" hidden="false" customHeight="false" outlineLevel="0" collapsed="false">
      <c r="A4271" s="5" t="n">
        <v>6</v>
      </c>
      <c r="B4271" s="5" t="n">
        <v>7</v>
      </c>
      <c r="C4271" s="5" t="s">
        <v>128</v>
      </c>
      <c r="D4271" s="5" t="s">
        <v>1958</v>
      </c>
      <c r="E4271" s="5" t="n">
        <v>1</v>
      </c>
      <c r="F4271" s="6" t="n">
        <f aca="false">IFERROR(MATCH(A4271&amp;"|"&amp;B4271&amp;"|"&amp;D4271,'All Song Rankings'!$T:$T,0),0)</f>
        <v>650</v>
      </c>
      <c r="G4271" s="6" t="str">
        <f aca="false">IF(F4271=0,"NOT FOUND",INDEX('All Song Rankings'!$A:$A,F4271))</f>
        <v>Theme From Jurassic Park</v>
      </c>
      <c r="H4271" s="6" t="str">
        <f aca="false">IF(F4271=0,"NOT FOUND",INDEX('All Song Rankings'!$B:$B,F4271))</f>
        <v>John Williams</v>
      </c>
      <c r="I4271" s="6" t="str">
        <f aca="false">IF(F4271=0,"NOT FOUND",INDEX('All Song Rankings'!$D:$D,F4271))</f>
        <v>Josh</v>
      </c>
      <c r="J4271" s="7" t="str">
        <f aca="false">IF(F4271=0,"NOT FOUND",IF(C4271=I4271,"SELF-VOTE",IF(COUNTIF($K:$K,K4271)&gt;1,"DUPLICATE","OK")))</f>
        <v>OK</v>
      </c>
      <c r="K4271" s="6" t="str">
        <f aca="false">A4271&amp;"|"&amp;B4271&amp;"|"&amp;C4271&amp;"|"&amp;D4271</f>
        <v>6|7|Logan|spotify:track:2TZbQZXOuR8osP2AK8yYMN</v>
      </c>
    </row>
    <row r="4272" customFormat="false" ht="15" hidden="false" customHeight="false" outlineLevel="0" collapsed="false">
      <c r="A4272" s="5" t="n">
        <v>6</v>
      </c>
      <c r="B4272" s="5" t="n">
        <v>7</v>
      </c>
      <c r="C4272" s="5" t="s">
        <v>128</v>
      </c>
      <c r="D4272" s="5" t="s">
        <v>1944</v>
      </c>
      <c r="E4272" s="5" t="n">
        <v>1</v>
      </c>
      <c r="F4272" s="6" t="n">
        <f aca="false">IFERROR(MATCH(A4272&amp;"|"&amp;B4272&amp;"|"&amp;D4272,'All Song Rankings'!$T:$T,0),0)</f>
        <v>645</v>
      </c>
      <c r="G4272" s="6" t="str">
        <f aca="false">IF(F4272=0,"NOT FOUND",INDEX('All Song Rankings'!$A:$A,F4272))</f>
        <v>Turn The Page - Live</v>
      </c>
      <c r="H4272" s="6" t="str">
        <f aca="false">IF(F4272=0,"NOT FOUND",INDEX('All Song Rankings'!$B:$B,F4272))</f>
        <v>Bob Seger</v>
      </c>
      <c r="I4272" s="6" t="str">
        <f aca="false">IF(F4272=0,"NOT FOUND",INDEX('All Song Rankings'!$D:$D,F4272))</f>
        <v>Lisa</v>
      </c>
      <c r="J4272" s="7" t="str">
        <f aca="false">IF(F4272=0,"NOT FOUND",IF(C4272=I4272,"SELF-VOTE",IF(COUNTIF($K:$K,K4272)&gt;1,"DUPLICATE","OK")))</f>
        <v>OK</v>
      </c>
      <c r="K4272" s="6" t="str">
        <f aca="false">A4272&amp;"|"&amp;B4272&amp;"|"&amp;C4272&amp;"|"&amp;D4272</f>
        <v>6|7|Logan|spotify:track:3P2XAL8UpPBM3nfvuEjHHE</v>
      </c>
    </row>
    <row r="4273" customFormat="false" ht="15" hidden="false" customHeight="false" outlineLevel="0" collapsed="false">
      <c r="A4273" s="5" t="n">
        <v>6</v>
      </c>
      <c r="B4273" s="5" t="n">
        <v>7</v>
      </c>
      <c r="C4273" s="5" t="s">
        <v>128</v>
      </c>
      <c r="D4273" s="5" t="s">
        <v>1928</v>
      </c>
      <c r="E4273" s="5" t="n">
        <v>1</v>
      </c>
      <c r="F4273" s="6" t="n">
        <f aca="false">IFERROR(MATCH(A4273&amp;"|"&amp;B4273&amp;"|"&amp;D4273,'All Song Rankings'!$T:$T,0),0)</f>
        <v>639</v>
      </c>
      <c r="G4273" s="6" t="str">
        <f aca="false">IF(F4273=0,"NOT FOUND",INDEX('All Song Rankings'!$A:$A,F4273))</f>
        <v>21</v>
      </c>
      <c r="H4273" s="6" t="str">
        <f aca="false">IF(F4273=0,"NOT FOUND",INDEX('All Song Rankings'!$B:$B,F4273))</f>
        <v>Lola</v>
      </c>
      <c r="I4273" s="6" t="str">
        <f aca="false">IF(F4273=0,"NOT FOUND",INDEX('All Song Rankings'!$D:$D,F4273))</f>
        <v>Merita</v>
      </c>
      <c r="J4273" s="7" t="str">
        <f aca="false">IF(F4273=0,"NOT FOUND",IF(C4273=I4273,"SELF-VOTE",IF(COUNTIF($K:$K,K4273)&gt;1,"DUPLICATE","OK")))</f>
        <v>OK</v>
      </c>
      <c r="K4273" s="6" t="str">
        <f aca="false">A4273&amp;"|"&amp;B4273&amp;"|"&amp;C4273&amp;"|"&amp;D4273</f>
        <v>6|7|Logan|spotify:track:5JnUeseqxjW49AuvB2WXjR</v>
      </c>
    </row>
    <row r="4274" customFormat="false" ht="15" hidden="false" customHeight="false" outlineLevel="0" collapsed="false">
      <c r="A4274" s="5" t="n">
        <v>6</v>
      </c>
      <c r="B4274" s="5" t="n">
        <v>7</v>
      </c>
      <c r="C4274" s="5" t="s">
        <v>128</v>
      </c>
      <c r="D4274" s="5" t="s">
        <v>1950</v>
      </c>
      <c r="E4274" s="5" t="n">
        <v>1</v>
      </c>
      <c r="F4274" s="6" t="n">
        <f aca="false">IFERROR(MATCH(A4274&amp;"|"&amp;B4274&amp;"|"&amp;D4274,'All Song Rankings'!$T:$T,0),0)</f>
        <v>647</v>
      </c>
      <c r="G4274" s="6" t="str">
        <f aca="false">IF(F4274=0,"NOT FOUND",INDEX('All Song Rankings'!$A:$A,F4274))</f>
        <v>Fragile</v>
      </c>
      <c r="H4274" s="6" t="str">
        <f aca="false">IF(F4274=0,"NOT FOUND",INDEX('All Song Rankings'!$B:$B,F4274))</f>
        <v>Sting</v>
      </c>
      <c r="I4274" s="6" t="str">
        <f aca="false">IF(F4274=0,"NOT FOUND",INDEX('All Song Rankings'!$D:$D,F4274))</f>
        <v>Christine</v>
      </c>
      <c r="J4274" s="7" t="str">
        <f aca="false">IF(F4274=0,"NOT FOUND",IF(C4274=I4274,"SELF-VOTE",IF(COUNTIF($K:$K,K4274)&gt;1,"DUPLICATE","OK")))</f>
        <v>OK</v>
      </c>
      <c r="K4274" s="6" t="str">
        <f aca="false">A4274&amp;"|"&amp;B4274&amp;"|"&amp;C4274&amp;"|"&amp;D4274</f>
        <v>6|7|Logan|spotify:track:5oE6INocVL9viDow5y8QNM</v>
      </c>
    </row>
    <row r="4275" customFormat="false" ht="15" hidden="false" customHeight="false" outlineLevel="0" collapsed="false">
      <c r="A4275" s="5" t="n">
        <v>6</v>
      </c>
      <c r="B4275" s="5" t="n">
        <v>7</v>
      </c>
      <c r="C4275" s="5" t="s">
        <v>128</v>
      </c>
      <c r="D4275" s="5" t="s">
        <v>1933</v>
      </c>
      <c r="E4275" s="5" t="n">
        <v>1</v>
      </c>
      <c r="F4275" s="6" t="n">
        <f aca="false">IFERROR(MATCH(A4275&amp;"|"&amp;B4275&amp;"|"&amp;D4275,'All Song Rankings'!$T:$T,0),0)</f>
        <v>641</v>
      </c>
      <c r="G4275" s="6" t="str">
        <f aca="false">IF(F4275=0,"NOT FOUND",INDEX('All Song Rankings'!$A:$A,F4275))</f>
        <v>Where I Belong (feat. We The Kings)</v>
      </c>
      <c r="H4275" s="6" t="str">
        <f aca="false">IF(F4275=0,"NOT FOUND",INDEX('All Song Rankings'!$B:$B,F4275))</f>
        <v>Simple Plan, State Champs, We The Kings</v>
      </c>
      <c r="I4275" s="6" t="str">
        <f aca="false">IF(F4275=0,"NOT FOUND",INDEX('All Song Rankings'!$D:$D,F4275))</f>
        <v>Colleen</v>
      </c>
      <c r="J4275" s="7" t="str">
        <f aca="false">IF(F4275=0,"NOT FOUND",IF(C4275=I4275,"SELF-VOTE",IF(COUNTIF($K:$K,K4275)&gt;1,"DUPLICATE","OK")))</f>
        <v>OK</v>
      </c>
      <c r="K4275" s="6" t="str">
        <f aca="false">A4275&amp;"|"&amp;B4275&amp;"|"&amp;C4275&amp;"|"&amp;D4275</f>
        <v>6|7|Logan|spotify:track:6XbmIuDxm4gWpVYoGg5DQX</v>
      </c>
    </row>
    <row r="4276" customFormat="false" ht="15" hidden="false" customHeight="false" outlineLevel="0" collapsed="false">
      <c r="A4276" s="5" t="n">
        <v>6</v>
      </c>
      <c r="B4276" s="5" t="n">
        <v>7</v>
      </c>
      <c r="C4276" s="5" t="s">
        <v>395</v>
      </c>
      <c r="D4276" s="5" t="s">
        <v>1958</v>
      </c>
      <c r="E4276" s="5" t="n">
        <v>1</v>
      </c>
      <c r="F4276" s="6" t="n">
        <f aca="false">IFERROR(MATCH(A4276&amp;"|"&amp;B4276&amp;"|"&amp;D4276,'All Song Rankings'!$T:$T,0),0)</f>
        <v>650</v>
      </c>
      <c r="G4276" s="6" t="str">
        <f aca="false">IF(F4276=0,"NOT FOUND",INDEX('All Song Rankings'!$A:$A,F4276))</f>
        <v>Theme From Jurassic Park</v>
      </c>
      <c r="H4276" s="6" t="str">
        <f aca="false">IF(F4276=0,"NOT FOUND",INDEX('All Song Rankings'!$B:$B,F4276))</f>
        <v>John Williams</v>
      </c>
      <c r="I4276" s="6" t="str">
        <f aca="false">IF(F4276=0,"NOT FOUND",INDEX('All Song Rankings'!$D:$D,F4276))</f>
        <v>Josh</v>
      </c>
      <c r="J4276" s="7" t="str">
        <f aca="false">IF(F4276=0,"NOT FOUND",IF(C4276=I4276,"SELF-VOTE",IF(COUNTIF($K:$K,K4276)&gt;1,"DUPLICATE","OK")))</f>
        <v>OK</v>
      </c>
      <c r="K4276" s="6" t="str">
        <f aca="false">A4276&amp;"|"&amp;B4276&amp;"|"&amp;C4276&amp;"|"&amp;D4276</f>
        <v>6|7|Makenzie|spotify:track:2TZbQZXOuR8osP2AK8yYMN</v>
      </c>
    </row>
    <row r="4277" customFormat="false" ht="15" hidden="false" customHeight="false" outlineLevel="0" collapsed="false">
      <c r="A4277" s="5" t="n">
        <v>6</v>
      </c>
      <c r="B4277" s="5" t="n">
        <v>7</v>
      </c>
      <c r="C4277" s="5" t="s">
        <v>395</v>
      </c>
      <c r="D4277" s="5" t="s">
        <v>1967</v>
      </c>
      <c r="E4277" s="5" t="n">
        <v>2</v>
      </c>
      <c r="F4277" s="6" t="n">
        <f aca="false">IFERROR(MATCH(A4277&amp;"|"&amp;B4277&amp;"|"&amp;D4277,'All Song Rankings'!$T:$T,0),0)</f>
        <v>653</v>
      </c>
      <c r="G4277" s="6" t="str">
        <f aca="false">IF(F4277=0,"NOT FOUND",INDEX('All Song Rankings'!$A:$A,F4277))</f>
        <v>Next Thing You Know</v>
      </c>
      <c r="H4277" s="6" t="str">
        <f aca="false">IF(F4277=0,"NOT FOUND",INDEX('All Song Rankings'!$B:$B,F4277))</f>
        <v>Jordan Davis</v>
      </c>
      <c r="I4277" s="6" t="str">
        <f aca="false">IF(F4277=0,"NOT FOUND",INDEX('All Song Rankings'!$D:$D,F4277))</f>
        <v>Aubrey</v>
      </c>
      <c r="J4277" s="7" t="str">
        <f aca="false">IF(F4277=0,"NOT FOUND",IF(C4277=I4277,"SELF-VOTE",IF(COUNTIF($K:$K,K4277)&gt;1,"DUPLICATE","OK")))</f>
        <v>OK</v>
      </c>
      <c r="K4277" s="6" t="str">
        <f aca="false">A4277&amp;"|"&amp;B4277&amp;"|"&amp;C4277&amp;"|"&amp;D4277</f>
        <v>6|7|Makenzie|spotify:track:2lNTHWu2I5Tcz9ukWsV5Jj</v>
      </c>
    </row>
    <row r="4278" customFormat="false" ht="15" hidden="false" customHeight="false" outlineLevel="0" collapsed="false">
      <c r="A4278" s="5" t="n">
        <v>6</v>
      </c>
      <c r="B4278" s="5" t="n">
        <v>7</v>
      </c>
      <c r="C4278" s="5" t="s">
        <v>395</v>
      </c>
      <c r="D4278" s="5" t="s">
        <v>1955</v>
      </c>
      <c r="E4278" s="5" t="n">
        <v>1</v>
      </c>
      <c r="F4278" s="6" t="n">
        <f aca="false">IFERROR(MATCH(A4278&amp;"|"&amp;B4278&amp;"|"&amp;D4278,'All Song Rankings'!$T:$T,0),0)</f>
        <v>649</v>
      </c>
      <c r="G4278" s="6" t="str">
        <f aca="false">IF(F4278=0,"NOT FOUND",INDEX('All Song Rankings'!$A:$A,F4278))</f>
        <v>People Live Here</v>
      </c>
      <c r="H4278" s="6" t="str">
        <f aca="false">IF(F4278=0,"NOT FOUND",INDEX('All Song Rankings'!$B:$B,F4278))</f>
        <v>Rise Against</v>
      </c>
      <c r="I4278" s="6" t="str">
        <f aca="false">IF(F4278=0,"NOT FOUND",INDEX('All Song Rankings'!$D:$D,F4278))</f>
        <v>Kristen</v>
      </c>
      <c r="J4278" s="7" t="str">
        <f aca="false">IF(F4278=0,"NOT FOUND",IF(C4278=I4278,"SELF-VOTE",IF(COUNTIF($K:$K,K4278)&gt;1,"DUPLICATE","OK")))</f>
        <v>OK</v>
      </c>
      <c r="K4278" s="6" t="str">
        <f aca="false">A4278&amp;"|"&amp;B4278&amp;"|"&amp;C4278&amp;"|"&amp;D4278</f>
        <v>6|7|Makenzie|spotify:track:3YsbKbo8m5Uv5zAG2hqOrN</v>
      </c>
    </row>
    <row r="4279" customFormat="false" ht="15" hidden="false" customHeight="false" outlineLevel="0" collapsed="false">
      <c r="A4279" s="5" t="n">
        <v>6</v>
      </c>
      <c r="B4279" s="5" t="n">
        <v>7</v>
      </c>
      <c r="C4279" s="5" t="s">
        <v>395</v>
      </c>
      <c r="D4279" s="5" t="s">
        <v>1953</v>
      </c>
      <c r="E4279" s="5" t="n">
        <v>1</v>
      </c>
      <c r="F4279" s="6" t="n">
        <f aca="false">IFERROR(MATCH(A4279&amp;"|"&amp;B4279&amp;"|"&amp;D4279,'All Song Rankings'!$T:$T,0),0)</f>
        <v>648</v>
      </c>
      <c r="G4279" s="6" t="str">
        <f aca="false">IF(F4279=0,"NOT FOUND",INDEX('All Song Rankings'!$A:$A,F4279))</f>
        <v>California Love - Original Version</v>
      </c>
      <c r="H4279" s="6" t="str">
        <f aca="false">IF(F4279=0,"NOT FOUND",INDEX('All Song Rankings'!$B:$B,F4279))</f>
        <v>2Pac, Roger, Dr. Dre</v>
      </c>
      <c r="I4279" s="6" t="str">
        <f aca="false">IF(F4279=0,"NOT FOUND",INDEX('All Song Rankings'!$D:$D,F4279))</f>
        <v>Stephanie</v>
      </c>
      <c r="J4279" s="7" t="str">
        <f aca="false">IF(F4279=0,"NOT FOUND",IF(C4279=I4279,"SELF-VOTE",IF(COUNTIF($K:$K,K4279)&gt;1,"DUPLICATE","OK")))</f>
        <v>OK</v>
      </c>
      <c r="K4279" s="6" t="str">
        <f aca="false">A4279&amp;"|"&amp;B4279&amp;"|"&amp;C4279&amp;"|"&amp;D4279</f>
        <v>6|7|Makenzie|spotify:track:3ia3dJETSOllPsv3LJkE35</v>
      </c>
    </row>
    <row r="4280" customFormat="false" ht="15" hidden="false" customHeight="false" outlineLevel="0" collapsed="false">
      <c r="A4280" s="5" t="n">
        <v>6</v>
      </c>
      <c r="B4280" s="5" t="n">
        <v>7</v>
      </c>
      <c r="C4280" s="5" t="s">
        <v>395</v>
      </c>
      <c r="D4280" s="5" t="s">
        <v>1947</v>
      </c>
      <c r="E4280" s="5" t="n">
        <v>2</v>
      </c>
      <c r="F4280" s="6" t="n">
        <f aca="false">IFERROR(MATCH(A4280&amp;"|"&amp;B4280&amp;"|"&amp;D4280,'All Song Rankings'!$T:$T,0),0)</f>
        <v>646</v>
      </c>
      <c r="G4280" s="6" t="str">
        <f aca="false">IF(F4280=0,"NOT FOUND",INDEX('All Song Rankings'!$A:$A,F4280))</f>
        <v>I Found You</v>
      </c>
      <c r="H4280" s="6" t="str">
        <f aca="false">IF(F4280=0,"NOT FOUND",INDEX('All Song Rankings'!$B:$B,F4280))</f>
        <v>Cash Cash, Andy Grammer</v>
      </c>
      <c r="I4280" s="6" t="str">
        <f aca="false">IF(F4280=0,"NOT FOUND",INDEX('All Song Rankings'!$D:$D,F4280))</f>
        <v>Grace</v>
      </c>
      <c r="J4280" s="7" t="str">
        <f aca="false">IF(F4280=0,"NOT FOUND",IF(C4280=I4280,"SELF-VOTE",IF(COUNTIF($K:$K,K4280)&gt;1,"DUPLICATE","OK")))</f>
        <v>OK</v>
      </c>
      <c r="K4280" s="6" t="str">
        <f aca="false">A4280&amp;"|"&amp;B4280&amp;"|"&amp;C4280&amp;"|"&amp;D4280</f>
        <v>6|7|Makenzie|spotify:track:3wYOGJYD31sLRmBgCvWxa4</v>
      </c>
    </row>
    <row r="4281" customFormat="false" ht="15" hidden="false" customHeight="false" outlineLevel="0" collapsed="false">
      <c r="A4281" s="5" t="n">
        <v>6</v>
      </c>
      <c r="B4281" s="5" t="n">
        <v>7</v>
      </c>
      <c r="C4281" s="5" t="s">
        <v>395</v>
      </c>
      <c r="D4281" s="5" t="s">
        <v>1938</v>
      </c>
      <c r="E4281" s="5" t="n">
        <v>1</v>
      </c>
      <c r="F4281" s="6" t="n">
        <f aca="false">IFERROR(MATCH(A4281&amp;"|"&amp;B4281&amp;"|"&amp;D4281,'All Song Rankings'!$T:$T,0),0)</f>
        <v>643</v>
      </c>
      <c r="G4281" s="6" t="str">
        <f aca="false">IF(F4281=0,"NOT FOUND",INDEX('All Song Rankings'!$A:$A,F4281))</f>
        <v>Til You Can't</v>
      </c>
      <c r="H4281" s="6" t="str">
        <f aca="false">IF(F4281=0,"NOT FOUND",INDEX('All Song Rankings'!$B:$B,F4281))</f>
        <v>Cody Johnson</v>
      </c>
      <c r="I4281" s="6" t="str">
        <f aca="false">IF(F4281=0,"NOT FOUND",INDEX('All Song Rankings'!$D:$D,F4281))</f>
        <v>Kelsey</v>
      </c>
      <c r="J4281" s="7" t="str">
        <f aca="false">IF(F4281=0,"NOT FOUND",IF(C4281=I4281,"SELF-VOTE",IF(COUNTIF($K:$K,K4281)&gt;1,"DUPLICATE","OK")))</f>
        <v>OK</v>
      </c>
      <c r="K4281" s="6" t="str">
        <f aca="false">A4281&amp;"|"&amp;B4281&amp;"|"&amp;C4281&amp;"|"&amp;D4281</f>
        <v>6|7|Makenzie|spotify:track:4k3lPl8YTKuY8c1HelVnm3</v>
      </c>
    </row>
    <row r="4282" customFormat="false" ht="15" hidden="false" customHeight="false" outlineLevel="0" collapsed="false">
      <c r="A4282" s="5" t="n">
        <v>6</v>
      </c>
      <c r="B4282" s="5" t="n">
        <v>7</v>
      </c>
      <c r="C4282" s="5" t="s">
        <v>395</v>
      </c>
      <c r="D4282" s="5" t="s">
        <v>1933</v>
      </c>
      <c r="E4282" s="5" t="n">
        <v>2</v>
      </c>
      <c r="F4282" s="6" t="n">
        <f aca="false">IFERROR(MATCH(A4282&amp;"|"&amp;B4282&amp;"|"&amp;D4282,'All Song Rankings'!$T:$T,0),0)</f>
        <v>641</v>
      </c>
      <c r="G4282" s="6" t="str">
        <f aca="false">IF(F4282=0,"NOT FOUND",INDEX('All Song Rankings'!$A:$A,F4282))</f>
        <v>Where I Belong (feat. We The Kings)</v>
      </c>
      <c r="H4282" s="6" t="str">
        <f aca="false">IF(F4282=0,"NOT FOUND",INDEX('All Song Rankings'!$B:$B,F4282))</f>
        <v>Simple Plan, State Champs, We The Kings</v>
      </c>
      <c r="I4282" s="6" t="str">
        <f aca="false">IF(F4282=0,"NOT FOUND",INDEX('All Song Rankings'!$D:$D,F4282))</f>
        <v>Colleen</v>
      </c>
      <c r="J4282" s="7" t="str">
        <f aca="false">IF(F4282=0,"NOT FOUND",IF(C4282=I4282,"SELF-VOTE",IF(COUNTIF($K:$K,K4282)&gt;1,"DUPLICATE","OK")))</f>
        <v>OK</v>
      </c>
      <c r="K4282" s="6" t="str">
        <f aca="false">A4282&amp;"|"&amp;B4282&amp;"|"&amp;C4282&amp;"|"&amp;D4282</f>
        <v>6|7|Makenzie|spotify:track:6XbmIuDxm4gWpVYoGg5DQX</v>
      </c>
    </row>
    <row r="4283" customFormat="false" ht="15" hidden="false" customHeight="false" outlineLevel="0" collapsed="false">
      <c r="A4283" s="5" t="n">
        <v>6</v>
      </c>
      <c r="B4283" s="5" t="n">
        <v>7</v>
      </c>
      <c r="C4283" s="5" t="s">
        <v>116</v>
      </c>
      <c r="D4283" s="5" t="s">
        <v>1936</v>
      </c>
      <c r="E4283" s="5" t="n">
        <v>1</v>
      </c>
      <c r="F4283" s="6" t="n">
        <f aca="false">IFERROR(MATCH(A4283&amp;"|"&amp;B4283&amp;"|"&amp;D4283,'All Song Rankings'!$T:$T,0),0)</f>
        <v>642</v>
      </c>
      <c r="G4283" s="6" t="str">
        <f aca="false">IF(F4283=0,"NOT FOUND",INDEX('All Song Rankings'!$A:$A,F4283))</f>
        <v>Flowers</v>
      </c>
      <c r="H4283" s="6" t="str">
        <f aca="false">IF(F4283=0,"NOT FOUND",INDEX('All Song Rankings'!$B:$B,F4283))</f>
        <v>Samantha Ebert, Seph Schlueter</v>
      </c>
      <c r="I4283" s="6" t="str">
        <f aca="false">IF(F4283=0,"NOT FOUND",INDEX('All Song Rankings'!$D:$D,F4283))</f>
        <v>Nicole</v>
      </c>
      <c r="J4283" s="7" t="str">
        <f aca="false">IF(F4283=0,"NOT FOUND",IF(C4283=I4283,"SELF-VOTE",IF(COUNTIF($K:$K,K4283)&gt;1,"DUPLICATE","OK")))</f>
        <v>OK</v>
      </c>
      <c r="K4283" s="6" t="str">
        <f aca="false">A4283&amp;"|"&amp;B4283&amp;"|"&amp;C4283&amp;"|"&amp;D4283</f>
        <v>6|7|Matt|spotify:track:0KIv0Lho9vsPCj8Sac21IV</v>
      </c>
    </row>
    <row r="4284" customFormat="false" ht="15" hidden="false" customHeight="false" outlineLevel="0" collapsed="false">
      <c r="A4284" s="5" t="n">
        <v>6</v>
      </c>
      <c r="B4284" s="5" t="n">
        <v>7</v>
      </c>
      <c r="C4284" s="5" t="s">
        <v>116</v>
      </c>
      <c r="D4284" s="5" t="s">
        <v>1970</v>
      </c>
      <c r="E4284" s="5" t="n">
        <v>1</v>
      </c>
      <c r="F4284" s="6" t="n">
        <f aca="false">IFERROR(MATCH(A4284&amp;"|"&amp;B4284&amp;"|"&amp;D4284,'All Song Rankings'!$T:$T,0),0)</f>
        <v>654</v>
      </c>
      <c r="G4284" s="6" t="str">
        <f aca="false">IF(F4284=0,"NOT FOUND",INDEX('All Song Rankings'!$A:$A,F4284))</f>
        <v>I Love You And Buddha Too</v>
      </c>
      <c r="H4284" s="6" t="str">
        <f aca="false">IF(F4284=0,"NOT FOUND",INDEX('All Song Rankings'!$B:$B,F4284))</f>
        <v>Mason Jennings</v>
      </c>
      <c r="I4284" s="6" t="str">
        <f aca="false">IF(F4284=0,"NOT FOUND",INDEX('All Song Rankings'!$D:$D,F4284))</f>
        <v>Scott</v>
      </c>
      <c r="J4284" s="7" t="str">
        <f aca="false">IF(F4284=0,"NOT FOUND",IF(C4284=I4284,"SELF-VOTE",IF(COUNTIF($K:$K,K4284)&gt;1,"DUPLICATE","OK")))</f>
        <v>OK</v>
      </c>
      <c r="K4284" s="6" t="str">
        <f aca="false">A4284&amp;"|"&amp;B4284&amp;"|"&amp;C4284&amp;"|"&amp;D4284</f>
        <v>6|7|Matt|spotify:track:0XJGoeexYvCDo2h6wY7qlR</v>
      </c>
    </row>
    <row r="4285" customFormat="false" ht="15" hidden="false" customHeight="false" outlineLevel="0" collapsed="false">
      <c r="A4285" s="5" t="n">
        <v>6</v>
      </c>
      <c r="B4285" s="5" t="n">
        <v>7</v>
      </c>
      <c r="C4285" s="5" t="s">
        <v>116</v>
      </c>
      <c r="D4285" s="5" t="s">
        <v>1961</v>
      </c>
      <c r="E4285" s="5" t="n">
        <v>1</v>
      </c>
      <c r="F4285" s="6" t="n">
        <f aca="false">IFERROR(MATCH(A4285&amp;"|"&amp;B4285&amp;"|"&amp;D4285,'All Song Rankings'!$T:$T,0),0)</f>
        <v>651</v>
      </c>
      <c r="G4285" s="6" t="str">
        <f aca="false">IF(F4285=0,"NOT FOUND",INDEX('All Song Rankings'!$A:$A,F4285))</f>
        <v>Belief</v>
      </c>
      <c r="H4285" s="6" t="str">
        <f aca="false">IF(F4285=0,"NOT FOUND",INDEX('All Song Rankings'!$B:$B,F4285))</f>
        <v>Ben Fankhauser</v>
      </c>
      <c r="I4285" s="6" t="str">
        <f aca="false">IF(F4285=0,"NOT FOUND",INDEX('All Song Rankings'!$D:$D,F4285))</f>
        <v>Logan</v>
      </c>
      <c r="J4285" s="7" t="str">
        <f aca="false">IF(F4285=0,"NOT FOUND",IF(C4285=I4285,"SELF-VOTE",IF(COUNTIF($K:$K,K4285)&gt;1,"DUPLICATE","OK")))</f>
        <v>OK</v>
      </c>
      <c r="K4285" s="6" t="str">
        <f aca="false">A4285&amp;"|"&amp;B4285&amp;"|"&amp;C4285&amp;"|"&amp;D4285</f>
        <v>6|7|Matt|spotify:track:1As0DIn3aDCaAspzPQ2s6b</v>
      </c>
    </row>
    <row r="4286" customFormat="false" ht="15" hidden="false" customHeight="false" outlineLevel="0" collapsed="false">
      <c r="A4286" s="5" t="n">
        <v>6</v>
      </c>
      <c r="B4286" s="5" t="n">
        <v>7</v>
      </c>
      <c r="C4286" s="5" t="s">
        <v>116</v>
      </c>
      <c r="D4286" s="5" t="s">
        <v>1930</v>
      </c>
      <c r="E4286" s="5" t="n">
        <v>2</v>
      </c>
      <c r="F4286" s="6" t="n">
        <f aca="false">IFERROR(MATCH(A4286&amp;"|"&amp;B4286&amp;"|"&amp;D4286,'All Song Rankings'!$T:$T,0),0)</f>
        <v>640</v>
      </c>
      <c r="G4286" s="6" t="str">
        <f aca="false">IF(F4286=0,"NOT FOUND",INDEX('All Song Rankings'!$A:$A,F4286))</f>
        <v>Come Fly With Me</v>
      </c>
      <c r="H4286" s="6" t="str">
        <f aca="false">IF(F4286=0,"NOT FOUND",INDEX('All Song Rankings'!$B:$B,F4286))</f>
        <v>Frank Sinatra</v>
      </c>
      <c r="I4286" s="6" t="str">
        <f aca="false">IF(F4286=0,"NOT FOUND",INDEX('All Song Rankings'!$D:$D,F4286))</f>
        <v>Makenzie</v>
      </c>
      <c r="J4286" s="7" t="str">
        <f aca="false">IF(F4286=0,"NOT FOUND",IF(C4286=I4286,"SELF-VOTE",IF(COUNTIF($K:$K,K4286)&gt;1,"DUPLICATE","OK")))</f>
        <v>OK</v>
      </c>
      <c r="K4286" s="6" t="str">
        <f aca="false">A4286&amp;"|"&amp;B4286&amp;"|"&amp;C4286&amp;"|"&amp;D4286</f>
        <v>6|7|Matt|spotify:track:1GcPhT7osBb4LEJnQ0tmfj</v>
      </c>
    </row>
    <row r="4287" customFormat="false" ht="15" hidden="false" customHeight="false" outlineLevel="0" collapsed="false">
      <c r="A4287" s="5" t="n">
        <v>6</v>
      </c>
      <c r="B4287" s="5" t="n">
        <v>7</v>
      </c>
      <c r="C4287" s="5" t="s">
        <v>116</v>
      </c>
      <c r="D4287" s="5" t="s">
        <v>1964</v>
      </c>
      <c r="E4287" s="5" t="n">
        <v>1</v>
      </c>
      <c r="F4287" s="6" t="n">
        <f aca="false">IFERROR(MATCH(A4287&amp;"|"&amp;B4287&amp;"|"&amp;D4287,'All Song Rankings'!$T:$T,0),0)</f>
        <v>652</v>
      </c>
      <c r="G4287" s="6" t="str">
        <f aca="false">IF(F4287=0,"NOT FOUND",INDEX('All Song Rankings'!$A:$A,F4287))</f>
        <v>Gravity</v>
      </c>
      <c r="H4287" s="6" t="str">
        <f aca="false">IF(F4287=0,"NOT FOUND",INDEX('All Song Rankings'!$B:$B,F4287))</f>
        <v>Papa Roach</v>
      </c>
      <c r="I4287" s="6" t="str">
        <f aca="false">IF(F4287=0,"NOT FOUND",INDEX('All Song Rankings'!$D:$D,F4287))</f>
        <v>Leah</v>
      </c>
      <c r="J4287" s="7" t="str">
        <f aca="false">IF(F4287=0,"NOT FOUND",IF(C4287=I4287,"SELF-VOTE",IF(COUNTIF($K:$K,K4287)&gt;1,"DUPLICATE","OK")))</f>
        <v>OK</v>
      </c>
      <c r="K4287" s="6" t="str">
        <f aca="false">A4287&amp;"|"&amp;B4287&amp;"|"&amp;C4287&amp;"|"&amp;D4287</f>
        <v>6|7|Matt|spotify:track:1SmoikQyzvAi35I5X4LHMY</v>
      </c>
    </row>
    <row r="4288" customFormat="false" ht="15" hidden="false" customHeight="false" outlineLevel="0" collapsed="false">
      <c r="A4288" s="5" t="n">
        <v>6</v>
      </c>
      <c r="B4288" s="5" t="n">
        <v>7</v>
      </c>
      <c r="C4288" s="5" t="s">
        <v>116</v>
      </c>
      <c r="D4288" s="5" t="s">
        <v>1944</v>
      </c>
      <c r="E4288" s="5" t="n">
        <v>1</v>
      </c>
      <c r="F4288" s="6" t="n">
        <f aca="false">IFERROR(MATCH(A4288&amp;"|"&amp;B4288&amp;"|"&amp;D4288,'All Song Rankings'!$T:$T,0),0)</f>
        <v>645</v>
      </c>
      <c r="G4288" s="6" t="str">
        <f aca="false">IF(F4288=0,"NOT FOUND",INDEX('All Song Rankings'!$A:$A,F4288))</f>
        <v>Turn The Page - Live</v>
      </c>
      <c r="H4288" s="6" t="str">
        <f aca="false">IF(F4288=0,"NOT FOUND",INDEX('All Song Rankings'!$B:$B,F4288))</f>
        <v>Bob Seger</v>
      </c>
      <c r="I4288" s="6" t="str">
        <f aca="false">IF(F4288=0,"NOT FOUND",INDEX('All Song Rankings'!$D:$D,F4288))</f>
        <v>Lisa</v>
      </c>
      <c r="J4288" s="7" t="str">
        <f aca="false">IF(F4288=0,"NOT FOUND",IF(C4288=I4288,"SELF-VOTE",IF(COUNTIF($K:$K,K4288)&gt;1,"DUPLICATE","OK")))</f>
        <v>OK</v>
      </c>
      <c r="K4288" s="6" t="str">
        <f aca="false">A4288&amp;"|"&amp;B4288&amp;"|"&amp;C4288&amp;"|"&amp;D4288</f>
        <v>6|7|Matt|spotify:track:3P2XAL8UpPBM3nfvuEjHHE</v>
      </c>
    </row>
    <row r="4289" customFormat="false" ht="15" hidden="false" customHeight="false" outlineLevel="0" collapsed="false">
      <c r="A4289" s="5" t="n">
        <v>6</v>
      </c>
      <c r="B4289" s="5" t="n">
        <v>7</v>
      </c>
      <c r="C4289" s="5" t="s">
        <v>116</v>
      </c>
      <c r="D4289" s="5" t="s">
        <v>1955</v>
      </c>
      <c r="E4289" s="5" t="n">
        <v>1</v>
      </c>
      <c r="F4289" s="6" t="n">
        <f aca="false">IFERROR(MATCH(A4289&amp;"|"&amp;B4289&amp;"|"&amp;D4289,'All Song Rankings'!$T:$T,0),0)</f>
        <v>649</v>
      </c>
      <c r="G4289" s="6" t="str">
        <f aca="false">IF(F4289=0,"NOT FOUND",INDEX('All Song Rankings'!$A:$A,F4289))</f>
        <v>People Live Here</v>
      </c>
      <c r="H4289" s="6" t="str">
        <f aca="false">IF(F4289=0,"NOT FOUND",INDEX('All Song Rankings'!$B:$B,F4289))</f>
        <v>Rise Against</v>
      </c>
      <c r="I4289" s="6" t="str">
        <f aca="false">IF(F4289=0,"NOT FOUND",INDEX('All Song Rankings'!$D:$D,F4289))</f>
        <v>Kristen</v>
      </c>
      <c r="J4289" s="7" t="str">
        <f aca="false">IF(F4289=0,"NOT FOUND",IF(C4289=I4289,"SELF-VOTE",IF(COUNTIF($K:$K,K4289)&gt;1,"DUPLICATE","OK")))</f>
        <v>OK</v>
      </c>
      <c r="K4289" s="6" t="str">
        <f aca="false">A4289&amp;"|"&amp;B4289&amp;"|"&amp;C4289&amp;"|"&amp;D4289</f>
        <v>6|7|Matt|spotify:track:3YsbKbo8m5Uv5zAG2hqOrN</v>
      </c>
    </row>
    <row r="4290" customFormat="false" ht="15" hidden="false" customHeight="false" outlineLevel="0" collapsed="false">
      <c r="A4290" s="5" t="n">
        <v>6</v>
      </c>
      <c r="B4290" s="5" t="n">
        <v>7</v>
      </c>
      <c r="C4290" s="5" t="s">
        <v>116</v>
      </c>
      <c r="D4290" s="5" t="s">
        <v>1953</v>
      </c>
      <c r="E4290" s="5" t="n">
        <v>1</v>
      </c>
      <c r="F4290" s="6" t="n">
        <f aca="false">IFERROR(MATCH(A4290&amp;"|"&amp;B4290&amp;"|"&amp;D4290,'All Song Rankings'!$T:$T,0),0)</f>
        <v>648</v>
      </c>
      <c r="G4290" s="6" t="str">
        <f aca="false">IF(F4290=0,"NOT FOUND",INDEX('All Song Rankings'!$A:$A,F4290))</f>
        <v>California Love - Original Version</v>
      </c>
      <c r="H4290" s="6" t="str">
        <f aca="false">IF(F4290=0,"NOT FOUND",INDEX('All Song Rankings'!$B:$B,F4290))</f>
        <v>2Pac, Roger, Dr. Dre</v>
      </c>
      <c r="I4290" s="6" t="str">
        <f aca="false">IF(F4290=0,"NOT FOUND",INDEX('All Song Rankings'!$D:$D,F4290))</f>
        <v>Stephanie</v>
      </c>
      <c r="J4290" s="7" t="str">
        <f aca="false">IF(F4290=0,"NOT FOUND",IF(C4290=I4290,"SELF-VOTE",IF(COUNTIF($K:$K,K4290)&gt;1,"DUPLICATE","OK")))</f>
        <v>OK</v>
      </c>
      <c r="K4290" s="6" t="str">
        <f aca="false">A4290&amp;"|"&amp;B4290&amp;"|"&amp;C4290&amp;"|"&amp;D4290</f>
        <v>6|7|Matt|spotify:track:3ia3dJETSOllPsv3LJkE35</v>
      </c>
    </row>
    <row r="4291" customFormat="false" ht="15" hidden="false" customHeight="false" outlineLevel="0" collapsed="false">
      <c r="A4291" s="5" t="n">
        <v>6</v>
      </c>
      <c r="B4291" s="5" t="n">
        <v>7</v>
      </c>
      <c r="C4291" s="5" t="s">
        <v>116</v>
      </c>
      <c r="D4291" s="5" t="s">
        <v>1933</v>
      </c>
      <c r="E4291" s="5" t="n">
        <v>1</v>
      </c>
      <c r="F4291" s="6" t="n">
        <f aca="false">IFERROR(MATCH(A4291&amp;"|"&amp;B4291&amp;"|"&amp;D4291,'All Song Rankings'!$T:$T,0),0)</f>
        <v>641</v>
      </c>
      <c r="G4291" s="6" t="str">
        <f aca="false">IF(F4291=0,"NOT FOUND",INDEX('All Song Rankings'!$A:$A,F4291))</f>
        <v>Where I Belong (feat. We The Kings)</v>
      </c>
      <c r="H4291" s="6" t="str">
        <f aca="false">IF(F4291=0,"NOT FOUND",INDEX('All Song Rankings'!$B:$B,F4291))</f>
        <v>Simple Plan, State Champs, We The Kings</v>
      </c>
      <c r="I4291" s="6" t="str">
        <f aca="false">IF(F4291=0,"NOT FOUND",INDEX('All Song Rankings'!$D:$D,F4291))</f>
        <v>Colleen</v>
      </c>
      <c r="J4291" s="7" t="str">
        <f aca="false">IF(F4291=0,"NOT FOUND",IF(C4291=I4291,"SELF-VOTE",IF(COUNTIF($K:$K,K4291)&gt;1,"DUPLICATE","OK")))</f>
        <v>OK</v>
      </c>
      <c r="K4291" s="6" t="str">
        <f aca="false">A4291&amp;"|"&amp;B4291&amp;"|"&amp;C4291&amp;"|"&amp;D4291</f>
        <v>6|7|Matt|spotify:track:6XbmIuDxm4gWpVYoGg5DQX</v>
      </c>
    </row>
    <row r="4292" customFormat="false" ht="15" hidden="false" customHeight="false" outlineLevel="0" collapsed="false">
      <c r="A4292" s="5" t="n">
        <v>6</v>
      </c>
      <c r="B4292" s="5" t="n">
        <v>7</v>
      </c>
      <c r="C4292" s="5" t="s">
        <v>101</v>
      </c>
      <c r="D4292" s="5" t="s">
        <v>1936</v>
      </c>
      <c r="E4292" s="5" t="n">
        <v>1</v>
      </c>
      <c r="F4292" s="6" t="n">
        <f aca="false">IFERROR(MATCH(A4292&amp;"|"&amp;B4292&amp;"|"&amp;D4292,'All Song Rankings'!$T:$T,0),0)</f>
        <v>642</v>
      </c>
      <c r="G4292" s="6" t="str">
        <f aca="false">IF(F4292=0,"NOT FOUND",INDEX('All Song Rankings'!$A:$A,F4292))</f>
        <v>Flowers</v>
      </c>
      <c r="H4292" s="6" t="str">
        <f aca="false">IF(F4292=0,"NOT FOUND",INDEX('All Song Rankings'!$B:$B,F4292))</f>
        <v>Samantha Ebert, Seph Schlueter</v>
      </c>
      <c r="I4292" s="6" t="str">
        <f aca="false">IF(F4292=0,"NOT FOUND",INDEX('All Song Rankings'!$D:$D,F4292))</f>
        <v>Nicole</v>
      </c>
      <c r="J4292" s="7" t="str">
        <f aca="false">IF(F4292=0,"NOT FOUND",IF(C4292=I4292,"SELF-VOTE",IF(COUNTIF($K:$K,K4292)&gt;1,"DUPLICATE","OK")))</f>
        <v>OK</v>
      </c>
      <c r="K4292" s="6" t="str">
        <f aca="false">A4292&amp;"|"&amp;B4292&amp;"|"&amp;C4292&amp;"|"&amp;D4292</f>
        <v>6|7|Merita|spotify:track:0KIv0Lho9vsPCj8Sac21IV</v>
      </c>
    </row>
    <row r="4293" customFormat="false" ht="15" hidden="false" customHeight="false" outlineLevel="0" collapsed="false">
      <c r="A4293" s="5" t="n">
        <v>6</v>
      </c>
      <c r="B4293" s="5" t="n">
        <v>7</v>
      </c>
      <c r="C4293" s="5" t="s">
        <v>101</v>
      </c>
      <c r="D4293" s="5" t="s">
        <v>1970</v>
      </c>
      <c r="E4293" s="5" t="n">
        <v>1</v>
      </c>
      <c r="F4293" s="6" t="n">
        <f aca="false">IFERROR(MATCH(A4293&amp;"|"&amp;B4293&amp;"|"&amp;D4293,'All Song Rankings'!$T:$T,0),0)</f>
        <v>654</v>
      </c>
      <c r="G4293" s="6" t="str">
        <f aca="false">IF(F4293=0,"NOT FOUND",INDEX('All Song Rankings'!$A:$A,F4293))</f>
        <v>I Love You And Buddha Too</v>
      </c>
      <c r="H4293" s="6" t="str">
        <f aca="false">IF(F4293=0,"NOT FOUND",INDEX('All Song Rankings'!$B:$B,F4293))</f>
        <v>Mason Jennings</v>
      </c>
      <c r="I4293" s="6" t="str">
        <f aca="false">IF(F4293=0,"NOT FOUND",INDEX('All Song Rankings'!$D:$D,F4293))</f>
        <v>Scott</v>
      </c>
      <c r="J4293" s="7" t="str">
        <f aca="false">IF(F4293=0,"NOT FOUND",IF(C4293=I4293,"SELF-VOTE",IF(COUNTIF($K:$K,K4293)&gt;1,"DUPLICATE","OK")))</f>
        <v>OK</v>
      </c>
      <c r="K4293" s="6" t="str">
        <f aca="false">A4293&amp;"|"&amp;B4293&amp;"|"&amp;C4293&amp;"|"&amp;D4293</f>
        <v>6|7|Merita|spotify:track:0XJGoeexYvCDo2h6wY7qlR</v>
      </c>
    </row>
    <row r="4294" customFormat="false" ht="15" hidden="false" customHeight="false" outlineLevel="0" collapsed="false">
      <c r="A4294" s="5" t="n">
        <v>6</v>
      </c>
      <c r="B4294" s="5" t="n">
        <v>7</v>
      </c>
      <c r="C4294" s="5" t="s">
        <v>101</v>
      </c>
      <c r="D4294" s="5" t="s">
        <v>1930</v>
      </c>
      <c r="E4294" s="5" t="n">
        <v>1</v>
      </c>
      <c r="F4294" s="6" t="n">
        <f aca="false">IFERROR(MATCH(A4294&amp;"|"&amp;B4294&amp;"|"&amp;D4294,'All Song Rankings'!$T:$T,0),0)</f>
        <v>640</v>
      </c>
      <c r="G4294" s="6" t="str">
        <f aca="false">IF(F4294=0,"NOT FOUND",INDEX('All Song Rankings'!$A:$A,F4294))</f>
        <v>Come Fly With Me</v>
      </c>
      <c r="H4294" s="6" t="str">
        <f aca="false">IF(F4294=0,"NOT FOUND",INDEX('All Song Rankings'!$B:$B,F4294))</f>
        <v>Frank Sinatra</v>
      </c>
      <c r="I4294" s="6" t="str">
        <f aca="false">IF(F4294=0,"NOT FOUND",INDEX('All Song Rankings'!$D:$D,F4294))</f>
        <v>Makenzie</v>
      </c>
      <c r="J4294" s="7" t="str">
        <f aca="false">IF(F4294=0,"NOT FOUND",IF(C4294=I4294,"SELF-VOTE",IF(COUNTIF($K:$K,K4294)&gt;1,"DUPLICATE","OK")))</f>
        <v>OK</v>
      </c>
      <c r="K4294" s="6" t="str">
        <f aca="false">A4294&amp;"|"&amp;B4294&amp;"|"&amp;C4294&amp;"|"&amp;D4294</f>
        <v>6|7|Merita|spotify:track:1GcPhT7osBb4LEJnQ0tmfj</v>
      </c>
    </row>
    <row r="4295" customFormat="false" ht="15" hidden="false" customHeight="false" outlineLevel="0" collapsed="false">
      <c r="A4295" s="5" t="n">
        <v>6</v>
      </c>
      <c r="B4295" s="5" t="n">
        <v>7</v>
      </c>
      <c r="C4295" s="5" t="s">
        <v>101</v>
      </c>
      <c r="D4295" s="5" t="s">
        <v>1964</v>
      </c>
      <c r="E4295" s="5" t="n">
        <v>1</v>
      </c>
      <c r="F4295" s="6" t="n">
        <f aca="false">IFERROR(MATCH(A4295&amp;"|"&amp;B4295&amp;"|"&amp;D4295,'All Song Rankings'!$T:$T,0),0)</f>
        <v>652</v>
      </c>
      <c r="G4295" s="6" t="str">
        <f aca="false">IF(F4295=0,"NOT FOUND",INDEX('All Song Rankings'!$A:$A,F4295))</f>
        <v>Gravity</v>
      </c>
      <c r="H4295" s="6" t="str">
        <f aca="false">IF(F4295=0,"NOT FOUND",INDEX('All Song Rankings'!$B:$B,F4295))</f>
        <v>Papa Roach</v>
      </c>
      <c r="I4295" s="6" t="str">
        <f aca="false">IF(F4295=0,"NOT FOUND",INDEX('All Song Rankings'!$D:$D,F4295))</f>
        <v>Leah</v>
      </c>
      <c r="J4295" s="7" t="str">
        <f aca="false">IF(F4295=0,"NOT FOUND",IF(C4295=I4295,"SELF-VOTE",IF(COUNTIF($K:$K,K4295)&gt;1,"DUPLICATE","OK")))</f>
        <v>OK</v>
      </c>
      <c r="K4295" s="6" t="str">
        <f aca="false">A4295&amp;"|"&amp;B4295&amp;"|"&amp;C4295&amp;"|"&amp;D4295</f>
        <v>6|7|Merita|spotify:track:1SmoikQyzvAi35I5X4LHMY</v>
      </c>
    </row>
    <row r="4296" customFormat="false" ht="15" hidden="false" customHeight="false" outlineLevel="0" collapsed="false">
      <c r="A4296" s="5" t="n">
        <v>6</v>
      </c>
      <c r="B4296" s="5" t="n">
        <v>7</v>
      </c>
      <c r="C4296" s="5" t="s">
        <v>101</v>
      </c>
      <c r="D4296" s="5" t="s">
        <v>1944</v>
      </c>
      <c r="E4296" s="5" t="n">
        <v>2</v>
      </c>
      <c r="F4296" s="6" t="n">
        <f aca="false">IFERROR(MATCH(A4296&amp;"|"&amp;B4296&amp;"|"&amp;D4296,'All Song Rankings'!$T:$T,0),0)</f>
        <v>645</v>
      </c>
      <c r="G4296" s="6" t="str">
        <f aca="false">IF(F4296=0,"NOT FOUND",INDEX('All Song Rankings'!$A:$A,F4296))</f>
        <v>Turn The Page - Live</v>
      </c>
      <c r="H4296" s="6" t="str">
        <f aca="false">IF(F4296=0,"NOT FOUND",INDEX('All Song Rankings'!$B:$B,F4296))</f>
        <v>Bob Seger</v>
      </c>
      <c r="I4296" s="6" t="str">
        <f aca="false">IF(F4296=0,"NOT FOUND",INDEX('All Song Rankings'!$D:$D,F4296))</f>
        <v>Lisa</v>
      </c>
      <c r="J4296" s="7" t="str">
        <f aca="false">IF(F4296=0,"NOT FOUND",IF(C4296=I4296,"SELF-VOTE",IF(COUNTIF($K:$K,K4296)&gt;1,"DUPLICATE","OK")))</f>
        <v>OK</v>
      </c>
      <c r="K4296" s="6" t="str">
        <f aca="false">A4296&amp;"|"&amp;B4296&amp;"|"&amp;C4296&amp;"|"&amp;D4296</f>
        <v>6|7|Merita|spotify:track:3P2XAL8UpPBM3nfvuEjHHE</v>
      </c>
    </row>
    <row r="4297" customFormat="false" ht="15" hidden="false" customHeight="false" outlineLevel="0" collapsed="false">
      <c r="A4297" s="5" t="n">
        <v>6</v>
      </c>
      <c r="B4297" s="5" t="n">
        <v>7</v>
      </c>
      <c r="C4297" s="5" t="s">
        <v>101</v>
      </c>
      <c r="D4297" s="5" t="s">
        <v>1955</v>
      </c>
      <c r="E4297" s="5" t="n">
        <v>1</v>
      </c>
      <c r="F4297" s="6" t="n">
        <f aca="false">IFERROR(MATCH(A4297&amp;"|"&amp;B4297&amp;"|"&amp;D4297,'All Song Rankings'!$T:$T,0),0)</f>
        <v>649</v>
      </c>
      <c r="G4297" s="6" t="str">
        <f aca="false">IF(F4297=0,"NOT FOUND",INDEX('All Song Rankings'!$A:$A,F4297))</f>
        <v>People Live Here</v>
      </c>
      <c r="H4297" s="6" t="str">
        <f aca="false">IF(F4297=0,"NOT FOUND",INDEX('All Song Rankings'!$B:$B,F4297))</f>
        <v>Rise Against</v>
      </c>
      <c r="I4297" s="6" t="str">
        <f aca="false">IF(F4297=0,"NOT FOUND",INDEX('All Song Rankings'!$D:$D,F4297))</f>
        <v>Kristen</v>
      </c>
      <c r="J4297" s="7" t="str">
        <f aca="false">IF(F4297=0,"NOT FOUND",IF(C4297=I4297,"SELF-VOTE",IF(COUNTIF($K:$K,K4297)&gt;1,"DUPLICATE","OK")))</f>
        <v>OK</v>
      </c>
      <c r="K4297" s="6" t="str">
        <f aca="false">A4297&amp;"|"&amp;B4297&amp;"|"&amp;C4297&amp;"|"&amp;D4297</f>
        <v>6|7|Merita|spotify:track:3YsbKbo8m5Uv5zAG2hqOrN</v>
      </c>
    </row>
    <row r="4298" customFormat="false" ht="15" hidden="false" customHeight="false" outlineLevel="0" collapsed="false">
      <c r="A4298" s="5" t="n">
        <v>6</v>
      </c>
      <c r="B4298" s="5" t="n">
        <v>7</v>
      </c>
      <c r="C4298" s="5" t="s">
        <v>101</v>
      </c>
      <c r="D4298" s="5" t="s">
        <v>1950</v>
      </c>
      <c r="E4298" s="5" t="n">
        <v>2</v>
      </c>
      <c r="F4298" s="6" t="n">
        <f aca="false">IFERROR(MATCH(A4298&amp;"|"&amp;B4298&amp;"|"&amp;D4298,'All Song Rankings'!$T:$T,0),0)</f>
        <v>647</v>
      </c>
      <c r="G4298" s="6" t="str">
        <f aca="false">IF(F4298=0,"NOT FOUND",INDEX('All Song Rankings'!$A:$A,F4298))</f>
        <v>Fragile</v>
      </c>
      <c r="H4298" s="6" t="str">
        <f aca="false">IF(F4298=0,"NOT FOUND",INDEX('All Song Rankings'!$B:$B,F4298))</f>
        <v>Sting</v>
      </c>
      <c r="I4298" s="6" t="str">
        <f aca="false">IF(F4298=0,"NOT FOUND",INDEX('All Song Rankings'!$D:$D,F4298))</f>
        <v>Christine</v>
      </c>
      <c r="J4298" s="7" t="str">
        <f aca="false">IF(F4298=0,"NOT FOUND",IF(C4298=I4298,"SELF-VOTE",IF(COUNTIF($K:$K,K4298)&gt;1,"DUPLICATE","OK")))</f>
        <v>OK</v>
      </c>
      <c r="K4298" s="6" t="str">
        <f aca="false">A4298&amp;"|"&amp;B4298&amp;"|"&amp;C4298&amp;"|"&amp;D4298</f>
        <v>6|7|Merita|spotify:track:5oE6INocVL9viDow5y8QNM</v>
      </c>
    </row>
    <row r="4299" customFormat="false" ht="15" hidden="false" customHeight="false" outlineLevel="0" collapsed="false">
      <c r="A4299" s="5" t="n">
        <v>6</v>
      </c>
      <c r="B4299" s="5" t="n">
        <v>7</v>
      </c>
      <c r="C4299" s="5" t="s">
        <v>101</v>
      </c>
      <c r="D4299" s="5" t="s">
        <v>1933</v>
      </c>
      <c r="E4299" s="5" t="n">
        <v>1</v>
      </c>
      <c r="F4299" s="6" t="n">
        <f aca="false">IFERROR(MATCH(A4299&amp;"|"&amp;B4299&amp;"|"&amp;D4299,'All Song Rankings'!$T:$T,0),0)</f>
        <v>641</v>
      </c>
      <c r="G4299" s="6" t="str">
        <f aca="false">IF(F4299=0,"NOT FOUND",INDEX('All Song Rankings'!$A:$A,F4299))</f>
        <v>Where I Belong (feat. We The Kings)</v>
      </c>
      <c r="H4299" s="6" t="str">
        <f aca="false">IF(F4299=0,"NOT FOUND",INDEX('All Song Rankings'!$B:$B,F4299))</f>
        <v>Simple Plan, State Champs, We The Kings</v>
      </c>
      <c r="I4299" s="6" t="str">
        <f aca="false">IF(F4299=0,"NOT FOUND",INDEX('All Song Rankings'!$D:$D,F4299))</f>
        <v>Colleen</v>
      </c>
      <c r="J4299" s="7" t="str">
        <f aca="false">IF(F4299=0,"NOT FOUND",IF(C4299=I4299,"SELF-VOTE",IF(COUNTIF($K:$K,K4299)&gt;1,"DUPLICATE","OK")))</f>
        <v>OK</v>
      </c>
      <c r="K4299" s="6" t="str">
        <f aca="false">A4299&amp;"|"&amp;B4299&amp;"|"&amp;C4299&amp;"|"&amp;D4299</f>
        <v>6|7|Merita|spotify:track:6XbmIuDxm4gWpVYoGg5DQX</v>
      </c>
    </row>
    <row r="4300" customFormat="false" ht="15" hidden="false" customHeight="false" outlineLevel="0" collapsed="false">
      <c r="A4300" s="5" t="n">
        <v>6</v>
      </c>
      <c r="B4300" s="5" t="n">
        <v>7</v>
      </c>
      <c r="C4300" s="5" t="s">
        <v>92</v>
      </c>
      <c r="D4300" s="5" t="s">
        <v>1967</v>
      </c>
      <c r="E4300" s="5" t="n">
        <v>1</v>
      </c>
      <c r="F4300" s="6" t="n">
        <f aca="false">IFERROR(MATCH(A4300&amp;"|"&amp;B4300&amp;"|"&amp;D4300,'All Song Rankings'!$T:$T,0),0)</f>
        <v>653</v>
      </c>
      <c r="G4300" s="6" t="str">
        <f aca="false">IF(F4300=0,"NOT FOUND",INDEX('All Song Rankings'!$A:$A,F4300))</f>
        <v>Next Thing You Know</v>
      </c>
      <c r="H4300" s="6" t="str">
        <f aca="false">IF(F4300=0,"NOT FOUND",INDEX('All Song Rankings'!$B:$B,F4300))</f>
        <v>Jordan Davis</v>
      </c>
      <c r="I4300" s="6" t="str">
        <f aca="false">IF(F4300=0,"NOT FOUND",INDEX('All Song Rankings'!$D:$D,F4300))</f>
        <v>Aubrey</v>
      </c>
      <c r="J4300" s="7" t="str">
        <f aca="false">IF(F4300=0,"NOT FOUND",IF(C4300=I4300,"SELF-VOTE",IF(COUNTIF($K:$K,K4300)&gt;1,"DUPLICATE","OK")))</f>
        <v>OK</v>
      </c>
      <c r="K4300" s="6" t="str">
        <f aca="false">A4300&amp;"|"&amp;B4300&amp;"|"&amp;C4300&amp;"|"&amp;D4300</f>
        <v>6|7|Nicole|spotify:track:2lNTHWu2I5Tcz9ukWsV5Jj</v>
      </c>
    </row>
    <row r="4301" customFormat="false" ht="15" hidden="false" customHeight="false" outlineLevel="0" collapsed="false">
      <c r="A4301" s="5" t="n">
        <v>6</v>
      </c>
      <c r="B4301" s="5" t="n">
        <v>7</v>
      </c>
      <c r="C4301" s="5" t="s">
        <v>92</v>
      </c>
      <c r="D4301" s="5" t="s">
        <v>1947</v>
      </c>
      <c r="E4301" s="5" t="n">
        <v>2</v>
      </c>
      <c r="F4301" s="6" t="n">
        <f aca="false">IFERROR(MATCH(A4301&amp;"|"&amp;B4301&amp;"|"&amp;D4301,'All Song Rankings'!$T:$T,0),0)</f>
        <v>646</v>
      </c>
      <c r="G4301" s="6" t="str">
        <f aca="false">IF(F4301=0,"NOT FOUND",INDEX('All Song Rankings'!$A:$A,F4301))</f>
        <v>I Found You</v>
      </c>
      <c r="H4301" s="6" t="str">
        <f aca="false">IF(F4301=0,"NOT FOUND",INDEX('All Song Rankings'!$B:$B,F4301))</f>
        <v>Cash Cash, Andy Grammer</v>
      </c>
      <c r="I4301" s="6" t="str">
        <f aca="false">IF(F4301=0,"NOT FOUND",INDEX('All Song Rankings'!$D:$D,F4301))</f>
        <v>Grace</v>
      </c>
      <c r="J4301" s="7" t="str">
        <f aca="false">IF(F4301=0,"NOT FOUND",IF(C4301=I4301,"SELF-VOTE",IF(COUNTIF($K:$K,K4301)&gt;1,"DUPLICATE","OK")))</f>
        <v>OK</v>
      </c>
      <c r="K4301" s="6" t="str">
        <f aca="false">A4301&amp;"|"&amp;B4301&amp;"|"&amp;C4301&amp;"|"&amp;D4301</f>
        <v>6|7|Nicole|spotify:track:3wYOGJYD31sLRmBgCvWxa4</v>
      </c>
    </row>
    <row r="4302" customFormat="false" ht="15" hidden="false" customHeight="false" outlineLevel="0" collapsed="false">
      <c r="A4302" s="5" t="n">
        <v>6</v>
      </c>
      <c r="B4302" s="5" t="n">
        <v>7</v>
      </c>
      <c r="C4302" s="5" t="s">
        <v>92</v>
      </c>
      <c r="D4302" s="5" t="s">
        <v>1938</v>
      </c>
      <c r="E4302" s="5" t="n">
        <v>1</v>
      </c>
      <c r="F4302" s="6" t="n">
        <f aca="false">IFERROR(MATCH(A4302&amp;"|"&amp;B4302&amp;"|"&amp;D4302,'All Song Rankings'!$T:$T,0),0)</f>
        <v>643</v>
      </c>
      <c r="G4302" s="6" t="str">
        <f aca="false">IF(F4302=0,"NOT FOUND",INDEX('All Song Rankings'!$A:$A,F4302))</f>
        <v>Til You Can't</v>
      </c>
      <c r="H4302" s="6" t="str">
        <f aca="false">IF(F4302=0,"NOT FOUND",INDEX('All Song Rankings'!$B:$B,F4302))</f>
        <v>Cody Johnson</v>
      </c>
      <c r="I4302" s="6" t="str">
        <f aca="false">IF(F4302=0,"NOT FOUND",INDEX('All Song Rankings'!$D:$D,F4302))</f>
        <v>Kelsey</v>
      </c>
      <c r="J4302" s="7" t="str">
        <f aca="false">IF(F4302=0,"NOT FOUND",IF(C4302=I4302,"SELF-VOTE",IF(COUNTIF($K:$K,K4302)&gt;1,"DUPLICATE","OK")))</f>
        <v>OK</v>
      </c>
      <c r="K4302" s="6" t="str">
        <f aca="false">A4302&amp;"|"&amp;B4302&amp;"|"&amp;C4302&amp;"|"&amp;D4302</f>
        <v>6|7|Nicole|spotify:track:4k3lPl8YTKuY8c1HelVnm3</v>
      </c>
    </row>
    <row r="4303" customFormat="false" ht="15" hidden="false" customHeight="false" outlineLevel="0" collapsed="false">
      <c r="A4303" s="5" t="n">
        <v>6</v>
      </c>
      <c r="B4303" s="5" t="n">
        <v>7</v>
      </c>
      <c r="C4303" s="5" t="s">
        <v>92</v>
      </c>
      <c r="D4303" s="5" t="s">
        <v>1928</v>
      </c>
      <c r="E4303" s="5" t="n">
        <v>3</v>
      </c>
      <c r="F4303" s="6" t="n">
        <f aca="false">IFERROR(MATCH(A4303&amp;"|"&amp;B4303&amp;"|"&amp;D4303,'All Song Rankings'!$T:$T,0),0)</f>
        <v>639</v>
      </c>
      <c r="G4303" s="6" t="str">
        <f aca="false">IF(F4303=0,"NOT FOUND",INDEX('All Song Rankings'!$A:$A,F4303))</f>
        <v>21</v>
      </c>
      <c r="H4303" s="6" t="str">
        <f aca="false">IF(F4303=0,"NOT FOUND",INDEX('All Song Rankings'!$B:$B,F4303))</f>
        <v>Lola</v>
      </c>
      <c r="I4303" s="6" t="str">
        <f aca="false">IF(F4303=0,"NOT FOUND",INDEX('All Song Rankings'!$D:$D,F4303))</f>
        <v>Merita</v>
      </c>
      <c r="J4303" s="7" t="str">
        <f aca="false">IF(F4303=0,"NOT FOUND",IF(C4303=I4303,"SELF-VOTE",IF(COUNTIF($K:$K,K4303)&gt;1,"DUPLICATE","OK")))</f>
        <v>OK</v>
      </c>
      <c r="K4303" s="6" t="str">
        <f aca="false">A4303&amp;"|"&amp;B4303&amp;"|"&amp;C4303&amp;"|"&amp;D4303</f>
        <v>6|7|Nicole|spotify:track:5JnUeseqxjW49AuvB2WXjR</v>
      </c>
    </row>
    <row r="4304" customFormat="false" ht="15" hidden="false" customHeight="false" outlineLevel="0" collapsed="false">
      <c r="A4304" s="5" t="n">
        <v>6</v>
      </c>
      <c r="B4304" s="5" t="n">
        <v>7</v>
      </c>
      <c r="C4304" s="5" t="s">
        <v>92</v>
      </c>
      <c r="D4304" s="5" t="s">
        <v>1950</v>
      </c>
      <c r="E4304" s="5" t="n">
        <v>1</v>
      </c>
      <c r="F4304" s="6" t="n">
        <f aca="false">IFERROR(MATCH(A4304&amp;"|"&amp;B4304&amp;"|"&amp;D4304,'All Song Rankings'!$T:$T,0),0)</f>
        <v>647</v>
      </c>
      <c r="G4304" s="6" t="str">
        <f aca="false">IF(F4304=0,"NOT FOUND",INDEX('All Song Rankings'!$A:$A,F4304))</f>
        <v>Fragile</v>
      </c>
      <c r="H4304" s="6" t="str">
        <f aca="false">IF(F4304=0,"NOT FOUND",INDEX('All Song Rankings'!$B:$B,F4304))</f>
        <v>Sting</v>
      </c>
      <c r="I4304" s="6" t="str">
        <f aca="false">IF(F4304=0,"NOT FOUND",INDEX('All Song Rankings'!$D:$D,F4304))</f>
        <v>Christine</v>
      </c>
      <c r="J4304" s="7" t="str">
        <f aca="false">IF(F4304=0,"NOT FOUND",IF(C4304=I4304,"SELF-VOTE",IF(COUNTIF($K:$K,K4304)&gt;1,"DUPLICATE","OK")))</f>
        <v>OK</v>
      </c>
      <c r="K4304" s="6" t="str">
        <f aca="false">A4304&amp;"|"&amp;B4304&amp;"|"&amp;C4304&amp;"|"&amp;D4304</f>
        <v>6|7|Nicole|spotify:track:5oE6INocVL9viDow5y8QNM</v>
      </c>
    </row>
    <row r="4305" customFormat="false" ht="15" hidden="false" customHeight="false" outlineLevel="0" collapsed="false">
      <c r="A4305" s="5" t="n">
        <v>6</v>
      </c>
      <c r="B4305" s="5" t="n">
        <v>7</v>
      </c>
      <c r="C4305" s="5" t="s">
        <v>92</v>
      </c>
      <c r="D4305" s="5" t="s">
        <v>1933</v>
      </c>
      <c r="E4305" s="5" t="n">
        <v>2</v>
      </c>
      <c r="F4305" s="6" t="n">
        <f aca="false">IFERROR(MATCH(A4305&amp;"|"&amp;B4305&amp;"|"&amp;D4305,'All Song Rankings'!$T:$T,0),0)</f>
        <v>641</v>
      </c>
      <c r="G4305" s="6" t="str">
        <f aca="false">IF(F4305=0,"NOT FOUND",INDEX('All Song Rankings'!$A:$A,F4305))</f>
        <v>Where I Belong (feat. We The Kings)</v>
      </c>
      <c r="H4305" s="6" t="str">
        <f aca="false">IF(F4305=0,"NOT FOUND",INDEX('All Song Rankings'!$B:$B,F4305))</f>
        <v>Simple Plan, State Champs, We The Kings</v>
      </c>
      <c r="I4305" s="6" t="str">
        <f aca="false">IF(F4305=0,"NOT FOUND",INDEX('All Song Rankings'!$D:$D,F4305))</f>
        <v>Colleen</v>
      </c>
      <c r="J4305" s="7" t="str">
        <f aca="false">IF(F4305=0,"NOT FOUND",IF(C4305=I4305,"SELF-VOTE",IF(COUNTIF($K:$K,K4305)&gt;1,"DUPLICATE","OK")))</f>
        <v>OK</v>
      </c>
      <c r="K4305" s="6" t="str">
        <f aca="false">A4305&amp;"|"&amp;B4305&amp;"|"&amp;C4305&amp;"|"&amp;D4305</f>
        <v>6|7|Nicole|spotify:track:6XbmIuDxm4gWpVYoGg5DQX</v>
      </c>
    </row>
    <row r="4306" customFormat="false" ht="15" hidden="false" customHeight="false" outlineLevel="0" collapsed="false">
      <c r="A4306" s="5" t="n">
        <v>6</v>
      </c>
      <c r="B4306" s="5" t="n">
        <v>7</v>
      </c>
      <c r="C4306" s="5" t="s">
        <v>97</v>
      </c>
      <c r="D4306" s="5" t="s">
        <v>1941</v>
      </c>
      <c r="E4306" s="5" t="n">
        <v>1</v>
      </c>
      <c r="F4306" s="6" t="n">
        <f aca="false">IFERROR(MATCH(A4306&amp;"|"&amp;B4306&amp;"|"&amp;D4306,'All Song Rankings'!$T:$T,0),0)</f>
        <v>644</v>
      </c>
      <c r="G4306" s="6" t="str">
        <f aca="false">IF(F4306=0,"NOT FOUND",INDEX('All Song Rankings'!$A:$A,F4306))</f>
        <v>The Planets, Op. 32: I. Mars, the Bringer of War</v>
      </c>
      <c r="H4306" s="6" t="str">
        <f aca="false">IF(F4306=0,"NOT FOUND",INDEX('All Song Rankings'!$B:$B,F4306))</f>
        <v>Gustav Holst, Berliner Philharmoniker, Herbert von Karajan</v>
      </c>
      <c r="I4306" s="6" t="str">
        <f aca="false">IF(F4306=0,"NOT FOUND",INDEX('All Song Rankings'!$D:$D,F4306))</f>
        <v>Matt</v>
      </c>
      <c r="J4306" s="7" t="str">
        <f aca="false">IF(F4306=0,"NOT FOUND",IF(C4306=I4306,"SELF-VOTE",IF(COUNTIF($K:$K,K4306)&gt;1,"DUPLICATE","OK")))</f>
        <v>OK</v>
      </c>
      <c r="K4306" s="6" t="str">
        <f aca="false">A4306&amp;"|"&amp;B4306&amp;"|"&amp;C4306&amp;"|"&amp;D4306</f>
        <v>6|7|Stephanie|spotify:track:1C3RIRKQZhSk5d2iioIhkg</v>
      </c>
    </row>
    <row r="4307" customFormat="false" ht="15" hidden="false" customHeight="false" outlineLevel="0" collapsed="false">
      <c r="A4307" s="5" t="n">
        <v>6</v>
      </c>
      <c r="B4307" s="5" t="n">
        <v>7</v>
      </c>
      <c r="C4307" s="5" t="s">
        <v>97</v>
      </c>
      <c r="D4307" s="5" t="s">
        <v>1930</v>
      </c>
      <c r="E4307" s="5" t="n">
        <v>1</v>
      </c>
      <c r="F4307" s="6" t="n">
        <f aca="false">IFERROR(MATCH(A4307&amp;"|"&amp;B4307&amp;"|"&amp;D4307,'All Song Rankings'!$T:$T,0),0)</f>
        <v>640</v>
      </c>
      <c r="G4307" s="6" t="str">
        <f aca="false">IF(F4307=0,"NOT FOUND",INDEX('All Song Rankings'!$A:$A,F4307))</f>
        <v>Come Fly With Me</v>
      </c>
      <c r="H4307" s="6" t="str">
        <f aca="false">IF(F4307=0,"NOT FOUND",INDEX('All Song Rankings'!$B:$B,F4307))</f>
        <v>Frank Sinatra</v>
      </c>
      <c r="I4307" s="6" t="str">
        <f aca="false">IF(F4307=0,"NOT FOUND",INDEX('All Song Rankings'!$D:$D,F4307))</f>
        <v>Makenzie</v>
      </c>
      <c r="J4307" s="7" t="str">
        <f aca="false">IF(F4307=0,"NOT FOUND",IF(C4307=I4307,"SELF-VOTE",IF(COUNTIF($K:$K,K4307)&gt;1,"DUPLICATE","OK")))</f>
        <v>OK</v>
      </c>
      <c r="K4307" s="6" t="str">
        <f aca="false">A4307&amp;"|"&amp;B4307&amp;"|"&amp;C4307&amp;"|"&amp;D4307</f>
        <v>6|7|Stephanie|spotify:track:1GcPhT7osBb4LEJnQ0tmfj</v>
      </c>
    </row>
    <row r="4308" customFormat="false" ht="15" hidden="false" customHeight="false" outlineLevel="0" collapsed="false">
      <c r="A4308" s="5" t="n">
        <v>6</v>
      </c>
      <c r="B4308" s="5" t="n">
        <v>7</v>
      </c>
      <c r="C4308" s="5" t="s">
        <v>97</v>
      </c>
      <c r="D4308" s="5" t="s">
        <v>1964</v>
      </c>
      <c r="E4308" s="5" t="n">
        <v>1</v>
      </c>
      <c r="F4308" s="6" t="n">
        <f aca="false">IFERROR(MATCH(A4308&amp;"|"&amp;B4308&amp;"|"&amp;D4308,'All Song Rankings'!$T:$T,0),0)</f>
        <v>652</v>
      </c>
      <c r="G4308" s="6" t="str">
        <f aca="false">IF(F4308=0,"NOT FOUND",INDEX('All Song Rankings'!$A:$A,F4308))</f>
        <v>Gravity</v>
      </c>
      <c r="H4308" s="6" t="str">
        <f aca="false">IF(F4308=0,"NOT FOUND",INDEX('All Song Rankings'!$B:$B,F4308))</f>
        <v>Papa Roach</v>
      </c>
      <c r="I4308" s="6" t="str">
        <f aca="false">IF(F4308=0,"NOT FOUND",INDEX('All Song Rankings'!$D:$D,F4308))</f>
        <v>Leah</v>
      </c>
      <c r="J4308" s="7" t="str">
        <f aca="false">IF(F4308=0,"NOT FOUND",IF(C4308=I4308,"SELF-VOTE",IF(COUNTIF($K:$K,K4308)&gt;1,"DUPLICATE","OK")))</f>
        <v>OK</v>
      </c>
      <c r="K4308" s="6" t="str">
        <f aca="false">A4308&amp;"|"&amp;B4308&amp;"|"&amp;C4308&amp;"|"&amp;D4308</f>
        <v>6|7|Stephanie|spotify:track:1SmoikQyzvAi35I5X4LHMY</v>
      </c>
    </row>
    <row r="4309" customFormat="false" ht="15" hidden="false" customHeight="false" outlineLevel="0" collapsed="false">
      <c r="A4309" s="5" t="n">
        <v>6</v>
      </c>
      <c r="B4309" s="5" t="n">
        <v>7</v>
      </c>
      <c r="C4309" s="5" t="s">
        <v>97</v>
      </c>
      <c r="D4309" s="5" t="s">
        <v>1958</v>
      </c>
      <c r="E4309" s="5" t="n">
        <v>2</v>
      </c>
      <c r="F4309" s="6" t="n">
        <f aca="false">IFERROR(MATCH(A4309&amp;"|"&amp;B4309&amp;"|"&amp;D4309,'All Song Rankings'!$T:$T,0),0)</f>
        <v>650</v>
      </c>
      <c r="G4309" s="6" t="str">
        <f aca="false">IF(F4309=0,"NOT FOUND",INDEX('All Song Rankings'!$A:$A,F4309))</f>
        <v>Theme From Jurassic Park</v>
      </c>
      <c r="H4309" s="6" t="str">
        <f aca="false">IF(F4309=0,"NOT FOUND",INDEX('All Song Rankings'!$B:$B,F4309))</f>
        <v>John Williams</v>
      </c>
      <c r="I4309" s="6" t="str">
        <f aca="false">IF(F4309=0,"NOT FOUND",INDEX('All Song Rankings'!$D:$D,F4309))</f>
        <v>Josh</v>
      </c>
      <c r="J4309" s="7" t="str">
        <f aca="false">IF(F4309=0,"NOT FOUND",IF(C4309=I4309,"SELF-VOTE",IF(COUNTIF($K:$K,K4309)&gt;1,"DUPLICATE","OK")))</f>
        <v>OK</v>
      </c>
      <c r="K4309" s="6" t="str">
        <f aca="false">A4309&amp;"|"&amp;B4309&amp;"|"&amp;C4309&amp;"|"&amp;D4309</f>
        <v>6|7|Stephanie|spotify:track:2TZbQZXOuR8osP2AK8yYMN</v>
      </c>
    </row>
    <row r="4310" customFormat="false" ht="15" hidden="false" customHeight="false" outlineLevel="0" collapsed="false">
      <c r="A4310" s="5" t="n">
        <v>6</v>
      </c>
      <c r="B4310" s="5" t="n">
        <v>7</v>
      </c>
      <c r="C4310" s="5" t="s">
        <v>97</v>
      </c>
      <c r="D4310" s="5" t="s">
        <v>1944</v>
      </c>
      <c r="E4310" s="5" t="n">
        <v>2</v>
      </c>
      <c r="F4310" s="6" t="n">
        <f aca="false">IFERROR(MATCH(A4310&amp;"|"&amp;B4310&amp;"|"&amp;D4310,'All Song Rankings'!$T:$T,0),0)</f>
        <v>645</v>
      </c>
      <c r="G4310" s="6" t="str">
        <f aca="false">IF(F4310=0,"NOT FOUND",INDEX('All Song Rankings'!$A:$A,F4310))</f>
        <v>Turn The Page - Live</v>
      </c>
      <c r="H4310" s="6" t="str">
        <f aca="false">IF(F4310=0,"NOT FOUND",INDEX('All Song Rankings'!$B:$B,F4310))</f>
        <v>Bob Seger</v>
      </c>
      <c r="I4310" s="6" t="str">
        <f aca="false">IF(F4310=0,"NOT FOUND",INDEX('All Song Rankings'!$D:$D,F4310))</f>
        <v>Lisa</v>
      </c>
      <c r="J4310" s="7" t="str">
        <f aca="false">IF(F4310=0,"NOT FOUND",IF(C4310=I4310,"SELF-VOTE",IF(COUNTIF($K:$K,K4310)&gt;1,"DUPLICATE","OK")))</f>
        <v>OK</v>
      </c>
      <c r="K4310" s="6" t="str">
        <f aca="false">A4310&amp;"|"&amp;B4310&amp;"|"&amp;C4310&amp;"|"&amp;D4310</f>
        <v>6|7|Stephanie|spotify:track:3P2XAL8UpPBM3nfvuEjHHE</v>
      </c>
    </row>
    <row r="4311" customFormat="false" ht="15" hidden="false" customHeight="false" outlineLevel="0" collapsed="false">
      <c r="A4311" s="5" t="n">
        <v>6</v>
      </c>
      <c r="B4311" s="5" t="n">
        <v>7</v>
      </c>
      <c r="C4311" s="5" t="s">
        <v>97</v>
      </c>
      <c r="D4311" s="5" t="s">
        <v>1928</v>
      </c>
      <c r="E4311" s="5" t="n">
        <v>1</v>
      </c>
      <c r="F4311" s="6" t="n">
        <f aca="false">IFERROR(MATCH(A4311&amp;"|"&amp;B4311&amp;"|"&amp;D4311,'All Song Rankings'!$T:$T,0),0)</f>
        <v>639</v>
      </c>
      <c r="G4311" s="6" t="str">
        <f aca="false">IF(F4311=0,"NOT FOUND",INDEX('All Song Rankings'!$A:$A,F4311))</f>
        <v>21</v>
      </c>
      <c r="H4311" s="6" t="str">
        <f aca="false">IF(F4311=0,"NOT FOUND",INDEX('All Song Rankings'!$B:$B,F4311))</f>
        <v>Lola</v>
      </c>
      <c r="I4311" s="6" t="str">
        <f aca="false">IF(F4311=0,"NOT FOUND",INDEX('All Song Rankings'!$D:$D,F4311))</f>
        <v>Merita</v>
      </c>
      <c r="J4311" s="7" t="str">
        <f aca="false">IF(F4311=0,"NOT FOUND",IF(C4311=I4311,"SELF-VOTE",IF(COUNTIF($K:$K,K4311)&gt;1,"DUPLICATE","OK")))</f>
        <v>OK</v>
      </c>
      <c r="K4311" s="6" t="str">
        <f aca="false">A4311&amp;"|"&amp;B4311&amp;"|"&amp;C4311&amp;"|"&amp;D4311</f>
        <v>6|7|Stephanie|spotify:track:5JnUeseqxjW49AuvB2WXjR</v>
      </c>
    </row>
    <row r="4312" customFormat="false" ht="15" hidden="false" customHeight="false" outlineLevel="0" collapsed="false">
      <c r="A4312" s="5" t="n">
        <v>6</v>
      </c>
      <c r="B4312" s="5" t="n">
        <v>7</v>
      </c>
      <c r="C4312" s="5" t="s">
        <v>97</v>
      </c>
      <c r="D4312" s="5" t="s">
        <v>1950</v>
      </c>
      <c r="E4312" s="5" t="n">
        <v>1</v>
      </c>
      <c r="F4312" s="6" t="n">
        <f aca="false">IFERROR(MATCH(A4312&amp;"|"&amp;B4312&amp;"|"&amp;D4312,'All Song Rankings'!$T:$T,0),0)</f>
        <v>647</v>
      </c>
      <c r="G4312" s="6" t="str">
        <f aca="false">IF(F4312=0,"NOT FOUND",INDEX('All Song Rankings'!$A:$A,F4312))</f>
        <v>Fragile</v>
      </c>
      <c r="H4312" s="6" t="str">
        <f aca="false">IF(F4312=0,"NOT FOUND",INDEX('All Song Rankings'!$B:$B,F4312))</f>
        <v>Sting</v>
      </c>
      <c r="I4312" s="6" t="str">
        <f aca="false">IF(F4312=0,"NOT FOUND",INDEX('All Song Rankings'!$D:$D,F4312))</f>
        <v>Christine</v>
      </c>
      <c r="J4312" s="7" t="str">
        <f aca="false">IF(F4312=0,"NOT FOUND",IF(C4312=I4312,"SELF-VOTE",IF(COUNTIF($K:$K,K4312)&gt;1,"DUPLICATE","OK")))</f>
        <v>OK</v>
      </c>
      <c r="K4312" s="6" t="str">
        <f aca="false">A4312&amp;"|"&amp;B4312&amp;"|"&amp;C4312&amp;"|"&amp;D4312</f>
        <v>6|7|Stephanie|spotify:track:5oE6INocVL9viDow5y8QNM</v>
      </c>
    </row>
    <row r="4313" customFormat="false" ht="15" hidden="false" customHeight="false" outlineLevel="0" collapsed="false">
      <c r="A4313" s="5" t="n">
        <v>6</v>
      </c>
      <c r="B4313" s="5" t="n">
        <v>7</v>
      </c>
      <c r="C4313" s="5" t="s">
        <v>97</v>
      </c>
      <c r="D4313" s="5" t="s">
        <v>1933</v>
      </c>
      <c r="E4313" s="5" t="n">
        <v>1</v>
      </c>
      <c r="F4313" s="6" t="n">
        <f aca="false">IFERROR(MATCH(A4313&amp;"|"&amp;B4313&amp;"|"&amp;D4313,'All Song Rankings'!$T:$T,0),0)</f>
        <v>641</v>
      </c>
      <c r="G4313" s="6" t="str">
        <f aca="false">IF(F4313=0,"NOT FOUND",INDEX('All Song Rankings'!$A:$A,F4313))</f>
        <v>Where I Belong (feat. We The Kings)</v>
      </c>
      <c r="H4313" s="6" t="str">
        <f aca="false">IF(F4313=0,"NOT FOUND",INDEX('All Song Rankings'!$B:$B,F4313))</f>
        <v>Simple Plan, State Champs, We The Kings</v>
      </c>
      <c r="I4313" s="6" t="str">
        <f aca="false">IF(F4313=0,"NOT FOUND",INDEX('All Song Rankings'!$D:$D,F4313))</f>
        <v>Colleen</v>
      </c>
      <c r="J4313" s="7" t="str">
        <f aca="false">IF(F4313=0,"NOT FOUND",IF(C4313=I4313,"SELF-VOTE",IF(COUNTIF($K:$K,K4313)&gt;1,"DUPLICATE","OK")))</f>
        <v>OK</v>
      </c>
      <c r="K4313" s="6" t="str">
        <f aca="false">A4313&amp;"|"&amp;B4313&amp;"|"&amp;C4313&amp;"|"&amp;D4313</f>
        <v>6|7|Stephanie|spotify:track:6XbmIuDxm4gWpVYoGg5DQX</v>
      </c>
    </row>
    <row r="4314" customFormat="false" ht="15" hidden="false" customHeight="false" outlineLevel="0" collapsed="false">
      <c r="A4314" s="5" t="n">
        <v>6</v>
      </c>
      <c r="B4314" s="5" t="n">
        <v>8</v>
      </c>
      <c r="C4314" s="5" t="s">
        <v>719</v>
      </c>
      <c r="D4314" s="5" t="s">
        <v>1168</v>
      </c>
      <c r="E4314" s="5" t="n">
        <v>1</v>
      </c>
      <c r="F4314" s="6" t="n">
        <f aca="false">IFERROR(MATCH(A4314&amp;"|"&amp;B4314&amp;"|"&amp;D4314,'All Song Rankings'!$T:$T,0),0)</f>
        <v>670</v>
      </c>
      <c r="G4314" s="6" t="str">
        <f aca="false">IF(F4314=0,"NOT FOUND",INDEX('All Song Rankings'!$A:$A,F4314))</f>
        <v>Mr. Brightside</v>
      </c>
      <c r="H4314" s="6" t="str">
        <f aca="false">IF(F4314=0,"NOT FOUND",INDEX('All Song Rankings'!$B:$B,F4314))</f>
        <v>The Killers</v>
      </c>
      <c r="I4314" s="6" t="str">
        <f aca="false">IF(F4314=0,"NOT FOUND",INDEX('All Song Rankings'!$D:$D,F4314))</f>
        <v>Aubrey</v>
      </c>
      <c r="J4314" s="7" t="str">
        <f aca="false">IF(F4314=0,"NOT FOUND",IF(C4314=I4314,"SELF-VOTE",IF(COUNTIF($K:$K,K4314)&gt;1,"DUPLICATE","OK")))</f>
        <v>OK</v>
      </c>
      <c r="K4314" s="6" t="str">
        <f aca="false">A4314&amp;"|"&amp;B4314&amp;"|"&amp;C4314&amp;"|"&amp;D4314</f>
        <v>6|8|Christine|spotify:track:003vvx7Niy0yvhvHt4a68B</v>
      </c>
    </row>
    <row r="4315" customFormat="false" ht="15" hidden="false" customHeight="false" outlineLevel="0" collapsed="false">
      <c r="A4315" s="5" t="n">
        <v>6</v>
      </c>
      <c r="B4315" s="5" t="n">
        <v>8</v>
      </c>
      <c r="C4315" s="5" t="s">
        <v>719</v>
      </c>
      <c r="D4315" s="5" t="s">
        <v>1980</v>
      </c>
      <c r="E4315" s="5" t="n">
        <v>1</v>
      </c>
      <c r="F4315" s="6" t="n">
        <f aca="false">IFERROR(MATCH(A4315&amp;"|"&amp;B4315&amp;"|"&amp;D4315,'All Song Rankings'!$T:$T,0),0)</f>
        <v>657</v>
      </c>
      <c r="G4315" s="6" t="str">
        <f aca="false">IF(F4315=0,"NOT FOUND",INDEX('All Song Rankings'!$A:$A,F4315))</f>
        <v>Welcome To The Jungle</v>
      </c>
      <c r="H4315" s="6" t="str">
        <f aca="false">IF(F4315=0,"NOT FOUND",INDEX('All Song Rankings'!$B:$B,F4315))</f>
        <v>Guns N' Roses</v>
      </c>
      <c r="I4315" s="6" t="str">
        <f aca="false">IF(F4315=0,"NOT FOUND",INDEX('All Song Rankings'!$D:$D,F4315))</f>
        <v>Josh</v>
      </c>
      <c r="J4315" s="7" t="str">
        <f aca="false">IF(F4315=0,"NOT FOUND",IF(C4315=I4315,"SELF-VOTE",IF(COUNTIF($K:$K,K4315)&gt;1,"DUPLICATE","OK")))</f>
        <v>OK</v>
      </c>
      <c r="K4315" s="6" t="str">
        <f aca="false">A4315&amp;"|"&amp;B4315&amp;"|"&amp;C4315&amp;"|"&amp;D4315</f>
        <v>6|8|Christine|spotify:track:0G21yYKMZoHa30cYVi1iA8</v>
      </c>
    </row>
    <row r="4316" customFormat="false" ht="15" hidden="false" customHeight="false" outlineLevel="0" collapsed="false">
      <c r="A4316" s="5" t="n">
        <v>6</v>
      </c>
      <c r="B4316" s="5" t="n">
        <v>8</v>
      </c>
      <c r="C4316" s="5" t="s">
        <v>719</v>
      </c>
      <c r="D4316" s="5" t="s">
        <v>1995</v>
      </c>
      <c r="E4316" s="5" t="n">
        <v>1</v>
      </c>
      <c r="F4316" s="6" t="n">
        <f aca="false">IFERROR(MATCH(A4316&amp;"|"&amp;B4316&amp;"|"&amp;D4316,'All Song Rankings'!$T:$T,0),0)</f>
        <v>663</v>
      </c>
      <c r="G4316" s="6" t="str">
        <f aca="false">IF(F4316=0,"NOT FOUND",INDEX('All Song Rankings'!$A:$A,F4316))</f>
        <v>Are You Gonna Go My Way</v>
      </c>
      <c r="H4316" s="6" t="str">
        <f aca="false">IF(F4316=0,"NOT FOUND",INDEX('All Song Rankings'!$B:$B,F4316))</f>
        <v>Lenny Kravitz</v>
      </c>
      <c r="I4316" s="6" t="str">
        <f aca="false">IF(F4316=0,"NOT FOUND",INDEX('All Song Rankings'!$D:$D,F4316))</f>
        <v>Scott</v>
      </c>
      <c r="J4316" s="7" t="str">
        <f aca="false">IF(F4316=0,"NOT FOUND",IF(C4316=I4316,"SELF-VOTE",IF(COUNTIF($K:$K,K4316)&gt;1,"DUPLICATE","OK")))</f>
        <v>OK</v>
      </c>
      <c r="K4316" s="6" t="str">
        <f aca="false">A4316&amp;"|"&amp;B4316&amp;"|"&amp;C4316&amp;"|"&amp;D4316</f>
        <v>6|8|Christine|spotify:track:45Ia1U4KtIjAPPU7Wv1Sea</v>
      </c>
    </row>
    <row r="4317" customFormat="false" ht="15" hidden="false" customHeight="false" outlineLevel="0" collapsed="false">
      <c r="A4317" s="5" t="n">
        <v>6</v>
      </c>
      <c r="B4317" s="5" t="n">
        <v>8</v>
      </c>
      <c r="C4317" s="5" t="s">
        <v>719</v>
      </c>
      <c r="D4317" s="5" t="s">
        <v>1974</v>
      </c>
      <c r="E4317" s="5" t="n">
        <v>1</v>
      </c>
      <c r="F4317" s="6" t="n">
        <f aca="false">IFERROR(MATCH(A4317&amp;"|"&amp;B4317&amp;"|"&amp;D4317,'All Song Rankings'!$T:$T,0),0)</f>
        <v>655</v>
      </c>
      <c r="G4317" s="6" t="str">
        <f aca="false">IF(F4317=0,"NOT FOUND",INDEX('All Song Rankings'!$A:$A,F4317))</f>
        <v>Get Ready For This</v>
      </c>
      <c r="H4317" s="6" t="str">
        <f aca="false">IF(F4317=0,"NOT FOUND",INDEX('All Song Rankings'!$B:$B,F4317))</f>
        <v>2 Unlimited</v>
      </c>
      <c r="I4317" s="6" t="str">
        <f aca="false">IF(F4317=0,"NOT FOUND",INDEX('All Song Rankings'!$D:$D,F4317))</f>
        <v>Leah</v>
      </c>
      <c r="J4317" s="7" t="str">
        <f aca="false">IF(F4317=0,"NOT FOUND",IF(C4317=I4317,"SELF-VOTE",IF(COUNTIF($K:$K,K4317)&gt;1,"DUPLICATE","OK")))</f>
        <v>OK</v>
      </c>
      <c r="K4317" s="6" t="str">
        <f aca="false">A4317&amp;"|"&amp;B4317&amp;"|"&amp;C4317&amp;"|"&amp;D4317</f>
        <v>6|8|Christine|spotify:track:45Q5IYHJbBdmvlcnwVpXw5</v>
      </c>
    </row>
    <row r="4318" customFormat="false" ht="15" hidden="false" customHeight="false" outlineLevel="0" collapsed="false">
      <c r="A4318" s="5" t="n">
        <v>6</v>
      </c>
      <c r="B4318" s="5" t="n">
        <v>8</v>
      </c>
      <c r="C4318" s="5" t="s">
        <v>719</v>
      </c>
      <c r="D4318" s="5" t="s">
        <v>1983</v>
      </c>
      <c r="E4318" s="5" t="n">
        <v>1</v>
      </c>
      <c r="F4318" s="6" t="n">
        <f aca="false">IFERROR(MATCH(A4318&amp;"|"&amp;B4318&amp;"|"&amp;D4318,'All Song Rankings'!$T:$T,0),0)</f>
        <v>658</v>
      </c>
      <c r="G4318" s="6" t="str">
        <f aca="false">IF(F4318=0,"NOT FOUND",INDEX('All Song Rankings'!$A:$A,F4318))</f>
        <v>Narco</v>
      </c>
      <c r="H4318" s="6" t="str">
        <f aca="false">IF(F4318=0,"NOT FOUND",INDEX('All Song Rankings'!$B:$B,F4318))</f>
        <v>Blasterjaxx, Timmy Trumpet</v>
      </c>
      <c r="I4318" s="6" t="str">
        <f aca="false">IF(F4318=0,"NOT FOUND",INDEX('All Song Rankings'!$D:$D,F4318))</f>
        <v>Kelsey</v>
      </c>
      <c r="J4318" s="7" t="str">
        <f aca="false">IF(F4318=0,"NOT FOUND",IF(C4318=I4318,"SELF-VOTE",IF(COUNTIF($K:$K,K4318)&gt;1,"DUPLICATE","OK")))</f>
        <v>OK</v>
      </c>
      <c r="K4318" s="6" t="str">
        <f aca="false">A4318&amp;"|"&amp;B4318&amp;"|"&amp;C4318&amp;"|"&amp;D4318</f>
        <v>6|8|Christine|spotify:track:4TuNI3WEMyLQAKRMJmcQdA</v>
      </c>
    </row>
    <row r="4319" customFormat="false" ht="15" hidden="false" customHeight="false" outlineLevel="0" collapsed="false">
      <c r="A4319" s="5" t="n">
        <v>6</v>
      </c>
      <c r="B4319" s="5" t="n">
        <v>8</v>
      </c>
      <c r="C4319" s="5" t="s">
        <v>719</v>
      </c>
      <c r="D4319" s="5" t="s">
        <v>1998</v>
      </c>
      <c r="E4319" s="5" t="n">
        <v>1</v>
      </c>
      <c r="F4319" s="6" t="n">
        <f aca="false">IFERROR(MATCH(A4319&amp;"|"&amp;B4319&amp;"|"&amp;D4319,'All Song Rankings'!$T:$T,0),0)</f>
        <v>664</v>
      </c>
      <c r="G4319" s="6" t="str">
        <f aca="false">IF(F4319=0,"NOT FOUND",INDEX('All Song Rankings'!$A:$A,F4319))</f>
        <v>Do Ya Wanna Taste It</v>
      </c>
      <c r="H4319" s="6" t="str">
        <f aca="false">IF(F4319=0,"NOT FOUND",INDEX('All Song Rankings'!$B:$B,F4319))</f>
        <v>Wig Wam</v>
      </c>
      <c r="I4319" s="6" t="str">
        <f aca="false">IF(F4319=0,"NOT FOUND",INDEX('All Song Rankings'!$D:$D,F4319))</f>
        <v>Nicole</v>
      </c>
      <c r="J4319" s="7" t="str">
        <f aca="false">IF(F4319=0,"NOT FOUND",IF(C4319=I4319,"SELF-VOTE",IF(COUNTIF($K:$K,K4319)&gt;1,"DUPLICATE","OK")))</f>
        <v>OK</v>
      </c>
      <c r="K4319" s="6" t="str">
        <f aca="false">A4319&amp;"|"&amp;B4319&amp;"|"&amp;C4319&amp;"|"&amp;D4319</f>
        <v>6|8|Christine|spotify:track:5XW4BwCrfYpci5zMbJxs4N</v>
      </c>
    </row>
    <row r="4320" customFormat="false" ht="15" hidden="false" customHeight="false" outlineLevel="0" collapsed="false">
      <c r="A4320" s="5" t="n">
        <v>6</v>
      </c>
      <c r="B4320" s="5" t="n">
        <v>8</v>
      </c>
      <c r="C4320" s="5" t="s">
        <v>719</v>
      </c>
      <c r="D4320" s="5" t="s">
        <v>1986</v>
      </c>
      <c r="E4320" s="5" t="n">
        <v>1</v>
      </c>
      <c r="F4320" s="6" t="n">
        <f aca="false">IFERROR(MATCH(A4320&amp;"|"&amp;B4320&amp;"|"&amp;D4320,'All Song Rankings'!$T:$T,0),0)</f>
        <v>659</v>
      </c>
      <c r="G4320" s="6" t="str">
        <f aca="false">IF(F4320=0,"NOT FOUND",INDEX('All Song Rankings'!$A:$A,F4320))</f>
        <v>Space Jam</v>
      </c>
      <c r="H4320" s="6" t="str">
        <f aca="false">IF(F4320=0,"NOT FOUND",INDEX('All Song Rankings'!$B:$B,F4320))</f>
        <v>Quad City DJ's</v>
      </c>
      <c r="I4320" s="6" t="str">
        <f aca="false">IF(F4320=0,"NOT FOUND",INDEX('All Song Rankings'!$D:$D,F4320))</f>
        <v>Colleen</v>
      </c>
      <c r="J4320" s="7" t="str">
        <f aca="false">IF(F4320=0,"NOT FOUND",IF(C4320=I4320,"SELF-VOTE",IF(COUNTIF($K:$K,K4320)&gt;1,"DUPLICATE","OK")))</f>
        <v>OK</v>
      </c>
      <c r="K4320" s="6" t="str">
        <f aca="false">A4320&amp;"|"&amp;B4320&amp;"|"&amp;C4320&amp;"|"&amp;D4320</f>
        <v>6|8|Christine|spotify:track:683hRieVmYdAhVA1DkjSAk</v>
      </c>
    </row>
    <row r="4321" customFormat="false" ht="15" hidden="false" customHeight="false" outlineLevel="0" collapsed="false">
      <c r="A4321" s="5" t="n">
        <v>6</v>
      </c>
      <c r="B4321" s="5" t="n">
        <v>8</v>
      </c>
      <c r="C4321" s="5" t="s">
        <v>719</v>
      </c>
      <c r="D4321" s="5" t="s">
        <v>2006</v>
      </c>
      <c r="E4321" s="5" t="n">
        <v>1</v>
      </c>
      <c r="F4321" s="6" t="n">
        <f aca="false">IFERROR(MATCH(A4321&amp;"|"&amp;B4321&amp;"|"&amp;D4321,'All Song Rankings'!$T:$T,0),0)</f>
        <v>667</v>
      </c>
      <c r="G4321" s="6" t="str">
        <f aca="false">IF(F4321=0,"NOT FOUND",INDEX('All Song Rankings'!$A:$A,F4321))</f>
        <v>Jump Around</v>
      </c>
      <c r="H4321" s="6" t="str">
        <f aca="false">IF(F4321=0,"NOT FOUND",INDEX('All Song Rankings'!$B:$B,F4321))</f>
        <v>House Of Pain</v>
      </c>
      <c r="I4321" s="6" t="str">
        <f aca="false">IF(F4321=0,"NOT FOUND",INDEX('All Song Rankings'!$D:$D,F4321))</f>
        <v>Kristen</v>
      </c>
      <c r="J4321" s="7" t="str">
        <f aca="false">IF(F4321=0,"NOT FOUND",IF(C4321=I4321,"SELF-VOTE",IF(COUNTIF($K:$K,K4321)&gt;1,"DUPLICATE","OK")))</f>
        <v>OK</v>
      </c>
      <c r="K4321" s="6" t="str">
        <f aca="false">A4321&amp;"|"&amp;B4321&amp;"|"&amp;C4321&amp;"|"&amp;D4321</f>
        <v>6|8|Christine|spotify:track:6JymsaWDHk2Yj4e0yNBIFH</v>
      </c>
    </row>
    <row r="4322" customFormat="false" ht="15" hidden="false" customHeight="false" outlineLevel="0" collapsed="false">
      <c r="A4322" s="5" t="n">
        <v>6</v>
      </c>
      <c r="B4322" s="5" t="n">
        <v>8</v>
      </c>
      <c r="C4322" s="5" t="s">
        <v>719</v>
      </c>
      <c r="D4322" s="5" t="s">
        <v>2009</v>
      </c>
      <c r="E4322" s="5" t="n">
        <v>1</v>
      </c>
      <c r="F4322" s="6" t="n">
        <f aca="false">IFERROR(MATCH(A4322&amp;"|"&amp;B4322&amp;"|"&amp;D4322,'All Song Rankings'!$T:$T,0),0)</f>
        <v>668</v>
      </c>
      <c r="G4322" s="6" t="str">
        <f aca="false">IF(F4322=0,"NOT FOUND",INDEX('All Song Rankings'!$A:$A,F4322))</f>
        <v>Cold Hearted</v>
      </c>
      <c r="H4322" s="6" t="str">
        <f aca="false">IF(F4322=0,"NOT FOUND",INDEX('All Song Rankings'!$B:$B,F4322))</f>
        <v>Paula Abdul</v>
      </c>
      <c r="I4322" s="6" t="str">
        <f aca="false">IF(F4322=0,"NOT FOUND",INDEX('All Song Rankings'!$D:$D,F4322))</f>
        <v>Logan</v>
      </c>
      <c r="J4322" s="7" t="str">
        <f aca="false">IF(F4322=0,"NOT FOUND",IF(C4322=I4322,"SELF-VOTE",IF(COUNTIF($K:$K,K4322)&gt;1,"DUPLICATE","OK")))</f>
        <v>OK</v>
      </c>
      <c r="K4322" s="6" t="str">
        <f aca="false">A4322&amp;"|"&amp;B4322&amp;"|"&amp;C4322&amp;"|"&amp;D4322</f>
        <v>6|8|Christine|spotify:track:6jrp8qBMJO6vhAeYVAsdk9</v>
      </c>
    </row>
    <row r="4323" customFormat="false" ht="15" hidden="false" customHeight="false" outlineLevel="0" collapsed="false">
      <c r="A4323" s="5" t="n">
        <v>6</v>
      </c>
      <c r="B4323" s="5" t="n">
        <v>8</v>
      </c>
      <c r="C4323" s="5" t="s">
        <v>719</v>
      </c>
      <c r="D4323" s="5" t="s">
        <v>1990</v>
      </c>
      <c r="E4323" s="5" t="n">
        <v>1</v>
      </c>
      <c r="F4323" s="6" t="n">
        <f aca="false">IFERROR(MATCH(A4323&amp;"|"&amp;B4323&amp;"|"&amp;D4323,'All Song Rankings'!$T:$T,0),0)</f>
        <v>661</v>
      </c>
      <c r="G4323" s="6" t="str">
        <f aca="false">IF(F4323=0,"NOT FOUND",INDEX('All Song Rankings'!$A:$A,F4323))</f>
        <v>GIRLS</v>
      </c>
      <c r="H4323" s="6" t="str">
        <f aca="false">IF(F4323=0,"NOT FOUND",INDEX('All Song Rankings'!$B:$B,F4323))</f>
        <v>The Kid LAROI</v>
      </c>
      <c r="I4323" s="6" t="str">
        <f aca="false">IF(F4323=0,"NOT FOUND",INDEX('All Song Rankings'!$D:$D,F4323))</f>
        <v>Makenzie</v>
      </c>
      <c r="J4323" s="7" t="str">
        <f aca="false">IF(F4323=0,"NOT FOUND",IF(C4323=I4323,"SELF-VOTE",IF(COUNTIF($K:$K,K4323)&gt;1,"DUPLICATE","OK")))</f>
        <v>OK</v>
      </c>
      <c r="K4323" s="6" t="str">
        <f aca="false">A4323&amp;"|"&amp;B4323&amp;"|"&amp;C4323&amp;"|"&amp;D4323</f>
        <v>6|8|Christine|spotify:track:7z3PblAN3dH1JMewiRydkZ</v>
      </c>
    </row>
    <row r="4324" customFormat="false" ht="15" hidden="false" customHeight="false" outlineLevel="0" collapsed="false">
      <c r="A4324" s="5" t="n">
        <v>6</v>
      </c>
      <c r="B4324" s="5" t="n">
        <v>8</v>
      </c>
      <c r="C4324" s="5" t="s">
        <v>637</v>
      </c>
      <c r="D4324" s="5" t="s">
        <v>1980</v>
      </c>
      <c r="E4324" s="5" t="n">
        <v>1</v>
      </c>
      <c r="F4324" s="6" t="n">
        <f aca="false">IFERROR(MATCH(A4324&amp;"|"&amp;B4324&amp;"|"&amp;D4324,'All Song Rankings'!$T:$T,0),0)</f>
        <v>657</v>
      </c>
      <c r="G4324" s="6" t="str">
        <f aca="false">IF(F4324=0,"NOT FOUND",INDEX('All Song Rankings'!$A:$A,F4324))</f>
        <v>Welcome To The Jungle</v>
      </c>
      <c r="H4324" s="6" t="str">
        <f aca="false">IF(F4324=0,"NOT FOUND",INDEX('All Song Rankings'!$B:$B,F4324))</f>
        <v>Guns N' Roses</v>
      </c>
      <c r="I4324" s="6" t="str">
        <f aca="false">IF(F4324=0,"NOT FOUND",INDEX('All Song Rankings'!$D:$D,F4324))</f>
        <v>Josh</v>
      </c>
      <c r="J4324" s="7" t="str">
        <f aca="false">IF(F4324=0,"NOT FOUND",IF(C4324=I4324,"SELF-VOTE",IF(COUNTIF($K:$K,K4324)&gt;1,"DUPLICATE","OK")))</f>
        <v>OK</v>
      </c>
      <c r="K4324" s="6" t="str">
        <f aca="false">A4324&amp;"|"&amp;B4324&amp;"|"&amp;C4324&amp;"|"&amp;D4324</f>
        <v>6|8|Colleen|spotify:track:0G21yYKMZoHa30cYVi1iA8</v>
      </c>
    </row>
    <row r="4325" customFormat="false" ht="15" hidden="false" customHeight="false" outlineLevel="0" collapsed="false">
      <c r="A4325" s="5" t="n">
        <v>6</v>
      </c>
      <c r="B4325" s="5" t="n">
        <v>8</v>
      </c>
      <c r="C4325" s="5" t="s">
        <v>637</v>
      </c>
      <c r="D4325" s="5" t="s">
        <v>1988</v>
      </c>
      <c r="E4325" s="5" t="n">
        <v>1</v>
      </c>
      <c r="F4325" s="6" t="n">
        <f aca="false">IFERROR(MATCH(A4325&amp;"|"&amp;B4325&amp;"|"&amp;D4325,'All Song Rankings'!$T:$T,0),0)</f>
        <v>660</v>
      </c>
      <c r="G4325" s="6" t="str">
        <f aca="false">IF(F4325=0,"NOT FOUND",INDEX('All Song Rankings'!$A:$A,F4325))</f>
        <v>Dancing Queen</v>
      </c>
      <c r="H4325" s="6" t="str">
        <f aca="false">IF(F4325=0,"NOT FOUND",INDEX('All Song Rankings'!$B:$B,F4325))</f>
        <v>ABBA</v>
      </c>
      <c r="I4325" s="6" t="str">
        <f aca="false">IF(F4325=0,"NOT FOUND",INDEX('All Song Rankings'!$D:$D,F4325))</f>
        <v>Lisa</v>
      </c>
      <c r="J4325" s="7" t="str">
        <f aca="false">IF(F4325=0,"NOT FOUND",IF(C4325=I4325,"SELF-VOTE",IF(COUNTIF($K:$K,K4325)&gt;1,"DUPLICATE","OK")))</f>
        <v>OK</v>
      </c>
      <c r="K4325" s="6" t="str">
        <f aca="false">A4325&amp;"|"&amp;B4325&amp;"|"&amp;C4325&amp;"|"&amp;D4325</f>
        <v>6|8|Colleen|spotify:track:0GjEhVFGZW8afUYGChu3Rr</v>
      </c>
    </row>
    <row r="4326" customFormat="false" ht="15" hidden="false" customHeight="false" outlineLevel="0" collapsed="false">
      <c r="A4326" s="5" t="n">
        <v>6</v>
      </c>
      <c r="B4326" s="5" t="n">
        <v>8</v>
      </c>
      <c r="C4326" s="5" t="s">
        <v>637</v>
      </c>
      <c r="D4326" s="5" t="s">
        <v>1992</v>
      </c>
      <c r="E4326" s="5" t="n">
        <v>2</v>
      </c>
      <c r="F4326" s="6" t="n">
        <f aca="false">IFERROR(MATCH(A4326&amp;"|"&amp;B4326&amp;"|"&amp;D4326,'All Song Rankings'!$T:$T,0),0)</f>
        <v>662</v>
      </c>
      <c r="G4326" s="6" t="str">
        <f aca="false">IF(F4326=0,"NOT FOUND",INDEX('All Song Rankings'!$A:$A,F4326))</f>
        <v>TiK ToK</v>
      </c>
      <c r="H4326" s="6" t="str">
        <f aca="false">IF(F4326=0,"NOT FOUND",INDEX('All Song Rankings'!$B:$B,F4326))</f>
        <v>Kesha</v>
      </c>
      <c r="I4326" s="6" t="str">
        <f aca="false">IF(F4326=0,"NOT FOUND",INDEX('All Song Rankings'!$D:$D,F4326))</f>
        <v>Grace</v>
      </c>
      <c r="J4326" s="7" t="str">
        <f aca="false">IF(F4326=0,"NOT FOUND",IF(C4326=I4326,"SELF-VOTE",IF(COUNTIF($K:$K,K4326)&gt;1,"DUPLICATE","OK")))</f>
        <v>OK</v>
      </c>
      <c r="K4326" s="6" t="str">
        <f aca="false">A4326&amp;"|"&amp;B4326&amp;"|"&amp;C4326&amp;"|"&amp;D4326</f>
        <v>6|8|Colleen|spotify:track:0HPD5WQqrq7wPWR7P7Dw1i</v>
      </c>
    </row>
    <row r="4327" customFormat="false" ht="15" hidden="false" customHeight="false" outlineLevel="0" collapsed="false">
      <c r="A4327" s="5" t="n">
        <v>6</v>
      </c>
      <c r="B4327" s="5" t="n">
        <v>8</v>
      </c>
      <c r="C4327" s="5" t="s">
        <v>637</v>
      </c>
      <c r="D4327" s="5" t="s">
        <v>1977</v>
      </c>
      <c r="E4327" s="5" t="n">
        <v>1</v>
      </c>
      <c r="F4327" s="6" t="n">
        <f aca="false">IFERROR(MATCH(A4327&amp;"|"&amp;B4327&amp;"|"&amp;D4327,'All Song Rankings'!$T:$T,0),0)</f>
        <v>656</v>
      </c>
      <c r="G4327" s="6" t="str">
        <f aca="false">IF(F4327=0,"NOT FOUND",INDEX('All Song Rankings'!$A:$A,F4327))</f>
        <v>GO</v>
      </c>
      <c r="H4327" s="6" t="str">
        <f aca="false">IF(F4327=0,"NOT FOUND",INDEX('All Song Rankings'!$B:$B,F4327))</f>
        <v>BLACKPINK</v>
      </c>
      <c r="I4327" s="6" t="str">
        <f aca="false">IF(F4327=0,"NOT FOUND",INDEX('All Song Rankings'!$D:$D,F4327))</f>
        <v>Stephanie</v>
      </c>
      <c r="J4327" s="7" t="str">
        <f aca="false">IF(F4327=0,"NOT FOUND",IF(C4327=I4327,"SELF-VOTE",IF(COUNTIF($K:$K,K4327)&gt;1,"DUPLICATE","OK")))</f>
        <v>OK</v>
      </c>
      <c r="K4327" s="6" t="str">
        <f aca="false">A4327&amp;"|"&amp;B4327&amp;"|"&amp;C4327&amp;"|"&amp;D4327</f>
        <v>6|8|Colleen|spotify:track:3FZPp9lBUvhsxFxKJi3VkB</v>
      </c>
    </row>
    <row r="4328" customFormat="false" ht="15" hidden="false" customHeight="false" outlineLevel="0" collapsed="false">
      <c r="A4328" s="5" t="n">
        <v>6</v>
      </c>
      <c r="B4328" s="5" t="n">
        <v>8</v>
      </c>
      <c r="C4328" s="5" t="s">
        <v>637</v>
      </c>
      <c r="D4328" s="5" t="s">
        <v>1974</v>
      </c>
      <c r="E4328" s="5" t="n">
        <v>1</v>
      </c>
      <c r="F4328" s="6" t="n">
        <f aca="false">IFERROR(MATCH(A4328&amp;"|"&amp;B4328&amp;"|"&amp;D4328,'All Song Rankings'!$T:$T,0),0)</f>
        <v>655</v>
      </c>
      <c r="G4328" s="6" t="str">
        <f aca="false">IF(F4328=0,"NOT FOUND",INDEX('All Song Rankings'!$A:$A,F4328))</f>
        <v>Get Ready For This</v>
      </c>
      <c r="H4328" s="6" t="str">
        <f aca="false">IF(F4328=0,"NOT FOUND",INDEX('All Song Rankings'!$B:$B,F4328))</f>
        <v>2 Unlimited</v>
      </c>
      <c r="I4328" s="6" t="str">
        <f aca="false">IF(F4328=0,"NOT FOUND",INDEX('All Song Rankings'!$D:$D,F4328))</f>
        <v>Leah</v>
      </c>
      <c r="J4328" s="7" t="str">
        <f aca="false">IF(F4328=0,"NOT FOUND",IF(C4328=I4328,"SELF-VOTE",IF(COUNTIF($K:$K,K4328)&gt;1,"DUPLICATE","OK")))</f>
        <v>OK</v>
      </c>
      <c r="K4328" s="6" t="str">
        <f aca="false">A4328&amp;"|"&amp;B4328&amp;"|"&amp;C4328&amp;"|"&amp;D4328</f>
        <v>6|8|Colleen|spotify:track:45Q5IYHJbBdmvlcnwVpXw5</v>
      </c>
    </row>
    <row r="4329" customFormat="false" ht="15" hidden="false" customHeight="false" outlineLevel="0" collapsed="false">
      <c r="A4329" s="5" t="n">
        <v>6</v>
      </c>
      <c r="B4329" s="5" t="n">
        <v>8</v>
      </c>
      <c r="C4329" s="5" t="s">
        <v>637</v>
      </c>
      <c r="D4329" s="5" t="s">
        <v>1983</v>
      </c>
      <c r="E4329" s="5" t="n">
        <v>2</v>
      </c>
      <c r="F4329" s="6" t="n">
        <f aca="false">IFERROR(MATCH(A4329&amp;"|"&amp;B4329&amp;"|"&amp;D4329,'All Song Rankings'!$T:$T,0),0)</f>
        <v>658</v>
      </c>
      <c r="G4329" s="6" t="str">
        <f aca="false">IF(F4329=0,"NOT FOUND",INDEX('All Song Rankings'!$A:$A,F4329))</f>
        <v>Narco</v>
      </c>
      <c r="H4329" s="6" t="str">
        <f aca="false">IF(F4329=0,"NOT FOUND",INDEX('All Song Rankings'!$B:$B,F4329))</f>
        <v>Blasterjaxx, Timmy Trumpet</v>
      </c>
      <c r="I4329" s="6" t="str">
        <f aca="false">IF(F4329=0,"NOT FOUND",INDEX('All Song Rankings'!$D:$D,F4329))</f>
        <v>Kelsey</v>
      </c>
      <c r="J4329" s="7" t="str">
        <f aca="false">IF(F4329=0,"NOT FOUND",IF(C4329=I4329,"SELF-VOTE",IF(COUNTIF($K:$K,K4329)&gt;1,"DUPLICATE","OK")))</f>
        <v>OK</v>
      </c>
      <c r="K4329" s="6" t="str">
        <f aca="false">A4329&amp;"|"&amp;B4329&amp;"|"&amp;C4329&amp;"|"&amp;D4329</f>
        <v>6|8|Colleen|spotify:track:4TuNI3WEMyLQAKRMJmcQdA</v>
      </c>
    </row>
    <row r="4330" customFormat="false" ht="15" hidden="false" customHeight="false" outlineLevel="0" collapsed="false">
      <c r="A4330" s="5" t="n">
        <v>6</v>
      </c>
      <c r="B4330" s="5" t="n">
        <v>8</v>
      </c>
      <c r="C4330" s="5" t="s">
        <v>637</v>
      </c>
      <c r="D4330" s="5" t="s">
        <v>1998</v>
      </c>
      <c r="E4330" s="5" t="n">
        <v>1</v>
      </c>
      <c r="F4330" s="6" t="n">
        <f aca="false">IFERROR(MATCH(A4330&amp;"|"&amp;B4330&amp;"|"&amp;D4330,'All Song Rankings'!$T:$T,0),0)</f>
        <v>664</v>
      </c>
      <c r="G4330" s="6" t="str">
        <f aca="false">IF(F4330=0,"NOT FOUND",INDEX('All Song Rankings'!$A:$A,F4330))</f>
        <v>Do Ya Wanna Taste It</v>
      </c>
      <c r="H4330" s="6" t="str">
        <f aca="false">IF(F4330=0,"NOT FOUND",INDEX('All Song Rankings'!$B:$B,F4330))</f>
        <v>Wig Wam</v>
      </c>
      <c r="I4330" s="6" t="str">
        <f aca="false">IF(F4330=0,"NOT FOUND",INDEX('All Song Rankings'!$D:$D,F4330))</f>
        <v>Nicole</v>
      </c>
      <c r="J4330" s="7" t="str">
        <f aca="false">IF(F4330=0,"NOT FOUND",IF(C4330=I4330,"SELF-VOTE",IF(COUNTIF($K:$K,K4330)&gt;1,"DUPLICATE","OK")))</f>
        <v>OK</v>
      </c>
      <c r="K4330" s="6" t="str">
        <f aca="false">A4330&amp;"|"&amp;B4330&amp;"|"&amp;C4330&amp;"|"&amp;D4330</f>
        <v>6|8|Colleen|spotify:track:5XW4BwCrfYpci5zMbJxs4N</v>
      </c>
    </row>
    <row r="4331" customFormat="false" ht="15" hidden="false" customHeight="false" outlineLevel="0" collapsed="false">
      <c r="A4331" s="5" t="n">
        <v>6</v>
      </c>
      <c r="B4331" s="5" t="n">
        <v>8</v>
      </c>
      <c r="C4331" s="5" t="s">
        <v>637</v>
      </c>
      <c r="D4331" s="5" t="s">
        <v>1990</v>
      </c>
      <c r="E4331" s="5" t="n">
        <v>1</v>
      </c>
      <c r="F4331" s="6" t="n">
        <f aca="false">IFERROR(MATCH(A4331&amp;"|"&amp;B4331&amp;"|"&amp;D4331,'All Song Rankings'!$T:$T,0),0)</f>
        <v>661</v>
      </c>
      <c r="G4331" s="6" t="str">
        <f aca="false">IF(F4331=0,"NOT FOUND",INDEX('All Song Rankings'!$A:$A,F4331))</f>
        <v>GIRLS</v>
      </c>
      <c r="H4331" s="6" t="str">
        <f aca="false">IF(F4331=0,"NOT FOUND",INDEX('All Song Rankings'!$B:$B,F4331))</f>
        <v>The Kid LAROI</v>
      </c>
      <c r="I4331" s="6" t="str">
        <f aca="false">IF(F4331=0,"NOT FOUND",INDEX('All Song Rankings'!$D:$D,F4331))</f>
        <v>Makenzie</v>
      </c>
      <c r="J4331" s="7" t="str">
        <f aca="false">IF(F4331=0,"NOT FOUND",IF(C4331=I4331,"SELF-VOTE",IF(COUNTIF($K:$K,K4331)&gt;1,"DUPLICATE","OK")))</f>
        <v>OK</v>
      </c>
      <c r="K4331" s="6" t="str">
        <f aca="false">A4331&amp;"|"&amp;B4331&amp;"|"&amp;C4331&amp;"|"&amp;D4331</f>
        <v>6|8|Colleen|spotify:track:7z3PblAN3dH1JMewiRydkZ</v>
      </c>
    </row>
    <row r="4332" customFormat="false" ht="15" hidden="false" customHeight="false" outlineLevel="0" collapsed="false">
      <c r="A4332" s="5" t="n">
        <v>6</v>
      </c>
      <c r="B4332" s="5" t="n">
        <v>8</v>
      </c>
      <c r="C4332" s="5" t="s">
        <v>382</v>
      </c>
      <c r="D4332" s="5" t="s">
        <v>1168</v>
      </c>
      <c r="E4332" s="5" t="n">
        <v>2</v>
      </c>
      <c r="F4332" s="6" t="n">
        <f aca="false">IFERROR(MATCH(A4332&amp;"|"&amp;B4332&amp;"|"&amp;D4332,'All Song Rankings'!$T:$T,0),0)</f>
        <v>670</v>
      </c>
      <c r="G4332" s="6" t="str">
        <f aca="false">IF(F4332=0,"NOT FOUND",INDEX('All Song Rankings'!$A:$A,F4332))</f>
        <v>Mr. Brightside</v>
      </c>
      <c r="H4332" s="6" t="str">
        <f aca="false">IF(F4332=0,"NOT FOUND",INDEX('All Song Rankings'!$B:$B,F4332))</f>
        <v>The Killers</v>
      </c>
      <c r="I4332" s="6" t="str">
        <f aca="false">IF(F4332=0,"NOT FOUND",INDEX('All Song Rankings'!$D:$D,F4332))</f>
        <v>Aubrey</v>
      </c>
      <c r="J4332" s="7" t="str">
        <f aca="false">IF(F4332=0,"NOT FOUND",IF(C4332=I4332,"SELF-VOTE",IF(COUNTIF($K:$K,K4332)&gt;1,"DUPLICATE","OK")))</f>
        <v>OK</v>
      </c>
      <c r="K4332" s="6" t="str">
        <f aca="false">A4332&amp;"|"&amp;B4332&amp;"|"&amp;C4332&amp;"|"&amp;D4332</f>
        <v>6|8|Grace|spotify:track:003vvx7Niy0yvhvHt4a68B</v>
      </c>
    </row>
    <row r="4333" customFormat="false" ht="15" hidden="false" customHeight="false" outlineLevel="0" collapsed="false">
      <c r="A4333" s="5" t="n">
        <v>6</v>
      </c>
      <c r="B4333" s="5" t="n">
        <v>8</v>
      </c>
      <c r="C4333" s="5" t="s">
        <v>382</v>
      </c>
      <c r="D4333" s="5" t="s">
        <v>1988</v>
      </c>
      <c r="E4333" s="5" t="n">
        <v>2</v>
      </c>
      <c r="F4333" s="6" t="n">
        <f aca="false">IFERROR(MATCH(A4333&amp;"|"&amp;B4333&amp;"|"&amp;D4333,'All Song Rankings'!$T:$T,0),0)</f>
        <v>660</v>
      </c>
      <c r="G4333" s="6" t="str">
        <f aca="false">IF(F4333=0,"NOT FOUND",INDEX('All Song Rankings'!$A:$A,F4333))</f>
        <v>Dancing Queen</v>
      </c>
      <c r="H4333" s="6" t="str">
        <f aca="false">IF(F4333=0,"NOT FOUND",INDEX('All Song Rankings'!$B:$B,F4333))</f>
        <v>ABBA</v>
      </c>
      <c r="I4333" s="6" t="str">
        <f aca="false">IF(F4333=0,"NOT FOUND",INDEX('All Song Rankings'!$D:$D,F4333))</f>
        <v>Lisa</v>
      </c>
      <c r="J4333" s="7" t="str">
        <f aca="false">IF(F4333=0,"NOT FOUND",IF(C4333=I4333,"SELF-VOTE",IF(COUNTIF($K:$K,K4333)&gt;1,"DUPLICATE","OK")))</f>
        <v>OK</v>
      </c>
      <c r="K4333" s="6" t="str">
        <f aca="false">A4333&amp;"|"&amp;B4333&amp;"|"&amp;C4333&amp;"|"&amp;D4333</f>
        <v>6|8|Grace|spotify:track:0GjEhVFGZW8afUYGChu3Rr</v>
      </c>
    </row>
    <row r="4334" customFormat="false" ht="15" hidden="false" customHeight="false" outlineLevel="0" collapsed="false">
      <c r="A4334" s="5" t="n">
        <v>6</v>
      </c>
      <c r="B4334" s="5" t="n">
        <v>8</v>
      </c>
      <c r="C4334" s="5" t="s">
        <v>382</v>
      </c>
      <c r="D4334" s="5" t="s">
        <v>1995</v>
      </c>
      <c r="E4334" s="5" t="n">
        <v>1</v>
      </c>
      <c r="F4334" s="6" t="n">
        <f aca="false">IFERROR(MATCH(A4334&amp;"|"&amp;B4334&amp;"|"&amp;D4334,'All Song Rankings'!$T:$T,0),0)</f>
        <v>663</v>
      </c>
      <c r="G4334" s="6" t="str">
        <f aca="false">IF(F4334=0,"NOT FOUND",INDEX('All Song Rankings'!$A:$A,F4334))</f>
        <v>Are You Gonna Go My Way</v>
      </c>
      <c r="H4334" s="6" t="str">
        <f aca="false">IF(F4334=0,"NOT FOUND",INDEX('All Song Rankings'!$B:$B,F4334))</f>
        <v>Lenny Kravitz</v>
      </c>
      <c r="I4334" s="6" t="str">
        <f aca="false">IF(F4334=0,"NOT FOUND",INDEX('All Song Rankings'!$D:$D,F4334))</f>
        <v>Scott</v>
      </c>
      <c r="J4334" s="7" t="str">
        <f aca="false">IF(F4334=0,"NOT FOUND",IF(C4334=I4334,"SELF-VOTE",IF(COUNTIF($K:$K,K4334)&gt;1,"DUPLICATE","OK")))</f>
        <v>OK</v>
      </c>
      <c r="K4334" s="6" t="str">
        <f aca="false">A4334&amp;"|"&amp;B4334&amp;"|"&amp;C4334&amp;"|"&amp;D4334</f>
        <v>6|8|Grace|spotify:track:45Ia1U4KtIjAPPU7Wv1Sea</v>
      </c>
    </row>
    <row r="4335" customFormat="false" ht="15" hidden="false" customHeight="false" outlineLevel="0" collapsed="false">
      <c r="A4335" s="5" t="n">
        <v>6</v>
      </c>
      <c r="B4335" s="5" t="n">
        <v>8</v>
      </c>
      <c r="C4335" s="5" t="s">
        <v>382</v>
      </c>
      <c r="D4335" s="5" t="s">
        <v>1974</v>
      </c>
      <c r="E4335" s="5" t="n">
        <v>1</v>
      </c>
      <c r="F4335" s="6" t="n">
        <f aca="false">IFERROR(MATCH(A4335&amp;"|"&amp;B4335&amp;"|"&amp;D4335,'All Song Rankings'!$T:$T,0),0)</f>
        <v>655</v>
      </c>
      <c r="G4335" s="6" t="str">
        <f aca="false">IF(F4335=0,"NOT FOUND",INDEX('All Song Rankings'!$A:$A,F4335))</f>
        <v>Get Ready For This</v>
      </c>
      <c r="H4335" s="6" t="str">
        <f aca="false">IF(F4335=0,"NOT FOUND",INDEX('All Song Rankings'!$B:$B,F4335))</f>
        <v>2 Unlimited</v>
      </c>
      <c r="I4335" s="6" t="str">
        <f aca="false">IF(F4335=0,"NOT FOUND",INDEX('All Song Rankings'!$D:$D,F4335))</f>
        <v>Leah</v>
      </c>
      <c r="J4335" s="7" t="str">
        <f aca="false">IF(F4335=0,"NOT FOUND",IF(C4335=I4335,"SELF-VOTE",IF(COUNTIF($K:$K,K4335)&gt;1,"DUPLICATE","OK")))</f>
        <v>OK</v>
      </c>
      <c r="K4335" s="6" t="str">
        <f aca="false">A4335&amp;"|"&amp;B4335&amp;"|"&amp;C4335&amp;"|"&amp;D4335</f>
        <v>6|8|Grace|spotify:track:45Q5IYHJbBdmvlcnwVpXw5</v>
      </c>
    </row>
    <row r="4336" customFormat="false" ht="15" hidden="false" customHeight="false" outlineLevel="0" collapsed="false">
      <c r="A4336" s="5" t="n">
        <v>6</v>
      </c>
      <c r="B4336" s="5" t="n">
        <v>8</v>
      </c>
      <c r="C4336" s="5" t="s">
        <v>382</v>
      </c>
      <c r="D4336" s="5" t="s">
        <v>1983</v>
      </c>
      <c r="E4336" s="5" t="n">
        <v>3</v>
      </c>
      <c r="F4336" s="6" t="n">
        <f aca="false">IFERROR(MATCH(A4336&amp;"|"&amp;B4336&amp;"|"&amp;D4336,'All Song Rankings'!$T:$T,0),0)</f>
        <v>658</v>
      </c>
      <c r="G4336" s="6" t="str">
        <f aca="false">IF(F4336=0,"NOT FOUND",INDEX('All Song Rankings'!$A:$A,F4336))</f>
        <v>Narco</v>
      </c>
      <c r="H4336" s="6" t="str">
        <f aca="false">IF(F4336=0,"NOT FOUND",INDEX('All Song Rankings'!$B:$B,F4336))</f>
        <v>Blasterjaxx, Timmy Trumpet</v>
      </c>
      <c r="I4336" s="6" t="str">
        <f aca="false">IF(F4336=0,"NOT FOUND",INDEX('All Song Rankings'!$D:$D,F4336))</f>
        <v>Kelsey</v>
      </c>
      <c r="J4336" s="7" t="str">
        <f aca="false">IF(F4336=0,"NOT FOUND",IF(C4336=I4336,"SELF-VOTE",IF(COUNTIF($K:$K,K4336)&gt;1,"DUPLICATE","OK")))</f>
        <v>OK</v>
      </c>
      <c r="K4336" s="6" t="str">
        <f aca="false">A4336&amp;"|"&amp;B4336&amp;"|"&amp;C4336&amp;"|"&amp;D4336</f>
        <v>6|8|Grace|spotify:track:4TuNI3WEMyLQAKRMJmcQdA</v>
      </c>
    </row>
    <row r="4337" customFormat="false" ht="15" hidden="false" customHeight="false" outlineLevel="0" collapsed="false">
      <c r="A4337" s="5" t="n">
        <v>6</v>
      </c>
      <c r="B4337" s="5" t="n">
        <v>8</v>
      </c>
      <c r="C4337" s="5" t="s">
        <v>382</v>
      </c>
      <c r="D4337" s="5" t="s">
        <v>1998</v>
      </c>
      <c r="E4337" s="5" t="n">
        <v>1</v>
      </c>
      <c r="F4337" s="6" t="n">
        <f aca="false">IFERROR(MATCH(A4337&amp;"|"&amp;B4337&amp;"|"&amp;D4337,'All Song Rankings'!$T:$T,0),0)</f>
        <v>664</v>
      </c>
      <c r="G4337" s="6" t="str">
        <f aca="false">IF(F4337=0,"NOT FOUND",INDEX('All Song Rankings'!$A:$A,F4337))</f>
        <v>Do Ya Wanna Taste It</v>
      </c>
      <c r="H4337" s="6" t="str">
        <f aca="false">IF(F4337=0,"NOT FOUND",INDEX('All Song Rankings'!$B:$B,F4337))</f>
        <v>Wig Wam</v>
      </c>
      <c r="I4337" s="6" t="str">
        <f aca="false">IF(F4337=0,"NOT FOUND",INDEX('All Song Rankings'!$D:$D,F4337))</f>
        <v>Nicole</v>
      </c>
      <c r="J4337" s="7" t="str">
        <f aca="false">IF(F4337=0,"NOT FOUND",IF(C4337=I4337,"SELF-VOTE",IF(COUNTIF($K:$K,K4337)&gt;1,"DUPLICATE","OK")))</f>
        <v>OK</v>
      </c>
      <c r="K4337" s="6" t="str">
        <f aca="false">A4337&amp;"|"&amp;B4337&amp;"|"&amp;C4337&amp;"|"&amp;D4337</f>
        <v>6|8|Grace|spotify:track:5XW4BwCrfYpci5zMbJxs4N</v>
      </c>
    </row>
    <row r="4338" customFormat="false" ht="15" hidden="false" customHeight="false" outlineLevel="0" collapsed="false">
      <c r="A4338" s="5" t="n">
        <v>6</v>
      </c>
      <c r="B4338" s="5" t="n">
        <v>8</v>
      </c>
      <c r="C4338" s="5" t="s">
        <v>1843</v>
      </c>
      <c r="D4338" s="5" t="s">
        <v>1988</v>
      </c>
      <c r="E4338" s="5" t="n">
        <v>1</v>
      </c>
      <c r="F4338" s="6" t="n">
        <f aca="false">IFERROR(MATCH(A4338&amp;"|"&amp;B4338&amp;"|"&amp;D4338,'All Song Rankings'!$T:$T,0),0)</f>
        <v>660</v>
      </c>
      <c r="G4338" s="6" t="str">
        <f aca="false">IF(F4338=0,"NOT FOUND",INDEX('All Song Rankings'!$A:$A,F4338))</f>
        <v>Dancing Queen</v>
      </c>
      <c r="H4338" s="6" t="str">
        <f aca="false">IF(F4338=0,"NOT FOUND",INDEX('All Song Rankings'!$B:$B,F4338))</f>
        <v>ABBA</v>
      </c>
      <c r="I4338" s="6" t="str">
        <f aca="false">IF(F4338=0,"NOT FOUND",INDEX('All Song Rankings'!$D:$D,F4338))</f>
        <v>Lisa</v>
      </c>
      <c r="J4338" s="7" t="str">
        <f aca="false">IF(F4338=0,"NOT FOUND",IF(C4338=I4338,"SELF-VOTE",IF(COUNTIF($K:$K,K4338)&gt;1,"DUPLICATE","OK")))</f>
        <v>OK</v>
      </c>
      <c r="K4338" s="6" t="str">
        <f aca="false">A4338&amp;"|"&amp;B4338&amp;"|"&amp;C4338&amp;"|"&amp;D4338</f>
        <v>6|8|Josh|spotify:track:0GjEhVFGZW8afUYGChu3Rr</v>
      </c>
    </row>
    <row r="4339" customFormat="false" ht="15" hidden="false" customHeight="false" outlineLevel="0" collapsed="false">
      <c r="A4339" s="5" t="n">
        <v>6</v>
      </c>
      <c r="B4339" s="5" t="n">
        <v>8</v>
      </c>
      <c r="C4339" s="5" t="s">
        <v>1843</v>
      </c>
      <c r="D4339" s="5" t="s">
        <v>1992</v>
      </c>
      <c r="E4339" s="5" t="n">
        <v>1</v>
      </c>
      <c r="F4339" s="6" t="n">
        <f aca="false">IFERROR(MATCH(A4339&amp;"|"&amp;B4339&amp;"|"&amp;D4339,'All Song Rankings'!$T:$T,0),0)</f>
        <v>662</v>
      </c>
      <c r="G4339" s="6" t="str">
        <f aca="false">IF(F4339=0,"NOT FOUND",INDEX('All Song Rankings'!$A:$A,F4339))</f>
        <v>TiK ToK</v>
      </c>
      <c r="H4339" s="6" t="str">
        <f aca="false">IF(F4339=0,"NOT FOUND",INDEX('All Song Rankings'!$B:$B,F4339))</f>
        <v>Kesha</v>
      </c>
      <c r="I4339" s="6" t="str">
        <f aca="false">IF(F4339=0,"NOT FOUND",INDEX('All Song Rankings'!$D:$D,F4339))</f>
        <v>Grace</v>
      </c>
      <c r="J4339" s="7" t="str">
        <f aca="false">IF(F4339=0,"NOT FOUND",IF(C4339=I4339,"SELF-VOTE",IF(COUNTIF($K:$K,K4339)&gt;1,"DUPLICATE","OK")))</f>
        <v>OK</v>
      </c>
      <c r="K4339" s="6" t="str">
        <f aca="false">A4339&amp;"|"&amp;B4339&amp;"|"&amp;C4339&amp;"|"&amp;D4339</f>
        <v>6|8|Josh|spotify:track:0HPD5WQqrq7wPWR7P7Dw1i</v>
      </c>
    </row>
    <row r="4340" customFormat="false" ht="15" hidden="false" customHeight="false" outlineLevel="0" collapsed="false">
      <c r="A4340" s="5" t="n">
        <v>6</v>
      </c>
      <c r="B4340" s="5" t="n">
        <v>8</v>
      </c>
      <c r="C4340" s="5" t="s">
        <v>1843</v>
      </c>
      <c r="D4340" s="5" t="s">
        <v>2000</v>
      </c>
      <c r="E4340" s="5" t="n">
        <v>1</v>
      </c>
      <c r="F4340" s="6" t="n">
        <f aca="false">IFERROR(MATCH(A4340&amp;"|"&amp;B4340&amp;"|"&amp;D4340,'All Song Rankings'!$T:$T,0),0)</f>
        <v>665</v>
      </c>
      <c r="G4340" s="6" t="str">
        <f aca="false">IF(F4340=0,"NOT FOUND",INDEX('All Song Rankings'!$A:$A,F4340))</f>
        <v>POWER</v>
      </c>
      <c r="H4340" s="6" t="str">
        <f aca="false">IF(F4340=0,"NOT FOUND",INDEX('All Song Rankings'!$B:$B,F4340))</f>
        <v>Kanye West</v>
      </c>
      <c r="I4340" s="6" t="str">
        <f aca="false">IF(F4340=0,"NOT FOUND",INDEX('All Song Rankings'!$D:$D,F4340))</f>
        <v>Matt</v>
      </c>
      <c r="J4340" s="7" t="str">
        <f aca="false">IF(F4340=0,"NOT FOUND",IF(C4340=I4340,"SELF-VOTE",IF(COUNTIF($K:$K,K4340)&gt;1,"DUPLICATE","OK")))</f>
        <v>OK</v>
      </c>
      <c r="K4340" s="6" t="str">
        <f aca="false">A4340&amp;"|"&amp;B4340&amp;"|"&amp;C4340&amp;"|"&amp;D4340</f>
        <v>6|8|Josh|spotify:track:2gZUPNdnz5Y45eiGxpHGSc</v>
      </c>
    </row>
    <row r="4341" customFormat="false" ht="15" hidden="false" customHeight="false" outlineLevel="0" collapsed="false">
      <c r="A4341" s="5" t="n">
        <v>6</v>
      </c>
      <c r="B4341" s="5" t="n">
        <v>8</v>
      </c>
      <c r="C4341" s="5" t="s">
        <v>1843</v>
      </c>
      <c r="D4341" s="5" t="s">
        <v>1995</v>
      </c>
      <c r="E4341" s="5" t="n">
        <v>1</v>
      </c>
      <c r="F4341" s="6" t="n">
        <f aca="false">IFERROR(MATCH(A4341&amp;"|"&amp;B4341&amp;"|"&amp;D4341,'All Song Rankings'!$T:$T,0),0)</f>
        <v>663</v>
      </c>
      <c r="G4341" s="6" t="str">
        <f aca="false">IF(F4341=0,"NOT FOUND",INDEX('All Song Rankings'!$A:$A,F4341))</f>
        <v>Are You Gonna Go My Way</v>
      </c>
      <c r="H4341" s="6" t="str">
        <f aca="false">IF(F4341=0,"NOT FOUND",INDEX('All Song Rankings'!$B:$B,F4341))</f>
        <v>Lenny Kravitz</v>
      </c>
      <c r="I4341" s="6" t="str">
        <f aca="false">IF(F4341=0,"NOT FOUND",INDEX('All Song Rankings'!$D:$D,F4341))</f>
        <v>Scott</v>
      </c>
      <c r="J4341" s="7" t="str">
        <f aca="false">IF(F4341=0,"NOT FOUND",IF(C4341=I4341,"SELF-VOTE",IF(COUNTIF($K:$K,K4341)&gt;1,"DUPLICATE","OK")))</f>
        <v>OK</v>
      </c>
      <c r="K4341" s="6" t="str">
        <f aca="false">A4341&amp;"|"&amp;B4341&amp;"|"&amp;C4341&amp;"|"&amp;D4341</f>
        <v>6|8|Josh|spotify:track:45Ia1U4KtIjAPPU7Wv1Sea</v>
      </c>
    </row>
    <row r="4342" customFormat="false" ht="15" hidden="false" customHeight="false" outlineLevel="0" collapsed="false">
      <c r="A4342" s="5" t="n">
        <v>6</v>
      </c>
      <c r="B4342" s="5" t="n">
        <v>8</v>
      </c>
      <c r="C4342" s="5" t="s">
        <v>1843</v>
      </c>
      <c r="D4342" s="5" t="s">
        <v>1974</v>
      </c>
      <c r="E4342" s="5" t="n">
        <v>1</v>
      </c>
      <c r="F4342" s="6" t="n">
        <f aca="false">IFERROR(MATCH(A4342&amp;"|"&amp;B4342&amp;"|"&amp;D4342,'All Song Rankings'!$T:$T,0),0)</f>
        <v>655</v>
      </c>
      <c r="G4342" s="6" t="str">
        <f aca="false">IF(F4342=0,"NOT FOUND",INDEX('All Song Rankings'!$A:$A,F4342))</f>
        <v>Get Ready For This</v>
      </c>
      <c r="H4342" s="6" t="str">
        <f aca="false">IF(F4342=0,"NOT FOUND",INDEX('All Song Rankings'!$B:$B,F4342))</f>
        <v>2 Unlimited</v>
      </c>
      <c r="I4342" s="6" t="str">
        <f aca="false">IF(F4342=0,"NOT FOUND",INDEX('All Song Rankings'!$D:$D,F4342))</f>
        <v>Leah</v>
      </c>
      <c r="J4342" s="7" t="str">
        <f aca="false">IF(F4342=0,"NOT FOUND",IF(C4342=I4342,"SELF-VOTE",IF(COUNTIF($K:$K,K4342)&gt;1,"DUPLICATE","OK")))</f>
        <v>OK</v>
      </c>
      <c r="K4342" s="6" t="str">
        <f aca="false">A4342&amp;"|"&amp;B4342&amp;"|"&amp;C4342&amp;"|"&amp;D4342</f>
        <v>6|8|Josh|spotify:track:45Q5IYHJbBdmvlcnwVpXw5</v>
      </c>
    </row>
    <row r="4343" customFormat="false" ht="15" hidden="false" customHeight="false" outlineLevel="0" collapsed="false">
      <c r="A4343" s="5" t="n">
        <v>6</v>
      </c>
      <c r="B4343" s="5" t="n">
        <v>8</v>
      </c>
      <c r="C4343" s="5" t="s">
        <v>1843</v>
      </c>
      <c r="D4343" s="5" t="s">
        <v>1983</v>
      </c>
      <c r="E4343" s="5" t="n">
        <v>1</v>
      </c>
      <c r="F4343" s="6" t="n">
        <f aca="false">IFERROR(MATCH(A4343&amp;"|"&amp;B4343&amp;"|"&amp;D4343,'All Song Rankings'!$T:$T,0),0)</f>
        <v>658</v>
      </c>
      <c r="G4343" s="6" t="str">
        <f aca="false">IF(F4343=0,"NOT FOUND",INDEX('All Song Rankings'!$A:$A,F4343))</f>
        <v>Narco</v>
      </c>
      <c r="H4343" s="6" t="str">
        <f aca="false">IF(F4343=0,"NOT FOUND",INDEX('All Song Rankings'!$B:$B,F4343))</f>
        <v>Blasterjaxx, Timmy Trumpet</v>
      </c>
      <c r="I4343" s="6" t="str">
        <f aca="false">IF(F4343=0,"NOT FOUND",INDEX('All Song Rankings'!$D:$D,F4343))</f>
        <v>Kelsey</v>
      </c>
      <c r="J4343" s="7" t="str">
        <f aca="false">IF(F4343=0,"NOT FOUND",IF(C4343=I4343,"SELF-VOTE",IF(COUNTIF($K:$K,K4343)&gt;1,"DUPLICATE","OK")))</f>
        <v>OK</v>
      </c>
      <c r="K4343" s="6" t="str">
        <f aca="false">A4343&amp;"|"&amp;B4343&amp;"|"&amp;C4343&amp;"|"&amp;D4343</f>
        <v>6|8|Josh|spotify:track:4TuNI3WEMyLQAKRMJmcQdA</v>
      </c>
    </row>
    <row r="4344" customFormat="false" ht="15" hidden="false" customHeight="false" outlineLevel="0" collapsed="false">
      <c r="A4344" s="5" t="n">
        <v>6</v>
      </c>
      <c r="B4344" s="5" t="n">
        <v>8</v>
      </c>
      <c r="C4344" s="5" t="s">
        <v>1843</v>
      </c>
      <c r="D4344" s="5" t="s">
        <v>1998</v>
      </c>
      <c r="E4344" s="5" t="n">
        <v>1</v>
      </c>
      <c r="F4344" s="6" t="n">
        <f aca="false">IFERROR(MATCH(A4344&amp;"|"&amp;B4344&amp;"|"&amp;D4344,'All Song Rankings'!$T:$T,0),0)</f>
        <v>664</v>
      </c>
      <c r="G4344" s="6" t="str">
        <f aca="false">IF(F4344=0,"NOT FOUND",INDEX('All Song Rankings'!$A:$A,F4344))</f>
        <v>Do Ya Wanna Taste It</v>
      </c>
      <c r="H4344" s="6" t="str">
        <f aca="false">IF(F4344=0,"NOT FOUND",INDEX('All Song Rankings'!$B:$B,F4344))</f>
        <v>Wig Wam</v>
      </c>
      <c r="I4344" s="6" t="str">
        <f aca="false">IF(F4344=0,"NOT FOUND",INDEX('All Song Rankings'!$D:$D,F4344))</f>
        <v>Nicole</v>
      </c>
      <c r="J4344" s="7" t="str">
        <f aca="false">IF(F4344=0,"NOT FOUND",IF(C4344=I4344,"SELF-VOTE",IF(COUNTIF($K:$K,K4344)&gt;1,"DUPLICATE","OK")))</f>
        <v>OK</v>
      </c>
      <c r="K4344" s="6" t="str">
        <f aca="false">A4344&amp;"|"&amp;B4344&amp;"|"&amp;C4344&amp;"|"&amp;D4344</f>
        <v>6|8|Josh|spotify:track:5XW4BwCrfYpci5zMbJxs4N</v>
      </c>
    </row>
    <row r="4345" customFormat="false" ht="15" hidden="false" customHeight="false" outlineLevel="0" collapsed="false">
      <c r="A4345" s="5" t="n">
        <v>6</v>
      </c>
      <c r="B4345" s="5" t="n">
        <v>8</v>
      </c>
      <c r="C4345" s="5" t="s">
        <v>1843</v>
      </c>
      <c r="D4345" s="5" t="s">
        <v>1986</v>
      </c>
      <c r="E4345" s="5" t="n">
        <v>1</v>
      </c>
      <c r="F4345" s="6" t="n">
        <f aca="false">IFERROR(MATCH(A4345&amp;"|"&amp;B4345&amp;"|"&amp;D4345,'All Song Rankings'!$T:$T,0),0)</f>
        <v>659</v>
      </c>
      <c r="G4345" s="6" t="str">
        <f aca="false">IF(F4345=0,"NOT FOUND",INDEX('All Song Rankings'!$A:$A,F4345))</f>
        <v>Space Jam</v>
      </c>
      <c r="H4345" s="6" t="str">
        <f aca="false">IF(F4345=0,"NOT FOUND",INDEX('All Song Rankings'!$B:$B,F4345))</f>
        <v>Quad City DJ's</v>
      </c>
      <c r="I4345" s="6" t="str">
        <f aca="false">IF(F4345=0,"NOT FOUND",INDEX('All Song Rankings'!$D:$D,F4345))</f>
        <v>Colleen</v>
      </c>
      <c r="J4345" s="7" t="str">
        <f aca="false">IF(F4345=0,"NOT FOUND",IF(C4345=I4345,"SELF-VOTE",IF(COUNTIF($K:$K,K4345)&gt;1,"DUPLICATE","OK")))</f>
        <v>OK</v>
      </c>
      <c r="K4345" s="6" t="str">
        <f aca="false">A4345&amp;"|"&amp;B4345&amp;"|"&amp;C4345&amp;"|"&amp;D4345</f>
        <v>6|8|Josh|spotify:track:683hRieVmYdAhVA1DkjSAk</v>
      </c>
    </row>
    <row r="4346" customFormat="false" ht="15" hidden="false" customHeight="false" outlineLevel="0" collapsed="false">
      <c r="A4346" s="5" t="n">
        <v>6</v>
      </c>
      <c r="B4346" s="5" t="n">
        <v>8</v>
      </c>
      <c r="C4346" s="5" t="s">
        <v>1843</v>
      </c>
      <c r="D4346" s="5" t="s">
        <v>2006</v>
      </c>
      <c r="E4346" s="5" t="n">
        <v>2</v>
      </c>
      <c r="F4346" s="6" t="n">
        <f aca="false">IFERROR(MATCH(A4346&amp;"|"&amp;B4346&amp;"|"&amp;D4346,'All Song Rankings'!$T:$T,0),0)</f>
        <v>667</v>
      </c>
      <c r="G4346" s="6" t="str">
        <f aca="false">IF(F4346=0,"NOT FOUND",INDEX('All Song Rankings'!$A:$A,F4346))</f>
        <v>Jump Around</v>
      </c>
      <c r="H4346" s="6" t="str">
        <f aca="false">IF(F4346=0,"NOT FOUND",INDEX('All Song Rankings'!$B:$B,F4346))</f>
        <v>House Of Pain</v>
      </c>
      <c r="I4346" s="6" t="str">
        <f aca="false">IF(F4346=0,"NOT FOUND",INDEX('All Song Rankings'!$D:$D,F4346))</f>
        <v>Kristen</v>
      </c>
      <c r="J4346" s="7" t="str">
        <f aca="false">IF(F4346=0,"NOT FOUND",IF(C4346=I4346,"SELF-VOTE",IF(COUNTIF($K:$K,K4346)&gt;1,"DUPLICATE","OK")))</f>
        <v>OK</v>
      </c>
      <c r="K4346" s="6" t="str">
        <f aca="false">A4346&amp;"|"&amp;B4346&amp;"|"&amp;C4346&amp;"|"&amp;D4346</f>
        <v>6|8|Josh|spotify:track:6JymsaWDHk2Yj4e0yNBIFH</v>
      </c>
    </row>
    <row r="4347" customFormat="false" ht="15" hidden="false" customHeight="false" outlineLevel="0" collapsed="false">
      <c r="A4347" s="5" t="n">
        <v>6</v>
      </c>
      <c r="B4347" s="5" t="n">
        <v>8</v>
      </c>
      <c r="C4347" s="5" t="s">
        <v>85</v>
      </c>
      <c r="D4347" s="5" t="s">
        <v>1980</v>
      </c>
      <c r="E4347" s="5" t="n">
        <v>1</v>
      </c>
      <c r="F4347" s="6" t="n">
        <f aca="false">IFERROR(MATCH(A4347&amp;"|"&amp;B4347&amp;"|"&amp;D4347,'All Song Rankings'!$T:$T,0),0)</f>
        <v>657</v>
      </c>
      <c r="G4347" s="6" t="str">
        <f aca="false">IF(F4347=0,"NOT FOUND",INDEX('All Song Rankings'!$A:$A,F4347))</f>
        <v>Welcome To The Jungle</v>
      </c>
      <c r="H4347" s="6" t="str">
        <f aca="false">IF(F4347=0,"NOT FOUND",INDEX('All Song Rankings'!$B:$B,F4347))</f>
        <v>Guns N' Roses</v>
      </c>
      <c r="I4347" s="6" t="str">
        <f aca="false">IF(F4347=0,"NOT FOUND",INDEX('All Song Rankings'!$D:$D,F4347))</f>
        <v>Josh</v>
      </c>
      <c r="J4347" s="7" t="str">
        <f aca="false">IF(F4347=0,"NOT FOUND",IF(C4347=I4347,"SELF-VOTE",IF(COUNTIF($K:$K,K4347)&gt;1,"DUPLICATE","OK")))</f>
        <v>OK</v>
      </c>
      <c r="K4347" s="6" t="str">
        <f aca="false">A4347&amp;"|"&amp;B4347&amp;"|"&amp;C4347&amp;"|"&amp;D4347</f>
        <v>6|8|Kelsey|spotify:track:0G21yYKMZoHa30cYVi1iA8</v>
      </c>
    </row>
    <row r="4348" customFormat="false" ht="15" hidden="false" customHeight="false" outlineLevel="0" collapsed="false">
      <c r="A4348" s="5" t="n">
        <v>6</v>
      </c>
      <c r="B4348" s="5" t="n">
        <v>8</v>
      </c>
      <c r="C4348" s="5" t="s">
        <v>85</v>
      </c>
      <c r="D4348" s="5" t="s">
        <v>2000</v>
      </c>
      <c r="E4348" s="5" t="n">
        <v>1</v>
      </c>
      <c r="F4348" s="6" t="n">
        <f aca="false">IFERROR(MATCH(A4348&amp;"|"&amp;B4348&amp;"|"&amp;D4348,'All Song Rankings'!$T:$T,0),0)</f>
        <v>665</v>
      </c>
      <c r="G4348" s="6" t="str">
        <f aca="false">IF(F4348=0,"NOT FOUND",INDEX('All Song Rankings'!$A:$A,F4348))</f>
        <v>POWER</v>
      </c>
      <c r="H4348" s="6" t="str">
        <f aca="false">IF(F4348=0,"NOT FOUND",INDEX('All Song Rankings'!$B:$B,F4348))</f>
        <v>Kanye West</v>
      </c>
      <c r="I4348" s="6" t="str">
        <f aca="false">IF(F4348=0,"NOT FOUND",INDEX('All Song Rankings'!$D:$D,F4348))</f>
        <v>Matt</v>
      </c>
      <c r="J4348" s="7" t="str">
        <f aca="false">IF(F4348=0,"NOT FOUND",IF(C4348=I4348,"SELF-VOTE",IF(COUNTIF($K:$K,K4348)&gt;1,"DUPLICATE","OK")))</f>
        <v>OK</v>
      </c>
      <c r="K4348" s="6" t="str">
        <f aca="false">A4348&amp;"|"&amp;B4348&amp;"|"&amp;C4348&amp;"|"&amp;D4348</f>
        <v>6|8|Kelsey|spotify:track:2gZUPNdnz5Y45eiGxpHGSc</v>
      </c>
    </row>
    <row r="4349" customFormat="false" ht="15" hidden="false" customHeight="false" outlineLevel="0" collapsed="false">
      <c r="A4349" s="5" t="n">
        <v>6</v>
      </c>
      <c r="B4349" s="5" t="n">
        <v>8</v>
      </c>
      <c r="C4349" s="5" t="s">
        <v>85</v>
      </c>
      <c r="D4349" s="5" t="s">
        <v>1977</v>
      </c>
      <c r="E4349" s="5" t="n">
        <v>1</v>
      </c>
      <c r="F4349" s="6" t="n">
        <f aca="false">IFERROR(MATCH(A4349&amp;"|"&amp;B4349&amp;"|"&amp;D4349,'All Song Rankings'!$T:$T,0),0)</f>
        <v>656</v>
      </c>
      <c r="G4349" s="6" t="str">
        <f aca="false">IF(F4349=0,"NOT FOUND",INDEX('All Song Rankings'!$A:$A,F4349))</f>
        <v>GO</v>
      </c>
      <c r="H4349" s="6" t="str">
        <f aca="false">IF(F4349=0,"NOT FOUND",INDEX('All Song Rankings'!$B:$B,F4349))</f>
        <v>BLACKPINK</v>
      </c>
      <c r="I4349" s="6" t="str">
        <f aca="false">IF(F4349=0,"NOT FOUND",INDEX('All Song Rankings'!$D:$D,F4349))</f>
        <v>Stephanie</v>
      </c>
      <c r="J4349" s="7" t="str">
        <f aca="false">IF(F4349=0,"NOT FOUND",IF(C4349=I4349,"SELF-VOTE",IF(COUNTIF($K:$K,K4349)&gt;1,"DUPLICATE","OK")))</f>
        <v>OK</v>
      </c>
      <c r="K4349" s="6" t="str">
        <f aca="false">A4349&amp;"|"&amp;B4349&amp;"|"&amp;C4349&amp;"|"&amp;D4349</f>
        <v>6|8|Kelsey|spotify:track:3FZPp9lBUvhsxFxKJi3VkB</v>
      </c>
    </row>
    <row r="4350" customFormat="false" ht="15" hidden="false" customHeight="false" outlineLevel="0" collapsed="false">
      <c r="A4350" s="5" t="n">
        <v>6</v>
      </c>
      <c r="B4350" s="5" t="n">
        <v>8</v>
      </c>
      <c r="C4350" s="5" t="s">
        <v>85</v>
      </c>
      <c r="D4350" s="5" t="s">
        <v>1974</v>
      </c>
      <c r="E4350" s="5" t="n">
        <v>2</v>
      </c>
      <c r="F4350" s="6" t="n">
        <f aca="false">IFERROR(MATCH(A4350&amp;"|"&amp;B4350&amp;"|"&amp;D4350,'All Song Rankings'!$T:$T,0),0)</f>
        <v>655</v>
      </c>
      <c r="G4350" s="6" t="str">
        <f aca="false">IF(F4350=0,"NOT FOUND",INDEX('All Song Rankings'!$A:$A,F4350))</f>
        <v>Get Ready For This</v>
      </c>
      <c r="H4350" s="6" t="str">
        <f aca="false">IF(F4350=0,"NOT FOUND",INDEX('All Song Rankings'!$B:$B,F4350))</f>
        <v>2 Unlimited</v>
      </c>
      <c r="I4350" s="6" t="str">
        <f aca="false">IF(F4350=0,"NOT FOUND",INDEX('All Song Rankings'!$D:$D,F4350))</f>
        <v>Leah</v>
      </c>
      <c r="J4350" s="7" t="str">
        <f aca="false">IF(F4350=0,"NOT FOUND",IF(C4350=I4350,"SELF-VOTE",IF(COUNTIF($K:$K,K4350)&gt;1,"DUPLICATE","OK")))</f>
        <v>OK</v>
      </c>
      <c r="K4350" s="6" t="str">
        <f aca="false">A4350&amp;"|"&amp;B4350&amp;"|"&amp;C4350&amp;"|"&amp;D4350</f>
        <v>6|8|Kelsey|spotify:track:45Q5IYHJbBdmvlcnwVpXw5</v>
      </c>
    </row>
    <row r="4351" customFormat="false" ht="15" hidden="false" customHeight="false" outlineLevel="0" collapsed="false">
      <c r="A4351" s="5" t="n">
        <v>6</v>
      </c>
      <c r="B4351" s="5" t="n">
        <v>8</v>
      </c>
      <c r="C4351" s="5" t="s">
        <v>85</v>
      </c>
      <c r="D4351" s="5" t="s">
        <v>1998</v>
      </c>
      <c r="E4351" s="5" t="n">
        <v>1</v>
      </c>
      <c r="F4351" s="6" t="n">
        <f aca="false">IFERROR(MATCH(A4351&amp;"|"&amp;B4351&amp;"|"&amp;D4351,'All Song Rankings'!$T:$T,0),0)</f>
        <v>664</v>
      </c>
      <c r="G4351" s="6" t="str">
        <f aca="false">IF(F4351=0,"NOT FOUND",INDEX('All Song Rankings'!$A:$A,F4351))</f>
        <v>Do Ya Wanna Taste It</v>
      </c>
      <c r="H4351" s="6" t="str">
        <f aca="false">IF(F4351=0,"NOT FOUND",INDEX('All Song Rankings'!$B:$B,F4351))</f>
        <v>Wig Wam</v>
      </c>
      <c r="I4351" s="6" t="str">
        <f aca="false">IF(F4351=0,"NOT FOUND",INDEX('All Song Rankings'!$D:$D,F4351))</f>
        <v>Nicole</v>
      </c>
      <c r="J4351" s="7" t="str">
        <f aca="false">IF(F4351=0,"NOT FOUND",IF(C4351=I4351,"SELF-VOTE",IF(COUNTIF($K:$K,K4351)&gt;1,"DUPLICATE","OK")))</f>
        <v>OK</v>
      </c>
      <c r="K4351" s="6" t="str">
        <f aca="false">A4351&amp;"|"&amp;B4351&amp;"|"&amp;C4351&amp;"|"&amp;D4351</f>
        <v>6|8|Kelsey|spotify:track:5XW4BwCrfYpci5zMbJxs4N</v>
      </c>
    </row>
    <row r="4352" customFormat="false" ht="15" hidden="false" customHeight="false" outlineLevel="0" collapsed="false">
      <c r="A4352" s="5" t="n">
        <v>6</v>
      </c>
      <c r="B4352" s="5" t="n">
        <v>8</v>
      </c>
      <c r="C4352" s="5" t="s">
        <v>85</v>
      </c>
      <c r="D4352" s="5" t="s">
        <v>1986</v>
      </c>
      <c r="E4352" s="5" t="n">
        <v>1</v>
      </c>
      <c r="F4352" s="6" t="n">
        <f aca="false">IFERROR(MATCH(A4352&amp;"|"&amp;B4352&amp;"|"&amp;D4352,'All Song Rankings'!$T:$T,0),0)</f>
        <v>659</v>
      </c>
      <c r="G4352" s="6" t="str">
        <f aca="false">IF(F4352=0,"NOT FOUND",INDEX('All Song Rankings'!$A:$A,F4352))</f>
        <v>Space Jam</v>
      </c>
      <c r="H4352" s="6" t="str">
        <f aca="false">IF(F4352=0,"NOT FOUND",INDEX('All Song Rankings'!$B:$B,F4352))</f>
        <v>Quad City DJ's</v>
      </c>
      <c r="I4352" s="6" t="str">
        <f aca="false">IF(F4352=0,"NOT FOUND",INDEX('All Song Rankings'!$D:$D,F4352))</f>
        <v>Colleen</v>
      </c>
      <c r="J4352" s="7" t="str">
        <f aca="false">IF(F4352=0,"NOT FOUND",IF(C4352=I4352,"SELF-VOTE",IF(COUNTIF($K:$K,K4352)&gt;1,"DUPLICATE","OK")))</f>
        <v>OK</v>
      </c>
      <c r="K4352" s="6" t="str">
        <f aca="false">A4352&amp;"|"&amp;B4352&amp;"|"&amp;C4352&amp;"|"&amp;D4352</f>
        <v>6|8|Kelsey|spotify:track:683hRieVmYdAhVA1DkjSAk</v>
      </c>
    </row>
    <row r="4353" customFormat="false" ht="15" hidden="false" customHeight="false" outlineLevel="0" collapsed="false">
      <c r="A4353" s="5" t="n">
        <v>6</v>
      </c>
      <c r="B4353" s="5" t="n">
        <v>8</v>
      </c>
      <c r="C4353" s="5" t="s">
        <v>85</v>
      </c>
      <c r="D4353" s="5" t="s">
        <v>2006</v>
      </c>
      <c r="E4353" s="5" t="n">
        <v>1</v>
      </c>
      <c r="F4353" s="6" t="n">
        <f aca="false">IFERROR(MATCH(A4353&amp;"|"&amp;B4353&amp;"|"&amp;D4353,'All Song Rankings'!$T:$T,0),0)</f>
        <v>667</v>
      </c>
      <c r="G4353" s="6" t="str">
        <f aca="false">IF(F4353=0,"NOT FOUND",INDEX('All Song Rankings'!$A:$A,F4353))</f>
        <v>Jump Around</v>
      </c>
      <c r="H4353" s="6" t="str">
        <f aca="false">IF(F4353=0,"NOT FOUND",INDEX('All Song Rankings'!$B:$B,F4353))</f>
        <v>House Of Pain</v>
      </c>
      <c r="I4353" s="6" t="str">
        <f aca="false">IF(F4353=0,"NOT FOUND",INDEX('All Song Rankings'!$D:$D,F4353))</f>
        <v>Kristen</v>
      </c>
      <c r="J4353" s="7" t="str">
        <f aca="false">IF(F4353=0,"NOT FOUND",IF(C4353=I4353,"SELF-VOTE",IF(COUNTIF($K:$K,K4353)&gt;1,"DUPLICATE","OK")))</f>
        <v>OK</v>
      </c>
      <c r="K4353" s="6" t="str">
        <f aca="false">A4353&amp;"|"&amp;B4353&amp;"|"&amp;C4353&amp;"|"&amp;D4353</f>
        <v>6|8|Kelsey|spotify:track:6JymsaWDHk2Yj4e0yNBIFH</v>
      </c>
    </row>
    <row r="4354" customFormat="false" ht="15" hidden="false" customHeight="false" outlineLevel="0" collapsed="false">
      <c r="A4354" s="5" t="n">
        <v>6</v>
      </c>
      <c r="B4354" s="5" t="n">
        <v>8</v>
      </c>
      <c r="C4354" s="5" t="s">
        <v>85</v>
      </c>
      <c r="D4354" s="5" t="s">
        <v>1990</v>
      </c>
      <c r="E4354" s="5" t="n">
        <v>2</v>
      </c>
      <c r="F4354" s="6" t="n">
        <f aca="false">IFERROR(MATCH(A4354&amp;"|"&amp;B4354&amp;"|"&amp;D4354,'All Song Rankings'!$T:$T,0),0)</f>
        <v>661</v>
      </c>
      <c r="G4354" s="6" t="str">
        <f aca="false">IF(F4354=0,"NOT FOUND",INDEX('All Song Rankings'!$A:$A,F4354))</f>
        <v>GIRLS</v>
      </c>
      <c r="H4354" s="6" t="str">
        <f aca="false">IF(F4354=0,"NOT FOUND",INDEX('All Song Rankings'!$B:$B,F4354))</f>
        <v>The Kid LAROI</v>
      </c>
      <c r="I4354" s="6" t="str">
        <f aca="false">IF(F4354=0,"NOT FOUND",INDEX('All Song Rankings'!$D:$D,F4354))</f>
        <v>Makenzie</v>
      </c>
      <c r="J4354" s="7" t="str">
        <f aca="false">IF(F4354=0,"NOT FOUND",IF(C4354=I4354,"SELF-VOTE",IF(COUNTIF($K:$K,K4354)&gt;1,"DUPLICATE","OK")))</f>
        <v>OK</v>
      </c>
      <c r="K4354" s="6" t="str">
        <f aca="false">A4354&amp;"|"&amp;B4354&amp;"|"&amp;C4354&amp;"|"&amp;D4354</f>
        <v>6|8|Kelsey|spotify:track:7z3PblAN3dH1JMewiRydkZ</v>
      </c>
    </row>
    <row r="4355" customFormat="false" ht="15" hidden="false" customHeight="false" outlineLevel="0" collapsed="false">
      <c r="A4355" s="5" t="n">
        <v>6</v>
      </c>
      <c r="B4355" s="5" t="n">
        <v>8</v>
      </c>
      <c r="C4355" s="5" t="s">
        <v>106</v>
      </c>
      <c r="D4355" s="5" t="s">
        <v>1980</v>
      </c>
      <c r="E4355" s="5" t="n">
        <v>2</v>
      </c>
      <c r="F4355" s="6" t="n">
        <f aca="false">IFERROR(MATCH(A4355&amp;"|"&amp;B4355&amp;"|"&amp;D4355,'All Song Rankings'!$T:$T,0),0)</f>
        <v>657</v>
      </c>
      <c r="G4355" s="6" t="str">
        <f aca="false">IF(F4355=0,"NOT FOUND",INDEX('All Song Rankings'!$A:$A,F4355))</f>
        <v>Welcome To The Jungle</v>
      </c>
      <c r="H4355" s="6" t="str">
        <f aca="false">IF(F4355=0,"NOT FOUND",INDEX('All Song Rankings'!$B:$B,F4355))</f>
        <v>Guns N' Roses</v>
      </c>
      <c r="I4355" s="6" t="str">
        <f aca="false">IF(F4355=0,"NOT FOUND",INDEX('All Song Rankings'!$D:$D,F4355))</f>
        <v>Josh</v>
      </c>
      <c r="J4355" s="7" t="str">
        <f aca="false">IF(F4355=0,"NOT FOUND",IF(C4355=I4355,"SELF-VOTE",IF(COUNTIF($K:$K,K4355)&gt;1,"DUPLICATE","OK")))</f>
        <v>OK</v>
      </c>
      <c r="K4355" s="6" t="str">
        <f aca="false">A4355&amp;"|"&amp;B4355&amp;"|"&amp;C4355&amp;"|"&amp;D4355</f>
        <v>6|8|Kristen|spotify:track:0G21yYKMZoHa30cYVi1iA8</v>
      </c>
    </row>
    <row r="4356" customFormat="false" ht="15" hidden="false" customHeight="false" outlineLevel="0" collapsed="false">
      <c r="A4356" s="5" t="n">
        <v>6</v>
      </c>
      <c r="B4356" s="5" t="n">
        <v>8</v>
      </c>
      <c r="C4356" s="5" t="s">
        <v>106</v>
      </c>
      <c r="D4356" s="5" t="s">
        <v>2000</v>
      </c>
      <c r="E4356" s="5" t="n">
        <v>1</v>
      </c>
      <c r="F4356" s="6" t="n">
        <f aca="false">IFERROR(MATCH(A4356&amp;"|"&amp;B4356&amp;"|"&amp;D4356,'All Song Rankings'!$T:$T,0),0)</f>
        <v>665</v>
      </c>
      <c r="G4356" s="6" t="str">
        <f aca="false">IF(F4356=0,"NOT FOUND",INDEX('All Song Rankings'!$A:$A,F4356))</f>
        <v>POWER</v>
      </c>
      <c r="H4356" s="6" t="str">
        <f aca="false">IF(F4356=0,"NOT FOUND",INDEX('All Song Rankings'!$B:$B,F4356))</f>
        <v>Kanye West</v>
      </c>
      <c r="I4356" s="6" t="str">
        <f aca="false">IF(F4356=0,"NOT FOUND",INDEX('All Song Rankings'!$D:$D,F4356))</f>
        <v>Matt</v>
      </c>
      <c r="J4356" s="7" t="str">
        <f aca="false">IF(F4356=0,"NOT FOUND",IF(C4356=I4356,"SELF-VOTE",IF(COUNTIF($K:$K,K4356)&gt;1,"DUPLICATE","OK")))</f>
        <v>OK</v>
      </c>
      <c r="K4356" s="6" t="str">
        <f aca="false">A4356&amp;"|"&amp;B4356&amp;"|"&amp;C4356&amp;"|"&amp;D4356</f>
        <v>6|8|Kristen|spotify:track:2gZUPNdnz5Y45eiGxpHGSc</v>
      </c>
    </row>
    <row r="4357" customFormat="false" ht="15" hidden="false" customHeight="false" outlineLevel="0" collapsed="false">
      <c r="A4357" s="5" t="n">
        <v>6</v>
      </c>
      <c r="B4357" s="5" t="n">
        <v>8</v>
      </c>
      <c r="C4357" s="5" t="s">
        <v>106</v>
      </c>
      <c r="D4357" s="5" t="s">
        <v>1977</v>
      </c>
      <c r="E4357" s="5" t="n">
        <v>1</v>
      </c>
      <c r="F4357" s="6" t="n">
        <f aca="false">IFERROR(MATCH(A4357&amp;"|"&amp;B4357&amp;"|"&amp;D4357,'All Song Rankings'!$T:$T,0),0)</f>
        <v>656</v>
      </c>
      <c r="G4357" s="6" t="str">
        <f aca="false">IF(F4357=0,"NOT FOUND",INDEX('All Song Rankings'!$A:$A,F4357))</f>
        <v>GO</v>
      </c>
      <c r="H4357" s="6" t="str">
        <f aca="false">IF(F4357=0,"NOT FOUND",INDEX('All Song Rankings'!$B:$B,F4357))</f>
        <v>BLACKPINK</v>
      </c>
      <c r="I4357" s="6" t="str">
        <f aca="false">IF(F4357=0,"NOT FOUND",INDEX('All Song Rankings'!$D:$D,F4357))</f>
        <v>Stephanie</v>
      </c>
      <c r="J4357" s="7" t="str">
        <f aca="false">IF(F4357=0,"NOT FOUND",IF(C4357=I4357,"SELF-VOTE",IF(COUNTIF($K:$K,K4357)&gt;1,"DUPLICATE","OK")))</f>
        <v>OK</v>
      </c>
      <c r="K4357" s="6" t="str">
        <f aca="false">A4357&amp;"|"&amp;B4357&amp;"|"&amp;C4357&amp;"|"&amp;D4357</f>
        <v>6|8|Kristen|spotify:track:3FZPp9lBUvhsxFxKJi3VkB</v>
      </c>
    </row>
    <row r="4358" customFormat="false" ht="15" hidden="false" customHeight="false" outlineLevel="0" collapsed="false">
      <c r="A4358" s="5" t="n">
        <v>6</v>
      </c>
      <c r="B4358" s="5" t="n">
        <v>8</v>
      </c>
      <c r="C4358" s="5" t="s">
        <v>106</v>
      </c>
      <c r="D4358" s="5" t="s">
        <v>1995</v>
      </c>
      <c r="E4358" s="5" t="n">
        <v>1</v>
      </c>
      <c r="F4358" s="6" t="n">
        <f aca="false">IFERROR(MATCH(A4358&amp;"|"&amp;B4358&amp;"|"&amp;D4358,'All Song Rankings'!$T:$T,0),0)</f>
        <v>663</v>
      </c>
      <c r="G4358" s="6" t="str">
        <f aca="false">IF(F4358=0,"NOT FOUND",INDEX('All Song Rankings'!$A:$A,F4358))</f>
        <v>Are You Gonna Go My Way</v>
      </c>
      <c r="H4358" s="6" t="str">
        <f aca="false">IF(F4358=0,"NOT FOUND",INDEX('All Song Rankings'!$B:$B,F4358))</f>
        <v>Lenny Kravitz</v>
      </c>
      <c r="I4358" s="6" t="str">
        <f aca="false">IF(F4358=0,"NOT FOUND",INDEX('All Song Rankings'!$D:$D,F4358))</f>
        <v>Scott</v>
      </c>
      <c r="J4358" s="7" t="str">
        <f aca="false">IF(F4358=0,"NOT FOUND",IF(C4358=I4358,"SELF-VOTE",IF(COUNTIF($K:$K,K4358)&gt;1,"DUPLICATE","OK")))</f>
        <v>OK</v>
      </c>
      <c r="K4358" s="6" t="str">
        <f aca="false">A4358&amp;"|"&amp;B4358&amp;"|"&amp;C4358&amp;"|"&amp;D4358</f>
        <v>6|8|Kristen|spotify:track:45Ia1U4KtIjAPPU7Wv1Sea</v>
      </c>
    </row>
    <row r="4359" customFormat="false" ht="15" hidden="false" customHeight="false" outlineLevel="0" collapsed="false">
      <c r="A4359" s="5" t="n">
        <v>6</v>
      </c>
      <c r="B4359" s="5" t="n">
        <v>8</v>
      </c>
      <c r="C4359" s="5" t="s">
        <v>106</v>
      </c>
      <c r="D4359" s="5" t="s">
        <v>1974</v>
      </c>
      <c r="E4359" s="5" t="n">
        <v>2</v>
      </c>
      <c r="F4359" s="6" t="n">
        <f aca="false">IFERROR(MATCH(A4359&amp;"|"&amp;B4359&amp;"|"&amp;D4359,'All Song Rankings'!$T:$T,0),0)</f>
        <v>655</v>
      </c>
      <c r="G4359" s="6" t="str">
        <f aca="false">IF(F4359=0,"NOT FOUND",INDEX('All Song Rankings'!$A:$A,F4359))</f>
        <v>Get Ready For This</v>
      </c>
      <c r="H4359" s="6" t="str">
        <f aca="false">IF(F4359=0,"NOT FOUND",INDEX('All Song Rankings'!$B:$B,F4359))</f>
        <v>2 Unlimited</v>
      </c>
      <c r="I4359" s="6" t="str">
        <f aca="false">IF(F4359=0,"NOT FOUND",INDEX('All Song Rankings'!$D:$D,F4359))</f>
        <v>Leah</v>
      </c>
      <c r="J4359" s="7" t="str">
        <f aca="false">IF(F4359=0,"NOT FOUND",IF(C4359=I4359,"SELF-VOTE",IF(COUNTIF($K:$K,K4359)&gt;1,"DUPLICATE","OK")))</f>
        <v>OK</v>
      </c>
      <c r="K4359" s="6" t="str">
        <f aca="false">A4359&amp;"|"&amp;B4359&amp;"|"&amp;C4359&amp;"|"&amp;D4359</f>
        <v>6|8|Kristen|spotify:track:45Q5IYHJbBdmvlcnwVpXw5</v>
      </c>
    </row>
    <row r="4360" customFormat="false" ht="15" hidden="false" customHeight="false" outlineLevel="0" collapsed="false">
      <c r="A4360" s="5" t="n">
        <v>6</v>
      </c>
      <c r="B4360" s="5" t="n">
        <v>8</v>
      </c>
      <c r="C4360" s="5" t="s">
        <v>106</v>
      </c>
      <c r="D4360" s="5" t="s">
        <v>1986</v>
      </c>
      <c r="E4360" s="5" t="n">
        <v>2</v>
      </c>
      <c r="F4360" s="6" t="n">
        <f aca="false">IFERROR(MATCH(A4360&amp;"|"&amp;B4360&amp;"|"&amp;D4360,'All Song Rankings'!$T:$T,0),0)</f>
        <v>659</v>
      </c>
      <c r="G4360" s="6" t="str">
        <f aca="false">IF(F4360=0,"NOT FOUND",INDEX('All Song Rankings'!$A:$A,F4360))</f>
        <v>Space Jam</v>
      </c>
      <c r="H4360" s="6" t="str">
        <f aca="false">IF(F4360=0,"NOT FOUND",INDEX('All Song Rankings'!$B:$B,F4360))</f>
        <v>Quad City DJ's</v>
      </c>
      <c r="I4360" s="6" t="str">
        <f aca="false">IF(F4360=0,"NOT FOUND",INDEX('All Song Rankings'!$D:$D,F4360))</f>
        <v>Colleen</v>
      </c>
      <c r="J4360" s="7" t="str">
        <f aca="false">IF(F4360=0,"NOT FOUND",IF(C4360=I4360,"SELF-VOTE",IF(COUNTIF($K:$K,K4360)&gt;1,"DUPLICATE","OK")))</f>
        <v>OK</v>
      </c>
      <c r="K4360" s="6" t="str">
        <f aca="false">A4360&amp;"|"&amp;B4360&amp;"|"&amp;C4360&amp;"|"&amp;D4360</f>
        <v>6|8|Kristen|spotify:track:683hRieVmYdAhVA1DkjSAk</v>
      </c>
    </row>
    <row r="4361" customFormat="false" ht="15" hidden="false" customHeight="false" outlineLevel="0" collapsed="false">
      <c r="A4361" s="5" t="n">
        <v>6</v>
      </c>
      <c r="B4361" s="5" t="n">
        <v>8</v>
      </c>
      <c r="C4361" s="5" t="s">
        <v>106</v>
      </c>
      <c r="D4361" s="5" t="s">
        <v>1990</v>
      </c>
      <c r="E4361" s="5" t="n">
        <v>1</v>
      </c>
      <c r="F4361" s="6" t="n">
        <f aca="false">IFERROR(MATCH(A4361&amp;"|"&amp;B4361&amp;"|"&amp;D4361,'All Song Rankings'!$T:$T,0),0)</f>
        <v>661</v>
      </c>
      <c r="G4361" s="6" t="str">
        <f aca="false">IF(F4361=0,"NOT FOUND",INDEX('All Song Rankings'!$A:$A,F4361))</f>
        <v>GIRLS</v>
      </c>
      <c r="H4361" s="6" t="str">
        <f aca="false">IF(F4361=0,"NOT FOUND",INDEX('All Song Rankings'!$B:$B,F4361))</f>
        <v>The Kid LAROI</v>
      </c>
      <c r="I4361" s="6" t="str">
        <f aca="false">IF(F4361=0,"NOT FOUND",INDEX('All Song Rankings'!$D:$D,F4361))</f>
        <v>Makenzie</v>
      </c>
      <c r="J4361" s="7" t="str">
        <f aca="false">IF(F4361=0,"NOT FOUND",IF(C4361=I4361,"SELF-VOTE",IF(COUNTIF($K:$K,K4361)&gt;1,"DUPLICATE","OK")))</f>
        <v>OK</v>
      </c>
      <c r="K4361" s="6" t="str">
        <f aca="false">A4361&amp;"|"&amp;B4361&amp;"|"&amp;C4361&amp;"|"&amp;D4361</f>
        <v>6|8|Kristen|spotify:track:7z3PblAN3dH1JMewiRydkZ</v>
      </c>
    </row>
    <row r="4362" customFormat="false" ht="15" hidden="false" customHeight="false" outlineLevel="0" collapsed="false">
      <c r="A4362" s="5" t="n">
        <v>6</v>
      </c>
      <c r="B4362" s="5" t="n">
        <v>8</v>
      </c>
      <c r="C4362" s="5" t="s">
        <v>119</v>
      </c>
      <c r="D4362" s="5" t="s">
        <v>1980</v>
      </c>
      <c r="E4362" s="5" t="n">
        <v>2</v>
      </c>
      <c r="F4362" s="6" t="n">
        <f aca="false">IFERROR(MATCH(A4362&amp;"|"&amp;B4362&amp;"|"&amp;D4362,'All Song Rankings'!$T:$T,0),0)</f>
        <v>657</v>
      </c>
      <c r="G4362" s="6" t="str">
        <f aca="false">IF(F4362=0,"NOT FOUND",INDEX('All Song Rankings'!$A:$A,F4362))</f>
        <v>Welcome To The Jungle</v>
      </c>
      <c r="H4362" s="6" t="str">
        <f aca="false">IF(F4362=0,"NOT FOUND",INDEX('All Song Rankings'!$B:$B,F4362))</f>
        <v>Guns N' Roses</v>
      </c>
      <c r="I4362" s="6" t="str">
        <f aca="false">IF(F4362=0,"NOT FOUND",INDEX('All Song Rankings'!$D:$D,F4362))</f>
        <v>Josh</v>
      </c>
      <c r="J4362" s="7" t="str">
        <f aca="false">IF(F4362=0,"NOT FOUND",IF(C4362=I4362,"SELF-VOTE",IF(COUNTIF($K:$K,K4362)&gt;1,"DUPLICATE","OK")))</f>
        <v>OK</v>
      </c>
      <c r="K4362" s="6" t="str">
        <f aca="false">A4362&amp;"|"&amp;B4362&amp;"|"&amp;C4362&amp;"|"&amp;D4362</f>
        <v>6|8|Leah|spotify:track:0G21yYKMZoHa30cYVi1iA8</v>
      </c>
    </row>
    <row r="4363" customFormat="false" ht="15" hidden="false" customHeight="false" outlineLevel="0" collapsed="false">
      <c r="A4363" s="5" t="n">
        <v>6</v>
      </c>
      <c r="B4363" s="5" t="n">
        <v>8</v>
      </c>
      <c r="C4363" s="5" t="s">
        <v>119</v>
      </c>
      <c r="D4363" s="5" t="s">
        <v>2003</v>
      </c>
      <c r="E4363" s="5" t="n">
        <v>2</v>
      </c>
      <c r="F4363" s="6" t="n">
        <f aca="false">IFERROR(MATCH(A4363&amp;"|"&amp;B4363&amp;"|"&amp;D4363,'All Song Rankings'!$T:$T,0),0)</f>
        <v>666</v>
      </c>
      <c r="G4363" s="6" t="str">
        <f aca="false">IF(F4363=0,"NOT FOUND",INDEX('All Song Rankings'!$A:$A,F4363))</f>
        <v>Throne</v>
      </c>
      <c r="H4363" s="6" t="str">
        <f aca="false">IF(F4363=0,"NOT FOUND",INDEX('All Song Rankings'!$B:$B,F4363))</f>
        <v>Bring Me The Horizon</v>
      </c>
      <c r="I4363" s="6" t="str">
        <f aca="false">IF(F4363=0,"NOT FOUND",INDEX('All Song Rankings'!$D:$D,F4363))</f>
        <v>Christine</v>
      </c>
      <c r="J4363" s="7" t="str">
        <f aca="false">IF(F4363=0,"NOT FOUND",IF(C4363=I4363,"SELF-VOTE",IF(COUNTIF($K:$K,K4363)&gt;1,"DUPLICATE","OK")))</f>
        <v>OK</v>
      </c>
      <c r="K4363" s="6" t="str">
        <f aca="false">A4363&amp;"|"&amp;B4363&amp;"|"&amp;C4363&amp;"|"&amp;D4363</f>
        <v>6|8|Leah|spotify:track:0M3adYbGtyRHACP86dey1H</v>
      </c>
    </row>
    <row r="4364" customFormat="false" ht="15" hidden="false" customHeight="false" outlineLevel="0" collapsed="false">
      <c r="A4364" s="5" t="n">
        <v>6</v>
      </c>
      <c r="B4364" s="5" t="n">
        <v>8</v>
      </c>
      <c r="C4364" s="5" t="s">
        <v>119</v>
      </c>
      <c r="D4364" s="5" t="s">
        <v>2000</v>
      </c>
      <c r="E4364" s="5" t="n">
        <v>1</v>
      </c>
      <c r="F4364" s="6" t="n">
        <f aca="false">IFERROR(MATCH(A4364&amp;"|"&amp;B4364&amp;"|"&amp;D4364,'All Song Rankings'!$T:$T,0),0)</f>
        <v>665</v>
      </c>
      <c r="G4364" s="6" t="str">
        <f aca="false">IF(F4364=0,"NOT FOUND",INDEX('All Song Rankings'!$A:$A,F4364))</f>
        <v>POWER</v>
      </c>
      <c r="H4364" s="6" t="str">
        <f aca="false">IF(F4364=0,"NOT FOUND",INDEX('All Song Rankings'!$B:$B,F4364))</f>
        <v>Kanye West</v>
      </c>
      <c r="I4364" s="6" t="str">
        <f aca="false">IF(F4364=0,"NOT FOUND",INDEX('All Song Rankings'!$D:$D,F4364))</f>
        <v>Matt</v>
      </c>
      <c r="J4364" s="7" t="str">
        <f aca="false">IF(F4364=0,"NOT FOUND",IF(C4364=I4364,"SELF-VOTE",IF(COUNTIF($K:$K,K4364)&gt;1,"DUPLICATE","OK")))</f>
        <v>OK</v>
      </c>
      <c r="K4364" s="6" t="str">
        <f aca="false">A4364&amp;"|"&amp;B4364&amp;"|"&amp;C4364&amp;"|"&amp;D4364</f>
        <v>6|8|Leah|spotify:track:2gZUPNdnz5Y45eiGxpHGSc</v>
      </c>
    </row>
    <row r="4365" customFormat="false" ht="15" hidden="false" customHeight="false" outlineLevel="0" collapsed="false">
      <c r="A4365" s="5" t="n">
        <v>6</v>
      </c>
      <c r="B4365" s="5" t="n">
        <v>8</v>
      </c>
      <c r="C4365" s="5" t="s">
        <v>119</v>
      </c>
      <c r="D4365" s="5" t="s">
        <v>1977</v>
      </c>
      <c r="E4365" s="5" t="n">
        <v>1</v>
      </c>
      <c r="F4365" s="6" t="n">
        <f aca="false">IFERROR(MATCH(A4365&amp;"|"&amp;B4365&amp;"|"&amp;D4365,'All Song Rankings'!$T:$T,0),0)</f>
        <v>656</v>
      </c>
      <c r="G4365" s="6" t="str">
        <f aca="false">IF(F4365=0,"NOT FOUND",INDEX('All Song Rankings'!$A:$A,F4365))</f>
        <v>GO</v>
      </c>
      <c r="H4365" s="6" t="str">
        <f aca="false">IF(F4365=0,"NOT FOUND",INDEX('All Song Rankings'!$B:$B,F4365))</f>
        <v>BLACKPINK</v>
      </c>
      <c r="I4365" s="6" t="str">
        <f aca="false">IF(F4365=0,"NOT FOUND",INDEX('All Song Rankings'!$D:$D,F4365))</f>
        <v>Stephanie</v>
      </c>
      <c r="J4365" s="7" t="str">
        <f aca="false">IF(F4365=0,"NOT FOUND",IF(C4365=I4365,"SELF-VOTE",IF(COUNTIF($K:$K,K4365)&gt;1,"DUPLICATE","OK")))</f>
        <v>OK</v>
      </c>
      <c r="K4365" s="6" t="str">
        <f aca="false">A4365&amp;"|"&amp;B4365&amp;"|"&amp;C4365&amp;"|"&amp;D4365</f>
        <v>6|8|Leah|spotify:track:3FZPp9lBUvhsxFxKJi3VkB</v>
      </c>
    </row>
    <row r="4366" customFormat="false" ht="15" hidden="false" customHeight="false" outlineLevel="0" collapsed="false">
      <c r="A4366" s="5" t="n">
        <v>6</v>
      </c>
      <c r="B4366" s="5" t="n">
        <v>8</v>
      </c>
      <c r="C4366" s="5" t="s">
        <v>119</v>
      </c>
      <c r="D4366" s="5" t="s">
        <v>1995</v>
      </c>
      <c r="E4366" s="5" t="n">
        <v>1</v>
      </c>
      <c r="F4366" s="6" t="n">
        <f aca="false">IFERROR(MATCH(A4366&amp;"|"&amp;B4366&amp;"|"&amp;D4366,'All Song Rankings'!$T:$T,0),0)</f>
        <v>663</v>
      </c>
      <c r="G4366" s="6" t="str">
        <f aca="false">IF(F4366=0,"NOT FOUND",INDEX('All Song Rankings'!$A:$A,F4366))</f>
        <v>Are You Gonna Go My Way</v>
      </c>
      <c r="H4366" s="6" t="str">
        <f aca="false">IF(F4366=0,"NOT FOUND",INDEX('All Song Rankings'!$B:$B,F4366))</f>
        <v>Lenny Kravitz</v>
      </c>
      <c r="I4366" s="6" t="str">
        <f aca="false">IF(F4366=0,"NOT FOUND",INDEX('All Song Rankings'!$D:$D,F4366))</f>
        <v>Scott</v>
      </c>
      <c r="J4366" s="7" t="str">
        <f aca="false">IF(F4366=0,"NOT FOUND",IF(C4366=I4366,"SELF-VOTE",IF(COUNTIF($K:$K,K4366)&gt;1,"DUPLICATE","OK")))</f>
        <v>OK</v>
      </c>
      <c r="K4366" s="6" t="str">
        <f aca="false">A4366&amp;"|"&amp;B4366&amp;"|"&amp;C4366&amp;"|"&amp;D4366</f>
        <v>6|8|Leah|spotify:track:45Ia1U4KtIjAPPU7Wv1Sea</v>
      </c>
    </row>
    <row r="4367" customFormat="false" ht="15" hidden="false" customHeight="false" outlineLevel="0" collapsed="false">
      <c r="A4367" s="5" t="n">
        <v>6</v>
      </c>
      <c r="B4367" s="5" t="n">
        <v>8</v>
      </c>
      <c r="C4367" s="5" t="s">
        <v>119</v>
      </c>
      <c r="D4367" s="5" t="s">
        <v>1983</v>
      </c>
      <c r="E4367" s="5" t="n">
        <v>2</v>
      </c>
      <c r="F4367" s="6" t="n">
        <f aca="false">IFERROR(MATCH(A4367&amp;"|"&amp;B4367&amp;"|"&amp;D4367,'All Song Rankings'!$T:$T,0),0)</f>
        <v>658</v>
      </c>
      <c r="G4367" s="6" t="str">
        <f aca="false">IF(F4367=0,"NOT FOUND",INDEX('All Song Rankings'!$A:$A,F4367))</f>
        <v>Narco</v>
      </c>
      <c r="H4367" s="6" t="str">
        <f aca="false">IF(F4367=0,"NOT FOUND",INDEX('All Song Rankings'!$B:$B,F4367))</f>
        <v>Blasterjaxx, Timmy Trumpet</v>
      </c>
      <c r="I4367" s="6" t="str">
        <f aca="false">IF(F4367=0,"NOT FOUND",INDEX('All Song Rankings'!$D:$D,F4367))</f>
        <v>Kelsey</v>
      </c>
      <c r="J4367" s="7" t="str">
        <f aca="false">IF(F4367=0,"NOT FOUND",IF(C4367=I4367,"SELF-VOTE",IF(COUNTIF($K:$K,K4367)&gt;1,"DUPLICATE","OK")))</f>
        <v>OK</v>
      </c>
      <c r="K4367" s="6" t="str">
        <f aca="false">A4367&amp;"|"&amp;B4367&amp;"|"&amp;C4367&amp;"|"&amp;D4367</f>
        <v>6|8|Leah|spotify:track:4TuNI3WEMyLQAKRMJmcQdA</v>
      </c>
    </row>
    <row r="4368" customFormat="false" ht="15" hidden="false" customHeight="false" outlineLevel="0" collapsed="false">
      <c r="A4368" s="5" t="n">
        <v>6</v>
      </c>
      <c r="B4368" s="5" t="n">
        <v>8</v>
      </c>
      <c r="C4368" s="5" t="s">
        <v>119</v>
      </c>
      <c r="D4368" s="5" t="s">
        <v>1998</v>
      </c>
      <c r="E4368" s="5" t="n">
        <v>1</v>
      </c>
      <c r="F4368" s="6" t="n">
        <f aca="false">IFERROR(MATCH(A4368&amp;"|"&amp;B4368&amp;"|"&amp;D4368,'All Song Rankings'!$T:$T,0),0)</f>
        <v>664</v>
      </c>
      <c r="G4368" s="6" t="str">
        <f aca="false">IF(F4368=0,"NOT FOUND",INDEX('All Song Rankings'!$A:$A,F4368))</f>
        <v>Do Ya Wanna Taste It</v>
      </c>
      <c r="H4368" s="6" t="str">
        <f aca="false">IF(F4368=0,"NOT FOUND",INDEX('All Song Rankings'!$B:$B,F4368))</f>
        <v>Wig Wam</v>
      </c>
      <c r="I4368" s="6" t="str">
        <f aca="false">IF(F4368=0,"NOT FOUND",INDEX('All Song Rankings'!$D:$D,F4368))</f>
        <v>Nicole</v>
      </c>
      <c r="J4368" s="7" t="str">
        <f aca="false">IF(F4368=0,"NOT FOUND",IF(C4368=I4368,"SELF-VOTE",IF(COUNTIF($K:$K,K4368)&gt;1,"DUPLICATE","OK")))</f>
        <v>OK</v>
      </c>
      <c r="K4368" s="6" t="str">
        <f aca="false">A4368&amp;"|"&amp;B4368&amp;"|"&amp;C4368&amp;"|"&amp;D4368</f>
        <v>6|8|Leah|spotify:track:5XW4BwCrfYpci5zMbJxs4N</v>
      </c>
    </row>
    <row r="4369" customFormat="false" ht="15" hidden="false" customHeight="false" outlineLevel="0" collapsed="false">
      <c r="A4369" s="5" t="n">
        <v>6</v>
      </c>
      <c r="B4369" s="5" t="n">
        <v>8</v>
      </c>
      <c r="C4369" s="5" t="s">
        <v>705</v>
      </c>
      <c r="D4369" s="5" t="s">
        <v>1168</v>
      </c>
      <c r="E4369" s="5" t="n">
        <v>1</v>
      </c>
      <c r="F4369" s="6" t="n">
        <f aca="false">IFERROR(MATCH(A4369&amp;"|"&amp;B4369&amp;"|"&amp;D4369,'All Song Rankings'!$T:$T,0),0)</f>
        <v>670</v>
      </c>
      <c r="G4369" s="6" t="str">
        <f aca="false">IF(F4369=0,"NOT FOUND",INDEX('All Song Rankings'!$A:$A,F4369))</f>
        <v>Mr. Brightside</v>
      </c>
      <c r="H4369" s="6" t="str">
        <f aca="false">IF(F4369=0,"NOT FOUND",INDEX('All Song Rankings'!$B:$B,F4369))</f>
        <v>The Killers</v>
      </c>
      <c r="I4369" s="6" t="str">
        <f aca="false">IF(F4369=0,"NOT FOUND",INDEX('All Song Rankings'!$D:$D,F4369))</f>
        <v>Aubrey</v>
      </c>
      <c r="J4369" s="7" t="str">
        <f aca="false">IF(F4369=0,"NOT FOUND",IF(C4369=I4369,"SELF-VOTE",IF(COUNTIF($K:$K,K4369)&gt;1,"DUPLICATE","OK")))</f>
        <v>OK</v>
      </c>
      <c r="K4369" s="6" t="str">
        <f aca="false">A4369&amp;"|"&amp;B4369&amp;"|"&amp;C4369&amp;"|"&amp;D4369</f>
        <v>6|8|Lisa|spotify:track:003vvx7Niy0yvhvHt4a68B</v>
      </c>
    </row>
    <row r="4370" customFormat="false" ht="15" hidden="false" customHeight="false" outlineLevel="0" collapsed="false">
      <c r="A4370" s="5" t="n">
        <v>6</v>
      </c>
      <c r="B4370" s="5" t="n">
        <v>8</v>
      </c>
      <c r="C4370" s="5" t="s">
        <v>705</v>
      </c>
      <c r="D4370" s="5" t="s">
        <v>2003</v>
      </c>
      <c r="E4370" s="5" t="n">
        <v>2</v>
      </c>
      <c r="F4370" s="6" t="n">
        <f aca="false">IFERROR(MATCH(A4370&amp;"|"&amp;B4370&amp;"|"&amp;D4370,'All Song Rankings'!$T:$T,0),0)</f>
        <v>666</v>
      </c>
      <c r="G4370" s="6" t="str">
        <f aca="false">IF(F4370=0,"NOT FOUND",INDEX('All Song Rankings'!$A:$A,F4370))</f>
        <v>Throne</v>
      </c>
      <c r="H4370" s="6" t="str">
        <f aca="false">IF(F4370=0,"NOT FOUND",INDEX('All Song Rankings'!$B:$B,F4370))</f>
        <v>Bring Me The Horizon</v>
      </c>
      <c r="I4370" s="6" t="str">
        <f aca="false">IF(F4370=0,"NOT FOUND",INDEX('All Song Rankings'!$D:$D,F4370))</f>
        <v>Christine</v>
      </c>
      <c r="J4370" s="7" t="str">
        <f aca="false">IF(F4370=0,"NOT FOUND",IF(C4370=I4370,"SELF-VOTE",IF(COUNTIF($K:$K,K4370)&gt;1,"DUPLICATE","OK")))</f>
        <v>OK</v>
      </c>
      <c r="K4370" s="6" t="str">
        <f aca="false">A4370&amp;"|"&amp;B4370&amp;"|"&amp;C4370&amp;"|"&amp;D4370</f>
        <v>6|8|Lisa|spotify:track:0M3adYbGtyRHACP86dey1H</v>
      </c>
    </row>
    <row r="4371" customFormat="false" ht="15" hidden="false" customHeight="false" outlineLevel="0" collapsed="false">
      <c r="A4371" s="5" t="n">
        <v>6</v>
      </c>
      <c r="B4371" s="5" t="n">
        <v>8</v>
      </c>
      <c r="C4371" s="5" t="s">
        <v>705</v>
      </c>
      <c r="D4371" s="5" t="s">
        <v>1977</v>
      </c>
      <c r="E4371" s="5" t="n">
        <v>2</v>
      </c>
      <c r="F4371" s="6" t="n">
        <f aca="false">IFERROR(MATCH(A4371&amp;"|"&amp;B4371&amp;"|"&amp;D4371,'All Song Rankings'!$T:$T,0),0)</f>
        <v>656</v>
      </c>
      <c r="G4371" s="6" t="str">
        <f aca="false">IF(F4371=0,"NOT FOUND",INDEX('All Song Rankings'!$A:$A,F4371))</f>
        <v>GO</v>
      </c>
      <c r="H4371" s="6" t="str">
        <f aca="false">IF(F4371=0,"NOT FOUND",INDEX('All Song Rankings'!$B:$B,F4371))</f>
        <v>BLACKPINK</v>
      </c>
      <c r="I4371" s="6" t="str">
        <f aca="false">IF(F4371=0,"NOT FOUND",INDEX('All Song Rankings'!$D:$D,F4371))</f>
        <v>Stephanie</v>
      </c>
      <c r="J4371" s="7" t="str">
        <f aca="false">IF(F4371=0,"NOT FOUND",IF(C4371=I4371,"SELF-VOTE",IF(COUNTIF($K:$K,K4371)&gt;1,"DUPLICATE","OK")))</f>
        <v>OK</v>
      </c>
      <c r="K4371" s="6" t="str">
        <f aca="false">A4371&amp;"|"&amp;B4371&amp;"|"&amp;C4371&amp;"|"&amp;D4371</f>
        <v>6|8|Lisa|spotify:track:3FZPp9lBUvhsxFxKJi3VkB</v>
      </c>
    </row>
    <row r="4372" customFormat="false" ht="15" hidden="false" customHeight="false" outlineLevel="0" collapsed="false">
      <c r="A4372" s="5" t="n">
        <v>6</v>
      </c>
      <c r="B4372" s="5" t="n">
        <v>8</v>
      </c>
      <c r="C4372" s="5" t="s">
        <v>705</v>
      </c>
      <c r="D4372" s="5" t="s">
        <v>1995</v>
      </c>
      <c r="E4372" s="5" t="n">
        <v>1</v>
      </c>
      <c r="F4372" s="6" t="n">
        <f aca="false">IFERROR(MATCH(A4372&amp;"|"&amp;B4372&amp;"|"&amp;D4372,'All Song Rankings'!$T:$T,0),0)</f>
        <v>663</v>
      </c>
      <c r="G4372" s="6" t="str">
        <f aca="false">IF(F4372=0,"NOT FOUND",INDEX('All Song Rankings'!$A:$A,F4372))</f>
        <v>Are You Gonna Go My Way</v>
      </c>
      <c r="H4372" s="6" t="str">
        <f aca="false">IF(F4372=0,"NOT FOUND",INDEX('All Song Rankings'!$B:$B,F4372))</f>
        <v>Lenny Kravitz</v>
      </c>
      <c r="I4372" s="6" t="str">
        <f aca="false">IF(F4372=0,"NOT FOUND",INDEX('All Song Rankings'!$D:$D,F4372))</f>
        <v>Scott</v>
      </c>
      <c r="J4372" s="7" t="str">
        <f aca="false">IF(F4372=0,"NOT FOUND",IF(C4372=I4372,"SELF-VOTE",IF(COUNTIF($K:$K,K4372)&gt;1,"DUPLICATE","OK")))</f>
        <v>OK</v>
      </c>
      <c r="K4372" s="6" t="str">
        <f aca="false">A4372&amp;"|"&amp;B4372&amp;"|"&amp;C4372&amp;"|"&amp;D4372</f>
        <v>6|8|Lisa|spotify:track:45Ia1U4KtIjAPPU7Wv1Sea</v>
      </c>
    </row>
    <row r="4373" customFormat="false" ht="15" hidden="false" customHeight="false" outlineLevel="0" collapsed="false">
      <c r="A4373" s="5" t="n">
        <v>6</v>
      </c>
      <c r="B4373" s="5" t="n">
        <v>8</v>
      </c>
      <c r="C4373" s="5" t="s">
        <v>705</v>
      </c>
      <c r="D4373" s="5" t="s">
        <v>1974</v>
      </c>
      <c r="E4373" s="5" t="n">
        <v>1</v>
      </c>
      <c r="F4373" s="6" t="n">
        <f aca="false">IFERROR(MATCH(A4373&amp;"|"&amp;B4373&amp;"|"&amp;D4373,'All Song Rankings'!$T:$T,0),0)</f>
        <v>655</v>
      </c>
      <c r="G4373" s="6" t="str">
        <f aca="false">IF(F4373=0,"NOT FOUND",INDEX('All Song Rankings'!$A:$A,F4373))</f>
        <v>Get Ready For This</v>
      </c>
      <c r="H4373" s="6" t="str">
        <f aca="false">IF(F4373=0,"NOT FOUND",INDEX('All Song Rankings'!$B:$B,F4373))</f>
        <v>2 Unlimited</v>
      </c>
      <c r="I4373" s="6" t="str">
        <f aca="false">IF(F4373=0,"NOT FOUND",INDEX('All Song Rankings'!$D:$D,F4373))</f>
        <v>Leah</v>
      </c>
      <c r="J4373" s="7" t="str">
        <f aca="false">IF(F4373=0,"NOT FOUND",IF(C4373=I4373,"SELF-VOTE",IF(COUNTIF($K:$K,K4373)&gt;1,"DUPLICATE","OK")))</f>
        <v>OK</v>
      </c>
      <c r="K4373" s="6" t="str">
        <f aca="false">A4373&amp;"|"&amp;B4373&amp;"|"&amp;C4373&amp;"|"&amp;D4373</f>
        <v>6|8|Lisa|spotify:track:45Q5IYHJbBdmvlcnwVpXw5</v>
      </c>
    </row>
    <row r="4374" customFormat="false" ht="15" hidden="false" customHeight="false" outlineLevel="0" collapsed="false">
      <c r="A4374" s="5" t="n">
        <v>6</v>
      </c>
      <c r="B4374" s="5" t="n">
        <v>8</v>
      </c>
      <c r="C4374" s="5" t="s">
        <v>705</v>
      </c>
      <c r="D4374" s="5" t="s">
        <v>1983</v>
      </c>
      <c r="E4374" s="5" t="n">
        <v>1</v>
      </c>
      <c r="F4374" s="6" t="n">
        <f aca="false">IFERROR(MATCH(A4374&amp;"|"&amp;B4374&amp;"|"&amp;D4374,'All Song Rankings'!$T:$T,0),0)</f>
        <v>658</v>
      </c>
      <c r="G4374" s="6" t="str">
        <f aca="false">IF(F4374=0,"NOT FOUND",INDEX('All Song Rankings'!$A:$A,F4374))</f>
        <v>Narco</v>
      </c>
      <c r="H4374" s="6" t="str">
        <f aca="false">IF(F4374=0,"NOT FOUND",INDEX('All Song Rankings'!$B:$B,F4374))</f>
        <v>Blasterjaxx, Timmy Trumpet</v>
      </c>
      <c r="I4374" s="6" t="str">
        <f aca="false">IF(F4374=0,"NOT FOUND",INDEX('All Song Rankings'!$D:$D,F4374))</f>
        <v>Kelsey</v>
      </c>
      <c r="J4374" s="7" t="str">
        <f aca="false">IF(F4374=0,"NOT FOUND",IF(C4374=I4374,"SELF-VOTE",IF(COUNTIF($K:$K,K4374)&gt;1,"DUPLICATE","OK")))</f>
        <v>OK</v>
      </c>
      <c r="K4374" s="6" t="str">
        <f aca="false">A4374&amp;"|"&amp;B4374&amp;"|"&amp;C4374&amp;"|"&amp;D4374</f>
        <v>6|8|Lisa|spotify:track:4TuNI3WEMyLQAKRMJmcQdA</v>
      </c>
    </row>
    <row r="4375" customFormat="false" ht="15" hidden="false" customHeight="false" outlineLevel="0" collapsed="false">
      <c r="A4375" s="5" t="n">
        <v>6</v>
      </c>
      <c r="B4375" s="5" t="n">
        <v>8</v>
      </c>
      <c r="C4375" s="5" t="s">
        <v>705</v>
      </c>
      <c r="D4375" s="5" t="s">
        <v>1998</v>
      </c>
      <c r="E4375" s="5" t="n">
        <v>1</v>
      </c>
      <c r="F4375" s="6" t="n">
        <f aca="false">IFERROR(MATCH(A4375&amp;"|"&amp;B4375&amp;"|"&amp;D4375,'All Song Rankings'!$T:$T,0),0)</f>
        <v>664</v>
      </c>
      <c r="G4375" s="6" t="str">
        <f aca="false">IF(F4375=0,"NOT FOUND",INDEX('All Song Rankings'!$A:$A,F4375))</f>
        <v>Do Ya Wanna Taste It</v>
      </c>
      <c r="H4375" s="6" t="str">
        <f aca="false">IF(F4375=0,"NOT FOUND",INDEX('All Song Rankings'!$B:$B,F4375))</f>
        <v>Wig Wam</v>
      </c>
      <c r="I4375" s="6" t="str">
        <f aca="false">IF(F4375=0,"NOT FOUND",INDEX('All Song Rankings'!$D:$D,F4375))</f>
        <v>Nicole</v>
      </c>
      <c r="J4375" s="7" t="str">
        <f aca="false">IF(F4375=0,"NOT FOUND",IF(C4375=I4375,"SELF-VOTE",IF(COUNTIF($K:$K,K4375)&gt;1,"DUPLICATE","OK")))</f>
        <v>OK</v>
      </c>
      <c r="K4375" s="6" t="str">
        <f aca="false">A4375&amp;"|"&amp;B4375&amp;"|"&amp;C4375&amp;"|"&amp;D4375</f>
        <v>6|8|Lisa|spotify:track:5XW4BwCrfYpci5zMbJxs4N</v>
      </c>
    </row>
    <row r="4376" customFormat="false" ht="15" hidden="false" customHeight="false" outlineLevel="0" collapsed="false">
      <c r="A4376" s="5" t="n">
        <v>6</v>
      </c>
      <c r="B4376" s="5" t="n">
        <v>8</v>
      </c>
      <c r="C4376" s="5" t="s">
        <v>705</v>
      </c>
      <c r="D4376" s="5" t="s">
        <v>1990</v>
      </c>
      <c r="E4376" s="5" t="n">
        <v>1</v>
      </c>
      <c r="F4376" s="6" t="n">
        <f aca="false">IFERROR(MATCH(A4376&amp;"|"&amp;B4376&amp;"|"&amp;D4376,'All Song Rankings'!$T:$T,0),0)</f>
        <v>661</v>
      </c>
      <c r="G4376" s="6" t="str">
        <f aca="false">IF(F4376=0,"NOT FOUND",INDEX('All Song Rankings'!$A:$A,F4376))</f>
        <v>GIRLS</v>
      </c>
      <c r="H4376" s="6" t="str">
        <f aca="false">IF(F4376=0,"NOT FOUND",INDEX('All Song Rankings'!$B:$B,F4376))</f>
        <v>The Kid LAROI</v>
      </c>
      <c r="I4376" s="6" t="str">
        <f aca="false">IF(F4376=0,"NOT FOUND",INDEX('All Song Rankings'!$D:$D,F4376))</f>
        <v>Makenzie</v>
      </c>
      <c r="J4376" s="7" t="str">
        <f aca="false">IF(F4376=0,"NOT FOUND",IF(C4376=I4376,"SELF-VOTE",IF(COUNTIF($K:$K,K4376)&gt;1,"DUPLICATE","OK")))</f>
        <v>OK</v>
      </c>
      <c r="K4376" s="6" t="str">
        <f aca="false">A4376&amp;"|"&amp;B4376&amp;"|"&amp;C4376&amp;"|"&amp;D4376</f>
        <v>6|8|Lisa|spotify:track:7z3PblAN3dH1JMewiRydkZ</v>
      </c>
    </row>
    <row r="4377" customFormat="false" ht="15" hidden="false" customHeight="false" outlineLevel="0" collapsed="false">
      <c r="A4377" s="5" t="n">
        <v>6</v>
      </c>
      <c r="B4377" s="5" t="n">
        <v>8</v>
      </c>
      <c r="C4377" s="5" t="s">
        <v>128</v>
      </c>
      <c r="D4377" s="5" t="s">
        <v>1980</v>
      </c>
      <c r="E4377" s="5" t="n">
        <v>1</v>
      </c>
      <c r="F4377" s="6" t="n">
        <f aca="false">IFERROR(MATCH(A4377&amp;"|"&amp;B4377&amp;"|"&amp;D4377,'All Song Rankings'!$T:$T,0),0)</f>
        <v>657</v>
      </c>
      <c r="G4377" s="6" t="str">
        <f aca="false">IF(F4377=0,"NOT FOUND",INDEX('All Song Rankings'!$A:$A,F4377))</f>
        <v>Welcome To The Jungle</v>
      </c>
      <c r="H4377" s="6" t="str">
        <f aca="false">IF(F4377=0,"NOT FOUND",INDEX('All Song Rankings'!$B:$B,F4377))</f>
        <v>Guns N' Roses</v>
      </c>
      <c r="I4377" s="6" t="str">
        <f aca="false">IF(F4377=0,"NOT FOUND",INDEX('All Song Rankings'!$D:$D,F4377))</f>
        <v>Josh</v>
      </c>
      <c r="J4377" s="7" t="str">
        <f aca="false">IF(F4377=0,"NOT FOUND",IF(C4377=I4377,"SELF-VOTE",IF(COUNTIF($K:$K,K4377)&gt;1,"DUPLICATE","OK")))</f>
        <v>OK</v>
      </c>
      <c r="K4377" s="6" t="str">
        <f aca="false">A4377&amp;"|"&amp;B4377&amp;"|"&amp;C4377&amp;"|"&amp;D4377</f>
        <v>6|8|Logan|spotify:track:0G21yYKMZoHa30cYVi1iA8</v>
      </c>
    </row>
    <row r="4378" customFormat="false" ht="15" hidden="false" customHeight="false" outlineLevel="0" collapsed="false">
      <c r="A4378" s="5" t="n">
        <v>6</v>
      </c>
      <c r="B4378" s="5" t="n">
        <v>8</v>
      </c>
      <c r="C4378" s="5" t="s">
        <v>128</v>
      </c>
      <c r="D4378" s="5" t="s">
        <v>1988</v>
      </c>
      <c r="E4378" s="5" t="n">
        <v>1</v>
      </c>
      <c r="F4378" s="6" t="n">
        <f aca="false">IFERROR(MATCH(A4378&amp;"|"&amp;B4378&amp;"|"&amp;D4378,'All Song Rankings'!$T:$T,0),0)</f>
        <v>660</v>
      </c>
      <c r="G4378" s="6" t="str">
        <f aca="false">IF(F4378=0,"NOT FOUND",INDEX('All Song Rankings'!$A:$A,F4378))</f>
        <v>Dancing Queen</v>
      </c>
      <c r="H4378" s="6" t="str">
        <f aca="false">IF(F4378=0,"NOT FOUND",INDEX('All Song Rankings'!$B:$B,F4378))</f>
        <v>ABBA</v>
      </c>
      <c r="I4378" s="6" t="str">
        <f aca="false">IF(F4378=0,"NOT FOUND",INDEX('All Song Rankings'!$D:$D,F4378))</f>
        <v>Lisa</v>
      </c>
      <c r="J4378" s="7" t="str">
        <f aca="false">IF(F4378=0,"NOT FOUND",IF(C4378=I4378,"SELF-VOTE",IF(COUNTIF($K:$K,K4378)&gt;1,"DUPLICATE","OK")))</f>
        <v>OK</v>
      </c>
      <c r="K4378" s="6" t="str">
        <f aca="false">A4378&amp;"|"&amp;B4378&amp;"|"&amp;C4378&amp;"|"&amp;D4378</f>
        <v>6|8|Logan|spotify:track:0GjEhVFGZW8afUYGChu3Rr</v>
      </c>
    </row>
    <row r="4379" customFormat="false" ht="15" hidden="false" customHeight="false" outlineLevel="0" collapsed="false">
      <c r="A4379" s="5" t="n">
        <v>6</v>
      </c>
      <c r="B4379" s="5" t="n">
        <v>8</v>
      </c>
      <c r="C4379" s="5" t="s">
        <v>128</v>
      </c>
      <c r="D4379" s="5" t="s">
        <v>1992</v>
      </c>
      <c r="E4379" s="5" t="n">
        <v>1</v>
      </c>
      <c r="F4379" s="6" t="n">
        <f aca="false">IFERROR(MATCH(A4379&amp;"|"&amp;B4379&amp;"|"&amp;D4379,'All Song Rankings'!$T:$T,0),0)</f>
        <v>662</v>
      </c>
      <c r="G4379" s="6" t="str">
        <f aca="false">IF(F4379=0,"NOT FOUND",INDEX('All Song Rankings'!$A:$A,F4379))</f>
        <v>TiK ToK</v>
      </c>
      <c r="H4379" s="6" t="str">
        <f aca="false">IF(F4379=0,"NOT FOUND",INDEX('All Song Rankings'!$B:$B,F4379))</f>
        <v>Kesha</v>
      </c>
      <c r="I4379" s="6" t="str">
        <f aca="false">IF(F4379=0,"NOT FOUND",INDEX('All Song Rankings'!$D:$D,F4379))</f>
        <v>Grace</v>
      </c>
      <c r="J4379" s="7" t="str">
        <f aca="false">IF(F4379=0,"NOT FOUND",IF(C4379=I4379,"SELF-VOTE",IF(COUNTIF($K:$K,K4379)&gt;1,"DUPLICATE","OK")))</f>
        <v>OK</v>
      </c>
      <c r="K4379" s="6" t="str">
        <f aca="false">A4379&amp;"|"&amp;B4379&amp;"|"&amp;C4379&amp;"|"&amp;D4379</f>
        <v>6|8|Logan|spotify:track:0HPD5WQqrq7wPWR7P7Dw1i</v>
      </c>
    </row>
    <row r="4380" customFormat="false" ht="15" hidden="false" customHeight="false" outlineLevel="0" collapsed="false">
      <c r="A4380" s="5" t="n">
        <v>6</v>
      </c>
      <c r="B4380" s="5" t="n">
        <v>8</v>
      </c>
      <c r="C4380" s="5" t="s">
        <v>128</v>
      </c>
      <c r="D4380" s="5" t="s">
        <v>1977</v>
      </c>
      <c r="E4380" s="5" t="n">
        <v>2</v>
      </c>
      <c r="F4380" s="6" t="n">
        <f aca="false">IFERROR(MATCH(A4380&amp;"|"&amp;B4380&amp;"|"&amp;D4380,'All Song Rankings'!$T:$T,0),0)</f>
        <v>656</v>
      </c>
      <c r="G4380" s="6" t="str">
        <f aca="false">IF(F4380=0,"NOT FOUND",INDEX('All Song Rankings'!$A:$A,F4380))</f>
        <v>GO</v>
      </c>
      <c r="H4380" s="6" t="str">
        <f aca="false">IF(F4380=0,"NOT FOUND",INDEX('All Song Rankings'!$B:$B,F4380))</f>
        <v>BLACKPINK</v>
      </c>
      <c r="I4380" s="6" t="str">
        <f aca="false">IF(F4380=0,"NOT FOUND",INDEX('All Song Rankings'!$D:$D,F4380))</f>
        <v>Stephanie</v>
      </c>
      <c r="J4380" s="7" t="str">
        <f aca="false">IF(F4380=0,"NOT FOUND",IF(C4380=I4380,"SELF-VOTE",IF(COUNTIF($K:$K,K4380)&gt;1,"DUPLICATE","OK")))</f>
        <v>OK</v>
      </c>
      <c r="K4380" s="6" t="str">
        <f aca="false">A4380&amp;"|"&amp;B4380&amp;"|"&amp;C4380&amp;"|"&amp;D4380</f>
        <v>6|8|Logan|spotify:track:3FZPp9lBUvhsxFxKJi3VkB</v>
      </c>
    </row>
    <row r="4381" customFormat="false" ht="15" hidden="false" customHeight="false" outlineLevel="0" collapsed="false">
      <c r="A4381" s="5" t="n">
        <v>6</v>
      </c>
      <c r="B4381" s="5" t="n">
        <v>8</v>
      </c>
      <c r="C4381" s="5" t="s">
        <v>128</v>
      </c>
      <c r="D4381" s="5" t="s">
        <v>1995</v>
      </c>
      <c r="E4381" s="5" t="n">
        <v>1</v>
      </c>
      <c r="F4381" s="6" t="n">
        <f aca="false">IFERROR(MATCH(A4381&amp;"|"&amp;B4381&amp;"|"&amp;D4381,'All Song Rankings'!$T:$T,0),0)</f>
        <v>663</v>
      </c>
      <c r="G4381" s="6" t="str">
        <f aca="false">IF(F4381=0,"NOT FOUND",INDEX('All Song Rankings'!$A:$A,F4381))</f>
        <v>Are You Gonna Go My Way</v>
      </c>
      <c r="H4381" s="6" t="str">
        <f aca="false">IF(F4381=0,"NOT FOUND",INDEX('All Song Rankings'!$B:$B,F4381))</f>
        <v>Lenny Kravitz</v>
      </c>
      <c r="I4381" s="6" t="str">
        <f aca="false">IF(F4381=0,"NOT FOUND",INDEX('All Song Rankings'!$D:$D,F4381))</f>
        <v>Scott</v>
      </c>
      <c r="J4381" s="7" t="str">
        <f aca="false">IF(F4381=0,"NOT FOUND",IF(C4381=I4381,"SELF-VOTE",IF(COUNTIF($K:$K,K4381)&gt;1,"DUPLICATE","OK")))</f>
        <v>OK</v>
      </c>
      <c r="K4381" s="6" t="str">
        <f aca="false">A4381&amp;"|"&amp;B4381&amp;"|"&amp;C4381&amp;"|"&amp;D4381</f>
        <v>6|8|Logan|spotify:track:45Ia1U4KtIjAPPU7Wv1Sea</v>
      </c>
    </row>
    <row r="4382" customFormat="false" ht="15" hidden="false" customHeight="false" outlineLevel="0" collapsed="false">
      <c r="A4382" s="5" t="n">
        <v>6</v>
      </c>
      <c r="B4382" s="5" t="n">
        <v>8</v>
      </c>
      <c r="C4382" s="5" t="s">
        <v>128</v>
      </c>
      <c r="D4382" s="5" t="s">
        <v>1974</v>
      </c>
      <c r="E4382" s="5" t="n">
        <v>2</v>
      </c>
      <c r="F4382" s="6" t="n">
        <f aca="false">IFERROR(MATCH(A4382&amp;"|"&amp;B4382&amp;"|"&amp;D4382,'All Song Rankings'!$T:$T,0),0)</f>
        <v>655</v>
      </c>
      <c r="G4382" s="6" t="str">
        <f aca="false">IF(F4382=0,"NOT FOUND",INDEX('All Song Rankings'!$A:$A,F4382))</f>
        <v>Get Ready For This</v>
      </c>
      <c r="H4382" s="6" t="str">
        <f aca="false">IF(F4382=0,"NOT FOUND",INDEX('All Song Rankings'!$B:$B,F4382))</f>
        <v>2 Unlimited</v>
      </c>
      <c r="I4382" s="6" t="str">
        <f aca="false">IF(F4382=0,"NOT FOUND",INDEX('All Song Rankings'!$D:$D,F4382))</f>
        <v>Leah</v>
      </c>
      <c r="J4382" s="7" t="str">
        <f aca="false">IF(F4382=0,"NOT FOUND",IF(C4382=I4382,"SELF-VOTE",IF(COUNTIF($K:$K,K4382)&gt;1,"DUPLICATE","OK")))</f>
        <v>OK</v>
      </c>
      <c r="K4382" s="6" t="str">
        <f aca="false">A4382&amp;"|"&amp;B4382&amp;"|"&amp;C4382&amp;"|"&amp;D4382</f>
        <v>6|8|Logan|spotify:track:45Q5IYHJbBdmvlcnwVpXw5</v>
      </c>
    </row>
    <row r="4383" customFormat="false" ht="15" hidden="false" customHeight="false" outlineLevel="0" collapsed="false">
      <c r="A4383" s="5" t="n">
        <v>6</v>
      </c>
      <c r="B4383" s="5" t="n">
        <v>8</v>
      </c>
      <c r="C4383" s="5" t="s">
        <v>128</v>
      </c>
      <c r="D4383" s="5" t="s">
        <v>1998</v>
      </c>
      <c r="E4383" s="5" t="n">
        <v>1</v>
      </c>
      <c r="F4383" s="6" t="n">
        <f aca="false">IFERROR(MATCH(A4383&amp;"|"&amp;B4383&amp;"|"&amp;D4383,'All Song Rankings'!$T:$T,0),0)</f>
        <v>664</v>
      </c>
      <c r="G4383" s="6" t="str">
        <f aca="false">IF(F4383=0,"NOT FOUND",INDEX('All Song Rankings'!$A:$A,F4383))</f>
        <v>Do Ya Wanna Taste It</v>
      </c>
      <c r="H4383" s="6" t="str">
        <f aca="false">IF(F4383=0,"NOT FOUND",INDEX('All Song Rankings'!$B:$B,F4383))</f>
        <v>Wig Wam</v>
      </c>
      <c r="I4383" s="6" t="str">
        <f aca="false">IF(F4383=0,"NOT FOUND",INDEX('All Song Rankings'!$D:$D,F4383))</f>
        <v>Nicole</v>
      </c>
      <c r="J4383" s="7" t="str">
        <f aca="false">IF(F4383=0,"NOT FOUND",IF(C4383=I4383,"SELF-VOTE",IF(COUNTIF($K:$K,K4383)&gt;1,"DUPLICATE","OK")))</f>
        <v>OK</v>
      </c>
      <c r="K4383" s="6" t="str">
        <f aca="false">A4383&amp;"|"&amp;B4383&amp;"|"&amp;C4383&amp;"|"&amp;D4383</f>
        <v>6|8|Logan|spotify:track:5XW4BwCrfYpci5zMbJxs4N</v>
      </c>
    </row>
    <row r="4384" customFormat="false" ht="15" hidden="false" customHeight="false" outlineLevel="0" collapsed="false">
      <c r="A4384" s="5" t="n">
        <v>6</v>
      </c>
      <c r="B4384" s="5" t="n">
        <v>8</v>
      </c>
      <c r="C4384" s="5" t="s">
        <v>128</v>
      </c>
      <c r="D4384" s="5" t="s">
        <v>2012</v>
      </c>
      <c r="E4384" s="5" t="n">
        <v>1</v>
      </c>
      <c r="F4384" s="6" t="n">
        <f aca="false">IFERROR(MATCH(A4384&amp;"|"&amp;B4384&amp;"|"&amp;D4384,'All Song Rankings'!$T:$T,0),0)</f>
        <v>669</v>
      </c>
      <c r="G4384" s="6" t="str">
        <f aca="false">IF(F4384=0,"NOT FOUND",INDEX('All Song Rankings'!$A:$A,F4384))</f>
        <v>Heartbeat Song</v>
      </c>
      <c r="H4384" s="6" t="str">
        <f aca="false">IF(F4384=0,"NOT FOUND",INDEX('All Song Rankings'!$B:$B,F4384))</f>
        <v>Kelly Clarkson</v>
      </c>
      <c r="I4384" s="6" t="str">
        <f aca="false">IF(F4384=0,"NOT FOUND",INDEX('All Song Rankings'!$D:$D,F4384))</f>
        <v>Merita</v>
      </c>
      <c r="J4384" s="7" t="str">
        <f aca="false">IF(F4384=0,"NOT FOUND",IF(C4384=I4384,"SELF-VOTE",IF(COUNTIF($K:$K,K4384)&gt;1,"DUPLICATE","OK")))</f>
        <v>OK</v>
      </c>
      <c r="K4384" s="6" t="str">
        <f aca="false">A4384&amp;"|"&amp;B4384&amp;"|"&amp;C4384&amp;"|"&amp;D4384</f>
        <v>6|8|Logan|spotify:track:7FC9Lng8iXU081lbigu8m8</v>
      </c>
    </row>
    <row r="4385" customFormat="false" ht="15" hidden="false" customHeight="false" outlineLevel="0" collapsed="false">
      <c r="A4385" s="5" t="n">
        <v>6</v>
      </c>
      <c r="B4385" s="5" t="n">
        <v>8</v>
      </c>
      <c r="C4385" s="5" t="s">
        <v>395</v>
      </c>
      <c r="D4385" s="5" t="s">
        <v>1988</v>
      </c>
      <c r="E4385" s="5" t="n">
        <v>1</v>
      </c>
      <c r="F4385" s="6" t="n">
        <f aca="false">IFERROR(MATCH(A4385&amp;"|"&amp;B4385&amp;"|"&amp;D4385,'All Song Rankings'!$T:$T,0),0)</f>
        <v>660</v>
      </c>
      <c r="G4385" s="6" t="str">
        <f aca="false">IF(F4385=0,"NOT FOUND",INDEX('All Song Rankings'!$A:$A,F4385))</f>
        <v>Dancing Queen</v>
      </c>
      <c r="H4385" s="6" t="str">
        <f aca="false">IF(F4385=0,"NOT FOUND",INDEX('All Song Rankings'!$B:$B,F4385))</f>
        <v>ABBA</v>
      </c>
      <c r="I4385" s="6" t="str">
        <f aca="false">IF(F4385=0,"NOT FOUND",INDEX('All Song Rankings'!$D:$D,F4385))</f>
        <v>Lisa</v>
      </c>
      <c r="J4385" s="7" t="str">
        <f aca="false">IF(F4385=0,"NOT FOUND",IF(C4385=I4385,"SELF-VOTE",IF(COUNTIF($K:$K,K4385)&gt;1,"DUPLICATE","OK")))</f>
        <v>OK</v>
      </c>
      <c r="K4385" s="6" t="str">
        <f aca="false">A4385&amp;"|"&amp;B4385&amp;"|"&amp;C4385&amp;"|"&amp;D4385</f>
        <v>6|8|Makenzie|spotify:track:0GjEhVFGZW8afUYGChu3Rr</v>
      </c>
    </row>
    <row r="4386" customFormat="false" ht="15" hidden="false" customHeight="false" outlineLevel="0" collapsed="false">
      <c r="A4386" s="5" t="n">
        <v>6</v>
      </c>
      <c r="B4386" s="5" t="n">
        <v>8</v>
      </c>
      <c r="C4386" s="5" t="s">
        <v>395</v>
      </c>
      <c r="D4386" s="5" t="s">
        <v>1992</v>
      </c>
      <c r="E4386" s="5" t="n">
        <v>2</v>
      </c>
      <c r="F4386" s="6" t="n">
        <f aca="false">IFERROR(MATCH(A4386&amp;"|"&amp;B4386&amp;"|"&amp;D4386,'All Song Rankings'!$T:$T,0),0)</f>
        <v>662</v>
      </c>
      <c r="G4386" s="6" t="str">
        <f aca="false">IF(F4386=0,"NOT FOUND",INDEX('All Song Rankings'!$A:$A,F4386))</f>
        <v>TiK ToK</v>
      </c>
      <c r="H4386" s="6" t="str">
        <f aca="false">IF(F4386=0,"NOT FOUND",INDEX('All Song Rankings'!$B:$B,F4386))</f>
        <v>Kesha</v>
      </c>
      <c r="I4386" s="6" t="str">
        <f aca="false">IF(F4386=0,"NOT FOUND",INDEX('All Song Rankings'!$D:$D,F4386))</f>
        <v>Grace</v>
      </c>
      <c r="J4386" s="7" t="str">
        <f aca="false">IF(F4386=0,"NOT FOUND",IF(C4386=I4386,"SELF-VOTE",IF(COUNTIF($K:$K,K4386)&gt;1,"DUPLICATE","OK")))</f>
        <v>OK</v>
      </c>
      <c r="K4386" s="6" t="str">
        <f aca="false">A4386&amp;"|"&amp;B4386&amp;"|"&amp;C4386&amp;"|"&amp;D4386</f>
        <v>6|8|Makenzie|spotify:track:0HPD5WQqrq7wPWR7P7Dw1i</v>
      </c>
    </row>
    <row r="4387" customFormat="false" ht="15" hidden="false" customHeight="false" outlineLevel="0" collapsed="false">
      <c r="A4387" s="5" t="n">
        <v>6</v>
      </c>
      <c r="B4387" s="5" t="n">
        <v>8</v>
      </c>
      <c r="C4387" s="5" t="s">
        <v>395</v>
      </c>
      <c r="D4387" s="5" t="s">
        <v>2000</v>
      </c>
      <c r="E4387" s="5" t="n">
        <v>2</v>
      </c>
      <c r="F4387" s="6" t="n">
        <f aca="false">IFERROR(MATCH(A4387&amp;"|"&amp;B4387&amp;"|"&amp;D4387,'All Song Rankings'!$T:$T,0),0)</f>
        <v>665</v>
      </c>
      <c r="G4387" s="6" t="str">
        <f aca="false">IF(F4387=0,"NOT FOUND",INDEX('All Song Rankings'!$A:$A,F4387))</f>
        <v>POWER</v>
      </c>
      <c r="H4387" s="6" t="str">
        <f aca="false">IF(F4387=0,"NOT FOUND",INDEX('All Song Rankings'!$B:$B,F4387))</f>
        <v>Kanye West</v>
      </c>
      <c r="I4387" s="6" t="str">
        <f aca="false">IF(F4387=0,"NOT FOUND",INDEX('All Song Rankings'!$D:$D,F4387))</f>
        <v>Matt</v>
      </c>
      <c r="J4387" s="7" t="str">
        <f aca="false">IF(F4387=0,"NOT FOUND",IF(C4387=I4387,"SELF-VOTE",IF(COUNTIF($K:$K,K4387)&gt;1,"DUPLICATE","OK")))</f>
        <v>OK</v>
      </c>
      <c r="K4387" s="6" t="str">
        <f aca="false">A4387&amp;"|"&amp;B4387&amp;"|"&amp;C4387&amp;"|"&amp;D4387</f>
        <v>6|8|Makenzie|spotify:track:2gZUPNdnz5Y45eiGxpHGSc</v>
      </c>
    </row>
    <row r="4388" customFormat="false" ht="15" hidden="false" customHeight="false" outlineLevel="0" collapsed="false">
      <c r="A4388" s="5" t="n">
        <v>6</v>
      </c>
      <c r="B4388" s="5" t="n">
        <v>8</v>
      </c>
      <c r="C4388" s="5" t="s">
        <v>395</v>
      </c>
      <c r="D4388" s="5" t="s">
        <v>1977</v>
      </c>
      <c r="E4388" s="5" t="n">
        <v>1</v>
      </c>
      <c r="F4388" s="6" t="n">
        <f aca="false">IFERROR(MATCH(A4388&amp;"|"&amp;B4388&amp;"|"&amp;D4388,'All Song Rankings'!$T:$T,0),0)</f>
        <v>656</v>
      </c>
      <c r="G4388" s="6" t="str">
        <f aca="false">IF(F4388=0,"NOT FOUND",INDEX('All Song Rankings'!$A:$A,F4388))</f>
        <v>GO</v>
      </c>
      <c r="H4388" s="6" t="str">
        <f aca="false">IF(F4388=0,"NOT FOUND",INDEX('All Song Rankings'!$B:$B,F4388))</f>
        <v>BLACKPINK</v>
      </c>
      <c r="I4388" s="6" t="str">
        <f aca="false">IF(F4388=0,"NOT FOUND",INDEX('All Song Rankings'!$D:$D,F4388))</f>
        <v>Stephanie</v>
      </c>
      <c r="J4388" s="7" t="str">
        <f aca="false">IF(F4388=0,"NOT FOUND",IF(C4388=I4388,"SELF-VOTE",IF(COUNTIF($K:$K,K4388)&gt;1,"DUPLICATE","OK")))</f>
        <v>OK</v>
      </c>
      <c r="K4388" s="6" t="str">
        <f aca="false">A4388&amp;"|"&amp;B4388&amp;"|"&amp;C4388&amp;"|"&amp;D4388</f>
        <v>6|8|Makenzie|spotify:track:3FZPp9lBUvhsxFxKJi3VkB</v>
      </c>
    </row>
    <row r="4389" customFormat="false" ht="15" hidden="false" customHeight="false" outlineLevel="0" collapsed="false">
      <c r="A4389" s="5" t="n">
        <v>6</v>
      </c>
      <c r="B4389" s="5" t="n">
        <v>8</v>
      </c>
      <c r="C4389" s="5" t="s">
        <v>395</v>
      </c>
      <c r="D4389" s="5" t="s">
        <v>1974</v>
      </c>
      <c r="E4389" s="5" t="n">
        <v>2</v>
      </c>
      <c r="F4389" s="6" t="n">
        <f aca="false">IFERROR(MATCH(A4389&amp;"|"&amp;B4389&amp;"|"&amp;D4389,'All Song Rankings'!$T:$T,0),0)</f>
        <v>655</v>
      </c>
      <c r="G4389" s="6" t="str">
        <f aca="false">IF(F4389=0,"NOT FOUND",INDEX('All Song Rankings'!$A:$A,F4389))</f>
        <v>Get Ready For This</v>
      </c>
      <c r="H4389" s="6" t="str">
        <f aca="false">IF(F4389=0,"NOT FOUND",INDEX('All Song Rankings'!$B:$B,F4389))</f>
        <v>2 Unlimited</v>
      </c>
      <c r="I4389" s="6" t="str">
        <f aca="false">IF(F4389=0,"NOT FOUND",INDEX('All Song Rankings'!$D:$D,F4389))</f>
        <v>Leah</v>
      </c>
      <c r="J4389" s="7" t="str">
        <f aca="false">IF(F4389=0,"NOT FOUND",IF(C4389=I4389,"SELF-VOTE",IF(COUNTIF($K:$K,K4389)&gt;1,"DUPLICATE","OK")))</f>
        <v>OK</v>
      </c>
      <c r="K4389" s="6" t="str">
        <f aca="false">A4389&amp;"|"&amp;B4389&amp;"|"&amp;C4389&amp;"|"&amp;D4389</f>
        <v>6|8|Makenzie|spotify:track:45Q5IYHJbBdmvlcnwVpXw5</v>
      </c>
    </row>
    <row r="4390" customFormat="false" ht="15" hidden="false" customHeight="false" outlineLevel="0" collapsed="false">
      <c r="A4390" s="5" t="n">
        <v>6</v>
      </c>
      <c r="B4390" s="5" t="n">
        <v>8</v>
      </c>
      <c r="C4390" s="5" t="s">
        <v>395</v>
      </c>
      <c r="D4390" s="5" t="s">
        <v>1986</v>
      </c>
      <c r="E4390" s="5" t="n">
        <v>2</v>
      </c>
      <c r="F4390" s="6" t="n">
        <f aca="false">IFERROR(MATCH(A4390&amp;"|"&amp;B4390&amp;"|"&amp;D4390,'All Song Rankings'!$T:$T,0),0)</f>
        <v>659</v>
      </c>
      <c r="G4390" s="6" t="str">
        <f aca="false">IF(F4390=0,"NOT FOUND",INDEX('All Song Rankings'!$A:$A,F4390))</f>
        <v>Space Jam</v>
      </c>
      <c r="H4390" s="6" t="str">
        <f aca="false">IF(F4390=0,"NOT FOUND",INDEX('All Song Rankings'!$B:$B,F4390))</f>
        <v>Quad City DJ's</v>
      </c>
      <c r="I4390" s="6" t="str">
        <f aca="false">IF(F4390=0,"NOT FOUND",INDEX('All Song Rankings'!$D:$D,F4390))</f>
        <v>Colleen</v>
      </c>
      <c r="J4390" s="7" t="str">
        <f aca="false">IF(F4390=0,"NOT FOUND",IF(C4390=I4390,"SELF-VOTE",IF(COUNTIF($K:$K,K4390)&gt;1,"DUPLICATE","OK")))</f>
        <v>OK</v>
      </c>
      <c r="K4390" s="6" t="str">
        <f aca="false">A4390&amp;"|"&amp;B4390&amp;"|"&amp;C4390&amp;"|"&amp;D4390</f>
        <v>6|8|Makenzie|spotify:track:683hRieVmYdAhVA1DkjSAk</v>
      </c>
    </row>
    <row r="4391" customFormat="false" ht="15" hidden="false" customHeight="false" outlineLevel="0" collapsed="false">
      <c r="A4391" s="5" t="n">
        <v>6</v>
      </c>
      <c r="B4391" s="5" t="n">
        <v>8</v>
      </c>
      <c r="C4391" s="5" t="s">
        <v>116</v>
      </c>
      <c r="D4391" s="5" t="s">
        <v>1168</v>
      </c>
      <c r="E4391" s="5" t="n">
        <v>1</v>
      </c>
      <c r="F4391" s="6" t="n">
        <f aca="false">IFERROR(MATCH(A4391&amp;"|"&amp;B4391&amp;"|"&amp;D4391,'All Song Rankings'!$T:$T,0),0)</f>
        <v>670</v>
      </c>
      <c r="G4391" s="6" t="str">
        <f aca="false">IF(F4391=0,"NOT FOUND",INDEX('All Song Rankings'!$A:$A,F4391))</f>
        <v>Mr. Brightside</v>
      </c>
      <c r="H4391" s="6" t="str">
        <f aca="false">IF(F4391=0,"NOT FOUND",INDEX('All Song Rankings'!$B:$B,F4391))</f>
        <v>The Killers</v>
      </c>
      <c r="I4391" s="6" t="str">
        <f aca="false">IF(F4391=0,"NOT FOUND",INDEX('All Song Rankings'!$D:$D,F4391))</f>
        <v>Aubrey</v>
      </c>
      <c r="J4391" s="7" t="str">
        <f aca="false">IF(F4391=0,"NOT FOUND",IF(C4391=I4391,"SELF-VOTE",IF(COUNTIF($K:$K,K4391)&gt;1,"DUPLICATE","OK")))</f>
        <v>OK</v>
      </c>
      <c r="K4391" s="6" t="str">
        <f aca="false">A4391&amp;"|"&amp;B4391&amp;"|"&amp;C4391&amp;"|"&amp;D4391</f>
        <v>6|8|Matt|spotify:track:003vvx7Niy0yvhvHt4a68B</v>
      </c>
    </row>
    <row r="4392" customFormat="false" ht="15" hidden="false" customHeight="false" outlineLevel="0" collapsed="false">
      <c r="A4392" s="5" t="n">
        <v>6</v>
      </c>
      <c r="B4392" s="5" t="n">
        <v>8</v>
      </c>
      <c r="C4392" s="5" t="s">
        <v>116</v>
      </c>
      <c r="D4392" s="5" t="s">
        <v>1980</v>
      </c>
      <c r="E4392" s="5" t="n">
        <v>2</v>
      </c>
      <c r="F4392" s="6" t="n">
        <f aca="false">IFERROR(MATCH(A4392&amp;"|"&amp;B4392&amp;"|"&amp;D4392,'All Song Rankings'!$T:$T,0),0)</f>
        <v>657</v>
      </c>
      <c r="G4392" s="6" t="str">
        <f aca="false">IF(F4392=0,"NOT FOUND",INDEX('All Song Rankings'!$A:$A,F4392))</f>
        <v>Welcome To The Jungle</v>
      </c>
      <c r="H4392" s="6" t="str">
        <f aca="false">IF(F4392=0,"NOT FOUND",INDEX('All Song Rankings'!$B:$B,F4392))</f>
        <v>Guns N' Roses</v>
      </c>
      <c r="I4392" s="6" t="str">
        <f aca="false">IF(F4392=0,"NOT FOUND",INDEX('All Song Rankings'!$D:$D,F4392))</f>
        <v>Josh</v>
      </c>
      <c r="J4392" s="7" t="str">
        <f aca="false">IF(F4392=0,"NOT FOUND",IF(C4392=I4392,"SELF-VOTE",IF(COUNTIF($K:$K,K4392)&gt;1,"DUPLICATE","OK")))</f>
        <v>OK</v>
      </c>
      <c r="K4392" s="6" t="str">
        <f aca="false">A4392&amp;"|"&amp;B4392&amp;"|"&amp;C4392&amp;"|"&amp;D4392</f>
        <v>6|8|Matt|spotify:track:0G21yYKMZoHa30cYVi1iA8</v>
      </c>
    </row>
    <row r="4393" customFormat="false" ht="15" hidden="false" customHeight="false" outlineLevel="0" collapsed="false">
      <c r="A4393" s="5" t="n">
        <v>6</v>
      </c>
      <c r="B4393" s="5" t="n">
        <v>8</v>
      </c>
      <c r="C4393" s="5" t="s">
        <v>116</v>
      </c>
      <c r="D4393" s="5" t="s">
        <v>1988</v>
      </c>
      <c r="E4393" s="5" t="n">
        <v>2</v>
      </c>
      <c r="F4393" s="6" t="n">
        <f aca="false">IFERROR(MATCH(A4393&amp;"|"&amp;B4393&amp;"|"&amp;D4393,'All Song Rankings'!$T:$T,0),0)</f>
        <v>660</v>
      </c>
      <c r="G4393" s="6" t="str">
        <f aca="false">IF(F4393=0,"NOT FOUND",INDEX('All Song Rankings'!$A:$A,F4393))</f>
        <v>Dancing Queen</v>
      </c>
      <c r="H4393" s="6" t="str">
        <f aca="false">IF(F4393=0,"NOT FOUND",INDEX('All Song Rankings'!$B:$B,F4393))</f>
        <v>ABBA</v>
      </c>
      <c r="I4393" s="6" t="str">
        <f aca="false">IF(F4393=0,"NOT FOUND",INDEX('All Song Rankings'!$D:$D,F4393))</f>
        <v>Lisa</v>
      </c>
      <c r="J4393" s="7" t="str">
        <f aca="false">IF(F4393=0,"NOT FOUND",IF(C4393=I4393,"SELF-VOTE",IF(COUNTIF($K:$K,K4393)&gt;1,"DUPLICATE","OK")))</f>
        <v>OK</v>
      </c>
      <c r="K4393" s="6" t="str">
        <f aca="false">A4393&amp;"|"&amp;B4393&amp;"|"&amp;C4393&amp;"|"&amp;D4393</f>
        <v>6|8|Matt|spotify:track:0GjEhVFGZW8afUYGChu3Rr</v>
      </c>
    </row>
    <row r="4394" customFormat="false" ht="15" hidden="false" customHeight="false" outlineLevel="0" collapsed="false">
      <c r="A4394" s="5" t="n">
        <v>6</v>
      </c>
      <c r="B4394" s="5" t="n">
        <v>8</v>
      </c>
      <c r="C4394" s="5" t="s">
        <v>116</v>
      </c>
      <c r="D4394" s="5" t="s">
        <v>2003</v>
      </c>
      <c r="E4394" s="5" t="n">
        <v>1</v>
      </c>
      <c r="F4394" s="6" t="n">
        <f aca="false">IFERROR(MATCH(A4394&amp;"|"&amp;B4394&amp;"|"&amp;D4394,'All Song Rankings'!$T:$T,0),0)</f>
        <v>666</v>
      </c>
      <c r="G4394" s="6" t="str">
        <f aca="false">IF(F4394=0,"NOT FOUND",INDEX('All Song Rankings'!$A:$A,F4394))</f>
        <v>Throne</v>
      </c>
      <c r="H4394" s="6" t="str">
        <f aca="false">IF(F4394=0,"NOT FOUND",INDEX('All Song Rankings'!$B:$B,F4394))</f>
        <v>Bring Me The Horizon</v>
      </c>
      <c r="I4394" s="6" t="str">
        <f aca="false">IF(F4394=0,"NOT FOUND",INDEX('All Song Rankings'!$D:$D,F4394))</f>
        <v>Christine</v>
      </c>
      <c r="J4394" s="7" t="str">
        <f aca="false">IF(F4394=0,"NOT FOUND",IF(C4394=I4394,"SELF-VOTE",IF(COUNTIF($K:$K,K4394)&gt;1,"DUPLICATE","OK")))</f>
        <v>OK</v>
      </c>
      <c r="K4394" s="6" t="str">
        <f aca="false">A4394&amp;"|"&amp;B4394&amp;"|"&amp;C4394&amp;"|"&amp;D4394</f>
        <v>6|8|Matt|spotify:track:0M3adYbGtyRHACP86dey1H</v>
      </c>
    </row>
    <row r="4395" customFormat="false" ht="15" hidden="false" customHeight="false" outlineLevel="0" collapsed="false">
      <c r="A4395" s="5" t="n">
        <v>6</v>
      </c>
      <c r="B4395" s="5" t="n">
        <v>8</v>
      </c>
      <c r="C4395" s="5" t="s">
        <v>116</v>
      </c>
      <c r="D4395" s="5" t="s">
        <v>1977</v>
      </c>
      <c r="E4395" s="5" t="n">
        <v>1</v>
      </c>
      <c r="F4395" s="6" t="n">
        <f aca="false">IFERROR(MATCH(A4395&amp;"|"&amp;B4395&amp;"|"&amp;D4395,'All Song Rankings'!$T:$T,0),0)</f>
        <v>656</v>
      </c>
      <c r="G4395" s="6" t="str">
        <f aca="false">IF(F4395=0,"NOT FOUND",INDEX('All Song Rankings'!$A:$A,F4395))</f>
        <v>GO</v>
      </c>
      <c r="H4395" s="6" t="str">
        <f aca="false">IF(F4395=0,"NOT FOUND",INDEX('All Song Rankings'!$B:$B,F4395))</f>
        <v>BLACKPINK</v>
      </c>
      <c r="I4395" s="6" t="str">
        <f aca="false">IF(F4395=0,"NOT FOUND",INDEX('All Song Rankings'!$D:$D,F4395))</f>
        <v>Stephanie</v>
      </c>
      <c r="J4395" s="7" t="str">
        <f aca="false">IF(F4395=0,"NOT FOUND",IF(C4395=I4395,"SELF-VOTE",IF(COUNTIF($K:$K,K4395)&gt;1,"DUPLICATE","OK")))</f>
        <v>OK</v>
      </c>
      <c r="K4395" s="6" t="str">
        <f aca="false">A4395&amp;"|"&amp;B4395&amp;"|"&amp;C4395&amp;"|"&amp;D4395</f>
        <v>6|8|Matt|spotify:track:3FZPp9lBUvhsxFxKJi3VkB</v>
      </c>
    </row>
    <row r="4396" customFormat="false" ht="15" hidden="false" customHeight="false" outlineLevel="0" collapsed="false">
      <c r="A4396" s="5" t="n">
        <v>6</v>
      </c>
      <c r="B4396" s="5" t="n">
        <v>8</v>
      </c>
      <c r="C4396" s="5" t="s">
        <v>116</v>
      </c>
      <c r="D4396" s="5" t="s">
        <v>1974</v>
      </c>
      <c r="E4396" s="5" t="n">
        <v>1</v>
      </c>
      <c r="F4396" s="6" t="n">
        <f aca="false">IFERROR(MATCH(A4396&amp;"|"&amp;B4396&amp;"|"&amp;D4396,'All Song Rankings'!$T:$T,0),0)</f>
        <v>655</v>
      </c>
      <c r="G4396" s="6" t="str">
        <f aca="false">IF(F4396=0,"NOT FOUND",INDEX('All Song Rankings'!$A:$A,F4396))</f>
        <v>Get Ready For This</v>
      </c>
      <c r="H4396" s="6" t="str">
        <f aca="false">IF(F4396=0,"NOT FOUND",INDEX('All Song Rankings'!$B:$B,F4396))</f>
        <v>2 Unlimited</v>
      </c>
      <c r="I4396" s="6" t="str">
        <f aca="false">IF(F4396=0,"NOT FOUND",INDEX('All Song Rankings'!$D:$D,F4396))</f>
        <v>Leah</v>
      </c>
      <c r="J4396" s="7" t="str">
        <f aca="false">IF(F4396=0,"NOT FOUND",IF(C4396=I4396,"SELF-VOTE",IF(COUNTIF($K:$K,K4396)&gt;1,"DUPLICATE","OK")))</f>
        <v>OK</v>
      </c>
      <c r="K4396" s="6" t="str">
        <f aca="false">A4396&amp;"|"&amp;B4396&amp;"|"&amp;C4396&amp;"|"&amp;D4396</f>
        <v>6|8|Matt|spotify:track:45Q5IYHJbBdmvlcnwVpXw5</v>
      </c>
    </row>
    <row r="4397" customFormat="false" ht="15" hidden="false" customHeight="false" outlineLevel="0" collapsed="false">
      <c r="A4397" s="5" t="n">
        <v>6</v>
      </c>
      <c r="B4397" s="5" t="n">
        <v>8</v>
      </c>
      <c r="C4397" s="5" t="s">
        <v>116</v>
      </c>
      <c r="D4397" s="5" t="s">
        <v>1986</v>
      </c>
      <c r="E4397" s="5" t="n">
        <v>1</v>
      </c>
      <c r="F4397" s="6" t="n">
        <f aca="false">IFERROR(MATCH(A4397&amp;"|"&amp;B4397&amp;"|"&amp;D4397,'All Song Rankings'!$T:$T,0),0)</f>
        <v>659</v>
      </c>
      <c r="G4397" s="6" t="str">
        <f aca="false">IF(F4397=0,"NOT FOUND",INDEX('All Song Rankings'!$A:$A,F4397))</f>
        <v>Space Jam</v>
      </c>
      <c r="H4397" s="6" t="str">
        <f aca="false">IF(F4397=0,"NOT FOUND",INDEX('All Song Rankings'!$B:$B,F4397))</f>
        <v>Quad City DJ's</v>
      </c>
      <c r="I4397" s="6" t="str">
        <f aca="false">IF(F4397=0,"NOT FOUND",INDEX('All Song Rankings'!$D:$D,F4397))</f>
        <v>Colleen</v>
      </c>
      <c r="J4397" s="7" t="str">
        <f aca="false">IF(F4397=0,"NOT FOUND",IF(C4397=I4397,"SELF-VOTE",IF(COUNTIF($K:$K,K4397)&gt;1,"DUPLICATE","OK")))</f>
        <v>OK</v>
      </c>
      <c r="K4397" s="6" t="str">
        <f aca="false">A4397&amp;"|"&amp;B4397&amp;"|"&amp;C4397&amp;"|"&amp;D4397</f>
        <v>6|8|Matt|spotify:track:683hRieVmYdAhVA1DkjSAk</v>
      </c>
    </row>
    <row r="4398" customFormat="false" ht="15" hidden="false" customHeight="false" outlineLevel="0" collapsed="false">
      <c r="A4398" s="5" t="n">
        <v>6</v>
      </c>
      <c r="B4398" s="5" t="n">
        <v>8</v>
      </c>
      <c r="C4398" s="5" t="s">
        <v>116</v>
      </c>
      <c r="D4398" s="5" t="s">
        <v>2006</v>
      </c>
      <c r="E4398" s="5" t="n">
        <v>1</v>
      </c>
      <c r="F4398" s="6" t="n">
        <f aca="false">IFERROR(MATCH(A4398&amp;"|"&amp;B4398&amp;"|"&amp;D4398,'All Song Rankings'!$T:$T,0),0)</f>
        <v>667</v>
      </c>
      <c r="G4398" s="6" t="str">
        <f aca="false">IF(F4398=0,"NOT FOUND",INDEX('All Song Rankings'!$A:$A,F4398))</f>
        <v>Jump Around</v>
      </c>
      <c r="H4398" s="6" t="str">
        <f aca="false">IF(F4398=0,"NOT FOUND",INDEX('All Song Rankings'!$B:$B,F4398))</f>
        <v>House Of Pain</v>
      </c>
      <c r="I4398" s="6" t="str">
        <f aca="false">IF(F4398=0,"NOT FOUND",INDEX('All Song Rankings'!$D:$D,F4398))</f>
        <v>Kristen</v>
      </c>
      <c r="J4398" s="7" t="str">
        <f aca="false">IF(F4398=0,"NOT FOUND",IF(C4398=I4398,"SELF-VOTE",IF(COUNTIF($K:$K,K4398)&gt;1,"DUPLICATE","OK")))</f>
        <v>OK</v>
      </c>
      <c r="K4398" s="6" t="str">
        <f aca="false">A4398&amp;"|"&amp;B4398&amp;"|"&amp;C4398&amp;"|"&amp;D4398</f>
        <v>6|8|Matt|spotify:track:6JymsaWDHk2Yj4e0yNBIFH</v>
      </c>
    </row>
    <row r="4399" customFormat="false" ht="15" hidden="false" customHeight="false" outlineLevel="0" collapsed="false">
      <c r="A4399" s="5" t="n">
        <v>6</v>
      </c>
      <c r="B4399" s="5" t="n">
        <v>8</v>
      </c>
      <c r="C4399" s="5" t="s">
        <v>101</v>
      </c>
      <c r="D4399" s="5" t="s">
        <v>1980</v>
      </c>
      <c r="E4399" s="5" t="n">
        <v>2</v>
      </c>
      <c r="F4399" s="6" t="n">
        <f aca="false">IFERROR(MATCH(A4399&amp;"|"&amp;B4399&amp;"|"&amp;D4399,'All Song Rankings'!$T:$T,0),0)</f>
        <v>657</v>
      </c>
      <c r="G4399" s="6" t="str">
        <f aca="false">IF(F4399=0,"NOT FOUND",INDEX('All Song Rankings'!$A:$A,F4399))</f>
        <v>Welcome To The Jungle</v>
      </c>
      <c r="H4399" s="6" t="str">
        <f aca="false">IF(F4399=0,"NOT FOUND",INDEX('All Song Rankings'!$B:$B,F4399))</f>
        <v>Guns N' Roses</v>
      </c>
      <c r="I4399" s="6" t="str">
        <f aca="false">IF(F4399=0,"NOT FOUND",INDEX('All Song Rankings'!$D:$D,F4399))</f>
        <v>Josh</v>
      </c>
      <c r="J4399" s="7" t="str">
        <f aca="false">IF(F4399=0,"NOT FOUND",IF(C4399=I4399,"SELF-VOTE",IF(COUNTIF($K:$K,K4399)&gt;1,"DUPLICATE","OK")))</f>
        <v>OK</v>
      </c>
      <c r="K4399" s="6" t="str">
        <f aca="false">A4399&amp;"|"&amp;B4399&amp;"|"&amp;C4399&amp;"|"&amp;D4399</f>
        <v>6|8|Merita|spotify:track:0G21yYKMZoHa30cYVi1iA8</v>
      </c>
    </row>
    <row r="4400" customFormat="false" ht="15" hidden="false" customHeight="false" outlineLevel="0" collapsed="false">
      <c r="A4400" s="5" t="n">
        <v>6</v>
      </c>
      <c r="B4400" s="5" t="n">
        <v>8</v>
      </c>
      <c r="C4400" s="5" t="s">
        <v>101</v>
      </c>
      <c r="D4400" s="5" t="s">
        <v>1988</v>
      </c>
      <c r="E4400" s="5" t="n">
        <v>1</v>
      </c>
      <c r="F4400" s="6" t="n">
        <f aca="false">IFERROR(MATCH(A4400&amp;"|"&amp;B4400&amp;"|"&amp;D4400,'All Song Rankings'!$T:$T,0),0)</f>
        <v>660</v>
      </c>
      <c r="G4400" s="6" t="str">
        <f aca="false">IF(F4400=0,"NOT FOUND",INDEX('All Song Rankings'!$A:$A,F4400))</f>
        <v>Dancing Queen</v>
      </c>
      <c r="H4400" s="6" t="str">
        <f aca="false">IF(F4400=0,"NOT FOUND",INDEX('All Song Rankings'!$B:$B,F4400))</f>
        <v>ABBA</v>
      </c>
      <c r="I4400" s="6" t="str">
        <f aca="false">IF(F4400=0,"NOT FOUND",INDEX('All Song Rankings'!$D:$D,F4400))</f>
        <v>Lisa</v>
      </c>
      <c r="J4400" s="7" t="str">
        <f aca="false">IF(F4400=0,"NOT FOUND",IF(C4400=I4400,"SELF-VOTE",IF(COUNTIF($K:$K,K4400)&gt;1,"DUPLICATE","OK")))</f>
        <v>OK</v>
      </c>
      <c r="K4400" s="6" t="str">
        <f aca="false">A4400&amp;"|"&amp;B4400&amp;"|"&amp;C4400&amp;"|"&amp;D4400</f>
        <v>6|8|Merita|spotify:track:0GjEhVFGZW8afUYGChu3Rr</v>
      </c>
    </row>
    <row r="4401" customFormat="false" ht="15" hidden="false" customHeight="false" outlineLevel="0" collapsed="false">
      <c r="A4401" s="5" t="n">
        <v>6</v>
      </c>
      <c r="B4401" s="5" t="n">
        <v>8</v>
      </c>
      <c r="C4401" s="5" t="s">
        <v>101</v>
      </c>
      <c r="D4401" s="5" t="s">
        <v>1992</v>
      </c>
      <c r="E4401" s="5" t="n">
        <v>2</v>
      </c>
      <c r="F4401" s="6" t="n">
        <f aca="false">IFERROR(MATCH(A4401&amp;"|"&amp;B4401&amp;"|"&amp;D4401,'All Song Rankings'!$T:$T,0),0)</f>
        <v>662</v>
      </c>
      <c r="G4401" s="6" t="str">
        <f aca="false">IF(F4401=0,"NOT FOUND",INDEX('All Song Rankings'!$A:$A,F4401))</f>
        <v>TiK ToK</v>
      </c>
      <c r="H4401" s="6" t="str">
        <f aca="false">IF(F4401=0,"NOT FOUND",INDEX('All Song Rankings'!$B:$B,F4401))</f>
        <v>Kesha</v>
      </c>
      <c r="I4401" s="6" t="str">
        <f aca="false">IF(F4401=0,"NOT FOUND",INDEX('All Song Rankings'!$D:$D,F4401))</f>
        <v>Grace</v>
      </c>
      <c r="J4401" s="7" t="str">
        <f aca="false">IF(F4401=0,"NOT FOUND",IF(C4401=I4401,"SELF-VOTE",IF(COUNTIF($K:$K,K4401)&gt;1,"DUPLICATE","OK")))</f>
        <v>OK</v>
      </c>
      <c r="K4401" s="6" t="str">
        <f aca="false">A4401&amp;"|"&amp;B4401&amp;"|"&amp;C4401&amp;"|"&amp;D4401</f>
        <v>6|8|Merita|spotify:track:0HPD5WQqrq7wPWR7P7Dw1i</v>
      </c>
    </row>
    <row r="4402" customFormat="false" ht="15" hidden="false" customHeight="false" outlineLevel="0" collapsed="false">
      <c r="A4402" s="5" t="n">
        <v>6</v>
      </c>
      <c r="B4402" s="5" t="n">
        <v>8</v>
      </c>
      <c r="C4402" s="5" t="s">
        <v>101</v>
      </c>
      <c r="D4402" s="5" t="s">
        <v>2000</v>
      </c>
      <c r="E4402" s="5" t="n">
        <v>1</v>
      </c>
      <c r="F4402" s="6" t="n">
        <f aca="false">IFERROR(MATCH(A4402&amp;"|"&amp;B4402&amp;"|"&amp;D4402,'All Song Rankings'!$T:$T,0),0)</f>
        <v>665</v>
      </c>
      <c r="G4402" s="6" t="str">
        <f aca="false">IF(F4402=0,"NOT FOUND",INDEX('All Song Rankings'!$A:$A,F4402))</f>
        <v>POWER</v>
      </c>
      <c r="H4402" s="6" t="str">
        <f aca="false">IF(F4402=0,"NOT FOUND",INDEX('All Song Rankings'!$B:$B,F4402))</f>
        <v>Kanye West</v>
      </c>
      <c r="I4402" s="6" t="str">
        <f aca="false">IF(F4402=0,"NOT FOUND",INDEX('All Song Rankings'!$D:$D,F4402))</f>
        <v>Matt</v>
      </c>
      <c r="J4402" s="7" t="str">
        <f aca="false">IF(F4402=0,"NOT FOUND",IF(C4402=I4402,"SELF-VOTE",IF(COUNTIF($K:$K,K4402)&gt;1,"DUPLICATE","OK")))</f>
        <v>OK</v>
      </c>
      <c r="K4402" s="6" t="str">
        <f aca="false">A4402&amp;"|"&amp;B4402&amp;"|"&amp;C4402&amp;"|"&amp;D4402</f>
        <v>6|8|Merita|spotify:track:2gZUPNdnz5Y45eiGxpHGSc</v>
      </c>
    </row>
    <row r="4403" customFormat="false" ht="15" hidden="false" customHeight="false" outlineLevel="0" collapsed="false">
      <c r="A4403" s="5" t="n">
        <v>6</v>
      </c>
      <c r="B4403" s="5" t="n">
        <v>8</v>
      </c>
      <c r="C4403" s="5" t="s">
        <v>101</v>
      </c>
      <c r="D4403" s="5" t="s">
        <v>1977</v>
      </c>
      <c r="E4403" s="5" t="n">
        <v>1</v>
      </c>
      <c r="F4403" s="6" t="n">
        <f aca="false">IFERROR(MATCH(A4403&amp;"|"&amp;B4403&amp;"|"&amp;D4403,'All Song Rankings'!$T:$T,0),0)</f>
        <v>656</v>
      </c>
      <c r="G4403" s="6" t="str">
        <f aca="false">IF(F4403=0,"NOT FOUND",INDEX('All Song Rankings'!$A:$A,F4403))</f>
        <v>GO</v>
      </c>
      <c r="H4403" s="6" t="str">
        <f aca="false">IF(F4403=0,"NOT FOUND",INDEX('All Song Rankings'!$B:$B,F4403))</f>
        <v>BLACKPINK</v>
      </c>
      <c r="I4403" s="6" t="str">
        <f aca="false">IF(F4403=0,"NOT FOUND",INDEX('All Song Rankings'!$D:$D,F4403))</f>
        <v>Stephanie</v>
      </c>
      <c r="J4403" s="7" t="str">
        <f aca="false">IF(F4403=0,"NOT FOUND",IF(C4403=I4403,"SELF-VOTE",IF(COUNTIF($K:$K,K4403)&gt;1,"DUPLICATE","OK")))</f>
        <v>OK</v>
      </c>
      <c r="K4403" s="6" t="str">
        <f aca="false">A4403&amp;"|"&amp;B4403&amp;"|"&amp;C4403&amp;"|"&amp;D4403</f>
        <v>6|8|Merita|spotify:track:3FZPp9lBUvhsxFxKJi3VkB</v>
      </c>
    </row>
    <row r="4404" customFormat="false" ht="15" hidden="false" customHeight="false" outlineLevel="0" collapsed="false">
      <c r="A4404" s="5" t="n">
        <v>6</v>
      </c>
      <c r="B4404" s="5" t="n">
        <v>8</v>
      </c>
      <c r="C4404" s="5" t="s">
        <v>101</v>
      </c>
      <c r="D4404" s="5" t="s">
        <v>1986</v>
      </c>
      <c r="E4404" s="5" t="n">
        <v>1</v>
      </c>
      <c r="F4404" s="6" t="n">
        <f aca="false">IFERROR(MATCH(A4404&amp;"|"&amp;B4404&amp;"|"&amp;D4404,'All Song Rankings'!$T:$T,0),0)</f>
        <v>659</v>
      </c>
      <c r="G4404" s="6" t="str">
        <f aca="false">IF(F4404=0,"NOT FOUND",INDEX('All Song Rankings'!$A:$A,F4404))</f>
        <v>Space Jam</v>
      </c>
      <c r="H4404" s="6" t="str">
        <f aca="false">IF(F4404=0,"NOT FOUND",INDEX('All Song Rankings'!$B:$B,F4404))</f>
        <v>Quad City DJ's</v>
      </c>
      <c r="I4404" s="6" t="str">
        <f aca="false">IF(F4404=0,"NOT FOUND",INDEX('All Song Rankings'!$D:$D,F4404))</f>
        <v>Colleen</v>
      </c>
      <c r="J4404" s="7" t="str">
        <f aca="false">IF(F4404=0,"NOT FOUND",IF(C4404=I4404,"SELF-VOTE",IF(COUNTIF($K:$K,K4404)&gt;1,"DUPLICATE","OK")))</f>
        <v>OK</v>
      </c>
      <c r="K4404" s="6" t="str">
        <f aca="false">A4404&amp;"|"&amp;B4404&amp;"|"&amp;C4404&amp;"|"&amp;D4404</f>
        <v>6|8|Merita|spotify:track:683hRieVmYdAhVA1DkjSAk</v>
      </c>
    </row>
    <row r="4405" customFormat="false" ht="15" hidden="false" customHeight="false" outlineLevel="0" collapsed="false">
      <c r="A4405" s="5" t="n">
        <v>6</v>
      </c>
      <c r="B4405" s="5" t="n">
        <v>8</v>
      </c>
      <c r="C4405" s="5" t="s">
        <v>101</v>
      </c>
      <c r="D4405" s="5" t="s">
        <v>1990</v>
      </c>
      <c r="E4405" s="5" t="n">
        <v>2</v>
      </c>
      <c r="F4405" s="6" t="n">
        <f aca="false">IFERROR(MATCH(A4405&amp;"|"&amp;B4405&amp;"|"&amp;D4405,'All Song Rankings'!$T:$T,0),0)</f>
        <v>661</v>
      </c>
      <c r="G4405" s="6" t="str">
        <f aca="false">IF(F4405=0,"NOT FOUND",INDEX('All Song Rankings'!$A:$A,F4405))</f>
        <v>GIRLS</v>
      </c>
      <c r="H4405" s="6" t="str">
        <f aca="false">IF(F4405=0,"NOT FOUND",INDEX('All Song Rankings'!$B:$B,F4405))</f>
        <v>The Kid LAROI</v>
      </c>
      <c r="I4405" s="6" t="str">
        <f aca="false">IF(F4405=0,"NOT FOUND",INDEX('All Song Rankings'!$D:$D,F4405))</f>
        <v>Makenzie</v>
      </c>
      <c r="J4405" s="7" t="str">
        <f aca="false">IF(F4405=0,"NOT FOUND",IF(C4405=I4405,"SELF-VOTE",IF(COUNTIF($K:$K,K4405)&gt;1,"DUPLICATE","OK")))</f>
        <v>OK</v>
      </c>
      <c r="K4405" s="6" t="str">
        <f aca="false">A4405&amp;"|"&amp;B4405&amp;"|"&amp;C4405&amp;"|"&amp;D4405</f>
        <v>6|8|Merita|spotify:track:7z3PblAN3dH1JMewiRydkZ</v>
      </c>
    </row>
    <row r="4406" customFormat="false" ht="15" hidden="false" customHeight="false" outlineLevel="0" collapsed="false">
      <c r="A4406" s="5" t="n">
        <v>6</v>
      </c>
      <c r="B4406" s="5" t="n">
        <v>8</v>
      </c>
      <c r="C4406" s="5" t="s">
        <v>92</v>
      </c>
      <c r="D4406" s="5" t="s">
        <v>1168</v>
      </c>
      <c r="E4406" s="5" t="n">
        <v>1</v>
      </c>
      <c r="F4406" s="6" t="n">
        <f aca="false">IFERROR(MATCH(A4406&amp;"|"&amp;B4406&amp;"|"&amp;D4406,'All Song Rankings'!$T:$T,0),0)</f>
        <v>670</v>
      </c>
      <c r="G4406" s="6" t="str">
        <f aca="false">IF(F4406=0,"NOT FOUND",INDEX('All Song Rankings'!$A:$A,F4406))</f>
        <v>Mr. Brightside</v>
      </c>
      <c r="H4406" s="6" t="str">
        <f aca="false">IF(F4406=0,"NOT FOUND",INDEX('All Song Rankings'!$B:$B,F4406))</f>
        <v>The Killers</v>
      </c>
      <c r="I4406" s="6" t="str">
        <f aca="false">IF(F4406=0,"NOT FOUND",INDEX('All Song Rankings'!$D:$D,F4406))</f>
        <v>Aubrey</v>
      </c>
      <c r="J4406" s="7" t="str">
        <f aca="false">IF(F4406=0,"NOT FOUND",IF(C4406=I4406,"SELF-VOTE",IF(COUNTIF($K:$K,K4406)&gt;1,"DUPLICATE","OK")))</f>
        <v>OK</v>
      </c>
      <c r="K4406" s="6" t="str">
        <f aca="false">A4406&amp;"|"&amp;B4406&amp;"|"&amp;C4406&amp;"|"&amp;D4406</f>
        <v>6|8|Nicole|spotify:track:003vvx7Niy0yvhvHt4a68B</v>
      </c>
    </row>
    <row r="4407" customFormat="false" ht="15" hidden="false" customHeight="false" outlineLevel="0" collapsed="false">
      <c r="A4407" s="5" t="n">
        <v>6</v>
      </c>
      <c r="B4407" s="5" t="n">
        <v>8</v>
      </c>
      <c r="C4407" s="5" t="s">
        <v>92</v>
      </c>
      <c r="D4407" s="5" t="s">
        <v>1988</v>
      </c>
      <c r="E4407" s="5" t="n">
        <v>1</v>
      </c>
      <c r="F4407" s="6" t="n">
        <f aca="false">IFERROR(MATCH(A4407&amp;"|"&amp;B4407&amp;"|"&amp;D4407,'All Song Rankings'!$T:$T,0),0)</f>
        <v>660</v>
      </c>
      <c r="G4407" s="6" t="str">
        <f aca="false">IF(F4407=0,"NOT FOUND",INDEX('All Song Rankings'!$A:$A,F4407))</f>
        <v>Dancing Queen</v>
      </c>
      <c r="H4407" s="6" t="str">
        <f aca="false">IF(F4407=0,"NOT FOUND",INDEX('All Song Rankings'!$B:$B,F4407))</f>
        <v>ABBA</v>
      </c>
      <c r="I4407" s="6" t="str">
        <f aca="false">IF(F4407=0,"NOT FOUND",INDEX('All Song Rankings'!$D:$D,F4407))</f>
        <v>Lisa</v>
      </c>
      <c r="J4407" s="7" t="str">
        <f aca="false">IF(F4407=0,"NOT FOUND",IF(C4407=I4407,"SELF-VOTE",IF(COUNTIF($K:$K,K4407)&gt;1,"DUPLICATE","OK")))</f>
        <v>OK</v>
      </c>
      <c r="K4407" s="6" t="str">
        <f aca="false">A4407&amp;"|"&amp;B4407&amp;"|"&amp;C4407&amp;"|"&amp;D4407</f>
        <v>6|8|Nicole|spotify:track:0GjEhVFGZW8afUYGChu3Rr</v>
      </c>
    </row>
    <row r="4408" customFormat="false" ht="15" hidden="false" customHeight="false" outlineLevel="0" collapsed="false">
      <c r="A4408" s="5" t="n">
        <v>6</v>
      </c>
      <c r="B4408" s="5" t="n">
        <v>8</v>
      </c>
      <c r="C4408" s="5" t="s">
        <v>92</v>
      </c>
      <c r="D4408" s="5" t="s">
        <v>2003</v>
      </c>
      <c r="E4408" s="5" t="n">
        <v>1</v>
      </c>
      <c r="F4408" s="6" t="n">
        <f aca="false">IFERROR(MATCH(A4408&amp;"|"&amp;B4408&amp;"|"&amp;D4408,'All Song Rankings'!$T:$T,0),0)</f>
        <v>666</v>
      </c>
      <c r="G4408" s="6" t="str">
        <f aca="false">IF(F4408=0,"NOT FOUND",INDEX('All Song Rankings'!$A:$A,F4408))</f>
        <v>Throne</v>
      </c>
      <c r="H4408" s="6" t="str">
        <f aca="false">IF(F4408=0,"NOT FOUND",INDEX('All Song Rankings'!$B:$B,F4408))</f>
        <v>Bring Me The Horizon</v>
      </c>
      <c r="I4408" s="6" t="str">
        <f aca="false">IF(F4408=0,"NOT FOUND",INDEX('All Song Rankings'!$D:$D,F4408))</f>
        <v>Christine</v>
      </c>
      <c r="J4408" s="7" t="str">
        <f aca="false">IF(F4408=0,"NOT FOUND",IF(C4408=I4408,"SELF-VOTE",IF(COUNTIF($K:$K,K4408)&gt;1,"DUPLICATE","OK")))</f>
        <v>OK</v>
      </c>
      <c r="K4408" s="6" t="str">
        <f aca="false">A4408&amp;"|"&amp;B4408&amp;"|"&amp;C4408&amp;"|"&amp;D4408</f>
        <v>6|8|Nicole|spotify:track:0M3adYbGtyRHACP86dey1H</v>
      </c>
    </row>
    <row r="4409" customFormat="false" ht="15" hidden="false" customHeight="false" outlineLevel="0" collapsed="false">
      <c r="A4409" s="5" t="n">
        <v>6</v>
      </c>
      <c r="B4409" s="5" t="n">
        <v>8</v>
      </c>
      <c r="C4409" s="5" t="s">
        <v>92</v>
      </c>
      <c r="D4409" s="5" t="s">
        <v>2000</v>
      </c>
      <c r="E4409" s="5" t="n">
        <v>1</v>
      </c>
      <c r="F4409" s="6" t="n">
        <f aca="false">IFERROR(MATCH(A4409&amp;"|"&amp;B4409&amp;"|"&amp;D4409,'All Song Rankings'!$T:$T,0),0)</f>
        <v>665</v>
      </c>
      <c r="G4409" s="6" t="str">
        <f aca="false">IF(F4409=0,"NOT FOUND",INDEX('All Song Rankings'!$A:$A,F4409))</f>
        <v>POWER</v>
      </c>
      <c r="H4409" s="6" t="str">
        <f aca="false">IF(F4409=0,"NOT FOUND",INDEX('All Song Rankings'!$B:$B,F4409))</f>
        <v>Kanye West</v>
      </c>
      <c r="I4409" s="6" t="str">
        <f aca="false">IF(F4409=0,"NOT FOUND",INDEX('All Song Rankings'!$D:$D,F4409))</f>
        <v>Matt</v>
      </c>
      <c r="J4409" s="7" t="str">
        <f aca="false">IF(F4409=0,"NOT FOUND",IF(C4409=I4409,"SELF-VOTE",IF(COUNTIF($K:$K,K4409)&gt;1,"DUPLICATE","OK")))</f>
        <v>OK</v>
      </c>
      <c r="K4409" s="6" t="str">
        <f aca="false">A4409&amp;"|"&amp;B4409&amp;"|"&amp;C4409&amp;"|"&amp;D4409</f>
        <v>6|8|Nicole|spotify:track:2gZUPNdnz5Y45eiGxpHGSc</v>
      </c>
    </row>
    <row r="4410" customFormat="false" ht="15" hidden="false" customHeight="false" outlineLevel="0" collapsed="false">
      <c r="A4410" s="5" t="n">
        <v>6</v>
      </c>
      <c r="B4410" s="5" t="n">
        <v>8</v>
      </c>
      <c r="C4410" s="5" t="s">
        <v>92</v>
      </c>
      <c r="D4410" s="5" t="s">
        <v>1977</v>
      </c>
      <c r="E4410" s="5" t="n">
        <v>1</v>
      </c>
      <c r="F4410" s="6" t="n">
        <f aca="false">IFERROR(MATCH(A4410&amp;"|"&amp;B4410&amp;"|"&amp;D4410,'All Song Rankings'!$T:$T,0),0)</f>
        <v>656</v>
      </c>
      <c r="G4410" s="6" t="str">
        <f aca="false">IF(F4410=0,"NOT FOUND",INDEX('All Song Rankings'!$A:$A,F4410))</f>
        <v>GO</v>
      </c>
      <c r="H4410" s="6" t="str">
        <f aca="false">IF(F4410=0,"NOT FOUND",INDEX('All Song Rankings'!$B:$B,F4410))</f>
        <v>BLACKPINK</v>
      </c>
      <c r="I4410" s="6" t="str">
        <f aca="false">IF(F4410=0,"NOT FOUND",INDEX('All Song Rankings'!$D:$D,F4410))</f>
        <v>Stephanie</v>
      </c>
      <c r="J4410" s="7" t="str">
        <f aca="false">IF(F4410=0,"NOT FOUND",IF(C4410=I4410,"SELF-VOTE",IF(COUNTIF($K:$K,K4410)&gt;1,"DUPLICATE","OK")))</f>
        <v>OK</v>
      </c>
      <c r="K4410" s="6" t="str">
        <f aca="false">A4410&amp;"|"&amp;B4410&amp;"|"&amp;C4410&amp;"|"&amp;D4410</f>
        <v>6|8|Nicole|spotify:track:3FZPp9lBUvhsxFxKJi3VkB</v>
      </c>
    </row>
    <row r="4411" customFormat="false" ht="15" hidden="false" customHeight="false" outlineLevel="0" collapsed="false">
      <c r="A4411" s="5" t="n">
        <v>6</v>
      </c>
      <c r="B4411" s="5" t="n">
        <v>8</v>
      </c>
      <c r="C4411" s="5" t="s">
        <v>92</v>
      </c>
      <c r="D4411" s="5" t="s">
        <v>1974</v>
      </c>
      <c r="E4411" s="5" t="n">
        <v>1</v>
      </c>
      <c r="F4411" s="6" t="n">
        <f aca="false">IFERROR(MATCH(A4411&amp;"|"&amp;B4411&amp;"|"&amp;D4411,'All Song Rankings'!$T:$T,0),0)</f>
        <v>655</v>
      </c>
      <c r="G4411" s="6" t="str">
        <f aca="false">IF(F4411=0,"NOT FOUND",INDEX('All Song Rankings'!$A:$A,F4411))</f>
        <v>Get Ready For This</v>
      </c>
      <c r="H4411" s="6" t="str">
        <f aca="false">IF(F4411=0,"NOT FOUND",INDEX('All Song Rankings'!$B:$B,F4411))</f>
        <v>2 Unlimited</v>
      </c>
      <c r="I4411" s="6" t="str">
        <f aca="false">IF(F4411=0,"NOT FOUND",INDEX('All Song Rankings'!$D:$D,F4411))</f>
        <v>Leah</v>
      </c>
      <c r="J4411" s="7" t="str">
        <f aca="false">IF(F4411=0,"NOT FOUND",IF(C4411=I4411,"SELF-VOTE",IF(COUNTIF($K:$K,K4411)&gt;1,"DUPLICATE","OK")))</f>
        <v>OK</v>
      </c>
      <c r="K4411" s="6" t="str">
        <f aca="false">A4411&amp;"|"&amp;B4411&amp;"|"&amp;C4411&amp;"|"&amp;D4411</f>
        <v>6|8|Nicole|spotify:track:45Q5IYHJbBdmvlcnwVpXw5</v>
      </c>
    </row>
    <row r="4412" customFormat="false" ht="15" hidden="false" customHeight="false" outlineLevel="0" collapsed="false">
      <c r="A4412" s="5" t="n">
        <v>6</v>
      </c>
      <c r="B4412" s="5" t="n">
        <v>8</v>
      </c>
      <c r="C4412" s="5" t="s">
        <v>92</v>
      </c>
      <c r="D4412" s="5" t="s">
        <v>1983</v>
      </c>
      <c r="E4412" s="5" t="n">
        <v>1</v>
      </c>
      <c r="F4412" s="6" t="n">
        <f aca="false">IFERROR(MATCH(A4412&amp;"|"&amp;B4412&amp;"|"&amp;D4412,'All Song Rankings'!$T:$T,0),0)</f>
        <v>658</v>
      </c>
      <c r="G4412" s="6" t="str">
        <f aca="false">IF(F4412=0,"NOT FOUND",INDEX('All Song Rankings'!$A:$A,F4412))</f>
        <v>Narco</v>
      </c>
      <c r="H4412" s="6" t="str">
        <f aca="false">IF(F4412=0,"NOT FOUND",INDEX('All Song Rankings'!$B:$B,F4412))</f>
        <v>Blasterjaxx, Timmy Trumpet</v>
      </c>
      <c r="I4412" s="6" t="str">
        <f aca="false">IF(F4412=0,"NOT FOUND",INDEX('All Song Rankings'!$D:$D,F4412))</f>
        <v>Kelsey</v>
      </c>
      <c r="J4412" s="7" t="str">
        <f aca="false">IF(F4412=0,"NOT FOUND",IF(C4412=I4412,"SELF-VOTE",IF(COUNTIF($K:$K,K4412)&gt;1,"DUPLICATE","OK")))</f>
        <v>OK</v>
      </c>
      <c r="K4412" s="6" t="str">
        <f aca="false">A4412&amp;"|"&amp;B4412&amp;"|"&amp;C4412&amp;"|"&amp;D4412</f>
        <v>6|8|Nicole|spotify:track:4TuNI3WEMyLQAKRMJmcQdA</v>
      </c>
    </row>
    <row r="4413" customFormat="false" ht="15" hidden="false" customHeight="false" outlineLevel="0" collapsed="false">
      <c r="A4413" s="5" t="n">
        <v>6</v>
      </c>
      <c r="B4413" s="5" t="n">
        <v>8</v>
      </c>
      <c r="C4413" s="5" t="s">
        <v>92</v>
      </c>
      <c r="D4413" s="5" t="s">
        <v>1986</v>
      </c>
      <c r="E4413" s="5" t="n">
        <v>1</v>
      </c>
      <c r="F4413" s="6" t="n">
        <f aca="false">IFERROR(MATCH(A4413&amp;"|"&amp;B4413&amp;"|"&amp;D4413,'All Song Rankings'!$T:$T,0),0)</f>
        <v>659</v>
      </c>
      <c r="G4413" s="6" t="str">
        <f aca="false">IF(F4413=0,"NOT FOUND",INDEX('All Song Rankings'!$A:$A,F4413))</f>
        <v>Space Jam</v>
      </c>
      <c r="H4413" s="6" t="str">
        <f aca="false">IF(F4413=0,"NOT FOUND",INDEX('All Song Rankings'!$B:$B,F4413))</f>
        <v>Quad City DJ's</v>
      </c>
      <c r="I4413" s="6" t="str">
        <f aca="false">IF(F4413=0,"NOT FOUND",INDEX('All Song Rankings'!$D:$D,F4413))</f>
        <v>Colleen</v>
      </c>
      <c r="J4413" s="7" t="str">
        <f aca="false">IF(F4413=0,"NOT FOUND",IF(C4413=I4413,"SELF-VOTE",IF(COUNTIF($K:$K,K4413)&gt;1,"DUPLICATE","OK")))</f>
        <v>OK</v>
      </c>
      <c r="K4413" s="6" t="str">
        <f aca="false">A4413&amp;"|"&amp;B4413&amp;"|"&amp;C4413&amp;"|"&amp;D4413</f>
        <v>6|8|Nicole|spotify:track:683hRieVmYdAhVA1DkjSAk</v>
      </c>
    </row>
    <row r="4414" customFormat="false" ht="15" hidden="false" customHeight="false" outlineLevel="0" collapsed="false">
      <c r="A4414" s="5" t="n">
        <v>6</v>
      </c>
      <c r="B4414" s="5" t="n">
        <v>8</v>
      </c>
      <c r="C4414" s="5" t="s">
        <v>92</v>
      </c>
      <c r="D4414" s="5" t="s">
        <v>2006</v>
      </c>
      <c r="E4414" s="5" t="n">
        <v>1</v>
      </c>
      <c r="F4414" s="6" t="n">
        <f aca="false">IFERROR(MATCH(A4414&amp;"|"&amp;B4414&amp;"|"&amp;D4414,'All Song Rankings'!$T:$T,0),0)</f>
        <v>667</v>
      </c>
      <c r="G4414" s="6" t="str">
        <f aca="false">IF(F4414=0,"NOT FOUND",INDEX('All Song Rankings'!$A:$A,F4414))</f>
        <v>Jump Around</v>
      </c>
      <c r="H4414" s="6" t="str">
        <f aca="false">IF(F4414=0,"NOT FOUND",INDEX('All Song Rankings'!$B:$B,F4414))</f>
        <v>House Of Pain</v>
      </c>
      <c r="I4414" s="6" t="str">
        <f aca="false">IF(F4414=0,"NOT FOUND",INDEX('All Song Rankings'!$D:$D,F4414))</f>
        <v>Kristen</v>
      </c>
      <c r="J4414" s="7" t="str">
        <f aca="false">IF(F4414=0,"NOT FOUND",IF(C4414=I4414,"SELF-VOTE",IF(COUNTIF($K:$K,K4414)&gt;1,"DUPLICATE","OK")))</f>
        <v>OK</v>
      </c>
      <c r="K4414" s="6" t="str">
        <f aca="false">A4414&amp;"|"&amp;B4414&amp;"|"&amp;C4414&amp;"|"&amp;D4414</f>
        <v>6|8|Nicole|spotify:track:6JymsaWDHk2Yj4e0yNBIFH</v>
      </c>
    </row>
    <row r="4415" customFormat="false" ht="15" hidden="false" customHeight="false" outlineLevel="0" collapsed="false">
      <c r="A4415" s="5" t="n">
        <v>6</v>
      </c>
      <c r="B4415" s="5" t="n">
        <v>8</v>
      </c>
      <c r="C4415" s="5" t="s">
        <v>92</v>
      </c>
      <c r="D4415" s="5" t="s">
        <v>2012</v>
      </c>
      <c r="E4415" s="5" t="n">
        <v>1</v>
      </c>
      <c r="F4415" s="6" t="n">
        <f aca="false">IFERROR(MATCH(A4415&amp;"|"&amp;B4415&amp;"|"&amp;D4415,'All Song Rankings'!$T:$T,0),0)</f>
        <v>669</v>
      </c>
      <c r="G4415" s="6" t="str">
        <f aca="false">IF(F4415=0,"NOT FOUND",INDEX('All Song Rankings'!$A:$A,F4415))</f>
        <v>Heartbeat Song</v>
      </c>
      <c r="H4415" s="6" t="str">
        <f aca="false">IF(F4415=0,"NOT FOUND",INDEX('All Song Rankings'!$B:$B,F4415))</f>
        <v>Kelly Clarkson</v>
      </c>
      <c r="I4415" s="6" t="str">
        <f aca="false">IF(F4415=0,"NOT FOUND",INDEX('All Song Rankings'!$D:$D,F4415))</f>
        <v>Merita</v>
      </c>
      <c r="J4415" s="7" t="str">
        <f aca="false">IF(F4415=0,"NOT FOUND",IF(C4415=I4415,"SELF-VOTE",IF(COUNTIF($K:$K,K4415)&gt;1,"DUPLICATE","OK")))</f>
        <v>OK</v>
      </c>
      <c r="K4415" s="6" t="str">
        <f aca="false">A4415&amp;"|"&amp;B4415&amp;"|"&amp;C4415&amp;"|"&amp;D4415</f>
        <v>6|8|Nicole|spotify:track:7FC9Lng8iXU081lbigu8m8</v>
      </c>
    </row>
    <row r="4416" customFormat="false" ht="15" hidden="false" customHeight="false" outlineLevel="0" collapsed="false">
      <c r="A4416" s="5" t="n">
        <v>6</v>
      </c>
      <c r="B4416" s="5" t="n">
        <v>8</v>
      </c>
      <c r="C4416" s="5" t="s">
        <v>484</v>
      </c>
      <c r="D4416" s="5" t="s">
        <v>1980</v>
      </c>
      <c r="E4416" s="5" t="n">
        <v>1</v>
      </c>
      <c r="F4416" s="6" t="n">
        <f aca="false">IFERROR(MATCH(A4416&amp;"|"&amp;B4416&amp;"|"&amp;D4416,'All Song Rankings'!$T:$T,0),0)</f>
        <v>657</v>
      </c>
      <c r="G4416" s="6" t="str">
        <f aca="false">IF(F4416=0,"NOT FOUND",INDEX('All Song Rankings'!$A:$A,F4416))</f>
        <v>Welcome To The Jungle</v>
      </c>
      <c r="H4416" s="6" t="str">
        <f aca="false">IF(F4416=0,"NOT FOUND",INDEX('All Song Rankings'!$B:$B,F4416))</f>
        <v>Guns N' Roses</v>
      </c>
      <c r="I4416" s="6" t="str">
        <f aca="false">IF(F4416=0,"NOT FOUND",INDEX('All Song Rankings'!$D:$D,F4416))</f>
        <v>Josh</v>
      </c>
      <c r="J4416" s="7" t="str">
        <f aca="false">IF(F4416=0,"NOT FOUND",IF(C4416=I4416,"SELF-VOTE",IF(COUNTIF($K:$K,K4416)&gt;1,"DUPLICATE","OK")))</f>
        <v>OK</v>
      </c>
      <c r="K4416" s="6" t="str">
        <f aca="false">A4416&amp;"|"&amp;B4416&amp;"|"&amp;C4416&amp;"|"&amp;D4416</f>
        <v>6|8|Scott|spotify:track:0G21yYKMZoHa30cYVi1iA8</v>
      </c>
    </row>
    <row r="4417" customFormat="false" ht="15" hidden="false" customHeight="false" outlineLevel="0" collapsed="false">
      <c r="A4417" s="5" t="n">
        <v>6</v>
      </c>
      <c r="B4417" s="5" t="n">
        <v>8</v>
      </c>
      <c r="C4417" s="5" t="s">
        <v>484</v>
      </c>
      <c r="D4417" s="5" t="s">
        <v>2003</v>
      </c>
      <c r="E4417" s="5" t="n">
        <v>1</v>
      </c>
      <c r="F4417" s="6" t="n">
        <f aca="false">IFERROR(MATCH(A4417&amp;"|"&amp;B4417&amp;"|"&amp;D4417,'All Song Rankings'!$T:$T,0),0)</f>
        <v>666</v>
      </c>
      <c r="G4417" s="6" t="str">
        <f aca="false">IF(F4417=0,"NOT FOUND",INDEX('All Song Rankings'!$A:$A,F4417))</f>
        <v>Throne</v>
      </c>
      <c r="H4417" s="6" t="str">
        <f aca="false">IF(F4417=0,"NOT FOUND",INDEX('All Song Rankings'!$B:$B,F4417))</f>
        <v>Bring Me The Horizon</v>
      </c>
      <c r="I4417" s="6" t="str">
        <f aca="false">IF(F4417=0,"NOT FOUND",INDEX('All Song Rankings'!$D:$D,F4417))</f>
        <v>Christine</v>
      </c>
      <c r="J4417" s="7" t="str">
        <f aca="false">IF(F4417=0,"NOT FOUND",IF(C4417=I4417,"SELF-VOTE",IF(COUNTIF($K:$K,K4417)&gt;1,"DUPLICATE","OK")))</f>
        <v>OK</v>
      </c>
      <c r="K4417" s="6" t="str">
        <f aca="false">A4417&amp;"|"&amp;B4417&amp;"|"&amp;C4417&amp;"|"&amp;D4417</f>
        <v>6|8|Scott|spotify:track:0M3adYbGtyRHACP86dey1H</v>
      </c>
    </row>
    <row r="4418" customFormat="false" ht="15" hidden="false" customHeight="false" outlineLevel="0" collapsed="false">
      <c r="A4418" s="5" t="n">
        <v>6</v>
      </c>
      <c r="B4418" s="5" t="n">
        <v>8</v>
      </c>
      <c r="C4418" s="5" t="s">
        <v>484</v>
      </c>
      <c r="D4418" s="5" t="s">
        <v>1977</v>
      </c>
      <c r="E4418" s="5" t="n">
        <v>2</v>
      </c>
      <c r="F4418" s="6" t="n">
        <f aca="false">IFERROR(MATCH(A4418&amp;"|"&amp;B4418&amp;"|"&amp;D4418,'All Song Rankings'!$T:$T,0),0)</f>
        <v>656</v>
      </c>
      <c r="G4418" s="6" t="str">
        <f aca="false">IF(F4418=0,"NOT FOUND",INDEX('All Song Rankings'!$A:$A,F4418))</f>
        <v>GO</v>
      </c>
      <c r="H4418" s="6" t="str">
        <f aca="false">IF(F4418=0,"NOT FOUND",INDEX('All Song Rankings'!$B:$B,F4418))</f>
        <v>BLACKPINK</v>
      </c>
      <c r="I4418" s="6" t="str">
        <f aca="false">IF(F4418=0,"NOT FOUND",INDEX('All Song Rankings'!$D:$D,F4418))</f>
        <v>Stephanie</v>
      </c>
      <c r="J4418" s="7" t="str">
        <f aca="false">IF(F4418=0,"NOT FOUND",IF(C4418=I4418,"SELF-VOTE",IF(COUNTIF($K:$K,K4418)&gt;1,"DUPLICATE","OK")))</f>
        <v>OK</v>
      </c>
      <c r="K4418" s="6" t="str">
        <f aca="false">A4418&amp;"|"&amp;B4418&amp;"|"&amp;C4418&amp;"|"&amp;D4418</f>
        <v>6|8|Scott|spotify:track:3FZPp9lBUvhsxFxKJi3VkB</v>
      </c>
    </row>
    <row r="4419" customFormat="false" ht="15" hidden="false" customHeight="false" outlineLevel="0" collapsed="false">
      <c r="A4419" s="5" t="n">
        <v>6</v>
      </c>
      <c r="B4419" s="5" t="n">
        <v>8</v>
      </c>
      <c r="C4419" s="5" t="s">
        <v>484</v>
      </c>
      <c r="D4419" s="5" t="s">
        <v>1974</v>
      </c>
      <c r="E4419" s="5" t="n">
        <v>2</v>
      </c>
      <c r="F4419" s="6" t="n">
        <f aca="false">IFERROR(MATCH(A4419&amp;"|"&amp;B4419&amp;"|"&amp;D4419,'All Song Rankings'!$T:$T,0),0)</f>
        <v>655</v>
      </c>
      <c r="G4419" s="6" t="str">
        <f aca="false">IF(F4419=0,"NOT FOUND",INDEX('All Song Rankings'!$A:$A,F4419))</f>
        <v>Get Ready For This</v>
      </c>
      <c r="H4419" s="6" t="str">
        <f aca="false">IF(F4419=0,"NOT FOUND",INDEX('All Song Rankings'!$B:$B,F4419))</f>
        <v>2 Unlimited</v>
      </c>
      <c r="I4419" s="6" t="str">
        <f aca="false">IF(F4419=0,"NOT FOUND",INDEX('All Song Rankings'!$D:$D,F4419))</f>
        <v>Leah</v>
      </c>
      <c r="J4419" s="7" t="str">
        <f aca="false">IF(F4419=0,"NOT FOUND",IF(C4419=I4419,"SELF-VOTE",IF(COUNTIF($K:$K,K4419)&gt;1,"DUPLICATE","OK")))</f>
        <v>OK</v>
      </c>
      <c r="K4419" s="6" t="str">
        <f aca="false">A4419&amp;"|"&amp;B4419&amp;"|"&amp;C4419&amp;"|"&amp;D4419</f>
        <v>6|8|Scott|spotify:track:45Q5IYHJbBdmvlcnwVpXw5</v>
      </c>
    </row>
    <row r="4420" customFormat="false" ht="15" hidden="false" customHeight="false" outlineLevel="0" collapsed="false">
      <c r="A4420" s="5" t="n">
        <v>6</v>
      </c>
      <c r="B4420" s="5" t="n">
        <v>8</v>
      </c>
      <c r="C4420" s="5" t="s">
        <v>484</v>
      </c>
      <c r="D4420" s="5" t="s">
        <v>1986</v>
      </c>
      <c r="E4420" s="5" t="n">
        <v>1</v>
      </c>
      <c r="F4420" s="6" t="n">
        <f aca="false">IFERROR(MATCH(A4420&amp;"|"&amp;B4420&amp;"|"&amp;D4420,'All Song Rankings'!$T:$T,0),0)</f>
        <v>659</v>
      </c>
      <c r="G4420" s="6" t="str">
        <f aca="false">IF(F4420=0,"NOT FOUND",INDEX('All Song Rankings'!$A:$A,F4420))</f>
        <v>Space Jam</v>
      </c>
      <c r="H4420" s="6" t="str">
        <f aca="false">IF(F4420=0,"NOT FOUND",INDEX('All Song Rankings'!$B:$B,F4420))</f>
        <v>Quad City DJ's</v>
      </c>
      <c r="I4420" s="6" t="str">
        <f aca="false">IF(F4420=0,"NOT FOUND",INDEX('All Song Rankings'!$D:$D,F4420))</f>
        <v>Colleen</v>
      </c>
      <c r="J4420" s="7" t="str">
        <f aca="false">IF(F4420=0,"NOT FOUND",IF(C4420=I4420,"SELF-VOTE",IF(COUNTIF($K:$K,K4420)&gt;1,"DUPLICATE","OK")))</f>
        <v>OK</v>
      </c>
      <c r="K4420" s="6" t="str">
        <f aca="false">A4420&amp;"|"&amp;B4420&amp;"|"&amp;C4420&amp;"|"&amp;D4420</f>
        <v>6|8|Scott|spotify:track:683hRieVmYdAhVA1DkjSAk</v>
      </c>
    </row>
    <row r="4421" customFormat="false" ht="15" hidden="false" customHeight="false" outlineLevel="0" collapsed="false">
      <c r="A4421" s="5" t="n">
        <v>6</v>
      </c>
      <c r="B4421" s="5" t="n">
        <v>8</v>
      </c>
      <c r="C4421" s="5" t="s">
        <v>484</v>
      </c>
      <c r="D4421" s="5" t="s">
        <v>2006</v>
      </c>
      <c r="E4421" s="5" t="n">
        <v>1</v>
      </c>
      <c r="F4421" s="6" t="n">
        <f aca="false">IFERROR(MATCH(A4421&amp;"|"&amp;B4421&amp;"|"&amp;D4421,'All Song Rankings'!$T:$T,0),0)</f>
        <v>667</v>
      </c>
      <c r="G4421" s="6" t="str">
        <f aca="false">IF(F4421=0,"NOT FOUND",INDEX('All Song Rankings'!$A:$A,F4421))</f>
        <v>Jump Around</v>
      </c>
      <c r="H4421" s="6" t="str">
        <f aca="false">IF(F4421=0,"NOT FOUND",INDEX('All Song Rankings'!$B:$B,F4421))</f>
        <v>House Of Pain</v>
      </c>
      <c r="I4421" s="6" t="str">
        <f aca="false">IF(F4421=0,"NOT FOUND",INDEX('All Song Rankings'!$D:$D,F4421))</f>
        <v>Kristen</v>
      </c>
      <c r="J4421" s="7" t="str">
        <f aca="false">IF(F4421=0,"NOT FOUND",IF(C4421=I4421,"SELF-VOTE",IF(COUNTIF($K:$K,K4421)&gt;1,"DUPLICATE","OK")))</f>
        <v>OK</v>
      </c>
      <c r="K4421" s="6" t="str">
        <f aca="false">A4421&amp;"|"&amp;B4421&amp;"|"&amp;C4421&amp;"|"&amp;D4421</f>
        <v>6|8|Scott|spotify:track:6JymsaWDHk2Yj4e0yNBIFH</v>
      </c>
    </row>
    <row r="4422" customFormat="false" ht="15" hidden="false" customHeight="false" outlineLevel="0" collapsed="false">
      <c r="A4422" s="5" t="n">
        <v>6</v>
      </c>
      <c r="B4422" s="5" t="n">
        <v>8</v>
      </c>
      <c r="C4422" s="5" t="s">
        <v>484</v>
      </c>
      <c r="D4422" s="5" t="s">
        <v>1990</v>
      </c>
      <c r="E4422" s="5" t="n">
        <v>2</v>
      </c>
      <c r="F4422" s="6" t="n">
        <f aca="false">IFERROR(MATCH(A4422&amp;"|"&amp;B4422&amp;"|"&amp;D4422,'All Song Rankings'!$T:$T,0),0)</f>
        <v>661</v>
      </c>
      <c r="G4422" s="6" t="str">
        <f aca="false">IF(F4422=0,"NOT FOUND",INDEX('All Song Rankings'!$A:$A,F4422))</f>
        <v>GIRLS</v>
      </c>
      <c r="H4422" s="6" t="str">
        <f aca="false">IF(F4422=0,"NOT FOUND",INDEX('All Song Rankings'!$B:$B,F4422))</f>
        <v>The Kid LAROI</v>
      </c>
      <c r="I4422" s="6" t="str">
        <f aca="false">IF(F4422=0,"NOT FOUND",INDEX('All Song Rankings'!$D:$D,F4422))</f>
        <v>Makenzie</v>
      </c>
      <c r="J4422" s="7" t="str">
        <f aca="false">IF(F4422=0,"NOT FOUND",IF(C4422=I4422,"SELF-VOTE",IF(COUNTIF($K:$K,K4422)&gt;1,"DUPLICATE","OK")))</f>
        <v>OK</v>
      </c>
      <c r="K4422" s="6" t="str">
        <f aca="false">A4422&amp;"|"&amp;B4422&amp;"|"&amp;C4422&amp;"|"&amp;D4422</f>
        <v>6|8|Scott|spotify:track:7z3PblAN3dH1JMewiRydkZ</v>
      </c>
    </row>
    <row r="4423" customFormat="false" ht="15" hidden="false" customHeight="false" outlineLevel="0" collapsed="false">
      <c r="A4423" s="5" t="n">
        <v>6</v>
      </c>
      <c r="B4423" s="5" t="n">
        <v>8</v>
      </c>
      <c r="C4423" s="5" t="s">
        <v>97</v>
      </c>
      <c r="D4423" s="5" t="s">
        <v>1992</v>
      </c>
      <c r="E4423" s="5" t="n">
        <v>2</v>
      </c>
      <c r="F4423" s="6" t="n">
        <f aca="false">IFERROR(MATCH(A4423&amp;"|"&amp;B4423&amp;"|"&amp;D4423,'All Song Rankings'!$T:$T,0),0)</f>
        <v>662</v>
      </c>
      <c r="G4423" s="6" t="str">
        <f aca="false">IF(F4423=0,"NOT FOUND",INDEX('All Song Rankings'!$A:$A,F4423))</f>
        <v>TiK ToK</v>
      </c>
      <c r="H4423" s="6" t="str">
        <f aca="false">IF(F4423=0,"NOT FOUND",INDEX('All Song Rankings'!$B:$B,F4423))</f>
        <v>Kesha</v>
      </c>
      <c r="I4423" s="6" t="str">
        <f aca="false">IF(F4423=0,"NOT FOUND",INDEX('All Song Rankings'!$D:$D,F4423))</f>
        <v>Grace</v>
      </c>
      <c r="J4423" s="7" t="str">
        <f aca="false">IF(F4423=0,"NOT FOUND",IF(C4423=I4423,"SELF-VOTE",IF(COUNTIF($K:$K,K4423)&gt;1,"DUPLICATE","OK")))</f>
        <v>OK</v>
      </c>
      <c r="K4423" s="6" t="str">
        <f aca="false">A4423&amp;"|"&amp;B4423&amp;"|"&amp;C4423&amp;"|"&amp;D4423</f>
        <v>6|8|Stephanie|spotify:track:0HPD5WQqrq7wPWR7P7Dw1i</v>
      </c>
    </row>
    <row r="4424" customFormat="false" ht="15" hidden="false" customHeight="false" outlineLevel="0" collapsed="false">
      <c r="A4424" s="5" t="n">
        <v>6</v>
      </c>
      <c r="B4424" s="5" t="n">
        <v>8</v>
      </c>
      <c r="C4424" s="5" t="s">
        <v>97</v>
      </c>
      <c r="D4424" s="5" t="s">
        <v>2003</v>
      </c>
      <c r="E4424" s="5" t="n">
        <v>1</v>
      </c>
      <c r="F4424" s="6" t="n">
        <f aca="false">IFERROR(MATCH(A4424&amp;"|"&amp;B4424&amp;"|"&amp;D4424,'All Song Rankings'!$T:$T,0),0)</f>
        <v>666</v>
      </c>
      <c r="G4424" s="6" t="str">
        <f aca="false">IF(F4424=0,"NOT FOUND",INDEX('All Song Rankings'!$A:$A,F4424))</f>
        <v>Throne</v>
      </c>
      <c r="H4424" s="6" t="str">
        <f aca="false">IF(F4424=0,"NOT FOUND",INDEX('All Song Rankings'!$B:$B,F4424))</f>
        <v>Bring Me The Horizon</v>
      </c>
      <c r="I4424" s="6" t="str">
        <f aca="false">IF(F4424=0,"NOT FOUND",INDEX('All Song Rankings'!$D:$D,F4424))</f>
        <v>Christine</v>
      </c>
      <c r="J4424" s="7" t="str">
        <f aca="false">IF(F4424=0,"NOT FOUND",IF(C4424=I4424,"SELF-VOTE",IF(COUNTIF($K:$K,K4424)&gt;1,"DUPLICATE","OK")))</f>
        <v>OK</v>
      </c>
      <c r="K4424" s="6" t="str">
        <f aca="false">A4424&amp;"|"&amp;B4424&amp;"|"&amp;C4424&amp;"|"&amp;D4424</f>
        <v>6|8|Stephanie|spotify:track:0M3adYbGtyRHACP86dey1H</v>
      </c>
    </row>
    <row r="4425" customFormat="false" ht="15" hidden="false" customHeight="false" outlineLevel="0" collapsed="false">
      <c r="A4425" s="5" t="n">
        <v>6</v>
      </c>
      <c r="B4425" s="5" t="n">
        <v>8</v>
      </c>
      <c r="C4425" s="5" t="s">
        <v>97</v>
      </c>
      <c r="D4425" s="5" t="s">
        <v>1995</v>
      </c>
      <c r="E4425" s="5" t="n">
        <v>2</v>
      </c>
      <c r="F4425" s="6" t="n">
        <f aca="false">IFERROR(MATCH(A4425&amp;"|"&amp;B4425&amp;"|"&amp;D4425,'All Song Rankings'!$T:$T,0),0)</f>
        <v>663</v>
      </c>
      <c r="G4425" s="6" t="str">
        <f aca="false">IF(F4425=0,"NOT FOUND",INDEX('All Song Rankings'!$A:$A,F4425))</f>
        <v>Are You Gonna Go My Way</v>
      </c>
      <c r="H4425" s="6" t="str">
        <f aca="false">IF(F4425=0,"NOT FOUND",INDEX('All Song Rankings'!$B:$B,F4425))</f>
        <v>Lenny Kravitz</v>
      </c>
      <c r="I4425" s="6" t="str">
        <f aca="false">IF(F4425=0,"NOT FOUND",INDEX('All Song Rankings'!$D:$D,F4425))</f>
        <v>Scott</v>
      </c>
      <c r="J4425" s="7" t="str">
        <f aca="false">IF(F4425=0,"NOT FOUND",IF(C4425=I4425,"SELF-VOTE",IF(COUNTIF($K:$K,K4425)&gt;1,"DUPLICATE","OK")))</f>
        <v>OK</v>
      </c>
      <c r="K4425" s="6" t="str">
        <f aca="false">A4425&amp;"|"&amp;B4425&amp;"|"&amp;C4425&amp;"|"&amp;D4425</f>
        <v>6|8|Stephanie|spotify:track:45Ia1U4KtIjAPPU7Wv1Sea</v>
      </c>
    </row>
    <row r="4426" customFormat="false" ht="15" hidden="false" customHeight="false" outlineLevel="0" collapsed="false">
      <c r="A4426" s="5" t="n">
        <v>6</v>
      </c>
      <c r="B4426" s="5" t="n">
        <v>8</v>
      </c>
      <c r="C4426" s="5" t="s">
        <v>97</v>
      </c>
      <c r="D4426" s="5" t="s">
        <v>1974</v>
      </c>
      <c r="E4426" s="5" t="n">
        <v>2</v>
      </c>
      <c r="F4426" s="6" t="n">
        <f aca="false">IFERROR(MATCH(A4426&amp;"|"&amp;B4426&amp;"|"&amp;D4426,'All Song Rankings'!$T:$T,0),0)</f>
        <v>655</v>
      </c>
      <c r="G4426" s="6" t="str">
        <f aca="false">IF(F4426=0,"NOT FOUND",INDEX('All Song Rankings'!$A:$A,F4426))</f>
        <v>Get Ready For This</v>
      </c>
      <c r="H4426" s="6" t="str">
        <f aca="false">IF(F4426=0,"NOT FOUND",INDEX('All Song Rankings'!$B:$B,F4426))</f>
        <v>2 Unlimited</v>
      </c>
      <c r="I4426" s="6" t="str">
        <f aca="false">IF(F4426=0,"NOT FOUND",INDEX('All Song Rankings'!$D:$D,F4426))</f>
        <v>Leah</v>
      </c>
      <c r="J4426" s="7" t="str">
        <f aca="false">IF(F4426=0,"NOT FOUND",IF(C4426=I4426,"SELF-VOTE",IF(COUNTIF($K:$K,K4426)&gt;1,"DUPLICATE","OK")))</f>
        <v>OK</v>
      </c>
      <c r="K4426" s="6" t="str">
        <f aca="false">A4426&amp;"|"&amp;B4426&amp;"|"&amp;C4426&amp;"|"&amp;D4426</f>
        <v>6|8|Stephanie|spotify:track:45Q5IYHJbBdmvlcnwVpXw5</v>
      </c>
    </row>
    <row r="4427" customFormat="false" ht="15" hidden="false" customHeight="false" outlineLevel="0" collapsed="false">
      <c r="A4427" s="5" t="n">
        <v>6</v>
      </c>
      <c r="B4427" s="5" t="n">
        <v>8</v>
      </c>
      <c r="C4427" s="5" t="s">
        <v>97</v>
      </c>
      <c r="D4427" s="5" t="s">
        <v>1983</v>
      </c>
      <c r="E4427" s="5" t="n">
        <v>1</v>
      </c>
      <c r="F4427" s="6" t="n">
        <f aca="false">IFERROR(MATCH(A4427&amp;"|"&amp;B4427&amp;"|"&amp;D4427,'All Song Rankings'!$T:$T,0),0)</f>
        <v>658</v>
      </c>
      <c r="G4427" s="6" t="str">
        <f aca="false">IF(F4427=0,"NOT FOUND",INDEX('All Song Rankings'!$A:$A,F4427))</f>
        <v>Narco</v>
      </c>
      <c r="H4427" s="6" t="str">
        <f aca="false">IF(F4427=0,"NOT FOUND",INDEX('All Song Rankings'!$B:$B,F4427))</f>
        <v>Blasterjaxx, Timmy Trumpet</v>
      </c>
      <c r="I4427" s="6" t="str">
        <f aca="false">IF(F4427=0,"NOT FOUND",INDEX('All Song Rankings'!$D:$D,F4427))</f>
        <v>Kelsey</v>
      </c>
      <c r="J4427" s="7" t="str">
        <f aca="false">IF(F4427=0,"NOT FOUND",IF(C4427=I4427,"SELF-VOTE",IF(COUNTIF($K:$K,K4427)&gt;1,"DUPLICATE","OK")))</f>
        <v>OK</v>
      </c>
      <c r="K4427" s="6" t="str">
        <f aca="false">A4427&amp;"|"&amp;B4427&amp;"|"&amp;C4427&amp;"|"&amp;D4427</f>
        <v>6|8|Stephanie|spotify:track:4TuNI3WEMyLQAKRMJmcQdA</v>
      </c>
    </row>
    <row r="4428" customFormat="false" ht="15" hidden="false" customHeight="false" outlineLevel="0" collapsed="false">
      <c r="A4428" s="5" t="n">
        <v>6</v>
      </c>
      <c r="B4428" s="5" t="n">
        <v>8</v>
      </c>
      <c r="C4428" s="5" t="s">
        <v>97</v>
      </c>
      <c r="D4428" s="5" t="s">
        <v>2009</v>
      </c>
      <c r="E4428" s="5" t="n">
        <v>2</v>
      </c>
      <c r="F4428" s="6" t="n">
        <f aca="false">IFERROR(MATCH(A4428&amp;"|"&amp;B4428&amp;"|"&amp;D4428,'All Song Rankings'!$T:$T,0),0)</f>
        <v>668</v>
      </c>
      <c r="G4428" s="6" t="str">
        <f aca="false">IF(F4428=0,"NOT FOUND",INDEX('All Song Rankings'!$A:$A,F4428))</f>
        <v>Cold Hearted</v>
      </c>
      <c r="H4428" s="6" t="str">
        <f aca="false">IF(F4428=0,"NOT FOUND",INDEX('All Song Rankings'!$B:$B,F4428))</f>
        <v>Paula Abdul</v>
      </c>
      <c r="I4428" s="6" t="str">
        <f aca="false">IF(F4428=0,"NOT FOUND",INDEX('All Song Rankings'!$D:$D,F4428))</f>
        <v>Logan</v>
      </c>
      <c r="J4428" s="7" t="str">
        <f aca="false">IF(F4428=0,"NOT FOUND",IF(C4428=I4428,"SELF-VOTE",IF(COUNTIF($K:$K,K4428)&gt;1,"DUPLICATE","OK")))</f>
        <v>OK</v>
      </c>
      <c r="K4428" s="6" t="str">
        <f aca="false">A4428&amp;"|"&amp;B4428&amp;"|"&amp;C4428&amp;"|"&amp;D4428</f>
        <v>6|8|Stephanie|spotify:track:6jrp8qBMJO6vhAeYVAsdk9</v>
      </c>
    </row>
    <row r="4429" customFormat="false" ht="15" hidden="false" customHeight="false" outlineLevel="0" collapsed="false">
      <c r="A4429" s="5" t="n">
        <v>7</v>
      </c>
      <c r="B4429" s="5" t="n">
        <v>1</v>
      </c>
      <c r="C4429" s="5" t="s">
        <v>719</v>
      </c>
      <c r="D4429" s="5" t="s">
        <v>2024</v>
      </c>
      <c r="E4429" s="5" t="n">
        <v>1</v>
      </c>
      <c r="F4429" s="6" t="n">
        <f aca="false">IFERROR(MATCH(A4429&amp;"|"&amp;B4429&amp;"|"&amp;D4429,'All Song Rankings'!$T:$T,0),0)</f>
        <v>674</v>
      </c>
      <c r="G4429" s="6" t="str">
        <f aca="false">IF(F4429=0,"NOT FOUND",INDEX('All Song Rankings'!$A:$A,F4429))</f>
        <v>Swing, Swing</v>
      </c>
      <c r="H4429" s="6" t="str">
        <f aca="false">IF(F4429=0,"NOT FOUND",INDEX('All Song Rankings'!$B:$B,F4429))</f>
        <v>The All-American Rejects</v>
      </c>
      <c r="I4429" s="6" t="str">
        <f aca="false">IF(F4429=0,"NOT FOUND",INDEX('All Song Rankings'!$D:$D,F4429))</f>
        <v>Colleen</v>
      </c>
      <c r="J4429" s="7" t="str">
        <f aca="false">IF(F4429=0,"NOT FOUND",IF(C4429=I4429,"SELF-VOTE",IF(COUNTIF($K:$K,K4429)&gt;1,"DUPLICATE","OK")))</f>
        <v>OK</v>
      </c>
      <c r="K4429" s="6" t="str">
        <f aca="false">A4429&amp;"|"&amp;B4429&amp;"|"&amp;C4429&amp;"|"&amp;D4429</f>
        <v>7|1|Christine|spotify:track:003FTlCpBTM4eSqYSWPv4H</v>
      </c>
    </row>
    <row r="4430" customFormat="false" ht="15" hidden="false" customHeight="false" outlineLevel="0" collapsed="false">
      <c r="A4430" s="5" t="n">
        <v>7</v>
      </c>
      <c r="B4430" s="5" t="n">
        <v>1</v>
      </c>
      <c r="C4430" s="5" t="s">
        <v>719</v>
      </c>
      <c r="D4430" s="5" t="s">
        <v>2048</v>
      </c>
      <c r="E4430" s="5" t="n">
        <v>1</v>
      </c>
      <c r="F4430" s="6" t="n">
        <f aca="false">IFERROR(MATCH(A4430&amp;"|"&amp;B4430&amp;"|"&amp;D4430,'All Song Rankings'!$T:$T,0),0)</f>
        <v>684</v>
      </c>
      <c r="G4430" s="6" t="str">
        <f aca="false">IF(F4430=0,"NOT FOUND",INDEX('All Song Rankings'!$A:$A,F4430))</f>
        <v>More Than a Feeling</v>
      </c>
      <c r="H4430" s="6" t="str">
        <f aca="false">IF(F4430=0,"NOT FOUND",INDEX('All Song Rankings'!$B:$B,F4430))</f>
        <v>Boston</v>
      </c>
      <c r="I4430" s="6" t="str">
        <f aca="false">IF(F4430=0,"NOT FOUND",INDEX('All Song Rankings'!$D:$D,F4430))</f>
        <v>Aubrey</v>
      </c>
      <c r="J4430" s="7" t="str">
        <f aca="false">IF(F4430=0,"NOT FOUND",IF(C4430=I4430,"SELF-VOTE",IF(COUNTIF($K:$K,K4430)&gt;1,"DUPLICATE","OK")))</f>
        <v>OK</v>
      </c>
      <c r="K4430" s="6" t="str">
        <f aca="false">A4430&amp;"|"&amp;B4430&amp;"|"&amp;C4430&amp;"|"&amp;D4430</f>
        <v>7|1|Christine|spotify:track:1QEEqeFIZktqIpPI4jSVSF</v>
      </c>
    </row>
    <row r="4431" customFormat="false" ht="15" hidden="false" customHeight="false" outlineLevel="0" collapsed="false">
      <c r="A4431" s="5" t="n">
        <v>7</v>
      </c>
      <c r="B4431" s="5" t="n">
        <v>1</v>
      </c>
      <c r="C4431" s="5" t="s">
        <v>719</v>
      </c>
      <c r="D4431" s="5" t="s">
        <v>2035</v>
      </c>
      <c r="E4431" s="5" t="n">
        <v>1</v>
      </c>
      <c r="F4431" s="6" t="n">
        <f aca="false">IFERROR(MATCH(A4431&amp;"|"&amp;B4431&amp;"|"&amp;D4431,'All Song Rankings'!$T:$T,0),0)</f>
        <v>679</v>
      </c>
      <c r="G4431" s="6" t="str">
        <f aca="false">IF(F4431=0,"NOT FOUND",INDEX('All Song Rankings'!$A:$A,F4431))</f>
        <v>Nine in the Afternoon - Single Mix</v>
      </c>
      <c r="H4431" s="6" t="str">
        <f aca="false">IF(F4431=0,"NOT FOUND",INDEX('All Song Rankings'!$B:$B,F4431))</f>
        <v>Panic! At The Disco</v>
      </c>
      <c r="I4431" s="6" t="str">
        <f aca="false">IF(F4431=0,"NOT FOUND",INDEX('All Song Rankings'!$D:$D,F4431))</f>
        <v>Kelsey</v>
      </c>
      <c r="J4431" s="7" t="str">
        <f aca="false">IF(F4431=0,"NOT FOUND",IF(C4431=I4431,"SELF-VOTE",IF(COUNTIF($K:$K,K4431)&gt;1,"DUPLICATE","OK")))</f>
        <v>OK</v>
      </c>
      <c r="K4431" s="6" t="str">
        <f aca="false">A4431&amp;"|"&amp;B4431&amp;"|"&amp;C4431&amp;"|"&amp;D4431</f>
        <v>7|1|Christine|spotify:track:1S30kHvkkdMkcuCTGSgS41</v>
      </c>
    </row>
    <row r="4432" customFormat="false" ht="15" hidden="false" customHeight="false" outlineLevel="0" collapsed="false">
      <c r="A4432" s="5" t="n">
        <v>7</v>
      </c>
      <c r="B4432" s="5" t="n">
        <v>1</v>
      </c>
      <c r="C4432" s="5" t="s">
        <v>719</v>
      </c>
      <c r="D4432" s="5" t="s">
        <v>2027</v>
      </c>
      <c r="E4432" s="5" t="n">
        <v>1</v>
      </c>
      <c r="F4432" s="6" t="n">
        <f aca="false">IFERROR(MATCH(A4432&amp;"|"&amp;B4432&amp;"|"&amp;D4432,'All Song Rankings'!$T:$T,0),0)</f>
        <v>675</v>
      </c>
      <c r="G4432" s="6" t="str">
        <f aca="false">IF(F4432=0,"NOT FOUND",INDEX('All Song Rankings'!$A:$A,F4432))</f>
        <v>Papercut</v>
      </c>
      <c r="H4432" s="6" t="str">
        <f aca="false">IF(F4432=0,"NOT FOUND",INDEX('All Song Rankings'!$B:$B,F4432))</f>
        <v>Linkin Park</v>
      </c>
      <c r="I4432" s="6" t="str">
        <f aca="false">IF(F4432=0,"NOT FOUND",INDEX('All Song Rankings'!$D:$D,F4432))</f>
        <v>Matt</v>
      </c>
      <c r="J4432" s="7" t="str">
        <f aca="false">IF(F4432=0,"NOT FOUND",IF(C4432=I4432,"SELF-VOTE",IF(COUNTIF($K:$K,K4432)&gt;1,"DUPLICATE","OK")))</f>
        <v>OK</v>
      </c>
      <c r="K4432" s="6" t="str">
        <f aca="false">A4432&amp;"|"&amp;B4432&amp;"|"&amp;C4432&amp;"|"&amp;D4432</f>
        <v>7|1|Christine|spotify:track:1Vej0qeQ3ioKwpI6FUbRv1</v>
      </c>
    </row>
    <row r="4433" customFormat="false" ht="15" hidden="false" customHeight="false" outlineLevel="0" collapsed="false">
      <c r="A4433" s="5" t="n">
        <v>7</v>
      </c>
      <c r="B4433" s="5" t="n">
        <v>1</v>
      </c>
      <c r="C4433" s="5" t="s">
        <v>719</v>
      </c>
      <c r="D4433" s="5" t="s">
        <v>2050</v>
      </c>
      <c r="E4433" s="5" t="n">
        <v>1</v>
      </c>
      <c r="F4433" s="6" t="n">
        <f aca="false">IFERROR(MATCH(A4433&amp;"|"&amp;B4433&amp;"|"&amp;D4433,'All Song Rankings'!$T:$T,0),0)</f>
        <v>685</v>
      </c>
      <c r="G4433" s="6" t="str">
        <f aca="false">IF(F4433=0,"NOT FOUND",INDEX('All Song Rankings'!$A:$A,F4433))</f>
        <v>About A Girl</v>
      </c>
      <c r="H4433" s="6" t="str">
        <f aca="false">IF(F4433=0,"NOT FOUND",INDEX('All Song Rankings'!$B:$B,F4433))</f>
        <v>Nirvana</v>
      </c>
      <c r="I4433" s="6" t="str">
        <f aca="false">IF(F4433=0,"NOT FOUND",INDEX('All Song Rankings'!$D:$D,F4433))</f>
        <v>Scott</v>
      </c>
      <c r="J4433" s="7" t="str">
        <f aca="false">IF(F4433=0,"NOT FOUND",IF(C4433=I4433,"SELF-VOTE",IF(COUNTIF($K:$K,K4433)&gt;1,"DUPLICATE","OK")))</f>
        <v>OK</v>
      </c>
      <c r="K4433" s="6" t="str">
        <f aca="false">A4433&amp;"|"&amp;B4433&amp;"|"&amp;C4433&amp;"|"&amp;D4433</f>
        <v>7|1|Christine|spotify:track:2SHTKB8YYlawTGIuJ2b2ok</v>
      </c>
    </row>
    <row r="4434" customFormat="false" ht="15" hidden="false" customHeight="false" outlineLevel="0" collapsed="false">
      <c r="A4434" s="5" t="n">
        <v>7</v>
      </c>
      <c r="B4434" s="5" t="n">
        <v>1</v>
      </c>
      <c r="C4434" s="5" t="s">
        <v>719</v>
      </c>
      <c r="D4434" s="5" t="s">
        <v>2020</v>
      </c>
      <c r="E4434" s="5" t="n">
        <v>1</v>
      </c>
      <c r="F4434" s="6" t="n">
        <f aca="false">IFERROR(MATCH(A4434&amp;"|"&amp;B4434&amp;"|"&amp;D4434,'All Song Rankings'!$T:$T,0),0)</f>
        <v>672</v>
      </c>
      <c r="G4434" s="6" t="str">
        <f aca="false">IF(F4434=0,"NOT FOUND",INDEX('All Song Rankings'!$A:$A,F4434))</f>
        <v>Just Dance</v>
      </c>
      <c r="H4434" s="6" t="str">
        <f aca="false">IF(F4434=0,"NOT FOUND",INDEX('All Song Rankings'!$B:$B,F4434))</f>
        <v>Lady Gaga, Colby O'Donis</v>
      </c>
      <c r="I4434" s="6" t="str">
        <f aca="false">IF(F4434=0,"NOT FOUND",INDEX('All Song Rankings'!$D:$D,F4434))</f>
        <v>Lucia</v>
      </c>
      <c r="J4434" s="7" t="str">
        <f aca="false">IF(F4434=0,"NOT FOUND",IF(C4434=I4434,"SELF-VOTE",IF(COUNTIF($K:$K,K4434)&gt;1,"DUPLICATE","OK")))</f>
        <v>OK</v>
      </c>
      <c r="K4434" s="6" t="str">
        <f aca="false">A4434&amp;"|"&amp;B4434&amp;"|"&amp;C4434&amp;"|"&amp;D4434</f>
        <v>7|1|Christine|spotify:track:2x7MyWybabEz6Y6wvHuwGE</v>
      </c>
    </row>
    <row r="4435" customFormat="false" ht="15" hidden="false" customHeight="false" outlineLevel="0" collapsed="false">
      <c r="A4435" s="5" t="n">
        <v>7</v>
      </c>
      <c r="B4435" s="5" t="n">
        <v>1</v>
      </c>
      <c r="C4435" s="5" t="s">
        <v>719</v>
      </c>
      <c r="D4435" s="5" t="s">
        <v>2030</v>
      </c>
      <c r="E4435" s="5" t="n">
        <v>1</v>
      </c>
      <c r="F4435" s="6" t="n">
        <f aca="false">IFERROR(MATCH(A4435&amp;"|"&amp;B4435&amp;"|"&amp;D4435,'All Song Rankings'!$T:$T,0),0)</f>
        <v>677</v>
      </c>
      <c r="G4435" s="6" t="str">
        <f aca="false">IF(F4435=0,"NOT FOUND",INDEX('All Song Rankings'!$A:$A,F4435))</f>
        <v>Here With Me</v>
      </c>
      <c r="H4435" s="6" t="str">
        <f aca="false">IF(F4435=0,"NOT FOUND",INDEX('All Song Rankings'!$B:$B,F4435))</f>
        <v>Dido</v>
      </c>
      <c r="I4435" s="6" t="str">
        <f aca="false">IF(F4435=0,"NOT FOUND",INDEX('All Song Rankings'!$D:$D,F4435))</f>
        <v>Lisa</v>
      </c>
      <c r="J4435" s="7" t="str">
        <f aca="false">IF(F4435=0,"NOT FOUND",IF(C4435=I4435,"SELF-VOTE",IF(COUNTIF($K:$K,K4435)&gt;1,"DUPLICATE","OK")))</f>
        <v>OK</v>
      </c>
      <c r="K4435" s="6" t="str">
        <f aca="false">A4435&amp;"|"&amp;B4435&amp;"|"&amp;C4435&amp;"|"&amp;D4435</f>
        <v>7|1|Christine|spotify:track:4xFxK0FXmNlUDRgCaIQCVn</v>
      </c>
    </row>
    <row r="4436" customFormat="false" ht="15" hidden="false" customHeight="false" outlineLevel="0" collapsed="false">
      <c r="A4436" s="5" t="n">
        <v>7</v>
      </c>
      <c r="B4436" s="5" t="n">
        <v>1</v>
      </c>
      <c r="C4436" s="5" t="s">
        <v>719</v>
      </c>
      <c r="D4436" s="5" t="s">
        <v>2033</v>
      </c>
      <c r="E4436" s="5" t="n">
        <v>1</v>
      </c>
      <c r="F4436" s="6" t="n">
        <f aca="false">IFERROR(MATCH(A4436&amp;"|"&amp;B4436&amp;"|"&amp;D4436,'All Song Rankings'!$T:$T,0),0)</f>
        <v>678</v>
      </c>
      <c r="G4436" s="6" t="str">
        <f aca="false">IF(F4436=0,"NOT FOUND",INDEX('All Song Rankings'!$A:$A,F4436))</f>
        <v>I Want You Back</v>
      </c>
      <c r="H4436" s="6" t="str">
        <f aca="false">IF(F4436=0,"NOT FOUND",INDEX('All Song Rankings'!$B:$B,F4436))</f>
        <v>The Jackson 5</v>
      </c>
      <c r="I4436" s="6" t="str">
        <f aca="false">IF(F4436=0,"NOT FOUND",INDEX('All Song Rankings'!$D:$D,F4436))</f>
        <v>Kristen</v>
      </c>
      <c r="J4436" s="7" t="str">
        <f aca="false">IF(F4436=0,"NOT FOUND",IF(C4436=I4436,"SELF-VOTE",IF(COUNTIF($K:$K,K4436)&gt;1,"DUPLICATE","OK")))</f>
        <v>OK</v>
      </c>
      <c r="K4436" s="6" t="str">
        <f aca="false">A4436&amp;"|"&amp;B4436&amp;"|"&amp;C4436&amp;"|"&amp;D4436</f>
        <v>7|1|Christine|spotify:track:75EVUbTF5l9VuMHs6AuFgp</v>
      </c>
    </row>
    <row r="4437" customFormat="false" ht="15" hidden="false" customHeight="false" outlineLevel="0" collapsed="false">
      <c r="A4437" s="5" t="n">
        <v>7</v>
      </c>
      <c r="B4437" s="5" t="n">
        <v>1</v>
      </c>
      <c r="C4437" s="5" t="s">
        <v>719</v>
      </c>
      <c r="D4437" s="5" t="s">
        <v>2016</v>
      </c>
      <c r="E4437" s="5" t="n">
        <v>1</v>
      </c>
      <c r="F4437" s="6" t="n">
        <f aca="false">IFERROR(MATCH(A4437&amp;"|"&amp;B4437&amp;"|"&amp;D4437,'All Song Rankings'!$T:$T,0),0)</f>
        <v>671</v>
      </c>
      <c r="G4437" s="6" t="str">
        <f aca="false">IF(F4437=0,"NOT FOUND",INDEX('All Song Rankings'!$A:$A,F4437))</f>
        <v>Just the Way You Are</v>
      </c>
      <c r="H4437" s="6" t="str">
        <f aca="false">IF(F4437=0,"NOT FOUND",INDEX('All Song Rankings'!$B:$B,F4437))</f>
        <v>Bruno Mars</v>
      </c>
      <c r="I4437" s="6" t="str">
        <f aca="false">IF(F4437=0,"NOT FOUND",INDEX('All Song Rankings'!$D:$D,F4437))</f>
        <v>Merita</v>
      </c>
      <c r="J4437" s="7" t="str">
        <f aca="false">IF(F4437=0,"NOT FOUND",IF(C4437=I4437,"SELF-VOTE",IF(COUNTIF($K:$K,K4437)&gt;1,"DUPLICATE","OK")))</f>
        <v>OK</v>
      </c>
      <c r="K4437" s="6" t="str">
        <f aca="false">A4437&amp;"|"&amp;B4437&amp;"|"&amp;C4437&amp;"|"&amp;D4437</f>
        <v>7|1|Christine|spotify:track:7BqBn9nzAq8spo5e7cZ0dJ</v>
      </c>
    </row>
    <row r="4438" customFormat="false" ht="15" hidden="false" customHeight="false" outlineLevel="0" collapsed="false">
      <c r="A4438" s="5" t="n">
        <v>7</v>
      </c>
      <c r="B4438" s="5" t="n">
        <v>1</v>
      </c>
      <c r="C4438" s="5" t="s">
        <v>719</v>
      </c>
      <c r="D4438" s="5" t="s">
        <v>2041</v>
      </c>
      <c r="E4438" s="5" t="n">
        <v>1</v>
      </c>
      <c r="F4438" s="6" t="n">
        <f aca="false">IFERROR(MATCH(A4438&amp;"|"&amp;B4438&amp;"|"&amp;D4438,'All Song Rankings'!$T:$T,0),0)</f>
        <v>681</v>
      </c>
      <c r="G4438" s="6" t="str">
        <f aca="false">IF(F4438=0,"NOT FOUND",INDEX('All Song Rankings'!$A:$A,F4438))</f>
        <v>Break Up In A Small Town</v>
      </c>
      <c r="H4438" s="6" t="str">
        <f aca="false">IF(F4438=0,"NOT FOUND",INDEX('All Song Rankings'!$B:$B,F4438))</f>
        <v>Sam Hunt</v>
      </c>
      <c r="I4438" s="6" t="str">
        <f aca="false">IF(F4438=0,"NOT FOUND",INDEX('All Song Rankings'!$D:$D,F4438))</f>
        <v>Leah</v>
      </c>
      <c r="J4438" s="7" t="str">
        <f aca="false">IF(F4438=0,"NOT FOUND",IF(C4438=I4438,"SELF-VOTE",IF(COUNTIF($K:$K,K4438)&gt;1,"DUPLICATE","OK")))</f>
        <v>OK</v>
      </c>
      <c r="K4438" s="6" t="str">
        <f aca="false">A4438&amp;"|"&amp;B4438&amp;"|"&amp;C4438&amp;"|"&amp;D4438</f>
        <v>7|1|Christine|spotify:track:7aftSOGSOpSoIlVAQVBb71</v>
      </c>
    </row>
    <row r="4439" customFormat="false" ht="15" hidden="false" customHeight="false" outlineLevel="0" collapsed="false">
      <c r="A4439" s="5" t="n">
        <v>7</v>
      </c>
      <c r="B4439" s="5" t="n">
        <v>1</v>
      </c>
      <c r="C4439" s="5" t="s">
        <v>637</v>
      </c>
      <c r="D4439" s="5" t="s">
        <v>2035</v>
      </c>
      <c r="E4439" s="5" t="n">
        <v>1</v>
      </c>
      <c r="F4439" s="6" t="n">
        <f aca="false">IFERROR(MATCH(A4439&amp;"|"&amp;B4439&amp;"|"&amp;D4439,'All Song Rankings'!$T:$T,0),0)</f>
        <v>679</v>
      </c>
      <c r="G4439" s="6" t="str">
        <f aca="false">IF(F4439=0,"NOT FOUND",INDEX('All Song Rankings'!$A:$A,F4439))</f>
        <v>Nine in the Afternoon - Single Mix</v>
      </c>
      <c r="H4439" s="6" t="str">
        <f aca="false">IF(F4439=0,"NOT FOUND",INDEX('All Song Rankings'!$B:$B,F4439))</f>
        <v>Panic! At The Disco</v>
      </c>
      <c r="I4439" s="6" t="str">
        <f aca="false">IF(F4439=0,"NOT FOUND",INDEX('All Song Rankings'!$D:$D,F4439))</f>
        <v>Kelsey</v>
      </c>
      <c r="J4439" s="7" t="str">
        <f aca="false">IF(F4439=0,"NOT FOUND",IF(C4439=I4439,"SELF-VOTE",IF(COUNTIF($K:$K,K4439)&gt;1,"DUPLICATE","OK")))</f>
        <v>OK</v>
      </c>
      <c r="K4439" s="6" t="str">
        <f aca="false">A4439&amp;"|"&amp;B4439&amp;"|"&amp;C4439&amp;"|"&amp;D4439</f>
        <v>7|1|Colleen|spotify:track:1S30kHvkkdMkcuCTGSgS41</v>
      </c>
    </row>
    <row r="4440" customFormat="false" ht="15" hidden="false" customHeight="false" outlineLevel="0" collapsed="false">
      <c r="A4440" s="5" t="n">
        <v>7</v>
      </c>
      <c r="B4440" s="5" t="n">
        <v>1</v>
      </c>
      <c r="C4440" s="5" t="s">
        <v>637</v>
      </c>
      <c r="D4440" s="5" t="s">
        <v>2027</v>
      </c>
      <c r="E4440" s="5" t="n">
        <v>1</v>
      </c>
      <c r="F4440" s="6" t="n">
        <f aca="false">IFERROR(MATCH(A4440&amp;"|"&amp;B4440&amp;"|"&amp;D4440,'All Song Rankings'!$T:$T,0),0)</f>
        <v>675</v>
      </c>
      <c r="G4440" s="6" t="str">
        <f aca="false">IF(F4440=0,"NOT FOUND",INDEX('All Song Rankings'!$A:$A,F4440))</f>
        <v>Papercut</v>
      </c>
      <c r="H4440" s="6" t="str">
        <f aca="false">IF(F4440=0,"NOT FOUND",INDEX('All Song Rankings'!$B:$B,F4440))</f>
        <v>Linkin Park</v>
      </c>
      <c r="I4440" s="6" t="str">
        <f aca="false">IF(F4440=0,"NOT FOUND",INDEX('All Song Rankings'!$D:$D,F4440))</f>
        <v>Matt</v>
      </c>
      <c r="J4440" s="7" t="str">
        <f aca="false">IF(F4440=0,"NOT FOUND",IF(C4440=I4440,"SELF-VOTE",IF(COUNTIF($K:$K,K4440)&gt;1,"DUPLICATE","OK")))</f>
        <v>OK</v>
      </c>
      <c r="K4440" s="6" t="str">
        <f aca="false">A4440&amp;"|"&amp;B4440&amp;"|"&amp;C4440&amp;"|"&amp;D4440</f>
        <v>7|1|Colleen|spotify:track:1Vej0qeQ3ioKwpI6FUbRv1</v>
      </c>
    </row>
    <row r="4441" customFormat="false" ht="15" hidden="false" customHeight="false" outlineLevel="0" collapsed="false">
      <c r="A4441" s="5" t="n">
        <v>7</v>
      </c>
      <c r="B4441" s="5" t="n">
        <v>1</v>
      </c>
      <c r="C4441" s="5" t="s">
        <v>637</v>
      </c>
      <c r="D4441" s="5" t="s">
        <v>1317</v>
      </c>
      <c r="E4441" s="5" t="n">
        <v>1</v>
      </c>
      <c r="F4441" s="6" t="n">
        <f aca="false">IFERROR(MATCH(A4441&amp;"|"&amp;B4441&amp;"|"&amp;D4441,'All Song Rankings'!$T:$T,0),0)</f>
        <v>676</v>
      </c>
      <c r="G4441" s="6" t="str">
        <f aca="false">IF(F4441=0,"NOT FOUND",INDEX('All Song Rankings'!$A:$A,F4441))</f>
        <v>…Baby One More Time</v>
      </c>
      <c r="H4441" s="6" t="str">
        <f aca="false">IF(F4441=0,"NOT FOUND",INDEX('All Song Rankings'!$B:$B,F4441))</f>
        <v>Britney Spears</v>
      </c>
      <c r="I4441" s="6" t="str">
        <f aca="false">IF(F4441=0,"NOT FOUND",INDEX('All Song Rankings'!$D:$D,F4441))</f>
        <v>Stephanie</v>
      </c>
      <c r="J4441" s="7" t="str">
        <f aca="false">IF(F4441=0,"NOT FOUND",IF(C4441=I4441,"SELF-VOTE",IF(COUNTIF($K:$K,K4441)&gt;1,"DUPLICATE","OK")))</f>
        <v>OK</v>
      </c>
      <c r="K4441" s="6" t="str">
        <f aca="false">A4441&amp;"|"&amp;B4441&amp;"|"&amp;C4441&amp;"|"&amp;D4441</f>
        <v>7|1|Colleen|spotify:track:3MjUtNVVq3C8Fn0MP3zhXa</v>
      </c>
    </row>
    <row r="4442" customFormat="false" ht="15" hidden="false" customHeight="false" outlineLevel="0" collapsed="false">
      <c r="A4442" s="5" t="n">
        <v>7</v>
      </c>
      <c r="B4442" s="5" t="n">
        <v>1</v>
      </c>
      <c r="C4442" s="5" t="s">
        <v>637</v>
      </c>
      <c r="D4442" s="5" t="s">
        <v>2022</v>
      </c>
      <c r="E4442" s="5" t="n">
        <v>1</v>
      </c>
      <c r="F4442" s="6" t="n">
        <f aca="false">IFERROR(MATCH(A4442&amp;"|"&amp;B4442&amp;"|"&amp;D4442,'All Song Rankings'!$T:$T,0),0)</f>
        <v>673</v>
      </c>
      <c r="G4442" s="6" t="str">
        <f aca="false">IF(F4442=0,"NOT FOUND",INDEX('All Song Rankings'!$A:$A,F4442))</f>
        <v>One Thing</v>
      </c>
      <c r="H4442" s="6" t="str">
        <f aca="false">IF(F4442=0,"NOT FOUND",INDEX('All Song Rankings'!$B:$B,F4442))</f>
        <v>One Direction</v>
      </c>
      <c r="I4442" s="6" t="str">
        <f aca="false">IF(F4442=0,"NOT FOUND",INDEX('All Song Rankings'!$D:$D,F4442))</f>
        <v>Josh</v>
      </c>
      <c r="J4442" s="7" t="str">
        <f aca="false">IF(F4442=0,"NOT FOUND",IF(C4442=I4442,"SELF-VOTE",IF(COUNTIF($K:$K,K4442)&gt;1,"DUPLICATE","OK")))</f>
        <v>OK</v>
      </c>
      <c r="K4442" s="6" t="str">
        <f aca="false">A4442&amp;"|"&amp;B4442&amp;"|"&amp;C4442&amp;"|"&amp;D4442</f>
        <v>7|1|Colleen|spotify:track:5G2c6FsfTzgYUzageCmfXY</v>
      </c>
    </row>
    <row r="4443" customFormat="false" ht="15" hidden="false" customHeight="false" outlineLevel="0" collapsed="false">
      <c r="A4443" s="5" t="n">
        <v>7</v>
      </c>
      <c r="B4443" s="5" t="n">
        <v>1</v>
      </c>
      <c r="C4443" s="5" t="s">
        <v>637</v>
      </c>
      <c r="D4443" s="5" t="s">
        <v>2045</v>
      </c>
      <c r="E4443" s="5" t="n">
        <v>1</v>
      </c>
      <c r="F4443" s="6" t="n">
        <f aca="false">IFERROR(MATCH(A4443&amp;"|"&amp;B4443&amp;"|"&amp;D4443,'All Song Rankings'!$T:$T,0),0)</f>
        <v>683</v>
      </c>
      <c r="G4443" s="6" t="str">
        <f aca="false">IF(F4443=0,"NOT FOUND",INDEX('All Song Rankings'!$A:$A,F4443))</f>
        <v>Dance Monkey</v>
      </c>
      <c r="H4443" s="6" t="str">
        <f aca="false">IF(F4443=0,"NOT FOUND",INDEX('All Song Rankings'!$B:$B,F4443))</f>
        <v>Tones And I</v>
      </c>
      <c r="I4443" s="6" t="str">
        <f aca="false">IF(F4443=0,"NOT FOUND",INDEX('All Song Rankings'!$D:$D,F4443))</f>
        <v>Grace</v>
      </c>
      <c r="J4443" s="7" t="str">
        <f aca="false">IF(F4443=0,"NOT FOUND",IF(C4443=I4443,"SELF-VOTE",IF(COUNTIF($K:$K,K4443)&gt;1,"DUPLICATE","OK")))</f>
        <v>OK</v>
      </c>
      <c r="K4443" s="6" t="str">
        <f aca="false">A4443&amp;"|"&amp;B4443&amp;"|"&amp;C4443&amp;"|"&amp;D4443</f>
        <v>7|1|Colleen|spotify:track:5ZULALImTm80tzUbYQYM9d</v>
      </c>
    </row>
    <row r="4444" customFormat="false" ht="15" hidden="false" customHeight="false" outlineLevel="0" collapsed="false">
      <c r="A4444" s="5" t="n">
        <v>7</v>
      </c>
      <c r="B4444" s="5" t="n">
        <v>1</v>
      </c>
      <c r="C4444" s="5" t="s">
        <v>637</v>
      </c>
      <c r="D4444" s="5" t="s">
        <v>2044</v>
      </c>
      <c r="E4444" s="5" t="n">
        <v>1</v>
      </c>
      <c r="F4444" s="6" t="n">
        <f aca="false">IFERROR(MATCH(A4444&amp;"|"&amp;B4444&amp;"|"&amp;D4444,'All Song Rankings'!$T:$T,0),0)</f>
        <v>682</v>
      </c>
      <c r="G4444" s="6" t="str">
        <f aca="false">IF(F4444=0,"NOT FOUND",INDEX('All Song Rankings'!$A:$A,F4444))</f>
        <v>Snow Angel</v>
      </c>
      <c r="H4444" s="6" t="str">
        <f aca="false">IF(F4444=0,"NOT FOUND",INDEX('All Song Rankings'!$B:$B,F4444))</f>
        <v>Reneé Rapp</v>
      </c>
      <c r="I4444" s="6" t="str">
        <f aca="false">IF(F4444=0,"NOT FOUND",INDEX('All Song Rankings'!$D:$D,F4444))</f>
        <v>Logan</v>
      </c>
      <c r="J4444" s="7" t="str">
        <f aca="false">IF(F4444=0,"NOT FOUND",IF(C4444=I4444,"SELF-VOTE",IF(COUNTIF($K:$K,K4444)&gt;1,"DUPLICATE","OK")))</f>
        <v>OK</v>
      </c>
      <c r="K4444" s="6" t="str">
        <f aca="false">A4444&amp;"|"&amp;B4444&amp;"|"&amp;C4444&amp;"|"&amp;D4444</f>
        <v>7|1|Colleen|spotify:track:6skUuqrKMQIjjo75hWGAvQ</v>
      </c>
    </row>
    <row r="4445" customFormat="false" ht="15" hidden="false" customHeight="false" outlineLevel="0" collapsed="false">
      <c r="A4445" s="5" t="n">
        <v>7</v>
      </c>
      <c r="B4445" s="5" t="n">
        <v>1</v>
      </c>
      <c r="C4445" s="5" t="s">
        <v>637</v>
      </c>
      <c r="D4445" s="5" t="s">
        <v>2033</v>
      </c>
      <c r="E4445" s="5" t="n">
        <v>1</v>
      </c>
      <c r="F4445" s="6" t="n">
        <f aca="false">IFERROR(MATCH(A4445&amp;"|"&amp;B4445&amp;"|"&amp;D4445,'All Song Rankings'!$T:$T,0),0)</f>
        <v>678</v>
      </c>
      <c r="G4445" s="6" t="str">
        <f aca="false">IF(F4445=0,"NOT FOUND",INDEX('All Song Rankings'!$A:$A,F4445))</f>
        <v>I Want You Back</v>
      </c>
      <c r="H4445" s="6" t="str">
        <f aca="false">IF(F4445=0,"NOT FOUND",INDEX('All Song Rankings'!$B:$B,F4445))</f>
        <v>The Jackson 5</v>
      </c>
      <c r="I4445" s="6" t="str">
        <f aca="false">IF(F4445=0,"NOT FOUND",INDEX('All Song Rankings'!$D:$D,F4445))</f>
        <v>Kristen</v>
      </c>
      <c r="J4445" s="7" t="str">
        <f aca="false">IF(F4445=0,"NOT FOUND",IF(C4445=I4445,"SELF-VOTE",IF(COUNTIF($K:$K,K4445)&gt;1,"DUPLICATE","OK")))</f>
        <v>OK</v>
      </c>
      <c r="K4445" s="6" t="str">
        <f aca="false">A4445&amp;"|"&amp;B4445&amp;"|"&amp;C4445&amp;"|"&amp;D4445</f>
        <v>7|1|Colleen|spotify:track:75EVUbTF5l9VuMHs6AuFgp</v>
      </c>
    </row>
    <row r="4446" customFormat="false" ht="15" hidden="false" customHeight="false" outlineLevel="0" collapsed="false">
      <c r="A4446" s="5" t="n">
        <v>7</v>
      </c>
      <c r="B4446" s="5" t="n">
        <v>1</v>
      </c>
      <c r="C4446" s="5" t="s">
        <v>637</v>
      </c>
      <c r="D4446" s="5" t="s">
        <v>2016</v>
      </c>
      <c r="E4446" s="5" t="n">
        <v>2</v>
      </c>
      <c r="F4446" s="6" t="n">
        <f aca="false">IFERROR(MATCH(A4446&amp;"|"&amp;B4446&amp;"|"&amp;D4446,'All Song Rankings'!$T:$T,0),0)</f>
        <v>671</v>
      </c>
      <c r="G4446" s="6" t="str">
        <f aca="false">IF(F4446=0,"NOT FOUND",INDEX('All Song Rankings'!$A:$A,F4446))</f>
        <v>Just the Way You Are</v>
      </c>
      <c r="H4446" s="6" t="str">
        <f aca="false">IF(F4446=0,"NOT FOUND",INDEX('All Song Rankings'!$B:$B,F4446))</f>
        <v>Bruno Mars</v>
      </c>
      <c r="I4446" s="6" t="str">
        <f aca="false">IF(F4446=0,"NOT FOUND",INDEX('All Song Rankings'!$D:$D,F4446))</f>
        <v>Merita</v>
      </c>
      <c r="J4446" s="7" t="str">
        <f aca="false">IF(F4446=0,"NOT FOUND",IF(C4446=I4446,"SELF-VOTE",IF(COUNTIF($K:$K,K4446)&gt;1,"DUPLICATE","OK")))</f>
        <v>OK</v>
      </c>
      <c r="K4446" s="6" t="str">
        <f aca="false">A4446&amp;"|"&amp;B4446&amp;"|"&amp;C4446&amp;"|"&amp;D4446</f>
        <v>7|1|Colleen|spotify:track:7BqBn9nzAq8spo5e7cZ0dJ</v>
      </c>
    </row>
    <row r="4447" customFormat="false" ht="15" hidden="false" customHeight="false" outlineLevel="0" collapsed="false">
      <c r="A4447" s="5" t="n">
        <v>7</v>
      </c>
      <c r="B4447" s="5" t="n">
        <v>1</v>
      </c>
      <c r="C4447" s="5" t="s">
        <v>637</v>
      </c>
      <c r="D4447" s="5" t="s">
        <v>2041</v>
      </c>
      <c r="E4447" s="5" t="n">
        <v>1</v>
      </c>
      <c r="F4447" s="6" t="n">
        <f aca="false">IFERROR(MATCH(A4447&amp;"|"&amp;B4447&amp;"|"&amp;D4447,'All Song Rankings'!$T:$T,0),0)</f>
        <v>681</v>
      </c>
      <c r="G4447" s="6" t="str">
        <f aca="false">IF(F4447=0,"NOT FOUND",INDEX('All Song Rankings'!$A:$A,F4447))</f>
        <v>Break Up In A Small Town</v>
      </c>
      <c r="H4447" s="6" t="str">
        <f aca="false">IF(F4447=0,"NOT FOUND",INDEX('All Song Rankings'!$B:$B,F4447))</f>
        <v>Sam Hunt</v>
      </c>
      <c r="I4447" s="6" t="str">
        <f aca="false">IF(F4447=0,"NOT FOUND",INDEX('All Song Rankings'!$D:$D,F4447))</f>
        <v>Leah</v>
      </c>
      <c r="J4447" s="7" t="str">
        <f aca="false">IF(F4447=0,"NOT FOUND",IF(C4447=I4447,"SELF-VOTE",IF(COUNTIF($K:$K,K4447)&gt;1,"DUPLICATE","OK")))</f>
        <v>OK</v>
      </c>
      <c r="K4447" s="6" t="str">
        <f aca="false">A4447&amp;"|"&amp;B4447&amp;"|"&amp;C4447&amp;"|"&amp;D4447</f>
        <v>7|1|Colleen|spotify:track:7aftSOGSOpSoIlVAQVBb71</v>
      </c>
    </row>
    <row r="4448" customFormat="false" ht="15" hidden="false" customHeight="false" outlineLevel="0" collapsed="false">
      <c r="A4448" s="5" t="n">
        <v>7</v>
      </c>
      <c r="B4448" s="5" t="n">
        <v>1</v>
      </c>
      <c r="C4448" s="5" t="s">
        <v>382</v>
      </c>
      <c r="D4448" s="5" t="s">
        <v>2024</v>
      </c>
      <c r="E4448" s="5" t="n">
        <v>3</v>
      </c>
      <c r="F4448" s="6" t="n">
        <f aca="false">IFERROR(MATCH(A4448&amp;"|"&amp;B4448&amp;"|"&amp;D4448,'All Song Rankings'!$T:$T,0),0)</f>
        <v>674</v>
      </c>
      <c r="G4448" s="6" t="str">
        <f aca="false">IF(F4448=0,"NOT FOUND",INDEX('All Song Rankings'!$A:$A,F4448))</f>
        <v>Swing, Swing</v>
      </c>
      <c r="H4448" s="6" t="str">
        <f aca="false">IF(F4448=0,"NOT FOUND",INDEX('All Song Rankings'!$B:$B,F4448))</f>
        <v>The All-American Rejects</v>
      </c>
      <c r="I4448" s="6" t="str">
        <f aca="false">IF(F4448=0,"NOT FOUND",INDEX('All Song Rankings'!$D:$D,F4448))</f>
        <v>Colleen</v>
      </c>
      <c r="J4448" s="7" t="str">
        <f aca="false">IF(F4448=0,"NOT FOUND",IF(C4448=I4448,"SELF-VOTE",IF(COUNTIF($K:$K,K4448)&gt;1,"DUPLICATE","OK")))</f>
        <v>OK</v>
      </c>
      <c r="K4448" s="6" t="str">
        <f aca="false">A4448&amp;"|"&amp;B4448&amp;"|"&amp;C4448&amp;"|"&amp;D4448</f>
        <v>7|1|Grace|spotify:track:003FTlCpBTM4eSqYSWPv4H</v>
      </c>
    </row>
    <row r="4449" customFormat="false" ht="15" hidden="false" customHeight="false" outlineLevel="0" collapsed="false">
      <c r="A4449" s="5" t="n">
        <v>7</v>
      </c>
      <c r="B4449" s="5" t="n">
        <v>1</v>
      </c>
      <c r="C4449" s="5" t="s">
        <v>382</v>
      </c>
      <c r="D4449" s="5" t="s">
        <v>2048</v>
      </c>
      <c r="E4449" s="5" t="n">
        <v>1</v>
      </c>
      <c r="F4449" s="6" t="n">
        <f aca="false">IFERROR(MATCH(A4449&amp;"|"&amp;B4449&amp;"|"&amp;D4449,'All Song Rankings'!$T:$T,0),0)</f>
        <v>684</v>
      </c>
      <c r="G4449" s="6" t="str">
        <f aca="false">IF(F4449=0,"NOT FOUND",INDEX('All Song Rankings'!$A:$A,F4449))</f>
        <v>More Than a Feeling</v>
      </c>
      <c r="H4449" s="6" t="str">
        <f aca="false">IF(F4449=0,"NOT FOUND",INDEX('All Song Rankings'!$B:$B,F4449))</f>
        <v>Boston</v>
      </c>
      <c r="I4449" s="6" t="str">
        <f aca="false">IF(F4449=0,"NOT FOUND",INDEX('All Song Rankings'!$D:$D,F4449))</f>
        <v>Aubrey</v>
      </c>
      <c r="J4449" s="7" t="str">
        <f aca="false">IF(F4449=0,"NOT FOUND",IF(C4449=I4449,"SELF-VOTE",IF(COUNTIF($K:$K,K4449)&gt;1,"DUPLICATE","OK")))</f>
        <v>OK</v>
      </c>
      <c r="K4449" s="6" t="str">
        <f aca="false">A4449&amp;"|"&amp;B4449&amp;"|"&amp;C4449&amp;"|"&amp;D4449</f>
        <v>7|1|Grace|spotify:track:1QEEqeFIZktqIpPI4jSVSF</v>
      </c>
    </row>
    <row r="4450" customFormat="false" ht="15" hidden="false" customHeight="false" outlineLevel="0" collapsed="false">
      <c r="A4450" s="5" t="n">
        <v>7</v>
      </c>
      <c r="B4450" s="5" t="n">
        <v>1</v>
      </c>
      <c r="C4450" s="5" t="s">
        <v>382</v>
      </c>
      <c r="D4450" s="5" t="s">
        <v>2035</v>
      </c>
      <c r="E4450" s="5" t="n">
        <v>1</v>
      </c>
      <c r="F4450" s="6" t="n">
        <f aca="false">IFERROR(MATCH(A4450&amp;"|"&amp;B4450&amp;"|"&amp;D4450,'All Song Rankings'!$T:$T,0),0)</f>
        <v>679</v>
      </c>
      <c r="G4450" s="6" t="str">
        <f aca="false">IF(F4450=0,"NOT FOUND",INDEX('All Song Rankings'!$A:$A,F4450))</f>
        <v>Nine in the Afternoon - Single Mix</v>
      </c>
      <c r="H4450" s="6" t="str">
        <f aca="false">IF(F4450=0,"NOT FOUND",INDEX('All Song Rankings'!$B:$B,F4450))</f>
        <v>Panic! At The Disco</v>
      </c>
      <c r="I4450" s="6" t="str">
        <f aca="false">IF(F4450=0,"NOT FOUND",INDEX('All Song Rankings'!$D:$D,F4450))</f>
        <v>Kelsey</v>
      </c>
      <c r="J4450" s="7" t="str">
        <f aca="false">IF(F4450=0,"NOT FOUND",IF(C4450=I4450,"SELF-VOTE",IF(COUNTIF($K:$K,K4450)&gt;1,"DUPLICATE","OK")))</f>
        <v>OK</v>
      </c>
      <c r="K4450" s="6" t="str">
        <f aca="false">A4450&amp;"|"&amp;B4450&amp;"|"&amp;C4450&amp;"|"&amp;D4450</f>
        <v>7|1|Grace|spotify:track:1S30kHvkkdMkcuCTGSgS41</v>
      </c>
    </row>
    <row r="4451" customFormat="false" ht="15" hidden="false" customHeight="false" outlineLevel="0" collapsed="false">
      <c r="A4451" s="5" t="n">
        <v>7</v>
      </c>
      <c r="B4451" s="5" t="n">
        <v>1</v>
      </c>
      <c r="C4451" s="5" t="s">
        <v>382</v>
      </c>
      <c r="D4451" s="5" t="s">
        <v>2020</v>
      </c>
      <c r="E4451" s="5" t="n">
        <v>1</v>
      </c>
      <c r="F4451" s="6" t="n">
        <f aca="false">IFERROR(MATCH(A4451&amp;"|"&amp;B4451&amp;"|"&amp;D4451,'All Song Rankings'!$T:$T,0),0)</f>
        <v>672</v>
      </c>
      <c r="G4451" s="6" t="str">
        <f aca="false">IF(F4451=0,"NOT FOUND",INDEX('All Song Rankings'!$A:$A,F4451))</f>
        <v>Just Dance</v>
      </c>
      <c r="H4451" s="6" t="str">
        <f aca="false">IF(F4451=0,"NOT FOUND",INDEX('All Song Rankings'!$B:$B,F4451))</f>
        <v>Lady Gaga, Colby O'Donis</v>
      </c>
      <c r="I4451" s="6" t="str">
        <f aca="false">IF(F4451=0,"NOT FOUND",INDEX('All Song Rankings'!$D:$D,F4451))</f>
        <v>Lucia</v>
      </c>
      <c r="J4451" s="7" t="str">
        <f aca="false">IF(F4451=0,"NOT FOUND",IF(C4451=I4451,"SELF-VOTE",IF(COUNTIF($K:$K,K4451)&gt;1,"DUPLICATE","OK")))</f>
        <v>OK</v>
      </c>
      <c r="K4451" s="6" t="str">
        <f aca="false">A4451&amp;"|"&amp;B4451&amp;"|"&amp;C4451&amp;"|"&amp;D4451</f>
        <v>7|1|Grace|spotify:track:2x7MyWybabEz6Y6wvHuwGE</v>
      </c>
    </row>
    <row r="4452" customFormat="false" ht="15" hidden="false" customHeight="false" outlineLevel="0" collapsed="false">
      <c r="A4452" s="5" t="n">
        <v>7</v>
      </c>
      <c r="B4452" s="5" t="n">
        <v>1</v>
      </c>
      <c r="C4452" s="5" t="s">
        <v>382</v>
      </c>
      <c r="D4452" s="5" t="s">
        <v>2030</v>
      </c>
      <c r="E4452" s="5" t="n">
        <v>1</v>
      </c>
      <c r="F4452" s="6" t="n">
        <f aca="false">IFERROR(MATCH(A4452&amp;"|"&amp;B4452&amp;"|"&amp;D4452,'All Song Rankings'!$T:$T,0),0)</f>
        <v>677</v>
      </c>
      <c r="G4452" s="6" t="str">
        <f aca="false">IF(F4452=0,"NOT FOUND",INDEX('All Song Rankings'!$A:$A,F4452))</f>
        <v>Here With Me</v>
      </c>
      <c r="H4452" s="6" t="str">
        <f aca="false">IF(F4452=0,"NOT FOUND",INDEX('All Song Rankings'!$B:$B,F4452))</f>
        <v>Dido</v>
      </c>
      <c r="I4452" s="6" t="str">
        <f aca="false">IF(F4452=0,"NOT FOUND",INDEX('All Song Rankings'!$D:$D,F4452))</f>
        <v>Lisa</v>
      </c>
      <c r="J4452" s="7" t="str">
        <f aca="false">IF(F4452=0,"NOT FOUND",IF(C4452=I4452,"SELF-VOTE",IF(COUNTIF($K:$K,K4452)&gt;1,"DUPLICATE","OK")))</f>
        <v>OK</v>
      </c>
      <c r="K4452" s="6" t="str">
        <f aca="false">A4452&amp;"|"&amp;B4452&amp;"|"&amp;C4452&amp;"|"&amp;D4452</f>
        <v>7|1|Grace|spotify:track:4xFxK0FXmNlUDRgCaIQCVn</v>
      </c>
    </row>
    <row r="4453" customFormat="false" ht="15" hidden="false" customHeight="false" outlineLevel="0" collapsed="false">
      <c r="A4453" s="5" t="n">
        <v>7</v>
      </c>
      <c r="B4453" s="5" t="n">
        <v>1</v>
      </c>
      <c r="C4453" s="5" t="s">
        <v>382</v>
      </c>
      <c r="D4453" s="5" t="s">
        <v>2022</v>
      </c>
      <c r="E4453" s="5" t="n">
        <v>2</v>
      </c>
      <c r="F4453" s="6" t="n">
        <f aca="false">IFERROR(MATCH(A4453&amp;"|"&amp;B4453&amp;"|"&amp;D4453,'All Song Rankings'!$T:$T,0),0)</f>
        <v>673</v>
      </c>
      <c r="G4453" s="6" t="str">
        <f aca="false">IF(F4453=0,"NOT FOUND",INDEX('All Song Rankings'!$A:$A,F4453))</f>
        <v>One Thing</v>
      </c>
      <c r="H4453" s="6" t="str">
        <f aca="false">IF(F4453=0,"NOT FOUND",INDEX('All Song Rankings'!$B:$B,F4453))</f>
        <v>One Direction</v>
      </c>
      <c r="I4453" s="6" t="str">
        <f aca="false">IF(F4453=0,"NOT FOUND",INDEX('All Song Rankings'!$D:$D,F4453))</f>
        <v>Josh</v>
      </c>
      <c r="J4453" s="7" t="str">
        <f aca="false">IF(F4453=0,"NOT FOUND",IF(C4453=I4453,"SELF-VOTE",IF(COUNTIF($K:$K,K4453)&gt;1,"DUPLICATE","OK")))</f>
        <v>OK</v>
      </c>
      <c r="K4453" s="6" t="str">
        <f aca="false">A4453&amp;"|"&amp;B4453&amp;"|"&amp;C4453&amp;"|"&amp;D4453</f>
        <v>7|1|Grace|spotify:track:5G2c6FsfTzgYUzageCmfXY</v>
      </c>
    </row>
    <row r="4454" customFormat="false" ht="15" hidden="false" customHeight="false" outlineLevel="0" collapsed="false">
      <c r="A4454" s="5" t="n">
        <v>7</v>
      </c>
      <c r="B4454" s="5" t="n">
        <v>1</v>
      </c>
      <c r="C4454" s="5" t="s">
        <v>382</v>
      </c>
      <c r="D4454" s="5" t="s">
        <v>2053</v>
      </c>
      <c r="E4454" s="5" t="n">
        <v>1</v>
      </c>
      <c r="F4454" s="6" t="n">
        <f aca="false">IFERROR(MATCH(A4454&amp;"|"&amp;B4454&amp;"|"&amp;D4454,'All Song Rankings'!$T:$T,0),0)</f>
        <v>686</v>
      </c>
      <c r="G4454" s="6" t="str">
        <f aca="false">IF(F4454=0,"NOT FOUND",INDEX('All Song Rankings'!$A:$A,F4454))</f>
        <v>Ain't No Sunshine</v>
      </c>
      <c r="H4454" s="6" t="str">
        <f aca="false">IF(F4454=0,"NOT FOUND",INDEX('All Song Rankings'!$B:$B,F4454))</f>
        <v>Michael Jackson</v>
      </c>
      <c r="I4454" s="6" t="str">
        <f aca="false">IF(F4454=0,"NOT FOUND",INDEX('All Song Rankings'!$D:$D,F4454))</f>
        <v>Sara</v>
      </c>
      <c r="J4454" s="7" t="str">
        <f aca="false">IF(F4454=0,"NOT FOUND",IF(C4454=I4454,"SELF-VOTE",IF(COUNTIF($K:$K,K4454)&gt;1,"DUPLICATE","OK")))</f>
        <v>OK</v>
      </c>
      <c r="K4454" s="6" t="str">
        <f aca="false">A4454&amp;"|"&amp;B4454&amp;"|"&amp;C4454&amp;"|"&amp;D4454</f>
        <v>7|1|Grace|spotify:track:5ou2nZT8UQJn1nuiUxAyjs</v>
      </c>
    </row>
    <row r="4455" customFormat="false" ht="15" hidden="false" customHeight="false" outlineLevel="0" collapsed="false">
      <c r="A4455" s="5" t="n">
        <v>7</v>
      </c>
      <c r="B4455" s="5" t="n">
        <v>1</v>
      </c>
      <c r="C4455" s="5" t="s">
        <v>1843</v>
      </c>
      <c r="D4455" s="5" t="s">
        <v>2048</v>
      </c>
      <c r="E4455" s="5" t="n">
        <v>1</v>
      </c>
      <c r="F4455" s="6" t="n">
        <f aca="false">IFERROR(MATCH(A4455&amp;"|"&amp;B4455&amp;"|"&amp;D4455,'All Song Rankings'!$T:$T,0),0)</f>
        <v>684</v>
      </c>
      <c r="G4455" s="6" t="str">
        <f aca="false">IF(F4455=0,"NOT FOUND",INDEX('All Song Rankings'!$A:$A,F4455))</f>
        <v>More Than a Feeling</v>
      </c>
      <c r="H4455" s="6" t="str">
        <f aca="false">IF(F4455=0,"NOT FOUND",INDEX('All Song Rankings'!$B:$B,F4455))</f>
        <v>Boston</v>
      </c>
      <c r="I4455" s="6" t="str">
        <f aca="false">IF(F4455=0,"NOT FOUND",INDEX('All Song Rankings'!$D:$D,F4455))</f>
        <v>Aubrey</v>
      </c>
      <c r="J4455" s="7" t="str">
        <f aca="false">IF(F4455=0,"NOT FOUND",IF(C4455=I4455,"SELF-VOTE",IF(COUNTIF($K:$K,K4455)&gt;1,"DUPLICATE","OK")))</f>
        <v>OK</v>
      </c>
      <c r="K4455" s="6" t="str">
        <f aca="false">A4455&amp;"|"&amp;B4455&amp;"|"&amp;C4455&amp;"|"&amp;D4455</f>
        <v>7|1|Josh|spotify:track:1QEEqeFIZktqIpPI4jSVSF</v>
      </c>
    </row>
    <row r="4456" customFormat="false" ht="15" hidden="false" customHeight="false" outlineLevel="0" collapsed="false">
      <c r="A4456" s="5" t="n">
        <v>7</v>
      </c>
      <c r="B4456" s="5" t="n">
        <v>1</v>
      </c>
      <c r="C4456" s="5" t="s">
        <v>1843</v>
      </c>
      <c r="D4456" s="5" t="s">
        <v>2020</v>
      </c>
      <c r="E4456" s="5" t="n">
        <v>2</v>
      </c>
      <c r="F4456" s="6" t="n">
        <f aca="false">IFERROR(MATCH(A4456&amp;"|"&amp;B4456&amp;"|"&amp;D4456,'All Song Rankings'!$T:$T,0),0)</f>
        <v>672</v>
      </c>
      <c r="G4456" s="6" t="str">
        <f aca="false">IF(F4456=0,"NOT FOUND",INDEX('All Song Rankings'!$A:$A,F4456))</f>
        <v>Just Dance</v>
      </c>
      <c r="H4456" s="6" t="str">
        <f aca="false">IF(F4456=0,"NOT FOUND",INDEX('All Song Rankings'!$B:$B,F4456))</f>
        <v>Lady Gaga, Colby O'Donis</v>
      </c>
      <c r="I4456" s="6" t="str">
        <f aca="false">IF(F4456=0,"NOT FOUND",INDEX('All Song Rankings'!$D:$D,F4456))</f>
        <v>Lucia</v>
      </c>
      <c r="J4456" s="7" t="str">
        <f aca="false">IF(F4456=0,"NOT FOUND",IF(C4456=I4456,"SELF-VOTE",IF(COUNTIF($K:$K,K4456)&gt;1,"DUPLICATE","OK")))</f>
        <v>OK</v>
      </c>
      <c r="K4456" s="6" t="str">
        <f aca="false">A4456&amp;"|"&amp;B4456&amp;"|"&amp;C4456&amp;"|"&amp;D4456</f>
        <v>7|1|Josh|spotify:track:2x7MyWybabEz6Y6wvHuwGE</v>
      </c>
    </row>
    <row r="4457" customFormat="false" ht="15" hidden="false" customHeight="false" outlineLevel="0" collapsed="false">
      <c r="A4457" s="5" t="n">
        <v>7</v>
      </c>
      <c r="B4457" s="5" t="n">
        <v>1</v>
      </c>
      <c r="C4457" s="5" t="s">
        <v>1843</v>
      </c>
      <c r="D4457" s="5" t="s">
        <v>2038</v>
      </c>
      <c r="E4457" s="5" t="n">
        <v>1</v>
      </c>
      <c r="F4457" s="6" t="n">
        <f aca="false">IFERROR(MATCH(A4457&amp;"|"&amp;B4457&amp;"|"&amp;D4457,'All Song Rankings'!$T:$T,0),0)</f>
        <v>680</v>
      </c>
      <c r="G4457" s="6" t="str">
        <f aca="false">IF(F4457=0,"NOT FOUND",INDEX('All Song Rankings'!$A:$A,F4457))</f>
        <v>Runnin' with the Devil - 2015 Remaster</v>
      </c>
      <c r="H4457" s="6" t="str">
        <f aca="false">IF(F4457=0,"NOT FOUND",INDEX('All Song Rankings'!$B:$B,F4457))</f>
        <v>Van Halen</v>
      </c>
      <c r="I4457" s="6" t="str">
        <f aca="false">IF(F4457=0,"NOT FOUND",INDEX('All Song Rankings'!$D:$D,F4457))</f>
        <v>Christine</v>
      </c>
      <c r="J4457" s="7" t="str">
        <f aca="false">IF(F4457=0,"NOT FOUND",IF(C4457=I4457,"SELF-VOTE",IF(COUNTIF($K:$K,K4457)&gt;1,"DUPLICATE","OK")))</f>
        <v>OK</v>
      </c>
      <c r="K4457" s="6" t="str">
        <f aca="false">A4457&amp;"|"&amp;B4457&amp;"|"&amp;C4457&amp;"|"&amp;D4457</f>
        <v>7|1|Josh|spotify:track:3KhF2YiNpJvGpfiCW45R6D</v>
      </c>
    </row>
    <row r="4458" customFormat="false" ht="15" hidden="false" customHeight="false" outlineLevel="0" collapsed="false">
      <c r="A4458" s="5" t="n">
        <v>7</v>
      </c>
      <c r="B4458" s="5" t="n">
        <v>1</v>
      </c>
      <c r="C4458" s="5" t="s">
        <v>1843</v>
      </c>
      <c r="D4458" s="5" t="s">
        <v>1317</v>
      </c>
      <c r="E4458" s="5" t="n">
        <v>2</v>
      </c>
      <c r="F4458" s="6" t="n">
        <f aca="false">IFERROR(MATCH(A4458&amp;"|"&amp;B4458&amp;"|"&amp;D4458,'All Song Rankings'!$T:$T,0),0)</f>
        <v>676</v>
      </c>
      <c r="G4458" s="6" t="str">
        <f aca="false">IF(F4458=0,"NOT FOUND",INDEX('All Song Rankings'!$A:$A,F4458))</f>
        <v>…Baby One More Time</v>
      </c>
      <c r="H4458" s="6" t="str">
        <f aca="false">IF(F4458=0,"NOT FOUND",INDEX('All Song Rankings'!$B:$B,F4458))</f>
        <v>Britney Spears</v>
      </c>
      <c r="I4458" s="6" t="str">
        <f aca="false">IF(F4458=0,"NOT FOUND",INDEX('All Song Rankings'!$D:$D,F4458))</f>
        <v>Stephanie</v>
      </c>
      <c r="J4458" s="7" t="str">
        <f aca="false">IF(F4458=0,"NOT FOUND",IF(C4458=I4458,"SELF-VOTE",IF(COUNTIF($K:$K,K4458)&gt;1,"DUPLICATE","OK")))</f>
        <v>OK</v>
      </c>
      <c r="K4458" s="6" t="str">
        <f aca="false">A4458&amp;"|"&amp;B4458&amp;"|"&amp;C4458&amp;"|"&amp;D4458</f>
        <v>7|1|Josh|spotify:track:3MjUtNVVq3C8Fn0MP3zhXa</v>
      </c>
    </row>
    <row r="4459" customFormat="false" ht="15" hidden="false" customHeight="false" outlineLevel="0" collapsed="false">
      <c r="A4459" s="5" t="n">
        <v>7</v>
      </c>
      <c r="B4459" s="5" t="n">
        <v>1</v>
      </c>
      <c r="C4459" s="5" t="s">
        <v>1843</v>
      </c>
      <c r="D4459" s="5" t="s">
        <v>2033</v>
      </c>
      <c r="E4459" s="5" t="n">
        <v>2</v>
      </c>
      <c r="F4459" s="6" t="n">
        <f aca="false">IFERROR(MATCH(A4459&amp;"|"&amp;B4459&amp;"|"&amp;D4459,'All Song Rankings'!$T:$T,0),0)</f>
        <v>678</v>
      </c>
      <c r="G4459" s="6" t="str">
        <f aca="false">IF(F4459=0,"NOT FOUND",INDEX('All Song Rankings'!$A:$A,F4459))</f>
        <v>I Want You Back</v>
      </c>
      <c r="H4459" s="6" t="str">
        <f aca="false">IF(F4459=0,"NOT FOUND",INDEX('All Song Rankings'!$B:$B,F4459))</f>
        <v>The Jackson 5</v>
      </c>
      <c r="I4459" s="6" t="str">
        <f aca="false">IF(F4459=0,"NOT FOUND",INDEX('All Song Rankings'!$D:$D,F4459))</f>
        <v>Kristen</v>
      </c>
      <c r="J4459" s="7" t="str">
        <f aca="false">IF(F4459=0,"NOT FOUND",IF(C4459=I4459,"SELF-VOTE",IF(COUNTIF($K:$K,K4459)&gt;1,"DUPLICATE","OK")))</f>
        <v>OK</v>
      </c>
      <c r="K4459" s="6" t="str">
        <f aca="false">A4459&amp;"|"&amp;B4459&amp;"|"&amp;C4459&amp;"|"&amp;D4459</f>
        <v>7|1|Josh|spotify:track:75EVUbTF5l9VuMHs6AuFgp</v>
      </c>
    </row>
    <row r="4460" customFormat="false" ht="15" hidden="false" customHeight="false" outlineLevel="0" collapsed="false">
      <c r="A4460" s="5" t="n">
        <v>7</v>
      </c>
      <c r="B4460" s="5" t="n">
        <v>1</v>
      </c>
      <c r="C4460" s="5" t="s">
        <v>1843</v>
      </c>
      <c r="D4460" s="5" t="s">
        <v>2016</v>
      </c>
      <c r="E4460" s="5" t="n">
        <v>2</v>
      </c>
      <c r="F4460" s="6" t="n">
        <f aca="false">IFERROR(MATCH(A4460&amp;"|"&amp;B4460&amp;"|"&amp;D4460,'All Song Rankings'!$T:$T,0),0)</f>
        <v>671</v>
      </c>
      <c r="G4460" s="6" t="str">
        <f aca="false">IF(F4460=0,"NOT FOUND",INDEX('All Song Rankings'!$A:$A,F4460))</f>
        <v>Just the Way You Are</v>
      </c>
      <c r="H4460" s="6" t="str">
        <f aca="false">IF(F4460=0,"NOT FOUND",INDEX('All Song Rankings'!$B:$B,F4460))</f>
        <v>Bruno Mars</v>
      </c>
      <c r="I4460" s="6" t="str">
        <f aca="false">IF(F4460=0,"NOT FOUND",INDEX('All Song Rankings'!$D:$D,F4460))</f>
        <v>Merita</v>
      </c>
      <c r="J4460" s="7" t="str">
        <f aca="false">IF(F4460=0,"NOT FOUND",IF(C4460=I4460,"SELF-VOTE",IF(COUNTIF($K:$K,K4460)&gt;1,"DUPLICATE","OK")))</f>
        <v>OK</v>
      </c>
      <c r="K4460" s="6" t="str">
        <f aca="false">A4460&amp;"|"&amp;B4460&amp;"|"&amp;C4460&amp;"|"&amp;D4460</f>
        <v>7|1|Josh|spotify:track:7BqBn9nzAq8spo5e7cZ0dJ</v>
      </c>
    </row>
    <row r="4461" customFormat="false" ht="15" hidden="false" customHeight="false" outlineLevel="0" collapsed="false">
      <c r="A4461" s="5" t="n">
        <v>7</v>
      </c>
      <c r="B4461" s="5" t="n">
        <v>1</v>
      </c>
      <c r="C4461" s="5" t="s">
        <v>85</v>
      </c>
      <c r="D4461" s="5" t="s">
        <v>2024</v>
      </c>
      <c r="E4461" s="5" t="n">
        <v>1</v>
      </c>
      <c r="F4461" s="6" t="n">
        <f aca="false">IFERROR(MATCH(A4461&amp;"|"&amp;B4461&amp;"|"&amp;D4461,'All Song Rankings'!$T:$T,0),0)</f>
        <v>674</v>
      </c>
      <c r="G4461" s="6" t="str">
        <f aca="false">IF(F4461=0,"NOT FOUND",INDEX('All Song Rankings'!$A:$A,F4461))</f>
        <v>Swing, Swing</v>
      </c>
      <c r="H4461" s="6" t="str">
        <f aca="false">IF(F4461=0,"NOT FOUND",INDEX('All Song Rankings'!$B:$B,F4461))</f>
        <v>The All-American Rejects</v>
      </c>
      <c r="I4461" s="6" t="str">
        <f aca="false">IF(F4461=0,"NOT FOUND",INDEX('All Song Rankings'!$D:$D,F4461))</f>
        <v>Colleen</v>
      </c>
      <c r="J4461" s="7" t="str">
        <f aca="false">IF(F4461=0,"NOT FOUND",IF(C4461=I4461,"SELF-VOTE",IF(COUNTIF($K:$K,K4461)&gt;1,"DUPLICATE","OK")))</f>
        <v>OK</v>
      </c>
      <c r="K4461" s="6" t="str">
        <f aca="false">A4461&amp;"|"&amp;B4461&amp;"|"&amp;C4461&amp;"|"&amp;D4461</f>
        <v>7|1|Kelsey|spotify:track:003FTlCpBTM4eSqYSWPv4H</v>
      </c>
    </row>
    <row r="4462" customFormat="false" ht="15" hidden="false" customHeight="false" outlineLevel="0" collapsed="false">
      <c r="A4462" s="5" t="n">
        <v>7</v>
      </c>
      <c r="B4462" s="5" t="n">
        <v>1</v>
      </c>
      <c r="C4462" s="5" t="s">
        <v>85</v>
      </c>
      <c r="D4462" s="5" t="s">
        <v>2048</v>
      </c>
      <c r="E4462" s="5" t="n">
        <v>1</v>
      </c>
      <c r="F4462" s="6" t="n">
        <f aca="false">IFERROR(MATCH(A4462&amp;"|"&amp;B4462&amp;"|"&amp;D4462,'All Song Rankings'!$T:$T,0),0)</f>
        <v>684</v>
      </c>
      <c r="G4462" s="6" t="str">
        <f aca="false">IF(F4462=0,"NOT FOUND",INDEX('All Song Rankings'!$A:$A,F4462))</f>
        <v>More Than a Feeling</v>
      </c>
      <c r="H4462" s="6" t="str">
        <f aca="false">IF(F4462=0,"NOT FOUND",INDEX('All Song Rankings'!$B:$B,F4462))</f>
        <v>Boston</v>
      </c>
      <c r="I4462" s="6" t="str">
        <f aca="false">IF(F4462=0,"NOT FOUND",INDEX('All Song Rankings'!$D:$D,F4462))</f>
        <v>Aubrey</v>
      </c>
      <c r="J4462" s="7" t="str">
        <f aca="false">IF(F4462=0,"NOT FOUND",IF(C4462=I4462,"SELF-VOTE",IF(COUNTIF($K:$K,K4462)&gt;1,"DUPLICATE","OK")))</f>
        <v>OK</v>
      </c>
      <c r="K4462" s="6" t="str">
        <f aca="false">A4462&amp;"|"&amp;B4462&amp;"|"&amp;C4462&amp;"|"&amp;D4462</f>
        <v>7|1|Kelsey|spotify:track:1QEEqeFIZktqIpPI4jSVSF</v>
      </c>
    </row>
    <row r="4463" customFormat="false" ht="15" hidden="false" customHeight="false" outlineLevel="0" collapsed="false">
      <c r="A4463" s="5" t="n">
        <v>7</v>
      </c>
      <c r="B4463" s="5" t="n">
        <v>1</v>
      </c>
      <c r="C4463" s="5" t="s">
        <v>85</v>
      </c>
      <c r="D4463" s="5" t="s">
        <v>2027</v>
      </c>
      <c r="E4463" s="5" t="n">
        <v>1</v>
      </c>
      <c r="F4463" s="6" t="n">
        <f aca="false">IFERROR(MATCH(A4463&amp;"|"&amp;B4463&amp;"|"&amp;D4463,'All Song Rankings'!$T:$T,0),0)</f>
        <v>675</v>
      </c>
      <c r="G4463" s="6" t="str">
        <f aca="false">IF(F4463=0,"NOT FOUND",INDEX('All Song Rankings'!$A:$A,F4463))</f>
        <v>Papercut</v>
      </c>
      <c r="H4463" s="6" t="str">
        <f aca="false">IF(F4463=0,"NOT FOUND",INDEX('All Song Rankings'!$B:$B,F4463))</f>
        <v>Linkin Park</v>
      </c>
      <c r="I4463" s="6" t="str">
        <f aca="false">IF(F4463=0,"NOT FOUND",INDEX('All Song Rankings'!$D:$D,F4463))</f>
        <v>Matt</v>
      </c>
      <c r="J4463" s="7" t="str">
        <f aca="false">IF(F4463=0,"NOT FOUND",IF(C4463=I4463,"SELF-VOTE",IF(COUNTIF($K:$K,K4463)&gt;1,"DUPLICATE","OK")))</f>
        <v>OK</v>
      </c>
      <c r="K4463" s="6" t="str">
        <f aca="false">A4463&amp;"|"&amp;B4463&amp;"|"&amp;C4463&amp;"|"&amp;D4463</f>
        <v>7|1|Kelsey|spotify:track:1Vej0qeQ3ioKwpI6FUbRv1</v>
      </c>
    </row>
    <row r="4464" customFormat="false" ht="15" hidden="false" customHeight="false" outlineLevel="0" collapsed="false">
      <c r="A4464" s="5" t="n">
        <v>7</v>
      </c>
      <c r="B4464" s="5" t="n">
        <v>1</v>
      </c>
      <c r="C4464" s="5" t="s">
        <v>85</v>
      </c>
      <c r="D4464" s="5" t="s">
        <v>2020</v>
      </c>
      <c r="E4464" s="5" t="n">
        <v>1</v>
      </c>
      <c r="F4464" s="6" t="n">
        <f aca="false">IFERROR(MATCH(A4464&amp;"|"&amp;B4464&amp;"|"&amp;D4464,'All Song Rankings'!$T:$T,0),0)</f>
        <v>672</v>
      </c>
      <c r="G4464" s="6" t="str">
        <f aca="false">IF(F4464=0,"NOT FOUND",INDEX('All Song Rankings'!$A:$A,F4464))</f>
        <v>Just Dance</v>
      </c>
      <c r="H4464" s="6" t="str">
        <f aca="false">IF(F4464=0,"NOT FOUND",INDEX('All Song Rankings'!$B:$B,F4464))</f>
        <v>Lady Gaga, Colby O'Donis</v>
      </c>
      <c r="I4464" s="6" t="str">
        <f aca="false">IF(F4464=0,"NOT FOUND",INDEX('All Song Rankings'!$D:$D,F4464))</f>
        <v>Lucia</v>
      </c>
      <c r="J4464" s="7" t="str">
        <f aca="false">IF(F4464=0,"NOT FOUND",IF(C4464=I4464,"SELF-VOTE",IF(COUNTIF($K:$K,K4464)&gt;1,"DUPLICATE","OK")))</f>
        <v>OK</v>
      </c>
      <c r="K4464" s="6" t="str">
        <f aca="false">A4464&amp;"|"&amp;B4464&amp;"|"&amp;C4464&amp;"|"&amp;D4464</f>
        <v>7|1|Kelsey|spotify:track:2x7MyWybabEz6Y6wvHuwGE</v>
      </c>
    </row>
    <row r="4465" customFormat="false" ht="15" hidden="false" customHeight="false" outlineLevel="0" collapsed="false">
      <c r="A4465" s="5" t="n">
        <v>7</v>
      </c>
      <c r="B4465" s="5" t="n">
        <v>1</v>
      </c>
      <c r="C4465" s="5" t="s">
        <v>85</v>
      </c>
      <c r="D4465" s="5" t="s">
        <v>2022</v>
      </c>
      <c r="E4465" s="5" t="n">
        <v>2</v>
      </c>
      <c r="F4465" s="6" t="n">
        <f aca="false">IFERROR(MATCH(A4465&amp;"|"&amp;B4465&amp;"|"&amp;D4465,'All Song Rankings'!$T:$T,0),0)</f>
        <v>673</v>
      </c>
      <c r="G4465" s="6" t="str">
        <f aca="false">IF(F4465=0,"NOT FOUND",INDEX('All Song Rankings'!$A:$A,F4465))</f>
        <v>One Thing</v>
      </c>
      <c r="H4465" s="6" t="str">
        <f aca="false">IF(F4465=0,"NOT FOUND",INDEX('All Song Rankings'!$B:$B,F4465))</f>
        <v>One Direction</v>
      </c>
      <c r="I4465" s="6" t="str">
        <f aca="false">IF(F4465=0,"NOT FOUND",INDEX('All Song Rankings'!$D:$D,F4465))</f>
        <v>Josh</v>
      </c>
      <c r="J4465" s="7" t="str">
        <f aca="false">IF(F4465=0,"NOT FOUND",IF(C4465=I4465,"SELF-VOTE",IF(COUNTIF($K:$K,K4465)&gt;1,"DUPLICATE","OK")))</f>
        <v>OK</v>
      </c>
      <c r="K4465" s="6" t="str">
        <f aca="false">A4465&amp;"|"&amp;B4465&amp;"|"&amp;C4465&amp;"|"&amp;D4465</f>
        <v>7|1|Kelsey|spotify:track:5G2c6FsfTzgYUzageCmfXY</v>
      </c>
    </row>
    <row r="4466" customFormat="false" ht="15" hidden="false" customHeight="false" outlineLevel="0" collapsed="false">
      <c r="A4466" s="5" t="n">
        <v>7</v>
      </c>
      <c r="B4466" s="5" t="n">
        <v>1</v>
      </c>
      <c r="C4466" s="5" t="s">
        <v>85</v>
      </c>
      <c r="D4466" s="5" t="s">
        <v>2044</v>
      </c>
      <c r="E4466" s="5" t="n">
        <v>1</v>
      </c>
      <c r="F4466" s="6" t="n">
        <f aca="false">IFERROR(MATCH(A4466&amp;"|"&amp;B4466&amp;"|"&amp;D4466,'All Song Rankings'!$T:$T,0),0)</f>
        <v>682</v>
      </c>
      <c r="G4466" s="6" t="str">
        <f aca="false">IF(F4466=0,"NOT FOUND",INDEX('All Song Rankings'!$A:$A,F4466))</f>
        <v>Snow Angel</v>
      </c>
      <c r="H4466" s="6" t="str">
        <f aca="false">IF(F4466=0,"NOT FOUND",INDEX('All Song Rankings'!$B:$B,F4466))</f>
        <v>Reneé Rapp</v>
      </c>
      <c r="I4466" s="6" t="str">
        <f aca="false">IF(F4466=0,"NOT FOUND",INDEX('All Song Rankings'!$D:$D,F4466))</f>
        <v>Logan</v>
      </c>
      <c r="J4466" s="7" t="str">
        <f aca="false">IF(F4466=0,"NOT FOUND",IF(C4466=I4466,"SELF-VOTE",IF(COUNTIF($K:$K,K4466)&gt;1,"DUPLICATE","OK")))</f>
        <v>OK</v>
      </c>
      <c r="K4466" s="6" t="str">
        <f aca="false">A4466&amp;"|"&amp;B4466&amp;"|"&amp;C4466&amp;"|"&amp;D4466</f>
        <v>7|1|Kelsey|spotify:track:6skUuqrKMQIjjo75hWGAvQ</v>
      </c>
    </row>
    <row r="4467" customFormat="false" ht="15" hidden="false" customHeight="false" outlineLevel="0" collapsed="false">
      <c r="A4467" s="5" t="n">
        <v>7</v>
      </c>
      <c r="B4467" s="5" t="n">
        <v>1</v>
      </c>
      <c r="C4467" s="5" t="s">
        <v>85</v>
      </c>
      <c r="D4467" s="5" t="s">
        <v>2016</v>
      </c>
      <c r="E4467" s="5" t="n">
        <v>1</v>
      </c>
      <c r="F4467" s="6" t="n">
        <f aca="false">IFERROR(MATCH(A4467&amp;"|"&amp;B4467&amp;"|"&amp;D4467,'All Song Rankings'!$T:$T,0),0)</f>
        <v>671</v>
      </c>
      <c r="G4467" s="6" t="str">
        <f aca="false">IF(F4467=0,"NOT FOUND",INDEX('All Song Rankings'!$A:$A,F4467))</f>
        <v>Just the Way You Are</v>
      </c>
      <c r="H4467" s="6" t="str">
        <f aca="false">IF(F4467=0,"NOT FOUND",INDEX('All Song Rankings'!$B:$B,F4467))</f>
        <v>Bruno Mars</v>
      </c>
      <c r="I4467" s="6" t="str">
        <f aca="false">IF(F4467=0,"NOT FOUND",INDEX('All Song Rankings'!$D:$D,F4467))</f>
        <v>Merita</v>
      </c>
      <c r="J4467" s="7" t="str">
        <f aca="false">IF(F4467=0,"NOT FOUND",IF(C4467=I4467,"SELF-VOTE",IF(COUNTIF($K:$K,K4467)&gt;1,"DUPLICATE","OK")))</f>
        <v>OK</v>
      </c>
      <c r="K4467" s="6" t="str">
        <f aca="false">A4467&amp;"|"&amp;B4467&amp;"|"&amp;C4467&amp;"|"&amp;D4467</f>
        <v>7|1|Kelsey|spotify:track:7BqBn9nzAq8spo5e7cZ0dJ</v>
      </c>
    </row>
    <row r="4468" customFormat="false" ht="15" hidden="false" customHeight="false" outlineLevel="0" collapsed="false">
      <c r="A4468" s="5" t="n">
        <v>7</v>
      </c>
      <c r="B4468" s="5" t="n">
        <v>1</v>
      </c>
      <c r="C4468" s="5" t="s">
        <v>85</v>
      </c>
      <c r="D4468" s="5" t="s">
        <v>2041</v>
      </c>
      <c r="E4468" s="5" t="n">
        <v>2</v>
      </c>
      <c r="F4468" s="6" t="n">
        <f aca="false">IFERROR(MATCH(A4468&amp;"|"&amp;B4468&amp;"|"&amp;D4468,'All Song Rankings'!$T:$T,0),0)</f>
        <v>681</v>
      </c>
      <c r="G4468" s="6" t="str">
        <f aca="false">IF(F4468=0,"NOT FOUND",INDEX('All Song Rankings'!$A:$A,F4468))</f>
        <v>Break Up In A Small Town</v>
      </c>
      <c r="H4468" s="6" t="str">
        <f aca="false">IF(F4468=0,"NOT FOUND",INDEX('All Song Rankings'!$B:$B,F4468))</f>
        <v>Sam Hunt</v>
      </c>
      <c r="I4468" s="6" t="str">
        <f aca="false">IF(F4468=0,"NOT FOUND",INDEX('All Song Rankings'!$D:$D,F4468))</f>
        <v>Leah</v>
      </c>
      <c r="J4468" s="7" t="str">
        <f aca="false">IF(F4468=0,"NOT FOUND",IF(C4468=I4468,"SELF-VOTE",IF(COUNTIF($K:$K,K4468)&gt;1,"DUPLICATE","OK")))</f>
        <v>OK</v>
      </c>
      <c r="K4468" s="6" t="str">
        <f aca="false">A4468&amp;"|"&amp;B4468&amp;"|"&amp;C4468&amp;"|"&amp;D4468</f>
        <v>7|1|Kelsey|spotify:track:7aftSOGSOpSoIlVAQVBb71</v>
      </c>
    </row>
    <row r="4469" customFormat="false" ht="15" hidden="false" customHeight="false" outlineLevel="0" collapsed="false">
      <c r="A4469" s="5" t="n">
        <v>7</v>
      </c>
      <c r="B4469" s="5" t="n">
        <v>1</v>
      </c>
      <c r="C4469" s="5" t="s">
        <v>106</v>
      </c>
      <c r="D4469" s="5" t="s">
        <v>2024</v>
      </c>
      <c r="E4469" s="5" t="n">
        <v>1</v>
      </c>
      <c r="F4469" s="6" t="n">
        <f aca="false">IFERROR(MATCH(A4469&amp;"|"&amp;B4469&amp;"|"&amp;D4469,'All Song Rankings'!$T:$T,0),0)</f>
        <v>674</v>
      </c>
      <c r="G4469" s="6" t="str">
        <f aca="false">IF(F4469=0,"NOT FOUND",INDEX('All Song Rankings'!$A:$A,F4469))</f>
        <v>Swing, Swing</v>
      </c>
      <c r="H4469" s="6" t="str">
        <f aca="false">IF(F4469=0,"NOT FOUND",INDEX('All Song Rankings'!$B:$B,F4469))</f>
        <v>The All-American Rejects</v>
      </c>
      <c r="I4469" s="6" t="str">
        <f aca="false">IF(F4469=0,"NOT FOUND",INDEX('All Song Rankings'!$D:$D,F4469))</f>
        <v>Colleen</v>
      </c>
      <c r="J4469" s="7" t="str">
        <f aca="false">IF(F4469=0,"NOT FOUND",IF(C4469=I4469,"SELF-VOTE",IF(COUNTIF($K:$K,K4469)&gt;1,"DUPLICATE","OK")))</f>
        <v>OK</v>
      </c>
      <c r="K4469" s="6" t="str">
        <f aca="false">A4469&amp;"|"&amp;B4469&amp;"|"&amp;C4469&amp;"|"&amp;D4469</f>
        <v>7|1|Kristen|spotify:track:003FTlCpBTM4eSqYSWPv4H</v>
      </c>
    </row>
    <row r="4470" customFormat="false" ht="15" hidden="false" customHeight="false" outlineLevel="0" collapsed="false">
      <c r="A4470" s="5" t="n">
        <v>7</v>
      </c>
      <c r="B4470" s="5" t="n">
        <v>1</v>
      </c>
      <c r="C4470" s="5" t="s">
        <v>106</v>
      </c>
      <c r="D4470" s="5" t="s">
        <v>2048</v>
      </c>
      <c r="E4470" s="5" t="n">
        <v>1</v>
      </c>
      <c r="F4470" s="6" t="n">
        <f aca="false">IFERROR(MATCH(A4470&amp;"|"&amp;B4470&amp;"|"&amp;D4470,'All Song Rankings'!$T:$T,0),0)</f>
        <v>684</v>
      </c>
      <c r="G4470" s="6" t="str">
        <f aca="false">IF(F4470=0,"NOT FOUND",INDEX('All Song Rankings'!$A:$A,F4470))</f>
        <v>More Than a Feeling</v>
      </c>
      <c r="H4470" s="6" t="str">
        <f aca="false">IF(F4470=0,"NOT FOUND",INDEX('All Song Rankings'!$B:$B,F4470))</f>
        <v>Boston</v>
      </c>
      <c r="I4470" s="6" t="str">
        <f aca="false">IF(F4470=0,"NOT FOUND",INDEX('All Song Rankings'!$D:$D,F4470))</f>
        <v>Aubrey</v>
      </c>
      <c r="J4470" s="7" t="str">
        <f aca="false">IF(F4470=0,"NOT FOUND",IF(C4470=I4470,"SELF-VOTE",IF(COUNTIF($K:$K,K4470)&gt;1,"DUPLICATE","OK")))</f>
        <v>OK</v>
      </c>
      <c r="K4470" s="6" t="str">
        <f aca="false">A4470&amp;"|"&amp;B4470&amp;"|"&amp;C4470&amp;"|"&amp;D4470</f>
        <v>7|1|Kristen|spotify:track:1QEEqeFIZktqIpPI4jSVSF</v>
      </c>
    </row>
    <row r="4471" customFormat="false" ht="15" hidden="false" customHeight="false" outlineLevel="0" collapsed="false">
      <c r="A4471" s="5" t="n">
        <v>7</v>
      </c>
      <c r="B4471" s="5" t="n">
        <v>1</v>
      </c>
      <c r="C4471" s="5" t="s">
        <v>106</v>
      </c>
      <c r="D4471" s="5" t="s">
        <v>2050</v>
      </c>
      <c r="E4471" s="5" t="n">
        <v>1</v>
      </c>
      <c r="F4471" s="6" t="n">
        <f aca="false">IFERROR(MATCH(A4471&amp;"|"&amp;B4471&amp;"|"&amp;D4471,'All Song Rankings'!$T:$T,0),0)</f>
        <v>685</v>
      </c>
      <c r="G4471" s="6" t="str">
        <f aca="false">IF(F4471=0,"NOT FOUND",INDEX('All Song Rankings'!$A:$A,F4471))</f>
        <v>About A Girl</v>
      </c>
      <c r="H4471" s="6" t="str">
        <f aca="false">IF(F4471=0,"NOT FOUND",INDEX('All Song Rankings'!$B:$B,F4471))</f>
        <v>Nirvana</v>
      </c>
      <c r="I4471" s="6" t="str">
        <f aca="false">IF(F4471=0,"NOT FOUND",INDEX('All Song Rankings'!$D:$D,F4471))</f>
        <v>Scott</v>
      </c>
      <c r="J4471" s="7" t="str">
        <f aca="false">IF(F4471=0,"NOT FOUND",IF(C4471=I4471,"SELF-VOTE",IF(COUNTIF($K:$K,K4471)&gt;1,"DUPLICATE","OK")))</f>
        <v>OK</v>
      </c>
      <c r="K4471" s="6" t="str">
        <f aca="false">A4471&amp;"|"&amp;B4471&amp;"|"&amp;C4471&amp;"|"&amp;D4471</f>
        <v>7|1|Kristen|spotify:track:2SHTKB8YYlawTGIuJ2b2ok</v>
      </c>
    </row>
    <row r="4472" customFormat="false" ht="15" hidden="false" customHeight="false" outlineLevel="0" collapsed="false">
      <c r="A4472" s="5" t="n">
        <v>7</v>
      </c>
      <c r="B4472" s="5" t="n">
        <v>1</v>
      </c>
      <c r="C4472" s="5" t="s">
        <v>106</v>
      </c>
      <c r="D4472" s="5" t="s">
        <v>2020</v>
      </c>
      <c r="E4472" s="5" t="n">
        <v>1</v>
      </c>
      <c r="F4472" s="6" t="n">
        <f aca="false">IFERROR(MATCH(A4472&amp;"|"&amp;B4472&amp;"|"&amp;D4472,'All Song Rankings'!$T:$T,0),0)</f>
        <v>672</v>
      </c>
      <c r="G4472" s="6" t="str">
        <f aca="false">IF(F4472=0,"NOT FOUND",INDEX('All Song Rankings'!$A:$A,F4472))</f>
        <v>Just Dance</v>
      </c>
      <c r="H4472" s="6" t="str">
        <f aca="false">IF(F4472=0,"NOT FOUND",INDEX('All Song Rankings'!$B:$B,F4472))</f>
        <v>Lady Gaga, Colby O'Donis</v>
      </c>
      <c r="I4472" s="6" t="str">
        <f aca="false">IF(F4472=0,"NOT FOUND",INDEX('All Song Rankings'!$D:$D,F4472))</f>
        <v>Lucia</v>
      </c>
      <c r="J4472" s="7" t="str">
        <f aca="false">IF(F4472=0,"NOT FOUND",IF(C4472=I4472,"SELF-VOTE",IF(COUNTIF($K:$K,K4472)&gt;1,"DUPLICATE","OK")))</f>
        <v>OK</v>
      </c>
      <c r="K4472" s="6" t="str">
        <f aca="false">A4472&amp;"|"&amp;B4472&amp;"|"&amp;C4472&amp;"|"&amp;D4472</f>
        <v>7|1|Kristen|spotify:track:2x7MyWybabEz6Y6wvHuwGE</v>
      </c>
    </row>
    <row r="4473" customFormat="false" ht="15" hidden="false" customHeight="false" outlineLevel="0" collapsed="false">
      <c r="A4473" s="5" t="n">
        <v>7</v>
      </c>
      <c r="B4473" s="5" t="n">
        <v>1</v>
      </c>
      <c r="C4473" s="5" t="s">
        <v>106</v>
      </c>
      <c r="D4473" s="5" t="s">
        <v>2038</v>
      </c>
      <c r="E4473" s="5" t="n">
        <v>1</v>
      </c>
      <c r="F4473" s="6" t="n">
        <f aca="false">IFERROR(MATCH(A4473&amp;"|"&amp;B4473&amp;"|"&amp;D4473,'All Song Rankings'!$T:$T,0),0)</f>
        <v>680</v>
      </c>
      <c r="G4473" s="6" t="str">
        <f aca="false">IF(F4473=0,"NOT FOUND",INDEX('All Song Rankings'!$A:$A,F4473))</f>
        <v>Runnin' with the Devil - 2015 Remaster</v>
      </c>
      <c r="H4473" s="6" t="str">
        <f aca="false">IF(F4473=0,"NOT FOUND",INDEX('All Song Rankings'!$B:$B,F4473))</f>
        <v>Van Halen</v>
      </c>
      <c r="I4473" s="6" t="str">
        <f aca="false">IF(F4473=0,"NOT FOUND",INDEX('All Song Rankings'!$D:$D,F4473))</f>
        <v>Christine</v>
      </c>
      <c r="J4473" s="7" t="str">
        <f aca="false">IF(F4473=0,"NOT FOUND",IF(C4473=I4473,"SELF-VOTE",IF(COUNTIF($K:$K,K4473)&gt;1,"DUPLICATE","OK")))</f>
        <v>OK</v>
      </c>
      <c r="K4473" s="6" t="str">
        <f aca="false">A4473&amp;"|"&amp;B4473&amp;"|"&amp;C4473&amp;"|"&amp;D4473</f>
        <v>7|1|Kristen|spotify:track:3KhF2YiNpJvGpfiCW45R6D</v>
      </c>
    </row>
    <row r="4474" customFormat="false" ht="15" hidden="false" customHeight="false" outlineLevel="0" collapsed="false">
      <c r="A4474" s="5" t="n">
        <v>7</v>
      </c>
      <c r="B4474" s="5" t="n">
        <v>1</v>
      </c>
      <c r="C4474" s="5" t="s">
        <v>106</v>
      </c>
      <c r="D4474" s="5" t="s">
        <v>2030</v>
      </c>
      <c r="E4474" s="5" t="n">
        <v>1</v>
      </c>
      <c r="F4474" s="6" t="n">
        <f aca="false">IFERROR(MATCH(A4474&amp;"|"&amp;B4474&amp;"|"&amp;D4474,'All Song Rankings'!$T:$T,0),0)</f>
        <v>677</v>
      </c>
      <c r="G4474" s="6" t="str">
        <f aca="false">IF(F4474=0,"NOT FOUND",INDEX('All Song Rankings'!$A:$A,F4474))</f>
        <v>Here With Me</v>
      </c>
      <c r="H4474" s="6" t="str">
        <f aca="false">IF(F4474=0,"NOT FOUND",INDEX('All Song Rankings'!$B:$B,F4474))</f>
        <v>Dido</v>
      </c>
      <c r="I4474" s="6" t="str">
        <f aca="false">IF(F4474=0,"NOT FOUND",INDEX('All Song Rankings'!$D:$D,F4474))</f>
        <v>Lisa</v>
      </c>
      <c r="J4474" s="7" t="str">
        <f aca="false">IF(F4474=0,"NOT FOUND",IF(C4474=I4474,"SELF-VOTE",IF(COUNTIF($K:$K,K4474)&gt;1,"DUPLICATE","OK")))</f>
        <v>OK</v>
      </c>
      <c r="K4474" s="6" t="str">
        <f aca="false">A4474&amp;"|"&amp;B4474&amp;"|"&amp;C4474&amp;"|"&amp;D4474</f>
        <v>7|1|Kristen|spotify:track:4xFxK0FXmNlUDRgCaIQCVn</v>
      </c>
    </row>
    <row r="4475" customFormat="false" ht="15" hidden="false" customHeight="false" outlineLevel="0" collapsed="false">
      <c r="A4475" s="5" t="n">
        <v>7</v>
      </c>
      <c r="B4475" s="5" t="n">
        <v>1</v>
      </c>
      <c r="C4475" s="5" t="s">
        <v>106</v>
      </c>
      <c r="D4475" s="5" t="s">
        <v>2022</v>
      </c>
      <c r="E4475" s="5" t="n">
        <v>1</v>
      </c>
      <c r="F4475" s="6" t="n">
        <f aca="false">IFERROR(MATCH(A4475&amp;"|"&amp;B4475&amp;"|"&amp;D4475,'All Song Rankings'!$T:$T,0),0)</f>
        <v>673</v>
      </c>
      <c r="G4475" s="6" t="str">
        <f aca="false">IF(F4475=0,"NOT FOUND",INDEX('All Song Rankings'!$A:$A,F4475))</f>
        <v>One Thing</v>
      </c>
      <c r="H4475" s="6" t="str">
        <f aca="false">IF(F4475=0,"NOT FOUND",INDEX('All Song Rankings'!$B:$B,F4475))</f>
        <v>One Direction</v>
      </c>
      <c r="I4475" s="6" t="str">
        <f aca="false">IF(F4475=0,"NOT FOUND",INDEX('All Song Rankings'!$D:$D,F4475))</f>
        <v>Josh</v>
      </c>
      <c r="J4475" s="7" t="str">
        <f aca="false">IF(F4475=0,"NOT FOUND",IF(C4475=I4475,"SELF-VOTE",IF(COUNTIF($K:$K,K4475)&gt;1,"DUPLICATE","OK")))</f>
        <v>OK</v>
      </c>
      <c r="K4475" s="6" t="str">
        <f aca="false">A4475&amp;"|"&amp;B4475&amp;"|"&amp;C4475&amp;"|"&amp;D4475</f>
        <v>7|1|Kristen|spotify:track:5G2c6FsfTzgYUzageCmfXY</v>
      </c>
    </row>
    <row r="4476" customFormat="false" ht="15" hidden="false" customHeight="false" outlineLevel="0" collapsed="false">
      <c r="A4476" s="5" t="n">
        <v>7</v>
      </c>
      <c r="B4476" s="5" t="n">
        <v>1</v>
      </c>
      <c r="C4476" s="5" t="s">
        <v>106</v>
      </c>
      <c r="D4476" s="5" t="s">
        <v>2053</v>
      </c>
      <c r="E4476" s="5" t="n">
        <v>1</v>
      </c>
      <c r="F4476" s="6" t="n">
        <f aca="false">IFERROR(MATCH(A4476&amp;"|"&amp;B4476&amp;"|"&amp;D4476,'All Song Rankings'!$T:$T,0),0)</f>
        <v>686</v>
      </c>
      <c r="G4476" s="6" t="str">
        <f aca="false">IF(F4476=0,"NOT FOUND",INDEX('All Song Rankings'!$A:$A,F4476))</f>
        <v>Ain't No Sunshine</v>
      </c>
      <c r="H4476" s="6" t="str">
        <f aca="false">IF(F4476=0,"NOT FOUND",INDEX('All Song Rankings'!$B:$B,F4476))</f>
        <v>Michael Jackson</v>
      </c>
      <c r="I4476" s="6" t="str">
        <f aca="false">IF(F4476=0,"NOT FOUND",INDEX('All Song Rankings'!$D:$D,F4476))</f>
        <v>Sara</v>
      </c>
      <c r="J4476" s="7" t="str">
        <f aca="false">IF(F4476=0,"NOT FOUND",IF(C4476=I4476,"SELF-VOTE",IF(COUNTIF($K:$K,K4476)&gt;1,"DUPLICATE","OK")))</f>
        <v>OK</v>
      </c>
      <c r="K4476" s="6" t="str">
        <f aca="false">A4476&amp;"|"&amp;B4476&amp;"|"&amp;C4476&amp;"|"&amp;D4476</f>
        <v>7|1|Kristen|spotify:track:5ou2nZT8UQJn1nuiUxAyjs</v>
      </c>
    </row>
    <row r="4477" customFormat="false" ht="15" hidden="false" customHeight="false" outlineLevel="0" collapsed="false">
      <c r="A4477" s="5" t="n">
        <v>7</v>
      </c>
      <c r="B4477" s="5" t="n">
        <v>1</v>
      </c>
      <c r="C4477" s="5" t="s">
        <v>106</v>
      </c>
      <c r="D4477" s="5" t="s">
        <v>2016</v>
      </c>
      <c r="E4477" s="5" t="n">
        <v>1</v>
      </c>
      <c r="F4477" s="6" t="n">
        <f aca="false">IFERROR(MATCH(A4477&amp;"|"&amp;B4477&amp;"|"&amp;D4477,'All Song Rankings'!$T:$T,0),0)</f>
        <v>671</v>
      </c>
      <c r="G4477" s="6" t="str">
        <f aca="false">IF(F4477=0,"NOT FOUND",INDEX('All Song Rankings'!$A:$A,F4477))</f>
        <v>Just the Way You Are</v>
      </c>
      <c r="H4477" s="6" t="str">
        <f aca="false">IF(F4477=0,"NOT FOUND",INDEX('All Song Rankings'!$B:$B,F4477))</f>
        <v>Bruno Mars</v>
      </c>
      <c r="I4477" s="6" t="str">
        <f aca="false">IF(F4477=0,"NOT FOUND",INDEX('All Song Rankings'!$D:$D,F4477))</f>
        <v>Merita</v>
      </c>
      <c r="J4477" s="7" t="str">
        <f aca="false">IF(F4477=0,"NOT FOUND",IF(C4477=I4477,"SELF-VOTE",IF(COUNTIF($K:$K,K4477)&gt;1,"DUPLICATE","OK")))</f>
        <v>OK</v>
      </c>
      <c r="K4477" s="6" t="str">
        <f aca="false">A4477&amp;"|"&amp;B4477&amp;"|"&amp;C4477&amp;"|"&amp;D4477</f>
        <v>7|1|Kristen|spotify:track:7BqBn9nzAq8spo5e7cZ0dJ</v>
      </c>
    </row>
    <row r="4478" customFormat="false" ht="15" hidden="false" customHeight="false" outlineLevel="0" collapsed="false">
      <c r="A4478" s="5" t="n">
        <v>7</v>
      </c>
      <c r="B4478" s="5" t="n">
        <v>1</v>
      </c>
      <c r="C4478" s="5" t="s">
        <v>106</v>
      </c>
      <c r="D4478" s="5" t="s">
        <v>2041</v>
      </c>
      <c r="E4478" s="5" t="n">
        <v>1</v>
      </c>
      <c r="F4478" s="6" t="n">
        <f aca="false">IFERROR(MATCH(A4478&amp;"|"&amp;B4478&amp;"|"&amp;D4478,'All Song Rankings'!$T:$T,0),0)</f>
        <v>681</v>
      </c>
      <c r="G4478" s="6" t="str">
        <f aca="false">IF(F4478=0,"NOT FOUND",INDEX('All Song Rankings'!$A:$A,F4478))</f>
        <v>Break Up In A Small Town</v>
      </c>
      <c r="H4478" s="6" t="str">
        <f aca="false">IF(F4478=0,"NOT FOUND",INDEX('All Song Rankings'!$B:$B,F4478))</f>
        <v>Sam Hunt</v>
      </c>
      <c r="I4478" s="6" t="str">
        <f aca="false">IF(F4478=0,"NOT FOUND",INDEX('All Song Rankings'!$D:$D,F4478))</f>
        <v>Leah</v>
      </c>
      <c r="J4478" s="7" t="str">
        <f aca="false">IF(F4478=0,"NOT FOUND",IF(C4478=I4478,"SELF-VOTE",IF(COUNTIF($K:$K,K4478)&gt;1,"DUPLICATE","OK")))</f>
        <v>OK</v>
      </c>
      <c r="K4478" s="6" t="str">
        <f aca="false">A4478&amp;"|"&amp;B4478&amp;"|"&amp;C4478&amp;"|"&amp;D4478</f>
        <v>7|1|Kristen|spotify:track:7aftSOGSOpSoIlVAQVBb71</v>
      </c>
    </row>
    <row r="4479" customFormat="false" ht="15" hidden="false" customHeight="false" outlineLevel="0" collapsed="false">
      <c r="A4479" s="5" t="n">
        <v>7</v>
      </c>
      <c r="B4479" s="5" t="n">
        <v>1</v>
      </c>
      <c r="C4479" s="5" t="s">
        <v>119</v>
      </c>
      <c r="D4479" s="5" t="s">
        <v>2024</v>
      </c>
      <c r="E4479" s="5" t="n">
        <v>1</v>
      </c>
      <c r="F4479" s="6" t="n">
        <f aca="false">IFERROR(MATCH(A4479&amp;"|"&amp;B4479&amp;"|"&amp;D4479,'All Song Rankings'!$T:$T,0),0)</f>
        <v>674</v>
      </c>
      <c r="G4479" s="6" t="str">
        <f aca="false">IF(F4479=0,"NOT FOUND",INDEX('All Song Rankings'!$A:$A,F4479))</f>
        <v>Swing, Swing</v>
      </c>
      <c r="H4479" s="6" t="str">
        <f aca="false">IF(F4479=0,"NOT FOUND",INDEX('All Song Rankings'!$B:$B,F4479))</f>
        <v>The All-American Rejects</v>
      </c>
      <c r="I4479" s="6" t="str">
        <f aca="false">IF(F4479=0,"NOT FOUND",INDEX('All Song Rankings'!$D:$D,F4479))</f>
        <v>Colleen</v>
      </c>
      <c r="J4479" s="7" t="str">
        <f aca="false">IF(F4479=0,"NOT FOUND",IF(C4479=I4479,"SELF-VOTE",IF(COUNTIF($K:$K,K4479)&gt;1,"DUPLICATE","OK")))</f>
        <v>OK</v>
      </c>
      <c r="K4479" s="6" t="str">
        <f aca="false">A4479&amp;"|"&amp;B4479&amp;"|"&amp;C4479&amp;"|"&amp;D4479</f>
        <v>7|1|Leah|spotify:track:003FTlCpBTM4eSqYSWPv4H</v>
      </c>
    </row>
    <row r="4480" customFormat="false" ht="15" hidden="false" customHeight="false" outlineLevel="0" collapsed="false">
      <c r="A4480" s="5" t="n">
        <v>7</v>
      </c>
      <c r="B4480" s="5" t="n">
        <v>1</v>
      </c>
      <c r="C4480" s="5" t="s">
        <v>119</v>
      </c>
      <c r="D4480" s="5" t="s">
        <v>2048</v>
      </c>
      <c r="E4480" s="5" t="n">
        <v>2</v>
      </c>
      <c r="F4480" s="6" t="n">
        <f aca="false">IFERROR(MATCH(A4480&amp;"|"&amp;B4480&amp;"|"&amp;D4480,'All Song Rankings'!$T:$T,0),0)</f>
        <v>684</v>
      </c>
      <c r="G4480" s="6" t="str">
        <f aca="false">IF(F4480=0,"NOT FOUND",INDEX('All Song Rankings'!$A:$A,F4480))</f>
        <v>More Than a Feeling</v>
      </c>
      <c r="H4480" s="6" t="str">
        <f aca="false">IF(F4480=0,"NOT FOUND",INDEX('All Song Rankings'!$B:$B,F4480))</f>
        <v>Boston</v>
      </c>
      <c r="I4480" s="6" t="str">
        <f aca="false">IF(F4480=0,"NOT FOUND",INDEX('All Song Rankings'!$D:$D,F4480))</f>
        <v>Aubrey</v>
      </c>
      <c r="J4480" s="7" t="str">
        <f aca="false">IF(F4480=0,"NOT FOUND",IF(C4480=I4480,"SELF-VOTE",IF(COUNTIF($K:$K,K4480)&gt;1,"DUPLICATE","OK")))</f>
        <v>OK</v>
      </c>
      <c r="K4480" s="6" t="str">
        <f aca="false">A4480&amp;"|"&amp;B4480&amp;"|"&amp;C4480&amp;"|"&amp;D4480</f>
        <v>7|1|Leah|spotify:track:1QEEqeFIZktqIpPI4jSVSF</v>
      </c>
    </row>
    <row r="4481" customFormat="false" ht="15" hidden="false" customHeight="false" outlineLevel="0" collapsed="false">
      <c r="A4481" s="5" t="n">
        <v>7</v>
      </c>
      <c r="B4481" s="5" t="n">
        <v>1</v>
      </c>
      <c r="C4481" s="5" t="s">
        <v>119</v>
      </c>
      <c r="D4481" s="5" t="s">
        <v>2035</v>
      </c>
      <c r="E4481" s="5" t="n">
        <v>1</v>
      </c>
      <c r="F4481" s="6" t="n">
        <f aca="false">IFERROR(MATCH(A4481&amp;"|"&amp;B4481&amp;"|"&amp;D4481,'All Song Rankings'!$T:$T,0),0)</f>
        <v>679</v>
      </c>
      <c r="G4481" s="6" t="str">
        <f aca="false">IF(F4481=0,"NOT FOUND",INDEX('All Song Rankings'!$A:$A,F4481))</f>
        <v>Nine in the Afternoon - Single Mix</v>
      </c>
      <c r="H4481" s="6" t="str">
        <f aca="false">IF(F4481=0,"NOT FOUND",INDEX('All Song Rankings'!$B:$B,F4481))</f>
        <v>Panic! At The Disco</v>
      </c>
      <c r="I4481" s="6" t="str">
        <f aca="false">IF(F4481=0,"NOT FOUND",INDEX('All Song Rankings'!$D:$D,F4481))</f>
        <v>Kelsey</v>
      </c>
      <c r="J4481" s="7" t="str">
        <f aca="false">IF(F4481=0,"NOT FOUND",IF(C4481=I4481,"SELF-VOTE",IF(COUNTIF($K:$K,K4481)&gt;1,"DUPLICATE","OK")))</f>
        <v>OK</v>
      </c>
      <c r="K4481" s="6" t="str">
        <f aca="false">A4481&amp;"|"&amp;B4481&amp;"|"&amp;C4481&amp;"|"&amp;D4481</f>
        <v>7|1|Leah|spotify:track:1S30kHvkkdMkcuCTGSgS41</v>
      </c>
    </row>
    <row r="4482" customFormat="false" ht="15" hidden="false" customHeight="false" outlineLevel="0" collapsed="false">
      <c r="A4482" s="5" t="n">
        <v>7</v>
      </c>
      <c r="B4482" s="5" t="n">
        <v>1</v>
      </c>
      <c r="C4482" s="5" t="s">
        <v>119</v>
      </c>
      <c r="D4482" s="5" t="s">
        <v>2027</v>
      </c>
      <c r="E4482" s="5" t="n">
        <v>2</v>
      </c>
      <c r="F4482" s="6" t="n">
        <f aca="false">IFERROR(MATCH(A4482&amp;"|"&amp;B4482&amp;"|"&amp;D4482,'All Song Rankings'!$T:$T,0),0)</f>
        <v>675</v>
      </c>
      <c r="G4482" s="6" t="str">
        <f aca="false">IF(F4482=0,"NOT FOUND",INDEX('All Song Rankings'!$A:$A,F4482))</f>
        <v>Papercut</v>
      </c>
      <c r="H4482" s="6" t="str">
        <f aca="false">IF(F4482=0,"NOT FOUND",INDEX('All Song Rankings'!$B:$B,F4482))</f>
        <v>Linkin Park</v>
      </c>
      <c r="I4482" s="6" t="str">
        <f aca="false">IF(F4482=0,"NOT FOUND",INDEX('All Song Rankings'!$D:$D,F4482))</f>
        <v>Matt</v>
      </c>
      <c r="J4482" s="7" t="str">
        <f aca="false">IF(F4482=0,"NOT FOUND",IF(C4482=I4482,"SELF-VOTE",IF(COUNTIF($K:$K,K4482)&gt;1,"DUPLICATE","OK")))</f>
        <v>OK</v>
      </c>
      <c r="K4482" s="6" t="str">
        <f aca="false">A4482&amp;"|"&amp;B4482&amp;"|"&amp;C4482&amp;"|"&amp;D4482</f>
        <v>7|1|Leah|spotify:track:1Vej0qeQ3ioKwpI6FUbRv1</v>
      </c>
    </row>
    <row r="4483" customFormat="false" ht="15" hidden="false" customHeight="false" outlineLevel="0" collapsed="false">
      <c r="A4483" s="5" t="n">
        <v>7</v>
      </c>
      <c r="B4483" s="5" t="n">
        <v>1</v>
      </c>
      <c r="C4483" s="5" t="s">
        <v>119</v>
      </c>
      <c r="D4483" s="5" t="s">
        <v>2020</v>
      </c>
      <c r="E4483" s="5" t="n">
        <v>1</v>
      </c>
      <c r="F4483" s="6" t="n">
        <f aca="false">IFERROR(MATCH(A4483&amp;"|"&amp;B4483&amp;"|"&amp;D4483,'All Song Rankings'!$T:$T,0),0)</f>
        <v>672</v>
      </c>
      <c r="G4483" s="6" t="str">
        <f aca="false">IF(F4483=0,"NOT FOUND",INDEX('All Song Rankings'!$A:$A,F4483))</f>
        <v>Just Dance</v>
      </c>
      <c r="H4483" s="6" t="str">
        <f aca="false">IF(F4483=0,"NOT FOUND",INDEX('All Song Rankings'!$B:$B,F4483))</f>
        <v>Lady Gaga, Colby O'Donis</v>
      </c>
      <c r="I4483" s="6" t="str">
        <f aca="false">IF(F4483=0,"NOT FOUND",INDEX('All Song Rankings'!$D:$D,F4483))</f>
        <v>Lucia</v>
      </c>
      <c r="J4483" s="7" t="str">
        <f aca="false">IF(F4483=0,"NOT FOUND",IF(C4483=I4483,"SELF-VOTE",IF(COUNTIF($K:$K,K4483)&gt;1,"DUPLICATE","OK")))</f>
        <v>OK</v>
      </c>
      <c r="K4483" s="6" t="str">
        <f aca="false">A4483&amp;"|"&amp;B4483&amp;"|"&amp;C4483&amp;"|"&amp;D4483</f>
        <v>7|1|Leah|spotify:track:2x7MyWybabEz6Y6wvHuwGE</v>
      </c>
    </row>
    <row r="4484" customFormat="false" ht="15" hidden="false" customHeight="false" outlineLevel="0" collapsed="false">
      <c r="A4484" s="5" t="n">
        <v>7</v>
      </c>
      <c r="B4484" s="5" t="n">
        <v>1</v>
      </c>
      <c r="C4484" s="5" t="s">
        <v>119</v>
      </c>
      <c r="D4484" s="5" t="s">
        <v>2038</v>
      </c>
      <c r="E4484" s="5" t="n">
        <v>1</v>
      </c>
      <c r="F4484" s="6" t="n">
        <f aca="false">IFERROR(MATCH(A4484&amp;"|"&amp;B4484&amp;"|"&amp;D4484,'All Song Rankings'!$T:$T,0),0)</f>
        <v>680</v>
      </c>
      <c r="G4484" s="6" t="str">
        <f aca="false">IF(F4484=0,"NOT FOUND",INDEX('All Song Rankings'!$A:$A,F4484))</f>
        <v>Runnin' with the Devil - 2015 Remaster</v>
      </c>
      <c r="H4484" s="6" t="str">
        <f aca="false">IF(F4484=0,"NOT FOUND",INDEX('All Song Rankings'!$B:$B,F4484))</f>
        <v>Van Halen</v>
      </c>
      <c r="I4484" s="6" t="str">
        <f aca="false">IF(F4484=0,"NOT FOUND",INDEX('All Song Rankings'!$D:$D,F4484))</f>
        <v>Christine</v>
      </c>
      <c r="J4484" s="7" t="str">
        <f aca="false">IF(F4484=0,"NOT FOUND",IF(C4484=I4484,"SELF-VOTE",IF(COUNTIF($K:$K,K4484)&gt;1,"DUPLICATE","OK")))</f>
        <v>OK</v>
      </c>
      <c r="K4484" s="6" t="str">
        <f aca="false">A4484&amp;"|"&amp;B4484&amp;"|"&amp;C4484&amp;"|"&amp;D4484</f>
        <v>7|1|Leah|spotify:track:3KhF2YiNpJvGpfiCW45R6D</v>
      </c>
    </row>
    <row r="4485" customFormat="false" ht="15" hidden="false" customHeight="false" outlineLevel="0" collapsed="false">
      <c r="A4485" s="5" t="n">
        <v>7</v>
      </c>
      <c r="B4485" s="5" t="n">
        <v>1</v>
      </c>
      <c r="C4485" s="5" t="s">
        <v>119</v>
      </c>
      <c r="D4485" s="5" t="s">
        <v>1317</v>
      </c>
      <c r="E4485" s="5" t="n">
        <v>1</v>
      </c>
      <c r="F4485" s="6" t="n">
        <f aca="false">IFERROR(MATCH(A4485&amp;"|"&amp;B4485&amp;"|"&amp;D4485,'All Song Rankings'!$T:$T,0),0)</f>
        <v>676</v>
      </c>
      <c r="G4485" s="6" t="str">
        <f aca="false">IF(F4485=0,"NOT FOUND",INDEX('All Song Rankings'!$A:$A,F4485))</f>
        <v>…Baby One More Time</v>
      </c>
      <c r="H4485" s="6" t="str">
        <f aca="false">IF(F4485=0,"NOT FOUND",INDEX('All Song Rankings'!$B:$B,F4485))</f>
        <v>Britney Spears</v>
      </c>
      <c r="I4485" s="6" t="str">
        <f aca="false">IF(F4485=0,"NOT FOUND",INDEX('All Song Rankings'!$D:$D,F4485))</f>
        <v>Stephanie</v>
      </c>
      <c r="J4485" s="7" t="str">
        <f aca="false">IF(F4485=0,"NOT FOUND",IF(C4485=I4485,"SELF-VOTE",IF(COUNTIF($K:$K,K4485)&gt;1,"DUPLICATE","OK")))</f>
        <v>OK</v>
      </c>
      <c r="K4485" s="6" t="str">
        <f aca="false">A4485&amp;"|"&amp;B4485&amp;"|"&amp;C4485&amp;"|"&amp;D4485</f>
        <v>7|1|Leah|spotify:track:3MjUtNVVq3C8Fn0MP3zhXa</v>
      </c>
    </row>
    <row r="4486" customFormat="false" ht="15" hidden="false" customHeight="false" outlineLevel="0" collapsed="false">
      <c r="A4486" s="5" t="n">
        <v>7</v>
      </c>
      <c r="B4486" s="5" t="n">
        <v>1</v>
      </c>
      <c r="C4486" s="5" t="s">
        <v>119</v>
      </c>
      <c r="D4486" s="5" t="s">
        <v>2016</v>
      </c>
      <c r="E4486" s="5" t="n">
        <v>1</v>
      </c>
      <c r="F4486" s="6" t="n">
        <f aca="false">IFERROR(MATCH(A4486&amp;"|"&amp;B4486&amp;"|"&amp;D4486,'All Song Rankings'!$T:$T,0),0)</f>
        <v>671</v>
      </c>
      <c r="G4486" s="6" t="str">
        <f aca="false">IF(F4486=0,"NOT FOUND",INDEX('All Song Rankings'!$A:$A,F4486))</f>
        <v>Just the Way You Are</v>
      </c>
      <c r="H4486" s="6" t="str">
        <f aca="false">IF(F4486=0,"NOT FOUND",INDEX('All Song Rankings'!$B:$B,F4486))</f>
        <v>Bruno Mars</v>
      </c>
      <c r="I4486" s="6" t="str">
        <f aca="false">IF(F4486=0,"NOT FOUND",INDEX('All Song Rankings'!$D:$D,F4486))</f>
        <v>Merita</v>
      </c>
      <c r="J4486" s="7" t="str">
        <f aca="false">IF(F4486=0,"NOT FOUND",IF(C4486=I4486,"SELF-VOTE",IF(COUNTIF($K:$K,K4486)&gt;1,"DUPLICATE","OK")))</f>
        <v>OK</v>
      </c>
      <c r="K4486" s="6" t="str">
        <f aca="false">A4486&amp;"|"&amp;B4486&amp;"|"&amp;C4486&amp;"|"&amp;D4486</f>
        <v>7|1|Leah|spotify:track:7BqBn9nzAq8spo5e7cZ0dJ</v>
      </c>
    </row>
    <row r="4487" customFormat="false" ht="15" hidden="false" customHeight="false" outlineLevel="0" collapsed="false">
      <c r="A4487" s="5" t="n">
        <v>7</v>
      </c>
      <c r="B4487" s="5" t="n">
        <v>1</v>
      </c>
      <c r="C4487" s="5" t="s">
        <v>705</v>
      </c>
      <c r="D4487" s="5" t="s">
        <v>2024</v>
      </c>
      <c r="E4487" s="5" t="n">
        <v>1</v>
      </c>
      <c r="F4487" s="6" t="n">
        <f aca="false">IFERROR(MATCH(A4487&amp;"|"&amp;B4487&amp;"|"&amp;D4487,'All Song Rankings'!$T:$T,0),0)</f>
        <v>674</v>
      </c>
      <c r="G4487" s="6" t="str">
        <f aca="false">IF(F4487=0,"NOT FOUND",INDEX('All Song Rankings'!$A:$A,F4487))</f>
        <v>Swing, Swing</v>
      </c>
      <c r="H4487" s="6" t="str">
        <f aca="false">IF(F4487=0,"NOT FOUND",INDEX('All Song Rankings'!$B:$B,F4487))</f>
        <v>The All-American Rejects</v>
      </c>
      <c r="I4487" s="6" t="str">
        <f aca="false">IF(F4487=0,"NOT FOUND",INDEX('All Song Rankings'!$D:$D,F4487))</f>
        <v>Colleen</v>
      </c>
      <c r="J4487" s="7" t="str">
        <f aca="false">IF(F4487=0,"NOT FOUND",IF(C4487=I4487,"SELF-VOTE",IF(COUNTIF($K:$K,K4487)&gt;1,"DUPLICATE","OK")))</f>
        <v>OK</v>
      </c>
      <c r="K4487" s="6" t="str">
        <f aca="false">A4487&amp;"|"&amp;B4487&amp;"|"&amp;C4487&amp;"|"&amp;D4487</f>
        <v>7|1|Lisa|spotify:track:003FTlCpBTM4eSqYSWPv4H</v>
      </c>
    </row>
    <row r="4488" customFormat="false" ht="15" hidden="false" customHeight="false" outlineLevel="0" collapsed="false">
      <c r="A4488" s="5" t="n">
        <v>7</v>
      </c>
      <c r="B4488" s="5" t="n">
        <v>1</v>
      </c>
      <c r="C4488" s="5" t="s">
        <v>705</v>
      </c>
      <c r="D4488" s="5" t="s">
        <v>2035</v>
      </c>
      <c r="E4488" s="5" t="n">
        <v>1</v>
      </c>
      <c r="F4488" s="6" t="n">
        <f aca="false">IFERROR(MATCH(A4488&amp;"|"&amp;B4488&amp;"|"&amp;D4488,'All Song Rankings'!$T:$T,0),0)</f>
        <v>679</v>
      </c>
      <c r="G4488" s="6" t="str">
        <f aca="false">IF(F4488=0,"NOT FOUND",INDEX('All Song Rankings'!$A:$A,F4488))</f>
        <v>Nine in the Afternoon - Single Mix</v>
      </c>
      <c r="H4488" s="6" t="str">
        <f aca="false">IF(F4488=0,"NOT FOUND",INDEX('All Song Rankings'!$B:$B,F4488))</f>
        <v>Panic! At The Disco</v>
      </c>
      <c r="I4488" s="6" t="str">
        <f aca="false">IF(F4488=0,"NOT FOUND",INDEX('All Song Rankings'!$D:$D,F4488))</f>
        <v>Kelsey</v>
      </c>
      <c r="J4488" s="7" t="str">
        <f aca="false">IF(F4488=0,"NOT FOUND",IF(C4488=I4488,"SELF-VOTE",IF(COUNTIF($K:$K,K4488)&gt;1,"DUPLICATE","OK")))</f>
        <v>OK</v>
      </c>
      <c r="K4488" s="6" t="str">
        <f aca="false">A4488&amp;"|"&amp;B4488&amp;"|"&amp;C4488&amp;"|"&amp;D4488</f>
        <v>7|1|Lisa|spotify:track:1S30kHvkkdMkcuCTGSgS41</v>
      </c>
    </row>
    <row r="4489" customFormat="false" ht="15" hidden="false" customHeight="false" outlineLevel="0" collapsed="false">
      <c r="A4489" s="5" t="n">
        <v>7</v>
      </c>
      <c r="B4489" s="5" t="n">
        <v>1</v>
      </c>
      <c r="C4489" s="5" t="s">
        <v>705</v>
      </c>
      <c r="D4489" s="5" t="s">
        <v>2027</v>
      </c>
      <c r="E4489" s="5" t="n">
        <v>2</v>
      </c>
      <c r="F4489" s="6" t="n">
        <f aca="false">IFERROR(MATCH(A4489&amp;"|"&amp;B4489&amp;"|"&amp;D4489,'All Song Rankings'!$T:$T,0),0)</f>
        <v>675</v>
      </c>
      <c r="G4489" s="6" t="str">
        <f aca="false">IF(F4489=0,"NOT FOUND",INDEX('All Song Rankings'!$A:$A,F4489))</f>
        <v>Papercut</v>
      </c>
      <c r="H4489" s="6" t="str">
        <f aca="false">IF(F4489=0,"NOT FOUND",INDEX('All Song Rankings'!$B:$B,F4489))</f>
        <v>Linkin Park</v>
      </c>
      <c r="I4489" s="6" t="str">
        <f aca="false">IF(F4489=0,"NOT FOUND",INDEX('All Song Rankings'!$D:$D,F4489))</f>
        <v>Matt</v>
      </c>
      <c r="J4489" s="7" t="str">
        <f aca="false">IF(F4489=0,"NOT FOUND",IF(C4489=I4489,"SELF-VOTE",IF(COUNTIF($K:$K,K4489)&gt;1,"DUPLICATE","OK")))</f>
        <v>OK</v>
      </c>
      <c r="K4489" s="6" t="str">
        <f aca="false">A4489&amp;"|"&amp;B4489&amp;"|"&amp;C4489&amp;"|"&amp;D4489</f>
        <v>7|1|Lisa|spotify:track:1Vej0qeQ3ioKwpI6FUbRv1</v>
      </c>
    </row>
    <row r="4490" customFormat="false" ht="15" hidden="false" customHeight="false" outlineLevel="0" collapsed="false">
      <c r="A4490" s="5" t="n">
        <v>7</v>
      </c>
      <c r="B4490" s="5" t="n">
        <v>1</v>
      </c>
      <c r="C4490" s="5" t="s">
        <v>705</v>
      </c>
      <c r="D4490" s="5" t="s">
        <v>2050</v>
      </c>
      <c r="E4490" s="5" t="n">
        <v>1</v>
      </c>
      <c r="F4490" s="6" t="n">
        <f aca="false">IFERROR(MATCH(A4490&amp;"|"&amp;B4490&amp;"|"&amp;D4490,'All Song Rankings'!$T:$T,0),0)</f>
        <v>685</v>
      </c>
      <c r="G4490" s="6" t="str">
        <f aca="false">IF(F4490=0,"NOT FOUND",INDEX('All Song Rankings'!$A:$A,F4490))</f>
        <v>About A Girl</v>
      </c>
      <c r="H4490" s="6" t="str">
        <f aca="false">IF(F4490=0,"NOT FOUND",INDEX('All Song Rankings'!$B:$B,F4490))</f>
        <v>Nirvana</v>
      </c>
      <c r="I4490" s="6" t="str">
        <f aca="false">IF(F4490=0,"NOT FOUND",INDEX('All Song Rankings'!$D:$D,F4490))</f>
        <v>Scott</v>
      </c>
      <c r="J4490" s="7" t="str">
        <f aca="false">IF(F4490=0,"NOT FOUND",IF(C4490=I4490,"SELF-VOTE",IF(COUNTIF($K:$K,K4490)&gt;1,"DUPLICATE","OK")))</f>
        <v>OK</v>
      </c>
      <c r="K4490" s="6" t="str">
        <f aca="false">A4490&amp;"|"&amp;B4490&amp;"|"&amp;C4490&amp;"|"&amp;D4490</f>
        <v>7|1|Lisa|spotify:track:2SHTKB8YYlawTGIuJ2b2ok</v>
      </c>
    </row>
    <row r="4491" customFormat="false" ht="15" hidden="false" customHeight="false" outlineLevel="0" collapsed="false">
      <c r="A4491" s="5" t="n">
        <v>7</v>
      </c>
      <c r="B4491" s="5" t="n">
        <v>1</v>
      </c>
      <c r="C4491" s="5" t="s">
        <v>705</v>
      </c>
      <c r="D4491" s="5" t="s">
        <v>2038</v>
      </c>
      <c r="E4491" s="5" t="n">
        <v>1</v>
      </c>
      <c r="F4491" s="6" t="n">
        <f aca="false">IFERROR(MATCH(A4491&amp;"|"&amp;B4491&amp;"|"&amp;D4491,'All Song Rankings'!$T:$T,0),0)</f>
        <v>680</v>
      </c>
      <c r="G4491" s="6" t="str">
        <f aca="false">IF(F4491=0,"NOT FOUND",INDEX('All Song Rankings'!$A:$A,F4491))</f>
        <v>Runnin' with the Devil - 2015 Remaster</v>
      </c>
      <c r="H4491" s="6" t="str">
        <f aca="false">IF(F4491=0,"NOT FOUND",INDEX('All Song Rankings'!$B:$B,F4491))</f>
        <v>Van Halen</v>
      </c>
      <c r="I4491" s="6" t="str">
        <f aca="false">IF(F4491=0,"NOT FOUND",INDEX('All Song Rankings'!$D:$D,F4491))</f>
        <v>Christine</v>
      </c>
      <c r="J4491" s="7" t="str">
        <f aca="false">IF(F4491=0,"NOT FOUND",IF(C4491=I4491,"SELF-VOTE",IF(COUNTIF($K:$K,K4491)&gt;1,"DUPLICATE","OK")))</f>
        <v>OK</v>
      </c>
      <c r="K4491" s="6" t="str">
        <f aca="false">A4491&amp;"|"&amp;B4491&amp;"|"&amp;C4491&amp;"|"&amp;D4491</f>
        <v>7|1|Lisa|spotify:track:3KhF2YiNpJvGpfiCW45R6D</v>
      </c>
    </row>
    <row r="4492" customFormat="false" ht="15" hidden="false" customHeight="false" outlineLevel="0" collapsed="false">
      <c r="A4492" s="5" t="n">
        <v>7</v>
      </c>
      <c r="B4492" s="5" t="n">
        <v>1</v>
      </c>
      <c r="C4492" s="5" t="s">
        <v>705</v>
      </c>
      <c r="D4492" s="5" t="s">
        <v>2045</v>
      </c>
      <c r="E4492" s="5" t="n">
        <v>1</v>
      </c>
      <c r="F4492" s="6" t="n">
        <f aca="false">IFERROR(MATCH(A4492&amp;"|"&amp;B4492&amp;"|"&amp;D4492,'All Song Rankings'!$T:$T,0),0)</f>
        <v>683</v>
      </c>
      <c r="G4492" s="6" t="str">
        <f aca="false">IF(F4492=0,"NOT FOUND",INDEX('All Song Rankings'!$A:$A,F4492))</f>
        <v>Dance Monkey</v>
      </c>
      <c r="H4492" s="6" t="str">
        <f aca="false">IF(F4492=0,"NOT FOUND",INDEX('All Song Rankings'!$B:$B,F4492))</f>
        <v>Tones And I</v>
      </c>
      <c r="I4492" s="6" t="str">
        <f aca="false">IF(F4492=0,"NOT FOUND",INDEX('All Song Rankings'!$D:$D,F4492))</f>
        <v>Grace</v>
      </c>
      <c r="J4492" s="7" t="str">
        <f aca="false">IF(F4492=0,"NOT FOUND",IF(C4492=I4492,"SELF-VOTE",IF(COUNTIF($K:$K,K4492)&gt;1,"DUPLICATE","OK")))</f>
        <v>OK</v>
      </c>
      <c r="K4492" s="6" t="str">
        <f aca="false">A4492&amp;"|"&amp;B4492&amp;"|"&amp;C4492&amp;"|"&amp;D4492</f>
        <v>7|1|Lisa|spotify:track:5ZULALImTm80tzUbYQYM9d</v>
      </c>
    </row>
    <row r="4493" customFormat="false" ht="15" hidden="false" customHeight="false" outlineLevel="0" collapsed="false">
      <c r="A4493" s="5" t="n">
        <v>7</v>
      </c>
      <c r="B4493" s="5" t="n">
        <v>1</v>
      </c>
      <c r="C4493" s="5" t="s">
        <v>705</v>
      </c>
      <c r="D4493" s="5" t="s">
        <v>2053</v>
      </c>
      <c r="E4493" s="5" t="n">
        <v>1</v>
      </c>
      <c r="F4493" s="6" t="n">
        <f aca="false">IFERROR(MATCH(A4493&amp;"|"&amp;B4493&amp;"|"&amp;D4493,'All Song Rankings'!$T:$T,0),0)</f>
        <v>686</v>
      </c>
      <c r="G4493" s="6" t="str">
        <f aca="false">IF(F4493=0,"NOT FOUND",INDEX('All Song Rankings'!$A:$A,F4493))</f>
        <v>Ain't No Sunshine</v>
      </c>
      <c r="H4493" s="6" t="str">
        <f aca="false">IF(F4493=0,"NOT FOUND",INDEX('All Song Rankings'!$B:$B,F4493))</f>
        <v>Michael Jackson</v>
      </c>
      <c r="I4493" s="6" t="str">
        <f aca="false">IF(F4493=0,"NOT FOUND",INDEX('All Song Rankings'!$D:$D,F4493))</f>
        <v>Sara</v>
      </c>
      <c r="J4493" s="7" t="str">
        <f aca="false">IF(F4493=0,"NOT FOUND",IF(C4493=I4493,"SELF-VOTE",IF(COUNTIF($K:$K,K4493)&gt;1,"DUPLICATE","OK")))</f>
        <v>OK</v>
      </c>
      <c r="K4493" s="6" t="str">
        <f aca="false">A4493&amp;"|"&amp;B4493&amp;"|"&amp;C4493&amp;"|"&amp;D4493</f>
        <v>7|1|Lisa|spotify:track:5ou2nZT8UQJn1nuiUxAyjs</v>
      </c>
    </row>
    <row r="4494" customFormat="false" ht="15" hidden="false" customHeight="false" outlineLevel="0" collapsed="false">
      <c r="A4494" s="5" t="n">
        <v>7</v>
      </c>
      <c r="B4494" s="5" t="n">
        <v>1</v>
      </c>
      <c r="C4494" s="5" t="s">
        <v>705</v>
      </c>
      <c r="D4494" s="5" t="s">
        <v>2044</v>
      </c>
      <c r="E4494" s="5" t="n">
        <v>1</v>
      </c>
      <c r="F4494" s="6" t="n">
        <f aca="false">IFERROR(MATCH(A4494&amp;"|"&amp;B4494&amp;"|"&amp;D4494,'All Song Rankings'!$T:$T,0),0)</f>
        <v>682</v>
      </c>
      <c r="G4494" s="6" t="str">
        <f aca="false">IF(F4494=0,"NOT FOUND",INDEX('All Song Rankings'!$A:$A,F4494))</f>
        <v>Snow Angel</v>
      </c>
      <c r="H4494" s="6" t="str">
        <f aca="false">IF(F4494=0,"NOT FOUND",INDEX('All Song Rankings'!$B:$B,F4494))</f>
        <v>Reneé Rapp</v>
      </c>
      <c r="I4494" s="6" t="str">
        <f aca="false">IF(F4494=0,"NOT FOUND",INDEX('All Song Rankings'!$D:$D,F4494))</f>
        <v>Logan</v>
      </c>
      <c r="J4494" s="7" t="str">
        <f aca="false">IF(F4494=0,"NOT FOUND",IF(C4494=I4494,"SELF-VOTE",IF(COUNTIF($K:$K,K4494)&gt;1,"DUPLICATE","OK")))</f>
        <v>OK</v>
      </c>
      <c r="K4494" s="6" t="str">
        <f aca="false">A4494&amp;"|"&amp;B4494&amp;"|"&amp;C4494&amp;"|"&amp;D4494</f>
        <v>7|1|Lisa|spotify:track:6skUuqrKMQIjjo75hWGAvQ</v>
      </c>
    </row>
    <row r="4495" customFormat="false" ht="15" hidden="false" customHeight="false" outlineLevel="0" collapsed="false">
      <c r="A4495" s="5" t="n">
        <v>7</v>
      </c>
      <c r="B4495" s="5" t="n">
        <v>1</v>
      </c>
      <c r="C4495" s="5" t="s">
        <v>705</v>
      </c>
      <c r="D4495" s="5" t="s">
        <v>2041</v>
      </c>
      <c r="E4495" s="5" t="n">
        <v>1</v>
      </c>
      <c r="F4495" s="6" t="n">
        <f aca="false">IFERROR(MATCH(A4495&amp;"|"&amp;B4495&amp;"|"&amp;D4495,'All Song Rankings'!$T:$T,0),0)</f>
        <v>681</v>
      </c>
      <c r="G4495" s="6" t="str">
        <f aca="false">IF(F4495=0,"NOT FOUND",INDEX('All Song Rankings'!$A:$A,F4495))</f>
        <v>Break Up In A Small Town</v>
      </c>
      <c r="H4495" s="6" t="str">
        <f aca="false">IF(F4495=0,"NOT FOUND",INDEX('All Song Rankings'!$B:$B,F4495))</f>
        <v>Sam Hunt</v>
      </c>
      <c r="I4495" s="6" t="str">
        <f aca="false">IF(F4495=0,"NOT FOUND",INDEX('All Song Rankings'!$D:$D,F4495))</f>
        <v>Leah</v>
      </c>
      <c r="J4495" s="7" t="str">
        <f aca="false">IF(F4495=0,"NOT FOUND",IF(C4495=I4495,"SELF-VOTE",IF(COUNTIF($K:$K,K4495)&gt;1,"DUPLICATE","OK")))</f>
        <v>OK</v>
      </c>
      <c r="K4495" s="6" t="str">
        <f aca="false">A4495&amp;"|"&amp;B4495&amp;"|"&amp;C4495&amp;"|"&amp;D4495</f>
        <v>7|1|Lisa|spotify:track:7aftSOGSOpSoIlVAQVBb71</v>
      </c>
    </row>
    <row r="4496" customFormat="false" ht="15" hidden="false" customHeight="false" outlineLevel="0" collapsed="false">
      <c r="A4496" s="5" t="n">
        <v>7</v>
      </c>
      <c r="B4496" s="5" t="n">
        <v>1</v>
      </c>
      <c r="C4496" s="5" t="s">
        <v>128</v>
      </c>
      <c r="D4496" s="5" t="s">
        <v>2024</v>
      </c>
      <c r="E4496" s="5" t="n">
        <v>1</v>
      </c>
      <c r="F4496" s="6" t="n">
        <f aca="false">IFERROR(MATCH(A4496&amp;"|"&amp;B4496&amp;"|"&amp;D4496,'All Song Rankings'!$T:$T,0),0)</f>
        <v>674</v>
      </c>
      <c r="G4496" s="6" t="str">
        <f aca="false">IF(F4496=0,"NOT FOUND",INDEX('All Song Rankings'!$A:$A,F4496))</f>
        <v>Swing, Swing</v>
      </c>
      <c r="H4496" s="6" t="str">
        <f aca="false">IF(F4496=0,"NOT FOUND",INDEX('All Song Rankings'!$B:$B,F4496))</f>
        <v>The All-American Rejects</v>
      </c>
      <c r="I4496" s="6" t="str">
        <f aca="false">IF(F4496=0,"NOT FOUND",INDEX('All Song Rankings'!$D:$D,F4496))</f>
        <v>Colleen</v>
      </c>
      <c r="J4496" s="7" t="str">
        <f aca="false">IF(F4496=0,"NOT FOUND",IF(C4496=I4496,"SELF-VOTE",IF(COUNTIF($K:$K,K4496)&gt;1,"DUPLICATE","OK")))</f>
        <v>OK</v>
      </c>
      <c r="K4496" s="6" t="str">
        <f aca="false">A4496&amp;"|"&amp;B4496&amp;"|"&amp;C4496&amp;"|"&amp;D4496</f>
        <v>7|1|Logan|spotify:track:003FTlCpBTM4eSqYSWPv4H</v>
      </c>
    </row>
    <row r="4497" customFormat="false" ht="15" hidden="false" customHeight="false" outlineLevel="0" collapsed="false">
      <c r="A4497" s="5" t="n">
        <v>7</v>
      </c>
      <c r="B4497" s="5" t="n">
        <v>1</v>
      </c>
      <c r="C4497" s="5" t="s">
        <v>128</v>
      </c>
      <c r="D4497" s="5" t="s">
        <v>2048</v>
      </c>
      <c r="E4497" s="5" t="n">
        <v>1</v>
      </c>
      <c r="F4497" s="6" t="n">
        <f aca="false">IFERROR(MATCH(A4497&amp;"|"&amp;B4497&amp;"|"&amp;D4497,'All Song Rankings'!$T:$T,0),0)</f>
        <v>684</v>
      </c>
      <c r="G4497" s="6" t="str">
        <f aca="false">IF(F4497=0,"NOT FOUND",INDEX('All Song Rankings'!$A:$A,F4497))</f>
        <v>More Than a Feeling</v>
      </c>
      <c r="H4497" s="6" t="str">
        <f aca="false">IF(F4497=0,"NOT FOUND",INDEX('All Song Rankings'!$B:$B,F4497))</f>
        <v>Boston</v>
      </c>
      <c r="I4497" s="6" t="str">
        <f aca="false">IF(F4497=0,"NOT FOUND",INDEX('All Song Rankings'!$D:$D,F4497))</f>
        <v>Aubrey</v>
      </c>
      <c r="J4497" s="7" t="str">
        <f aca="false">IF(F4497=0,"NOT FOUND",IF(C4497=I4497,"SELF-VOTE",IF(COUNTIF($K:$K,K4497)&gt;1,"DUPLICATE","OK")))</f>
        <v>OK</v>
      </c>
      <c r="K4497" s="6" t="str">
        <f aca="false">A4497&amp;"|"&amp;B4497&amp;"|"&amp;C4497&amp;"|"&amp;D4497</f>
        <v>7|1|Logan|spotify:track:1QEEqeFIZktqIpPI4jSVSF</v>
      </c>
    </row>
    <row r="4498" customFormat="false" ht="15" hidden="false" customHeight="false" outlineLevel="0" collapsed="false">
      <c r="A4498" s="5" t="n">
        <v>7</v>
      </c>
      <c r="B4498" s="5" t="n">
        <v>1</v>
      </c>
      <c r="C4498" s="5" t="s">
        <v>128</v>
      </c>
      <c r="D4498" s="5" t="s">
        <v>2020</v>
      </c>
      <c r="E4498" s="5" t="n">
        <v>1</v>
      </c>
      <c r="F4498" s="6" t="n">
        <f aca="false">IFERROR(MATCH(A4498&amp;"|"&amp;B4498&amp;"|"&amp;D4498,'All Song Rankings'!$T:$T,0),0)</f>
        <v>672</v>
      </c>
      <c r="G4498" s="6" t="str">
        <f aca="false">IF(F4498=0,"NOT FOUND",INDEX('All Song Rankings'!$A:$A,F4498))</f>
        <v>Just Dance</v>
      </c>
      <c r="H4498" s="6" t="str">
        <f aca="false">IF(F4498=0,"NOT FOUND",INDEX('All Song Rankings'!$B:$B,F4498))</f>
        <v>Lady Gaga, Colby O'Donis</v>
      </c>
      <c r="I4498" s="6" t="str">
        <f aca="false">IF(F4498=0,"NOT FOUND",INDEX('All Song Rankings'!$D:$D,F4498))</f>
        <v>Lucia</v>
      </c>
      <c r="J4498" s="7" t="str">
        <f aca="false">IF(F4498=0,"NOT FOUND",IF(C4498=I4498,"SELF-VOTE",IF(COUNTIF($K:$K,K4498)&gt;1,"DUPLICATE","OK")))</f>
        <v>OK</v>
      </c>
      <c r="K4498" s="6" t="str">
        <f aca="false">A4498&amp;"|"&amp;B4498&amp;"|"&amp;C4498&amp;"|"&amp;D4498</f>
        <v>7|1|Logan|spotify:track:2x7MyWybabEz6Y6wvHuwGE</v>
      </c>
    </row>
    <row r="4499" customFormat="false" ht="15" hidden="false" customHeight="false" outlineLevel="0" collapsed="false">
      <c r="A4499" s="5" t="n">
        <v>7</v>
      </c>
      <c r="B4499" s="5" t="n">
        <v>1</v>
      </c>
      <c r="C4499" s="5" t="s">
        <v>128</v>
      </c>
      <c r="D4499" s="5" t="s">
        <v>2038</v>
      </c>
      <c r="E4499" s="5" t="n">
        <v>1</v>
      </c>
      <c r="F4499" s="6" t="n">
        <f aca="false">IFERROR(MATCH(A4499&amp;"|"&amp;B4499&amp;"|"&amp;D4499,'All Song Rankings'!$T:$T,0),0)</f>
        <v>680</v>
      </c>
      <c r="G4499" s="6" t="str">
        <f aca="false">IF(F4499=0,"NOT FOUND",INDEX('All Song Rankings'!$A:$A,F4499))</f>
        <v>Runnin' with the Devil - 2015 Remaster</v>
      </c>
      <c r="H4499" s="6" t="str">
        <f aca="false">IF(F4499=0,"NOT FOUND",INDEX('All Song Rankings'!$B:$B,F4499))</f>
        <v>Van Halen</v>
      </c>
      <c r="I4499" s="6" t="str">
        <f aca="false">IF(F4499=0,"NOT FOUND",INDEX('All Song Rankings'!$D:$D,F4499))</f>
        <v>Christine</v>
      </c>
      <c r="J4499" s="7" t="str">
        <f aca="false">IF(F4499=0,"NOT FOUND",IF(C4499=I4499,"SELF-VOTE",IF(COUNTIF($K:$K,K4499)&gt;1,"DUPLICATE","OK")))</f>
        <v>OK</v>
      </c>
      <c r="K4499" s="6" t="str">
        <f aca="false">A4499&amp;"|"&amp;B4499&amp;"|"&amp;C4499&amp;"|"&amp;D4499</f>
        <v>7|1|Logan|spotify:track:3KhF2YiNpJvGpfiCW45R6D</v>
      </c>
    </row>
    <row r="4500" customFormat="false" ht="15" hidden="false" customHeight="false" outlineLevel="0" collapsed="false">
      <c r="A4500" s="5" t="n">
        <v>7</v>
      </c>
      <c r="B4500" s="5" t="n">
        <v>1</v>
      </c>
      <c r="C4500" s="5" t="s">
        <v>128</v>
      </c>
      <c r="D4500" s="5" t="s">
        <v>1317</v>
      </c>
      <c r="E4500" s="5" t="n">
        <v>1</v>
      </c>
      <c r="F4500" s="6" t="n">
        <f aca="false">IFERROR(MATCH(A4500&amp;"|"&amp;B4500&amp;"|"&amp;D4500,'All Song Rankings'!$T:$T,0),0)</f>
        <v>676</v>
      </c>
      <c r="G4500" s="6" t="str">
        <f aca="false">IF(F4500=0,"NOT FOUND",INDEX('All Song Rankings'!$A:$A,F4500))</f>
        <v>…Baby One More Time</v>
      </c>
      <c r="H4500" s="6" t="str">
        <f aca="false">IF(F4500=0,"NOT FOUND",INDEX('All Song Rankings'!$B:$B,F4500))</f>
        <v>Britney Spears</v>
      </c>
      <c r="I4500" s="6" t="str">
        <f aca="false">IF(F4500=0,"NOT FOUND",INDEX('All Song Rankings'!$D:$D,F4500))</f>
        <v>Stephanie</v>
      </c>
      <c r="J4500" s="7" t="str">
        <f aca="false">IF(F4500=0,"NOT FOUND",IF(C4500=I4500,"SELF-VOTE",IF(COUNTIF($K:$K,K4500)&gt;1,"DUPLICATE","OK")))</f>
        <v>OK</v>
      </c>
      <c r="K4500" s="6" t="str">
        <f aca="false">A4500&amp;"|"&amp;B4500&amp;"|"&amp;C4500&amp;"|"&amp;D4500</f>
        <v>7|1|Logan|spotify:track:3MjUtNVVq3C8Fn0MP3zhXa</v>
      </c>
    </row>
    <row r="4501" customFormat="false" ht="15" hidden="false" customHeight="false" outlineLevel="0" collapsed="false">
      <c r="A4501" s="5" t="n">
        <v>7</v>
      </c>
      <c r="B4501" s="5" t="n">
        <v>1</v>
      </c>
      <c r="C4501" s="5" t="s">
        <v>128</v>
      </c>
      <c r="D4501" s="5" t="s">
        <v>2030</v>
      </c>
      <c r="E4501" s="5" t="n">
        <v>1</v>
      </c>
      <c r="F4501" s="6" t="n">
        <f aca="false">IFERROR(MATCH(A4501&amp;"|"&amp;B4501&amp;"|"&amp;D4501,'All Song Rankings'!$T:$T,0),0)</f>
        <v>677</v>
      </c>
      <c r="G4501" s="6" t="str">
        <f aca="false">IF(F4501=0,"NOT FOUND",INDEX('All Song Rankings'!$A:$A,F4501))</f>
        <v>Here With Me</v>
      </c>
      <c r="H4501" s="6" t="str">
        <f aca="false">IF(F4501=0,"NOT FOUND",INDEX('All Song Rankings'!$B:$B,F4501))</f>
        <v>Dido</v>
      </c>
      <c r="I4501" s="6" t="str">
        <f aca="false">IF(F4501=0,"NOT FOUND",INDEX('All Song Rankings'!$D:$D,F4501))</f>
        <v>Lisa</v>
      </c>
      <c r="J4501" s="7" t="str">
        <f aca="false">IF(F4501=0,"NOT FOUND",IF(C4501=I4501,"SELF-VOTE",IF(COUNTIF($K:$K,K4501)&gt;1,"DUPLICATE","OK")))</f>
        <v>OK</v>
      </c>
      <c r="K4501" s="6" t="str">
        <f aca="false">A4501&amp;"|"&amp;B4501&amp;"|"&amp;C4501&amp;"|"&amp;D4501</f>
        <v>7|1|Logan|spotify:track:4xFxK0FXmNlUDRgCaIQCVn</v>
      </c>
    </row>
    <row r="4502" customFormat="false" ht="15" hidden="false" customHeight="false" outlineLevel="0" collapsed="false">
      <c r="A4502" s="5" t="n">
        <v>7</v>
      </c>
      <c r="B4502" s="5" t="n">
        <v>1</v>
      </c>
      <c r="C4502" s="5" t="s">
        <v>128</v>
      </c>
      <c r="D4502" s="5" t="s">
        <v>2022</v>
      </c>
      <c r="E4502" s="5" t="n">
        <v>1</v>
      </c>
      <c r="F4502" s="6" t="n">
        <f aca="false">IFERROR(MATCH(A4502&amp;"|"&amp;B4502&amp;"|"&amp;D4502,'All Song Rankings'!$T:$T,0),0)</f>
        <v>673</v>
      </c>
      <c r="G4502" s="6" t="str">
        <f aca="false">IF(F4502=0,"NOT FOUND",INDEX('All Song Rankings'!$A:$A,F4502))</f>
        <v>One Thing</v>
      </c>
      <c r="H4502" s="6" t="str">
        <f aca="false">IF(F4502=0,"NOT FOUND",INDEX('All Song Rankings'!$B:$B,F4502))</f>
        <v>One Direction</v>
      </c>
      <c r="I4502" s="6" t="str">
        <f aca="false">IF(F4502=0,"NOT FOUND",INDEX('All Song Rankings'!$D:$D,F4502))</f>
        <v>Josh</v>
      </c>
      <c r="J4502" s="7" t="str">
        <f aca="false">IF(F4502=0,"NOT FOUND",IF(C4502=I4502,"SELF-VOTE",IF(COUNTIF($K:$K,K4502)&gt;1,"DUPLICATE","OK")))</f>
        <v>OK</v>
      </c>
      <c r="K4502" s="6" t="str">
        <f aca="false">A4502&amp;"|"&amp;B4502&amp;"|"&amp;C4502&amp;"|"&amp;D4502</f>
        <v>7|1|Logan|spotify:track:5G2c6FsfTzgYUzageCmfXY</v>
      </c>
    </row>
    <row r="4503" customFormat="false" ht="15" hidden="false" customHeight="false" outlineLevel="0" collapsed="false">
      <c r="A4503" s="5" t="n">
        <v>7</v>
      </c>
      <c r="B4503" s="5" t="n">
        <v>1</v>
      </c>
      <c r="C4503" s="5" t="s">
        <v>128</v>
      </c>
      <c r="D4503" s="5" t="s">
        <v>2053</v>
      </c>
      <c r="E4503" s="5" t="n">
        <v>1</v>
      </c>
      <c r="F4503" s="6" t="n">
        <f aca="false">IFERROR(MATCH(A4503&amp;"|"&amp;B4503&amp;"|"&amp;D4503,'All Song Rankings'!$T:$T,0),0)</f>
        <v>686</v>
      </c>
      <c r="G4503" s="6" t="str">
        <f aca="false">IF(F4503=0,"NOT FOUND",INDEX('All Song Rankings'!$A:$A,F4503))</f>
        <v>Ain't No Sunshine</v>
      </c>
      <c r="H4503" s="6" t="str">
        <f aca="false">IF(F4503=0,"NOT FOUND",INDEX('All Song Rankings'!$B:$B,F4503))</f>
        <v>Michael Jackson</v>
      </c>
      <c r="I4503" s="6" t="str">
        <f aca="false">IF(F4503=0,"NOT FOUND",INDEX('All Song Rankings'!$D:$D,F4503))</f>
        <v>Sara</v>
      </c>
      <c r="J4503" s="7" t="str">
        <f aca="false">IF(F4503=0,"NOT FOUND",IF(C4503=I4503,"SELF-VOTE",IF(COUNTIF($K:$K,K4503)&gt;1,"DUPLICATE","OK")))</f>
        <v>OK</v>
      </c>
      <c r="K4503" s="6" t="str">
        <f aca="false">A4503&amp;"|"&amp;B4503&amp;"|"&amp;C4503&amp;"|"&amp;D4503</f>
        <v>7|1|Logan|spotify:track:5ou2nZT8UQJn1nuiUxAyjs</v>
      </c>
    </row>
    <row r="4504" customFormat="false" ht="15" hidden="false" customHeight="false" outlineLevel="0" collapsed="false">
      <c r="A4504" s="5" t="n">
        <v>7</v>
      </c>
      <c r="B4504" s="5" t="n">
        <v>1</v>
      </c>
      <c r="C4504" s="5" t="s">
        <v>128</v>
      </c>
      <c r="D4504" s="5" t="s">
        <v>2033</v>
      </c>
      <c r="E4504" s="5" t="n">
        <v>1</v>
      </c>
      <c r="F4504" s="6" t="n">
        <f aca="false">IFERROR(MATCH(A4504&amp;"|"&amp;B4504&amp;"|"&amp;D4504,'All Song Rankings'!$T:$T,0),0)</f>
        <v>678</v>
      </c>
      <c r="G4504" s="6" t="str">
        <f aca="false">IF(F4504=0,"NOT FOUND",INDEX('All Song Rankings'!$A:$A,F4504))</f>
        <v>I Want You Back</v>
      </c>
      <c r="H4504" s="6" t="str">
        <f aca="false">IF(F4504=0,"NOT FOUND",INDEX('All Song Rankings'!$B:$B,F4504))</f>
        <v>The Jackson 5</v>
      </c>
      <c r="I4504" s="6" t="str">
        <f aca="false">IF(F4504=0,"NOT FOUND",INDEX('All Song Rankings'!$D:$D,F4504))</f>
        <v>Kristen</v>
      </c>
      <c r="J4504" s="7" t="str">
        <f aca="false">IF(F4504=0,"NOT FOUND",IF(C4504=I4504,"SELF-VOTE",IF(COUNTIF($K:$K,K4504)&gt;1,"DUPLICATE","OK")))</f>
        <v>OK</v>
      </c>
      <c r="K4504" s="6" t="str">
        <f aca="false">A4504&amp;"|"&amp;B4504&amp;"|"&amp;C4504&amp;"|"&amp;D4504</f>
        <v>7|1|Logan|spotify:track:75EVUbTF5l9VuMHs6AuFgp</v>
      </c>
    </row>
    <row r="4505" customFormat="false" ht="15" hidden="false" customHeight="false" outlineLevel="0" collapsed="false">
      <c r="A4505" s="5" t="n">
        <v>7</v>
      </c>
      <c r="B4505" s="5" t="n">
        <v>1</v>
      </c>
      <c r="C4505" s="5" t="s">
        <v>128</v>
      </c>
      <c r="D4505" s="5" t="s">
        <v>2016</v>
      </c>
      <c r="E4505" s="5" t="n">
        <v>1</v>
      </c>
      <c r="F4505" s="6" t="n">
        <f aca="false">IFERROR(MATCH(A4505&amp;"|"&amp;B4505&amp;"|"&amp;D4505,'All Song Rankings'!$T:$T,0),0)</f>
        <v>671</v>
      </c>
      <c r="G4505" s="6" t="str">
        <f aca="false">IF(F4505=0,"NOT FOUND",INDEX('All Song Rankings'!$A:$A,F4505))</f>
        <v>Just the Way You Are</v>
      </c>
      <c r="H4505" s="6" t="str">
        <f aca="false">IF(F4505=0,"NOT FOUND",INDEX('All Song Rankings'!$B:$B,F4505))</f>
        <v>Bruno Mars</v>
      </c>
      <c r="I4505" s="6" t="str">
        <f aca="false">IF(F4505=0,"NOT FOUND",INDEX('All Song Rankings'!$D:$D,F4505))</f>
        <v>Merita</v>
      </c>
      <c r="J4505" s="7" t="str">
        <f aca="false">IF(F4505=0,"NOT FOUND",IF(C4505=I4505,"SELF-VOTE",IF(COUNTIF($K:$K,K4505)&gt;1,"DUPLICATE","OK")))</f>
        <v>OK</v>
      </c>
      <c r="K4505" s="6" t="str">
        <f aca="false">A4505&amp;"|"&amp;B4505&amp;"|"&amp;C4505&amp;"|"&amp;D4505</f>
        <v>7|1|Logan|spotify:track:7BqBn9nzAq8spo5e7cZ0dJ</v>
      </c>
    </row>
    <row r="4506" customFormat="false" ht="15" hidden="false" customHeight="false" outlineLevel="0" collapsed="false">
      <c r="A4506" s="5" t="n">
        <v>7</v>
      </c>
      <c r="B4506" s="5" t="n">
        <v>1</v>
      </c>
      <c r="C4506" s="5" t="s">
        <v>2019</v>
      </c>
      <c r="D4506" s="5" t="s">
        <v>2048</v>
      </c>
      <c r="E4506" s="5" t="n">
        <v>1</v>
      </c>
      <c r="F4506" s="6" t="n">
        <f aca="false">IFERROR(MATCH(A4506&amp;"|"&amp;B4506&amp;"|"&amp;D4506,'All Song Rankings'!$T:$T,0),0)</f>
        <v>684</v>
      </c>
      <c r="G4506" s="6" t="str">
        <f aca="false">IF(F4506=0,"NOT FOUND",INDEX('All Song Rankings'!$A:$A,F4506))</f>
        <v>More Than a Feeling</v>
      </c>
      <c r="H4506" s="6" t="str">
        <f aca="false">IF(F4506=0,"NOT FOUND",INDEX('All Song Rankings'!$B:$B,F4506))</f>
        <v>Boston</v>
      </c>
      <c r="I4506" s="6" t="str">
        <f aca="false">IF(F4506=0,"NOT FOUND",INDEX('All Song Rankings'!$D:$D,F4506))</f>
        <v>Aubrey</v>
      </c>
      <c r="J4506" s="7" t="str">
        <f aca="false">IF(F4506=0,"NOT FOUND",IF(C4506=I4506,"SELF-VOTE",IF(COUNTIF($K:$K,K4506)&gt;1,"DUPLICATE","OK")))</f>
        <v>OK</v>
      </c>
      <c r="K4506" s="6" t="str">
        <f aca="false">A4506&amp;"|"&amp;B4506&amp;"|"&amp;C4506&amp;"|"&amp;D4506</f>
        <v>7|1|Lucia|spotify:track:1QEEqeFIZktqIpPI4jSVSF</v>
      </c>
    </row>
    <row r="4507" customFormat="false" ht="15" hidden="false" customHeight="false" outlineLevel="0" collapsed="false">
      <c r="A4507" s="5" t="n">
        <v>7</v>
      </c>
      <c r="B4507" s="5" t="n">
        <v>1</v>
      </c>
      <c r="C4507" s="5" t="s">
        <v>2019</v>
      </c>
      <c r="D4507" s="5" t="s">
        <v>1317</v>
      </c>
      <c r="E4507" s="5" t="n">
        <v>2</v>
      </c>
      <c r="F4507" s="6" t="n">
        <f aca="false">IFERROR(MATCH(A4507&amp;"|"&amp;B4507&amp;"|"&amp;D4507,'All Song Rankings'!$T:$T,0),0)</f>
        <v>676</v>
      </c>
      <c r="G4507" s="6" t="str">
        <f aca="false">IF(F4507=0,"NOT FOUND",INDEX('All Song Rankings'!$A:$A,F4507))</f>
        <v>…Baby One More Time</v>
      </c>
      <c r="H4507" s="6" t="str">
        <f aca="false">IF(F4507=0,"NOT FOUND",INDEX('All Song Rankings'!$B:$B,F4507))</f>
        <v>Britney Spears</v>
      </c>
      <c r="I4507" s="6" t="str">
        <f aca="false">IF(F4507=0,"NOT FOUND",INDEX('All Song Rankings'!$D:$D,F4507))</f>
        <v>Stephanie</v>
      </c>
      <c r="J4507" s="7" t="str">
        <f aca="false">IF(F4507=0,"NOT FOUND",IF(C4507=I4507,"SELF-VOTE",IF(COUNTIF($K:$K,K4507)&gt;1,"DUPLICATE","OK")))</f>
        <v>OK</v>
      </c>
      <c r="K4507" s="6" t="str">
        <f aca="false">A4507&amp;"|"&amp;B4507&amp;"|"&amp;C4507&amp;"|"&amp;D4507</f>
        <v>7|1|Lucia|spotify:track:3MjUtNVVq3C8Fn0MP3zhXa</v>
      </c>
    </row>
    <row r="4508" customFormat="false" ht="15" hidden="false" customHeight="false" outlineLevel="0" collapsed="false">
      <c r="A4508" s="5" t="n">
        <v>7</v>
      </c>
      <c r="B4508" s="5" t="n">
        <v>1</v>
      </c>
      <c r="C4508" s="5" t="s">
        <v>2019</v>
      </c>
      <c r="D4508" s="5" t="s">
        <v>2022</v>
      </c>
      <c r="E4508" s="5" t="n">
        <v>2</v>
      </c>
      <c r="F4508" s="6" t="n">
        <f aca="false">IFERROR(MATCH(A4508&amp;"|"&amp;B4508&amp;"|"&amp;D4508,'All Song Rankings'!$T:$T,0),0)</f>
        <v>673</v>
      </c>
      <c r="G4508" s="6" t="str">
        <f aca="false">IF(F4508=0,"NOT FOUND",INDEX('All Song Rankings'!$A:$A,F4508))</f>
        <v>One Thing</v>
      </c>
      <c r="H4508" s="6" t="str">
        <f aca="false">IF(F4508=0,"NOT FOUND",INDEX('All Song Rankings'!$B:$B,F4508))</f>
        <v>One Direction</v>
      </c>
      <c r="I4508" s="6" t="str">
        <f aca="false">IF(F4508=0,"NOT FOUND",INDEX('All Song Rankings'!$D:$D,F4508))</f>
        <v>Josh</v>
      </c>
      <c r="J4508" s="7" t="str">
        <f aca="false">IF(F4508=0,"NOT FOUND",IF(C4508=I4508,"SELF-VOTE",IF(COUNTIF($K:$K,K4508)&gt;1,"DUPLICATE","OK")))</f>
        <v>OK</v>
      </c>
      <c r="K4508" s="6" t="str">
        <f aca="false">A4508&amp;"|"&amp;B4508&amp;"|"&amp;C4508&amp;"|"&amp;D4508</f>
        <v>7|1|Lucia|spotify:track:5G2c6FsfTzgYUzageCmfXY</v>
      </c>
    </row>
    <row r="4509" customFormat="false" ht="15" hidden="false" customHeight="false" outlineLevel="0" collapsed="false">
      <c r="A4509" s="5" t="n">
        <v>7</v>
      </c>
      <c r="B4509" s="5" t="n">
        <v>1</v>
      </c>
      <c r="C4509" s="5" t="s">
        <v>2019</v>
      </c>
      <c r="D4509" s="5" t="s">
        <v>2033</v>
      </c>
      <c r="E4509" s="5" t="n">
        <v>2</v>
      </c>
      <c r="F4509" s="6" t="n">
        <f aca="false">IFERROR(MATCH(A4509&amp;"|"&amp;B4509&amp;"|"&amp;D4509,'All Song Rankings'!$T:$T,0),0)</f>
        <v>678</v>
      </c>
      <c r="G4509" s="6" t="str">
        <f aca="false">IF(F4509=0,"NOT FOUND",INDEX('All Song Rankings'!$A:$A,F4509))</f>
        <v>I Want You Back</v>
      </c>
      <c r="H4509" s="6" t="str">
        <f aca="false">IF(F4509=0,"NOT FOUND",INDEX('All Song Rankings'!$B:$B,F4509))</f>
        <v>The Jackson 5</v>
      </c>
      <c r="I4509" s="6" t="str">
        <f aca="false">IF(F4509=0,"NOT FOUND",INDEX('All Song Rankings'!$D:$D,F4509))</f>
        <v>Kristen</v>
      </c>
      <c r="J4509" s="7" t="str">
        <f aca="false">IF(F4509=0,"NOT FOUND",IF(C4509=I4509,"SELF-VOTE",IF(COUNTIF($K:$K,K4509)&gt;1,"DUPLICATE","OK")))</f>
        <v>OK</v>
      </c>
      <c r="K4509" s="6" t="str">
        <f aca="false">A4509&amp;"|"&amp;B4509&amp;"|"&amp;C4509&amp;"|"&amp;D4509</f>
        <v>7|1|Lucia|spotify:track:75EVUbTF5l9VuMHs6AuFgp</v>
      </c>
    </row>
    <row r="4510" customFormat="false" ht="15" hidden="false" customHeight="false" outlineLevel="0" collapsed="false">
      <c r="A4510" s="5" t="n">
        <v>7</v>
      </c>
      <c r="B4510" s="5" t="n">
        <v>1</v>
      </c>
      <c r="C4510" s="5" t="s">
        <v>2019</v>
      </c>
      <c r="D4510" s="5" t="s">
        <v>2016</v>
      </c>
      <c r="E4510" s="5" t="n">
        <v>3</v>
      </c>
      <c r="F4510" s="6" t="n">
        <f aca="false">IFERROR(MATCH(A4510&amp;"|"&amp;B4510&amp;"|"&amp;D4510,'All Song Rankings'!$T:$T,0),0)</f>
        <v>671</v>
      </c>
      <c r="G4510" s="6" t="str">
        <f aca="false">IF(F4510=0,"NOT FOUND",INDEX('All Song Rankings'!$A:$A,F4510))</f>
        <v>Just the Way You Are</v>
      </c>
      <c r="H4510" s="6" t="str">
        <f aca="false">IF(F4510=0,"NOT FOUND",INDEX('All Song Rankings'!$B:$B,F4510))</f>
        <v>Bruno Mars</v>
      </c>
      <c r="I4510" s="6" t="str">
        <f aca="false">IF(F4510=0,"NOT FOUND",INDEX('All Song Rankings'!$D:$D,F4510))</f>
        <v>Merita</v>
      </c>
      <c r="J4510" s="7" t="str">
        <f aca="false">IF(F4510=0,"NOT FOUND",IF(C4510=I4510,"SELF-VOTE",IF(COUNTIF($K:$K,K4510)&gt;1,"DUPLICATE","OK")))</f>
        <v>OK</v>
      </c>
      <c r="K4510" s="6" t="str">
        <f aca="false">A4510&amp;"|"&amp;B4510&amp;"|"&amp;C4510&amp;"|"&amp;D4510</f>
        <v>7|1|Lucia|spotify:track:7BqBn9nzAq8spo5e7cZ0dJ</v>
      </c>
    </row>
    <row r="4511" customFormat="false" ht="15" hidden="false" customHeight="false" outlineLevel="0" collapsed="false">
      <c r="A4511" s="5" t="n">
        <v>7</v>
      </c>
      <c r="B4511" s="5" t="n">
        <v>1</v>
      </c>
      <c r="C4511" s="5" t="s">
        <v>116</v>
      </c>
      <c r="D4511" s="5" t="s">
        <v>2024</v>
      </c>
      <c r="E4511" s="5" t="n">
        <v>2</v>
      </c>
      <c r="F4511" s="6" t="n">
        <f aca="false">IFERROR(MATCH(A4511&amp;"|"&amp;B4511&amp;"|"&amp;D4511,'All Song Rankings'!$T:$T,0),0)</f>
        <v>674</v>
      </c>
      <c r="G4511" s="6" t="str">
        <f aca="false">IF(F4511=0,"NOT FOUND",INDEX('All Song Rankings'!$A:$A,F4511))</f>
        <v>Swing, Swing</v>
      </c>
      <c r="H4511" s="6" t="str">
        <f aca="false">IF(F4511=0,"NOT FOUND",INDEX('All Song Rankings'!$B:$B,F4511))</f>
        <v>The All-American Rejects</v>
      </c>
      <c r="I4511" s="6" t="str">
        <f aca="false">IF(F4511=0,"NOT FOUND",INDEX('All Song Rankings'!$D:$D,F4511))</f>
        <v>Colleen</v>
      </c>
      <c r="J4511" s="7" t="str">
        <f aca="false">IF(F4511=0,"NOT FOUND",IF(C4511=I4511,"SELF-VOTE",IF(COUNTIF($K:$K,K4511)&gt;1,"DUPLICATE","OK")))</f>
        <v>OK</v>
      </c>
      <c r="K4511" s="6" t="str">
        <f aca="false">A4511&amp;"|"&amp;B4511&amp;"|"&amp;C4511&amp;"|"&amp;D4511</f>
        <v>7|1|Matt|spotify:track:003FTlCpBTM4eSqYSWPv4H</v>
      </c>
    </row>
    <row r="4512" customFormat="false" ht="15" hidden="false" customHeight="false" outlineLevel="0" collapsed="false">
      <c r="A4512" s="5" t="n">
        <v>7</v>
      </c>
      <c r="B4512" s="5" t="n">
        <v>1</v>
      </c>
      <c r="C4512" s="5" t="s">
        <v>116</v>
      </c>
      <c r="D4512" s="5" t="s">
        <v>2035</v>
      </c>
      <c r="E4512" s="5" t="n">
        <v>1</v>
      </c>
      <c r="F4512" s="6" t="n">
        <f aca="false">IFERROR(MATCH(A4512&amp;"|"&amp;B4512&amp;"|"&amp;D4512,'All Song Rankings'!$T:$T,0),0)</f>
        <v>679</v>
      </c>
      <c r="G4512" s="6" t="str">
        <f aca="false">IF(F4512=0,"NOT FOUND",INDEX('All Song Rankings'!$A:$A,F4512))</f>
        <v>Nine in the Afternoon - Single Mix</v>
      </c>
      <c r="H4512" s="6" t="str">
        <f aca="false">IF(F4512=0,"NOT FOUND",INDEX('All Song Rankings'!$B:$B,F4512))</f>
        <v>Panic! At The Disco</v>
      </c>
      <c r="I4512" s="6" t="str">
        <f aca="false">IF(F4512=0,"NOT FOUND",INDEX('All Song Rankings'!$D:$D,F4512))</f>
        <v>Kelsey</v>
      </c>
      <c r="J4512" s="7" t="str">
        <f aca="false">IF(F4512=0,"NOT FOUND",IF(C4512=I4512,"SELF-VOTE",IF(COUNTIF($K:$K,K4512)&gt;1,"DUPLICATE","OK")))</f>
        <v>OK</v>
      </c>
      <c r="K4512" s="6" t="str">
        <f aca="false">A4512&amp;"|"&amp;B4512&amp;"|"&amp;C4512&amp;"|"&amp;D4512</f>
        <v>7|1|Matt|spotify:track:1S30kHvkkdMkcuCTGSgS41</v>
      </c>
    </row>
    <row r="4513" customFormat="false" ht="15" hidden="false" customHeight="false" outlineLevel="0" collapsed="false">
      <c r="A4513" s="5" t="n">
        <v>7</v>
      </c>
      <c r="B4513" s="5" t="n">
        <v>1</v>
      </c>
      <c r="C4513" s="5" t="s">
        <v>116</v>
      </c>
      <c r="D4513" s="5" t="s">
        <v>2050</v>
      </c>
      <c r="E4513" s="5" t="n">
        <v>2</v>
      </c>
      <c r="F4513" s="6" t="n">
        <f aca="false">IFERROR(MATCH(A4513&amp;"|"&amp;B4513&amp;"|"&amp;D4513,'All Song Rankings'!$T:$T,0),0)</f>
        <v>685</v>
      </c>
      <c r="G4513" s="6" t="str">
        <f aca="false">IF(F4513=0,"NOT FOUND",INDEX('All Song Rankings'!$A:$A,F4513))</f>
        <v>About A Girl</v>
      </c>
      <c r="H4513" s="6" t="str">
        <f aca="false">IF(F4513=0,"NOT FOUND",INDEX('All Song Rankings'!$B:$B,F4513))</f>
        <v>Nirvana</v>
      </c>
      <c r="I4513" s="6" t="str">
        <f aca="false">IF(F4513=0,"NOT FOUND",INDEX('All Song Rankings'!$D:$D,F4513))</f>
        <v>Scott</v>
      </c>
      <c r="J4513" s="7" t="str">
        <f aca="false">IF(F4513=0,"NOT FOUND",IF(C4513=I4513,"SELF-VOTE",IF(COUNTIF($K:$K,K4513)&gt;1,"DUPLICATE","OK")))</f>
        <v>OK</v>
      </c>
      <c r="K4513" s="6" t="str">
        <f aca="false">A4513&amp;"|"&amp;B4513&amp;"|"&amp;C4513&amp;"|"&amp;D4513</f>
        <v>7|1|Matt|spotify:track:2SHTKB8YYlawTGIuJ2b2ok</v>
      </c>
    </row>
    <row r="4514" customFormat="false" ht="15" hidden="false" customHeight="false" outlineLevel="0" collapsed="false">
      <c r="A4514" s="5" t="n">
        <v>7</v>
      </c>
      <c r="B4514" s="5" t="n">
        <v>1</v>
      </c>
      <c r="C4514" s="5" t="s">
        <v>116</v>
      </c>
      <c r="D4514" s="5" t="s">
        <v>2038</v>
      </c>
      <c r="E4514" s="5" t="n">
        <v>1</v>
      </c>
      <c r="F4514" s="6" t="n">
        <f aca="false">IFERROR(MATCH(A4514&amp;"|"&amp;B4514&amp;"|"&amp;D4514,'All Song Rankings'!$T:$T,0),0)</f>
        <v>680</v>
      </c>
      <c r="G4514" s="6" t="str">
        <f aca="false">IF(F4514=0,"NOT FOUND",INDEX('All Song Rankings'!$A:$A,F4514))</f>
        <v>Runnin' with the Devil - 2015 Remaster</v>
      </c>
      <c r="H4514" s="6" t="str">
        <f aca="false">IF(F4514=0,"NOT FOUND",INDEX('All Song Rankings'!$B:$B,F4514))</f>
        <v>Van Halen</v>
      </c>
      <c r="I4514" s="6" t="str">
        <f aca="false">IF(F4514=0,"NOT FOUND",INDEX('All Song Rankings'!$D:$D,F4514))</f>
        <v>Christine</v>
      </c>
      <c r="J4514" s="7" t="str">
        <f aca="false">IF(F4514=0,"NOT FOUND",IF(C4514=I4514,"SELF-VOTE",IF(COUNTIF($K:$K,K4514)&gt;1,"DUPLICATE","OK")))</f>
        <v>OK</v>
      </c>
      <c r="K4514" s="6" t="str">
        <f aca="false">A4514&amp;"|"&amp;B4514&amp;"|"&amp;C4514&amp;"|"&amp;D4514</f>
        <v>7|1|Matt|spotify:track:3KhF2YiNpJvGpfiCW45R6D</v>
      </c>
    </row>
    <row r="4515" customFormat="false" ht="15" hidden="false" customHeight="false" outlineLevel="0" collapsed="false">
      <c r="A4515" s="5" t="n">
        <v>7</v>
      </c>
      <c r="B4515" s="5" t="n">
        <v>1</v>
      </c>
      <c r="C4515" s="5" t="s">
        <v>116</v>
      </c>
      <c r="D4515" s="5" t="s">
        <v>2030</v>
      </c>
      <c r="E4515" s="5" t="n">
        <v>1</v>
      </c>
      <c r="F4515" s="6" t="n">
        <f aca="false">IFERROR(MATCH(A4515&amp;"|"&amp;B4515&amp;"|"&amp;D4515,'All Song Rankings'!$T:$T,0),0)</f>
        <v>677</v>
      </c>
      <c r="G4515" s="6" t="str">
        <f aca="false">IF(F4515=0,"NOT FOUND",INDEX('All Song Rankings'!$A:$A,F4515))</f>
        <v>Here With Me</v>
      </c>
      <c r="H4515" s="6" t="str">
        <f aca="false">IF(F4515=0,"NOT FOUND",INDEX('All Song Rankings'!$B:$B,F4515))</f>
        <v>Dido</v>
      </c>
      <c r="I4515" s="6" t="str">
        <f aca="false">IF(F4515=0,"NOT FOUND",INDEX('All Song Rankings'!$D:$D,F4515))</f>
        <v>Lisa</v>
      </c>
      <c r="J4515" s="7" t="str">
        <f aca="false">IF(F4515=0,"NOT FOUND",IF(C4515=I4515,"SELF-VOTE",IF(COUNTIF($K:$K,K4515)&gt;1,"DUPLICATE","OK")))</f>
        <v>OK</v>
      </c>
      <c r="K4515" s="6" t="str">
        <f aca="false">A4515&amp;"|"&amp;B4515&amp;"|"&amp;C4515&amp;"|"&amp;D4515</f>
        <v>7|1|Matt|spotify:track:4xFxK0FXmNlUDRgCaIQCVn</v>
      </c>
    </row>
    <row r="4516" customFormat="false" ht="15" hidden="false" customHeight="false" outlineLevel="0" collapsed="false">
      <c r="A4516" s="5" t="n">
        <v>7</v>
      </c>
      <c r="B4516" s="5" t="n">
        <v>1</v>
      </c>
      <c r="C4516" s="5" t="s">
        <v>116</v>
      </c>
      <c r="D4516" s="5" t="s">
        <v>2045</v>
      </c>
      <c r="E4516" s="5" t="n">
        <v>1</v>
      </c>
      <c r="F4516" s="6" t="n">
        <f aca="false">IFERROR(MATCH(A4516&amp;"|"&amp;B4516&amp;"|"&amp;D4516,'All Song Rankings'!$T:$T,0),0)</f>
        <v>683</v>
      </c>
      <c r="G4516" s="6" t="str">
        <f aca="false">IF(F4516=0,"NOT FOUND",INDEX('All Song Rankings'!$A:$A,F4516))</f>
        <v>Dance Monkey</v>
      </c>
      <c r="H4516" s="6" t="str">
        <f aca="false">IF(F4516=0,"NOT FOUND",INDEX('All Song Rankings'!$B:$B,F4516))</f>
        <v>Tones And I</v>
      </c>
      <c r="I4516" s="6" t="str">
        <f aca="false">IF(F4516=0,"NOT FOUND",INDEX('All Song Rankings'!$D:$D,F4516))</f>
        <v>Grace</v>
      </c>
      <c r="J4516" s="7" t="str">
        <f aca="false">IF(F4516=0,"NOT FOUND",IF(C4516=I4516,"SELF-VOTE",IF(COUNTIF($K:$K,K4516)&gt;1,"DUPLICATE","OK")))</f>
        <v>OK</v>
      </c>
      <c r="K4516" s="6" t="str">
        <f aca="false">A4516&amp;"|"&amp;B4516&amp;"|"&amp;C4516&amp;"|"&amp;D4516</f>
        <v>7|1|Matt|spotify:track:5ZULALImTm80tzUbYQYM9d</v>
      </c>
    </row>
    <row r="4517" customFormat="false" ht="15" hidden="false" customHeight="false" outlineLevel="0" collapsed="false">
      <c r="A4517" s="5" t="n">
        <v>7</v>
      </c>
      <c r="B4517" s="5" t="n">
        <v>1</v>
      </c>
      <c r="C4517" s="5" t="s">
        <v>116</v>
      </c>
      <c r="D4517" s="5" t="s">
        <v>2044</v>
      </c>
      <c r="E4517" s="5" t="n">
        <v>1</v>
      </c>
      <c r="F4517" s="6" t="n">
        <f aca="false">IFERROR(MATCH(A4517&amp;"|"&amp;B4517&amp;"|"&amp;D4517,'All Song Rankings'!$T:$T,0),0)</f>
        <v>682</v>
      </c>
      <c r="G4517" s="6" t="str">
        <f aca="false">IF(F4517=0,"NOT FOUND",INDEX('All Song Rankings'!$A:$A,F4517))</f>
        <v>Snow Angel</v>
      </c>
      <c r="H4517" s="6" t="str">
        <f aca="false">IF(F4517=0,"NOT FOUND",INDEX('All Song Rankings'!$B:$B,F4517))</f>
        <v>Reneé Rapp</v>
      </c>
      <c r="I4517" s="6" t="str">
        <f aca="false">IF(F4517=0,"NOT FOUND",INDEX('All Song Rankings'!$D:$D,F4517))</f>
        <v>Logan</v>
      </c>
      <c r="J4517" s="7" t="str">
        <f aca="false">IF(F4517=0,"NOT FOUND",IF(C4517=I4517,"SELF-VOTE",IF(COUNTIF($K:$K,K4517)&gt;1,"DUPLICATE","OK")))</f>
        <v>OK</v>
      </c>
      <c r="K4517" s="6" t="str">
        <f aca="false">A4517&amp;"|"&amp;B4517&amp;"|"&amp;C4517&amp;"|"&amp;D4517</f>
        <v>7|1|Matt|spotify:track:6skUuqrKMQIjjo75hWGAvQ</v>
      </c>
    </row>
    <row r="4518" customFormat="false" ht="15" hidden="false" customHeight="false" outlineLevel="0" collapsed="false">
      <c r="A4518" s="5" t="n">
        <v>7</v>
      </c>
      <c r="B4518" s="5" t="n">
        <v>1</v>
      </c>
      <c r="C4518" s="5" t="s">
        <v>116</v>
      </c>
      <c r="D4518" s="5" t="s">
        <v>2016</v>
      </c>
      <c r="E4518" s="5" t="n">
        <v>1</v>
      </c>
      <c r="F4518" s="6" t="n">
        <f aca="false">IFERROR(MATCH(A4518&amp;"|"&amp;B4518&amp;"|"&amp;D4518,'All Song Rankings'!$T:$T,0),0)</f>
        <v>671</v>
      </c>
      <c r="G4518" s="6" t="str">
        <f aca="false">IF(F4518=0,"NOT FOUND",INDEX('All Song Rankings'!$A:$A,F4518))</f>
        <v>Just the Way You Are</v>
      </c>
      <c r="H4518" s="6" t="str">
        <f aca="false">IF(F4518=0,"NOT FOUND",INDEX('All Song Rankings'!$B:$B,F4518))</f>
        <v>Bruno Mars</v>
      </c>
      <c r="I4518" s="6" t="str">
        <f aca="false">IF(F4518=0,"NOT FOUND",INDEX('All Song Rankings'!$D:$D,F4518))</f>
        <v>Merita</v>
      </c>
      <c r="J4518" s="7" t="str">
        <f aca="false">IF(F4518=0,"NOT FOUND",IF(C4518=I4518,"SELF-VOTE",IF(COUNTIF($K:$K,K4518)&gt;1,"DUPLICATE","OK")))</f>
        <v>OK</v>
      </c>
      <c r="K4518" s="6" t="str">
        <f aca="false">A4518&amp;"|"&amp;B4518&amp;"|"&amp;C4518&amp;"|"&amp;D4518</f>
        <v>7|1|Matt|spotify:track:7BqBn9nzAq8spo5e7cZ0dJ</v>
      </c>
    </row>
    <row r="4519" customFormat="false" ht="15" hidden="false" customHeight="false" outlineLevel="0" collapsed="false">
      <c r="A4519" s="5" t="n">
        <v>7</v>
      </c>
      <c r="B4519" s="5" t="n">
        <v>1</v>
      </c>
      <c r="C4519" s="5" t="s">
        <v>101</v>
      </c>
      <c r="D4519" s="5" t="s">
        <v>2035</v>
      </c>
      <c r="E4519" s="5" t="n">
        <v>1</v>
      </c>
      <c r="F4519" s="6" t="n">
        <f aca="false">IFERROR(MATCH(A4519&amp;"|"&amp;B4519&amp;"|"&amp;D4519,'All Song Rankings'!$T:$T,0),0)</f>
        <v>679</v>
      </c>
      <c r="G4519" s="6" t="str">
        <f aca="false">IF(F4519=0,"NOT FOUND",INDEX('All Song Rankings'!$A:$A,F4519))</f>
        <v>Nine in the Afternoon - Single Mix</v>
      </c>
      <c r="H4519" s="6" t="str">
        <f aca="false">IF(F4519=0,"NOT FOUND",INDEX('All Song Rankings'!$B:$B,F4519))</f>
        <v>Panic! At The Disco</v>
      </c>
      <c r="I4519" s="6" t="str">
        <f aca="false">IF(F4519=0,"NOT FOUND",INDEX('All Song Rankings'!$D:$D,F4519))</f>
        <v>Kelsey</v>
      </c>
      <c r="J4519" s="7" t="str">
        <f aca="false">IF(F4519=0,"NOT FOUND",IF(C4519=I4519,"SELF-VOTE",IF(COUNTIF($K:$K,K4519)&gt;1,"DUPLICATE","OK")))</f>
        <v>OK</v>
      </c>
      <c r="K4519" s="6" t="str">
        <f aca="false">A4519&amp;"|"&amp;B4519&amp;"|"&amp;C4519&amp;"|"&amp;D4519</f>
        <v>7|1|Merita|spotify:track:1S30kHvkkdMkcuCTGSgS41</v>
      </c>
    </row>
    <row r="4520" customFormat="false" ht="15" hidden="false" customHeight="false" outlineLevel="0" collapsed="false">
      <c r="A4520" s="5" t="n">
        <v>7</v>
      </c>
      <c r="B4520" s="5" t="n">
        <v>1</v>
      </c>
      <c r="C4520" s="5" t="s">
        <v>101</v>
      </c>
      <c r="D4520" s="5" t="s">
        <v>2027</v>
      </c>
      <c r="E4520" s="5" t="n">
        <v>2</v>
      </c>
      <c r="F4520" s="6" t="n">
        <f aca="false">IFERROR(MATCH(A4520&amp;"|"&amp;B4520&amp;"|"&amp;D4520,'All Song Rankings'!$T:$T,0),0)</f>
        <v>675</v>
      </c>
      <c r="G4520" s="6" t="str">
        <f aca="false">IF(F4520=0,"NOT FOUND",INDEX('All Song Rankings'!$A:$A,F4520))</f>
        <v>Papercut</v>
      </c>
      <c r="H4520" s="6" t="str">
        <f aca="false">IF(F4520=0,"NOT FOUND",INDEX('All Song Rankings'!$B:$B,F4520))</f>
        <v>Linkin Park</v>
      </c>
      <c r="I4520" s="6" t="str">
        <f aca="false">IF(F4520=0,"NOT FOUND",INDEX('All Song Rankings'!$D:$D,F4520))</f>
        <v>Matt</v>
      </c>
      <c r="J4520" s="7" t="str">
        <f aca="false">IF(F4520=0,"NOT FOUND",IF(C4520=I4520,"SELF-VOTE",IF(COUNTIF($K:$K,K4520)&gt;1,"DUPLICATE","OK")))</f>
        <v>OK</v>
      </c>
      <c r="K4520" s="6" t="str">
        <f aca="false">A4520&amp;"|"&amp;B4520&amp;"|"&amp;C4520&amp;"|"&amp;D4520</f>
        <v>7|1|Merita|spotify:track:1Vej0qeQ3ioKwpI6FUbRv1</v>
      </c>
    </row>
    <row r="4521" customFormat="false" ht="15" hidden="false" customHeight="false" outlineLevel="0" collapsed="false">
      <c r="A4521" s="5" t="n">
        <v>7</v>
      </c>
      <c r="B4521" s="5" t="n">
        <v>1</v>
      </c>
      <c r="C4521" s="5" t="s">
        <v>101</v>
      </c>
      <c r="D4521" s="5" t="s">
        <v>2050</v>
      </c>
      <c r="E4521" s="5" t="n">
        <v>1</v>
      </c>
      <c r="F4521" s="6" t="n">
        <f aca="false">IFERROR(MATCH(A4521&amp;"|"&amp;B4521&amp;"|"&amp;D4521,'All Song Rankings'!$T:$T,0),0)</f>
        <v>685</v>
      </c>
      <c r="G4521" s="6" t="str">
        <f aca="false">IF(F4521=0,"NOT FOUND",INDEX('All Song Rankings'!$A:$A,F4521))</f>
        <v>About A Girl</v>
      </c>
      <c r="H4521" s="6" t="str">
        <f aca="false">IF(F4521=0,"NOT FOUND",INDEX('All Song Rankings'!$B:$B,F4521))</f>
        <v>Nirvana</v>
      </c>
      <c r="I4521" s="6" t="str">
        <f aca="false">IF(F4521=0,"NOT FOUND",INDEX('All Song Rankings'!$D:$D,F4521))</f>
        <v>Scott</v>
      </c>
      <c r="J4521" s="7" t="str">
        <f aca="false">IF(F4521=0,"NOT FOUND",IF(C4521=I4521,"SELF-VOTE",IF(COUNTIF($K:$K,K4521)&gt;1,"DUPLICATE","OK")))</f>
        <v>OK</v>
      </c>
      <c r="K4521" s="6" t="str">
        <f aca="false">A4521&amp;"|"&amp;B4521&amp;"|"&amp;C4521&amp;"|"&amp;D4521</f>
        <v>7|1|Merita|spotify:track:2SHTKB8YYlawTGIuJ2b2ok</v>
      </c>
    </row>
    <row r="4522" customFormat="false" ht="15" hidden="false" customHeight="false" outlineLevel="0" collapsed="false">
      <c r="A4522" s="5" t="n">
        <v>7</v>
      </c>
      <c r="B4522" s="5" t="n">
        <v>1</v>
      </c>
      <c r="C4522" s="5" t="s">
        <v>101</v>
      </c>
      <c r="D4522" s="5" t="s">
        <v>2020</v>
      </c>
      <c r="E4522" s="5" t="n">
        <v>2</v>
      </c>
      <c r="F4522" s="6" t="n">
        <f aca="false">IFERROR(MATCH(A4522&amp;"|"&amp;B4522&amp;"|"&amp;D4522,'All Song Rankings'!$T:$T,0),0)</f>
        <v>672</v>
      </c>
      <c r="G4522" s="6" t="str">
        <f aca="false">IF(F4522=0,"NOT FOUND",INDEX('All Song Rankings'!$A:$A,F4522))</f>
        <v>Just Dance</v>
      </c>
      <c r="H4522" s="6" t="str">
        <f aca="false">IF(F4522=0,"NOT FOUND",INDEX('All Song Rankings'!$B:$B,F4522))</f>
        <v>Lady Gaga, Colby O'Donis</v>
      </c>
      <c r="I4522" s="6" t="str">
        <f aca="false">IF(F4522=0,"NOT FOUND",INDEX('All Song Rankings'!$D:$D,F4522))</f>
        <v>Lucia</v>
      </c>
      <c r="J4522" s="7" t="str">
        <f aca="false">IF(F4522=0,"NOT FOUND",IF(C4522=I4522,"SELF-VOTE",IF(COUNTIF($K:$K,K4522)&gt;1,"DUPLICATE","OK")))</f>
        <v>OK</v>
      </c>
      <c r="K4522" s="6" t="str">
        <f aca="false">A4522&amp;"|"&amp;B4522&amp;"|"&amp;C4522&amp;"|"&amp;D4522</f>
        <v>7|1|Merita|spotify:track:2x7MyWybabEz6Y6wvHuwGE</v>
      </c>
    </row>
    <row r="4523" customFormat="false" ht="15" hidden="false" customHeight="false" outlineLevel="0" collapsed="false">
      <c r="A4523" s="5" t="n">
        <v>7</v>
      </c>
      <c r="B4523" s="5" t="n">
        <v>1</v>
      </c>
      <c r="C4523" s="5" t="s">
        <v>101</v>
      </c>
      <c r="D4523" s="5" t="s">
        <v>1317</v>
      </c>
      <c r="E4523" s="5" t="n">
        <v>2</v>
      </c>
      <c r="F4523" s="6" t="n">
        <f aca="false">IFERROR(MATCH(A4523&amp;"|"&amp;B4523&amp;"|"&amp;D4523,'All Song Rankings'!$T:$T,0),0)</f>
        <v>676</v>
      </c>
      <c r="G4523" s="6" t="str">
        <f aca="false">IF(F4523=0,"NOT FOUND",INDEX('All Song Rankings'!$A:$A,F4523))</f>
        <v>…Baby One More Time</v>
      </c>
      <c r="H4523" s="6" t="str">
        <f aca="false">IF(F4523=0,"NOT FOUND",INDEX('All Song Rankings'!$B:$B,F4523))</f>
        <v>Britney Spears</v>
      </c>
      <c r="I4523" s="6" t="str">
        <f aca="false">IF(F4523=0,"NOT FOUND",INDEX('All Song Rankings'!$D:$D,F4523))</f>
        <v>Stephanie</v>
      </c>
      <c r="J4523" s="7" t="str">
        <f aca="false">IF(F4523=0,"NOT FOUND",IF(C4523=I4523,"SELF-VOTE",IF(COUNTIF($K:$K,K4523)&gt;1,"DUPLICATE","OK")))</f>
        <v>OK</v>
      </c>
      <c r="K4523" s="6" t="str">
        <f aca="false">A4523&amp;"|"&amp;B4523&amp;"|"&amp;C4523&amp;"|"&amp;D4523</f>
        <v>7|1|Merita|spotify:track:3MjUtNVVq3C8Fn0MP3zhXa</v>
      </c>
    </row>
    <row r="4524" customFormat="false" ht="15" hidden="false" customHeight="false" outlineLevel="0" collapsed="false">
      <c r="A4524" s="5" t="n">
        <v>7</v>
      </c>
      <c r="B4524" s="5" t="n">
        <v>1</v>
      </c>
      <c r="C4524" s="5" t="s">
        <v>101</v>
      </c>
      <c r="D4524" s="5" t="s">
        <v>2022</v>
      </c>
      <c r="E4524" s="5" t="n">
        <v>1</v>
      </c>
      <c r="F4524" s="6" t="n">
        <f aca="false">IFERROR(MATCH(A4524&amp;"|"&amp;B4524&amp;"|"&amp;D4524,'All Song Rankings'!$T:$T,0),0)</f>
        <v>673</v>
      </c>
      <c r="G4524" s="6" t="str">
        <f aca="false">IF(F4524=0,"NOT FOUND",INDEX('All Song Rankings'!$A:$A,F4524))</f>
        <v>One Thing</v>
      </c>
      <c r="H4524" s="6" t="str">
        <f aca="false">IF(F4524=0,"NOT FOUND",INDEX('All Song Rankings'!$B:$B,F4524))</f>
        <v>One Direction</v>
      </c>
      <c r="I4524" s="6" t="str">
        <f aca="false">IF(F4524=0,"NOT FOUND",INDEX('All Song Rankings'!$D:$D,F4524))</f>
        <v>Josh</v>
      </c>
      <c r="J4524" s="7" t="str">
        <f aca="false">IF(F4524=0,"NOT FOUND",IF(C4524=I4524,"SELF-VOTE",IF(COUNTIF($K:$K,K4524)&gt;1,"DUPLICATE","OK")))</f>
        <v>OK</v>
      </c>
      <c r="K4524" s="6" t="str">
        <f aca="false">A4524&amp;"|"&amp;B4524&amp;"|"&amp;C4524&amp;"|"&amp;D4524</f>
        <v>7|1|Merita|spotify:track:5G2c6FsfTzgYUzageCmfXY</v>
      </c>
    </row>
    <row r="4525" customFormat="false" ht="15" hidden="false" customHeight="false" outlineLevel="0" collapsed="false">
      <c r="A4525" s="5" t="n">
        <v>7</v>
      </c>
      <c r="B4525" s="5" t="n">
        <v>1</v>
      </c>
      <c r="C4525" s="5" t="s">
        <v>101</v>
      </c>
      <c r="D4525" s="5" t="s">
        <v>2053</v>
      </c>
      <c r="E4525" s="5" t="n">
        <v>1</v>
      </c>
      <c r="F4525" s="6" t="n">
        <f aca="false">IFERROR(MATCH(A4525&amp;"|"&amp;B4525&amp;"|"&amp;D4525,'All Song Rankings'!$T:$T,0),0)</f>
        <v>686</v>
      </c>
      <c r="G4525" s="6" t="str">
        <f aca="false">IF(F4525=0,"NOT FOUND",INDEX('All Song Rankings'!$A:$A,F4525))</f>
        <v>Ain't No Sunshine</v>
      </c>
      <c r="H4525" s="6" t="str">
        <f aca="false">IF(F4525=0,"NOT FOUND",INDEX('All Song Rankings'!$B:$B,F4525))</f>
        <v>Michael Jackson</v>
      </c>
      <c r="I4525" s="6" t="str">
        <f aca="false">IF(F4525=0,"NOT FOUND",INDEX('All Song Rankings'!$D:$D,F4525))</f>
        <v>Sara</v>
      </c>
      <c r="J4525" s="7" t="str">
        <f aca="false">IF(F4525=0,"NOT FOUND",IF(C4525=I4525,"SELF-VOTE",IF(COUNTIF($K:$K,K4525)&gt;1,"DUPLICATE","OK")))</f>
        <v>OK</v>
      </c>
      <c r="K4525" s="6" t="str">
        <f aca="false">A4525&amp;"|"&amp;B4525&amp;"|"&amp;C4525&amp;"|"&amp;D4525</f>
        <v>7|1|Merita|spotify:track:5ou2nZT8UQJn1nuiUxAyjs</v>
      </c>
    </row>
    <row r="4526" customFormat="false" ht="15" hidden="false" customHeight="false" outlineLevel="0" collapsed="false">
      <c r="A4526" s="5" t="n">
        <v>7</v>
      </c>
      <c r="B4526" s="5" t="n">
        <v>1</v>
      </c>
      <c r="C4526" s="5" t="s">
        <v>97</v>
      </c>
      <c r="D4526" s="5" t="s">
        <v>2048</v>
      </c>
      <c r="E4526" s="5" t="n">
        <v>1</v>
      </c>
      <c r="F4526" s="6" t="n">
        <f aca="false">IFERROR(MATCH(A4526&amp;"|"&amp;B4526&amp;"|"&amp;D4526,'All Song Rankings'!$T:$T,0),0)</f>
        <v>684</v>
      </c>
      <c r="G4526" s="6" t="str">
        <f aca="false">IF(F4526=0,"NOT FOUND",INDEX('All Song Rankings'!$A:$A,F4526))</f>
        <v>More Than a Feeling</v>
      </c>
      <c r="H4526" s="6" t="str">
        <f aca="false">IF(F4526=0,"NOT FOUND",INDEX('All Song Rankings'!$B:$B,F4526))</f>
        <v>Boston</v>
      </c>
      <c r="I4526" s="6" t="str">
        <f aca="false">IF(F4526=0,"NOT FOUND",INDEX('All Song Rankings'!$D:$D,F4526))</f>
        <v>Aubrey</v>
      </c>
      <c r="J4526" s="7" t="str">
        <f aca="false">IF(F4526=0,"NOT FOUND",IF(C4526=I4526,"SELF-VOTE",IF(COUNTIF($K:$K,K4526)&gt;1,"DUPLICATE","OK")))</f>
        <v>OK</v>
      </c>
      <c r="K4526" s="6" t="str">
        <f aca="false">A4526&amp;"|"&amp;B4526&amp;"|"&amp;C4526&amp;"|"&amp;D4526</f>
        <v>7|1|Stephanie|spotify:track:1QEEqeFIZktqIpPI4jSVSF</v>
      </c>
    </row>
    <row r="4527" customFormat="false" ht="15" hidden="false" customHeight="false" outlineLevel="0" collapsed="false">
      <c r="A4527" s="5" t="n">
        <v>7</v>
      </c>
      <c r="B4527" s="5" t="n">
        <v>1</v>
      </c>
      <c r="C4527" s="5" t="s">
        <v>97</v>
      </c>
      <c r="D4527" s="5" t="s">
        <v>2027</v>
      </c>
      <c r="E4527" s="5" t="n">
        <v>2</v>
      </c>
      <c r="F4527" s="6" t="n">
        <f aca="false">IFERROR(MATCH(A4527&amp;"|"&amp;B4527&amp;"|"&amp;D4527,'All Song Rankings'!$T:$T,0),0)</f>
        <v>675</v>
      </c>
      <c r="G4527" s="6" t="str">
        <f aca="false">IF(F4527=0,"NOT FOUND",INDEX('All Song Rankings'!$A:$A,F4527))</f>
        <v>Papercut</v>
      </c>
      <c r="H4527" s="6" t="str">
        <f aca="false">IF(F4527=0,"NOT FOUND",INDEX('All Song Rankings'!$B:$B,F4527))</f>
        <v>Linkin Park</v>
      </c>
      <c r="I4527" s="6" t="str">
        <f aca="false">IF(F4527=0,"NOT FOUND",INDEX('All Song Rankings'!$D:$D,F4527))</f>
        <v>Matt</v>
      </c>
      <c r="J4527" s="7" t="str">
        <f aca="false">IF(F4527=0,"NOT FOUND",IF(C4527=I4527,"SELF-VOTE",IF(COUNTIF($K:$K,K4527)&gt;1,"DUPLICATE","OK")))</f>
        <v>OK</v>
      </c>
      <c r="K4527" s="6" t="str">
        <f aca="false">A4527&amp;"|"&amp;B4527&amp;"|"&amp;C4527&amp;"|"&amp;D4527</f>
        <v>7|1|Stephanie|spotify:track:1Vej0qeQ3ioKwpI6FUbRv1</v>
      </c>
    </row>
    <row r="4528" customFormat="false" ht="15" hidden="false" customHeight="false" outlineLevel="0" collapsed="false">
      <c r="A4528" s="5" t="n">
        <v>7</v>
      </c>
      <c r="B4528" s="5" t="n">
        <v>1</v>
      </c>
      <c r="C4528" s="5" t="s">
        <v>97</v>
      </c>
      <c r="D4528" s="5" t="s">
        <v>2020</v>
      </c>
      <c r="E4528" s="5" t="n">
        <v>1</v>
      </c>
      <c r="F4528" s="6" t="n">
        <f aca="false">IFERROR(MATCH(A4528&amp;"|"&amp;B4528&amp;"|"&amp;D4528,'All Song Rankings'!$T:$T,0),0)</f>
        <v>672</v>
      </c>
      <c r="G4528" s="6" t="str">
        <f aca="false">IF(F4528=0,"NOT FOUND",INDEX('All Song Rankings'!$A:$A,F4528))</f>
        <v>Just Dance</v>
      </c>
      <c r="H4528" s="6" t="str">
        <f aca="false">IF(F4528=0,"NOT FOUND",INDEX('All Song Rankings'!$B:$B,F4528))</f>
        <v>Lady Gaga, Colby O'Donis</v>
      </c>
      <c r="I4528" s="6" t="str">
        <f aca="false">IF(F4528=0,"NOT FOUND",INDEX('All Song Rankings'!$D:$D,F4528))</f>
        <v>Lucia</v>
      </c>
      <c r="J4528" s="7" t="str">
        <f aca="false">IF(F4528=0,"NOT FOUND",IF(C4528=I4528,"SELF-VOTE",IF(COUNTIF($K:$K,K4528)&gt;1,"DUPLICATE","OK")))</f>
        <v>OK</v>
      </c>
      <c r="K4528" s="6" t="str">
        <f aca="false">A4528&amp;"|"&amp;B4528&amp;"|"&amp;C4528&amp;"|"&amp;D4528</f>
        <v>7|1|Stephanie|spotify:track:2x7MyWybabEz6Y6wvHuwGE</v>
      </c>
    </row>
    <row r="4529" customFormat="false" ht="15" hidden="false" customHeight="false" outlineLevel="0" collapsed="false">
      <c r="A4529" s="5" t="n">
        <v>7</v>
      </c>
      <c r="B4529" s="5" t="n">
        <v>1</v>
      </c>
      <c r="C4529" s="5" t="s">
        <v>97</v>
      </c>
      <c r="D4529" s="5" t="s">
        <v>2030</v>
      </c>
      <c r="E4529" s="5" t="n">
        <v>3</v>
      </c>
      <c r="F4529" s="6" t="n">
        <f aca="false">IFERROR(MATCH(A4529&amp;"|"&amp;B4529&amp;"|"&amp;D4529,'All Song Rankings'!$T:$T,0),0)</f>
        <v>677</v>
      </c>
      <c r="G4529" s="6" t="str">
        <f aca="false">IF(F4529=0,"NOT FOUND",INDEX('All Song Rankings'!$A:$A,F4529))</f>
        <v>Here With Me</v>
      </c>
      <c r="H4529" s="6" t="str">
        <f aca="false">IF(F4529=0,"NOT FOUND",INDEX('All Song Rankings'!$B:$B,F4529))</f>
        <v>Dido</v>
      </c>
      <c r="I4529" s="6" t="str">
        <f aca="false">IF(F4529=0,"NOT FOUND",INDEX('All Song Rankings'!$D:$D,F4529))</f>
        <v>Lisa</v>
      </c>
      <c r="J4529" s="7" t="str">
        <f aca="false">IF(F4529=0,"NOT FOUND",IF(C4529=I4529,"SELF-VOTE",IF(COUNTIF($K:$K,K4529)&gt;1,"DUPLICATE","OK")))</f>
        <v>OK</v>
      </c>
      <c r="K4529" s="6" t="str">
        <f aca="false">A4529&amp;"|"&amp;B4529&amp;"|"&amp;C4529&amp;"|"&amp;D4529</f>
        <v>7|1|Stephanie|spotify:track:4xFxK0FXmNlUDRgCaIQCVn</v>
      </c>
    </row>
    <row r="4530" customFormat="false" ht="15" hidden="false" customHeight="false" outlineLevel="0" collapsed="false">
      <c r="A4530" s="5" t="n">
        <v>7</v>
      </c>
      <c r="B4530" s="5" t="n">
        <v>1</v>
      </c>
      <c r="C4530" s="5" t="s">
        <v>97</v>
      </c>
      <c r="D4530" s="5" t="s">
        <v>2022</v>
      </c>
      <c r="E4530" s="5" t="n">
        <v>1</v>
      </c>
      <c r="F4530" s="6" t="n">
        <f aca="false">IFERROR(MATCH(A4530&amp;"|"&amp;B4530&amp;"|"&amp;D4530,'All Song Rankings'!$T:$T,0),0)</f>
        <v>673</v>
      </c>
      <c r="G4530" s="6" t="str">
        <f aca="false">IF(F4530=0,"NOT FOUND",INDEX('All Song Rankings'!$A:$A,F4530))</f>
        <v>One Thing</v>
      </c>
      <c r="H4530" s="6" t="str">
        <f aca="false">IF(F4530=0,"NOT FOUND",INDEX('All Song Rankings'!$B:$B,F4530))</f>
        <v>One Direction</v>
      </c>
      <c r="I4530" s="6" t="str">
        <f aca="false">IF(F4530=0,"NOT FOUND",INDEX('All Song Rankings'!$D:$D,F4530))</f>
        <v>Josh</v>
      </c>
      <c r="J4530" s="7" t="str">
        <f aca="false">IF(F4530=0,"NOT FOUND",IF(C4530=I4530,"SELF-VOTE",IF(COUNTIF($K:$K,K4530)&gt;1,"DUPLICATE","OK")))</f>
        <v>OK</v>
      </c>
      <c r="K4530" s="6" t="str">
        <f aca="false">A4530&amp;"|"&amp;B4530&amp;"|"&amp;C4530&amp;"|"&amp;D4530</f>
        <v>7|1|Stephanie|spotify:track:5G2c6FsfTzgYUzageCmfXY</v>
      </c>
    </row>
    <row r="4531" customFormat="false" ht="15" hidden="false" customHeight="false" outlineLevel="0" collapsed="false">
      <c r="A4531" s="5" t="n">
        <v>7</v>
      </c>
      <c r="B4531" s="5" t="n">
        <v>1</v>
      </c>
      <c r="C4531" s="5" t="s">
        <v>97</v>
      </c>
      <c r="D4531" s="5" t="s">
        <v>2033</v>
      </c>
      <c r="E4531" s="5" t="n">
        <v>1</v>
      </c>
      <c r="F4531" s="6" t="n">
        <f aca="false">IFERROR(MATCH(A4531&amp;"|"&amp;B4531&amp;"|"&amp;D4531,'All Song Rankings'!$T:$T,0),0)</f>
        <v>678</v>
      </c>
      <c r="G4531" s="6" t="str">
        <f aca="false">IF(F4531=0,"NOT FOUND",INDEX('All Song Rankings'!$A:$A,F4531))</f>
        <v>I Want You Back</v>
      </c>
      <c r="H4531" s="6" t="str">
        <f aca="false">IF(F4531=0,"NOT FOUND",INDEX('All Song Rankings'!$B:$B,F4531))</f>
        <v>The Jackson 5</v>
      </c>
      <c r="I4531" s="6" t="str">
        <f aca="false">IF(F4531=0,"NOT FOUND",INDEX('All Song Rankings'!$D:$D,F4531))</f>
        <v>Kristen</v>
      </c>
      <c r="J4531" s="7" t="str">
        <f aca="false">IF(F4531=0,"NOT FOUND",IF(C4531=I4531,"SELF-VOTE",IF(COUNTIF($K:$K,K4531)&gt;1,"DUPLICATE","OK")))</f>
        <v>OK</v>
      </c>
      <c r="K4531" s="6" t="str">
        <f aca="false">A4531&amp;"|"&amp;B4531&amp;"|"&amp;C4531&amp;"|"&amp;D4531</f>
        <v>7|1|Stephanie|spotify:track:75EVUbTF5l9VuMHs6AuFgp</v>
      </c>
    </row>
    <row r="4532" customFormat="false" ht="15" hidden="false" customHeight="false" outlineLevel="0" collapsed="false">
      <c r="A4532" s="5" t="n">
        <v>7</v>
      </c>
      <c r="B4532" s="5" t="n">
        <v>1</v>
      </c>
      <c r="C4532" s="5" t="s">
        <v>97</v>
      </c>
      <c r="D4532" s="5" t="s">
        <v>2016</v>
      </c>
      <c r="E4532" s="5" t="n">
        <v>1</v>
      </c>
      <c r="F4532" s="6" t="n">
        <f aca="false">IFERROR(MATCH(A4532&amp;"|"&amp;B4532&amp;"|"&amp;D4532,'All Song Rankings'!$T:$T,0),0)</f>
        <v>671</v>
      </c>
      <c r="G4532" s="6" t="str">
        <f aca="false">IF(F4532=0,"NOT FOUND",INDEX('All Song Rankings'!$A:$A,F4532))</f>
        <v>Just the Way You Are</v>
      </c>
      <c r="H4532" s="6" t="str">
        <f aca="false">IF(F4532=0,"NOT FOUND",INDEX('All Song Rankings'!$B:$B,F4532))</f>
        <v>Bruno Mars</v>
      </c>
      <c r="I4532" s="6" t="str">
        <f aca="false">IF(F4532=0,"NOT FOUND",INDEX('All Song Rankings'!$D:$D,F4532))</f>
        <v>Merita</v>
      </c>
      <c r="J4532" s="7" t="str">
        <f aca="false">IF(F4532=0,"NOT FOUND",IF(C4532=I4532,"SELF-VOTE",IF(COUNTIF($K:$K,K4532)&gt;1,"DUPLICATE","OK")))</f>
        <v>OK</v>
      </c>
      <c r="K4532" s="6" t="str">
        <f aca="false">A4532&amp;"|"&amp;B4532&amp;"|"&amp;C4532&amp;"|"&amp;D4532</f>
        <v>7|1|Stephanie|spotify:track:7BqBn9nzAq8spo5e7cZ0dJ</v>
      </c>
    </row>
    <row r="4533" customFormat="false" ht="15" hidden="false" customHeight="false" outlineLevel="0" collapsed="false">
      <c r="A4533" s="5" t="n">
        <v>7</v>
      </c>
      <c r="B4533" s="5" t="n">
        <v>2</v>
      </c>
      <c r="C4533" s="5" t="s">
        <v>719</v>
      </c>
      <c r="D4533" s="5" t="s">
        <v>2062</v>
      </c>
      <c r="E4533" s="5" t="n">
        <v>1</v>
      </c>
      <c r="F4533" s="6" t="n">
        <f aca="false">IFERROR(MATCH(A4533&amp;"|"&amp;B4533&amp;"|"&amp;D4533,'All Song Rankings'!$T:$T,0),0)</f>
        <v>689</v>
      </c>
      <c r="G4533" s="6" t="str">
        <f aca="false">IF(F4533=0,"NOT FOUND",INDEX('All Song Rankings'!$A:$A,F4533))</f>
        <v>Dreams - 2004 Remaster</v>
      </c>
      <c r="H4533" s="6" t="str">
        <f aca="false">IF(F4533=0,"NOT FOUND",INDEX('All Song Rankings'!$B:$B,F4533))</f>
        <v>Fleetwood Mac</v>
      </c>
      <c r="I4533" s="6" t="str">
        <f aca="false">IF(F4533=0,"NOT FOUND",INDEX('All Song Rankings'!$D:$D,F4533))</f>
        <v>Josh</v>
      </c>
      <c r="J4533" s="7" t="str">
        <f aca="false">IF(F4533=0,"NOT FOUND",IF(C4533=I4533,"SELF-VOTE",IF(COUNTIF($K:$K,K4533)&gt;1,"DUPLICATE","OK")))</f>
        <v>OK</v>
      </c>
      <c r="K4533" s="6" t="str">
        <f aca="false">A4533&amp;"|"&amp;B4533&amp;"|"&amp;C4533&amp;"|"&amp;D4533</f>
        <v>7|2|Christine|spotify:track:0ofHAoxe9vBkTCp2UQIavz</v>
      </c>
    </row>
    <row r="4534" customFormat="false" ht="15" hidden="false" customHeight="false" outlineLevel="0" collapsed="false">
      <c r="A4534" s="5" t="n">
        <v>7</v>
      </c>
      <c r="B4534" s="5" t="n">
        <v>2</v>
      </c>
      <c r="C4534" s="5" t="s">
        <v>719</v>
      </c>
      <c r="D4534" s="5" t="s">
        <v>2079</v>
      </c>
      <c r="E4534" s="5" t="n">
        <v>1</v>
      </c>
      <c r="F4534" s="6" t="n">
        <f aca="false">IFERROR(MATCH(A4534&amp;"|"&amp;B4534&amp;"|"&amp;D4534,'All Song Rankings'!$T:$T,0),0)</f>
        <v>695</v>
      </c>
      <c r="G4534" s="6" t="str">
        <f aca="false">IF(F4534=0,"NOT FOUND",INDEX('All Song Rankings'!$A:$A,F4534))</f>
        <v>I Feel the Earth Move</v>
      </c>
      <c r="H4534" s="6" t="str">
        <f aca="false">IF(F4534=0,"NOT FOUND",INDEX('All Song Rankings'!$B:$B,F4534))</f>
        <v>Carole King</v>
      </c>
      <c r="I4534" s="6" t="str">
        <f aca="false">IF(F4534=0,"NOT FOUND",INDEX('All Song Rankings'!$D:$D,F4534))</f>
        <v>Stephanie</v>
      </c>
      <c r="J4534" s="7" t="str">
        <f aca="false">IF(F4534=0,"NOT FOUND",IF(C4534=I4534,"SELF-VOTE",IF(COUNTIF($K:$K,K4534)&gt;1,"DUPLICATE","OK")))</f>
        <v>OK</v>
      </c>
      <c r="K4534" s="6" t="str">
        <f aca="false">A4534&amp;"|"&amp;B4534&amp;"|"&amp;C4534&amp;"|"&amp;D4534</f>
        <v>7|2|Christine|spotify:track:1BWsOxeMx83OrKGCV4gxly</v>
      </c>
    </row>
    <row r="4535" customFormat="false" ht="15" hidden="false" customHeight="false" outlineLevel="0" collapsed="false">
      <c r="A4535" s="5" t="n">
        <v>7</v>
      </c>
      <c r="B4535" s="5" t="n">
        <v>2</v>
      </c>
      <c r="C4535" s="5" t="s">
        <v>719</v>
      </c>
      <c r="D4535" s="5" t="s">
        <v>2085</v>
      </c>
      <c r="E4535" s="5" t="n">
        <v>1</v>
      </c>
      <c r="F4535" s="6" t="n">
        <f aca="false">IFERROR(MATCH(A4535&amp;"|"&amp;B4535&amp;"|"&amp;D4535,'All Song Rankings'!$T:$T,0),0)</f>
        <v>697</v>
      </c>
      <c r="G4535" s="6" t="str">
        <f aca="false">IF(F4535=0,"NOT FOUND",INDEX('All Song Rankings'!$A:$A,F4535))</f>
        <v>Trampoline (with ZAYN)</v>
      </c>
      <c r="H4535" s="6" t="str">
        <f aca="false">IF(F4535=0,"NOT FOUND",INDEX('All Song Rankings'!$B:$B,F4535))</f>
        <v>SHAED, ZAYN</v>
      </c>
      <c r="I4535" s="6" t="str">
        <f aca="false">IF(F4535=0,"NOT FOUND",INDEX('All Song Rankings'!$D:$D,F4535))</f>
        <v>Merita</v>
      </c>
      <c r="J4535" s="7" t="str">
        <f aca="false">IF(F4535=0,"NOT FOUND",IF(C4535=I4535,"SELF-VOTE",IF(COUNTIF($K:$K,K4535)&gt;1,"DUPLICATE","OK")))</f>
        <v>OK</v>
      </c>
      <c r="K4535" s="6" t="str">
        <f aca="false">A4535&amp;"|"&amp;B4535&amp;"|"&amp;C4535&amp;"|"&amp;D4535</f>
        <v>7|2|Christine|spotify:track:2Lz3GftPbs91tdeWDaZzzc</v>
      </c>
    </row>
    <row r="4536" customFormat="false" ht="15" hidden="false" customHeight="false" outlineLevel="0" collapsed="false">
      <c r="A4536" s="5" t="n">
        <v>7</v>
      </c>
      <c r="B4536" s="5" t="n">
        <v>2</v>
      </c>
      <c r="C4536" s="5" t="s">
        <v>719</v>
      </c>
      <c r="D4536" s="5" t="s">
        <v>2076</v>
      </c>
      <c r="E4536" s="5" t="n">
        <v>1</v>
      </c>
      <c r="F4536" s="6" t="n">
        <f aca="false">IFERROR(MATCH(A4536&amp;"|"&amp;B4536&amp;"|"&amp;D4536,'All Song Rankings'!$T:$T,0),0)</f>
        <v>694</v>
      </c>
      <c r="G4536" s="6" t="str">
        <f aca="false">IF(F4536=0,"NOT FOUND",INDEX('All Song Rankings'!$A:$A,F4536))</f>
        <v>Love Myself</v>
      </c>
      <c r="H4536" s="6" t="str">
        <f aca="false">IF(F4536=0,"NOT FOUND",INDEX('All Song Rankings'!$B:$B,F4536))</f>
        <v>Hailee Steinfeld</v>
      </c>
      <c r="I4536" s="6" t="str">
        <f aca="false">IF(F4536=0,"NOT FOUND",INDEX('All Song Rankings'!$D:$D,F4536))</f>
        <v>Logan</v>
      </c>
      <c r="J4536" s="7" t="str">
        <f aca="false">IF(F4536=0,"NOT FOUND",IF(C4536=I4536,"SELF-VOTE",IF(COUNTIF($K:$K,K4536)&gt;1,"DUPLICATE","OK")))</f>
        <v>OK</v>
      </c>
      <c r="K4536" s="6" t="str">
        <f aca="false">A4536&amp;"|"&amp;B4536&amp;"|"&amp;C4536&amp;"|"&amp;D4536</f>
        <v>7|2|Christine|spotify:track:36phXHOKx8rO7CMp2vNX4x</v>
      </c>
    </row>
    <row r="4537" customFormat="false" ht="15" hidden="false" customHeight="false" outlineLevel="0" collapsed="false">
      <c r="A4537" s="5" t="n">
        <v>7</v>
      </c>
      <c r="B4537" s="5" t="n">
        <v>2</v>
      </c>
      <c r="C4537" s="5" t="s">
        <v>719</v>
      </c>
      <c r="D4537" s="5" t="s">
        <v>2060</v>
      </c>
      <c r="E4537" s="5" t="n">
        <v>1</v>
      </c>
      <c r="F4537" s="6" t="n">
        <f aca="false">IFERROR(MATCH(A4537&amp;"|"&amp;B4537&amp;"|"&amp;D4537,'All Song Rankings'!$T:$T,0),0)</f>
        <v>688</v>
      </c>
      <c r="G4537" s="6" t="str">
        <f aca="false">IF(F4537=0,"NOT FOUND",INDEX('All Song Rankings'!$A:$A,F4537))</f>
        <v>Kingdom of Fear</v>
      </c>
      <c r="H4537" s="6" t="str">
        <f aca="false">IF(F4537=0,"NOT FOUND",INDEX('All Song Rankings'!$B:$B,F4537))</f>
        <v>Cameron Whitcomb</v>
      </c>
      <c r="I4537" s="6" t="str">
        <f aca="false">IF(F4537=0,"NOT FOUND",INDEX('All Song Rankings'!$D:$D,F4537))</f>
        <v>Kelsey</v>
      </c>
      <c r="J4537" s="7" t="str">
        <f aca="false">IF(F4537=0,"NOT FOUND",IF(C4537=I4537,"SELF-VOTE",IF(COUNTIF($K:$K,K4537)&gt;1,"DUPLICATE","OK")))</f>
        <v>OK</v>
      </c>
      <c r="K4537" s="6" t="str">
        <f aca="false">A4537&amp;"|"&amp;B4537&amp;"|"&amp;C4537&amp;"|"&amp;D4537</f>
        <v>7|2|Christine|spotify:track:4Es6f0zquGHCrv9Hespx9W</v>
      </c>
    </row>
    <row r="4538" customFormat="false" ht="15" hidden="false" customHeight="false" outlineLevel="0" collapsed="false">
      <c r="A4538" s="5" t="n">
        <v>7</v>
      </c>
      <c r="B4538" s="5" t="n">
        <v>2</v>
      </c>
      <c r="C4538" s="5" t="s">
        <v>719</v>
      </c>
      <c r="D4538" s="5" t="s">
        <v>2057</v>
      </c>
      <c r="E4538" s="5" t="n">
        <v>1</v>
      </c>
      <c r="F4538" s="6" t="n">
        <f aca="false">IFERROR(MATCH(A4538&amp;"|"&amp;B4538&amp;"|"&amp;D4538,'All Song Rankings'!$T:$T,0),0)</f>
        <v>687</v>
      </c>
      <c r="G4538" s="6" t="str">
        <f aca="false">IF(F4538=0,"NOT FOUND",INDEX('All Song Rankings'!$A:$A,F4538))</f>
        <v>Power Over Me</v>
      </c>
      <c r="H4538" s="6" t="str">
        <f aca="false">IF(F4538=0,"NOT FOUND",INDEX('All Song Rankings'!$B:$B,F4538))</f>
        <v>Dermot Kennedy</v>
      </c>
      <c r="I4538" s="6" t="str">
        <f aca="false">IF(F4538=0,"NOT FOUND",INDEX('All Song Rankings'!$D:$D,F4538))</f>
        <v>Leah</v>
      </c>
      <c r="J4538" s="7" t="str">
        <f aca="false">IF(F4538=0,"NOT FOUND",IF(C4538=I4538,"SELF-VOTE",IF(COUNTIF($K:$K,K4538)&gt;1,"DUPLICATE","OK")))</f>
        <v>OK</v>
      </c>
      <c r="K4538" s="6" t="str">
        <f aca="false">A4538&amp;"|"&amp;B4538&amp;"|"&amp;C4538&amp;"|"&amp;D4538</f>
        <v>7|2|Christine|spotify:track:4tViDtaHuSLnh7HVJTrKhs</v>
      </c>
    </row>
    <row r="4539" customFormat="false" ht="15" hidden="false" customHeight="false" outlineLevel="0" collapsed="false">
      <c r="A4539" s="5" t="n">
        <v>7</v>
      </c>
      <c r="B4539" s="5" t="n">
        <v>2</v>
      </c>
      <c r="C4539" s="5" t="s">
        <v>719</v>
      </c>
      <c r="D4539" s="5" t="s">
        <v>2070</v>
      </c>
      <c r="E4539" s="5" t="n">
        <v>1</v>
      </c>
      <c r="F4539" s="6" t="n">
        <f aca="false">IFERROR(MATCH(A4539&amp;"|"&amp;B4539&amp;"|"&amp;D4539,'All Song Rankings'!$T:$T,0),0)</f>
        <v>692</v>
      </c>
      <c r="G4539" s="6" t="str">
        <f aca="false">IF(F4539=0,"NOT FOUND",INDEX('All Song Rankings'!$A:$A,F4539))</f>
        <v>Nightswimming</v>
      </c>
      <c r="H4539" s="6" t="str">
        <f aca="false">IF(F4539=0,"NOT FOUND",INDEX('All Song Rankings'!$B:$B,F4539))</f>
        <v>R.E.M.</v>
      </c>
      <c r="I4539" s="6" t="str">
        <f aca="false">IF(F4539=0,"NOT FOUND",INDEX('All Song Rankings'!$D:$D,F4539))</f>
        <v>Matt</v>
      </c>
      <c r="J4539" s="7" t="str">
        <f aca="false">IF(F4539=0,"NOT FOUND",IF(C4539=I4539,"SELF-VOTE",IF(COUNTIF($K:$K,K4539)&gt;1,"DUPLICATE","OK")))</f>
        <v>OK</v>
      </c>
      <c r="K4539" s="6" t="str">
        <f aca="false">A4539&amp;"|"&amp;B4539&amp;"|"&amp;C4539&amp;"|"&amp;D4539</f>
        <v>7|2|Christine|spotify:track:6G0NzOx2jEPFsSmhr9N8Ys</v>
      </c>
    </row>
    <row r="4540" customFormat="false" ht="15" hidden="false" customHeight="false" outlineLevel="0" collapsed="false">
      <c r="A4540" s="5" t="n">
        <v>7</v>
      </c>
      <c r="B4540" s="5" t="n">
        <v>2</v>
      </c>
      <c r="C4540" s="5" t="s">
        <v>719</v>
      </c>
      <c r="D4540" s="5" t="s">
        <v>2094</v>
      </c>
      <c r="E4540" s="5" t="n">
        <v>1</v>
      </c>
      <c r="F4540" s="6" t="n">
        <f aca="false">IFERROR(MATCH(A4540&amp;"|"&amp;B4540&amp;"|"&amp;D4540,'All Song Rankings'!$T:$T,0),0)</f>
        <v>700</v>
      </c>
      <c r="G4540" s="6" t="str">
        <f aca="false">IF(F4540=0,"NOT FOUND",INDEX('All Song Rankings'!$A:$A,F4540))</f>
        <v>Crooked Muse</v>
      </c>
      <c r="H4540" s="6" t="str">
        <f aca="false">IF(F4540=0,"NOT FOUND",INDEX('All Song Rankings'!$B:$B,F4540))</f>
        <v>Beats Antique, Lady Lynx</v>
      </c>
      <c r="I4540" s="6" t="str">
        <f aca="false">IF(F4540=0,"NOT FOUND",INDEX('All Song Rankings'!$D:$D,F4540))</f>
        <v>Scott</v>
      </c>
      <c r="J4540" s="7" t="str">
        <f aca="false">IF(F4540=0,"NOT FOUND",IF(C4540=I4540,"SELF-VOTE",IF(COUNTIF($K:$K,K4540)&gt;1,"DUPLICATE","OK")))</f>
        <v>OK</v>
      </c>
      <c r="K4540" s="6" t="str">
        <f aca="false">A4540&amp;"|"&amp;B4540&amp;"|"&amp;C4540&amp;"|"&amp;D4540</f>
        <v>7|2|Christine|spotify:track:6izQEQZGKd0d6ZjaFvKrRH</v>
      </c>
    </row>
    <row r="4541" customFormat="false" ht="15" hidden="false" customHeight="false" outlineLevel="0" collapsed="false">
      <c r="A4541" s="5" t="n">
        <v>7</v>
      </c>
      <c r="B4541" s="5" t="n">
        <v>2</v>
      </c>
      <c r="C4541" s="5" t="s">
        <v>719</v>
      </c>
      <c r="D4541" s="5" t="s">
        <v>2091</v>
      </c>
      <c r="E4541" s="5" t="n">
        <v>1</v>
      </c>
      <c r="F4541" s="6" t="n">
        <f aca="false">IFERROR(MATCH(A4541&amp;"|"&amp;B4541&amp;"|"&amp;D4541,'All Song Rankings'!$T:$T,0),0)</f>
        <v>699</v>
      </c>
      <c r="G4541" s="6" t="str">
        <f aca="false">IF(F4541=0,"NOT FOUND",INDEX('All Song Rankings'!$A:$A,F4541))</f>
        <v>The Load-Out - Remastered</v>
      </c>
      <c r="H4541" s="6" t="str">
        <f aca="false">IF(F4541=0,"NOT FOUND",INDEX('All Song Rankings'!$B:$B,F4541))</f>
        <v>Jackson Browne</v>
      </c>
      <c r="I4541" s="6" t="str">
        <f aca="false">IF(F4541=0,"NOT FOUND",INDEX('All Song Rankings'!$D:$D,F4541))</f>
        <v>Lisa</v>
      </c>
      <c r="J4541" s="7" t="str">
        <f aca="false">IF(F4541=0,"NOT FOUND",IF(C4541=I4541,"SELF-VOTE",IF(COUNTIF($K:$K,K4541)&gt;1,"DUPLICATE","OK")))</f>
        <v>OK</v>
      </c>
      <c r="K4541" s="6" t="str">
        <f aca="false">A4541&amp;"|"&amp;B4541&amp;"|"&amp;C4541&amp;"|"&amp;D4541</f>
        <v>7|2|Christine|spotify:track:75Cc2encvSkQ5OnDgAfJaV</v>
      </c>
    </row>
    <row r="4542" customFormat="false" ht="15" hidden="false" customHeight="false" outlineLevel="0" collapsed="false">
      <c r="A4542" s="5" t="n">
        <v>7</v>
      </c>
      <c r="B4542" s="5" t="n">
        <v>2</v>
      </c>
      <c r="C4542" s="5" t="s">
        <v>719</v>
      </c>
      <c r="D4542" s="5" t="s">
        <v>2065</v>
      </c>
      <c r="E4542" s="5" t="n">
        <v>1</v>
      </c>
      <c r="F4542" s="6" t="n">
        <f aca="false">IFERROR(MATCH(A4542&amp;"|"&amp;B4542&amp;"|"&amp;D4542,'All Song Rankings'!$T:$T,0),0)</f>
        <v>690</v>
      </c>
      <c r="G4542" s="6" t="str">
        <f aca="false">IF(F4542=0,"NOT FOUND",INDEX('All Song Rankings'!$A:$A,F4542))</f>
        <v>A Little Waltz for Misha</v>
      </c>
      <c r="H4542" s="6" t="str">
        <f aca="false">IF(F4542=0,"NOT FOUND",INDEX('All Song Rankings'!$B:$B,F4542))</f>
        <v>The Hot Club Of San Francisco</v>
      </c>
      <c r="I4542" s="6" t="str">
        <f aca="false">IF(F4542=0,"NOT FOUND",INDEX('All Song Rankings'!$D:$D,F4542))</f>
        <v>Grace</v>
      </c>
      <c r="J4542" s="7" t="str">
        <f aca="false">IF(F4542=0,"NOT FOUND",IF(C4542=I4542,"SELF-VOTE",IF(COUNTIF($K:$K,K4542)&gt;1,"DUPLICATE","OK")))</f>
        <v>OK</v>
      </c>
      <c r="K4542" s="6" t="str">
        <f aca="false">A4542&amp;"|"&amp;B4542&amp;"|"&amp;C4542&amp;"|"&amp;D4542</f>
        <v>7|2|Christine|spotify:track:7jSJJgyrVrZ5TLzr0U64Al</v>
      </c>
    </row>
    <row r="4543" customFormat="false" ht="15" hidden="false" customHeight="false" outlineLevel="0" collapsed="false">
      <c r="A4543" s="5" t="n">
        <v>7</v>
      </c>
      <c r="B4543" s="5" t="n">
        <v>2</v>
      </c>
      <c r="C4543" s="5" t="s">
        <v>637</v>
      </c>
      <c r="D4543" s="5" t="s">
        <v>2062</v>
      </c>
      <c r="E4543" s="5" t="n">
        <v>1</v>
      </c>
      <c r="F4543" s="6" t="n">
        <f aca="false">IFERROR(MATCH(A4543&amp;"|"&amp;B4543&amp;"|"&amp;D4543,'All Song Rankings'!$T:$T,0),0)</f>
        <v>689</v>
      </c>
      <c r="G4543" s="6" t="str">
        <f aca="false">IF(F4543=0,"NOT FOUND",INDEX('All Song Rankings'!$A:$A,F4543))</f>
        <v>Dreams - 2004 Remaster</v>
      </c>
      <c r="H4543" s="6" t="str">
        <f aca="false">IF(F4543=0,"NOT FOUND",INDEX('All Song Rankings'!$B:$B,F4543))</f>
        <v>Fleetwood Mac</v>
      </c>
      <c r="I4543" s="6" t="str">
        <f aca="false">IF(F4543=0,"NOT FOUND",INDEX('All Song Rankings'!$D:$D,F4543))</f>
        <v>Josh</v>
      </c>
      <c r="J4543" s="7" t="str">
        <f aca="false">IF(F4543=0,"NOT FOUND",IF(C4543=I4543,"SELF-VOTE",IF(COUNTIF($K:$K,K4543)&gt;1,"DUPLICATE","OK")))</f>
        <v>OK</v>
      </c>
      <c r="K4543" s="6" t="str">
        <f aca="false">A4543&amp;"|"&amp;B4543&amp;"|"&amp;C4543&amp;"|"&amp;D4543</f>
        <v>7|2|Colleen|spotify:track:0ofHAoxe9vBkTCp2UQIavz</v>
      </c>
    </row>
    <row r="4544" customFormat="false" ht="15" hidden="false" customHeight="false" outlineLevel="0" collapsed="false">
      <c r="A4544" s="5" t="n">
        <v>7</v>
      </c>
      <c r="B4544" s="5" t="n">
        <v>2</v>
      </c>
      <c r="C4544" s="5" t="s">
        <v>637</v>
      </c>
      <c r="D4544" s="5" t="s">
        <v>2085</v>
      </c>
      <c r="E4544" s="5" t="n">
        <v>1</v>
      </c>
      <c r="F4544" s="6" t="n">
        <f aca="false">IFERROR(MATCH(A4544&amp;"|"&amp;B4544&amp;"|"&amp;D4544,'All Song Rankings'!$T:$T,0),0)</f>
        <v>697</v>
      </c>
      <c r="G4544" s="6" t="str">
        <f aca="false">IF(F4544=0,"NOT FOUND",INDEX('All Song Rankings'!$A:$A,F4544))</f>
        <v>Trampoline (with ZAYN)</v>
      </c>
      <c r="H4544" s="6" t="str">
        <f aca="false">IF(F4544=0,"NOT FOUND",INDEX('All Song Rankings'!$B:$B,F4544))</f>
        <v>SHAED, ZAYN</v>
      </c>
      <c r="I4544" s="6" t="str">
        <f aca="false">IF(F4544=0,"NOT FOUND",INDEX('All Song Rankings'!$D:$D,F4544))</f>
        <v>Merita</v>
      </c>
      <c r="J4544" s="7" t="str">
        <f aca="false">IF(F4544=0,"NOT FOUND",IF(C4544=I4544,"SELF-VOTE",IF(COUNTIF($K:$K,K4544)&gt;1,"DUPLICATE","OK")))</f>
        <v>OK</v>
      </c>
      <c r="K4544" s="6" t="str">
        <f aca="false">A4544&amp;"|"&amp;B4544&amp;"|"&amp;C4544&amp;"|"&amp;D4544</f>
        <v>7|2|Colleen|spotify:track:2Lz3GftPbs91tdeWDaZzzc</v>
      </c>
    </row>
    <row r="4545" customFormat="false" ht="15" hidden="false" customHeight="false" outlineLevel="0" collapsed="false">
      <c r="A4545" s="5" t="n">
        <v>7</v>
      </c>
      <c r="B4545" s="5" t="n">
        <v>2</v>
      </c>
      <c r="C4545" s="5" t="s">
        <v>637</v>
      </c>
      <c r="D4545" s="5" t="s">
        <v>2097</v>
      </c>
      <c r="E4545" s="5" t="n">
        <v>1</v>
      </c>
      <c r="F4545" s="6" t="n">
        <f aca="false">IFERROR(MATCH(A4545&amp;"|"&amp;B4545&amp;"|"&amp;D4545,'All Song Rankings'!$T:$T,0),0)</f>
        <v>701</v>
      </c>
      <c r="G4545" s="6" t="str">
        <f aca="false">IF(F4545=0,"NOT FOUND",INDEX('All Song Rankings'!$A:$A,F4545))</f>
        <v>Pure</v>
      </c>
      <c r="H4545" s="6" t="str">
        <f aca="false">IF(F4545=0,"NOT FOUND",INDEX('All Song Rankings'!$B:$B,F4545))</f>
        <v>SIENNA SPIRO</v>
      </c>
      <c r="I4545" s="6" t="str">
        <f aca="false">IF(F4545=0,"NOT FOUND",INDEX('All Song Rankings'!$D:$D,F4545))</f>
        <v>Aubrey</v>
      </c>
      <c r="J4545" s="7" t="str">
        <f aca="false">IF(F4545=0,"NOT FOUND",IF(C4545=I4545,"SELF-VOTE",IF(COUNTIF($K:$K,K4545)&gt;1,"DUPLICATE","OK")))</f>
        <v>OK</v>
      </c>
      <c r="K4545" s="6" t="str">
        <f aca="false">A4545&amp;"|"&amp;B4545&amp;"|"&amp;C4545&amp;"|"&amp;D4545</f>
        <v>7|2|Colleen|spotify:track:31IKMjvv6Oskp4hjGVeYsT</v>
      </c>
    </row>
    <row r="4546" customFormat="false" ht="15" hidden="false" customHeight="false" outlineLevel="0" collapsed="false">
      <c r="A4546" s="5" t="n">
        <v>7</v>
      </c>
      <c r="B4546" s="5" t="n">
        <v>2</v>
      </c>
      <c r="C4546" s="5" t="s">
        <v>637</v>
      </c>
      <c r="D4546" s="5" t="s">
        <v>2076</v>
      </c>
      <c r="E4546" s="5" t="n">
        <v>1</v>
      </c>
      <c r="F4546" s="6" t="n">
        <f aca="false">IFERROR(MATCH(A4546&amp;"|"&amp;B4546&amp;"|"&amp;D4546,'All Song Rankings'!$T:$T,0),0)</f>
        <v>694</v>
      </c>
      <c r="G4546" s="6" t="str">
        <f aca="false">IF(F4546=0,"NOT FOUND",INDEX('All Song Rankings'!$A:$A,F4546))</f>
        <v>Love Myself</v>
      </c>
      <c r="H4546" s="6" t="str">
        <f aca="false">IF(F4546=0,"NOT FOUND",INDEX('All Song Rankings'!$B:$B,F4546))</f>
        <v>Hailee Steinfeld</v>
      </c>
      <c r="I4546" s="6" t="str">
        <f aca="false">IF(F4546=0,"NOT FOUND",INDEX('All Song Rankings'!$D:$D,F4546))</f>
        <v>Logan</v>
      </c>
      <c r="J4546" s="7" t="str">
        <f aca="false">IF(F4546=0,"NOT FOUND",IF(C4546=I4546,"SELF-VOTE",IF(COUNTIF($K:$K,K4546)&gt;1,"DUPLICATE","OK")))</f>
        <v>OK</v>
      </c>
      <c r="K4546" s="6" t="str">
        <f aca="false">A4546&amp;"|"&amp;B4546&amp;"|"&amp;C4546&amp;"|"&amp;D4546</f>
        <v>7|2|Colleen|spotify:track:36phXHOKx8rO7CMp2vNX4x</v>
      </c>
    </row>
    <row r="4547" customFormat="false" ht="15" hidden="false" customHeight="false" outlineLevel="0" collapsed="false">
      <c r="A4547" s="5" t="n">
        <v>7</v>
      </c>
      <c r="B4547" s="5" t="n">
        <v>2</v>
      </c>
      <c r="C4547" s="5" t="s">
        <v>637</v>
      </c>
      <c r="D4547" s="5" t="s">
        <v>2060</v>
      </c>
      <c r="E4547" s="5" t="n">
        <v>2</v>
      </c>
      <c r="F4547" s="6" t="n">
        <f aca="false">IFERROR(MATCH(A4547&amp;"|"&amp;B4547&amp;"|"&amp;D4547,'All Song Rankings'!$T:$T,0),0)</f>
        <v>688</v>
      </c>
      <c r="G4547" s="6" t="str">
        <f aca="false">IF(F4547=0,"NOT FOUND",INDEX('All Song Rankings'!$A:$A,F4547))</f>
        <v>Kingdom of Fear</v>
      </c>
      <c r="H4547" s="6" t="str">
        <f aca="false">IF(F4547=0,"NOT FOUND",INDEX('All Song Rankings'!$B:$B,F4547))</f>
        <v>Cameron Whitcomb</v>
      </c>
      <c r="I4547" s="6" t="str">
        <f aca="false">IF(F4547=0,"NOT FOUND",INDEX('All Song Rankings'!$D:$D,F4547))</f>
        <v>Kelsey</v>
      </c>
      <c r="J4547" s="7" t="str">
        <f aca="false">IF(F4547=0,"NOT FOUND",IF(C4547=I4547,"SELF-VOTE",IF(COUNTIF($K:$K,K4547)&gt;1,"DUPLICATE","OK")))</f>
        <v>OK</v>
      </c>
      <c r="K4547" s="6" t="str">
        <f aca="false">A4547&amp;"|"&amp;B4547&amp;"|"&amp;C4547&amp;"|"&amp;D4547</f>
        <v>7|2|Colleen|spotify:track:4Es6f0zquGHCrv9Hespx9W</v>
      </c>
    </row>
    <row r="4548" customFormat="false" ht="15" hidden="false" customHeight="false" outlineLevel="0" collapsed="false">
      <c r="A4548" s="5" t="n">
        <v>7</v>
      </c>
      <c r="B4548" s="5" t="n">
        <v>2</v>
      </c>
      <c r="C4548" s="5" t="s">
        <v>637</v>
      </c>
      <c r="D4548" s="5" t="s">
        <v>2057</v>
      </c>
      <c r="E4548" s="5" t="n">
        <v>1</v>
      </c>
      <c r="F4548" s="6" t="n">
        <f aca="false">IFERROR(MATCH(A4548&amp;"|"&amp;B4548&amp;"|"&amp;D4548,'All Song Rankings'!$T:$T,0),0)</f>
        <v>687</v>
      </c>
      <c r="G4548" s="6" t="str">
        <f aca="false">IF(F4548=0,"NOT FOUND",INDEX('All Song Rankings'!$A:$A,F4548))</f>
        <v>Power Over Me</v>
      </c>
      <c r="H4548" s="6" t="str">
        <f aca="false">IF(F4548=0,"NOT FOUND",INDEX('All Song Rankings'!$B:$B,F4548))</f>
        <v>Dermot Kennedy</v>
      </c>
      <c r="I4548" s="6" t="str">
        <f aca="false">IF(F4548=0,"NOT FOUND",INDEX('All Song Rankings'!$D:$D,F4548))</f>
        <v>Leah</v>
      </c>
      <c r="J4548" s="7" t="str">
        <f aca="false">IF(F4548=0,"NOT FOUND",IF(C4548=I4548,"SELF-VOTE",IF(COUNTIF($K:$K,K4548)&gt;1,"DUPLICATE","OK")))</f>
        <v>OK</v>
      </c>
      <c r="K4548" s="6" t="str">
        <f aca="false">A4548&amp;"|"&amp;B4548&amp;"|"&amp;C4548&amp;"|"&amp;D4548</f>
        <v>7|2|Colleen|spotify:track:4tViDtaHuSLnh7HVJTrKhs</v>
      </c>
    </row>
    <row r="4549" customFormat="false" ht="15" hidden="false" customHeight="false" outlineLevel="0" collapsed="false">
      <c r="A4549" s="5" t="n">
        <v>7</v>
      </c>
      <c r="B4549" s="5" t="n">
        <v>2</v>
      </c>
      <c r="C4549" s="5" t="s">
        <v>637</v>
      </c>
      <c r="D4549" s="5" t="s">
        <v>2073</v>
      </c>
      <c r="E4549" s="5" t="n">
        <v>1</v>
      </c>
      <c r="F4549" s="6" t="n">
        <f aca="false">IFERROR(MATCH(A4549&amp;"|"&amp;B4549&amp;"|"&amp;D4549,'All Song Rankings'!$T:$T,0),0)</f>
        <v>693</v>
      </c>
      <c r="G4549" s="6" t="str">
        <f aca="false">IF(F4549=0,"NOT FOUND",INDEX('All Song Rankings'!$A:$A,F4549))</f>
        <v>Be Our Guest</v>
      </c>
      <c r="H4549" s="6" t="str">
        <f aca="false">IF(F4549=0,"NOT FOUND",INDEX('All Song Rankings'!$B:$B,F4549))</f>
        <v>Angela Lansbury, Jerry Orbach, Chorus - Beauty And The Beast, Disney</v>
      </c>
      <c r="I4549" s="6" t="str">
        <f aca="false">IF(F4549=0,"NOT FOUND",INDEX('All Song Rankings'!$D:$D,F4549))</f>
        <v>Lucia</v>
      </c>
      <c r="J4549" s="7" t="str">
        <f aca="false">IF(F4549=0,"NOT FOUND",IF(C4549=I4549,"SELF-VOTE",IF(COUNTIF($K:$K,K4549)&gt;1,"DUPLICATE","OK")))</f>
        <v>OK</v>
      </c>
      <c r="K4549" s="6" t="str">
        <f aca="false">A4549&amp;"|"&amp;B4549&amp;"|"&amp;C4549&amp;"|"&amp;D4549</f>
        <v>7|2|Colleen|spotify:track:6btdYzQ8eZFBrOlUKVHuz0</v>
      </c>
    </row>
    <row r="4550" customFormat="false" ht="15" hidden="false" customHeight="false" outlineLevel="0" collapsed="false">
      <c r="A4550" s="5" t="n">
        <v>7</v>
      </c>
      <c r="B4550" s="5" t="n">
        <v>2</v>
      </c>
      <c r="C4550" s="5" t="s">
        <v>637</v>
      </c>
      <c r="D4550" s="5" t="s">
        <v>2094</v>
      </c>
      <c r="E4550" s="5" t="n">
        <v>1</v>
      </c>
      <c r="F4550" s="6" t="n">
        <f aca="false">IFERROR(MATCH(A4550&amp;"|"&amp;B4550&amp;"|"&amp;D4550,'All Song Rankings'!$T:$T,0),0)</f>
        <v>700</v>
      </c>
      <c r="G4550" s="6" t="str">
        <f aca="false">IF(F4550=0,"NOT FOUND",INDEX('All Song Rankings'!$A:$A,F4550))</f>
        <v>Crooked Muse</v>
      </c>
      <c r="H4550" s="6" t="str">
        <f aca="false">IF(F4550=0,"NOT FOUND",INDEX('All Song Rankings'!$B:$B,F4550))</f>
        <v>Beats Antique, Lady Lynx</v>
      </c>
      <c r="I4550" s="6" t="str">
        <f aca="false">IF(F4550=0,"NOT FOUND",INDEX('All Song Rankings'!$D:$D,F4550))</f>
        <v>Scott</v>
      </c>
      <c r="J4550" s="7" t="str">
        <f aca="false">IF(F4550=0,"NOT FOUND",IF(C4550=I4550,"SELF-VOTE",IF(COUNTIF($K:$K,K4550)&gt;1,"DUPLICATE","OK")))</f>
        <v>OK</v>
      </c>
      <c r="K4550" s="6" t="str">
        <f aca="false">A4550&amp;"|"&amp;B4550&amp;"|"&amp;C4550&amp;"|"&amp;D4550</f>
        <v>7|2|Colleen|spotify:track:6izQEQZGKd0d6ZjaFvKrRH</v>
      </c>
    </row>
    <row r="4551" customFormat="false" ht="15" hidden="false" customHeight="false" outlineLevel="0" collapsed="false">
      <c r="A4551" s="5" t="n">
        <v>7</v>
      </c>
      <c r="B4551" s="5" t="n">
        <v>2</v>
      </c>
      <c r="C4551" s="5" t="s">
        <v>637</v>
      </c>
      <c r="D4551" s="5" t="s">
        <v>2065</v>
      </c>
      <c r="E4551" s="5" t="n">
        <v>1</v>
      </c>
      <c r="F4551" s="6" t="n">
        <f aca="false">IFERROR(MATCH(A4551&amp;"|"&amp;B4551&amp;"|"&amp;D4551,'All Song Rankings'!$T:$T,0),0)</f>
        <v>690</v>
      </c>
      <c r="G4551" s="6" t="str">
        <f aca="false">IF(F4551=0,"NOT FOUND",INDEX('All Song Rankings'!$A:$A,F4551))</f>
        <v>A Little Waltz for Misha</v>
      </c>
      <c r="H4551" s="6" t="str">
        <f aca="false">IF(F4551=0,"NOT FOUND",INDEX('All Song Rankings'!$B:$B,F4551))</f>
        <v>The Hot Club Of San Francisco</v>
      </c>
      <c r="I4551" s="6" t="str">
        <f aca="false">IF(F4551=0,"NOT FOUND",INDEX('All Song Rankings'!$D:$D,F4551))</f>
        <v>Grace</v>
      </c>
      <c r="J4551" s="7" t="str">
        <f aca="false">IF(F4551=0,"NOT FOUND",IF(C4551=I4551,"SELF-VOTE",IF(COUNTIF($K:$K,K4551)&gt;1,"DUPLICATE","OK")))</f>
        <v>OK</v>
      </c>
      <c r="K4551" s="6" t="str">
        <f aca="false">A4551&amp;"|"&amp;B4551&amp;"|"&amp;C4551&amp;"|"&amp;D4551</f>
        <v>7|2|Colleen|spotify:track:7jSJJgyrVrZ5TLzr0U64Al</v>
      </c>
    </row>
    <row r="4552" customFormat="false" ht="15" hidden="false" customHeight="false" outlineLevel="0" collapsed="false">
      <c r="A4552" s="5" t="n">
        <v>7</v>
      </c>
      <c r="B4552" s="5" t="n">
        <v>2</v>
      </c>
      <c r="C4552" s="5" t="s">
        <v>382</v>
      </c>
      <c r="D4552" s="5" t="s">
        <v>2082</v>
      </c>
      <c r="E4552" s="5" t="n">
        <v>1</v>
      </c>
      <c r="F4552" s="6" t="n">
        <f aca="false">IFERROR(MATCH(A4552&amp;"|"&amp;B4552&amp;"|"&amp;D4552,'All Song Rankings'!$T:$T,0),0)</f>
        <v>696</v>
      </c>
      <c r="G4552" s="6" t="str">
        <f aca="false">IF(F4552=0,"NOT FOUND",INDEX('All Song Rankings'!$A:$A,F4552))</f>
        <v>Lavender</v>
      </c>
      <c r="H4552" s="6" t="str">
        <f aca="false">IF(F4552=0,"NOT FOUND",INDEX('All Song Rankings'!$B:$B,F4552))</f>
        <v>Marillion</v>
      </c>
      <c r="I4552" s="6" t="str">
        <f aca="false">IF(F4552=0,"NOT FOUND",INDEX('All Song Rankings'!$D:$D,F4552))</f>
        <v>Christine</v>
      </c>
      <c r="J4552" s="7" t="str">
        <f aca="false">IF(F4552=0,"NOT FOUND",IF(C4552=I4552,"SELF-VOTE",IF(COUNTIF($K:$K,K4552)&gt;1,"DUPLICATE","OK")))</f>
        <v>OK</v>
      </c>
      <c r="K4552" s="6" t="str">
        <f aca="false">A4552&amp;"|"&amp;B4552&amp;"|"&amp;C4552&amp;"|"&amp;D4552</f>
        <v>7|2|Grace|spotify:track:0fFotmAiRwLfpogfYs48PQ</v>
      </c>
    </row>
    <row r="4553" customFormat="false" ht="15" hidden="false" customHeight="false" outlineLevel="0" collapsed="false">
      <c r="A4553" s="5" t="n">
        <v>7</v>
      </c>
      <c r="B4553" s="5" t="n">
        <v>2</v>
      </c>
      <c r="C4553" s="5" t="s">
        <v>382</v>
      </c>
      <c r="D4553" s="5" t="s">
        <v>2062</v>
      </c>
      <c r="E4553" s="5" t="n">
        <v>2</v>
      </c>
      <c r="F4553" s="6" t="n">
        <f aca="false">IFERROR(MATCH(A4553&amp;"|"&amp;B4553&amp;"|"&amp;D4553,'All Song Rankings'!$T:$T,0),0)</f>
        <v>689</v>
      </c>
      <c r="G4553" s="6" t="str">
        <f aca="false">IF(F4553=0,"NOT FOUND",INDEX('All Song Rankings'!$A:$A,F4553))</f>
        <v>Dreams - 2004 Remaster</v>
      </c>
      <c r="H4553" s="6" t="str">
        <f aca="false">IF(F4553=0,"NOT FOUND",INDEX('All Song Rankings'!$B:$B,F4553))</f>
        <v>Fleetwood Mac</v>
      </c>
      <c r="I4553" s="6" t="str">
        <f aca="false">IF(F4553=0,"NOT FOUND",INDEX('All Song Rankings'!$D:$D,F4553))</f>
        <v>Josh</v>
      </c>
      <c r="J4553" s="7" t="str">
        <f aca="false">IF(F4553=0,"NOT FOUND",IF(C4553=I4553,"SELF-VOTE",IF(COUNTIF($K:$K,K4553)&gt;1,"DUPLICATE","OK")))</f>
        <v>OK</v>
      </c>
      <c r="K4553" s="6" t="str">
        <f aca="false">A4553&amp;"|"&amp;B4553&amp;"|"&amp;C4553&amp;"|"&amp;D4553</f>
        <v>7|2|Grace|spotify:track:0ofHAoxe9vBkTCp2UQIavz</v>
      </c>
    </row>
    <row r="4554" customFormat="false" ht="15" hidden="false" customHeight="false" outlineLevel="0" collapsed="false">
      <c r="A4554" s="5" t="n">
        <v>7</v>
      </c>
      <c r="B4554" s="5" t="n">
        <v>2</v>
      </c>
      <c r="C4554" s="5" t="s">
        <v>382</v>
      </c>
      <c r="D4554" s="5" t="s">
        <v>2079</v>
      </c>
      <c r="E4554" s="5" t="n">
        <v>1</v>
      </c>
      <c r="F4554" s="6" t="n">
        <f aca="false">IFERROR(MATCH(A4554&amp;"|"&amp;B4554&amp;"|"&amp;D4554,'All Song Rankings'!$T:$T,0),0)</f>
        <v>695</v>
      </c>
      <c r="G4554" s="6" t="str">
        <f aca="false">IF(F4554=0,"NOT FOUND",INDEX('All Song Rankings'!$A:$A,F4554))</f>
        <v>I Feel the Earth Move</v>
      </c>
      <c r="H4554" s="6" t="str">
        <f aca="false">IF(F4554=0,"NOT FOUND",INDEX('All Song Rankings'!$B:$B,F4554))</f>
        <v>Carole King</v>
      </c>
      <c r="I4554" s="6" t="str">
        <f aca="false">IF(F4554=0,"NOT FOUND",INDEX('All Song Rankings'!$D:$D,F4554))</f>
        <v>Stephanie</v>
      </c>
      <c r="J4554" s="7" t="str">
        <f aca="false">IF(F4554=0,"NOT FOUND",IF(C4554=I4554,"SELF-VOTE",IF(COUNTIF($K:$K,K4554)&gt;1,"DUPLICATE","OK")))</f>
        <v>OK</v>
      </c>
      <c r="K4554" s="6" t="str">
        <f aca="false">A4554&amp;"|"&amp;B4554&amp;"|"&amp;C4554&amp;"|"&amp;D4554</f>
        <v>7|2|Grace|spotify:track:1BWsOxeMx83OrKGCV4gxly</v>
      </c>
    </row>
    <row r="4555" customFormat="false" ht="15" hidden="false" customHeight="false" outlineLevel="0" collapsed="false">
      <c r="A4555" s="5" t="n">
        <v>7</v>
      </c>
      <c r="B4555" s="5" t="n">
        <v>2</v>
      </c>
      <c r="C4555" s="5" t="s">
        <v>382</v>
      </c>
      <c r="D4555" s="5" t="s">
        <v>2076</v>
      </c>
      <c r="E4555" s="5" t="n">
        <v>1</v>
      </c>
      <c r="F4555" s="6" t="n">
        <f aca="false">IFERROR(MATCH(A4555&amp;"|"&amp;B4555&amp;"|"&amp;D4555,'All Song Rankings'!$T:$T,0),0)</f>
        <v>694</v>
      </c>
      <c r="G4555" s="6" t="str">
        <f aca="false">IF(F4555=0,"NOT FOUND",INDEX('All Song Rankings'!$A:$A,F4555))</f>
        <v>Love Myself</v>
      </c>
      <c r="H4555" s="6" t="str">
        <f aca="false">IF(F4555=0,"NOT FOUND",INDEX('All Song Rankings'!$B:$B,F4555))</f>
        <v>Hailee Steinfeld</v>
      </c>
      <c r="I4555" s="6" t="str">
        <f aca="false">IF(F4555=0,"NOT FOUND",INDEX('All Song Rankings'!$D:$D,F4555))</f>
        <v>Logan</v>
      </c>
      <c r="J4555" s="7" t="str">
        <f aca="false">IF(F4555=0,"NOT FOUND",IF(C4555=I4555,"SELF-VOTE",IF(COUNTIF($K:$K,K4555)&gt;1,"DUPLICATE","OK")))</f>
        <v>OK</v>
      </c>
      <c r="K4555" s="6" t="str">
        <f aca="false">A4555&amp;"|"&amp;B4555&amp;"|"&amp;C4555&amp;"|"&amp;D4555</f>
        <v>7|2|Grace|spotify:track:36phXHOKx8rO7CMp2vNX4x</v>
      </c>
    </row>
    <row r="4556" customFormat="false" ht="15" hidden="false" customHeight="false" outlineLevel="0" collapsed="false">
      <c r="A4556" s="5" t="n">
        <v>7</v>
      </c>
      <c r="B4556" s="5" t="n">
        <v>2</v>
      </c>
      <c r="C4556" s="5" t="s">
        <v>382</v>
      </c>
      <c r="D4556" s="5" t="s">
        <v>2068</v>
      </c>
      <c r="E4556" s="5" t="n">
        <v>2</v>
      </c>
      <c r="F4556" s="6" t="n">
        <f aca="false">IFERROR(MATCH(A4556&amp;"|"&amp;B4556&amp;"|"&amp;D4556,'All Song Rankings'!$T:$T,0),0)</f>
        <v>691</v>
      </c>
      <c r="G4556" s="6" t="str">
        <f aca="false">IF(F4556=0,"NOT FOUND",INDEX('All Song Rankings'!$A:$A,F4556))</f>
        <v>I'm Good (Blue)</v>
      </c>
      <c r="H4556" s="6" t="str">
        <f aca="false">IF(F4556=0,"NOT FOUND",INDEX('All Song Rankings'!$B:$B,F4556))</f>
        <v>David Guetta, Bebe Rexha</v>
      </c>
      <c r="I4556" s="6" t="str">
        <f aca="false">IF(F4556=0,"NOT FOUND",INDEX('All Song Rankings'!$D:$D,F4556))</f>
        <v>Colleen</v>
      </c>
      <c r="J4556" s="7" t="str">
        <f aca="false">IF(F4556=0,"NOT FOUND",IF(C4556=I4556,"SELF-VOTE",IF(COUNTIF($K:$K,K4556)&gt;1,"DUPLICATE","OK")))</f>
        <v>OK</v>
      </c>
      <c r="K4556" s="6" t="str">
        <f aca="false">A4556&amp;"|"&amp;B4556&amp;"|"&amp;C4556&amp;"|"&amp;D4556</f>
        <v>7|2|Grace|spotify:track:4uUG5RXrOk84mYEfFvj3cK</v>
      </c>
    </row>
    <row r="4557" customFormat="false" ht="15" hidden="false" customHeight="false" outlineLevel="0" collapsed="false">
      <c r="A4557" s="5" t="n">
        <v>7</v>
      </c>
      <c r="B4557" s="5" t="n">
        <v>2</v>
      </c>
      <c r="C4557" s="5" t="s">
        <v>382</v>
      </c>
      <c r="D4557" s="5" t="s">
        <v>2073</v>
      </c>
      <c r="E4557" s="5" t="n">
        <v>1</v>
      </c>
      <c r="F4557" s="6" t="n">
        <f aca="false">IFERROR(MATCH(A4557&amp;"|"&amp;B4557&amp;"|"&amp;D4557,'All Song Rankings'!$T:$T,0),0)</f>
        <v>693</v>
      </c>
      <c r="G4557" s="6" t="str">
        <f aca="false">IF(F4557=0,"NOT FOUND",INDEX('All Song Rankings'!$A:$A,F4557))</f>
        <v>Be Our Guest</v>
      </c>
      <c r="H4557" s="6" t="str">
        <f aca="false">IF(F4557=0,"NOT FOUND",INDEX('All Song Rankings'!$B:$B,F4557))</f>
        <v>Angela Lansbury, Jerry Orbach, Chorus - Beauty And The Beast, Disney</v>
      </c>
      <c r="I4557" s="6" t="str">
        <f aca="false">IF(F4557=0,"NOT FOUND",INDEX('All Song Rankings'!$D:$D,F4557))</f>
        <v>Lucia</v>
      </c>
      <c r="J4557" s="7" t="str">
        <f aca="false">IF(F4557=0,"NOT FOUND",IF(C4557=I4557,"SELF-VOTE",IF(COUNTIF($K:$K,K4557)&gt;1,"DUPLICATE","OK")))</f>
        <v>OK</v>
      </c>
      <c r="K4557" s="6" t="str">
        <f aca="false">A4557&amp;"|"&amp;B4557&amp;"|"&amp;C4557&amp;"|"&amp;D4557</f>
        <v>7|2|Grace|spotify:track:6btdYzQ8eZFBrOlUKVHuz0</v>
      </c>
    </row>
    <row r="4558" customFormat="false" ht="15" hidden="false" customHeight="false" outlineLevel="0" collapsed="false">
      <c r="A4558" s="5" t="n">
        <v>7</v>
      </c>
      <c r="B4558" s="5" t="n">
        <v>2</v>
      </c>
      <c r="C4558" s="5" t="s">
        <v>382</v>
      </c>
      <c r="D4558" s="5" t="s">
        <v>2094</v>
      </c>
      <c r="E4558" s="5" t="n">
        <v>1</v>
      </c>
      <c r="F4558" s="6" t="n">
        <f aca="false">IFERROR(MATCH(A4558&amp;"|"&amp;B4558&amp;"|"&amp;D4558,'All Song Rankings'!$T:$T,0),0)</f>
        <v>700</v>
      </c>
      <c r="G4558" s="6" t="str">
        <f aca="false">IF(F4558=0,"NOT FOUND",INDEX('All Song Rankings'!$A:$A,F4558))</f>
        <v>Crooked Muse</v>
      </c>
      <c r="H4558" s="6" t="str">
        <f aca="false">IF(F4558=0,"NOT FOUND",INDEX('All Song Rankings'!$B:$B,F4558))</f>
        <v>Beats Antique, Lady Lynx</v>
      </c>
      <c r="I4558" s="6" t="str">
        <f aca="false">IF(F4558=0,"NOT FOUND",INDEX('All Song Rankings'!$D:$D,F4558))</f>
        <v>Scott</v>
      </c>
      <c r="J4558" s="7" t="str">
        <f aca="false">IF(F4558=0,"NOT FOUND",IF(C4558=I4558,"SELF-VOTE",IF(COUNTIF($K:$K,K4558)&gt;1,"DUPLICATE","OK")))</f>
        <v>OK</v>
      </c>
      <c r="K4558" s="6" t="str">
        <f aca="false">A4558&amp;"|"&amp;B4558&amp;"|"&amp;C4558&amp;"|"&amp;D4558</f>
        <v>7|2|Grace|spotify:track:6izQEQZGKd0d6ZjaFvKrRH</v>
      </c>
    </row>
    <row r="4559" customFormat="false" ht="15" hidden="false" customHeight="false" outlineLevel="0" collapsed="false">
      <c r="A4559" s="5" t="n">
        <v>7</v>
      </c>
      <c r="B4559" s="5" t="n">
        <v>2</v>
      </c>
      <c r="C4559" s="5" t="s">
        <v>382</v>
      </c>
      <c r="D4559" s="5" t="s">
        <v>2099</v>
      </c>
      <c r="E4559" s="5" t="n">
        <v>1</v>
      </c>
      <c r="F4559" s="6" t="n">
        <f aca="false">IFERROR(MATCH(A4559&amp;"|"&amp;B4559&amp;"|"&amp;D4559,'All Song Rankings'!$T:$T,0),0)</f>
        <v>702</v>
      </c>
      <c r="G4559" s="6" t="str">
        <f aca="false">IF(F4559=0,"NOT FOUND",INDEX('All Song Rankings'!$A:$A,F4559))</f>
        <v>Sparks</v>
      </c>
      <c r="H4559" s="6" t="str">
        <f aca="false">IF(F4559=0,"NOT FOUND",INDEX('All Song Rankings'!$B:$B,F4559))</f>
        <v>Coldplay</v>
      </c>
      <c r="I4559" s="6" t="str">
        <f aca="false">IF(F4559=0,"NOT FOUND",INDEX('All Song Rankings'!$D:$D,F4559))</f>
        <v>Sara</v>
      </c>
      <c r="J4559" s="7" t="str">
        <f aca="false">IF(F4559=0,"NOT FOUND",IF(C4559=I4559,"SELF-VOTE",IF(COUNTIF($K:$K,K4559)&gt;1,"DUPLICATE","OK")))</f>
        <v>OK</v>
      </c>
      <c r="K4559" s="6" t="str">
        <f aca="false">A4559&amp;"|"&amp;B4559&amp;"|"&amp;C4559&amp;"|"&amp;D4559</f>
        <v>7|2|Grace|spotify:track:7D0RhFcb3CrfPuTJ0obrod</v>
      </c>
    </row>
    <row r="4560" customFormat="false" ht="15" hidden="false" customHeight="false" outlineLevel="0" collapsed="false">
      <c r="A4560" s="5" t="n">
        <v>7</v>
      </c>
      <c r="B4560" s="5" t="n">
        <v>2</v>
      </c>
      <c r="C4560" s="5" t="s">
        <v>1843</v>
      </c>
      <c r="D4560" s="5" t="s">
        <v>2082</v>
      </c>
      <c r="E4560" s="5" t="n">
        <v>1</v>
      </c>
      <c r="F4560" s="6" t="n">
        <f aca="false">IFERROR(MATCH(A4560&amp;"|"&amp;B4560&amp;"|"&amp;D4560,'All Song Rankings'!$T:$T,0),0)</f>
        <v>696</v>
      </c>
      <c r="G4560" s="6" t="str">
        <f aca="false">IF(F4560=0,"NOT FOUND",INDEX('All Song Rankings'!$A:$A,F4560))</f>
        <v>Lavender</v>
      </c>
      <c r="H4560" s="6" t="str">
        <f aca="false">IF(F4560=0,"NOT FOUND",INDEX('All Song Rankings'!$B:$B,F4560))</f>
        <v>Marillion</v>
      </c>
      <c r="I4560" s="6" t="str">
        <f aca="false">IF(F4560=0,"NOT FOUND",INDEX('All Song Rankings'!$D:$D,F4560))</f>
        <v>Christine</v>
      </c>
      <c r="J4560" s="7" t="str">
        <f aca="false">IF(F4560=0,"NOT FOUND",IF(C4560=I4560,"SELF-VOTE",IF(COUNTIF($K:$K,K4560)&gt;1,"DUPLICATE","OK")))</f>
        <v>OK</v>
      </c>
      <c r="K4560" s="6" t="str">
        <f aca="false">A4560&amp;"|"&amp;B4560&amp;"|"&amp;C4560&amp;"|"&amp;D4560</f>
        <v>7|2|Josh|spotify:track:0fFotmAiRwLfpogfYs48PQ</v>
      </c>
    </row>
    <row r="4561" customFormat="false" ht="15" hidden="false" customHeight="false" outlineLevel="0" collapsed="false">
      <c r="A4561" s="5" t="n">
        <v>7</v>
      </c>
      <c r="B4561" s="5" t="n">
        <v>2</v>
      </c>
      <c r="C4561" s="5" t="s">
        <v>1843</v>
      </c>
      <c r="D4561" s="5" t="s">
        <v>2076</v>
      </c>
      <c r="E4561" s="5" t="n">
        <v>1</v>
      </c>
      <c r="F4561" s="6" t="n">
        <f aca="false">IFERROR(MATCH(A4561&amp;"|"&amp;B4561&amp;"|"&amp;D4561,'All Song Rankings'!$T:$T,0),0)</f>
        <v>694</v>
      </c>
      <c r="G4561" s="6" t="str">
        <f aca="false">IF(F4561=0,"NOT FOUND",INDEX('All Song Rankings'!$A:$A,F4561))</f>
        <v>Love Myself</v>
      </c>
      <c r="H4561" s="6" t="str">
        <f aca="false">IF(F4561=0,"NOT FOUND",INDEX('All Song Rankings'!$B:$B,F4561))</f>
        <v>Hailee Steinfeld</v>
      </c>
      <c r="I4561" s="6" t="str">
        <f aca="false">IF(F4561=0,"NOT FOUND",INDEX('All Song Rankings'!$D:$D,F4561))</f>
        <v>Logan</v>
      </c>
      <c r="J4561" s="7" t="str">
        <f aca="false">IF(F4561=0,"NOT FOUND",IF(C4561=I4561,"SELF-VOTE",IF(COUNTIF($K:$K,K4561)&gt;1,"DUPLICATE","OK")))</f>
        <v>OK</v>
      </c>
      <c r="K4561" s="6" t="str">
        <f aca="false">A4561&amp;"|"&amp;B4561&amp;"|"&amp;C4561&amp;"|"&amp;D4561</f>
        <v>7|2|Josh|spotify:track:36phXHOKx8rO7CMp2vNX4x</v>
      </c>
    </row>
    <row r="4562" customFormat="false" ht="15" hidden="false" customHeight="false" outlineLevel="0" collapsed="false">
      <c r="A4562" s="5" t="n">
        <v>7</v>
      </c>
      <c r="B4562" s="5" t="n">
        <v>2</v>
      </c>
      <c r="C4562" s="5" t="s">
        <v>1843</v>
      </c>
      <c r="D4562" s="5" t="s">
        <v>2060</v>
      </c>
      <c r="E4562" s="5" t="n">
        <v>1</v>
      </c>
      <c r="F4562" s="6" t="n">
        <f aca="false">IFERROR(MATCH(A4562&amp;"|"&amp;B4562&amp;"|"&amp;D4562,'All Song Rankings'!$T:$T,0),0)</f>
        <v>688</v>
      </c>
      <c r="G4562" s="6" t="str">
        <f aca="false">IF(F4562=0,"NOT FOUND",INDEX('All Song Rankings'!$A:$A,F4562))</f>
        <v>Kingdom of Fear</v>
      </c>
      <c r="H4562" s="6" t="str">
        <f aca="false">IF(F4562=0,"NOT FOUND",INDEX('All Song Rankings'!$B:$B,F4562))</f>
        <v>Cameron Whitcomb</v>
      </c>
      <c r="I4562" s="6" t="str">
        <f aca="false">IF(F4562=0,"NOT FOUND",INDEX('All Song Rankings'!$D:$D,F4562))</f>
        <v>Kelsey</v>
      </c>
      <c r="J4562" s="7" t="str">
        <f aca="false">IF(F4562=0,"NOT FOUND",IF(C4562=I4562,"SELF-VOTE",IF(COUNTIF($K:$K,K4562)&gt;1,"DUPLICATE","OK")))</f>
        <v>OK</v>
      </c>
      <c r="K4562" s="6" t="str">
        <f aca="false">A4562&amp;"|"&amp;B4562&amp;"|"&amp;C4562&amp;"|"&amp;D4562</f>
        <v>7|2|Josh|spotify:track:4Es6f0zquGHCrv9Hespx9W</v>
      </c>
    </row>
    <row r="4563" customFormat="false" ht="15" hidden="false" customHeight="false" outlineLevel="0" collapsed="false">
      <c r="A4563" s="5" t="n">
        <v>7</v>
      </c>
      <c r="B4563" s="5" t="n">
        <v>2</v>
      </c>
      <c r="C4563" s="5" t="s">
        <v>1843</v>
      </c>
      <c r="D4563" s="5" t="s">
        <v>2057</v>
      </c>
      <c r="E4563" s="5" t="n">
        <v>1</v>
      </c>
      <c r="F4563" s="6" t="n">
        <f aca="false">IFERROR(MATCH(A4563&amp;"|"&amp;B4563&amp;"|"&amp;D4563,'All Song Rankings'!$T:$T,0),0)</f>
        <v>687</v>
      </c>
      <c r="G4563" s="6" t="str">
        <f aca="false">IF(F4563=0,"NOT FOUND",INDEX('All Song Rankings'!$A:$A,F4563))</f>
        <v>Power Over Me</v>
      </c>
      <c r="H4563" s="6" t="str">
        <f aca="false">IF(F4563=0,"NOT FOUND",INDEX('All Song Rankings'!$B:$B,F4563))</f>
        <v>Dermot Kennedy</v>
      </c>
      <c r="I4563" s="6" t="str">
        <f aca="false">IF(F4563=0,"NOT FOUND",INDEX('All Song Rankings'!$D:$D,F4563))</f>
        <v>Leah</v>
      </c>
      <c r="J4563" s="7" t="str">
        <f aca="false">IF(F4563=0,"NOT FOUND",IF(C4563=I4563,"SELF-VOTE",IF(COUNTIF($K:$K,K4563)&gt;1,"DUPLICATE","OK")))</f>
        <v>OK</v>
      </c>
      <c r="K4563" s="6" t="str">
        <f aca="false">A4563&amp;"|"&amp;B4563&amp;"|"&amp;C4563&amp;"|"&amp;D4563</f>
        <v>7|2|Josh|spotify:track:4tViDtaHuSLnh7HVJTrKhs</v>
      </c>
    </row>
    <row r="4564" customFormat="false" ht="15" hidden="false" customHeight="false" outlineLevel="0" collapsed="false">
      <c r="A4564" s="5" t="n">
        <v>7</v>
      </c>
      <c r="B4564" s="5" t="n">
        <v>2</v>
      </c>
      <c r="C4564" s="5" t="s">
        <v>1843</v>
      </c>
      <c r="D4564" s="5" t="s">
        <v>2068</v>
      </c>
      <c r="E4564" s="5" t="n">
        <v>1</v>
      </c>
      <c r="F4564" s="6" t="n">
        <f aca="false">IFERROR(MATCH(A4564&amp;"|"&amp;B4564&amp;"|"&amp;D4564,'All Song Rankings'!$T:$T,0),0)</f>
        <v>691</v>
      </c>
      <c r="G4564" s="6" t="str">
        <f aca="false">IF(F4564=0,"NOT FOUND",INDEX('All Song Rankings'!$A:$A,F4564))</f>
        <v>I'm Good (Blue)</v>
      </c>
      <c r="H4564" s="6" t="str">
        <f aca="false">IF(F4564=0,"NOT FOUND",INDEX('All Song Rankings'!$B:$B,F4564))</f>
        <v>David Guetta, Bebe Rexha</v>
      </c>
      <c r="I4564" s="6" t="str">
        <f aca="false">IF(F4564=0,"NOT FOUND",INDEX('All Song Rankings'!$D:$D,F4564))</f>
        <v>Colleen</v>
      </c>
      <c r="J4564" s="7" t="str">
        <f aca="false">IF(F4564=0,"NOT FOUND",IF(C4564=I4564,"SELF-VOTE",IF(COUNTIF($K:$K,K4564)&gt;1,"DUPLICATE","OK")))</f>
        <v>OK</v>
      </c>
      <c r="K4564" s="6" t="str">
        <f aca="false">A4564&amp;"|"&amp;B4564&amp;"|"&amp;C4564&amp;"|"&amp;D4564</f>
        <v>7|2|Josh|spotify:track:4uUG5RXrOk84mYEfFvj3cK</v>
      </c>
    </row>
    <row r="4565" customFormat="false" ht="15" hidden="false" customHeight="false" outlineLevel="0" collapsed="false">
      <c r="A4565" s="5" t="n">
        <v>7</v>
      </c>
      <c r="B4565" s="5" t="n">
        <v>2</v>
      </c>
      <c r="C4565" s="5" t="s">
        <v>1843</v>
      </c>
      <c r="D4565" s="5" t="s">
        <v>2070</v>
      </c>
      <c r="E4565" s="5" t="n">
        <v>1</v>
      </c>
      <c r="F4565" s="6" t="n">
        <f aca="false">IFERROR(MATCH(A4565&amp;"|"&amp;B4565&amp;"|"&amp;D4565,'All Song Rankings'!$T:$T,0),0)</f>
        <v>692</v>
      </c>
      <c r="G4565" s="6" t="str">
        <f aca="false">IF(F4565=0,"NOT FOUND",INDEX('All Song Rankings'!$A:$A,F4565))</f>
        <v>Nightswimming</v>
      </c>
      <c r="H4565" s="6" t="str">
        <f aca="false">IF(F4565=0,"NOT FOUND",INDEX('All Song Rankings'!$B:$B,F4565))</f>
        <v>R.E.M.</v>
      </c>
      <c r="I4565" s="6" t="str">
        <f aca="false">IF(F4565=0,"NOT FOUND",INDEX('All Song Rankings'!$D:$D,F4565))</f>
        <v>Matt</v>
      </c>
      <c r="J4565" s="7" t="str">
        <f aca="false">IF(F4565=0,"NOT FOUND",IF(C4565=I4565,"SELF-VOTE",IF(COUNTIF($K:$K,K4565)&gt;1,"DUPLICATE","OK")))</f>
        <v>OK</v>
      </c>
      <c r="K4565" s="6" t="str">
        <f aca="false">A4565&amp;"|"&amp;B4565&amp;"|"&amp;C4565&amp;"|"&amp;D4565</f>
        <v>7|2|Josh|spotify:track:6G0NzOx2jEPFsSmhr9N8Ys</v>
      </c>
    </row>
    <row r="4566" customFormat="false" ht="15" hidden="false" customHeight="false" outlineLevel="0" collapsed="false">
      <c r="A4566" s="5" t="n">
        <v>7</v>
      </c>
      <c r="B4566" s="5" t="n">
        <v>2</v>
      </c>
      <c r="C4566" s="5" t="s">
        <v>1843</v>
      </c>
      <c r="D4566" s="5" t="s">
        <v>2073</v>
      </c>
      <c r="E4566" s="5" t="n">
        <v>1</v>
      </c>
      <c r="F4566" s="6" t="n">
        <f aca="false">IFERROR(MATCH(A4566&amp;"|"&amp;B4566&amp;"|"&amp;D4566,'All Song Rankings'!$T:$T,0),0)</f>
        <v>693</v>
      </c>
      <c r="G4566" s="6" t="str">
        <f aca="false">IF(F4566=0,"NOT FOUND",INDEX('All Song Rankings'!$A:$A,F4566))</f>
        <v>Be Our Guest</v>
      </c>
      <c r="H4566" s="6" t="str">
        <f aca="false">IF(F4566=0,"NOT FOUND",INDEX('All Song Rankings'!$B:$B,F4566))</f>
        <v>Angela Lansbury, Jerry Orbach, Chorus - Beauty And The Beast, Disney</v>
      </c>
      <c r="I4566" s="6" t="str">
        <f aca="false">IF(F4566=0,"NOT FOUND",INDEX('All Song Rankings'!$D:$D,F4566))</f>
        <v>Lucia</v>
      </c>
      <c r="J4566" s="7" t="str">
        <f aca="false">IF(F4566=0,"NOT FOUND",IF(C4566=I4566,"SELF-VOTE",IF(COUNTIF($K:$K,K4566)&gt;1,"DUPLICATE","OK")))</f>
        <v>OK</v>
      </c>
      <c r="K4566" s="6" t="str">
        <f aca="false">A4566&amp;"|"&amp;B4566&amp;"|"&amp;C4566&amp;"|"&amp;D4566</f>
        <v>7|2|Josh|spotify:track:6btdYzQ8eZFBrOlUKVHuz0</v>
      </c>
    </row>
    <row r="4567" customFormat="false" ht="15" hidden="false" customHeight="false" outlineLevel="0" collapsed="false">
      <c r="A4567" s="5" t="n">
        <v>7</v>
      </c>
      <c r="B4567" s="5" t="n">
        <v>2</v>
      </c>
      <c r="C4567" s="5" t="s">
        <v>1843</v>
      </c>
      <c r="D4567" s="5" t="s">
        <v>2094</v>
      </c>
      <c r="E4567" s="5" t="n">
        <v>1</v>
      </c>
      <c r="F4567" s="6" t="n">
        <f aca="false">IFERROR(MATCH(A4567&amp;"|"&amp;B4567&amp;"|"&amp;D4567,'All Song Rankings'!$T:$T,0),0)</f>
        <v>700</v>
      </c>
      <c r="G4567" s="6" t="str">
        <f aca="false">IF(F4567=0,"NOT FOUND",INDEX('All Song Rankings'!$A:$A,F4567))</f>
        <v>Crooked Muse</v>
      </c>
      <c r="H4567" s="6" t="str">
        <f aca="false">IF(F4567=0,"NOT FOUND",INDEX('All Song Rankings'!$B:$B,F4567))</f>
        <v>Beats Antique, Lady Lynx</v>
      </c>
      <c r="I4567" s="6" t="str">
        <f aca="false">IF(F4567=0,"NOT FOUND",INDEX('All Song Rankings'!$D:$D,F4567))</f>
        <v>Scott</v>
      </c>
      <c r="J4567" s="7" t="str">
        <f aca="false">IF(F4567=0,"NOT FOUND",IF(C4567=I4567,"SELF-VOTE",IF(COUNTIF($K:$K,K4567)&gt;1,"DUPLICATE","OK")))</f>
        <v>OK</v>
      </c>
      <c r="K4567" s="6" t="str">
        <f aca="false">A4567&amp;"|"&amp;B4567&amp;"|"&amp;C4567&amp;"|"&amp;D4567</f>
        <v>7|2|Josh|spotify:track:6izQEQZGKd0d6ZjaFvKrRH</v>
      </c>
    </row>
    <row r="4568" customFormat="false" ht="15" hidden="false" customHeight="false" outlineLevel="0" collapsed="false">
      <c r="A4568" s="5" t="n">
        <v>7</v>
      </c>
      <c r="B4568" s="5" t="n">
        <v>2</v>
      </c>
      <c r="C4568" s="5" t="s">
        <v>1843</v>
      </c>
      <c r="D4568" s="5" t="s">
        <v>2099</v>
      </c>
      <c r="E4568" s="5" t="n">
        <v>1</v>
      </c>
      <c r="F4568" s="6" t="n">
        <f aca="false">IFERROR(MATCH(A4568&amp;"|"&amp;B4568&amp;"|"&amp;D4568,'All Song Rankings'!$T:$T,0),0)</f>
        <v>702</v>
      </c>
      <c r="G4568" s="6" t="str">
        <f aca="false">IF(F4568=0,"NOT FOUND",INDEX('All Song Rankings'!$A:$A,F4568))</f>
        <v>Sparks</v>
      </c>
      <c r="H4568" s="6" t="str">
        <f aca="false">IF(F4568=0,"NOT FOUND",INDEX('All Song Rankings'!$B:$B,F4568))</f>
        <v>Coldplay</v>
      </c>
      <c r="I4568" s="6" t="str">
        <f aca="false">IF(F4568=0,"NOT FOUND",INDEX('All Song Rankings'!$D:$D,F4568))</f>
        <v>Sara</v>
      </c>
      <c r="J4568" s="7" t="str">
        <f aca="false">IF(F4568=0,"NOT FOUND",IF(C4568=I4568,"SELF-VOTE",IF(COUNTIF($K:$K,K4568)&gt;1,"DUPLICATE","OK")))</f>
        <v>OK</v>
      </c>
      <c r="K4568" s="6" t="str">
        <f aca="false">A4568&amp;"|"&amp;B4568&amp;"|"&amp;C4568&amp;"|"&amp;D4568</f>
        <v>7|2|Josh|spotify:track:7D0RhFcb3CrfPuTJ0obrod</v>
      </c>
    </row>
    <row r="4569" customFormat="false" ht="15" hidden="false" customHeight="false" outlineLevel="0" collapsed="false">
      <c r="A4569" s="5" t="n">
        <v>7</v>
      </c>
      <c r="B4569" s="5" t="n">
        <v>2</v>
      </c>
      <c r="C4569" s="5" t="s">
        <v>1843</v>
      </c>
      <c r="D4569" s="5" t="s">
        <v>2065</v>
      </c>
      <c r="E4569" s="5" t="n">
        <v>1</v>
      </c>
      <c r="F4569" s="6" t="n">
        <f aca="false">IFERROR(MATCH(A4569&amp;"|"&amp;B4569&amp;"|"&amp;D4569,'All Song Rankings'!$T:$T,0),0)</f>
        <v>690</v>
      </c>
      <c r="G4569" s="6" t="str">
        <f aca="false">IF(F4569=0,"NOT FOUND",INDEX('All Song Rankings'!$A:$A,F4569))</f>
        <v>A Little Waltz for Misha</v>
      </c>
      <c r="H4569" s="6" t="str">
        <f aca="false">IF(F4569=0,"NOT FOUND",INDEX('All Song Rankings'!$B:$B,F4569))</f>
        <v>The Hot Club Of San Francisco</v>
      </c>
      <c r="I4569" s="6" t="str">
        <f aca="false">IF(F4569=0,"NOT FOUND",INDEX('All Song Rankings'!$D:$D,F4569))</f>
        <v>Grace</v>
      </c>
      <c r="J4569" s="7" t="str">
        <f aca="false">IF(F4569=0,"NOT FOUND",IF(C4569=I4569,"SELF-VOTE",IF(COUNTIF($K:$K,K4569)&gt;1,"DUPLICATE","OK")))</f>
        <v>OK</v>
      </c>
      <c r="K4569" s="6" t="str">
        <f aca="false">A4569&amp;"|"&amp;B4569&amp;"|"&amp;C4569&amp;"|"&amp;D4569</f>
        <v>7|2|Josh|spotify:track:7jSJJgyrVrZ5TLzr0U64Al</v>
      </c>
    </row>
    <row r="4570" customFormat="false" ht="15" hidden="false" customHeight="false" outlineLevel="0" collapsed="false">
      <c r="A4570" s="5" t="n">
        <v>7</v>
      </c>
      <c r="B4570" s="5" t="n">
        <v>2</v>
      </c>
      <c r="C4570" s="5" t="s">
        <v>85</v>
      </c>
      <c r="D4570" s="5" t="s">
        <v>2062</v>
      </c>
      <c r="E4570" s="5" t="n">
        <v>2</v>
      </c>
      <c r="F4570" s="6" t="n">
        <f aca="false">IFERROR(MATCH(A4570&amp;"|"&amp;B4570&amp;"|"&amp;D4570,'All Song Rankings'!$T:$T,0),0)</f>
        <v>689</v>
      </c>
      <c r="G4570" s="6" t="str">
        <f aca="false">IF(F4570=0,"NOT FOUND",INDEX('All Song Rankings'!$A:$A,F4570))</f>
        <v>Dreams - 2004 Remaster</v>
      </c>
      <c r="H4570" s="6" t="str">
        <f aca="false">IF(F4570=0,"NOT FOUND",INDEX('All Song Rankings'!$B:$B,F4570))</f>
        <v>Fleetwood Mac</v>
      </c>
      <c r="I4570" s="6" t="str">
        <f aca="false">IF(F4570=0,"NOT FOUND",INDEX('All Song Rankings'!$D:$D,F4570))</f>
        <v>Josh</v>
      </c>
      <c r="J4570" s="7" t="str">
        <f aca="false">IF(F4570=0,"NOT FOUND",IF(C4570=I4570,"SELF-VOTE",IF(COUNTIF($K:$K,K4570)&gt;1,"DUPLICATE","OK")))</f>
        <v>OK</v>
      </c>
      <c r="K4570" s="6" t="str">
        <f aca="false">A4570&amp;"|"&amp;B4570&amp;"|"&amp;C4570&amp;"|"&amp;D4570</f>
        <v>7|2|Kelsey|spotify:track:0ofHAoxe9vBkTCp2UQIavz</v>
      </c>
    </row>
    <row r="4571" customFormat="false" ht="15" hidden="false" customHeight="false" outlineLevel="0" collapsed="false">
      <c r="A4571" s="5" t="n">
        <v>7</v>
      </c>
      <c r="B4571" s="5" t="n">
        <v>2</v>
      </c>
      <c r="C4571" s="5" t="s">
        <v>85</v>
      </c>
      <c r="D4571" s="5" t="s">
        <v>2079</v>
      </c>
      <c r="E4571" s="5" t="n">
        <v>1</v>
      </c>
      <c r="F4571" s="6" t="n">
        <f aca="false">IFERROR(MATCH(A4571&amp;"|"&amp;B4571&amp;"|"&amp;D4571,'All Song Rankings'!$T:$T,0),0)</f>
        <v>695</v>
      </c>
      <c r="G4571" s="6" t="str">
        <f aca="false">IF(F4571=0,"NOT FOUND",INDEX('All Song Rankings'!$A:$A,F4571))</f>
        <v>I Feel the Earth Move</v>
      </c>
      <c r="H4571" s="6" t="str">
        <f aca="false">IF(F4571=0,"NOT FOUND",INDEX('All Song Rankings'!$B:$B,F4571))</f>
        <v>Carole King</v>
      </c>
      <c r="I4571" s="6" t="str">
        <f aca="false">IF(F4571=0,"NOT FOUND",INDEX('All Song Rankings'!$D:$D,F4571))</f>
        <v>Stephanie</v>
      </c>
      <c r="J4571" s="7" t="str">
        <f aca="false">IF(F4571=0,"NOT FOUND",IF(C4571=I4571,"SELF-VOTE",IF(COUNTIF($K:$K,K4571)&gt;1,"DUPLICATE","OK")))</f>
        <v>OK</v>
      </c>
      <c r="K4571" s="6" t="str">
        <f aca="false">A4571&amp;"|"&amp;B4571&amp;"|"&amp;C4571&amp;"|"&amp;D4571</f>
        <v>7|2|Kelsey|spotify:track:1BWsOxeMx83OrKGCV4gxly</v>
      </c>
    </row>
    <row r="4572" customFormat="false" ht="15" hidden="false" customHeight="false" outlineLevel="0" collapsed="false">
      <c r="A4572" s="5" t="n">
        <v>7</v>
      </c>
      <c r="B4572" s="5" t="n">
        <v>2</v>
      </c>
      <c r="C4572" s="5" t="s">
        <v>85</v>
      </c>
      <c r="D4572" s="5" t="s">
        <v>2085</v>
      </c>
      <c r="E4572" s="5" t="n">
        <v>1</v>
      </c>
      <c r="F4572" s="6" t="n">
        <f aca="false">IFERROR(MATCH(A4572&amp;"|"&amp;B4572&amp;"|"&amp;D4572,'All Song Rankings'!$T:$T,0),0)</f>
        <v>697</v>
      </c>
      <c r="G4572" s="6" t="str">
        <f aca="false">IF(F4572=0,"NOT FOUND",INDEX('All Song Rankings'!$A:$A,F4572))</f>
        <v>Trampoline (with ZAYN)</v>
      </c>
      <c r="H4572" s="6" t="str">
        <f aca="false">IF(F4572=0,"NOT FOUND",INDEX('All Song Rankings'!$B:$B,F4572))</f>
        <v>SHAED, ZAYN</v>
      </c>
      <c r="I4572" s="6" t="str">
        <f aca="false">IF(F4572=0,"NOT FOUND",INDEX('All Song Rankings'!$D:$D,F4572))</f>
        <v>Merita</v>
      </c>
      <c r="J4572" s="7" t="str">
        <f aca="false">IF(F4572=0,"NOT FOUND",IF(C4572=I4572,"SELF-VOTE",IF(COUNTIF($K:$K,K4572)&gt;1,"DUPLICATE","OK")))</f>
        <v>OK</v>
      </c>
      <c r="K4572" s="6" t="str">
        <f aca="false">A4572&amp;"|"&amp;B4572&amp;"|"&amp;C4572&amp;"|"&amp;D4572</f>
        <v>7|2|Kelsey|spotify:track:2Lz3GftPbs91tdeWDaZzzc</v>
      </c>
    </row>
    <row r="4573" customFormat="false" ht="15" hidden="false" customHeight="false" outlineLevel="0" collapsed="false">
      <c r="A4573" s="5" t="n">
        <v>7</v>
      </c>
      <c r="B4573" s="5" t="n">
        <v>2</v>
      </c>
      <c r="C4573" s="5" t="s">
        <v>85</v>
      </c>
      <c r="D4573" s="5" t="s">
        <v>2097</v>
      </c>
      <c r="E4573" s="5" t="n">
        <v>1</v>
      </c>
      <c r="F4573" s="6" t="n">
        <f aca="false">IFERROR(MATCH(A4573&amp;"|"&amp;B4573&amp;"|"&amp;D4573,'All Song Rankings'!$T:$T,0),0)</f>
        <v>701</v>
      </c>
      <c r="G4573" s="6" t="str">
        <f aca="false">IF(F4573=0,"NOT FOUND",INDEX('All Song Rankings'!$A:$A,F4573))</f>
        <v>Pure</v>
      </c>
      <c r="H4573" s="6" t="str">
        <f aca="false">IF(F4573=0,"NOT FOUND",INDEX('All Song Rankings'!$B:$B,F4573))</f>
        <v>SIENNA SPIRO</v>
      </c>
      <c r="I4573" s="6" t="str">
        <f aca="false">IF(F4573=0,"NOT FOUND",INDEX('All Song Rankings'!$D:$D,F4573))</f>
        <v>Aubrey</v>
      </c>
      <c r="J4573" s="7" t="str">
        <f aca="false">IF(F4573=0,"NOT FOUND",IF(C4573=I4573,"SELF-VOTE",IF(COUNTIF($K:$K,K4573)&gt;1,"DUPLICATE","OK")))</f>
        <v>OK</v>
      </c>
      <c r="K4573" s="6" t="str">
        <f aca="false">A4573&amp;"|"&amp;B4573&amp;"|"&amp;C4573&amp;"|"&amp;D4573</f>
        <v>7|2|Kelsey|spotify:track:31IKMjvv6Oskp4hjGVeYsT</v>
      </c>
    </row>
    <row r="4574" customFormat="false" ht="15" hidden="false" customHeight="false" outlineLevel="0" collapsed="false">
      <c r="A4574" s="5" t="n">
        <v>7</v>
      </c>
      <c r="B4574" s="5" t="n">
        <v>2</v>
      </c>
      <c r="C4574" s="5" t="s">
        <v>85</v>
      </c>
      <c r="D4574" s="5" t="s">
        <v>2076</v>
      </c>
      <c r="E4574" s="5" t="n">
        <v>1</v>
      </c>
      <c r="F4574" s="6" t="n">
        <f aca="false">IFERROR(MATCH(A4574&amp;"|"&amp;B4574&amp;"|"&amp;D4574,'All Song Rankings'!$T:$T,0),0)</f>
        <v>694</v>
      </c>
      <c r="G4574" s="6" t="str">
        <f aca="false">IF(F4574=0,"NOT FOUND",INDEX('All Song Rankings'!$A:$A,F4574))</f>
        <v>Love Myself</v>
      </c>
      <c r="H4574" s="6" t="str">
        <f aca="false">IF(F4574=0,"NOT FOUND",INDEX('All Song Rankings'!$B:$B,F4574))</f>
        <v>Hailee Steinfeld</v>
      </c>
      <c r="I4574" s="6" t="str">
        <f aca="false">IF(F4574=0,"NOT FOUND",INDEX('All Song Rankings'!$D:$D,F4574))</f>
        <v>Logan</v>
      </c>
      <c r="J4574" s="7" t="str">
        <f aca="false">IF(F4574=0,"NOT FOUND",IF(C4574=I4574,"SELF-VOTE",IF(COUNTIF($K:$K,K4574)&gt;1,"DUPLICATE","OK")))</f>
        <v>OK</v>
      </c>
      <c r="K4574" s="6" t="str">
        <f aca="false">A4574&amp;"|"&amp;B4574&amp;"|"&amp;C4574&amp;"|"&amp;D4574</f>
        <v>7|2|Kelsey|spotify:track:36phXHOKx8rO7CMp2vNX4x</v>
      </c>
    </row>
    <row r="4575" customFormat="false" ht="15" hidden="false" customHeight="false" outlineLevel="0" collapsed="false">
      <c r="A4575" s="5" t="n">
        <v>7</v>
      </c>
      <c r="B4575" s="5" t="n">
        <v>2</v>
      </c>
      <c r="C4575" s="5" t="s">
        <v>85</v>
      </c>
      <c r="D4575" s="5" t="s">
        <v>2057</v>
      </c>
      <c r="E4575" s="5" t="n">
        <v>2</v>
      </c>
      <c r="F4575" s="6" t="n">
        <f aca="false">IFERROR(MATCH(A4575&amp;"|"&amp;B4575&amp;"|"&amp;D4575,'All Song Rankings'!$T:$T,0),0)</f>
        <v>687</v>
      </c>
      <c r="G4575" s="6" t="str">
        <f aca="false">IF(F4575=0,"NOT FOUND",INDEX('All Song Rankings'!$A:$A,F4575))</f>
        <v>Power Over Me</v>
      </c>
      <c r="H4575" s="6" t="str">
        <f aca="false">IF(F4575=0,"NOT FOUND",INDEX('All Song Rankings'!$B:$B,F4575))</f>
        <v>Dermot Kennedy</v>
      </c>
      <c r="I4575" s="6" t="str">
        <f aca="false">IF(F4575=0,"NOT FOUND",INDEX('All Song Rankings'!$D:$D,F4575))</f>
        <v>Leah</v>
      </c>
      <c r="J4575" s="7" t="str">
        <f aca="false">IF(F4575=0,"NOT FOUND",IF(C4575=I4575,"SELF-VOTE",IF(COUNTIF($K:$K,K4575)&gt;1,"DUPLICATE","OK")))</f>
        <v>OK</v>
      </c>
      <c r="K4575" s="6" t="str">
        <f aca="false">A4575&amp;"|"&amp;B4575&amp;"|"&amp;C4575&amp;"|"&amp;D4575</f>
        <v>7|2|Kelsey|spotify:track:4tViDtaHuSLnh7HVJTrKhs</v>
      </c>
    </row>
    <row r="4576" customFormat="false" ht="15" hidden="false" customHeight="false" outlineLevel="0" collapsed="false">
      <c r="A4576" s="5" t="n">
        <v>7</v>
      </c>
      <c r="B4576" s="5" t="n">
        <v>2</v>
      </c>
      <c r="C4576" s="5" t="s">
        <v>85</v>
      </c>
      <c r="D4576" s="5" t="s">
        <v>2068</v>
      </c>
      <c r="E4576" s="5" t="n">
        <v>1</v>
      </c>
      <c r="F4576" s="6" t="n">
        <f aca="false">IFERROR(MATCH(A4576&amp;"|"&amp;B4576&amp;"|"&amp;D4576,'All Song Rankings'!$T:$T,0),0)</f>
        <v>691</v>
      </c>
      <c r="G4576" s="6" t="str">
        <f aca="false">IF(F4576=0,"NOT FOUND",INDEX('All Song Rankings'!$A:$A,F4576))</f>
        <v>I'm Good (Blue)</v>
      </c>
      <c r="H4576" s="6" t="str">
        <f aca="false">IF(F4576=0,"NOT FOUND",INDEX('All Song Rankings'!$B:$B,F4576))</f>
        <v>David Guetta, Bebe Rexha</v>
      </c>
      <c r="I4576" s="6" t="str">
        <f aca="false">IF(F4576=0,"NOT FOUND",INDEX('All Song Rankings'!$D:$D,F4576))</f>
        <v>Colleen</v>
      </c>
      <c r="J4576" s="7" t="str">
        <f aca="false">IF(F4576=0,"NOT FOUND",IF(C4576=I4576,"SELF-VOTE",IF(COUNTIF($K:$K,K4576)&gt;1,"DUPLICATE","OK")))</f>
        <v>OK</v>
      </c>
      <c r="K4576" s="6" t="str">
        <f aca="false">A4576&amp;"|"&amp;B4576&amp;"|"&amp;C4576&amp;"|"&amp;D4576</f>
        <v>7|2|Kelsey|spotify:track:4uUG5RXrOk84mYEfFvj3cK</v>
      </c>
    </row>
    <row r="4577" customFormat="false" ht="15" hidden="false" customHeight="false" outlineLevel="0" collapsed="false">
      <c r="A4577" s="5" t="n">
        <v>7</v>
      </c>
      <c r="B4577" s="5" t="n">
        <v>2</v>
      </c>
      <c r="C4577" s="5" t="s">
        <v>85</v>
      </c>
      <c r="D4577" s="5" t="s">
        <v>2073</v>
      </c>
      <c r="E4577" s="5" t="n">
        <v>1</v>
      </c>
      <c r="F4577" s="6" t="n">
        <f aca="false">IFERROR(MATCH(A4577&amp;"|"&amp;B4577&amp;"|"&amp;D4577,'All Song Rankings'!$T:$T,0),0)</f>
        <v>693</v>
      </c>
      <c r="G4577" s="6" t="str">
        <f aca="false">IF(F4577=0,"NOT FOUND",INDEX('All Song Rankings'!$A:$A,F4577))</f>
        <v>Be Our Guest</v>
      </c>
      <c r="H4577" s="6" t="str">
        <f aca="false">IF(F4577=0,"NOT FOUND",INDEX('All Song Rankings'!$B:$B,F4577))</f>
        <v>Angela Lansbury, Jerry Orbach, Chorus - Beauty And The Beast, Disney</v>
      </c>
      <c r="I4577" s="6" t="str">
        <f aca="false">IF(F4577=0,"NOT FOUND",INDEX('All Song Rankings'!$D:$D,F4577))</f>
        <v>Lucia</v>
      </c>
      <c r="J4577" s="7" t="str">
        <f aca="false">IF(F4577=0,"NOT FOUND",IF(C4577=I4577,"SELF-VOTE",IF(COUNTIF($K:$K,K4577)&gt;1,"DUPLICATE","OK")))</f>
        <v>OK</v>
      </c>
      <c r="K4577" s="6" t="str">
        <f aca="false">A4577&amp;"|"&amp;B4577&amp;"|"&amp;C4577&amp;"|"&amp;D4577</f>
        <v>7|2|Kelsey|spotify:track:6btdYzQ8eZFBrOlUKVHuz0</v>
      </c>
    </row>
    <row r="4578" customFormat="false" ht="15" hidden="false" customHeight="false" outlineLevel="0" collapsed="false">
      <c r="A4578" s="5" t="n">
        <v>7</v>
      </c>
      <c r="B4578" s="5" t="n">
        <v>2</v>
      </c>
      <c r="C4578" s="5" t="s">
        <v>106</v>
      </c>
      <c r="D4578" s="5" t="s">
        <v>2085</v>
      </c>
      <c r="E4578" s="5" t="n">
        <v>1</v>
      </c>
      <c r="F4578" s="6" t="n">
        <f aca="false">IFERROR(MATCH(A4578&amp;"|"&amp;B4578&amp;"|"&amp;D4578,'All Song Rankings'!$T:$T,0),0)</f>
        <v>697</v>
      </c>
      <c r="G4578" s="6" t="str">
        <f aca="false">IF(F4578=0,"NOT FOUND",INDEX('All Song Rankings'!$A:$A,F4578))</f>
        <v>Trampoline (with ZAYN)</v>
      </c>
      <c r="H4578" s="6" t="str">
        <f aca="false">IF(F4578=0,"NOT FOUND",INDEX('All Song Rankings'!$B:$B,F4578))</f>
        <v>SHAED, ZAYN</v>
      </c>
      <c r="I4578" s="6" t="str">
        <f aca="false">IF(F4578=0,"NOT FOUND",INDEX('All Song Rankings'!$D:$D,F4578))</f>
        <v>Merita</v>
      </c>
      <c r="J4578" s="7" t="str">
        <f aca="false">IF(F4578=0,"NOT FOUND",IF(C4578=I4578,"SELF-VOTE",IF(COUNTIF($K:$K,K4578)&gt;1,"DUPLICATE","OK")))</f>
        <v>OK</v>
      </c>
      <c r="K4578" s="6" t="str">
        <f aca="false">A4578&amp;"|"&amp;B4578&amp;"|"&amp;C4578&amp;"|"&amp;D4578</f>
        <v>7|2|Kristen|spotify:track:2Lz3GftPbs91tdeWDaZzzc</v>
      </c>
    </row>
    <row r="4579" customFormat="false" ht="15" hidden="false" customHeight="false" outlineLevel="0" collapsed="false">
      <c r="A4579" s="5" t="n">
        <v>7</v>
      </c>
      <c r="B4579" s="5" t="n">
        <v>2</v>
      </c>
      <c r="C4579" s="5" t="s">
        <v>106</v>
      </c>
      <c r="D4579" s="5" t="s">
        <v>2097</v>
      </c>
      <c r="E4579" s="5" t="n">
        <v>1</v>
      </c>
      <c r="F4579" s="6" t="n">
        <f aca="false">IFERROR(MATCH(A4579&amp;"|"&amp;B4579&amp;"|"&amp;D4579,'All Song Rankings'!$T:$T,0),0)</f>
        <v>701</v>
      </c>
      <c r="G4579" s="6" t="str">
        <f aca="false">IF(F4579=0,"NOT FOUND",INDEX('All Song Rankings'!$A:$A,F4579))</f>
        <v>Pure</v>
      </c>
      <c r="H4579" s="6" t="str">
        <f aca="false">IF(F4579=0,"NOT FOUND",INDEX('All Song Rankings'!$B:$B,F4579))</f>
        <v>SIENNA SPIRO</v>
      </c>
      <c r="I4579" s="6" t="str">
        <f aca="false">IF(F4579=0,"NOT FOUND",INDEX('All Song Rankings'!$D:$D,F4579))</f>
        <v>Aubrey</v>
      </c>
      <c r="J4579" s="7" t="str">
        <f aca="false">IF(F4579=0,"NOT FOUND",IF(C4579=I4579,"SELF-VOTE",IF(COUNTIF($K:$K,K4579)&gt;1,"DUPLICATE","OK")))</f>
        <v>OK</v>
      </c>
      <c r="K4579" s="6" t="str">
        <f aca="false">A4579&amp;"|"&amp;B4579&amp;"|"&amp;C4579&amp;"|"&amp;D4579</f>
        <v>7|2|Kristen|spotify:track:31IKMjvv6Oskp4hjGVeYsT</v>
      </c>
    </row>
    <row r="4580" customFormat="false" ht="15" hidden="false" customHeight="false" outlineLevel="0" collapsed="false">
      <c r="A4580" s="5" t="n">
        <v>7</v>
      </c>
      <c r="B4580" s="5" t="n">
        <v>2</v>
      </c>
      <c r="C4580" s="5" t="s">
        <v>106</v>
      </c>
      <c r="D4580" s="5" t="s">
        <v>2060</v>
      </c>
      <c r="E4580" s="5" t="n">
        <v>1</v>
      </c>
      <c r="F4580" s="6" t="n">
        <f aca="false">IFERROR(MATCH(A4580&amp;"|"&amp;B4580&amp;"|"&amp;D4580,'All Song Rankings'!$T:$T,0),0)</f>
        <v>688</v>
      </c>
      <c r="G4580" s="6" t="str">
        <f aca="false">IF(F4580=0,"NOT FOUND",INDEX('All Song Rankings'!$A:$A,F4580))</f>
        <v>Kingdom of Fear</v>
      </c>
      <c r="H4580" s="6" t="str">
        <f aca="false">IF(F4580=0,"NOT FOUND",INDEX('All Song Rankings'!$B:$B,F4580))</f>
        <v>Cameron Whitcomb</v>
      </c>
      <c r="I4580" s="6" t="str">
        <f aca="false">IF(F4580=0,"NOT FOUND",INDEX('All Song Rankings'!$D:$D,F4580))</f>
        <v>Kelsey</v>
      </c>
      <c r="J4580" s="7" t="str">
        <f aca="false">IF(F4580=0,"NOT FOUND",IF(C4580=I4580,"SELF-VOTE",IF(COUNTIF($K:$K,K4580)&gt;1,"DUPLICATE","OK")))</f>
        <v>OK</v>
      </c>
      <c r="K4580" s="6" t="str">
        <f aca="false">A4580&amp;"|"&amp;B4580&amp;"|"&amp;C4580&amp;"|"&amp;D4580</f>
        <v>7|2|Kristen|spotify:track:4Es6f0zquGHCrv9Hespx9W</v>
      </c>
    </row>
    <row r="4581" customFormat="false" ht="15" hidden="false" customHeight="false" outlineLevel="0" collapsed="false">
      <c r="A4581" s="5" t="n">
        <v>7</v>
      </c>
      <c r="B4581" s="5" t="n">
        <v>2</v>
      </c>
      <c r="C4581" s="5" t="s">
        <v>106</v>
      </c>
      <c r="D4581" s="5" t="s">
        <v>2057</v>
      </c>
      <c r="E4581" s="5" t="n">
        <v>2</v>
      </c>
      <c r="F4581" s="6" t="n">
        <f aca="false">IFERROR(MATCH(A4581&amp;"|"&amp;B4581&amp;"|"&amp;D4581,'All Song Rankings'!$T:$T,0),0)</f>
        <v>687</v>
      </c>
      <c r="G4581" s="6" t="str">
        <f aca="false">IF(F4581=0,"NOT FOUND",INDEX('All Song Rankings'!$A:$A,F4581))</f>
        <v>Power Over Me</v>
      </c>
      <c r="H4581" s="6" t="str">
        <f aca="false">IF(F4581=0,"NOT FOUND",INDEX('All Song Rankings'!$B:$B,F4581))</f>
        <v>Dermot Kennedy</v>
      </c>
      <c r="I4581" s="6" t="str">
        <f aca="false">IF(F4581=0,"NOT FOUND",INDEX('All Song Rankings'!$D:$D,F4581))</f>
        <v>Leah</v>
      </c>
      <c r="J4581" s="7" t="str">
        <f aca="false">IF(F4581=0,"NOT FOUND",IF(C4581=I4581,"SELF-VOTE",IF(COUNTIF($K:$K,K4581)&gt;1,"DUPLICATE","OK")))</f>
        <v>OK</v>
      </c>
      <c r="K4581" s="6" t="str">
        <f aca="false">A4581&amp;"|"&amp;B4581&amp;"|"&amp;C4581&amp;"|"&amp;D4581</f>
        <v>7|2|Kristen|spotify:track:4tViDtaHuSLnh7HVJTrKhs</v>
      </c>
    </row>
    <row r="4582" customFormat="false" ht="15" hidden="false" customHeight="false" outlineLevel="0" collapsed="false">
      <c r="A4582" s="5" t="n">
        <v>7</v>
      </c>
      <c r="B4582" s="5" t="n">
        <v>2</v>
      </c>
      <c r="C4582" s="5" t="s">
        <v>106</v>
      </c>
      <c r="D4582" s="5" t="s">
        <v>2070</v>
      </c>
      <c r="E4582" s="5" t="n">
        <v>2</v>
      </c>
      <c r="F4582" s="6" t="n">
        <f aca="false">IFERROR(MATCH(A4582&amp;"|"&amp;B4582&amp;"|"&amp;D4582,'All Song Rankings'!$T:$T,0),0)</f>
        <v>692</v>
      </c>
      <c r="G4582" s="6" t="str">
        <f aca="false">IF(F4582=0,"NOT FOUND",INDEX('All Song Rankings'!$A:$A,F4582))</f>
        <v>Nightswimming</v>
      </c>
      <c r="H4582" s="6" t="str">
        <f aca="false">IF(F4582=0,"NOT FOUND",INDEX('All Song Rankings'!$B:$B,F4582))</f>
        <v>R.E.M.</v>
      </c>
      <c r="I4582" s="6" t="str">
        <f aca="false">IF(F4582=0,"NOT FOUND",INDEX('All Song Rankings'!$D:$D,F4582))</f>
        <v>Matt</v>
      </c>
      <c r="J4582" s="7" t="str">
        <f aca="false">IF(F4582=0,"NOT FOUND",IF(C4582=I4582,"SELF-VOTE",IF(COUNTIF($K:$K,K4582)&gt;1,"DUPLICATE","OK")))</f>
        <v>OK</v>
      </c>
      <c r="K4582" s="6" t="str">
        <f aca="false">A4582&amp;"|"&amp;B4582&amp;"|"&amp;C4582&amp;"|"&amp;D4582</f>
        <v>7|2|Kristen|spotify:track:6G0NzOx2jEPFsSmhr9N8Ys</v>
      </c>
    </row>
    <row r="4583" customFormat="false" ht="15" hidden="false" customHeight="false" outlineLevel="0" collapsed="false">
      <c r="A4583" s="5" t="n">
        <v>7</v>
      </c>
      <c r="B4583" s="5" t="n">
        <v>2</v>
      </c>
      <c r="C4583" s="5" t="s">
        <v>106</v>
      </c>
      <c r="D4583" s="5" t="s">
        <v>2073</v>
      </c>
      <c r="E4583" s="5" t="n">
        <v>1</v>
      </c>
      <c r="F4583" s="6" t="n">
        <f aca="false">IFERROR(MATCH(A4583&amp;"|"&amp;B4583&amp;"|"&amp;D4583,'All Song Rankings'!$T:$T,0),0)</f>
        <v>693</v>
      </c>
      <c r="G4583" s="6" t="str">
        <f aca="false">IF(F4583=0,"NOT FOUND",INDEX('All Song Rankings'!$A:$A,F4583))</f>
        <v>Be Our Guest</v>
      </c>
      <c r="H4583" s="6" t="str">
        <f aca="false">IF(F4583=0,"NOT FOUND",INDEX('All Song Rankings'!$B:$B,F4583))</f>
        <v>Angela Lansbury, Jerry Orbach, Chorus - Beauty And The Beast, Disney</v>
      </c>
      <c r="I4583" s="6" t="str">
        <f aca="false">IF(F4583=0,"NOT FOUND",INDEX('All Song Rankings'!$D:$D,F4583))</f>
        <v>Lucia</v>
      </c>
      <c r="J4583" s="7" t="str">
        <f aca="false">IF(F4583=0,"NOT FOUND",IF(C4583=I4583,"SELF-VOTE",IF(COUNTIF($K:$K,K4583)&gt;1,"DUPLICATE","OK")))</f>
        <v>OK</v>
      </c>
      <c r="K4583" s="6" t="str">
        <f aca="false">A4583&amp;"|"&amp;B4583&amp;"|"&amp;C4583&amp;"|"&amp;D4583</f>
        <v>7|2|Kristen|spotify:track:6btdYzQ8eZFBrOlUKVHuz0</v>
      </c>
    </row>
    <row r="4584" customFormat="false" ht="15" hidden="false" customHeight="false" outlineLevel="0" collapsed="false">
      <c r="A4584" s="5" t="n">
        <v>7</v>
      </c>
      <c r="B4584" s="5" t="n">
        <v>2</v>
      </c>
      <c r="C4584" s="5" t="s">
        <v>106</v>
      </c>
      <c r="D4584" s="5" t="s">
        <v>2091</v>
      </c>
      <c r="E4584" s="5" t="n">
        <v>1</v>
      </c>
      <c r="F4584" s="6" t="n">
        <f aca="false">IFERROR(MATCH(A4584&amp;"|"&amp;B4584&amp;"|"&amp;D4584,'All Song Rankings'!$T:$T,0),0)</f>
        <v>699</v>
      </c>
      <c r="G4584" s="6" t="str">
        <f aca="false">IF(F4584=0,"NOT FOUND",INDEX('All Song Rankings'!$A:$A,F4584))</f>
        <v>The Load-Out - Remastered</v>
      </c>
      <c r="H4584" s="6" t="str">
        <f aca="false">IF(F4584=0,"NOT FOUND",INDEX('All Song Rankings'!$B:$B,F4584))</f>
        <v>Jackson Browne</v>
      </c>
      <c r="I4584" s="6" t="str">
        <f aca="false">IF(F4584=0,"NOT FOUND",INDEX('All Song Rankings'!$D:$D,F4584))</f>
        <v>Lisa</v>
      </c>
      <c r="J4584" s="7" t="str">
        <f aca="false">IF(F4584=0,"NOT FOUND",IF(C4584=I4584,"SELF-VOTE",IF(COUNTIF($K:$K,K4584)&gt;1,"DUPLICATE","OK")))</f>
        <v>OK</v>
      </c>
      <c r="K4584" s="6" t="str">
        <f aca="false">A4584&amp;"|"&amp;B4584&amp;"|"&amp;C4584&amp;"|"&amp;D4584</f>
        <v>7|2|Kristen|spotify:track:75Cc2encvSkQ5OnDgAfJaV</v>
      </c>
    </row>
    <row r="4585" customFormat="false" ht="15" hidden="false" customHeight="false" outlineLevel="0" collapsed="false">
      <c r="A4585" s="5" t="n">
        <v>7</v>
      </c>
      <c r="B4585" s="5" t="n">
        <v>2</v>
      </c>
      <c r="C4585" s="5" t="s">
        <v>106</v>
      </c>
      <c r="D4585" s="5" t="s">
        <v>2065</v>
      </c>
      <c r="E4585" s="5" t="n">
        <v>1</v>
      </c>
      <c r="F4585" s="6" t="n">
        <f aca="false">IFERROR(MATCH(A4585&amp;"|"&amp;B4585&amp;"|"&amp;D4585,'All Song Rankings'!$T:$T,0),0)</f>
        <v>690</v>
      </c>
      <c r="G4585" s="6" t="str">
        <f aca="false">IF(F4585=0,"NOT FOUND",INDEX('All Song Rankings'!$A:$A,F4585))</f>
        <v>A Little Waltz for Misha</v>
      </c>
      <c r="H4585" s="6" t="str">
        <f aca="false">IF(F4585=0,"NOT FOUND",INDEX('All Song Rankings'!$B:$B,F4585))</f>
        <v>The Hot Club Of San Francisco</v>
      </c>
      <c r="I4585" s="6" t="str">
        <f aca="false">IF(F4585=0,"NOT FOUND",INDEX('All Song Rankings'!$D:$D,F4585))</f>
        <v>Grace</v>
      </c>
      <c r="J4585" s="7" t="str">
        <f aca="false">IF(F4585=0,"NOT FOUND",IF(C4585=I4585,"SELF-VOTE",IF(COUNTIF($K:$K,K4585)&gt;1,"DUPLICATE","OK")))</f>
        <v>OK</v>
      </c>
      <c r="K4585" s="6" t="str">
        <f aca="false">A4585&amp;"|"&amp;B4585&amp;"|"&amp;C4585&amp;"|"&amp;D4585</f>
        <v>7|2|Kristen|spotify:track:7jSJJgyrVrZ5TLzr0U64Al</v>
      </c>
    </row>
    <row r="4586" customFormat="false" ht="15" hidden="false" customHeight="false" outlineLevel="0" collapsed="false">
      <c r="A4586" s="5" t="n">
        <v>7</v>
      </c>
      <c r="B4586" s="5" t="n">
        <v>2</v>
      </c>
      <c r="C4586" s="5" t="s">
        <v>119</v>
      </c>
      <c r="D4586" s="5" t="s">
        <v>2082</v>
      </c>
      <c r="E4586" s="5" t="n">
        <v>1</v>
      </c>
      <c r="F4586" s="6" t="n">
        <f aca="false">IFERROR(MATCH(A4586&amp;"|"&amp;B4586&amp;"|"&amp;D4586,'All Song Rankings'!$T:$T,0),0)</f>
        <v>696</v>
      </c>
      <c r="G4586" s="6" t="str">
        <f aca="false">IF(F4586=0,"NOT FOUND",INDEX('All Song Rankings'!$A:$A,F4586))</f>
        <v>Lavender</v>
      </c>
      <c r="H4586" s="6" t="str">
        <f aca="false">IF(F4586=0,"NOT FOUND",INDEX('All Song Rankings'!$B:$B,F4586))</f>
        <v>Marillion</v>
      </c>
      <c r="I4586" s="6" t="str">
        <f aca="false">IF(F4586=0,"NOT FOUND",INDEX('All Song Rankings'!$D:$D,F4586))</f>
        <v>Christine</v>
      </c>
      <c r="J4586" s="7" t="str">
        <f aca="false">IF(F4586=0,"NOT FOUND",IF(C4586=I4586,"SELF-VOTE",IF(COUNTIF($K:$K,K4586)&gt;1,"DUPLICATE","OK")))</f>
        <v>OK</v>
      </c>
      <c r="K4586" s="6" t="str">
        <f aca="false">A4586&amp;"|"&amp;B4586&amp;"|"&amp;C4586&amp;"|"&amp;D4586</f>
        <v>7|2|Leah|spotify:track:0fFotmAiRwLfpogfYs48PQ</v>
      </c>
    </row>
    <row r="4587" customFormat="false" ht="15" hidden="false" customHeight="false" outlineLevel="0" collapsed="false">
      <c r="A4587" s="5" t="n">
        <v>7</v>
      </c>
      <c r="B4587" s="5" t="n">
        <v>2</v>
      </c>
      <c r="C4587" s="5" t="s">
        <v>119</v>
      </c>
      <c r="D4587" s="5" t="s">
        <v>2062</v>
      </c>
      <c r="E4587" s="5" t="n">
        <v>1</v>
      </c>
      <c r="F4587" s="6" t="n">
        <f aca="false">IFERROR(MATCH(A4587&amp;"|"&amp;B4587&amp;"|"&amp;D4587,'All Song Rankings'!$T:$T,0),0)</f>
        <v>689</v>
      </c>
      <c r="G4587" s="6" t="str">
        <f aca="false">IF(F4587=0,"NOT FOUND",INDEX('All Song Rankings'!$A:$A,F4587))</f>
        <v>Dreams - 2004 Remaster</v>
      </c>
      <c r="H4587" s="6" t="str">
        <f aca="false">IF(F4587=0,"NOT FOUND",INDEX('All Song Rankings'!$B:$B,F4587))</f>
        <v>Fleetwood Mac</v>
      </c>
      <c r="I4587" s="6" t="str">
        <f aca="false">IF(F4587=0,"NOT FOUND",INDEX('All Song Rankings'!$D:$D,F4587))</f>
        <v>Josh</v>
      </c>
      <c r="J4587" s="7" t="str">
        <f aca="false">IF(F4587=0,"NOT FOUND",IF(C4587=I4587,"SELF-VOTE",IF(COUNTIF($K:$K,K4587)&gt;1,"DUPLICATE","OK")))</f>
        <v>OK</v>
      </c>
      <c r="K4587" s="6" t="str">
        <f aca="false">A4587&amp;"|"&amp;B4587&amp;"|"&amp;C4587&amp;"|"&amp;D4587</f>
        <v>7|2|Leah|spotify:track:0ofHAoxe9vBkTCp2UQIavz</v>
      </c>
    </row>
    <row r="4588" customFormat="false" ht="15" hidden="false" customHeight="false" outlineLevel="0" collapsed="false">
      <c r="A4588" s="5" t="n">
        <v>7</v>
      </c>
      <c r="B4588" s="5" t="n">
        <v>2</v>
      </c>
      <c r="C4588" s="5" t="s">
        <v>119</v>
      </c>
      <c r="D4588" s="5" t="s">
        <v>2060</v>
      </c>
      <c r="E4588" s="5" t="n">
        <v>1</v>
      </c>
      <c r="F4588" s="6" t="n">
        <f aca="false">IFERROR(MATCH(A4588&amp;"|"&amp;B4588&amp;"|"&amp;D4588,'All Song Rankings'!$T:$T,0),0)</f>
        <v>688</v>
      </c>
      <c r="G4588" s="6" t="str">
        <f aca="false">IF(F4588=0,"NOT FOUND",INDEX('All Song Rankings'!$A:$A,F4588))</f>
        <v>Kingdom of Fear</v>
      </c>
      <c r="H4588" s="6" t="str">
        <f aca="false">IF(F4588=0,"NOT FOUND",INDEX('All Song Rankings'!$B:$B,F4588))</f>
        <v>Cameron Whitcomb</v>
      </c>
      <c r="I4588" s="6" t="str">
        <f aca="false">IF(F4588=0,"NOT FOUND",INDEX('All Song Rankings'!$D:$D,F4588))</f>
        <v>Kelsey</v>
      </c>
      <c r="J4588" s="7" t="str">
        <f aca="false">IF(F4588=0,"NOT FOUND",IF(C4588=I4588,"SELF-VOTE",IF(COUNTIF($K:$K,K4588)&gt;1,"DUPLICATE","OK")))</f>
        <v>OK</v>
      </c>
      <c r="K4588" s="6" t="str">
        <f aca="false">A4588&amp;"|"&amp;B4588&amp;"|"&amp;C4588&amp;"|"&amp;D4588</f>
        <v>7|2|Leah|spotify:track:4Es6f0zquGHCrv9Hespx9W</v>
      </c>
    </row>
    <row r="4589" customFormat="false" ht="15" hidden="false" customHeight="false" outlineLevel="0" collapsed="false">
      <c r="A4589" s="5" t="n">
        <v>7</v>
      </c>
      <c r="B4589" s="5" t="n">
        <v>2</v>
      </c>
      <c r="C4589" s="5" t="s">
        <v>119</v>
      </c>
      <c r="D4589" s="5" t="s">
        <v>2088</v>
      </c>
      <c r="E4589" s="5" t="n">
        <v>1</v>
      </c>
      <c r="F4589" s="6" t="n">
        <f aca="false">IFERROR(MATCH(A4589&amp;"|"&amp;B4589&amp;"|"&amp;D4589,'All Song Rankings'!$T:$T,0),0)</f>
        <v>698</v>
      </c>
      <c r="G4589" s="6" t="str">
        <f aca="false">IF(F4589=0,"NOT FOUND",INDEX('All Song Rankings'!$A:$A,F4589))</f>
        <v>Desert Rose</v>
      </c>
      <c r="H4589" s="6" t="str">
        <f aca="false">IF(F4589=0,"NOT FOUND",INDEX('All Song Rankings'!$B:$B,F4589))</f>
        <v>Sting, Cheb Mami</v>
      </c>
      <c r="I4589" s="6" t="str">
        <f aca="false">IF(F4589=0,"NOT FOUND",INDEX('All Song Rankings'!$D:$D,F4589))</f>
        <v>Kristen</v>
      </c>
      <c r="J4589" s="7" t="str">
        <f aca="false">IF(F4589=0,"NOT FOUND",IF(C4589=I4589,"SELF-VOTE",IF(COUNTIF($K:$K,K4589)&gt;1,"DUPLICATE","OK")))</f>
        <v>OK</v>
      </c>
      <c r="K4589" s="6" t="str">
        <f aca="false">A4589&amp;"|"&amp;B4589&amp;"|"&amp;C4589&amp;"|"&amp;D4589</f>
        <v>7|2|Leah|spotify:track:4WhyHQ2BXi2VU1iaFbF6jv</v>
      </c>
    </row>
    <row r="4590" customFormat="false" ht="15" hidden="false" customHeight="false" outlineLevel="0" collapsed="false">
      <c r="A4590" s="5" t="n">
        <v>7</v>
      </c>
      <c r="B4590" s="5" t="n">
        <v>2</v>
      </c>
      <c r="C4590" s="5" t="s">
        <v>119</v>
      </c>
      <c r="D4590" s="5" t="s">
        <v>2068</v>
      </c>
      <c r="E4590" s="5" t="n">
        <v>1</v>
      </c>
      <c r="F4590" s="6" t="n">
        <f aca="false">IFERROR(MATCH(A4590&amp;"|"&amp;B4590&amp;"|"&amp;D4590,'All Song Rankings'!$T:$T,0),0)</f>
        <v>691</v>
      </c>
      <c r="G4590" s="6" t="str">
        <f aca="false">IF(F4590=0,"NOT FOUND",INDEX('All Song Rankings'!$A:$A,F4590))</f>
        <v>I'm Good (Blue)</v>
      </c>
      <c r="H4590" s="6" t="str">
        <f aca="false">IF(F4590=0,"NOT FOUND",INDEX('All Song Rankings'!$B:$B,F4590))</f>
        <v>David Guetta, Bebe Rexha</v>
      </c>
      <c r="I4590" s="6" t="str">
        <f aca="false">IF(F4590=0,"NOT FOUND",INDEX('All Song Rankings'!$D:$D,F4590))</f>
        <v>Colleen</v>
      </c>
      <c r="J4590" s="7" t="str">
        <f aca="false">IF(F4590=0,"NOT FOUND",IF(C4590=I4590,"SELF-VOTE",IF(COUNTIF($K:$K,K4590)&gt;1,"DUPLICATE","OK")))</f>
        <v>OK</v>
      </c>
      <c r="K4590" s="6" t="str">
        <f aca="false">A4590&amp;"|"&amp;B4590&amp;"|"&amp;C4590&amp;"|"&amp;D4590</f>
        <v>7|2|Leah|spotify:track:4uUG5RXrOk84mYEfFvj3cK</v>
      </c>
    </row>
    <row r="4591" customFormat="false" ht="15" hidden="false" customHeight="false" outlineLevel="0" collapsed="false">
      <c r="A4591" s="5" t="n">
        <v>7</v>
      </c>
      <c r="B4591" s="5" t="n">
        <v>2</v>
      </c>
      <c r="C4591" s="5" t="s">
        <v>119</v>
      </c>
      <c r="D4591" s="5" t="s">
        <v>2073</v>
      </c>
      <c r="E4591" s="5" t="n">
        <v>1</v>
      </c>
      <c r="F4591" s="6" t="n">
        <f aca="false">IFERROR(MATCH(A4591&amp;"|"&amp;B4591&amp;"|"&amp;D4591,'All Song Rankings'!$T:$T,0),0)</f>
        <v>693</v>
      </c>
      <c r="G4591" s="6" t="str">
        <f aca="false">IF(F4591=0,"NOT FOUND",INDEX('All Song Rankings'!$A:$A,F4591))</f>
        <v>Be Our Guest</v>
      </c>
      <c r="H4591" s="6" t="str">
        <f aca="false">IF(F4591=0,"NOT FOUND",INDEX('All Song Rankings'!$B:$B,F4591))</f>
        <v>Angela Lansbury, Jerry Orbach, Chorus - Beauty And The Beast, Disney</v>
      </c>
      <c r="I4591" s="6" t="str">
        <f aca="false">IF(F4591=0,"NOT FOUND",INDEX('All Song Rankings'!$D:$D,F4591))</f>
        <v>Lucia</v>
      </c>
      <c r="J4591" s="7" t="str">
        <f aca="false">IF(F4591=0,"NOT FOUND",IF(C4591=I4591,"SELF-VOTE",IF(COUNTIF($K:$K,K4591)&gt;1,"DUPLICATE","OK")))</f>
        <v>OK</v>
      </c>
      <c r="K4591" s="6" t="str">
        <f aca="false">A4591&amp;"|"&amp;B4591&amp;"|"&amp;C4591&amp;"|"&amp;D4591</f>
        <v>7|2|Leah|spotify:track:6btdYzQ8eZFBrOlUKVHuz0</v>
      </c>
    </row>
    <row r="4592" customFormat="false" ht="15" hidden="false" customHeight="false" outlineLevel="0" collapsed="false">
      <c r="A4592" s="5" t="n">
        <v>7</v>
      </c>
      <c r="B4592" s="5" t="n">
        <v>2</v>
      </c>
      <c r="C4592" s="5" t="s">
        <v>119</v>
      </c>
      <c r="D4592" s="5" t="s">
        <v>2094</v>
      </c>
      <c r="E4592" s="5" t="n">
        <v>2</v>
      </c>
      <c r="F4592" s="6" t="n">
        <f aca="false">IFERROR(MATCH(A4592&amp;"|"&amp;B4592&amp;"|"&amp;D4592,'All Song Rankings'!$T:$T,0),0)</f>
        <v>700</v>
      </c>
      <c r="G4592" s="6" t="str">
        <f aca="false">IF(F4592=0,"NOT FOUND",INDEX('All Song Rankings'!$A:$A,F4592))</f>
        <v>Crooked Muse</v>
      </c>
      <c r="H4592" s="6" t="str">
        <f aca="false">IF(F4592=0,"NOT FOUND",INDEX('All Song Rankings'!$B:$B,F4592))</f>
        <v>Beats Antique, Lady Lynx</v>
      </c>
      <c r="I4592" s="6" t="str">
        <f aca="false">IF(F4592=0,"NOT FOUND",INDEX('All Song Rankings'!$D:$D,F4592))</f>
        <v>Scott</v>
      </c>
      <c r="J4592" s="7" t="str">
        <f aca="false">IF(F4592=0,"NOT FOUND",IF(C4592=I4592,"SELF-VOTE",IF(COUNTIF($K:$K,K4592)&gt;1,"DUPLICATE","OK")))</f>
        <v>OK</v>
      </c>
      <c r="K4592" s="6" t="str">
        <f aca="false">A4592&amp;"|"&amp;B4592&amp;"|"&amp;C4592&amp;"|"&amp;D4592</f>
        <v>7|2|Leah|spotify:track:6izQEQZGKd0d6ZjaFvKrRH</v>
      </c>
    </row>
    <row r="4593" customFormat="false" ht="15" hidden="false" customHeight="false" outlineLevel="0" collapsed="false">
      <c r="A4593" s="5" t="n">
        <v>7</v>
      </c>
      <c r="B4593" s="5" t="n">
        <v>2</v>
      </c>
      <c r="C4593" s="5" t="s">
        <v>119</v>
      </c>
      <c r="D4593" s="5" t="s">
        <v>2091</v>
      </c>
      <c r="E4593" s="5" t="n">
        <v>1</v>
      </c>
      <c r="F4593" s="6" t="n">
        <f aca="false">IFERROR(MATCH(A4593&amp;"|"&amp;B4593&amp;"|"&amp;D4593,'All Song Rankings'!$T:$T,0),0)</f>
        <v>699</v>
      </c>
      <c r="G4593" s="6" t="str">
        <f aca="false">IF(F4593=0,"NOT FOUND",INDEX('All Song Rankings'!$A:$A,F4593))</f>
        <v>The Load-Out - Remastered</v>
      </c>
      <c r="H4593" s="6" t="str">
        <f aca="false">IF(F4593=0,"NOT FOUND",INDEX('All Song Rankings'!$B:$B,F4593))</f>
        <v>Jackson Browne</v>
      </c>
      <c r="I4593" s="6" t="str">
        <f aca="false">IF(F4593=0,"NOT FOUND",INDEX('All Song Rankings'!$D:$D,F4593))</f>
        <v>Lisa</v>
      </c>
      <c r="J4593" s="7" t="str">
        <f aca="false">IF(F4593=0,"NOT FOUND",IF(C4593=I4593,"SELF-VOTE",IF(COUNTIF($K:$K,K4593)&gt;1,"DUPLICATE","OK")))</f>
        <v>OK</v>
      </c>
      <c r="K4593" s="6" t="str">
        <f aca="false">A4593&amp;"|"&amp;B4593&amp;"|"&amp;C4593&amp;"|"&amp;D4593</f>
        <v>7|2|Leah|spotify:track:75Cc2encvSkQ5OnDgAfJaV</v>
      </c>
    </row>
    <row r="4594" customFormat="false" ht="15" hidden="false" customHeight="false" outlineLevel="0" collapsed="false">
      <c r="A4594" s="5" t="n">
        <v>7</v>
      </c>
      <c r="B4594" s="5" t="n">
        <v>2</v>
      </c>
      <c r="C4594" s="5" t="s">
        <v>119</v>
      </c>
      <c r="D4594" s="5" t="s">
        <v>2065</v>
      </c>
      <c r="E4594" s="5" t="n">
        <v>1</v>
      </c>
      <c r="F4594" s="6" t="n">
        <f aca="false">IFERROR(MATCH(A4594&amp;"|"&amp;B4594&amp;"|"&amp;D4594,'All Song Rankings'!$T:$T,0),0)</f>
        <v>690</v>
      </c>
      <c r="G4594" s="6" t="str">
        <f aca="false">IF(F4594=0,"NOT FOUND",INDEX('All Song Rankings'!$A:$A,F4594))</f>
        <v>A Little Waltz for Misha</v>
      </c>
      <c r="H4594" s="6" t="str">
        <f aca="false">IF(F4594=0,"NOT FOUND",INDEX('All Song Rankings'!$B:$B,F4594))</f>
        <v>The Hot Club Of San Francisco</v>
      </c>
      <c r="I4594" s="6" t="str">
        <f aca="false">IF(F4594=0,"NOT FOUND",INDEX('All Song Rankings'!$D:$D,F4594))</f>
        <v>Grace</v>
      </c>
      <c r="J4594" s="7" t="str">
        <f aca="false">IF(F4594=0,"NOT FOUND",IF(C4594=I4594,"SELF-VOTE",IF(COUNTIF($K:$K,K4594)&gt;1,"DUPLICATE","OK")))</f>
        <v>OK</v>
      </c>
      <c r="K4594" s="6" t="str">
        <f aca="false">A4594&amp;"|"&amp;B4594&amp;"|"&amp;C4594&amp;"|"&amp;D4594</f>
        <v>7|2|Leah|spotify:track:7jSJJgyrVrZ5TLzr0U64Al</v>
      </c>
    </row>
    <row r="4595" customFormat="false" ht="15" hidden="false" customHeight="false" outlineLevel="0" collapsed="false">
      <c r="A4595" s="5" t="n">
        <v>7</v>
      </c>
      <c r="B4595" s="5" t="n">
        <v>2</v>
      </c>
      <c r="C4595" s="5" t="s">
        <v>705</v>
      </c>
      <c r="D4595" s="5" t="s">
        <v>2082</v>
      </c>
      <c r="E4595" s="5" t="n">
        <v>1</v>
      </c>
      <c r="F4595" s="6" t="n">
        <f aca="false">IFERROR(MATCH(A4595&amp;"|"&amp;B4595&amp;"|"&amp;D4595,'All Song Rankings'!$T:$T,0),0)</f>
        <v>696</v>
      </c>
      <c r="G4595" s="6" t="str">
        <f aca="false">IF(F4595=0,"NOT FOUND",INDEX('All Song Rankings'!$A:$A,F4595))</f>
        <v>Lavender</v>
      </c>
      <c r="H4595" s="6" t="str">
        <f aca="false">IF(F4595=0,"NOT FOUND",INDEX('All Song Rankings'!$B:$B,F4595))</f>
        <v>Marillion</v>
      </c>
      <c r="I4595" s="6" t="str">
        <f aca="false">IF(F4595=0,"NOT FOUND",INDEX('All Song Rankings'!$D:$D,F4595))</f>
        <v>Christine</v>
      </c>
      <c r="J4595" s="7" t="str">
        <f aca="false">IF(F4595=0,"NOT FOUND",IF(C4595=I4595,"SELF-VOTE",IF(COUNTIF($K:$K,K4595)&gt;1,"DUPLICATE","OK")))</f>
        <v>OK</v>
      </c>
      <c r="K4595" s="6" t="str">
        <f aca="false">A4595&amp;"|"&amp;B4595&amp;"|"&amp;C4595&amp;"|"&amp;D4595</f>
        <v>7|2|Lisa|spotify:track:0fFotmAiRwLfpogfYs48PQ</v>
      </c>
    </row>
    <row r="4596" customFormat="false" ht="15" hidden="false" customHeight="false" outlineLevel="0" collapsed="false">
      <c r="A4596" s="5" t="n">
        <v>7</v>
      </c>
      <c r="B4596" s="5" t="n">
        <v>2</v>
      </c>
      <c r="C4596" s="5" t="s">
        <v>705</v>
      </c>
      <c r="D4596" s="5" t="s">
        <v>2079</v>
      </c>
      <c r="E4596" s="5" t="n">
        <v>1</v>
      </c>
      <c r="F4596" s="6" t="n">
        <f aca="false">IFERROR(MATCH(A4596&amp;"|"&amp;B4596&amp;"|"&amp;D4596,'All Song Rankings'!$T:$T,0),0)</f>
        <v>695</v>
      </c>
      <c r="G4596" s="6" t="str">
        <f aca="false">IF(F4596=0,"NOT FOUND",INDEX('All Song Rankings'!$A:$A,F4596))</f>
        <v>I Feel the Earth Move</v>
      </c>
      <c r="H4596" s="6" t="str">
        <f aca="false">IF(F4596=0,"NOT FOUND",INDEX('All Song Rankings'!$B:$B,F4596))</f>
        <v>Carole King</v>
      </c>
      <c r="I4596" s="6" t="str">
        <f aca="false">IF(F4596=0,"NOT FOUND",INDEX('All Song Rankings'!$D:$D,F4596))</f>
        <v>Stephanie</v>
      </c>
      <c r="J4596" s="7" t="str">
        <f aca="false">IF(F4596=0,"NOT FOUND",IF(C4596=I4596,"SELF-VOTE",IF(COUNTIF($K:$K,K4596)&gt;1,"DUPLICATE","OK")))</f>
        <v>OK</v>
      </c>
      <c r="K4596" s="6" t="str">
        <f aca="false">A4596&amp;"|"&amp;B4596&amp;"|"&amp;C4596&amp;"|"&amp;D4596</f>
        <v>7|2|Lisa|spotify:track:1BWsOxeMx83OrKGCV4gxly</v>
      </c>
    </row>
    <row r="4597" customFormat="false" ht="15" hidden="false" customHeight="false" outlineLevel="0" collapsed="false">
      <c r="A4597" s="5" t="n">
        <v>7</v>
      </c>
      <c r="B4597" s="5" t="n">
        <v>2</v>
      </c>
      <c r="C4597" s="5" t="s">
        <v>705</v>
      </c>
      <c r="D4597" s="5" t="s">
        <v>2085</v>
      </c>
      <c r="E4597" s="5" t="n">
        <v>1</v>
      </c>
      <c r="F4597" s="6" t="n">
        <f aca="false">IFERROR(MATCH(A4597&amp;"|"&amp;B4597&amp;"|"&amp;D4597,'All Song Rankings'!$T:$T,0),0)</f>
        <v>697</v>
      </c>
      <c r="G4597" s="6" t="str">
        <f aca="false">IF(F4597=0,"NOT FOUND",INDEX('All Song Rankings'!$A:$A,F4597))</f>
        <v>Trampoline (with ZAYN)</v>
      </c>
      <c r="H4597" s="6" t="str">
        <f aca="false">IF(F4597=0,"NOT FOUND",INDEX('All Song Rankings'!$B:$B,F4597))</f>
        <v>SHAED, ZAYN</v>
      </c>
      <c r="I4597" s="6" t="str">
        <f aca="false">IF(F4597=0,"NOT FOUND",INDEX('All Song Rankings'!$D:$D,F4597))</f>
        <v>Merita</v>
      </c>
      <c r="J4597" s="7" t="str">
        <f aca="false">IF(F4597=0,"NOT FOUND",IF(C4597=I4597,"SELF-VOTE",IF(COUNTIF($K:$K,K4597)&gt;1,"DUPLICATE","OK")))</f>
        <v>OK</v>
      </c>
      <c r="K4597" s="6" t="str">
        <f aca="false">A4597&amp;"|"&amp;B4597&amp;"|"&amp;C4597&amp;"|"&amp;D4597</f>
        <v>7|2|Lisa|spotify:track:2Lz3GftPbs91tdeWDaZzzc</v>
      </c>
    </row>
    <row r="4598" customFormat="false" ht="15" hidden="false" customHeight="false" outlineLevel="0" collapsed="false">
      <c r="A4598" s="5" t="n">
        <v>7</v>
      </c>
      <c r="B4598" s="5" t="n">
        <v>2</v>
      </c>
      <c r="C4598" s="5" t="s">
        <v>705</v>
      </c>
      <c r="D4598" s="5" t="s">
        <v>2076</v>
      </c>
      <c r="E4598" s="5" t="n">
        <v>1</v>
      </c>
      <c r="F4598" s="6" t="n">
        <f aca="false">IFERROR(MATCH(A4598&amp;"|"&amp;B4598&amp;"|"&amp;D4598,'All Song Rankings'!$T:$T,0),0)</f>
        <v>694</v>
      </c>
      <c r="G4598" s="6" t="str">
        <f aca="false">IF(F4598=0,"NOT FOUND",INDEX('All Song Rankings'!$A:$A,F4598))</f>
        <v>Love Myself</v>
      </c>
      <c r="H4598" s="6" t="str">
        <f aca="false">IF(F4598=0,"NOT FOUND",INDEX('All Song Rankings'!$B:$B,F4598))</f>
        <v>Hailee Steinfeld</v>
      </c>
      <c r="I4598" s="6" t="str">
        <f aca="false">IF(F4598=0,"NOT FOUND",INDEX('All Song Rankings'!$D:$D,F4598))</f>
        <v>Logan</v>
      </c>
      <c r="J4598" s="7" t="str">
        <f aca="false">IF(F4598=0,"NOT FOUND",IF(C4598=I4598,"SELF-VOTE",IF(COUNTIF($K:$K,K4598)&gt;1,"DUPLICATE","OK")))</f>
        <v>OK</v>
      </c>
      <c r="K4598" s="6" t="str">
        <f aca="false">A4598&amp;"|"&amp;B4598&amp;"|"&amp;C4598&amp;"|"&amp;D4598</f>
        <v>7|2|Lisa|spotify:track:36phXHOKx8rO7CMp2vNX4x</v>
      </c>
    </row>
    <row r="4599" customFormat="false" ht="15" hidden="false" customHeight="false" outlineLevel="0" collapsed="false">
      <c r="A4599" s="5" t="n">
        <v>7</v>
      </c>
      <c r="B4599" s="5" t="n">
        <v>2</v>
      </c>
      <c r="C4599" s="5" t="s">
        <v>705</v>
      </c>
      <c r="D4599" s="5" t="s">
        <v>2060</v>
      </c>
      <c r="E4599" s="5" t="n">
        <v>2</v>
      </c>
      <c r="F4599" s="6" t="n">
        <f aca="false">IFERROR(MATCH(A4599&amp;"|"&amp;B4599&amp;"|"&amp;D4599,'All Song Rankings'!$T:$T,0),0)</f>
        <v>688</v>
      </c>
      <c r="G4599" s="6" t="str">
        <f aca="false">IF(F4599=0,"NOT FOUND",INDEX('All Song Rankings'!$A:$A,F4599))</f>
        <v>Kingdom of Fear</v>
      </c>
      <c r="H4599" s="6" t="str">
        <f aca="false">IF(F4599=0,"NOT FOUND",INDEX('All Song Rankings'!$B:$B,F4599))</f>
        <v>Cameron Whitcomb</v>
      </c>
      <c r="I4599" s="6" t="str">
        <f aca="false">IF(F4599=0,"NOT FOUND",INDEX('All Song Rankings'!$D:$D,F4599))</f>
        <v>Kelsey</v>
      </c>
      <c r="J4599" s="7" t="str">
        <f aca="false">IF(F4599=0,"NOT FOUND",IF(C4599=I4599,"SELF-VOTE",IF(COUNTIF($K:$K,K4599)&gt;1,"DUPLICATE","OK")))</f>
        <v>OK</v>
      </c>
      <c r="K4599" s="6" t="str">
        <f aca="false">A4599&amp;"|"&amp;B4599&amp;"|"&amp;C4599&amp;"|"&amp;D4599</f>
        <v>7|2|Lisa|spotify:track:4Es6f0zquGHCrv9Hespx9W</v>
      </c>
    </row>
    <row r="4600" customFormat="false" ht="15" hidden="false" customHeight="false" outlineLevel="0" collapsed="false">
      <c r="A4600" s="5" t="n">
        <v>7</v>
      </c>
      <c r="B4600" s="5" t="n">
        <v>2</v>
      </c>
      <c r="C4600" s="5" t="s">
        <v>705</v>
      </c>
      <c r="D4600" s="5" t="s">
        <v>2057</v>
      </c>
      <c r="E4600" s="5" t="n">
        <v>1</v>
      </c>
      <c r="F4600" s="6" t="n">
        <f aca="false">IFERROR(MATCH(A4600&amp;"|"&amp;B4600&amp;"|"&amp;D4600,'All Song Rankings'!$T:$T,0),0)</f>
        <v>687</v>
      </c>
      <c r="G4600" s="6" t="str">
        <f aca="false">IF(F4600=0,"NOT FOUND",INDEX('All Song Rankings'!$A:$A,F4600))</f>
        <v>Power Over Me</v>
      </c>
      <c r="H4600" s="6" t="str">
        <f aca="false">IF(F4600=0,"NOT FOUND",INDEX('All Song Rankings'!$B:$B,F4600))</f>
        <v>Dermot Kennedy</v>
      </c>
      <c r="I4600" s="6" t="str">
        <f aca="false">IF(F4600=0,"NOT FOUND",INDEX('All Song Rankings'!$D:$D,F4600))</f>
        <v>Leah</v>
      </c>
      <c r="J4600" s="7" t="str">
        <f aca="false">IF(F4600=0,"NOT FOUND",IF(C4600=I4600,"SELF-VOTE",IF(COUNTIF($K:$K,K4600)&gt;1,"DUPLICATE","OK")))</f>
        <v>OK</v>
      </c>
      <c r="K4600" s="6" t="str">
        <f aca="false">A4600&amp;"|"&amp;B4600&amp;"|"&amp;C4600&amp;"|"&amp;D4600</f>
        <v>7|2|Lisa|spotify:track:4tViDtaHuSLnh7HVJTrKhs</v>
      </c>
    </row>
    <row r="4601" customFormat="false" ht="15" hidden="false" customHeight="false" outlineLevel="0" collapsed="false">
      <c r="A4601" s="5" t="n">
        <v>7</v>
      </c>
      <c r="B4601" s="5" t="n">
        <v>2</v>
      </c>
      <c r="C4601" s="5" t="s">
        <v>705</v>
      </c>
      <c r="D4601" s="5" t="s">
        <v>2070</v>
      </c>
      <c r="E4601" s="5" t="n">
        <v>2</v>
      </c>
      <c r="F4601" s="6" t="n">
        <f aca="false">IFERROR(MATCH(A4601&amp;"|"&amp;B4601&amp;"|"&amp;D4601,'All Song Rankings'!$T:$T,0),0)</f>
        <v>692</v>
      </c>
      <c r="G4601" s="6" t="str">
        <f aca="false">IF(F4601=0,"NOT FOUND",INDEX('All Song Rankings'!$A:$A,F4601))</f>
        <v>Nightswimming</v>
      </c>
      <c r="H4601" s="6" t="str">
        <f aca="false">IF(F4601=0,"NOT FOUND",INDEX('All Song Rankings'!$B:$B,F4601))</f>
        <v>R.E.M.</v>
      </c>
      <c r="I4601" s="6" t="str">
        <f aca="false">IF(F4601=0,"NOT FOUND",INDEX('All Song Rankings'!$D:$D,F4601))</f>
        <v>Matt</v>
      </c>
      <c r="J4601" s="7" t="str">
        <f aca="false">IF(F4601=0,"NOT FOUND",IF(C4601=I4601,"SELF-VOTE",IF(COUNTIF($K:$K,K4601)&gt;1,"DUPLICATE","OK")))</f>
        <v>OK</v>
      </c>
      <c r="K4601" s="6" t="str">
        <f aca="false">A4601&amp;"|"&amp;B4601&amp;"|"&amp;C4601&amp;"|"&amp;D4601</f>
        <v>7|2|Lisa|spotify:track:6G0NzOx2jEPFsSmhr9N8Ys</v>
      </c>
    </row>
    <row r="4602" customFormat="false" ht="15" hidden="false" customHeight="false" outlineLevel="0" collapsed="false">
      <c r="A4602" s="5" t="n">
        <v>7</v>
      </c>
      <c r="B4602" s="5" t="n">
        <v>2</v>
      </c>
      <c r="C4602" s="5" t="s">
        <v>705</v>
      </c>
      <c r="D4602" s="5" t="s">
        <v>2065</v>
      </c>
      <c r="E4602" s="5" t="n">
        <v>1</v>
      </c>
      <c r="F4602" s="6" t="n">
        <f aca="false">IFERROR(MATCH(A4602&amp;"|"&amp;B4602&amp;"|"&amp;D4602,'All Song Rankings'!$T:$T,0),0)</f>
        <v>690</v>
      </c>
      <c r="G4602" s="6" t="str">
        <f aca="false">IF(F4602=0,"NOT FOUND",INDEX('All Song Rankings'!$A:$A,F4602))</f>
        <v>A Little Waltz for Misha</v>
      </c>
      <c r="H4602" s="6" t="str">
        <f aca="false">IF(F4602=0,"NOT FOUND",INDEX('All Song Rankings'!$B:$B,F4602))</f>
        <v>The Hot Club Of San Francisco</v>
      </c>
      <c r="I4602" s="6" t="str">
        <f aca="false">IF(F4602=0,"NOT FOUND",INDEX('All Song Rankings'!$D:$D,F4602))</f>
        <v>Grace</v>
      </c>
      <c r="J4602" s="7" t="str">
        <f aca="false">IF(F4602=0,"NOT FOUND",IF(C4602=I4602,"SELF-VOTE",IF(COUNTIF($K:$K,K4602)&gt;1,"DUPLICATE","OK")))</f>
        <v>OK</v>
      </c>
      <c r="K4602" s="6" t="str">
        <f aca="false">A4602&amp;"|"&amp;B4602&amp;"|"&amp;C4602&amp;"|"&amp;D4602</f>
        <v>7|2|Lisa|spotify:track:7jSJJgyrVrZ5TLzr0U64Al</v>
      </c>
    </row>
    <row r="4603" customFormat="false" ht="15" hidden="false" customHeight="false" outlineLevel="0" collapsed="false">
      <c r="A4603" s="5" t="n">
        <v>7</v>
      </c>
      <c r="B4603" s="5" t="n">
        <v>2</v>
      </c>
      <c r="C4603" s="5" t="s">
        <v>128</v>
      </c>
      <c r="D4603" s="5" t="s">
        <v>2062</v>
      </c>
      <c r="E4603" s="5" t="n">
        <v>2</v>
      </c>
      <c r="F4603" s="6" t="n">
        <f aca="false">IFERROR(MATCH(A4603&amp;"|"&amp;B4603&amp;"|"&amp;D4603,'All Song Rankings'!$T:$T,0),0)</f>
        <v>689</v>
      </c>
      <c r="G4603" s="6" t="str">
        <f aca="false">IF(F4603=0,"NOT FOUND",INDEX('All Song Rankings'!$A:$A,F4603))</f>
        <v>Dreams - 2004 Remaster</v>
      </c>
      <c r="H4603" s="6" t="str">
        <f aca="false">IF(F4603=0,"NOT FOUND",INDEX('All Song Rankings'!$B:$B,F4603))</f>
        <v>Fleetwood Mac</v>
      </c>
      <c r="I4603" s="6" t="str">
        <f aca="false">IF(F4603=0,"NOT FOUND",INDEX('All Song Rankings'!$D:$D,F4603))</f>
        <v>Josh</v>
      </c>
      <c r="J4603" s="7" t="str">
        <f aca="false">IF(F4603=0,"NOT FOUND",IF(C4603=I4603,"SELF-VOTE",IF(COUNTIF($K:$K,K4603)&gt;1,"DUPLICATE","OK")))</f>
        <v>OK</v>
      </c>
      <c r="K4603" s="6" t="str">
        <f aca="false">A4603&amp;"|"&amp;B4603&amp;"|"&amp;C4603&amp;"|"&amp;D4603</f>
        <v>7|2|Logan|spotify:track:0ofHAoxe9vBkTCp2UQIavz</v>
      </c>
    </row>
    <row r="4604" customFormat="false" ht="15" hidden="false" customHeight="false" outlineLevel="0" collapsed="false">
      <c r="A4604" s="5" t="n">
        <v>7</v>
      </c>
      <c r="B4604" s="5" t="n">
        <v>2</v>
      </c>
      <c r="C4604" s="5" t="s">
        <v>128</v>
      </c>
      <c r="D4604" s="5" t="s">
        <v>2079</v>
      </c>
      <c r="E4604" s="5" t="n">
        <v>1</v>
      </c>
      <c r="F4604" s="6" t="n">
        <f aca="false">IFERROR(MATCH(A4604&amp;"|"&amp;B4604&amp;"|"&amp;D4604,'All Song Rankings'!$T:$T,0),0)</f>
        <v>695</v>
      </c>
      <c r="G4604" s="6" t="str">
        <f aca="false">IF(F4604=0,"NOT FOUND",INDEX('All Song Rankings'!$A:$A,F4604))</f>
        <v>I Feel the Earth Move</v>
      </c>
      <c r="H4604" s="6" t="str">
        <f aca="false">IF(F4604=0,"NOT FOUND",INDEX('All Song Rankings'!$B:$B,F4604))</f>
        <v>Carole King</v>
      </c>
      <c r="I4604" s="6" t="str">
        <f aca="false">IF(F4604=0,"NOT FOUND",INDEX('All Song Rankings'!$D:$D,F4604))</f>
        <v>Stephanie</v>
      </c>
      <c r="J4604" s="7" t="str">
        <f aca="false">IF(F4604=0,"NOT FOUND",IF(C4604=I4604,"SELF-VOTE",IF(COUNTIF($K:$K,K4604)&gt;1,"DUPLICATE","OK")))</f>
        <v>OK</v>
      </c>
      <c r="K4604" s="6" t="str">
        <f aca="false">A4604&amp;"|"&amp;B4604&amp;"|"&amp;C4604&amp;"|"&amp;D4604</f>
        <v>7|2|Logan|spotify:track:1BWsOxeMx83OrKGCV4gxly</v>
      </c>
    </row>
    <row r="4605" customFormat="false" ht="15" hidden="false" customHeight="false" outlineLevel="0" collapsed="false">
      <c r="A4605" s="5" t="n">
        <v>7</v>
      </c>
      <c r="B4605" s="5" t="n">
        <v>2</v>
      </c>
      <c r="C4605" s="5" t="s">
        <v>128</v>
      </c>
      <c r="D4605" s="5" t="s">
        <v>2057</v>
      </c>
      <c r="E4605" s="5" t="n">
        <v>2</v>
      </c>
      <c r="F4605" s="6" t="n">
        <f aca="false">IFERROR(MATCH(A4605&amp;"|"&amp;B4605&amp;"|"&amp;D4605,'All Song Rankings'!$T:$T,0),0)</f>
        <v>687</v>
      </c>
      <c r="G4605" s="6" t="str">
        <f aca="false">IF(F4605=0,"NOT FOUND",INDEX('All Song Rankings'!$A:$A,F4605))</f>
        <v>Power Over Me</v>
      </c>
      <c r="H4605" s="6" t="str">
        <f aca="false">IF(F4605=0,"NOT FOUND",INDEX('All Song Rankings'!$B:$B,F4605))</f>
        <v>Dermot Kennedy</v>
      </c>
      <c r="I4605" s="6" t="str">
        <f aca="false">IF(F4605=0,"NOT FOUND",INDEX('All Song Rankings'!$D:$D,F4605))</f>
        <v>Leah</v>
      </c>
      <c r="J4605" s="7" t="str">
        <f aca="false">IF(F4605=0,"NOT FOUND",IF(C4605=I4605,"SELF-VOTE",IF(COUNTIF($K:$K,K4605)&gt;1,"DUPLICATE","OK")))</f>
        <v>OK</v>
      </c>
      <c r="K4605" s="6" t="str">
        <f aca="false">A4605&amp;"|"&amp;B4605&amp;"|"&amp;C4605&amp;"|"&amp;D4605</f>
        <v>7|2|Logan|spotify:track:4tViDtaHuSLnh7HVJTrKhs</v>
      </c>
    </row>
    <row r="4606" customFormat="false" ht="15" hidden="false" customHeight="false" outlineLevel="0" collapsed="false">
      <c r="A4606" s="5" t="n">
        <v>7</v>
      </c>
      <c r="B4606" s="5" t="n">
        <v>2</v>
      </c>
      <c r="C4606" s="5" t="s">
        <v>128</v>
      </c>
      <c r="D4606" s="5" t="s">
        <v>2070</v>
      </c>
      <c r="E4606" s="5" t="n">
        <v>2</v>
      </c>
      <c r="F4606" s="6" t="n">
        <f aca="false">IFERROR(MATCH(A4606&amp;"|"&amp;B4606&amp;"|"&amp;D4606,'All Song Rankings'!$T:$T,0),0)</f>
        <v>692</v>
      </c>
      <c r="G4606" s="6" t="str">
        <f aca="false">IF(F4606=0,"NOT FOUND",INDEX('All Song Rankings'!$A:$A,F4606))</f>
        <v>Nightswimming</v>
      </c>
      <c r="H4606" s="6" t="str">
        <f aca="false">IF(F4606=0,"NOT FOUND",INDEX('All Song Rankings'!$B:$B,F4606))</f>
        <v>R.E.M.</v>
      </c>
      <c r="I4606" s="6" t="str">
        <f aca="false">IF(F4606=0,"NOT FOUND",INDEX('All Song Rankings'!$D:$D,F4606))</f>
        <v>Matt</v>
      </c>
      <c r="J4606" s="7" t="str">
        <f aca="false">IF(F4606=0,"NOT FOUND",IF(C4606=I4606,"SELF-VOTE",IF(COUNTIF($K:$K,K4606)&gt;1,"DUPLICATE","OK")))</f>
        <v>OK</v>
      </c>
      <c r="K4606" s="6" t="str">
        <f aca="false">A4606&amp;"|"&amp;B4606&amp;"|"&amp;C4606&amp;"|"&amp;D4606</f>
        <v>7|2|Logan|spotify:track:6G0NzOx2jEPFsSmhr9N8Ys</v>
      </c>
    </row>
    <row r="4607" customFormat="false" ht="15" hidden="false" customHeight="false" outlineLevel="0" collapsed="false">
      <c r="A4607" s="5" t="n">
        <v>7</v>
      </c>
      <c r="B4607" s="5" t="n">
        <v>2</v>
      </c>
      <c r="C4607" s="5" t="s">
        <v>128</v>
      </c>
      <c r="D4607" s="5" t="s">
        <v>2073</v>
      </c>
      <c r="E4607" s="5" t="n">
        <v>1</v>
      </c>
      <c r="F4607" s="6" t="n">
        <f aca="false">IFERROR(MATCH(A4607&amp;"|"&amp;B4607&amp;"|"&amp;D4607,'All Song Rankings'!$T:$T,0),0)</f>
        <v>693</v>
      </c>
      <c r="G4607" s="6" t="str">
        <f aca="false">IF(F4607=0,"NOT FOUND",INDEX('All Song Rankings'!$A:$A,F4607))</f>
        <v>Be Our Guest</v>
      </c>
      <c r="H4607" s="6" t="str">
        <f aca="false">IF(F4607=0,"NOT FOUND",INDEX('All Song Rankings'!$B:$B,F4607))</f>
        <v>Angela Lansbury, Jerry Orbach, Chorus - Beauty And The Beast, Disney</v>
      </c>
      <c r="I4607" s="6" t="str">
        <f aca="false">IF(F4607=0,"NOT FOUND",INDEX('All Song Rankings'!$D:$D,F4607))</f>
        <v>Lucia</v>
      </c>
      <c r="J4607" s="7" t="str">
        <f aca="false">IF(F4607=0,"NOT FOUND",IF(C4607=I4607,"SELF-VOTE",IF(COUNTIF($K:$K,K4607)&gt;1,"DUPLICATE","OK")))</f>
        <v>OK</v>
      </c>
      <c r="K4607" s="6" t="str">
        <f aca="false">A4607&amp;"|"&amp;B4607&amp;"|"&amp;C4607&amp;"|"&amp;D4607</f>
        <v>7|2|Logan|spotify:track:6btdYzQ8eZFBrOlUKVHuz0</v>
      </c>
    </row>
    <row r="4608" customFormat="false" ht="15" hidden="false" customHeight="false" outlineLevel="0" collapsed="false">
      <c r="A4608" s="5" t="n">
        <v>7</v>
      </c>
      <c r="B4608" s="5" t="n">
        <v>2</v>
      </c>
      <c r="C4608" s="5" t="s">
        <v>128</v>
      </c>
      <c r="D4608" s="5" t="s">
        <v>2094</v>
      </c>
      <c r="E4608" s="5" t="n">
        <v>1</v>
      </c>
      <c r="F4608" s="6" t="n">
        <f aca="false">IFERROR(MATCH(A4608&amp;"|"&amp;B4608&amp;"|"&amp;D4608,'All Song Rankings'!$T:$T,0),0)</f>
        <v>700</v>
      </c>
      <c r="G4608" s="6" t="str">
        <f aca="false">IF(F4608=0,"NOT FOUND",INDEX('All Song Rankings'!$A:$A,F4608))</f>
        <v>Crooked Muse</v>
      </c>
      <c r="H4608" s="6" t="str">
        <f aca="false">IF(F4608=0,"NOT FOUND",INDEX('All Song Rankings'!$B:$B,F4608))</f>
        <v>Beats Antique, Lady Lynx</v>
      </c>
      <c r="I4608" s="6" t="str">
        <f aca="false">IF(F4608=0,"NOT FOUND",INDEX('All Song Rankings'!$D:$D,F4608))</f>
        <v>Scott</v>
      </c>
      <c r="J4608" s="7" t="str">
        <f aca="false">IF(F4608=0,"NOT FOUND",IF(C4608=I4608,"SELF-VOTE",IF(COUNTIF($K:$K,K4608)&gt;1,"DUPLICATE","OK")))</f>
        <v>OK</v>
      </c>
      <c r="K4608" s="6" t="str">
        <f aca="false">A4608&amp;"|"&amp;B4608&amp;"|"&amp;C4608&amp;"|"&amp;D4608</f>
        <v>7|2|Logan|spotify:track:6izQEQZGKd0d6ZjaFvKrRH</v>
      </c>
    </row>
    <row r="4609" customFormat="false" ht="15" hidden="false" customHeight="false" outlineLevel="0" collapsed="false">
      <c r="A4609" s="5" t="n">
        <v>7</v>
      </c>
      <c r="B4609" s="5" t="n">
        <v>2</v>
      </c>
      <c r="C4609" s="5" t="s">
        <v>128</v>
      </c>
      <c r="D4609" s="5" t="s">
        <v>2065</v>
      </c>
      <c r="E4609" s="5" t="n">
        <v>1</v>
      </c>
      <c r="F4609" s="6" t="n">
        <f aca="false">IFERROR(MATCH(A4609&amp;"|"&amp;B4609&amp;"|"&amp;D4609,'All Song Rankings'!$T:$T,0),0)</f>
        <v>690</v>
      </c>
      <c r="G4609" s="6" t="str">
        <f aca="false">IF(F4609=0,"NOT FOUND",INDEX('All Song Rankings'!$A:$A,F4609))</f>
        <v>A Little Waltz for Misha</v>
      </c>
      <c r="H4609" s="6" t="str">
        <f aca="false">IF(F4609=0,"NOT FOUND",INDEX('All Song Rankings'!$B:$B,F4609))</f>
        <v>The Hot Club Of San Francisco</v>
      </c>
      <c r="I4609" s="6" t="str">
        <f aca="false">IF(F4609=0,"NOT FOUND",INDEX('All Song Rankings'!$D:$D,F4609))</f>
        <v>Grace</v>
      </c>
      <c r="J4609" s="7" t="str">
        <f aca="false">IF(F4609=0,"NOT FOUND",IF(C4609=I4609,"SELF-VOTE",IF(COUNTIF($K:$K,K4609)&gt;1,"DUPLICATE","OK")))</f>
        <v>OK</v>
      </c>
      <c r="K4609" s="6" t="str">
        <f aca="false">A4609&amp;"|"&amp;B4609&amp;"|"&amp;C4609&amp;"|"&amp;D4609</f>
        <v>7|2|Logan|spotify:track:7jSJJgyrVrZ5TLzr0U64Al</v>
      </c>
    </row>
    <row r="4610" customFormat="false" ht="15" hidden="false" customHeight="false" outlineLevel="0" collapsed="false">
      <c r="A4610" s="5" t="n">
        <v>7</v>
      </c>
      <c r="B4610" s="5" t="n">
        <v>2</v>
      </c>
      <c r="C4610" s="5" t="s">
        <v>2019</v>
      </c>
      <c r="D4610" s="5" t="s">
        <v>2062</v>
      </c>
      <c r="E4610" s="5" t="n">
        <v>1</v>
      </c>
      <c r="F4610" s="6" t="n">
        <f aca="false">IFERROR(MATCH(A4610&amp;"|"&amp;B4610&amp;"|"&amp;D4610,'All Song Rankings'!$T:$T,0),0)</f>
        <v>689</v>
      </c>
      <c r="G4610" s="6" t="str">
        <f aca="false">IF(F4610=0,"NOT FOUND",INDEX('All Song Rankings'!$A:$A,F4610))</f>
        <v>Dreams - 2004 Remaster</v>
      </c>
      <c r="H4610" s="6" t="str">
        <f aca="false">IF(F4610=0,"NOT FOUND",INDEX('All Song Rankings'!$B:$B,F4610))</f>
        <v>Fleetwood Mac</v>
      </c>
      <c r="I4610" s="6" t="str">
        <f aca="false">IF(F4610=0,"NOT FOUND",INDEX('All Song Rankings'!$D:$D,F4610))</f>
        <v>Josh</v>
      </c>
      <c r="J4610" s="7" t="str">
        <f aca="false">IF(F4610=0,"NOT FOUND",IF(C4610=I4610,"SELF-VOTE",IF(COUNTIF($K:$K,K4610)&gt;1,"DUPLICATE","OK")))</f>
        <v>OK</v>
      </c>
      <c r="K4610" s="6" t="str">
        <f aca="false">A4610&amp;"|"&amp;B4610&amp;"|"&amp;C4610&amp;"|"&amp;D4610</f>
        <v>7|2|Lucia|spotify:track:0ofHAoxe9vBkTCp2UQIavz</v>
      </c>
    </row>
    <row r="4611" customFormat="false" ht="15" hidden="false" customHeight="false" outlineLevel="0" collapsed="false">
      <c r="A4611" s="5" t="n">
        <v>7</v>
      </c>
      <c r="B4611" s="5" t="n">
        <v>2</v>
      </c>
      <c r="C4611" s="5" t="s">
        <v>2019</v>
      </c>
      <c r="D4611" s="5" t="s">
        <v>2079</v>
      </c>
      <c r="E4611" s="5" t="n">
        <v>1</v>
      </c>
      <c r="F4611" s="6" t="n">
        <f aca="false">IFERROR(MATCH(A4611&amp;"|"&amp;B4611&amp;"|"&amp;D4611,'All Song Rankings'!$T:$T,0),0)</f>
        <v>695</v>
      </c>
      <c r="G4611" s="6" t="str">
        <f aca="false">IF(F4611=0,"NOT FOUND",INDEX('All Song Rankings'!$A:$A,F4611))</f>
        <v>I Feel the Earth Move</v>
      </c>
      <c r="H4611" s="6" t="str">
        <f aca="false">IF(F4611=0,"NOT FOUND",INDEX('All Song Rankings'!$B:$B,F4611))</f>
        <v>Carole King</v>
      </c>
      <c r="I4611" s="6" t="str">
        <f aca="false">IF(F4611=0,"NOT FOUND",INDEX('All Song Rankings'!$D:$D,F4611))</f>
        <v>Stephanie</v>
      </c>
      <c r="J4611" s="7" t="str">
        <f aca="false">IF(F4611=0,"NOT FOUND",IF(C4611=I4611,"SELF-VOTE",IF(COUNTIF($K:$K,K4611)&gt;1,"DUPLICATE","OK")))</f>
        <v>OK</v>
      </c>
      <c r="K4611" s="6" t="str">
        <f aca="false">A4611&amp;"|"&amp;B4611&amp;"|"&amp;C4611&amp;"|"&amp;D4611</f>
        <v>7|2|Lucia|spotify:track:1BWsOxeMx83OrKGCV4gxly</v>
      </c>
    </row>
    <row r="4612" customFormat="false" ht="15" hidden="false" customHeight="false" outlineLevel="0" collapsed="false">
      <c r="A4612" s="5" t="n">
        <v>7</v>
      </c>
      <c r="B4612" s="5" t="n">
        <v>2</v>
      </c>
      <c r="C4612" s="5" t="s">
        <v>2019</v>
      </c>
      <c r="D4612" s="5" t="s">
        <v>2097</v>
      </c>
      <c r="E4612" s="5" t="n">
        <v>2</v>
      </c>
      <c r="F4612" s="6" t="n">
        <f aca="false">IFERROR(MATCH(A4612&amp;"|"&amp;B4612&amp;"|"&amp;D4612,'All Song Rankings'!$T:$T,0),0)</f>
        <v>701</v>
      </c>
      <c r="G4612" s="6" t="str">
        <f aca="false">IF(F4612=0,"NOT FOUND",INDEX('All Song Rankings'!$A:$A,F4612))</f>
        <v>Pure</v>
      </c>
      <c r="H4612" s="6" t="str">
        <f aca="false">IF(F4612=0,"NOT FOUND",INDEX('All Song Rankings'!$B:$B,F4612))</f>
        <v>SIENNA SPIRO</v>
      </c>
      <c r="I4612" s="6" t="str">
        <f aca="false">IF(F4612=0,"NOT FOUND",INDEX('All Song Rankings'!$D:$D,F4612))</f>
        <v>Aubrey</v>
      </c>
      <c r="J4612" s="7" t="str">
        <f aca="false">IF(F4612=0,"NOT FOUND",IF(C4612=I4612,"SELF-VOTE",IF(COUNTIF($K:$K,K4612)&gt;1,"DUPLICATE","OK")))</f>
        <v>OK</v>
      </c>
      <c r="K4612" s="6" t="str">
        <f aca="false">A4612&amp;"|"&amp;B4612&amp;"|"&amp;C4612&amp;"|"&amp;D4612</f>
        <v>7|2|Lucia|spotify:track:31IKMjvv6Oskp4hjGVeYsT</v>
      </c>
    </row>
    <row r="4613" customFormat="false" ht="15" hidden="false" customHeight="false" outlineLevel="0" collapsed="false">
      <c r="A4613" s="5" t="n">
        <v>7</v>
      </c>
      <c r="B4613" s="5" t="n">
        <v>2</v>
      </c>
      <c r="C4613" s="5" t="s">
        <v>2019</v>
      </c>
      <c r="D4613" s="5" t="s">
        <v>2076</v>
      </c>
      <c r="E4613" s="5" t="n">
        <v>1</v>
      </c>
      <c r="F4613" s="6" t="n">
        <f aca="false">IFERROR(MATCH(A4613&amp;"|"&amp;B4613&amp;"|"&amp;D4613,'All Song Rankings'!$T:$T,0),0)</f>
        <v>694</v>
      </c>
      <c r="G4613" s="6" t="str">
        <f aca="false">IF(F4613=0,"NOT FOUND",INDEX('All Song Rankings'!$A:$A,F4613))</f>
        <v>Love Myself</v>
      </c>
      <c r="H4613" s="6" t="str">
        <f aca="false">IF(F4613=0,"NOT FOUND",INDEX('All Song Rankings'!$B:$B,F4613))</f>
        <v>Hailee Steinfeld</v>
      </c>
      <c r="I4613" s="6" t="str">
        <f aca="false">IF(F4613=0,"NOT FOUND",INDEX('All Song Rankings'!$D:$D,F4613))</f>
        <v>Logan</v>
      </c>
      <c r="J4613" s="7" t="str">
        <f aca="false">IF(F4613=0,"NOT FOUND",IF(C4613=I4613,"SELF-VOTE",IF(COUNTIF($K:$K,K4613)&gt;1,"DUPLICATE","OK")))</f>
        <v>OK</v>
      </c>
      <c r="K4613" s="6" t="str">
        <f aca="false">A4613&amp;"|"&amp;B4613&amp;"|"&amp;C4613&amp;"|"&amp;D4613</f>
        <v>7|2|Lucia|spotify:track:36phXHOKx8rO7CMp2vNX4x</v>
      </c>
    </row>
    <row r="4614" customFormat="false" ht="15" hidden="false" customHeight="false" outlineLevel="0" collapsed="false">
      <c r="A4614" s="5" t="n">
        <v>7</v>
      </c>
      <c r="B4614" s="5" t="n">
        <v>2</v>
      </c>
      <c r="C4614" s="5" t="s">
        <v>2019</v>
      </c>
      <c r="D4614" s="5" t="s">
        <v>2060</v>
      </c>
      <c r="E4614" s="5" t="n">
        <v>1</v>
      </c>
      <c r="F4614" s="6" t="n">
        <f aca="false">IFERROR(MATCH(A4614&amp;"|"&amp;B4614&amp;"|"&amp;D4614,'All Song Rankings'!$T:$T,0),0)</f>
        <v>688</v>
      </c>
      <c r="G4614" s="6" t="str">
        <f aca="false">IF(F4614=0,"NOT FOUND",INDEX('All Song Rankings'!$A:$A,F4614))</f>
        <v>Kingdom of Fear</v>
      </c>
      <c r="H4614" s="6" t="str">
        <f aca="false">IF(F4614=0,"NOT FOUND",INDEX('All Song Rankings'!$B:$B,F4614))</f>
        <v>Cameron Whitcomb</v>
      </c>
      <c r="I4614" s="6" t="str">
        <f aca="false">IF(F4614=0,"NOT FOUND",INDEX('All Song Rankings'!$D:$D,F4614))</f>
        <v>Kelsey</v>
      </c>
      <c r="J4614" s="7" t="str">
        <f aca="false">IF(F4614=0,"NOT FOUND",IF(C4614=I4614,"SELF-VOTE",IF(COUNTIF($K:$K,K4614)&gt;1,"DUPLICATE","OK")))</f>
        <v>OK</v>
      </c>
      <c r="K4614" s="6" t="str">
        <f aca="false">A4614&amp;"|"&amp;B4614&amp;"|"&amp;C4614&amp;"|"&amp;D4614</f>
        <v>7|2|Lucia|spotify:track:4Es6f0zquGHCrv9Hespx9W</v>
      </c>
    </row>
    <row r="4615" customFormat="false" ht="15" hidden="false" customHeight="false" outlineLevel="0" collapsed="false">
      <c r="A4615" s="5" t="n">
        <v>7</v>
      </c>
      <c r="B4615" s="5" t="n">
        <v>2</v>
      </c>
      <c r="C4615" s="5" t="s">
        <v>2019</v>
      </c>
      <c r="D4615" s="5" t="s">
        <v>2057</v>
      </c>
      <c r="E4615" s="5" t="n">
        <v>1</v>
      </c>
      <c r="F4615" s="6" t="n">
        <f aca="false">IFERROR(MATCH(A4615&amp;"|"&amp;B4615&amp;"|"&amp;D4615,'All Song Rankings'!$T:$T,0),0)</f>
        <v>687</v>
      </c>
      <c r="G4615" s="6" t="str">
        <f aca="false">IF(F4615=0,"NOT FOUND",INDEX('All Song Rankings'!$A:$A,F4615))</f>
        <v>Power Over Me</v>
      </c>
      <c r="H4615" s="6" t="str">
        <f aca="false">IF(F4615=0,"NOT FOUND",INDEX('All Song Rankings'!$B:$B,F4615))</f>
        <v>Dermot Kennedy</v>
      </c>
      <c r="I4615" s="6" t="str">
        <f aca="false">IF(F4615=0,"NOT FOUND",INDEX('All Song Rankings'!$D:$D,F4615))</f>
        <v>Leah</v>
      </c>
      <c r="J4615" s="7" t="str">
        <f aca="false">IF(F4615=0,"NOT FOUND",IF(C4615=I4615,"SELF-VOTE",IF(COUNTIF($K:$K,K4615)&gt;1,"DUPLICATE","OK")))</f>
        <v>OK</v>
      </c>
      <c r="K4615" s="6" t="str">
        <f aca="false">A4615&amp;"|"&amp;B4615&amp;"|"&amp;C4615&amp;"|"&amp;D4615</f>
        <v>7|2|Lucia|spotify:track:4tViDtaHuSLnh7HVJTrKhs</v>
      </c>
    </row>
    <row r="4616" customFormat="false" ht="15" hidden="false" customHeight="false" outlineLevel="0" collapsed="false">
      <c r="A4616" s="5" t="n">
        <v>7</v>
      </c>
      <c r="B4616" s="5" t="n">
        <v>2</v>
      </c>
      <c r="C4616" s="5" t="s">
        <v>2019</v>
      </c>
      <c r="D4616" s="5" t="s">
        <v>2068</v>
      </c>
      <c r="E4616" s="5" t="n">
        <v>1</v>
      </c>
      <c r="F4616" s="6" t="n">
        <f aca="false">IFERROR(MATCH(A4616&amp;"|"&amp;B4616&amp;"|"&amp;D4616,'All Song Rankings'!$T:$T,0),0)</f>
        <v>691</v>
      </c>
      <c r="G4616" s="6" t="str">
        <f aca="false">IF(F4616=0,"NOT FOUND",INDEX('All Song Rankings'!$A:$A,F4616))</f>
        <v>I'm Good (Blue)</v>
      </c>
      <c r="H4616" s="6" t="str">
        <f aca="false">IF(F4616=0,"NOT FOUND",INDEX('All Song Rankings'!$B:$B,F4616))</f>
        <v>David Guetta, Bebe Rexha</v>
      </c>
      <c r="I4616" s="6" t="str">
        <f aca="false">IF(F4616=0,"NOT FOUND",INDEX('All Song Rankings'!$D:$D,F4616))</f>
        <v>Colleen</v>
      </c>
      <c r="J4616" s="7" t="str">
        <f aca="false">IF(F4616=0,"NOT FOUND",IF(C4616=I4616,"SELF-VOTE",IF(COUNTIF($K:$K,K4616)&gt;1,"DUPLICATE","OK")))</f>
        <v>OK</v>
      </c>
      <c r="K4616" s="6" t="str">
        <f aca="false">A4616&amp;"|"&amp;B4616&amp;"|"&amp;C4616&amp;"|"&amp;D4616</f>
        <v>7|2|Lucia|spotify:track:4uUG5RXrOk84mYEfFvj3cK</v>
      </c>
    </row>
    <row r="4617" customFormat="false" ht="15" hidden="false" customHeight="false" outlineLevel="0" collapsed="false">
      <c r="A4617" s="5" t="n">
        <v>7</v>
      </c>
      <c r="B4617" s="5" t="n">
        <v>2</v>
      </c>
      <c r="C4617" s="5" t="s">
        <v>2019</v>
      </c>
      <c r="D4617" s="5" t="s">
        <v>2094</v>
      </c>
      <c r="E4617" s="5" t="n">
        <v>1</v>
      </c>
      <c r="F4617" s="6" t="n">
        <f aca="false">IFERROR(MATCH(A4617&amp;"|"&amp;B4617&amp;"|"&amp;D4617,'All Song Rankings'!$T:$T,0),0)</f>
        <v>700</v>
      </c>
      <c r="G4617" s="6" t="str">
        <f aca="false">IF(F4617=0,"NOT FOUND",INDEX('All Song Rankings'!$A:$A,F4617))</f>
        <v>Crooked Muse</v>
      </c>
      <c r="H4617" s="6" t="str">
        <f aca="false">IF(F4617=0,"NOT FOUND",INDEX('All Song Rankings'!$B:$B,F4617))</f>
        <v>Beats Antique, Lady Lynx</v>
      </c>
      <c r="I4617" s="6" t="str">
        <f aca="false">IF(F4617=0,"NOT FOUND",INDEX('All Song Rankings'!$D:$D,F4617))</f>
        <v>Scott</v>
      </c>
      <c r="J4617" s="7" t="str">
        <f aca="false">IF(F4617=0,"NOT FOUND",IF(C4617=I4617,"SELF-VOTE",IF(COUNTIF($K:$K,K4617)&gt;1,"DUPLICATE","OK")))</f>
        <v>OK</v>
      </c>
      <c r="K4617" s="6" t="str">
        <f aca="false">A4617&amp;"|"&amp;B4617&amp;"|"&amp;C4617&amp;"|"&amp;D4617</f>
        <v>7|2|Lucia|spotify:track:6izQEQZGKd0d6ZjaFvKrRH</v>
      </c>
    </row>
    <row r="4618" customFormat="false" ht="15" hidden="false" customHeight="false" outlineLevel="0" collapsed="false">
      <c r="A4618" s="5" t="n">
        <v>7</v>
      </c>
      <c r="B4618" s="5" t="n">
        <v>2</v>
      </c>
      <c r="C4618" s="5" t="s">
        <v>2019</v>
      </c>
      <c r="D4618" s="5" t="s">
        <v>2065</v>
      </c>
      <c r="E4618" s="5" t="n">
        <v>1</v>
      </c>
      <c r="F4618" s="6" t="n">
        <f aca="false">IFERROR(MATCH(A4618&amp;"|"&amp;B4618&amp;"|"&amp;D4618,'All Song Rankings'!$T:$T,0),0)</f>
        <v>690</v>
      </c>
      <c r="G4618" s="6" t="str">
        <f aca="false">IF(F4618=0,"NOT FOUND",INDEX('All Song Rankings'!$A:$A,F4618))</f>
        <v>A Little Waltz for Misha</v>
      </c>
      <c r="H4618" s="6" t="str">
        <f aca="false">IF(F4618=0,"NOT FOUND",INDEX('All Song Rankings'!$B:$B,F4618))</f>
        <v>The Hot Club Of San Francisco</v>
      </c>
      <c r="I4618" s="6" t="str">
        <f aca="false">IF(F4618=0,"NOT FOUND",INDEX('All Song Rankings'!$D:$D,F4618))</f>
        <v>Grace</v>
      </c>
      <c r="J4618" s="7" t="str">
        <f aca="false">IF(F4618=0,"NOT FOUND",IF(C4618=I4618,"SELF-VOTE",IF(COUNTIF($K:$K,K4618)&gt;1,"DUPLICATE","OK")))</f>
        <v>OK</v>
      </c>
      <c r="K4618" s="6" t="str">
        <f aca="false">A4618&amp;"|"&amp;B4618&amp;"|"&amp;C4618&amp;"|"&amp;D4618</f>
        <v>7|2|Lucia|spotify:track:7jSJJgyrVrZ5TLzr0U64Al</v>
      </c>
    </row>
    <row r="4619" customFormat="false" ht="15" hidden="false" customHeight="false" outlineLevel="0" collapsed="false">
      <c r="A4619" s="5" t="n">
        <v>7</v>
      </c>
      <c r="B4619" s="5" t="n">
        <v>2</v>
      </c>
      <c r="C4619" s="5" t="s">
        <v>116</v>
      </c>
      <c r="D4619" s="5" t="s">
        <v>2082</v>
      </c>
      <c r="E4619" s="5" t="n">
        <v>1</v>
      </c>
      <c r="F4619" s="6" t="n">
        <f aca="false">IFERROR(MATCH(A4619&amp;"|"&amp;B4619&amp;"|"&amp;D4619,'All Song Rankings'!$T:$T,0),0)</f>
        <v>696</v>
      </c>
      <c r="G4619" s="6" t="str">
        <f aca="false">IF(F4619=0,"NOT FOUND",INDEX('All Song Rankings'!$A:$A,F4619))</f>
        <v>Lavender</v>
      </c>
      <c r="H4619" s="6" t="str">
        <f aca="false">IF(F4619=0,"NOT FOUND",INDEX('All Song Rankings'!$B:$B,F4619))</f>
        <v>Marillion</v>
      </c>
      <c r="I4619" s="6" t="str">
        <f aca="false">IF(F4619=0,"NOT FOUND",INDEX('All Song Rankings'!$D:$D,F4619))</f>
        <v>Christine</v>
      </c>
      <c r="J4619" s="7" t="str">
        <f aca="false">IF(F4619=0,"NOT FOUND",IF(C4619=I4619,"SELF-VOTE",IF(COUNTIF($K:$K,K4619)&gt;1,"DUPLICATE","OK")))</f>
        <v>OK</v>
      </c>
      <c r="K4619" s="6" t="str">
        <f aca="false">A4619&amp;"|"&amp;B4619&amp;"|"&amp;C4619&amp;"|"&amp;D4619</f>
        <v>7|2|Matt|spotify:track:0fFotmAiRwLfpogfYs48PQ</v>
      </c>
    </row>
    <row r="4620" customFormat="false" ht="15" hidden="false" customHeight="false" outlineLevel="0" collapsed="false">
      <c r="A4620" s="5" t="n">
        <v>7</v>
      </c>
      <c r="B4620" s="5" t="n">
        <v>2</v>
      </c>
      <c r="C4620" s="5" t="s">
        <v>116</v>
      </c>
      <c r="D4620" s="5" t="s">
        <v>2062</v>
      </c>
      <c r="E4620" s="5" t="n">
        <v>1</v>
      </c>
      <c r="F4620" s="6" t="n">
        <f aca="false">IFERROR(MATCH(A4620&amp;"|"&amp;B4620&amp;"|"&amp;D4620,'All Song Rankings'!$T:$T,0),0)</f>
        <v>689</v>
      </c>
      <c r="G4620" s="6" t="str">
        <f aca="false">IF(F4620=0,"NOT FOUND",INDEX('All Song Rankings'!$A:$A,F4620))</f>
        <v>Dreams - 2004 Remaster</v>
      </c>
      <c r="H4620" s="6" t="str">
        <f aca="false">IF(F4620=0,"NOT FOUND",INDEX('All Song Rankings'!$B:$B,F4620))</f>
        <v>Fleetwood Mac</v>
      </c>
      <c r="I4620" s="6" t="str">
        <f aca="false">IF(F4620=0,"NOT FOUND",INDEX('All Song Rankings'!$D:$D,F4620))</f>
        <v>Josh</v>
      </c>
      <c r="J4620" s="7" t="str">
        <f aca="false">IF(F4620=0,"NOT FOUND",IF(C4620=I4620,"SELF-VOTE",IF(COUNTIF($K:$K,K4620)&gt;1,"DUPLICATE","OK")))</f>
        <v>OK</v>
      </c>
      <c r="K4620" s="6" t="str">
        <f aca="false">A4620&amp;"|"&amp;B4620&amp;"|"&amp;C4620&amp;"|"&amp;D4620</f>
        <v>7|2|Matt|spotify:track:0ofHAoxe9vBkTCp2UQIavz</v>
      </c>
    </row>
    <row r="4621" customFormat="false" ht="15" hidden="false" customHeight="false" outlineLevel="0" collapsed="false">
      <c r="A4621" s="5" t="n">
        <v>7</v>
      </c>
      <c r="B4621" s="5" t="n">
        <v>2</v>
      </c>
      <c r="C4621" s="5" t="s">
        <v>116</v>
      </c>
      <c r="D4621" s="5" t="s">
        <v>2076</v>
      </c>
      <c r="E4621" s="5" t="n">
        <v>1</v>
      </c>
      <c r="F4621" s="6" t="n">
        <f aca="false">IFERROR(MATCH(A4621&amp;"|"&amp;B4621&amp;"|"&amp;D4621,'All Song Rankings'!$T:$T,0),0)</f>
        <v>694</v>
      </c>
      <c r="G4621" s="6" t="str">
        <f aca="false">IF(F4621=0,"NOT FOUND",INDEX('All Song Rankings'!$A:$A,F4621))</f>
        <v>Love Myself</v>
      </c>
      <c r="H4621" s="6" t="str">
        <f aca="false">IF(F4621=0,"NOT FOUND",INDEX('All Song Rankings'!$B:$B,F4621))</f>
        <v>Hailee Steinfeld</v>
      </c>
      <c r="I4621" s="6" t="str">
        <f aca="false">IF(F4621=0,"NOT FOUND",INDEX('All Song Rankings'!$D:$D,F4621))</f>
        <v>Logan</v>
      </c>
      <c r="J4621" s="7" t="str">
        <f aca="false">IF(F4621=0,"NOT FOUND",IF(C4621=I4621,"SELF-VOTE",IF(COUNTIF($K:$K,K4621)&gt;1,"DUPLICATE","OK")))</f>
        <v>OK</v>
      </c>
      <c r="K4621" s="6" t="str">
        <f aca="false">A4621&amp;"|"&amp;B4621&amp;"|"&amp;C4621&amp;"|"&amp;D4621</f>
        <v>7|2|Matt|spotify:track:36phXHOKx8rO7CMp2vNX4x</v>
      </c>
    </row>
    <row r="4622" customFormat="false" ht="15" hidden="false" customHeight="false" outlineLevel="0" collapsed="false">
      <c r="A4622" s="5" t="n">
        <v>7</v>
      </c>
      <c r="B4622" s="5" t="n">
        <v>2</v>
      </c>
      <c r="C4622" s="5" t="s">
        <v>116</v>
      </c>
      <c r="D4622" s="5" t="s">
        <v>2060</v>
      </c>
      <c r="E4622" s="5" t="n">
        <v>1</v>
      </c>
      <c r="F4622" s="6" t="n">
        <f aca="false">IFERROR(MATCH(A4622&amp;"|"&amp;B4622&amp;"|"&amp;D4622,'All Song Rankings'!$T:$T,0),0)</f>
        <v>688</v>
      </c>
      <c r="G4622" s="6" t="str">
        <f aca="false">IF(F4622=0,"NOT FOUND",INDEX('All Song Rankings'!$A:$A,F4622))</f>
        <v>Kingdom of Fear</v>
      </c>
      <c r="H4622" s="6" t="str">
        <f aca="false">IF(F4622=0,"NOT FOUND",INDEX('All Song Rankings'!$B:$B,F4622))</f>
        <v>Cameron Whitcomb</v>
      </c>
      <c r="I4622" s="6" t="str">
        <f aca="false">IF(F4622=0,"NOT FOUND",INDEX('All Song Rankings'!$D:$D,F4622))</f>
        <v>Kelsey</v>
      </c>
      <c r="J4622" s="7" t="str">
        <f aca="false">IF(F4622=0,"NOT FOUND",IF(C4622=I4622,"SELF-VOTE",IF(COUNTIF($K:$K,K4622)&gt;1,"DUPLICATE","OK")))</f>
        <v>OK</v>
      </c>
      <c r="K4622" s="6" t="str">
        <f aca="false">A4622&amp;"|"&amp;B4622&amp;"|"&amp;C4622&amp;"|"&amp;D4622</f>
        <v>7|2|Matt|spotify:track:4Es6f0zquGHCrv9Hespx9W</v>
      </c>
    </row>
    <row r="4623" customFormat="false" ht="15" hidden="false" customHeight="false" outlineLevel="0" collapsed="false">
      <c r="A4623" s="5" t="n">
        <v>7</v>
      </c>
      <c r="B4623" s="5" t="n">
        <v>2</v>
      </c>
      <c r="C4623" s="5" t="s">
        <v>116</v>
      </c>
      <c r="D4623" s="5" t="s">
        <v>2088</v>
      </c>
      <c r="E4623" s="5" t="n">
        <v>1</v>
      </c>
      <c r="F4623" s="6" t="n">
        <f aca="false">IFERROR(MATCH(A4623&amp;"|"&amp;B4623&amp;"|"&amp;D4623,'All Song Rankings'!$T:$T,0),0)</f>
        <v>698</v>
      </c>
      <c r="G4623" s="6" t="str">
        <f aca="false">IF(F4623=0,"NOT FOUND",INDEX('All Song Rankings'!$A:$A,F4623))</f>
        <v>Desert Rose</v>
      </c>
      <c r="H4623" s="6" t="str">
        <f aca="false">IF(F4623=0,"NOT FOUND",INDEX('All Song Rankings'!$B:$B,F4623))</f>
        <v>Sting, Cheb Mami</v>
      </c>
      <c r="I4623" s="6" t="str">
        <f aca="false">IF(F4623=0,"NOT FOUND",INDEX('All Song Rankings'!$D:$D,F4623))</f>
        <v>Kristen</v>
      </c>
      <c r="J4623" s="7" t="str">
        <f aca="false">IF(F4623=0,"NOT FOUND",IF(C4623=I4623,"SELF-VOTE",IF(COUNTIF($K:$K,K4623)&gt;1,"DUPLICATE","OK")))</f>
        <v>OK</v>
      </c>
      <c r="K4623" s="6" t="str">
        <f aca="false">A4623&amp;"|"&amp;B4623&amp;"|"&amp;C4623&amp;"|"&amp;D4623</f>
        <v>7|2|Matt|spotify:track:4WhyHQ2BXi2VU1iaFbF6jv</v>
      </c>
    </row>
    <row r="4624" customFormat="false" ht="15" hidden="false" customHeight="false" outlineLevel="0" collapsed="false">
      <c r="A4624" s="5" t="n">
        <v>7</v>
      </c>
      <c r="B4624" s="5" t="n">
        <v>2</v>
      </c>
      <c r="C4624" s="5" t="s">
        <v>116</v>
      </c>
      <c r="D4624" s="5" t="s">
        <v>2057</v>
      </c>
      <c r="E4624" s="5" t="n">
        <v>1</v>
      </c>
      <c r="F4624" s="6" t="n">
        <f aca="false">IFERROR(MATCH(A4624&amp;"|"&amp;B4624&amp;"|"&amp;D4624,'All Song Rankings'!$T:$T,0),0)</f>
        <v>687</v>
      </c>
      <c r="G4624" s="6" t="str">
        <f aca="false">IF(F4624=0,"NOT FOUND",INDEX('All Song Rankings'!$A:$A,F4624))</f>
        <v>Power Over Me</v>
      </c>
      <c r="H4624" s="6" t="str">
        <f aca="false">IF(F4624=0,"NOT FOUND",INDEX('All Song Rankings'!$B:$B,F4624))</f>
        <v>Dermot Kennedy</v>
      </c>
      <c r="I4624" s="6" t="str">
        <f aca="false">IF(F4624=0,"NOT FOUND",INDEX('All Song Rankings'!$D:$D,F4624))</f>
        <v>Leah</v>
      </c>
      <c r="J4624" s="7" t="str">
        <f aca="false">IF(F4624=0,"NOT FOUND",IF(C4624=I4624,"SELF-VOTE",IF(COUNTIF($K:$K,K4624)&gt;1,"DUPLICATE","OK")))</f>
        <v>OK</v>
      </c>
      <c r="K4624" s="6" t="str">
        <f aca="false">A4624&amp;"|"&amp;B4624&amp;"|"&amp;C4624&amp;"|"&amp;D4624</f>
        <v>7|2|Matt|spotify:track:4tViDtaHuSLnh7HVJTrKhs</v>
      </c>
    </row>
    <row r="4625" customFormat="false" ht="15" hidden="false" customHeight="false" outlineLevel="0" collapsed="false">
      <c r="A4625" s="5" t="n">
        <v>7</v>
      </c>
      <c r="B4625" s="5" t="n">
        <v>2</v>
      </c>
      <c r="C4625" s="5" t="s">
        <v>116</v>
      </c>
      <c r="D4625" s="5" t="s">
        <v>2073</v>
      </c>
      <c r="E4625" s="5" t="n">
        <v>1</v>
      </c>
      <c r="F4625" s="6" t="n">
        <f aca="false">IFERROR(MATCH(A4625&amp;"|"&amp;B4625&amp;"|"&amp;D4625,'All Song Rankings'!$T:$T,0),0)</f>
        <v>693</v>
      </c>
      <c r="G4625" s="6" t="str">
        <f aca="false">IF(F4625=0,"NOT FOUND",INDEX('All Song Rankings'!$A:$A,F4625))</f>
        <v>Be Our Guest</v>
      </c>
      <c r="H4625" s="6" t="str">
        <f aca="false">IF(F4625=0,"NOT FOUND",INDEX('All Song Rankings'!$B:$B,F4625))</f>
        <v>Angela Lansbury, Jerry Orbach, Chorus - Beauty And The Beast, Disney</v>
      </c>
      <c r="I4625" s="6" t="str">
        <f aca="false">IF(F4625=0,"NOT FOUND",INDEX('All Song Rankings'!$D:$D,F4625))</f>
        <v>Lucia</v>
      </c>
      <c r="J4625" s="7" t="str">
        <f aca="false">IF(F4625=0,"NOT FOUND",IF(C4625=I4625,"SELF-VOTE",IF(COUNTIF($K:$K,K4625)&gt;1,"DUPLICATE","OK")))</f>
        <v>OK</v>
      </c>
      <c r="K4625" s="6" t="str">
        <f aca="false">A4625&amp;"|"&amp;B4625&amp;"|"&amp;C4625&amp;"|"&amp;D4625</f>
        <v>7|2|Matt|spotify:track:6btdYzQ8eZFBrOlUKVHuz0</v>
      </c>
    </row>
    <row r="4626" customFormat="false" ht="15" hidden="false" customHeight="false" outlineLevel="0" collapsed="false">
      <c r="A4626" s="5" t="n">
        <v>7</v>
      </c>
      <c r="B4626" s="5" t="n">
        <v>2</v>
      </c>
      <c r="C4626" s="5" t="s">
        <v>116</v>
      </c>
      <c r="D4626" s="5" t="s">
        <v>2094</v>
      </c>
      <c r="E4626" s="5" t="n">
        <v>1</v>
      </c>
      <c r="F4626" s="6" t="n">
        <f aca="false">IFERROR(MATCH(A4626&amp;"|"&amp;B4626&amp;"|"&amp;D4626,'All Song Rankings'!$T:$T,0),0)</f>
        <v>700</v>
      </c>
      <c r="G4626" s="6" t="str">
        <f aca="false">IF(F4626=0,"NOT FOUND",INDEX('All Song Rankings'!$A:$A,F4626))</f>
        <v>Crooked Muse</v>
      </c>
      <c r="H4626" s="6" t="str">
        <f aca="false">IF(F4626=0,"NOT FOUND",INDEX('All Song Rankings'!$B:$B,F4626))</f>
        <v>Beats Antique, Lady Lynx</v>
      </c>
      <c r="I4626" s="6" t="str">
        <f aca="false">IF(F4626=0,"NOT FOUND",INDEX('All Song Rankings'!$D:$D,F4626))</f>
        <v>Scott</v>
      </c>
      <c r="J4626" s="7" t="str">
        <f aca="false">IF(F4626=0,"NOT FOUND",IF(C4626=I4626,"SELF-VOTE",IF(COUNTIF($K:$K,K4626)&gt;1,"DUPLICATE","OK")))</f>
        <v>OK</v>
      </c>
      <c r="K4626" s="6" t="str">
        <f aca="false">A4626&amp;"|"&amp;B4626&amp;"|"&amp;C4626&amp;"|"&amp;D4626</f>
        <v>7|2|Matt|spotify:track:6izQEQZGKd0d6ZjaFvKrRH</v>
      </c>
    </row>
    <row r="4627" customFormat="false" ht="15" hidden="false" customHeight="false" outlineLevel="0" collapsed="false">
      <c r="A4627" s="5" t="n">
        <v>7</v>
      </c>
      <c r="B4627" s="5" t="n">
        <v>2</v>
      </c>
      <c r="C4627" s="5" t="s">
        <v>116</v>
      </c>
      <c r="D4627" s="5" t="s">
        <v>2091</v>
      </c>
      <c r="E4627" s="5" t="n">
        <v>1</v>
      </c>
      <c r="F4627" s="6" t="n">
        <f aca="false">IFERROR(MATCH(A4627&amp;"|"&amp;B4627&amp;"|"&amp;D4627,'All Song Rankings'!$T:$T,0),0)</f>
        <v>699</v>
      </c>
      <c r="G4627" s="6" t="str">
        <f aca="false">IF(F4627=0,"NOT FOUND",INDEX('All Song Rankings'!$A:$A,F4627))</f>
        <v>The Load-Out - Remastered</v>
      </c>
      <c r="H4627" s="6" t="str">
        <f aca="false">IF(F4627=0,"NOT FOUND",INDEX('All Song Rankings'!$B:$B,F4627))</f>
        <v>Jackson Browne</v>
      </c>
      <c r="I4627" s="6" t="str">
        <f aca="false">IF(F4627=0,"NOT FOUND",INDEX('All Song Rankings'!$D:$D,F4627))</f>
        <v>Lisa</v>
      </c>
      <c r="J4627" s="7" t="str">
        <f aca="false">IF(F4627=0,"NOT FOUND",IF(C4627=I4627,"SELF-VOTE",IF(COUNTIF($K:$K,K4627)&gt;1,"DUPLICATE","OK")))</f>
        <v>OK</v>
      </c>
      <c r="K4627" s="6" t="str">
        <f aca="false">A4627&amp;"|"&amp;B4627&amp;"|"&amp;C4627&amp;"|"&amp;D4627</f>
        <v>7|2|Matt|spotify:track:75Cc2encvSkQ5OnDgAfJaV</v>
      </c>
    </row>
    <row r="4628" customFormat="false" ht="15" hidden="false" customHeight="false" outlineLevel="0" collapsed="false">
      <c r="A4628" s="5" t="n">
        <v>7</v>
      </c>
      <c r="B4628" s="5" t="n">
        <v>2</v>
      </c>
      <c r="C4628" s="5" t="s">
        <v>116</v>
      </c>
      <c r="D4628" s="5" t="s">
        <v>2065</v>
      </c>
      <c r="E4628" s="5" t="n">
        <v>1</v>
      </c>
      <c r="F4628" s="6" t="n">
        <f aca="false">IFERROR(MATCH(A4628&amp;"|"&amp;B4628&amp;"|"&amp;D4628,'All Song Rankings'!$T:$T,0),0)</f>
        <v>690</v>
      </c>
      <c r="G4628" s="6" t="str">
        <f aca="false">IF(F4628=0,"NOT FOUND",INDEX('All Song Rankings'!$A:$A,F4628))</f>
        <v>A Little Waltz for Misha</v>
      </c>
      <c r="H4628" s="6" t="str">
        <f aca="false">IF(F4628=0,"NOT FOUND",INDEX('All Song Rankings'!$B:$B,F4628))</f>
        <v>The Hot Club Of San Francisco</v>
      </c>
      <c r="I4628" s="6" t="str">
        <f aca="false">IF(F4628=0,"NOT FOUND",INDEX('All Song Rankings'!$D:$D,F4628))</f>
        <v>Grace</v>
      </c>
      <c r="J4628" s="7" t="str">
        <f aca="false">IF(F4628=0,"NOT FOUND",IF(C4628=I4628,"SELF-VOTE",IF(COUNTIF($K:$K,K4628)&gt;1,"DUPLICATE","OK")))</f>
        <v>OK</v>
      </c>
      <c r="K4628" s="6" t="str">
        <f aca="false">A4628&amp;"|"&amp;B4628&amp;"|"&amp;C4628&amp;"|"&amp;D4628</f>
        <v>7|2|Matt|spotify:track:7jSJJgyrVrZ5TLzr0U64Al</v>
      </c>
    </row>
    <row r="4629" customFormat="false" ht="15" hidden="false" customHeight="false" outlineLevel="0" collapsed="false">
      <c r="A4629" s="5" t="n">
        <v>7</v>
      </c>
      <c r="B4629" s="5" t="n">
        <v>2</v>
      </c>
      <c r="C4629" s="5" t="s">
        <v>101</v>
      </c>
      <c r="D4629" s="5" t="s">
        <v>2097</v>
      </c>
      <c r="E4629" s="5" t="n">
        <v>1</v>
      </c>
      <c r="F4629" s="6" t="n">
        <f aca="false">IFERROR(MATCH(A4629&amp;"|"&amp;B4629&amp;"|"&amp;D4629,'All Song Rankings'!$T:$T,0),0)</f>
        <v>701</v>
      </c>
      <c r="G4629" s="6" t="str">
        <f aca="false">IF(F4629=0,"NOT FOUND",INDEX('All Song Rankings'!$A:$A,F4629))</f>
        <v>Pure</v>
      </c>
      <c r="H4629" s="6" t="str">
        <f aca="false">IF(F4629=0,"NOT FOUND",INDEX('All Song Rankings'!$B:$B,F4629))</f>
        <v>SIENNA SPIRO</v>
      </c>
      <c r="I4629" s="6" t="str">
        <f aca="false">IF(F4629=0,"NOT FOUND",INDEX('All Song Rankings'!$D:$D,F4629))</f>
        <v>Aubrey</v>
      </c>
      <c r="J4629" s="7" t="str">
        <f aca="false">IF(F4629=0,"NOT FOUND",IF(C4629=I4629,"SELF-VOTE",IF(COUNTIF($K:$K,K4629)&gt;1,"DUPLICATE","OK")))</f>
        <v>OK</v>
      </c>
      <c r="K4629" s="6" t="str">
        <f aca="false">A4629&amp;"|"&amp;B4629&amp;"|"&amp;C4629&amp;"|"&amp;D4629</f>
        <v>7|2|Merita|spotify:track:31IKMjvv6Oskp4hjGVeYsT</v>
      </c>
    </row>
    <row r="4630" customFormat="false" ht="15" hidden="false" customHeight="false" outlineLevel="0" collapsed="false">
      <c r="A4630" s="5" t="n">
        <v>7</v>
      </c>
      <c r="B4630" s="5" t="n">
        <v>2</v>
      </c>
      <c r="C4630" s="5" t="s">
        <v>101</v>
      </c>
      <c r="D4630" s="5" t="s">
        <v>2088</v>
      </c>
      <c r="E4630" s="5" t="n">
        <v>2</v>
      </c>
      <c r="F4630" s="6" t="n">
        <f aca="false">IFERROR(MATCH(A4630&amp;"|"&amp;B4630&amp;"|"&amp;D4630,'All Song Rankings'!$T:$T,0),0)</f>
        <v>698</v>
      </c>
      <c r="G4630" s="6" t="str">
        <f aca="false">IF(F4630=0,"NOT FOUND",INDEX('All Song Rankings'!$A:$A,F4630))</f>
        <v>Desert Rose</v>
      </c>
      <c r="H4630" s="6" t="str">
        <f aca="false">IF(F4630=0,"NOT FOUND",INDEX('All Song Rankings'!$B:$B,F4630))</f>
        <v>Sting, Cheb Mami</v>
      </c>
      <c r="I4630" s="6" t="str">
        <f aca="false">IF(F4630=0,"NOT FOUND",INDEX('All Song Rankings'!$D:$D,F4630))</f>
        <v>Kristen</v>
      </c>
      <c r="J4630" s="7" t="str">
        <f aca="false">IF(F4630=0,"NOT FOUND",IF(C4630=I4630,"SELF-VOTE",IF(COUNTIF($K:$K,K4630)&gt;1,"DUPLICATE","OK")))</f>
        <v>OK</v>
      </c>
      <c r="K4630" s="6" t="str">
        <f aca="false">A4630&amp;"|"&amp;B4630&amp;"|"&amp;C4630&amp;"|"&amp;D4630</f>
        <v>7|2|Merita|spotify:track:4WhyHQ2BXi2VU1iaFbF6jv</v>
      </c>
    </row>
    <row r="4631" customFormat="false" ht="15" hidden="false" customHeight="false" outlineLevel="0" collapsed="false">
      <c r="A4631" s="5" t="n">
        <v>7</v>
      </c>
      <c r="B4631" s="5" t="n">
        <v>2</v>
      </c>
      <c r="C4631" s="5" t="s">
        <v>101</v>
      </c>
      <c r="D4631" s="5" t="s">
        <v>2057</v>
      </c>
      <c r="E4631" s="5" t="n">
        <v>2</v>
      </c>
      <c r="F4631" s="6" t="n">
        <f aca="false">IFERROR(MATCH(A4631&amp;"|"&amp;B4631&amp;"|"&amp;D4631,'All Song Rankings'!$T:$T,0),0)</f>
        <v>687</v>
      </c>
      <c r="G4631" s="6" t="str">
        <f aca="false">IF(F4631=0,"NOT FOUND",INDEX('All Song Rankings'!$A:$A,F4631))</f>
        <v>Power Over Me</v>
      </c>
      <c r="H4631" s="6" t="str">
        <f aca="false">IF(F4631=0,"NOT FOUND",INDEX('All Song Rankings'!$B:$B,F4631))</f>
        <v>Dermot Kennedy</v>
      </c>
      <c r="I4631" s="6" t="str">
        <f aca="false">IF(F4631=0,"NOT FOUND",INDEX('All Song Rankings'!$D:$D,F4631))</f>
        <v>Leah</v>
      </c>
      <c r="J4631" s="7" t="str">
        <f aca="false">IF(F4631=0,"NOT FOUND",IF(C4631=I4631,"SELF-VOTE",IF(COUNTIF($K:$K,K4631)&gt;1,"DUPLICATE","OK")))</f>
        <v>OK</v>
      </c>
      <c r="K4631" s="6" t="str">
        <f aca="false">A4631&amp;"|"&amp;B4631&amp;"|"&amp;C4631&amp;"|"&amp;D4631</f>
        <v>7|2|Merita|spotify:track:4tViDtaHuSLnh7HVJTrKhs</v>
      </c>
    </row>
    <row r="4632" customFormat="false" ht="15" hidden="false" customHeight="false" outlineLevel="0" collapsed="false">
      <c r="A4632" s="5" t="n">
        <v>7</v>
      </c>
      <c r="B4632" s="5" t="n">
        <v>2</v>
      </c>
      <c r="C4632" s="5" t="s">
        <v>101</v>
      </c>
      <c r="D4632" s="5" t="s">
        <v>2068</v>
      </c>
      <c r="E4632" s="5" t="n">
        <v>2</v>
      </c>
      <c r="F4632" s="6" t="n">
        <f aca="false">IFERROR(MATCH(A4632&amp;"|"&amp;B4632&amp;"|"&amp;D4632,'All Song Rankings'!$T:$T,0),0)</f>
        <v>691</v>
      </c>
      <c r="G4632" s="6" t="str">
        <f aca="false">IF(F4632=0,"NOT FOUND",INDEX('All Song Rankings'!$A:$A,F4632))</f>
        <v>I'm Good (Blue)</v>
      </c>
      <c r="H4632" s="6" t="str">
        <f aca="false">IF(F4632=0,"NOT FOUND",INDEX('All Song Rankings'!$B:$B,F4632))</f>
        <v>David Guetta, Bebe Rexha</v>
      </c>
      <c r="I4632" s="6" t="str">
        <f aca="false">IF(F4632=0,"NOT FOUND",INDEX('All Song Rankings'!$D:$D,F4632))</f>
        <v>Colleen</v>
      </c>
      <c r="J4632" s="7" t="str">
        <f aca="false">IF(F4632=0,"NOT FOUND",IF(C4632=I4632,"SELF-VOTE",IF(COUNTIF($K:$K,K4632)&gt;1,"DUPLICATE","OK")))</f>
        <v>OK</v>
      </c>
      <c r="K4632" s="6" t="str">
        <f aca="false">A4632&amp;"|"&amp;B4632&amp;"|"&amp;C4632&amp;"|"&amp;D4632</f>
        <v>7|2|Merita|spotify:track:4uUG5RXrOk84mYEfFvj3cK</v>
      </c>
    </row>
    <row r="4633" customFormat="false" ht="15" hidden="false" customHeight="false" outlineLevel="0" collapsed="false">
      <c r="A4633" s="5" t="n">
        <v>7</v>
      </c>
      <c r="B4633" s="5" t="n">
        <v>2</v>
      </c>
      <c r="C4633" s="5" t="s">
        <v>101</v>
      </c>
      <c r="D4633" s="5" t="s">
        <v>2094</v>
      </c>
      <c r="E4633" s="5" t="n">
        <v>1</v>
      </c>
      <c r="F4633" s="6" t="n">
        <f aca="false">IFERROR(MATCH(A4633&amp;"|"&amp;B4633&amp;"|"&amp;D4633,'All Song Rankings'!$T:$T,0),0)</f>
        <v>700</v>
      </c>
      <c r="G4633" s="6" t="str">
        <f aca="false">IF(F4633=0,"NOT FOUND",INDEX('All Song Rankings'!$A:$A,F4633))</f>
        <v>Crooked Muse</v>
      </c>
      <c r="H4633" s="6" t="str">
        <f aca="false">IF(F4633=0,"NOT FOUND",INDEX('All Song Rankings'!$B:$B,F4633))</f>
        <v>Beats Antique, Lady Lynx</v>
      </c>
      <c r="I4633" s="6" t="str">
        <f aca="false">IF(F4633=0,"NOT FOUND",INDEX('All Song Rankings'!$D:$D,F4633))</f>
        <v>Scott</v>
      </c>
      <c r="J4633" s="7" t="str">
        <f aca="false">IF(F4633=0,"NOT FOUND",IF(C4633=I4633,"SELF-VOTE",IF(COUNTIF($K:$K,K4633)&gt;1,"DUPLICATE","OK")))</f>
        <v>OK</v>
      </c>
      <c r="K4633" s="6" t="str">
        <f aca="false">A4633&amp;"|"&amp;B4633&amp;"|"&amp;C4633&amp;"|"&amp;D4633</f>
        <v>7|2|Merita|spotify:track:6izQEQZGKd0d6ZjaFvKrRH</v>
      </c>
    </row>
    <row r="4634" customFormat="false" ht="15" hidden="false" customHeight="false" outlineLevel="0" collapsed="false">
      <c r="A4634" s="5" t="n">
        <v>7</v>
      </c>
      <c r="B4634" s="5" t="n">
        <v>2</v>
      </c>
      <c r="C4634" s="5" t="s">
        <v>101</v>
      </c>
      <c r="D4634" s="5" t="s">
        <v>2099</v>
      </c>
      <c r="E4634" s="5" t="n">
        <v>1</v>
      </c>
      <c r="F4634" s="6" t="n">
        <f aca="false">IFERROR(MATCH(A4634&amp;"|"&amp;B4634&amp;"|"&amp;D4634,'All Song Rankings'!$T:$T,0),0)</f>
        <v>702</v>
      </c>
      <c r="G4634" s="6" t="str">
        <f aca="false">IF(F4634=0,"NOT FOUND",INDEX('All Song Rankings'!$A:$A,F4634))</f>
        <v>Sparks</v>
      </c>
      <c r="H4634" s="6" t="str">
        <f aca="false">IF(F4634=0,"NOT FOUND",INDEX('All Song Rankings'!$B:$B,F4634))</f>
        <v>Coldplay</v>
      </c>
      <c r="I4634" s="6" t="str">
        <f aca="false">IF(F4634=0,"NOT FOUND",INDEX('All Song Rankings'!$D:$D,F4634))</f>
        <v>Sara</v>
      </c>
      <c r="J4634" s="7" t="str">
        <f aca="false">IF(F4634=0,"NOT FOUND",IF(C4634=I4634,"SELF-VOTE",IF(COUNTIF($K:$K,K4634)&gt;1,"DUPLICATE","OK")))</f>
        <v>OK</v>
      </c>
      <c r="K4634" s="6" t="str">
        <f aca="false">A4634&amp;"|"&amp;B4634&amp;"|"&amp;C4634&amp;"|"&amp;D4634</f>
        <v>7|2|Merita|spotify:track:7D0RhFcb3CrfPuTJ0obrod</v>
      </c>
    </row>
    <row r="4635" customFormat="false" ht="15" hidden="false" customHeight="false" outlineLevel="0" collapsed="false">
      <c r="A4635" s="5" t="n">
        <v>7</v>
      </c>
      <c r="B4635" s="5" t="n">
        <v>2</v>
      </c>
      <c r="C4635" s="5" t="s">
        <v>101</v>
      </c>
      <c r="D4635" s="5" t="s">
        <v>2065</v>
      </c>
      <c r="E4635" s="5" t="n">
        <v>1</v>
      </c>
      <c r="F4635" s="6" t="n">
        <f aca="false">IFERROR(MATCH(A4635&amp;"|"&amp;B4635&amp;"|"&amp;D4635,'All Song Rankings'!$T:$T,0),0)</f>
        <v>690</v>
      </c>
      <c r="G4635" s="6" t="str">
        <f aca="false">IF(F4635=0,"NOT FOUND",INDEX('All Song Rankings'!$A:$A,F4635))</f>
        <v>A Little Waltz for Misha</v>
      </c>
      <c r="H4635" s="6" t="str">
        <f aca="false">IF(F4635=0,"NOT FOUND",INDEX('All Song Rankings'!$B:$B,F4635))</f>
        <v>The Hot Club Of San Francisco</v>
      </c>
      <c r="I4635" s="6" t="str">
        <f aca="false">IF(F4635=0,"NOT FOUND",INDEX('All Song Rankings'!$D:$D,F4635))</f>
        <v>Grace</v>
      </c>
      <c r="J4635" s="7" t="str">
        <f aca="false">IF(F4635=0,"NOT FOUND",IF(C4635=I4635,"SELF-VOTE",IF(COUNTIF($K:$K,K4635)&gt;1,"DUPLICATE","OK")))</f>
        <v>OK</v>
      </c>
      <c r="K4635" s="6" t="str">
        <f aca="false">A4635&amp;"|"&amp;B4635&amp;"|"&amp;C4635&amp;"|"&amp;D4635</f>
        <v>7|2|Merita|spotify:track:7jSJJgyrVrZ5TLzr0U64Al</v>
      </c>
    </row>
    <row r="4636" customFormat="false" ht="15" hidden="false" customHeight="false" outlineLevel="0" collapsed="false">
      <c r="A4636" s="5" t="n">
        <v>7</v>
      </c>
      <c r="B4636" s="5" t="n">
        <v>2</v>
      </c>
      <c r="C4636" s="5" t="s">
        <v>97</v>
      </c>
      <c r="D4636" s="5" t="s">
        <v>2097</v>
      </c>
      <c r="E4636" s="5" t="n">
        <v>1</v>
      </c>
      <c r="F4636" s="6" t="n">
        <f aca="false">IFERROR(MATCH(A4636&amp;"|"&amp;B4636&amp;"|"&amp;D4636,'All Song Rankings'!$T:$T,0),0)</f>
        <v>701</v>
      </c>
      <c r="G4636" s="6" t="str">
        <f aca="false">IF(F4636=0,"NOT FOUND",INDEX('All Song Rankings'!$A:$A,F4636))</f>
        <v>Pure</v>
      </c>
      <c r="H4636" s="6" t="str">
        <f aca="false">IF(F4636=0,"NOT FOUND",INDEX('All Song Rankings'!$B:$B,F4636))</f>
        <v>SIENNA SPIRO</v>
      </c>
      <c r="I4636" s="6" t="str">
        <f aca="false">IF(F4636=0,"NOT FOUND",INDEX('All Song Rankings'!$D:$D,F4636))</f>
        <v>Aubrey</v>
      </c>
      <c r="J4636" s="7" t="str">
        <f aca="false">IF(F4636=0,"NOT FOUND",IF(C4636=I4636,"SELF-VOTE",IF(COUNTIF($K:$K,K4636)&gt;1,"DUPLICATE","OK")))</f>
        <v>OK</v>
      </c>
      <c r="K4636" s="6" t="str">
        <f aca="false">A4636&amp;"|"&amp;B4636&amp;"|"&amp;C4636&amp;"|"&amp;D4636</f>
        <v>7|2|Stephanie|spotify:track:31IKMjvv6Oskp4hjGVeYsT</v>
      </c>
    </row>
    <row r="4637" customFormat="false" ht="15" hidden="false" customHeight="false" outlineLevel="0" collapsed="false">
      <c r="A4637" s="5" t="n">
        <v>7</v>
      </c>
      <c r="B4637" s="5" t="n">
        <v>2</v>
      </c>
      <c r="C4637" s="5" t="s">
        <v>97</v>
      </c>
      <c r="D4637" s="5" t="s">
        <v>2060</v>
      </c>
      <c r="E4637" s="5" t="n">
        <v>2</v>
      </c>
      <c r="F4637" s="6" t="n">
        <f aca="false">IFERROR(MATCH(A4637&amp;"|"&amp;B4637&amp;"|"&amp;D4637,'All Song Rankings'!$T:$T,0),0)</f>
        <v>688</v>
      </c>
      <c r="G4637" s="6" t="str">
        <f aca="false">IF(F4637=0,"NOT FOUND",INDEX('All Song Rankings'!$A:$A,F4637))</f>
        <v>Kingdom of Fear</v>
      </c>
      <c r="H4637" s="6" t="str">
        <f aca="false">IF(F4637=0,"NOT FOUND",INDEX('All Song Rankings'!$B:$B,F4637))</f>
        <v>Cameron Whitcomb</v>
      </c>
      <c r="I4637" s="6" t="str">
        <f aca="false">IF(F4637=0,"NOT FOUND",INDEX('All Song Rankings'!$D:$D,F4637))</f>
        <v>Kelsey</v>
      </c>
      <c r="J4637" s="7" t="str">
        <f aca="false">IF(F4637=0,"NOT FOUND",IF(C4637=I4637,"SELF-VOTE",IF(COUNTIF($K:$K,K4637)&gt;1,"DUPLICATE","OK")))</f>
        <v>OK</v>
      </c>
      <c r="K4637" s="6" t="str">
        <f aca="false">A4637&amp;"|"&amp;B4637&amp;"|"&amp;C4637&amp;"|"&amp;D4637</f>
        <v>7|2|Stephanie|spotify:track:4Es6f0zquGHCrv9Hespx9W</v>
      </c>
    </row>
    <row r="4638" customFormat="false" ht="15" hidden="false" customHeight="false" outlineLevel="0" collapsed="false">
      <c r="A4638" s="5" t="n">
        <v>7</v>
      </c>
      <c r="B4638" s="5" t="n">
        <v>2</v>
      </c>
      <c r="C4638" s="5" t="s">
        <v>97</v>
      </c>
      <c r="D4638" s="5" t="s">
        <v>2088</v>
      </c>
      <c r="E4638" s="5" t="n">
        <v>1</v>
      </c>
      <c r="F4638" s="6" t="n">
        <f aca="false">IFERROR(MATCH(A4638&amp;"|"&amp;B4638&amp;"|"&amp;D4638,'All Song Rankings'!$T:$T,0),0)</f>
        <v>698</v>
      </c>
      <c r="G4638" s="6" t="str">
        <f aca="false">IF(F4638=0,"NOT FOUND",INDEX('All Song Rankings'!$A:$A,F4638))</f>
        <v>Desert Rose</v>
      </c>
      <c r="H4638" s="6" t="str">
        <f aca="false">IF(F4638=0,"NOT FOUND",INDEX('All Song Rankings'!$B:$B,F4638))</f>
        <v>Sting, Cheb Mami</v>
      </c>
      <c r="I4638" s="6" t="str">
        <f aca="false">IF(F4638=0,"NOT FOUND",INDEX('All Song Rankings'!$D:$D,F4638))</f>
        <v>Kristen</v>
      </c>
      <c r="J4638" s="7" t="str">
        <f aca="false">IF(F4638=0,"NOT FOUND",IF(C4638=I4638,"SELF-VOTE",IF(COUNTIF($K:$K,K4638)&gt;1,"DUPLICATE","OK")))</f>
        <v>OK</v>
      </c>
      <c r="K4638" s="6" t="str">
        <f aca="false">A4638&amp;"|"&amp;B4638&amp;"|"&amp;C4638&amp;"|"&amp;D4638</f>
        <v>7|2|Stephanie|spotify:track:4WhyHQ2BXi2VU1iaFbF6jv</v>
      </c>
    </row>
    <row r="4639" customFormat="false" ht="15" hidden="false" customHeight="false" outlineLevel="0" collapsed="false">
      <c r="A4639" s="5" t="n">
        <v>7</v>
      </c>
      <c r="B4639" s="5" t="n">
        <v>2</v>
      </c>
      <c r="C4639" s="5" t="s">
        <v>97</v>
      </c>
      <c r="D4639" s="5" t="s">
        <v>2057</v>
      </c>
      <c r="E4639" s="5" t="n">
        <v>2</v>
      </c>
      <c r="F4639" s="6" t="n">
        <f aca="false">IFERROR(MATCH(A4639&amp;"|"&amp;B4639&amp;"|"&amp;D4639,'All Song Rankings'!$T:$T,0),0)</f>
        <v>687</v>
      </c>
      <c r="G4639" s="6" t="str">
        <f aca="false">IF(F4639=0,"NOT FOUND",INDEX('All Song Rankings'!$A:$A,F4639))</f>
        <v>Power Over Me</v>
      </c>
      <c r="H4639" s="6" t="str">
        <f aca="false">IF(F4639=0,"NOT FOUND",INDEX('All Song Rankings'!$B:$B,F4639))</f>
        <v>Dermot Kennedy</v>
      </c>
      <c r="I4639" s="6" t="str">
        <f aca="false">IF(F4639=0,"NOT FOUND",INDEX('All Song Rankings'!$D:$D,F4639))</f>
        <v>Leah</v>
      </c>
      <c r="J4639" s="7" t="str">
        <f aca="false">IF(F4639=0,"NOT FOUND",IF(C4639=I4639,"SELF-VOTE",IF(COUNTIF($K:$K,K4639)&gt;1,"DUPLICATE","OK")))</f>
        <v>OK</v>
      </c>
      <c r="K4639" s="6" t="str">
        <f aca="false">A4639&amp;"|"&amp;B4639&amp;"|"&amp;C4639&amp;"|"&amp;D4639</f>
        <v>7|2|Stephanie|spotify:track:4tViDtaHuSLnh7HVJTrKhs</v>
      </c>
    </row>
    <row r="4640" customFormat="false" ht="15" hidden="false" customHeight="false" outlineLevel="0" collapsed="false">
      <c r="A4640" s="5" t="n">
        <v>7</v>
      </c>
      <c r="B4640" s="5" t="n">
        <v>2</v>
      </c>
      <c r="C4640" s="5" t="s">
        <v>97</v>
      </c>
      <c r="D4640" s="5" t="s">
        <v>2068</v>
      </c>
      <c r="E4640" s="5" t="n">
        <v>1</v>
      </c>
      <c r="F4640" s="6" t="n">
        <f aca="false">IFERROR(MATCH(A4640&amp;"|"&amp;B4640&amp;"|"&amp;D4640,'All Song Rankings'!$T:$T,0),0)</f>
        <v>691</v>
      </c>
      <c r="G4640" s="6" t="str">
        <f aca="false">IF(F4640=0,"NOT FOUND",INDEX('All Song Rankings'!$A:$A,F4640))</f>
        <v>I'm Good (Blue)</v>
      </c>
      <c r="H4640" s="6" t="str">
        <f aca="false">IF(F4640=0,"NOT FOUND",INDEX('All Song Rankings'!$B:$B,F4640))</f>
        <v>David Guetta, Bebe Rexha</v>
      </c>
      <c r="I4640" s="6" t="str">
        <f aca="false">IF(F4640=0,"NOT FOUND",INDEX('All Song Rankings'!$D:$D,F4640))</f>
        <v>Colleen</v>
      </c>
      <c r="J4640" s="7" t="str">
        <f aca="false">IF(F4640=0,"NOT FOUND",IF(C4640=I4640,"SELF-VOTE",IF(COUNTIF($K:$K,K4640)&gt;1,"DUPLICATE","OK")))</f>
        <v>OK</v>
      </c>
      <c r="K4640" s="6" t="str">
        <f aca="false">A4640&amp;"|"&amp;B4640&amp;"|"&amp;C4640&amp;"|"&amp;D4640</f>
        <v>7|2|Stephanie|spotify:track:4uUG5RXrOk84mYEfFvj3cK</v>
      </c>
    </row>
    <row r="4641" customFormat="false" ht="15" hidden="false" customHeight="false" outlineLevel="0" collapsed="false">
      <c r="A4641" s="5" t="n">
        <v>7</v>
      </c>
      <c r="B4641" s="5" t="n">
        <v>2</v>
      </c>
      <c r="C4641" s="5" t="s">
        <v>97</v>
      </c>
      <c r="D4641" s="5" t="s">
        <v>2070</v>
      </c>
      <c r="E4641" s="5" t="n">
        <v>1</v>
      </c>
      <c r="F4641" s="6" t="n">
        <f aca="false">IFERROR(MATCH(A4641&amp;"|"&amp;B4641&amp;"|"&amp;D4641,'All Song Rankings'!$T:$T,0),0)</f>
        <v>692</v>
      </c>
      <c r="G4641" s="6" t="str">
        <f aca="false">IF(F4641=0,"NOT FOUND",INDEX('All Song Rankings'!$A:$A,F4641))</f>
        <v>Nightswimming</v>
      </c>
      <c r="H4641" s="6" t="str">
        <f aca="false">IF(F4641=0,"NOT FOUND",INDEX('All Song Rankings'!$B:$B,F4641))</f>
        <v>R.E.M.</v>
      </c>
      <c r="I4641" s="6" t="str">
        <f aca="false">IF(F4641=0,"NOT FOUND",INDEX('All Song Rankings'!$D:$D,F4641))</f>
        <v>Matt</v>
      </c>
      <c r="J4641" s="7" t="str">
        <f aca="false">IF(F4641=0,"NOT FOUND",IF(C4641=I4641,"SELF-VOTE",IF(COUNTIF($K:$K,K4641)&gt;1,"DUPLICATE","OK")))</f>
        <v>OK</v>
      </c>
      <c r="K4641" s="6" t="str">
        <f aca="false">A4641&amp;"|"&amp;B4641&amp;"|"&amp;C4641&amp;"|"&amp;D4641</f>
        <v>7|2|Stephanie|spotify:track:6G0NzOx2jEPFsSmhr9N8Ys</v>
      </c>
    </row>
    <row r="4642" customFormat="false" ht="15" hidden="false" customHeight="false" outlineLevel="0" collapsed="false">
      <c r="A4642" s="5" t="n">
        <v>7</v>
      </c>
      <c r="B4642" s="5" t="n">
        <v>2</v>
      </c>
      <c r="C4642" s="5" t="s">
        <v>97</v>
      </c>
      <c r="D4642" s="5" t="s">
        <v>2094</v>
      </c>
      <c r="E4642" s="5" t="n">
        <v>2</v>
      </c>
      <c r="F4642" s="6" t="n">
        <f aca="false">IFERROR(MATCH(A4642&amp;"|"&amp;B4642&amp;"|"&amp;D4642,'All Song Rankings'!$T:$T,0),0)</f>
        <v>700</v>
      </c>
      <c r="G4642" s="6" t="str">
        <f aca="false">IF(F4642=0,"NOT FOUND",INDEX('All Song Rankings'!$A:$A,F4642))</f>
        <v>Crooked Muse</v>
      </c>
      <c r="H4642" s="6" t="str">
        <f aca="false">IF(F4642=0,"NOT FOUND",INDEX('All Song Rankings'!$B:$B,F4642))</f>
        <v>Beats Antique, Lady Lynx</v>
      </c>
      <c r="I4642" s="6" t="str">
        <f aca="false">IF(F4642=0,"NOT FOUND",INDEX('All Song Rankings'!$D:$D,F4642))</f>
        <v>Scott</v>
      </c>
      <c r="J4642" s="7" t="str">
        <f aca="false">IF(F4642=0,"NOT FOUND",IF(C4642=I4642,"SELF-VOTE",IF(COUNTIF($K:$K,K4642)&gt;1,"DUPLICATE","OK")))</f>
        <v>OK</v>
      </c>
      <c r="K4642" s="6" t="str">
        <f aca="false">A4642&amp;"|"&amp;B4642&amp;"|"&amp;C4642&amp;"|"&amp;D4642</f>
        <v>7|2|Stephanie|spotify:track:6izQEQZGKd0d6ZjaFvKrRH</v>
      </c>
    </row>
    <row r="4643" customFormat="false" ht="15" hidden="false" customHeight="false" outlineLevel="0" collapsed="false">
      <c r="A4643" s="5" t="n">
        <v>7</v>
      </c>
      <c r="B4643" s="5" t="n">
        <v>3</v>
      </c>
      <c r="C4643" s="5" t="s">
        <v>719</v>
      </c>
      <c r="D4643" s="5" t="s">
        <v>2106</v>
      </c>
      <c r="E4643" s="5" t="n">
        <v>1</v>
      </c>
      <c r="F4643" s="6" t="n">
        <f aca="false">IFERROR(MATCH(A4643&amp;"|"&amp;B4643&amp;"|"&amp;D4643,'All Song Rankings'!$T:$T,0),0)</f>
        <v>704</v>
      </c>
      <c r="G4643" s="6" t="str">
        <f aca="false">IF(F4643=0,"NOT FOUND",INDEX('All Song Rankings'!$A:$A,F4643))</f>
        <v>Sherry</v>
      </c>
      <c r="H4643" s="6" t="str">
        <f aca="false">IF(F4643=0,"NOT FOUND",INDEX('All Song Rankings'!$B:$B,F4643))</f>
        <v>Frankie Valli &amp; The Four Seasons</v>
      </c>
      <c r="I4643" s="6" t="str">
        <f aca="false">IF(F4643=0,"NOT FOUND",INDEX('All Song Rankings'!$D:$D,F4643))</f>
        <v>Logan</v>
      </c>
      <c r="J4643" s="7" t="str">
        <f aca="false">IF(F4643=0,"NOT FOUND",IF(C4643=I4643,"SELF-VOTE",IF(COUNTIF($K:$K,K4643)&gt;1,"DUPLICATE","OK")))</f>
        <v>OK</v>
      </c>
      <c r="K4643" s="6" t="str">
        <f aca="false">A4643&amp;"|"&amp;B4643&amp;"|"&amp;C4643&amp;"|"&amp;D4643</f>
        <v>7|3|Christine|spotify:track:0NpvdCO506uO58D4AbKzki</v>
      </c>
    </row>
    <row r="4644" customFormat="false" ht="15" hidden="false" customHeight="false" outlineLevel="0" collapsed="false">
      <c r="A4644" s="5" t="n">
        <v>7</v>
      </c>
      <c r="B4644" s="5" t="n">
        <v>3</v>
      </c>
      <c r="C4644" s="5" t="s">
        <v>719</v>
      </c>
      <c r="D4644" s="5" t="s">
        <v>2112</v>
      </c>
      <c r="E4644" s="5" t="n">
        <v>1</v>
      </c>
      <c r="F4644" s="6" t="n">
        <f aca="false">IFERROR(MATCH(A4644&amp;"|"&amp;B4644&amp;"|"&amp;D4644,'All Song Rankings'!$T:$T,0),0)</f>
        <v>706</v>
      </c>
      <c r="G4644" s="6" t="str">
        <f aca="false">IF(F4644=0,"NOT FOUND",INDEX('All Song Rankings'!$A:$A,F4644))</f>
        <v>I Don't Feel Like Dancin'</v>
      </c>
      <c r="H4644" s="6" t="str">
        <f aca="false">IF(F4644=0,"NOT FOUND",INDEX('All Song Rankings'!$B:$B,F4644))</f>
        <v>Scissor Sisters</v>
      </c>
      <c r="I4644" s="6" t="str">
        <f aca="false">IF(F4644=0,"NOT FOUND",INDEX('All Song Rankings'!$D:$D,F4644))</f>
        <v>Grace</v>
      </c>
      <c r="J4644" s="7" t="str">
        <f aca="false">IF(F4644=0,"NOT FOUND",IF(C4644=I4644,"SELF-VOTE",IF(COUNTIF($K:$K,K4644)&gt;1,"DUPLICATE","OK")))</f>
        <v>OK</v>
      </c>
      <c r="K4644" s="6" t="str">
        <f aca="false">A4644&amp;"|"&amp;B4644&amp;"|"&amp;C4644&amp;"|"&amp;D4644</f>
        <v>7|3|Christine|spotify:track:13pyGLYmBjYgvOMIEivX2K</v>
      </c>
    </row>
    <row r="4645" customFormat="false" ht="15" hidden="false" customHeight="false" outlineLevel="0" collapsed="false">
      <c r="A4645" s="5" t="n">
        <v>7</v>
      </c>
      <c r="B4645" s="5" t="n">
        <v>3</v>
      </c>
      <c r="C4645" s="5" t="s">
        <v>719</v>
      </c>
      <c r="D4645" s="5" t="s">
        <v>2120</v>
      </c>
      <c r="E4645" s="5" t="n">
        <v>1</v>
      </c>
      <c r="F4645" s="6" t="n">
        <f aca="false">IFERROR(MATCH(A4645&amp;"|"&amp;B4645&amp;"|"&amp;D4645,'All Song Rankings'!$T:$T,0),0)</f>
        <v>709</v>
      </c>
      <c r="G4645" s="6" t="str">
        <f aca="false">IF(F4645=0,"NOT FOUND",INDEX('All Song Rankings'!$A:$A,F4645))</f>
        <v>Teenage Dirtbag</v>
      </c>
      <c r="H4645" s="6" t="str">
        <f aca="false">IF(F4645=0,"NOT FOUND",INDEX('All Song Rankings'!$B:$B,F4645))</f>
        <v>Wheatus</v>
      </c>
      <c r="I4645" s="6" t="str">
        <f aca="false">IF(F4645=0,"NOT FOUND",INDEX('All Song Rankings'!$D:$D,F4645))</f>
        <v>Josh</v>
      </c>
      <c r="J4645" s="7" t="str">
        <f aca="false">IF(F4645=0,"NOT FOUND",IF(C4645=I4645,"SELF-VOTE",IF(COUNTIF($K:$K,K4645)&gt;1,"DUPLICATE","OK")))</f>
        <v>OK</v>
      </c>
      <c r="K4645" s="6" t="str">
        <f aca="false">A4645&amp;"|"&amp;B4645&amp;"|"&amp;C4645&amp;"|"&amp;D4645</f>
        <v>7|3|Christine|spotify:track:25FTMokYEbEWHEdss5JLZS</v>
      </c>
    </row>
    <row r="4646" customFormat="false" ht="15" hidden="false" customHeight="false" outlineLevel="0" collapsed="false">
      <c r="A4646" s="5" t="n">
        <v>7</v>
      </c>
      <c r="B4646" s="5" t="n">
        <v>3</v>
      </c>
      <c r="C4646" s="5" t="s">
        <v>719</v>
      </c>
      <c r="D4646" s="5" t="s">
        <v>2103</v>
      </c>
      <c r="E4646" s="5" t="n">
        <v>1</v>
      </c>
      <c r="F4646" s="6" t="n">
        <f aca="false">IFERROR(MATCH(A4646&amp;"|"&amp;B4646&amp;"|"&amp;D4646,'All Song Rankings'!$T:$T,0),0)</f>
        <v>703</v>
      </c>
      <c r="G4646" s="6" t="str">
        <f aca="false">IF(F4646=0,"NOT FOUND",INDEX('All Song Rankings'!$A:$A,F4646))</f>
        <v>Take on Me</v>
      </c>
      <c r="H4646" s="6" t="str">
        <f aca="false">IF(F4646=0,"NOT FOUND",INDEX('All Song Rankings'!$B:$B,F4646))</f>
        <v>a-ha</v>
      </c>
      <c r="I4646" s="6" t="str">
        <f aca="false">IF(F4646=0,"NOT FOUND",INDEX('All Song Rankings'!$D:$D,F4646))</f>
        <v>Leah</v>
      </c>
      <c r="J4646" s="7" t="str">
        <f aca="false">IF(F4646=0,"NOT FOUND",IF(C4646=I4646,"SELF-VOTE",IF(COUNTIF($K:$K,K4646)&gt;1,"DUPLICATE","OK")))</f>
        <v>OK</v>
      </c>
      <c r="K4646" s="6" t="str">
        <f aca="false">A4646&amp;"|"&amp;B4646&amp;"|"&amp;C4646&amp;"|"&amp;D4646</f>
        <v>7|3|Christine|spotify:track:2WfaOiMkCvy7F5fcp2zZ8L</v>
      </c>
    </row>
    <row r="4647" customFormat="false" ht="15" hidden="false" customHeight="false" outlineLevel="0" collapsed="false">
      <c r="A4647" s="5" t="n">
        <v>7</v>
      </c>
      <c r="B4647" s="5" t="n">
        <v>3</v>
      </c>
      <c r="C4647" s="5" t="s">
        <v>719</v>
      </c>
      <c r="D4647" s="5" t="s">
        <v>2129</v>
      </c>
      <c r="E4647" s="5" t="n">
        <v>1</v>
      </c>
      <c r="F4647" s="6" t="n">
        <f aca="false">IFERROR(MATCH(A4647&amp;"|"&amp;B4647&amp;"|"&amp;D4647,'All Song Rankings'!$T:$T,0),0)</f>
        <v>712</v>
      </c>
      <c r="G4647" s="6" t="str">
        <f aca="false">IF(F4647=0,"NOT FOUND",INDEX('All Song Rankings'!$A:$A,F4647))</f>
        <v>Black Dog - Remaster</v>
      </c>
      <c r="H4647" s="6" t="str">
        <f aca="false">IF(F4647=0,"NOT FOUND",INDEX('All Song Rankings'!$B:$B,F4647))</f>
        <v>Led Zeppelin</v>
      </c>
      <c r="I4647" s="6" t="str">
        <f aca="false">IF(F4647=0,"NOT FOUND",INDEX('All Song Rankings'!$D:$D,F4647))</f>
        <v>Matt</v>
      </c>
      <c r="J4647" s="7" t="str">
        <f aca="false">IF(F4647=0,"NOT FOUND",IF(C4647=I4647,"SELF-VOTE",IF(COUNTIF($K:$K,K4647)&gt;1,"DUPLICATE","OK")))</f>
        <v>OK</v>
      </c>
      <c r="K4647" s="6" t="str">
        <f aca="false">A4647&amp;"|"&amp;B4647&amp;"|"&amp;C4647&amp;"|"&amp;D4647</f>
        <v>7|3|Christine|spotify:track:3qT4bUD1MaWpGrTwcvguhb</v>
      </c>
    </row>
    <row r="4648" customFormat="false" ht="15" hidden="false" customHeight="false" outlineLevel="0" collapsed="false">
      <c r="A4648" s="5" t="n">
        <v>7</v>
      </c>
      <c r="B4648" s="5" t="n">
        <v>3</v>
      </c>
      <c r="C4648" s="5" t="s">
        <v>719</v>
      </c>
      <c r="D4648" s="5" t="s">
        <v>2126</v>
      </c>
      <c r="E4648" s="5" t="n">
        <v>1</v>
      </c>
      <c r="F4648" s="6" t="n">
        <f aca="false">IFERROR(MATCH(A4648&amp;"|"&amp;B4648&amp;"|"&amp;D4648,'All Song Rankings'!$T:$T,0),0)</f>
        <v>711</v>
      </c>
      <c r="G4648" s="6" t="str">
        <f aca="false">IF(F4648=0,"NOT FOUND",INDEX('All Song Rankings'!$A:$A,F4648))</f>
        <v>Your Love</v>
      </c>
      <c r="H4648" s="6" t="str">
        <f aca="false">IF(F4648=0,"NOT FOUND",INDEX('All Song Rankings'!$B:$B,F4648))</f>
        <v>The Outfield</v>
      </c>
      <c r="I4648" s="6" t="str">
        <f aca="false">IF(F4648=0,"NOT FOUND",INDEX('All Song Rankings'!$D:$D,F4648))</f>
        <v>Lisa</v>
      </c>
      <c r="J4648" s="7" t="str">
        <f aca="false">IF(F4648=0,"NOT FOUND",IF(C4648=I4648,"SELF-VOTE",IF(COUNTIF($K:$K,K4648)&gt;1,"DUPLICATE","OK")))</f>
        <v>OK</v>
      </c>
      <c r="K4648" s="6" t="str">
        <f aca="false">A4648&amp;"|"&amp;B4648&amp;"|"&amp;C4648&amp;"|"&amp;D4648</f>
        <v>7|3|Christine|spotify:track:5dRQUolXAVX3BbCiIxmSsf</v>
      </c>
    </row>
    <row r="4649" customFormat="false" ht="15" hidden="false" customHeight="false" outlineLevel="0" collapsed="false">
      <c r="A4649" s="5" t="n">
        <v>7</v>
      </c>
      <c r="B4649" s="5" t="n">
        <v>3</v>
      </c>
      <c r="C4649" s="5" t="s">
        <v>719</v>
      </c>
      <c r="D4649" s="5" t="s">
        <v>2117</v>
      </c>
      <c r="E4649" s="5" t="n">
        <v>1</v>
      </c>
      <c r="F4649" s="6" t="n">
        <f aca="false">IFERROR(MATCH(A4649&amp;"|"&amp;B4649&amp;"|"&amp;D4649,'All Song Rankings'!$T:$T,0),0)</f>
        <v>708</v>
      </c>
      <c r="G4649" s="6" t="str">
        <f aca="false">IF(F4649=0,"NOT FOUND",INDEX('All Song Rankings'!$A:$A,F4649))</f>
        <v>High</v>
      </c>
      <c r="H4649" s="6" t="str">
        <f aca="false">IF(F4649=0,"NOT FOUND",INDEX('All Song Rankings'!$B:$B,F4649))</f>
        <v>Stephen Sanchez</v>
      </c>
      <c r="I4649" s="6" t="str">
        <f aca="false">IF(F4649=0,"NOT FOUND",INDEX('All Song Rankings'!$D:$D,F4649))</f>
        <v>Lucia</v>
      </c>
      <c r="J4649" s="7" t="str">
        <f aca="false">IF(F4649=0,"NOT FOUND",IF(C4649=I4649,"SELF-VOTE",IF(COUNTIF($K:$K,K4649)&gt;1,"DUPLICATE","OK")))</f>
        <v>OK</v>
      </c>
      <c r="K4649" s="6" t="str">
        <f aca="false">A4649&amp;"|"&amp;B4649&amp;"|"&amp;C4649&amp;"|"&amp;D4649</f>
        <v>7|3|Christine|spotify:track:5hlPrSCx9BvnQ3rCTkblMZ</v>
      </c>
    </row>
    <row r="4650" customFormat="false" ht="15" hidden="false" customHeight="false" outlineLevel="0" collapsed="false">
      <c r="A4650" s="5" t="n">
        <v>7</v>
      </c>
      <c r="B4650" s="5" t="n">
        <v>3</v>
      </c>
      <c r="C4650" s="5" t="s">
        <v>719</v>
      </c>
      <c r="D4650" s="5" t="s">
        <v>2114</v>
      </c>
      <c r="E4650" s="5" t="n">
        <v>1</v>
      </c>
      <c r="F4650" s="6" t="n">
        <f aca="false">IFERROR(MATCH(A4650&amp;"|"&amp;B4650&amp;"|"&amp;D4650,'All Song Rankings'!$T:$T,0),0)</f>
        <v>707</v>
      </c>
      <c r="G4650" s="6" t="str">
        <f aca="false">IF(F4650=0,"NOT FOUND",INDEX('All Song Rankings'!$A:$A,F4650))</f>
        <v>Kiss</v>
      </c>
      <c r="H4650" s="6" t="str">
        <f aca="false">IF(F4650=0,"NOT FOUND",INDEX('All Song Rankings'!$B:$B,F4650))</f>
        <v>Prince</v>
      </c>
      <c r="I4650" s="6" t="str">
        <f aca="false">IF(F4650=0,"NOT FOUND",INDEX('All Song Rankings'!$D:$D,F4650))</f>
        <v>Kristen</v>
      </c>
      <c r="J4650" s="7" t="str">
        <f aca="false">IF(F4650=0,"NOT FOUND",IF(C4650=I4650,"SELF-VOTE",IF(COUNTIF($K:$K,K4650)&gt;1,"DUPLICATE","OK")))</f>
        <v>OK</v>
      </c>
      <c r="K4650" s="6" t="str">
        <f aca="false">A4650&amp;"|"&amp;B4650&amp;"|"&amp;C4650&amp;"|"&amp;D4650</f>
        <v>7|3|Christine|spotify:track:5uBOaCN5vDdk9JqsefjQSh</v>
      </c>
    </row>
    <row r="4651" customFormat="false" ht="15" hidden="false" customHeight="false" outlineLevel="0" collapsed="false">
      <c r="A4651" s="5" t="n">
        <v>7</v>
      </c>
      <c r="B4651" s="5" t="n">
        <v>3</v>
      </c>
      <c r="C4651" s="5" t="s">
        <v>719</v>
      </c>
      <c r="D4651" s="5" t="s">
        <v>2109</v>
      </c>
      <c r="E4651" s="5" t="n">
        <v>1</v>
      </c>
      <c r="F4651" s="6" t="n">
        <f aca="false">IFERROR(MATCH(A4651&amp;"|"&amp;B4651&amp;"|"&amp;D4651,'All Song Rankings'!$T:$T,0),0)</f>
        <v>705</v>
      </c>
      <c r="G4651" s="6" t="str">
        <f aca="false">IF(F4651=0,"NOT FOUND",INDEX('All Song Rankings'!$A:$A,F4651))</f>
        <v>BOY</v>
      </c>
      <c r="H4651" s="6" t="str">
        <f aca="false">IF(F4651=0,"NOT FOUND",INDEX('All Song Rankings'!$B:$B,F4651))</f>
        <v>Charlie Puth</v>
      </c>
      <c r="I4651" s="6" t="str">
        <f aca="false">IF(F4651=0,"NOT FOUND",INDEX('All Song Rankings'!$D:$D,F4651))</f>
        <v>Stephanie</v>
      </c>
      <c r="J4651" s="7" t="str">
        <f aca="false">IF(F4651=0,"NOT FOUND",IF(C4651=I4651,"SELF-VOTE",IF(COUNTIF($K:$K,K4651)&gt;1,"DUPLICATE","OK")))</f>
        <v>OK</v>
      </c>
      <c r="K4651" s="6" t="str">
        <f aca="false">A4651&amp;"|"&amp;B4651&amp;"|"&amp;C4651&amp;"|"&amp;D4651</f>
        <v>7|3|Christine|spotify:track:7aSvPfoqiM0zwPqupLGaHd</v>
      </c>
    </row>
    <row r="4652" customFormat="false" ht="15" hidden="false" customHeight="false" outlineLevel="0" collapsed="false">
      <c r="A4652" s="5" t="n">
        <v>7</v>
      </c>
      <c r="B4652" s="5" t="n">
        <v>3</v>
      </c>
      <c r="C4652" s="5" t="s">
        <v>719</v>
      </c>
      <c r="D4652" s="5" t="s">
        <v>2123</v>
      </c>
      <c r="E4652" s="5" t="n">
        <v>1</v>
      </c>
      <c r="F4652" s="6" t="n">
        <f aca="false">IFERROR(MATCH(A4652&amp;"|"&amp;B4652&amp;"|"&amp;D4652,'All Song Rankings'!$T:$T,0),0)</f>
        <v>710</v>
      </c>
      <c r="G4652" s="6" t="str">
        <f aca="false">IF(F4652=0,"NOT FOUND",INDEX('All Song Rankings'!$A:$A,F4652))</f>
        <v>Want to Want Me</v>
      </c>
      <c r="H4652" s="6" t="str">
        <f aca="false">IF(F4652=0,"NOT FOUND",INDEX('All Song Rankings'!$B:$B,F4652))</f>
        <v>Jason Derulo</v>
      </c>
      <c r="I4652" s="6" t="str">
        <f aca="false">IF(F4652=0,"NOT FOUND",INDEX('All Song Rankings'!$D:$D,F4652))</f>
        <v>Kelsey</v>
      </c>
      <c r="J4652" s="7" t="str">
        <f aca="false">IF(F4652=0,"NOT FOUND",IF(C4652=I4652,"SELF-VOTE",IF(COUNTIF($K:$K,K4652)&gt;1,"DUPLICATE","OK")))</f>
        <v>OK</v>
      </c>
      <c r="K4652" s="6" t="str">
        <f aca="false">A4652&amp;"|"&amp;B4652&amp;"|"&amp;C4652&amp;"|"&amp;D4652</f>
        <v>7|3|Christine|spotify:track:7oGZAicScQt96OAW4AruYy</v>
      </c>
    </row>
    <row r="4653" customFormat="false" ht="15" hidden="false" customHeight="false" outlineLevel="0" collapsed="false">
      <c r="A4653" s="5" t="n">
        <v>7</v>
      </c>
      <c r="B4653" s="5" t="n">
        <v>3</v>
      </c>
      <c r="C4653" s="5" t="s">
        <v>637</v>
      </c>
      <c r="D4653" s="5" t="s">
        <v>2106</v>
      </c>
      <c r="E4653" s="5" t="n">
        <v>1</v>
      </c>
      <c r="F4653" s="6" t="n">
        <f aca="false">IFERROR(MATCH(A4653&amp;"|"&amp;B4653&amp;"|"&amp;D4653,'All Song Rankings'!$T:$T,0),0)</f>
        <v>704</v>
      </c>
      <c r="G4653" s="6" t="str">
        <f aca="false">IF(F4653=0,"NOT FOUND",INDEX('All Song Rankings'!$A:$A,F4653))</f>
        <v>Sherry</v>
      </c>
      <c r="H4653" s="6" t="str">
        <f aca="false">IF(F4653=0,"NOT FOUND",INDEX('All Song Rankings'!$B:$B,F4653))</f>
        <v>Frankie Valli &amp; The Four Seasons</v>
      </c>
      <c r="I4653" s="6" t="str">
        <f aca="false">IF(F4653=0,"NOT FOUND",INDEX('All Song Rankings'!$D:$D,F4653))</f>
        <v>Logan</v>
      </c>
      <c r="J4653" s="7" t="str">
        <f aca="false">IF(F4653=0,"NOT FOUND",IF(C4653=I4653,"SELF-VOTE",IF(COUNTIF($K:$K,K4653)&gt;1,"DUPLICATE","OK")))</f>
        <v>OK</v>
      </c>
      <c r="K4653" s="6" t="str">
        <f aca="false">A4653&amp;"|"&amp;B4653&amp;"|"&amp;C4653&amp;"|"&amp;D4653</f>
        <v>7|3|Colleen|spotify:track:0NpvdCO506uO58D4AbKzki</v>
      </c>
    </row>
    <row r="4654" customFormat="false" ht="15" hidden="false" customHeight="false" outlineLevel="0" collapsed="false">
      <c r="A4654" s="5" t="n">
        <v>7</v>
      </c>
      <c r="B4654" s="5" t="n">
        <v>3</v>
      </c>
      <c r="C4654" s="5" t="s">
        <v>637</v>
      </c>
      <c r="D4654" s="5" t="s">
        <v>2120</v>
      </c>
      <c r="E4654" s="5" t="n">
        <v>1</v>
      </c>
      <c r="F4654" s="6" t="n">
        <f aca="false">IFERROR(MATCH(A4654&amp;"|"&amp;B4654&amp;"|"&amp;D4654,'All Song Rankings'!$T:$T,0),0)</f>
        <v>709</v>
      </c>
      <c r="G4654" s="6" t="str">
        <f aca="false">IF(F4654=0,"NOT FOUND",INDEX('All Song Rankings'!$A:$A,F4654))</f>
        <v>Teenage Dirtbag</v>
      </c>
      <c r="H4654" s="6" t="str">
        <f aca="false">IF(F4654=0,"NOT FOUND",INDEX('All Song Rankings'!$B:$B,F4654))</f>
        <v>Wheatus</v>
      </c>
      <c r="I4654" s="6" t="str">
        <f aca="false">IF(F4654=0,"NOT FOUND",INDEX('All Song Rankings'!$D:$D,F4654))</f>
        <v>Josh</v>
      </c>
      <c r="J4654" s="7" t="str">
        <f aca="false">IF(F4654=0,"NOT FOUND",IF(C4654=I4654,"SELF-VOTE",IF(COUNTIF($K:$K,K4654)&gt;1,"DUPLICATE","OK")))</f>
        <v>OK</v>
      </c>
      <c r="K4654" s="6" t="str">
        <f aca="false">A4654&amp;"|"&amp;B4654&amp;"|"&amp;C4654&amp;"|"&amp;D4654</f>
        <v>7|3|Colleen|spotify:track:25FTMokYEbEWHEdss5JLZS</v>
      </c>
    </row>
    <row r="4655" customFormat="false" ht="15" hidden="false" customHeight="false" outlineLevel="0" collapsed="false">
      <c r="A4655" s="5" t="n">
        <v>7</v>
      </c>
      <c r="B4655" s="5" t="n">
        <v>3</v>
      </c>
      <c r="C4655" s="5" t="s">
        <v>637</v>
      </c>
      <c r="D4655" s="5" t="s">
        <v>2103</v>
      </c>
      <c r="E4655" s="5" t="n">
        <v>1</v>
      </c>
      <c r="F4655" s="6" t="n">
        <f aca="false">IFERROR(MATCH(A4655&amp;"|"&amp;B4655&amp;"|"&amp;D4655,'All Song Rankings'!$T:$T,0),0)</f>
        <v>703</v>
      </c>
      <c r="G4655" s="6" t="str">
        <f aca="false">IF(F4655=0,"NOT FOUND",INDEX('All Song Rankings'!$A:$A,F4655))</f>
        <v>Take on Me</v>
      </c>
      <c r="H4655" s="6" t="str">
        <f aca="false">IF(F4655=0,"NOT FOUND",INDEX('All Song Rankings'!$B:$B,F4655))</f>
        <v>a-ha</v>
      </c>
      <c r="I4655" s="6" t="str">
        <f aca="false">IF(F4655=0,"NOT FOUND",INDEX('All Song Rankings'!$D:$D,F4655))</f>
        <v>Leah</v>
      </c>
      <c r="J4655" s="7" t="str">
        <f aca="false">IF(F4655=0,"NOT FOUND",IF(C4655=I4655,"SELF-VOTE",IF(COUNTIF($K:$K,K4655)&gt;1,"DUPLICATE","OK")))</f>
        <v>OK</v>
      </c>
      <c r="K4655" s="6" t="str">
        <f aca="false">A4655&amp;"|"&amp;B4655&amp;"|"&amp;C4655&amp;"|"&amp;D4655</f>
        <v>7|3|Colleen|spotify:track:2WfaOiMkCvy7F5fcp2zZ8L</v>
      </c>
    </row>
    <row r="4656" customFormat="false" ht="15" hidden="false" customHeight="false" outlineLevel="0" collapsed="false">
      <c r="A4656" s="5" t="n">
        <v>7</v>
      </c>
      <c r="B4656" s="5" t="n">
        <v>3</v>
      </c>
      <c r="C4656" s="5" t="s">
        <v>637</v>
      </c>
      <c r="D4656" s="5" t="s">
        <v>2136</v>
      </c>
      <c r="E4656" s="5" t="n">
        <v>1</v>
      </c>
      <c r="F4656" s="6" t="n">
        <f aca="false">IFERROR(MATCH(A4656&amp;"|"&amp;B4656&amp;"|"&amp;D4656,'All Song Rankings'!$T:$T,0),0)</f>
        <v>715</v>
      </c>
      <c r="G4656" s="6" t="str">
        <f aca="false">IF(F4656=0,"NOT FOUND",INDEX('All Song Rankings'!$A:$A,F4656))</f>
        <v>One Way Trigger</v>
      </c>
      <c r="H4656" s="6" t="str">
        <f aca="false">IF(F4656=0,"NOT FOUND",INDEX('All Song Rankings'!$B:$B,F4656))</f>
        <v>The Strokes</v>
      </c>
      <c r="I4656" s="6" t="str">
        <f aca="false">IF(F4656=0,"NOT FOUND",INDEX('All Song Rankings'!$D:$D,F4656))</f>
        <v>Christine</v>
      </c>
      <c r="J4656" s="7" t="str">
        <f aca="false">IF(F4656=0,"NOT FOUND",IF(C4656=I4656,"SELF-VOTE",IF(COUNTIF($K:$K,K4656)&gt;1,"DUPLICATE","OK")))</f>
        <v>OK</v>
      </c>
      <c r="K4656" s="6" t="str">
        <f aca="false">A4656&amp;"|"&amp;B4656&amp;"|"&amp;C4656&amp;"|"&amp;D4656</f>
        <v>7|3|Colleen|spotify:track:5GKVcvTgnFYtfh25qKQtRg</v>
      </c>
    </row>
    <row r="4657" customFormat="false" ht="15" hidden="false" customHeight="false" outlineLevel="0" collapsed="false">
      <c r="A4657" s="5" t="n">
        <v>7</v>
      </c>
      <c r="B4657" s="5" t="n">
        <v>3</v>
      </c>
      <c r="C4657" s="5" t="s">
        <v>637</v>
      </c>
      <c r="D4657" s="5" t="s">
        <v>2126</v>
      </c>
      <c r="E4657" s="5" t="n">
        <v>1</v>
      </c>
      <c r="F4657" s="6" t="n">
        <f aca="false">IFERROR(MATCH(A4657&amp;"|"&amp;B4657&amp;"|"&amp;D4657,'All Song Rankings'!$T:$T,0),0)</f>
        <v>711</v>
      </c>
      <c r="G4657" s="6" t="str">
        <f aca="false">IF(F4657=0,"NOT FOUND",INDEX('All Song Rankings'!$A:$A,F4657))</f>
        <v>Your Love</v>
      </c>
      <c r="H4657" s="6" t="str">
        <f aca="false">IF(F4657=0,"NOT FOUND",INDEX('All Song Rankings'!$B:$B,F4657))</f>
        <v>The Outfield</v>
      </c>
      <c r="I4657" s="6" t="str">
        <f aca="false">IF(F4657=0,"NOT FOUND",INDEX('All Song Rankings'!$D:$D,F4657))</f>
        <v>Lisa</v>
      </c>
      <c r="J4657" s="7" t="str">
        <f aca="false">IF(F4657=0,"NOT FOUND",IF(C4657=I4657,"SELF-VOTE",IF(COUNTIF($K:$K,K4657)&gt;1,"DUPLICATE","OK")))</f>
        <v>OK</v>
      </c>
      <c r="K4657" s="6" t="str">
        <f aca="false">A4657&amp;"|"&amp;B4657&amp;"|"&amp;C4657&amp;"|"&amp;D4657</f>
        <v>7|3|Colleen|spotify:track:5dRQUolXAVX3BbCiIxmSsf</v>
      </c>
    </row>
    <row r="4658" customFormat="false" ht="15" hidden="false" customHeight="false" outlineLevel="0" collapsed="false">
      <c r="A4658" s="5" t="n">
        <v>7</v>
      </c>
      <c r="B4658" s="5" t="n">
        <v>3</v>
      </c>
      <c r="C4658" s="5" t="s">
        <v>637</v>
      </c>
      <c r="D4658" s="5" t="s">
        <v>2117</v>
      </c>
      <c r="E4658" s="5" t="n">
        <v>1</v>
      </c>
      <c r="F4658" s="6" t="n">
        <f aca="false">IFERROR(MATCH(A4658&amp;"|"&amp;B4658&amp;"|"&amp;D4658,'All Song Rankings'!$T:$T,0),0)</f>
        <v>708</v>
      </c>
      <c r="G4658" s="6" t="str">
        <f aca="false">IF(F4658=0,"NOT FOUND",INDEX('All Song Rankings'!$A:$A,F4658))</f>
        <v>High</v>
      </c>
      <c r="H4658" s="6" t="str">
        <f aca="false">IF(F4658=0,"NOT FOUND",INDEX('All Song Rankings'!$B:$B,F4658))</f>
        <v>Stephen Sanchez</v>
      </c>
      <c r="I4658" s="6" t="str">
        <f aca="false">IF(F4658=0,"NOT FOUND",INDEX('All Song Rankings'!$D:$D,F4658))</f>
        <v>Lucia</v>
      </c>
      <c r="J4658" s="7" t="str">
        <f aca="false">IF(F4658=0,"NOT FOUND",IF(C4658=I4658,"SELF-VOTE",IF(COUNTIF($K:$K,K4658)&gt;1,"DUPLICATE","OK")))</f>
        <v>OK</v>
      </c>
      <c r="K4658" s="6" t="str">
        <f aca="false">A4658&amp;"|"&amp;B4658&amp;"|"&amp;C4658&amp;"|"&amp;D4658</f>
        <v>7|3|Colleen|spotify:track:5hlPrSCx9BvnQ3rCTkblMZ</v>
      </c>
    </row>
    <row r="4659" customFormat="false" ht="15" hidden="false" customHeight="false" outlineLevel="0" collapsed="false">
      <c r="A4659" s="5" t="n">
        <v>7</v>
      </c>
      <c r="B4659" s="5" t="n">
        <v>3</v>
      </c>
      <c r="C4659" s="5" t="s">
        <v>637</v>
      </c>
      <c r="D4659" s="5" t="s">
        <v>2114</v>
      </c>
      <c r="E4659" s="5" t="n">
        <v>1</v>
      </c>
      <c r="F4659" s="6" t="n">
        <f aca="false">IFERROR(MATCH(A4659&amp;"|"&amp;B4659&amp;"|"&amp;D4659,'All Song Rankings'!$T:$T,0),0)</f>
        <v>707</v>
      </c>
      <c r="G4659" s="6" t="str">
        <f aca="false">IF(F4659=0,"NOT FOUND",INDEX('All Song Rankings'!$A:$A,F4659))</f>
        <v>Kiss</v>
      </c>
      <c r="H4659" s="6" t="str">
        <f aca="false">IF(F4659=0,"NOT FOUND",INDEX('All Song Rankings'!$B:$B,F4659))</f>
        <v>Prince</v>
      </c>
      <c r="I4659" s="6" t="str">
        <f aca="false">IF(F4659=0,"NOT FOUND",INDEX('All Song Rankings'!$D:$D,F4659))</f>
        <v>Kristen</v>
      </c>
      <c r="J4659" s="7" t="str">
        <f aca="false">IF(F4659=0,"NOT FOUND",IF(C4659=I4659,"SELF-VOTE",IF(COUNTIF($K:$K,K4659)&gt;1,"DUPLICATE","OK")))</f>
        <v>OK</v>
      </c>
      <c r="K4659" s="6" t="str">
        <f aca="false">A4659&amp;"|"&amp;B4659&amp;"|"&amp;C4659&amp;"|"&amp;D4659</f>
        <v>7|3|Colleen|spotify:track:5uBOaCN5vDdk9JqsefjQSh</v>
      </c>
    </row>
    <row r="4660" customFormat="false" ht="15" hidden="false" customHeight="false" outlineLevel="0" collapsed="false">
      <c r="A4660" s="5" t="n">
        <v>7</v>
      </c>
      <c r="B4660" s="5" t="n">
        <v>3</v>
      </c>
      <c r="C4660" s="5" t="s">
        <v>637</v>
      </c>
      <c r="D4660" s="5" t="s">
        <v>2109</v>
      </c>
      <c r="E4660" s="5" t="n">
        <v>2</v>
      </c>
      <c r="F4660" s="6" t="n">
        <f aca="false">IFERROR(MATCH(A4660&amp;"|"&amp;B4660&amp;"|"&amp;D4660,'All Song Rankings'!$T:$T,0),0)</f>
        <v>705</v>
      </c>
      <c r="G4660" s="6" t="str">
        <f aca="false">IF(F4660=0,"NOT FOUND",INDEX('All Song Rankings'!$A:$A,F4660))</f>
        <v>BOY</v>
      </c>
      <c r="H4660" s="6" t="str">
        <f aca="false">IF(F4660=0,"NOT FOUND",INDEX('All Song Rankings'!$B:$B,F4660))</f>
        <v>Charlie Puth</v>
      </c>
      <c r="I4660" s="6" t="str">
        <f aca="false">IF(F4660=0,"NOT FOUND",INDEX('All Song Rankings'!$D:$D,F4660))</f>
        <v>Stephanie</v>
      </c>
      <c r="J4660" s="7" t="str">
        <f aca="false">IF(F4660=0,"NOT FOUND",IF(C4660=I4660,"SELF-VOTE",IF(COUNTIF($K:$K,K4660)&gt;1,"DUPLICATE","OK")))</f>
        <v>OK</v>
      </c>
      <c r="K4660" s="6" t="str">
        <f aca="false">A4660&amp;"|"&amp;B4660&amp;"|"&amp;C4660&amp;"|"&amp;D4660</f>
        <v>7|3|Colleen|spotify:track:7aSvPfoqiM0zwPqupLGaHd</v>
      </c>
    </row>
    <row r="4661" customFormat="false" ht="15" hidden="false" customHeight="false" outlineLevel="0" collapsed="false">
      <c r="A4661" s="5" t="n">
        <v>7</v>
      </c>
      <c r="B4661" s="5" t="n">
        <v>3</v>
      </c>
      <c r="C4661" s="5" t="s">
        <v>637</v>
      </c>
      <c r="D4661" s="5" t="s">
        <v>2123</v>
      </c>
      <c r="E4661" s="5" t="n">
        <v>1</v>
      </c>
      <c r="F4661" s="6" t="n">
        <f aca="false">IFERROR(MATCH(A4661&amp;"|"&amp;B4661&amp;"|"&amp;D4661,'All Song Rankings'!$T:$T,0),0)</f>
        <v>710</v>
      </c>
      <c r="G4661" s="6" t="str">
        <f aca="false">IF(F4661=0,"NOT FOUND",INDEX('All Song Rankings'!$A:$A,F4661))</f>
        <v>Want to Want Me</v>
      </c>
      <c r="H4661" s="6" t="str">
        <f aca="false">IF(F4661=0,"NOT FOUND",INDEX('All Song Rankings'!$B:$B,F4661))</f>
        <v>Jason Derulo</v>
      </c>
      <c r="I4661" s="6" t="str">
        <f aca="false">IF(F4661=0,"NOT FOUND",INDEX('All Song Rankings'!$D:$D,F4661))</f>
        <v>Kelsey</v>
      </c>
      <c r="J4661" s="7" t="str">
        <f aca="false">IF(F4661=0,"NOT FOUND",IF(C4661=I4661,"SELF-VOTE",IF(COUNTIF($K:$K,K4661)&gt;1,"DUPLICATE","OK")))</f>
        <v>OK</v>
      </c>
      <c r="K4661" s="6" t="str">
        <f aca="false">A4661&amp;"|"&amp;B4661&amp;"|"&amp;C4661&amp;"|"&amp;D4661</f>
        <v>7|3|Colleen|spotify:track:7oGZAicScQt96OAW4AruYy</v>
      </c>
    </row>
    <row r="4662" customFormat="false" ht="15" hidden="false" customHeight="false" outlineLevel="0" collapsed="false">
      <c r="A4662" s="5" t="n">
        <v>7</v>
      </c>
      <c r="B4662" s="5" t="n">
        <v>3</v>
      </c>
      <c r="C4662" s="5" t="s">
        <v>382</v>
      </c>
      <c r="D4662" s="5" t="s">
        <v>2106</v>
      </c>
      <c r="E4662" s="5" t="n">
        <v>1</v>
      </c>
      <c r="F4662" s="6" t="n">
        <f aca="false">IFERROR(MATCH(A4662&amp;"|"&amp;B4662&amp;"|"&amp;D4662,'All Song Rankings'!$T:$T,0),0)</f>
        <v>704</v>
      </c>
      <c r="G4662" s="6" t="str">
        <f aca="false">IF(F4662=0,"NOT FOUND",INDEX('All Song Rankings'!$A:$A,F4662))</f>
        <v>Sherry</v>
      </c>
      <c r="H4662" s="6" t="str">
        <f aca="false">IF(F4662=0,"NOT FOUND",INDEX('All Song Rankings'!$B:$B,F4662))</f>
        <v>Frankie Valli &amp; The Four Seasons</v>
      </c>
      <c r="I4662" s="6" t="str">
        <f aca="false">IF(F4662=0,"NOT FOUND",INDEX('All Song Rankings'!$D:$D,F4662))</f>
        <v>Logan</v>
      </c>
      <c r="J4662" s="7" t="str">
        <f aca="false">IF(F4662=0,"NOT FOUND",IF(C4662=I4662,"SELF-VOTE",IF(COUNTIF($K:$K,K4662)&gt;1,"DUPLICATE","OK")))</f>
        <v>OK</v>
      </c>
      <c r="K4662" s="6" t="str">
        <f aca="false">A4662&amp;"|"&amp;B4662&amp;"|"&amp;C4662&amp;"|"&amp;D4662</f>
        <v>7|3|Grace|spotify:track:0NpvdCO506uO58D4AbKzki</v>
      </c>
    </row>
    <row r="4663" customFormat="false" ht="15" hidden="false" customHeight="false" outlineLevel="0" collapsed="false">
      <c r="A4663" s="5" t="n">
        <v>7</v>
      </c>
      <c r="B4663" s="5" t="n">
        <v>3</v>
      </c>
      <c r="C4663" s="5" t="s">
        <v>382</v>
      </c>
      <c r="D4663" s="5" t="s">
        <v>2131</v>
      </c>
      <c r="E4663" s="5" t="n">
        <v>2</v>
      </c>
      <c r="F4663" s="6" t="n">
        <f aca="false">IFERROR(MATCH(A4663&amp;"|"&amp;B4663&amp;"|"&amp;D4663,'All Song Rankings'!$T:$T,0),0)</f>
        <v>713</v>
      </c>
      <c r="G4663" s="6" t="str">
        <f aca="false">IF(F4663=0,"NOT FOUND",INDEX('All Song Rankings'!$A:$A,F4663))</f>
        <v>Emotions</v>
      </c>
      <c r="H4663" s="6" t="str">
        <f aca="false">IF(F4663=0,"NOT FOUND",INDEX('All Song Rankings'!$B:$B,F4663))</f>
        <v>Mariah Carey</v>
      </c>
      <c r="I4663" s="6" t="str">
        <f aca="false">IF(F4663=0,"NOT FOUND",INDEX('All Song Rankings'!$D:$D,F4663))</f>
        <v>Sara</v>
      </c>
      <c r="J4663" s="7" t="str">
        <f aca="false">IF(F4663=0,"NOT FOUND",IF(C4663=I4663,"SELF-VOTE",IF(COUNTIF($K:$K,K4663)&gt;1,"DUPLICATE","OK")))</f>
        <v>OK</v>
      </c>
      <c r="K4663" s="6" t="str">
        <f aca="false">A4663&amp;"|"&amp;B4663&amp;"|"&amp;C4663&amp;"|"&amp;D4663</f>
        <v>7|3|Grace|spotify:track:0cELvuwJW1acISUHYB6suj</v>
      </c>
    </row>
    <row r="4664" customFormat="false" ht="15" hidden="false" customHeight="false" outlineLevel="0" collapsed="false">
      <c r="A4664" s="5" t="n">
        <v>7</v>
      </c>
      <c r="B4664" s="5" t="n">
        <v>3</v>
      </c>
      <c r="C4664" s="5" t="s">
        <v>382</v>
      </c>
      <c r="D4664" s="5" t="s">
        <v>2136</v>
      </c>
      <c r="E4664" s="5" t="n">
        <v>1</v>
      </c>
      <c r="F4664" s="6" t="n">
        <f aca="false">IFERROR(MATCH(A4664&amp;"|"&amp;B4664&amp;"|"&amp;D4664,'All Song Rankings'!$T:$T,0),0)</f>
        <v>715</v>
      </c>
      <c r="G4664" s="6" t="str">
        <f aca="false">IF(F4664=0,"NOT FOUND",INDEX('All Song Rankings'!$A:$A,F4664))</f>
        <v>One Way Trigger</v>
      </c>
      <c r="H4664" s="6" t="str">
        <f aca="false">IF(F4664=0,"NOT FOUND",INDEX('All Song Rankings'!$B:$B,F4664))</f>
        <v>The Strokes</v>
      </c>
      <c r="I4664" s="6" t="str">
        <f aca="false">IF(F4664=0,"NOT FOUND",INDEX('All Song Rankings'!$D:$D,F4664))</f>
        <v>Christine</v>
      </c>
      <c r="J4664" s="7" t="str">
        <f aca="false">IF(F4664=0,"NOT FOUND",IF(C4664=I4664,"SELF-VOTE",IF(COUNTIF($K:$K,K4664)&gt;1,"DUPLICATE","OK")))</f>
        <v>OK</v>
      </c>
      <c r="K4664" s="6" t="str">
        <f aca="false">A4664&amp;"|"&amp;B4664&amp;"|"&amp;C4664&amp;"|"&amp;D4664</f>
        <v>7|3|Grace|spotify:track:5GKVcvTgnFYtfh25qKQtRg</v>
      </c>
    </row>
    <row r="4665" customFormat="false" ht="15" hidden="false" customHeight="false" outlineLevel="0" collapsed="false">
      <c r="A4665" s="5" t="n">
        <v>7</v>
      </c>
      <c r="B4665" s="5" t="n">
        <v>3</v>
      </c>
      <c r="C4665" s="5" t="s">
        <v>382</v>
      </c>
      <c r="D4665" s="5" t="s">
        <v>2126</v>
      </c>
      <c r="E4665" s="5" t="n">
        <v>2</v>
      </c>
      <c r="F4665" s="6" t="n">
        <f aca="false">IFERROR(MATCH(A4665&amp;"|"&amp;B4665&amp;"|"&amp;D4665,'All Song Rankings'!$T:$T,0),0)</f>
        <v>711</v>
      </c>
      <c r="G4665" s="6" t="str">
        <f aca="false">IF(F4665=0,"NOT FOUND",INDEX('All Song Rankings'!$A:$A,F4665))</f>
        <v>Your Love</v>
      </c>
      <c r="H4665" s="6" t="str">
        <f aca="false">IF(F4665=0,"NOT FOUND",INDEX('All Song Rankings'!$B:$B,F4665))</f>
        <v>The Outfield</v>
      </c>
      <c r="I4665" s="6" t="str">
        <f aca="false">IF(F4665=0,"NOT FOUND",INDEX('All Song Rankings'!$D:$D,F4665))</f>
        <v>Lisa</v>
      </c>
      <c r="J4665" s="7" t="str">
        <f aca="false">IF(F4665=0,"NOT FOUND",IF(C4665=I4665,"SELF-VOTE",IF(COUNTIF($K:$K,K4665)&gt;1,"DUPLICATE","OK")))</f>
        <v>OK</v>
      </c>
      <c r="K4665" s="6" t="str">
        <f aca="false">A4665&amp;"|"&amp;B4665&amp;"|"&amp;C4665&amp;"|"&amp;D4665</f>
        <v>7|3|Grace|spotify:track:5dRQUolXAVX3BbCiIxmSsf</v>
      </c>
    </row>
    <row r="4666" customFormat="false" ht="15" hidden="false" customHeight="false" outlineLevel="0" collapsed="false">
      <c r="A4666" s="5" t="n">
        <v>7</v>
      </c>
      <c r="B4666" s="5" t="n">
        <v>3</v>
      </c>
      <c r="C4666" s="5" t="s">
        <v>382</v>
      </c>
      <c r="D4666" s="5" t="s">
        <v>2114</v>
      </c>
      <c r="E4666" s="5" t="n">
        <v>1</v>
      </c>
      <c r="F4666" s="6" t="n">
        <f aca="false">IFERROR(MATCH(A4666&amp;"|"&amp;B4666&amp;"|"&amp;D4666,'All Song Rankings'!$T:$T,0),0)</f>
        <v>707</v>
      </c>
      <c r="G4666" s="6" t="str">
        <f aca="false">IF(F4666=0,"NOT FOUND",INDEX('All Song Rankings'!$A:$A,F4666))</f>
        <v>Kiss</v>
      </c>
      <c r="H4666" s="6" t="str">
        <f aca="false">IF(F4666=0,"NOT FOUND",INDEX('All Song Rankings'!$B:$B,F4666))</f>
        <v>Prince</v>
      </c>
      <c r="I4666" s="6" t="str">
        <f aca="false">IF(F4666=0,"NOT FOUND",INDEX('All Song Rankings'!$D:$D,F4666))</f>
        <v>Kristen</v>
      </c>
      <c r="J4666" s="7" t="str">
        <f aca="false">IF(F4666=0,"NOT FOUND",IF(C4666=I4666,"SELF-VOTE",IF(COUNTIF($K:$K,K4666)&gt;1,"DUPLICATE","OK")))</f>
        <v>OK</v>
      </c>
      <c r="K4666" s="6" t="str">
        <f aca="false">A4666&amp;"|"&amp;B4666&amp;"|"&amp;C4666&amp;"|"&amp;D4666</f>
        <v>7|3|Grace|spotify:track:5uBOaCN5vDdk9JqsefjQSh</v>
      </c>
    </row>
    <row r="4667" customFormat="false" ht="15" hidden="false" customHeight="false" outlineLevel="0" collapsed="false">
      <c r="A4667" s="5" t="n">
        <v>7</v>
      </c>
      <c r="B4667" s="5" t="n">
        <v>3</v>
      </c>
      <c r="C4667" s="5" t="s">
        <v>382</v>
      </c>
      <c r="D4667" s="5" t="s">
        <v>2109</v>
      </c>
      <c r="E4667" s="5" t="n">
        <v>1</v>
      </c>
      <c r="F4667" s="6" t="n">
        <f aca="false">IFERROR(MATCH(A4667&amp;"|"&amp;B4667&amp;"|"&amp;D4667,'All Song Rankings'!$T:$T,0),0)</f>
        <v>705</v>
      </c>
      <c r="G4667" s="6" t="str">
        <f aca="false">IF(F4667=0,"NOT FOUND",INDEX('All Song Rankings'!$A:$A,F4667))</f>
        <v>BOY</v>
      </c>
      <c r="H4667" s="6" t="str">
        <f aca="false">IF(F4667=0,"NOT FOUND",INDEX('All Song Rankings'!$B:$B,F4667))</f>
        <v>Charlie Puth</v>
      </c>
      <c r="I4667" s="6" t="str">
        <f aca="false">IF(F4667=0,"NOT FOUND",INDEX('All Song Rankings'!$D:$D,F4667))</f>
        <v>Stephanie</v>
      </c>
      <c r="J4667" s="7" t="str">
        <f aca="false">IF(F4667=0,"NOT FOUND",IF(C4667=I4667,"SELF-VOTE",IF(COUNTIF($K:$K,K4667)&gt;1,"DUPLICATE","OK")))</f>
        <v>OK</v>
      </c>
      <c r="K4667" s="6" t="str">
        <f aca="false">A4667&amp;"|"&amp;B4667&amp;"|"&amp;C4667&amp;"|"&amp;D4667</f>
        <v>7|3|Grace|spotify:track:7aSvPfoqiM0zwPqupLGaHd</v>
      </c>
    </row>
    <row r="4668" customFormat="false" ht="15" hidden="false" customHeight="false" outlineLevel="0" collapsed="false">
      <c r="A4668" s="5" t="n">
        <v>7</v>
      </c>
      <c r="B4668" s="5" t="n">
        <v>3</v>
      </c>
      <c r="C4668" s="5" t="s">
        <v>382</v>
      </c>
      <c r="D4668" s="5" t="s">
        <v>2123</v>
      </c>
      <c r="E4668" s="5" t="n">
        <v>2</v>
      </c>
      <c r="F4668" s="6" t="n">
        <f aca="false">IFERROR(MATCH(A4668&amp;"|"&amp;B4668&amp;"|"&amp;D4668,'All Song Rankings'!$T:$T,0),0)</f>
        <v>710</v>
      </c>
      <c r="G4668" s="6" t="str">
        <f aca="false">IF(F4668=0,"NOT FOUND",INDEX('All Song Rankings'!$A:$A,F4668))</f>
        <v>Want to Want Me</v>
      </c>
      <c r="H4668" s="6" t="str">
        <f aca="false">IF(F4668=0,"NOT FOUND",INDEX('All Song Rankings'!$B:$B,F4668))</f>
        <v>Jason Derulo</v>
      </c>
      <c r="I4668" s="6" t="str">
        <f aca="false">IF(F4668=0,"NOT FOUND",INDEX('All Song Rankings'!$D:$D,F4668))</f>
        <v>Kelsey</v>
      </c>
      <c r="J4668" s="7" t="str">
        <f aca="false">IF(F4668=0,"NOT FOUND",IF(C4668=I4668,"SELF-VOTE",IF(COUNTIF($K:$K,K4668)&gt;1,"DUPLICATE","OK")))</f>
        <v>OK</v>
      </c>
      <c r="K4668" s="6" t="str">
        <f aca="false">A4668&amp;"|"&amp;B4668&amp;"|"&amp;C4668&amp;"|"&amp;D4668</f>
        <v>7|3|Grace|spotify:track:7oGZAicScQt96OAW4AruYy</v>
      </c>
    </row>
    <row r="4669" customFormat="false" ht="15" hidden="false" customHeight="false" outlineLevel="0" collapsed="false">
      <c r="A4669" s="5" t="n">
        <v>7</v>
      </c>
      <c r="B4669" s="5" t="n">
        <v>3</v>
      </c>
      <c r="C4669" s="5" t="s">
        <v>1843</v>
      </c>
      <c r="D4669" s="5" t="s">
        <v>2106</v>
      </c>
      <c r="E4669" s="5" t="n">
        <v>1</v>
      </c>
      <c r="F4669" s="6" t="n">
        <f aca="false">IFERROR(MATCH(A4669&amp;"|"&amp;B4669&amp;"|"&amp;D4669,'All Song Rankings'!$T:$T,0),0)</f>
        <v>704</v>
      </c>
      <c r="G4669" s="6" t="str">
        <f aca="false">IF(F4669=0,"NOT FOUND",INDEX('All Song Rankings'!$A:$A,F4669))</f>
        <v>Sherry</v>
      </c>
      <c r="H4669" s="6" t="str">
        <f aca="false">IF(F4669=0,"NOT FOUND",INDEX('All Song Rankings'!$B:$B,F4669))</f>
        <v>Frankie Valli &amp; The Four Seasons</v>
      </c>
      <c r="I4669" s="6" t="str">
        <f aca="false">IF(F4669=0,"NOT FOUND",INDEX('All Song Rankings'!$D:$D,F4669))</f>
        <v>Logan</v>
      </c>
      <c r="J4669" s="7" t="str">
        <f aca="false">IF(F4669=0,"NOT FOUND",IF(C4669=I4669,"SELF-VOTE",IF(COUNTIF($K:$K,K4669)&gt;1,"DUPLICATE","OK")))</f>
        <v>OK</v>
      </c>
      <c r="K4669" s="6" t="str">
        <f aca="false">A4669&amp;"|"&amp;B4669&amp;"|"&amp;C4669&amp;"|"&amp;D4669</f>
        <v>7|3|Josh|spotify:track:0NpvdCO506uO58D4AbKzki</v>
      </c>
    </row>
    <row r="4670" customFormat="false" ht="15" hidden="false" customHeight="false" outlineLevel="0" collapsed="false">
      <c r="A4670" s="5" t="n">
        <v>7</v>
      </c>
      <c r="B4670" s="5" t="n">
        <v>3</v>
      </c>
      <c r="C4670" s="5" t="s">
        <v>1843</v>
      </c>
      <c r="D4670" s="5" t="s">
        <v>2131</v>
      </c>
      <c r="E4670" s="5" t="n">
        <v>1</v>
      </c>
      <c r="F4670" s="6" t="n">
        <f aca="false">IFERROR(MATCH(A4670&amp;"|"&amp;B4670&amp;"|"&amp;D4670,'All Song Rankings'!$T:$T,0),0)</f>
        <v>713</v>
      </c>
      <c r="G4670" s="6" t="str">
        <f aca="false">IF(F4670=0,"NOT FOUND",INDEX('All Song Rankings'!$A:$A,F4670))</f>
        <v>Emotions</v>
      </c>
      <c r="H4670" s="6" t="str">
        <f aca="false">IF(F4670=0,"NOT FOUND",INDEX('All Song Rankings'!$B:$B,F4670))</f>
        <v>Mariah Carey</v>
      </c>
      <c r="I4670" s="6" t="str">
        <f aca="false">IF(F4670=0,"NOT FOUND",INDEX('All Song Rankings'!$D:$D,F4670))</f>
        <v>Sara</v>
      </c>
      <c r="J4670" s="7" t="str">
        <f aca="false">IF(F4670=0,"NOT FOUND",IF(C4670=I4670,"SELF-VOTE",IF(COUNTIF($K:$K,K4670)&gt;1,"DUPLICATE","OK")))</f>
        <v>OK</v>
      </c>
      <c r="K4670" s="6" t="str">
        <f aca="false">A4670&amp;"|"&amp;B4670&amp;"|"&amp;C4670&amp;"|"&amp;D4670</f>
        <v>7|3|Josh|spotify:track:0cELvuwJW1acISUHYB6suj</v>
      </c>
    </row>
    <row r="4671" customFormat="false" ht="15" hidden="false" customHeight="false" outlineLevel="0" collapsed="false">
      <c r="A4671" s="5" t="n">
        <v>7</v>
      </c>
      <c r="B4671" s="5" t="n">
        <v>3</v>
      </c>
      <c r="C4671" s="5" t="s">
        <v>1843</v>
      </c>
      <c r="D4671" s="5" t="s">
        <v>2103</v>
      </c>
      <c r="E4671" s="5" t="n">
        <v>1</v>
      </c>
      <c r="F4671" s="6" t="n">
        <f aca="false">IFERROR(MATCH(A4671&amp;"|"&amp;B4671&amp;"|"&amp;D4671,'All Song Rankings'!$T:$T,0),0)</f>
        <v>703</v>
      </c>
      <c r="G4671" s="6" t="str">
        <f aca="false">IF(F4671=0,"NOT FOUND",INDEX('All Song Rankings'!$A:$A,F4671))</f>
        <v>Take on Me</v>
      </c>
      <c r="H4671" s="6" t="str">
        <f aca="false">IF(F4671=0,"NOT FOUND",INDEX('All Song Rankings'!$B:$B,F4671))</f>
        <v>a-ha</v>
      </c>
      <c r="I4671" s="6" t="str">
        <f aca="false">IF(F4671=0,"NOT FOUND",INDEX('All Song Rankings'!$D:$D,F4671))</f>
        <v>Leah</v>
      </c>
      <c r="J4671" s="7" t="str">
        <f aca="false">IF(F4671=0,"NOT FOUND",IF(C4671=I4671,"SELF-VOTE",IF(COUNTIF($K:$K,K4671)&gt;1,"DUPLICATE","OK")))</f>
        <v>OK</v>
      </c>
      <c r="K4671" s="6" t="str">
        <f aca="false">A4671&amp;"|"&amp;B4671&amp;"|"&amp;C4671&amp;"|"&amp;D4671</f>
        <v>7|3|Josh|spotify:track:2WfaOiMkCvy7F5fcp2zZ8L</v>
      </c>
    </row>
    <row r="4672" customFormat="false" ht="15" hidden="false" customHeight="false" outlineLevel="0" collapsed="false">
      <c r="A4672" s="5" t="n">
        <v>7</v>
      </c>
      <c r="B4672" s="5" t="n">
        <v>3</v>
      </c>
      <c r="C4672" s="5" t="s">
        <v>1843</v>
      </c>
      <c r="D4672" s="5" t="s">
        <v>2129</v>
      </c>
      <c r="E4672" s="5" t="n">
        <v>1</v>
      </c>
      <c r="F4672" s="6" t="n">
        <f aca="false">IFERROR(MATCH(A4672&amp;"|"&amp;B4672&amp;"|"&amp;D4672,'All Song Rankings'!$T:$T,0),0)</f>
        <v>712</v>
      </c>
      <c r="G4672" s="6" t="str">
        <f aca="false">IF(F4672=0,"NOT FOUND",INDEX('All Song Rankings'!$A:$A,F4672))</f>
        <v>Black Dog - Remaster</v>
      </c>
      <c r="H4672" s="6" t="str">
        <f aca="false">IF(F4672=0,"NOT FOUND",INDEX('All Song Rankings'!$B:$B,F4672))</f>
        <v>Led Zeppelin</v>
      </c>
      <c r="I4672" s="6" t="str">
        <f aca="false">IF(F4672=0,"NOT FOUND",INDEX('All Song Rankings'!$D:$D,F4672))</f>
        <v>Matt</v>
      </c>
      <c r="J4672" s="7" t="str">
        <f aca="false">IF(F4672=0,"NOT FOUND",IF(C4672=I4672,"SELF-VOTE",IF(COUNTIF($K:$K,K4672)&gt;1,"DUPLICATE","OK")))</f>
        <v>OK</v>
      </c>
      <c r="K4672" s="6" t="str">
        <f aca="false">A4672&amp;"|"&amp;B4672&amp;"|"&amp;C4672&amp;"|"&amp;D4672</f>
        <v>7|3|Josh|spotify:track:3qT4bUD1MaWpGrTwcvguhb</v>
      </c>
    </row>
    <row r="4673" customFormat="false" ht="15" hidden="false" customHeight="false" outlineLevel="0" collapsed="false">
      <c r="A4673" s="5" t="n">
        <v>7</v>
      </c>
      <c r="B4673" s="5" t="n">
        <v>3</v>
      </c>
      <c r="C4673" s="5" t="s">
        <v>1843</v>
      </c>
      <c r="D4673" s="5" t="s">
        <v>2136</v>
      </c>
      <c r="E4673" s="5" t="n">
        <v>1</v>
      </c>
      <c r="F4673" s="6" t="n">
        <f aca="false">IFERROR(MATCH(A4673&amp;"|"&amp;B4673&amp;"|"&amp;D4673,'All Song Rankings'!$T:$T,0),0)</f>
        <v>715</v>
      </c>
      <c r="G4673" s="6" t="str">
        <f aca="false">IF(F4673=0,"NOT FOUND",INDEX('All Song Rankings'!$A:$A,F4673))</f>
        <v>One Way Trigger</v>
      </c>
      <c r="H4673" s="6" t="str">
        <f aca="false">IF(F4673=0,"NOT FOUND",INDEX('All Song Rankings'!$B:$B,F4673))</f>
        <v>The Strokes</v>
      </c>
      <c r="I4673" s="6" t="str">
        <f aca="false">IF(F4673=0,"NOT FOUND",INDEX('All Song Rankings'!$D:$D,F4673))</f>
        <v>Christine</v>
      </c>
      <c r="J4673" s="7" t="str">
        <f aca="false">IF(F4673=0,"NOT FOUND",IF(C4673=I4673,"SELF-VOTE",IF(COUNTIF($K:$K,K4673)&gt;1,"DUPLICATE","OK")))</f>
        <v>OK</v>
      </c>
      <c r="K4673" s="6" t="str">
        <f aca="false">A4673&amp;"|"&amp;B4673&amp;"|"&amp;C4673&amp;"|"&amp;D4673</f>
        <v>7|3|Josh|spotify:track:5GKVcvTgnFYtfh25qKQtRg</v>
      </c>
    </row>
    <row r="4674" customFormat="false" ht="15" hidden="false" customHeight="false" outlineLevel="0" collapsed="false">
      <c r="A4674" s="5" t="n">
        <v>7</v>
      </c>
      <c r="B4674" s="5" t="n">
        <v>3</v>
      </c>
      <c r="C4674" s="5" t="s">
        <v>1843</v>
      </c>
      <c r="D4674" s="5" t="s">
        <v>2126</v>
      </c>
      <c r="E4674" s="5" t="n">
        <v>1</v>
      </c>
      <c r="F4674" s="6" t="n">
        <f aca="false">IFERROR(MATCH(A4674&amp;"|"&amp;B4674&amp;"|"&amp;D4674,'All Song Rankings'!$T:$T,0),0)</f>
        <v>711</v>
      </c>
      <c r="G4674" s="6" t="str">
        <f aca="false">IF(F4674=0,"NOT FOUND",INDEX('All Song Rankings'!$A:$A,F4674))</f>
        <v>Your Love</v>
      </c>
      <c r="H4674" s="6" t="str">
        <f aca="false">IF(F4674=0,"NOT FOUND",INDEX('All Song Rankings'!$B:$B,F4674))</f>
        <v>The Outfield</v>
      </c>
      <c r="I4674" s="6" t="str">
        <f aca="false">IF(F4674=0,"NOT FOUND",INDEX('All Song Rankings'!$D:$D,F4674))</f>
        <v>Lisa</v>
      </c>
      <c r="J4674" s="7" t="str">
        <f aca="false">IF(F4674=0,"NOT FOUND",IF(C4674=I4674,"SELF-VOTE",IF(COUNTIF($K:$K,K4674)&gt;1,"DUPLICATE","OK")))</f>
        <v>OK</v>
      </c>
      <c r="K4674" s="6" t="str">
        <f aca="false">A4674&amp;"|"&amp;B4674&amp;"|"&amp;C4674&amp;"|"&amp;D4674</f>
        <v>7|3|Josh|spotify:track:5dRQUolXAVX3BbCiIxmSsf</v>
      </c>
    </row>
    <row r="4675" customFormat="false" ht="15" hidden="false" customHeight="false" outlineLevel="0" collapsed="false">
      <c r="A4675" s="5" t="n">
        <v>7</v>
      </c>
      <c r="B4675" s="5" t="n">
        <v>3</v>
      </c>
      <c r="C4675" s="5" t="s">
        <v>1843</v>
      </c>
      <c r="D4675" s="5" t="s">
        <v>2117</v>
      </c>
      <c r="E4675" s="5" t="n">
        <v>1</v>
      </c>
      <c r="F4675" s="6" t="n">
        <f aca="false">IFERROR(MATCH(A4675&amp;"|"&amp;B4675&amp;"|"&amp;D4675,'All Song Rankings'!$T:$T,0),0)</f>
        <v>708</v>
      </c>
      <c r="G4675" s="6" t="str">
        <f aca="false">IF(F4675=0,"NOT FOUND",INDEX('All Song Rankings'!$A:$A,F4675))</f>
        <v>High</v>
      </c>
      <c r="H4675" s="6" t="str">
        <f aca="false">IF(F4675=0,"NOT FOUND",INDEX('All Song Rankings'!$B:$B,F4675))</f>
        <v>Stephen Sanchez</v>
      </c>
      <c r="I4675" s="6" t="str">
        <f aca="false">IF(F4675=0,"NOT FOUND",INDEX('All Song Rankings'!$D:$D,F4675))</f>
        <v>Lucia</v>
      </c>
      <c r="J4675" s="7" t="str">
        <f aca="false">IF(F4675=0,"NOT FOUND",IF(C4675=I4675,"SELF-VOTE",IF(COUNTIF($K:$K,K4675)&gt;1,"DUPLICATE","OK")))</f>
        <v>OK</v>
      </c>
      <c r="K4675" s="6" t="str">
        <f aca="false">A4675&amp;"|"&amp;B4675&amp;"|"&amp;C4675&amp;"|"&amp;D4675</f>
        <v>7|3|Josh|spotify:track:5hlPrSCx9BvnQ3rCTkblMZ</v>
      </c>
    </row>
    <row r="4676" customFormat="false" ht="15" hidden="false" customHeight="false" outlineLevel="0" collapsed="false">
      <c r="A4676" s="5" t="n">
        <v>7</v>
      </c>
      <c r="B4676" s="5" t="n">
        <v>3</v>
      </c>
      <c r="C4676" s="5" t="s">
        <v>1843</v>
      </c>
      <c r="D4676" s="5" t="s">
        <v>2114</v>
      </c>
      <c r="E4676" s="5" t="n">
        <v>1</v>
      </c>
      <c r="F4676" s="6" t="n">
        <f aca="false">IFERROR(MATCH(A4676&amp;"|"&amp;B4676&amp;"|"&amp;D4676,'All Song Rankings'!$T:$T,0),0)</f>
        <v>707</v>
      </c>
      <c r="G4676" s="6" t="str">
        <f aca="false">IF(F4676=0,"NOT FOUND",INDEX('All Song Rankings'!$A:$A,F4676))</f>
        <v>Kiss</v>
      </c>
      <c r="H4676" s="6" t="str">
        <f aca="false">IF(F4676=0,"NOT FOUND",INDEX('All Song Rankings'!$B:$B,F4676))</f>
        <v>Prince</v>
      </c>
      <c r="I4676" s="6" t="str">
        <f aca="false">IF(F4676=0,"NOT FOUND",INDEX('All Song Rankings'!$D:$D,F4676))</f>
        <v>Kristen</v>
      </c>
      <c r="J4676" s="7" t="str">
        <f aca="false">IF(F4676=0,"NOT FOUND",IF(C4676=I4676,"SELF-VOTE",IF(COUNTIF($K:$K,K4676)&gt;1,"DUPLICATE","OK")))</f>
        <v>OK</v>
      </c>
      <c r="K4676" s="6" t="str">
        <f aca="false">A4676&amp;"|"&amp;B4676&amp;"|"&amp;C4676&amp;"|"&amp;D4676</f>
        <v>7|3|Josh|spotify:track:5uBOaCN5vDdk9JqsefjQSh</v>
      </c>
    </row>
    <row r="4677" customFormat="false" ht="15" hidden="false" customHeight="false" outlineLevel="0" collapsed="false">
      <c r="A4677" s="5" t="n">
        <v>7</v>
      </c>
      <c r="B4677" s="5" t="n">
        <v>3</v>
      </c>
      <c r="C4677" s="5" t="s">
        <v>1843</v>
      </c>
      <c r="D4677" s="5" t="s">
        <v>2133</v>
      </c>
      <c r="E4677" s="5" t="n">
        <v>1</v>
      </c>
      <c r="F4677" s="6" t="n">
        <f aca="false">IFERROR(MATCH(A4677&amp;"|"&amp;B4677&amp;"|"&amp;D4677,'All Song Rankings'!$T:$T,0),0)</f>
        <v>714</v>
      </c>
      <c r="G4677" s="6" t="str">
        <f aca="false">IF(F4677=0,"NOT FOUND",INDEX('All Song Rankings'!$A:$A,F4677))</f>
        <v>Dangerous Woman</v>
      </c>
      <c r="H4677" s="6" t="str">
        <f aca="false">IF(F4677=0,"NOT FOUND",INDEX('All Song Rankings'!$B:$B,F4677))</f>
        <v>Ariana Grande</v>
      </c>
      <c r="I4677" s="6" t="str">
        <f aca="false">IF(F4677=0,"NOT FOUND",INDEX('All Song Rankings'!$D:$D,F4677))</f>
        <v>Merita</v>
      </c>
      <c r="J4677" s="7" t="str">
        <f aca="false">IF(F4677=0,"NOT FOUND",IF(C4677=I4677,"SELF-VOTE",IF(COUNTIF($K:$K,K4677)&gt;1,"DUPLICATE","OK")))</f>
        <v>OK</v>
      </c>
      <c r="K4677" s="6" t="str">
        <f aca="false">A4677&amp;"|"&amp;B4677&amp;"|"&amp;C4677&amp;"|"&amp;D4677</f>
        <v>7|3|Josh|spotify:track:6RUhbFEhrvGISaQ8u2j2JN</v>
      </c>
    </row>
    <row r="4678" customFormat="false" ht="15" hidden="false" customHeight="false" outlineLevel="0" collapsed="false">
      <c r="A4678" s="5" t="n">
        <v>7</v>
      </c>
      <c r="B4678" s="5" t="n">
        <v>3</v>
      </c>
      <c r="C4678" s="5" t="s">
        <v>1843</v>
      </c>
      <c r="D4678" s="5" t="s">
        <v>2123</v>
      </c>
      <c r="E4678" s="5" t="n">
        <v>1</v>
      </c>
      <c r="F4678" s="6" t="n">
        <f aca="false">IFERROR(MATCH(A4678&amp;"|"&amp;B4678&amp;"|"&amp;D4678,'All Song Rankings'!$T:$T,0),0)</f>
        <v>710</v>
      </c>
      <c r="G4678" s="6" t="str">
        <f aca="false">IF(F4678=0,"NOT FOUND",INDEX('All Song Rankings'!$A:$A,F4678))</f>
        <v>Want to Want Me</v>
      </c>
      <c r="H4678" s="6" t="str">
        <f aca="false">IF(F4678=0,"NOT FOUND",INDEX('All Song Rankings'!$B:$B,F4678))</f>
        <v>Jason Derulo</v>
      </c>
      <c r="I4678" s="6" t="str">
        <f aca="false">IF(F4678=0,"NOT FOUND",INDEX('All Song Rankings'!$D:$D,F4678))</f>
        <v>Kelsey</v>
      </c>
      <c r="J4678" s="7" t="str">
        <f aca="false">IF(F4678=0,"NOT FOUND",IF(C4678=I4678,"SELF-VOTE",IF(COUNTIF($K:$K,K4678)&gt;1,"DUPLICATE","OK")))</f>
        <v>OK</v>
      </c>
      <c r="K4678" s="6" t="str">
        <f aca="false">A4678&amp;"|"&amp;B4678&amp;"|"&amp;C4678&amp;"|"&amp;D4678</f>
        <v>7|3|Josh|spotify:track:7oGZAicScQt96OAW4AruYy</v>
      </c>
    </row>
    <row r="4679" customFormat="false" ht="15" hidden="false" customHeight="false" outlineLevel="0" collapsed="false">
      <c r="A4679" s="5" t="n">
        <v>7</v>
      </c>
      <c r="B4679" s="5" t="n">
        <v>3</v>
      </c>
      <c r="C4679" s="5" t="s">
        <v>85</v>
      </c>
      <c r="D4679" s="5" t="s">
        <v>2106</v>
      </c>
      <c r="E4679" s="5" t="n">
        <v>1</v>
      </c>
      <c r="F4679" s="6" t="n">
        <f aca="false">IFERROR(MATCH(A4679&amp;"|"&amp;B4679&amp;"|"&amp;D4679,'All Song Rankings'!$T:$T,0),0)</f>
        <v>704</v>
      </c>
      <c r="G4679" s="6" t="str">
        <f aca="false">IF(F4679=0,"NOT FOUND",INDEX('All Song Rankings'!$A:$A,F4679))</f>
        <v>Sherry</v>
      </c>
      <c r="H4679" s="6" t="str">
        <f aca="false">IF(F4679=0,"NOT FOUND",INDEX('All Song Rankings'!$B:$B,F4679))</f>
        <v>Frankie Valli &amp; The Four Seasons</v>
      </c>
      <c r="I4679" s="6" t="str">
        <f aca="false">IF(F4679=0,"NOT FOUND",INDEX('All Song Rankings'!$D:$D,F4679))</f>
        <v>Logan</v>
      </c>
      <c r="J4679" s="7" t="str">
        <f aca="false">IF(F4679=0,"NOT FOUND",IF(C4679=I4679,"SELF-VOTE",IF(COUNTIF($K:$K,K4679)&gt;1,"DUPLICATE","OK")))</f>
        <v>OK</v>
      </c>
      <c r="K4679" s="6" t="str">
        <f aca="false">A4679&amp;"|"&amp;B4679&amp;"|"&amp;C4679&amp;"|"&amp;D4679</f>
        <v>7|3|Kelsey|spotify:track:0NpvdCO506uO58D4AbKzki</v>
      </c>
    </row>
    <row r="4680" customFormat="false" ht="15" hidden="false" customHeight="false" outlineLevel="0" collapsed="false">
      <c r="A4680" s="5" t="n">
        <v>7</v>
      </c>
      <c r="B4680" s="5" t="n">
        <v>3</v>
      </c>
      <c r="C4680" s="5" t="s">
        <v>85</v>
      </c>
      <c r="D4680" s="5" t="s">
        <v>2112</v>
      </c>
      <c r="E4680" s="5" t="n">
        <v>2</v>
      </c>
      <c r="F4680" s="6" t="n">
        <f aca="false">IFERROR(MATCH(A4680&amp;"|"&amp;B4680&amp;"|"&amp;D4680,'All Song Rankings'!$T:$T,0),0)</f>
        <v>706</v>
      </c>
      <c r="G4680" s="6" t="str">
        <f aca="false">IF(F4680=0,"NOT FOUND",INDEX('All Song Rankings'!$A:$A,F4680))</f>
        <v>I Don't Feel Like Dancin'</v>
      </c>
      <c r="H4680" s="6" t="str">
        <f aca="false">IF(F4680=0,"NOT FOUND",INDEX('All Song Rankings'!$B:$B,F4680))</f>
        <v>Scissor Sisters</v>
      </c>
      <c r="I4680" s="6" t="str">
        <f aca="false">IF(F4680=0,"NOT FOUND",INDEX('All Song Rankings'!$D:$D,F4680))</f>
        <v>Grace</v>
      </c>
      <c r="J4680" s="7" t="str">
        <f aca="false">IF(F4680=0,"NOT FOUND",IF(C4680=I4680,"SELF-VOTE",IF(COUNTIF($K:$K,K4680)&gt;1,"DUPLICATE","OK")))</f>
        <v>OK</v>
      </c>
      <c r="K4680" s="6" t="str">
        <f aca="false">A4680&amp;"|"&amp;B4680&amp;"|"&amp;C4680&amp;"|"&amp;D4680</f>
        <v>7|3|Kelsey|spotify:track:13pyGLYmBjYgvOMIEivX2K</v>
      </c>
    </row>
    <row r="4681" customFormat="false" ht="15" hidden="false" customHeight="false" outlineLevel="0" collapsed="false">
      <c r="A4681" s="5" t="n">
        <v>7</v>
      </c>
      <c r="B4681" s="5" t="n">
        <v>3</v>
      </c>
      <c r="C4681" s="5" t="s">
        <v>85</v>
      </c>
      <c r="D4681" s="5" t="s">
        <v>2120</v>
      </c>
      <c r="E4681" s="5" t="n">
        <v>1</v>
      </c>
      <c r="F4681" s="6" t="n">
        <f aca="false">IFERROR(MATCH(A4681&amp;"|"&amp;B4681&amp;"|"&amp;D4681,'All Song Rankings'!$T:$T,0),0)</f>
        <v>709</v>
      </c>
      <c r="G4681" s="6" t="str">
        <f aca="false">IF(F4681=0,"NOT FOUND",INDEX('All Song Rankings'!$A:$A,F4681))</f>
        <v>Teenage Dirtbag</v>
      </c>
      <c r="H4681" s="6" t="str">
        <f aca="false">IF(F4681=0,"NOT FOUND",INDEX('All Song Rankings'!$B:$B,F4681))</f>
        <v>Wheatus</v>
      </c>
      <c r="I4681" s="6" t="str">
        <f aca="false">IF(F4681=0,"NOT FOUND",INDEX('All Song Rankings'!$D:$D,F4681))</f>
        <v>Josh</v>
      </c>
      <c r="J4681" s="7" t="str">
        <f aca="false">IF(F4681=0,"NOT FOUND",IF(C4681=I4681,"SELF-VOTE",IF(COUNTIF($K:$K,K4681)&gt;1,"DUPLICATE","OK")))</f>
        <v>OK</v>
      </c>
      <c r="K4681" s="6" t="str">
        <f aca="false">A4681&amp;"|"&amp;B4681&amp;"|"&amp;C4681&amp;"|"&amp;D4681</f>
        <v>7|3|Kelsey|spotify:track:25FTMokYEbEWHEdss5JLZS</v>
      </c>
    </row>
    <row r="4682" customFormat="false" ht="15" hidden="false" customHeight="false" outlineLevel="0" collapsed="false">
      <c r="A4682" s="5" t="n">
        <v>7</v>
      </c>
      <c r="B4682" s="5" t="n">
        <v>3</v>
      </c>
      <c r="C4682" s="5" t="s">
        <v>85</v>
      </c>
      <c r="D4682" s="5" t="s">
        <v>2103</v>
      </c>
      <c r="E4682" s="5" t="n">
        <v>1</v>
      </c>
      <c r="F4682" s="6" t="n">
        <f aca="false">IFERROR(MATCH(A4682&amp;"|"&amp;B4682&amp;"|"&amp;D4682,'All Song Rankings'!$T:$T,0),0)</f>
        <v>703</v>
      </c>
      <c r="G4682" s="6" t="str">
        <f aca="false">IF(F4682=0,"NOT FOUND",INDEX('All Song Rankings'!$A:$A,F4682))</f>
        <v>Take on Me</v>
      </c>
      <c r="H4682" s="6" t="str">
        <f aca="false">IF(F4682=0,"NOT FOUND",INDEX('All Song Rankings'!$B:$B,F4682))</f>
        <v>a-ha</v>
      </c>
      <c r="I4682" s="6" t="str">
        <f aca="false">IF(F4682=0,"NOT FOUND",INDEX('All Song Rankings'!$D:$D,F4682))</f>
        <v>Leah</v>
      </c>
      <c r="J4682" s="7" t="str">
        <f aca="false">IF(F4682=0,"NOT FOUND",IF(C4682=I4682,"SELF-VOTE",IF(COUNTIF($K:$K,K4682)&gt;1,"DUPLICATE","OK")))</f>
        <v>OK</v>
      </c>
      <c r="K4682" s="6" t="str">
        <f aca="false">A4682&amp;"|"&amp;B4682&amp;"|"&amp;C4682&amp;"|"&amp;D4682</f>
        <v>7|3|Kelsey|spotify:track:2WfaOiMkCvy7F5fcp2zZ8L</v>
      </c>
    </row>
    <row r="4683" customFormat="false" ht="15" hidden="false" customHeight="false" outlineLevel="0" collapsed="false">
      <c r="A4683" s="5" t="n">
        <v>7</v>
      </c>
      <c r="B4683" s="5" t="n">
        <v>3</v>
      </c>
      <c r="C4683" s="5" t="s">
        <v>85</v>
      </c>
      <c r="D4683" s="5" t="s">
        <v>2126</v>
      </c>
      <c r="E4683" s="5" t="n">
        <v>1</v>
      </c>
      <c r="F4683" s="6" t="n">
        <f aca="false">IFERROR(MATCH(A4683&amp;"|"&amp;B4683&amp;"|"&amp;D4683,'All Song Rankings'!$T:$T,0),0)</f>
        <v>711</v>
      </c>
      <c r="G4683" s="6" t="str">
        <f aca="false">IF(F4683=0,"NOT FOUND",INDEX('All Song Rankings'!$A:$A,F4683))</f>
        <v>Your Love</v>
      </c>
      <c r="H4683" s="6" t="str">
        <f aca="false">IF(F4683=0,"NOT FOUND",INDEX('All Song Rankings'!$B:$B,F4683))</f>
        <v>The Outfield</v>
      </c>
      <c r="I4683" s="6" t="str">
        <f aca="false">IF(F4683=0,"NOT FOUND",INDEX('All Song Rankings'!$D:$D,F4683))</f>
        <v>Lisa</v>
      </c>
      <c r="J4683" s="7" t="str">
        <f aca="false">IF(F4683=0,"NOT FOUND",IF(C4683=I4683,"SELF-VOTE",IF(COUNTIF($K:$K,K4683)&gt;1,"DUPLICATE","OK")))</f>
        <v>OK</v>
      </c>
      <c r="K4683" s="6" t="str">
        <f aca="false">A4683&amp;"|"&amp;B4683&amp;"|"&amp;C4683&amp;"|"&amp;D4683</f>
        <v>7|3|Kelsey|spotify:track:5dRQUolXAVX3BbCiIxmSsf</v>
      </c>
    </row>
    <row r="4684" customFormat="false" ht="15" hidden="false" customHeight="false" outlineLevel="0" collapsed="false">
      <c r="A4684" s="5" t="n">
        <v>7</v>
      </c>
      <c r="B4684" s="5" t="n">
        <v>3</v>
      </c>
      <c r="C4684" s="5" t="s">
        <v>85</v>
      </c>
      <c r="D4684" s="5" t="s">
        <v>2117</v>
      </c>
      <c r="E4684" s="5" t="n">
        <v>1</v>
      </c>
      <c r="F4684" s="6" t="n">
        <f aca="false">IFERROR(MATCH(A4684&amp;"|"&amp;B4684&amp;"|"&amp;D4684,'All Song Rankings'!$T:$T,0),0)</f>
        <v>708</v>
      </c>
      <c r="G4684" s="6" t="str">
        <f aca="false">IF(F4684=0,"NOT FOUND",INDEX('All Song Rankings'!$A:$A,F4684))</f>
        <v>High</v>
      </c>
      <c r="H4684" s="6" t="str">
        <f aca="false">IF(F4684=0,"NOT FOUND",INDEX('All Song Rankings'!$B:$B,F4684))</f>
        <v>Stephen Sanchez</v>
      </c>
      <c r="I4684" s="6" t="str">
        <f aca="false">IF(F4684=0,"NOT FOUND",INDEX('All Song Rankings'!$D:$D,F4684))</f>
        <v>Lucia</v>
      </c>
      <c r="J4684" s="7" t="str">
        <f aca="false">IF(F4684=0,"NOT FOUND",IF(C4684=I4684,"SELF-VOTE",IF(COUNTIF($K:$K,K4684)&gt;1,"DUPLICATE","OK")))</f>
        <v>OK</v>
      </c>
      <c r="K4684" s="6" t="str">
        <f aca="false">A4684&amp;"|"&amp;B4684&amp;"|"&amp;C4684&amp;"|"&amp;D4684</f>
        <v>7|3|Kelsey|spotify:track:5hlPrSCx9BvnQ3rCTkblMZ</v>
      </c>
    </row>
    <row r="4685" customFormat="false" ht="15" hidden="false" customHeight="false" outlineLevel="0" collapsed="false">
      <c r="A4685" s="5" t="n">
        <v>7</v>
      </c>
      <c r="B4685" s="5" t="n">
        <v>3</v>
      </c>
      <c r="C4685" s="5" t="s">
        <v>85</v>
      </c>
      <c r="D4685" s="5" t="s">
        <v>2133</v>
      </c>
      <c r="E4685" s="5" t="n">
        <v>1</v>
      </c>
      <c r="F4685" s="6" t="n">
        <f aca="false">IFERROR(MATCH(A4685&amp;"|"&amp;B4685&amp;"|"&amp;D4685,'All Song Rankings'!$T:$T,0),0)</f>
        <v>714</v>
      </c>
      <c r="G4685" s="6" t="str">
        <f aca="false">IF(F4685=0,"NOT FOUND",INDEX('All Song Rankings'!$A:$A,F4685))</f>
        <v>Dangerous Woman</v>
      </c>
      <c r="H4685" s="6" t="str">
        <f aca="false">IF(F4685=0,"NOT FOUND",INDEX('All Song Rankings'!$B:$B,F4685))</f>
        <v>Ariana Grande</v>
      </c>
      <c r="I4685" s="6" t="str">
        <f aca="false">IF(F4685=0,"NOT FOUND",INDEX('All Song Rankings'!$D:$D,F4685))</f>
        <v>Merita</v>
      </c>
      <c r="J4685" s="7" t="str">
        <f aca="false">IF(F4685=0,"NOT FOUND",IF(C4685=I4685,"SELF-VOTE",IF(COUNTIF($K:$K,K4685)&gt;1,"DUPLICATE","OK")))</f>
        <v>OK</v>
      </c>
      <c r="K4685" s="6" t="str">
        <f aca="false">A4685&amp;"|"&amp;B4685&amp;"|"&amp;C4685&amp;"|"&amp;D4685</f>
        <v>7|3|Kelsey|spotify:track:6RUhbFEhrvGISaQ8u2j2JN</v>
      </c>
    </row>
    <row r="4686" customFormat="false" ht="15" hidden="false" customHeight="false" outlineLevel="0" collapsed="false">
      <c r="A4686" s="5" t="n">
        <v>7</v>
      </c>
      <c r="B4686" s="5" t="n">
        <v>3</v>
      </c>
      <c r="C4686" s="5" t="s">
        <v>85</v>
      </c>
      <c r="D4686" s="5" t="s">
        <v>2109</v>
      </c>
      <c r="E4686" s="5" t="n">
        <v>2</v>
      </c>
      <c r="F4686" s="6" t="n">
        <f aca="false">IFERROR(MATCH(A4686&amp;"|"&amp;B4686&amp;"|"&amp;D4686,'All Song Rankings'!$T:$T,0),0)</f>
        <v>705</v>
      </c>
      <c r="G4686" s="6" t="str">
        <f aca="false">IF(F4686=0,"NOT FOUND",INDEX('All Song Rankings'!$A:$A,F4686))</f>
        <v>BOY</v>
      </c>
      <c r="H4686" s="6" t="str">
        <f aca="false">IF(F4686=0,"NOT FOUND",INDEX('All Song Rankings'!$B:$B,F4686))</f>
        <v>Charlie Puth</v>
      </c>
      <c r="I4686" s="6" t="str">
        <f aca="false">IF(F4686=0,"NOT FOUND",INDEX('All Song Rankings'!$D:$D,F4686))</f>
        <v>Stephanie</v>
      </c>
      <c r="J4686" s="7" t="str">
        <f aca="false">IF(F4686=0,"NOT FOUND",IF(C4686=I4686,"SELF-VOTE",IF(COUNTIF($K:$K,K4686)&gt;1,"DUPLICATE","OK")))</f>
        <v>OK</v>
      </c>
      <c r="K4686" s="6" t="str">
        <f aca="false">A4686&amp;"|"&amp;B4686&amp;"|"&amp;C4686&amp;"|"&amp;D4686</f>
        <v>7|3|Kelsey|spotify:track:7aSvPfoqiM0zwPqupLGaHd</v>
      </c>
    </row>
    <row r="4687" customFormat="false" ht="15" hidden="false" customHeight="false" outlineLevel="0" collapsed="false">
      <c r="A4687" s="5" t="n">
        <v>7</v>
      </c>
      <c r="B4687" s="5" t="n">
        <v>3</v>
      </c>
      <c r="C4687" s="5" t="s">
        <v>106</v>
      </c>
      <c r="D4687" s="5" t="s">
        <v>2131</v>
      </c>
      <c r="E4687" s="5" t="n">
        <v>1</v>
      </c>
      <c r="F4687" s="6" t="n">
        <f aca="false">IFERROR(MATCH(A4687&amp;"|"&amp;B4687&amp;"|"&amp;D4687,'All Song Rankings'!$T:$T,0),0)</f>
        <v>713</v>
      </c>
      <c r="G4687" s="6" t="str">
        <f aca="false">IF(F4687=0,"NOT FOUND",INDEX('All Song Rankings'!$A:$A,F4687))</f>
        <v>Emotions</v>
      </c>
      <c r="H4687" s="6" t="str">
        <f aca="false">IF(F4687=0,"NOT FOUND",INDEX('All Song Rankings'!$B:$B,F4687))</f>
        <v>Mariah Carey</v>
      </c>
      <c r="I4687" s="6" t="str">
        <f aca="false">IF(F4687=0,"NOT FOUND",INDEX('All Song Rankings'!$D:$D,F4687))</f>
        <v>Sara</v>
      </c>
      <c r="J4687" s="7" t="str">
        <f aca="false">IF(F4687=0,"NOT FOUND",IF(C4687=I4687,"SELF-VOTE",IF(COUNTIF($K:$K,K4687)&gt;1,"DUPLICATE","OK")))</f>
        <v>OK</v>
      </c>
      <c r="K4687" s="6" t="str">
        <f aca="false">A4687&amp;"|"&amp;B4687&amp;"|"&amp;C4687&amp;"|"&amp;D4687</f>
        <v>7|3|Kristen|spotify:track:0cELvuwJW1acISUHYB6suj</v>
      </c>
    </row>
    <row r="4688" customFormat="false" ht="15" hidden="false" customHeight="false" outlineLevel="0" collapsed="false">
      <c r="A4688" s="5" t="n">
        <v>7</v>
      </c>
      <c r="B4688" s="5" t="n">
        <v>3</v>
      </c>
      <c r="C4688" s="5" t="s">
        <v>106</v>
      </c>
      <c r="D4688" s="5" t="s">
        <v>2103</v>
      </c>
      <c r="E4688" s="5" t="n">
        <v>2</v>
      </c>
      <c r="F4688" s="6" t="n">
        <f aca="false">IFERROR(MATCH(A4688&amp;"|"&amp;B4688&amp;"|"&amp;D4688,'All Song Rankings'!$T:$T,0),0)</f>
        <v>703</v>
      </c>
      <c r="G4688" s="6" t="str">
        <f aca="false">IF(F4688=0,"NOT FOUND",INDEX('All Song Rankings'!$A:$A,F4688))</f>
        <v>Take on Me</v>
      </c>
      <c r="H4688" s="6" t="str">
        <f aca="false">IF(F4688=0,"NOT FOUND",INDEX('All Song Rankings'!$B:$B,F4688))</f>
        <v>a-ha</v>
      </c>
      <c r="I4688" s="6" t="str">
        <f aca="false">IF(F4688=0,"NOT FOUND",INDEX('All Song Rankings'!$D:$D,F4688))</f>
        <v>Leah</v>
      </c>
      <c r="J4688" s="7" t="str">
        <f aca="false">IF(F4688=0,"NOT FOUND",IF(C4688=I4688,"SELF-VOTE",IF(COUNTIF($K:$K,K4688)&gt;1,"DUPLICATE","OK")))</f>
        <v>OK</v>
      </c>
      <c r="K4688" s="6" t="str">
        <f aca="false">A4688&amp;"|"&amp;B4688&amp;"|"&amp;C4688&amp;"|"&amp;D4688</f>
        <v>7|3|Kristen|spotify:track:2WfaOiMkCvy7F5fcp2zZ8L</v>
      </c>
    </row>
    <row r="4689" customFormat="false" ht="15" hidden="false" customHeight="false" outlineLevel="0" collapsed="false">
      <c r="A4689" s="5" t="n">
        <v>7</v>
      </c>
      <c r="B4689" s="5" t="n">
        <v>3</v>
      </c>
      <c r="C4689" s="5" t="s">
        <v>106</v>
      </c>
      <c r="D4689" s="5" t="s">
        <v>2139</v>
      </c>
      <c r="E4689" s="5" t="n">
        <v>1</v>
      </c>
      <c r="F4689" s="6" t="n">
        <f aca="false">IFERROR(MATCH(A4689&amp;"|"&amp;B4689&amp;"|"&amp;D4689,'All Song Rankings'!$T:$T,0),0)</f>
        <v>716</v>
      </c>
      <c r="G4689" s="6" t="str">
        <f aca="false">IF(F4689=0,"NOT FOUND",INDEX('All Song Rankings'!$A:$A,F4689))</f>
        <v>Chandelier</v>
      </c>
      <c r="H4689" s="6" t="str">
        <f aca="false">IF(F4689=0,"NOT FOUND",INDEX('All Song Rankings'!$B:$B,F4689))</f>
        <v>Sia</v>
      </c>
      <c r="I4689" s="6" t="str">
        <f aca="false">IF(F4689=0,"NOT FOUND",INDEX('All Song Rankings'!$D:$D,F4689))</f>
        <v>Colleen</v>
      </c>
      <c r="J4689" s="7" t="str">
        <f aca="false">IF(F4689=0,"NOT FOUND",IF(C4689=I4689,"SELF-VOTE",IF(COUNTIF($K:$K,K4689)&gt;1,"DUPLICATE","OK")))</f>
        <v>OK</v>
      </c>
      <c r="K4689" s="6" t="str">
        <f aca="false">A4689&amp;"|"&amp;B4689&amp;"|"&amp;C4689&amp;"|"&amp;D4689</f>
        <v>7|3|Kristen|spotify:track:2s1sdSqGcKxpPr5lCl7jAV</v>
      </c>
    </row>
    <row r="4690" customFormat="false" ht="15" hidden="false" customHeight="false" outlineLevel="0" collapsed="false">
      <c r="A4690" s="5" t="n">
        <v>7</v>
      </c>
      <c r="B4690" s="5" t="n">
        <v>3</v>
      </c>
      <c r="C4690" s="5" t="s">
        <v>106</v>
      </c>
      <c r="D4690" s="5" t="s">
        <v>2129</v>
      </c>
      <c r="E4690" s="5" t="n">
        <v>2</v>
      </c>
      <c r="F4690" s="6" t="n">
        <f aca="false">IFERROR(MATCH(A4690&amp;"|"&amp;B4690&amp;"|"&amp;D4690,'All Song Rankings'!$T:$T,0),0)</f>
        <v>712</v>
      </c>
      <c r="G4690" s="6" t="str">
        <f aca="false">IF(F4690=0,"NOT FOUND",INDEX('All Song Rankings'!$A:$A,F4690))</f>
        <v>Black Dog - Remaster</v>
      </c>
      <c r="H4690" s="6" t="str">
        <f aca="false">IF(F4690=0,"NOT FOUND",INDEX('All Song Rankings'!$B:$B,F4690))</f>
        <v>Led Zeppelin</v>
      </c>
      <c r="I4690" s="6" t="str">
        <f aca="false">IF(F4690=0,"NOT FOUND",INDEX('All Song Rankings'!$D:$D,F4690))</f>
        <v>Matt</v>
      </c>
      <c r="J4690" s="7" t="str">
        <f aca="false">IF(F4690=0,"NOT FOUND",IF(C4690=I4690,"SELF-VOTE",IF(COUNTIF($K:$K,K4690)&gt;1,"DUPLICATE","OK")))</f>
        <v>OK</v>
      </c>
      <c r="K4690" s="6" t="str">
        <f aca="false">A4690&amp;"|"&amp;B4690&amp;"|"&amp;C4690&amp;"|"&amp;D4690</f>
        <v>7|3|Kristen|spotify:track:3qT4bUD1MaWpGrTwcvguhb</v>
      </c>
    </row>
    <row r="4691" customFormat="false" ht="15" hidden="false" customHeight="false" outlineLevel="0" collapsed="false">
      <c r="A4691" s="5" t="n">
        <v>7</v>
      </c>
      <c r="B4691" s="5" t="n">
        <v>3</v>
      </c>
      <c r="C4691" s="5" t="s">
        <v>106</v>
      </c>
      <c r="D4691" s="5" t="s">
        <v>2126</v>
      </c>
      <c r="E4691" s="5" t="n">
        <v>1</v>
      </c>
      <c r="F4691" s="6" t="n">
        <f aca="false">IFERROR(MATCH(A4691&amp;"|"&amp;B4691&amp;"|"&amp;D4691,'All Song Rankings'!$T:$T,0),0)</f>
        <v>711</v>
      </c>
      <c r="G4691" s="6" t="str">
        <f aca="false">IF(F4691=0,"NOT FOUND",INDEX('All Song Rankings'!$A:$A,F4691))</f>
        <v>Your Love</v>
      </c>
      <c r="H4691" s="6" t="str">
        <f aca="false">IF(F4691=0,"NOT FOUND",INDEX('All Song Rankings'!$B:$B,F4691))</f>
        <v>The Outfield</v>
      </c>
      <c r="I4691" s="6" t="str">
        <f aca="false">IF(F4691=0,"NOT FOUND",INDEX('All Song Rankings'!$D:$D,F4691))</f>
        <v>Lisa</v>
      </c>
      <c r="J4691" s="7" t="str">
        <f aca="false">IF(F4691=0,"NOT FOUND",IF(C4691=I4691,"SELF-VOTE",IF(COUNTIF($K:$K,K4691)&gt;1,"DUPLICATE","OK")))</f>
        <v>OK</v>
      </c>
      <c r="K4691" s="6" t="str">
        <f aca="false">A4691&amp;"|"&amp;B4691&amp;"|"&amp;C4691&amp;"|"&amp;D4691</f>
        <v>7|3|Kristen|spotify:track:5dRQUolXAVX3BbCiIxmSsf</v>
      </c>
    </row>
    <row r="4692" customFormat="false" ht="15" hidden="false" customHeight="false" outlineLevel="0" collapsed="false">
      <c r="A4692" s="5" t="n">
        <v>7</v>
      </c>
      <c r="B4692" s="5" t="n">
        <v>3</v>
      </c>
      <c r="C4692" s="5" t="s">
        <v>106</v>
      </c>
      <c r="D4692" s="5" t="s">
        <v>2117</v>
      </c>
      <c r="E4692" s="5" t="n">
        <v>1</v>
      </c>
      <c r="F4692" s="6" t="n">
        <f aca="false">IFERROR(MATCH(A4692&amp;"|"&amp;B4692&amp;"|"&amp;D4692,'All Song Rankings'!$T:$T,0),0)</f>
        <v>708</v>
      </c>
      <c r="G4692" s="6" t="str">
        <f aca="false">IF(F4692=0,"NOT FOUND",INDEX('All Song Rankings'!$A:$A,F4692))</f>
        <v>High</v>
      </c>
      <c r="H4692" s="6" t="str">
        <f aca="false">IF(F4692=0,"NOT FOUND",INDEX('All Song Rankings'!$B:$B,F4692))</f>
        <v>Stephen Sanchez</v>
      </c>
      <c r="I4692" s="6" t="str">
        <f aca="false">IF(F4692=0,"NOT FOUND",INDEX('All Song Rankings'!$D:$D,F4692))</f>
        <v>Lucia</v>
      </c>
      <c r="J4692" s="7" t="str">
        <f aca="false">IF(F4692=0,"NOT FOUND",IF(C4692=I4692,"SELF-VOTE",IF(COUNTIF($K:$K,K4692)&gt;1,"DUPLICATE","OK")))</f>
        <v>OK</v>
      </c>
      <c r="K4692" s="6" t="str">
        <f aca="false">A4692&amp;"|"&amp;B4692&amp;"|"&amp;C4692&amp;"|"&amp;D4692</f>
        <v>7|3|Kristen|spotify:track:5hlPrSCx9BvnQ3rCTkblMZ</v>
      </c>
    </row>
    <row r="4693" customFormat="false" ht="15" hidden="false" customHeight="false" outlineLevel="0" collapsed="false">
      <c r="A4693" s="5" t="n">
        <v>7</v>
      </c>
      <c r="B4693" s="5" t="n">
        <v>3</v>
      </c>
      <c r="C4693" s="5" t="s">
        <v>106</v>
      </c>
      <c r="D4693" s="5" t="s">
        <v>2109</v>
      </c>
      <c r="E4693" s="5" t="n">
        <v>1</v>
      </c>
      <c r="F4693" s="6" t="n">
        <f aca="false">IFERROR(MATCH(A4693&amp;"|"&amp;B4693&amp;"|"&amp;D4693,'All Song Rankings'!$T:$T,0),0)</f>
        <v>705</v>
      </c>
      <c r="G4693" s="6" t="str">
        <f aca="false">IF(F4693=0,"NOT FOUND",INDEX('All Song Rankings'!$A:$A,F4693))</f>
        <v>BOY</v>
      </c>
      <c r="H4693" s="6" t="str">
        <f aca="false">IF(F4693=0,"NOT FOUND",INDEX('All Song Rankings'!$B:$B,F4693))</f>
        <v>Charlie Puth</v>
      </c>
      <c r="I4693" s="6" t="str">
        <f aca="false">IF(F4693=0,"NOT FOUND",INDEX('All Song Rankings'!$D:$D,F4693))</f>
        <v>Stephanie</v>
      </c>
      <c r="J4693" s="7" t="str">
        <f aca="false">IF(F4693=0,"NOT FOUND",IF(C4693=I4693,"SELF-VOTE",IF(COUNTIF($K:$K,K4693)&gt;1,"DUPLICATE","OK")))</f>
        <v>OK</v>
      </c>
      <c r="K4693" s="6" t="str">
        <f aca="false">A4693&amp;"|"&amp;B4693&amp;"|"&amp;C4693&amp;"|"&amp;D4693</f>
        <v>7|3|Kristen|spotify:track:7aSvPfoqiM0zwPqupLGaHd</v>
      </c>
    </row>
    <row r="4694" customFormat="false" ht="15" hidden="false" customHeight="false" outlineLevel="0" collapsed="false">
      <c r="A4694" s="5" t="n">
        <v>7</v>
      </c>
      <c r="B4694" s="5" t="n">
        <v>3</v>
      </c>
      <c r="C4694" s="5" t="s">
        <v>106</v>
      </c>
      <c r="D4694" s="5" t="s">
        <v>2123</v>
      </c>
      <c r="E4694" s="5" t="n">
        <v>1</v>
      </c>
      <c r="F4694" s="6" t="n">
        <f aca="false">IFERROR(MATCH(A4694&amp;"|"&amp;B4694&amp;"|"&amp;D4694,'All Song Rankings'!$T:$T,0),0)</f>
        <v>710</v>
      </c>
      <c r="G4694" s="6" t="str">
        <f aca="false">IF(F4694=0,"NOT FOUND",INDEX('All Song Rankings'!$A:$A,F4694))</f>
        <v>Want to Want Me</v>
      </c>
      <c r="H4694" s="6" t="str">
        <f aca="false">IF(F4694=0,"NOT FOUND",INDEX('All Song Rankings'!$B:$B,F4694))</f>
        <v>Jason Derulo</v>
      </c>
      <c r="I4694" s="6" t="str">
        <f aca="false">IF(F4694=0,"NOT FOUND",INDEX('All Song Rankings'!$D:$D,F4694))</f>
        <v>Kelsey</v>
      </c>
      <c r="J4694" s="7" t="str">
        <f aca="false">IF(F4694=0,"NOT FOUND",IF(C4694=I4694,"SELF-VOTE",IF(COUNTIF($K:$K,K4694)&gt;1,"DUPLICATE","OK")))</f>
        <v>OK</v>
      </c>
      <c r="K4694" s="6" t="str">
        <f aca="false">A4694&amp;"|"&amp;B4694&amp;"|"&amp;C4694&amp;"|"&amp;D4694</f>
        <v>7|3|Kristen|spotify:track:7oGZAicScQt96OAW4AruYy</v>
      </c>
    </row>
    <row r="4695" customFormat="false" ht="15" hidden="false" customHeight="false" outlineLevel="0" collapsed="false">
      <c r="A4695" s="5" t="n">
        <v>7</v>
      </c>
      <c r="B4695" s="5" t="n">
        <v>3</v>
      </c>
      <c r="C4695" s="5" t="s">
        <v>119</v>
      </c>
      <c r="D4695" s="5" t="s">
        <v>2106</v>
      </c>
      <c r="E4695" s="5" t="n">
        <v>3</v>
      </c>
      <c r="F4695" s="6" t="n">
        <f aca="false">IFERROR(MATCH(A4695&amp;"|"&amp;B4695&amp;"|"&amp;D4695,'All Song Rankings'!$T:$T,0),0)</f>
        <v>704</v>
      </c>
      <c r="G4695" s="6" t="str">
        <f aca="false">IF(F4695=0,"NOT FOUND",INDEX('All Song Rankings'!$A:$A,F4695))</f>
        <v>Sherry</v>
      </c>
      <c r="H4695" s="6" t="str">
        <f aca="false">IF(F4695=0,"NOT FOUND",INDEX('All Song Rankings'!$B:$B,F4695))</f>
        <v>Frankie Valli &amp; The Four Seasons</v>
      </c>
      <c r="I4695" s="6" t="str">
        <f aca="false">IF(F4695=0,"NOT FOUND",INDEX('All Song Rankings'!$D:$D,F4695))</f>
        <v>Logan</v>
      </c>
      <c r="J4695" s="7" t="str">
        <f aca="false">IF(F4695=0,"NOT FOUND",IF(C4695=I4695,"SELF-VOTE",IF(COUNTIF($K:$K,K4695)&gt;1,"DUPLICATE","OK")))</f>
        <v>OK</v>
      </c>
      <c r="K4695" s="6" t="str">
        <f aca="false">A4695&amp;"|"&amp;B4695&amp;"|"&amp;C4695&amp;"|"&amp;D4695</f>
        <v>7|3|Leah|spotify:track:0NpvdCO506uO58D4AbKzki</v>
      </c>
    </row>
    <row r="4696" customFormat="false" ht="15" hidden="false" customHeight="false" outlineLevel="0" collapsed="false">
      <c r="A4696" s="5" t="n">
        <v>7</v>
      </c>
      <c r="B4696" s="5" t="n">
        <v>3</v>
      </c>
      <c r="C4696" s="5" t="s">
        <v>119</v>
      </c>
      <c r="D4696" s="5" t="s">
        <v>2131</v>
      </c>
      <c r="E4696" s="5" t="n">
        <v>1</v>
      </c>
      <c r="F4696" s="6" t="n">
        <f aca="false">IFERROR(MATCH(A4696&amp;"|"&amp;B4696&amp;"|"&amp;D4696,'All Song Rankings'!$T:$T,0),0)</f>
        <v>713</v>
      </c>
      <c r="G4696" s="6" t="str">
        <f aca="false">IF(F4696=0,"NOT FOUND",INDEX('All Song Rankings'!$A:$A,F4696))</f>
        <v>Emotions</v>
      </c>
      <c r="H4696" s="6" t="str">
        <f aca="false">IF(F4696=0,"NOT FOUND",INDEX('All Song Rankings'!$B:$B,F4696))</f>
        <v>Mariah Carey</v>
      </c>
      <c r="I4696" s="6" t="str">
        <f aca="false">IF(F4696=0,"NOT FOUND",INDEX('All Song Rankings'!$D:$D,F4696))</f>
        <v>Sara</v>
      </c>
      <c r="J4696" s="7" t="str">
        <f aca="false">IF(F4696=0,"NOT FOUND",IF(C4696=I4696,"SELF-VOTE",IF(COUNTIF($K:$K,K4696)&gt;1,"DUPLICATE","OK")))</f>
        <v>OK</v>
      </c>
      <c r="K4696" s="6" t="str">
        <f aca="false">A4696&amp;"|"&amp;B4696&amp;"|"&amp;C4696&amp;"|"&amp;D4696</f>
        <v>7|3|Leah|spotify:track:0cELvuwJW1acISUHYB6suj</v>
      </c>
    </row>
    <row r="4697" customFormat="false" ht="15" hidden="false" customHeight="false" outlineLevel="0" collapsed="false">
      <c r="A4697" s="5" t="n">
        <v>7</v>
      </c>
      <c r="B4697" s="5" t="n">
        <v>3</v>
      </c>
      <c r="C4697" s="5" t="s">
        <v>119</v>
      </c>
      <c r="D4697" s="5" t="s">
        <v>2112</v>
      </c>
      <c r="E4697" s="5" t="n">
        <v>2</v>
      </c>
      <c r="F4697" s="6" t="n">
        <f aca="false">IFERROR(MATCH(A4697&amp;"|"&amp;B4697&amp;"|"&amp;D4697,'All Song Rankings'!$T:$T,0),0)</f>
        <v>706</v>
      </c>
      <c r="G4697" s="6" t="str">
        <f aca="false">IF(F4697=0,"NOT FOUND",INDEX('All Song Rankings'!$A:$A,F4697))</f>
        <v>I Don't Feel Like Dancin'</v>
      </c>
      <c r="H4697" s="6" t="str">
        <f aca="false">IF(F4697=0,"NOT FOUND",INDEX('All Song Rankings'!$B:$B,F4697))</f>
        <v>Scissor Sisters</v>
      </c>
      <c r="I4697" s="6" t="str">
        <f aca="false">IF(F4697=0,"NOT FOUND",INDEX('All Song Rankings'!$D:$D,F4697))</f>
        <v>Grace</v>
      </c>
      <c r="J4697" s="7" t="str">
        <f aca="false">IF(F4697=0,"NOT FOUND",IF(C4697=I4697,"SELF-VOTE",IF(COUNTIF($K:$K,K4697)&gt;1,"DUPLICATE","OK")))</f>
        <v>OK</v>
      </c>
      <c r="K4697" s="6" t="str">
        <f aca="false">A4697&amp;"|"&amp;B4697&amp;"|"&amp;C4697&amp;"|"&amp;D4697</f>
        <v>7|3|Leah|spotify:track:13pyGLYmBjYgvOMIEivX2K</v>
      </c>
    </row>
    <row r="4698" customFormat="false" ht="15" hidden="false" customHeight="false" outlineLevel="0" collapsed="false">
      <c r="A4698" s="5" t="n">
        <v>7</v>
      </c>
      <c r="B4698" s="5" t="n">
        <v>3</v>
      </c>
      <c r="C4698" s="5" t="s">
        <v>119</v>
      </c>
      <c r="D4698" s="5" t="s">
        <v>2129</v>
      </c>
      <c r="E4698" s="5" t="n">
        <v>1</v>
      </c>
      <c r="F4698" s="6" t="n">
        <f aca="false">IFERROR(MATCH(A4698&amp;"|"&amp;B4698&amp;"|"&amp;D4698,'All Song Rankings'!$T:$T,0),0)</f>
        <v>712</v>
      </c>
      <c r="G4698" s="6" t="str">
        <f aca="false">IF(F4698=0,"NOT FOUND",INDEX('All Song Rankings'!$A:$A,F4698))</f>
        <v>Black Dog - Remaster</v>
      </c>
      <c r="H4698" s="6" t="str">
        <f aca="false">IF(F4698=0,"NOT FOUND",INDEX('All Song Rankings'!$B:$B,F4698))</f>
        <v>Led Zeppelin</v>
      </c>
      <c r="I4698" s="6" t="str">
        <f aca="false">IF(F4698=0,"NOT FOUND",INDEX('All Song Rankings'!$D:$D,F4698))</f>
        <v>Matt</v>
      </c>
      <c r="J4698" s="7" t="str">
        <f aca="false">IF(F4698=0,"NOT FOUND",IF(C4698=I4698,"SELF-VOTE",IF(COUNTIF($K:$K,K4698)&gt;1,"DUPLICATE","OK")))</f>
        <v>OK</v>
      </c>
      <c r="K4698" s="6" t="str">
        <f aca="false">A4698&amp;"|"&amp;B4698&amp;"|"&amp;C4698&amp;"|"&amp;D4698</f>
        <v>7|3|Leah|spotify:track:3qT4bUD1MaWpGrTwcvguhb</v>
      </c>
    </row>
    <row r="4699" customFormat="false" ht="15" hidden="false" customHeight="false" outlineLevel="0" collapsed="false">
      <c r="A4699" s="5" t="n">
        <v>7</v>
      </c>
      <c r="B4699" s="5" t="n">
        <v>3</v>
      </c>
      <c r="C4699" s="5" t="s">
        <v>119</v>
      </c>
      <c r="D4699" s="5" t="s">
        <v>2117</v>
      </c>
      <c r="E4699" s="5" t="n">
        <v>1</v>
      </c>
      <c r="F4699" s="6" t="n">
        <f aca="false">IFERROR(MATCH(A4699&amp;"|"&amp;B4699&amp;"|"&amp;D4699,'All Song Rankings'!$T:$T,0),0)</f>
        <v>708</v>
      </c>
      <c r="G4699" s="6" t="str">
        <f aca="false">IF(F4699=0,"NOT FOUND",INDEX('All Song Rankings'!$A:$A,F4699))</f>
        <v>High</v>
      </c>
      <c r="H4699" s="6" t="str">
        <f aca="false">IF(F4699=0,"NOT FOUND",INDEX('All Song Rankings'!$B:$B,F4699))</f>
        <v>Stephen Sanchez</v>
      </c>
      <c r="I4699" s="6" t="str">
        <f aca="false">IF(F4699=0,"NOT FOUND",INDEX('All Song Rankings'!$D:$D,F4699))</f>
        <v>Lucia</v>
      </c>
      <c r="J4699" s="7" t="str">
        <f aca="false">IF(F4699=0,"NOT FOUND",IF(C4699=I4699,"SELF-VOTE",IF(COUNTIF($K:$K,K4699)&gt;1,"DUPLICATE","OK")))</f>
        <v>OK</v>
      </c>
      <c r="K4699" s="6" t="str">
        <f aca="false">A4699&amp;"|"&amp;B4699&amp;"|"&amp;C4699&amp;"|"&amp;D4699</f>
        <v>7|3|Leah|spotify:track:5hlPrSCx9BvnQ3rCTkblMZ</v>
      </c>
    </row>
    <row r="4700" customFormat="false" ht="15" hidden="false" customHeight="false" outlineLevel="0" collapsed="false">
      <c r="A4700" s="5" t="n">
        <v>7</v>
      </c>
      <c r="B4700" s="5" t="n">
        <v>3</v>
      </c>
      <c r="C4700" s="5" t="s">
        <v>119</v>
      </c>
      <c r="D4700" s="5" t="s">
        <v>2114</v>
      </c>
      <c r="E4700" s="5" t="n">
        <v>2</v>
      </c>
      <c r="F4700" s="6" t="n">
        <f aca="false">IFERROR(MATCH(A4700&amp;"|"&amp;B4700&amp;"|"&amp;D4700,'All Song Rankings'!$T:$T,0),0)</f>
        <v>707</v>
      </c>
      <c r="G4700" s="6" t="str">
        <f aca="false">IF(F4700=0,"NOT FOUND",INDEX('All Song Rankings'!$A:$A,F4700))</f>
        <v>Kiss</v>
      </c>
      <c r="H4700" s="6" t="str">
        <f aca="false">IF(F4700=0,"NOT FOUND",INDEX('All Song Rankings'!$B:$B,F4700))</f>
        <v>Prince</v>
      </c>
      <c r="I4700" s="6" t="str">
        <f aca="false">IF(F4700=0,"NOT FOUND",INDEX('All Song Rankings'!$D:$D,F4700))</f>
        <v>Kristen</v>
      </c>
      <c r="J4700" s="7" t="str">
        <f aca="false">IF(F4700=0,"NOT FOUND",IF(C4700=I4700,"SELF-VOTE",IF(COUNTIF($K:$K,K4700)&gt;1,"DUPLICATE","OK")))</f>
        <v>OK</v>
      </c>
      <c r="K4700" s="6" t="str">
        <f aca="false">A4700&amp;"|"&amp;B4700&amp;"|"&amp;C4700&amp;"|"&amp;D4700</f>
        <v>7|3|Leah|spotify:track:5uBOaCN5vDdk9JqsefjQSh</v>
      </c>
    </row>
    <row r="4701" customFormat="false" ht="15" hidden="false" customHeight="false" outlineLevel="0" collapsed="false">
      <c r="A4701" s="5" t="n">
        <v>7</v>
      </c>
      <c r="B4701" s="5" t="n">
        <v>3</v>
      </c>
      <c r="C4701" s="5" t="s">
        <v>705</v>
      </c>
      <c r="D4701" s="5" t="s">
        <v>2106</v>
      </c>
      <c r="E4701" s="5" t="n">
        <v>1</v>
      </c>
      <c r="F4701" s="6" t="n">
        <f aca="false">IFERROR(MATCH(A4701&amp;"|"&amp;B4701&amp;"|"&amp;D4701,'All Song Rankings'!$T:$T,0),0)</f>
        <v>704</v>
      </c>
      <c r="G4701" s="6" t="str">
        <f aca="false">IF(F4701=0,"NOT FOUND",INDEX('All Song Rankings'!$A:$A,F4701))</f>
        <v>Sherry</v>
      </c>
      <c r="H4701" s="6" t="str">
        <f aca="false">IF(F4701=0,"NOT FOUND",INDEX('All Song Rankings'!$B:$B,F4701))</f>
        <v>Frankie Valli &amp; The Four Seasons</v>
      </c>
      <c r="I4701" s="6" t="str">
        <f aca="false">IF(F4701=0,"NOT FOUND",INDEX('All Song Rankings'!$D:$D,F4701))</f>
        <v>Logan</v>
      </c>
      <c r="J4701" s="7" t="str">
        <f aca="false">IF(F4701=0,"NOT FOUND",IF(C4701=I4701,"SELF-VOTE",IF(COUNTIF($K:$K,K4701)&gt;1,"DUPLICATE","OK")))</f>
        <v>OK</v>
      </c>
      <c r="K4701" s="6" t="str">
        <f aca="false">A4701&amp;"|"&amp;B4701&amp;"|"&amp;C4701&amp;"|"&amp;D4701</f>
        <v>7|3|Lisa|spotify:track:0NpvdCO506uO58D4AbKzki</v>
      </c>
    </row>
    <row r="4702" customFormat="false" ht="15" hidden="false" customHeight="false" outlineLevel="0" collapsed="false">
      <c r="A4702" s="5" t="n">
        <v>7</v>
      </c>
      <c r="B4702" s="5" t="n">
        <v>3</v>
      </c>
      <c r="C4702" s="5" t="s">
        <v>705</v>
      </c>
      <c r="D4702" s="5" t="s">
        <v>2112</v>
      </c>
      <c r="E4702" s="5" t="n">
        <v>2</v>
      </c>
      <c r="F4702" s="6" t="n">
        <f aca="false">IFERROR(MATCH(A4702&amp;"|"&amp;B4702&amp;"|"&amp;D4702,'All Song Rankings'!$T:$T,0),0)</f>
        <v>706</v>
      </c>
      <c r="G4702" s="6" t="str">
        <f aca="false">IF(F4702=0,"NOT FOUND",INDEX('All Song Rankings'!$A:$A,F4702))</f>
        <v>I Don't Feel Like Dancin'</v>
      </c>
      <c r="H4702" s="6" t="str">
        <f aca="false">IF(F4702=0,"NOT FOUND",INDEX('All Song Rankings'!$B:$B,F4702))</f>
        <v>Scissor Sisters</v>
      </c>
      <c r="I4702" s="6" t="str">
        <f aca="false">IF(F4702=0,"NOT FOUND",INDEX('All Song Rankings'!$D:$D,F4702))</f>
        <v>Grace</v>
      </c>
      <c r="J4702" s="7" t="str">
        <f aca="false">IF(F4702=0,"NOT FOUND",IF(C4702=I4702,"SELF-VOTE",IF(COUNTIF($K:$K,K4702)&gt;1,"DUPLICATE","OK")))</f>
        <v>OK</v>
      </c>
      <c r="K4702" s="6" t="str">
        <f aca="false">A4702&amp;"|"&amp;B4702&amp;"|"&amp;C4702&amp;"|"&amp;D4702</f>
        <v>7|3|Lisa|spotify:track:13pyGLYmBjYgvOMIEivX2K</v>
      </c>
    </row>
    <row r="4703" customFormat="false" ht="15" hidden="false" customHeight="false" outlineLevel="0" collapsed="false">
      <c r="A4703" s="5" t="n">
        <v>7</v>
      </c>
      <c r="B4703" s="5" t="n">
        <v>3</v>
      </c>
      <c r="C4703" s="5" t="s">
        <v>705</v>
      </c>
      <c r="D4703" s="5" t="s">
        <v>2120</v>
      </c>
      <c r="E4703" s="5" t="n">
        <v>1</v>
      </c>
      <c r="F4703" s="6" t="n">
        <f aca="false">IFERROR(MATCH(A4703&amp;"|"&amp;B4703&amp;"|"&amp;D4703,'All Song Rankings'!$T:$T,0),0)</f>
        <v>709</v>
      </c>
      <c r="G4703" s="6" t="str">
        <f aca="false">IF(F4703=0,"NOT FOUND",INDEX('All Song Rankings'!$A:$A,F4703))</f>
        <v>Teenage Dirtbag</v>
      </c>
      <c r="H4703" s="6" t="str">
        <f aca="false">IF(F4703=0,"NOT FOUND",INDEX('All Song Rankings'!$B:$B,F4703))</f>
        <v>Wheatus</v>
      </c>
      <c r="I4703" s="6" t="str">
        <f aca="false">IF(F4703=0,"NOT FOUND",INDEX('All Song Rankings'!$D:$D,F4703))</f>
        <v>Josh</v>
      </c>
      <c r="J4703" s="7" t="str">
        <f aca="false">IF(F4703=0,"NOT FOUND",IF(C4703=I4703,"SELF-VOTE",IF(COUNTIF($K:$K,K4703)&gt;1,"DUPLICATE","OK")))</f>
        <v>OK</v>
      </c>
      <c r="K4703" s="6" t="str">
        <f aca="false">A4703&amp;"|"&amp;B4703&amp;"|"&amp;C4703&amp;"|"&amp;D4703</f>
        <v>7|3|Lisa|spotify:track:25FTMokYEbEWHEdss5JLZS</v>
      </c>
    </row>
    <row r="4704" customFormat="false" ht="15" hidden="false" customHeight="false" outlineLevel="0" collapsed="false">
      <c r="A4704" s="5" t="n">
        <v>7</v>
      </c>
      <c r="B4704" s="5" t="n">
        <v>3</v>
      </c>
      <c r="C4704" s="5" t="s">
        <v>705</v>
      </c>
      <c r="D4704" s="5" t="s">
        <v>2129</v>
      </c>
      <c r="E4704" s="5" t="n">
        <v>1</v>
      </c>
      <c r="F4704" s="6" t="n">
        <f aca="false">IFERROR(MATCH(A4704&amp;"|"&amp;B4704&amp;"|"&amp;D4704,'All Song Rankings'!$T:$T,0),0)</f>
        <v>712</v>
      </c>
      <c r="G4704" s="6" t="str">
        <f aca="false">IF(F4704=0,"NOT FOUND",INDEX('All Song Rankings'!$A:$A,F4704))</f>
        <v>Black Dog - Remaster</v>
      </c>
      <c r="H4704" s="6" t="str">
        <f aca="false">IF(F4704=0,"NOT FOUND",INDEX('All Song Rankings'!$B:$B,F4704))</f>
        <v>Led Zeppelin</v>
      </c>
      <c r="I4704" s="6" t="str">
        <f aca="false">IF(F4704=0,"NOT FOUND",INDEX('All Song Rankings'!$D:$D,F4704))</f>
        <v>Matt</v>
      </c>
      <c r="J4704" s="7" t="str">
        <f aca="false">IF(F4704=0,"NOT FOUND",IF(C4704=I4704,"SELF-VOTE",IF(COUNTIF($K:$K,K4704)&gt;1,"DUPLICATE","OK")))</f>
        <v>OK</v>
      </c>
      <c r="K4704" s="6" t="str">
        <f aca="false">A4704&amp;"|"&amp;B4704&amp;"|"&amp;C4704&amp;"|"&amp;D4704</f>
        <v>7|3|Lisa|spotify:track:3qT4bUD1MaWpGrTwcvguhb</v>
      </c>
    </row>
    <row r="4705" customFormat="false" ht="15" hidden="false" customHeight="false" outlineLevel="0" collapsed="false">
      <c r="A4705" s="5" t="n">
        <v>7</v>
      </c>
      <c r="B4705" s="5" t="n">
        <v>3</v>
      </c>
      <c r="C4705" s="5" t="s">
        <v>705</v>
      </c>
      <c r="D4705" s="5" t="s">
        <v>2117</v>
      </c>
      <c r="E4705" s="5" t="n">
        <v>2</v>
      </c>
      <c r="F4705" s="6" t="n">
        <f aca="false">IFERROR(MATCH(A4705&amp;"|"&amp;B4705&amp;"|"&amp;D4705,'All Song Rankings'!$T:$T,0),0)</f>
        <v>708</v>
      </c>
      <c r="G4705" s="6" t="str">
        <f aca="false">IF(F4705=0,"NOT FOUND",INDEX('All Song Rankings'!$A:$A,F4705))</f>
        <v>High</v>
      </c>
      <c r="H4705" s="6" t="str">
        <f aca="false">IF(F4705=0,"NOT FOUND",INDEX('All Song Rankings'!$B:$B,F4705))</f>
        <v>Stephen Sanchez</v>
      </c>
      <c r="I4705" s="6" t="str">
        <f aca="false">IF(F4705=0,"NOT FOUND",INDEX('All Song Rankings'!$D:$D,F4705))</f>
        <v>Lucia</v>
      </c>
      <c r="J4705" s="7" t="str">
        <f aca="false">IF(F4705=0,"NOT FOUND",IF(C4705=I4705,"SELF-VOTE",IF(COUNTIF($K:$K,K4705)&gt;1,"DUPLICATE","OK")))</f>
        <v>OK</v>
      </c>
      <c r="K4705" s="6" t="str">
        <f aca="false">A4705&amp;"|"&amp;B4705&amp;"|"&amp;C4705&amp;"|"&amp;D4705</f>
        <v>7|3|Lisa|spotify:track:5hlPrSCx9BvnQ3rCTkblMZ</v>
      </c>
    </row>
    <row r="4706" customFormat="false" ht="15" hidden="false" customHeight="false" outlineLevel="0" collapsed="false">
      <c r="A4706" s="5" t="n">
        <v>7</v>
      </c>
      <c r="B4706" s="5" t="n">
        <v>3</v>
      </c>
      <c r="C4706" s="5" t="s">
        <v>705</v>
      </c>
      <c r="D4706" s="5" t="s">
        <v>2114</v>
      </c>
      <c r="E4706" s="5" t="n">
        <v>1</v>
      </c>
      <c r="F4706" s="6" t="n">
        <f aca="false">IFERROR(MATCH(A4706&amp;"|"&amp;B4706&amp;"|"&amp;D4706,'All Song Rankings'!$T:$T,0),0)</f>
        <v>707</v>
      </c>
      <c r="G4706" s="6" t="str">
        <f aca="false">IF(F4706=0,"NOT FOUND",INDEX('All Song Rankings'!$A:$A,F4706))</f>
        <v>Kiss</v>
      </c>
      <c r="H4706" s="6" t="str">
        <f aca="false">IF(F4706=0,"NOT FOUND",INDEX('All Song Rankings'!$B:$B,F4706))</f>
        <v>Prince</v>
      </c>
      <c r="I4706" s="6" t="str">
        <f aca="false">IF(F4706=0,"NOT FOUND",INDEX('All Song Rankings'!$D:$D,F4706))</f>
        <v>Kristen</v>
      </c>
      <c r="J4706" s="7" t="str">
        <f aca="false">IF(F4706=0,"NOT FOUND",IF(C4706=I4706,"SELF-VOTE",IF(COUNTIF($K:$K,K4706)&gt;1,"DUPLICATE","OK")))</f>
        <v>OK</v>
      </c>
      <c r="K4706" s="6" t="str">
        <f aca="false">A4706&amp;"|"&amp;B4706&amp;"|"&amp;C4706&amp;"|"&amp;D4706</f>
        <v>7|3|Lisa|spotify:track:5uBOaCN5vDdk9JqsefjQSh</v>
      </c>
    </row>
    <row r="4707" customFormat="false" ht="15" hidden="false" customHeight="false" outlineLevel="0" collapsed="false">
      <c r="A4707" s="5" t="n">
        <v>7</v>
      </c>
      <c r="B4707" s="5" t="n">
        <v>3</v>
      </c>
      <c r="C4707" s="5" t="s">
        <v>705</v>
      </c>
      <c r="D4707" s="5" t="s">
        <v>2133</v>
      </c>
      <c r="E4707" s="5" t="n">
        <v>1</v>
      </c>
      <c r="F4707" s="6" t="n">
        <f aca="false">IFERROR(MATCH(A4707&amp;"|"&amp;B4707&amp;"|"&amp;D4707,'All Song Rankings'!$T:$T,0),0)</f>
        <v>714</v>
      </c>
      <c r="G4707" s="6" t="str">
        <f aca="false">IF(F4707=0,"NOT FOUND",INDEX('All Song Rankings'!$A:$A,F4707))</f>
        <v>Dangerous Woman</v>
      </c>
      <c r="H4707" s="6" t="str">
        <f aca="false">IF(F4707=0,"NOT FOUND",INDEX('All Song Rankings'!$B:$B,F4707))</f>
        <v>Ariana Grande</v>
      </c>
      <c r="I4707" s="6" t="str">
        <f aca="false">IF(F4707=0,"NOT FOUND",INDEX('All Song Rankings'!$D:$D,F4707))</f>
        <v>Merita</v>
      </c>
      <c r="J4707" s="7" t="str">
        <f aca="false">IF(F4707=0,"NOT FOUND",IF(C4707=I4707,"SELF-VOTE",IF(COUNTIF($K:$K,K4707)&gt;1,"DUPLICATE","OK")))</f>
        <v>OK</v>
      </c>
      <c r="K4707" s="6" t="str">
        <f aca="false">A4707&amp;"|"&amp;B4707&amp;"|"&amp;C4707&amp;"|"&amp;D4707</f>
        <v>7|3|Lisa|spotify:track:6RUhbFEhrvGISaQ8u2j2JN</v>
      </c>
    </row>
    <row r="4708" customFormat="false" ht="15" hidden="false" customHeight="false" outlineLevel="0" collapsed="false">
      <c r="A4708" s="5" t="n">
        <v>7</v>
      </c>
      <c r="B4708" s="5" t="n">
        <v>3</v>
      </c>
      <c r="C4708" s="5" t="s">
        <v>705</v>
      </c>
      <c r="D4708" s="5" t="s">
        <v>2109</v>
      </c>
      <c r="E4708" s="5" t="n">
        <v>1</v>
      </c>
      <c r="F4708" s="6" t="n">
        <f aca="false">IFERROR(MATCH(A4708&amp;"|"&amp;B4708&amp;"|"&amp;D4708,'All Song Rankings'!$T:$T,0),0)</f>
        <v>705</v>
      </c>
      <c r="G4708" s="6" t="str">
        <f aca="false">IF(F4708=0,"NOT FOUND",INDEX('All Song Rankings'!$A:$A,F4708))</f>
        <v>BOY</v>
      </c>
      <c r="H4708" s="6" t="str">
        <f aca="false">IF(F4708=0,"NOT FOUND",INDEX('All Song Rankings'!$B:$B,F4708))</f>
        <v>Charlie Puth</v>
      </c>
      <c r="I4708" s="6" t="str">
        <f aca="false">IF(F4708=0,"NOT FOUND",INDEX('All Song Rankings'!$D:$D,F4708))</f>
        <v>Stephanie</v>
      </c>
      <c r="J4708" s="7" t="str">
        <f aca="false">IF(F4708=0,"NOT FOUND",IF(C4708=I4708,"SELF-VOTE",IF(COUNTIF($K:$K,K4708)&gt;1,"DUPLICATE","OK")))</f>
        <v>OK</v>
      </c>
      <c r="K4708" s="6" t="str">
        <f aca="false">A4708&amp;"|"&amp;B4708&amp;"|"&amp;C4708&amp;"|"&amp;D4708</f>
        <v>7|3|Lisa|spotify:track:7aSvPfoqiM0zwPqupLGaHd</v>
      </c>
    </row>
    <row r="4709" customFormat="false" ht="15" hidden="false" customHeight="false" outlineLevel="0" collapsed="false">
      <c r="A4709" s="5" t="n">
        <v>7</v>
      </c>
      <c r="B4709" s="5" t="n">
        <v>3</v>
      </c>
      <c r="C4709" s="5" t="s">
        <v>128</v>
      </c>
      <c r="D4709" s="5" t="s">
        <v>2112</v>
      </c>
      <c r="E4709" s="5" t="n">
        <v>2</v>
      </c>
      <c r="F4709" s="6" t="n">
        <f aca="false">IFERROR(MATCH(A4709&amp;"|"&amp;B4709&amp;"|"&amp;D4709,'All Song Rankings'!$T:$T,0),0)</f>
        <v>706</v>
      </c>
      <c r="G4709" s="6" t="str">
        <f aca="false">IF(F4709=0,"NOT FOUND",INDEX('All Song Rankings'!$A:$A,F4709))</f>
        <v>I Don't Feel Like Dancin'</v>
      </c>
      <c r="H4709" s="6" t="str">
        <f aca="false">IF(F4709=0,"NOT FOUND",INDEX('All Song Rankings'!$B:$B,F4709))</f>
        <v>Scissor Sisters</v>
      </c>
      <c r="I4709" s="6" t="str">
        <f aca="false">IF(F4709=0,"NOT FOUND",INDEX('All Song Rankings'!$D:$D,F4709))</f>
        <v>Grace</v>
      </c>
      <c r="J4709" s="7" t="str">
        <f aca="false">IF(F4709=0,"NOT FOUND",IF(C4709=I4709,"SELF-VOTE",IF(COUNTIF($K:$K,K4709)&gt;1,"DUPLICATE","OK")))</f>
        <v>OK</v>
      </c>
      <c r="K4709" s="6" t="str">
        <f aca="false">A4709&amp;"|"&amp;B4709&amp;"|"&amp;C4709&amp;"|"&amp;D4709</f>
        <v>7|3|Logan|spotify:track:13pyGLYmBjYgvOMIEivX2K</v>
      </c>
    </row>
    <row r="4710" customFormat="false" ht="15" hidden="false" customHeight="false" outlineLevel="0" collapsed="false">
      <c r="A4710" s="5" t="n">
        <v>7</v>
      </c>
      <c r="B4710" s="5" t="n">
        <v>3</v>
      </c>
      <c r="C4710" s="5" t="s">
        <v>128</v>
      </c>
      <c r="D4710" s="5" t="s">
        <v>2120</v>
      </c>
      <c r="E4710" s="5" t="n">
        <v>1</v>
      </c>
      <c r="F4710" s="6" t="n">
        <f aca="false">IFERROR(MATCH(A4710&amp;"|"&amp;B4710&amp;"|"&amp;D4710,'All Song Rankings'!$T:$T,0),0)</f>
        <v>709</v>
      </c>
      <c r="G4710" s="6" t="str">
        <f aca="false">IF(F4710=0,"NOT FOUND",INDEX('All Song Rankings'!$A:$A,F4710))</f>
        <v>Teenage Dirtbag</v>
      </c>
      <c r="H4710" s="6" t="str">
        <f aca="false">IF(F4710=0,"NOT FOUND",INDEX('All Song Rankings'!$B:$B,F4710))</f>
        <v>Wheatus</v>
      </c>
      <c r="I4710" s="6" t="str">
        <f aca="false">IF(F4710=0,"NOT FOUND",INDEX('All Song Rankings'!$D:$D,F4710))</f>
        <v>Josh</v>
      </c>
      <c r="J4710" s="7" t="str">
        <f aca="false">IF(F4710=0,"NOT FOUND",IF(C4710=I4710,"SELF-VOTE",IF(COUNTIF($K:$K,K4710)&gt;1,"DUPLICATE","OK")))</f>
        <v>OK</v>
      </c>
      <c r="K4710" s="6" t="str">
        <f aca="false">A4710&amp;"|"&amp;B4710&amp;"|"&amp;C4710&amp;"|"&amp;D4710</f>
        <v>7|3|Logan|spotify:track:25FTMokYEbEWHEdss5JLZS</v>
      </c>
    </row>
    <row r="4711" customFormat="false" ht="15" hidden="false" customHeight="false" outlineLevel="0" collapsed="false">
      <c r="A4711" s="5" t="n">
        <v>7</v>
      </c>
      <c r="B4711" s="5" t="n">
        <v>3</v>
      </c>
      <c r="C4711" s="5" t="s">
        <v>128</v>
      </c>
      <c r="D4711" s="5" t="s">
        <v>2103</v>
      </c>
      <c r="E4711" s="5" t="n">
        <v>1</v>
      </c>
      <c r="F4711" s="6" t="n">
        <f aca="false">IFERROR(MATCH(A4711&amp;"|"&amp;B4711&amp;"|"&amp;D4711,'All Song Rankings'!$T:$T,0),0)</f>
        <v>703</v>
      </c>
      <c r="G4711" s="6" t="str">
        <f aca="false">IF(F4711=0,"NOT FOUND",INDEX('All Song Rankings'!$A:$A,F4711))</f>
        <v>Take on Me</v>
      </c>
      <c r="H4711" s="6" t="str">
        <f aca="false">IF(F4711=0,"NOT FOUND",INDEX('All Song Rankings'!$B:$B,F4711))</f>
        <v>a-ha</v>
      </c>
      <c r="I4711" s="6" t="str">
        <f aca="false">IF(F4711=0,"NOT FOUND",INDEX('All Song Rankings'!$D:$D,F4711))</f>
        <v>Leah</v>
      </c>
      <c r="J4711" s="7" t="str">
        <f aca="false">IF(F4711=0,"NOT FOUND",IF(C4711=I4711,"SELF-VOTE",IF(COUNTIF($K:$K,K4711)&gt;1,"DUPLICATE","OK")))</f>
        <v>OK</v>
      </c>
      <c r="K4711" s="6" t="str">
        <f aca="false">A4711&amp;"|"&amp;B4711&amp;"|"&amp;C4711&amp;"|"&amp;D4711</f>
        <v>7|3|Logan|spotify:track:2WfaOiMkCvy7F5fcp2zZ8L</v>
      </c>
    </row>
    <row r="4712" customFormat="false" ht="15" hidden="false" customHeight="false" outlineLevel="0" collapsed="false">
      <c r="A4712" s="5" t="n">
        <v>7</v>
      </c>
      <c r="B4712" s="5" t="n">
        <v>3</v>
      </c>
      <c r="C4712" s="5" t="s">
        <v>128</v>
      </c>
      <c r="D4712" s="5" t="s">
        <v>2142</v>
      </c>
      <c r="E4712" s="5" t="n">
        <v>1</v>
      </c>
      <c r="F4712" s="6" t="n">
        <f aca="false">IFERROR(MATCH(A4712&amp;"|"&amp;B4712&amp;"|"&amp;D4712,'All Song Rankings'!$T:$T,0),0)</f>
        <v>717</v>
      </c>
      <c r="G4712" s="6" t="str">
        <f aca="false">IF(F4712=0,"NOT FOUND",INDEX('All Song Rankings'!$A:$A,F4712))</f>
        <v>Just My Imagination (Running Away With Me)</v>
      </c>
      <c r="H4712" s="6" t="str">
        <f aca="false">IF(F4712=0,"NOT FOUND",INDEX('All Song Rankings'!$B:$B,F4712))</f>
        <v>The Temptations</v>
      </c>
      <c r="I4712" s="6" t="str">
        <f aca="false">IF(F4712=0,"NOT FOUND",INDEX('All Song Rankings'!$D:$D,F4712))</f>
        <v>Scott</v>
      </c>
      <c r="J4712" s="7" t="str">
        <f aca="false">IF(F4712=0,"NOT FOUND",IF(C4712=I4712,"SELF-VOTE",IF(COUNTIF($K:$K,K4712)&gt;1,"DUPLICATE","OK")))</f>
        <v>OK</v>
      </c>
      <c r="K4712" s="6" t="str">
        <f aca="false">A4712&amp;"|"&amp;B4712&amp;"|"&amp;C4712&amp;"|"&amp;D4712</f>
        <v>7|3|Logan|spotify:track:39Bd345OWEhRNyfayhp9gv</v>
      </c>
    </row>
    <row r="4713" customFormat="false" ht="15" hidden="false" customHeight="false" outlineLevel="0" collapsed="false">
      <c r="A4713" s="5" t="n">
        <v>7</v>
      </c>
      <c r="B4713" s="5" t="n">
        <v>3</v>
      </c>
      <c r="C4713" s="5" t="s">
        <v>128</v>
      </c>
      <c r="D4713" s="5" t="s">
        <v>2129</v>
      </c>
      <c r="E4713" s="5" t="n">
        <v>1</v>
      </c>
      <c r="F4713" s="6" t="n">
        <f aca="false">IFERROR(MATCH(A4713&amp;"|"&amp;B4713&amp;"|"&amp;D4713,'All Song Rankings'!$T:$T,0),0)</f>
        <v>712</v>
      </c>
      <c r="G4713" s="6" t="str">
        <f aca="false">IF(F4713=0,"NOT FOUND",INDEX('All Song Rankings'!$A:$A,F4713))</f>
        <v>Black Dog - Remaster</v>
      </c>
      <c r="H4713" s="6" t="str">
        <f aca="false">IF(F4713=0,"NOT FOUND",INDEX('All Song Rankings'!$B:$B,F4713))</f>
        <v>Led Zeppelin</v>
      </c>
      <c r="I4713" s="6" t="str">
        <f aca="false">IF(F4713=0,"NOT FOUND",INDEX('All Song Rankings'!$D:$D,F4713))</f>
        <v>Matt</v>
      </c>
      <c r="J4713" s="7" t="str">
        <f aca="false">IF(F4713=0,"NOT FOUND",IF(C4713=I4713,"SELF-VOTE",IF(COUNTIF($K:$K,K4713)&gt;1,"DUPLICATE","OK")))</f>
        <v>OK</v>
      </c>
      <c r="K4713" s="6" t="str">
        <f aca="false">A4713&amp;"|"&amp;B4713&amp;"|"&amp;C4713&amp;"|"&amp;D4713</f>
        <v>7|3|Logan|spotify:track:3qT4bUD1MaWpGrTwcvguhb</v>
      </c>
    </row>
    <row r="4714" customFormat="false" ht="15" hidden="false" customHeight="false" outlineLevel="0" collapsed="false">
      <c r="A4714" s="5" t="n">
        <v>7</v>
      </c>
      <c r="B4714" s="5" t="n">
        <v>3</v>
      </c>
      <c r="C4714" s="5" t="s">
        <v>128</v>
      </c>
      <c r="D4714" s="5" t="s">
        <v>2114</v>
      </c>
      <c r="E4714" s="5" t="n">
        <v>1</v>
      </c>
      <c r="F4714" s="6" t="n">
        <f aca="false">IFERROR(MATCH(A4714&amp;"|"&amp;B4714&amp;"|"&amp;D4714,'All Song Rankings'!$T:$T,0),0)</f>
        <v>707</v>
      </c>
      <c r="G4714" s="6" t="str">
        <f aca="false">IF(F4714=0,"NOT FOUND",INDEX('All Song Rankings'!$A:$A,F4714))</f>
        <v>Kiss</v>
      </c>
      <c r="H4714" s="6" t="str">
        <f aca="false">IF(F4714=0,"NOT FOUND",INDEX('All Song Rankings'!$B:$B,F4714))</f>
        <v>Prince</v>
      </c>
      <c r="I4714" s="6" t="str">
        <f aca="false">IF(F4714=0,"NOT FOUND",INDEX('All Song Rankings'!$D:$D,F4714))</f>
        <v>Kristen</v>
      </c>
      <c r="J4714" s="7" t="str">
        <f aca="false">IF(F4714=0,"NOT FOUND",IF(C4714=I4714,"SELF-VOTE",IF(COUNTIF($K:$K,K4714)&gt;1,"DUPLICATE","OK")))</f>
        <v>OK</v>
      </c>
      <c r="K4714" s="6" t="str">
        <f aca="false">A4714&amp;"|"&amp;B4714&amp;"|"&amp;C4714&amp;"|"&amp;D4714</f>
        <v>7|3|Logan|spotify:track:5uBOaCN5vDdk9JqsefjQSh</v>
      </c>
    </row>
    <row r="4715" customFormat="false" ht="15" hidden="false" customHeight="false" outlineLevel="0" collapsed="false">
      <c r="A4715" s="5" t="n">
        <v>7</v>
      </c>
      <c r="B4715" s="5" t="n">
        <v>3</v>
      </c>
      <c r="C4715" s="5" t="s">
        <v>128</v>
      </c>
      <c r="D4715" s="5" t="s">
        <v>2133</v>
      </c>
      <c r="E4715" s="5" t="n">
        <v>1</v>
      </c>
      <c r="F4715" s="6" t="n">
        <f aca="false">IFERROR(MATCH(A4715&amp;"|"&amp;B4715&amp;"|"&amp;D4715,'All Song Rankings'!$T:$T,0),0)</f>
        <v>714</v>
      </c>
      <c r="G4715" s="6" t="str">
        <f aca="false">IF(F4715=0,"NOT FOUND",INDEX('All Song Rankings'!$A:$A,F4715))</f>
        <v>Dangerous Woman</v>
      </c>
      <c r="H4715" s="6" t="str">
        <f aca="false">IF(F4715=0,"NOT FOUND",INDEX('All Song Rankings'!$B:$B,F4715))</f>
        <v>Ariana Grande</v>
      </c>
      <c r="I4715" s="6" t="str">
        <f aca="false">IF(F4715=0,"NOT FOUND",INDEX('All Song Rankings'!$D:$D,F4715))</f>
        <v>Merita</v>
      </c>
      <c r="J4715" s="7" t="str">
        <f aca="false">IF(F4715=0,"NOT FOUND",IF(C4715=I4715,"SELF-VOTE",IF(COUNTIF($K:$K,K4715)&gt;1,"DUPLICATE","OK")))</f>
        <v>OK</v>
      </c>
      <c r="K4715" s="6" t="str">
        <f aca="false">A4715&amp;"|"&amp;B4715&amp;"|"&amp;C4715&amp;"|"&amp;D4715</f>
        <v>7|3|Logan|spotify:track:6RUhbFEhrvGISaQ8u2j2JN</v>
      </c>
    </row>
    <row r="4716" customFormat="false" ht="15" hidden="false" customHeight="false" outlineLevel="0" collapsed="false">
      <c r="A4716" s="5" t="n">
        <v>7</v>
      </c>
      <c r="B4716" s="5" t="n">
        <v>3</v>
      </c>
      <c r="C4716" s="5" t="s">
        <v>128</v>
      </c>
      <c r="D4716" s="5" t="s">
        <v>2109</v>
      </c>
      <c r="E4716" s="5" t="n">
        <v>1</v>
      </c>
      <c r="F4716" s="6" t="n">
        <f aca="false">IFERROR(MATCH(A4716&amp;"|"&amp;B4716&amp;"|"&amp;D4716,'All Song Rankings'!$T:$T,0),0)</f>
        <v>705</v>
      </c>
      <c r="G4716" s="6" t="str">
        <f aca="false">IF(F4716=0,"NOT FOUND",INDEX('All Song Rankings'!$A:$A,F4716))</f>
        <v>BOY</v>
      </c>
      <c r="H4716" s="6" t="str">
        <f aca="false">IF(F4716=0,"NOT FOUND",INDEX('All Song Rankings'!$B:$B,F4716))</f>
        <v>Charlie Puth</v>
      </c>
      <c r="I4716" s="6" t="str">
        <f aca="false">IF(F4716=0,"NOT FOUND",INDEX('All Song Rankings'!$D:$D,F4716))</f>
        <v>Stephanie</v>
      </c>
      <c r="J4716" s="7" t="str">
        <f aca="false">IF(F4716=0,"NOT FOUND",IF(C4716=I4716,"SELF-VOTE",IF(COUNTIF($K:$K,K4716)&gt;1,"DUPLICATE","OK")))</f>
        <v>OK</v>
      </c>
      <c r="K4716" s="6" t="str">
        <f aca="false">A4716&amp;"|"&amp;B4716&amp;"|"&amp;C4716&amp;"|"&amp;D4716</f>
        <v>7|3|Logan|spotify:track:7aSvPfoqiM0zwPqupLGaHd</v>
      </c>
    </row>
    <row r="4717" customFormat="false" ht="15" hidden="false" customHeight="false" outlineLevel="0" collapsed="false">
      <c r="A4717" s="5" t="n">
        <v>7</v>
      </c>
      <c r="B4717" s="5" t="n">
        <v>3</v>
      </c>
      <c r="C4717" s="5" t="s">
        <v>128</v>
      </c>
      <c r="D4717" s="5" t="s">
        <v>2123</v>
      </c>
      <c r="E4717" s="5" t="n">
        <v>1</v>
      </c>
      <c r="F4717" s="6" t="n">
        <f aca="false">IFERROR(MATCH(A4717&amp;"|"&amp;B4717&amp;"|"&amp;D4717,'All Song Rankings'!$T:$T,0),0)</f>
        <v>710</v>
      </c>
      <c r="G4717" s="6" t="str">
        <f aca="false">IF(F4717=0,"NOT FOUND",INDEX('All Song Rankings'!$A:$A,F4717))</f>
        <v>Want to Want Me</v>
      </c>
      <c r="H4717" s="6" t="str">
        <f aca="false">IF(F4717=0,"NOT FOUND",INDEX('All Song Rankings'!$B:$B,F4717))</f>
        <v>Jason Derulo</v>
      </c>
      <c r="I4717" s="6" t="str">
        <f aca="false">IF(F4717=0,"NOT FOUND",INDEX('All Song Rankings'!$D:$D,F4717))</f>
        <v>Kelsey</v>
      </c>
      <c r="J4717" s="7" t="str">
        <f aca="false">IF(F4717=0,"NOT FOUND",IF(C4717=I4717,"SELF-VOTE",IF(COUNTIF($K:$K,K4717)&gt;1,"DUPLICATE","OK")))</f>
        <v>OK</v>
      </c>
      <c r="K4717" s="6" t="str">
        <f aca="false">A4717&amp;"|"&amp;B4717&amp;"|"&amp;C4717&amp;"|"&amp;D4717</f>
        <v>7|3|Logan|spotify:track:7oGZAicScQt96OAW4AruYy</v>
      </c>
    </row>
    <row r="4718" customFormat="false" ht="15" hidden="false" customHeight="false" outlineLevel="0" collapsed="false">
      <c r="A4718" s="5" t="n">
        <v>7</v>
      </c>
      <c r="B4718" s="5" t="n">
        <v>3</v>
      </c>
      <c r="C4718" s="5" t="s">
        <v>2019</v>
      </c>
      <c r="D4718" s="5" t="s">
        <v>2106</v>
      </c>
      <c r="E4718" s="5" t="n">
        <v>1</v>
      </c>
      <c r="F4718" s="6" t="n">
        <f aca="false">IFERROR(MATCH(A4718&amp;"|"&amp;B4718&amp;"|"&amp;D4718,'All Song Rankings'!$T:$T,0),0)</f>
        <v>704</v>
      </c>
      <c r="G4718" s="6" t="str">
        <f aca="false">IF(F4718=0,"NOT FOUND",INDEX('All Song Rankings'!$A:$A,F4718))</f>
        <v>Sherry</v>
      </c>
      <c r="H4718" s="6" t="str">
        <f aca="false">IF(F4718=0,"NOT FOUND",INDEX('All Song Rankings'!$B:$B,F4718))</f>
        <v>Frankie Valli &amp; The Four Seasons</v>
      </c>
      <c r="I4718" s="6" t="str">
        <f aca="false">IF(F4718=0,"NOT FOUND",INDEX('All Song Rankings'!$D:$D,F4718))</f>
        <v>Logan</v>
      </c>
      <c r="J4718" s="7" t="str">
        <f aca="false">IF(F4718=0,"NOT FOUND",IF(C4718=I4718,"SELF-VOTE",IF(COUNTIF($K:$K,K4718)&gt;1,"DUPLICATE","OK")))</f>
        <v>OK</v>
      </c>
      <c r="K4718" s="6" t="str">
        <f aca="false">A4718&amp;"|"&amp;B4718&amp;"|"&amp;C4718&amp;"|"&amp;D4718</f>
        <v>7|3|Lucia|spotify:track:0NpvdCO506uO58D4AbKzki</v>
      </c>
    </row>
    <row r="4719" customFormat="false" ht="15" hidden="false" customHeight="false" outlineLevel="0" collapsed="false">
      <c r="A4719" s="5" t="n">
        <v>7</v>
      </c>
      <c r="B4719" s="5" t="n">
        <v>3</v>
      </c>
      <c r="C4719" s="5" t="s">
        <v>2019</v>
      </c>
      <c r="D4719" s="5" t="s">
        <v>2131</v>
      </c>
      <c r="E4719" s="5" t="n">
        <v>1</v>
      </c>
      <c r="F4719" s="6" t="n">
        <f aca="false">IFERROR(MATCH(A4719&amp;"|"&amp;B4719&amp;"|"&amp;D4719,'All Song Rankings'!$T:$T,0),0)</f>
        <v>713</v>
      </c>
      <c r="G4719" s="6" t="str">
        <f aca="false">IF(F4719=0,"NOT FOUND",INDEX('All Song Rankings'!$A:$A,F4719))</f>
        <v>Emotions</v>
      </c>
      <c r="H4719" s="6" t="str">
        <f aca="false">IF(F4719=0,"NOT FOUND",INDEX('All Song Rankings'!$B:$B,F4719))</f>
        <v>Mariah Carey</v>
      </c>
      <c r="I4719" s="6" t="str">
        <f aca="false">IF(F4719=0,"NOT FOUND",INDEX('All Song Rankings'!$D:$D,F4719))</f>
        <v>Sara</v>
      </c>
      <c r="J4719" s="7" t="str">
        <f aca="false">IF(F4719=0,"NOT FOUND",IF(C4719=I4719,"SELF-VOTE",IF(COUNTIF($K:$K,K4719)&gt;1,"DUPLICATE","OK")))</f>
        <v>OK</v>
      </c>
      <c r="K4719" s="6" t="str">
        <f aca="false">A4719&amp;"|"&amp;B4719&amp;"|"&amp;C4719&amp;"|"&amp;D4719</f>
        <v>7|3|Lucia|spotify:track:0cELvuwJW1acISUHYB6suj</v>
      </c>
    </row>
    <row r="4720" customFormat="false" ht="15" hidden="false" customHeight="false" outlineLevel="0" collapsed="false">
      <c r="A4720" s="5" t="n">
        <v>7</v>
      </c>
      <c r="B4720" s="5" t="n">
        <v>3</v>
      </c>
      <c r="C4720" s="5" t="s">
        <v>2019</v>
      </c>
      <c r="D4720" s="5" t="s">
        <v>2120</v>
      </c>
      <c r="E4720" s="5" t="n">
        <v>1</v>
      </c>
      <c r="F4720" s="6" t="n">
        <f aca="false">IFERROR(MATCH(A4720&amp;"|"&amp;B4720&amp;"|"&amp;D4720,'All Song Rankings'!$T:$T,0),0)</f>
        <v>709</v>
      </c>
      <c r="G4720" s="6" t="str">
        <f aca="false">IF(F4720=0,"NOT FOUND",INDEX('All Song Rankings'!$A:$A,F4720))</f>
        <v>Teenage Dirtbag</v>
      </c>
      <c r="H4720" s="6" t="str">
        <f aca="false">IF(F4720=0,"NOT FOUND",INDEX('All Song Rankings'!$B:$B,F4720))</f>
        <v>Wheatus</v>
      </c>
      <c r="I4720" s="6" t="str">
        <f aca="false">IF(F4720=0,"NOT FOUND",INDEX('All Song Rankings'!$D:$D,F4720))</f>
        <v>Josh</v>
      </c>
      <c r="J4720" s="7" t="str">
        <f aca="false">IF(F4720=0,"NOT FOUND",IF(C4720=I4720,"SELF-VOTE",IF(COUNTIF($K:$K,K4720)&gt;1,"DUPLICATE","OK")))</f>
        <v>OK</v>
      </c>
      <c r="K4720" s="6" t="str">
        <f aca="false">A4720&amp;"|"&amp;B4720&amp;"|"&amp;C4720&amp;"|"&amp;D4720</f>
        <v>7|3|Lucia|spotify:track:25FTMokYEbEWHEdss5JLZS</v>
      </c>
    </row>
    <row r="4721" customFormat="false" ht="15" hidden="false" customHeight="false" outlineLevel="0" collapsed="false">
      <c r="A4721" s="5" t="n">
        <v>7</v>
      </c>
      <c r="B4721" s="5" t="n">
        <v>3</v>
      </c>
      <c r="C4721" s="5" t="s">
        <v>2019</v>
      </c>
      <c r="D4721" s="5" t="s">
        <v>2103</v>
      </c>
      <c r="E4721" s="5" t="n">
        <v>1</v>
      </c>
      <c r="F4721" s="6" t="n">
        <f aca="false">IFERROR(MATCH(A4721&amp;"|"&amp;B4721&amp;"|"&amp;D4721,'All Song Rankings'!$T:$T,0),0)</f>
        <v>703</v>
      </c>
      <c r="G4721" s="6" t="str">
        <f aca="false">IF(F4721=0,"NOT FOUND",INDEX('All Song Rankings'!$A:$A,F4721))</f>
        <v>Take on Me</v>
      </c>
      <c r="H4721" s="6" t="str">
        <f aca="false">IF(F4721=0,"NOT FOUND",INDEX('All Song Rankings'!$B:$B,F4721))</f>
        <v>a-ha</v>
      </c>
      <c r="I4721" s="6" t="str">
        <f aca="false">IF(F4721=0,"NOT FOUND",INDEX('All Song Rankings'!$D:$D,F4721))</f>
        <v>Leah</v>
      </c>
      <c r="J4721" s="7" t="str">
        <f aca="false">IF(F4721=0,"NOT FOUND",IF(C4721=I4721,"SELF-VOTE",IF(COUNTIF($K:$K,K4721)&gt;1,"DUPLICATE","OK")))</f>
        <v>OK</v>
      </c>
      <c r="K4721" s="6" t="str">
        <f aca="false">A4721&amp;"|"&amp;B4721&amp;"|"&amp;C4721&amp;"|"&amp;D4721</f>
        <v>7|3|Lucia|spotify:track:2WfaOiMkCvy7F5fcp2zZ8L</v>
      </c>
    </row>
    <row r="4722" customFormat="false" ht="15" hidden="false" customHeight="false" outlineLevel="0" collapsed="false">
      <c r="A4722" s="5" t="n">
        <v>7</v>
      </c>
      <c r="B4722" s="5" t="n">
        <v>3</v>
      </c>
      <c r="C4722" s="5" t="s">
        <v>2019</v>
      </c>
      <c r="D4722" s="5" t="s">
        <v>2139</v>
      </c>
      <c r="E4722" s="5" t="n">
        <v>1</v>
      </c>
      <c r="F4722" s="6" t="n">
        <f aca="false">IFERROR(MATCH(A4722&amp;"|"&amp;B4722&amp;"|"&amp;D4722,'All Song Rankings'!$T:$T,0),0)</f>
        <v>716</v>
      </c>
      <c r="G4722" s="6" t="str">
        <f aca="false">IF(F4722=0,"NOT FOUND",INDEX('All Song Rankings'!$A:$A,F4722))</f>
        <v>Chandelier</v>
      </c>
      <c r="H4722" s="6" t="str">
        <f aca="false">IF(F4722=0,"NOT FOUND",INDEX('All Song Rankings'!$B:$B,F4722))</f>
        <v>Sia</v>
      </c>
      <c r="I4722" s="6" t="str">
        <f aca="false">IF(F4722=0,"NOT FOUND",INDEX('All Song Rankings'!$D:$D,F4722))</f>
        <v>Colleen</v>
      </c>
      <c r="J4722" s="7" t="str">
        <f aca="false">IF(F4722=0,"NOT FOUND",IF(C4722=I4722,"SELF-VOTE",IF(COUNTIF($K:$K,K4722)&gt;1,"DUPLICATE","OK")))</f>
        <v>OK</v>
      </c>
      <c r="K4722" s="6" t="str">
        <f aca="false">A4722&amp;"|"&amp;B4722&amp;"|"&amp;C4722&amp;"|"&amp;D4722</f>
        <v>7|3|Lucia|spotify:track:2s1sdSqGcKxpPr5lCl7jAV</v>
      </c>
    </row>
    <row r="4723" customFormat="false" ht="15" hidden="false" customHeight="false" outlineLevel="0" collapsed="false">
      <c r="A4723" s="5" t="n">
        <v>7</v>
      </c>
      <c r="B4723" s="5" t="n">
        <v>3</v>
      </c>
      <c r="C4723" s="5" t="s">
        <v>2019</v>
      </c>
      <c r="D4723" s="5" t="s">
        <v>2129</v>
      </c>
      <c r="E4723" s="5" t="n">
        <v>1</v>
      </c>
      <c r="F4723" s="6" t="n">
        <f aca="false">IFERROR(MATCH(A4723&amp;"|"&amp;B4723&amp;"|"&amp;D4723,'All Song Rankings'!$T:$T,0),0)</f>
        <v>712</v>
      </c>
      <c r="G4723" s="6" t="str">
        <f aca="false">IF(F4723=0,"NOT FOUND",INDEX('All Song Rankings'!$A:$A,F4723))</f>
        <v>Black Dog - Remaster</v>
      </c>
      <c r="H4723" s="6" t="str">
        <f aca="false">IF(F4723=0,"NOT FOUND",INDEX('All Song Rankings'!$B:$B,F4723))</f>
        <v>Led Zeppelin</v>
      </c>
      <c r="I4723" s="6" t="str">
        <f aca="false">IF(F4723=0,"NOT FOUND",INDEX('All Song Rankings'!$D:$D,F4723))</f>
        <v>Matt</v>
      </c>
      <c r="J4723" s="7" t="str">
        <f aca="false">IF(F4723=0,"NOT FOUND",IF(C4723=I4723,"SELF-VOTE",IF(COUNTIF($K:$K,K4723)&gt;1,"DUPLICATE","OK")))</f>
        <v>OK</v>
      </c>
      <c r="K4723" s="6" t="str">
        <f aca="false">A4723&amp;"|"&amp;B4723&amp;"|"&amp;C4723&amp;"|"&amp;D4723</f>
        <v>7|3|Lucia|spotify:track:3qT4bUD1MaWpGrTwcvguhb</v>
      </c>
    </row>
    <row r="4724" customFormat="false" ht="15" hidden="false" customHeight="false" outlineLevel="0" collapsed="false">
      <c r="A4724" s="5" t="n">
        <v>7</v>
      </c>
      <c r="B4724" s="5" t="n">
        <v>3</v>
      </c>
      <c r="C4724" s="5" t="s">
        <v>2019</v>
      </c>
      <c r="D4724" s="5" t="s">
        <v>2126</v>
      </c>
      <c r="E4724" s="5" t="n">
        <v>1</v>
      </c>
      <c r="F4724" s="6" t="n">
        <f aca="false">IFERROR(MATCH(A4724&amp;"|"&amp;B4724&amp;"|"&amp;D4724,'All Song Rankings'!$T:$T,0),0)</f>
        <v>711</v>
      </c>
      <c r="G4724" s="6" t="str">
        <f aca="false">IF(F4724=0,"NOT FOUND",INDEX('All Song Rankings'!$A:$A,F4724))</f>
        <v>Your Love</v>
      </c>
      <c r="H4724" s="6" t="str">
        <f aca="false">IF(F4724=0,"NOT FOUND",INDEX('All Song Rankings'!$B:$B,F4724))</f>
        <v>The Outfield</v>
      </c>
      <c r="I4724" s="6" t="str">
        <f aca="false">IF(F4724=0,"NOT FOUND",INDEX('All Song Rankings'!$D:$D,F4724))</f>
        <v>Lisa</v>
      </c>
      <c r="J4724" s="7" t="str">
        <f aca="false">IF(F4724=0,"NOT FOUND",IF(C4724=I4724,"SELF-VOTE",IF(COUNTIF($K:$K,K4724)&gt;1,"DUPLICATE","OK")))</f>
        <v>OK</v>
      </c>
      <c r="K4724" s="6" t="str">
        <f aca="false">A4724&amp;"|"&amp;B4724&amp;"|"&amp;C4724&amp;"|"&amp;D4724</f>
        <v>7|3|Lucia|spotify:track:5dRQUolXAVX3BbCiIxmSsf</v>
      </c>
    </row>
    <row r="4725" customFormat="false" ht="15" hidden="false" customHeight="false" outlineLevel="0" collapsed="false">
      <c r="A4725" s="5" t="n">
        <v>7</v>
      </c>
      <c r="B4725" s="5" t="n">
        <v>3</v>
      </c>
      <c r="C4725" s="5" t="s">
        <v>2019</v>
      </c>
      <c r="D4725" s="5" t="s">
        <v>2109</v>
      </c>
      <c r="E4725" s="5" t="n">
        <v>2</v>
      </c>
      <c r="F4725" s="6" t="n">
        <f aca="false">IFERROR(MATCH(A4725&amp;"|"&amp;B4725&amp;"|"&amp;D4725,'All Song Rankings'!$T:$T,0),0)</f>
        <v>705</v>
      </c>
      <c r="G4725" s="6" t="str">
        <f aca="false">IF(F4725=0,"NOT FOUND",INDEX('All Song Rankings'!$A:$A,F4725))</f>
        <v>BOY</v>
      </c>
      <c r="H4725" s="6" t="str">
        <f aca="false">IF(F4725=0,"NOT FOUND",INDEX('All Song Rankings'!$B:$B,F4725))</f>
        <v>Charlie Puth</v>
      </c>
      <c r="I4725" s="6" t="str">
        <f aca="false">IF(F4725=0,"NOT FOUND",INDEX('All Song Rankings'!$D:$D,F4725))</f>
        <v>Stephanie</v>
      </c>
      <c r="J4725" s="7" t="str">
        <f aca="false">IF(F4725=0,"NOT FOUND",IF(C4725=I4725,"SELF-VOTE",IF(COUNTIF($K:$K,K4725)&gt;1,"DUPLICATE","OK")))</f>
        <v>OK</v>
      </c>
      <c r="K4725" s="6" t="str">
        <f aca="false">A4725&amp;"|"&amp;B4725&amp;"|"&amp;C4725&amp;"|"&amp;D4725</f>
        <v>7|3|Lucia|spotify:track:7aSvPfoqiM0zwPqupLGaHd</v>
      </c>
    </row>
    <row r="4726" customFormat="false" ht="15" hidden="false" customHeight="false" outlineLevel="0" collapsed="false">
      <c r="A4726" s="5" t="n">
        <v>7</v>
      </c>
      <c r="B4726" s="5" t="n">
        <v>3</v>
      </c>
      <c r="C4726" s="5" t="s">
        <v>2019</v>
      </c>
      <c r="D4726" s="5" t="s">
        <v>2123</v>
      </c>
      <c r="E4726" s="5" t="n">
        <v>1</v>
      </c>
      <c r="F4726" s="6" t="n">
        <f aca="false">IFERROR(MATCH(A4726&amp;"|"&amp;B4726&amp;"|"&amp;D4726,'All Song Rankings'!$T:$T,0),0)</f>
        <v>710</v>
      </c>
      <c r="G4726" s="6" t="str">
        <f aca="false">IF(F4726=0,"NOT FOUND",INDEX('All Song Rankings'!$A:$A,F4726))</f>
        <v>Want to Want Me</v>
      </c>
      <c r="H4726" s="6" t="str">
        <f aca="false">IF(F4726=0,"NOT FOUND",INDEX('All Song Rankings'!$B:$B,F4726))</f>
        <v>Jason Derulo</v>
      </c>
      <c r="I4726" s="6" t="str">
        <f aca="false">IF(F4726=0,"NOT FOUND",INDEX('All Song Rankings'!$D:$D,F4726))</f>
        <v>Kelsey</v>
      </c>
      <c r="J4726" s="7" t="str">
        <f aca="false">IF(F4726=0,"NOT FOUND",IF(C4726=I4726,"SELF-VOTE",IF(COUNTIF($K:$K,K4726)&gt;1,"DUPLICATE","OK")))</f>
        <v>OK</v>
      </c>
      <c r="K4726" s="6" t="str">
        <f aca="false">A4726&amp;"|"&amp;B4726&amp;"|"&amp;C4726&amp;"|"&amp;D4726</f>
        <v>7|3|Lucia|spotify:track:7oGZAicScQt96OAW4AruYy</v>
      </c>
    </row>
    <row r="4727" customFormat="false" ht="15" hidden="false" customHeight="false" outlineLevel="0" collapsed="false">
      <c r="A4727" s="5" t="n">
        <v>7</v>
      </c>
      <c r="B4727" s="5" t="n">
        <v>3</v>
      </c>
      <c r="C4727" s="5" t="s">
        <v>116</v>
      </c>
      <c r="D4727" s="5" t="s">
        <v>2112</v>
      </c>
      <c r="E4727" s="5" t="n">
        <v>1</v>
      </c>
      <c r="F4727" s="6" t="n">
        <f aca="false">IFERROR(MATCH(A4727&amp;"|"&amp;B4727&amp;"|"&amp;D4727,'All Song Rankings'!$T:$T,0),0)</f>
        <v>706</v>
      </c>
      <c r="G4727" s="6" t="str">
        <f aca="false">IF(F4727=0,"NOT FOUND",INDEX('All Song Rankings'!$A:$A,F4727))</f>
        <v>I Don't Feel Like Dancin'</v>
      </c>
      <c r="H4727" s="6" t="str">
        <f aca="false">IF(F4727=0,"NOT FOUND",INDEX('All Song Rankings'!$B:$B,F4727))</f>
        <v>Scissor Sisters</v>
      </c>
      <c r="I4727" s="6" t="str">
        <f aca="false">IF(F4727=0,"NOT FOUND",INDEX('All Song Rankings'!$D:$D,F4727))</f>
        <v>Grace</v>
      </c>
      <c r="J4727" s="7" t="str">
        <f aca="false">IF(F4727=0,"NOT FOUND",IF(C4727=I4727,"SELF-VOTE",IF(COUNTIF($K:$K,K4727)&gt;1,"DUPLICATE","OK")))</f>
        <v>OK</v>
      </c>
      <c r="K4727" s="6" t="str">
        <f aca="false">A4727&amp;"|"&amp;B4727&amp;"|"&amp;C4727&amp;"|"&amp;D4727</f>
        <v>7|3|Matt|spotify:track:13pyGLYmBjYgvOMIEivX2K</v>
      </c>
    </row>
    <row r="4728" customFormat="false" ht="15" hidden="false" customHeight="false" outlineLevel="0" collapsed="false">
      <c r="A4728" s="5" t="n">
        <v>7</v>
      </c>
      <c r="B4728" s="5" t="n">
        <v>3</v>
      </c>
      <c r="C4728" s="5" t="s">
        <v>116</v>
      </c>
      <c r="D4728" s="5" t="s">
        <v>2120</v>
      </c>
      <c r="E4728" s="5" t="n">
        <v>1</v>
      </c>
      <c r="F4728" s="6" t="n">
        <f aca="false">IFERROR(MATCH(A4728&amp;"|"&amp;B4728&amp;"|"&amp;D4728,'All Song Rankings'!$T:$T,0),0)</f>
        <v>709</v>
      </c>
      <c r="G4728" s="6" t="str">
        <f aca="false">IF(F4728=0,"NOT FOUND",INDEX('All Song Rankings'!$A:$A,F4728))</f>
        <v>Teenage Dirtbag</v>
      </c>
      <c r="H4728" s="6" t="str">
        <f aca="false">IF(F4728=0,"NOT FOUND",INDEX('All Song Rankings'!$B:$B,F4728))</f>
        <v>Wheatus</v>
      </c>
      <c r="I4728" s="6" t="str">
        <f aca="false">IF(F4728=0,"NOT FOUND",INDEX('All Song Rankings'!$D:$D,F4728))</f>
        <v>Josh</v>
      </c>
      <c r="J4728" s="7" t="str">
        <f aca="false">IF(F4728=0,"NOT FOUND",IF(C4728=I4728,"SELF-VOTE",IF(COUNTIF($K:$K,K4728)&gt;1,"DUPLICATE","OK")))</f>
        <v>OK</v>
      </c>
      <c r="K4728" s="6" t="str">
        <f aca="false">A4728&amp;"|"&amp;B4728&amp;"|"&amp;C4728&amp;"|"&amp;D4728</f>
        <v>7|3|Matt|spotify:track:25FTMokYEbEWHEdss5JLZS</v>
      </c>
    </row>
    <row r="4729" customFormat="false" ht="15" hidden="false" customHeight="false" outlineLevel="0" collapsed="false">
      <c r="A4729" s="5" t="n">
        <v>7</v>
      </c>
      <c r="B4729" s="5" t="n">
        <v>3</v>
      </c>
      <c r="C4729" s="5" t="s">
        <v>116</v>
      </c>
      <c r="D4729" s="5" t="s">
        <v>2103</v>
      </c>
      <c r="E4729" s="5" t="n">
        <v>1</v>
      </c>
      <c r="F4729" s="6" t="n">
        <f aca="false">IFERROR(MATCH(A4729&amp;"|"&amp;B4729&amp;"|"&amp;D4729,'All Song Rankings'!$T:$T,0),0)</f>
        <v>703</v>
      </c>
      <c r="G4729" s="6" t="str">
        <f aca="false">IF(F4729=0,"NOT FOUND",INDEX('All Song Rankings'!$A:$A,F4729))</f>
        <v>Take on Me</v>
      </c>
      <c r="H4729" s="6" t="str">
        <f aca="false">IF(F4729=0,"NOT FOUND",INDEX('All Song Rankings'!$B:$B,F4729))</f>
        <v>a-ha</v>
      </c>
      <c r="I4729" s="6" t="str">
        <f aca="false">IF(F4729=0,"NOT FOUND",INDEX('All Song Rankings'!$D:$D,F4729))</f>
        <v>Leah</v>
      </c>
      <c r="J4729" s="7" t="str">
        <f aca="false">IF(F4729=0,"NOT FOUND",IF(C4729=I4729,"SELF-VOTE",IF(COUNTIF($K:$K,K4729)&gt;1,"DUPLICATE","OK")))</f>
        <v>OK</v>
      </c>
      <c r="K4729" s="6" t="str">
        <f aca="false">A4729&amp;"|"&amp;B4729&amp;"|"&amp;C4729&amp;"|"&amp;D4729</f>
        <v>7|3|Matt|spotify:track:2WfaOiMkCvy7F5fcp2zZ8L</v>
      </c>
    </row>
    <row r="4730" customFormat="false" ht="15" hidden="false" customHeight="false" outlineLevel="0" collapsed="false">
      <c r="A4730" s="5" t="n">
        <v>7</v>
      </c>
      <c r="B4730" s="5" t="n">
        <v>3</v>
      </c>
      <c r="C4730" s="5" t="s">
        <v>116</v>
      </c>
      <c r="D4730" s="5" t="s">
        <v>2136</v>
      </c>
      <c r="E4730" s="5" t="n">
        <v>1</v>
      </c>
      <c r="F4730" s="6" t="n">
        <f aca="false">IFERROR(MATCH(A4730&amp;"|"&amp;B4730&amp;"|"&amp;D4730,'All Song Rankings'!$T:$T,0),0)</f>
        <v>715</v>
      </c>
      <c r="G4730" s="6" t="str">
        <f aca="false">IF(F4730=0,"NOT FOUND",INDEX('All Song Rankings'!$A:$A,F4730))</f>
        <v>One Way Trigger</v>
      </c>
      <c r="H4730" s="6" t="str">
        <f aca="false">IF(F4730=0,"NOT FOUND",INDEX('All Song Rankings'!$B:$B,F4730))</f>
        <v>The Strokes</v>
      </c>
      <c r="I4730" s="6" t="str">
        <f aca="false">IF(F4730=0,"NOT FOUND",INDEX('All Song Rankings'!$D:$D,F4730))</f>
        <v>Christine</v>
      </c>
      <c r="J4730" s="7" t="str">
        <f aca="false">IF(F4730=0,"NOT FOUND",IF(C4730=I4730,"SELF-VOTE",IF(COUNTIF($K:$K,K4730)&gt;1,"DUPLICATE","OK")))</f>
        <v>OK</v>
      </c>
      <c r="K4730" s="6" t="str">
        <f aca="false">A4730&amp;"|"&amp;B4730&amp;"|"&amp;C4730&amp;"|"&amp;D4730</f>
        <v>7|3|Matt|spotify:track:5GKVcvTgnFYtfh25qKQtRg</v>
      </c>
    </row>
    <row r="4731" customFormat="false" ht="15" hidden="false" customHeight="false" outlineLevel="0" collapsed="false">
      <c r="A4731" s="5" t="n">
        <v>7</v>
      </c>
      <c r="B4731" s="5" t="n">
        <v>3</v>
      </c>
      <c r="C4731" s="5" t="s">
        <v>116</v>
      </c>
      <c r="D4731" s="5" t="s">
        <v>2126</v>
      </c>
      <c r="E4731" s="5" t="n">
        <v>1</v>
      </c>
      <c r="F4731" s="6" t="n">
        <f aca="false">IFERROR(MATCH(A4731&amp;"|"&amp;B4731&amp;"|"&amp;D4731,'All Song Rankings'!$T:$T,0),0)</f>
        <v>711</v>
      </c>
      <c r="G4731" s="6" t="str">
        <f aca="false">IF(F4731=0,"NOT FOUND",INDEX('All Song Rankings'!$A:$A,F4731))</f>
        <v>Your Love</v>
      </c>
      <c r="H4731" s="6" t="str">
        <f aca="false">IF(F4731=0,"NOT FOUND",INDEX('All Song Rankings'!$B:$B,F4731))</f>
        <v>The Outfield</v>
      </c>
      <c r="I4731" s="6" t="str">
        <f aca="false">IF(F4731=0,"NOT FOUND",INDEX('All Song Rankings'!$D:$D,F4731))</f>
        <v>Lisa</v>
      </c>
      <c r="J4731" s="7" t="str">
        <f aca="false">IF(F4731=0,"NOT FOUND",IF(C4731=I4731,"SELF-VOTE",IF(COUNTIF($K:$K,K4731)&gt;1,"DUPLICATE","OK")))</f>
        <v>OK</v>
      </c>
      <c r="K4731" s="6" t="str">
        <f aca="false">A4731&amp;"|"&amp;B4731&amp;"|"&amp;C4731&amp;"|"&amp;D4731</f>
        <v>7|3|Matt|spotify:track:5dRQUolXAVX3BbCiIxmSsf</v>
      </c>
    </row>
    <row r="4732" customFormat="false" ht="15" hidden="false" customHeight="false" outlineLevel="0" collapsed="false">
      <c r="A4732" s="5" t="n">
        <v>7</v>
      </c>
      <c r="B4732" s="5" t="n">
        <v>3</v>
      </c>
      <c r="C4732" s="5" t="s">
        <v>116</v>
      </c>
      <c r="D4732" s="5" t="s">
        <v>2117</v>
      </c>
      <c r="E4732" s="5" t="n">
        <v>1</v>
      </c>
      <c r="F4732" s="6" t="n">
        <f aca="false">IFERROR(MATCH(A4732&amp;"|"&amp;B4732&amp;"|"&amp;D4732,'All Song Rankings'!$T:$T,0),0)</f>
        <v>708</v>
      </c>
      <c r="G4732" s="6" t="str">
        <f aca="false">IF(F4732=0,"NOT FOUND",INDEX('All Song Rankings'!$A:$A,F4732))</f>
        <v>High</v>
      </c>
      <c r="H4732" s="6" t="str">
        <f aca="false">IF(F4732=0,"NOT FOUND",INDEX('All Song Rankings'!$B:$B,F4732))</f>
        <v>Stephen Sanchez</v>
      </c>
      <c r="I4732" s="6" t="str">
        <f aca="false">IF(F4732=0,"NOT FOUND",INDEX('All Song Rankings'!$D:$D,F4732))</f>
        <v>Lucia</v>
      </c>
      <c r="J4732" s="7" t="str">
        <f aca="false">IF(F4732=0,"NOT FOUND",IF(C4732=I4732,"SELF-VOTE",IF(COUNTIF($K:$K,K4732)&gt;1,"DUPLICATE","OK")))</f>
        <v>OK</v>
      </c>
      <c r="K4732" s="6" t="str">
        <f aca="false">A4732&amp;"|"&amp;B4732&amp;"|"&amp;C4732&amp;"|"&amp;D4732</f>
        <v>7|3|Matt|spotify:track:5hlPrSCx9BvnQ3rCTkblMZ</v>
      </c>
    </row>
    <row r="4733" customFormat="false" ht="15" hidden="false" customHeight="false" outlineLevel="0" collapsed="false">
      <c r="A4733" s="5" t="n">
        <v>7</v>
      </c>
      <c r="B4733" s="5" t="n">
        <v>3</v>
      </c>
      <c r="C4733" s="5" t="s">
        <v>116</v>
      </c>
      <c r="D4733" s="5" t="s">
        <v>2114</v>
      </c>
      <c r="E4733" s="5" t="n">
        <v>1</v>
      </c>
      <c r="F4733" s="6" t="n">
        <f aca="false">IFERROR(MATCH(A4733&amp;"|"&amp;B4733&amp;"|"&amp;D4733,'All Song Rankings'!$T:$T,0),0)</f>
        <v>707</v>
      </c>
      <c r="G4733" s="6" t="str">
        <f aca="false">IF(F4733=0,"NOT FOUND",INDEX('All Song Rankings'!$A:$A,F4733))</f>
        <v>Kiss</v>
      </c>
      <c r="H4733" s="6" t="str">
        <f aca="false">IF(F4733=0,"NOT FOUND",INDEX('All Song Rankings'!$B:$B,F4733))</f>
        <v>Prince</v>
      </c>
      <c r="I4733" s="6" t="str">
        <f aca="false">IF(F4733=0,"NOT FOUND",INDEX('All Song Rankings'!$D:$D,F4733))</f>
        <v>Kristen</v>
      </c>
      <c r="J4733" s="7" t="str">
        <f aca="false">IF(F4733=0,"NOT FOUND",IF(C4733=I4733,"SELF-VOTE",IF(COUNTIF($K:$K,K4733)&gt;1,"DUPLICATE","OK")))</f>
        <v>OK</v>
      </c>
      <c r="K4733" s="6" t="str">
        <f aca="false">A4733&amp;"|"&amp;B4733&amp;"|"&amp;C4733&amp;"|"&amp;D4733</f>
        <v>7|3|Matt|spotify:track:5uBOaCN5vDdk9JqsefjQSh</v>
      </c>
    </row>
    <row r="4734" customFormat="false" ht="15" hidden="false" customHeight="false" outlineLevel="0" collapsed="false">
      <c r="A4734" s="5" t="n">
        <v>7</v>
      </c>
      <c r="B4734" s="5" t="n">
        <v>3</v>
      </c>
      <c r="C4734" s="5" t="s">
        <v>116</v>
      </c>
      <c r="D4734" s="5" t="s">
        <v>2133</v>
      </c>
      <c r="E4734" s="5" t="n">
        <v>1</v>
      </c>
      <c r="F4734" s="6" t="n">
        <f aca="false">IFERROR(MATCH(A4734&amp;"|"&amp;B4734&amp;"|"&amp;D4734,'All Song Rankings'!$T:$T,0),0)</f>
        <v>714</v>
      </c>
      <c r="G4734" s="6" t="str">
        <f aca="false">IF(F4734=0,"NOT FOUND",INDEX('All Song Rankings'!$A:$A,F4734))</f>
        <v>Dangerous Woman</v>
      </c>
      <c r="H4734" s="6" t="str">
        <f aca="false">IF(F4734=0,"NOT FOUND",INDEX('All Song Rankings'!$B:$B,F4734))</f>
        <v>Ariana Grande</v>
      </c>
      <c r="I4734" s="6" t="str">
        <f aca="false">IF(F4734=0,"NOT FOUND",INDEX('All Song Rankings'!$D:$D,F4734))</f>
        <v>Merita</v>
      </c>
      <c r="J4734" s="7" t="str">
        <f aca="false">IF(F4734=0,"NOT FOUND",IF(C4734=I4734,"SELF-VOTE",IF(COUNTIF($K:$K,K4734)&gt;1,"DUPLICATE","OK")))</f>
        <v>OK</v>
      </c>
      <c r="K4734" s="6" t="str">
        <f aca="false">A4734&amp;"|"&amp;B4734&amp;"|"&amp;C4734&amp;"|"&amp;D4734</f>
        <v>7|3|Matt|spotify:track:6RUhbFEhrvGISaQ8u2j2JN</v>
      </c>
    </row>
    <row r="4735" customFormat="false" ht="15" hidden="false" customHeight="false" outlineLevel="0" collapsed="false">
      <c r="A4735" s="5" t="n">
        <v>7</v>
      </c>
      <c r="B4735" s="5" t="n">
        <v>3</v>
      </c>
      <c r="C4735" s="5" t="s">
        <v>116</v>
      </c>
      <c r="D4735" s="5" t="s">
        <v>2109</v>
      </c>
      <c r="E4735" s="5" t="n">
        <v>1</v>
      </c>
      <c r="F4735" s="6" t="n">
        <f aca="false">IFERROR(MATCH(A4735&amp;"|"&amp;B4735&amp;"|"&amp;D4735,'All Song Rankings'!$T:$T,0),0)</f>
        <v>705</v>
      </c>
      <c r="G4735" s="6" t="str">
        <f aca="false">IF(F4735=0,"NOT FOUND",INDEX('All Song Rankings'!$A:$A,F4735))</f>
        <v>BOY</v>
      </c>
      <c r="H4735" s="6" t="str">
        <f aca="false">IF(F4735=0,"NOT FOUND",INDEX('All Song Rankings'!$B:$B,F4735))</f>
        <v>Charlie Puth</v>
      </c>
      <c r="I4735" s="6" t="str">
        <f aca="false">IF(F4735=0,"NOT FOUND",INDEX('All Song Rankings'!$D:$D,F4735))</f>
        <v>Stephanie</v>
      </c>
      <c r="J4735" s="7" t="str">
        <f aca="false">IF(F4735=0,"NOT FOUND",IF(C4735=I4735,"SELF-VOTE",IF(COUNTIF($K:$K,K4735)&gt;1,"DUPLICATE","OK")))</f>
        <v>OK</v>
      </c>
      <c r="K4735" s="6" t="str">
        <f aca="false">A4735&amp;"|"&amp;B4735&amp;"|"&amp;C4735&amp;"|"&amp;D4735</f>
        <v>7|3|Matt|spotify:track:7aSvPfoqiM0zwPqupLGaHd</v>
      </c>
    </row>
    <row r="4736" customFormat="false" ht="15" hidden="false" customHeight="false" outlineLevel="0" collapsed="false">
      <c r="A4736" s="5" t="n">
        <v>7</v>
      </c>
      <c r="B4736" s="5" t="n">
        <v>3</v>
      </c>
      <c r="C4736" s="5" t="s">
        <v>116</v>
      </c>
      <c r="D4736" s="5" t="s">
        <v>2123</v>
      </c>
      <c r="E4736" s="5" t="n">
        <v>1</v>
      </c>
      <c r="F4736" s="6" t="n">
        <f aca="false">IFERROR(MATCH(A4736&amp;"|"&amp;B4736&amp;"|"&amp;D4736,'All Song Rankings'!$T:$T,0),0)</f>
        <v>710</v>
      </c>
      <c r="G4736" s="6" t="str">
        <f aca="false">IF(F4736=0,"NOT FOUND",INDEX('All Song Rankings'!$A:$A,F4736))</f>
        <v>Want to Want Me</v>
      </c>
      <c r="H4736" s="6" t="str">
        <f aca="false">IF(F4736=0,"NOT FOUND",INDEX('All Song Rankings'!$B:$B,F4736))</f>
        <v>Jason Derulo</v>
      </c>
      <c r="I4736" s="6" t="str">
        <f aca="false">IF(F4736=0,"NOT FOUND",INDEX('All Song Rankings'!$D:$D,F4736))</f>
        <v>Kelsey</v>
      </c>
      <c r="J4736" s="7" t="str">
        <f aca="false">IF(F4736=0,"NOT FOUND",IF(C4736=I4736,"SELF-VOTE",IF(COUNTIF($K:$K,K4736)&gt;1,"DUPLICATE","OK")))</f>
        <v>OK</v>
      </c>
      <c r="K4736" s="6" t="str">
        <f aca="false">A4736&amp;"|"&amp;B4736&amp;"|"&amp;C4736&amp;"|"&amp;D4736</f>
        <v>7|3|Matt|spotify:track:7oGZAicScQt96OAW4AruYy</v>
      </c>
    </row>
    <row r="4737" customFormat="false" ht="15" hidden="false" customHeight="false" outlineLevel="0" collapsed="false">
      <c r="A4737" s="5" t="n">
        <v>7</v>
      </c>
      <c r="B4737" s="5" t="n">
        <v>3</v>
      </c>
      <c r="C4737" s="5" t="s">
        <v>101</v>
      </c>
      <c r="D4737" s="5" t="s">
        <v>2106</v>
      </c>
      <c r="E4737" s="5" t="n">
        <v>1</v>
      </c>
      <c r="F4737" s="6" t="n">
        <f aca="false">IFERROR(MATCH(A4737&amp;"|"&amp;B4737&amp;"|"&amp;D4737,'All Song Rankings'!$T:$T,0),0)</f>
        <v>704</v>
      </c>
      <c r="G4737" s="6" t="str">
        <f aca="false">IF(F4737=0,"NOT FOUND",INDEX('All Song Rankings'!$A:$A,F4737))</f>
        <v>Sherry</v>
      </c>
      <c r="H4737" s="6" t="str">
        <f aca="false">IF(F4737=0,"NOT FOUND",INDEX('All Song Rankings'!$B:$B,F4737))</f>
        <v>Frankie Valli &amp; The Four Seasons</v>
      </c>
      <c r="I4737" s="6" t="str">
        <f aca="false">IF(F4737=0,"NOT FOUND",INDEX('All Song Rankings'!$D:$D,F4737))</f>
        <v>Logan</v>
      </c>
      <c r="J4737" s="7" t="str">
        <f aca="false">IF(F4737=0,"NOT FOUND",IF(C4737=I4737,"SELF-VOTE",IF(COUNTIF($K:$K,K4737)&gt;1,"DUPLICATE","OK")))</f>
        <v>OK</v>
      </c>
      <c r="K4737" s="6" t="str">
        <f aca="false">A4737&amp;"|"&amp;B4737&amp;"|"&amp;C4737&amp;"|"&amp;D4737</f>
        <v>7|3|Merita|spotify:track:0NpvdCO506uO58D4AbKzki</v>
      </c>
    </row>
    <row r="4738" customFormat="false" ht="15" hidden="false" customHeight="false" outlineLevel="0" collapsed="false">
      <c r="A4738" s="5" t="n">
        <v>7</v>
      </c>
      <c r="B4738" s="5" t="n">
        <v>3</v>
      </c>
      <c r="C4738" s="5" t="s">
        <v>101</v>
      </c>
      <c r="D4738" s="5" t="s">
        <v>2131</v>
      </c>
      <c r="E4738" s="5" t="n">
        <v>2</v>
      </c>
      <c r="F4738" s="6" t="n">
        <f aca="false">IFERROR(MATCH(A4738&amp;"|"&amp;B4738&amp;"|"&amp;D4738,'All Song Rankings'!$T:$T,0),0)</f>
        <v>713</v>
      </c>
      <c r="G4738" s="6" t="str">
        <f aca="false">IF(F4738=0,"NOT FOUND",INDEX('All Song Rankings'!$A:$A,F4738))</f>
        <v>Emotions</v>
      </c>
      <c r="H4738" s="6" t="str">
        <f aca="false">IF(F4738=0,"NOT FOUND",INDEX('All Song Rankings'!$B:$B,F4738))</f>
        <v>Mariah Carey</v>
      </c>
      <c r="I4738" s="6" t="str">
        <f aca="false">IF(F4738=0,"NOT FOUND",INDEX('All Song Rankings'!$D:$D,F4738))</f>
        <v>Sara</v>
      </c>
      <c r="J4738" s="7" t="str">
        <f aca="false">IF(F4738=0,"NOT FOUND",IF(C4738=I4738,"SELF-VOTE",IF(COUNTIF($K:$K,K4738)&gt;1,"DUPLICATE","OK")))</f>
        <v>OK</v>
      </c>
      <c r="K4738" s="6" t="str">
        <f aca="false">A4738&amp;"|"&amp;B4738&amp;"|"&amp;C4738&amp;"|"&amp;D4738</f>
        <v>7|3|Merita|spotify:track:0cELvuwJW1acISUHYB6suj</v>
      </c>
    </row>
    <row r="4739" customFormat="false" ht="15" hidden="false" customHeight="false" outlineLevel="0" collapsed="false">
      <c r="A4739" s="5" t="n">
        <v>7</v>
      </c>
      <c r="B4739" s="5" t="n">
        <v>3</v>
      </c>
      <c r="C4739" s="5" t="s">
        <v>101</v>
      </c>
      <c r="D4739" s="5" t="s">
        <v>2112</v>
      </c>
      <c r="E4739" s="5" t="n">
        <v>1</v>
      </c>
      <c r="F4739" s="6" t="n">
        <f aca="false">IFERROR(MATCH(A4739&amp;"|"&amp;B4739&amp;"|"&amp;D4739,'All Song Rankings'!$T:$T,0),0)</f>
        <v>706</v>
      </c>
      <c r="G4739" s="6" t="str">
        <f aca="false">IF(F4739=0,"NOT FOUND",INDEX('All Song Rankings'!$A:$A,F4739))</f>
        <v>I Don't Feel Like Dancin'</v>
      </c>
      <c r="H4739" s="6" t="str">
        <f aca="false">IF(F4739=0,"NOT FOUND",INDEX('All Song Rankings'!$B:$B,F4739))</f>
        <v>Scissor Sisters</v>
      </c>
      <c r="I4739" s="6" t="str">
        <f aca="false">IF(F4739=0,"NOT FOUND",INDEX('All Song Rankings'!$D:$D,F4739))</f>
        <v>Grace</v>
      </c>
      <c r="J4739" s="7" t="str">
        <f aca="false">IF(F4739=0,"NOT FOUND",IF(C4739=I4739,"SELF-VOTE",IF(COUNTIF($K:$K,K4739)&gt;1,"DUPLICATE","OK")))</f>
        <v>OK</v>
      </c>
      <c r="K4739" s="6" t="str">
        <f aca="false">A4739&amp;"|"&amp;B4739&amp;"|"&amp;C4739&amp;"|"&amp;D4739</f>
        <v>7|3|Merita|spotify:track:13pyGLYmBjYgvOMIEivX2K</v>
      </c>
    </row>
    <row r="4740" customFormat="false" ht="15" hidden="false" customHeight="false" outlineLevel="0" collapsed="false">
      <c r="A4740" s="5" t="n">
        <v>7</v>
      </c>
      <c r="B4740" s="5" t="n">
        <v>3</v>
      </c>
      <c r="C4740" s="5" t="s">
        <v>101</v>
      </c>
      <c r="D4740" s="5" t="s">
        <v>2139</v>
      </c>
      <c r="E4740" s="5" t="n">
        <v>2</v>
      </c>
      <c r="F4740" s="6" t="n">
        <f aca="false">IFERROR(MATCH(A4740&amp;"|"&amp;B4740&amp;"|"&amp;D4740,'All Song Rankings'!$T:$T,0),0)</f>
        <v>716</v>
      </c>
      <c r="G4740" s="6" t="str">
        <f aca="false">IF(F4740=0,"NOT FOUND",INDEX('All Song Rankings'!$A:$A,F4740))</f>
        <v>Chandelier</v>
      </c>
      <c r="H4740" s="6" t="str">
        <f aca="false">IF(F4740=0,"NOT FOUND",INDEX('All Song Rankings'!$B:$B,F4740))</f>
        <v>Sia</v>
      </c>
      <c r="I4740" s="6" t="str">
        <f aca="false">IF(F4740=0,"NOT FOUND",INDEX('All Song Rankings'!$D:$D,F4740))</f>
        <v>Colleen</v>
      </c>
      <c r="J4740" s="7" t="str">
        <f aca="false">IF(F4740=0,"NOT FOUND",IF(C4740=I4740,"SELF-VOTE",IF(COUNTIF($K:$K,K4740)&gt;1,"DUPLICATE","OK")))</f>
        <v>OK</v>
      </c>
      <c r="K4740" s="6" t="str">
        <f aca="false">A4740&amp;"|"&amp;B4740&amp;"|"&amp;C4740&amp;"|"&amp;D4740</f>
        <v>7|3|Merita|spotify:track:2s1sdSqGcKxpPr5lCl7jAV</v>
      </c>
    </row>
    <row r="4741" customFormat="false" ht="15" hidden="false" customHeight="false" outlineLevel="0" collapsed="false">
      <c r="A4741" s="5" t="n">
        <v>7</v>
      </c>
      <c r="B4741" s="5" t="n">
        <v>3</v>
      </c>
      <c r="C4741" s="5" t="s">
        <v>101</v>
      </c>
      <c r="D4741" s="5" t="s">
        <v>2114</v>
      </c>
      <c r="E4741" s="5" t="n">
        <v>1</v>
      </c>
      <c r="F4741" s="6" t="n">
        <f aca="false">IFERROR(MATCH(A4741&amp;"|"&amp;B4741&amp;"|"&amp;D4741,'All Song Rankings'!$T:$T,0),0)</f>
        <v>707</v>
      </c>
      <c r="G4741" s="6" t="str">
        <f aca="false">IF(F4741=0,"NOT FOUND",INDEX('All Song Rankings'!$A:$A,F4741))</f>
        <v>Kiss</v>
      </c>
      <c r="H4741" s="6" t="str">
        <f aca="false">IF(F4741=0,"NOT FOUND",INDEX('All Song Rankings'!$B:$B,F4741))</f>
        <v>Prince</v>
      </c>
      <c r="I4741" s="6" t="str">
        <f aca="false">IF(F4741=0,"NOT FOUND",INDEX('All Song Rankings'!$D:$D,F4741))</f>
        <v>Kristen</v>
      </c>
      <c r="J4741" s="7" t="str">
        <f aca="false">IF(F4741=0,"NOT FOUND",IF(C4741=I4741,"SELF-VOTE",IF(COUNTIF($K:$K,K4741)&gt;1,"DUPLICATE","OK")))</f>
        <v>OK</v>
      </c>
      <c r="K4741" s="6" t="str">
        <f aca="false">A4741&amp;"|"&amp;B4741&amp;"|"&amp;C4741&amp;"|"&amp;D4741</f>
        <v>7|3|Merita|spotify:track:5uBOaCN5vDdk9JqsefjQSh</v>
      </c>
    </row>
    <row r="4742" customFormat="false" ht="15" hidden="false" customHeight="false" outlineLevel="0" collapsed="false">
      <c r="A4742" s="5" t="n">
        <v>7</v>
      </c>
      <c r="B4742" s="5" t="n">
        <v>3</v>
      </c>
      <c r="C4742" s="5" t="s">
        <v>101</v>
      </c>
      <c r="D4742" s="5" t="s">
        <v>2109</v>
      </c>
      <c r="E4742" s="5" t="n">
        <v>2</v>
      </c>
      <c r="F4742" s="6" t="n">
        <f aca="false">IFERROR(MATCH(A4742&amp;"|"&amp;B4742&amp;"|"&amp;D4742,'All Song Rankings'!$T:$T,0),0)</f>
        <v>705</v>
      </c>
      <c r="G4742" s="6" t="str">
        <f aca="false">IF(F4742=0,"NOT FOUND",INDEX('All Song Rankings'!$A:$A,F4742))</f>
        <v>BOY</v>
      </c>
      <c r="H4742" s="6" t="str">
        <f aca="false">IF(F4742=0,"NOT FOUND",INDEX('All Song Rankings'!$B:$B,F4742))</f>
        <v>Charlie Puth</v>
      </c>
      <c r="I4742" s="6" t="str">
        <f aca="false">IF(F4742=0,"NOT FOUND",INDEX('All Song Rankings'!$D:$D,F4742))</f>
        <v>Stephanie</v>
      </c>
      <c r="J4742" s="7" t="str">
        <f aca="false">IF(F4742=0,"NOT FOUND",IF(C4742=I4742,"SELF-VOTE",IF(COUNTIF($K:$K,K4742)&gt;1,"DUPLICATE","OK")))</f>
        <v>OK</v>
      </c>
      <c r="K4742" s="6" t="str">
        <f aca="false">A4742&amp;"|"&amp;B4742&amp;"|"&amp;C4742&amp;"|"&amp;D4742</f>
        <v>7|3|Merita|spotify:track:7aSvPfoqiM0zwPqupLGaHd</v>
      </c>
    </row>
    <row r="4743" customFormat="false" ht="15" hidden="false" customHeight="false" outlineLevel="0" collapsed="false">
      <c r="A4743" s="5" t="n">
        <v>7</v>
      </c>
      <c r="B4743" s="5" t="n">
        <v>3</v>
      </c>
      <c r="C4743" s="5" t="s">
        <v>101</v>
      </c>
      <c r="D4743" s="5" t="s">
        <v>2123</v>
      </c>
      <c r="E4743" s="5" t="n">
        <v>1</v>
      </c>
      <c r="F4743" s="6" t="n">
        <f aca="false">IFERROR(MATCH(A4743&amp;"|"&amp;B4743&amp;"|"&amp;D4743,'All Song Rankings'!$T:$T,0),0)</f>
        <v>710</v>
      </c>
      <c r="G4743" s="6" t="str">
        <f aca="false">IF(F4743=0,"NOT FOUND",INDEX('All Song Rankings'!$A:$A,F4743))</f>
        <v>Want to Want Me</v>
      </c>
      <c r="H4743" s="6" t="str">
        <f aca="false">IF(F4743=0,"NOT FOUND",INDEX('All Song Rankings'!$B:$B,F4743))</f>
        <v>Jason Derulo</v>
      </c>
      <c r="I4743" s="6" t="str">
        <f aca="false">IF(F4743=0,"NOT FOUND",INDEX('All Song Rankings'!$D:$D,F4743))</f>
        <v>Kelsey</v>
      </c>
      <c r="J4743" s="7" t="str">
        <f aca="false">IF(F4743=0,"NOT FOUND",IF(C4743=I4743,"SELF-VOTE",IF(COUNTIF($K:$K,K4743)&gt;1,"DUPLICATE","OK")))</f>
        <v>OK</v>
      </c>
      <c r="K4743" s="6" t="str">
        <f aca="false">A4743&amp;"|"&amp;B4743&amp;"|"&amp;C4743&amp;"|"&amp;D4743</f>
        <v>7|3|Merita|spotify:track:7oGZAicScQt96OAW4AruYy</v>
      </c>
    </row>
    <row r="4744" customFormat="false" ht="15" hidden="false" customHeight="false" outlineLevel="0" collapsed="false">
      <c r="A4744" s="5" t="n">
        <v>7</v>
      </c>
      <c r="B4744" s="5" t="n">
        <v>3</v>
      </c>
      <c r="C4744" s="5" t="s">
        <v>2052</v>
      </c>
      <c r="D4744" s="5" t="s">
        <v>2106</v>
      </c>
      <c r="E4744" s="5" t="n">
        <v>1</v>
      </c>
      <c r="F4744" s="6" t="n">
        <f aca="false">IFERROR(MATCH(A4744&amp;"|"&amp;B4744&amp;"|"&amp;D4744,'All Song Rankings'!$T:$T,0),0)</f>
        <v>704</v>
      </c>
      <c r="G4744" s="6" t="str">
        <f aca="false">IF(F4744=0,"NOT FOUND",INDEX('All Song Rankings'!$A:$A,F4744))</f>
        <v>Sherry</v>
      </c>
      <c r="H4744" s="6" t="str">
        <f aca="false">IF(F4744=0,"NOT FOUND",INDEX('All Song Rankings'!$B:$B,F4744))</f>
        <v>Frankie Valli &amp; The Four Seasons</v>
      </c>
      <c r="I4744" s="6" t="str">
        <f aca="false">IF(F4744=0,"NOT FOUND",INDEX('All Song Rankings'!$D:$D,F4744))</f>
        <v>Logan</v>
      </c>
      <c r="J4744" s="7" t="str">
        <f aca="false">IF(F4744=0,"NOT FOUND",IF(C4744=I4744,"SELF-VOTE",IF(COUNTIF($K:$K,K4744)&gt;1,"DUPLICATE","OK")))</f>
        <v>OK</v>
      </c>
      <c r="K4744" s="6" t="str">
        <f aca="false">A4744&amp;"|"&amp;B4744&amp;"|"&amp;C4744&amp;"|"&amp;D4744</f>
        <v>7|3|Sara|spotify:track:0NpvdCO506uO58D4AbKzki</v>
      </c>
    </row>
    <row r="4745" customFormat="false" ht="15" hidden="false" customHeight="false" outlineLevel="0" collapsed="false">
      <c r="A4745" s="5" t="n">
        <v>7</v>
      </c>
      <c r="B4745" s="5" t="n">
        <v>3</v>
      </c>
      <c r="C4745" s="5" t="s">
        <v>2052</v>
      </c>
      <c r="D4745" s="5" t="s">
        <v>2120</v>
      </c>
      <c r="E4745" s="5" t="n">
        <v>2</v>
      </c>
      <c r="F4745" s="6" t="n">
        <f aca="false">IFERROR(MATCH(A4745&amp;"|"&amp;B4745&amp;"|"&amp;D4745,'All Song Rankings'!$T:$T,0),0)</f>
        <v>709</v>
      </c>
      <c r="G4745" s="6" t="str">
        <f aca="false">IF(F4745=0,"NOT FOUND",INDEX('All Song Rankings'!$A:$A,F4745))</f>
        <v>Teenage Dirtbag</v>
      </c>
      <c r="H4745" s="6" t="str">
        <f aca="false">IF(F4745=0,"NOT FOUND",INDEX('All Song Rankings'!$B:$B,F4745))</f>
        <v>Wheatus</v>
      </c>
      <c r="I4745" s="6" t="str">
        <f aca="false">IF(F4745=0,"NOT FOUND",INDEX('All Song Rankings'!$D:$D,F4745))</f>
        <v>Josh</v>
      </c>
      <c r="J4745" s="7" t="str">
        <f aca="false">IF(F4745=0,"NOT FOUND",IF(C4745=I4745,"SELF-VOTE",IF(COUNTIF($K:$K,K4745)&gt;1,"DUPLICATE","OK")))</f>
        <v>OK</v>
      </c>
      <c r="K4745" s="6" t="str">
        <f aca="false">A4745&amp;"|"&amp;B4745&amp;"|"&amp;C4745&amp;"|"&amp;D4745</f>
        <v>7|3|Sara|spotify:track:25FTMokYEbEWHEdss5JLZS</v>
      </c>
    </row>
    <row r="4746" customFormat="false" ht="15" hidden="false" customHeight="false" outlineLevel="0" collapsed="false">
      <c r="A4746" s="5" t="n">
        <v>7</v>
      </c>
      <c r="B4746" s="5" t="n">
        <v>3</v>
      </c>
      <c r="C4746" s="5" t="s">
        <v>2052</v>
      </c>
      <c r="D4746" s="5" t="s">
        <v>2103</v>
      </c>
      <c r="E4746" s="5" t="n">
        <v>3</v>
      </c>
      <c r="F4746" s="6" t="n">
        <f aca="false">IFERROR(MATCH(A4746&amp;"|"&amp;B4746&amp;"|"&amp;D4746,'All Song Rankings'!$T:$T,0),0)</f>
        <v>703</v>
      </c>
      <c r="G4746" s="6" t="str">
        <f aca="false">IF(F4746=0,"NOT FOUND",INDEX('All Song Rankings'!$A:$A,F4746))</f>
        <v>Take on Me</v>
      </c>
      <c r="H4746" s="6" t="str">
        <f aca="false">IF(F4746=0,"NOT FOUND",INDEX('All Song Rankings'!$B:$B,F4746))</f>
        <v>a-ha</v>
      </c>
      <c r="I4746" s="6" t="str">
        <f aca="false">IF(F4746=0,"NOT FOUND",INDEX('All Song Rankings'!$D:$D,F4746))</f>
        <v>Leah</v>
      </c>
      <c r="J4746" s="7" t="str">
        <f aca="false">IF(F4746=0,"NOT FOUND",IF(C4746=I4746,"SELF-VOTE",IF(COUNTIF($K:$K,K4746)&gt;1,"DUPLICATE","OK")))</f>
        <v>OK</v>
      </c>
      <c r="K4746" s="6" t="str">
        <f aca="false">A4746&amp;"|"&amp;B4746&amp;"|"&amp;C4746&amp;"|"&amp;D4746</f>
        <v>7|3|Sara|spotify:track:2WfaOiMkCvy7F5fcp2zZ8L</v>
      </c>
    </row>
    <row r="4747" customFormat="false" ht="15" hidden="false" customHeight="false" outlineLevel="0" collapsed="false">
      <c r="A4747" s="5" t="n">
        <v>7</v>
      </c>
      <c r="B4747" s="5" t="n">
        <v>3</v>
      </c>
      <c r="C4747" s="5" t="s">
        <v>2052</v>
      </c>
      <c r="D4747" s="5" t="s">
        <v>2142</v>
      </c>
      <c r="E4747" s="5" t="n">
        <v>2</v>
      </c>
      <c r="F4747" s="6" t="n">
        <f aca="false">IFERROR(MATCH(A4747&amp;"|"&amp;B4747&amp;"|"&amp;D4747,'All Song Rankings'!$T:$T,0),0)</f>
        <v>717</v>
      </c>
      <c r="G4747" s="6" t="str">
        <f aca="false">IF(F4747=0,"NOT FOUND",INDEX('All Song Rankings'!$A:$A,F4747))</f>
        <v>Just My Imagination (Running Away With Me)</v>
      </c>
      <c r="H4747" s="6" t="str">
        <f aca="false">IF(F4747=0,"NOT FOUND",INDEX('All Song Rankings'!$B:$B,F4747))</f>
        <v>The Temptations</v>
      </c>
      <c r="I4747" s="6" t="str">
        <f aca="false">IF(F4747=0,"NOT FOUND",INDEX('All Song Rankings'!$D:$D,F4747))</f>
        <v>Scott</v>
      </c>
      <c r="J4747" s="7" t="str">
        <f aca="false">IF(F4747=0,"NOT FOUND",IF(C4747=I4747,"SELF-VOTE",IF(COUNTIF($K:$K,K4747)&gt;1,"DUPLICATE","OK")))</f>
        <v>OK</v>
      </c>
      <c r="K4747" s="6" t="str">
        <f aca="false">A4747&amp;"|"&amp;B4747&amp;"|"&amp;C4747&amp;"|"&amp;D4747</f>
        <v>7|3|Sara|spotify:track:39Bd345OWEhRNyfayhp9gv</v>
      </c>
    </row>
    <row r="4748" customFormat="false" ht="15" hidden="false" customHeight="false" outlineLevel="0" collapsed="false">
      <c r="A4748" s="5" t="n">
        <v>7</v>
      </c>
      <c r="B4748" s="5" t="n">
        <v>3</v>
      </c>
      <c r="C4748" s="5" t="s">
        <v>2052</v>
      </c>
      <c r="D4748" s="5" t="s">
        <v>2114</v>
      </c>
      <c r="E4748" s="5" t="n">
        <v>1</v>
      </c>
      <c r="F4748" s="6" t="n">
        <f aca="false">IFERROR(MATCH(A4748&amp;"|"&amp;B4748&amp;"|"&amp;D4748,'All Song Rankings'!$T:$T,0),0)</f>
        <v>707</v>
      </c>
      <c r="G4748" s="6" t="str">
        <f aca="false">IF(F4748=0,"NOT FOUND",INDEX('All Song Rankings'!$A:$A,F4748))</f>
        <v>Kiss</v>
      </c>
      <c r="H4748" s="6" t="str">
        <f aca="false">IF(F4748=0,"NOT FOUND",INDEX('All Song Rankings'!$B:$B,F4748))</f>
        <v>Prince</v>
      </c>
      <c r="I4748" s="6" t="str">
        <f aca="false">IF(F4748=0,"NOT FOUND",INDEX('All Song Rankings'!$D:$D,F4748))</f>
        <v>Kristen</v>
      </c>
      <c r="J4748" s="7" t="str">
        <f aca="false">IF(F4748=0,"NOT FOUND",IF(C4748=I4748,"SELF-VOTE",IF(COUNTIF($K:$K,K4748)&gt;1,"DUPLICATE","OK")))</f>
        <v>OK</v>
      </c>
      <c r="K4748" s="6" t="str">
        <f aca="false">A4748&amp;"|"&amp;B4748&amp;"|"&amp;C4748&amp;"|"&amp;D4748</f>
        <v>7|3|Sara|spotify:track:5uBOaCN5vDdk9JqsefjQSh</v>
      </c>
    </row>
    <row r="4749" customFormat="false" ht="15" hidden="false" customHeight="false" outlineLevel="0" collapsed="false">
      <c r="A4749" s="5" t="n">
        <v>7</v>
      </c>
      <c r="B4749" s="5" t="n">
        <v>3</v>
      </c>
      <c r="C4749" s="5" t="s">
        <v>2052</v>
      </c>
      <c r="D4749" s="5" t="s">
        <v>2133</v>
      </c>
      <c r="E4749" s="5" t="n">
        <v>1</v>
      </c>
      <c r="F4749" s="6" t="n">
        <f aca="false">IFERROR(MATCH(A4749&amp;"|"&amp;B4749&amp;"|"&amp;D4749,'All Song Rankings'!$T:$T,0),0)</f>
        <v>714</v>
      </c>
      <c r="G4749" s="6" t="str">
        <f aca="false">IF(F4749=0,"NOT FOUND",INDEX('All Song Rankings'!$A:$A,F4749))</f>
        <v>Dangerous Woman</v>
      </c>
      <c r="H4749" s="6" t="str">
        <f aca="false">IF(F4749=0,"NOT FOUND",INDEX('All Song Rankings'!$B:$B,F4749))</f>
        <v>Ariana Grande</v>
      </c>
      <c r="I4749" s="6" t="str">
        <f aca="false">IF(F4749=0,"NOT FOUND",INDEX('All Song Rankings'!$D:$D,F4749))</f>
        <v>Merita</v>
      </c>
      <c r="J4749" s="7" t="str">
        <f aca="false">IF(F4749=0,"NOT FOUND",IF(C4749=I4749,"SELF-VOTE",IF(COUNTIF($K:$K,K4749)&gt;1,"DUPLICATE","OK")))</f>
        <v>OK</v>
      </c>
      <c r="K4749" s="6" t="str">
        <f aca="false">A4749&amp;"|"&amp;B4749&amp;"|"&amp;C4749&amp;"|"&amp;D4749</f>
        <v>7|3|Sara|spotify:track:6RUhbFEhrvGISaQ8u2j2JN</v>
      </c>
    </row>
    <row r="4750" customFormat="false" ht="15" hidden="false" customHeight="false" outlineLevel="0" collapsed="false">
      <c r="A4750" s="5" t="n">
        <v>7</v>
      </c>
      <c r="B4750" s="5" t="n">
        <v>3</v>
      </c>
      <c r="C4750" s="5" t="s">
        <v>484</v>
      </c>
      <c r="D4750" s="5" t="s">
        <v>2106</v>
      </c>
      <c r="E4750" s="5" t="n">
        <v>1</v>
      </c>
      <c r="F4750" s="6" t="n">
        <f aca="false">IFERROR(MATCH(A4750&amp;"|"&amp;B4750&amp;"|"&amp;D4750,'All Song Rankings'!$T:$T,0),0)</f>
        <v>704</v>
      </c>
      <c r="G4750" s="6" t="str">
        <f aca="false">IF(F4750=0,"NOT FOUND",INDEX('All Song Rankings'!$A:$A,F4750))</f>
        <v>Sherry</v>
      </c>
      <c r="H4750" s="6" t="str">
        <f aca="false">IF(F4750=0,"NOT FOUND",INDEX('All Song Rankings'!$B:$B,F4750))</f>
        <v>Frankie Valli &amp; The Four Seasons</v>
      </c>
      <c r="I4750" s="6" t="str">
        <f aca="false">IF(F4750=0,"NOT FOUND",INDEX('All Song Rankings'!$D:$D,F4750))</f>
        <v>Logan</v>
      </c>
      <c r="J4750" s="7" t="str">
        <f aca="false">IF(F4750=0,"NOT FOUND",IF(C4750=I4750,"SELF-VOTE",IF(COUNTIF($K:$K,K4750)&gt;1,"DUPLICATE","OK")))</f>
        <v>OK</v>
      </c>
      <c r="K4750" s="6" t="str">
        <f aca="false">A4750&amp;"|"&amp;B4750&amp;"|"&amp;C4750&amp;"|"&amp;D4750</f>
        <v>7|3|Scott|spotify:track:0NpvdCO506uO58D4AbKzki</v>
      </c>
    </row>
    <row r="4751" customFormat="false" ht="15" hidden="false" customHeight="false" outlineLevel="0" collapsed="false">
      <c r="A4751" s="5" t="n">
        <v>7</v>
      </c>
      <c r="B4751" s="5" t="n">
        <v>3</v>
      </c>
      <c r="C4751" s="5" t="s">
        <v>484</v>
      </c>
      <c r="D4751" s="5" t="s">
        <v>2131</v>
      </c>
      <c r="E4751" s="5" t="n">
        <v>1</v>
      </c>
      <c r="F4751" s="6" t="n">
        <f aca="false">IFERROR(MATCH(A4751&amp;"|"&amp;B4751&amp;"|"&amp;D4751,'All Song Rankings'!$T:$T,0),0)</f>
        <v>713</v>
      </c>
      <c r="G4751" s="6" t="str">
        <f aca="false">IF(F4751=0,"NOT FOUND",INDEX('All Song Rankings'!$A:$A,F4751))</f>
        <v>Emotions</v>
      </c>
      <c r="H4751" s="6" t="str">
        <f aca="false">IF(F4751=0,"NOT FOUND",INDEX('All Song Rankings'!$B:$B,F4751))</f>
        <v>Mariah Carey</v>
      </c>
      <c r="I4751" s="6" t="str">
        <f aca="false">IF(F4751=0,"NOT FOUND",INDEX('All Song Rankings'!$D:$D,F4751))</f>
        <v>Sara</v>
      </c>
      <c r="J4751" s="7" t="str">
        <f aca="false">IF(F4751=0,"NOT FOUND",IF(C4751=I4751,"SELF-VOTE",IF(COUNTIF($K:$K,K4751)&gt;1,"DUPLICATE","OK")))</f>
        <v>OK</v>
      </c>
      <c r="K4751" s="6" t="str">
        <f aca="false">A4751&amp;"|"&amp;B4751&amp;"|"&amp;C4751&amp;"|"&amp;D4751</f>
        <v>7|3|Scott|spotify:track:0cELvuwJW1acISUHYB6suj</v>
      </c>
    </row>
    <row r="4752" customFormat="false" ht="15" hidden="false" customHeight="false" outlineLevel="0" collapsed="false">
      <c r="A4752" s="5" t="n">
        <v>7</v>
      </c>
      <c r="B4752" s="5" t="n">
        <v>3</v>
      </c>
      <c r="C4752" s="5" t="s">
        <v>484</v>
      </c>
      <c r="D4752" s="5" t="s">
        <v>2112</v>
      </c>
      <c r="E4752" s="5" t="n">
        <v>1</v>
      </c>
      <c r="F4752" s="6" t="n">
        <f aca="false">IFERROR(MATCH(A4752&amp;"|"&amp;B4752&amp;"|"&amp;D4752,'All Song Rankings'!$T:$T,0),0)</f>
        <v>706</v>
      </c>
      <c r="G4752" s="6" t="str">
        <f aca="false">IF(F4752=0,"NOT FOUND",INDEX('All Song Rankings'!$A:$A,F4752))</f>
        <v>I Don't Feel Like Dancin'</v>
      </c>
      <c r="H4752" s="6" t="str">
        <f aca="false">IF(F4752=0,"NOT FOUND",INDEX('All Song Rankings'!$B:$B,F4752))</f>
        <v>Scissor Sisters</v>
      </c>
      <c r="I4752" s="6" t="str">
        <f aca="false">IF(F4752=0,"NOT FOUND",INDEX('All Song Rankings'!$D:$D,F4752))</f>
        <v>Grace</v>
      </c>
      <c r="J4752" s="7" t="str">
        <f aca="false">IF(F4752=0,"NOT FOUND",IF(C4752=I4752,"SELF-VOTE",IF(COUNTIF($K:$K,K4752)&gt;1,"DUPLICATE","OK")))</f>
        <v>OK</v>
      </c>
      <c r="K4752" s="6" t="str">
        <f aca="false">A4752&amp;"|"&amp;B4752&amp;"|"&amp;C4752&amp;"|"&amp;D4752</f>
        <v>7|3|Scott|spotify:track:13pyGLYmBjYgvOMIEivX2K</v>
      </c>
    </row>
    <row r="4753" customFormat="false" ht="15" hidden="false" customHeight="false" outlineLevel="0" collapsed="false">
      <c r="A4753" s="5" t="n">
        <v>7</v>
      </c>
      <c r="B4753" s="5" t="n">
        <v>3</v>
      </c>
      <c r="C4753" s="5" t="s">
        <v>484</v>
      </c>
      <c r="D4753" s="5" t="s">
        <v>2120</v>
      </c>
      <c r="E4753" s="5" t="n">
        <v>1</v>
      </c>
      <c r="F4753" s="6" t="n">
        <f aca="false">IFERROR(MATCH(A4753&amp;"|"&amp;B4753&amp;"|"&amp;D4753,'All Song Rankings'!$T:$T,0),0)</f>
        <v>709</v>
      </c>
      <c r="G4753" s="6" t="str">
        <f aca="false">IF(F4753=0,"NOT FOUND",INDEX('All Song Rankings'!$A:$A,F4753))</f>
        <v>Teenage Dirtbag</v>
      </c>
      <c r="H4753" s="6" t="str">
        <f aca="false">IF(F4753=0,"NOT FOUND",INDEX('All Song Rankings'!$B:$B,F4753))</f>
        <v>Wheatus</v>
      </c>
      <c r="I4753" s="6" t="str">
        <f aca="false">IF(F4753=0,"NOT FOUND",INDEX('All Song Rankings'!$D:$D,F4753))</f>
        <v>Josh</v>
      </c>
      <c r="J4753" s="7" t="str">
        <f aca="false">IF(F4753=0,"NOT FOUND",IF(C4753=I4753,"SELF-VOTE",IF(COUNTIF($K:$K,K4753)&gt;1,"DUPLICATE","OK")))</f>
        <v>OK</v>
      </c>
      <c r="K4753" s="6" t="str">
        <f aca="false">A4753&amp;"|"&amp;B4753&amp;"|"&amp;C4753&amp;"|"&amp;D4753</f>
        <v>7|3|Scott|spotify:track:25FTMokYEbEWHEdss5JLZS</v>
      </c>
    </row>
    <row r="4754" customFormat="false" ht="15" hidden="false" customHeight="false" outlineLevel="0" collapsed="false">
      <c r="A4754" s="5" t="n">
        <v>7</v>
      </c>
      <c r="B4754" s="5" t="n">
        <v>3</v>
      </c>
      <c r="C4754" s="5" t="s">
        <v>484</v>
      </c>
      <c r="D4754" s="5" t="s">
        <v>2103</v>
      </c>
      <c r="E4754" s="5" t="n">
        <v>1</v>
      </c>
      <c r="F4754" s="6" t="n">
        <f aca="false">IFERROR(MATCH(A4754&amp;"|"&amp;B4754&amp;"|"&amp;D4754,'All Song Rankings'!$T:$T,0),0)</f>
        <v>703</v>
      </c>
      <c r="G4754" s="6" t="str">
        <f aca="false">IF(F4754=0,"NOT FOUND",INDEX('All Song Rankings'!$A:$A,F4754))</f>
        <v>Take on Me</v>
      </c>
      <c r="H4754" s="6" t="str">
        <f aca="false">IF(F4754=0,"NOT FOUND",INDEX('All Song Rankings'!$B:$B,F4754))</f>
        <v>a-ha</v>
      </c>
      <c r="I4754" s="6" t="str">
        <f aca="false">IF(F4754=0,"NOT FOUND",INDEX('All Song Rankings'!$D:$D,F4754))</f>
        <v>Leah</v>
      </c>
      <c r="J4754" s="7" t="str">
        <f aca="false">IF(F4754=0,"NOT FOUND",IF(C4754=I4754,"SELF-VOTE",IF(COUNTIF($K:$K,K4754)&gt;1,"DUPLICATE","OK")))</f>
        <v>OK</v>
      </c>
      <c r="K4754" s="6" t="str">
        <f aca="false">A4754&amp;"|"&amp;B4754&amp;"|"&amp;C4754&amp;"|"&amp;D4754</f>
        <v>7|3|Scott|spotify:track:2WfaOiMkCvy7F5fcp2zZ8L</v>
      </c>
    </row>
    <row r="4755" customFormat="false" ht="15" hidden="false" customHeight="false" outlineLevel="0" collapsed="false">
      <c r="A4755" s="5" t="n">
        <v>7</v>
      </c>
      <c r="B4755" s="5" t="n">
        <v>3</v>
      </c>
      <c r="C4755" s="5" t="s">
        <v>484</v>
      </c>
      <c r="D4755" s="5" t="s">
        <v>2129</v>
      </c>
      <c r="E4755" s="5" t="n">
        <v>1</v>
      </c>
      <c r="F4755" s="6" t="n">
        <f aca="false">IFERROR(MATCH(A4755&amp;"|"&amp;B4755&amp;"|"&amp;D4755,'All Song Rankings'!$T:$T,0),0)</f>
        <v>712</v>
      </c>
      <c r="G4755" s="6" t="str">
        <f aca="false">IF(F4755=0,"NOT FOUND",INDEX('All Song Rankings'!$A:$A,F4755))</f>
        <v>Black Dog - Remaster</v>
      </c>
      <c r="H4755" s="6" t="str">
        <f aca="false">IF(F4755=0,"NOT FOUND",INDEX('All Song Rankings'!$B:$B,F4755))</f>
        <v>Led Zeppelin</v>
      </c>
      <c r="I4755" s="6" t="str">
        <f aca="false">IF(F4755=0,"NOT FOUND",INDEX('All Song Rankings'!$D:$D,F4755))</f>
        <v>Matt</v>
      </c>
      <c r="J4755" s="7" t="str">
        <f aca="false">IF(F4755=0,"NOT FOUND",IF(C4755=I4755,"SELF-VOTE",IF(COUNTIF($K:$K,K4755)&gt;1,"DUPLICATE","OK")))</f>
        <v>OK</v>
      </c>
      <c r="K4755" s="6" t="str">
        <f aca="false">A4755&amp;"|"&amp;B4755&amp;"|"&amp;C4755&amp;"|"&amp;D4755</f>
        <v>7|3|Scott|spotify:track:3qT4bUD1MaWpGrTwcvguhb</v>
      </c>
    </row>
    <row r="4756" customFormat="false" ht="15" hidden="false" customHeight="false" outlineLevel="0" collapsed="false">
      <c r="A4756" s="5" t="n">
        <v>7</v>
      </c>
      <c r="B4756" s="5" t="n">
        <v>3</v>
      </c>
      <c r="C4756" s="5" t="s">
        <v>484</v>
      </c>
      <c r="D4756" s="5" t="s">
        <v>2126</v>
      </c>
      <c r="E4756" s="5" t="n">
        <v>1</v>
      </c>
      <c r="F4756" s="6" t="n">
        <f aca="false">IFERROR(MATCH(A4756&amp;"|"&amp;B4756&amp;"|"&amp;D4756,'All Song Rankings'!$T:$T,0),0)</f>
        <v>711</v>
      </c>
      <c r="G4756" s="6" t="str">
        <f aca="false">IF(F4756=0,"NOT FOUND",INDEX('All Song Rankings'!$A:$A,F4756))</f>
        <v>Your Love</v>
      </c>
      <c r="H4756" s="6" t="str">
        <f aca="false">IF(F4756=0,"NOT FOUND",INDEX('All Song Rankings'!$B:$B,F4756))</f>
        <v>The Outfield</v>
      </c>
      <c r="I4756" s="6" t="str">
        <f aca="false">IF(F4756=0,"NOT FOUND",INDEX('All Song Rankings'!$D:$D,F4756))</f>
        <v>Lisa</v>
      </c>
      <c r="J4756" s="7" t="str">
        <f aca="false">IF(F4756=0,"NOT FOUND",IF(C4756=I4756,"SELF-VOTE",IF(COUNTIF($K:$K,K4756)&gt;1,"DUPLICATE","OK")))</f>
        <v>OK</v>
      </c>
      <c r="K4756" s="6" t="str">
        <f aca="false">A4756&amp;"|"&amp;B4756&amp;"|"&amp;C4756&amp;"|"&amp;D4756</f>
        <v>7|3|Scott|spotify:track:5dRQUolXAVX3BbCiIxmSsf</v>
      </c>
    </row>
    <row r="4757" customFormat="false" ht="15" hidden="false" customHeight="false" outlineLevel="0" collapsed="false">
      <c r="A4757" s="5" t="n">
        <v>7</v>
      </c>
      <c r="B4757" s="5" t="n">
        <v>3</v>
      </c>
      <c r="C4757" s="5" t="s">
        <v>484</v>
      </c>
      <c r="D4757" s="5" t="s">
        <v>2117</v>
      </c>
      <c r="E4757" s="5" t="n">
        <v>2</v>
      </c>
      <c r="F4757" s="6" t="n">
        <f aca="false">IFERROR(MATCH(A4757&amp;"|"&amp;B4757&amp;"|"&amp;D4757,'All Song Rankings'!$T:$T,0),0)</f>
        <v>708</v>
      </c>
      <c r="G4757" s="6" t="str">
        <f aca="false">IF(F4757=0,"NOT FOUND",INDEX('All Song Rankings'!$A:$A,F4757))</f>
        <v>High</v>
      </c>
      <c r="H4757" s="6" t="str">
        <f aca="false">IF(F4757=0,"NOT FOUND",INDEX('All Song Rankings'!$B:$B,F4757))</f>
        <v>Stephen Sanchez</v>
      </c>
      <c r="I4757" s="6" t="str">
        <f aca="false">IF(F4757=0,"NOT FOUND",INDEX('All Song Rankings'!$D:$D,F4757))</f>
        <v>Lucia</v>
      </c>
      <c r="J4757" s="7" t="str">
        <f aca="false">IF(F4757=0,"NOT FOUND",IF(C4757=I4757,"SELF-VOTE",IF(COUNTIF($K:$K,K4757)&gt;1,"DUPLICATE","OK")))</f>
        <v>OK</v>
      </c>
      <c r="K4757" s="6" t="str">
        <f aca="false">A4757&amp;"|"&amp;B4757&amp;"|"&amp;C4757&amp;"|"&amp;D4757</f>
        <v>7|3|Scott|spotify:track:5hlPrSCx9BvnQ3rCTkblMZ</v>
      </c>
    </row>
    <row r="4758" customFormat="false" ht="15" hidden="false" customHeight="false" outlineLevel="0" collapsed="false">
      <c r="A4758" s="5" t="n">
        <v>7</v>
      </c>
      <c r="B4758" s="5" t="n">
        <v>3</v>
      </c>
      <c r="C4758" s="5" t="s">
        <v>484</v>
      </c>
      <c r="D4758" s="5" t="s">
        <v>2114</v>
      </c>
      <c r="E4758" s="5" t="n">
        <v>1</v>
      </c>
      <c r="F4758" s="6" t="n">
        <f aca="false">IFERROR(MATCH(A4758&amp;"|"&amp;B4758&amp;"|"&amp;D4758,'All Song Rankings'!$T:$T,0),0)</f>
        <v>707</v>
      </c>
      <c r="G4758" s="6" t="str">
        <f aca="false">IF(F4758=0,"NOT FOUND",INDEX('All Song Rankings'!$A:$A,F4758))</f>
        <v>Kiss</v>
      </c>
      <c r="H4758" s="6" t="str">
        <f aca="false">IF(F4758=0,"NOT FOUND",INDEX('All Song Rankings'!$B:$B,F4758))</f>
        <v>Prince</v>
      </c>
      <c r="I4758" s="6" t="str">
        <f aca="false">IF(F4758=0,"NOT FOUND",INDEX('All Song Rankings'!$D:$D,F4758))</f>
        <v>Kristen</v>
      </c>
      <c r="J4758" s="7" t="str">
        <f aca="false">IF(F4758=0,"NOT FOUND",IF(C4758=I4758,"SELF-VOTE",IF(COUNTIF($K:$K,K4758)&gt;1,"DUPLICATE","OK")))</f>
        <v>OK</v>
      </c>
      <c r="K4758" s="6" t="str">
        <f aca="false">A4758&amp;"|"&amp;B4758&amp;"|"&amp;C4758&amp;"|"&amp;D4758</f>
        <v>7|3|Scott|spotify:track:5uBOaCN5vDdk9JqsefjQSh</v>
      </c>
    </row>
    <row r="4759" customFormat="false" ht="15" hidden="false" customHeight="false" outlineLevel="0" collapsed="false">
      <c r="A4759" s="5" t="n">
        <v>7</v>
      </c>
      <c r="B4759" s="5" t="n">
        <v>3</v>
      </c>
      <c r="C4759" s="5" t="s">
        <v>97</v>
      </c>
      <c r="D4759" s="5" t="s">
        <v>2106</v>
      </c>
      <c r="E4759" s="5" t="n">
        <v>1</v>
      </c>
      <c r="F4759" s="6" t="n">
        <f aca="false">IFERROR(MATCH(A4759&amp;"|"&amp;B4759&amp;"|"&amp;D4759,'All Song Rankings'!$T:$T,0),0)</f>
        <v>704</v>
      </c>
      <c r="G4759" s="6" t="str">
        <f aca="false">IF(F4759=0,"NOT FOUND",INDEX('All Song Rankings'!$A:$A,F4759))</f>
        <v>Sherry</v>
      </c>
      <c r="H4759" s="6" t="str">
        <f aca="false">IF(F4759=0,"NOT FOUND",INDEX('All Song Rankings'!$B:$B,F4759))</f>
        <v>Frankie Valli &amp; The Four Seasons</v>
      </c>
      <c r="I4759" s="6" t="str">
        <f aca="false">IF(F4759=0,"NOT FOUND",INDEX('All Song Rankings'!$D:$D,F4759))</f>
        <v>Logan</v>
      </c>
      <c r="J4759" s="7" t="str">
        <f aca="false">IF(F4759=0,"NOT FOUND",IF(C4759=I4759,"SELF-VOTE",IF(COUNTIF($K:$K,K4759)&gt;1,"DUPLICATE","OK")))</f>
        <v>OK</v>
      </c>
      <c r="K4759" s="6" t="str">
        <f aca="false">A4759&amp;"|"&amp;B4759&amp;"|"&amp;C4759&amp;"|"&amp;D4759</f>
        <v>7|3|Stephanie|spotify:track:0NpvdCO506uO58D4AbKzki</v>
      </c>
    </row>
    <row r="4760" customFormat="false" ht="15" hidden="false" customHeight="false" outlineLevel="0" collapsed="false">
      <c r="A4760" s="5" t="n">
        <v>7</v>
      </c>
      <c r="B4760" s="5" t="n">
        <v>3</v>
      </c>
      <c r="C4760" s="5" t="s">
        <v>97</v>
      </c>
      <c r="D4760" s="5" t="s">
        <v>2112</v>
      </c>
      <c r="E4760" s="5" t="n">
        <v>2</v>
      </c>
      <c r="F4760" s="6" t="n">
        <f aca="false">IFERROR(MATCH(A4760&amp;"|"&amp;B4760&amp;"|"&amp;D4760,'All Song Rankings'!$T:$T,0),0)</f>
        <v>706</v>
      </c>
      <c r="G4760" s="6" t="str">
        <f aca="false">IF(F4760=0,"NOT FOUND",INDEX('All Song Rankings'!$A:$A,F4760))</f>
        <v>I Don't Feel Like Dancin'</v>
      </c>
      <c r="H4760" s="6" t="str">
        <f aca="false">IF(F4760=0,"NOT FOUND",INDEX('All Song Rankings'!$B:$B,F4760))</f>
        <v>Scissor Sisters</v>
      </c>
      <c r="I4760" s="6" t="str">
        <f aca="false">IF(F4760=0,"NOT FOUND",INDEX('All Song Rankings'!$D:$D,F4760))</f>
        <v>Grace</v>
      </c>
      <c r="J4760" s="7" t="str">
        <f aca="false">IF(F4760=0,"NOT FOUND",IF(C4760=I4760,"SELF-VOTE",IF(COUNTIF($K:$K,K4760)&gt;1,"DUPLICATE","OK")))</f>
        <v>OK</v>
      </c>
      <c r="K4760" s="6" t="str">
        <f aca="false">A4760&amp;"|"&amp;B4760&amp;"|"&amp;C4760&amp;"|"&amp;D4760</f>
        <v>7|3|Stephanie|spotify:track:13pyGLYmBjYgvOMIEivX2K</v>
      </c>
    </row>
    <row r="4761" customFormat="false" ht="15" hidden="false" customHeight="false" outlineLevel="0" collapsed="false">
      <c r="A4761" s="5" t="n">
        <v>7</v>
      </c>
      <c r="B4761" s="5" t="n">
        <v>3</v>
      </c>
      <c r="C4761" s="5" t="s">
        <v>97</v>
      </c>
      <c r="D4761" s="5" t="s">
        <v>2120</v>
      </c>
      <c r="E4761" s="5" t="n">
        <v>1</v>
      </c>
      <c r="F4761" s="6" t="n">
        <f aca="false">IFERROR(MATCH(A4761&amp;"|"&amp;B4761&amp;"|"&amp;D4761,'All Song Rankings'!$T:$T,0),0)</f>
        <v>709</v>
      </c>
      <c r="G4761" s="6" t="str">
        <f aca="false">IF(F4761=0,"NOT FOUND",INDEX('All Song Rankings'!$A:$A,F4761))</f>
        <v>Teenage Dirtbag</v>
      </c>
      <c r="H4761" s="6" t="str">
        <f aca="false">IF(F4761=0,"NOT FOUND",INDEX('All Song Rankings'!$B:$B,F4761))</f>
        <v>Wheatus</v>
      </c>
      <c r="I4761" s="6" t="str">
        <f aca="false">IF(F4761=0,"NOT FOUND",INDEX('All Song Rankings'!$D:$D,F4761))</f>
        <v>Josh</v>
      </c>
      <c r="J4761" s="7" t="str">
        <f aca="false">IF(F4761=0,"NOT FOUND",IF(C4761=I4761,"SELF-VOTE",IF(COUNTIF($K:$K,K4761)&gt;1,"DUPLICATE","OK")))</f>
        <v>OK</v>
      </c>
      <c r="K4761" s="6" t="str">
        <f aca="false">A4761&amp;"|"&amp;B4761&amp;"|"&amp;C4761&amp;"|"&amp;D4761</f>
        <v>7|3|Stephanie|spotify:track:25FTMokYEbEWHEdss5JLZS</v>
      </c>
    </row>
    <row r="4762" customFormat="false" ht="15" hidden="false" customHeight="false" outlineLevel="0" collapsed="false">
      <c r="A4762" s="5" t="n">
        <v>7</v>
      </c>
      <c r="B4762" s="5" t="n">
        <v>3</v>
      </c>
      <c r="C4762" s="5" t="s">
        <v>97</v>
      </c>
      <c r="D4762" s="5" t="s">
        <v>2103</v>
      </c>
      <c r="E4762" s="5" t="n">
        <v>2</v>
      </c>
      <c r="F4762" s="6" t="n">
        <f aca="false">IFERROR(MATCH(A4762&amp;"|"&amp;B4762&amp;"|"&amp;D4762,'All Song Rankings'!$T:$T,0),0)</f>
        <v>703</v>
      </c>
      <c r="G4762" s="6" t="str">
        <f aca="false">IF(F4762=0,"NOT FOUND",INDEX('All Song Rankings'!$A:$A,F4762))</f>
        <v>Take on Me</v>
      </c>
      <c r="H4762" s="6" t="str">
        <f aca="false">IF(F4762=0,"NOT FOUND",INDEX('All Song Rankings'!$B:$B,F4762))</f>
        <v>a-ha</v>
      </c>
      <c r="I4762" s="6" t="str">
        <f aca="false">IF(F4762=0,"NOT FOUND",INDEX('All Song Rankings'!$D:$D,F4762))</f>
        <v>Leah</v>
      </c>
      <c r="J4762" s="7" t="str">
        <f aca="false">IF(F4762=0,"NOT FOUND",IF(C4762=I4762,"SELF-VOTE",IF(COUNTIF($K:$K,K4762)&gt;1,"DUPLICATE","OK")))</f>
        <v>OK</v>
      </c>
      <c r="K4762" s="6" t="str">
        <f aca="false">A4762&amp;"|"&amp;B4762&amp;"|"&amp;C4762&amp;"|"&amp;D4762</f>
        <v>7|3|Stephanie|spotify:track:2WfaOiMkCvy7F5fcp2zZ8L</v>
      </c>
    </row>
    <row r="4763" customFormat="false" ht="15" hidden="false" customHeight="false" outlineLevel="0" collapsed="false">
      <c r="A4763" s="5" t="n">
        <v>7</v>
      </c>
      <c r="B4763" s="5" t="n">
        <v>3</v>
      </c>
      <c r="C4763" s="5" t="s">
        <v>97</v>
      </c>
      <c r="D4763" s="5" t="s">
        <v>2117</v>
      </c>
      <c r="E4763" s="5" t="n">
        <v>2</v>
      </c>
      <c r="F4763" s="6" t="n">
        <f aca="false">IFERROR(MATCH(A4763&amp;"|"&amp;B4763&amp;"|"&amp;D4763,'All Song Rankings'!$T:$T,0),0)</f>
        <v>708</v>
      </c>
      <c r="G4763" s="6" t="str">
        <f aca="false">IF(F4763=0,"NOT FOUND",INDEX('All Song Rankings'!$A:$A,F4763))</f>
        <v>High</v>
      </c>
      <c r="H4763" s="6" t="str">
        <f aca="false">IF(F4763=0,"NOT FOUND",INDEX('All Song Rankings'!$B:$B,F4763))</f>
        <v>Stephen Sanchez</v>
      </c>
      <c r="I4763" s="6" t="str">
        <f aca="false">IF(F4763=0,"NOT FOUND",INDEX('All Song Rankings'!$D:$D,F4763))</f>
        <v>Lucia</v>
      </c>
      <c r="J4763" s="7" t="str">
        <f aca="false">IF(F4763=0,"NOT FOUND",IF(C4763=I4763,"SELF-VOTE",IF(COUNTIF($K:$K,K4763)&gt;1,"DUPLICATE","OK")))</f>
        <v>OK</v>
      </c>
      <c r="K4763" s="6" t="str">
        <f aca="false">A4763&amp;"|"&amp;B4763&amp;"|"&amp;C4763&amp;"|"&amp;D4763</f>
        <v>7|3|Stephanie|spotify:track:5hlPrSCx9BvnQ3rCTkblMZ</v>
      </c>
    </row>
    <row r="4764" customFormat="false" ht="15" hidden="false" customHeight="false" outlineLevel="0" collapsed="false">
      <c r="A4764" s="5" t="n">
        <v>7</v>
      </c>
      <c r="B4764" s="5" t="n">
        <v>3</v>
      </c>
      <c r="C4764" s="5" t="s">
        <v>97</v>
      </c>
      <c r="D4764" s="5" t="s">
        <v>2114</v>
      </c>
      <c r="E4764" s="5" t="n">
        <v>1</v>
      </c>
      <c r="F4764" s="6" t="n">
        <f aca="false">IFERROR(MATCH(A4764&amp;"|"&amp;B4764&amp;"|"&amp;D4764,'All Song Rankings'!$T:$T,0),0)</f>
        <v>707</v>
      </c>
      <c r="G4764" s="6" t="str">
        <f aca="false">IF(F4764=0,"NOT FOUND",INDEX('All Song Rankings'!$A:$A,F4764))</f>
        <v>Kiss</v>
      </c>
      <c r="H4764" s="6" t="str">
        <f aca="false">IF(F4764=0,"NOT FOUND",INDEX('All Song Rankings'!$B:$B,F4764))</f>
        <v>Prince</v>
      </c>
      <c r="I4764" s="6" t="str">
        <f aca="false">IF(F4764=0,"NOT FOUND",INDEX('All Song Rankings'!$D:$D,F4764))</f>
        <v>Kristen</v>
      </c>
      <c r="J4764" s="7" t="str">
        <f aca="false">IF(F4764=0,"NOT FOUND",IF(C4764=I4764,"SELF-VOTE",IF(COUNTIF($K:$K,K4764)&gt;1,"DUPLICATE","OK")))</f>
        <v>OK</v>
      </c>
      <c r="K4764" s="6" t="str">
        <f aca="false">A4764&amp;"|"&amp;B4764&amp;"|"&amp;C4764&amp;"|"&amp;D4764</f>
        <v>7|3|Stephanie|spotify:track:5uBOaCN5vDdk9JqsefjQSh</v>
      </c>
    </row>
    <row r="4765" customFormat="false" ht="15" hidden="false" customHeight="false" outlineLevel="0" collapsed="false">
      <c r="A4765" s="5" t="n">
        <v>7</v>
      </c>
      <c r="B4765" s="5" t="n">
        <v>3</v>
      </c>
      <c r="C4765" s="5" t="s">
        <v>97</v>
      </c>
      <c r="D4765" s="5" t="s">
        <v>2123</v>
      </c>
      <c r="E4765" s="5" t="n">
        <v>1</v>
      </c>
      <c r="F4765" s="6" t="n">
        <f aca="false">IFERROR(MATCH(A4765&amp;"|"&amp;B4765&amp;"|"&amp;D4765,'All Song Rankings'!$T:$T,0),0)</f>
        <v>710</v>
      </c>
      <c r="G4765" s="6" t="str">
        <f aca="false">IF(F4765=0,"NOT FOUND",INDEX('All Song Rankings'!$A:$A,F4765))</f>
        <v>Want to Want Me</v>
      </c>
      <c r="H4765" s="6" t="str">
        <f aca="false">IF(F4765=0,"NOT FOUND",INDEX('All Song Rankings'!$B:$B,F4765))</f>
        <v>Jason Derulo</v>
      </c>
      <c r="I4765" s="6" t="str">
        <f aca="false">IF(F4765=0,"NOT FOUND",INDEX('All Song Rankings'!$D:$D,F4765))</f>
        <v>Kelsey</v>
      </c>
      <c r="J4765" s="7" t="str">
        <f aca="false">IF(F4765=0,"NOT FOUND",IF(C4765=I4765,"SELF-VOTE",IF(COUNTIF($K:$K,K4765)&gt;1,"DUPLICATE","OK")))</f>
        <v>OK</v>
      </c>
      <c r="K4765" s="6" t="str">
        <f aca="false">A4765&amp;"|"&amp;B4765&amp;"|"&amp;C4765&amp;"|"&amp;D4765</f>
        <v>7|3|Stephanie|spotify:track:7oGZAicScQt96OAW4AruYy</v>
      </c>
    </row>
    <row r="4766" customFormat="false" ht="15" hidden="false" customHeight="false" outlineLevel="0" collapsed="false">
      <c r="A4766" s="5" t="n">
        <v>7</v>
      </c>
      <c r="B4766" s="5" t="n">
        <v>4</v>
      </c>
      <c r="C4766" s="5" t="s">
        <v>719</v>
      </c>
      <c r="D4766" s="5" t="s">
        <v>2162</v>
      </c>
      <c r="E4766" s="5" t="n">
        <v>1</v>
      </c>
      <c r="F4766" s="6" t="n">
        <f aca="false">IFERROR(MATCH(A4766&amp;"|"&amp;B4766&amp;"|"&amp;D4766,'All Song Rankings'!$T:$T,0),0)</f>
        <v>725</v>
      </c>
      <c r="G4766" s="6" t="str">
        <f aca="false">IF(F4766=0,"NOT FOUND",INDEX('All Song Rankings'!$A:$A,F4766))</f>
        <v>Not Strong Enough</v>
      </c>
      <c r="H4766" s="6" t="str">
        <f aca="false">IF(F4766=0,"NOT FOUND",INDEX('All Song Rankings'!$B:$B,F4766))</f>
        <v>boygenius, Julien Baker, Phoebe Bridgers, Lucy Dacus</v>
      </c>
      <c r="I4766" s="6" t="str">
        <f aca="false">IF(F4766=0,"NOT FOUND",INDEX('All Song Rankings'!$D:$D,F4766))</f>
        <v>Sara</v>
      </c>
      <c r="J4766" s="7" t="str">
        <f aca="false">IF(F4766=0,"NOT FOUND",IF(C4766=I4766,"SELF-VOTE",IF(COUNTIF($K:$K,K4766)&gt;1,"DUPLICATE","OK")))</f>
        <v>OK</v>
      </c>
      <c r="K4766" s="6" t="str">
        <f aca="false">A4766&amp;"|"&amp;B4766&amp;"|"&amp;C4766&amp;"|"&amp;D4766</f>
        <v>7|4|Christine|spotify:track:09DR0sHnQUhHOiSNttc1mv</v>
      </c>
    </row>
    <row r="4767" customFormat="false" ht="15" hidden="false" customHeight="false" outlineLevel="0" collapsed="false">
      <c r="A4767" s="5" t="n">
        <v>7</v>
      </c>
      <c r="B4767" s="5" t="n">
        <v>4</v>
      </c>
      <c r="C4767" s="5" t="s">
        <v>719</v>
      </c>
      <c r="D4767" s="5" t="s">
        <v>2164</v>
      </c>
      <c r="E4767" s="5" t="n">
        <v>1</v>
      </c>
      <c r="F4767" s="6" t="n">
        <f aca="false">IFERROR(MATCH(A4767&amp;"|"&amp;B4767&amp;"|"&amp;D4767,'All Song Rankings'!$T:$T,0),0)</f>
        <v>726</v>
      </c>
      <c r="G4767" s="6" t="str">
        <f aca="false">IF(F4767=0,"NOT FOUND",INDEX('All Song Rankings'!$A:$A,F4767))</f>
        <v>Poison</v>
      </c>
      <c r="H4767" s="6" t="str">
        <f aca="false">IF(F4767=0,"NOT FOUND",INDEX('All Song Rankings'!$B:$B,F4767))</f>
        <v>Beyoncé</v>
      </c>
      <c r="I4767" s="6" t="str">
        <f aca="false">IF(F4767=0,"NOT FOUND",INDEX('All Song Rankings'!$D:$D,F4767))</f>
        <v>Logan</v>
      </c>
      <c r="J4767" s="7" t="str">
        <f aca="false">IF(F4767=0,"NOT FOUND",IF(C4767=I4767,"SELF-VOTE",IF(COUNTIF($K:$K,K4767)&gt;1,"DUPLICATE","OK")))</f>
        <v>OK</v>
      </c>
      <c r="K4767" s="6" t="str">
        <f aca="false">A4767&amp;"|"&amp;B4767&amp;"|"&amp;C4767&amp;"|"&amp;D4767</f>
        <v>7|4|Christine|spotify:track:0yGlYMCTNE1aKRd5YAXEdg</v>
      </c>
    </row>
    <row r="4768" customFormat="false" ht="15" hidden="false" customHeight="false" outlineLevel="0" collapsed="false">
      <c r="A4768" s="5" t="n">
        <v>7</v>
      </c>
      <c r="B4768" s="5" t="n">
        <v>4</v>
      </c>
      <c r="C4768" s="5" t="s">
        <v>719</v>
      </c>
      <c r="D4768" s="5" t="s">
        <v>2169</v>
      </c>
      <c r="E4768" s="5" t="n">
        <v>1</v>
      </c>
      <c r="F4768" s="6" t="n">
        <f aca="false">IFERROR(MATCH(A4768&amp;"|"&amp;B4768&amp;"|"&amp;D4768,'All Song Rankings'!$T:$T,0),0)</f>
        <v>728</v>
      </c>
      <c r="G4768" s="6" t="str">
        <f aca="false">IF(F4768=0,"NOT FOUND",INDEX('All Song Rankings'!$A:$A,F4768))</f>
        <v>Perm</v>
      </c>
      <c r="H4768" s="6" t="str">
        <f aca="false">IF(F4768=0,"NOT FOUND",INDEX('All Song Rankings'!$B:$B,F4768))</f>
        <v>Bruno Mars</v>
      </c>
      <c r="I4768" s="6" t="str">
        <f aca="false">IF(F4768=0,"NOT FOUND",INDEX('All Song Rankings'!$D:$D,F4768))</f>
        <v>Josh</v>
      </c>
      <c r="J4768" s="7" t="str">
        <f aca="false">IF(F4768=0,"NOT FOUND",IF(C4768=I4768,"SELF-VOTE",IF(COUNTIF($K:$K,K4768)&gt;1,"DUPLICATE","OK")))</f>
        <v>OK</v>
      </c>
      <c r="K4768" s="6" t="str">
        <f aca="false">A4768&amp;"|"&amp;B4768&amp;"|"&amp;C4768&amp;"|"&amp;D4768</f>
        <v>7|4|Christine|spotify:track:1I6pKIyaBp4OebTGLJpCCC</v>
      </c>
    </row>
    <row r="4769" customFormat="false" ht="15" hidden="false" customHeight="false" outlineLevel="0" collapsed="false">
      <c r="A4769" s="5" t="n">
        <v>7</v>
      </c>
      <c r="B4769" s="5" t="n">
        <v>4</v>
      </c>
      <c r="C4769" s="5" t="s">
        <v>719</v>
      </c>
      <c r="D4769" s="5" t="s">
        <v>2146</v>
      </c>
      <c r="E4769" s="5" t="n">
        <v>1</v>
      </c>
      <c r="F4769" s="6" t="n">
        <f aca="false">IFERROR(MATCH(A4769&amp;"|"&amp;B4769&amp;"|"&amp;D4769,'All Song Rankings'!$T:$T,0),0)</f>
        <v>718</v>
      </c>
      <c r="G4769" s="6" t="str">
        <f aca="false">IF(F4769=0,"NOT FOUND",INDEX('All Song Rankings'!$A:$A,F4769))</f>
        <v>All The Pretty Girls</v>
      </c>
      <c r="H4769" s="6" t="str">
        <f aca="false">IF(F4769=0,"NOT FOUND",INDEX('All Song Rankings'!$B:$B,F4769))</f>
        <v>fun.</v>
      </c>
      <c r="I4769" s="6" t="str">
        <f aca="false">IF(F4769=0,"NOT FOUND",INDEX('All Song Rankings'!$D:$D,F4769))</f>
        <v>Grace</v>
      </c>
      <c r="J4769" s="7" t="str">
        <f aca="false">IF(F4769=0,"NOT FOUND",IF(C4769=I4769,"SELF-VOTE",IF(COUNTIF($K:$K,K4769)&gt;1,"DUPLICATE","OK")))</f>
        <v>OK</v>
      </c>
      <c r="K4769" s="6" t="str">
        <f aca="false">A4769&amp;"|"&amp;B4769&amp;"|"&amp;C4769&amp;"|"&amp;D4769</f>
        <v>7|4|Christine|spotify:track:2cHGWytemKJuckq2oLnAbZ</v>
      </c>
    </row>
    <row r="4770" customFormat="false" ht="15" hidden="false" customHeight="false" outlineLevel="0" collapsed="false">
      <c r="A4770" s="5" t="n">
        <v>7</v>
      </c>
      <c r="B4770" s="5" t="n">
        <v>4</v>
      </c>
      <c r="C4770" s="5" t="s">
        <v>719</v>
      </c>
      <c r="D4770" s="5" t="s">
        <v>2157</v>
      </c>
      <c r="E4770" s="5" t="n">
        <v>2</v>
      </c>
      <c r="F4770" s="6" t="n">
        <f aca="false">IFERROR(MATCH(A4770&amp;"|"&amp;B4770&amp;"|"&amp;D4770,'All Song Rankings'!$T:$T,0),0)</f>
        <v>723</v>
      </c>
      <c r="G4770" s="6" t="str">
        <f aca="false">IF(F4770=0,"NOT FOUND",INDEX('All Song Rankings'!$A:$A,F4770))</f>
        <v>Yellow Ledbetter</v>
      </c>
      <c r="H4770" s="6" t="str">
        <f aca="false">IF(F4770=0,"NOT FOUND",INDEX('All Song Rankings'!$B:$B,F4770))</f>
        <v>Pearl Jam</v>
      </c>
      <c r="I4770" s="6" t="str">
        <f aca="false">IF(F4770=0,"NOT FOUND",INDEX('All Song Rankings'!$D:$D,F4770))</f>
        <v>Lisa</v>
      </c>
      <c r="J4770" s="7" t="str">
        <f aca="false">IF(F4770=0,"NOT FOUND",IF(C4770=I4770,"SELF-VOTE",IF(COUNTIF($K:$K,K4770)&gt;1,"DUPLICATE","OK")))</f>
        <v>OK</v>
      </c>
      <c r="K4770" s="6" t="str">
        <f aca="false">A4770&amp;"|"&amp;B4770&amp;"|"&amp;C4770&amp;"|"&amp;D4770</f>
        <v>7|4|Christine|spotify:track:3bE5slaVEfaDreqARl6k4M</v>
      </c>
    </row>
    <row r="4771" customFormat="false" ht="15" hidden="false" customHeight="false" outlineLevel="0" collapsed="false">
      <c r="A4771" s="5" t="n">
        <v>7</v>
      </c>
      <c r="B4771" s="5" t="n">
        <v>4</v>
      </c>
      <c r="C4771" s="5" t="s">
        <v>719</v>
      </c>
      <c r="D4771" s="5" t="s">
        <v>2148</v>
      </c>
      <c r="E4771" s="5" t="n">
        <v>2</v>
      </c>
      <c r="F4771" s="6" t="n">
        <f aca="false">IFERROR(MATCH(A4771&amp;"|"&amp;B4771&amp;"|"&amp;D4771,'All Song Rankings'!$T:$T,0),0)</f>
        <v>719</v>
      </c>
      <c r="G4771" s="6" t="str">
        <f aca="false">IF(F4771=0,"NOT FOUND",INDEX('All Song Rankings'!$A:$A,F4771))</f>
        <v>Disloyal Order Of Water Buffaloes</v>
      </c>
      <c r="H4771" s="6" t="str">
        <f aca="false">IF(F4771=0,"NOT FOUND",INDEX('All Song Rankings'!$B:$B,F4771))</f>
        <v>Fall Out Boy</v>
      </c>
      <c r="I4771" s="6" t="str">
        <f aca="false">IF(F4771=0,"NOT FOUND",INDEX('All Song Rankings'!$D:$D,F4771))</f>
        <v>Kristen</v>
      </c>
      <c r="J4771" s="7" t="str">
        <f aca="false">IF(F4771=0,"NOT FOUND",IF(C4771=I4771,"SELF-VOTE",IF(COUNTIF($K:$K,K4771)&gt;1,"DUPLICATE","OK")))</f>
        <v>OK</v>
      </c>
      <c r="K4771" s="6" t="str">
        <f aca="false">A4771&amp;"|"&amp;B4771&amp;"|"&amp;C4771&amp;"|"&amp;D4771</f>
        <v>7|4|Christine|spotify:track:4qg2rXtE20scfPhGvG5tqq</v>
      </c>
    </row>
    <row r="4772" customFormat="false" ht="15" hidden="false" customHeight="false" outlineLevel="0" collapsed="false">
      <c r="A4772" s="5" t="n">
        <v>7</v>
      </c>
      <c r="B4772" s="5" t="n">
        <v>4</v>
      </c>
      <c r="C4772" s="5" t="s">
        <v>719</v>
      </c>
      <c r="D4772" s="5" t="s">
        <v>2155</v>
      </c>
      <c r="E4772" s="5" t="n">
        <v>1</v>
      </c>
      <c r="F4772" s="6" t="n">
        <f aca="false">IFERROR(MATCH(A4772&amp;"|"&amp;B4772&amp;"|"&amp;D4772,'All Song Rankings'!$T:$T,0),0)</f>
        <v>722</v>
      </c>
      <c r="G4772" s="6" t="str">
        <f aca="false">IF(F4772=0,"NOT FOUND",INDEX('All Song Rankings'!$A:$A,F4772))</f>
        <v>Legendary Lovers</v>
      </c>
      <c r="H4772" s="6" t="str">
        <f aca="false">IF(F4772=0,"NOT FOUND",INDEX('All Song Rankings'!$B:$B,F4772))</f>
        <v>Katy Perry</v>
      </c>
      <c r="I4772" s="6" t="str">
        <f aca="false">IF(F4772=0,"NOT FOUND",INDEX('All Song Rankings'!$D:$D,F4772))</f>
        <v>Lucia</v>
      </c>
      <c r="J4772" s="7" t="str">
        <f aca="false">IF(F4772=0,"NOT FOUND",IF(C4772=I4772,"SELF-VOTE",IF(COUNTIF($K:$K,K4772)&gt;1,"DUPLICATE","OK")))</f>
        <v>OK</v>
      </c>
      <c r="K4772" s="6" t="str">
        <f aca="false">A4772&amp;"|"&amp;B4772&amp;"|"&amp;C4772&amp;"|"&amp;D4772</f>
        <v>7|4|Christine|spotify:track:5Uc37Y6FijZcM538PqqkWd</v>
      </c>
    </row>
    <row r="4773" customFormat="false" ht="15" hidden="false" customHeight="false" outlineLevel="0" collapsed="false">
      <c r="A4773" s="5" t="n">
        <v>7</v>
      </c>
      <c r="B4773" s="5" t="n">
        <v>4</v>
      </c>
      <c r="C4773" s="5" t="s">
        <v>719</v>
      </c>
      <c r="D4773" s="5" t="s">
        <v>2175</v>
      </c>
      <c r="E4773" s="5" t="n">
        <v>1</v>
      </c>
      <c r="F4773" s="6" t="n">
        <f aca="false">IFERROR(MATCH(A4773&amp;"|"&amp;B4773&amp;"|"&amp;D4773,'All Song Rankings'!$T:$T,0),0)</f>
        <v>731</v>
      </c>
      <c r="G4773" s="6" t="str">
        <f aca="false">IF(F4773=0,"NOT FOUND",INDEX('All Song Rankings'!$A:$A,F4773))</f>
        <v>mars</v>
      </c>
      <c r="H4773" s="6" t="str">
        <f aca="false">IF(F4773=0,"NOT FOUND",INDEX('All Song Rankings'!$B:$B,F4773))</f>
        <v>YUNGBLUD</v>
      </c>
      <c r="I4773" s="6" t="str">
        <f aca="false">IF(F4773=0,"NOT FOUND",INDEX('All Song Rankings'!$D:$D,F4773))</f>
        <v>Scott</v>
      </c>
      <c r="J4773" s="7" t="str">
        <f aca="false">IF(F4773=0,"NOT FOUND",IF(C4773=I4773,"SELF-VOTE",IF(COUNTIF($K:$K,K4773)&gt;1,"DUPLICATE","OK")))</f>
        <v>OK</v>
      </c>
      <c r="K4773" s="6" t="str">
        <f aca="false">A4773&amp;"|"&amp;B4773&amp;"|"&amp;C4773&amp;"|"&amp;D4773</f>
        <v>7|4|Christine|spotify:track:6C6aknFp2XtjIq7xuvyfuY</v>
      </c>
    </row>
    <row r="4774" customFormat="false" ht="15" hidden="false" customHeight="false" outlineLevel="0" collapsed="false">
      <c r="A4774" s="5" t="n">
        <v>7</v>
      </c>
      <c r="B4774" s="5" t="n">
        <v>4</v>
      </c>
      <c r="C4774" s="5" t="s">
        <v>637</v>
      </c>
      <c r="D4774" s="5" t="s">
        <v>2162</v>
      </c>
      <c r="E4774" s="5" t="n">
        <v>1</v>
      </c>
      <c r="F4774" s="6" t="n">
        <f aca="false">IFERROR(MATCH(A4774&amp;"|"&amp;B4774&amp;"|"&amp;D4774,'All Song Rankings'!$T:$T,0),0)</f>
        <v>725</v>
      </c>
      <c r="G4774" s="6" t="str">
        <f aca="false">IF(F4774=0,"NOT FOUND",INDEX('All Song Rankings'!$A:$A,F4774))</f>
        <v>Not Strong Enough</v>
      </c>
      <c r="H4774" s="6" t="str">
        <f aca="false">IF(F4774=0,"NOT FOUND",INDEX('All Song Rankings'!$B:$B,F4774))</f>
        <v>boygenius, Julien Baker, Phoebe Bridgers, Lucy Dacus</v>
      </c>
      <c r="I4774" s="6" t="str">
        <f aca="false">IF(F4774=0,"NOT FOUND",INDEX('All Song Rankings'!$D:$D,F4774))</f>
        <v>Sara</v>
      </c>
      <c r="J4774" s="7" t="str">
        <f aca="false">IF(F4774=0,"NOT FOUND",IF(C4774=I4774,"SELF-VOTE",IF(COUNTIF($K:$K,K4774)&gt;1,"DUPLICATE","OK")))</f>
        <v>OK</v>
      </c>
      <c r="K4774" s="6" t="str">
        <f aca="false">A4774&amp;"|"&amp;B4774&amp;"|"&amp;C4774&amp;"|"&amp;D4774</f>
        <v>7|4|Colleen|spotify:track:09DR0sHnQUhHOiSNttc1mv</v>
      </c>
    </row>
    <row r="4775" customFormat="false" ht="15" hidden="false" customHeight="false" outlineLevel="0" collapsed="false">
      <c r="A4775" s="5" t="n">
        <v>7</v>
      </c>
      <c r="B4775" s="5" t="n">
        <v>4</v>
      </c>
      <c r="C4775" s="5" t="s">
        <v>637</v>
      </c>
      <c r="D4775" s="5" t="s">
        <v>2167</v>
      </c>
      <c r="E4775" s="5" t="n">
        <v>2</v>
      </c>
      <c r="F4775" s="6" t="n">
        <f aca="false">IFERROR(MATCH(A4775&amp;"|"&amp;B4775&amp;"|"&amp;D4775,'All Song Rankings'!$T:$T,0),0)</f>
        <v>727</v>
      </c>
      <c r="G4775" s="6" t="str">
        <f aca="false">IF(F4775=0,"NOT FOUND",INDEX('All Song Rankings'!$A:$A,F4775))</f>
        <v>Steal My Love</v>
      </c>
      <c r="H4775" s="6" t="str">
        <f aca="false">IF(F4775=0,"NOT FOUND",INDEX('All Song Rankings'!$B:$B,F4775))</f>
        <v>Dan + Shay</v>
      </c>
      <c r="I4775" s="6" t="str">
        <f aca="false">IF(F4775=0,"NOT FOUND",INDEX('All Song Rankings'!$D:$D,F4775))</f>
        <v>Kelsey</v>
      </c>
      <c r="J4775" s="7" t="str">
        <f aca="false">IF(F4775=0,"NOT FOUND",IF(C4775=I4775,"SELF-VOTE",IF(COUNTIF($K:$K,K4775)&gt;1,"DUPLICATE","OK")))</f>
        <v>OK</v>
      </c>
      <c r="K4775" s="6" t="str">
        <f aca="false">A4775&amp;"|"&amp;B4775&amp;"|"&amp;C4775&amp;"|"&amp;D4775</f>
        <v>7|4|Colleen|spotify:track:0vzSAyinyA619ZbrOaAi04</v>
      </c>
    </row>
    <row r="4776" customFormat="false" ht="15" hidden="false" customHeight="false" outlineLevel="0" collapsed="false">
      <c r="A4776" s="5" t="n">
        <v>7</v>
      </c>
      <c r="B4776" s="5" t="n">
        <v>4</v>
      </c>
      <c r="C4776" s="5" t="s">
        <v>637</v>
      </c>
      <c r="D4776" s="5" t="s">
        <v>2164</v>
      </c>
      <c r="E4776" s="5" t="n">
        <v>1</v>
      </c>
      <c r="F4776" s="6" t="n">
        <f aca="false">IFERROR(MATCH(A4776&amp;"|"&amp;B4776&amp;"|"&amp;D4776,'All Song Rankings'!$T:$T,0),0)</f>
        <v>726</v>
      </c>
      <c r="G4776" s="6" t="str">
        <f aca="false">IF(F4776=0,"NOT FOUND",INDEX('All Song Rankings'!$A:$A,F4776))</f>
        <v>Poison</v>
      </c>
      <c r="H4776" s="6" t="str">
        <f aca="false">IF(F4776=0,"NOT FOUND",INDEX('All Song Rankings'!$B:$B,F4776))</f>
        <v>Beyoncé</v>
      </c>
      <c r="I4776" s="6" t="str">
        <f aca="false">IF(F4776=0,"NOT FOUND",INDEX('All Song Rankings'!$D:$D,F4776))</f>
        <v>Logan</v>
      </c>
      <c r="J4776" s="7" t="str">
        <f aca="false">IF(F4776=0,"NOT FOUND",IF(C4776=I4776,"SELF-VOTE",IF(COUNTIF($K:$K,K4776)&gt;1,"DUPLICATE","OK")))</f>
        <v>OK</v>
      </c>
      <c r="K4776" s="6" t="str">
        <f aca="false">A4776&amp;"|"&amp;B4776&amp;"|"&amp;C4776&amp;"|"&amp;D4776</f>
        <v>7|4|Colleen|spotify:track:0yGlYMCTNE1aKRd5YAXEdg</v>
      </c>
    </row>
    <row r="4777" customFormat="false" ht="15" hidden="false" customHeight="false" outlineLevel="0" collapsed="false">
      <c r="A4777" s="5" t="n">
        <v>7</v>
      </c>
      <c r="B4777" s="5" t="n">
        <v>4</v>
      </c>
      <c r="C4777" s="5" t="s">
        <v>637</v>
      </c>
      <c r="D4777" s="5" t="s">
        <v>2146</v>
      </c>
      <c r="E4777" s="5" t="n">
        <v>2</v>
      </c>
      <c r="F4777" s="6" t="n">
        <f aca="false">IFERROR(MATCH(A4777&amp;"|"&amp;B4777&amp;"|"&amp;D4777,'All Song Rankings'!$T:$T,0),0)</f>
        <v>718</v>
      </c>
      <c r="G4777" s="6" t="str">
        <f aca="false">IF(F4777=0,"NOT FOUND",INDEX('All Song Rankings'!$A:$A,F4777))</f>
        <v>All The Pretty Girls</v>
      </c>
      <c r="H4777" s="6" t="str">
        <f aca="false">IF(F4777=0,"NOT FOUND",INDEX('All Song Rankings'!$B:$B,F4777))</f>
        <v>fun.</v>
      </c>
      <c r="I4777" s="6" t="str">
        <f aca="false">IF(F4777=0,"NOT FOUND",INDEX('All Song Rankings'!$D:$D,F4777))</f>
        <v>Grace</v>
      </c>
      <c r="J4777" s="7" t="str">
        <f aca="false">IF(F4777=0,"NOT FOUND",IF(C4777=I4777,"SELF-VOTE",IF(COUNTIF($K:$K,K4777)&gt;1,"DUPLICATE","OK")))</f>
        <v>OK</v>
      </c>
      <c r="K4777" s="6" t="str">
        <f aca="false">A4777&amp;"|"&amp;B4777&amp;"|"&amp;C4777&amp;"|"&amp;D4777</f>
        <v>7|4|Colleen|spotify:track:2cHGWytemKJuckq2oLnAbZ</v>
      </c>
    </row>
    <row r="4778" customFormat="false" ht="15" hidden="false" customHeight="false" outlineLevel="0" collapsed="false">
      <c r="A4778" s="5" t="n">
        <v>7</v>
      </c>
      <c r="B4778" s="5" t="n">
        <v>4</v>
      </c>
      <c r="C4778" s="5" t="s">
        <v>637</v>
      </c>
      <c r="D4778" s="5" t="s">
        <v>2170</v>
      </c>
      <c r="E4778" s="5" t="n">
        <v>1</v>
      </c>
      <c r="F4778" s="6" t="n">
        <f aca="false">IFERROR(MATCH(A4778&amp;"|"&amp;B4778&amp;"|"&amp;D4778,'All Song Rankings'!$T:$T,0),0)</f>
        <v>729</v>
      </c>
      <c r="G4778" s="6" t="str">
        <f aca="false">IF(F4778=0,"NOT FOUND",INDEX('All Song Rankings'!$A:$A,F4778))</f>
        <v>Bad Day</v>
      </c>
      <c r="H4778" s="6" t="str">
        <f aca="false">IF(F4778=0,"NOT FOUND",INDEX('All Song Rankings'!$B:$B,F4778))</f>
        <v>Justin Bieber</v>
      </c>
      <c r="I4778" s="6" t="str">
        <f aca="false">IF(F4778=0,"NOT FOUND",INDEX('All Song Rankings'!$D:$D,F4778))</f>
        <v>Merita</v>
      </c>
      <c r="J4778" s="7" t="str">
        <f aca="false">IF(F4778=0,"NOT FOUND",IF(C4778=I4778,"SELF-VOTE",IF(COUNTIF($K:$K,K4778)&gt;1,"DUPLICATE","OK")))</f>
        <v>OK</v>
      </c>
      <c r="K4778" s="6" t="str">
        <f aca="false">A4778&amp;"|"&amp;B4778&amp;"|"&amp;C4778&amp;"|"&amp;D4778</f>
        <v>7|4|Colleen|spotify:track:4VAngYbLewVFpcLR9FpYfR</v>
      </c>
    </row>
    <row r="4779" customFormat="false" ht="15" hidden="false" customHeight="false" outlineLevel="0" collapsed="false">
      <c r="A4779" s="5" t="n">
        <v>7</v>
      </c>
      <c r="B4779" s="5" t="n">
        <v>4</v>
      </c>
      <c r="C4779" s="5" t="s">
        <v>637</v>
      </c>
      <c r="D4779" s="5" t="s">
        <v>2148</v>
      </c>
      <c r="E4779" s="5" t="n">
        <v>1</v>
      </c>
      <c r="F4779" s="6" t="n">
        <f aca="false">IFERROR(MATCH(A4779&amp;"|"&amp;B4779&amp;"|"&amp;D4779,'All Song Rankings'!$T:$T,0),0)</f>
        <v>719</v>
      </c>
      <c r="G4779" s="6" t="str">
        <f aca="false">IF(F4779=0,"NOT FOUND",INDEX('All Song Rankings'!$A:$A,F4779))</f>
        <v>Disloyal Order Of Water Buffaloes</v>
      </c>
      <c r="H4779" s="6" t="str">
        <f aca="false">IF(F4779=0,"NOT FOUND",INDEX('All Song Rankings'!$B:$B,F4779))</f>
        <v>Fall Out Boy</v>
      </c>
      <c r="I4779" s="6" t="str">
        <f aca="false">IF(F4779=0,"NOT FOUND",INDEX('All Song Rankings'!$D:$D,F4779))</f>
        <v>Kristen</v>
      </c>
      <c r="J4779" s="7" t="str">
        <f aca="false">IF(F4779=0,"NOT FOUND",IF(C4779=I4779,"SELF-VOTE",IF(COUNTIF($K:$K,K4779)&gt;1,"DUPLICATE","OK")))</f>
        <v>OK</v>
      </c>
      <c r="K4779" s="6" t="str">
        <f aca="false">A4779&amp;"|"&amp;B4779&amp;"|"&amp;C4779&amp;"|"&amp;D4779</f>
        <v>7|4|Colleen|spotify:track:4qg2rXtE20scfPhGvG5tqq</v>
      </c>
    </row>
    <row r="4780" customFormat="false" ht="15" hidden="false" customHeight="false" outlineLevel="0" collapsed="false">
      <c r="A4780" s="5" t="n">
        <v>7</v>
      </c>
      <c r="B4780" s="5" t="n">
        <v>4</v>
      </c>
      <c r="C4780" s="5" t="s">
        <v>637</v>
      </c>
      <c r="D4780" s="5" t="s">
        <v>2178</v>
      </c>
      <c r="E4780" s="5" t="n">
        <v>1</v>
      </c>
      <c r="F4780" s="6" t="n">
        <f aca="false">IFERROR(MATCH(A4780&amp;"|"&amp;B4780&amp;"|"&amp;D4780,'All Song Rankings'!$T:$T,0),0)</f>
        <v>732</v>
      </c>
      <c r="G4780" s="6" t="str">
        <f aca="false">IF(F4780=0,"NOT FOUND",INDEX('All Song Rankings'!$A:$A,F4780))</f>
        <v>Creature</v>
      </c>
      <c r="H4780" s="6" t="str">
        <f aca="false">IF(F4780=0,"NOT FOUND",INDEX('All Song Rankings'!$B:$B,F4780))</f>
        <v>Jelly Roll, Tech N9ne, Krizz Kaliko</v>
      </c>
      <c r="I4780" s="6" t="str">
        <f aca="false">IF(F4780=0,"NOT FOUND",INDEX('All Song Rankings'!$D:$D,F4780))</f>
        <v>Leah</v>
      </c>
      <c r="J4780" s="7" t="str">
        <f aca="false">IF(F4780=0,"NOT FOUND",IF(C4780=I4780,"SELF-VOTE",IF(COUNTIF($K:$K,K4780)&gt;1,"DUPLICATE","OK")))</f>
        <v>OK</v>
      </c>
      <c r="K4780" s="6" t="str">
        <f aca="false">A4780&amp;"|"&amp;B4780&amp;"|"&amp;C4780&amp;"|"&amp;D4780</f>
        <v>7|4|Colleen|spotify:track:5yqKUU2DUyilP2TvOrjEzT</v>
      </c>
    </row>
    <row r="4781" customFormat="false" ht="15" hidden="false" customHeight="false" outlineLevel="0" collapsed="false">
      <c r="A4781" s="5" t="n">
        <v>7</v>
      </c>
      <c r="B4781" s="5" t="n">
        <v>4</v>
      </c>
      <c r="C4781" s="5" t="s">
        <v>637</v>
      </c>
      <c r="D4781" s="5" t="s">
        <v>2175</v>
      </c>
      <c r="E4781" s="5" t="n">
        <v>1</v>
      </c>
      <c r="F4781" s="6" t="n">
        <f aca="false">IFERROR(MATCH(A4781&amp;"|"&amp;B4781&amp;"|"&amp;D4781,'All Song Rankings'!$T:$T,0),0)</f>
        <v>731</v>
      </c>
      <c r="G4781" s="6" t="str">
        <f aca="false">IF(F4781=0,"NOT FOUND",INDEX('All Song Rankings'!$A:$A,F4781))</f>
        <v>mars</v>
      </c>
      <c r="H4781" s="6" t="str">
        <f aca="false">IF(F4781=0,"NOT FOUND",INDEX('All Song Rankings'!$B:$B,F4781))</f>
        <v>YUNGBLUD</v>
      </c>
      <c r="I4781" s="6" t="str">
        <f aca="false">IF(F4781=0,"NOT FOUND",INDEX('All Song Rankings'!$D:$D,F4781))</f>
        <v>Scott</v>
      </c>
      <c r="J4781" s="7" t="str">
        <f aca="false">IF(F4781=0,"NOT FOUND",IF(C4781=I4781,"SELF-VOTE",IF(COUNTIF($K:$K,K4781)&gt;1,"DUPLICATE","OK")))</f>
        <v>OK</v>
      </c>
      <c r="K4781" s="6" t="str">
        <f aca="false">A4781&amp;"|"&amp;B4781&amp;"|"&amp;C4781&amp;"|"&amp;D4781</f>
        <v>7|4|Colleen|spotify:track:6C6aknFp2XtjIq7xuvyfuY</v>
      </c>
    </row>
    <row r="4782" customFormat="false" ht="15" hidden="false" customHeight="false" outlineLevel="0" collapsed="false">
      <c r="A4782" s="5" t="n">
        <v>7</v>
      </c>
      <c r="B4782" s="5" t="n">
        <v>4</v>
      </c>
      <c r="C4782" s="5" t="s">
        <v>382</v>
      </c>
      <c r="D4782" s="5" t="s">
        <v>2159</v>
      </c>
      <c r="E4782" s="5" t="n">
        <v>3</v>
      </c>
      <c r="F4782" s="6" t="n">
        <f aca="false">IFERROR(MATCH(A4782&amp;"|"&amp;B4782&amp;"|"&amp;D4782,'All Song Rankings'!$T:$T,0),0)</f>
        <v>724</v>
      </c>
      <c r="G4782" s="6" t="str">
        <f aca="false">IF(F4782=0,"NOT FOUND",INDEX('All Song Rankings'!$A:$A,F4782))</f>
        <v>YA YA</v>
      </c>
      <c r="H4782" s="6" t="str">
        <f aca="false">IF(F4782=0,"NOT FOUND",INDEX('All Song Rankings'!$B:$B,F4782))</f>
        <v>Beyoncé</v>
      </c>
      <c r="I4782" s="6" t="str">
        <f aca="false">IF(F4782=0,"NOT FOUND",INDEX('All Song Rankings'!$D:$D,F4782))</f>
        <v>Stephanie</v>
      </c>
      <c r="J4782" s="7" t="str">
        <f aca="false">IF(F4782=0,"NOT FOUND",IF(C4782=I4782,"SELF-VOTE",IF(COUNTIF($K:$K,K4782)&gt;1,"DUPLICATE","OK")))</f>
        <v>OK</v>
      </c>
      <c r="K4782" s="6" t="str">
        <f aca="false">A4782&amp;"|"&amp;B4782&amp;"|"&amp;C4782&amp;"|"&amp;D4782</f>
        <v>7|4|Grace|spotify:track:0K9tfzrxJyCQIf7oAlPwaK</v>
      </c>
    </row>
    <row r="4783" customFormat="false" ht="15" hidden="false" customHeight="false" outlineLevel="0" collapsed="false">
      <c r="A4783" s="5" t="n">
        <v>7</v>
      </c>
      <c r="B4783" s="5" t="n">
        <v>4</v>
      </c>
      <c r="C4783" s="5" t="s">
        <v>382</v>
      </c>
      <c r="D4783" s="5" t="s">
        <v>2150</v>
      </c>
      <c r="E4783" s="5" t="n">
        <v>2</v>
      </c>
      <c r="F4783" s="6" t="n">
        <f aca="false">IFERROR(MATCH(A4783&amp;"|"&amp;B4783&amp;"|"&amp;D4783,'All Song Rankings'!$T:$T,0),0)</f>
        <v>720</v>
      </c>
      <c r="G4783" s="6" t="str">
        <f aca="false">IF(F4783=0,"NOT FOUND",INDEX('All Song Rankings'!$A:$A,F4783))</f>
        <v>Fool's Gold</v>
      </c>
      <c r="H4783" s="6" t="str">
        <f aca="false">IF(F4783=0,"NOT FOUND",INDEX('All Song Rankings'!$B:$B,F4783))</f>
        <v>One Direction</v>
      </c>
      <c r="I4783" s="6" t="str">
        <f aca="false">IF(F4783=0,"NOT FOUND",INDEX('All Song Rankings'!$D:$D,F4783))</f>
        <v>Colleen</v>
      </c>
      <c r="J4783" s="7" t="str">
        <f aca="false">IF(F4783=0,"NOT FOUND",IF(C4783=I4783,"SELF-VOTE",IF(COUNTIF($K:$K,K4783)&gt;1,"DUPLICATE","OK")))</f>
        <v>OK</v>
      </c>
      <c r="K4783" s="6" t="str">
        <f aca="false">A4783&amp;"|"&amp;B4783&amp;"|"&amp;C4783&amp;"|"&amp;D4783</f>
        <v>7|4|Grace|spotify:track:0L5gFNrzHyh4OhMwEz6DGS</v>
      </c>
    </row>
    <row r="4784" customFormat="false" ht="15" hidden="false" customHeight="false" outlineLevel="0" collapsed="false">
      <c r="A4784" s="5" t="n">
        <v>7</v>
      </c>
      <c r="B4784" s="5" t="n">
        <v>4</v>
      </c>
      <c r="C4784" s="5" t="s">
        <v>382</v>
      </c>
      <c r="D4784" s="5" t="s">
        <v>2167</v>
      </c>
      <c r="E4784" s="5" t="n">
        <v>1</v>
      </c>
      <c r="F4784" s="6" t="n">
        <f aca="false">IFERROR(MATCH(A4784&amp;"|"&amp;B4784&amp;"|"&amp;D4784,'All Song Rankings'!$T:$T,0),0)</f>
        <v>727</v>
      </c>
      <c r="G4784" s="6" t="str">
        <f aca="false">IF(F4784=0,"NOT FOUND",INDEX('All Song Rankings'!$A:$A,F4784))</f>
        <v>Steal My Love</v>
      </c>
      <c r="H4784" s="6" t="str">
        <f aca="false">IF(F4784=0,"NOT FOUND",INDEX('All Song Rankings'!$B:$B,F4784))</f>
        <v>Dan + Shay</v>
      </c>
      <c r="I4784" s="6" t="str">
        <f aca="false">IF(F4784=0,"NOT FOUND",INDEX('All Song Rankings'!$D:$D,F4784))</f>
        <v>Kelsey</v>
      </c>
      <c r="J4784" s="7" t="str">
        <f aca="false">IF(F4784=0,"NOT FOUND",IF(C4784=I4784,"SELF-VOTE",IF(COUNTIF($K:$K,K4784)&gt;1,"DUPLICATE","OK")))</f>
        <v>OK</v>
      </c>
      <c r="K4784" s="6" t="str">
        <f aca="false">A4784&amp;"|"&amp;B4784&amp;"|"&amp;C4784&amp;"|"&amp;D4784</f>
        <v>7|4|Grace|spotify:track:0vzSAyinyA619ZbrOaAi04</v>
      </c>
    </row>
    <row r="4785" customFormat="false" ht="15" hidden="false" customHeight="false" outlineLevel="0" collapsed="false">
      <c r="A4785" s="5" t="n">
        <v>7</v>
      </c>
      <c r="B4785" s="5" t="n">
        <v>4</v>
      </c>
      <c r="C4785" s="5" t="s">
        <v>382</v>
      </c>
      <c r="D4785" s="5" t="s">
        <v>2164</v>
      </c>
      <c r="E4785" s="5" t="n">
        <v>1</v>
      </c>
      <c r="F4785" s="6" t="n">
        <f aca="false">IFERROR(MATCH(A4785&amp;"|"&amp;B4785&amp;"|"&amp;D4785,'All Song Rankings'!$T:$T,0),0)</f>
        <v>726</v>
      </c>
      <c r="G4785" s="6" t="str">
        <f aca="false">IF(F4785=0,"NOT FOUND",INDEX('All Song Rankings'!$A:$A,F4785))</f>
        <v>Poison</v>
      </c>
      <c r="H4785" s="6" t="str">
        <f aca="false">IF(F4785=0,"NOT FOUND",INDEX('All Song Rankings'!$B:$B,F4785))</f>
        <v>Beyoncé</v>
      </c>
      <c r="I4785" s="6" t="str">
        <f aca="false">IF(F4785=0,"NOT FOUND",INDEX('All Song Rankings'!$D:$D,F4785))</f>
        <v>Logan</v>
      </c>
      <c r="J4785" s="7" t="str">
        <f aca="false">IF(F4785=0,"NOT FOUND",IF(C4785=I4785,"SELF-VOTE",IF(COUNTIF($K:$K,K4785)&gt;1,"DUPLICATE","OK")))</f>
        <v>OK</v>
      </c>
      <c r="K4785" s="6" t="str">
        <f aca="false">A4785&amp;"|"&amp;B4785&amp;"|"&amp;C4785&amp;"|"&amp;D4785</f>
        <v>7|4|Grace|spotify:track:0yGlYMCTNE1aKRd5YAXEdg</v>
      </c>
    </row>
    <row r="4786" customFormat="false" ht="15" hidden="false" customHeight="false" outlineLevel="0" collapsed="false">
      <c r="A4786" s="5" t="n">
        <v>7</v>
      </c>
      <c r="B4786" s="5" t="n">
        <v>4</v>
      </c>
      <c r="C4786" s="5" t="s">
        <v>382</v>
      </c>
      <c r="D4786" s="5" t="s">
        <v>2148</v>
      </c>
      <c r="E4786" s="5" t="n">
        <v>2</v>
      </c>
      <c r="F4786" s="6" t="n">
        <f aca="false">IFERROR(MATCH(A4786&amp;"|"&amp;B4786&amp;"|"&amp;D4786,'All Song Rankings'!$T:$T,0),0)</f>
        <v>719</v>
      </c>
      <c r="G4786" s="6" t="str">
        <f aca="false">IF(F4786=0,"NOT FOUND",INDEX('All Song Rankings'!$A:$A,F4786))</f>
        <v>Disloyal Order Of Water Buffaloes</v>
      </c>
      <c r="H4786" s="6" t="str">
        <f aca="false">IF(F4786=0,"NOT FOUND",INDEX('All Song Rankings'!$B:$B,F4786))</f>
        <v>Fall Out Boy</v>
      </c>
      <c r="I4786" s="6" t="str">
        <f aca="false">IF(F4786=0,"NOT FOUND",INDEX('All Song Rankings'!$D:$D,F4786))</f>
        <v>Kristen</v>
      </c>
      <c r="J4786" s="7" t="str">
        <f aca="false">IF(F4786=0,"NOT FOUND",IF(C4786=I4786,"SELF-VOTE",IF(COUNTIF($K:$K,K4786)&gt;1,"DUPLICATE","OK")))</f>
        <v>OK</v>
      </c>
      <c r="K4786" s="6" t="str">
        <f aca="false">A4786&amp;"|"&amp;B4786&amp;"|"&amp;C4786&amp;"|"&amp;D4786</f>
        <v>7|4|Grace|spotify:track:4qg2rXtE20scfPhGvG5tqq</v>
      </c>
    </row>
    <row r="4787" customFormat="false" ht="15" hidden="false" customHeight="false" outlineLevel="0" collapsed="false">
      <c r="A4787" s="5" t="n">
        <v>7</v>
      </c>
      <c r="B4787" s="5" t="n">
        <v>4</v>
      </c>
      <c r="C4787" s="5" t="s">
        <v>382</v>
      </c>
      <c r="D4787" s="5" t="s">
        <v>2175</v>
      </c>
      <c r="E4787" s="5" t="n">
        <v>1</v>
      </c>
      <c r="F4787" s="6" t="n">
        <f aca="false">IFERROR(MATCH(A4787&amp;"|"&amp;B4787&amp;"|"&amp;D4787,'All Song Rankings'!$T:$T,0),0)</f>
        <v>731</v>
      </c>
      <c r="G4787" s="6" t="str">
        <f aca="false">IF(F4787=0,"NOT FOUND",INDEX('All Song Rankings'!$A:$A,F4787))</f>
        <v>mars</v>
      </c>
      <c r="H4787" s="6" t="str">
        <f aca="false">IF(F4787=0,"NOT FOUND",INDEX('All Song Rankings'!$B:$B,F4787))</f>
        <v>YUNGBLUD</v>
      </c>
      <c r="I4787" s="6" t="str">
        <f aca="false">IF(F4787=0,"NOT FOUND",INDEX('All Song Rankings'!$D:$D,F4787))</f>
        <v>Scott</v>
      </c>
      <c r="J4787" s="7" t="str">
        <f aca="false">IF(F4787=0,"NOT FOUND",IF(C4787=I4787,"SELF-VOTE",IF(COUNTIF($K:$K,K4787)&gt;1,"DUPLICATE","OK")))</f>
        <v>OK</v>
      </c>
      <c r="K4787" s="6" t="str">
        <f aca="false">A4787&amp;"|"&amp;B4787&amp;"|"&amp;C4787&amp;"|"&amp;D4787</f>
        <v>7|4|Grace|spotify:track:6C6aknFp2XtjIq7xuvyfuY</v>
      </c>
    </row>
    <row r="4788" customFormat="false" ht="15" hidden="false" customHeight="false" outlineLevel="0" collapsed="false">
      <c r="A4788" s="5" t="n">
        <v>7</v>
      </c>
      <c r="B4788" s="5" t="n">
        <v>4</v>
      </c>
      <c r="C4788" s="5" t="s">
        <v>1843</v>
      </c>
      <c r="D4788" s="5" t="s">
        <v>2162</v>
      </c>
      <c r="E4788" s="5" t="n">
        <v>1</v>
      </c>
      <c r="F4788" s="6" t="n">
        <f aca="false">IFERROR(MATCH(A4788&amp;"|"&amp;B4788&amp;"|"&amp;D4788,'All Song Rankings'!$T:$T,0),0)</f>
        <v>725</v>
      </c>
      <c r="G4788" s="6" t="str">
        <f aca="false">IF(F4788=0,"NOT FOUND",INDEX('All Song Rankings'!$A:$A,F4788))</f>
        <v>Not Strong Enough</v>
      </c>
      <c r="H4788" s="6" t="str">
        <f aca="false">IF(F4788=0,"NOT FOUND",INDEX('All Song Rankings'!$B:$B,F4788))</f>
        <v>boygenius, Julien Baker, Phoebe Bridgers, Lucy Dacus</v>
      </c>
      <c r="I4788" s="6" t="str">
        <f aca="false">IF(F4788=0,"NOT FOUND",INDEX('All Song Rankings'!$D:$D,F4788))</f>
        <v>Sara</v>
      </c>
      <c r="J4788" s="7" t="str">
        <f aca="false">IF(F4788=0,"NOT FOUND",IF(C4788=I4788,"SELF-VOTE",IF(COUNTIF($K:$K,K4788)&gt;1,"DUPLICATE","OK")))</f>
        <v>OK</v>
      </c>
      <c r="K4788" s="6" t="str">
        <f aca="false">A4788&amp;"|"&amp;B4788&amp;"|"&amp;C4788&amp;"|"&amp;D4788</f>
        <v>7|4|Josh|spotify:track:09DR0sHnQUhHOiSNttc1mv</v>
      </c>
    </row>
    <row r="4789" customFormat="false" ht="15" hidden="false" customHeight="false" outlineLevel="0" collapsed="false">
      <c r="A4789" s="5" t="n">
        <v>7</v>
      </c>
      <c r="B4789" s="5" t="n">
        <v>4</v>
      </c>
      <c r="C4789" s="5" t="s">
        <v>1843</v>
      </c>
      <c r="D4789" s="5" t="s">
        <v>2150</v>
      </c>
      <c r="E4789" s="5" t="n">
        <v>2</v>
      </c>
      <c r="F4789" s="6" t="n">
        <f aca="false">IFERROR(MATCH(A4789&amp;"|"&amp;B4789&amp;"|"&amp;D4789,'All Song Rankings'!$T:$T,0),0)</f>
        <v>720</v>
      </c>
      <c r="G4789" s="6" t="str">
        <f aca="false">IF(F4789=0,"NOT FOUND",INDEX('All Song Rankings'!$A:$A,F4789))</f>
        <v>Fool's Gold</v>
      </c>
      <c r="H4789" s="6" t="str">
        <f aca="false">IF(F4789=0,"NOT FOUND",INDEX('All Song Rankings'!$B:$B,F4789))</f>
        <v>One Direction</v>
      </c>
      <c r="I4789" s="6" t="str">
        <f aca="false">IF(F4789=0,"NOT FOUND",INDEX('All Song Rankings'!$D:$D,F4789))</f>
        <v>Colleen</v>
      </c>
      <c r="J4789" s="7" t="str">
        <f aca="false">IF(F4789=0,"NOT FOUND",IF(C4789=I4789,"SELF-VOTE",IF(COUNTIF($K:$K,K4789)&gt;1,"DUPLICATE","OK")))</f>
        <v>OK</v>
      </c>
      <c r="K4789" s="6" t="str">
        <f aca="false">A4789&amp;"|"&amp;B4789&amp;"|"&amp;C4789&amp;"|"&amp;D4789</f>
        <v>7|4|Josh|spotify:track:0L5gFNrzHyh4OhMwEz6DGS</v>
      </c>
    </row>
    <row r="4790" customFormat="false" ht="15" hidden="false" customHeight="false" outlineLevel="0" collapsed="false">
      <c r="A4790" s="5" t="n">
        <v>7</v>
      </c>
      <c r="B4790" s="5" t="n">
        <v>4</v>
      </c>
      <c r="C4790" s="5" t="s">
        <v>1843</v>
      </c>
      <c r="D4790" s="5" t="s">
        <v>2167</v>
      </c>
      <c r="E4790" s="5" t="n">
        <v>1</v>
      </c>
      <c r="F4790" s="6" t="n">
        <f aca="false">IFERROR(MATCH(A4790&amp;"|"&amp;B4790&amp;"|"&amp;D4790,'All Song Rankings'!$T:$T,0),0)</f>
        <v>727</v>
      </c>
      <c r="G4790" s="6" t="str">
        <f aca="false">IF(F4790=0,"NOT FOUND",INDEX('All Song Rankings'!$A:$A,F4790))</f>
        <v>Steal My Love</v>
      </c>
      <c r="H4790" s="6" t="str">
        <f aca="false">IF(F4790=0,"NOT FOUND",INDEX('All Song Rankings'!$B:$B,F4790))</f>
        <v>Dan + Shay</v>
      </c>
      <c r="I4790" s="6" t="str">
        <f aca="false">IF(F4790=0,"NOT FOUND",INDEX('All Song Rankings'!$D:$D,F4790))</f>
        <v>Kelsey</v>
      </c>
      <c r="J4790" s="7" t="str">
        <f aca="false">IF(F4790=0,"NOT FOUND",IF(C4790=I4790,"SELF-VOTE",IF(COUNTIF($K:$K,K4790)&gt;1,"DUPLICATE","OK")))</f>
        <v>OK</v>
      </c>
      <c r="K4790" s="6" t="str">
        <f aca="false">A4790&amp;"|"&amp;B4790&amp;"|"&amp;C4790&amp;"|"&amp;D4790</f>
        <v>7|4|Josh|spotify:track:0vzSAyinyA619ZbrOaAi04</v>
      </c>
    </row>
    <row r="4791" customFormat="false" ht="15" hidden="false" customHeight="false" outlineLevel="0" collapsed="false">
      <c r="A4791" s="5" t="n">
        <v>7</v>
      </c>
      <c r="B4791" s="5" t="n">
        <v>4</v>
      </c>
      <c r="C4791" s="5" t="s">
        <v>1843</v>
      </c>
      <c r="D4791" s="5" t="s">
        <v>2146</v>
      </c>
      <c r="E4791" s="5" t="n">
        <v>2</v>
      </c>
      <c r="F4791" s="6" t="n">
        <f aca="false">IFERROR(MATCH(A4791&amp;"|"&amp;B4791&amp;"|"&amp;D4791,'All Song Rankings'!$T:$T,0),0)</f>
        <v>718</v>
      </c>
      <c r="G4791" s="6" t="str">
        <f aca="false">IF(F4791=0,"NOT FOUND",INDEX('All Song Rankings'!$A:$A,F4791))</f>
        <v>All The Pretty Girls</v>
      </c>
      <c r="H4791" s="6" t="str">
        <f aca="false">IF(F4791=0,"NOT FOUND",INDEX('All Song Rankings'!$B:$B,F4791))</f>
        <v>fun.</v>
      </c>
      <c r="I4791" s="6" t="str">
        <f aca="false">IF(F4791=0,"NOT FOUND",INDEX('All Song Rankings'!$D:$D,F4791))</f>
        <v>Grace</v>
      </c>
      <c r="J4791" s="7" t="str">
        <f aca="false">IF(F4791=0,"NOT FOUND",IF(C4791=I4791,"SELF-VOTE",IF(COUNTIF($K:$K,K4791)&gt;1,"DUPLICATE","OK")))</f>
        <v>OK</v>
      </c>
      <c r="K4791" s="6" t="str">
        <f aca="false">A4791&amp;"|"&amp;B4791&amp;"|"&amp;C4791&amp;"|"&amp;D4791</f>
        <v>7|4|Josh|spotify:track:2cHGWytemKJuckq2oLnAbZ</v>
      </c>
    </row>
    <row r="4792" customFormat="false" ht="15" hidden="false" customHeight="false" outlineLevel="0" collapsed="false">
      <c r="A4792" s="5" t="n">
        <v>7</v>
      </c>
      <c r="B4792" s="5" t="n">
        <v>4</v>
      </c>
      <c r="C4792" s="5" t="s">
        <v>1843</v>
      </c>
      <c r="D4792" s="5" t="s">
        <v>2153</v>
      </c>
      <c r="E4792" s="5" t="n">
        <v>1</v>
      </c>
      <c r="F4792" s="6" t="n">
        <f aca="false">IFERROR(MATCH(A4792&amp;"|"&amp;B4792&amp;"|"&amp;D4792,'All Song Rankings'!$T:$T,0),0)</f>
        <v>721</v>
      </c>
      <c r="G4792" s="6" t="str">
        <f aca="false">IF(F4792=0,"NOT FOUND",INDEX('All Song Rankings'!$A:$A,F4792))</f>
        <v>Sleeping Angel (From Fast Times at Ridgemont High)</v>
      </c>
      <c r="H4792" s="6" t="str">
        <f aca="false">IF(F4792=0,"NOT FOUND",INDEX('All Song Rankings'!$B:$B,F4792))</f>
        <v>Stevie Nicks</v>
      </c>
      <c r="I4792" s="6" t="str">
        <f aca="false">IF(F4792=0,"NOT FOUND",INDEX('All Song Rankings'!$D:$D,F4792))</f>
        <v>Christine</v>
      </c>
      <c r="J4792" s="7" t="str">
        <f aca="false">IF(F4792=0,"NOT FOUND",IF(C4792=I4792,"SELF-VOTE",IF(COUNTIF($K:$K,K4792)&gt;1,"DUPLICATE","OK")))</f>
        <v>OK</v>
      </c>
      <c r="K4792" s="6" t="str">
        <f aca="false">A4792&amp;"|"&amp;B4792&amp;"|"&amp;C4792&amp;"|"&amp;D4792</f>
        <v>7|4|Josh|spotify:track:35I5lX6yE00YSu7PEgES54</v>
      </c>
    </row>
    <row r="4793" customFormat="false" ht="15" hidden="false" customHeight="false" outlineLevel="0" collapsed="false">
      <c r="A4793" s="5" t="n">
        <v>7</v>
      </c>
      <c r="B4793" s="5" t="n">
        <v>4</v>
      </c>
      <c r="C4793" s="5" t="s">
        <v>1843</v>
      </c>
      <c r="D4793" s="5" t="s">
        <v>2170</v>
      </c>
      <c r="E4793" s="5" t="n">
        <v>1</v>
      </c>
      <c r="F4793" s="6" t="n">
        <f aca="false">IFERROR(MATCH(A4793&amp;"|"&amp;B4793&amp;"|"&amp;D4793,'All Song Rankings'!$T:$T,0),0)</f>
        <v>729</v>
      </c>
      <c r="G4793" s="6" t="str">
        <f aca="false">IF(F4793=0,"NOT FOUND",INDEX('All Song Rankings'!$A:$A,F4793))</f>
        <v>Bad Day</v>
      </c>
      <c r="H4793" s="6" t="str">
        <f aca="false">IF(F4793=0,"NOT FOUND",INDEX('All Song Rankings'!$B:$B,F4793))</f>
        <v>Justin Bieber</v>
      </c>
      <c r="I4793" s="6" t="str">
        <f aca="false">IF(F4793=0,"NOT FOUND",INDEX('All Song Rankings'!$D:$D,F4793))</f>
        <v>Merita</v>
      </c>
      <c r="J4793" s="7" t="str">
        <f aca="false">IF(F4793=0,"NOT FOUND",IF(C4793=I4793,"SELF-VOTE",IF(COUNTIF($K:$K,K4793)&gt;1,"DUPLICATE","OK")))</f>
        <v>OK</v>
      </c>
      <c r="K4793" s="6" t="str">
        <f aca="false">A4793&amp;"|"&amp;B4793&amp;"|"&amp;C4793&amp;"|"&amp;D4793</f>
        <v>7|4|Josh|spotify:track:4VAngYbLewVFpcLR9FpYfR</v>
      </c>
    </row>
    <row r="4794" customFormat="false" ht="15" hidden="false" customHeight="false" outlineLevel="0" collapsed="false">
      <c r="A4794" s="5" t="n">
        <v>7</v>
      </c>
      <c r="B4794" s="5" t="n">
        <v>4</v>
      </c>
      <c r="C4794" s="5" t="s">
        <v>1843</v>
      </c>
      <c r="D4794" s="5" t="s">
        <v>2155</v>
      </c>
      <c r="E4794" s="5" t="n">
        <v>1</v>
      </c>
      <c r="F4794" s="6" t="n">
        <f aca="false">IFERROR(MATCH(A4794&amp;"|"&amp;B4794&amp;"|"&amp;D4794,'All Song Rankings'!$T:$T,0),0)</f>
        <v>722</v>
      </c>
      <c r="G4794" s="6" t="str">
        <f aca="false">IF(F4794=0,"NOT FOUND",INDEX('All Song Rankings'!$A:$A,F4794))</f>
        <v>Legendary Lovers</v>
      </c>
      <c r="H4794" s="6" t="str">
        <f aca="false">IF(F4794=0,"NOT FOUND",INDEX('All Song Rankings'!$B:$B,F4794))</f>
        <v>Katy Perry</v>
      </c>
      <c r="I4794" s="6" t="str">
        <f aca="false">IF(F4794=0,"NOT FOUND",INDEX('All Song Rankings'!$D:$D,F4794))</f>
        <v>Lucia</v>
      </c>
      <c r="J4794" s="7" t="str">
        <f aca="false">IF(F4794=0,"NOT FOUND",IF(C4794=I4794,"SELF-VOTE",IF(COUNTIF($K:$K,K4794)&gt;1,"DUPLICATE","OK")))</f>
        <v>OK</v>
      </c>
      <c r="K4794" s="6" t="str">
        <f aca="false">A4794&amp;"|"&amp;B4794&amp;"|"&amp;C4794&amp;"|"&amp;D4794</f>
        <v>7|4|Josh|spotify:track:5Uc37Y6FijZcM538PqqkWd</v>
      </c>
    </row>
    <row r="4795" customFormat="false" ht="15" hidden="false" customHeight="false" outlineLevel="0" collapsed="false">
      <c r="A4795" s="5" t="n">
        <v>7</v>
      </c>
      <c r="B4795" s="5" t="n">
        <v>4</v>
      </c>
      <c r="C4795" s="5" t="s">
        <v>1843</v>
      </c>
      <c r="D4795" s="5" t="s">
        <v>2175</v>
      </c>
      <c r="E4795" s="5" t="n">
        <v>1</v>
      </c>
      <c r="F4795" s="6" t="n">
        <f aca="false">IFERROR(MATCH(A4795&amp;"|"&amp;B4795&amp;"|"&amp;D4795,'All Song Rankings'!$T:$T,0),0)</f>
        <v>731</v>
      </c>
      <c r="G4795" s="6" t="str">
        <f aca="false">IF(F4795=0,"NOT FOUND",INDEX('All Song Rankings'!$A:$A,F4795))</f>
        <v>mars</v>
      </c>
      <c r="H4795" s="6" t="str">
        <f aca="false">IF(F4795=0,"NOT FOUND",INDEX('All Song Rankings'!$B:$B,F4795))</f>
        <v>YUNGBLUD</v>
      </c>
      <c r="I4795" s="6" t="str">
        <f aca="false">IF(F4795=0,"NOT FOUND",INDEX('All Song Rankings'!$D:$D,F4795))</f>
        <v>Scott</v>
      </c>
      <c r="J4795" s="7" t="str">
        <f aca="false">IF(F4795=0,"NOT FOUND",IF(C4795=I4795,"SELF-VOTE",IF(COUNTIF($K:$K,K4795)&gt;1,"DUPLICATE","OK")))</f>
        <v>OK</v>
      </c>
      <c r="K4795" s="6" t="str">
        <f aca="false">A4795&amp;"|"&amp;B4795&amp;"|"&amp;C4795&amp;"|"&amp;D4795</f>
        <v>7|4|Josh|spotify:track:6C6aknFp2XtjIq7xuvyfuY</v>
      </c>
    </row>
    <row r="4796" customFormat="false" ht="15" hidden="false" customHeight="false" outlineLevel="0" collapsed="false">
      <c r="A4796" s="5" t="n">
        <v>7</v>
      </c>
      <c r="B4796" s="5" t="n">
        <v>4</v>
      </c>
      <c r="C4796" s="5" t="s">
        <v>85</v>
      </c>
      <c r="D4796" s="5" t="s">
        <v>2150</v>
      </c>
      <c r="E4796" s="5" t="n">
        <v>1</v>
      </c>
      <c r="F4796" s="6" t="n">
        <f aca="false">IFERROR(MATCH(A4796&amp;"|"&amp;B4796&amp;"|"&amp;D4796,'All Song Rankings'!$T:$T,0),0)</f>
        <v>720</v>
      </c>
      <c r="G4796" s="6" t="str">
        <f aca="false">IF(F4796=0,"NOT FOUND",INDEX('All Song Rankings'!$A:$A,F4796))</f>
        <v>Fool's Gold</v>
      </c>
      <c r="H4796" s="6" t="str">
        <f aca="false">IF(F4796=0,"NOT FOUND",INDEX('All Song Rankings'!$B:$B,F4796))</f>
        <v>One Direction</v>
      </c>
      <c r="I4796" s="6" t="str">
        <f aca="false">IF(F4796=0,"NOT FOUND",INDEX('All Song Rankings'!$D:$D,F4796))</f>
        <v>Colleen</v>
      </c>
      <c r="J4796" s="7" t="str">
        <f aca="false">IF(F4796=0,"NOT FOUND",IF(C4796=I4796,"SELF-VOTE",IF(COUNTIF($K:$K,K4796)&gt;1,"DUPLICATE","OK")))</f>
        <v>OK</v>
      </c>
      <c r="K4796" s="6" t="str">
        <f aca="false">A4796&amp;"|"&amp;B4796&amp;"|"&amp;C4796&amp;"|"&amp;D4796</f>
        <v>7|4|Kelsey|spotify:track:0L5gFNrzHyh4OhMwEz6DGS</v>
      </c>
    </row>
    <row r="4797" customFormat="false" ht="15" hidden="false" customHeight="false" outlineLevel="0" collapsed="false">
      <c r="A4797" s="5" t="n">
        <v>7</v>
      </c>
      <c r="B4797" s="5" t="n">
        <v>4</v>
      </c>
      <c r="C4797" s="5" t="s">
        <v>85</v>
      </c>
      <c r="D4797" s="5" t="s">
        <v>2164</v>
      </c>
      <c r="E4797" s="5" t="n">
        <v>2</v>
      </c>
      <c r="F4797" s="6" t="n">
        <f aca="false">IFERROR(MATCH(A4797&amp;"|"&amp;B4797&amp;"|"&amp;D4797,'All Song Rankings'!$T:$T,0),0)</f>
        <v>726</v>
      </c>
      <c r="G4797" s="6" t="str">
        <f aca="false">IF(F4797=0,"NOT FOUND",INDEX('All Song Rankings'!$A:$A,F4797))</f>
        <v>Poison</v>
      </c>
      <c r="H4797" s="6" t="str">
        <f aca="false">IF(F4797=0,"NOT FOUND",INDEX('All Song Rankings'!$B:$B,F4797))</f>
        <v>Beyoncé</v>
      </c>
      <c r="I4797" s="6" t="str">
        <f aca="false">IF(F4797=0,"NOT FOUND",INDEX('All Song Rankings'!$D:$D,F4797))</f>
        <v>Logan</v>
      </c>
      <c r="J4797" s="7" t="str">
        <f aca="false">IF(F4797=0,"NOT FOUND",IF(C4797=I4797,"SELF-VOTE",IF(COUNTIF($K:$K,K4797)&gt;1,"DUPLICATE","OK")))</f>
        <v>OK</v>
      </c>
      <c r="K4797" s="6" t="str">
        <f aca="false">A4797&amp;"|"&amp;B4797&amp;"|"&amp;C4797&amp;"|"&amp;D4797</f>
        <v>7|4|Kelsey|spotify:track:0yGlYMCTNE1aKRd5YAXEdg</v>
      </c>
    </row>
    <row r="4798" customFormat="false" ht="15" hidden="false" customHeight="false" outlineLevel="0" collapsed="false">
      <c r="A4798" s="5" t="n">
        <v>7</v>
      </c>
      <c r="B4798" s="5" t="n">
        <v>4</v>
      </c>
      <c r="C4798" s="5" t="s">
        <v>85</v>
      </c>
      <c r="D4798" s="5" t="s">
        <v>2169</v>
      </c>
      <c r="E4798" s="5" t="n">
        <v>1</v>
      </c>
      <c r="F4798" s="6" t="n">
        <f aca="false">IFERROR(MATCH(A4798&amp;"|"&amp;B4798&amp;"|"&amp;D4798,'All Song Rankings'!$T:$T,0),0)</f>
        <v>728</v>
      </c>
      <c r="G4798" s="6" t="str">
        <f aca="false">IF(F4798=0,"NOT FOUND",INDEX('All Song Rankings'!$A:$A,F4798))</f>
        <v>Perm</v>
      </c>
      <c r="H4798" s="6" t="str">
        <f aca="false">IF(F4798=0,"NOT FOUND",INDEX('All Song Rankings'!$B:$B,F4798))</f>
        <v>Bruno Mars</v>
      </c>
      <c r="I4798" s="6" t="str">
        <f aca="false">IF(F4798=0,"NOT FOUND",INDEX('All Song Rankings'!$D:$D,F4798))</f>
        <v>Josh</v>
      </c>
      <c r="J4798" s="7" t="str">
        <f aca="false">IF(F4798=0,"NOT FOUND",IF(C4798=I4798,"SELF-VOTE",IF(COUNTIF($K:$K,K4798)&gt;1,"DUPLICATE","OK")))</f>
        <v>OK</v>
      </c>
      <c r="K4798" s="6" t="str">
        <f aca="false">A4798&amp;"|"&amp;B4798&amp;"|"&amp;C4798&amp;"|"&amp;D4798</f>
        <v>7|4|Kelsey|spotify:track:1I6pKIyaBp4OebTGLJpCCC</v>
      </c>
    </row>
    <row r="4799" customFormat="false" ht="15" hidden="false" customHeight="false" outlineLevel="0" collapsed="false">
      <c r="A4799" s="5" t="n">
        <v>7</v>
      </c>
      <c r="B4799" s="5" t="n">
        <v>4</v>
      </c>
      <c r="C4799" s="5" t="s">
        <v>85</v>
      </c>
      <c r="D4799" s="5" t="s">
        <v>2146</v>
      </c>
      <c r="E4799" s="5" t="n">
        <v>2</v>
      </c>
      <c r="F4799" s="6" t="n">
        <f aca="false">IFERROR(MATCH(A4799&amp;"|"&amp;B4799&amp;"|"&amp;D4799,'All Song Rankings'!$T:$T,0),0)</f>
        <v>718</v>
      </c>
      <c r="G4799" s="6" t="str">
        <f aca="false">IF(F4799=0,"NOT FOUND",INDEX('All Song Rankings'!$A:$A,F4799))</f>
        <v>All The Pretty Girls</v>
      </c>
      <c r="H4799" s="6" t="str">
        <f aca="false">IF(F4799=0,"NOT FOUND",INDEX('All Song Rankings'!$B:$B,F4799))</f>
        <v>fun.</v>
      </c>
      <c r="I4799" s="6" t="str">
        <f aca="false">IF(F4799=0,"NOT FOUND",INDEX('All Song Rankings'!$D:$D,F4799))</f>
        <v>Grace</v>
      </c>
      <c r="J4799" s="7" t="str">
        <f aca="false">IF(F4799=0,"NOT FOUND",IF(C4799=I4799,"SELF-VOTE",IF(COUNTIF($K:$K,K4799)&gt;1,"DUPLICATE","OK")))</f>
        <v>OK</v>
      </c>
      <c r="K4799" s="6" t="str">
        <f aca="false">A4799&amp;"|"&amp;B4799&amp;"|"&amp;C4799&amp;"|"&amp;D4799</f>
        <v>7|4|Kelsey|spotify:track:2cHGWytemKJuckq2oLnAbZ</v>
      </c>
    </row>
    <row r="4800" customFormat="false" ht="15" hidden="false" customHeight="false" outlineLevel="0" collapsed="false">
      <c r="A4800" s="5" t="n">
        <v>7</v>
      </c>
      <c r="B4800" s="5" t="n">
        <v>4</v>
      </c>
      <c r="C4800" s="5" t="s">
        <v>85</v>
      </c>
      <c r="D4800" s="5" t="s">
        <v>2153</v>
      </c>
      <c r="E4800" s="5" t="n">
        <v>1</v>
      </c>
      <c r="F4800" s="6" t="n">
        <f aca="false">IFERROR(MATCH(A4800&amp;"|"&amp;B4800&amp;"|"&amp;D4800,'All Song Rankings'!$T:$T,0),0)</f>
        <v>721</v>
      </c>
      <c r="G4800" s="6" t="str">
        <f aca="false">IF(F4800=0,"NOT FOUND",INDEX('All Song Rankings'!$A:$A,F4800))</f>
        <v>Sleeping Angel (From Fast Times at Ridgemont High)</v>
      </c>
      <c r="H4800" s="6" t="str">
        <f aca="false">IF(F4800=0,"NOT FOUND",INDEX('All Song Rankings'!$B:$B,F4800))</f>
        <v>Stevie Nicks</v>
      </c>
      <c r="I4800" s="6" t="str">
        <f aca="false">IF(F4800=0,"NOT FOUND",INDEX('All Song Rankings'!$D:$D,F4800))</f>
        <v>Christine</v>
      </c>
      <c r="J4800" s="7" t="str">
        <f aca="false">IF(F4800=0,"NOT FOUND",IF(C4800=I4800,"SELF-VOTE",IF(COUNTIF($K:$K,K4800)&gt;1,"DUPLICATE","OK")))</f>
        <v>OK</v>
      </c>
      <c r="K4800" s="6" t="str">
        <f aca="false">A4800&amp;"|"&amp;B4800&amp;"|"&amp;C4800&amp;"|"&amp;D4800</f>
        <v>7|4|Kelsey|spotify:track:35I5lX6yE00YSu7PEgES54</v>
      </c>
    </row>
    <row r="4801" customFormat="false" ht="15" hidden="false" customHeight="false" outlineLevel="0" collapsed="false">
      <c r="A4801" s="5" t="n">
        <v>7</v>
      </c>
      <c r="B4801" s="5" t="n">
        <v>4</v>
      </c>
      <c r="C4801" s="5" t="s">
        <v>85</v>
      </c>
      <c r="D4801" s="5" t="s">
        <v>2170</v>
      </c>
      <c r="E4801" s="5" t="n">
        <v>1</v>
      </c>
      <c r="F4801" s="6" t="n">
        <f aca="false">IFERROR(MATCH(A4801&amp;"|"&amp;B4801&amp;"|"&amp;D4801,'All Song Rankings'!$T:$T,0),0)</f>
        <v>729</v>
      </c>
      <c r="G4801" s="6" t="str">
        <f aca="false">IF(F4801=0,"NOT FOUND",INDEX('All Song Rankings'!$A:$A,F4801))</f>
        <v>Bad Day</v>
      </c>
      <c r="H4801" s="6" t="str">
        <f aca="false">IF(F4801=0,"NOT FOUND",INDEX('All Song Rankings'!$B:$B,F4801))</f>
        <v>Justin Bieber</v>
      </c>
      <c r="I4801" s="6" t="str">
        <f aca="false">IF(F4801=0,"NOT FOUND",INDEX('All Song Rankings'!$D:$D,F4801))</f>
        <v>Merita</v>
      </c>
      <c r="J4801" s="7" t="str">
        <f aca="false">IF(F4801=0,"NOT FOUND",IF(C4801=I4801,"SELF-VOTE",IF(COUNTIF($K:$K,K4801)&gt;1,"DUPLICATE","OK")))</f>
        <v>OK</v>
      </c>
      <c r="K4801" s="6" t="str">
        <f aca="false">A4801&amp;"|"&amp;B4801&amp;"|"&amp;C4801&amp;"|"&amp;D4801</f>
        <v>7|4|Kelsey|spotify:track:4VAngYbLewVFpcLR9FpYfR</v>
      </c>
    </row>
    <row r="4802" customFormat="false" ht="15" hidden="false" customHeight="false" outlineLevel="0" collapsed="false">
      <c r="A4802" s="5" t="n">
        <v>7</v>
      </c>
      <c r="B4802" s="5" t="n">
        <v>4</v>
      </c>
      <c r="C4802" s="5" t="s">
        <v>85</v>
      </c>
      <c r="D4802" s="5" t="s">
        <v>2148</v>
      </c>
      <c r="E4802" s="5" t="n">
        <v>1</v>
      </c>
      <c r="F4802" s="6" t="n">
        <f aca="false">IFERROR(MATCH(A4802&amp;"|"&amp;B4802&amp;"|"&amp;D4802,'All Song Rankings'!$T:$T,0),0)</f>
        <v>719</v>
      </c>
      <c r="G4802" s="6" t="str">
        <f aca="false">IF(F4802=0,"NOT FOUND",INDEX('All Song Rankings'!$A:$A,F4802))</f>
        <v>Disloyal Order Of Water Buffaloes</v>
      </c>
      <c r="H4802" s="6" t="str">
        <f aca="false">IF(F4802=0,"NOT FOUND",INDEX('All Song Rankings'!$B:$B,F4802))</f>
        <v>Fall Out Boy</v>
      </c>
      <c r="I4802" s="6" t="str">
        <f aca="false">IF(F4802=0,"NOT FOUND",INDEX('All Song Rankings'!$D:$D,F4802))</f>
        <v>Kristen</v>
      </c>
      <c r="J4802" s="7" t="str">
        <f aca="false">IF(F4802=0,"NOT FOUND",IF(C4802=I4802,"SELF-VOTE",IF(COUNTIF($K:$K,K4802)&gt;1,"DUPLICATE","OK")))</f>
        <v>OK</v>
      </c>
      <c r="K4802" s="6" t="str">
        <f aca="false">A4802&amp;"|"&amp;B4802&amp;"|"&amp;C4802&amp;"|"&amp;D4802</f>
        <v>7|4|Kelsey|spotify:track:4qg2rXtE20scfPhGvG5tqq</v>
      </c>
    </row>
    <row r="4803" customFormat="false" ht="15" hidden="false" customHeight="false" outlineLevel="0" collapsed="false">
      <c r="A4803" s="5" t="n">
        <v>7</v>
      </c>
      <c r="B4803" s="5" t="n">
        <v>4</v>
      </c>
      <c r="C4803" s="5" t="s">
        <v>85</v>
      </c>
      <c r="D4803" s="5" t="s">
        <v>2155</v>
      </c>
      <c r="E4803" s="5" t="n">
        <v>1</v>
      </c>
      <c r="F4803" s="6" t="n">
        <f aca="false">IFERROR(MATCH(A4803&amp;"|"&amp;B4803&amp;"|"&amp;D4803,'All Song Rankings'!$T:$T,0),0)</f>
        <v>722</v>
      </c>
      <c r="G4803" s="6" t="str">
        <f aca="false">IF(F4803=0,"NOT FOUND",INDEX('All Song Rankings'!$A:$A,F4803))</f>
        <v>Legendary Lovers</v>
      </c>
      <c r="H4803" s="6" t="str">
        <f aca="false">IF(F4803=0,"NOT FOUND",INDEX('All Song Rankings'!$B:$B,F4803))</f>
        <v>Katy Perry</v>
      </c>
      <c r="I4803" s="6" t="str">
        <f aca="false">IF(F4803=0,"NOT FOUND",INDEX('All Song Rankings'!$D:$D,F4803))</f>
        <v>Lucia</v>
      </c>
      <c r="J4803" s="7" t="str">
        <f aca="false">IF(F4803=0,"NOT FOUND",IF(C4803=I4803,"SELF-VOTE",IF(COUNTIF($K:$K,K4803)&gt;1,"DUPLICATE","OK")))</f>
        <v>OK</v>
      </c>
      <c r="K4803" s="6" t="str">
        <f aca="false">A4803&amp;"|"&amp;B4803&amp;"|"&amp;C4803&amp;"|"&amp;D4803</f>
        <v>7|4|Kelsey|spotify:track:5Uc37Y6FijZcM538PqqkWd</v>
      </c>
    </row>
    <row r="4804" customFormat="false" ht="15" hidden="false" customHeight="false" outlineLevel="0" collapsed="false">
      <c r="A4804" s="5" t="n">
        <v>7</v>
      </c>
      <c r="B4804" s="5" t="n">
        <v>4</v>
      </c>
      <c r="C4804" s="5" t="s">
        <v>106</v>
      </c>
      <c r="D4804" s="5" t="s">
        <v>2150</v>
      </c>
      <c r="E4804" s="5" t="n">
        <v>2</v>
      </c>
      <c r="F4804" s="6" t="n">
        <f aca="false">IFERROR(MATCH(A4804&amp;"|"&amp;B4804&amp;"|"&amp;D4804,'All Song Rankings'!$T:$T,0),0)</f>
        <v>720</v>
      </c>
      <c r="G4804" s="6" t="str">
        <f aca="false">IF(F4804=0,"NOT FOUND",INDEX('All Song Rankings'!$A:$A,F4804))</f>
        <v>Fool's Gold</v>
      </c>
      <c r="H4804" s="6" t="str">
        <f aca="false">IF(F4804=0,"NOT FOUND",INDEX('All Song Rankings'!$B:$B,F4804))</f>
        <v>One Direction</v>
      </c>
      <c r="I4804" s="6" t="str">
        <f aca="false">IF(F4804=0,"NOT FOUND",INDEX('All Song Rankings'!$D:$D,F4804))</f>
        <v>Colleen</v>
      </c>
      <c r="J4804" s="7" t="str">
        <f aca="false">IF(F4804=0,"NOT FOUND",IF(C4804=I4804,"SELF-VOTE",IF(COUNTIF($K:$K,K4804)&gt;1,"DUPLICATE","OK")))</f>
        <v>OK</v>
      </c>
      <c r="K4804" s="6" t="str">
        <f aca="false">A4804&amp;"|"&amp;B4804&amp;"|"&amp;C4804&amp;"|"&amp;D4804</f>
        <v>7|4|Kristen|spotify:track:0L5gFNrzHyh4OhMwEz6DGS</v>
      </c>
    </row>
    <row r="4805" customFormat="false" ht="15" hidden="false" customHeight="false" outlineLevel="0" collapsed="false">
      <c r="A4805" s="5" t="n">
        <v>7</v>
      </c>
      <c r="B4805" s="5" t="n">
        <v>4</v>
      </c>
      <c r="C4805" s="5" t="s">
        <v>106</v>
      </c>
      <c r="D4805" s="5" t="s">
        <v>2169</v>
      </c>
      <c r="E4805" s="5" t="n">
        <v>1</v>
      </c>
      <c r="F4805" s="6" t="n">
        <f aca="false">IFERROR(MATCH(A4805&amp;"|"&amp;B4805&amp;"|"&amp;D4805,'All Song Rankings'!$T:$T,0),0)</f>
        <v>728</v>
      </c>
      <c r="G4805" s="6" t="str">
        <f aca="false">IF(F4805=0,"NOT FOUND",INDEX('All Song Rankings'!$A:$A,F4805))</f>
        <v>Perm</v>
      </c>
      <c r="H4805" s="6" t="str">
        <f aca="false">IF(F4805=0,"NOT FOUND",INDEX('All Song Rankings'!$B:$B,F4805))</f>
        <v>Bruno Mars</v>
      </c>
      <c r="I4805" s="6" t="str">
        <f aca="false">IF(F4805=0,"NOT FOUND",INDEX('All Song Rankings'!$D:$D,F4805))</f>
        <v>Josh</v>
      </c>
      <c r="J4805" s="7" t="str">
        <f aca="false">IF(F4805=0,"NOT FOUND",IF(C4805=I4805,"SELF-VOTE",IF(COUNTIF($K:$K,K4805)&gt;1,"DUPLICATE","OK")))</f>
        <v>OK</v>
      </c>
      <c r="K4805" s="6" t="str">
        <f aca="false">A4805&amp;"|"&amp;B4805&amp;"|"&amp;C4805&amp;"|"&amp;D4805</f>
        <v>7|4|Kristen|spotify:track:1I6pKIyaBp4OebTGLJpCCC</v>
      </c>
    </row>
    <row r="4806" customFormat="false" ht="15" hidden="false" customHeight="false" outlineLevel="0" collapsed="false">
      <c r="A4806" s="5" t="n">
        <v>7</v>
      </c>
      <c r="B4806" s="5" t="n">
        <v>4</v>
      </c>
      <c r="C4806" s="5" t="s">
        <v>106</v>
      </c>
      <c r="D4806" s="5" t="s">
        <v>2173</v>
      </c>
      <c r="E4806" s="5" t="n">
        <v>2</v>
      </c>
      <c r="F4806" s="6" t="n">
        <f aca="false">IFERROR(MATCH(A4806&amp;"|"&amp;B4806&amp;"|"&amp;D4806,'All Song Rankings'!$T:$T,0),0)</f>
        <v>730</v>
      </c>
      <c r="G4806" s="6" t="str">
        <f aca="false">IF(F4806=0,"NOT FOUND",INDEX('All Song Rankings'!$A:$A,F4806))</f>
        <v>Fire Coming out of the Monkey's Head</v>
      </c>
      <c r="H4806" s="6" t="str">
        <f aca="false">IF(F4806=0,"NOT FOUND",INDEX('All Song Rankings'!$B:$B,F4806))</f>
        <v>Gorillaz</v>
      </c>
      <c r="I4806" s="6" t="str">
        <f aca="false">IF(F4806=0,"NOT FOUND",INDEX('All Song Rankings'!$D:$D,F4806))</f>
        <v>Matt</v>
      </c>
      <c r="J4806" s="7" t="str">
        <f aca="false">IF(F4806=0,"NOT FOUND",IF(C4806=I4806,"SELF-VOTE",IF(COUNTIF($K:$K,K4806)&gt;1,"DUPLICATE","OK")))</f>
        <v>OK</v>
      </c>
      <c r="K4806" s="6" t="str">
        <f aca="false">A4806&amp;"|"&amp;B4806&amp;"|"&amp;C4806&amp;"|"&amp;D4806</f>
        <v>7|4|Kristen|spotify:track:1S9tfxdFr4TqoqA14gnKj3</v>
      </c>
    </row>
    <row r="4807" customFormat="false" ht="15" hidden="false" customHeight="false" outlineLevel="0" collapsed="false">
      <c r="A4807" s="5" t="n">
        <v>7</v>
      </c>
      <c r="B4807" s="5" t="n">
        <v>4</v>
      </c>
      <c r="C4807" s="5" t="s">
        <v>106</v>
      </c>
      <c r="D4807" s="5" t="s">
        <v>2146</v>
      </c>
      <c r="E4807" s="5" t="n">
        <v>1</v>
      </c>
      <c r="F4807" s="6" t="n">
        <f aca="false">IFERROR(MATCH(A4807&amp;"|"&amp;B4807&amp;"|"&amp;D4807,'All Song Rankings'!$T:$T,0),0)</f>
        <v>718</v>
      </c>
      <c r="G4807" s="6" t="str">
        <f aca="false">IF(F4807=0,"NOT FOUND",INDEX('All Song Rankings'!$A:$A,F4807))</f>
        <v>All The Pretty Girls</v>
      </c>
      <c r="H4807" s="6" t="str">
        <f aca="false">IF(F4807=0,"NOT FOUND",INDEX('All Song Rankings'!$B:$B,F4807))</f>
        <v>fun.</v>
      </c>
      <c r="I4807" s="6" t="str">
        <f aca="false">IF(F4807=0,"NOT FOUND",INDEX('All Song Rankings'!$D:$D,F4807))</f>
        <v>Grace</v>
      </c>
      <c r="J4807" s="7" t="str">
        <f aca="false">IF(F4807=0,"NOT FOUND",IF(C4807=I4807,"SELF-VOTE",IF(COUNTIF($K:$K,K4807)&gt;1,"DUPLICATE","OK")))</f>
        <v>OK</v>
      </c>
      <c r="K4807" s="6" t="str">
        <f aca="false">A4807&amp;"|"&amp;B4807&amp;"|"&amp;C4807&amp;"|"&amp;D4807</f>
        <v>7|4|Kristen|spotify:track:2cHGWytemKJuckq2oLnAbZ</v>
      </c>
    </row>
    <row r="4808" customFormat="false" ht="15" hidden="false" customHeight="false" outlineLevel="0" collapsed="false">
      <c r="A4808" s="5" t="n">
        <v>7</v>
      </c>
      <c r="B4808" s="5" t="n">
        <v>4</v>
      </c>
      <c r="C4808" s="5" t="s">
        <v>106</v>
      </c>
      <c r="D4808" s="5" t="s">
        <v>2157</v>
      </c>
      <c r="E4808" s="5" t="n">
        <v>2</v>
      </c>
      <c r="F4808" s="6" t="n">
        <f aca="false">IFERROR(MATCH(A4808&amp;"|"&amp;B4808&amp;"|"&amp;D4808,'All Song Rankings'!$T:$T,0),0)</f>
        <v>723</v>
      </c>
      <c r="G4808" s="6" t="str">
        <f aca="false">IF(F4808=0,"NOT FOUND",INDEX('All Song Rankings'!$A:$A,F4808))</f>
        <v>Yellow Ledbetter</v>
      </c>
      <c r="H4808" s="6" t="str">
        <f aca="false">IF(F4808=0,"NOT FOUND",INDEX('All Song Rankings'!$B:$B,F4808))</f>
        <v>Pearl Jam</v>
      </c>
      <c r="I4808" s="6" t="str">
        <f aca="false">IF(F4808=0,"NOT FOUND",INDEX('All Song Rankings'!$D:$D,F4808))</f>
        <v>Lisa</v>
      </c>
      <c r="J4808" s="7" t="str">
        <f aca="false">IF(F4808=0,"NOT FOUND",IF(C4808=I4808,"SELF-VOTE",IF(COUNTIF($K:$K,K4808)&gt;1,"DUPLICATE","OK")))</f>
        <v>OK</v>
      </c>
      <c r="K4808" s="6" t="str">
        <f aca="false">A4808&amp;"|"&amp;B4808&amp;"|"&amp;C4808&amp;"|"&amp;D4808</f>
        <v>7|4|Kristen|spotify:track:3bE5slaVEfaDreqARl6k4M</v>
      </c>
    </row>
    <row r="4809" customFormat="false" ht="15" hidden="false" customHeight="false" outlineLevel="0" collapsed="false">
      <c r="A4809" s="5" t="n">
        <v>7</v>
      </c>
      <c r="B4809" s="5" t="n">
        <v>4</v>
      </c>
      <c r="C4809" s="5" t="s">
        <v>106</v>
      </c>
      <c r="D4809" s="5" t="s">
        <v>2170</v>
      </c>
      <c r="E4809" s="5" t="n">
        <v>1</v>
      </c>
      <c r="F4809" s="6" t="n">
        <f aca="false">IFERROR(MATCH(A4809&amp;"|"&amp;B4809&amp;"|"&amp;D4809,'All Song Rankings'!$T:$T,0),0)</f>
        <v>729</v>
      </c>
      <c r="G4809" s="6" t="str">
        <f aca="false">IF(F4809=0,"NOT FOUND",INDEX('All Song Rankings'!$A:$A,F4809))</f>
        <v>Bad Day</v>
      </c>
      <c r="H4809" s="6" t="str">
        <f aca="false">IF(F4809=0,"NOT FOUND",INDEX('All Song Rankings'!$B:$B,F4809))</f>
        <v>Justin Bieber</v>
      </c>
      <c r="I4809" s="6" t="str">
        <f aca="false">IF(F4809=0,"NOT FOUND",INDEX('All Song Rankings'!$D:$D,F4809))</f>
        <v>Merita</v>
      </c>
      <c r="J4809" s="7" t="str">
        <f aca="false">IF(F4809=0,"NOT FOUND",IF(C4809=I4809,"SELF-VOTE",IF(COUNTIF($K:$K,K4809)&gt;1,"DUPLICATE","OK")))</f>
        <v>OK</v>
      </c>
      <c r="K4809" s="6" t="str">
        <f aca="false">A4809&amp;"|"&amp;B4809&amp;"|"&amp;C4809&amp;"|"&amp;D4809</f>
        <v>7|4|Kristen|spotify:track:4VAngYbLewVFpcLR9FpYfR</v>
      </c>
    </row>
    <row r="4810" customFormat="false" ht="15" hidden="false" customHeight="false" outlineLevel="0" collapsed="false">
      <c r="A4810" s="5" t="n">
        <v>7</v>
      </c>
      <c r="B4810" s="5" t="n">
        <v>4</v>
      </c>
      <c r="C4810" s="5" t="s">
        <v>106</v>
      </c>
      <c r="D4810" s="5" t="s">
        <v>2178</v>
      </c>
      <c r="E4810" s="5" t="n">
        <v>1</v>
      </c>
      <c r="F4810" s="6" t="n">
        <f aca="false">IFERROR(MATCH(A4810&amp;"|"&amp;B4810&amp;"|"&amp;D4810,'All Song Rankings'!$T:$T,0),0)</f>
        <v>732</v>
      </c>
      <c r="G4810" s="6" t="str">
        <f aca="false">IF(F4810=0,"NOT FOUND",INDEX('All Song Rankings'!$A:$A,F4810))</f>
        <v>Creature</v>
      </c>
      <c r="H4810" s="6" t="str">
        <f aca="false">IF(F4810=0,"NOT FOUND",INDEX('All Song Rankings'!$B:$B,F4810))</f>
        <v>Jelly Roll, Tech N9ne, Krizz Kaliko</v>
      </c>
      <c r="I4810" s="6" t="str">
        <f aca="false">IF(F4810=0,"NOT FOUND",INDEX('All Song Rankings'!$D:$D,F4810))</f>
        <v>Leah</v>
      </c>
      <c r="J4810" s="7" t="str">
        <f aca="false">IF(F4810=0,"NOT FOUND",IF(C4810=I4810,"SELF-VOTE",IF(COUNTIF($K:$K,K4810)&gt;1,"DUPLICATE","OK")))</f>
        <v>OK</v>
      </c>
      <c r="K4810" s="6" t="str">
        <f aca="false">A4810&amp;"|"&amp;B4810&amp;"|"&amp;C4810&amp;"|"&amp;D4810</f>
        <v>7|4|Kristen|spotify:track:5yqKUU2DUyilP2TvOrjEzT</v>
      </c>
    </row>
    <row r="4811" customFormat="false" ht="15" hidden="false" customHeight="false" outlineLevel="0" collapsed="false">
      <c r="A4811" s="5" t="n">
        <v>7</v>
      </c>
      <c r="B4811" s="5" t="n">
        <v>4</v>
      </c>
      <c r="C4811" s="5" t="s">
        <v>705</v>
      </c>
      <c r="D4811" s="5" t="s">
        <v>2162</v>
      </c>
      <c r="E4811" s="5" t="n">
        <v>1</v>
      </c>
      <c r="F4811" s="6" t="n">
        <f aca="false">IFERROR(MATCH(A4811&amp;"|"&amp;B4811&amp;"|"&amp;D4811,'All Song Rankings'!$T:$T,0),0)</f>
        <v>725</v>
      </c>
      <c r="G4811" s="6" t="str">
        <f aca="false">IF(F4811=0,"NOT FOUND",INDEX('All Song Rankings'!$A:$A,F4811))</f>
        <v>Not Strong Enough</v>
      </c>
      <c r="H4811" s="6" t="str">
        <f aca="false">IF(F4811=0,"NOT FOUND",INDEX('All Song Rankings'!$B:$B,F4811))</f>
        <v>boygenius, Julien Baker, Phoebe Bridgers, Lucy Dacus</v>
      </c>
      <c r="I4811" s="6" t="str">
        <f aca="false">IF(F4811=0,"NOT FOUND",INDEX('All Song Rankings'!$D:$D,F4811))</f>
        <v>Sara</v>
      </c>
      <c r="J4811" s="7" t="str">
        <f aca="false">IF(F4811=0,"NOT FOUND",IF(C4811=I4811,"SELF-VOTE",IF(COUNTIF($K:$K,K4811)&gt;1,"DUPLICATE","OK")))</f>
        <v>OK</v>
      </c>
      <c r="K4811" s="6" t="str">
        <f aca="false">A4811&amp;"|"&amp;B4811&amp;"|"&amp;C4811&amp;"|"&amp;D4811</f>
        <v>7|4|Lisa|spotify:track:09DR0sHnQUhHOiSNttc1mv</v>
      </c>
    </row>
    <row r="4812" customFormat="false" ht="15" hidden="false" customHeight="false" outlineLevel="0" collapsed="false">
      <c r="A4812" s="5" t="n">
        <v>7</v>
      </c>
      <c r="B4812" s="5" t="n">
        <v>4</v>
      </c>
      <c r="C4812" s="5" t="s">
        <v>705</v>
      </c>
      <c r="D4812" s="5" t="s">
        <v>2150</v>
      </c>
      <c r="E4812" s="5" t="n">
        <v>1</v>
      </c>
      <c r="F4812" s="6" t="n">
        <f aca="false">IFERROR(MATCH(A4812&amp;"|"&amp;B4812&amp;"|"&amp;D4812,'All Song Rankings'!$T:$T,0),0)</f>
        <v>720</v>
      </c>
      <c r="G4812" s="6" t="str">
        <f aca="false">IF(F4812=0,"NOT FOUND",INDEX('All Song Rankings'!$A:$A,F4812))</f>
        <v>Fool's Gold</v>
      </c>
      <c r="H4812" s="6" t="str">
        <f aca="false">IF(F4812=0,"NOT FOUND",INDEX('All Song Rankings'!$B:$B,F4812))</f>
        <v>One Direction</v>
      </c>
      <c r="I4812" s="6" t="str">
        <f aca="false">IF(F4812=0,"NOT FOUND",INDEX('All Song Rankings'!$D:$D,F4812))</f>
        <v>Colleen</v>
      </c>
      <c r="J4812" s="7" t="str">
        <f aca="false">IF(F4812=0,"NOT FOUND",IF(C4812=I4812,"SELF-VOTE",IF(COUNTIF($K:$K,K4812)&gt;1,"DUPLICATE","OK")))</f>
        <v>OK</v>
      </c>
      <c r="K4812" s="6" t="str">
        <f aca="false">A4812&amp;"|"&amp;B4812&amp;"|"&amp;C4812&amp;"|"&amp;D4812</f>
        <v>7|4|Lisa|spotify:track:0L5gFNrzHyh4OhMwEz6DGS</v>
      </c>
    </row>
    <row r="4813" customFormat="false" ht="15" hidden="false" customHeight="false" outlineLevel="0" collapsed="false">
      <c r="A4813" s="5" t="n">
        <v>7</v>
      </c>
      <c r="B4813" s="5" t="n">
        <v>4</v>
      </c>
      <c r="C4813" s="5" t="s">
        <v>705</v>
      </c>
      <c r="D4813" s="5" t="s">
        <v>2153</v>
      </c>
      <c r="E4813" s="5" t="n">
        <v>2</v>
      </c>
      <c r="F4813" s="6" t="n">
        <f aca="false">IFERROR(MATCH(A4813&amp;"|"&amp;B4813&amp;"|"&amp;D4813,'All Song Rankings'!$T:$T,0),0)</f>
        <v>721</v>
      </c>
      <c r="G4813" s="6" t="str">
        <f aca="false">IF(F4813=0,"NOT FOUND",INDEX('All Song Rankings'!$A:$A,F4813))</f>
        <v>Sleeping Angel (From Fast Times at Ridgemont High)</v>
      </c>
      <c r="H4813" s="6" t="str">
        <f aca="false">IF(F4813=0,"NOT FOUND",INDEX('All Song Rankings'!$B:$B,F4813))</f>
        <v>Stevie Nicks</v>
      </c>
      <c r="I4813" s="6" t="str">
        <f aca="false">IF(F4813=0,"NOT FOUND",INDEX('All Song Rankings'!$D:$D,F4813))</f>
        <v>Christine</v>
      </c>
      <c r="J4813" s="7" t="str">
        <f aca="false">IF(F4813=0,"NOT FOUND",IF(C4813=I4813,"SELF-VOTE",IF(COUNTIF($K:$K,K4813)&gt;1,"DUPLICATE","OK")))</f>
        <v>OK</v>
      </c>
      <c r="K4813" s="6" t="str">
        <f aca="false">A4813&amp;"|"&amp;B4813&amp;"|"&amp;C4813&amp;"|"&amp;D4813</f>
        <v>7|4|Lisa|spotify:track:35I5lX6yE00YSu7PEgES54</v>
      </c>
    </row>
    <row r="4814" customFormat="false" ht="15" hidden="false" customHeight="false" outlineLevel="0" collapsed="false">
      <c r="A4814" s="5" t="n">
        <v>7</v>
      </c>
      <c r="B4814" s="5" t="n">
        <v>4</v>
      </c>
      <c r="C4814" s="5" t="s">
        <v>705</v>
      </c>
      <c r="D4814" s="5" t="s">
        <v>2148</v>
      </c>
      <c r="E4814" s="5" t="n">
        <v>2</v>
      </c>
      <c r="F4814" s="6" t="n">
        <f aca="false">IFERROR(MATCH(A4814&amp;"|"&amp;B4814&amp;"|"&amp;D4814,'All Song Rankings'!$T:$T,0),0)</f>
        <v>719</v>
      </c>
      <c r="G4814" s="6" t="str">
        <f aca="false">IF(F4814=0,"NOT FOUND",INDEX('All Song Rankings'!$A:$A,F4814))</f>
        <v>Disloyal Order Of Water Buffaloes</v>
      </c>
      <c r="H4814" s="6" t="str">
        <f aca="false">IF(F4814=0,"NOT FOUND",INDEX('All Song Rankings'!$B:$B,F4814))</f>
        <v>Fall Out Boy</v>
      </c>
      <c r="I4814" s="6" t="str">
        <f aca="false">IF(F4814=0,"NOT FOUND",INDEX('All Song Rankings'!$D:$D,F4814))</f>
        <v>Kristen</v>
      </c>
      <c r="J4814" s="7" t="str">
        <f aca="false">IF(F4814=0,"NOT FOUND",IF(C4814=I4814,"SELF-VOTE",IF(COUNTIF($K:$K,K4814)&gt;1,"DUPLICATE","OK")))</f>
        <v>OK</v>
      </c>
      <c r="K4814" s="6" t="str">
        <f aca="false">A4814&amp;"|"&amp;B4814&amp;"|"&amp;C4814&amp;"|"&amp;D4814</f>
        <v>7|4|Lisa|spotify:track:4qg2rXtE20scfPhGvG5tqq</v>
      </c>
    </row>
    <row r="4815" customFormat="false" ht="15" hidden="false" customHeight="false" outlineLevel="0" collapsed="false">
      <c r="A4815" s="5" t="n">
        <v>7</v>
      </c>
      <c r="B4815" s="5" t="n">
        <v>4</v>
      </c>
      <c r="C4815" s="5" t="s">
        <v>705</v>
      </c>
      <c r="D4815" s="5" t="s">
        <v>2155</v>
      </c>
      <c r="E4815" s="5" t="n">
        <v>2</v>
      </c>
      <c r="F4815" s="6" t="n">
        <f aca="false">IFERROR(MATCH(A4815&amp;"|"&amp;B4815&amp;"|"&amp;D4815,'All Song Rankings'!$T:$T,0),0)</f>
        <v>722</v>
      </c>
      <c r="G4815" s="6" t="str">
        <f aca="false">IF(F4815=0,"NOT FOUND",INDEX('All Song Rankings'!$A:$A,F4815))</f>
        <v>Legendary Lovers</v>
      </c>
      <c r="H4815" s="6" t="str">
        <f aca="false">IF(F4815=0,"NOT FOUND",INDEX('All Song Rankings'!$B:$B,F4815))</f>
        <v>Katy Perry</v>
      </c>
      <c r="I4815" s="6" t="str">
        <f aca="false">IF(F4815=0,"NOT FOUND",INDEX('All Song Rankings'!$D:$D,F4815))</f>
        <v>Lucia</v>
      </c>
      <c r="J4815" s="7" t="str">
        <f aca="false">IF(F4815=0,"NOT FOUND",IF(C4815=I4815,"SELF-VOTE",IF(COUNTIF($K:$K,K4815)&gt;1,"DUPLICATE","OK")))</f>
        <v>OK</v>
      </c>
      <c r="K4815" s="6" t="str">
        <f aca="false">A4815&amp;"|"&amp;B4815&amp;"|"&amp;C4815&amp;"|"&amp;D4815</f>
        <v>7|4|Lisa|spotify:track:5Uc37Y6FijZcM538PqqkWd</v>
      </c>
    </row>
    <row r="4816" customFormat="false" ht="15" hidden="false" customHeight="false" outlineLevel="0" collapsed="false">
      <c r="A4816" s="5" t="n">
        <v>7</v>
      </c>
      <c r="B4816" s="5" t="n">
        <v>4</v>
      </c>
      <c r="C4816" s="5" t="s">
        <v>705</v>
      </c>
      <c r="D4816" s="5" t="s">
        <v>2178</v>
      </c>
      <c r="E4816" s="5" t="n">
        <v>1</v>
      </c>
      <c r="F4816" s="6" t="n">
        <f aca="false">IFERROR(MATCH(A4816&amp;"|"&amp;B4816&amp;"|"&amp;D4816,'All Song Rankings'!$T:$T,0),0)</f>
        <v>732</v>
      </c>
      <c r="G4816" s="6" t="str">
        <f aca="false">IF(F4816=0,"NOT FOUND",INDEX('All Song Rankings'!$A:$A,F4816))</f>
        <v>Creature</v>
      </c>
      <c r="H4816" s="6" t="str">
        <f aca="false">IF(F4816=0,"NOT FOUND",INDEX('All Song Rankings'!$B:$B,F4816))</f>
        <v>Jelly Roll, Tech N9ne, Krizz Kaliko</v>
      </c>
      <c r="I4816" s="6" t="str">
        <f aca="false">IF(F4816=0,"NOT FOUND",INDEX('All Song Rankings'!$D:$D,F4816))</f>
        <v>Leah</v>
      </c>
      <c r="J4816" s="7" t="str">
        <f aca="false">IF(F4816=0,"NOT FOUND",IF(C4816=I4816,"SELF-VOTE",IF(COUNTIF($K:$K,K4816)&gt;1,"DUPLICATE","OK")))</f>
        <v>OK</v>
      </c>
      <c r="K4816" s="6" t="str">
        <f aca="false">A4816&amp;"|"&amp;B4816&amp;"|"&amp;C4816&amp;"|"&amp;D4816</f>
        <v>7|4|Lisa|spotify:track:5yqKUU2DUyilP2TvOrjEzT</v>
      </c>
    </row>
    <row r="4817" customFormat="false" ht="15" hidden="false" customHeight="false" outlineLevel="0" collapsed="false">
      <c r="A4817" s="5" t="n">
        <v>7</v>
      </c>
      <c r="B4817" s="5" t="n">
        <v>4</v>
      </c>
      <c r="C4817" s="5" t="s">
        <v>705</v>
      </c>
      <c r="D4817" s="5" t="s">
        <v>2175</v>
      </c>
      <c r="E4817" s="5" t="n">
        <v>1</v>
      </c>
      <c r="F4817" s="6" t="n">
        <f aca="false">IFERROR(MATCH(A4817&amp;"|"&amp;B4817&amp;"|"&amp;D4817,'All Song Rankings'!$T:$T,0),0)</f>
        <v>731</v>
      </c>
      <c r="G4817" s="6" t="str">
        <f aca="false">IF(F4817=0,"NOT FOUND",INDEX('All Song Rankings'!$A:$A,F4817))</f>
        <v>mars</v>
      </c>
      <c r="H4817" s="6" t="str">
        <f aca="false">IF(F4817=0,"NOT FOUND",INDEX('All Song Rankings'!$B:$B,F4817))</f>
        <v>YUNGBLUD</v>
      </c>
      <c r="I4817" s="6" t="str">
        <f aca="false">IF(F4817=0,"NOT FOUND",INDEX('All Song Rankings'!$D:$D,F4817))</f>
        <v>Scott</v>
      </c>
      <c r="J4817" s="7" t="str">
        <f aca="false">IF(F4817=0,"NOT FOUND",IF(C4817=I4817,"SELF-VOTE",IF(COUNTIF($K:$K,K4817)&gt;1,"DUPLICATE","OK")))</f>
        <v>OK</v>
      </c>
      <c r="K4817" s="6" t="str">
        <f aca="false">A4817&amp;"|"&amp;B4817&amp;"|"&amp;C4817&amp;"|"&amp;D4817</f>
        <v>7|4|Lisa|spotify:track:6C6aknFp2XtjIq7xuvyfuY</v>
      </c>
    </row>
    <row r="4818" customFormat="false" ht="15" hidden="false" customHeight="false" outlineLevel="0" collapsed="false">
      <c r="A4818" s="5" t="n">
        <v>7</v>
      </c>
      <c r="B4818" s="5" t="n">
        <v>4</v>
      </c>
      <c r="C4818" s="5" t="s">
        <v>128</v>
      </c>
      <c r="D4818" s="5" t="s">
        <v>2162</v>
      </c>
      <c r="E4818" s="5" t="n">
        <v>1</v>
      </c>
      <c r="F4818" s="6" t="n">
        <f aca="false">IFERROR(MATCH(A4818&amp;"|"&amp;B4818&amp;"|"&amp;D4818,'All Song Rankings'!$T:$T,0),0)</f>
        <v>725</v>
      </c>
      <c r="G4818" s="6" t="str">
        <f aca="false">IF(F4818=0,"NOT FOUND",INDEX('All Song Rankings'!$A:$A,F4818))</f>
        <v>Not Strong Enough</v>
      </c>
      <c r="H4818" s="6" t="str">
        <f aca="false">IF(F4818=0,"NOT FOUND",INDEX('All Song Rankings'!$B:$B,F4818))</f>
        <v>boygenius, Julien Baker, Phoebe Bridgers, Lucy Dacus</v>
      </c>
      <c r="I4818" s="6" t="str">
        <f aca="false">IF(F4818=0,"NOT FOUND",INDEX('All Song Rankings'!$D:$D,F4818))</f>
        <v>Sara</v>
      </c>
      <c r="J4818" s="7" t="str">
        <f aca="false">IF(F4818=0,"NOT FOUND",IF(C4818=I4818,"SELF-VOTE",IF(COUNTIF($K:$K,K4818)&gt;1,"DUPLICATE","OK")))</f>
        <v>OK</v>
      </c>
      <c r="K4818" s="6" t="str">
        <f aca="false">A4818&amp;"|"&amp;B4818&amp;"|"&amp;C4818&amp;"|"&amp;D4818</f>
        <v>7|4|Logan|spotify:track:09DR0sHnQUhHOiSNttc1mv</v>
      </c>
    </row>
    <row r="4819" customFormat="false" ht="15" hidden="false" customHeight="false" outlineLevel="0" collapsed="false">
      <c r="A4819" s="5" t="n">
        <v>7</v>
      </c>
      <c r="B4819" s="5" t="n">
        <v>4</v>
      </c>
      <c r="C4819" s="5" t="s">
        <v>128</v>
      </c>
      <c r="D4819" s="5" t="s">
        <v>2159</v>
      </c>
      <c r="E4819" s="5" t="n">
        <v>1</v>
      </c>
      <c r="F4819" s="6" t="n">
        <f aca="false">IFERROR(MATCH(A4819&amp;"|"&amp;B4819&amp;"|"&amp;D4819,'All Song Rankings'!$T:$T,0),0)</f>
        <v>724</v>
      </c>
      <c r="G4819" s="6" t="str">
        <f aca="false">IF(F4819=0,"NOT FOUND",INDEX('All Song Rankings'!$A:$A,F4819))</f>
        <v>YA YA</v>
      </c>
      <c r="H4819" s="6" t="str">
        <f aca="false">IF(F4819=0,"NOT FOUND",INDEX('All Song Rankings'!$B:$B,F4819))</f>
        <v>Beyoncé</v>
      </c>
      <c r="I4819" s="6" t="str">
        <f aca="false">IF(F4819=0,"NOT FOUND",INDEX('All Song Rankings'!$D:$D,F4819))</f>
        <v>Stephanie</v>
      </c>
      <c r="J4819" s="7" t="str">
        <f aca="false">IF(F4819=0,"NOT FOUND",IF(C4819=I4819,"SELF-VOTE",IF(COUNTIF($K:$K,K4819)&gt;1,"DUPLICATE","OK")))</f>
        <v>OK</v>
      </c>
      <c r="K4819" s="6" t="str">
        <f aca="false">A4819&amp;"|"&amp;B4819&amp;"|"&amp;C4819&amp;"|"&amp;D4819</f>
        <v>7|4|Logan|spotify:track:0K9tfzrxJyCQIf7oAlPwaK</v>
      </c>
    </row>
    <row r="4820" customFormat="false" ht="15" hidden="false" customHeight="false" outlineLevel="0" collapsed="false">
      <c r="A4820" s="5" t="n">
        <v>7</v>
      </c>
      <c r="B4820" s="5" t="n">
        <v>4</v>
      </c>
      <c r="C4820" s="5" t="s">
        <v>128</v>
      </c>
      <c r="D4820" s="5" t="s">
        <v>2150</v>
      </c>
      <c r="E4820" s="5" t="n">
        <v>1</v>
      </c>
      <c r="F4820" s="6" t="n">
        <f aca="false">IFERROR(MATCH(A4820&amp;"|"&amp;B4820&amp;"|"&amp;D4820,'All Song Rankings'!$T:$T,0),0)</f>
        <v>720</v>
      </c>
      <c r="G4820" s="6" t="str">
        <f aca="false">IF(F4820=0,"NOT FOUND",INDEX('All Song Rankings'!$A:$A,F4820))</f>
        <v>Fool's Gold</v>
      </c>
      <c r="H4820" s="6" t="str">
        <f aca="false">IF(F4820=0,"NOT FOUND",INDEX('All Song Rankings'!$B:$B,F4820))</f>
        <v>One Direction</v>
      </c>
      <c r="I4820" s="6" t="str">
        <f aca="false">IF(F4820=0,"NOT FOUND",INDEX('All Song Rankings'!$D:$D,F4820))</f>
        <v>Colleen</v>
      </c>
      <c r="J4820" s="7" t="str">
        <f aca="false">IF(F4820=0,"NOT FOUND",IF(C4820=I4820,"SELF-VOTE",IF(COUNTIF($K:$K,K4820)&gt;1,"DUPLICATE","OK")))</f>
        <v>OK</v>
      </c>
      <c r="K4820" s="6" t="str">
        <f aca="false">A4820&amp;"|"&amp;B4820&amp;"|"&amp;C4820&amp;"|"&amp;D4820</f>
        <v>7|4|Logan|spotify:track:0L5gFNrzHyh4OhMwEz6DGS</v>
      </c>
    </row>
    <row r="4821" customFormat="false" ht="15" hidden="false" customHeight="false" outlineLevel="0" collapsed="false">
      <c r="A4821" s="5" t="n">
        <v>7</v>
      </c>
      <c r="B4821" s="5" t="n">
        <v>4</v>
      </c>
      <c r="C4821" s="5" t="s">
        <v>128</v>
      </c>
      <c r="D4821" s="5" t="s">
        <v>2169</v>
      </c>
      <c r="E4821" s="5" t="n">
        <v>1</v>
      </c>
      <c r="F4821" s="6" t="n">
        <f aca="false">IFERROR(MATCH(A4821&amp;"|"&amp;B4821&amp;"|"&amp;D4821,'All Song Rankings'!$T:$T,0),0)</f>
        <v>728</v>
      </c>
      <c r="G4821" s="6" t="str">
        <f aca="false">IF(F4821=0,"NOT FOUND",INDEX('All Song Rankings'!$A:$A,F4821))</f>
        <v>Perm</v>
      </c>
      <c r="H4821" s="6" t="str">
        <f aca="false">IF(F4821=0,"NOT FOUND",INDEX('All Song Rankings'!$B:$B,F4821))</f>
        <v>Bruno Mars</v>
      </c>
      <c r="I4821" s="6" t="str">
        <f aca="false">IF(F4821=0,"NOT FOUND",INDEX('All Song Rankings'!$D:$D,F4821))</f>
        <v>Josh</v>
      </c>
      <c r="J4821" s="7" t="str">
        <f aca="false">IF(F4821=0,"NOT FOUND",IF(C4821=I4821,"SELF-VOTE",IF(COUNTIF($K:$K,K4821)&gt;1,"DUPLICATE","OK")))</f>
        <v>OK</v>
      </c>
      <c r="K4821" s="6" t="str">
        <f aca="false">A4821&amp;"|"&amp;B4821&amp;"|"&amp;C4821&amp;"|"&amp;D4821</f>
        <v>7|4|Logan|spotify:track:1I6pKIyaBp4OebTGLJpCCC</v>
      </c>
    </row>
    <row r="4822" customFormat="false" ht="15" hidden="false" customHeight="false" outlineLevel="0" collapsed="false">
      <c r="A4822" s="5" t="n">
        <v>7</v>
      </c>
      <c r="B4822" s="5" t="n">
        <v>4</v>
      </c>
      <c r="C4822" s="5" t="s">
        <v>128</v>
      </c>
      <c r="D4822" s="5" t="s">
        <v>2173</v>
      </c>
      <c r="E4822" s="5" t="n">
        <v>1</v>
      </c>
      <c r="F4822" s="6" t="n">
        <f aca="false">IFERROR(MATCH(A4822&amp;"|"&amp;B4822&amp;"|"&amp;D4822,'All Song Rankings'!$T:$T,0),0)</f>
        <v>730</v>
      </c>
      <c r="G4822" s="6" t="str">
        <f aca="false">IF(F4822=0,"NOT FOUND",INDEX('All Song Rankings'!$A:$A,F4822))</f>
        <v>Fire Coming out of the Monkey's Head</v>
      </c>
      <c r="H4822" s="6" t="str">
        <f aca="false">IF(F4822=0,"NOT FOUND",INDEX('All Song Rankings'!$B:$B,F4822))</f>
        <v>Gorillaz</v>
      </c>
      <c r="I4822" s="6" t="str">
        <f aca="false">IF(F4822=0,"NOT FOUND",INDEX('All Song Rankings'!$D:$D,F4822))</f>
        <v>Matt</v>
      </c>
      <c r="J4822" s="7" t="str">
        <f aca="false">IF(F4822=0,"NOT FOUND",IF(C4822=I4822,"SELF-VOTE",IF(COUNTIF($K:$K,K4822)&gt;1,"DUPLICATE","OK")))</f>
        <v>OK</v>
      </c>
      <c r="K4822" s="6" t="str">
        <f aca="false">A4822&amp;"|"&amp;B4822&amp;"|"&amp;C4822&amp;"|"&amp;D4822</f>
        <v>7|4|Logan|spotify:track:1S9tfxdFr4TqoqA14gnKj3</v>
      </c>
    </row>
    <row r="4823" customFormat="false" ht="15" hidden="false" customHeight="false" outlineLevel="0" collapsed="false">
      <c r="A4823" s="5" t="n">
        <v>7</v>
      </c>
      <c r="B4823" s="5" t="n">
        <v>4</v>
      </c>
      <c r="C4823" s="5" t="s">
        <v>128</v>
      </c>
      <c r="D4823" s="5" t="s">
        <v>2153</v>
      </c>
      <c r="E4823" s="5" t="n">
        <v>1</v>
      </c>
      <c r="F4823" s="6" t="n">
        <f aca="false">IFERROR(MATCH(A4823&amp;"|"&amp;B4823&amp;"|"&amp;D4823,'All Song Rankings'!$T:$T,0),0)</f>
        <v>721</v>
      </c>
      <c r="G4823" s="6" t="str">
        <f aca="false">IF(F4823=0,"NOT FOUND",INDEX('All Song Rankings'!$A:$A,F4823))</f>
        <v>Sleeping Angel (From Fast Times at Ridgemont High)</v>
      </c>
      <c r="H4823" s="6" t="str">
        <f aca="false">IF(F4823=0,"NOT FOUND",INDEX('All Song Rankings'!$B:$B,F4823))</f>
        <v>Stevie Nicks</v>
      </c>
      <c r="I4823" s="6" t="str">
        <f aca="false">IF(F4823=0,"NOT FOUND",INDEX('All Song Rankings'!$D:$D,F4823))</f>
        <v>Christine</v>
      </c>
      <c r="J4823" s="7" t="str">
        <f aca="false">IF(F4823=0,"NOT FOUND",IF(C4823=I4823,"SELF-VOTE",IF(COUNTIF($K:$K,K4823)&gt;1,"DUPLICATE","OK")))</f>
        <v>OK</v>
      </c>
      <c r="K4823" s="6" t="str">
        <f aca="false">A4823&amp;"|"&amp;B4823&amp;"|"&amp;C4823&amp;"|"&amp;D4823</f>
        <v>7|4|Logan|spotify:track:35I5lX6yE00YSu7PEgES54</v>
      </c>
    </row>
    <row r="4824" customFormat="false" ht="15" hidden="false" customHeight="false" outlineLevel="0" collapsed="false">
      <c r="A4824" s="5" t="n">
        <v>7</v>
      </c>
      <c r="B4824" s="5" t="n">
        <v>4</v>
      </c>
      <c r="C4824" s="5" t="s">
        <v>128</v>
      </c>
      <c r="D4824" s="5" t="s">
        <v>2157</v>
      </c>
      <c r="E4824" s="5" t="n">
        <v>1</v>
      </c>
      <c r="F4824" s="6" t="n">
        <f aca="false">IFERROR(MATCH(A4824&amp;"|"&amp;B4824&amp;"|"&amp;D4824,'All Song Rankings'!$T:$T,0),0)</f>
        <v>723</v>
      </c>
      <c r="G4824" s="6" t="str">
        <f aca="false">IF(F4824=0,"NOT FOUND",INDEX('All Song Rankings'!$A:$A,F4824))</f>
        <v>Yellow Ledbetter</v>
      </c>
      <c r="H4824" s="6" t="str">
        <f aca="false">IF(F4824=0,"NOT FOUND",INDEX('All Song Rankings'!$B:$B,F4824))</f>
        <v>Pearl Jam</v>
      </c>
      <c r="I4824" s="6" t="str">
        <f aca="false">IF(F4824=0,"NOT FOUND",INDEX('All Song Rankings'!$D:$D,F4824))</f>
        <v>Lisa</v>
      </c>
      <c r="J4824" s="7" t="str">
        <f aca="false">IF(F4824=0,"NOT FOUND",IF(C4824=I4824,"SELF-VOTE",IF(COUNTIF($K:$K,K4824)&gt;1,"DUPLICATE","OK")))</f>
        <v>OK</v>
      </c>
      <c r="K4824" s="6" t="str">
        <f aca="false">A4824&amp;"|"&amp;B4824&amp;"|"&amp;C4824&amp;"|"&amp;D4824</f>
        <v>7|4|Logan|spotify:track:3bE5slaVEfaDreqARl6k4M</v>
      </c>
    </row>
    <row r="4825" customFormat="false" ht="15" hidden="false" customHeight="false" outlineLevel="0" collapsed="false">
      <c r="A4825" s="5" t="n">
        <v>7</v>
      </c>
      <c r="B4825" s="5" t="n">
        <v>4</v>
      </c>
      <c r="C4825" s="5" t="s">
        <v>128</v>
      </c>
      <c r="D4825" s="5" t="s">
        <v>2170</v>
      </c>
      <c r="E4825" s="5" t="n">
        <v>1</v>
      </c>
      <c r="F4825" s="6" t="n">
        <f aca="false">IFERROR(MATCH(A4825&amp;"|"&amp;B4825&amp;"|"&amp;D4825,'All Song Rankings'!$T:$T,0),0)</f>
        <v>729</v>
      </c>
      <c r="G4825" s="6" t="str">
        <f aca="false">IF(F4825=0,"NOT FOUND",INDEX('All Song Rankings'!$A:$A,F4825))</f>
        <v>Bad Day</v>
      </c>
      <c r="H4825" s="6" t="str">
        <f aca="false">IF(F4825=0,"NOT FOUND",INDEX('All Song Rankings'!$B:$B,F4825))</f>
        <v>Justin Bieber</v>
      </c>
      <c r="I4825" s="6" t="str">
        <f aca="false">IF(F4825=0,"NOT FOUND",INDEX('All Song Rankings'!$D:$D,F4825))</f>
        <v>Merita</v>
      </c>
      <c r="J4825" s="7" t="str">
        <f aca="false">IF(F4825=0,"NOT FOUND",IF(C4825=I4825,"SELF-VOTE",IF(COUNTIF($K:$K,K4825)&gt;1,"DUPLICATE","OK")))</f>
        <v>OK</v>
      </c>
      <c r="K4825" s="6" t="str">
        <f aca="false">A4825&amp;"|"&amp;B4825&amp;"|"&amp;C4825&amp;"|"&amp;D4825</f>
        <v>7|4|Logan|spotify:track:4VAngYbLewVFpcLR9FpYfR</v>
      </c>
    </row>
    <row r="4826" customFormat="false" ht="15" hidden="false" customHeight="false" outlineLevel="0" collapsed="false">
      <c r="A4826" s="5" t="n">
        <v>7</v>
      </c>
      <c r="B4826" s="5" t="n">
        <v>4</v>
      </c>
      <c r="C4826" s="5" t="s">
        <v>128</v>
      </c>
      <c r="D4826" s="5" t="s">
        <v>2148</v>
      </c>
      <c r="E4826" s="5" t="n">
        <v>1</v>
      </c>
      <c r="F4826" s="6" t="n">
        <f aca="false">IFERROR(MATCH(A4826&amp;"|"&amp;B4826&amp;"|"&amp;D4826,'All Song Rankings'!$T:$T,0),0)</f>
        <v>719</v>
      </c>
      <c r="G4826" s="6" t="str">
        <f aca="false">IF(F4826=0,"NOT FOUND",INDEX('All Song Rankings'!$A:$A,F4826))</f>
        <v>Disloyal Order Of Water Buffaloes</v>
      </c>
      <c r="H4826" s="6" t="str">
        <f aca="false">IF(F4826=0,"NOT FOUND",INDEX('All Song Rankings'!$B:$B,F4826))</f>
        <v>Fall Out Boy</v>
      </c>
      <c r="I4826" s="6" t="str">
        <f aca="false">IF(F4826=0,"NOT FOUND",INDEX('All Song Rankings'!$D:$D,F4826))</f>
        <v>Kristen</v>
      </c>
      <c r="J4826" s="7" t="str">
        <f aca="false">IF(F4826=0,"NOT FOUND",IF(C4826=I4826,"SELF-VOTE",IF(COUNTIF($K:$K,K4826)&gt;1,"DUPLICATE","OK")))</f>
        <v>OK</v>
      </c>
      <c r="K4826" s="6" t="str">
        <f aca="false">A4826&amp;"|"&amp;B4826&amp;"|"&amp;C4826&amp;"|"&amp;D4826</f>
        <v>7|4|Logan|spotify:track:4qg2rXtE20scfPhGvG5tqq</v>
      </c>
    </row>
    <row r="4827" customFormat="false" ht="15" hidden="false" customHeight="false" outlineLevel="0" collapsed="false">
      <c r="A4827" s="5" t="n">
        <v>7</v>
      </c>
      <c r="B4827" s="5" t="n">
        <v>4</v>
      </c>
      <c r="C4827" s="5" t="s">
        <v>128</v>
      </c>
      <c r="D4827" s="5" t="s">
        <v>2175</v>
      </c>
      <c r="E4827" s="5" t="n">
        <v>1</v>
      </c>
      <c r="F4827" s="6" t="n">
        <f aca="false">IFERROR(MATCH(A4827&amp;"|"&amp;B4827&amp;"|"&amp;D4827,'All Song Rankings'!$T:$T,0),0)</f>
        <v>731</v>
      </c>
      <c r="G4827" s="6" t="str">
        <f aca="false">IF(F4827=0,"NOT FOUND",INDEX('All Song Rankings'!$A:$A,F4827))</f>
        <v>mars</v>
      </c>
      <c r="H4827" s="6" t="str">
        <f aca="false">IF(F4827=0,"NOT FOUND",INDEX('All Song Rankings'!$B:$B,F4827))</f>
        <v>YUNGBLUD</v>
      </c>
      <c r="I4827" s="6" t="str">
        <f aca="false">IF(F4827=0,"NOT FOUND",INDEX('All Song Rankings'!$D:$D,F4827))</f>
        <v>Scott</v>
      </c>
      <c r="J4827" s="7" t="str">
        <f aca="false">IF(F4827=0,"NOT FOUND",IF(C4827=I4827,"SELF-VOTE",IF(COUNTIF($K:$K,K4827)&gt;1,"DUPLICATE","OK")))</f>
        <v>OK</v>
      </c>
      <c r="K4827" s="6" t="str">
        <f aca="false">A4827&amp;"|"&amp;B4827&amp;"|"&amp;C4827&amp;"|"&amp;D4827</f>
        <v>7|4|Logan|spotify:track:6C6aknFp2XtjIq7xuvyfuY</v>
      </c>
    </row>
    <row r="4828" customFormat="false" ht="15" hidden="false" customHeight="false" outlineLevel="0" collapsed="false">
      <c r="A4828" s="5" t="n">
        <v>7</v>
      </c>
      <c r="B4828" s="5" t="n">
        <v>4</v>
      </c>
      <c r="C4828" s="5" t="s">
        <v>2019</v>
      </c>
      <c r="D4828" s="5" t="s">
        <v>2150</v>
      </c>
      <c r="E4828" s="5" t="n">
        <v>1</v>
      </c>
      <c r="F4828" s="6" t="n">
        <f aca="false">IFERROR(MATCH(A4828&amp;"|"&amp;B4828&amp;"|"&amp;D4828,'All Song Rankings'!$T:$T,0),0)</f>
        <v>720</v>
      </c>
      <c r="G4828" s="6" t="str">
        <f aca="false">IF(F4828=0,"NOT FOUND",INDEX('All Song Rankings'!$A:$A,F4828))</f>
        <v>Fool's Gold</v>
      </c>
      <c r="H4828" s="6" t="str">
        <f aca="false">IF(F4828=0,"NOT FOUND",INDEX('All Song Rankings'!$B:$B,F4828))</f>
        <v>One Direction</v>
      </c>
      <c r="I4828" s="6" t="str">
        <f aca="false">IF(F4828=0,"NOT FOUND",INDEX('All Song Rankings'!$D:$D,F4828))</f>
        <v>Colleen</v>
      </c>
      <c r="J4828" s="7" t="str">
        <f aca="false">IF(F4828=0,"NOT FOUND",IF(C4828=I4828,"SELF-VOTE",IF(COUNTIF($K:$K,K4828)&gt;1,"DUPLICATE","OK")))</f>
        <v>OK</v>
      </c>
      <c r="K4828" s="6" t="str">
        <f aca="false">A4828&amp;"|"&amp;B4828&amp;"|"&amp;C4828&amp;"|"&amp;D4828</f>
        <v>7|4|Lucia|spotify:track:0L5gFNrzHyh4OhMwEz6DGS</v>
      </c>
    </row>
    <row r="4829" customFormat="false" ht="15" hidden="false" customHeight="false" outlineLevel="0" collapsed="false">
      <c r="A4829" s="5" t="n">
        <v>7</v>
      </c>
      <c r="B4829" s="5" t="n">
        <v>4</v>
      </c>
      <c r="C4829" s="5" t="s">
        <v>2019</v>
      </c>
      <c r="D4829" s="5" t="s">
        <v>2167</v>
      </c>
      <c r="E4829" s="5" t="n">
        <v>2</v>
      </c>
      <c r="F4829" s="6" t="n">
        <f aca="false">IFERROR(MATCH(A4829&amp;"|"&amp;B4829&amp;"|"&amp;D4829,'All Song Rankings'!$T:$T,0),0)</f>
        <v>727</v>
      </c>
      <c r="G4829" s="6" t="str">
        <f aca="false">IF(F4829=0,"NOT FOUND",INDEX('All Song Rankings'!$A:$A,F4829))</f>
        <v>Steal My Love</v>
      </c>
      <c r="H4829" s="6" t="str">
        <f aca="false">IF(F4829=0,"NOT FOUND",INDEX('All Song Rankings'!$B:$B,F4829))</f>
        <v>Dan + Shay</v>
      </c>
      <c r="I4829" s="6" t="str">
        <f aca="false">IF(F4829=0,"NOT FOUND",INDEX('All Song Rankings'!$D:$D,F4829))</f>
        <v>Kelsey</v>
      </c>
      <c r="J4829" s="7" t="str">
        <f aca="false">IF(F4829=0,"NOT FOUND",IF(C4829=I4829,"SELF-VOTE",IF(COUNTIF($K:$K,K4829)&gt;1,"DUPLICATE","OK")))</f>
        <v>OK</v>
      </c>
      <c r="K4829" s="6" t="str">
        <f aca="false">A4829&amp;"|"&amp;B4829&amp;"|"&amp;C4829&amp;"|"&amp;D4829</f>
        <v>7|4|Lucia|spotify:track:0vzSAyinyA619ZbrOaAi04</v>
      </c>
    </row>
    <row r="4830" customFormat="false" ht="15" hidden="false" customHeight="false" outlineLevel="0" collapsed="false">
      <c r="A4830" s="5" t="n">
        <v>7</v>
      </c>
      <c r="B4830" s="5" t="n">
        <v>4</v>
      </c>
      <c r="C4830" s="5" t="s">
        <v>2019</v>
      </c>
      <c r="D4830" s="5" t="s">
        <v>2146</v>
      </c>
      <c r="E4830" s="5" t="n">
        <v>2</v>
      </c>
      <c r="F4830" s="6" t="n">
        <f aca="false">IFERROR(MATCH(A4830&amp;"|"&amp;B4830&amp;"|"&amp;D4830,'All Song Rankings'!$T:$T,0),0)</f>
        <v>718</v>
      </c>
      <c r="G4830" s="6" t="str">
        <f aca="false">IF(F4830=0,"NOT FOUND",INDEX('All Song Rankings'!$A:$A,F4830))</f>
        <v>All The Pretty Girls</v>
      </c>
      <c r="H4830" s="6" t="str">
        <f aca="false">IF(F4830=0,"NOT FOUND",INDEX('All Song Rankings'!$B:$B,F4830))</f>
        <v>fun.</v>
      </c>
      <c r="I4830" s="6" t="str">
        <f aca="false">IF(F4830=0,"NOT FOUND",INDEX('All Song Rankings'!$D:$D,F4830))</f>
        <v>Grace</v>
      </c>
      <c r="J4830" s="7" t="str">
        <f aca="false">IF(F4830=0,"NOT FOUND",IF(C4830=I4830,"SELF-VOTE",IF(COUNTIF($K:$K,K4830)&gt;1,"DUPLICATE","OK")))</f>
        <v>OK</v>
      </c>
      <c r="K4830" s="6" t="str">
        <f aca="false">A4830&amp;"|"&amp;B4830&amp;"|"&amp;C4830&amp;"|"&amp;D4830</f>
        <v>7|4|Lucia|spotify:track:2cHGWytemKJuckq2oLnAbZ</v>
      </c>
    </row>
    <row r="4831" customFormat="false" ht="15" hidden="false" customHeight="false" outlineLevel="0" collapsed="false">
      <c r="A4831" s="5" t="n">
        <v>7</v>
      </c>
      <c r="B4831" s="5" t="n">
        <v>4</v>
      </c>
      <c r="C4831" s="5" t="s">
        <v>2019</v>
      </c>
      <c r="D4831" s="5" t="s">
        <v>2153</v>
      </c>
      <c r="E4831" s="5" t="n">
        <v>1</v>
      </c>
      <c r="F4831" s="6" t="n">
        <f aca="false">IFERROR(MATCH(A4831&amp;"|"&amp;B4831&amp;"|"&amp;D4831,'All Song Rankings'!$T:$T,0),0)</f>
        <v>721</v>
      </c>
      <c r="G4831" s="6" t="str">
        <f aca="false">IF(F4831=0,"NOT FOUND",INDEX('All Song Rankings'!$A:$A,F4831))</f>
        <v>Sleeping Angel (From Fast Times at Ridgemont High)</v>
      </c>
      <c r="H4831" s="6" t="str">
        <f aca="false">IF(F4831=0,"NOT FOUND",INDEX('All Song Rankings'!$B:$B,F4831))</f>
        <v>Stevie Nicks</v>
      </c>
      <c r="I4831" s="6" t="str">
        <f aca="false">IF(F4831=0,"NOT FOUND",INDEX('All Song Rankings'!$D:$D,F4831))</f>
        <v>Christine</v>
      </c>
      <c r="J4831" s="7" t="str">
        <f aca="false">IF(F4831=0,"NOT FOUND",IF(C4831=I4831,"SELF-VOTE",IF(COUNTIF($K:$K,K4831)&gt;1,"DUPLICATE","OK")))</f>
        <v>OK</v>
      </c>
      <c r="K4831" s="6" t="str">
        <f aca="false">A4831&amp;"|"&amp;B4831&amp;"|"&amp;C4831&amp;"|"&amp;D4831</f>
        <v>7|4|Lucia|spotify:track:35I5lX6yE00YSu7PEgES54</v>
      </c>
    </row>
    <row r="4832" customFormat="false" ht="15" hidden="false" customHeight="false" outlineLevel="0" collapsed="false">
      <c r="A4832" s="5" t="n">
        <v>7</v>
      </c>
      <c r="B4832" s="5" t="n">
        <v>4</v>
      </c>
      <c r="C4832" s="5" t="s">
        <v>2019</v>
      </c>
      <c r="D4832" s="5" t="s">
        <v>2178</v>
      </c>
      <c r="E4832" s="5" t="n">
        <v>2</v>
      </c>
      <c r="F4832" s="6" t="n">
        <f aca="false">IFERROR(MATCH(A4832&amp;"|"&amp;B4832&amp;"|"&amp;D4832,'All Song Rankings'!$T:$T,0),0)</f>
        <v>732</v>
      </c>
      <c r="G4832" s="6" t="str">
        <f aca="false">IF(F4832=0,"NOT FOUND",INDEX('All Song Rankings'!$A:$A,F4832))</f>
        <v>Creature</v>
      </c>
      <c r="H4832" s="6" t="str">
        <f aca="false">IF(F4832=0,"NOT FOUND",INDEX('All Song Rankings'!$B:$B,F4832))</f>
        <v>Jelly Roll, Tech N9ne, Krizz Kaliko</v>
      </c>
      <c r="I4832" s="6" t="str">
        <f aca="false">IF(F4832=0,"NOT FOUND",INDEX('All Song Rankings'!$D:$D,F4832))</f>
        <v>Leah</v>
      </c>
      <c r="J4832" s="7" t="str">
        <f aca="false">IF(F4832=0,"NOT FOUND",IF(C4832=I4832,"SELF-VOTE",IF(COUNTIF($K:$K,K4832)&gt;1,"DUPLICATE","OK")))</f>
        <v>OK</v>
      </c>
      <c r="K4832" s="6" t="str">
        <f aca="false">A4832&amp;"|"&amp;B4832&amp;"|"&amp;C4832&amp;"|"&amp;D4832</f>
        <v>7|4|Lucia|spotify:track:5yqKUU2DUyilP2TvOrjEzT</v>
      </c>
    </row>
    <row r="4833" customFormat="false" ht="15" hidden="false" customHeight="false" outlineLevel="0" collapsed="false">
      <c r="A4833" s="5" t="n">
        <v>7</v>
      </c>
      <c r="B4833" s="5" t="n">
        <v>4</v>
      </c>
      <c r="C4833" s="5" t="s">
        <v>2019</v>
      </c>
      <c r="D4833" s="5" t="s">
        <v>2175</v>
      </c>
      <c r="E4833" s="5" t="n">
        <v>2</v>
      </c>
      <c r="F4833" s="6" t="n">
        <f aca="false">IFERROR(MATCH(A4833&amp;"|"&amp;B4833&amp;"|"&amp;D4833,'All Song Rankings'!$T:$T,0),0)</f>
        <v>731</v>
      </c>
      <c r="G4833" s="6" t="str">
        <f aca="false">IF(F4833=0,"NOT FOUND",INDEX('All Song Rankings'!$A:$A,F4833))</f>
        <v>mars</v>
      </c>
      <c r="H4833" s="6" t="str">
        <f aca="false">IF(F4833=0,"NOT FOUND",INDEX('All Song Rankings'!$B:$B,F4833))</f>
        <v>YUNGBLUD</v>
      </c>
      <c r="I4833" s="6" t="str">
        <f aca="false">IF(F4833=0,"NOT FOUND",INDEX('All Song Rankings'!$D:$D,F4833))</f>
        <v>Scott</v>
      </c>
      <c r="J4833" s="7" t="str">
        <f aca="false">IF(F4833=0,"NOT FOUND",IF(C4833=I4833,"SELF-VOTE",IF(COUNTIF($K:$K,K4833)&gt;1,"DUPLICATE","OK")))</f>
        <v>OK</v>
      </c>
      <c r="K4833" s="6" t="str">
        <f aca="false">A4833&amp;"|"&amp;B4833&amp;"|"&amp;C4833&amp;"|"&amp;D4833</f>
        <v>7|4|Lucia|spotify:track:6C6aknFp2XtjIq7xuvyfuY</v>
      </c>
    </row>
    <row r="4834" customFormat="false" ht="15" hidden="false" customHeight="false" outlineLevel="0" collapsed="false">
      <c r="A4834" s="5" t="n">
        <v>7</v>
      </c>
      <c r="B4834" s="5" t="n">
        <v>4</v>
      </c>
      <c r="C4834" s="5" t="s">
        <v>116</v>
      </c>
      <c r="D4834" s="5" t="s">
        <v>2162</v>
      </c>
      <c r="E4834" s="5" t="n">
        <v>1</v>
      </c>
      <c r="F4834" s="6" t="n">
        <f aca="false">IFERROR(MATCH(A4834&amp;"|"&amp;B4834&amp;"|"&amp;D4834,'All Song Rankings'!$T:$T,0),0)</f>
        <v>725</v>
      </c>
      <c r="G4834" s="6" t="str">
        <f aca="false">IF(F4834=0,"NOT FOUND",INDEX('All Song Rankings'!$A:$A,F4834))</f>
        <v>Not Strong Enough</v>
      </c>
      <c r="H4834" s="6" t="str">
        <f aca="false">IF(F4834=0,"NOT FOUND",INDEX('All Song Rankings'!$B:$B,F4834))</f>
        <v>boygenius, Julien Baker, Phoebe Bridgers, Lucy Dacus</v>
      </c>
      <c r="I4834" s="6" t="str">
        <f aca="false">IF(F4834=0,"NOT FOUND",INDEX('All Song Rankings'!$D:$D,F4834))</f>
        <v>Sara</v>
      </c>
      <c r="J4834" s="7" t="str">
        <f aca="false">IF(F4834=0,"NOT FOUND",IF(C4834=I4834,"SELF-VOTE",IF(COUNTIF($K:$K,K4834)&gt;1,"DUPLICATE","OK")))</f>
        <v>OK</v>
      </c>
      <c r="K4834" s="6" t="str">
        <f aca="false">A4834&amp;"|"&amp;B4834&amp;"|"&amp;C4834&amp;"|"&amp;D4834</f>
        <v>7|4|Matt|spotify:track:09DR0sHnQUhHOiSNttc1mv</v>
      </c>
    </row>
    <row r="4835" customFormat="false" ht="15" hidden="false" customHeight="false" outlineLevel="0" collapsed="false">
      <c r="A4835" s="5" t="n">
        <v>7</v>
      </c>
      <c r="B4835" s="5" t="n">
        <v>4</v>
      </c>
      <c r="C4835" s="5" t="s">
        <v>116</v>
      </c>
      <c r="D4835" s="5" t="s">
        <v>2159</v>
      </c>
      <c r="E4835" s="5" t="n">
        <v>1</v>
      </c>
      <c r="F4835" s="6" t="n">
        <f aca="false">IFERROR(MATCH(A4835&amp;"|"&amp;B4835&amp;"|"&amp;D4835,'All Song Rankings'!$T:$T,0),0)</f>
        <v>724</v>
      </c>
      <c r="G4835" s="6" t="str">
        <f aca="false">IF(F4835=0,"NOT FOUND",INDEX('All Song Rankings'!$A:$A,F4835))</f>
        <v>YA YA</v>
      </c>
      <c r="H4835" s="6" t="str">
        <f aca="false">IF(F4835=0,"NOT FOUND",INDEX('All Song Rankings'!$B:$B,F4835))</f>
        <v>Beyoncé</v>
      </c>
      <c r="I4835" s="6" t="str">
        <f aca="false">IF(F4835=0,"NOT FOUND",INDEX('All Song Rankings'!$D:$D,F4835))</f>
        <v>Stephanie</v>
      </c>
      <c r="J4835" s="7" t="str">
        <f aca="false">IF(F4835=0,"NOT FOUND",IF(C4835=I4835,"SELF-VOTE",IF(COUNTIF($K:$K,K4835)&gt;1,"DUPLICATE","OK")))</f>
        <v>OK</v>
      </c>
      <c r="K4835" s="6" t="str">
        <f aca="false">A4835&amp;"|"&amp;B4835&amp;"|"&amp;C4835&amp;"|"&amp;D4835</f>
        <v>7|4|Matt|spotify:track:0K9tfzrxJyCQIf7oAlPwaK</v>
      </c>
    </row>
    <row r="4836" customFormat="false" ht="15" hidden="false" customHeight="false" outlineLevel="0" collapsed="false">
      <c r="A4836" s="5" t="n">
        <v>7</v>
      </c>
      <c r="B4836" s="5" t="n">
        <v>4</v>
      </c>
      <c r="C4836" s="5" t="s">
        <v>116</v>
      </c>
      <c r="D4836" s="5" t="s">
        <v>2164</v>
      </c>
      <c r="E4836" s="5" t="n">
        <v>1</v>
      </c>
      <c r="F4836" s="6" t="n">
        <f aca="false">IFERROR(MATCH(A4836&amp;"|"&amp;B4836&amp;"|"&amp;D4836,'All Song Rankings'!$T:$T,0),0)</f>
        <v>726</v>
      </c>
      <c r="G4836" s="6" t="str">
        <f aca="false">IF(F4836=0,"NOT FOUND",INDEX('All Song Rankings'!$A:$A,F4836))</f>
        <v>Poison</v>
      </c>
      <c r="H4836" s="6" t="str">
        <f aca="false">IF(F4836=0,"NOT FOUND",INDEX('All Song Rankings'!$B:$B,F4836))</f>
        <v>Beyoncé</v>
      </c>
      <c r="I4836" s="6" t="str">
        <f aca="false">IF(F4836=0,"NOT FOUND",INDEX('All Song Rankings'!$D:$D,F4836))</f>
        <v>Logan</v>
      </c>
      <c r="J4836" s="7" t="str">
        <f aca="false">IF(F4836=0,"NOT FOUND",IF(C4836=I4836,"SELF-VOTE",IF(COUNTIF($K:$K,K4836)&gt;1,"DUPLICATE","OK")))</f>
        <v>OK</v>
      </c>
      <c r="K4836" s="6" t="str">
        <f aca="false">A4836&amp;"|"&amp;B4836&amp;"|"&amp;C4836&amp;"|"&amp;D4836</f>
        <v>7|4|Matt|spotify:track:0yGlYMCTNE1aKRd5YAXEdg</v>
      </c>
    </row>
    <row r="4837" customFormat="false" ht="15" hidden="false" customHeight="false" outlineLevel="0" collapsed="false">
      <c r="A4837" s="5" t="n">
        <v>7</v>
      </c>
      <c r="B4837" s="5" t="n">
        <v>4</v>
      </c>
      <c r="C4837" s="5" t="s">
        <v>116</v>
      </c>
      <c r="D4837" s="5" t="s">
        <v>2169</v>
      </c>
      <c r="E4837" s="5" t="n">
        <v>1</v>
      </c>
      <c r="F4837" s="6" t="n">
        <f aca="false">IFERROR(MATCH(A4837&amp;"|"&amp;B4837&amp;"|"&amp;D4837,'All Song Rankings'!$T:$T,0),0)</f>
        <v>728</v>
      </c>
      <c r="G4837" s="6" t="str">
        <f aca="false">IF(F4837=0,"NOT FOUND",INDEX('All Song Rankings'!$A:$A,F4837))</f>
        <v>Perm</v>
      </c>
      <c r="H4837" s="6" t="str">
        <f aca="false">IF(F4837=0,"NOT FOUND",INDEX('All Song Rankings'!$B:$B,F4837))</f>
        <v>Bruno Mars</v>
      </c>
      <c r="I4837" s="6" t="str">
        <f aca="false">IF(F4837=0,"NOT FOUND",INDEX('All Song Rankings'!$D:$D,F4837))</f>
        <v>Josh</v>
      </c>
      <c r="J4837" s="7" t="str">
        <f aca="false">IF(F4837=0,"NOT FOUND",IF(C4837=I4837,"SELF-VOTE",IF(COUNTIF($K:$K,K4837)&gt;1,"DUPLICATE","OK")))</f>
        <v>OK</v>
      </c>
      <c r="K4837" s="6" t="str">
        <f aca="false">A4837&amp;"|"&amp;B4837&amp;"|"&amp;C4837&amp;"|"&amp;D4837</f>
        <v>7|4|Matt|spotify:track:1I6pKIyaBp4OebTGLJpCCC</v>
      </c>
    </row>
    <row r="4838" customFormat="false" ht="15" hidden="false" customHeight="false" outlineLevel="0" collapsed="false">
      <c r="A4838" s="5" t="n">
        <v>7</v>
      </c>
      <c r="B4838" s="5" t="n">
        <v>4</v>
      </c>
      <c r="C4838" s="5" t="s">
        <v>116</v>
      </c>
      <c r="D4838" s="5" t="s">
        <v>2146</v>
      </c>
      <c r="E4838" s="5" t="n">
        <v>1</v>
      </c>
      <c r="F4838" s="6" t="n">
        <f aca="false">IFERROR(MATCH(A4838&amp;"|"&amp;B4838&amp;"|"&amp;D4838,'All Song Rankings'!$T:$T,0),0)</f>
        <v>718</v>
      </c>
      <c r="G4838" s="6" t="str">
        <f aca="false">IF(F4838=0,"NOT FOUND",INDEX('All Song Rankings'!$A:$A,F4838))</f>
        <v>All The Pretty Girls</v>
      </c>
      <c r="H4838" s="6" t="str">
        <f aca="false">IF(F4838=0,"NOT FOUND",INDEX('All Song Rankings'!$B:$B,F4838))</f>
        <v>fun.</v>
      </c>
      <c r="I4838" s="6" t="str">
        <f aca="false">IF(F4838=0,"NOT FOUND",INDEX('All Song Rankings'!$D:$D,F4838))</f>
        <v>Grace</v>
      </c>
      <c r="J4838" s="7" t="str">
        <f aca="false">IF(F4838=0,"NOT FOUND",IF(C4838=I4838,"SELF-VOTE",IF(COUNTIF($K:$K,K4838)&gt;1,"DUPLICATE","OK")))</f>
        <v>OK</v>
      </c>
      <c r="K4838" s="6" t="str">
        <f aca="false">A4838&amp;"|"&amp;B4838&amp;"|"&amp;C4838&amp;"|"&amp;D4838</f>
        <v>7|4|Matt|spotify:track:2cHGWytemKJuckq2oLnAbZ</v>
      </c>
    </row>
    <row r="4839" customFormat="false" ht="15" hidden="false" customHeight="false" outlineLevel="0" collapsed="false">
      <c r="A4839" s="5" t="n">
        <v>7</v>
      </c>
      <c r="B4839" s="5" t="n">
        <v>4</v>
      </c>
      <c r="C4839" s="5" t="s">
        <v>116</v>
      </c>
      <c r="D4839" s="5" t="s">
        <v>2153</v>
      </c>
      <c r="E4839" s="5" t="n">
        <v>1</v>
      </c>
      <c r="F4839" s="6" t="n">
        <f aca="false">IFERROR(MATCH(A4839&amp;"|"&amp;B4839&amp;"|"&amp;D4839,'All Song Rankings'!$T:$T,0),0)</f>
        <v>721</v>
      </c>
      <c r="G4839" s="6" t="str">
        <f aca="false">IF(F4839=0,"NOT FOUND",INDEX('All Song Rankings'!$A:$A,F4839))</f>
        <v>Sleeping Angel (From Fast Times at Ridgemont High)</v>
      </c>
      <c r="H4839" s="6" t="str">
        <f aca="false">IF(F4839=0,"NOT FOUND",INDEX('All Song Rankings'!$B:$B,F4839))</f>
        <v>Stevie Nicks</v>
      </c>
      <c r="I4839" s="6" t="str">
        <f aca="false">IF(F4839=0,"NOT FOUND",INDEX('All Song Rankings'!$D:$D,F4839))</f>
        <v>Christine</v>
      </c>
      <c r="J4839" s="7" t="str">
        <f aca="false">IF(F4839=0,"NOT FOUND",IF(C4839=I4839,"SELF-VOTE",IF(COUNTIF($K:$K,K4839)&gt;1,"DUPLICATE","OK")))</f>
        <v>OK</v>
      </c>
      <c r="K4839" s="6" t="str">
        <f aca="false">A4839&amp;"|"&amp;B4839&amp;"|"&amp;C4839&amp;"|"&amp;D4839</f>
        <v>7|4|Matt|spotify:track:35I5lX6yE00YSu7PEgES54</v>
      </c>
    </row>
    <row r="4840" customFormat="false" ht="15" hidden="false" customHeight="false" outlineLevel="0" collapsed="false">
      <c r="A4840" s="5" t="n">
        <v>7</v>
      </c>
      <c r="B4840" s="5" t="n">
        <v>4</v>
      </c>
      <c r="C4840" s="5" t="s">
        <v>116</v>
      </c>
      <c r="D4840" s="5" t="s">
        <v>2157</v>
      </c>
      <c r="E4840" s="5" t="n">
        <v>1</v>
      </c>
      <c r="F4840" s="6" t="n">
        <f aca="false">IFERROR(MATCH(A4840&amp;"|"&amp;B4840&amp;"|"&amp;D4840,'All Song Rankings'!$T:$T,0),0)</f>
        <v>723</v>
      </c>
      <c r="G4840" s="6" t="str">
        <f aca="false">IF(F4840=0,"NOT FOUND",INDEX('All Song Rankings'!$A:$A,F4840))</f>
        <v>Yellow Ledbetter</v>
      </c>
      <c r="H4840" s="6" t="str">
        <f aca="false">IF(F4840=0,"NOT FOUND",INDEX('All Song Rankings'!$B:$B,F4840))</f>
        <v>Pearl Jam</v>
      </c>
      <c r="I4840" s="6" t="str">
        <f aca="false">IF(F4840=0,"NOT FOUND",INDEX('All Song Rankings'!$D:$D,F4840))</f>
        <v>Lisa</v>
      </c>
      <c r="J4840" s="7" t="str">
        <f aca="false">IF(F4840=0,"NOT FOUND",IF(C4840=I4840,"SELF-VOTE",IF(COUNTIF($K:$K,K4840)&gt;1,"DUPLICATE","OK")))</f>
        <v>OK</v>
      </c>
      <c r="K4840" s="6" t="str">
        <f aca="false">A4840&amp;"|"&amp;B4840&amp;"|"&amp;C4840&amp;"|"&amp;D4840</f>
        <v>7|4|Matt|spotify:track:3bE5slaVEfaDreqARl6k4M</v>
      </c>
    </row>
    <row r="4841" customFormat="false" ht="15" hidden="false" customHeight="false" outlineLevel="0" collapsed="false">
      <c r="A4841" s="5" t="n">
        <v>7</v>
      </c>
      <c r="B4841" s="5" t="n">
        <v>4</v>
      </c>
      <c r="C4841" s="5" t="s">
        <v>116</v>
      </c>
      <c r="D4841" s="5" t="s">
        <v>2148</v>
      </c>
      <c r="E4841" s="5" t="n">
        <v>1</v>
      </c>
      <c r="F4841" s="6" t="n">
        <f aca="false">IFERROR(MATCH(A4841&amp;"|"&amp;B4841&amp;"|"&amp;D4841,'All Song Rankings'!$T:$T,0),0)</f>
        <v>719</v>
      </c>
      <c r="G4841" s="6" t="str">
        <f aca="false">IF(F4841=0,"NOT FOUND",INDEX('All Song Rankings'!$A:$A,F4841))</f>
        <v>Disloyal Order Of Water Buffaloes</v>
      </c>
      <c r="H4841" s="6" t="str">
        <f aca="false">IF(F4841=0,"NOT FOUND",INDEX('All Song Rankings'!$B:$B,F4841))</f>
        <v>Fall Out Boy</v>
      </c>
      <c r="I4841" s="6" t="str">
        <f aca="false">IF(F4841=0,"NOT FOUND",INDEX('All Song Rankings'!$D:$D,F4841))</f>
        <v>Kristen</v>
      </c>
      <c r="J4841" s="7" t="str">
        <f aca="false">IF(F4841=0,"NOT FOUND",IF(C4841=I4841,"SELF-VOTE",IF(COUNTIF($K:$K,K4841)&gt;1,"DUPLICATE","OK")))</f>
        <v>OK</v>
      </c>
      <c r="K4841" s="6" t="str">
        <f aca="false">A4841&amp;"|"&amp;B4841&amp;"|"&amp;C4841&amp;"|"&amp;D4841</f>
        <v>7|4|Matt|spotify:track:4qg2rXtE20scfPhGvG5tqq</v>
      </c>
    </row>
    <row r="4842" customFormat="false" ht="15" hidden="false" customHeight="false" outlineLevel="0" collapsed="false">
      <c r="A4842" s="5" t="n">
        <v>7</v>
      </c>
      <c r="B4842" s="5" t="n">
        <v>4</v>
      </c>
      <c r="C4842" s="5" t="s">
        <v>116</v>
      </c>
      <c r="D4842" s="5" t="s">
        <v>2178</v>
      </c>
      <c r="E4842" s="5" t="n">
        <v>1</v>
      </c>
      <c r="F4842" s="6" t="n">
        <f aca="false">IFERROR(MATCH(A4842&amp;"|"&amp;B4842&amp;"|"&amp;D4842,'All Song Rankings'!$T:$T,0),0)</f>
        <v>732</v>
      </c>
      <c r="G4842" s="6" t="str">
        <f aca="false">IF(F4842=0,"NOT FOUND",INDEX('All Song Rankings'!$A:$A,F4842))</f>
        <v>Creature</v>
      </c>
      <c r="H4842" s="6" t="str">
        <f aca="false">IF(F4842=0,"NOT FOUND",INDEX('All Song Rankings'!$B:$B,F4842))</f>
        <v>Jelly Roll, Tech N9ne, Krizz Kaliko</v>
      </c>
      <c r="I4842" s="6" t="str">
        <f aca="false">IF(F4842=0,"NOT FOUND",INDEX('All Song Rankings'!$D:$D,F4842))</f>
        <v>Leah</v>
      </c>
      <c r="J4842" s="7" t="str">
        <f aca="false">IF(F4842=0,"NOT FOUND",IF(C4842=I4842,"SELF-VOTE",IF(COUNTIF($K:$K,K4842)&gt;1,"DUPLICATE","OK")))</f>
        <v>OK</v>
      </c>
      <c r="K4842" s="6" t="str">
        <f aca="false">A4842&amp;"|"&amp;B4842&amp;"|"&amp;C4842&amp;"|"&amp;D4842</f>
        <v>7|4|Matt|spotify:track:5yqKUU2DUyilP2TvOrjEzT</v>
      </c>
    </row>
    <row r="4843" customFormat="false" ht="15" hidden="false" customHeight="false" outlineLevel="0" collapsed="false">
      <c r="A4843" s="5" t="n">
        <v>7</v>
      </c>
      <c r="B4843" s="5" t="n">
        <v>4</v>
      </c>
      <c r="C4843" s="5" t="s">
        <v>116</v>
      </c>
      <c r="D4843" s="5" t="s">
        <v>2175</v>
      </c>
      <c r="E4843" s="5" t="n">
        <v>1</v>
      </c>
      <c r="F4843" s="6" t="n">
        <f aca="false">IFERROR(MATCH(A4843&amp;"|"&amp;B4843&amp;"|"&amp;D4843,'All Song Rankings'!$T:$T,0),0)</f>
        <v>731</v>
      </c>
      <c r="G4843" s="6" t="str">
        <f aca="false">IF(F4843=0,"NOT FOUND",INDEX('All Song Rankings'!$A:$A,F4843))</f>
        <v>mars</v>
      </c>
      <c r="H4843" s="6" t="str">
        <f aca="false">IF(F4843=0,"NOT FOUND",INDEX('All Song Rankings'!$B:$B,F4843))</f>
        <v>YUNGBLUD</v>
      </c>
      <c r="I4843" s="6" t="str">
        <f aca="false">IF(F4843=0,"NOT FOUND",INDEX('All Song Rankings'!$D:$D,F4843))</f>
        <v>Scott</v>
      </c>
      <c r="J4843" s="7" t="str">
        <f aca="false">IF(F4843=0,"NOT FOUND",IF(C4843=I4843,"SELF-VOTE",IF(COUNTIF($K:$K,K4843)&gt;1,"DUPLICATE","OK")))</f>
        <v>OK</v>
      </c>
      <c r="K4843" s="6" t="str">
        <f aca="false">A4843&amp;"|"&amp;B4843&amp;"|"&amp;C4843&amp;"|"&amp;D4843</f>
        <v>7|4|Matt|spotify:track:6C6aknFp2XtjIq7xuvyfuY</v>
      </c>
    </row>
    <row r="4844" customFormat="false" ht="15" hidden="false" customHeight="false" outlineLevel="0" collapsed="false">
      <c r="A4844" s="5" t="n">
        <v>7</v>
      </c>
      <c r="B4844" s="5" t="n">
        <v>4</v>
      </c>
      <c r="C4844" s="5" t="s">
        <v>101</v>
      </c>
      <c r="D4844" s="5" t="s">
        <v>2162</v>
      </c>
      <c r="E4844" s="5" t="n">
        <v>2</v>
      </c>
      <c r="F4844" s="6" t="n">
        <f aca="false">IFERROR(MATCH(A4844&amp;"|"&amp;B4844&amp;"|"&amp;D4844,'All Song Rankings'!$T:$T,0),0)</f>
        <v>725</v>
      </c>
      <c r="G4844" s="6" t="str">
        <f aca="false">IF(F4844=0,"NOT FOUND",INDEX('All Song Rankings'!$A:$A,F4844))</f>
        <v>Not Strong Enough</v>
      </c>
      <c r="H4844" s="6" t="str">
        <f aca="false">IF(F4844=0,"NOT FOUND",INDEX('All Song Rankings'!$B:$B,F4844))</f>
        <v>boygenius, Julien Baker, Phoebe Bridgers, Lucy Dacus</v>
      </c>
      <c r="I4844" s="6" t="str">
        <f aca="false">IF(F4844=0,"NOT FOUND",INDEX('All Song Rankings'!$D:$D,F4844))</f>
        <v>Sara</v>
      </c>
      <c r="J4844" s="7" t="str">
        <f aca="false">IF(F4844=0,"NOT FOUND",IF(C4844=I4844,"SELF-VOTE",IF(COUNTIF($K:$K,K4844)&gt;1,"DUPLICATE","OK")))</f>
        <v>OK</v>
      </c>
      <c r="K4844" s="6" t="str">
        <f aca="false">A4844&amp;"|"&amp;B4844&amp;"|"&amp;C4844&amp;"|"&amp;D4844</f>
        <v>7|4|Merita|spotify:track:09DR0sHnQUhHOiSNttc1mv</v>
      </c>
    </row>
    <row r="4845" customFormat="false" ht="15" hidden="false" customHeight="false" outlineLevel="0" collapsed="false">
      <c r="A4845" s="5" t="n">
        <v>7</v>
      </c>
      <c r="B4845" s="5" t="n">
        <v>4</v>
      </c>
      <c r="C4845" s="5" t="s">
        <v>101</v>
      </c>
      <c r="D4845" s="5" t="s">
        <v>2167</v>
      </c>
      <c r="E4845" s="5" t="n">
        <v>1</v>
      </c>
      <c r="F4845" s="6" t="n">
        <f aca="false">IFERROR(MATCH(A4845&amp;"|"&amp;B4845&amp;"|"&amp;D4845,'All Song Rankings'!$T:$T,0),0)</f>
        <v>727</v>
      </c>
      <c r="G4845" s="6" t="str">
        <f aca="false">IF(F4845=0,"NOT FOUND",INDEX('All Song Rankings'!$A:$A,F4845))</f>
        <v>Steal My Love</v>
      </c>
      <c r="H4845" s="6" t="str">
        <f aca="false">IF(F4845=0,"NOT FOUND",INDEX('All Song Rankings'!$B:$B,F4845))</f>
        <v>Dan + Shay</v>
      </c>
      <c r="I4845" s="6" t="str">
        <f aca="false">IF(F4845=0,"NOT FOUND",INDEX('All Song Rankings'!$D:$D,F4845))</f>
        <v>Kelsey</v>
      </c>
      <c r="J4845" s="7" t="str">
        <f aca="false">IF(F4845=0,"NOT FOUND",IF(C4845=I4845,"SELF-VOTE",IF(COUNTIF($K:$K,K4845)&gt;1,"DUPLICATE","OK")))</f>
        <v>OK</v>
      </c>
      <c r="K4845" s="6" t="str">
        <f aca="false">A4845&amp;"|"&amp;B4845&amp;"|"&amp;C4845&amp;"|"&amp;D4845</f>
        <v>7|4|Merita|spotify:track:0vzSAyinyA619ZbrOaAi04</v>
      </c>
    </row>
    <row r="4846" customFormat="false" ht="15" hidden="false" customHeight="false" outlineLevel="0" collapsed="false">
      <c r="A4846" s="5" t="n">
        <v>7</v>
      </c>
      <c r="B4846" s="5" t="n">
        <v>4</v>
      </c>
      <c r="C4846" s="5" t="s">
        <v>101</v>
      </c>
      <c r="D4846" s="5" t="s">
        <v>2169</v>
      </c>
      <c r="E4846" s="5" t="n">
        <v>1</v>
      </c>
      <c r="F4846" s="6" t="n">
        <f aca="false">IFERROR(MATCH(A4846&amp;"|"&amp;B4846&amp;"|"&amp;D4846,'All Song Rankings'!$T:$T,0),0)</f>
        <v>728</v>
      </c>
      <c r="G4846" s="6" t="str">
        <f aca="false">IF(F4846=0,"NOT FOUND",INDEX('All Song Rankings'!$A:$A,F4846))</f>
        <v>Perm</v>
      </c>
      <c r="H4846" s="6" t="str">
        <f aca="false">IF(F4846=0,"NOT FOUND",INDEX('All Song Rankings'!$B:$B,F4846))</f>
        <v>Bruno Mars</v>
      </c>
      <c r="I4846" s="6" t="str">
        <f aca="false">IF(F4846=0,"NOT FOUND",INDEX('All Song Rankings'!$D:$D,F4846))</f>
        <v>Josh</v>
      </c>
      <c r="J4846" s="7" t="str">
        <f aca="false">IF(F4846=0,"NOT FOUND",IF(C4846=I4846,"SELF-VOTE",IF(COUNTIF($K:$K,K4846)&gt;1,"DUPLICATE","OK")))</f>
        <v>OK</v>
      </c>
      <c r="K4846" s="6" t="str">
        <f aca="false">A4846&amp;"|"&amp;B4846&amp;"|"&amp;C4846&amp;"|"&amp;D4846</f>
        <v>7|4|Merita|spotify:track:1I6pKIyaBp4OebTGLJpCCC</v>
      </c>
    </row>
    <row r="4847" customFormat="false" ht="15" hidden="false" customHeight="false" outlineLevel="0" collapsed="false">
      <c r="A4847" s="5" t="n">
        <v>7</v>
      </c>
      <c r="B4847" s="5" t="n">
        <v>4</v>
      </c>
      <c r="C4847" s="5" t="s">
        <v>101</v>
      </c>
      <c r="D4847" s="5" t="s">
        <v>2146</v>
      </c>
      <c r="E4847" s="5" t="n">
        <v>1</v>
      </c>
      <c r="F4847" s="6" t="n">
        <f aca="false">IFERROR(MATCH(A4847&amp;"|"&amp;B4847&amp;"|"&amp;D4847,'All Song Rankings'!$T:$T,0),0)</f>
        <v>718</v>
      </c>
      <c r="G4847" s="6" t="str">
        <f aca="false">IF(F4847=0,"NOT FOUND",INDEX('All Song Rankings'!$A:$A,F4847))</f>
        <v>All The Pretty Girls</v>
      </c>
      <c r="H4847" s="6" t="str">
        <f aca="false">IF(F4847=0,"NOT FOUND",INDEX('All Song Rankings'!$B:$B,F4847))</f>
        <v>fun.</v>
      </c>
      <c r="I4847" s="6" t="str">
        <f aca="false">IF(F4847=0,"NOT FOUND",INDEX('All Song Rankings'!$D:$D,F4847))</f>
        <v>Grace</v>
      </c>
      <c r="J4847" s="7" t="str">
        <f aca="false">IF(F4847=0,"NOT FOUND",IF(C4847=I4847,"SELF-VOTE",IF(COUNTIF($K:$K,K4847)&gt;1,"DUPLICATE","OK")))</f>
        <v>OK</v>
      </c>
      <c r="K4847" s="6" t="str">
        <f aca="false">A4847&amp;"|"&amp;B4847&amp;"|"&amp;C4847&amp;"|"&amp;D4847</f>
        <v>7|4|Merita|spotify:track:2cHGWytemKJuckq2oLnAbZ</v>
      </c>
    </row>
    <row r="4848" customFormat="false" ht="15" hidden="false" customHeight="false" outlineLevel="0" collapsed="false">
      <c r="A4848" s="5" t="n">
        <v>7</v>
      </c>
      <c r="B4848" s="5" t="n">
        <v>4</v>
      </c>
      <c r="C4848" s="5" t="s">
        <v>101</v>
      </c>
      <c r="D4848" s="5" t="s">
        <v>2157</v>
      </c>
      <c r="E4848" s="5" t="n">
        <v>1</v>
      </c>
      <c r="F4848" s="6" t="n">
        <f aca="false">IFERROR(MATCH(A4848&amp;"|"&amp;B4848&amp;"|"&amp;D4848,'All Song Rankings'!$T:$T,0),0)</f>
        <v>723</v>
      </c>
      <c r="G4848" s="6" t="str">
        <f aca="false">IF(F4848=0,"NOT FOUND",INDEX('All Song Rankings'!$A:$A,F4848))</f>
        <v>Yellow Ledbetter</v>
      </c>
      <c r="H4848" s="6" t="str">
        <f aca="false">IF(F4848=0,"NOT FOUND",INDEX('All Song Rankings'!$B:$B,F4848))</f>
        <v>Pearl Jam</v>
      </c>
      <c r="I4848" s="6" t="str">
        <f aca="false">IF(F4848=0,"NOT FOUND",INDEX('All Song Rankings'!$D:$D,F4848))</f>
        <v>Lisa</v>
      </c>
      <c r="J4848" s="7" t="str">
        <f aca="false">IF(F4848=0,"NOT FOUND",IF(C4848=I4848,"SELF-VOTE",IF(COUNTIF($K:$K,K4848)&gt;1,"DUPLICATE","OK")))</f>
        <v>OK</v>
      </c>
      <c r="K4848" s="6" t="str">
        <f aca="false">A4848&amp;"|"&amp;B4848&amp;"|"&amp;C4848&amp;"|"&amp;D4848</f>
        <v>7|4|Merita|spotify:track:3bE5slaVEfaDreqARl6k4M</v>
      </c>
    </row>
    <row r="4849" customFormat="false" ht="15" hidden="false" customHeight="false" outlineLevel="0" collapsed="false">
      <c r="A4849" s="5" t="n">
        <v>7</v>
      </c>
      <c r="B4849" s="5" t="n">
        <v>4</v>
      </c>
      <c r="C4849" s="5" t="s">
        <v>101</v>
      </c>
      <c r="D4849" s="5" t="s">
        <v>2148</v>
      </c>
      <c r="E4849" s="5" t="n">
        <v>1</v>
      </c>
      <c r="F4849" s="6" t="n">
        <f aca="false">IFERROR(MATCH(A4849&amp;"|"&amp;B4849&amp;"|"&amp;D4849,'All Song Rankings'!$T:$T,0),0)</f>
        <v>719</v>
      </c>
      <c r="G4849" s="6" t="str">
        <f aca="false">IF(F4849=0,"NOT FOUND",INDEX('All Song Rankings'!$A:$A,F4849))</f>
        <v>Disloyal Order Of Water Buffaloes</v>
      </c>
      <c r="H4849" s="6" t="str">
        <f aca="false">IF(F4849=0,"NOT FOUND",INDEX('All Song Rankings'!$B:$B,F4849))</f>
        <v>Fall Out Boy</v>
      </c>
      <c r="I4849" s="6" t="str">
        <f aca="false">IF(F4849=0,"NOT FOUND",INDEX('All Song Rankings'!$D:$D,F4849))</f>
        <v>Kristen</v>
      </c>
      <c r="J4849" s="7" t="str">
        <f aca="false">IF(F4849=0,"NOT FOUND",IF(C4849=I4849,"SELF-VOTE",IF(COUNTIF($K:$K,K4849)&gt;1,"DUPLICATE","OK")))</f>
        <v>OK</v>
      </c>
      <c r="K4849" s="6" t="str">
        <f aca="false">A4849&amp;"|"&amp;B4849&amp;"|"&amp;C4849&amp;"|"&amp;D4849</f>
        <v>7|4|Merita|spotify:track:4qg2rXtE20scfPhGvG5tqq</v>
      </c>
    </row>
    <row r="4850" customFormat="false" ht="15" hidden="false" customHeight="false" outlineLevel="0" collapsed="false">
      <c r="A4850" s="5" t="n">
        <v>7</v>
      </c>
      <c r="B4850" s="5" t="n">
        <v>4</v>
      </c>
      <c r="C4850" s="5" t="s">
        <v>101</v>
      </c>
      <c r="D4850" s="5" t="s">
        <v>2155</v>
      </c>
      <c r="E4850" s="5" t="n">
        <v>1</v>
      </c>
      <c r="F4850" s="6" t="n">
        <f aca="false">IFERROR(MATCH(A4850&amp;"|"&amp;B4850&amp;"|"&amp;D4850,'All Song Rankings'!$T:$T,0),0)</f>
        <v>722</v>
      </c>
      <c r="G4850" s="6" t="str">
        <f aca="false">IF(F4850=0,"NOT FOUND",INDEX('All Song Rankings'!$A:$A,F4850))</f>
        <v>Legendary Lovers</v>
      </c>
      <c r="H4850" s="6" t="str">
        <f aca="false">IF(F4850=0,"NOT FOUND",INDEX('All Song Rankings'!$B:$B,F4850))</f>
        <v>Katy Perry</v>
      </c>
      <c r="I4850" s="6" t="str">
        <f aca="false">IF(F4850=0,"NOT FOUND",INDEX('All Song Rankings'!$D:$D,F4850))</f>
        <v>Lucia</v>
      </c>
      <c r="J4850" s="7" t="str">
        <f aca="false">IF(F4850=0,"NOT FOUND",IF(C4850=I4850,"SELF-VOTE",IF(COUNTIF($K:$K,K4850)&gt;1,"DUPLICATE","OK")))</f>
        <v>OK</v>
      </c>
      <c r="K4850" s="6" t="str">
        <f aca="false">A4850&amp;"|"&amp;B4850&amp;"|"&amp;C4850&amp;"|"&amp;D4850</f>
        <v>7|4|Merita|spotify:track:5Uc37Y6FijZcM538PqqkWd</v>
      </c>
    </row>
    <row r="4851" customFormat="false" ht="15" hidden="false" customHeight="false" outlineLevel="0" collapsed="false">
      <c r="A4851" s="5" t="n">
        <v>7</v>
      </c>
      <c r="B4851" s="5" t="n">
        <v>4</v>
      </c>
      <c r="C4851" s="5" t="s">
        <v>101</v>
      </c>
      <c r="D4851" s="5" t="s">
        <v>2175</v>
      </c>
      <c r="E4851" s="5" t="n">
        <v>2</v>
      </c>
      <c r="F4851" s="6" t="n">
        <f aca="false">IFERROR(MATCH(A4851&amp;"|"&amp;B4851&amp;"|"&amp;D4851,'All Song Rankings'!$T:$T,0),0)</f>
        <v>731</v>
      </c>
      <c r="G4851" s="6" t="str">
        <f aca="false">IF(F4851=0,"NOT FOUND",INDEX('All Song Rankings'!$A:$A,F4851))</f>
        <v>mars</v>
      </c>
      <c r="H4851" s="6" t="str">
        <f aca="false">IF(F4851=0,"NOT FOUND",INDEX('All Song Rankings'!$B:$B,F4851))</f>
        <v>YUNGBLUD</v>
      </c>
      <c r="I4851" s="6" t="str">
        <f aca="false">IF(F4851=0,"NOT FOUND",INDEX('All Song Rankings'!$D:$D,F4851))</f>
        <v>Scott</v>
      </c>
      <c r="J4851" s="7" t="str">
        <f aca="false">IF(F4851=0,"NOT FOUND",IF(C4851=I4851,"SELF-VOTE",IF(COUNTIF($K:$K,K4851)&gt;1,"DUPLICATE","OK")))</f>
        <v>OK</v>
      </c>
      <c r="K4851" s="6" t="str">
        <f aca="false">A4851&amp;"|"&amp;B4851&amp;"|"&amp;C4851&amp;"|"&amp;D4851</f>
        <v>7|4|Merita|spotify:track:6C6aknFp2XtjIq7xuvyfuY</v>
      </c>
    </row>
    <row r="4852" customFormat="false" ht="15" hidden="false" customHeight="false" outlineLevel="0" collapsed="false">
      <c r="A4852" s="5" t="n">
        <v>7</v>
      </c>
      <c r="B4852" s="5" t="n">
        <v>4</v>
      </c>
      <c r="C4852" s="5" t="s">
        <v>2052</v>
      </c>
      <c r="D4852" s="5" t="s">
        <v>2159</v>
      </c>
      <c r="E4852" s="5" t="n">
        <v>4</v>
      </c>
      <c r="F4852" s="6" t="n">
        <f aca="false">IFERROR(MATCH(A4852&amp;"|"&amp;B4852&amp;"|"&amp;D4852,'All Song Rankings'!$T:$T,0),0)</f>
        <v>724</v>
      </c>
      <c r="G4852" s="6" t="str">
        <f aca="false">IF(F4852=0,"NOT FOUND",INDEX('All Song Rankings'!$A:$A,F4852))</f>
        <v>YA YA</v>
      </c>
      <c r="H4852" s="6" t="str">
        <f aca="false">IF(F4852=0,"NOT FOUND",INDEX('All Song Rankings'!$B:$B,F4852))</f>
        <v>Beyoncé</v>
      </c>
      <c r="I4852" s="6" t="str">
        <f aca="false">IF(F4852=0,"NOT FOUND",INDEX('All Song Rankings'!$D:$D,F4852))</f>
        <v>Stephanie</v>
      </c>
      <c r="J4852" s="7" t="str">
        <f aca="false">IF(F4852=0,"NOT FOUND",IF(C4852=I4852,"SELF-VOTE",IF(COUNTIF($K:$K,K4852)&gt;1,"DUPLICATE","OK")))</f>
        <v>OK</v>
      </c>
      <c r="K4852" s="6" t="str">
        <f aca="false">A4852&amp;"|"&amp;B4852&amp;"|"&amp;C4852&amp;"|"&amp;D4852</f>
        <v>7|4|Sara|spotify:track:0K9tfzrxJyCQIf7oAlPwaK</v>
      </c>
    </row>
    <row r="4853" customFormat="false" ht="15" hidden="false" customHeight="false" outlineLevel="0" collapsed="false">
      <c r="A4853" s="5" t="n">
        <v>7</v>
      </c>
      <c r="B4853" s="5" t="n">
        <v>4</v>
      </c>
      <c r="C4853" s="5" t="s">
        <v>2052</v>
      </c>
      <c r="D4853" s="5" t="s">
        <v>2164</v>
      </c>
      <c r="E4853" s="5" t="n">
        <v>1</v>
      </c>
      <c r="F4853" s="6" t="n">
        <f aca="false">IFERROR(MATCH(A4853&amp;"|"&amp;B4853&amp;"|"&amp;D4853,'All Song Rankings'!$T:$T,0),0)</f>
        <v>726</v>
      </c>
      <c r="G4853" s="6" t="str">
        <f aca="false">IF(F4853=0,"NOT FOUND",INDEX('All Song Rankings'!$A:$A,F4853))</f>
        <v>Poison</v>
      </c>
      <c r="H4853" s="6" t="str">
        <f aca="false">IF(F4853=0,"NOT FOUND",INDEX('All Song Rankings'!$B:$B,F4853))</f>
        <v>Beyoncé</v>
      </c>
      <c r="I4853" s="6" t="str">
        <f aca="false">IF(F4853=0,"NOT FOUND",INDEX('All Song Rankings'!$D:$D,F4853))</f>
        <v>Logan</v>
      </c>
      <c r="J4853" s="7" t="str">
        <f aca="false">IF(F4853=0,"NOT FOUND",IF(C4853=I4853,"SELF-VOTE",IF(COUNTIF($K:$K,K4853)&gt;1,"DUPLICATE","OK")))</f>
        <v>OK</v>
      </c>
      <c r="K4853" s="6" t="str">
        <f aca="false">A4853&amp;"|"&amp;B4853&amp;"|"&amp;C4853&amp;"|"&amp;D4853</f>
        <v>7|4|Sara|spotify:track:0yGlYMCTNE1aKRd5YAXEdg</v>
      </c>
    </row>
    <row r="4854" customFormat="false" ht="15" hidden="false" customHeight="false" outlineLevel="0" collapsed="false">
      <c r="A4854" s="5" t="n">
        <v>7</v>
      </c>
      <c r="B4854" s="5" t="n">
        <v>4</v>
      </c>
      <c r="C4854" s="5" t="s">
        <v>2052</v>
      </c>
      <c r="D4854" s="5" t="s">
        <v>2153</v>
      </c>
      <c r="E4854" s="5" t="n">
        <v>2</v>
      </c>
      <c r="F4854" s="6" t="n">
        <f aca="false">IFERROR(MATCH(A4854&amp;"|"&amp;B4854&amp;"|"&amp;D4854,'All Song Rankings'!$T:$T,0),0)</f>
        <v>721</v>
      </c>
      <c r="G4854" s="6" t="str">
        <f aca="false">IF(F4854=0,"NOT FOUND",INDEX('All Song Rankings'!$A:$A,F4854))</f>
        <v>Sleeping Angel (From Fast Times at Ridgemont High)</v>
      </c>
      <c r="H4854" s="6" t="str">
        <f aca="false">IF(F4854=0,"NOT FOUND",INDEX('All Song Rankings'!$B:$B,F4854))</f>
        <v>Stevie Nicks</v>
      </c>
      <c r="I4854" s="6" t="str">
        <f aca="false">IF(F4854=0,"NOT FOUND",INDEX('All Song Rankings'!$D:$D,F4854))</f>
        <v>Christine</v>
      </c>
      <c r="J4854" s="7" t="str">
        <f aca="false">IF(F4854=0,"NOT FOUND",IF(C4854=I4854,"SELF-VOTE",IF(COUNTIF($K:$K,K4854)&gt;1,"DUPLICATE","OK")))</f>
        <v>OK</v>
      </c>
      <c r="K4854" s="6" t="str">
        <f aca="false">A4854&amp;"|"&amp;B4854&amp;"|"&amp;C4854&amp;"|"&amp;D4854</f>
        <v>7|4|Sara|spotify:track:35I5lX6yE00YSu7PEgES54</v>
      </c>
    </row>
    <row r="4855" customFormat="false" ht="15" hidden="false" customHeight="false" outlineLevel="0" collapsed="false">
      <c r="A4855" s="5" t="n">
        <v>7</v>
      </c>
      <c r="B4855" s="5" t="n">
        <v>4</v>
      </c>
      <c r="C4855" s="5" t="s">
        <v>2052</v>
      </c>
      <c r="D4855" s="5" t="s">
        <v>2155</v>
      </c>
      <c r="E4855" s="5" t="n">
        <v>3</v>
      </c>
      <c r="F4855" s="6" t="n">
        <f aca="false">IFERROR(MATCH(A4855&amp;"|"&amp;B4855&amp;"|"&amp;D4855,'All Song Rankings'!$T:$T,0),0)</f>
        <v>722</v>
      </c>
      <c r="G4855" s="6" t="str">
        <f aca="false">IF(F4855=0,"NOT FOUND",INDEX('All Song Rankings'!$A:$A,F4855))</f>
        <v>Legendary Lovers</v>
      </c>
      <c r="H4855" s="6" t="str">
        <f aca="false">IF(F4855=0,"NOT FOUND",INDEX('All Song Rankings'!$B:$B,F4855))</f>
        <v>Katy Perry</v>
      </c>
      <c r="I4855" s="6" t="str">
        <f aca="false">IF(F4855=0,"NOT FOUND",INDEX('All Song Rankings'!$D:$D,F4855))</f>
        <v>Lucia</v>
      </c>
      <c r="J4855" s="7" t="str">
        <f aca="false">IF(F4855=0,"NOT FOUND",IF(C4855=I4855,"SELF-VOTE",IF(COUNTIF($K:$K,K4855)&gt;1,"DUPLICATE","OK")))</f>
        <v>OK</v>
      </c>
      <c r="K4855" s="6" t="str">
        <f aca="false">A4855&amp;"|"&amp;B4855&amp;"|"&amp;C4855&amp;"|"&amp;D4855</f>
        <v>7|4|Sara|spotify:track:5Uc37Y6FijZcM538PqqkWd</v>
      </c>
    </row>
    <row r="4856" customFormat="false" ht="15" hidden="false" customHeight="false" outlineLevel="0" collapsed="false">
      <c r="A4856" s="5" t="n">
        <v>7</v>
      </c>
      <c r="B4856" s="5" t="n">
        <v>4</v>
      </c>
      <c r="C4856" s="5" t="s">
        <v>97</v>
      </c>
      <c r="D4856" s="5" t="s">
        <v>2150</v>
      </c>
      <c r="E4856" s="5" t="n">
        <v>1</v>
      </c>
      <c r="F4856" s="6" t="n">
        <f aca="false">IFERROR(MATCH(A4856&amp;"|"&amp;B4856&amp;"|"&amp;D4856,'All Song Rankings'!$T:$T,0),0)</f>
        <v>720</v>
      </c>
      <c r="G4856" s="6" t="str">
        <f aca="false">IF(F4856=0,"NOT FOUND",INDEX('All Song Rankings'!$A:$A,F4856))</f>
        <v>Fool's Gold</v>
      </c>
      <c r="H4856" s="6" t="str">
        <f aca="false">IF(F4856=0,"NOT FOUND",INDEX('All Song Rankings'!$B:$B,F4856))</f>
        <v>One Direction</v>
      </c>
      <c r="I4856" s="6" t="str">
        <f aca="false">IF(F4856=0,"NOT FOUND",INDEX('All Song Rankings'!$D:$D,F4856))</f>
        <v>Colleen</v>
      </c>
      <c r="J4856" s="7" t="str">
        <f aca="false">IF(F4856=0,"NOT FOUND",IF(C4856=I4856,"SELF-VOTE",IF(COUNTIF($K:$K,K4856)&gt;1,"DUPLICATE","OK")))</f>
        <v>OK</v>
      </c>
      <c r="K4856" s="6" t="str">
        <f aca="false">A4856&amp;"|"&amp;B4856&amp;"|"&amp;C4856&amp;"|"&amp;D4856</f>
        <v>7|4|Stephanie|spotify:track:0L5gFNrzHyh4OhMwEz6DGS</v>
      </c>
    </row>
    <row r="4857" customFormat="false" ht="15" hidden="false" customHeight="false" outlineLevel="0" collapsed="false">
      <c r="A4857" s="5" t="n">
        <v>7</v>
      </c>
      <c r="B4857" s="5" t="n">
        <v>4</v>
      </c>
      <c r="C4857" s="5" t="s">
        <v>97</v>
      </c>
      <c r="D4857" s="5" t="s">
        <v>2164</v>
      </c>
      <c r="E4857" s="5" t="n">
        <v>1</v>
      </c>
      <c r="F4857" s="6" t="n">
        <f aca="false">IFERROR(MATCH(A4857&amp;"|"&amp;B4857&amp;"|"&amp;D4857,'All Song Rankings'!$T:$T,0),0)</f>
        <v>726</v>
      </c>
      <c r="G4857" s="6" t="str">
        <f aca="false">IF(F4857=0,"NOT FOUND",INDEX('All Song Rankings'!$A:$A,F4857))</f>
        <v>Poison</v>
      </c>
      <c r="H4857" s="6" t="str">
        <f aca="false">IF(F4857=0,"NOT FOUND",INDEX('All Song Rankings'!$B:$B,F4857))</f>
        <v>Beyoncé</v>
      </c>
      <c r="I4857" s="6" t="str">
        <f aca="false">IF(F4857=0,"NOT FOUND",INDEX('All Song Rankings'!$D:$D,F4857))</f>
        <v>Logan</v>
      </c>
      <c r="J4857" s="7" t="str">
        <f aca="false">IF(F4857=0,"NOT FOUND",IF(C4857=I4857,"SELF-VOTE",IF(COUNTIF($K:$K,K4857)&gt;1,"DUPLICATE","OK")))</f>
        <v>OK</v>
      </c>
      <c r="K4857" s="6" t="str">
        <f aca="false">A4857&amp;"|"&amp;B4857&amp;"|"&amp;C4857&amp;"|"&amp;D4857</f>
        <v>7|4|Stephanie|spotify:track:0yGlYMCTNE1aKRd5YAXEdg</v>
      </c>
    </row>
    <row r="4858" customFormat="false" ht="15" hidden="false" customHeight="false" outlineLevel="0" collapsed="false">
      <c r="A4858" s="5" t="n">
        <v>7</v>
      </c>
      <c r="B4858" s="5" t="n">
        <v>4</v>
      </c>
      <c r="C4858" s="5" t="s">
        <v>97</v>
      </c>
      <c r="D4858" s="5" t="s">
        <v>2146</v>
      </c>
      <c r="E4858" s="5" t="n">
        <v>2</v>
      </c>
      <c r="F4858" s="6" t="n">
        <f aca="false">IFERROR(MATCH(A4858&amp;"|"&amp;B4858&amp;"|"&amp;D4858,'All Song Rankings'!$T:$T,0),0)</f>
        <v>718</v>
      </c>
      <c r="G4858" s="6" t="str">
        <f aca="false">IF(F4858=0,"NOT FOUND",INDEX('All Song Rankings'!$A:$A,F4858))</f>
        <v>All The Pretty Girls</v>
      </c>
      <c r="H4858" s="6" t="str">
        <f aca="false">IF(F4858=0,"NOT FOUND",INDEX('All Song Rankings'!$B:$B,F4858))</f>
        <v>fun.</v>
      </c>
      <c r="I4858" s="6" t="str">
        <f aca="false">IF(F4858=0,"NOT FOUND",INDEX('All Song Rankings'!$D:$D,F4858))</f>
        <v>Grace</v>
      </c>
      <c r="J4858" s="7" t="str">
        <f aca="false">IF(F4858=0,"NOT FOUND",IF(C4858=I4858,"SELF-VOTE",IF(COUNTIF($K:$K,K4858)&gt;1,"DUPLICATE","OK")))</f>
        <v>OK</v>
      </c>
      <c r="K4858" s="6" t="str">
        <f aca="false">A4858&amp;"|"&amp;B4858&amp;"|"&amp;C4858&amp;"|"&amp;D4858</f>
        <v>7|4|Stephanie|spotify:track:2cHGWytemKJuckq2oLnAbZ</v>
      </c>
    </row>
    <row r="4859" customFormat="false" ht="15" hidden="false" customHeight="false" outlineLevel="0" collapsed="false">
      <c r="A4859" s="5" t="n">
        <v>7</v>
      </c>
      <c r="B4859" s="5" t="n">
        <v>4</v>
      </c>
      <c r="C4859" s="5" t="s">
        <v>97</v>
      </c>
      <c r="D4859" s="5" t="s">
        <v>2153</v>
      </c>
      <c r="E4859" s="5" t="n">
        <v>2</v>
      </c>
      <c r="F4859" s="6" t="n">
        <f aca="false">IFERROR(MATCH(A4859&amp;"|"&amp;B4859&amp;"|"&amp;D4859,'All Song Rankings'!$T:$T,0),0)</f>
        <v>721</v>
      </c>
      <c r="G4859" s="6" t="str">
        <f aca="false">IF(F4859=0,"NOT FOUND",INDEX('All Song Rankings'!$A:$A,F4859))</f>
        <v>Sleeping Angel (From Fast Times at Ridgemont High)</v>
      </c>
      <c r="H4859" s="6" t="str">
        <f aca="false">IF(F4859=0,"NOT FOUND",INDEX('All Song Rankings'!$B:$B,F4859))</f>
        <v>Stevie Nicks</v>
      </c>
      <c r="I4859" s="6" t="str">
        <f aca="false">IF(F4859=0,"NOT FOUND",INDEX('All Song Rankings'!$D:$D,F4859))</f>
        <v>Christine</v>
      </c>
      <c r="J4859" s="7" t="str">
        <f aca="false">IF(F4859=0,"NOT FOUND",IF(C4859=I4859,"SELF-VOTE",IF(COUNTIF($K:$K,K4859)&gt;1,"DUPLICATE","OK")))</f>
        <v>OK</v>
      </c>
      <c r="K4859" s="6" t="str">
        <f aca="false">A4859&amp;"|"&amp;B4859&amp;"|"&amp;C4859&amp;"|"&amp;D4859</f>
        <v>7|4|Stephanie|spotify:track:35I5lX6yE00YSu7PEgES54</v>
      </c>
    </row>
    <row r="4860" customFormat="false" ht="15" hidden="false" customHeight="false" outlineLevel="0" collapsed="false">
      <c r="A4860" s="5" t="n">
        <v>7</v>
      </c>
      <c r="B4860" s="5" t="n">
        <v>4</v>
      </c>
      <c r="C4860" s="5" t="s">
        <v>97</v>
      </c>
      <c r="D4860" s="5" t="s">
        <v>2157</v>
      </c>
      <c r="E4860" s="5" t="n">
        <v>2</v>
      </c>
      <c r="F4860" s="6" t="n">
        <f aca="false">IFERROR(MATCH(A4860&amp;"|"&amp;B4860&amp;"|"&amp;D4860,'All Song Rankings'!$T:$T,0),0)</f>
        <v>723</v>
      </c>
      <c r="G4860" s="6" t="str">
        <f aca="false">IF(F4860=0,"NOT FOUND",INDEX('All Song Rankings'!$A:$A,F4860))</f>
        <v>Yellow Ledbetter</v>
      </c>
      <c r="H4860" s="6" t="str">
        <f aca="false">IF(F4860=0,"NOT FOUND",INDEX('All Song Rankings'!$B:$B,F4860))</f>
        <v>Pearl Jam</v>
      </c>
      <c r="I4860" s="6" t="str">
        <f aca="false">IF(F4860=0,"NOT FOUND",INDEX('All Song Rankings'!$D:$D,F4860))</f>
        <v>Lisa</v>
      </c>
      <c r="J4860" s="7" t="str">
        <f aca="false">IF(F4860=0,"NOT FOUND",IF(C4860=I4860,"SELF-VOTE",IF(COUNTIF($K:$K,K4860)&gt;1,"DUPLICATE","OK")))</f>
        <v>OK</v>
      </c>
      <c r="K4860" s="6" t="str">
        <f aca="false">A4860&amp;"|"&amp;B4860&amp;"|"&amp;C4860&amp;"|"&amp;D4860</f>
        <v>7|4|Stephanie|spotify:track:3bE5slaVEfaDreqARl6k4M</v>
      </c>
    </row>
    <row r="4861" customFormat="false" ht="15" hidden="false" customHeight="false" outlineLevel="0" collapsed="false">
      <c r="A4861" s="5" t="n">
        <v>7</v>
      </c>
      <c r="B4861" s="5" t="n">
        <v>4</v>
      </c>
      <c r="C4861" s="5" t="s">
        <v>97</v>
      </c>
      <c r="D4861" s="5" t="s">
        <v>2148</v>
      </c>
      <c r="E4861" s="5" t="n">
        <v>1</v>
      </c>
      <c r="F4861" s="6" t="n">
        <f aca="false">IFERROR(MATCH(A4861&amp;"|"&amp;B4861&amp;"|"&amp;D4861,'All Song Rankings'!$T:$T,0),0)</f>
        <v>719</v>
      </c>
      <c r="G4861" s="6" t="str">
        <f aca="false">IF(F4861=0,"NOT FOUND",INDEX('All Song Rankings'!$A:$A,F4861))</f>
        <v>Disloyal Order Of Water Buffaloes</v>
      </c>
      <c r="H4861" s="6" t="str">
        <f aca="false">IF(F4861=0,"NOT FOUND",INDEX('All Song Rankings'!$B:$B,F4861))</f>
        <v>Fall Out Boy</v>
      </c>
      <c r="I4861" s="6" t="str">
        <f aca="false">IF(F4861=0,"NOT FOUND",INDEX('All Song Rankings'!$D:$D,F4861))</f>
        <v>Kristen</v>
      </c>
      <c r="J4861" s="7" t="str">
        <f aca="false">IF(F4861=0,"NOT FOUND",IF(C4861=I4861,"SELF-VOTE",IF(COUNTIF($K:$K,K4861)&gt;1,"DUPLICATE","OK")))</f>
        <v>OK</v>
      </c>
      <c r="K4861" s="6" t="str">
        <f aca="false">A4861&amp;"|"&amp;B4861&amp;"|"&amp;C4861&amp;"|"&amp;D4861</f>
        <v>7|4|Stephanie|spotify:track:4qg2rXtE20scfPhGvG5tqq</v>
      </c>
    </row>
    <row r="4862" customFormat="false" ht="15" hidden="false" customHeight="false" outlineLevel="0" collapsed="false">
      <c r="A4862" s="5" t="n">
        <v>7</v>
      </c>
      <c r="B4862" s="5" t="n">
        <v>4</v>
      </c>
      <c r="C4862" s="5" t="s">
        <v>97</v>
      </c>
      <c r="D4862" s="5" t="s">
        <v>2175</v>
      </c>
      <c r="E4862" s="5" t="n">
        <v>1</v>
      </c>
      <c r="F4862" s="6" t="n">
        <f aca="false">IFERROR(MATCH(A4862&amp;"|"&amp;B4862&amp;"|"&amp;D4862,'All Song Rankings'!$T:$T,0),0)</f>
        <v>731</v>
      </c>
      <c r="G4862" s="6" t="str">
        <f aca="false">IF(F4862=0,"NOT FOUND",INDEX('All Song Rankings'!$A:$A,F4862))</f>
        <v>mars</v>
      </c>
      <c r="H4862" s="6" t="str">
        <f aca="false">IF(F4862=0,"NOT FOUND",INDEX('All Song Rankings'!$B:$B,F4862))</f>
        <v>YUNGBLUD</v>
      </c>
      <c r="I4862" s="6" t="str">
        <f aca="false">IF(F4862=0,"NOT FOUND",INDEX('All Song Rankings'!$D:$D,F4862))</f>
        <v>Scott</v>
      </c>
      <c r="J4862" s="7" t="str">
        <f aca="false">IF(F4862=0,"NOT FOUND",IF(C4862=I4862,"SELF-VOTE",IF(COUNTIF($K:$K,K4862)&gt;1,"DUPLICATE","OK")))</f>
        <v>OK</v>
      </c>
      <c r="K4862" s="6" t="str">
        <f aca="false">A4862&amp;"|"&amp;B4862&amp;"|"&amp;C4862&amp;"|"&amp;D4862</f>
        <v>7|4|Stephanie|spotify:track:6C6aknFp2XtjIq7xuvyfuY</v>
      </c>
    </row>
    <row r="4863" customFormat="false" ht="15" hidden="false" customHeight="false" outlineLevel="0" collapsed="false">
      <c r="A4863" s="5" t="n">
        <v>7</v>
      </c>
      <c r="B4863" s="5" t="n">
        <v>5</v>
      </c>
      <c r="C4863" s="5" t="s">
        <v>719</v>
      </c>
      <c r="D4863" s="5" t="s">
        <v>2191</v>
      </c>
      <c r="E4863" s="5" t="n">
        <v>1</v>
      </c>
      <c r="F4863" s="6" t="n">
        <f aca="false">IFERROR(MATCH(A4863&amp;"|"&amp;B4863&amp;"|"&amp;D4863,'All Song Rankings'!$T:$T,0),0)</f>
        <v>737</v>
      </c>
      <c r="G4863" s="6" t="str">
        <f aca="false">IF(F4863=0,"NOT FOUND",INDEX('All Song Rankings'!$A:$A,F4863))</f>
        <v>Faith - Remastered</v>
      </c>
      <c r="H4863" s="6" t="str">
        <f aca="false">IF(F4863=0,"NOT FOUND",INDEX('All Song Rankings'!$B:$B,F4863))</f>
        <v>George Michael</v>
      </c>
      <c r="I4863" s="6" t="str">
        <f aca="false">IF(F4863=0,"NOT FOUND",INDEX('All Song Rankings'!$D:$D,F4863))</f>
        <v>Logan</v>
      </c>
      <c r="J4863" s="7" t="str">
        <f aca="false">IF(F4863=0,"NOT FOUND",IF(C4863=I4863,"SELF-VOTE",IF(COUNTIF($K:$K,K4863)&gt;1,"DUPLICATE","OK")))</f>
        <v>OK</v>
      </c>
      <c r="K4863" s="6" t="str">
        <f aca="false">A4863&amp;"|"&amp;B4863&amp;"|"&amp;C4863&amp;"|"&amp;D4863</f>
        <v>7|5|Christine|spotify:track:0HEmnAUT8PHznIAAmVXqFJ</v>
      </c>
    </row>
    <row r="4864" customFormat="false" ht="15" hidden="false" customHeight="false" outlineLevel="0" collapsed="false">
      <c r="A4864" s="5" t="n">
        <v>7</v>
      </c>
      <c r="B4864" s="5" t="n">
        <v>5</v>
      </c>
      <c r="C4864" s="5" t="s">
        <v>719</v>
      </c>
      <c r="D4864" s="5" t="s">
        <v>2202</v>
      </c>
      <c r="E4864" s="5" t="n">
        <v>1</v>
      </c>
      <c r="F4864" s="6" t="n">
        <f aca="false">IFERROR(MATCH(A4864&amp;"|"&amp;B4864&amp;"|"&amp;D4864,'All Song Rankings'!$T:$T,0),0)</f>
        <v>742</v>
      </c>
      <c r="G4864" s="6" t="str">
        <f aca="false">IF(F4864=0,"NOT FOUND",INDEX('All Song Rankings'!$A:$A,F4864))</f>
        <v>Dancing with Myself</v>
      </c>
      <c r="H4864" s="6" t="str">
        <f aca="false">IF(F4864=0,"NOT FOUND",INDEX('All Song Rankings'!$B:$B,F4864))</f>
        <v>Generation X</v>
      </c>
      <c r="I4864" s="6" t="str">
        <f aca="false">IF(F4864=0,"NOT FOUND",INDEX('All Song Rankings'!$D:$D,F4864))</f>
        <v>Merita</v>
      </c>
      <c r="J4864" s="7" t="str">
        <f aca="false">IF(F4864=0,"NOT FOUND",IF(C4864=I4864,"SELF-VOTE",IF(COUNTIF($K:$K,K4864)&gt;1,"DUPLICATE","OK")))</f>
        <v>OK</v>
      </c>
      <c r="K4864" s="6" t="str">
        <f aca="false">A4864&amp;"|"&amp;B4864&amp;"|"&amp;C4864&amp;"|"&amp;D4864</f>
        <v>7|5|Christine|spotify:track:1lEhKudlkpBsh6S7JyvvHs</v>
      </c>
    </row>
    <row r="4865" customFormat="false" ht="15" hidden="false" customHeight="false" outlineLevel="0" collapsed="false">
      <c r="A4865" s="5" t="n">
        <v>7</v>
      </c>
      <c r="B4865" s="5" t="n">
        <v>5</v>
      </c>
      <c r="C4865" s="5" t="s">
        <v>719</v>
      </c>
      <c r="D4865" s="5" t="s">
        <v>1914</v>
      </c>
      <c r="E4865" s="5" t="n">
        <v>1</v>
      </c>
      <c r="F4865" s="6" t="n">
        <f aca="false">IFERROR(MATCH(A4865&amp;"|"&amp;B4865&amp;"|"&amp;D4865,'All Song Rankings'!$T:$T,0),0)</f>
        <v>735</v>
      </c>
      <c r="G4865" s="6" t="str">
        <f aca="false">IF(F4865=0,"NOT FOUND",INDEX('All Song Rankings'!$A:$A,F4865))</f>
        <v>Head Over Heels</v>
      </c>
      <c r="H4865" s="6" t="str">
        <f aca="false">IF(F4865=0,"NOT FOUND",INDEX('All Song Rankings'!$B:$B,F4865))</f>
        <v>The Go-Go's</v>
      </c>
      <c r="I4865" s="6" t="str">
        <f aca="false">IF(F4865=0,"NOT FOUND",INDEX('All Song Rankings'!$D:$D,F4865))</f>
        <v>Kelsey</v>
      </c>
      <c r="J4865" s="7" t="str">
        <f aca="false">IF(F4865=0,"NOT FOUND",IF(C4865=I4865,"SELF-VOTE",IF(COUNTIF($K:$K,K4865)&gt;1,"DUPLICATE","OK")))</f>
        <v>OK</v>
      </c>
      <c r="K4865" s="6" t="str">
        <f aca="false">A4865&amp;"|"&amp;B4865&amp;"|"&amp;C4865&amp;"|"&amp;D4865</f>
        <v>7|5|Christine|spotify:track:1p46bniF6fC9kT1v5yjJOI</v>
      </c>
    </row>
    <row r="4866" customFormat="false" ht="15" hidden="false" customHeight="false" outlineLevel="0" collapsed="false">
      <c r="A4866" s="5" t="n">
        <v>7</v>
      </c>
      <c r="B4866" s="5" t="n">
        <v>5</v>
      </c>
      <c r="C4866" s="5" t="s">
        <v>719</v>
      </c>
      <c r="D4866" s="5" t="s">
        <v>2212</v>
      </c>
      <c r="E4866" s="5" t="n">
        <v>1</v>
      </c>
      <c r="F4866" s="6" t="n">
        <f aca="false">IFERROR(MATCH(A4866&amp;"|"&amp;B4866&amp;"|"&amp;D4866,'All Song Rankings'!$T:$T,0),0)</f>
        <v>745</v>
      </c>
      <c r="G4866" s="6" t="str">
        <f aca="false">IF(F4866=0,"NOT FOUND",INDEX('All Song Rankings'!$A:$A,F4866))</f>
        <v>In A Big Country - Radio Edit</v>
      </c>
      <c r="H4866" s="6" t="str">
        <f aca="false">IF(F4866=0,"NOT FOUND",INDEX('All Song Rankings'!$B:$B,F4866))</f>
        <v>Big Country</v>
      </c>
      <c r="I4866" s="6" t="str">
        <f aca="false">IF(F4866=0,"NOT FOUND",INDEX('All Song Rankings'!$D:$D,F4866))</f>
        <v>Kristen</v>
      </c>
      <c r="J4866" s="7" t="str">
        <f aca="false">IF(F4866=0,"NOT FOUND",IF(C4866=I4866,"SELF-VOTE",IF(COUNTIF($K:$K,K4866)&gt;1,"DUPLICATE","OK")))</f>
        <v>OK</v>
      </c>
      <c r="K4866" s="6" t="str">
        <f aca="false">A4866&amp;"|"&amp;B4866&amp;"|"&amp;C4866&amp;"|"&amp;D4866</f>
        <v>7|5|Christine|spotify:track:2eKuTki5i6iuxgzDHyqD6Q</v>
      </c>
    </row>
    <row r="4867" customFormat="false" ht="15" hidden="false" customHeight="false" outlineLevel="0" collapsed="false">
      <c r="A4867" s="5" t="n">
        <v>7</v>
      </c>
      <c r="B4867" s="5" t="n">
        <v>5</v>
      </c>
      <c r="C4867" s="5" t="s">
        <v>719</v>
      </c>
      <c r="D4867" s="5" t="s">
        <v>2205</v>
      </c>
      <c r="E4867" s="5" t="n">
        <v>1</v>
      </c>
      <c r="F4867" s="6" t="n">
        <f aca="false">IFERROR(MATCH(A4867&amp;"|"&amp;B4867&amp;"|"&amp;D4867,'All Song Rankings'!$T:$T,0),0)</f>
        <v>743</v>
      </c>
      <c r="G4867" s="6" t="str">
        <f aca="false">IF(F4867=0,"NOT FOUND",INDEX('All Song Rankings'!$A:$A,F4867))</f>
        <v>Endless Summer Nights</v>
      </c>
      <c r="H4867" s="6" t="str">
        <f aca="false">IF(F4867=0,"NOT FOUND",INDEX('All Song Rankings'!$B:$B,F4867))</f>
        <v>Richard Marx</v>
      </c>
      <c r="I4867" s="6" t="str">
        <f aca="false">IF(F4867=0,"NOT FOUND",INDEX('All Song Rankings'!$D:$D,F4867))</f>
        <v>Stephanie</v>
      </c>
      <c r="J4867" s="7" t="str">
        <f aca="false">IF(F4867=0,"NOT FOUND",IF(C4867=I4867,"SELF-VOTE",IF(COUNTIF($K:$K,K4867)&gt;1,"DUPLICATE","OK")))</f>
        <v>OK</v>
      </c>
      <c r="K4867" s="6" t="str">
        <f aca="false">A4867&amp;"|"&amp;B4867&amp;"|"&amp;C4867&amp;"|"&amp;D4867</f>
        <v>7|5|Christine|spotify:track:2iXH35MhsqO5Ry8a7iptpJ</v>
      </c>
    </row>
    <row r="4868" customFormat="false" ht="15" hidden="false" customHeight="false" outlineLevel="0" collapsed="false">
      <c r="A4868" s="5" t="n">
        <v>7</v>
      </c>
      <c r="B4868" s="5" t="n">
        <v>5</v>
      </c>
      <c r="C4868" s="5" t="s">
        <v>719</v>
      </c>
      <c r="D4868" s="5" t="s">
        <v>2188</v>
      </c>
      <c r="E4868" s="5" t="n">
        <v>1</v>
      </c>
      <c r="F4868" s="6" t="n">
        <f aca="false">IFERROR(MATCH(A4868&amp;"|"&amp;B4868&amp;"|"&amp;D4868,'All Song Rankings'!$T:$T,0),0)</f>
        <v>736</v>
      </c>
      <c r="G4868" s="6" t="str">
        <f aca="false">IF(F4868=0,"NOT FOUND",INDEX('All Song Rankings'!$A:$A,F4868))</f>
        <v>Hungry Like the Wolf - 2009 Remaster</v>
      </c>
      <c r="H4868" s="6" t="str">
        <f aca="false">IF(F4868=0,"NOT FOUND",INDEX('All Song Rankings'!$B:$B,F4868))</f>
        <v>Duran Duran</v>
      </c>
      <c r="I4868" s="6" t="str">
        <f aca="false">IF(F4868=0,"NOT FOUND",INDEX('All Song Rankings'!$D:$D,F4868))</f>
        <v>Colleen</v>
      </c>
      <c r="J4868" s="7" t="str">
        <f aca="false">IF(F4868=0,"NOT FOUND",IF(C4868=I4868,"SELF-VOTE",IF(COUNTIF($K:$K,K4868)&gt;1,"DUPLICATE","OK")))</f>
        <v>OK</v>
      </c>
      <c r="K4868" s="6" t="str">
        <f aca="false">A4868&amp;"|"&amp;B4868&amp;"|"&amp;C4868&amp;"|"&amp;D4868</f>
        <v>7|5|Christine|spotify:track:39lSeqnyjZJejRuaREfyLL</v>
      </c>
    </row>
    <row r="4869" customFormat="false" ht="15" hidden="false" customHeight="false" outlineLevel="0" collapsed="false">
      <c r="A4869" s="5" t="n">
        <v>7</v>
      </c>
      <c r="B4869" s="5" t="n">
        <v>5</v>
      </c>
      <c r="C4869" s="5" t="s">
        <v>719</v>
      </c>
      <c r="D4869" s="5" t="s">
        <v>2197</v>
      </c>
      <c r="E4869" s="5" t="n">
        <v>1</v>
      </c>
      <c r="F4869" s="6" t="n">
        <f aca="false">IFERROR(MATCH(A4869&amp;"|"&amp;B4869&amp;"|"&amp;D4869,'All Song Rankings'!$T:$T,0),0)</f>
        <v>740</v>
      </c>
      <c r="G4869" s="6" t="str">
        <f aca="false">IF(F4869=0,"NOT FOUND",INDEX('All Song Rankings'!$A:$A,F4869))</f>
        <v>Dancing with Myself</v>
      </c>
      <c r="H4869" s="6" t="str">
        <f aca="false">IF(F4869=0,"NOT FOUND",INDEX('All Song Rankings'!$B:$B,F4869))</f>
        <v>Billy Idol</v>
      </c>
      <c r="I4869" s="6" t="str">
        <f aca="false">IF(F4869=0,"NOT FOUND",INDEX('All Song Rankings'!$D:$D,F4869))</f>
        <v>Josh</v>
      </c>
      <c r="J4869" s="7" t="str">
        <f aca="false">IF(F4869=0,"NOT FOUND",IF(C4869=I4869,"SELF-VOTE",IF(COUNTIF($K:$K,K4869)&gt;1,"DUPLICATE","OK")))</f>
        <v>OK</v>
      </c>
      <c r="K4869" s="6" t="str">
        <f aca="false">A4869&amp;"|"&amp;B4869&amp;"|"&amp;C4869&amp;"|"&amp;D4869</f>
        <v>7|5|Christine|spotify:track:3rQfYDjgpRy5LFlClpPQW9</v>
      </c>
    </row>
    <row r="4870" customFormat="false" ht="15" hidden="false" customHeight="false" outlineLevel="0" collapsed="false">
      <c r="A4870" s="5" t="n">
        <v>7</v>
      </c>
      <c r="B4870" s="5" t="n">
        <v>5</v>
      </c>
      <c r="C4870" s="5" t="s">
        <v>719</v>
      </c>
      <c r="D4870" s="5" t="s">
        <v>2182</v>
      </c>
      <c r="E4870" s="5" t="n">
        <v>1</v>
      </c>
      <c r="F4870" s="6" t="n">
        <f aca="false">IFERROR(MATCH(A4870&amp;"|"&amp;B4870&amp;"|"&amp;D4870,'All Song Rankings'!$T:$T,0),0)</f>
        <v>733</v>
      </c>
      <c r="G4870" s="6" t="str">
        <f aca="false">IF(F4870=0,"NOT FOUND",INDEX('All Song Rankings'!$A:$A,F4870))</f>
        <v>Everybody Wants To Rule The World</v>
      </c>
      <c r="H4870" s="6" t="str">
        <f aca="false">IF(F4870=0,"NOT FOUND",INDEX('All Song Rankings'!$B:$B,F4870))</f>
        <v>Tears for Fears</v>
      </c>
      <c r="I4870" s="6" t="str">
        <f aca="false">IF(F4870=0,"NOT FOUND",INDEX('All Song Rankings'!$D:$D,F4870))</f>
        <v>Lisa</v>
      </c>
      <c r="J4870" s="7" t="str">
        <f aca="false">IF(F4870=0,"NOT FOUND",IF(C4870=I4870,"SELF-VOTE",IF(COUNTIF($K:$K,K4870)&gt;1,"DUPLICATE","OK")))</f>
        <v>OK</v>
      </c>
      <c r="K4870" s="6" t="str">
        <f aca="false">A4870&amp;"|"&amp;B4870&amp;"|"&amp;C4870&amp;"|"&amp;D4870</f>
        <v>7|5|Christine|spotify:track:4RvWPyQ5RL0ao9LPZeSouE</v>
      </c>
    </row>
    <row r="4871" customFormat="false" ht="15" hidden="false" customHeight="false" outlineLevel="0" collapsed="false">
      <c r="A4871" s="5" t="n">
        <v>7</v>
      </c>
      <c r="B4871" s="5" t="n">
        <v>5</v>
      </c>
      <c r="C4871" s="5" t="s">
        <v>719</v>
      </c>
      <c r="D4871" s="5" t="s">
        <v>1870</v>
      </c>
      <c r="E4871" s="5" t="n">
        <v>1</v>
      </c>
      <c r="F4871" s="6" t="n">
        <f aca="false">IFERROR(MATCH(A4871&amp;"|"&amp;B4871&amp;"|"&amp;D4871,'All Song Rankings'!$T:$T,0),0)</f>
        <v>739</v>
      </c>
      <c r="G4871" s="6" t="str">
        <f aca="false">IF(F4871=0,"NOT FOUND",INDEX('All Song Rankings'!$A:$A,F4871))</f>
        <v>You Make My Dreams (Come True)</v>
      </c>
      <c r="H4871" s="6" t="str">
        <f aca="false">IF(F4871=0,"NOT FOUND",INDEX('All Song Rankings'!$B:$B,F4871))</f>
        <v>Daryl Hall &amp; John Oates</v>
      </c>
      <c r="I4871" s="6" t="str">
        <f aca="false">IF(F4871=0,"NOT FOUND",INDEX('All Song Rankings'!$D:$D,F4871))</f>
        <v>Grace</v>
      </c>
      <c r="J4871" s="7" t="str">
        <f aca="false">IF(F4871=0,"NOT FOUND",IF(C4871=I4871,"SELF-VOTE",IF(COUNTIF($K:$K,K4871)&gt;1,"DUPLICATE","OK")))</f>
        <v>OK</v>
      </c>
      <c r="K4871" s="6" t="str">
        <f aca="false">A4871&amp;"|"&amp;B4871&amp;"|"&amp;C4871&amp;"|"&amp;D4871</f>
        <v>7|5|Christine|spotify:track:4o6BgsqLIBViaGVbx5rbRk</v>
      </c>
    </row>
    <row r="4872" customFormat="false" ht="15" hidden="false" customHeight="false" outlineLevel="0" collapsed="false">
      <c r="A4872" s="5" t="n">
        <v>7</v>
      </c>
      <c r="B4872" s="5" t="n">
        <v>5</v>
      </c>
      <c r="C4872" s="5" t="s">
        <v>719</v>
      </c>
      <c r="D4872" s="5" t="s">
        <v>2185</v>
      </c>
      <c r="E4872" s="5" t="n">
        <v>1</v>
      </c>
      <c r="F4872" s="6" t="n">
        <f aca="false">IFERROR(MATCH(A4872&amp;"|"&amp;B4872&amp;"|"&amp;D4872,'All Song Rankings'!$T:$T,0),0)</f>
        <v>734</v>
      </c>
      <c r="G4872" s="6" t="str">
        <f aca="false">IF(F4872=0,"NOT FOUND",INDEX('All Song Rankings'!$A:$A,F4872))</f>
        <v>Girls Just Want to Have Fun</v>
      </c>
      <c r="H4872" s="6" t="str">
        <f aca="false">IF(F4872=0,"NOT FOUND",INDEX('All Song Rankings'!$B:$B,F4872))</f>
        <v>Cyndi Lauper</v>
      </c>
      <c r="I4872" s="6" t="str">
        <f aca="false">IF(F4872=0,"NOT FOUND",INDEX('All Song Rankings'!$D:$D,F4872))</f>
        <v>Lucia</v>
      </c>
      <c r="J4872" s="7" t="str">
        <f aca="false">IF(F4872=0,"NOT FOUND",IF(C4872=I4872,"SELF-VOTE",IF(COUNTIF($K:$K,K4872)&gt;1,"DUPLICATE","OK")))</f>
        <v>OK</v>
      </c>
      <c r="K4872" s="6" t="str">
        <f aca="false">A4872&amp;"|"&amp;B4872&amp;"|"&amp;C4872&amp;"|"&amp;D4872</f>
        <v>7|5|Christine|spotify:track:4y1LsJpmMti1PfRQV9AWWe</v>
      </c>
    </row>
    <row r="4873" customFormat="false" ht="15" hidden="false" customHeight="false" outlineLevel="0" collapsed="false">
      <c r="A4873" s="5" t="n">
        <v>7</v>
      </c>
      <c r="B4873" s="5" t="n">
        <v>5</v>
      </c>
      <c r="C4873" s="5" t="s">
        <v>637</v>
      </c>
      <c r="D4873" s="5" t="s">
        <v>2191</v>
      </c>
      <c r="E4873" s="5" t="n">
        <v>1</v>
      </c>
      <c r="F4873" s="6" t="n">
        <f aca="false">IFERROR(MATCH(A4873&amp;"|"&amp;B4873&amp;"|"&amp;D4873,'All Song Rankings'!$T:$T,0),0)</f>
        <v>737</v>
      </c>
      <c r="G4873" s="6" t="str">
        <f aca="false">IF(F4873=0,"NOT FOUND",INDEX('All Song Rankings'!$A:$A,F4873))</f>
        <v>Faith - Remastered</v>
      </c>
      <c r="H4873" s="6" t="str">
        <f aca="false">IF(F4873=0,"NOT FOUND",INDEX('All Song Rankings'!$B:$B,F4873))</f>
        <v>George Michael</v>
      </c>
      <c r="I4873" s="6" t="str">
        <f aca="false">IF(F4873=0,"NOT FOUND",INDEX('All Song Rankings'!$D:$D,F4873))</f>
        <v>Logan</v>
      </c>
      <c r="J4873" s="7" t="str">
        <f aca="false">IF(F4873=0,"NOT FOUND",IF(C4873=I4873,"SELF-VOTE",IF(COUNTIF($K:$K,K4873)&gt;1,"DUPLICATE","OK")))</f>
        <v>OK</v>
      </c>
      <c r="K4873" s="6" t="str">
        <f aca="false">A4873&amp;"|"&amp;B4873&amp;"|"&amp;C4873&amp;"|"&amp;D4873</f>
        <v>7|5|Colleen|spotify:track:0HEmnAUT8PHznIAAmVXqFJ</v>
      </c>
    </row>
    <row r="4874" customFormat="false" ht="15" hidden="false" customHeight="false" outlineLevel="0" collapsed="false">
      <c r="A4874" s="5" t="n">
        <v>7</v>
      </c>
      <c r="B4874" s="5" t="n">
        <v>5</v>
      </c>
      <c r="C4874" s="5" t="s">
        <v>637</v>
      </c>
      <c r="D4874" s="5" t="s">
        <v>2194</v>
      </c>
      <c r="E4874" s="5" t="n">
        <v>1</v>
      </c>
      <c r="F4874" s="6" t="n">
        <f aca="false">IFERROR(MATCH(A4874&amp;"|"&amp;B4874&amp;"|"&amp;D4874,'All Song Rankings'!$T:$T,0),0)</f>
        <v>738</v>
      </c>
      <c r="G4874" s="6" t="str">
        <f aca="false">IF(F4874=0,"NOT FOUND",INDEX('All Song Rankings'!$A:$A,F4874))</f>
        <v>You Spin Me Round (Like a Record)</v>
      </c>
      <c r="H4874" s="6" t="str">
        <f aca="false">IF(F4874=0,"NOT FOUND",INDEX('All Song Rankings'!$B:$B,F4874))</f>
        <v>Dead or Alive</v>
      </c>
      <c r="I4874" s="6" t="str">
        <f aca="false">IF(F4874=0,"NOT FOUND",INDEX('All Song Rankings'!$D:$D,F4874))</f>
        <v>Leah</v>
      </c>
      <c r="J4874" s="7" t="str">
        <f aca="false">IF(F4874=0,"NOT FOUND",IF(C4874=I4874,"SELF-VOTE",IF(COUNTIF($K:$K,K4874)&gt;1,"DUPLICATE","OK")))</f>
        <v>OK</v>
      </c>
      <c r="K4874" s="6" t="str">
        <f aca="false">A4874&amp;"|"&amp;B4874&amp;"|"&amp;C4874&amp;"|"&amp;D4874</f>
        <v>7|5|Colleen|spotify:track:1ChulFMnwxoD74Me8eX2TU</v>
      </c>
    </row>
    <row r="4875" customFormat="false" ht="15" hidden="false" customHeight="false" outlineLevel="0" collapsed="false">
      <c r="A4875" s="5" t="n">
        <v>7</v>
      </c>
      <c r="B4875" s="5" t="n">
        <v>5</v>
      </c>
      <c r="C4875" s="5" t="s">
        <v>637</v>
      </c>
      <c r="D4875" s="5" t="s">
        <v>2202</v>
      </c>
      <c r="E4875" s="5" t="n">
        <v>1</v>
      </c>
      <c r="F4875" s="6" t="n">
        <f aca="false">IFERROR(MATCH(A4875&amp;"|"&amp;B4875&amp;"|"&amp;D4875,'All Song Rankings'!$T:$T,0),0)</f>
        <v>742</v>
      </c>
      <c r="G4875" s="6" t="str">
        <f aca="false">IF(F4875=0,"NOT FOUND",INDEX('All Song Rankings'!$A:$A,F4875))</f>
        <v>Dancing with Myself</v>
      </c>
      <c r="H4875" s="6" t="str">
        <f aca="false">IF(F4875=0,"NOT FOUND",INDEX('All Song Rankings'!$B:$B,F4875))</f>
        <v>Generation X</v>
      </c>
      <c r="I4875" s="6" t="str">
        <f aca="false">IF(F4875=0,"NOT FOUND",INDEX('All Song Rankings'!$D:$D,F4875))</f>
        <v>Merita</v>
      </c>
      <c r="J4875" s="7" t="str">
        <f aca="false">IF(F4875=0,"NOT FOUND",IF(C4875=I4875,"SELF-VOTE",IF(COUNTIF($K:$K,K4875)&gt;1,"DUPLICATE","OK")))</f>
        <v>OK</v>
      </c>
      <c r="K4875" s="6" t="str">
        <f aca="false">A4875&amp;"|"&amp;B4875&amp;"|"&amp;C4875&amp;"|"&amp;D4875</f>
        <v>7|5|Colleen|spotify:track:1lEhKudlkpBsh6S7JyvvHs</v>
      </c>
    </row>
    <row r="4876" customFormat="false" ht="15" hidden="false" customHeight="false" outlineLevel="0" collapsed="false">
      <c r="A4876" s="5" t="n">
        <v>7</v>
      </c>
      <c r="B4876" s="5" t="n">
        <v>5</v>
      </c>
      <c r="C4876" s="5" t="s">
        <v>637</v>
      </c>
      <c r="D4876" s="5" t="s">
        <v>1914</v>
      </c>
      <c r="E4876" s="5" t="n">
        <v>2</v>
      </c>
      <c r="F4876" s="6" t="n">
        <f aca="false">IFERROR(MATCH(A4876&amp;"|"&amp;B4876&amp;"|"&amp;D4876,'All Song Rankings'!$T:$T,0),0)</f>
        <v>735</v>
      </c>
      <c r="G4876" s="6" t="str">
        <f aca="false">IF(F4876=0,"NOT FOUND",INDEX('All Song Rankings'!$A:$A,F4876))</f>
        <v>Head Over Heels</v>
      </c>
      <c r="H4876" s="6" t="str">
        <f aca="false">IF(F4876=0,"NOT FOUND",INDEX('All Song Rankings'!$B:$B,F4876))</f>
        <v>The Go-Go's</v>
      </c>
      <c r="I4876" s="6" t="str">
        <f aca="false">IF(F4876=0,"NOT FOUND",INDEX('All Song Rankings'!$D:$D,F4876))</f>
        <v>Kelsey</v>
      </c>
      <c r="J4876" s="7" t="str">
        <f aca="false">IF(F4876=0,"NOT FOUND",IF(C4876=I4876,"SELF-VOTE",IF(COUNTIF($K:$K,K4876)&gt;1,"DUPLICATE","OK")))</f>
        <v>OK</v>
      </c>
      <c r="K4876" s="6" t="str">
        <f aca="false">A4876&amp;"|"&amp;B4876&amp;"|"&amp;C4876&amp;"|"&amp;D4876</f>
        <v>7|5|Colleen|spotify:track:1p46bniF6fC9kT1v5yjJOI</v>
      </c>
    </row>
    <row r="4877" customFormat="false" ht="15" hidden="false" customHeight="false" outlineLevel="0" collapsed="false">
      <c r="A4877" s="5" t="n">
        <v>7</v>
      </c>
      <c r="B4877" s="5" t="n">
        <v>5</v>
      </c>
      <c r="C4877" s="5" t="s">
        <v>637</v>
      </c>
      <c r="D4877" s="5" t="s">
        <v>2197</v>
      </c>
      <c r="E4877" s="5" t="n">
        <v>1</v>
      </c>
      <c r="F4877" s="6" t="n">
        <f aca="false">IFERROR(MATCH(A4877&amp;"|"&amp;B4877&amp;"|"&amp;D4877,'All Song Rankings'!$T:$T,0),0)</f>
        <v>740</v>
      </c>
      <c r="G4877" s="6" t="str">
        <f aca="false">IF(F4877=0,"NOT FOUND",INDEX('All Song Rankings'!$A:$A,F4877))</f>
        <v>Dancing with Myself</v>
      </c>
      <c r="H4877" s="6" t="str">
        <f aca="false">IF(F4877=0,"NOT FOUND",INDEX('All Song Rankings'!$B:$B,F4877))</f>
        <v>Billy Idol</v>
      </c>
      <c r="I4877" s="6" t="str">
        <f aca="false">IF(F4877=0,"NOT FOUND",INDEX('All Song Rankings'!$D:$D,F4877))</f>
        <v>Josh</v>
      </c>
      <c r="J4877" s="7" t="str">
        <f aca="false">IF(F4877=0,"NOT FOUND",IF(C4877=I4877,"SELF-VOTE",IF(COUNTIF($K:$K,K4877)&gt;1,"DUPLICATE","OK")))</f>
        <v>OK</v>
      </c>
      <c r="K4877" s="6" t="str">
        <f aca="false">A4877&amp;"|"&amp;B4877&amp;"|"&amp;C4877&amp;"|"&amp;D4877</f>
        <v>7|5|Colleen|spotify:track:3rQfYDjgpRy5LFlClpPQW9</v>
      </c>
    </row>
    <row r="4878" customFormat="false" ht="15" hidden="false" customHeight="false" outlineLevel="0" collapsed="false">
      <c r="A4878" s="5" t="n">
        <v>7</v>
      </c>
      <c r="B4878" s="5" t="n">
        <v>5</v>
      </c>
      <c r="C4878" s="5" t="s">
        <v>637</v>
      </c>
      <c r="D4878" s="5" t="s">
        <v>2182</v>
      </c>
      <c r="E4878" s="5" t="n">
        <v>1</v>
      </c>
      <c r="F4878" s="6" t="n">
        <f aca="false">IFERROR(MATCH(A4878&amp;"|"&amp;B4878&amp;"|"&amp;D4878,'All Song Rankings'!$T:$T,0),0)</f>
        <v>733</v>
      </c>
      <c r="G4878" s="6" t="str">
        <f aca="false">IF(F4878=0,"NOT FOUND",INDEX('All Song Rankings'!$A:$A,F4878))</f>
        <v>Everybody Wants To Rule The World</v>
      </c>
      <c r="H4878" s="6" t="str">
        <f aca="false">IF(F4878=0,"NOT FOUND",INDEX('All Song Rankings'!$B:$B,F4878))</f>
        <v>Tears for Fears</v>
      </c>
      <c r="I4878" s="6" t="str">
        <f aca="false">IF(F4878=0,"NOT FOUND",INDEX('All Song Rankings'!$D:$D,F4878))</f>
        <v>Lisa</v>
      </c>
      <c r="J4878" s="7" t="str">
        <f aca="false">IF(F4878=0,"NOT FOUND",IF(C4878=I4878,"SELF-VOTE",IF(COUNTIF($K:$K,K4878)&gt;1,"DUPLICATE","OK")))</f>
        <v>OK</v>
      </c>
      <c r="K4878" s="6" t="str">
        <f aca="false">A4878&amp;"|"&amp;B4878&amp;"|"&amp;C4878&amp;"|"&amp;D4878</f>
        <v>7|5|Colleen|spotify:track:4RvWPyQ5RL0ao9LPZeSouE</v>
      </c>
    </row>
    <row r="4879" customFormat="false" ht="15" hidden="false" customHeight="false" outlineLevel="0" collapsed="false">
      <c r="A4879" s="5" t="n">
        <v>7</v>
      </c>
      <c r="B4879" s="5" t="n">
        <v>5</v>
      </c>
      <c r="C4879" s="5" t="s">
        <v>637</v>
      </c>
      <c r="D4879" s="5" t="s">
        <v>1870</v>
      </c>
      <c r="E4879" s="5" t="n">
        <v>1</v>
      </c>
      <c r="F4879" s="6" t="n">
        <f aca="false">IFERROR(MATCH(A4879&amp;"|"&amp;B4879&amp;"|"&amp;D4879,'All Song Rankings'!$T:$T,0),0)</f>
        <v>739</v>
      </c>
      <c r="G4879" s="6" t="str">
        <f aca="false">IF(F4879=0,"NOT FOUND",INDEX('All Song Rankings'!$A:$A,F4879))</f>
        <v>You Make My Dreams (Come True)</v>
      </c>
      <c r="H4879" s="6" t="str">
        <f aca="false">IF(F4879=0,"NOT FOUND",INDEX('All Song Rankings'!$B:$B,F4879))</f>
        <v>Daryl Hall &amp; John Oates</v>
      </c>
      <c r="I4879" s="6" t="str">
        <f aca="false">IF(F4879=0,"NOT FOUND",INDEX('All Song Rankings'!$D:$D,F4879))</f>
        <v>Grace</v>
      </c>
      <c r="J4879" s="7" t="str">
        <f aca="false">IF(F4879=0,"NOT FOUND",IF(C4879=I4879,"SELF-VOTE",IF(COUNTIF($K:$K,K4879)&gt;1,"DUPLICATE","OK")))</f>
        <v>OK</v>
      </c>
      <c r="K4879" s="6" t="str">
        <f aca="false">A4879&amp;"|"&amp;B4879&amp;"|"&amp;C4879&amp;"|"&amp;D4879</f>
        <v>7|5|Colleen|spotify:track:4o6BgsqLIBViaGVbx5rbRk</v>
      </c>
    </row>
    <row r="4880" customFormat="false" ht="15" hidden="false" customHeight="false" outlineLevel="0" collapsed="false">
      <c r="A4880" s="5" t="n">
        <v>7</v>
      </c>
      <c r="B4880" s="5" t="n">
        <v>5</v>
      </c>
      <c r="C4880" s="5" t="s">
        <v>637</v>
      </c>
      <c r="D4880" s="5" t="s">
        <v>2185</v>
      </c>
      <c r="E4880" s="5" t="n">
        <v>1</v>
      </c>
      <c r="F4880" s="6" t="n">
        <f aca="false">IFERROR(MATCH(A4880&amp;"|"&amp;B4880&amp;"|"&amp;D4880,'All Song Rankings'!$T:$T,0),0)</f>
        <v>734</v>
      </c>
      <c r="G4880" s="6" t="str">
        <f aca="false">IF(F4880=0,"NOT FOUND",INDEX('All Song Rankings'!$A:$A,F4880))</f>
        <v>Girls Just Want to Have Fun</v>
      </c>
      <c r="H4880" s="6" t="str">
        <f aca="false">IF(F4880=0,"NOT FOUND",INDEX('All Song Rankings'!$B:$B,F4880))</f>
        <v>Cyndi Lauper</v>
      </c>
      <c r="I4880" s="6" t="str">
        <f aca="false">IF(F4880=0,"NOT FOUND",INDEX('All Song Rankings'!$D:$D,F4880))</f>
        <v>Lucia</v>
      </c>
      <c r="J4880" s="7" t="str">
        <f aca="false">IF(F4880=0,"NOT FOUND",IF(C4880=I4880,"SELF-VOTE",IF(COUNTIF($K:$K,K4880)&gt;1,"DUPLICATE","OK")))</f>
        <v>OK</v>
      </c>
      <c r="K4880" s="6" t="str">
        <f aca="false">A4880&amp;"|"&amp;B4880&amp;"|"&amp;C4880&amp;"|"&amp;D4880</f>
        <v>7|5|Colleen|spotify:track:4y1LsJpmMti1PfRQV9AWWe</v>
      </c>
    </row>
    <row r="4881" customFormat="false" ht="15" hidden="false" customHeight="false" outlineLevel="0" collapsed="false">
      <c r="A4881" s="5" t="n">
        <v>7</v>
      </c>
      <c r="B4881" s="5" t="n">
        <v>5</v>
      </c>
      <c r="C4881" s="5" t="s">
        <v>637</v>
      </c>
      <c r="D4881" s="5" t="s">
        <v>2209</v>
      </c>
      <c r="E4881" s="5" t="n">
        <v>1</v>
      </c>
      <c r="F4881" s="6" t="n">
        <f aca="false">IFERROR(MATCH(A4881&amp;"|"&amp;B4881&amp;"|"&amp;D4881,'All Song Rankings'!$T:$T,0),0)</f>
        <v>744</v>
      </c>
      <c r="G4881" s="6" t="str">
        <f aca="false">IF(F4881=0,"NOT FOUND",INDEX('All Song Rankings'!$A:$A,F4881))</f>
        <v>Baby Beluga</v>
      </c>
      <c r="H4881" s="6" t="str">
        <f aca="false">IF(F4881=0,"NOT FOUND",INDEX('All Song Rankings'!$B:$B,F4881))</f>
        <v>Raffi</v>
      </c>
      <c r="I4881" s="6" t="str">
        <f aca="false">IF(F4881=0,"NOT FOUND",INDEX('All Song Rankings'!$D:$D,F4881))</f>
        <v>Matt</v>
      </c>
      <c r="J4881" s="7" t="str">
        <f aca="false">IF(F4881=0,"NOT FOUND",IF(C4881=I4881,"SELF-VOTE",IF(COUNTIF($K:$K,K4881)&gt;1,"DUPLICATE","OK")))</f>
        <v>OK</v>
      </c>
      <c r="K4881" s="6" t="str">
        <f aca="false">A4881&amp;"|"&amp;B4881&amp;"|"&amp;C4881&amp;"|"&amp;D4881</f>
        <v>7|5|Colleen|spotify:track:7zQFM7bHcyMh4QQFdBkjrE</v>
      </c>
    </row>
    <row r="4882" customFormat="false" ht="15" hidden="false" customHeight="false" outlineLevel="0" collapsed="false">
      <c r="A4882" s="5" t="n">
        <v>7</v>
      </c>
      <c r="B4882" s="5" t="n">
        <v>5</v>
      </c>
      <c r="C4882" s="5" t="s">
        <v>382</v>
      </c>
      <c r="D4882" s="5" t="s">
        <v>2191</v>
      </c>
      <c r="E4882" s="5" t="n">
        <v>1</v>
      </c>
      <c r="F4882" s="6" t="n">
        <f aca="false">IFERROR(MATCH(A4882&amp;"|"&amp;B4882&amp;"|"&amp;D4882,'All Song Rankings'!$T:$T,0),0)</f>
        <v>737</v>
      </c>
      <c r="G4882" s="6" t="str">
        <f aca="false">IF(F4882=0,"NOT FOUND",INDEX('All Song Rankings'!$A:$A,F4882))</f>
        <v>Faith - Remastered</v>
      </c>
      <c r="H4882" s="6" t="str">
        <f aca="false">IF(F4882=0,"NOT FOUND",INDEX('All Song Rankings'!$B:$B,F4882))</f>
        <v>George Michael</v>
      </c>
      <c r="I4882" s="6" t="str">
        <f aca="false">IF(F4882=0,"NOT FOUND",INDEX('All Song Rankings'!$D:$D,F4882))</f>
        <v>Logan</v>
      </c>
      <c r="J4882" s="7" t="str">
        <f aca="false">IF(F4882=0,"NOT FOUND",IF(C4882=I4882,"SELF-VOTE",IF(COUNTIF($K:$K,K4882)&gt;1,"DUPLICATE","OK")))</f>
        <v>OK</v>
      </c>
      <c r="K4882" s="6" t="str">
        <f aca="false">A4882&amp;"|"&amp;B4882&amp;"|"&amp;C4882&amp;"|"&amp;D4882</f>
        <v>7|5|Grace|spotify:track:0HEmnAUT8PHznIAAmVXqFJ</v>
      </c>
    </row>
    <row r="4883" customFormat="false" ht="15" hidden="false" customHeight="false" outlineLevel="0" collapsed="false">
      <c r="A4883" s="5" t="n">
        <v>7</v>
      </c>
      <c r="B4883" s="5" t="n">
        <v>5</v>
      </c>
      <c r="C4883" s="5" t="s">
        <v>382</v>
      </c>
      <c r="D4883" s="5" t="s">
        <v>1914</v>
      </c>
      <c r="E4883" s="5" t="n">
        <v>2</v>
      </c>
      <c r="F4883" s="6" t="n">
        <f aca="false">IFERROR(MATCH(A4883&amp;"|"&amp;B4883&amp;"|"&amp;D4883,'All Song Rankings'!$T:$T,0),0)</f>
        <v>735</v>
      </c>
      <c r="G4883" s="6" t="str">
        <f aca="false">IF(F4883=0,"NOT FOUND",INDEX('All Song Rankings'!$A:$A,F4883))</f>
        <v>Head Over Heels</v>
      </c>
      <c r="H4883" s="6" t="str">
        <f aca="false">IF(F4883=0,"NOT FOUND",INDEX('All Song Rankings'!$B:$B,F4883))</f>
        <v>The Go-Go's</v>
      </c>
      <c r="I4883" s="6" t="str">
        <f aca="false">IF(F4883=0,"NOT FOUND",INDEX('All Song Rankings'!$D:$D,F4883))</f>
        <v>Kelsey</v>
      </c>
      <c r="J4883" s="7" t="str">
        <f aca="false">IF(F4883=0,"NOT FOUND",IF(C4883=I4883,"SELF-VOTE",IF(COUNTIF($K:$K,K4883)&gt;1,"DUPLICATE","OK")))</f>
        <v>OK</v>
      </c>
      <c r="K4883" s="6" t="str">
        <f aca="false">A4883&amp;"|"&amp;B4883&amp;"|"&amp;C4883&amp;"|"&amp;D4883</f>
        <v>7|5|Grace|spotify:track:1p46bniF6fC9kT1v5yjJOI</v>
      </c>
    </row>
    <row r="4884" customFormat="false" ht="15" hidden="false" customHeight="false" outlineLevel="0" collapsed="false">
      <c r="A4884" s="5" t="n">
        <v>7</v>
      </c>
      <c r="B4884" s="5" t="n">
        <v>5</v>
      </c>
      <c r="C4884" s="5" t="s">
        <v>382</v>
      </c>
      <c r="D4884" s="5" t="s">
        <v>2188</v>
      </c>
      <c r="E4884" s="5" t="n">
        <v>3</v>
      </c>
      <c r="F4884" s="6" t="n">
        <f aca="false">IFERROR(MATCH(A4884&amp;"|"&amp;B4884&amp;"|"&amp;D4884,'All Song Rankings'!$T:$T,0),0)</f>
        <v>736</v>
      </c>
      <c r="G4884" s="6" t="str">
        <f aca="false">IF(F4884=0,"NOT FOUND",INDEX('All Song Rankings'!$A:$A,F4884))</f>
        <v>Hungry Like the Wolf - 2009 Remaster</v>
      </c>
      <c r="H4884" s="6" t="str">
        <f aca="false">IF(F4884=0,"NOT FOUND",INDEX('All Song Rankings'!$B:$B,F4884))</f>
        <v>Duran Duran</v>
      </c>
      <c r="I4884" s="6" t="str">
        <f aca="false">IF(F4884=0,"NOT FOUND",INDEX('All Song Rankings'!$D:$D,F4884))</f>
        <v>Colleen</v>
      </c>
      <c r="J4884" s="7" t="str">
        <f aca="false">IF(F4884=0,"NOT FOUND",IF(C4884=I4884,"SELF-VOTE",IF(COUNTIF($K:$K,K4884)&gt;1,"DUPLICATE","OK")))</f>
        <v>OK</v>
      </c>
      <c r="K4884" s="6" t="str">
        <f aca="false">A4884&amp;"|"&amp;B4884&amp;"|"&amp;C4884&amp;"|"&amp;D4884</f>
        <v>7|5|Grace|spotify:track:39lSeqnyjZJejRuaREfyLL</v>
      </c>
    </row>
    <row r="4885" customFormat="false" ht="15" hidden="false" customHeight="false" outlineLevel="0" collapsed="false">
      <c r="A4885" s="5" t="n">
        <v>7</v>
      </c>
      <c r="B4885" s="5" t="n">
        <v>5</v>
      </c>
      <c r="C4885" s="5" t="s">
        <v>382</v>
      </c>
      <c r="D4885" s="5" t="s">
        <v>2182</v>
      </c>
      <c r="E4885" s="5" t="n">
        <v>2</v>
      </c>
      <c r="F4885" s="6" t="n">
        <f aca="false">IFERROR(MATCH(A4885&amp;"|"&amp;B4885&amp;"|"&amp;D4885,'All Song Rankings'!$T:$T,0),0)</f>
        <v>733</v>
      </c>
      <c r="G4885" s="6" t="str">
        <f aca="false">IF(F4885=0,"NOT FOUND",INDEX('All Song Rankings'!$A:$A,F4885))</f>
        <v>Everybody Wants To Rule The World</v>
      </c>
      <c r="H4885" s="6" t="str">
        <f aca="false">IF(F4885=0,"NOT FOUND",INDEX('All Song Rankings'!$B:$B,F4885))</f>
        <v>Tears for Fears</v>
      </c>
      <c r="I4885" s="6" t="str">
        <f aca="false">IF(F4885=0,"NOT FOUND",INDEX('All Song Rankings'!$D:$D,F4885))</f>
        <v>Lisa</v>
      </c>
      <c r="J4885" s="7" t="str">
        <f aca="false">IF(F4885=0,"NOT FOUND",IF(C4885=I4885,"SELF-VOTE",IF(COUNTIF($K:$K,K4885)&gt;1,"DUPLICATE","OK")))</f>
        <v>OK</v>
      </c>
      <c r="K4885" s="6" t="str">
        <f aca="false">A4885&amp;"|"&amp;B4885&amp;"|"&amp;C4885&amp;"|"&amp;D4885</f>
        <v>7|5|Grace|spotify:track:4RvWPyQ5RL0ao9LPZeSouE</v>
      </c>
    </row>
    <row r="4886" customFormat="false" ht="15" hidden="false" customHeight="false" outlineLevel="0" collapsed="false">
      <c r="A4886" s="5" t="n">
        <v>7</v>
      </c>
      <c r="B4886" s="5" t="n">
        <v>5</v>
      </c>
      <c r="C4886" s="5" t="s">
        <v>382</v>
      </c>
      <c r="D4886" s="5" t="s">
        <v>2209</v>
      </c>
      <c r="E4886" s="5" t="n">
        <v>2</v>
      </c>
      <c r="F4886" s="6" t="n">
        <f aca="false">IFERROR(MATCH(A4886&amp;"|"&amp;B4886&amp;"|"&amp;D4886,'All Song Rankings'!$T:$T,0),0)</f>
        <v>744</v>
      </c>
      <c r="G4886" s="6" t="str">
        <f aca="false">IF(F4886=0,"NOT FOUND",INDEX('All Song Rankings'!$A:$A,F4886))</f>
        <v>Baby Beluga</v>
      </c>
      <c r="H4886" s="6" t="str">
        <f aca="false">IF(F4886=0,"NOT FOUND",INDEX('All Song Rankings'!$B:$B,F4886))</f>
        <v>Raffi</v>
      </c>
      <c r="I4886" s="6" t="str">
        <f aca="false">IF(F4886=0,"NOT FOUND",INDEX('All Song Rankings'!$D:$D,F4886))</f>
        <v>Matt</v>
      </c>
      <c r="J4886" s="7" t="str">
        <f aca="false">IF(F4886=0,"NOT FOUND",IF(C4886=I4886,"SELF-VOTE",IF(COUNTIF($K:$K,K4886)&gt;1,"DUPLICATE","OK")))</f>
        <v>OK</v>
      </c>
      <c r="K4886" s="6" t="str">
        <f aca="false">A4886&amp;"|"&amp;B4886&amp;"|"&amp;C4886&amp;"|"&amp;D4886</f>
        <v>7|5|Grace|spotify:track:7zQFM7bHcyMh4QQFdBkjrE</v>
      </c>
    </row>
    <row r="4887" customFormat="false" ht="15" hidden="false" customHeight="false" outlineLevel="0" collapsed="false">
      <c r="A4887" s="5" t="n">
        <v>7</v>
      </c>
      <c r="B4887" s="5" t="n">
        <v>5</v>
      </c>
      <c r="C4887" s="5" t="s">
        <v>1843</v>
      </c>
      <c r="D4887" s="5" t="s">
        <v>2191</v>
      </c>
      <c r="E4887" s="5" t="n">
        <v>1</v>
      </c>
      <c r="F4887" s="6" t="n">
        <f aca="false">IFERROR(MATCH(A4887&amp;"|"&amp;B4887&amp;"|"&amp;D4887,'All Song Rankings'!$T:$T,0),0)</f>
        <v>737</v>
      </c>
      <c r="G4887" s="6" t="str">
        <f aca="false">IF(F4887=0,"NOT FOUND",INDEX('All Song Rankings'!$A:$A,F4887))</f>
        <v>Faith - Remastered</v>
      </c>
      <c r="H4887" s="6" t="str">
        <f aca="false">IF(F4887=0,"NOT FOUND",INDEX('All Song Rankings'!$B:$B,F4887))</f>
        <v>George Michael</v>
      </c>
      <c r="I4887" s="6" t="str">
        <f aca="false">IF(F4887=0,"NOT FOUND",INDEX('All Song Rankings'!$D:$D,F4887))</f>
        <v>Logan</v>
      </c>
      <c r="J4887" s="7" t="str">
        <f aca="false">IF(F4887=0,"NOT FOUND",IF(C4887=I4887,"SELF-VOTE",IF(COUNTIF($K:$K,K4887)&gt;1,"DUPLICATE","OK")))</f>
        <v>OK</v>
      </c>
      <c r="K4887" s="6" t="str">
        <f aca="false">A4887&amp;"|"&amp;B4887&amp;"|"&amp;C4887&amp;"|"&amp;D4887</f>
        <v>7|5|Josh|spotify:track:0HEmnAUT8PHznIAAmVXqFJ</v>
      </c>
    </row>
    <row r="4888" customFormat="false" ht="15" hidden="false" customHeight="false" outlineLevel="0" collapsed="false">
      <c r="A4888" s="5" t="n">
        <v>7</v>
      </c>
      <c r="B4888" s="5" t="n">
        <v>5</v>
      </c>
      <c r="C4888" s="5" t="s">
        <v>1843</v>
      </c>
      <c r="D4888" s="5" t="s">
        <v>2194</v>
      </c>
      <c r="E4888" s="5" t="n">
        <v>1</v>
      </c>
      <c r="F4888" s="6" t="n">
        <f aca="false">IFERROR(MATCH(A4888&amp;"|"&amp;B4888&amp;"|"&amp;D4888,'All Song Rankings'!$T:$T,0),0)</f>
        <v>738</v>
      </c>
      <c r="G4888" s="6" t="str">
        <f aca="false">IF(F4888=0,"NOT FOUND",INDEX('All Song Rankings'!$A:$A,F4888))</f>
        <v>You Spin Me Round (Like a Record)</v>
      </c>
      <c r="H4888" s="6" t="str">
        <f aca="false">IF(F4888=0,"NOT FOUND",INDEX('All Song Rankings'!$B:$B,F4888))</f>
        <v>Dead or Alive</v>
      </c>
      <c r="I4888" s="6" t="str">
        <f aca="false">IF(F4888=0,"NOT FOUND",INDEX('All Song Rankings'!$D:$D,F4888))</f>
        <v>Leah</v>
      </c>
      <c r="J4888" s="7" t="str">
        <f aca="false">IF(F4888=0,"NOT FOUND",IF(C4888=I4888,"SELF-VOTE",IF(COUNTIF($K:$K,K4888)&gt;1,"DUPLICATE","OK")))</f>
        <v>OK</v>
      </c>
      <c r="K4888" s="6" t="str">
        <f aca="false">A4888&amp;"|"&amp;B4888&amp;"|"&amp;C4888&amp;"|"&amp;D4888</f>
        <v>7|5|Josh|spotify:track:1ChulFMnwxoD74Me8eX2TU</v>
      </c>
    </row>
    <row r="4889" customFormat="false" ht="15" hidden="false" customHeight="false" outlineLevel="0" collapsed="false">
      <c r="A4889" s="5" t="n">
        <v>7</v>
      </c>
      <c r="B4889" s="5" t="n">
        <v>5</v>
      </c>
      <c r="C4889" s="5" t="s">
        <v>1843</v>
      </c>
      <c r="D4889" s="5" t="s">
        <v>2202</v>
      </c>
      <c r="E4889" s="5" t="n">
        <v>1</v>
      </c>
      <c r="F4889" s="6" t="n">
        <f aca="false">IFERROR(MATCH(A4889&amp;"|"&amp;B4889&amp;"|"&amp;D4889,'All Song Rankings'!$T:$T,0),0)</f>
        <v>742</v>
      </c>
      <c r="G4889" s="6" t="str">
        <f aca="false">IF(F4889=0,"NOT FOUND",INDEX('All Song Rankings'!$A:$A,F4889))</f>
        <v>Dancing with Myself</v>
      </c>
      <c r="H4889" s="6" t="str">
        <f aca="false">IF(F4889=0,"NOT FOUND",INDEX('All Song Rankings'!$B:$B,F4889))</f>
        <v>Generation X</v>
      </c>
      <c r="I4889" s="6" t="str">
        <f aca="false">IF(F4889=0,"NOT FOUND",INDEX('All Song Rankings'!$D:$D,F4889))</f>
        <v>Merita</v>
      </c>
      <c r="J4889" s="7" t="str">
        <f aca="false">IF(F4889=0,"NOT FOUND",IF(C4889=I4889,"SELF-VOTE",IF(COUNTIF($K:$K,K4889)&gt;1,"DUPLICATE","OK")))</f>
        <v>OK</v>
      </c>
      <c r="K4889" s="6" t="str">
        <f aca="false">A4889&amp;"|"&amp;B4889&amp;"|"&amp;C4889&amp;"|"&amp;D4889</f>
        <v>7|5|Josh|spotify:track:1lEhKudlkpBsh6S7JyvvHs</v>
      </c>
    </row>
    <row r="4890" customFormat="false" ht="15" hidden="false" customHeight="false" outlineLevel="0" collapsed="false">
      <c r="A4890" s="5" t="n">
        <v>7</v>
      </c>
      <c r="B4890" s="5" t="n">
        <v>5</v>
      </c>
      <c r="C4890" s="5" t="s">
        <v>1843</v>
      </c>
      <c r="D4890" s="5" t="s">
        <v>1914</v>
      </c>
      <c r="E4890" s="5" t="n">
        <v>1</v>
      </c>
      <c r="F4890" s="6" t="n">
        <f aca="false">IFERROR(MATCH(A4890&amp;"|"&amp;B4890&amp;"|"&amp;D4890,'All Song Rankings'!$T:$T,0),0)</f>
        <v>735</v>
      </c>
      <c r="G4890" s="6" t="str">
        <f aca="false">IF(F4890=0,"NOT FOUND",INDEX('All Song Rankings'!$A:$A,F4890))</f>
        <v>Head Over Heels</v>
      </c>
      <c r="H4890" s="6" t="str">
        <f aca="false">IF(F4890=0,"NOT FOUND",INDEX('All Song Rankings'!$B:$B,F4890))</f>
        <v>The Go-Go's</v>
      </c>
      <c r="I4890" s="6" t="str">
        <f aca="false">IF(F4890=0,"NOT FOUND",INDEX('All Song Rankings'!$D:$D,F4890))</f>
        <v>Kelsey</v>
      </c>
      <c r="J4890" s="7" t="str">
        <f aca="false">IF(F4890=0,"NOT FOUND",IF(C4890=I4890,"SELF-VOTE",IF(COUNTIF($K:$K,K4890)&gt;1,"DUPLICATE","OK")))</f>
        <v>OK</v>
      </c>
      <c r="K4890" s="6" t="str">
        <f aca="false">A4890&amp;"|"&amp;B4890&amp;"|"&amp;C4890&amp;"|"&amp;D4890</f>
        <v>7|5|Josh|spotify:track:1p46bniF6fC9kT1v5yjJOI</v>
      </c>
    </row>
    <row r="4891" customFormat="false" ht="15" hidden="false" customHeight="false" outlineLevel="0" collapsed="false">
      <c r="A4891" s="5" t="n">
        <v>7</v>
      </c>
      <c r="B4891" s="5" t="n">
        <v>5</v>
      </c>
      <c r="C4891" s="5" t="s">
        <v>1843</v>
      </c>
      <c r="D4891" s="5" t="s">
        <v>2212</v>
      </c>
      <c r="E4891" s="5" t="n">
        <v>1</v>
      </c>
      <c r="F4891" s="6" t="n">
        <f aca="false">IFERROR(MATCH(A4891&amp;"|"&amp;B4891&amp;"|"&amp;D4891,'All Song Rankings'!$T:$T,0),0)</f>
        <v>745</v>
      </c>
      <c r="G4891" s="6" t="str">
        <f aca="false">IF(F4891=0,"NOT FOUND",INDEX('All Song Rankings'!$A:$A,F4891))</f>
        <v>In A Big Country - Radio Edit</v>
      </c>
      <c r="H4891" s="6" t="str">
        <f aca="false">IF(F4891=0,"NOT FOUND",INDEX('All Song Rankings'!$B:$B,F4891))</f>
        <v>Big Country</v>
      </c>
      <c r="I4891" s="6" t="str">
        <f aca="false">IF(F4891=0,"NOT FOUND",INDEX('All Song Rankings'!$D:$D,F4891))</f>
        <v>Kristen</v>
      </c>
      <c r="J4891" s="7" t="str">
        <f aca="false">IF(F4891=0,"NOT FOUND",IF(C4891=I4891,"SELF-VOTE",IF(COUNTIF($K:$K,K4891)&gt;1,"DUPLICATE","OK")))</f>
        <v>OK</v>
      </c>
      <c r="K4891" s="6" t="str">
        <f aca="false">A4891&amp;"|"&amp;B4891&amp;"|"&amp;C4891&amp;"|"&amp;D4891</f>
        <v>7|5|Josh|spotify:track:2eKuTki5i6iuxgzDHyqD6Q</v>
      </c>
    </row>
    <row r="4892" customFormat="false" ht="15" hidden="false" customHeight="false" outlineLevel="0" collapsed="false">
      <c r="A4892" s="5" t="n">
        <v>7</v>
      </c>
      <c r="B4892" s="5" t="n">
        <v>5</v>
      </c>
      <c r="C4892" s="5" t="s">
        <v>1843</v>
      </c>
      <c r="D4892" s="5" t="s">
        <v>2188</v>
      </c>
      <c r="E4892" s="5" t="n">
        <v>1</v>
      </c>
      <c r="F4892" s="6" t="n">
        <f aca="false">IFERROR(MATCH(A4892&amp;"|"&amp;B4892&amp;"|"&amp;D4892,'All Song Rankings'!$T:$T,0),0)</f>
        <v>736</v>
      </c>
      <c r="G4892" s="6" t="str">
        <f aca="false">IF(F4892=0,"NOT FOUND",INDEX('All Song Rankings'!$A:$A,F4892))</f>
        <v>Hungry Like the Wolf - 2009 Remaster</v>
      </c>
      <c r="H4892" s="6" t="str">
        <f aca="false">IF(F4892=0,"NOT FOUND",INDEX('All Song Rankings'!$B:$B,F4892))</f>
        <v>Duran Duran</v>
      </c>
      <c r="I4892" s="6" t="str">
        <f aca="false">IF(F4892=0,"NOT FOUND",INDEX('All Song Rankings'!$D:$D,F4892))</f>
        <v>Colleen</v>
      </c>
      <c r="J4892" s="7" t="str">
        <f aca="false">IF(F4892=0,"NOT FOUND",IF(C4892=I4892,"SELF-VOTE",IF(COUNTIF($K:$K,K4892)&gt;1,"DUPLICATE","OK")))</f>
        <v>OK</v>
      </c>
      <c r="K4892" s="6" t="str">
        <f aca="false">A4892&amp;"|"&amp;B4892&amp;"|"&amp;C4892&amp;"|"&amp;D4892</f>
        <v>7|5|Josh|spotify:track:39lSeqnyjZJejRuaREfyLL</v>
      </c>
    </row>
    <row r="4893" customFormat="false" ht="15" hidden="false" customHeight="false" outlineLevel="0" collapsed="false">
      <c r="A4893" s="5" t="n">
        <v>7</v>
      </c>
      <c r="B4893" s="5" t="n">
        <v>5</v>
      </c>
      <c r="C4893" s="5" t="s">
        <v>1843</v>
      </c>
      <c r="D4893" s="5" t="s">
        <v>2182</v>
      </c>
      <c r="E4893" s="5" t="n">
        <v>1</v>
      </c>
      <c r="F4893" s="6" t="n">
        <f aca="false">IFERROR(MATCH(A4893&amp;"|"&amp;B4893&amp;"|"&amp;D4893,'All Song Rankings'!$T:$T,0),0)</f>
        <v>733</v>
      </c>
      <c r="G4893" s="6" t="str">
        <f aca="false">IF(F4893=0,"NOT FOUND",INDEX('All Song Rankings'!$A:$A,F4893))</f>
        <v>Everybody Wants To Rule The World</v>
      </c>
      <c r="H4893" s="6" t="str">
        <f aca="false">IF(F4893=0,"NOT FOUND",INDEX('All Song Rankings'!$B:$B,F4893))</f>
        <v>Tears for Fears</v>
      </c>
      <c r="I4893" s="6" t="str">
        <f aca="false">IF(F4893=0,"NOT FOUND",INDEX('All Song Rankings'!$D:$D,F4893))</f>
        <v>Lisa</v>
      </c>
      <c r="J4893" s="7" t="str">
        <f aca="false">IF(F4893=0,"NOT FOUND",IF(C4893=I4893,"SELF-VOTE",IF(COUNTIF($K:$K,K4893)&gt;1,"DUPLICATE","OK")))</f>
        <v>OK</v>
      </c>
      <c r="K4893" s="6" t="str">
        <f aca="false">A4893&amp;"|"&amp;B4893&amp;"|"&amp;C4893&amp;"|"&amp;D4893</f>
        <v>7|5|Josh|spotify:track:4RvWPyQ5RL0ao9LPZeSouE</v>
      </c>
    </row>
    <row r="4894" customFormat="false" ht="15" hidden="false" customHeight="false" outlineLevel="0" collapsed="false">
      <c r="A4894" s="5" t="n">
        <v>7</v>
      </c>
      <c r="B4894" s="5" t="n">
        <v>5</v>
      </c>
      <c r="C4894" s="5" t="s">
        <v>1843</v>
      </c>
      <c r="D4894" s="5" t="s">
        <v>1870</v>
      </c>
      <c r="E4894" s="5" t="n">
        <v>1</v>
      </c>
      <c r="F4894" s="6" t="n">
        <f aca="false">IFERROR(MATCH(A4894&amp;"|"&amp;B4894&amp;"|"&amp;D4894,'All Song Rankings'!$T:$T,0),0)</f>
        <v>739</v>
      </c>
      <c r="G4894" s="6" t="str">
        <f aca="false">IF(F4894=0,"NOT FOUND",INDEX('All Song Rankings'!$A:$A,F4894))</f>
        <v>You Make My Dreams (Come True)</v>
      </c>
      <c r="H4894" s="6" t="str">
        <f aca="false">IF(F4894=0,"NOT FOUND",INDEX('All Song Rankings'!$B:$B,F4894))</f>
        <v>Daryl Hall &amp; John Oates</v>
      </c>
      <c r="I4894" s="6" t="str">
        <f aca="false">IF(F4894=0,"NOT FOUND",INDEX('All Song Rankings'!$D:$D,F4894))</f>
        <v>Grace</v>
      </c>
      <c r="J4894" s="7" t="str">
        <f aca="false">IF(F4894=0,"NOT FOUND",IF(C4894=I4894,"SELF-VOTE",IF(COUNTIF($K:$K,K4894)&gt;1,"DUPLICATE","OK")))</f>
        <v>OK</v>
      </c>
      <c r="K4894" s="6" t="str">
        <f aca="false">A4894&amp;"|"&amp;B4894&amp;"|"&amp;C4894&amp;"|"&amp;D4894</f>
        <v>7|5|Josh|spotify:track:4o6BgsqLIBViaGVbx5rbRk</v>
      </c>
    </row>
    <row r="4895" customFormat="false" ht="15" hidden="false" customHeight="false" outlineLevel="0" collapsed="false">
      <c r="A4895" s="5" t="n">
        <v>7</v>
      </c>
      <c r="B4895" s="5" t="n">
        <v>5</v>
      </c>
      <c r="C4895" s="5" t="s">
        <v>1843</v>
      </c>
      <c r="D4895" s="5" t="s">
        <v>2185</v>
      </c>
      <c r="E4895" s="5" t="n">
        <v>1</v>
      </c>
      <c r="F4895" s="6" t="n">
        <f aca="false">IFERROR(MATCH(A4895&amp;"|"&amp;B4895&amp;"|"&amp;D4895,'All Song Rankings'!$T:$T,0),0)</f>
        <v>734</v>
      </c>
      <c r="G4895" s="6" t="str">
        <f aca="false">IF(F4895=0,"NOT FOUND",INDEX('All Song Rankings'!$A:$A,F4895))</f>
        <v>Girls Just Want to Have Fun</v>
      </c>
      <c r="H4895" s="6" t="str">
        <f aca="false">IF(F4895=0,"NOT FOUND",INDEX('All Song Rankings'!$B:$B,F4895))</f>
        <v>Cyndi Lauper</v>
      </c>
      <c r="I4895" s="6" t="str">
        <f aca="false">IF(F4895=0,"NOT FOUND",INDEX('All Song Rankings'!$D:$D,F4895))</f>
        <v>Lucia</v>
      </c>
      <c r="J4895" s="7" t="str">
        <f aca="false">IF(F4895=0,"NOT FOUND",IF(C4895=I4895,"SELF-VOTE",IF(COUNTIF($K:$K,K4895)&gt;1,"DUPLICATE","OK")))</f>
        <v>OK</v>
      </c>
      <c r="K4895" s="6" t="str">
        <f aca="false">A4895&amp;"|"&amp;B4895&amp;"|"&amp;C4895&amp;"|"&amp;D4895</f>
        <v>7|5|Josh|spotify:track:4y1LsJpmMti1PfRQV9AWWe</v>
      </c>
    </row>
    <row r="4896" customFormat="false" ht="15" hidden="false" customHeight="false" outlineLevel="0" collapsed="false">
      <c r="A4896" s="5" t="n">
        <v>7</v>
      </c>
      <c r="B4896" s="5" t="n">
        <v>5</v>
      </c>
      <c r="C4896" s="5" t="s">
        <v>1843</v>
      </c>
      <c r="D4896" s="5" t="s">
        <v>2200</v>
      </c>
      <c r="E4896" s="5" t="n">
        <v>1</v>
      </c>
      <c r="F4896" s="6" t="n">
        <f aca="false">IFERROR(MATCH(A4896&amp;"|"&amp;B4896&amp;"|"&amp;D4896,'All Song Rankings'!$T:$T,0),0)</f>
        <v>741</v>
      </c>
      <c r="G4896" s="6" t="str">
        <f aca="false">IF(F4896=0,"NOT FOUND",INDEX('All Song Rankings'!$A:$A,F4896))</f>
        <v>Don't Change</v>
      </c>
      <c r="H4896" s="6" t="str">
        <f aca="false">IF(F4896=0,"NOT FOUND",INDEX('All Song Rankings'!$B:$B,F4896))</f>
        <v>INXS</v>
      </c>
      <c r="I4896" s="6" t="str">
        <f aca="false">IF(F4896=0,"NOT FOUND",INDEX('All Song Rankings'!$D:$D,F4896))</f>
        <v>Christine</v>
      </c>
      <c r="J4896" s="7" t="str">
        <f aca="false">IF(F4896=0,"NOT FOUND",IF(C4896=I4896,"SELF-VOTE",IF(COUNTIF($K:$K,K4896)&gt;1,"DUPLICATE","OK")))</f>
        <v>OK</v>
      </c>
      <c r="K4896" s="6" t="str">
        <f aca="false">A4896&amp;"|"&amp;B4896&amp;"|"&amp;C4896&amp;"|"&amp;D4896</f>
        <v>7|5|Josh|spotify:track:6ck0CGe9BN9gW5oMmzbhs9</v>
      </c>
    </row>
    <row r="4897" customFormat="false" ht="15" hidden="false" customHeight="false" outlineLevel="0" collapsed="false">
      <c r="A4897" s="5" t="n">
        <v>7</v>
      </c>
      <c r="B4897" s="5" t="n">
        <v>5</v>
      </c>
      <c r="C4897" s="5" t="s">
        <v>85</v>
      </c>
      <c r="D4897" s="5" t="s">
        <v>2191</v>
      </c>
      <c r="E4897" s="5" t="n">
        <v>1</v>
      </c>
      <c r="F4897" s="6" t="n">
        <f aca="false">IFERROR(MATCH(A4897&amp;"|"&amp;B4897&amp;"|"&amp;D4897,'All Song Rankings'!$T:$T,0),0)</f>
        <v>737</v>
      </c>
      <c r="G4897" s="6" t="str">
        <f aca="false">IF(F4897=0,"NOT FOUND",INDEX('All Song Rankings'!$A:$A,F4897))</f>
        <v>Faith - Remastered</v>
      </c>
      <c r="H4897" s="6" t="str">
        <f aca="false">IF(F4897=0,"NOT FOUND",INDEX('All Song Rankings'!$B:$B,F4897))</f>
        <v>George Michael</v>
      </c>
      <c r="I4897" s="6" t="str">
        <f aca="false">IF(F4897=0,"NOT FOUND",INDEX('All Song Rankings'!$D:$D,F4897))</f>
        <v>Logan</v>
      </c>
      <c r="J4897" s="7" t="str">
        <f aca="false">IF(F4897=0,"NOT FOUND",IF(C4897=I4897,"SELF-VOTE",IF(COUNTIF($K:$K,K4897)&gt;1,"DUPLICATE","OK")))</f>
        <v>OK</v>
      </c>
      <c r="K4897" s="6" t="str">
        <f aca="false">A4897&amp;"|"&amp;B4897&amp;"|"&amp;C4897&amp;"|"&amp;D4897</f>
        <v>7|5|Kelsey|spotify:track:0HEmnAUT8PHznIAAmVXqFJ</v>
      </c>
    </row>
    <row r="4898" customFormat="false" ht="15" hidden="false" customHeight="false" outlineLevel="0" collapsed="false">
      <c r="A4898" s="5" t="n">
        <v>7</v>
      </c>
      <c r="B4898" s="5" t="n">
        <v>5</v>
      </c>
      <c r="C4898" s="5" t="s">
        <v>85</v>
      </c>
      <c r="D4898" s="5" t="s">
        <v>2194</v>
      </c>
      <c r="E4898" s="5" t="n">
        <v>1</v>
      </c>
      <c r="F4898" s="6" t="n">
        <f aca="false">IFERROR(MATCH(A4898&amp;"|"&amp;B4898&amp;"|"&amp;D4898,'All Song Rankings'!$T:$T,0),0)</f>
        <v>738</v>
      </c>
      <c r="G4898" s="6" t="str">
        <f aca="false">IF(F4898=0,"NOT FOUND",INDEX('All Song Rankings'!$A:$A,F4898))</f>
        <v>You Spin Me Round (Like a Record)</v>
      </c>
      <c r="H4898" s="6" t="str">
        <f aca="false">IF(F4898=0,"NOT FOUND",INDEX('All Song Rankings'!$B:$B,F4898))</f>
        <v>Dead or Alive</v>
      </c>
      <c r="I4898" s="6" t="str">
        <f aca="false">IF(F4898=0,"NOT FOUND",INDEX('All Song Rankings'!$D:$D,F4898))</f>
        <v>Leah</v>
      </c>
      <c r="J4898" s="7" t="str">
        <f aca="false">IF(F4898=0,"NOT FOUND",IF(C4898=I4898,"SELF-VOTE",IF(COUNTIF($K:$K,K4898)&gt;1,"DUPLICATE","OK")))</f>
        <v>OK</v>
      </c>
      <c r="K4898" s="6" t="str">
        <f aca="false">A4898&amp;"|"&amp;B4898&amp;"|"&amp;C4898&amp;"|"&amp;D4898</f>
        <v>7|5|Kelsey|spotify:track:1ChulFMnwxoD74Me8eX2TU</v>
      </c>
    </row>
    <row r="4899" customFormat="false" ht="15" hidden="false" customHeight="false" outlineLevel="0" collapsed="false">
      <c r="A4899" s="5" t="n">
        <v>7</v>
      </c>
      <c r="B4899" s="5" t="n">
        <v>5</v>
      </c>
      <c r="C4899" s="5" t="s">
        <v>85</v>
      </c>
      <c r="D4899" s="5" t="s">
        <v>2188</v>
      </c>
      <c r="E4899" s="5" t="n">
        <v>1</v>
      </c>
      <c r="F4899" s="6" t="n">
        <f aca="false">IFERROR(MATCH(A4899&amp;"|"&amp;B4899&amp;"|"&amp;D4899,'All Song Rankings'!$T:$T,0),0)</f>
        <v>736</v>
      </c>
      <c r="G4899" s="6" t="str">
        <f aca="false">IF(F4899=0,"NOT FOUND",INDEX('All Song Rankings'!$A:$A,F4899))</f>
        <v>Hungry Like the Wolf - 2009 Remaster</v>
      </c>
      <c r="H4899" s="6" t="str">
        <f aca="false">IF(F4899=0,"NOT FOUND",INDEX('All Song Rankings'!$B:$B,F4899))</f>
        <v>Duran Duran</v>
      </c>
      <c r="I4899" s="6" t="str">
        <f aca="false">IF(F4899=0,"NOT FOUND",INDEX('All Song Rankings'!$D:$D,F4899))</f>
        <v>Colleen</v>
      </c>
      <c r="J4899" s="7" t="str">
        <f aca="false">IF(F4899=0,"NOT FOUND",IF(C4899=I4899,"SELF-VOTE",IF(COUNTIF($K:$K,K4899)&gt;1,"DUPLICATE","OK")))</f>
        <v>OK</v>
      </c>
      <c r="K4899" s="6" t="str">
        <f aca="false">A4899&amp;"|"&amp;B4899&amp;"|"&amp;C4899&amp;"|"&amp;D4899</f>
        <v>7|5|Kelsey|spotify:track:39lSeqnyjZJejRuaREfyLL</v>
      </c>
    </row>
    <row r="4900" customFormat="false" ht="15" hidden="false" customHeight="false" outlineLevel="0" collapsed="false">
      <c r="A4900" s="5" t="n">
        <v>7</v>
      </c>
      <c r="B4900" s="5" t="n">
        <v>5</v>
      </c>
      <c r="C4900" s="5" t="s">
        <v>85</v>
      </c>
      <c r="D4900" s="5" t="s">
        <v>2197</v>
      </c>
      <c r="E4900" s="5" t="n">
        <v>1</v>
      </c>
      <c r="F4900" s="6" t="n">
        <f aca="false">IFERROR(MATCH(A4900&amp;"|"&amp;B4900&amp;"|"&amp;D4900,'All Song Rankings'!$T:$T,0),0)</f>
        <v>740</v>
      </c>
      <c r="G4900" s="6" t="str">
        <f aca="false">IF(F4900=0,"NOT FOUND",INDEX('All Song Rankings'!$A:$A,F4900))</f>
        <v>Dancing with Myself</v>
      </c>
      <c r="H4900" s="6" t="str">
        <f aca="false">IF(F4900=0,"NOT FOUND",INDEX('All Song Rankings'!$B:$B,F4900))</f>
        <v>Billy Idol</v>
      </c>
      <c r="I4900" s="6" t="str">
        <f aca="false">IF(F4900=0,"NOT FOUND",INDEX('All Song Rankings'!$D:$D,F4900))</f>
        <v>Josh</v>
      </c>
      <c r="J4900" s="7" t="str">
        <f aca="false">IF(F4900=0,"NOT FOUND",IF(C4900=I4900,"SELF-VOTE",IF(COUNTIF($K:$K,K4900)&gt;1,"DUPLICATE","OK")))</f>
        <v>OK</v>
      </c>
      <c r="K4900" s="6" t="str">
        <f aca="false">A4900&amp;"|"&amp;B4900&amp;"|"&amp;C4900&amp;"|"&amp;D4900</f>
        <v>7|5|Kelsey|spotify:track:3rQfYDjgpRy5LFlClpPQW9</v>
      </c>
    </row>
    <row r="4901" customFormat="false" ht="15" hidden="false" customHeight="false" outlineLevel="0" collapsed="false">
      <c r="A4901" s="5" t="n">
        <v>7</v>
      </c>
      <c r="B4901" s="5" t="n">
        <v>5</v>
      </c>
      <c r="C4901" s="5" t="s">
        <v>85</v>
      </c>
      <c r="D4901" s="5" t="s">
        <v>2182</v>
      </c>
      <c r="E4901" s="5" t="n">
        <v>2</v>
      </c>
      <c r="F4901" s="6" t="n">
        <f aca="false">IFERROR(MATCH(A4901&amp;"|"&amp;B4901&amp;"|"&amp;D4901,'All Song Rankings'!$T:$T,0),0)</f>
        <v>733</v>
      </c>
      <c r="G4901" s="6" t="str">
        <f aca="false">IF(F4901=0,"NOT FOUND",INDEX('All Song Rankings'!$A:$A,F4901))</f>
        <v>Everybody Wants To Rule The World</v>
      </c>
      <c r="H4901" s="6" t="str">
        <f aca="false">IF(F4901=0,"NOT FOUND",INDEX('All Song Rankings'!$B:$B,F4901))</f>
        <v>Tears for Fears</v>
      </c>
      <c r="I4901" s="6" t="str">
        <f aca="false">IF(F4901=0,"NOT FOUND",INDEX('All Song Rankings'!$D:$D,F4901))</f>
        <v>Lisa</v>
      </c>
      <c r="J4901" s="7" t="str">
        <f aca="false">IF(F4901=0,"NOT FOUND",IF(C4901=I4901,"SELF-VOTE",IF(COUNTIF($K:$K,K4901)&gt;1,"DUPLICATE","OK")))</f>
        <v>OK</v>
      </c>
      <c r="K4901" s="6" t="str">
        <f aca="false">A4901&amp;"|"&amp;B4901&amp;"|"&amp;C4901&amp;"|"&amp;D4901</f>
        <v>7|5|Kelsey|spotify:track:4RvWPyQ5RL0ao9LPZeSouE</v>
      </c>
    </row>
    <row r="4902" customFormat="false" ht="15" hidden="false" customHeight="false" outlineLevel="0" collapsed="false">
      <c r="A4902" s="5" t="n">
        <v>7</v>
      </c>
      <c r="B4902" s="5" t="n">
        <v>5</v>
      </c>
      <c r="C4902" s="5" t="s">
        <v>85</v>
      </c>
      <c r="D4902" s="5" t="s">
        <v>1870</v>
      </c>
      <c r="E4902" s="5" t="n">
        <v>1</v>
      </c>
      <c r="F4902" s="6" t="n">
        <f aca="false">IFERROR(MATCH(A4902&amp;"|"&amp;B4902&amp;"|"&amp;D4902,'All Song Rankings'!$T:$T,0),0)</f>
        <v>739</v>
      </c>
      <c r="G4902" s="6" t="str">
        <f aca="false">IF(F4902=0,"NOT FOUND",INDEX('All Song Rankings'!$A:$A,F4902))</f>
        <v>You Make My Dreams (Come True)</v>
      </c>
      <c r="H4902" s="6" t="str">
        <f aca="false">IF(F4902=0,"NOT FOUND",INDEX('All Song Rankings'!$B:$B,F4902))</f>
        <v>Daryl Hall &amp; John Oates</v>
      </c>
      <c r="I4902" s="6" t="str">
        <f aca="false">IF(F4902=0,"NOT FOUND",INDEX('All Song Rankings'!$D:$D,F4902))</f>
        <v>Grace</v>
      </c>
      <c r="J4902" s="7" t="str">
        <f aca="false">IF(F4902=0,"NOT FOUND",IF(C4902=I4902,"SELF-VOTE",IF(COUNTIF($K:$K,K4902)&gt;1,"DUPLICATE","OK")))</f>
        <v>OK</v>
      </c>
      <c r="K4902" s="6" t="str">
        <f aca="false">A4902&amp;"|"&amp;B4902&amp;"|"&amp;C4902&amp;"|"&amp;D4902</f>
        <v>7|5|Kelsey|spotify:track:4o6BgsqLIBViaGVbx5rbRk</v>
      </c>
    </row>
    <row r="4903" customFormat="false" ht="15" hidden="false" customHeight="false" outlineLevel="0" collapsed="false">
      <c r="A4903" s="5" t="n">
        <v>7</v>
      </c>
      <c r="B4903" s="5" t="n">
        <v>5</v>
      </c>
      <c r="C4903" s="5" t="s">
        <v>85</v>
      </c>
      <c r="D4903" s="5" t="s">
        <v>2185</v>
      </c>
      <c r="E4903" s="5" t="n">
        <v>3</v>
      </c>
      <c r="F4903" s="6" t="n">
        <f aca="false">IFERROR(MATCH(A4903&amp;"|"&amp;B4903&amp;"|"&amp;D4903,'All Song Rankings'!$T:$T,0),0)</f>
        <v>734</v>
      </c>
      <c r="G4903" s="6" t="str">
        <f aca="false">IF(F4903=0,"NOT FOUND",INDEX('All Song Rankings'!$A:$A,F4903))</f>
        <v>Girls Just Want to Have Fun</v>
      </c>
      <c r="H4903" s="6" t="str">
        <f aca="false">IF(F4903=0,"NOT FOUND",INDEX('All Song Rankings'!$B:$B,F4903))</f>
        <v>Cyndi Lauper</v>
      </c>
      <c r="I4903" s="6" t="str">
        <f aca="false">IF(F4903=0,"NOT FOUND",INDEX('All Song Rankings'!$D:$D,F4903))</f>
        <v>Lucia</v>
      </c>
      <c r="J4903" s="7" t="str">
        <f aca="false">IF(F4903=0,"NOT FOUND",IF(C4903=I4903,"SELF-VOTE",IF(COUNTIF($K:$K,K4903)&gt;1,"DUPLICATE","OK")))</f>
        <v>OK</v>
      </c>
      <c r="K4903" s="6" t="str">
        <f aca="false">A4903&amp;"|"&amp;B4903&amp;"|"&amp;C4903&amp;"|"&amp;D4903</f>
        <v>7|5|Kelsey|spotify:track:4y1LsJpmMti1PfRQV9AWWe</v>
      </c>
    </row>
    <row r="4904" customFormat="false" ht="15" hidden="false" customHeight="false" outlineLevel="0" collapsed="false">
      <c r="A4904" s="5" t="n">
        <v>7</v>
      </c>
      <c r="B4904" s="5" t="n">
        <v>5</v>
      </c>
      <c r="C4904" s="5" t="s">
        <v>106</v>
      </c>
      <c r="D4904" s="5" t="s">
        <v>2191</v>
      </c>
      <c r="E4904" s="5" t="n">
        <v>1</v>
      </c>
      <c r="F4904" s="6" t="n">
        <f aca="false">IFERROR(MATCH(A4904&amp;"|"&amp;B4904&amp;"|"&amp;D4904,'All Song Rankings'!$T:$T,0),0)</f>
        <v>737</v>
      </c>
      <c r="G4904" s="6" t="str">
        <f aca="false">IF(F4904=0,"NOT FOUND",INDEX('All Song Rankings'!$A:$A,F4904))</f>
        <v>Faith - Remastered</v>
      </c>
      <c r="H4904" s="6" t="str">
        <f aca="false">IF(F4904=0,"NOT FOUND",INDEX('All Song Rankings'!$B:$B,F4904))</f>
        <v>George Michael</v>
      </c>
      <c r="I4904" s="6" t="str">
        <f aca="false">IF(F4904=0,"NOT FOUND",INDEX('All Song Rankings'!$D:$D,F4904))</f>
        <v>Logan</v>
      </c>
      <c r="J4904" s="7" t="str">
        <f aca="false">IF(F4904=0,"NOT FOUND",IF(C4904=I4904,"SELF-VOTE",IF(COUNTIF($K:$K,K4904)&gt;1,"DUPLICATE","OK")))</f>
        <v>OK</v>
      </c>
      <c r="K4904" s="6" t="str">
        <f aca="false">A4904&amp;"|"&amp;B4904&amp;"|"&amp;C4904&amp;"|"&amp;D4904</f>
        <v>7|5|Kristen|spotify:track:0HEmnAUT8PHznIAAmVXqFJ</v>
      </c>
    </row>
    <row r="4905" customFormat="false" ht="15" hidden="false" customHeight="false" outlineLevel="0" collapsed="false">
      <c r="A4905" s="5" t="n">
        <v>7</v>
      </c>
      <c r="B4905" s="5" t="n">
        <v>5</v>
      </c>
      <c r="C4905" s="5" t="s">
        <v>106</v>
      </c>
      <c r="D4905" s="5" t="s">
        <v>2194</v>
      </c>
      <c r="E4905" s="5" t="n">
        <v>2</v>
      </c>
      <c r="F4905" s="6" t="n">
        <f aca="false">IFERROR(MATCH(A4905&amp;"|"&amp;B4905&amp;"|"&amp;D4905,'All Song Rankings'!$T:$T,0),0)</f>
        <v>738</v>
      </c>
      <c r="G4905" s="6" t="str">
        <f aca="false">IF(F4905=0,"NOT FOUND",INDEX('All Song Rankings'!$A:$A,F4905))</f>
        <v>You Spin Me Round (Like a Record)</v>
      </c>
      <c r="H4905" s="6" t="str">
        <f aca="false">IF(F4905=0,"NOT FOUND",INDEX('All Song Rankings'!$B:$B,F4905))</f>
        <v>Dead or Alive</v>
      </c>
      <c r="I4905" s="6" t="str">
        <f aca="false">IF(F4905=0,"NOT FOUND",INDEX('All Song Rankings'!$D:$D,F4905))</f>
        <v>Leah</v>
      </c>
      <c r="J4905" s="7" t="str">
        <f aca="false">IF(F4905=0,"NOT FOUND",IF(C4905=I4905,"SELF-VOTE",IF(COUNTIF($K:$K,K4905)&gt;1,"DUPLICATE","OK")))</f>
        <v>OK</v>
      </c>
      <c r="K4905" s="6" t="str">
        <f aca="false">A4905&amp;"|"&amp;B4905&amp;"|"&amp;C4905&amp;"|"&amp;D4905</f>
        <v>7|5|Kristen|spotify:track:1ChulFMnwxoD74Me8eX2TU</v>
      </c>
    </row>
    <row r="4906" customFormat="false" ht="15" hidden="false" customHeight="false" outlineLevel="0" collapsed="false">
      <c r="A4906" s="5" t="n">
        <v>7</v>
      </c>
      <c r="B4906" s="5" t="n">
        <v>5</v>
      </c>
      <c r="C4906" s="5" t="s">
        <v>106</v>
      </c>
      <c r="D4906" s="5" t="s">
        <v>2188</v>
      </c>
      <c r="E4906" s="5" t="n">
        <v>2</v>
      </c>
      <c r="F4906" s="6" t="n">
        <f aca="false">IFERROR(MATCH(A4906&amp;"|"&amp;B4906&amp;"|"&amp;D4906,'All Song Rankings'!$T:$T,0),0)</f>
        <v>736</v>
      </c>
      <c r="G4906" s="6" t="str">
        <f aca="false">IF(F4906=0,"NOT FOUND",INDEX('All Song Rankings'!$A:$A,F4906))</f>
        <v>Hungry Like the Wolf - 2009 Remaster</v>
      </c>
      <c r="H4906" s="6" t="str">
        <f aca="false">IF(F4906=0,"NOT FOUND",INDEX('All Song Rankings'!$B:$B,F4906))</f>
        <v>Duran Duran</v>
      </c>
      <c r="I4906" s="6" t="str">
        <f aca="false">IF(F4906=0,"NOT FOUND",INDEX('All Song Rankings'!$D:$D,F4906))</f>
        <v>Colleen</v>
      </c>
      <c r="J4906" s="7" t="str">
        <f aca="false">IF(F4906=0,"NOT FOUND",IF(C4906=I4906,"SELF-VOTE",IF(COUNTIF($K:$K,K4906)&gt;1,"DUPLICATE","OK")))</f>
        <v>OK</v>
      </c>
      <c r="K4906" s="6" t="str">
        <f aca="false">A4906&amp;"|"&amp;B4906&amp;"|"&amp;C4906&amp;"|"&amp;D4906</f>
        <v>7|5|Kristen|spotify:track:39lSeqnyjZJejRuaREfyLL</v>
      </c>
    </row>
    <row r="4907" customFormat="false" ht="15" hidden="false" customHeight="false" outlineLevel="0" collapsed="false">
      <c r="A4907" s="5" t="n">
        <v>7</v>
      </c>
      <c r="B4907" s="5" t="n">
        <v>5</v>
      </c>
      <c r="C4907" s="5" t="s">
        <v>106</v>
      </c>
      <c r="D4907" s="5" t="s">
        <v>2197</v>
      </c>
      <c r="E4907" s="5" t="n">
        <v>1</v>
      </c>
      <c r="F4907" s="6" t="n">
        <f aca="false">IFERROR(MATCH(A4907&amp;"|"&amp;B4907&amp;"|"&amp;D4907,'All Song Rankings'!$T:$T,0),0)</f>
        <v>740</v>
      </c>
      <c r="G4907" s="6" t="str">
        <f aca="false">IF(F4907=0,"NOT FOUND",INDEX('All Song Rankings'!$A:$A,F4907))</f>
        <v>Dancing with Myself</v>
      </c>
      <c r="H4907" s="6" t="str">
        <f aca="false">IF(F4907=0,"NOT FOUND",INDEX('All Song Rankings'!$B:$B,F4907))</f>
        <v>Billy Idol</v>
      </c>
      <c r="I4907" s="6" t="str">
        <f aca="false">IF(F4907=0,"NOT FOUND",INDEX('All Song Rankings'!$D:$D,F4907))</f>
        <v>Josh</v>
      </c>
      <c r="J4907" s="7" t="str">
        <f aca="false">IF(F4907=0,"NOT FOUND",IF(C4907=I4907,"SELF-VOTE",IF(COUNTIF($K:$K,K4907)&gt;1,"DUPLICATE","OK")))</f>
        <v>OK</v>
      </c>
      <c r="K4907" s="6" t="str">
        <f aca="false">A4907&amp;"|"&amp;B4907&amp;"|"&amp;C4907&amp;"|"&amp;D4907</f>
        <v>7|5|Kristen|spotify:track:3rQfYDjgpRy5LFlClpPQW9</v>
      </c>
    </row>
    <row r="4908" customFormat="false" ht="15" hidden="false" customHeight="false" outlineLevel="0" collapsed="false">
      <c r="A4908" s="5" t="n">
        <v>7</v>
      </c>
      <c r="B4908" s="5" t="n">
        <v>5</v>
      </c>
      <c r="C4908" s="5" t="s">
        <v>106</v>
      </c>
      <c r="D4908" s="5" t="s">
        <v>2182</v>
      </c>
      <c r="E4908" s="5" t="n">
        <v>1</v>
      </c>
      <c r="F4908" s="6" t="n">
        <f aca="false">IFERROR(MATCH(A4908&amp;"|"&amp;B4908&amp;"|"&amp;D4908,'All Song Rankings'!$T:$T,0),0)</f>
        <v>733</v>
      </c>
      <c r="G4908" s="6" t="str">
        <f aca="false">IF(F4908=0,"NOT FOUND",INDEX('All Song Rankings'!$A:$A,F4908))</f>
        <v>Everybody Wants To Rule The World</v>
      </c>
      <c r="H4908" s="6" t="str">
        <f aca="false">IF(F4908=0,"NOT FOUND",INDEX('All Song Rankings'!$B:$B,F4908))</f>
        <v>Tears for Fears</v>
      </c>
      <c r="I4908" s="6" t="str">
        <f aca="false">IF(F4908=0,"NOT FOUND",INDEX('All Song Rankings'!$D:$D,F4908))</f>
        <v>Lisa</v>
      </c>
      <c r="J4908" s="7" t="str">
        <f aca="false">IF(F4908=0,"NOT FOUND",IF(C4908=I4908,"SELF-VOTE",IF(COUNTIF($K:$K,K4908)&gt;1,"DUPLICATE","OK")))</f>
        <v>OK</v>
      </c>
      <c r="K4908" s="6" t="str">
        <f aca="false">A4908&amp;"|"&amp;B4908&amp;"|"&amp;C4908&amp;"|"&amp;D4908</f>
        <v>7|5|Kristen|spotify:track:4RvWPyQ5RL0ao9LPZeSouE</v>
      </c>
    </row>
    <row r="4909" customFormat="false" ht="15" hidden="false" customHeight="false" outlineLevel="0" collapsed="false">
      <c r="A4909" s="5" t="n">
        <v>7</v>
      </c>
      <c r="B4909" s="5" t="n">
        <v>5</v>
      </c>
      <c r="C4909" s="5" t="s">
        <v>106</v>
      </c>
      <c r="D4909" s="5" t="s">
        <v>1870</v>
      </c>
      <c r="E4909" s="5" t="n">
        <v>1</v>
      </c>
      <c r="F4909" s="6" t="n">
        <f aca="false">IFERROR(MATCH(A4909&amp;"|"&amp;B4909&amp;"|"&amp;D4909,'All Song Rankings'!$T:$T,0),0)</f>
        <v>739</v>
      </c>
      <c r="G4909" s="6" t="str">
        <f aca="false">IF(F4909=0,"NOT FOUND",INDEX('All Song Rankings'!$A:$A,F4909))</f>
        <v>You Make My Dreams (Come True)</v>
      </c>
      <c r="H4909" s="6" t="str">
        <f aca="false">IF(F4909=0,"NOT FOUND",INDEX('All Song Rankings'!$B:$B,F4909))</f>
        <v>Daryl Hall &amp; John Oates</v>
      </c>
      <c r="I4909" s="6" t="str">
        <f aca="false">IF(F4909=0,"NOT FOUND",INDEX('All Song Rankings'!$D:$D,F4909))</f>
        <v>Grace</v>
      </c>
      <c r="J4909" s="7" t="str">
        <f aca="false">IF(F4909=0,"NOT FOUND",IF(C4909=I4909,"SELF-VOTE",IF(COUNTIF($K:$K,K4909)&gt;1,"DUPLICATE","OK")))</f>
        <v>OK</v>
      </c>
      <c r="K4909" s="6" t="str">
        <f aca="false">A4909&amp;"|"&amp;B4909&amp;"|"&amp;C4909&amp;"|"&amp;D4909</f>
        <v>7|5|Kristen|spotify:track:4o6BgsqLIBViaGVbx5rbRk</v>
      </c>
    </row>
    <row r="4910" customFormat="false" ht="15" hidden="false" customHeight="false" outlineLevel="0" collapsed="false">
      <c r="A4910" s="5" t="n">
        <v>7</v>
      </c>
      <c r="B4910" s="5" t="n">
        <v>5</v>
      </c>
      <c r="C4910" s="5" t="s">
        <v>106</v>
      </c>
      <c r="D4910" s="5" t="s">
        <v>2185</v>
      </c>
      <c r="E4910" s="5" t="n">
        <v>1</v>
      </c>
      <c r="F4910" s="6" t="n">
        <f aca="false">IFERROR(MATCH(A4910&amp;"|"&amp;B4910&amp;"|"&amp;D4910,'All Song Rankings'!$T:$T,0),0)</f>
        <v>734</v>
      </c>
      <c r="G4910" s="6" t="str">
        <f aca="false">IF(F4910=0,"NOT FOUND",INDEX('All Song Rankings'!$A:$A,F4910))</f>
        <v>Girls Just Want to Have Fun</v>
      </c>
      <c r="H4910" s="6" t="str">
        <f aca="false">IF(F4910=0,"NOT FOUND",INDEX('All Song Rankings'!$B:$B,F4910))</f>
        <v>Cyndi Lauper</v>
      </c>
      <c r="I4910" s="6" t="str">
        <f aca="false">IF(F4910=0,"NOT FOUND",INDEX('All Song Rankings'!$D:$D,F4910))</f>
        <v>Lucia</v>
      </c>
      <c r="J4910" s="7" t="str">
        <f aca="false">IF(F4910=0,"NOT FOUND",IF(C4910=I4910,"SELF-VOTE",IF(COUNTIF($K:$K,K4910)&gt;1,"DUPLICATE","OK")))</f>
        <v>OK</v>
      </c>
      <c r="K4910" s="6" t="str">
        <f aca="false">A4910&amp;"|"&amp;B4910&amp;"|"&amp;C4910&amp;"|"&amp;D4910</f>
        <v>7|5|Kristen|spotify:track:4y1LsJpmMti1PfRQV9AWWe</v>
      </c>
    </row>
    <row r="4911" customFormat="false" ht="15" hidden="false" customHeight="false" outlineLevel="0" collapsed="false">
      <c r="A4911" s="5" t="n">
        <v>7</v>
      </c>
      <c r="B4911" s="5" t="n">
        <v>5</v>
      </c>
      <c r="C4911" s="5" t="s">
        <v>106</v>
      </c>
      <c r="D4911" s="5" t="s">
        <v>2200</v>
      </c>
      <c r="E4911" s="5" t="n">
        <v>1</v>
      </c>
      <c r="F4911" s="6" t="n">
        <f aca="false">IFERROR(MATCH(A4911&amp;"|"&amp;B4911&amp;"|"&amp;D4911,'All Song Rankings'!$T:$T,0),0)</f>
        <v>741</v>
      </c>
      <c r="G4911" s="6" t="str">
        <f aca="false">IF(F4911=0,"NOT FOUND",INDEX('All Song Rankings'!$A:$A,F4911))</f>
        <v>Don't Change</v>
      </c>
      <c r="H4911" s="6" t="str">
        <f aca="false">IF(F4911=0,"NOT FOUND",INDEX('All Song Rankings'!$B:$B,F4911))</f>
        <v>INXS</v>
      </c>
      <c r="I4911" s="6" t="str">
        <f aca="false">IF(F4911=0,"NOT FOUND",INDEX('All Song Rankings'!$D:$D,F4911))</f>
        <v>Christine</v>
      </c>
      <c r="J4911" s="7" t="str">
        <f aca="false">IF(F4911=0,"NOT FOUND",IF(C4911=I4911,"SELF-VOTE",IF(COUNTIF($K:$K,K4911)&gt;1,"DUPLICATE","OK")))</f>
        <v>OK</v>
      </c>
      <c r="K4911" s="6" t="str">
        <f aca="false">A4911&amp;"|"&amp;B4911&amp;"|"&amp;C4911&amp;"|"&amp;D4911</f>
        <v>7|5|Kristen|spotify:track:6ck0CGe9BN9gW5oMmzbhs9</v>
      </c>
    </row>
    <row r="4912" customFormat="false" ht="15" hidden="false" customHeight="false" outlineLevel="0" collapsed="false">
      <c r="A4912" s="5" t="n">
        <v>7</v>
      </c>
      <c r="B4912" s="5" t="n">
        <v>5</v>
      </c>
      <c r="C4912" s="5" t="s">
        <v>119</v>
      </c>
      <c r="D4912" s="5" t="s">
        <v>2191</v>
      </c>
      <c r="E4912" s="5" t="n">
        <v>1</v>
      </c>
      <c r="F4912" s="6" t="n">
        <f aca="false">IFERROR(MATCH(A4912&amp;"|"&amp;B4912&amp;"|"&amp;D4912,'All Song Rankings'!$T:$T,0),0)</f>
        <v>737</v>
      </c>
      <c r="G4912" s="6" t="str">
        <f aca="false">IF(F4912=0,"NOT FOUND",INDEX('All Song Rankings'!$A:$A,F4912))</f>
        <v>Faith - Remastered</v>
      </c>
      <c r="H4912" s="6" t="str">
        <f aca="false">IF(F4912=0,"NOT FOUND",INDEX('All Song Rankings'!$B:$B,F4912))</f>
        <v>George Michael</v>
      </c>
      <c r="I4912" s="6" t="str">
        <f aca="false">IF(F4912=0,"NOT FOUND",INDEX('All Song Rankings'!$D:$D,F4912))</f>
        <v>Logan</v>
      </c>
      <c r="J4912" s="7" t="str">
        <f aca="false">IF(F4912=0,"NOT FOUND",IF(C4912=I4912,"SELF-VOTE",IF(COUNTIF($K:$K,K4912)&gt;1,"DUPLICATE","OK")))</f>
        <v>OK</v>
      </c>
      <c r="K4912" s="6" t="str">
        <f aca="false">A4912&amp;"|"&amp;B4912&amp;"|"&amp;C4912&amp;"|"&amp;D4912</f>
        <v>7|5|Leah|spotify:track:0HEmnAUT8PHznIAAmVXqFJ</v>
      </c>
    </row>
    <row r="4913" customFormat="false" ht="15" hidden="false" customHeight="false" outlineLevel="0" collapsed="false">
      <c r="A4913" s="5" t="n">
        <v>7</v>
      </c>
      <c r="B4913" s="5" t="n">
        <v>5</v>
      </c>
      <c r="C4913" s="5" t="s">
        <v>119</v>
      </c>
      <c r="D4913" s="5" t="s">
        <v>2202</v>
      </c>
      <c r="E4913" s="5" t="n">
        <v>1</v>
      </c>
      <c r="F4913" s="6" t="n">
        <f aca="false">IFERROR(MATCH(A4913&amp;"|"&amp;B4913&amp;"|"&amp;D4913,'All Song Rankings'!$T:$T,0),0)</f>
        <v>742</v>
      </c>
      <c r="G4913" s="6" t="str">
        <f aca="false">IF(F4913=0,"NOT FOUND",INDEX('All Song Rankings'!$A:$A,F4913))</f>
        <v>Dancing with Myself</v>
      </c>
      <c r="H4913" s="6" t="str">
        <f aca="false">IF(F4913=0,"NOT FOUND",INDEX('All Song Rankings'!$B:$B,F4913))</f>
        <v>Generation X</v>
      </c>
      <c r="I4913" s="6" t="str">
        <f aca="false">IF(F4913=0,"NOT FOUND",INDEX('All Song Rankings'!$D:$D,F4913))</f>
        <v>Merita</v>
      </c>
      <c r="J4913" s="7" t="str">
        <f aca="false">IF(F4913=0,"NOT FOUND",IF(C4913=I4913,"SELF-VOTE",IF(COUNTIF($K:$K,K4913)&gt;1,"DUPLICATE","OK")))</f>
        <v>OK</v>
      </c>
      <c r="K4913" s="6" t="str">
        <f aca="false">A4913&amp;"|"&amp;B4913&amp;"|"&amp;C4913&amp;"|"&amp;D4913</f>
        <v>7|5|Leah|spotify:track:1lEhKudlkpBsh6S7JyvvHs</v>
      </c>
    </row>
    <row r="4914" customFormat="false" ht="15" hidden="false" customHeight="false" outlineLevel="0" collapsed="false">
      <c r="A4914" s="5" t="n">
        <v>7</v>
      </c>
      <c r="B4914" s="5" t="n">
        <v>5</v>
      </c>
      <c r="C4914" s="5" t="s">
        <v>119</v>
      </c>
      <c r="D4914" s="5" t="s">
        <v>2212</v>
      </c>
      <c r="E4914" s="5" t="n">
        <v>1</v>
      </c>
      <c r="F4914" s="6" t="n">
        <f aca="false">IFERROR(MATCH(A4914&amp;"|"&amp;B4914&amp;"|"&amp;D4914,'All Song Rankings'!$T:$T,0),0)</f>
        <v>745</v>
      </c>
      <c r="G4914" s="6" t="str">
        <f aca="false">IF(F4914=0,"NOT FOUND",INDEX('All Song Rankings'!$A:$A,F4914))</f>
        <v>In A Big Country - Radio Edit</v>
      </c>
      <c r="H4914" s="6" t="str">
        <f aca="false">IF(F4914=0,"NOT FOUND",INDEX('All Song Rankings'!$B:$B,F4914))</f>
        <v>Big Country</v>
      </c>
      <c r="I4914" s="6" t="str">
        <f aca="false">IF(F4914=0,"NOT FOUND",INDEX('All Song Rankings'!$D:$D,F4914))</f>
        <v>Kristen</v>
      </c>
      <c r="J4914" s="7" t="str">
        <f aca="false">IF(F4914=0,"NOT FOUND",IF(C4914=I4914,"SELF-VOTE",IF(COUNTIF($K:$K,K4914)&gt;1,"DUPLICATE","OK")))</f>
        <v>OK</v>
      </c>
      <c r="K4914" s="6" t="str">
        <f aca="false">A4914&amp;"|"&amp;B4914&amp;"|"&amp;C4914&amp;"|"&amp;D4914</f>
        <v>7|5|Leah|spotify:track:2eKuTki5i6iuxgzDHyqD6Q</v>
      </c>
    </row>
    <row r="4915" customFormat="false" ht="15" hidden="false" customHeight="false" outlineLevel="0" collapsed="false">
      <c r="A4915" s="5" t="n">
        <v>7</v>
      </c>
      <c r="B4915" s="5" t="n">
        <v>5</v>
      </c>
      <c r="C4915" s="5" t="s">
        <v>119</v>
      </c>
      <c r="D4915" s="5" t="s">
        <v>2205</v>
      </c>
      <c r="E4915" s="5" t="n">
        <v>1</v>
      </c>
      <c r="F4915" s="6" t="n">
        <f aca="false">IFERROR(MATCH(A4915&amp;"|"&amp;B4915&amp;"|"&amp;D4915,'All Song Rankings'!$T:$T,0),0)</f>
        <v>743</v>
      </c>
      <c r="G4915" s="6" t="str">
        <f aca="false">IF(F4915=0,"NOT FOUND",INDEX('All Song Rankings'!$A:$A,F4915))</f>
        <v>Endless Summer Nights</v>
      </c>
      <c r="H4915" s="6" t="str">
        <f aca="false">IF(F4915=0,"NOT FOUND",INDEX('All Song Rankings'!$B:$B,F4915))</f>
        <v>Richard Marx</v>
      </c>
      <c r="I4915" s="6" t="str">
        <f aca="false">IF(F4915=0,"NOT FOUND",INDEX('All Song Rankings'!$D:$D,F4915))</f>
        <v>Stephanie</v>
      </c>
      <c r="J4915" s="7" t="str">
        <f aca="false">IF(F4915=0,"NOT FOUND",IF(C4915=I4915,"SELF-VOTE",IF(COUNTIF($K:$K,K4915)&gt;1,"DUPLICATE","OK")))</f>
        <v>OK</v>
      </c>
      <c r="K4915" s="6" t="str">
        <f aca="false">A4915&amp;"|"&amp;B4915&amp;"|"&amp;C4915&amp;"|"&amp;D4915</f>
        <v>7|5|Leah|spotify:track:2iXH35MhsqO5Ry8a7iptpJ</v>
      </c>
    </row>
    <row r="4916" customFormat="false" ht="15" hidden="false" customHeight="false" outlineLevel="0" collapsed="false">
      <c r="A4916" s="5" t="n">
        <v>7</v>
      </c>
      <c r="B4916" s="5" t="n">
        <v>5</v>
      </c>
      <c r="C4916" s="5" t="s">
        <v>119</v>
      </c>
      <c r="D4916" s="5" t="s">
        <v>2188</v>
      </c>
      <c r="E4916" s="5" t="n">
        <v>1</v>
      </c>
      <c r="F4916" s="6" t="n">
        <f aca="false">IFERROR(MATCH(A4916&amp;"|"&amp;B4916&amp;"|"&amp;D4916,'All Song Rankings'!$T:$T,0),0)</f>
        <v>736</v>
      </c>
      <c r="G4916" s="6" t="str">
        <f aca="false">IF(F4916=0,"NOT FOUND",INDEX('All Song Rankings'!$A:$A,F4916))</f>
        <v>Hungry Like the Wolf - 2009 Remaster</v>
      </c>
      <c r="H4916" s="6" t="str">
        <f aca="false">IF(F4916=0,"NOT FOUND",INDEX('All Song Rankings'!$B:$B,F4916))</f>
        <v>Duran Duran</v>
      </c>
      <c r="I4916" s="6" t="str">
        <f aca="false">IF(F4916=0,"NOT FOUND",INDEX('All Song Rankings'!$D:$D,F4916))</f>
        <v>Colleen</v>
      </c>
      <c r="J4916" s="7" t="str">
        <f aca="false">IF(F4916=0,"NOT FOUND",IF(C4916=I4916,"SELF-VOTE",IF(COUNTIF($K:$K,K4916)&gt;1,"DUPLICATE","OK")))</f>
        <v>OK</v>
      </c>
      <c r="K4916" s="6" t="str">
        <f aca="false">A4916&amp;"|"&amp;B4916&amp;"|"&amp;C4916&amp;"|"&amp;D4916</f>
        <v>7|5|Leah|spotify:track:39lSeqnyjZJejRuaREfyLL</v>
      </c>
    </row>
    <row r="4917" customFormat="false" ht="15" hidden="false" customHeight="false" outlineLevel="0" collapsed="false">
      <c r="A4917" s="5" t="n">
        <v>7</v>
      </c>
      <c r="B4917" s="5" t="n">
        <v>5</v>
      </c>
      <c r="C4917" s="5" t="s">
        <v>119</v>
      </c>
      <c r="D4917" s="5" t="s">
        <v>2197</v>
      </c>
      <c r="E4917" s="5" t="n">
        <v>1</v>
      </c>
      <c r="F4917" s="6" t="n">
        <f aca="false">IFERROR(MATCH(A4917&amp;"|"&amp;B4917&amp;"|"&amp;D4917,'All Song Rankings'!$T:$T,0),0)</f>
        <v>740</v>
      </c>
      <c r="G4917" s="6" t="str">
        <f aca="false">IF(F4917=0,"NOT FOUND",INDEX('All Song Rankings'!$A:$A,F4917))</f>
        <v>Dancing with Myself</v>
      </c>
      <c r="H4917" s="6" t="str">
        <f aca="false">IF(F4917=0,"NOT FOUND",INDEX('All Song Rankings'!$B:$B,F4917))</f>
        <v>Billy Idol</v>
      </c>
      <c r="I4917" s="6" t="str">
        <f aca="false">IF(F4917=0,"NOT FOUND",INDEX('All Song Rankings'!$D:$D,F4917))</f>
        <v>Josh</v>
      </c>
      <c r="J4917" s="7" t="str">
        <f aca="false">IF(F4917=0,"NOT FOUND",IF(C4917=I4917,"SELF-VOTE",IF(COUNTIF($K:$K,K4917)&gt;1,"DUPLICATE","OK")))</f>
        <v>OK</v>
      </c>
      <c r="K4917" s="6" t="str">
        <f aca="false">A4917&amp;"|"&amp;B4917&amp;"|"&amp;C4917&amp;"|"&amp;D4917</f>
        <v>7|5|Leah|spotify:track:3rQfYDjgpRy5LFlClpPQW9</v>
      </c>
    </row>
    <row r="4918" customFormat="false" ht="15" hidden="false" customHeight="false" outlineLevel="0" collapsed="false">
      <c r="A4918" s="5" t="n">
        <v>7</v>
      </c>
      <c r="B4918" s="5" t="n">
        <v>5</v>
      </c>
      <c r="C4918" s="5" t="s">
        <v>119</v>
      </c>
      <c r="D4918" s="5" t="s">
        <v>2182</v>
      </c>
      <c r="E4918" s="5" t="n">
        <v>2</v>
      </c>
      <c r="F4918" s="6" t="n">
        <f aca="false">IFERROR(MATCH(A4918&amp;"|"&amp;B4918&amp;"|"&amp;D4918,'All Song Rankings'!$T:$T,0),0)</f>
        <v>733</v>
      </c>
      <c r="G4918" s="6" t="str">
        <f aca="false">IF(F4918=0,"NOT FOUND",INDEX('All Song Rankings'!$A:$A,F4918))</f>
        <v>Everybody Wants To Rule The World</v>
      </c>
      <c r="H4918" s="6" t="str">
        <f aca="false">IF(F4918=0,"NOT FOUND",INDEX('All Song Rankings'!$B:$B,F4918))</f>
        <v>Tears for Fears</v>
      </c>
      <c r="I4918" s="6" t="str">
        <f aca="false">IF(F4918=0,"NOT FOUND",INDEX('All Song Rankings'!$D:$D,F4918))</f>
        <v>Lisa</v>
      </c>
      <c r="J4918" s="7" t="str">
        <f aca="false">IF(F4918=0,"NOT FOUND",IF(C4918=I4918,"SELF-VOTE",IF(COUNTIF($K:$K,K4918)&gt;1,"DUPLICATE","OK")))</f>
        <v>OK</v>
      </c>
      <c r="K4918" s="6" t="str">
        <f aca="false">A4918&amp;"|"&amp;B4918&amp;"|"&amp;C4918&amp;"|"&amp;D4918</f>
        <v>7|5|Leah|spotify:track:4RvWPyQ5RL0ao9LPZeSouE</v>
      </c>
    </row>
    <row r="4919" customFormat="false" ht="15" hidden="false" customHeight="false" outlineLevel="0" collapsed="false">
      <c r="A4919" s="5" t="n">
        <v>7</v>
      </c>
      <c r="B4919" s="5" t="n">
        <v>5</v>
      </c>
      <c r="C4919" s="5" t="s">
        <v>119</v>
      </c>
      <c r="D4919" s="5" t="s">
        <v>1870</v>
      </c>
      <c r="E4919" s="5" t="n">
        <v>1</v>
      </c>
      <c r="F4919" s="6" t="n">
        <f aca="false">IFERROR(MATCH(A4919&amp;"|"&amp;B4919&amp;"|"&amp;D4919,'All Song Rankings'!$T:$T,0),0)</f>
        <v>739</v>
      </c>
      <c r="G4919" s="6" t="str">
        <f aca="false">IF(F4919=0,"NOT FOUND",INDEX('All Song Rankings'!$A:$A,F4919))</f>
        <v>You Make My Dreams (Come True)</v>
      </c>
      <c r="H4919" s="6" t="str">
        <f aca="false">IF(F4919=0,"NOT FOUND",INDEX('All Song Rankings'!$B:$B,F4919))</f>
        <v>Daryl Hall &amp; John Oates</v>
      </c>
      <c r="I4919" s="6" t="str">
        <f aca="false">IF(F4919=0,"NOT FOUND",INDEX('All Song Rankings'!$D:$D,F4919))</f>
        <v>Grace</v>
      </c>
      <c r="J4919" s="7" t="str">
        <f aca="false">IF(F4919=0,"NOT FOUND",IF(C4919=I4919,"SELF-VOTE",IF(COUNTIF($K:$K,K4919)&gt;1,"DUPLICATE","OK")))</f>
        <v>OK</v>
      </c>
      <c r="K4919" s="6" t="str">
        <f aca="false">A4919&amp;"|"&amp;B4919&amp;"|"&amp;C4919&amp;"|"&amp;D4919</f>
        <v>7|5|Leah|spotify:track:4o6BgsqLIBViaGVbx5rbRk</v>
      </c>
    </row>
    <row r="4920" customFormat="false" ht="15" hidden="false" customHeight="false" outlineLevel="0" collapsed="false">
      <c r="A4920" s="5" t="n">
        <v>7</v>
      </c>
      <c r="B4920" s="5" t="n">
        <v>5</v>
      </c>
      <c r="C4920" s="5" t="s">
        <v>119</v>
      </c>
      <c r="D4920" s="5" t="s">
        <v>2200</v>
      </c>
      <c r="E4920" s="5" t="n">
        <v>1</v>
      </c>
      <c r="F4920" s="6" t="n">
        <f aca="false">IFERROR(MATCH(A4920&amp;"|"&amp;B4920&amp;"|"&amp;D4920,'All Song Rankings'!$T:$T,0),0)</f>
        <v>741</v>
      </c>
      <c r="G4920" s="6" t="str">
        <f aca="false">IF(F4920=0,"NOT FOUND",INDEX('All Song Rankings'!$A:$A,F4920))</f>
        <v>Don't Change</v>
      </c>
      <c r="H4920" s="6" t="str">
        <f aca="false">IF(F4920=0,"NOT FOUND",INDEX('All Song Rankings'!$B:$B,F4920))</f>
        <v>INXS</v>
      </c>
      <c r="I4920" s="6" t="str">
        <f aca="false">IF(F4920=0,"NOT FOUND",INDEX('All Song Rankings'!$D:$D,F4920))</f>
        <v>Christine</v>
      </c>
      <c r="J4920" s="7" t="str">
        <f aca="false">IF(F4920=0,"NOT FOUND",IF(C4920=I4920,"SELF-VOTE",IF(COUNTIF($K:$K,K4920)&gt;1,"DUPLICATE","OK")))</f>
        <v>OK</v>
      </c>
      <c r="K4920" s="6" t="str">
        <f aca="false">A4920&amp;"|"&amp;B4920&amp;"|"&amp;C4920&amp;"|"&amp;D4920</f>
        <v>7|5|Leah|spotify:track:6ck0CGe9BN9gW5oMmzbhs9</v>
      </c>
    </row>
    <row r="4921" customFormat="false" ht="15" hidden="false" customHeight="false" outlineLevel="0" collapsed="false">
      <c r="A4921" s="5" t="n">
        <v>7</v>
      </c>
      <c r="B4921" s="5" t="n">
        <v>5</v>
      </c>
      <c r="C4921" s="5" t="s">
        <v>705</v>
      </c>
      <c r="D4921" s="5" t="s">
        <v>2191</v>
      </c>
      <c r="E4921" s="5" t="n">
        <v>1</v>
      </c>
      <c r="F4921" s="6" t="n">
        <f aca="false">IFERROR(MATCH(A4921&amp;"|"&amp;B4921&amp;"|"&amp;D4921,'All Song Rankings'!$T:$T,0),0)</f>
        <v>737</v>
      </c>
      <c r="G4921" s="6" t="str">
        <f aca="false">IF(F4921=0,"NOT FOUND",INDEX('All Song Rankings'!$A:$A,F4921))</f>
        <v>Faith - Remastered</v>
      </c>
      <c r="H4921" s="6" t="str">
        <f aca="false">IF(F4921=0,"NOT FOUND",INDEX('All Song Rankings'!$B:$B,F4921))</f>
        <v>George Michael</v>
      </c>
      <c r="I4921" s="6" t="str">
        <f aca="false">IF(F4921=0,"NOT FOUND",INDEX('All Song Rankings'!$D:$D,F4921))</f>
        <v>Logan</v>
      </c>
      <c r="J4921" s="7" t="str">
        <f aca="false">IF(F4921=0,"NOT FOUND",IF(C4921=I4921,"SELF-VOTE",IF(COUNTIF($K:$K,K4921)&gt;1,"DUPLICATE","OK")))</f>
        <v>OK</v>
      </c>
      <c r="K4921" s="6" t="str">
        <f aca="false">A4921&amp;"|"&amp;B4921&amp;"|"&amp;C4921&amp;"|"&amp;D4921</f>
        <v>7|5|Lisa|spotify:track:0HEmnAUT8PHznIAAmVXqFJ</v>
      </c>
    </row>
    <row r="4922" customFormat="false" ht="15" hidden="false" customHeight="false" outlineLevel="0" collapsed="false">
      <c r="A4922" s="5" t="n">
        <v>7</v>
      </c>
      <c r="B4922" s="5" t="n">
        <v>5</v>
      </c>
      <c r="C4922" s="5" t="s">
        <v>705</v>
      </c>
      <c r="D4922" s="5" t="s">
        <v>2194</v>
      </c>
      <c r="E4922" s="5" t="n">
        <v>1</v>
      </c>
      <c r="F4922" s="6" t="n">
        <f aca="false">IFERROR(MATCH(A4922&amp;"|"&amp;B4922&amp;"|"&amp;D4922,'All Song Rankings'!$T:$T,0),0)</f>
        <v>738</v>
      </c>
      <c r="G4922" s="6" t="str">
        <f aca="false">IF(F4922=0,"NOT FOUND",INDEX('All Song Rankings'!$A:$A,F4922))</f>
        <v>You Spin Me Round (Like a Record)</v>
      </c>
      <c r="H4922" s="6" t="str">
        <f aca="false">IF(F4922=0,"NOT FOUND",INDEX('All Song Rankings'!$B:$B,F4922))</f>
        <v>Dead or Alive</v>
      </c>
      <c r="I4922" s="6" t="str">
        <f aca="false">IF(F4922=0,"NOT FOUND",INDEX('All Song Rankings'!$D:$D,F4922))</f>
        <v>Leah</v>
      </c>
      <c r="J4922" s="7" t="str">
        <f aca="false">IF(F4922=0,"NOT FOUND",IF(C4922=I4922,"SELF-VOTE",IF(COUNTIF($K:$K,K4922)&gt;1,"DUPLICATE","OK")))</f>
        <v>OK</v>
      </c>
      <c r="K4922" s="6" t="str">
        <f aca="false">A4922&amp;"|"&amp;B4922&amp;"|"&amp;C4922&amp;"|"&amp;D4922</f>
        <v>7|5|Lisa|spotify:track:1ChulFMnwxoD74Me8eX2TU</v>
      </c>
    </row>
    <row r="4923" customFormat="false" ht="15" hidden="false" customHeight="false" outlineLevel="0" collapsed="false">
      <c r="A4923" s="5" t="n">
        <v>7</v>
      </c>
      <c r="B4923" s="5" t="n">
        <v>5</v>
      </c>
      <c r="C4923" s="5" t="s">
        <v>705</v>
      </c>
      <c r="D4923" s="5" t="s">
        <v>1914</v>
      </c>
      <c r="E4923" s="5" t="n">
        <v>2</v>
      </c>
      <c r="F4923" s="6" t="n">
        <f aca="false">IFERROR(MATCH(A4923&amp;"|"&amp;B4923&amp;"|"&amp;D4923,'All Song Rankings'!$T:$T,0),0)</f>
        <v>735</v>
      </c>
      <c r="G4923" s="6" t="str">
        <f aca="false">IF(F4923=0,"NOT FOUND",INDEX('All Song Rankings'!$A:$A,F4923))</f>
        <v>Head Over Heels</v>
      </c>
      <c r="H4923" s="6" t="str">
        <f aca="false">IF(F4923=0,"NOT FOUND",INDEX('All Song Rankings'!$B:$B,F4923))</f>
        <v>The Go-Go's</v>
      </c>
      <c r="I4923" s="6" t="str">
        <f aca="false">IF(F4923=0,"NOT FOUND",INDEX('All Song Rankings'!$D:$D,F4923))</f>
        <v>Kelsey</v>
      </c>
      <c r="J4923" s="7" t="str">
        <f aca="false">IF(F4923=0,"NOT FOUND",IF(C4923=I4923,"SELF-VOTE",IF(COUNTIF($K:$K,K4923)&gt;1,"DUPLICATE","OK")))</f>
        <v>OK</v>
      </c>
      <c r="K4923" s="6" t="str">
        <f aca="false">A4923&amp;"|"&amp;B4923&amp;"|"&amp;C4923&amp;"|"&amp;D4923</f>
        <v>7|5|Lisa|spotify:track:1p46bniF6fC9kT1v5yjJOI</v>
      </c>
    </row>
    <row r="4924" customFormat="false" ht="15" hidden="false" customHeight="false" outlineLevel="0" collapsed="false">
      <c r="A4924" s="5" t="n">
        <v>7</v>
      </c>
      <c r="B4924" s="5" t="n">
        <v>5</v>
      </c>
      <c r="C4924" s="5" t="s">
        <v>705</v>
      </c>
      <c r="D4924" s="5" t="s">
        <v>2205</v>
      </c>
      <c r="E4924" s="5" t="n">
        <v>1</v>
      </c>
      <c r="F4924" s="6" t="n">
        <f aca="false">IFERROR(MATCH(A4924&amp;"|"&amp;B4924&amp;"|"&amp;D4924,'All Song Rankings'!$T:$T,0),0)</f>
        <v>743</v>
      </c>
      <c r="G4924" s="6" t="str">
        <f aca="false">IF(F4924=0,"NOT FOUND",INDEX('All Song Rankings'!$A:$A,F4924))</f>
        <v>Endless Summer Nights</v>
      </c>
      <c r="H4924" s="6" t="str">
        <f aca="false">IF(F4924=0,"NOT FOUND",INDEX('All Song Rankings'!$B:$B,F4924))</f>
        <v>Richard Marx</v>
      </c>
      <c r="I4924" s="6" t="str">
        <f aca="false">IF(F4924=0,"NOT FOUND",INDEX('All Song Rankings'!$D:$D,F4924))</f>
        <v>Stephanie</v>
      </c>
      <c r="J4924" s="7" t="str">
        <f aca="false">IF(F4924=0,"NOT FOUND",IF(C4924=I4924,"SELF-VOTE",IF(COUNTIF($K:$K,K4924)&gt;1,"DUPLICATE","OK")))</f>
        <v>OK</v>
      </c>
      <c r="K4924" s="6" t="str">
        <f aca="false">A4924&amp;"|"&amp;B4924&amp;"|"&amp;C4924&amp;"|"&amp;D4924</f>
        <v>7|5|Lisa|spotify:track:2iXH35MhsqO5Ry8a7iptpJ</v>
      </c>
    </row>
    <row r="4925" customFormat="false" ht="15" hidden="false" customHeight="false" outlineLevel="0" collapsed="false">
      <c r="A4925" s="5" t="n">
        <v>7</v>
      </c>
      <c r="B4925" s="5" t="n">
        <v>5</v>
      </c>
      <c r="C4925" s="5" t="s">
        <v>705</v>
      </c>
      <c r="D4925" s="5" t="s">
        <v>2197</v>
      </c>
      <c r="E4925" s="5" t="n">
        <v>2</v>
      </c>
      <c r="F4925" s="6" t="n">
        <f aca="false">IFERROR(MATCH(A4925&amp;"|"&amp;B4925&amp;"|"&amp;D4925,'All Song Rankings'!$T:$T,0),0)</f>
        <v>740</v>
      </c>
      <c r="G4925" s="6" t="str">
        <f aca="false">IF(F4925=0,"NOT FOUND",INDEX('All Song Rankings'!$A:$A,F4925))</f>
        <v>Dancing with Myself</v>
      </c>
      <c r="H4925" s="6" t="str">
        <f aca="false">IF(F4925=0,"NOT FOUND",INDEX('All Song Rankings'!$B:$B,F4925))</f>
        <v>Billy Idol</v>
      </c>
      <c r="I4925" s="6" t="str">
        <f aca="false">IF(F4925=0,"NOT FOUND",INDEX('All Song Rankings'!$D:$D,F4925))</f>
        <v>Josh</v>
      </c>
      <c r="J4925" s="7" t="str">
        <f aca="false">IF(F4925=0,"NOT FOUND",IF(C4925=I4925,"SELF-VOTE",IF(COUNTIF($K:$K,K4925)&gt;1,"DUPLICATE","OK")))</f>
        <v>OK</v>
      </c>
      <c r="K4925" s="6" t="str">
        <f aca="false">A4925&amp;"|"&amp;B4925&amp;"|"&amp;C4925&amp;"|"&amp;D4925</f>
        <v>7|5|Lisa|spotify:track:3rQfYDjgpRy5LFlClpPQW9</v>
      </c>
    </row>
    <row r="4926" customFormat="false" ht="15" hidden="false" customHeight="false" outlineLevel="0" collapsed="false">
      <c r="A4926" s="5" t="n">
        <v>7</v>
      </c>
      <c r="B4926" s="5" t="n">
        <v>5</v>
      </c>
      <c r="C4926" s="5" t="s">
        <v>705</v>
      </c>
      <c r="D4926" s="5" t="s">
        <v>2185</v>
      </c>
      <c r="E4926" s="5" t="n">
        <v>2</v>
      </c>
      <c r="F4926" s="6" t="n">
        <f aca="false">IFERROR(MATCH(A4926&amp;"|"&amp;B4926&amp;"|"&amp;D4926,'All Song Rankings'!$T:$T,0),0)</f>
        <v>734</v>
      </c>
      <c r="G4926" s="6" t="str">
        <f aca="false">IF(F4926=0,"NOT FOUND",INDEX('All Song Rankings'!$A:$A,F4926))</f>
        <v>Girls Just Want to Have Fun</v>
      </c>
      <c r="H4926" s="6" t="str">
        <f aca="false">IF(F4926=0,"NOT FOUND",INDEX('All Song Rankings'!$B:$B,F4926))</f>
        <v>Cyndi Lauper</v>
      </c>
      <c r="I4926" s="6" t="str">
        <f aca="false">IF(F4926=0,"NOT FOUND",INDEX('All Song Rankings'!$D:$D,F4926))</f>
        <v>Lucia</v>
      </c>
      <c r="J4926" s="7" t="str">
        <f aca="false">IF(F4926=0,"NOT FOUND",IF(C4926=I4926,"SELF-VOTE",IF(COUNTIF($K:$K,K4926)&gt;1,"DUPLICATE","OK")))</f>
        <v>OK</v>
      </c>
      <c r="K4926" s="6" t="str">
        <f aca="false">A4926&amp;"|"&amp;B4926&amp;"|"&amp;C4926&amp;"|"&amp;D4926</f>
        <v>7|5|Lisa|spotify:track:4y1LsJpmMti1PfRQV9AWWe</v>
      </c>
    </row>
    <row r="4927" customFormat="false" ht="15" hidden="false" customHeight="false" outlineLevel="0" collapsed="false">
      <c r="A4927" s="5" t="n">
        <v>7</v>
      </c>
      <c r="B4927" s="5" t="n">
        <v>5</v>
      </c>
      <c r="C4927" s="5" t="s">
        <v>705</v>
      </c>
      <c r="D4927" s="5" t="s">
        <v>2200</v>
      </c>
      <c r="E4927" s="5" t="n">
        <v>1</v>
      </c>
      <c r="F4927" s="6" t="n">
        <f aca="false">IFERROR(MATCH(A4927&amp;"|"&amp;B4927&amp;"|"&amp;D4927,'All Song Rankings'!$T:$T,0),0)</f>
        <v>741</v>
      </c>
      <c r="G4927" s="6" t="str">
        <f aca="false">IF(F4927=0,"NOT FOUND",INDEX('All Song Rankings'!$A:$A,F4927))</f>
        <v>Don't Change</v>
      </c>
      <c r="H4927" s="6" t="str">
        <f aca="false">IF(F4927=0,"NOT FOUND",INDEX('All Song Rankings'!$B:$B,F4927))</f>
        <v>INXS</v>
      </c>
      <c r="I4927" s="6" t="str">
        <f aca="false">IF(F4927=0,"NOT FOUND",INDEX('All Song Rankings'!$D:$D,F4927))</f>
        <v>Christine</v>
      </c>
      <c r="J4927" s="7" t="str">
        <f aca="false">IF(F4927=0,"NOT FOUND",IF(C4927=I4927,"SELF-VOTE",IF(COUNTIF($K:$K,K4927)&gt;1,"DUPLICATE","OK")))</f>
        <v>OK</v>
      </c>
      <c r="K4927" s="6" t="str">
        <f aca="false">A4927&amp;"|"&amp;B4927&amp;"|"&amp;C4927&amp;"|"&amp;D4927</f>
        <v>7|5|Lisa|spotify:track:6ck0CGe9BN9gW5oMmzbhs9</v>
      </c>
    </row>
    <row r="4928" customFormat="false" ht="15" hidden="false" customHeight="false" outlineLevel="0" collapsed="false">
      <c r="A4928" s="5" t="n">
        <v>7</v>
      </c>
      <c r="B4928" s="5" t="n">
        <v>5</v>
      </c>
      <c r="C4928" s="5" t="s">
        <v>128</v>
      </c>
      <c r="D4928" s="5" t="s">
        <v>2202</v>
      </c>
      <c r="E4928" s="5" t="n">
        <v>1</v>
      </c>
      <c r="F4928" s="6" t="n">
        <f aca="false">IFERROR(MATCH(A4928&amp;"|"&amp;B4928&amp;"|"&amp;D4928,'All Song Rankings'!$T:$T,0),0)</f>
        <v>742</v>
      </c>
      <c r="G4928" s="6" t="str">
        <f aca="false">IF(F4928=0,"NOT FOUND",INDEX('All Song Rankings'!$A:$A,F4928))</f>
        <v>Dancing with Myself</v>
      </c>
      <c r="H4928" s="6" t="str">
        <f aca="false">IF(F4928=0,"NOT FOUND",INDEX('All Song Rankings'!$B:$B,F4928))</f>
        <v>Generation X</v>
      </c>
      <c r="I4928" s="6" t="str">
        <f aca="false">IF(F4928=0,"NOT FOUND",INDEX('All Song Rankings'!$D:$D,F4928))</f>
        <v>Merita</v>
      </c>
      <c r="J4928" s="7" t="str">
        <f aca="false">IF(F4928=0,"NOT FOUND",IF(C4928=I4928,"SELF-VOTE",IF(COUNTIF($K:$K,K4928)&gt;1,"DUPLICATE","OK")))</f>
        <v>OK</v>
      </c>
      <c r="K4928" s="6" t="str">
        <f aca="false">A4928&amp;"|"&amp;B4928&amp;"|"&amp;C4928&amp;"|"&amp;D4928</f>
        <v>7|5|Logan|spotify:track:1lEhKudlkpBsh6S7JyvvHs</v>
      </c>
    </row>
    <row r="4929" customFormat="false" ht="15" hidden="false" customHeight="false" outlineLevel="0" collapsed="false">
      <c r="A4929" s="5" t="n">
        <v>7</v>
      </c>
      <c r="B4929" s="5" t="n">
        <v>5</v>
      </c>
      <c r="C4929" s="5" t="s">
        <v>128</v>
      </c>
      <c r="D4929" s="5" t="s">
        <v>1914</v>
      </c>
      <c r="E4929" s="5" t="n">
        <v>2</v>
      </c>
      <c r="F4929" s="6" t="n">
        <f aca="false">IFERROR(MATCH(A4929&amp;"|"&amp;B4929&amp;"|"&amp;D4929,'All Song Rankings'!$T:$T,0),0)</f>
        <v>735</v>
      </c>
      <c r="G4929" s="6" t="str">
        <f aca="false">IF(F4929=0,"NOT FOUND",INDEX('All Song Rankings'!$A:$A,F4929))</f>
        <v>Head Over Heels</v>
      </c>
      <c r="H4929" s="6" t="str">
        <f aca="false">IF(F4929=0,"NOT FOUND",INDEX('All Song Rankings'!$B:$B,F4929))</f>
        <v>The Go-Go's</v>
      </c>
      <c r="I4929" s="6" t="str">
        <f aca="false">IF(F4929=0,"NOT FOUND",INDEX('All Song Rankings'!$D:$D,F4929))</f>
        <v>Kelsey</v>
      </c>
      <c r="J4929" s="7" t="str">
        <f aca="false">IF(F4929=0,"NOT FOUND",IF(C4929=I4929,"SELF-VOTE",IF(COUNTIF($K:$K,K4929)&gt;1,"DUPLICATE","OK")))</f>
        <v>OK</v>
      </c>
      <c r="K4929" s="6" t="str">
        <f aca="false">A4929&amp;"|"&amp;B4929&amp;"|"&amp;C4929&amp;"|"&amp;D4929</f>
        <v>7|5|Logan|spotify:track:1p46bniF6fC9kT1v5yjJOI</v>
      </c>
    </row>
    <row r="4930" customFormat="false" ht="15" hidden="false" customHeight="false" outlineLevel="0" collapsed="false">
      <c r="A4930" s="5" t="n">
        <v>7</v>
      </c>
      <c r="B4930" s="5" t="n">
        <v>5</v>
      </c>
      <c r="C4930" s="5" t="s">
        <v>128</v>
      </c>
      <c r="D4930" s="5" t="s">
        <v>2205</v>
      </c>
      <c r="E4930" s="5" t="n">
        <v>1</v>
      </c>
      <c r="F4930" s="6" t="n">
        <f aca="false">IFERROR(MATCH(A4930&amp;"|"&amp;B4930&amp;"|"&amp;D4930,'All Song Rankings'!$T:$T,0),0)</f>
        <v>743</v>
      </c>
      <c r="G4930" s="6" t="str">
        <f aca="false">IF(F4930=0,"NOT FOUND",INDEX('All Song Rankings'!$A:$A,F4930))</f>
        <v>Endless Summer Nights</v>
      </c>
      <c r="H4930" s="6" t="str">
        <f aca="false">IF(F4930=0,"NOT FOUND",INDEX('All Song Rankings'!$B:$B,F4930))</f>
        <v>Richard Marx</v>
      </c>
      <c r="I4930" s="6" t="str">
        <f aca="false">IF(F4930=0,"NOT FOUND",INDEX('All Song Rankings'!$D:$D,F4930))</f>
        <v>Stephanie</v>
      </c>
      <c r="J4930" s="7" t="str">
        <f aca="false">IF(F4930=0,"NOT FOUND",IF(C4930=I4930,"SELF-VOTE",IF(COUNTIF($K:$K,K4930)&gt;1,"DUPLICATE","OK")))</f>
        <v>OK</v>
      </c>
      <c r="K4930" s="6" t="str">
        <f aca="false">A4930&amp;"|"&amp;B4930&amp;"|"&amp;C4930&amp;"|"&amp;D4930</f>
        <v>7|5|Logan|spotify:track:2iXH35MhsqO5Ry8a7iptpJ</v>
      </c>
    </row>
    <row r="4931" customFormat="false" ht="15" hidden="false" customHeight="false" outlineLevel="0" collapsed="false">
      <c r="A4931" s="5" t="n">
        <v>7</v>
      </c>
      <c r="B4931" s="5" t="n">
        <v>5</v>
      </c>
      <c r="C4931" s="5" t="s">
        <v>128</v>
      </c>
      <c r="D4931" s="5" t="s">
        <v>2188</v>
      </c>
      <c r="E4931" s="5" t="n">
        <v>1</v>
      </c>
      <c r="F4931" s="6" t="n">
        <f aca="false">IFERROR(MATCH(A4931&amp;"|"&amp;B4931&amp;"|"&amp;D4931,'All Song Rankings'!$T:$T,0),0)</f>
        <v>736</v>
      </c>
      <c r="G4931" s="6" t="str">
        <f aca="false">IF(F4931=0,"NOT FOUND",INDEX('All Song Rankings'!$A:$A,F4931))</f>
        <v>Hungry Like the Wolf - 2009 Remaster</v>
      </c>
      <c r="H4931" s="6" t="str">
        <f aca="false">IF(F4931=0,"NOT FOUND",INDEX('All Song Rankings'!$B:$B,F4931))</f>
        <v>Duran Duran</v>
      </c>
      <c r="I4931" s="6" t="str">
        <f aca="false">IF(F4931=0,"NOT FOUND",INDEX('All Song Rankings'!$D:$D,F4931))</f>
        <v>Colleen</v>
      </c>
      <c r="J4931" s="7" t="str">
        <f aca="false">IF(F4931=0,"NOT FOUND",IF(C4931=I4931,"SELF-VOTE",IF(COUNTIF($K:$K,K4931)&gt;1,"DUPLICATE","OK")))</f>
        <v>OK</v>
      </c>
      <c r="K4931" s="6" t="str">
        <f aca="false">A4931&amp;"|"&amp;B4931&amp;"|"&amp;C4931&amp;"|"&amp;D4931</f>
        <v>7|5|Logan|spotify:track:39lSeqnyjZJejRuaREfyLL</v>
      </c>
    </row>
    <row r="4932" customFormat="false" ht="15" hidden="false" customHeight="false" outlineLevel="0" collapsed="false">
      <c r="A4932" s="5" t="n">
        <v>7</v>
      </c>
      <c r="B4932" s="5" t="n">
        <v>5</v>
      </c>
      <c r="C4932" s="5" t="s">
        <v>128</v>
      </c>
      <c r="D4932" s="5" t="s">
        <v>2197</v>
      </c>
      <c r="E4932" s="5" t="n">
        <v>1</v>
      </c>
      <c r="F4932" s="6" t="n">
        <f aca="false">IFERROR(MATCH(A4932&amp;"|"&amp;B4932&amp;"|"&amp;D4932,'All Song Rankings'!$T:$T,0),0)</f>
        <v>740</v>
      </c>
      <c r="G4932" s="6" t="str">
        <f aca="false">IF(F4932=0,"NOT FOUND",INDEX('All Song Rankings'!$A:$A,F4932))</f>
        <v>Dancing with Myself</v>
      </c>
      <c r="H4932" s="6" t="str">
        <f aca="false">IF(F4932=0,"NOT FOUND",INDEX('All Song Rankings'!$B:$B,F4932))</f>
        <v>Billy Idol</v>
      </c>
      <c r="I4932" s="6" t="str">
        <f aca="false">IF(F4932=0,"NOT FOUND",INDEX('All Song Rankings'!$D:$D,F4932))</f>
        <v>Josh</v>
      </c>
      <c r="J4932" s="7" t="str">
        <f aca="false">IF(F4932=0,"NOT FOUND",IF(C4932=I4932,"SELF-VOTE",IF(COUNTIF($K:$K,K4932)&gt;1,"DUPLICATE","OK")))</f>
        <v>OK</v>
      </c>
      <c r="K4932" s="6" t="str">
        <f aca="false">A4932&amp;"|"&amp;B4932&amp;"|"&amp;C4932&amp;"|"&amp;D4932</f>
        <v>7|5|Logan|spotify:track:3rQfYDjgpRy5LFlClpPQW9</v>
      </c>
    </row>
    <row r="4933" customFormat="false" ht="15" hidden="false" customHeight="false" outlineLevel="0" collapsed="false">
      <c r="A4933" s="5" t="n">
        <v>7</v>
      </c>
      <c r="B4933" s="5" t="n">
        <v>5</v>
      </c>
      <c r="C4933" s="5" t="s">
        <v>128</v>
      </c>
      <c r="D4933" s="5" t="s">
        <v>2182</v>
      </c>
      <c r="E4933" s="5" t="n">
        <v>1</v>
      </c>
      <c r="F4933" s="6" t="n">
        <f aca="false">IFERROR(MATCH(A4933&amp;"|"&amp;B4933&amp;"|"&amp;D4933,'All Song Rankings'!$T:$T,0),0)</f>
        <v>733</v>
      </c>
      <c r="G4933" s="6" t="str">
        <f aca="false">IF(F4933=0,"NOT FOUND",INDEX('All Song Rankings'!$A:$A,F4933))</f>
        <v>Everybody Wants To Rule The World</v>
      </c>
      <c r="H4933" s="6" t="str">
        <f aca="false">IF(F4933=0,"NOT FOUND",INDEX('All Song Rankings'!$B:$B,F4933))</f>
        <v>Tears for Fears</v>
      </c>
      <c r="I4933" s="6" t="str">
        <f aca="false">IF(F4933=0,"NOT FOUND",INDEX('All Song Rankings'!$D:$D,F4933))</f>
        <v>Lisa</v>
      </c>
      <c r="J4933" s="7" t="str">
        <f aca="false">IF(F4933=0,"NOT FOUND",IF(C4933=I4933,"SELF-VOTE",IF(COUNTIF($K:$K,K4933)&gt;1,"DUPLICATE","OK")))</f>
        <v>OK</v>
      </c>
      <c r="K4933" s="6" t="str">
        <f aca="false">A4933&amp;"|"&amp;B4933&amp;"|"&amp;C4933&amp;"|"&amp;D4933</f>
        <v>7|5|Logan|spotify:track:4RvWPyQ5RL0ao9LPZeSouE</v>
      </c>
    </row>
    <row r="4934" customFormat="false" ht="15" hidden="false" customHeight="false" outlineLevel="0" collapsed="false">
      <c r="A4934" s="5" t="n">
        <v>7</v>
      </c>
      <c r="B4934" s="5" t="n">
        <v>5</v>
      </c>
      <c r="C4934" s="5" t="s">
        <v>128</v>
      </c>
      <c r="D4934" s="5" t="s">
        <v>2185</v>
      </c>
      <c r="E4934" s="5" t="n">
        <v>1</v>
      </c>
      <c r="F4934" s="6" t="n">
        <f aca="false">IFERROR(MATCH(A4934&amp;"|"&amp;B4934&amp;"|"&amp;D4934,'All Song Rankings'!$T:$T,0),0)</f>
        <v>734</v>
      </c>
      <c r="G4934" s="6" t="str">
        <f aca="false">IF(F4934=0,"NOT FOUND",INDEX('All Song Rankings'!$A:$A,F4934))</f>
        <v>Girls Just Want to Have Fun</v>
      </c>
      <c r="H4934" s="6" t="str">
        <f aca="false">IF(F4934=0,"NOT FOUND",INDEX('All Song Rankings'!$B:$B,F4934))</f>
        <v>Cyndi Lauper</v>
      </c>
      <c r="I4934" s="6" t="str">
        <f aca="false">IF(F4934=0,"NOT FOUND",INDEX('All Song Rankings'!$D:$D,F4934))</f>
        <v>Lucia</v>
      </c>
      <c r="J4934" s="7" t="str">
        <f aca="false">IF(F4934=0,"NOT FOUND",IF(C4934=I4934,"SELF-VOTE",IF(COUNTIF($K:$K,K4934)&gt;1,"DUPLICATE","OK")))</f>
        <v>OK</v>
      </c>
      <c r="K4934" s="6" t="str">
        <f aca="false">A4934&amp;"|"&amp;B4934&amp;"|"&amp;C4934&amp;"|"&amp;D4934</f>
        <v>7|5|Logan|spotify:track:4y1LsJpmMti1PfRQV9AWWe</v>
      </c>
    </row>
    <row r="4935" customFormat="false" ht="15" hidden="false" customHeight="false" outlineLevel="0" collapsed="false">
      <c r="A4935" s="5" t="n">
        <v>7</v>
      </c>
      <c r="B4935" s="5" t="n">
        <v>5</v>
      </c>
      <c r="C4935" s="5" t="s">
        <v>128</v>
      </c>
      <c r="D4935" s="5" t="s">
        <v>2200</v>
      </c>
      <c r="E4935" s="5" t="n">
        <v>1</v>
      </c>
      <c r="F4935" s="6" t="n">
        <f aca="false">IFERROR(MATCH(A4935&amp;"|"&amp;B4935&amp;"|"&amp;D4935,'All Song Rankings'!$T:$T,0),0)</f>
        <v>741</v>
      </c>
      <c r="G4935" s="6" t="str">
        <f aca="false">IF(F4935=0,"NOT FOUND",INDEX('All Song Rankings'!$A:$A,F4935))</f>
        <v>Don't Change</v>
      </c>
      <c r="H4935" s="6" t="str">
        <f aca="false">IF(F4935=0,"NOT FOUND",INDEX('All Song Rankings'!$B:$B,F4935))</f>
        <v>INXS</v>
      </c>
      <c r="I4935" s="6" t="str">
        <f aca="false">IF(F4935=0,"NOT FOUND",INDEX('All Song Rankings'!$D:$D,F4935))</f>
        <v>Christine</v>
      </c>
      <c r="J4935" s="7" t="str">
        <f aca="false">IF(F4935=0,"NOT FOUND",IF(C4935=I4935,"SELF-VOTE",IF(COUNTIF($K:$K,K4935)&gt;1,"DUPLICATE","OK")))</f>
        <v>OK</v>
      </c>
      <c r="K4935" s="6" t="str">
        <f aca="false">A4935&amp;"|"&amp;B4935&amp;"|"&amp;C4935&amp;"|"&amp;D4935</f>
        <v>7|5|Logan|spotify:track:6ck0CGe9BN9gW5oMmzbhs9</v>
      </c>
    </row>
    <row r="4936" customFormat="false" ht="15" hidden="false" customHeight="false" outlineLevel="0" collapsed="false">
      <c r="A4936" s="5" t="n">
        <v>7</v>
      </c>
      <c r="B4936" s="5" t="n">
        <v>5</v>
      </c>
      <c r="C4936" s="5" t="s">
        <v>128</v>
      </c>
      <c r="D4936" s="5" t="s">
        <v>2209</v>
      </c>
      <c r="E4936" s="5" t="n">
        <v>1</v>
      </c>
      <c r="F4936" s="6" t="n">
        <f aca="false">IFERROR(MATCH(A4936&amp;"|"&amp;B4936&amp;"|"&amp;D4936,'All Song Rankings'!$T:$T,0),0)</f>
        <v>744</v>
      </c>
      <c r="G4936" s="6" t="str">
        <f aca="false">IF(F4936=0,"NOT FOUND",INDEX('All Song Rankings'!$A:$A,F4936))</f>
        <v>Baby Beluga</v>
      </c>
      <c r="H4936" s="6" t="str">
        <f aca="false">IF(F4936=0,"NOT FOUND",INDEX('All Song Rankings'!$B:$B,F4936))</f>
        <v>Raffi</v>
      </c>
      <c r="I4936" s="6" t="str">
        <f aca="false">IF(F4936=0,"NOT FOUND",INDEX('All Song Rankings'!$D:$D,F4936))</f>
        <v>Matt</v>
      </c>
      <c r="J4936" s="7" t="str">
        <f aca="false">IF(F4936=0,"NOT FOUND",IF(C4936=I4936,"SELF-VOTE",IF(COUNTIF($K:$K,K4936)&gt;1,"DUPLICATE","OK")))</f>
        <v>OK</v>
      </c>
      <c r="K4936" s="6" t="str">
        <f aca="false">A4936&amp;"|"&amp;B4936&amp;"|"&amp;C4936&amp;"|"&amp;D4936</f>
        <v>7|5|Logan|spotify:track:7zQFM7bHcyMh4QQFdBkjrE</v>
      </c>
    </row>
    <row r="4937" customFormat="false" ht="15" hidden="false" customHeight="false" outlineLevel="0" collapsed="false">
      <c r="A4937" s="5" t="n">
        <v>7</v>
      </c>
      <c r="B4937" s="5" t="n">
        <v>5</v>
      </c>
      <c r="C4937" s="5" t="s">
        <v>2019</v>
      </c>
      <c r="D4937" s="5" t="s">
        <v>2191</v>
      </c>
      <c r="E4937" s="5" t="n">
        <v>1</v>
      </c>
      <c r="F4937" s="6" t="n">
        <f aca="false">IFERROR(MATCH(A4937&amp;"|"&amp;B4937&amp;"|"&amp;D4937,'All Song Rankings'!$T:$T,0),0)</f>
        <v>737</v>
      </c>
      <c r="G4937" s="6" t="str">
        <f aca="false">IF(F4937=0,"NOT FOUND",INDEX('All Song Rankings'!$A:$A,F4937))</f>
        <v>Faith - Remastered</v>
      </c>
      <c r="H4937" s="6" t="str">
        <f aca="false">IF(F4937=0,"NOT FOUND",INDEX('All Song Rankings'!$B:$B,F4937))</f>
        <v>George Michael</v>
      </c>
      <c r="I4937" s="6" t="str">
        <f aca="false">IF(F4937=0,"NOT FOUND",INDEX('All Song Rankings'!$D:$D,F4937))</f>
        <v>Logan</v>
      </c>
      <c r="J4937" s="7" t="str">
        <f aca="false">IF(F4937=0,"NOT FOUND",IF(C4937=I4937,"SELF-VOTE",IF(COUNTIF($K:$K,K4937)&gt;1,"DUPLICATE","OK")))</f>
        <v>OK</v>
      </c>
      <c r="K4937" s="6" t="str">
        <f aca="false">A4937&amp;"|"&amp;B4937&amp;"|"&amp;C4937&amp;"|"&amp;D4937</f>
        <v>7|5|Lucia|spotify:track:0HEmnAUT8PHznIAAmVXqFJ</v>
      </c>
    </row>
    <row r="4938" customFormat="false" ht="15" hidden="false" customHeight="false" outlineLevel="0" collapsed="false">
      <c r="A4938" s="5" t="n">
        <v>7</v>
      </c>
      <c r="B4938" s="5" t="n">
        <v>5</v>
      </c>
      <c r="C4938" s="5" t="s">
        <v>2019</v>
      </c>
      <c r="D4938" s="5" t="s">
        <v>2194</v>
      </c>
      <c r="E4938" s="5" t="n">
        <v>2</v>
      </c>
      <c r="F4938" s="6" t="n">
        <f aca="false">IFERROR(MATCH(A4938&amp;"|"&amp;B4938&amp;"|"&amp;D4938,'All Song Rankings'!$T:$T,0),0)</f>
        <v>738</v>
      </c>
      <c r="G4938" s="6" t="str">
        <f aca="false">IF(F4938=0,"NOT FOUND",INDEX('All Song Rankings'!$A:$A,F4938))</f>
        <v>You Spin Me Round (Like a Record)</v>
      </c>
      <c r="H4938" s="6" t="str">
        <f aca="false">IF(F4938=0,"NOT FOUND",INDEX('All Song Rankings'!$B:$B,F4938))</f>
        <v>Dead or Alive</v>
      </c>
      <c r="I4938" s="6" t="str">
        <f aca="false">IF(F4938=0,"NOT FOUND",INDEX('All Song Rankings'!$D:$D,F4938))</f>
        <v>Leah</v>
      </c>
      <c r="J4938" s="7" t="str">
        <f aca="false">IF(F4938=0,"NOT FOUND",IF(C4938=I4938,"SELF-VOTE",IF(COUNTIF($K:$K,K4938)&gt;1,"DUPLICATE","OK")))</f>
        <v>OK</v>
      </c>
      <c r="K4938" s="6" t="str">
        <f aca="false">A4938&amp;"|"&amp;B4938&amp;"|"&amp;C4938&amp;"|"&amp;D4938</f>
        <v>7|5|Lucia|spotify:track:1ChulFMnwxoD74Me8eX2TU</v>
      </c>
    </row>
    <row r="4939" customFormat="false" ht="15" hidden="false" customHeight="false" outlineLevel="0" collapsed="false">
      <c r="A4939" s="5" t="n">
        <v>7</v>
      </c>
      <c r="B4939" s="5" t="n">
        <v>5</v>
      </c>
      <c r="C4939" s="5" t="s">
        <v>2019</v>
      </c>
      <c r="D4939" s="5" t="s">
        <v>2202</v>
      </c>
      <c r="E4939" s="5" t="n">
        <v>1</v>
      </c>
      <c r="F4939" s="6" t="n">
        <f aca="false">IFERROR(MATCH(A4939&amp;"|"&amp;B4939&amp;"|"&amp;D4939,'All Song Rankings'!$T:$T,0),0)</f>
        <v>742</v>
      </c>
      <c r="G4939" s="6" t="str">
        <f aca="false">IF(F4939=0,"NOT FOUND",INDEX('All Song Rankings'!$A:$A,F4939))</f>
        <v>Dancing with Myself</v>
      </c>
      <c r="H4939" s="6" t="str">
        <f aca="false">IF(F4939=0,"NOT FOUND",INDEX('All Song Rankings'!$B:$B,F4939))</f>
        <v>Generation X</v>
      </c>
      <c r="I4939" s="6" t="str">
        <f aca="false">IF(F4939=0,"NOT FOUND",INDEX('All Song Rankings'!$D:$D,F4939))</f>
        <v>Merita</v>
      </c>
      <c r="J4939" s="7" t="str">
        <f aca="false">IF(F4939=0,"NOT FOUND",IF(C4939=I4939,"SELF-VOTE",IF(COUNTIF($K:$K,K4939)&gt;1,"DUPLICATE","OK")))</f>
        <v>OK</v>
      </c>
      <c r="K4939" s="6" t="str">
        <f aca="false">A4939&amp;"|"&amp;B4939&amp;"|"&amp;C4939&amp;"|"&amp;D4939</f>
        <v>7|5|Lucia|spotify:track:1lEhKudlkpBsh6S7JyvvHs</v>
      </c>
    </row>
    <row r="4940" customFormat="false" ht="15" hidden="false" customHeight="false" outlineLevel="0" collapsed="false">
      <c r="A4940" s="5" t="n">
        <v>7</v>
      </c>
      <c r="B4940" s="5" t="n">
        <v>5</v>
      </c>
      <c r="C4940" s="5" t="s">
        <v>2019</v>
      </c>
      <c r="D4940" s="5" t="s">
        <v>2205</v>
      </c>
      <c r="E4940" s="5" t="n">
        <v>1</v>
      </c>
      <c r="F4940" s="6" t="n">
        <f aca="false">IFERROR(MATCH(A4940&amp;"|"&amp;B4940&amp;"|"&amp;D4940,'All Song Rankings'!$T:$T,0),0)</f>
        <v>743</v>
      </c>
      <c r="G4940" s="6" t="str">
        <f aca="false">IF(F4940=0,"NOT FOUND",INDEX('All Song Rankings'!$A:$A,F4940))</f>
        <v>Endless Summer Nights</v>
      </c>
      <c r="H4940" s="6" t="str">
        <f aca="false">IF(F4940=0,"NOT FOUND",INDEX('All Song Rankings'!$B:$B,F4940))</f>
        <v>Richard Marx</v>
      </c>
      <c r="I4940" s="6" t="str">
        <f aca="false">IF(F4940=0,"NOT FOUND",INDEX('All Song Rankings'!$D:$D,F4940))</f>
        <v>Stephanie</v>
      </c>
      <c r="J4940" s="7" t="str">
        <f aca="false">IF(F4940=0,"NOT FOUND",IF(C4940=I4940,"SELF-VOTE",IF(COUNTIF($K:$K,K4940)&gt;1,"DUPLICATE","OK")))</f>
        <v>OK</v>
      </c>
      <c r="K4940" s="6" t="str">
        <f aca="false">A4940&amp;"|"&amp;B4940&amp;"|"&amp;C4940&amp;"|"&amp;D4940</f>
        <v>7|5|Lucia|spotify:track:2iXH35MhsqO5Ry8a7iptpJ</v>
      </c>
    </row>
    <row r="4941" customFormat="false" ht="15" hidden="false" customHeight="false" outlineLevel="0" collapsed="false">
      <c r="A4941" s="5" t="n">
        <v>7</v>
      </c>
      <c r="B4941" s="5" t="n">
        <v>5</v>
      </c>
      <c r="C4941" s="5" t="s">
        <v>2019</v>
      </c>
      <c r="D4941" s="5" t="s">
        <v>2188</v>
      </c>
      <c r="E4941" s="5" t="n">
        <v>1</v>
      </c>
      <c r="F4941" s="6" t="n">
        <f aca="false">IFERROR(MATCH(A4941&amp;"|"&amp;B4941&amp;"|"&amp;D4941,'All Song Rankings'!$T:$T,0),0)</f>
        <v>736</v>
      </c>
      <c r="G4941" s="6" t="str">
        <f aca="false">IF(F4941=0,"NOT FOUND",INDEX('All Song Rankings'!$A:$A,F4941))</f>
        <v>Hungry Like the Wolf - 2009 Remaster</v>
      </c>
      <c r="H4941" s="6" t="str">
        <f aca="false">IF(F4941=0,"NOT FOUND",INDEX('All Song Rankings'!$B:$B,F4941))</f>
        <v>Duran Duran</v>
      </c>
      <c r="I4941" s="6" t="str">
        <f aca="false">IF(F4941=0,"NOT FOUND",INDEX('All Song Rankings'!$D:$D,F4941))</f>
        <v>Colleen</v>
      </c>
      <c r="J4941" s="7" t="str">
        <f aca="false">IF(F4941=0,"NOT FOUND",IF(C4941=I4941,"SELF-VOTE",IF(COUNTIF($K:$K,K4941)&gt;1,"DUPLICATE","OK")))</f>
        <v>OK</v>
      </c>
      <c r="K4941" s="6" t="str">
        <f aca="false">A4941&amp;"|"&amp;B4941&amp;"|"&amp;C4941&amp;"|"&amp;D4941</f>
        <v>7|5|Lucia|spotify:track:39lSeqnyjZJejRuaREfyLL</v>
      </c>
    </row>
    <row r="4942" customFormat="false" ht="15" hidden="false" customHeight="false" outlineLevel="0" collapsed="false">
      <c r="A4942" s="5" t="n">
        <v>7</v>
      </c>
      <c r="B4942" s="5" t="n">
        <v>5</v>
      </c>
      <c r="C4942" s="5" t="s">
        <v>2019</v>
      </c>
      <c r="D4942" s="5" t="s">
        <v>2197</v>
      </c>
      <c r="E4942" s="5" t="n">
        <v>1</v>
      </c>
      <c r="F4942" s="6" t="n">
        <f aca="false">IFERROR(MATCH(A4942&amp;"|"&amp;B4942&amp;"|"&amp;D4942,'All Song Rankings'!$T:$T,0),0)</f>
        <v>740</v>
      </c>
      <c r="G4942" s="6" t="str">
        <f aca="false">IF(F4942=0,"NOT FOUND",INDEX('All Song Rankings'!$A:$A,F4942))</f>
        <v>Dancing with Myself</v>
      </c>
      <c r="H4942" s="6" t="str">
        <f aca="false">IF(F4942=0,"NOT FOUND",INDEX('All Song Rankings'!$B:$B,F4942))</f>
        <v>Billy Idol</v>
      </c>
      <c r="I4942" s="6" t="str">
        <f aca="false">IF(F4942=0,"NOT FOUND",INDEX('All Song Rankings'!$D:$D,F4942))</f>
        <v>Josh</v>
      </c>
      <c r="J4942" s="7" t="str">
        <f aca="false">IF(F4942=0,"NOT FOUND",IF(C4942=I4942,"SELF-VOTE",IF(COUNTIF($K:$K,K4942)&gt;1,"DUPLICATE","OK")))</f>
        <v>OK</v>
      </c>
      <c r="K4942" s="6" t="str">
        <f aca="false">A4942&amp;"|"&amp;B4942&amp;"|"&amp;C4942&amp;"|"&amp;D4942</f>
        <v>7|5|Lucia|spotify:track:3rQfYDjgpRy5LFlClpPQW9</v>
      </c>
    </row>
    <row r="4943" customFormat="false" ht="15" hidden="false" customHeight="false" outlineLevel="0" collapsed="false">
      <c r="A4943" s="5" t="n">
        <v>7</v>
      </c>
      <c r="B4943" s="5" t="n">
        <v>5</v>
      </c>
      <c r="C4943" s="5" t="s">
        <v>2019</v>
      </c>
      <c r="D4943" s="5" t="s">
        <v>2182</v>
      </c>
      <c r="E4943" s="5" t="n">
        <v>1</v>
      </c>
      <c r="F4943" s="6" t="n">
        <f aca="false">IFERROR(MATCH(A4943&amp;"|"&amp;B4943&amp;"|"&amp;D4943,'All Song Rankings'!$T:$T,0),0)</f>
        <v>733</v>
      </c>
      <c r="G4943" s="6" t="str">
        <f aca="false">IF(F4943=0,"NOT FOUND",INDEX('All Song Rankings'!$A:$A,F4943))</f>
        <v>Everybody Wants To Rule The World</v>
      </c>
      <c r="H4943" s="6" t="str">
        <f aca="false">IF(F4943=0,"NOT FOUND",INDEX('All Song Rankings'!$B:$B,F4943))</f>
        <v>Tears for Fears</v>
      </c>
      <c r="I4943" s="6" t="str">
        <f aca="false">IF(F4943=0,"NOT FOUND",INDEX('All Song Rankings'!$D:$D,F4943))</f>
        <v>Lisa</v>
      </c>
      <c r="J4943" s="7" t="str">
        <f aca="false">IF(F4943=0,"NOT FOUND",IF(C4943=I4943,"SELF-VOTE",IF(COUNTIF($K:$K,K4943)&gt;1,"DUPLICATE","OK")))</f>
        <v>OK</v>
      </c>
      <c r="K4943" s="6" t="str">
        <f aca="false">A4943&amp;"|"&amp;B4943&amp;"|"&amp;C4943&amp;"|"&amp;D4943</f>
        <v>7|5|Lucia|spotify:track:4RvWPyQ5RL0ao9LPZeSouE</v>
      </c>
    </row>
    <row r="4944" customFormat="false" ht="15" hidden="false" customHeight="false" outlineLevel="0" collapsed="false">
      <c r="A4944" s="5" t="n">
        <v>7</v>
      </c>
      <c r="B4944" s="5" t="n">
        <v>5</v>
      </c>
      <c r="C4944" s="5" t="s">
        <v>2019</v>
      </c>
      <c r="D4944" s="5" t="s">
        <v>1870</v>
      </c>
      <c r="E4944" s="5" t="n">
        <v>1</v>
      </c>
      <c r="F4944" s="6" t="n">
        <f aca="false">IFERROR(MATCH(A4944&amp;"|"&amp;B4944&amp;"|"&amp;D4944,'All Song Rankings'!$T:$T,0),0)</f>
        <v>739</v>
      </c>
      <c r="G4944" s="6" t="str">
        <f aca="false">IF(F4944=0,"NOT FOUND",INDEX('All Song Rankings'!$A:$A,F4944))</f>
        <v>You Make My Dreams (Come True)</v>
      </c>
      <c r="H4944" s="6" t="str">
        <f aca="false">IF(F4944=0,"NOT FOUND",INDEX('All Song Rankings'!$B:$B,F4944))</f>
        <v>Daryl Hall &amp; John Oates</v>
      </c>
      <c r="I4944" s="6" t="str">
        <f aca="false">IF(F4944=0,"NOT FOUND",INDEX('All Song Rankings'!$D:$D,F4944))</f>
        <v>Grace</v>
      </c>
      <c r="J4944" s="7" t="str">
        <f aca="false">IF(F4944=0,"NOT FOUND",IF(C4944=I4944,"SELF-VOTE",IF(COUNTIF($K:$K,K4944)&gt;1,"DUPLICATE","OK")))</f>
        <v>OK</v>
      </c>
      <c r="K4944" s="6" t="str">
        <f aca="false">A4944&amp;"|"&amp;B4944&amp;"|"&amp;C4944&amp;"|"&amp;D4944</f>
        <v>7|5|Lucia|spotify:track:4o6BgsqLIBViaGVbx5rbRk</v>
      </c>
    </row>
    <row r="4945" customFormat="false" ht="15" hidden="false" customHeight="false" outlineLevel="0" collapsed="false">
      <c r="A4945" s="5" t="n">
        <v>7</v>
      </c>
      <c r="B4945" s="5" t="n">
        <v>5</v>
      </c>
      <c r="C4945" s="5" t="s">
        <v>2019</v>
      </c>
      <c r="D4945" s="5" t="s">
        <v>2209</v>
      </c>
      <c r="E4945" s="5" t="n">
        <v>1</v>
      </c>
      <c r="F4945" s="6" t="n">
        <f aca="false">IFERROR(MATCH(A4945&amp;"|"&amp;B4945&amp;"|"&amp;D4945,'All Song Rankings'!$T:$T,0),0)</f>
        <v>744</v>
      </c>
      <c r="G4945" s="6" t="str">
        <f aca="false">IF(F4945=0,"NOT FOUND",INDEX('All Song Rankings'!$A:$A,F4945))</f>
        <v>Baby Beluga</v>
      </c>
      <c r="H4945" s="6" t="str">
        <f aca="false">IF(F4945=0,"NOT FOUND",INDEX('All Song Rankings'!$B:$B,F4945))</f>
        <v>Raffi</v>
      </c>
      <c r="I4945" s="6" t="str">
        <f aca="false">IF(F4945=0,"NOT FOUND",INDEX('All Song Rankings'!$D:$D,F4945))</f>
        <v>Matt</v>
      </c>
      <c r="J4945" s="7" t="str">
        <f aca="false">IF(F4945=0,"NOT FOUND",IF(C4945=I4945,"SELF-VOTE",IF(COUNTIF($K:$K,K4945)&gt;1,"DUPLICATE","OK")))</f>
        <v>OK</v>
      </c>
      <c r="K4945" s="6" t="str">
        <f aca="false">A4945&amp;"|"&amp;B4945&amp;"|"&amp;C4945&amp;"|"&amp;D4945</f>
        <v>7|5|Lucia|spotify:track:7zQFM7bHcyMh4QQFdBkjrE</v>
      </c>
    </row>
    <row r="4946" customFormat="false" ht="15" hidden="false" customHeight="false" outlineLevel="0" collapsed="false">
      <c r="A4946" s="5" t="n">
        <v>7</v>
      </c>
      <c r="B4946" s="5" t="n">
        <v>5</v>
      </c>
      <c r="C4946" s="5" t="s">
        <v>116</v>
      </c>
      <c r="D4946" s="5" t="s">
        <v>2194</v>
      </c>
      <c r="E4946" s="5" t="n">
        <v>2</v>
      </c>
      <c r="F4946" s="6" t="n">
        <f aca="false">IFERROR(MATCH(A4946&amp;"|"&amp;B4946&amp;"|"&amp;D4946,'All Song Rankings'!$T:$T,0),0)</f>
        <v>738</v>
      </c>
      <c r="G4946" s="6" t="str">
        <f aca="false">IF(F4946=0,"NOT FOUND",INDEX('All Song Rankings'!$A:$A,F4946))</f>
        <v>You Spin Me Round (Like a Record)</v>
      </c>
      <c r="H4946" s="6" t="str">
        <f aca="false">IF(F4946=0,"NOT FOUND",INDEX('All Song Rankings'!$B:$B,F4946))</f>
        <v>Dead or Alive</v>
      </c>
      <c r="I4946" s="6" t="str">
        <f aca="false">IF(F4946=0,"NOT FOUND",INDEX('All Song Rankings'!$D:$D,F4946))</f>
        <v>Leah</v>
      </c>
      <c r="J4946" s="7" t="str">
        <f aca="false">IF(F4946=0,"NOT FOUND",IF(C4946=I4946,"SELF-VOTE",IF(COUNTIF($K:$K,K4946)&gt;1,"DUPLICATE","OK")))</f>
        <v>OK</v>
      </c>
      <c r="K4946" s="6" t="str">
        <f aca="false">A4946&amp;"|"&amp;B4946&amp;"|"&amp;C4946&amp;"|"&amp;D4946</f>
        <v>7|5|Matt|spotify:track:1ChulFMnwxoD74Me8eX2TU</v>
      </c>
    </row>
    <row r="4947" customFormat="false" ht="15" hidden="false" customHeight="false" outlineLevel="0" collapsed="false">
      <c r="A4947" s="5" t="n">
        <v>7</v>
      </c>
      <c r="B4947" s="5" t="n">
        <v>5</v>
      </c>
      <c r="C4947" s="5" t="s">
        <v>116</v>
      </c>
      <c r="D4947" s="5" t="s">
        <v>1914</v>
      </c>
      <c r="E4947" s="5" t="n">
        <v>1</v>
      </c>
      <c r="F4947" s="6" t="n">
        <f aca="false">IFERROR(MATCH(A4947&amp;"|"&amp;B4947&amp;"|"&amp;D4947,'All Song Rankings'!$T:$T,0),0)</f>
        <v>735</v>
      </c>
      <c r="G4947" s="6" t="str">
        <f aca="false">IF(F4947=0,"NOT FOUND",INDEX('All Song Rankings'!$A:$A,F4947))</f>
        <v>Head Over Heels</v>
      </c>
      <c r="H4947" s="6" t="str">
        <f aca="false">IF(F4947=0,"NOT FOUND",INDEX('All Song Rankings'!$B:$B,F4947))</f>
        <v>The Go-Go's</v>
      </c>
      <c r="I4947" s="6" t="str">
        <f aca="false">IF(F4947=0,"NOT FOUND",INDEX('All Song Rankings'!$D:$D,F4947))</f>
        <v>Kelsey</v>
      </c>
      <c r="J4947" s="7" t="str">
        <f aca="false">IF(F4947=0,"NOT FOUND",IF(C4947=I4947,"SELF-VOTE",IF(COUNTIF($K:$K,K4947)&gt;1,"DUPLICATE","OK")))</f>
        <v>OK</v>
      </c>
      <c r="K4947" s="6" t="str">
        <f aca="false">A4947&amp;"|"&amp;B4947&amp;"|"&amp;C4947&amp;"|"&amp;D4947</f>
        <v>7|5|Matt|spotify:track:1p46bniF6fC9kT1v5yjJOI</v>
      </c>
    </row>
    <row r="4948" customFormat="false" ht="15" hidden="false" customHeight="false" outlineLevel="0" collapsed="false">
      <c r="A4948" s="5" t="n">
        <v>7</v>
      </c>
      <c r="B4948" s="5" t="n">
        <v>5</v>
      </c>
      <c r="C4948" s="5" t="s">
        <v>116</v>
      </c>
      <c r="D4948" s="5" t="s">
        <v>2212</v>
      </c>
      <c r="E4948" s="5" t="n">
        <v>1</v>
      </c>
      <c r="F4948" s="6" t="n">
        <f aca="false">IFERROR(MATCH(A4948&amp;"|"&amp;B4948&amp;"|"&amp;D4948,'All Song Rankings'!$T:$T,0),0)</f>
        <v>745</v>
      </c>
      <c r="G4948" s="6" t="str">
        <f aca="false">IF(F4948=0,"NOT FOUND",INDEX('All Song Rankings'!$A:$A,F4948))</f>
        <v>In A Big Country - Radio Edit</v>
      </c>
      <c r="H4948" s="6" t="str">
        <f aca="false">IF(F4948=0,"NOT FOUND",INDEX('All Song Rankings'!$B:$B,F4948))</f>
        <v>Big Country</v>
      </c>
      <c r="I4948" s="6" t="str">
        <f aca="false">IF(F4948=0,"NOT FOUND",INDEX('All Song Rankings'!$D:$D,F4948))</f>
        <v>Kristen</v>
      </c>
      <c r="J4948" s="7" t="str">
        <f aca="false">IF(F4948=0,"NOT FOUND",IF(C4948=I4948,"SELF-VOTE",IF(COUNTIF($K:$K,K4948)&gt;1,"DUPLICATE","OK")))</f>
        <v>OK</v>
      </c>
      <c r="K4948" s="6" t="str">
        <f aca="false">A4948&amp;"|"&amp;B4948&amp;"|"&amp;C4948&amp;"|"&amp;D4948</f>
        <v>7|5|Matt|spotify:track:2eKuTki5i6iuxgzDHyqD6Q</v>
      </c>
    </row>
    <row r="4949" customFormat="false" ht="15" hidden="false" customHeight="false" outlineLevel="0" collapsed="false">
      <c r="A4949" s="5" t="n">
        <v>7</v>
      </c>
      <c r="B4949" s="5" t="n">
        <v>5</v>
      </c>
      <c r="C4949" s="5" t="s">
        <v>116</v>
      </c>
      <c r="D4949" s="5" t="s">
        <v>2188</v>
      </c>
      <c r="E4949" s="5" t="n">
        <v>1</v>
      </c>
      <c r="F4949" s="6" t="n">
        <f aca="false">IFERROR(MATCH(A4949&amp;"|"&amp;B4949&amp;"|"&amp;D4949,'All Song Rankings'!$T:$T,0),0)</f>
        <v>736</v>
      </c>
      <c r="G4949" s="6" t="str">
        <f aca="false">IF(F4949=0,"NOT FOUND",INDEX('All Song Rankings'!$A:$A,F4949))</f>
        <v>Hungry Like the Wolf - 2009 Remaster</v>
      </c>
      <c r="H4949" s="6" t="str">
        <f aca="false">IF(F4949=0,"NOT FOUND",INDEX('All Song Rankings'!$B:$B,F4949))</f>
        <v>Duran Duran</v>
      </c>
      <c r="I4949" s="6" t="str">
        <f aca="false">IF(F4949=0,"NOT FOUND",INDEX('All Song Rankings'!$D:$D,F4949))</f>
        <v>Colleen</v>
      </c>
      <c r="J4949" s="7" t="str">
        <f aca="false">IF(F4949=0,"NOT FOUND",IF(C4949=I4949,"SELF-VOTE",IF(COUNTIF($K:$K,K4949)&gt;1,"DUPLICATE","OK")))</f>
        <v>OK</v>
      </c>
      <c r="K4949" s="6" t="str">
        <f aca="false">A4949&amp;"|"&amp;B4949&amp;"|"&amp;C4949&amp;"|"&amp;D4949</f>
        <v>7|5|Matt|spotify:track:39lSeqnyjZJejRuaREfyLL</v>
      </c>
    </row>
    <row r="4950" customFormat="false" ht="15" hidden="false" customHeight="false" outlineLevel="0" collapsed="false">
      <c r="A4950" s="5" t="n">
        <v>7</v>
      </c>
      <c r="B4950" s="5" t="n">
        <v>5</v>
      </c>
      <c r="C4950" s="5" t="s">
        <v>116</v>
      </c>
      <c r="D4950" s="5" t="s">
        <v>2182</v>
      </c>
      <c r="E4950" s="5" t="n">
        <v>1</v>
      </c>
      <c r="F4950" s="6" t="n">
        <f aca="false">IFERROR(MATCH(A4950&amp;"|"&amp;B4950&amp;"|"&amp;D4950,'All Song Rankings'!$T:$T,0),0)</f>
        <v>733</v>
      </c>
      <c r="G4950" s="6" t="str">
        <f aca="false">IF(F4950=0,"NOT FOUND",INDEX('All Song Rankings'!$A:$A,F4950))</f>
        <v>Everybody Wants To Rule The World</v>
      </c>
      <c r="H4950" s="6" t="str">
        <f aca="false">IF(F4950=0,"NOT FOUND",INDEX('All Song Rankings'!$B:$B,F4950))</f>
        <v>Tears for Fears</v>
      </c>
      <c r="I4950" s="6" t="str">
        <f aca="false">IF(F4950=0,"NOT FOUND",INDEX('All Song Rankings'!$D:$D,F4950))</f>
        <v>Lisa</v>
      </c>
      <c r="J4950" s="7" t="str">
        <f aca="false">IF(F4950=0,"NOT FOUND",IF(C4950=I4950,"SELF-VOTE",IF(COUNTIF($K:$K,K4950)&gt;1,"DUPLICATE","OK")))</f>
        <v>OK</v>
      </c>
      <c r="K4950" s="6" t="str">
        <f aca="false">A4950&amp;"|"&amp;B4950&amp;"|"&amp;C4950&amp;"|"&amp;D4950</f>
        <v>7|5|Matt|spotify:track:4RvWPyQ5RL0ao9LPZeSouE</v>
      </c>
    </row>
    <row r="4951" customFormat="false" ht="15" hidden="false" customHeight="false" outlineLevel="0" collapsed="false">
      <c r="A4951" s="5" t="n">
        <v>7</v>
      </c>
      <c r="B4951" s="5" t="n">
        <v>5</v>
      </c>
      <c r="C4951" s="5" t="s">
        <v>116</v>
      </c>
      <c r="D4951" s="5" t="s">
        <v>1870</v>
      </c>
      <c r="E4951" s="5" t="n">
        <v>1</v>
      </c>
      <c r="F4951" s="6" t="n">
        <f aca="false">IFERROR(MATCH(A4951&amp;"|"&amp;B4951&amp;"|"&amp;D4951,'All Song Rankings'!$T:$T,0),0)</f>
        <v>739</v>
      </c>
      <c r="G4951" s="6" t="str">
        <f aca="false">IF(F4951=0,"NOT FOUND",INDEX('All Song Rankings'!$A:$A,F4951))</f>
        <v>You Make My Dreams (Come True)</v>
      </c>
      <c r="H4951" s="6" t="str">
        <f aca="false">IF(F4951=0,"NOT FOUND",INDEX('All Song Rankings'!$B:$B,F4951))</f>
        <v>Daryl Hall &amp; John Oates</v>
      </c>
      <c r="I4951" s="6" t="str">
        <f aca="false">IF(F4951=0,"NOT FOUND",INDEX('All Song Rankings'!$D:$D,F4951))</f>
        <v>Grace</v>
      </c>
      <c r="J4951" s="7" t="str">
        <f aca="false">IF(F4951=0,"NOT FOUND",IF(C4951=I4951,"SELF-VOTE",IF(COUNTIF($K:$K,K4951)&gt;1,"DUPLICATE","OK")))</f>
        <v>OK</v>
      </c>
      <c r="K4951" s="6" t="str">
        <f aca="false">A4951&amp;"|"&amp;B4951&amp;"|"&amp;C4951&amp;"|"&amp;D4951</f>
        <v>7|5|Matt|spotify:track:4o6BgsqLIBViaGVbx5rbRk</v>
      </c>
    </row>
    <row r="4952" customFormat="false" ht="15" hidden="false" customHeight="false" outlineLevel="0" collapsed="false">
      <c r="A4952" s="5" t="n">
        <v>7</v>
      </c>
      <c r="B4952" s="5" t="n">
        <v>5</v>
      </c>
      <c r="C4952" s="5" t="s">
        <v>116</v>
      </c>
      <c r="D4952" s="5" t="s">
        <v>2185</v>
      </c>
      <c r="E4952" s="5" t="n">
        <v>2</v>
      </c>
      <c r="F4952" s="6" t="n">
        <f aca="false">IFERROR(MATCH(A4952&amp;"|"&amp;B4952&amp;"|"&amp;D4952,'All Song Rankings'!$T:$T,0),0)</f>
        <v>734</v>
      </c>
      <c r="G4952" s="6" t="str">
        <f aca="false">IF(F4952=0,"NOT FOUND",INDEX('All Song Rankings'!$A:$A,F4952))</f>
        <v>Girls Just Want to Have Fun</v>
      </c>
      <c r="H4952" s="6" t="str">
        <f aca="false">IF(F4952=0,"NOT FOUND",INDEX('All Song Rankings'!$B:$B,F4952))</f>
        <v>Cyndi Lauper</v>
      </c>
      <c r="I4952" s="6" t="str">
        <f aca="false">IF(F4952=0,"NOT FOUND",INDEX('All Song Rankings'!$D:$D,F4952))</f>
        <v>Lucia</v>
      </c>
      <c r="J4952" s="7" t="str">
        <f aca="false">IF(F4952=0,"NOT FOUND",IF(C4952=I4952,"SELF-VOTE",IF(COUNTIF($K:$K,K4952)&gt;1,"DUPLICATE","OK")))</f>
        <v>OK</v>
      </c>
      <c r="K4952" s="6" t="str">
        <f aca="false">A4952&amp;"|"&amp;B4952&amp;"|"&amp;C4952&amp;"|"&amp;D4952</f>
        <v>7|5|Matt|spotify:track:4y1LsJpmMti1PfRQV9AWWe</v>
      </c>
    </row>
    <row r="4953" customFormat="false" ht="15" hidden="false" customHeight="false" outlineLevel="0" collapsed="false">
      <c r="A4953" s="5" t="n">
        <v>7</v>
      </c>
      <c r="B4953" s="5" t="n">
        <v>5</v>
      </c>
      <c r="C4953" s="5" t="s">
        <v>116</v>
      </c>
      <c r="D4953" s="5" t="s">
        <v>2200</v>
      </c>
      <c r="E4953" s="5" t="n">
        <v>1</v>
      </c>
      <c r="F4953" s="6" t="n">
        <f aca="false">IFERROR(MATCH(A4953&amp;"|"&amp;B4953&amp;"|"&amp;D4953,'All Song Rankings'!$T:$T,0),0)</f>
        <v>741</v>
      </c>
      <c r="G4953" s="6" t="str">
        <f aca="false">IF(F4953=0,"NOT FOUND",INDEX('All Song Rankings'!$A:$A,F4953))</f>
        <v>Don't Change</v>
      </c>
      <c r="H4953" s="6" t="str">
        <f aca="false">IF(F4953=0,"NOT FOUND",INDEX('All Song Rankings'!$B:$B,F4953))</f>
        <v>INXS</v>
      </c>
      <c r="I4953" s="6" t="str">
        <f aca="false">IF(F4953=0,"NOT FOUND",INDEX('All Song Rankings'!$D:$D,F4953))</f>
        <v>Christine</v>
      </c>
      <c r="J4953" s="7" t="str">
        <f aca="false">IF(F4953=0,"NOT FOUND",IF(C4953=I4953,"SELF-VOTE",IF(COUNTIF($K:$K,K4953)&gt;1,"DUPLICATE","OK")))</f>
        <v>OK</v>
      </c>
      <c r="K4953" s="6" t="str">
        <f aca="false">A4953&amp;"|"&amp;B4953&amp;"|"&amp;C4953&amp;"|"&amp;D4953</f>
        <v>7|5|Matt|spotify:track:6ck0CGe9BN9gW5oMmzbhs9</v>
      </c>
    </row>
    <row r="4954" customFormat="false" ht="15" hidden="false" customHeight="false" outlineLevel="0" collapsed="false">
      <c r="A4954" s="5" t="n">
        <v>7</v>
      </c>
      <c r="B4954" s="5" t="n">
        <v>5</v>
      </c>
      <c r="C4954" s="5" t="s">
        <v>101</v>
      </c>
      <c r="D4954" s="5" t="s">
        <v>2191</v>
      </c>
      <c r="E4954" s="5" t="n">
        <v>1</v>
      </c>
      <c r="F4954" s="6" t="n">
        <f aca="false">IFERROR(MATCH(A4954&amp;"|"&amp;B4954&amp;"|"&amp;D4954,'All Song Rankings'!$T:$T,0),0)</f>
        <v>737</v>
      </c>
      <c r="G4954" s="6" t="str">
        <f aca="false">IF(F4954=0,"NOT FOUND",INDEX('All Song Rankings'!$A:$A,F4954))</f>
        <v>Faith - Remastered</v>
      </c>
      <c r="H4954" s="6" t="str">
        <f aca="false">IF(F4954=0,"NOT FOUND",INDEX('All Song Rankings'!$B:$B,F4954))</f>
        <v>George Michael</v>
      </c>
      <c r="I4954" s="6" t="str">
        <f aca="false">IF(F4954=0,"NOT FOUND",INDEX('All Song Rankings'!$D:$D,F4954))</f>
        <v>Logan</v>
      </c>
      <c r="J4954" s="7" t="str">
        <f aca="false">IF(F4954=0,"NOT FOUND",IF(C4954=I4954,"SELF-VOTE",IF(COUNTIF($K:$K,K4954)&gt;1,"DUPLICATE","OK")))</f>
        <v>OK</v>
      </c>
      <c r="K4954" s="6" t="str">
        <f aca="false">A4954&amp;"|"&amp;B4954&amp;"|"&amp;C4954&amp;"|"&amp;D4954</f>
        <v>7|5|Merita|spotify:track:0HEmnAUT8PHznIAAmVXqFJ</v>
      </c>
    </row>
    <row r="4955" customFormat="false" ht="15" hidden="false" customHeight="false" outlineLevel="0" collapsed="false">
      <c r="A4955" s="5" t="n">
        <v>7</v>
      </c>
      <c r="B4955" s="5" t="n">
        <v>5</v>
      </c>
      <c r="C4955" s="5" t="s">
        <v>101</v>
      </c>
      <c r="D4955" s="5" t="s">
        <v>1914</v>
      </c>
      <c r="E4955" s="5" t="n">
        <v>2</v>
      </c>
      <c r="F4955" s="6" t="n">
        <f aca="false">IFERROR(MATCH(A4955&amp;"|"&amp;B4955&amp;"|"&amp;D4955,'All Song Rankings'!$T:$T,0),0)</f>
        <v>735</v>
      </c>
      <c r="G4955" s="6" t="str">
        <f aca="false">IF(F4955=0,"NOT FOUND",INDEX('All Song Rankings'!$A:$A,F4955))</f>
        <v>Head Over Heels</v>
      </c>
      <c r="H4955" s="6" t="str">
        <f aca="false">IF(F4955=0,"NOT FOUND",INDEX('All Song Rankings'!$B:$B,F4955))</f>
        <v>The Go-Go's</v>
      </c>
      <c r="I4955" s="6" t="str">
        <f aca="false">IF(F4955=0,"NOT FOUND",INDEX('All Song Rankings'!$D:$D,F4955))</f>
        <v>Kelsey</v>
      </c>
      <c r="J4955" s="7" t="str">
        <f aca="false">IF(F4955=0,"NOT FOUND",IF(C4955=I4955,"SELF-VOTE",IF(COUNTIF($K:$K,K4955)&gt;1,"DUPLICATE","OK")))</f>
        <v>OK</v>
      </c>
      <c r="K4955" s="6" t="str">
        <f aca="false">A4955&amp;"|"&amp;B4955&amp;"|"&amp;C4955&amp;"|"&amp;D4955</f>
        <v>7|5|Merita|spotify:track:1p46bniF6fC9kT1v5yjJOI</v>
      </c>
    </row>
    <row r="4956" customFormat="false" ht="15" hidden="false" customHeight="false" outlineLevel="0" collapsed="false">
      <c r="A4956" s="5" t="n">
        <v>7</v>
      </c>
      <c r="B4956" s="5" t="n">
        <v>5</v>
      </c>
      <c r="C4956" s="5" t="s">
        <v>101</v>
      </c>
      <c r="D4956" s="5" t="s">
        <v>2197</v>
      </c>
      <c r="E4956" s="5" t="n">
        <v>1</v>
      </c>
      <c r="F4956" s="6" t="n">
        <f aca="false">IFERROR(MATCH(A4956&amp;"|"&amp;B4956&amp;"|"&amp;D4956,'All Song Rankings'!$T:$T,0),0)</f>
        <v>740</v>
      </c>
      <c r="G4956" s="6" t="str">
        <f aca="false">IF(F4956=0,"NOT FOUND",INDEX('All Song Rankings'!$A:$A,F4956))</f>
        <v>Dancing with Myself</v>
      </c>
      <c r="H4956" s="6" t="str">
        <f aca="false">IF(F4956=0,"NOT FOUND",INDEX('All Song Rankings'!$B:$B,F4956))</f>
        <v>Billy Idol</v>
      </c>
      <c r="I4956" s="6" t="str">
        <f aca="false">IF(F4956=0,"NOT FOUND",INDEX('All Song Rankings'!$D:$D,F4956))</f>
        <v>Josh</v>
      </c>
      <c r="J4956" s="7" t="str">
        <f aca="false">IF(F4956=0,"NOT FOUND",IF(C4956=I4956,"SELF-VOTE",IF(COUNTIF($K:$K,K4956)&gt;1,"DUPLICATE","OK")))</f>
        <v>OK</v>
      </c>
      <c r="K4956" s="6" t="str">
        <f aca="false">A4956&amp;"|"&amp;B4956&amp;"|"&amp;C4956&amp;"|"&amp;D4956</f>
        <v>7|5|Merita|spotify:track:3rQfYDjgpRy5LFlClpPQW9</v>
      </c>
    </row>
    <row r="4957" customFormat="false" ht="15" hidden="false" customHeight="false" outlineLevel="0" collapsed="false">
      <c r="A4957" s="5" t="n">
        <v>7</v>
      </c>
      <c r="B4957" s="5" t="n">
        <v>5</v>
      </c>
      <c r="C4957" s="5" t="s">
        <v>101</v>
      </c>
      <c r="D4957" s="5" t="s">
        <v>2182</v>
      </c>
      <c r="E4957" s="5" t="n">
        <v>1</v>
      </c>
      <c r="F4957" s="6" t="n">
        <f aca="false">IFERROR(MATCH(A4957&amp;"|"&amp;B4957&amp;"|"&amp;D4957,'All Song Rankings'!$T:$T,0),0)</f>
        <v>733</v>
      </c>
      <c r="G4957" s="6" t="str">
        <f aca="false">IF(F4957=0,"NOT FOUND",INDEX('All Song Rankings'!$A:$A,F4957))</f>
        <v>Everybody Wants To Rule The World</v>
      </c>
      <c r="H4957" s="6" t="str">
        <f aca="false">IF(F4957=0,"NOT FOUND",INDEX('All Song Rankings'!$B:$B,F4957))</f>
        <v>Tears for Fears</v>
      </c>
      <c r="I4957" s="6" t="str">
        <f aca="false">IF(F4957=0,"NOT FOUND",INDEX('All Song Rankings'!$D:$D,F4957))</f>
        <v>Lisa</v>
      </c>
      <c r="J4957" s="7" t="str">
        <f aca="false">IF(F4957=0,"NOT FOUND",IF(C4957=I4957,"SELF-VOTE",IF(COUNTIF($K:$K,K4957)&gt;1,"DUPLICATE","OK")))</f>
        <v>OK</v>
      </c>
      <c r="K4957" s="6" t="str">
        <f aca="false">A4957&amp;"|"&amp;B4957&amp;"|"&amp;C4957&amp;"|"&amp;D4957</f>
        <v>7|5|Merita|spotify:track:4RvWPyQ5RL0ao9LPZeSouE</v>
      </c>
    </row>
    <row r="4958" customFormat="false" ht="15" hidden="false" customHeight="false" outlineLevel="0" collapsed="false">
      <c r="A4958" s="5" t="n">
        <v>7</v>
      </c>
      <c r="B4958" s="5" t="n">
        <v>5</v>
      </c>
      <c r="C4958" s="5" t="s">
        <v>101</v>
      </c>
      <c r="D4958" s="5" t="s">
        <v>1870</v>
      </c>
      <c r="E4958" s="5" t="n">
        <v>3</v>
      </c>
      <c r="F4958" s="6" t="n">
        <f aca="false">IFERROR(MATCH(A4958&amp;"|"&amp;B4958&amp;"|"&amp;D4958,'All Song Rankings'!$T:$T,0),0)</f>
        <v>739</v>
      </c>
      <c r="G4958" s="6" t="str">
        <f aca="false">IF(F4958=0,"NOT FOUND",INDEX('All Song Rankings'!$A:$A,F4958))</f>
        <v>You Make My Dreams (Come True)</v>
      </c>
      <c r="H4958" s="6" t="str">
        <f aca="false">IF(F4958=0,"NOT FOUND",INDEX('All Song Rankings'!$B:$B,F4958))</f>
        <v>Daryl Hall &amp; John Oates</v>
      </c>
      <c r="I4958" s="6" t="str">
        <f aca="false">IF(F4958=0,"NOT FOUND",INDEX('All Song Rankings'!$D:$D,F4958))</f>
        <v>Grace</v>
      </c>
      <c r="J4958" s="7" t="str">
        <f aca="false">IF(F4958=0,"NOT FOUND",IF(C4958=I4958,"SELF-VOTE",IF(COUNTIF($K:$K,K4958)&gt;1,"DUPLICATE","OK")))</f>
        <v>OK</v>
      </c>
      <c r="K4958" s="6" t="str">
        <f aca="false">A4958&amp;"|"&amp;B4958&amp;"|"&amp;C4958&amp;"|"&amp;D4958</f>
        <v>7|5|Merita|spotify:track:4o6BgsqLIBViaGVbx5rbRk</v>
      </c>
    </row>
    <row r="4959" customFormat="false" ht="15" hidden="false" customHeight="false" outlineLevel="0" collapsed="false">
      <c r="A4959" s="5" t="n">
        <v>7</v>
      </c>
      <c r="B4959" s="5" t="n">
        <v>5</v>
      </c>
      <c r="C4959" s="5" t="s">
        <v>101</v>
      </c>
      <c r="D4959" s="5" t="s">
        <v>2185</v>
      </c>
      <c r="E4959" s="5" t="n">
        <v>1</v>
      </c>
      <c r="F4959" s="6" t="n">
        <f aca="false">IFERROR(MATCH(A4959&amp;"|"&amp;B4959&amp;"|"&amp;D4959,'All Song Rankings'!$T:$T,0),0)</f>
        <v>734</v>
      </c>
      <c r="G4959" s="6" t="str">
        <f aca="false">IF(F4959=0,"NOT FOUND",INDEX('All Song Rankings'!$A:$A,F4959))</f>
        <v>Girls Just Want to Have Fun</v>
      </c>
      <c r="H4959" s="6" t="str">
        <f aca="false">IF(F4959=0,"NOT FOUND",INDEX('All Song Rankings'!$B:$B,F4959))</f>
        <v>Cyndi Lauper</v>
      </c>
      <c r="I4959" s="6" t="str">
        <f aca="false">IF(F4959=0,"NOT FOUND",INDEX('All Song Rankings'!$D:$D,F4959))</f>
        <v>Lucia</v>
      </c>
      <c r="J4959" s="7" t="str">
        <f aca="false">IF(F4959=0,"NOT FOUND",IF(C4959=I4959,"SELF-VOTE",IF(COUNTIF($K:$K,K4959)&gt;1,"DUPLICATE","OK")))</f>
        <v>OK</v>
      </c>
      <c r="K4959" s="6" t="str">
        <f aca="false">A4959&amp;"|"&amp;B4959&amp;"|"&amp;C4959&amp;"|"&amp;D4959</f>
        <v>7|5|Merita|spotify:track:4y1LsJpmMti1PfRQV9AWWe</v>
      </c>
    </row>
    <row r="4960" customFormat="false" ht="15" hidden="false" customHeight="false" outlineLevel="0" collapsed="false">
      <c r="A4960" s="5" t="n">
        <v>7</v>
      </c>
      <c r="B4960" s="5" t="n">
        <v>5</v>
      </c>
      <c r="C4960" s="5" t="s">
        <v>101</v>
      </c>
      <c r="D4960" s="5" t="s">
        <v>2200</v>
      </c>
      <c r="E4960" s="5" t="n">
        <v>1</v>
      </c>
      <c r="F4960" s="6" t="n">
        <f aca="false">IFERROR(MATCH(A4960&amp;"|"&amp;B4960&amp;"|"&amp;D4960,'All Song Rankings'!$T:$T,0),0)</f>
        <v>741</v>
      </c>
      <c r="G4960" s="6" t="str">
        <f aca="false">IF(F4960=0,"NOT FOUND",INDEX('All Song Rankings'!$A:$A,F4960))</f>
        <v>Don't Change</v>
      </c>
      <c r="H4960" s="6" t="str">
        <f aca="false">IF(F4960=0,"NOT FOUND",INDEX('All Song Rankings'!$B:$B,F4960))</f>
        <v>INXS</v>
      </c>
      <c r="I4960" s="6" t="str">
        <f aca="false">IF(F4960=0,"NOT FOUND",INDEX('All Song Rankings'!$D:$D,F4960))</f>
        <v>Christine</v>
      </c>
      <c r="J4960" s="7" t="str">
        <f aca="false">IF(F4960=0,"NOT FOUND",IF(C4960=I4960,"SELF-VOTE",IF(COUNTIF($K:$K,K4960)&gt;1,"DUPLICATE","OK")))</f>
        <v>OK</v>
      </c>
      <c r="K4960" s="6" t="str">
        <f aca="false">A4960&amp;"|"&amp;B4960&amp;"|"&amp;C4960&amp;"|"&amp;D4960</f>
        <v>7|5|Merita|spotify:track:6ck0CGe9BN9gW5oMmzbhs9</v>
      </c>
    </row>
    <row r="4961" customFormat="false" ht="15" hidden="false" customHeight="false" outlineLevel="0" collapsed="false">
      <c r="A4961" s="5" t="n">
        <v>7</v>
      </c>
      <c r="B4961" s="5" t="n">
        <v>5</v>
      </c>
      <c r="C4961" s="5" t="s">
        <v>97</v>
      </c>
      <c r="D4961" s="5" t="s">
        <v>2191</v>
      </c>
      <c r="E4961" s="5" t="n">
        <v>2</v>
      </c>
      <c r="F4961" s="6" t="n">
        <f aca="false">IFERROR(MATCH(A4961&amp;"|"&amp;B4961&amp;"|"&amp;D4961,'All Song Rankings'!$T:$T,0),0)</f>
        <v>737</v>
      </c>
      <c r="G4961" s="6" t="str">
        <f aca="false">IF(F4961=0,"NOT FOUND",INDEX('All Song Rankings'!$A:$A,F4961))</f>
        <v>Faith - Remastered</v>
      </c>
      <c r="H4961" s="6" t="str">
        <f aca="false">IF(F4961=0,"NOT FOUND",INDEX('All Song Rankings'!$B:$B,F4961))</f>
        <v>George Michael</v>
      </c>
      <c r="I4961" s="6" t="str">
        <f aca="false">IF(F4961=0,"NOT FOUND",INDEX('All Song Rankings'!$D:$D,F4961))</f>
        <v>Logan</v>
      </c>
      <c r="J4961" s="7" t="str">
        <f aca="false">IF(F4961=0,"NOT FOUND",IF(C4961=I4961,"SELF-VOTE",IF(COUNTIF($K:$K,K4961)&gt;1,"DUPLICATE","OK")))</f>
        <v>OK</v>
      </c>
      <c r="K4961" s="6" t="str">
        <f aca="false">A4961&amp;"|"&amp;B4961&amp;"|"&amp;C4961&amp;"|"&amp;D4961</f>
        <v>7|5|Stephanie|spotify:track:0HEmnAUT8PHznIAAmVXqFJ</v>
      </c>
    </row>
    <row r="4962" customFormat="false" ht="15" hidden="false" customHeight="false" outlineLevel="0" collapsed="false">
      <c r="A4962" s="5" t="n">
        <v>7</v>
      </c>
      <c r="B4962" s="5" t="n">
        <v>5</v>
      </c>
      <c r="C4962" s="5" t="s">
        <v>97</v>
      </c>
      <c r="D4962" s="5" t="s">
        <v>2194</v>
      </c>
      <c r="E4962" s="5" t="n">
        <v>2</v>
      </c>
      <c r="F4962" s="6" t="n">
        <f aca="false">IFERROR(MATCH(A4962&amp;"|"&amp;B4962&amp;"|"&amp;D4962,'All Song Rankings'!$T:$T,0),0)</f>
        <v>738</v>
      </c>
      <c r="G4962" s="6" t="str">
        <f aca="false">IF(F4962=0,"NOT FOUND",INDEX('All Song Rankings'!$A:$A,F4962))</f>
        <v>You Spin Me Round (Like a Record)</v>
      </c>
      <c r="H4962" s="6" t="str">
        <f aca="false">IF(F4962=0,"NOT FOUND",INDEX('All Song Rankings'!$B:$B,F4962))</f>
        <v>Dead or Alive</v>
      </c>
      <c r="I4962" s="6" t="str">
        <f aca="false">IF(F4962=0,"NOT FOUND",INDEX('All Song Rankings'!$D:$D,F4962))</f>
        <v>Leah</v>
      </c>
      <c r="J4962" s="7" t="str">
        <f aca="false">IF(F4962=0,"NOT FOUND",IF(C4962=I4962,"SELF-VOTE",IF(COUNTIF($K:$K,K4962)&gt;1,"DUPLICATE","OK")))</f>
        <v>OK</v>
      </c>
      <c r="K4962" s="6" t="str">
        <f aca="false">A4962&amp;"|"&amp;B4962&amp;"|"&amp;C4962&amp;"|"&amp;D4962</f>
        <v>7|5|Stephanie|spotify:track:1ChulFMnwxoD74Me8eX2TU</v>
      </c>
    </row>
    <row r="4963" customFormat="false" ht="15" hidden="false" customHeight="false" outlineLevel="0" collapsed="false">
      <c r="A4963" s="5" t="n">
        <v>7</v>
      </c>
      <c r="B4963" s="5" t="n">
        <v>5</v>
      </c>
      <c r="C4963" s="5" t="s">
        <v>97</v>
      </c>
      <c r="D4963" s="5" t="s">
        <v>1914</v>
      </c>
      <c r="E4963" s="5" t="n">
        <v>1</v>
      </c>
      <c r="F4963" s="6" t="n">
        <f aca="false">IFERROR(MATCH(A4963&amp;"|"&amp;B4963&amp;"|"&amp;D4963,'All Song Rankings'!$T:$T,0),0)</f>
        <v>735</v>
      </c>
      <c r="G4963" s="6" t="str">
        <f aca="false">IF(F4963=0,"NOT FOUND",INDEX('All Song Rankings'!$A:$A,F4963))</f>
        <v>Head Over Heels</v>
      </c>
      <c r="H4963" s="6" t="str">
        <f aca="false">IF(F4963=0,"NOT FOUND",INDEX('All Song Rankings'!$B:$B,F4963))</f>
        <v>The Go-Go's</v>
      </c>
      <c r="I4963" s="6" t="str">
        <f aca="false">IF(F4963=0,"NOT FOUND",INDEX('All Song Rankings'!$D:$D,F4963))</f>
        <v>Kelsey</v>
      </c>
      <c r="J4963" s="7" t="str">
        <f aca="false">IF(F4963=0,"NOT FOUND",IF(C4963=I4963,"SELF-VOTE",IF(COUNTIF($K:$K,K4963)&gt;1,"DUPLICATE","OK")))</f>
        <v>OK</v>
      </c>
      <c r="K4963" s="6" t="str">
        <f aca="false">A4963&amp;"|"&amp;B4963&amp;"|"&amp;C4963&amp;"|"&amp;D4963</f>
        <v>7|5|Stephanie|spotify:track:1p46bniF6fC9kT1v5yjJOI</v>
      </c>
    </row>
    <row r="4964" customFormat="false" ht="15" hidden="false" customHeight="false" outlineLevel="0" collapsed="false">
      <c r="A4964" s="5" t="n">
        <v>7</v>
      </c>
      <c r="B4964" s="5" t="n">
        <v>5</v>
      </c>
      <c r="C4964" s="5" t="s">
        <v>97</v>
      </c>
      <c r="D4964" s="5" t="s">
        <v>2188</v>
      </c>
      <c r="E4964" s="5" t="n">
        <v>1</v>
      </c>
      <c r="F4964" s="6" t="n">
        <f aca="false">IFERROR(MATCH(A4964&amp;"|"&amp;B4964&amp;"|"&amp;D4964,'All Song Rankings'!$T:$T,0),0)</f>
        <v>736</v>
      </c>
      <c r="G4964" s="6" t="str">
        <f aca="false">IF(F4964=0,"NOT FOUND",INDEX('All Song Rankings'!$A:$A,F4964))</f>
        <v>Hungry Like the Wolf - 2009 Remaster</v>
      </c>
      <c r="H4964" s="6" t="str">
        <f aca="false">IF(F4964=0,"NOT FOUND",INDEX('All Song Rankings'!$B:$B,F4964))</f>
        <v>Duran Duran</v>
      </c>
      <c r="I4964" s="6" t="str">
        <f aca="false">IF(F4964=0,"NOT FOUND",INDEX('All Song Rankings'!$D:$D,F4964))</f>
        <v>Colleen</v>
      </c>
      <c r="J4964" s="7" t="str">
        <f aca="false">IF(F4964=0,"NOT FOUND",IF(C4964=I4964,"SELF-VOTE",IF(COUNTIF($K:$K,K4964)&gt;1,"DUPLICATE","OK")))</f>
        <v>OK</v>
      </c>
      <c r="K4964" s="6" t="str">
        <f aca="false">A4964&amp;"|"&amp;B4964&amp;"|"&amp;C4964&amp;"|"&amp;D4964</f>
        <v>7|5|Stephanie|spotify:track:39lSeqnyjZJejRuaREfyLL</v>
      </c>
    </row>
    <row r="4965" customFormat="false" ht="15" hidden="false" customHeight="false" outlineLevel="0" collapsed="false">
      <c r="A4965" s="5" t="n">
        <v>7</v>
      </c>
      <c r="B4965" s="5" t="n">
        <v>5</v>
      </c>
      <c r="C4965" s="5" t="s">
        <v>97</v>
      </c>
      <c r="D4965" s="5" t="s">
        <v>2182</v>
      </c>
      <c r="E4965" s="5" t="n">
        <v>2</v>
      </c>
      <c r="F4965" s="6" t="n">
        <f aca="false">IFERROR(MATCH(A4965&amp;"|"&amp;B4965&amp;"|"&amp;D4965,'All Song Rankings'!$T:$T,0),0)</f>
        <v>733</v>
      </c>
      <c r="G4965" s="6" t="str">
        <f aca="false">IF(F4965=0,"NOT FOUND",INDEX('All Song Rankings'!$A:$A,F4965))</f>
        <v>Everybody Wants To Rule The World</v>
      </c>
      <c r="H4965" s="6" t="str">
        <f aca="false">IF(F4965=0,"NOT FOUND",INDEX('All Song Rankings'!$B:$B,F4965))</f>
        <v>Tears for Fears</v>
      </c>
      <c r="I4965" s="6" t="str">
        <f aca="false">IF(F4965=0,"NOT FOUND",INDEX('All Song Rankings'!$D:$D,F4965))</f>
        <v>Lisa</v>
      </c>
      <c r="J4965" s="7" t="str">
        <f aca="false">IF(F4965=0,"NOT FOUND",IF(C4965=I4965,"SELF-VOTE",IF(COUNTIF($K:$K,K4965)&gt;1,"DUPLICATE","OK")))</f>
        <v>OK</v>
      </c>
      <c r="K4965" s="6" t="str">
        <f aca="false">A4965&amp;"|"&amp;B4965&amp;"|"&amp;C4965&amp;"|"&amp;D4965</f>
        <v>7|5|Stephanie|spotify:track:4RvWPyQ5RL0ao9LPZeSouE</v>
      </c>
    </row>
    <row r="4966" customFormat="false" ht="15" hidden="false" customHeight="false" outlineLevel="0" collapsed="false">
      <c r="A4966" s="5" t="n">
        <v>7</v>
      </c>
      <c r="B4966" s="5" t="n">
        <v>5</v>
      </c>
      <c r="C4966" s="5" t="s">
        <v>97</v>
      </c>
      <c r="D4966" s="5" t="s">
        <v>2185</v>
      </c>
      <c r="E4966" s="5" t="n">
        <v>2</v>
      </c>
      <c r="F4966" s="6" t="n">
        <f aca="false">IFERROR(MATCH(A4966&amp;"|"&amp;B4966&amp;"|"&amp;D4966,'All Song Rankings'!$T:$T,0),0)</f>
        <v>734</v>
      </c>
      <c r="G4966" s="6" t="str">
        <f aca="false">IF(F4966=0,"NOT FOUND",INDEX('All Song Rankings'!$A:$A,F4966))</f>
        <v>Girls Just Want to Have Fun</v>
      </c>
      <c r="H4966" s="6" t="str">
        <f aca="false">IF(F4966=0,"NOT FOUND",INDEX('All Song Rankings'!$B:$B,F4966))</f>
        <v>Cyndi Lauper</v>
      </c>
      <c r="I4966" s="6" t="str">
        <f aca="false">IF(F4966=0,"NOT FOUND",INDEX('All Song Rankings'!$D:$D,F4966))</f>
        <v>Lucia</v>
      </c>
      <c r="J4966" s="7" t="str">
        <f aca="false">IF(F4966=0,"NOT FOUND",IF(C4966=I4966,"SELF-VOTE",IF(COUNTIF($K:$K,K4966)&gt;1,"DUPLICATE","OK")))</f>
        <v>OK</v>
      </c>
      <c r="K4966" s="6" t="str">
        <f aca="false">A4966&amp;"|"&amp;B4966&amp;"|"&amp;C4966&amp;"|"&amp;D4966</f>
        <v>7|5|Stephanie|spotify:track:4y1LsJpmMti1PfRQV9AWWe</v>
      </c>
    </row>
    <row r="4967" customFormat="false" ht="15" hidden="false" customHeight="false" outlineLevel="0" collapsed="false">
      <c r="A4967" s="5" t="n">
        <v>7</v>
      </c>
      <c r="B4967" s="5" t="n">
        <v>6</v>
      </c>
      <c r="C4967" s="5" t="s">
        <v>719</v>
      </c>
      <c r="D4967" s="5" t="s">
        <v>2221</v>
      </c>
      <c r="E4967" s="5" t="n">
        <v>1</v>
      </c>
      <c r="F4967" s="6" t="n">
        <f aca="false">IFERROR(MATCH(A4967&amp;"|"&amp;B4967&amp;"|"&amp;D4967,'All Song Rankings'!$T:$T,0),0)</f>
        <v>748</v>
      </c>
      <c r="G4967" s="6" t="str">
        <f aca="false">IF(F4967=0,"NOT FOUND",INDEX('All Song Rankings'!$A:$A,F4967))</f>
        <v>First Class</v>
      </c>
      <c r="H4967" s="6" t="str">
        <f aca="false">IF(F4967=0,"NOT FOUND",INDEX('All Song Rankings'!$B:$B,F4967))</f>
        <v>Jack Harlow</v>
      </c>
      <c r="I4967" s="6" t="str">
        <f aca="false">IF(F4967=0,"NOT FOUND",INDEX('All Song Rankings'!$D:$D,F4967))</f>
        <v>Leah</v>
      </c>
      <c r="J4967" s="7" t="str">
        <f aca="false">IF(F4967=0,"NOT FOUND",IF(C4967=I4967,"SELF-VOTE",IF(COUNTIF($K:$K,K4967)&gt;1,"DUPLICATE","OK")))</f>
        <v>OK</v>
      </c>
      <c r="K4967" s="6" t="str">
        <f aca="false">A4967&amp;"|"&amp;B4967&amp;"|"&amp;C4967&amp;"|"&amp;D4967</f>
        <v>7|6|Christine|spotify:track:0wHFktze2PHC5jDt3B17DC</v>
      </c>
    </row>
    <row r="4968" customFormat="false" ht="15" hidden="false" customHeight="false" outlineLevel="0" collapsed="false">
      <c r="A4968" s="5" t="n">
        <v>7</v>
      </c>
      <c r="B4968" s="5" t="n">
        <v>6</v>
      </c>
      <c r="C4968" s="5" t="s">
        <v>719</v>
      </c>
      <c r="D4968" s="5" t="s">
        <v>2227</v>
      </c>
      <c r="E4968" s="5" t="n">
        <v>2</v>
      </c>
      <c r="F4968" s="6" t="n">
        <f aca="false">IFERROR(MATCH(A4968&amp;"|"&amp;B4968&amp;"|"&amp;D4968,'All Song Rankings'!$T:$T,0),0)</f>
        <v>750</v>
      </c>
      <c r="G4968" s="6" t="str">
        <f aca="false">IF(F4968=0,"NOT FOUND",INDEX('All Song Rankings'!$A:$A,F4968))</f>
        <v>Paper Planes</v>
      </c>
      <c r="H4968" s="6" t="str">
        <f aca="false">IF(F4968=0,"NOT FOUND",INDEX('All Song Rankings'!$B:$B,F4968))</f>
        <v>M.I.A.</v>
      </c>
      <c r="I4968" s="6" t="str">
        <f aca="false">IF(F4968=0,"NOT FOUND",INDEX('All Song Rankings'!$D:$D,F4968))</f>
        <v>Colleen</v>
      </c>
      <c r="J4968" s="7" t="str">
        <f aca="false">IF(F4968=0,"NOT FOUND",IF(C4968=I4968,"SELF-VOTE",IF(COUNTIF($K:$K,K4968)&gt;1,"DUPLICATE","OK")))</f>
        <v>OK</v>
      </c>
      <c r="K4968" s="6" t="str">
        <f aca="false">A4968&amp;"|"&amp;B4968&amp;"|"&amp;C4968&amp;"|"&amp;D4968</f>
        <v>7|6|Christine|spotify:track:1ixbwbeBi5ufN4noUKmW5a</v>
      </c>
    </row>
    <row r="4969" customFormat="false" ht="15" hidden="false" customHeight="false" outlineLevel="0" collapsed="false">
      <c r="A4969" s="5" t="n">
        <v>7</v>
      </c>
      <c r="B4969" s="5" t="n">
        <v>6</v>
      </c>
      <c r="C4969" s="5" t="s">
        <v>719</v>
      </c>
      <c r="D4969" s="5" t="s">
        <v>2216</v>
      </c>
      <c r="E4969" s="5" t="n">
        <v>2</v>
      </c>
      <c r="F4969" s="6" t="n">
        <f aca="false">IFERROR(MATCH(A4969&amp;"|"&amp;B4969&amp;"|"&amp;D4969,'All Song Rankings'!$T:$T,0),0)</f>
        <v>746</v>
      </c>
      <c r="G4969" s="6" t="str">
        <f aca="false">IF(F4969=0,"NOT FOUND",INDEX('All Song Rankings'!$A:$A,F4969))</f>
        <v>Cupid's Chokehold / Breakfast in America</v>
      </c>
      <c r="H4969" s="6" t="str">
        <f aca="false">IF(F4969=0,"NOT FOUND",INDEX('All Song Rankings'!$B:$B,F4969))</f>
        <v>Gym Class Heroes</v>
      </c>
      <c r="I4969" s="6" t="str">
        <f aca="false">IF(F4969=0,"NOT FOUND",INDEX('All Song Rankings'!$D:$D,F4969))</f>
        <v>Josh</v>
      </c>
      <c r="J4969" s="7" t="str">
        <f aca="false">IF(F4969=0,"NOT FOUND",IF(C4969=I4969,"SELF-VOTE",IF(COUNTIF($K:$K,K4969)&gt;1,"DUPLICATE","OK")))</f>
        <v>OK</v>
      </c>
      <c r="K4969" s="6" t="str">
        <f aca="false">A4969&amp;"|"&amp;B4969&amp;"|"&amp;C4969&amp;"|"&amp;D4969</f>
        <v>7|6|Christine|spotify:track:2Lhdl74nwwVGOE2Gv35QuK</v>
      </c>
    </row>
    <row r="4970" customFormat="false" ht="15" hidden="false" customHeight="false" outlineLevel="0" collapsed="false">
      <c r="A4970" s="5" t="n">
        <v>7</v>
      </c>
      <c r="B4970" s="5" t="n">
        <v>6</v>
      </c>
      <c r="C4970" s="5" t="s">
        <v>719</v>
      </c>
      <c r="D4970" s="5" t="s">
        <v>2218</v>
      </c>
      <c r="E4970" s="5" t="n">
        <v>2</v>
      </c>
      <c r="F4970" s="6" t="n">
        <f aca="false">IFERROR(MATCH(A4970&amp;"|"&amp;B4970&amp;"|"&amp;D4970,'All Song Rankings'!$T:$T,0),0)</f>
        <v>747</v>
      </c>
      <c r="G4970" s="6" t="str">
        <f aca="false">IF(F4970=0,"NOT FOUND",INDEX('All Song Rankings'!$A:$A,F4970))</f>
        <v>SOS</v>
      </c>
      <c r="H4970" s="6" t="str">
        <f aca="false">IF(F4970=0,"NOT FOUND",INDEX('All Song Rankings'!$B:$B,F4970))</f>
        <v>Rihanna</v>
      </c>
      <c r="I4970" s="6" t="str">
        <f aca="false">IF(F4970=0,"NOT FOUND",INDEX('All Song Rankings'!$D:$D,F4970))</f>
        <v>Logan</v>
      </c>
      <c r="J4970" s="7" t="str">
        <f aca="false">IF(F4970=0,"NOT FOUND",IF(C4970=I4970,"SELF-VOTE",IF(COUNTIF($K:$K,K4970)&gt;1,"DUPLICATE","OK")))</f>
        <v>OK</v>
      </c>
      <c r="K4970" s="6" t="str">
        <f aca="false">A4970&amp;"|"&amp;B4970&amp;"|"&amp;C4970&amp;"|"&amp;D4970</f>
        <v>7|6|Christine|spotify:track:30cSNer6TV8x2utjULVeQ5</v>
      </c>
    </row>
    <row r="4971" customFormat="false" ht="15" hidden="false" customHeight="false" outlineLevel="0" collapsed="false">
      <c r="A4971" s="5" t="n">
        <v>7</v>
      </c>
      <c r="B4971" s="5" t="n">
        <v>6</v>
      </c>
      <c r="C4971" s="5" t="s">
        <v>719</v>
      </c>
      <c r="D4971" s="5" t="s">
        <v>2245</v>
      </c>
      <c r="E4971" s="5" t="n">
        <v>2</v>
      </c>
      <c r="F4971" s="6" t="n">
        <f aca="false">IFERROR(MATCH(A4971&amp;"|"&amp;B4971&amp;"|"&amp;D4971,'All Song Rankings'!$T:$T,0),0)</f>
        <v>757</v>
      </c>
      <c r="G4971" s="6" t="str">
        <f aca="false">IF(F4971=0,"NOT FOUND",INDEX('All Song Rankings'!$A:$A,F4971))</f>
        <v>Livin' It Up</v>
      </c>
      <c r="H4971" s="6" t="str">
        <f aca="false">IF(F4971=0,"NOT FOUND",INDEX('All Song Rankings'!$B:$B,F4971))</f>
        <v>Ja Rule</v>
      </c>
      <c r="I4971" s="6" t="str">
        <f aca="false">IF(F4971=0,"NOT FOUND",INDEX('All Song Rankings'!$D:$D,F4971))</f>
        <v>Grace</v>
      </c>
      <c r="J4971" s="7" t="str">
        <f aca="false">IF(F4971=0,"NOT FOUND",IF(C4971=I4971,"SELF-VOTE",IF(COUNTIF($K:$K,K4971)&gt;1,"DUPLICATE","OK")))</f>
        <v>OK</v>
      </c>
      <c r="K4971" s="6" t="str">
        <f aca="false">A4971&amp;"|"&amp;B4971&amp;"|"&amp;C4971&amp;"|"&amp;D4971</f>
        <v>7|6|Christine|spotify:track:4ToZV7r72wSbVrljaLSp13</v>
      </c>
    </row>
    <row r="4972" customFormat="false" ht="15" hidden="false" customHeight="false" outlineLevel="0" collapsed="false">
      <c r="A4972" s="5" t="n">
        <v>7</v>
      </c>
      <c r="B4972" s="5" t="n">
        <v>6</v>
      </c>
      <c r="C4972" s="5" t="s">
        <v>719</v>
      </c>
      <c r="D4972" s="5" t="s">
        <v>2237</v>
      </c>
      <c r="E4972" s="5" t="n">
        <v>1</v>
      </c>
      <c r="F4972" s="6" t="n">
        <f aca="false">IFERROR(MATCH(A4972&amp;"|"&amp;B4972&amp;"|"&amp;D4972,'All Song Rankings'!$T:$T,0),0)</f>
        <v>754</v>
      </c>
      <c r="G4972" s="6" t="str">
        <f aca="false">IF(F4972=0,"NOT FOUND",INDEX('All Song Rankings'!$A:$A,F4972))</f>
        <v>Whatcha Say</v>
      </c>
      <c r="H4972" s="6" t="str">
        <f aca="false">IF(F4972=0,"NOT FOUND",INDEX('All Song Rankings'!$B:$B,F4972))</f>
        <v>Jason Derulo</v>
      </c>
      <c r="I4972" s="6" t="str">
        <f aca="false">IF(F4972=0,"NOT FOUND",INDEX('All Song Rankings'!$D:$D,F4972))</f>
        <v>Lucia</v>
      </c>
      <c r="J4972" s="7" t="str">
        <f aca="false">IF(F4972=0,"NOT FOUND",IF(C4972=I4972,"SELF-VOTE",IF(COUNTIF($K:$K,K4972)&gt;1,"DUPLICATE","OK")))</f>
        <v>OK</v>
      </c>
      <c r="K4972" s="6" t="str">
        <f aca="false">A4972&amp;"|"&amp;B4972&amp;"|"&amp;C4972&amp;"|"&amp;D4972</f>
        <v>7|6|Christine|spotify:track:67T6l4q3zVjC5nZZPXByU8</v>
      </c>
    </row>
    <row r="4973" customFormat="false" ht="15" hidden="false" customHeight="false" outlineLevel="0" collapsed="false">
      <c r="A4973" s="5" t="n">
        <v>7</v>
      </c>
      <c r="B4973" s="5" t="n">
        <v>6</v>
      </c>
      <c r="C4973" s="5" t="s">
        <v>637</v>
      </c>
      <c r="D4973" s="5" t="s">
        <v>2235</v>
      </c>
      <c r="E4973" s="5" t="n">
        <v>1</v>
      </c>
      <c r="F4973" s="6" t="n">
        <f aca="false">IFERROR(MATCH(A4973&amp;"|"&amp;B4973&amp;"|"&amp;D4973,'All Song Rankings'!$T:$T,0),0)</f>
        <v>753</v>
      </c>
      <c r="G4973" s="6" t="str">
        <f aca="false">IF(F4973=0,"NOT FOUND",INDEX('All Song Rankings'!$A:$A,F4973))</f>
        <v>Old Town Road</v>
      </c>
      <c r="H4973" s="6" t="str">
        <f aca="false">IF(F4973=0,"NOT FOUND",INDEX('All Song Rankings'!$B:$B,F4973))</f>
        <v>Lil Nas X</v>
      </c>
      <c r="I4973" s="6" t="str">
        <f aca="false">IF(F4973=0,"NOT FOUND",INDEX('All Song Rankings'!$D:$D,F4973))</f>
        <v>Kristen</v>
      </c>
      <c r="J4973" s="7" t="str">
        <f aca="false">IF(F4973=0,"NOT FOUND",IF(C4973=I4973,"SELF-VOTE",IF(COUNTIF($K:$K,K4973)&gt;1,"DUPLICATE","OK")))</f>
        <v>OK</v>
      </c>
      <c r="K4973" s="6" t="str">
        <f aca="false">A4973&amp;"|"&amp;B4973&amp;"|"&amp;C4973&amp;"|"&amp;D4973</f>
        <v>7|6|Colleen|spotify:track:0F7FA14euOIX8KcbEturGH</v>
      </c>
    </row>
    <row r="4974" customFormat="false" ht="15" hidden="false" customHeight="false" outlineLevel="0" collapsed="false">
      <c r="A4974" s="5" t="n">
        <v>7</v>
      </c>
      <c r="B4974" s="5" t="n">
        <v>6</v>
      </c>
      <c r="C4974" s="5" t="s">
        <v>637</v>
      </c>
      <c r="D4974" s="5" t="s">
        <v>2221</v>
      </c>
      <c r="E4974" s="5" t="n">
        <v>1</v>
      </c>
      <c r="F4974" s="6" t="n">
        <f aca="false">IFERROR(MATCH(A4974&amp;"|"&amp;B4974&amp;"|"&amp;D4974,'All Song Rankings'!$T:$T,0),0)</f>
        <v>748</v>
      </c>
      <c r="G4974" s="6" t="str">
        <f aca="false">IF(F4974=0,"NOT FOUND",INDEX('All Song Rankings'!$A:$A,F4974))</f>
        <v>First Class</v>
      </c>
      <c r="H4974" s="6" t="str">
        <f aca="false">IF(F4974=0,"NOT FOUND",INDEX('All Song Rankings'!$B:$B,F4974))</f>
        <v>Jack Harlow</v>
      </c>
      <c r="I4974" s="6" t="str">
        <f aca="false">IF(F4974=0,"NOT FOUND",INDEX('All Song Rankings'!$D:$D,F4974))</f>
        <v>Leah</v>
      </c>
      <c r="J4974" s="7" t="str">
        <f aca="false">IF(F4974=0,"NOT FOUND",IF(C4974=I4974,"SELF-VOTE",IF(COUNTIF($K:$K,K4974)&gt;1,"DUPLICATE","OK")))</f>
        <v>OK</v>
      </c>
      <c r="K4974" s="6" t="str">
        <f aca="false">A4974&amp;"|"&amp;B4974&amp;"|"&amp;C4974&amp;"|"&amp;D4974</f>
        <v>7|6|Colleen|spotify:track:0wHFktze2PHC5jDt3B17DC</v>
      </c>
    </row>
    <row r="4975" customFormat="false" ht="15" hidden="false" customHeight="false" outlineLevel="0" collapsed="false">
      <c r="A4975" s="5" t="n">
        <v>7</v>
      </c>
      <c r="B4975" s="5" t="n">
        <v>6</v>
      </c>
      <c r="C4975" s="5" t="s">
        <v>637</v>
      </c>
      <c r="D4975" s="5" t="s">
        <v>2242</v>
      </c>
      <c r="E4975" s="5" t="n">
        <v>1</v>
      </c>
      <c r="F4975" s="6" t="n">
        <f aca="false">IFERROR(MATCH(A4975&amp;"|"&amp;B4975&amp;"|"&amp;D4975,'All Song Rankings'!$T:$T,0),0)</f>
        <v>756</v>
      </c>
      <c r="G4975" s="6" t="str">
        <f aca="false">IF(F4975=0,"NOT FOUND",INDEX('All Song Rankings'!$A:$A,F4975))</f>
        <v>Gold Digger</v>
      </c>
      <c r="H4975" s="6" t="str">
        <f aca="false">IF(F4975=0,"NOT FOUND",INDEX('All Song Rankings'!$B:$B,F4975))</f>
        <v>Kanye West</v>
      </c>
      <c r="I4975" s="6" t="str">
        <f aca="false">IF(F4975=0,"NOT FOUND",INDEX('All Song Rankings'!$D:$D,F4975))</f>
        <v>Lisa</v>
      </c>
      <c r="J4975" s="7" t="str">
        <f aca="false">IF(F4975=0,"NOT FOUND",IF(C4975=I4975,"SELF-VOTE",IF(COUNTIF($K:$K,K4975)&gt;1,"DUPLICATE","OK")))</f>
        <v>OK</v>
      </c>
      <c r="K4975" s="6" t="str">
        <f aca="false">A4975&amp;"|"&amp;B4975&amp;"|"&amp;C4975&amp;"|"&amp;D4975</f>
        <v>7|6|Colleen|spotify:track:1PS1QMdUqOal0ai3Gt7sDQ</v>
      </c>
    </row>
    <row r="4976" customFormat="false" ht="15" hidden="false" customHeight="false" outlineLevel="0" collapsed="false">
      <c r="A4976" s="5" t="n">
        <v>7</v>
      </c>
      <c r="B4976" s="5" t="n">
        <v>6</v>
      </c>
      <c r="C4976" s="5" t="s">
        <v>637</v>
      </c>
      <c r="D4976" s="5" t="s">
        <v>2230</v>
      </c>
      <c r="E4976" s="5" t="n">
        <v>1</v>
      </c>
      <c r="F4976" s="6" t="n">
        <f aca="false">IFERROR(MATCH(A4976&amp;"|"&amp;B4976&amp;"|"&amp;D4976,'All Song Rankings'!$T:$T,0),0)</f>
        <v>751</v>
      </c>
      <c r="G4976" s="6" t="str">
        <f aca="false">IF(F4976=0,"NOT FOUND",INDEX('All Song Rankings'!$A:$A,F4976))</f>
        <v>A Bar Song (Tipsy)</v>
      </c>
      <c r="H4976" s="6" t="str">
        <f aca="false">IF(F4976=0,"NOT FOUND",INDEX('All Song Rankings'!$B:$B,F4976))</f>
        <v>Shaboozey</v>
      </c>
      <c r="I4976" s="6" t="str">
        <f aca="false">IF(F4976=0,"NOT FOUND",INDEX('All Song Rankings'!$D:$D,F4976))</f>
        <v>Christine</v>
      </c>
      <c r="J4976" s="7" t="str">
        <f aca="false">IF(F4976=0,"NOT FOUND",IF(C4976=I4976,"SELF-VOTE",IF(COUNTIF($K:$K,K4976)&gt;1,"DUPLICATE","OK")))</f>
        <v>OK</v>
      </c>
      <c r="K4976" s="6" t="str">
        <f aca="false">A4976&amp;"|"&amp;B4976&amp;"|"&amp;C4976&amp;"|"&amp;D4976</f>
        <v>7|6|Colleen|spotify:track:2FQrifJ1N335Ljm3TjTVVf</v>
      </c>
    </row>
    <row r="4977" customFormat="false" ht="15" hidden="false" customHeight="false" outlineLevel="0" collapsed="false">
      <c r="A4977" s="5" t="n">
        <v>7</v>
      </c>
      <c r="B4977" s="5" t="n">
        <v>6</v>
      </c>
      <c r="C4977" s="5" t="s">
        <v>637</v>
      </c>
      <c r="D4977" s="5" t="s">
        <v>2216</v>
      </c>
      <c r="E4977" s="5" t="n">
        <v>1</v>
      </c>
      <c r="F4977" s="6" t="n">
        <f aca="false">IFERROR(MATCH(A4977&amp;"|"&amp;B4977&amp;"|"&amp;D4977,'All Song Rankings'!$T:$T,0),0)</f>
        <v>746</v>
      </c>
      <c r="G4977" s="6" t="str">
        <f aca="false">IF(F4977=0,"NOT FOUND",INDEX('All Song Rankings'!$A:$A,F4977))</f>
        <v>Cupid's Chokehold / Breakfast in America</v>
      </c>
      <c r="H4977" s="6" t="str">
        <f aca="false">IF(F4977=0,"NOT FOUND",INDEX('All Song Rankings'!$B:$B,F4977))</f>
        <v>Gym Class Heroes</v>
      </c>
      <c r="I4977" s="6" t="str">
        <f aca="false">IF(F4977=0,"NOT FOUND",INDEX('All Song Rankings'!$D:$D,F4977))</f>
        <v>Josh</v>
      </c>
      <c r="J4977" s="7" t="str">
        <f aca="false">IF(F4977=0,"NOT FOUND",IF(C4977=I4977,"SELF-VOTE",IF(COUNTIF($K:$K,K4977)&gt;1,"DUPLICATE","OK")))</f>
        <v>OK</v>
      </c>
      <c r="K4977" s="6" t="str">
        <f aca="false">A4977&amp;"|"&amp;B4977&amp;"|"&amp;C4977&amp;"|"&amp;D4977</f>
        <v>7|6|Colleen|spotify:track:2Lhdl74nwwVGOE2Gv35QuK</v>
      </c>
    </row>
    <row r="4978" customFormat="false" ht="15" hidden="false" customHeight="false" outlineLevel="0" collapsed="false">
      <c r="A4978" s="5" t="n">
        <v>7</v>
      </c>
      <c r="B4978" s="5" t="n">
        <v>6</v>
      </c>
      <c r="C4978" s="5" t="s">
        <v>637</v>
      </c>
      <c r="D4978" s="5" t="s">
        <v>2218</v>
      </c>
      <c r="E4978" s="5" t="n">
        <v>1</v>
      </c>
      <c r="F4978" s="6" t="n">
        <f aca="false">IFERROR(MATCH(A4978&amp;"|"&amp;B4978&amp;"|"&amp;D4978,'All Song Rankings'!$T:$T,0),0)</f>
        <v>747</v>
      </c>
      <c r="G4978" s="6" t="str">
        <f aca="false">IF(F4978=0,"NOT FOUND",INDEX('All Song Rankings'!$A:$A,F4978))</f>
        <v>SOS</v>
      </c>
      <c r="H4978" s="6" t="str">
        <f aca="false">IF(F4978=0,"NOT FOUND",INDEX('All Song Rankings'!$B:$B,F4978))</f>
        <v>Rihanna</v>
      </c>
      <c r="I4978" s="6" t="str">
        <f aca="false">IF(F4978=0,"NOT FOUND",INDEX('All Song Rankings'!$D:$D,F4978))</f>
        <v>Logan</v>
      </c>
      <c r="J4978" s="7" t="str">
        <f aca="false">IF(F4978=0,"NOT FOUND",IF(C4978=I4978,"SELF-VOTE",IF(COUNTIF($K:$K,K4978)&gt;1,"DUPLICATE","OK")))</f>
        <v>OK</v>
      </c>
      <c r="K4978" s="6" t="str">
        <f aca="false">A4978&amp;"|"&amp;B4978&amp;"|"&amp;C4978&amp;"|"&amp;D4978</f>
        <v>7|6|Colleen|spotify:track:30cSNer6TV8x2utjULVeQ5</v>
      </c>
    </row>
    <row r="4979" customFormat="false" ht="15" hidden="false" customHeight="false" outlineLevel="0" collapsed="false">
      <c r="A4979" s="5" t="n">
        <v>7</v>
      </c>
      <c r="B4979" s="5" t="n">
        <v>6</v>
      </c>
      <c r="C4979" s="5" t="s">
        <v>637</v>
      </c>
      <c r="D4979" s="5" t="s">
        <v>2248</v>
      </c>
      <c r="E4979" s="5" t="n">
        <v>1</v>
      </c>
      <c r="F4979" s="6" t="n">
        <f aca="false">IFERROR(MATCH(A4979&amp;"|"&amp;B4979&amp;"|"&amp;D4979,'All Song Rankings'!$T:$T,0),0)</f>
        <v>758</v>
      </c>
      <c r="G4979" s="6" t="str">
        <f aca="false">IF(F4979=0,"NOT FOUND",INDEX('All Song Rankings'!$A:$A,F4979))</f>
        <v>Muy Tranquilo</v>
      </c>
      <c r="H4979" s="6" t="str">
        <f aca="false">IF(F4979=0,"NOT FOUND",INDEX('All Song Rankings'!$B:$B,F4979))</f>
        <v>Gramatik</v>
      </c>
      <c r="I4979" s="6" t="str">
        <f aca="false">IF(F4979=0,"NOT FOUND",INDEX('All Song Rankings'!$D:$D,F4979))</f>
        <v>Matt</v>
      </c>
      <c r="J4979" s="7" t="str">
        <f aca="false">IF(F4979=0,"NOT FOUND",IF(C4979=I4979,"SELF-VOTE",IF(COUNTIF($K:$K,K4979)&gt;1,"DUPLICATE","OK")))</f>
        <v>OK</v>
      </c>
      <c r="K4979" s="6" t="str">
        <f aca="false">A4979&amp;"|"&amp;B4979&amp;"|"&amp;C4979&amp;"|"&amp;D4979</f>
        <v>7|6|Colleen|spotify:track:3aCkU7zRK9YtA9KyoTIqnb</v>
      </c>
    </row>
    <row r="4980" customFormat="false" ht="15" hidden="false" customHeight="false" outlineLevel="0" collapsed="false">
      <c r="A4980" s="5" t="n">
        <v>7</v>
      </c>
      <c r="B4980" s="5" t="n">
        <v>6</v>
      </c>
      <c r="C4980" s="5" t="s">
        <v>637</v>
      </c>
      <c r="D4980" s="5" t="s">
        <v>2224</v>
      </c>
      <c r="E4980" s="5" t="n">
        <v>2</v>
      </c>
      <c r="F4980" s="6" t="n">
        <f aca="false">IFERROR(MATCH(A4980&amp;"|"&amp;B4980&amp;"|"&amp;D4980,'All Song Rankings'!$T:$T,0),0)</f>
        <v>749</v>
      </c>
      <c r="G4980" s="6" t="str">
        <f aca="false">IF(F4980=0,"NOT FOUND",INDEX('All Song Rankings'!$A:$A,F4980))</f>
        <v>Fallin' (Adrenaline)</v>
      </c>
      <c r="H4980" s="6" t="str">
        <f aca="false">IF(F4980=0,"NOT FOUND",INDEX('All Song Rankings'!$B:$B,F4980))</f>
        <v>Why Don't We</v>
      </c>
      <c r="I4980" s="6" t="str">
        <f aca="false">IF(F4980=0,"NOT FOUND",INDEX('All Song Rankings'!$D:$D,F4980))</f>
        <v>Merita</v>
      </c>
      <c r="J4980" s="7" t="str">
        <f aca="false">IF(F4980=0,"NOT FOUND",IF(C4980=I4980,"SELF-VOTE",IF(COUNTIF($K:$K,K4980)&gt;1,"DUPLICATE","OK")))</f>
        <v>OK</v>
      </c>
      <c r="K4980" s="6" t="str">
        <f aca="false">A4980&amp;"|"&amp;B4980&amp;"|"&amp;C4980&amp;"|"&amp;D4980</f>
        <v>7|6|Colleen|spotify:track:5GhJIMWAw0uMLgkdbt6uMz</v>
      </c>
    </row>
    <row r="4981" customFormat="false" ht="15" hidden="false" customHeight="false" outlineLevel="0" collapsed="false">
      <c r="A4981" s="5" t="n">
        <v>7</v>
      </c>
      <c r="B4981" s="5" t="n">
        <v>6</v>
      </c>
      <c r="C4981" s="5" t="s">
        <v>637</v>
      </c>
      <c r="D4981" s="5" t="s">
        <v>2237</v>
      </c>
      <c r="E4981" s="5" t="n">
        <v>1</v>
      </c>
      <c r="F4981" s="6" t="n">
        <f aca="false">IFERROR(MATCH(A4981&amp;"|"&amp;B4981&amp;"|"&amp;D4981,'All Song Rankings'!$T:$T,0),0)</f>
        <v>754</v>
      </c>
      <c r="G4981" s="6" t="str">
        <f aca="false">IF(F4981=0,"NOT FOUND",INDEX('All Song Rankings'!$A:$A,F4981))</f>
        <v>Whatcha Say</v>
      </c>
      <c r="H4981" s="6" t="str">
        <f aca="false">IF(F4981=0,"NOT FOUND",INDEX('All Song Rankings'!$B:$B,F4981))</f>
        <v>Jason Derulo</v>
      </c>
      <c r="I4981" s="6" t="str">
        <f aca="false">IF(F4981=0,"NOT FOUND",INDEX('All Song Rankings'!$D:$D,F4981))</f>
        <v>Lucia</v>
      </c>
      <c r="J4981" s="7" t="str">
        <f aca="false">IF(F4981=0,"NOT FOUND",IF(C4981=I4981,"SELF-VOTE",IF(COUNTIF($K:$K,K4981)&gt;1,"DUPLICATE","OK")))</f>
        <v>OK</v>
      </c>
      <c r="K4981" s="6" t="str">
        <f aca="false">A4981&amp;"|"&amp;B4981&amp;"|"&amp;C4981&amp;"|"&amp;D4981</f>
        <v>7|6|Colleen|spotify:track:67T6l4q3zVjC5nZZPXByU8</v>
      </c>
    </row>
    <row r="4982" customFormat="false" ht="15" hidden="false" customHeight="false" outlineLevel="0" collapsed="false">
      <c r="A4982" s="5" t="n">
        <v>7</v>
      </c>
      <c r="B4982" s="5" t="n">
        <v>6</v>
      </c>
      <c r="C4982" s="5" t="s">
        <v>382</v>
      </c>
      <c r="D4982" s="5" t="s">
        <v>2240</v>
      </c>
      <c r="E4982" s="5" t="n">
        <v>1</v>
      </c>
      <c r="F4982" s="6" t="n">
        <f aca="false">IFERROR(MATCH(A4982&amp;"|"&amp;B4982&amp;"|"&amp;D4982,'All Song Rankings'!$T:$T,0),0)</f>
        <v>755</v>
      </c>
      <c r="G4982" s="6" t="str">
        <f aca="false">IF(F4982=0,"NOT FOUND",INDEX('All Song Rankings'!$A:$A,F4982))</f>
        <v>Bootylicious</v>
      </c>
      <c r="H4982" s="6" t="str">
        <f aca="false">IF(F4982=0,"NOT FOUND",INDEX('All Song Rankings'!$B:$B,F4982))</f>
        <v>Destiny's Child</v>
      </c>
      <c r="I4982" s="6" t="str">
        <f aca="false">IF(F4982=0,"NOT FOUND",INDEX('All Song Rankings'!$D:$D,F4982))</f>
        <v>Stephanie</v>
      </c>
      <c r="J4982" s="7" t="str">
        <f aca="false">IF(F4982=0,"NOT FOUND",IF(C4982=I4982,"SELF-VOTE",IF(COUNTIF($K:$K,K4982)&gt;1,"DUPLICATE","OK")))</f>
        <v>OK</v>
      </c>
      <c r="K4982" s="6" t="str">
        <f aca="false">A4982&amp;"|"&amp;B4982&amp;"|"&amp;C4982&amp;"|"&amp;D4982</f>
        <v>7|6|Grace|spotify:track:09mkdGhqb5ySKVsnkx9hy2</v>
      </c>
    </row>
    <row r="4983" customFormat="false" ht="15" hidden="false" customHeight="false" outlineLevel="0" collapsed="false">
      <c r="A4983" s="5" t="n">
        <v>7</v>
      </c>
      <c r="B4983" s="5" t="n">
        <v>6</v>
      </c>
      <c r="C4983" s="5" t="s">
        <v>382</v>
      </c>
      <c r="D4983" s="5" t="s">
        <v>2232</v>
      </c>
      <c r="E4983" s="5" t="n">
        <v>2</v>
      </c>
      <c r="F4983" s="6" t="n">
        <f aca="false">IFERROR(MATCH(A4983&amp;"|"&amp;B4983&amp;"|"&amp;D4983,'All Song Rankings'!$T:$T,0),0)</f>
        <v>752</v>
      </c>
      <c r="G4983" s="6" t="str">
        <f aca="false">IF(F4983=0,"NOT FOUND",INDEX('All Song Rankings'!$A:$A,F4983))</f>
        <v>Hollaback Girl</v>
      </c>
      <c r="H4983" s="6" t="str">
        <f aca="false">IF(F4983=0,"NOT FOUND",INDEX('All Song Rankings'!$B:$B,F4983))</f>
        <v>Gwen Stefani</v>
      </c>
      <c r="I4983" s="6" t="str">
        <f aca="false">IF(F4983=0,"NOT FOUND",INDEX('All Song Rankings'!$D:$D,F4983))</f>
        <v>Kelsey</v>
      </c>
      <c r="J4983" s="7" t="str">
        <f aca="false">IF(F4983=0,"NOT FOUND",IF(C4983=I4983,"SELF-VOTE",IF(COUNTIF($K:$K,K4983)&gt;1,"DUPLICATE","OK")))</f>
        <v>OK</v>
      </c>
      <c r="K4983" s="6" t="str">
        <f aca="false">A4983&amp;"|"&amp;B4983&amp;"|"&amp;C4983&amp;"|"&amp;D4983</f>
        <v>7|6|Grace|spotify:track:0LzrhCZFXW94Y8nwtTuRlw</v>
      </c>
    </row>
    <row r="4984" customFormat="false" ht="15" hidden="false" customHeight="false" outlineLevel="0" collapsed="false">
      <c r="A4984" s="5" t="n">
        <v>7</v>
      </c>
      <c r="B4984" s="5" t="n">
        <v>6</v>
      </c>
      <c r="C4984" s="5" t="s">
        <v>382</v>
      </c>
      <c r="D4984" s="5" t="s">
        <v>2221</v>
      </c>
      <c r="E4984" s="5" t="n">
        <v>2</v>
      </c>
      <c r="F4984" s="6" t="n">
        <f aca="false">IFERROR(MATCH(A4984&amp;"|"&amp;B4984&amp;"|"&amp;D4984,'All Song Rankings'!$T:$T,0),0)</f>
        <v>748</v>
      </c>
      <c r="G4984" s="6" t="str">
        <f aca="false">IF(F4984=0,"NOT FOUND",INDEX('All Song Rankings'!$A:$A,F4984))</f>
        <v>First Class</v>
      </c>
      <c r="H4984" s="6" t="str">
        <f aca="false">IF(F4984=0,"NOT FOUND",INDEX('All Song Rankings'!$B:$B,F4984))</f>
        <v>Jack Harlow</v>
      </c>
      <c r="I4984" s="6" t="str">
        <f aca="false">IF(F4984=0,"NOT FOUND",INDEX('All Song Rankings'!$D:$D,F4984))</f>
        <v>Leah</v>
      </c>
      <c r="J4984" s="7" t="str">
        <f aca="false">IF(F4984=0,"NOT FOUND",IF(C4984=I4984,"SELF-VOTE",IF(COUNTIF($K:$K,K4984)&gt;1,"DUPLICATE","OK")))</f>
        <v>OK</v>
      </c>
      <c r="K4984" s="6" t="str">
        <f aca="false">A4984&amp;"|"&amp;B4984&amp;"|"&amp;C4984&amp;"|"&amp;D4984</f>
        <v>7|6|Grace|spotify:track:0wHFktze2PHC5jDt3B17DC</v>
      </c>
    </row>
    <row r="4985" customFormat="false" ht="15" hidden="false" customHeight="false" outlineLevel="0" collapsed="false">
      <c r="A4985" s="5" t="n">
        <v>7</v>
      </c>
      <c r="B4985" s="5" t="n">
        <v>6</v>
      </c>
      <c r="C4985" s="5" t="s">
        <v>382</v>
      </c>
      <c r="D4985" s="5" t="s">
        <v>2227</v>
      </c>
      <c r="E4985" s="5" t="n">
        <v>1</v>
      </c>
      <c r="F4985" s="6" t="n">
        <f aca="false">IFERROR(MATCH(A4985&amp;"|"&amp;B4985&amp;"|"&amp;D4985,'All Song Rankings'!$T:$T,0),0)</f>
        <v>750</v>
      </c>
      <c r="G4985" s="6" t="str">
        <f aca="false">IF(F4985=0,"NOT FOUND",INDEX('All Song Rankings'!$A:$A,F4985))</f>
        <v>Paper Planes</v>
      </c>
      <c r="H4985" s="6" t="str">
        <f aca="false">IF(F4985=0,"NOT FOUND",INDEX('All Song Rankings'!$B:$B,F4985))</f>
        <v>M.I.A.</v>
      </c>
      <c r="I4985" s="6" t="str">
        <f aca="false">IF(F4985=0,"NOT FOUND",INDEX('All Song Rankings'!$D:$D,F4985))</f>
        <v>Colleen</v>
      </c>
      <c r="J4985" s="7" t="str">
        <f aca="false">IF(F4985=0,"NOT FOUND",IF(C4985=I4985,"SELF-VOTE",IF(COUNTIF($K:$K,K4985)&gt;1,"DUPLICATE","OK")))</f>
        <v>OK</v>
      </c>
      <c r="K4985" s="6" t="str">
        <f aca="false">A4985&amp;"|"&amp;B4985&amp;"|"&amp;C4985&amp;"|"&amp;D4985</f>
        <v>7|6|Grace|spotify:track:1ixbwbeBi5ufN4noUKmW5a</v>
      </c>
    </row>
    <row r="4986" customFormat="false" ht="15" hidden="false" customHeight="false" outlineLevel="0" collapsed="false">
      <c r="A4986" s="5" t="n">
        <v>7</v>
      </c>
      <c r="B4986" s="5" t="n">
        <v>6</v>
      </c>
      <c r="C4986" s="5" t="s">
        <v>382</v>
      </c>
      <c r="D4986" s="5" t="s">
        <v>2216</v>
      </c>
      <c r="E4986" s="5" t="n">
        <v>2</v>
      </c>
      <c r="F4986" s="6" t="n">
        <f aca="false">IFERROR(MATCH(A4986&amp;"|"&amp;B4986&amp;"|"&amp;D4986,'All Song Rankings'!$T:$T,0),0)</f>
        <v>746</v>
      </c>
      <c r="G4986" s="6" t="str">
        <f aca="false">IF(F4986=0,"NOT FOUND",INDEX('All Song Rankings'!$A:$A,F4986))</f>
        <v>Cupid's Chokehold / Breakfast in America</v>
      </c>
      <c r="H4986" s="6" t="str">
        <f aca="false">IF(F4986=0,"NOT FOUND",INDEX('All Song Rankings'!$B:$B,F4986))</f>
        <v>Gym Class Heroes</v>
      </c>
      <c r="I4986" s="6" t="str">
        <f aca="false">IF(F4986=0,"NOT FOUND",INDEX('All Song Rankings'!$D:$D,F4986))</f>
        <v>Josh</v>
      </c>
      <c r="J4986" s="7" t="str">
        <f aca="false">IF(F4986=0,"NOT FOUND",IF(C4986=I4986,"SELF-VOTE",IF(COUNTIF($K:$K,K4986)&gt;1,"DUPLICATE","OK")))</f>
        <v>OK</v>
      </c>
      <c r="K4986" s="6" t="str">
        <f aca="false">A4986&amp;"|"&amp;B4986&amp;"|"&amp;C4986&amp;"|"&amp;D4986</f>
        <v>7|6|Grace|spotify:track:2Lhdl74nwwVGOE2Gv35QuK</v>
      </c>
    </row>
    <row r="4987" customFormat="false" ht="15" hidden="false" customHeight="false" outlineLevel="0" collapsed="false">
      <c r="A4987" s="5" t="n">
        <v>7</v>
      </c>
      <c r="B4987" s="5" t="n">
        <v>6</v>
      </c>
      <c r="C4987" s="5" t="s">
        <v>382</v>
      </c>
      <c r="D4987" s="5" t="s">
        <v>2218</v>
      </c>
      <c r="E4987" s="5" t="n">
        <v>1</v>
      </c>
      <c r="F4987" s="6" t="n">
        <f aca="false">IFERROR(MATCH(A4987&amp;"|"&amp;B4987&amp;"|"&amp;D4987,'All Song Rankings'!$T:$T,0),0)</f>
        <v>747</v>
      </c>
      <c r="G4987" s="6" t="str">
        <f aca="false">IF(F4987=0,"NOT FOUND",INDEX('All Song Rankings'!$A:$A,F4987))</f>
        <v>SOS</v>
      </c>
      <c r="H4987" s="6" t="str">
        <f aca="false">IF(F4987=0,"NOT FOUND",INDEX('All Song Rankings'!$B:$B,F4987))</f>
        <v>Rihanna</v>
      </c>
      <c r="I4987" s="6" t="str">
        <f aca="false">IF(F4987=0,"NOT FOUND",INDEX('All Song Rankings'!$D:$D,F4987))</f>
        <v>Logan</v>
      </c>
      <c r="J4987" s="7" t="str">
        <f aca="false">IF(F4987=0,"NOT FOUND",IF(C4987=I4987,"SELF-VOTE",IF(COUNTIF($K:$K,K4987)&gt;1,"DUPLICATE","OK")))</f>
        <v>OK</v>
      </c>
      <c r="K4987" s="6" t="str">
        <f aca="false">A4987&amp;"|"&amp;B4987&amp;"|"&amp;C4987&amp;"|"&amp;D4987</f>
        <v>7|6|Grace|spotify:track:30cSNer6TV8x2utjULVeQ5</v>
      </c>
    </row>
    <row r="4988" customFormat="false" ht="15" hidden="false" customHeight="false" outlineLevel="0" collapsed="false">
      <c r="A4988" s="5" t="n">
        <v>7</v>
      </c>
      <c r="B4988" s="5" t="n">
        <v>6</v>
      </c>
      <c r="C4988" s="5" t="s">
        <v>382</v>
      </c>
      <c r="D4988" s="5" t="s">
        <v>2237</v>
      </c>
      <c r="E4988" s="5" t="n">
        <v>1</v>
      </c>
      <c r="F4988" s="6" t="n">
        <f aca="false">IFERROR(MATCH(A4988&amp;"|"&amp;B4988&amp;"|"&amp;D4988,'All Song Rankings'!$T:$T,0),0)</f>
        <v>754</v>
      </c>
      <c r="G4988" s="6" t="str">
        <f aca="false">IF(F4988=0,"NOT FOUND",INDEX('All Song Rankings'!$A:$A,F4988))</f>
        <v>Whatcha Say</v>
      </c>
      <c r="H4988" s="6" t="str">
        <f aca="false">IF(F4988=0,"NOT FOUND",INDEX('All Song Rankings'!$B:$B,F4988))</f>
        <v>Jason Derulo</v>
      </c>
      <c r="I4988" s="6" t="str">
        <f aca="false">IF(F4988=0,"NOT FOUND",INDEX('All Song Rankings'!$D:$D,F4988))</f>
        <v>Lucia</v>
      </c>
      <c r="J4988" s="7" t="str">
        <f aca="false">IF(F4988=0,"NOT FOUND",IF(C4988=I4988,"SELF-VOTE",IF(COUNTIF($K:$K,K4988)&gt;1,"DUPLICATE","OK")))</f>
        <v>OK</v>
      </c>
      <c r="K4988" s="6" t="str">
        <f aca="false">A4988&amp;"|"&amp;B4988&amp;"|"&amp;C4988&amp;"|"&amp;D4988</f>
        <v>7|6|Grace|spotify:track:67T6l4q3zVjC5nZZPXByU8</v>
      </c>
    </row>
    <row r="4989" customFormat="false" ht="15" hidden="false" customHeight="false" outlineLevel="0" collapsed="false">
      <c r="A4989" s="5" t="n">
        <v>7</v>
      </c>
      <c r="B4989" s="5" t="n">
        <v>6</v>
      </c>
      <c r="C4989" s="5" t="s">
        <v>1843</v>
      </c>
      <c r="D4989" s="5" t="s">
        <v>2240</v>
      </c>
      <c r="E4989" s="5" t="n">
        <v>1</v>
      </c>
      <c r="F4989" s="6" t="n">
        <f aca="false">IFERROR(MATCH(A4989&amp;"|"&amp;B4989&amp;"|"&amp;D4989,'All Song Rankings'!$T:$T,0),0)</f>
        <v>755</v>
      </c>
      <c r="G4989" s="6" t="str">
        <f aca="false">IF(F4989=0,"NOT FOUND",INDEX('All Song Rankings'!$A:$A,F4989))</f>
        <v>Bootylicious</v>
      </c>
      <c r="H4989" s="6" t="str">
        <f aca="false">IF(F4989=0,"NOT FOUND",INDEX('All Song Rankings'!$B:$B,F4989))</f>
        <v>Destiny's Child</v>
      </c>
      <c r="I4989" s="6" t="str">
        <f aca="false">IF(F4989=0,"NOT FOUND",INDEX('All Song Rankings'!$D:$D,F4989))</f>
        <v>Stephanie</v>
      </c>
      <c r="J4989" s="7" t="str">
        <f aca="false">IF(F4989=0,"NOT FOUND",IF(C4989=I4989,"SELF-VOTE",IF(COUNTIF($K:$K,K4989)&gt;1,"DUPLICATE","OK")))</f>
        <v>OK</v>
      </c>
      <c r="K4989" s="6" t="str">
        <f aca="false">A4989&amp;"|"&amp;B4989&amp;"|"&amp;C4989&amp;"|"&amp;D4989</f>
        <v>7|6|Josh|spotify:track:09mkdGhqb5ySKVsnkx9hy2</v>
      </c>
    </row>
    <row r="4990" customFormat="false" ht="15" hidden="false" customHeight="false" outlineLevel="0" collapsed="false">
      <c r="A4990" s="5" t="n">
        <v>7</v>
      </c>
      <c r="B4990" s="5" t="n">
        <v>6</v>
      </c>
      <c r="C4990" s="5" t="s">
        <v>1843</v>
      </c>
      <c r="D4990" s="5" t="s">
        <v>2235</v>
      </c>
      <c r="E4990" s="5" t="n">
        <v>1</v>
      </c>
      <c r="F4990" s="6" t="n">
        <f aca="false">IFERROR(MATCH(A4990&amp;"|"&amp;B4990&amp;"|"&amp;D4990,'All Song Rankings'!$T:$T,0),0)</f>
        <v>753</v>
      </c>
      <c r="G4990" s="6" t="str">
        <f aca="false">IF(F4990=0,"NOT FOUND",INDEX('All Song Rankings'!$A:$A,F4990))</f>
        <v>Old Town Road</v>
      </c>
      <c r="H4990" s="6" t="str">
        <f aca="false">IF(F4990=0,"NOT FOUND",INDEX('All Song Rankings'!$B:$B,F4990))</f>
        <v>Lil Nas X</v>
      </c>
      <c r="I4990" s="6" t="str">
        <f aca="false">IF(F4990=0,"NOT FOUND",INDEX('All Song Rankings'!$D:$D,F4990))</f>
        <v>Kristen</v>
      </c>
      <c r="J4990" s="7" t="str">
        <f aca="false">IF(F4990=0,"NOT FOUND",IF(C4990=I4990,"SELF-VOTE",IF(COUNTIF($K:$K,K4990)&gt;1,"DUPLICATE","OK")))</f>
        <v>OK</v>
      </c>
      <c r="K4990" s="6" t="str">
        <f aca="false">A4990&amp;"|"&amp;B4990&amp;"|"&amp;C4990&amp;"|"&amp;D4990</f>
        <v>7|6|Josh|spotify:track:0F7FA14euOIX8KcbEturGH</v>
      </c>
    </row>
    <row r="4991" customFormat="false" ht="15" hidden="false" customHeight="false" outlineLevel="0" collapsed="false">
      <c r="A4991" s="5" t="n">
        <v>7</v>
      </c>
      <c r="B4991" s="5" t="n">
        <v>6</v>
      </c>
      <c r="C4991" s="5" t="s">
        <v>1843</v>
      </c>
      <c r="D4991" s="5" t="s">
        <v>2232</v>
      </c>
      <c r="E4991" s="5" t="n">
        <v>1</v>
      </c>
      <c r="F4991" s="6" t="n">
        <f aca="false">IFERROR(MATCH(A4991&amp;"|"&amp;B4991&amp;"|"&amp;D4991,'All Song Rankings'!$T:$T,0),0)</f>
        <v>752</v>
      </c>
      <c r="G4991" s="6" t="str">
        <f aca="false">IF(F4991=0,"NOT FOUND",INDEX('All Song Rankings'!$A:$A,F4991))</f>
        <v>Hollaback Girl</v>
      </c>
      <c r="H4991" s="6" t="str">
        <f aca="false">IF(F4991=0,"NOT FOUND",INDEX('All Song Rankings'!$B:$B,F4991))</f>
        <v>Gwen Stefani</v>
      </c>
      <c r="I4991" s="6" t="str">
        <f aca="false">IF(F4991=0,"NOT FOUND",INDEX('All Song Rankings'!$D:$D,F4991))</f>
        <v>Kelsey</v>
      </c>
      <c r="J4991" s="7" t="str">
        <f aca="false">IF(F4991=0,"NOT FOUND",IF(C4991=I4991,"SELF-VOTE",IF(COUNTIF($K:$K,K4991)&gt;1,"DUPLICATE","OK")))</f>
        <v>OK</v>
      </c>
      <c r="K4991" s="6" t="str">
        <f aca="false">A4991&amp;"|"&amp;B4991&amp;"|"&amp;C4991&amp;"|"&amp;D4991</f>
        <v>7|6|Josh|spotify:track:0LzrhCZFXW94Y8nwtTuRlw</v>
      </c>
    </row>
    <row r="4992" customFormat="false" ht="15" hidden="false" customHeight="false" outlineLevel="0" collapsed="false">
      <c r="A4992" s="5" t="n">
        <v>7</v>
      </c>
      <c r="B4992" s="5" t="n">
        <v>6</v>
      </c>
      <c r="C4992" s="5" t="s">
        <v>1843</v>
      </c>
      <c r="D4992" s="5" t="s">
        <v>2221</v>
      </c>
      <c r="E4992" s="5" t="n">
        <v>2</v>
      </c>
      <c r="F4992" s="6" t="n">
        <f aca="false">IFERROR(MATCH(A4992&amp;"|"&amp;B4992&amp;"|"&amp;D4992,'All Song Rankings'!$T:$T,0),0)</f>
        <v>748</v>
      </c>
      <c r="G4992" s="6" t="str">
        <f aca="false">IF(F4992=0,"NOT FOUND",INDEX('All Song Rankings'!$A:$A,F4992))</f>
        <v>First Class</v>
      </c>
      <c r="H4992" s="6" t="str">
        <f aca="false">IF(F4992=0,"NOT FOUND",INDEX('All Song Rankings'!$B:$B,F4992))</f>
        <v>Jack Harlow</v>
      </c>
      <c r="I4992" s="6" t="str">
        <f aca="false">IF(F4992=0,"NOT FOUND",INDEX('All Song Rankings'!$D:$D,F4992))</f>
        <v>Leah</v>
      </c>
      <c r="J4992" s="7" t="str">
        <f aca="false">IF(F4992=0,"NOT FOUND",IF(C4992=I4992,"SELF-VOTE",IF(COUNTIF($K:$K,K4992)&gt;1,"DUPLICATE","OK")))</f>
        <v>OK</v>
      </c>
      <c r="K4992" s="6" t="str">
        <f aca="false">A4992&amp;"|"&amp;B4992&amp;"|"&amp;C4992&amp;"|"&amp;D4992</f>
        <v>7|6|Josh|spotify:track:0wHFktze2PHC5jDt3B17DC</v>
      </c>
    </row>
    <row r="4993" customFormat="false" ht="15" hidden="false" customHeight="false" outlineLevel="0" collapsed="false">
      <c r="A4993" s="5" t="n">
        <v>7</v>
      </c>
      <c r="B4993" s="5" t="n">
        <v>6</v>
      </c>
      <c r="C4993" s="5" t="s">
        <v>1843</v>
      </c>
      <c r="D4993" s="5" t="s">
        <v>2242</v>
      </c>
      <c r="E4993" s="5" t="n">
        <v>1</v>
      </c>
      <c r="F4993" s="6" t="n">
        <f aca="false">IFERROR(MATCH(A4993&amp;"|"&amp;B4993&amp;"|"&amp;D4993,'All Song Rankings'!$T:$T,0),0)</f>
        <v>756</v>
      </c>
      <c r="G4993" s="6" t="str">
        <f aca="false">IF(F4993=0,"NOT FOUND",INDEX('All Song Rankings'!$A:$A,F4993))</f>
        <v>Gold Digger</v>
      </c>
      <c r="H4993" s="6" t="str">
        <f aca="false">IF(F4993=0,"NOT FOUND",INDEX('All Song Rankings'!$B:$B,F4993))</f>
        <v>Kanye West</v>
      </c>
      <c r="I4993" s="6" t="str">
        <f aca="false">IF(F4993=0,"NOT FOUND",INDEX('All Song Rankings'!$D:$D,F4993))</f>
        <v>Lisa</v>
      </c>
      <c r="J4993" s="7" t="str">
        <f aca="false">IF(F4993=0,"NOT FOUND",IF(C4993=I4993,"SELF-VOTE",IF(COUNTIF($K:$K,K4993)&gt;1,"DUPLICATE","OK")))</f>
        <v>OK</v>
      </c>
      <c r="K4993" s="6" t="str">
        <f aca="false">A4993&amp;"|"&amp;B4993&amp;"|"&amp;C4993&amp;"|"&amp;D4993</f>
        <v>7|6|Josh|spotify:track:1PS1QMdUqOal0ai3Gt7sDQ</v>
      </c>
    </row>
    <row r="4994" customFormat="false" ht="15" hidden="false" customHeight="false" outlineLevel="0" collapsed="false">
      <c r="A4994" s="5" t="n">
        <v>7</v>
      </c>
      <c r="B4994" s="5" t="n">
        <v>6</v>
      </c>
      <c r="C4994" s="5" t="s">
        <v>1843</v>
      </c>
      <c r="D4994" s="5" t="s">
        <v>2227</v>
      </c>
      <c r="E4994" s="5" t="n">
        <v>2</v>
      </c>
      <c r="F4994" s="6" t="n">
        <f aca="false">IFERROR(MATCH(A4994&amp;"|"&amp;B4994&amp;"|"&amp;D4994,'All Song Rankings'!$T:$T,0),0)</f>
        <v>750</v>
      </c>
      <c r="G4994" s="6" t="str">
        <f aca="false">IF(F4994=0,"NOT FOUND",INDEX('All Song Rankings'!$A:$A,F4994))</f>
        <v>Paper Planes</v>
      </c>
      <c r="H4994" s="6" t="str">
        <f aca="false">IF(F4994=0,"NOT FOUND",INDEX('All Song Rankings'!$B:$B,F4994))</f>
        <v>M.I.A.</v>
      </c>
      <c r="I4994" s="6" t="str">
        <f aca="false">IF(F4994=0,"NOT FOUND",INDEX('All Song Rankings'!$D:$D,F4994))</f>
        <v>Colleen</v>
      </c>
      <c r="J4994" s="7" t="str">
        <f aca="false">IF(F4994=0,"NOT FOUND",IF(C4994=I4994,"SELF-VOTE",IF(COUNTIF($K:$K,K4994)&gt;1,"DUPLICATE","OK")))</f>
        <v>OK</v>
      </c>
      <c r="K4994" s="6" t="str">
        <f aca="false">A4994&amp;"|"&amp;B4994&amp;"|"&amp;C4994&amp;"|"&amp;D4994</f>
        <v>7|6|Josh|spotify:track:1ixbwbeBi5ufN4noUKmW5a</v>
      </c>
    </row>
    <row r="4995" customFormat="false" ht="15" hidden="false" customHeight="false" outlineLevel="0" collapsed="false">
      <c r="A4995" s="5" t="n">
        <v>7</v>
      </c>
      <c r="B4995" s="5" t="n">
        <v>6</v>
      </c>
      <c r="C4995" s="5" t="s">
        <v>1843</v>
      </c>
      <c r="D4995" s="5" t="s">
        <v>2230</v>
      </c>
      <c r="E4995" s="5" t="n">
        <v>1</v>
      </c>
      <c r="F4995" s="6" t="n">
        <f aca="false">IFERROR(MATCH(A4995&amp;"|"&amp;B4995&amp;"|"&amp;D4995,'All Song Rankings'!$T:$T,0),0)</f>
        <v>751</v>
      </c>
      <c r="G4995" s="6" t="str">
        <f aca="false">IF(F4995=0,"NOT FOUND",INDEX('All Song Rankings'!$A:$A,F4995))</f>
        <v>A Bar Song (Tipsy)</v>
      </c>
      <c r="H4995" s="6" t="str">
        <f aca="false">IF(F4995=0,"NOT FOUND",INDEX('All Song Rankings'!$B:$B,F4995))</f>
        <v>Shaboozey</v>
      </c>
      <c r="I4995" s="6" t="str">
        <f aca="false">IF(F4995=0,"NOT FOUND",INDEX('All Song Rankings'!$D:$D,F4995))</f>
        <v>Christine</v>
      </c>
      <c r="J4995" s="7" t="str">
        <f aca="false">IF(F4995=0,"NOT FOUND",IF(C4995=I4995,"SELF-VOTE",IF(COUNTIF($K:$K,K4995)&gt;1,"DUPLICATE","OK")))</f>
        <v>OK</v>
      </c>
      <c r="K4995" s="6" t="str">
        <f aca="false">A4995&amp;"|"&amp;B4995&amp;"|"&amp;C4995&amp;"|"&amp;D4995</f>
        <v>7|6|Josh|spotify:track:2FQrifJ1N335Ljm3TjTVVf</v>
      </c>
    </row>
    <row r="4996" customFormat="false" ht="15" hidden="false" customHeight="false" outlineLevel="0" collapsed="false">
      <c r="A4996" s="5" t="n">
        <v>7</v>
      </c>
      <c r="B4996" s="5" t="n">
        <v>6</v>
      </c>
      <c r="C4996" s="5" t="s">
        <v>1843</v>
      </c>
      <c r="D4996" s="5" t="s">
        <v>2237</v>
      </c>
      <c r="E4996" s="5" t="n">
        <v>1</v>
      </c>
      <c r="F4996" s="6" t="n">
        <f aca="false">IFERROR(MATCH(A4996&amp;"|"&amp;B4996&amp;"|"&amp;D4996,'All Song Rankings'!$T:$T,0),0)</f>
        <v>754</v>
      </c>
      <c r="G4996" s="6" t="str">
        <f aca="false">IF(F4996=0,"NOT FOUND",INDEX('All Song Rankings'!$A:$A,F4996))</f>
        <v>Whatcha Say</v>
      </c>
      <c r="H4996" s="6" t="str">
        <f aca="false">IF(F4996=0,"NOT FOUND",INDEX('All Song Rankings'!$B:$B,F4996))</f>
        <v>Jason Derulo</v>
      </c>
      <c r="I4996" s="6" t="str">
        <f aca="false">IF(F4996=0,"NOT FOUND",INDEX('All Song Rankings'!$D:$D,F4996))</f>
        <v>Lucia</v>
      </c>
      <c r="J4996" s="7" t="str">
        <f aca="false">IF(F4996=0,"NOT FOUND",IF(C4996=I4996,"SELF-VOTE",IF(COUNTIF($K:$K,K4996)&gt;1,"DUPLICATE","OK")))</f>
        <v>OK</v>
      </c>
      <c r="K4996" s="6" t="str">
        <f aca="false">A4996&amp;"|"&amp;B4996&amp;"|"&amp;C4996&amp;"|"&amp;D4996</f>
        <v>7|6|Josh|spotify:track:67T6l4q3zVjC5nZZPXByU8</v>
      </c>
    </row>
    <row r="4997" customFormat="false" ht="15" hidden="false" customHeight="false" outlineLevel="0" collapsed="false">
      <c r="A4997" s="5" t="n">
        <v>7</v>
      </c>
      <c r="B4997" s="5" t="n">
        <v>6</v>
      </c>
      <c r="C4997" s="5" t="s">
        <v>85</v>
      </c>
      <c r="D4997" s="5" t="s">
        <v>2240</v>
      </c>
      <c r="E4997" s="5" t="n">
        <v>1</v>
      </c>
      <c r="F4997" s="6" t="n">
        <f aca="false">IFERROR(MATCH(A4997&amp;"|"&amp;B4997&amp;"|"&amp;D4997,'All Song Rankings'!$T:$T,0),0)</f>
        <v>755</v>
      </c>
      <c r="G4997" s="6" t="str">
        <f aca="false">IF(F4997=0,"NOT FOUND",INDEX('All Song Rankings'!$A:$A,F4997))</f>
        <v>Bootylicious</v>
      </c>
      <c r="H4997" s="6" t="str">
        <f aca="false">IF(F4997=0,"NOT FOUND",INDEX('All Song Rankings'!$B:$B,F4997))</f>
        <v>Destiny's Child</v>
      </c>
      <c r="I4997" s="6" t="str">
        <f aca="false">IF(F4997=0,"NOT FOUND",INDEX('All Song Rankings'!$D:$D,F4997))</f>
        <v>Stephanie</v>
      </c>
      <c r="J4997" s="7" t="str">
        <f aca="false">IF(F4997=0,"NOT FOUND",IF(C4997=I4997,"SELF-VOTE",IF(COUNTIF($K:$K,K4997)&gt;1,"DUPLICATE","OK")))</f>
        <v>OK</v>
      </c>
      <c r="K4997" s="6" t="str">
        <f aca="false">A4997&amp;"|"&amp;B4997&amp;"|"&amp;C4997&amp;"|"&amp;D4997</f>
        <v>7|6|Kelsey|spotify:track:09mkdGhqb5ySKVsnkx9hy2</v>
      </c>
    </row>
    <row r="4998" customFormat="false" ht="15" hidden="false" customHeight="false" outlineLevel="0" collapsed="false">
      <c r="A4998" s="5" t="n">
        <v>7</v>
      </c>
      <c r="B4998" s="5" t="n">
        <v>6</v>
      </c>
      <c r="C4998" s="5" t="s">
        <v>85</v>
      </c>
      <c r="D4998" s="5" t="s">
        <v>2242</v>
      </c>
      <c r="E4998" s="5" t="n">
        <v>1</v>
      </c>
      <c r="F4998" s="6" t="n">
        <f aca="false">IFERROR(MATCH(A4998&amp;"|"&amp;B4998&amp;"|"&amp;D4998,'All Song Rankings'!$T:$T,0),0)</f>
        <v>756</v>
      </c>
      <c r="G4998" s="6" t="str">
        <f aca="false">IF(F4998=0,"NOT FOUND",INDEX('All Song Rankings'!$A:$A,F4998))</f>
        <v>Gold Digger</v>
      </c>
      <c r="H4998" s="6" t="str">
        <f aca="false">IF(F4998=0,"NOT FOUND",INDEX('All Song Rankings'!$B:$B,F4998))</f>
        <v>Kanye West</v>
      </c>
      <c r="I4998" s="6" t="str">
        <f aca="false">IF(F4998=0,"NOT FOUND",INDEX('All Song Rankings'!$D:$D,F4998))</f>
        <v>Lisa</v>
      </c>
      <c r="J4998" s="7" t="str">
        <f aca="false">IF(F4998=0,"NOT FOUND",IF(C4998=I4998,"SELF-VOTE",IF(COUNTIF($K:$K,K4998)&gt;1,"DUPLICATE","OK")))</f>
        <v>OK</v>
      </c>
      <c r="K4998" s="6" t="str">
        <f aca="false">A4998&amp;"|"&amp;B4998&amp;"|"&amp;C4998&amp;"|"&amp;D4998</f>
        <v>7|6|Kelsey|spotify:track:1PS1QMdUqOal0ai3Gt7sDQ</v>
      </c>
    </row>
    <row r="4999" customFormat="false" ht="15" hidden="false" customHeight="false" outlineLevel="0" collapsed="false">
      <c r="A4999" s="5" t="n">
        <v>7</v>
      </c>
      <c r="B4999" s="5" t="n">
        <v>6</v>
      </c>
      <c r="C4999" s="5" t="s">
        <v>85</v>
      </c>
      <c r="D4999" s="5" t="s">
        <v>2230</v>
      </c>
      <c r="E4999" s="5" t="n">
        <v>1</v>
      </c>
      <c r="F4999" s="6" t="n">
        <f aca="false">IFERROR(MATCH(A4999&amp;"|"&amp;B4999&amp;"|"&amp;D4999,'All Song Rankings'!$T:$T,0),0)</f>
        <v>751</v>
      </c>
      <c r="G4999" s="6" t="str">
        <f aca="false">IF(F4999=0,"NOT FOUND",INDEX('All Song Rankings'!$A:$A,F4999))</f>
        <v>A Bar Song (Tipsy)</v>
      </c>
      <c r="H4999" s="6" t="str">
        <f aca="false">IF(F4999=0,"NOT FOUND",INDEX('All Song Rankings'!$B:$B,F4999))</f>
        <v>Shaboozey</v>
      </c>
      <c r="I4999" s="6" t="str">
        <f aca="false">IF(F4999=0,"NOT FOUND",INDEX('All Song Rankings'!$D:$D,F4999))</f>
        <v>Christine</v>
      </c>
      <c r="J4999" s="7" t="str">
        <f aca="false">IF(F4999=0,"NOT FOUND",IF(C4999=I4999,"SELF-VOTE",IF(COUNTIF($K:$K,K4999)&gt;1,"DUPLICATE","OK")))</f>
        <v>OK</v>
      </c>
      <c r="K4999" s="6" t="str">
        <f aca="false">A4999&amp;"|"&amp;B4999&amp;"|"&amp;C4999&amp;"|"&amp;D4999</f>
        <v>7|6|Kelsey|spotify:track:2FQrifJ1N335Ljm3TjTVVf</v>
      </c>
    </row>
    <row r="5000" customFormat="false" ht="15" hidden="false" customHeight="false" outlineLevel="0" collapsed="false">
      <c r="A5000" s="5" t="n">
        <v>7</v>
      </c>
      <c r="B5000" s="5" t="n">
        <v>6</v>
      </c>
      <c r="C5000" s="5" t="s">
        <v>85</v>
      </c>
      <c r="D5000" s="5" t="s">
        <v>2216</v>
      </c>
      <c r="E5000" s="5" t="n">
        <v>1</v>
      </c>
      <c r="F5000" s="6" t="n">
        <f aca="false">IFERROR(MATCH(A5000&amp;"|"&amp;B5000&amp;"|"&amp;D5000,'All Song Rankings'!$T:$T,0),0)</f>
        <v>746</v>
      </c>
      <c r="G5000" s="6" t="str">
        <f aca="false">IF(F5000=0,"NOT FOUND",INDEX('All Song Rankings'!$A:$A,F5000))</f>
        <v>Cupid's Chokehold / Breakfast in America</v>
      </c>
      <c r="H5000" s="6" t="str">
        <f aca="false">IF(F5000=0,"NOT FOUND",INDEX('All Song Rankings'!$B:$B,F5000))</f>
        <v>Gym Class Heroes</v>
      </c>
      <c r="I5000" s="6" t="str">
        <f aca="false">IF(F5000=0,"NOT FOUND",INDEX('All Song Rankings'!$D:$D,F5000))</f>
        <v>Josh</v>
      </c>
      <c r="J5000" s="7" t="str">
        <f aca="false">IF(F5000=0,"NOT FOUND",IF(C5000=I5000,"SELF-VOTE",IF(COUNTIF($K:$K,K5000)&gt;1,"DUPLICATE","OK")))</f>
        <v>OK</v>
      </c>
      <c r="K5000" s="6" t="str">
        <f aca="false">A5000&amp;"|"&amp;B5000&amp;"|"&amp;C5000&amp;"|"&amp;D5000</f>
        <v>7|6|Kelsey|spotify:track:2Lhdl74nwwVGOE2Gv35QuK</v>
      </c>
    </row>
    <row r="5001" customFormat="false" ht="15" hidden="false" customHeight="false" outlineLevel="0" collapsed="false">
      <c r="A5001" s="5" t="n">
        <v>7</v>
      </c>
      <c r="B5001" s="5" t="n">
        <v>6</v>
      </c>
      <c r="C5001" s="5" t="s">
        <v>85</v>
      </c>
      <c r="D5001" s="5" t="s">
        <v>2218</v>
      </c>
      <c r="E5001" s="5" t="n">
        <v>2</v>
      </c>
      <c r="F5001" s="6" t="n">
        <f aca="false">IFERROR(MATCH(A5001&amp;"|"&amp;B5001&amp;"|"&amp;D5001,'All Song Rankings'!$T:$T,0),0)</f>
        <v>747</v>
      </c>
      <c r="G5001" s="6" t="str">
        <f aca="false">IF(F5001=0,"NOT FOUND",INDEX('All Song Rankings'!$A:$A,F5001))</f>
        <v>SOS</v>
      </c>
      <c r="H5001" s="6" t="str">
        <f aca="false">IF(F5001=0,"NOT FOUND",INDEX('All Song Rankings'!$B:$B,F5001))</f>
        <v>Rihanna</v>
      </c>
      <c r="I5001" s="6" t="str">
        <f aca="false">IF(F5001=0,"NOT FOUND",INDEX('All Song Rankings'!$D:$D,F5001))</f>
        <v>Logan</v>
      </c>
      <c r="J5001" s="7" t="str">
        <f aca="false">IF(F5001=0,"NOT FOUND",IF(C5001=I5001,"SELF-VOTE",IF(COUNTIF($K:$K,K5001)&gt;1,"DUPLICATE","OK")))</f>
        <v>OK</v>
      </c>
      <c r="K5001" s="6" t="str">
        <f aca="false">A5001&amp;"|"&amp;B5001&amp;"|"&amp;C5001&amp;"|"&amp;D5001</f>
        <v>7|6|Kelsey|spotify:track:30cSNer6TV8x2utjULVeQ5</v>
      </c>
    </row>
    <row r="5002" customFormat="false" ht="15" hidden="false" customHeight="false" outlineLevel="0" collapsed="false">
      <c r="A5002" s="5" t="n">
        <v>7</v>
      </c>
      <c r="B5002" s="5" t="n">
        <v>6</v>
      </c>
      <c r="C5002" s="5" t="s">
        <v>85</v>
      </c>
      <c r="D5002" s="5" t="s">
        <v>2245</v>
      </c>
      <c r="E5002" s="5" t="n">
        <v>1</v>
      </c>
      <c r="F5002" s="6" t="n">
        <f aca="false">IFERROR(MATCH(A5002&amp;"|"&amp;B5002&amp;"|"&amp;D5002,'All Song Rankings'!$T:$T,0),0)</f>
        <v>757</v>
      </c>
      <c r="G5002" s="6" t="str">
        <f aca="false">IF(F5002=0,"NOT FOUND",INDEX('All Song Rankings'!$A:$A,F5002))</f>
        <v>Livin' It Up</v>
      </c>
      <c r="H5002" s="6" t="str">
        <f aca="false">IF(F5002=0,"NOT FOUND",INDEX('All Song Rankings'!$B:$B,F5002))</f>
        <v>Ja Rule</v>
      </c>
      <c r="I5002" s="6" t="str">
        <f aca="false">IF(F5002=0,"NOT FOUND",INDEX('All Song Rankings'!$D:$D,F5002))</f>
        <v>Grace</v>
      </c>
      <c r="J5002" s="7" t="str">
        <f aca="false">IF(F5002=0,"NOT FOUND",IF(C5002=I5002,"SELF-VOTE",IF(COUNTIF($K:$K,K5002)&gt;1,"DUPLICATE","OK")))</f>
        <v>OK</v>
      </c>
      <c r="K5002" s="6" t="str">
        <f aca="false">A5002&amp;"|"&amp;B5002&amp;"|"&amp;C5002&amp;"|"&amp;D5002</f>
        <v>7|6|Kelsey|spotify:track:4ToZV7r72wSbVrljaLSp13</v>
      </c>
    </row>
    <row r="5003" customFormat="false" ht="15" hidden="false" customHeight="false" outlineLevel="0" collapsed="false">
      <c r="A5003" s="5" t="n">
        <v>7</v>
      </c>
      <c r="B5003" s="5" t="n">
        <v>6</v>
      </c>
      <c r="C5003" s="5" t="s">
        <v>85</v>
      </c>
      <c r="D5003" s="5" t="s">
        <v>2224</v>
      </c>
      <c r="E5003" s="5" t="n">
        <v>3</v>
      </c>
      <c r="F5003" s="6" t="n">
        <f aca="false">IFERROR(MATCH(A5003&amp;"|"&amp;B5003&amp;"|"&amp;D5003,'All Song Rankings'!$T:$T,0),0)</f>
        <v>749</v>
      </c>
      <c r="G5003" s="6" t="str">
        <f aca="false">IF(F5003=0,"NOT FOUND",INDEX('All Song Rankings'!$A:$A,F5003))</f>
        <v>Fallin' (Adrenaline)</v>
      </c>
      <c r="H5003" s="6" t="str">
        <f aca="false">IF(F5003=0,"NOT FOUND",INDEX('All Song Rankings'!$B:$B,F5003))</f>
        <v>Why Don't We</v>
      </c>
      <c r="I5003" s="6" t="str">
        <f aca="false">IF(F5003=0,"NOT FOUND",INDEX('All Song Rankings'!$D:$D,F5003))</f>
        <v>Merita</v>
      </c>
      <c r="J5003" s="7" t="str">
        <f aca="false">IF(F5003=0,"NOT FOUND",IF(C5003=I5003,"SELF-VOTE",IF(COUNTIF($K:$K,K5003)&gt;1,"DUPLICATE","OK")))</f>
        <v>OK</v>
      </c>
      <c r="K5003" s="6" t="str">
        <f aca="false">A5003&amp;"|"&amp;B5003&amp;"|"&amp;C5003&amp;"|"&amp;D5003</f>
        <v>7|6|Kelsey|spotify:track:5GhJIMWAw0uMLgkdbt6uMz</v>
      </c>
    </row>
    <row r="5004" customFormat="false" ht="15" hidden="false" customHeight="false" outlineLevel="0" collapsed="false">
      <c r="A5004" s="5" t="n">
        <v>7</v>
      </c>
      <c r="B5004" s="5" t="n">
        <v>6</v>
      </c>
      <c r="C5004" s="5" t="s">
        <v>106</v>
      </c>
      <c r="D5004" s="5" t="s">
        <v>2232</v>
      </c>
      <c r="E5004" s="5" t="n">
        <v>2</v>
      </c>
      <c r="F5004" s="6" t="n">
        <f aca="false">IFERROR(MATCH(A5004&amp;"|"&amp;B5004&amp;"|"&amp;D5004,'All Song Rankings'!$T:$T,0),0)</f>
        <v>752</v>
      </c>
      <c r="G5004" s="6" t="str">
        <f aca="false">IF(F5004=0,"NOT FOUND",INDEX('All Song Rankings'!$A:$A,F5004))</f>
        <v>Hollaback Girl</v>
      </c>
      <c r="H5004" s="6" t="str">
        <f aca="false">IF(F5004=0,"NOT FOUND",INDEX('All Song Rankings'!$B:$B,F5004))</f>
        <v>Gwen Stefani</v>
      </c>
      <c r="I5004" s="6" t="str">
        <f aca="false">IF(F5004=0,"NOT FOUND",INDEX('All Song Rankings'!$D:$D,F5004))</f>
        <v>Kelsey</v>
      </c>
      <c r="J5004" s="7" t="str">
        <f aca="false">IF(F5004=0,"NOT FOUND",IF(C5004=I5004,"SELF-VOTE",IF(COUNTIF($K:$K,K5004)&gt;1,"DUPLICATE","OK")))</f>
        <v>OK</v>
      </c>
      <c r="K5004" s="6" t="str">
        <f aca="false">A5004&amp;"|"&amp;B5004&amp;"|"&amp;C5004&amp;"|"&amp;D5004</f>
        <v>7|6|Kristen|spotify:track:0LzrhCZFXW94Y8nwtTuRlw</v>
      </c>
    </row>
    <row r="5005" customFormat="false" ht="15" hidden="false" customHeight="false" outlineLevel="0" collapsed="false">
      <c r="A5005" s="5" t="n">
        <v>7</v>
      </c>
      <c r="B5005" s="5" t="n">
        <v>6</v>
      </c>
      <c r="C5005" s="5" t="s">
        <v>106</v>
      </c>
      <c r="D5005" s="5" t="s">
        <v>2242</v>
      </c>
      <c r="E5005" s="5" t="n">
        <v>1</v>
      </c>
      <c r="F5005" s="6" t="n">
        <f aca="false">IFERROR(MATCH(A5005&amp;"|"&amp;B5005&amp;"|"&amp;D5005,'All Song Rankings'!$T:$T,0),0)</f>
        <v>756</v>
      </c>
      <c r="G5005" s="6" t="str">
        <f aca="false">IF(F5005=0,"NOT FOUND",INDEX('All Song Rankings'!$A:$A,F5005))</f>
        <v>Gold Digger</v>
      </c>
      <c r="H5005" s="6" t="str">
        <f aca="false">IF(F5005=0,"NOT FOUND",INDEX('All Song Rankings'!$B:$B,F5005))</f>
        <v>Kanye West</v>
      </c>
      <c r="I5005" s="6" t="str">
        <f aca="false">IF(F5005=0,"NOT FOUND",INDEX('All Song Rankings'!$D:$D,F5005))</f>
        <v>Lisa</v>
      </c>
      <c r="J5005" s="7" t="str">
        <f aca="false">IF(F5005=0,"NOT FOUND",IF(C5005=I5005,"SELF-VOTE",IF(COUNTIF($K:$K,K5005)&gt;1,"DUPLICATE","OK")))</f>
        <v>OK</v>
      </c>
      <c r="K5005" s="6" t="str">
        <f aca="false">A5005&amp;"|"&amp;B5005&amp;"|"&amp;C5005&amp;"|"&amp;D5005</f>
        <v>7|6|Kristen|spotify:track:1PS1QMdUqOal0ai3Gt7sDQ</v>
      </c>
    </row>
    <row r="5006" customFormat="false" ht="15" hidden="false" customHeight="false" outlineLevel="0" collapsed="false">
      <c r="A5006" s="5" t="n">
        <v>7</v>
      </c>
      <c r="B5006" s="5" t="n">
        <v>6</v>
      </c>
      <c r="C5006" s="5" t="s">
        <v>106</v>
      </c>
      <c r="D5006" s="5" t="s">
        <v>2230</v>
      </c>
      <c r="E5006" s="5" t="n">
        <v>1</v>
      </c>
      <c r="F5006" s="6" t="n">
        <f aca="false">IFERROR(MATCH(A5006&amp;"|"&amp;B5006&amp;"|"&amp;D5006,'All Song Rankings'!$T:$T,0),0)</f>
        <v>751</v>
      </c>
      <c r="G5006" s="6" t="str">
        <f aca="false">IF(F5006=0,"NOT FOUND",INDEX('All Song Rankings'!$A:$A,F5006))</f>
        <v>A Bar Song (Tipsy)</v>
      </c>
      <c r="H5006" s="6" t="str">
        <f aca="false">IF(F5006=0,"NOT FOUND",INDEX('All Song Rankings'!$B:$B,F5006))</f>
        <v>Shaboozey</v>
      </c>
      <c r="I5006" s="6" t="str">
        <f aca="false">IF(F5006=0,"NOT FOUND",INDEX('All Song Rankings'!$D:$D,F5006))</f>
        <v>Christine</v>
      </c>
      <c r="J5006" s="7" t="str">
        <f aca="false">IF(F5006=0,"NOT FOUND",IF(C5006=I5006,"SELF-VOTE",IF(COUNTIF($K:$K,K5006)&gt;1,"DUPLICATE","OK")))</f>
        <v>OK</v>
      </c>
      <c r="K5006" s="6" t="str">
        <f aca="false">A5006&amp;"|"&amp;B5006&amp;"|"&amp;C5006&amp;"|"&amp;D5006</f>
        <v>7|6|Kristen|spotify:track:2FQrifJ1N335Ljm3TjTVVf</v>
      </c>
    </row>
    <row r="5007" customFormat="false" ht="15" hidden="false" customHeight="false" outlineLevel="0" collapsed="false">
      <c r="A5007" s="5" t="n">
        <v>7</v>
      </c>
      <c r="B5007" s="5" t="n">
        <v>6</v>
      </c>
      <c r="C5007" s="5" t="s">
        <v>106</v>
      </c>
      <c r="D5007" s="5" t="s">
        <v>2216</v>
      </c>
      <c r="E5007" s="5" t="n">
        <v>1</v>
      </c>
      <c r="F5007" s="6" t="n">
        <f aca="false">IFERROR(MATCH(A5007&amp;"|"&amp;B5007&amp;"|"&amp;D5007,'All Song Rankings'!$T:$T,0),0)</f>
        <v>746</v>
      </c>
      <c r="G5007" s="6" t="str">
        <f aca="false">IF(F5007=0,"NOT FOUND",INDEX('All Song Rankings'!$A:$A,F5007))</f>
        <v>Cupid's Chokehold / Breakfast in America</v>
      </c>
      <c r="H5007" s="6" t="str">
        <f aca="false">IF(F5007=0,"NOT FOUND",INDEX('All Song Rankings'!$B:$B,F5007))</f>
        <v>Gym Class Heroes</v>
      </c>
      <c r="I5007" s="6" t="str">
        <f aca="false">IF(F5007=0,"NOT FOUND",INDEX('All Song Rankings'!$D:$D,F5007))</f>
        <v>Josh</v>
      </c>
      <c r="J5007" s="7" t="str">
        <f aca="false">IF(F5007=0,"NOT FOUND",IF(C5007=I5007,"SELF-VOTE",IF(COUNTIF($K:$K,K5007)&gt;1,"DUPLICATE","OK")))</f>
        <v>OK</v>
      </c>
      <c r="K5007" s="6" t="str">
        <f aca="false">A5007&amp;"|"&amp;B5007&amp;"|"&amp;C5007&amp;"|"&amp;D5007</f>
        <v>7|6|Kristen|spotify:track:2Lhdl74nwwVGOE2Gv35QuK</v>
      </c>
    </row>
    <row r="5008" customFormat="false" ht="15" hidden="false" customHeight="false" outlineLevel="0" collapsed="false">
      <c r="A5008" s="5" t="n">
        <v>7</v>
      </c>
      <c r="B5008" s="5" t="n">
        <v>6</v>
      </c>
      <c r="C5008" s="5" t="s">
        <v>106</v>
      </c>
      <c r="D5008" s="5" t="s">
        <v>2218</v>
      </c>
      <c r="E5008" s="5" t="n">
        <v>2</v>
      </c>
      <c r="F5008" s="6" t="n">
        <f aca="false">IFERROR(MATCH(A5008&amp;"|"&amp;B5008&amp;"|"&amp;D5008,'All Song Rankings'!$T:$T,0),0)</f>
        <v>747</v>
      </c>
      <c r="G5008" s="6" t="str">
        <f aca="false">IF(F5008=0,"NOT FOUND",INDEX('All Song Rankings'!$A:$A,F5008))</f>
        <v>SOS</v>
      </c>
      <c r="H5008" s="6" t="str">
        <f aca="false">IF(F5008=0,"NOT FOUND",INDEX('All Song Rankings'!$B:$B,F5008))</f>
        <v>Rihanna</v>
      </c>
      <c r="I5008" s="6" t="str">
        <f aca="false">IF(F5008=0,"NOT FOUND",INDEX('All Song Rankings'!$D:$D,F5008))</f>
        <v>Logan</v>
      </c>
      <c r="J5008" s="7" t="str">
        <f aca="false">IF(F5008=0,"NOT FOUND",IF(C5008=I5008,"SELF-VOTE",IF(COUNTIF($K:$K,K5008)&gt;1,"DUPLICATE","OK")))</f>
        <v>OK</v>
      </c>
      <c r="K5008" s="6" t="str">
        <f aca="false">A5008&amp;"|"&amp;B5008&amp;"|"&amp;C5008&amp;"|"&amp;D5008</f>
        <v>7|6|Kristen|spotify:track:30cSNer6TV8x2utjULVeQ5</v>
      </c>
    </row>
    <row r="5009" customFormat="false" ht="15" hidden="false" customHeight="false" outlineLevel="0" collapsed="false">
      <c r="A5009" s="5" t="n">
        <v>7</v>
      </c>
      <c r="B5009" s="5" t="n">
        <v>6</v>
      </c>
      <c r="C5009" s="5" t="s">
        <v>106</v>
      </c>
      <c r="D5009" s="5" t="s">
        <v>2245</v>
      </c>
      <c r="E5009" s="5" t="n">
        <v>1</v>
      </c>
      <c r="F5009" s="6" t="n">
        <f aca="false">IFERROR(MATCH(A5009&amp;"|"&amp;B5009&amp;"|"&amp;D5009,'All Song Rankings'!$T:$T,0),0)</f>
        <v>757</v>
      </c>
      <c r="G5009" s="6" t="str">
        <f aca="false">IF(F5009=0,"NOT FOUND",INDEX('All Song Rankings'!$A:$A,F5009))</f>
        <v>Livin' It Up</v>
      </c>
      <c r="H5009" s="6" t="str">
        <f aca="false">IF(F5009=0,"NOT FOUND",INDEX('All Song Rankings'!$B:$B,F5009))</f>
        <v>Ja Rule</v>
      </c>
      <c r="I5009" s="6" t="str">
        <f aca="false">IF(F5009=0,"NOT FOUND",INDEX('All Song Rankings'!$D:$D,F5009))</f>
        <v>Grace</v>
      </c>
      <c r="J5009" s="7" t="str">
        <f aca="false">IF(F5009=0,"NOT FOUND",IF(C5009=I5009,"SELF-VOTE",IF(COUNTIF($K:$K,K5009)&gt;1,"DUPLICATE","OK")))</f>
        <v>OK</v>
      </c>
      <c r="K5009" s="6" t="str">
        <f aca="false">A5009&amp;"|"&amp;B5009&amp;"|"&amp;C5009&amp;"|"&amp;D5009</f>
        <v>7|6|Kristen|spotify:track:4ToZV7r72wSbVrljaLSp13</v>
      </c>
    </row>
    <row r="5010" customFormat="false" ht="15" hidden="false" customHeight="false" outlineLevel="0" collapsed="false">
      <c r="A5010" s="5" t="n">
        <v>7</v>
      </c>
      <c r="B5010" s="5" t="n">
        <v>6</v>
      </c>
      <c r="C5010" s="5" t="s">
        <v>106</v>
      </c>
      <c r="D5010" s="5" t="s">
        <v>2224</v>
      </c>
      <c r="E5010" s="5" t="n">
        <v>1</v>
      </c>
      <c r="F5010" s="6" t="n">
        <f aca="false">IFERROR(MATCH(A5010&amp;"|"&amp;B5010&amp;"|"&amp;D5010,'All Song Rankings'!$T:$T,0),0)</f>
        <v>749</v>
      </c>
      <c r="G5010" s="6" t="str">
        <f aca="false">IF(F5010=0,"NOT FOUND",INDEX('All Song Rankings'!$A:$A,F5010))</f>
        <v>Fallin' (Adrenaline)</v>
      </c>
      <c r="H5010" s="6" t="str">
        <f aca="false">IF(F5010=0,"NOT FOUND",INDEX('All Song Rankings'!$B:$B,F5010))</f>
        <v>Why Don't We</v>
      </c>
      <c r="I5010" s="6" t="str">
        <f aca="false">IF(F5010=0,"NOT FOUND",INDEX('All Song Rankings'!$D:$D,F5010))</f>
        <v>Merita</v>
      </c>
      <c r="J5010" s="7" t="str">
        <f aca="false">IF(F5010=0,"NOT FOUND",IF(C5010=I5010,"SELF-VOTE",IF(COUNTIF($K:$K,K5010)&gt;1,"DUPLICATE","OK")))</f>
        <v>OK</v>
      </c>
      <c r="K5010" s="6" t="str">
        <f aca="false">A5010&amp;"|"&amp;B5010&amp;"|"&amp;C5010&amp;"|"&amp;D5010</f>
        <v>7|6|Kristen|spotify:track:5GhJIMWAw0uMLgkdbt6uMz</v>
      </c>
    </row>
    <row r="5011" customFormat="false" ht="15" hidden="false" customHeight="false" outlineLevel="0" collapsed="false">
      <c r="A5011" s="5" t="n">
        <v>7</v>
      </c>
      <c r="B5011" s="5" t="n">
        <v>6</v>
      </c>
      <c r="C5011" s="5" t="s">
        <v>106</v>
      </c>
      <c r="D5011" s="5" t="s">
        <v>2237</v>
      </c>
      <c r="E5011" s="5" t="n">
        <v>1</v>
      </c>
      <c r="F5011" s="6" t="n">
        <f aca="false">IFERROR(MATCH(A5011&amp;"|"&amp;B5011&amp;"|"&amp;D5011,'All Song Rankings'!$T:$T,0),0)</f>
        <v>754</v>
      </c>
      <c r="G5011" s="6" t="str">
        <f aca="false">IF(F5011=0,"NOT FOUND",INDEX('All Song Rankings'!$A:$A,F5011))</f>
        <v>Whatcha Say</v>
      </c>
      <c r="H5011" s="6" t="str">
        <f aca="false">IF(F5011=0,"NOT FOUND",INDEX('All Song Rankings'!$B:$B,F5011))</f>
        <v>Jason Derulo</v>
      </c>
      <c r="I5011" s="6" t="str">
        <f aca="false">IF(F5011=0,"NOT FOUND",INDEX('All Song Rankings'!$D:$D,F5011))</f>
        <v>Lucia</v>
      </c>
      <c r="J5011" s="7" t="str">
        <f aca="false">IF(F5011=0,"NOT FOUND",IF(C5011=I5011,"SELF-VOTE",IF(COUNTIF($K:$K,K5011)&gt;1,"DUPLICATE","OK")))</f>
        <v>OK</v>
      </c>
      <c r="K5011" s="6" t="str">
        <f aca="false">A5011&amp;"|"&amp;B5011&amp;"|"&amp;C5011&amp;"|"&amp;D5011</f>
        <v>7|6|Kristen|spotify:track:67T6l4q3zVjC5nZZPXByU8</v>
      </c>
    </row>
    <row r="5012" customFormat="false" ht="15" hidden="false" customHeight="false" outlineLevel="0" collapsed="false">
      <c r="A5012" s="5" t="n">
        <v>7</v>
      </c>
      <c r="B5012" s="5" t="n">
        <v>6</v>
      </c>
      <c r="C5012" s="5" t="s">
        <v>119</v>
      </c>
      <c r="D5012" s="5" t="s">
        <v>2240</v>
      </c>
      <c r="E5012" s="5" t="n">
        <v>1</v>
      </c>
      <c r="F5012" s="6" t="n">
        <f aca="false">IFERROR(MATCH(A5012&amp;"|"&amp;B5012&amp;"|"&amp;D5012,'All Song Rankings'!$T:$T,0),0)</f>
        <v>755</v>
      </c>
      <c r="G5012" s="6" t="str">
        <f aca="false">IF(F5012=0,"NOT FOUND",INDEX('All Song Rankings'!$A:$A,F5012))</f>
        <v>Bootylicious</v>
      </c>
      <c r="H5012" s="6" t="str">
        <f aca="false">IF(F5012=0,"NOT FOUND",INDEX('All Song Rankings'!$B:$B,F5012))</f>
        <v>Destiny's Child</v>
      </c>
      <c r="I5012" s="6" t="str">
        <f aca="false">IF(F5012=0,"NOT FOUND",INDEX('All Song Rankings'!$D:$D,F5012))</f>
        <v>Stephanie</v>
      </c>
      <c r="J5012" s="7" t="str">
        <f aca="false">IF(F5012=0,"NOT FOUND",IF(C5012=I5012,"SELF-VOTE",IF(COUNTIF($K:$K,K5012)&gt;1,"DUPLICATE","OK")))</f>
        <v>OK</v>
      </c>
      <c r="K5012" s="6" t="str">
        <f aca="false">A5012&amp;"|"&amp;B5012&amp;"|"&amp;C5012&amp;"|"&amp;D5012</f>
        <v>7|6|Leah|spotify:track:09mkdGhqb5ySKVsnkx9hy2</v>
      </c>
    </row>
    <row r="5013" customFormat="false" ht="15" hidden="false" customHeight="false" outlineLevel="0" collapsed="false">
      <c r="A5013" s="5" t="n">
        <v>7</v>
      </c>
      <c r="B5013" s="5" t="n">
        <v>6</v>
      </c>
      <c r="C5013" s="5" t="s">
        <v>119</v>
      </c>
      <c r="D5013" s="5" t="s">
        <v>2235</v>
      </c>
      <c r="E5013" s="5" t="n">
        <v>1</v>
      </c>
      <c r="F5013" s="6" t="n">
        <f aca="false">IFERROR(MATCH(A5013&amp;"|"&amp;B5013&amp;"|"&amp;D5013,'All Song Rankings'!$T:$T,0),0)</f>
        <v>753</v>
      </c>
      <c r="G5013" s="6" t="str">
        <f aca="false">IF(F5013=0,"NOT FOUND",INDEX('All Song Rankings'!$A:$A,F5013))</f>
        <v>Old Town Road</v>
      </c>
      <c r="H5013" s="6" t="str">
        <f aca="false">IF(F5013=0,"NOT FOUND",INDEX('All Song Rankings'!$B:$B,F5013))</f>
        <v>Lil Nas X</v>
      </c>
      <c r="I5013" s="6" t="str">
        <f aca="false">IF(F5013=0,"NOT FOUND",INDEX('All Song Rankings'!$D:$D,F5013))</f>
        <v>Kristen</v>
      </c>
      <c r="J5013" s="7" t="str">
        <f aca="false">IF(F5013=0,"NOT FOUND",IF(C5013=I5013,"SELF-VOTE",IF(COUNTIF($K:$K,K5013)&gt;1,"DUPLICATE","OK")))</f>
        <v>OK</v>
      </c>
      <c r="K5013" s="6" t="str">
        <f aca="false">A5013&amp;"|"&amp;B5013&amp;"|"&amp;C5013&amp;"|"&amp;D5013</f>
        <v>7|6|Leah|spotify:track:0F7FA14euOIX8KcbEturGH</v>
      </c>
    </row>
    <row r="5014" customFormat="false" ht="15" hidden="false" customHeight="false" outlineLevel="0" collapsed="false">
      <c r="A5014" s="5" t="n">
        <v>7</v>
      </c>
      <c r="B5014" s="5" t="n">
        <v>6</v>
      </c>
      <c r="C5014" s="5" t="s">
        <v>119</v>
      </c>
      <c r="D5014" s="5" t="s">
        <v>2242</v>
      </c>
      <c r="E5014" s="5" t="n">
        <v>1</v>
      </c>
      <c r="F5014" s="6" t="n">
        <f aca="false">IFERROR(MATCH(A5014&amp;"|"&amp;B5014&amp;"|"&amp;D5014,'All Song Rankings'!$T:$T,0),0)</f>
        <v>756</v>
      </c>
      <c r="G5014" s="6" t="str">
        <f aca="false">IF(F5014=0,"NOT FOUND",INDEX('All Song Rankings'!$A:$A,F5014))</f>
        <v>Gold Digger</v>
      </c>
      <c r="H5014" s="6" t="str">
        <f aca="false">IF(F5014=0,"NOT FOUND",INDEX('All Song Rankings'!$B:$B,F5014))</f>
        <v>Kanye West</v>
      </c>
      <c r="I5014" s="6" t="str">
        <f aca="false">IF(F5014=0,"NOT FOUND",INDEX('All Song Rankings'!$D:$D,F5014))</f>
        <v>Lisa</v>
      </c>
      <c r="J5014" s="7" t="str">
        <f aca="false">IF(F5014=0,"NOT FOUND",IF(C5014=I5014,"SELF-VOTE",IF(COUNTIF($K:$K,K5014)&gt;1,"DUPLICATE","OK")))</f>
        <v>OK</v>
      </c>
      <c r="K5014" s="6" t="str">
        <f aca="false">A5014&amp;"|"&amp;B5014&amp;"|"&amp;C5014&amp;"|"&amp;D5014</f>
        <v>7|6|Leah|spotify:track:1PS1QMdUqOal0ai3Gt7sDQ</v>
      </c>
    </row>
    <row r="5015" customFormat="false" ht="15" hidden="false" customHeight="false" outlineLevel="0" collapsed="false">
      <c r="A5015" s="5" t="n">
        <v>7</v>
      </c>
      <c r="B5015" s="5" t="n">
        <v>6</v>
      </c>
      <c r="C5015" s="5" t="s">
        <v>119</v>
      </c>
      <c r="D5015" s="5" t="s">
        <v>2227</v>
      </c>
      <c r="E5015" s="5" t="n">
        <v>1</v>
      </c>
      <c r="F5015" s="6" t="n">
        <f aca="false">IFERROR(MATCH(A5015&amp;"|"&amp;B5015&amp;"|"&amp;D5015,'All Song Rankings'!$T:$T,0),0)</f>
        <v>750</v>
      </c>
      <c r="G5015" s="6" t="str">
        <f aca="false">IF(F5015=0,"NOT FOUND",INDEX('All Song Rankings'!$A:$A,F5015))</f>
        <v>Paper Planes</v>
      </c>
      <c r="H5015" s="6" t="str">
        <f aca="false">IF(F5015=0,"NOT FOUND",INDEX('All Song Rankings'!$B:$B,F5015))</f>
        <v>M.I.A.</v>
      </c>
      <c r="I5015" s="6" t="str">
        <f aca="false">IF(F5015=0,"NOT FOUND",INDEX('All Song Rankings'!$D:$D,F5015))</f>
        <v>Colleen</v>
      </c>
      <c r="J5015" s="7" t="str">
        <f aca="false">IF(F5015=0,"NOT FOUND",IF(C5015=I5015,"SELF-VOTE",IF(COUNTIF($K:$K,K5015)&gt;1,"DUPLICATE","OK")))</f>
        <v>OK</v>
      </c>
      <c r="K5015" s="6" t="str">
        <f aca="false">A5015&amp;"|"&amp;B5015&amp;"|"&amp;C5015&amp;"|"&amp;D5015</f>
        <v>7|6|Leah|spotify:track:1ixbwbeBi5ufN4noUKmW5a</v>
      </c>
    </row>
    <row r="5016" customFormat="false" ht="15" hidden="false" customHeight="false" outlineLevel="0" collapsed="false">
      <c r="A5016" s="5" t="n">
        <v>7</v>
      </c>
      <c r="B5016" s="5" t="n">
        <v>6</v>
      </c>
      <c r="C5016" s="5" t="s">
        <v>119</v>
      </c>
      <c r="D5016" s="5" t="s">
        <v>2230</v>
      </c>
      <c r="E5016" s="5" t="n">
        <v>1</v>
      </c>
      <c r="F5016" s="6" t="n">
        <f aca="false">IFERROR(MATCH(A5016&amp;"|"&amp;B5016&amp;"|"&amp;D5016,'All Song Rankings'!$T:$T,0),0)</f>
        <v>751</v>
      </c>
      <c r="G5016" s="6" t="str">
        <f aca="false">IF(F5016=0,"NOT FOUND",INDEX('All Song Rankings'!$A:$A,F5016))</f>
        <v>A Bar Song (Tipsy)</v>
      </c>
      <c r="H5016" s="6" t="str">
        <f aca="false">IF(F5016=0,"NOT FOUND",INDEX('All Song Rankings'!$B:$B,F5016))</f>
        <v>Shaboozey</v>
      </c>
      <c r="I5016" s="6" t="str">
        <f aca="false">IF(F5016=0,"NOT FOUND",INDEX('All Song Rankings'!$D:$D,F5016))</f>
        <v>Christine</v>
      </c>
      <c r="J5016" s="7" t="str">
        <f aca="false">IF(F5016=0,"NOT FOUND",IF(C5016=I5016,"SELF-VOTE",IF(COUNTIF($K:$K,K5016)&gt;1,"DUPLICATE","OK")))</f>
        <v>OK</v>
      </c>
      <c r="K5016" s="6" t="str">
        <f aca="false">A5016&amp;"|"&amp;B5016&amp;"|"&amp;C5016&amp;"|"&amp;D5016</f>
        <v>7|6|Leah|spotify:track:2FQrifJ1N335Ljm3TjTVVf</v>
      </c>
    </row>
    <row r="5017" customFormat="false" ht="15" hidden="false" customHeight="false" outlineLevel="0" collapsed="false">
      <c r="A5017" s="5" t="n">
        <v>7</v>
      </c>
      <c r="B5017" s="5" t="n">
        <v>6</v>
      </c>
      <c r="C5017" s="5" t="s">
        <v>119</v>
      </c>
      <c r="D5017" s="5" t="s">
        <v>2216</v>
      </c>
      <c r="E5017" s="5" t="n">
        <v>2</v>
      </c>
      <c r="F5017" s="6" t="n">
        <f aca="false">IFERROR(MATCH(A5017&amp;"|"&amp;B5017&amp;"|"&amp;D5017,'All Song Rankings'!$T:$T,0),0)</f>
        <v>746</v>
      </c>
      <c r="G5017" s="6" t="str">
        <f aca="false">IF(F5017=0,"NOT FOUND",INDEX('All Song Rankings'!$A:$A,F5017))</f>
        <v>Cupid's Chokehold / Breakfast in America</v>
      </c>
      <c r="H5017" s="6" t="str">
        <f aca="false">IF(F5017=0,"NOT FOUND",INDEX('All Song Rankings'!$B:$B,F5017))</f>
        <v>Gym Class Heroes</v>
      </c>
      <c r="I5017" s="6" t="str">
        <f aca="false">IF(F5017=0,"NOT FOUND",INDEX('All Song Rankings'!$D:$D,F5017))</f>
        <v>Josh</v>
      </c>
      <c r="J5017" s="7" t="str">
        <f aca="false">IF(F5017=0,"NOT FOUND",IF(C5017=I5017,"SELF-VOTE",IF(COUNTIF($K:$K,K5017)&gt;1,"DUPLICATE","OK")))</f>
        <v>OK</v>
      </c>
      <c r="K5017" s="6" t="str">
        <f aca="false">A5017&amp;"|"&amp;B5017&amp;"|"&amp;C5017&amp;"|"&amp;D5017</f>
        <v>7|6|Leah|spotify:track:2Lhdl74nwwVGOE2Gv35QuK</v>
      </c>
    </row>
    <row r="5018" customFormat="false" ht="15" hidden="false" customHeight="false" outlineLevel="0" collapsed="false">
      <c r="A5018" s="5" t="n">
        <v>7</v>
      </c>
      <c r="B5018" s="5" t="n">
        <v>6</v>
      </c>
      <c r="C5018" s="5" t="s">
        <v>119</v>
      </c>
      <c r="D5018" s="5" t="s">
        <v>2218</v>
      </c>
      <c r="E5018" s="5" t="n">
        <v>1</v>
      </c>
      <c r="F5018" s="6" t="n">
        <f aca="false">IFERROR(MATCH(A5018&amp;"|"&amp;B5018&amp;"|"&amp;D5018,'All Song Rankings'!$T:$T,0),0)</f>
        <v>747</v>
      </c>
      <c r="G5018" s="6" t="str">
        <f aca="false">IF(F5018=0,"NOT FOUND",INDEX('All Song Rankings'!$A:$A,F5018))</f>
        <v>SOS</v>
      </c>
      <c r="H5018" s="6" t="str">
        <f aca="false">IF(F5018=0,"NOT FOUND",INDEX('All Song Rankings'!$B:$B,F5018))</f>
        <v>Rihanna</v>
      </c>
      <c r="I5018" s="6" t="str">
        <f aca="false">IF(F5018=0,"NOT FOUND",INDEX('All Song Rankings'!$D:$D,F5018))</f>
        <v>Logan</v>
      </c>
      <c r="J5018" s="7" t="str">
        <f aca="false">IF(F5018=0,"NOT FOUND",IF(C5018=I5018,"SELF-VOTE",IF(COUNTIF($K:$K,K5018)&gt;1,"DUPLICATE","OK")))</f>
        <v>OK</v>
      </c>
      <c r="K5018" s="6" t="str">
        <f aca="false">A5018&amp;"|"&amp;B5018&amp;"|"&amp;C5018&amp;"|"&amp;D5018</f>
        <v>7|6|Leah|spotify:track:30cSNer6TV8x2utjULVeQ5</v>
      </c>
    </row>
    <row r="5019" customFormat="false" ht="15" hidden="false" customHeight="false" outlineLevel="0" collapsed="false">
      <c r="A5019" s="5" t="n">
        <v>7</v>
      </c>
      <c r="B5019" s="5" t="n">
        <v>6</v>
      </c>
      <c r="C5019" s="5" t="s">
        <v>119</v>
      </c>
      <c r="D5019" s="5" t="s">
        <v>2224</v>
      </c>
      <c r="E5019" s="5" t="n">
        <v>1</v>
      </c>
      <c r="F5019" s="6" t="n">
        <f aca="false">IFERROR(MATCH(A5019&amp;"|"&amp;B5019&amp;"|"&amp;D5019,'All Song Rankings'!$T:$T,0),0)</f>
        <v>749</v>
      </c>
      <c r="G5019" s="6" t="str">
        <f aca="false">IF(F5019=0,"NOT FOUND",INDEX('All Song Rankings'!$A:$A,F5019))</f>
        <v>Fallin' (Adrenaline)</v>
      </c>
      <c r="H5019" s="6" t="str">
        <f aca="false">IF(F5019=0,"NOT FOUND",INDEX('All Song Rankings'!$B:$B,F5019))</f>
        <v>Why Don't We</v>
      </c>
      <c r="I5019" s="6" t="str">
        <f aca="false">IF(F5019=0,"NOT FOUND",INDEX('All Song Rankings'!$D:$D,F5019))</f>
        <v>Merita</v>
      </c>
      <c r="J5019" s="7" t="str">
        <f aca="false">IF(F5019=0,"NOT FOUND",IF(C5019=I5019,"SELF-VOTE",IF(COUNTIF($K:$K,K5019)&gt;1,"DUPLICATE","OK")))</f>
        <v>OK</v>
      </c>
      <c r="K5019" s="6" t="str">
        <f aca="false">A5019&amp;"|"&amp;B5019&amp;"|"&amp;C5019&amp;"|"&amp;D5019</f>
        <v>7|6|Leah|spotify:track:5GhJIMWAw0uMLgkdbt6uMz</v>
      </c>
    </row>
    <row r="5020" customFormat="false" ht="15" hidden="false" customHeight="false" outlineLevel="0" collapsed="false">
      <c r="A5020" s="5" t="n">
        <v>7</v>
      </c>
      <c r="B5020" s="5" t="n">
        <v>6</v>
      </c>
      <c r="C5020" s="5" t="s">
        <v>119</v>
      </c>
      <c r="D5020" s="5" t="s">
        <v>2237</v>
      </c>
      <c r="E5020" s="5" t="n">
        <v>1</v>
      </c>
      <c r="F5020" s="6" t="n">
        <f aca="false">IFERROR(MATCH(A5020&amp;"|"&amp;B5020&amp;"|"&amp;D5020,'All Song Rankings'!$T:$T,0),0)</f>
        <v>754</v>
      </c>
      <c r="G5020" s="6" t="str">
        <f aca="false">IF(F5020=0,"NOT FOUND",INDEX('All Song Rankings'!$A:$A,F5020))</f>
        <v>Whatcha Say</v>
      </c>
      <c r="H5020" s="6" t="str">
        <f aca="false">IF(F5020=0,"NOT FOUND",INDEX('All Song Rankings'!$B:$B,F5020))</f>
        <v>Jason Derulo</v>
      </c>
      <c r="I5020" s="6" t="str">
        <f aca="false">IF(F5020=0,"NOT FOUND",INDEX('All Song Rankings'!$D:$D,F5020))</f>
        <v>Lucia</v>
      </c>
      <c r="J5020" s="7" t="str">
        <f aca="false">IF(F5020=0,"NOT FOUND",IF(C5020=I5020,"SELF-VOTE",IF(COUNTIF($K:$K,K5020)&gt;1,"DUPLICATE","OK")))</f>
        <v>OK</v>
      </c>
      <c r="K5020" s="6" t="str">
        <f aca="false">A5020&amp;"|"&amp;B5020&amp;"|"&amp;C5020&amp;"|"&amp;D5020</f>
        <v>7|6|Leah|spotify:track:67T6l4q3zVjC5nZZPXByU8</v>
      </c>
    </row>
    <row r="5021" customFormat="false" ht="15" hidden="false" customHeight="false" outlineLevel="0" collapsed="false">
      <c r="A5021" s="5" t="n">
        <v>7</v>
      </c>
      <c r="B5021" s="5" t="n">
        <v>6</v>
      </c>
      <c r="C5021" s="5" t="s">
        <v>705</v>
      </c>
      <c r="D5021" s="5" t="s">
        <v>2235</v>
      </c>
      <c r="E5021" s="5" t="n">
        <v>1</v>
      </c>
      <c r="F5021" s="6" t="n">
        <f aca="false">IFERROR(MATCH(A5021&amp;"|"&amp;B5021&amp;"|"&amp;D5021,'All Song Rankings'!$T:$T,0),0)</f>
        <v>753</v>
      </c>
      <c r="G5021" s="6" t="str">
        <f aca="false">IF(F5021=0,"NOT FOUND",INDEX('All Song Rankings'!$A:$A,F5021))</f>
        <v>Old Town Road</v>
      </c>
      <c r="H5021" s="6" t="str">
        <f aca="false">IF(F5021=0,"NOT FOUND",INDEX('All Song Rankings'!$B:$B,F5021))</f>
        <v>Lil Nas X</v>
      </c>
      <c r="I5021" s="6" t="str">
        <f aca="false">IF(F5021=0,"NOT FOUND",INDEX('All Song Rankings'!$D:$D,F5021))</f>
        <v>Kristen</v>
      </c>
      <c r="J5021" s="7" t="str">
        <f aca="false">IF(F5021=0,"NOT FOUND",IF(C5021=I5021,"SELF-VOTE",IF(COUNTIF($K:$K,K5021)&gt;1,"DUPLICATE","OK")))</f>
        <v>OK</v>
      </c>
      <c r="K5021" s="6" t="str">
        <f aca="false">A5021&amp;"|"&amp;B5021&amp;"|"&amp;C5021&amp;"|"&amp;D5021</f>
        <v>7|6|Lisa|spotify:track:0F7FA14euOIX8KcbEturGH</v>
      </c>
    </row>
    <row r="5022" customFormat="false" ht="15" hidden="false" customHeight="false" outlineLevel="0" collapsed="false">
      <c r="A5022" s="5" t="n">
        <v>7</v>
      </c>
      <c r="B5022" s="5" t="n">
        <v>6</v>
      </c>
      <c r="C5022" s="5" t="s">
        <v>705</v>
      </c>
      <c r="D5022" s="5" t="s">
        <v>2232</v>
      </c>
      <c r="E5022" s="5" t="n">
        <v>2</v>
      </c>
      <c r="F5022" s="6" t="n">
        <f aca="false">IFERROR(MATCH(A5022&amp;"|"&amp;B5022&amp;"|"&amp;D5022,'All Song Rankings'!$T:$T,0),0)</f>
        <v>752</v>
      </c>
      <c r="G5022" s="6" t="str">
        <f aca="false">IF(F5022=0,"NOT FOUND",INDEX('All Song Rankings'!$A:$A,F5022))</f>
        <v>Hollaback Girl</v>
      </c>
      <c r="H5022" s="6" t="str">
        <f aca="false">IF(F5022=0,"NOT FOUND",INDEX('All Song Rankings'!$B:$B,F5022))</f>
        <v>Gwen Stefani</v>
      </c>
      <c r="I5022" s="6" t="str">
        <f aca="false">IF(F5022=0,"NOT FOUND",INDEX('All Song Rankings'!$D:$D,F5022))</f>
        <v>Kelsey</v>
      </c>
      <c r="J5022" s="7" t="str">
        <f aca="false">IF(F5022=0,"NOT FOUND",IF(C5022=I5022,"SELF-VOTE",IF(COUNTIF($K:$K,K5022)&gt;1,"DUPLICATE","OK")))</f>
        <v>OK</v>
      </c>
      <c r="K5022" s="6" t="str">
        <f aca="false">A5022&amp;"|"&amp;B5022&amp;"|"&amp;C5022&amp;"|"&amp;D5022</f>
        <v>7|6|Lisa|spotify:track:0LzrhCZFXW94Y8nwtTuRlw</v>
      </c>
    </row>
    <row r="5023" customFormat="false" ht="15" hidden="false" customHeight="false" outlineLevel="0" collapsed="false">
      <c r="A5023" s="5" t="n">
        <v>7</v>
      </c>
      <c r="B5023" s="5" t="n">
        <v>6</v>
      </c>
      <c r="C5023" s="5" t="s">
        <v>705</v>
      </c>
      <c r="D5023" s="5" t="s">
        <v>2227</v>
      </c>
      <c r="E5023" s="5" t="n">
        <v>1</v>
      </c>
      <c r="F5023" s="6" t="n">
        <f aca="false">IFERROR(MATCH(A5023&amp;"|"&amp;B5023&amp;"|"&amp;D5023,'All Song Rankings'!$T:$T,0),0)</f>
        <v>750</v>
      </c>
      <c r="G5023" s="6" t="str">
        <f aca="false">IF(F5023=0,"NOT FOUND",INDEX('All Song Rankings'!$A:$A,F5023))</f>
        <v>Paper Planes</v>
      </c>
      <c r="H5023" s="6" t="str">
        <f aca="false">IF(F5023=0,"NOT FOUND",INDEX('All Song Rankings'!$B:$B,F5023))</f>
        <v>M.I.A.</v>
      </c>
      <c r="I5023" s="6" t="str">
        <f aca="false">IF(F5023=0,"NOT FOUND",INDEX('All Song Rankings'!$D:$D,F5023))</f>
        <v>Colleen</v>
      </c>
      <c r="J5023" s="7" t="str">
        <f aca="false">IF(F5023=0,"NOT FOUND",IF(C5023=I5023,"SELF-VOTE",IF(COUNTIF($K:$K,K5023)&gt;1,"DUPLICATE","OK")))</f>
        <v>OK</v>
      </c>
      <c r="K5023" s="6" t="str">
        <f aca="false">A5023&amp;"|"&amp;B5023&amp;"|"&amp;C5023&amp;"|"&amp;D5023</f>
        <v>7|6|Lisa|spotify:track:1ixbwbeBi5ufN4noUKmW5a</v>
      </c>
    </row>
    <row r="5024" customFormat="false" ht="15" hidden="false" customHeight="false" outlineLevel="0" collapsed="false">
      <c r="A5024" s="5" t="n">
        <v>7</v>
      </c>
      <c r="B5024" s="5" t="n">
        <v>6</v>
      </c>
      <c r="C5024" s="5" t="s">
        <v>705</v>
      </c>
      <c r="D5024" s="5" t="s">
        <v>2230</v>
      </c>
      <c r="E5024" s="5" t="n">
        <v>1</v>
      </c>
      <c r="F5024" s="6" t="n">
        <f aca="false">IFERROR(MATCH(A5024&amp;"|"&amp;B5024&amp;"|"&amp;D5024,'All Song Rankings'!$T:$T,0),0)</f>
        <v>751</v>
      </c>
      <c r="G5024" s="6" t="str">
        <f aca="false">IF(F5024=0,"NOT FOUND",INDEX('All Song Rankings'!$A:$A,F5024))</f>
        <v>A Bar Song (Tipsy)</v>
      </c>
      <c r="H5024" s="6" t="str">
        <f aca="false">IF(F5024=0,"NOT FOUND",INDEX('All Song Rankings'!$B:$B,F5024))</f>
        <v>Shaboozey</v>
      </c>
      <c r="I5024" s="6" t="str">
        <f aca="false">IF(F5024=0,"NOT FOUND",INDEX('All Song Rankings'!$D:$D,F5024))</f>
        <v>Christine</v>
      </c>
      <c r="J5024" s="7" t="str">
        <f aca="false">IF(F5024=0,"NOT FOUND",IF(C5024=I5024,"SELF-VOTE",IF(COUNTIF($K:$K,K5024)&gt;1,"DUPLICATE","OK")))</f>
        <v>OK</v>
      </c>
      <c r="K5024" s="6" t="str">
        <f aca="false">A5024&amp;"|"&amp;B5024&amp;"|"&amp;C5024&amp;"|"&amp;D5024</f>
        <v>7|6|Lisa|spotify:track:2FQrifJ1N335Ljm3TjTVVf</v>
      </c>
    </row>
    <row r="5025" customFormat="false" ht="15" hidden="false" customHeight="false" outlineLevel="0" collapsed="false">
      <c r="A5025" s="5" t="n">
        <v>7</v>
      </c>
      <c r="B5025" s="5" t="n">
        <v>6</v>
      </c>
      <c r="C5025" s="5" t="s">
        <v>705</v>
      </c>
      <c r="D5025" s="5" t="s">
        <v>2216</v>
      </c>
      <c r="E5025" s="5" t="n">
        <v>2</v>
      </c>
      <c r="F5025" s="6" t="n">
        <f aca="false">IFERROR(MATCH(A5025&amp;"|"&amp;B5025&amp;"|"&amp;D5025,'All Song Rankings'!$T:$T,0),0)</f>
        <v>746</v>
      </c>
      <c r="G5025" s="6" t="str">
        <f aca="false">IF(F5025=0,"NOT FOUND",INDEX('All Song Rankings'!$A:$A,F5025))</f>
        <v>Cupid's Chokehold / Breakfast in America</v>
      </c>
      <c r="H5025" s="6" t="str">
        <f aca="false">IF(F5025=0,"NOT FOUND",INDEX('All Song Rankings'!$B:$B,F5025))</f>
        <v>Gym Class Heroes</v>
      </c>
      <c r="I5025" s="6" t="str">
        <f aca="false">IF(F5025=0,"NOT FOUND",INDEX('All Song Rankings'!$D:$D,F5025))</f>
        <v>Josh</v>
      </c>
      <c r="J5025" s="7" t="str">
        <f aca="false">IF(F5025=0,"NOT FOUND",IF(C5025=I5025,"SELF-VOTE",IF(COUNTIF($K:$K,K5025)&gt;1,"DUPLICATE","OK")))</f>
        <v>OK</v>
      </c>
      <c r="K5025" s="6" t="str">
        <f aca="false">A5025&amp;"|"&amp;B5025&amp;"|"&amp;C5025&amp;"|"&amp;D5025</f>
        <v>7|6|Lisa|spotify:track:2Lhdl74nwwVGOE2Gv35QuK</v>
      </c>
    </row>
    <row r="5026" customFormat="false" ht="15" hidden="false" customHeight="false" outlineLevel="0" collapsed="false">
      <c r="A5026" s="5" t="n">
        <v>7</v>
      </c>
      <c r="B5026" s="5" t="n">
        <v>6</v>
      </c>
      <c r="C5026" s="5" t="s">
        <v>705</v>
      </c>
      <c r="D5026" s="5" t="s">
        <v>2248</v>
      </c>
      <c r="E5026" s="5" t="n">
        <v>2</v>
      </c>
      <c r="F5026" s="6" t="n">
        <f aca="false">IFERROR(MATCH(A5026&amp;"|"&amp;B5026&amp;"|"&amp;D5026,'All Song Rankings'!$T:$T,0),0)</f>
        <v>758</v>
      </c>
      <c r="G5026" s="6" t="str">
        <f aca="false">IF(F5026=0,"NOT FOUND",INDEX('All Song Rankings'!$A:$A,F5026))</f>
        <v>Muy Tranquilo</v>
      </c>
      <c r="H5026" s="6" t="str">
        <f aca="false">IF(F5026=0,"NOT FOUND",INDEX('All Song Rankings'!$B:$B,F5026))</f>
        <v>Gramatik</v>
      </c>
      <c r="I5026" s="6" t="str">
        <f aca="false">IF(F5026=0,"NOT FOUND",INDEX('All Song Rankings'!$D:$D,F5026))</f>
        <v>Matt</v>
      </c>
      <c r="J5026" s="7" t="str">
        <f aca="false">IF(F5026=0,"NOT FOUND",IF(C5026=I5026,"SELF-VOTE",IF(COUNTIF($K:$K,K5026)&gt;1,"DUPLICATE","OK")))</f>
        <v>OK</v>
      </c>
      <c r="K5026" s="6" t="str">
        <f aca="false">A5026&amp;"|"&amp;B5026&amp;"|"&amp;C5026&amp;"|"&amp;D5026</f>
        <v>7|6|Lisa|spotify:track:3aCkU7zRK9YtA9KyoTIqnb</v>
      </c>
    </row>
    <row r="5027" customFormat="false" ht="15" hidden="false" customHeight="false" outlineLevel="0" collapsed="false">
      <c r="A5027" s="5" t="n">
        <v>7</v>
      </c>
      <c r="B5027" s="5" t="n">
        <v>6</v>
      </c>
      <c r="C5027" s="5" t="s">
        <v>705</v>
      </c>
      <c r="D5027" s="5" t="s">
        <v>2224</v>
      </c>
      <c r="E5027" s="5" t="n">
        <v>1</v>
      </c>
      <c r="F5027" s="6" t="n">
        <f aca="false">IFERROR(MATCH(A5027&amp;"|"&amp;B5027&amp;"|"&amp;D5027,'All Song Rankings'!$T:$T,0),0)</f>
        <v>749</v>
      </c>
      <c r="G5027" s="6" t="str">
        <f aca="false">IF(F5027=0,"NOT FOUND",INDEX('All Song Rankings'!$A:$A,F5027))</f>
        <v>Fallin' (Adrenaline)</v>
      </c>
      <c r="H5027" s="6" t="str">
        <f aca="false">IF(F5027=0,"NOT FOUND",INDEX('All Song Rankings'!$B:$B,F5027))</f>
        <v>Why Don't We</v>
      </c>
      <c r="I5027" s="6" t="str">
        <f aca="false">IF(F5027=0,"NOT FOUND",INDEX('All Song Rankings'!$D:$D,F5027))</f>
        <v>Merita</v>
      </c>
      <c r="J5027" s="7" t="str">
        <f aca="false">IF(F5027=0,"NOT FOUND",IF(C5027=I5027,"SELF-VOTE",IF(COUNTIF($K:$K,K5027)&gt;1,"DUPLICATE","OK")))</f>
        <v>OK</v>
      </c>
      <c r="K5027" s="6" t="str">
        <f aca="false">A5027&amp;"|"&amp;B5027&amp;"|"&amp;C5027&amp;"|"&amp;D5027</f>
        <v>7|6|Lisa|spotify:track:5GhJIMWAw0uMLgkdbt6uMz</v>
      </c>
    </row>
    <row r="5028" customFormat="false" ht="15" hidden="false" customHeight="false" outlineLevel="0" collapsed="false">
      <c r="A5028" s="5" t="n">
        <v>7</v>
      </c>
      <c r="B5028" s="5" t="n">
        <v>6</v>
      </c>
      <c r="C5028" s="5" t="s">
        <v>128</v>
      </c>
      <c r="D5028" s="5" t="s">
        <v>2240</v>
      </c>
      <c r="E5028" s="5" t="n">
        <v>1</v>
      </c>
      <c r="F5028" s="6" t="n">
        <f aca="false">IFERROR(MATCH(A5028&amp;"|"&amp;B5028&amp;"|"&amp;D5028,'All Song Rankings'!$T:$T,0),0)</f>
        <v>755</v>
      </c>
      <c r="G5028" s="6" t="str">
        <f aca="false">IF(F5028=0,"NOT FOUND",INDEX('All Song Rankings'!$A:$A,F5028))</f>
        <v>Bootylicious</v>
      </c>
      <c r="H5028" s="6" t="str">
        <f aca="false">IF(F5028=0,"NOT FOUND",INDEX('All Song Rankings'!$B:$B,F5028))</f>
        <v>Destiny's Child</v>
      </c>
      <c r="I5028" s="6" t="str">
        <f aca="false">IF(F5028=0,"NOT FOUND",INDEX('All Song Rankings'!$D:$D,F5028))</f>
        <v>Stephanie</v>
      </c>
      <c r="J5028" s="7" t="str">
        <f aca="false">IF(F5028=0,"NOT FOUND",IF(C5028=I5028,"SELF-VOTE",IF(COUNTIF($K:$K,K5028)&gt;1,"DUPLICATE","OK")))</f>
        <v>OK</v>
      </c>
      <c r="K5028" s="6" t="str">
        <f aca="false">A5028&amp;"|"&amp;B5028&amp;"|"&amp;C5028&amp;"|"&amp;D5028</f>
        <v>7|6|Logan|spotify:track:09mkdGhqb5ySKVsnkx9hy2</v>
      </c>
    </row>
    <row r="5029" customFormat="false" ht="15" hidden="false" customHeight="false" outlineLevel="0" collapsed="false">
      <c r="A5029" s="5" t="n">
        <v>7</v>
      </c>
      <c r="B5029" s="5" t="n">
        <v>6</v>
      </c>
      <c r="C5029" s="5" t="s">
        <v>128</v>
      </c>
      <c r="D5029" s="5" t="s">
        <v>2235</v>
      </c>
      <c r="E5029" s="5" t="n">
        <v>1</v>
      </c>
      <c r="F5029" s="6" t="n">
        <f aca="false">IFERROR(MATCH(A5029&amp;"|"&amp;B5029&amp;"|"&amp;D5029,'All Song Rankings'!$T:$T,0),0)</f>
        <v>753</v>
      </c>
      <c r="G5029" s="6" t="str">
        <f aca="false">IF(F5029=0,"NOT FOUND",INDEX('All Song Rankings'!$A:$A,F5029))</f>
        <v>Old Town Road</v>
      </c>
      <c r="H5029" s="6" t="str">
        <f aca="false">IF(F5029=0,"NOT FOUND",INDEX('All Song Rankings'!$B:$B,F5029))</f>
        <v>Lil Nas X</v>
      </c>
      <c r="I5029" s="6" t="str">
        <f aca="false">IF(F5029=0,"NOT FOUND",INDEX('All Song Rankings'!$D:$D,F5029))</f>
        <v>Kristen</v>
      </c>
      <c r="J5029" s="7" t="str">
        <f aca="false">IF(F5029=0,"NOT FOUND",IF(C5029=I5029,"SELF-VOTE",IF(COUNTIF($K:$K,K5029)&gt;1,"DUPLICATE","OK")))</f>
        <v>OK</v>
      </c>
      <c r="K5029" s="6" t="str">
        <f aca="false">A5029&amp;"|"&amp;B5029&amp;"|"&amp;C5029&amp;"|"&amp;D5029</f>
        <v>7|6|Logan|spotify:track:0F7FA14euOIX8KcbEturGH</v>
      </c>
    </row>
    <row r="5030" customFormat="false" ht="15" hidden="false" customHeight="false" outlineLevel="0" collapsed="false">
      <c r="A5030" s="5" t="n">
        <v>7</v>
      </c>
      <c r="B5030" s="5" t="n">
        <v>6</v>
      </c>
      <c r="C5030" s="5" t="s">
        <v>128</v>
      </c>
      <c r="D5030" s="5" t="s">
        <v>2232</v>
      </c>
      <c r="E5030" s="5" t="n">
        <v>1</v>
      </c>
      <c r="F5030" s="6" t="n">
        <f aca="false">IFERROR(MATCH(A5030&amp;"|"&amp;B5030&amp;"|"&amp;D5030,'All Song Rankings'!$T:$T,0),0)</f>
        <v>752</v>
      </c>
      <c r="G5030" s="6" t="str">
        <f aca="false">IF(F5030=0,"NOT FOUND",INDEX('All Song Rankings'!$A:$A,F5030))</f>
        <v>Hollaback Girl</v>
      </c>
      <c r="H5030" s="6" t="str">
        <f aca="false">IF(F5030=0,"NOT FOUND",INDEX('All Song Rankings'!$B:$B,F5030))</f>
        <v>Gwen Stefani</v>
      </c>
      <c r="I5030" s="6" t="str">
        <f aca="false">IF(F5030=0,"NOT FOUND",INDEX('All Song Rankings'!$D:$D,F5030))</f>
        <v>Kelsey</v>
      </c>
      <c r="J5030" s="7" t="str">
        <f aca="false">IF(F5030=0,"NOT FOUND",IF(C5030=I5030,"SELF-VOTE",IF(COUNTIF($K:$K,K5030)&gt;1,"DUPLICATE","OK")))</f>
        <v>OK</v>
      </c>
      <c r="K5030" s="6" t="str">
        <f aca="false">A5030&amp;"|"&amp;B5030&amp;"|"&amp;C5030&amp;"|"&amp;D5030</f>
        <v>7|6|Logan|spotify:track:0LzrhCZFXW94Y8nwtTuRlw</v>
      </c>
    </row>
    <row r="5031" customFormat="false" ht="15" hidden="false" customHeight="false" outlineLevel="0" collapsed="false">
      <c r="A5031" s="5" t="n">
        <v>7</v>
      </c>
      <c r="B5031" s="5" t="n">
        <v>6</v>
      </c>
      <c r="C5031" s="5" t="s">
        <v>128</v>
      </c>
      <c r="D5031" s="5" t="s">
        <v>2221</v>
      </c>
      <c r="E5031" s="5" t="n">
        <v>1</v>
      </c>
      <c r="F5031" s="6" t="n">
        <f aca="false">IFERROR(MATCH(A5031&amp;"|"&amp;B5031&amp;"|"&amp;D5031,'All Song Rankings'!$T:$T,0),0)</f>
        <v>748</v>
      </c>
      <c r="G5031" s="6" t="str">
        <f aca="false">IF(F5031=0,"NOT FOUND",INDEX('All Song Rankings'!$A:$A,F5031))</f>
        <v>First Class</v>
      </c>
      <c r="H5031" s="6" t="str">
        <f aca="false">IF(F5031=0,"NOT FOUND",INDEX('All Song Rankings'!$B:$B,F5031))</f>
        <v>Jack Harlow</v>
      </c>
      <c r="I5031" s="6" t="str">
        <f aca="false">IF(F5031=0,"NOT FOUND",INDEX('All Song Rankings'!$D:$D,F5031))</f>
        <v>Leah</v>
      </c>
      <c r="J5031" s="7" t="str">
        <f aca="false">IF(F5031=0,"NOT FOUND",IF(C5031=I5031,"SELF-VOTE",IF(COUNTIF($K:$K,K5031)&gt;1,"DUPLICATE","OK")))</f>
        <v>OK</v>
      </c>
      <c r="K5031" s="6" t="str">
        <f aca="false">A5031&amp;"|"&amp;B5031&amp;"|"&amp;C5031&amp;"|"&amp;D5031</f>
        <v>7|6|Logan|spotify:track:0wHFktze2PHC5jDt3B17DC</v>
      </c>
    </row>
    <row r="5032" customFormat="false" ht="15" hidden="false" customHeight="false" outlineLevel="0" collapsed="false">
      <c r="A5032" s="5" t="n">
        <v>7</v>
      </c>
      <c r="B5032" s="5" t="n">
        <v>6</v>
      </c>
      <c r="C5032" s="5" t="s">
        <v>128</v>
      </c>
      <c r="D5032" s="5" t="s">
        <v>2227</v>
      </c>
      <c r="E5032" s="5" t="n">
        <v>1</v>
      </c>
      <c r="F5032" s="6" t="n">
        <f aca="false">IFERROR(MATCH(A5032&amp;"|"&amp;B5032&amp;"|"&amp;D5032,'All Song Rankings'!$T:$T,0),0)</f>
        <v>750</v>
      </c>
      <c r="G5032" s="6" t="str">
        <f aca="false">IF(F5032=0,"NOT FOUND",INDEX('All Song Rankings'!$A:$A,F5032))</f>
        <v>Paper Planes</v>
      </c>
      <c r="H5032" s="6" t="str">
        <f aca="false">IF(F5032=0,"NOT FOUND",INDEX('All Song Rankings'!$B:$B,F5032))</f>
        <v>M.I.A.</v>
      </c>
      <c r="I5032" s="6" t="str">
        <f aca="false">IF(F5032=0,"NOT FOUND",INDEX('All Song Rankings'!$D:$D,F5032))</f>
        <v>Colleen</v>
      </c>
      <c r="J5032" s="7" t="str">
        <f aca="false">IF(F5032=0,"NOT FOUND",IF(C5032=I5032,"SELF-VOTE",IF(COUNTIF($K:$K,K5032)&gt;1,"DUPLICATE","OK")))</f>
        <v>OK</v>
      </c>
      <c r="K5032" s="6" t="str">
        <f aca="false">A5032&amp;"|"&amp;B5032&amp;"|"&amp;C5032&amp;"|"&amp;D5032</f>
        <v>7|6|Logan|spotify:track:1ixbwbeBi5ufN4noUKmW5a</v>
      </c>
    </row>
    <row r="5033" customFormat="false" ht="15" hidden="false" customHeight="false" outlineLevel="0" collapsed="false">
      <c r="A5033" s="5" t="n">
        <v>7</v>
      </c>
      <c r="B5033" s="5" t="n">
        <v>6</v>
      </c>
      <c r="C5033" s="5" t="s">
        <v>128</v>
      </c>
      <c r="D5033" s="5" t="s">
        <v>2230</v>
      </c>
      <c r="E5033" s="5" t="n">
        <v>1</v>
      </c>
      <c r="F5033" s="6" t="n">
        <f aca="false">IFERROR(MATCH(A5033&amp;"|"&amp;B5033&amp;"|"&amp;D5033,'All Song Rankings'!$T:$T,0),0)</f>
        <v>751</v>
      </c>
      <c r="G5033" s="6" t="str">
        <f aca="false">IF(F5033=0,"NOT FOUND",INDEX('All Song Rankings'!$A:$A,F5033))</f>
        <v>A Bar Song (Tipsy)</v>
      </c>
      <c r="H5033" s="6" t="str">
        <f aca="false">IF(F5033=0,"NOT FOUND",INDEX('All Song Rankings'!$B:$B,F5033))</f>
        <v>Shaboozey</v>
      </c>
      <c r="I5033" s="6" t="str">
        <f aca="false">IF(F5033=0,"NOT FOUND",INDEX('All Song Rankings'!$D:$D,F5033))</f>
        <v>Christine</v>
      </c>
      <c r="J5033" s="7" t="str">
        <f aca="false">IF(F5033=0,"NOT FOUND",IF(C5033=I5033,"SELF-VOTE",IF(COUNTIF($K:$K,K5033)&gt;1,"DUPLICATE","OK")))</f>
        <v>OK</v>
      </c>
      <c r="K5033" s="6" t="str">
        <f aca="false">A5033&amp;"|"&amp;B5033&amp;"|"&amp;C5033&amp;"|"&amp;D5033</f>
        <v>7|6|Logan|spotify:track:2FQrifJ1N335Ljm3TjTVVf</v>
      </c>
    </row>
    <row r="5034" customFormat="false" ht="15" hidden="false" customHeight="false" outlineLevel="0" collapsed="false">
      <c r="A5034" s="5" t="n">
        <v>7</v>
      </c>
      <c r="B5034" s="5" t="n">
        <v>6</v>
      </c>
      <c r="C5034" s="5" t="s">
        <v>128</v>
      </c>
      <c r="D5034" s="5" t="s">
        <v>2216</v>
      </c>
      <c r="E5034" s="5" t="n">
        <v>1</v>
      </c>
      <c r="F5034" s="6" t="n">
        <f aca="false">IFERROR(MATCH(A5034&amp;"|"&amp;B5034&amp;"|"&amp;D5034,'All Song Rankings'!$T:$T,0),0)</f>
        <v>746</v>
      </c>
      <c r="G5034" s="6" t="str">
        <f aca="false">IF(F5034=0,"NOT FOUND",INDEX('All Song Rankings'!$A:$A,F5034))</f>
        <v>Cupid's Chokehold / Breakfast in America</v>
      </c>
      <c r="H5034" s="6" t="str">
        <f aca="false">IF(F5034=0,"NOT FOUND",INDEX('All Song Rankings'!$B:$B,F5034))</f>
        <v>Gym Class Heroes</v>
      </c>
      <c r="I5034" s="6" t="str">
        <f aca="false">IF(F5034=0,"NOT FOUND",INDEX('All Song Rankings'!$D:$D,F5034))</f>
        <v>Josh</v>
      </c>
      <c r="J5034" s="7" t="str">
        <f aca="false">IF(F5034=0,"NOT FOUND",IF(C5034=I5034,"SELF-VOTE",IF(COUNTIF($K:$K,K5034)&gt;1,"DUPLICATE","OK")))</f>
        <v>OK</v>
      </c>
      <c r="K5034" s="6" t="str">
        <f aca="false">A5034&amp;"|"&amp;B5034&amp;"|"&amp;C5034&amp;"|"&amp;D5034</f>
        <v>7|6|Logan|spotify:track:2Lhdl74nwwVGOE2Gv35QuK</v>
      </c>
    </row>
    <row r="5035" customFormat="false" ht="15" hidden="false" customHeight="false" outlineLevel="0" collapsed="false">
      <c r="A5035" s="5" t="n">
        <v>7</v>
      </c>
      <c r="B5035" s="5" t="n">
        <v>6</v>
      </c>
      <c r="C5035" s="5" t="s">
        <v>128</v>
      </c>
      <c r="D5035" s="5" t="s">
        <v>2245</v>
      </c>
      <c r="E5035" s="5" t="n">
        <v>1</v>
      </c>
      <c r="F5035" s="6" t="n">
        <f aca="false">IFERROR(MATCH(A5035&amp;"|"&amp;B5035&amp;"|"&amp;D5035,'All Song Rankings'!$T:$T,0),0)</f>
        <v>757</v>
      </c>
      <c r="G5035" s="6" t="str">
        <f aca="false">IF(F5035=0,"NOT FOUND",INDEX('All Song Rankings'!$A:$A,F5035))</f>
        <v>Livin' It Up</v>
      </c>
      <c r="H5035" s="6" t="str">
        <f aca="false">IF(F5035=0,"NOT FOUND",INDEX('All Song Rankings'!$B:$B,F5035))</f>
        <v>Ja Rule</v>
      </c>
      <c r="I5035" s="6" t="str">
        <f aca="false">IF(F5035=0,"NOT FOUND",INDEX('All Song Rankings'!$D:$D,F5035))</f>
        <v>Grace</v>
      </c>
      <c r="J5035" s="7" t="str">
        <f aca="false">IF(F5035=0,"NOT FOUND",IF(C5035=I5035,"SELF-VOTE",IF(COUNTIF($K:$K,K5035)&gt;1,"DUPLICATE","OK")))</f>
        <v>OK</v>
      </c>
      <c r="K5035" s="6" t="str">
        <f aca="false">A5035&amp;"|"&amp;B5035&amp;"|"&amp;C5035&amp;"|"&amp;D5035</f>
        <v>7|6|Logan|spotify:track:4ToZV7r72wSbVrljaLSp13</v>
      </c>
    </row>
    <row r="5036" customFormat="false" ht="15" hidden="false" customHeight="false" outlineLevel="0" collapsed="false">
      <c r="A5036" s="5" t="n">
        <v>7</v>
      </c>
      <c r="B5036" s="5" t="n">
        <v>6</v>
      </c>
      <c r="C5036" s="5" t="s">
        <v>128</v>
      </c>
      <c r="D5036" s="5" t="s">
        <v>2224</v>
      </c>
      <c r="E5036" s="5" t="n">
        <v>1</v>
      </c>
      <c r="F5036" s="6" t="n">
        <f aca="false">IFERROR(MATCH(A5036&amp;"|"&amp;B5036&amp;"|"&amp;D5036,'All Song Rankings'!$T:$T,0),0)</f>
        <v>749</v>
      </c>
      <c r="G5036" s="6" t="str">
        <f aca="false">IF(F5036=0,"NOT FOUND",INDEX('All Song Rankings'!$A:$A,F5036))</f>
        <v>Fallin' (Adrenaline)</v>
      </c>
      <c r="H5036" s="6" t="str">
        <f aca="false">IF(F5036=0,"NOT FOUND",INDEX('All Song Rankings'!$B:$B,F5036))</f>
        <v>Why Don't We</v>
      </c>
      <c r="I5036" s="6" t="str">
        <f aca="false">IF(F5036=0,"NOT FOUND",INDEX('All Song Rankings'!$D:$D,F5036))</f>
        <v>Merita</v>
      </c>
      <c r="J5036" s="7" t="str">
        <f aca="false">IF(F5036=0,"NOT FOUND",IF(C5036=I5036,"SELF-VOTE",IF(COUNTIF($K:$K,K5036)&gt;1,"DUPLICATE","OK")))</f>
        <v>OK</v>
      </c>
      <c r="K5036" s="6" t="str">
        <f aca="false">A5036&amp;"|"&amp;B5036&amp;"|"&amp;C5036&amp;"|"&amp;D5036</f>
        <v>7|6|Logan|spotify:track:5GhJIMWAw0uMLgkdbt6uMz</v>
      </c>
    </row>
    <row r="5037" customFormat="false" ht="15" hidden="false" customHeight="false" outlineLevel="0" collapsed="false">
      <c r="A5037" s="5" t="n">
        <v>7</v>
      </c>
      <c r="B5037" s="5" t="n">
        <v>6</v>
      </c>
      <c r="C5037" s="5" t="s">
        <v>128</v>
      </c>
      <c r="D5037" s="5" t="s">
        <v>2237</v>
      </c>
      <c r="E5037" s="5" t="n">
        <v>1</v>
      </c>
      <c r="F5037" s="6" t="n">
        <f aca="false">IFERROR(MATCH(A5037&amp;"|"&amp;B5037&amp;"|"&amp;D5037,'All Song Rankings'!$T:$T,0),0)</f>
        <v>754</v>
      </c>
      <c r="G5037" s="6" t="str">
        <f aca="false">IF(F5037=0,"NOT FOUND",INDEX('All Song Rankings'!$A:$A,F5037))</f>
        <v>Whatcha Say</v>
      </c>
      <c r="H5037" s="6" t="str">
        <f aca="false">IF(F5037=0,"NOT FOUND",INDEX('All Song Rankings'!$B:$B,F5037))</f>
        <v>Jason Derulo</v>
      </c>
      <c r="I5037" s="6" t="str">
        <f aca="false">IF(F5037=0,"NOT FOUND",INDEX('All Song Rankings'!$D:$D,F5037))</f>
        <v>Lucia</v>
      </c>
      <c r="J5037" s="7" t="str">
        <f aca="false">IF(F5037=0,"NOT FOUND",IF(C5037=I5037,"SELF-VOTE",IF(COUNTIF($K:$K,K5037)&gt;1,"DUPLICATE","OK")))</f>
        <v>OK</v>
      </c>
      <c r="K5037" s="6" t="str">
        <f aca="false">A5037&amp;"|"&amp;B5037&amp;"|"&amp;C5037&amp;"|"&amp;D5037</f>
        <v>7|6|Logan|spotify:track:67T6l4q3zVjC5nZZPXByU8</v>
      </c>
    </row>
    <row r="5038" customFormat="false" ht="15" hidden="false" customHeight="false" outlineLevel="0" collapsed="false">
      <c r="A5038" s="5" t="n">
        <v>7</v>
      </c>
      <c r="B5038" s="5" t="n">
        <v>6</v>
      </c>
      <c r="C5038" s="5" t="s">
        <v>2019</v>
      </c>
      <c r="D5038" s="5" t="s">
        <v>2235</v>
      </c>
      <c r="E5038" s="5" t="n">
        <v>1</v>
      </c>
      <c r="F5038" s="6" t="n">
        <f aca="false">IFERROR(MATCH(A5038&amp;"|"&amp;B5038&amp;"|"&amp;D5038,'All Song Rankings'!$T:$T,0),0)</f>
        <v>753</v>
      </c>
      <c r="G5038" s="6" t="str">
        <f aca="false">IF(F5038=0,"NOT FOUND",INDEX('All Song Rankings'!$A:$A,F5038))</f>
        <v>Old Town Road</v>
      </c>
      <c r="H5038" s="6" t="str">
        <f aca="false">IF(F5038=0,"NOT FOUND",INDEX('All Song Rankings'!$B:$B,F5038))</f>
        <v>Lil Nas X</v>
      </c>
      <c r="I5038" s="6" t="str">
        <f aca="false">IF(F5038=0,"NOT FOUND",INDEX('All Song Rankings'!$D:$D,F5038))</f>
        <v>Kristen</v>
      </c>
      <c r="J5038" s="7" t="str">
        <f aca="false">IF(F5038=0,"NOT FOUND",IF(C5038=I5038,"SELF-VOTE",IF(COUNTIF($K:$K,K5038)&gt;1,"DUPLICATE","OK")))</f>
        <v>OK</v>
      </c>
      <c r="K5038" s="6" t="str">
        <f aca="false">A5038&amp;"|"&amp;B5038&amp;"|"&amp;C5038&amp;"|"&amp;D5038</f>
        <v>7|6|Lucia|spotify:track:0F7FA14euOIX8KcbEturGH</v>
      </c>
    </row>
    <row r="5039" customFormat="false" ht="15" hidden="false" customHeight="false" outlineLevel="0" collapsed="false">
      <c r="A5039" s="5" t="n">
        <v>7</v>
      </c>
      <c r="B5039" s="5" t="n">
        <v>6</v>
      </c>
      <c r="C5039" s="5" t="s">
        <v>2019</v>
      </c>
      <c r="D5039" s="5" t="s">
        <v>2232</v>
      </c>
      <c r="E5039" s="5" t="n">
        <v>1</v>
      </c>
      <c r="F5039" s="6" t="n">
        <f aca="false">IFERROR(MATCH(A5039&amp;"|"&amp;B5039&amp;"|"&amp;D5039,'All Song Rankings'!$T:$T,0),0)</f>
        <v>752</v>
      </c>
      <c r="G5039" s="6" t="str">
        <f aca="false">IF(F5039=0,"NOT FOUND",INDEX('All Song Rankings'!$A:$A,F5039))</f>
        <v>Hollaback Girl</v>
      </c>
      <c r="H5039" s="6" t="str">
        <f aca="false">IF(F5039=0,"NOT FOUND",INDEX('All Song Rankings'!$B:$B,F5039))</f>
        <v>Gwen Stefani</v>
      </c>
      <c r="I5039" s="6" t="str">
        <f aca="false">IF(F5039=0,"NOT FOUND",INDEX('All Song Rankings'!$D:$D,F5039))</f>
        <v>Kelsey</v>
      </c>
      <c r="J5039" s="7" t="str">
        <f aca="false">IF(F5039=0,"NOT FOUND",IF(C5039=I5039,"SELF-VOTE",IF(COUNTIF($K:$K,K5039)&gt;1,"DUPLICATE","OK")))</f>
        <v>OK</v>
      </c>
      <c r="K5039" s="6" t="str">
        <f aca="false">A5039&amp;"|"&amp;B5039&amp;"|"&amp;C5039&amp;"|"&amp;D5039</f>
        <v>7|6|Lucia|spotify:track:0LzrhCZFXW94Y8nwtTuRlw</v>
      </c>
    </row>
    <row r="5040" customFormat="false" ht="15" hidden="false" customHeight="false" outlineLevel="0" collapsed="false">
      <c r="A5040" s="5" t="n">
        <v>7</v>
      </c>
      <c r="B5040" s="5" t="n">
        <v>6</v>
      </c>
      <c r="C5040" s="5" t="s">
        <v>2019</v>
      </c>
      <c r="D5040" s="5" t="s">
        <v>2221</v>
      </c>
      <c r="E5040" s="5" t="n">
        <v>2</v>
      </c>
      <c r="F5040" s="6" t="n">
        <f aca="false">IFERROR(MATCH(A5040&amp;"|"&amp;B5040&amp;"|"&amp;D5040,'All Song Rankings'!$T:$T,0),0)</f>
        <v>748</v>
      </c>
      <c r="G5040" s="6" t="str">
        <f aca="false">IF(F5040=0,"NOT FOUND",INDEX('All Song Rankings'!$A:$A,F5040))</f>
        <v>First Class</v>
      </c>
      <c r="H5040" s="6" t="str">
        <f aca="false">IF(F5040=0,"NOT FOUND",INDEX('All Song Rankings'!$B:$B,F5040))</f>
        <v>Jack Harlow</v>
      </c>
      <c r="I5040" s="6" t="str">
        <f aca="false">IF(F5040=0,"NOT FOUND",INDEX('All Song Rankings'!$D:$D,F5040))</f>
        <v>Leah</v>
      </c>
      <c r="J5040" s="7" t="str">
        <f aca="false">IF(F5040=0,"NOT FOUND",IF(C5040=I5040,"SELF-VOTE",IF(COUNTIF($K:$K,K5040)&gt;1,"DUPLICATE","OK")))</f>
        <v>OK</v>
      </c>
      <c r="K5040" s="6" t="str">
        <f aca="false">A5040&amp;"|"&amp;B5040&amp;"|"&amp;C5040&amp;"|"&amp;D5040</f>
        <v>7|6|Lucia|spotify:track:0wHFktze2PHC5jDt3B17DC</v>
      </c>
    </row>
    <row r="5041" customFormat="false" ht="15" hidden="false" customHeight="false" outlineLevel="0" collapsed="false">
      <c r="A5041" s="5" t="n">
        <v>7</v>
      </c>
      <c r="B5041" s="5" t="n">
        <v>6</v>
      </c>
      <c r="C5041" s="5" t="s">
        <v>2019</v>
      </c>
      <c r="D5041" s="5" t="s">
        <v>2230</v>
      </c>
      <c r="E5041" s="5" t="n">
        <v>1</v>
      </c>
      <c r="F5041" s="6" t="n">
        <f aca="false">IFERROR(MATCH(A5041&amp;"|"&amp;B5041&amp;"|"&amp;D5041,'All Song Rankings'!$T:$T,0),0)</f>
        <v>751</v>
      </c>
      <c r="G5041" s="6" t="str">
        <f aca="false">IF(F5041=0,"NOT FOUND",INDEX('All Song Rankings'!$A:$A,F5041))</f>
        <v>A Bar Song (Tipsy)</v>
      </c>
      <c r="H5041" s="6" t="str">
        <f aca="false">IF(F5041=0,"NOT FOUND",INDEX('All Song Rankings'!$B:$B,F5041))</f>
        <v>Shaboozey</v>
      </c>
      <c r="I5041" s="6" t="str">
        <f aca="false">IF(F5041=0,"NOT FOUND",INDEX('All Song Rankings'!$D:$D,F5041))</f>
        <v>Christine</v>
      </c>
      <c r="J5041" s="7" t="str">
        <f aca="false">IF(F5041=0,"NOT FOUND",IF(C5041=I5041,"SELF-VOTE",IF(COUNTIF($K:$K,K5041)&gt;1,"DUPLICATE","OK")))</f>
        <v>OK</v>
      </c>
      <c r="K5041" s="6" t="str">
        <f aca="false">A5041&amp;"|"&amp;B5041&amp;"|"&amp;C5041&amp;"|"&amp;D5041</f>
        <v>7|6|Lucia|spotify:track:2FQrifJ1N335Ljm3TjTVVf</v>
      </c>
    </row>
    <row r="5042" customFormat="false" ht="15" hidden="false" customHeight="false" outlineLevel="0" collapsed="false">
      <c r="A5042" s="5" t="n">
        <v>7</v>
      </c>
      <c r="B5042" s="5" t="n">
        <v>6</v>
      </c>
      <c r="C5042" s="5" t="s">
        <v>2019</v>
      </c>
      <c r="D5042" s="5" t="s">
        <v>2216</v>
      </c>
      <c r="E5042" s="5" t="n">
        <v>1</v>
      </c>
      <c r="F5042" s="6" t="n">
        <f aca="false">IFERROR(MATCH(A5042&amp;"|"&amp;B5042&amp;"|"&amp;D5042,'All Song Rankings'!$T:$T,0),0)</f>
        <v>746</v>
      </c>
      <c r="G5042" s="6" t="str">
        <f aca="false">IF(F5042=0,"NOT FOUND",INDEX('All Song Rankings'!$A:$A,F5042))</f>
        <v>Cupid's Chokehold / Breakfast in America</v>
      </c>
      <c r="H5042" s="6" t="str">
        <f aca="false">IF(F5042=0,"NOT FOUND",INDEX('All Song Rankings'!$B:$B,F5042))</f>
        <v>Gym Class Heroes</v>
      </c>
      <c r="I5042" s="6" t="str">
        <f aca="false">IF(F5042=0,"NOT FOUND",INDEX('All Song Rankings'!$D:$D,F5042))</f>
        <v>Josh</v>
      </c>
      <c r="J5042" s="7" t="str">
        <f aca="false">IF(F5042=0,"NOT FOUND",IF(C5042=I5042,"SELF-VOTE",IF(COUNTIF($K:$K,K5042)&gt;1,"DUPLICATE","OK")))</f>
        <v>OK</v>
      </c>
      <c r="K5042" s="6" t="str">
        <f aca="false">A5042&amp;"|"&amp;B5042&amp;"|"&amp;C5042&amp;"|"&amp;D5042</f>
        <v>7|6|Lucia|spotify:track:2Lhdl74nwwVGOE2Gv35QuK</v>
      </c>
    </row>
    <row r="5043" customFormat="false" ht="15" hidden="false" customHeight="false" outlineLevel="0" collapsed="false">
      <c r="A5043" s="5" t="n">
        <v>7</v>
      </c>
      <c r="B5043" s="5" t="n">
        <v>6</v>
      </c>
      <c r="C5043" s="5" t="s">
        <v>2019</v>
      </c>
      <c r="D5043" s="5" t="s">
        <v>2218</v>
      </c>
      <c r="E5043" s="5" t="n">
        <v>2</v>
      </c>
      <c r="F5043" s="6" t="n">
        <f aca="false">IFERROR(MATCH(A5043&amp;"|"&amp;B5043&amp;"|"&amp;D5043,'All Song Rankings'!$T:$T,0),0)</f>
        <v>747</v>
      </c>
      <c r="G5043" s="6" t="str">
        <f aca="false">IF(F5043=0,"NOT FOUND",INDEX('All Song Rankings'!$A:$A,F5043))</f>
        <v>SOS</v>
      </c>
      <c r="H5043" s="6" t="str">
        <f aca="false">IF(F5043=0,"NOT FOUND",INDEX('All Song Rankings'!$B:$B,F5043))</f>
        <v>Rihanna</v>
      </c>
      <c r="I5043" s="6" t="str">
        <f aca="false">IF(F5043=0,"NOT FOUND",INDEX('All Song Rankings'!$D:$D,F5043))</f>
        <v>Logan</v>
      </c>
      <c r="J5043" s="7" t="str">
        <f aca="false">IF(F5043=0,"NOT FOUND",IF(C5043=I5043,"SELF-VOTE",IF(COUNTIF($K:$K,K5043)&gt;1,"DUPLICATE","OK")))</f>
        <v>OK</v>
      </c>
      <c r="K5043" s="6" t="str">
        <f aca="false">A5043&amp;"|"&amp;B5043&amp;"|"&amp;C5043&amp;"|"&amp;D5043</f>
        <v>7|6|Lucia|spotify:track:30cSNer6TV8x2utjULVeQ5</v>
      </c>
    </row>
    <row r="5044" customFormat="false" ht="15" hidden="false" customHeight="false" outlineLevel="0" collapsed="false">
      <c r="A5044" s="5" t="n">
        <v>7</v>
      </c>
      <c r="B5044" s="5" t="n">
        <v>6</v>
      </c>
      <c r="C5044" s="5" t="s">
        <v>2019</v>
      </c>
      <c r="D5044" s="5" t="s">
        <v>2224</v>
      </c>
      <c r="E5044" s="5" t="n">
        <v>2</v>
      </c>
      <c r="F5044" s="6" t="n">
        <f aca="false">IFERROR(MATCH(A5044&amp;"|"&amp;B5044&amp;"|"&amp;D5044,'All Song Rankings'!$T:$T,0),0)</f>
        <v>749</v>
      </c>
      <c r="G5044" s="6" t="str">
        <f aca="false">IF(F5044=0,"NOT FOUND",INDEX('All Song Rankings'!$A:$A,F5044))</f>
        <v>Fallin' (Adrenaline)</v>
      </c>
      <c r="H5044" s="6" t="str">
        <f aca="false">IF(F5044=0,"NOT FOUND",INDEX('All Song Rankings'!$B:$B,F5044))</f>
        <v>Why Don't We</v>
      </c>
      <c r="I5044" s="6" t="str">
        <f aca="false">IF(F5044=0,"NOT FOUND",INDEX('All Song Rankings'!$D:$D,F5044))</f>
        <v>Merita</v>
      </c>
      <c r="J5044" s="7" t="str">
        <f aca="false">IF(F5044=0,"NOT FOUND",IF(C5044=I5044,"SELF-VOTE",IF(COUNTIF($K:$K,K5044)&gt;1,"DUPLICATE","OK")))</f>
        <v>OK</v>
      </c>
      <c r="K5044" s="6" t="str">
        <f aca="false">A5044&amp;"|"&amp;B5044&amp;"|"&amp;C5044&amp;"|"&amp;D5044</f>
        <v>7|6|Lucia|spotify:track:5GhJIMWAw0uMLgkdbt6uMz</v>
      </c>
    </row>
    <row r="5045" customFormat="false" ht="15" hidden="false" customHeight="false" outlineLevel="0" collapsed="false">
      <c r="A5045" s="5" t="n">
        <v>7</v>
      </c>
      <c r="B5045" s="5" t="n">
        <v>6</v>
      </c>
      <c r="C5045" s="5" t="s">
        <v>116</v>
      </c>
      <c r="D5045" s="5" t="s">
        <v>2240</v>
      </c>
      <c r="E5045" s="5" t="n">
        <v>1</v>
      </c>
      <c r="F5045" s="6" t="n">
        <f aca="false">IFERROR(MATCH(A5045&amp;"|"&amp;B5045&amp;"|"&amp;D5045,'All Song Rankings'!$T:$T,0),0)</f>
        <v>755</v>
      </c>
      <c r="G5045" s="6" t="str">
        <f aca="false">IF(F5045=0,"NOT FOUND",INDEX('All Song Rankings'!$A:$A,F5045))</f>
        <v>Bootylicious</v>
      </c>
      <c r="H5045" s="6" t="str">
        <f aca="false">IF(F5045=0,"NOT FOUND",INDEX('All Song Rankings'!$B:$B,F5045))</f>
        <v>Destiny's Child</v>
      </c>
      <c r="I5045" s="6" t="str">
        <f aca="false">IF(F5045=0,"NOT FOUND",INDEX('All Song Rankings'!$D:$D,F5045))</f>
        <v>Stephanie</v>
      </c>
      <c r="J5045" s="7" t="str">
        <f aca="false">IF(F5045=0,"NOT FOUND",IF(C5045=I5045,"SELF-VOTE",IF(COUNTIF($K:$K,K5045)&gt;1,"DUPLICATE","OK")))</f>
        <v>OK</v>
      </c>
      <c r="K5045" s="6" t="str">
        <f aca="false">A5045&amp;"|"&amp;B5045&amp;"|"&amp;C5045&amp;"|"&amp;D5045</f>
        <v>7|6|Matt|spotify:track:09mkdGhqb5ySKVsnkx9hy2</v>
      </c>
    </row>
    <row r="5046" customFormat="false" ht="15" hidden="false" customHeight="false" outlineLevel="0" collapsed="false">
      <c r="A5046" s="5" t="n">
        <v>7</v>
      </c>
      <c r="B5046" s="5" t="n">
        <v>6</v>
      </c>
      <c r="C5046" s="5" t="s">
        <v>116</v>
      </c>
      <c r="D5046" s="5" t="s">
        <v>2235</v>
      </c>
      <c r="E5046" s="5" t="n">
        <v>1</v>
      </c>
      <c r="F5046" s="6" t="n">
        <f aca="false">IFERROR(MATCH(A5046&amp;"|"&amp;B5046&amp;"|"&amp;D5046,'All Song Rankings'!$T:$T,0),0)</f>
        <v>753</v>
      </c>
      <c r="G5046" s="6" t="str">
        <f aca="false">IF(F5046=0,"NOT FOUND",INDEX('All Song Rankings'!$A:$A,F5046))</f>
        <v>Old Town Road</v>
      </c>
      <c r="H5046" s="6" t="str">
        <f aca="false">IF(F5046=0,"NOT FOUND",INDEX('All Song Rankings'!$B:$B,F5046))</f>
        <v>Lil Nas X</v>
      </c>
      <c r="I5046" s="6" t="str">
        <f aca="false">IF(F5046=0,"NOT FOUND",INDEX('All Song Rankings'!$D:$D,F5046))</f>
        <v>Kristen</v>
      </c>
      <c r="J5046" s="7" t="str">
        <f aca="false">IF(F5046=0,"NOT FOUND",IF(C5046=I5046,"SELF-VOTE",IF(COUNTIF($K:$K,K5046)&gt;1,"DUPLICATE","OK")))</f>
        <v>OK</v>
      </c>
      <c r="K5046" s="6" t="str">
        <f aca="false">A5046&amp;"|"&amp;B5046&amp;"|"&amp;C5046&amp;"|"&amp;D5046</f>
        <v>7|6|Matt|spotify:track:0F7FA14euOIX8KcbEturGH</v>
      </c>
    </row>
    <row r="5047" customFormat="false" ht="15" hidden="false" customHeight="false" outlineLevel="0" collapsed="false">
      <c r="A5047" s="5" t="n">
        <v>7</v>
      </c>
      <c r="B5047" s="5" t="n">
        <v>6</v>
      </c>
      <c r="C5047" s="5" t="s">
        <v>116</v>
      </c>
      <c r="D5047" s="5" t="s">
        <v>2221</v>
      </c>
      <c r="E5047" s="5" t="n">
        <v>1</v>
      </c>
      <c r="F5047" s="6" t="n">
        <f aca="false">IFERROR(MATCH(A5047&amp;"|"&amp;B5047&amp;"|"&amp;D5047,'All Song Rankings'!$T:$T,0),0)</f>
        <v>748</v>
      </c>
      <c r="G5047" s="6" t="str">
        <f aca="false">IF(F5047=0,"NOT FOUND",INDEX('All Song Rankings'!$A:$A,F5047))</f>
        <v>First Class</v>
      </c>
      <c r="H5047" s="6" t="str">
        <f aca="false">IF(F5047=0,"NOT FOUND",INDEX('All Song Rankings'!$B:$B,F5047))</f>
        <v>Jack Harlow</v>
      </c>
      <c r="I5047" s="6" t="str">
        <f aca="false">IF(F5047=0,"NOT FOUND",INDEX('All Song Rankings'!$D:$D,F5047))</f>
        <v>Leah</v>
      </c>
      <c r="J5047" s="7" t="str">
        <f aca="false">IF(F5047=0,"NOT FOUND",IF(C5047=I5047,"SELF-VOTE",IF(COUNTIF($K:$K,K5047)&gt;1,"DUPLICATE","OK")))</f>
        <v>OK</v>
      </c>
      <c r="K5047" s="6" t="str">
        <f aca="false">A5047&amp;"|"&amp;B5047&amp;"|"&amp;C5047&amp;"|"&amp;D5047</f>
        <v>7|6|Matt|spotify:track:0wHFktze2PHC5jDt3B17DC</v>
      </c>
    </row>
    <row r="5048" customFormat="false" ht="15" hidden="false" customHeight="false" outlineLevel="0" collapsed="false">
      <c r="A5048" s="5" t="n">
        <v>7</v>
      </c>
      <c r="B5048" s="5" t="n">
        <v>6</v>
      </c>
      <c r="C5048" s="5" t="s">
        <v>116</v>
      </c>
      <c r="D5048" s="5" t="s">
        <v>2242</v>
      </c>
      <c r="E5048" s="5" t="n">
        <v>1</v>
      </c>
      <c r="F5048" s="6" t="n">
        <f aca="false">IFERROR(MATCH(A5048&amp;"|"&amp;B5048&amp;"|"&amp;D5048,'All Song Rankings'!$T:$T,0),0)</f>
        <v>756</v>
      </c>
      <c r="G5048" s="6" t="str">
        <f aca="false">IF(F5048=0,"NOT FOUND",INDEX('All Song Rankings'!$A:$A,F5048))</f>
        <v>Gold Digger</v>
      </c>
      <c r="H5048" s="6" t="str">
        <f aca="false">IF(F5048=0,"NOT FOUND",INDEX('All Song Rankings'!$B:$B,F5048))</f>
        <v>Kanye West</v>
      </c>
      <c r="I5048" s="6" t="str">
        <f aca="false">IF(F5048=0,"NOT FOUND",INDEX('All Song Rankings'!$D:$D,F5048))</f>
        <v>Lisa</v>
      </c>
      <c r="J5048" s="7" t="str">
        <f aca="false">IF(F5048=0,"NOT FOUND",IF(C5048=I5048,"SELF-VOTE",IF(COUNTIF($K:$K,K5048)&gt;1,"DUPLICATE","OK")))</f>
        <v>OK</v>
      </c>
      <c r="K5048" s="6" t="str">
        <f aca="false">A5048&amp;"|"&amp;B5048&amp;"|"&amp;C5048&amp;"|"&amp;D5048</f>
        <v>7|6|Matt|spotify:track:1PS1QMdUqOal0ai3Gt7sDQ</v>
      </c>
    </row>
    <row r="5049" customFormat="false" ht="15" hidden="false" customHeight="false" outlineLevel="0" collapsed="false">
      <c r="A5049" s="5" t="n">
        <v>7</v>
      </c>
      <c r="B5049" s="5" t="n">
        <v>6</v>
      </c>
      <c r="C5049" s="5" t="s">
        <v>116</v>
      </c>
      <c r="D5049" s="5" t="s">
        <v>2227</v>
      </c>
      <c r="E5049" s="5" t="n">
        <v>1</v>
      </c>
      <c r="F5049" s="6" t="n">
        <f aca="false">IFERROR(MATCH(A5049&amp;"|"&amp;B5049&amp;"|"&amp;D5049,'All Song Rankings'!$T:$T,0),0)</f>
        <v>750</v>
      </c>
      <c r="G5049" s="6" t="str">
        <f aca="false">IF(F5049=0,"NOT FOUND",INDEX('All Song Rankings'!$A:$A,F5049))</f>
        <v>Paper Planes</v>
      </c>
      <c r="H5049" s="6" t="str">
        <f aca="false">IF(F5049=0,"NOT FOUND",INDEX('All Song Rankings'!$B:$B,F5049))</f>
        <v>M.I.A.</v>
      </c>
      <c r="I5049" s="6" t="str">
        <f aca="false">IF(F5049=0,"NOT FOUND",INDEX('All Song Rankings'!$D:$D,F5049))</f>
        <v>Colleen</v>
      </c>
      <c r="J5049" s="7" t="str">
        <f aca="false">IF(F5049=0,"NOT FOUND",IF(C5049=I5049,"SELF-VOTE",IF(COUNTIF($K:$K,K5049)&gt;1,"DUPLICATE","OK")))</f>
        <v>OK</v>
      </c>
      <c r="K5049" s="6" t="str">
        <f aca="false">A5049&amp;"|"&amp;B5049&amp;"|"&amp;C5049&amp;"|"&amp;D5049</f>
        <v>7|6|Matt|spotify:track:1ixbwbeBi5ufN4noUKmW5a</v>
      </c>
    </row>
    <row r="5050" customFormat="false" ht="15" hidden="false" customHeight="false" outlineLevel="0" collapsed="false">
      <c r="A5050" s="5" t="n">
        <v>7</v>
      </c>
      <c r="B5050" s="5" t="n">
        <v>6</v>
      </c>
      <c r="C5050" s="5" t="s">
        <v>116</v>
      </c>
      <c r="D5050" s="5" t="s">
        <v>2216</v>
      </c>
      <c r="E5050" s="5" t="n">
        <v>2</v>
      </c>
      <c r="F5050" s="6" t="n">
        <f aca="false">IFERROR(MATCH(A5050&amp;"|"&amp;B5050&amp;"|"&amp;D5050,'All Song Rankings'!$T:$T,0),0)</f>
        <v>746</v>
      </c>
      <c r="G5050" s="6" t="str">
        <f aca="false">IF(F5050=0,"NOT FOUND",INDEX('All Song Rankings'!$A:$A,F5050))</f>
        <v>Cupid's Chokehold / Breakfast in America</v>
      </c>
      <c r="H5050" s="6" t="str">
        <f aca="false">IF(F5050=0,"NOT FOUND",INDEX('All Song Rankings'!$B:$B,F5050))</f>
        <v>Gym Class Heroes</v>
      </c>
      <c r="I5050" s="6" t="str">
        <f aca="false">IF(F5050=0,"NOT FOUND",INDEX('All Song Rankings'!$D:$D,F5050))</f>
        <v>Josh</v>
      </c>
      <c r="J5050" s="7" t="str">
        <f aca="false">IF(F5050=0,"NOT FOUND",IF(C5050=I5050,"SELF-VOTE",IF(COUNTIF($K:$K,K5050)&gt;1,"DUPLICATE","OK")))</f>
        <v>OK</v>
      </c>
      <c r="K5050" s="6" t="str">
        <f aca="false">A5050&amp;"|"&amp;B5050&amp;"|"&amp;C5050&amp;"|"&amp;D5050</f>
        <v>7|6|Matt|spotify:track:2Lhdl74nwwVGOE2Gv35QuK</v>
      </c>
    </row>
    <row r="5051" customFormat="false" ht="15" hidden="false" customHeight="false" outlineLevel="0" collapsed="false">
      <c r="A5051" s="5" t="n">
        <v>7</v>
      </c>
      <c r="B5051" s="5" t="n">
        <v>6</v>
      </c>
      <c r="C5051" s="5" t="s">
        <v>116</v>
      </c>
      <c r="D5051" s="5" t="s">
        <v>2218</v>
      </c>
      <c r="E5051" s="5" t="n">
        <v>1</v>
      </c>
      <c r="F5051" s="6" t="n">
        <f aca="false">IFERROR(MATCH(A5051&amp;"|"&amp;B5051&amp;"|"&amp;D5051,'All Song Rankings'!$T:$T,0),0)</f>
        <v>747</v>
      </c>
      <c r="G5051" s="6" t="str">
        <f aca="false">IF(F5051=0,"NOT FOUND",INDEX('All Song Rankings'!$A:$A,F5051))</f>
        <v>SOS</v>
      </c>
      <c r="H5051" s="6" t="str">
        <f aca="false">IF(F5051=0,"NOT FOUND",INDEX('All Song Rankings'!$B:$B,F5051))</f>
        <v>Rihanna</v>
      </c>
      <c r="I5051" s="6" t="str">
        <f aca="false">IF(F5051=0,"NOT FOUND",INDEX('All Song Rankings'!$D:$D,F5051))</f>
        <v>Logan</v>
      </c>
      <c r="J5051" s="7" t="str">
        <f aca="false">IF(F5051=0,"NOT FOUND",IF(C5051=I5051,"SELF-VOTE",IF(COUNTIF($K:$K,K5051)&gt;1,"DUPLICATE","OK")))</f>
        <v>OK</v>
      </c>
      <c r="K5051" s="6" t="str">
        <f aca="false">A5051&amp;"|"&amp;B5051&amp;"|"&amp;C5051&amp;"|"&amp;D5051</f>
        <v>7|6|Matt|spotify:track:30cSNer6TV8x2utjULVeQ5</v>
      </c>
    </row>
    <row r="5052" customFormat="false" ht="15" hidden="false" customHeight="false" outlineLevel="0" collapsed="false">
      <c r="A5052" s="5" t="n">
        <v>7</v>
      </c>
      <c r="B5052" s="5" t="n">
        <v>6</v>
      </c>
      <c r="C5052" s="5" t="s">
        <v>116</v>
      </c>
      <c r="D5052" s="5" t="s">
        <v>2224</v>
      </c>
      <c r="E5052" s="5" t="n">
        <v>1</v>
      </c>
      <c r="F5052" s="6" t="n">
        <f aca="false">IFERROR(MATCH(A5052&amp;"|"&amp;B5052&amp;"|"&amp;D5052,'All Song Rankings'!$T:$T,0),0)</f>
        <v>749</v>
      </c>
      <c r="G5052" s="6" t="str">
        <f aca="false">IF(F5052=0,"NOT FOUND",INDEX('All Song Rankings'!$A:$A,F5052))</f>
        <v>Fallin' (Adrenaline)</v>
      </c>
      <c r="H5052" s="6" t="str">
        <f aca="false">IF(F5052=0,"NOT FOUND",INDEX('All Song Rankings'!$B:$B,F5052))</f>
        <v>Why Don't We</v>
      </c>
      <c r="I5052" s="6" t="str">
        <f aca="false">IF(F5052=0,"NOT FOUND",INDEX('All Song Rankings'!$D:$D,F5052))</f>
        <v>Merita</v>
      </c>
      <c r="J5052" s="7" t="str">
        <f aca="false">IF(F5052=0,"NOT FOUND",IF(C5052=I5052,"SELF-VOTE",IF(COUNTIF($K:$K,K5052)&gt;1,"DUPLICATE","OK")))</f>
        <v>OK</v>
      </c>
      <c r="K5052" s="6" t="str">
        <f aca="false">A5052&amp;"|"&amp;B5052&amp;"|"&amp;C5052&amp;"|"&amp;D5052</f>
        <v>7|6|Matt|spotify:track:5GhJIMWAw0uMLgkdbt6uMz</v>
      </c>
    </row>
    <row r="5053" customFormat="false" ht="15" hidden="false" customHeight="false" outlineLevel="0" collapsed="false">
      <c r="A5053" s="5" t="n">
        <v>7</v>
      </c>
      <c r="B5053" s="5" t="n">
        <v>6</v>
      </c>
      <c r="C5053" s="5" t="s">
        <v>116</v>
      </c>
      <c r="D5053" s="5" t="s">
        <v>2237</v>
      </c>
      <c r="E5053" s="5" t="n">
        <v>1</v>
      </c>
      <c r="F5053" s="6" t="n">
        <f aca="false">IFERROR(MATCH(A5053&amp;"|"&amp;B5053&amp;"|"&amp;D5053,'All Song Rankings'!$T:$T,0),0)</f>
        <v>754</v>
      </c>
      <c r="G5053" s="6" t="str">
        <f aca="false">IF(F5053=0,"NOT FOUND",INDEX('All Song Rankings'!$A:$A,F5053))</f>
        <v>Whatcha Say</v>
      </c>
      <c r="H5053" s="6" t="str">
        <f aca="false">IF(F5053=0,"NOT FOUND",INDEX('All Song Rankings'!$B:$B,F5053))</f>
        <v>Jason Derulo</v>
      </c>
      <c r="I5053" s="6" t="str">
        <f aca="false">IF(F5053=0,"NOT FOUND",INDEX('All Song Rankings'!$D:$D,F5053))</f>
        <v>Lucia</v>
      </c>
      <c r="J5053" s="7" t="str">
        <f aca="false">IF(F5053=0,"NOT FOUND",IF(C5053=I5053,"SELF-VOTE",IF(COUNTIF($K:$K,K5053)&gt;1,"DUPLICATE","OK")))</f>
        <v>OK</v>
      </c>
      <c r="K5053" s="6" t="str">
        <f aca="false">A5053&amp;"|"&amp;B5053&amp;"|"&amp;C5053&amp;"|"&amp;D5053</f>
        <v>7|6|Matt|spotify:track:67T6l4q3zVjC5nZZPXByU8</v>
      </c>
    </row>
    <row r="5054" customFormat="false" ht="15" hidden="false" customHeight="false" outlineLevel="0" collapsed="false">
      <c r="A5054" s="5" t="n">
        <v>7</v>
      </c>
      <c r="B5054" s="5" t="n">
        <v>6</v>
      </c>
      <c r="C5054" s="5" t="s">
        <v>101</v>
      </c>
      <c r="D5054" s="5" t="s">
        <v>2240</v>
      </c>
      <c r="E5054" s="5" t="n">
        <v>1</v>
      </c>
      <c r="F5054" s="6" t="n">
        <f aca="false">IFERROR(MATCH(A5054&amp;"|"&amp;B5054&amp;"|"&amp;D5054,'All Song Rankings'!$T:$T,0),0)</f>
        <v>755</v>
      </c>
      <c r="G5054" s="6" t="str">
        <f aca="false">IF(F5054=0,"NOT FOUND",INDEX('All Song Rankings'!$A:$A,F5054))</f>
        <v>Bootylicious</v>
      </c>
      <c r="H5054" s="6" t="str">
        <f aca="false">IF(F5054=0,"NOT FOUND",INDEX('All Song Rankings'!$B:$B,F5054))</f>
        <v>Destiny's Child</v>
      </c>
      <c r="I5054" s="6" t="str">
        <f aca="false">IF(F5054=0,"NOT FOUND",INDEX('All Song Rankings'!$D:$D,F5054))</f>
        <v>Stephanie</v>
      </c>
      <c r="J5054" s="7" t="str">
        <f aca="false">IF(F5054=0,"NOT FOUND",IF(C5054=I5054,"SELF-VOTE",IF(COUNTIF($K:$K,K5054)&gt;1,"DUPLICATE","OK")))</f>
        <v>OK</v>
      </c>
      <c r="K5054" s="6" t="str">
        <f aca="false">A5054&amp;"|"&amp;B5054&amp;"|"&amp;C5054&amp;"|"&amp;D5054</f>
        <v>7|6|Merita|spotify:track:09mkdGhqb5ySKVsnkx9hy2</v>
      </c>
    </row>
    <row r="5055" customFormat="false" ht="15" hidden="false" customHeight="false" outlineLevel="0" collapsed="false">
      <c r="A5055" s="5" t="n">
        <v>7</v>
      </c>
      <c r="B5055" s="5" t="n">
        <v>6</v>
      </c>
      <c r="C5055" s="5" t="s">
        <v>101</v>
      </c>
      <c r="D5055" s="5" t="s">
        <v>2235</v>
      </c>
      <c r="E5055" s="5" t="n">
        <v>1</v>
      </c>
      <c r="F5055" s="6" t="n">
        <f aca="false">IFERROR(MATCH(A5055&amp;"|"&amp;B5055&amp;"|"&amp;D5055,'All Song Rankings'!$T:$T,0),0)</f>
        <v>753</v>
      </c>
      <c r="G5055" s="6" t="str">
        <f aca="false">IF(F5055=0,"NOT FOUND",INDEX('All Song Rankings'!$A:$A,F5055))</f>
        <v>Old Town Road</v>
      </c>
      <c r="H5055" s="6" t="str">
        <f aca="false">IF(F5055=0,"NOT FOUND",INDEX('All Song Rankings'!$B:$B,F5055))</f>
        <v>Lil Nas X</v>
      </c>
      <c r="I5055" s="6" t="str">
        <f aca="false">IF(F5055=0,"NOT FOUND",INDEX('All Song Rankings'!$D:$D,F5055))</f>
        <v>Kristen</v>
      </c>
      <c r="J5055" s="7" t="str">
        <f aca="false">IF(F5055=0,"NOT FOUND",IF(C5055=I5055,"SELF-VOTE",IF(COUNTIF($K:$K,K5055)&gt;1,"DUPLICATE","OK")))</f>
        <v>OK</v>
      </c>
      <c r="K5055" s="6" t="str">
        <f aca="false">A5055&amp;"|"&amp;B5055&amp;"|"&amp;C5055&amp;"|"&amp;D5055</f>
        <v>7|6|Merita|spotify:track:0F7FA14euOIX8KcbEturGH</v>
      </c>
    </row>
    <row r="5056" customFormat="false" ht="15" hidden="false" customHeight="false" outlineLevel="0" collapsed="false">
      <c r="A5056" s="5" t="n">
        <v>7</v>
      </c>
      <c r="B5056" s="5" t="n">
        <v>6</v>
      </c>
      <c r="C5056" s="5" t="s">
        <v>101</v>
      </c>
      <c r="D5056" s="5" t="s">
        <v>2232</v>
      </c>
      <c r="E5056" s="5" t="n">
        <v>1</v>
      </c>
      <c r="F5056" s="6" t="n">
        <f aca="false">IFERROR(MATCH(A5056&amp;"|"&amp;B5056&amp;"|"&amp;D5056,'All Song Rankings'!$T:$T,0),0)</f>
        <v>752</v>
      </c>
      <c r="G5056" s="6" t="str">
        <f aca="false">IF(F5056=0,"NOT FOUND",INDEX('All Song Rankings'!$A:$A,F5056))</f>
        <v>Hollaback Girl</v>
      </c>
      <c r="H5056" s="6" t="str">
        <f aca="false">IF(F5056=0,"NOT FOUND",INDEX('All Song Rankings'!$B:$B,F5056))</f>
        <v>Gwen Stefani</v>
      </c>
      <c r="I5056" s="6" t="str">
        <f aca="false">IF(F5056=0,"NOT FOUND",INDEX('All Song Rankings'!$D:$D,F5056))</f>
        <v>Kelsey</v>
      </c>
      <c r="J5056" s="7" t="str">
        <f aca="false">IF(F5056=0,"NOT FOUND",IF(C5056=I5056,"SELF-VOTE",IF(COUNTIF($K:$K,K5056)&gt;1,"DUPLICATE","OK")))</f>
        <v>OK</v>
      </c>
      <c r="K5056" s="6" t="str">
        <f aca="false">A5056&amp;"|"&amp;B5056&amp;"|"&amp;C5056&amp;"|"&amp;D5056</f>
        <v>7|6|Merita|spotify:track:0LzrhCZFXW94Y8nwtTuRlw</v>
      </c>
    </row>
    <row r="5057" customFormat="false" ht="15" hidden="false" customHeight="false" outlineLevel="0" collapsed="false">
      <c r="A5057" s="5" t="n">
        <v>7</v>
      </c>
      <c r="B5057" s="5" t="n">
        <v>6</v>
      </c>
      <c r="C5057" s="5" t="s">
        <v>101</v>
      </c>
      <c r="D5057" s="5" t="s">
        <v>2221</v>
      </c>
      <c r="E5057" s="5" t="n">
        <v>2</v>
      </c>
      <c r="F5057" s="6" t="n">
        <f aca="false">IFERROR(MATCH(A5057&amp;"|"&amp;B5057&amp;"|"&amp;D5057,'All Song Rankings'!$T:$T,0),0)</f>
        <v>748</v>
      </c>
      <c r="G5057" s="6" t="str">
        <f aca="false">IF(F5057=0,"NOT FOUND",INDEX('All Song Rankings'!$A:$A,F5057))</f>
        <v>First Class</v>
      </c>
      <c r="H5057" s="6" t="str">
        <f aca="false">IF(F5057=0,"NOT FOUND",INDEX('All Song Rankings'!$B:$B,F5057))</f>
        <v>Jack Harlow</v>
      </c>
      <c r="I5057" s="6" t="str">
        <f aca="false">IF(F5057=0,"NOT FOUND",INDEX('All Song Rankings'!$D:$D,F5057))</f>
        <v>Leah</v>
      </c>
      <c r="J5057" s="7" t="str">
        <f aca="false">IF(F5057=0,"NOT FOUND",IF(C5057=I5057,"SELF-VOTE",IF(COUNTIF($K:$K,K5057)&gt;1,"DUPLICATE","OK")))</f>
        <v>OK</v>
      </c>
      <c r="K5057" s="6" t="str">
        <f aca="false">A5057&amp;"|"&amp;B5057&amp;"|"&amp;C5057&amp;"|"&amp;D5057</f>
        <v>7|6|Merita|spotify:track:0wHFktze2PHC5jDt3B17DC</v>
      </c>
    </row>
    <row r="5058" customFormat="false" ht="15" hidden="false" customHeight="false" outlineLevel="0" collapsed="false">
      <c r="A5058" s="5" t="n">
        <v>7</v>
      </c>
      <c r="B5058" s="5" t="n">
        <v>6</v>
      </c>
      <c r="C5058" s="5" t="s">
        <v>101</v>
      </c>
      <c r="D5058" s="5" t="s">
        <v>2227</v>
      </c>
      <c r="E5058" s="5" t="n">
        <v>1</v>
      </c>
      <c r="F5058" s="6" t="n">
        <f aca="false">IFERROR(MATCH(A5058&amp;"|"&amp;B5058&amp;"|"&amp;D5058,'All Song Rankings'!$T:$T,0),0)</f>
        <v>750</v>
      </c>
      <c r="G5058" s="6" t="str">
        <f aca="false">IF(F5058=0,"NOT FOUND",INDEX('All Song Rankings'!$A:$A,F5058))</f>
        <v>Paper Planes</v>
      </c>
      <c r="H5058" s="6" t="str">
        <f aca="false">IF(F5058=0,"NOT FOUND",INDEX('All Song Rankings'!$B:$B,F5058))</f>
        <v>M.I.A.</v>
      </c>
      <c r="I5058" s="6" t="str">
        <f aca="false">IF(F5058=0,"NOT FOUND",INDEX('All Song Rankings'!$D:$D,F5058))</f>
        <v>Colleen</v>
      </c>
      <c r="J5058" s="7" t="str">
        <f aca="false">IF(F5058=0,"NOT FOUND",IF(C5058=I5058,"SELF-VOTE",IF(COUNTIF($K:$K,K5058)&gt;1,"DUPLICATE","OK")))</f>
        <v>OK</v>
      </c>
      <c r="K5058" s="6" t="str">
        <f aca="false">A5058&amp;"|"&amp;B5058&amp;"|"&amp;C5058&amp;"|"&amp;D5058</f>
        <v>7|6|Merita|spotify:track:1ixbwbeBi5ufN4noUKmW5a</v>
      </c>
    </row>
    <row r="5059" customFormat="false" ht="15" hidden="false" customHeight="false" outlineLevel="0" collapsed="false">
      <c r="A5059" s="5" t="n">
        <v>7</v>
      </c>
      <c r="B5059" s="5" t="n">
        <v>6</v>
      </c>
      <c r="C5059" s="5" t="s">
        <v>101</v>
      </c>
      <c r="D5059" s="5" t="s">
        <v>2230</v>
      </c>
      <c r="E5059" s="5" t="n">
        <v>1</v>
      </c>
      <c r="F5059" s="6" t="n">
        <f aca="false">IFERROR(MATCH(A5059&amp;"|"&amp;B5059&amp;"|"&amp;D5059,'All Song Rankings'!$T:$T,0),0)</f>
        <v>751</v>
      </c>
      <c r="G5059" s="6" t="str">
        <f aca="false">IF(F5059=0,"NOT FOUND",INDEX('All Song Rankings'!$A:$A,F5059))</f>
        <v>A Bar Song (Tipsy)</v>
      </c>
      <c r="H5059" s="6" t="str">
        <f aca="false">IF(F5059=0,"NOT FOUND",INDEX('All Song Rankings'!$B:$B,F5059))</f>
        <v>Shaboozey</v>
      </c>
      <c r="I5059" s="6" t="str">
        <f aca="false">IF(F5059=0,"NOT FOUND",INDEX('All Song Rankings'!$D:$D,F5059))</f>
        <v>Christine</v>
      </c>
      <c r="J5059" s="7" t="str">
        <f aca="false">IF(F5059=0,"NOT FOUND",IF(C5059=I5059,"SELF-VOTE",IF(COUNTIF($K:$K,K5059)&gt;1,"DUPLICATE","OK")))</f>
        <v>OK</v>
      </c>
      <c r="K5059" s="6" t="str">
        <f aca="false">A5059&amp;"|"&amp;B5059&amp;"|"&amp;C5059&amp;"|"&amp;D5059</f>
        <v>7|6|Merita|spotify:track:2FQrifJ1N335Ljm3TjTVVf</v>
      </c>
    </row>
    <row r="5060" customFormat="false" ht="15" hidden="false" customHeight="false" outlineLevel="0" collapsed="false">
      <c r="A5060" s="5" t="n">
        <v>7</v>
      </c>
      <c r="B5060" s="5" t="n">
        <v>6</v>
      </c>
      <c r="C5060" s="5" t="s">
        <v>101</v>
      </c>
      <c r="D5060" s="5" t="s">
        <v>2216</v>
      </c>
      <c r="E5060" s="5" t="n">
        <v>1</v>
      </c>
      <c r="F5060" s="6" t="n">
        <f aca="false">IFERROR(MATCH(A5060&amp;"|"&amp;B5060&amp;"|"&amp;D5060,'All Song Rankings'!$T:$T,0),0)</f>
        <v>746</v>
      </c>
      <c r="G5060" s="6" t="str">
        <f aca="false">IF(F5060=0,"NOT FOUND",INDEX('All Song Rankings'!$A:$A,F5060))</f>
        <v>Cupid's Chokehold / Breakfast in America</v>
      </c>
      <c r="H5060" s="6" t="str">
        <f aca="false">IF(F5060=0,"NOT FOUND",INDEX('All Song Rankings'!$B:$B,F5060))</f>
        <v>Gym Class Heroes</v>
      </c>
      <c r="I5060" s="6" t="str">
        <f aca="false">IF(F5060=0,"NOT FOUND",INDEX('All Song Rankings'!$D:$D,F5060))</f>
        <v>Josh</v>
      </c>
      <c r="J5060" s="7" t="str">
        <f aca="false">IF(F5060=0,"NOT FOUND",IF(C5060=I5060,"SELF-VOTE",IF(COUNTIF($K:$K,K5060)&gt;1,"DUPLICATE","OK")))</f>
        <v>OK</v>
      </c>
      <c r="K5060" s="6" t="str">
        <f aca="false">A5060&amp;"|"&amp;B5060&amp;"|"&amp;C5060&amp;"|"&amp;D5060</f>
        <v>7|6|Merita|spotify:track:2Lhdl74nwwVGOE2Gv35QuK</v>
      </c>
    </row>
    <row r="5061" customFormat="false" ht="15" hidden="false" customHeight="false" outlineLevel="0" collapsed="false">
      <c r="A5061" s="5" t="n">
        <v>7</v>
      </c>
      <c r="B5061" s="5" t="n">
        <v>6</v>
      </c>
      <c r="C5061" s="5" t="s">
        <v>101</v>
      </c>
      <c r="D5061" s="5" t="s">
        <v>2248</v>
      </c>
      <c r="E5061" s="5" t="n">
        <v>2</v>
      </c>
      <c r="F5061" s="6" t="n">
        <f aca="false">IFERROR(MATCH(A5061&amp;"|"&amp;B5061&amp;"|"&amp;D5061,'All Song Rankings'!$T:$T,0),0)</f>
        <v>758</v>
      </c>
      <c r="G5061" s="6" t="str">
        <f aca="false">IF(F5061=0,"NOT FOUND",INDEX('All Song Rankings'!$A:$A,F5061))</f>
        <v>Muy Tranquilo</v>
      </c>
      <c r="H5061" s="6" t="str">
        <f aca="false">IF(F5061=0,"NOT FOUND",INDEX('All Song Rankings'!$B:$B,F5061))</f>
        <v>Gramatik</v>
      </c>
      <c r="I5061" s="6" t="str">
        <f aca="false">IF(F5061=0,"NOT FOUND",INDEX('All Song Rankings'!$D:$D,F5061))</f>
        <v>Matt</v>
      </c>
      <c r="J5061" s="7" t="str">
        <f aca="false">IF(F5061=0,"NOT FOUND",IF(C5061=I5061,"SELF-VOTE",IF(COUNTIF($K:$K,K5061)&gt;1,"DUPLICATE","OK")))</f>
        <v>OK</v>
      </c>
      <c r="K5061" s="6" t="str">
        <f aca="false">A5061&amp;"|"&amp;B5061&amp;"|"&amp;C5061&amp;"|"&amp;D5061</f>
        <v>7|6|Merita|spotify:track:3aCkU7zRK9YtA9KyoTIqnb</v>
      </c>
    </row>
    <row r="5062" customFormat="false" ht="15" hidden="false" customHeight="false" outlineLevel="0" collapsed="false">
      <c r="A5062" s="5" t="n">
        <v>7</v>
      </c>
      <c r="B5062" s="5" t="n">
        <v>6</v>
      </c>
      <c r="C5062" s="5" t="s">
        <v>97</v>
      </c>
      <c r="D5062" s="5" t="s">
        <v>2235</v>
      </c>
      <c r="E5062" s="5" t="n">
        <v>1</v>
      </c>
      <c r="F5062" s="6" t="n">
        <f aca="false">IFERROR(MATCH(A5062&amp;"|"&amp;B5062&amp;"|"&amp;D5062,'All Song Rankings'!$T:$T,0),0)</f>
        <v>753</v>
      </c>
      <c r="G5062" s="6" t="str">
        <f aca="false">IF(F5062=0,"NOT FOUND",INDEX('All Song Rankings'!$A:$A,F5062))</f>
        <v>Old Town Road</v>
      </c>
      <c r="H5062" s="6" t="str">
        <f aca="false">IF(F5062=0,"NOT FOUND",INDEX('All Song Rankings'!$B:$B,F5062))</f>
        <v>Lil Nas X</v>
      </c>
      <c r="I5062" s="6" t="str">
        <f aca="false">IF(F5062=0,"NOT FOUND",INDEX('All Song Rankings'!$D:$D,F5062))</f>
        <v>Kristen</v>
      </c>
      <c r="J5062" s="7" t="str">
        <f aca="false">IF(F5062=0,"NOT FOUND",IF(C5062=I5062,"SELF-VOTE",IF(COUNTIF($K:$K,K5062)&gt;1,"DUPLICATE","OK")))</f>
        <v>OK</v>
      </c>
      <c r="K5062" s="6" t="str">
        <f aca="false">A5062&amp;"|"&amp;B5062&amp;"|"&amp;C5062&amp;"|"&amp;D5062</f>
        <v>7|6|Stephanie|spotify:track:0F7FA14euOIX8KcbEturGH</v>
      </c>
    </row>
    <row r="5063" customFormat="false" ht="15" hidden="false" customHeight="false" outlineLevel="0" collapsed="false">
      <c r="A5063" s="5" t="n">
        <v>7</v>
      </c>
      <c r="B5063" s="5" t="n">
        <v>6</v>
      </c>
      <c r="C5063" s="5" t="s">
        <v>97</v>
      </c>
      <c r="D5063" s="5" t="s">
        <v>2221</v>
      </c>
      <c r="E5063" s="5" t="n">
        <v>2</v>
      </c>
      <c r="F5063" s="6" t="n">
        <f aca="false">IFERROR(MATCH(A5063&amp;"|"&amp;B5063&amp;"|"&amp;D5063,'All Song Rankings'!$T:$T,0),0)</f>
        <v>748</v>
      </c>
      <c r="G5063" s="6" t="str">
        <f aca="false">IF(F5063=0,"NOT FOUND",INDEX('All Song Rankings'!$A:$A,F5063))</f>
        <v>First Class</v>
      </c>
      <c r="H5063" s="6" t="str">
        <f aca="false">IF(F5063=0,"NOT FOUND",INDEX('All Song Rankings'!$B:$B,F5063))</f>
        <v>Jack Harlow</v>
      </c>
      <c r="I5063" s="6" t="str">
        <f aca="false">IF(F5063=0,"NOT FOUND",INDEX('All Song Rankings'!$D:$D,F5063))</f>
        <v>Leah</v>
      </c>
      <c r="J5063" s="7" t="str">
        <f aca="false">IF(F5063=0,"NOT FOUND",IF(C5063=I5063,"SELF-VOTE",IF(COUNTIF($K:$K,K5063)&gt;1,"DUPLICATE","OK")))</f>
        <v>OK</v>
      </c>
      <c r="K5063" s="6" t="str">
        <f aca="false">A5063&amp;"|"&amp;B5063&amp;"|"&amp;C5063&amp;"|"&amp;D5063</f>
        <v>7|6|Stephanie|spotify:track:0wHFktze2PHC5jDt3B17DC</v>
      </c>
    </row>
    <row r="5064" customFormat="false" ht="15" hidden="false" customHeight="false" outlineLevel="0" collapsed="false">
      <c r="A5064" s="5" t="n">
        <v>7</v>
      </c>
      <c r="B5064" s="5" t="n">
        <v>6</v>
      </c>
      <c r="C5064" s="5" t="s">
        <v>97</v>
      </c>
      <c r="D5064" s="5" t="s">
        <v>2227</v>
      </c>
      <c r="E5064" s="5" t="n">
        <v>1</v>
      </c>
      <c r="F5064" s="6" t="n">
        <f aca="false">IFERROR(MATCH(A5064&amp;"|"&amp;B5064&amp;"|"&amp;D5064,'All Song Rankings'!$T:$T,0),0)</f>
        <v>750</v>
      </c>
      <c r="G5064" s="6" t="str">
        <f aca="false">IF(F5064=0,"NOT FOUND",INDEX('All Song Rankings'!$A:$A,F5064))</f>
        <v>Paper Planes</v>
      </c>
      <c r="H5064" s="6" t="str">
        <f aca="false">IF(F5064=0,"NOT FOUND",INDEX('All Song Rankings'!$B:$B,F5064))</f>
        <v>M.I.A.</v>
      </c>
      <c r="I5064" s="6" t="str">
        <f aca="false">IF(F5064=0,"NOT FOUND",INDEX('All Song Rankings'!$D:$D,F5064))</f>
        <v>Colleen</v>
      </c>
      <c r="J5064" s="7" t="str">
        <f aca="false">IF(F5064=0,"NOT FOUND",IF(C5064=I5064,"SELF-VOTE",IF(COUNTIF($K:$K,K5064)&gt;1,"DUPLICATE","OK")))</f>
        <v>OK</v>
      </c>
      <c r="K5064" s="6" t="str">
        <f aca="false">A5064&amp;"|"&amp;B5064&amp;"|"&amp;C5064&amp;"|"&amp;D5064</f>
        <v>7|6|Stephanie|spotify:track:1ixbwbeBi5ufN4noUKmW5a</v>
      </c>
    </row>
    <row r="5065" customFormat="false" ht="15" hidden="false" customHeight="false" outlineLevel="0" collapsed="false">
      <c r="A5065" s="5" t="n">
        <v>7</v>
      </c>
      <c r="B5065" s="5" t="n">
        <v>6</v>
      </c>
      <c r="C5065" s="5" t="s">
        <v>97</v>
      </c>
      <c r="D5065" s="5" t="s">
        <v>2230</v>
      </c>
      <c r="E5065" s="5" t="n">
        <v>1</v>
      </c>
      <c r="F5065" s="6" t="n">
        <f aca="false">IFERROR(MATCH(A5065&amp;"|"&amp;B5065&amp;"|"&amp;D5065,'All Song Rankings'!$T:$T,0),0)</f>
        <v>751</v>
      </c>
      <c r="G5065" s="6" t="str">
        <f aca="false">IF(F5065=0,"NOT FOUND",INDEX('All Song Rankings'!$A:$A,F5065))</f>
        <v>A Bar Song (Tipsy)</v>
      </c>
      <c r="H5065" s="6" t="str">
        <f aca="false">IF(F5065=0,"NOT FOUND",INDEX('All Song Rankings'!$B:$B,F5065))</f>
        <v>Shaboozey</v>
      </c>
      <c r="I5065" s="6" t="str">
        <f aca="false">IF(F5065=0,"NOT FOUND",INDEX('All Song Rankings'!$D:$D,F5065))</f>
        <v>Christine</v>
      </c>
      <c r="J5065" s="7" t="str">
        <f aca="false">IF(F5065=0,"NOT FOUND",IF(C5065=I5065,"SELF-VOTE",IF(COUNTIF($K:$K,K5065)&gt;1,"DUPLICATE","OK")))</f>
        <v>OK</v>
      </c>
      <c r="K5065" s="6" t="str">
        <f aca="false">A5065&amp;"|"&amp;B5065&amp;"|"&amp;C5065&amp;"|"&amp;D5065</f>
        <v>7|6|Stephanie|spotify:track:2FQrifJ1N335Ljm3TjTVVf</v>
      </c>
    </row>
    <row r="5066" customFormat="false" ht="15" hidden="false" customHeight="false" outlineLevel="0" collapsed="false">
      <c r="A5066" s="5" t="n">
        <v>7</v>
      </c>
      <c r="B5066" s="5" t="n">
        <v>6</v>
      </c>
      <c r="C5066" s="5" t="s">
        <v>97</v>
      </c>
      <c r="D5066" s="5" t="s">
        <v>2216</v>
      </c>
      <c r="E5066" s="5" t="n">
        <v>1</v>
      </c>
      <c r="F5066" s="6" t="n">
        <f aca="false">IFERROR(MATCH(A5066&amp;"|"&amp;B5066&amp;"|"&amp;D5066,'All Song Rankings'!$T:$T,0),0)</f>
        <v>746</v>
      </c>
      <c r="G5066" s="6" t="str">
        <f aca="false">IF(F5066=0,"NOT FOUND",INDEX('All Song Rankings'!$A:$A,F5066))</f>
        <v>Cupid's Chokehold / Breakfast in America</v>
      </c>
      <c r="H5066" s="6" t="str">
        <f aca="false">IF(F5066=0,"NOT FOUND",INDEX('All Song Rankings'!$B:$B,F5066))</f>
        <v>Gym Class Heroes</v>
      </c>
      <c r="I5066" s="6" t="str">
        <f aca="false">IF(F5066=0,"NOT FOUND",INDEX('All Song Rankings'!$D:$D,F5066))</f>
        <v>Josh</v>
      </c>
      <c r="J5066" s="7" t="str">
        <f aca="false">IF(F5066=0,"NOT FOUND",IF(C5066=I5066,"SELF-VOTE",IF(COUNTIF($K:$K,K5066)&gt;1,"DUPLICATE","OK")))</f>
        <v>OK</v>
      </c>
      <c r="K5066" s="6" t="str">
        <f aca="false">A5066&amp;"|"&amp;B5066&amp;"|"&amp;C5066&amp;"|"&amp;D5066</f>
        <v>7|6|Stephanie|spotify:track:2Lhdl74nwwVGOE2Gv35QuK</v>
      </c>
    </row>
    <row r="5067" customFormat="false" ht="15" hidden="false" customHeight="false" outlineLevel="0" collapsed="false">
      <c r="A5067" s="5" t="n">
        <v>7</v>
      </c>
      <c r="B5067" s="5" t="n">
        <v>6</v>
      </c>
      <c r="C5067" s="5" t="s">
        <v>97</v>
      </c>
      <c r="D5067" s="5" t="s">
        <v>2218</v>
      </c>
      <c r="E5067" s="5" t="n">
        <v>2</v>
      </c>
      <c r="F5067" s="6" t="n">
        <f aca="false">IFERROR(MATCH(A5067&amp;"|"&amp;B5067&amp;"|"&amp;D5067,'All Song Rankings'!$T:$T,0),0)</f>
        <v>747</v>
      </c>
      <c r="G5067" s="6" t="str">
        <f aca="false">IF(F5067=0,"NOT FOUND",INDEX('All Song Rankings'!$A:$A,F5067))</f>
        <v>SOS</v>
      </c>
      <c r="H5067" s="6" t="str">
        <f aca="false">IF(F5067=0,"NOT FOUND",INDEX('All Song Rankings'!$B:$B,F5067))</f>
        <v>Rihanna</v>
      </c>
      <c r="I5067" s="6" t="str">
        <f aca="false">IF(F5067=0,"NOT FOUND",INDEX('All Song Rankings'!$D:$D,F5067))</f>
        <v>Logan</v>
      </c>
      <c r="J5067" s="7" t="str">
        <f aca="false">IF(F5067=0,"NOT FOUND",IF(C5067=I5067,"SELF-VOTE",IF(COUNTIF($K:$K,K5067)&gt;1,"DUPLICATE","OK")))</f>
        <v>OK</v>
      </c>
      <c r="K5067" s="6" t="str">
        <f aca="false">A5067&amp;"|"&amp;B5067&amp;"|"&amp;C5067&amp;"|"&amp;D5067</f>
        <v>7|6|Stephanie|spotify:track:30cSNer6TV8x2utjULVeQ5</v>
      </c>
    </row>
    <row r="5068" customFormat="false" ht="15" hidden="false" customHeight="false" outlineLevel="0" collapsed="false">
      <c r="A5068" s="5" t="n">
        <v>7</v>
      </c>
      <c r="B5068" s="5" t="n">
        <v>6</v>
      </c>
      <c r="C5068" s="5" t="s">
        <v>97</v>
      </c>
      <c r="D5068" s="5" t="s">
        <v>2224</v>
      </c>
      <c r="E5068" s="5" t="n">
        <v>1</v>
      </c>
      <c r="F5068" s="6" t="n">
        <f aca="false">IFERROR(MATCH(A5068&amp;"|"&amp;B5068&amp;"|"&amp;D5068,'All Song Rankings'!$T:$T,0),0)</f>
        <v>749</v>
      </c>
      <c r="G5068" s="6" t="str">
        <f aca="false">IF(F5068=0,"NOT FOUND",INDEX('All Song Rankings'!$A:$A,F5068))</f>
        <v>Fallin' (Adrenaline)</v>
      </c>
      <c r="H5068" s="6" t="str">
        <f aca="false">IF(F5068=0,"NOT FOUND",INDEX('All Song Rankings'!$B:$B,F5068))</f>
        <v>Why Don't We</v>
      </c>
      <c r="I5068" s="6" t="str">
        <f aca="false">IF(F5068=0,"NOT FOUND",INDEX('All Song Rankings'!$D:$D,F5068))</f>
        <v>Merita</v>
      </c>
      <c r="J5068" s="7" t="str">
        <f aca="false">IF(F5068=0,"NOT FOUND",IF(C5068=I5068,"SELF-VOTE",IF(COUNTIF($K:$K,K5068)&gt;1,"DUPLICATE","OK")))</f>
        <v>OK</v>
      </c>
      <c r="K5068" s="6" t="str">
        <f aca="false">A5068&amp;"|"&amp;B5068&amp;"|"&amp;C5068&amp;"|"&amp;D5068</f>
        <v>7|6|Stephanie|spotify:track:5GhJIMWAw0uMLgkdbt6uMz</v>
      </c>
    </row>
    <row r="5069" customFormat="false" ht="15" hidden="false" customHeight="false" outlineLevel="0" collapsed="false">
      <c r="A5069" s="5" t="n">
        <v>7</v>
      </c>
      <c r="B5069" s="5" t="n">
        <v>6</v>
      </c>
      <c r="C5069" s="5" t="s">
        <v>97</v>
      </c>
      <c r="D5069" s="5" t="s">
        <v>2237</v>
      </c>
      <c r="E5069" s="5" t="n">
        <v>1</v>
      </c>
      <c r="F5069" s="6" t="n">
        <f aca="false">IFERROR(MATCH(A5069&amp;"|"&amp;B5069&amp;"|"&amp;D5069,'All Song Rankings'!$T:$T,0),0)</f>
        <v>754</v>
      </c>
      <c r="G5069" s="6" t="str">
        <f aca="false">IF(F5069=0,"NOT FOUND",INDEX('All Song Rankings'!$A:$A,F5069))</f>
        <v>Whatcha Say</v>
      </c>
      <c r="H5069" s="6" t="str">
        <f aca="false">IF(F5069=0,"NOT FOUND",INDEX('All Song Rankings'!$B:$B,F5069))</f>
        <v>Jason Derulo</v>
      </c>
      <c r="I5069" s="6" t="str">
        <f aca="false">IF(F5069=0,"NOT FOUND",INDEX('All Song Rankings'!$D:$D,F5069))</f>
        <v>Lucia</v>
      </c>
      <c r="J5069" s="7" t="str">
        <f aca="false">IF(F5069=0,"NOT FOUND",IF(C5069=I5069,"SELF-VOTE",IF(COUNTIF($K:$K,K5069)&gt;1,"DUPLICATE","OK")))</f>
        <v>OK</v>
      </c>
      <c r="K5069" s="6" t="str">
        <f aca="false">A5069&amp;"|"&amp;B5069&amp;"|"&amp;C5069&amp;"|"&amp;D5069</f>
        <v>7|6|Stephanie|spotify:track:67T6l4q3zVjC5nZZPXByU8</v>
      </c>
    </row>
    <row r="5070" customFormat="false" ht="15" hidden="false" customHeight="false" outlineLevel="0" collapsed="false">
      <c r="A5070" s="5" t="n">
        <v>7</v>
      </c>
      <c r="B5070" s="5" t="n">
        <v>7</v>
      </c>
      <c r="C5070" s="5" t="s">
        <v>719</v>
      </c>
      <c r="D5070" s="5" t="s">
        <v>2268</v>
      </c>
      <c r="E5070" s="5" t="n">
        <v>1</v>
      </c>
      <c r="F5070" s="6" t="n">
        <f aca="false">IFERROR(MATCH(A5070&amp;"|"&amp;B5070&amp;"|"&amp;D5070,'All Song Rankings'!$T:$T,0),0)</f>
        <v>765</v>
      </c>
      <c r="G5070" s="6" t="str">
        <f aca="false">IF(F5070=0,"NOT FOUND",INDEX('All Song Rankings'!$A:$A,F5070))</f>
        <v>Working Class Heroes (Work)</v>
      </c>
      <c r="H5070" s="6" t="str">
        <f aca="false">IF(F5070=0,"NOT FOUND",INDEX('All Song Rankings'!$B:$B,F5070))</f>
        <v>CeeLo Green</v>
      </c>
      <c r="I5070" s="6" t="str">
        <f aca="false">IF(F5070=0,"NOT FOUND",INDEX('All Song Rankings'!$D:$D,F5070))</f>
        <v>Lucia</v>
      </c>
      <c r="J5070" s="7" t="str">
        <f aca="false">IF(F5070=0,"NOT FOUND",IF(C5070=I5070,"SELF-VOTE",IF(COUNTIF($K:$K,K5070)&gt;1,"DUPLICATE","OK")))</f>
        <v>OK</v>
      </c>
      <c r="K5070" s="6" t="str">
        <f aca="false">A5070&amp;"|"&amp;B5070&amp;"|"&amp;C5070&amp;"|"&amp;D5070</f>
        <v>7|7|Christine|spotify:track:0jqC18IqSdsGpGlQ8Dsx9M</v>
      </c>
    </row>
    <row r="5071" customFormat="false" ht="15" hidden="false" customHeight="false" outlineLevel="0" collapsed="false">
      <c r="A5071" s="5" t="n">
        <v>7</v>
      </c>
      <c r="B5071" s="5" t="n">
        <v>7</v>
      </c>
      <c r="C5071" s="5" t="s">
        <v>719</v>
      </c>
      <c r="D5071" s="5" t="s">
        <v>2252</v>
      </c>
      <c r="E5071" s="5" t="n">
        <v>1</v>
      </c>
      <c r="F5071" s="6" t="n">
        <f aca="false">IFERROR(MATCH(A5071&amp;"|"&amp;B5071&amp;"|"&amp;D5071,'All Song Rankings'!$T:$T,0),0)</f>
        <v>759</v>
      </c>
      <c r="G5071" s="6" t="str">
        <f aca="false">IF(F5071=0,"NOT FOUND",INDEX('All Song Rankings'!$A:$A,F5071))</f>
        <v>Saturn</v>
      </c>
      <c r="H5071" s="6" t="str">
        <f aca="false">IF(F5071=0,"NOT FOUND",INDEX('All Song Rankings'!$B:$B,F5071))</f>
        <v>SZA</v>
      </c>
      <c r="I5071" s="6" t="str">
        <f aca="false">IF(F5071=0,"NOT FOUND",INDEX('All Song Rankings'!$D:$D,F5071))</f>
        <v>Leah</v>
      </c>
      <c r="J5071" s="7" t="str">
        <f aca="false">IF(F5071=0,"NOT FOUND",IF(C5071=I5071,"SELF-VOTE",IF(COUNTIF($K:$K,K5071)&gt;1,"DUPLICATE","OK")))</f>
        <v>OK</v>
      </c>
      <c r="K5071" s="6" t="str">
        <f aca="false">A5071&amp;"|"&amp;B5071&amp;"|"&amp;C5071&amp;"|"&amp;D5071</f>
        <v>7|7|Christine|spotify:track:1bjeWoagtHmUKputLVyDxQ</v>
      </c>
    </row>
    <row r="5072" customFormat="false" ht="15" hidden="false" customHeight="false" outlineLevel="0" collapsed="false">
      <c r="A5072" s="5" t="n">
        <v>7</v>
      </c>
      <c r="B5072" s="5" t="n">
        <v>7</v>
      </c>
      <c r="C5072" s="5" t="s">
        <v>719</v>
      </c>
      <c r="D5072" s="5" t="s">
        <v>2260</v>
      </c>
      <c r="E5072" s="5" t="n">
        <v>1</v>
      </c>
      <c r="F5072" s="6" t="n">
        <f aca="false">IFERROR(MATCH(A5072&amp;"|"&amp;B5072&amp;"|"&amp;D5072,'All Song Rankings'!$T:$T,0),0)</f>
        <v>762</v>
      </c>
      <c r="G5072" s="6" t="str">
        <f aca="false">IF(F5072=0,"NOT FOUND",INDEX('All Song Rankings'!$A:$A,F5072))</f>
        <v>Stargazing</v>
      </c>
      <c r="H5072" s="6" t="str">
        <f aca="false">IF(F5072=0,"NOT FOUND",INDEX('All Song Rankings'!$B:$B,F5072))</f>
        <v>Myles Smith</v>
      </c>
      <c r="I5072" s="6" t="str">
        <f aca="false">IF(F5072=0,"NOT FOUND",INDEX('All Song Rankings'!$D:$D,F5072))</f>
        <v>Colleen</v>
      </c>
      <c r="J5072" s="7" t="str">
        <f aca="false">IF(F5072=0,"NOT FOUND",IF(C5072=I5072,"SELF-VOTE",IF(COUNTIF($K:$K,K5072)&gt;1,"DUPLICATE","OK")))</f>
        <v>OK</v>
      </c>
      <c r="K5072" s="6" t="str">
        <f aca="false">A5072&amp;"|"&amp;B5072&amp;"|"&amp;C5072&amp;"|"&amp;D5072</f>
        <v>7|7|Christine|spotify:track:3Vr3zh0r7ALn8VLqCiRR10</v>
      </c>
    </row>
    <row r="5073" customFormat="false" ht="15" hidden="false" customHeight="false" outlineLevel="0" collapsed="false">
      <c r="A5073" s="5" t="n">
        <v>7</v>
      </c>
      <c r="B5073" s="5" t="n">
        <v>7</v>
      </c>
      <c r="C5073" s="5" t="s">
        <v>719</v>
      </c>
      <c r="D5073" s="5" t="s">
        <v>2257</v>
      </c>
      <c r="E5073" s="5" t="n">
        <v>1</v>
      </c>
      <c r="F5073" s="6" t="n">
        <f aca="false">IFERROR(MATCH(A5073&amp;"|"&amp;B5073&amp;"|"&amp;D5073,'All Song Rankings'!$T:$T,0),0)</f>
        <v>761</v>
      </c>
      <c r="G5073" s="6" t="str">
        <f aca="false">IF(F5073=0,"NOT FOUND",INDEX('All Song Rankings'!$A:$A,F5073))</f>
        <v>Supermassive Black Hole</v>
      </c>
      <c r="H5073" s="6" t="str">
        <f aca="false">IF(F5073=0,"NOT FOUND",INDEX('All Song Rankings'!$B:$B,F5073))</f>
        <v>Muse</v>
      </c>
      <c r="I5073" s="6" t="str">
        <f aca="false">IF(F5073=0,"NOT FOUND",INDEX('All Song Rankings'!$D:$D,F5073))</f>
        <v>Stephanie</v>
      </c>
      <c r="J5073" s="7" t="str">
        <f aca="false">IF(F5073=0,"NOT FOUND",IF(C5073=I5073,"SELF-VOTE",IF(COUNTIF($K:$K,K5073)&gt;1,"DUPLICATE","OK")))</f>
        <v>OK</v>
      </c>
      <c r="K5073" s="6" t="str">
        <f aca="false">A5073&amp;"|"&amp;B5073&amp;"|"&amp;C5073&amp;"|"&amp;D5073</f>
        <v>7|7|Christine|spotify:track:3lPr8ghNDBLc2uZovNyLs9</v>
      </c>
    </row>
    <row r="5074" customFormat="false" ht="15" hidden="false" customHeight="false" outlineLevel="0" collapsed="false">
      <c r="A5074" s="5" t="n">
        <v>7</v>
      </c>
      <c r="B5074" s="5" t="n">
        <v>7</v>
      </c>
      <c r="C5074" s="5" t="s">
        <v>719</v>
      </c>
      <c r="D5074" s="5" t="s">
        <v>2286</v>
      </c>
      <c r="E5074" s="5" t="n">
        <v>1</v>
      </c>
      <c r="F5074" s="6" t="n">
        <f aca="false">IFERROR(MATCH(A5074&amp;"|"&amp;B5074&amp;"|"&amp;D5074,'All Song Rankings'!$T:$T,0),0)</f>
        <v>772</v>
      </c>
      <c r="G5074" s="6" t="str">
        <f aca="false">IF(F5074=0,"NOT FOUND",INDEX('All Song Rankings'!$A:$A,F5074))</f>
        <v>The Moon Song</v>
      </c>
      <c r="H5074" s="6" t="str">
        <f aca="false">IF(F5074=0,"NOT FOUND",INDEX('All Song Rankings'!$B:$B,F5074))</f>
        <v>beabadoobee</v>
      </c>
      <c r="I5074" s="6" t="str">
        <f aca="false">IF(F5074=0,"NOT FOUND",INDEX('All Song Rankings'!$D:$D,F5074))</f>
        <v>Scott</v>
      </c>
      <c r="J5074" s="7" t="str">
        <f aca="false">IF(F5074=0,"NOT FOUND",IF(C5074=I5074,"SELF-VOTE",IF(COUNTIF($K:$K,K5074)&gt;1,"DUPLICATE","OK")))</f>
        <v>OK</v>
      </c>
      <c r="K5074" s="6" t="str">
        <f aca="false">A5074&amp;"|"&amp;B5074&amp;"|"&amp;C5074&amp;"|"&amp;D5074</f>
        <v>7|7|Christine|spotify:track:3s9eWdn8IymCPvVLcKpjww</v>
      </c>
    </row>
    <row r="5075" customFormat="false" ht="15" hidden="false" customHeight="false" outlineLevel="0" collapsed="false">
      <c r="A5075" s="5" t="n">
        <v>7</v>
      </c>
      <c r="B5075" s="5" t="n">
        <v>7</v>
      </c>
      <c r="C5075" s="5" t="s">
        <v>719</v>
      </c>
      <c r="D5075" s="5" t="s">
        <v>2288</v>
      </c>
      <c r="E5075" s="5" t="n">
        <v>1</v>
      </c>
      <c r="F5075" s="6" t="n">
        <f aca="false">IFERROR(MATCH(A5075&amp;"|"&amp;B5075&amp;"|"&amp;D5075,'All Song Rankings'!$T:$T,0),0)</f>
        <v>773</v>
      </c>
      <c r="G5075" s="6" t="str">
        <f aca="false">IF(F5075=0,"NOT FOUND",INDEX('All Song Rankings'!$A:$A,F5075))</f>
        <v>Lost in Time and Space</v>
      </c>
      <c r="H5075" s="6" t="str">
        <f aca="false">IF(F5075=0,"NOT FOUND",INDEX('All Song Rankings'!$B:$B,F5075))</f>
        <v>Lord Huron</v>
      </c>
      <c r="I5075" s="6" t="str">
        <f aca="false">IF(F5075=0,"NOT FOUND",INDEX('All Song Rankings'!$D:$D,F5075))</f>
        <v>Merita</v>
      </c>
      <c r="J5075" s="7" t="str">
        <f aca="false">IF(F5075=0,"NOT FOUND",IF(C5075=I5075,"SELF-VOTE",IF(COUNTIF($K:$K,K5075)&gt;1,"DUPLICATE","OK")))</f>
        <v>OK</v>
      </c>
      <c r="K5075" s="6" t="str">
        <f aca="false">A5075&amp;"|"&amp;B5075&amp;"|"&amp;C5075&amp;"|"&amp;D5075</f>
        <v>7|7|Christine|spotify:track:6BqmgqzgKNxPszu1I6gOpn</v>
      </c>
    </row>
    <row r="5076" customFormat="false" ht="15" hidden="false" customHeight="false" outlineLevel="0" collapsed="false">
      <c r="A5076" s="5" t="n">
        <v>7</v>
      </c>
      <c r="B5076" s="5" t="n">
        <v>7</v>
      </c>
      <c r="C5076" s="5" t="s">
        <v>719</v>
      </c>
      <c r="D5076" s="5" t="s">
        <v>2277</v>
      </c>
      <c r="E5076" s="5" t="n">
        <v>1</v>
      </c>
      <c r="F5076" s="6" t="n">
        <f aca="false">IFERROR(MATCH(A5076&amp;"|"&amp;B5076&amp;"|"&amp;D5076,'All Song Rankings'!$T:$T,0),0)</f>
        <v>769</v>
      </c>
      <c r="G5076" s="6" t="str">
        <f aca="false">IF(F5076=0,"NOT FOUND",INDEX('All Song Rankings'!$A:$A,F5076))</f>
        <v>39</v>
      </c>
      <c r="H5076" s="6" t="str">
        <f aca="false">IF(F5076=0,"NOT FOUND",INDEX('All Song Rankings'!$B:$B,F5076))</f>
        <v>Queen</v>
      </c>
      <c r="I5076" s="6" t="str">
        <f aca="false">IF(F5076=0,"NOT FOUND",INDEX('All Song Rankings'!$D:$D,F5076))</f>
        <v>Lisa</v>
      </c>
      <c r="J5076" s="7" t="str">
        <f aca="false">IF(F5076=0,"NOT FOUND",IF(C5076=I5076,"SELF-VOTE",IF(COUNTIF($K:$K,K5076)&gt;1,"DUPLICATE","OK")))</f>
        <v>OK</v>
      </c>
      <c r="K5076" s="6" t="str">
        <f aca="false">A5076&amp;"|"&amp;B5076&amp;"|"&amp;C5076&amp;"|"&amp;D5076</f>
        <v>7|7|Christine|spotify:track:6e8HCstOUFx9sac4fnqPKx</v>
      </c>
    </row>
    <row r="5077" customFormat="false" ht="15" hidden="false" customHeight="false" outlineLevel="0" collapsed="false">
      <c r="A5077" s="5" t="n">
        <v>7</v>
      </c>
      <c r="B5077" s="5" t="n">
        <v>7</v>
      </c>
      <c r="C5077" s="5" t="s">
        <v>719</v>
      </c>
      <c r="D5077" s="5" t="s">
        <v>2263</v>
      </c>
      <c r="E5077" s="5" t="n">
        <v>2</v>
      </c>
      <c r="F5077" s="6" t="n">
        <f aca="false">IFERROR(MATCH(A5077&amp;"|"&amp;B5077&amp;"|"&amp;D5077,'All Song Rankings'!$T:$T,0),0)</f>
        <v>763</v>
      </c>
      <c r="G5077" s="6" t="str">
        <f aca="false">IF(F5077=0,"NOT FOUND",INDEX('All Song Rankings'!$A:$A,F5077))</f>
        <v>Major Tom (Coming Home)</v>
      </c>
      <c r="H5077" s="6" t="str">
        <f aca="false">IF(F5077=0,"NOT FOUND",INDEX('All Song Rankings'!$B:$B,F5077))</f>
        <v>Peter Schilling</v>
      </c>
      <c r="I5077" s="6" t="str">
        <f aca="false">IF(F5077=0,"NOT FOUND",INDEX('All Song Rankings'!$D:$D,F5077))</f>
        <v>Matt</v>
      </c>
      <c r="J5077" s="7" t="str">
        <f aca="false">IF(F5077=0,"NOT FOUND",IF(C5077=I5077,"SELF-VOTE",IF(COUNTIF($K:$K,K5077)&gt;1,"DUPLICATE","OK")))</f>
        <v>OK</v>
      </c>
      <c r="K5077" s="6" t="str">
        <f aca="false">A5077&amp;"|"&amp;B5077&amp;"|"&amp;C5077&amp;"|"&amp;D5077</f>
        <v>7|7|Christine|spotify:track:709ffFK4o4MtG1NKoLvOma</v>
      </c>
    </row>
    <row r="5078" customFormat="false" ht="15" hidden="false" customHeight="false" outlineLevel="0" collapsed="false">
      <c r="A5078" s="5" t="n">
        <v>7</v>
      </c>
      <c r="B5078" s="5" t="n">
        <v>7</v>
      </c>
      <c r="C5078" s="5" t="s">
        <v>719</v>
      </c>
      <c r="D5078" s="5" t="s">
        <v>2265</v>
      </c>
      <c r="E5078" s="5" t="n">
        <v>1</v>
      </c>
      <c r="F5078" s="6" t="n">
        <f aca="false">IFERROR(MATCH(A5078&amp;"|"&amp;B5078&amp;"|"&amp;D5078,'All Song Rankings'!$T:$T,0),0)</f>
        <v>764</v>
      </c>
      <c r="G5078" s="6" t="str">
        <f aca="false">IF(F5078=0,"NOT FOUND",INDEX('All Song Rankings'!$A:$A,F5078))</f>
        <v>Fly Me To The Moon - 2008 Remaster</v>
      </c>
      <c r="H5078" s="6" t="str">
        <f aca="false">IF(F5078=0,"NOT FOUND",INDEX('All Song Rankings'!$B:$B,F5078))</f>
        <v>Frank Sinatra</v>
      </c>
      <c r="I5078" s="6" t="str">
        <f aca="false">IF(F5078=0,"NOT FOUND",INDEX('All Song Rankings'!$D:$D,F5078))</f>
        <v>Grace</v>
      </c>
      <c r="J5078" s="7" t="str">
        <f aca="false">IF(F5078=0,"NOT FOUND",IF(C5078=I5078,"SELF-VOTE",IF(COUNTIF($K:$K,K5078)&gt;1,"DUPLICATE","OK")))</f>
        <v>OK</v>
      </c>
      <c r="K5078" s="6" t="str">
        <f aca="false">A5078&amp;"|"&amp;B5078&amp;"|"&amp;C5078&amp;"|"&amp;D5078</f>
        <v>7|7|Christine|spotify:track:7FXj7Qg3YorUxdrzvrcY25</v>
      </c>
    </row>
    <row r="5079" customFormat="false" ht="15" hidden="false" customHeight="false" outlineLevel="0" collapsed="false">
      <c r="A5079" s="5" t="n">
        <v>7</v>
      </c>
      <c r="B5079" s="5" t="n">
        <v>7</v>
      </c>
      <c r="C5079" s="5" t="s">
        <v>637</v>
      </c>
      <c r="D5079" s="5" t="s">
        <v>2255</v>
      </c>
      <c r="E5079" s="5" t="n">
        <v>1</v>
      </c>
      <c r="F5079" s="6" t="n">
        <f aca="false">IFERROR(MATCH(A5079&amp;"|"&amp;B5079&amp;"|"&amp;D5079,'All Song Rankings'!$T:$T,0),0)</f>
        <v>760</v>
      </c>
      <c r="G5079" s="6" t="str">
        <f aca="false">IF(F5079=0,"NOT FOUND",INDEX('All Song Rankings'!$A:$A,F5079))</f>
        <v>Starman - 2012 Remaster</v>
      </c>
      <c r="H5079" s="6" t="str">
        <f aca="false">IF(F5079=0,"NOT FOUND",INDEX('All Song Rankings'!$B:$B,F5079))</f>
        <v>David Bowie</v>
      </c>
      <c r="I5079" s="6" t="str">
        <f aca="false">IF(F5079=0,"NOT FOUND",INDEX('All Song Rankings'!$D:$D,F5079))</f>
        <v>Christine</v>
      </c>
      <c r="J5079" s="7" t="str">
        <f aca="false">IF(F5079=0,"NOT FOUND",IF(C5079=I5079,"SELF-VOTE",IF(COUNTIF($K:$K,K5079)&gt;1,"DUPLICATE","OK")))</f>
        <v>OK</v>
      </c>
      <c r="K5079" s="6" t="str">
        <f aca="false">A5079&amp;"|"&amp;B5079&amp;"|"&amp;C5079&amp;"|"&amp;D5079</f>
        <v>7|7|Colleen|spotify:track:0pQskrTITgmCMyr85tb9qq</v>
      </c>
    </row>
    <row r="5080" customFormat="false" ht="15" hidden="false" customHeight="false" outlineLevel="0" collapsed="false">
      <c r="A5080" s="5" t="n">
        <v>7</v>
      </c>
      <c r="B5080" s="5" t="n">
        <v>7</v>
      </c>
      <c r="C5080" s="5" t="s">
        <v>637</v>
      </c>
      <c r="D5080" s="5" t="s">
        <v>2252</v>
      </c>
      <c r="E5080" s="5" t="n">
        <v>1</v>
      </c>
      <c r="F5080" s="6" t="n">
        <f aca="false">IFERROR(MATCH(A5080&amp;"|"&amp;B5080&amp;"|"&amp;D5080,'All Song Rankings'!$T:$T,0),0)</f>
        <v>759</v>
      </c>
      <c r="G5080" s="6" t="str">
        <f aca="false">IF(F5080=0,"NOT FOUND",INDEX('All Song Rankings'!$A:$A,F5080))</f>
        <v>Saturn</v>
      </c>
      <c r="H5080" s="6" t="str">
        <f aca="false">IF(F5080=0,"NOT FOUND",INDEX('All Song Rankings'!$B:$B,F5080))</f>
        <v>SZA</v>
      </c>
      <c r="I5080" s="6" t="str">
        <f aca="false">IF(F5080=0,"NOT FOUND",INDEX('All Song Rankings'!$D:$D,F5080))</f>
        <v>Leah</v>
      </c>
      <c r="J5080" s="7" t="str">
        <f aca="false">IF(F5080=0,"NOT FOUND",IF(C5080=I5080,"SELF-VOTE",IF(COUNTIF($K:$K,K5080)&gt;1,"DUPLICATE","OK")))</f>
        <v>OK</v>
      </c>
      <c r="K5080" s="6" t="str">
        <f aca="false">A5080&amp;"|"&amp;B5080&amp;"|"&amp;C5080&amp;"|"&amp;D5080</f>
        <v>7|7|Colleen|spotify:track:1bjeWoagtHmUKputLVyDxQ</v>
      </c>
    </row>
    <row r="5081" customFormat="false" ht="15" hidden="false" customHeight="false" outlineLevel="0" collapsed="false">
      <c r="A5081" s="5" t="n">
        <v>7</v>
      </c>
      <c r="B5081" s="5" t="n">
        <v>7</v>
      </c>
      <c r="C5081" s="5" t="s">
        <v>637</v>
      </c>
      <c r="D5081" s="5" t="s">
        <v>2275</v>
      </c>
      <c r="E5081" s="5" t="n">
        <v>1</v>
      </c>
      <c r="F5081" s="6" t="n">
        <f aca="false">IFERROR(MATCH(A5081&amp;"|"&amp;B5081&amp;"|"&amp;D5081,'All Song Rankings'!$T:$T,0),0)</f>
        <v>768</v>
      </c>
      <c r="G5081" s="6" t="str">
        <f aca="false">IF(F5081=0,"NOT FOUND",INDEX('All Song Rankings'!$A:$A,F5081))</f>
        <v>Star Love</v>
      </c>
      <c r="H5081" s="6" t="str">
        <f aca="false">IF(F5081=0,"NOT FOUND",INDEX('All Song Rankings'!$B:$B,F5081))</f>
        <v>Cheryl Lynn</v>
      </c>
      <c r="I5081" s="6" t="str">
        <f aca="false">IF(F5081=0,"NOT FOUND",INDEX('All Song Rankings'!$D:$D,F5081))</f>
        <v>Sara</v>
      </c>
      <c r="J5081" s="7" t="str">
        <f aca="false">IF(F5081=0,"NOT FOUND",IF(C5081=I5081,"SELF-VOTE",IF(COUNTIF($K:$K,K5081)&gt;1,"DUPLICATE","OK")))</f>
        <v>OK</v>
      </c>
      <c r="K5081" s="6" t="str">
        <f aca="false">A5081&amp;"|"&amp;B5081&amp;"|"&amp;C5081&amp;"|"&amp;D5081</f>
        <v>7|7|Colleen|spotify:track:3Qf3MFEgl1laKe49NAXYKq</v>
      </c>
    </row>
    <row r="5082" customFormat="false" ht="15" hidden="false" customHeight="false" outlineLevel="0" collapsed="false">
      <c r="A5082" s="5" t="n">
        <v>7</v>
      </c>
      <c r="B5082" s="5" t="n">
        <v>7</v>
      </c>
      <c r="C5082" s="5" t="s">
        <v>637</v>
      </c>
      <c r="D5082" s="5" t="s">
        <v>536</v>
      </c>
      <c r="E5082" s="5" t="n">
        <v>1</v>
      </c>
      <c r="F5082" s="6" t="n">
        <f aca="false">IFERROR(MATCH(A5082&amp;"|"&amp;B5082&amp;"|"&amp;D5082,'All Song Rankings'!$T:$T,0),0)</f>
        <v>766</v>
      </c>
      <c r="G5082" s="6" t="str">
        <f aca="false">IF(F5082=0,"NOT FOUND",INDEX('All Song Rankings'!$A:$A,F5082))</f>
        <v>Rocket Man (I Think It's Going To Be A Long, Long Time)</v>
      </c>
      <c r="H5082" s="6" t="str">
        <f aca="false">IF(F5082=0,"NOT FOUND",INDEX('All Song Rankings'!$B:$B,F5082))</f>
        <v>Elton John</v>
      </c>
      <c r="I5082" s="6" t="str">
        <f aca="false">IF(F5082=0,"NOT FOUND",INDEX('All Song Rankings'!$D:$D,F5082))</f>
        <v>Kelsey</v>
      </c>
      <c r="J5082" s="7" t="str">
        <f aca="false">IF(F5082=0,"NOT FOUND",IF(C5082=I5082,"SELF-VOTE",IF(COUNTIF($K:$K,K5082)&gt;1,"DUPLICATE","OK")))</f>
        <v>OK</v>
      </c>
      <c r="K5082" s="6" t="str">
        <f aca="false">A5082&amp;"|"&amp;B5082&amp;"|"&amp;C5082&amp;"|"&amp;D5082</f>
        <v>7|7|Colleen|spotify:track:3gdewACMIVMEWVbyb8O9sY</v>
      </c>
    </row>
    <row r="5083" customFormat="false" ht="15" hidden="false" customHeight="false" outlineLevel="0" collapsed="false">
      <c r="A5083" s="5" t="n">
        <v>7</v>
      </c>
      <c r="B5083" s="5" t="n">
        <v>7</v>
      </c>
      <c r="C5083" s="5" t="s">
        <v>637</v>
      </c>
      <c r="D5083" s="5" t="s">
        <v>2257</v>
      </c>
      <c r="E5083" s="5" t="n">
        <v>1</v>
      </c>
      <c r="F5083" s="6" t="n">
        <f aca="false">IFERROR(MATCH(A5083&amp;"|"&amp;B5083&amp;"|"&amp;D5083,'All Song Rankings'!$T:$T,0),0)</f>
        <v>761</v>
      </c>
      <c r="G5083" s="6" t="str">
        <f aca="false">IF(F5083=0,"NOT FOUND",INDEX('All Song Rankings'!$A:$A,F5083))</f>
        <v>Supermassive Black Hole</v>
      </c>
      <c r="H5083" s="6" t="str">
        <f aca="false">IF(F5083=0,"NOT FOUND",INDEX('All Song Rankings'!$B:$B,F5083))</f>
        <v>Muse</v>
      </c>
      <c r="I5083" s="6" t="str">
        <f aca="false">IF(F5083=0,"NOT FOUND",INDEX('All Song Rankings'!$D:$D,F5083))</f>
        <v>Stephanie</v>
      </c>
      <c r="J5083" s="7" t="str">
        <f aca="false">IF(F5083=0,"NOT FOUND",IF(C5083=I5083,"SELF-VOTE",IF(COUNTIF($K:$K,K5083)&gt;1,"DUPLICATE","OK")))</f>
        <v>OK</v>
      </c>
      <c r="K5083" s="6" t="str">
        <f aca="false">A5083&amp;"|"&amp;B5083&amp;"|"&amp;C5083&amp;"|"&amp;D5083</f>
        <v>7|7|Colleen|spotify:track:3lPr8ghNDBLc2uZovNyLs9</v>
      </c>
    </row>
    <row r="5084" customFormat="false" ht="15" hidden="false" customHeight="false" outlineLevel="0" collapsed="false">
      <c r="A5084" s="5" t="n">
        <v>7</v>
      </c>
      <c r="B5084" s="5" t="n">
        <v>7</v>
      </c>
      <c r="C5084" s="5" t="s">
        <v>637</v>
      </c>
      <c r="D5084" s="5" t="s">
        <v>2288</v>
      </c>
      <c r="E5084" s="5" t="n">
        <v>1</v>
      </c>
      <c r="F5084" s="6" t="n">
        <f aca="false">IFERROR(MATCH(A5084&amp;"|"&amp;B5084&amp;"|"&amp;D5084,'All Song Rankings'!$T:$T,0),0)</f>
        <v>773</v>
      </c>
      <c r="G5084" s="6" t="str">
        <f aca="false">IF(F5084=0,"NOT FOUND",INDEX('All Song Rankings'!$A:$A,F5084))</f>
        <v>Lost in Time and Space</v>
      </c>
      <c r="H5084" s="6" t="str">
        <f aca="false">IF(F5084=0,"NOT FOUND",INDEX('All Song Rankings'!$B:$B,F5084))</f>
        <v>Lord Huron</v>
      </c>
      <c r="I5084" s="6" t="str">
        <f aca="false">IF(F5084=0,"NOT FOUND",INDEX('All Song Rankings'!$D:$D,F5084))</f>
        <v>Merita</v>
      </c>
      <c r="J5084" s="7" t="str">
        <f aca="false">IF(F5084=0,"NOT FOUND",IF(C5084=I5084,"SELF-VOTE",IF(COUNTIF($K:$K,K5084)&gt;1,"DUPLICATE","OK")))</f>
        <v>OK</v>
      </c>
      <c r="K5084" s="6" t="str">
        <f aca="false">A5084&amp;"|"&amp;B5084&amp;"|"&amp;C5084&amp;"|"&amp;D5084</f>
        <v>7|7|Colleen|spotify:track:6BqmgqzgKNxPszu1I6gOpn</v>
      </c>
    </row>
    <row r="5085" customFormat="false" ht="15" hidden="false" customHeight="false" outlineLevel="0" collapsed="false">
      <c r="A5085" s="5" t="n">
        <v>7</v>
      </c>
      <c r="B5085" s="5" t="n">
        <v>7</v>
      </c>
      <c r="C5085" s="5" t="s">
        <v>637</v>
      </c>
      <c r="D5085" s="5" t="s">
        <v>2283</v>
      </c>
      <c r="E5085" s="5" t="n">
        <v>1</v>
      </c>
      <c r="F5085" s="6" t="n">
        <f aca="false">IFERROR(MATCH(A5085&amp;"|"&amp;B5085&amp;"|"&amp;D5085,'All Song Rankings'!$T:$T,0),0)</f>
        <v>771</v>
      </c>
      <c r="G5085" s="6" t="str">
        <f aca="false">IF(F5085=0,"NOT FOUND",INDEX('All Song Rankings'!$A:$A,F5085))</f>
        <v>Champagne Supernova</v>
      </c>
      <c r="H5085" s="6" t="str">
        <f aca="false">IF(F5085=0,"NOT FOUND",INDEX('All Song Rankings'!$B:$B,F5085))</f>
        <v>Oasis</v>
      </c>
      <c r="I5085" s="6" t="str">
        <f aca="false">IF(F5085=0,"NOT FOUND",INDEX('All Song Rankings'!$D:$D,F5085))</f>
        <v>Josh</v>
      </c>
      <c r="J5085" s="7" t="str">
        <f aca="false">IF(F5085=0,"NOT FOUND",IF(C5085=I5085,"SELF-VOTE",IF(COUNTIF($K:$K,K5085)&gt;1,"DUPLICATE","OK")))</f>
        <v>OK</v>
      </c>
      <c r="K5085" s="6" t="str">
        <f aca="false">A5085&amp;"|"&amp;B5085&amp;"|"&amp;C5085&amp;"|"&amp;D5085</f>
        <v>7|7|Colleen|spotify:track:6EMynpZ10GVcwVqiLZj6Ye</v>
      </c>
    </row>
    <row r="5086" customFormat="false" ht="15" hidden="false" customHeight="false" outlineLevel="0" collapsed="false">
      <c r="A5086" s="5" t="n">
        <v>7</v>
      </c>
      <c r="B5086" s="5" t="n">
        <v>7</v>
      </c>
      <c r="C5086" s="5" t="s">
        <v>637</v>
      </c>
      <c r="D5086" s="5" t="s">
        <v>2277</v>
      </c>
      <c r="E5086" s="5" t="n">
        <v>1</v>
      </c>
      <c r="F5086" s="6" t="n">
        <f aca="false">IFERROR(MATCH(A5086&amp;"|"&amp;B5086&amp;"|"&amp;D5086,'All Song Rankings'!$T:$T,0),0)</f>
        <v>769</v>
      </c>
      <c r="G5086" s="6" t="str">
        <f aca="false">IF(F5086=0,"NOT FOUND",INDEX('All Song Rankings'!$A:$A,F5086))</f>
        <v>39</v>
      </c>
      <c r="H5086" s="6" t="str">
        <f aca="false">IF(F5086=0,"NOT FOUND",INDEX('All Song Rankings'!$B:$B,F5086))</f>
        <v>Queen</v>
      </c>
      <c r="I5086" s="6" t="str">
        <f aca="false">IF(F5086=0,"NOT FOUND",INDEX('All Song Rankings'!$D:$D,F5086))</f>
        <v>Lisa</v>
      </c>
      <c r="J5086" s="7" t="str">
        <f aca="false">IF(F5086=0,"NOT FOUND",IF(C5086=I5086,"SELF-VOTE",IF(COUNTIF($K:$K,K5086)&gt;1,"DUPLICATE","OK")))</f>
        <v>OK</v>
      </c>
      <c r="K5086" s="6" t="str">
        <f aca="false">A5086&amp;"|"&amp;B5086&amp;"|"&amp;C5086&amp;"|"&amp;D5086</f>
        <v>7|7|Colleen|spotify:track:6e8HCstOUFx9sac4fnqPKx</v>
      </c>
    </row>
    <row r="5087" customFormat="false" ht="15" hidden="false" customHeight="false" outlineLevel="0" collapsed="false">
      <c r="A5087" s="5" t="n">
        <v>7</v>
      </c>
      <c r="B5087" s="5" t="n">
        <v>7</v>
      </c>
      <c r="C5087" s="5" t="s">
        <v>637</v>
      </c>
      <c r="D5087" s="5" t="s">
        <v>2263</v>
      </c>
      <c r="E5087" s="5" t="n">
        <v>1</v>
      </c>
      <c r="F5087" s="6" t="n">
        <f aca="false">IFERROR(MATCH(A5087&amp;"|"&amp;B5087&amp;"|"&amp;D5087,'All Song Rankings'!$T:$T,0),0)</f>
        <v>763</v>
      </c>
      <c r="G5087" s="6" t="str">
        <f aca="false">IF(F5087=0,"NOT FOUND",INDEX('All Song Rankings'!$A:$A,F5087))</f>
        <v>Major Tom (Coming Home)</v>
      </c>
      <c r="H5087" s="6" t="str">
        <f aca="false">IF(F5087=0,"NOT FOUND",INDEX('All Song Rankings'!$B:$B,F5087))</f>
        <v>Peter Schilling</v>
      </c>
      <c r="I5087" s="6" t="str">
        <f aca="false">IF(F5087=0,"NOT FOUND",INDEX('All Song Rankings'!$D:$D,F5087))</f>
        <v>Matt</v>
      </c>
      <c r="J5087" s="7" t="str">
        <f aca="false">IF(F5087=0,"NOT FOUND",IF(C5087=I5087,"SELF-VOTE",IF(COUNTIF($K:$K,K5087)&gt;1,"DUPLICATE","OK")))</f>
        <v>OK</v>
      </c>
      <c r="K5087" s="6" t="str">
        <f aca="false">A5087&amp;"|"&amp;B5087&amp;"|"&amp;C5087&amp;"|"&amp;D5087</f>
        <v>7|7|Colleen|spotify:track:709ffFK4o4MtG1NKoLvOma</v>
      </c>
    </row>
    <row r="5088" customFormat="false" ht="15" hidden="false" customHeight="false" outlineLevel="0" collapsed="false">
      <c r="A5088" s="5" t="n">
        <v>7</v>
      </c>
      <c r="B5088" s="5" t="n">
        <v>7</v>
      </c>
      <c r="C5088" s="5" t="s">
        <v>637</v>
      </c>
      <c r="D5088" s="5" t="s">
        <v>2265</v>
      </c>
      <c r="E5088" s="5" t="n">
        <v>1</v>
      </c>
      <c r="F5088" s="6" t="n">
        <f aca="false">IFERROR(MATCH(A5088&amp;"|"&amp;B5088&amp;"|"&amp;D5088,'All Song Rankings'!$T:$T,0),0)</f>
        <v>764</v>
      </c>
      <c r="G5088" s="6" t="str">
        <f aca="false">IF(F5088=0,"NOT FOUND",INDEX('All Song Rankings'!$A:$A,F5088))</f>
        <v>Fly Me To The Moon - 2008 Remaster</v>
      </c>
      <c r="H5088" s="6" t="str">
        <f aca="false">IF(F5088=0,"NOT FOUND",INDEX('All Song Rankings'!$B:$B,F5088))</f>
        <v>Frank Sinatra</v>
      </c>
      <c r="I5088" s="6" t="str">
        <f aca="false">IF(F5088=0,"NOT FOUND",INDEX('All Song Rankings'!$D:$D,F5088))</f>
        <v>Grace</v>
      </c>
      <c r="J5088" s="7" t="str">
        <f aca="false">IF(F5088=0,"NOT FOUND",IF(C5088=I5088,"SELF-VOTE",IF(COUNTIF($K:$K,K5088)&gt;1,"DUPLICATE","OK")))</f>
        <v>OK</v>
      </c>
      <c r="K5088" s="6" t="str">
        <f aca="false">A5088&amp;"|"&amp;B5088&amp;"|"&amp;C5088&amp;"|"&amp;D5088</f>
        <v>7|7|Colleen|spotify:track:7FXj7Qg3YorUxdrzvrcY25</v>
      </c>
    </row>
    <row r="5089" customFormat="false" ht="15" hidden="false" customHeight="false" outlineLevel="0" collapsed="false">
      <c r="A5089" s="5" t="n">
        <v>7</v>
      </c>
      <c r="B5089" s="5" t="n">
        <v>7</v>
      </c>
      <c r="C5089" s="5" t="s">
        <v>382</v>
      </c>
      <c r="D5089" s="5" t="s">
        <v>2272</v>
      </c>
      <c r="E5089" s="5" t="n">
        <v>1</v>
      </c>
      <c r="F5089" s="6" t="n">
        <f aca="false">IFERROR(MATCH(A5089&amp;"|"&amp;B5089&amp;"|"&amp;D5089,'All Song Rankings'!$T:$T,0),0)</f>
        <v>767</v>
      </c>
      <c r="G5089" s="6" t="str">
        <f aca="false">IF(F5089=0,"NOT FOUND",INDEX('All Song Rankings'!$A:$A,F5089))</f>
        <v>Ladies and gentlemen we are floating in space</v>
      </c>
      <c r="H5089" s="6" t="str">
        <f aca="false">IF(F5089=0,"NOT FOUND",INDEX('All Song Rankings'!$B:$B,F5089))</f>
        <v>Spiritualized</v>
      </c>
      <c r="I5089" s="6" t="str">
        <f aca="false">IF(F5089=0,"NOT FOUND",INDEX('All Song Rankings'!$D:$D,F5089))</f>
        <v>Logan</v>
      </c>
      <c r="J5089" s="7" t="str">
        <f aca="false">IF(F5089=0,"NOT FOUND",IF(C5089=I5089,"SELF-VOTE",IF(COUNTIF($K:$K,K5089)&gt;1,"DUPLICATE","OK")))</f>
        <v>OK</v>
      </c>
      <c r="K5089" s="6" t="str">
        <f aca="false">A5089&amp;"|"&amp;B5089&amp;"|"&amp;C5089&amp;"|"&amp;D5089</f>
        <v>7|7|Grace|spotify:track:0fOjUafaAhJV16oRBgCtz7</v>
      </c>
    </row>
    <row r="5090" customFormat="false" ht="15" hidden="false" customHeight="false" outlineLevel="0" collapsed="false">
      <c r="A5090" s="5" t="n">
        <v>7</v>
      </c>
      <c r="B5090" s="5" t="n">
        <v>7</v>
      </c>
      <c r="C5090" s="5" t="s">
        <v>382</v>
      </c>
      <c r="D5090" s="5" t="s">
        <v>2268</v>
      </c>
      <c r="E5090" s="5" t="n">
        <v>3</v>
      </c>
      <c r="F5090" s="6" t="n">
        <f aca="false">IFERROR(MATCH(A5090&amp;"|"&amp;B5090&amp;"|"&amp;D5090,'All Song Rankings'!$T:$T,0),0)</f>
        <v>765</v>
      </c>
      <c r="G5090" s="6" t="str">
        <f aca="false">IF(F5090=0,"NOT FOUND",INDEX('All Song Rankings'!$A:$A,F5090))</f>
        <v>Working Class Heroes (Work)</v>
      </c>
      <c r="H5090" s="6" t="str">
        <f aca="false">IF(F5090=0,"NOT FOUND",INDEX('All Song Rankings'!$B:$B,F5090))</f>
        <v>CeeLo Green</v>
      </c>
      <c r="I5090" s="6" t="str">
        <f aca="false">IF(F5090=0,"NOT FOUND",INDEX('All Song Rankings'!$D:$D,F5090))</f>
        <v>Lucia</v>
      </c>
      <c r="J5090" s="7" t="str">
        <f aca="false">IF(F5090=0,"NOT FOUND",IF(C5090=I5090,"SELF-VOTE",IF(COUNTIF($K:$K,K5090)&gt;1,"DUPLICATE","OK")))</f>
        <v>OK</v>
      </c>
      <c r="K5090" s="6" t="str">
        <f aca="false">A5090&amp;"|"&amp;B5090&amp;"|"&amp;C5090&amp;"|"&amp;D5090</f>
        <v>7|7|Grace|spotify:track:0jqC18IqSdsGpGlQ8Dsx9M</v>
      </c>
    </row>
    <row r="5091" customFormat="false" ht="15" hidden="false" customHeight="false" outlineLevel="0" collapsed="false">
      <c r="A5091" s="5" t="n">
        <v>7</v>
      </c>
      <c r="B5091" s="5" t="n">
        <v>7</v>
      </c>
      <c r="C5091" s="5" t="s">
        <v>382</v>
      </c>
      <c r="D5091" s="5" t="s">
        <v>2255</v>
      </c>
      <c r="E5091" s="5" t="n">
        <v>1</v>
      </c>
      <c r="F5091" s="6" t="n">
        <f aca="false">IFERROR(MATCH(A5091&amp;"|"&amp;B5091&amp;"|"&amp;D5091,'All Song Rankings'!$T:$T,0),0)</f>
        <v>760</v>
      </c>
      <c r="G5091" s="6" t="str">
        <f aca="false">IF(F5091=0,"NOT FOUND",INDEX('All Song Rankings'!$A:$A,F5091))</f>
        <v>Starman - 2012 Remaster</v>
      </c>
      <c r="H5091" s="6" t="str">
        <f aca="false">IF(F5091=0,"NOT FOUND",INDEX('All Song Rankings'!$B:$B,F5091))</f>
        <v>David Bowie</v>
      </c>
      <c r="I5091" s="6" t="str">
        <f aca="false">IF(F5091=0,"NOT FOUND",INDEX('All Song Rankings'!$D:$D,F5091))</f>
        <v>Christine</v>
      </c>
      <c r="J5091" s="7" t="str">
        <f aca="false">IF(F5091=0,"NOT FOUND",IF(C5091=I5091,"SELF-VOTE",IF(COUNTIF($K:$K,K5091)&gt;1,"DUPLICATE","OK")))</f>
        <v>OK</v>
      </c>
      <c r="K5091" s="6" t="str">
        <f aca="false">A5091&amp;"|"&amp;B5091&amp;"|"&amp;C5091&amp;"|"&amp;D5091</f>
        <v>7|7|Grace|spotify:track:0pQskrTITgmCMyr85tb9qq</v>
      </c>
    </row>
    <row r="5092" customFormat="false" ht="15" hidden="false" customHeight="false" outlineLevel="0" collapsed="false">
      <c r="A5092" s="5" t="n">
        <v>7</v>
      </c>
      <c r="B5092" s="5" t="n">
        <v>7</v>
      </c>
      <c r="C5092" s="5" t="s">
        <v>382</v>
      </c>
      <c r="D5092" s="5" t="s">
        <v>2275</v>
      </c>
      <c r="E5092" s="5" t="n">
        <v>3</v>
      </c>
      <c r="F5092" s="6" t="n">
        <f aca="false">IFERROR(MATCH(A5092&amp;"|"&amp;B5092&amp;"|"&amp;D5092,'All Song Rankings'!$T:$T,0),0)</f>
        <v>768</v>
      </c>
      <c r="G5092" s="6" t="str">
        <f aca="false">IF(F5092=0,"NOT FOUND",INDEX('All Song Rankings'!$A:$A,F5092))</f>
        <v>Star Love</v>
      </c>
      <c r="H5092" s="6" t="str">
        <f aca="false">IF(F5092=0,"NOT FOUND",INDEX('All Song Rankings'!$B:$B,F5092))</f>
        <v>Cheryl Lynn</v>
      </c>
      <c r="I5092" s="6" t="str">
        <f aca="false">IF(F5092=0,"NOT FOUND",INDEX('All Song Rankings'!$D:$D,F5092))</f>
        <v>Sara</v>
      </c>
      <c r="J5092" s="7" t="str">
        <f aca="false">IF(F5092=0,"NOT FOUND",IF(C5092=I5092,"SELF-VOTE",IF(COUNTIF($K:$K,K5092)&gt;1,"DUPLICATE","OK")))</f>
        <v>OK</v>
      </c>
      <c r="K5092" s="6" t="str">
        <f aca="false">A5092&amp;"|"&amp;B5092&amp;"|"&amp;C5092&amp;"|"&amp;D5092</f>
        <v>7|7|Grace|spotify:track:3Qf3MFEgl1laKe49NAXYKq</v>
      </c>
    </row>
    <row r="5093" customFormat="false" ht="15" hidden="false" customHeight="false" outlineLevel="0" collapsed="false">
      <c r="A5093" s="5" t="n">
        <v>7</v>
      </c>
      <c r="B5093" s="5" t="n">
        <v>7</v>
      </c>
      <c r="C5093" s="5" t="s">
        <v>382</v>
      </c>
      <c r="D5093" s="5" t="s">
        <v>2257</v>
      </c>
      <c r="E5093" s="5" t="n">
        <v>2</v>
      </c>
      <c r="F5093" s="6" t="n">
        <f aca="false">IFERROR(MATCH(A5093&amp;"|"&amp;B5093&amp;"|"&amp;D5093,'All Song Rankings'!$T:$T,0),0)</f>
        <v>761</v>
      </c>
      <c r="G5093" s="6" t="str">
        <f aca="false">IF(F5093=0,"NOT FOUND",INDEX('All Song Rankings'!$A:$A,F5093))</f>
        <v>Supermassive Black Hole</v>
      </c>
      <c r="H5093" s="6" t="str">
        <f aca="false">IF(F5093=0,"NOT FOUND",INDEX('All Song Rankings'!$B:$B,F5093))</f>
        <v>Muse</v>
      </c>
      <c r="I5093" s="6" t="str">
        <f aca="false">IF(F5093=0,"NOT FOUND",INDEX('All Song Rankings'!$D:$D,F5093))</f>
        <v>Stephanie</v>
      </c>
      <c r="J5093" s="7" t="str">
        <f aca="false">IF(F5093=0,"NOT FOUND",IF(C5093=I5093,"SELF-VOTE",IF(COUNTIF($K:$K,K5093)&gt;1,"DUPLICATE","OK")))</f>
        <v>OK</v>
      </c>
      <c r="K5093" s="6" t="str">
        <f aca="false">A5093&amp;"|"&amp;B5093&amp;"|"&amp;C5093&amp;"|"&amp;D5093</f>
        <v>7|7|Grace|spotify:track:3lPr8ghNDBLc2uZovNyLs9</v>
      </c>
    </row>
    <row r="5094" customFormat="false" ht="15" hidden="false" customHeight="false" outlineLevel="0" collapsed="false">
      <c r="A5094" s="5" t="n">
        <v>7</v>
      </c>
      <c r="B5094" s="5" t="n">
        <v>7</v>
      </c>
      <c r="C5094" s="5" t="s">
        <v>1843</v>
      </c>
      <c r="D5094" s="5" t="s">
        <v>2272</v>
      </c>
      <c r="E5094" s="5" t="n">
        <v>1</v>
      </c>
      <c r="F5094" s="6" t="n">
        <f aca="false">IFERROR(MATCH(A5094&amp;"|"&amp;B5094&amp;"|"&amp;D5094,'All Song Rankings'!$T:$T,0),0)</f>
        <v>767</v>
      </c>
      <c r="G5094" s="6" t="str">
        <f aca="false">IF(F5094=0,"NOT FOUND",INDEX('All Song Rankings'!$A:$A,F5094))</f>
        <v>Ladies and gentlemen we are floating in space</v>
      </c>
      <c r="H5094" s="6" t="str">
        <f aca="false">IF(F5094=0,"NOT FOUND",INDEX('All Song Rankings'!$B:$B,F5094))</f>
        <v>Spiritualized</v>
      </c>
      <c r="I5094" s="6" t="str">
        <f aca="false">IF(F5094=0,"NOT FOUND",INDEX('All Song Rankings'!$D:$D,F5094))</f>
        <v>Logan</v>
      </c>
      <c r="J5094" s="7" t="str">
        <f aca="false">IF(F5094=0,"NOT FOUND",IF(C5094=I5094,"SELF-VOTE",IF(COUNTIF($K:$K,K5094)&gt;1,"DUPLICATE","OK")))</f>
        <v>OK</v>
      </c>
      <c r="K5094" s="6" t="str">
        <f aca="false">A5094&amp;"|"&amp;B5094&amp;"|"&amp;C5094&amp;"|"&amp;D5094</f>
        <v>7|7|Josh|spotify:track:0fOjUafaAhJV16oRBgCtz7</v>
      </c>
    </row>
    <row r="5095" customFormat="false" ht="15" hidden="false" customHeight="false" outlineLevel="0" collapsed="false">
      <c r="A5095" s="5" t="n">
        <v>7</v>
      </c>
      <c r="B5095" s="5" t="n">
        <v>7</v>
      </c>
      <c r="C5095" s="5" t="s">
        <v>1843</v>
      </c>
      <c r="D5095" s="5" t="s">
        <v>2255</v>
      </c>
      <c r="E5095" s="5" t="n">
        <v>1</v>
      </c>
      <c r="F5095" s="6" t="n">
        <f aca="false">IFERROR(MATCH(A5095&amp;"|"&amp;B5095&amp;"|"&amp;D5095,'All Song Rankings'!$T:$T,0),0)</f>
        <v>760</v>
      </c>
      <c r="G5095" s="6" t="str">
        <f aca="false">IF(F5095=0,"NOT FOUND",INDEX('All Song Rankings'!$A:$A,F5095))</f>
        <v>Starman - 2012 Remaster</v>
      </c>
      <c r="H5095" s="6" t="str">
        <f aca="false">IF(F5095=0,"NOT FOUND",INDEX('All Song Rankings'!$B:$B,F5095))</f>
        <v>David Bowie</v>
      </c>
      <c r="I5095" s="6" t="str">
        <f aca="false">IF(F5095=0,"NOT FOUND",INDEX('All Song Rankings'!$D:$D,F5095))</f>
        <v>Christine</v>
      </c>
      <c r="J5095" s="7" t="str">
        <f aca="false">IF(F5095=0,"NOT FOUND",IF(C5095=I5095,"SELF-VOTE",IF(COUNTIF($K:$K,K5095)&gt;1,"DUPLICATE","OK")))</f>
        <v>OK</v>
      </c>
      <c r="K5095" s="6" t="str">
        <f aca="false">A5095&amp;"|"&amp;B5095&amp;"|"&amp;C5095&amp;"|"&amp;D5095</f>
        <v>7|7|Josh|spotify:track:0pQskrTITgmCMyr85tb9qq</v>
      </c>
    </row>
    <row r="5096" customFormat="false" ht="15" hidden="false" customHeight="false" outlineLevel="0" collapsed="false">
      <c r="A5096" s="5" t="n">
        <v>7</v>
      </c>
      <c r="B5096" s="5" t="n">
        <v>7</v>
      </c>
      <c r="C5096" s="5" t="s">
        <v>1843</v>
      </c>
      <c r="D5096" s="5" t="s">
        <v>2252</v>
      </c>
      <c r="E5096" s="5" t="n">
        <v>1</v>
      </c>
      <c r="F5096" s="6" t="n">
        <f aca="false">IFERROR(MATCH(A5096&amp;"|"&amp;B5096&amp;"|"&amp;D5096,'All Song Rankings'!$T:$T,0),0)</f>
        <v>759</v>
      </c>
      <c r="G5096" s="6" t="str">
        <f aca="false">IF(F5096=0,"NOT FOUND",INDEX('All Song Rankings'!$A:$A,F5096))</f>
        <v>Saturn</v>
      </c>
      <c r="H5096" s="6" t="str">
        <f aca="false">IF(F5096=0,"NOT FOUND",INDEX('All Song Rankings'!$B:$B,F5096))</f>
        <v>SZA</v>
      </c>
      <c r="I5096" s="6" t="str">
        <f aca="false">IF(F5096=0,"NOT FOUND",INDEX('All Song Rankings'!$D:$D,F5096))</f>
        <v>Leah</v>
      </c>
      <c r="J5096" s="7" t="str">
        <f aca="false">IF(F5096=0,"NOT FOUND",IF(C5096=I5096,"SELF-VOTE",IF(COUNTIF($K:$K,K5096)&gt;1,"DUPLICATE","OK")))</f>
        <v>OK</v>
      </c>
      <c r="K5096" s="6" t="str">
        <f aca="false">A5096&amp;"|"&amp;B5096&amp;"|"&amp;C5096&amp;"|"&amp;D5096</f>
        <v>7|7|Josh|spotify:track:1bjeWoagtHmUKputLVyDxQ</v>
      </c>
    </row>
    <row r="5097" customFormat="false" ht="15" hidden="false" customHeight="false" outlineLevel="0" collapsed="false">
      <c r="A5097" s="5" t="n">
        <v>7</v>
      </c>
      <c r="B5097" s="5" t="n">
        <v>7</v>
      </c>
      <c r="C5097" s="5" t="s">
        <v>1843</v>
      </c>
      <c r="D5097" s="5" t="s">
        <v>2260</v>
      </c>
      <c r="E5097" s="5" t="n">
        <v>1</v>
      </c>
      <c r="F5097" s="6" t="n">
        <f aca="false">IFERROR(MATCH(A5097&amp;"|"&amp;B5097&amp;"|"&amp;D5097,'All Song Rankings'!$T:$T,0),0)</f>
        <v>762</v>
      </c>
      <c r="G5097" s="6" t="str">
        <f aca="false">IF(F5097=0,"NOT FOUND",INDEX('All Song Rankings'!$A:$A,F5097))</f>
        <v>Stargazing</v>
      </c>
      <c r="H5097" s="6" t="str">
        <f aca="false">IF(F5097=0,"NOT FOUND",INDEX('All Song Rankings'!$B:$B,F5097))</f>
        <v>Myles Smith</v>
      </c>
      <c r="I5097" s="6" t="str">
        <f aca="false">IF(F5097=0,"NOT FOUND",INDEX('All Song Rankings'!$D:$D,F5097))</f>
        <v>Colleen</v>
      </c>
      <c r="J5097" s="7" t="str">
        <f aca="false">IF(F5097=0,"NOT FOUND",IF(C5097=I5097,"SELF-VOTE",IF(COUNTIF($K:$K,K5097)&gt;1,"DUPLICATE","OK")))</f>
        <v>OK</v>
      </c>
      <c r="K5097" s="6" t="str">
        <f aca="false">A5097&amp;"|"&amp;B5097&amp;"|"&amp;C5097&amp;"|"&amp;D5097</f>
        <v>7|7|Josh|spotify:track:3Vr3zh0r7ALn8VLqCiRR10</v>
      </c>
    </row>
    <row r="5098" customFormat="false" ht="15" hidden="false" customHeight="false" outlineLevel="0" collapsed="false">
      <c r="A5098" s="5" t="n">
        <v>7</v>
      </c>
      <c r="B5098" s="5" t="n">
        <v>7</v>
      </c>
      <c r="C5098" s="5" t="s">
        <v>1843</v>
      </c>
      <c r="D5098" s="5" t="s">
        <v>536</v>
      </c>
      <c r="E5098" s="5" t="n">
        <v>1</v>
      </c>
      <c r="F5098" s="6" t="n">
        <f aca="false">IFERROR(MATCH(A5098&amp;"|"&amp;B5098&amp;"|"&amp;D5098,'All Song Rankings'!$T:$T,0),0)</f>
        <v>766</v>
      </c>
      <c r="G5098" s="6" t="str">
        <f aca="false">IF(F5098=0,"NOT FOUND",INDEX('All Song Rankings'!$A:$A,F5098))</f>
        <v>Rocket Man (I Think It's Going To Be A Long, Long Time)</v>
      </c>
      <c r="H5098" s="6" t="str">
        <f aca="false">IF(F5098=0,"NOT FOUND",INDEX('All Song Rankings'!$B:$B,F5098))</f>
        <v>Elton John</v>
      </c>
      <c r="I5098" s="6" t="str">
        <f aca="false">IF(F5098=0,"NOT FOUND",INDEX('All Song Rankings'!$D:$D,F5098))</f>
        <v>Kelsey</v>
      </c>
      <c r="J5098" s="7" t="str">
        <f aca="false">IF(F5098=0,"NOT FOUND",IF(C5098=I5098,"SELF-VOTE",IF(COUNTIF($K:$K,K5098)&gt;1,"DUPLICATE","OK")))</f>
        <v>OK</v>
      </c>
      <c r="K5098" s="6" t="str">
        <f aca="false">A5098&amp;"|"&amp;B5098&amp;"|"&amp;C5098&amp;"|"&amp;D5098</f>
        <v>7|7|Josh|spotify:track:3gdewACMIVMEWVbyb8O9sY</v>
      </c>
    </row>
    <row r="5099" customFormat="false" ht="15" hidden="false" customHeight="false" outlineLevel="0" collapsed="false">
      <c r="A5099" s="5" t="n">
        <v>7</v>
      </c>
      <c r="B5099" s="5" t="n">
        <v>7</v>
      </c>
      <c r="C5099" s="5" t="s">
        <v>1843</v>
      </c>
      <c r="D5099" s="5" t="s">
        <v>2257</v>
      </c>
      <c r="E5099" s="5" t="n">
        <v>2</v>
      </c>
      <c r="F5099" s="6" t="n">
        <f aca="false">IFERROR(MATCH(A5099&amp;"|"&amp;B5099&amp;"|"&amp;D5099,'All Song Rankings'!$T:$T,0),0)</f>
        <v>761</v>
      </c>
      <c r="G5099" s="6" t="str">
        <f aca="false">IF(F5099=0,"NOT FOUND",INDEX('All Song Rankings'!$A:$A,F5099))</f>
        <v>Supermassive Black Hole</v>
      </c>
      <c r="H5099" s="6" t="str">
        <f aca="false">IF(F5099=0,"NOT FOUND",INDEX('All Song Rankings'!$B:$B,F5099))</f>
        <v>Muse</v>
      </c>
      <c r="I5099" s="6" t="str">
        <f aca="false">IF(F5099=0,"NOT FOUND",INDEX('All Song Rankings'!$D:$D,F5099))</f>
        <v>Stephanie</v>
      </c>
      <c r="J5099" s="7" t="str">
        <f aca="false">IF(F5099=0,"NOT FOUND",IF(C5099=I5099,"SELF-VOTE",IF(COUNTIF($K:$K,K5099)&gt;1,"DUPLICATE","OK")))</f>
        <v>OK</v>
      </c>
      <c r="K5099" s="6" t="str">
        <f aca="false">A5099&amp;"|"&amp;B5099&amp;"|"&amp;C5099&amp;"|"&amp;D5099</f>
        <v>7|7|Josh|spotify:track:3lPr8ghNDBLc2uZovNyLs9</v>
      </c>
    </row>
    <row r="5100" customFormat="false" ht="15" hidden="false" customHeight="false" outlineLevel="0" collapsed="false">
      <c r="A5100" s="5" t="n">
        <v>7</v>
      </c>
      <c r="B5100" s="5" t="n">
        <v>7</v>
      </c>
      <c r="C5100" s="5" t="s">
        <v>1843</v>
      </c>
      <c r="D5100" s="5" t="s">
        <v>2288</v>
      </c>
      <c r="E5100" s="5" t="n">
        <v>1</v>
      </c>
      <c r="F5100" s="6" t="n">
        <f aca="false">IFERROR(MATCH(A5100&amp;"|"&amp;B5100&amp;"|"&amp;D5100,'All Song Rankings'!$T:$T,0),0)</f>
        <v>773</v>
      </c>
      <c r="G5100" s="6" t="str">
        <f aca="false">IF(F5100=0,"NOT FOUND",INDEX('All Song Rankings'!$A:$A,F5100))</f>
        <v>Lost in Time and Space</v>
      </c>
      <c r="H5100" s="6" t="str">
        <f aca="false">IF(F5100=0,"NOT FOUND",INDEX('All Song Rankings'!$B:$B,F5100))</f>
        <v>Lord Huron</v>
      </c>
      <c r="I5100" s="6" t="str">
        <f aca="false">IF(F5100=0,"NOT FOUND",INDEX('All Song Rankings'!$D:$D,F5100))</f>
        <v>Merita</v>
      </c>
      <c r="J5100" s="7" t="str">
        <f aca="false">IF(F5100=0,"NOT FOUND",IF(C5100=I5100,"SELF-VOTE",IF(COUNTIF($K:$K,K5100)&gt;1,"DUPLICATE","OK")))</f>
        <v>OK</v>
      </c>
      <c r="K5100" s="6" t="str">
        <f aca="false">A5100&amp;"|"&amp;B5100&amp;"|"&amp;C5100&amp;"|"&amp;D5100</f>
        <v>7|7|Josh|spotify:track:6BqmgqzgKNxPszu1I6gOpn</v>
      </c>
    </row>
    <row r="5101" customFormat="false" ht="15" hidden="false" customHeight="false" outlineLevel="0" collapsed="false">
      <c r="A5101" s="5" t="n">
        <v>7</v>
      </c>
      <c r="B5101" s="5" t="n">
        <v>7</v>
      </c>
      <c r="C5101" s="5" t="s">
        <v>1843</v>
      </c>
      <c r="D5101" s="5" t="s">
        <v>2263</v>
      </c>
      <c r="E5101" s="5" t="n">
        <v>1</v>
      </c>
      <c r="F5101" s="6" t="n">
        <f aca="false">IFERROR(MATCH(A5101&amp;"|"&amp;B5101&amp;"|"&amp;D5101,'All Song Rankings'!$T:$T,0),0)</f>
        <v>763</v>
      </c>
      <c r="G5101" s="6" t="str">
        <f aca="false">IF(F5101=0,"NOT FOUND",INDEX('All Song Rankings'!$A:$A,F5101))</f>
        <v>Major Tom (Coming Home)</v>
      </c>
      <c r="H5101" s="6" t="str">
        <f aca="false">IF(F5101=0,"NOT FOUND",INDEX('All Song Rankings'!$B:$B,F5101))</f>
        <v>Peter Schilling</v>
      </c>
      <c r="I5101" s="6" t="str">
        <f aca="false">IF(F5101=0,"NOT FOUND",INDEX('All Song Rankings'!$D:$D,F5101))</f>
        <v>Matt</v>
      </c>
      <c r="J5101" s="7" t="str">
        <f aca="false">IF(F5101=0,"NOT FOUND",IF(C5101=I5101,"SELF-VOTE",IF(COUNTIF($K:$K,K5101)&gt;1,"DUPLICATE","OK")))</f>
        <v>OK</v>
      </c>
      <c r="K5101" s="6" t="str">
        <f aca="false">A5101&amp;"|"&amp;B5101&amp;"|"&amp;C5101&amp;"|"&amp;D5101</f>
        <v>7|7|Josh|spotify:track:709ffFK4o4MtG1NKoLvOma</v>
      </c>
    </row>
    <row r="5102" customFormat="false" ht="15" hidden="false" customHeight="false" outlineLevel="0" collapsed="false">
      <c r="A5102" s="5" t="n">
        <v>7</v>
      </c>
      <c r="B5102" s="5" t="n">
        <v>7</v>
      </c>
      <c r="C5102" s="5" t="s">
        <v>1843</v>
      </c>
      <c r="D5102" s="5" t="s">
        <v>2265</v>
      </c>
      <c r="E5102" s="5" t="n">
        <v>1</v>
      </c>
      <c r="F5102" s="6" t="n">
        <f aca="false">IFERROR(MATCH(A5102&amp;"|"&amp;B5102&amp;"|"&amp;D5102,'All Song Rankings'!$T:$T,0),0)</f>
        <v>764</v>
      </c>
      <c r="G5102" s="6" t="str">
        <f aca="false">IF(F5102=0,"NOT FOUND",INDEX('All Song Rankings'!$A:$A,F5102))</f>
        <v>Fly Me To The Moon - 2008 Remaster</v>
      </c>
      <c r="H5102" s="6" t="str">
        <f aca="false">IF(F5102=0,"NOT FOUND",INDEX('All Song Rankings'!$B:$B,F5102))</f>
        <v>Frank Sinatra</v>
      </c>
      <c r="I5102" s="6" t="str">
        <f aca="false">IF(F5102=0,"NOT FOUND",INDEX('All Song Rankings'!$D:$D,F5102))</f>
        <v>Grace</v>
      </c>
      <c r="J5102" s="7" t="str">
        <f aca="false">IF(F5102=0,"NOT FOUND",IF(C5102=I5102,"SELF-VOTE",IF(COUNTIF($K:$K,K5102)&gt;1,"DUPLICATE","OK")))</f>
        <v>OK</v>
      </c>
      <c r="K5102" s="6" t="str">
        <f aca="false">A5102&amp;"|"&amp;B5102&amp;"|"&amp;C5102&amp;"|"&amp;D5102</f>
        <v>7|7|Josh|spotify:track:7FXj7Qg3YorUxdrzvrcY25</v>
      </c>
    </row>
    <row r="5103" customFormat="false" ht="15" hidden="false" customHeight="false" outlineLevel="0" collapsed="false">
      <c r="A5103" s="5" t="n">
        <v>7</v>
      </c>
      <c r="B5103" s="5" t="n">
        <v>7</v>
      </c>
      <c r="C5103" s="5" t="s">
        <v>85</v>
      </c>
      <c r="D5103" s="5" t="s">
        <v>2272</v>
      </c>
      <c r="E5103" s="5" t="n">
        <v>2</v>
      </c>
      <c r="F5103" s="6" t="n">
        <f aca="false">IFERROR(MATCH(A5103&amp;"|"&amp;B5103&amp;"|"&amp;D5103,'All Song Rankings'!$T:$T,0),0)</f>
        <v>767</v>
      </c>
      <c r="G5103" s="6" t="str">
        <f aca="false">IF(F5103=0,"NOT FOUND",INDEX('All Song Rankings'!$A:$A,F5103))</f>
        <v>Ladies and gentlemen we are floating in space</v>
      </c>
      <c r="H5103" s="6" t="str">
        <f aca="false">IF(F5103=0,"NOT FOUND",INDEX('All Song Rankings'!$B:$B,F5103))</f>
        <v>Spiritualized</v>
      </c>
      <c r="I5103" s="6" t="str">
        <f aca="false">IF(F5103=0,"NOT FOUND",INDEX('All Song Rankings'!$D:$D,F5103))</f>
        <v>Logan</v>
      </c>
      <c r="J5103" s="7" t="str">
        <f aca="false">IF(F5103=0,"NOT FOUND",IF(C5103=I5103,"SELF-VOTE",IF(COUNTIF($K:$K,K5103)&gt;1,"DUPLICATE","OK")))</f>
        <v>OK</v>
      </c>
      <c r="K5103" s="6" t="str">
        <f aca="false">A5103&amp;"|"&amp;B5103&amp;"|"&amp;C5103&amp;"|"&amp;D5103</f>
        <v>7|7|Kelsey|spotify:track:0fOjUafaAhJV16oRBgCtz7</v>
      </c>
    </row>
    <row r="5104" customFormat="false" ht="15" hidden="false" customHeight="false" outlineLevel="0" collapsed="false">
      <c r="A5104" s="5" t="n">
        <v>7</v>
      </c>
      <c r="B5104" s="5" t="n">
        <v>7</v>
      </c>
      <c r="C5104" s="5" t="s">
        <v>85</v>
      </c>
      <c r="D5104" s="5" t="s">
        <v>2268</v>
      </c>
      <c r="E5104" s="5" t="n">
        <v>2</v>
      </c>
      <c r="F5104" s="6" t="n">
        <f aca="false">IFERROR(MATCH(A5104&amp;"|"&amp;B5104&amp;"|"&amp;D5104,'All Song Rankings'!$T:$T,0),0)</f>
        <v>765</v>
      </c>
      <c r="G5104" s="6" t="str">
        <f aca="false">IF(F5104=0,"NOT FOUND",INDEX('All Song Rankings'!$A:$A,F5104))</f>
        <v>Working Class Heroes (Work)</v>
      </c>
      <c r="H5104" s="6" t="str">
        <f aca="false">IF(F5104=0,"NOT FOUND",INDEX('All Song Rankings'!$B:$B,F5104))</f>
        <v>CeeLo Green</v>
      </c>
      <c r="I5104" s="6" t="str">
        <f aca="false">IF(F5104=0,"NOT FOUND",INDEX('All Song Rankings'!$D:$D,F5104))</f>
        <v>Lucia</v>
      </c>
      <c r="J5104" s="7" t="str">
        <f aca="false">IF(F5104=0,"NOT FOUND",IF(C5104=I5104,"SELF-VOTE",IF(COUNTIF($K:$K,K5104)&gt;1,"DUPLICATE","OK")))</f>
        <v>OK</v>
      </c>
      <c r="K5104" s="6" t="str">
        <f aca="false">A5104&amp;"|"&amp;B5104&amp;"|"&amp;C5104&amp;"|"&amp;D5104</f>
        <v>7|7|Kelsey|spotify:track:0jqC18IqSdsGpGlQ8Dsx9M</v>
      </c>
    </row>
    <row r="5105" customFormat="false" ht="15" hidden="false" customHeight="false" outlineLevel="0" collapsed="false">
      <c r="A5105" s="5" t="n">
        <v>7</v>
      </c>
      <c r="B5105" s="5" t="n">
        <v>7</v>
      </c>
      <c r="C5105" s="5" t="s">
        <v>85</v>
      </c>
      <c r="D5105" s="5" t="s">
        <v>2252</v>
      </c>
      <c r="E5105" s="5" t="n">
        <v>1</v>
      </c>
      <c r="F5105" s="6" t="n">
        <f aca="false">IFERROR(MATCH(A5105&amp;"|"&amp;B5105&amp;"|"&amp;D5105,'All Song Rankings'!$T:$T,0),0)</f>
        <v>759</v>
      </c>
      <c r="G5105" s="6" t="str">
        <f aca="false">IF(F5105=0,"NOT FOUND",INDEX('All Song Rankings'!$A:$A,F5105))</f>
        <v>Saturn</v>
      </c>
      <c r="H5105" s="6" t="str">
        <f aca="false">IF(F5105=0,"NOT FOUND",INDEX('All Song Rankings'!$B:$B,F5105))</f>
        <v>SZA</v>
      </c>
      <c r="I5105" s="6" t="str">
        <f aca="false">IF(F5105=0,"NOT FOUND",INDEX('All Song Rankings'!$D:$D,F5105))</f>
        <v>Leah</v>
      </c>
      <c r="J5105" s="7" t="str">
        <f aca="false">IF(F5105=0,"NOT FOUND",IF(C5105=I5105,"SELF-VOTE",IF(COUNTIF($K:$K,K5105)&gt;1,"DUPLICATE","OK")))</f>
        <v>OK</v>
      </c>
      <c r="K5105" s="6" t="str">
        <f aca="false">A5105&amp;"|"&amp;B5105&amp;"|"&amp;C5105&amp;"|"&amp;D5105</f>
        <v>7|7|Kelsey|spotify:track:1bjeWoagtHmUKputLVyDxQ</v>
      </c>
    </row>
    <row r="5106" customFormat="false" ht="15" hidden="false" customHeight="false" outlineLevel="0" collapsed="false">
      <c r="A5106" s="5" t="n">
        <v>7</v>
      </c>
      <c r="B5106" s="5" t="n">
        <v>7</v>
      </c>
      <c r="C5106" s="5" t="s">
        <v>85</v>
      </c>
      <c r="D5106" s="5" t="s">
        <v>2260</v>
      </c>
      <c r="E5106" s="5" t="n">
        <v>2</v>
      </c>
      <c r="F5106" s="6" t="n">
        <f aca="false">IFERROR(MATCH(A5106&amp;"|"&amp;B5106&amp;"|"&amp;D5106,'All Song Rankings'!$T:$T,0),0)</f>
        <v>762</v>
      </c>
      <c r="G5106" s="6" t="str">
        <f aca="false">IF(F5106=0,"NOT FOUND",INDEX('All Song Rankings'!$A:$A,F5106))</f>
        <v>Stargazing</v>
      </c>
      <c r="H5106" s="6" t="str">
        <f aca="false">IF(F5106=0,"NOT FOUND",INDEX('All Song Rankings'!$B:$B,F5106))</f>
        <v>Myles Smith</v>
      </c>
      <c r="I5106" s="6" t="str">
        <f aca="false">IF(F5106=0,"NOT FOUND",INDEX('All Song Rankings'!$D:$D,F5106))</f>
        <v>Colleen</v>
      </c>
      <c r="J5106" s="7" t="str">
        <f aca="false">IF(F5106=0,"NOT FOUND",IF(C5106=I5106,"SELF-VOTE",IF(COUNTIF($K:$K,K5106)&gt;1,"DUPLICATE","OK")))</f>
        <v>OK</v>
      </c>
      <c r="K5106" s="6" t="str">
        <f aca="false">A5106&amp;"|"&amp;B5106&amp;"|"&amp;C5106&amp;"|"&amp;D5106</f>
        <v>7|7|Kelsey|spotify:track:3Vr3zh0r7ALn8VLqCiRR10</v>
      </c>
    </row>
    <row r="5107" customFormat="false" ht="15" hidden="false" customHeight="false" outlineLevel="0" collapsed="false">
      <c r="A5107" s="5" t="n">
        <v>7</v>
      </c>
      <c r="B5107" s="5" t="n">
        <v>7</v>
      </c>
      <c r="C5107" s="5" t="s">
        <v>85</v>
      </c>
      <c r="D5107" s="5" t="s">
        <v>2257</v>
      </c>
      <c r="E5107" s="5" t="n">
        <v>1</v>
      </c>
      <c r="F5107" s="6" t="n">
        <f aca="false">IFERROR(MATCH(A5107&amp;"|"&amp;B5107&amp;"|"&amp;D5107,'All Song Rankings'!$T:$T,0),0)</f>
        <v>761</v>
      </c>
      <c r="G5107" s="6" t="str">
        <f aca="false">IF(F5107=0,"NOT FOUND",INDEX('All Song Rankings'!$A:$A,F5107))</f>
        <v>Supermassive Black Hole</v>
      </c>
      <c r="H5107" s="6" t="str">
        <f aca="false">IF(F5107=0,"NOT FOUND",INDEX('All Song Rankings'!$B:$B,F5107))</f>
        <v>Muse</v>
      </c>
      <c r="I5107" s="6" t="str">
        <f aca="false">IF(F5107=0,"NOT FOUND",INDEX('All Song Rankings'!$D:$D,F5107))</f>
        <v>Stephanie</v>
      </c>
      <c r="J5107" s="7" t="str">
        <f aca="false">IF(F5107=0,"NOT FOUND",IF(C5107=I5107,"SELF-VOTE",IF(COUNTIF($K:$K,K5107)&gt;1,"DUPLICATE","OK")))</f>
        <v>OK</v>
      </c>
      <c r="K5107" s="6" t="str">
        <f aca="false">A5107&amp;"|"&amp;B5107&amp;"|"&amp;C5107&amp;"|"&amp;D5107</f>
        <v>7|7|Kelsey|spotify:track:3lPr8ghNDBLc2uZovNyLs9</v>
      </c>
    </row>
    <row r="5108" customFormat="false" ht="15" hidden="false" customHeight="false" outlineLevel="0" collapsed="false">
      <c r="A5108" s="5" t="n">
        <v>7</v>
      </c>
      <c r="B5108" s="5" t="n">
        <v>7</v>
      </c>
      <c r="C5108" s="5" t="s">
        <v>85</v>
      </c>
      <c r="D5108" s="5" t="s">
        <v>2277</v>
      </c>
      <c r="E5108" s="5" t="n">
        <v>1</v>
      </c>
      <c r="F5108" s="6" t="n">
        <f aca="false">IFERROR(MATCH(A5108&amp;"|"&amp;B5108&amp;"|"&amp;D5108,'All Song Rankings'!$T:$T,0),0)</f>
        <v>769</v>
      </c>
      <c r="G5108" s="6" t="str">
        <f aca="false">IF(F5108=0,"NOT FOUND",INDEX('All Song Rankings'!$A:$A,F5108))</f>
        <v>39</v>
      </c>
      <c r="H5108" s="6" t="str">
        <f aca="false">IF(F5108=0,"NOT FOUND",INDEX('All Song Rankings'!$B:$B,F5108))</f>
        <v>Queen</v>
      </c>
      <c r="I5108" s="6" t="str">
        <f aca="false">IF(F5108=0,"NOT FOUND",INDEX('All Song Rankings'!$D:$D,F5108))</f>
        <v>Lisa</v>
      </c>
      <c r="J5108" s="7" t="str">
        <f aca="false">IF(F5108=0,"NOT FOUND",IF(C5108=I5108,"SELF-VOTE",IF(COUNTIF($K:$K,K5108)&gt;1,"DUPLICATE","OK")))</f>
        <v>OK</v>
      </c>
      <c r="K5108" s="6" t="str">
        <f aca="false">A5108&amp;"|"&amp;B5108&amp;"|"&amp;C5108&amp;"|"&amp;D5108</f>
        <v>7|7|Kelsey|spotify:track:6e8HCstOUFx9sac4fnqPKx</v>
      </c>
    </row>
    <row r="5109" customFormat="false" ht="15" hidden="false" customHeight="false" outlineLevel="0" collapsed="false">
      <c r="A5109" s="5" t="n">
        <v>7</v>
      </c>
      <c r="B5109" s="5" t="n">
        <v>7</v>
      </c>
      <c r="C5109" s="5" t="s">
        <v>85</v>
      </c>
      <c r="D5109" s="5" t="s">
        <v>2265</v>
      </c>
      <c r="E5109" s="5" t="n">
        <v>1</v>
      </c>
      <c r="F5109" s="6" t="n">
        <f aca="false">IFERROR(MATCH(A5109&amp;"|"&amp;B5109&amp;"|"&amp;D5109,'All Song Rankings'!$T:$T,0),0)</f>
        <v>764</v>
      </c>
      <c r="G5109" s="6" t="str">
        <f aca="false">IF(F5109=0,"NOT FOUND",INDEX('All Song Rankings'!$A:$A,F5109))</f>
        <v>Fly Me To The Moon - 2008 Remaster</v>
      </c>
      <c r="H5109" s="6" t="str">
        <f aca="false">IF(F5109=0,"NOT FOUND",INDEX('All Song Rankings'!$B:$B,F5109))</f>
        <v>Frank Sinatra</v>
      </c>
      <c r="I5109" s="6" t="str">
        <f aca="false">IF(F5109=0,"NOT FOUND",INDEX('All Song Rankings'!$D:$D,F5109))</f>
        <v>Grace</v>
      </c>
      <c r="J5109" s="7" t="str">
        <f aca="false">IF(F5109=0,"NOT FOUND",IF(C5109=I5109,"SELF-VOTE",IF(COUNTIF($K:$K,K5109)&gt;1,"DUPLICATE","OK")))</f>
        <v>OK</v>
      </c>
      <c r="K5109" s="6" t="str">
        <f aca="false">A5109&amp;"|"&amp;B5109&amp;"|"&amp;C5109&amp;"|"&amp;D5109</f>
        <v>7|7|Kelsey|spotify:track:7FXj7Qg3YorUxdrzvrcY25</v>
      </c>
    </row>
    <row r="5110" customFormat="false" ht="15" hidden="false" customHeight="false" outlineLevel="0" collapsed="false">
      <c r="A5110" s="5" t="n">
        <v>7</v>
      </c>
      <c r="B5110" s="5" t="n">
        <v>7</v>
      </c>
      <c r="C5110" s="5" t="s">
        <v>106</v>
      </c>
      <c r="D5110" s="5" t="s">
        <v>2272</v>
      </c>
      <c r="E5110" s="5" t="n">
        <v>1</v>
      </c>
      <c r="F5110" s="6" t="n">
        <f aca="false">IFERROR(MATCH(A5110&amp;"|"&amp;B5110&amp;"|"&amp;D5110,'All Song Rankings'!$T:$T,0),0)</f>
        <v>767</v>
      </c>
      <c r="G5110" s="6" t="str">
        <f aca="false">IF(F5110=0,"NOT FOUND",INDEX('All Song Rankings'!$A:$A,F5110))</f>
        <v>Ladies and gentlemen we are floating in space</v>
      </c>
      <c r="H5110" s="6" t="str">
        <f aca="false">IF(F5110=0,"NOT FOUND",INDEX('All Song Rankings'!$B:$B,F5110))</f>
        <v>Spiritualized</v>
      </c>
      <c r="I5110" s="6" t="str">
        <f aca="false">IF(F5110=0,"NOT FOUND",INDEX('All Song Rankings'!$D:$D,F5110))</f>
        <v>Logan</v>
      </c>
      <c r="J5110" s="7" t="str">
        <f aca="false">IF(F5110=0,"NOT FOUND",IF(C5110=I5110,"SELF-VOTE",IF(COUNTIF($K:$K,K5110)&gt;1,"DUPLICATE","OK")))</f>
        <v>OK</v>
      </c>
      <c r="K5110" s="6" t="str">
        <f aca="false">A5110&amp;"|"&amp;B5110&amp;"|"&amp;C5110&amp;"|"&amp;D5110</f>
        <v>7|7|Kristen|spotify:track:0fOjUafaAhJV16oRBgCtz7</v>
      </c>
    </row>
    <row r="5111" customFormat="false" ht="15" hidden="false" customHeight="false" outlineLevel="0" collapsed="false">
      <c r="A5111" s="5" t="n">
        <v>7</v>
      </c>
      <c r="B5111" s="5" t="n">
        <v>7</v>
      </c>
      <c r="C5111" s="5" t="s">
        <v>106</v>
      </c>
      <c r="D5111" s="5" t="s">
        <v>2255</v>
      </c>
      <c r="E5111" s="5" t="n">
        <v>1</v>
      </c>
      <c r="F5111" s="6" t="n">
        <f aca="false">IFERROR(MATCH(A5111&amp;"|"&amp;B5111&amp;"|"&amp;D5111,'All Song Rankings'!$T:$T,0),0)</f>
        <v>760</v>
      </c>
      <c r="G5111" s="6" t="str">
        <f aca="false">IF(F5111=0,"NOT FOUND",INDEX('All Song Rankings'!$A:$A,F5111))</f>
        <v>Starman - 2012 Remaster</v>
      </c>
      <c r="H5111" s="6" t="str">
        <f aca="false">IF(F5111=0,"NOT FOUND",INDEX('All Song Rankings'!$B:$B,F5111))</f>
        <v>David Bowie</v>
      </c>
      <c r="I5111" s="6" t="str">
        <f aca="false">IF(F5111=0,"NOT FOUND",INDEX('All Song Rankings'!$D:$D,F5111))</f>
        <v>Christine</v>
      </c>
      <c r="J5111" s="7" t="str">
        <f aca="false">IF(F5111=0,"NOT FOUND",IF(C5111=I5111,"SELF-VOTE",IF(COUNTIF($K:$K,K5111)&gt;1,"DUPLICATE","OK")))</f>
        <v>OK</v>
      </c>
      <c r="K5111" s="6" t="str">
        <f aca="false">A5111&amp;"|"&amp;B5111&amp;"|"&amp;C5111&amp;"|"&amp;D5111</f>
        <v>7|7|Kristen|spotify:track:0pQskrTITgmCMyr85tb9qq</v>
      </c>
    </row>
    <row r="5112" customFormat="false" ht="15" hidden="false" customHeight="false" outlineLevel="0" collapsed="false">
      <c r="A5112" s="5" t="n">
        <v>7</v>
      </c>
      <c r="B5112" s="5" t="n">
        <v>7</v>
      </c>
      <c r="C5112" s="5" t="s">
        <v>106</v>
      </c>
      <c r="D5112" s="5" t="s">
        <v>2252</v>
      </c>
      <c r="E5112" s="5" t="n">
        <v>1</v>
      </c>
      <c r="F5112" s="6" t="n">
        <f aca="false">IFERROR(MATCH(A5112&amp;"|"&amp;B5112&amp;"|"&amp;D5112,'All Song Rankings'!$T:$T,0),0)</f>
        <v>759</v>
      </c>
      <c r="G5112" s="6" t="str">
        <f aca="false">IF(F5112=0,"NOT FOUND",INDEX('All Song Rankings'!$A:$A,F5112))</f>
        <v>Saturn</v>
      </c>
      <c r="H5112" s="6" t="str">
        <f aca="false">IF(F5112=0,"NOT FOUND",INDEX('All Song Rankings'!$B:$B,F5112))</f>
        <v>SZA</v>
      </c>
      <c r="I5112" s="6" t="str">
        <f aca="false">IF(F5112=0,"NOT FOUND",INDEX('All Song Rankings'!$D:$D,F5112))</f>
        <v>Leah</v>
      </c>
      <c r="J5112" s="7" t="str">
        <f aca="false">IF(F5112=0,"NOT FOUND",IF(C5112=I5112,"SELF-VOTE",IF(COUNTIF($K:$K,K5112)&gt;1,"DUPLICATE","OK")))</f>
        <v>OK</v>
      </c>
      <c r="K5112" s="6" t="str">
        <f aca="false">A5112&amp;"|"&amp;B5112&amp;"|"&amp;C5112&amp;"|"&amp;D5112</f>
        <v>7|7|Kristen|spotify:track:1bjeWoagtHmUKputLVyDxQ</v>
      </c>
    </row>
    <row r="5113" customFormat="false" ht="15" hidden="false" customHeight="false" outlineLevel="0" collapsed="false">
      <c r="A5113" s="5" t="n">
        <v>7</v>
      </c>
      <c r="B5113" s="5" t="n">
        <v>7</v>
      </c>
      <c r="C5113" s="5" t="s">
        <v>106</v>
      </c>
      <c r="D5113" s="5" t="s">
        <v>2260</v>
      </c>
      <c r="E5113" s="5" t="n">
        <v>1</v>
      </c>
      <c r="F5113" s="6" t="n">
        <f aca="false">IFERROR(MATCH(A5113&amp;"|"&amp;B5113&amp;"|"&amp;D5113,'All Song Rankings'!$T:$T,0),0)</f>
        <v>762</v>
      </c>
      <c r="G5113" s="6" t="str">
        <f aca="false">IF(F5113=0,"NOT FOUND",INDEX('All Song Rankings'!$A:$A,F5113))</f>
        <v>Stargazing</v>
      </c>
      <c r="H5113" s="6" t="str">
        <f aca="false">IF(F5113=0,"NOT FOUND",INDEX('All Song Rankings'!$B:$B,F5113))</f>
        <v>Myles Smith</v>
      </c>
      <c r="I5113" s="6" t="str">
        <f aca="false">IF(F5113=0,"NOT FOUND",INDEX('All Song Rankings'!$D:$D,F5113))</f>
        <v>Colleen</v>
      </c>
      <c r="J5113" s="7" t="str">
        <f aca="false">IF(F5113=0,"NOT FOUND",IF(C5113=I5113,"SELF-VOTE",IF(COUNTIF($K:$K,K5113)&gt;1,"DUPLICATE","OK")))</f>
        <v>OK</v>
      </c>
      <c r="K5113" s="6" t="str">
        <f aca="false">A5113&amp;"|"&amp;B5113&amp;"|"&amp;C5113&amp;"|"&amp;D5113</f>
        <v>7|7|Kristen|spotify:track:3Vr3zh0r7ALn8VLqCiRR10</v>
      </c>
    </row>
    <row r="5114" customFormat="false" ht="15" hidden="false" customHeight="false" outlineLevel="0" collapsed="false">
      <c r="A5114" s="5" t="n">
        <v>7</v>
      </c>
      <c r="B5114" s="5" t="n">
        <v>7</v>
      </c>
      <c r="C5114" s="5" t="s">
        <v>106</v>
      </c>
      <c r="D5114" s="5" t="s">
        <v>536</v>
      </c>
      <c r="E5114" s="5" t="n">
        <v>1</v>
      </c>
      <c r="F5114" s="6" t="n">
        <f aca="false">IFERROR(MATCH(A5114&amp;"|"&amp;B5114&amp;"|"&amp;D5114,'All Song Rankings'!$T:$T,0),0)</f>
        <v>766</v>
      </c>
      <c r="G5114" s="6" t="str">
        <f aca="false">IF(F5114=0,"NOT FOUND",INDEX('All Song Rankings'!$A:$A,F5114))</f>
        <v>Rocket Man (I Think It's Going To Be A Long, Long Time)</v>
      </c>
      <c r="H5114" s="6" t="str">
        <f aca="false">IF(F5114=0,"NOT FOUND",INDEX('All Song Rankings'!$B:$B,F5114))</f>
        <v>Elton John</v>
      </c>
      <c r="I5114" s="6" t="str">
        <f aca="false">IF(F5114=0,"NOT FOUND",INDEX('All Song Rankings'!$D:$D,F5114))</f>
        <v>Kelsey</v>
      </c>
      <c r="J5114" s="7" t="str">
        <f aca="false">IF(F5114=0,"NOT FOUND",IF(C5114=I5114,"SELF-VOTE",IF(COUNTIF($K:$K,K5114)&gt;1,"DUPLICATE","OK")))</f>
        <v>OK</v>
      </c>
      <c r="K5114" s="6" t="str">
        <f aca="false">A5114&amp;"|"&amp;B5114&amp;"|"&amp;C5114&amp;"|"&amp;D5114</f>
        <v>7|7|Kristen|spotify:track:3gdewACMIVMEWVbyb8O9sY</v>
      </c>
    </row>
    <row r="5115" customFormat="false" ht="15" hidden="false" customHeight="false" outlineLevel="0" collapsed="false">
      <c r="A5115" s="5" t="n">
        <v>7</v>
      </c>
      <c r="B5115" s="5" t="n">
        <v>7</v>
      </c>
      <c r="C5115" s="5" t="s">
        <v>106</v>
      </c>
      <c r="D5115" s="5" t="s">
        <v>2257</v>
      </c>
      <c r="E5115" s="5" t="n">
        <v>1</v>
      </c>
      <c r="F5115" s="6" t="n">
        <f aca="false">IFERROR(MATCH(A5115&amp;"|"&amp;B5115&amp;"|"&amp;D5115,'All Song Rankings'!$T:$T,0),0)</f>
        <v>761</v>
      </c>
      <c r="G5115" s="6" t="str">
        <f aca="false">IF(F5115=0,"NOT FOUND",INDEX('All Song Rankings'!$A:$A,F5115))</f>
        <v>Supermassive Black Hole</v>
      </c>
      <c r="H5115" s="6" t="str">
        <f aca="false">IF(F5115=0,"NOT FOUND",INDEX('All Song Rankings'!$B:$B,F5115))</f>
        <v>Muse</v>
      </c>
      <c r="I5115" s="6" t="str">
        <f aca="false">IF(F5115=0,"NOT FOUND",INDEX('All Song Rankings'!$D:$D,F5115))</f>
        <v>Stephanie</v>
      </c>
      <c r="J5115" s="7" t="str">
        <f aca="false">IF(F5115=0,"NOT FOUND",IF(C5115=I5115,"SELF-VOTE",IF(COUNTIF($K:$K,K5115)&gt;1,"DUPLICATE","OK")))</f>
        <v>OK</v>
      </c>
      <c r="K5115" s="6" t="str">
        <f aca="false">A5115&amp;"|"&amp;B5115&amp;"|"&amp;C5115&amp;"|"&amp;D5115</f>
        <v>7|7|Kristen|spotify:track:3lPr8ghNDBLc2uZovNyLs9</v>
      </c>
    </row>
    <row r="5116" customFormat="false" ht="15" hidden="false" customHeight="false" outlineLevel="0" collapsed="false">
      <c r="A5116" s="5" t="n">
        <v>7</v>
      </c>
      <c r="B5116" s="5" t="n">
        <v>7</v>
      </c>
      <c r="C5116" s="5" t="s">
        <v>106</v>
      </c>
      <c r="D5116" s="5" t="s">
        <v>2286</v>
      </c>
      <c r="E5116" s="5" t="n">
        <v>1</v>
      </c>
      <c r="F5116" s="6" t="n">
        <f aca="false">IFERROR(MATCH(A5116&amp;"|"&amp;B5116&amp;"|"&amp;D5116,'All Song Rankings'!$T:$T,0),0)</f>
        <v>772</v>
      </c>
      <c r="G5116" s="6" t="str">
        <f aca="false">IF(F5116=0,"NOT FOUND",INDEX('All Song Rankings'!$A:$A,F5116))</f>
        <v>The Moon Song</v>
      </c>
      <c r="H5116" s="6" t="str">
        <f aca="false">IF(F5116=0,"NOT FOUND",INDEX('All Song Rankings'!$B:$B,F5116))</f>
        <v>beabadoobee</v>
      </c>
      <c r="I5116" s="6" t="str">
        <f aca="false">IF(F5116=0,"NOT FOUND",INDEX('All Song Rankings'!$D:$D,F5116))</f>
        <v>Scott</v>
      </c>
      <c r="J5116" s="7" t="str">
        <f aca="false">IF(F5116=0,"NOT FOUND",IF(C5116=I5116,"SELF-VOTE",IF(COUNTIF($K:$K,K5116)&gt;1,"DUPLICATE","OK")))</f>
        <v>OK</v>
      </c>
      <c r="K5116" s="6" t="str">
        <f aca="false">A5116&amp;"|"&amp;B5116&amp;"|"&amp;C5116&amp;"|"&amp;D5116</f>
        <v>7|7|Kristen|spotify:track:3s9eWdn8IymCPvVLcKpjww</v>
      </c>
    </row>
    <row r="5117" customFormat="false" ht="15" hidden="false" customHeight="false" outlineLevel="0" collapsed="false">
      <c r="A5117" s="5" t="n">
        <v>7</v>
      </c>
      <c r="B5117" s="5" t="n">
        <v>7</v>
      </c>
      <c r="C5117" s="5" t="s">
        <v>106</v>
      </c>
      <c r="D5117" s="5" t="s">
        <v>2288</v>
      </c>
      <c r="E5117" s="5" t="n">
        <v>1</v>
      </c>
      <c r="F5117" s="6" t="n">
        <f aca="false">IFERROR(MATCH(A5117&amp;"|"&amp;B5117&amp;"|"&amp;D5117,'All Song Rankings'!$T:$T,0),0)</f>
        <v>773</v>
      </c>
      <c r="G5117" s="6" t="str">
        <f aca="false">IF(F5117=0,"NOT FOUND",INDEX('All Song Rankings'!$A:$A,F5117))</f>
        <v>Lost in Time and Space</v>
      </c>
      <c r="H5117" s="6" t="str">
        <f aca="false">IF(F5117=0,"NOT FOUND",INDEX('All Song Rankings'!$B:$B,F5117))</f>
        <v>Lord Huron</v>
      </c>
      <c r="I5117" s="6" t="str">
        <f aca="false">IF(F5117=0,"NOT FOUND",INDEX('All Song Rankings'!$D:$D,F5117))</f>
        <v>Merita</v>
      </c>
      <c r="J5117" s="7" t="str">
        <f aca="false">IF(F5117=0,"NOT FOUND",IF(C5117=I5117,"SELF-VOTE",IF(COUNTIF($K:$K,K5117)&gt;1,"DUPLICATE","OK")))</f>
        <v>OK</v>
      </c>
      <c r="K5117" s="6" t="str">
        <f aca="false">A5117&amp;"|"&amp;B5117&amp;"|"&amp;C5117&amp;"|"&amp;D5117</f>
        <v>7|7|Kristen|spotify:track:6BqmgqzgKNxPszu1I6gOpn</v>
      </c>
    </row>
    <row r="5118" customFormat="false" ht="15" hidden="false" customHeight="false" outlineLevel="0" collapsed="false">
      <c r="A5118" s="5" t="n">
        <v>7</v>
      </c>
      <c r="B5118" s="5" t="n">
        <v>7</v>
      </c>
      <c r="C5118" s="5" t="s">
        <v>106</v>
      </c>
      <c r="D5118" s="5" t="s">
        <v>2263</v>
      </c>
      <c r="E5118" s="5" t="n">
        <v>1</v>
      </c>
      <c r="F5118" s="6" t="n">
        <f aca="false">IFERROR(MATCH(A5118&amp;"|"&amp;B5118&amp;"|"&amp;D5118,'All Song Rankings'!$T:$T,0),0)</f>
        <v>763</v>
      </c>
      <c r="G5118" s="6" t="str">
        <f aca="false">IF(F5118=0,"NOT FOUND",INDEX('All Song Rankings'!$A:$A,F5118))</f>
        <v>Major Tom (Coming Home)</v>
      </c>
      <c r="H5118" s="6" t="str">
        <f aca="false">IF(F5118=0,"NOT FOUND",INDEX('All Song Rankings'!$B:$B,F5118))</f>
        <v>Peter Schilling</v>
      </c>
      <c r="I5118" s="6" t="str">
        <f aca="false">IF(F5118=0,"NOT FOUND",INDEX('All Song Rankings'!$D:$D,F5118))</f>
        <v>Matt</v>
      </c>
      <c r="J5118" s="7" t="str">
        <f aca="false">IF(F5118=0,"NOT FOUND",IF(C5118=I5118,"SELF-VOTE",IF(COUNTIF($K:$K,K5118)&gt;1,"DUPLICATE","OK")))</f>
        <v>OK</v>
      </c>
      <c r="K5118" s="6" t="str">
        <f aca="false">A5118&amp;"|"&amp;B5118&amp;"|"&amp;C5118&amp;"|"&amp;D5118</f>
        <v>7|7|Kristen|spotify:track:709ffFK4o4MtG1NKoLvOma</v>
      </c>
    </row>
    <row r="5119" customFormat="false" ht="15" hidden="false" customHeight="false" outlineLevel="0" collapsed="false">
      <c r="A5119" s="5" t="n">
        <v>7</v>
      </c>
      <c r="B5119" s="5" t="n">
        <v>7</v>
      </c>
      <c r="C5119" s="5" t="s">
        <v>106</v>
      </c>
      <c r="D5119" s="5" t="s">
        <v>2265</v>
      </c>
      <c r="E5119" s="5" t="n">
        <v>1</v>
      </c>
      <c r="F5119" s="6" t="n">
        <f aca="false">IFERROR(MATCH(A5119&amp;"|"&amp;B5119&amp;"|"&amp;D5119,'All Song Rankings'!$T:$T,0),0)</f>
        <v>764</v>
      </c>
      <c r="G5119" s="6" t="str">
        <f aca="false">IF(F5119=0,"NOT FOUND",INDEX('All Song Rankings'!$A:$A,F5119))</f>
        <v>Fly Me To The Moon - 2008 Remaster</v>
      </c>
      <c r="H5119" s="6" t="str">
        <f aca="false">IF(F5119=0,"NOT FOUND",INDEX('All Song Rankings'!$B:$B,F5119))</f>
        <v>Frank Sinatra</v>
      </c>
      <c r="I5119" s="6" t="str">
        <f aca="false">IF(F5119=0,"NOT FOUND",INDEX('All Song Rankings'!$D:$D,F5119))</f>
        <v>Grace</v>
      </c>
      <c r="J5119" s="7" t="str">
        <f aca="false">IF(F5119=0,"NOT FOUND",IF(C5119=I5119,"SELF-VOTE",IF(COUNTIF($K:$K,K5119)&gt;1,"DUPLICATE","OK")))</f>
        <v>OK</v>
      </c>
      <c r="K5119" s="6" t="str">
        <f aca="false">A5119&amp;"|"&amp;B5119&amp;"|"&amp;C5119&amp;"|"&amp;D5119</f>
        <v>7|7|Kristen|spotify:track:7FXj7Qg3YorUxdrzvrcY25</v>
      </c>
    </row>
    <row r="5120" customFormat="false" ht="15" hidden="false" customHeight="false" outlineLevel="0" collapsed="false">
      <c r="A5120" s="5" t="n">
        <v>7</v>
      </c>
      <c r="B5120" s="5" t="n">
        <v>7</v>
      </c>
      <c r="C5120" s="5" t="s">
        <v>119</v>
      </c>
      <c r="D5120" s="5" t="s">
        <v>2272</v>
      </c>
      <c r="E5120" s="5" t="n">
        <v>1</v>
      </c>
      <c r="F5120" s="6" t="n">
        <f aca="false">IFERROR(MATCH(A5120&amp;"|"&amp;B5120&amp;"|"&amp;D5120,'All Song Rankings'!$T:$T,0),0)</f>
        <v>767</v>
      </c>
      <c r="G5120" s="6" t="str">
        <f aca="false">IF(F5120=0,"NOT FOUND",INDEX('All Song Rankings'!$A:$A,F5120))</f>
        <v>Ladies and gentlemen we are floating in space</v>
      </c>
      <c r="H5120" s="6" t="str">
        <f aca="false">IF(F5120=0,"NOT FOUND",INDEX('All Song Rankings'!$B:$B,F5120))</f>
        <v>Spiritualized</v>
      </c>
      <c r="I5120" s="6" t="str">
        <f aca="false">IF(F5120=0,"NOT FOUND",INDEX('All Song Rankings'!$D:$D,F5120))</f>
        <v>Logan</v>
      </c>
      <c r="J5120" s="7" t="str">
        <f aca="false">IF(F5120=0,"NOT FOUND",IF(C5120=I5120,"SELF-VOTE",IF(COUNTIF($K:$K,K5120)&gt;1,"DUPLICATE","OK")))</f>
        <v>OK</v>
      </c>
      <c r="K5120" s="6" t="str">
        <f aca="false">A5120&amp;"|"&amp;B5120&amp;"|"&amp;C5120&amp;"|"&amp;D5120</f>
        <v>7|7|Leah|spotify:track:0fOjUafaAhJV16oRBgCtz7</v>
      </c>
    </row>
    <row r="5121" customFormat="false" ht="15" hidden="false" customHeight="false" outlineLevel="0" collapsed="false">
      <c r="A5121" s="5" t="n">
        <v>7</v>
      </c>
      <c r="B5121" s="5" t="n">
        <v>7</v>
      </c>
      <c r="C5121" s="5" t="s">
        <v>119</v>
      </c>
      <c r="D5121" s="5" t="s">
        <v>2255</v>
      </c>
      <c r="E5121" s="5" t="n">
        <v>1</v>
      </c>
      <c r="F5121" s="6" t="n">
        <f aca="false">IFERROR(MATCH(A5121&amp;"|"&amp;B5121&amp;"|"&amp;D5121,'All Song Rankings'!$T:$T,0),0)</f>
        <v>760</v>
      </c>
      <c r="G5121" s="6" t="str">
        <f aca="false">IF(F5121=0,"NOT FOUND",INDEX('All Song Rankings'!$A:$A,F5121))</f>
        <v>Starman - 2012 Remaster</v>
      </c>
      <c r="H5121" s="6" t="str">
        <f aca="false">IF(F5121=0,"NOT FOUND",INDEX('All Song Rankings'!$B:$B,F5121))</f>
        <v>David Bowie</v>
      </c>
      <c r="I5121" s="6" t="str">
        <f aca="false">IF(F5121=0,"NOT FOUND",INDEX('All Song Rankings'!$D:$D,F5121))</f>
        <v>Christine</v>
      </c>
      <c r="J5121" s="7" t="str">
        <f aca="false">IF(F5121=0,"NOT FOUND",IF(C5121=I5121,"SELF-VOTE",IF(COUNTIF($K:$K,K5121)&gt;1,"DUPLICATE","OK")))</f>
        <v>OK</v>
      </c>
      <c r="K5121" s="6" t="str">
        <f aca="false">A5121&amp;"|"&amp;B5121&amp;"|"&amp;C5121&amp;"|"&amp;D5121</f>
        <v>7|7|Leah|spotify:track:0pQskrTITgmCMyr85tb9qq</v>
      </c>
    </row>
    <row r="5122" customFormat="false" ht="15" hidden="false" customHeight="false" outlineLevel="0" collapsed="false">
      <c r="A5122" s="5" t="n">
        <v>7</v>
      </c>
      <c r="B5122" s="5" t="n">
        <v>7</v>
      </c>
      <c r="C5122" s="5" t="s">
        <v>119</v>
      </c>
      <c r="D5122" s="5" t="s">
        <v>2275</v>
      </c>
      <c r="E5122" s="5" t="n">
        <v>1</v>
      </c>
      <c r="F5122" s="6" t="n">
        <f aca="false">IFERROR(MATCH(A5122&amp;"|"&amp;B5122&amp;"|"&amp;D5122,'All Song Rankings'!$T:$T,0),0)</f>
        <v>768</v>
      </c>
      <c r="G5122" s="6" t="str">
        <f aca="false">IF(F5122=0,"NOT FOUND",INDEX('All Song Rankings'!$A:$A,F5122))</f>
        <v>Star Love</v>
      </c>
      <c r="H5122" s="6" t="str">
        <f aca="false">IF(F5122=0,"NOT FOUND",INDEX('All Song Rankings'!$B:$B,F5122))</f>
        <v>Cheryl Lynn</v>
      </c>
      <c r="I5122" s="6" t="str">
        <f aca="false">IF(F5122=0,"NOT FOUND",INDEX('All Song Rankings'!$D:$D,F5122))</f>
        <v>Sara</v>
      </c>
      <c r="J5122" s="7" t="str">
        <f aca="false">IF(F5122=0,"NOT FOUND",IF(C5122=I5122,"SELF-VOTE",IF(COUNTIF($K:$K,K5122)&gt;1,"DUPLICATE","OK")))</f>
        <v>OK</v>
      </c>
      <c r="K5122" s="6" t="str">
        <f aca="false">A5122&amp;"|"&amp;B5122&amp;"|"&amp;C5122&amp;"|"&amp;D5122</f>
        <v>7|7|Leah|spotify:track:3Qf3MFEgl1laKe49NAXYKq</v>
      </c>
    </row>
    <row r="5123" customFormat="false" ht="15" hidden="false" customHeight="false" outlineLevel="0" collapsed="false">
      <c r="A5123" s="5" t="n">
        <v>7</v>
      </c>
      <c r="B5123" s="5" t="n">
        <v>7</v>
      </c>
      <c r="C5123" s="5" t="s">
        <v>119</v>
      </c>
      <c r="D5123" s="5" t="s">
        <v>2260</v>
      </c>
      <c r="E5123" s="5" t="n">
        <v>1</v>
      </c>
      <c r="F5123" s="6" t="n">
        <f aca="false">IFERROR(MATCH(A5123&amp;"|"&amp;B5123&amp;"|"&amp;D5123,'All Song Rankings'!$T:$T,0),0)</f>
        <v>762</v>
      </c>
      <c r="G5123" s="6" t="str">
        <f aca="false">IF(F5123=0,"NOT FOUND",INDEX('All Song Rankings'!$A:$A,F5123))</f>
        <v>Stargazing</v>
      </c>
      <c r="H5123" s="6" t="str">
        <f aca="false">IF(F5123=0,"NOT FOUND",INDEX('All Song Rankings'!$B:$B,F5123))</f>
        <v>Myles Smith</v>
      </c>
      <c r="I5123" s="6" t="str">
        <f aca="false">IF(F5123=0,"NOT FOUND",INDEX('All Song Rankings'!$D:$D,F5123))</f>
        <v>Colleen</v>
      </c>
      <c r="J5123" s="7" t="str">
        <f aca="false">IF(F5123=0,"NOT FOUND",IF(C5123=I5123,"SELF-VOTE",IF(COUNTIF($K:$K,K5123)&gt;1,"DUPLICATE","OK")))</f>
        <v>OK</v>
      </c>
      <c r="K5123" s="6" t="str">
        <f aca="false">A5123&amp;"|"&amp;B5123&amp;"|"&amp;C5123&amp;"|"&amp;D5123</f>
        <v>7|7|Leah|spotify:track:3Vr3zh0r7ALn8VLqCiRR10</v>
      </c>
    </row>
    <row r="5124" customFormat="false" ht="15" hidden="false" customHeight="false" outlineLevel="0" collapsed="false">
      <c r="A5124" s="5" t="n">
        <v>7</v>
      </c>
      <c r="B5124" s="5" t="n">
        <v>7</v>
      </c>
      <c r="C5124" s="5" t="s">
        <v>119</v>
      </c>
      <c r="D5124" s="5" t="s">
        <v>2288</v>
      </c>
      <c r="E5124" s="5" t="n">
        <v>1</v>
      </c>
      <c r="F5124" s="6" t="n">
        <f aca="false">IFERROR(MATCH(A5124&amp;"|"&amp;B5124&amp;"|"&amp;D5124,'All Song Rankings'!$T:$T,0),0)</f>
        <v>773</v>
      </c>
      <c r="G5124" s="6" t="str">
        <f aca="false">IF(F5124=0,"NOT FOUND",INDEX('All Song Rankings'!$A:$A,F5124))</f>
        <v>Lost in Time and Space</v>
      </c>
      <c r="H5124" s="6" t="str">
        <f aca="false">IF(F5124=0,"NOT FOUND",INDEX('All Song Rankings'!$B:$B,F5124))</f>
        <v>Lord Huron</v>
      </c>
      <c r="I5124" s="6" t="str">
        <f aca="false">IF(F5124=0,"NOT FOUND",INDEX('All Song Rankings'!$D:$D,F5124))</f>
        <v>Merita</v>
      </c>
      <c r="J5124" s="7" t="str">
        <f aca="false">IF(F5124=0,"NOT FOUND",IF(C5124=I5124,"SELF-VOTE",IF(COUNTIF($K:$K,K5124)&gt;1,"DUPLICATE","OK")))</f>
        <v>OK</v>
      </c>
      <c r="K5124" s="6" t="str">
        <f aca="false">A5124&amp;"|"&amp;B5124&amp;"|"&amp;C5124&amp;"|"&amp;D5124</f>
        <v>7|7|Leah|spotify:track:6BqmgqzgKNxPszu1I6gOpn</v>
      </c>
    </row>
    <row r="5125" customFormat="false" ht="15" hidden="false" customHeight="false" outlineLevel="0" collapsed="false">
      <c r="A5125" s="5" t="n">
        <v>7</v>
      </c>
      <c r="B5125" s="5" t="n">
        <v>7</v>
      </c>
      <c r="C5125" s="5" t="s">
        <v>119</v>
      </c>
      <c r="D5125" s="5" t="s">
        <v>2280</v>
      </c>
      <c r="E5125" s="5" t="n">
        <v>1</v>
      </c>
      <c r="F5125" s="6" t="n">
        <f aca="false">IFERROR(MATCH(A5125&amp;"|"&amp;B5125&amp;"|"&amp;D5125,'All Song Rankings'!$T:$T,0),0)</f>
        <v>770</v>
      </c>
      <c r="G5125" s="6" t="str">
        <f aca="false">IF(F5125=0,"NOT FOUND",INDEX('All Song Rankings'!$A:$A,F5125))</f>
        <v>Star Trek: The Next Generation Main Title</v>
      </c>
      <c r="H5125" s="6" t="str">
        <f aca="false">IF(F5125=0,"NOT FOUND",INDEX('All Song Rankings'!$B:$B,F5125))</f>
        <v>Jerry Goldsmith, Ron Jones</v>
      </c>
      <c r="I5125" s="6" t="str">
        <f aca="false">IF(F5125=0,"NOT FOUND",INDEX('All Song Rankings'!$D:$D,F5125))</f>
        <v>Kristen</v>
      </c>
      <c r="J5125" s="7" t="str">
        <f aca="false">IF(F5125=0,"NOT FOUND",IF(C5125=I5125,"SELF-VOTE",IF(COUNTIF($K:$K,K5125)&gt;1,"DUPLICATE","OK")))</f>
        <v>OK</v>
      </c>
      <c r="K5125" s="6" t="str">
        <f aca="false">A5125&amp;"|"&amp;B5125&amp;"|"&amp;C5125&amp;"|"&amp;D5125</f>
        <v>7|7|Leah|spotify:track:6C6UppMmnhp4DY4oyG823S</v>
      </c>
    </row>
    <row r="5126" customFormat="false" ht="15" hidden="false" customHeight="false" outlineLevel="0" collapsed="false">
      <c r="A5126" s="5" t="n">
        <v>7</v>
      </c>
      <c r="B5126" s="5" t="n">
        <v>7</v>
      </c>
      <c r="C5126" s="5" t="s">
        <v>119</v>
      </c>
      <c r="D5126" s="5" t="s">
        <v>2277</v>
      </c>
      <c r="E5126" s="5" t="n">
        <v>1</v>
      </c>
      <c r="F5126" s="6" t="n">
        <f aca="false">IFERROR(MATCH(A5126&amp;"|"&amp;B5126&amp;"|"&amp;D5126,'All Song Rankings'!$T:$T,0),0)</f>
        <v>769</v>
      </c>
      <c r="G5126" s="6" t="str">
        <f aca="false">IF(F5126=0,"NOT FOUND",INDEX('All Song Rankings'!$A:$A,F5126))</f>
        <v>39</v>
      </c>
      <c r="H5126" s="6" t="str">
        <f aca="false">IF(F5126=0,"NOT FOUND",INDEX('All Song Rankings'!$B:$B,F5126))</f>
        <v>Queen</v>
      </c>
      <c r="I5126" s="6" t="str">
        <f aca="false">IF(F5126=0,"NOT FOUND",INDEX('All Song Rankings'!$D:$D,F5126))</f>
        <v>Lisa</v>
      </c>
      <c r="J5126" s="7" t="str">
        <f aca="false">IF(F5126=0,"NOT FOUND",IF(C5126=I5126,"SELF-VOTE",IF(COUNTIF($K:$K,K5126)&gt;1,"DUPLICATE","OK")))</f>
        <v>OK</v>
      </c>
      <c r="K5126" s="6" t="str">
        <f aca="false">A5126&amp;"|"&amp;B5126&amp;"|"&amp;C5126&amp;"|"&amp;D5126</f>
        <v>7|7|Leah|spotify:track:6e8HCstOUFx9sac4fnqPKx</v>
      </c>
    </row>
    <row r="5127" customFormat="false" ht="15" hidden="false" customHeight="false" outlineLevel="0" collapsed="false">
      <c r="A5127" s="5" t="n">
        <v>7</v>
      </c>
      <c r="B5127" s="5" t="n">
        <v>7</v>
      </c>
      <c r="C5127" s="5" t="s">
        <v>119</v>
      </c>
      <c r="D5127" s="5" t="s">
        <v>2263</v>
      </c>
      <c r="E5127" s="5" t="n">
        <v>2</v>
      </c>
      <c r="F5127" s="6" t="n">
        <f aca="false">IFERROR(MATCH(A5127&amp;"|"&amp;B5127&amp;"|"&amp;D5127,'All Song Rankings'!$T:$T,0),0)</f>
        <v>763</v>
      </c>
      <c r="G5127" s="6" t="str">
        <f aca="false">IF(F5127=0,"NOT FOUND",INDEX('All Song Rankings'!$A:$A,F5127))</f>
        <v>Major Tom (Coming Home)</v>
      </c>
      <c r="H5127" s="6" t="str">
        <f aca="false">IF(F5127=0,"NOT FOUND",INDEX('All Song Rankings'!$B:$B,F5127))</f>
        <v>Peter Schilling</v>
      </c>
      <c r="I5127" s="6" t="str">
        <f aca="false">IF(F5127=0,"NOT FOUND",INDEX('All Song Rankings'!$D:$D,F5127))</f>
        <v>Matt</v>
      </c>
      <c r="J5127" s="7" t="str">
        <f aca="false">IF(F5127=0,"NOT FOUND",IF(C5127=I5127,"SELF-VOTE",IF(COUNTIF($K:$K,K5127)&gt;1,"DUPLICATE","OK")))</f>
        <v>OK</v>
      </c>
      <c r="K5127" s="6" t="str">
        <f aca="false">A5127&amp;"|"&amp;B5127&amp;"|"&amp;C5127&amp;"|"&amp;D5127</f>
        <v>7|7|Leah|spotify:track:709ffFK4o4MtG1NKoLvOma</v>
      </c>
    </row>
    <row r="5128" customFormat="false" ht="15" hidden="false" customHeight="false" outlineLevel="0" collapsed="false">
      <c r="A5128" s="5" t="n">
        <v>7</v>
      </c>
      <c r="B5128" s="5" t="n">
        <v>7</v>
      </c>
      <c r="C5128" s="5" t="s">
        <v>119</v>
      </c>
      <c r="D5128" s="5" t="s">
        <v>2265</v>
      </c>
      <c r="E5128" s="5" t="n">
        <v>1</v>
      </c>
      <c r="F5128" s="6" t="n">
        <f aca="false">IFERROR(MATCH(A5128&amp;"|"&amp;B5128&amp;"|"&amp;D5128,'All Song Rankings'!$T:$T,0),0)</f>
        <v>764</v>
      </c>
      <c r="G5128" s="6" t="str">
        <f aca="false">IF(F5128=0,"NOT FOUND",INDEX('All Song Rankings'!$A:$A,F5128))</f>
        <v>Fly Me To The Moon - 2008 Remaster</v>
      </c>
      <c r="H5128" s="6" t="str">
        <f aca="false">IF(F5128=0,"NOT FOUND",INDEX('All Song Rankings'!$B:$B,F5128))</f>
        <v>Frank Sinatra</v>
      </c>
      <c r="I5128" s="6" t="str">
        <f aca="false">IF(F5128=0,"NOT FOUND",INDEX('All Song Rankings'!$D:$D,F5128))</f>
        <v>Grace</v>
      </c>
      <c r="J5128" s="7" t="str">
        <f aca="false">IF(F5128=0,"NOT FOUND",IF(C5128=I5128,"SELF-VOTE",IF(COUNTIF($K:$K,K5128)&gt;1,"DUPLICATE","OK")))</f>
        <v>OK</v>
      </c>
      <c r="K5128" s="6" t="str">
        <f aca="false">A5128&amp;"|"&amp;B5128&amp;"|"&amp;C5128&amp;"|"&amp;D5128</f>
        <v>7|7|Leah|spotify:track:7FXj7Qg3YorUxdrzvrcY25</v>
      </c>
    </row>
    <row r="5129" customFormat="false" ht="15" hidden="false" customHeight="false" outlineLevel="0" collapsed="false">
      <c r="A5129" s="5" t="n">
        <v>7</v>
      </c>
      <c r="B5129" s="5" t="n">
        <v>7</v>
      </c>
      <c r="C5129" s="5" t="s">
        <v>705</v>
      </c>
      <c r="D5129" s="5" t="s">
        <v>2268</v>
      </c>
      <c r="E5129" s="5" t="n">
        <v>1</v>
      </c>
      <c r="F5129" s="6" t="n">
        <f aca="false">IFERROR(MATCH(A5129&amp;"|"&amp;B5129&amp;"|"&amp;D5129,'All Song Rankings'!$T:$T,0),0)</f>
        <v>765</v>
      </c>
      <c r="G5129" s="6" t="str">
        <f aca="false">IF(F5129=0,"NOT FOUND",INDEX('All Song Rankings'!$A:$A,F5129))</f>
        <v>Working Class Heroes (Work)</v>
      </c>
      <c r="H5129" s="6" t="str">
        <f aca="false">IF(F5129=0,"NOT FOUND",INDEX('All Song Rankings'!$B:$B,F5129))</f>
        <v>CeeLo Green</v>
      </c>
      <c r="I5129" s="6" t="str">
        <f aca="false">IF(F5129=0,"NOT FOUND",INDEX('All Song Rankings'!$D:$D,F5129))</f>
        <v>Lucia</v>
      </c>
      <c r="J5129" s="7" t="str">
        <f aca="false">IF(F5129=0,"NOT FOUND",IF(C5129=I5129,"SELF-VOTE",IF(COUNTIF($K:$K,K5129)&gt;1,"DUPLICATE","OK")))</f>
        <v>OK</v>
      </c>
      <c r="K5129" s="6" t="str">
        <f aca="false">A5129&amp;"|"&amp;B5129&amp;"|"&amp;C5129&amp;"|"&amp;D5129</f>
        <v>7|7|Lisa|spotify:track:0jqC18IqSdsGpGlQ8Dsx9M</v>
      </c>
    </row>
    <row r="5130" customFormat="false" ht="15" hidden="false" customHeight="false" outlineLevel="0" collapsed="false">
      <c r="A5130" s="5" t="n">
        <v>7</v>
      </c>
      <c r="B5130" s="5" t="n">
        <v>7</v>
      </c>
      <c r="C5130" s="5" t="s">
        <v>705</v>
      </c>
      <c r="D5130" s="5" t="s">
        <v>2255</v>
      </c>
      <c r="E5130" s="5" t="n">
        <v>1</v>
      </c>
      <c r="F5130" s="6" t="n">
        <f aca="false">IFERROR(MATCH(A5130&amp;"|"&amp;B5130&amp;"|"&amp;D5130,'All Song Rankings'!$T:$T,0),0)</f>
        <v>760</v>
      </c>
      <c r="G5130" s="6" t="str">
        <f aca="false">IF(F5130=0,"NOT FOUND",INDEX('All Song Rankings'!$A:$A,F5130))</f>
        <v>Starman - 2012 Remaster</v>
      </c>
      <c r="H5130" s="6" t="str">
        <f aca="false">IF(F5130=0,"NOT FOUND",INDEX('All Song Rankings'!$B:$B,F5130))</f>
        <v>David Bowie</v>
      </c>
      <c r="I5130" s="6" t="str">
        <f aca="false">IF(F5130=0,"NOT FOUND",INDEX('All Song Rankings'!$D:$D,F5130))</f>
        <v>Christine</v>
      </c>
      <c r="J5130" s="7" t="str">
        <f aca="false">IF(F5130=0,"NOT FOUND",IF(C5130=I5130,"SELF-VOTE",IF(COUNTIF($K:$K,K5130)&gt;1,"DUPLICATE","OK")))</f>
        <v>OK</v>
      </c>
      <c r="K5130" s="6" t="str">
        <f aca="false">A5130&amp;"|"&amp;B5130&amp;"|"&amp;C5130&amp;"|"&amp;D5130</f>
        <v>7|7|Lisa|spotify:track:0pQskrTITgmCMyr85tb9qq</v>
      </c>
    </row>
    <row r="5131" customFormat="false" ht="15" hidden="false" customHeight="false" outlineLevel="0" collapsed="false">
      <c r="A5131" s="5" t="n">
        <v>7</v>
      </c>
      <c r="B5131" s="5" t="n">
        <v>7</v>
      </c>
      <c r="C5131" s="5" t="s">
        <v>705</v>
      </c>
      <c r="D5131" s="5" t="s">
        <v>2252</v>
      </c>
      <c r="E5131" s="5" t="n">
        <v>1</v>
      </c>
      <c r="F5131" s="6" t="n">
        <f aca="false">IFERROR(MATCH(A5131&amp;"|"&amp;B5131&amp;"|"&amp;D5131,'All Song Rankings'!$T:$T,0),0)</f>
        <v>759</v>
      </c>
      <c r="G5131" s="6" t="str">
        <f aca="false">IF(F5131=0,"NOT FOUND",INDEX('All Song Rankings'!$A:$A,F5131))</f>
        <v>Saturn</v>
      </c>
      <c r="H5131" s="6" t="str">
        <f aca="false">IF(F5131=0,"NOT FOUND",INDEX('All Song Rankings'!$B:$B,F5131))</f>
        <v>SZA</v>
      </c>
      <c r="I5131" s="6" t="str">
        <f aca="false">IF(F5131=0,"NOT FOUND",INDEX('All Song Rankings'!$D:$D,F5131))</f>
        <v>Leah</v>
      </c>
      <c r="J5131" s="7" t="str">
        <f aca="false">IF(F5131=0,"NOT FOUND",IF(C5131=I5131,"SELF-VOTE",IF(COUNTIF($K:$K,K5131)&gt;1,"DUPLICATE","OK")))</f>
        <v>OK</v>
      </c>
      <c r="K5131" s="6" t="str">
        <f aca="false">A5131&amp;"|"&amp;B5131&amp;"|"&amp;C5131&amp;"|"&amp;D5131</f>
        <v>7|7|Lisa|spotify:track:1bjeWoagtHmUKputLVyDxQ</v>
      </c>
    </row>
    <row r="5132" customFormat="false" ht="15" hidden="false" customHeight="false" outlineLevel="0" collapsed="false">
      <c r="A5132" s="5" t="n">
        <v>7</v>
      </c>
      <c r="B5132" s="5" t="n">
        <v>7</v>
      </c>
      <c r="C5132" s="5" t="s">
        <v>705</v>
      </c>
      <c r="D5132" s="5" t="s">
        <v>2260</v>
      </c>
      <c r="E5132" s="5" t="n">
        <v>2</v>
      </c>
      <c r="F5132" s="6" t="n">
        <f aca="false">IFERROR(MATCH(A5132&amp;"|"&amp;B5132&amp;"|"&amp;D5132,'All Song Rankings'!$T:$T,0),0)</f>
        <v>762</v>
      </c>
      <c r="G5132" s="6" t="str">
        <f aca="false">IF(F5132=0,"NOT FOUND",INDEX('All Song Rankings'!$A:$A,F5132))</f>
        <v>Stargazing</v>
      </c>
      <c r="H5132" s="6" t="str">
        <f aca="false">IF(F5132=0,"NOT FOUND",INDEX('All Song Rankings'!$B:$B,F5132))</f>
        <v>Myles Smith</v>
      </c>
      <c r="I5132" s="6" t="str">
        <f aca="false">IF(F5132=0,"NOT FOUND",INDEX('All Song Rankings'!$D:$D,F5132))</f>
        <v>Colleen</v>
      </c>
      <c r="J5132" s="7" t="str">
        <f aca="false">IF(F5132=0,"NOT FOUND",IF(C5132=I5132,"SELF-VOTE",IF(COUNTIF($K:$K,K5132)&gt;1,"DUPLICATE","OK")))</f>
        <v>OK</v>
      </c>
      <c r="K5132" s="6" t="str">
        <f aca="false">A5132&amp;"|"&amp;B5132&amp;"|"&amp;C5132&amp;"|"&amp;D5132</f>
        <v>7|7|Lisa|spotify:track:3Vr3zh0r7ALn8VLqCiRR10</v>
      </c>
    </row>
    <row r="5133" customFormat="false" ht="15" hidden="false" customHeight="false" outlineLevel="0" collapsed="false">
      <c r="A5133" s="5" t="n">
        <v>7</v>
      </c>
      <c r="B5133" s="5" t="n">
        <v>7</v>
      </c>
      <c r="C5133" s="5" t="s">
        <v>705</v>
      </c>
      <c r="D5133" s="5" t="s">
        <v>2257</v>
      </c>
      <c r="E5133" s="5" t="n">
        <v>2</v>
      </c>
      <c r="F5133" s="6" t="n">
        <f aca="false">IFERROR(MATCH(A5133&amp;"|"&amp;B5133&amp;"|"&amp;D5133,'All Song Rankings'!$T:$T,0),0)</f>
        <v>761</v>
      </c>
      <c r="G5133" s="6" t="str">
        <f aca="false">IF(F5133=0,"NOT FOUND",INDEX('All Song Rankings'!$A:$A,F5133))</f>
        <v>Supermassive Black Hole</v>
      </c>
      <c r="H5133" s="6" t="str">
        <f aca="false">IF(F5133=0,"NOT FOUND",INDEX('All Song Rankings'!$B:$B,F5133))</f>
        <v>Muse</v>
      </c>
      <c r="I5133" s="6" t="str">
        <f aca="false">IF(F5133=0,"NOT FOUND",INDEX('All Song Rankings'!$D:$D,F5133))</f>
        <v>Stephanie</v>
      </c>
      <c r="J5133" s="7" t="str">
        <f aca="false">IF(F5133=0,"NOT FOUND",IF(C5133=I5133,"SELF-VOTE",IF(COUNTIF($K:$K,K5133)&gt;1,"DUPLICATE","OK")))</f>
        <v>OK</v>
      </c>
      <c r="K5133" s="6" t="str">
        <f aca="false">A5133&amp;"|"&amp;B5133&amp;"|"&amp;C5133&amp;"|"&amp;D5133</f>
        <v>7|7|Lisa|spotify:track:3lPr8ghNDBLc2uZovNyLs9</v>
      </c>
    </row>
    <row r="5134" customFormat="false" ht="15" hidden="false" customHeight="false" outlineLevel="0" collapsed="false">
      <c r="A5134" s="5" t="n">
        <v>7</v>
      </c>
      <c r="B5134" s="5" t="n">
        <v>7</v>
      </c>
      <c r="C5134" s="5" t="s">
        <v>705</v>
      </c>
      <c r="D5134" s="5" t="s">
        <v>2288</v>
      </c>
      <c r="E5134" s="5" t="n">
        <v>1</v>
      </c>
      <c r="F5134" s="6" t="n">
        <f aca="false">IFERROR(MATCH(A5134&amp;"|"&amp;B5134&amp;"|"&amp;D5134,'All Song Rankings'!$T:$T,0),0)</f>
        <v>773</v>
      </c>
      <c r="G5134" s="6" t="str">
        <f aca="false">IF(F5134=0,"NOT FOUND",INDEX('All Song Rankings'!$A:$A,F5134))</f>
        <v>Lost in Time and Space</v>
      </c>
      <c r="H5134" s="6" t="str">
        <f aca="false">IF(F5134=0,"NOT FOUND",INDEX('All Song Rankings'!$B:$B,F5134))</f>
        <v>Lord Huron</v>
      </c>
      <c r="I5134" s="6" t="str">
        <f aca="false">IF(F5134=0,"NOT FOUND",INDEX('All Song Rankings'!$D:$D,F5134))</f>
        <v>Merita</v>
      </c>
      <c r="J5134" s="7" t="str">
        <f aca="false">IF(F5134=0,"NOT FOUND",IF(C5134=I5134,"SELF-VOTE",IF(COUNTIF($K:$K,K5134)&gt;1,"DUPLICATE","OK")))</f>
        <v>OK</v>
      </c>
      <c r="K5134" s="6" t="str">
        <f aca="false">A5134&amp;"|"&amp;B5134&amp;"|"&amp;C5134&amp;"|"&amp;D5134</f>
        <v>7|7|Lisa|spotify:track:6BqmgqzgKNxPszu1I6gOpn</v>
      </c>
    </row>
    <row r="5135" customFormat="false" ht="15" hidden="false" customHeight="false" outlineLevel="0" collapsed="false">
      <c r="A5135" s="5" t="n">
        <v>7</v>
      </c>
      <c r="B5135" s="5" t="n">
        <v>7</v>
      </c>
      <c r="C5135" s="5" t="s">
        <v>705</v>
      </c>
      <c r="D5135" s="5" t="s">
        <v>2280</v>
      </c>
      <c r="E5135" s="5" t="n">
        <v>1</v>
      </c>
      <c r="F5135" s="6" t="n">
        <f aca="false">IFERROR(MATCH(A5135&amp;"|"&amp;B5135&amp;"|"&amp;D5135,'All Song Rankings'!$T:$T,0),0)</f>
        <v>770</v>
      </c>
      <c r="G5135" s="6" t="str">
        <f aca="false">IF(F5135=0,"NOT FOUND",INDEX('All Song Rankings'!$A:$A,F5135))</f>
        <v>Star Trek: The Next Generation Main Title</v>
      </c>
      <c r="H5135" s="6" t="str">
        <f aca="false">IF(F5135=0,"NOT FOUND",INDEX('All Song Rankings'!$B:$B,F5135))</f>
        <v>Jerry Goldsmith, Ron Jones</v>
      </c>
      <c r="I5135" s="6" t="str">
        <f aca="false">IF(F5135=0,"NOT FOUND",INDEX('All Song Rankings'!$D:$D,F5135))</f>
        <v>Kristen</v>
      </c>
      <c r="J5135" s="7" t="str">
        <f aca="false">IF(F5135=0,"NOT FOUND",IF(C5135=I5135,"SELF-VOTE",IF(COUNTIF($K:$K,K5135)&gt;1,"DUPLICATE","OK")))</f>
        <v>OK</v>
      </c>
      <c r="K5135" s="6" t="str">
        <f aca="false">A5135&amp;"|"&amp;B5135&amp;"|"&amp;C5135&amp;"|"&amp;D5135</f>
        <v>7|7|Lisa|spotify:track:6C6UppMmnhp4DY4oyG823S</v>
      </c>
    </row>
    <row r="5136" customFormat="false" ht="15" hidden="false" customHeight="false" outlineLevel="0" collapsed="false">
      <c r="A5136" s="5" t="n">
        <v>7</v>
      </c>
      <c r="B5136" s="5" t="n">
        <v>7</v>
      </c>
      <c r="C5136" s="5" t="s">
        <v>705</v>
      </c>
      <c r="D5136" s="5" t="s">
        <v>2283</v>
      </c>
      <c r="E5136" s="5" t="n">
        <v>1</v>
      </c>
      <c r="F5136" s="6" t="n">
        <f aca="false">IFERROR(MATCH(A5136&amp;"|"&amp;B5136&amp;"|"&amp;D5136,'All Song Rankings'!$T:$T,0),0)</f>
        <v>771</v>
      </c>
      <c r="G5136" s="6" t="str">
        <f aca="false">IF(F5136=0,"NOT FOUND",INDEX('All Song Rankings'!$A:$A,F5136))</f>
        <v>Champagne Supernova</v>
      </c>
      <c r="H5136" s="6" t="str">
        <f aca="false">IF(F5136=0,"NOT FOUND",INDEX('All Song Rankings'!$B:$B,F5136))</f>
        <v>Oasis</v>
      </c>
      <c r="I5136" s="6" t="str">
        <f aca="false">IF(F5136=0,"NOT FOUND",INDEX('All Song Rankings'!$D:$D,F5136))</f>
        <v>Josh</v>
      </c>
      <c r="J5136" s="7" t="str">
        <f aca="false">IF(F5136=0,"NOT FOUND",IF(C5136=I5136,"SELF-VOTE",IF(COUNTIF($K:$K,K5136)&gt;1,"DUPLICATE","OK")))</f>
        <v>OK</v>
      </c>
      <c r="K5136" s="6" t="str">
        <f aca="false">A5136&amp;"|"&amp;B5136&amp;"|"&amp;C5136&amp;"|"&amp;D5136</f>
        <v>7|7|Lisa|spotify:track:6EMynpZ10GVcwVqiLZj6Ye</v>
      </c>
    </row>
    <row r="5137" customFormat="false" ht="15" hidden="false" customHeight="false" outlineLevel="0" collapsed="false">
      <c r="A5137" s="5" t="n">
        <v>7</v>
      </c>
      <c r="B5137" s="5" t="n">
        <v>7</v>
      </c>
      <c r="C5137" s="5" t="s">
        <v>128</v>
      </c>
      <c r="D5137" s="5" t="s">
        <v>2268</v>
      </c>
      <c r="E5137" s="5" t="n">
        <v>2</v>
      </c>
      <c r="F5137" s="6" t="n">
        <f aca="false">IFERROR(MATCH(A5137&amp;"|"&amp;B5137&amp;"|"&amp;D5137,'All Song Rankings'!$T:$T,0),0)</f>
        <v>765</v>
      </c>
      <c r="G5137" s="6" t="str">
        <f aca="false">IF(F5137=0,"NOT FOUND",INDEX('All Song Rankings'!$A:$A,F5137))</f>
        <v>Working Class Heroes (Work)</v>
      </c>
      <c r="H5137" s="6" t="str">
        <f aca="false">IF(F5137=0,"NOT FOUND",INDEX('All Song Rankings'!$B:$B,F5137))</f>
        <v>CeeLo Green</v>
      </c>
      <c r="I5137" s="6" t="str">
        <f aca="false">IF(F5137=0,"NOT FOUND",INDEX('All Song Rankings'!$D:$D,F5137))</f>
        <v>Lucia</v>
      </c>
      <c r="J5137" s="7" t="str">
        <f aca="false">IF(F5137=0,"NOT FOUND",IF(C5137=I5137,"SELF-VOTE",IF(COUNTIF($K:$K,K5137)&gt;1,"DUPLICATE","OK")))</f>
        <v>OK</v>
      </c>
      <c r="K5137" s="6" t="str">
        <f aca="false">A5137&amp;"|"&amp;B5137&amp;"|"&amp;C5137&amp;"|"&amp;D5137</f>
        <v>7|7|Logan|spotify:track:0jqC18IqSdsGpGlQ8Dsx9M</v>
      </c>
    </row>
    <row r="5138" customFormat="false" ht="15" hidden="false" customHeight="false" outlineLevel="0" collapsed="false">
      <c r="A5138" s="5" t="n">
        <v>7</v>
      </c>
      <c r="B5138" s="5" t="n">
        <v>7</v>
      </c>
      <c r="C5138" s="5" t="s">
        <v>128</v>
      </c>
      <c r="D5138" s="5" t="s">
        <v>2255</v>
      </c>
      <c r="E5138" s="5" t="n">
        <v>1</v>
      </c>
      <c r="F5138" s="6" t="n">
        <f aca="false">IFERROR(MATCH(A5138&amp;"|"&amp;B5138&amp;"|"&amp;D5138,'All Song Rankings'!$T:$T,0),0)</f>
        <v>760</v>
      </c>
      <c r="G5138" s="6" t="str">
        <f aca="false">IF(F5138=0,"NOT FOUND",INDEX('All Song Rankings'!$A:$A,F5138))</f>
        <v>Starman - 2012 Remaster</v>
      </c>
      <c r="H5138" s="6" t="str">
        <f aca="false">IF(F5138=0,"NOT FOUND",INDEX('All Song Rankings'!$B:$B,F5138))</f>
        <v>David Bowie</v>
      </c>
      <c r="I5138" s="6" t="str">
        <f aca="false">IF(F5138=0,"NOT FOUND",INDEX('All Song Rankings'!$D:$D,F5138))</f>
        <v>Christine</v>
      </c>
      <c r="J5138" s="7" t="str">
        <f aca="false">IF(F5138=0,"NOT FOUND",IF(C5138=I5138,"SELF-VOTE",IF(COUNTIF($K:$K,K5138)&gt;1,"DUPLICATE","OK")))</f>
        <v>OK</v>
      </c>
      <c r="K5138" s="6" t="str">
        <f aca="false">A5138&amp;"|"&amp;B5138&amp;"|"&amp;C5138&amp;"|"&amp;D5138</f>
        <v>7|7|Logan|spotify:track:0pQskrTITgmCMyr85tb9qq</v>
      </c>
    </row>
    <row r="5139" customFormat="false" ht="15" hidden="false" customHeight="false" outlineLevel="0" collapsed="false">
      <c r="A5139" s="5" t="n">
        <v>7</v>
      </c>
      <c r="B5139" s="5" t="n">
        <v>7</v>
      </c>
      <c r="C5139" s="5" t="s">
        <v>128</v>
      </c>
      <c r="D5139" s="5" t="s">
        <v>2252</v>
      </c>
      <c r="E5139" s="5" t="n">
        <v>3</v>
      </c>
      <c r="F5139" s="6" t="n">
        <f aca="false">IFERROR(MATCH(A5139&amp;"|"&amp;B5139&amp;"|"&amp;D5139,'All Song Rankings'!$T:$T,0),0)</f>
        <v>759</v>
      </c>
      <c r="G5139" s="6" t="str">
        <f aca="false">IF(F5139=0,"NOT FOUND",INDEX('All Song Rankings'!$A:$A,F5139))</f>
        <v>Saturn</v>
      </c>
      <c r="H5139" s="6" t="str">
        <f aca="false">IF(F5139=0,"NOT FOUND",INDEX('All Song Rankings'!$B:$B,F5139))</f>
        <v>SZA</v>
      </c>
      <c r="I5139" s="6" t="str">
        <f aca="false">IF(F5139=0,"NOT FOUND",INDEX('All Song Rankings'!$D:$D,F5139))</f>
        <v>Leah</v>
      </c>
      <c r="J5139" s="7" t="str">
        <f aca="false">IF(F5139=0,"NOT FOUND",IF(C5139=I5139,"SELF-VOTE",IF(COUNTIF($K:$K,K5139)&gt;1,"DUPLICATE","OK")))</f>
        <v>OK</v>
      </c>
      <c r="K5139" s="6" t="str">
        <f aca="false">A5139&amp;"|"&amp;B5139&amp;"|"&amp;C5139&amp;"|"&amp;D5139</f>
        <v>7|7|Logan|spotify:track:1bjeWoagtHmUKputLVyDxQ</v>
      </c>
    </row>
    <row r="5140" customFormat="false" ht="15" hidden="false" customHeight="false" outlineLevel="0" collapsed="false">
      <c r="A5140" s="5" t="n">
        <v>7</v>
      </c>
      <c r="B5140" s="5" t="n">
        <v>7</v>
      </c>
      <c r="C5140" s="5" t="s">
        <v>128</v>
      </c>
      <c r="D5140" s="5" t="s">
        <v>2275</v>
      </c>
      <c r="E5140" s="5" t="n">
        <v>1</v>
      </c>
      <c r="F5140" s="6" t="n">
        <f aca="false">IFERROR(MATCH(A5140&amp;"|"&amp;B5140&amp;"|"&amp;D5140,'All Song Rankings'!$T:$T,0),0)</f>
        <v>768</v>
      </c>
      <c r="G5140" s="6" t="str">
        <f aca="false">IF(F5140=0,"NOT FOUND",INDEX('All Song Rankings'!$A:$A,F5140))</f>
        <v>Star Love</v>
      </c>
      <c r="H5140" s="6" t="str">
        <f aca="false">IF(F5140=0,"NOT FOUND",INDEX('All Song Rankings'!$B:$B,F5140))</f>
        <v>Cheryl Lynn</v>
      </c>
      <c r="I5140" s="6" t="str">
        <f aca="false">IF(F5140=0,"NOT FOUND",INDEX('All Song Rankings'!$D:$D,F5140))</f>
        <v>Sara</v>
      </c>
      <c r="J5140" s="7" t="str">
        <f aca="false">IF(F5140=0,"NOT FOUND",IF(C5140=I5140,"SELF-VOTE",IF(COUNTIF($K:$K,K5140)&gt;1,"DUPLICATE","OK")))</f>
        <v>OK</v>
      </c>
      <c r="K5140" s="6" t="str">
        <f aca="false">A5140&amp;"|"&amp;B5140&amp;"|"&amp;C5140&amp;"|"&amp;D5140</f>
        <v>7|7|Logan|spotify:track:3Qf3MFEgl1laKe49NAXYKq</v>
      </c>
    </row>
    <row r="5141" customFormat="false" ht="15" hidden="false" customHeight="false" outlineLevel="0" collapsed="false">
      <c r="A5141" s="5" t="n">
        <v>7</v>
      </c>
      <c r="B5141" s="5" t="n">
        <v>7</v>
      </c>
      <c r="C5141" s="5" t="s">
        <v>128</v>
      </c>
      <c r="D5141" s="5" t="s">
        <v>2260</v>
      </c>
      <c r="E5141" s="5" t="n">
        <v>1</v>
      </c>
      <c r="F5141" s="6" t="n">
        <f aca="false">IFERROR(MATCH(A5141&amp;"|"&amp;B5141&amp;"|"&amp;D5141,'All Song Rankings'!$T:$T,0),0)</f>
        <v>762</v>
      </c>
      <c r="G5141" s="6" t="str">
        <f aca="false">IF(F5141=0,"NOT FOUND",INDEX('All Song Rankings'!$A:$A,F5141))</f>
        <v>Stargazing</v>
      </c>
      <c r="H5141" s="6" t="str">
        <f aca="false">IF(F5141=0,"NOT FOUND",INDEX('All Song Rankings'!$B:$B,F5141))</f>
        <v>Myles Smith</v>
      </c>
      <c r="I5141" s="6" t="str">
        <f aca="false">IF(F5141=0,"NOT FOUND",INDEX('All Song Rankings'!$D:$D,F5141))</f>
        <v>Colleen</v>
      </c>
      <c r="J5141" s="7" t="str">
        <f aca="false">IF(F5141=0,"NOT FOUND",IF(C5141=I5141,"SELF-VOTE",IF(COUNTIF($K:$K,K5141)&gt;1,"DUPLICATE","OK")))</f>
        <v>OK</v>
      </c>
      <c r="K5141" s="6" t="str">
        <f aca="false">A5141&amp;"|"&amp;B5141&amp;"|"&amp;C5141&amp;"|"&amp;D5141</f>
        <v>7|7|Logan|spotify:track:3Vr3zh0r7ALn8VLqCiRR10</v>
      </c>
    </row>
    <row r="5142" customFormat="false" ht="15" hidden="false" customHeight="false" outlineLevel="0" collapsed="false">
      <c r="A5142" s="5" t="n">
        <v>7</v>
      </c>
      <c r="B5142" s="5" t="n">
        <v>7</v>
      </c>
      <c r="C5142" s="5" t="s">
        <v>128</v>
      </c>
      <c r="D5142" s="5" t="s">
        <v>536</v>
      </c>
      <c r="E5142" s="5" t="n">
        <v>1</v>
      </c>
      <c r="F5142" s="6" t="n">
        <f aca="false">IFERROR(MATCH(A5142&amp;"|"&amp;B5142&amp;"|"&amp;D5142,'All Song Rankings'!$T:$T,0),0)</f>
        <v>766</v>
      </c>
      <c r="G5142" s="6" t="str">
        <f aca="false">IF(F5142=0,"NOT FOUND",INDEX('All Song Rankings'!$A:$A,F5142))</f>
        <v>Rocket Man (I Think It's Going To Be A Long, Long Time)</v>
      </c>
      <c r="H5142" s="6" t="str">
        <f aca="false">IF(F5142=0,"NOT FOUND",INDEX('All Song Rankings'!$B:$B,F5142))</f>
        <v>Elton John</v>
      </c>
      <c r="I5142" s="6" t="str">
        <f aca="false">IF(F5142=0,"NOT FOUND",INDEX('All Song Rankings'!$D:$D,F5142))</f>
        <v>Kelsey</v>
      </c>
      <c r="J5142" s="7" t="str">
        <f aca="false">IF(F5142=0,"NOT FOUND",IF(C5142=I5142,"SELF-VOTE",IF(COUNTIF($K:$K,K5142)&gt;1,"DUPLICATE","OK")))</f>
        <v>OK</v>
      </c>
      <c r="K5142" s="6" t="str">
        <f aca="false">A5142&amp;"|"&amp;B5142&amp;"|"&amp;C5142&amp;"|"&amp;D5142</f>
        <v>7|7|Logan|spotify:track:3gdewACMIVMEWVbyb8O9sY</v>
      </c>
    </row>
    <row r="5143" customFormat="false" ht="15" hidden="false" customHeight="false" outlineLevel="0" collapsed="false">
      <c r="A5143" s="5" t="n">
        <v>7</v>
      </c>
      <c r="B5143" s="5" t="n">
        <v>7</v>
      </c>
      <c r="C5143" s="5" t="s">
        <v>128</v>
      </c>
      <c r="D5143" s="5" t="s">
        <v>2257</v>
      </c>
      <c r="E5143" s="5" t="n">
        <v>1</v>
      </c>
      <c r="F5143" s="6" t="n">
        <f aca="false">IFERROR(MATCH(A5143&amp;"|"&amp;B5143&amp;"|"&amp;D5143,'All Song Rankings'!$T:$T,0),0)</f>
        <v>761</v>
      </c>
      <c r="G5143" s="6" t="str">
        <f aca="false">IF(F5143=0,"NOT FOUND",INDEX('All Song Rankings'!$A:$A,F5143))</f>
        <v>Supermassive Black Hole</v>
      </c>
      <c r="H5143" s="6" t="str">
        <f aca="false">IF(F5143=0,"NOT FOUND",INDEX('All Song Rankings'!$B:$B,F5143))</f>
        <v>Muse</v>
      </c>
      <c r="I5143" s="6" t="str">
        <f aca="false">IF(F5143=0,"NOT FOUND",INDEX('All Song Rankings'!$D:$D,F5143))</f>
        <v>Stephanie</v>
      </c>
      <c r="J5143" s="7" t="str">
        <f aca="false">IF(F5143=0,"NOT FOUND",IF(C5143=I5143,"SELF-VOTE",IF(COUNTIF($K:$K,K5143)&gt;1,"DUPLICATE","OK")))</f>
        <v>OK</v>
      </c>
      <c r="K5143" s="6" t="str">
        <f aca="false">A5143&amp;"|"&amp;B5143&amp;"|"&amp;C5143&amp;"|"&amp;D5143</f>
        <v>7|7|Logan|spotify:track:3lPr8ghNDBLc2uZovNyLs9</v>
      </c>
    </row>
    <row r="5144" customFormat="false" ht="15" hidden="false" customHeight="false" outlineLevel="0" collapsed="false">
      <c r="A5144" s="5" t="n">
        <v>7</v>
      </c>
      <c r="B5144" s="5" t="n">
        <v>7</v>
      </c>
      <c r="C5144" s="5" t="s">
        <v>2019</v>
      </c>
      <c r="D5144" s="5" t="s">
        <v>2255</v>
      </c>
      <c r="E5144" s="5" t="n">
        <v>1</v>
      </c>
      <c r="F5144" s="6" t="n">
        <f aca="false">IFERROR(MATCH(A5144&amp;"|"&amp;B5144&amp;"|"&amp;D5144,'All Song Rankings'!$T:$T,0),0)</f>
        <v>760</v>
      </c>
      <c r="G5144" s="6" t="str">
        <f aca="false">IF(F5144=0,"NOT FOUND",INDEX('All Song Rankings'!$A:$A,F5144))</f>
        <v>Starman - 2012 Remaster</v>
      </c>
      <c r="H5144" s="6" t="str">
        <f aca="false">IF(F5144=0,"NOT FOUND",INDEX('All Song Rankings'!$B:$B,F5144))</f>
        <v>David Bowie</v>
      </c>
      <c r="I5144" s="6" t="str">
        <f aca="false">IF(F5144=0,"NOT FOUND",INDEX('All Song Rankings'!$D:$D,F5144))</f>
        <v>Christine</v>
      </c>
      <c r="J5144" s="7" t="str">
        <f aca="false">IF(F5144=0,"NOT FOUND",IF(C5144=I5144,"SELF-VOTE",IF(COUNTIF($K:$K,K5144)&gt;1,"DUPLICATE","OK")))</f>
        <v>OK</v>
      </c>
      <c r="K5144" s="6" t="str">
        <f aca="false">A5144&amp;"|"&amp;B5144&amp;"|"&amp;C5144&amp;"|"&amp;D5144</f>
        <v>7|7|Lucia|spotify:track:0pQskrTITgmCMyr85tb9qq</v>
      </c>
    </row>
    <row r="5145" customFormat="false" ht="15" hidden="false" customHeight="false" outlineLevel="0" collapsed="false">
      <c r="A5145" s="5" t="n">
        <v>7</v>
      </c>
      <c r="B5145" s="5" t="n">
        <v>7</v>
      </c>
      <c r="C5145" s="5" t="s">
        <v>2019</v>
      </c>
      <c r="D5145" s="5" t="s">
        <v>2252</v>
      </c>
      <c r="E5145" s="5" t="n">
        <v>1</v>
      </c>
      <c r="F5145" s="6" t="n">
        <f aca="false">IFERROR(MATCH(A5145&amp;"|"&amp;B5145&amp;"|"&amp;D5145,'All Song Rankings'!$T:$T,0),0)</f>
        <v>759</v>
      </c>
      <c r="G5145" s="6" t="str">
        <f aca="false">IF(F5145=0,"NOT FOUND",INDEX('All Song Rankings'!$A:$A,F5145))</f>
        <v>Saturn</v>
      </c>
      <c r="H5145" s="6" t="str">
        <f aca="false">IF(F5145=0,"NOT FOUND",INDEX('All Song Rankings'!$B:$B,F5145))</f>
        <v>SZA</v>
      </c>
      <c r="I5145" s="6" t="str">
        <f aca="false">IF(F5145=0,"NOT FOUND",INDEX('All Song Rankings'!$D:$D,F5145))</f>
        <v>Leah</v>
      </c>
      <c r="J5145" s="7" t="str">
        <f aca="false">IF(F5145=0,"NOT FOUND",IF(C5145=I5145,"SELF-VOTE",IF(COUNTIF($K:$K,K5145)&gt;1,"DUPLICATE","OK")))</f>
        <v>OK</v>
      </c>
      <c r="K5145" s="6" t="str">
        <f aca="false">A5145&amp;"|"&amp;B5145&amp;"|"&amp;C5145&amp;"|"&amp;D5145</f>
        <v>7|7|Lucia|spotify:track:1bjeWoagtHmUKputLVyDxQ</v>
      </c>
    </row>
    <row r="5146" customFormat="false" ht="15" hidden="false" customHeight="false" outlineLevel="0" collapsed="false">
      <c r="A5146" s="5" t="n">
        <v>7</v>
      </c>
      <c r="B5146" s="5" t="n">
        <v>7</v>
      </c>
      <c r="C5146" s="5" t="s">
        <v>2019</v>
      </c>
      <c r="D5146" s="5" t="s">
        <v>536</v>
      </c>
      <c r="E5146" s="5" t="n">
        <v>1</v>
      </c>
      <c r="F5146" s="6" t="n">
        <f aca="false">IFERROR(MATCH(A5146&amp;"|"&amp;B5146&amp;"|"&amp;D5146,'All Song Rankings'!$T:$T,0),0)</f>
        <v>766</v>
      </c>
      <c r="G5146" s="6" t="str">
        <f aca="false">IF(F5146=0,"NOT FOUND",INDEX('All Song Rankings'!$A:$A,F5146))</f>
        <v>Rocket Man (I Think It's Going To Be A Long, Long Time)</v>
      </c>
      <c r="H5146" s="6" t="str">
        <f aca="false">IF(F5146=0,"NOT FOUND",INDEX('All Song Rankings'!$B:$B,F5146))</f>
        <v>Elton John</v>
      </c>
      <c r="I5146" s="6" t="str">
        <f aca="false">IF(F5146=0,"NOT FOUND",INDEX('All Song Rankings'!$D:$D,F5146))</f>
        <v>Kelsey</v>
      </c>
      <c r="J5146" s="7" t="str">
        <f aca="false">IF(F5146=0,"NOT FOUND",IF(C5146=I5146,"SELF-VOTE",IF(COUNTIF($K:$K,K5146)&gt;1,"DUPLICATE","OK")))</f>
        <v>OK</v>
      </c>
      <c r="K5146" s="6" t="str">
        <f aca="false">A5146&amp;"|"&amp;B5146&amp;"|"&amp;C5146&amp;"|"&amp;D5146</f>
        <v>7|7|Lucia|spotify:track:3gdewACMIVMEWVbyb8O9sY</v>
      </c>
    </row>
    <row r="5147" customFormat="false" ht="15" hidden="false" customHeight="false" outlineLevel="0" collapsed="false">
      <c r="A5147" s="5" t="n">
        <v>7</v>
      </c>
      <c r="B5147" s="5" t="n">
        <v>7</v>
      </c>
      <c r="C5147" s="5" t="s">
        <v>2019</v>
      </c>
      <c r="D5147" s="5" t="s">
        <v>2257</v>
      </c>
      <c r="E5147" s="5" t="n">
        <v>1</v>
      </c>
      <c r="F5147" s="6" t="n">
        <f aca="false">IFERROR(MATCH(A5147&amp;"|"&amp;B5147&amp;"|"&amp;D5147,'All Song Rankings'!$T:$T,0),0)</f>
        <v>761</v>
      </c>
      <c r="G5147" s="6" t="str">
        <f aca="false">IF(F5147=0,"NOT FOUND",INDEX('All Song Rankings'!$A:$A,F5147))</f>
        <v>Supermassive Black Hole</v>
      </c>
      <c r="H5147" s="6" t="str">
        <f aca="false">IF(F5147=0,"NOT FOUND",INDEX('All Song Rankings'!$B:$B,F5147))</f>
        <v>Muse</v>
      </c>
      <c r="I5147" s="6" t="str">
        <f aca="false">IF(F5147=0,"NOT FOUND",INDEX('All Song Rankings'!$D:$D,F5147))</f>
        <v>Stephanie</v>
      </c>
      <c r="J5147" s="7" t="str">
        <f aca="false">IF(F5147=0,"NOT FOUND",IF(C5147=I5147,"SELF-VOTE",IF(COUNTIF($K:$K,K5147)&gt;1,"DUPLICATE","OK")))</f>
        <v>OK</v>
      </c>
      <c r="K5147" s="6" t="str">
        <f aca="false">A5147&amp;"|"&amp;B5147&amp;"|"&amp;C5147&amp;"|"&amp;D5147</f>
        <v>7|7|Lucia|spotify:track:3lPr8ghNDBLc2uZovNyLs9</v>
      </c>
    </row>
    <row r="5148" customFormat="false" ht="15" hidden="false" customHeight="false" outlineLevel="0" collapsed="false">
      <c r="A5148" s="5" t="n">
        <v>7</v>
      </c>
      <c r="B5148" s="5" t="n">
        <v>7</v>
      </c>
      <c r="C5148" s="5" t="s">
        <v>2019</v>
      </c>
      <c r="D5148" s="5" t="s">
        <v>2288</v>
      </c>
      <c r="E5148" s="5" t="n">
        <v>1</v>
      </c>
      <c r="F5148" s="6" t="n">
        <f aca="false">IFERROR(MATCH(A5148&amp;"|"&amp;B5148&amp;"|"&amp;D5148,'All Song Rankings'!$T:$T,0),0)</f>
        <v>773</v>
      </c>
      <c r="G5148" s="6" t="str">
        <f aca="false">IF(F5148=0,"NOT FOUND",INDEX('All Song Rankings'!$A:$A,F5148))</f>
        <v>Lost in Time and Space</v>
      </c>
      <c r="H5148" s="6" t="str">
        <f aca="false">IF(F5148=0,"NOT FOUND",INDEX('All Song Rankings'!$B:$B,F5148))</f>
        <v>Lord Huron</v>
      </c>
      <c r="I5148" s="6" t="str">
        <f aca="false">IF(F5148=0,"NOT FOUND",INDEX('All Song Rankings'!$D:$D,F5148))</f>
        <v>Merita</v>
      </c>
      <c r="J5148" s="7" t="str">
        <f aca="false">IF(F5148=0,"NOT FOUND",IF(C5148=I5148,"SELF-VOTE",IF(COUNTIF($K:$K,K5148)&gt;1,"DUPLICATE","OK")))</f>
        <v>OK</v>
      </c>
      <c r="K5148" s="6" t="str">
        <f aca="false">A5148&amp;"|"&amp;B5148&amp;"|"&amp;C5148&amp;"|"&amp;D5148</f>
        <v>7|7|Lucia|spotify:track:6BqmgqzgKNxPszu1I6gOpn</v>
      </c>
    </row>
    <row r="5149" customFormat="false" ht="15" hidden="false" customHeight="false" outlineLevel="0" collapsed="false">
      <c r="A5149" s="5" t="n">
        <v>7</v>
      </c>
      <c r="B5149" s="5" t="n">
        <v>7</v>
      </c>
      <c r="C5149" s="5" t="s">
        <v>2019</v>
      </c>
      <c r="D5149" s="5" t="s">
        <v>2280</v>
      </c>
      <c r="E5149" s="5" t="n">
        <v>1</v>
      </c>
      <c r="F5149" s="6" t="n">
        <f aca="false">IFERROR(MATCH(A5149&amp;"|"&amp;B5149&amp;"|"&amp;D5149,'All Song Rankings'!$T:$T,0),0)</f>
        <v>770</v>
      </c>
      <c r="G5149" s="6" t="str">
        <f aca="false">IF(F5149=0,"NOT FOUND",INDEX('All Song Rankings'!$A:$A,F5149))</f>
        <v>Star Trek: The Next Generation Main Title</v>
      </c>
      <c r="H5149" s="6" t="str">
        <f aca="false">IF(F5149=0,"NOT FOUND",INDEX('All Song Rankings'!$B:$B,F5149))</f>
        <v>Jerry Goldsmith, Ron Jones</v>
      </c>
      <c r="I5149" s="6" t="str">
        <f aca="false">IF(F5149=0,"NOT FOUND",INDEX('All Song Rankings'!$D:$D,F5149))</f>
        <v>Kristen</v>
      </c>
      <c r="J5149" s="7" t="str">
        <f aca="false">IF(F5149=0,"NOT FOUND",IF(C5149=I5149,"SELF-VOTE",IF(COUNTIF($K:$K,K5149)&gt;1,"DUPLICATE","OK")))</f>
        <v>OK</v>
      </c>
      <c r="K5149" s="6" t="str">
        <f aca="false">A5149&amp;"|"&amp;B5149&amp;"|"&amp;C5149&amp;"|"&amp;D5149</f>
        <v>7|7|Lucia|spotify:track:6C6UppMmnhp4DY4oyG823S</v>
      </c>
    </row>
    <row r="5150" customFormat="false" ht="15" hidden="false" customHeight="false" outlineLevel="0" collapsed="false">
      <c r="A5150" s="5" t="n">
        <v>7</v>
      </c>
      <c r="B5150" s="5" t="n">
        <v>7</v>
      </c>
      <c r="C5150" s="5" t="s">
        <v>2019</v>
      </c>
      <c r="D5150" s="5" t="s">
        <v>2283</v>
      </c>
      <c r="E5150" s="5" t="n">
        <v>1</v>
      </c>
      <c r="F5150" s="6" t="n">
        <f aca="false">IFERROR(MATCH(A5150&amp;"|"&amp;B5150&amp;"|"&amp;D5150,'All Song Rankings'!$T:$T,0),0)</f>
        <v>771</v>
      </c>
      <c r="G5150" s="6" t="str">
        <f aca="false">IF(F5150=0,"NOT FOUND",INDEX('All Song Rankings'!$A:$A,F5150))</f>
        <v>Champagne Supernova</v>
      </c>
      <c r="H5150" s="6" t="str">
        <f aca="false">IF(F5150=0,"NOT FOUND",INDEX('All Song Rankings'!$B:$B,F5150))</f>
        <v>Oasis</v>
      </c>
      <c r="I5150" s="6" t="str">
        <f aca="false">IF(F5150=0,"NOT FOUND",INDEX('All Song Rankings'!$D:$D,F5150))</f>
        <v>Josh</v>
      </c>
      <c r="J5150" s="7" t="str">
        <f aca="false">IF(F5150=0,"NOT FOUND",IF(C5150=I5150,"SELF-VOTE",IF(COUNTIF($K:$K,K5150)&gt;1,"DUPLICATE","OK")))</f>
        <v>OK</v>
      </c>
      <c r="K5150" s="6" t="str">
        <f aca="false">A5150&amp;"|"&amp;B5150&amp;"|"&amp;C5150&amp;"|"&amp;D5150</f>
        <v>7|7|Lucia|spotify:track:6EMynpZ10GVcwVqiLZj6Ye</v>
      </c>
    </row>
    <row r="5151" customFormat="false" ht="15" hidden="false" customHeight="false" outlineLevel="0" collapsed="false">
      <c r="A5151" s="5" t="n">
        <v>7</v>
      </c>
      <c r="B5151" s="5" t="n">
        <v>7</v>
      </c>
      <c r="C5151" s="5" t="s">
        <v>2019</v>
      </c>
      <c r="D5151" s="5" t="s">
        <v>2277</v>
      </c>
      <c r="E5151" s="5" t="n">
        <v>1</v>
      </c>
      <c r="F5151" s="6" t="n">
        <f aca="false">IFERROR(MATCH(A5151&amp;"|"&amp;B5151&amp;"|"&amp;D5151,'All Song Rankings'!$T:$T,0),0)</f>
        <v>769</v>
      </c>
      <c r="G5151" s="6" t="str">
        <f aca="false">IF(F5151=0,"NOT FOUND",INDEX('All Song Rankings'!$A:$A,F5151))</f>
        <v>39</v>
      </c>
      <c r="H5151" s="6" t="str">
        <f aca="false">IF(F5151=0,"NOT FOUND",INDEX('All Song Rankings'!$B:$B,F5151))</f>
        <v>Queen</v>
      </c>
      <c r="I5151" s="6" t="str">
        <f aca="false">IF(F5151=0,"NOT FOUND",INDEX('All Song Rankings'!$D:$D,F5151))</f>
        <v>Lisa</v>
      </c>
      <c r="J5151" s="7" t="str">
        <f aca="false">IF(F5151=0,"NOT FOUND",IF(C5151=I5151,"SELF-VOTE",IF(COUNTIF($K:$K,K5151)&gt;1,"DUPLICATE","OK")))</f>
        <v>OK</v>
      </c>
      <c r="K5151" s="6" t="str">
        <f aca="false">A5151&amp;"|"&amp;B5151&amp;"|"&amp;C5151&amp;"|"&amp;D5151</f>
        <v>7|7|Lucia|spotify:track:6e8HCstOUFx9sac4fnqPKx</v>
      </c>
    </row>
    <row r="5152" customFormat="false" ht="15" hidden="false" customHeight="false" outlineLevel="0" collapsed="false">
      <c r="A5152" s="5" t="n">
        <v>7</v>
      </c>
      <c r="B5152" s="5" t="n">
        <v>7</v>
      </c>
      <c r="C5152" s="5" t="s">
        <v>2019</v>
      </c>
      <c r="D5152" s="5" t="s">
        <v>2265</v>
      </c>
      <c r="E5152" s="5" t="n">
        <v>2</v>
      </c>
      <c r="F5152" s="6" t="n">
        <f aca="false">IFERROR(MATCH(A5152&amp;"|"&amp;B5152&amp;"|"&amp;D5152,'All Song Rankings'!$T:$T,0),0)</f>
        <v>764</v>
      </c>
      <c r="G5152" s="6" t="str">
        <f aca="false">IF(F5152=0,"NOT FOUND",INDEX('All Song Rankings'!$A:$A,F5152))</f>
        <v>Fly Me To The Moon - 2008 Remaster</v>
      </c>
      <c r="H5152" s="6" t="str">
        <f aca="false">IF(F5152=0,"NOT FOUND",INDEX('All Song Rankings'!$B:$B,F5152))</f>
        <v>Frank Sinatra</v>
      </c>
      <c r="I5152" s="6" t="str">
        <f aca="false">IF(F5152=0,"NOT FOUND",INDEX('All Song Rankings'!$D:$D,F5152))</f>
        <v>Grace</v>
      </c>
      <c r="J5152" s="7" t="str">
        <f aca="false">IF(F5152=0,"NOT FOUND",IF(C5152=I5152,"SELF-VOTE",IF(COUNTIF($K:$K,K5152)&gt;1,"DUPLICATE","OK")))</f>
        <v>OK</v>
      </c>
      <c r="K5152" s="6" t="str">
        <f aca="false">A5152&amp;"|"&amp;B5152&amp;"|"&amp;C5152&amp;"|"&amp;D5152</f>
        <v>7|7|Lucia|spotify:track:7FXj7Qg3YorUxdrzvrcY25</v>
      </c>
    </row>
    <row r="5153" customFormat="false" ht="15" hidden="false" customHeight="false" outlineLevel="0" collapsed="false">
      <c r="A5153" s="5" t="n">
        <v>7</v>
      </c>
      <c r="B5153" s="5" t="n">
        <v>7</v>
      </c>
      <c r="C5153" s="5" t="s">
        <v>116</v>
      </c>
      <c r="D5153" s="5" t="s">
        <v>2255</v>
      </c>
      <c r="E5153" s="5" t="n">
        <v>1</v>
      </c>
      <c r="F5153" s="6" t="n">
        <f aca="false">IFERROR(MATCH(A5153&amp;"|"&amp;B5153&amp;"|"&amp;D5153,'All Song Rankings'!$T:$T,0),0)</f>
        <v>760</v>
      </c>
      <c r="G5153" s="6" t="str">
        <f aca="false">IF(F5153=0,"NOT FOUND",INDEX('All Song Rankings'!$A:$A,F5153))</f>
        <v>Starman - 2012 Remaster</v>
      </c>
      <c r="H5153" s="6" t="str">
        <f aca="false">IF(F5153=0,"NOT FOUND",INDEX('All Song Rankings'!$B:$B,F5153))</f>
        <v>David Bowie</v>
      </c>
      <c r="I5153" s="6" t="str">
        <f aca="false">IF(F5153=0,"NOT FOUND",INDEX('All Song Rankings'!$D:$D,F5153))</f>
        <v>Christine</v>
      </c>
      <c r="J5153" s="7" t="str">
        <f aca="false">IF(F5153=0,"NOT FOUND",IF(C5153=I5153,"SELF-VOTE",IF(COUNTIF($K:$K,K5153)&gt;1,"DUPLICATE","OK")))</f>
        <v>OK</v>
      </c>
      <c r="K5153" s="6" t="str">
        <f aca="false">A5153&amp;"|"&amp;B5153&amp;"|"&amp;C5153&amp;"|"&amp;D5153</f>
        <v>7|7|Matt|spotify:track:0pQskrTITgmCMyr85tb9qq</v>
      </c>
    </row>
    <row r="5154" customFormat="false" ht="15" hidden="false" customHeight="false" outlineLevel="0" collapsed="false">
      <c r="A5154" s="5" t="n">
        <v>7</v>
      </c>
      <c r="B5154" s="5" t="n">
        <v>7</v>
      </c>
      <c r="C5154" s="5" t="s">
        <v>116</v>
      </c>
      <c r="D5154" s="5" t="s">
        <v>2252</v>
      </c>
      <c r="E5154" s="5" t="n">
        <v>2</v>
      </c>
      <c r="F5154" s="6" t="n">
        <f aca="false">IFERROR(MATCH(A5154&amp;"|"&amp;B5154&amp;"|"&amp;D5154,'All Song Rankings'!$T:$T,0),0)</f>
        <v>759</v>
      </c>
      <c r="G5154" s="6" t="str">
        <f aca="false">IF(F5154=0,"NOT FOUND",INDEX('All Song Rankings'!$A:$A,F5154))</f>
        <v>Saturn</v>
      </c>
      <c r="H5154" s="6" t="str">
        <f aca="false">IF(F5154=0,"NOT FOUND",INDEX('All Song Rankings'!$B:$B,F5154))</f>
        <v>SZA</v>
      </c>
      <c r="I5154" s="6" t="str">
        <f aca="false">IF(F5154=0,"NOT FOUND",INDEX('All Song Rankings'!$D:$D,F5154))</f>
        <v>Leah</v>
      </c>
      <c r="J5154" s="7" t="str">
        <f aca="false">IF(F5154=0,"NOT FOUND",IF(C5154=I5154,"SELF-VOTE",IF(COUNTIF($K:$K,K5154)&gt;1,"DUPLICATE","OK")))</f>
        <v>OK</v>
      </c>
      <c r="K5154" s="6" t="str">
        <f aca="false">A5154&amp;"|"&amp;B5154&amp;"|"&amp;C5154&amp;"|"&amp;D5154</f>
        <v>7|7|Matt|spotify:track:1bjeWoagtHmUKputLVyDxQ</v>
      </c>
    </row>
    <row r="5155" customFormat="false" ht="15" hidden="false" customHeight="false" outlineLevel="0" collapsed="false">
      <c r="A5155" s="5" t="n">
        <v>7</v>
      </c>
      <c r="B5155" s="5" t="n">
        <v>7</v>
      </c>
      <c r="C5155" s="5" t="s">
        <v>116</v>
      </c>
      <c r="D5155" s="5" t="s">
        <v>2275</v>
      </c>
      <c r="E5155" s="5" t="n">
        <v>1</v>
      </c>
      <c r="F5155" s="6" t="n">
        <f aca="false">IFERROR(MATCH(A5155&amp;"|"&amp;B5155&amp;"|"&amp;D5155,'All Song Rankings'!$T:$T,0),0)</f>
        <v>768</v>
      </c>
      <c r="G5155" s="6" t="str">
        <f aca="false">IF(F5155=0,"NOT FOUND",INDEX('All Song Rankings'!$A:$A,F5155))</f>
        <v>Star Love</v>
      </c>
      <c r="H5155" s="6" t="str">
        <f aca="false">IF(F5155=0,"NOT FOUND",INDEX('All Song Rankings'!$B:$B,F5155))</f>
        <v>Cheryl Lynn</v>
      </c>
      <c r="I5155" s="6" t="str">
        <f aca="false">IF(F5155=0,"NOT FOUND",INDEX('All Song Rankings'!$D:$D,F5155))</f>
        <v>Sara</v>
      </c>
      <c r="J5155" s="7" t="str">
        <f aca="false">IF(F5155=0,"NOT FOUND",IF(C5155=I5155,"SELF-VOTE",IF(COUNTIF($K:$K,K5155)&gt;1,"DUPLICATE","OK")))</f>
        <v>OK</v>
      </c>
      <c r="K5155" s="6" t="str">
        <f aca="false">A5155&amp;"|"&amp;B5155&amp;"|"&amp;C5155&amp;"|"&amp;D5155</f>
        <v>7|7|Matt|spotify:track:3Qf3MFEgl1laKe49NAXYKq</v>
      </c>
    </row>
    <row r="5156" customFormat="false" ht="15" hidden="false" customHeight="false" outlineLevel="0" collapsed="false">
      <c r="A5156" s="5" t="n">
        <v>7</v>
      </c>
      <c r="B5156" s="5" t="n">
        <v>7</v>
      </c>
      <c r="C5156" s="5" t="s">
        <v>116</v>
      </c>
      <c r="D5156" s="5" t="s">
        <v>2260</v>
      </c>
      <c r="E5156" s="5" t="n">
        <v>1</v>
      </c>
      <c r="F5156" s="6" t="n">
        <f aca="false">IFERROR(MATCH(A5156&amp;"|"&amp;B5156&amp;"|"&amp;D5156,'All Song Rankings'!$T:$T,0),0)</f>
        <v>762</v>
      </c>
      <c r="G5156" s="6" t="str">
        <f aca="false">IF(F5156=0,"NOT FOUND",INDEX('All Song Rankings'!$A:$A,F5156))</f>
        <v>Stargazing</v>
      </c>
      <c r="H5156" s="6" t="str">
        <f aca="false">IF(F5156=0,"NOT FOUND",INDEX('All Song Rankings'!$B:$B,F5156))</f>
        <v>Myles Smith</v>
      </c>
      <c r="I5156" s="6" t="str">
        <f aca="false">IF(F5156=0,"NOT FOUND",INDEX('All Song Rankings'!$D:$D,F5156))</f>
        <v>Colleen</v>
      </c>
      <c r="J5156" s="7" t="str">
        <f aca="false">IF(F5156=0,"NOT FOUND",IF(C5156=I5156,"SELF-VOTE",IF(COUNTIF($K:$K,K5156)&gt;1,"DUPLICATE","OK")))</f>
        <v>OK</v>
      </c>
      <c r="K5156" s="6" t="str">
        <f aca="false">A5156&amp;"|"&amp;B5156&amp;"|"&amp;C5156&amp;"|"&amp;D5156</f>
        <v>7|7|Matt|spotify:track:3Vr3zh0r7ALn8VLqCiRR10</v>
      </c>
    </row>
    <row r="5157" customFormat="false" ht="15" hidden="false" customHeight="false" outlineLevel="0" collapsed="false">
      <c r="A5157" s="5" t="n">
        <v>7</v>
      </c>
      <c r="B5157" s="5" t="n">
        <v>7</v>
      </c>
      <c r="C5157" s="5" t="s">
        <v>116</v>
      </c>
      <c r="D5157" s="5" t="s">
        <v>536</v>
      </c>
      <c r="E5157" s="5" t="n">
        <v>1</v>
      </c>
      <c r="F5157" s="6" t="n">
        <f aca="false">IFERROR(MATCH(A5157&amp;"|"&amp;B5157&amp;"|"&amp;D5157,'All Song Rankings'!$T:$T,0),0)</f>
        <v>766</v>
      </c>
      <c r="G5157" s="6" t="str">
        <f aca="false">IF(F5157=0,"NOT FOUND",INDEX('All Song Rankings'!$A:$A,F5157))</f>
        <v>Rocket Man (I Think It's Going To Be A Long, Long Time)</v>
      </c>
      <c r="H5157" s="6" t="str">
        <f aca="false">IF(F5157=0,"NOT FOUND",INDEX('All Song Rankings'!$B:$B,F5157))</f>
        <v>Elton John</v>
      </c>
      <c r="I5157" s="6" t="str">
        <f aca="false">IF(F5157=0,"NOT FOUND",INDEX('All Song Rankings'!$D:$D,F5157))</f>
        <v>Kelsey</v>
      </c>
      <c r="J5157" s="7" t="str">
        <f aca="false">IF(F5157=0,"NOT FOUND",IF(C5157=I5157,"SELF-VOTE",IF(COUNTIF($K:$K,K5157)&gt;1,"DUPLICATE","OK")))</f>
        <v>OK</v>
      </c>
      <c r="K5157" s="6" t="str">
        <f aca="false">A5157&amp;"|"&amp;B5157&amp;"|"&amp;C5157&amp;"|"&amp;D5157</f>
        <v>7|7|Matt|spotify:track:3gdewACMIVMEWVbyb8O9sY</v>
      </c>
    </row>
    <row r="5158" customFormat="false" ht="15" hidden="false" customHeight="false" outlineLevel="0" collapsed="false">
      <c r="A5158" s="5" t="n">
        <v>7</v>
      </c>
      <c r="B5158" s="5" t="n">
        <v>7</v>
      </c>
      <c r="C5158" s="5" t="s">
        <v>116</v>
      </c>
      <c r="D5158" s="5" t="s">
        <v>2280</v>
      </c>
      <c r="E5158" s="5" t="n">
        <v>2</v>
      </c>
      <c r="F5158" s="6" t="n">
        <f aca="false">IFERROR(MATCH(A5158&amp;"|"&amp;B5158&amp;"|"&amp;D5158,'All Song Rankings'!$T:$T,0),0)</f>
        <v>770</v>
      </c>
      <c r="G5158" s="6" t="str">
        <f aca="false">IF(F5158=0,"NOT FOUND",INDEX('All Song Rankings'!$A:$A,F5158))</f>
        <v>Star Trek: The Next Generation Main Title</v>
      </c>
      <c r="H5158" s="6" t="str">
        <f aca="false">IF(F5158=0,"NOT FOUND",INDEX('All Song Rankings'!$B:$B,F5158))</f>
        <v>Jerry Goldsmith, Ron Jones</v>
      </c>
      <c r="I5158" s="6" t="str">
        <f aca="false">IF(F5158=0,"NOT FOUND",INDEX('All Song Rankings'!$D:$D,F5158))</f>
        <v>Kristen</v>
      </c>
      <c r="J5158" s="7" t="str">
        <f aca="false">IF(F5158=0,"NOT FOUND",IF(C5158=I5158,"SELF-VOTE",IF(COUNTIF($K:$K,K5158)&gt;1,"DUPLICATE","OK")))</f>
        <v>OK</v>
      </c>
      <c r="K5158" s="6" t="str">
        <f aca="false">A5158&amp;"|"&amp;B5158&amp;"|"&amp;C5158&amp;"|"&amp;D5158</f>
        <v>7|7|Matt|spotify:track:6C6UppMmnhp4DY4oyG823S</v>
      </c>
    </row>
    <row r="5159" customFormat="false" ht="15" hidden="false" customHeight="false" outlineLevel="0" collapsed="false">
      <c r="A5159" s="5" t="n">
        <v>7</v>
      </c>
      <c r="B5159" s="5" t="n">
        <v>7</v>
      </c>
      <c r="C5159" s="5" t="s">
        <v>116</v>
      </c>
      <c r="D5159" s="5" t="s">
        <v>2277</v>
      </c>
      <c r="E5159" s="5" t="n">
        <v>1</v>
      </c>
      <c r="F5159" s="6" t="n">
        <f aca="false">IFERROR(MATCH(A5159&amp;"|"&amp;B5159&amp;"|"&amp;D5159,'All Song Rankings'!$T:$T,0),0)</f>
        <v>769</v>
      </c>
      <c r="G5159" s="6" t="str">
        <f aca="false">IF(F5159=0,"NOT FOUND",INDEX('All Song Rankings'!$A:$A,F5159))</f>
        <v>39</v>
      </c>
      <c r="H5159" s="6" t="str">
        <f aca="false">IF(F5159=0,"NOT FOUND",INDEX('All Song Rankings'!$B:$B,F5159))</f>
        <v>Queen</v>
      </c>
      <c r="I5159" s="6" t="str">
        <f aca="false">IF(F5159=0,"NOT FOUND",INDEX('All Song Rankings'!$D:$D,F5159))</f>
        <v>Lisa</v>
      </c>
      <c r="J5159" s="7" t="str">
        <f aca="false">IF(F5159=0,"NOT FOUND",IF(C5159=I5159,"SELF-VOTE",IF(COUNTIF($K:$K,K5159)&gt;1,"DUPLICATE","OK")))</f>
        <v>OK</v>
      </c>
      <c r="K5159" s="6" t="str">
        <f aca="false">A5159&amp;"|"&amp;B5159&amp;"|"&amp;C5159&amp;"|"&amp;D5159</f>
        <v>7|7|Matt|spotify:track:6e8HCstOUFx9sac4fnqPKx</v>
      </c>
    </row>
    <row r="5160" customFormat="false" ht="15" hidden="false" customHeight="false" outlineLevel="0" collapsed="false">
      <c r="A5160" s="5" t="n">
        <v>7</v>
      </c>
      <c r="B5160" s="5" t="n">
        <v>7</v>
      </c>
      <c r="C5160" s="5" t="s">
        <v>116</v>
      </c>
      <c r="D5160" s="5" t="s">
        <v>2265</v>
      </c>
      <c r="E5160" s="5" t="n">
        <v>1</v>
      </c>
      <c r="F5160" s="6" t="n">
        <f aca="false">IFERROR(MATCH(A5160&amp;"|"&amp;B5160&amp;"|"&amp;D5160,'All Song Rankings'!$T:$T,0),0)</f>
        <v>764</v>
      </c>
      <c r="G5160" s="6" t="str">
        <f aca="false">IF(F5160=0,"NOT FOUND",INDEX('All Song Rankings'!$A:$A,F5160))</f>
        <v>Fly Me To The Moon - 2008 Remaster</v>
      </c>
      <c r="H5160" s="6" t="str">
        <f aca="false">IF(F5160=0,"NOT FOUND",INDEX('All Song Rankings'!$B:$B,F5160))</f>
        <v>Frank Sinatra</v>
      </c>
      <c r="I5160" s="6" t="str">
        <f aca="false">IF(F5160=0,"NOT FOUND",INDEX('All Song Rankings'!$D:$D,F5160))</f>
        <v>Grace</v>
      </c>
      <c r="J5160" s="7" t="str">
        <f aca="false">IF(F5160=0,"NOT FOUND",IF(C5160=I5160,"SELF-VOTE",IF(COUNTIF($K:$K,K5160)&gt;1,"DUPLICATE","OK")))</f>
        <v>OK</v>
      </c>
      <c r="K5160" s="6" t="str">
        <f aca="false">A5160&amp;"|"&amp;B5160&amp;"|"&amp;C5160&amp;"|"&amp;D5160</f>
        <v>7|7|Matt|spotify:track:7FXj7Qg3YorUxdrzvrcY25</v>
      </c>
    </row>
    <row r="5161" customFormat="false" ht="15" hidden="false" customHeight="false" outlineLevel="0" collapsed="false">
      <c r="A5161" s="5" t="n">
        <v>7</v>
      </c>
      <c r="B5161" s="5" t="n">
        <v>7</v>
      </c>
      <c r="C5161" s="5" t="s">
        <v>2052</v>
      </c>
      <c r="D5161" s="5" t="s">
        <v>2255</v>
      </c>
      <c r="E5161" s="5" t="n">
        <v>3</v>
      </c>
      <c r="F5161" s="6" t="n">
        <f aca="false">IFERROR(MATCH(A5161&amp;"|"&amp;B5161&amp;"|"&amp;D5161,'All Song Rankings'!$T:$T,0),0)</f>
        <v>760</v>
      </c>
      <c r="G5161" s="6" t="str">
        <f aca="false">IF(F5161=0,"NOT FOUND",INDEX('All Song Rankings'!$A:$A,F5161))</f>
        <v>Starman - 2012 Remaster</v>
      </c>
      <c r="H5161" s="6" t="str">
        <f aca="false">IF(F5161=0,"NOT FOUND",INDEX('All Song Rankings'!$B:$B,F5161))</f>
        <v>David Bowie</v>
      </c>
      <c r="I5161" s="6" t="str">
        <f aca="false">IF(F5161=0,"NOT FOUND",INDEX('All Song Rankings'!$D:$D,F5161))</f>
        <v>Christine</v>
      </c>
      <c r="J5161" s="7" t="str">
        <f aca="false">IF(F5161=0,"NOT FOUND",IF(C5161=I5161,"SELF-VOTE",IF(COUNTIF($K:$K,K5161)&gt;1,"DUPLICATE","OK")))</f>
        <v>OK</v>
      </c>
      <c r="K5161" s="6" t="str">
        <f aca="false">A5161&amp;"|"&amp;B5161&amp;"|"&amp;C5161&amp;"|"&amp;D5161</f>
        <v>7|7|Sara|spotify:track:0pQskrTITgmCMyr85tb9qq</v>
      </c>
    </row>
    <row r="5162" customFormat="false" ht="15" hidden="false" customHeight="false" outlineLevel="0" collapsed="false">
      <c r="A5162" s="5" t="n">
        <v>7</v>
      </c>
      <c r="B5162" s="5" t="n">
        <v>7</v>
      </c>
      <c r="C5162" s="5" t="s">
        <v>2052</v>
      </c>
      <c r="D5162" s="5" t="s">
        <v>2252</v>
      </c>
      <c r="E5162" s="5" t="n">
        <v>2</v>
      </c>
      <c r="F5162" s="6" t="n">
        <f aca="false">IFERROR(MATCH(A5162&amp;"|"&amp;B5162&amp;"|"&amp;D5162,'All Song Rankings'!$T:$T,0),0)</f>
        <v>759</v>
      </c>
      <c r="G5162" s="6" t="str">
        <f aca="false">IF(F5162=0,"NOT FOUND",INDEX('All Song Rankings'!$A:$A,F5162))</f>
        <v>Saturn</v>
      </c>
      <c r="H5162" s="6" t="str">
        <f aca="false">IF(F5162=0,"NOT FOUND",INDEX('All Song Rankings'!$B:$B,F5162))</f>
        <v>SZA</v>
      </c>
      <c r="I5162" s="6" t="str">
        <f aca="false">IF(F5162=0,"NOT FOUND",INDEX('All Song Rankings'!$D:$D,F5162))</f>
        <v>Leah</v>
      </c>
      <c r="J5162" s="7" t="str">
        <f aca="false">IF(F5162=0,"NOT FOUND",IF(C5162=I5162,"SELF-VOTE",IF(COUNTIF($K:$K,K5162)&gt;1,"DUPLICATE","OK")))</f>
        <v>OK</v>
      </c>
      <c r="K5162" s="6" t="str">
        <f aca="false">A5162&amp;"|"&amp;B5162&amp;"|"&amp;C5162&amp;"|"&amp;D5162</f>
        <v>7|7|Sara|spotify:track:1bjeWoagtHmUKputLVyDxQ</v>
      </c>
    </row>
    <row r="5163" customFormat="false" ht="15" hidden="false" customHeight="false" outlineLevel="0" collapsed="false">
      <c r="A5163" s="5" t="n">
        <v>7</v>
      </c>
      <c r="B5163" s="5" t="n">
        <v>7</v>
      </c>
      <c r="C5163" s="5" t="s">
        <v>2052</v>
      </c>
      <c r="D5163" s="5" t="s">
        <v>536</v>
      </c>
      <c r="E5163" s="5" t="n">
        <v>3</v>
      </c>
      <c r="F5163" s="6" t="n">
        <f aca="false">IFERROR(MATCH(A5163&amp;"|"&amp;B5163&amp;"|"&amp;D5163,'All Song Rankings'!$T:$T,0),0)</f>
        <v>766</v>
      </c>
      <c r="G5163" s="6" t="str">
        <f aca="false">IF(F5163=0,"NOT FOUND",INDEX('All Song Rankings'!$A:$A,F5163))</f>
        <v>Rocket Man (I Think It's Going To Be A Long, Long Time)</v>
      </c>
      <c r="H5163" s="6" t="str">
        <f aca="false">IF(F5163=0,"NOT FOUND",INDEX('All Song Rankings'!$B:$B,F5163))</f>
        <v>Elton John</v>
      </c>
      <c r="I5163" s="6" t="str">
        <f aca="false">IF(F5163=0,"NOT FOUND",INDEX('All Song Rankings'!$D:$D,F5163))</f>
        <v>Kelsey</v>
      </c>
      <c r="J5163" s="7" t="str">
        <f aca="false">IF(F5163=0,"NOT FOUND",IF(C5163=I5163,"SELF-VOTE",IF(COUNTIF($K:$K,K5163)&gt;1,"DUPLICATE","OK")))</f>
        <v>OK</v>
      </c>
      <c r="K5163" s="6" t="str">
        <f aca="false">A5163&amp;"|"&amp;B5163&amp;"|"&amp;C5163&amp;"|"&amp;D5163</f>
        <v>7|7|Sara|spotify:track:3gdewACMIVMEWVbyb8O9sY</v>
      </c>
    </row>
    <row r="5164" customFormat="false" ht="15" hidden="false" customHeight="false" outlineLevel="0" collapsed="false">
      <c r="A5164" s="5" t="n">
        <v>7</v>
      </c>
      <c r="B5164" s="5" t="n">
        <v>7</v>
      </c>
      <c r="C5164" s="5" t="s">
        <v>2052</v>
      </c>
      <c r="D5164" s="5" t="s">
        <v>2263</v>
      </c>
      <c r="E5164" s="5" t="n">
        <v>2</v>
      </c>
      <c r="F5164" s="6" t="n">
        <f aca="false">IFERROR(MATCH(A5164&amp;"|"&amp;B5164&amp;"|"&amp;D5164,'All Song Rankings'!$T:$T,0),0)</f>
        <v>763</v>
      </c>
      <c r="G5164" s="6" t="str">
        <f aca="false">IF(F5164=0,"NOT FOUND",INDEX('All Song Rankings'!$A:$A,F5164))</f>
        <v>Major Tom (Coming Home)</v>
      </c>
      <c r="H5164" s="6" t="str">
        <f aca="false">IF(F5164=0,"NOT FOUND",INDEX('All Song Rankings'!$B:$B,F5164))</f>
        <v>Peter Schilling</v>
      </c>
      <c r="I5164" s="6" t="str">
        <f aca="false">IF(F5164=0,"NOT FOUND",INDEX('All Song Rankings'!$D:$D,F5164))</f>
        <v>Matt</v>
      </c>
      <c r="J5164" s="7" t="str">
        <f aca="false">IF(F5164=0,"NOT FOUND",IF(C5164=I5164,"SELF-VOTE",IF(COUNTIF($K:$K,K5164)&gt;1,"DUPLICATE","OK")))</f>
        <v>OK</v>
      </c>
      <c r="K5164" s="6" t="str">
        <f aca="false">A5164&amp;"|"&amp;B5164&amp;"|"&amp;C5164&amp;"|"&amp;D5164</f>
        <v>7|7|Sara|spotify:track:709ffFK4o4MtG1NKoLvOma</v>
      </c>
    </row>
    <row r="5165" customFormat="false" ht="15" hidden="false" customHeight="false" outlineLevel="0" collapsed="false">
      <c r="A5165" s="5" t="n">
        <v>7</v>
      </c>
      <c r="B5165" s="5" t="n">
        <v>7</v>
      </c>
      <c r="C5165" s="5" t="s">
        <v>484</v>
      </c>
      <c r="D5165" s="5" t="s">
        <v>2272</v>
      </c>
      <c r="E5165" s="5" t="n">
        <v>3</v>
      </c>
      <c r="F5165" s="6" t="n">
        <f aca="false">IFERROR(MATCH(A5165&amp;"|"&amp;B5165&amp;"|"&amp;D5165,'All Song Rankings'!$T:$T,0),0)</f>
        <v>767</v>
      </c>
      <c r="G5165" s="6" t="str">
        <f aca="false">IF(F5165=0,"NOT FOUND",INDEX('All Song Rankings'!$A:$A,F5165))</f>
        <v>Ladies and gentlemen we are floating in space</v>
      </c>
      <c r="H5165" s="6" t="str">
        <f aca="false">IF(F5165=0,"NOT FOUND",INDEX('All Song Rankings'!$B:$B,F5165))</f>
        <v>Spiritualized</v>
      </c>
      <c r="I5165" s="6" t="str">
        <f aca="false">IF(F5165=0,"NOT FOUND",INDEX('All Song Rankings'!$D:$D,F5165))</f>
        <v>Logan</v>
      </c>
      <c r="J5165" s="7" t="str">
        <f aca="false">IF(F5165=0,"NOT FOUND",IF(C5165=I5165,"SELF-VOTE",IF(COUNTIF($K:$K,K5165)&gt;1,"DUPLICATE","OK")))</f>
        <v>OK</v>
      </c>
      <c r="K5165" s="6" t="str">
        <f aca="false">A5165&amp;"|"&amp;B5165&amp;"|"&amp;C5165&amp;"|"&amp;D5165</f>
        <v>7|7|Scott|spotify:track:0fOjUafaAhJV16oRBgCtz7</v>
      </c>
    </row>
    <row r="5166" customFormat="false" ht="15" hidden="false" customHeight="false" outlineLevel="0" collapsed="false">
      <c r="A5166" s="5" t="n">
        <v>7</v>
      </c>
      <c r="B5166" s="5" t="n">
        <v>7</v>
      </c>
      <c r="C5166" s="5" t="s">
        <v>484</v>
      </c>
      <c r="D5166" s="5" t="s">
        <v>2255</v>
      </c>
      <c r="E5166" s="5" t="n">
        <v>2</v>
      </c>
      <c r="F5166" s="6" t="n">
        <f aca="false">IFERROR(MATCH(A5166&amp;"|"&amp;B5166&amp;"|"&amp;D5166,'All Song Rankings'!$T:$T,0),0)</f>
        <v>760</v>
      </c>
      <c r="G5166" s="6" t="str">
        <f aca="false">IF(F5166=0,"NOT FOUND",INDEX('All Song Rankings'!$A:$A,F5166))</f>
        <v>Starman - 2012 Remaster</v>
      </c>
      <c r="H5166" s="6" t="str">
        <f aca="false">IF(F5166=0,"NOT FOUND",INDEX('All Song Rankings'!$B:$B,F5166))</f>
        <v>David Bowie</v>
      </c>
      <c r="I5166" s="6" t="str">
        <f aca="false">IF(F5166=0,"NOT FOUND",INDEX('All Song Rankings'!$D:$D,F5166))</f>
        <v>Christine</v>
      </c>
      <c r="J5166" s="7" t="str">
        <f aca="false">IF(F5166=0,"NOT FOUND",IF(C5166=I5166,"SELF-VOTE",IF(COUNTIF($K:$K,K5166)&gt;1,"DUPLICATE","OK")))</f>
        <v>OK</v>
      </c>
      <c r="K5166" s="6" t="str">
        <f aca="false">A5166&amp;"|"&amp;B5166&amp;"|"&amp;C5166&amp;"|"&amp;D5166</f>
        <v>7|7|Scott|spotify:track:0pQskrTITgmCMyr85tb9qq</v>
      </c>
    </row>
    <row r="5167" customFormat="false" ht="15" hidden="false" customHeight="false" outlineLevel="0" collapsed="false">
      <c r="A5167" s="5" t="n">
        <v>7</v>
      </c>
      <c r="B5167" s="5" t="n">
        <v>7</v>
      </c>
      <c r="C5167" s="5" t="s">
        <v>484</v>
      </c>
      <c r="D5167" s="5" t="s">
        <v>2257</v>
      </c>
      <c r="E5167" s="5" t="n">
        <v>1</v>
      </c>
      <c r="F5167" s="6" t="n">
        <f aca="false">IFERROR(MATCH(A5167&amp;"|"&amp;B5167&amp;"|"&amp;D5167,'All Song Rankings'!$T:$T,0),0)</f>
        <v>761</v>
      </c>
      <c r="G5167" s="6" t="str">
        <f aca="false">IF(F5167=0,"NOT FOUND",INDEX('All Song Rankings'!$A:$A,F5167))</f>
        <v>Supermassive Black Hole</v>
      </c>
      <c r="H5167" s="6" t="str">
        <f aca="false">IF(F5167=0,"NOT FOUND",INDEX('All Song Rankings'!$B:$B,F5167))</f>
        <v>Muse</v>
      </c>
      <c r="I5167" s="6" t="str">
        <f aca="false">IF(F5167=0,"NOT FOUND",INDEX('All Song Rankings'!$D:$D,F5167))</f>
        <v>Stephanie</v>
      </c>
      <c r="J5167" s="7" t="str">
        <f aca="false">IF(F5167=0,"NOT FOUND",IF(C5167=I5167,"SELF-VOTE",IF(COUNTIF($K:$K,K5167)&gt;1,"DUPLICATE","OK")))</f>
        <v>OK</v>
      </c>
      <c r="K5167" s="6" t="str">
        <f aca="false">A5167&amp;"|"&amp;B5167&amp;"|"&amp;C5167&amp;"|"&amp;D5167</f>
        <v>7|7|Scott|spotify:track:3lPr8ghNDBLc2uZovNyLs9</v>
      </c>
    </row>
    <row r="5168" customFormat="false" ht="15" hidden="false" customHeight="false" outlineLevel="0" collapsed="false">
      <c r="A5168" s="5" t="n">
        <v>7</v>
      </c>
      <c r="B5168" s="5" t="n">
        <v>7</v>
      </c>
      <c r="C5168" s="5" t="s">
        <v>484</v>
      </c>
      <c r="D5168" s="5" t="s">
        <v>2288</v>
      </c>
      <c r="E5168" s="5" t="n">
        <v>1</v>
      </c>
      <c r="F5168" s="6" t="n">
        <f aca="false">IFERROR(MATCH(A5168&amp;"|"&amp;B5168&amp;"|"&amp;D5168,'All Song Rankings'!$T:$T,0),0)</f>
        <v>773</v>
      </c>
      <c r="G5168" s="6" t="str">
        <f aca="false">IF(F5168=0,"NOT FOUND",INDEX('All Song Rankings'!$A:$A,F5168))</f>
        <v>Lost in Time and Space</v>
      </c>
      <c r="H5168" s="6" t="str">
        <f aca="false">IF(F5168=0,"NOT FOUND",INDEX('All Song Rankings'!$B:$B,F5168))</f>
        <v>Lord Huron</v>
      </c>
      <c r="I5168" s="6" t="str">
        <f aca="false">IF(F5168=0,"NOT FOUND",INDEX('All Song Rankings'!$D:$D,F5168))</f>
        <v>Merita</v>
      </c>
      <c r="J5168" s="7" t="str">
        <f aca="false">IF(F5168=0,"NOT FOUND",IF(C5168=I5168,"SELF-VOTE",IF(COUNTIF($K:$K,K5168)&gt;1,"DUPLICATE","OK")))</f>
        <v>OK</v>
      </c>
      <c r="K5168" s="6" t="str">
        <f aca="false">A5168&amp;"|"&amp;B5168&amp;"|"&amp;C5168&amp;"|"&amp;D5168</f>
        <v>7|7|Scott|spotify:track:6BqmgqzgKNxPszu1I6gOpn</v>
      </c>
    </row>
    <row r="5169" customFormat="false" ht="15" hidden="false" customHeight="false" outlineLevel="0" collapsed="false">
      <c r="A5169" s="5" t="n">
        <v>7</v>
      </c>
      <c r="B5169" s="5" t="n">
        <v>7</v>
      </c>
      <c r="C5169" s="5" t="s">
        <v>484</v>
      </c>
      <c r="D5169" s="5" t="s">
        <v>2280</v>
      </c>
      <c r="E5169" s="5" t="n">
        <v>1</v>
      </c>
      <c r="F5169" s="6" t="n">
        <f aca="false">IFERROR(MATCH(A5169&amp;"|"&amp;B5169&amp;"|"&amp;D5169,'All Song Rankings'!$T:$T,0),0)</f>
        <v>770</v>
      </c>
      <c r="G5169" s="6" t="str">
        <f aca="false">IF(F5169=0,"NOT FOUND",INDEX('All Song Rankings'!$A:$A,F5169))</f>
        <v>Star Trek: The Next Generation Main Title</v>
      </c>
      <c r="H5169" s="6" t="str">
        <f aca="false">IF(F5169=0,"NOT FOUND",INDEX('All Song Rankings'!$B:$B,F5169))</f>
        <v>Jerry Goldsmith, Ron Jones</v>
      </c>
      <c r="I5169" s="6" t="str">
        <f aca="false">IF(F5169=0,"NOT FOUND",INDEX('All Song Rankings'!$D:$D,F5169))</f>
        <v>Kristen</v>
      </c>
      <c r="J5169" s="7" t="str">
        <f aca="false">IF(F5169=0,"NOT FOUND",IF(C5169=I5169,"SELF-VOTE",IF(COUNTIF($K:$K,K5169)&gt;1,"DUPLICATE","OK")))</f>
        <v>OK</v>
      </c>
      <c r="K5169" s="6" t="str">
        <f aca="false">A5169&amp;"|"&amp;B5169&amp;"|"&amp;C5169&amp;"|"&amp;D5169</f>
        <v>7|7|Scott|spotify:track:6C6UppMmnhp4DY4oyG823S</v>
      </c>
    </row>
    <row r="5170" customFormat="false" ht="15" hidden="false" customHeight="false" outlineLevel="0" collapsed="false">
      <c r="A5170" s="5" t="n">
        <v>7</v>
      </c>
      <c r="B5170" s="5" t="n">
        <v>7</v>
      </c>
      <c r="C5170" s="5" t="s">
        <v>484</v>
      </c>
      <c r="D5170" s="5" t="s">
        <v>2283</v>
      </c>
      <c r="E5170" s="5" t="n">
        <v>1</v>
      </c>
      <c r="F5170" s="6" t="n">
        <f aca="false">IFERROR(MATCH(A5170&amp;"|"&amp;B5170&amp;"|"&amp;D5170,'All Song Rankings'!$T:$T,0),0)</f>
        <v>771</v>
      </c>
      <c r="G5170" s="6" t="str">
        <f aca="false">IF(F5170=0,"NOT FOUND",INDEX('All Song Rankings'!$A:$A,F5170))</f>
        <v>Champagne Supernova</v>
      </c>
      <c r="H5170" s="6" t="str">
        <f aca="false">IF(F5170=0,"NOT FOUND",INDEX('All Song Rankings'!$B:$B,F5170))</f>
        <v>Oasis</v>
      </c>
      <c r="I5170" s="6" t="str">
        <f aca="false">IF(F5170=0,"NOT FOUND",INDEX('All Song Rankings'!$D:$D,F5170))</f>
        <v>Josh</v>
      </c>
      <c r="J5170" s="7" t="str">
        <f aca="false">IF(F5170=0,"NOT FOUND",IF(C5170=I5170,"SELF-VOTE",IF(COUNTIF($K:$K,K5170)&gt;1,"DUPLICATE","OK")))</f>
        <v>OK</v>
      </c>
      <c r="K5170" s="6" t="str">
        <f aca="false">A5170&amp;"|"&amp;B5170&amp;"|"&amp;C5170&amp;"|"&amp;D5170</f>
        <v>7|7|Scott|spotify:track:6EMynpZ10GVcwVqiLZj6Ye</v>
      </c>
    </row>
    <row r="5171" customFormat="false" ht="15" hidden="false" customHeight="false" outlineLevel="0" collapsed="false">
      <c r="A5171" s="5" t="n">
        <v>7</v>
      </c>
      <c r="B5171" s="5" t="n">
        <v>7</v>
      </c>
      <c r="C5171" s="5" t="s">
        <v>484</v>
      </c>
      <c r="D5171" s="5" t="s">
        <v>2265</v>
      </c>
      <c r="E5171" s="5" t="n">
        <v>1</v>
      </c>
      <c r="F5171" s="6" t="n">
        <f aca="false">IFERROR(MATCH(A5171&amp;"|"&amp;B5171&amp;"|"&amp;D5171,'All Song Rankings'!$T:$T,0),0)</f>
        <v>764</v>
      </c>
      <c r="G5171" s="6" t="str">
        <f aca="false">IF(F5171=0,"NOT FOUND",INDEX('All Song Rankings'!$A:$A,F5171))</f>
        <v>Fly Me To The Moon - 2008 Remaster</v>
      </c>
      <c r="H5171" s="6" t="str">
        <f aca="false">IF(F5171=0,"NOT FOUND",INDEX('All Song Rankings'!$B:$B,F5171))</f>
        <v>Frank Sinatra</v>
      </c>
      <c r="I5171" s="6" t="str">
        <f aca="false">IF(F5171=0,"NOT FOUND",INDEX('All Song Rankings'!$D:$D,F5171))</f>
        <v>Grace</v>
      </c>
      <c r="J5171" s="7" t="str">
        <f aca="false">IF(F5171=0,"NOT FOUND",IF(C5171=I5171,"SELF-VOTE",IF(COUNTIF($K:$K,K5171)&gt;1,"DUPLICATE","OK")))</f>
        <v>OK</v>
      </c>
      <c r="K5171" s="6" t="str">
        <f aca="false">A5171&amp;"|"&amp;B5171&amp;"|"&amp;C5171&amp;"|"&amp;D5171</f>
        <v>7|7|Scott|spotify:track:7FXj7Qg3YorUxdrzvrcY25</v>
      </c>
    </row>
    <row r="5172" customFormat="false" ht="15" hidden="false" customHeight="false" outlineLevel="0" collapsed="false">
      <c r="A5172" s="5" t="n">
        <v>7</v>
      </c>
      <c r="B5172" s="5" t="n">
        <v>7</v>
      </c>
      <c r="C5172" s="5" t="s">
        <v>97</v>
      </c>
      <c r="D5172" s="5" t="s">
        <v>2268</v>
      </c>
      <c r="E5172" s="5" t="n">
        <v>1</v>
      </c>
      <c r="F5172" s="6" t="n">
        <f aca="false">IFERROR(MATCH(A5172&amp;"|"&amp;B5172&amp;"|"&amp;D5172,'All Song Rankings'!$T:$T,0),0)</f>
        <v>765</v>
      </c>
      <c r="G5172" s="6" t="str">
        <f aca="false">IF(F5172=0,"NOT FOUND",INDEX('All Song Rankings'!$A:$A,F5172))</f>
        <v>Working Class Heroes (Work)</v>
      </c>
      <c r="H5172" s="6" t="str">
        <f aca="false">IF(F5172=0,"NOT FOUND",INDEX('All Song Rankings'!$B:$B,F5172))</f>
        <v>CeeLo Green</v>
      </c>
      <c r="I5172" s="6" t="str">
        <f aca="false">IF(F5172=0,"NOT FOUND",INDEX('All Song Rankings'!$D:$D,F5172))</f>
        <v>Lucia</v>
      </c>
      <c r="J5172" s="7" t="str">
        <f aca="false">IF(F5172=0,"NOT FOUND",IF(C5172=I5172,"SELF-VOTE",IF(COUNTIF($K:$K,K5172)&gt;1,"DUPLICATE","OK")))</f>
        <v>OK</v>
      </c>
      <c r="K5172" s="6" t="str">
        <f aca="false">A5172&amp;"|"&amp;B5172&amp;"|"&amp;C5172&amp;"|"&amp;D5172</f>
        <v>7|7|Stephanie|spotify:track:0jqC18IqSdsGpGlQ8Dsx9M</v>
      </c>
    </row>
    <row r="5173" customFormat="false" ht="15" hidden="false" customHeight="false" outlineLevel="0" collapsed="false">
      <c r="A5173" s="5" t="n">
        <v>7</v>
      </c>
      <c r="B5173" s="5" t="n">
        <v>7</v>
      </c>
      <c r="C5173" s="5" t="s">
        <v>97</v>
      </c>
      <c r="D5173" s="5" t="s">
        <v>2252</v>
      </c>
      <c r="E5173" s="5" t="n">
        <v>2</v>
      </c>
      <c r="F5173" s="6" t="n">
        <f aca="false">IFERROR(MATCH(A5173&amp;"|"&amp;B5173&amp;"|"&amp;D5173,'All Song Rankings'!$T:$T,0),0)</f>
        <v>759</v>
      </c>
      <c r="G5173" s="6" t="str">
        <f aca="false">IF(F5173=0,"NOT FOUND",INDEX('All Song Rankings'!$A:$A,F5173))</f>
        <v>Saturn</v>
      </c>
      <c r="H5173" s="6" t="str">
        <f aca="false">IF(F5173=0,"NOT FOUND",INDEX('All Song Rankings'!$B:$B,F5173))</f>
        <v>SZA</v>
      </c>
      <c r="I5173" s="6" t="str">
        <f aca="false">IF(F5173=0,"NOT FOUND",INDEX('All Song Rankings'!$D:$D,F5173))</f>
        <v>Leah</v>
      </c>
      <c r="J5173" s="7" t="str">
        <f aca="false">IF(F5173=0,"NOT FOUND",IF(C5173=I5173,"SELF-VOTE",IF(COUNTIF($K:$K,K5173)&gt;1,"DUPLICATE","OK")))</f>
        <v>OK</v>
      </c>
      <c r="K5173" s="6" t="str">
        <f aca="false">A5173&amp;"|"&amp;B5173&amp;"|"&amp;C5173&amp;"|"&amp;D5173</f>
        <v>7|7|Stephanie|spotify:track:1bjeWoagtHmUKputLVyDxQ</v>
      </c>
    </row>
    <row r="5174" customFormat="false" ht="15" hidden="false" customHeight="false" outlineLevel="0" collapsed="false">
      <c r="A5174" s="5" t="n">
        <v>7</v>
      </c>
      <c r="B5174" s="5" t="n">
        <v>7</v>
      </c>
      <c r="C5174" s="5" t="s">
        <v>97</v>
      </c>
      <c r="D5174" s="5" t="s">
        <v>2275</v>
      </c>
      <c r="E5174" s="5" t="n">
        <v>2</v>
      </c>
      <c r="F5174" s="6" t="n">
        <f aca="false">IFERROR(MATCH(A5174&amp;"|"&amp;B5174&amp;"|"&amp;D5174,'All Song Rankings'!$T:$T,0),0)</f>
        <v>768</v>
      </c>
      <c r="G5174" s="6" t="str">
        <f aca="false">IF(F5174=0,"NOT FOUND",INDEX('All Song Rankings'!$A:$A,F5174))</f>
        <v>Star Love</v>
      </c>
      <c r="H5174" s="6" t="str">
        <f aca="false">IF(F5174=0,"NOT FOUND",INDEX('All Song Rankings'!$B:$B,F5174))</f>
        <v>Cheryl Lynn</v>
      </c>
      <c r="I5174" s="6" t="str">
        <f aca="false">IF(F5174=0,"NOT FOUND",INDEX('All Song Rankings'!$D:$D,F5174))</f>
        <v>Sara</v>
      </c>
      <c r="J5174" s="7" t="str">
        <f aca="false">IF(F5174=0,"NOT FOUND",IF(C5174=I5174,"SELF-VOTE",IF(COUNTIF($K:$K,K5174)&gt;1,"DUPLICATE","OK")))</f>
        <v>OK</v>
      </c>
      <c r="K5174" s="6" t="str">
        <f aca="false">A5174&amp;"|"&amp;B5174&amp;"|"&amp;C5174&amp;"|"&amp;D5174</f>
        <v>7|7|Stephanie|spotify:track:3Qf3MFEgl1laKe49NAXYKq</v>
      </c>
    </row>
    <row r="5175" customFormat="false" ht="15" hidden="false" customHeight="false" outlineLevel="0" collapsed="false">
      <c r="A5175" s="5" t="n">
        <v>7</v>
      </c>
      <c r="B5175" s="5" t="n">
        <v>7</v>
      </c>
      <c r="C5175" s="5" t="s">
        <v>97</v>
      </c>
      <c r="D5175" s="5" t="s">
        <v>2260</v>
      </c>
      <c r="E5175" s="5" t="n">
        <v>1</v>
      </c>
      <c r="F5175" s="6" t="n">
        <f aca="false">IFERROR(MATCH(A5175&amp;"|"&amp;B5175&amp;"|"&amp;D5175,'All Song Rankings'!$T:$T,0),0)</f>
        <v>762</v>
      </c>
      <c r="G5175" s="6" t="str">
        <f aca="false">IF(F5175=0,"NOT FOUND",INDEX('All Song Rankings'!$A:$A,F5175))</f>
        <v>Stargazing</v>
      </c>
      <c r="H5175" s="6" t="str">
        <f aca="false">IF(F5175=0,"NOT FOUND",INDEX('All Song Rankings'!$B:$B,F5175))</f>
        <v>Myles Smith</v>
      </c>
      <c r="I5175" s="6" t="str">
        <f aca="false">IF(F5175=0,"NOT FOUND",INDEX('All Song Rankings'!$D:$D,F5175))</f>
        <v>Colleen</v>
      </c>
      <c r="J5175" s="7" t="str">
        <f aca="false">IF(F5175=0,"NOT FOUND",IF(C5175=I5175,"SELF-VOTE",IF(COUNTIF($K:$K,K5175)&gt;1,"DUPLICATE","OK")))</f>
        <v>OK</v>
      </c>
      <c r="K5175" s="6" t="str">
        <f aca="false">A5175&amp;"|"&amp;B5175&amp;"|"&amp;C5175&amp;"|"&amp;D5175</f>
        <v>7|7|Stephanie|spotify:track:3Vr3zh0r7ALn8VLqCiRR10</v>
      </c>
    </row>
    <row r="5176" customFormat="false" ht="15" hidden="false" customHeight="false" outlineLevel="0" collapsed="false">
      <c r="A5176" s="5" t="n">
        <v>7</v>
      </c>
      <c r="B5176" s="5" t="n">
        <v>7</v>
      </c>
      <c r="C5176" s="5" t="s">
        <v>97</v>
      </c>
      <c r="D5176" s="5" t="s">
        <v>2286</v>
      </c>
      <c r="E5176" s="5" t="n">
        <v>1</v>
      </c>
      <c r="F5176" s="6" t="n">
        <f aca="false">IFERROR(MATCH(A5176&amp;"|"&amp;B5176&amp;"|"&amp;D5176,'All Song Rankings'!$T:$T,0),0)</f>
        <v>772</v>
      </c>
      <c r="G5176" s="6" t="str">
        <f aca="false">IF(F5176=0,"NOT FOUND",INDEX('All Song Rankings'!$A:$A,F5176))</f>
        <v>The Moon Song</v>
      </c>
      <c r="H5176" s="6" t="str">
        <f aca="false">IF(F5176=0,"NOT FOUND",INDEX('All Song Rankings'!$B:$B,F5176))</f>
        <v>beabadoobee</v>
      </c>
      <c r="I5176" s="6" t="str">
        <f aca="false">IF(F5176=0,"NOT FOUND",INDEX('All Song Rankings'!$D:$D,F5176))</f>
        <v>Scott</v>
      </c>
      <c r="J5176" s="7" t="str">
        <f aca="false">IF(F5176=0,"NOT FOUND",IF(C5176=I5176,"SELF-VOTE",IF(COUNTIF($K:$K,K5176)&gt;1,"DUPLICATE","OK")))</f>
        <v>OK</v>
      </c>
      <c r="K5176" s="6" t="str">
        <f aca="false">A5176&amp;"|"&amp;B5176&amp;"|"&amp;C5176&amp;"|"&amp;D5176</f>
        <v>7|7|Stephanie|spotify:track:3s9eWdn8IymCPvVLcKpjww</v>
      </c>
    </row>
    <row r="5177" customFormat="false" ht="15" hidden="false" customHeight="false" outlineLevel="0" collapsed="false">
      <c r="A5177" s="5" t="n">
        <v>7</v>
      </c>
      <c r="B5177" s="5" t="n">
        <v>7</v>
      </c>
      <c r="C5177" s="5" t="s">
        <v>97</v>
      </c>
      <c r="D5177" s="5" t="s">
        <v>2283</v>
      </c>
      <c r="E5177" s="5" t="n">
        <v>1</v>
      </c>
      <c r="F5177" s="6" t="n">
        <f aca="false">IFERROR(MATCH(A5177&amp;"|"&amp;B5177&amp;"|"&amp;D5177,'All Song Rankings'!$T:$T,0),0)</f>
        <v>771</v>
      </c>
      <c r="G5177" s="6" t="str">
        <f aca="false">IF(F5177=0,"NOT FOUND",INDEX('All Song Rankings'!$A:$A,F5177))</f>
        <v>Champagne Supernova</v>
      </c>
      <c r="H5177" s="6" t="str">
        <f aca="false">IF(F5177=0,"NOT FOUND",INDEX('All Song Rankings'!$B:$B,F5177))</f>
        <v>Oasis</v>
      </c>
      <c r="I5177" s="6" t="str">
        <f aca="false">IF(F5177=0,"NOT FOUND",INDEX('All Song Rankings'!$D:$D,F5177))</f>
        <v>Josh</v>
      </c>
      <c r="J5177" s="7" t="str">
        <f aca="false">IF(F5177=0,"NOT FOUND",IF(C5177=I5177,"SELF-VOTE",IF(COUNTIF($K:$K,K5177)&gt;1,"DUPLICATE","OK")))</f>
        <v>OK</v>
      </c>
      <c r="K5177" s="6" t="str">
        <f aca="false">A5177&amp;"|"&amp;B5177&amp;"|"&amp;C5177&amp;"|"&amp;D5177</f>
        <v>7|7|Stephanie|spotify:track:6EMynpZ10GVcwVqiLZj6Ye</v>
      </c>
    </row>
    <row r="5178" customFormat="false" ht="15" hidden="false" customHeight="false" outlineLevel="0" collapsed="false">
      <c r="A5178" s="5" t="n">
        <v>7</v>
      </c>
      <c r="B5178" s="5" t="n">
        <v>7</v>
      </c>
      <c r="C5178" s="5" t="s">
        <v>97</v>
      </c>
      <c r="D5178" s="5" t="s">
        <v>2263</v>
      </c>
      <c r="E5178" s="5" t="n">
        <v>2</v>
      </c>
      <c r="F5178" s="6" t="n">
        <f aca="false">IFERROR(MATCH(A5178&amp;"|"&amp;B5178&amp;"|"&amp;D5178,'All Song Rankings'!$T:$T,0),0)</f>
        <v>763</v>
      </c>
      <c r="G5178" s="6" t="str">
        <f aca="false">IF(F5178=0,"NOT FOUND",INDEX('All Song Rankings'!$A:$A,F5178))</f>
        <v>Major Tom (Coming Home)</v>
      </c>
      <c r="H5178" s="6" t="str">
        <f aca="false">IF(F5178=0,"NOT FOUND",INDEX('All Song Rankings'!$B:$B,F5178))</f>
        <v>Peter Schilling</v>
      </c>
      <c r="I5178" s="6" t="str">
        <f aca="false">IF(F5178=0,"NOT FOUND",INDEX('All Song Rankings'!$D:$D,F5178))</f>
        <v>Matt</v>
      </c>
      <c r="J5178" s="7" t="str">
        <f aca="false">IF(F5178=0,"NOT FOUND",IF(C5178=I5178,"SELF-VOTE",IF(COUNTIF($K:$K,K5178)&gt;1,"DUPLICATE","OK")))</f>
        <v>OK</v>
      </c>
      <c r="K5178" s="6" t="str">
        <f aca="false">A5178&amp;"|"&amp;B5178&amp;"|"&amp;C5178&amp;"|"&amp;D5178</f>
        <v>7|7|Stephanie|spotify:track:709ffFK4o4MtG1NKoLvOma</v>
      </c>
    </row>
    <row r="5179" customFormat="false" ht="15" hidden="false" customHeight="false" outlineLevel="0" collapsed="false">
      <c r="A5179" s="5" t="n">
        <v>7</v>
      </c>
      <c r="B5179" s="5" t="n">
        <v>8</v>
      </c>
      <c r="C5179" s="5" t="s">
        <v>719</v>
      </c>
      <c r="D5179" s="5" t="s">
        <v>2317</v>
      </c>
      <c r="E5179" s="5" t="n">
        <v>1</v>
      </c>
      <c r="F5179" s="6" t="n">
        <f aca="false">IFERROR(MATCH(A5179&amp;"|"&amp;B5179&amp;"|"&amp;D5179,'All Song Rankings'!$T:$T,0),0)</f>
        <v>783</v>
      </c>
      <c r="G5179" s="6" t="str">
        <f aca="false">IF(F5179=0,"NOT FOUND",INDEX('All Song Rankings'!$A:$A,F5179))</f>
        <v>Animal</v>
      </c>
      <c r="H5179" s="6" t="str">
        <f aca="false">IF(F5179=0,"NOT FOUND",INDEX('All Song Rankings'!$B:$B,F5179))</f>
        <v>Badflower</v>
      </c>
      <c r="I5179" s="6" t="str">
        <f aca="false">IF(F5179=0,"NOT FOUND",INDEX('All Song Rankings'!$D:$D,F5179))</f>
        <v>Scott</v>
      </c>
      <c r="J5179" s="7" t="str">
        <f aca="false">IF(F5179=0,"NOT FOUND",IF(C5179=I5179,"SELF-VOTE",IF(COUNTIF($K:$K,K5179)&gt;1,"DUPLICATE","OK")))</f>
        <v>OK</v>
      </c>
      <c r="K5179" s="6" t="str">
        <f aca="false">A5179&amp;"|"&amp;B5179&amp;"|"&amp;C5179&amp;"|"&amp;D5179</f>
        <v>7|8|Christine|spotify:track:0CBM2iiBZmfKntDeQYboqU</v>
      </c>
    </row>
    <row r="5180" customFormat="false" ht="15" hidden="false" customHeight="false" outlineLevel="0" collapsed="false">
      <c r="A5180" s="5" t="n">
        <v>7</v>
      </c>
      <c r="B5180" s="5" t="n">
        <v>8</v>
      </c>
      <c r="C5180" s="5" t="s">
        <v>719</v>
      </c>
      <c r="D5180" s="5" t="s">
        <v>2303</v>
      </c>
      <c r="E5180" s="5" t="n">
        <v>1</v>
      </c>
      <c r="F5180" s="6" t="n">
        <f aca="false">IFERROR(MATCH(A5180&amp;"|"&amp;B5180&amp;"|"&amp;D5180,'All Song Rankings'!$T:$T,0),0)</f>
        <v>778</v>
      </c>
      <c r="G5180" s="6" t="str">
        <f aca="false">IF(F5180=0,"NOT FOUND",INDEX('All Song Rankings'!$A:$A,F5180))</f>
        <v>Heads Will Roll</v>
      </c>
      <c r="H5180" s="6" t="str">
        <f aca="false">IF(F5180=0,"NOT FOUND",INDEX('All Song Rankings'!$B:$B,F5180))</f>
        <v>Yeah Yeah Yeahs</v>
      </c>
      <c r="I5180" s="6" t="str">
        <f aca="false">IF(F5180=0,"NOT FOUND",INDEX('All Song Rankings'!$D:$D,F5180))</f>
        <v>Stephanie</v>
      </c>
      <c r="J5180" s="7" t="str">
        <f aca="false">IF(F5180=0,"NOT FOUND",IF(C5180=I5180,"SELF-VOTE",IF(COUNTIF($K:$K,K5180)&gt;1,"DUPLICATE","OK")))</f>
        <v>OK</v>
      </c>
      <c r="K5180" s="6" t="str">
        <f aca="false">A5180&amp;"|"&amp;B5180&amp;"|"&amp;C5180&amp;"|"&amp;D5180</f>
        <v>7|8|Christine|spotify:track:18oWEPapjNt32E6sCM6VLb</v>
      </c>
    </row>
    <row r="5181" customFormat="false" ht="15" hidden="false" customHeight="false" outlineLevel="0" collapsed="false">
      <c r="A5181" s="5" t="n">
        <v>7</v>
      </c>
      <c r="B5181" s="5" t="n">
        <v>8</v>
      </c>
      <c r="C5181" s="5" t="s">
        <v>719</v>
      </c>
      <c r="D5181" s="5" t="s">
        <v>2327</v>
      </c>
      <c r="E5181" s="5" t="n">
        <v>2</v>
      </c>
      <c r="F5181" s="6" t="n">
        <f aca="false">IFERROR(MATCH(A5181&amp;"|"&amp;B5181&amp;"|"&amp;D5181,'All Song Rankings'!$T:$T,0),0)</f>
        <v>787</v>
      </c>
      <c r="G5181" s="6" t="str">
        <f aca="false">IF(F5181=0,"NOT FOUND",INDEX('All Song Rankings'!$A:$A,F5181))</f>
        <v>Crawling in the Dark</v>
      </c>
      <c r="H5181" s="6" t="str">
        <f aca="false">IF(F5181=0,"NOT FOUND",INDEX('All Song Rankings'!$B:$B,F5181))</f>
        <v>Hoobastank</v>
      </c>
      <c r="I5181" s="6" t="str">
        <f aca="false">IF(F5181=0,"NOT FOUND",INDEX('All Song Rankings'!$D:$D,F5181))</f>
        <v>Colleen</v>
      </c>
      <c r="J5181" s="7" t="str">
        <f aca="false">IF(F5181=0,"NOT FOUND",IF(C5181=I5181,"SELF-VOTE",IF(COUNTIF($K:$K,K5181)&gt;1,"DUPLICATE","OK")))</f>
        <v>OK</v>
      </c>
      <c r="K5181" s="6" t="str">
        <f aca="false">A5181&amp;"|"&amp;B5181&amp;"|"&amp;C5181&amp;"|"&amp;D5181</f>
        <v>7|8|Christine|spotify:track:1PJRDeZSoZk7gtisdTYfLi</v>
      </c>
    </row>
    <row r="5182" customFormat="false" ht="15" hidden="false" customHeight="false" outlineLevel="0" collapsed="false">
      <c r="A5182" s="5" t="n">
        <v>7</v>
      </c>
      <c r="B5182" s="5" t="n">
        <v>8</v>
      </c>
      <c r="C5182" s="5" t="s">
        <v>719</v>
      </c>
      <c r="D5182" s="5" t="s">
        <v>2319</v>
      </c>
      <c r="E5182" s="5" t="n">
        <v>1</v>
      </c>
      <c r="F5182" s="6" t="n">
        <f aca="false">IFERROR(MATCH(A5182&amp;"|"&amp;B5182&amp;"|"&amp;D5182,'All Song Rankings'!$T:$T,0),0)</f>
        <v>784</v>
      </c>
      <c r="G5182" s="6" t="str">
        <f aca="false">IF(F5182=0,"NOT FOUND",INDEX('All Song Rankings'!$A:$A,F5182))</f>
        <v>Disturbia</v>
      </c>
      <c r="H5182" s="6" t="str">
        <f aca="false">IF(F5182=0,"NOT FOUND",INDEX('All Song Rankings'!$B:$B,F5182))</f>
        <v>Rihanna</v>
      </c>
      <c r="I5182" s="6" t="str">
        <f aca="false">IF(F5182=0,"NOT FOUND",INDEX('All Song Rankings'!$D:$D,F5182))</f>
        <v>Leah</v>
      </c>
      <c r="J5182" s="7" t="str">
        <f aca="false">IF(F5182=0,"NOT FOUND",IF(C5182=I5182,"SELF-VOTE",IF(COUNTIF($K:$K,K5182)&gt;1,"DUPLICATE","OK")))</f>
        <v>OK</v>
      </c>
      <c r="K5182" s="6" t="str">
        <f aca="false">A5182&amp;"|"&amp;B5182&amp;"|"&amp;C5182&amp;"|"&amp;D5182</f>
        <v>7|8|Christine|spotify:track:2VOomzT6VavJOGBeySqaMc</v>
      </c>
    </row>
    <row r="5183" customFormat="false" ht="15" hidden="false" customHeight="false" outlineLevel="0" collapsed="false">
      <c r="A5183" s="5" t="n">
        <v>7</v>
      </c>
      <c r="B5183" s="5" t="n">
        <v>8</v>
      </c>
      <c r="C5183" s="5" t="s">
        <v>719</v>
      </c>
      <c r="D5183" s="5" t="s">
        <v>2314</v>
      </c>
      <c r="E5183" s="5" t="n">
        <v>1</v>
      </c>
      <c r="F5183" s="6" t="n">
        <f aca="false">IFERROR(MATCH(A5183&amp;"|"&amp;B5183&amp;"|"&amp;D5183,'All Song Rankings'!$T:$T,0),0)</f>
        <v>782</v>
      </c>
      <c r="G5183" s="6" t="str">
        <f aca="false">IF(F5183=0,"NOT FOUND",INDEX('All Song Rankings'!$A:$A,F5183))</f>
        <v>Dead Man's Party</v>
      </c>
      <c r="H5183" s="6" t="str">
        <f aca="false">IF(F5183=0,"NOT FOUND",INDEX('All Song Rankings'!$B:$B,F5183))</f>
        <v>Oingo Boingo</v>
      </c>
      <c r="I5183" s="6" t="str">
        <f aca="false">IF(F5183=0,"NOT FOUND",INDEX('All Song Rankings'!$D:$D,F5183))</f>
        <v>Matt</v>
      </c>
      <c r="J5183" s="7" t="str">
        <f aca="false">IF(F5183=0,"NOT FOUND",IF(C5183=I5183,"SELF-VOTE",IF(COUNTIF($K:$K,K5183)&gt;1,"DUPLICATE","OK")))</f>
        <v>OK</v>
      </c>
      <c r="K5183" s="6" t="str">
        <f aca="false">A5183&amp;"|"&amp;B5183&amp;"|"&amp;C5183&amp;"|"&amp;D5183</f>
        <v>7|8|Christine|spotify:track:2h47SG8bNphmicAll4H9RV</v>
      </c>
    </row>
    <row r="5184" customFormat="false" ht="15" hidden="false" customHeight="false" outlineLevel="0" collapsed="false">
      <c r="A5184" s="5" t="n">
        <v>7</v>
      </c>
      <c r="B5184" s="5" t="n">
        <v>8</v>
      </c>
      <c r="C5184" s="5" t="s">
        <v>719</v>
      </c>
      <c r="D5184" s="5" t="s">
        <v>2297</v>
      </c>
      <c r="E5184" s="5" t="n">
        <v>2</v>
      </c>
      <c r="F5184" s="6" t="n">
        <f aca="false">IFERROR(MATCH(A5184&amp;"|"&amp;B5184&amp;"|"&amp;D5184,'All Song Rankings'!$T:$T,0),0)</f>
        <v>776</v>
      </c>
      <c r="G5184" s="6" t="str">
        <f aca="false">IF(F5184=0,"NOT FOUND",INDEX('All Song Rankings'!$A:$A,F5184))</f>
        <v>Sweet Dreams (Are Made Of This)</v>
      </c>
      <c r="H5184" s="6" t="str">
        <f aca="false">IF(F5184=0,"NOT FOUND",INDEX('All Song Rankings'!$B:$B,F5184))</f>
        <v>Marilyn Manson</v>
      </c>
      <c r="I5184" s="6" t="str">
        <f aca="false">IF(F5184=0,"NOT FOUND",INDEX('All Song Rankings'!$D:$D,F5184))</f>
        <v>Kristen</v>
      </c>
      <c r="J5184" s="7" t="str">
        <f aca="false">IF(F5184=0,"NOT FOUND",IF(C5184=I5184,"SELF-VOTE",IF(COUNTIF($K:$K,K5184)&gt;1,"DUPLICATE","OK")))</f>
        <v>OK</v>
      </c>
      <c r="K5184" s="6" t="str">
        <f aca="false">A5184&amp;"|"&amp;B5184&amp;"|"&amp;C5184&amp;"|"&amp;D5184</f>
        <v>7|8|Christine|spotify:track:3D0bXrSv7O73vOaGOG8J9c</v>
      </c>
    </row>
    <row r="5185" customFormat="false" ht="15" hidden="false" customHeight="false" outlineLevel="0" collapsed="false">
      <c r="A5185" s="5" t="n">
        <v>7</v>
      </c>
      <c r="B5185" s="5" t="n">
        <v>8</v>
      </c>
      <c r="C5185" s="5" t="s">
        <v>719</v>
      </c>
      <c r="D5185" s="5" t="s">
        <v>2306</v>
      </c>
      <c r="E5185" s="5" t="n">
        <v>1</v>
      </c>
      <c r="F5185" s="6" t="n">
        <f aca="false">IFERROR(MATCH(A5185&amp;"|"&amp;B5185&amp;"|"&amp;D5185,'All Song Rankings'!$T:$T,0),0)</f>
        <v>779</v>
      </c>
      <c r="G5185" s="6" t="str">
        <f aca="false">IF(F5185=0,"NOT FOUND",INDEX('All Song Rankings'!$A:$A,F5185))</f>
        <v>Dracula</v>
      </c>
      <c r="H5185" s="6" t="str">
        <f aca="false">IF(F5185=0,"NOT FOUND",INDEX('All Song Rankings'!$B:$B,F5185))</f>
        <v>Tame Impala</v>
      </c>
      <c r="I5185" s="6" t="str">
        <f aca="false">IF(F5185=0,"NOT FOUND",INDEX('All Song Rankings'!$D:$D,F5185))</f>
        <v>Lucia</v>
      </c>
      <c r="J5185" s="7" t="str">
        <f aca="false">IF(F5185=0,"NOT FOUND",IF(C5185=I5185,"SELF-VOTE",IF(COUNTIF($K:$K,K5185)&gt;1,"DUPLICATE","OK")))</f>
        <v>OK</v>
      </c>
      <c r="K5185" s="6" t="str">
        <f aca="false">A5185&amp;"|"&amp;B5185&amp;"|"&amp;C5185&amp;"|"&amp;D5185</f>
        <v>7|8|Christine|spotify:track:709ZIqPHyFOpx2QdjmeWAM</v>
      </c>
    </row>
    <row r="5186" customFormat="false" ht="15" hidden="false" customHeight="false" outlineLevel="0" collapsed="false">
      <c r="A5186" s="5" t="n">
        <v>7</v>
      </c>
      <c r="B5186" s="5" t="n">
        <v>8</v>
      </c>
      <c r="C5186" s="5" t="s">
        <v>719</v>
      </c>
      <c r="D5186" s="5" t="s">
        <v>2295</v>
      </c>
      <c r="E5186" s="5" t="n">
        <v>1</v>
      </c>
      <c r="F5186" s="6" t="n">
        <f aca="false">IFERROR(MATCH(A5186&amp;"|"&amp;B5186&amp;"|"&amp;D5186,'All Song Rankings'!$T:$T,0),0)</f>
        <v>775</v>
      </c>
      <c r="G5186" s="6" t="str">
        <f aca="false">IF(F5186=0,"NOT FOUND",INDEX('All Song Rankings'!$A:$A,F5186))</f>
        <v>Somebody's Watching Me</v>
      </c>
      <c r="H5186" s="6" t="str">
        <f aca="false">IF(F5186=0,"NOT FOUND",INDEX('All Song Rankings'!$B:$B,F5186))</f>
        <v>Rockwell</v>
      </c>
      <c r="I5186" s="6" t="str">
        <f aca="false">IF(F5186=0,"NOT FOUND",INDEX('All Song Rankings'!$D:$D,F5186))</f>
        <v>Sara</v>
      </c>
      <c r="J5186" s="7" t="str">
        <f aca="false">IF(F5186=0,"NOT FOUND",IF(C5186=I5186,"SELF-VOTE",IF(COUNTIF($K:$K,K5186)&gt;1,"DUPLICATE","OK")))</f>
        <v>OK</v>
      </c>
      <c r="K5186" s="6" t="str">
        <f aca="false">A5186&amp;"|"&amp;B5186&amp;"|"&amp;C5186&amp;"|"&amp;D5186</f>
        <v>7|8|Christine|spotify:track:7jwQlYGpOml9ETGre1HqGA</v>
      </c>
    </row>
    <row r="5187" customFormat="false" ht="15" hidden="false" customHeight="false" outlineLevel="0" collapsed="false">
      <c r="A5187" s="5" t="n">
        <v>7</v>
      </c>
      <c r="B5187" s="5" t="n">
        <v>8</v>
      </c>
      <c r="C5187" s="5" t="s">
        <v>637</v>
      </c>
      <c r="D5187" s="5" t="s">
        <v>2317</v>
      </c>
      <c r="E5187" s="5" t="n">
        <v>1</v>
      </c>
      <c r="F5187" s="6" t="n">
        <f aca="false">IFERROR(MATCH(A5187&amp;"|"&amp;B5187&amp;"|"&amp;D5187,'All Song Rankings'!$T:$T,0),0)</f>
        <v>783</v>
      </c>
      <c r="G5187" s="6" t="str">
        <f aca="false">IF(F5187=0,"NOT FOUND",INDEX('All Song Rankings'!$A:$A,F5187))</f>
        <v>Animal</v>
      </c>
      <c r="H5187" s="6" t="str">
        <f aca="false">IF(F5187=0,"NOT FOUND",INDEX('All Song Rankings'!$B:$B,F5187))</f>
        <v>Badflower</v>
      </c>
      <c r="I5187" s="6" t="str">
        <f aca="false">IF(F5187=0,"NOT FOUND",INDEX('All Song Rankings'!$D:$D,F5187))</f>
        <v>Scott</v>
      </c>
      <c r="J5187" s="7" t="str">
        <f aca="false">IF(F5187=0,"NOT FOUND",IF(C5187=I5187,"SELF-VOTE",IF(COUNTIF($K:$K,K5187)&gt;1,"DUPLICATE","OK")))</f>
        <v>OK</v>
      </c>
      <c r="K5187" s="6" t="str">
        <f aca="false">A5187&amp;"|"&amp;B5187&amp;"|"&amp;C5187&amp;"|"&amp;D5187</f>
        <v>7|8|Colleen|spotify:track:0CBM2iiBZmfKntDeQYboqU</v>
      </c>
    </row>
    <row r="5188" customFormat="false" ht="15" hidden="false" customHeight="false" outlineLevel="0" collapsed="false">
      <c r="A5188" s="5" t="n">
        <v>7</v>
      </c>
      <c r="B5188" s="5" t="n">
        <v>8</v>
      </c>
      <c r="C5188" s="5" t="s">
        <v>637</v>
      </c>
      <c r="D5188" s="5" t="s">
        <v>2322</v>
      </c>
      <c r="E5188" s="5" t="n">
        <v>1</v>
      </c>
      <c r="F5188" s="6" t="n">
        <f aca="false">IFERROR(MATCH(A5188&amp;"|"&amp;B5188&amp;"|"&amp;D5188,'All Song Rankings'!$T:$T,0),0)</f>
        <v>785</v>
      </c>
      <c r="G5188" s="6" t="str">
        <f aca="false">IF(F5188=0,"NOT FOUND",INDEX('All Song Rankings'!$A:$A,F5188))</f>
        <v>Nun painting</v>
      </c>
      <c r="H5188" s="6" t="str">
        <f aca="false">IF(F5188=0,"NOT FOUND",INDEX('All Song Rankings'!$B:$B,F5188))</f>
        <v>joseph bishara</v>
      </c>
      <c r="I5188" s="6" t="str">
        <f aca="false">IF(F5188=0,"NOT FOUND",INDEX('All Song Rankings'!$D:$D,F5188))</f>
        <v>Logan</v>
      </c>
      <c r="J5188" s="7" t="str">
        <f aca="false">IF(F5188=0,"NOT FOUND",IF(C5188=I5188,"SELF-VOTE",IF(COUNTIF($K:$K,K5188)&gt;1,"DUPLICATE","OK")))</f>
        <v>OK</v>
      </c>
      <c r="K5188" s="6" t="str">
        <f aca="false">A5188&amp;"|"&amp;B5188&amp;"|"&amp;C5188&amp;"|"&amp;D5188</f>
        <v>7|8|Colleen|spotify:track:0xWs8OMHsWdqSvfDxhkmiw</v>
      </c>
    </row>
    <row r="5189" customFormat="false" ht="15" hidden="false" customHeight="false" outlineLevel="0" collapsed="false">
      <c r="A5189" s="5" t="n">
        <v>7</v>
      </c>
      <c r="B5189" s="5" t="n">
        <v>8</v>
      </c>
      <c r="C5189" s="5" t="s">
        <v>637</v>
      </c>
      <c r="D5189" s="5" t="s">
        <v>2324</v>
      </c>
      <c r="E5189" s="5" t="n">
        <v>1</v>
      </c>
      <c r="F5189" s="6" t="n">
        <f aca="false">IFERROR(MATCH(A5189&amp;"|"&amp;B5189&amp;"|"&amp;D5189,'All Song Rankings'!$T:$T,0),0)</f>
        <v>786</v>
      </c>
      <c r="G5189" s="6" t="str">
        <f aca="false">IF(F5189=0,"NOT FOUND",INDEX('All Song Rankings'!$A:$A,F5189))</f>
        <v>Tip Toe Thru' the Tulips with Me</v>
      </c>
      <c r="H5189" s="6" t="str">
        <f aca="false">IF(F5189=0,"NOT FOUND",INDEX('All Song Rankings'!$B:$B,F5189))</f>
        <v>Tiny Tim</v>
      </c>
      <c r="I5189" s="6" t="str">
        <f aca="false">IF(F5189=0,"NOT FOUND",INDEX('All Song Rankings'!$D:$D,F5189))</f>
        <v>Grace</v>
      </c>
      <c r="J5189" s="7" t="str">
        <f aca="false">IF(F5189=0,"NOT FOUND",IF(C5189=I5189,"SELF-VOTE",IF(COUNTIF($K:$K,K5189)&gt;1,"DUPLICATE","OK")))</f>
        <v>OK</v>
      </c>
      <c r="K5189" s="6" t="str">
        <f aca="false">A5189&amp;"|"&amp;B5189&amp;"|"&amp;C5189&amp;"|"&amp;D5189</f>
        <v>7|8|Colleen|spotify:track:1Vchex0xowRj9k59RLvRfo</v>
      </c>
    </row>
    <row r="5190" customFormat="false" ht="15" hidden="false" customHeight="false" outlineLevel="0" collapsed="false">
      <c r="A5190" s="5" t="n">
        <v>7</v>
      </c>
      <c r="B5190" s="5" t="n">
        <v>8</v>
      </c>
      <c r="C5190" s="5" t="s">
        <v>637</v>
      </c>
      <c r="D5190" s="5" t="s">
        <v>2309</v>
      </c>
      <c r="E5190" s="5" t="n">
        <v>1</v>
      </c>
      <c r="F5190" s="6" t="n">
        <f aca="false">IFERROR(MATCH(A5190&amp;"|"&amp;B5190&amp;"|"&amp;D5190,'All Song Rankings'!$T:$T,0),0)</f>
        <v>780</v>
      </c>
      <c r="G5190" s="6" t="str">
        <f aca="false">IF(F5190=0,"NOT FOUND",INDEX('All Song Rankings'!$A:$A,F5190))</f>
        <v>Killer Klowns</v>
      </c>
      <c r="H5190" s="6" t="str">
        <f aca="false">IF(F5190=0,"NOT FOUND",INDEX('All Song Rankings'!$B:$B,F5190))</f>
        <v>The Dickies</v>
      </c>
      <c r="I5190" s="6" t="str">
        <f aca="false">IF(F5190=0,"NOT FOUND",INDEX('All Song Rankings'!$D:$D,F5190))</f>
        <v>Josh</v>
      </c>
      <c r="J5190" s="7" t="str">
        <f aca="false">IF(F5190=0,"NOT FOUND",IF(C5190=I5190,"SELF-VOTE",IF(COUNTIF($K:$K,K5190)&gt;1,"DUPLICATE","OK")))</f>
        <v>OK</v>
      </c>
      <c r="K5190" s="6" t="str">
        <f aca="false">A5190&amp;"|"&amp;B5190&amp;"|"&amp;C5190&amp;"|"&amp;D5190</f>
        <v>7|8|Colleen|spotify:track:1dUPABHPVfHnvdLnKwYbgz</v>
      </c>
    </row>
    <row r="5191" customFormat="false" ht="15" hidden="false" customHeight="false" outlineLevel="0" collapsed="false">
      <c r="A5191" s="5" t="n">
        <v>7</v>
      </c>
      <c r="B5191" s="5" t="n">
        <v>8</v>
      </c>
      <c r="C5191" s="5" t="s">
        <v>637</v>
      </c>
      <c r="D5191" s="5" t="s">
        <v>2292</v>
      </c>
      <c r="E5191" s="5" t="n">
        <v>1</v>
      </c>
      <c r="F5191" s="6" t="n">
        <f aca="false">IFERROR(MATCH(A5191&amp;"|"&amp;B5191&amp;"|"&amp;D5191,'All Song Rankings'!$T:$T,0),0)</f>
        <v>774</v>
      </c>
      <c r="G5191" s="6" t="str">
        <f aca="false">IF(F5191=0,"NOT FOUND",INDEX('All Song Rankings'!$A:$A,F5191))</f>
        <v>Rocky Road to Dublin</v>
      </c>
      <c r="H5191" s="6" t="str">
        <f aca="false">IF(F5191=0,"NOT FOUND",INDEX('All Song Rankings'!$B:$B,F5191))</f>
        <v>Jack O'Connell, Brian Dunphy, Darren Holden, Sinners Movie</v>
      </c>
      <c r="I5191" s="6" t="str">
        <f aca="false">IF(F5191=0,"NOT FOUND",INDEX('All Song Rankings'!$D:$D,F5191))</f>
        <v>Kelsey</v>
      </c>
      <c r="J5191" s="7" t="str">
        <f aca="false">IF(F5191=0,"NOT FOUND",IF(C5191=I5191,"SELF-VOTE",IF(COUNTIF($K:$K,K5191)&gt;1,"DUPLICATE","OK")))</f>
        <v>OK</v>
      </c>
      <c r="K5191" s="6" t="str">
        <f aca="false">A5191&amp;"|"&amp;B5191&amp;"|"&amp;C5191&amp;"|"&amp;D5191</f>
        <v>7|8|Colleen|spotify:track:1esmJ8t2PRbYt2yMx2aSEW</v>
      </c>
    </row>
    <row r="5192" customFormat="false" ht="15" hidden="false" customHeight="false" outlineLevel="0" collapsed="false">
      <c r="A5192" s="5" t="n">
        <v>7</v>
      </c>
      <c r="B5192" s="5" t="n">
        <v>8</v>
      </c>
      <c r="C5192" s="5" t="s">
        <v>637</v>
      </c>
      <c r="D5192" s="5" t="s">
        <v>2314</v>
      </c>
      <c r="E5192" s="5" t="n">
        <v>1</v>
      </c>
      <c r="F5192" s="6" t="n">
        <f aca="false">IFERROR(MATCH(A5192&amp;"|"&amp;B5192&amp;"|"&amp;D5192,'All Song Rankings'!$T:$T,0),0)</f>
        <v>782</v>
      </c>
      <c r="G5192" s="6" t="str">
        <f aca="false">IF(F5192=0,"NOT FOUND",INDEX('All Song Rankings'!$A:$A,F5192))</f>
        <v>Dead Man's Party</v>
      </c>
      <c r="H5192" s="6" t="str">
        <f aca="false">IF(F5192=0,"NOT FOUND",INDEX('All Song Rankings'!$B:$B,F5192))</f>
        <v>Oingo Boingo</v>
      </c>
      <c r="I5192" s="6" t="str">
        <f aca="false">IF(F5192=0,"NOT FOUND",INDEX('All Song Rankings'!$D:$D,F5192))</f>
        <v>Matt</v>
      </c>
      <c r="J5192" s="7" t="str">
        <f aca="false">IF(F5192=0,"NOT FOUND",IF(C5192=I5192,"SELF-VOTE",IF(COUNTIF($K:$K,K5192)&gt;1,"DUPLICATE","OK")))</f>
        <v>OK</v>
      </c>
      <c r="K5192" s="6" t="str">
        <f aca="false">A5192&amp;"|"&amp;B5192&amp;"|"&amp;C5192&amp;"|"&amp;D5192</f>
        <v>7|8|Colleen|spotify:track:2h47SG8bNphmicAll4H9RV</v>
      </c>
    </row>
    <row r="5193" customFormat="false" ht="15" hidden="false" customHeight="false" outlineLevel="0" collapsed="false">
      <c r="A5193" s="5" t="n">
        <v>7</v>
      </c>
      <c r="B5193" s="5" t="n">
        <v>8</v>
      </c>
      <c r="C5193" s="5" t="s">
        <v>637</v>
      </c>
      <c r="D5193" s="5" t="s">
        <v>2297</v>
      </c>
      <c r="E5193" s="5" t="n">
        <v>1</v>
      </c>
      <c r="F5193" s="6" t="n">
        <f aca="false">IFERROR(MATCH(A5193&amp;"|"&amp;B5193&amp;"|"&amp;D5193,'All Song Rankings'!$T:$T,0),0)</f>
        <v>776</v>
      </c>
      <c r="G5193" s="6" t="str">
        <f aca="false">IF(F5193=0,"NOT FOUND",INDEX('All Song Rankings'!$A:$A,F5193))</f>
        <v>Sweet Dreams (Are Made Of This)</v>
      </c>
      <c r="H5193" s="6" t="str">
        <f aca="false">IF(F5193=0,"NOT FOUND",INDEX('All Song Rankings'!$B:$B,F5193))</f>
        <v>Marilyn Manson</v>
      </c>
      <c r="I5193" s="6" t="str">
        <f aca="false">IF(F5193=0,"NOT FOUND",INDEX('All Song Rankings'!$D:$D,F5193))</f>
        <v>Kristen</v>
      </c>
      <c r="J5193" s="7" t="str">
        <f aca="false">IF(F5193=0,"NOT FOUND",IF(C5193=I5193,"SELF-VOTE",IF(COUNTIF($K:$K,K5193)&gt;1,"DUPLICATE","OK")))</f>
        <v>OK</v>
      </c>
      <c r="K5193" s="6" t="str">
        <f aca="false">A5193&amp;"|"&amp;B5193&amp;"|"&amp;C5193&amp;"|"&amp;D5193</f>
        <v>7|8|Colleen|spotify:track:3D0bXrSv7O73vOaGOG8J9c</v>
      </c>
    </row>
    <row r="5194" customFormat="false" ht="15" hidden="false" customHeight="false" outlineLevel="0" collapsed="false">
      <c r="A5194" s="5" t="n">
        <v>7</v>
      </c>
      <c r="B5194" s="5" t="n">
        <v>8</v>
      </c>
      <c r="C5194" s="5" t="s">
        <v>637</v>
      </c>
      <c r="D5194" s="5" t="s">
        <v>2300</v>
      </c>
      <c r="E5194" s="5" t="n">
        <v>1</v>
      </c>
      <c r="F5194" s="6" t="n">
        <f aca="false">IFERROR(MATCH(A5194&amp;"|"&amp;B5194&amp;"|"&amp;D5194,'All Song Rankings'!$T:$T,0),0)</f>
        <v>777</v>
      </c>
      <c r="G5194" s="6" t="str">
        <f aca="false">IF(F5194=0,"NOT FOUND",INDEX('All Song Rankings'!$A:$A,F5194))</f>
        <v>Haunted</v>
      </c>
      <c r="H5194" s="6" t="str">
        <f aca="false">IF(F5194=0,"NOT FOUND",INDEX('All Song Rankings'!$B:$B,F5194))</f>
        <v>Evanescence</v>
      </c>
      <c r="I5194" s="6" t="str">
        <f aca="false">IF(F5194=0,"NOT FOUND",INDEX('All Song Rankings'!$D:$D,F5194))</f>
        <v>Christine</v>
      </c>
      <c r="J5194" s="7" t="str">
        <f aca="false">IF(F5194=0,"NOT FOUND",IF(C5194=I5194,"SELF-VOTE",IF(COUNTIF($K:$K,K5194)&gt;1,"DUPLICATE","OK")))</f>
        <v>OK</v>
      </c>
      <c r="K5194" s="6" t="str">
        <f aca="false">A5194&amp;"|"&amp;B5194&amp;"|"&amp;C5194&amp;"|"&amp;D5194</f>
        <v>7|8|Colleen|spotify:track:6Z77oDcn6iI1MHFCBPjl24</v>
      </c>
    </row>
    <row r="5195" customFormat="false" ht="15" hidden="false" customHeight="false" outlineLevel="0" collapsed="false">
      <c r="A5195" s="5" t="n">
        <v>7</v>
      </c>
      <c r="B5195" s="5" t="n">
        <v>8</v>
      </c>
      <c r="C5195" s="5" t="s">
        <v>637</v>
      </c>
      <c r="D5195" s="5" t="s">
        <v>2306</v>
      </c>
      <c r="E5195" s="5" t="n">
        <v>1</v>
      </c>
      <c r="F5195" s="6" t="n">
        <f aca="false">IFERROR(MATCH(A5195&amp;"|"&amp;B5195&amp;"|"&amp;D5195,'All Song Rankings'!$T:$T,0),0)</f>
        <v>779</v>
      </c>
      <c r="G5195" s="6" t="str">
        <f aca="false">IF(F5195=0,"NOT FOUND",INDEX('All Song Rankings'!$A:$A,F5195))</f>
        <v>Dracula</v>
      </c>
      <c r="H5195" s="6" t="str">
        <f aca="false">IF(F5195=0,"NOT FOUND",INDEX('All Song Rankings'!$B:$B,F5195))</f>
        <v>Tame Impala</v>
      </c>
      <c r="I5195" s="6" t="str">
        <f aca="false">IF(F5195=0,"NOT FOUND",INDEX('All Song Rankings'!$D:$D,F5195))</f>
        <v>Lucia</v>
      </c>
      <c r="J5195" s="7" t="str">
        <f aca="false">IF(F5195=0,"NOT FOUND",IF(C5195=I5195,"SELF-VOTE",IF(COUNTIF($K:$K,K5195)&gt;1,"DUPLICATE","OK")))</f>
        <v>OK</v>
      </c>
      <c r="K5195" s="6" t="str">
        <f aca="false">A5195&amp;"|"&amp;B5195&amp;"|"&amp;C5195&amp;"|"&amp;D5195</f>
        <v>7|8|Colleen|spotify:track:709ZIqPHyFOpx2QdjmeWAM</v>
      </c>
    </row>
    <row r="5196" customFormat="false" ht="15" hidden="false" customHeight="false" outlineLevel="0" collapsed="false">
      <c r="A5196" s="5" t="n">
        <v>7</v>
      </c>
      <c r="B5196" s="5" t="n">
        <v>8</v>
      </c>
      <c r="C5196" s="5" t="s">
        <v>637</v>
      </c>
      <c r="D5196" s="5" t="s">
        <v>2295</v>
      </c>
      <c r="E5196" s="5" t="n">
        <v>1</v>
      </c>
      <c r="F5196" s="6" t="n">
        <f aca="false">IFERROR(MATCH(A5196&amp;"|"&amp;B5196&amp;"|"&amp;D5196,'All Song Rankings'!$T:$T,0),0)</f>
        <v>775</v>
      </c>
      <c r="G5196" s="6" t="str">
        <f aca="false">IF(F5196=0,"NOT FOUND",INDEX('All Song Rankings'!$A:$A,F5196))</f>
        <v>Somebody's Watching Me</v>
      </c>
      <c r="H5196" s="6" t="str">
        <f aca="false">IF(F5196=0,"NOT FOUND",INDEX('All Song Rankings'!$B:$B,F5196))</f>
        <v>Rockwell</v>
      </c>
      <c r="I5196" s="6" t="str">
        <f aca="false">IF(F5196=0,"NOT FOUND",INDEX('All Song Rankings'!$D:$D,F5196))</f>
        <v>Sara</v>
      </c>
      <c r="J5196" s="7" t="str">
        <f aca="false">IF(F5196=0,"NOT FOUND",IF(C5196=I5196,"SELF-VOTE",IF(COUNTIF($K:$K,K5196)&gt;1,"DUPLICATE","OK")))</f>
        <v>OK</v>
      </c>
      <c r="K5196" s="6" t="str">
        <f aca="false">A5196&amp;"|"&amp;B5196&amp;"|"&amp;C5196&amp;"|"&amp;D5196</f>
        <v>7|8|Colleen|spotify:track:7jwQlYGpOml9ETGre1HqGA</v>
      </c>
    </row>
    <row r="5197" customFormat="false" ht="15" hidden="false" customHeight="false" outlineLevel="0" collapsed="false">
      <c r="A5197" s="5" t="n">
        <v>7</v>
      </c>
      <c r="B5197" s="5" t="n">
        <v>8</v>
      </c>
      <c r="C5197" s="5" t="s">
        <v>382</v>
      </c>
      <c r="D5197" s="5" t="s">
        <v>2317</v>
      </c>
      <c r="E5197" s="5" t="n">
        <v>1</v>
      </c>
      <c r="F5197" s="6" t="n">
        <f aca="false">IFERROR(MATCH(A5197&amp;"|"&amp;B5197&amp;"|"&amp;D5197,'All Song Rankings'!$T:$T,0),0)</f>
        <v>783</v>
      </c>
      <c r="G5197" s="6" t="str">
        <f aca="false">IF(F5197=0,"NOT FOUND",INDEX('All Song Rankings'!$A:$A,F5197))</f>
        <v>Animal</v>
      </c>
      <c r="H5197" s="6" t="str">
        <f aca="false">IF(F5197=0,"NOT FOUND",INDEX('All Song Rankings'!$B:$B,F5197))</f>
        <v>Badflower</v>
      </c>
      <c r="I5197" s="6" t="str">
        <f aca="false">IF(F5197=0,"NOT FOUND",INDEX('All Song Rankings'!$D:$D,F5197))</f>
        <v>Scott</v>
      </c>
      <c r="J5197" s="7" t="str">
        <f aca="false">IF(F5197=0,"NOT FOUND",IF(C5197=I5197,"SELF-VOTE",IF(COUNTIF($K:$K,K5197)&gt;1,"DUPLICATE","OK")))</f>
        <v>OK</v>
      </c>
      <c r="K5197" s="6" t="str">
        <f aca="false">A5197&amp;"|"&amp;B5197&amp;"|"&amp;C5197&amp;"|"&amp;D5197</f>
        <v>7|8|Grace|spotify:track:0CBM2iiBZmfKntDeQYboqU</v>
      </c>
    </row>
    <row r="5198" customFormat="false" ht="15" hidden="false" customHeight="false" outlineLevel="0" collapsed="false">
      <c r="A5198" s="5" t="n">
        <v>7</v>
      </c>
      <c r="B5198" s="5" t="n">
        <v>8</v>
      </c>
      <c r="C5198" s="5" t="s">
        <v>382</v>
      </c>
      <c r="D5198" s="5" t="s">
        <v>2309</v>
      </c>
      <c r="E5198" s="5" t="n">
        <v>1</v>
      </c>
      <c r="F5198" s="6" t="n">
        <f aca="false">IFERROR(MATCH(A5198&amp;"|"&amp;B5198&amp;"|"&amp;D5198,'All Song Rankings'!$T:$T,0),0)</f>
        <v>780</v>
      </c>
      <c r="G5198" s="6" t="str">
        <f aca="false">IF(F5198=0,"NOT FOUND",INDEX('All Song Rankings'!$A:$A,F5198))</f>
        <v>Killer Klowns</v>
      </c>
      <c r="H5198" s="6" t="str">
        <f aca="false">IF(F5198=0,"NOT FOUND",INDEX('All Song Rankings'!$B:$B,F5198))</f>
        <v>The Dickies</v>
      </c>
      <c r="I5198" s="6" t="str">
        <f aca="false">IF(F5198=0,"NOT FOUND",INDEX('All Song Rankings'!$D:$D,F5198))</f>
        <v>Josh</v>
      </c>
      <c r="J5198" s="7" t="str">
        <f aca="false">IF(F5198=0,"NOT FOUND",IF(C5198=I5198,"SELF-VOTE",IF(COUNTIF($K:$K,K5198)&gt;1,"DUPLICATE","OK")))</f>
        <v>OK</v>
      </c>
      <c r="K5198" s="6" t="str">
        <f aca="false">A5198&amp;"|"&amp;B5198&amp;"|"&amp;C5198&amp;"|"&amp;D5198</f>
        <v>7|8|Grace|spotify:track:1dUPABHPVfHnvdLnKwYbgz</v>
      </c>
    </row>
    <row r="5199" customFormat="false" ht="15" hidden="false" customHeight="false" outlineLevel="0" collapsed="false">
      <c r="A5199" s="5" t="n">
        <v>7</v>
      </c>
      <c r="B5199" s="5" t="n">
        <v>8</v>
      </c>
      <c r="C5199" s="5" t="s">
        <v>382</v>
      </c>
      <c r="D5199" s="5" t="s">
        <v>2292</v>
      </c>
      <c r="E5199" s="5" t="n">
        <v>3</v>
      </c>
      <c r="F5199" s="6" t="n">
        <f aca="false">IFERROR(MATCH(A5199&amp;"|"&amp;B5199&amp;"|"&amp;D5199,'All Song Rankings'!$T:$T,0),0)</f>
        <v>774</v>
      </c>
      <c r="G5199" s="6" t="str">
        <f aca="false">IF(F5199=0,"NOT FOUND",INDEX('All Song Rankings'!$A:$A,F5199))</f>
        <v>Rocky Road to Dublin</v>
      </c>
      <c r="H5199" s="6" t="str">
        <f aca="false">IF(F5199=0,"NOT FOUND",INDEX('All Song Rankings'!$B:$B,F5199))</f>
        <v>Jack O'Connell, Brian Dunphy, Darren Holden, Sinners Movie</v>
      </c>
      <c r="I5199" s="6" t="str">
        <f aca="false">IF(F5199=0,"NOT FOUND",INDEX('All Song Rankings'!$D:$D,F5199))</f>
        <v>Kelsey</v>
      </c>
      <c r="J5199" s="7" t="str">
        <f aca="false">IF(F5199=0,"NOT FOUND",IF(C5199=I5199,"SELF-VOTE",IF(COUNTIF($K:$K,K5199)&gt;1,"DUPLICATE","OK")))</f>
        <v>OK</v>
      </c>
      <c r="K5199" s="6" t="str">
        <f aca="false">A5199&amp;"|"&amp;B5199&amp;"|"&amp;C5199&amp;"|"&amp;D5199</f>
        <v>7|8|Grace|spotify:track:1esmJ8t2PRbYt2yMx2aSEW</v>
      </c>
    </row>
    <row r="5200" customFormat="false" ht="15" hidden="false" customHeight="false" outlineLevel="0" collapsed="false">
      <c r="A5200" s="5" t="n">
        <v>7</v>
      </c>
      <c r="B5200" s="5" t="n">
        <v>8</v>
      </c>
      <c r="C5200" s="5" t="s">
        <v>382</v>
      </c>
      <c r="D5200" s="5" t="s">
        <v>2314</v>
      </c>
      <c r="E5200" s="5" t="n">
        <v>2</v>
      </c>
      <c r="F5200" s="6" t="n">
        <f aca="false">IFERROR(MATCH(A5200&amp;"|"&amp;B5200&amp;"|"&amp;D5200,'All Song Rankings'!$T:$T,0),0)</f>
        <v>782</v>
      </c>
      <c r="G5200" s="6" t="str">
        <f aca="false">IF(F5200=0,"NOT FOUND",INDEX('All Song Rankings'!$A:$A,F5200))</f>
        <v>Dead Man's Party</v>
      </c>
      <c r="H5200" s="6" t="str">
        <f aca="false">IF(F5200=0,"NOT FOUND",INDEX('All Song Rankings'!$B:$B,F5200))</f>
        <v>Oingo Boingo</v>
      </c>
      <c r="I5200" s="6" t="str">
        <f aca="false">IF(F5200=0,"NOT FOUND",INDEX('All Song Rankings'!$D:$D,F5200))</f>
        <v>Matt</v>
      </c>
      <c r="J5200" s="7" t="str">
        <f aca="false">IF(F5200=0,"NOT FOUND",IF(C5200=I5200,"SELF-VOTE",IF(COUNTIF($K:$K,K5200)&gt;1,"DUPLICATE","OK")))</f>
        <v>OK</v>
      </c>
      <c r="K5200" s="6" t="str">
        <f aca="false">A5200&amp;"|"&amp;B5200&amp;"|"&amp;C5200&amp;"|"&amp;D5200</f>
        <v>7|8|Grace|spotify:track:2h47SG8bNphmicAll4H9RV</v>
      </c>
    </row>
    <row r="5201" customFormat="false" ht="15" hidden="false" customHeight="false" outlineLevel="0" collapsed="false">
      <c r="A5201" s="5" t="n">
        <v>7</v>
      </c>
      <c r="B5201" s="5" t="n">
        <v>8</v>
      </c>
      <c r="C5201" s="5" t="s">
        <v>382</v>
      </c>
      <c r="D5201" s="5" t="s">
        <v>2300</v>
      </c>
      <c r="E5201" s="5" t="n">
        <v>2</v>
      </c>
      <c r="F5201" s="6" t="n">
        <f aca="false">IFERROR(MATCH(A5201&amp;"|"&amp;B5201&amp;"|"&amp;D5201,'All Song Rankings'!$T:$T,0),0)</f>
        <v>777</v>
      </c>
      <c r="G5201" s="6" t="str">
        <f aca="false">IF(F5201=0,"NOT FOUND",INDEX('All Song Rankings'!$A:$A,F5201))</f>
        <v>Haunted</v>
      </c>
      <c r="H5201" s="6" t="str">
        <f aca="false">IF(F5201=0,"NOT FOUND",INDEX('All Song Rankings'!$B:$B,F5201))</f>
        <v>Evanescence</v>
      </c>
      <c r="I5201" s="6" t="str">
        <f aca="false">IF(F5201=0,"NOT FOUND",INDEX('All Song Rankings'!$D:$D,F5201))</f>
        <v>Christine</v>
      </c>
      <c r="J5201" s="7" t="str">
        <f aca="false">IF(F5201=0,"NOT FOUND",IF(C5201=I5201,"SELF-VOTE",IF(COUNTIF($K:$K,K5201)&gt;1,"DUPLICATE","OK")))</f>
        <v>OK</v>
      </c>
      <c r="K5201" s="6" t="str">
        <f aca="false">A5201&amp;"|"&amp;B5201&amp;"|"&amp;C5201&amp;"|"&amp;D5201</f>
        <v>7|8|Grace|spotify:track:6Z77oDcn6iI1MHFCBPjl24</v>
      </c>
    </row>
    <row r="5202" customFormat="false" ht="15" hidden="false" customHeight="false" outlineLevel="0" collapsed="false">
      <c r="A5202" s="5" t="n">
        <v>7</v>
      </c>
      <c r="B5202" s="5" t="n">
        <v>8</v>
      </c>
      <c r="C5202" s="5" t="s">
        <v>382</v>
      </c>
      <c r="D5202" s="5" t="s">
        <v>2295</v>
      </c>
      <c r="E5202" s="5" t="n">
        <v>1</v>
      </c>
      <c r="F5202" s="6" t="n">
        <f aca="false">IFERROR(MATCH(A5202&amp;"|"&amp;B5202&amp;"|"&amp;D5202,'All Song Rankings'!$T:$T,0),0)</f>
        <v>775</v>
      </c>
      <c r="G5202" s="6" t="str">
        <f aca="false">IF(F5202=0,"NOT FOUND",INDEX('All Song Rankings'!$A:$A,F5202))</f>
        <v>Somebody's Watching Me</v>
      </c>
      <c r="H5202" s="6" t="str">
        <f aca="false">IF(F5202=0,"NOT FOUND",INDEX('All Song Rankings'!$B:$B,F5202))</f>
        <v>Rockwell</v>
      </c>
      <c r="I5202" s="6" t="str">
        <f aca="false">IF(F5202=0,"NOT FOUND",INDEX('All Song Rankings'!$D:$D,F5202))</f>
        <v>Sara</v>
      </c>
      <c r="J5202" s="7" t="str">
        <f aca="false">IF(F5202=0,"NOT FOUND",IF(C5202=I5202,"SELF-VOTE",IF(COUNTIF($K:$K,K5202)&gt;1,"DUPLICATE","OK")))</f>
        <v>OK</v>
      </c>
      <c r="K5202" s="6" t="str">
        <f aca="false">A5202&amp;"|"&amp;B5202&amp;"|"&amp;C5202&amp;"|"&amp;D5202</f>
        <v>7|8|Grace|spotify:track:7jwQlYGpOml9ETGre1HqGA</v>
      </c>
    </row>
    <row r="5203" customFormat="false" ht="15" hidden="false" customHeight="false" outlineLevel="0" collapsed="false">
      <c r="A5203" s="5" t="n">
        <v>7</v>
      </c>
      <c r="B5203" s="5" t="n">
        <v>8</v>
      </c>
      <c r="C5203" s="5" t="s">
        <v>1843</v>
      </c>
      <c r="D5203" s="5" t="s">
        <v>2322</v>
      </c>
      <c r="E5203" s="5" t="n">
        <v>1</v>
      </c>
      <c r="F5203" s="6" t="n">
        <f aca="false">IFERROR(MATCH(A5203&amp;"|"&amp;B5203&amp;"|"&amp;D5203,'All Song Rankings'!$T:$T,0),0)</f>
        <v>785</v>
      </c>
      <c r="G5203" s="6" t="str">
        <f aca="false">IF(F5203=0,"NOT FOUND",INDEX('All Song Rankings'!$A:$A,F5203))</f>
        <v>Nun painting</v>
      </c>
      <c r="H5203" s="6" t="str">
        <f aca="false">IF(F5203=0,"NOT FOUND",INDEX('All Song Rankings'!$B:$B,F5203))</f>
        <v>joseph bishara</v>
      </c>
      <c r="I5203" s="6" t="str">
        <f aca="false">IF(F5203=0,"NOT FOUND",INDEX('All Song Rankings'!$D:$D,F5203))</f>
        <v>Logan</v>
      </c>
      <c r="J5203" s="7" t="str">
        <f aca="false">IF(F5203=0,"NOT FOUND",IF(C5203=I5203,"SELF-VOTE",IF(COUNTIF($K:$K,K5203)&gt;1,"DUPLICATE","OK")))</f>
        <v>OK</v>
      </c>
      <c r="K5203" s="6" t="str">
        <f aca="false">A5203&amp;"|"&amp;B5203&amp;"|"&amp;C5203&amp;"|"&amp;D5203</f>
        <v>7|8|Josh|spotify:track:0xWs8OMHsWdqSvfDxhkmiw</v>
      </c>
    </row>
    <row r="5204" customFormat="false" ht="15" hidden="false" customHeight="false" outlineLevel="0" collapsed="false">
      <c r="A5204" s="5" t="n">
        <v>7</v>
      </c>
      <c r="B5204" s="5" t="n">
        <v>8</v>
      </c>
      <c r="C5204" s="5" t="s">
        <v>1843</v>
      </c>
      <c r="D5204" s="5" t="s">
        <v>2324</v>
      </c>
      <c r="E5204" s="5" t="n">
        <v>1</v>
      </c>
      <c r="F5204" s="6" t="n">
        <f aca="false">IFERROR(MATCH(A5204&amp;"|"&amp;B5204&amp;"|"&amp;D5204,'All Song Rankings'!$T:$T,0),0)</f>
        <v>786</v>
      </c>
      <c r="G5204" s="6" t="str">
        <f aca="false">IF(F5204=0,"NOT FOUND",INDEX('All Song Rankings'!$A:$A,F5204))</f>
        <v>Tip Toe Thru' the Tulips with Me</v>
      </c>
      <c r="H5204" s="6" t="str">
        <f aca="false">IF(F5204=0,"NOT FOUND",INDEX('All Song Rankings'!$B:$B,F5204))</f>
        <v>Tiny Tim</v>
      </c>
      <c r="I5204" s="6" t="str">
        <f aca="false">IF(F5204=0,"NOT FOUND",INDEX('All Song Rankings'!$D:$D,F5204))</f>
        <v>Grace</v>
      </c>
      <c r="J5204" s="7" t="str">
        <f aca="false">IF(F5204=0,"NOT FOUND",IF(C5204=I5204,"SELF-VOTE",IF(COUNTIF($K:$K,K5204)&gt;1,"DUPLICATE","OK")))</f>
        <v>OK</v>
      </c>
      <c r="K5204" s="6" t="str">
        <f aca="false">A5204&amp;"|"&amp;B5204&amp;"|"&amp;C5204&amp;"|"&amp;D5204</f>
        <v>7|8|Josh|spotify:track:1Vchex0xowRj9k59RLvRfo</v>
      </c>
    </row>
    <row r="5205" customFormat="false" ht="15" hidden="false" customHeight="false" outlineLevel="0" collapsed="false">
      <c r="A5205" s="5" t="n">
        <v>7</v>
      </c>
      <c r="B5205" s="5" t="n">
        <v>8</v>
      </c>
      <c r="C5205" s="5" t="s">
        <v>1843</v>
      </c>
      <c r="D5205" s="5" t="s">
        <v>2292</v>
      </c>
      <c r="E5205" s="5" t="n">
        <v>4</v>
      </c>
      <c r="F5205" s="6" t="n">
        <f aca="false">IFERROR(MATCH(A5205&amp;"|"&amp;B5205&amp;"|"&amp;D5205,'All Song Rankings'!$T:$T,0),0)</f>
        <v>774</v>
      </c>
      <c r="G5205" s="6" t="str">
        <f aca="false">IF(F5205=0,"NOT FOUND",INDEX('All Song Rankings'!$A:$A,F5205))</f>
        <v>Rocky Road to Dublin</v>
      </c>
      <c r="H5205" s="6" t="str">
        <f aca="false">IF(F5205=0,"NOT FOUND",INDEX('All Song Rankings'!$B:$B,F5205))</f>
        <v>Jack O'Connell, Brian Dunphy, Darren Holden, Sinners Movie</v>
      </c>
      <c r="I5205" s="6" t="str">
        <f aca="false">IF(F5205=0,"NOT FOUND",INDEX('All Song Rankings'!$D:$D,F5205))</f>
        <v>Kelsey</v>
      </c>
      <c r="J5205" s="7" t="str">
        <f aca="false">IF(F5205=0,"NOT FOUND",IF(C5205=I5205,"SELF-VOTE",IF(COUNTIF($K:$K,K5205)&gt;1,"DUPLICATE","OK")))</f>
        <v>OK</v>
      </c>
      <c r="K5205" s="6" t="str">
        <f aca="false">A5205&amp;"|"&amp;B5205&amp;"|"&amp;C5205&amp;"|"&amp;D5205</f>
        <v>7|8|Josh|spotify:track:1esmJ8t2PRbYt2yMx2aSEW</v>
      </c>
    </row>
    <row r="5206" customFormat="false" ht="15" hidden="false" customHeight="false" outlineLevel="0" collapsed="false">
      <c r="A5206" s="5" t="n">
        <v>7</v>
      </c>
      <c r="B5206" s="5" t="n">
        <v>8</v>
      </c>
      <c r="C5206" s="5" t="s">
        <v>1843</v>
      </c>
      <c r="D5206" s="5" t="s">
        <v>2314</v>
      </c>
      <c r="E5206" s="5" t="n">
        <v>2</v>
      </c>
      <c r="F5206" s="6" t="n">
        <f aca="false">IFERROR(MATCH(A5206&amp;"|"&amp;B5206&amp;"|"&amp;D5206,'All Song Rankings'!$T:$T,0),0)</f>
        <v>782</v>
      </c>
      <c r="G5206" s="6" t="str">
        <f aca="false">IF(F5206=0,"NOT FOUND",INDEX('All Song Rankings'!$A:$A,F5206))</f>
        <v>Dead Man's Party</v>
      </c>
      <c r="H5206" s="6" t="str">
        <f aca="false">IF(F5206=0,"NOT FOUND",INDEX('All Song Rankings'!$B:$B,F5206))</f>
        <v>Oingo Boingo</v>
      </c>
      <c r="I5206" s="6" t="str">
        <f aca="false">IF(F5206=0,"NOT FOUND",INDEX('All Song Rankings'!$D:$D,F5206))</f>
        <v>Matt</v>
      </c>
      <c r="J5206" s="7" t="str">
        <f aca="false">IF(F5206=0,"NOT FOUND",IF(C5206=I5206,"SELF-VOTE",IF(COUNTIF($K:$K,K5206)&gt;1,"DUPLICATE","OK")))</f>
        <v>OK</v>
      </c>
      <c r="K5206" s="6" t="str">
        <f aca="false">A5206&amp;"|"&amp;B5206&amp;"|"&amp;C5206&amp;"|"&amp;D5206</f>
        <v>7|8|Josh|spotify:track:2h47SG8bNphmicAll4H9RV</v>
      </c>
    </row>
    <row r="5207" customFormat="false" ht="15" hidden="false" customHeight="false" outlineLevel="0" collapsed="false">
      <c r="A5207" s="5" t="n">
        <v>7</v>
      </c>
      <c r="B5207" s="5" t="n">
        <v>8</v>
      </c>
      <c r="C5207" s="5" t="s">
        <v>1843</v>
      </c>
      <c r="D5207" s="5" t="s">
        <v>2306</v>
      </c>
      <c r="E5207" s="5" t="n">
        <v>1</v>
      </c>
      <c r="F5207" s="6" t="n">
        <f aca="false">IFERROR(MATCH(A5207&amp;"|"&amp;B5207&amp;"|"&amp;D5207,'All Song Rankings'!$T:$T,0),0)</f>
        <v>779</v>
      </c>
      <c r="G5207" s="6" t="str">
        <f aca="false">IF(F5207=0,"NOT FOUND",INDEX('All Song Rankings'!$A:$A,F5207))</f>
        <v>Dracula</v>
      </c>
      <c r="H5207" s="6" t="str">
        <f aca="false">IF(F5207=0,"NOT FOUND",INDEX('All Song Rankings'!$B:$B,F5207))</f>
        <v>Tame Impala</v>
      </c>
      <c r="I5207" s="6" t="str">
        <f aca="false">IF(F5207=0,"NOT FOUND",INDEX('All Song Rankings'!$D:$D,F5207))</f>
        <v>Lucia</v>
      </c>
      <c r="J5207" s="7" t="str">
        <f aca="false">IF(F5207=0,"NOT FOUND",IF(C5207=I5207,"SELF-VOTE",IF(COUNTIF($K:$K,K5207)&gt;1,"DUPLICATE","OK")))</f>
        <v>OK</v>
      </c>
      <c r="K5207" s="6" t="str">
        <f aca="false">A5207&amp;"|"&amp;B5207&amp;"|"&amp;C5207&amp;"|"&amp;D5207</f>
        <v>7|8|Josh|spotify:track:709ZIqPHyFOpx2QdjmeWAM</v>
      </c>
    </row>
    <row r="5208" customFormat="false" ht="15" hidden="false" customHeight="false" outlineLevel="0" collapsed="false">
      <c r="A5208" s="5" t="n">
        <v>7</v>
      </c>
      <c r="B5208" s="5" t="n">
        <v>8</v>
      </c>
      <c r="C5208" s="5" t="s">
        <v>1843</v>
      </c>
      <c r="D5208" s="5" t="s">
        <v>2295</v>
      </c>
      <c r="E5208" s="5" t="n">
        <v>1</v>
      </c>
      <c r="F5208" s="6" t="n">
        <f aca="false">IFERROR(MATCH(A5208&amp;"|"&amp;B5208&amp;"|"&amp;D5208,'All Song Rankings'!$T:$T,0),0)</f>
        <v>775</v>
      </c>
      <c r="G5208" s="6" t="str">
        <f aca="false">IF(F5208=0,"NOT FOUND",INDEX('All Song Rankings'!$A:$A,F5208))</f>
        <v>Somebody's Watching Me</v>
      </c>
      <c r="H5208" s="6" t="str">
        <f aca="false">IF(F5208=0,"NOT FOUND",INDEX('All Song Rankings'!$B:$B,F5208))</f>
        <v>Rockwell</v>
      </c>
      <c r="I5208" s="6" t="str">
        <f aca="false">IF(F5208=0,"NOT FOUND",INDEX('All Song Rankings'!$D:$D,F5208))</f>
        <v>Sara</v>
      </c>
      <c r="J5208" s="7" t="str">
        <f aca="false">IF(F5208=0,"NOT FOUND",IF(C5208=I5208,"SELF-VOTE",IF(COUNTIF($K:$K,K5208)&gt;1,"DUPLICATE","OK")))</f>
        <v>OK</v>
      </c>
      <c r="K5208" s="6" t="str">
        <f aca="false">A5208&amp;"|"&amp;B5208&amp;"|"&amp;C5208&amp;"|"&amp;D5208</f>
        <v>7|8|Josh|spotify:track:7jwQlYGpOml9ETGre1HqGA</v>
      </c>
    </row>
    <row r="5209" customFormat="false" ht="15" hidden="false" customHeight="false" outlineLevel="0" collapsed="false">
      <c r="A5209" s="5" t="n">
        <v>7</v>
      </c>
      <c r="B5209" s="5" t="n">
        <v>8</v>
      </c>
      <c r="C5209" s="5" t="s">
        <v>85</v>
      </c>
      <c r="D5209" s="5" t="s">
        <v>2317</v>
      </c>
      <c r="E5209" s="5" t="n">
        <v>1</v>
      </c>
      <c r="F5209" s="6" t="n">
        <f aca="false">IFERROR(MATCH(A5209&amp;"|"&amp;B5209&amp;"|"&amp;D5209,'All Song Rankings'!$T:$T,0),0)</f>
        <v>783</v>
      </c>
      <c r="G5209" s="6" t="str">
        <f aca="false">IF(F5209=0,"NOT FOUND",INDEX('All Song Rankings'!$A:$A,F5209))</f>
        <v>Animal</v>
      </c>
      <c r="H5209" s="6" t="str">
        <f aca="false">IF(F5209=0,"NOT FOUND",INDEX('All Song Rankings'!$B:$B,F5209))</f>
        <v>Badflower</v>
      </c>
      <c r="I5209" s="6" t="str">
        <f aca="false">IF(F5209=0,"NOT FOUND",INDEX('All Song Rankings'!$D:$D,F5209))</f>
        <v>Scott</v>
      </c>
      <c r="J5209" s="7" t="str">
        <f aca="false">IF(F5209=0,"NOT FOUND",IF(C5209=I5209,"SELF-VOTE",IF(COUNTIF($K:$K,K5209)&gt;1,"DUPLICATE","OK")))</f>
        <v>OK</v>
      </c>
      <c r="K5209" s="6" t="str">
        <f aca="false">A5209&amp;"|"&amp;B5209&amp;"|"&amp;C5209&amp;"|"&amp;D5209</f>
        <v>7|8|Kelsey|spotify:track:0CBM2iiBZmfKntDeQYboqU</v>
      </c>
    </row>
    <row r="5210" customFormat="false" ht="15" hidden="false" customHeight="false" outlineLevel="0" collapsed="false">
      <c r="A5210" s="5" t="n">
        <v>7</v>
      </c>
      <c r="B5210" s="5" t="n">
        <v>8</v>
      </c>
      <c r="C5210" s="5" t="s">
        <v>85</v>
      </c>
      <c r="D5210" s="5" t="s">
        <v>2322</v>
      </c>
      <c r="E5210" s="5" t="n">
        <v>1</v>
      </c>
      <c r="F5210" s="6" t="n">
        <f aca="false">IFERROR(MATCH(A5210&amp;"|"&amp;B5210&amp;"|"&amp;D5210,'All Song Rankings'!$T:$T,0),0)</f>
        <v>785</v>
      </c>
      <c r="G5210" s="6" t="str">
        <f aca="false">IF(F5210=0,"NOT FOUND",INDEX('All Song Rankings'!$A:$A,F5210))</f>
        <v>Nun painting</v>
      </c>
      <c r="H5210" s="6" t="str">
        <f aca="false">IF(F5210=0,"NOT FOUND",INDEX('All Song Rankings'!$B:$B,F5210))</f>
        <v>joseph bishara</v>
      </c>
      <c r="I5210" s="6" t="str">
        <f aca="false">IF(F5210=0,"NOT FOUND",INDEX('All Song Rankings'!$D:$D,F5210))</f>
        <v>Logan</v>
      </c>
      <c r="J5210" s="7" t="str">
        <f aca="false">IF(F5210=0,"NOT FOUND",IF(C5210=I5210,"SELF-VOTE",IF(COUNTIF($K:$K,K5210)&gt;1,"DUPLICATE","OK")))</f>
        <v>OK</v>
      </c>
      <c r="K5210" s="6" t="str">
        <f aca="false">A5210&amp;"|"&amp;B5210&amp;"|"&amp;C5210&amp;"|"&amp;D5210</f>
        <v>7|8|Kelsey|spotify:track:0xWs8OMHsWdqSvfDxhkmiw</v>
      </c>
    </row>
    <row r="5211" customFormat="false" ht="15" hidden="false" customHeight="false" outlineLevel="0" collapsed="false">
      <c r="A5211" s="5" t="n">
        <v>7</v>
      </c>
      <c r="B5211" s="5" t="n">
        <v>8</v>
      </c>
      <c r="C5211" s="5" t="s">
        <v>85</v>
      </c>
      <c r="D5211" s="5" t="s">
        <v>2324</v>
      </c>
      <c r="E5211" s="5" t="n">
        <v>1</v>
      </c>
      <c r="F5211" s="6" t="n">
        <f aca="false">IFERROR(MATCH(A5211&amp;"|"&amp;B5211&amp;"|"&amp;D5211,'All Song Rankings'!$T:$T,0),0)</f>
        <v>786</v>
      </c>
      <c r="G5211" s="6" t="str">
        <f aca="false">IF(F5211=0,"NOT FOUND",INDEX('All Song Rankings'!$A:$A,F5211))</f>
        <v>Tip Toe Thru' the Tulips with Me</v>
      </c>
      <c r="H5211" s="6" t="str">
        <f aca="false">IF(F5211=0,"NOT FOUND",INDEX('All Song Rankings'!$B:$B,F5211))</f>
        <v>Tiny Tim</v>
      </c>
      <c r="I5211" s="6" t="str">
        <f aca="false">IF(F5211=0,"NOT FOUND",INDEX('All Song Rankings'!$D:$D,F5211))</f>
        <v>Grace</v>
      </c>
      <c r="J5211" s="7" t="str">
        <f aca="false">IF(F5211=0,"NOT FOUND",IF(C5211=I5211,"SELF-VOTE",IF(COUNTIF($K:$K,K5211)&gt;1,"DUPLICATE","OK")))</f>
        <v>OK</v>
      </c>
      <c r="K5211" s="6" t="str">
        <f aca="false">A5211&amp;"|"&amp;B5211&amp;"|"&amp;C5211&amp;"|"&amp;D5211</f>
        <v>7|8|Kelsey|spotify:track:1Vchex0xowRj9k59RLvRfo</v>
      </c>
    </row>
    <row r="5212" customFormat="false" ht="15" hidden="false" customHeight="false" outlineLevel="0" collapsed="false">
      <c r="A5212" s="5" t="n">
        <v>7</v>
      </c>
      <c r="B5212" s="5" t="n">
        <v>8</v>
      </c>
      <c r="C5212" s="5" t="s">
        <v>85</v>
      </c>
      <c r="D5212" s="5" t="s">
        <v>2309</v>
      </c>
      <c r="E5212" s="5" t="n">
        <v>2</v>
      </c>
      <c r="F5212" s="6" t="n">
        <f aca="false">IFERROR(MATCH(A5212&amp;"|"&amp;B5212&amp;"|"&amp;D5212,'All Song Rankings'!$T:$T,0),0)</f>
        <v>780</v>
      </c>
      <c r="G5212" s="6" t="str">
        <f aca="false">IF(F5212=0,"NOT FOUND",INDEX('All Song Rankings'!$A:$A,F5212))</f>
        <v>Killer Klowns</v>
      </c>
      <c r="H5212" s="6" t="str">
        <f aca="false">IF(F5212=0,"NOT FOUND",INDEX('All Song Rankings'!$B:$B,F5212))</f>
        <v>The Dickies</v>
      </c>
      <c r="I5212" s="6" t="str">
        <f aca="false">IF(F5212=0,"NOT FOUND",INDEX('All Song Rankings'!$D:$D,F5212))</f>
        <v>Josh</v>
      </c>
      <c r="J5212" s="7" t="str">
        <f aca="false">IF(F5212=0,"NOT FOUND",IF(C5212=I5212,"SELF-VOTE",IF(COUNTIF($K:$K,K5212)&gt;1,"DUPLICATE","OK")))</f>
        <v>OK</v>
      </c>
      <c r="K5212" s="6" t="str">
        <f aca="false">A5212&amp;"|"&amp;B5212&amp;"|"&amp;C5212&amp;"|"&amp;D5212</f>
        <v>7|8|Kelsey|spotify:track:1dUPABHPVfHnvdLnKwYbgz</v>
      </c>
    </row>
    <row r="5213" customFormat="false" ht="15" hidden="false" customHeight="false" outlineLevel="0" collapsed="false">
      <c r="A5213" s="5" t="n">
        <v>7</v>
      </c>
      <c r="B5213" s="5" t="n">
        <v>8</v>
      </c>
      <c r="C5213" s="5" t="s">
        <v>85</v>
      </c>
      <c r="D5213" s="5" t="s">
        <v>2311</v>
      </c>
      <c r="E5213" s="5" t="n">
        <v>1</v>
      </c>
      <c r="F5213" s="6" t="n">
        <f aca="false">IFERROR(MATCH(A5213&amp;"|"&amp;B5213&amp;"|"&amp;D5213,'All Song Rankings'!$T:$T,0),0)</f>
        <v>781</v>
      </c>
      <c r="G5213" s="6" t="str">
        <f aca="false">IF(F5213=0,"NOT FOUND",INDEX('All Song Rankings'!$A:$A,F5213))</f>
        <v>Time Warp</v>
      </c>
      <c r="H5213" s="6" t="str">
        <f aca="false">IF(F5213=0,"NOT FOUND",INDEX('All Song Rankings'!$B:$B,F5213))</f>
        <v>The Rocky Horror Show Original Cast</v>
      </c>
      <c r="I5213" s="6" t="str">
        <f aca="false">IF(F5213=0,"NOT FOUND",INDEX('All Song Rankings'!$D:$D,F5213))</f>
        <v>Lisa</v>
      </c>
      <c r="J5213" s="7" t="str">
        <f aca="false">IF(F5213=0,"NOT FOUND",IF(C5213=I5213,"SELF-VOTE",IF(COUNTIF($K:$K,K5213)&gt;1,"DUPLICATE","OK")))</f>
        <v>OK</v>
      </c>
      <c r="K5213" s="6" t="str">
        <f aca="false">A5213&amp;"|"&amp;B5213&amp;"|"&amp;C5213&amp;"|"&amp;D5213</f>
        <v>7|8|Kelsey|spotify:track:1esIh49tNEGrXEHorSTHZ1</v>
      </c>
    </row>
    <row r="5214" customFormat="false" ht="15" hidden="false" customHeight="false" outlineLevel="0" collapsed="false">
      <c r="A5214" s="5" t="n">
        <v>7</v>
      </c>
      <c r="B5214" s="5" t="n">
        <v>8</v>
      </c>
      <c r="C5214" s="5" t="s">
        <v>85</v>
      </c>
      <c r="D5214" s="5" t="s">
        <v>2319</v>
      </c>
      <c r="E5214" s="5" t="n">
        <v>1</v>
      </c>
      <c r="F5214" s="6" t="n">
        <f aca="false">IFERROR(MATCH(A5214&amp;"|"&amp;B5214&amp;"|"&amp;D5214,'All Song Rankings'!$T:$T,0),0)</f>
        <v>784</v>
      </c>
      <c r="G5214" s="6" t="str">
        <f aca="false">IF(F5214=0,"NOT FOUND",INDEX('All Song Rankings'!$A:$A,F5214))</f>
        <v>Disturbia</v>
      </c>
      <c r="H5214" s="6" t="str">
        <f aca="false">IF(F5214=0,"NOT FOUND",INDEX('All Song Rankings'!$B:$B,F5214))</f>
        <v>Rihanna</v>
      </c>
      <c r="I5214" s="6" t="str">
        <f aca="false">IF(F5214=0,"NOT FOUND",INDEX('All Song Rankings'!$D:$D,F5214))</f>
        <v>Leah</v>
      </c>
      <c r="J5214" s="7" t="str">
        <f aca="false">IF(F5214=0,"NOT FOUND",IF(C5214=I5214,"SELF-VOTE",IF(COUNTIF($K:$K,K5214)&gt;1,"DUPLICATE","OK")))</f>
        <v>OK</v>
      </c>
      <c r="K5214" s="6" t="str">
        <f aca="false">A5214&amp;"|"&amp;B5214&amp;"|"&amp;C5214&amp;"|"&amp;D5214</f>
        <v>7|8|Kelsey|spotify:track:2VOomzT6VavJOGBeySqaMc</v>
      </c>
    </row>
    <row r="5215" customFormat="false" ht="15" hidden="false" customHeight="false" outlineLevel="0" collapsed="false">
      <c r="A5215" s="5" t="n">
        <v>7</v>
      </c>
      <c r="B5215" s="5" t="n">
        <v>8</v>
      </c>
      <c r="C5215" s="5" t="s">
        <v>85</v>
      </c>
      <c r="D5215" s="5" t="s">
        <v>2297</v>
      </c>
      <c r="E5215" s="5" t="n">
        <v>1</v>
      </c>
      <c r="F5215" s="6" t="n">
        <f aca="false">IFERROR(MATCH(A5215&amp;"|"&amp;B5215&amp;"|"&amp;D5215,'All Song Rankings'!$T:$T,0),0)</f>
        <v>776</v>
      </c>
      <c r="G5215" s="6" t="str">
        <f aca="false">IF(F5215=0,"NOT FOUND",INDEX('All Song Rankings'!$A:$A,F5215))</f>
        <v>Sweet Dreams (Are Made Of This)</v>
      </c>
      <c r="H5215" s="6" t="str">
        <f aca="false">IF(F5215=0,"NOT FOUND",INDEX('All Song Rankings'!$B:$B,F5215))</f>
        <v>Marilyn Manson</v>
      </c>
      <c r="I5215" s="6" t="str">
        <f aca="false">IF(F5215=0,"NOT FOUND",INDEX('All Song Rankings'!$D:$D,F5215))</f>
        <v>Kristen</v>
      </c>
      <c r="J5215" s="7" t="str">
        <f aca="false">IF(F5215=0,"NOT FOUND",IF(C5215=I5215,"SELF-VOTE",IF(COUNTIF($K:$K,K5215)&gt;1,"DUPLICATE","OK")))</f>
        <v>OK</v>
      </c>
      <c r="K5215" s="6" t="str">
        <f aca="false">A5215&amp;"|"&amp;B5215&amp;"|"&amp;C5215&amp;"|"&amp;D5215</f>
        <v>7|8|Kelsey|spotify:track:3D0bXrSv7O73vOaGOG8J9c</v>
      </c>
    </row>
    <row r="5216" customFormat="false" ht="15" hidden="false" customHeight="false" outlineLevel="0" collapsed="false">
      <c r="A5216" s="5" t="n">
        <v>7</v>
      </c>
      <c r="B5216" s="5" t="n">
        <v>8</v>
      </c>
      <c r="C5216" s="5" t="s">
        <v>85</v>
      </c>
      <c r="D5216" s="5" t="s">
        <v>2300</v>
      </c>
      <c r="E5216" s="5" t="n">
        <v>1</v>
      </c>
      <c r="F5216" s="6" t="n">
        <f aca="false">IFERROR(MATCH(A5216&amp;"|"&amp;B5216&amp;"|"&amp;D5216,'All Song Rankings'!$T:$T,0),0)</f>
        <v>777</v>
      </c>
      <c r="G5216" s="6" t="str">
        <f aca="false">IF(F5216=0,"NOT FOUND",INDEX('All Song Rankings'!$A:$A,F5216))</f>
        <v>Haunted</v>
      </c>
      <c r="H5216" s="6" t="str">
        <f aca="false">IF(F5216=0,"NOT FOUND",INDEX('All Song Rankings'!$B:$B,F5216))</f>
        <v>Evanescence</v>
      </c>
      <c r="I5216" s="6" t="str">
        <f aca="false">IF(F5216=0,"NOT FOUND",INDEX('All Song Rankings'!$D:$D,F5216))</f>
        <v>Christine</v>
      </c>
      <c r="J5216" s="7" t="str">
        <f aca="false">IF(F5216=0,"NOT FOUND",IF(C5216=I5216,"SELF-VOTE",IF(COUNTIF($K:$K,K5216)&gt;1,"DUPLICATE","OK")))</f>
        <v>OK</v>
      </c>
      <c r="K5216" s="6" t="str">
        <f aca="false">A5216&amp;"|"&amp;B5216&amp;"|"&amp;C5216&amp;"|"&amp;D5216</f>
        <v>7|8|Kelsey|spotify:track:6Z77oDcn6iI1MHFCBPjl24</v>
      </c>
    </row>
    <row r="5217" customFormat="false" ht="15" hidden="false" customHeight="false" outlineLevel="0" collapsed="false">
      <c r="A5217" s="5" t="n">
        <v>7</v>
      </c>
      <c r="B5217" s="5" t="n">
        <v>8</v>
      </c>
      <c r="C5217" s="5" t="s">
        <v>85</v>
      </c>
      <c r="D5217" s="5" t="s">
        <v>2306</v>
      </c>
      <c r="E5217" s="5" t="n">
        <v>1</v>
      </c>
      <c r="F5217" s="6" t="n">
        <f aca="false">IFERROR(MATCH(A5217&amp;"|"&amp;B5217&amp;"|"&amp;D5217,'All Song Rankings'!$T:$T,0),0)</f>
        <v>779</v>
      </c>
      <c r="G5217" s="6" t="str">
        <f aca="false">IF(F5217=0,"NOT FOUND",INDEX('All Song Rankings'!$A:$A,F5217))</f>
        <v>Dracula</v>
      </c>
      <c r="H5217" s="6" t="str">
        <f aca="false">IF(F5217=0,"NOT FOUND",INDEX('All Song Rankings'!$B:$B,F5217))</f>
        <v>Tame Impala</v>
      </c>
      <c r="I5217" s="6" t="str">
        <f aca="false">IF(F5217=0,"NOT FOUND",INDEX('All Song Rankings'!$D:$D,F5217))</f>
        <v>Lucia</v>
      </c>
      <c r="J5217" s="7" t="str">
        <f aca="false">IF(F5217=0,"NOT FOUND",IF(C5217=I5217,"SELF-VOTE",IF(COUNTIF($K:$K,K5217)&gt;1,"DUPLICATE","OK")))</f>
        <v>OK</v>
      </c>
      <c r="K5217" s="6" t="str">
        <f aca="false">A5217&amp;"|"&amp;B5217&amp;"|"&amp;C5217&amp;"|"&amp;D5217</f>
        <v>7|8|Kelsey|spotify:track:709ZIqPHyFOpx2QdjmeWAM</v>
      </c>
    </row>
    <row r="5218" customFormat="false" ht="15" hidden="false" customHeight="false" outlineLevel="0" collapsed="false">
      <c r="A5218" s="5" t="n">
        <v>7</v>
      </c>
      <c r="B5218" s="5" t="n">
        <v>8</v>
      </c>
      <c r="C5218" s="5" t="s">
        <v>106</v>
      </c>
      <c r="D5218" s="5" t="s">
        <v>2322</v>
      </c>
      <c r="E5218" s="5" t="n">
        <v>1</v>
      </c>
      <c r="F5218" s="6" t="n">
        <f aca="false">IFERROR(MATCH(A5218&amp;"|"&amp;B5218&amp;"|"&amp;D5218,'All Song Rankings'!$T:$T,0),0)</f>
        <v>785</v>
      </c>
      <c r="G5218" s="6" t="str">
        <f aca="false">IF(F5218=0,"NOT FOUND",INDEX('All Song Rankings'!$A:$A,F5218))</f>
        <v>Nun painting</v>
      </c>
      <c r="H5218" s="6" t="str">
        <f aca="false">IF(F5218=0,"NOT FOUND",INDEX('All Song Rankings'!$B:$B,F5218))</f>
        <v>joseph bishara</v>
      </c>
      <c r="I5218" s="6" t="str">
        <f aca="false">IF(F5218=0,"NOT FOUND",INDEX('All Song Rankings'!$D:$D,F5218))</f>
        <v>Logan</v>
      </c>
      <c r="J5218" s="7" t="str">
        <f aca="false">IF(F5218=0,"NOT FOUND",IF(C5218=I5218,"SELF-VOTE",IF(COUNTIF($K:$K,K5218)&gt;1,"DUPLICATE","OK")))</f>
        <v>OK</v>
      </c>
      <c r="K5218" s="6" t="str">
        <f aca="false">A5218&amp;"|"&amp;B5218&amp;"|"&amp;C5218&amp;"|"&amp;D5218</f>
        <v>7|8|Kristen|spotify:track:0xWs8OMHsWdqSvfDxhkmiw</v>
      </c>
    </row>
    <row r="5219" customFormat="false" ht="15" hidden="false" customHeight="false" outlineLevel="0" collapsed="false">
      <c r="A5219" s="5" t="n">
        <v>7</v>
      </c>
      <c r="B5219" s="5" t="n">
        <v>8</v>
      </c>
      <c r="C5219" s="5" t="s">
        <v>106</v>
      </c>
      <c r="D5219" s="5" t="s">
        <v>2303</v>
      </c>
      <c r="E5219" s="5" t="n">
        <v>1</v>
      </c>
      <c r="F5219" s="6" t="n">
        <f aca="false">IFERROR(MATCH(A5219&amp;"|"&amp;B5219&amp;"|"&amp;D5219,'All Song Rankings'!$T:$T,0),0)</f>
        <v>778</v>
      </c>
      <c r="G5219" s="6" t="str">
        <f aca="false">IF(F5219=0,"NOT FOUND",INDEX('All Song Rankings'!$A:$A,F5219))</f>
        <v>Heads Will Roll</v>
      </c>
      <c r="H5219" s="6" t="str">
        <f aca="false">IF(F5219=0,"NOT FOUND",INDEX('All Song Rankings'!$B:$B,F5219))</f>
        <v>Yeah Yeah Yeahs</v>
      </c>
      <c r="I5219" s="6" t="str">
        <f aca="false">IF(F5219=0,"NOT FOUND",INDEX('All Song Rankings'!$D:$D,F5219))</f>
        <v>Stephanie</v>
      </c>
      <c r="J5219" s="7" t="str">
        <f aca="false">IF(F5219=0,"NOT FOUND",IF(C5219=I5219,"SELF-VOTE",IF(COUNTIF($K:$K,K5219)&gt;1,"DUPLICATE","OK")))</f>
        <v>OK</v>
      </c>
      <c r="K5219" s="6" t="str">
        <f aca="false">A5219&amp;"|"&amp;B5219&amp;"|"&amp;C5219&amp;"|"&amp;D5219</f>
        <v>7|8|Kristen|spotify:track:18oWEPapjNt32E6sCM6VLb</v>
      </c>
    </row>
    <row r="5220" customFormat="false" ht="15" hidden="false" customHeight="false" outlineLevel="0" collapsed="false">
      <c r="A5220" s="5" t="n">
        <v>7</v>
      </c>
      <c r="B5220" s="5" t="n">
        <v>8</v>
      </c>
      <c r="C5220" s="5" t="s">
        <v>106</v>
      </c>
      <c r="D5220" s="5" t="s">
        <v>2324</v>
      </c>
      <c r="E5220" s="5" t="n">
        <v>1</v>
      </c>
      <c r="F5220" s="6" t="n">
        <f aca="false">IFERROR(MATCH(A5220&amp;"|"&amp;B5220&amp;"|"&amp;D5220,'All Song Rankings'!$T:$T,0),0)</f>
        <v>786</v>
      </c>
      <c r="G5220" s="6" t="str">
        <f aca="false">IF(F5220=0,"NOT FOUND",INDEX('All Song Rankings'!$A:$A,F5220))</f>
        <v>Tip Toe Thru' the Tulips with Me</v>
      </c>
      <c r="H5220" s="6" t="str">
        <f aca="false">IF(F5220=0,"NOT FOUND",INDEX('All Song Rankings'!$B:$B,F5220))</f>
        <v>Tiny Tim</v>
      </c>
      <c r="I5220" s="6" t="str">
        <f aca="false">IF(F5220=0,"NOT FOUND",INDEX('All Song Rankings'!$D:$D,F5220))</f>
        <v>Grace</v>
      </c>
      <c r="J5220" s="7" t="str">
        <f aca="false">IF(F5220=0,"NOT FOUND",IF(C5220=I5220,"SELF-VOTE",IF(COUNTIF($K:$K,K5220)&gt;1,"DUPLICATE","OK")))</f>
        <v>OK</v>
      </c>
      <c r="K5220" s="6" t="str">
        <f aca="false">A5220&amp;"|"&amp;B5220&amp;"|"&amp;C5220&amp;"|"&amp;D5220</f>
        <v>7|8|Kristen|spotify:track:1Vchex0xowRj9k59RLvRfo</v>
      </c>
    </row>
    <row r="5221" customFormat="false" ht="15" hidden="false" customHeight="false" outlineLevel="0" collapsed="false">
      <c r="A5221" s="5" t="n">
        <v>7</v>
      </c>
      <c r="B5221" s="5" t="n">
        <v>8</v>
      </c>
      <c r="C5221" s="5" t="s">
        <v>106</v>
      </c>
      <c r="D5221" s="5" t="s">
        <v>2309</v>
      </c>
      <c r="E5221" s="5" t="n">
        <v>1</v>
      </c>
      <c r="F5221" s="6" t="n">
        <f aca="false">IFERROR(MATCH(A5221&amp;"|"&amp;B5221&amp;"|"&amp;D5221,'All Song Rankings'!$T:$T,0),0)</f>
        <v>780</v>
      </c>
      <c r="G5221" s="6" t="str">
        <f aca="false">IF(F5221=0,"NOT FOUND",INDEX('All Song Rankings'!$A:$A,F5221))</f>
        <v>Killer Klowns</v>
      </c>
      <c r="H5221" s="6" t="str">
        <f aca="false">IF(F5221=0,"NOT FOUND",INDEX('All Song Rankings'!$B:$B,F5221))</f>
        <v>The Dickies</v>
      </c>
      <c r="I5221" s="6" t="str">
        <f aca="false">IF(F5221=0,"NOT FOUND",INDEX('All Song Rankings'!$D:$D,F5221))</f>
        <v>Josh</v>
      </c>
      <c r="J5221" s="7" t="str">
        <f aca="false">IF(F5221=0,"NOT FOUND",IF(C5221=I5221,"SELF-VOTE",IF(COUNTIF($K:$K,K5221)&gt;1,"DUPLICATE","OK")))</f>
        <v>OK</v>
      </c>
      <c r="K5221" s="6" t="str">
        <f aca="false">A5221&amp;"|"&amp;B5221&amp;"|"&amp;C5221&amp;"|"&amp;D5221</f>
        <v>7|8|Kristen|spotify:track:1dUPABHPVfHnvdLnKwYbgz</v>
      </c>
    </row>
    <row r="5222" customFormat="false" ht="15" hidden="false" customHeight="false" outlineLevel="0" collapsed="false">
      <c r="A5222" s="5" t="n">
        <v>7</v>
      </c>
      <c r="B5222" s="5" t="n">
        <v>8</v>
      </c>
      <c r="C5222" s="5" t="s">
        <v>106</v>
      </c>
      <c r="D5222" s="5" t="s">
        <v>2292</v>
      </c>
      <c r="E5222" s="5" t="n">
        <v>1</v>
      </c>
      <c r="F5222" s="6" t="n">
        <f aca="false">IFERROR(MATCH(A5222&amp;"|"&amp;B5222&amp;"|"&amp;D5222,'All Song Rankings'!$T:$T,0),0)</f>
        <v>774</v>
      </c>
      <c r="G5222" s="6" t="str">
        <f aca="false">IF(F5222=0,"NOT FOUND",INDEX('All Song Rankings'!$A:$A,F5222))</f>
        <v>Rocky Road to Dublin</v>
      </c>
      <c r="H5222" s="6" t="str">
        <f aca="false">IF(F5222=0,"NOT FOUND",INDEX('All Song Rankings'!$B:$B,F5222))</f>
        <v>Jack O'Connell, Brian Dunphy, Darren Holden, Sinners Movie</v>
      </c>
      <c r="I5222" s="6" t="str">
        <f aca="false">IF(F5222=0,"NOT FOUND",INDEX('All Song Rankings'!$D:$D,F5222))</f>
        <v>Kelsey</v>
      </c>
      <c r="J5222" s="7" t="str">
        <f aca="false">IF(F5222=0,"NOT FOUND",IF(C5222=I5222,"SELF-VOTE",IF(COUNTIF($K:$K,K5222)&gt;1,"DUPLICATE","OK")))</f>
        <v>OK</v>
      </c>
      <c r="K5222" s="6" t="str">
        <f aca="false">A5222&amp;"|"&amp;B5222&amp;"|"&amp;C5222&amp;"|"&amp;D5222</f>
        <v>7|8|Kristen|spotify:track:1esmJ8t2PRbYt2yMx2aSEW</v>
      </c>
    </row>
    <row r="5223" customFormat="false" ht="15" hidden="false" customHeight="false" outlineLevel="0" collapsed="false">
      <c r="A5223" s="5" t="n">
        <v>7</v>
      </c>
      <c r="B5223" s="5" t="n">
        <v>8</v>
      </c>
      <c r="C5223" s="5" t="s">
        <v>106</v>
      </c>
      <c r="D5223" s="5" t="s">
        <v>2314</v>
      </c>
      <c r="E5223" s="5" t="n">
        <v>1</v>
      </c>
      <c r="F5223" s="6" t="n">
        <f aca="false">IFERROR(MATCH(A5223&amp;"|"&amp;B5223&amp;"|"&amp;D5223,'All Song Rankings'!$T:$T,0),0)</f>
        <v>782</v>
      </c>
      <c r="G5223" s="6" t="str">
        <f aca="false">IF(F5223=0,"NOT FOUND",INDEX('All Song Rankings'!$A:$A,F5223))</f>
        <v>Dead Man's Party</v>
      </c>
      <c r="H5223" s="6" t="str">
        <f aca="false">IF(F5223=0,"NOT FOUND",INDEX('All Song Rankings'!$B:$B,F5223))</f>
        <v>Oingo Boingo</v>
      </c>
      <c r="I5223" s="6" t="str">
        <f aca="false">IF(F5223=0,"NOT FOUND",INDEX('All Song Rankings'!$D:$D,F5223))</f>
        <v>Matt</v>
      </c>
      <c r="J5223" s="7" t="str">
        <f aca="false">IF(F5223=0,"NOT FOUND",IF(C5223=I5223,"SELF-VOTE",IF(COUNTIF($K:$K,K5223)&gt;1,"DUPLICATE","OK")))</f>
        <v>OK</v>
      </c>
      <c r="K5223" s="6" t="str">
        <f aca="false">A5223&amp;"|"&amp;B5223&amp;"|"&amp;C5223&amp;"|"&amp;D5223</f>
        <v>7|8|Kristen|spotify:track:2h47SG8bNphmicAll4H9RV</v>
      </c>
    </row>
    <row r="5224" customFormat="false" ht="15" hidden="false" customHeight="false" outlineLevel="0" collapsed="false">
      <c r="A5224" s="5" t="n">
        <v>7</v>
      </c>
      <c r="B5224" s="5" t="n">
        <v>8</v>
      </c>
      <c r="C5224" s="5" t="s">
        <v>106</v>
      </c>
      <c r="D5224" s="5" t="s">
        <v>2300</v>
      </c>
      <c r="E5224" s="5" t="n">
        <v>2</v>
      </c>
      <c r="F5224" s="6" t="n">
        <f aca="false">IFERROR(MATCH(A5224&amp;"|"&amp;B5224&amp;"|"&amp;D5224,'All Song Rankings'!$T:$T,0),0)</f>
        <v>777</v>
      </c>
      <c r="G5224" s="6" t="str">
        <f aca="false">IF(F5224=0,"NOT FOUND",INDEX('All Song Rankings'!$A:$A,F5224))</f>
        <v>Haunted</v>
      </c>
      <c r="H5224" s="6" t="str">
        <f aca="false">IF(F5224=0,"NOT FOUND",INDEX('All Song Rankings'!$B:$B,F5224))</f>
        <v>Evanescence</v>
      </c>
      <c r="I5224" s="6" t="str">
        <f aca="false">IF(F5224=0,"NOT FOUND",INDEX('All Song Rankings'!$D:$D,F5224))</f>
        <v>Christine</v>
      </c>
      <c r="J5224" s="7" t="str">
        <f aca="false">IF(F5224=0,"NOT FOUND",IF(C5224=I5224,"SELF-VOTE",IF(COUNTIF($K:$K,K5224)&gt;1,"DUPLICATE","OK")))</f>
        <v>OK</v>
      </c>
      <c r="K5224" s="6" t="str">
        <f aca="false">A5224&amp;"|"&amp;B5224&amp;"|"&amp;C5224&amp;"|"&amp;D5224</f>
        <v>7|8|Kristen|spotify:track:6Z77oDcn6iI1MHFCBPjl24</v>
      </c>
    </row>
    <row r="5225" customFormat="false" ht="15" hidden="false" customHeight="false" outlineLevel="0" collapsed="false">
      <c r="A5225" s="5" t="n">
        <v>7</v>
      </c>
      <c r="B5225" s="5" t="n">
        <v>8</v>
      </c>
      <c r="C5225" s="5" t="s">
        <v>106</v>
      </c>
      <c r="D5225" s="5" t="s">
        <v>2306</v>
      </c>
      <c r="E5225" s="5" t="n">
        <v>1</v>
      </c>
      <c r="F5225" s="6" t="n">
        <f aca="false">IFERROR(MATCH(A5225&amp;"|"&amp;B5225&amp;"|"&amp;D5225,'All Song Rankings'!$T:$T,0),0)</f>
        <v>779</v>
      </c>
      <c r="G5225" s="6" t="str">
        <f aca="false">IF(F5225=0,"NOT FOUND",INDEX('All Song Rankings'!$A:$A,F5225))</f>
        <v>Dracula</v>
      </c>
      <c r="H5225" s="6" t="str">
        <f aca="false">IF(F5225=0,"NOT FOUND",INDEX('All Song Rankings'!$B:$B,F5225))</f>
        <v>Tame Impala</v>
      </c>
      <c r="I5225" s="6" t="str">
        <f aca="false">IF(F5225=0,"NOT FOUND",INDEX('All Song Rankings'!$D:$D,F5225))</f>
        <v>Lucia</v>
      </c>
      <c r="J5225" s="7" t="str">
        <f aca="false">IF(F5225=0,"NOT FOUND",IF(C5225=I5225,"SELF-VOTE",IF(COUNTIF($K:$K,K5225)&gt;1,"DUPLICATE","OK")))</f>
        <v>OK</v>
      </c>
      <c r="K5225" s="6" t="str">
        <f aca="false">A5225&amp;"|"&amp;B5225&amp;"|"&amp;C5225&amp;"|"&amp;D5225</f>
        <v>7|8|Kristen|spotify:track:709ZIqPHyFOpx2QdjmeWAM</v>
      </c>
    </row>
    <row r="5226" customFormat="false" ht="15" hidden="false" customHeight="false" outlineLevel="0" collapsed="false">
      <c r="A5226" s="5" t="n">
        <v>7</v>
      </c>
      <c r="B5226" s="5" t="n">
        <v>8</v>
      </c>
      <c r="C5226" s="5" t="s">
        <v>106</v>
      </c>
      <c r="D5226" s="5" t="s">
        <v>2295</v>
      </c>
      <c r="E5226" s="5" t="n">
        <v>1</v>
      </c>
      <c r="F5226" s="6" t="n">
        <f aca="false">IFERROR(MATCH(A5226&amp;"|"&amp;B5226&amp;"|"&amp;D5226,'All Song Rankings'!$T:$T,0),0)</f>
        <v>775</v>
      </c>
      <c r="G5226" s="6" t="str">
        <f aca="false">IF(F5226=0,"NOT FOUND",INDEX('All Song Rankings'!$A:$A,F5226))</f>
        <v>Somebody's Watching Me</v>
      </c>
      <c r="H5226" s="6" t="str">
        <f aca="false">IF(F5226=0,"NOT FOUND",INDEX('All Song Rankings'!$B:$B,F5226))</f>
        <v>Rockwell</v>
      </c>
      <c r="I5226" s="6" t="str">
        <f aca="false">IF(F5226=0,"NOT FOUND",INDEX('All Song Rankings'!$D:$D,F5226))</f>
        <v>Sara</v>
      </c>
      <c r="J5226" s="7" t="str">
        <f aca="false">IF(F5226=0,"NOT FOUND",IF(C5226=I5226,"SELF-VOTE",IF(COUNTIF($K:$K,K5226)&gt;1,"DUPLICATE","OK")))</f>
        <v>OK</v>
      </c>
      <c r="K5226" s="6" t="str">
        <f aca="false">A5226&amp;"|"&amp;B5226&amp;"|"&amp;C5226&amp;"|"&amp;D5226</f>
        <v>7|8|Kristen|spotify:track:7jwQlYGpOml9ETGre1HqGA</v>
      </c>
    </row>
    <row r="5227" customFormat="false" ht="15" hidden="false" customHeight="false" outlineLevel="0" collapsed="false">
      <c r="A5227" s="5" t="n">
        <v>7</v>
      </c>
      <c r="B5227" s="5" t="n">
        <v>8</v>
      </c>
      <c r="C5227" s="5" t="s">
        <v>119</v>
      </c>
      <c r="D5227" s="5" t="s">
        <v>2317</v>
      </c>
      <c r="E5227" s="5" t="n">
        <v>1</v>
      </c>
      <c r="F5227" s="6" t="n">
        <f aca="false">IFERROR(MATCH(A5227&amp;"|"&amp;B5227&amp;"|"&amp;D5227,'All Song Rankings'!$T:$T,0),0)</f>
        <v>783</v>
      </c>
      <c r="G5227" s="6" t="str">
        <f aca="false">IF(F5227=0,"NOT FOUND",INDEX('All Song Rankings'!$A:$A,F5227))</f>
        <v>Animal</v>
      </c>
      <c r="H5227" s="6" t="str">
        <f aca="false">IF(F5227=0,"NOT FOUND",INDEX('All Song Rankings'!$B:$B,F5227))</f>
        <v>Badflower</v>
      </c>
      <c r="I5227" s="6" t="str">
        <f aca="false">IF(F5227=0,"NOT FOUND",INDEX('All Song Rankings'!$D:$D,F5227))</f>
        <v>Scott</v>
      </c>
      <c r="J5227" s="7" t="str">
        <f aca="false">IF(F5227=0,"NOT FOUND",IF(C5227=I5227,"SELF-VOTE",IF(COUNTIF($K:$K,K5227)&gt;1,"DUPLICATE","OK")))</f>
        <v>OK</v>
      </c>
      <c r="K5227" s="6" t="str">
        <f aca="false">A5227&amp;"|"&amp;B5227&amp;"|"&amp;C5227&amp;"|"&amp;D5227</f>
        <v>7|8|Leah|spotify:track:0CBM2iiBZmfKntDeQYboqU</v>
      </c>
    </row>
    <row r="5228" customFormat="false" ht="15" hidden="false" customHeight="false" outlineLevel="0" collapsed="false">
      <c r="A5228" s="5" t="n">
        <v>7</v>
      </c>
      <c r="B5228" s="5" t="n">
        <v>8</v>
      </c>
      <c r="C5228" s="5" t="s">
        <v>119</v>
      </c>
      <c r="D5228" s="5" t="s">
        <v>2322</v>
      </c>
      <c r="E5228" s="5" t="n">
        <v>1</v>
      </c>
      <c r="F5228" s="6" t="n">
        <f aca="false">IFERROR(MATCH(A5228&amp;"|"&amp;B5228&amp;"|"&amp;D5228,'All Song Rankings'!$T:$T,0),0)</f>
        <v>785</v>
      </c>
      <c r="G5228" s="6" t="str">
        <f aca="false">IF(F5228=0,"NOT FOUND",INDEX('All Song Rankings'!$A:$A,F5228))</f>
        <v>Nun painting</v>
      </c>
      <c r="H5228" s="6" t="str">
        <f aca="false">IF(F5228=0,"NOT FOUND",INDEX('All Song Rankings'!$B:$B,F5228))</f>
        <v>joseph bishara</v>
      </c>
      <c r="I5228" s="6" t="str">
        <f aca="false">IF(F5228=0,"NOT FOUND",INDEX('All Song Rankings'!$D:$D,F5228))</f>
        <v>Logan</v>
      </c>
      <c r="J5228" s="7" t="str">
        <f aca="false">IF(F5228=0,"NOT FOUND",IF(C5228=I5228,"SELF-VOTE",IF(COUNTIF($K:$K,K5228)&gt;1,"DUPLICATE","OK")))</f>
        <v>OK</v>
      </c>
      <c r="K5228" s="6" t="str">
        <f aca="false">A5228&amp;"|"&amp;B5228&amp;"|"&amp;C5228&amp;"|"&amp;D5228</f>
        <v>7|8|Leah|spotify:track:0xWs8OMHsWdqSvfDxhkmiw</v>
      </c>
    </row>
    <row r="5229" customFormat="false" ht="15" hidden="false" customHeight="false" outlineLevel="0" collapsed="false">
      <c r="A5229" s="5" t="n">
        <v>7</v>
      </c>
      <c r="B5229" s="5" t="n">
        <v>8</v>
      </c>
      <c r="C5229" s="5" t="s">
        <v>119</v>
      </c>
      <c r="D5229" s="5" t="s">
        <v>2324</v>
      </c>
      <c r="E5229" s="5" t="n">
        <v>1</v>
      </c>
      <c r="F5229" s="6" t="n">
        <f aca="false">IFERROR(MATCH(A5229&amp;"|"&amp;B5229&amp;"|"&amp;D5229,'All Song Rankings'!$T:$T,0),0)</f>
        <v>786</v>
      </c>
      <c r="G5229" s="6" t="str">
        <f aca="false">IF(F5229=0,"NOT FOUND",INDEX('All Song Rankings'!$A:$A,F5229))</f>
        <v>Tip Toe Thru' the Tulips with Me</v>
      </c>
      <c r="H5229" s="6" t="str">
        <f aca="false">IF(F5229=0,"NOT FOUND",INDEX('All Song Rankings'!$B:$B,F5229))</f>
        <v>Tiny Tim</v>
      </c>
      <c r="I5229" s="6" t="str">
        <f aca="false">IF(F5229=0,"NOT FOUND",INDEX('All Song Rankings'!$D:$D,F5229))</f>
        <v>Grace</v>
      </c>
      <c r="J5229" s="7" t="str">
        <f aca="false">IF(F5229=0,"NOT FOUND",IF(C5229=I5229,"SELF-VOTE",IF(COUNTIF($K:$K,K5229)&gt;1,"DUPLICATE","OK")))</f>
        <v>OK</v>
      </c>
      <c r="K5229" s="6" t="str">
        <f aca="false">A5229&amp;"|"&amp;B5229&amp;"|"&amp;C5229&amp;"|"&amp;D5229</f>
        <v>7|8|Leah|spotify:track:1Vchex0xowRj9k59RLvRfo</v>
      </c>
    </row>
    <row r="5230" customFormat="false" ht="15" hidden="false" customHeight="false" outlineLevel="0" collapsed="false">
      <c r="A5230" s="5" t="n">
        <v>7</v>
      </c>
      <c r="B5230" s="5" t="n">
        <v>8</v>
      </c>
      <c r="C5230" s="5" t="s">
        <v>119</v>
      </c>
      <c r="D5230" s="5" t="s">
        <v>2311</v>
      </c>
      <c r="E5230" s="5" t="n">
        <v>2</v>
      </c>
      <c r="F5230" s="6" t="n">
        <f aca="false">IFERROR(MATCH(A5230&amp;"|"&amp;B5230&amp;"|"&amp;D5230,'All Song Rankings'!$T:$T,0),0)</f>
        <v>781</v>
      </c>
      <c r="G5230" s="6" t="str">
        <f aca="false">IF(F5230=0,"NOT FOUND",INDEX('All Song Rankings'!$A:$A,F5230))</f>
        <v>Time Warp</v>
      </c>
      <c r="H5230" s="6" t="str">
        <f aca="false">IF(F5230=0,"NOT FOUND",INDEX('All Song Rankings'!$B:$B,F5230))</f>
        <v>The Rocky Horror Show Original Cast</v>
      </c>
      <c r="I5230" s="6" t="str">
        <f aca="false">IF(F5230=0,"NOT FOUND",INDEX('All Song Rankings'!$D:$D,F5230))</f>
        <v>Lisa</v>
      </c>
      <c r="J5230" s="7" t="str">
        <f aca="false">IF(F5230=0,"NOT FOUND",IF(C5230=I5230,"SELF-VOTE",IF(COUNTIF($K:$K,K5230)&gt;1,"DUPLICATE","OK")))</f>
        <v>OK</v>
      </c>
      <c r="K5230" s="6" t="str">
        <f aca="false">A5230&amp;"|"&amp;B5230&amp;"|"&amp;C5230&amp;"|"&amp;D5230</f>
        <v>7|8|Leah|spotify:track:1esIh49tNEGrXEHorSTHZ1</v>
      </c>
    </row>
    <row r="5231" customFormat="false" ht="15" hidden="false" customHeight="false" outlineLevel="0" collapsed="false">
      <c r="A5231" s="5" t="n">
        <v>7</v>
      </c>
      <c r="B5231" s="5" t="n">
        <v>8</v>
      </c>
      <c r="C5231" s="5" t="s">
        <v>119</v>
      </c>
      <c r="D5231" s="5" t="s">
        <v>2292</v>
      </c>
      <c r="E5231" s="5" t="n">
        <v>1</v>
      </c>
      <c r="F5231" s="6" t="n">
        <f aca="false">IFERROR(MATCH(A5231&amp;"|"&amp;B5231&amp;"|"&amp;D5231,'All Song Rankings'!$T:$T,0),0)</f>
        <v>774</v>
      </c>
      <c r="G5231" s="6" t="str">
        <f aca="false">IF(F5231=0,"NOT FOUND",INDEX('All Song Rankings'!$A:$A,F5231))</f>
        <v>Rocky Road to Dublin</v>
      </c>
      <c r="H5231" s="6" t="str">
        <f aca="false">IF(F5231=0,"NOT FOUND",INDEX('All Song Rankings'!$B:$B,F5231))</f>
        <v>Jack O'Connell, Brian Dunphy, Darren Holden, Sinners Movie</v>
      </c>
      <c r="I5231" s="6" t="str">
        <f aca="false">IF(F5231=0,"NOT FOUND",INDEX('All Song Rankings'!$D:$D,F5231))</f>
        <v>Kelsey</v>
      </c>
      <c r="J5231" s="7" t="str">
        <f aca="false">IF(F5231=0,"NOT FOUND",IF(C5231=I5231,"SELF-VOTE",IF(COUNTIF($K:$K,K5231)&gt;1,"DUPLICATE","OK")))</f>
        <v>OK</v>
      </c>
      <c r="K5231" s="6" t="str">
        <f aca="false">A5231&amp;"|"&amp;B5231&amp;"|"&amp;C5231&amp;"|"&amp;D5231</f>
        <v>7|8|Leah|spotify:track:1esmJ8t2PRbYt2yMx2aSEW</v>
      </c>
    </row>
    <row r="5232" customFormat="false" ht="15" hidden="false" customHeight="false" outlineLevel="0" collapsed="false">
      <c r="A5232" s="5" t="n">
        <v>7</v>
      </c>
      <c r="B5232" s="5" t="n">
        <v>8</v>
      </c>
      <c r="C5232" s="5" t="s">
        <v>119</v>
      </c>
      <c r="D5232" s="5" t="s">
        <v>2297</v>
      </c>
      <c r="E5232" s="5" t="n">
        <v>1</v>
      </c>
      <c r="F5232" s="6" t="n">
        <f aca="false">IFERROR(MATCH(A5232&amp;"|"&amp;B5232&amp;"|"&amp;D5232,'All Song Rankings'!$T:$T,0),0)</f>
        <v>776</v>
      </c>
      <c r="G5232" s="6" t="str">
        <f aca="false">IF(F5232=0,"NOT FOUND",INDEX('All Song Rankings'!$A:$A,F5232))</f>
        <v>Sweet Dreams (Are Made Of This)</v>
      </c>
      <c r="H5232" s="6" t="str">
        <f aca="false">IF(F5232=0,"NOT FOUND",INDEX('All Song Rankings'!$B:$B,F5232))</f>
        <v>Marilyn Manson</v>
      </c>
      <c r="I5232" s="6" t="str">
        <f aca="false">IF(F5232=0,"NOT FOUND",INDEX('All Song Rankings'!$D:$D,F5232))</f>
        <v>Kristen</v>
      </c>
      <c r="J5232" s="7" t="str">
        <f aca="false">IF(F5232=0,"NOT FOUND",IF(C5232=I5232,"SELF-VOTE",IF(COUNTIF($K:$K,K5232)&gt;1,"DUPLICATE","OK")))</f>
        <v>OK</v>
      </c>
      <c r="K5232" s="6" t="str">
        <f aca="false">A5232&amp;"|"&amp;B5232&amp;"|"&amp;C5232&amp;"|"&amp;D5232</f>
        <v>7|8|Leah|spotify:track:3D0bXrSv7O73vOaGOG8J9c</v>
      </c>
    </row>
    <row r="5233" customFormat="false" ht="15" hidden="false" customHeight="false" outlineLevel="0" collapsed="false">
      <c r="A5233" s="5" t="n">
        <v>7</v>
      </c>
      <c r="B5233" s="5" t="n">
        <v>8</v>
      </c>
      <c r="C5233" s="5" t="s">
        <v>119</v>
      </c>
      <c r="D5233" s="5" t="s">
        <v>2300</v>
      </c>
      <c r="E5233" s="5" t="n">
        <v>1</v>
      </c>
      <c r="F5233" s="6" t="n">
        <f aca="false">IFERROR(MATCH(A5233&amp;"|"&amp;B5233&amp;"|"&amp;D5233,'All Song Rankings'!$T:$T,0),0)</f>
        <v>777</v>
      </c>
      <c r="G5233" s="6" t="str">
        <f aca="false">IF(F5233=0,"NOT FOUND",INDEX('All Song Rankings'!$A:$A,F5233))</f>
        <v>Haunted</v>
      </c>
      <c r="H5233" s="6" t="str">
        <f aca="false">IF(F5233=0,"NOT FOUND",INDEX('All Song Rankings'!$B:$B,F5233))</f>
        <v>Evanescence</v>
      </c>
      <c r="I5233" s="6" t="str">
        <f aca="false">IF(F5233=0,"NOT FOUND",INDEX('All Song Rankings'!$D:$D,F5233))</f>
        <v>Christine</v>
      </c>
      <c r="J5233" s="7" t="str">
        <f aca="false">IF(F5233=0,"NOT FOUND",IF(C5233=I5233,"SELF-VOTE",IF(COUNTIF($K:$K,K5233)&gt;1,"DUPLICATE","OK")))</f>
        <v>OK</v>
      </c>
      <c r="K5233" s="6" t="str">
        <f aca="false">A5233&amp;"|"&amp;B5233&amp;"|"&amp;C5233&amp;"|"&amp;D5233</f>
        <v>7|8|Leah|spotify:track:6Z77oDcn6iI1MHFCBPjl24</v>
      </c>
    </row>
    <row r="5234" customFormat="false" ht="15" hidden="false" customHeight="false" outlineLevel="0" collapsed="false">
      <c r="A5234" s="5" t="n">
        <v>7</v>
      </c>
      <c r="B5234" s="5" t="n">
        <v>8</v>
      </c>
      <c r="C5234" s="5" t="s">
        <v>119</v>
      </c>
      <c r="D5234" s="5" t="s">
        <v>2306</v>
      </c>
      <c r="E5234" s="5" t="n">
        <v>1</v>
      </c>
      <c r="F5234" s="6" t="n">
        <f aca="false">IFERROR(MATCH(A5234&amp;"|"&amp;B5234&amp;"|"&amp;D5234,'All Song Rankings'!$T:$T,0),0)</f>
        <v>779</v>
      </c>
      <c r="G5234" s="6" t="str">
        <f aca="false">IF(F5234=0,"NOT FOUND",INDEX('All Song Rankings'!$A:$A,F5234))</f>
        <v>Dracula</v>
      </c>
      <c r="H5234" s="6" t="str">
        <f aca="false">IF(F5234=0,"NOT FOUND",INDEX('All Song Rankings'!$B:$B,F5234))</f>
        <v>Tame Impala</v>
      </c>
      <c r="I5234" s="6" t="str">
        <f aca="false">IF(F5234=0,"NOT FOUND",INDEX('All Song Rankings'!$D:$D,F5234))</f>
        <v>Lucia</v>
      </c>
      <c r="J5234" s="7" t="str">
        <f aca="false">IF(F5234=0,"NOT FOUND",IF(C5234=I5234,"SELF-VOTE",IF(COUNTIF($K:$K,K5234)&gt;1,"DUPLICATE","OK")))</f>
        <v>OK</v>
      </c>
      <c r="K5234" s="6" t="str">
        <f aca="false">A5234&amp;"|"&amp;B5234&amp;"|"&amp;C5234&amp;"|"&amp;D5234</f>
        <v>7|8|Leah|spotify:track:709ZIqPHyFOpx2QdjmeWAM</v>
      </c>
    </row>
    <row r="5235" customFormat="false" ht="15" hidden="false" customHeight="false" outlineLevel="0" collapsed="false">
      <c r="A5235" s="5" t="n">
        <v>7</v>
      </c>
      <c r="B5235" s="5" t="n">
        <v>8</v>
      </c>
      <c r="C5235" s="5" t="s">
        <v>119</v>
      </c>
      <c r="D5235" s="5" t="s">
        <v>2295</v>
      </c>
      <c r="E5235" s="5" t="n">
        <v>1</v>
      </c>
      <c r="F5235" s="6" t="n">
        <f aca="false">IFERROR(MATCH(A5235&amp;"|"&amp;B5235&amp;"|"&amp;D5235,'All Song Rankings'!$T:$T,0),0)</f>
        <v>775</v>
      </c>
      <c r="G5235" s="6" t="str">
        <f aca="false">IF(F5235=0,"NOT FOUND",INDEX('All Song Rankings'!$A:$A,F5235))</f>
        <v>Somebody's Watching Me</v>
      </c>
      <c r="H5235" s="6" t="str">
        <f aca="false">IF(F5235=0,"NOT FOUND",INDEX('All Song Rankings'!$B:$B,F5235))</f>
        <v>Rockwell</v>
      </c>
      <c r="I5235" s="6" t="str">
        <f aca="false">IF(F5235=0,"NOT FOUND",INDEX('All Song Rankings'!$D:$D,F5235))</f>
        <v>Sara</v>
      </c>
      <c r="J5235" s="7" t="str">
        <f aca="false">IF(F5235=0,"NOT FOUND",IF(C5235=I5235,"SELF-VOTE",IF(COUNTIF($K:$K,K5235)&gt;1,"DUPLICATE","OK")))</f>
        <v>OK</v>
      </c>
      <c r="K5235" s="6" t="str">
        <f aca="false">A5235&amp;"|"&amp;B5235&amp;"|"&amp;C5235&amp;"|"&amp;D5235</f>
        <v>7|8|Leah|spotify:track:7jwQlYGpOml9ETGre1HqGA</v>
      </c>
    </row>
    <row r="5236" customFormat="false" ht="15" hidden="false" customHeight="false" outlineLevel="0" collapsed="false">
      <c r="A5236" s="5" t="n">
        <v>7</v>
      </c>
      <c r="B5236" s="5" t="n">
        <v>8</v>
      </c>
      <c r="C5236" s="5" t="s">
        <v>705</v>
      </c>
      <c r="D5236" s="5" t="s">
        <v>2303</v>
      </c>
      <c r="E5236" s="5" t="n">
        <v>1</v>
      </c>
      <c r="F5236" s="6" t="n">
        <f aca="false">IFERROR(MATCH(A5236&amp;"|"&amp;B5236&amp;"|"&amp;D5236,'All Song Rankings'!$T:$T,0),0)</f>
        <v>778</v>
      </c>
      <c r="G5236" s="6" t="str">
        <f aca="false">IF(F5236=0,"NOT FOUND",INDEX('All Song Rankings'!$A:$A,F5236))</f>
        <v>Heads Will Roll</v>
      </c>
      <c r="H5236" s="6" t="str">
        <f aca="false">IF(F5236=0,"NOT FOUND",INDEX('All Song Rankings'!$B:$B,F5236))</f>
        <v>Yeah Yeah Yeahs</v>
      </c>
      <c r="I5236" s="6" t="str">
        <f aca="false">IF(F5236=0,"NOT FOUND",INDEX('All Song Rankings'!$D:$D,F5236))</f>
        <v>Stephanie</v>
      </c>
      <c r="J5236" s="7" t="str">
        <f aca="false">IF(F5236=0,"NOT FOUND",IF(C5236=I5236,"SELF-VOTE",IF(COUNTIF($K:$K,K5236)&gt;1,"DUPLICATE","OK")))</f>
        <v>OK</v>
      </c>
      <c r="K5236" s="6" t="str">
        <f aca="false">A5236&amp;"|"&amp;B5236&amp;"|"&amp;C5236&amp;"|"&amp;D5236</f>
        <v>7|8|Lisa|spotify:track:18oWEPapjNt32E6sCM6VLb</v>
      </c>
    </row>
    <row r="5237" customFormat="false" ht="15" hidden="false" customHeight="false" outlineLevel="0" collapsed="false">
      <c r="A5237" s="5" t="n">
        <v>7</v>
      </c>
      <c r="B5237" s="5" t="n">
        <v>8</v>
      </c>
      <c r="C5237" s="5" t="s">
        <v>705</v>
      </c>
      <c r="D5237" s="5" t="s">
        <v>2327</v>
      </c>
      <c r="E5237" s="5" t="n">
        <v>1</v>
      </c>
      <c r="F5237" s="6" t="n">
        <f aca="false">IFERROR(MATCH(A5237&amp;"|"&amp;B5237&amp;"|"&amp;D5237,'All Song Rankings'!$T:$T,0),0)</f>
        <v>787</v>
      </c>
      <c r="G5237" s="6" t="str">
        <f aca="false">IF(F5237=0,"NOT FOUND",INDEX('All Song Rankings'!$A:$A,F5237))</f>
        <v>Crawling in the Dark</v>
      </c>
      <c r="H5237" s="6" t="str">
        <f aca="false">IF(F5237=0,"NOT FOUND",INDEX('All Song Rankings'!$B:$B,F5237))</f>
        <v>Hoobastank</v>
      </c>
      <c r="I5237" s="6" t="str">
        <f aca="false">IF(F5237=0,"NOT FOUND",INDEX('All Song Rankings'!$D:$D,F5237))</f>
        <v>Colleen</v>
      </c>
      <c r="J5237" s="7" t="str">
        <f aca="false">IF(F5237=0,"NOT FOUND",IF(C5237=I5237,"SELF-VOTE",IF(COUNTIF($K:$K,K5237)&gt;1,"DUPLICATE","OK")))</f>
        <v>OK</v>
      </c>
      <c r="K5237" s="6" t="str">
        <f aca="false">A5237&amp;"|"&amp;B5237&amp;"|"&amp;C5237&amp;"|"&amp;D5237</f>
        <v>7|8|Lisa|spotify:track:1PJRDeZSoZk7gtisdTYfLi</v>
      </c>
    </row>
    <row r="5238" customFormat="false" ht="15" hidden="false" customHeight="false" outlineLevel="0" collapsed="false">
      <c r="A5238" s="5" t="n">
        <v>7</v>
      </c>
      <c r="B5238" s="5" t="n">
        <v>8</v>
      </c>
      <c r="C5238" s="5" t="s">
        <v>705</v>
      </c>
      <c r="D5238" s="5" t="s">
        <v>2324</v>
      </c>
      <c r="E5238" s="5" t="n">
        <v>1</v>
      </c>
      <c r="F5238" s="6" t="n">
        <f aca="false">IFERROR(MATCH(A5238&amp;"|"&amp;B5238&amp;"|"&amp;D5238,'All Song Rankings'!$T:$T,0),0)</f>
        <v>786</v>
      </c>
      <c r="G5238" s="6" t="str">
        <f aca="false">IF(F5238=0,"NOT FOUND",INDEX('All Song Rankings'!$A:$A,F5238))</f>
        <v>Tip Toe Thru' the Tulips with Me</v>
      </c>
      <c r="H5238" s="6" t="str">
        <f aca="false">IF(F5238=0,"NOT FOUND",INDEX('All Song Rankings'!$B:$B,F5238))</f>
        <v>Tiny Tim</v>
      </c>
      <c r="I5238" s="6" t="str">
        <f aca="false">IF(F5238=0,"NOT FOUND",INDEX('All Song Rankings'!$D:$D,F5238))</f>
        <v>Grace</v>
      </c>
      <c r="J5238" s="7" t="str">
        <f aca="false">IF(F5238=0,"NOT FOUND",IF(C5238=I5238,"SELF-VOTE",IF(COUNTIF($K:$K,K5238)&gt;1,"DUPLICATE","OK")))</f>
        <v>OK</v>
      </c>
      <c r="K5238" s="6" t="str">
        <f aca="false">A5238&amp;"|"&amp;B5238&amp;"|"&amp;C5238&amp;"|"&amp;D5238</f>
        <v>7|8|Lisa|spotify:track:1Vchex0xowRj9k59RLvRfo</v>
      </c>
    </row>
    <row r="5239" customFormat="false" ht="15" hidden="false" customHeight="false" outlineLevel="0" collapsed="false">
      <c r="A5239" s="5" t="n">
        <v>7</v>
      </c>
      <c r="B5239" s="5" t="n">
        <v>8</v>
      </c>
      <c r="C5239" s="5" t="s">
        <v>705</v>
      </c>
      <c r="D5239" s="5" t="s">
        <v>2309</v>
      </c>
      <c r="E5239" s="5" t="n">
        <v>2</v>
      </c>
      <c r="F5239" s="6" t="n">
        <f aca="false">IFERROR(MATCH(A5239&amp;"|"&amp;B5239&amp;"|"&amp;D5239,'All Song Rankings'!$T:$T,0),0)</f>
        <v>780</v>
      </c>
      <c r="G5239" s="6" t="str">
        <f aca="false">IF(F5239=0,"NOT FOUND",INDEX('All Song Rankings'!$A:$A,F5239))</f>
        <v>Killer Klowns</v>
      </c>
      <c r="H5239" s="6" t="str">
        <f aca="false">IF(F5239=0,"NOT FOUND",INDEX('All Song Rankings'!$B:$B,F5239))</f>
        <v>The Dickies</v>
      </c>
      <c r="I5239" s="6" t="str">
        <f aca="false">IF(F5239=0,"NOT FOUND",INDEX('All Song Rankings'!$D:$D,F5239))</f>
        <v>Josh</v>
      </c>
      <c r="J5239" s="7" t="str">
        <f aca="false">IF(F5239=0,"NOT FOUND",IF(C5239=I5239,"SELF-VOTE",IF(COUNTIF($K:$K,K5239)&gt;1,"DUPLICATE","OK")))</f>
        <v>OK</v>
      </c>
      <c r="K5239" s="6" t="str">
        <f aca="false">A5239&amp;"|"&amp;B5239&amp;"|"&amp;C5239&amp;"|"&amp;D5239</f>
        <v>7|8|Lisa|spotify:track:1dUPABHPVfHnvdLnKwYbgz</v>
      </c>
    </row>
    <row r="5240" customFormat="false" ht="15" hidden="false" customHeight="false" outlineLevel="0" collapsed="false">
      <c r="A5240" s="5" t="n">
        <v>7</v>
      </c>
      <c r="B5240" s="5" t="n">
        <v>8</v>
      </c>
      <c r="C5240" s="5" t="s">
        <v>705</v>
      </c>
      <c r="D5240" s="5" t="s">
        <v>2292</v>
      </c>
      <c r="E5240" s="5" t="n">
        <v>1</v>
      </c>
      <c r="F5240" s="6" t="n">
        <f aca="false">IFERROR(MATCH(A5240&amp;"|"&amp;B5240&amp;"|"&amp;D5240,'All Song Rankings'!$T:$T,0),0)</f>
        <v>774</v>
      </c>
      <c r="G5240" s="6" t="str">
        <f aca="false">IF(F5240=0,"NOT FOUND",INDEX('All Song Rankings'!$A:$A,F5240))</f>
        <v>Rocky Road to Dublin</v>
      </c>
      <c r="H5240" s="6" t="str">
        <f aca="false">IF(F5240=0,"NOT FOUND",INDEX('All Song Rankings'!$B:$B,F5240))</f>
        <v>Jack O'Connell, Brian Dunphy, Darren Holden, Sinners Movie</v>
      </c>
      <c r="I5240" s="6" t="str">
        <f aca="false">IF(F5240=0,"NOT FOUND",INDEX('All Song Rankings'!$D:$D,F5240))</f>
        <v>Kelsey</v>
      </c>
      <c r="J5240" s="7" t="str">
        <f aca="false">IF(F5240=0,"NOT FOUND",IF(C5240=I5240,"SELF-VOTE",IF(COUNTIF($K:$K,K5240)&gt;1,"DUPLICATE","OK")))</f>
        <v>OK</v>
      </c>
      <c r="K5240" s="6" t="str">
        <f aca="false">A5240&amp;"|"&amp;B5240&amp;"|"&amp;C5240&amp;"|"&amp;D5240</f>
        <v>7|8|Lisa|spotify:track:1esmJ8t2PRbYt2yMx2aSEW</v>
      </c>
    </row>
    <row r="5241" customFormat="false" ht="15" hidden="false" customHeight="false" outlineLevel="0" collapsed="false">
      <c r="A5241" s="5" t="n">
        <v>7</v>
      </c>
      <c r="B5241" s="5" t="n">
        <v>8</v>
      </c>
      <c r="C5241" s="5" t="s">
        <v>705</v>
      </c>
      <c r="D5241" s="5" t="s">
        <v>2297</v>
      </c>
      <c r="E5241" s="5" t="n">
        <v>1</v>
      </c>
      <c r="F5241" s="6" t="n">
        <f aca="false">IFERROR(MATCH(A5241&amp;"|"&amp;B5241&amp;"|"&amp;D5241,'All Song Rankings'!$T:$T,0),0)</f>
        <v>776</v>
      </c>
      <c r="G5241" s="6" t="str">
        <f aca="false">IF(F5241=0,"NOT FOUND",INDEX('All Song Rankings'!$A:$A,F5241))</f>
        <v>Sweet Dreams (Are Made Of This)</v>
      </c>
      <c r="H5241" s="6" t="str">
        <f aca="false">IF(F5241=0,"NOT FOUND",INDEX('All Song Rankings'!$B:$B,F5241))</f>
        <v>Marilyn Manson</v>
      </c>
      <c r="I5241" s="6" t="str">
        <f aca="false">IF(F5241=0,"NOT FOUND",INDEX('All Song Rankings'!$D:$D,F5241))</f>
        <v>Kristen</v>
      </c>
      <c r="J5241" s="7" t="str">
        <f aca="false">IF(F5241=0,"NOT FOUND",IF(C5241=I5241,"SELF-VOTE",IF(COUNTIF($K:$K,K5241)&gt;1,"DUPLICATE","OK")))</f>
        <v>OK</v>
      </c>
      <c r="K5241" s="6" t="str">
        <f aca="false">A5241&amp;"|"&amp;B5241&amp;"|"&amp;C5241&amp;"|"&amp;D5241</f>
        <v>7|8|Lisa|spotify:track:3D0bXrSv7O73vOaGOG8J9c</v>
      </c>
    </row>
    <row r="5242" customFormat="false" ht="15" hidden="false" customHeight="false" outlineLevel="0" collapsed="false">
      <c r="A5242" s="5" t="n">
        <v>7</v>
      </c>
      <c r="B5242" s="5" t="n">
        <v>8</v>
      </c>
      <c r="C5242" s="5" t="s">
        <v>705</v>
      </c>
      <c r="D5242" s="5" t="s">
        <v>2300</v>
      </c>
      <c r="E5242" s="5" t="n">
        <v>1</v>
      </c>
      <c r="F5242" s="6" t="n">
        <f aca="false">IFERROR(MATCH(A5242&amp;"|"&amp;B5242&amp;"|"&amp;D5242,'All Song Rankings'!$T:$T,0),0)</f>
        <v>777</v>
      </c>
      <c r="G5242" s="6" t="str">
        <f aca="false">IF(F5242=0,"NOT FOUND",INDEX('All Song Rankings'!$A:$A,F5242))</f>
        <v>Haunted</v>
      </c>
      <c r="H5242" s="6" t="str">
        <f aca="false">IF(F5242=0,"NOT FOUND",INDEX('All Song Rankings'!$B:$B,F5242))</f>
        <v>Evanescence</v>
      </c>
      <c r="I5242" s="6" t="str">
        <f aca="false">IF(F5242=0,"NOT FOUND",INDEX('All Song Rankings'!$D:$D,F5242))</f>
        <v>Christine</v>
      </c>
      <c r="J5242" s="7" t="str">
        <f aca="false">IF(F5242=0,"NOT FOUND",IF(C5242=I5242,"SELF-VOTE",IF(COUNTIF($K:$K,K5242)&gt;1,"DUPLICATE","OK")))</f>
        <v>OK</v>
      </c>
      <c r="K5242" s="6" t="str">
        <f aca="false">A5242&amp;"|"&amp;B5242&amp;"|"&amp;C5242&amp;"|"&amp;D5242</f>
        <v>7|8|Lisa|spotify:track:6Z77oDcn6iI1MHFCBPjl24</v>
      </c>
    </row>
    <row r="5243" customFormat="false" ht="15" hidden="false" customHeight="false" outlineLevel="0" collapsed="false">
      <c r="A5243" s="5" t="n">
        <v>7</v>
      </c>
      <c r="B5243" s="5" t="n">
        <v>8</v>
      </c>
      <c r="C5243" s="5" t="s">
        <v>705</v>
      </c>
      <c r="D5243" s="5" t="s">
        <v>2295</v>
      </c>
      <c r="E5243" s="5" t="n">
        <v>2</v>
      </c>
      <c r="F5243" s="6" t="n">
        <f aca="false">IFERROR(MATCH(A5243&amp;"|"&amp;B5243&amp;"|"&amp;D5243,'All Song Rankings'!$T:$T,0),0)</f>
        <v>775</v>
      </c>
      <c r="G5243" s="6" t="str">
        <f aca="false">IF(F5243=0,"NOT FOUND",INDEX('All Song Rankings'!$A:$A,F5243))</f>
        <v>Somebody's Watching Me</v>
      </c>
      <c r="H5243" s="6" t="str">
        <f aca="false">IF(F5243=0,"NOT FOUND",INDEX('All Song Rankings'!$B:$B,F5243))</f>
        <v>Rockwell</v>
      </c>
      <c r="I5243" s="6" t="str">
        <f aca="false">IF(F5243=0,"NOT FOUND",INDEX('All Song Rankings'!$D:$D,F5243))</f>
        <v>Sara</v>
      </c>
      <c r="J5243" s="7" t="str">
        <f aca="false">IF(F5243=0,"NOT FOUND",IF(C5243=I5243,"SELF-VOTE",IF(COUNTIF($K:$K,K5243)&gt;1,"DUPLICATE","OK")))</f>
        <v>OK</v>
      </c>
      <c r="K5243" s="6" t="str">
        <f aca="false">A5243&amp;"|"&amp;B5243&amp;"|"&amp;C5243&amp;"|"&amp;D5243</f>
        <v>7|8|Lisa|spotify:track:7jwQlYGpOml9ETGre1HqGA</v>
      </c>
    </row>
    <row r="5244" customFormat="false" ht="15" hidden="false" customHeight="false" outlineLevel="0" collapsed="false">
      <c r="A5244" s="5" t="n">
        <v>7</v>
      </c>
      <c r="B5244" s="5" t="n">
        <v>8</v>
      </c>
      <c r="C5244" s="5" t="s">
        <v>128</v>
      </c>
      <c r="D5244" s="5" t="s">
        <v>2303</v>
      </c>
      <c r="E5244" s="5" t="n">
        <v>1</v>
      </c>
      <c r="F5244" s="6" t="n">
        <f aca="false">IFERROR(MATCH(A5244&amp;"|"&amp;B5244&amp;"|"&amp;D5244,'All Song Rankings'!$T:$T,0),0)</f>
        <v>778</v>
      </c>
      <c r="G5244" s="6" t="str">
        <f aca="false">IF(F5244=0,"NOT FOUND",INDEX('All Song Rankings'!$A:$A,F5244))</f>
        <v>Heads Will Roll</v>
      </c>
      <c r="H5244" s="6" t="str">
        <f aca="false">IF(F5244=0,"NOT FOUND",INDEX('All Song Rankings'!$B:$B,F5244))</f>
        <v>Yeah Yeah Yeahs</v>
      </c>
      <c r="I5244" s="6" t="str">
        <f aca="false">IF(F5244=0,"NOT FOUND",INDEX('All Song Rankings'!$D:$D,F5244))</f>
        <v>Stephanie</v>
      </c>
      <c r="J5244" s="7" t="str">
        <f aca="false">IF(F5244=0,"NOT FOUND",IF(C5244=I5244,"SELF-VOTE",IF(COUNTIF($K:$K,K5244)&gt;1,"DUPLICATE","OK")))</f>
        <v>OK</v>
      </c>
      <c r="K5244" s="6" t="str">
        <f aca="false">A5244&amp;"|"&amp;B5244&amp;"|"&amp;C5244&amp;"|"&amp;D5244</f>
        <v>7|8|Logan|spotify:track:18oWEPapjNt32E6sCM6VLb</v>
      </c>
    </row>
    <row r="5245" customFormat="false" ht="15" hidden="false" customHeight="false" outlineLevel="0" collapsed="false">
      <c r="A5245" s="5" t="n">
        <v>7</v>
      </c>
      <c r="B5245" s="5" t="n">
        <v>8</v>
      </c>
      <c r="C5245" s="5" t="s">
        <v>128</v>
      </c>
      <c r="D5245" s="5" t="s">
        <v>2309</v>
      </c>
      <c r="E5245" s="5" t="n">
        <v>1</v>
      </c>
      <c r="F5245" s="6" t="n">
        <f aca="false">IFERROR(MATCH(A5245&amp;"|"&amp;B5245&amp;"|"&amp;D5245,'All Song Rankings'!$T:$T,0),0)</f>
        <v>780</v>
      </c>
      <c r="G5245" s="6" t="str">
        <f aca="false">IF(F5245=0,"NOT FOUND",INDEX('All Song Rankings'!$A:$A,F5245))</f>
        <v>Killer Klowns</v>
      </c>
      <c r="H5245" s="6" t="str">
        <f aca="false">IF(F5245=0,"NOT FOUND",INDEX('All Song Rankings'!$B:$B,F5245))</f>
        <v>The Dickies</v>
      </c>
      <c r="I5245" s="6" t="str">
        <f aca="false">IF(F5245=0,"NOT FOUND",INDEX('All Song Rankings'!$D:$D,F5245))</f>
        <v>Josh</v>
      </c>
      <c r="J5245" s="7" t="str">
        <f aca="false">IF(F5245=0,"NOT FOUND",IF(C5245=I5245,"SELF-VOTE",IF(COUNTIF($K:$K,K5245)&gt;1,"DUPLICATE","OK")))</f>
        <v>OK</v>
      </c>
      <c r="K5245" s="6" t="str">
        <f aca="false">A5245&amp;"|"&amp;B5245&amp;"|"&amp;C5245&amp;"|"&amp;D5245</f>
        <v>7|8|Logan|spotify:track:1dUPABHPVfHnvdLnKwYbgz</v>
      </c>
    </row>
    <row r="5246" customFormat="false" ht="15" hidden="false" customHeight="false" outlineLevel="0" collapsed="false">
      <c r="A5246" s="5" t="n">
        <v>7</v>
      </c>
      <c r="B5246" s="5" t="n">
        <v>8</v>
      </c>
      <c r="C5246" s="5" t="s">
        <v>128</v>
      </c>
      <c r="D5246" s="5" t="s">
        <v>2311</v>
      </c>
      <c r="E5246" s="5" t="n">
        <v>1</v>
      </c>
      <c r="F5246" s="6" t="n">
        <f aca="false">IFERROR(MATCH(A5246&amp;"|"&amp;B5246&amp;"|"&amp;D5246,'All Song Rankings'!$T:$T,0),0)</f>
        <v>781</v>
      </c>
      <c r="G5246" s="6" t="str">
        <f aca="false">IF(F5246=0,"NOT FOUND",INDEX('All Song Rankings'!$A:$A,F5246))</f>
        <v>Time Warp</v>
      </c>
      <c r="H5246" s="6" t="str">
        <f aca="false">IF(F5246=0,"NOT FOUND",INDEX('All Song Rankings'!$B:$B,F5246))</f>
        <v>The Rocky Horror Show Original Cast</v>
      </c>
      <c r="I5246" s="6" t="str">
        <f aca="false">IF(F5246=0,"NOT FOUND",INDEX('All Song Rankings'!$D:$D,F5246))</f>
        <v>Lisa</v>
      </c>
      <c r="J5246" s="7" t="str">
        <f aca="false">IF(F5246=0,"NOT FOUND",IF(C5246=I5246,"SELF-VOTE",IF(COUNTIF($K:$K,K5246)&gt;1,"DUPLICATE","OK")))</f>
        <v>OK</v>
      </c>
      <c r="K5246" s="6" t="str">
        <f aca="false">A5246&amp;"|"&amp;B5246&amp;"|"&amp;C5246&amp;"|"&amp;D5246</f>
        <v>7|8|Logan|spotify:track:1esIh49tNEGrXEHorSTHZ1</v>
      </c>
    </row>
    <row r="5247" customFormat="false" ht="15" hidden="false" customHeight="false" outlineLevel="0" collapsed="false">
      <c r="A5247" s="5" t="n">
        <v>7</v>
      </c>
      <c r="B5247" s="5" t="n">
        <v>8</v>
      </c>
      <c r="C5247" s="5" t="s">
        <v>128</v>
      </c>
      <c r="D5247" s="5" t="s">
        <v>2292</v>
      </c>
      <c r="E5247" s="5" t="n">
        <v>3</v>
      </c>
      <c r="F5247" s="6" t="n">
        <f aca="false">IFERROR(MATCH(A5247&amp;"|"&amp;B5247&amp;"|"&amp;D5247,'All Song Rankings'!$T:$T,0),0)</f>
        <v>774</v>
      </c>
      <c r="G5247" s="6" t="str">
        <f aca="false">IF(F5247=0,"NOT FOUND",INDEX('All Song Rankings'!$A:$A,F5247))</f>
        <v>Rocky Road to Dublin</v>
      </c>
      <c r="H5247" s="6" t="str">
        <f aca="false">IF(F5247=0,"NOT FOUND",INDEX('All Song Rankings'!$B:$B,F5247))</f>
        <v>Jack O'Connell, Brian Dunphy, Darren Holden, Sinners Movie</v>
      </c>
      <c r="I5247" s="6" t="str">
        <f aca="false">IF(F5247=0,"NOT FOUND",INDEX('All Song Rankings'!$D:$D,F5247))</f>
        <v>Kelsey</v>
      </c>
      <c r="J5247" s="7" t="str">
        <f aca="false">IF(F5247=0,"NOT FOUND",IF(C5247=I5247,"SELF-VOTE",IF(COUNTIF($K:$K,K5247)&gt;1,"DUPLICATE","OK")))</f>
        <v>OK</v>
      </c>
      <c r="K5247" s="6" t="str">
        <f aca="false">A5247&amp;"|"&amp;B5247&amp;"|"&amp;C5247&amp;"|"&amp;D5247</f>
        <v>7|8|Logan|spotify:track:1esmJ8t2PRbYt2yMx2aSEW</v>
      </c>
    </row>
    <row r="5248" customFormat="false" ht="15" hidden="false" customHeight="false" outlineLevel="0" collapsed="false">
      <c r="A5248" s="5" t="n">
        <v>7</v>
      </c>
      <c r="B5248" s="5" t="n">
        <v>8</v>
      </c>
      <c r="C5248" s="5" t="s">
        <v>128</v>
      </c>
      <c r="D5248" s="5" t="s">
        <v>2319</v>
      </c>
      <c r="E5248" s="5" t="n">
        <v>2</v>
      </c>
      <c r="F5248" s="6" t="n">
        <f aca="false">IFERROR(MATCH(A5248&amp;"|"&amp;B5248&amp;"|"&amp;D5248,'All Song Rankings'!$T:$T,0),0)</f>
        <v>784</v>
      </c>
      <c r="G5248" s="6" t="str">
        <f aca="false">IF(F5248=0,"NOT FOUND",INDEX('All Song Rankings'!$A:$A,F5248))</f>
        <v>Disturbia</v>
      </c>
      <c r="H5248" s="6" t="str">
        <f aca="false">IF(F5248=0,"NOT FOUND",INDEX('All Song Rankings'!$B:$B,F5248))</f>
        <v>Rihanna</v>
      </c>
      <c r="I5248" s="6" t="str">
        <f aca="false">IF(F5248=0,"NOT FOUND",INDEX('All Song Rankings'!$D:$D,F5248))</f>
        <v>Leah</v>
      </c>
      <c r="J5248" s="7" t="str">
        <f aca="false">IF(F5248=0,"NOT FOUND",IF(C5248=I5248,"SELF-VOTE",IF(COUNTIF($K:$K,K5248)&gt;1,"DUPLICATE","OK")))</f>
        <v>OK</v>
      </c>
      <c r="K5248" s="6" t="str">
        <f aca="false">A5248&amp;"|"&amp;B5248&amp;"|"&amp;C5248&amp;"|"&amp;D5248</f>
        <v>7|8|Logan|spotify:track:2VOomzT6VavJOGBeySqaMc</v>
      </c>
    </row>
    <row r="5249" customFormat="false" ht="15" hidden="false" customHeight="false" outlineLevel="0" collapsed="false">
      <c r="A5249" s="5" t="n">
        <v>7</v>
      </c>
      <c r="B5249" s="5" t="n">
        <v>8</v>
      </c>
      <c r="C5249" s="5" t="s">
        <v>128</v>
      </c>
      <c r="D5249" s="5" t="s">
        <v>2295</v>
      </c>
      <c r="E5249" s="5" t="n">
        <v>2</v>
      </c>
      <c r="F5249" s="6" t="n">
        <f aca="false">IFERROR(MATCH(A5249&amp;"|"&amp;B5249&amp;"|"&amp;D5249,'All Song Rankings'!$T:$T,0),0)</f>
        <v>775</v>
      </c>
      <c r="G5249" s="6" t="str">
        <f aca="false">IF(F5249=0,"NOT FOUND",INDEX('All Song Rankings'!$A:$A,F5249))</f>
        <v>Somebody's Watching Me</v>
      </c>
      <c r="H5249" s="6" t="str">
        <f aca="false">IF(F5249=0,"NOT FOUND",INDEX('All Song Rankings'!$B:$B,F5249))</f>
        <v>Rockwell</v>
      </c>
      <c r="I5249" s="6" t="str">
        <f aca="false">IF(F5249=0,"NOT FOUND",INDEX('All Song Rankings'!$D:$D,F5249))</f>
        <v>Sara</v>
      </c>
      <c r="J5249" s="7" t="str">
        <f aca="false">IF(F5249=0,"NOT FOUND",IF(C5249=I5249,"SELF-VOTE",IF(COUNTIF($K:$K,K5249)&gt;1,"DUPLICATE","OK")))</f>
        <v>OK</v>
      </c>
      <c r="K5249" s="6" t="str">
        <f aca="false">A5249&amp;"|"&amp;B5249&amp;"|"&amp;C5249&amp;"|"&amp;D5249</f>
        <v>7|8|Logan|spotify:track:7jwQlYGpOml9ETGre1HqGA</v>
      </c>
    </row>
    <row r="5250" customFormat="false" ht="15" hidden="false" customHeight="false" outlineLevel="0" collapsed="false">
      <c r="A5250" s="5" t="n">
        <v>7</v>
      </c>
      <c r="B5250" s="5" t="n">
        <v>8</v>
      </c>
      <c r="C5250" s="5" t="s">
        <v>2019</v>
      </c>
      <c r="D5250" s="5" t="s">
        <v>2322</v>
      </c>
      <c r="E5250" s="5" t="n">
        <v>1</v>
      </c>
      <c r="F5250" s="6" t="n">
        <f aca="false">IFERROR(MATCH(A5250&amp;"|"&amp;B5250&amp;"|"&amp;D5250,'All Song Rankings'!$T:$T,0),0)</f>
        <v>785</v>
      </c>
      <c r="G5250" s="6" t="str">
        <f aca="false">IF(F5250=0,"NOT FOUND",INDEX('All Song Rankings'!$A:$A,F5250))</f>
        <v>Nun painting</v>
      </c>
      <c r="H5250" s="6" t="str">
        <f aca="false">IF(F5250=0,"NOT FOUND",INDEX('All Song Rankings'!$B:$B,F5250))</f>
        <v>joseph bishara</v>
      </c>
      <c r="I5250" s="6" t="str">
        <f aca="false">IF(F5250=0,"NOT FOUND",INDEX('All Song Rankings'!$D:$D,F5250))</f>
        <v>Logan</v>
      </c>
      <c r="J5250" s="7" t="str">
        <f aca="false">IF(F5250=0,"NOT FOUND",IF(C5250=I5250,"SELF-VOTE",IF(COUNTIF($K:$K,K5250)&gt;1,"DUPLICATE","OK")))</f>
        <v>OK</v>
      </c>
      <c r="K5250" s="6" t="str">
        <f aca="false">A5250&amp;"|"&amp;B5250&amp;"|"&amp;C5250&amp;"|"&amp;D5250</f>
        <v>7|8|Lucia|spotify:track:0xWs8OMHsWdqSvfDxhkmiw</v>
      </c>
    </row>
    <row r="5251" customFormat="false" ht="15" hidden="false" customHeight="false" outlineLevel="0" collapsed="false">
      <c r="A5251" s="5" t="n">
        <v>7</v>
      </c>
      <c r="B5251" s="5" t="n">
        <v>8</v>
      </c>
      <c r="C5251" s="5" t="s">
        <v>2019</v>
      </c>
      <c r="D5251" s="5" t="s">
        <v>2303</v>
      </c>
      <c r="E5251" s="5" t="n">
        <v>1</v>
      </c>
      <c r="F5251" s="6" t="n">
        <f aca="false">IFERROR(MATCH(A5251&amp;"|"&amp;B5251&amp;"|"&amp;D5251,'All Song Rankings'!$T:$T,0),0)</f>
        <v>778</v>
      </c>
      <c r="G5251" s="6" t="str">
        <f aca="false">IF(F5251=0,"NOT FOUND",INDEX('All Song Rankings'!$A:$A,F5251))</f>
        <v>Heads Will Roll</v>
      </c>
      <c r="H5251" s="6" t="str">
        <f aca="false">IF(F5251=0,"NOT FOUND",INDEX('All Song Rankings'!$B:$B,F5251))</f>
        <v>Yeah Yeah Yeahs</v>
      </c>
      <c r="I5251" s="6" t="str">
        <f aca="false">IF(F5251=0,"NOT FOUND",INDEX('All Song Rankings'!$D:$D,F5251))</f>
        <v>Stephanie</v>
      </c>
      <c r="J5251" s="7" t="str">
        <f aca="false">IF(F5251=0,"NOT FOUND",IF(C5251=I5251,"SELF-VOTE",IF(COUNTIF($K:$K,K5251)&gt;1,"DUPLICATE","OK")))</f>
        <v>OK</v>
      </c>
      <c r="K5251" s="6" t="str">
        <f aca="false">A5251&amp;"|"&amp;B5251&amp;"|"&amp;C5251&amp;"|"&amp;D5251</f>
        <v>7|8|Lucia|spotify:track:18oWEPapjNt32E6sCM6VLb</v>
      </c>
    </row>
    <row r="5252" customFormat="false" ht="15" hidden="false" customHeight="false" outlineLevel="0" collapsed="false">
      <c r="A5252" s="5" t="n">
        <v>7</v>
      </c>
      <c r="B5252" s="5" t="n">
        <v>8</v>
      </c>
      <c r="C5252" s="5" t="s">
        <v>2019</v>
      </c>
      <c r="D5252" s="5" t="s">
        <v>2327</v>
      </c>
      <c r="E5252" s="5" t="n">
        <v>1</v>
      </c>
      <c r="F5252" s="6" t="n">
        <f aca="false">IFERROR(MATCH(A5252&amp;"|"&amp;B5252&amp;"|"&amp;D5252,'All Song Rankings'!$T:$T,0),0)</f>
        <v>787</v>
      </c>
      <c r="G5252" s="6" t="str">
        <f aca="false">IF(F5252=0,"NOT FOUND",INDEX('All Song Rankings'!$A:$A,F5252))</f>
        <v>Crawling in the Dark</v>
      </c>
      <c r="H5252" s="6" t="str">
        <f aca="false">IF(F5252=0,"NOT FOUND",INDEX('All Song Rankings'!$B:$B,F5252))</f>
        <v>Hoobastank</v>
      </c>
      <c r="I5252" s="6" t="str">
        <f aca="false">IF(F5252=0,"NOT FOUND",INDEX('All Song Rankings'!$D:$D,F5252))</f>
        <v>Colleen</v>
      </c>
      <c r="J5252" s="7" t="str">
        <f aca="false">IF(F5252=0,"NOT FOUND",IF(C5252=I5252,"SELF-VOTE",IF(COUNTIF($K:$K,K5252)&gt;1,"DUPLICATE","OK")))</f>
        <v>OK</v>
      </c>
      <c r="K5252" s="6" t="str">
        <f aca="false">A5252&amp;"|"&amp;B5252&amp;"|"&amp;C5252&amp;"|"&amp;D5252</f>
        <v>7|8|Lucia|spotify:track:1PJRDeZSoZk7gtisdTYfLi</v>
      </c>
    </row>
    <row r="5253" customFormat="false" ht="15" hidden="false" customHeight="false" outlineLevel="0" collapsed="false">
      <c r="A5253" s="5" t="n">
        <v>7</v>
      </c>
      <c r="B5253" s="5" t="n">
        <v>8</v>
      </c>
      <c r="C5253" s="5" t="s">
        <v>2019</v>
      </c>
      <c r="D5253" s="5" t="s">
        <v>2324</v>
      </c>
      <c r="E5253" s="5" t="n">
        <v>1</v>
      </c>
      <c r="F5253" s="6" t="n">
        <f aca="false">IFERROR(MATCH(A5253&amp;"|"&amp;B5253&amp;"|"&amp;D5253,'All Song Rankings'!$T:$T,0),0)</f>
        <v>786</v>
      </c>
      <c r="G5253" s="6" t="str">
        <f aca="false">IF(F5253=0,"NOT FOUND",INDEX('All Song Rankings'!$A:$A,F5253))</f>
        <v>Tip Toe Thru' the Tulips with Me</v>
      </c>
      <c r="H5253" s="6" t="str">
        <f aca="false">IF(F5253=0,"NOT FOUND",INDEX('All Song Rankings'!$B:$B,F5253))</f>
        <v>Tiny Tim</v>
      </c>
      <c r="I5253" s="6" t="str">
        <f aca="false">IF(F5253=0,"NOT FOUND",INDEX('All Song Rankings'!$D:$D,F5253))</f>
        <v>Grace</v>
      </c>
      <c r="J5253" s="7" t="str">
        <f aca="false">IF(F5253=0,"NOT FOUND",IF(C5253=I5253,"SELF-VOTE",IF(COUNTIF($K:$K,K5253)&gt;1,"DUPLICATE","OK")))</f>
        <v>OK</v>
      </c>
      <c r="K5253" s="6" t="str">
        <f aca="false">A5253&amp;"|"&amp;B5253&amp;"|"&amp;C5253&amp;"|"&amp;D5253</f>
        <v>7|8|Lucia|spotify:track:1Vchex0xowRj9k59RLvRfo</v>
      </c>
    </row>
    <row r="5254" customFormat="false" ht="15" hidden="false" customHeight="false" outlineLevel="0" collapsed="false">
      <c r="A5254" s="5" t="n">
        <v>7</v>
      </c>
      <c r="B5254" s="5" t="n">
        <v>8</v>
      </c>
      <c r="C5254" s="5" t="s">
        <v>2019</v>
      </c>
      <c r="D5254" s="5" t="s">
        <v>2311</v>
      </c>
      <c r="E5254" s="5" t="n">
        <v>1</v>
      </c>
      <c r="F5254" s="6" t="n">
        <f aca="false">IFERROR(MATCH(A5254&amp;"|"&amp;B5254&amp;"|"&amp;D5254,'All Song Rankings'!$T:$T,0),0)</f>
        <v>781</v>
      </c>
      <c r="G5254" s="6" t="str">
        <f aca="false">IF(F5254=0,"NOT FOUND",INDEX('All Song Rankings'!$A:$A,F5254))</f>
        <v>Time Warp</v>
      </c>
      <c r="H5254" s="6" t="str">
        <f aca="false">IF(F5254=0,"NOT FOUND",INDEX('All Song Rankings'!$B:$B,F5254))</f>
        <v>The Rocky Horror Show Original Cast</v>
      </c>
      <c r="I5254" s="6" t="str">
        <f aca="false">IF(F5254=0,"NOT FOUND",INDEX('All Song Rankings'!$D:$D,F5254))</f>
        <v>Lisa</v>
      </c>
      <c r="J5254" s="7" t="str">
        <f aca="false">IF(F5254=0,"NOT FOUND",IF(C5254=I5254,"SELF-VOTE",IF(COUNTIF($K:$K,K5254)&gt;1,"DUPLICATE","OK")))</f>
        <v>OK</v>
      </c>
      <c r="K5254" s="6" t="str">
        <f aca="false">A5254&amp;"|"&amp;B5254&amp;"|"&amp;C5254&amp;"|"&amp;D5254</f>
        <v>7|8|Lucia|spotify:track:1esIh49tNEGrXEHorSTHZ1</v>
      </c>
    </row>
    <row r="5255" customFormat="false" ht="15" hidden="false" customHeight="false" outlineLevel="0" collapsed="false">
      <c r="A5255" s="5" t="n">
        <v>7</v>
      </c>
      <c r="B5255" s="5" t="n">
        <v>8</v>
      </c>
      <c r="C5255" s="5" t="s">
        <v>2019</v>
      </c>
      <c r="D5255" s="5" t="s">
        <v>2319</v>
      </c>
      <c r="E5255" s="5" t="n">
        <v>1</v>
      </c>
      <c r="F5255" s="6" t="n">
        <f aca="false">IFERROR(MATCH(A5255&amp;"|"&amp;B5255&amp;"|"&amp;D5255,'All Song Rankings'!$T:$T,0),0)</f>
        <v>784</v>
      </c>
      <c r="G5255" s="6" t="str">
        <f aca="false">IF(F5255=0,"NOT FOUND",INDEX('All Song Rankings'!$A:$A,F5255))</f>
        <v>Disturbia</v>
      </c>
      <c r="H5255" s="6" t="str">
        <f aca="false">IF(F5255=0,"NOT FOUND",INDEX('All Song Rankings'!$B:$B,F5255))</f>
        <v>Rihanna</v>
      </c>
      <c r="I5255" s="6" t="str">
        <f aca="false">IF(F5255=0,"NOT FOUND",INDEX('All Song Rankings'!$D:$D,F5255))</f>
        <v>Leah</v>
      </c>
      <c r="J5255" s="7" t="str">
        <f aca="false">IF(F5255=0,"NOT FOUND",IF(C5255=I5255,"SELF-VOTE",IF(COUNTIF($K:$K,K5255)&gt;1,"DUPLICATE","OK")))</f>
        <v>OK</v>
      </c>
      <c r="K5255" s="6" t="str">
        <f aca="false">A5255&amp;"|"&amp;B5255&amp;"|"&amp;C5255&amp;"|"&amp;D5255</f>
        <v>7|8|Lucia|spotify:track:2VOomzT6VavJOGBeySqaMc</v>
      </c>
    </row>
    <row r="5256" customFormat="false" ht="15" hidden="false" customHeight="false" outlineLevel="0" collapsed="false">
      <c r="A5256" s="5" t="n">
        <v>7</v>
      </c>
      <c r="B5256" s="5" t="n">
        <v>8</v>
      </c>
      <c r="C5256" s="5" t="s">
        <v>2019</v>
      </c>
      <c r="D5256" s="5" t="s">
        <v>2297</v>
      </c>
      <c r="E5256" s="5" t="n">
        <v>2</v>
      </c>
      <c r="F5256" s="6" t="n">
        <f aca="false">IFERROR(MATCH(A5256&amp;"|"&amp;B5256&amp;"|"&amp;D5256,'All Song Rankings'!$T:$T,0),0)</f>
        <v>776</v>
      </c>
      <c r="G5256" s="6" t="str">
        <f aca="false">IF(F5256=0,"NOT FOUND",INDEX('All Song Rankings'!$A:$A,F5256))</f>
        <v>Sweet Dreams (Are Made Of This)</v>
      </c>
      <c r="H5256" s="6" t="str">
        <f aca="false">IF(F5256=0,"NOT FOUND",INDEX('All Song Rankings'!$B:$B,F5256))</f>
        <v>Marilyn Manson</v>
      </c>
      <c r="I5256" s="6" t="str">
        <f aca="false">IF(F5256=0,"NOT FOUND",INDEX('All Song Rankings'!$D:$D,F5256))</f>
        <v>Kristen</v>
      </c>
      <c r="J5256" s="7" t="str">
        <f aca="false">IF(F5256=0,"NOT FOUND",IF(C5256=I5256,"SELF-VOTE",IF(COUNTIF($K:$K,K5256)&gt;1,"DUPLICATE","OK")))</f>
        <v>OK</v>
      </c>
      <c r="K5256" s="6" t="str">
        <f aca="false">A5256&amp;"|"&amp;B5256&amp;"|"&amp;C5256&amp;"|"&amp;D5256</f>
        <v>7|8|Lucia|spotify:track:3D0bXrSv7O73vOaGOG8J9c</v>
      </c>
    </row>
    <row r="5257" customFormat="false" ht="15" hidden="false" customHeight="false" outlineLevel="0" collapsed="false">
      <c r="A5257" s="5" t="n">
        <v>7</v>
      </c>
      <c r="B5257" s="5" t="n">
        <v>8</v>
      </c>
      <c r="C5257" s="5" t="s">
        <v>2019</v>
      </c>
      <c r="D5257" s="5" t="s">
        <v>2300</v>
      </c>
      <c r="E5257" s="5" t="n">
        <v>1</v>
      </c>
      <c r="F5257" s="6" t="n">
        <f aca="false">IFERROR(MATCH(A5257&amp;"|"&amp;B5257&amp;"|"&amp;D5257,'All Song Rankings'!$T:$T,0),0)</f>
        <v>777</v>
      </c>
      <c r="G5257" s="6" t="str">
        <f aca="false">IF(F5257=0,"NOT FOUND",INDEX('All Song Rankings'!$A:$A,F5257))</f>
        <v>Haunted</v>
      </c>
      <c r="H5257" s="6" t="str">
        <f aca="false">IF(F5257=0,"NOT FOUND",INDEX('All Song Rankings'!$B:$B,F5257))</f>
        <v>Evanescence</v>
      </c>
      <c r="I5257" s="6" t="str">
        <f aca="false">IF(F5257=0,"NOT FOUND",INDEX('All Song Rankings'!$D:$D,F5257))</f>
        <v>Christine</v>
      </c>
      <c r="J5257" s="7" t="str">
        <f aca="false">IF(F5257=0,"NOT FOUND",IF(C5257=I5257,"SELF-VOTE",IF(COUNTIF($K:$K,K5257)&gt;1,"DUPLICATE","OK")))</f>
        <v>OK</v>
      </c>
      <c r="K5257" s="6" t="str">
        <f aca="false">A5257&amp;"|"&amp;B5257&amp;"|"&amp;C5257&amp;"|"&amp;D5257</f>
        <v>7|8|Lucia|spotify:track:6Z77oDcn6iI1MHFCBPjl24</v>
      </c>
    </row>
    <row r="5258" customFormat="false" ht="15" hidden="false" customHeight="false" outlineLevel="0" collapsed="false">
      <c r="A5258" s="5" t="n">
        <v>7</v>
      </c>
      <c r="B5258" s="5" t="n">
        <v>8</v>
      </c>
      <c r="C5258" s="5" t="s">
        <v>2019</v>
      </c>
      <c r="D5258" s="5" t="s">
        <v>2295</v>
      </c>
      <c r="E5258" s="5" t="n">
        <v>1</v>
      </c>
      <c r="F5258" s="6" t="n">
        <f aca="false">IFERROR(MATCH(A5258&amp;"|"&amp;B5258&amp;"|"&amp;D5258,'All Song Rankings'!$T:$T,0),0)</f>
        <v>775</v>
      </c>
      <c r="G5258" s="6" t="str">
        <f aca="false">IF(F5258=0,"NOT FOUND",INDEX('All Song Rankings'!$A:$A,F5258))</f>
        <v>Somebody's Watching Me</v>
      </c>
      <c r="H5258" s="6" t="str">
        <f aca="false">IF(F5258=0,"NOT FOUND",INDEX('All Song Rankings'!$B:$B,F5258))</f>
        <v>Rockwell</v>
      </c>
      <c r="I5258" s="6" t="str">
        <f aca="false">IF(F5258=0,"NOT FOUND",INDEX('All Song Rankings'!$D:$D,F5258))</f>
        <v>Sara</v>
      </c>
      <c r="J5258" s="7" t="str">
        <f aca="false">IF(F5258=0,"NOT FOUND",IF(C5258=I5258,"SELF-VOTE",IF(COUNTIF($K:$K,K5258)&gt;1,"DUPLICATE","OK")))</f>
        <v>OK</v>
      </c>
      <c r="K5258" s="6" t="str">
        <f aca="false">A5258&amp;"|"&amp;B5258&amp;"|"&amp;C5258&amp;"|"&amp;D5258</f>
        <v>7|8|Lucia|spotify:track:7jwQlYGpOml9ETGre1HqGA</v>
      </c>
    </row>
    <row r="5259" customFormat="false" ht="15" hidden="false" customHeight="false" outlineLevel="0" collapsed="false">
      <c r="A5259" s="5" t="n">
        <v>7</v>
      </c>
      <c r="B5259" s="5" t="n">
        <v>8</v>
      </c>
      <c r="C5259" s="5" t="s">
        <v>116</v>
      </c>
      <c r="D5259" s="5" t="s">
        <v>2317</v>
      </c>
      <c r="E5259" s="5" t="n">
        <v>1</v>
      </c>
      <c r="F5259" s="6" t="n">
        <f aca="false">IFERROR(MATCH(A5259&amp;"|"&amp;B5259&amp;"|"&amp;D5259,'All Song Rankings'!$T:$T,0),0)</f>
        <v>783</v>
      </c>
      <c r="G5259" s="6" t="str">
        <f aca="false">IF(F5259=0,"NOT FOUND",INDEX('All Song Rankings'!$A:$A,F5259))</f>
        <v>Animal</v>
      </c>
      <c r="H5259" s="6" t="str">
        <f aca="false">IF(F5259=0,"NOT FOUND",INDEX('All Song Rankings'!$B:$B,F5259))</f>
        <v>Badflower</v>
      </c>
      <c r="I5259" s="6" t="str">
        <f aca="false">IF(F5259=0,"NOT FOUND",INDEX('All Song Rankings'!$D:$D,F5259))</f>
        <v>Scott</v>
      </c>
      <c r="J5259" s="7" t="str">
        <f aca="false">IF(F5259=0,"NOT FOUND",IF(C5259=I5259,"SELF-VOTE",IF(COUNTIF($K:$K,K5259)&gt;1,"DUPLICATE","OK")))</f>
        <v>OK</v>
      </c>
      <c r="K5259" s="6" t="str">
        <f aca="false">A5259&amp;"|"&amp;B5259&amp;"|"&amp;C5259&amp;"|"&amp;D5259</f>
        <v>7|8|Matt|spotify:track:0CBM2iiBZmfKntDeQYboqU</v>
      </c>
    </row>
    <row r="5260" customFormat="false" ht="15" hidden="false" customHeight="false" outlineLevel="0" collapsed="false">
      <c r="A5260" s="5" t="n">
        <v>7</v>
      </c>
      <c r="B5260" s="5" t="n">
        <v>8</v>
      </c>
      <c r="C5260" s="5" t="s">
        <v>116</v>
      </c>
      <c r="D5260" s="5" t="s">
        <v>2322</v>
      </c>
      <c r="E5260" s="5" t="n">
        <v>1</v>
      </c>
      <c r="F5260" s="6" t="n">
        <f aca="false">IFERROR(MATCH(A5260&amp;"|"&amp;B5260&amp;"|"&amp;D5260,'All Song Rankings'!$T:$T,0),0)</f>
        <v>785</v>
      </c>
      <c r="G5260" s="6" t="str">
        <f aca="false">IF(F5260=0,"NOT FOUND",INDEX('All Song Rankings'!$A:$A,F5260))</f>
        <v>Nun painting</v>
      </c>
      <c r="H5260" s="6" t="str">
        <f aca="false">IF(F5260=0,"NOT FOUND",INDEX('All Song Rankings'!$B:$B,F5260))</f>
        <v>joseph bishara</v>
      </c>
      <c r="I5260" s="6" t="str">
        <f aca="false">IF(F5260=0,"NOT FOUND",INDEX('All Song Rankings'!$D:$D,F5260))</f>
        <v>Logan</v>
      </c>
      <c r="J5260" s="7" t="str">
        <f aca="false">IF(F5260=0,"NOT FOUND",IF(C5260=I5260,"SELF-VOTE",IF(COUNTIF($K:$K,K5260)&gt;1,"DUPLICATE","OK")))</f>
        <v>OK</v>
      </c>
      <c r="K5260" s="6" t="str">
        <f aca="false">A5260&amp;"|"&amp;B5260&amp;"|"&amp;C5260&amp;"|"&amp;D5260</f>
        <v>7|8|Matt|spotify:track:0xWs8OMHsWdqSvfDxhkmiw</v>
      </c>
    </row>
    <row r="5261" customFormat="false" ht="15" hidden="false" customHeight="false" outlineLevel="0" collapsed="false">
      <c r="A5261" s="5" t="n">
        <v>7</v>
      </c>
      <c r="B5261" s="5" t="n">
        <v>8</v>
      </c>
      <c r="C5261" s="5" t="s">
        <v>116</v>
      </c>
      <c r="D5261" s="5" t="s">
        <v>2303</v>
      </c>
      <c r="E5261" s="5" t="n">
        <v>1</v>
      </c>
      <c r="F5261" s="6" t="n">
        <f aca="false">IFERROR(MATCH(A5261&amp;"|"&amp;B5261&amp;"|"&amp;D5261,'All Song Rankings'!$T:$T,0),0)</f>
        <v>778</v>
      </c>
      <c r="G5261" s="6" t="str">
        <f aca="false">IF(F5261=0,"NOT FOUND",INDEX('All Song Rankings'!$A:$A,F5261))</f>
        <v>Heads Will Roll</v>
      </c>
      <c r="H5261" s="6" t="str">
        <f aca="false">IF(F5261=0,"NOT FOUND",INDEX('All Song Rankings'!$B:$B,F5261))</f>
        <v>Yeah Yeah Yeahs</v>
      </c>
      <c r="I5261" s="6" t="str">
        <f aca="false">IF(F5261=0,"NOT FOUND",INDEX('All Song Rankings'!$D:$D,F5261))</f>
        <v>Stephanie</v>
      </c>
      <c r="J5261" s="7" t="str">
        <f aca="false">IF(F5261=0,"NOT FOUND",IF(C5261=I5261,"SELF-VOTE",IF(COUNTIF($K:$K,K5261)&gt;1,"DUPLICATE","OK")))</f>
        <v>OK</v>
      </c>
      <c r="K5261" s="6" t="str">
        <f aca="false">A5261&amp;"|"&amp;B5261&amp;"|"&amp;C5261&amp;"|"&amp;D5261</f>
        <v>7|8|Matt|spotify:track:18oWEPapjNt32E6sCM6VLb</v>
      </c>
    </row>
    <row r="5262" customFormat="false" ht="15" hidden="false" customHeight="false" outlineLevel="0" collapsed="false">
      <c r="A5262" s="5" t="n">
        <v>7</v>
      </c>
      <c r="B5262" s="5" t="n">
        <v>8</v>
      </c>
      <c r="C5262" s="5" t="s">
        <v>116</v>
      </c>
      <c r="D5262" s="5" t="s">
        <v>2327</v>
      </c>
      <c r="E5262" s="5" t="n">
        <v>1</v>
      </c>
      <c r="F5262" s="6" t="n">
        <f aca="false">IFERROR(MATCH(A5262&amp;"|"&amp;B5262&amp;"|"&amp;D5262,'All Song Rankings'!$T:$T,0),0)</f>
        <v>787</v>
      </c>
      <c r="G5262" s="6" t="str">
        <f aca="false">IF(F5262=0,"NOT FOUND",INDEX('All Song Rankings'!$A:$A,F5262))</f>
        <v>Crawling in the Dark</v>
      </c>
      <c r="H5262" s="6" t="str">
        <f aca="false">IF(F5262=0,"NOT FOUND",INDEX('All Song Rankings'!$B:$B,F5262))</f>
        <v>Hoobastank</v>
      </c>
      <c r="I5262" s="6" t="str">
        <f aca="false">IF(F5262=0,"NOT FOUND",INDEX('All Song Rankings'!$D:$D,F5262))</f>
        <v>Colleen</v>
      </c>
      <c r="J5262" s="7" t="str">
        <f aca="false">IF(F5262=0,"NOT FOUND",IF(C5262=I5262,"SELF-VOTE",IF(COUNTIF($K:$K,K5262)&gt;1,"DUPLICATE","OK")))</f>
        <v>OK</v>
      </c>
      <c r="K5262" s="6" t="str">
        <f aca="false">A5262&amp;"|"&amp;B5262&amp;"|"&amp;C5262&amp;"|"&amp;D5262</f>
        <v>7|8|Matt|spotify:track:1PJRDeZSoZk7gtisdTYfLi</v>
      </c>
    </row>
    <row r="5263" customFormat="false" ht="15" hidden="false" customHeight="false" outlineLevel="0" collapsed="false">
      <c r="A5263" s="5" t="n">
        <v>7</v>
      </c>
      <c r="B5263" s="5" t="n">
        <v>8</v>
      </c>
      <c r="C5263" s="5" t="s">
        <v>116</v>
      </c>
      <c r="D5263" s="5" t="s">
        <v>2311</v>
      </c>
      <c r="E5263" s="5" t="n">
        <v>1</v>
      </c>
      <c r="F5263" s="6" t="n">
        <f aca="false">IFERROR(MATCH(A5263&amp;"|"&amp;B5263&amp;"|"&amp;D5263,'All Song Rankings'!$T:$T,0),0)</f>
        <v>781</v>
      </c>
      <c r="G5263" s="6" t="str">
        <f aca="false">IF(F5263=0,"NOT FOUND",INDEX('All Song Rankings'!$A:$A,F5263))</f>
        <v>Time Warp</v>
      </c>
      <c r="H5263" s="6" t="str">
        <f aca="false">IF(F5263=0,"NOT FOUND",INDEX('All Song Rankings'!$B:$B,F5263))</f>
        <v>The Rocky Horror Show Original Cast</v>
      </c>
      <c r="I5263" s="6" t="str">
        <f aca="false">IF(F5263=0,"NOT FOUND",INDEX('All Song Rankings'!$D:$D,F5263))</f>
        <v>Lisa</v>
      </c>
      <c r="J5263" s="7" t="str">
        <f aca="false">IF(F5263=0,"NOT FOUND",IF(C5263=I5263,"SELF-VOTE",IF(COUNTIF($K:$K,K5263)&gt;1,"DUPLICATE","OK")))</f>
        <v>OK</v>
      </c>
      <c r="K5263" s="6" t="str">
        <f aca="false">A5263&amp;"|"&amp;B5263&amp;"|"&amp;C5263&amp;"|"&amp;D5263</f>
        <v>7|8|Matt|spotify:track:1esIh49tNEGrXEHorSTHZ1</v>
      </c>
    </row>
    <row r="5264" customFormat="false" ht="15" hidden="false" customHeight="false" outlineLevel="0" collapsed="false">
      <c r="A5264" s="5" t="n">
        <v>7</v>
      </c>
      <c r="B5264" s="5" t="n">
        <v>8</v>
      </c>
      <c r="C5264" s="5" t="s">
        <v>116</v>
      </c>
      <c r="D5264" s="5" t="s">
        <v>2292</v>
      </c>
      <c r="E5264" s="5" t="n">
        <v>1</v>
      </c>
      <c r="F5264" s="6" t="n">
        <f aca="false">IFERROR(MATCH(A5264&amp;"|"&amp;B5264&amp;"|"&amp;D5264,'All Song Rankings'!$T:$T,0),0)</f>
        <v>774</v>
      </c>
      <c r="G5264" s="6" t="str">
        <f aca="false">IF(F5264=0,"NOT FOUND",INDEX('All Song Rankings'!$A:$A,F5264))</f>
        <v>Rocky Road to Dublin</v>
      </c>
      <c r="H5264" s="6" t="str">
        <f aca="false">IF(F5264=0,"NOT FOUND",INDEX('All Song Rankings'!$B:$B,F5264))</f>
        <v>Jack O'Connell, Brian Dunphy, Darren Holden, Sinners Movie</v>
      </c>
      <c r="I5264" s="6" t="str">
        <f aca="false">IF(F5264=0,"NOT FOUND",INDEX('All Song Rankings'!$D:$D,F5264))</f>
        <v>Kelsey</v>
      </c>
      <c r="J5264" s="7" t="str">
        <f aca="false">IF(F5264=0,"NOT FOUND",IF(C5264=I5264,"SELF-VOTE",IF(COUNTIF($K:$K,K5264)&gt;1,"DUPLICATE","OK")))</f>
        <v>OK</v>
      </c>
      <c r="K5264" s="6" t="str">
        <f aca="false">A5264&amp;"|"&amp;B5264&amp;"|"&amp;C5264&amp;"|"&amp;D5264</f>
        <v>7|8|Matt|spotify:track:1esmJ8t2PRbYt2yMx2aSEW</v>
      </c>
    </row>
    <row r="5265" customFormat="false" ht="15" hidden="false" customHeight="false" outlineLevel="0" collapsed="false">
      <c r="A5265" s="5" t="n">
        <v>7</v>
      </c>
      <c r="B5265" s="5" t="n">
        <v>8</v>
      </c>
      <c r="C5265" s="5" t="s">
        <v>116</v>
      </c>
      <c r="D5265" s="5" t="s">
        <v>2297</v>
      </c>
      <c r="E5265" s="5" t="n">
        <v>1</v>
      </c>
      <c r="F5265" s="6" t="n">
        <f aca="false">IFERROR(MATCH(A5265&amp;"|"&amp;B5265&amp;"|"&amp;D5265,'All Song Rankings'!$T:$T,0),0)</f>
        <v>776</v>
      </c>
      <c r="G5265" s="6" t="str">
        <f aca="false">IF(F5265=0,"NOT FOUND",INDEX('All Song Rankings'!$A:$A,F5265))</f>
        <v>Sweet Dreams (Are Made Of This)</v>
      </c>
      <c r="H5265" s="6" t="str">
        <f aca="false">IF(F5265=0,"NOT FOUND",INDEX('All Song Rankings'!$B:$B,F5265))</f>
        <v>Marilyn Manson</v>
      </c>
      <c r="I5265" s="6" t="str">
        <f aca="false">IF(F5265=0,"NOT FOUND",INDEX('All Song Rankings'!$D:$D,F5265))</f>
        <v>Kristen</v>
      </c>
      <c r="J5265" s="7" t="str">
        <f aca="false">IF(F5265=0,"NOT FOUND",IF(C5265=I5265,"SELF-VOTE",IF(COUNTIF($K:$K,K5265)&gt;1,"DUPLICATE","OK")))</f>
        <v>OK</v>
      </c>
      <c r="K5265" s="6" t="str">
        <f aca="false">A5265&amp;"|"&amp;B5265&amp;"|"&amp;C5265&amp;"|"&amp;D5265</f>
        <v>7|8|Matt|spotify:track:3D0bXrSv7O73vOaGOG8J9c</v>
      </c>
    </row>
    <row r="5266" customFormat="false" ht="15" hidden="false" customHeight="false" outlineLevel="0" collapsed="false">
      <c r="A5266" s="5" t="n">
        <v>7</v>
      </c>
      <c r="B5266" s="5" t="n">
        <v>8</v>
      </c>
      <c r="C5266" s="5" t="s">
        <v>116</v>
      </c>
      <c r="D5266" s="5" t="s">
        <v>2300</v>
      </c>
      <c r="E5266" s="5" t="n">
        <v>1</v>
      </c>
      <c r="F5266" s="6" t="n">
        <f aca="false">IFERROR(MATCH(A5266&amp;"|"&amp;B5266&amp;"|"&amp;D5266,'All Song Rankings'!$T:$T,0),0)</f>
        <v>777</v>
      </c>
      <c r="G5266" s="6" t="str">
        <f aca="false">IF(F5266=0,"NOT FOUND",INDEX('All Song Rankings'!$A:$A,F5266))</f>
        <v>Haunted</v>
      </c>
      <c r="H5266" s="6" t="str">
        <f aca="false">IF(F5266=0,"NOT FOUND",INDEX('All Song Rankings'!$B:$B,F5266))</f>
        <v>Evanescence</v>
      </c>
      <c r="I5266" s="6" t="str">
        <f aca="false">IF(F5266=0,"NOT FOUND",INDEX('All Song Rankings'!$D:$D,F5266))</f>
        <v>Christine</v>
      </c>
      <c r="J5266" s="7" t="str">
        <f aca="false">IF(F5266=0,"NOT FOUND",IF(C5266=I5266,"SELF-VOTE",IF(COUNTIF($K:$K,K5266)&gt;1,"DUPLICATE","OK")))</f>
        <v>OK</v>
      </c>
      <c r="K5266" s="6" t="str">
        <f aca="false">A5266&amp;"|"&amp;B5266&amp;"|"&amp;C5266&amp;"|"&amp;D5266</f>
        <v>7|8|Matt|spotify:track:6Z77oDcn6iI1MHFCBPjl24</v>
      </c>
    </row>
    <row r="5267" customFormat="false" ht="15" hidden="false" customHeight="false" outlineLevel="0" collapsed="false">
      <c r="A5267" s="5" t="n">
        <v>7</v>
      </c>
      <c r="B5267" s="5" t="n">
        <v>8</v>
      </c>
      <c r="C5267" s="5" t="s">
        <v>116</v>
      </c>
      <c r="D5267" s="5" t="s">
        <v>2306</v>
      </c>
      <c r="E5267" s="5" t="n">
        <v>1</v>
      </c>
      <c r="F5267" s="6" t="n">
        <f aca="false">IFERROR(MATCH(A5267&amp;"|"&amp;B5267&amp;"|"&amp;D5267,'All Song Rankings'!$T:$T,0),0)</f>
        <v>779</v>
      </c>
      <c r="G5267" s="6" t="str">
        <f aca="false">IF(F5267=0,"NOT FOUND",INDEX('All Song Rankings'!$A:$A,F5267))</f>
        <v>Dracula</v>
      </c>
      <c r="H5267" s="6" t="str">
        <f aca="false">IF(F5267=0,"NOT FOUND",INDEX('All Song Rankings'!$B:$B,F5267))</f>
        <v>Tame Impala</v>
      </c>
      <c r="I5267" s="6" t="str">
        <f aca="false">IF(F5267=0,"NOT FOUND",INDEX('All Song Rankings'!$D:$D,F5267))</f>
        <v>Lucia</v>
      </c>
      <c r="J5267" s="7" t="str">
        <f aca="false">IF(F5267=0,"NOT FOUND",IF(C5267=I5267,"SELF-VOTE",IF(COUNTIF($K:$K,K5267)&gt;1,"DUPLICATE","OK")))</f>
        <v>OK</v>
      </c>
      <c r="K5267" s="6" t="str">
        <f aca="false">A5267&amp;"|"&amp;B5267&amp;"|"&amp;C5267&amp;"|"&amp;D5267</f>
        <v>7|8|Matt|spotify:track:709ZIqPHyFOpx2QdjmeWAM</v>
      </c>
    </row>
    <row r="5268" customFormat="false" ht="15" hidden="false" customHeight="false" outlineLevel="0" collapsed="false">
      <c r="A5268" s="5" t="n">
        <v>7</v>
      </c>
      <c r="B5268" s="5" t="n">
        <v>8</v>
      </c>
      <c r="C5268" s="5" t="s">
        <v>116</v>
      </c>
      <c r="D5268" s="5" t="s">
        <v>2295</v>
      </c>
      <c r="E5268" s="5" t="n">
        <v>1</v>
      </c>
      <c r="F5268" s="6" t="n">
        <f aca="false">IFERROR(MATCH(A5268&amp;"|"&amp;B5268&amp;"|"&amp;D5268,'All Song Rankings'!$T:$T,0),0)</f>
        <v>775</v>
      </c>
      <c r="G5268" s="6" t="str">
        <f aca="false">IF(F5268=0,"NOT FOUND",INDEX('All Song Rankings'!$A:$A,F5268))</f>
        <v>Somebody's Watching Me</v>
      </c>
      <c r="H5268" s="6" t="str">
        <f aca="false">IF(F5268=0,"NOT FOUND",INDEX('All Song Rankings'!$B:$B,F5268))</f>
        <v>Rockwell</v>
      </c>
      <c r="I5268" s="6" t="str">
        <f aca="false">IF(F5268=0,"NOT FOUND",INDEX('All Song Rankings'!$D:$D,F5268))</f>
        <v>Sara</v>
      </c>
      <c r="J5268" s="7" t="str">
        <f aca="false">IF(F5268=0,"NOT FOUND",IF(C5268=I5268,"SELF-VOTE",IF(COUNTIF($K:$K,K5268)&gt;1,"DUPLICATE","OK")))</f>
        <v>OK</v>
      </c>
      <c r="K5268" s="6" t="str">
        <f aca="false">A5268&amp;"|"&amp;B5268&amp;"|"&amp;C5268&amp;"|"&amp;D5268</f>
        <v>7|8|Matt|spotify:track:7jwQlYGpOml9ETGre1HqGA</v>
      </c>
    </row>
    <row r="5269" customFormat="false" ht="15" hidden="false" customHeight="false" outlineLevel="0" collapsed="false">
      <c r="A5269" s="5" t="n">
        <v>7</v>
      </c>
      <c r="B5269" s="5" t="n">
        <v>8</v>
      </c>
      <c r="C5269" s="5" t="s">
        <v>2052</v>
      </c>
      <c r="D5269" s="5" t="s">
        <v>2303</v>
      </c>
      <c r="E5269" s="5" t="n">
        <v>3</v>
      </c>
      <c r="F5269" s="6" t="n">
        <f aca="false">IFERROR(MATCH(A5269&amp;"|"&amp;B5269&amp;"|"&amp;D5269,'All Song Rankings'!$T:$T,0),0)</f>
        <v>778</v>
      </c>
      <c r="G5269" s="6" t="str">
        <f aca="false">IF(F5269=0,"NOT FOUND",INDEX('All Song Rankings'!$A:$A,F5269))</f>
        <v>Heads Will Roll</v>
      </c>
      <c r="H5269" s="6" t="str">
        <f aca="false">IF(F5269=0,"NOT FOUND",INDEX('All Song Rankings'!$B:$B,F5269))</f>
        <v>Yeah Yeah Yeahs</v>
      </c>
      <c r="I5269" s="6" t="str">
        <f aca="false">IF(F5269=0,"NOT FOUND",INDEX('All Song Rankings'!$D:$D,F5269))</f>
        <v>Stephanie</v>
      </c>
      <c r="J5269" s="7" t="str">
        <f aca="false">IF(F5269=0,"NOT FOUND",IF(C5269=I5269,"SELF-VOTE",IF(COUNTIF($K:$K,K5269)&gt;1,"DUPLICATE","OK")))</f>
        <v>OK</v>
      </c>
      <c r="K5269" s="6" t="str">
        <f aca="false">A5269&amp;"|"&amp;B5269&amp;"|"&amp;C5269&amp;"|"&amp;D5269</f>
        <v>7|8|Sara|spotify:track:18oWEPapjNt32E6sCM6VLb</v>
      </c>
    </row>
    <row r="5270" customFormat="false" ht="15" hidden="false" customHeight="false" outlineLevel="0" collapsed="false">
      <c r="A5270" s="5" t="n">
        <v>7</v>
      </c>
      <c r="B5270" s="5" t="n">
        <v>8</v>
      </c>
      <c r="C5270" s="5" t="s">
        <v>2052</v>
      </c>
      <c r="D5270" s="5" t="s">
        <v>2292</v>
      </c>
      <c r="E5270" s="5" t="n">
        <v>3</v>
      </c>
      <c r="F5270" s="6" t="n">
        <f aca="false">IFERROR(MATCH(A5270&amp;"|"&amp;B5270&amp;"|"&amp;D5270,'All Song Rankings'!$T:$T,0),0)</f>
        <v>774</v>
      </c>
      <c r="G5270" s="6" t="str">
        <f aca="false">IF(F5270=0,"NOT FOUND",INDEX('All Song Rankings'!$A:$A,F5270))</f>
        <v>Rocky Road to Dublin</v>
      </c>
      <c r="H5270" s="6" t="str">
        <f aca="false">IF(F5270=0,"NOT FOUND",INDEX('All Song Rankings'!$B:$B,F5270))</f>
        <v>Jack O'Connell, Brian Dunphy, Darren Holden, Sinners Movie</v>
      </c>
      <c r="I5270" s="6" t="str">
        <f aca="false">IF(F5270=0,"NOT FOUND",INDEX('All Song Rankings'!$D:$D,F5270))</f>
        <v>Kelsey</v>
      </c>
      <c r="J5270" s="7" t="str">
        <f aca="false">IF(F5270=0,"NOT FOUND",IF(C5270=I5270,"SELF-VOTE",IF(COUNTIF($K:$K,K5270)&gt;1,"DUPLICATE","OK")))</f>
        <v>OK</v>
      </c>
      <c r="K5270" s="6" t="str">
        <f aca="false">A5270&amp;"|"&amp;B5270&amp;"|"&amp;C5270&amp;"|"&amp;D5270</f>
        <v>7|8|Sara|spotify:track:1esmJ8t2PRbYt2yMx2aSEW</v>
      </c>
    </row>
    <row r="5271" customFormat="false" ht="15" hidden="false" customHeight="false" outlineLevel="0" collapsed="false">
      <c r="A5271" s="5" t="n">
        <v>7</v>
      </c>
      <c r="B5271" s="5" t="n">
        <v>8</v>
      </c>
      <c r="C5271" s="5" t="s">
        <v>2052</v>
      </c>
      <c r="D5271" s="5" t="s">
        <v>2319</v>
      </c>
      <c r="E5271" s="5" t="n">
        <v>2</v>
      </c>
      <c r="F5271" s="6" t="n">
        <f aca="false">IFERROR(MATCH(A5271&amp;"|"&amp;B5271&amp;"|"&amp;D5271,'All Song Rankings'!$T:$T,0),0)</f>
        <v>784</v>
      </c>
      <c r="G5271" s="6" t="str">
        <f aca="false">IF(F5271=0,"NOT FOUND",INDEX('All Song Rankings'!$A:$A,F5271))</f>
        <v>Disturbia</v>
      </c>
      <c r="H5271" s="6" t="str">
        <f aca="false">IF(F5271=0,"NOT FOUND",INDEX('All Song Rankings'!$B:$B,F5271))</f>
        <v>Rihanna</v>
      </c>
      <c r="I5271" s="6" t="str">
        <f aca="false">IF(F5271=0,"NOT FOUND",INDEX('All Song Rankings'!$D:$D,F5271))</f>
        <v>Leah</v>
      </c>
      <c r="J5271" s="7" t="str">
        <f aca="false">IF(F5271=0,"NOT FOUND",IF(C5271=I5271,"SELF-VOTE",IF(COUNTIF($K:$K,K5271)&gt;1,"DUPLICATE","OK")))</f>
        <v>OK</v>
      </c>
      <c r="K5271" s="6" t="str">
        <f aca="false">A5271&amp;"|"&amp;B5271&amp;"|"&amp;C5271&amp;"|"&amp;D5271</f>
        <v>7|8|Sara|spotify:track:2VOomzT6VavJOGBeySqaMc</v>
      </c>
    </row>
    <row r="5272" customFormat="false" ht="15" hidden="false" customHeight="false" outlineLevel="0" collapsed="false">
      <c r="A5272" s="5" t="n">
        <v>7</v>
      </c>
      <c r="B5272" s="5" t="n">
        <v>8</v>
      </c>
      <c r="C5272" s="5" t="s">
        <v>2052</v>
      </c>
      <c r="D5272" s="5" t="s">
        <v>2297</v>
      </c>
      <c r="E5272" s="5" t="n">
        <v>1</v>
      </c>
      <c r="F5272" s="6" t="n">
        <f aca="false">IFERROR(MATCH(A5272&amp;"|"&amp;B5272&amp;"|"&amp;D5272,'All Song Rankings'!$T:$T,0),0)</f>
        <v>776</v>
      </c>
      <c r="G5272" s="6" t="str">
        <f aca="false">IF(F5272=0,"NOT FOUND",INDEX('All Song Rankings'!$A:$A,F5272))</f>
        <v>Sweet Dreams (Are Made Of This)</v>
      </c>
      <c r="H5272" s="6" t="str">
        <f aca="false">IF(F5272=0,"NOT FOUND",INDEX('All Song Rankings'!$B:$B,F5272))</f>
        <v>Marilyn Manson</v>
      </c>
      <c r="I5272" s="6" t="str">
        <f aca="false">IF(F5272=0,"NOT FOUND",INDEX('All Song Rankings'!$D:$D,F5272))</f>
        <v>Kristen</v>
      </c>
      <c r="J5272" s="7" t="str">
        <f aca="false">IF(F5272=0,"NOT FOUND",IF(C5272=I5272,"SELF-VOTE",IF(COUNTIF($K:$K,K5272)&gt;1,"DUPLICATE","OK")))</f>
        <v>OK</v>
      </c>
      <c r="K5272" s="6" t="str">
        <f aca="false">A5272&amp;"|"&amp;B5272&amp;"|"&amp;C5272&amp;"|"&amp;D5272</f>
        <v>7|8|Sara|spotify:track:3D0bXrSv7O73vOaGOG8J9c</v>
      </c>
    </row>
    <row r="5273" customFormat="false" ht="15" hidden="false" customHeight="false" outlineLevel="0" collapsed="false">
      <c r="A5273" s="5" t="n">
        <v>7</v>
      </c>
      <c r="B5273" s="5" t="n">
        <v>8</v>
      </c>
      <c r="C5273" s="5" t="s">
        <v>2052</v>
      </c>
      <c r="D5273" s="5" t="s">
        <v>2306</v>
      </c>
      <c r="E5273" s="5" t="n">
        <v>1</v>
      </c>
      <c r="F5273" s="6" t="n">
        <f aca="false">IFERROR(MATCH(A5273&amp;"|"&amp;B5273&amp;"|"&amp;D5273,'All Song Rankings'!$T:$T,0),0)</f>
        <v>779</v>
      </c>
      <c r="G5273" s="6" t="str">
        <f aca="false">IF(F5273=0,"NOT FOUND",INDEX('All Song Rankings'!$A:$A,F5273))</f>
        <v>Dracula</v>
      </c>
      <c r="H5273" s="6" t="str">
        <f aca="false">IF(F5273=0,"NOT FOUND",INDEX('All Song Rankings'!$B:$B,F5273))</f>
        <v>Tame Impala</v>
      </c>
      <c r="I5273" s="6" t="str">
        <f aca="false">IF(F5273=0,"NOT FOUND",INDEX('All Song Rankings'!$D:$D,F5273))</f>
        <v>Lucia</v>
      </c>
      <c r="J5273" s="7" t="str">
        <f aca="false">IF(F5273=0,"NOT FOUND",IF(C5273=I5273,"SELF-VOTE",IF(COUNTIF($K:$K,K5273)&gt;1,"DUPLICATE","OK")))</f>
        <v>OK</v>
      </c>
      <c r="K5273" s="6" t="str">
        <f aca="false">A5273&amp;"|"&amp;B5273&amp;"|"&amp;C5273&amp;"|"&amp;D5273</f>
        <v>7|8|Sara|spotify:track:709ZIqPHyFOpx2QdjmeWAM</v>
      </c>
    </row>
    <row r="5274" customFormat="false" ht="15" hidden="false" customHeight="false" outlineLevel="0" collapsed="false">
      <c r="A5274" s="5" t="n">
        <v>7</v>
      </c>
      <c r="B5274" s="5" t="n">
        <v>8</v>
      </c>
      <c r="C5274" s="5" t="s">
        <v>484</v>
      </c>
      <c r="D5274" s="5" t="s">
        <v>2303</v>
      </c>
      <c r="E5274" s="5" t="n">
        <v>1</v>
      </c>
      <c r="F5274" s="6" t="n">
        <f aca="false">IFERROR(MATCH(A5274&amp;"|"&amp;B5274&amp;"|"&amp;D5274,'All Song Rankings'!$T:$T,0),0)</f>
        <v>778</v>
      </c>
      <c r="G5274" s="6" t="str">
        <f aca="false">IF(F5274=0,"NOT FOUND",INDEX('All Song Rankings'!$A:$A,F5274))</f>
        <v>Heads Will Roll</v>
      </c>
      <c r="H5274" s="6" t="str">
        <f aca="false">IF(F5274=0,"NOT FOUND",INDEX('All Song Rankings'!$B:$B,F5274))</f>
        <v>Yeah Yeah Yeahs</v>
      </c>
      <c r="I5274" s="6" t="str">
        <f aca="false">IF(F5274=0,"NOT FOUND",INDEX('All Song Rankings'!$D:$D,F5274))</f>
        <v>Stephanie</v>
      </c>
      <c r="J5274" s="7" t="str">
        <f aca="false">IF(F5274=0,"NOT FOUND",IF(C5274=I5274,"SELF-VOTE",IF(COUNTIF($K:$K,K5274)&gt;1,"DUPLICATE","OK")))</f>
        <v>OK</v>
      </c>
      <c r="K5274" s="6" t="str">
        <f aca="false">A5274&amp;"|"&amp;B5274&amp;"|"&amp;C5274&amp;"|"&amp;D5274</f>
        <v>7|8|Scott|spotify:track:18oWEPapjNt32E6sCM6VLb</v>
      </c>
    </row>
    <row r="5275" customFormat="false" ht="15" hidden="false" customHeight="false" outlineLevel="0" collapsed="false">
      <c r="A5275" s="5" t="n">
        <v>7</v>
      </c>
      <c r="B5275" s="5" t="n">
        <v>8</v>
      </c>
      <c r="C5275" s="5" t="s">
        <v>484</v>
      </c>
      <c r="D5275" s="5" t="s">
        <v>2327</v>
      </c>
      <c r="E5275" s="5" t="n">
        <v>1</v>
      </c>
      <c r="F5275" s="6" t="n">
        <f aca="false">IFERROR(MATCH(A5275&amp;"|"&amp;B5275&amp;"|"&amp;D5275,'All Song Rankings'!$T:$T,0),0)</f>
        <v>787</v>
      </c>
      <c r="G5275" s="6" t="str">
        <f aca="false">IF(F5275=0,"NOT FOUND",INDEX('All Song Rankings'!$A:$A,F5275))</f>
        <v>Crawling in the Dark</v>
      </c>
      <c r="H5275" s="6" t="str">
        <f aca="false">IF(F5275=0,"NOT FOUND",INDEX('All Song Rankings'!$B:$B,F5275))</f>
        <v>Hoobastank</v>
      </c>
      <c r="I5275" s="6" t="str">
        <f aca="false">IF(F5275=0,"NOT FOUND",INDEX('All Song Rankings'!$D:$D,F5275))</f>
        <v>Colleen</v>
      </c>
      <c r="J5275" s="7" t="str">
        <f aca="false">IF(F5275=0,"NOT FOUND",IF(C5275=I5275,"SELF-VOTE",IF(COUNTIF($K:$K,K5275)&gt;1,"DUPLICATE","OK")))</f>
        <v>OK</v>
      </c>
      <c r="K5275" s="6" t="str">
        <f aca="false">A5275&amp;"|"&amp;B5275&amp;"|"&amp;C5275&amp;"|"&amp;D5275</f>
        <v>7|8|Scott|spotify:track:1PJRDeZSoZk7gtisdTYfLi</v>
      </c>
    </row>
    <row r="5276" customFormat="false" ht="15" hidden="false" customHeight="false" outlineLevel="0" collapsed="false">
      <c r="A5276" s="5" t="n">
        <v>7</v>
      </c>
      <c r="B5276" s="5" t="n">
        <v>8</v>
      </c>
      <c r="C5276" s="5" t="s">
        <v>484</v>
      </c>
      <c r="D5276" s="5" t="s">
        <v>2309</v>
      </c>
      <c r="E5276" s="5" t="n">
        <v>1</v>
      </c>
      <c r="F5276" s="6" t="n">
        <f aca="false">IFERROR(MATCH(A5276&amp;"|"&amp;B5276&amp;"|"&amp;D5276,'All Song Rankings'!$T:$T,0),0)</f>
        <v>780</v>
      </c>
      <c r="G5276" s="6" t="str">
        <f aca="false">IF(F5276=0,"NOT FOUND",INDEX('All Song Rankings'!$A:$A,F5276))</f>
        <v>Killer Klowns</v>
      </c>
      <c r="H5276" s="6" t="str">
        <f aca="false">IF(F5276=0,"NOT FOUND",INDEX('All Song Rankings'!$B:$B,F5276))</f>
        <v>The Dickies</v>
      </c>
      <c r="I5276" s="6" t="str">
        <f aca="false">IF(F5276=0,"NOT FOUND",INDEX('All Song Rankings'!$D:$D,F5276))</f>
        <v>Josh</v>
      </c>
      <c r="J5276" s="7" t="str">
        <f aca="false">IF(F5276=0,"NOT FOUND",IF(C5276=I5276,"SELF-VOTE",IF(COUNTIF($K:$K,K5276)&gt;1,"DUPLICATE","OK")))</f>
        <v>OK</v>
      </c>
      <c r="K5276" s="6" t="str">
        <f aca="false">A5276&amp;"|"&amp;B5276&amp;"|"&amp;C5276&amp;"|"&amp;D5276</f>
        <v>7|8|Scott|spotify:track:1dUPABHPVfHnvdLnKwYbgz</v>
      </c>
    </row>
    <row r="5277" customFormat="false" ht="15" hidden="false" customHeight="false" outlineLevel="0" collapsed="false">
      <c r="A5277" s="5" t="n">
        <v>7</v>
      </c>
      <c r="B5277" s="5" t="n">
        <v>8</v>
      </c>
      <c r="C5277" s="5" t="s">
        <v>484</v>
      </c>
      <c r="D5277" s="5" t="s">
        <v>2311</v>
      </c>
      <c r="E5277" s="5" t="n">
        <v>2</v>
      </c>
      <c r="F5277" s="6" t="n">
        <f aca="false">IFERROR(MATCH(A5277&amp;"|"&amp;B5277&amp;"|"&amp;D5277,'All Song Rankings'!$T:$T,0),0)</f>
        <v>781</v>
      </c>
      <c r="G5277" s="6" t="str">
        <f aca="false">IF(F5277=0,"NOT FOUND",INDEX('All Song Rankings'!$A:$A,F5277))</f>
        <v>Time Warp</v>
      </c>
      <c r="H5277" s="6" t="str">
        <f aca="false">IF(F5277=0,"NOT FOUND",INDEX('All Song Rankings'!$B:$B,F5277))</f>
        <v>The Rocky Horror Show Original Cast</v>
      </c>
      <c r="I5277" s="6" t="str">
        <f aca="false">IF(F5277=0,"NOT FOUND",INDEX('All Song Rankings'!$D:$D,F5277))</f>
        <v>Lisa</v>
      </c>
      <c r="J5277" s="7" t="str">
        <f aca="false">IF(F5277=0,"NOT FOUND",IF(C5277=I5277,"SELF-VOTE",IF(COUNTIF($K:$K,K5277)&gt;1,"DUPLICATE","OK")))</f>
        <v>OK</v>
      </c>
      <c r="K5277" s="6" t="str">
        <f aca="false">A5277&amp;"|"&amp;B5277&amp;"|"&amp;C5277&amp;"|"&amp;D5277</f>
        <v>7|8|Scott|spotify:track:1esIh49tNEGrXEHorSTHZ1</v>
      </c>
    </row>
    <row r="5278" customFormat="false" ht="15" hidden="false" customHeight="false" outlineLevel="0" collapsed="false">
      <c r="A5278" s="5" t="n">
        <v>7</v>
      </c>
      <c r="B5278" s="5" t="n">
        <v>8</v>
      </c>
      <c r="C5278" s="5" t="s">
        <v>484</v>
      </c>
      <c r="D5278" s="5" t="s">
        <v>2314</v>
      </c>
      <c r="E5278" s="5" t="n">
        <v>1</v>
      </c>
      <c r="F5278" s="6" t="n">
        <f aca="false">IFERROR(MATCH(A5278&amp;"|"&amp;B5278&amp;"|"&amp;D5278,'All Song Rankings'!$T:$T,0),0)</f>
        <v>782</v>
      </c>
      <c r="G5278" s="6" t="str">
        <f aca="false">IF(F5278=0,"NOT FOUND",INDEX('All Song Rankings'!$A:$A,F5278))</f>
        <v>Dead Man's Party</v>
      </c>
      <c r="H5278" s="6" t="str">
        <f aca="false">IF(F5278=0,"NOT FOUND",INDEX('All Song Rankings'!$B:$B,F5278))</f>
        <v>Oingo Boingo</v>
      </c>
      <c r="I5278" s="6" t="str">
        <f aca="false">IF(F5278=0,"NOT FOUND",INDEX('All Song Rankings'!$D:$D,F5278))</f>
        <v>Matt</v>
      </c>
      <c r="J5278" s="7" t="str">
        <f aca="false">IF(F5278=0,"NOT FOUND",IF(C5278=I5278,"SELF-VOTE",IF(COUNTIF($K:$K,K5278)&gt;1,"DUPLICATE","OK")))</f>
        <v>OK</v>
      </c>
      <c r="K5278" s="6" t="str">
        <f aca="false">A5278&amp;"|"&amp;B5278&amp;"|"&amp;C5278&amp;"|"&amp;D5278</f>
        <v>7|8|Scott|spotify:track:2h47SG8bNphmicAll4H9RV</v>
      </c>
    </row>
    <row r="5279" customFormat="false" ht="15" hidden="false" customHeight="false" outlineLevel="0" collapsed="false">
      <c r="A5279" s="5" t="n">
        <v>7</v>
      </c>
      <c r="B5279" s="5" t="n">
        <v>8</v>
      </c>
      <c r="C5279" s="5" t="s">
        <v>484</v>
      </c>
      <c r="D5279" s="5" t="s">
        <v>2297</v>
      </c>
      <c r="E5279" s="5" t="n">
        <v>2</v>
      </c>
      <c r="F5279" s="6" t="n">
        <f aca="false">IFERROR(MATCH(A5279&amp;"|"&amp;B5279&amp;"|"&amp;D5279,'All Song Rankings'!$T:$T,0),0)</f>
        <v>776</v>
      </c>
      <c r="G5279" s="6" t="str">
        <f aca="false">IF(F5279=0,"NOT FOUND",INDEX('All Song Rankings'!$A:$A,F5279))</f>
        <v>Sweet Dreams (Are Made Of This)</v>
      </c>
      <c r="H5279" s="6" t="str">
        <f aca="false">IF(F5279=0,"NOT FOUND",INDEX('All Song Rankings'!$B:$B,F5279))</f>
        <v>Marilyn Manson</v>
      </c>
      <c r="I5279" s="6" t="str">
        <f aca="false">IF(F5279=0,"NOT FOUND",INDEX('All Song Rankings'!$D:$D,F5279))</f>
        <v>Kristen</v>
      </c>
      <c r="J5279" s="7" t="str">
        <f aca="false">IF(F5279=0,"NOT FOUND",IF(C5279=I5279,"SELF-VOTE",IF(COUNTIF($K:$K,K5279)&gt;1,"DUPLICATE","OK")))</f>
        <v>OK</v>
      </c>
      <c r="K5279" s="6" t="str">
        <f aca="false">A5279&amp;"|"&amp;B5279&amp;"|"&amp;C5279&amp;"|"&amp;D5279</f>
        <v>7|8|Scott|spotify:track:3D0bXrSv7O73vOaGOG8J9c</v>
      </c>
    </row>
    <row r="5280" customFormat="false" ht="15" hidden="false" customHeight="false" outlineLevel="0" collapsed="false">
      <c r="A5280" s="5" t="n">
        <v>7</v>
      </c>
      <c r="B5280" s="5" t="n">
        <v>8</v>
      </c>
      <c r="C5280" s="5" t="s">
        <v>484</v>
      </c>
      <c r="D5280" s="5" t="s">
        <v>2300</v>
      </c>
      <c r="E5280" s="5" t="n">
        <v>2</v>
      </c>
      <c r="F5280" s="6" t="n">
        <f aca="false">IFERROR(MATCH(A5280&amp;"|"&amp;B5280&amp;"|"&amp;D5280,'All Song Rankings'!$T:$T,0),0)</f>
        <v>777</v>
      </c>
      <c r="G5280" s="6" t="str">
        <f aca="false">IF(F5280=0,"NOT FOUND",INDEX('All Song Rankings'!$A:$A,F5280))</f>
        <v>Haunted</v>
      </c>
      <c r="H5280" s="6" t="str">
        <f aca="false">IF(F5280=0,"NOT FOUND",INDEX('All Song Rankings'!$B:$B,F5280))</f>
        <v>Evanescence</v>
      </c>
      <c r="I5280" s="6" t="str">
        <f aca="false">IF(F5280=0,"NOT FOUND",INDEX('All Song Rankings'!$D:$D,F5280))</f>
        <v>Christine</v>
      </c>
      <c r="J5280" s="7" t="str">
        <f aca="false">IF(F5280=0,"NOT FOUND",IF(C5280=I5280,"SELF-VOTE",IF(COUNTIF($K:$K,K5280)&gt;1,"DUPLICATE","OK")))</f>
        <v>OK</v>
      </c>
      <c r="K5280" s="6" t="str">
        <f aca="false">A5280&amp;"|"&amp;B5280&amp;"|"&amp;C5280&amp;"|"&amp;D5280</f>
        <v>7|8|Scott|spotify:track:6Z77oDcn6iI1MHFCBPjl24</v>
      </c>
    </row>
    <row r="5281" customFormat="false" ht="15" hidden="false" customHeight="false" outlineLevel="0" collapsed="false">
      <c r="A5281" s="5" t="n">
        <v>7</v>
      </c>
      <c r="B5281" s="5" t="n">
        <v>8</v>
      </c>
      <c r="C5281" s="5" t="s">
        <v>97</v>
      </c>
      <c r="D5281" s="5" t="s">
        <v>2317</v>
      </c>
      <c r="E5281" s="5" t="n">
        <v>2</v>
      </c>
      <c r="F5281" s="6" t="n">
        <f aca="false">IFERROR(MATCH(A5281&amp;"|"&amp;B5281&amp;"|"&amp;D5281,'All Song Rankings'!$T:$T,0),0)</f>
        <v>783</v>
      </c>
      <c r="G5281" s="6" t="str">
        <f aca="false">IF(F5281=0,"NOT FOUND",INDEX('All Song Rankings'!$A:$A,F5281))</f>
        <v>Animal</v>
      </c>
      <c r="H5281" s="6" t="str">
        <f aca="false">IF(F5281=0,"NOT FOUND",INDEX('All Song Rankings'!$B:$B,F5281))</f>
        <v>Badflower</v>
      </c>
      <c r="I5281" s="6" t="str">
        <f aca="false">IF(F5281=0,"NOT FOUND",INDEX('All Song Rankings'!$D:$D,F5281))</f>
        <v>Scott</v>
      </c>
      <c r="J5281" s="7" t="str">
        <f aca="false">IF(F5281=0,"NOT FOUND",IF(C5281=I5281,"SELF-VOTE",IF(COUNTIF($K:$K,K5281)&gt;1,"DUPLICATE","OK")))</f>
        <v>OK</v>
      </c>
      <c r="K5281" s="6" t="str">
        <f aca="false">A5281&amp;"|"&amp;B5281&amp;"|"&amp;C5281&amp;"|"&amp;D5281</f>
        <v>7|8|Stephanie|spotify:track:0CBM2iiBZmfKntDeQYboqU</v>
      </c>
    </row>
    <row r="5282" customFormat="false" ht="15" hidden="false" customHeight="false" outlineLevel="0" collapsed="false">
      <c r="A5282" s="5" t="n">
        <v>7</v>
      </c>
      <c r="B5282" s="5" t="n">
        <v>8</v>
      </c>
      <c r="C5282" s="5" t="s">
        <v>97</v>
      </c>
      <c r="D5282" s="5" t="s">
        <v>2311</v>
      </c>
      <c r="E5282" s="5" t="n">
        <v>1</v>
      </c>
      <c r="F5282" s="6" t="n">
        <f aca="false">IFERROR(MATCH(A5282&amp;"|"&amp;B5282&amp;"|"&amp;D5282,'All Song Rankings'!$T:$T,0),0)</f>
        <v>781</v>
      </c>
      <c r="G5282" s="6" t="str">
        <f aca="false">IF(F5282=0,"NOT FOUND",INDEX('All Song Rankings'!$A:$A,F5282))</f>
        <v>Time Warp</v>
      </c>
      <c r="H5282" s="6" t="str">
        <f aca="false">IF(F5282=0,"NOT FOUND",INDEX('All Song Rankings'!$B:$B,F5282))</f>
        <v>The Rocky Horror Show Original Cast</v>
      </c>
      <c r="I5282" s="6" t="str">
        <f aca="false">IF(F5282=0,"NOT FOUND",INDEX('All Song Rankings'!$D:$D,F5282))</f>
        <v>Lisa</v>
      </c>
      <c r="J5282" s="7" t="str">
        <f aca="false">IF(F5282=0,"NOT FOUND",IF(C5282=I5282,"SELF-VOTE",IF(COUNTIF($K:$K,K5282)&gt;1,"DUPLICATE","OK")))</f>
        <v>OK</v>
      </c>
      <c r="K5282" s="6" t="str">
        <f aca="false">A5282&amp;"|"&amp;B5282&amp;"|"&amp;C5282&amp;"|"&amp;D5282</f>
        <v>7|8|Stephanie|spotify:track:1esIh49tNEGrXEHorSTHZ1</v>
      </c>
    </row>
    <row r="5283" customFormat="false" ht="15" hidden="false" customHeight="false" outlineLevel="0" collapsed="false">
      <c r="A5283" s="5" t="n">
        <v>7</v>
      </c>
      <c r="B5283" s="5" t="n">
        <v>8</v>
      </c>
      <c r="C5283" s="5" t="s">
        <v>97</v>
      </c>
      <c r="D5283" s="5" t="s">
        <v>2292</v>
      </c>
      <c r="E5283" s="5" t="n">
        <v>1</v>
      </c>
      <c r="F5283" s="6" t="n">
        <f aca="false">IFERROR(MATCH(A5283&amp;"|"&amp;B5283&amp;"|"&amp;D5283,'All Song Rankings'!$T:$T,0),0)</f>
        <v>774</v>
      </c>
      <c r="G5283" s="6" t="str">
        <f aca="false">IF(F5283=0,"NOT FOUND",INDEX('All Song Rankings'!$A:$A,F5283))</f>
        <v>Rocky Road to Dublin</v>
      </c>
      <c r="H5283" s="6" t="str">
        <f aca="false">IF(F5283=0,"NOT FOUND",INDEX('All Song Rankings'!$B:$B,F5283))</f>
        <v>Jack O'Connell, Brian Dunphy, Darren Holden, Sinners Movie</v>
      </c>
      <c r="I5283" s="6" t="str">
        <f aca="false">IF(F5283=0,"NOT FOUND",INDEX('All Song Rankings'!$D:$D,F5283))</f>
        <v>Kelsey</v>
      </c>
      <c r="J5283" s="7" t="str">
        <f aca="false">IF(F5283=0,"NOT FOUND",IF(C5283=I5283,"SELF-VOTE",IF(COUNTIF($K:$K,K5283)&gt;1,"DUPLICATE","OK")))</f>
        <v>OK</v>
      </c>
      <c r="K5283" s="6" t="str">
        <f aca="false">A5283&amp;"|"&amp;B5283&amp;"|"&amp;C5283&amp;"|"&amp;D5283</f>
        <v>7|8|Stephanie|spotify:track:1esmJ8t2PRbYt2yMx2aSEW</v>
      </c>
    </row>
    <row r="5284" customFormat="false" ht="15" hidden="false" customHeight="false" outlineLevel="0" collapsed="false">
      <c r="A5284" s="5" t="n">
        <v>7</v>
      </c>
      <c r="B5284" s="5" t="n">
        <v>8</v>
      </c>
      <c r="C5284" s="5" t="s">
        <v>97</v>
      </c>
      <c r="D5284" s="5" t="s">
        <v>2319</v>
      </c>
      <c r="E5284" s="5" t="n">
        <v>1</v>
      </c>
      <c r="F5284" s="6" t="n">
        <f aca="false">IFERROR(MATCH(A5284&amp;"|"&amp;B5284&amp;"|"&amp;D5284,'All Song Rankings'!$T:$T,0),0)</f>
        <v>784</v>
      </c>
      <c r="G5284" s="6" t="str">
        <f aca="false">IF(F5284=0,"NOT FOUND",INDEX('All Song Rankings'!$A:$A,F5284))</f>
        <v>Disturbia</v>
      </c>
      <c r="H5284" s="6" t="str">
        <f aca="false">IF(F5284=0,"NOT FOUND",INDEX('All Song Rankings'!$B:$B,F5284))</f>
        <v>Rihanna</v>
      </c>
      <c r="I5284" s="6" t="str">
        <f aca="false">IF(F5284=0,"NOT FOUND",INDEX('All Song Rankings'!$D:$D,F5284))</f>
        <v>Leah</v>
      </c>
      <c r="J5284" s="7" t="str">
        <f aca="false">IF(F5284=0,"NOT FOUND",IF(C5284=I5284,"SELF-VOTE",IF(COUNTIF($K:$K,K5284)&gt;1,"DUPLICATE","OK")))</f>
        <v>OK</v>
      </c>
      <c r="K5284" s="6" t="str">
        <f aca="false">A5284&amp;"|"&amp;B5284&amp;"|"&amp;C5284&amp;"|"&amp;D5284</f>
        <v>7|8|Stephanie|spotify:track:2VOomzT6VavJOGBeySqaMc</v>
      </c>
    </row>
    <row r="5285" customFormat="false" ht="15" hidden="false" customHeight="false" outlineLevel="0" collapsed="false">
      <c r="A5285" s="5" t="n">
        <v>7</v>
      </c>
      <c r="B5285" s="5" t="n">
        <v>8</v>
      </c>
      <c r="C5285" s="5" t="s">
        <v>97</v>
      </c>
      <c r="D5285" s="5" t="s">
        <v>2314</v>
      </c>
      <c r="E5285" s="5" t="n">
        <v>1</v>
      </c>
      <c r="F5285" s="6" t="n">
        <f aca="false">IFERROR(MATCH(A5285&amp;"|"&amp;B5285&amp;"|"&amp;D5285,'All Song Rankings'!$T:$T,0),0)</f>
        <v>782</v>
      </c>
      <c r="G5285" s="6" t="str">
        <f aca="false">IF(F5285=0,"NOT FOUND",INDEX('All Song Rankings'!$A:$A,F5285))</f>
        <v>Dead Man's Party</v>
      </c>
      <c r="H5285" s="6" t="str">
        <f aca="false">IF(F5285=0,"NOT FOUND",INDEX('All Song Rankings'!$B:$B,F5285))</f>
        <v>Oingo Boingo</v>
      </c>
      <c r="I5285" s="6" t="str">
        <f aca="false">IF(F5285=0,"NOT FOUND",INDEX('All Song Rankings'!$D:$D,F5285))</f>
        <v>Matt</v>
      </c>
      <c r="J5285" s="7" t="str">
        <f aca="false">IF(F5285=0,"NOT FOUND",IF(C5285=I5285,"SELF-VOTE",IF(COUNTIF($K:$K,K5285)&gt;1,"DUPLICATE","OK")))</f>
        <v>OK</v>
      </c>
      <c r="K5285" s="6" t="str">
        <f aca="false">A5285&amp;"|"&amp;B5285&amp;"|"&amp;C5285&amp;"|"&amp;D5285</f>
        <v>7|8|Stephanie|spotify:track:2h47SG8bNphmicAll4H9RV</v>
      </c>
    </row>
    <row r="5286" customFormat="false" ht="15" hidden="false" customHeight="false" outlineLevel="0" collapsed="false">
      <c r="A5286" s="5" t="n">
        <v>7</v>
      </c>
      <c r="B5286" s="5" t="n">
        <v>8</v>
      </c>
      <c r="C5286" s="5" t="s">
        <v>97</v>
      </c>
      <c r="D5286" s="5" t="s">
        <v>2297</v>
      </c>
      <c r="E5286" s="5" t="n">
        <v>1</v>
      </c>
      <c r="F5286" s="6" t="n">
        <f aca="false">IFERROR(MATCH(A5286&amp;"|"&amp;B5286&amp;"|"&amp;D5286,'All Song Rankings'!$T:$T,0),0)</f>
        <v>776</v>
      </c>
      <c r="G5286" s="6" t="str">
        <f aca="false">IF(F5286=0,"NOT FOUND",INDEX('All Song Rankings'!$A:$A,F5286))</f>
        <v>Sweet Dreams (Are Made Of This)</v>
      </c>
      <c r="H5286" s="6" t="str">
        <f aca="false">IF(F5286=0,"NOT FOUND",INDEX('All Song Rankings'!$B:$B,F5286))</f>
        <v>Marilyn Manson</v>
      </c>
      <c r="I5286" s="6" t="str">
        <f aca="false">IF(F5286=0,"NOT FOUND",INDEX('All Song Rankings'!$D:$D,F5286))</f>
        <v>Kristen</v>
      </c>
      <c r="J5286" s="7" t="str">
        <f aca="false">IF(F5286=0,"NOT FOUND",IF(C5286=I5286,"SELF-VOTE",IF(COUNTIF($K:$K,K5286)&gt;1,"DUPLICATE","OK")))</f>
        <v>OK</v>
      </c>
      <c r="K5286" s="6" t="str">
        <f aca="false">A5286&amp;"|"&amp;B5286&amp;"|"&amp;C5286&amp;"|"&amp;D5286</f>
        <v>7|8|Stephanie|spotify:track:3D0bXrSv7O73vOaGOG8J9c</v>
      </c>
    </row>
    <row r="5287" customFormat="false" ht="15" hidden="false" customHeight="false" outlineLevel="0" collapsed="false">
      <c r="A5287" s="5" t="n">
        <v>7</v>
      </c>
      <c r="B5287" s="5" t="n">
        <v>8</v>
      </c>
      <c r="C5287" s="5" t="s">
        <v>97</v>
      </c>
      <c r="D5287" s="5" t="s">
        <v>2300</v>
      </c>
      <c r="E5287" s="5" t="n">
        <v>1</v>
      </c>
      <c r="F5287" s="6" t="n">
        <f aca="false">IFERROR(MATCH(A5287&amp;"|"&amp;B5287&amp;"|"&amp;D5287,'All Song Rankings'!$T:$T,0),0)</f>
        <v>777</v>
      </c>
      <c r="G5287" s="6" t="str">
        <f aca="false">IF(F5287=0,"NOT FOUND",INDEX('All Song Rankings'!$A:$A,F5287))</f>
        <v>Haunted</v>
      </c>
      <c r="H5287" s="6" t="str">
        <f aca="false">IF(F5287=0,"NOT FOUND",INDEX('All Song Rankings'!$B:$B,F5287))</f>
        <v>Evanescence</v>
      </c>
      <c r="I5287" s="6" t="str">
        <f aca="false">IF(F5287=0,"NOT FOUND",INDEX('All Song Rankings'!$D:$D,F5287))</f>
        <v>Christine</v>
      </c>
      <c r="J5287" s="7" t="str">
        <f aca="false">IF(F5287=0,"NOT FOUND",IF(C5287=I5287,"SELF-VOTE",IF(COUNTIF($K:$K,K5287)&gt;1,"DUPLICATE","OK")))</f>
        <v>OK</v>
      </c>
      <c r="K5287" s="6" t="str">
        <f aca="false">A5287&amp;"|"&amp;B5287&amp;"|"&amp;C5287&amp;"|"&amp;D5287</f>
        <v>7|8|Stephanie|spotify:track:6Z77oDcn6iI1MHFCBPjl24</v>
      </c>
    </row>
    <row r="5288" customFormat="false" ht="15" hidden="false" customHeight="false" outlineLevel="0" collapsed="false">
      <c r="A5288" s="5" t="n">
        <v>7</v>
      </c>
      <c r="B5288" s="5" t="n">
        <v>8</v>
      </c>
      <c r="C5288" s="5" t="s">
        <v>97</v>
      </c>
      <c r="D5288" s="5" t="s">
        <v>2306</v>
      </c>
      <c r="E5288" s="5" t="n">
        <v>1</v>
      </c>
      <c r="F5288" s="6" t="n">
        <f aca="false">IFERROR(MATCH(A5288&amp;"|"&amp;B5288&amp;"|"&amp;D5288,'All Song Rankings'!$T:$T,0),0)</f>
        <v>779</v>
      </c>
      <c r="G5288" s="6" t="str">
        <f aca="false">IF(F5288=0,"NOT FOUND",INDEX('All Song Rankings'!$A:$A,F5288))</f>
        <v>Dracula</v>
      </c>
      <c r="H5288" s="6" t="str">
        <f aca="false">IF(F5288=0,"NOT FOUND",INDEX('All Song Rankings'!$B:$B,F5288))</f>
        <v>Tame Impala</v>
      </c>
      <c r="I5288" s="6" t="str">
        <f aca="false">IF(F5288=0,"NOT FOUND",INDEX('All Song Rankings'!$D:$D,F5288))</f>
        <v>Lucia</v>
      </c>
      <c r="J5288" s="7" t="str">
        <f aca="false">IF(F5288=0,"NOT FOUND",IF(C5288=I5288,"SELF-VOTE",IF(COUNTIF($K:$K,K5288)&gt;1,"DUPLICATE","OK")))</f>
        <v>OK</v>
      </c>
      <c r="K5288" s="6" t="str">
        <f aca="false">A5288&amp;"|"&amp;B5288&amp;"|"&amp;C5288&amp;"|"&amp;D5288</f>
        <v>7|8|Stephanie|spotify:track:709ZIqPHyFOpx2QdjmeWAM</v>
      </c>
    </row>
    <row r="5289" customFormat="false" ht="15" hidden="false" customHeight="false" outlineLevel="0" collapsed="false">
      <c r="A5289" s="5" t="n">
        <v>7</v>
      </c>
      <c r="B5289" s="5" t="n">
        <v>8</v>
      </c>
      <c r="C5289" s="5" t="s">
        <v>97</v>
      </c>
      <c r="D5289" s="5" t="s">
        <v>2295</v>
      </c>
      <c r="E5289" s="5" t="n">
        <v>1</v>
      </c>
      <c r="F5289" s="6" t="n">
        <f aca="false">IFERROR(MATCH(A5289&amp;"|"&amp;B5289&amp;"|"&amp;D5289,'All Song Rankings'!$T:$T,0),0)</f>
        <v>775</v>
      </c>
      <c r="G5289" s="6" t="str">
        <f aca="false">IF(F5289=0,"NOT FOUND",INDEX('All Song Rankings'!$A:$A,F5289))</f>
        <v>Somebody's Watching Me</v>
      </c>
      <c r="H5289" s="6" t="str">
        <f aca="false">IF(F5289=0,"NOT FOUND",INDEX('All Song Rankings'!$B:$B,F5289))</f>
        <v>Rockwell</v>
      </c>
      <c r="I5289" s="6" t="str">
        <f aca="false">IF(F5289=0,"NOT FOUND",INDEX('All Song Rankings'!$D:$D,F5289))</f>
        <v>Sara</v>
      </c>
      <c r="J5289" s="7" t="str">
        <f aca="false">IF(F5289=0,"NOT FOUND",IF(C5289=I5289,"SELF-VOTE",IF(COUNTIF($K:$K,K5289)&gt;1,"DUPLICATE","OK")))</f>
        <v>OK</v>
      </c>
      <c r="K5289" s="6" t="str">
        <f aca="false">A5289&amp;"|"&amp;B5289&amp;"|"&amp;C5289&amp;"|"&amp;D5289</f>
        <v>7|8|Stephanie|spotify:track:7jwQlYGpOml9ETGre1HqGA</v>
      </c>
    </row>
  </sheetData>
  <conditionalFormatting sqref="J2:J20000">
    <cfRule type="expression" priority="2" aboveAverage="0" equalAverage="0" bottom="0" percent="0" rank="0" text="" dxfId="0">
      <formula>AND($J2&lt;&gt;"OK",$J2&lt;&gt;"")</formula>
    </cfRule>
  </conditionalFormatting>
  <dataValidations count="1">
    <dataValidation allowBlank="false" error="Points must be a whole number, 1 or more (zero-point votes are not stored)." errorStyle="stop" operator="greaterThanOrEqual" showDropDown="false" showErrorMessage="true" showInputMessage="false" sqref="E2:E6289" type="whol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9"/>
    <col collapsed="false" customWidth="true" hidden="false" outlineLevel="0" max="4" min="4" style="0" width="38"/>
    <col collapsed="false" customWidth="true" hidden="false" outlineLevel="0" max="5" min="5" style="0" width="60"/>
    <col collapsed="false" customWidth="true" hidden="false" outlineLevel="0" max="6" min="6" style="0" width="12"/>
    <col collapsed="false" customWidth="true" hidden="false" outlineLevel="0" max="7" min="7" style="0" width="16"/>
    <col collapsed="false" customWidth="true" hidden="false" outlineLevel="0" max="8" min="8" style="0" width="12"/>
    <col collapsed="false" customWidth="true" hidden="false" outlineLevel="0" max="9" min="9" style="0" width="14"/>
    <col collapsed="false" customWidth="true" hidden="false" outlineLevel="0" max="10" min="10" style="0" width="9"/>
    <col collapsed="false" customWidth="true" hidden="false" outlineLevel="0" max="11" min="11" style="0" width="12"/>
    <col collapsed="false" customWidth="true" hidden="false" outlineLevel="0" max="12" min="12" style="0" width="50"/>
    <col collapsed="false" customWidth="true" hidden="false" outlineLevel="0" max="13" min="13" style="0" width="18"/>
  </cols>
  <sheetData>
    <row r="1" customFormat="false" ht="15" hidden="false" customHeight="false" outlineLevel="0" collapsed="false">
      <c r="A1" s="3" t="s">
        <v>70</v>
      </c>
      <c r="B1" s="3" t="s">
        <v>69</v>
      </c>
      <c r="C1" s="3" t="s">
        <v>71</v>
      </c>
      <c r="D1" s="3" t="s">
        <v>2381</v>
      </c>
      <c r="E1" s="3" t="s">
        <v>2382</v>
      </c>
      <c r="F1" s="3" t="s">
        <v>2383</v>
      </c>
      <c r="G1" s="3" t="s">
        <v>2384</v>
      </c>
      <c r="H1" s="3" t="s">
        <v>2385</v>
      </c>
      <c r="I1" s="3" t="s">
        <v>2386</v>
      </c>
      <c r="J1" s="3" t="s">
        <v>2387</v>
      </c>
      <c r="K1" s="3" t="s">
        <v>77</v>
      </c>
      <c r="L1" s="3" t="s">
        <v>2388</v>
      </c>
      <c r="M1" s="3" t="s">
        <v>2389</v>
      </c>
    </row>
    <row r="2" customFormat="false" ht="15" hidden="false" customHeight="false" outlineLevel="0" collapsed="false">
      <c r="A2" s="5" t="n">
        <v>1</v>
      </c>
      <c r="B2" s="5" t="s">
        <v>87</v>
      </c>
      <c r="C2" s="5" t="n">
        <v>1</v>
      </c>
      <c r="D2" s="5" t="s">
        <v>2390</v>
      </c>
      <c r="E2" s="5"/>
      <c r="F2" s="5" t="n">
        <v>10</v>
      </c>
      <c r="G2" s="5" t="n">
        <v>1</v>
      </c>
      <c r="H2" s="6" t="n">
        <f aca="false">COUNTIFS('All Song Rankings'!$J:$J,A2,'All Song Rankings'!$K:$K,C2)</f>
        <v>11</v>
      </c>
      <c r="I2" s="6" t="n">
        <f aca="false">COUNTIFS('All Song Rankings'!$J:$J,A2,'All Song Rankings'!$K:$K,C2,'All Song Rankings'!$Q:$Q,"Forfeited")</f>
        <v>0</v>
      </c>
      <c r="J2" s="6" t="n">
        <f aca="false">SUMPRODUCT(--(COUNTIFS(Votes!$A:$A,A2,Votes!$B:$B,C2,Votes!$C:$C,Participants!$A$2:$A$200)&gt;0))</f>
        <v>11</v>
      </c>
      <c r="K2" s="6" t="str">
        <f aca="false">IF(H2=0,"Not started",IF(COUNTIFS('All Song Rankings'!$J:$J,A2,'All Song Rankings'!$K:$K,C2,'All Song Rankings'!$F:$F,"&gt;=0")=0,"Unscored","Scored"))</f>
        <v>Scored</v>
      </c>
      <c r="L2" s="5" t="s">
        <v>2391</v>
      </c>
    </row>
    <row r="3" customFormat="false" ht="15" hidden="false" customHeight="false" outlineLevel="0" collapsed="false">
      <c r="A3" s="5" t="n">
        <v>1</v>
      </c>
      <c r="B3" s="5" t="s">
        <v>87</v>
      </c>
      <c r="C3" s="5" t="n">
        <v>2</v>
      </c>
      <c r="D3" s="5" t="s">
        <v>2392</v>
      </c>
      <c r="E3" s="5"/>
      <c r="F3" s="5" t="n">
        <v>10</v>
      </c>
      <c r="G3" s="5" t="n">
        <v>1</v>
      </c>
      <c r="H3" s="6" t="n">
        <f aca="false">COUNTIFS('All Song Rankings'!$J:$J,A3,'All Song Rankings'!$K:$K,C3)</f>
        <v>11</v>
      </c>
      <c r="I3" s="6" t="n">
        <f aca="false">COUNTIFS('All Song Rankings'!$J:$J,A3,'All Song Rankings'!$K:$K,C3,'All Song Rankings'!$Q:$Q,"Forfeited")</f>
        <v>0</v>
      </c>
      <c r="J3" s="6" t="n">
        <f aca="false">SUMPRODUCT(--(COUNTIFS(Votes!$A:$A,A3,Votes!$B:$B,C3,Votes!$C:$C,Participants!$A$2:$A$200)&gt;0))</f>
        <v>11</v>
      </c>
      <c r="K3" s="6" t="str">
        <f aca="false">IF(H3=0,"Not started",IF(COUNTIFS('All Song Rankings'!$J:$J,A3,'All Song Rankings'!$K:$K,C3,'All Song Rankings'!$F:$F,"&gt;=0")=0,"Unscored","Scored"))</f>
        <v>Scored</v>
      </c>
      <c r="L3" s="5" t="s">
        <v>2393</v>
      </c>
    </row>
    <row r="4" customFormat="false" ht="15" hidden="false" customHeight="false" outlineLevel="0" collapsed="false">
      <c r="A4" s="5" t="n">
        <v>1</v>
      </c>
      <c r="B4" s="5" t="s">
        <v>87</v>
      </c>
      <c r="C4" s="5" t="n">
        <v>3</v>
      </c>
      <c r="D4" s="5" t="s">
        <v>2394</v>
      </c>
      <c r="E4" s="5"/>
      <c r="F4" s="5" t="n">
        <v>10</v>
      </c>
      <c r="G4" s="5" t="n">
        <v>1</v>
      </c>
      <c r="H4" s="6" t="n">
        <f aca="false">COUNTIFS('All Song Rankings'!$J:$J,A4,'All Song Rankings'!$K:$K,C4)</f>
        <v>10</v>
      </c>
      <c r="I4" s="6" t="n">
        <f aca="false">COUNTIFS('All Song Rankings'!$J:$J,A4,'All Song Rankings'!$K:$K,C4,'All Song Rankings'!$Q:$Q,"Forfeited")</f>
        <v>0</v>
      </c>
      <c r="J4" s="6" t="n">
        <f aca="false">SUMPRODUCT(--(COUNTIFS(Votes!$A:$A,A4,Votes!$B:$B,C4,Votes!$C:$C,Participants!$A$2:$A$200)&gt;0))</f>
        <v>10</v>
      </c>
      <c r="K4" s="6" t="str">
        <f aca="false">IF(H4=0,"Not started",IF(COUNTIFS('All Song Rankings'!$J:$J,A4,'All Song Rankings'!$K:$K,C4,'All Song Rankings'!$F:$F,"&gt;=0")=0,"Unscored","Scored"))</f>
        <v>Scored</v>
      </c>
      <c r="L4" s="5" t="s">
        <v>2395</v>
      </c>
    </row>
    <row r="5" customFormat="false" ht="15" hidden="false" customHeight="false" outlineLevel="0" collapsed="false">
      <c r="A5" s="5" t="n">
        <v>1</v>
      </c>
      <c r="B5" s="5" t="s">
        <v>87</v>
      </c>
      <c r="C5" s="5" t="n">
        <v>4</v>
      </c>
      <c r="D5" s="5" t="s">
        <v>2396</v>
      </c>
      <c r="E5" s="5"/>
      <c r="F5" s="5" t="n">
        <v>10</v>
      </c>
      <c r="G5" s="5" t="n">
        <v>1</v>
      </c>
      <c r="H5" s="6" t="n">
        <f aca="false">COUNTIFS('All Song Rankings'!$J:$J,A5,'All Song Rankings'!$K:$K,C5)</f>
        <v>9</v>
      </c>
      <c r="I5" s="6" t="n">
        <f aca="false">COUNTIFS('All Song Rankings'!$J:$J,A5,'All Song Rankings'!$K:$K,C5,'All Song Rankings'!$Q:$Q,"Forfeited")</f>
        <v>0</v>
      </c>
      <c r="J5" s="6" t="n">
        <f aca="false">SUMPRODUCT(--(COUNTIFS(Votes!$A:$A,A5,Votes!$B:$B,C5,Votes!$C:$C,Participants!$A$2:$A$200)&gt;0))</f>
        <v>9</v>
      </c>
      <c r="K5" s="6" t="str">
        <f aca="false">IF(H5=0,"Not started",IF(COUNTIFS('All Song Rankings'!$J:$J,A5,'All Song Rankings'!$K:$K,C5,'All Song Rankings'!$F:$F,"&gt;=0")=0,"Unscored","Scored"))</f>
        <v>Scored</v>
      </c>
      <c r="L5" s="5" t="s">
        <v>2397</v>
      </c>
    </row>
    <row r="6" customFormat="false" ht="15" hidden="false" customHeight="false" outlineLevel="0" collapsed="false">
      <c r="A6" s="5" t="n">
        <v>1</v>
      </c>
      <c r="B6" s="5" t="s">
        <v>87</v>
      </c>
      <c r="C6" s="5" t="n">
        <v>5</v>
      </c>
      <c r="D6" s="5" t="s">
        <v>2398</v>
      </c>
      <c r="E6" s="5" t="s">
        <v>2399</v>
      </c>
      <c r="F6" s="5" t="n">
        <v>10</v>
      </c>
      <c r="G6" s="5" t="n">
        <v>1</v>
      </c>
      <c r="H6" s="6" t="n">
        <f aca="false">COUNTIFS('All Song Rankings'!$J:$J,A6,'All Song Rankings'!$K:$K,C6)</f>
        <v>10</v>
      </c>
      <c r="I6" s="6" t="n">
        <f aca="false">COUNTIFS('All Song Rankings'!$J:$J,A6,'All Song Rankings'!$K:$K,C6,'All Song Rankings'!$Q:$Q,"Forfeited")</f>
        <v>0</v>
      </c>
      <c r="J6" s="6" t="n">
        <f aca="false">SUMPRODUCT(--(COUNTIFS(Votes!$A:$A,A6,Votes!$B:$B,C6,Votes!$C:$C,Participants!$A$2:$A$200)&gt;0))</f>
        <v>10</v>
      </c>
      <c r="K6" s="6" t="str">
        <f aca="false">IF(H6=0,"Not started",IF(COUNTIFS('All Song Rankings'!$J:$J,A6,'All Song Rankings'!$K:$K,C6,'All Song Rankings'!$F:$F,"&gt;=0")=0,"Unscored","Scored"))</f>
        <v>Scored</v>
      </c>
      <c r="L6" s="5" t="s">
        <v>2400</v>
      </c>
    </row>
    <row r="7" customFormat="false" ht="15" hidden="false" customHeight="false" outlineLevel="0" collapsed="false">
      <c r="A7" s="5" t="n">
        <v>1</v>
      </c>
      <c r="B7" s="5" t="s">
        <v>87</v>
      </c>
      <c r="C7" s="5" t="n">
        <v>6</v>
      </c>
      <c r="D7" s="5" t="s">
        <v>2401</v>
      </c>
      <c r="E7" s="5" t="s">
        <v>2402</v>
      </c>
      <c r="F7" s="5" t="n">
        <v>10</v>
      </c>
      <c r="G7" s="5" t="n">
        <v>1</v>
      </c>
      <c r="H7" s="6" t="n">
        <f aca="false">COUNTIFS('All Song Rankings'!$J:$J,A7,'All Song Rankings'!$K:$K,C7)</f>
        <v>11</v>
      </c>
      <c r="I7" s="6" t="n">
        <f aca="false">COUNTIFS('All Song Rankings'!$J:$J,A7,'All Song Rankings'!$K:$K,C7,'All Song Rankings'!$Q:$Q,"Forfeited")</f>
        <v>1</v>
      </c>
      <c r="J7" s="6" t="n">
        <f aca="false">SUMPRODUCT(--(COUNTIFS(Votes!$A:$A,A7,Votes!$B:$B,C7,Votes!$C:$C,Participants!$A$2:$A$200)&gt;0))</f>
        <v>10</v>
      </c>
      <c r="K7" s="6" t="str">
        <f aca="false">IF(H7=0,"Not started",IF(COUNTIFS('All Song Rankings'!$J:$J,A7,'All Song Rankings'!$K:$K,C7,'All Song Rankings'!$F:$F,"&gt;=0")=0,"Unscored","Scored"))</f>
        <v>Scored</v>
      </c>
      <c r="L7" s="5" t="s">
        <v>2403</v>
      </c>
    </row>
    <row r="8" customFormat="false" ht="15" hidden="false" customHeight="false" outlineLevel="0" collapsed="false">
      <c r="A8" s="5" t="n">
        <v>1</v>
      </c>
      <c r="B8" s="5" t="s">
        <v>87</v>
      </c>
      <c r="C8" s="5" t="n">
        <v>7</v>
      </c>
      <c r="D8" s="5" t="s">
        <v>2404</v>
      </c>
      <c r="E8" s="5" t="s">
        <v>2405</v>
      </c>
      <c r="F8" s="5" t="n">
        <v>10</v>
      </c>
      <c r="G8" s="5" t="n">
        <v>1</v>
      </c>
      <c r="H8" s="6" t="n">
        <f aca="false">COUNTIFS('All Song Rankings'!$J:$J,A8,'All Song Rankings'!$K:$K,C8)</f>
        <v>11</v>
      </c>
      <c r="I8" s="6" t="n">
        <f aca="false">COUNTIFS('All Song Rankings'!$J:$J,A8,'All Song Rankings'!$K:$K,C8,'All Song Rankings'!$Q:$Q,"Forfeited")</f>
        <v>0</v>
      </c>
      <c r="J8" s="6" t="n">
        <f aca="false">SUMPRODUCT(--(COUNTIFS(Votes!$A:$A,A8,Votes!$B:$B,C8,Votes!$C:$C,Participants!$A$2:$A$200)&gt;0))</f>
        <v>11</v>
      </c>
      <c r="K8" s="6" t="str">
        <f aca="false">IF(H8=0,"Not started",IF(COUNTIFS('All Song Rankings'!$J:$J,A8,'All Song Rankings'!$K:$K,C8,'All Song Rankings'!$F:$F,"&gt;=0")=0,"Unscored","Scored"))</f>
        <v>Scored</v>
      </c>
      <c r="L8" s="5" t="s">
        <v>2406</v>
      </c>
    </row>
    <row r="9" customFormat="false" ht="15" hidden="false" customHeight="false" outlineLevel="0" collapsed="false">
      <c r="A9" s="5" t="n">
        <v>1</v>
      </c>
      <c r="B9" s="5" t="s">
        <v>87</v>
      </c>
      <c r="C9" s="5" t="n">
        <v>8</v>
      </c>
      <c r="D9" s="5" t="s">
        <v>2407</v>
      </c>
      <c r="E9" s="5" t="s">
        <v>2408</v>
      </c>
      <c r="F9" s="5" t="n">
        <v>10</v>
      </c>
      <c r="G9" s="5" t="n">
        <v>1</v>
      </c>
      <c r="H9" s="6" t="n">
        <f aca="false">COUNTIFS('All Song Rankings'!$J:$J,A9,'All Song Rankings'!$K:$K,C9)</f>
        <v>12</v>
      </c>
      <c r="I9" s="6" t="n">
        <f aca="false">COUNTIFS('All Song Rankings'!$J:$J,A9,'All Song Rankings'!$K:$K,C9,'All Song Rankings'!$Q:$Q,"Forfeited")</f>
        <v>0</v>
      </c>
      <c r="J9" s="6" t="n">
        <f aca="false">SUMPRODUCT(--(COUNTIFS(Votes!$A:$A,A9,Votes!$B:$B,C9,Votes!$C:$C,Participants!$A$2:$A$200)&gt;0))</f>
        <v>12</v>
      </c>
      <c r="K9" s="6" t="str">
        <f aca="false">IF(H9=0,"Not started",IF(COUNTIFS('All Song Rankings'!$J:$J,A9,'All Song Rankings'!$K:$K,C9,'All Song Rankings'!$F:$F,"&gt;=0")=0,"Unscored","Scored"))</f>
        <v>Scored</v>
      </c>
      <c r="L9" s="5" t="s">
        <v>2409</v>
      </c>
    </row>
    <row r="10" customFormat="false" ht="15" hidden="false" customHeight="false" outlineLevel="0" collapsed="false">
      <c r="A10" s="5" t="n">
        <v>2</v>
      </c>
      <c r="B10" s="5" t="s">
        <v>365</v>
      </c>
      <c r="C10" s="5" t="n">
        <v>1</v>
      </c>
      <c r="D10" s="5" t="s">
        <v>2410</v>
      </c>
      <c r="E10" s="5" t="s">
        <v>2411</v>
      </c>
      <c r="F10" s="5" t="n">
        <v>10</v>
      </c>
      <c r="G10" s="5" t="n">
        <v>1</v>
      </c>
      <c r="H10" s="6" t="n">
        <f aca="false">COUNTIFS('All Song Rankings'!$J:$J,A10,'All Song Rankings'!$K:$K,C10)</f>
        <v>14</v>
      </c>
      <c r="I10" s="6" t="n">
        <f aca="false">COUNTIFS('All Song Rankings'!$J:$J,A10,'All Song Rankings'!$K:$K,C10,'All Song Rankings'!$Q:$Q,"Forfeited")</f>
        <v>0</v>
      </c>
      <c r="J10" s="6" t="n">
        <f aca="false">SUMPRODUCT(--(COUNTIFS(Votes!$A:$A,A10,Votes!$B:$B,C10,Votes!$C:$C,Participants!$A$2:$A$200)&gt;0))</f>
        <v>14</v>
      </c>
      <c r="K10" s="6" t="str">
        <f aca="false">IF(H10=0,"Not started",IF(COUNTIFS('All Song Rankings'!$J:$J,A10,'All Song Rankings'!$K:$K,C10,'All Song Rankings'!$F:$F,"&gt;=0")=0,"Unscored","Scored"))</f>
        <v>Scored</v>
      </c>
      <c r="L10" s="5" t="s">
        <v>2412</v>
      </c>
    </row>
    <row r="11" customFormat="false" ht="15" hidden="false" customHeight="false" outlineLevel="0" collapsed="false">
      <c r="A11" s="5" t="n">
        <v>2</v>
      </c>
      <c r="B11" s="5" t="s">
        <v>365</v>
      </c>
      <c r="C11" s="5" t="n">
        <v>2</v>
      </c>
      <c r="D11" s="5" t="s">
        <v>2413</v>
      </c>
      <c r="E11" s="5" t="s">
        <v>2414</v>
      </c>
      <c r="F11" s="5" t="n">
        <v>10</v>
      </c>
      <c r="G11" s="5" t="n">
        <v>1</v>
      </c>
      <c r="H11" s="6" t="n">
        <f aca="false">COUNTIFS('All Song Rankings'!$J:$J,A11,'All Song Rankings'!$K:$K,C11)</f>
        <v>14</v>
      </c>
      <c r="I11" s="6" t="n">
        <f aca="false">COUNTIFS('All Song Rankings'!$J:$J,A11,'All Song Rankings'!$K:$K,C11,'All Song Rankings'!$Q:$Q,"Forfeited")</f>
        <v>0</v>
      </c>
      <c r="J11" s="6" t="n">
        <f aca="false">SUMPRODUCT(--(COUNTIFS(Votes!$A:$A,A11,Votes!$B:$B,C11,Votes!$C:$C,Participants!$A$2:$A$200)&gt;0))</f>
        <v>14</v>
      </c>
      <c r="K11" s="6" t="str">
        <f aca="false">IF(H11=0,"Not started",IF(COUNTIFS('All Song Rankings'!$J:$J,A11,'All Song Rankings'!$K:$K,C11,'All Song Rankings'!$F:$F,"&gt;=0")=0,"Unscored","Scored"))</f>
        <v>Scored</v>
      </c>
      <c r="L11" s="5" t="s">
        <v>2415</v>
      </c>
    </row>
    <row r="12" customFormat="false" ht="15" hidden="false" customHeight="false" outlineLevel="0" collapsed="false">
      <c r="A12" s="5" t="n">
        <v>2</v>
      </c>
      <c r="B12" s="5" t="s">
        <v>365</v>
      </c>
      <c r="C12" s="5" t="n">
        <v>3</v>
      </c>
      <c r="D12" s="5" t="s">
        <v>2416</v>
      </c>
      <c r="E12" s="5" t="s">
        <v>2417</v>
      </c>
      <c r="F12" s="5" t="n">
        <v>10</v>
      </c>
      <c r="G12" s="5" t="n">
        <v>1</v>
      </c>
      <c r="H12" s="6" t="n">
        <f aca="false">COUNTIFS('All Song Rankings'!$J:$J,A12,'All Song Rankings'!$K:$K,C12)</f>
        <v>15</v>
      </c>
      <c r="I12" s="6" t="n">
        <f aca="false">COUNTIFS('All Song Rankings'!$J:$J,A12,'All Song Rankings'!$K:$K,C12,'All Song Rankings'!$Q:$Q,"Forfeited")</f>
        <v>0</v>
      </c>
      <c r="J12" s="6" t="n">
        <f aca="false">SUMPRODUCT(--(COUNTIFS(Votes!$A:$A,A12,Votes!$B:$B,C12,Votes!$C:$C,Participants!$A$2:$A$200)&gt;0))</f>
        <v>15</v>
      </c>
      <c r="K12" s="6" t="str">
        <f aca="false">IF(H12=0,"Not started",IF(COUNTIFS('All Song Rankings'!$J:$J,A12,'All Song Rankings'!$K:$K,C12,'All Song Rankings'!$F:$F,"&gt;=0")=0,"Unscored","Scored"))</f>
        <v>Scored</v>
      </c>
      <c r="L12" s="5" t="s">
        <v>2418</v>
      </c>
    </row>
    <row r="13" customFormat="false" ht="15" hidden="false" customHeight="false" outlineLevel="0" collapsed="false">
      <c r="A13" s="5" t="n">
        <v>2</v>
      </c>
      <c r="B13" s="5" t="s">
        <v>365</v>
      </c>
      <c r="C13" s="5" t="n">
        <v>4</v>
      </c>
      <c r="D13" s="5" t="s">
        <v>2419</v>
      </c>
      <c r="E13" s="5" t="s">
        <v>2420</v>
      </c>
      <c r="F13" s="5" t="n">
        <v>10</v>
      </c>
      <c r="G13" s="5" t="n">
        <v>1</v>
      </c>
      <c r="H13" s="6" t="n">
        <f aca="false">COUNTIFS('All Song Rankings'!$J:$J,A13,'All Song Rankings'!$K:$K,C13)</f>
        <v>14</v>
      </c>
      <c r="I13" s="6" t="n">
        <f aca="false">COUNTIFS('All Song Rankings'!$J:$J,A13,'All Song Rankings'!$K:$K,C13,'All Song Rankings'!$Q:$Q,"Forfeited")</f>
        <v>3</v>
      </c>
      <c r="J13" s="6" t="n">
        <f aca="false">SUMPRODUCT(--(COUNTIFS(Votes!$A:$A,A13,Votes!$B:$B,C13,Votes!$C:$C,Participants!$A$2:$A$200)&gt;0))</f>
        <v>11</v>
      </c>
      <c r="K13" s="6" t="str">
        <f aca="false">IF(H13=0,"Not started",IF(COUNTIFS('All Song Rankings'!$J:$J,A13,'All Song Rankings'!$K:$K,C13,'All Song Rankings'!$F:$F,"&gt;=0")=0,"Unscored","Scored"))</f>
        <v>Scored</v>
      </c>
      <c r="L13" s="5" t="s">
        <v>2421</v>
      </c>
    </row>
    <row r="14" customFormat="false" ht="15" hidden="false" customHeight="false" outlineLevel="0" collapsed="false">
      <c r="A14" s="5" t="n">
        <v>2</v>
      </c>
      <c r="B14" s="5" t="s">
        <v>365</v>
      </c>
      <c r="C14" s="5" t="n">
        <v>5</v>
      </c>
      <c r="D14" s="5" t="s">
        <v>2422</v>
      </c>
      <c r="E14" s="8" t="s">
        <v>2423</v>
      </c>
      <c r="F14" s="5" t="n">
        <v>10</v>
      </c>
      <c r="G14" s="5" t="n">
        <v>1</v>
      </c>
      <c r="H14" s="6" t="n">
        <f aca="false">COUNTIFS('All Song Rankings'!$J:$J,A14,'All Song Rankings'!$K:$K,C14)</f>
        <v>12</v>
      </c>
      <c r="I14" s="6" t="n">
        <f aca="false">COUNTIFS('All Song Rankings'!$J:$J,A14,'All Song Rankings'!$K:$K,C14,'All Song Rankings'!$Q:$Q,"Forfeited")</f>
        <v>2</v>
      </c>
      <c r="J14" s="6" t="n">
        <f aca="false">SUMPRODUCT(--(COUNTIFS(Votes!$A:$A,A14,Votes!$B:$B,C14,Votes!$C:$C,Participants!$A$2:$A$200)&gt;0))</f>
        <v>10</v>
      </c>
      <c r="K14" s="6" t="str">
        <f aca="false">IF(H14=0,"Not started",IF(COUNTIFS('All Song Rankings'!$J:$J,A14,'All Song Rankings'!$K:$K,C14,'All Song Rankings'!$F:$F,"&gt;=0")=0,"Unscored","Scored"))</f>
        <v>Scored</v>
      </c>
      <c r="L14" s="5" t="s">
        <v>2424</v>
      </c>
    </row>
    <row r="15" customFormat="false" ht="15" hidden="false" customHeight="false" outlineLevel="0" collapsed="false">
      <c r="A15" s="5" t="n">
        <v>2</v>
      </c>
      <c r="B15" s="5" t="s">
        <v>365</v>
      </c>
      <c r="C15" s="5" t="n">
        <v>6</v>
      </c>
      <c r="D15" s="5" t="s">
        <v>2425</v>
      </c>
      <c r="E15" s="5" t="s">
        <v>2426</v>
      </c>
      <c r="F15" s="5" t="n">
        <v>10</v>
      </c>
      <c r="G15" s="5" t="n">
        <v>1</v>
      </c>
      <c r="H15" s="6" t="n">
        <f aca="false">COUNTIFS('All Song Rankings'!$J:$J,A15,'All Song Rankings'!$K:$K,C15)</f>
        <v>11</v>
      </c>
      <c r="I15" s="6" t="n">
        <f aca="false">COUNTIFS('All Song Rankings'!$J:$J,A15,'All Song Rankings'!$K:$K,C15,'All Song Rankings'!$Q:$Q,"Forfeited")</f>
        <v>1</v>
      </c>
      <c r="J15" s="6" t="n">
        <f aca="false">SUMPRODUCT(--(COUNTIFS(Votes!$A:$A,A15,Votes!$B:$B,C15,Votes!$C:$C,Participants!$A$2:$A$200)&gt;0))</f>
        <v>10</v>
      </c>
      <c r="K15" s="6" t="str">
        <f aca="false">IF(H15=0,"Not started",IF(COUNTIFS('All Song Rankings'!$J:$J,A15,'All Song Rankings'!$K:$K,C15,'All Song Rankings'!$F:$F,"&gt;=0")=0,"Unscored","Scored"))</f>
        <v>Scored</v>
      </c>
      <c r="L15" s="5" t="s">
        <v>2427</v>
      </c>
    </row>
    <row r="16" customFormat="false" ht="15" hidden="false" customHeight="false" outlineLevel="0" collapsed="false">
      <c r="A16" s="5" t="n">
        <v>2</v>
      </c>
      <c r="B16" s="5" t="s">
        <v>365</v>
      </c>
      <c r="C16" s="5" t="n">
        <v>7</v>
      </c>
      <c r="D16" s="5" t="s">
        <v>2428</v>
      </c>
      <c r="E16" s="5" t="s">
        <v>2429</v>
      </c>
      <c r="F16" s="5" t="n">
        <v>10</v>
      </c>
      <c r="G16" s="5" t="n">
        <v>1</v>
      </c>
      <c r="H16" s="6" t="n">
        <f aca="false">COUNTIFS('All Song Rankings'!$J:$J,A16,'All Song Rankings'!$K:$K,C16)</f>
        <v>13</v>
      </c>
      <c r="I16" s="6" t="n">
        <f aca="false">COUNTIFS('All Song Rankings'!$J:$J,A16,'All Song Rankings'!$K:$K,C16,'All Song Rankings'!$Q:$Q,"Forfeited")</f>
        <v>3</v>
      </c>
      <c r="J16" s="6" t="n">
        <f aca="false">SUMPRODUCT(--(COUNTIFS(Votes!$A:$A,A16,Votes!$B:$B,C16,Votes!$C:$C,Participants!$A$2:$A$200)&gt;0))</f>
        <v>9</v>
      </c>
      <c r="K16" s="6" t="str">
        <f aca="false">IF(H16=0,"Not started",IF(COUNTIFS('All Song Rankings'!$J:$J,A16,'All Song Rankings'!$K:$K,C16,'All Song Rankings'!$F:$F,"&gt;=0")=0,"Unscored","Scored"))</f>
        <v>Scored</v>
      </c>
      <c r="L16" s="5" t="s">
        <v>2430</v>
      </c>
    </row>
    <row r="17" customFormat="false" ht="15" hidden="false" customHeight="false" outlineLevel="0" collapsed="false">
      <c r="A17" s="5" t="n">
        <v>2</v>
      </c>
      <c r="B17" s="5" t="s">
        <v>365</v>
      </c>
      <c r="C17" s="5" t="n">
        <v>8</v>
      </c>
      <c r="D17" s="5" t="s">
        <v>2431</v>
      </c>
      <c r="E17" s="8" t="s">
        <v>2432</v>
      </c>
      <c r="F17" s="5" t="n">
        <v>10</v>
      </c>
      <c r="G17" s="5" t="n">
        <v>1</v>
      </c>
      <c r="H17" s="6" t="n">
        <f aca="false">COUNTIFS('All Song Rankings'!$J:$J,A17,'All Song Rankings'!$K:$K,C17)</f>
        <v>13</v>
      </c>
      <c r="I17" s="6" t="n">
        <f aca="false">COUNTIFS('All Song Rankings'!$J:$J,A17,'All Song Rankings'!$K:$K,C17,'All Song Rankings'!$Q:$Q,"Forfeited")</f>
        <v>0</v>
      </c>
      <c r="J17" s="6" t="n">
        <f aca="false">SUMPRODUCT(--(COUNTIFS(Votes!$A:$A,A17,Votes!$B:$B,C17,Votes!$C:$C,Participants!$A$2:$A$200)&gt;0))</f>
        <v>13</v>
      </c>
      <c r="K17" s="6" t="str">
        <f aca="false">IF(H17=0,"Not started",IF(COUNTIFS('All Song Rankings'!$J:$J,A17,'All Song Rankings'!$K:$K,C17,'All Song Rankings'!$F:$F,"&gt;=0")=0,"Unscored","Scored"))</f>
        <v>Scored</v>
      </c>
      <c r="L17" s="5" t="s">
        <v>2433</v>
      </c>
    </row>
    <row r="18" customFormat="false" ht="15" hidden="false" customHeight="false" outlineLevel="0" collapsed="false">
      <c r="A18" s="5" t="n">
        <v>3</v>
      </c>
      <c r="B18" s="5" t="s">
        <v>687</v>
      </c>
      <c r="C18" s="5" t="n">
        <v>1</v>
      </c>
      <c r="D18" s="5" t="s">
        <v>2434</v>
      </c>
      <c r="E18" s="5" t="s">
        <v>2435</v>
      </c>
      <c r="F18" s="5" t="n">
        <v>10</v>
      </c>
      <c r="G18" s="5" t="n">
        <v>1</v>
      </c>
      <c r="H18" s="6" t="n">
        <f aca="false">COUNTIFS('All Song Rankings'!$J:$J,A18,'All Song Rankings'!$K:$K,C18)</f>
        <v>15</v>
      </c>
      <c r="I18" s="6" t="n">
        <f aca="false">COUNTIFS('All Song Rankings'!$J:$J,A18,'All Song Rankings'!$K:$K,C18,'All Song Rankings'!$Q:$Q,"Forfeited")</f>
        <v>0</v>
      </c>
      <c r="J18" s="6" t="n">
        <f aca="false">SUMPRODUCT(--(COUNTIFS(Votes!$A:$A,A18,Votes!$B:$B,C18,Votes!$C:$C,Participants!$A$2:$A$200)&gt;0))</f>
        <v>15</v>
      </c>
      <c r="K18" s="6" t="str">
        <f aca="false">IF(H18=0,"Not started",IF(COUNTIFS('All Song Rankings'!$J:$J,A18,'All Song Rankings'!$K:$K,C18,'All Song Rankings'!$F:$F,"&gt;=0")=0,"Unscored","Scored"))</f>
        <v>Scored</v>
      </c>
      <c r="L18" s="5" t="s">
        <v>2436</v>
      </c>
    </row>
    <row r="19" customFormat="false" ht="15" hidden="false" customHeight="false" outlineLevel="0" collapsed="false">
      <c r="A19" s="5" t="n">
        <v>3</v>
      </c>
      <c r="B19" s="5" t="s">
        <v>687</v>
      </c>
      <c r="C19" s="5" t="n">
        <v>2</v>
      </c>
      <c r="D19" s="5" t="s">
        <v>2437</v>
      </c>
      <c r="E19" s="5" t="s">
        <v>2438</v>
      </c>
      <c r="F19" s="5" t="n">
        <v>10</v>
      </c>
      <c r="G19" s="5" t="n">
        <v>1</v>
      </c>
      <c r="H19" s="6" t="n">
        <f aca="false">COUNTIFS('All Song Rankings'!$J:$J,A19,'All Song Rankings'!$K:$K,C19)</f>
        <v>15</v>
      </c>
      <c r="I19" s="6" t="n">
        <f aca="false">COUNTIFS('All Song Rankings'!$J:$J,A19,'All Song Rankings'!$K:$K,C19,'All Song Rankings'!$Q:$Q,"Forfeited")</f>
        <v>1</v>
      </c>
      <c r="J19" s="6" t="n">
        <f aca="false">SUMPRODUCT(--(COUNTIFS(Votes!$A:$A,A19,Votes!$B:$B,C19,Votes!$C:$C,Participants!$A$2:$A$200)&gt;0))</f>
        <v>14</v>
      </c>
      <c r="K19" s="6" t="str">
        <f aca="false">IF(H19=0,"Not started",IF(COUNTIFS('All Song Rankings'!$J:$J,A19,'All Song Rankings'!$K:$K,C19,'All Song Rankings'!$F:$F,"&gt;=0")=0,"Unscored","Scored"))</f>
        <v>Scored</v>
      </c>
      <c r="L19" s="5" t="s">
        <v>2439</v>
      </c>
    </row>
    <row r="20" customFormat="false" ht="15" hidden="false" customHeight="false" outlineLevel="0" collapsed="false">
      <c r="A20" s="5" t="n">
        <v>3</v>
      </c>
      <c r="B20" s="5" t="s">
        <v>687</v>
      </c>
      <c r="C20" s="5" t="n">
        <v>3</v>
      </c>
      <c r="D20" s="5" t="s">
        <v>2440</v>
      </c>
      <c r="E20" s="5" t="s">
        <v>2441</v>
      </c>
      <c r="F20" s="5" t="n">
        <v>10</v>
      </c>
      <c r="G20" s="5" t="n">
        <v>1</v>
      </c>
      <c r="H20" s="6" t="n">
        <f aca="false">COUNTIFS('All Song Rankings'!$J:$J,A20,'All Song Rankings'!$K:$K,C20)</f>
        <v>15</v>
      </c>
      <c r="I20" s="6" t="n">
        <f aca="false">COUNTIFS('All Song Rankings'!$J:$J,A20,'All Song Rankings'!$K:$K,C20,'All Song Rankings'!$Q:$Q,"Forfeited")</f>
        <v>0</v>
      </c>
      <c r="J20" s="6" t="n">
        <f aca="false">SUMPRODUCT(--(COUNTIFS(Votes!$A:$A,A20,Votes!$B:$B,C20,Votes!$C:$C,Participants!$A$2:$A$200)&gt;0))</f>
        <v>15</v>
      </c>
      <c r="K20" s="6" t="str">
        <f aca="false">IF(H20=0,"Not started",IF(COUNTIFS('All Song Rankings'!$J:$J,A20,'All Song Rankings'!$K:$K,C20,'All Song Rankings'!$F:$F,"&gt;=0")=0,"Unscored","Scored"))</f>
        <v>Scored</v>
      </c>
      <c r="L20" s="5" t="s">
        <v>2442</v>
      </c>
    </row>
    <row r="21" customFormat="false" ht="15" hidden="false" customHeight="false" outlineLevel="0" collapsed="false">
      <c r="A21" s="5" t="n">
        <v>3</v>
      </c>
      <c r="B21" s="5" t="s">
        <v>687</v>
      </c>
      <c r="C21" s="5" t="n">
        <v>4</v>
      </c>
      <c r="D21" s="5" t="s">
        <v>2443</v>
      </c>
      <c r="E21" s="5" t="s">
        <v>2444</v>
      </c>
      <c r="F21" s="5" t="n">
        <v>10</v>
      </c>
      <c r="G21" s="5" t="n">
        <v>1</v>
      </c>
      <c r="H21" s="6" t="n">
        <f aca="false">COUNTIFS('All Song Rankings'!$J:$J,A21,'All Song Rankings'!$K:$K,C21)</f>
        <v>15</v>
      </c>
      <c r="I21" s="6" t="n">
        <f aca="false">COUNTIFS('All Song Rankings'!$J:$J,A21,'All Song Rankings'!$K:$K,C21,'All Song Rankings'!$Q:$Q,"Forfeited")</f>
        <v>2</v>
      </c>
      <c r="J21" s="6" t="n">
        <f aca="false">SUMPRODUCT(--(COUNTIFS(Votes!$A:$A,A21,Votes!$B:$B,C21,Votes!$C:$C,Participants!$A$2:$A$200)&gt;0))</f>
        <v>13</v>
      </c>
      <c r="K21" s="6" t="str">
        <f aca="false">IF(H21=0,"Not started",IF(COUNTIFS('All Song Rankings'!$J:$J,A21,'All Song Rankings'!$K:$K,C21,'All Song Rankings'!$F:$F,"&gt;=0")=0,"Unscored","Scored"))</f>
        <v>Scored</v>
      </c>
      <c r="L21" s="5" t="s">
        <v>2445</v>
      </c>
    </row>
    <row r="22" customFormat="false" ht="15" hidden="false" customHeight="false" outlineLevel="0" collapsed="false">
      <c r="A22" s="5" t="n">
        <v>3</v>
      </c>
      <c r="B22" s="5" t="s">
        <v>687</v>
      </c>
      <c r="C22" s="5" t="n">
        <v>5</v>
      </c>
      <c r="D22" s="5" t="s">
        <v>2446</v>
      </c>
      <c r="E22" s="5" t="s">
        <v>2447</v>
      </c>
      <c r="F22" s="5" t="n">
        <v>10</v>
      </c>
      <c r="G22" s="5" t="n">
        <v>1</v>
      </c>
      <c r="H22" s="6" t="n">
        <f aca="false">COUNTIFS('All Song Rankings'!$J:$J,A22,'All Song Rankings'!$K:$K,C22)</f>
        <v>14</v>
      </c>
      <c r="I22" s="6" t="n">
        <f aca="false">COUNTIFS('All Song Rankings'!$J:$J,A22,'All Song Rankings'!$K:$K,C22,'All Song Rankings'!$Q:$Q,"Forfeited")</f>
        <v>1</v>
      </c>
      <c r="J22" s="6" t="n">
        <f aca="false">SUMPRODUCT(--(COUNTIFS(Votes!$A:$A,A22,Votes!$B:$B,C22,Votes!$C:$C,Participants!$A$2:$A$200)&gt;0))</f>
        <v>13</v>
      </c>
      <c r="K22" s="6" t="str">
        <f aca="false">IF(H22=0,"Not started",IF(COUNTIFS('All Song Rankings'!$J:$J,A22,'All Song Rankings'!$K:$K,C22,'All Song Rankings'!$F:$F,"&gt;=0")=0,"Unscored","Scored"))</f>
        <v>Scored</v>
      </c>
      <c r="L22" s="5" t="s">
        <v>2448</v>
      </c>
    </row>
    <row r="23" customFormat="false" ht="15" hidden="false" customHeight="false" outlineLevel="0" collapsed="false">
      <c r="A23" s="5" t="n">
        <v>3</v>
      </c>
      <c r="B23" s="5" t="s">
        <v>687</v>
      </c>
      <c r="C23" s="5" t="n">
        <v>6</v>
      </c>
      <c r="D23" s="5" t="s">
        <v>2449</v>
      </c>
      <c r="E23" s="5" t="s">
        <v>2450</v>
      </c>
      <c r="F23" s="5" t="n">
        <v>10</v>
      </c>
      <c r="G23" s="5" t="n">
        <v>1</v>
      </c>
      <c r="H23" s="6" t="n">
        <f aca="false">COUNTIFS('All Song Rankings'!$J:$J,A23,'All Song Rankings'!$K:$K,C23)</f>
        <v>15</v>
      </c>
      <c r="I23" s="6" t="n">
        <f aca="false">COUNTIFS('All Song Rankings'!$J:$J,A23,'All Song Rankings'!$K:$K,C23,'All Song Rankings'!$Q:$Q,"Forfeited")</f>
        <v>0</v>
      </c>
      <c r="J23" s="6" t="n">
        <f aca="false">SUMPRODUCT(--(COUNTIFS(Votes!$A:$A,A23,Votes!$B:$B,C23,Votes!$C:$C,Participants!$A$2:$A$200)&gt;0))</f>
        <v>15</v>
      </c>
      <c r="K23" s="6" t="str">
        <f aca="false">IF(H23=0,"Not started",IF(COUNTIFS('All Song Rankings'!$J:$J,A23,'All Song Rankings'!$K:$K,C23,'All Song Rankings'!$F:$F,"&gt;=0")=0,"Unscored","Scored"))</f>
        <v>Scored</v>
      </c>
      <c r="L23" s="5" t="s">
        <v>2451</v>
      </c>
    </row>
    <row r="24" customFormat="false" ht="15" hidden="false" customHeight="false" outlineLevel="0" collapsed="false">
      <c r="A24" s="5" t="n">
        <v>3</v>
      </c>
      <c r="B24" s="5" t="s">
        <v>687</v>
      </c>
      <c r="C24" s="5" t="n">
        <v>7</v>
      </c>
      <c r="D24" s="5" t="s">
        <v>2452</v>
      </c>
      <c r="E24" s="5" t="s">
        <v>2453</v>
      </c>
      <c r="F24" s="5" t="n">
        <v>10</v>
      </c>
      <c r="G24" s="5" t="n">
        <v>1</v>
      </c>
      <c r="H24" s="6" t="n">
        <f aca="false">COUNTIFS('All Song Rankings'!$J:$J,A24,'All Song Rankings'!$K:$K,C24)</f>
        <v>15</v>
      </c>
      <c r="I24" s="6" t="n">
        <f aca="false">COUNTIFS('All Song Rankings'!$J:$J,A24,'All Song Rankings'!$K:$K,C24,'All Song Rankings'!$Q:$Q,"Forfeited")</f>
        <v>1</v>
      </c>
      <c r="J24" s="6" t="n">
        <f aca="false">SUMPRODUCT(--(COUNTIFS(Votes!$A:$A,A24,Votes!$B:$B,C24,Votes!$C:$C,Participants!$A$2:$A$200)&gt;0))</f>
        <v>14</v>
      </c>
      <c r="K24" s="6" t="str">
        <f aca="false">IF(H24=0,"Not started",IF(COUNTIFS('All Song Rankings'!$J:$J,A24,'All Song Rankings'!$K:$K,C24,'All Song Rankings'!$F:$F,"&gt;=0")=0,"Unscored","Scored"))</f>
        <v>Scored</v>
      </c>
      <c r="L24" s="5" t="s">
        <v>2454</v>
      </c>
    </row>
    <row r="25" customFormat="false" ht="15" hidden="false" customHeight="false" outlineLevel="0" collapsed="false">
      <c r="A25" s="5" t="n">
        <v>3</v>
      </c>
      <c r="B25" s="5" t="s">
        <v>687</v>
      </c>
      <c r="C25" s="5" t="n">
        <v>8</v>
      </c>
      <c r="D25" s="5" t="s">
        <v>2455</v>
      </c>
      <c r="E25" s="5" t="s">
        <v>2456</v>
      </c>
      <c r="F25" s="5" t="n">
        <v>10</v>
      </c>
      <c r="G25" s="5" t="n">
        <v>1</v>
      </c>
      <c r="H25" s="6" t="n">
        <f aca="false">COUNTIFS('All Song Rankings'!$J:$J,A25,'All Song Rankings'!$K:$K,C25)</f>
        <v>13</v>
      </c>
      <c r="I25" s="6" t="n">
        <f aca="false">COUNTIFS('All Song Rankings'!$J:$J,A25,'All Song Rankings'!$K:$K,C25,'All Song Rankings'!$Q:$Q,"Forfeited")</f>
        <v>0</v>
      </c>
      <c r="J25" s="6" t="n">
        <f aca="false">SUMPRODUCT(--(COUNTIFS(Votes!$A:$A,A25,Votes!$B:$B,C25,Votes!$C:$C,Participants!$A$2:$A$200)&gt;0))</f>
        <v>13</v>
      </c>
      <c r="K25" s="6" t="str">
        <f aca="false">IF(H25=0,"Not started",IF(COUNTIFS('All Song Rankings'!$J:$J,A25,'All Song Rankings'!$K:$K,C25,'All Song Rankings'!$F:$F,"&gt;=0")=0,"Unscored","Scored"))</f>
        <v>Scored</v>
      </c>
      <c r="L25" s="5" t="s">
        <v>2457</v>
      </c>
    </row>
    <row r="26" customFormat="false" ht="15" hidden="false" customHeight="false" outlineLevel="0" collapsed="false">
      <c r="A26" s="5" t="n">
        <v>4</v>
      </c>
      <c r="B26" s="5" t="s">
        <v>1019</v>
      </c>
      <c r="C26" s="5" t="n">
        <v>1</v>
      </c>
      <c r="D26" s="5" t="s">
        <v>2458</v>
      </c>
      <c r="E26" s="5" t="s">
        <v>2459</v>
      </c>
      <c r="F26" s="5" t="n">
        <v>10</v>
      </c>
      <c r="G26" s="5" t="n">
        <v>1</v>
      </c>
      <c r="H26" s="6" t="n">
        <f aca="false">COUNTIFS('All Song Rankings'!$J:$J,A26,'All Song Rankings'!$K:$K,C26)</f>
        <v>14</v>
      </c>
      <c r="I26" s="6" t="n">
        <f aca="false">COUNTIFS('All Song Rankings'!$J:$J,A26,'All Song Rankings'!$K:$K,C26,'All Song Rankings'!$Q:$Q,"Forfeited")</f>
        <v>2</v>
      </c>
      <c r="J26" s="6" t="n">
        <f aca="false">SUMPRODUCT(--(COUNTIFS(Votes!$A:$A,A26,Votes!$B:$B,C26,Votes!$C:$C,Participants!$A$2:$A$200)&gt;0))</f>
        <v>12</v>
      </c>
      <c r="K26" s="6" t="str">
        <f aca="false">IF(H26=0,"Not started",IF(COUNTIFS('All Song Rankings'!$J:$J,A26,'All Song Rankings'!$K:$K,C26,'All Song Rankings'!$F:$F,"&gt;=0")=0,"Unscored","Scored"))</f>
        <v>Scored</v>
      </c>
      <c r="L26" s="5" t="s">
        <v>2460</v>
      </c>
    </row>
    <row r="27" customFormat="false" ht="15" hidden="false" customHeight="false" outlineLevel="0" collapsed="false">
      <c r="A27" s="5" t="n">
        <v>4</v>
      </c>
      <c r="B27" s="5" t="s">
        <v>1019</v>
      </c>
      <c r="C27" s="5" t="n">
        <v>2</v>
      </c>
      <c r="D27" s="5" t="s">
        <v>2461</v>
      </c>
      <c r="E27" s="5" t="s">
        <v>2462</v>
      </c>
      <c r="F27" s="5" t="n">
        <v>10</v>
      </c>
      <c r="G27" s="5" t="n">
        <v>1</v>
      </c>
      <c r="H27" s="6" t="n">
        <f aca="false">COUNTIFS('All Song Rankings'!$J:$J,A27,'All Song Rankings'!$K:$K,C27)</f>
        <v>14</v>
      </c>
      <c r="I27" s="6" t="n">
        <f aca="false">COUNTIFS('All Song Rankings'!$J:$J,A27,'All Song Rankings'!$K:$K,C27,'All Song Rankings'!$Q:$Q,"Forfeited")</f>
        <v>0</v>
      </c>
      <c r="J27" s="6" t="n">
        <f aca="false">SUMPRODUCT(--(COUNTIFS(Votes!$A:$A,A27,Votes!$B:$B,C27,Votes!$C:$C,Participants!$A$2:$A$200)&gt;0))</f>
        <v>14</v>
      </c>
      <c r="K27" s="6" t="str">
        <f aca="false">IF(H27=0,"Not started",IF(COUNTIFS('All Song Rankings'!$J:$J,A27,'All Song Rankings'!$K:$K,C27,'All Song Rankings'!$F:$F,"&gt;=0")=0,"Unscored","Scored"))</f>
        <v>Scored</v>
      </c>
      <c r="L27" s="5" t="s">
        <v>2463</v>
      </c>
    </row>
    <row r="28" customFormat="false" ht="15" hidden="false" customHeight="false" outlineLevel="0" collapsed="false">
      <c r="A28" s="5" t="n">
        <v>4</v>
      </c>
      <c r="B28" s="5" t="s">
        <v>1019</v>
      </c>
      <c r="C28" s="5" t="n">
        <v>3</v>
      </c>
      <c r="D28" s="5" t="s">
        <v>2464</v>
      </c>
      <c r="E28" s="5" t="s">
        <v>2465</v>
      </c>
      <c r="F28" s="5" t="n">
        <v>10</v>
      </c>
      <c r="G28" s="5" t="n">
        <v>1</v>
      </c>
      <c r="H28" s="6" t="n">
        <f aca="false">COUNTIFS('All Song Rankings'!$J:$J,A28,'All Song Rankings'!$K:$K,C28)</f>
        <v>14</v>
      </c>
      <c r="I28" s="6" t="n">
        <f aca="false">COUNTIFS('All Song Rankings'!$J:$J,A28,'All Song Rankings'!$K:$K,C28,'All Song Rankings'!$Q:$Q,"Forfeited")</f>
        <v>0</v>
      </c>
      <c r="J28" s="6" t="n">
        <f aca="false">SUMPRODUCT(--(COUNTIFS(Votes!$A:$A,A28,Votes!$B:$B,C28,Votes!$C:$C,Participants!$A$2:$A$200)&gt;0))</f>
        <v>14</v>
      </c>
      <c r="K28" s="6" t="str">
        <f aca="false">IF(H28=0,"Not started",IF(COUNTIFS('All Song Rankings'!$J:$J,A28,'All Song Rankings'!$K:$K,C28,'All Song Rankings'!$F:$F,"&gt;=0")=0,"Unscored","Scored"))</f>
        <v>Scored</v>
      </c>
      <c r="L28" s="5" t="s">
        <v>2466</v>
      </c>
    </row>
    <row r="29" customFormat="false" ht="15" hidden="false" customHeight="false" outlineLevel="0" collapsed="false">
      <c r="A29" s="5" t="n">
        <v>4</v>
      </c>
      <c r="B29" s="5" t="s">
        <v>1019</v>
      </c>
      <c r="C29" s="5" t="n">
        <v>4</v>
      </c>
      <c r="D29" s="5" t="s">
        <v>2467</v>
      </c>
      <c r="E29" s="5" t="s">
        <v>2468</v>
      </c>
      <c r="F29" s="5" t="n">
        <v>10</v>
      </c>
      <c r="G29" s="5" t="n">
        <v>1</v>
      </c>
      <c r="H29" s="6" t="n">
        <f aca="false">COUNTIFS('All Song Rankings'!$J:$J,A29,'All Song Rankings'!$K:$K,C29)</f>
        <v>14</v>
      </c>
      <c r="I29" s="6" t="n">
        <f aca="false">COUNTIFS('All Song Rankings'!$J:$J,A29,'All Song Rankings'!$K:$K,C29,'All Song Rankings'!$Q:$Q,"Forfeited")</f>
        <v>0</v>
      </c>
      <c r="J29" s="6" t="n">
        <f aca="false">SUMPRODUCT(--(COUNTIFS(Votes!$A:$A,A29,Votes!$B:$B,C29,Votes!$C:$C,Participants!$A$2:$A$200)&gt;0))</f>
        <v>14</v>
      </c>
      <c r="K29" s="6" t="str">
        <f aca="false">IF(H29=0,"Not started",IF(COUNTIFS('All Song Rankings'!$J:$J,A29,'All Song Rankings'!$K:$K,C29,'All Song Rankings'!$F:$F,"&gt;=0")=0,"Unscored","Scored"))</f>
        <v>Scored</v>
      </c>
      <c r="L29" s="5" t="s">
        <v>2469</v>
      </c>
    </row>
    <row r="30" customFormat="false" ht="15" hidden="false" customHeight="false" outlineLevel="0" collapsed="false">
      <c r="A30" s="5" t="n">
        <v>4</v>
      </c>
      <c r="B30" s="5" t="s">
        <v>1019</v>
      </c>
      <c r="C30" s="5" t="n">
        <v>5</v>
      </c>
      <c r="D30" s="5" t="s">
        <v>2470</v>
      </c>
      <c r="E30" s="5" t="s">
        <v>2471</v>
      </c>
      <c r="F30" s="5" t="n">
        <v>10</v>
      </c>
      <c r="G30" s="5" t="n">
        <v>1</v>
      </c>
      <c r="H30" s="6" t="n">
        <f aca="false">COUNTIFS('All Song Rankings'!$J:$J,A30,'All Song Rankings'!$K:$K,C30)</f>
        <v>14</v>
      </c>
      <c r="I30" s="6" t="n">
        <f aca="false">COUNTIFS('All Song Rankings'!$J:$J,A30,'All Song Rankings'!$K:$K,C30,'All Song Rankings'!$Q:$Q,"Forfeited")</f>
        <v>2</v>
      </c>
      <c r="J30" s="6" t="n">
        <f aca="false">SUMPRODUCT(--(COUNTIFS(Votes!$A:$A,A30,Votes!$B:$B,C30,Votes!$C:$C,Participants!$A$2:$A$200)&gt;0))</f>
        <v>12</v>
      </c>
      <c r="K30" s="6" t="str">
        <f aca="false">IF(H30=0,"Not started",IF(COUNTIFS('All Song Rankings'!$J:$J,A30,'All Song Rankings'!$K:$K,C30,'All Song Rankings'!$F:$F,"&gt;=0")=0,"Unscored","Scored"))</f>
        <v>Scored</v>
      </c>
      <c r="L30" s="5" t="s">
        <v>2472</v>
      </c>
    </row>
    <row r="31" customFormat="false" ht="15" hidden="false" customHeight="false" outlineLevel="0" collapsed="false">
      <c r="A31" s="5" t="n">
        <v>4</v>
      </c>
      <c r="B31" s="5" t="s">
        <v>1019</v>
      </c>
      <c r="C31" s="5" t="n">
        <v>6</v>
      </c>
      <c r="D31" s="5" t="s">
        <v>2473</v>
      </c>
      <c r="E31" s="5" t="s">
        <v>2474</v>
      </c>
      <c r="F31" s="5" t="n">
        <v>10</v>
      </c>
      <c r="G31" s="5" t="n">
        <v>1</v>
      </c>
      <c r="H31" s="6" t="n">
        <f aca="false">COUNTIFS('All Song Rankings'!$J:$J,A31,'All Song Rankings'!$K:$K,C31)</f>
        <v>13</v>
      </c>
      <c r="I31" s="6" t="n">
        <f aca="false">COUNTIFS('All Song Rankings'!$J:$J,A31,'All Song Rankings'!$K:$K,C31,'All Song Rankings'!$Q:$Q,"Forfeited")</f>
        <v>0</v>
      </c>
      <c r="J31" s="6" t="n">
        <f aca="false">SUMPRODUCT(--(COUNTIFS(Votes!$A:$A,A31,Votes!$B:$B,C31,Votes!$C:$C,Participants!$A$2:$A$200)&gt;0))</f>
        <v>13</v>
      </c>
      <c r="K31" s="6" t="str">
        <f aca="false">IF(H31=0,"Not started",IF(COUNTIFS('All Song Rankings'!$J:$J,A31,'All Song Rankings'!$K:$K,C31,'All Song Rankings'!$F:$F,"&gt;=0")=0,"Unscored","Scored"))</f>
        <v>Scored</v>
      </c>
      <c r="L31" s="5" t="s">
        <v>2475</v>
      </c>
    </row>
    <row r="32" customFormat="false" ht="15" hidden="false" customHeight="false" outlineLevel="0" collapsed="false">
      <c r="A32" s="5" t="n">
        <v>4</v>
      </c>
      <c r="B32" s="5" t="s">
        <v>1019</v>
      </c>
      <c r="C32" s="5" t="n">
        <v>7</v>
      </c>
      <c r="D32" s="5" t="s">
        <v>2476</v>
      </c>
      <c r="E32" s="5" t="s">
        <v>2477</v>
      </c>
      <c r="F32" s="5" t="n">
        <v>10</v>
      </c>
      <c r="G32" s="5" t="n">
        <v>1</v>
      </c>
      <c r="H32" s="6" t="n">
        <f aca="false">COUNTIFS('All Song Rankings'!$J:$J,A32,'All Song Rankings'!$K:$K,C32)</f>
        <v>14</v>
      </c>
      <c r="I32" s="6" t="n">
        <f aca="false">COUNTIFS('All Song Rankings'!$J:$J,A32,'All Song Rankings'!$K:$K,C32,'All Song Rankings'!$Q:$Q,"Forfeited")</f>
        <v>1</v>
      </c>
      <c r="J32" s="6" t="n">
        <f aca="false">SUMPRODUCT(--(COUNTIFS(Votes!$A:$A,A32,Votes!$B:$B,C32,Votes!$C:$C,Participants!$A$2:$A$200)&gt;0))</f>
        <v>13</v>
      </c>
      <c r="K32" s="6" t="str">
        <f aca="false">IF(H32=0,"Not started",IF(COUNTIFS('All Song Rankings'!$J:$J,A32,'All Song Rankings'!$K:$K,C32,'All Song Rankings'!$F:$F,"&gt;=0")=0,"Unscored","Scored"))</f>
        <v>Scored</v>
      </c>
      <c r="L32" s="5" t="s">
        <v>2478</v>
      </c>
    </row>
    <row r="33" customFormat="false" ht="15" hidden="false" customHeight="false" outlineLevel="0" collapsed="false">
      <c r="A33" s="5" t="n">
        <v>4</v>
      </c>
      <c r="B33" s="5" t="s">
        <v>1019</v>
      </c>
      <c r="C33" s="5" t="n">
        <v>8</v>
      </c>
      <c r="D33" s="5" t="s">
        <v>2479</v>
      </c>
      <c r="E33" s="5" t="s">
        <v>2480</v>
      </c>
      <c r="F33" s="5" t="n">
        <v>5</v>
      </c>
      <c r="G33" s="5" t="n">
        <v>1</v>
      </c>
      <c r="H33" s="6" t="n">
        <f aca="false">COUNTIFS('All Song Rankings'!$J:$J,A33,'All Song Rankings'!$K:$K,C33)</f>
        <v>13</v>
      </c>
      <c r="I33" s="6" t="n">
        <f aca="false">COUNTIFS('All Song Rankings'!$J:$J,A33,'All Song Rankings'!$K:$K,C33,'All Song Rankings'!$Q:$Q,"Forfeited")</f>
        <v>0</v>
      </c>
      <c r="J33" s="6" t="n">
        <f aca="false">SUMPRODUCT(--(COUNTIFS(Votes!$A:$A,A33,Votes!$B:$B,C33,Votes!$C:$C,Participants!$A$2:$A$200)&gt;0))</f>
        <v>13</v>
      </c>
      <c r="K33" s="6" t="str">
        <f aca="false">IF(H33=0,"Not started",IF(COUNTIFS('All Song Rankings'!$J:$J,A33,'All Song Rankings'!$K:$K,C33,'All Song Rankings'!$F:$F,"&gt;=0")=0,"Unscored","Scored"))</f>
        <v>Scored</v>
      </c>
      <c r="L33" s="5" t="s">
        <v>2481</v>
      </c>
    </row>
    <row r="34" customFormat="false" ht="15" hidden="false" customHeight="false" outlineLevel="0" collapsed="false">
      <c r="A34" s="5" t="n">
        <v>5</v>
      </c>
      <c r="B34" s="5" t="s">
        <v>1335</v>
      </c>
      <c r="C34" s="5" t="n">
        <v>1</v>
      </c>
      <c r="D34" s="5" t="s">
        <v>2482</v>
      </c>
      <c r="E34" s="5" t="s">
        <v>2483</v>
      </c>
      <c r="F34" s="5" t="n">
        <v>10</v>
      </c>
      <c r="G34" s="5" t="n">
        <v>1</v>
      </c>
      <c r="H34" s="6" t="n">
        <f aca="false">COUNTIFS('All Song Rankings'!$J:$J,A34,'All Song Rankings'!$K:$K,C34)</f>
        <v>16</v>
      </c>
      <c r="I34" s="6" t="n">
        <f aca="false">COUNTIFS('All Song Rankings'!$J:$J,A34,'All Song Rankings'!$K:$K,C34,'All Song Rankings'!$Q:$Q,"Forfeited")</f>
        <v>2</v>
      </c>
      <c r="J34" s="6" t="n">
        <f aca="false">SUMPRODUCT(--(COUNTIFS(Votes!$A:$A,A34,Votes!$B:$B,C34,Votes!$C:$C,Participants!$A$2:$A$200)&gt;0))</f>
        <v>14</v>
      </c>
      <c r="K34" s="6" t="str">
        <f aca="false">IF(H34=0,"Not started",IF(COUNTIFS('All Song Rankings'!$J:$J,A34,'All Song Rankings'!$K:$K,C34,'All Song Rankings'!$F:$F,"&gt;=0")=0,"Unscored","Scored"))</f>
        <v>Scored</v>
      </c>
      <c r="L34" s="5" t="s">
        <v>2484</v>
      </c>
    </row>
    <row r="35" customFormat="false" ht="15" hidden="false" customHeight="false" outlineLevel="0" collapsed="false">
      <c r="A35" s="5" t="n">
        <v>5</v>
      </c>
      <c r="B35" s="5" t="s">
        <v>1335</v>
      </c>
      <c r="C35" s="5" t="n">
        <v>2</v>
      </c>
      <c r="D35" s="5" t="s">
        <v>2485</v>
      </c>
      <c r="E35" s="8" t="s">
        <v>2486</v>
      </c>
      <c r="F35" s="5" t="n">
        <v>10</v>
      </c>
      <c r="G35" s="5" t="n">
        <v>1</v>
      </c>
      <c r="H35" s="6" t="n">
        <f aca="false">COUNTIFS('All Song Rankings'!$J:$J,A35,'All Song Rankings'!$K:$K,C35)</f>
        <v>15</v>
      </c>
      <c r="I35" s="6" t="n">
        <f aca="false">COUNTIFS('All Song Rankings'!$J:$J,A35,'All Song Rankings'!$K:$K,C35,'All Song Rankings'!$Q:$Q,"Forfeited")</f>
        <v>0</v>
      </c>
      <c r="J35" s="6" t="n">
        <f aca="false">SUMPRODUCT(--(COUNTIFS(Votes!$A:$A,A35,Votes!$B:$B,C35,Votes!$C:$C,Participants!$A$2:$A$200)&gt;0))</f>
        <v>15</v>
      </c>
      <c r="K35" s="6" t="str">
        <f aca="false">IF(H35=0,"Not started",IF(COUNTIFS('All Song Rankings'!$J:$J,A35,'All Song Rankings'!$K:$K,C35,'All Song Rankings'!$F:$F,"&gt;=0")=0,"Unscored","Scored"))</f>
        <v>Scored</v>
      </c>
      <c r="L35" s="5" t="s">
        <v>2487</v>
      </c>
    </row>
    <row r="36" customFormat="false" ht="15" hidden="false" customHeight="false" outlineLevel="0" collapsed="false">
      <c r="A36" s="5" t="n">
        <v>5</v>
      </c>
      <c r="B36" s="5" t="s">
        <v>1335</v>
      </c>
      <c r="C36" s="5" t="n">
        <v>3</v>
      </c>
      <c r="D36" s="5" t="s">
        <v>2488</v>
      </c>
      <c r="E36" s="5" t="s">
        <v>2489</v>
      </c>
      <c r="F36" s="5" t="n">
        <v>10</v>
      </c>
      <c r="G36" s="5" t="n">
        <v>1</v>
      </c>
      <c r="H36" s="6" t="n">
        <f aca="false">COUNTIFS('All Song Rankings'!$J:$J,A36,'All Song Rankings'!$K:$K,C36)</f>
        <v>15</v>
      </c>
      <c r="I36" s="6" t="n">
        <f aca="false">COUNTIFS('All Song Rankings'!$J:$J,A36,'All Song Rankings'!$K:$K,C36,'All Song Rankings'!$Q:$Q,"Forfeited")</f>
        <v>0</v>
      </c>
      <c r="J36" s="6" t="n">
        <f aca="false">SUMPRODUCT(--(COUNTIFS(Votes!$A:$A,A36,Votes!$B:$B,C36,Votes!$C:$C,Participants!$A$2:$A$200)&gt;0))</f>
        <v>15</v>
      </c>
      <c r="K36" s="6" t="str">
        <f aca="false">IF(H36=0,"Not started",IF(COUNTIFS('All Song Rankings'!$J:$J,A36,'All Song Rankings'!$K:$K,C36,'All Song Rankings'!$F:$F,"&gt;=0")=0,"Unscored","Scored"))</f>
        <v>Scored</v>
      </c>
      <c r="L36" s="5" t="s">
        <v>2490</v>
      </c>
    </row>
    <row r="37" customFormat="false" ht="15" hidden="false" customHeight="false" outlineLevel="0" collapsed="false">
      <c r="A37" s="5" t="n">
        <v>5</v>
      </c>
      <c r="B37" s="5" t="s">
        <v>1335</v>
      </c>
      <c r="C37" s="5" t="n">
        <v>4</v>
      </c>
      <c r="D37" s="5" t="s">
        <v>2491</v>
      </c>
      <c r="E37" s="5" t="s">
        <v>2492</v>
      </c>
      <c r="F37" s="5" t="n">
        <v>10</v>
      </c>
      <c r="G37" s="5" t="n">
        <v>1</v>
      </c>
      <c r="H37" s="6" t="n">
        <f aca="false">COUNTIFS('All Song Rankings'!$J:$J,A37,'All Song Rankings'!$K:$K,C37)</f>
        <v>14</v>
      </c>
      <c r="I37" s="6" t="n">
        <f aca="false">COUNTIFS('All Song Rankings'!$J:$J,A37,'All Song Rankings'!$K:$K,C37,'All Song Rankings'!$Q:$Q,"Forfeited")</f>
        <v>1</v>
      </c>
      <c r="J37" s="6" t="n">
        <f aca="false">SUMPRODUCT(--(COUNTIFS(Votes!$A:$A,A37,Votes!$B:$B,C37,Votes!$C:$C,Participants!$A$2:$A$200)&gt;0))</f>
        <v>13</v>
      </c>
      <c r="K37" s="6" t="str">
        <f aca="false">IF(H37=0,"Not started",IF(COUNTIFS('All Song Rankings'!$J:$J,A37,'All Song Rankings'!$K:$K,C37,'All Song Rankings'!$F:$F,"&gt;=0")=0,"Unscored","Scored"))</f>
        <v>Scored</v>
      </c>
      <c r="L37" s="5" t="s">
        <v>2493</v>
      </c>
    </row>
    <row r="38" customFormat="false" ht="15" hidden="false" customHeight="false" outlineLevel="0" collapsed="false">
      <c r="A38" s="5" t="n">
        <v>5</v>
      </c>
      <c r="B38" s="5" t="s">
        <v>1335</v>
      </c>
      <c r="C38" s="5" t="n">
        <v>5</v>
      </c>
      <c r="D38" s="5" t="s">
        <v>2494</v>
      </c>
      <c r="E38" s="8" t="s">
        <v>2495</v>
      </c>
      <c r="F38" s="5" t="n">
        <v>10</v>
      </c>
      <c r="G38" s="5" t="n">
        <v>1</v>
      </c>
      <c r="H38" s="6" t="n">
        <f aca="false">COUNTIFS('All Song Rankings'!$J:$J,A38,'All Song Rankings'!$K:$K,C38)</f>
        <v>13</v>
      </c>
      <c r="I38" s="6" t="n">
        <f aca="false">COUNTIFS('All Song Rankings'!$J:$J,A38,'All Song Rankings'!$K:$K,C38,'All Song Rankings'!$Q:$Q,"Forfeited")</f>
        <v>0</v>
      </c>
      <c r="J38" s="6" t="n">
        <f aca="false">SUMPRODUCT(--(COUNTIFS(Votes!$A:$A,A38,Votes!$B:$B,C38,Votes!$C:$C,Participants!$A$2:$A$200)&gt;0))</f>
        <v>13</v>
      </c>
      <c r="K38" s="6" t="str">
        <f aca="false">IF(H38=0,"Not started",IF(COUNTIFS('All Song Rankings'!$J:$J,A38,'All Song Rankings'!$K:$K,C38,'All Song Rankings'!$F:$F,"&gt;=0")=0,"Unscored","Scored"))</f>
        <v>Scored</v>
      </c>
      <c r="L38" s="5" t="s">
        <v>2496</v>
      </c>
    </row>
    <row r="39" customFormat="false" ht="15" hidden="false" customHeight="false" outlineLevel="0" collapsed="false">
      <c r="A39" s="5" t="n">
        <v>5</v>
      </c>
      <c r="B39" s="5" t="s">
        <v>1335</v>
      </c>
      <c r="C39" s="5" t="n">
        <v>6</v>
      </c>
      <c r="D39" s="5" t="s">
        <v>2497</v>
      </c>
      <c r="E39" s="5" t="s">
        <v>2498</v>
      </c>
      <c r="F39" s="5" t="n">
        <v>10</v>
      </c>
      <c r="G39" s="5" t="n">
        <v>1</v>
      </c>
      <c r="H39" s="6" t="n">
        <f aca="false">COUNTIFS('All Song Rankings'!$J:$J,A39,'All Song Rankings'!$K:$K,C39)</f>
        <v>15</v>
      </c>
      <c r="I39" s="6" t="n">
        <f aca="false">COUNTIFS('All Song Rankings'!$J:$J,A39,'All Song Rankings'!$K:$K,C39,'All Song Rankings'!$Q:$Q,"Forfeited")</f>
        <v>1</v>
      </c>
      <c r="J39" s="6" t="n">
        <f aca="false">SUMPRODUCT(--(COUNTIFS(Votes!$A:$A,A39,Votes!$B:$B,C39,Votes!$C:$C,Participants!$A$2:$A$200)&gt;0))</f>
        <v>14</v>
      </c>
      <c r="K39" s="6" t="str">
        <f aca="false">IF(H39=0,"Not started",IF(COUNTIFS('All Song Rankings'!$J:$J,A39,'All Song Rankings'!$K:$K,C39,'All Song Rankings'!$F:$F,"&gt;=0")=0,"Unscored","Scored"))</f>
        <v>Scored</v>
      </c>
      <c r="L39" s="5" t="s">
        <v>2499</v>
      </c>
    </row>
    <row r="40" customFormat="false" ht="15" hidden="false" customHeight="false" outlineLevel="0" collapsed="false">
      <c r="A40" s="5" t="n">
        <v>5</v>
      </c>
      <c r="B40" s="5" t="s">
        <v>1335</v>
      </c>
      <c r="C40" s="5" t="n">
        <v>7</v>
      </c>
      <c r="D40" s="5" t="s">
        <v>2500</v>
      </c>
      <c r="E40" s="5" t="s">
        <v>2501</v>
      </c>
      <c r="F40" s="5" t="n">
        <v>10</v>
      </c>
      <c r="G40" s="5" t="n">
        <v>1</v>
      </c>
      <c r="H40" s="6" t="n">
        <f aca="false">COUNTIFS('All Song Rankings'!$J:$J,A40,'All Song Rankings'!$K:$K,C40)</f>
        <v>15</v>
      </c>
      <c r="I40" s="6" t="n">
        <f aca="false">COUNTIFS('All Song Rankings'!$J:$J,A40,'All Song Rankings'!$K:$K,C40,'All Song Rankings'!$Q:$Q,"Forfeited")</f>
        <v>0</v>
      </c>
      <c r="J40" s="6" t="n">
        <f aca="false">SUMPRODUCT(--(COUNTIFS(Votes!$A:$A,A40,Votes!$B:$B,C40,Votes!$C:$C,Participants!$A$2:$A$200)&gt;0))</f>
        <v>15</v>
      </c>
      <c r="K40" s="6" t="str">
        <f aca="false">IF(H40=0,"Not started",IF(COUNTIFS('All Song Rankings'!$J:$J,A40,'All Song Rankings'!$K:$K,C40,'All Song Rankings'!$F:$F,"&gt;=0")=0,"Unscored","Scored"))</f>
        <v>Scored</v>
      </c>
      <c r="L40" s="5" t="s">
        <v>2502</v>
      </c>
    </row>
    <row r="41" customFormat="false" ht="15" hidden="false" customHeight="false" outlineLevel="0" collapsed="false">
      <c r="A41" s="5" t="n">
        <v>5</v>
      </c>
      <c r="B41" s="5" t="s">
        <v>1335</v>
      </c>
      <c r="C41" s="5" t="n">
        <v>8</v>
      </c>
      <c r="D41" s="5" t="s">
        <v>2503</v>
      </c>
      <c r="E41" s="8" t="s">
        <v>2504</v>
      </c>
      <c r="F41" s="5" t="n">
        <v>20</v>
      </c>
      <c r="G41" s="5" t="n">
        <v>2</v>
      </c>
      <c r="H41" s="6" t="n">
        <f aca="false">COUNTIFS('All Song Rankings'!$J:$J,A41,'All Song Rankings'!$K:$K,C41)</f>
        <v>28</v>
      </c>
      <c r="I41" s="6" t="n">
        <f aca="false">COUNTIFS('All Song Rankings'!$J:$J,A41,'All Song Rankings'!$K:$K,C41,'All Song Rankings'!$Q:$Q,"Forfeited")</f>
        <v>0</v>
      </c>
      <c r="J41" s="6" t="n">
        <f aca="false">SUMPRODUCT(--(COUNTIFS(Votes!$A:$A,A41,Votes!$B:$B,C41,Votes!$C:$C,Participants!$A$2:$A$200)&gt;0))</f>
        <v>14</v>
      </c>
      <c r="K41" s="6" t="str">
        <f aca="false">IF(H41=0,"Not started",IF(COUNTIFS('All Song Rankings'!$J:$J,A41,'All Song Rankings'!$K:$K,C41,'All Song Rankings'!$F:$F,"&gt;=0")=0,"Unscored","Scored"))</f>
        <v>Scored</v>
      </c>
      <c r="L41" s="5" t="s">
        <v>2505</v>
      </c>
    </row>
    <row r="42" customFormat="false" ht="15" hidden="false" customHeight="false" outlineLevel="0" collapsed="false">
      <c r="A42" s="5" t="n">
        <v>6</v>
      </c>
      <c r="B42" s="5" t="s">
        <v>1691</v>
      </c>
      <c r="C42" s="5" t="n">
        <v>1</v>
      </c>
      <c r="D42" s="5" t="s">
        <v>2506</v>
      </c>
      <c r="E42" s="5" t="s">
        <v>2507</v>
      </c>
      <c r="F42" s="5" t="n">
        <v>10</v>
      </c>
      <c r="G42" s="5" t="n">
        <v>1</v>
      </c>
      <c r="H42" s="6" t="n">
        <f aca="false">COUNTIFS('All Song Rankings'!$J:$J,A42,'All Song Rankings'!$K:$K,C42)</f>
        <v>15</v>
      </c>
      <c r="I42" s="6" t="n">
        <f aca="false">COUNTIFS('All Song Rankings'!$J:$J,A42,'All Song Rankings'!$K:$K,C42,'All Song Rankings'!$Q:$Q,"Forfeited")</f>
        <v>1</v>
      </c>
      <c r="J42" s="6" t="n">
        <f aca="false">SUMPRODUCT(--(COUNTIFS(Votes!$A:$A,A42,Votes!$B:$B,C42,Votes!$C:$C,Participants!$A$2:$A$200)&gt;0))</f>
        <v>14</v>
      </c>
      <c r="K42" s="6" t="str">
        <f aca="false">IF(H42=0,"Not started",IF(COUNTIFS('All Song Rankings'!$J:$J,A42,'All Song Rankings'!$K:$K,C42,'All Song Rankings'!$F:$F,"&gt;=0")=0,"Unscored","Scored"))</f>
        <v>Scored</v>
      </c>
      <c r="L42" s="5" t="s">
        <v>2508</v>
      </c>
    </row>
    <row r="43" customFormat="false" ht="15" hidden="false" customHeight="false" outlineLevel="0" collapsed="false">
      <c r="A43" s="5" t="n">
        <v>6</v>
      </c>
      <c r="B43" s="5" t="s">
        <v>1691</v>
      </c>
      <c r="C43" s="5" t="n">
        <v>2</v>
      </c>
      <c r="D43" s="5" t="s">
        <v>2509</v>
      </c>
      <c r="E43" s="5" t="s">
        <v>2510</v>
      </c>
      <c r="F43" s="5" t="n">
        <v>10</v>
      </c>
      <c r="G43" s="5" t="n">
        <v>1</v>
      </c>
      <c r="H43" s="6" t="n">
        <f aca="false">COUNTIFS('All Song Rankings'!$J:$J,A43,'All Song Rankings'!$K:$K,C43)</f>
        <v>14</v>
      </c>
      <c r="I43" s="6" t="n">
        <f aca="false">COUNTIFS('All Song Rankings'!$J:$J,A43,'All Song Rankings'!$K:$K,C43,'All Song Rankings'!$Q:$Q,"Forfeited")</f>
        <v>1</v>
      </c>
      <c r="J43" s="6" t="n">
        <f aca="false">SUMPRODUCT(--(COUNTIFS(Votes!$A:$A,A43,Votes!$B:$B,C43,Votes!$C:$C,Participants!$A$2:$A$200)&gt;0))</f>
        <v>13</v>
      </c>
      <c r="K43" s="6" t="str">
        <f aca="false">IF(H43=0,"Not started",IF(COUNTIFS('All Song Rankings'!$J:$J,A43,'All Song Rankings'!$K:$K,C43,'All Song Rankings'!$F:$F,"&gt;=0")=0,"Unscored","Scored"))</f>
        <v>Scored</v>
      </c>
      <c r="L43" s="5" t="s">
        <v>2511</v>
      </c>
    </row>
    <row r="44" customFormat="false" ht="15" hidden="false" customHeight="false" outlineLevel="0" collapsed="false">
      <c r="A44" s="5" t="n">
        <v>6</v>
      </c>
      <c r="B44" s="5" t="s">
        <v>1691</v>
      </c>
      <c r="C44" s="5" t="n">
        <v>3</v>
      </c>
      <c r="D44" s="5" t="s">
        <v>2512</v>
      </c>
      <c r="E44" s="5" t="s">
        <v>2513</v>
      </c>
      <c r="F44" s="5" t="n">
        <v>10</v>
      </c>
      <c r="G44" s="5" t="n">
        <v>1</v>
      </c>
      <c r="H44" s="6" t="n">
        <f aca="false">COUNTIFS('All Song Rankings'!$J:$J,A44,'All Song Rankings'!$K:$K,C44)</f>
        <v>15</v>
      </c>
      <c r="I44" s="6" t="n">
        <f aca="false">COUNTIFS('All Song Rankings'!$J:$J,A44,'All Song Rankings'!$K:$K,C44,'All Song Rankings'!$Q:$Q,"Forfeited")</f>
        <v>0</v>
      </c>
      <c r="J44" s="6" t="n">
        <f aca="false">SUMPRODUCT(--(COUNTIFS(Votes!$A:$A,A44,Votes!$B:$B,C44,Votes!$C:$C,Participants!$A$2:$A$200)&gt;0))</f>
        <v>15</v>
      </c>
      <c r="K44" s="6" t="str">
        <f aca="false">IF(H44=0,"Not started",IF(COUNTIFS('All Song Rankings'!$J:$J,A44,'All Song Rankings'!$K:$K,C44,'All Song Rankings'!$F:$F,"&gt;=0")=0,"Unscored","Scored"))</f>
        <v>Scored</v>
      </c>
      <c r="L44" s="5" t="s">
        <v>2514</v>
      </c>
    </row>
    <row r="45" customFormat="false" ht="15" hidden="false" customHeight="false" outlineLevel="0" collapsed="false">
      <c r="A45" s="5" t="n">
        <v>6</v>
      </c>
      <c r="B45" s="5" t="s">
        <v>1691</v>
      </c>
      <c r="C45" s="5" t="n">
        <v>4</v>
      </c>
      <c r="D45" s="5" t="s">
        <v>2515</v>
      </c>
      <c r="E45" s="5" t="s">
        <v>2516</v>
      </c>
      <c r="F45" s="5" t="n">
        <v>10</v>
      </c>
      <c r="G45" s="5" t="n">
        <v>1</v>
      </c>
      <c r="H45" s="6" t="n">
        <f aca="false">COUNTIFS('All Song Rankings'!$J:$J,A45,'All Song Rankings'!$K:$K,C45)</f>
        <v>16</v>
      </c>
      <c r="I45" s="6" t="n">
        <f aca="false">COUNTIFS('All Song Rankings'!$J:$J,A45,'All Song Rankings'!$K:$K,C45,'All Song Rankings'!$Q:$Q,"Forfeited")</f>
        <v>1</v>
      </c>
      <c r="J45" s="6" t="n">
        <f aca="false">SUMPRODUCT(--(COUNTIFS(Votes!$A:$A,A45,Votes!$B:$B,C45,Votes!$C:$C,Participants!$A$2:$A$200)&gt;0))</f>
        <v>15</v>
      </c>
      <c r="K45" s="6" t="str">
        <f aca="false">IF(H45=0,"Not started",IF(COUNTIFS('All Song Rankings'!$J:$J,A45,'All Song Rankings'!$K:$K,C45,'All Song Rankings'!$F:$F,"&gt;=0")=0,"Unscored","Scored"))</f>
        <v>Scored</v>
      </c>
      <c r="L45" s="5" t="s">
        <v>2517</v>
      </c>
    </row>
    <row r="46" customFormat="false" ht="15" hidden="false" customHeight="false" outlineLevel="0" collapsed="false">
      <c r="A46" s="5" t="n">
        <v>6</v>
      </c>
      <c r="B46" s="5" t="s">
        <v>1691</v>
      </c>
      <c r="C46" s="5" t="n">
        <v>5</v>
      </c>
      <c r="D46" s="5" t="s">
        <v>2518</v>
      </c>
      <c r="E46" s="5" t="s">
        <v>2519</v>
      </c>
      <c r="F46" s="5" t="n">
        <v>10</v>
      </c>
      <c r="G46" s="5" t="n">
        <v>1</v>
      </c>
      <c r="H46" s="6" t="n">
        <f aca="false">COUNTIFS('All Song Rankings'!$J:$J,A46,'All Song Rankings'!$K:$K,C46)</f>
        <v>15</v>
      </c>
      <c r="I46" s="6" t="n">
        <f aca="false">COUNTIFS('All Song Rankings'!$J:$J,A46,'All Song Rankings'!$K:$K,C46,'All Song Rankings'!$Q:$Q,"Forfeited")</f>
        <v>0</v>
      </c>
      <c r="J46" s="6" t="n">
        <f aca="false">SUMPRODUCT(--(COUNTIFS(Votes!$A:$A,A46,Votes!$B:$B,C46,Votes!$C:$C,Participants!$A$2:$A$200)&gt;0))</f>
        <v>15</v>
      </c>
      <c r="K46" s="6" t="str">
        <f aca="false">IF(H46=0,"Not started",IF(COUNTIFS('All Song Rankings'!$J:$J,A46,'All Song Rankings'!$K:$K,C46,'All Song Rankings'!$F:$F,"&gt;=0")=0,"Unscored","Scored"))</f>
        <v>Scored</v>
      </c>
      <c r="L46" s="5" t="s">
        <v>2520</v>
      </c>
    </row>
    <row r="47" customFormat="false" ht="15" hidden="false" customHeight="false" outlineLevel="0" collapsed="false">
      <c r="A47" s="5" t="n">
        <v>6</v>
      </c>
      <c r="B47" s="5" t="s">
        <v>1691</v>
      </c>
      <c r="C47" s="5" t="n">
        <v>6</v>
      </c>
      <c r="D47" s="5" t="s">
        <v>2521</v>
      </c>
      <c r="E47" s="5" t="s">
        <v>2522</v>
      </c>
      <c r="F47" s="5" t="n">
        <v>10</v>
      </c>
      <c r="G47" s="5" t="n">
        <v>1</v>
      </c>
      <c r="H47" s="6" t="n">
        <f aca="false">COUNTIFS('All Song Rankings'!$J:$J,A47,'All Song Rankings'!$K:$K,C47)</f>
        <v>13</v>
      </c>
      <c r="I47" s="6" t="n">
        <f aca="false">COUNTIFS('All Song Rankings'!$J:$J,A47,'All Song Rankings'!$K:$K,C47,'All Song Rankings'!$Q:$Q,"Forfeited")</f>
        <v>1</v>
      </c>
      <c r="J47" s="6" t="n">
        <f aca="false">SUMPRODUCT(--(COUNTIFS(Votes!$A:$A,A47,Votes!$B:$B,C47,Votes!$C:$C,Participants!$A$2:$A$200)&gt;0))</f>
        <v>11</v>
      </c>
      <c r="K47" s="6" t="str">
        <f aca="false">IF(H47=0,"Not started",IF(COUNTIFS('All Song Rankings'!$J:$J,A47,'All Song Rankings'!$K:$K,C47,'All Song Rankings'!$F:$F,"&gt;=0")=0,"Unscored","Scored"))</f>
        <v>Scored</v>
      </c>
      <c r="L47" s="5" t="s">
        <v>2523</v>
      </c>
    </row>
    <row r="48" customFormat="false" ht="15" hidden="false" customHeight="false" outlineLevel="0" collapsed="false">
      <c r="A48" s="5" t="n">
        <v>6</v>
      </c>
      <c r="B48" s="5" t="s">
        <v>1691</v>
      </c>
      <c r="C48" s="5" t="n">
        <v>7</v>
      </c>
      <c r="D48" s="5" t="s">
        <v>2524</v>
      </c>
      <c r="E48" s="5" t="s">
        <v>2525</v>
      </c>
      <c r="F48" s="5" t="n">
        <v>10</v>
      </c>
      <c r="G48" s="5" t="n">
        <v>1</v>
      </c>
      <c r="H48" s="6" t="n">
        <f aca="false">COUNTIFS('All Song Rankings'!$J:$J,A48,'All Song Rankings'!$K:$K,C48)</f>
        <v>16</v>
      </c>
      <c r="I48" s="6" t="n">
        <f aca="false">COUNTIFS('All Song Rankings'!$J:$J,A48,'All Song Rankings'!$K:$K,C48,'All Song Rankings'!$Q:$Q,"Forfeited")</f>
        <v>2</v>
      </c>
      <c r="J48" s="6" t="n">
        <f aca="false">SUMPRODUCT(--(COUNTIFS(Votes!$A:$A,A48,Votes!$B:$B,C48,Votes!$C:$C,Participants!$A$2:$A$200)&gt;0))</f>
        <v>14</v>
      </c>
      <c r="K48" s="6" t="str">
        <f aca="false">IF(H48=0,"Not started",IF(COUNTIFS('All Song Rankings'!$J:$J,A48,'All Song Rankings'!$K:$K,C48,'All Song Rankings'!$F:$F,"&gt;=0")=0,"Unscored","Scored"))</f>
        <v>Scored</v>
      </c>
      <c r="L48" s="5" t="s">
        <v>2526</v>
      </c>
    </row>
    <row r="49" customFormat="false" ht="15" hidden="false" customHeight="false" outlineLevel="0" collapsed="false">
      <c r="A49" s="5" t="n">
        <v>6</v>
      </c>
      <c r="B49" s="5" t="s">
        <v>1691</v>
      </c>
      <c r="C49" s="5" t="n">
        <v>8</v>
      </c>
      <c r="D49" s="5" t="s">
        <v>2527</v>
      </c>
      <c r="E49" s="5" t="s">
        <v>2528</v>
      </c>
      <c r="F49" s="5" t="n">
        <v>10</v>
      </c>
      <c r="G49" s="5" t="n">
        <v>1</v>
      </c>
      <c r="H49" s="6" t="n">
        <f aca="false">COUNTIFS('All Song Rankings'!$J:$J,A49,'All Song Rankings'!$K:$K,C49)</f>
        <v>16</v>
      </c>
      <c r="I49" s="6" t="n">
        <f aca="false">COUNTIFS('All Song Rankings'!$J:$J,A49,'All Song Rankings'!$K:$K,C49,'All Song Rankings'!$Q:$Q,"Forfeited")</f>
        <v>1</v>
      </c>
      <c r="J49" s="6" t="n">
        <f aca="false">SUMPRODUCT(--(COUNTIFS(Votes!$A:$A,A49,Votes!$B:$B,C49,Votes!$C:$C,Participants!$A$2:$A$200)&gt;0))</f>
        <v>15</v>
      </c>
      <c r="K49" s="6" t="str">
        <f aca="false">IF(H49=0,"Not started",IF(COUNTIFS('All Song Rankings'!$J:$J,A49,'All Song Rankings'!$K:$K,C49,'All Song Rankings'!$F:$F,"&gt;=0")=0,"Unscored","Scored"))</f>
        <v>Scored</v>
      </c>
      <c r="L49" s="5" t="s">
        <v>2529</v>
      </c>
    </row>
    <row r="50" customFormat="false" ht="15" hidden="false" customHeight="false" outlineLevel="0" collapsed="false">
      <c r="A50" s="5" t="n">
        <v>7</v>
      </c>
      <c r="B50" s="5" t="s">
        <v>2015</v>
      </c>
      <c r="C50" s="5" t="n">
        <v>1</v>
      </c>
      <c r="D50" s="5" t="s">
        <v>2530</v>
      </c>
      <c r="E50" s="8" t="s">
        <v>2531</v>
      </c>
      <c r="F50" s="5" t="n">
        <v>10</v>
      </c>
      <c r="G50" s="5" t="n">
        <v>1</v>
      </c>
      <c r="H50" s="6" t="n">
        <f aca="false">COUNTIFS('All Song Rankings'!$J:$J,A50,'All Song Rankings'!$K:$K,C50)</f>
        <v>16</v>
      </c>
      <c r="I50" s="6" t="n">
        <f aca="false">COUNTIFS('All Song Rankings'!$J:$J,A50,'All Song Rankings'!$K:$K,C50,'All Song Rankings'!$Q:$Q,"Forfeited")</f>
        <v>3</v>
      </c>
      <c r="J50" s="6" t="n">
        <f aca="false">SUMPRODUCT(--(COUNTIFS(Votes!$A:$A,A50,Votes!$B:$B,C50,Votes!$C:$C,Participants!$A$2:$A$200)&gt;0))</f>
        <v>13</v>
      </c>
      <c r="K50" s="6" t="str">
        <f aca="false">IF(H50=0,"Not started",IF(COUNTIFS('All Song Rankings'!$J:$J,A50,'All Song Rankings'!$K:$K,C50,'All Song Rankings'!$F:$F,"&gt;=0")=0,"Unscored","Scored"))</f>
        <v>Scored</v>
      </c>
      <c r="L50" s="5" t="s">
        <v>2532</v>
      </c>
    </row>
    <row r="51" customFormat="false" ht="15" hidden="false" customHeight="false" outlineLevel="0" collapsed="false">
      <c r="A51" s="5" t="n">
        <v>7</v>
      </c>
      <c r="B51" s="5" t="s">
        <v>2015</v>
      </c>
      <c r="C51" s="5" t="n">
        <v>2</v>
      </c>
      <c r="D51" s="5" t="s">
        <v>2533</v>
      </c>
      <c r="E51" s="8" t="s">
        <v>2534</v>
      </c>
      <c r="F51" s="5" t="n">
        <v>10</v>
      </c>
      <c r="G51" s="5" t="n">
        <v>1</v>
      </c>
      <c r="H51" s="6" t="n">
        <f aca="false">COUNTIFS('All Song Rankings'!$J:$J,A51,'All Song Rankings'!$K:$K,C51)</f>
        <v>16</v>
      </c>
      <c r="I51" s="6" t="n">
        <f aca="false">COUNTIFS('All Song Rankings'!$J:$J,A51,'All Song Rankings'!$K:$K,C51,'All Song Rankings'!$Q:$Q,"Forfeited")</f>
        <v>3</v>
      </c>
      <c r="J51" s="6" t="n">
        <f aca="false">SUMPRODUCT(--(COUNTIFS(Votes!$A:$A,A51,Votes!$B:$B,C51,Votes!$C:$C,Participants!$A$2:$A$200)&gt;0))</f>
        <v>13</v>
      </c>
      <c r="K51" s="6" t="str">
        <f aca="false">IF(H51=0,"Not started",IF(COUNTIFS('All Song Rankings'!$J:$J,A51,'All Song Rankings'!$K:$K,C51,'All Song Rankings'!$F:$F,"&gt;=0")=0,"Unscored","Scored"))</f>
        <v>Scored</v>
      </c>
      <c r="L51" s="5" t="s">
        <v>2535</v>
      </c>
    </row>
    <row r="52" customFormat="false" ht="15" hidden="false" customHeight="false" outlineLevel="0" collapsed="false">
      <c r="A52" s="5" t="n">
        <v>7</v>
      </c>
      <c r="B52" s="5" t="s">
        <v>2015</v>
      </c>
      <c r="C52" s="5" t="n">
        <v>3</v>
      </c>
      <c r="D52" s="5" t="s">
        <v>2536</v>
      </c>
      <c r="E52" s="8" t="s">
        <v>2537</v>
      </c>
      <c r="F52" s="5" t="n">
        <v>10</v>
      </c>
      <c r="G52" s="5" t="n">
        <v>1</v>
      </c>
      <c r="H52" s="6" t="n">
        <f aca="false">COUNTIFS('All Song Rankings'!$J:$J,A52,'All Song Rankings'!$K:$K,C52)</f>
        <v>15</v>
      </c>
      <c r="I52" s="6" t="n">
        <f aca="false">COUNTIFS('All Song Rankings'!$J:$J,A52,'All Song Rankings'!$K:$K,C52,'All Song Rankings'!$Q:$Q,"Forfeited")</f>
        <v>0</v>
      </c>
      <c r="J52" s="6" t="n">
        <f aca="false">SUMPRODUCT(--(COUNTIFS(Votes!$A:$A,A52,Votes!$B:$B,C52,Votes!$C:$C,Participants!$A$2:$A$200)&gt;0))</f>
        <v>15</v>
      </c>
      <c r="K52" s="6" t="str">
        <f aca="false">IF(H52=0,"Not started",IF(COUNTIFS('All Song Rankings'!$J:$J,A52,'All Song Rankings'!$K:$K,C52,'All Song Rankings'!$F:$F,"&gt;=0")=0,"Unscored","Scored"))</f>
        <v>Scored</v>
      </c>
      <c r="L52" s="5" t="s">
        <v>2538</v>
      </c>
    </row>
    <row r="53" customFormat="false" ht="15" hidden="false" customHeight="false" outlineLevel="0" collapsed="false">
      <c r="A53" s="5" t="n">
        <v>7</v>
      </c>
      <c r="B53" s="5" t="s">
        <v>2015</v>
      </c>
      <c r="C53" s="5" t="n">
        <v>4</v>
      </c>
      <c r="D53" s="5" t="s">
        <v>2539</v>
      </c>
      <c r="E53" s="8" t="s">
        <v>2540</v>
      </c>
      <c r="F53" s="5" t="n">
        <v>10</v>
      </c>
      <c r="G53" s="5" t="n">
        <v>1</v>
      </c>
      <c r="H53" s="6" t="n">
        <f aca="false">COUNTIFS('All Song Rankings'!$J:$J,A53,'All Song Rankings'!$K:$K,C53)</f>
        <v>15</v>
      </c>
      <c r="I53" s="6" t="n">
        <f aca="false">COUNTIFS('All Song Rankings'!$J:$J,A53,'All Song Rankings'!$K:$K,C53,'All Song Rankings'!$Q:$Q,"Forfeited")</f>
        <v>2</v>
      </c>
      <c r="J53" s="6" t="n">
        <f aca="false">SUMPRODUCT(--(COUNTIFS(Votes!$A:$A,A53,Votes!$B:$B,C53,Votes!$C:$C,Participants!$A$2:$A$200)&gt;0))</f>
        <v>13</v>
      </c>
      <c r="K53" s="6" t="str">
        <f aca="false">IF(H53=0,"Not started",IF(COUNTIFS('All Song Rankings'!$J:$J,A53,'All Song Rankings'!$K:$K,C53,'All Song Rankings'!$F:$F,"&gt;=0")=0,"Unscored","Scored"))</f>
        <v>Scored</v>
      </c>
      <c r="L53" s="5" t="s">
        <v>2541</v>
      </c>
    </row>
    <row r="54" customFormat="false" ht="15" hidden="false" customHeight="false" outlineLevel="0" collapsed="false">
      <c r="A54" s="5" t="n">
        <v>7</v>
      </c>
      <c r="B54" s="5" t="s">
        <v>2015</v>
      </c>
      <c r="C54" s="5" t="n">
        <v>5</v>
      </c>
      <c r="D54" s="5" t="s">
        <v>2542</v>
      </c>
      <c r="E54" s="8" t="s">
        <v>2543</v>
      </c>
      <c r="F54" s="5" t="n">
        <v>10</v>
      </c>
      <c r="G54" s="5" t="n">
        <v>1</v>
      </c>
      <c r="H54" s="6" t="n">
        <f aca="false">COUNTIFS('All Song Rankings'!$J:$J,A54,'All Song Rankings'!$K:$K,C54)</f>
        <v>13</v>
      </c>
      <c r="I54" s="6" t="n">
        <f aca="false">COUNTIFS('All Song Rankings'!$J:$J,A54,'All Song Rankings'!$K:$K,C54,'All Song Rankings'!$Q:$Q,"Forfeited")</f>
        <v>0</v>
      </c>
      <c r="J54" s="6" t="n">
        <f aca="false">SUMPRODUCT(--(COUNTIFS(Votes!$A:$A,A54,Votes!$B:$B,C54,Votes!$C:$C,Participants!$A$2:$A$200)&gt;0))</f>
        <v>13</v>
      </c>
      <c r="K54" s="6" t="str">
        <f aca="false">IF(H54=0,"Not started",IF(COUNTIFS('All Song Rankings'!$J:$J,A54,'All Song Rankings'!$K:$K,C54,'All Song Rankings'!$F:$F,"&gt;=0")=0,"Unscored","Scored"))</f>
        <v>Scored</v>
      </c>
      <c r="L54" s="5" t="s">
        <v>2544</v>
      </c>
    </row>
    <row r="55" customFormat="false" ht="15" hidden="false" customHeight="false" outlineLevel="0" collapsed="false">
      <c r="A55" s="5" t="n">
        <v>7</v>
      </c>
      <c r="B55" s="5" t="s">
        <v>2015</v>
      </c>
      <c r="C55" s="5" t="n">
        <v>6</v>
      </c>
      <c r="D55" s="5" t="s">
        <v>2545</v>
      </c>
      <c r="E55" s="8" t="s">
        <v>2546</v>
      </c>
      <c r="F55" s="5" t="n">
        <v>10</v>
      </c>
      <c r="G55" s="5" t="n">
        <v>1</v>
      </c>
      <c r="H55" s="6" t="n">
        <f aca="false">COUNTIFS('All Song Rankings'!$J:$J,A55,'All Song Rankings'!$K:$K,C55)</f>
        <v>13</v>
      </c>
      <c r="I55" s="6" t="n">
        <f aca="false">COUNTIFS('All Song Rankings'!$J:$J,A55,'All Song Rankings'!$K:$K,C55,'All Song Rankings'!$Q:$Q,"Forfeited")</f>
        <v>0</v>
      </c>
      <c r="J55" s="6" t="n">
        <f aca="false">SUMPRODUCT(--(COUNTIFS(Votes!$A:$A,A55,Votes!$B:$B,C55,Votes!$C:$C,Participants!$A$2:$A$200)&gt;0))</f>
        <v>13</v>
      </c>
      <c r="K55" s="6" t="str">
        <f aca="false">IF(H55=0,"Not started",IF(COUNTIFS('All Song Rankings'!$J:$J,A55,'All Song Rankings'!$K:$K,C55,'All Song Rankings'!$F:$F,"&gt;=0")=0,"Unscored","Scored"))</f>
        <v>Scored</v>
      </c>
      <c r="L55" s="5" t="s">
        <v>2547</v>
      </c>
    </row>
    <row r="56" customFormat="false" ht="15" hidden="false" customHeight="false" outlineLevel="0" collapsed="false">
      <c r="A56" s="5" t="n">
        <v>7</v>
      </c>
      <c r="B56" s="5" t="s">
        <v>2015</v>
      </c>
      <c r="C56" s="5" t="n">
        <v>7</v>
      </c>
      <c r="D56" s="5" t="s">
        <v>2548</v>
      </c>
      <c r="E56" s="8" t="s">
        <v>2549</v>
      </c>
      <c r="F56" s="5" t="n">
        <v>10</v>
      </c>
      <c r="G56" s="5" t="n">
        <v>1</v>
      </c>
      <c r="H56" s="6" t="n">
        <f aca="false">COUNTIFS('All Song Rankings'!$J:$J,A56,'All Song Rankings'!$K:$K,C56)</f>
        <v>15</v>
      </c>
      <c r="I56" s="6" t="n">
        <f aca="false">COUNTIFS('All Song Rankings'!$J:$J,A56,'All Song Rankings'!$K:$K,C56,'All Song Rankings'!$Q:$Q,"Forfeited")</f>
        <v>1</v>
      </c>
      <c r="J56" s="6" t="n">
        <f aca="false">SUMPRODUCT(--(COUNTIFS(Votes!$A:$A,A56,Votes!$B:$B,C56,Votes!$C:$C,Participants!$A$2:$A$200)&gt;0))</f>
        <v>14</v>
      </c>
      <c r="K56" s="6" t="str">
        <f aca="false">IF(H56=0,"Not started",IF(COUNTIFS('All Song Rankings'!$J:$J,A56,'All Song Rankings'!$K:$K,C56,'All Song Rankings'!$F:$F,"&gt;=0")=0,"Unscored","Scored"))</f>
        <v>Scored</v>
      </c>
      <c r="L56" s="5" t="s">
        <v>2550</v>
      </c>
    </row>
    <row r="57" customFormat="false" ht="15" hidden="false" customHeight="false" outlineLevel="0" collapsed="false">
      <c r="A57" s="5" t="n">
        <v>7</v>
      </c>
      <c r="B57" s="5" t="s">
        <v>2015</v>
      </c>
      <c r="C57" s="5" t="n">
        <v>8</v>
      </c>
      <c r="D57" s="5" t="s">
        <v>2551</v>
      </c>
      <c r="E57" s="8" t="s">
        <v>2552</v>
      </c>
      <c r="F57" s="5" t="n">
        <v>10</v>
      </c>
      <c r="G57" s="5" t="n">
        <v>1</v>
      </c>
      <c r="H57" s="6" t="n">
        <f aca="false">COUNTIFS('All Song Rankings'!$J:$J,A57,'All Song Rankings'!$K:$K,C57)</f>
        <v>14</v>
      </c>
      <c r="I57" s="6" t="n">
        <f aca="false">COUNTIFS('All Song Rankings'!$J:$J,A57,'All Song Rankings'!$K:$K,C57,'All Song Rankings'!$Q:$Q,"Forfeited")</f>
        <v>0</v>
      </c>
      <c r="J57" s="6" t="n">
        <f aca="false">SUMPRODUCT(--(COUNTIFS(Votes!$A:$A,A57,Votes!$B:$B,C57,Votes!$C:$C,Participants!$A$2:$A$200)&gt;0))</f>
        <v>14</v>
      </c>
      <c r="K57" s="6" t="str">
        <f aca="false">IF(H57=0,"Not started",IF(COUNTIFS('All Song Rankings'!$J:$J,A57,'All Song Rankings'!$K:$K,C57,'All Song Rankings'!$F:$F,"&gt;=0")=0,"Unscored","Scored"))</f>
        <v>Scored</v>
      </c>
      <c r="L57" s="5" t="s">
        <v>2553</v>
      </c>
    </row>
    <row r="58" customFormat="false" ht="15" hidden="false" customHeight="false" outlineLevel="0" collapsed="false">
      <c r="A58" s="5" t="n">
        <v>8</v>
      </c>
      <c r="B58" s="5" t="s">
        <v>2331</v>
      </c>
      <c r="C58" s="5" t="n">
        <v>1</v>
      </c>
      <c r="D58" s="5" t="s">
        <v>2554</v>
      </c>
      <c r="E58" s="5"/>
      <c r="F58" s="5"/>
      <c r="G58" s="5"/>
      <c r="H58" s="6" t="n">
        <f aca="false">COUNTIFS('All Song Rankings'!$J:$J,A58,'All Song Rankings'!$K:$K,C58)</f>
        <v>14</v>
      </c>
      <c r="I58" s="6" t="n">
        <f aca="false">COUNTIFS('All Song Rankings'!$J:$J,A58,'All Song Rankings'!$K:$K,C58,'All Song Rankings'!$Q:$Q,"Forfeited")</f>
        <v>0</v>
      </c>
      <c r="J58" s="6" t="n">
        <f aca="false">SUMPRODUCT(--(COUNTIFS(Votes!$A:$A,A58,Votes!$B:$B,C58,Votes!$C:$C,Participants!$A$2:$A$200)&gt;0))</f>
        <v>0</v>
      </c>
      <c r="K58" s="6" t="str">
        <f aca="false">IF(H58=0,"Not started",IF(COUNTIFS('All Song Rankings'!$J:$J,A58,'All Song Rankings'!$K:$K,C58,'All Song Rankings'!$F:$F,"&gt;=0")=0,"Unscored","Scored"))</f>
        <v>Unscored</v>
      </c>
      <c r="L58" s="5"/>
    </row>
    <row r="59" customFormat="false" ht="15" hidden="false" customHeight="false" outlineLevel="0" collapsed="false">
      <c r="A59" s="5" t="n">
        <v>8</v>
      </c>
      <c r="B59" s="5" t="s">
        <v>2331</v>
      </c>
      <c r="C59" s="5" t="n">
        <v>2</v>
      </c>
      <c r="D59" s="5" t="s">
        <v>2555</v>
      </c>
      <c r="E59" s="5"/>
      <c r="F59" s="5"/>
      <c r="G59" s="5"/>
      <c r="H59" s="6" t="n">
        <f aca="false">COUNTIFS('All Song Rankings'!$J:$J,A59,'All Song Rankings'!$K:$K,C59)</f>
        <v>16</v>
      </c>
      <c r="I59" s="6" t="n">
        <f aca="false">COUNTIFS('All Song Rankings'!$J:$J,A59,'All Song Rankings'!$K:$K,C59,'All Song Rankings'!$Q:$Q,"Forfeited")</f>
        <v>0</v>
      </c>
      <c r="J59" s="6" t="n">
        <f aca="false">SUMPRODUCT(--(COUNTIFS(Votes!$A:$A,A59,Votes!$B:$B,C59,Votes!$C:$C,Participants!$A$2:$A$200)&gt;0))</f>
        <v>0</v>
      </c>
      <c r="K59" s="6" t="str">
        <f aca="false">IF(H59=0,"Not started",IF(COUNTIFS('All Song Rankings'!$J:$J,A59,'All Song Rankings'!$K:$K,C59,'All Song Rankings'!$F:$F,"&gt;=0")=0,"Unscored","Scored"))</f>
        <v>Unscored</v>
      </c>
      <c r="L59"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20"/>
    <col collapsed="false" customWidth="true" hidden="false" outlineLevel="0" max="4" min="4" style="0" width="13"/>
    <col collapsed="false" customWidth="true" hidden="false" outlineLevel="0" max="5" min="5" style="0" width="11"/>
    <col collapsed="false" customWidth="true" hidden="false" outlineLevel="0" max="6" min="6" style="0" width="24"/>
    <col collapsed="false" customWidth="true" hidden="false" outlineLevel="0" max="7" min="7" style="0" width="20"/>
  </cols>
  <sheetData>
    <row r="1" customFormat="false" ht="15" hidden="false" customHeight="false" outlineLevel="0" collapsed="false">
      <c r="A1" s="3" t="s">
        <v>2556</v>
      </c>
      <c r="B1" s="3" t="s">
        <v>2557</v>
      </c>
      <c r="C1" s="3" t="s">
        <v>2558</v>
      </c>
      <c r="D1" s="3" t="s">
        <v>2385</v>
      </c>
      <c r="E1" s="3" t="s">
        <v>2559</v>
      </c>
      <c r="F1" s="3" t="s">
        <v>2560</v>
      </c>
      <c r="G1" s="3" t="s">
        <v>2561</v>
      </c>
    </row>
    <row r="2" customFormat="false" ht="15" hidden="false" customHeight="false" outlineLevel="0" collapsed="false">
      <c r="A2" s="5" t="s">
        <v>289</v>
      </c>
      <c r="B2" s="5" t="s">
        <v>2562</v>
      </c>
      <c r="C2" s="6" t="n">
        <f aca="false">SUMPRODUCT(--(COUNTIFS('All Song Rankings'!$D:$D,A2,'All Song Rankings'!$J:$J,ROW($1:$20))&gt;0))</f>
        <v>2</v>
      </c>
      <c r="D2" s="6" t="n">
        <f aca="false">COUNTIF('All Song Rankings'!$D:$D,A2)</f>
        <v>6</v>
      </c>
      <c r="E2" s="6" t="n">
        <f aca="false">COUNTIF(Votes!$C:$C,A2)</f>
        <v>22</v>
      </c>
      <c r="F2" s="6" t="n">
        <f aca="false">SUMIFS('All Song Rankings'!$F:$F,'All Song Rankings'!$D:$D,A2)</f>
        <v>20</v>
      </c>
      <c r="G2" s="6" t="n">
        <f aca="false">SUMIFS('All Song Rankings'!$O:$O,'All Song Rankings'!$D:$D,A2)</f>
        <v>43</v>
      </c>
    </row>
    <row r="3" customFormat="false" ht="15" hidden="false" customHeight="false" outlineLevel="0" collapsed="false">
      <c r="A3" s="5" t="s">
        <v>375</v>
      </c>
      <c r="B3" s="5" t="s">
        <v>2563</v>
      </c>
      <c r="C3" s="6" t="n">
        <f aca="false">SUMPRODUCT(--(COUNTIFS('All Song Rankings'!$D:$D,A3,'All Song Rankings'!$J:$J,ROW($1:$20))&gt;0))</f>
        <v>5</v>
      </c>
      <c r="D3" s="6" t="n">
        <f aca="false">COUNTIF('All Song Rankings'!$D:$D,A3)</f>
        <v>29</v>
      </c>
      <c r="E3" s="6" t="n">
        <f aca="false">COUNTIF(Votes!$C:$C,A3)</f>
        <v>160</v>
      </c>
      <c r="F3" s="6" t="n">
        <f aca="false">SUMIFS('All Song Rankings'!$F:$F,'All Song Rankings'!$D:$D,A3)</f>
        <v>206</v>
      </c>
      <c r="G3" s="6" t="n">
        <f aca="false">SUMIFS('All Song Rankings'!$O:$O,'All Song Rankings'!$D:$D,A3)</f>
        <v>263</v>
      </c>
    </row>
    <row r="4" customFormat="false" ht="15" hidden="false" customHeight="false" outlineLevel="0" collapsed="false">
      <c r="A4" s="5" t="s">
        <v>719</v>
      </c>
      <c r="B4" s="5" t="s">
        <v>2564</v>
      </c>
      <c r="C4" s="6" t="n">
        <f aca="false">SUMPRODUCT(--(COUNTIFS('All Song Rankings'!$D:$D,A4,'All Song Rankings'!$J:$J,ROW($1:$20))&gt;0))</f>
        <v>5</v>
      </c>
      <c r="D4" s="6" t="n">
        <f aca="false">COUNTIF('All Song Rankings'!$D:$D,A4)</f>
        <v>41</v>
      </c>
      <c r="E4" s="6" t="n">
        <f aca="false">COUNTIF(Votes!$C:$C,A4)</f>
        <v>330</v>
      </c>
      <c r="F4" s="6" t="n">
        <f aca="false">SUMIFS('All Song Rankings'!$F:$F,'All Song Rankings'!$D:$D,A4)</f>
        <v>322</v>
      </c>
      <c r="G4" s="6" t="n">
        <f aca="false">SUMIFS('All Song Rankings'!$O:$O,'All Song Rankings'!$D:$D,A4)</f>
        <v>322</v>
      </c>
    </row>
    <row r="5" customFormat="false" ht="15" hidden="false" customHeight="false" outlineLevel="0" collapsed="false">
      <c r="A5" s="5" t="s">
        <v>637</v>
      </c>
      <c r="B5" s="5" t="s">
        <v>637</v>
      </c>
      <c r="C5" s="6" t="n">
        <f aca="false">SUMPRODUCT(--(COUNTIFS('All Song Rankings'!$D:$D,A5,'All Song Rankings'!$J:$J,ROW($1:$20))&gt;0))</f>
        <v>6</v>
      </c>
      <c r="D5" s="6" t="n">
        <f aca="false">COUNTIF('All Song Rankings'!$D:$D,A5)</f>
        <v>41</v>
      </c>
      <c r="E5" s="6" t="n">
        <f aca="false">COUNTIF(Votes!$C:$C,A5)</f>
        <v>297</v>
      </c>
      <c r="F5" s="6" t="n">
        <f aca="false">SUMIFS('All Song Rankings'!$F:$F,'All Song Rankings'!$D:$D,A5)</f>
        <v>367</v>
      </c>
      <c r="G5" s="6" t="n">
        <f aca="false">SUMIFS('All Song Rankings'!$O:$O,'All Song Rankings'!$D:$D,A5)</f>
        <v>410</v>
      </c>
    </row>
    <row r="6" customFormat="false" ht="15" hidden="false" customHeight="false" outlineLevel="0" collapsed="false">
      <c r="A6" s="5" t="s">
        <v>111</v>
      </c>
      <c r="B6" s="5" t="s">
        <v>2565</v>
      </c>
      <c r="C6" s="6" t="n">
        <f aca="false">SUMPRODUCT(--(COUNTIFS('All Song Rankings'!$D:$D,A6,'All Song Rankings'!$J:$J,ROW($1:$20))&gt;0))</f>
        <v>1</v>
      </c>
      <c r="D6" s="6" t="n">
        <f aca="false">COUNTIF('All Song Rankings'!$D:$D,A6)</f>
        <v>8</v>
      </c>
      <c r="E6" s="6" t="n">
        <f aca="false">COUNTIF(Votes!$C:$C,A6)</f>
        <v>35</v>
      </c>
      <c r="F6" s="6" t="n">
        <f aca="false">SUMIFS('All Song Rankings'!$F:$F,'All Song Rankings'!$D:$D,A6)</f>
        <v>64</v>
      </c>
      <c r="G6" s="6" t="n">
        <f aca="false">SUMIFS('All Song Rankings'!$O:$O,'All Song Rankings'!$D:$D,A6)</f>
        <v>64</v>
      </c>
    </row>
    <row r="7" customFormat="false" ht="15" hidden="false" customHeight="false" outlineLevel="0" collapsed="false">
      <c r="A7" s="5" t="s">
        <v>382</v>
      </c>
      <c r="B7" s="5" t="s">
        <v>382</v>
      </c>
      <c r="C7" s="6" t="n">
        <f aca="false">SUMPRODUCT(--(COUNTIFS('All Song Rankings'!$D:$D,A7,'All Song Rankings'!$J:$J,ROW($1:$20))&gt;0))</f>
        <v>6</v>
      </c>
      <c r="D7" s="6" t="n">
        <f aca="false">COUNTIF('All Song Rankings'!$D:$D,A7)</f>
        <v>49</v>
      </c>
      <c r="E7" s="6" t="n">
        <f aca="false">COUNTIF(Votes!$C:$C,A7)</f>
        <v>254</v>
      </c>
      <c r="F7" s="6" t="n">
        <f aca="false">SUMIFS('All Song Rankings'!$F:$F,'All Song Rankings'!$D:$D,A7)</f>
        <v>400</v>
      </c>
      <c r="G7" s="6" t="n">
        <f aca="false">SUMIFS('All Song Rankings'!$O:$O,'All Song Rankings'!$D:$D,A7)</f>
        <v>437</v>
      </c>
    </row>
    <row r="8" customFormat="false" ht="15" hidden="false" customHeight="false" outlineLevel="0" collapsed="false">
      <c r="A8" s="5" t="s">
        <v>1843</v>
      </c>
      <c r="B8" s="5" t="s">
        <v>2566</v>
      </c>
      <c r="C8" s="6" t="n">
        <f aca="false">SUMPRODUCT(--(COUNTIFS('All Song Rankings'!$D:$D,A8,'All Song Rankings'!$J:$J,ROW($1:$20))&gt;0))</f>
        <v>2</v>
      </c>
      <c r="D8" s="6" t="n">
        <f aca="false">COUNTIF('All Song Rankings'!$D:$D,A8)</f>
        <v>12</v>
      </c>
      <c r="E8" s="6" t="n">
        <f aca="false">COUNTIF(Votes!$C:$C,A8)</f>
        <v>96</v>
      </c>
      <c r="F8" s="6" t="n">
        <f aca="false">SUMIFS('All Song Rankings'!$F:$F,'All Song Rankings'!$D:$D,A8)</f>
        <v>112</v>
      </c>
      <c r="G8" s="6" t="n">
        <f aca="false">SUMIFS('All Song Rankings'!$O:$O,'All Song Rankings'!$D:$D,A8)</f>
        <v>112</v>
      </c>
    </row>
    <row r="9" customFormat="false" ht="15" hidden="false" customHeight="false" outlineLevel="0" collapsed="false">
      <c r="A9" s="5" t="s">
        <v>85</v>
      </c>
      <c r="B9" s="5" t="s">
        <v>2567</v>
      </c>
      <c r="C9" s="6" t="n">
        <f aca="false">SUMPRODUCT(--(COUNTIFS('All Song Rankings'!$D:$D,A9,'All Song Rankings'!$J:$J,ROW($1:$20))&gt;0))</f>
        <v>7</v>
      </c>
      <c r="D9" s="6" t="n">
        <f aca="false">COUNTIF('All Song Rankings'!$D:$D,A9)</f>
        <v>56</v>
      </c>
      <c r="E9" s="6" t="n">
        <f aca="false">COUNTIF(Votes!$C:$C,A9)</f>
        <v>395</v>
      </c>
      <c r="F9" s="6" t="n">
        <f aca="false">SUMIFS('All Song Rankings'!$F:$F,'All Song Rankings'!$D:$D,A9)</f>
        <v>655</v>
      </c>
      <c r="G9" s="6" t="n">
        <f aca="false">SUMIFS('All Song Rankings'!$O:$O,'All Song Rankings'!$D:$D,A9)</f>
        <v>655</v>
      </c>
    </row>
    <row r="10" customFormat="false" ht="15" hidden="false" customHeight="false" outlineLevel="0" collapsed="false">
      <c r="A10" s="5" t="s">
        <v>106</v>
      </c>
      <c r="B10" s="5" t="s">
        <v>2568</v>
      </c>
      <c r="C10" s="6" t="n">
        <f aca="false">SUMPRODUCT(--(COUNTIFS('All Song Rankings'!$D:$D,A10,'All Song Rankings'!$J:$J,ROW($1:$20))&gt;0))</f>
        <v>7</v>
      </c>
      <c r="D10" s="6" t="n">
        <f aca="false">COUNTIF('All Song Rankings'!$D:$D,A10)</f>
        <v>57</v>
      </c>
      <c r="E10" s="6" t="n">
        <f aca="false">COUNTIF(Votes!$C:$C,A10)</f>
        <v>414</v>
      </c>
      <c r="F10" s="6" t="n">
        <f aca="false">SUMIFS('All Song Rankings'!$F:$F,'All Song Rankings'!$D:$D,A10)</f>
        <v>466</v>
      </c>
      <c r="G10" s="6" t="n">
        <f aca="false">SUMIFS('All Song Rankings'!$O:$O,'All Song Rankings'!$D:$D,A10)</f>
        <v>477</v>
      </c>
    </row>
    <row r="11" customFormat="false" ht="15" hidden="false" customHeight="false" outlineLevel="0" collapsed="false">
      <c r="A11" s="5" t="s">
        <v>119</v>
      </c>
      <c r="B11" s="5" t="s">
        <v>119</v>
      </c>
      <c r="C11" s="6" t="n">
        <f aca="false">SUMPRODUCT(--(COUNTIFS('All Song Rankings'!$D:$D,A11,'All Song Rankings'!$J:$J,ROW($1:$20))&gt;0))</f>
        <v>7</v>
      </c>
      <c r="D11" s="6" t="n">
        <f aca="false">COUNTIF('All Song Rankings'!$D:$D,A11)</f>
        <v>57</v>
      </c>
      <c r="E11" s="6" t="n">
        <f aca="false">COUNTIF(Votes!$C:$C,A11)</f>
        <v>442</v>
      </c>
      <c r="F11" s="6" t="n">
        <f aca="false">SUMIFS('All Song Rankings'!$F:$F,'All Song Rankings'!$D:$D,A11)</f>
        <v>591</v>
      </c>
      <c r="G11" s="6" t="n">
        <f aca="false">SUMIFS('All Song Rankings'!$O:$O,'All Song Rankings'!$D:$D,A11)</f>
        <v>597</v>
      </c>
    </row>
    <row r="12" customFormat="false" ht="15" hidden="false" customHeight="false" outlineLevel="0" collapsed="false">
      <c r="A12" s="5" t="s">
        <v>705</v>
      </c>
      <c r="B12" s="5" t="s">
        <v>705</v>
      </c>
      <c r="C12" s="6" t="n">
        <f aca="false">SUMPRODUCT(--(COUNTIFS('All Song Rankings'!$D:$D,A12,'All Song Rankings'!$J:$J,ROW($1:$20))&gt;0))</f>
        <v>5</v>
      </c>
      <c r="D12" s="6" t="n">
        <f aca="false">COUNTIF('All Song Rankings'!$D:$D,A12)</f>
        <v>41</v>
      </c>
      <c r="E12" s="6" t="n">
        <f aca="false">COUNTIF(Votes!$C:$C,A12)</f>
        <v>293</v>
      </c>
      <c r="F12" s="6" t="n">
        <f aca="false">SUMIFS('All Song Rankings'!$F:$F,'All Song Rankings'!$D:$D,A12)</f>
        <v>381</v>
      </c>
      <c r="G12" s="6" t="n">
        <f aca="false">SUMIFS('All Song Rankings'!$O:$O,'All Song Rankings'!$D:$D,A12)</f>
        <v>381</v>
      </c>
    </row>
    <row r="13" customFormat="false" ht="15" hidden="false" customHeight="false" outlineLevel="0" collapsed="false">
      <c r="A13" s="5" t="s">
        <v>128</v>
      </c>
      <c r="B13" s="5" t="s">
        <v>128</v>
      </c>
      <c r="C13" s="6" t="n">
        <f aca="false">SUMPRODUCT(--(COUNTIFS('All Song Rankings'!$D:$D,A13,'All Song Rankings'!$J:$J,ROW($1:$20))&gt;0))</f>
        <v>7</v>
      </c>
      <c r="D13" s="6" t="n">
        <f aca="false">COUNTIF('All Song Rankings'!$D:$D,A13)</f>
        <v>57</v>
      </c>
      <c r="E13" s="6" t="n">
        <f aca="false">COUNTIF(Votes!$C:$C,A13)</f>
        <v>387</v>
      </c>
      <c r="F13" s="6" t="n">
        <f aca="false">SUMIFS('All Song Rankings'!$F:$F,'All Song Rankings'!$D:$D,A13)</f>
        <v>568</v>
      </c>
      <c r="G13" s="6" t="n">
        <f aca="false">SUMIFS('All Song Rankings'!$O:$O,'All Song Rankings'!$D:$D,A13)</f>
        <v>568</v>
      </c>
    </row>
    <row r="14" customFormat="false" ht="15" hidden="false" customHeight="false" outlineLevel="0" collapsed="false">
      <c r="A14" s="5" t="s">
        <v>2019</v>
      </c>
      <c r="B14" s="5" t="s">
        <v>2019</v>
      </c>
      <c r="C14" s="6" t="n">
        <f aca="false">SUMPRODUCT(--(COUNTIFS('All Song Rankings'!$D:$D,A14,'All Song Rankings'!$J:$J,ROW($1:$20))&gt;0))</f>
        <v>1</v>
      </c>
      <c r="D14" s="6" t="n">
        <f aca="false">COUNTIF('All Song Rankings'!$D:$D,A14)</f>
        <v>8</v>
      </c>
      <c r="E14" s="6" t="n">
        <f aca="false">COUNTIF(Votes!$C:$C,A14)</f>
        <v>63</v>
      </c>
      <c r="F14" s="6" t="n">
        <f aca="false">SUMIFS('All Song Rankings'!$F:$F,'All Song Rankings'!$D:$D,A14)</f>
        <v>84</v>
      </c>
      <c r="G14" s="6" t="n">
        <f aca="false">SUMIFS('All Song Rankings'!$O:$O,'All Song Rankings'!$D:$D,A14)</f>
        <v>84</v>
      </c>
    </row>
    <row r="15" customFormat="false" ht="15" hidden="false" customHeight="false" outlineLevel="0" collapsed="false">
      <c r="A15" s="5" t="s">
        <v>395</v>
      </c>
      <c r="B15" s="5" t="s">
        <v>2569</v>
      </c>
      <c r="C15" s="6" t="n">
        <f aca="false">SUMPRODUCT(--(COUNTIFS('All Song Rankings'!$D:$D,A15,'All Song Rankings'!$J:$J,ROW($1:$20))&gt;0))</f>
        <v>5</v>
      </c>
      <c r="D15" s="6" t="n">
        <f aca="false">COUNTIF('All Song Rankings'!$D:$D,A15)</f>
        <v>40</v>
      </c>
      <c r="E15" s="6" t="n">
        <f aca="false">COUNTIF(Votes!$C:$C,A15)</f>
        <v>228</v>
      </c>
      <c r="F15" s="6" t="n">
        <f aca="false">SUMIFS('All Song Rankings'!$F:$F,'All Song Rankings'!$D:$D,A15)</f>
        <v>402</v>
      </c>
      <c r="G15" s="6" t="n">
        <f aca="false">SUMIFS('All Song Rankings'!$O:$O,'All Song Rankings'!$D:$D,A15)</f>
        <v>404</v>
      </c>
    </row>
    <row r="16" customFormat="false" ht="15" hidden="false" customHeight="false" outlineLevel="0" collapsed="false">
      <c r="A16" s="5" t="s">
        <v>133</v>
      </c>
      <c r="B16" s="5" t="s">
        <v>2570</v>
      </c>
      <c r="C16" s="6" t="n">
        <f aca="false">SUMPRODUCT(--(COUNTIFS('All Song Rankings'!$D:$D,A16,'All Song Rankings'!$J:$J,ROW($1:$20))&gt;0))</f>
        <v>2</v>
      </c>
      <c r="D16" s="6" t="n">
        <f aca="false">COUNTIF('All Song Rankings'!$D:$D,A16)</f>
        <v>8</v>
      </c>
      <c r="E16" s="6" t="n">
        <f aca="false">COUNTIF(Votes!$C:$C,A16)</f>
        <v>56</v>
      </c>
      <c r="F16" s="6" t="n">
        <f aca="false">SUMIFS('All Song Rankings'!$F:$F,'All Song Rankings'!$D:$D,A16)</f>
        <v>79</v>
      </c>
      <c r="G16" s="6" t="n">
        <f aca="false">SUMIFS('All Song Rankings'!$O:$O,'All Song Rankings'!$D:$D,A16)</f>
        <v>79</v>
      </c>
    </row>
    <row r="17" customFormat="false" ht="15" hidden="false" customHeight="false" outlineLevel="0" collapsed="false">
      <c r="A17" s="5" t="s">
        <v>116</v>
      </c>
      <c r="B17" s="5" t="s">
        <v>2571</v>
      </c>
      <c r="C17" s="6" t="n">
        <f aca="false">SUMPRODUCT(--(COUNTIFS('All Song Rankings'!$D:$D,A17,'All Song Rankings'!$J:$J,ROW($1:$20))&gt;0))</f>
        <v>7</v>
      </c>
      <c r="D17" s="6" t="n">
        <f aca="false">COUNTIF('All Song Rankings'!$D:$D,A17)</f>
        <v>56</v>
      </c>
      <c r="E17" s="6" t="n">
        <f aca="false">COUNTIF(Votes!$C:$C,A17)</f>
        <v>457</v>
      </c>
      <c r="F17" s="6" t="n">
        <f aca="false">SUMIFS('All Song Rankings'!$F:$F,'All Song Rankings'!$D:$D,A17)</f>
        <v>510</v>
      </c>
      <c r="G17" s="6" t="n">
        <f aca="false">SUMIFS('All Song Rankings'!$O:$O,'All Song Rankings'!$D:$D,A17)</f>
        <v>510</v>
      </c>
    </row>
    <row r="18" customFormat="false" ht="15" hidden="false" customHeight="false" outlineLevel="0" collapsed="false">
      <c r="A18" s="5" t="s">
        <v>101</v>
      </c>
      <c r="B18" s="5" t="s">
        <v>101</v>
      </c>
      <c r="C18" s="6" t="n">
        <f aca="false">SUMPRODUCT(--(COUNTIFS('All Song Rankings'!$D:$D,A18,'All Song Rankings'!$J:$J,ROW($1:$20))&gt;0))</f>
        <v>7</v>
      </c>
      <c r="D18" s="6" t="n">
        <f aca="false">COUNTIF('All Song Rankings'!$D:$D,A18)</f>
        <v>56</v>
      </c>
      <c r="E18" s="6" t="n">
        <f aca="false">COUNTIF(Votes!$C:$C,A18)</f>
        <v>380</v>
      </c>
      <c r="F18" s="6" t="n">
        <f aca="false">SUMIFS('All Song Rankings'!$F:$F,'All Song Rankings'!$D:$D,A18)</f>
        <v>442</v>
      </c>
      <c r="G18" s="6" t="n">
        <f aca="false">SUMIFS('All Song Rankings'!$O:$O,'All Song Rankings'!$D:$D,A18)</f>
        <v>484</v>
      </c>
    </row>
    <row r="19" customFormat="false" ht="15" hidden="false" customHeight="false" outlineLevel="0" collapsed="false">
      <c r="A19" s="5" t="s">
        <v>1374</v>
      </c>
      <c r="B19" s="5" t="s">
        <v>2572</v>
      </c>
      <c r="C19" s="6" t="n">
        <f aca="false">SUMPRODUCT(--(COUNTIFS('All Song Rankings'!$D:$D,A19,'All Song Rankings'!$J:$J,ROW($1:$20))&gt;0))</f>
        <v>1</v>
      </c>
      <c r="D19" s="6" t="n">
        <f aca="false">COUNTIF('All Song Rankings'!$D:$D,A19)</f>
        <v>2</v>
      </c>
      <c r="E19" s="6" t="n">
        <f aca="false">COUNTIF(Votes!$C:$C,A19)</f>
        <v>9</v>
      </c>
      <c r="F19" s="6" t="n">
        <f aca="false">SUMIFS('All Song Rankings'!$F:$F,'All Song Rankings'!$D:$D,A19)</f>
        <v>4</v>
      </c>
      <c r="G19" s="6" t="n">
        <f aca="false">SUMIFS('All Song Rankings'!$O:$O,'All Song Rankings'!$D:$D,A19)</f>
        <v>10</v>
      </c>
    </row>
    <row r="20" customFormat="false" ht="15" hidden="false" customHeight="false" outlineLevel="0" collapsed="false">
      <c r="A20" s="5" t="s">
        <v>92</v>
      </c>
      <c r="B20" s="5" t="s">
        <v>92</v>
      </c>
      <c r="C20" s="6" t="n">
        <f aca="false">SUMPRODUCT(--(COUNTIFS('All Song Rankings'!$D:$D,A20,'All Song Rankings'!$J:$J,ROW($1:$20))&gt;0))</f>
        <v>6</v>
      </c>
      <c r="D20" s="6" t="n">
        <f aca="false">COUNTIF('All Song Rankings'!$D:$D,A20)</f>
        <v>49</v>
      </c>
      <c r="E20" s="6" t="n">
        <f aca="false">COUNTIF(Votes!$C:$C,A20)</f>
        <v>336</v>
      </c>
      <c r="F20" s="6" t="n">
        <f aca="false">SUMIFS('All Song Rankings'!$F:$F,'All Song Rankings'!$D:$D,A20)</f>
        <v>459</v>
      </c>
      <c r="G20" s="6" t="n">
        <f aca="false">SUMIFS('All Song Rankings'!$O:$O,'All Song Rankings'!$D:$D,A20)</f>
        <v>474</v>
      </c>
    </row>
    <row r="21" customFormat="false" ht="15" hidden="false" customHeight="false" outlineLevel="0" collapsed="false">
      <c r="A21" s="5" t="s">
        <v>123</v>
      </c>
      <c r="B21" s="5" t="s">
        <v>2573</v>
      </c>
      <c r="C21" s="6" t="n">
        <f aca="false">SUMPRODUCT(--(COUNTIFS('All Song Rankings'!$D:$D,A21,'All Song Rankings'!$J:$J,ROW($1:$20))&gt;0))</f>
        <v>1</v>
      </c>
      <c r="D21" s="6" t="n">
        <f aca="false">COUNTIF('All Song Rankings'!$D:$D,A21)</f>
        <v>7</v>
      </c>
      <c r="E21" s="6" t="n">
        <f aca="false">COUNTIF(Votes!$C:$C,A21)</f>
        <v>50</v>
      </c>
      <c r="F21" s="6" t="n">
        <f aca="false">SUMIFS('All Song Rankings'!$F:$F,'All Song Rankings'!$D:$D,A21)</f>
        <v>62</v>
      </c>
      <c r="G21" s="6" t="n">
        <f aca="false">SUMIFS('All Song Rankings'!$O:$O,'All Song Rankings'!$D:$D,A21)</f>
        <v>62</v>
      </c>
    </row>
    <row r="22" customFormat="false" ht="15" hidden="false" customHeight="false" outlineLevel="0" collapsed="false">
      <c r="A22" s="5" t="s">
        <v>2052</v>
      </c>
      <c r="B22" s="5" t="s">
        <v>2574</v>
      </c>
      <c r="C22" s="6" t="n">
        <f aca="false">SUMPRODUCT(--(COUNTIFS('All Song Rankings'!$D:$D,A22,'All Song Rankings'!$J:$J,ROW($1:$20))&gt;0))</f>
        <v>1</v>
      </c>
      <c r="D22" s="6" t="n">
        <f aca="false">COUNTIF('All Song Rankings'!$D:$D,A22)</f>
        <v>6</v>
      </c>
      <c r="E22" s="6" t="n">
        <f aca="false">COUNTIF(Votes!$C:$C,A22)</f>
        <v>19</v>
      </c>
      <c r="F22" s="6" t="n">
        <f aca="false">SUMIFS('All Song Rankings'!$F:$F,'All Song Rankings'!$D:$D,A22)</f>
        <v>39</v>
      </c>
      <c r="G22" s="6" t="n">
        <f aca="false">SUMIFS('All Song Rankings'!$O:$O,'All Song Rankings'!$D:$D,A22)</f>
        <v>47</v>
      </c>
    </row>
    <row r="23" customFormat="false" ht="15" hidden="false" customHeight="false" outlineLevel="0" collapsed="false">
      <c r="A23" s="5" t="s">
        <v>484</v>
      </c>
      <c r="B23" s="5" t="s">
        <v>484</v>
      </c>
      <c r="C23" s="6" t="n">
        <f aca="false">SUMPRODUCT(--(COUNTIFS('All Song Rankings'!$D:$D,A23,'All Song Rankings'!$J:$J,ROW($1:$20))&gt;0))</f>
        <v>6</v>
      </c>
      <c r="D23" s="6" t="n">
        <f aca="false">COUNTIF('All Song Rankings'!$D:$D,A23)</f>
        <v>36</v>
      </c>
      <c r="E23" s="6" t="n">
        <f aca="false">COUNTIF(Votes!$C:$C,A23)</f>
        <v>182</v>
      </c>
      <c r="F23" s="6" t="n">
        <f aca="false">SUMIFS('All Song Rankings'!$F:$F,'All Song Rankings'!$D:$D,A23)</f>
        <v>218</v>
      </c>
      <c r="G23" s="6" t="n">
        <f aca="false">SUMIFS('All Song Rankings'!$O:$O,'All Song Rankings'!$D:$D,A23)</f>
        <v>300</v>
      </c>
    </row>
    <row r="24" customFormat="false" ht="15" hidden="false" customHeight="false" outlineLevel="0" collapsed="false">
      <c r="A24" s="5" t="s">
        <v>378</v>
      </c>
      <c r="B24" s="5" t="s">
        <v>2575</v>
      </c>
      <c r="C24" s="6" t="n">
        <f aca="false">SUMPRODUCT(--(COUNTIFS('All Song Rankings'!$D:$D,A24,'All Song Rankings'!$J:$J,ROW($1:$20))&gt;0))</f>
        <v>1</v>
      </c>
      <c r="D24" s="6" t="n">
        <f aca="false">COUNTIF('All Song Rankings'!$D:$D,A24)</f>
        <v>7</v>
      </c>
      <c r="E24" s="6" t="n">
        <f aca="false">COUNTIF(Votes!$C:$C,A24)</f>
        <v>48</v>
      </c>
      <c r="F24" s="6" t="n">
        <f aca="false">SUMIFS('All Song Rankings'!$F:$F,'All Song Rankings'!$D:$D,A24)</f>
        <v>49</v>
      </c>
      <c r="G24" s="6" t="n">
        <f aca="false">SUMIFS('All Song Rankings'!$O:$O,'All Song Rankings'!$D:$D,A24)</f>
        <v>49</v>
      </c>
    </row>
    <row r="25" customFormat="false" ht="15" hidden="false" customHeight="false" outlineLevel="0" collapsed="false">
      <c r="A25" s="5" t="s">
        <v>97</v>
      </c>
      <c r="B25" s="5" t="s">
        <v>2576</v>
      </c>
      <c r="C25" s="6" t="n">
        <f aca="false">SUMPRODUCT(--(COUNTIFS('All Song Rankings'!$D:$D,A25,'All Song Rankings'!$J:$J,ROW($1:$20))&gt;0))</f>
        <v>7</v>
      </c>
      <c r="D25" s="6" t="n">
        <f aca="false">COUNTIF('All Song Rankings'!$D:$D,A25)</f>
        <v>57</v>
      </c>
      <c r="E25" s="6" t="n">
        <f aca="false">COUNTIF(Votes!$C:$C,A25)</f>
        <v>335</v>
      </c>
      <c r="F25" s="6" t="n">
        <f aca="false">SUMIFS('All Song Rankings'!$F:$F,'All Song Rankings'!$D:$D,A25)</f>
        <v>543</v>
      </c>
      <c r="G25" s="6" t="n">
        <f aca="false">SUMIFS('All Song Rankings'!$O:$O,'All Song Rankings'!$D:$D,A25)</f>
        <v>543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4"/>
    <col collapsed="false" customWidth="true" hidden="false" outlineLevel="0" max="3" min="3" style="0" width="14"/>
    <col collapsed="false" customWidth="true" hidden="false" outlineLevel="0" max="4" min="4" style="0" width="18"/>
    <col collapsed="false" customWidth="true" hidden="false" outlineLevel="0" max="5" min="5" style="0" width="22"/>
    <col collapsed="false" customWidth="true" hidden="false" outlineLevel="0" max="6" min="6" style="0" width="16"/>
    <col collapsed="false" customWidth="true" hidden="false" outlineLevel="0" max="7" min="7" style="0" width="22"/>
    <col collapsed="false" customWidth="true" hidden="false" outlineLevel="0" max="8" min="8" style="0" width="26"/>
    <col collapsed="false" customWidth="true" hidden="false" outlineLevel="0" max="9" min="9" style="0" width="12"/>
  </cols>
  <sheetData>
    <row r="1" customFormat="false" ht="17.35" hidden="false" customHeight="false" outlineLevel="0" collapsed="false">
      <c r="A1" s="1" t="s">
        <v>13</v>
      </c>
    </row>
    <row r="2" customFormat="false" ht="15" hidden="false" customHeight="false" outlineLevel="0" collapsed="false">
      <c r="A2" s="2" t="s">
        <v>2577</v>
      </c>
    </row>
    <row r="4" customFormat="false" ht="15" hidden="false" customHeight="false" outlineLevel="0" collapsed="false">
      <c r="A4" s="3" t="s">
        <v>2578</v>
      </c>
      <c r="B4" s="6" t="n">
        <f aca="false">COUNTA('All Song Rankings'!$A:$A)-1</f>
        <v>816</v>
      </c>
    </row>
    <row r="5" customFormat="false" ht="15" hidden="false" customHeight="false" outlineLevel="0" collapsed="false">
      <c r="A5" s="3" t="s">
        <v>2579</v>
      </c>
      <c r="B5" s="6" t="n">
        <f aca="false">COUNTIF('All Song Rankings'!$F:$F,"&gt;=0")</f>
        <v>786</v>
      </c>
    </row>
    <row r="6" customFormat="false" ht="15" hidden="false" customHeight="false" outlineLevel="0" collapsed="false">
      <c r="A6" s="3" t="s">
        <v>2580</v>
      </c>
      <c r="B6" s="6" t="n">
        <f aca="false">SUMPRODUCT(('All Song Rankings'!$L$2:$L$2000&lt;&gt;"")/COUNTIF('All Song Rankings'!$L$2:$L$2000,'All Song Rankings'!$L$2:$L$2000&amp;""))</f>
        <v>764</v>
      </c>
    </row>
    <row r="7" customFormat="false" ht="15" hidden="false" customHeight="false" outlineLevel="0" collapsed="false">
      <c r="A7" s="3" t="s">
        <v>2581</v>
      </c>
      <c r="B7" s="6" t="n">
        <f aca="false">SUMPRODUCT(('All Song Rankings'!$B$2:$B$2000&lt;&gt;"")/COUNTIF('All Song Rankings'!$B$2:$B$2000,'All Song Rankings'!$B$2:$B$2000&amp;""))</f>
        <v>634</v>
      </c>
    </row>
    <row r="8" customFormat="false" ht="15" hidden="false" customHeight="false" outlineLevel="0" collapsed="false">
      <c r="A8" s="3" t="s">
        <v>11</v>
      </c>
      <c r="B8" s="6" t="n">
        <f aca="false">COUNTA(Participants!$A:$A)-1</f>
        <v>24</v>
      </c>
    </row>
    <row r="9" customFormat="false" ht="15" hidden="false" customHeight="false" outlineLevel="0" collapsed="false">
      <c r="A9" s="3" t="s">
        <v>2582</v>
      </c>
      <c r="B9" s="6" t="n">
        <f aca="false">MAX(Rounds!$A:$A)</f>
        <v>8</v>
      </c>
    </row>
    <row r="10" customFormat="false" ht="15" hidden="false" customHeight="false" outlineLevel="0" collapsed="false">
      <c r="A10" s="3" t="s">
        <v>2583</v>
      </c>
    </row>
    <row r="11" customFormat="false" ht="15" hidden="false" customHeight="false" outlineLevel="0" collapsed="false">
      <c r="A11" s="3" t="s">
        <v>70</v>
      </c>
      <c r="B11" s="3" t="s">
        <v>69</v>
      </c>
      <c r="C11" s="3" t="s">
        <v>9</v>
      </c>
      <c r="D11" s="3" t="s">
        <v>2584</v>
      </c>
      <c r="E11" s="3" t="s">
        <v>2585</v>
      </c>
      <c r="F11" s="3" t="s">
        <v>2386</v>
      </c>
      <c r="G11" s="3" t="s">
        <v>2586</v>
      </c>
      <c r="H11" s="3" t="s">
        <v>2587</v>
      </c>
      <c r="I11" s="3" t="s">
        <v>2588</v>
      </c>
    </row>
    <row r="12" customFormat="false" ht="15" hidden="false" customHeight="false" outlineLevel="0" collapsed="false">
      <c r="A12" s="5" t="n">
        <v>1</v>
      </c>
      <c r="B12" s="6" t="str">
        <f aca="false">IFERROR(INDEX(Rounds!$B:$B,MATCH(A12,Rounds!$A:$A,0)),"")</f>
        <v>Org Mgmt COE (1st League)</v>
      </c>
      <c r="C12" s="6" t="n">
        <f aca="false">COUNTIF(Rounds!$A:$A,A12)</f>
        <v>8</v>
      </c>
      <c r="D12" s="6" t="n">
        <f aca="false">COUNTIF('All Song Rankings'!$J:$J,A12)</f>
        <v>85</v>
      </c>
      <c r="E12" s="6" t="n">
        <f aca="false">COUNTIFS('All Song Rankings'!$J:$J,A12,'All Song Rankings'!$F:$F,"&gt;=0")</f>
        <v>85</v>
      </c>
      <c r="F12" s="6" t="n">
        <f aca="false">COUNTIFS('All Song Rankings'!$J:$J,A12,'All Song Rankings'!$Q:$Q,"Forfeited")</f>
        <v>1</v>
      </c>
      <c r="G12" s="6" t="n">
        <f aca="false">SUMIFS('All Song Rankings'!$F:$F,'All Song Rankings'!$J:$J,A12)</f>
        <v>832</v>
      </c>
      <c r="H12" s="9" t="n">
        <f aca="false">IF(E12=0,"",G12/E12)</f>
        <v>9.78823529411765</v>
      </c>
      <c r="I12" s="6" t="n">
        <f aca="false">SUMPRODUCT(--(COUNTIFS('All Song Rankings'!$D:$D,Participants!$A$2:$A$200,'All Song Rankings'!$J:$J,A12)&gt;0))</f>
        <v>12</v>
      </c>
    </row>
    <row r="13" customFormat="false" ht="15" hidden="false" customHeight="false" outlineLevel="0" collapsed="false">
      <c r="A13" s="5" t="n">
        <v>2</v>
      </c>
      <c r="B13" s="6" t="str">
        <f aca="false">IFERROR(INDEX(Rounds!$B:$B,MATCH(A13,Rounds!$A:$A,0)),"")</f>
        <v>Org Mgmt: The Sequel (2nd League)</v>
      </c>
      <c r="C13" s="6" t="n">
        <f aca="false">COUNTIF(Rounds!$A:$A,A13)</f>
        <v>8</v>
      </c>
      <c r="D13" s="6" t="n">
        <f aca="false">COUNTIF('All Song Rankings'!$J:$J,A13)</f>
        <v>106</v>
      </c>
      <c r="E13" s="6" t="n">
        <f aca="false">COUNTIFS('All Song Rankings'!$J:$J,A13,'All Song Rankings'!$F:$F,"&gt;=0")</f>
        <v>106</v>
      </c>
      <c r="F13" s="6" t="n">
        <f aca="false">COUNTIFS('All Song Rankings'!$J:$J,A13,'All Song Rankings'!$Q:$Q,"Forfeited")</f>
        <v>9</v>
      </c>
      <c r="G13" s="6" t="n">
        <f aca="false">SUMIFS('All Song Rankings'!$F:$F,'All Song Rankings'!$J:$J,A13)</f>
        <v>882</v>
      </c>
      <c r="H13" s="9" t="n">
        <f aca="false">IF(E13=0,"",G13/E13)</f>
        <v>8.32075471698113</v>
      </c>
      <c r="I13" s="6" t="n">
        <f aca="false">SUMPRODUCT(--(COUNTIFS('All Song Rankings'!$D:$D,Participants!$A$2:$A$200,'All Song Rankings'!$J:$J,A13)&gt;0))</f>
        <v>16</v>
      </c>
    </row>
    <row r="14" customFormat="false" ht="15" hidden="false" customHeight="false" outlineLevel="0" collapsed="false">
      <c r="A14" s="5" t="n">
        <v>3</v>
      </c>
      <c r="B14" s="6" t="str">
        <f aca="false">IFERROR(INDEX(Rounds!$B:$B,MATCH(A14,Rounds!$A:$A,0)),"")</f>
        <v>Music League: tHReequel (3rd League)</v>
      </c>
      <c r="C14" s="6" t="n">
        <f aca="false">COUNTIF(Rounds!$A:$A,A14)</f>
        <v>8</v>
      </c>
      <c r="D14" s="6" t="n">
        <f aca="false">COUNTIF('All Song Rankings'!$J:$J,A14)</f>
        <v>117</v>
      </c>
      <c r="E14" s="6" t="n">
        <f aca="false">COUNTIFS('All Song Rankings'!$J:$J,A14,'All Song Rankings'!$F:$F,"&gt;=0")</f>
        <v>117</v>
      </c>
      <c r="F14" s="6" t="n">
        <f aca="false">COUNTIFS('All Song Rankings'!$J:$J,A14,'All Song Rankings'!$Q:$Q,"Forfeited")</f>
        <v>5</v>
      </c>
      <c r="G14" s="6" t="n">
        <f aca="false">SUMIFS('All Song Rankings'!$F:$F,'All Song Rankings'!$J:$J,A14)</f>
        <v>1080</v>
      </c>
      <c r="H14" s="9" t="n">
        <f aca="false">IF(E14=0,"",G14/E14)</f>
        <v>9.23076923076923</v>
      </c>
      <c r="I14" s="6" t="n">
        <f aca="false">SUMPRODUCT(--(COUNTIFS('All Song Rankings'!$D:$D,Participants!$A$2:$A$200,'All Song Rankings'!$J:$J,A14)&gt;0))</f>
        <v>15</v>
      </c>
    </row>
    <row r="15" customFormat="false" ht="15" hidden="false" customHeight="false" outlineLevel="0" collapsed="false">
      <c r="A15" s="5" t="n">
        <v>4</v>
      </c>
      <c r="B15" s="6" t="str">
        <f aca="false">IFERROR(INDEX(Rounds!$B:$B,MATCH(A15,Rounds!$A:$A,0)),"")</f>
        <v>Episode IV: A New Playlist (4th League)</v>
      </c>
      <c r="C15" s="6" t="n">
        <f aca="false">COUNTIF(Rounds!$A:$A,A15)</f>
        <v>8</v>
      </c>
      <c r="D15" s="6" t="n">
        <f aca="false">COUNTIF('All Song Rankings'!$J:$J,A15)</f>
        <v>110</v>
      </c>
      <c r="E15" s="6" t="n">
        <f aca="false">COUNTIFS('All Song Rankings'!$J:$J,A15,'All Song Rankings'!$F:$F,"&gt;=0")</f>
        <v>110</v>
      </c>
      <c r="F15" s="6" t="n">
        <f aca="false">COUNTIFS('All Song Rankings'!$J:$J,A15,'All Song Rankings'!$Q:$Q,"Forfeited")</f>
        <v>5</v>
      </c>
      <c r="G15" s="6" t="n">
        <f aca="false">SUMIFS('All Song Rankings'!$F:$F,'All Song Rankings'!$J:$J,A15)</f>
        <v>942</v>
      </c>
      <c r="H15" s="9" t="n">
        <f aca="false">IF(E15=0,"",G15/E15)</f>
        <v>8.56363636363636</v>
      </c>
      <c r="I15" s="6" t="n">
        <f aca="false">SUMPRODUCT(--(COUNTIFS('All Song Rankings'!$D:$D,Participants!$A$2:$A$200,'All Song Rankings'!$J:$J,A15)&gt;0))</f>
        <v>14</v>
      </c>
    </row>
    <row r="16" customFormat="false" ht="15" hidden="false" customHeight="false" outlineLevel="0" collapsed="false">
      <c r="A16" s="5" t="n">
        <v>5</v>
      </c>
      <c r="B16" s="6" t="str">
        <f aca="false">IFERROR(INDEX(Rounds!$B:$B,MATCH(A16,Rounds!$A:$A,0)),"")</f>
        <v>Episode V: The Playlist Strikes Back (5th League)</v>
      </c>
      <c r="C16" s="6" t="n">
        <f aca="false">COUNTIF(Rounds!$A:$A,A16)</f>
        <v>8</v>
      </c>
      <c r="D16" s="6" t="n">
        <f aca="false">COUNTIF('All Song Rankings'!$J:$J,A16)</f>
        <v>131</v>
      </c>
      <c r="E16" s="6" t="n">
        <f aca="false">COUNTIFS('All Song Rankings'!$J:$J,A16,'All Song Rankings'!$F:$F,"&gt;=0")</f>
        <v>131</v>
      </c>
      <c r="F16" s="6" t="n">
        <f aca="false">COUNTIFS('All Song Rankings'!$J:$J,A16,'All Song Rankings'!$Q:$Q,"Forfeited")</f>
        <v>4</v>
      </c>
      <c r="G16" s="6" t="n">
        <f aca="false">SUMIFS('All Song Rankings'!$F:$F,'All Song Rankings'!$J:$J,A16)</f>
        <v>1237</v>
      </c>
      <c r="H16" s="9" t="n">
        <f aca="false">IF(E16=0,"",G16/E16)</f>
        <v>9.44274809160305</v>
      </c>
      <c r="I16" s="6" t="n">
        <f aca="false">SUMPRODUCT(--(COUNTIFS('All Song Rankings'!$D:$D,Participants!$A$2:$A$200,'All Song Rankings'!$J:$J,A16)&gt;0))</f>
        <v>16</v>
      </c>
    </row>
    <row r="17" customFormat="false" ht="15" hidden="false" customHeight="false" outlineLevel="0" collapsed="false">
      <c r="A17" s="5" t="n">
        <v>6</v>
      </c>
      <c r="B17" s="6" t="str">
        <f aca="false">IFERROR(INDEX(Rounds!$B:$B,MATCH(A17,Rounds!$A:$A,0)),"")</f>
        <v>Episode VI: Return of the Playlist (6th League)</v>
      </c>
      <c r="C17" s="6" t="n">
        <f aca="false">COUNTIF(Rounds!$A:$A,A17)</f>
        <v>8</v>
      </c>
      <c r="D17" s="6" t="n">
        <f aca="false">COUNTIF('All Song Rankings'!$J:$J,A17)</f>
        <v>120</v>
      </c>
      <c r="E17" s="6" t="n">
        <f aca="false">COUNTIFS('All Song Rankings'!$J:$J,A17,'All Song Rankings'!$F:$F,"&gt;=0")</f>
        <v>120</v>
      </c>
      <c r="F17" s="6" t="n">
        <f aca="false">COUNTIFS('All Song Rankings'!$J:$J,A17,'All Song Rankings'!$Q:$Q,"Forfeited")</f>
        <v>7</v>
      </c>
      <c r="G17" s="6" t="n">
        <f aca="false">SUMIFS('All Song Rankings'!$F:$F,'All Song Rankings'!$J:$J,A17)</f>
        <v>1059</v>
      </c>
      <c r="H17" s="9" t="n">
        <f aca="false">IF(E17=0,"",G17/E17)</f>
        <v>8.825</v>
      </c>
      <c r="I17" s="6" t="n">
        <f aca="false">SUMPRODUCT(--(COUNTIFS('All Song Rankings'!$D:$D,Participants!$A$2:$A$200,'All Song Rankings'!$J:$J,A17)&gt;0))</f>
        <v>16</v>
      </c>
    </row>
    <row r="18" customFormat="false" ht="15" hidden="false" customHeight="false" outlineLevel="0" collapsed="false">
      <c r="A18" s="5" t="n">
        <v>7</v>
      </c>
      <c r="B18" s="6" t="str">
        <f aca="false">IFERROR(INDEX(Rounds!$B:$B,MATCH(A18,Rounds!$A:$A,0)),"")</f>
        <v>Lucky Number 7 (7th League)</v>
      </c>
      <c r="C18" s="6" t="n">
        <f aca="false">COUNTIF(Rounds!$A:$A,A18)</f>
        <v>8</v>
      </c>
      <c r="D18" s="6" t="n">
        <f aca="false">COUNTIF('All Song Rankings'!$J:$J,A18)</f>
        <v>117</v>
      </c>
      <c r="E18" s="6" t="n">
        <f aca="false">COUNTIFS('All Song Rankings'!$J:$J,A18,'All Song Rankings'!$F:$F,"&gt;=0")</f>
        <v>117</v>
      </c>
      <c r="F18" s="6" t="n">
        <f aca="false">COUNTIFS('All Song Rankings'!$J:$J,A18,'All Song Rankings'!$Q:$Q,"Forfeited")</f>
        <v>9</v>
      </c>
      <c r="G18" s="6" t="n">
        <f aca="false">SUMIFS('All Song Rankings'!$F:$F,'All Song Rankings'!$J:$J,A18)</f>
        <v>1011</v>
      </c>
      <c r="H18" s="9" t="n">
        <f aca="false">IF(E18=0,"",G18/E18)</f>
        <v>8.64102564102564</v>
      </c>
      <c r="I18" s="6" t="n">
        <f aca="false">SUMPRODUCT(--(COUNTIFS('All Song Rankings'!$D:$D,Participants!$A$2:$A$200,'All Song Rankings'!$J:$J,A18)&gt;0))</f>
        <v>16</v>
      </c>
    </row>
    <row r="19" customFormat="false" ht="15" hidden="false" customHeight="false" outlineLevel="0" collapsed="false">
      <c r="A19" s="5" t="n">
        <v>8</v>
      </c>
      <c r="B19" s="6" t="str">
        <f aca="false">IFERROR(INDEX(Rounds!$B:$B,MATCH(A19,Rounds!$A:$A,0)),"")</f>
        <v>The Soundtrack of Us (8th League)</v>
      </c>
      <c r="C19" s="6" t="n">
        <f aca="false">COUNTIF(Rounds!$A:$A,A19)</f>
        <v>2</v>
      </c>
      <c r="D19" s="6" t="n">
        <f aca="false">COUNTIF('All Song Rankings'!$J:$J,A19)</f>
        <v>30</v>
      </c>
      <c r="E19" s="6" t="n">
        <f aca="false">COUNTIFS('All Song Rankings'!$J:$J,A19,'All Song Rankings'!$F:$F,"&gt;=0")</f>
        <v>0</v>
      </c>
      <c r="F19" s="6" t="n">
        <f aca="false">COUNTIFS('All Song Rankings'!$J:$J,A19,'All Song Rankings'!$Q:$Q,"Forfeited")</f>
        <v>0</v>
      </c>
      <c r="G19" s="6" t="n">
        <f aca="false">SUMIFS('All Song Rankings'!$F:$F,'All Song Rankings'!$J:$J,A19)</f>
        <v>0</v>
      </c>
      <c r="H19" s="9" t="str">
        <f aca="false">IF(E19=0,"",G19/E19)</f>
        <v/>
      </c>
      <c r="I19" s="6" t="n">
        <f aca="false">SUMPRODUCT(--(COUNTIFS('All Song Rankings'!$D:$D,Participants!$A$2:$A$200,'All Song Rankings'!$J:$J,A19)&gt;0))</f>
        <v>0</v>
      </c>
    </row>
    <row r="21" customFormat="false" ht="15" hidden="false" customHeight="false" outlineLevel="0" collapsed="false">
      <c r="A21" s="3" t="s">
        <v>2589</v>
      </c>
    </row>
    <row r="22" customFormat="false" ht="15" hidden="false" customHeight="false" outlineLevel="0" collapsed="false">
      <c r="A22" s="3" t="s">
        <v>63</v>
      </c>
      <c r="B22" s="3" t="s">
        <v>2584</v>
      </c>
      <c r="C22" s="3" t="s">
        <v>2590</v>
      </c>
      <c r="D22" s="3" t="s">
        <v>2586</v>
      </c>
      <c r="E22" s="3" t="s">
        <v>2587</v>
      </c>
    </row>
    <row r="23" customFormat="false" ht="15" hidden="false" customHeight="false" outlineLevel="0" collapsed="false">
      <c r="A23" s="5" t="str">
        <f aca="false">Lists!A2</f>
        <v>A Cappella</v>
      </c>
      <c r="B23" s="6" t="n">
        <f aca="false">COUNTIF('All Song Rankings'!$C:$C,A23)</f>
        <v>2</v>
      </c>
      <c r="C23" s="10" t="n">
        <f aca="false">B23/$B$4</f>
        <v>0.00245098039215686</v>
      </c>
      <c r="D23" s="6" t="n">
        <f aca="false">SUMIFS('All Song Rankings'!$F:$F,'All Song Rankings'!$C:$C,A23)</f>
        <v>25</v>
      </c>
      <c r="E23" s="9" t="n">
        <f aca="false">IF(COUNTIFS('All Song Rankings'!$C:$C,A23,'All Song Rankings'!$F:$F,"&gt;=0")=0,"",D23/COUNTIFS('All Song Rankings'!$C:$C,A23,'All Song Rankings'!$F:$F,"&gt;=0"))</f>
        <v>12.5</v>
      </c>
    </row>
    <row r="24" customFormat="false" ht="15" hidden="false" customHeight="false" outlineLevel="0" collapsed="false">
      <c r="A24" s="5" t="str">
        <f aca="false">Lists!A3</f>
        <v>Alternative/Comedy</v>
      </c>
      <c r="B24" s="6" t="n">
        <f aca="false">COUNTIF('All Song Rankings'!$C:$C,A24)</f>
        <v>2</v>
      </c>
      <c r="C24" s="10" t="n">
        <f aca="false">B24/$B$4</f>
        <v>0.00245098039215686</v>
      </c>
      <c r="D24" s="6" t="n">
        <f aca="false">SUMIFS('All Song Rankings'!$F:$F,'All Song Rankings'!$C:$C,A24)</f>
        <v>20</v>
      </c>
      <c r="E24" s="9" t="n">
        <f aca="false">IF(COUNTIFS('All Song Rankings'!$C:$C,A24,'All Song Rankings'!$F:$F,"&gt;=0")=0,"",D24/COUNTIFS('All Song Rankings'!$C:$C,A24,'All Song Rankings'!$F:$F,"&gt;=0"))</f>
        <v>10</v>
      </c>
    </row>
    <row r="25" customFormat="false" ht="15" hidden="false" customHeight="false" outlineLevel="0" collapsed="false">
      <c r="A25" s="5" t="str">
        <f aca="false">Lists!A4</f>
        <v>Christian/Gospel</v>
      </c>
      <c r="B25" s="6" t="n">
        <f aca="false">COUNTIF('All Song Rankings'!$C:$C,A25)</f>
        <v>4</v>
      </c>
      <c r="C25" s="10" t="n">
        <f aca="false">B25/$B$4</f>
        <v>0.00490196078431373</v>
      </c>
      <c r="D25" s="6" t="n">
        <f aca="false">SUMIFS('All Song Rankings'!$F:$F,'All Song Rankings'!$C:$C,A25)</f>
        <v>25</v>
      </c>
      <c r="E25" s="9" t="n">
        <f aca="false">IF(COUNTIFS('All Song Rankings'!$C:$C,A25,'All Song Rankings'!$F:$F,"&gt;=0")=0,"",D25/COUNTIFS('All Song Rankings'!$C:$C,A25,'All Song Rankings'!$F:$F,"&gt;=0"))</f>
        <v>6.25</v>
      </c>
    </row>
    <row r="26" customFormat="false" ht="15" hidden="false" customHeight="false" outlineLevel="0" collapsed="false">
      <c r="A26" s="5" t="str">
        <f aca="false">Lists!A5</f>
        <v>Classical Crossover</v>
      </c>
      <c r="B26" s="6" t="n">
        <f aca="false">COUNTIF('All Song Rankings'!$C:$C,A26)</f>
        <v>3</v>
      </c>
      <c r="C26" s="10" t="n">
        <f aca="false">B26/$B$4</f>
        <v>0.00367647058823529</v>
      </c>
      <c r="D26" s="6" t="n">
        <f aca="false">SUMIFS('All Song Rankings'!$F:$F,'All Song Rankings'!$C:$C,A26)</f>
        <v>37</v>
      </c>
      <c r="E26" s="9" t="n">
        <f aca="false">IF(COUNTIFS('All Song Rankings'!$C:$C,A26,'All Song Rankings'!$F:$F,"&gt;=0")=0,"",D26/COUNTIFS('All Song Rankings'!$C:$C,A26,'All Song Rankings'!$F:$F,"&gt;=0"))</f>
        <v>12.3333333333333</v>
      </c>
    </row>
    <row r="27" customFormat="false" ht="15" hidden="false" customHeight="false" outlineLevel="0" collapsed="false">
      <c r="A27" s="5" t="str">
        <f aca="false">Lists!A6</f>
        <v>Classical/Score</v>
      </c>
      <c r="B27" s="6" t="n">
        <f aca="false">COUNTIF('All Song Rankings'!$C:$C,A27)</f>
        <v>17</v>
      </c>
      <c r="C27" s="10" t="n">
        <f aca="false">B27/$B$4</f>
        <v>0.0208333333333333</v>
      </c>
      <c r="D27" s="6" t="n">
        <f aca="false">SUMIFS('All Song Rankings'!$F:$F,'All Song Rankings'!$C:$C,A27)</f>
        <v>133</v>
      </c>
      <c r="E27" s="9" t="n">
        <f aca="false">IF(COUNTIFS('All Song Rankings'!$C:$C,A27,'All Song Rankings'!$F:$F,"&gt;=0")=0,"",D27/COUNTIFS('All Song Rankings'!$C:$C,A27,'All Song Rankings'!$F:$F,"&gt;=0"))</f>
        <v>7.82352941176471</v>
      </c>
    </row>
    <row r="28" customFormat="false" ht="15" hidden="false" customHeight="false" outlineLevel="0" collapsed="false">
      <c r="A28" s="5" t="str">
        <f aca="false">Lists!A7</f>
        <v>Country</v>
      </c>
      <c r="B28" s="6" t="n">
        <f aca="false">COUNTIF('All Song Rankings'!$C:$C,A28)</f>
        <v>46</v>
      </c>
      <c r="C28" s="10" t="n">
        <f aca="false">B28/$B$4</f>
        <v>0.0563725490196078</v>
      </c>
      <c r="D28" s="6" t="n">
        <f aca="false">SUMIFS('All Song Rankings'!$F:$F,'All Song Rankings'!$C:$C,A28)</f>
        <v>367</v>
      </c>
      <c r="E28" s="9" t="n">
        <f aca="false">IF(COUNTIFS('All Song Rankings'!$C:$C,A28,'All Song Rankings'!$F:$F,"&gt;=0")=0,"",D28/COUNTIFS('All Song Rankings'!$C:$C,A28,'All Song Rankings'!$F:$F,"&gt;=0"))</f>
        <v>8.15555555555556</v>
      </c>
    </row>
    <row r="29" customFormat="false" ht="15" hidden="false" customHeight="false" outlineLevel="0" collapsed="false">
      <c r="A29" s="5" t="str">
        <f aca="false">Lists!A8</f>
        <v>Disco</v>
      </c>
      <c r="B29" s="6" t="n">
        <f aca="false">COUNTIF('All Song Rankings'!$C:$C,A29)</f>
        <v>2</v>
      </c>
      <c r="C29" s="10" t="n">
        <f aca="false">B29/$B$4</f>
        <v>0.00245098039215686</v>
      </c>
      <c r="D29" s="6" t="n">
        <f aca="false">SUMIFS('All Song Rankings'!$F:$F,'All Song Rankings'!$C:$C,A29)</f>
        <v>9</v>
      </c>
      <c r="E29" s="9" t="n">
        <f aca="false">IF(COUNTIFS('All Song Rankings'!$C:$C,A29,'All Song Rankings'!$F:$F,"&gt;=0")=0,"",D29/COUNTIFS('All Song Rankings'!$C:$C,A29,'All Song Rankings'!$F:$F,"&gt;=0"))</f>
        <v>9</v>
      </c>
    </row>
    <row r="30" customFormat="false" ht="15" hidden="false" customHeight="false" outlineLevel="0" collapsed="false">
      <c r="A30" s="5" t="str">
        <f aca="false">Lists!A9</f>
        <v>Electronic/Dance</v>
      </c>
      <c r="B30" s="6" t="n">
        <f aca="false">COUNTIF('All Song Rankings'!$C:$C,A30)</f>
        <v>32</v>
      </c>
      <c r="C30" s="10" t="n">
        <f aca="false">B30/$B$4</f>
        <v>0.0392156862745098</v>
      </c>
      <c r="D30" s="6" t="n">
        <f aca="false">SUMIFS('All Song Rankings'!$F:$F,'All Song Rankings'!$C:$C,A30)</f>
        <v>279</v>
      </c>
      <c r="E30" s="9" t="n">
        <f aca="false">IF(COUNTIFS('All Song Rankings'!$C:$C,A30,'All Song Rankings'!$F:$F,"&gt;=0")=0,"",D30/COUNTIFS('All Song Rankings'!$C:$C,A30,'All Song Rankings'!$F:$F,"&gt;=0"))</f>
        <v>8.71875</v>
      </c>
    </row>
    <row r="31" customFormat="false" ht="15" hidden="false" customHeight="false" outlineLevel="0" collapsed="false">
      <c r="A31" s="5" t="str">
        <f aca="false">Lists!A10</f>
        <v>Folk/Americana</v>
      </c>
      <c r="B31" s="6" t="n">
        <f aca="false">COUNTIF('All Song Rankings'!$C:$C,A31)</f>
        <v>30</v>
      </c>
      <c r="C31" s="10" t="n">
        <f aca="false">B31/$B$4</f>
        <v>0.0367647058823529</v>
      </c>
      <c r="D31" s="6" t="n">
        <f aca="false">SUMIFS('All Song Rankings'!$F:$F,'All Song Rankings'!$C:$C,A31)</f>
        <v>245</v>
      </c>
      <c r="E31" s="9" t="n">
        <f aca="false">IF(COUNTIFS('All Song Rankings'!$C:$C,A31,'All Song Rankings'!$F:$F,"&gt;=0")=0,"",D31/COUNTIFS('All Song Rankings'!$C:$C,A31,'All Song Rankings'!$F:$F,"&gt;=0"))</f>
        <v>8.16666666666667</v>
      </c>
    </row>
    <row r="32" customFormat="false" ht="15" hidden="false" customHeight="false" outlineLevel="0" collapsed="false">
      <c r="A32" s="5" t="str">
        <f aca="false">Lists!A11</f>
        <v>Hip-Hop/Rap</v>
      </c>
      <c r="B32" s="6" t="n">
        <f aca="false">COUNTIF('All Song Rankings'!$C:$C,A32)</f>
        <v>44</v>
      </c>
      <c r="C32" s="10" t="n">
        <f aca="false">B32/$B$4</f>
        <v>0.053921568627451</v>
      </c>
      <c r="D32" s="6" t="n">
        <f aca="false">SUMIFS('All Song Rankings'!$F:$F,'All Song Rankings'!$C:$C,A32)</f>
        <v>371</v>
      </c>
      <c r="E32" s="9" t="n">
        <f aca="false">IF(COUNTIFS('All Song Rankings'!$C:$C,A32,'All Song Rankings'!$F:$F,"&gt;=0")=0,"",D32/COUNTIFS('All Song Rankings'!$C:$C,A32,'All Song Rankings'!$F:$F,"&gt;=0"))</f>
        <v>8.83333333333333</v>
      </c>
    </row>
    <row r="33" customFormat="false" ht="15" hidden="false" customHeight="false" outlineLevel="0" collapsed="false">
      <c r="A33" s="5" t="str">
        <f aca="false">Lists!A12</f>
        <v>Indian Film Music</v>
      </c>
      <c r="B33" s="6" t="n">
        <f aca="false">COUNTIF('All Song Rankings'!$C:$C,A33)</f>
        <v>2</v>
      </c>
      <c r="C33" s="10" t="n">
        <f aca="false">B33/$B$4</f>
        <v>0.00245098039215686</v>
      </c>
      <c r="D33" s="6" t="n">
        <f aca="false">SUMIFS('All Song Rankings'!$F:$F,'All Song Rankings'!$C:$C,A33)</f>
        <v>17</v>
      </c>
      <c r="E33" s="9" t="n">
        <f aca="false">IF(COUNTIFS('All Song Rankings'!$C:$C,A33,'All Song Rankings'!$F:$F,"&gt;=0")=0,"",D33/COUNTIFS('All Song Rankings'!$C:$C,A33,'All Song Rankings'!$F:$F,"&gt;=0"))</f>
        <v>8.5</v>
      </c>
    </row>
    <row r="34" customFormat="false" ht="15" hidden="false" customHeight="false" outlineLevel="0" collapsed="false">
      <c r="A34" s="5" t="str">
        <f aca="false">Lists!A13</f>
        <v>Jazz/Vocal</v>
      </c>
      <c r="B34" s="6" t="n">
        <f aca="false">COUNTIF('All Song Rankings'!$C:$C,A34)</f>
        <v>15</v>
      </c>
      <c r="C34" s="10" t="n">
        <f aca="false">B34/$B$4</f>
        <v>0.0183823529411765</v>
      </c>
      <c r="D34" s="6" t="n">
        <f aca="false">SUMIFS('All Song Rankings'!$F:$F,'All Song Rankings'!$C:$C,A34)</f>
        <v>136</v>
      </c>
      <c r="E34" s="9" t="n">
        <f aca="false">IF(COUNTIFS('All Song Rankings'!$C:$C,A34,'All Song Rankings'!$F:$F,"&gt;=0")=0,"",D34/COUNTIFS('All Song Rankings'!$C:$C,A34,'All Song Rankings'!$F:$F,"&gt;=0"))</f>
        <v>9.06666666666667</v>
      </c>
    </row>
    <row r="35" customFormat="false" ht="15" hidden="false" customHeight="false" outlineLevel="0" collapsed="false">
      <c r="A35" s="5" t="str">
        <f aca="false">Lists!A14</f>
        <v>K-Pop</v>
      </c>
      <c r="B35" s="6" t="n">
        <f aca="false">COUNTIF('All Song Rankings'!$C:$C,A35)</f>
        <v>7</v>
      </c>
      <c r="C35" s="10" t="n">
        <f aca="false">B35/$B$4</f>
        <v>0.00857843137254902</v>
      </c>
      <c r="D35" s="6" t="n">
        <f aca="false">SUMIFS('All Song Rankings'!$F:$F,'All Song Rankings'!$C:$C,A35)</f>
        <v>56</v>
      </c>
      <c r="E35" s="9" t="n">
        <f aca="false">IF(COUNTIFS('All Song Rankings'!$C:$C,A35,'All Song Rankings'!$F:$F,"&gt;=0")=0,"",D35/COUNTIFS('All Song Rankings'!$C:$C,A35,'All Song Rankings'!$F:$F,"&gt;=0"))</f>
        <v>9.33333333333333</v>
      </c>
    </row>
    <row r="36" customFormat="false" ht="15" hidden="false" customHeight="false" outlineLevel="0" collapsed="false">
      <c r="A36" s="5" t="str">
        <f aca="false">Lists!A15</f>
        <v>Latin</v>
      </c>
      <c r="B36" s="6" t="n">
        <f aca="false">COUNTIF('All Song Rankings'!$C:$C,A36)</f>
        <v>21</v>
      </c>
      <c r="C36" s="10" t="n">
        <f aca="false">B36/$B$4</f>
        <v>0.0257352941176471</v>
      </c>
      <c r="D36" s="6" t="n">
        <f aca="false">SUMIFS('All Song Rankings'!$F:$F,'All Song Rankings'!$C:$C,A36)</f>
        <v>212</v>
      </c>
      <c r="E36" s="9" t="n">
        <f aca="false">IF(COUNTIFS('All Song Rankings'!$C:$C,A36,'All Song Rankings'!$F:$F,"&gt;=0")=0,"",D36/COUNTIFS('All Song Rankings'!$C:$C,A36,'All Song Rankings'!$F:$F,"&gt;=0"))</f>
        <v>10.0952380952381</v>
      </c>
    </row>
    <row r="37" customFormat="false" ht="15" hidden="false" customHeight="false" outlineLevel="0" collapsed="false">
      <c r="A37" s="5" t="str">
        <f aca="false">Lists!A16</f>
        <v>Metal</v>
      </c>
      <c r="B37" s="6" t="n">
        <f aca="false">COUNTIF('All Song Rankings'!$C:$C,A37)</f>
        <v>24</v>
      </c>
      <c r="C37" s="10" t="n">
        <f aca="false">B37/$B$4</f>
        <v>0.0294117647058824</v>
      </c>
      <c r="D37" s="6" t="n">
        <f aca="false">SUMIFS('All Song Rankings'!$F:$F,'All Song Rankings'!$C:$C,A37)</f>
        <v>166</v>
      </c>
      <c r="E37" s="9" t="n">
        <f aca="false">IF(COUNTIFS('All Song Rankings'!$C:$C,A37,'All Song Rankings'!$F:$F,"&gt;=0")=0,"",D37/COUNTIFS('All Song Rankings'!$C:$C,A37,'All Song Rankings'!$F:$F,"&gt;=0"))</f>
        <v>7.21739130434783</v>
      </c>
    </row>
    <row r="38" customFormat="false" ht="15" hidden="false" customHeight="false" outlineLevel="0" collapsed="false">
      <c r="A38" s="5" t="str">
        <f aca="false">Lists!A17</f>
        <v>Novelty</v>
      </c>
      <c r="B38" s="6" t="n">
        <f aca="false">COUNTIF('All Song Rankings'!$C:$C,A38)</f>
        <v>3</v>
      </c>
      <c r="C38" s="10" t="n">
        <f aca="false">B38/$B$4</f>
        <v>0.00367647058823529</v>
      </c>
      <c r="D38" s="6" t="n">
        <f aca="false">SUMIFS('All Song Rankings'!$F:$F,'All Song Rankings'!$C:$C,A38)</f>
        <v>23</v>
      </c>
      <c r="E38" s="9" t="n">
        <f aca="false">IF(COUNTIFS('All Song Rankings'!$C:$C,A38,'All Song Rankings'!$F:$F,"&gt;=0")=0,"",D38/COUNTIFS('All Song Rankings'!$C:$C,A38,'All Song Rankings'!$F:$F,"&gt;=0"))</f>
        <v>7.66666666666667</v>
      </c>
    </row>
    <row r="39" customFormat="false" ht="15" hidden="false" customHeight="false" outlineLevel="0" collapsed="false">
      <c r="A39" s="5" t="str">
        <f aca="false">Lists!A18</f>
        <v>Pop</v>
      </c>
      <c r="B39" s="6" t="n">
        <f aca="false">COUNTIF('All Song Rankings'!$C:$C,A39)</f>
        <v>214</v>
      </c>
      <c r="C39" s="10" t="n">
        <f aca="false">B39/$B$4</f>
        <v>0.262254901960784</v>
      </c>
      <c r="D39" s="6" t="n">
        <f aca="false">SUMIFS('All Song Rankings'!$F:$F,'All Song Rankings'!$C:$C,A39)</f>
        <v>1975</v>
      </c>
      <c r="E39" s="9" t="n">
        <f aca="false">IF(COUNTIFS('All Song Rankings'!$C:$C,A39,'All Song Rankings'!$F:$F,"&gt;=0")=0,"",D39/COUNTIFS('All Song Rankings'!$C:$C,A39,'All Song Rankings'!$F:$F,"&gt;=0"))</f>
        <v>9.54106280193237</v>
      </c>
    </row>
    <row r="40" customFormat="false" ht="15" hidden="false" customHeight="false" outlineLevel="0" collapsed="false">
      <c r="A40" s="5" t="str">
        <f aca="false">Lists!A19</f>
        <v>Pop/Rock</v>
      </c>
      <c r="B40" s="6" t="n">
        <f aca="false">COUNTIF('All Song Rankings'!$C:$C,A40)</f>
        <v>4</v>
      </c>
      <c r="C40" s="10" t="n">
        <f aca="false">B40/$B$4</f>
        <v>0.00490196078431373</v>
      </c>
      <c r="D40" s="6" t="n">
        <f aca="false">SUMIFS('All Song Rankings'!$F:$F,'All Song Rankings'!$C:$C,A40)</f>
        <v>17</v>
      </c>
      <c r="E40" s="9" t="n">
        <f aca="false">IF(COUNTIFS('All Song Rankings'!$C:$C,A40,'All Song Rankings'!$F:$F,"&gt;=0")=0,"",D40/COUNTIFS('All Song Rankings'!$C:$C,A40,'All Song Rankings'!$F:$F,"&gt;=0"))</f>
        <v>4.25</v>
      </c>
    </row>
    <row r="41" customFormat="false" ht="15" hidden="false" customHeight="false" outlineLevel="0" collapsed="false">
      <c r="A41" s="5" t="str">
        <f aca="false">Lists!A20</f>
        <v>R&amp;B/Soul</v>
      </c>
      <c r="B41" s="6" t="n">
        <f aca="false">COUNTIF('All Song Rankings'!$C:$C,A41)</f>
        <v>64</v>
      </c>
      <c r="C41" s="10" t="n">
        <f aca="false">B41/$B$4</f>
        <v>0.0784313725490196</v>
      </c>
      <c r="D41" s="6" t="n">
        <f aca="false">SUMIFS('All Song Rankings'!$F:$F,'All Song Rankings'!$C:$C,A41)</f>
        <v>545</v>
      </c>
      <c r="E41" s="9" t="n">
        <f aca="false">IF(COUNTIFS('All Song Rankings'!$C:$C,A41,'All Song Rankings'!$F:$F,"&gt;=0")=0,"",D41/COUNTIFS('All Song Rankings'!$C:$C,A41,'All Song Rankings'!$F:$F,"&gt;=0"))</f>
        <v>8.79032258064516</v>
      </c>
    </row>
    <row r="42" customFormat="false" ht="15" hidden="false" customHeight="false" outlineLevel="0" collapsed="false">
      <c r="A42" s="5" t="str">
        <f aca="false">Lists!A21</f>
        <v>Reggae</v>
      </c>
      <c r="B42" s="6" t="n">
        <f aca="false">COUNTIF('All Song Rankings'!$C:$C,A42)</f>
        <v>7</v>
      </c>
      <c r="C42" s="10" t="n">
        <f aca="false">B42/$B$4</f>
        <v>0.00857843137254902</v>
      </c>
      <c r="D42" s="6" t="n">
        <f aca="false">SUMIFS('All Song Rankings'!$F:$F,'All Song Rankings'!$C:$C,A42)</f>
        <v>55</v>
      </c>
      <c r="E42" s="9" t="n">
        <f aca="false">IF(COUNTIFS('All Song Rankings'!$C:$C,A42,'All Song Rankings'!$F:$F,"&gt;=0")=0,"",D42/COUNTIFS('All Song Rankings'!$C:$C,A42,'All Song Rankings'!$F:$F,"&gt;=0"))</f>
        <v>7.85714285714286</v>
      </c>
    </row>
    <row r="43" customFormat="false" ht="15" hidden="false" customHeight="false" outlineLevel="0" collapsed="false">
      <c r="A43" s="5" t="str">
        <f aca="false">Lists!A22</f>
        <v>Rock</v>
      </c>
      <c r="B43" s="6" t="n">
        <f aca="false">COUNTIF('All Song Rankings'!$C:$C,A43)</f>
        <v>217</v>
      </c>
      <c r="C43" s="10" t="n">
        <f aca="false">B43/$B$4</f>
        <v>0.26593137254902</v>
      </c>
      <c r="D43" s="6" t="n">
        <f aca="false">SUMIFS('All Song Rankings'!$F:$F,'All Song Rankings'!$C:$C,A43)</f>
        <v>1801</v>
      </c>
      <c r="E43" s="9" t="n">
        <f aca="false">IF(COUNTIFS('All Song Rankings'!$C:$C,A43,'All Song Rankings'!$F:$F,"&gt;=0")=0,"",D43/COUNTIFS('All Song Rankings'!$C:$C,A43,'All Song Rankings'!$F:$F,"&gt;=0"))</f>
        <v>8.91584158415842</v>
      </c>
    </row>
    <row r="44" customFormat="false" ht="15" hidden="false" customHeight="false" outlineLevel="0" collapsed="false">
      <c r="A44" s="5" t="str">
        <f aca="false">Lists!A23</f>
        <v>Soundtrack/Musical</v>
      </c>
      <c r="B44" s="6" t="n">
        <f aca="false">COUNTIF('All Song Rankings'!$C:$C,A44)</f>
        <v>49</v>
      </c>
      <c r="C44" s="10" t="n">
        <f aca="false">B44/$B$4</f>
        <v>0.0600490196078431</v>
      </c>
      <c r="D44" s="6" t="n">
        <f aca="false">SUMIFS('All Song Rankings'!$F:$F,'All Song Rankings'!$C:$C,A44)</f>
        <v>478</v>
      </c>
      <c r="E44" s="9" t="n">
        <f aca="false">IF(COUNTIFS('All Song Rankings'!$C:$C,A44,'All Song Rankings'!$F:$F,"&gt;=0")=0,"",D44/COUNTIFS('All Song Rankings'!$C:$C,A44,'All Song Rankings'!$F:$F,"&gt;=0"))</f>
        <v>9.75510204081633</v>
      </c>
    </row>
    <row r="45" customFormat="false" ht="15" hidden="false" customHeight="false" outlineLevel="0" collapsed="false">
      <c r="A45" s="5" t="s">
        <v>2591</v>
      </c>
      <c r="B45" s="6" t="n">
        <f aca="false">$B$4-SUM(B23:B44)</f>
        <v>7</v>
      </c>
      <c r="C45" s="10" t="n">
        <f aca="false">B45/$B$4</f>
        <v>0.00857843137254902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8"/>
    <col collapsed="false" customWidth="true" hidden="false" outlineLevel="0" max="3" min="3" style="0" width="40"/>
    <col collapsed="false" customWidth="true" hidden="false" outlineLevel="0" max="4" min="4" style="0" width="38"/>
    <col collapsed="false" customWidth="true" hidden="false" outlineLevel="0" max="5" min="5" style="0" width="16"/>
    <col collapsed="false" customWidth="true" hidden="false" outlineLevel="0" max="7" min="7" style="0" width="95"/>
  </cols>
  <sheetData>
    <row r="1" customFormat="false" ht="15" hidden="false" customHeight="false" outlineLevel="0" collapsed="false">
      <c r="A1" s="3" t="s">
        <v>61</v>
      </c>
      <c r="B1" s="3" t="s">
        <v>62</v>
      </c>
      <c r="C1" s="3" t="s">
        <v>65</v>
      </c>
      <c r="D1" s="3" t="s">
        <v>69</v>
      </c>
      <c r="E1" s="3" t="s">
        <v>2592</v>
      </c>
      <c r="G1" s="3" t="s">
        <v>2593</v>
      </c>
    </row>
    <row r="2" customFormat="false" ht="15" hidden="false" customHeight="false" outlineLevel="0" collapsed="false">
      <c r="A2" s="6" t="str">
        <f aca="false">IFERROR(INDEX('All Song Rankings'!$A:$A,MATCH(ROW()-1,'All Song Rankings'!$S:$S,0)),"")</f>
        <v>Shut Up and Dance</v>
      </c>
      <c r="B2" s="6" t="str">
        <f aca="false">IFERROR(INDEX('All Song Rankings'!$B:$B,MATCH(ROW()-1,'All Song Rankings'!$S:$S,0)),"")</f>
        <v>WALK THE MOON</v>
      </c>
      <c r="C2" s="6" t="str">
        <f aca="false">IFERROR(INDEX('All Song Rankings'!$E:$E,MATCH(ROW()-1,'All Song Rankings'!$S:$S,0)),"")</f>
        <v>1 - A Song you'd recommend any day</v>
      </c>
      <c r="D2" s="6" t="str">
        <f aca="false">IFERROR(INDEX('All Song Rankings'!$I:$I,MATCH(ROW()-1,'All Song Rankings'!$S:$S,0)),"")</f>
        <v>Org Mgmt COE (1st League)</v>
      </c>
      <c r="E2" s="6" t="n">
        <f aca="false">IFERROR(INDEX('All Song Rankings'!$R:$R,MATCH(ROW()-1,'All Song Rankings'!$S:$S,0)),"")</f>
        <v>2</v>
      </c>
      <c r="G2" s="5" t="s">
        <v>2594</v>
      </c>
    </row>
    <row r="3" customFormat="false" ht="15" hidden="false" customHeight="false" outlineLevel="0" collapsed="false">
      <c r="A3" s="6" t="str">
        <f aca="false">IFERROR(INDEX('All Song Rankings'!$A:$A,MATCH(ROW()-1,'All Song Rankings'!$S:$S,0)),"")</f>
        <v>Fantasy</v>
      </c>
      <c r="B3" s="6" t="str">
        <f aca="false">IFERROR(INDEX('All Song Rankings'!$B:$B,MATCH(ROW()-1,'All Song Rankings'!$S:$S,0)),"")</f>
        <v>Mariah Carey</v>
      </c>
      <c r="C3" s="6" t="str">
        <f aca="false">IFERROR(INDEX('All Song Rankings'!$E:$E,MATCH(ROW()-1,'All Song Rankings'!$S:$S,0)),"")</f>
        <v>1 - A Song you'd recommend any day</v>
      </c>
      <c r="D3" s="6" t="str">
        <f aca="false">IFERROR(INDEX('All Song Rankings'!$I:$I,MATCH(ROW()-1,'All Song Rankings'!$S:$S,0)),"")</f>
        <v>Org Mgmt COE (1st League)</v>
      </c>
      <c r="E3" s="6" t="n">
        <f aca="false">IFERROR(INDEX('All Song Rankings'!$R:$R,MATCH(ROW()-1,'All Song Rankings'!$S:$S,0)),"")</f>
        <v>2</v>
      </c>
      <c r="G3" s="5" t="s">
        <v>2595</v>
      </c>
    </row>
    <row r="4" customFormat="false" ht="15" hidden="false" customHeight="false" outlineLevel="0" collapsed="false">
      <c r="A4" s="6" t="str">
        <f aca="false">IFERROR(INDEX('All Song Rankings'!$A:$A,MATCH(ROW()-1,'All Song Rankings'!$S:$S,0)),"")</f>
        <v>Uptown Funk</v>
      </c>
      <c r="B4" s="6" t="str">
        <f aca="false">IFERROR(INDEX('All Song Rankings'!$B:$B,MATCH(ROW()-1,'All Song Rankings'!$S:$S,0)),"")</f>
        <v>Mark Ronson</v>
      </c>
      <c r="C4" s="6" t="str">
        <f aca="false">IFERROR(INDEX('All Song Rankings'!$E:$E,MATCH(ROW()-1,'All Song Rankings'!$S:$S,0)),"")</f>
        <v>3 - Please Rise - You are now in charge of a country! What is the national anthem?</v>
      </c>
      <c r="D4" s="6" t="str">
        <f aca="false">IFERROR(INDEX('All Song Rankings'!$I:$I,MATCH(ROW()-1,'All Song Rankings'!$S:$S,0)),"")</f>
        <v>Org Mgmt COE (1st League)</v>
      </c>
      <c r="E4" s="6" t="n">
        <f aca="false">IFERROR(INDEX('All Song Rankings'!$R:$R,MATCH(ROW()-1,'All Song Rankings'!$S:$S,0)),"")</f>
        <v>2</v>
      </c>
    </row>
    <row r="5" customFormat="false" ht="15" hidden="false" customHeight="false" outlineLevel="0" collapsed="false">
      <c r="A5" s="6" t="str">
        <f aca="false">IFERROR(INDEX('All Song Rankings'!$A:$A,MATCH(ROW()-1,'All Song Rankings'!$S:$S,0)),"")</f>
        <v>drivers license</v>
      </c>
      <c r="B5" s="6" t="str">
        <f aca="false">IFERROR(INDEX('All Song Rankings'!$B:$B,MATCH(ROW()-1,'All Song Rankings'!$S:$S,0)),"")</f>
        <v>Olivia Rodrigo</v>
      </c>
      <c r="C5" s="6" t="str">
        <f aca="false">IFERROR(INDEX('All Song Rankings'!$E:$E,MATCH(ROW()-1,'All Song Rankings'!$S:$S,0)),"")</f>
        <v>6 - Songs that tell a Story</v>
      </c>
      <c r="D5" s="6" t="str">
        <f aca="false">IFERROR(INDEX('All Song Rankings'!$I:$I,MATCH(ROW()-1,'All Song Rankings'!$S:$S,0)),"")</f>
        <v>Org Mgmt COE (1st League)</v>
      </c>
      <c r="E5" s="6" t="n">
        <f aca="false">IFERROR(INDEX('All Song Rankings'!$R:$R,MATCH(ROW()-1,'All Song Rankings'!$S:$S,0)),"")</f>
        <v>3</v>
      </c>
    </row>
    <row r="6" customFormat="false" ht="15" hidden="false" customHeight="false" outlineLevel="0" collapsed="false">
      <c r="A6" s="6" t="str">
        <f aca="false">IFERROR(INDEX('All Song Rankings'!$A:$A,MATCH(ROW()-1,'All Song Rankings'!$S:$S,0)),"")</f>
        <v>Golden</v>
      </c>
      <c r="B6" s="6" t="str">
        <f aca="false">IFERROR(INDEX('All Song Rankings'!$B:$B,MATCH(ROW()-1,'All Song Rankings'!$S:$S,0)),"")</f>
        <v>HUNTR/X</v>
      </c>
      <c r="C6" s="6" t="str">
        <f aca="false">IFERROR(INDEX('All Song Rankings'!$E:$E,MATCH(ROW()-1,'All Song Rankings'!$S:$S,0)),"")</f>
        <v>8 - Best Earworm</v>
      </c>
      <c r="D6" s="6" t="str">
        <f aca="false">IFERROR(INDEX('All Song Rankings'!$I:$I,MATCH(ROW()-1,'All Song Rankings'!$S:$S,0)),"")</f>
        <v>Org Mgmt COE (1st League)</v>
      </c>
      <c r="E6" s="6" t="n">
        <f aca="false">IFERROR(INDEX('All Song Rankings'!$R:$R,MATCH(ROW()-1,'All Song Rankings'!$S:$S,0)),"")</f>
        <v>2</v>
      </c>
    </row>
    <row r="7" customFormat="false" ht="15" hidden="false" customHeight="false" outlineLevel="0" collapsed="false">
      <c r="A7" s="6" t="str">
        <f aca="false">IFERROR(INDEX('All Song Rankings'!$A:$A,MATCH(ROW()-1,'All Song Rankings'!$S:$S,0)),"")</f>
        <v>Uptown Funk</v>
      </c>
      <c r="B7" s="6" t="str">
        <f aca="false">IFERROR(INDEX('All Song Rankings'!$B:$B,MATCH(ROW()-1,'All Song Rankings'!$S:$S,0)),"")</f>
        <v>Mark Ronson</v>
      </c>
      <c r="C7" s="6" t="str">
        <f aca="false">IFERROR(INDEX('All Song Rankings'!$E:$E,MATCH(ROW()-1,'All Song Rankings'!$S:$S,0)),"")</f>
        <v>8 - Best Earworm</v>
      </c>
      <c r="D7" s="6" t="str">
        <f aca="false">IFERROR(INDEX('All Song Rankings'!$I:$I,MATCH(ROW()-1,'All Song Rankings'!$S:$S,0)),"")</f>
        <v>Org Mgmt COE (1st League)</v>
      </c>
      <c r="E7" s="6" t="n">
        <f aca="false">IFERROR(INDEX('All Song Rankings'!$R:$R,MATCH(ROW()-1,'All Song Rankings'!$S:$S,0)),"")</f>
        <v>2</v>
      </c>
    </row>
    <row r="8" customFormat="false" ht="15" hidden="false" customHeight="false" outlineLevel="0" collapsed="false">
      <c r="A8" s="6" t="str">
        <f aca="false">IFERROR(INDEX('All Song Rankings'!$A:$A,MATCH(ROW()-1,'All Song Rankings'!$S:$S,0)),"")</f>
        <v>On The Floor</v>
      </c>
      <c r="B8" s="6" t="str">
        <f aca="false">IFERROR(INDEX('All Song Rankings'!$B:$B,MATCH(ROW()-1,'All Song Rankings'!$S:$S,0)),"")</f>
        <v>Jennifer Lopez</v>
      </c>
      <c r="C8" s="6" t="str">
        <f aca="false">IFERROR(INDEX('All Song Rankings'!$E:$E,MATCH(ROW()-1,'All Song Rankings'!$S:$S,0)),"")</f>
        <v>1 - Workout Song</v>
      </c>
      <c r="D8" s="6" t="str">
        <f aca="false">IFERROR(INDEX('All Song Rankings'!$I:$I,MATCH(ROW()-1,'All Song Rankings'!$S:$S,0)),"")</f>
        <v>Org Mgmt: The Sequel (2nd League)</v>
      </c>
      <c r="E8" s="6" t="n">
        <f aca="false">IFERROR(INDEX('All Song Rankings'!$R:$R,MATCH(ROW()-1,'All Song Rankings'!$S:$S,0)),"")</f>
        <v>2</v>
      </c>
    </row>
    <row r="9" customFormat="false" ht="15" hidden="false" customHeight="false" outlineLevel="0" collapsed="false">
      <c r="A9" s="6" t="str">
        <f aca="false">IFERROR(INDEX('All Song Rankings'!$A:$A,MATCH(ROW()-1,'All Song Rankings'!$S:$S,0)),"")</f>
        <v>Misery Business</v>
      </c>
      <c r="B9" s="6" t="str">
        <f aca="false">IFERROR(INDEX('All Song Rankings'!$B:$B,MATCH(ROW()-1,'All Song Rankings'!$S:$S,0)),"")</f>
        <v>Paramore</v>
      </c>
      <c r="C9" s="6" t="str">
        <f aca="false">IFERROR(INDEX('All Song Rankings'!$E:$E,MATCH(ROW()-1,'All Song Rankings'!$S:$S,0)),"")</f>
        <v>1 - Workout Song</v>
      </c>
      <c r="D9" s="6" t="str">
        <f aca="false">IFERROR(INDEX('All Song Rankings'!$I:$I,MATCH(ROW()-1,'All Song Rankings'!$S:$S,0)),"")</f>
        <v>Org Mgmt: The Sequel (2nd League)</v>
      </c>
      <c r="E9" s="6" t="n">
        <f aca="false">IFERROR(INDEX('All Song Rankings'!$R:$R,MATCH(ROW()-1,'All Song Rankings'!$S:$S,0)),"")</f>
        <v>2</v>
      </c>
    </row>
    <row r="10" customFormat="false" ht="15" hidden="false" customHeight="false" outlineLevel="0" collapsed="false">
      <c r="A10" s="6" t="str">
        <f aca="false">IFERROR(INDEX('All Song Rankings'!$A:$A,MATCH(ROW()-1,'All Song Rankings'!$S:$S,0)),"")</f>
        <v>drivers license</v>
      </c>
      <c r="B10" s="6" t="str">
        <f aca="false">IFERROR(INDEX('All Song Rankings'!$B:$B,MATCH(ROW()-1,'All Song Rankings'!$S:$S,0)),"")</f>
        <v>Olivia Rodrigo</v>
      </c>
      <c r="C10" s="6" t="str">
        <f aca="false">IFERROR(INDEX('All Song Rankings'!$E:$E,MATCH(ROW()-1,'All Song Rankings'!$S:$S,0)),"")</f>
        <v>3 - Mystery (I'm Happy, Why Do You Ask?)</v>
      </c>
      <c r="D10" s="6" t="str">
        <f aca="false">IFERROR(INDEX('All Song Rankings'!$I:$I,MATCH(ROW()-1,'All Song Rankings'!$S:$S,0)),"")</f>
        <v>Org Mgmt: The Sequel (2nd League)</v>
      </c>
      <c r="E10" s="6" t="n">
        <f aca="false">IFERROR(INDEX('All Song Rankings'!$R:$R,MATCH(ROW()-1,'All Song Rankings'!$S:$S,0)),"")</f>
        <v>3</v>
      </c>
    </row>
    <row r="11" customFormat="false" ht="15" hidden="false" customHeight="false" outlineLevel="0" collapsed="false">
      <c r="A11" s="6" t="str">
        <f aca="false">IFERROR(INDEX('All Song Rankings'!$A:$A,MATCH(ROW()-1,'All Song Rankings'!$S:$S,0)),"")</f>
        <v>Rocket Man (I Think It's Going To Be a Long, Long Time)</v>
      </c>
      <c r="B11" s="6" t="str">
        <f aca="false">IFERROR(INDEX('All Song Rankings'!$B:$B,MATCH(ROW()-1,'All Song Rankings'!$S:$S,0)),"")</f>
        <v>Elton John</v>
      </c>
      <c r="C11" s="6" t="str">
        <f aca="false">IFERROR(INDEX('All Song Rankings'!$E:$E,MATCH(ROW()-1,'All Song Rankings'!$S:$S,0)),"")</f>
        <v>4 - Songs from Another World</v>
      </c>
      <c r="D11" s="6" t="str">
        <f aca="false">IFERROR(INDEX('All Song Rankings'!$I:$I,MATCH(ROW()-1,'All Song Rankings'!$S:$S,0)),"")</f>
        <v>Org Mgmt: The Sequel (2nd League)</v>
      </c>
      <c r="E11" s="6" t="n">
        <f aca="false">IFERROR(INDEX('All Song Rankings'!$R:$R,MATCH(ROW()-1,'All Song Rankings'!$S:$S,0)),"")</f>
        <v>2</v>
      </c>
    </row>
    <row r="12" customFormat="false" ht="15" hidden="false" customHeight="false" outlineLevel="0" collapsed="false">
      <c r="A12" s="6" t="str">
        <f aca="false">IFERROR(INDEX('All Song Rankings'!$A:$A,MATCH(ROW()-1,'All Song Rankings'!$S:$S,0)),"")</f>
        <v>I Will Always Love You</v>
      </c>
      <c r="B12" s="6" t="str">
        <f aca="false">IFERROR(INDEX('All Song Rankings'!$B:$B,MATCH(ROW()-1,'All Song Rankings'!$S:$S,0)),"")</f>
        <v>Whitney Houston</v>
      </c>
      <c r="C12" s="6" t="str">
        <f aca="false">IFERROR(INDEX('All Song Rankings'!$E:$E,MATCH(ROW()-1,'All Song Rankings'!$S:$S,0)),"")</f>
        <v>5 - The cover was better than the original</v>
      </c>
      <c r="D12" s="6" t="str">
        <f aca="false">IFERROR(INDEX('All Song Rankings'!$I:$I,MATCH(ROW()-1,'All Song Rankings'!$S:$S,0)),"")</f>
        <v>Org Mgmt: The Sequel (2nd League)</v>
      </c>
      <c r="E12" s="6" t="n">
        <f aca="false">IFERROR(INDEX('All Song Rankings'!$R:$R,MATCH(ROW()-1,'All Song Rankings'!$S:$S,0)),"")</f>
        <v>2</v>
      </c>
    </row>
    <row r="13" customFormat="false" ht="15" hidden="false" customHeight="false" outlineLevel="0" collapsed="false">
      <c r="A13" s="6" t="str">
        <f aca="false">IFERROR(INDEX('All Song Rankings'!$A:$A,MATCH(ROW()-1,'All Song Rankings'!$S:$S,0)),"")</f>
        <v>Sugar, We're Goin Down</v>
      </c>
      <c r="B13" s="6" t="str">
        <f aca="false">IFERROR(INDEX('All Song Rankings'!$B:$B,MATCH(ROW()-1,'All Song Rankings'!$S:$S,0)),"")</f>
        <v>Fall Out Boy</v>
      </c>
      <c r="C13" s="6" t="str">
        <f aca="false">IFERROR(INDEX('All Song Rankings'!$E:$E,MATCH(ROW()-1,'All Song Rankings'!$S:$S,0)),"")</f>
        <v>6 - Forgotten Gems</v>
      </c>
      <c r="D13" s="6" t="str">
        <f aca="false">IFERROR(INDEX('All Song Rankings'!$I:$I,MATCH(ROW()-1,'All Song Rankings'!$S:$S,0)),"")</f>
        <v>Org Mgmt: The Sequel (2nd League)</v>
      </c>
      <c r="E13" s="6" t="n">
        <f aca="false">IFERROR(INDEX('All Song Rankings'!$R:$R,MATCH(ROW()-1,'All Song Rankings'!$S:$S,0)),"")</f>
        <v>2</v>
      </c>
    </row>
    <row r="14" customFormat="false" ht="15" hidden="false" customHeight="false" outlineLevel="0" collapsed="false">
      <c r="A14" s="6" t="str">
        <f aca="false">IFERROR(INDEX('All Song Rankings'!$A:$A,MATCH(ROW()-1,'All Song Rankings'!$S:$S,0)),"")</f>
        <v>Somebody That I Used To Know</v>
      </c>
      <c r="B14" s="6" t="str">
        <f aca="false">IFERROR(INDEX('All Song Rankings'!$B:$B,MATCH(ROW()-1,'All Song Rankings'!$S:$S,0)),"")</f>
        <v>Gotye, Kimbra</v>
      </c>
      <c r="C14" s="6" t="str">
        <f aca="false">IFERROR(INDEX('All Song Rankings'!$E:$E,MATCH(ROW()-1,'All Song Rankings'!$S:$S,0)),"")</f>
        <v>6 - Forgotten Gems</v>
      </c>
      <c r="D14" s="6" t="str">
        <f aca="false">IFERROR(INDEX('All Song Rankings'!$I:$I,MATCH(ROW()-1,'All Song Rankings'!$S:$S,0)),"")</f>
        <v>Org Mgmt: The Sequel (2nd League)</v>
      </c>
      <c r="E14" s="6" t="n">
        <f aca="false">IFERROR(INDEX('All Song Rankings'!$R:$R,MATCH(ROW()-1,'All Song Rankings'!$S:$S,0)),"")</f>
        <v>2</v>
      </c>
    </row>
    <row r="15" customFormat="false" ht="15" hidden="false" customHeight="false" outlineLevel="0" collapsed="false">
      <c r="A15" s="6" t="str">
        <f aca="false">IFERROR(INDEX('All Song Rankings'!$A:$A,MATCH(ROW()-1,'All Song Rankings'!$S:$S,0)),"")</f>
        <v>Walk This Way (feat. Aerosmith)</v>
      </c>
      <c r="B15" s="6" t="str">
        <f aca="false">IFERROR(INDEX('All Song Rankings'!$B:$B,MATCH(ROW()-1,'All Song Rankings'!$S:$S,0)),"")</f>
        <v>Run-D.M.C., Aerosmith</v>
      </c>
      <c r="C15" s="6" t="str">
        <f aca="false">IFERROR(INDEX('All Song Rankings'!$E:$E,MATCH(ROW()-1,'All Song Rankings'!$S:$S,0)),"")</f>
        <v>7 - Unexpected Collabs</v>
      </c>
      <c r="D15" s="6" t="str">
        <f aca="false">IFERROR(INDEX('All Song Rankings'!$I:$I,MATCH(ROW()-1,'All Song Rankings'!$S:$S,0)),"")</f>
        <v>Org Mgmt: The Sequel (2nd League)</v>
      </c>
      <c r="E15" s="6" t="n">
        <f aca="false">IFERROR(INDEX('All Song Rankings'!$R:$R,MATCH(ROW()-1,'All Song Rankings'!$S:$S,0)),"")</f>
        <v>2</v>
      </c>
    </row>
    <row r="16" customFormat="false" ht="15" hidden="false" customHeight="false" outlineLevel="0" collapsed="false">
      <c r="A16" s="6" t="str">
        <f aca="false">IFERROR(INDEX('All Song Rankings'!$A:$A,MATCH(ROW()-1,'All Song Rankings'!$S:$S,0)),"")</f>
        <v>Misery Business</v>
      </c>
      <c r="B16" s="6" t="str">
        <f aca="false">IFERROR(INDEX('All Song Rankings'!$B:$B,MATCH(ROW()-1,'All Song Rankings'!$S:$S,0)),"")</f>
        <v>Paramore</v>
      </c>
      <c r="C16" s="6" t="str">
        <f aca="false">IFERROR(INDEX('All Song Rankings'!$E:$E,MATCH(ROW()-1,'All Song Rankings'!$S:$S,0)),"")</f>
        <v>8 - Villain Theme Song</v>
      </c>
      <c r="D16" s="6" t="str">
        <f aca="false">IFERROR(INDEX('All Song Rankings'!$I:$I,MATCH(ROW()-1,'All Song Rankings'!$S:$S,0)),"")</f>
        <v>Org Mgmt: The Sequel (2nd League)</v>
      </c>
      <c r="E16" s="6" t="n">
        <f aca="false">IFERROR(INDEX('All Song Rankings'!$R:$R,MATCH(ROW()-1,'All Song Rankings'!$S:$S,0)),"")</f>
        <v>2</v>
      </c>
    </row>
    <row r="17" customFormat="false" ht="15" hidden="false" customHeight="false" outlineLevel="0" collapsed="false">
      <c r="A17" s="6" t="str">
        <f aca="false">IFERROR(INDEX('All Song Rankings'!$A:$A,MATCH(ROW()-1,'All Song Rankings'!$S:$S,0)),"")</f>
        <v>Golden</v>
      </c>
      <c r="B17" s="6" t="str">
        <f aca="false">IFERROR(INDEX('All Song Rankings'!$B:$B,MATCH(ROW()-1,'All Song Rankings'!$S:$S,0)),"")</f>
        <v>HUNTR/X</v>
      </c>
      <c r="C17" s="6" t="str">
        <f aca="false">IFERROR(INDEX('All Song Rankings'!$E:$E,MATCH(ROW()-1,'All Song Rankings'!$S:$S,0)),"")</f>
        <v>1 - 2025 Song</v>
      </c>
      <c r="D17" s="6" t="str">
        <f aca="false">IFERROR(INDEX('All Song Rankings'!$I:$I,MATCH(ROW()-1,'All Song Rankings'!$S:$S,0)),"")</f>
        <v>Music League: tHReequel (3rd League)</v>
      </c>
      <c r="E17" s="6" t="n">
        <f aca="false">IFERROR(INDEX('All Song Rankings'!$R:$R,MATCH(ROW()-1,'All Song Rankings'!$S:$S,0)),"")</f>
        <v>2</v>
      </c>
    </row>
    <row r="18" customFormat="false" ht="15" hidden="false" customHeight="false" outlineLevel="0" collapsed="false">
      <c r="A18" s="6" t="str">
        <f aca="false">IFERROR(INDEX('All Song Rankings'!$A:$A,MATCH(ROW()-1,'All Song Rankings'!$S:$S,0)),"")</f>
        <v>Caramel</v>
      </c>
      <c r="B18" s="6" t="str">
        <f aca="false">IFERROR(INDEX('All Song Rankings'!$B:$B,MATCH(ROW()-1,'All Song Rankings'!$S:$S,0)),"")</f>
        <v>Sleep Token</v>
      </c>
      <c r="C18" s="6" t="str">
        <f aca="false">IFERROR(INDEX('All Song Rankings'!$E:$E,MATCH(ROW()-1,'All Song Rankings'!$S:$S,0)),"")</f>
        <v>1 - 2025 Song</v>
      </c>
      <c r="D18" s="6" t="str">
        <f aca="false">IFERROR(INDEX('All Song Rankings'!$I:$I,MATCH(ROW()-1,'All Song Rankings'!$S:$S,0)),"")</f>
        <v>Music League: tHReequel (3rd League)</v>
      </c>
      <c r="E18" s="6" t="n">
        <f aca="false">IFERROR(INDEX('All Song Rankings'!$R:$R,MATCH(ROW()-1,'All Song Rankings'!$S:$S,0)),"")</f>
        <v>2</v>
      </c>
    </row>
    <row r="19" customFormat="false" ht="15" hidden="false" customHeight="false" outlineLevel="0" collapsed="false">
      <c r="A19" s="6" t="str">
        <f aca="false">IFERROR(INDEX('All Song Rankings'!$A:$A,MATCH(ROW()-1,'All Song Rankings'!$S:$S,0)),"")</f>
        <v>Gabriela</v>
      </c>
      <c r="B19" s="6" t="str">
        <f aca="false">IFERROR(INDEX('All Song Rankings'!$B:$B,MATCH(ROW()-1,'All Song Rankings'!$S:$S,0)),"")</f>
        <v>KATSEYE</v>
      </c>
      <c r="C19" s="6" t="str">
        <f aca="false">IFERROR(INDEX('All Song Rankings'!$E:$E,MATCH(ROW()-1,'All Song Rankings'!$S:$S,0)),"")</f>
        <v>1 - 2025 Song</v>
      </c>
      <c r="D19" s="6" t="str">
        <f aca="false">IFERROR(INDEX('All Song Rankings'!$I:$I,MATCH(ROW()-1,'All Song Rankings'!$S:$S,0)),"")</f>
        <v>Music League: tHReequel (3rd League)</v>
      </c>
      <c r="E19" s="6" t="n">
        <f aca="false">IFERROR(INDEX('All Song Rankings'!$R:$R,MATCH(ROW()-1,'All Song Rankings'!$S:$S,0)),"")</f>
        <v>2</v>
      </c>
    </row>
    <row r="20" customFormat="false" ht="15" hidden="false" customHeight="false" outlineLevel="0" collapsed="false">
      <c r="A20" s="6" t="str">
        <f aca="false">IFERROR(INDEX('All Song Rankings'!$A:$A,MATCH(ROW()-1,'All Song Rankings'!$S:$S,0)),"")</f>
        <v>I Will Always Love You</v>
      </c>
      <c r="B20" s="6" t="str">
        <f aca="false">IFERROR(INDEX('All Song Rankings'!$B:$B,MATCH(ROW()-1,'All Song Rankings'!$S:$S,0)),"")</f>
        <v>Whitney Houston</v>
      </c>
      <c r="C20" s="6" t="str">
        <f aca="false">IFERROR(INDEX('All Song Rankings'!$E:$E,MATCH(ROW()-1,'All Song Rankings'!$S:$S,0)),"")</f>
        <v>2 - Love</v>
      </c>
      <c r="D20" s="6" t="str">
        <f aca="false">IFERROR(INDEX('All Song Rankings'!$I:$I,MATCH(ROW()-1,'All Song Rankings'!$S:$S,0)),"")</f>
        <v>Music League: tHReequel (3rd League)</v>
      </c>
      <c r="E20" s="6" t="n">
        <f aca="false">IFERROR(INDEX('All Song Rankings'!$R:$R,MATCH(ROW()-1,'All Song Rankings'!$S:$S,0)),"")</f>
        <v>2</v>
      </c>
    </row>
    <row r="21" customFormat="false" ht="15" hidden="false" customHeight="false" outlineLevel="0" collapsed="false">
      <c r="A21" s="6" t="str">
        <f aca="false">IFERROR(INDEX('All Song Rankings'!$A:$A,MATCH(ROW()-1,'All Song Rankings'!$S:$S,0)),"")</f>
        <v>Somebody That I Used To Know</v>
      </c>
      <c r="B21" s="6" t="str">
        <f aca="false">IFERROR(INDEX('All Song Rankings'!$B:$B,MATCH(ROW()-1,'All Song Rankings'!$S:$S,0)),"")</f>
        <v>Gotye, Kimbra</v>
      </c>
      <c r="C21" s="6" t="str">
        <f aca="false">IFERROR(INDEX('All Song Rankings'!$E:$E,MATCH(ROW()-1,'All Song Rankings'!$S:$S,0)),"")</f>
        <v>3 - Break-up</v>
      </c>
      <c r="D21" s="6" t="str">
        <f aca="false">IFERROR(INDEX('All Song Rankings'!$I:$I,MATCH(ROW()-1,'All Song Rankings'!$S:$S,0)),"")</f>
        <v>Music League: tHReequel (3rd League)</v>
      </c>
      <c r="E21" s="6" t="n">
        <f aca="false">IFERROR(INDEX('All Song Rankings'!$R:$R,MATCH(ROW()-1,'All Song Rankings'!$S:$S,0)),"")</f>
        <v>2</v>
      </c>
    </row>
    <row r="22" customFormat="false" ht="15" hidden="false" customHeight="false" outlineLevel="0" collapsed="false">
      <c r="A22" s="6" t="str">
        <f aca="false">IFERROR(INDEX('All Song Rankings'!$A:$A,MATCH(ROW()-1,'All Song Rankings'!$S:$S,0)),"")</f>
        <v>drivers license</v>
      </c>
      <c r="B22" s="6" t="str">
        <f aca="false">IFERROR(INDEX('All Song Rankings'!$B:$B,MATCH(ROW()-1,'All Song Rankings'!$S:$S,0)),"")</f>
        <v>Olivia Rodrigo</v>
      </c>
      <c r="C22" s="6" t="str">
        <f aca="false">IFERROR(INDEX('All Song Rankings'!$E:$E,MATCH(ROW()-1,'All Song Rankings'!$S:$S,0)),"")</f>
        <v>3 - Break-up</v>
      </c>
      <c r="D22" s="6" t="str">
        <f aca="false">IFERROR(INDEX('All Song Rankings'!$I:$I,MATCH(ROW()-1,'All Song Rankings'!$S:$S,0)),"")</f>
        <v>Music League: tHReequel (3rd League)</v>
      </c>
      <c r="E22" s="6" t="n">
        <f aca="false">IFERROR(INDEX('All Song Rankings'!$R:$R,MATCH(ROW()-1,'All Song Rankings'!$S:$S,0)),"")</f>
        <v>3</v>
      </c>
    </row>
    <row r="23" customFormat="false" ht="15" hidden="false" customHeight="false" outlineLevel="0" collapsed="false">
      <c r="A23" s="6" t="str">
        <f aca="false">IFERROR(INDEX('All Song Rankings'!$A:$A,MATCH(ROW()-1,'All Song Rankings'!$S:$S,0)),"")</f>
        <v>Chicken Fried</v>
      </c>
      <c r="B23" s="6" t="str">
        <f aca="false">IFERROR(INDEX('All Song Rankings'!$B:$B,MATCH(ROW()-1,'All Song Rankings'!$S:$S,0)),"")</f>
        <v>Zac Brown Band</v>
      </c>
      <c r="C23" s="6" t="str">
        <f aca="false">IFERROR(INDEX('All Song Rankings'!$E:$E,MATCH(ROW()-1,'All Song Rankings'!$S:$S,0)),"")</f>
        <v>7 - Rare Genre for You</v>
      </c>
      <c r="D23" s="6" t="str">
        <f aca="false">IFERROR(INDEX('All Song Rankings'!$I:$I,MATCH(ROW()-1,'All Song Rankings'!$S:$S,0)),"")</f>
        <v>Music League: tHReequel (3rd League)</v>
      </c>
      <c r="E23" s="6" t="n">
        <f aca="false">IFERROR(INDEX('All Song Rankings'!$R:$R,MATCH(ROW()-1,'All Song Rankings'!$S:$S,0)),"")</f>
        <v>2</v>
      </c>
    </row>
    <row r="24" customFormat="false" ht="15" hidden="false" customHeight="false" outlineLevel="0" collapsed="false">
      <c r="A24" s="6" t="str">
        <f aca="false">IFERROR(INDEX('All Song Rankings'!$A:$A,MATCH(ROW()-1,'All Song Rankings'!$S:$S,0)),"")</f>
        <v>I Want It That Way</v>
      </c>
      <c r="B24" s="6" t="str">
        <f aca="false">IFERROR(INDEX('All Song Rankings'!$B:$B,MATCH(ROW()-1,'All Song Rankings'!$S:$S,0)),"")</f>
        <v>Backstreet Boys</v>
      </c>
      <c r="C24" s="6" t="str">
        <f aca="false">IFERROR(INDEX('All Song Rankings'!$E:$E,MATCH(ROW()-1,'All Song Rankings'!$S:$S,0)),"")</f>
        <v>2 - Grocery Store Core</v>
      </c>
      <c r="D24" s="6" t="str">
        <f aca="false">IFERROR(INDEX('All Song Rankings'!$I:$I,MATCH(ROW()-1,'All Song Rankings'!$S:$S,0)),"")</f>
        <v>Episode IV: A New Playlist (4th League)</v>
      </c>
      <c r="E24" s="6" t="n">
        <f aca="false">IFERROR(INDEX('All Song Rankings'!$R:$R,MATCH(ROW()-1,'All Song Rankings'!$S:$S,0)),"")</f>
        <v>2</v>
      </c>
    </row>
    <row r="25" customFormat="false" ht="15" hidden="false" customHeight="false" outlineLevel="0" collapsed="false">
      <c r="A25" s="6" t="str">
        <f aca="false">IFERROR(INDEX('All Song Rankings'!$A:$A,MATCH(ROW()-1,'All Song Rankings'!$S:$S,0)),"")</f>
        <v>Mr. Brightside</v>
      </c>
      <c r="B25" s="6" t="str">
        <f aca="false">IFERROR(INDEX('All Song Rankings'!$B:$B,MATCH(ROW()-1,'All Song Rankings'!$S:$S,0)),"")</f>
        <v>The Killers</v>
      </c>
      <c r="C25" s="6" t="str">
        <f aca="false">IFERROR(INDEX('All Song Rankings'!$E:$E,MATCH(ROW()-1,'All Song Rankings'!$S:$S,0)),"")</f>
        <v>4 - Road Trip Anthem</v>
      </c>
      <c r="D25" s="6" t="str">
        <f aca="false">IFERROR(INDEX('All Song Rankings'!$I:$I,MATCH(ROW()-1,'All Song Rankings'!$S:$S,0)),"")</f>
        <v>Episode IV: A New Playlist (4th League)</v>
      </c>
      <c r="E25" s="6" t="n">
        <f aca="false">IFERROR(INDEX('All Song Rankings'!$R:$R,MATCH(ROW()-1,'All Song Rankings'!$S:$S,0)),"")</f>
        <v>2</v>
      </c>
    </row>
    <row r="26" customFormat="false" ht="15" hidden="false" customHeight="false" outlineLevel="0" collapsed="false">
      <c r="A26" s="6" t="str">
        <f aca="false">IFERROR(INDEX('All Song Rankings'!$A:$A,MATCH(ROW()-1,'All Song Rankings'!$S:$S,0)),"")</f>
        <v>Bohemian Rhapsody - Remastered</v>
      </c>
      <c r="B26" s="6" t="str">
        <f aca="false">IFERROR(INDEX('All Song Rankings'!$B:$B,MATCH(ROW()-1,'All Song Rankings'!$S:$S,0)),"")</f>
        <v>Queen</v>
      </c>
      <c r="C26" s="6" t="str">
        <f aca="false">IFERROR(INDEX('All Song Rankings'!$E:$E,MATCH(ROW()-1,'All Song Rankings'!$S:$S,0)),"")</f>
        <v>8 - Game Changer</v>
      </c>
      <c r="D26" s="6" t="str">
        <f aca="false">IFERROR(INDEX('All Song Rankings'!$I:$I,MATCH(ROW()-1,'All Song Rankings'!$S:$S,0)),"")</f>
        <v>Episode IV: A New Playlist (4th League)</v>
      </c>
      <c r="E26" s="6" t="n">
        <f aca="false">IFERROR(INDEX('All Song Rankings'!$R:$R,MATCH(ROW()-1,'All Song Rankings'!$S:$S,0)),"")</f>
        <v>2</v>
      </c>
    </row>
    <row r="27" customFormat="false" ht="15" hidden="false" customHeight="false" outlineLevel="0" collapsed="false">
      <c r="A27" s="6" t="str">
        <f aca="false">IFERROR(INDEX('All Song Rankings'!$A:$A,MATCH(ROW()-1,'All Song Rankings'!$S:$S,0)),"")</f>
        <v>Billie Jean</v>
      </c>
      <c r="B27" s="6" t="str">
        <f aca="false">IFERROR(INDEX('All Song Rankings'!$B:$B,MATCH(ROW()-1,'All Song Rankings'!$S:$S,0)),"")</f>
        <v>Michael Jackson</v>
      </c>
      <c r="C27" s="6" t="str">
        <f aca="false">IFERROR(INDEX('All Song Rankings'!$E:$E,MATCH(ROW()-1,'All Song Rankings'!$S:$S,0)),"")</f>
        <v>8 - Game Changer</v>
      </c>
      <c r="D27" s="6" t="str">
        <f aca="false">IFERROR(INDEX('All Song Rankings'!$I:$I,MATCH(ROW()-1,'All Song Rankings'!$S:$S,0)),"")</f>
        <v>Episode IV: A New Playlist (4th League)</v>
      </c>
      <c r="E27" s="6" t="n">
        <f aca="false">IFERROR(INDEX('All Song Rankings'!$R:$R,MATCH(ROW()-1,'All Song Rankings'!$S:$S,0)),"")</f>
        <v>2</v>
      </c>
    </row>
    <row r="28" customFormat="false" ht="15" hidden="false" customHeight="false" outlineLevel="0" collapsed="false">
      <c r="A28" s="6" t="str">
        <f aca="false">IFERROR(INDEX('All Song Rankings'!$A:$A,MATCH(ROW()-1,'All Song Rankings'!$S:$S,0)),"")</f>
        <v>…Baby One More Time</v>
      </c>
      <c r="B28" s="6" t="str">
        <f aca="false">IFERROR(INDEX('All Song Rankings'!$B:$B,MATCH(ROW()-1,'All Song Rankings'!$S:$S,0)),"")</f>
        <v>Britney Spears</v>
      </c>
      <c r="C28" s="6" t="str">
        <f aca="false">IFERROR(INDEX('All Song Rankings'!$E:$E,MATCH(ROW()-1,'All Song Rankings'!$S:$S,0)),"")</f>
        <v>8 - Game Changer</v>
      </c>
      <c r="D28" s="6" t="str">
        <f aca="false">IFERROR(INDEX('All Song Rankings'!$I:$I,MATCH(ROW()-1,'All Song Rankings'!$S:$S,0)),"")</f>
        <v>Episode IV: A New Playlist (4th League)</v>
      </c>
      <c r="E28" s="6" t="n">
        <f aca="false">IFERROR(INDEX('All Song Rankings'!$R:$R,MATCH(ROW()-1,'All Song Rankings'!$S:$S,0)),"")</f>
        <v>2</v>
      </c>
    </row>
    <row r="29" customFormat="false" ht="15" hidden="false" customHeight="false" outlineLevel="0" collapsed="false">
      <c r="A29" s="6" t="str">
        <f aca="false">IFERROR(INDEX('All Song Rankings'!$A:$A,MATCH(ROW()-1,'All Song Rankings'!$S:$S,0)),"")</f>
        <v>Walk This Way (feat. Aerosmith)</v>
      </c>
      <c r="B29" s="6" t="str">
        <f aca="false">IFERROR(INDEX('All Song Rankings'!$B:$B,MATCH(ROW()-1,'All Song Rankings'!$S:$S,0)),"")</f>
        <v>Run-D.M.C., Aerosmith</v>
      </c>
      <c r="C29" s="6" t="str">
        <f aca="false">IFERROR(INDEX('All Song Rankings'!$E:$E,MATCH(ROW()-1,'All Song Rankings'!$S:$S,0)),"")</f>
        <v>8 - Game Changer</v>
      </c>
      <c r="D29" s="6" t="str">
        <f aca="false">IFERROR(INDEX('All Song Rankings'!$I:$I,MATCH(ROW()-1,'All Song Rankings'!$S:$S,0)),"")</f>
        <v>Episode IV: A New Playlist (4th League)</v>
      </c>
      <c r="E29" s="6" t="n">
        <f aca="false">IFERROR(INDEX('All Song Rankings'!$R:$R,MATCH(ROW()-1,'All Song Rankings'!$S:$S,0)),"")</f>
        <v>2</v>
      </c>
    </row>
    <row r="30" customFormat="false" ht="15" hidden="false" customHeight="false" outlineLevel="0" collapsed="false">
      <c r="A30" s="6" t="str">
        <f aca="false">IFERROR(INDEX('All Song Rankings'!$A:$A,MATCH(ROW()-1,'All Song Rankings'!$S:$S,0)),"")</f>
        <v>Fantasy</v>
      </c>
      <c r="B30" s="6" t="str">
        <f aca="false">IFERROR(INDEX('All Song Rankings'!$B:$B,MATCH(ROW()-1,'All Song Rankings'!$S:$S,0)),"")</f>
        <v>Mariah Carey</v>
      </c>
      <c r="C30" s="6" t="str">
        <f aca="false">IFERROR(INDEX('All Song Rankings'!$E:$E,MATCH(ROW()-1,'All Song Rankings'!$S:$S,0)),"")</f>
        <v>8 - Game Changer</v>
      </c>
      <c r="D30" s="6" t="str">
        <f aca="false">IFERROR(INDEX('All Song Rankings'!$I:$I,MATCH(ROW()-1,'All Song Rankings'!$S:$S,0)),"")</f>
        <v>Episode IV: A New Playlist (4th League)</v>
      </c>
      <c r="E30" s="6" t="n">
        <f aca="false">IFERROR(INDEX('All Song Rankings'!$R:$R,MATCH(ROW()-1,'All Song Rankings'!$S:$S,0)),"")</f>
        <v>2</v>
      </c>
    </row>
    <row r="31" customFormat="false" ht="15" hidden="false" customHeight="false" outlineLevel="0" collapsed="false">
      <c r="A31" s="6" t="str">
        <f aca="false">IFERROR(INDEX('All Song Rankings'!$A:$A,MATCH(ROW()-1,'All Song Rankings'!$S:$S,0)),"")</f>
        <v>Raspberry Beret</v>
      </c>
      <c r="B31" s="6" t="str">
        <f aca="false">IFERROR(INDEX('All Song Rankings'!$B:$B,MATCH(ROW()-1,'All Song Rankings'!$S:$S,0)),"")</f>
        <v>Prince</v>
      </c>
      <c r="C31" s="6" t="str">
        <f aca="false">IFERROR(INDEX('All Song Rankings'!$E:$E,MATCH(ROW()-1,'All Song Rankings'!$S:$S,0)),"")</f>
        <v>3 - Hungry for Some Jams</v>
      </c>
      <c r="D31" s="6" t="str">
        <f aca="false">IFERROR(INDEX('All Song Rankings'!$I:$I,MATCH(ROW()-1,'All Song Rankings'!$S:$S,0)),"")</f>
        <v>Episode V: The Playlist Strikes Back (5th League)</v>
      </c>
      <c r="E31" s="6" t="n">
        <f aca="false">IFERROR(INDEX('All Song Rankings'!$R:$R,MATCH(ROW()-1,'All Song Rankings'!$S:$S,0)),"")</f>
        <v>2</v>
      </c>
    </row>
    <row r="32" customFormat="false" ht="15" hidden="false" customHeight="false" outlineLevel="0" collapsed="false">
      <c r="A32" s="6" t="str">
        <f aca="false">IFERROR(INDEX('All Song Rankings'!$A:$A,MATCH(ROW()-1,'All Song Rankings'!$S:$S,0)),"")</f>
        <v>Chicken Fried</v>
      </c>
      <c r="B32" s="6" t="str">
        <f aca="false">IFERROR(INDEX('All Song Rankings'!$B:$B,MATCH(ROW()-1,'All Song Rankings'!$S:$S,0)),"")</f>
        <v>Zac Brown Band</v>
      </c>
      <c r="C32" s="6" t="str">
        <f aca="false">IFERROR(INDEX('All Song Rankings'!$E:$E,MATCH(ROW()-1,'All Song Rankings'!$S:$S,0)),"")</f>
        <v>3 - Hungry for Some Jams</v>
      </c>
      <c r="D32" s="6" t="str">
        <f aca="false">IFERROR(INDEX('All Song Rankings'!$I:$I,MATCH(ROW()-1,'All Song Rankings'!$S:$S,0)),"")</f>
        <v>Episode V: The Playlist Strikes Back (5th League)</v>
      </c>
      <c r="E32" s="6" t="n">
        <f aca="false">IFERROR(INDEX('All Song Rankings'!$R:$R,MATCH(ROW()-1,'All Song Rankings'!$S:$S,0)),"")</f>
        <v>2</v>
      </c>
    </row>
    <row r="33" customFormat="false" ht="15" hidden="false" customHeight="false" outlineLevel="0" collapsed="false">
      <c r="A33" s="6" t="str">
        <f aca="false">IFERROR(INDEX('All Song Rankings'!$A:$A,MATCH(ROW()-1,'All Song Rankings'!$S:$S,0)),"")</f>
        <v>Three Little Birds</v>
      </c>
      <c r="B33" s="6" t="str">
        <f aca="false">IFERROR(INDEX('All Song Rankings'!$B:$B,MATCH(ROW()-1,'All Song Rankings'!$S:$S,0)),"")</f>
        <v>Bob Marley &amp; The Wailers</v>
      </c>
      <c r="C33" s="6" t="str">
        <f aca="false">IFERROR(INDEX('All Song Rankings'!$E:$E,MATCH(ROW()-1,'All Song Rankings'!$S:$S,0)),"")</f>
        <v>4 - Winding Down</v>
      </c>
      <c r="D33" s="6" t="str">
        <f aca="false">IFERROR(INDEX('All Song Rankings'!$I:$I,MATCH(ROW()-1,'All Song Rankings'!$S:$S,0)),"")</f>
        <v>Episode V: The Playlist Strikes Back (5th League)</v>
      </c>
      <c r="E33" s="6" t="n">
        <f aca="false">IFERROR(INDEX('All Song Rankings'!$R:$R,MATCH(ROW()-1,'All Song Rankings'!$S:$S,0)),"")</f>
        <v>2</v>
      </c>
    </row>
    <row r="34" customFormat="false" ht="15" hidden="false" customHeight="false" outlineLevel="0" collapsed="false">
      <c r="A34" s="6" t="str">
        <f aca="false">IFERROR(INDEX('All Song Rankings'!$A:$A,MATCH(ROW()-1,'All Song Rankings'!$S:$S,0)),"")</f>
        <v>Bohemian Rhapsody - Remastered</v>
      </c>
      <c r="B34" s="6" t="str">
        <f aca="false">IFERROR(INDEX('All Song Rankings'!$B:$B,MATCH(ROW()-1,'All Song Rankings'!$S:$S,0)),"")</f>
        <v>Queen</v>
      </c>
      <c r="C34" s="6" t="str">
        <f aca="false">IFERROR(INDEX('All Song Rankings'!$E:$E,MATCH(ROW()-1,'All Song Rankings'!$S:$S,0)),"")</f>
        <v>6 - Thanks, I Love It</v>
      </c>
      <c r="D34" s="6" t="str">
        <f aca="false">IFERROR(INDEX('All Song Rankings'!$I:$I,MATCH(ROW()-1,'All Song Rankings'!$S:$S,0)),"")</f>
        <v>Episode V: The Playlist Strikes Back (5th League)</v>
      </c>
      <c r="E34" s="6" t="n">
        <f aca="false">IFERROR(INDEX('All Song Rankings'!$R:$R,MATCH(ROW()-1,'All Song Rankings'!$S:$S,0)),"")</f>
        <v>2</v>
      </c>
    </row>
    <row r="35" customFormat="false" ht="15" hidden="false" customHeight="false" outlineLevel="0" collapsed="false">
      <c r="A35" s="6" t="str">
        <f aca="false">IFERROR(INDEX('All Song Rankings'!$A:$A,MATCH(ROW()-1,'All Song Rankings'!$S:$S,0)),"")</f>
        <v>Caramel</v>
      </c>
      <c r="B35" s="6" t="str">
        <f aca="false">IFERROR(INDEX('All Song Rankings'!$B:$B,MATCH(ROW()-1,'All Song Rankings'!$S:$S,0)),"")</f>
        <v>Sleep Token</v>
      </c>
      <c r="C35" s="6" t="str">
        <f aca="false">IFERROR(INDEX('All Song Rankings'!$E:$E,MATCH(ROW()-1,'All Song Rankings'!$S:$S,0)),"")</f>
        <v>6 - Thanks, I Love It</v>
      </c>
      <c r="D35" s="6" t="str">
        <f aca="false">IFERROR(INDEX('All Song Rankings'!$I:$I,MATCH(ROW()-1,'All Song Rankings'!$S:$S,0)),"")</f>
        <v>Episode V: The Playlist Strikes Back (5th League)</v>
      </c>
      <c r="E35" s="6" t="n">
        <f aca="false">IFERROR(INDEX('All Song Rankings'!$R:$R,MATCH(ROW()-1,'All Song Rankings'!$S:$S,0)),"")</f>
        <v>2</v>
      </c>
    </row>
    <row r="36" customFormat="false" ht="15" hidden="false" customHeight="false" outlineLevel="0" collapsed="false">
      <c r="A36" s="6" t="str">
        <f aca="false">IFERROR(INDEX('All Song Rankings'!$A:$A,MATCH(ROW()-1,'All Song Rankings'!$S:$S,0)),"")</f>
        <v>Dance Monkey</v>
      </c>
      <c r="B36" s="6" t="str">
        <f aca="false">IFERROR(INDEX('All Song Rankings'!$B:$B,MATCH(ROW()-1,'All Song Rankings'!$S:$S,0)),"")</f>
        <v>Tones And I</v>
      </c>
      <c r="C36" s="6" t="str">
        <f aca="false">IFERROR(INDEX('All Song Rankings'!$E:$E,MATCH(ROW()-1,'All Song Rankings'!$S:$S,0)),"")</f>
        <v>6 - Thanks, I Love It</v>
      </c>
      <c r="D36" s="6" t="str">
        <f aca="false">IFERROR(INDEX('All Song Rankings'!$I:$I,MATCH(ROW()-1,'All Song Rankings'!$S:$S,0)),"")</f>
        <v>Episode V: The Playlist Strikes Back (5th League)</v>
      </c>
      <c r="E36" s="6" t="n">
        <f aca="false">IFERROR(INDEX('All Song Rankings'!$R:$R,MATCH(ROW()-1,'All Song Rankings'!$S:$S,0)),"")</f>
        <v>2</v>
      </c>
    </row>
    <row r="37" customFormat="false" ht="15" hidden="false" customHeight="false" outlineLevel="0" collapsed="false">
      <c r="A37" s="6" t="str">
        <f aca="false">IFERROR(INDEX('All Song Rankings'!$A:$A,MATCH(ROW()-1,'All Song Rankings'!$S:$S,0)),"")</f>
        <v>On The Floor</v>
      </c>
      <c r="B37" s="6" t="str">
        <f aca="false">IFERROR(INDEX('All Song Rankings'!$B:$B,MATCH(ROW()-1,'All Song Rankings'!$S:$S,0)),"")</f>
        <v>Jennifer Lopez</v>
      </c>
      <c r="C37" s="6" t="str">
        <f aca="false">IFERROR(INDEX('All Song Rankings'!$E:$E,MATCH(ROW()-1,'All Song Rankings'!$S:$S,0)),"")</f>
        <v>4 - Dance, Dance, Dance</v>
      </c>
      <c r="D37" s="6" t="str">
        <f aca="false">IFERROR(INDEX('All Song Rankings'!$I:$I,MATCH(ROW()-1,'All Song Rankings'!$S:$S,0)),"")</f>
        <v>Episode VI: Return of the Playlist (6th League)</v>
      </c>
      <c r="E37" s="6" t="n">
        <f aca="false">IFERROR(INDEX('All Song Rankings'!$R:$R,MATCH(ROW()-1,'All Song Rankings'!$S:$S,0)),"")</f>
        <v>2</v>
      </c>
    </row>
    <row r="38" customFormat="false" ht="15" hidden="false" customHeight="false" outlineLevel="0" collapsed="false">
      <c r="A38" s="6" t="str">
        <f aca="false">IFERROR(INDEX('All Song Rankings'!$A:$A,MATCH(ROW()-1,'All Song Rankings'!$S:$S,0)),"")</f>
        <v>Raspberry Beret</v>
      </c>
      <c r="B38" s="6" t="str">
        <f aca="false">IFERROR(INDEX('All Song Rankings'!$B:$B,MATCH(ROW()-1,'All Song Rankings'!$S:$S,0)),"")</f>
        <v>Prince</v>
      </c>
      <c r="C38" s="6" t="str">
        <f aca="false">IFERROR(INDEX('All Song Rankings'!$E:$E,MATCH(ROW()-1,'All Song Rankings'!$S:$S,0)),"")</f>
        <v>4 - Dance, Dance, Dance</v>
      </c>
      <c r="D38" s="6" t="str">
        <f aca="false">IFERROR(INDEX('All Song Rankings'!$I:$I,MATCH(ROW()-1,'All Song Rankings'!$S:$S,0)),"")</f>
        <v>Episode VI: Return of the Playlist (6th League)</v>
      </c>
      <c r="E38" s="6" t="n">
        <f aca="false">IFERROR(INDEX('All Song Rankings'!$R:$R,MATCH(ROW()-1,'All Song Rankings'!$S:$S,0)),"")</f>
        <v>2</v>
      </c>
    </row>
    <row r="39" customFormat="false" ht="15" hidden="false" customHeight="false" outlineLevel="0" collapsed="false">
      <c r="A39" s="6" t="str">
        <f aca="false">IFERROR(INDEX('All Song Rankings'!$A:$A,MATCH(ROW()-1,'All Song Rankings'!$S:$S,0)),"")</f>
        <v>Shut Up and Dance</v>
      </c>
      <c r="B39" s="6" t="str">
        <f aca="false">IFERROR(INDEX('All Song Rankings'!$B:$B,MATCH(ROW()-1,'All Song Rankings'!$S:$S,0)),"")</f>
        <v>WALK THE MOON</v>
      </c>
      <c r="C39" s="6" t="str">
        <f aca="false">IFERROR(INDEX('All Song Rankings'!$E:$E,MATCH(ROW()-1,'All Song Rankings'!$S:$S,0)),"")</f>
        <v>5 - Wedding Guest Request</v>
      </c>
      <c r="D39" s="6" t="str">
        <f aca="false">IFERROR(INDEX('All Song Rankings'!$I:$I,MATCH(ROW()-1,'All Song Rankings'!$S:$S,0)),"")</f>
        <v>Episode VI: Return of the Playlist (6th League)</v>
      </c>
      <c r="E39" s="6" t="n">
        <f aca="false">IFERROR(INDEX('All Song Rankings'!$R:$R,MATCH(ROW()-1,'All Song Rankings'!$S:$S,0)),"")</f>
        <v>2</v>
      </c>
    </row>
    <row r="40" customFormat="false" ht="15" hidden="false" customHeight="false" outlineLevel="0" collapsed="false">
      <c r="A40" s="6" t="str">
        <f aca="false">IFERROR(INDEX('All Song Rankings'!$A:$A,MATCH(ROW()-1,'All Song Rankings'!$S:$S,0)),"")</f>
        <v>You Make My Dreams (Come True)</v>
      </c>
      <c r="B40" s="6" t="str">
        <f aca="false">IFERROR(INDEX('All Song Rankings'!$B:$B,MATCH(ROW()-1,'All Song Rankings'!$S:$S,0)),"")</f>
        <v>Daryl Hall &amp; John Oates</v>
      </c>
      <c r="C40" s="6" t="str">
        <f aca="false">IFERROR(INDEX('All Song Rankings'!$E:$E,MATCH(ROW()-1,'All Song Rankings'!$S:$S,0)),"")</f>
        <v>5 - Wedding Guest Request</v>
      </c>
      <c r="D40" s="6" t="str">
        <f aca="false">IFERROR(INDEX('All Song Rankings'!$I:$I,MATCH(ROW()-1,'All Song Rankings'!$S:$S,0)),"")</f>
        <v>Episode VI: Return of the Playlist (6th League)</v>
      </c>
      <c r="E40" s="6" t="n">
        <f aca="false">IFERROR(INDEX('All Song Rankings'!$R:$R,MATCH(ROW()-1,'All Song Rankings'!$S:$S,0)),"")</f>
        <v>2</v>
      </c>
    </row>
    <row r="41" customFormat="false" ht="15" hidden="false" customHeight="false" outlineLevel="0" collapsed="false">
      <c r="A41" s="6" t="str">
        <f aca="false">IFERROR(INDEX('All Song Rankings'!$A:$A,MATCH(ROW()-1,'All Song Rankings'!$S:$S,0)),"")</f>
        <v>Billie Jean</v>
      </c>
      <c r="B41" s="6" t="str">
        <f aca="false">IFERROR(INDEX('All Song Rankings'!$B:$B,MATCH(ROW()-1,'All Song Rankings'!$S:$S,0)),"")</f>
        <v>Michael Jackson</v>
      </c>
      <c r="C41" s="6" t="str">
        <f aca="false">IFERROR(INDEX('All Song Rankings'!$E:$E,MATCH(ROW()-1,'All Song Rankings'!$S:$S,0)),"")</f>
        <v>5 - Wedding Guest Request</v>
      </c>
      <c r="D41" s="6" t="str">
        <f aca="false">IFERROR(INDEX('All Song Rankings'!$I:$I,MATCH(ROW()-1,'All Song Rankings'!$S:$S,0)),"")</f>
        <v>Episode VI: Return of the Playlist (6th League)</v>
      </c>
      <c r="E41" s="6" t="n">
        <f aca="false">IFERROR(INDEX('All Song Rankings'!$R:$R,MATCH(ROW()-1,'All Song Rankings'!$S:$S,0)),"")</f>
        <v>2</v>
      </c>
    </row>
    <row r="42" customFormat="false" ht="15" hidden="false" customHeight="false" outlineLevel="0" collapsed="false">
      <c r="A42" s="6" t="str">
        <f aca="false">IFERROR(INDEX('All Song Rankings'!$A:$A,MATCH(ROW()-1,'All Song Rankings'!$S:$S,0)),"")</f>
        <v>I Want It That Way</v>
      </c>
      <c r="B42" s="6" t="str">
        <f aca="false">IFERROR(INDEX('All Song Rankings'!$B:$B,MATCH(ROW()-1,'All Song Rankings'!$S:$S,0)),"")</f>
        <v>Backstreet Boys</v>
      </c>
      <c r="C42" s="6" t="str">
        <f aca="false">IFERROR(INDEX('All Song Rankings'!$E:$E,MATCH(ROW()-1,'All Song Rankings'!$S:$S,0)),"")</f>
        <v>5 - Wedding Guest Request</v>
      </c>
      <c r="D42" s="6" t="str">
        <f aca="false">IFERROR(INDEX('All Song Rankings'!$I:$I,MATCH(ROW()-1,'All Song Rankings'!$S:$S,0)),"")</f>
        <v>Episode VI: Return of the Playlist (6th League)</v>
      </c>
      <c r="E42" s="6" t="n">
        <f aca="false">IFERROR(INDEX('All Song Rankings'!$R:$R,MATCH(ROW()-1,'All Song Rankings'!$S:$S,0)),"")</f>
        <v>2</v>
      </c>
    </row>
    <row r="43" customFormat="false" ht="15" hidden="false" customHeight="false" outlineLevel="0" collapsed="false">
      <c r="A43" s="6" t="str">
        <f aca="false">IFERROR(INDEX('All Song Rankings'!$A:$A,MATCH(ROW()-1,'All Song Rankings'!$S:$S,0)),"")</f>
        <v>Head Over Heels</v>
      </c>
      <c r="B43" s="6" t="str">
        <f aca="false">IFERROR(INDEX('All Song Rankings'!$B:$B,MATCH(ROW()-1,'All Song Rankings'!$S:$S,0)),"")</f>
        <v>The Go-Go's</v>
      </c>
      <c r="C43" s="6" t="str">
        <f aca="false">IFERROR(INDEX('All Song Rankings'!$E:$E,MATCH(ROW()-1,'All Song Rankings'!$S:$S,0)),"")</f>
        <v>6 - Personal Theme</v>
      </c>
      <c r="D43" s="6" t="str">
        <f aca="false">IFERROR(INDEX('All Song Rankings'!$I:$I,MATCH(ROW()-1,'All Song Rankings'!$S:$S,0)),"")</f>
        <v>Episode VI: Return of the Playlist (6th League)</v>
      </c>
      <c r="E43" s="6" t="n">
        <f aca="false">IFERROR(INDEX('All Song Rankings'!$R:$R,MATCH(ROW()-1,'All Song Rankings'!$S:$S,0)),"")</f>
        <v>2</v>
      </c>
    </row>
    <row r="44" customFormat="false" ht="15" hidden="false" customHeight="false" outlineLevel="0" collapsed="false">
      <c r="A44" s="6" t="str">
        <f aca="false">IFERROR(INDEX('All Song Rankings'!$A:$A,MATCH(ROW()-1,'All Song Rankings'!$S:$S,0)),"")</f>
        <v>Three Little Birds</v>
      </c>
      <c r="B44" s="6" t="str">
        <f aca="false">IFERROR(INDEX('All Song Rankings'!$B:$B,MATCH(ROW()-1,'All Song Rankings'!$S:$S,0)),"")</f>
        <v>Bob Marley &amp; The Wailers</v>
      </c>
      <c r="C44" s="6" t="str">
        <f aca="false">IFERROR(INDEX('All Song Rankings'!$E:$E,MATCH(ROW()-1,'All Song Rankings'!$S:$S,0)),"")</f>
        <v>6 - Personal Theme</v>
      </c>
      <c r="D44" s="6" t="str">
        <f aca="false">IFERROR(INDEX('All Song Rankings'!$I:$I,MATCH(ROW()-1,'All Song Rankings'!$S:$S,0)),"")</f>
        <v>Episode VI: Return of the Playlist (6th League)</v>
      </c>
      <c r="E44" s="6" t="n">
        <f aca="false">IFERROR(INDEX('All Song Rankings'!$R:$R,MATCH(ROW()-1,'All Song Rankings'!$S:$S,0)),"")</f>
        <v>2</v>
      </c>
    </row>
    <row r="45" customFormat="false" ht="15" hidden="false" customHeight="false" outlineLevel="0" collapsed="false">
      <c r="A45" s="6" t="str">
        <f aca="false">IFERROR(INDEX('All Song Rankings'!$A:$A,MATCH(ROW()-1,'All Song Rankings'!$S:$S,0)),"")</f>
        <v>Mr. Brightside</v>
      </c>
      <c r="B45" s="6" t="str">
        <f aca="false">IFERROR(INDEX('All Song Rankings'!$B:$B,MATCH(ROW()-1,'All Song Rankings'!$S:$S,0)),"")</f>
        <v>The Killers</v>
      </c>
      <c r="C45" s="6" t="str">
        <f aca="false">IFERROR(INDEX('All Song Rankings'!$E:$E,MATCH(ROW()-1,'All Song Rankings'!$S:$S,0)),"")</f>
        <v>8 - Walk Out Song</v>
      </c>
      <c r="D45" s="6" t="str">
        <f aca="false">IFERROR(INDEX('All Song Rankings'!$I:$I,MATCH(ROW()-1,'All Song Rankings'!$S:$S,0)),"")</f>
        <v>Episode VI: Return of the Playlist (6th League)</v>
      </c>
      <c r="E45" s="6" t="n">
        <f aca="false">IFERROR(INDEX('All Song Rankings'!$R:$R,MATCH(ROW()-1,'All Song Rankings'!$S:$S,0)),"")</f>
        <v>2</v>
      </c>
    </row>
    <row r="46" customFormat="false" ht="15" hidden="false" customHeight="false" outlineLevel="0" collapsed="false">
      <c r="A46" s="6" t="str">
        <f aca="false">IFERROR(INDEX('All Song Rankings'!$A:$A,MATCH(ROW()-1,'All Song Rankings'!$S:$S,0)),"")</f>
        <v>…Baby One More Time</v>
      </c>
      <c r="B46" s="6" t="str">
        <f aca="false">IFERROR(INDEX('All Song Rankings'!$B:$B,MATCH(ROW()-1,'All Song Rankings'!$S:$S,0)),"")</f>
        <v>Britney Spears</v>
      </c>
      <c r="C46" s="6" t="str">
        <f aca="false">IFERROR(INDEX('All Song Rankings'!$E:$E,MATCH(ROW()-1,'All Song Rankings'!$S:$S,0)),"")</f>
        <v>1 - Beginner's Luck</v>
      </c>
      <c r="D46" s="6" t="str">
        <f aca="false">IFERROR(INDEX('All Song Rankings'!$I:$I,MATCH(ROW()-1,'All Song Rankings'!$S:$S,0)),"")</f>
        <v>Lucky Number 7 (7th League)</v>
      </c>
      <c r="E46" s="6" t="n">
        <f aca="false">IFERROR(INDEX('All Song Rankings'!$R:$R,MATCH(ROW()-1,'All Song Rankings'!$S:$S,0)),"")</f>
        <v>2</v>
      </c>
    </row>
    <row r="47" customFormat="false" ht="15" hidden="false" customHeight="false" outlineLevel="0" collapsed="false">
      <c r="A47" s="6" t="str">
        <f aca="false">IFERROR(INDEX('All Song Rankings'!$A:$A,MATCH(ROW()-1,'All Song Rankings'!$S:$S,0)),"")</f>
        <v>Dance Monkey</v>
      </c>
      <c r="B47" s="6" t="str">
        <f aca="false">IFERROR(INDEX('All Song Rankings'!$B:$B,MATCH(ROW()-1,'All Song Rankings'!$S:$S,0)),"")</f>
        <v>Tones And I</v>
      </c>
      <c r="C47" s="6" t="str">
        <f aca="false">IFERROR(INDEX('All Song Rankings'!$E:$E,MATCH(ROW()-1,'All Song Rankings'!$S:$S,0)),"")</f>
        <v>1 - Beginner's Luck</v>
      </c>
      <c r="D47" s="6" t="str">
        <f aca="false">IFERROR(INDEX('All Song Rankings'!$I:$I,MATCH(ROW()-1,'All Song Rankings'!$S:$S,0)),"")</f>
        <v>Lucky Number 7 (7th League)</v>
      </c>
      <c r="E47" s="6" t="n">
        <f aca="false">IFERROR(INDEX('All Song Rankings'!$R:$R,MATCH(ROW()-1,'All Song Rankings'!$S:$S,0)),"")</f>
        <v>2</v>
      </c>
    </row>
    <row r="48" customFormat="false" ht="15" hidden="false" customHeight="false" outlineLevel="0" collapsed="false">
      <c r="A48" s="6" t="str">
        <f aca="false">IFERROR(INDEX('All Song Rankings'!$A:$A,MATCH(ROW()-1,'All Song Rankings'!$S:$S,0)),"")</f>
        <v>Head Over Heels</v>
      </c>
      <c r="B48" s="6" t="str">
        <f aca="false">IFERROR(INDEX('All Song Rankings'!$B:$B,MATCH(ROW()-1,'All Song Rankings'!$S:$S,0)),"")</f>
        <v>The Go-Go's</v>
      </c>
      <c r="C48" s="6" t="str">
        <f aca="false">IFERROR(INDEX('All Song Rankings'!$E:$E,MATCH(ROW()-1,'All Song Rankings'!$S:$S,0)),"")</f>
        <v>5 - Back Room Time Machine</v>
      </c>
      <c r="D48" s="6" t="str">
        <f aca="false">IFERROR(INDEX('All Song Rankings'!$I:$I,MATCH(ROW()-1,'All Song Rankings'!$S:$S,0)),"")</f>
        <v>Lucky Number 7 (7th League)</v>
      </c>
      <c r="E48" s="6" t="n">
        <f aca="false">IFERROR(INDEX('All Song Rankings'!$R:$R,MATCH(ROW()-1,'All Song Rankings'!$S:$S,0)),"")</f>
        <v>2</v>
      </c>
    </row>
    <row r="49" customFormat="false" ht="15" hidden="false" customHeight="false" outlineLevel="0" collapsed="false">
      <c r="A49" s="6" t="str">
        <f aca="false">IFERROR(INDEX('All Song Rankings'!$A:$A,MATCH(ROW()-1,'All Song Rankings'!$S:$S,0)),"")</f>
        <v>You Make My Dreams (Come True)</v>
      </c>
      <c r="B49" s="6" t="str">
        <f aca="false">IFERROR(INDEX('All Song Rankings'!$B:$B,MATCH(ROW()-1,'All Song Rankings'!$S:$S,0)),"")</f>
        <v>Daryl Hall &amp; John Oates</v>
      </c>
      <c r="C49" s="6" t="str">
        <f aca="false">IFERROR(INDEX('All Song Rankings'!$E:$E,MATCH(ROW()-1,'All Song Rankings'!$S:$S,0)),"")</f>
        <v>5 - Back Room Time Machine</v>
      </c>
      <c r="D49" s="6" t="str">
        <f aca="false">IFERROR(INDEX('All Song Rankings'!$I:$I,MATCH(ROW()-1,'All Song Rankings'!$S:$S,0)),"")</f>
        <v>Lucky Number 7 (7th League)</v>
      </c>
      <c r="E49" s="6" t="n">
        <f aca="false">IFERROR(INDEX('All Song Rankings'!$R:$R,MATCH(ROW()-1,'All Song Rankings'!$S:$S,0)),"")</f>
        <v>2</v>
      </c>
    </row>
    <row r="50" customFormat="false" ht="15" hidden="false" customHeight="false" outlineLevel="0" collapsed="false">
      <c r="A50" s="6" t="str">
        <f aca="false">IFERROR(INDEX('All Song Rankings'!$A:$A,MATCH(ROW()-1,'All Song Rankings'!$S:$S,0)),"")</f>
        <v>Rocket Man (I Think It's Going To Be A Long, Long Time)</v>
      </c>
      <c r="B50" s="6" t="str">
        <f aca="false">IFERROR(INDEX('All Song Rankings'!$B:$B,MATCH(ROW()-1,'All Song Rankings'!$S:$S,0)),"")</f>
        <v>Elton John</v>
      </c>
      <c r="C50" s="6" t="str">
        <f aca="false">IFERROR(INDEX('All Song Rankings'!$E:$E,MATCH(ROW()-1,'All Song Rankings'!$S:$S,0)),"")</f>
        <v>7 - Cosmic Casino</v>
      </c>
      <c r="D50" s="6" t="str">
        <f aca="false">IFERROR(INDEX('All Song Rankings'!$I:$I,MATCH(ROW()-1,'All Song Rankings'!$S:$S,0)),"")</f>
        <v>Lucky Number 7 (7th League)</v>
      </c>
      <c r="E50" s="6" t="n">
        <f aca="false">IFERROR(INDEX('All Song Rankings'!$R:$R,MATCH(ROW()-1,'All Song Rankings'!$S:$S,0)),"")</f>
        <v>2</v>
      </c>
    </row>
    <row r="51" customFormat="false" ht="15" hidden="false" customHeight="false" outlineLevel="0" collapsed="false">
      <c r="A51" s="6" t="str">
        <f aca="false">IFERROR(INDEX('All Song Rankings'!$A:$A,MATCH(ROW()-1,'All Song Rankings'!$S:$S,0)),"")</f>
        <v>Gabriela</v>
      </c>
      <c r="B51" s="6" t="str">
        <f aca="false">IFERROR(INDEX('All Song Rankings'!$B:$B,MATCH(ROW()-1,'All Song Rankings'!$S:$S,0)),"")</f>
        <v>KATSEYE</v>
      </c>
      <c r="C51" s="6" t="str">
        <f aca="false">IFERROR(INDEX('All Song Rankings'!$E:$E,MATCH(ROW()-1,'All Song Rankings'!$S:$S,0)),"")</f>
        <v>2 - Wait…That's Not the Lyric?</v>
      </c>
      <c r="D51" s="6" t="str">
        <f aca="false">IFERROR(INDEX('All Song Rankings'!$I:$I,MATCH(ROW()-1,'All Song Rankings'!$S:$S,0)),"")</f>
        <v>The Soundtrack of Us (8th League)</v>
      </c>
      <c r="E51" s="6" t="n">
        <f aca="false">IFERROR(INDEX('All Song Rankings'!$R:$R,MATCH(ROW()-1,'All Song Rankings'!$S:$S,0)),"")</f>
        <v>2</v>
      </c>
    </row>
    <row r="52" customFormat="false" ht="15" hidden="false" customHeight="false" outlineLevel="0" collapsed="false">
      <c r="A52" s="6" t="str">
        <f aca="false">IFERROR(INDEX('All Song Rankings'!$A:$A,MATCH(ROW()-1,'All Song Rankings'!$S:$S,0)),"")</f>
        <v>Sugar, We're Goin Down</v>
      </c>
      <c r="B52" s="6" t="str">
        <f aca="false">IFERROR(INDEX('All Song Rankings'!$B:$B,MATCH(ROW()-1,'All Song Rankings'!$S:$S,0)),"")</f>
        <v>Fall Out Boy</v>
      </c>
      <c r="C52" s="6" t="str">
        <f aca="false">IFERROR(INDEX('All Song Rankings'!$E:$E,MATCH(ROW()-1,'All Song Rankings'!$S:$S,0)),"")</f>
        <v>2 - Wait…That's Not the Lyric?</v>
      </c>
      <c r="D52" s="6" t="str">
        <f aca="false">IFERROR(INDEX('All Song Rankings'!$I:$I,MATCH(ROW()-1,'All Song Rankings'!$S:$S,0)),"")</f>
        <v>The Soundtrack of Us (8th League)</v>
      </c>
      <c r="E52" s="6" t="n">
        <f aca="false">IFERROR(INDEX('All Song Rankings'!$R:$R,MATCH(ROW()-1,'All Song Rankings'!$S:$S,0)),"")</f>
        <v>2</v>
      </c>
    </row>
    <row r="53" customFormat="false" ht="15" hidden="false" customHeight="false" outlineLevel="0" collapsed="false">
      <c r="A53" s="6" t="str">
        <f aca="false">IFERROR(INDEX('All Song Rankings'!$A:$A,MATCH(ROW()-1,'All Song Rankings'!$S:$S,0)),"")</f>
        <v/>
      </c>
      <c r="B53" s="6" t="str">
        <f aca="false">IFERROR(INDEX('All Song Rankings'!$B:$B,MATCH(ROW()-1,'All Song Rankings'!$S:$S,0)),"")</f>
        <v/>
      </c>
      <c r="C53" s="6" t="str">
        <f aca="false">IFERROR(INDEX('All Song Rankings'!$E:$E,MATCH(ROW()-1,'All Song Rankings'!$S:$S,0)),"")</f>
        <v/>
      </c>
      <c r="D53" s="6" t="str">
        <f aca="false">IFERROR(INDEX('All Song Rankings'!$I:$I,MATCH(ROW()-1,'All Song Rankings'!$S:$S,0)),"")</f>
        <v/>
      </c>
      <c r="E53" s="6" t="str">
        <f aca="false">IFERROR(INDEX('All Song Rankings'!$R:$R,MATCH(ROW()-1,'All Song Rankings'!$S:$S,0)),"")</f>
        <v/>
      </c>
    </row>
    <row r="54" customFormat="false" ht="15" hidden="false" customHeight="false" outlineLevel="0" collapsed="false">
      <c r="A54" s="6" t="str">
        <f aca="false">IFERROR(INDEX('All Song Rankings'!$A:$A,MATCH(ROW()-1,'All Song Rankings'!$S:$S,0)),"")</f>
        <v/>
      </c>
      <c r="B54" s="6" t="str">
        <f aca="false">IFERROR(INDEX('All Song Rankings'!$B:$B,MATCH(ROW()-1,'All Song Rankings'!$S:$S,0)),"")</f>
        <v/>
      </c>
      <c r="C54" s="6" t="str">
        <f aca="false">IFERROR(INDEX('All Song Rankings'!$E:$E,MATCH(ROW()-1,'All Song Rankings'!$S:$S,0)),"")</f>
        <v/>
      </c>
      <c r="D54" s="6" t="str">
        <f aca="false">IFERROR(INDEX('All Song Rankings'!$I:$I,MATCH(ROW()-1,'All Song Rankings'!$S:$S,0)),"")</f>
        <v/>
      </c>
      <c r="E54" s="6" t="str">
        <f aca="false">IFERROR(INDEX('All Song Rankings'!$R:$R,MATCH(ROW()-1,'All Song Rankings'!$S:$S,0)),"")</f>
        <v/>
      </c>
    </row>
    <row r="55" customFormat="false" ht="15" hidden="false" customHeight="false" outlineLevel="0" collapsed="false">
      <c r="A55" s="6" t="str">
        <f aca="false">IFERROR(INDEX('All Song Rankings'!$A:$A,MATCH(ROW()-1,'All Song Rankings'!$S:$S,0)),"")</f>
        <v/>
      </c>
      <c r="B55" s="6" t="str">
        <f aca="false">IFERROR(INDEX('All Song Rankings'!$B:$B,MATCH(ROW()-1,'All Song Rankings'!$S:$S,0)),"")</f>
        <v/>
      </c>
      <c r="C55" s="6" t="str">
        <f aca="false">IFERROR(INDEX('All Song Rankings'!$E:$E,MATCH(ROW()-1,'All Song Rankings'!$S:$S,0)),"")</f>
        <v/>
      </c>
      <c r="D55" s="6" t="str">
        <f aca="false">IFERROR(INDEX('All Song Rankings'!$I:$I,MATCH(ROW()-1,'All Song Rankings'!$S:$S,0)),"")</f>
        <v/>
      </c>
      <c r="E55" s="6" t="str">
        <f aca="false">IFERROR(INDEX('All Song Rankings'!$R:$R,MATCH(ROW()-1,'All Song Rankings'!$S:$S,0)),"")</f>
        <v/>
      </c>
    </row>
    <row r="56" customFormat="false" ht="15" hidden="false" customHeight="false" outlineLevel="0" collapsed="false">
      <c r="A56" s="6" t="str">
        <f aca="false">IFERROR(INDEX('All Song Rankings'!$A:$A,MATCH(ROW()-1,'All Song Rankings'!$S:$S,0)),"")</f>
        <v/>
      </c>
      <c r="B56" s="6" t="str">
        <f aca="false">IFERROR(INDEX('All Song Rankings'!$B:$B,MATCH(ROW()-1,'All Song Rankings'!$S:$S,0)),"")</f>
        <v/>
      </c>
      <c r="C56" s="6" t="str">
        <f aca="false">IFERROR(INDEX('All Song Rankings'!$E:$E,MATCH(ROW()-1,'All Song Rankings'!$S:$S,0)),"")</f>
        <v/>
      </c>
      <c r="D56" s="6" t="str">
        <f aca="false">IFERROR(INDEX('All Song Rankings'!$I:$I,MATCH(ROW()-1,'All Song Rankings'!$S:$S,0)),"")</f>
        <v/>
      </c>
      <c r="E56" s="6" t="str">
        <f aca="false">IFERROR(INDEX('All Song Rankings'!$R:$R,MATCH(ROW()-1,'All Song Rankings'!$S:$S,0)),"")</f>
        <v/>
      </c>
    </row>
    <row r="57" customFormat="false" ht="15" hidden="false" customHeight="false" outlineLevel="0" collapsed="false">
      <c r="A57" s="6" t="str">
        <f aca="false">IFERROR(INDEX('All Song Rankings'!$A:$A,MATCH(ROW()-1,'All Song Rankings'!$S:$S,0)),"")</f>
        <v/>
      </c>
      <c r="B57" s="6" t="str">
        <f aca="false">IFERROR(INDEX('All Song Rankings'!$B:$B,MATCH(ROW()-1,'All Song Rankings'!$S:$S,0)),"")</f>
        <v/>
      </c>
      <c r="C57" s="6" t="str">
        <f aca="false">IFERROR(INDEX('All Song Rankings'!$E:$E,MATCH(ROW()-1,'All Song Rankings'!$S:$S,0)),"")</f>
        <v/>
      </c>
      <c r="D57" s="6" t="str">
        <f aca="false">IFERROR(INDEX('All Song Rankings'!$I:$I,MATCH(ROW()-1,'All Song Rankings'!$S:$S,0)),"")</f>
        <v/>
      </c>
      <c r="E57" s="6" t="str">
        <f aca="false">IFERROR(INDEX('All Song Rankings'!$R:$R,MATCH(ROW()-1,'All Song Rankings'!$S:$S,0)),"")</f>
        <v/>
      </c>
    </row>
    <row r="58" customFormat="false" ht="15" hidden="false" customHeight="false" outlineLevel="0" collapsed="false">
      <c r="A58" s="6" t="str">
        <f aca="false">IFERROR(INDEX('All Song Rankings'!$A:$A,MATCH(ROW()-1,'All Song Rankings'!$S:$S,0)),"")</f>
        <v/>
      </c>
      <c r="B58" s="6" t="str">
        <f aca="false">IFERROR(INDEX('All Song Rankings'!$B:$B,MATCH(ROW()-1,'All Song Rankings'!$S:$S,0)),"")</f>
        <v/>
      </c>
      <c r="C58" s="6" t="str">
        <f aca="false">IFERROR(INDEX('All Song Rankings'!$E:$E,MATCH(ROW()-1,'All Song Rankings'!$S:$S,0)),"")</f>
        <v/>
      </c>
      <c r="D58" s="6" t="str">
        <f aca="false">IFERROR(INDEX('All Song Rankings'!$I:$I,MATCH(ROW()-1,'All Song Rankings'!$S:$S,0)),"")</f>
        <v/>
      </c>
      <c r="E58" s="6" t="str">
        <f aca="false">IFERROR(INDEX('All Song Rankings'!$R:$R,MATCH(ROW()-1,'All Song Rankings'!$S:$S,0)),"")</f>
        <v/>
      </c>
    </row>
    <row r="59" customFormat="false" ht="15" hidden="false" customHeight="false" outlineLevel="0" collapsed="false">
      <c r="A59" s="6" t="str">
        <f aca="false">IFERROR(INDEX('All Song Rankings'!$A:$A,MATCH(ROW()-1,'All Song Rankings'!$S:$S,0)),"")</f>
        <v/>
      </c>
      <c r="B59" s="6" t="str">
        <f aca="false">IFERROR(INDEX('All Song Rankings'!$B:$B,MATCH(ROW()-1,'All Song Rankings'!$S:$S,0)),"")</f>
        <v/>
      </c>
      <c r="C59" s="6" t="str">
        <f aca="false">IFERROR(INDEX('All Song Rankings'!$E:$E,MATCH(ROW()-1,'All Song Rankings'!$S:$S,0)),"")</f>
        <v/>
      </c>
      <c r="D59" s="6" t="str">
        <f aca="false">IFERROR(INDEX('All Song Rankings'!$I:$I,MATCH(ROW()-1,'All Song Rankings'!$S:$S,0)),"")</f>
        <v/>
      </c>
      <c r="E59" s="6" t="str">
        <f aca="false">IFERROR(INDEX('All Song Rankings'!$R:$R,MATCH(ROW()-1,'All Song Rankings'!$S:$S,0)),"")</f>
        <v/>
      </c>
    </row>
    <row r="60" customFormat="false" ht="15" hidden="false" customHeight="false" outlineLevel="0" collapsed="false">
      <c r="A60" s="6" t="str">
        <f aca="false">IFERROR(INDEX('All Song Rankings'!$A:$A,MATCH(ROW()-1,'All Song Rankings'!$S:$S,0)),"")</f>
        <v/>
      </c>
      <c r="B60" s="6" t="str">
        <f aca="false">IFERROR(INDEX('All Song Rankings'!$B:$B,MATCH(ROW()-1,'All Song Rankings'!$S:$S,0)),"")</f>
        <v/>
      </c>
      <c r="C60" s="6" t="str">
        <f aca="false">IFERROR(INDEX('All Song Rankings'!$E:$E,MATCH(ROW()-1,'All Song Rankings'!$S:$S,0)),"")</f>
        <v/>
      </c>
      <c r="D60" s="6" t="str">
        <f aca="false">IFERROR(INDEX('All Song Rankings'!$I:$I,MATCH(ROW()-1,'All Song Rankings'!$S:$S,0)),"")</f>
        <v/>
      </c>
      <c r="E60" s="6" t="str">
        <f aca="false">IFERROR(INDEX('All Song Rankings'!$R:$R,MATCH(ROW()-1,'All Song Rankings'!$S:$S,0)),"")</f>
        <v/>
      </c>
    </row>
    <row r="61" customFormat="false" ht="15" hidden="false" customHeight="false" outlineLevel="0" collapsed="false">
      <c r="A61" s="6" t="str">
        <f aca="false">IFERROR(INDEX('All Song Rankings'!$A:$A,MATCH(ROW()-1,'All Song Rankings'!$S:$S,0)),"")</f>
        <v/>
      </c>
      <c r="B61" s="6" t="str">
        <f aca="false">IFERROR(INDEX('All Song Rankings'!$B:$B,MATCH(ROW()-1,'All Song Rankings'!$S:$S,0)),"")</f>
        <v/>
      </c>
      <c r="C61" s="6" t="str">
        <f aca="false">IFERROR(INDEX('All Song Rankings'!$E:$E,MATCH(ROW()-1,'All Song Rankings'!$S:$S,0)),"")</f>
        <v/>
      </c>
      <c r="D61" s="6" t="str">
        <f aca="false">IFERROR(INDEX('All Song Rankings'!$I:$I,MATCH(ROW()-1,'All Song Rankings'!$S:$S,0)),"")</f>
        <v/>
      </c>
      <c r="E61" s="6" t="str">
        <f aca="false">IFERROR(INDEX('All Song Rankings'!$R:$R,MATCH(ROW()-1,'All Song Rankings'!$S:$S,0)),"")</f>
        <v/>
      </c>
    </row>
    <row r="62" customFormat="false" ht="15" hidden="false" customHeight="false" outlineLevel="0" collapsed="false">
      <c r="A62" s="6" t="str">
        <f aca="false">IFERROR(INDEX('All Song Rankings'!$A:$A,MATCH(ROW()-1,'All Song Rankings'!$S:$S,0)),"")</f>
        <v/>
      </c>
      <c r="B62" s="6" t="str">
        <f aca="false">IFERROR(INDEX('All Song Rankings'!$B:$B,MATCH(ROW()-1,'All Song Rankings'!$S:$S,0)),"")</f>
        <v/>
      </c>
      <c r="C62" s="6" t="str">
        <f aca="false">IFERROR(INDEX('All Song Rankings'!$E:$E,MATCH(ROW()-1,'All Song Rankings'!$S:$S,0)),"")</f>
        <v/>
      </c>
      <c r="D62" s="6" t="str">
        <f aca="false">IFERROR(INDEX('All Song Rankings'!$I:$I,MATCH(ROW()-1,'All Song Rankings'!$S:$S,0)),"")</f>
        <v/>
      </c>
      <c r="E62" s="6" t="str">
        <f aca="false">IFERROR(INDEX('All Song Rankings'!$R:$R,MATCH(ROW()-1,'All Song Rankings'!$S:$S,0)),"")</f>
        <v/>
      </c>
    </row>
    <row r="63" customFormat="false" ht="15" hidden="false" customHeight="false" outlineLevel="0" collapsed="false">
      <c r="A63" s="6" t="str">
        <f aca="false">IFERROR(INDEX('All Song Rankings'!$A:$A,MATCH(ROW()-1,'All Song Rankings'!$S:$S,0)),"")</f>
        <v/>
      </c>
      <c r="B63" s="6" t="str">
        <f aca="false">IFERROR(INDEX('All Song Rankings'!$B:$B,MATCH(ROW()-1,'All Song Rankings'!$S:$S,0)),"")</f>
        <v/>
      </c>
      <c r="C63" s="6" t="str">
        <f aca="false">IFERROR(INDEX('All Song Rankings'!$E:$E,MATCH(ROW()-1,'All Song Rankings'!$S:$S,0)),"")</f>
        <v/>
      </c>
      <c r="D63" s="6" t="str">
        <f aca="false">IFERROR(INDEX('All Song Rankings'!$I:$I,MATCH(ROW()-1,'All Song Rankings'!$S:$S,0)),"")</f>
        <v/>
      </c>
      <c r="E63" s="6" t="str">
        <f aca="false">IFERROR(INDEX('All Song Rankings'!$R:$R,MATCH(ROW()-1,'All Song Rankings'!$S:$S,0)),"")</f>
        <v/>
      </c>
    </row>
    <row r="64" customFormat="false" ht="15" hidden="false" customHeight="false" outlineLevel="0" collapsed="false">
      <c r="A64" s="6" t="str">
        <f aca="false">IFERROR(INDEX('All Song Rankings'!$A:$A,MATCH(ROW()-1,'All Song Rankings'!$S:$S,0)),"")</f>
        <v/>
      </c>
      <c r="B64" s="6" t="str">
        <f aca="false">IFERROR(INDEX('All Song Rankings'!$B:$B,MATCH(ROW()-1,'All Song Rankings'!$S:$S,0)),"")</f>
        <v/>
      </c>
      <c r="C64" s="6" t="str">
        <f aca="false">IFERROR(INDEX('All Song Rankings'!$E:$E,MATCH(ROW()-1,'All Song Rankings'!$S:$S,0)),"")</f>
        <v/>
      </c>
      <c r="D64" s="6" t="str">
        <f aca="false">IFERROR(INDEX('All Song Rankings'!$I:$I,MATCH(ROW()-1,'All Song Rankings'!$S:$S,0)),"")</f>
        <v/>
      </c>
      <c r="E64" s="6" t="str">
        <f aca="false">IFERROR(INDEX('All Song Rankings'!$R:$R,MATCH(ROW()-1,'All Song Rankings'!$S:$S,0)),"")</f>
        <v/>
      </c>
    </row>
    <row r="65" customFormat="false" ht="15" hidden="false" customHeight="false" outlineLevel="0" collapsed="false">
      <c r="A65" s="6" t="str">
        <f aca="false">IFERROR(INDEX('All Song Rankings'!$A:$A,MATCH(ROW()-1,'All Song Rankings'!$S:$S,0)),"")</f>
        <v/>
      </c>
      <c r="B65" s="6" t="str">
        <f aca="false">IFERROR(INDEX('All Song Rankings'!$B:$B,MATCH(ROW()-1,'All Song Rankings'!$S:$S,0)),"")</f>
        <v/>
      </c>
      <c r="C65" s="6" t="str">
        <f aca="false">IFERROR(INDEX('All Song Rankings'!$E:$E,MATCH(ROW()-1,'All Song Rankings'!$S:$S,0)),"")</f>
        <v/>
      </c>
      <c r="D65" s="6" t="str">
        <f aca="false">IFERROR(INDEX('All Song Rankings'!$I:$I,MATCH(ROW()-1,'All Song Rankings'!$S:$S,0)),"")</f>
        <v/>
      </c>
      <c r="E65" s="6" t="str">
        <f aca="false">IFERROR(INDEX('All Song Rankings'!$R:$R,MATCH(ROW()-1,'All Song Rankings'!$S:$S,0)),"")</f>
        <v/>
      </c>
    </row>
    <row r="66" customFormat="false" ht="15" hidden="false" customHeight="false" outlineLevel="0" collapsed="false">
      <c r="A66" s="6" t="str">
        <f aca="false">IFERROR(INDEX('All Song Rankings'!$A:$A,MATCH(ROW()-1,'All Song Rankings'!$S:$S,0)),"")</f>
        <v/>
      </c>
      <c r="B66" s="6" t="str">
        <f aca="false">IFERROR(INDEX('All Song Rankings'!$B:$B,MATCH(ROW()-1,'All Song Rankings'!$S:$S,0)),"")</f>
        <v/>
      </c>
      <c r="C66" s="6" t="str">
        <f aca="false">IFERROR(INDEX('All Song Rankings'!$E:$E,MATCH(ROW()-1,'All Song Rankings'!$S:$S,0)),"")</f>
        <v/>
      </c>
      <c r="D66" s="6" t="str">
        <f aca="false">IFERROR(INDEX('All Song Rankings'!$I:$I,MATCH(ROW()-1,'All Song Rankings'!$S:$S,0)),"")</f>
        <v/>
      </c>
      <c r="E66" s="6" t="str">
        <f aca="false">IFERROR(INDEX('All Song Rankings'!$R:$R,MATCH(ROW()-1,'All Song Rankings'!$S:$S,0)),"")</f>
        <v/>
      </c>
    </row>
    <row r="67" customFormat="false" ht="15" hidden="false" customHeight="false" outlineLevel="0" collapsed="false">
      <c r="A67" s="6" t="str">
        <f aca="false">IFERROR(INDEX('All Song Rankings'!$A:$A,MATCH(ROW()-1,'All Song Rankings'!$S:$S,0)),"")</f>
        <v/>
      </c>
      <c r="B67" s="6" t="str">
        <f aca="false">IFERROR(INDEX('All Song Rankings'!$B:$B,MATCH(ROW()-1,'All Song Rankings'!$S:$S,0)),"")</f>
        <v/>
      </c>
      <c r="C67" s="6" t="str">
        <f aca="false">IFERROR(INDEX('All Song Rankings'!$E:$E,MATCH(ROW()-1,'All Song Rankings'!$S:$S,0)),"")</f>
        <v/>
      </c>
      <c r="D67" s="6" t="str">
        <f aca="false">IFERROR(INDEX('All Song Rankings'!$I:$I,MATCH(ROW()-1,'All Song Rankings'!$S:$S,0)),"")</f>
        <v/>
      </c>
      <c r="E67" s="6" t="str">
        <f aca="false">IFERROR(INDEX('All Song Rankings'!$R:$R,MATCH(ROW()-1,'All Song Rankings'!$S:$S,0)),"")</f>
        <v/>
      </c>
    </row>
    <row r="68" customFormat="false" ht="15" hidden="false" customHeight="false" outlineLevel="0" collapsed="false">
      <c r="A68" s="6" t="str">
        <f aca="false">IFERROR(INDEX('All Song Rankings'!$A:$A,MATCH(ROW()-1,'All Song Rankings'!$S:$S,0)),"")</f>
        <v/>
      </c>
      <c r="B68" s="6" t="str">
        <f aca="false">IFERROR(INDEX('All Song Rankings'!$B:$B,MATCH(ROW()-1,'All Song Rankings'!$S:$S,0)),"")</f>
        <v/>
      </c>
      <c r="C68" s="6" t="str">
        <f aca="false">IFERROR(INDEX('All Song Rankings'!$E:$E,MATCH(ROW()-1,'All Song Rankings'!$S:$S,0)),"")</f>
        <v/>
      </c>
      <c r="D68" s="6" t="str">
        <f aca="false">IFERROR(INDEX('All Song Rankings'!$I:$I,MATCH(ROW()-1,'All Song Rankings'!$S:$S,0)),"")</f>
        <v/>
      </c>
      <c r="E68" s="6" t="str">
        <f aca="false">IFERROR(INDEX('All Song Rankings'!$R:$R,MATCH(ROW()-1,'All Song Rankings'!$S:$S,0)),"")</f>
        <v/>
      </c>
    </row>
    <row r="69" customFormat="false" ht="15" hidden="false" customHeight="false" outlineLevel="0" collapsed="false">
      <c r="A69" s="6" t="str">
        <f aca="false">IFERROR(INDEX('All Song Rankings'!$A:$A,MATCH(ROW()-1,'All Song Rankings'!$S:$S,0)),"")</f>
        <v/>
      </c>
      <c r="B69" s="6" t="str">
        <f aca="false">IFERROR(INDEX('All Song Rankings'!$B:$B,MATCH(ROW()-1,'All Song Rankings'!$S:$S,0)),"")</f>
        <v/>
      </c>
      <c r="C69" s="6" t="str">
        <f aca="false">IFERROR(INDEX('All Song Rankings'!$E:$E,MATCH(ROW()-1,'All Song Rankings'!$S:$S,0)),"")</f>
        <v/>
      </c>
      <c r="D69" s="6" t="str">
        <f aca="false">IFERROR(INDEX('All Song Rankings'!$I:$I,MATCH(ROW()-1,'All Song Rankings'!$S:$S,0)),"")</f>
        <v/>
      </c>
      <c r="E69" s="6" t="str">
        <f aca="false">IFERROR(INDEX('All Song Rankings'!$R:$R,MATCH(ROW()-1,'All Song Rankings'!$S:$S,0)),"")</f>
        <v/>
      </c>
    </row>
    <row r="70" customFormat="false" ht="15" hidden="false" customHeight="false" outlineLevel="0" collapsed="false">
      <c r="A70" s="6" t="str">
        <f aca="false">IFERROR(INDEX('All Song Rankings'!$A:$A,MATCH(ROW()-1,'All Song Rankings'!$S:$S,0)),"")</f>
        <v/>
      </c>
      <c r="B70" s="6" t="str">
        <f aca="false">IFERROR(INDEX('All Song Rankings'!$B:$B,MATCH(ROW()-1,'All Song Rankings'!$S:$S,0)),"")</f>
        <v/>
      </c>
      <c r="C70" s="6" t="str">
        <f aca="false">IFERROR(INDEX('All Song Rankings'!$E:$E,MATCH(ROW()-1,'All Song Rankings'!$S:$S,0)),"")</f>
        <v/>
      </c>
      <c r="D70" s="6" t="str">
        <f aca="false">IFERROR(INDEX('All Song Rankings'!$I:$I,MATCH(ROW()-1,'All Song Rankings'!$S:$S,0)),"")</f>
        <v/>
      </c>
      <c r="E70" s="6" t="str">
        <f aca="false">IFERROR(INDEX('All Song Rankings'!$R:$R,MATCH(ROW()-1,'All Song Rankings'!$S:$S,0)),"")</f>
        <v/>
      </c>
    </row>
    <row r="71" customFormat="false" ht="15" hidden="false" customHeight="false" outlineLevel="0" collapsed="false">
      <c r="A71" s="6" t="str">
        <f aca="false">IFERROR(INDEX('All Song Rankings'!$A:$A,MATCH(ROW()-1,'All Song Rankings'!$S:$S,0)),"")</f>
        <v/>
      </c>
      <c r="B71" s="6" t="str">
        <f aca="false">IFERROR(INDEX('All Song Rankings'!$B:$B,MATCH(ROW()-1,'All Song Rankings'!$S:$S,0)),"")</f>
        <v/>
      </c>
      <c r="C71" s="6" t="str">
        <f aca="false">IFERROR(INDEX('All Song Rankings'!$E:$E,MATCH(ROW()-1,'All Song Rankings'!$S:$S,0)),"")</f>
        <v/>
      </c>
      <c r="D71" s="6" t="str">
        <f aca="false">IFERROR(INDEX('All Song Rankings'!$I:$I,MATCH(ROW()-1,'All Song Rankings'!$S:$S,0)),"")</f>
        <v/>
      </c>
      <c r="E71" s="6" t="str">
        <f aca="false">IFERROR(INDEX('All Song Rankings'!$R:$R,MATCH(ROW()-1,'All Song Rankings'!$S:$S,0)),"")</f>
        <v/>
      </c>
    </row>
    <row r="72" customFormat="false" ht="15" hidden="false" customHeight="false" outlineLevel="0" collapsed="false">
      <c r="A72" s="6" t="str">
        <f aca="false">IFERROR(INDEX('All Song Rankings'!$A:$A,MATCH(ROW()-1,'All Song Rankings'!$S:$S,0)),"")</f>
        <v/>
      </c>
      <c r="B72" s="6" t="str">
        <f aca="false">IFERROR(INDEX('All Song Rankings'!$B:$B,MATCH(ROW()-1,'All Song Rankings'!$S:$S,0)),"")</f>
        <v/>
      </c>
      <c r="C72" s="6" t="str">
        <f aca="false">IFERROR(INDEX('All Song Rankings'!$E:$E,MATCH(ROW()-1,'All Song Rankings'!$S:$S,0)),"")</f>
        <v/>
      </c>
      <c r="D72" s="6" t="str">
        <f aca="false">IFERROR(INDEX('All Song Rankings'!$I:$I,MATCH(ROW()-1,'All Song Rankings'!$S:$S,0)),"")</f>
        <v/>
      </c>
      <c r="E72" s="6" t="str">
        <f aca="false">IFERROR(INDEX('All Song Rankings'!$R:$R,MATCH(ROW()-1,'All Song Rankings'!$S:$S,0)),"")</f>
        <v/>
      </c>
    </row>
    <row r="73" customFormat="false" ht="15" hidden="false" customHeight="false" outlineLevel="0" collapsed="false">
      <c r="A73" s="6" t="str">
        <f aca="false">IFERROR(INDEX('All Song Rankings'!$A:$A,MATCH(ROW()-1,'All Song Rankings'!$S:$S,0)),"")</f>
        <v/>
      </c>
      <c r="B73" s="6" t="str">
        <f aca="false">IFERROR(INDEX('All Song Rankings'!$B:$B,MATCH(ROW()-1,'All Song Rankings'!$S:$S,0)),"")</f>
        <v/>
      </c>
      <c r="C73" s="6" t="str">
        <f aca="false">IFERROR(INDEX('All Song Rankings'!$E:$E,MATCH(ROW()-1,'All Song Rankings'!$S:$S,0)),"")</f>
        <v/>
      </c>
      <c r="D73" s="6" t="str">
        <f aca="false">IFERROR(INDEX('All Song Rankings'!$I:$I,MATCH(ROW()-1,'All Song Rankings'!$S:$S,0)),"")</f>
        <v/>
      </c>
      <c r="E73" s="6" t="str">
        <f aca="false">IFERROR(INDEX('All Song Rankings'!$R:$R,MATCH(ROW()-1,'All Song Rankings'!$S:$S,0)),"")</f>
        <v/>
      </c>
    </row>
    <row r="74" customFormat="false" ht="15" hidden="false" customHeight="false" outlineLevel="0" collapsed="false">
      <c r="A74" s="6" t="str">
        <f aca="false">IFERROR(INDEX('All Song Rankings'!$A:$A,MATCH(ROW()-1,'All Song Rankings'!$S:$S,0)),"")</f>
        <v/>
      </c>
      <c r="B74" s="6" t="str">
        <f aca="false">IFERROR(INDEX('All Song Rankings'!$B:$B,MATCH(ROW()-1,'All Song Rankings'!$S:$S,0)),"")</f>
        <v/>
      </c>
      <c r="C74" s="6" t="str">
        <f aca="false">IFERROR(INDEX('All Song Rankings'!$E:$E,MATCH(ROW()-1,'All Song Rankings'!$S:$S,0)),"")</f>
        <v/>
      </c>
      <c r="D74" s="6" t="str">
        <f aca="false">IFERROR(INDEX('All Song Rankings'!$I:$I,MATCH(ROW()-1,'All Song Rankings'!$S:$S,0)),"")</f>
        <v/>
      </c>
      <c r="E74" s="6" t="str">
        <f aca="false">IFERROR(INDEX('All Song Rankings'!$R:$R,MATCH(ROW()-1,'All Song Rankings'!$S:$S,0)),"")</f>
        <v/>
      </c>
    </row>
    <row r="75" customFormat="false" ht="15" hidden="false" customHeight="false" outlineLevel="0" collapsed="false">
      <c r="A75" s="6" t="str">
        <f aca="false">IFERROR(INDEX('All Song Rankings'!$A:$A,MATCH(ROW()-1,'All Song Rankings'!$S:$S,0)),"")</f>
        <v/>
      </c>
      <c r="B75" s="6" t="str">
        <f aca="false">IFERROR(INDEX('All Song Rankings'!$B:$B,MATCH(ROW()-1,'All Song Rankings'!$S:$S,0)),"")</f>
        <v/>
      </c>
      <c r="C75" s="6" t="str">
        <f aca="false">IFERROR(INDEX('All Song Rankings'!$E:$E,MATCH(ROW()-1,'All Song Rankings'!$S:$S,0)),"")</f>
        <v/>
      </c>
      <c r="D75" s="6" t="str">
        <f aca="false">IFERROR(INDEX('All Song Rankings'!$I:$I,MATCH(ROW()-1,'All Song Rankings'!$S:$S,0)),"")</f>
        <v/>
      </c>
      <c r="E75" s="6" t="str">
        <f aca="false">IFERROR(INDEX('All Song Rankings'!$R:$R,MATCH(ROW()-1,'All Song Rankings'!$S:$S,0)),"")</f>
        <v/>
      </c>
    </row>
    <row r="76" customFormat="false" ht="15" hidden="false" customHeight="false" outlineLevel="0" collapsed="false">
      <c r="A76" s="6" t="str">
        <f aca="false">IFERROR(INDEX('All Song Rankings'!$A:$A,MATCH(ROW()-1,'All Song Rankings'!$S:$S,0)),"")</f>
        <v/>
      </c>
      <c r="B76" s="6" t="str">
        <f aca="false">IFERROR(INDEX('All Song Rankings'!$B:$B,MATCH(ROW()-1,'All Song Rankings'!$S:$S,0)),"")</f>
        <v/>
      </c>
      <c r="C76" s="6" t="str">
        <f aca="false">IFERROR(INDEX('All Song Rankings'!$E:$E,MATCH(ROW()-1,'All Song Rankings'!$S:$S,0)),"")</f>
        <v/>
      </c>
      <c r="D76" s="6" t="str">
        <f aca="false">IFERROR(INDEX('All Song Rankings'!$I:$I,MATCH(ROW()-1,'All Song Rankings'!$S:$S,0)),"")</f>
        <v/>
      </c>
      <c r="E76" s="6" t="str">
        <f aca="false">IFERROR(INDEX('All Song Rankings'!$R:$R,MATCH(ROW()-1,'All Song Rankings'!$S:$S,0)),"")</f>
        <v/>
      </c>
    </row>
    <row r="77" customFormat="false" ht="15" hidden="false" customHeight="false" outlineLevel="0" collapsed="false">
      <c r="A77" s="6" t="str">
        <f aca="false">IFERROR(INDEX('All Song Rankings'!$A:$A,MATCH(ROW()-1,'All Song Rankings'!$S:$S,0)),"")</f>
        <v/>
      </c>
      <c r="B77" s="6" t="str">
        <f aca="false">IFERROR(INDEX('All Song Rankings'!$B:$B,MATCH(ROW()-1,'All Song Rankings'!$S:$S,0)),"")</f>
        <v/>
      </c>
      <c r="C77" s="6" t="str">
        <f aca="false">IFERROR(INDEX('All Song Rankings'!$E:$E,MATCH(ROW()-1,'All Song Rankings'!$S:$S,0)),"")</f>
        <v/>
      </c>
      <c r="D77" s="6" t="str">
        <f aca="false">IFERROR(INDEX('All Song Rankings'!$I:$I,MATCH(ROW()-1,'All Song Rankings'!$S:$S,0)),"")</f>
        <v/>
      </c>
      <c r="E77" s="6" t="str">
        <f aca="false">IFERROR(INDEX('All Song Rankings'!$R:$R,MATCH(ROW()-1,'All Song Rankings'!$S:$S,0)),"")</f>
        <v/>
      </c>
    </row>
    <row r="78" customFormat="false" ht="15" hidden="false" customHeight="false" outlineLevel="0" collapsed="false">
      <c r="A78" s="6" t="str">
        <f aca="false">IFERROR(INDEX('All Song Rankings'!$A:$A,MATCH(ROW()-1,'All Song Rankings'!$S:$S,0)),"")</f>
        <v/>
      </c>
      <c r="B78" s="6" t="str">
        <f aca="false">IFERROR(INDEX('All Song Rankings'!$B:$B,MATCH(ROW()-1,'All Song Rankings'!$S:$S,0)),"")</f>
        <v/>
      </c>
      <c r="C78" s="6" t="str">
        <f aca="false">IFERROR(INDEX('All Song Rankings'!$E:$E,MATCH(ROW()-1,'All Song Rankings'!$S:$S,0)),"")</f>
        <v/>
      </c>
      <c r="D78" s="6" t="str">
        <f aca="false">IFERROR(INDEX('All Song Rankings'!$I:$I,MATCH(ROW()-1,'All Song Rankings'!$S:$S,0)),"")</f>
        <v/>
      </c>
      <c r="E78" s="6" t="str">
        <f aca="false">IFERROR(INDEX('All Song Rankings'!$R:$R,MATCH(ROW()-1,'All Song Rankings'!$S:$S,0)),"")</f>
        <v/>
      </c>
    </row>
    <row r="79" customFormat="false" ht="15" hidden="false" customHeight="false" outlineLevel="0" collapsed="false">
      <c r="A79" s="6" t="str">
        <f aca="false">IFERROR(INDEX('All Song Rankings'!$A:$A,MATCH(ROW()-1,'All Song Rankings'!$S:$S,0)),"")</f>
        <v/>
      </c>
      <c r="B79" s="6" t="str">
        <f aca="false">IFERROR(INDEX('All Song Rankings'!$B:$B,MATCH(ROW()-1,'All Song Rankings'!$S:$S,0)),"")</f>
        <v/>
      </c>
      <c r="C79" s="6" t="str">
        <f aca="false">IFERROR(INDEX('All Song Rankings'!$E:$E,MATCH(ROW()-1,'All Song Rankings'!$S:$S,0)),"")</f>
        <v/>
      </c>
      <c r="D79" s="6" t="str">
        <f aca="false">IFERROR(INDEX('All Song Rankings'!$I:$I,MATCH(ROW()-1,'All Song Rankings'!$S:$S,0)),"")</f>
        <v/>
      </c>
      <c r="E79" s="6" t="str">
        <f aca="false">IFERROR(INDEX('All Song Rankings'!$R:$R,MATCH(ROW()-1,'All Song Rankings'!$S:$S,0)),"")</f>
        <v/>
      </c>
    </row>
    <row r="80" customFormat="false" ht="15" hidden="false" customHeight="false" outlineLevel="0" collapsed="false">
      <c r="A80" s="6" t="str">
        <f aca="false">IFERROR(INDEX('All Song Rankings'!$A:$A,MATCH(ROW()-1,'All Song Rankings'!$S:$S,0)),"")</f>
        <v/>
      </c>
      <c r="B80" s="6" t="str">
        <f aca="false">IFERROR(INDEX('All Song Rankings'!$B:$B,MATCH(ROW()-1,'All Song Rankings'!$S:$S,0)),"")</f>
        <v/>
      </c>
      <c r="C80" s="6" t="str">
        <f aca="false">IFERROR(INDEX('All Song Rankings'!$E:$E,MATCH(ROW()-1,'All Song Rankings'!$S:$S,0)),"")</f>
        <v/>
      </c>
      <c r="D80" s="6" t="str">
        <f aca="false">IFERROR(INDEX('All Song Rankings'!$I:$I,MATCH(ROW()-1,'All Song Rankings'!$S:$S,0)),"")</f>
        <v/>
      </c>
      <c r="E80" s="6" t="str">
        <f aca="false">IFERROR(INDEX('All Song Rankings'!$R:$R,MATCH(ROW()-1,'All Song Rankings'!$S:$S,0)),"")</f>
        <v/>
      </c>
    </row>
    <row r="81" customFormat="false" ht="15" hidden="false" customHeight="false" outlineLevel="0" collapsed="false">
      <c r="A81" s="6" t="str">
        <f aca="false">IFERROR(INDEX('All Song Rankings'!$A:$A,MATCH(ROW()-1,'All Song Rankings'!$S:$S,0)),"")</f>
        <v/>
      </c>
      <c r="B81" s="6" t="str">
        <f aca="false">IFERROR(INDEX('All Song Rankings'!$B:$B,MATCH(ROW()-1,'All Song Rankings'!$S:$S,0)),"")</f>
        <v/>
      </c>
      <c r="C81" s="6" t="str">
        <f aca="false">IFERROR(INDEX('All Song Rankings'!$E:$E,MATCH(ROW()-1,'All Song Rankings'!$S:$S,0)),"")</f>
        <v/>
      </c>
      <c r="D81" s="6" t="str">
        <f aca="false">IFERROR(INDEX('All Song Rankings'!$I:$I,MATCH(ROW()-1,'All Song Rankings'!$S:$S,0)),"")</f>
        <v/>
      </c>
      <c r="E81" s="6" t="str">
        <f aca="false">IFERROR(INDEX('All Song Rankings'!$R:$R,MATCH(ROW()-1,'All Song Rankings'!$S:$S,0)),"")</f>
        <v/>
      </c>
    </row>
    <row r="82" customFormat="false" ht="15" hidden="false" customHeight="false" outlineLevel="0" collapsed="false">
      <c r="A82" s="6" t="str">
        <f aca="false">IFERROR(INDEX('All Song Rankings'!$A:$A,MATCH(ROW()-1,'All Song Rankings'!$S:$S,0)),"")</f>
        <v/>
      </c>
      <c r="B82" s="6" t="str">
        <f aca="false">IFERROR(INDEX('All Song Rankings'!$B:$B,MATCH(ROW()-1,'All Song Rankings'!$S:$S,0)),"")</f>
        <v/>
      </c>
      <c r="C82" s="6" t="str">
        <f aca="false">IFERROR(INDEX('All Song Rankings'!$E:$E,MATCH(ROW()-1,'All Song Rankings'!$S:$S,0)),"")</f>
        <v/>
      </c>
      <c r="D82" s="6" t="str">
        <f aca="false">IFERROR(INDEX('All Song Rankings'!$I:$I,MATCH(ROW()-1,'All Song Rankings'!$S:$S,0)),"")</f>
        <v/>
      </c>
      <c r="E82" s="6" t="str">
        <f aca="false">IFERROR(INDEX('All Song Rankings'!$R:$R,MATCH(ROW()-1,'All Song Rankings'!$S:$S,0)),"")</f>
        <v/>
      </c>
    </row>
    <row r="83" customFormat="false" ht="15" hidden="false" customHeight="false" outlineLevel="0" collapsed="false">
      <c r="A83" s="6" t="str">
        <f aca="false">IFERROR(INDEX('All Song Rankings'!$A:$A,MATCH(ROW()-1,'All Song Rankings'!$S:$S,0)),"")</f>
        <v/>
      </c>
      <c r="B83" s="6" t="str">
        <f aca="false">IFERROR(INDEX('All Song Rankings'!$B:$B,MATCH(ROW()-1,'All Song Rankings'!$S:$S,0)),"")</f>
        <v/>
      </c>
      <c r="C83" s="6" t="str">
        <f aca="false">IFERROR(INDEX('All Song Rankings'!$E:$E,MATCH(ROW()-1,'All Song Rankings'!$S:$S,0)),"")</f>
        <v/>
      </c>
      <c r="D83" s="6" t="str">
        <f aca="false">IFERROR(INDEX('All Song Rankings'!$I:$I,MATCH(ROW()-1,'All Song Rankings'!$S:$S,0)),"")</f>
        <v/>
      </c>
      <c r="E83" s="6" t="str">
        <f aca="false">IFERROR(INDEX('All Song Rankings'!$R:$R,MATCH(ROW()-1,'All Song Rankings'!$S:$S,0)),"")</f>
        <v/>
      </c>
    </row>
    <row r="84" customFormat="false" ht="15" hidden="false" customHeight="false" outlineLevel="0" collapsed="false">
      <c r="A84" s="6" t="str">
        <f aca="false">IFERROR(INDEX('All Song Rankings'!$A:$A,MATCH(ROW()-1,'All Song Rankings'!$S:$S,0)),"")</f>
        <v/>
      </c>
      <c r="B84" s="6" t="str">
        <f aca="false">IFERROR(INDEX('All Song Rankings'!$B:$B,MATCH(ROW()-1,'All Song Rankings'!$S:$S,0)),"")</f>
        <v/>
      </c>
      <c r="C84" s="6" t="str">
        <f aca="false">IFERROR(INDEX('All Song Rankings'!$E:$E,MATCH(ROW()-1,'All Song Rankings'!$S:$S,0)),"")</f>
        <v/>
      </c>
      <c r="D84" s="6" t="str">
        <f aca="false">IFERROR(INDEX('All Song Rankings'!$I:$I,MATCH(ROW()-1,'All Song Rankings'!$S:$S,0)),"")</f>
        <v/>
      </c>
      <c r="E84" s="6" t="str">
        <f aca="false">IFERROR(INDEX('All Song Rankings'!$R:$R,MATCH(ROW()-1,'All Song Rankings'!$S:$S,0)),"")</f>
        <v/>
      </c>
    </row>
    <row r="85" customFormat="false" ht="15" hidden="false" customHeight="false" outlineLevel="0" collapsed="false">
      <c r="A85" s="6" t="str">
        <f aca="false">IFERROR(INDEX('All Song Rankings'!$A:$A,MATCH(ROW()-1,'All Song Rankings'!$S:$S,0)),"")</f>
        <v/>
      </c>
      <c r="B85" s="6" t="str">
        <f aca="false">IFERROR(INDEX('All Song Rankings'!$B:$B,MATCH(ROW()-1,'All Song Rankings'!$S:$S,0)),"")</f>
        <v/>
      </c>
      <c r="C85" s="6" t="str">
        <f aca="false">IFERROR(INDEX('All Song Rankings'!$E:$E,MATCH(ROW()-1,'All Song Rankings'!$S:$S,0)),"")</f>
        <v/>
      </c>
      <c r="D85" s="6" t="str">
        <f aca="false">IFERROR(INDEX('All Song Rankings'!$I:$I,MATCH(ROW()-1,'All Song Rankings'!$S:$S,0)),"")</f>
        <v/>
      </c>
      <c r="E85" s="6" t="str">
        <f aca="false">IFERROR(INDEX('All Song Rankings'!$R:$R,MATCH(ROW()-1,'All Song Rankings'!$S:$S,0)),"")</f>
        <v/>
      </c>
    </row>
    <row r="86" customFormat="false" ht="15" hidden="false" customHeight="false" outlineLevel="0" collapsed="false">
      <c r="A86" s="6" t="str">
        <f aca="false">IFERROR(INDEX('All Song Rankings'!$A:$A,MATCH(ROW()-1,'All Song Rankings'!$S:$S,0)),"")</f>
        <v/>
      </c>
      <c r="B86" s="6" t="str">
        <f aca="false">IFERROR(INDEX('All Song Rankings'!$B:$B,MATCH(ROW()-1,'All Song Rankings'!$S:$S,0)),"")</f>
        <v/>
      </c>
      <c r="C86" s="6" t="str">
        <f aca="false">IFERROR(INDEX('All Song Rankings'!$E:$E,MATCH(ROW()-1,'All Song Rankings'!$S:$S,0)),"")</f>
        <v/>
      </c>
      <c r="D86" s="6" t="str">
        <f aca="false">IFERROR(INDEX('All Song Rankings'!$I:$I,MATCH(ROW()-1,'All Song Rankings'!$S:$S,0)),"")</f>
        <v/>
      </c>
      <c r="E86" s="6" t="str">
        <f aca="false">IFERROR(INDEX('All Song Rankings'!$R:$R,MATCH(ROW()-1,'All Song Rankings'!$S:$S,0)),"")</f>
        <v/>
      </c>
    </row>
    <row r="87" customFormat="false" ht="15" hidden="false" customHeight="false" outlineLevel="0" collapsed="false">
      <c r="A87" s="6" t="str">
        <f aca="false">IFERROR(INDEX('All Song Rankings'!$A:$A,MATCH(ROW()-1,'All Song Rankings'!$S:$S,0)),"")</f>
        <v/>
      </c>
      <c r="B87" s="6" t="str">
        <f aca="false">IFERROR(INDEX('All Song Rankings'!$B:$B,MATCH(ROW()-1,'All Song Rankings'!$S:$S,0)),"")</f>
        <v/>
      </c>
      <c r="C87" s="6" t="str">
        <f aca="false">IFERROR(INDEX('All Song Rankings'!$E:$E,MATCH(ROW()-1,'All Song Rankings'!$S:$S,0)),"")</f>
        <v/>
      </c>
      <c r="D87" s="6" t="str">
        <f aca="false">IFERROR(INDEX('All Song Rankings'!$I:$I,MATCH(ROW()-1,'All Song Rankings'!$S:$S,0)),"")</f>
        <v/>
      </c>
      <c r="E87" s="6" t="str">
        <f aca="false">IFERROR(INDEX('All Song Rankings'!$R:$R,MATCH(ROW()-1,'All Song Rankings'!$S:$S,0)),"")</f>
        <v/>
      </c>
    </row>
    <row r="88" customFormat="false" ht="15" hidden="false" customHeight="false" outlineLevel="0" collapsed="false">
      <c r="A88" s="6" t="str">
        <f aca="false">IFERROR(INDEX('All Song Rankings'!$A:$A,MATCH(ROW()-1,'All Song Rankings'!$S:$S,0)),"")</f>
        <v/>
      </c>
      <c r="B88" s="6" t="str">
        <f aca="false">IFERROR(INDEX('All Song Rankings'!$B:$B,MATCH(ROW()-1,'All Song Rankings'!$S:$S,0)),"")</f>
        <v/>
      </c>
      <c r="C88" s="6" t="str">
        <f aca="false">IFERROR(INDEX('All Song Rankings'!$E:$E,MATCH(ROW()-1,'All Song Rankings'!$S:$S,0)),"")</f>
        <v/>
      </c>
      <c r="D88" s="6" t="str">
        <f aca="false">IFERROR(INDEX('All Song Rankings'!$I:$I,MATCH(ROW()-1,'All Song Rankings'!$S:$S,0)),"")</f>
        <v/>
      </c>
      <c r="E88" s="6" t="str">
        <f aca="false">IFERROR(INDEX('All Song Rankings'!$R:$R,MATCH(ROW()-1,'All Song Rankings'!$S:$S,0)),"")</f>
        <v/>
      </c>
    </row>
    <row r="89" customFormat="false" ht="15" hidden="false" customHeight="false" outlineLevel="0" collapsed="false">
      <c r="A89" s="6" t="str">
        <f aca="false">IFERROR(INDEX('All Song Rankings'!$A:$A,MATCH(ROW()-1,'All Song Rankings'!$S:$S,0)),"")</f>
        <v/>
      </c>
      <c r="B89" s="6" t="str">
        <f aca="false">IFERROR(INDEX('All Song Rankings'!$B:$B,MATCH(ROW()-1,'All Song Rankings'!$S:$S,0)),"")</f>
        <v/>
      </c>
      <c r="C89" s="6" t="str">
        <f aca="false">IFERROR(INDEX('All Song Rankings'!$E:$E,MATCH(ROW()-1,'All Song Rankings'!$S:$S,0)),"")</f>
        <v/>
      </c>
      <c r="D89" s="6" t="str">
        <f aca="false">IFERROR(INDEX('All Song Rankings'!$I:$I,MATCH(ROW()-1,'All Song Rankings'!$S:$S,0)),"")</f>
        <v/>
      </c>
      <c r="E89" s="6" t="str">
        <f aca="false">IFERROR(INDEX('All Song Rankings'!$R:$R,MATCH(ROW()-1,'All Song Rankings'!$S:$S,0)),"")</f>
        <v/>
      </c>
    </row>
    <row r="90" customFormat="false" ht="15" hidden="false" customHeight="false" outlineLevel="0" collapsed="false">
      <c r="A90" s="6" t="str">
        <f aca="false">IFERROR(INDEX('All Song Rankings'!$A:$A,MATCH(ROW()-1,'All Song Rankings'!$S:$S,0)),"")</f>
        <v/>
      </c>
      <c r="B90" s="6" t="str">
        <f aca="false">IFERROR(INDEX('All Song Rankings'!$B:$B,MATCH(ROW()-1,'All Song Rankings'!$S:$S,0)),"")</f>
        <v/>
      </c>
      <c r="C90" s="6" t="str">
        <f aca="false">IFERROR(INDEX('All Song Rankings'!$E:$E,MATCH(ROW()-1,'All Song Rankings'!$S:$S,0)),"")</f>
        <v/>
      </c>
      <c r="D90" s="6" t="str">
        <f aca="false">IFERROR(INDEX('All Song Rankings'!$I:$I,MATCH(ROW()-1,'All Song Rankings'!$S:$S,0)),"")</f>
        <v/>
      </c>
      <c r="E90" s="6" t="str">
        <f aca="false">IFERROR(INDEX('All Song Rankings'!$R:$R,MATCH(ROW()-1,'All Song Rankings'!$S:$S,0)),"")</f>
        <v/>
      </c>
    </row>
    <row r="91" customFormat="false" ht="15" hidden="false" customHeight="false" outlineLevel="0" collapsed="false">
      <c r="A91" s="6" t="str">
        <f aca="false">IFERROR(INDEX('All Song Rankings'!$A:$A,MATCH(ROW()-1,'All Song Rankings'!$S:$S,0)),"")</f>
        <v/>
      </c>
      <c r="B91" s="6" t="str">
        <f aca="false">IFERROR(INDEX('All Song Rankings'!$B:$B,MATCH(ROW()-1,'All Song Rankings'!$S:$S,0)),"")</f>
        <v/>
      </c>
      <c r="C91" s="6" t="str">
        <f aca="false">IFERROR(INDEX('All Song Rankings'!$E:$E,MATCH(ROW()-1,'All Song Rankings'!$S:$S,0)),"")</f>
        <v/>
      </c>
      <c r="D91" s="6" t="str">
        <f aca="false">IFERROR(INDEX('All Song Rankings'!$I:$I,MATCH(ROW()-1,'All Song Rankings'!$S:$S,0)),"")</f>
        <v/>
      </c>
      <c r="E91" s="6" t="str">
        <f aca="false">IFERROR(INDEX('All Song Rankings'!$R:$R,MATCH(ROW()-1,'All Song Rankings'!$S:$S,0)),"")</f>
        <v/>
      </c>
    </row>
    <row r="92" customFormat="false" ht="15" hidden="false" customHeight="false" outlineLevel="0" collapsed="false">
      <c r="A92" s="6" t="str">
        <f aca="false">IFERROR(INDEX('All Song Rankings'!$A:$A,MATCH(ROW()-1,'All Song Rankings'!$S:$S,0)),"")</f>
        <v/>
      </c>
      <c r="B92" s="6" t="str">
        <f aca="false">IFERROR(INDEX('All Song Rankings'!$B:$B,MATCH(ROW()-1,'All Song Rankings'!$S:$S,0)),"")</f>
        <v/>
      </c>
      <c r="C92" s="6" t="str">
        <f aca="false">IFERROR(INDEX('All Song Rankings'!$E:$E,MATCH(ROW()-1,'All Song Rankings'!$S:$S,0)),"")</f>
        <v/>
      </c>
      <c r="D92" s="6" t="str">
        <f aca="false">IFERROR(INDEX('All Song Rankings'!$I:$I,MATCH(ROW()-1,'All Song Rankings'!$S:$S,0)),"")</f>
        <v/>
      </c>
      <c r="E92" s="6" t="str">
        <f aca="false">IFERROR(INDEX('All Song Rankings'!$R:$R,MATCH(ROW()-1,'All Song Rankings'!$S:$S,0)),"")</f>
        <v/>
      </c>
    </row>
    <row r="93" customFormat="false" ht="15" hidden="false" customHeight="false" outlineLevel="0" collapsed="false">
      <c r="A93" s="6" t="str">
        <f aca="false">IFERROR(INDEX('All Song Rankings'!$A:$A,MATCH(ROW()-1,'All Song Rankings'!$S:$S,0)),"")</f>
        <v/>
      </c>
      <c r="B93" s="6" t="str">
        <f aca="false">IFERROR(INDEX('All Song Rankings'!$B:$B,MATCH(ROW()-1,'All Song Rankings'!$S:$S,0)),"")</f>
        <v/>
      </c>
      <c r="C93" s="6" t="str">
        <f aca="false">IFERROR(INDEX('All Song Rankings'!$E:$E,MATCH(ROW()-1,'All Song Rankings'!$S:$S,0)),"")</f>
        <v/>
      </c>
      <c r="D93" s="6" t="str">
        <f aca="false">IFERROR(INDEX('All Song Rankings'!$I:$I,MATCH(ROW()-1,'All Song Rankings'!$S:$S,0)),"")</f>
        <v/>
      </c>
      <c r="E93" s="6" t="str">
        <f aca="false">IFERROR(INDEX('All Song Rankings'!$R:$R,MATCH(ROW()-1,'All Song Rankings'!$S:$S,0)),"")</f>
        <v/>
      </c>
    </row>
    <row r="94" customFormat="false" ht="15" hidden="false" customHeight="false" outlineLevel="0" collapsed="false">
      <c r="A94" s="6" t="str">
        <f aca="false">IFERROR(INDEX('All Song Rankings'!$A:$A,MATCH(ROW()-1,'All Song Rankings'!$S:$S,0)),"")</f>
        <v/>
      </c>
      <c r="B94" s="6" t="str">
        <f aca="false">IFERROR(INDEX('All Song Rankings'!$B:$B,MATCH(ROW()-1,'All Song Rankings'!$S:$S,0)),"")</f>
        <v/>
      </c>
      <c r="C94" s="6" t="str">
        <f aca="false">IFERROR(INDEX('All Song Rankings'!$E:$E,MATCH(ROW()-1,'All Song Rankings'!$S:$S,0)),"")</f>
        <v/>
      </c>
      <c r="D94" s="6" t="str">
        <f aca="false">IFERROR(INDEX('All Song Rankings'!$I:$I,MATCH(ROW()-1,'All Song Rankings'!$S:$S,0)),"")</f>
        <v/>
      </c>
      <c r="E94" s="6" t="str">
        <f aca="false">IFERROR(INDEX('All Song Rankings'!$R:$R,MATCH(ROW()-1,'All Song Rankings'!$S:$S,0)),"")</f>
        <v/>
      </c>
    </row>
    <row r="95" customFormat="false" ht="15" hidden="false" customHeight="false" outlineLevel="0" collapsed="false">
      <c r="A95" s="6" t="str">
        <f aca="false">IFERROR(INDEX('All Song Rankings'!$A:$A,MATCH(ROW()-1,'All Song Rankings'!$S:$S,0)),"")</f>
        <v/>
      </c>
      <c r="B95" s="6" t="str">
        <f aca="false">IFERROR(INDEX('All Song Rankings'!$B:$B,MATCH(ROW()-1,'All Song Rankings'!$S:$S,0)),"")</f>
        <v/>
      </c>
      <c r="C95" s="6" t="str">
        <f aca="false">IFERROR(INDEX('All Song Rankings'!$E:$E,MATCH(ROW()-1,'All Song Rankings'!$S:$S,0)),"")</f>
        <v/>
      </c>
      <c r="D95" s="6" t="str">
        <f aca="false">IFERROR(INDEX('All Song Rankings'!$I:$I,MATCH(ROW()-1,'All Song Rankings'!$S:$S,0)),"")</f>
        <v/>
      </c>
      <c r="E95" s="6" t="str">
        <f aca="false">IFERROR(INDEX('All Song Rankings'!$R:$R,MATCH(ROW()-1,'All Song Rankings'!$S:$S,0)),"")</f>
        <v/>
      </c>
    </row>
    <row r="96" customFormat="false" ht="15" hidden="false" customHeight="false" outlineLevel="0" collapsed="false">
      <c r="A96" s="6" t="str">
        <f aca="false">IFERROR(INDEX('All Song Rankings'!$A:$A,MATCH(ROW()-1,'All Song Rankings'!$S:$S,0)),"")</f>
        <v/>
      </c>
      <c r="B96" s="6" t="str">
        <f aca="false">IFERROR(INDEX('All Song Rankings'!$B:$B,MATCH(ROW()-1,'All Song Rankings'!$S:$S,0)),"")</f>
        <v/>
      </c>
      <c r="C96" s="6" t="str">
        <f aca="false">IFERROR(INDEX('All Song Rankings'!$E:$E,MATCH(ROW()-1,'All Song Rankings'!$S:$S,0)),"")</f>
        <v/>
      </c>
      <c r="D96" s="6" t="str">
        <f aca="false">IFERROR(INDEX('All Song Rankings'!$I:$I,MATCH(ROW()-1,'All Song Rankings'!$S:$S,0)),"")</f>
        <v/>
      </c>
      <c r="E96" s="6" t="str">
        <f aca="false">IFERROR(INDEX('All Song Rankings'!$R:$R,MATCH(ROW()-1,'All Song Rankings'!$S:$S,0)),"")</f>
        <v/>
      </c>
    </row>
    <row r="97" customFormat="false" ht="15" hidden="false" customHeight="false" outlineLevel="0" collapsed="false">
      <c r="A97" s="6" t="str">
        <f aca="false">IFERROR(INDEX('All Song Rankings'!$A:$A,MATCH(ROW()-1,'All Song Rankings'!$S:$S,0)),"")</f>
        <v/>
      </c>
      <c r="B97" s="6" t="str">
        <f aca="false">IFERROR(INDEX('All Song Rankings'!$B:$B,MATCH(ROW()-1,'All Song Rankings'!$S:$S,0)),"")</f>
        <v/>
      </c>
      <c r="C97" s="6" t="str">
        <f aca="false">IFERROR(INDEX('All Song Rankings'!$E:$E,MATCH(ROW()-1,'All Song Rankings'!$S:$S,0)),"")</f>
        <v/>
      </c>
      <c r="D97" s="6" t="str">
        <f aca="false">IFERROR(INDEX('All Song Rankings'!$I:$I,MATCH(ROW()-1,'All Song Rankings'!$S:$S,0)),"")</f>
        <v/>
      </c>
      <c r="E97" s="6" t="str">
        <f aca="false">IFERROR(INDEX('All Song Rankings'!$R:$R,MATCH(ROW()-1,'All Song Rankings'!$S:$S,0)),"")</f>
        <v/>
      </c>
    </row>
    <row r="98" customFormat="false" ht="15" hidden="false" customHeight="false" outlineLevel="0" collapsed="false">
      <c r="A98" s="6" t="str">
        <f aca="false">IFERROR(INDEX('All Song Rankings'!$A:$A,MATCH(ROW()-1,'All Song Rankings'!$S:$S,0)),"")</f>
        <v/>
      </c>
      <c r="B98" s="6" t="str">
        <f aca="false">IFERROR(INDEX('All Song Rankings'!$B:$B,MATCH(ROW()-1,'All Song Rankings'!$S:$S,0)),"")</f>
        <v/>
      </c>
      <c r="C98" s="6" t="str">
        <f aca="false">IFERROR(INDEX('All Song Rankings'!$E:$E,MATCH(ROW()-1,'All Song Rankings'!$S:$S,0)),"")</f>
        <v/>
      </c>
      <c r="D98" s="6" t="str">
        <f aca="false">IFERROR(INDEX('All Song Rankings'!$I:$I,MATCH(ROW()-1,'All Song Rankings'!$S:$S,0)),"")</f>
        <v/>
      </c>
      <c r="E98" s="6" t="str">
        <f aca="false">IFERROR(INDEX('All Song Rankings'!$R:$R,MATCH(ROW()-1,'All Song Rankings'!$S:$S,0)),"")</f>
        <v/>
      </c>
    </row>
    <row r="99" customFormat="false" ht="15" hidden="false" customHeight="false" outlineLevel="0" collapsed="false">
      <c r="A99" s="6" t="str">
        <f aca="false">IFERROR(INDEX('All Song Rankings'!$A:$A,MATCH(ROW()-1,'All Song Rankings'!$S:$S,0)),"")</f>
        <v/>
      </c>
      <c r="B99" s="6" t="str">
        <f aca="false">IFERROR(INDEX('All Song Rankings'!$B:$B,MATCH(ROW()-1,'All Song Rankings'!$S:$S,0)),"")</f>
        <v/>
      </c>
      <c r="C99" s="6" t="str">
        <f aca="false">IFERROR(INDEX('All Song Rankings'!$E:$E,MATCH(ROW()-1,'All Song Rankings'!$S:$S,0)),"")</f>
        <v/>
      </c>
      <c r="D99" s="6" t="str">
        <f aca="false">IFERROR(INDEX('All Song Rankings'!$I:$I,MATCH(ROW()-1,'All Song Rankings'!$S:$S,0)),"")</f>
        <v/>
      </c>
      <c r="E99" s="6" t="str">
        <f aca="false">IFERROR(INDEX('All Song Rankings'!$R:$R,MATCH(ROW()-1,'All Song Rankings'!$S:$S,0)),"")</f>
        <v/>
      </c>
    </row>
    <row r="100" customFormat="false" ht="15" hidden="false" customHeight="false" outlineLevel="0" collapsed="false">
      <c r="A100" s="6" t="str">
        <f aca="false">IFERROR(INDEX('All Song Rankings'!$A:$A,MATCH(ROW()-1,'All Song Rankings'!$S:$S,0)),"")</f>
        <v/>
      </c>
      <c r="B100" s="6" t="str">
        <f aca="false">IFERROR(INDEX('All Song Rankings'!$B:$B,MATCH(ROW()-1,'All Song Rankings'!$S:$S,0)),"")</f>
        <v/>
      </c>
      <c r="C100" s="6" t="str">
        <f aca="false">IFERROR(INDEX('All Song Rankings'!$E:$E,MATCH(ROW()-1,'All Song Rankings'!$S:$S,0)),"")</f>
        <v/>
      </c>
      <c r="D100" s="6" t="str">
        <f aca="false">IFERROR(INDEX('All Song Rankings'!$I:$I,MATCH(ROW()-1,'All Song Rankings'!$S:$S,0)),"")</f>
        <v/>
      </c>
      <c r="E100" s="6" t="str">
        <f aca="false">IFERROR(INDEX('All Song Rankings'!$R:$R,MATCH(ROW()-1,'All Song Rankings'!$S:$S,0)),"")</f>
        <v/>
      </c>
    </row>
    <row r="101" customFormat="false" ht="15" hidden="false" customHeight="false" outlineLevel="0" collapsed="false">
      <c r="A101" s="6" t="str">
        <f aca="false">IFERROR(INDEX('All Song Rankings'!$A:$A,MATCH(ROW()-1,'All Song Rankings'!$S:$S,0)),"")</f>
        <v/>
      </c>
      <c r="B101" s="6" t="str">
        <f aca="false">IFERROR(INDEX('All Song Rankings'!$B:$B,MATCH(ROW()-1,'All Song Rankings'!$S:$S,0)),"")</f>
        <v/>
      </c>
      <c r="C101" s="6" t="str">
        <f aca="false">IFERROR(INDEX('All Song Rankings'!$E:$E,MATCH(ROW()-1,'All Song Rankings'!$S:$S,0)),"")</f>
        <v/>
      </c>
      <c r="D101" s="6" t="str">
        <f aca="false">IFERROR(INDEX('All Song Rankings'!$I:$I,MATCH(ROW()-1,'All Song Rankings'!$S:$S,0)),"")</f>
        <v/>
      </c>
      <c r="E101" s="6" t="str">
        <f aca="false">IFERROR(INDEX('All Song Rankings'!$R:$R,MATCH(ROW()-1,'All Song Rankings'!$S:$S,0)),"")</f>
        <v/>
      </c>
    </row>
    <row r="102" customFormat="false" ht="15" hidden="false" customHeight="false" outlineLevel="0" collapsed="false">
      <c r="A102" s="6" t="str">
        <f aca="false">IFERROR(INDEX('All Song Rankings'!$A:$A,MATCH(ROW()-1,'All Song Rankings'!$S:$S,0)),"")</f>
        <v/>
      </c>
      <c r="B102" s="6" t="str">
        <f aca="false">IFERROR(INDEX('All Song Rankings'!$B:$B,MATCH(ROW()-1,'All Song Rankings'!$S:$S,0)),"")</f>
        <v/>
      </c>
      <c r="C102" s="6" t="str">
        <f aca="false">IFERROR(INDEX('All Song Rankings'!$E:$E,MATCH(ROW()-1,'All Song Rankings'!$S:$S,0)),"")</f>
        <v/>
      </c>
      <c r="D102" s="6" t="str">
        <f aca="false">IFERROR(INDEX('All Song Rankings'!$I:$I,MATCH(ROW()-1,'All Song Rankings'!$S:$S,0)),"")</f>
        <v/>
      </c>
      <c r="E102" s="6" t="str">
        <f aca="false">IFERROR(INDEX('All Song Rankings'!$R:$R,MATCH(ROW()-1,'All Song Rankings'!$S:$S,0)),"")</f>
        <v/>
      </c>
    </row>
    <row r="103" customFormat="false" ht="15" hidden="false" customHeight="false" outlineLevel="0" collapsed="false">
      <c r="A103" s="6" t="str">
        <f aca="false">IFERROR(INDEX('All Song Rankings'!$A:$A,MATCH(ROW()-1,'All Song Rankings'!$S:$S,0)),"")</f>
        <v/>
      </c>
      <c r="B103" s="6" t="str">
        <f aca="false">IFERROR(INDEX('All Song Rankings'!$B:$B,MATCH(ROW()-1,'All Song Rankings'!$S:$S,0)),"")</f>
        <v/>
      </c>
      <c r="C103" s="6" t="str">
        <f aca="false">IFERROR(INDEX('All Song Rankings'!$E:$E,MATCH(ROW()-1,'All Song Rankings'!$S:$S,0)),"")</f>
        <v/>
      </c>
      <c r="D103" s="6" t="str">
        <f aca="false">IFERROR(INDEX('All Song Rankings'!$I:$I,MATCH(ROW()-1,'All Song Rankings'!$S:$S,0)),"")</f>
        <v/>
      </c>
      <c r="E103" s="6" t="str">
        <f aca="false">IFERROR(INDEX('All Song Rankings'!$R:$R,MATCH(ROW()-1,'All Song Rankings'!$S:$S,0)),"")</f>
        <v/>
      </c>
    </row>
    <row r="104" customFormat="false" ht="15" hidden="false" customHeight="false" outlineLevel="0" collapsed="false">
      <c r="A104" s="6" t="str">
        <f aca="false">IFERROR(INDEX('All Song Rankings'!$A:$A,MATCH(ROW()-1,'All Song Rankings'!$S:$S,0)),"")</f>
        <v/>
      </c>
      <c r="B104" s="6" t="str">
        <f aca="false">IFERROR(INDEX('All Song Rankings'!$B:$B,MATCH(ROW()-1,'All Song Rankings'!$S:$S,0)),"")</f>
        <v/>
      </c>
      <c r="C104" s="6" t="str">
        <f aca="false">IFERROR(INDEX('All Song Rankings'!$E:$E,MATCH(ROW()-1,'All Song Rankings'!$S:$S,0)),"")</f>
        <v/>
      </c>
      <c r="D104" s="6" t="str">
        <f aca="false">IFERROR(INDEX('All Song Rankings'!$I:$I,MATCH(ROW()-1,'All Song Rankings'!$S:$S,0)),"")</f>
        <v/>
      </c>
      <c r="E104" s="6" t="str">
        <f aca="false">IFERROR(INDEX('All Song Rankings'!$R:$R,MATCH(ROW()-1,'All Song Rankings'!$S:$S,0)),"")</f>
        <v/>
      </c>
    </row>
    <row r="105" customFormat="false" ht="15" hidden="false" customHeight="false" outlineLevel="0" collapsed="false">
      <c r="A105" s="6" t="str">
        <f aca="false">IFERROR(INDEX('All Song Rankings'!$A:$A,MATCH(ROW()-1,'All Song Rankings'!$S:$S,0)),"")</f>
        <v/>
      </c>
      <c r="B105" s="6" t="str">
        <f aca="false">IFERROR(INDEX('All Song Rankings'!$B:$B,MATCH(ROW()-1,'All Song Rankings'!$S:$S,0)),"")</f>
        <v/>
      </c>
      <c r="C105" s="6" t="str">
        <f aca="false">IFERROR(INDEX('All Song Rankings'!$E:$E,MATCH(ROW()-1,'All Song Rankings'!$S:$S,0)),"")</f>
        <v/>
      </c>
      <c r="D105" s="6" t="str">
        <f aca="false">IFERROR(INDEX('All Song Rankings'!$I:$I,MATCH(ROW()-1,'All Song Rankings'!$S:$S,0)),"")</f>
        <v/>
      </c>
      <c r="E105" s="6" t="str">
        <f aca="false">IFERROR(INDEX('All Song Rankings'!$R:$R,MATCH(ROW()-1,'All Song Rankings'!$S:$S,0)),"")</f>
        <v/>
      </c>
    </row>
    <row r="106" customFormat="false" ht="15" hidden="false" customHeight="false" outlineLevel="0" collapsed="false">
      <c r="A106" s="6" t="str">
        <f aca="false">IFERROR(INDEX('All Song Rankings'!$A:$A,MATCH(ROW()-1,'All Song Rankings'!$S:$S,0)),"")</f>
        <v/>
      </c>
      <c r="B106" s="6" t="str">
        <f aca="false">IFERROR(INDEX('All Song Rankings'!$B:$B,MATCH(ROW()-1,'All Song Rankings'!$S:$S,0)),"")</f>
        <v/>
      </c>
      <c r="C106" s="6" t="str">
        <f aca="false">IFERROR(INDEX('All Song Rankings'!$E:$E,MATCH(ROW()-1,'All Song Rankings'!$S:$S,0)),"")</f>
        <v/>
      </c>
      <c r="D106" s="6" t="str">
        <f aca="false">IFERROR(INDEX('All Song Rankings'!$I:$I,MATCH(ROW()-1,'All Song Rankings'!$S:$S,0)),"")</f>
        <v/>
      </c>
      <c r="E106" s="6" t="str">
        <f aca="false">IFERROR(INDEX('All Song Rankings'!$R:$R,MATCH(ROW()-1,'All Song Rankings'!$S:$S,0)),"")</f>
        <v/>
      </c>
    </row>
    <row r="107" customFormat="false" ht="15" hidden="false" customHeight="false" outlineLevel="0" collapsed="false">
      <c r="A107" s="6" t="str">
        <f aca="false">IFERROR(INDEX('All Song Rankings'!$A:$A,MATCH(ROW()-1,'All Song Rankings'!$S:$S,0)),"")</f>
        <v/>
      </c>
      <c r="B107" s="6" t="str">
        <f aca="false">IFERROR(INDEX('All Song Rankings'!$B:$B,MATCH(ROW()-1,'All Song Rankings'!$S:$S,0)),"")</f>
        <v/>
      </c>
      <c r="C107" s="6" t="str">
        <f aca="false">IFERROR(INDEX('All Song Rankings'!$E:$E,MATCH(ROW()-1,'All Song Rankings'!$S:$S,0)),"")</f>
        <v/>
      </c>
      <c r="D107" s="6" t="str">
        <f aca="false">IFERROR(INDEX('All Song Rankings'!$I:$I,MATCH(ROW()-1,'All Song Rankings'!$S:$S,0)),"")</f>
        <v/>
      </c>
      <c r="E107" s="6" t="str">
        <f aca="false">IFERROR(INDEX('All Song Rankings'!$R:$R,MATCH(ROW()-1,'All Song Rankings'!$S:$S,0)),"")</f>
        <v/>
      </c>
    </row>
    <row r="108" customFormat="false" ht="15" hidden="false" customHeight="false" outlineLevel="0" collapsed="false">
      <c r="A108" s="6" t="str">
        <f aca="false">IFERROR(INDEX('All Song Rankings'!$A:$A,MATCH(ROW()-1,'All Song Rankings'!$S:$S,0)),"")</f>
        <v/>
      </c>
      <c r="B108" s="6" t="str">
        <f aca="false">IFERROR(INDEX('All Song Rankings'!$B:$B,MATCH(ROW()-1,'All Song Rankings'!$S:$S,0)),"")</f>
        <v/>
      </c>
      <c r="C108" s="6" t="str">
        <f aca="false">IFERROR(INDEX('All Song Rankings'!$E:$E,MATCH(ROW()-1,'All Song Rankings'!$S:$S,0)),"")</f>
        <v/>
      </c>
      <c r="D108" s="6" t="str">
        <f aca="false">IFERROR(INDEX('All Song Rankings'!$I:$I,MATCH(ROW()-1,'All Song Rankings'!$S:$S,0)),"")</f>
        <v/>
      </c>
      <c r="E108" s="6" t="str">
        <f aca="false">IFERROR(INDEX('All Song Rankings'!$R:$R,MATCH(ROW()-1,'All Song Rankings'!$S:$S,0)),"")</f>
        <v/>
      </c>
    </row>
    <row r="109" customFormat="false" ht="15" hidden="false" customHeight="false" outlineLevel="0" collapsed="false">
      <c r="A109" s="6" t="str">
        <f aca="false">IFERROR(INDEX('All Song Rankings'!$A:$A,MATCH(ROW()-1,'All Song Rankings'!$S:$S,0)),"")</f>
        <v/>
      </c>
      <c r="B109" s="6" t="str">
        <f aca="false">IFERROR(INDEX('All Song Rankings'!$B:$B,MATCH(ROW()-1,'All Song Rankings'!$S:$S,0)),"")</f>
        <v/>
      </c>
      <c r="C109" s="6" t="str">
        <f aca="false">IFERROR(INDEX('All Song Rankings'!$E:$E,MATCH(ROW()-1,'All Song Rankings'!$S:$S,0)),"")</f>
        <v/>
      </c>
      <c r="D109" s="6" t="str">
        <f aca="false">IFERROR(INDEX('All Song Rankings'!$I:$I,MATCH(ROW()-1,'All Song Rankings'!$S:$S,0)),"")</f>
        <v/>
      </c>
      <c r="E109" s="6" t="str">
        <f aca="false">IFERROR(INDEX('All Song Rankings'!$R:$R,MATCH(ROW()-1,'All Song Rankings'!$S:$S,0)),"")</f>
        <v/>
      </c>
    </row>
    <row r="110" customFormat="false" ht="15" hidden="false" customHeight="false" outlineLevel="0" collapsed="false">
      <c r="A110" s="6" t="str">
        <f aca="false">IFERROR(INDEX('All Song Rankings'!$A:$A,MATCH(ROW()-1,'All Song Rankings'!$S:$S,0)),"")</f>
        <v/>
      </c>
      <c r="B110" s="6" t="str">
        <f aca="false">IFERROR(INDEX('All Song Rankings'!$B:$B,MATCH(ROW()-1,'All Song Rankings'!$S:$S,0)),"")</f>
        <v/>
      </c>
      <c r="C110" s="6" t="str">
        <f aca="false">IFERROR(INDEX('All Song Rankings'!$E:$E,MATCH(ROW()-1,'All Song Rankings'!$S:$S,0)),"")</f>
        <v/>
      </c>
      <c r="D110" s="6" t="str">
        <f aca="false">IFERROR(INDEX('All Song Rankings'!$I:$I,MATCH(ROW()-1,'All Song Rankings'!$S:$S,0)),"")</f>
        <v/>
      </c>
      <c r="E110" s="6" t="str">
        <f aca="false">IFERROR(INDEX('All Song Rankings'!$R:$R,MATCH(ROW()-1,'All Song Rankings'!$S:$S,0)),"")</f>
        <v/>
      </c>
    </row>
    <row r="111" customFormat="false" ht="15" hidden="false" customHeight="false" outlineLevel="0" collapsed="false">
      <c r="A111" s="6" t="str">
        <f aca="false">IFERROR(INDEX('All Song Rankings'!$A:$A,MATCH(ROW()-1,'All Song Rankings'!$S:$S,0)),"")</f>
        <v/>
      </c>
      <c r="B111" s="6" t="str">
        <f aca="false">IFERROR(INDEX('All Song Rankings'!$B:$B,MATCH(ROW()-1,'All Song Rankings'!$S:$S,0)),"")</f>
        <v/>
      </c>
      <c r="C111" s="6" t="str">
        <f aca="false">IFERROR(INDEX('All Song Rankings'!$E:$E,MATCH(ROW()-1,'All Song Rankings'!$S:$S,0)),"")</f>
        <v/>
      </c>
      <c r="D111" s="6" t="str">
        <f aca="false">IFERROR(INDEX('All Song Rankings'!$I:$I,MATCH(ROW()-1,'All Song Rankings'!$S:$S,0)),"")</f>
        <v/>
      </c>
      <c r="E111" s="6" t="str">
        <f aca="false">IFERROR(INDEX('All Song Rankings'!$R:$R,MATCH(ROW()-1,'All Song Rankings'!$S:$S,0)),"")</f>
        <v/>
      </c>
    </row>
    <row r="112" customFormat="false" ht="15" hidden="false" customHeight="false" outlineLevel="0" collapsed="false">
      <c r="A112" s="6" t="str">
        <f aca="false">IFERROR(INDEX('All Song Rankings'!$A:$A,MATCH(ROW()-1,'All Song Rankings'!$S:$S,0)),"")</f>
        <v/>
      </c>
      <c r="B112" s="6" t="str">
        <f aca="false">IFERROR(INDEX('All Song Rankings'!$B:$B,MATCH(ROW()-1,'All Song Rankings'!$S:$S,0)),"")</f>
        <v/>
      </c>
      <c r="C112" s="6" t="str">
        <f aca="false">IFERROR(INDEX('All Song Rankings'!$E:$E,MATCH(ROW()-1,'All Song Rankings'!$S:$S,0)),"")</f>
        <v/>
      </c>
      <c r="D112" s="6" t="str">
        <f aca="false">IFERROR(INDEX('All Song Rankings'!$I:$I,MATCH(ROW()-1,'All Song Rankings'!$S:$S,0)),"")</f>
        <v/>
      </c>
      <c r="E112" s="6" t="str">
        <f aca="false">IFERROR(INDEX('All Song Rankings'!$R:$R,MATCH(ROW()-1,'All Song Rankings'!$S:$S,0)),"")</f>
        <v/>
      </c>
    </row>
    <row r="113" customFormat="false" ht="15" hidden="false" customHeight="false" outlineLevel="0" collapsed="false">
      <c r="A113" s="6" t="str">
        <f aca="false">IFERROR(INDEX('All Song Rankings'!$A:$A,MATCH(ROW()-1,'All Song Rankings'!$S:$S,0)),"")</f>
        <v/>
      </c>
      <c r="B113" s="6" t="str">
        <f aca="false">IFERROR(INDEX('All Song Rankings'!$B:$B,MATCH(ROW()-1,'All Song Rankings'!$S:$S,0)),"")</f>
        <v/>
      </c>
      <c r="C113" s="6" t="str">
        <f aca="false">IFERROR(INDEX('All Song Rankings'!$E:$E,MATCH(ROW()-1,'All Song Rankings'!$S:$S,0)),"")</f>
        <v/>
      </c>
      <c r="D113" s="6" t="str">
        <f aca="false">IFERROR(INDEX('All Song Rankings'!$I:$I,MATCH(ROW()-1,'All Song Rankings'!$S:$S,0)),"")</f>
        <v/>
      </c>
      <c r="E113" s="6" t="str">
        <f aca="false">IFERROR(INDEX('All Song Rankings'!$R:$R,MATCH(ROW()-1,'All Song Rankings'!$S:$S,0)),"")</f>
        <v/>
      </c>
    </row>
    <row r="114" customFormat="false" ht="15" hidden="false" customHeight="false" outlineLevel="0" collapsed="false">
      <c r="A114" s="6" t="str">
        <f aca="false">IFERROR(INDEX('All Song Rankings'!$A:$A,MATCH(ROW()-1,'All Song Rankings'!$S:$S,0)),"")</f>
        <v/>
      </c>
      <c r="B114" s="6" t="str">
        <f aca="false">IFERROR(INDEX('All Song Rankings'!$B:$B,MATCH(ROW()-1,'All Song Rankings'!$S:$S,0)),"")</f>
        <v/>
      </c>
      <c r="C114" s="6" t="str">
        <f aca="false">IFERROR(INDEX('All Song Rankings'!$E:$E,MATCH(ROW()-1,'All Song Rankings'!$S:$S,0)),"")</f>
        <v/>
      </c>
      <c r="D114" s="6" t="str">
        <f aca="false">IFERROR(INDEX('All Song Rankings'!$I:$I,MATCH(ROW()-1,'All Song Rankings'!$S:$S,0)),"")</f>
        <v/>
      </c>
      <c r="E114" s="6" t="str">
        <f aca="false">IFERROR(INDEX('All Song Rankings'!$R:$R,MATCH(ROW()-1,'All Song Rankings'!$S:$S,0)),"")</f>
        <v/>
      </c>
    </row>
    <row r="115" customFormat="false" ht="15" hidden="false" customHeight="false" outlineLevel="0" collapsed="false">
      <c r="A115" s="6" t="str">
        <f aca="false">IFERROR(INDEX('All Song Rankings'!$A:$A,MATCH(ROW()-1,'All Song Rankings'!$S:$S,0)),"")</f>
        <v/>
      </c>
      <c r="B115" s="6" t="str">
        <f aca="false">IFERROR(INDEX('All Song Rankings'!$B:$B,MATCH(ROW()-1,'All Song Rankings'!$S:$S,0)),"")</f>
        <v/>
      </c>
      <c r="C115" s="6" t="str">
        <f aca="false">IFERROR(INDEX('All Song Rankings'!$E:$E,MATCH(ROW()-1,'All Song Rankings'!$S:$S,0)),"")</f>
        <v/>
      </c>
      <c r="D115" s="6" t="str">
        <f aca="false">IFERROR(INDEX('All Song Rankings'!$I:$I,MATCH(ROW()-1,'All Song Rankings'!$S:$S,0)),"")</f>
        <v/>
      </c>
      <c r="E115" s="6" t="str">
        <f aca="false">IFERROR(INDEX('All Song Rankings'!$R:$R,MATCH(ROW()-1,'All Song Rankings'!$S:$S,0)),"")</f>
        <v/>
      </c>
    </row>
    <row r="116" customFormat="false" ht="15" hidden="false" customHeight="false" outlineLevel="0" collapsed="false">
      <c r="A116" s="6" t="str">
        <f aca="false">IFERROR(INDEX('All Song Rankings'!$A:$A,MATCH(ROW()-1,'All Song Rankings'!$S:$S,0)),"")</f>
        <v/>
      </c>
      <c r="B116" s="6" t="str">
        <f aca="false">IFERROR(INDEX('All Song Rankings'!$B:$B,MATCH(ROW()-1,'All Song Rankings'!$S:$S,0)),"")</f>
        <v/>
      </c>
      <c r="C116" s="6" t="str">
        <f aca="false">IFERROR(INDEX('All Song Rankings'!$E:$E,MATCH(ROW()-1,'All Song Rankings'!$S:$S,0)),"")</f>
        <v/>
      </c>
      <c r="D116" s="6" t="str">
        <f aca="false">IFERROR(INDEX('All Song Rankings'!$I:$I,MATCH(ROW()-1,'All Song Rankings'!$S:$S,0)),"")</f>
        <v/>
      </c>
      <c r="E116" s="6" t="str">
        <f aca="false">IFERROR(INDEX('All Song Rankings'!$R:$R,MATCH(ROW()-1,'All Song Rankings'!$S:$S,0)),"")</f>
        <v/>
      </c>
    </row>
    <row r="117" customFormat="false" ht="15" hidden="false" customHeight="false" outlineLevel="0" collapsed="false">
      <c r="A117" s="6" t="str">
        <f aca="false">IFERROR(INDEX('All Song Rankings'!$A:$A,MATCH(ROW()-1,'All Song Rankings'!$S:$S,0)),"")</f>
        <v/>
      </c>
      <c r="B117" s="6" t="str">
        <f aca="false">IFERROR(INDEX('All Song Rankings'!$B:$B,MATCH(ROW()-1,'All Song Rankings'!$S:$S,0)),"")</f>
        <v/>
      </c>
      <c r="C117" s="6" t="str">
        <f aca="false">IFERROR(INDEX('All Song Rankings'!$E:$E,MATCH(ROW()-1,'All Song Rankings'!$S:$S,0)),"")</f>
        <v/>
      </c>
      <c r="D117" s="6" t="str">
        <f aca="false">IFERROR(INDEX('All Song Rankings'!$I:$I,MATCH(ROW()-1,'All Song Rankings'!$S:$S,0)),"")</f>
        <v/>
      </c>
      <c r="E117" s="6" t="str">
        <f aca="false">IFERROR(INDEX('All Song Rankings'!$R:$R,MATCH(ROW()-1,'All Song Rankings'!$S:$S,0)),"")</f>
        <v/>
      </c>
    </row>
    <row r="118" customFormat="false" ht="15" hidden="false" customHeight="false" outlineLevel="0" collapsed="false">
      <c r="A118" s="6" t="str">
        <f aca="false">IFERROR(INDEX('All Song Rankings'!$A:$A,MATCH(ROW()-1,'All Song Rankings'!$S:$S,0)),"")</f>
        <v/>
      </c>
      <c r="B118" s="6" t="str">
        <f aca="false">IFERROR(INDEX('All Song Rankings'!$B:$B,MATCH(ROW()-1,'All Song Rankings'!$S:$S,0)),"")</f>
        <v/>
      </c>
      <c r="C118" s="6" t="str">
        <f aca="false">IFERROR(INDEX('All Song Rankings'!$E:$E,MATCH(ROW()-1,'All Song Rankings'!$S:$S,0)),"")</f>
        <v/>
      </c>
      <c r="D118" s="6" t="str">
        <f aca="false">IFERROR(INDEX('All Song Rankings'!$I:$I,MATCH(ROW()-1,'All Song Rankings'!$S:$S,0)),"")</f>
        <v/>
      </c>
      <c r="E118" s="6" t="str">
        <f aca="false">IFERROR(INDEX('All Song Rankings'!$R:$R,MATCH(ROW()-1,'All Song Rankings'!$S:$S,0)),"")</f>
        <v/>
      </c>
    </row>
    <row r="119" customFormat="false" ht="15" hidden="false" customHeight="false" outlineLevel="0" collapsed="false">
      <c r="A119" s="6" t="str">
        <f aca="false">IFERROR(INDEX('All Song Rankings'!$A:$A,MATCH(ROW()-1,'All Song Rankings'!$S:$S,0)),"")</f>
        <v/>
      </c>
      <c r="B119" s="6" t="str">
        <f aca="false">IFERROR(INDEX('All Song Rankings'!$B:$B,MATCH(ROW()-1,'All Song Rankings'!$S:$S,0)),"")</f>
        <v/>
      </c>
      <c r="C119" s="6" t="str">
        <f aca="false">IFERROR(INDEX('All Song Rankings'!$E:$E,MATCH(ROW()-1,'All Song Rankings'!$S:$S,0)),"")</f>
        <v/>
      </c>
      <c r="D119" s="6" t="str">
        <f aca="false">IFERROR(INDEX('All Song Rankings'!$I:$I,MATCH(ROW()-1,'All Song Rankings'!$S:$S,0)),"")</f>
        <v/>
      </c>
      <c r="E119" s="6" t="str">
        <f aca="false">IFERROR(INDEX('All Song Rankings'!$R:$R,MATCH(ROW()-1,'All Song Rankings'!$S:$S,0)),"")</f>
        <v/>
      </c>
    </row>
    <row r="120" customFormat="false" ht="15" hidden="false" customHeight="false" outlineLevel="0" collapsed="false">
      <c r="A120" s="6" t="str">
        <f aca="false">IFERROR(INDEX('All Song Rankings'!$A:$A,MATCH(ROW()-1,'All Song Rankings'!$S:$S,0)),"")</f>
        <v/>
      </c>
      <c r="B120" s="6" t="str">
        <f aca="false">IFERROR(INDEX('All Song Rankings'!$B:$B,MATCH(ROW()-1,'All Song Rankings'!$S:$S,0)),"")</f>
        <v/>
      </c>
      <c r="C120" s="6" t="str">
        <f aca="false">IFERROR(INDEX('All Song Rankings'!$E:$E,MATCH(ROW()-1,'All Song Rankings'!$S:$S,0)),"")</f>
        <v/>
      </c>
      <c r="D120" s="6" t="str">
        <f aca="false">IFERROR(INDEX('All Song Rankings'!$I:$I,MATCH(ROW()-1,'All Song Rankings'!$S:$S,0)),"")</f>
        <v/>
      </c>
      <c r="E120" s="6" t="str">
        <f aca="false">IFERROR(INDEX('All Song Rankings'!$R:$R,MATCH(ROW()-1,'All Song Rankings'!$S:$S,0)),"")</f>
        <v/>
      </c>
    </row>
    <row r="121" customFormat="false" ht="15" hidden="false" customHeight="false" outlineLevel="0" collapsed="false">
      <c r="A121" s="6" t="str">
        <f aca="false">IFERROR(INDEX('All Song Rankings'!$A:$A,MATCH(ROW()-1,'All Song Rankings'!$S:$S,0)),"")</f>
        <v/>
      </c>
      <c r="B121" s="6" t="str">
        <f aca="false">IFERROR(INDEX('All Song Rankings'!$B:$B,MATCH(ROW()-1,'All Song Rankings'!$S:$S,0)),"")</f>
        <v/>
      </c>
      <c r="C121" s="6" t="str">
        <f aca="false">IFERROR(INDEX('All Song Rankings'!$E:$E,MATCH(ROW()-1,'All Song Rankings'!$S:$S,0)),"")</f>
        <v/>
      </c>
      <c r="D121" s="6" t="str">
        <f aca="false">IFERROR(INDEX('All Song Rankings'!$I:$I,MATCH(ROW()-1,'All Song Rankings'!$S:$S,0)),"")</f>
        <v/>
      </c>
      <c r="E121" s="6" t="str">
        <f aca="false">IFERROR(INDEX('All Song Rankings'!$R:$R,MATCH(ROW()-1,'All Song Rankings'!$S:$S,0)),"")</f>
        <v/>
      </c>
    </row>
    <row r="122" customFormat="false" ht="15" hidden="false" customHeight="false" outlineLevel="0" collapsed="false">
      <c r="A122" s="6" t="str">
        <f aca="false">IFERROR(INDEX('All Song Rankings'!$A:$A,MATCH(ROW()-1,'All Song Rankings'!$S:$S,0)),"")</f>
        <v/>
      </c>
      <c r="B122" s="6" t="str">
        <f aca="false">IFERROR(INDEX('All Song Rankings'!$B:$B,MATCH(ROW()-1,'All Song Rankings'!$S:$S,0)),"")</f>
        <v/>
      </c>
      <c r="C122" s="6" t="str">
        <f aca="false">IFERROR(INDEX('All Song Rankings'!$E:$E,MATCH(ROW()-1,'All Song Rankings'!$S:$S,0)),"")</f>
        <v/>
      </c>
      <c r="D122" s="6" t="str">
        <f aca="false">IFERROR(INDEX('All Song Rankings'!$I:$I,MATCH(ROW()-1,'All Song Rankings'!$S:$S,0)),"")</f>
        <v/>
      </c>
      <c r="E122" s="6" t="str">
        <f aca="false">IFERROR(INDEX('All Song Rankings'!$R:$R,MATCH(ROW()-1,'All Song Rankings'!$S:$S,0)),"")</f>
        <v/>
      </c>
    </row>
    <row r="123" customFormat="false" ht="15" hidden="false" customHeight="false" outlineLevel="0" collapsed="false">
      <c r="A123" s="6" t="str">
        <f aca="false">IFERROR(INDEX('All Song Rankings'!$A:$A,MATCH(ROW()-1,'All Song Rankings'!$S:$S,0)),"")</f>
        <v/>
      </c>
      <c r="B123" s="6" t="str">
        <f aca="false">IFERROR(INDEX('All Song Rankings'!$B:$B,MATCH(ROW()-1,'All Song Rankings'!$S:$S,0)),"")</f>
        <v/>
      </c>
      <c r="C123" s="6" t="str">
        <f aca="false">IFERROR(INDEX('All Song Rankings'!$E:$E,MATCH(ROW()-1,'All Song Rankings'!$S:$S,0)),"")</f>
        <v/>
      </c>
      <c r="D123" s="6" t="str">
        <f aca="false">IFERROR(INDEX('All Song Rankings'!$I:$I,MATCH(ROW()-1,'All Song Rankings'!$S:$S,0)),"")</f>
        <v/>
      </c>
      <c r="E123" s="6" t="str">
        <f aca="false">IFERROR(INDEX('All Song Rankings'!$R:$R,MATCH(ROW()-1,'All Song Rankings'!$S:$S,0)),"")</f>
        <v/>
      </c>
    </row>
    <row r="124" customFormat="false" ht="15" hidden="false" customHeight="false" outlineLevel="0" collapsed="false">
      <c r="A124" s="6" t="str">
        <f aca="false">IFERROR(INDEX('All Song Rankings'!$A:$A,MATCH(ROW()-1,'All Song Rankings'!$S:$S,0)),"")</f>
        <v/>
      </c>
      <c r="B124" s="6" t="str">
        <f aca="false">IFERROR(INDEX('All Song Rankings'!$B:$B,MATCH(ROW()-1,'All Song Rankings'!$S:$S,0)),"")</f>
        <v/>
      </c>
      <c r="C124" s="6" t="str">
        <f aca="false">IFERROR(INDEX('All Song Rankings'!$E:$E,MATCH(ROW()-1,'All Song Rankings'!$S:$S,0)),"")</f>
        <v/>
      </c>
      <c r="D124" s="6" t="str">
        <f aca="false">IFERROR(INDEX('All Song Rankings'!$I:$I,MATCH(ROW()-1,'All Song Rankings'!$S:$S,0)),"")</f>
        <v/>
      </c>
      <c r="E124" s="6" t="str">
        <f aca="false">IFERROR(INDEX('All Song Rankings'!$R:$R,MATCH(ROW()-1,'All Song Rankings'!$S:$S,0)),"")</f>
        <v/>
      </c>
    </row>
    <row r="125" customFormat="false" ht="15" hidden="false" customHeight="false" outlineLevel="0" collapsed="false">
      <c r="A125" s="6" t="str">
        <f aca="false">IFERROR(INDEX('All Song Rankings'!$A:$A,MATCH(ROW()-1,'All Song Rankings'!$S:$S,0)),"")</f>
        <v/>
      </c>
      <c r="B125" s="6" t="str">
        <f aca="false">IFERROR(INDEX('All Song Rankings'!$B:$B,MATCH(ROW()-1,'All Song Rankings'!$S:$S,0)),"")</f>
        <v/>
      </c>
      <c r="C125" s="6" t="str">
        <f aca="false">IFERROR(INDEX('All Song Rankings'!$E:$E,MATCH(ROW()-1,'All Song Rankings'!$S:$S,0)),"")</f>
        <v/>
      </c>
      <c r="D125" s="6" t="str">
        <f aca="false">IFERROR(INDEX('All Song Rankings'!$I:$I,MATCH(ROW()-1,'All Song Rankings'!$S:$S,0)),"")</f>
        <v/>
      </c>
      <c r="E125" s="6" t="str">
        <f aca="false">IFERROR(INDEX('All Song Rankings'!$R:$R,MATCH(ROW()-1,'All Song Rankings'!$S:$S,0)),"")</f>
        <v/>
      </c>
    </row>
    <row r="126" customFormat="false" ht="15" hidden="false" customHeight="false" outlineLevel="0" collapsed="false">
      <c r="A126" s="6" t="str">
        <f aca="false">IFERROR(INDEX('All Song Rankings'!$A:$A,MATCH(ROW()-1,'All Song Rankings'!$S:$S,0)),"")</f>
        <v/>
      </c>
      <c r="B126" s="6" t="str">
        <f aca="false">IFERROR(INDEX('All Song Rankings'!$B:$B,MATCH(ROW()-1,'All Song Rankings'!$S:$S,0)),"")</f>
        <v/>
      </c>
      <c r="C126" s="6" t="str">
        <f aca="false">IFERROR(INDEX('All Song Rankings'!$E:$E,MATCH(ROW()-1,'All Song Rankings'!$S:$S,0)),"")</f>
        <v/>
      </c>
      <c r="D126" s="6" t="str">
        <f aca="false">IFERROR(INDEX('All Song Rankings'!$I:$I,MATCH(ROW()-1,'All Song Rankings'!$S:$S,0)),"")</f>
        <v/>
      </c>
      <c r="E126" s="6" t="str">
        <f aca="false">IFERROR(INDEX('All Song Rankings'!$R:$R,MATCH(ROW()-1,'All Song Rankings'!$S:$S,0)),"")</f>
        <v/>
      </c>
    </row>
    <row r="127" customFormat="false" ht="15" hidden="false" customHeight="false" outlineLevel="0" collapsed="false">
      <c r="A127" s="6" t="str">
        <f aca="false">IFERROR(INDEX('All Song Rankings'!$A:$A,MATCH(ROW()-1,'All Song Rankings'!$S:$S,0)),"")</f>
        <v/>
      </c>
      <c r="B127" s="6" t="str">
        <f aca="false">IFERROR(INDEX('All Song Rankings'!$B:$B,MATCH(ROW()-1,'All Song Rankings'!$S:$S,0)),"")</f>
        <v/>
      </c>
      <c r="C127" s="6" t="str">
        <f aca="false">IFERROR(INDEX('All Song Rankings'!$E:$E,MATCH(ROW()-1,'All Song Rankings'!$S:$S,0)),"")</f>
        <v/>
      </c>
      <c r="D127" s="6" t="str">
        <f aca="false">IFERROR(INDEX('All Song Rankings'!$I:$I,MATCH(ROW()-1,'All Song Rankings'!$S:$S,0)),"")</f>
        <v/>
      </c>
      <c r="E127" s="6" t="str">
        <f aca="false">IFERROR(INDEX('All Song Rankings'!$R:$R,MATCH(ROW()-1,'All Song Rankings'!$S:$S,0)),"")</f>
        <v/>
      </c>
    </row>
    <row r="128" customFormat="false" ht="15" hidden="false" customHeight="false" outlineLevel="0" collapsed="false">
      <c r="A128" s="6" t="str">
        <f aca="false">IFERROR(INDEX('All Song Rankings'!$A:$A,MATCH(ROW()-1,'All Song Rankings'!$S:$S,0)),"")</f>
        <v/>
      </c>
      <c r="B128" s="6" t="str">
        <f aca="false">IFERROR(INDEX('All Song Rankings'!$B:$B,MATCH(ROW()-1,'All Song Rankings'!$S:$S,0)),"")</f>
        <v/>
      </c>
      <c r="C128" s="6" t="str">
        <f aca="false">IFERROR(INDEX('All Song Rankings'!$E:$E,MATCH(ROW()-1,'All Song Rankings'!$S:$S,0)),"")</f>
        <v/>
      </c>
      <c r="D128" s="6" t="str">
        <f aca="false">IFERROR(INDEX('All Song Rankings'!$I:$I,MATCH(ROW()-1,'All Song Rankings'!$S:$S,0)),"")</f>
        <v/>
      </c>
      <c r="E128" s="6" t="str">
        <f aca="false">IFERROR(INDEX('All Song Rankings'!$R:$R,MATCH(ROW()-1,'All Song Rankings'!$S:$S,0)),"")</f>
        <v/>
      </c>
    </row>
    <row r="129" customFormat="false" ht="15" hidden="false" customHeight="false" outlineLevel="0" collapsed="false">
      <c r="A129" s="6" t="str">
        <f aca="false">IFERROR(INDEX('All Song Rankings'!$A:$A,MATCH(ROW()-1,'All Song Rankings'!$S:$S,0)),"")</f>
        <v/>
      </c>
      <c r="B129" s="6" t="str">
        <f aca="false">IFERROR(INDEX('All Song Rankings'!$B:$B,MATCH(ROW()-1,'All Song Rankings'!$S:$S,0)),"")</f>
        <v/>
      </c>
      <c r="C129" s="6" t="str">
        <f aca="false">IFERROR(INDEX('All Song Rankings'!$E:$E,MATCH(ROW()-1,'All Song Rankings'!$S:$S,0)),"")</f>
        <v/>
      </c>
      <c r="D129" s="6" t="str">
        <f aca="false">IFERROR(INDEX('All Song Rankings'!$I:$I,MATCH(ROW()-1,'All Song Rankings'!$S:$S,0)),"")</f>
        <v/>
      </c>
      <c r="E129" s="6" t="str">
        <f aca="false">IFERROR(INDEX('All Song Rankings'!$R:$R,MATCH(ROW()-1,'All Song Rankings'!$S:$S,0)),"")</f>
        <v/>
      </c>
    </row>
    <row r="130" customFormat="false" ht="15" hidden="false" customHeight="false" outlineLevel="0" collapsed="false">
      <c r="A130" s="6" t="str">
        <f aca="false">IFERROR(INDEX('All Song Rankings'!$A:$A,MATCH(ROW()-1,'All Song Rankings'!$S:$S,0)),"")</f>
        <v/>
      </c>
      <c r="B130" s="6" t="str">
        <f aca="false">IFERROR(INDEX('All Song Rankings'!$B:$B,MATCH(ROW()-1,'All Song Rankings'!$S:$S,0)),"")</f>
        <v/>
      </c>
      <c r="C130" s="6" t="str">
        <f aca="false">IFERROR(INDEX('All Song Rankings'!$E:$E,MATCH(ROW()-1,'All Song Rankings'!$S:$S,0)),"")</f>
        <v/>
      </c>
      <c r="D130" s="6" t="str">
        <f aca="false">IFERROR(INDEX('All Song Rankings'!$I:$I,MATCH(ROW()-1,'All Song Rankings'!$S:$S,0)),"")</f>
        <v/>
      </c>
      <c r="E130" s="6" t="str">
        <f aca="false">IFERROR(INDEX('All Song Rankings'!$R:$R,MATCH(ROW()-1,'All Song Rankings'!$S:$S,0)),"")</f>
        <v/>
      </c>
    </row>
    <row r="131" customFormat="false" ht="15" hidden="false" customHeight="false" outlineLevel="0" collapsed="false">
      <c r="A131" s="6" t="str">
        <f aca="false">IFERROR(INDEX('All Song Rankings'!$A:$A,MATCH(ROW()-1,'All Song Rankings'!$S:$S,0)),"")</f>
        <v/>
      </c>
      <c r="B131" s="6" t="str">
        <f aca="false">IFERROR(INDEX('All Song Rankings'!$B:$B,MATCH(ROW()-1,'All Song Rankings'!$S:$S,0)),"")</f>
        <v/>
      </c>
      <c r="C131" s="6" t="str">
        <f aca="false">IFERROR(INDEX('All Song Rankings'!$E:$E,MATCH(ROW()-1,'All Song Rankings'!$S:$S,0)),"")</f>
        <v/>
      </c>
      <c r="D131" s="6" t="str">
        <f aca="false">IFERROR(INDEX('All Song Rankings'!$I:$I,MATCH(ROW()-1,'All Song Rankings'!$S:$S,0)),"")</f>
        <v/>
      </c>
      <c r="E131" s="6" t="str">
        <f aca="false">IFERROR(INDEX('All Song Rankings'!$R:$R,MATCH(ROW()-1,'All Song Rankings'!$S:$S,0)),"")</f>
        <v/>
      </c>
    </row>
    <row r="132" customFormat="false" ht="15" hidden="false" customHeight="false" outlineLevel="0" collapsed="false">
      <c r="A132" s="6" t="str">
        <f aca="false">IFERROR(INDEX('All Song Rankings'!$A:$A,MATCH(ROW()-1,'All Song Rankings'!$S:$S,0)),"")</f>
        <v/>
      </c>
      <c r="B132" s="6" t="str">
        <f aca="false">IFERROR(INDEX('All Song Rankings'!$B:$B,MATCH(ROW()-1,'All Song Rankings'!$S:$S,0)),"")</f>
        <v/>
      </c>
      <c r="C132" s="6" t="str">
        <f aca="false">IFERROR(INDEX('All Song Rankings'!$E:$E,MATCH(ROW()-1,'All Song Rankings'!$S:$S,0)),"")</f>
        <v/>
      </c>
      <c r="D132" s="6" t="str">
        <f aca="false">IFERROR(INDEX('All Song Rankings'!$I:$I,MATCH(ROW()-1,'All Song Rankings'!$S:$S,0)),"")</f>
        <v/>
      </c>
      <c r="E132" s="6" t="str">
        <f aca="false">IFERROR(INDEX('All Song Rankings'!$R:$R,MATCH(ROW()-1,'All Song Rankings'!$S:$S,0)),"")</f>
        <v/>
      </c>
    </row>
    <row r="133" customFormat="false" ht="15" hidden="false" customHeight="false" outlineLevel="0" collapsed="false">
      <c r="A133" s="6" t="str">
        <f aca="false">IFERROR(INDEX('All Song Rankings'!$A:$A,MATCH(ROW()-1,'All Song Rankings'!$S:$S,0)),"")</f>
        <v/>
      </c>
      <c r="B133" s="6" t="str">
        <f aca="false">IFERROR(INDEX('All Song Rankings'!$B:$B,MATCH(ROW()-1,'All Song Rankings'!$S:$S,0)),"")</f>
        <v/>
      </c>
      <c r="C133" s="6" t="str">
        <f aca="false">IFERROR(INDEX('All Song Rankings'!$E:$E,MATCH(ROW()-1,'All Song Rankings'!$S:$S,0)),"")</f>
        <v/>
      </c>
      <c r="D133" s="6" t="str">
        <f aca="false">IFERROR(INDEX('All Song Rankings'!$I:$I,MATCH(ROW()-1,'All Song Rankings'!$S:$S,0)),"")</f>
        <v/>
      </c>
      <c r="E133" s="6" t="str">
        <f aca="false">IFERROR(INDEX('All Song Rankings'!$R:$R,MATCH(ROW()-1,'All Song Rankings'!$S:$S,0)),"")</f>
        <v/>
      </c>
    </row>
    <row r="134" customFormat="false" ht="15" hidden="false" customHeight="false" outlineLevel="0" collapsed="false">
      <c r="A134" s="6" t="str">
        <f aca="false">IFERROR(INDEX('All Song Rankings'!$A:$A,MATCH(ROW()-1,'All Song Rankings'!$S:$S,0)),"")</f>
        <v/>
      </c>
      <c r="B134" s="6" t="str">
        <f aca="false">IFERROR(INDEX('All Song Rankings'!$B:$B,MATCH(ROW()-1,'All Song Rankings'!$S:$S,0)),"")</f>
        <v/>
      </c>
      <c r="C134" s="6" t="str">
        <f aca="false">IFERROR(INDEX('All Song Rankings'!$E:$E,MATCH(ROW()-1,'All Song Rankings'!$S:$S,0)),"")</f>
        <v/>
      </c>
      <c r="D134" s="6" t="str">
        <f aca="false">IFERROR(INDEX('All Song Rankings'!$I:$I,MATCH(ROW()-1,'All Song Rankings'!$S:$S,0)),"")</f>
        <v/>
      </c>
      <c r="E134" s="6" t="str">
        <f aca="false">IFERROR(INDEX('All Song Rankings'!$R:$R,MATCH(ROW()-1,'All Song Rankings'!$S:$S,0)),"")</f>
        <v/>
      </c>
    </row>
    <row r="135" customFormat="false" ht="15" hidden="false" customHeight="false" outlineLevel="0" collapsed="false">
      <c r="A135" s="6" t="str">
        <f aca="false">IFERROR(INDEX('All Song Rankings'!$A:$A,MATCH(ROW()-1,'All Song Rankings'!$S:$S,0)),"")</f>
        <v/>
      </c>
      <c r="B135" s="6" t="str">
        <f aca="false">IFERROR(INDEX('All Song Rankings'!$B:$B,MATCH(ROW()-1,'All Song Rankings'!$S:$S,0)),"")</f>
        <v/>
      </c>
      <c r="C135" s="6" t="str">
        <f aca="false">IFERROR(INDEX('All Song Rankings'!$E:$E,MATCH(ROW()-1,'All Song Rankings'!$S:$S,0)),"")</f>
        <v/>
      </c>
      <c r="D135" s="6" t="str">
        <f aca="false">IFERROR(INDEX('All Song Rankings'!$I:$I,MATCH(ROW()-1,'All Song Rankings'!$S:$S,0)),"")</f>
        <v/>
      </c>
      <c r="E135" s="6" t="str">
        <f aca="false">IFERROR(INDEX('All Song Rankings'!$R:$R,MATCH(ROW()-1,'All Song Rankings'!$S:$S,0)),"")</f>
        <v/>
      </c>
    </row>
    <row r="136" customFormat="false" ht="15" hidden="false" customHeight="false" outlineLevel="0" collapsed="false">
      <c r="A136" s="6" t="str">
        <f aca="false">IFERROR(INDEX('All Song Rankings'!$A:$A,MATCH(ROW()-1,'All Song Rankings'!$S:$S,0)),"")</f>
        <v/>
      </c>
      <c r="B136" s="6" t="str">
        <f aca="false">IFERROR(INDEX('All Song Rankings'!$B:$B,MATCH(ROW()-1,'All Song Rankings'!$S:$S,0)),"")</f>
        <v/>
      </c>
      <c r="C136" s="6" t="str">
        <f aca="false">IFERROR(INDEX('All Song Rankings'!$E:$E,MATCH(ROW()-1,'All Song Rankings'!$S:$S,0)),"")</f>
        <v/>
      </c>
      <c r="D136" s="6" t="str">
        <f aca="false">IFERROR(INDEX('All Song Rankings'!$I:$I,MATCH(ROW()-1,'All Song Rankings'!$S:$S,0)),"")</f>
        <v/>
      </c>
      <c r="E136" s="6" t="str">
        <f aca="false">IFERROR(INDEX('All Song Rankings'!$R:$R,MATCH(ROW()-1,'All Song Rankings'!$S:$S,0)),"")</f>
        <v/>
      </c>
    </row>
    <row r="137" customFormat="false" ht="15" hidden="false" customHeight="false" outlineLevel="0" collapsed="false">
      <c r="A137" s="6" t="str">
        <f aca="false">IFERROR(INDEX('All Song Rankings'!$A:$A,MATCH(ROW()-1,'All Song Rankings'!$S:$S,0)),"")</f>
        <v/>
      </c>
      <c r="B137" s="6" t="str">
        <f aca="false">IFERROR(INDEX('All Song Rankings'!$B:$B,MATCH(ROW()-1,'All Song Rankings'!$S:$S,0)),"")</f>
        <v/>
      </c>
      <c r="C137" s="6" t="str">
        <f aca="false">IFERROR(INDEX('All Song Rankings'!$E:$E,MATCH(ROW()-1,'All Song Rankings'!$S:$S,0)),"")</f>
        <v/>
      </c>
      <c r="D137" s="6" t="str">
        <f aca="false">IFERROR(INDEX('All Song Rankings'!$I:$I,MATCH(ROW()-1,'All Song Rankings'!$S:$S,0)),"")</f>
        <v/>
      </c>
      <c r="E137" s="6" t="str">
        <f aca="false">IFERROR(INDEX('All Song Rankings'!$R:$R,MATCH(ROW()-1,'All Song Rankings'!$S:$S,0)),"")</f>
        <v/>
      </c>
    </row>
    <row r="138" customFormat="false" ht="15" hidden="false" customHeight="false" outlineLevel="0" collapsed="false">
      <c r="A138" s="6" t="str">
        <f aca="false">IFERROR(INDEX('All Song Rankings'!$A:$A,MATCH(ROW()-1,'All Song Rankings'!$S:$S,0)),"")</f>
        <v/>
      </c>
      <c r="B138" s="6" t="str">
        <f aca="false">IFERROR(INDEX('All Song Rankings'!$B:$B,MATCH(ROW()-1,'All Song Rankings'!$S:$S,0)),"")</f>
        <v/>
      </c>
      <c r="C138" s="6" t="str">
        <f aca="false">IFERROR(INDEX('All Song Rankings'!$E:$E,MATCH(ROW()-1,'All Song Rankings'!$S:$S,0)),"")</f>
        <v/>
      </c>
      <c r="D138" s="6" t="str">
        <f aca="false">IFERROR(INDEX('All Song Rankings'!$I:$I,MATCH(ROW()-1,'All Song Rankings'!$S:$S,0)),"")</f>
        <v/>
      </c>
      <c r="E138" s="6" t="str">
        <f aca="false">IFERROR(INDEX('All Song Rankings'!$R:$R,MATCH(ROW()-1,'All Song Rankings'!$S:$S,0)),"")</f>
        <v/>
      </c>
    </row>
    <row r="139" customFormat="false" ht="15" hidden="false" customHeight="false" outlineLevel="0" collapsed="false">
      <c r="A139" s="6" t="str">
        <f aca="false">IFERROR(INDEX('All Song Rankings'!$A:$A,MATCH(ROW()-1,'All Song Rankings'!$S:$S,0)),"")</f>
        <v/>
      </c>
      <c r="B139" s="6" t="str">
        <f aca="false">IFERROR(INDEX('All Song Rankings'!$B:$B,MATCH(ROW()-1,'All Song Rankings'!$S:$S,0)),"")</f>
        <v/>
      </c>
      <c r="C139" s="6" t="str">
        <f aca="false">IFERROR(INDEX('All Song Rankings'!$E:$E,MATCH(ROW()-1,'All Song Rankings'!$S:$S,0)),"")</f>
        <v/>
      </c>
      <c r="D139" s="6" t="str">
        <f aca="false">IFERROR(INDEX('All Song Rankings'!$I:$I,MATCH(ROW()-1,'All Song Rankings'!$S:$S,0)),"")</f>
        <v/>
      </c>
      <c r="E139" s="6" t="str">
        <f aca="false">IFERROR(INDEX('All Song Rankings'!$R:$R,MATCH(ROW()-1,'All Song Rankings'!$S:$S,0)),"")</f>
        <v/>
      </c>
    </row>
    <row r="140" customFormat="false" ht="15" hidden="false" customHeight="false" outlineLevel="0" collapsed="false">
      <c r="A140" s="6" t="str">
        <f aca="false">IFERROR(INDEX('All Song Rankings'!$A:$A,MATCH(ROW()-1,'All Song Rankings'!$S:$S,0)),"")</f>
        <v/>
      </c>
      <c r="B140" s="6" t="str">
        <f aca="false">IFERROR(INDEX('All Song Rankings'!$B:$B,MATCH(ROW()-1,'All Song Rankings'!$S:$S,0)),"")</f>
        <v/>
      </c>
      <c r="C140" s="6" t="str">
        <f aca="false">IFERROR(INDEX('All Song Rankings'!$E:$E,MATCH(ROW()-1,'All Song Rankings'!$S:$S,0)),"")</f>
        <v/>
      </c>
      <c r="D140" s="6" t="str">
        <f aca="false">IFERROR(INDEX('All Song Rankings'!$I:$I,MATCH(ROW()-1,'All Song Rankings'!$S:$S,0)),"")</f>
        <v/>
      </c>
      <c r="E140" s="6" t="str">
        <f aca="false">IFERROR(INDEX('All Song Rankings'!$R:$R,MATCH(ROW()-1,'All Song Rankings'!$S:$S,0)),"")</f>
        <v/>
      </c>
    </row>
    <row r="141" customFormat="false" ht="15" hidden="false" customHeight="false" outlineLevel="0" collapsed="false">
      <c r="A141" s="6" t="str">
        <f aca="false">IFERROR(INDEX('All Song Rankings'!$A:$A,MATCH(ROW()-1,'All Song Rankings'!$S:$S,0)),"")</f>
        <v/>
      </c>
      <c r="B141" s="6" t="str">
        <f aca="false">IFERROR(INDEX('All Song Rankings'!$B:$B,MATCH(ROW()-1,'All Song Rankings'!$S:$S,0)),"")</f>
        <v/>
      </c>
      <c r="C141" s="6" t="str">
        <f aca="false">IFERROR(INDEX('All Song Rankings'!$E:$E,MATCH(ROW()-1,'All Song Rankings'!$S:$S,0)),"")</f>
        <v/>
      </c>
      <c r="D141" s="6" t="str">
        <f aca="false">IFERROR(INDEX('All Song Rankings'!$I:$I,MATCH(ROW()-1,'All Song Rankings'!$S:$S,0)),"")</f>
        <v/>
      </c>
      <c r="E141" s="6" t="str">
        <f aca="false">IFERROR(INDEX('All Song Rankings'!$R:$R,MATCH(ROW()-1,'All Song Rankings'!$S:$S,0)),"")</f>
        <v/>
      </c>
    </row>
    <row r="142" customFormat="false" ht="15" hidden="false" customHeight="false" outlineLevel="0" collapsed="false">
      <c r="A142" s="6" t="str">
        <f aca="false">IFERROR(INDEX('All Song Rankings'!$A:$A,MATCH(ROW()-1,'All Song Rankings'!$S:$S,0)),"")</f>
        <v/>
      </c>
      <c r="B142" s="6" t="str">
        <f aca="false">IFERROR(INDEX('All Song Rankings'!$B:$B,MATCH(ROW()-1,'All Song Rankings'!$S:$S,0)),"")</f>
        <v/>
      </c>
      <c r="C142" s="6" t="str">
        <f aca="false">IFERROR(INDEX('All Song Rankings'!$E:$E,MATCH(ROW()-1,'All Song Rankings'!$S:$S,0)),"")</f>
        <v/>
      </c>
      <c r="D142" s="6" t="str">
        <f aca="false">IFERROR(INDEX('All Song Rankings'!$I:$I,MATCH(ROW()-1,'All Song Rankings'!$S:$S,0)),"")</f>
        <v/>
      </c>
      <c r="E142" s="6" t="str">
        <f aca="false">IFERROR(INDEX('All Song Rankings'!$R:$R,MATCH(ROW()-1,'All Song Rankings'!$S:$S,0)),"")</f>
        <v/>
      </c>
    </row>
    <row r="143" customFormat="false" ht="15" hidden="false" customHeight="false" outlineLevel="0" collapsed="false">
      <c r="A143" s="6" t="str">
        <f aca="false">IFERROR(INDEX('All Song Rankings'!$A:$A,MATCH(ROW()-1,'All Song Rankings'!$S:$S,0)),"")</f>
        <v/>
      </c>
      <c r="B143" s="6" t="str">
        <f aca="false">IFERROR(INDEX('All Song Rankings'!$B:$B,MATCH(ROW()-1,'All Song Rankings'!$S:$S,0)),"")</f>
        <v/>
      </c>
      <c r="C143" s="6" t="str">
        <f aca="false">IFERROR(INDEX('All Song Rankings'!$E:$E,MATCH(ROW()-1,'All Song Rankings'!$S:$S,0)),"")</f>
        <v/>
      </c>
      <c r="D143" s="6" t="str">
        <f aca="false">IFERROR(INDEX('All Song Rankings'!$I:$I,MATCH(ROW()-1,'All Song Rankings'!$S:$S,0)),"")</f>
        <v/>
      </c>
      <c r="E143" s="6" t="str">
        <f aca="false">IFERROR(INDEX('All Song Rankings'!$R:$R,MATCH(ROW()-1,'All Song Rankings'!$S:$S,0)),"")</f>
        <v/>
      </c>
    </row>
    <row r="144" customFormat="false" ht="15" hidden="false" customHeight="false" outlineLevel="0" collapsed="false">
      <c r="A144" s="6" t="str">
        <f aca="false">IFERROR(INDEX('All Song Rankings'!$A:$A,MATCH(ROW()-1,'All Song Rankings'!$S:$S,0)),"")</f>
        <v/>
      </c>
      <c r="B144" s="6" t="str">
        <f aca="false">IFERROR(INDEX('All Song Rankings'!$B:$B,MATCH(ROW()-1,'All Song Rankings'!$S:$S,0)),"")</f>
        <v/>
      </c>
      <c r="C144" s="6" t="str">
        <f aca="false">IFERROR(INDEX('All Song Rankings'!$E:$E,MATCH(ROW()-1,'All Song Rankings'!$S:$S,0)),"")</f>
        <v/>
      </c>
      <c r="D144" s="6" t="str">
        <f aca="false">IFERROR(INDEX('All Song Rankings'!$I:$I,MATCH(ROW()-1,'All Song Rankings'!$S:$S,0)),"")</f>
        <v/>
      </c>
      <c r="E144" s="6" t="str">
        <f aca="false">IFERROR(INDEX('All Song Rankings'!$R:$R,MATCH(ROW()-1,'All Song Rankings'!$S:$S,0)),"")</f>
        <v/>
      </c>
    </row>
    <row r="145" customFormat="false" ht="15" hidden="false" customHeight="false" outlineLevel="0" collapsed="false">
      <c r="A145" s="6" t="str">
        <f aca="false">IFERROR(INDEX('All Song Rankings'!$A:$A,MATCH(ROW()-1,'All Song Rankings'!$S:$S,0)),"")</f>
        <v/>
      </c>
      <c r="B145" s="6" t="str">
        <f aca="false">IFERROR(INDEX('All Song Rankings'!$B:$B,MATCH(ROW()-1,'All Song Rankings'!$S:$S,0)),"")</f>
        <v/>
      </c>
      <c r="C145" s="6" t="str">
        <f aca="false">IFERROR(INDEX('All Song Rankings'!$E:$E,MATCH(ROW()-1,'All Song Rankings'!$S:$S,0)),"")</f>
        <v/>
      </c>
      <c r="D145" s="6" t="str">
        <f aca="false">IFERROR(INDEX('All Song Rankings'!$I:$I,MATCH(ROW()-1,'All Song Rankings'!$S:$S,0)),"")</f>
        <v/>
      </c>
      <c r="E145" s="6" t="str">
        <f aca="false">IFERROR(INDEX('All Song Rankings'!$R:$R,MATCH(ROW()-1,'All Song Rankings'!$S:$S,0)),"")</f>
        <v/>
      </c>
    </row>
    <row r="146" customFormat="false" ht="15" hidden="false" customHeight="false" outlineLevel="0" collapsed="false">
      <c r="A146" s="6" t="str">
        <f aca="false">IFERROR(INDEX('All Song Rankings'!$A:$A,MATCH(ROW()-1,'All Song Rankings'!$S:$S,0)),"")</f>
        <v/>
      </c>
      <c r="B146" s="6" t="str">
        <f aca="false">IFERROR(INDEX('All Song Rankings'!$B:$B,MATCH(ROW()-1,'All Song Rankings'!$S:$S,0)),"")</f>
        <v/>
      </c>
      <c r="C146" s="6" t="str">
        <f aca="false">IFERROR(INDEX('All Song Rankings'!$E:$E,MATCH(ROW()-1,'All Song Rankings'!$S:$S,0)),"")</f>
        <v/>
      </c>
      <c r="D146" s="6" t="str">
        <f aca="false">IFERROR(INDEX('All Song Rankings'!$I:$I,MATCH(ROW()-1,'All Song Rankings'!$S:$S,0)),"")</f>
        <v/>
      </c>
      <c r="E146" s="6" t="str">
        <f aca="false">IFERROR(INDEX('All Song Rankings'!$R:$R,MATCH(ROW()-1,'All Song Rankings'!$S:$S,0)),"")</f>
        <v/>
      </c>
    </row>
    <row r="147" customFormat="false" ht="15" hidden="false" customHeight="false" outlineLevel="0" collapsed="false">
      <c r="A147" s="6" t="str">
        <f aca="false">IFERROR(INDEX('All Song Rankings'!$A:$A,MATCH(ROW()-1,'All Song Rankings'!$S:$S,0)),"")</f>
        <v/>
      </c>
      <c r="B147" s="6" t="str">
        <f aca="false">IFERROR(INDEX('All Song Rankings'!$B:$B,MATCH(ROW()-1,'All Song Rankings'!$S:$S,0)),"")</f>
        <v/>
      </c>
      <c r="C147" s="6" t="str">
        <f aca="false">IFERROR(INDEX('All Song Rankings'!$E:$E,MATCH(ROW()-1,'All Song Rankings'!$S:$S,0)),"")</f>
        <v/>
      </c>
      <c r="D147" s="6" t="str">
        <f aca="false">IFERROR(INDEX('All Song Rankings'!$I:$I,MATCH(ROW()-1,'All Song Rankings'!$S:$S,0)),"")</f>
        <v/>
      </c>
      <c r="E147" s="6" t="str">
        <f aca="false">IFERROR(INDEX('All Song Rankings'!$R:$R,MATCH(ROW()-1,'All Song Rankings'!$S:$S,0)),"")</f>
        <v/>
      </c>
    </row>
    <row r="148" customFormat="false" ht="15" hidden="false" customHeight="false" outlineLevel="0" collapsed="false">
      <c r="A148" s="6" t="str">
        <f aca="false">IFERROR(INDEX('All Song Rankings'!$A:$A,MATCH(ROW()-1,'All Song Rankings'!$S:$S,0)),"")</f>
        <v/>
      </c>
      <c r="B148" s="6" t="str">
        <f aca="false">IFERROR(INDEX('All Song Rankings'!$B:$B,MATCH(ROW()-1,'All Song Rankings'!$S:$S,0)),"")</f>
        <v/>
      </c>
      <c r="C148" s="6" t="str">
        <f aca="false">IFERROR(INDEX('All Song Rankings'!$E:$E,MATCH(ROW()-1,'All Song Rankings'!$S:$S,0)),"")</f>
        <v/>
      </c>
      <c r="D148" s="6" t="str">
        <f aca="false">IFERROR(INDEX('All Song Rankings'!$I:$I,MATCH(ROW()-1,'All Song Rankings'!$S:$S,0)),"")</f>
        <v/>
      </c>
      <c r="E148" s="6" t="str">
        <f aca="false">IFERROR(INDEX('All Song Rankings'!$R:$R,MATCH(ROW()-1,'All Song Rankings'!$S:$S,0)),"")</f>
        <v/>
      </c>
    </row>
    <row r="149" customFormat="false" ht="15" hidden="false" customHeight="false" outlineLevel="0" collapsed="false">
      <c r="A149" s="6" t="str">
        <f aca="false">IFERROR(INDEX('All Song Rankings'!$A:$A,MATCH(ROW()-1,'All Song Rankings'!$S:$S,0)),"")</f>
        <v/>
      </c>
      <c r="B149" s="6" t="str">
        <f aca="false">IFERROR(INDEX('All Song Rankings'!$B:$B,MATCH(ROW()-1,'All Song Rankings'!$S:$S,0)),"")</f>
        <v/>
      </c>
      <c r="C149" s="6" t="str">
        <f aca="false">IFERROR(INDEX('All Song Rankings'!$E:$E,MATCH(ROW()-1,'All Song Rankings'!$S:$S,0)),"")</f>
        <v/>
      </c>
      <c r="D149" s="6" t="str">
        <f aca="false">IFERROR(INDEX('All Song Rankings'!$I:$I,MATCH(ROW()-1,'All Song Rankings'!$S:$S,0)),"")</f>
        <v/>
      </c>
      <c r="E149" s="6" t="str">
        <f aca="false">IFERROR(INDEX('All Song Rankings'!$R:$R,MATCH(ROW()-1,'All Song Rankings'!$S:$S,0)),"")</f>
        <v/>
      </c>
    </row>
    <row r="150" customFormat="false" ht="15" hidden="false" customHeight="false" outlineLevel="0" collapsed="false">
      <c r="A150" s="6" t="str">
        <f aca="false">IFERROR(INDEX('All Song Rankings'!$A:$A,MATCH(ROW()-1,'All Song Rankings'!$S:$S,0)),"")</f>
        <v/>
      </c>
      <c r="B150" s="6" t="str">
        <f aca="false">IFERROR(INDEX('All Song Rankings'!$B:$B,MATCH(ROW()-1,'All Song Rankings'!$S:$S,0)),"")</f>
        <v/>
      </c>
      <c r="C150" s="6" t="str">
        <f aca="false">IFERROR(INDEX('All Song Rankings'!$E:$E,MATCH(ROW()-1,'All Song Rankings'!$S:$S,0)),"")</f>
        <v/>
      </c>
      <c r="D150" s="6" t="str">
        <f aca="false">IFERROR(INDEX('All Song Rankings'!$I:$I,MATCH(ROW()-1,'All Song Rankings'!$S:$S,0)),"")</f>
        <v/>
      </c>
      <c r="E150" s="6" t="str">
        <f aca="false">IFERROR(INDEX('All Song Rankings'!$R:$R,MATCH(ROW()-1,'All Song Rankings'!$S:$S,0)),"")</f>
        <v/>
      </c>
    </row>
    <row r="151" customFormat="false" ht="15" hidden="false" customHeight="false" outlineLevel="0" collapsed="false">
      <c r="A151" s="6" t="str">
        <f aca="false">IFERROR(INDEX('All Song Rankings'!$A:$A,MATCH(ROW()-1,'All Song Rankings'!$S:$S,0)),"")</f>
        <v/>
      </c>
      <c r="B151" s="6" t="str">
        <f aca="false">IFERROR(INDEX('All Song Rankings'!$B:$B,MATCH(ROW()-1,'All Song Rankings'!$S:$S,0)),"")</f>
        <v/>
      </c>
      <c r="C151" s="6" t="str">
        <f aca="false">IFERROR(INDEX('All Song Rankings'!$E:$E,MATCH(ROW()-1,'All Song Rankings'!$S:$S,0)),"")</f>
        <v/>
      </c>
      <c r="D151" s="6" t="str">
        <f aca="false">IFERROR(INDEX('All Song Rankings'!$I:$I,MATCH(ROW()-1,'All Song Rankings'!$S:$S,0)),"")</f>
        <v/>
      </c>
      <c r="E151" s="6" t="str">
        <f aca="false">IFERROR(INDEX('All Song Rankings'!$R:$R,MATCH(ROW()-1,'All Song Rankings'!$S:$S,0)),"")</f>
        <v/>
      </c>
    </row>
    <row r="152" customFormat="false" ht="15" hidden="false" customHeight="false" outlineLevel="0" collapsed="false">
      <c r="A152" s="6" t="str">
        <f aca="false">IFERROR(INDEX('All Song Rankings'!$A:$A,MATCH(ROW()-1,'All Song Rankings'!$S:$S,0)),"")</f>
        <v/>
      </c>
      <c r="B152" s="6" t="str">
        <f aca="false">IFERROR(INDEX('All Song Rankings'!$B:$B,MATCH(ROW()-1,'All Song Rankings'!$S:$S,0)),"")</f>
        <v/>
      </c>
      <c r="C152" s="6" t="str">
        <f aca="false">IFERROR(INDEX('All Song Rankings'!$E:$E,MATCH(ROW()-1,'All Song Rankings'!$S:$S,0)),"")</f>
        <v/>
      </c>
      <c r="D152" s="6" t="str">
        <f aca="false">IFERROR(INDEX('All Song Rankings'!$I:$I,MATCH(ROW()-1,'All Song Rankings'!$S:$S,0)),"")</f>
        <v/>
      </c>
      <c r="E152" s="6" t="str">
        <f aca="false">IFERROR(INDEX('All Song Rankings'!$R:$R,MATCH(ROW()-1,'All Song Rankings'!$S:$S,0)),"")</f>
        <v/>
      </c>
    </row>
    <row r="153" customFormat="false" ht="15" hidden="false" customHeight="false" outlineLevel="0" collapsed="false">
      <c r="A153" s="6" t="str">
        <f aca="false">IFERROR(INDEX('All Song Rankings'!$A:$A,MATCH(ROW()-1,'All Song Rankings'!$S:$S,0)),"")</f>
        <v/>
      </c>
      <c r="B153" s="6" t="str">
        <f aca="false">IFERROR(INDEX('All Song Rankings'!$B:$B,MATCH(ROW()-1,'All Song Rankings'!$S:$S,0)),"")</f>
        <v/>
      </c>
      <c r="C153" s="6" t="str">
        <f aca="false">IFERROR(INDEX('All Song Rankings'!$E:$E,MATCH(ROW()-1,'All Song Rankings'!$S:$S,0)),"")</f>
        <v/>
      </c>
      <c r="D153" s="6" t="str">
        <f aca="false">IFERROR(INDEX('All Song Rankings'!$I:$I,MATCH(ROW()-1,'All Song Rankings'!$S:$S,0)),"")</f>
        <v/>
      </c>
      <c r="E153" s="6" t="str">
        <f aca="false">IFERROR(INDEX('All Song Rankings'!$R:$R,MATCH(ROW()-1,'All Song Rankings'!$S:$S,0)),"")</f>
        <v/>
      </c>
    </row>
    <row r="154" customFormat="false" ht="15" hidden="false" customHeight="false" outlineLevel="0" collapsed="false">
      <c r="A154" s="6" t="str">
        <f aca="false">IFERROR(INDEX('All Song Rankings'!$A:$A,MATCH(ROW()-1,'All Song Rankings'!$S:$S,0)),"")</f>
        <v/>
      </c>
      <c r="B154" s="6" t="str">
        <f aca="false">IFERROR(INDEX('All Song Rankings'!$B:$B,MATCH(ROW()-1,'All Song Rankings'!$S:$S,0)),"")</f>
        <v/>
      </c>
      <c r="C154" s="6" t="str">
        <f aca="false">IFERROR(INDEX('All Song Rankings'!$E:$E,MATCH(ROW()-1,'All Song Rankings'!$S:$S,0)),"")</f>
        <v/>
      </c>
      <c r="D154" s="6" t="str">
        <f aca="false">IFERROR(INDEX('All Song Rankings'!$I:$I,MATCH(ROW()-1,'All Song Rankings'!$S:$S,0)),"")</f>
        <v/>
      </c>
      <c r="E154" s="6" t="str">
        <f aca="false">IFERROR(INDEX('All Song Rankings'!$R:$R,MATCH(ROW()-1,'All Song Rankings'!$S:$S,0)),"")</f>
        <v/>
      </c>
    </row>
    <row r="155" customFormat="false" ht="15" hidden="false" customHeight="false" outlineLevel="0" collapsed="false">
      <c r="A155" s="6" t="str">
        <f aca="false">IFERROR(INDEX('All Song Rankings'!$A:$A,MATCH(ROW()-1,'All Song Rankings'!$S:$S,0)),"")</f>
        <v/>
      </c>
      <c r="B155" s="6" t="str">
        <f aca="false">IFERROR(INDEX('All Song Rankings'!$B:$B,MATCH(ROW()-1,'All Song Rankings'!$S:$S,0)),"")</f>
        <v/>
      </c>
      <c r="C155" s="6" t="str">
        <f aca="false">IFERROR(INDEX('All Song Rankings'!$E:$E,MATCH(ROW()-1,'All Song Rankings'!$S:$S,0)),"")</f>
        <v/>
      </c>
      <c r="D155" s="6" t="str">
        <f aca="false">IFERROR(INDEX('All Song Rankings'!$I:$I,MATCH(ROW()-1,'All Song Rankings'!$S:$S,0)),"")</f>
        <v/>
      </c>
      <c r="E155" s="6" t="str">
        <f aca="false">IFERROR(INDEX('All Song Rankings'!$R:$R,MATCH(ROW()-1,'All Song Rankings'!$S:$S,0)),"")</f>
        <v/>
      </c>
    </row>
    <row r="156" customFormat="false" ht="15" hidden="false" customHeight="false" outlineLevel="0" collapsed="false">
      <c r="A156" s="6" t="str">
        <f aca="false">IFERROR(INDEX('All Song Rankings'!$A:$A,MATCH(ROW()-1,'All Song Rankings'!$S:$S,0)),"")</f>
        <v/>
      </c>
      <c r="B156" s="6" t="str">
        <f aca="false">IFERROR(INDEX('All Song Rankings'!$B:$B,MATCH(ROW()-1,'All Song Rankings'!$S:$S,0)),"")</f>
        <v/>
      </c>
      <c r="C156" s="6" t="str">
        <f aca="false">IFERROR(INDEX('All Song Rankings'!$E:$E,MATCH(ROW()-1,'All Song Rankings'!$S:$S,0)),"")</f>
        <v/>
      </c>
      <c r="D156" s="6" t="str">
        <f aca="false">IFERROR(INDEX('All Song Rankings'!$I:$I,MATCH(ROW()-1,'All Song Rankings'!$S:$S,0)),"")</f>
        <v/>
      </c>
      <c r="E156" s="6" t="str">
        <f aca="false">IFERROR(INDEX('All Song Rankings'!$R:$R,MATCH(ROW()-1,'All Song Rankings'!$S:$S,0)),"")</f>
        <v/>
      </c>
    </row>
    <row r="157" customFormat="false" ht="15" hidden="false" customHeight="false" outlineLevel="0" collapsed="false">
      <c r="A157" s="6" t="str">
        <f aca="false">IFERROR(INDEX('All Song Rankings'!$A:$A,MATCH(ROW()-1,'All Song Rankings'!$S:$S,0)),"")</f>
        <v/>
      </c>
      <c r="B157" s="6" t="str">
        <f aca="false">IFERROR(INDEX('All Song Rankings'!$B:$B,MATCH(ROW()-1,'All Song Rankings'!$S:$S,0)),"")</f>
        <v/>
      </c>
      <c r="C157" s="6" t="str">
        <f aca="false">IFERROR(INDEX('All Song Rankings'!$E:$E,MATCH(ROW()-1,'All Song Rankings'!$S:$S,0)),"")</f>
        <v/>
      </c>
      <c r="D157" s="6" t="str">
        <f aca="false">IFERROR(INDEX('All Song Rankings'!$I:$I,MATCH(ROW()-1,'All Song Rankings'!$S:$S,0)),"")</f>
        <v/>
      </c>
      <c r="E157" s="6" t="str">
        <f aca="false">IFERROR(INDEX('All Song Rankings'!$R:$R,MATCH(ROW()-1,'All Song Rankings'!$S:$S,0)),"")</f>
        <v/>
      </c>
    </row>
    <row r="158" customFormat="false" ht="15" hidden="false" customHeight="false" outlineLevel="0" collapsed="false">
      <c r="A158" s="6" t="str">
        <f aca="false">IFERROR(INDEX('All Song Rankings'!$A:$A,MATCH(ROW()-1,'All Song Rankings'!$S:$S,0)),"")</f>
        <v/>
      </c>
      <c r="B158" s="6" t="str">
        <f aca="false">IFERROR(INDEX('All Song Rankings'!$B:$B,MATCH(ROW()-1,'All Song Rankings'!$S:$S,0)),"")</f>
        <v/>
      </c>
      <c r="C158" s="6" t="str">
        <f aca="false">IFERROR(INDEX('All Song Rankings'!$E:$E,MATCH(ROW()-1,'All Song Rankings'!$S:$S,0)),"")</f>
        <v/>
      </c>
      <c r="D158" s="6" t="str">
        <f aca="false">IFERROR(INDEX('All Song Rankings'!$I:$I,MATCH(ROW()-1,'All Song Rankings'!$S:$S,0)),"")</f>
        <v/>
      </c>
      <c r="E158" s="6" t="str">
        <f aca="false">IFERROR(INDEX('All Song Rankings'!$R:$R,MATCH(ROW()-1,'All Song Rankings'!$S:$S,0)),"")</f>
        <v/>
      </c>
    </row>
    <row r="159" customFormat="false" ht="15" hidden="false" customHeight="false" outlineLevel="0" collapsed="false">
      <c r="A159" s="6" t="str">
        <f aca="false">IFERROR(INDEX('All Song Rankings'!$A:$A,MATCH(ROW()-1,'All Song Rankings'!$S:$S,0)),"")</f>
        <v/>
      </c>
      <c r="B159" s="6" t="str">
        <f aca="false">IFERROR(INDEX('All Song Rankings'!$B:$B,MATCH(ROW()-1,'All Song Rankings'!$S:$S,0)),"")</f>
        <v/>
      </c>
      <c r="C159" s="6" t="str">
        <f aca="false">IFERROR(INDEX('All Song Rankings'!$E:$E,MATCH(ROW()-1,'All Song Rankings'!$S:$S,0)),"")</f>
        <v/>
      </c>
      <c r="D159" s="6" t="str">
        <f aca="false">IFERROR(INDEX('All Song Rankings'!$I:$I,MATCH(ROW()-1,'All Song Rankings'!$S:$S,0)),"")</f>
        <v/>
      </c>
      <c r="E159" s="6" t="str">
        <f aca="false">IFERROR(INDEX('All Song Rankings'!$R:$R,MATCH(ROW()-1,'All Song Rankings'!$S:$S,0)),"")</f>
        <v/>
      </c>
    </row>
    <row r="160" customFormat="false" ht="15" hidden="false" customHeight="false" outlineLevel="0" collapsed="false">
      <c r="A160" s="6" t="str">
        <f aca="false">IFERROR(INDEX('All Song Rankings'!$A:$A,MATCH(ROW()-1,'All Song Rankings'!$S:$S,0)),"")</f>
        <v/>
      </c>
      <c r="B160" s="6" t="str">
        <f aca="false">IFERROR(INDEX('All Song Rankings'!$B:$B,MATCH(ROW()-1,'All Song Rankings'!$S:$S,0)),"")</f>
        <v/>
      </c>
      <c r="C160" s="6" t="str">
        <f aca="false">IFERROR(INDEX('All Song Rankings'!$E:$E,MATCH(ROW()-1,'All Song Rankings'!$S:$S,0)),"")</f>
        <v/>
      </c>
      <c r="D160" s="6" t="str">
        <f aca="false">IFERROR(INDEX('All Song Rankings'!$I:$I,MATCH(ROW()-1,'All Song Rankings'!$S:$S,0)),"")</f>
        <v/>
      </c>
      <c r="E160" s="6" t="str">
        <f aca="false">IFERROR(INDEX('All Song Rankings'!$R:$R,MATCH(ROW()-1,'All Song Rankings'!$S:$S,0)),"")</f>
        <v/>
      </c>
    </row>
    <row r="161" customFormat="false" ht="15" hidden="false" customHeight="false" outlineLevel="0" collapsed="false">
      <c r="A161" s="6" t="str">
        <f aca="false">IFERROR(INDEX('All Song Rankings'!$A:$A,MATCH(ROW()-1,'All Song Rankings'!$S:$S,0)),"")</f>
        <v/>
      </c>
      <c r="B161" s="6" t="str">
        <f aca="false">IFERROR(INDEX('All Song Rankings'!$B:$B,MATCH(ROW()-1,'All Song Rankings'!$S:$S,0)),"")</f>
        <v/>
      </c>
      <c r="C161" s="6" t="str">
        <f aca="false">IFERROR(INDEX('All Song Rankings'!$E:$E,MATCH(ROW()-1,'All Song Rankings'!$S:$S,0)),"")</f>
        <v/>
      </c>
      <c r="D161" s="6" t="str">
        <f aca="false">IFERROR(INDEX('All Song Rankings'!$I:$I,MATCH(ROW()-1,'All Song Rankings'!$S:$S,0)),"")</f>
        <v/>
      </c>
      <c r="E161" s="6" t="str">
        <f aca="false">IFERROR(INDEX('All Song Rankings'!$R:$R,MATCH(ROW()-1,'All Song Rankings'!$S:$S,0)),"")</f>
        <v/>
      </c>
    </row>
    <row r="162" customFormat="false" ht="15" hidden="false" customHeight="false" outlineLevel="0" collapsed="false">
      <c r="A162" s="6" t="str">
        <f aca="false">IFERROR(INDEX('All Song Rankings'!$A:$A,MATCH(ROW()-1,'All Song Rankings'!$S:$S,0)),"")</f>
        <v/>
      </c>
      <c r="B162" s="6" t="str">
        <f aca="false">IFERROR(INDEX('All Song Rankings'!$B:$B,MATCH(ROW()-1,'All Song Rankings'!$S:$S,0)),"")</f>
        <v/>
      </c>
      <c r="C162" s="6" t="str">
        <f aca="false">IFERROR(INDEX('All Song Rankings'!$E:$E,MATCH(ROW()-1,'All Song Rankings'!$S:$S,0)),"")</f>
        <v/>
      </c>
      <c r="D162" s="6" t="str">
        <f aca="false">IFERROR(INDEX('All Song Rankings'!$I:$I,MATCH(ROW()-1,'All Song Rankings'!$S:$S,0)),"")</f>
        <v/>
      </c>
      <c r="E162" s="6" t="str">
        <f aca="false">IFERROR(INDEX('All Song Rankings'!$R:$R,MATCH(ROW()-1,'All Song Rankings'!$S:$S,0)),"")</f>
        <v/>
      </c>
    </row>
    <row r="163" customFormat="false" ht="15" hidden="false" customHeight="false" outlineLevel="0" collapsed="false">
      <c r="A163" s="6" t="str">
        <f aca="false">IFERROR(INDEX('All Song Rankings'!$A:$A,MATCH(ROW()-1,'All Song Rankings'!$S:$S,0)),"")</f>
        <v/>
      </c>
      <c r="B163" s="6" t="str">
        <f aca="false">IFERROR(INDEX('All Song Rankings'!$B:$B,MATCH(ROW()-1,'All Song Rankings'!$S:$S,0)),"")</f>
        <v/>
      </c>
      <c r="C163" s="6" t="str">
        <f aca="false">IFERROR(INDEX('All Song Rankings'!$E:$E,MATCH(ROW()-1,'All Song Rankings'!$S:$S,0)),"")</f>
        <v/>
      </c>
      <c r="D163" s="6" t="str">
        <f aca="false">IFERROR(INDEX('All Song Rankings'!$I:$I,MATCH(ROW()-1,'All Song Rankings'!$S:$S,0)),"")</f>
        <v/>
      </c>
      <c r="E163" s="6" t="str">
        <f aca="false">IFERROR(INDEX('All Song Rankings'!$R:$R,MATCH(ROW()-1,'All Song Rankings'!$S:$S,0)),"")</f>
        <v/>
      </c>
    </row>
    <row r="164" customFormat="false" ht="15" hidden="false" customHeight="false" outlineLevel="0" collapsed="false">
      <c r="A164" s="6" t="str">
        <f aca="false">IFERROR(INDEX('All Song Rankings'!$A:$A,MATCH(ROW()-1,'All Song Rankings'!$S:$S,0)),"")</f>
        <v/>
      </c>
      <c r="B164" s="6" t="str">
        <f aca="false">IFERROR(INDEX('All Song Rankings'!$B:$B,MATCH(ROW()-1,'All Song Rankings'!$S:$S,0)),"")</f>
        <v/>
      </c>
      <c r="C164" s="6" t="str">
        <f aca="false">IFERROR(INDEX('All Song Rankings'!$E:$E,MATCH(ROW()-1,'All Song Rankings'!$S:$S,0)),"")</f>
        <v/>
      </c>
      <c r="D164" s="6" t="str">
        <f aca="false">IFERROR(INDEX('All Song Rankings'!$I:$I,MATCH(ROW()-1,'All Song Rankings'!$S:$S,0)),"")</f>
        <v/>
      </c>
      <c r="E164" s="6" t="str">
        <f aca="false">IFERROR(INDEX('All Song Rankings'!$R:$R,MATCH(ROW()-1,'All Song Rankings'!$S:$S,0)),"")</f>
        <v/>
      </c>
    </row>
    <row r="165" customFormat="false" ht="15" hidden="false" customHeight="false" outlineLevel="0" collapsed="false">
      <c r="A165" s="6" t="str">
        <f aca="false">IFERROR(INDEX('All Song Rankings'!$A:$A,MATCH(ROW()-1,'All Song Rankings'!$S:$S,0)),"")</f>
        <v/>
      </c>
      <c r="B165" s="6" t="str">
        <f aca="false">IFERROR(INDEX('All Song Rankings'!$B:$B,MATCH(ROW()-1,'All Song Rankings'!$S:$S,0)),"")</f>
        <v/>
      </c>
      <c r="C165" s="6" t="str">
        <f aca="false">IFERROR(INDEX('All Song Rankings'!$E:$E,MATCH(ROW()-1,'All Song Rankings'!$S:$S,0)),"")</f>
        <v/>
      </c>
      <c r="D165" s="6" t="str">
        <f aca="false">IFERROR(INDEX('All Song Rankings'!$I:$I,MATCH(ROW()-1,'All Song Rankings'!$S:$S,0)),"")</f>
        <v/>
      </c>
      <c r="E165" s="6" t="str">
        <f aca="false">IFERROR(INDEX('All Song Rankings'!$R:$R,MATCH(ROW()-1,'All Song Rankings'!$S:$S,0)),"")</f>
        <v/>
      </c>
    </row>
    <row r="166" customFormat="false" ht="15" hidden="false" customHeight="false" outlineLevel="0" collapsed="false">
      <c r="A166" s="6" t="str">
        <f aca="false">IFERROR(INDEX('All Song Rankings'!$A:$A,MATCH(ROW()-1,'All Song Rankings'!$S:$S,0)),"")</f>
        <v/>
      </c>
      <c r="B166" s="6" t="str">
        <f aca="false">IFERROR(INDEX('All Song Rankings'!$B:$B,MATCH(ROW()-1,'All Song Rankings'!$S:$S,0)),"")</f>
        <v/>
      </c>
      <c r="C166" s="6" t="str">
        <f aca="false">IFERROR(INDEX('All Song Rankings'!$E:$E,MATCH(ROW()-1,'All Song Rankings'!$S:$S,0)),"")</f>
        <v/>
      </c>
      <c r="D166" s="6" t="str">
        <f aca="false">IFERROR(INDEX('All Song Rankings'!$I:$I,MATCH(ROW()-1,'All Song Rankings'!$S:$S,0)),"")</f>
        <v/>
      </c>
      <c r="E166" s="6" t="str">
        <f aca="false">IFERROR(INDEX('All Song Rankings'!$R:$R,MATCH(ROW()-1,'All Song Rankings'!$S:$S,0)),"")</f>
        <v/>
      </c>
    </row>
    <row r="167" customFormat="false" ht="15" hidden="false" customHeight="false" outlineLevel="0" collapsed="false">
      <c r="A167" s="6" t="str">
        <f aca="false">IFERROR(INDEX('All Song Rankings'!$A:$A,MATCH(ROW()-1,'All Song Rankings'!$S:$S,0)),"")</f>
        <v/>
      </c>
      <c r="B167" s="6" t="str">
        <f aca="false">IFERROR(INDEX('All Song Rankings'!$B:$B,MATCH(ROW()-1,'All Song Rankings'!$S:$S,0)),"")</f>
        <v/>
      </c>
      <c r="C167" s="6" t="str">
        <f aca="false">IFERROR(INDEX('All Song Rankings'!$E:$E,MATCH(ROW()-1,'All Song Rankings'!$S:$S,0)),"")</f>
        <v/>
      </c>
      <c r="D167" s="6" t="str">
        <f aca="false">IFERROR(INDEX('All Song Rankings'!$I:$I,MATCH(ROW()-1,'All Song Rankings'!$S:$S,0)),"")</f>
        <v/>
      </c>
      <c r="E167" s="6" t="str">
        <f aca="false">IFERROR(INDEX('All Song Rankings'!$R:$R,MATCH(ROW()-1,'All Song Rankings'!$S:$S,0)),"")</f>
        <v/>
      </c>
    </row>
    <row r="168" customFormat="false" ht="15" hidden="false" customHeight="false" outlineLevel="0" collapsed="false">
      <c r="A168" s="6" t="str">
        <f aca="false">IFERROR(INDEX('All Song Rankings'!$A:$A,MATCH(ROW()-1,'All Song Rankings'!$S:$S,0)),"")</f>
        <v/>
      </c>
      <c r="B168" s="6" t="str">
        <f aca="false">IFERROR(INDEX('All Song Rankings'!$B:$B,MATCH(ROW()-1,'All Song Rankings'!$S:$S,0)),"")</f>
        <v/>
      </c>
      <c r="C168" s="6" t="str">
        <f aca="false">IFERROR(INDEX('All Song Rankings'!$E:$E,MATCH(ROW()-1,'All Song Rankings'!$S:$S,0)),"")</f>
        <v/>
      </c>
      <c r="D168" s="6" t="str">
        <f aca="false">IFERROR(INDEX('All Song Rankings'!$I:$I,MATCH(ROW()-1,'All Song Rankings'!$S:$S,0)),"")</f>
        <v/>
      </c>
      <c r="E168" s="6" t="str">
        <f aca="false">IFERROR(INDEX('All Song Rankings'!$R:$R,MATCH(ROW()-1,'All Song Rankings'!$S:$S,0)),"")</f>
        <v/>
      </c>
    </row>
    <row r="169" customFormat="false" ht="15" hidden="false" customHeight="false" outlineLevel="0" collapsed="false">
      <c r="A169" s="6" t="str">
        <f aca="false">IFERROR(INDEX('All Song Rankings'!$A:$A,MATCH(ROW()-1,'All Song Rankings'!$S:$S,0)),"")</f>
        <v/>
      </c>
      <c r="B169" s="6" t="str">
        <f aca="false">IFERROR(INDEX('All Song Rankings'!$B:$B,MATCH(ROW()-1,'All Song Rankings'!$S:$S,0)),"")</f>
        <v/>
      </c>
      <c r="C169" s="6" t="str">
        <f aca="false">IFERROR(INDEX('All Song Rankings'!$E:$E,MATCH(ROW()-1,'All Song Rankings'!$S:$S,0)),"")</f>
        <v/>
      </c>
      <c r="D169" s="6" t="str">
        <f aca="false">IFERROR(INDEX('All Song Rankings'!$I:$I,MATCH(ROW()-1,'All Song Rankings'!$S:$S,0)),"")</f>
        <v/>
      </c>
      <c r="E169" s="6" t="str">
        <f aca="false">IFERROR(INDEX('All Song Rankings'!$R:$R,MATCH(ROW()-1,'All Song Rankings'!$S:$S,0)),"")</f>
        <v/>
      </c>
    </row>
    <row r="170" customFormat="false" ht="15" hidden="false" customHeight="false" outlineLevel="0" collapsed="false">
      <c r="A170" s="6" t="str">
        <f aca="false">IFERROR(INDEX('All Song Rankings'!$A:$A,MATCH(ROW()-1,'All Song Rankings'!$S:$S,0)),"")</f>
        <v/>
      </c>
      <c r="B170" s="6" t="str">
        <f aca="false">IFERROR(INDEX('All Song Rankings'!$B:$B,MATCH(ROW()-1,'All Song Rankings'!$S:$S,0)),"")</f>
        <v/>
      </c>
      <c r="C170" s="6" t="str">
        <f aca="false">IFERROR(INDEX('All Song Rankings'!$E:$E,MATCH(ROW()-1,'All Song Rankings'!$S:$S,0)),"")</f>
        <v/>
      </c>
      <c r="D170" s="6" t="str">
        <f aca="false">IFERROR(INDEX('All Song Rankings'!$I:$I,MATCH(ROW()-1,'All Song Rankings'!$S:$S,0)),"")</f>
        <v/>
      </c>
      <c r="E170" s="6" t="str">
        <f aca="false">IFERROR(INDEX('All Song Rankings'!$R:$R,MATCH(ROW()-1,'All Song Rankings'!$S:$S,0)),"")</f>
        <v/>
      </c>
    </row>
    <row r="171" customFormat="false" ht="15" hidden="false" customHeight="false" outlineLevel="0" collapsed="false">
      <c r="A171" s="6" t="str">
        <f aca="false">IFERROR(INDEX('All Song Rankings'!$A:$A,MATCH(ROW()-1,'All Song Rankings'!$S:$S,0)),"")</f>
        <v/>
      </c>
      <c r="B171" s="6" t="str">
        <f aca="false">IFERROR(INDEX('All Song Rankings'!$B:$B,MATCH(ROW()-1,'All Song Rankings'!$S:$S,0)),"")</f>
        <v/>
      </c>
      <c r="C171" s="6" t="str">
        <f aca="false">IFERROR(INDEX('All Song Rankings'!$E:$E,MATCH(ROW()-1,'All Song Rankings'!$S:$S,0)),"")</f>
        <v/>
      </c>
      <c r="D171" s="6" t="str">
        <f aca="false">IFERROR(INDEX('All Song Rankings'!$I:$I,MATCH(ROW()-1,'All Song Rankings'!$S:$S,0)),"")</f>
        <v/>
      </c>
      <c r="E171" s="6" t="str">
        <f aca="false">IFERROR(INDEX('All Song Rankings'!$R:$R,MATCH(ROW()-1,'All Song Rankings'!$S:$S,0)),"")</f>
        <v/>
      </c>
    </row>
    <row r="172" customFormat="false" ht="15" hidden="false" customHeight="false" outlineLevel="0" collapsed="false">
      <c r="A172" s="6" t="str">
        <f aca="false">IFERROR(INDEX('All Song Rankings'!$A:$A,MATCH(ROW()-1,'All Song Rankings'!$S:$S,0)),"")</f>
        <v/>
      </c>
      <c r="B172" s="6" t="str">
        <f aca="false">IFERROR(INDEX('All Song Rankings'!$B:$B,MATCH(ROW()-1,'All Song Rankings'!$S:$S,0)),"")</f>
        <v/>
      </c>
      <c r="C172" s="6" t="str">
        <f aca="false">IFERROR(INDEX('All Song Rankings'!$E:$E,MATCH(ROW()-1,'All Song Rankings'!$S:$S,0)),"")</f>
        <v/>
      </c>
      <c r="D172" s="6" t="str">
        <f aca="false">IFERROR(INDEX('All Song Rankings'!$I:$I,MATCH(ROW()-1,'All Song Rankings'!$S:$S,0)),"")</f>
        <v/>
      </c>
      <c r="E172" s="6" t="str">
        <f aca="false">IFERROR(INDEX('All Song Rankings'!$R:$R,MATCH(ROW()-1,'All Song Rankings'!$S:$S,0)),"")</f>
        <v/>
      </c>
    </row>
    <row r="173" customFormat="false" ht="15" hidden="false" customHeight="false" outlineLevel="0" collapsed="false">
      <c r="A173" s="6" t="str">
        <f aca="false">IFERROR(INDEX('All Song Rankings'!$A:$A,MATCH(ROW()-1,'All Song Rankings'!$S:$S,0)),"")</f>
        <v/>
      </c>
      <c r="B173" s="6" t="str">
        <f aca="false">IFERROR(INDEX('All Song Rankings'!$B:$B,MATCH(ROW()-1,'All Song Rankings'!$S:$S,0)),"")</f>
        <v/>
      </c>
      <c r="C173" s="6" t="str">
        <f aca="false">IFERROR(INDEX('All Song Rankings'!$E:$E,MATCH(ROW()-1,'All Song Rankings'!$S:$S,0)),"")</f>
        <v/>
      </c>
      <c r="D173" s="6" t="str">
        <f aca="false">IFERROR(INDEX('All Song Rankings'!$I:$I,MATCH(ROW()-1,'All Song Rankings'!$S:$S,0)),"")</f>
        <v/>
      </c>
      <c r="E173" s="6" t="str">
        <f aca="false">IFERROR(INDEX('All Song Rankings'!$R:$R,MATCH(ROW()-1,'All Song Rankings'!$S:$S,0)),"")</f>
        <v/>
      </c>
    </row>
    <row r="174" customFormat="false" ht="15" hidden="false" customHeight="false" outlineLevel="0" collapsed="false">
      <c r="A174" s="6" t="str">
        <f aca="false">IFERROR(INDEX('All Song Rankings'!$A:$A,MATCH(ROW()-1,'All Song Rankings'!$S:$S,0)),"")</f>
        <v/>
      </c>
      <c r="B174" s="6" t="str">
        <f aca="false">IFERROR(INDEX('All Song Rankings'!$B:$B,MATCH(ROW()-1,'All Song Rankings'!$S:$S,0)),"")</f>
        <v/>
      </c>
      <c r="C174" s="6" t="str">
        <f aca="false">IFERROR(INDEX('All Song Rankings'!$E:$E,MATCH(ROW()-1,'All Song Rankings'!$S:$S,0)),"")</f>
        <v/>
      </c>
      <c r="D174" s="6" t="str">
        <f aca="false">IFERROR(INDEX('All Song Rankings'!$I:$I,MATCH(ROW()-1,'All Song Rankings'!$S:$S,0)),"")</f>
        <v/>
      </c>
      <c r="E174" s="6" t="str">
        <f aca="false">IFERROR(INDEX('All Song Rankings'!$R:$R,MATCH(ROW()-1,'All Song Rankings'!$S:$S,0)),"")</f>
        <v/>
      </c>
    </row>
    <row r="175" customFormat="false" ht="15" hidden="false" customHeight="false" outlineLevel="0" collapsed="false">
      <c r="A175" s="6" t="str">
        <f aca="false">IFERROR(INDEX('All Song Rankings'!$A:$A,MATCH(ROW()-1,'All Song Rankings'!$S:$S,0)),"")</f>
        <v/>
      </c>
      <c r="B175" s="6" t="str">
        <f aca="false">IFERROR(INDEX('All Song Rankings'!$B:$B,MATCH(ROW()-1,'All Song Rankings'!$S:$S,0)),"")</f>
        <v/>
      </c>
      <c r="C175" s="6" t="str">
        <f aca="false">IFERROR(INDEX('All Song Rankings'!$E:$E,MATCH(ROW()-1,'All Song Rankings'!$S:$S,0)),"")</f>
        <v/>
      </c>
      <c r="D175" s="6" t="str">
        <f aca="false">IFERROR(INDEX('All Song Rankings'!$I:$I,MATCH(ROW()-1,'All Song Rankings'!$S:$S,0)),"")</f>
        <v/>
      </c>
      <c r="E175" s="6" t="str">
        <f aca="false">IFERROR(INDEX('All Song Rankings'!$R:$R,MATCH(ROW()-1,'All Song Rankings'!$S:$S,0)),"")</f>
        <v/>
      </c>
    </row>
    <row r="176" customFormat="false" ht="15" hidden="false" customHeight="false" outlineLevel="0" collapsed="false">
      <c r="A176" s="6" t="str">
        <f aca="false">IFERROR(INDEX('All Song Rankings'!$A:$A,MATCH(ROW()-1,'All Song Rankings'!$S:$S,0)),"")</f>
        <v/>
      </c>
      <c r="B176" s="6" t="str">
        <f aca="false">IFERROR(INDEX('All Song Rankings'!$B:$B,MATCH(ROW()-1,'All Song Rankings'!$S:$S,0)),"")</f>
        <v/>
      </c>
      <c r="C176" s="6" t="str">
        <f aca="false">IFERROR(INDEX('All Song Rankings'!$E:$E,MATCH(ROW()-1,'All Song Rankings'!$S:$S,0)),"")</f>
        <v/>
      </c>
      <c r="D176" s="6" t="str">
        <f aca="false">IFERROR(INDEX('All Song Rankings'!$I:$I,MATCH(ROW()-1,'All Song Rankings'!$S:$S,0)),"")</f>
        <v/>
      </c>
      <c r="E176" s="6" t="str">
        <f aca="false">IFERROR(INDEX('All Song Rankings'!$R:$R,MATCH(ROW()-1,'All Song Rankings'!$S:$S,0)),"")</f>
        <v/>
      </c>
    </row>
    <row r="177" customFormat="false" ht="15" hidden="false" customHeight="false" outlineLevel="0" collapsed="false">
      <c r="A177" s="6" t="str">
        <f aca="false">IFERROR(INDEX('All Song Rankings'!$A:$A,MATCH(ROW()-1,'All Song Rankings'!$S:$S,0)),"")</f>
        <v/>
      </c>
      <c r="B177" s="6" t="str">
        <f aca="false">IFERROR(INDEX('All Song Rankings'!$B:$B,MATCH(ROW()-1,'All Song Rankings'!$S:$S,0)),"")</f>
        <v/>
      </c>
      <c r="C177" s="6" t="str">
        <f aca="false">IFERROR(INDEX('All Song Rankings'!$E:$E,MATCH(ROW()-1,'All Song Rankings'!$S:$S,0)),"")</f>
        <v/>
      </c>
      <c r="D177" s="6" t="str">
        <f aca="false">IFERROR(INDEX('All Song Rankings'!$I:$I,MATCH(ROW()-1,'All Song Rankings'!$S:$S,0)),"")</f>
        <v/>
      </c>
      <c r="E177" s="6" t="str">
        <f aca="false">IFERROR(INDEX('All Song Rankings'!$R:$R,MATCH(ROW()-1,'All Song Rankings'!$S:$S,0)),"")</f>
        <v/>
      </c>
    </row>
    <row r="178" customFormat="false" ht="15" hidden="false" customHeight="false" outlineLevel="0" collapsed="false">
      <c r="A178" s="6" t="str">
        <f aca="false">IFERROR(INDEX('All Song Rankings'!$A:$A,MATCH(ROW()-1,'All Song Rankings'!$S:$S,0)),"")</f>
        <v/>
      </c>
      <c r="B178" s="6" t="str">
        <f aca="false">IFERROR(INDEX('All Song Rankings'!$B:$B,MATCH(ROW()-1,'All Song Rankings'!$S:$S,0)),"")</f>
        <v/>
      </c>
      <c r="C178" s="6" t="str">
        <f aca="false">IFERROR(INDEX('All Song Rankings'!$E:$E,MATCH(ROW()-1,'All Song Rankings'!$S:$S,0)),"")</f>
        <v/>
      </c>
      <c r="D178" s="6" t="str">
        <f aca="false">IFERROR(INDEX('All Song Rankings'!$I:$I,MATCH(ROW()-1,'All Song Rankings'!$S:$S,0)),"")</f>
        <v/>
      </c>
      <c r="E178" s="6" t="str">
        <f aca="false">IFERROR(INDEX('All Song Rankings'!$R:$R,MATCH(ROW()-1,'All Song Rankings'!$S:$S,0)),"")</f>
        <v/>
      </c>
    </row>
    <row r="179" customFormat="false" ht="15" hidden="false" customHeight="false" outlineLevel="0" collapsed="false">
      <c r="A179" s="6" t="str">
        <f aca="false">IFERROR(INDEX('All Song Rankings'!$A:$A,MATCH(ROW()-1,'All Song Rankings'!$S:$S,0)),"")</f>
        <v/>
      </c>
      <c r="B179" s="6" t="str">
        <f aca="false">IFERROR(INDEX('All Song Rankings'!$B:$B,MATCH(ROW()-1,'All Song Rankings'!$S:$S,0)),"")</f>
        <v/>
      </c>
      <c r="C179" s="6" t="str">
        <f aca="false">IFERROR(INDEX('All Song Rankings'!$E:$E,MATCH(ROW()-1,'All Song Rankings'!$S:$S,0)),"")</f>
        <v/>
      </c>
      <c r="D179" s="6" t="str">
        <f aca="false">IFERROR(INDEX('All Song Rankings'!$I:$I,MATCH(ROW()-1,'All Song Rankings'!$S:$S,0)),"")</f>
        <v/>
      </c>
      <c r="E179" s="6" t="str">
        <f aca="false">IFERROR(INDEX('All Song Rankings'!$R:$R,MATCH(ROW()-1,'All Song Rankings'!$S:$S,0)),"")</f>
        <v/>
      </c>
    </row>
    <row r="180" customFormat="false" ht="15" hidden="false" customHeight="false" outlineLevel="0" collapsed="false">
      <c r="A180" s="6" t="str">
        <f aca="false">IFERROR(INDEX('All Song Rankings'!$A:$A,MATCH(ROW()-1,'All Song Rankings'!$S:$S,0)),"")</f>
        <v/>
      </c>
      <c r="B180" s="6" t="str">
        <f aca="false">IFERROR(INDEX('All Song Rankings'!$B:$B,MATCH(ROW()-1,'All Song Rankings'!$S:$S,0)),"")</f>
        <v/>
      </c>
      <c r="C180" s="6" t="str">
        <f aca="false">IFERROR(INDEX('All Song Rankings'!$E:$E,MATCH(ROW()-1,'All Song Rankings'!$S:$S,0)),"")</f>
        <v/>
      </c>
      <c r="D180" s="6" t="str">
        <f aca="false">IFERROR(INDEX('All Song Rankings'!$I:$I,MATCH(ROW()-1,'All Song Rankings'!$S:$S,0)),"")</f>
        <v/>
      </c>
      <c r="E180" s="6" t="str">
        <f aca="false">IFERROR(INDEX('All Song Rankings'!$R:$R,MATCH(ROW()-1,'All Song Rankings'!$S:$S,0)),"")</f>
        <v/>
      </c>
    </row>
    <row r="181" customFormat="false" ht="15" hidden="false" customHeight="false" outlineLevel="0" collapsed="false">
      <c r="A181" s="6" t="str">
        <f aca="false">IFERROR(INDEX('All Song Rankings'!$A:$A,MATCH(ROW()-1,'All Song Rankings'!$S:$S,0)),"")</f>
        <v/>
      </c>
      <c r="B181" s="6" t="str">
        <f aca="false">IFERROR(INDEX('All Song Rankings'!$B:$B,MATCH(ROW()-1,'All Song Rankings'!$S:$S,0)),"")</f>
        <v/>
      </c>
      <c r="C181" s="6" t="str">
        <f aca="false">IFERROR(INDEX('All Song Rankings'!$E:$E,MATCH(ROW()-1,'All Song Rankings'!$S:$S,0)),"")</f>
        <v/>
      </c>
      <c r="D181" s="6" t="str">
        <f aca="false">IFERROR(INDEX('All Song Rankings'!$I:$I,MATCH(ROW()-1,'All Song Rankings'!$S:$S,0)),"")</f>
        <v/>
      </c>
      <c r="E181" s="6" t="str">
        <f aca="false">IFERROR(INDEX('All Song Rankings'!$R:$R,MATCH(ROW()-1,'All Song Rankings'!$S:$S,0)),"")</f>
        <v/>
      </c>
    </row>
    <row r="182" customFormat="false" ht="15" hidden="false" customHeight="false" outlineLevel="0" collapsed="false">
      <c r="A182" s="6" t="str">
        <f aca="false">IFERROR(INDEX('All Song Rankings'!$A:$A,MATCH(ROW()-1,'All Song Rankings'!$S:$S,0)),"")</f>
        <v/>
      </c>
      <c r="B182" s="6" t="str">
        <f aca="false">IFERROR(INDEX('All Song Rankings'!$B:$B,MATCH(ROW()-1,'All Song Rankings'!$S:$S,0)),"")</f>
        <v/>
      </c>
      <c r="C182" s="6" t="str">
        <f aca="false">IFERROR(INDEX('All Song Rankings'!$E:$E,MATCH(ROW()-1,'All Song Rankings'!$S:$S,0)),"")</f>
        <v/>
      </c>
      <c r="D182" s="6" t="str">
        <f aca="false">IFERROR(INDEX('All Song Rankings'!$I:$I,MATCH(ROW()-1,'All Song Rankings'!$S:$S,0)),"")</f>
        <v/>
      </c>
      <c r="E182" s="6" t="str">
        <f aca="false">IFERROR(INDEX('All Song Rankings'!$R:$R,MATCH(ROW()-1,'All Song Rankings'!$S:$S,0)),"")</f>
        <v/>
      </c>
    </row>
    <row r="183" customFormat="false" ht="15" hidden="false" customHeight="false" outlineLevel="0" collapsed="false">
      <c r="A183" s="6" t="str">
        <f aca="false">IFERROR(INDEX('All Song Rankings'!$A:$A,MATCH(ROW()-1,'All Song Rankings'!$S:$S,0)),"")</f>
        <v/>
      </c>
      <c r="B183" s="6" t="str">
        <f aca="false">IFERROR(INDEX('All Song Rankings'!$B:$B,MATCH(ROW()-1,'All Song Rankings'!$S:$S,0)),"")</f>
        <v/>
      </c>
      <c r="C183" s="6" t="str">
        <f aca="false">IFERROR(INDEX('All Song Rankings'!$E:$E,MATCH(ROW()-1,'All Song Rankings'!$S:$S,0)),"")</f>
        <v/>
      </c>
      <c r="D183" s="6" t="str">
        <f aca="false">IFERROR(INDEX('All Song Rankings'!$I:$I,MATCH(ROW()-1,'All Song Rankings'!$S:$S,0)),"")</f>
        <v/>
      </c>
      <c r="E183" s="6" t="str">
        <f aca="false">IFERROR(INDEX('All Song Rankings'!$R:$R,MATCH(ROW()-1,'All Song Rankings'!$S:$S,0)),"")</f>
        <v/>
      </c>
    </row>
    <row r="184" customFormat="false" ht="15" hidden="false" customHeight="false" outlineLevel="0" collapsed="false">
      <c r="A184" s="6" t="str">
        <f aca="false">IFERROR(INDEX('All Song Rankings'!$A:$A,MATCH(ROW()-1,'All Song Rankings'!$S:$S,0)),"")</f>
        <v/>
      </c>
      <c r="B184" s="6" t="str">
        <f aca="false">IFERROR(INDEX('All Song Rankings'!$B:$B,MATCH(ROW()-1,'All Song Rankings'!$S:$S,0)),"")</f>
        <v/>
      </c>
      <c r="C184" s="6" t="str">
        <f aca="false">IFERROR(INDEX('All Song Rankings'!$E:$E,MATCH(ROW()-1,'All Song Rankings'!$S:$S,0)),"")</f>
        <v/>
      </c>
      <c r="D184" s="6" t="str">
        <f aca="false">IFERROR(INDEX('All Song Rankings'!$I:$I,MATCH(ROW()-1,'All Song Rankings'!$S:$S,0)),"")</f>
        <v/>
      </c>
      <c r="E184" s="6" t="str">
        <f aca="false">IFERROR(INDEX('All Song Rankings'!$R:$R,MATCH(ROW()-1,'All Song Rankings'!$S:$S,0)),"")</f>
        <v/>
      </c>
    </row>
    <row r="185" customFormat="false" ht="15" hidden="false" customHeight="false" outlineLevel="0" collapsed="false">
      <c r="A185" s="6" t="str">
        <f aca="false">IFERROR(INDEX('All Song Rankings'!$A:$A,MATCH(ROW()-1,'All Song Rankings'!$S:$S,0)),"")</f>
        <v/>
      </c>
      <c r="B185" s="6" t="str">
        <f aca="false">IFERROR(INDEX('All Song Rankings'!$B:$B,MATCH(ROW()-1,'All Song Rankings'!$S:$S,0)),"")</f>
        <v/>
      </c>
      <c r="C185" s="6" t="str">
        <f aca="false">IFERROR(INDEX('All Song Rankings'!$E:$E,MATCH(ROW()-1,'All Song Rankings'!$S:$S,0)),"")</f>
        <v/>
      </c>
      <c r="D185" s="6" t="str">
        <f aca="false">IFERROR(INDEX('All Song Rankings'!$I:$I,MATCH(ROW()-1,'All Song Rankings'!$S:$S,0)),"")</f>
        <v/>
      </c>
      <c r="E185" s="6" t="str">
        <f aca="false">IFERROR(INDEX('All Song Rankings'!$R:$R,MATCH(ROW()-1,'All Song Rankings'!$S:$S,0)),"")</f>
        <v/>
      </c>
    </row>
    <row r="186" customFormat="false" ht="15" hidden="false" customHeight="false" outlineLevel="0" collapsed="false">
      <c r="A186" s="6" t="str">
        <f aca="false">IFERROR(INDEX('All Song Rankings'!$A:$A,MATCH(ROW()-1,'All Song Rankings'!$S:$S,0)),"")</f>
        <v/>
      </c>
      <c r="B186" s="6" t="str">
        <f aca="false">IFERROR(INDEX('All Song Rankings'!$B:$B,MATCH(ROW()-1,'All Song Rankings'!$S:$S,0)),"")</f>
        <v/>
      </c>
      <c r="C186" s="6" t="str">
        <f aca="false">IFERROR(INDEX('All Song Rankings'!$E:$E,MATCH(ROW()-1,'All Song Rankings'!$S:$S,0)),"")</f>
        <v/>
      </c>
      <c r="D186" s="6" t="str">
        <f aca="false">IFERROR(INDEX('All Song Rankings'!$I:$I,MATCH(ROW()-1,'All Song Rankings'!$S:$S,0)),"")</f>
        <v/>
      </c>
      <c r="E186" s="6" t="str">
        <f aca="false">IFERROR(INDEX('All Song Rankings'!$R:$R,MATCH(ROW()-1,'All Song Rankings'!$S:$S,0)),"")</f>
        <v/>
      </c>
    </row>
    <row r="187" customFormat="false" ht="15" hidden="false" customHeight="false" outlineLevel="0" collapsed="false">
      <c r="A187" s="6" t="str">
        <f aca="false">IFERROR(INDEX('All Song Rankings'!$A:$A,MATCH(ROW()-1,'All Song Rankings'!$S:$S,0)),"")</f>
        <v/>
      </c>
      <c r="B187" s="6" t="str">
        <f aca="false">IFERROR(INDEX('All Song Rankings'!$B:$B,MATCH(ROW()-1,'All Song Rankings'!$S:$S,0)),"")</f>
        <v/>
      </c>
      <c r="C187" s="6" t="str">
        <f aca="false">IFERROR(INDEX('All Song Rankings'!$E:$E,MATCH(ROW()-1,'All Song Rankings'!$S:$S,0)),"")</f>
        <v/>
      </c>
      <c r="D187" s="6" t="str">
        <f aca="false">IFERROR(INDEX('All Song Rankings'!$I:$I,MATCH(ROW()-1,'All Song Rankings'!$S:$S,0)),"")</f>
        <v/>
      </c>
      <c r="E187" s="6" t="str">
        <f aca="false">IFERROR(INDEX('All Song Rankings'!$R:$R,MATCH(ROW()-1,'All Song Rankings'!$S:$S,0)),"")</f>
        <v/>
      </c>
    </row>
    <row r="188" customFormat="false" ht="15" hidden="false" customHeight="false" outlineLevel="0" collapsed="false">
      <c r="A188" s="6" t="str">
        <f aca="false">IFERROR(INDEX('All Song Rankings'!$A:$A,MATCH(ROW()-1,'All Song Rankings'!$S:$S,0)),"")</f>
        <v/>
      </c>
      <c r="B188" s="6" t="str">
        <f aca="false">IFERROR(INDEX('All Song Rankings'!$B:$B,MATCH(ROW()-1,'All Song Rankings'!$S:$S,0)),"")</f>
        <v/>
      </c>
      <c r="C188" s="6" t="str">
        <f aca="false">IFERROR(INDEX('All Song Rankings'!$E:$E,MATCH(ROW()-1,'All Song Rankings'!$S:$S,0)),"")</f>
        <v/>
      </c>
      <c r="D188" s="6" t="str">
        <f aca="false">IFERROR(INDEX('All Song Rankings'!$I:$I,MATCH(ROW()-1,'All Song Rankings'!$S:$S,0)),"")</f>
        <v/>
      </c>
      <c r="E188" s="6" t="str">
        <f aca="false">IFERROR(INDEX('All Song Rankings'!$R:$R,MATCH(ROW()-1,'All Song Rankings'!$S:$S,0)),"")</f>
        <v/>
      </c>
    </row>
    <row r="189" customFormat="false" ht="15" hidden="false" customHeight="false" outlineLevel="0" collapsed="false">
      <c r="A189" s="6" t="str">
        <f aca="false">IFERROR(INDEX('All Song Rankings'!$A:$A,MATCH(ROW()-1,'All Song Rankings'!$S:$S,0)),"")</f>
        <v/>
      </c>
      <c r="B189" s="6" t="str">
        <f aca="false">IFERROR(INDEX('All Song Rankings'!$B:$B,MATCH(ROW()-1,'All Song Rankings'!$S:$S,0)),"")</f>
        <v/>
      </c>
      <c r="C189" s="6" t="str">
        <f aca="false">IFERROR(INDEX('All Song Rankings'!$E:$E,MATCH(ROW()-1,'All Song Rankings'!$S:$S,0)),"")</f>
        <v/>
      </c>
      <c r="D189" s="6" t="str">
        <f aca="false">IFERROR(INDEX('All Song Rankings'!$I:$I,MATCH(ROW()-1,'All Song Rankings'!$S:$S,0)),"")</f>
        <v/>
      </c>
      <c r="E189" s="6" t="str">
        <f aca="false">IFERROR(INDEX('All Song Rankings'!$R:$R,MATCH(ROW()-1,'All Song Rankings'!$S:$S,0)),"")</f>
        <v/>
      </c>
    </row>
    <row r="190" customFormat="false" ht="15" hidden="false" customHeight="false" outlineLevel="0" collapsed="false">
      <c r="A190" s="6" t="str">
        <f aca="false">IFERROR(INDEX('All Song Rankings'!$A:$A,MATCH(ROW()-1,'All Song Rankings'!$S:$S,0)),"")</f>
        <v/>
      </c>
      <c r="B190" s="6" t="str">
        <f aca="false">IFERROR(INDEX('All Song Rankings'!$B:$B,MATCH(ROW()-1,'All Song Rankings'!$S:$S,0)),"")</f>
        <v/>
      </c>
      <c r="C190" s="6" t="str">
        <f aca="false">IFERROR(INDEX('All Song Rankings'!$E:$E,MATCH(ROW()-1,'All Song Rankings'!$S:$S,0)),"")</f>
        <v/>
      </c>
      <c r="D190" s="6" t="str">
        <f aca="false">IFERROR(INDEX('All Song Rankings'!$I:$I,MATCH(ROW()-1,'All Song Rankings'!$S:$S,0)),"")</f>
        <v/>
      </c>
      <c r="E190" s="6" t="str">
        <f aca="false">IFERROR(INDEX('All Song Rankings'!$R:$R,MATCH(ROW()-1,'All Song Rankings'!$S:$S,0)),"")</f>
        <v/>
      </c>
    </row>
    <row r="191" customFormat="false" ht="15" hidden="false" customHeight="false" outlineLevel="0" collapsed="false">
      <c r="A191" s="6" t="str">
        <f aca="false">IFERROR(INDEX('All Song Rankings'!$A:$A,MATCH(ROW()-1,'All Song Rankings'!$S:$S,0)),"")</f>
        <v/>
      </c>
      <c r="B191" s="6" t="str">
        <f aca="false">IFERROR(INDEX('All Song Rankings'!$B:$B,MATCH(ROW()-1,'All Song Rankings'!$S:$S,0)),"")</f>
        <v/>
      </c>
      <c r="C191" s="6" t="str">
        <f aca="false">IFERROR(INDEX('All Song Rankings'!$E:$E,MATCH(ROW()-1,'All Song Rankings'!$S:$S,0)),"")</f>
        <v/>
      </c>
      <c r="D191" s="6" t="str">
        <f aca="false">IFERROR(INDEX('All Song Rankings'!$I:$I,MATCH(ROW()-1,'All Song Rankings'!$S:$S,0)),"")</f>
        <v/>
      </c>
      <c r="E191" s="6" t="str">
        <f aca="false">IFERROR(INDEX('All Song Rankings'!$R:$R,MATCH(ROW()-1,'All Song Rankings'!$S:$S,0)),"")</f>
        <v/>
      </c>
    </row>
    <row r="192" customFormat="false" ht="15" hidden="false" customHeight="false" outlineLevel="0" collapsed="false">
      <c r="A192" s="6" t="str">
        <f aca="false">IFERROR(INDEX('All Song Rankings'!$A:$A,MATCH(ROW()-1,'All Song Rankings'!$S:$S,0)),"")</f>
        <v/>
      </c>
      <c r="B192" s="6" t="str">
        <f aca="false">IFERROR(INDEX('All Song Rankings'!$B:$B,MATCH(ROW()-1,'All Song Rankings'!$S:$S,0)),"")</f>
        <v/>
      </c>
      <c r="C192" s="6" t="str">
        <f aca="false">IFERROR(INDEX('All Song Rankings'!$E:$E,MATCH(ROW()-1,'All Song Rankings'!$S:$S,0)),"")</f>
        <v/>
      </c>
      <c r="D192" s="6" t="str">
        <f aca="false">IFERROR(INDEX('All Song Rankings'!$I:$I,MATCH(ROW()-1,'All Song Rankings'!$S:$S,0)),"")</f>
        <v/>
      </c>
      <c r="E192" s="6" t="str">
        <f aca="false">IFERROR(INDEX('All Song Rankings'!$R:$R,MATCH(ROW()-1,'All Song Rankings'!$S:$S,0)),"")</f>
        <v/>
      </c>
    </row>
    <row r="193" customFormat="false" ht="15" hidden="false" customHeight="false" outlineLevel="0" collapsed="false">
      <c r="A193" s="6" t="str">
        <f aca="false">IFERROR(INDEX('All Song Rankings'!$A:$A,MATCH(ROW()-1,'All Song Rankings'!$S:$S,0)),"")</f>
        <v/>
      </c>
      <c r="B193" s="6" t="str">
        <f aca="false">IFERROR(INDEX('All Song Rankings'!$B:$B,MATCH(ROW()-1,'All Song Rankings'!$S:$S,0)),"")</f>
        <v/>
      </c>
      <c r="C193" s="6" t="str">
        <f aca="false">IFERROR(INDEX('All Song Rankings'!$E:$E,MATCH(ROW()-1,'All Song Rankings'!$S:$S,0)),"")</f>
        <v/>
      </c>
      <c r="D193" s="6" t="str">
        <f aca="false">IFERROR(INDEX('All Song Rankings'!$I:$I,MATCH(ROW()-1,'All Song Rankings'!$S:$S,0)),"")</f>
        <v/>
      </c>
      <c r="E193" s="6" t="str">
        <f aca="false">IFERROR(INDEX('All Song Rankings'!$R:$R,MATCH(ROW()-1,'All Song Rankings'!$S:$S,0)),"")</f>
        <v/>
      </c>
    </row>
    <row r="194" customFormat="false" ht="15" hidden="false" customHeight="false" outlineLevel="0" collapsed="false">
      <c r="A194" s="6" t="str">
        <f aca="false">IFERROR(INDEX('All Song Rankings'!$A:$A,MATCH(ROW()-1,'All Song Rankings'!$S:$S,0)),"")</f>
        <v/>
      </c>
      <c r="B194" s="6" t="str">
        <f aca="false">IFERROR(INDEX('All Song Rankings'!$B:$B,MATCH(ROW()-1,'All Song Rankings'!$S:$S,0)),"")</f>
        <v/>
      </c>
      <c r="C194" s="6" t="str">
        <f aca="false">IFERROR(INDEX('All Song Rankings'!$E:$E,MATCH(ROW()-1,'All Song Rankings'!$S:$S,0)),"")</f>
        <v/>
      </c>
      <c r="D194" s="6" t="str">
        <f aca="false">IFERROR(INDEX('All Song Rankings'!$I:$I,MATCH(ROW()-1,'All Song Rankings'!$S:$S,0)),"")</f>
        <v/>
      </c>
      <c r="E194" s="6" t="str">
        <f aca="false">IFERROR(INDEX('All Song Rankings'!$R:$R,MATCH(ROW()-1,'All Song Rankings'!$S:$S,0)),"")</f>
        <v/>
      </c>
    </row>
    <row r="195" customFormat="false" ht="15" hidden="false" customHeight="false" outlineLevel="0" collapsed="false">
      <c r="A195" s="6" t="str">
        <f aca="false">IFERROR(INDEX('All Song Rankings'!$A:$A,MATCH(ROW()-1,'All Song Rankings'!$S:$S,0)),"")</f>
        <v/>
      </c>
      <c r="B195" s="6" t="str">
        <f aca="false">IFERROR(INDEX('All Song Rankings'!$B:$B,MATCH(ROW()-1,'All Song Rankings'!$S:$S,0)),"")</f>
        <v/>
      </c>
      <c r="C195" s="6" t="str">
        <f aca="false">IFERROR(INDEX('All Song Rankings'!$E:$E,MATCH(ROW()-1,'All Song Rankings'!$S:$S,0)),"")</f>
        <v/>
      </c>
      <c r="D195" s="6" t="str">
        <f aca="false">IFERROR(INDEX('All Song Rankings'!$I:$I,MATCH(ROW()-1,'All Song Rankings'!$S:$S,0)),"")</f>
        <v/>
      </c>
      <c r="E195" s="6" t="str">
        <f aca="false">IFERROR(INDEX('All Song Rankings'!$R:$R,MATCH(ROW()-1,'All Song Rankings'!$S:$S,0)),"")</f>
        <v/>
      </c>
    </row>
    <row r="196" customFormat="false" ht="15" hidden="false" customHeight="false" outlineLevel="0" collapsed="false">
      <c r="A196" s="6" t="str">
        <f aca="false">IFERROR(INDEX('All Song Rankings'!$A:$A,MATCH(ROW()-1,'All Song Rankings'!$S:$S,0)),"")</f>
        <v/>
      </c>
      <c r="B196" s="6" t="str">
        <f aca="false">IFERROR(INDEX('All Song Rankings'!$B:$B,MATCH(ROW()-1,'All Song Rankings'!$S:$S,0)),"")</f>
        <v/>
      </c>
      <c r="C196" s="6" t="str">
        <f aca="false">IFERROR(INDEX('All Song Rankings'!$E:$E,MATCH(ROW()-1,'All Song Rankings'!$S:$S,0)),"")</f>
        <v/>
      </c>
      <c r="D196" s="6" t="str">
        <f aca="false">IFERROR(INDEX('All Song Rankings'!$I:$I,MATCH(ROW()-1,'All Song Rankings'!$S:$S,0)),"")</f>
        <v/>
      </c>
      <c r="E196" s="6" t="str">
        <f aca="false">IFERROR(INDEX('All Song Rankings'!$R:$R,MATCH(ROW()-1,'All Song Rankings'!$S:$S,0)),"")</f>
        <v/>
      </c>
    </row>
    <row r="197" customFormat="false" ht="15" hidden="false" customHeight="false" outlineLevel="0" collapsed="false">
      <c r="A197" s="6" t="str">
        <f aca="false">IFERROR(INDEX('All Song Rankings'!$A:$A,MATCH(ROW()-1,'All Song Rankings'!$S:$S,0)),"")</f>
        <v/>
      </c>
      <c r="B197" s="6" t="str">
        <f aca="false">IFERROR(INDEX('All Song Rankings'!$B:$B,MATCH(ROW()-1,'All Song Rankings'!$S:$S,0)),"")</f>
        <v/>
      </c>
      <c r="C197" s="6" t="str">
        <f aca="false">IFERROR(INDEX('All Song Rankings'!$E:$E,MATCH(ROW()-1,'All Song Rankings'!$S:$S,0)),"")</f>
        <v/>
      </c>
      <c r="D197" s="6" t="str">
        <f aca="false">IFERROR(INDEX('All Song Rankings'!$I:$I,MATCH(ROW()-1,'All Song Rankings'!$S:$S,0)),"")</f>
        <v/>
      </c>
      <c r="E197" s="6" t="str">
        <f aca="false">IFERROR(INDEX('All Song Rankings'!$R:$R,MATCH(ROW()-1,'All Song Rankings'!$S:$S,0)),"")</f>
        <v/>
      </c>
    </row>
    <row r="198" customFormat="false" ht="15" hidden="false" customHeight="false" outlineLevel="0" collapsed="false">
      <c r="A198" s="6" t="str">
        <f aca="false">IFERROR(INDEX('All Song Rankings'!$A:$A,MATCH(ROW()-1,'All Song Rankings'!$S:$S,0)),"")</f>
        <v/>
      </c>
      <c r="B198" s="6" t="str">
        <f aca="false">IFERROR(INDEX('All Song Rankings'!$B:$B,MATCH(ROW()-1,'All Song Rankings'!$S:$S,0)),"")</f>
        <v/>
      </c>
      <c r="C198" s="6" t="str">
        <f aca="false">IFERROR(INDEX('All Song Rankings'!$E:$E,MATCH(ROW()-1,'All Song Rankings'!$S:$S,0)),"")</f>
        <v/>
      </c>
      <c r="D198" s="6" t="str">
        <f aca="false">IFERROR(INDEX('All Song Rankings'!$I:$I,MATCH(ROW()-1,'All Song Rankings'!$S:$S,0)),"")</f>
        <v/>
      </c>
      <c r="E198" s="6" t="str">
        <f aca="false">IFERROR(INDEX('All Song Rankings'!$R:$R,MATCH(ROW()-1,'All Song Rankings'!$S:$S,0)),"")</f>
        <v/>
      </c>
    </row>
    <row r="199" customFormat="false" ht="15" hidden="false" customHeight="false" outlineLevel="0" collapsed="false">
      <c r="A199" s="6" t="str">
        <f aca="false">IFERROR(INDEX('All Song Rankings'!$A:$A,MATCH(ROW()-1,'All Song Rankings'!$S:$S,0)),"")</f>
        <v/>
      </c>
      <c r="B199" s="6" t="str">
        <f aca="false">IFERROR(INDEX('All Song Rankings'!$B:$B,MATCH(ROW()-1,'All Song Rankings'!$S:$S,0)),"")</f>
        <v/>
      </c>
      <c r="C199" s="6" t="str">
        <f aca="false">IFERROR(INDEX('All Song Rankings'!$E:$E,MATCH(ROW()-1,'All Song Rankings'!$S:$S,0)),"")</f>
        <v/>
      </c>
      <c r="D199" s="6" t="str">
        <f aca="false">IFERROR(INDEX('All Song Rankings'!$I:$I,MATCH(ROW()-1,'All Song Rankings'!$S:$S,0)),"")</f>
        <v/>
      </c>
      <c r="E199" s="6" t="str">
        <f aca="false">IFERROR(INDEX('All Song Rankings'!$R:$R,MATCH(ROW()-1,'All Song Rankings'!$S:$S,0)),"")</f>
        <v/>
      </c>
    </row>
    <row r="200" customFormat="false" ht="15" hidden="false" customHeight="false" outlineLevel="0" collapsed="false">
      <c r="A200" s="6" t="str">
        <f aca="false">IFERROR(INDEX('All Song Rankings'!$A:$A,MATCH(ROW()-1,'All Song Rankings'!$S:$S,0)),"")</f>
        <v/>
      </c>
      <c r="B200" s="6" t="str">
        <f aca="false">IFERROR(INDEX('All Song Rankings'!$B:$B,MATCH(ROW()-1,'All Song Rankings'!$S:$S,0)),"")</f>
        <v/>
      </c>
      <c r="C200" s="6" t="str">
        <f aca="false">IFERROR(INDEX('All Song Rankings'!$E:$E,MATCH(ROW()-1,'All Song Rankings'!$S:$S,0)),"")</f>
        <v/>
      </c>
      <c r="D200" s="6" t="str">
        <f aca="false">IFERROR(INDEX('All Song Rankings'!$I:$I,MATCH(ROW()-1,'All Song Rankings'!$S:$S,0)),"")</f>
        <v/>
      </c>
      <c r="E200" s="6" t="str">
        <f aca="false">IFERROR(INDEX('All Song Rankings'!$R:$R,MATCH(ROW()-1,'All Song Rankings'!$S:$S,0)),"")</f>
        <v/>
      </c>
    </row>
    <row r="201" customFormat="false" ht="15" hidden="false" customHeight="false" outlineLevel="0" collapsed="false">
      <c r="A201" s="6" t="str">
        <f aca="false">IFERROR(INDEX('All Song Rankings'!$A:$A,MATCH(ROW()-1,'All Song Rankings'!$S:$S,0)),"")</f>
        <v/>
      </c>
      <c r="B201" s="6" t="str">
        <f aca="false">IFERROR(INDEX('All Song Rankings'!$B:$B,MATCH(ROW()-1,'All Song Rankings'!$S:$S,0)),"")</f>
        <v/>
      </c>
      <c r="C201" s="6" t="str">
        <f aca="false">IFERROR(INDEX('All Song Rankings'!$E:$E,MATCH(ROW()-1,'All Song Rankings'!$S:$S,0)),"")</f>
        <v/>
      </c>
      <c r="D201" s="6" t="str">
        <f aca="false">IFERROR(INDEX('All Song Rankings'!$I:$I,MATCH(ROW()-1,'All Song Rankings'!$S:$S,0)),"")</f>
        <v/>
      </c>
      <c r="E201" s="6" t="str">
        <f aca="false">IFERROR(INDEX('All Song Rankings'!$R:$R,MATCH(ROW()-1,'All Song Rankings'!$S:$S,0)),"")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3" style="0" width="70"/>
    <col collapsed="false" customWidth="true" hidden="false" outlineLevel="0" max="5" min="5" style="0" width="28"/>
    <col collapsed="false" customWidth="true" hidden="false" outlineLevel="0" max="6" min="6" style="0" width="22"/>
  </cols>
  <sheetData>
    <row r="1" customFormat="false" ht="15" hidden="false" customHeight="false" outlineLevel="0" collapsed="false">
      <c r="A1" s="3" t="s">
        <v>63</v>
      </c>
      <c r="C1" s="3" t="s">
        <v>2596</v>
      </c>
      <c r="E1" s="3" t="s">
        <v>2597</v>
      </c>
      <c r="F1" s="3" t="s">
        <v>81</v>
      </c>
    </row>
    <row r="2" customFormat="false" ht="28.35" hidden="false" customHeight="false" outlineLevel="0" collapsed="false">
      <c r="A2" s="5" t="s">
        <v>415</v>
      </c>
      <c r="C2" s="4" t="s">
        <v>2598</v>
      </c>
      <c r="E2" s="5" t="s">
        <v>415</v>
      </c>
      <c r="F2" s="5" t="s">
        <v>84</v>
      </c>
    </row>
    <row r="3" customFormat="false" ht="28.35" hidden="false" customHeight="false" outlineLevel="0" collapsed="false">
      <c r="A3" s="5" t="s">
        <v>548</v>
      </c>
      <c r="C3" s="4" t="s">
        <v>2599</v>
      </c>
      <c r="E3" s="5" t="s">
        <v>718</v>
      </c>
      <c r="F3" s="5" t="s">
        <v>84</v>
      </c>
    </row>
    <row r="4" customFormat="false" ht="15" hidden="false" customHeight="false" outlineLevel="0" collapsed="false">
      <c r="A4" s="5" t="s">
        <v>1294</v>
      </c>
      <c r="E4" s="5" t="s">
        <v>548</v>
      </c>
      <c r="F4" s="5" t="s">
        <v>91</v>
      </c>
    </row>
    <row r="5" customFormat="false" ht="41.75" hidden="false" customHeight="false" outlineLevel="0" collapsed="false">
      <c r="A5" s="5" t="s">
        <v>422</v>
      </c>
      <c r="C5" s="4" t="s">
        <v>2600</v>
      </c>
      <c r="E5" s="5" t="s">
        <v>2208</v>
      </c>
      <c r="F5" s="5" t="s">
        <v>2601</v>
      </c>
    </row>
    <row r="6" customFormat="false" ht="15" hidden="false" customHeight="false" outlineLevel="0" collapsed="false">
      <c r="A6" s="5" t="s">
        <v>506</v>
      </c>
      <c r="E6" s="5" t="s">
        <v>1294</v>
      </c>
      <c r="F6" s="5" t="s">
        <v>1294</v>
      </c>
    </row>
    <row r="7" customFormat="false" ht="15" hidden="false" customHeight="false" outlineLevel="0" collapsed="false">
      <c r="A7" s="5" t="s">
        <v>171</v>
      </c>
      <c r="E7" s="5" t="s">
        <v>422</v>
      </c>
      <c r="F7" s="5" t="s">
        <v>506</v>
      </c>
    </row>
    <row r="8" customFormat="false" ht="15" hidden="false" customHeight="false" outlineLevel="0" collapsed="false">
      <c r="A8" s="5" t="s">
        <v>1884</v>
      </c>
      <c r="E8" s="5" t="s">
        <v>506</v>
      </c>
      <c r="F8" s="5" t="s">
        <v>506</v>
      </c>
    </row>
    <row r="9" customFormat="false" ht="15" hidden="false" customHeight="false" outlineLevel="0" collapsed="false">
      <c r="A9" s="5" t="s">
        <v>293</v>
      </c>
      <c r="E9" s="5" t="s">
        <v>171</v>
      </c>
      <c r="F9" s="5" t="s">
        <v>171</v>
      </c>
    </row>
    <row r="10" customFormat="false" ht="15" hidden="false" customHeight="false" outlineLevel="0" collapsed="false">
      <c r="A10" s="5" t="s">
        <v>248</v>
      </c>
      <c r="E10" s="5" t="s">
        <v>1884</v>
      </c>
      <c r="F10" s="5" t="s">
        <v>293</v>
      </c>
    </row>
    <row r="11" customFormat="false" ht="15" hidden="false" customHeight="false" outlineLevel="0" collapsed="false">
      <c r="A11" s="5" t="s">
        <v>110</v>
      </c>
      <c r="E11" s="5" t="s">
        <v>293</v>
      </c>
      <c r="F11" s="5" t="s">
        <v>293</v>
      </c>
    </row>
    <row r="12" customFormat="false" ht="15" hidden="false" customHeight="false" outlineLevel="0" collapsed="false">
      <c r="A12" s="5" t="s">
        <v>816</v>
      </c>
      <c r="E12" s="5" t="s">
        <v>115</v>
      </c>
      <c r="F12" s="5" t="s">
        <v>293</v>
      </c>
    </row>
    <row r="13" customFormat="false" ht="15" hidden="false" customHeight="false" outlineLevel="0" collapsed="false">
      <c r="A13" s="5" t="s">
        <v>127</v>
      </c>
      <c r="E13" s="5" t="s">
        <v>634</v>
      </c>
      <c r="F13" s="5" t="s">
        <v>91</v>
      </c>
    </row>
    <row r="14" customFormat="false" ht="15" hidden="false" customHeight="false" outlineLevel="0" collapsed="false">
      <c r="A14" s="5" t="s">
        <v>304</v>
      </c>
      <c r="E14" s="5" t="s">
        <v>248</v>
      </c>
      <c r="F14" s="5" t="s">
        <v>248</v>
      </c>
    </row>
    <row r="15" customFormat="false" ht="15" hidden="false" customHeight="false" outlineLevel="0" collapsed="false">
      <c r="A15" s="5" t="s">
        <v>363</v>
      </c>
      <c r="E15" s="5" t="s">
        <v>1260</v>
      </c>
      <c r="F15" s="5" t="s">
        <v>110</v>
      </c>
    </row>
    <row r="16" customFormat="false" ht="15" hidden="false" customHeight="false" outlineLevel="0" collapsed="false">
      <c r="A16" s="5" t="s">
        <v>105</v>
      </c>
      <c r="E16" s="5" t="s">
        <v>110</v>
      </c>
      <c r="F16" s="5" t="s">
        <v>110</v>
      </c>
    </row>
    <row r="17" customFormat="false" ht="15" hidden="false" customHeight="false" outlineLevel="0" collapsed="false">
      <c r="A17" s="5" t="s">
        <v>670</v>
      </c>
      <c r="E17" s="5" t="s">
        <v>816</v>
      </c>
      <c r="F17" s="5" t="s">
        <v>132</v>
      </c>
    </row>
    <row r="18" customFormat="false" ht="15" hidden="false" customHeight="false" outlineLevel="0" collapsed="false">
      <c r="A18" s="5" t="s">
        <v>84</v>
      </c>
      <c r="E18" s="5" t="s">
        <v>127</v>
      </c>
      <c r="F18" s="5" t="s">
        <v>127</v>
      </c>
    </row>
    <row r="19" customFormat="false" ht="15" hidden="false" customHeight="false" outlineLevel="0" collapsed="false">
      <c r="A19" s="5" t="s">
        <v>153</v>
      </c>
      <c r="E19" s="5" t="s">
        <v>304</v>
      </c>
      <c r="F19" s="5" t="s">
        <v>304</v>
      </c>
    </row>
    <row r="20" customFormat="false" ht="15" hidden="false" customHeight="false" outlineLevel="0" collapsed="false">
      <c r="A20" s="5" t="s">
        <v>96</v>
      </c>
      <c r="E20" s="5" t="s">
        <v>363</v>
      </c>
      <c r="F20" s="5" t="s">
        <v>363</v>
      </c>
    </row>
    <row r="21" customFormat="false" ht="15" hidden="false" customHeight="false" outlineLevel="0" collapsed="false">
      <c r="A21" s="5" t="s">
        <v>491</v>
      </c>
      <c r="E21" s="5" t="s">
        <v>105</v>
      </c>
      <c r="F21" s="5" t="s">
        <v>105</v>
      </c>
    </row>
    <row r="22" customFormat="false" ht="15" hidden="false" customHeight="false" outlineLevel="0" collapsed="false">
      <c r="A22" s="5" t="s">
        <v>91</v>
      </c>
      <c r="E22" s="5" t="s">
        <v>670</v>
      </c>
      <c r="F22" s="5" t="s">
        <v>2601</v>
      </c>
    </row>
    <row r="23" customFormat="false" ht="15" hidden="false" customHeight="false" outlineLevel="0" collapsed="false">
      <c r="A23" s="5" t="s">
        <v>132</v>
      </c>
      <c r="E23" s="5" t="s">
        <v>84</v>
      </c>
      <c r="F23" s="5" t="s">
        <v>84</v>
      </c>
    </row>
    <row r="24" customFormat="false" ht="15" hidden="false" customHeight="false" outlineLevel="0" collapsed="false">
      <c r="E24" s="5" t="s">
        <v>153</v>
      </c>
      <c r="F24" s="5" t="s">
        <v>84</v>
      </c>
    </row>
    <row r="25" customFormat="false" ht="15" hidden="false" customHeight="false" outlineLevel="0" collapsed="false">
      <c r="E25" s="5" t="s">
        <v>1495</v>
      </c>
      <c r="F25" s="5" t="s">
        <v>293</v>
      </c>
    </row>
    <row r="26" customFormat="false" ht="15" hidden="false" customHeight="false" outlineLevel="0" collapsed="false">
      <c r="E26" s="5" t="s">
        <v>96</v>
      </c>
      <c r="F26" s="5" t="s">
        <v>96</v>
      </c>
    </row>
    <row r="27" customFormat="false" ht="15" hidden="false" customHeight="false" outlineLevel="0" collapsed="false">
      <c r="E27" s="5" t="s">
        <v>491</v>
      </c>
      <c r="F27" s="5" t="s">
        <v>491</v>
      </c>
    </row>
    <row r="28" customFormat="false" ht="15" hidden="false" customHeight="false" outlineLevel="0" collapsed="false">
      <c r="E28" s="5" t="s">
        <v>91</v>
      </c>
      <c r="F28" s="5" t="s">
        <v>91</v>
      </c>
    </row>
    <row r="29" customFormat="false" ht="15" hidden="false" customHeight="false" outlineLevel="0" collapsed="false">
      <c r="E29" s="5" t="s">
        <v>132</v>
      </c>
      <c r="F29" s="5" t="s">
        <v>132</v>
      </c>
    </row>
    <row r="30" customFormat="false" ht="15" hidden="false" customHeight="false" outlineLevel="0" collapsed="false">
      <c r="E30" s="5" t="s">
        <v>429</v>
      </c>
      <c r="F30" s="5" t="s">
        <v>2601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9.18"/>
    <col collapsed="false" customWidth="true" hidden="false" outlineLevel="0" max="2" min="2" style="0" width="17.82"/>
    <col collapsed="false" customWidth="true" hidden="false" outlineLevel="0" max="3" min="3" style="0" width="12.73"/>
    <col collapsed="false" customWidth="true" hidden="false" outlineLevel="0" max="4" min="4" style="0" width="10.82"/>
  </cols>
  <sheetData>
    <row r="1" customFormat="false" ht="15" hidden="false" customHeight="false" outlineLevel="0" collapsed="false">
      <c r="A1" s="3" t="s">
        <v>62</v>
      </c>
      <c r="B1" s="3" t="s">
        <v>2602</v>
      </c>
      <c r="C1" s="3" t="s">
        <v>2603</v>
      </c>
      <c r="D1" s="3" t="s">
        <v>2604</v>
      </c>
    </row>
    <row r="2" customFormat="false" ht="15" hidden="false" customHeight="false" outlineLevel="0" collapsed="false">
      <c r="A2" s="5" t="s">
        <v>100</v>
      </c>
      <c r="B2" s="5" t="s">
        <v>2605</v>
      </c>
      <c r="C2" s="5" t="s">
        <v>2606</v>
      </c>
      <c r="D2" s="11" t="n">
        <v>46202</v>
      </c>
    </row>
    <row r="3" customFormat="false" ht="15" hidden="false" customHeight="false" outlineLevel="0" collapsed="false">
      <c r="A3" s="5" t="s">
        <v>778</v>
      </c>
      <c r="B3" s="5" t="s">
        <v>2607</v>
      </c>
      <c r="C3" s="5" t="s">
        <v>2606</v>
      </c>
      <c r="D3" s="11" t="n">
        <v>46239</v>
      </c>
    </row>
    <row r="4" customFormat="false" ht="15" hidden="false" customHeight="false" outlineLevel="0" collapsed="false">
      <c r="A4" s="5" t="s">
        <v>622</v>
      </c>
      <c r="B4" s="5" t="s">
        <v>2608</v>
      </c>
      <c r="C4" s="5" t="s">
        <v>2606</v>
      </c>
      <c r="D4" s="11" t="n">
        <v>46268</v>
      </c>
    </row>
    <row r="5" customFormat="false" ht="15" hidden="false" customHeight="false" outlineLevel="0" collapsed="false">
      <c r="A5" s="5" t="s">
        <v>1316</v>
      </c>
      <c r="B5" s="5" t="s">
        <v>2609</v>
      </c>
      <c r="C5" s="5" t="s">
        <v>2606</v>
      </c>
      <c r="D5" s="11" t="n">
        <v>46247</v>
      </c>
    </row>
    <row r="6" customFormat="false" ht="15" hidden="false" customHeight="false" outlineLevel="0" collapsed="false">
      <c r="A6" s="5" t="s">
        <v>223</v>
      </c>
      <c r="B6" s="5" t="s">
        <v>2610</v>
      </c>
      <c r="C6" s="5" t="s">
        <v>2606</v>
      </c>
      <c r="D6" s="11" t="n">
        <v>46253</v>
      </c>
    </row>
    <row r="7" customFormat="false" ht="15" hidden="false" customHeight="false" outlineLevel="0" collapsed="false">
      <c r="A7" s="5" t="s">
        <v>201</v>
      </c>
      <c r="B7" s="5" t="s">
        <v>2611</v>
      </c>
      <c r="C7" s="5" t="s">
        <v>2606</v>
      </c>
      <c r="D7" s="11" t="n">
        <v>46202</v>
      </c>
    </row>
    <row r="8" customFormat="false" ht="15" hidden="false" customHeight="false" outlineLevel="0" collapsed="false">
      <c r="A8" s="5" t="s">
        <v>259</v>
      </c>
      <c r="B8" s="5" t="s">
        <v>2612</v>
      </c>
      <c r="C8" s="5" t="s">
        <v>2606</v>
      </c>
      <c r="D8" s="11" t="n">
        <v>46202</v>
      </c>
    </row>
    <row r="9" customFormat="false" ht="15" hidden="false" customHeight="false" outlineLevel="0" collapsed="false">
      <c r="A9" s="5" t="s">
        <v>858</v>
      </c>
      <c r="B9" s="5" t="s">
        <v>2613</v>
      </c>
      <c r="C9" s="5" t="s">
        <v>2606</v>
      </c>
      <c r="D9" s="11" t="n">
        <v>46202</v>
      </c>
    </row>
    <row r="10" customFormat="false" ht="15" hidden="false" customHeight="false" outlineLevel="0" collapsed="false">
      <c r="A10" s="5" t="s">
        <v>83</v>
      </c>
      <c r="B10" s="5" t="s">
        <v>2614</v>
      </c>
      <c r="C10" s="5" t="s">
        <v>2606</v>
      </c>
      <c r="D10" s="11" t="n">
        <v>46202</v>
      </c>
    </row>
    <row r="11" customFormat="false" ht="15" hidden="false" customHeight="false" outlineLevel="0" collapsed="false">
      <c r="A11" s="5" t="s">
        <v>432</v>
      </c>
      <c r="B11" s="5" t="s">
        <v>2615</v>
      </c>
      <c r="C11" s="5" t="s">
        <v>2606</v>
      </c>
      <c r="D11" s="11" t="n">
        <v>46268</v>
      </c>
    </row>
    <row r="12" customFormat="false" ht="15" hidden="false" customHeight="false" outlineLevel="0" collapsed="false">
      <c r="A12" s="5" t="s">
        <v>520</v>
      </c>
      <c r="B12" s="5" t="s">
        <v>2616</v>
      </c>
      <c r="C12" s="5" t="s">
        <v>2606</v>
      </c>
      <c r="D12" s="11" t="n">
        <v>46268</v>
      </c>
    </row>
    <row r="13" customFormat="false" ht="15" hidden="false" customHeight="false" outlineLevel="0" collapsed="false">
      <c r="A13" s="5" t="s">
        <v>159</v>
      </c>
      <c r="B13" s="5" t="s">
        <v>2617</v>
      </c>
      <c r="C13" s="5" t="s">
        <v>2606</v>
      </c>
      <c r="D13" s="11" t="n">
        <v>46247</v>
      </c>
    </row>
    <row r="14" customFormat="false" ht="15" hidden="false" customHeight="false" outlineLevel="0" collapsed="false">
      <c r="A14" s="5" t="s">
        <v>95</v>
      </c>
      <c r="B14" s="5" t="s">
        <v>2618</v>
      </c>
      <c r="C14" s="5" t="s">
        <v>2606</v>
      </c>
      <c r="D14" s="11" t="n">
        <v>46202</v>
      </c>
    </row>
    <row r="15" customFormat="false" ht="15" hidden="false" customHeight="false" outlineLevel="0" collapsed="false">
      <c r="A15" s="5" t="s">
        <v>870</v>
      </c>
      <c r="B15" s="5" t="s">
        <v>2619</v>
      </c>
      <c r="C15" s="5" t="s">
        <v>2606</v>
      </c>
      <c r="D15" s="11" t="n">
        <v>46247</v>
      </c>
    </row>
    <row r="16" customFormat="false" ht="15" hidden="false" customHeight="false" outlineLevel="0" collapsed="false">
      <c r="A16" s="5" t="s">
        <v>152</v>
      </c>
      <c r="B16" s="5" t="s">
        <v>2620</v>
      </c>
      <c r="C16" s="5" t="s">
        <v>2606</v>
      </c>
      <c r="D16" s="11" t="n">
        <v>46202</v>
      </c>
    </row>
    <row r="17" customFormat="false" ht="15" hidden="false" customHeight="false" outlineLevel="0" collapsed="false">
      <c r="A17" s="5" t="s">
        <v>104</v>
      </c>
      <c r="B17" s="5" t="s">
        <v>2621</v>
      </c>
      <c r="C17" s="5" t="s">
        <v>2606</v>
      </c>
      <c r="D17" s="11" t="n">
        <v>46202</v>
      </c>
    </row>
    <row r="18" customFormat="false" ht="15" hidden="false" customHeight="false" outlineLevel="0" collapsed="false">
      <c r="A18" s="5" t="s">
        <v>471</v>
      </c>
      <c r="B18" s="5" t="s">
        <v>2622</v>
      </c>
      <c r="C18" s="5" t="s">
        <v>2606</v>
      </c>
      <c r="D18" s="11" t="n">
        <v>46202</v>
      </c>
    </row>
    <row r="19" customFormat="false" ht="15" hidden="false" customHeight="false" outlineLevel="0" collapsed="false">
      <c r="A19" s="5" t="s">
        <v>189</v>
      </c>
      <c r="B19" s="5" t="s">
        <v>2623</v>
      </c>
      <c r="C19" s="5" t="s">
        <v>2606</v>
      </c>
      <c r="D19" s="11" t="n">
        <v>46231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5.27"/>
    <col collapsed="false" customWidth="true" hidden="false" outlineLevel="0" max="3" min="3" style="0" width="24.18"/>
    <col collapsed="false" customWidth="true" hidden="false" outlineLevel="0" max="4" min="4" style="0" width="13.82"/>
    <col collapsed="false" customWidth="true" hidden="false" outlineLevel="0" max="6" min="6" style="0" width="26.27"/>
  </cols>
  <sheetData>
    <row r="1" customFormat="false" ht="15" hidden="false" customHeight="false" outlineLevel="0" collapsed="false">
      <c r="A1" s="3" t="s">
        <v>61</v>
      </c>
      <c r="B1" s="3" t="s">
        <v>62</v>
      </c>
      <c r="C1" s="3" t="s">
        <v>2624</v>
      </c>
      <c r="D1" s="3" t="s">
        <v>2625</v>
      </c>
      <c r="E1" s="3" t="s">
        <v>2604</v>
      </c>
      <c r="F1" s="3" t="s">
        <v>2593</v>
      </c>
    </row>
    <row r="2" customFormat="false" ht="15" hidden="false" customHeight="false" outlineLevel="0" collapsed="false">
      <c r="A2" s="5" t="s">
        <v>2626</v>
      </c>
      <c r="B2" s="5" t="s">
        <v>175</v>
      </c>
      <c r="C2" s="5" t="s">
        <v>2627</v>
      </c>
      <c r="D2" s="5" t="s">
        <v>2628</v>
      </c>
      <c r="E2" s="11" t="n">
        <v>46202</v>
      </c>
    </row>
    <row r="3" customFormat="false" ht="15" hidden="false" customHeight="false" outlineLevel="0" collapsed="false">
      <c r="A3" s="5" t="s">
        <v>699</v>
      </c>
      <c r="B3" s="5" t="s">
        <v>104</v>
      </c>
      <c r="C3" s="5" t="s">
        <v>2629</v>
      </c>
      <c r="D3" s="5" t="s">
        <v>2606</v>
      </c>
      <c r="E3" s="11" t="n">
        <v>46202</v>
      </c>
      <c r="F3" s="5" t="s">
        <v>2630</v>
      </c>
    </row>
    <row r="4" customFormat="false" ht="15" hidden="false" customHeight="false" outlineLevel="0" collapsed="false">
      <c r="A4" s="5" t="s">
        <v>950</v>
      </c>
      <c r="B4" s="5" t="s">
        <v>951</v>
      </c>
      <c r="C4" s="5" t="s">
        <v>2631</v>
      </c>
      <c r="D4" s="5" t="s">
        <v>2628</v>
      </c>
      <c r="E4" s="11" t="n">
        <v>46202</v>
      </c>
    </row>
    <row r="5" customFormat="false" ht="15" hidden="false" customHeight="false" outlineLevel="0" collapsed="false">
      <c r="A5" s="5" t="s">
        <v>288</v>
      </c>
      <c r="B5" s="5" t="s">
        <v>152</v>
      </c>
      <c r="C5" s="5" t="s">
        <v>2632</v>
      </c>
      <c r="D5" s="5" t="s">
        <v>2606</v>
      </c>
      <c r="E5" s="11" t="n">
        <v>46202</v>
      </c>
      <c r="F5" s="5" t="s">
        <v>2630</v>
      </c>
    </row>
    <row r="6" customFormat="false" ht="15" hidden="false" customHeight="false" outlineLevel="0" collapsed="false">
      <c r="A6" s="5" t="s">
        <v>94</v>
      </c>
      <c r="B6" s="5" t="s">
        <v>95</v>
      </c>
      <c r="C6" s="5" t="s">
        <v>2633</v>
      </c>
      <c r="D6" s="5" t="s">
        <v>2606</v>
      </c>
      <c r="E6" s="11" t="n">
        <v>46202</v>
      </c>
      <c r="F6" s="5" t="s">
        <v>2630</v>
      </c>
    </row>
    <row r="7" customFormat="false" ht="15" hidden="false" customHeight="false" outlineLevel="0" collapsed="false">
      <c r="A7" s="5" t="s">
        <v>334</v>
      </c>
      <c r="B7" s="5" t="s">
        <v>335</v>
      </c>
      <c r="C7" s="5" t="s">
        <v>2634</v>
      </c>
      <c r="D7" s="5" t="s">
        <v>2628</v>
      </c>
      <c r="E7" s="11" t="n">
        <v>46202</v>
      </c>
    </row>
    <row r="8" customFormat="false" ht="15" hidden="false" customHeight="false" outlineLevel="0" collapsed="false">
      <c r="A8" s="5" t="s">
        <v>540</v>
      </c>
      <c r="B8" s="5" t="s">
        <v>189</v>
      </c>
      <c r="C8" s="5" t="s">
        <v>2635</v>
      </c>
      <c r="D8" s="5" t="s">
        <v>2628</v>
      </c>
      <c r="E8" s="11" t="n">
        <v>46202</v>
      </c>
    </row>
    <row r="9" customFormat="false" ht="15" hidden="false" customHeight="false" outlineLevel="0" collapsed="false">
      <c r="A9" s="5" t="s">
        <v>384</v>
      </c>
      <c r="B9" s="5" t="s">
        <v>385</v>
      </c>
      <c r="C9" s="5" t="s">
        <v>2636</v>
      </c>
      <c r="D9" s="5" t="s">
        <v>2628</v>
      </c>
      <c r="E9" s="11" t="n">
        <v>46202</v>
      </c>
    </row>
    <row r="10" customFormat="false" ht="15" hidden="false" customHeight="false" outlineLevel="0" collapsed="false">
      <c r="A10" s="5" t="s">
        <v>2637</v>
      </c>
      <c r="B10" s="5" t="s">
        <v>595</v>
      </c>
      <c r="C10" s="5" t="s">
        <v>2638</v>
      </c>
      <c r="D10" s="5" t="s">
        <v>2628</v>
      </c>
      <c r="E10" s="11" t="n">
        <v>46202</v>
      </c>
    </row>
    <row r="11" customFormat="false" ht="15" hidden="false" customHeight="false" outlineLevel="0" collapsed="false">
      <c r="A11" s="5" t="s">
        <v>185</v>
      </c>
      <c r="B11" s="5" t="s">
        <v>186</v>
      </c>
      <c r="C11" s="5" t="s">
        <v>2639</v>
      </c>
      <c r="D11" s="5" t="s">
        <v>2628</v>
      </c>
      <c r="E11" s="11" t="n">
        <v>46202</v>
      </c>
    </row>
    <row r="12" customFormat="false" ht="15" hidden="false" customHeight="false" outlineLevel="0" collapsed="false">
      <c r="A12" s="5" t="s">
        <v>1670</v>
      </c>
      <c r="B12" s="5" t="s">
        <v>614</v>
      </c>
      <c r="C12" s="5" t="s">
        <v>2640</v>
      </c>
      <c r="D12" s="5" t="s">
        <v>2628</v>
      </c>
      <c r="E12" s="11" t="n">
        <v>46202</v>
      </c>
      <c r="F12" s="5" t="s">
        <v>2641</v>
      </c>
    </row>
    <row r="13" customFormat="false" ht="15" hidden="false" customHeight="false" outlineLevel="0" collapsed="false">
      <c r="A13" s="5" t="s">
        <v>373</v>
      </c>
      <c r="B13" s="5" t="s">
        <v>374</v>
      </c>
      <c r="C13" s="5" t="s">
        <v>2642</v>
      </c>
      <c r="D13" s="5" t="s">
        <v>2628</v>
      </c>
      <c r="E13" s="11" t="n">
        <v>46224</v>
      </c>
    </row>
    <row r="14" customFormat="false" ht="15" hidden="false" customHeight="false" outlineLevel="0" collapsed="false">
      <c r="A14" s="5" t="s">
        <v>1430</v>
      </c>
      <c r="B14" s="5" t="s">
        <v>1431</v>
      </c>
      <c r="C14" s="5" t="s">
        <v>2643</v>
      </c>
      <c r="D14" s="5" t="s">
        <v>2628</v>
      </c>
      <c r="E14" s="11" t="n">
        <v>46224</v>
      </c>
    </row>
    <row r="15" customFormat="false" ht="15" hidden="false" customHeight="false" outlineLevel="0" collapsed="false">
      <c r="A15" s="5" t="s">
        <v>1069</v>
      </c>
      <c r="B15" s="5" t="s">
        <v>1070</v>
      </c>
      <c r="C15" s="5" t="s">
        <v>2644</v>
      </c>
      <c r="D15" s="5" t="s">
        <v>2628</v>
      </c>
      <c r="E15" s="11" t="n">
        <v>46224</v>
      </c>
    </row>
    <row r="16" customFormat="false" ht="15" hidden="false" customHeight="false" outlineLevel="0" collapsed="false">
      <c r="A16" s="5" t="s">
        <v>89</v>
      </c>
      <c r="B16" s="5" t="s">
        <v>90</v>
      </c>
      <c r="C16" s="5" t="s">
        <v>2645</v>
      </c>
      <c r="D16" s="5" t="s">
        <v>2628</v>
      </c>
      <c r="E16" s="11" t="n">
        <v>46224</v>
      </c>
    </row>
    <row r="17" customFormat="false" ht="15" hidden="false" customHeight="false" outlineLevel="0" collapsed="false">
      <c r="A17" s="5" t="s">
        <v>1304</v>
      </c>
      <c r="B17" s="5" t="s">
        <v>870</v>
      </c>
      <c r="C17" s="5" t="s">
        <v>2646</v>
      </c>
      <c r="D17" s="5" t="s">
        <v>2628</v>
      </c>
      <c r="E17" s="11" t="n">
        <v>46224</v>
      </c>
    </row>
    <row r="18" customFormat="false" ht="15" hidden="false" customHeight="false" outlineLevel="0" collapsed="false">
      <c r="A18" s="5" t="s">
        <v>1465</v>
      </c>
      <c r="B18" s="5" t="s">
        <v>1310</v>
      </c>
      <c r="C18" s="5" t="s">
        <v>2647</v>
      </c>
      <c r="D18" s="5" t="s">
        <v>2628</v>
      </c>
      <c r="E18" s="11" t="n">
        <v>46224</v>
      </c>
    </row>
    <row r="19" customFormat="false" ht="15" hidden="false" customHeight="false" outlineLevel="0" collapsed="false">
      <c r="A19" s="5" t="s">
        <v>1166</v>
      </c>
      <c r="B19" s="5" t="s">
        <v>1167</v>
      </c>
      <c r="C19" s="5" t="s">
        <v>2648</v>
      </c>
      <c r="D19" s="5" t="s">
        <v>2628</v>
      </c>
      <c r="E19" s="11" t="n">
        <v>46239</v>
      </c>
    </row>
    <row r="20" customFormat="false" ht="15" hidden="false" customHeight="false" outlineLevel="0" collapsed="false">
      <c r="A20" s="5" t="s">
        <v>2269</v>
      </c>
      <c r="B20" s="5" t="s">
        <v>535</v>
      </c>
      <c r="C20" s="5" t="s">
        <v>2649</v>
      </c>
      <c r="D20" s="5" t="s">
        <v>2628</v>
      </c>
      <c r="E20" s="11" t="n">
        <v>46289</v>
      </c>
    </row>
    <row r="21" customFormat="false" ht="15" hidden="false" customHeight="false" outlineLevel="0" collapsed="false">
      <c r="A21" s="5" t="s">
        <v>155</v>
      </c>
      <c r="B21" s="5" t="s">
        <v>2650</v>
      </c>
      <c r="C21" s="5" t="s">
        <v>2651</v>
      </c>
      <c r="D21" s="5" t="s">
        <v>2628</v>
      </c>
      <c r="E21" s="11" t="n">
        <v>46289</v>
      </c>
    </row>
    <row r="22" customFormat="false" ht="15" hidden="false" customHeight="false" outlineLevel="0" collapsed="false">
      <c r="A22" s="5" t="s">
        <v>1315</v>
      </c>
      <c r="B22" s="5" t="s">
        <v>1316</v>
      </c>
      <c r="C22" s="5" t="s">
        <v>2652</v>
      </c>
      <c r="D22" s="5" t="s">
        <v>2606</v>
      </c>
      <c r="E22" s="11" t="n">
        <v>46289</v>
      </c>
      <c r="F22" s="5" t="s">
        <v>2630</v>
      </c>
    </row>
    <row r="23" customFormat="false" ht="15" hidden="false" customHeight="false" outlineLevel="0" collapsed="false">
      <c r="A23" s="5" t="s">
        <v>1567</v>
      </c>
      <c r="B23" s="5" t="s">
        <v>1568</v>
      </c>
      <c r="C23" s="5" t="s">
        <v>2653</v>
      </c>
      <c r="D23" s="5" t="s">
        <v>2628</v>
      </c>
      <c r="E23" s="11" t="n">
        <v>46289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45"/>
    <col collapsed="false" customWidth="true" hidden="false" outlineLevel="0" max="2" min="2" style="0" width="19.18"/>
  </cols>
  <sheetData>
    <row r="1" customFormat="false" ht="15" hidden="false" customHeight="false" outlineLevel="0" collapsed="false">
      <c r="A1" s="3" t="s">
        <v>2654</v>
      </c>
      <c r="B1" s="3" t="s">
        <v>2655</v>
      </c>
    </row>
    <row r="2" customFormat="false" ht="15" hidden="false" customHeight="false" outlineLevel="0" collapsed="false">
      <c r="A2" s="5" t="s">
        <v>2656</v>
      </c>
      <c r="B2" s="5" t="s">
        <v>471</v>
      </c>
    </row>
    <row r="3" customFormat="false" ht="15" hidden="false" customHeight="false" outlineLevel="0" collapsed="false">
      <c r="A3" s="5" t="s">
        <v>2657</v>
      </c>
      <c r="B3" s="5" t="s">
        <v>471</v>
      </c>
    </row>
    <row r="4" customFormat="false" ht="15" hidden="false" customHeight="false" outlineLevel="0" collapsed="false">
      <c r="A4" s="5" t="s">
        <v>2658</v>
      </c>
      <c r="B4" s="5" t="s">
        <v>100</v>
      </c>
    </row>
    <row r="5" customFormat="false" ht="15" hidden="false" customHeight="false" outlineLevel="0" collapsed="false">
      <c r="A5" s="5" t="s">
        <v>2659</v>
      </c>
      <c r="B5" s="5" t="s">
        <v>83</v>
      </c>
    </row>
    <row r="6" customFormat="false" ht="15" hidden="false" customHeight="false" outlineLevel="0" collapsed="false">
      <c r="A6" s="5" t="s">
        <v>2660</v>
      </c>
      <c r="B6" s="5" t="s">
        <v>104</v>
      </c>
    </row>
    <row r="7" customFormat="false" ht="15" hidden="false" customHeight="false" outlineLevel="0" collapsed="false">
      <c r="A7" s="5" t="s">
        <v>2661</v>
      </c>
      <c r="B7" s="5" t="s">
        <v>189</v>
      </c>
    </row>
    <row r="8" customFormat="false" ht="15" hidden="false" customHeight="false" outlineLevel="0" collapsed="false">
      <c r="A8" s="5" t="s">
        <v>2662</v>
      </c>
      <c r="B8" s="5" t="s">
        <v>159</v>
      </c>
    </row>
    <row r="9" customFormat="false" ht="15" hidden="false" customHeight="false" outlineLevel="0" collapsed="false">
      <c r="A9" s="5" t="s">
        <v>2663</v>
      </c>
      <c r="B9" s="5" t="s">
        <v>1316</v>
      </c>
    </row>
    <row r="10" customFormat="false" ht="15" hidden="false" customHeight="false" outlineLevel="0" collapsed="false">
      <c r="A10" s="5" t="s">
        <v>2664</v>
      </c>
      <c r="B10" s="5" t="s">
        <v>870</v>
      </c>
    </row>
    <row r="11" customFormat="false" ht="15" hidden="false" customHeight="false" outlineLevel="0" collapsed="false">
      <c r="A11" s="5" t="s">
        <v>2665</v>
      </c>
      <c r="B11" s="5" t="s">
        <v>870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8"/>
    <col collapsed="false" customWidth="true" hidden="false" outlineLevel="0" max="4" min="4" style="0" width="58"/>
    <col collapsed="false" customWidth="true" hidden="false" outlineLevel="0" max="6" min="5" style="0" width="42"/>
    <col collapsed="false" customWidth="true" hidden="false" outlineLevel="0" max="7" min="7" style="0" width="95"/>
  </cols>
  <sheetData>
    <row r="1" customFormat="false" ht="15" hidden="false" customHeight="false" outlineLevel="0" collapsed="false">
      <c r="A1" s="3" t="s">
        <v>2666</v>
      </c>
      <c r="B1" s="3" t="s">
        <v>69</v>
      </c>
      <c r="C1" s="3" t="s">
        <v>65</v>
      </c>
      <c r="D1" s="3" t="s">
        <v>2667</v>
      </c>
      <c r="E1" s="3" t="s">
        <v>2668</v>
      </c>
      <c r="F1" s="3" t="s">
        <v>2669</v>
      </c>
      <c r="G1" s="3" t="s">
        <v>2670</v>
      </c>
    </row>
    <row r="2" customFormat="false" ht="15" hidden="false" customHeight="false" outlineLevel="0" collapsed="false">
      <c r="A2" s="5" t="s">
        <v>2671</v>
      </c>
      <c r="B2" s="5" t="n">
        <v>1</v>
      </c>
      <c r="C2" s="5" t="n">
        <v>2</v>
      </c>
      <c r="D2" s="5" t="s">
        <v>2672</v>
      </c>
      <c r="E2" s="5" t="s">
        <v>2673</v>
      </c>
      <c r="F2" s="5" t="s">
        <v>2674</v>
      </c>
      <c r="G2" s="5" t="s">
        <v>2675</v>
      </c>
    </row>
    <row r="3" customFormat="false" ht="15" hidden="false" customHeight="false" outlineLevel="0" collapsed="false">
      <c r="A3" s="5" t="s">
        <v>2671</v>
      </c>
      <c r="B3" s="5" t="n">
        <v>1</v>
      </c>
      <c r="C3" s="5" t="n">
        <v>2</v>
      </c>
      <c r="D3" s="5" t="s">
        <v>2676</v>
      </c>
      <c r="E3" s="5" t="s">
        <v>2673</v>
      </c>
      <c r="F3" s="5" t="s">
        <v>2674</v>
      </c>
      <c r="G3" s="5" t="s">
        <v>2675</v>
      </c>
    </row>
    <row r="4" customFormat="false" ht="15" hidden="false" customHeight="false" outlineLevel="0" collapsed="false">
      <c r="A4" s="5" t="s">
        <v>2671</v>
      </c>
      <c r="B4" s="5" t="n">
        <v>1</v>
      </c>
      <c r="C4" s="5" t="n">
        <v>2</v>
      </c>
      <c r="D4" s="5" t="s">
        <v>2677</v>
      </c>
      <c r="E4" s="5" t="s">
        <v>2673</v>
      </c>
      <c r="F4" s="5" t="s">
        <v>2674</v>
      </c>
      <c r="G4" s="5" t="s">
        <v>2675</v>
      </c>
    </row>
    <row r="5" customFormat="false" ht="15" hidden="false" customHeight="false" outlineLevel="0" collapsed="false">
      <c r="A5" s="5" t="s">
        <v>2671</v>
      </c>
      <c r="B5" s="5" t="n">
        <v>1</v>
      </c>
      <c r="C5" s="5" t="n">
        <v>2</v>
      </c>
      <c r="D5" s="5" t="s">
        <v>2678</v>
      </c>
      <c r="E5" s="5" t="s">
        <v>2673</v>
      </c>
      <c r="F5" s="5" t="s">
        <v>2674</v>
      </c>
      <c r="G5" s="5" t="s">
        <v>2675</v>
      </c>
    </row>
    <row r="6" customFormat="false" ht="15" hidden="false" customHeight="false" outlineLevel="0" collapsed="false">
      <c r="A6" s="5" t="s">
        <v>2671</v>
      </c>
      <c r="B6" s="5" t="n">
        <v>1</v>
      </c>
      <c r="C6" s="5" t="n">
        <v>2</v>
      </c>
      <c r="D6" s="5" t="s">
        <v>2679</v>
      </c>
      <c r="E6" s="5" t="s">
        <v>2673</v>
      </c>
      <c r="F6" s="5" t="s">
        <v>2674</v>
      </c>
      <c r="G6" s="5" t="s">
        <v>2675</v>
      </c>
    </row>
    <row r="7" customFormat="false" ht="15" hidden="false" customHeight="false" outlineLevel="0" collapsed="false">
      <c r="A7" s="5" t="s">
        <v>2671</v>
      </c>
      <c r="B7" s="5" t="n">
        <v>1</v>
      </c>
      <c r="C7" s="5" t="n">
        <v>2</v>
      </c>
      <c r="D7" s="5" t="s">
        <v>2680</v>
      </c>
      <c r="E7" s="5" t="s">
        <v>2673</v>
      </c>
      <c r="F7" s="5" t="s">
        <v>2674</v>
      </c>
      <c r="G7" s="5" t="s">
        <v>2675</v>
      </c>
    </row>
    <row r="8" customFormat="false" ht="15" hidden="false" customHeight="false" outlineLevel="0" collapsed="false">
      <c r="A8" s="5" t="s">
        <v>2671</v>
      </c>
      <c r="B8" s="5" t="n">
        <v>1</v>
      </c>
      <c r="C8" s="5" t="n">
        <v>2</v>
      </c>
      <c r="D8" s="5" t="s">
        <v>2681</v>
      </c>
      <c r="E8" s="5" t="s">
        <v>2673</v>
      </c>
      <c r="F8" s="5" t="s">
        <v>2674</v>
      </c>
      <c r="G8" s="5" t="s">
        <v>2675</v>
      </c>
    </row>
    <row r="9" customFormat="false" ht="15" hidden="false" customHeight="false" outlineLevel="0" collapsed="false">
      <c r="A9" s="5" t="s">
        <v>2671</v>
      </c>
      <c r="B9" s="5" t="n">
        <v>1</v>
      </c>
      <c r="C9" s="5" t="n">
        <v>5</v>
      </c>
      <c r="D9" s="5" t="s">
        <v>2682</v>
      </c>
      <c r="E9" s="5" t="s">
        <v>2683</v>
      </c>
      <c r="F9" s="5" t="s">
        <v>2684</v>
      </c>
      <c r="G9" s="5" t="s">
        <v>2685</v>
      </c>
    </row>
    <row r="10" customFormat="false" ht="15" hidden="false" customHeight="false" outlineLevel="0" collapsed="false">
      <c r="A10" s="5" t="s">
        <v>2671</v>
      </c>
      <c r="B10" s="5" t="n">
        <v>1</v>
      </c>
      <c r="C10" s="5" t="n">
        <v>5</v>
      </c>
      <c r="D10" s="5" t="s">
        <v>2686</v>
      </c>
      <c r="E10" s="5" t="s">
        <v>2687</v>
      </c>
      <c r="F10" s="5" t="s">
        <v>2684</v>
      </c>
      <c r="G10" s="5" t="s">
        <v>2685</v>
      </c>
    </row>
    <row r="11" customFormat="false" ht="15" hidden="false" customHeight="false" outlineLevel="0" collapsed="false">
      <c r="A11" s="5" t="s">
        <v>2671</v>
      </c>
      <c r="B11" s="5" t="n">
        <v>1</v>
      </c>
      <c r="C11" s="5" t="n">
        <v>5</v>
      </c>
      <c r="D11" s="5" t="s">
        <v>2680</v>
      </c>
      <c r="E11" s="5" t="s">
        <v>2688</v>
      </c>
      <c r="F11" s="5" t="s">
        <v>2684</v>
      </c>
      <c r="G11" s="5" t="s">
        <v>2685</v>
      </c>
    </row>
    <row r="12" customFormat="false" ht="15" hidden="false" customHeight="false" outlineLevel="0" collapsed="false">
      <c r="A12" s="5" t="s">
        <v>2671</v>
      </c>
      <c r="B12" s="5" t="n">
        <v>2</v>
      </c>
      <c r="C12" s="5" t="n">
        <v>4</v>
      </c>
      <c r="D12" s="5" t="s">
        <v>2689</v>
      </c>
      <c r="E12" s="5" t="s">
        <v>2690</v>
      </c>
      <c r="F12" s="5" t="s">
        <v>2691</v>
      </c>
      <c r="G12" s="5" t="s">
        <v>2685</v>
      </c>
    </row>
    <row r="13" customFormat="false" ht="15" hidden="false" customHeight="false" outlineLevel="0" collapsed="false">
      <c r="A13" s="5" t="s">
        <v>2671</v>
      </c>
      <c r="B13" s="5" t="n">
        <v>2</v>
      </c>
      <c r="C13" s="5" t="n">
        <v>4</v>
      </c>
      <c r="D13" s="5" t="s">
        <v>2692</v>
      </c>
      <c r="E13" s="5" t="s">
        <v>2693</v>
      </c>
      <c r="F13" s="5" t="s">
        <v>2691</v>
      </c>
      <c r="G13" s="5" t="s">
        <v>2685</v>
      </c>
    </row>
    <row r="14" customFormat="false" ht="15" hidden="false" customHeight="false" outlineLevel="0" collapsed="false">
      <c r="A14" s="5" t="s">
        <v>2671</v>
      </c>
      <c r="B14" s="5" t="n">
        <v>2</v>
      </c>
      <c r="C14" s="5" t="n">
        <v>4</v>
      </c>
      <c r="D14" s="5" t="s">
        <v>2678</v>
      </c>
      <c r="E14" s="5" t="s">
        <v>2694</v>
      </c>
      <c r="F14" s="5" t="s">
        <v>2691</v>
      </c>
      <c r="G14" s="5" t="s">
        <v>2685</v>
      </c>
    </row>
    <row r="15" customFormat="false" ht="15" hidden="false" customHeight="false" outlineLevel="0" collapsed="false">
      <c r="A15" s="5" t="s">
        <v>2671</v>
      </c>
      <c r="B15" s="5" t="n">
        <v>2</v>
      </c>
      <c r="C15" s="5" t="n">
        <v>4</v>
      </c>
      <c r="D15" s="5" t="s">
        <v>2679</v>
      </c>
      <c r="E15" s="5" t="s">
        <v>2695</v>
      </c>
      <c r="F15" s="5" t="s">
        <v>2691</v>
      </c>
      <c r="G15" s="5" t="s">
        <v>2685</v>
      </c>
    </row>
    <row r="16" customFormat="false" ht="15" hidden="false" customHeight="false" outlineLevel="0" collapsed="false">
      <c r="A16" s="5" t="s">
        <v>2671</v>
      </c>
      <c r="B16" s="5" t="n">
        <v>2</v>
      </c>
      <c r="C16" s="5" t="n">
        <v>4</v>
      </c>
      <c r="D16" s="5" t="s">
        <v>2696</v>
      </c>
      <c r="E16" s="5" t="s">
        <v>2697</v>
      </c>
      <c r="F16" s="5" t="s">
        <v>2691</v>
      </c>
      <c r="G16" s="5" t="s">
        <v>2685</v>
      </c>
    </row>
    <row r="17" customFormat="false" ht="15" hidden="false" customHeight="false" outlineLevel="0" collapsed="false">
      <c r="A17" s="5" t="s">
        <v>2671</v>
      </c>
      <c r="B17" s="5" t="n">
        <v>2</v>
      </c>
      <c r="C17" s="5" t="n">
        <v>4</v>
      </c>
      <c r="D17" s="5" t="s">
        <v>2698</v>
      </c>
      <c r="E17" s="5" t="s">
        <v>2699</v>
      </c>
      <c r="F17" s="5" t="s">
        <v>2691</v>
      </c>
      <c r="G17" s="5" t="s">
        <v>2685</v>
      </c>
    </row>
    <row r="18" customFormat="false" ht="15" hidden="false" customHeight="false" outlineLevel="0" collapsed="false">
      <c r="A18" s="5" t="s">
        <v>2671</v>
      </c>
      <c r="B18" s="5" t="n">
        <v>2</v>
      </c>
      <c r="C18" s="5" t="n">
        <v>4</v>
      </c>
      <c r="D18" s="5" t="s">
        <v>2700</v>
      </c>
      <c r="E18" s="5" t="s">
        <v>2701</v>
      </c>
      <c r="F18" s="5" t="s">
        <v>2702</v>
      </c>
      <c r="G18" s="5" t="s">
        <v>2685</v>
      </c>
    </row>
    <row r="19" customFormat="false" ht="15" hidden="false" customHeight="false" outlineLevel="0" collapsed="false">
      <c r="A19" s="5" t="s">
        <v>2671</v>
      </c>
      <c r="B19" s="5" t="n">
        <v>2</v>
      </c>
      <c r="C19" s="5" t="n">
        <v>4</v>
      </c>
      <c r="D19" s="5" t="s">
        <v>2692</v>
      </c>
      <c r="E19" s="5" t="s">
        <v>2703</v>
      </c>
      <c r="F19" s="5" t="s">
        <v>2702</v>
      </c>
      <c r="G19" s="5" t="s">
        <v>2685</v>
      </c>
    </row>
    <row r="20" customFormat="false" ht="15" hidden="false" customHeight="false" outlineLevel="0" collapsed="false">
      <c r="A20" s="5" t="s">
        <v>2671</v>
      </c>
      <c r="B20" s="5" t="n">
        <v>2</v>
      </c>
      <c r="C20" s="5" t="n">
        <v>4</v>
      </c>
      <c r="D20" s="5" t="s">
        <v>2704</v>
      </c>
      <c r="E20" s="5" t="s">
        <v>2705</v>
      </c>
      <c r="F20" s="5" t="s">
        <v>2702</v>
      </c>
      <c r="G20" s="5" t="s">
        <v>2685</v>
      </c>
    </row>
    <row r="21" customFormat="false" ht="15" hidden="false" customHeight="false" outlineLevel="0" collapsed="false">
      <c r="A21" s="5" t="s">
        <v>2671</v>
      </c>
      <c r="B21" s="5" t="n">
        <v>2</v>
      </c>
      <c r="C21" s="5" t="n">
        <v>4</v>
      </c>
      <c r="D21" s="5" t="s">
        <v>2678</v>
      </c>
      <c r="E21" s="5" t="s">
        <v>2706</v>
      </c>
      <c r="F21" s="5" t="s">
        <v>2702</v>
      </c>
      <c r="G21" s="5" t="s">
        <v>2685</v>
      </c>
    </row>
    <row r="22" customFormat="false" ht="15" hidden="false" customHeight="false" outlineLevel="0" collapsed="false">
      <c r="A22" s="5" t="s">
        <v>2671</v>
      </c>
      <c r="B22" s="5" t="n">
        <v>2</v>
      </c>
      <c r="C22" s="5" t="n">
        <v>4</v>
      </c>
      <c r="D22" s="5" t="s">
        <v>2681</v>
      </c>
      <c r="E22" s="5" t="s">
        <v>2707</v>
      </c>
      <c r="F22" s="5" t="s">
        <v>2702</v>
      </c>
      <c r="G22" s="5" t="s">
        <v>2685</v>
      </c>
    </row>
    <row r="23" customFormat="false" ht="15" hidden="false" customHeight="false" outlineLevel="0" collapsed="false">
      <c r="A23" s="5" t="s">
        <v>2671</v>
      </c>
      <c r="B23" s="5" t="n">
        <v>2</v>
      </c>
      <c r="C23" s="5" t="n">
        <v>5</v>
      </c>
      <c r="D23" s="5" t="s">
        <v>2708</v>
      </c>
      <c r="E23" s="5" t="s">
        <v>2709</v>
      </c>
      <c r="F23" s="5" t="s">
        <v>2710</v>
      </c>
      <c r="G23" s="5" t="s">
        <v>2685</v>
      </c>
    </row>
    <row r="24" customFormat="false" ht="15" hidden="false" customHeight="false" outlineLevel="0" collapsed="false">
      <c r="A24" s="5" t="s">
        <v>2671</v>
      </c>
      <c r="B24" s="5" t="n">
        <v>2</v>
      </c>
      <c r="C24" s="5" t="n">
        <v>5</v>
      </c>
      <c r="D24" s="5" t="s">
        <v>2711</v>
      </c>
      <c r="E24" s="5" t="s">
        <v>2712</v>
      </c>
      <c r="F24" s="5" t="s">
        <v>2710</v>
      </c>
      <c r="G24" s="5" t="s">
        <v>2685</v>
      </c>
    </row>
    <row r="25" customFormat="false" ht="15" hidden="false" customHeight="false" outlineLevel="0" collapsed="false">
      <c r="A25" s="5" t="s">
        <v>2671</v>
      </c>
      <c r="B25" s="5" t="n">
        <v>2</v>
      </c>
      <c r="C25" s="5" t="n">
        <v>5</v>
      </c>
      <c r="D25" s="5" t="s">
        <v>2676</v>
      </c>
      <c r="E25" s="5" t="s">
        <v>2713</v>
      </c>
      <c r="F25" s="5" t="s">
        <v>2710</v>
      </c>
      <c r="G25" s="5" t="s">
        <v>2685</v>
      </c>
    </row>
    <row r="26" customFormat="false" ht="15" hidden="false" customHeight="false" outlineLevel="0" collapsed="false">
      <c r="A26" s="5" t="s">
        <v>2671</v>
      </c>
      <c r="B26" s="5" t="n">
        <v>2</v>
      </c>
      <c r="C26" s="5" t="n">
        <v>5</v>
      </c>
      <c r="D26" s="5" t="s">
        <v>2704</v>
      </c>
      <c r="E26" s="5" t="s">
        <v>2714</v>
      </c>
      <c r="F26" s="5" t="s">
        <v>2710</v>
      </c>
      <c r="G26" s="5" t="s">
        <v>2685</v>
      </c>
    </row>
    <row r="27" customFormat="false" ht="15" hidden="false" customHeight="false" outlineLevel="0" collapsed="false">
      <c r="A27" s="5" t="s">
        <v>2671</v>
      </c>
      <c r="B27" s="5" t="n">
        <v>2</v>
      </c>
      <c r="C27" s="5" t="n">
        <v>5</v>
      </c>
      <c r="D27" s="5" t="s">
        <v>2678</v>
      </c>
      <c r="E27" s="5" t="s">
        <v>2715</v>
      </c>
      <c r="F27" s="5" t="s">
        <v>2710</v>
      </c>
      <c r="G27" s="5" t="s">
        <v>2685</v>
      </c>
    </row>
    <row r="28" customFormat="false" ht="15" hidden="false" customHeight="false" outlineLevel="0" collapsed="false">
      <c r="A28" s="5" t="s">
        <v>2671</v>
      </c>
      <c r="B28" s="5" t="n">
        <v>2</v>
      </c>
      <c r="C28" s="5" t="n">
        <v>5</v>
      </c>
      <c r="D28" s="5" t="s">
        <v>2698</v>
      </c>
      <c r="E28" s="5" t="s">
        <v>2716</v>
      </c>
      <c r="F28" s="5" t="s">
        <v>2710</v>
      </c>
      <c r="G28" s="5" t="s">
        <v>2685</v>
      </c>
    </row>
    <row r="29" customFormat="false" ht="15" hidden="false" customHeight="false" outlineLevel="0" collapsed="false">
      <c r="A29" s="5" t="s">
        <v>2671</v>
      </c>
      <c r="B29" s="5" t="n">
        <v>2</v>
      </c>
      <c r="C29" s="5" t="n">
        <v>7</v>
      </c>
      <c r="D29" s="5" t="s">
        <v>2717</v>
      </c>
      <c r="E29" s="5" t="s">
        <v>2718</v>
      </c>
      <c r="F29" s="5" t="s">
        <v>2719</v>
      </c>
      <c r="G29" s="5" t="s">
        <v>2675</v>
      </c>
    </row>
    <row r="30" customFormat="false" ht="15" hidden="false" customHeight="false" outlineLevel="0" collapsed="false">
      <c r="A30" s="5" t="s">
        <v>2671</v>
      </c>
      <c r="B30" s="5" t="n">
        <v>2</v>
      </c>
      <c r="C30" s="5" t="n">
        <v>7</v>
      </c>
      <c r="D30" s="5" t="s">
        <v>2720</v>
      </c>
      <c r="E30" s="5" t="s">
        <v>2718</v>
      </c>
      <c r="F30" s="5" t="s">
        <v>2719</v>
      </c>
      <c r="G30" s="5" t="s">
        <v>2675</v>
      </c>
    </row>
    <row r="31" customFormat="false" ht="15" hidden="false" customHeight="false" outlineLevel="0" collapsed="false">
      <c r="A31" s="5" t="s">
        <v>2671</v>
      </c>
      <c r="B31" s="5" t="n">
        <v>2</v>
      </c>
      <c r="C31" s="5" t="n">
        <v>7</v>
      </c>
      <c r="D31" s="5" t="s">
        <v>2721</v>
      </c>
      <c r="E31" s="5" t="s">
        <v>2718</v>
      </c>
      <c r="F31" s="5" t="s">
        <v>2719</v>
      </c>
      <c r="G31" s="5" t="s">
        <v>2675</v>
      </c>
    </row>
    <row r="32" customFormat="false" ht="15" hidden="false" customHeight="false" outlineLevel="0" collapsed="false">
      <c r="A32" s="5" t="s">
        <v>2671</v>
      </c>
      <c r="B32" s="5" t="n">
        <v>2</v>
      </c>
      <c r="C32" s="5" t="n">
        <v>7</v>
      </c>
      <c r="D32" s="5" t="s">
        <v>2711</v>
      </c>
      <c r="E32" s="5" t="s">
        <v>2718</v>
      </c>
      <c r="F32" s="5" t="s">
        <v>2719</v>
      </c>
      <c r="G32" s="5" t="s">
        <v>2675</v>
      </c>
    </row>
    <row r="33" customFormat="false" ht="15" hidden="false" customHeight="false" outlineLevel="0" collapsed="false">
      <c r="A33" s="5" t="s">
        <v>2671</v>
      </c>
      <c r="B33" s="5" t="n">
        <v>2</v>
      </c>
      <c r="C33" s="5" t="n">
        <v>7</v>
      </c>
      <c r="D33" s="5" t="s">
        <v>2676</v>
      </c>
      <c r="E33" s="5" t="s">
        <v>2718</v>
      </c>
      <c r="F33" s="5" t="s">
        <v>2719</v>
      </c>
      <c r="G33" s="5" t="s">
        <v>2675</v>
      </c>
    </row>
    <row r="34" customFormat="false" ht="15" hidden="false" customHeight="false" outlineLevel="0" collapsed="false">
      <c r="A34" s="5" t="s">
        <v>2671</v>
      </c>
      <c r="B34" s="5" t="n">
        <v>2</v>
      </c>
      <c r="C34" s="5" t="n">
        <v>7</v>
      </c>
      <c r="D34" s="5" t="s">
        <v>2704</v>
      </c>
      <c r="E34" s="5" t="s">
        <v>2718</v>
      </c>
      <c r="F34" s="5" t="s">
        <v>2719</v>
      </c>
      <c r="G34" s="5" t="s">
        <v>2675</v>
      </c>
    </row>
    <row r="35" customFormat="false" ht="15" hidden="false" customHeight="false" outlineLevel="0" collapsed="false">
      <c r="A35" s="5" t="s">
        <v>2671</v>
      </c>
      <c r="B35" s="5" t="n">
        <v>2</v>
      </c>
      <c r="C35" s="5" t="n">
        <v>7</v>
      </c>
      <c r="D35" s="5" t="s">
        <v>2698</v>
      </c>
      <c r="E35" s="5" t="s">
        <v>2718</v>
      </c>
      <c r="F35" s="5" t="s">
        <v>2719</v>
      </c>
      <c r="G35" s="5" t="s">
        <v>2675</v>
      </c>
    </row>
    <row r="36" customFormat="false" ht="15" hidden="false" customHeight="false" outlineLevel="0" collapsed="false">
      <c r="A36" s="5" t="s">
        <v>2671</v>
      </c>
      <c r="B36" s="5" t="n">
        <v>2</v>
      </c>
      <c r="C36" s="5" t="n">
        <v>7</v>
      </c>
      <c r="D36" s="5" t="s">
        <v>2686</v>
      </c>
      <c r="E36" s="5" t="s">
        <v>2718</v>
      </c>
      <c r="F36" s="5" t="s">
        <v>2719</v>
      </c>
      <c r="G36" s="5" t="s">
        <v>2675</v>
      </c>
    </row>
    <row r="37" customFormat="false" ht="15" hidden="false" customHeight="false" outlineLevel="0" collapsed="false">
      <c r="A37" s="5" t="s">
        <v>2671</v>
      </c>
      <c r="B37" s="5" t="n">
        <v>3</v>
      </c>
      <c r="C37" s="5" t="n">
        <v>3</v>
      </c>
      <c r="D37" s="5" t="s">
        <v>2722</v>
      </c>
      <c r="E37" s="5" t="s">
        <v>2723</v>
      </c>
      <c r="F37" s="5" t="s">
        <v>2724</v>
      </c>
      <c r="G37" s="5" t="s">
        <v>2685</v>
      </c>
    </row>
    <row r="38" customFormat="false" ht="15" hidden="false" customHeight="false" outlineLevel="0" collapsed="false">
      <c r="A38" s="5" t="s">
        <v>2671</v>
      </c>
      <c r="B38" s="5" t="n">
        <v>3</v>
      </c>
      <c r="C38" s="5" t="n">
        <v>3</v>
      </c>
      <c r="D38" s="5" t="s">
        <v>2689</v>
      </c>
      <c r="E38" s="5" t="s">
        <v>2725</v>
      </c>
      <c r="F38" s="5" t="s">
        <v>2724</v>
      </c>
      <c r="G38" s="5" t="s">
        <v>2685</v>
      </c>
    </row>
    <row r="39" customFormat="false" ht="15" hidden="false" customHeight="false" outlineLevel="0" collapsed="false">
      <c r="A39" s="5" t="s">
        <v>2671</v>
      </c>
      <c r="B39" s="5" t="n">
        <v>3</v>
      </c>
      <c r="C39" s="5" t="n">
        <v>3</v>
      </c>
      <c r="D39" s="5" t="s">
        <v>2726</v>
      </c>
      <c r="E39" s="5" t="s">
        <v>2727</v>
      </c>
      <c r="F39" s="5" t="s">
        <v>2724</v>
      </c>
      <c r="G39" s="5" t="s">
        <v>2685</v>
      </c>
    </row>
    <row r="40" customFormat="false" ht="15" hidden="false" customHeight="false" outlineLevel="0" collapsed="false">
      <c r="A40" s="5" t="s">
        <v>2671</v>
      </c>
      <c r="B40" s="5" t="n">
        <v>3</v>
      </c>
      <c r="C40" s="5" t="n">
        <v>3</v>
      </c>
      <c r="D40" s="5" t="s">
        <v>2704</v>
      </c>
      <c r="E40" s="5" t="s">
        <v>2728</v>
      </c>
      <c r="F40" s="5" t="s">
        <v>2724</v>
      </c>
      <c r="G40" s="5" t="s">
        <v>2685</v>
      </c>
    </row>
    <row r="41" customFormat="false" ht="15" hidden="false" customHeight="false" outlineLevel="0" collapsed="false">
      <c r="A41" s="5" t="s">
        <v>2671</v>
      </c>
      <c r="B41" s="5" t="n">
        <v>3</v>
      </c>
      <c r="C41" s="5" t="n">
        <v>3</v>
      </c>
      <c r="D41" s="5" t="s">
        <v>2679</v>
      </c>
      <c r="E41" s="5" t="s">
        <v>2729</v>
      </c>
      <c r="F41" s="5" t="s">
        <v>2724</v>
      </c>
      <c r="G41" s="5" t="s">
        <v>2685</v>
      </c>
    </row>
    <row r="42" customFormat="false" ht="15" hidden="false" customHeight="false" outlineLevel="0" collapsed="false">
      <c r="A42" s="5" t="s">
        <v>2671</v>
      </c>
      <c r="B42" s="5" t="n">
        <v>3</v>
      </c>
      <c r="C42" s="5" t="n">
        <v>3</v>
      </c>
      <c r="D42" s="5" t="s">
        <v>2696</v>
      </c>
      <c r="E42" s="5" t="s">
        <v>2730</v>
      </c>
      <c r="F42" s="5" t="s">
        <v>2724</v>
      </c>
      <c r="G42" s="5" t="s">
        <v>2685</v>
      </c>
    </row>
    <row r="43" customFormat="false" ht="15" hidden="false" customHeight="false" outlineLevel="0" collapsed="false">
      <c r="A43" s="5" t="s">
        <v>2671</v>
      </c>
      <c r="B43" s="5" t="n">
        <v>3</v>
      </c>
      <c r="C43" s="5" t="n">
        <v>3</v>
      </c>
      <c r="D43" s="5" t="s">
        <v>2698</v>
      </c>
      <c r="E43" s="5" t="s">
        <v>2731</v>
      </c>
      <c r="F43" s="5" t="s">
        <v>2724</v>
      </c>
      <c r="G43" s="5" t="s">
        <v>2685</v>
      </c>
    </row>
    <row r="44" customFormat="false" ht="15" hidden="false" customHeight="false" outlineLevel="0" collapsed="false">
      <c r="A44" s="5" t="s">
        <v>2671</v>
      </c>
      <c r="B44" s="5" t="n">
        <v>3</v>
      </c>
      <c r="C44" s="5" t="n">
        <v>3</v>
      </c>
      <c r="D44" s="5" t="s">
        <v>2732</v>
      </c>
      <c r="E44" s="5" t="s">
        <v>2733</v>
      </c>
      <c r="F44" s="5" t="s">
        <v>2724</v>
      </c>
      <c r="G44" s="5" t="s">
        <v>2685</v>
      </c>
    </row>
    <row r="45" customFormat="false" ht="15" hidden="false" customHeight="false" outlineLevel="0" collapsed="false">
      <c r="A45" s="5" t="s">
        <v>2671</v>
      </c>
      <c r="B45" s="5" t="n">
        <v>3</v>
      </c>
      <c r="C45" s="5" t="n">
        <v>3</v>
      </c>
      <c r="D45" s="5" t="s">
        <v>2686</v>
      </c>
      <c r="E45" s="5" t="s">
        <v>2734</v>
      </c>
      <c r="F45" s="5" t="s">
        <v>2724</v>
      </c>
      <c r="G45" s="5" t="s">
        <v>2685</v>
      </c>
    </row>
    <row r="46" customFormat="false" ht="15" hidden="false" customHeight="false" outlineLevel="0" collapsed="false">
      <c r="A46" s="5" t="s">
        <v>2671</v>
      </c>
      <c r="B46" s="5" t="n">
        <v>3</v>
      </c>
      <c r="C46" s="5" t="n">
        <v>3</v>
      </c>
      <c r="D46" s="5" t="s">
        <v>2680</v>
      </c>
      <c r="E46" s="5" t="s">
        <v>2735</v>
      </c>
      <c r="F46" s="5" t="s">
        <v>2724</v>
      </c>
      <c r="G46" s="5" t="s">
        <v>2685</v>
      </c>
    </row>
    <row r="47" customFormat="false" ht="15" hidden="false" customHeight="false" outlineLevel="0" collapsed="false">
      <c r="A47" s="5" t="s">
        <v>2671</v>
      </c>
      <c r="B47" s="5" t="n">
        <v>3</v>
      </c>
      <c r="C47" s="5" t="n">
        <v>8</v>
      </c>
      <c r="D47" s="5" t="s">
        <v>2721</v>
      </c>
      <c r="E47" s="5" t="s">
        <v>2736</v>
      </c>
      <c r="F47" s="5" t="s">
        <v>2737</v>
      </c>
      <c r="G47" s="5" t="s">
        <v>2685</v>
      </c>
    </row>
    <row r="48" customFormat="false" ht="15" hidden="false" customHeight="false" outlineLevel="0" collapsed="false">
      <c r="A48" s="5" t="s">
        <v>2671</v>
      </c>
      <c r="B48" s="5" t="n">
        <v>3</v>
      </c>
      <c r="C48" s="5" t="n">
        <v>8</v>
      </c>
      <c r="D48" s="5" t="s">
        <v>2738</v>
      </c>
      <c r="E48" s="5" t="s">
        <v>2739</v>
      </c>
      <c r="F48" s="5" t="s">
        <v>2737</v>
      </c>
      <c r="G48" s="5" t="s">
        <v>2685</v>
      </c>
    </row>
    <row r="49" customFormat="false" ht="15" hidden="false" customHeight="false" outlineLevel="0" collapsed="false">
      <c r="A49" s="5" t="s">
        <v>2671</v>
      </c>
      <c r="B49" s="5" t="n">
        <v>3</v>
      </c>
      <c r="C49" s="5" t="n">
        <v>8</v>
      </c>
      <c r="D49" s="5" t="s">
        <v>2740</v>
      </c>
      <c r="E49" s="5" t="s">
        <v>2741</v>
      </c>
      <c r="F49" s="5" t="s">
        <v>2737</v>
      </c>
      <c r="G49" s="5" t="s">
        <v>2685</v>
      </c>
    </row>
    <row r="50" customFormat="false" ht="15" hidden="false" customHeight="false" outlineLevel="0" collapsed="false">
      <c r="A50" s="5" t="s">
        <v>2671</v>
      </c>
      <c r="B50" s="5" t="n">
        <v>3</v>
      </c>
      <c r="C50" s="5" t="n">
        <v>8</v>
      </c>
      <c r="D50" s="5" t="s">
        <v>2742</v>
      </c>
      <c r="E50" s="5" t="s">
        <v>2743</v>
      </c>
      <c r="F50" s="5" t="s">
        <v>2737</v>
      </c>
      <c r="G50" s="5" t="s">
        <v>2685</v>
      </c>
    </row>
    <row r="51" customFormat="false" ht="15" hidden="false" customHeight="false" outlineLevel="0" collapsed="false">
      <c r="A51" s="5" t="s">
        <v>2671</v>
      </c>
      <c r="B51" s="5" t="n">
        <v>3</v>
      </c>
      <c r="C51" s="5" t="n">
        <v>8</v>
      </c>
      <c r="D51" s="5" t="s">
        <v>2679</v>
      </c>
      <c r="E51" s="5" t="s">
        <v>2744</v>
      </c>
      <c r="F51" s="5" t="s">
        <v>2737</v>
      </c>
      <c r="G51" s="5" t="s">
        <v>2685</v>
      </c>
    </row>
    <row r="52" customFormat="false" ht="15" hidden="false" customHeight="false" outlineLevel="0" collapsed="false">
      <c r="A52" s="5" t="s">
        <v>2671</v>
      </c>
      <c r="B52" s="5" t="n">
        <v>3</v>
      </c>
      <c r="C52" s="5" t="n">
        <v>8</v>
      </c>
      <c r="D52" s="5" t="s">
        <v>2698</v>
      </c>
      <c r="E52" s="5" t="s">
        <v>2745</v>
      </c>
      <c r="F52" s="5" t="s">
        <v>2737</v>
      </c>
      <c r="G52" s="5" t="s">
        <v>2685</v>
      </c>
    </row>
    <row r="53" customFormat="false" ht="15" hidden="false" customHeight="false" outlineLevel="0" collapsed="false">
      <c r="A53" s="5" t="s">
        <v>2671</v>
      </c>
      <c r="B53" s="5" t="n">
        <v>3</v>
      </c>
      <c r="C53" s="5" t="n">
        <v>8</v>
      </c>
      <c r="D53" s="5" t="s">
        <v>2681</v>
      </c>
      <c r="E53" s="5" t="s">
        <v>2746</v>
      </c>
      <c r="F53" s="5" t="s">
        <v>2737</v>
      </c>
      <c r="G53" s="5" t="s">
        <v>2685</v>
      </c>
    </row>
    <row r="54" customFormat="false" ht="15" hidden="false" customHeight="false" outlineLevel="0" collapsed="false">
      <c r="A54" s="5" t="s">
        <v>2671</v>
      </c>
      <c r="B54" s="5" t="n">
        <v>5</v>
      </c>
      <c r="C54" s="5" t="n">
        <v>8</v>
      </c>
      <c r="D54" s="5" t="s">
        <v>2747</v>
      </c>
      <c r="E54" s="5" t="s">
        <v>2748</v>
      </c>
      <c r="F54" s="5" t="s">
        <v>2749</v>
      </c>
      <c r="G54" s="5" t="s">
        <v>2675</v>
      </c>
    </row>
    <row r="55" customFormat="false" ht="15" hidden="false" customHeight="false" outlineLevel="0" collapsed="false">
      <c r="A55" s="5" t="s">
        <v>2671</v>
      </c>
      <c r="B55" s="5" t="n">
        <v>5</v>
      </c>
      <c r="C55" s="5" t="n">
        <v>8</v>
      </c>
      <c r="D55" s="5" t="s">
        <v>2720</v>
      </c>
      <c r="E55" s="5" t="s">
        <v>2748</v>
      </c>
      <c r="F55" s="5" t="s">
        <v>2749</v>
      </c>
      <c r="G55" s="5" t="s">
        <v>2675</v>
      </c>
    </row>
    <row r="56" customFormat="false" ht="15" hidden="false" customHeight="false" outlineLevel="0" collapsed="false">
      <c r="A56" s="5" t="s">
        <v>2671</v>
      </c>
      <c r="B56" s="5" t="n">
        <v>5</v>
      </c>
      <c r="C56" s="5" t="n">
        <v>8</v>
      </c>
      <c r="D56" s="5" t="s">
        <v>2711</v>
      </c>
      <c r="E56" s="5" t="s">
        <v>2748</v>
      </c>
      <c r="F56" s="5" t="s">
        <v>2749</v>
      </c>
      <c r="G56" s="5" t="s">
        <v>2675</v>
      </c>
    </row>
    <row r="57" customFormat="false" ht="15" hidden="false" customHeight="false" outlineLevel="0" collapsed="false">
      <c r="A57" s="5" t="s">
        <v>2671</v>
      </c>
      <c r="B57" s="5" t="n">
        <v>5</v>
      </c>
      <c r="C57" s="5" t="n">
        <v>8</v>
      </c>
      <c r="D57" s="5" t="s">
        <v>2676</v>
      </c>
      <c r="E57" s="5" t="s">
        <v>2748</v>
      </c>
      <c r="F57" s="5" t="s">
        <v>2749</v>
      </c>
      <c r="G57" s="5" t="s">
        <v>2675</v>
      </c>
    </row>
    <row r="58" customFormat="false" ht="15" hidden="false" customHeight="false" outlineLevel="0" collapsed="false">
      <c r="A58" s="5" t="s">
        <v>2671</v>
      </c>
      <c r="B58" s="5" t="n">
        <v>5</v>
      </c>
      <c r="C58" s="5" t="n">
        <v>8</v>
      </c>
      <c r="D58" s="5" t="s">
        <v>2742</v>
      </c>
      <c r="E58" s="5" t="s">
        <v>2748</v>
      </c>
      <c r="F58" s="5" t="s">
        <v>2749</v>
      </c>
      <c r="G58" s="5" t="s">
        <v>2675</v>
      </c>
    </row>
    <row r="59" customFormat="false" ht="15" hidden="false" customHeight="false" outlineLevel="0" collapsed="false">
      <c r="A59" s="5" t="s">
        <v>2671</v>
      </c>
      <c r="B59" s="5" t="n">
        <v>5</v>
      </c>
      <c r="C59" s="5" t="n">
        <v>8</v>
      </c>
      <c r="D59" s="5" t="s">
        <v>2722</v>
      </c>
      <c r="E59" s="5" t="s">
        <v>2748</v>
      </c>
      <c r="F59" s="5" t="s">
        <v>2749</v>
      </c>
      <c r="G59" s="5" t="s">
        <v>2675</v>
      </c>
    </row>
    <row r="60" customFormat="false" ht="15" hidden="false" customHeight="false" outlineLevel="0" collapsed="false">
      <c r="A60" s="5" t="s">
        <v>2671</v>
      </c>
      <c r="B60" s="5" t="n">
        <v>5</v>
      </c>
      <c r="C60" s="5" t="n">
        <v>8</v>
      </c>
      <c r="D60" s="5" t="s">
        <v>2750</v>
      </c>
      <c r="E60" s="5" t="s">
        <v>2748</v>
      </c>
      <c r="F60" s="5" t="s">
        <v>2749</v>
      </c>
      <c r="G60" s="5" t="s">
        <v>2675</v>
      </c>
    </row>
    <row r="61" customFormat="false" ht="15" hidden="false" customHeight="false" outlineLevel="0" collapsed="false">
      <c r="A61" s="5" t="s">
        <v>2671</v>
      </c>
      <c r="B61" s="5" t="n">
        <v>5</v>
      </c>
      <c r="C61" s="5" t="n">
        <v>8</v>
      </c>
      <c r="D61" s="5" t="s">
        <v>2704</v>
      </c>
      <c r="E61" s="5" t="s">
        <v>2748</v>
      </c>
      <c r="F61" s="5" t="s">
        <v>2749</v>
      </c>
      <c r="G61" s="5" t="s">
        <v>2675</v>
      </c>
    </row>
    <row r="62" customFormat="false" ht="15" hidden="false" customHeight="false" outlineLevel="0" collapsed="false">
      <c r="A62" s="5" t="s">
        <v>2671</v>
      </c>
      <c r="B62" s="5" t="n">
        <v>5</v>
      </c>
      <c r="C62" s="5" t="n">
        <v>8</v>
      </c>
      <c r="D62" s="5" t="s">
        <v>2678</v>
      </c>
      <c r="E62" s="5" t="s">
        <v>2748</v>
      </c>
      <c r="F62" s="5" t="s">
        <v>2749</v>
      </c>
      <c r="G62" s="5" t="s">
        <v>2675</v>
      </c>
    </row>
    <row r="63" customFormat="false" ht="15" hidden="false" customHeight="false" outlineLevel="0" collapsed="false">
      <c r="A63" s="5" t="s">
        <v>2671</v>
      </c>
      <c r="B63" s="5" t="n">
        <v>5</v>
      </c>
      <c r="C63" s="5" t="n">
        <v>8</v>
      </c>
      <c r="D63" s="5" t="s">
        <v>2681</v>
      </c>
      <c r="E63" s="5" t="s">
        <v>2748</v>
      </c>
      <c r="F63" s="5" t="s">
        <v>2749</v>
      </c>
      <c r="G63" s="5" t="s">
        <v>2675</v>
      </c>
    </row>
    <row r="64" customFormat="false" ht="15" hidden="false" customHeight="false" outlineLevel="0" collapsed="false">
      <c r="A64" s="5" t="s">
        <v>2751</v>
      </c>
      <c r="B64" s="5" t="n">
        <v>3</v>
      </c>
      <c r="C64" s="5" t="n">
        <v>2</v>
      </c>
      <c r="D64" s="5" t="s">
        <v>2752</v>
      </c>
      <c r="E64" s="5" t="s">
        <v>2753</v>
      </c>
      <c r="F64" s="5" t="s">
        <v>2754</v>
      </c>
      <c r="G64" s="5" t="s">
        <v>2755</v>
      </c>
    </row>
    <row r="65" customFormat="false" ht="15" hidden="false" customHeight="false" outlineLevel="0" collapsed="false">
      <c r="A65" s="5" t="s">
        <v>2751</v>
      </c>
      <c r="B65" s="5" t="n">
        <v>6</v>
      </c>
      <c r="C65" s="5" t="n">
        <v>6</v>
      </c>
      <c r="D65" s="5" t="s">
        <v>2756</v>
      </c>
      <c r="E65" s="5" t="s">
        <v>2753</v>
      </c>
      <c r="F65" s="5" t="s">
        <v>2757</v>
      </c>
      <c r="G65" s="5" t="s">
        <v>2758</v>
      </c>
    </row>
    <row r="66" customFormat="false" ht="15" hidden="false" customHeight="false" outlineLevel="0" collapsed="false">
      <c r="A66" s="5" t="s">
        <v>2751</v>
      </c>
      <c r="B66" s="5" t="n">
        <v>6</v>
      </c>
      <c r="C66" s="5" t="n">
        <v>6</v>
      </c>
      <c r="D66" s="5" t="s">
        <v>2759</v>
      </c>
      <c r="E66" s="5" t="s">
        <v>2754</v>
      </c>
      <c r="F66" s="5" t="s">
        <v>2757</v>
      </c>
      <c r="G66" s="5" t="s">
        <v>2758</v>
      </c>
    </row>
    <row r="67" customFormat="false" ht="15" hidden="false" customHeight="false" outlineLevel="0" collapsed="false">
      <c r="A67" s="5" t="s">
        <v>2751</v>
      </c>
      <c r="B67" s="5" t="n">
        <v>6</v>
      </c>
      <c r="C67" s="5" t="n">
        <v>6</v>
      </c>
      <c r="D67" s="5" t="s">
        <v>2760</v>
      </c>
      <c r="E67" s="5" t="s">
        <v>2753</v>
      </c>
      <c r="F67" s="5" t="s">
        <v>2757</v>
      </c>
      <c r="G67" s="5" t="s">
        <v>2758</v>
      </c>
    </row>
    <row r="68" customFormat="false" ht="15" hidden="false" customHeight="false" outlineLevel="0" collapsed="false">
      <c r="A68" s="5" t="s">
        <v>2751</v>
      </c>
      <c r="B68" s="5" t="n">
        <v>6</v>
      </c>
      <c r="C68" s="5" t="n">
        <v>6</v>
      </c>
      <c r="D68" s="5" t="s">
        <v>2761</v>
      </c>
      <c r="E68" s="5" t="s">
        <v>2753</v>
      </c>
      <c r="F68" s="5" t="s">
        <v>2757</v>
      </c>
      <c r="G68" s="5" t="s">
        <v>2758</v>
      </c>
    </row>
    <row r="69" customFormat="false" ht="15" hidden="false" customHeight="false" outlineLevel="0" collapsed="false">
      <c r="A69" s="5" t="s">
        <v>2751</v>
      </c>
      <c r="B69" s="5" t="n">
        <v>6</v>
      </c>
      <c r="C69" s="5" t="n">
        <v>6</v>
      </c>
      <c r="D69" s="5" t="s">
        <v>2762</v>
      </c>
      <c r="E69" s="5" t="s">
        <v>2754</v>
      </c>
      <c r="F69" s="5" t="s">
        <v>2757</v>
      </c>
      <c r="G69" s="5" t="s">
        <v>2758</v>
      </c>
    </row>
    <row r="70" customFormat="false" ht="15" hidden="false" customHeight="false" outlineLevel="0" collapsed="false">
      <c r="A70" s="5" t="s">
        <v>2751</v>
      </c>
      <c r="B70" s="5" t="n">
        <v>6</v>
      </c>
      <c r="C70" s="5" t="n">
        <v>6</v>
      </c>
      <c r="D70" s="5" t="s">
        <v>2763</v>
      </c>
      <c r="E70" s="5" t="s">
        <v>2753</v>
      </c>
      <c r="F70" s="5" t="s">
        <v>2757</v>
      </c>
      <c r="G70" s="5" t="s">
        <v>2758</v>
      </c>
    </row>
    <row r="71" customFormat="false" ht="15" hidden="false" customHeight="false" outlineLevel="0" collapsed="false">
      <c r="A71" s="5" t="s">
        <v>2751</v>
      </c>
      <c r="B71" s="5" t="n">
        <v>6</v>
      </c>
      <c r="C71" s="5" t="n">
        <v>6</v>
      </c>
      <c r="D71" s="5" t="s">
        <v>2764</v>
      </c>
      <c r="E71" s="5" t="s">
        <v>2753</v>
      </c>
      <c r="F71" s="5" t="s">
        <v>2757</v>
      </c>
      <c r="G71" s="5" t="s">
        <v>2758</v>
      </c>
    </row>
    <row r="72" customFormat="false" ht="15" hidden="false" customHeight="false" outlineLevel="0" collapsed="false">
      <c r="A72" s="5" t="s">
        <v>2751</v>
      </c>
      <c r="B72" s="5" t="n">
        <v>6</v>
      </c>
      <c r="C72" s="5" t="n">
        <v>6</v>
      </c>
      <c r="D72" s="5" t="s">
        <v>2765</v>
      </c>
      <c r="E72" s="5" t="s">
        <v>2753</v>
      </c>
      <c r="F72" s="5" t="s">
        <v>2757</v>
      </c>
      <c r="G72" s="5" t="s">
        <v>2758</v>
      </c>
    </row>
    <row r="73" customFormat="false" ht="15" hidden="false" customHeight="false" outlineLevel="0" collapsed="false">
      <c r="A73" s="5" t="s">
        <v>2751</v>
      </c>
      <c r="B73" s="5" t="n">
        <v>7</v>
      </c>
      <c r="C73" s="5" t="n">
        <v>1</v>
      </c>
      <c r="D73" s="5" t="s">
        <v>2766</v>
      </c>
      <c r="E73" s="5" t="s">
        <v>2753</v>
      </c>
      <c r="F73" s="5" t="s">
        <v>2754</v>
      </c>
      <c r="G73" s="5" t="s">
        <v>2767</v>
      </c>
    </row>
    <row r="74" customFormat="false" ht="15" hidden="false" customHeight="false" outlineLevel="0" collapsed="false">
      <c r="A74" s="5" t="s">
        <v>2751</v>
      </c>
      <c r="B74" s="5" t="n">
        <v>6</v>
      </c>
      <c r="C74" s="5" t="n">
        <v>6</v>
      </c>
      <c r="D74" s="5" t="s">
        <v>2768</v>
      </c>
      <c r="E74" s="5" t="s">
        <v>2757</v>
      </c>
      <c r="F74" s="5" t="s">
        <v>2753</v>
      </c>
      <c r="G74" s="5" t="s">
        <v>2758</v>
      </c>
    </row>
    <row r="75" customFormat="false" ht="15" hidden="false" customHeight="false" outlineLevel="0" collapsed="false">
      <c r="A75" s="5" t="s">
        <v>2751</v>
      </c>
      <c r="B75" s="5" t="n">
        <v>6</v>
      </c>
      <c r="C75" s="5" t="n">
        <v>6</v>
      </c>
      <c r="D75" s="5" t="s">
        <v>2769</v>
      </c>
      <c r="E75" s="5" t="s">
        <v>2757</v>
      </c>
      <c r="F75" s="5" t="s">
        <v>2754</v>
      </c>
      <c r="G75" s="5" t="s">
        <v>2758</v>
      </c>
    </row>
    <row r="76" customFormat="false" ht="15" hidden="false" customHeight="false" outlineLevel="0" collapsed="false">
      <c r="A76" s="5" t="s">
        <v>2751</v>
      </c>
      <c r="B76" s="5" t="n">
        <v>6</v>
      </c>
      <c r="C76" s="5" t="n">
        <v>6</v>
      </c>
      <c r="D76" s="5" t="s">
        <v>2770</v>
      </c>
      <c r="E76" s="5" t="s">
        <v>2757</v>
      </c>
      <c r="F76" s="5" t="s">
        <v>2753</v>
      </c>
      <c r="G76" s="5" t="s">
        <v>2758</v>
      </c>
    </row>
    <row r="77" customFormat="false" ht="15" hidden="false" customHeight="false" outlineLevel="0" collapsed="false">
      <c r="A77" s="5" t="s">
        <v>2751</v>
      </c>
      <c r="B77" s="5" t="n">
        <v>6</v>
      </c>
      <c r="C77" s="5" t="n">
        <v>6</v>
      </c>
      <c r="D77" s="5" t="s">
        <v>2771</v>
      </c>
      <c r="E77" s="5" t="s">
        <v>2757</v>
      </c>
      <c r="F77" s="5" t="s">
        <v>2753</v>
      </c>
      <c r="G77" s="5" t="s">
        <v>2758</v>
      </c>
    </row>
    <row r="78" customFormat="false" ht="15" hidden="false" customHeight="false" outlineLevel="0" collapsed="false">
      <c r="A78" s="5" t="s">
        <v>2751</v>
      </c>
      <c r="B78" s="5" t="n">
        <v>6</v>
      </c>
      <c r="C78" s="5" t="n">
        <v>6</v>
      </c>
      <c r="D78" s="5" t="s">
        <v>2772</v>
      </c>
      <c r="E78" s="5" t="s">
        <v>2757</v>
      </c>
      <c r="F78" s="5" t="s">
        <v>2754</v>
      </c>
      <c r="G78" s="5" t="s">
        <v>2758</v>
      </c>
    </row>
    <row r="79" customFormat="false" ht="15" hidden="false" customHeight="false" outlineLevel="0" collapsed="false">
      <c r="A79" s="5" t="s">
        <v>2751</v>
      </c>
      <c r="B79" s="5" t="n">
        <v>6</v>
      </c>
      <c r="C79" s="5" t="n">
        <v>6</v>
      </c>
      <c r="D79" s="5" t="s">
        <v>2773</v>
      </c>
      <c r="E79" s="5" t="s">
        <v>2757</v>
      </c>
      <c r="F79" s="5" t="s">
        <v>2753</v>
      </c>
      <c r="G79" s="5" t="s">
        <v>2758</v>
      </c>
    </row>
    <row r="80" customFormat="false" ht="15" hidden="false" customHeight="false" outlineLevel="0" collapsed="false">
      <c r="A80" s="5" t="s">
        <v>2751</v>
      </c>
      <c r="B80" s="5" t="n">
        <v>6</v>
      </c>
      <c r="C80" s="5" t="n">
        <v>6</v>
      </c>
      <c r="D80" s="5" t="s">
        <v>2774</v>
      </c>
      <c r="E80" s="5" t="s">
        <v>2757</v>
      </c>
      <c r="F80" s="5" t="s">
        <v>2753</v>
      </c>
      <c r="G80" s="5" t="s">
        <v>2758</v>
      </c>
    </row>
    <row r="81" customFormat="false" ht="15" hidden="false" customHeight="false" outlineLevel="0" collapsed="false">
      <c r="A81" s="5" t="s">
        <v>2751</v>
      </c>
      <c r="B81" s="5" t="n">
        <v>6</v>
      </c>
      <c r="C81" s="5" t="n">
        <v>6</v>
      </c>
      <c r="D81" s="5" t="s">
        <v>2775</v>
      </c>
      <c r="E81" s="5" t="s">
        <v>2757</v>
      </c>
      <c r="F81" s="5" t="s">
        <v>2753</v>
      </c>
      <c r="G81" s="5" t="s">
        <v>2758</v>
      </c>
    </row>
    <row r="82" customFormat="false" ht="15" hidden="false" customHeight="false" outlineLevel="0" collapsed="false">
      <c r="A82" s="5" t="s">
        <v>2776</v>
      </c>
      <c r="B82" s="5" t="n">
        <v>2</v>
      </c>
      <c r="C82" s="5" t="n">
        <v>7</v>
      </c>
      <c r="D82" s="5" t="s">
        <v>2777</v>
      </c>
      <c r="E82" s="5" t="s">
        <v>2778</v>
      </c>
      <c r="F82" s="5" t="s">
        <v>2779</v>
      </c>
      <c r="G82" s="5" t="s">
        <v>2780</v>
      </c>
    </row>
    <row r="83" customFormat="false" ht="15" hidden="false" customHeight="false" outlineLevel="0" collapsed="false">
      <c r="A83" s="5" t="s">
        <v>2776</v>
      </c>
      <c r="B83" s="5" t="n">
        <v>2</v>
      </c>
      <c r="C83" s="5" t="n">
        <v>7</v>
      </c>
      <c r="D83" s="5" t="s">
        <v>2777</v>
      </c>
      <c r="E83" s="5" t="s">
        <v>2778</v>
      </c>
      <c r="F83" s="5" t="s">
        <v>2779</v>
      </c>
      <c r="G83" s="5" t="s">
        <v>2780</v>
      </c>
    </row>
    <row r="84" customFormat="false" ht="15" hidden="false" customHeight="false" outlineLevel="0" collapsed="false">
      <c r="A84" s="5" t="s">
        <v>2776</v>
      </c>
      <c r="B84" s="5" t="n">
        <v>2</v>
      </c>
      <c r="C84" s="5" t="n">
        <v>7</v>
      </c>
      <c r="D84" s="5" t="s">
        <v>2781</v>
      </c>
      <c r="E84" s="5" t="s">
        <v>2778</v>
      </c>
      <c r="F84" s="5" t="s">
        <v>2779</v>
      </c>
      <c r="G84" s="5" t="s">
        <v>2780</v>
      </c>
    </row>
    <row r="85" customFormat="false" ht="15" hidden="false" customHeight="false" outlineLevel="0" collapsed="false">
      <c r="A85" s="5" t="s">
        <v>2776</v>
      </c>
      <c r="B85" s="5" t="n">
        <v>2</v>
      </c>
      <c r="C85" s="5" t="n">
        <v>7</v>
      </c>
      <c r="D85" s="5" t="s">
        <v>2781</v>
      </c>
      <c r="E85" s="5" t="s">
        <v>2778</v>
      </c>
      <c r="F85" s="5" t="s">
        <v>2779</v>
      </c>
      <c r="G85" s="5" t="s">
        <v>2780</v>
      </c>
    </row>
    <row r="86" customFormat="false" ht="15" hidden="false" customHeight="false" outlineLevel="0" collapsed="false">
      <c r="A86" s="5" t="s">
        <v>2776</v>
      </c>
      <c r="B86" s="5" t="n">
        <v>2</v>
      </c>
      <c r="C86" s="5" t="n">
        <v>7</v>
      </c>
      <c r="D86" s="5" t="s">
        <v>2777</v>
      </c>
      <c r="E86" s="5" t="s">
        <v>2778</v>
      </c>
      <c r="F86" s="5" t="s">
        <v>2779</v>
      </c>
      <c r="G86" s="5" t="s">
        <v>2780</v>
      </c>
    </row>
    <row r="87" customFormat="false" ht="15" hidden="false" customHeight="false" outlineLevel="0" collapsed="false">
      <c r="A87" s="5" t="s">
        <v>2776</v>
      </c>
      <c r="B87" s="5" t="n">
        <v>2</v>
      </c>
      <c r="C87" s="5" t="n">
        <v>7</v>
      </c>
      <c r="D87" s="5" t="s">
        <v>2777</v>
      </c>
      <c r="E87" s="5" t="s">
        <v>2778</v>
      </c>
      <c r="F87" s="5" t="s">
        <v>2779</v>
      </c>
      <c r="G87" s="5" t="s">
        <v>2780</v>
      </c>
    </row>
    <row r="88" customFormat="false" ht="15" hidden="false" customHeight="false" outlineLevel="0" collapsed="false">
      <c r="A88" s="5" t="s">
        <v>2782</v>
      </c>
      <c r="B88" s="5"/>
      <c r="C88" s="5"/>
      <c r="D88" s="5" t="s">
        <v>62</v>
      </c>
      <c r="E88" s="5" t="s">
        <v>2783</v>
      </c>
      <c r="F88" s="5" t="s">
        <v>557</v>
      </c>
      <c r="G88" s="5" t="s">
        <v>2784</v>
      </c>
    </row>
    <row r="89" customFormat="false" ht="15" hidden="false" customHeight="false" outlineLevel="0" collapsed="false">
      <c r="A89" s="5" t="s">
        <v>2782</v>
      </c>
      <c r="B89" s="5"/>
      <c r="C89" s="5"/>
      <c r="D89" s="5" t="s">
        <v>62</v>
      </c>
      <c r="E89" s="5" t="s">
        <v>2785</v>
      </c>
      <c r="F89" s="5" t="s">
        <v>239</v>
      </c>
      <c r="G89" s="5" t="s">
        <v>2784</v>
      </c>
    </row>
    <row r="90" customFormat="false" ht="15" hidden="false" customHeight="false" outlineLevel="0" collapsed="false">
      <c r="A90" s="5" t="s">
        <v>2786</v>
      </c>
      <c r="B90" s="5" t="n">
        <v>2</v>
      </c>
      <c r="C90" s="5" t="n">
        <v>7</v>
      </c>
      <c r="D90" s="5" t="s">
        <v>609</v>
      </c>
      <c r="E90" s="5" t="n">
        <v>7</v>
      </c>
      <c r="F90" s="5" t="n">
        <v>8</v>
      </c>
      <c r="G90" s="5" t="s">
        <v>2787</v>
      </c>
    </row>
    <row r="91" customFormat="false" ht="15" hidden="false" customHeight="false" outlineLevel="0" collapsed="false">
      <c r="A91" s="5" t="s">
        <v>2786</v>
      </c>
      <c r="B91" s="5" t="n">
        <v>2</v>
      </c>
      <c r="C91" s="5" t="n">
        <v>7</v>
      </c>
      <c r="D91" s="5" t="s">
        <v>616</v>
      </c>
      <c r="E91" s="5" t="n">
        <v>4</v>
      </c>
      <c r="F91" s="5" t="n">
        <v>5</v>
      </c>
      <c r="G91" s="5" t="s">
        <v>2787</v>
      </c>
    </row>
    <row r="92" customFormat="false" ht="15" hidden="false" customHeight="false" outlineLevel="0" collapsed="false">
      <c r="A92" s="5" t="s">
        <v>2786</v>
      </c>
      <c r="B92" s="5" t="n">
        <v>2</v>
      </c>
      <c r="C92" s="5" t="n">
        <v>7</v>
      </c>
      <c r="D92" s="5" t="s">
        <v>624</v>
      </c>
      <c r="E92" s="5" t="n">
        <v>3</v>
      </c>
      <c r="F92" s="5" t="n">
        <v>4</v>
      </c>
      <c r="G92" s="5" t="s">
        <v>2787</v>
      </c>
    </row>
    <row r="93" customFormat="false" ht="15" hidden="false" customHeight="false" outlineLevel="0" collapsed="false">
      <c r="A93" s="5" t="s">
        <v>2786</v>
      </c>
      <c r="B93" s="5" t="n">
        <v>2</v>
      </c>
      <c r="C93" s="5" t="n">
        <v>7</v>
      </c>
      <c r="D93" s="5" t="s">
        <v>626</v>
      </c>
      <c r="E93" s="5" t="n">
        <v>3</v>
      </c>
      <c r="F93" s="5" t="n">
        <v>4</v>
      </c>
      <c r="G93" s="5" t="s">
        <v>2787</v>
      </c>
    </row>
    <row r="94" customFormat="false" ht="15" hidden="false" customHeight="false" outlineLevel="0" collapsed="false">
      <c r="A94" s="5" t="s">
        <v>2786</v>
      </c>
      <c r="B94" s="5" t="n">
        <v>2</v>
      </c>
      <c r="C94" s="5" t="n">
        <v>7</v>
      </c>
      <c r="D94" s="5" t="s">
        <v>629</v>
      </c>
      <c r="E94" s="5" t="n">
        <v>3</v>
      </c>
      <c r="F94" s="5" t="n">
        <v>4</v>
      </c>
      <c r="G94" s="5" t="s">
        <v>2787</v>
      </c>
    </row>
    <row r="95" customFormat="false" ht="15" hidden="false" customHeight="false" outlineLevel="0" collapsed="false">
      <c r="A95" s="5" t="s">
        <v>2788</v>
      </c>
      <c r="B95" s="5"/>
      <c r="C95" s="5"/>
      <c r="D95" s="5" t="s">
        <v>2789</v>
      </c>
      <c r="E95" s="5" t="s">
        <v>2790</v>
      </c>
      <c r="F95" s="5" t="s">
        <v>2791</v>
      </c>
      <c r="G95" s="5" t="s">
        <v>2792</v>
      </c>
    </row>
    <row r="96" customFormat="false" ht="15" hidden="false" customHeight="false" outlineLevel="0" collapsed="false">
      <c r="A96" s="5" t="s">
        <v>2788</v>
      </c>
      <c r="B96" s="5"/>
      <c r="C96" s="5"/>
      <c r="D96" s="5" t="s">
        <v>2793</v>
      </c>
      <c r="E96" s="5" t="s">
        <v>2794</v>
      </c>
      <c r="F96" s="5" t="s">
        <v>2795</v>
      </c>
      <c r="G96" s="5" t="s">
        <v>2796</v>
      </c>
    </row>
    <row r="97" customFormat="false" ht="15" hidden="false" customHeight="false" outlineLevel="0" collapsed="false">
      <c r="A97" s="5" t="s">
        <v>2797</v>
      </c>
      <c r="B97" s="5"/>
      <c r="C97" s="5"/>
      <c r="D97" s="5" t="s">
        <v>2798</v>
      </c>
      <c r="E97" s="5" t="s">
        <v>2799</v>
      </c>
      <c r="F97" s="5" t="s">
        <v>2800</v>
      </c>
      <c r="G97" s="5" t="s">
        <v>2801</v>
      </c>
    </row>
    <row r="98" customFormat="false" ht="15" hidden="false" customHeight="false" outlineLevel="0" collapsed="false">
      <c r="A98" s="5" t="s">
        <v>2802</v>
      </c>
      <c r="B98" s="5"/>
      <c r="C98" s="5"/>
      <c r="D98" s="5" t="s">
        <v>2803</v>
      </c>
      <c r="E98" s="5" t="s">
        <v>2804</v>
      </c>
      <c r="F98" s="5" t="s">
        <v>2805</v>
      </c>
      <c r="G98" s="5" t="s">
        <v>2806</v>
      </c>
    </row>
    <row r="99" customFormat="false" ht="15" hidden="false" customHeight="false" outlineLevel="0" collapsed="false">
      <c r="A99" s="5" t="s">
        <v>2807</v>
      </c>
      <c r="B99" s="5"/>
      <c r="C99" s="5"/>
      <c r="D99" s="5" t="s">
        <v>2808</v>
      </c>
      <c r="E99" s="5" t="s">
        <v>2809</v>
      </c>
      <c r="F99" s="5" t="s">
        <v>2810</v>
      </c>
      <c r="G99" s="5" t="s">
        <v>2811</v>
      </c>
    </row>
    <row r="100" customFormat="false" ht="15" hidden="false" customHeight="false" outlineLevel="0" collapsed="false">
      <c r="A100" s="5" t="s">
        <v>2812</v>
      </c>
      <c r="B100" s="5" t="n">
        <v>2</v>
      </c>
      <c r="C100" s="5"/>
      <c r="D100" s="5" t="s">
        <v>2813</v>
      </c>
      <c r="E100" s="5" t="s">
        <v>2814</v>
      </c>
      <c r="F100" s="5" t="s">
        <v>2815</v>
      </c>
      <c r="G100" s="5" t="s">
        <v>2816</v>
      </c>
    </row>
    <row r="101" customFormat="false" ht="15" hidden="false" customHeight="false" outlineLevel="0" collapsed="false">
      <c r="A101" s="5" t="s">
        <v>2802</v>
      </c>
      <c r="B101" s="5"/>
      <c r="C101" s="5"/>
      <c r="D101" s="5" t="s">
        <v>2817</v>
      </c>
      <c r="E101" s="5" t="s">
        <v>2804</v>
      </c>
      <c r="F101" s="5" t="s">
        <v>2818</v>
      </c>
      <c r="G101" s="5" t="s">
        <v>2819</v>
      </c>
    </row>
    <row r="102" customFormat="false" ht="15" hidden="false" customHeight="false" outlineLevel="0" collapsed="false">
      <c r="A102" s="5" t="s">
        <v>2802</v>
      </c>
      <c r="B102" s="5"/>
      <c r="C102" s="5"/>
      <c r="D102" s="5" t="s">
        <v>2820</v>
      </c>
      <c r="E102" s="5" t="s">
        <v>2804</v>
      </c>
      <c r="F102" s="5" t="s">
        <v>2821</v>
      </c>
      <c r="G102" s="5" t="s">
        <v>2822</v>
      </c>
    </row>
    <row r="103" customFormat="false" ht="15" hidden="false" customHeight="false" outlineLevel="0" collapsed="false">
      <c r="A103" s="5" t="s">
        <v>2812</v>
      </c>
      <c r="B103" s="5" t="n">
        <v>8</v>
      </c>
      <c r="C103" s="5"/>
      <c r="D103" s="5" t="s">
        <v>2823</v>
      </c>
      <c r="E103" s="5" t="s">
        <v>2804</v>
      </c>
      <c r="F103" s="5" t="s">
        <v>2804</v>
      </c>
      <c r="G103" s="5" t="s">
        <v>2824</v>
      </c>
    </row>
    <row r="104" customFormat="false" ht="15" hidden="false" customHeight="false" outlineLevel="0" collapsed="false">
      <c r="A104" s="5" t="s">
        <v>2812</v>
      </c>
      <c r="B104" s="5" t="n">
        <v>6</v>
      </c>
      <c r="C104" s="5" t="n">
        <v>2</v>
      </c>
      <c r="D104" s="5" t="s">
        <v>2825</v>
      </c>
      <c r="E104" s="5" t="s">
        <v>2826</v>
      </c>
      <c r="F104" s="5" t="s">
        <v>2827</v>
      </c>
      <c r="G104" s="5" t="s">
        <v>2828</v>
      </c>
    </row>
    <row r="105" customFormat="false" ht="15" hidden="false" customHeight="false" outlineLevel="0" collapsed="false">
      <c r="A105" s="5" t="s">
        <v>2812</v>
      </c>
      <c r="B105" s="5"/>
      <c r="C105" s="5"/>
      <c r="D105" s="5" t="s">
        <v>2829</v>
      </c>
      <c r="E105" s="5" t="s">
        <v>2830</v>
      </c>
      <c r="F105" s="5" t="s">
        <v>2831</v>
      </c>
      <c r="G105" s="5" t="s">
        <v>2832</v>
      </c>
    </row>
    <row r="106" customFormat="false" ht="15" hidden="false" customHeight="false" outlineLevel="0" collapsed="false">
      <c r="A106" s="5" t="s">
        <v>2812</v>
      </c>
      <c r="B106" s="5"/>
      <c r="C106" s="5"/>
      <c r="D106" s="5" t="s">
        <v>19</v>
      </c>
      <c r="E106" s="5" t="s">
        <v>2804</v>
      </c>
      <c r="F106" s="5" t="s">
        <v>2833</v>
      </c>
      <c r="G106" s="5" t="s">
        <v>2834</v>
      </c>
    </row>
    <row r="107" customFormat="false" ht="15" hidden="false" customHeight="false" outlineLevel="0" collapsed="false">
      <c r="A107" s="5" t="s">
        <v>2812</v>
      </c>
      <c r="B107" s="5"/>
      <c r="C107" s="5"/>
      <c r="D107" s="5" t="s">
        <v>2835</v>
      </c>
      <c r="E107" s="5" t="s">
        <v>2836</v>
      </c>
      <c r="F107" s="5" t="s">
        <v>2837</v>
      </c>
      <c r="G107" s="5" t="s">
        <v>2838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2026-10-16T21:06:57Z</dcterms:created>
  <dc:creator>openpyxl</dc:creator>
  <dc:description/>
  <dc:language>en-US</dc:language>
  <cp:lastModifiedBy/>
  <dcterms:modified xsi:type="dcterms:W3CDTF">2026-10-16T21:07:00Z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